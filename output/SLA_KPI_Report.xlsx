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rth\OneDrive\Desktop\Da project\sla_reporting_project\output\"/>
    </mc:Choice>
  </mc:AlternateContent>
  <bookViews>
    <workbookView xWindow="0" yWindow="0" windowWidth="23040" windowHeight="9264"/>
  </bookViews>
  <sheets>
    <sheet name="Sheet1" sheetId="8" r:id="rId1"/>
    <sheet name="Cleaned_Data" sheetId="1" r:id="rId2"/>
    <sheet name="Calc" sheetId="2" r:id="rId3"/>
    <sheet name="KPI_Summary" sheetId="3" r:id="rId4"/>
    <sheet name="Monthly_Trend" sheetId="4" r:id="rId5"/>
    <sheet name="Priority_Category" sheetId="5" r:id="rId6"/>
    <sheet name="Dashboard" sheetId="6" r:id="rId7"/>
    <sheet name="Notes" sheetId="7" r:id="rId8"/>
  </sheets>
  <calcPr calcId="152511"/>
  <pivotCaches>
    <pivotCache cacheId="2" r:id="rId9"/>
  </pivotCaches>
</workbook>
</file>

<file path=xl/calcChain.xml><?xml version="1.0" encoding="utf-8"?>
<calcChain xmlns="http://schemas.openxmlformats.org/spreadsheetml/2006/main">
  <c r="D10" i="7" l="1"/>
  <c r="D9" i="7"/>
  <c r="D6" i="7"/>
  <c r="D5" i="7"/>
  <c r="K6" i="6"/>
  <c r="B6" i="6"/>
  <c r="D18" i="5"/>
  <c r="C18" i="5"/>
  <c r="D17" i="5"/>
  <c r="C17" i="5"/>
  <c r="D16" i="5"/>
  <c r="C16" i="5"/>
  <c r="D15" i="5"/>
  <c r="C15" i="5"/>
  <c r="D14" i="5"/>
  <c r="C14" i="5"/>
  <c r="E9" i="5"/>
  <c r="D9" i="5"/>
  <c r="E8" i="5"/>
  <c r="D8" i="5"/>
  <c r="E7" i="5"/>
  <c r="D7" i="5"/>
  <c r="E6" i="5"/>
  <c r="D6" i="5"/>
  <c r="E10" i="3"/>
  <c r="B10" i="3"/>
  <c r="B6" i="3"/>
  <c r="L5001" i="2"/>
  <c r="K5001" i="2"/>
  <c r="J5001" i="2"/>
  <c r="I5001" i="2"/>
  <c r="H5001" i="2"/>
  <c r="K5000" i="2"/>
  <c r="J5000" i="2"/>
  <c r="H5000" i="2"/>
  <c r="I5000" i="2" s="1"/>
  <c r="L5000" i="2" s="1"/>
  <c r="L4999" i="2"/>
  <c r="K4999" i="2"/>
  <c r="J4999" i="2"/>
  <c r="I4999" i="2"/>
  <c r="H4999" i="2"/>
  <c r="K4998" i="2"/>
  <c r="J4998" i="2"/>
  <c r="I4998" i="2"/>
  <c r="L4998" i="2" s="1"/>
  <c r="H4998" i="2"/>
  <c r="L4997" i="2"/>
  <c r="K4997" i="2"/>
  <c r="J4997" i="2"/>
  <c r="I4997" i="2"/>
  <c r="H4997" i="2"/>
  <c r="K4996" i="2"/>
  <c r="J4996" i="2"/>
  <c r="I4996" i="2" s="1"/>
  <c r="L4996" i="2" s="1"/>
  <c r="H4996" i="2"/>
  <c r="L4995" i="2"/>
  <c r="K4995" i="2"/>
  <c r="J4995" i="2"/>
  <c r="I4995" i="2"/>
  <c r="H4995" i="2"/>
  <c r="K4994" i="2"/>
  <c r="J4994" i="2"/>
  <c r="H4994" i="2"/>
  <c r="L4993" i="2"/>
  <c r="K4993" i="2"/>
  <c r="J4993" i="2"/>
  <c r="H4993" i="2"/>
  <c r="I4993" i="2" s="1"/>
  <c r="K4992" i="2"/>
  <c r="J4992" i="2"/>
  <c r="H4992" i="2"/>
  <c r="K4991" i="2"/>
  <c r="J4991" i="2"/>
  <c r="I4991" i="2"/>
  <c r="L4991" i="2" s="1"/>
  <c r="H4991" i="2"/>
  <c r="L4990" i="2"/>
  <c r="K4990" i="2"/>
  <c r="J4990" i="2"/>
  <c r="I4990" i="2" s="1"/>
  <c r="H4990" i="2"/>
  <c r="K4989" i="2"/>
  <c r="J4989" i="2"/>
  <c r="H4989" i="2"/>
  <c r="I4989" i="2" s="1"/>
  <c r="L4989" i="2" s="1"/>
  <c r="L4988" i="2"/>
  <c r="K4988" i="2"/>
  <c r="J4988" i="2"/>
  <c r="I4988" i="2"/>
  <c r="H4988" i="2"/>
  <c r="K4987" i="2"/>
  <c r="J4987" i="2"/>
  <c r="I4987" i="2" s="1"/>
  <c r="L4987" i="2" s="1"/>
  <c r="H4987" i="2"/>
  <c r="K4986" i="2"/>
  <c r="J4986" i="2"/>
  <c r="I4986" i="2"/>
  <c r="L4986" i="2" s="1"/>
  <c r="H4986" i="2"/>
  <c r="K4985" i="2"/>
  <c r="J4985" i="2"/>
  <c r="I4985" i="2" s="1"/>
  <c r="L4985" i="2" s="1"/>
  <c r="H4985" i="2"/>
  <c r="K4984" i="2"/>
  <c r="J4984" i="2"/>
  <c r="H4984" i="2"/>
  <c r="K4983" i="2"/>
  <c r="J4983" i="2"/>
  <c r="I4983" i="2"/>
  <c r="L4983" i="2" s="1"/>
  <c r="H4983" i="2"/>
  <c r="K4982" i="2"/>
  <c r="J4982" i="2"/>
  <c r="H4982" i="2"/>
  <c r="I4982" i="2" s="1"/>
  <c r="L4982" i="2" s="1"/>
  <c r="K4981" i="2"/>
  <c r="J4981" i="2"/>
  <c r="H4981" i="2"/>
  <c r="I4981" i="2" s="1"/>
  <c r="L4981" i="2" s="1"/>
  <c r="K4980" i="2"/>
  <c r="J4980" i="2"/>
  <c r="H4980" i="2"/>
  <c r="I4980" i="2" s="1"/>
  <c r="L4980" i="2" s="1"/>
  <c r="K4979" i="2"/>
  <c r="J4979" i="2"/>
  <c r="I4979" i="2"/>
  <c r="L4979" i="2" s="1"/>
  <c r="H4979" i="2"/>
  <c r="L4978" i="2"/>
  <c r="K4978" i="2"/>
  <c r="J4978" i="2"/>
  <c r="I4978" i="2" s="1"/>
  <c r="H4978" i="2"/>
  <c r="L4977" i="2"/>
  <c r="K4977" i="2"/>
  <c r="J4977" i="2"/>
  <c r="H4977" i="2"/>
  <c r="I4977" i="2" s="1"/>
  <c r="L4976" i="2"/>
  <c r="K4976" i="2"/>
  <c r="J4976" i="2"/>
  <c r="I4976" i="2" s="1"/>
  <c r="H4976" i="2"/>
  <c r="K4975" i="2"/>
  <c r="J4975" i="2"/>
  <c r="I4975" i="2"/>
  <c r="L4975" i="2" s="1"/>
  <c r="H4975" i="2"/>
  <c r="K4974" i="2"/>
  <c r="J4974" i="2"/>
  <c r="I4974" i="2"/>
  <c r="L4974" i="2" s="1"/>
  <c r="H4974" i="2"/>
  <c r="L4973" i="2"/>
  <c r="K4973" i="2"/>
  <c r="J4973" i="2"/>
  <c r="I4973" i="2"/>
  <c r="H4973" i="2"/>
  <c r="L4972" i="2"/>
  <c r="K4972" i="2"/>
  <c r="J4972" i="2"/>
  <c r="I4972" i="2"/>
  <c r="H4972" i="2"/>
  <c r="K4971" i="2"/>
  <c r="J4971" i="2"/>
  <c r="I4971" i="2"/>
  <c r="L4971" i="2" s="1"/>
  <c r="H4971" i="2"/>
  <c r="K4970" i="2"/>
  <c r="J4970" i="2"/>
  <c r="H4970" i="2"/>
  <c r="I4970" i="2" s="1"/>
  <c r="L4970" i="2" s="1"/>
  <c r="K4969" i="2"/>
  <c r="J4969" i="2"/>
  <c r="H4969" i="2"/>
  <c r="I4969" i="2" s="1"/>
  <c r="L4969" i="2" s="1"/>
  <c r="K4968" i="2"/>
  <c r="J4968" i="2"/>
  <c r="I4968" i="2"/>
  <c r="L4968" i="2" s="1"/>
  <c r="H4968" i="2"/>
  <c r="K4967" i="2"/>
  <c r="J4967" i="2"/>
  <c r="H4967" i="2"/>
  <c r="K4966" i="2"/>
  <c r="J4966" i="2"/>
  <c r="I4966" i="2"/>
  <c r="L4966" i="2" s="1"/>
  <c r="H4966" i="2"/>
  <c r="L4965" i="2"/>
  <c r="K4965" i="2"/>
  <c r="J4965" i="2"/>
  <c r="H4965" i="2"/>
  <c r="I4965" i="2" s="1"/>
  <c r="K4964" i="2"/>
  <c r="J4964" i="2"/>
  <c r="I4964" i="2"/>
  <c r="L4964" i="2" s="1"/>
  <c r="H4964" i="2"/>
  <c r="K4963" i="2"/>
  <c r="J4963" i="2"/>
  <c r="I4963" i="2"/>
  <c r="L4963" i="2" s="1"/>
  <c r="H4963" i="2"/>
  <c r="K4962" i="2"/>
  <c r="J4962" i="2"/>
  <c r="H4962" i="2"/>
  <c r="I4962" i="2" s="1"/>
  <c r="L4962" i="2" s="1"/>
  <c r="K4961" i="2"/>
  <c r="J4961" i="2"/>
  <c r="H4961" i="2"/>
  <c r="I4961" i="2" s="1"/>
  <c r="L4961" i="2" s="1"/>
  <c r="K4960" i="2"/>
  <c r="J4960" i="2"/>
  <c r="I4960" i="2" s="1"/>
  <c r="L4960" i="2" s="1"/>
  <c r="H4960" i="2"/>
  <c r="K4959" i="2"/>
  <c r="J4959" i="2"/>
  <c r="I4959" i="2" s="1"/>
  <c r="L4959" i="2" s="1"/>
  <c r="H4959" i="2"/>
  <c r="K4958" i="2"/>
  <c r="J4958" i="2"/>
  <c r="H4958" i="2"/>
  <c r="I4958" i="2" s="1"/>
  <c r="L4958" i="2" s="1"/>
  <c r="K4957" i="2"/>
  <c r="J4957" i="2"/>
  <c r="I4957" i="2"/>
  <c r="L4957" i="2" s="1"/>
  <c r="H4957" i="2"/>
  <c r="L4956" i="2"/>
  <c r="K4956" i="2"/>
  <c r="J4956" i="2"/>
  <c r="H4956" i="2"/>
  <c r="I4956" i="2" s="1"/>
  <c r="K4955" i="2"/>
  <c r="J4955" i="2"/>
  <c r="I4955" i="2"/>
  <c r="L4955" i="2" s="1"/>
  <c r="H4955" i="2"/>
  <c r="K4954" i="2"/>
  <c r="J4954" i="2"/>
  <c r="I4954" i="2"/>
  <c r="L4954" i="2" s="1"/>
  <c r="H4954" i="2"/>
  <c r="L4953" i="2"/>
  <c r="K4953" i="2"/>
  <c r="J4953" i="2"/>
  <c r="H4953" i="2"/>
  <c r="I4953" i="2" s="1"/>
  <c r="K4952" i="2"/>
  <c r="J4952" i="2"/>
  <c r="I4952" i="2"/>
  <c r="L4952" i="2" s="1"/>
  <c r="H4952" i="2"/>
  <c r="K4951" i="2"/>
  <c r="J4951" i="2"/>
  <c r="I4951" i="2" s="1"/>
  <c r="L4951" i="2" s="1"/>
  <c r="H4951" i="2"/>
  <c r="K4950" i="2"/>
  <c r="J4950" i="2"/>
  <c r="I4950" i="2"/>
  <c r="L4950" i="2" s="1"/>
  <c r="H4950" i="2"/>
  <c r="K4949" i="2"/>
  <c r="J4949" i="2"/>
  <c r="H4949" i="2"/>
  <c r="I4949" i="2" s="1"/>
  <c r="L4949" i="2" s="1"/>
  <c r="K4948" i="2"/>
  <c r="J4948" i="2"/>
  <c r="H4948" i="2"/>
  <c r="I4948" i="2" s="1"/>
  <c r="L4948" i="2" s="1"/>
  <c r="K4947" i="2"/>
  <c r="J4947" i="2"/>
  <c r="I4947" i="2"/>
  <c r="L4947" i="2" s="1"/>
  <c r="H4947" i="2"/>
  <c r="L4946" i="2"/>
  <c r="K4946" i="2"/>
  <c r="J4946" i="2"/>
  <c r="H4946" i="2"/>
  <c r="I4946" i="2" s="1"/>
  <c r="K4945" i="2"/>
  <c r="J4945" i="2"/>
  <c r="I4945" i="2"/>
  <c r="L4945" i="2" s="1"/>
  <c r="H4945" i="2"/>
  <c r="L4944" i="2"/>
  <c r="K4944" i="2"/>
  <c r="J4944" i="2"/>
  <c r="H4944" i="2"/>
  <c r="I4944" i="2" s="1"/>
  <c r="K4943" i="2"/>
  <c r="J4943" i="2"/>
  <c r="H4943" i="2"/>
  <c r="K4942" i="2"/>
  <c r="J4942" i="2"/>
  <c r="I4942" i="2"/>
  <c r="L4942" i="2" s="1"/>
  <c r="H4942" i="2"/>
  <c r="L4941" i="2"/>
  <c r="K4941" i="2"/>
  <c r="J4941" i="2"/>
  <c r="H4941" i="2"/>
  <c r="I4941" i="2" s="1"/>
  <c r="L4940" i="2"/>
  <c r="K4940" i="2"/>
  <c r="J4940" i="2"/>
  <c r="I4940" i="2"/>
  <c r="H4940" i="2"/>
  <c r="K4939" i="2"/>
  <c r="J4939" i="2"/>
  <c r="I4939" i="2" s="1"/>
  <c r="L4939" i="2" s="1"/>
  <c r="H4939" i="2"/>
  <c r="K4938" i="2"/>
  <c r="J4938" i="2"/>
  <c r="I4938" i="2"/>
  <c r="L4938" i="2" s="1"/>
  <c r="H4938" i="2"/>
  <c r="K4937" i="2"/>
  <c r="J4937" i="2"/>
  <c r="H4937" i="2"/>
  <c r="I4937" i="2" s="1"/>
  <c r="L4937" i="2" s="1"/>
  <c r="K4936" i="2"/>
  <c r="J4936" i="2"/>
  <c r="I4936" i="2"/>
  <c r="L4936" i="2" s="1"/>
  <c r="H4936" i="2"/>
  <c r="K4935" i="2"/>
  <c r="J4935" i="2"/>
  <c r="H4935" i="2"/>
  <c r="I4935" i="2" s="1"/>
  <c r="L4935" i="2" s="1"/>
  <c r="L4934" i="2"/>
  <c r="K4934" i="2"/>
  <c r="J4934" i="2"/>
  <c r="I4934" i="2"/>
  <c r="H4934" i="2"/>
  <c r="K4933" i="2"/>
  <c r="J4933" i="2"/>
  <c r="H4933" i="2"/>
  <c r="I4933" i="2" s="1"/>
  <c r="L4933" i="2" s="1"/>
  <c r="K4932" i="2"/>
  <c r="J4932" i="2"/>
  <c r="I4932" i="2"/>
  <c r="L4932" i="2" s="1"/>
  <c r="H4932" i="2"/>
  <c r="K4931" i="2"/>
  <c r="J4931" i="2"/>
  <c r="I4931" i="2" s="1"/>
  <c r="L4931" i="2" s="1"/>
  <c r="H4931" i="2"/>
  <c r="K4930" i="2"/>
  <c r="J4930" i="2"/>
  <c r="H4930" i="2"/>
  <c r="K4929" i="2"/>
  <c r="J4929" i="2"/>
  <c r="I4929" i="2"/>
  <c r="L4929" i="2" s="1"/>
  <c r="H4929" i="2"/>
  <c r="L4928" i="2"/>
  <c r="K4928" i="2"/>
  <c r="J4928" i="2"/>
  <c r="I4928" i="2"/>
  <c r="H4928" i="2"/>
  <c r="K4927" i="2"/>
  <c r="J4927" i="2"/>
  <c r="I4927" i="2" s="1"/>
  <c r="L4927" i="2" s="1"/>
  <c r="H4927" i="2"/>
  <c r="K4926" i="2"/>
  <c r="J4926" i="2"/>
  <c r="H4926" i="2"/>
  <c r="K4925" i="2"/>
  <c r="J4925" i="2"/>
  <c r="H4925" i="2"/>
  <c r="I4925" i="2" s="1"/>
  <c r="L4925" i="2" s="1"/>
  <c r="L4924" i="2"/>
  <c r="K4924" i="2"/>
  <c r="J4924" i="2"/>
  <c r="I4924" i="2"/>
  <c r="H4924" i="2"/>
  <c r="K4923" i="2"/>
  <c r="J4923" i="2"/>
  <c r="I4923" i="2"/>
  <c r="L4923" i="2" s="1"/>
  <c r="H4923" i="2"/>
  <c r="K4922" i="2"/>
  <c r="J4922" i="2"/>
  <c r="H4922" i="2"/>
  <c r="K4921" i="2"/>
  <c r="J4921" i="2"/>
  <c r="I4921" i="2"/>
  <c r="L4921" i="2" s="1"/>
  <c r="H4921" i="2"/>
  <c r="K4920" i="2"/>
  <c r="J4920" i="2"/>
  <c r="I4920" i="2"/>
  <c r="L4920" i="2" s="1"/>
  <c r="H4920" i="2"/>
  <c r="K4919" i="2"/>
  <c r="J4919" i="2"/>
  <c r="I4919" i="2"/>
  <c r="L4919" i="2" s="1"/>
  <c r="H4919" i="2"/>
  <c r="K4918" i="2"/>
  <c r="J4918" i="2"/>
  <c r="H4918" i="2"/>
  <c r="K4917" i="2"/>
  <c r="J4917" i="2"/>
  <c r="I4917" i="2"/>
  <c r="L4917" i="2" s="1"/>
  <c r="H4917" i="2"/>
  <c r="K4916" i="2"/>
  <c r="J4916" i="2"/>
  <c r="H4916" i="2"/>
  <c r="I4916" i="2" s="1"/>
  <c r="L4916" i="2" s="1"/>
  <c r="L4915" i="2"/>
  <c r="K4915" i="2"/>
  <c r="J4915" i="2"/>
  <c r="I4915" i="2"/>
  <c r="H4915" i="2"/>
  <c r="L4914" i="2"/>
  <c r="K4914" i="2"/>
  <c r="J4914" i="2"/>
  <c r="I4914" i="2"/>
  <c r="H4914" i="2"/>
  <c r="K4913" i="2"/>
  <c r="J4913" i="2"/>
  <c r="I4913" i="2" s="1"/>
  <c r="L4913" i="2" s="1"/>
  <c r="H4913" i="2"/>
  <c r="K4912" i="2"/>
  <c r="J4912" i="2"/>
  <c r="H4912" i="2"/>
  <c r="I4912" i="2" s="1"/>
  <c r="L4912" i="2" s="1"/>
  <c r="L4911" i="2"/>
  <c r="K4911" i="2"/>
  <c r="J4911" i="2"/>
  <c r="H4911" i="2"/>
  <c r="I4911" i="2" s="1"/>
  <c r="K4910" i="2"/>
  <c r="J4910" i="2"/>
  <c r="H4910" i="2"/>
  <c r="I4910" i="2" s="1"/>
  <c r="L4910" i="2" s="1"/>
  <c r="K4909" i="2"/>
  <c r="J4909" i="2"/>
  <c r="H4909" i="2"/>
  <c r="L4908" i="2"/>
  <c r="K4908" i="2"/>
  <c r="J4908" i="2"/>
  <c r="I4908" i="2" s="1"/>
  <c r="H4908" i="2"/>
  <c r="K4907" i="2"/>
  <c r="J4907" i="2"/>
  <c r="H4907" i="2"/>
  <c r="I4907" i="2" s="1"/>
  <c r="L4907" i="2" s="1"/>
  <c r="L4906" i="2"/>
  <c r="K4906" i="2"/>
  <c r="J4906" i="2"/>
  <c r="H4906" i="2"/>
  <c r="I4906" i="2" s="1"/>
  <c r="K4905" i="2"/>
  <c r="J4905" i="2"/>
  <c r="H4905" i="2"/>
  <c r="I4905" i="2" s="1"/>
  <c r="L4905" i="2" s="1"/>
  <c r="K4904" i="2"/>
  <c r="J4904" i="2"/>
  <c r="I4904" i="2" s="1"/>
  <c r="L4904" i="2" s="1"/>
  <c r="H4904" i="2"/>
  <c r="L4903" i="2"/>
  <c r="K4903" i="2"/>
  <c r="J4903" i="2"/>
  <c r="I4903" i="2" s="1"/>
  <c r="H4903" i="2"/>
  <c r="L4902" i="2"/>
  <c r="K4902" i="2"/>
  <c r="J4902" i="2"/>
  <c r="H4902" i="2"/>
  <c r="I4902" i="2" s="1"/>
  <c r="L4901" i="2"/>
  <c r="K4901" i="2"/>
  <c r="J4901" i="2"/>
  <c r="H4901" i="2"/>
  <c r="I4901" i="2" s="1"/>
  <c r="K4900" i="2"/>
  <c r="J4900" i="2"/>
  <c r="I4900" i="2"/>
  <c r="L4900" i="2" s="1"/>
  <c r="H4900" i="2"/>
  <c r="L4899" i="2"/>
  <c r="K4899" i="2"/>
  <c r="J4899" i="2"/>
  <c r="H4899" i="2"/>
  <c r="I4899" i="2" s="1"/>
  <c r="K4898" i="2"/>
  <c r="J4898" i="2"/>
  <c r="H4898" i="2"/>
  <c r="K4897" i="2"/>
  <c r="J4897" i="2"/>
  <c r="I4897" i="2" s="1"/>
  <c r="L4897" i="2" s="1"/>
  <c r="H4897" i="2"/>
  <c r="K4896" i="2"/>
  <c r="J4896" i="2"/>
  <c r="H4896" i="2"/>
  <c r="I4896" i="2" s="1"/>
  <c r="L4896" i="2" s="1"/>
  <c r="K4895" i="2"/>
  <c r="J4895" i="2"/>
  <c r="H4895" i="2"/>
  <c r="I4895" i="2" s="1"/>
  <c r="L4895" i="2" s="1"/>
  <c r="K4894" i="2"/>
  <c r="J4894" i="2"/>
  <c r="H4894" i="2"/>
  <c r="I4894" i="2" s="1"/>
  <c r="L4894" i="2" s="1"/>
  <c r="L4893" i="2"/>
  <c r="K4893" i="2"/>
  <c r="J4893" i="2"/>
  <c r="I4893" i="2"/>
  <c r="H4893" i="2"/>
  <c r="K4892" i="2"/>
  <c r="J4892" i="2"/>
  <c r="H4892" i="2"/>
  <c r="K4891" i="2"/>
  <c r="J4891" i="2"/>
  <c r="I4891" i="2"/>
  <c r="L4891" i="2" s="1"/>
  <c r="H4891" i="2"/>
  <c r="K4890" i="2"/>
  <c r="J4890" i="2"/>
  <c r="H4890" i="2"/>
  <c r="I4890" i="2" s="1"/>
  <c r="L4890" i="2" s="1"/>
  <c r="L4889" i="2"/>
  <c r="K4889" i="2"/>
  <c r="J4889" i="2"/>
  <c r="I4889" i="2"/>
  <c r="H4889" i="2"/>
  <c r="K4888" i="2"/>
  <c r="J4888" i="2"/>
  <c r="H4888" i="2"/>
  <c r="I4888" i="2" s="1"/>
  <c r="L4888" i="2" s="1"/>
  <c r="K4887" i="2"/>
  <c r="J4887" i="2"/>
  <c r="H4887" i="2"/>
  <c r="I4887" i="2" s="1"/>
  <c r="L4887" i="2" s="1"/>
  <c r="K4886" i="2"/>
  <c r="J4886" i="2"/>
  <c r="H4886" i="2"/>
  <c r="K4885" i="2"/>
  <c r="J4885" i="2"/>
  <c r="H4885" i="2"/>
  <c r="L4884" i="2"/>
  <c r="K4884" i="2"/>
  <c r="J4884" i="2"/>
  <c r="H4884" i="2"/>
  <c r="I4884" i="2" s="1"/>
  <c r="K4883" i="2"/>
  <c r="J4883" i="2"/>
  <c r="I4883" i="2" s="1"/>
  <c r="L4883" i="2" s="1"/>
  <c r="H4883" i="2"/>
  <c r="K4882" i="2"/>
  <c r="J4882" i="2"/>
  <c r="H4882" i="2"/>
  <c r="I4882" i="2" s="1"/>
  <c r="L4882" i="2" s="1"/>
  <c r="K4881" i="2"/>
  <c r="J4881" i="2"/>
  <c r="H4881" i="2"/>
  <c r="I4881" i="2" s="1"/>
  <c r="L4881" i="2" s="1"/>
  <c r="L4880" i="2"/>
  <c r="K4880" i="2"/>
  <c r="J4880" i="2"/>
  <c r="I4880" i="2"/>
  <c r="H4880" i="2"/>
  <c r="K4879" i="2"/>
  <c r="J4879" i="2"/>
  <c r="I4879" i="2"/>
  <c r="L4879" i="2" s="1"/>
  <c r="H4879" i="2"/>
  <c r="K4878" i="2"/>
  <c r="J4878" i="2"/>
  <c r="H4878" i="2"/>
  <c r="K4877" i="2"/>
  <c r="J4877" i="2"/>
  <c r="I4877" i="2"/>
  <c r="L4877" i="2" s="1"/>
  <c r="H4877" i="2"/>
  <c r="K4876" i="2"/>
  <c r="J4876" i="2"/>
  <c r="H4876" i="2"/>
  <c r="K4875" i="2"/>
  <c r="J4875" i="2"/>
  <c r="I4875" i="2"/>
  <c r="L4875" i="2" s="1"/>
  <c r="H4875" i="2"/>
  <c r="K4874" i="2"/>
  <c r="J4874" i="2"/>
  <c r="H4874" i="2"/>
  <c r="I4874" i="2" s="1"/>
  <c r="L4874" i="2" s="1"/>
  <c r="K4873" i="2"/>
  <c r="J4873" i="2"/>
  <c r="H4873" i="2"/>
  <c r="K4872" i="2"/>
  <c r="J4872" i="2"/>
  <c r="I4872" i="2" s="1"/>
  <c r="L4872" i="2" s="1"/>
  <c r="H4872" i="2"/>
  <c r="K4871" i="2"/>
  <c r="J4871" i="2"/>
  <c r="I4871" i="2"/>
  <c r="L4871" i="2" s="1"/>
  <c r="H4871" i="2"/>
  <c r="K4870" i="2"/>
  <c r="J4870" i="2"/>
  <c r="I4870" i="2" s="1"/>
  <c r="L4870" i="2" s="1"/>
  <c r="H4870" i="2"/>
  <c r="K4869" i="2"/>
  <c r="J4869" i="2"/>
  <c r="I4869" i="2"/>
  <c r="L4869" i="2" s="1"/>
  <c r="H4869" i="2"/>
  <c r="L4868" i="2"/>
  <c r="K4868" i="2"/>
  <c r="J4868" i="2"/>
  <c r="H4868" i="2"/>
  <c r="I4868" i="2" s="1"/>
  <c r="K4867" i="2"/>
  <c r="J4867" i="2"/>
  <c r="I4867" i="2"/>
  <c r="L4867" i="2" s="1"/>
  <c r="H4867" i="2"/>
  <c r="K4866" i="2"/>
  <c r="J4866" i="2"/>
  <c r="I4866" i="2"/>
  <c r="L4866" i="2" s="1"/>
  <c r="H4866" i="2"/>
  <c r="K4865" i="2"/>
  <c r="J4865" i="2"/>
  <c r="H4865" i="2"/>
  <c r="I4865" i="2" s="1"/>
  <c r="L4865" i="2" s="1"/>
  <c r="K4864" i="2"/>
  <c r="J4864" i="2"/>
  <c r="I4864" i="2" s="1"/>
  <c r="L4864" i="2" s="1"/>
  <c r="H4864" i="2"/>
  <c r="K4863" i="2"/>
  <c r="J4863" i="2"/>
  <c r="H4863" i="2"/>
  <c r="I4863" i="2" s="1"/>
  <c r="L4863" i="2" s="1"/>
  <c r="K4862" i="2"/>
  <c r="J4862" i="2"/>
  <c r="H4862" i="2"/>
  <c r="I4862" i="2" s="1"/>
  <c r="L4862" i="2" s="1"/>
  <c r="K4861" i="2"/>
  <c r="J4861" i="2"/>
  <c r="I4861" i="2"/>
  <c r="L4861" i="2" s="1"/>
  <c r="H4861" i="2"/>
  <c r="K4860" i="2"/>
  <c r="J4860" i="2"/>
  <c r="I4860" i="2"/>
  <c r="L4860" i="2" s="1"/>
  <c r="H4860" i="2"/>
  <c r="K4859" i="2"/>
  <c r="J4859" i="2"/>
  <c r="I4859" i="2"/>
  <c r="L4859" i="2" s="1"/>
  <c r="H4859" i="2"/>
  <c r="K4858" i="2"/>
  <c r="J4858" i="2"/>
  <c r="H4858" i="2"/>
  <c r="I4858" i="2" s="1"/>
  <c r="L4858" i="2" s="1"/>
  <c r="K4857" i="2"/>
  <c r="J4857" i="2"/>
  <c r="H4857" i="2"/>
  <c r="I4857" i="2" s="1"/>
  <c r="L4857" i="2" s="1"/>
  <c r="K4856" i="2"/>
  <c r="J4856" i="2"/>
  <c r="I4856" i="2" s="1"/>
  <c r="L4856" i="2" s="1"/>
  <c r="H4856" i="2"/>
  <c r="K4855" i="2"/>
  <c r="J4855" i="2"/>
  <c r="I4855" i="2" s="1"/>
  <c r="L4855" i="2" s="1"/>
  <c r="H4855" i="2"/>
  <c r="K4854" i="2"/>
  <c r="J4854" i="2"/>
  <c r="H4854" i="2"/>
  <c r="I4854" i="2" s="1"/>
  <c r="L4854" i="2" s="1"/>
  <c r="L4853" i="2"/>
  <c r="K4853" i="2"/>
  <c r="J4853" i="2"/>
  <c r="I4853" i="2"/>
  <c r="H4853" i="2"/>
  <c r="L4852" i="2"/>
  <c r="K4852" i="2"/>
  <c r="J4852" i="2"/>
  <c r="H4852" i="2"/>
  <c r="I4852" i="2" s="1"/>
  <c r="K4851" i="2"/>
  <c r="J4851" i="2"/>
  <c r="I4851" i="2" s="1"/>
  <c r="L4851" i="2" s="1"/>
  <c r="H4851" i="2"/>
  <c r="K4850" i="2"/>
  <c r="J4850" i="2"/>
  <c r="H4850" i="2"/>
  <c r="I4850" i="2" s="1"/>
  <c r="L4850" i="2" s="1"/>
  <c r="L4849" i="2"/>
  <c r="K4849" i="2"/>
  <c r="J4849" i="2"/>
  <c r="I4849" i="2"/>
  <c r="H4849" i="2"/>
  <c r="L4848" i="2"/>
  <c r="K4848" i="2"/>
  <c r="J4848" i="2"/>
  <c r="I4848" i="2"/>
  <c r="H4848" i="2"/>
  <c r="K4847" i="2"/>
  <c r="J4847" i="2"/>
  <c r="H4847" i="2"/>
  <c r="I4847" i="2" s="1"/>
  <c r="L4847" i="2" s="1"/>
  <c r="K4846" i="2"/>
  <c r="J4846" i="2"/>
  <c r="I4846" i="2"/>
  <c r="L4846" i="2" s="1"/>
  <c r="H4846" i="2"/>
  <c r="K4845" i="2"/>
  <c r="J4845" i="2"/>
  <c r="I4845" i="2"/>
  <c r="L4845" i="2" s="1"/>
  <c r="H4845" i="2"/>
  <c r="L4844" i="2"/>
  <c r="K4844" i="2"/>
  <c r="J4844" i="2"/>
  <c r="I4844" i="2" s="1"/>
  <c r="H4844" i="2"/>
  <c r="L4843" i="2"/>
  <c r="K4843" i="2"/>
  <c r="J4843" i="2"/>
  <c r="I4843" i="2"/>
  <c r="H4843" i="2"/>
  <c r="K4842" i="2"/>
  <c r="J4842" i="2"/>
  <c r="I4842" i="2"/>
  <c r="L4842" i="2" s="1"/>
  <c r="H4842" i="2"/>
  <c r="K4841" i="2"/>
  <c r="J4841" i="2"/>
  <c r="I4841" i="2" s="1"/>
  <c r="L4841" i="2" s="1"/>
  <c r="H4841" i="2"/>
  <c r="K4840" i="2"/>
  <c r="J4840" i="2"/>
  <c r="H4840" i="2"/>
  <c r="I4840" i="2" s="1"/>
  <c r="L4840" i="2" s="1"/>
  <c r="L4839" i="2"/>
  <c r="K4839" i="2"/>
  <c r="J4839" i="2"/>
  <c r="I4839" i="2"/>
  <c r="H4839" i="2"/>
  <c r="K4838" i="2"/>
  <c r="J4838" i="2"/>
  <c r="H4838" i="2"/>
  <c r="K4837" i="2"/>
  <c r="J4837" i="2"/>
  <c r="H4837" i="2"/>
  <c r="I4837" i="2" s="1"/>
  <c r="L4837" i="2" s="1"/>
  <c r="K4836" i="2"/>
  <c r="J4836" i="2"/>
  <c r="I4836" i="2"/>
  <c r="L4836" i="2" s="1"/>
  <c r="H4836" i="2"/>
  <c r="K4835" i="2"/>
  <c r="J4835" i="2"/>
  <c r="I4835" i="2" s="1"/>
  <c r="L4835" i="2" s="1"/>
  <c r="H4835" i="2"/>
  <c r="L4834" i="2"/>
  <c r="K4834" i="2"/>
  <c r="J4834" i="2"/>
  <c r="I4834" i="2"/>
  <c r="H4834" i="2"/>
  <c r="K4833" i="2"/>
  <c r="J4833" i="2"/>
  <c r="H4833" i="2"/>
  <c r="I4833" i="2" s="1"/>
  <c r="L4833" i="2" s="1"/>
  <c r="K4832" i="2"/>
  <c r="J4832" i="2"/>
  <c r="H4832" i="2"/>
  <c r="I4832" i="2" s="1"/>
  <c r="L4832" i="2" s="1"/>
  <c r="K4831" i="2"/>
  <c r="J4831" i="2"/>
  <c r="I4831" i="2"/>
  <c r="L4831" i="2" s="1"/>
  <c r="H4831" i="2"/>
  <c r="K4830" i="2"/>
  <c r="J4830" i="2"/>
  <c r="H4830" i="2"/>
  <c r="I4830" i="2" s="1"/>
  <c r="L4830" i="2" s="1"/>
  <c r="K4829" i="2"/>
  <c r="J4829" i="2"/>
  <c r="H4829" i="2"/>
  <c r="L4828" i="2"/>
  <c r="K4828" i="2"/>
  <c r="J4828" i="2"/>
  <c r="H4828" i="2"/>
  <c r="I4828" i="2" s="1"/>
  <c r="K4827" i="2"/>
  <c r="J4827" i="2"/>
  <c r="I4827" i="2"/>
  <c r="L4827" i="2" s="1"/>
  <c r="H4827" i="2"/>
  <c r="K4826" i="2"/>
  <c r="J4826" i="2"/>
  <c r="H4826" i="2"/>
  <c r="K4825" i="2"/>
  <c r="J4825" i="2"/>
  <c r="I4825" i="2" s="1"/>
  <c r="L4825" i="2" s="1"/>
  <c r="H4825" i="2"/>
  <c r="K4824" i="2"/>
  <c r="J4824" i="2"/>
  <c r="H4824" i="2"/>
  <c r="I4824" i="2" s="1"/>
  <c r="L4824" i="2" s="1"/>
  <c r="K4823" i="2"/>
  <c r="J4823" i="2"/>
  <c r="I4823" i="2"/>
  <c r="L4823" i="2" s="1"/>
  <c r="H4823" i="2"/>
  <c r="L4822" i="2"/>
  <c r="K4822" i="2"/>
  <c r="J4822" i="2"/>
  <c r="I4822" i="2"/>
  <c r="H4822" i="2"/>
  <c r="L4821" i="2"/>
  <c r="K4821" i="2"/>
  <c r="J4821" i="2"/>
  <c r="I4821" i="2"/>
  <c r="H4821" i="2"/>
  <c r="K4820" i="2"/>
  <c r="J4820" i="2"/>
  <c r="H4820" i="2"/>
  <c r="K4819" i="2"/>
  <c r="J4819" i="2"/>
  <c r="I4819" i="2" s="1"/>
  <c r="L4819" i="2" s="1"/>
  <c r="H4819" i="2"/>
  <c r="L4818" i="2"/>
  <c r="K4818" i="2"/>
  <c r="J4818" i="2"/>
  <c r="H4818" i="2"/>
  <c r="I4818" i="2" s="1"/>
  <c r="K4817" i="2"/>
  <c r="J4817" i="2"/>
  <c r="I4817" i="2" s="1"/>
  <c r="L4817" i="2" s="1"/>
  <c r="H4817" i="2"/>
  <c r="L4816" i="2"/>
  <c r="K4816" i="2"/>
  <c r="J4816" i="2"/>
  <c r="I4816" i="2"/>
  <c r="H4816" i="2"/>
  <c r="K4815" i="2"/>
  <c r="J4815" i="2"/>
  <c r="H4815" i="2"/>
  <c r="K4814" i="2"/>
  <c r="J4814" i="2"/>
  <c r="H4814" i="2"/>
  <c r="I4814" i="2" s="1"/>
  <c r="L4814" i="2" s="1"/>
  <c r="K4813" i="2"/>
  <c r="J4813" i="2"/>
  <c r="I4813" i="2"/>
  <c r="L4813" i="2" s="1"/>
  <c r="H4813" i="2"/>
  <c r="L4812" i="2"/>
  <c r="K4812" i="2"/>
  <c r="J4812" i="2"/>
  <c r="I4812" i="2" s="1"/>
  <c r="H4812" i="2"/>
  <c r="K4811" i="2"/>
  <c r="J4811" i="2"/>
  <c r="I4811" i="2"/>
  <c r="L4811" i="2" s="1"/>
  <c r="H4811" i="2"/>
  <c r="K4810" i="2"/>
  <c r="J4810" i="2"/>
  <c r="H4810" i="2"/>
  <c r="I4810" i="2" s="1"/>
  <c r="L4810" i="2" s="1"/>
  <c r="K4809" i="2"/>
  <c r="J4809" i="2"/>
  <c r="H4809" i="2"/>
  <c r="I4809" i="2" s="1"/>
  <c r="L4809" i="2" s="1"/>
  <c r="L4808" i="2"/>
  <c r="K4808" i="2"/>
  <c r="J4808" i="2"/>
  <c r="H4808" i="2"/>
  <c r="I4808" i="2" s="1"/>
  <c r="K4807" i="2"/>
  <c r="J4807" i="2"/>
  <c r="I4807" i="2" s="1"/>
  <c r="L4807" i="2" s="1"/>
  <c r="H4807" i="2"/>
  <c r="K4806" i="2"/>
  <c r="J4806" i="2"/>
  <c r="H4806" i="2"/>
  <c r="I4806" i="2" s="1"/>
  <c r="L4806" i="2" s="1"/>
  <c r="L4805" i="2"/>
  <c r="K4805" i="2"/>
  <c r="J4805" i="2"/>
  <c r="I4805" i="2"/>
  <c r="H4805" i="2"/>
  <c r="K4804" i="2"/>
  <c r="J4804" i="2"/>
  <c r="H4804" i="2"/>
  <c r="K4803" i="2"/>
  <c r="J4803" i="2"/>
  <c r="H4803" i="2"/>
  <c r="I4803" i="2" s="1"/>
  <c r="L4803" i="2" s="1"/>
  <c r="L4802" i="2"/>
  <c r="K4802" i="2"/>
  <c r="J4802" i="2"/>
  <c r="H4802" i="2"/>
  <c r="I4802" i="2" s="1"/>
  <c r="L4801" i="2"/>
  <c r="K4801" i="2"/>
  <c r="J4801" i="2"/>
  <c r="I4801" i="2"/>
  <c r="H4801" i="2"/>
  <c r="K4800" i="2"/>
  <c r="J4800" i="2"/>
  <c r="H4800" i="2"/>
  <c r="I4800" i="2" s="1"/>
  <c r="L4800" i="2" s="1"/>
  <c r="K4799" i="2"/>
  <c r="J4799" i="2"/>
  <c r="H4799" i="2"/>
  <c r="K4798" i="2"/>
  <c r="J4798" i="2"/>
  <c r="I4798" i="2"/>
  <c r="L4798" i="2" s="1"/>
  <c r="H4798" i="2"/>
  <c r="K4797" i="2"/>
  <c r="J4797" i="2"/>
  <c r="I4797" i="2"/>
  <c r="L4797" i="2" s="1"/>
  <c r="H4797" i="2"/>
  <c r="K4796" i="2"/>
  <c r="J4796" i="2"/>
  <c r="H4796" i="2"/>
  <c r="I4796" i="2" s="1"/>
  <c r="L4796" i="2" s="1"/>
  <c r="K4795" i="2"/>
  <c r="J4795" i="2"/>
  <c r="I4795" i="2" s="1"/>
  <c r="L4795" i="2" s="1"/>
  <c r="H4795" i="2"/>
  <c r="K4794" i="2"/>
  <c r="J4794" i="2"/>
  <c r="I4794" i="2" s="1"/>
  <c r="L4794" i="2" s="1"/>
  <c r="H4794" i="2"/>
  <c r="K4793" i="2"/>
  <c r="J4793" i="2"/>
  <c r="I4793" i="2" s="1"/>
  <c r="L4793" i="2" s="1"/>
  <c r="H4793" i="2"/>
  <c r="K4792" i="2"/>
  <c r="J4792" i="2"/>
  <c r="H4792" i="2"/>
  <c r="I4792" i="2" s="1"/>
  <c r="L4792" i="2" s="1"/>
  <c r="K4791" i="2"/>
  <c r="J4791" i="2"/>
  <c r="H4791" i="2"/>
  <c r="I4791" i="2" s="1"/>
  <c r="L4791" i="2" s="1"/>
  <c r="K4790" i="2"/>
  <c r="J4790" i="2"/>
  <c r="H4790" i="2"/>
  <c r="I4790" i="2" s="1"/>
  <c r="L4790" i="2" s="1"/>
  <c r="K4789" i="2"/>
  <c r="J4789" i="2"/>
  <c r="H4789" i="2"/>
  <c r="I4789" i="2" s="1"/>
  <c r="L4789" i="2" s="1"/>
  <c r="K4788" i="2"/>
  <c r="J4788" i="2"/>
  <c r="I4788" i="2"/>
  <c r="L4788" i="2" s="1"/>
  <c r="H4788" i="2"/>
  <c r="K4787" i="2"/>
  <c r="J4787" i="2"/>
  <c r="H4787" i="2"/>
  <c r="I4787" i="2" s="1"/>
  <c r="L4787" i="2" s="1"/>
  <c r="K4786" i="2"/>
  <c r="J4786" i="2"/>
  <c r="H4786" i="2"/>
  <c r="L4785" i="2"/>
  <c r="K4785" i="2"/>
  <c r="J4785" i="2"/>
  <c r="I4785" i="2"/>
  <c r="H4785" i="2"/>
  <c r="K4784" i="2"/>
  <c r="J4784" i="2"/>
  <c r="H4784" i="2"/>
  <c r="I4784" i="2" s="1"/>
  <c r="L4784" i="2" s="1"/>
  <c r="K4783" i="2"/>
  <c r="J4783" i="2"/>
  <c r="I4783" i="2"/>
  <c r="L4783" i="2" s="1"/>
  <c r="H4783" i="2"/>
  <c r="L4782" i="2"/>
  <c r="K4782" i="2"/>
  <c r="J4782" i="2"/>
  <c r="H4782" i="2"/>
  <c r="I4782" i="2" s="1"/>
  <c r="K4781" i="2"/>
  <c r="J4781" i="2"/>
  <c r="I4781" i="2"/>
  <c r="L4781" i="2" s="1"/>
  <c r="H4781" i="2"/>
  <c r="L4780" i="2"/>
  <c r="K4780" i="2"/>
  <c r="J4780" i="2"/>
  <c r="I4780" i="2" s="1"/>
  <c r="H4780" i="2"/>
  <c r="K4779" i="2"/>
  <c r="J4779" i="2"/>
  <c r="I4779" i="2" s="1"/>
  <c r="L4779" i="2" s="1"/>
  <c r="H4779" i="2"/>
  <c r="K4778" i="2"/>
  <c r="J4778" i="2"/>
  <c r="H4778" i="2"/>
  <c r="L4777" i="2"/>
  <c r="K4777" i="2"/>
  <c r="J4777" i="2"/>
  <c r="H4777" i="2"/>
  <c r="I4777" i="2" s="1"/>
  <c r="K4776" i="2"/>
  <c r="J4776" i="2"/>
  <c r="H4776" i="2"/>
  <c r="I4776" i="2" s="1"/>
  <c r="L4776" i="2" s="1"/>
  <c r="K4775" i="2"/>
  <c r="J4775" i="2"/>
  <c r="H4775" i="2"/>
  <c r="I4775" i="2" s="1"/>
  <c r="L4775" i="2" s="1"/>
  <c r="K4774" i="2"/>
  <c r="J4774" i="2"/>
  <c r="I4774" i="2" s="1"/>
  <c r="L4774" i="2" s="1"/>
  <c r="H4774" i="2"/>
  <c r="K4773" i="2"/>
  <c r="J4773" i="2"/>
  <c r="H4773" i="2"/>
  <c r="I4773" i="2" s="1"/>
  <c r="L4773" i="2" s="1"/>
  <c r="K4772" i="2"/>
  <c r="J4772" i="2"/>
  <c r="I4772" i="2" s="1"/>
  <c r="L4772" i="2" s="1"/>
  <c r="H4772" i="2"/>
  <c r="K4771" i="2"/>
  <c r="J4771" i="2"/>
  <c r="I4771" i="2"/>
  <c r="L4771" i="2" s="1"/>
  <c r="H4771" i="2"/>
  <c r="L4770" i="2"/>
  <c r="K4770" i="2"/>
  <c r="J4770" i="2"/>
  <c r="I4770" i="2"/>
  <c r="H4770" i="2"/>
  <c r="K4769" i="2"/>
  <c r="J4769" i="2"/>
  <c r="I4769" i="2"/>
  <c r="L4769" i="2" s="1"/>
  <c r="H4769" i="2"/>
  <c r="K4768" i="2"/>
  <c r="J4768" i="2"/>
  <c r="I4768" i="2" s="1"/>
  <c r="L4768" i="2" s="1"/>
  <c r="H4768" i="2"/>
  <c r="L4767" i="2"/>
  <c r="K4767" i="2"/>
  <c r="J4767" i="2"/>
  <c r="I4767" i="2"/>
  <c r="H4767" i="2"/>
  <c r="K4766" i="2"/>
  <c r="J4766" i="2"/>
  <c r="H4766" i="2"/>
  <c r="L4765" i="2"/>
  <c r="K4765" i="2"/>
  <c r="J4765" i="2"/>
  <c r="I4765" i="2"/>
  <c r="H4765" i="2"/>
  <c r="K4764" i="2"/>
  <c r="J4764" i="2"/>
  <c r="I4764" i="2"/>
  <c r="L4764" i="2" s="1"/>
  <c r="H4764" i="2"/>
  <c r="K4763" i="2"/>
  <c r="J4763" i="2"/>
  <c r="H4763" i="2"/>
  <c r="I4763" i="2" s="1"/>
  <c r="L4763" i="2" s="1"/>
  <c r="K4762" i="2"/>
  <c r="J4762" i="2"/>
  <c r="H4762" i="2"/>
  <c r="I4762" i="2" s="1"/>
  <c r="L4762" i="2" s="1"/>
  <c r="K4761" i="2"/>
  <c r="J4761" i="2"/>
  <c r="I4761" i="2"/>
  <c r="L4761" i="2" s="1"/>
  <c r="H4761" i="2"/>
  <c r="K4760" i="2"/>
  <c r="J4760" i="2"/>
  <c r="I4760" i="2"/>
  <c r="L4760" i="2" s="1"/>
  <c r="H4760" i="2"/>
  <c r="L4759" i="2"/>
  <c r="K4759" i="2"/>
  <c r="J4759" i="2"/>
  <c r="I4759" i="2" s="1"/>
  <c r="H4759" i="2"/>
  <c r="K4758" i="2"/>
  <c r="J4758" i="2"/>
  <c r="I4758" i="2" s="1"/>
  <c r="L4758" i="2" s="1"/>
  <c r="H4758" i="2"/>
  <c r="K4757" i="2"/>
  <c r="J4757" i="2"/>
  <c r="I4757" i="2"/>
  <c r="L4757" i="2" s="1"/>
  <c r="H4757" i="2"/>
  <c r="K4756" i="2"/>
  <c r="J4756" i="2"/>
  <c r="I4756" i="2"/>
  <c r="L4756" i="2" s="1"/>
  <c r="H4756" i="2"/>
  <c r="K4755" i="2"/>
  <c r="J4755" i="2"/>
  <c r="H4755" i="2"/>
  <c r="I4755" i="2" s="1"/>
  <c r="L4755" i="2" s="1"/>
  <c r="K4754" i="2"/>
  <c r="J4754" i="2"/>
  <c r="H4754" i="2"/>
  <c r="K4753" i="2"/>
  <c r="J4753" i="2"/>
  <c r="I4753" i="2"/>
  <c r="L4753" i="2" s="1"/>
  <c r="H4753" i="2"/>
  <c r="K4752" i="2"/>
  <c r="J4752" i="2"/>
  <c r="I4752" i="2" s="1"/>
  <c r="L4752" i="2" s="1"/>
  <c r="H4752" i="2"/>
  <c r="K4751" i="2"/>
  <c r="J4751" i="2"/>
  <c r="I4751" i="2"/>
  <c r="L4751" i="2" s="1"/>
  <c r="H4751" i="2"/>
  <c r="L4750" i="2"/>
  <c r="K4750" i="2"/>
  <c r="J4750" i="2"/>
  <c r="I4750" i="2"/>
  <c r="H4750" i="2"/>
  <c r="L4749" i="2"/>
  <c r="K4749" i="2"/>
  <c r="J4749" i="2"/>
  <c r="I4749" i="2"/>
  <c r="H4749" i="2"/>
  <c r="L4748" i="2"/>
  <c r="K4748" i="2"/>
  <c r="J4748" i="2"/>
  <c r="I4748" i="2" s="1"/>
  <c r="H4748" i="2"/>
  <c r="K4747" i="2"/>
  <c r="J4747" i="2"/>
  <c r="I4747" i="2" s="1"/>
  <c r="L4747" i="2" s="1"/>
  <c r="H4747" i="2"/>
  <c r="K4746" i="2"/>
  <c r="J4746" i="2"/>
  <c r="I4746" i="2"/>
  <c r="L4746" i="2" s="1"/>
  <c r="H4746" i="2"/>
  <c r="K4745" i="2"/>
  <c r="J4745" i="2"/>
  <c r="H4745" i="2"/>
  <c r="K4744" i="2"/>
  <c r="J4744" i="2"/>
  <c r="H4744" i="2"/>
  <c r="I4744" i="2" s="1"/>
  <c r="L4744" i="2" s="1"/>
  <c r="K4743" i="2"/>
  <c r="J4743" i="2"/>
  <c r="I4743" i="2" s="1"/>
  <c r="L4743" i="2" s="1"/>
  <c r="H4743" i="2"/>
  <c r="K4742" i="2"/>
  <c r="J4742" i="2"/>
  <c r="H4742" i="2"/>
  <c r="I4742" i="2" s="1"/>
  <c r="L4742" i="2" s="1"/>
  <c r="K4741" i="2"/>
  <c r="J4741" i="2"/>
  <c r="H4741" i="2"/>
  <c r="I4741" i="2" s="1"/>
  <c r="L4741" i="2" s="1"/>
  <c r="K4740" i="2"/>
  <c r="J4740" i="2"/>
  <c r="I4740" i="2"/>
  <c r="L4740" i="2" s="1"/>
  <c r="H4740" i="2"/>
  <c r="K4739" i="2"/>
  <c r="J4739" i="2"/>
  <c r="I4739" i="2" s="1"/>
  <c r="L4739" i="2" s="1"/>
  <c r="H4739" i="2"/>
  <c r="K4738" i="2"/>
  <c r="J4738" i="2"/>
  <c r="H4738" i="2"/>
  <c r="I4738" i="2" s="1"/>
  <c r="L4738" i="2" s="1"/>
  <c r="K4737" i="2"/>
  <c r="J4737" i="2"/>
  <c r="H4737" i="2"/>
  <c r="I4737" i="2" s="1"/>
  <c r="L4737" i="2" s="1"/>
  <c r="K4736" i="2"/>
  <c r="J4736" i="2"/>
  <c r="H4736" i="2"/>
  <c r="I4736" i="2" s="1"/>
  <c r="L4736" i="2" s="1"/>
  <c r="K4735" i="2"/>
  <c r="J4735" i="2"/>
  <c r="I4735" i="2"/>
  <c r="L4735" i="2" s="1"/>
  <c r="H4735" i="2"/>
  <c r="K4734" i="2"/>
  <c r="J4734" i="2"/>
  <c r="H4734" i="2"/>
  <c r="K4733" i="2"/>
  <c r="J4733" i="2"/>
  <c r="H4733" i="2"/>
  <c r="I4733" i="2" s="1"/>
  <c r="L4733" i="2" s="1"/>
  <c r="K4732" i="2"/>
  <c r="J4732" i="2"/>
  <c r="H4732" i="2"/>
  <c r="I4732" i="2" s="1"/>
  <c r="L4732" i="2" s="1"/>
  <c r="K4731" i="2"/>
  <c r="J4731" i="2"/>
  <c r="I4731" i="2" s="1"/>
  <c r="L4731" i="2" s="1"/>
  <c r="H4731" i="2"/>
  <c r="L4730" i="2"/>
  <c r="K4730" i="2"/>
  <c r="J4730" i="2"/>
  <c r="I4730" i="2"/>
  <c r="H4730" i="2"/>
  <c r="K4729" i="2"/>
  <c r="J4729" i="2"/>
  <c r="H4729" i="2"/>
  <c r="I4729" i="2" s="1"/>
  <c r="L4729" i="2" s="1"/>
  <c r="K4728" i="2"/>
  <c r="J4728" i="2"/>
  <c r="I4728" i="2"/>
  <c r="L4728" i="2" s="1"/>
  <c r="H4728" i="2"/>
  <c r="K4727" i="2"/>
  <c r="J4727" i="2"/>
  <c r="I4727" i="2"/>
  <c r="L4727" i="2" s="1"/>
  <c r="H4727" i="2"/>
  <c r="K4726" i="2"/>
  <c r="J4726" i="2"/>
  <c r="I4726" i="2"/>
  <c r="L4726" i="2" s="1"/>
  <c r="H4726" i="2"/>
  <c r="K4725" i="2"/>
  <c r="J4725" i="2"/>
  <c r="I4725" i="2"/>
  <c r="L4725" i="2" s="1"/>
  <c r="H4725" i="2"/>
  <c r="K4724" i="2"/>
  <c r="J4724" i="2"/>
  <c r="I4724" i="2"/>
  <c r="L4724" i="2" s="1"/>
  <c r="H4724" i="2"/>
  <c r="K4723" i="2"/>
  <c r="J4723" i="2"/>
  <c r="I4723" i="2"/>
  <c r="L4723" i="2" s="1"/>
  <c r="H4723" i="2"/>
  <c r="L4722" i="2"/>
  <c r="K4722" i="2"/>
  <c r="J4722" i="2"/>
  <c r="I4722" i="2"/>
  <c r="H4722" i="2"/>
  <c r="L4721" i="2"/>
  <c r="K4721" i="2"/>
  <c r="J4721" i="2"/>
  <c r="I4721" i="2" s="1"/>
  <c r="H4721" i="2"/>
  <c r="K4720" i="2"/>
  <c r="J4720" i="2"/>
  <c r="H4720" i="2"/>
  <c r="I4720" i="2" s="1"/>
  <c r="L4720" i="2" s="1"/>
  <c r="K4719" i="2"/>
  <c r="J4719" i="2"/>
  <c r="H4719" i="2"/>
  <c r="I4719" i="2" s="1"/>
  <c r="L4719" i="2" s="1"/>
  <c r="L4718" i="2"/>
  <c r="K4718" i="2"/>
  <c r="J4718" i="2"/>
  <c r="I4718" i="2"/>
  <c r="H4718" i="2"/>
  <c r="K4717" i="2"/>
  <c r="J4717" i="2"/>
  <c r="H4717" i="2"/>
  <c r="K4716" i="2"/>
  <c r="J4716" i="2"/>
  <c r="H4716" i="2"/>
  <c r="I4716" i="2" s="1"/>
  <c r="L4716" i="2" s="1"/>
  <c r="K4715" i="2"/>
  <c r="J4715" i="2"/>
  <c r="I4715" i="2"/>
  <c r="L4715" i="2" s="1"/>
  <c r="H4715" i="2"/>
  <c r="K4714" i="2"/>
  <c r="J4714" i="2"/>
  <c r="H4714" i="2"/>
  <c r="L4713" i="2"/>
  <c r="K4713" i="2"/>
  <c r="J4713" i="2"/>
  <c r="I4713" i="2"/>
  <c r="H4713" i="2"/>
  <c r="L4712" i="2"/>
  <c r="K4712" i="2"/>
  <c r="J4712" i="2"/>
  <c r="H4712" i="2"/>
  <c r="I4712" i="2" s="1"/>
  <c r="K4711" i="2"/>
  <c r="J4711" i="2"/>
  <c r="I4711" i="2" s="1"/>
  <c r="L4711" i="2" s="1"/>
  <c r="H4711" i="2"/>
  <c r="K4710" i="2"/>
  <c r="J4710" i="2"/>
  <c r="I4710" i="2"/>
  <c r="L4710" i="2" s="1"/>
  <c r="H4710" i="2"/>
  <c r="K4709" i="2"/>
  <c r="J4709" i="2"/>
  <c r="I4709" i="2"/>
  <c r="L4709" i="2" s="1"/>
  <c r="H4709" i="2"/>
  <c r="L4708" i="2"/>
  <c r="K4708" i="2"/>
  <c r="J4708" i="2"/>
  <c r="I4708" i="2"/>
  <c r="H4708" i="2"/>
  <c r="K4707" i="2"/>
  <c r="J4707" i="2"/>
  <c r="I4707" i="2"/>
  <c r="L4707" i="2" s="1"/>
  <c r="H4707" i="2"/>
  <c r="K4706" i="2"/>
  <c r="J4706" i="2"/>
  <c r="H4706" i="2"/>
  <c r="I4706" i="2" s="1"/>
  <c r="L4706" i="2" s="1"/>
  <c r="L4705" i="2"/>
  <c r="K4705" i="2"/>
  <c r="J4705" i="2"/>
  <c r="H4705" i="2"/>
  <c r="I4705" i="2" s="1"/>
  <c r="K4704" i="2"/>
  <c r="J4704" i="2"/>
  <c r="I4704" i="2"/>
  <c r="L4704" i="2" s="1"/>
  <c r="H4704" i="2"/>
  <c r="K4703" i="2"/>
  <c r="J4703" i="2"/>
  <c r="I4703" i="2"/>
  <c r="L4703" i="2" s="1"/>
  <c r="H4703" i="2"/>
  <c r="L4702" i="2"/>
  <c r="K4702" i="2"/>
  <c r="J4702" i="2"/>
  <c r="H4702" i="2"/>
  <c r="I4702" i="2" s="1"/>
  <c r="K4701" i="2"/>
  <c r="J4701" i="2"/>
  <c r="I4701" i="2"/>
  <c r="L4701" i="2" s="1"/>
  <c r="H4701" i="2"/>
  <c r="K4700" i="2"/>
  <c r="J4700" i="2"/>
  <c r="H4700" i="2"/>
  <c r="I4700" i="2" s="1"/>
  <c r="L4700" i="2" s="1"/>
  <c r="K4699" i="2"/>
  <c r="J4699" i="2"/>
  <c r="I4699" i="2" s="1"/>
  <c r="L4699" i="2" s="1"/>
  <c r="H4699" i="2"/>
  <c r="L4698" i="2"/>
  <c r="K4698" i="2"/>
  <c r="J4698" i="2"/>
  <c r="H4698" i="2"/>
  <c r="I4698" i="2" s="1"/>
  <c r="K4697" i="2"/>
  <c r="J4697" i="2"/>
  <c r="I4697" i="2"/>
  <c r="L4697" i="2" s="1"/>
  <c r="H4697" i="2"/>
  <c r="K4696" i="2"/>
  <c r="J4696" i="2"/>
  <c r="H4696" i="2"/>
  <c r="I4696" i="2" s="1"/>
  <c r="L4696" i="2" s="1"/>
  <c r="L4695" i="2"/>
  <c r="K4695" i="2"/>
  <c r="J4695" i="2"/>
  <c r="I4695" i="2" s="1"/>
  <c r="H4695" i="2"/>
  <c r="L4694" i="2"/>
  <c r="K4694" i="2"/>
  <c r="J4694" i="2"/>
  <c r="H4694" i="2"/>
  <c r="I4694" i="2" s="1"/>
  <c r="K4693" i="2"/>
  <c r="J4693" i="2"/>
  <c r="I4693" i="2"/>
  <c r="L4693" i="2" s="1"/>
  <c r="H4693" i="2"/>
  <c r="L4692" i="2"/>
  <c r="K4692" i="2"/>
  <c r="J4692" i="2"/>
  <c r="H4692" i="2"/>
  <c r="I4692" i="2" s="1"/>
  <c r="K4691" i="2"/>
  <c r="J4691" i="2"/>
  <c r="I4691" i="2"/>
  <c r="L4691" i="2" s="1"/>
  <c r="H4691" i="2"/>
  <c r="K4690" i="2"/>
  <c r="J4690" i="2"/>
  <c r="I4690" i="2"/>
  <c r="L4690" i="2" s="1"/>
  <c r="H4690" i="2"/>
  <c r="K4689" i="2"/>
  <c r="J4689" i="2"/>
  <c r="I4689" i="2"/>
  <c r="L4689" i="2" s="1"/>
  <c r="H4689" i="2"/>
  <c r="K4688" i="2"/>
  <c r="J4688" i="2"/>
  <c r="H4688" i="2"/>
  <c r="I4688" i="2" s="1"/>
  <c r="L4688" i="2" s="1"/>
  <c r="K4687" i="2"/>
  <c r="J4687" i="2"/>
  <c r="I4687" i="2"/>
  <c r="L4687" i="2" s="1"/>
  <c r="H4687" i="2"/>
  <c r="L4686" i="2"/>
  <c r="K4686" i="2"/>
  <c r="J4686" i="2"/>
  <c r="H4686" i="2"/>
  <c r="I4686" i="2" s="1"/>
  <c r="K4685" i="2"/>
  <c r="J4685" i="2"/>
  <c r="I4685" i="2" s="1"/>
  <c r="L4685" i="2" s="1"/>
  <c r="H4685" i="2"/>
  <c r="K4684" i="2"/>
  <c r="J4684" i="2"/>
  <c r="H4684" i="2"/>
  <c r="K4683" i="2"/>
  <c r="J4683" i="2"/>
  <c r="H4683" i="2"/>
  <c r="K4682" i="2"/>
  <c r="J4682" i="2"/>
  <c r="H4682" i="2"/>
  <c r="I4682" i="2" s="1"/>
  <c r="L4682" i="2" s="1"/>
  <c r="L4681" i="2"/>
  <c r="K4681" i="2"/>
  <c r="J4681" i="2"/>
  <c r="I4681" i="2"/>
  <c r="H4681" i="2"/>
  <c r="L4680" i="2"/>
  <c r="K4680" i="2"/>
  <c r="J4680" i="2"/>
  <c r="I4680" i="2" s="1"/>
  <c r="H4680" i="2"/>
  <c r="K4679" i="2"/>
  <c r="J4679" i="2"/>
  <c r="I4679" i="2"/>
  <c r="L4679" i="2" s="1"/>
  <c r="H4679" i="2"/>
  <c r="K4678" i="2"/>
  <c r="J4678" i="2"/>
  <c r="I4678" i="2"/>
  <c r="L4678" i="2" s="1"/>
  <c r="H4678" i="2"/>
  <c r="K4677" i="2"/>
  <c r="J4677" i="2"/>
  <c r="I4677" i="2"/>
  <c r="L4677" i="2" s="1"/>
  <c r="H4677" i="2"/>
  <c r="K4676" i="2"/>
  <c r="J4676" i="2"/>
  <c r="H4676" i="2"/>
  <c r="I4676" i="2" s="1"/>
  <c r="L4676" i="2" s="1"/>
  <c r="L4675" i="2"/>
  <c r="K4675" i="2"/>
  <c r="J4675" i="2"/>
  <c r="I4675" i="2"/>
  <c r="H4675" i="2"/>
  <c r="K4674" i="2"/>
  <c r="J4674" i="2"/>
  <c r="H4674" i="2"/>
  <c r="I4674" i="2" s="1"/>
  <c r="L4674" i="2" s="1"/>
  <c r="K4673" i="2"/>
  <c r="J4673" i="2"/>
  <c r="H4673" i="2"/>
  <c r="I4673" i="2" s="1"/>
  <c r="L4673" i="2" s="1"/>
  <c r="L4672" i="2"/>
  <c r="K4672" i="2"/>
  <c r="J4672" i="2"/>
  <c r="I4672" i="2"/>
  <c r="H4672" i="2"/>
  <c r="K4671" i="2"/>
  <c r="J4671" i="2"/>
  <c r="I4671" i="2" s="1"/>
  <c r="L4671" i="2" s="1"/>
  <c r="H4671" i="2"/>
  <c r="K4670" i="2"/>
  <c r="J4670" i="2"/>
  <c r="H4670" i="2"/>
  <c r="L4669" i="2"/>
  <c r="K4669" i="2"/>
  <c r="J4669" i="2"/>
  <c r="H4669" i="2"/>
  <c r="I4669" i="2" s="1"/>
  <c r="K4668" i="2"/>
  <c r="J4668" i="2"/>
  <c r="H4668" i="2"/>
  <c r="I4668" i="2" s="1"/>
  <c r="L4668" i="2" s="1"/>
  <c r="K4667" i="2"/>
  <c r="J4667" i="2"/>
  <c r="H4667" i="2"/>
  <c r="I4667" i="2" s="1"/>
  <c r="L4667" i="2" s="1"/>
  <c r="L4666" i="2"/>
  <c r="K4666" i="2"/>
  <c r="J4666" i="2"/>
  <c r="I4666" i="2"/>
  <c r="H4666" i="2"/>
  <c r="K4665" i="2"/>
  <c r="J4665" i="2"/>
  <c r="I4665" i="2"/>
  <c r="L4665" i="2" s="1"/>
  <c r="H4665" i="2"/>
  <c r="K4664" i="2"/>
  <c r="J4664" i="2"/>
  <c r="H4664" i="2"/>
  <c r="I4664" i="2" s="1"/>
  <c r="L4664" i="2" s="1"/>
  <c r="L4663" i="2"/>
  <c r="K4663" i="2"/>
  <c r="J4663" i="2"/>
  <c r="I4663" i="2" s="1"/>
  <c r="H4663" i="2"/>
  <c r="K4662" i="2"/>
  <c r="J4662" i="2"/>
  <c r="I4662" i="2"/>
  <c r="L4662" i="2" s="1"/>
  <c r="H4662" i="2"/>
  <c r="K4661" i="2"/>
  <c r="J4661" i="2"/>
  <c r="H4661" i="2"/>
  <c r="I4661" i="2" s="1"/>
  <c r="L4661" i="2" s="1"/>
  <c r="L4660" i="2"/>
  <c r="K4660" i="2"/>
  <c r="J4660" i="2"/>
  <c r="H4660" i="2"/>
  <c r="I4660" i="2" s="1"/>
  <c r="K4659" i="2"/>
  <c r="J4659" i="2"/>
  <c r="H4659" i="2"/>
  <c r="K4658" i="2"/>
  <c r="J4658" i="2"/>
  <c r="H4658" i="2"/>
  <c r="L4657" i="2"/>
  <c r="K4657" i="2"/>
  <c r="J4657" i="2"/>
  <c r="I4657" i="2"/>
  <c r="H4657" i="2"/>
  <c r="K4656" i="2"/>
  <c r="J4656" i="2"/>
  <c r="I4656" i="2"/>
  <c r="L4656" i="2" s="1"/>
  <c r="H4656" i="2"/>
  <c r="K4655" i="2"/>
  <c r="J4655" i="2"/>
  <c r="I4655" i="2"/>
  <c r="L4655" i="2" s="1"/>
  <c r="H4655" i="2"/>
  <c r="K4654" i="2"/>
  <c r="J4654" i="2"/>
  <c r="I4654" i="2" s="1"/>
  <c r="L4654" i="2" s="1"/>
  <c r="H4654" i="2"/>
  <c r="K4653" i="2"/>
  <c r="J4653" i="2"/>
  <c r="I4653" i="2"/>
  <c r="L4653" i="2" s="1"/>
  <c r="H4653" i="2"/>
  <c r="K4652" i="2"/>
  <c r="J4652" i="2"/>
  <c r="I4652" i="2"/>
  <c r="L4652" i="2" s="1"/>
  <c r="H4652" i="2"/>
  <c r="K4651" i="2"/>
  <c r="J4651" i="2"/>
  <c r="I4651" i="2" s="1"/>
  <c r="L4651" i="2" s="1"/>
  <c r="H4651" i="2"/>
  <c r="K4650" i="2"/>
  <c r="J4650" i="2"/>
  <c r="H4650" i="2"/>
  <c r="K4649" i="2"/>
  <c r="J4649" i="2"/>
  <c r="I4649" i="2"/>
  <c r="L4649" i="2" s="1"/>
  <c r="H4649" i="2"/>
  <c r="K4648" i="2"/>
  <c r="J4648" i="2"/>
  <c r="I4648" i="2"/>
  <c r="L4648" i="2" s="1"/>
  <c r="H4648" i="2"/>
  <c r="K4647" i="2"/>
  <c r="J4647" i="2"/>
  <c r="H4647" i="2"/>
  <c r="I4647" i="2" s="1"/>
  <c r="L4647" i="2" s="1"/>
  <c r="L4646" i="2"/>
  <c r="K4646" i="2"/>
  <c r="J4646" i="2"/>
  <c r="H4646" i="2"/>
  <c r="I4646" i="2" s="1"/>
  <c r="K4645" i="2"/>
  <c r="J4645" i="2"/>
  <c r="H4645" i="2"/>
  <c r="I4645" i="2" s="1"/>
  <c r="L4645" i="2" s="1"/>
  <c r="K4644" i="2"/>
  <c r="J4644" i="2"/>
  <c r="H4644" i="2"/>
  <c r="I4644" i="2" s="1"/>
  <c r="L4644" i="2" s="1"/>
  <c r="K4643" i="2"/>
  <c r="J4643" i="2"/>
  <c r="H4643" i="2"/>
  <c r="I4643" i="2" s="1"/>
  <c r="L4643" i="2" s="1"/>
  <c r="K4642" i="2"/>
  <c r="J4642" i="2"/>
  <c r="I4642" i="2"/>
  <c r="L4642" i="2" s="1"/>
  <c r="H4642" i="2"/>
  <c r="K4641" i="2"/>
  <c r="J4641" i="2"/>
  <c r="I4641" i="2"/>
  <c r="L4641" i="2" s="1"/>
  <c r="H4641" i="2"/>
  <c r="K4640" i="2"/>
  <c r="J4640" i="2"/>
  <c r="H4640" i="2"/>
  <c r="K4639" i="2"/>
  <c r="J4639" i="2"/>
  <c r="I4639" i="2" s="1"/>
  <c r="L4639" i="2" s="1"/>
  <c r="H4639" i="2"/>
  <c r="K4638" i="2"/>
  <c r="J4638" i="2"/>
  <c r="H4638" i="2"/>
  <c r="I4638" i="2" s="1"/>
  <c r="L4638" i="2" s="1"/>
  <c r="K4637" i="2"/>
  <c r="J4637" i="2"/>
  <c r="I4637" i="2"/>
  <c r="L4637" i="2" s="1"/>
  <c r="H4637" i="2"/>
  <c r="K4636" i="2"/>
  <c r="J4636" i="2"/>
  <c r="H4636" i="2"/>
  <c r="I4636" i="2" s="1"/>
  <c r="L4636" i="2" s="1"/>
  <c r="K4635" i="2"/>
  <c r="J4635" i="2"/>
  <c r="I4635" i="2"/>
  <c r="L4635" i="2" s="1"/>
  <c r="H4635" i="2"/>
  <c r="K4634" i="2"/>
  <c r="J4634" i="2"/>
  <c r="H4634" i="2"/>
  <c r="K4633" i="2"/>
  <c r="J4633" i="2"/>
  <c r="H4633" i="2"/>
  <c r="K4632" i="2"/>
  <c r="J4632" i="2"/>
  <c r="I4632" i="2"/>
  <c r="L4632" i="2" s="1"/>
  <c r="H4632" i="2"/>
  <c r="K4631" i="2"/>
  <c r="J4631" i="2"/>
  <c r="I4631" i="2"/>
  <c r="L4631" i="2" s="1"/>
  <c r="H4631" i="2"/>
  <c r="K4630" i="2"/>
  <c r="J4630" i="2"/>
  <c r="H4630" i="2"/>
  <c r="I4630" i="2" s="1"/>
  <c r="L4630" i="2" s="1"/>
  <c r="K4629" i="2"/>
  <c r="J4629" i="2"/>
  <c r="H4629" i="2"/>
  <c r="I4629" i="2" s="1"/>
  <c r="L4629" i="2" s="1"/>
  <c r="K4628" i="2"/>
  <c r="J4628" i="2"/>
  <c r="H4628" i="2"/>
  <c r="I4628" i="2" s="1"/>
  <c r="L4628" i="2" s="1"/>
  <c r="K4627" i="2"/>
  <c r="J4627" i="2"/>
  <c r="I4627" i="2"/>
  <c r="L4627" i="2" s="1"/>
  <c r="H4627" i="2"/>
  <c r="L4626" i="2"/>
  <c r="K4626" i="2"/>
  <c r="J4626" i="2"/>
  <c r="I4626" i="2"/>
  <c r="H4626" i="2"/>
  <c r="K4625" i="2"/>
  <c r="J4625" i="2"/>
  <c r="H4625" i="2"/>
  <c r="I4625" i="2" s="1"/>
  <c r="L4625" i="2" s="1"/>
  <c r="K4624" i="2"/>
  <c r="J4624" i="2"/>
  <c r="I4624" i="2"/>
  <c r="L4624" i="2" s="1"/>
  <c r="H4624" i="2"/>
  <c r="L4623" i="2"/>
  <c r="K4623" i="2"/>
  <c r="J4623" i="2"/>
  <c r="I4623" i="2" s="1"/>
  <c r="H4623" i="2"/>
  <c r="K4622" i="2"/>
  <c r="J4622" i="2"/>
  <c r="H4622" i="2"/>
  <c r="I4622" i="2" s="1"/>
  <c r="L4622" i="2" s="1"/>
  <c r="K4621" i="2"/>
  <c r="J4621" i="2"/>
  <c r="H4621" i="2"/>
  <c r="I4621" i="2" s="1"/>
  <c r="L4621" i="2" s="1"/>
  <c r="L4620" i="2"/>
  <c r="K4620" i="2"/>
  <c r="J4620" i="2"/>
  <c r="H4620" i="2"/>
  <c r="I4620" i="2" s="1"/>
  <c r="K4619" i="2"/>
  <c r="J4619" i="2"/>
  <c r="I4619" i="2" s="1"/>
  <c r="L4619" i="2" s="1"/>
  <c r="H4619" i="2"/>
  <c r="L4618" i="2"/>
  <c r="K4618" i="2"/>
  <c r="J4618" i="2"/>
  <c r="I4618" i="2"/>
  <c r="H4618" i="2"/>
  <c r="K4617" i="2"/>
  <c r="J4617" i="2"/>
  <c r="H4617" i="2"/>
  <c r="I4617" i="2" s="1"/>
  <c r="L4617" i="2" s="1"/>
  <c r="K4616" i="2"/>
  <c r="J4616" i="2"/>
  <c r="H4616" i="2"/>
  <c r="L4615" i="2"/>
  <c r="K4615" i="2"/>
  <c r="J4615" i="2"/>
  <c r="I4615" i="2"/>
  <c r="H4615" i="2"/>
  <c r="K4614" i="2"/>
  <c r="J4614" i="2"/>
  <c r="H4614" i="2"/>
  <c r="I4614" i="2" s="1"/>
  <c r="L4614" i="2" s="1"/>
  <c r="K4613" i="2"/>
  <c r="J4613" i="2"/>
  <c r="I4613" i="2" s="1"/>
  <c r="L4613" i="2" s="1"/>
  <c r="H4613" i="2"/>
  <c r="L4612" i="2"/>
  <c r="K4612" i="2"/>
  <c r="J4612" i="2"/>
  <c r="I4612" i="2"/>
  <c r="H4612" i="2"/>
  <c r="K4611" i="2"/>
  <c r="J4611" i="2"/>
  <c r="H4611" i="2"/>
  <c r="K4610" i="2"/>
  <c r="J4610" i="2"/>
  <c r="H4610" i="2"/>
  <c r="K4609" i="2"/>
  <c r="J4609" i="2"/>
  <c r="I4609" i="2" s="1"/>
  <c r="L4609" i="2" s="1"/>
  <c r="H4609" i="2"/>
  <c r="K4608" i="2"/>
  <c r="J4608" i="2"/>
  <c r="I4608" i="2"/>
  <c r="L4608" i="2" s="1"/>
  <c r="H4608" i="2"/>
  <c r="K4607" i="2"/>
  <c r="J4607" i="2"/>
  <c r="H4607" i="2"/>
  <c r="I4607" i="2" s="1"/>
  <c r="L4607" i="2" s="1"/>
  <c r="L4606" i="2"/>
  <c r="K4606" i="2"/>
  <c r="J4606" i="2"/>
  <c r="H4606" i="2"/>
  <c r="I4606" i="2" s="1"/>
  <c r="K4605" i="2"/>
  <c r="J4605" i="2"/>
  <c r="I4605" i="2"/>
  <c r="L4605" i="2" s="1"/>
  <c r="H4605" i="2"/>
  <c r="K4604" i="2"/>
  <c r="J4604" i="2"/>
  <c r="H4604" i="2"/>
  <c r="I4604" i="2" s="1"/>
  <c r="L4604" i="2" s="1"/>
  <c r="L4603" i="2"/>
  <c r="K4603" i="2"/>
  <c r="J4603" i="2"/>
  <c r="I4603" i="2" s="1"/>
  <c r="H4603" i="2"/>
  <c r="K4602" i="2"/>
  <c r="J4602" i="2"/>
  <c r="H4602" i="2"/>
  <c r="I4602" i="2" s="1"/>
  <c r="L4602" i="2" s="1"/>
  <c r="K4601" i="2"/>
  <c r="J4601" i="2"/>
  <c r="H4601" i="2"/>
  <c r="K4600" i="2"/>
  <c r="J4600" i="2"/>
  <c r="H4600" i="2"/>
  <c r="K4599" i="2"/>
  <c r="J4599" i="2"/>
  <c r="H4599" i="2"/>
  <c r="I4599" i="2" s="1"/>
  <c r="L4599" i="2" s="1"/>
  <c r="K4598" i="2"/>
  <c r="J4598" i="2"/>
  <c r="H4598" i="2"/>
  <c r="K4597" i="2"/>
  <c r="J4597" i="2"/>
  <c r="H4597" i="2"/>
  <c r="I4597" i="2" s="1"/>
  <c r="L4597" i="2" s="1"/>
  <c r="K4596" i="2"/>
  <c r="J4596" i="2"/>
  <c r="H4596" i="2"/>
  <c r="I4596" i="2" s="1"/>
  <c r="L4596" i="2" s="1"/>
  <c r="K4595" i="2"/>
  <c r="J4595" i="2"/>
  <c r="I4595" i="2"/>
  <c r="L4595" i="2" s="1"/>
  <c r="H4595" i="2"/>
  <c r="K4594" i="2"/>
  <c r="J4594" i="2"/>
  <c r="I4594" i="2"/>
  <c r="L4594" i="2" s="1"/>
  <c r="H4594" i="2"/>
  <c r="K4593" i="2"/>
  <c r="J4593" i="2"/>
  <c r="I4593" i="2"/>
  <c r="L4593" i="2" s="1"/>
  <c r="H4593" i="2"/>
  <c r="K4592" i="2"/>
  <c r="J4592" i="2"/>
  <c r="H4592" i="2"/>
  <c r="I4592" i="2" s="1"/>
  <c r="L4592" i="2" s="1"/>
  <c r="K4591" i="2"/>
  <c r="J4591" i="2"/>
  <c r="I4591" i="2"/>
  <c r="L4591" i="2" s="1"/>
  <c r="H4591" i="2"/>
  <c r="K4590" i="2"/>
  <c r="J4590" i="2"/>
  <c r="H4590" i="2"/>
  <c r="K4589" i="2"/>
  <c r="J4589" i="2"/>
  <c r="H4589" i="2"/>
  <c r="I4589" i="2" s="1"/>
  <c r="L4589" i="2" s="1"/>
  <c r="K4588" i="2"/>
  <c r="J4588" i="2"/>
  <c r="H4588" i="2"/>
  <c r="I4588" i="2" s="1"/>
  <c r="L4588" i="2" s="1"/>
  <c r="K4587" i="2"/>
  <c r="J4587" i="2"/>
  <c r="H4587" i="2"/>
  <c r="L4586" i="2"/>
  <c r="K4586" i="2"/>
  <c r="J4586" i="2"/>
  <c r="I4586" i="2"/>
  <c r="H4586" i="2"/>
  <c r="K4585" i="2"/>
  <c r="J4585" i="2"/>
  <c r="I4585" i="2" s="1"/>
  <c r="L4585" i="2" s="1"/>
  <c r="H4585" i="2"/>
  <c r="L4584" i="2"/>
  <c r="K4584" i="2"/>
  <c r="J4584" i="2"/>
  <c r="I4584" i="2"/>
  <c r="H4584" i="2"/>
  <c r="K4583" i="2"/>
  <c r="J4583" i="2"/>
  <c r="H4583" i="2"/>
  <c r="K4582" i="2"/>
  <c r="J4582" i="2"/>
  <c r="H4582" i="2"/>
  <c r="K4581" i="2"/>
  <c r="J4581" i="2"/>
  <c r="H4581" i="2"/>
  <c r="I4581" i="2" s="1"/>
  <c r="L4581" i="2" s="1"/>
  <c r="K4580" i="2"/>
  <c r="J4580" i="2"/>
  <c r="H4580" i="2"/>
  <c r="I4580" i="2" s="1"/>
  <c r="L4580" i="2" s="1"/>
  <c r="K4579" i="2"/>
  <c r="J4579" i="2"/>
  <c r="I4579" i="2" s="1"/>
  <c r="L4579" i="2" s="1"/>
  <c r="H4579" i="2"/>
  <c r="K4578" i="2"/>
  <c r="J4578" i="2"/>
  <c r="I4578" i="2"/>
  <c r="L4578" i="2" s="1"/>
  <c r="H4578" i="2"/>
  <c r="K4577" i="2"/>
  <c r="J4577" i="2"/>
  <c r="H4577" i="2"/>
  <c r="L4576" i="2"/>
  <c r="K4576" i="2"/>
  <c r="J4576" i="2"/>
  <c r="I4576" i="2"/>
  <c r="H4576" i="2"/>
  <c r="L4575" i="2"/>
  <c r="K4575" i="2"/>
  <c r="J4575" i="2"/>
  <c r="I4575" i="2"/>
  <c r="H4575" i="2"/>
  <c r="K4574" i="2"/>
  <c r="J4574" i="2"/>
  <c r="H4574" i="2"/>
  <c r="L4573" i="2"/>
  <c r="K4573" i="2"/>
  <c r="J4573" i="2"/>
  <c r="H4573" i="2"/>
  <c r="I4573" i="2" s="1"/>
  <c r="L4572" i="2"/>
  <c r="K4572" i="2"/>
  <c r="J4572" i="2"/>
  <c r="H4572" i="2"/>
  <c r="I4572" i="2" s="1"/>
  <c r="K4571" i="2"/>
  <c r="J4571" i="2"/>
  <c r="I4571" i="2" s="1"/>
  <c r="L4571" i="2" s="1"/>
  <c r="H4571" i="2"/>
  <c r="K4570" i="2"/>
  <c r="J4570" i="2"/>
  <c r="H4570" i="2"/>
  <c r="I4570" i="2" s="1"/>
  <c r="L4570" i="2" s="1"/>
  <c r="L4569" i="2"/>
  <c r="K4569" i="2"/>
  <c r="J4569" i="2"/>
  <c r="H4569" i="2"/>
  <c r="I4569" i="2" s="1"/>
  <c r="K4568" i="2"/>
  <c r="J4568" i="2"/>
  <c r="H4568" i="2"/>
  <c r="I4568" i="2" s="1"/>
  <c r="L4568" i="2" s="1"/>
  <c r="K4567" i="2"/>
  <c r="J4567" i="2"/>
  <c r="I4567" i="2" s="1"/>
  <c r="L4567" i="2" s="1"/>
  <c r="H4567" i="2"/>
  <c r="L4566" i="2"/>
  <c r="K4566" i="2"/>
  <c r="J4566" i="2"/>
  <c r="I4566" i="2" s="1"/>
  <c r="H4566" i="2"/>
  <c r="K4565" i="2"/>
  <c r="J4565" i="2"/>
  <c r="I4565" i="2" s="1"/>
  <c r="L4565" i="2" s="1"/>
  <c r="H4565" i="2"/>
  <c r="K4564" i="2"/>
  <c r="J4564" i="2"/>
  <c r="I4564" i="2"/>
  <c r="L4564" i="2" s="1"/>
  <c r="H4564" i="2"/>
  <c r="L4563" i="2"/>
  <c r="K4563" i="2"/>
  <c r="J4563" i="2"/>
  <c r="I4563" i="2"/>
  <c r="H4563" i="2"/>
  <c r="K4562" i="2"/>
  <c r="J4562" i="2"/>
  <c r="H4562" i="2"/>
  <c r="K4561" i="2"/>
  <c r="J4561" i="2"/>
  <c r="I4561" i="2" s="1"/>
  <c r="L4561" i="2" s="1"/>
  <c r="H4561" i="2"/>
  <c r="K4560" i="2"/>
  <c r="J4560" i="2"/>
  <c r="H4560" i="2"/>
  <c r="I4560" i="2" s="1"/>
  <c r="L4560" i="2" s="1"/>
  <c r="K4559" i="2"/>
  <c r="J4559" i="2"/>
  <c r="I4559" i="2"/>
  <c r="L4559" i="2" s="1"/>
  <c r="H4559" i="2"/>
  <c r="L4558" i="2"/>
  <c r="K4558" i="2"/>
  <c r="J4558" i="2"/>
  <c r="H4558" i="2"/>
  <c r="I4558" i="2" s="1"/>
  <c r="K4557" i="2"/>
  <c r="J4557" i="2"/>
  <c r="I4557" i="2"/>
  <c r="L4557" i="2" s="1"/>
  <c r="H4557" i="2"/>
  <c r="L4556" i="2"/>
  <c r="K4556" i="2"/>
  <c r="J4556" i="2"/>
  <c r="I4556" i="2"/>
  <c r="H4556" i="2"/>
  <c r="K4555" i="2"/>
  <c r="J4555" i="2"/>
  <c r="I4555" i="2" s="1"/>
  <c r="L4555" i="2" s="1"/>
  <c r="H4555" i="2"/>
  <c r="K4554" i="2"/>
  <c r="J4554" i="2"/>
  <c r="H4554" i="2"/>
  <c r="I4554" i="2" s="1"/>
  <c r="L4554" i="2" s="1"/>
  <c r="K4553" i="2"/>
  <c r="J4553" i="2"/>
  <c r="H4553" i="2"/>
  <c r="I4553" i="2" s="1"/>
  <c r="L4553" i="2" s="1"/>
  <c r="K4552" i="2"/>
  <c r="J4552" i="2"/>
  <c r="H4552" i="2"/>
  <c r="I4552" i="2" s="1"/>
  <c r="L4552" i="2" s="1"/>
  <c r="L4551" i="2"/>
  <c r="K4551" i="2"/>
  <c r="J4551" i="2"/>
  <c r="I4551" i="2"/>
  <c r="H4551" i="2"/>
  <c r="L4550" i="2"/>
  <c r="K4550" i="2"/>
  <c r="J4550" i="2"/>
  <c r="I4550" i="2"/>
  <c r="H4550" i="2"/>
  <c r="K4549" i="2"/>
  <c r="J4549" i="2"/>
  <c r="I4549" i="2"/>
  <c r="L4549" i="2" s="1"/>
  <c r="H4549" i="2"/>
  <c r="K4548" i="2"/>
  <c r="J4548" i="2"/>
  <c r="I4548" i="2" s="1"/>
  <c r="L4548" i="2" s="1"/>
  <c r="H4548" i="2"/>
  <c r="K4547" i="2"/>
  <c r="J4547" i="2"/>
  <c r="I4547" i="2"/>
  <c r="L4547" i="2" s="1"/>
  <c r="H4547" i="2"/>
  <c r="K4546" i="2"/>
  <c r="J4546" i="2"/>
  <c r="H4546" i="2"/>
  <c r="L4545" i="2"/>
  <c r="K4545" i="2"/>
  <c r="J4545" i="2"/>
  <c r="I4545" i="2"/>
  <c r="H4545" i="2"/>
  <c r="L4544" i="2"/>
  <c r="K4544" i="2"/>
  <c r="J4544" i="2"/>
  <c r="I4544" i="2"/>
  <c r="H4544" i="2"/>
  <c r="K4543" i="2"/>
  <c r="J4543" i="2"/>
  <c r="I4543" i="2"/>
  <c r="L4543" i="2" s="1"/>
  <c r="H4543" i="2"/>
  <c r="K4542" i="2"/>
  <c r="J4542" i="2"/>
  <c r="I4542" i="2"/>
  <c r="L4542" i="2" s="1"/>
  <c r="H4542" i="2"/>
  <c r="K4541" i="2"/>
  <c r="J4541" i="2"/>
  <c r="I4541" i="2"/>
  <c r="L4541" i="2" s="1"/>
  <c r="H4541" i="2"/>
  <c r="K4540" i="2"/>
  <c r="J4540" i="2"/>
  <c r="I4540" i="2" s="1"/>
  <c r="L4540" i="2" s="1"/>
  <c r="H4540" i="2"/>
  <c r="K4539" i="2"/>
  <c r="J4539" i="2"/>
  <c r="I4539" i="2"/>
  <c r="L4539" i="2" s="1"/>
  <c r="H4539" i="2"/>
  <c r="K4538" i="2"/>
  <c r="J4538" i="2"/>
  <c r="H4538" i="2"/>
  <c r="K4537" i="2"/>
  <c r="J4537" i="2"/>
  <c r="H4537" i="2"/>
  <c r="I4537" i="2" s="1"/>
  <c r="L4537" i="2" s="1"/>
  <c r="K4536" i="2"/>
  <c r="J4536" i="2"/>
  <c r="I4536" i="2"/>
  <c r="L4536" i="2" s="1"/>
  <c r="H4536" i="2"/>
  <c r="K4535" i="2"/>
  <c r="J4535" i="2"/>
  <c r="I4535" i="2" s="1"/>
  <c r="L4535" i="2" s="1"/>
  <c r="H4535" i="2"/>
  <c r="K4534" i="2"/>
  <c r="J4534" i="2"/>
  <c r="H4534" i="2"/>
  <c r="I4534" i="2" s="1"/>
  <c r="L4534" i="2" s="1"/>
  <c r="K4533" i="2"/>
  <c r="J4533" i="2"/>
  <c r="I4533" i="2"/>
  <c r="L4533" i="2" s="1"/>
  <c r="H4533" i="2"/>
  <c r="L4532" i="2"/>
  <c r="K4532" i="2"/>
  <c r="J4532" i="2"/>
  <c r="I4532" i="2"/>
  <c r="H4532" i="2"/>
  <c r="K4531" i="2"/>
  <c r="J4531" i="2"/>
  <c r="I4531" i="2"/>
  <c r="L4531" i="2" s="1"/>
  <c r="H4531" i="2"/>
  <c r="L4530" i="2"/>
  <c r="K4530" i="2"/>
  <c r="J4530" i="2"/>
  <c r="I4530" i="2"/>
  <c r="H4530" i="2"/>
  <c r="L4529" i="2"/>
  <c r="K4529" i="2"/>
  <c r="J4529" i="2"/>
  <c r="I4529" i="2" s="1"/>
  <c r="H4529" i="2"/>
  <c r="K4528" i="2"/>
  <c r="J4528" i="2"/>
  <c r="H4528" i="2"/>
  <c r="I4528" i="2" s="1"/>
  <c r="L4528" i="2" s="1"/>
  <c r="L4527" i="2"/>
  <c r="K4527" i="2"/>
  <c r="J4527" i="2"/>
  <c r="I4527" i="2" s="1"/>
  <c r="H4527" i="2"/>
  <c r="K4526" i="2"/>
  <c r="J4526" i="2"/>
  <c r="H4526" i="2"/>
  <c r="I4526" i="2" s="1"/>
  <c r="L4526" i="2" s="1"/>
  <c r="K4525" i="2"/>
  <c r="J4525" i="2"/>
  <c r="H4525" i="2"/>
  <c r="I4525" i="2" s="1"/>
  <c r="L4525" i="2" s="1"/>
  <c r="K4524" i="2"/>
  <c r="J4524" i="2"/>
  <c r="I4524" i="2" s="1"/>
  <c r="L4524" i="2" s="1"/>
  <c r="H4524" i="2"/>
  <c r="K4523" i="2"/>
  <c r="J4523" i="2"/>
  <c r="H4523" i="2"/>
  <c r="I4523" i="2" s="1"/>
  <c r="L4523" i="2" s="1"/>
  <c r="L4522" i="2"/>
  <c r="K4522" i="2"/>
  <c r="J4522" i="2"/>
  <c r="I4522" i="2" s="1"/>
  <c r="H4522" i="2"/>
  <c r="L4521" i="2"/>
  <c r="K4521" i="2"/>
  <c r="J4521" i="2"/>
  <c r="H4521" i="2"/>
  <c r="I4521" i="2" s="1"/>
  <c r="K4520" i="2"/>
  <c r="J4520" i="2"/>
  <c r="H4520" i="2"/>
  <c r="I4520" i="2" s="1"/>
  <c r="L4520" i="2" s="1"/>
  <c r="L4519" i="2"/>
  <c r="K4519" i="2"/>
  <c r="J4519" i="2"/>
  <c r="I4519" i="2" s="1"/>
  <c r="H4519" i="2"/>
  <c r="L4518" i="2"/>
  <c r="K4518" i="2"/>
  <c r="J4518" i="2"/>
  <c r="I4518" i="2"/>
  <c r="H4518" i="2"/>
  <c r="K4517" i="2"/>
  <c r="J4517" i="2"/>
  <c r="I4517" i="2" s="1"/>
  <c r="L4517" i="2" s="1"/>
  <c r="H4517" i="2"/>
  <c r="K4516" i="2"/>
  <c r="J4516" i="2"/>
  <c r="I4516" i="2" s="1"/>
  <c r="L4516" i="2" s="1"/>
  <c r="H4516" i="2"/>
  <c r="K4515" i="2"/>
  <c r="J4515" i="2"/>
  <c r="I4515" i="2"/>
  <c r="L4515" i="2" s="1"/>
  <c r="H4515" i="2"/>
  <c r="K4514" i="2"/>
  <c r="J4514" i="2"/>
  <c r="H4514" i="2"/>
  <c r="L4513" i="2"/>
  <c r="K4513" i="2"/>
  <c r="J4513" i="2"/>
  <c r="H4513" i="2"/>
  <c r="I4513" i="2" s="1"/>
  <c r="K4512" i="2"/>
  <c r="J4512" i="2"/>
  <c r="H4512" i="2"/>
  <c r="I4512" i="2" s="1"/>
  <c r="L4512" i="2" s="1"/>
  <c r="K4511" i="2"/>
  <c r="J4511" i="2"/>
  <c r="H4511" i="2"/>
  <c r="I4511" i="2" s="1"/>
  <c r="L4511" i="2" s="1"/>
  <c r="K4510" i="2"/>
  <c r="J4510" i="2"/>
  <c r="H4510" i="2"/>
  <c r="K4509" i="2"/>
  <c r="J4509" i="2"/>
  <c r="H4509" i="2"/>
  <c r="I4509" i="2" s="1"/>
  <c r="L4509" i="2" s="1"/>
  <c r="K4508" i="2"/>
  <c r="J4508" i="2"/>
  <c r="H4508" i="2"/>
  <c r="I4508" i="2" s="1"/>
  <c r="L4508" i="2" s="1"/>
  <c r="L4507" i="2"/>
  <c r="K4507" i="2"/>
  <c r="J4507" i="2"/>
  <c r="I4507" i="2"/>
  <c r="H4507" i="2"/>
  <c r="K4506" i="2"/>
  <c r="J4506" i="2"/>
  <c r="I4506" i="2"/>
  <c r="L4506" i="2" s="1"/>
  <c r="H4506" i="2"/>
  <c r="K4505" i="2"/>
  <c r="J4505" i="2"/>
  <c r="H4505" i="2"/>
  <c r="I4505" i="2" s="1"/>
  <c r="L4505" i="2" s="1"/>
  <c r="K4504" i="2"/>
  <c r="J4504" i="2"/>
  <c r="H4504" i="2"/>
  <c r="I4504" i="2" s="1"/>
  <c r="L4504" i="2" s="1"/>
  <c r="K4503" i="2"/>
  <c r="J4503" i="2"/>
  <c r="I4503" i="2"/>
  <c r="L4503" i="2" s="1"/>
  <c r="H4503" i="2"/>
  <c r="K4502" i="2"/>
  <c r="J4502" i="2"/>
  <c r="I4502" i="2" s="1"/>
  <c r="L4502" i="2" s="1"/>
  <c r="H4502" i="2"/>
  <c r="K4501" i="2"/>
  <c r="J4501" i="2"/>
  <c r="I4501" i="2"/>
  <c r="L4501" i="2" s="1"/>
  <c r="H4501" i="2"/>
  <c r="K4500" i="2"/>
  <c r="J4500" i="2"/>
  <c r="H4500" i="2"/>
  <c r="I4500" i="2" s="1"/>
  <c r="L4500" i="2" s="1"/>
  <c r="K4499" i="2"/>
  <c r="J4499" i="2"/>
  <c r="H4499" i="2"/>
  <c r="I4499" i="2" s="1"/>
  <c r="L4499" i="2" s="1"/>
  <c r="L4498" i="2"/>
  <c r="K4498" i="2"/>
  <c r="J4498" i="2"/>
  <c r="I4498" i="2"/>
  <c r="H4498" i="2"/>
  <c r="K4497" i="2"/>
  <c r="J4497" i="2"/>
  <c r="H4497" i="2"/>
  <c r="I4497" i="2" s="1"/>
  <c r="L4497" i="2" s="1"/>
  <c r="K4496" i="2"/>
  <c r="J4496" i="2"/>
  <c r="H4496" i="2"/>
  <c r="I4496" i="2" s="1"/>
  <c r="L4496" i="2" s="1"/>
  <c r="K4495" i="2"/>
  <c r="J4495" i="2"/>
  <c r="H4495" i="2"/>
  <c r="K4494" i="2"/>
  <c r="J4494" i="2"/>
  <c r="I4494" i="2"/>
  <c r="L4494" i="2" s="1"/>
  <c r="H4494" i="2"/>
  <c r="K4493" i="2"/>
  <c r="J4493" i="2"/>
  <c r="I4493" i="2"/>
  <c r="L4493" i="2" s="1"/>
  <c r="H4493" i="2"/>
  <c r="K4492" i="2"/>
  <c r="J4492" i="2"/>
  <c r="H4492" i="2"/>
  <c r="I4492" i="2" s="1"/>
  <c r="L4492" i="2" s="1"/>
  <c r="K4491" i="2"/>
  <c r="J4491" i="2"/>
  <c r="I4491" i="2"/>
  <c r="L4491" i="2" s="1"/>
  <c r="H4491" i="2"/>
  <c r="K4490" i="2"/>
  <c r="J4490" i="2"/>
  <c r="I4490" i="2" s="1"/>
  <c r="L4490" i="2" s="1"/>
  <c r="H4490" i="2"/>
  <c r="K4489" i="2"/>
  <c r="J4489" i="2"/>
  <c r="I4489" i="2"/>
  <c r="L4489" i="2" s="1"/>
  <c r="H4489" i="2"/>
  <c r="K4488" i="2"/>
  <c r="J4488" i="2"/>
  <c r="H4488" i="2"/>
  <c r="K4487" i="2"/>
  <c r="J4487" i="2"/>
  <c r="I4487" i="2"/>
  <c r="L4487" i="2" s="1"/>
  <c r="H4487" i="2"/>
  <c r="L4486" i="2"/>
  <c r="K4486" i="2"/>
  <c r="J4486" i="2"/>
  <c r="I4486" i="2"/>
  <c r="H4486" i="2"/>
  <c r="K4485" i="2"/>
  <c r="J4485" i="2"/>
  <c r="H4485" i="2"/>
  <c r="K4484" i="2"/>
  <c r="J4484" i="2"/>
  <c r="I4484" i="2"/>
  <c r="L4484" i="2" s="1"/>
  <c r="H4484" i="2"/>
  <c r="L4483" i="2"/>
  <c r="K4483" i="2"/>
  <c r="J4483" i="2"/>
  <c r="I4483" i="2"/>
  <c r="H4483" i="2"/>
  <c r="K4482" i="2"/>
  <c r="J4482" i="2"/>
  <c r="H4482" i="2"/>
  <c r="I4482" i="2" s="1"/>
  <c r="L4482" i="2" s="1"/>
  <c r="K4481" i="2"/>
  <c r="J4481" i="2"/>
  <c r="I4481" i="2"/>
  <c r="L4481" i="2" s="1"/>
  <c r="H4481" i="2"/>
  <c r="L4480" i="2"/>
  <c r="K4480" i="2"/>
  <c r="J4480" i="2"/>
  <c r="I4480" i="2"/>
  <c r="H4480" i="2"/>
  <c r="K4479" i="2"/>
  <c r="J4479" i="2"/>
  <c r="H4479" i="2"/>
  <c r="I4479" i="2" s="1"/>
  <c r="L4479" i="2" s="1"/>
  <c r="K4478" i="2"/>
  <c r="J4478" i="2"/>
  <c r="I4478" i="2" s="1"/>
  <c r="L4478" i="2" s="1"/>
  <c r="H4478" i="2"/>
  <c r="L4477" i="2"/>
  <c r="K4477" i="2"/>
  <c r="J4477" i="2"/>
  <c r="I4477" i="2"/>
  <c r="H4477" i="2"/>
  <c r="K4476" i="2"/>
  <c r="J4476" i="2"/>
  <c r="H4476" i="2"/>
  <c r="I4476" i="2" s="1"/>
  <c r="L4476" i="2" s="1"/>
  <c r="L4475" i="2"/>
  <c r="K4475" i="2"/>
  <c r="J4475" i="2"/>
  <c r="I4475" i="2" s="1"/>
  <c r="H4475" i="2"/>
  <c r="K4474" i="2"/>
  <c r="J4474" i="2"/>
  <c r="H4474" i="2"/>
  <c r="I4474" i="2" s="1"/>
  <c r="L4474" i="2" s="1"/>
  <c r="K4473" i="2"/>
  <c r="J4473" i="2"/>
  <c r="H4473" i="2"/>
  <c r="I4473" i="2" s="1"/>
  <c r="L4473" i="2" s="1"/>
  <c r="L4472" i="2"/>
  <c r="K4472" i="2"/>
  <c r="J4472" i="2"/>
  <c r="I4472" i="2"/>
  <c r="H4472" i="2"/>
  <c r="K4471" i="2"/>
  <c r="J4471" i="2"/>
  <c r="I4471" i="2" s="1"/>
  <c r="L4471" i="2" s="1"/>
  <c r="H4471" i="2"/>
  <c r="K4470" i="2"/>
  <c r="J4470" i="2"/>
  <c r="H4470" i="2"/>
  <c r="I4470" i="2" s="1"/>
  <c r="L4470" i="2" s="1"/>
  <c r="K4469" i="2"/>
  <c r="J4469" i="2"/>
  <c r="H4469" i="2"/>
  <c r="I4469" i="2" s="1"/>
  <c r="L4469" i="2" s="1"/>
  <c r="K4468" i="2"/>
  <c r="J4468" i="2"/>
  <c r="I4468" i="2"/>
  <c r="L4468" i="2" s="1"/>
  <c r="H4468" i="2"/>
  <c r="L4467" i="2"/>
  <c r="K4467" i="2"/>
  <c r="J4467" i="2"/>
  <c r="I4467" i="2"/>
  <c r="H4467" i="2"/>
  <c r="L4466" i="2"/>
  <c r="K4466" i="2"/>
  <c r="J4466" i="2"/>
  <c r="I4466" i="2"/>
  <c r="H4466" i="2"/>
  <c r="L4465" i="2"/>
  <c r="K4465" i="2"/>
  <c r="J4465" i="2"/>
  <c r="I4465" i="2"/>
  <c r="H4465" i="2"/>
  <c r="K4464" i="2"/>
  <c r="J4464" i="2"/>
  <c r="I4464" i="2"/>
  <c r="L4464" i="2" s="1"/>
  <c r="H4464" i="2"/>
  <c r="K4463" i="2"/>
  <c r="J4463" i="2"/>
  <c r="I4463" i="2"/>
  <c r="L4463" i="2" s="1"/>
  <c r="H4463" i="2"/>
  <c r="L4462" i="2"/>
  <c r="K4462" i="2"/>
  <c r="J4462" i="2"/>
  <c r="H4462" i="2"/>
  <c r="I4462" i="2" s="1"/>
  <c r="K4461" i="2"/>
  <c r="J4461" i="2"/>
  <c r="H4461" i="2"/>
  <c r="K4460" i="2"/>
  <c r="J4460" i="2"/>
  <c r="H4460" i="2"/>
  <c r="I4460" i="2" s="1"/>
  <c r="L4460" i="2" s="1"/>
  <c r="K4459" i="2"/>
  <c r="J4459" i="2"/>
  <c r="I4459" i="2" s="1"/>
  <c r="L4459" i="2" s="1"/>
  <c r="H4459" i="2"/>
  <c r="K4458" i="2"/>
  <c r="J4458" i="2"/>
  <c r="H4458" i="2"/>
  <c r="K4457" i="2"/>
  <c r="J4457" i="2"/>
  <c r="I4457" i="2" s="1"/>
  <c r="L4457" i="2" s="1"/>
  <c r="H4457" i="2"/>
  <c r="L4456" i="2"/>
  <c r="K4456" i="2"/>
  <c r="J4456" i="2"/>
  <c r="H4456" i="2"/>
  <c r="I4456" i="2" s="1"/>
  <c r="K4455" i="2"/>
  <c r="J4455" i="2"/>
  <c r="I4455" i="2"/>
  <c r="L4455" i="2" s="1"/>
  <c r="H4455" i="2"/>
  <c r="K4454" i="2"/>
  <c r="J4454" i="2"/>
  <c r="I4454" i="2"/>
  <c r="L4454" i="2" s="1"/>
  <c r="H4454" i="2"/>
  <c r="L4453" i="2"/>
  <c r="K4453" i="2"/>
  <c r="J4453" i="2"/>
  <c r="I4453" i="2" s="1"/>
  <c r="H4453" i="2"/>
  <c r="L4452" i="2"/>
  <c r="K4452" i="2"/>
  <c r="J4452" i="2"/>
  <c r="H4452" i="2"/>
  <c r="I4452" i="2" s="1"/>
  <c r="K4451" i="2"/>
  <c r="J4451" i="2"/>
  <c r="I4451" i="2"/>
  <c r="L4451" i="2" s="1"/>
  <c r="H4451" i="2"/>
  <c r="L4450" i="2"/>
  <c r="K4450" i="2"/>
  <c r="J4450" i="2"/>
  <c r="I4450" i="2"/>
  <c r="H4450" i="2"/>
  <c r="K4449" i="2"/>
  <c r="J4449" i="2"/>
  <c r="H4449" i="2"/>
  <c r="L4448" i="2"/>
  <c r="K4448" i="2"/>
  <c r="J4448" i="2"/>
  <c r="I4448" i="2"/>
  <c r="H4448" i="2"/>
  <c r="K4447" i="2"/>
  <c r="J4447" i="2"/>
  <c r="H4447" i="2"/>
  <c r="K4446" i="2"/>
  <c r="J4446" i="2"/>
  <c r="H4446" i="2"/>
  <c r="I4446" i="2" s="1"/>
  <c r="L4446" i="2" s="1"/>
  <c r="L4445" i="2"/>
  <c r="K4445" i="2"/>
  <c r="J4445" i="2"/>
  <c r="H4445" i="2"/>
  <c r="I4445" i="2" s="1"/>
  <c r="K4444" i="2"/>
  <c r="J4444" i="2"/>
  <c r="I4444" i="2"/>
  <c r="L4444" i="2" s="1"/>
  <c r="H4444" i="2"/>
  <c r="K4443" i="2"/>
  <c r="J4443" i="2"/>
  <c r="I4443" i="2" s="1"/>
  <c r="L4443" i="2" s="1"/>
  <c r="H4443" i="2"/>
  <c r="L4442" i="2"/>
  <c r="K4442" i="2"/>
  <c r="J4442" i="2"/>
  <c r="I4442" i="2" s="1"/>
  <c r="H4442" i="2"/>
  <c r="L4441" i="2"/>
  <c r="K4441" i="2"/>
  <c r="J4441" i="2"/>
  <c r="I4441" i="2"/>
  <c r="H4441" i="2"/>
  <c r="L4440" i="2"/>
  <c r="K4440" i="2"/>
  <c r="J4440" i="2"/>
  <c r="I4440" i="2"/>
  <c r="H4440" i="2"/>
  <c r="K4439" i="2"/>
  <c r="J4439" i="2"/>
  <c r="I4439" i="2" s="1"/>
  <c r="L4439" i="2" s="1"/>
  <c r="H4439" i="2"/>
  <c r="K4438" i="2"/>
  <c r="J4438" i="2"/>
  <c r="H4438" i="2"/>
  <c r="I4438" i="2" s="1"/>
  <c r="L4438" i="2" s="1"/>
  <c r="L4437" i="2"/>
  <c r="K4437" i="2"/>
  <c r="J4437" i="2"/>
  <c r="H4437" i="2"/>
  <c r="I4437" i="2" s="1"/>
  <c r="K4436" i="2"/>
  <c r="J4436" i="2"/>
  <c r="H4436" i="2"/>
  <c r="K4435" i="2"/>
  <c r="J4435" i="2"/>
  <c r="H4435" i="2"/>
  <c r="I4435" i="2" s="1"/>
  <c r="L4435" i="2" s="1"/>
  <c r="K4434" i="2"/>
  <c r="J4434" i="2"/>
  <c r="H4434" i="2"/>
  <c r="I4434" i="2" s="1"/>
  <c r="L4434" i="2" s="1"/>
  <c r="L4433" i="2"/>
  <c r="K4433" i="2"/>
  <c r="J4433" i="2"/>
  <c r="I4433" i="2"/>
  <c r="H4433" i="2"/>
  <c r="L4432" i="2"/>
  <c r="K4432" i="2"/>
  <c r="J4432" i="2"/>
  <c r="I4432" i="2"/>
  <c r="H4432" i="2"/>
  <c r="L4431" i="2"/>
  <c r="K4431" i="2"/>
  <c r="J4431" i="2"/>
  <c r="I4431" i="2"/>
  <c r="H4431" i="2"/>
  <c r="K4430" i="2"/>
  <c r="J4430" i="2"/>
  <c r="I4430" i="2" s="1"/>
  <c r="L4430" i="2" s="1"/>
  <c r="H4430" i="2"/>
  <c r="K4429" i="2"/>
  <c r="J4429" i="2"/>
  <c r="H4429" i="2"/>
  <c r="I4429" i="2" s="1"/>
  <c r="L4429" i="2" s="1"/>
  <c r="K4428" i="2"/>
  <c r="J4428" i="2"/>
  <c r="H4428" i="2"/>
  <c r="K4427" i="2"/>
  <c r="J4427" i="2"/>
  <c r="H4427" i="2"/>
  <c r="I4427" i="2" s="1"/>
  <c r="L4427" i="2" s="1"/>
  <c r="K4426" i="2"/>
  <c r="J4426" i="2"/>
  <c r="H4426" i="2"/>
  <c r="I4426" i="2" s="1"/>
  <c r="L4426" i="2" s="1"/>
  <c r="L4425" i="2"/>
  <c r="K4425" i="2"/>
  <c r="J4425" i="2"/>
  <c r="H4425" i="2"/>
  <c r="I4425" i="2" s="1"/>
  <c r="K4424" i="2"/>
  <c r="J4424" i="2"/>
  <c r="I4424" i="2" s="1"/>
  <c r="L4424" i="2" s="1"/>
  <c r="H4424" i="2"/>
  <c r="K4423" i="2"/>
  <c r="J4423" i="2"/>
  <c r="I4423" i="2" s="1"/>
  <c r="L4423" i="2" s="1"/>
  <c r="H4423" i="2"/>
  <c r="K4422" i="2"/>
  <c r="J4422" i="2"/>
  <c r="H4422" i="2"/>
  <c r="I4422" i="2" s="1"/>
  <c r="L4422" i="2" s="1"/>
  <c r="K4421" i="2"/>
  <c r="J4421" i="2"/>
  <c r="I4421" i="2"/>
  <c r="L4421" i="2" s="1"/>
  <c r="H4421" i="2"/>
  <c r="K4420" i="2"/>
  <c r="J4420" i="2"/>
  <c r="I4420" i="2"/>
  <c r="L4420" i="2" s="1"/>
  <c r="H4420" i="2"/>
  <c r="K4419" i="2"/>
  <c r="J4419" i="2"/>
  <c r="H4419" i="2"/>
  <c r="I4419" i="2" s="1"/>
  <c r="L4419" i="2" s="1"/>
  <c r="K4418" i="2"/>
  <c r="J4418" i="2"/>
  <c r="I4418" i="2"/>
  <c r="L4418" i="2" s="1"/>
  <c r="H4418" i="2"/>
  <c r="K4417" i="2"/>
  <c r="J4417" i="2"/>
  <c r="H4417" i="2"/>
  <c r="I4417" i="2" s="1"/>
  <c r="L4417" i="2" s="1"/>
  <c r="L4416" i="2"/>
  <c r="K4416" i="2"/>
  <c r="J4416" i="2"/>
  <c r="I4416" i="2" s="1"/>
  <c r="H4416" i="2"/>
  <c r="K4415" i="2"/>
  <c r="J4415" i="2"/>
  <c r="I4415" i="2" s="1"/>
  <c r="L4415" i="2" s="1"/>
  <c r="H4415" i="2"/>
  <c r="K4414" i="2"/>
  <c r="J4414" i="2"/>
  <c r="I4414" i="2"/>
  <c r="L4414" i="2" s="1"/>
  <c r="H4414" i="2"/>
  <c r="K4413" i="2"/>
  <c r="J4413" i="2"/>
  <c r="H4413" i="2"/>
  <c r="I4413" i="2" s="1"/>
  <c r="L4413" i="2" s="1"/>
  <c r="L4412" i="2"/>
  <c r="K4412" i="2"/>
  <c r="J4412" i="2"/>
  <c r="I4412" i="2"/>
  <c r="H4412" i="2"/>
  <c r="L4411" i="2"/>
  <c r="K4411" i="2"/>
  <c r="J4411" i="2"/>
  <c r="I4411" i="2"/>
  <c r="H4411" i="2"/>
  <c r="K4410" i="2"/>
  <c r="J4410" i="2"/>
  <c r="H4410" i="2"/>
  <c r="I4410" i="2" s="1"/>
  <c r="L4410" i="2" s="1"/>
  <c r="K4409" i="2"/>
  <c r="J4409" i="2"/>
  <c r="I4409" i="2"/>
  <c r="L4409" i="2" s="1"/>
  <c r="H4409" i="2"/>
  <c r="L4408" i="2"/>
  <c r="K4408" i="2"/>
  <c r="J4408" i="2"/>
  <c r="I4408" i="2"/>
  <c r="H4408" i="2"/>
  <c r="K4407" i="2"/>
  <c r="J4407" i="2"/>
  <c r="H4407" i="2"/>
  <c r="I4407" i="2" s="1"/>
  <c r="L4407" i="2" s="1"/>
  <c r="K4406" i="2"/>
  <c r="J4406" i="2"/>
  <c r="I4406" i="2"/>
  <c r="L4406" i="2" s="1"/>
  <c r="H4406" i="2"/>
  <c r="K4405" i="2"/>
  <c r="J4405" i="2"/>
  <c r="I4405" i="2"/>
  <c r="L4405" i="2" s="1"/>
  <c r="H4405" i="2"/>
  <c r="K4404" i="2"/>
  <c r="J4404" i="2"/>
  <c r="I4404" i="2"/>
  <c r="L4404" i="2" s="1"/>
  <c r="H4404" i="2"/>
  <c r="L4403" i="2"/>
  <c r="K4403" i="2"/>
  <c r="J4403" i="2"/>
  <c r="I4403" i="2"/>
  <c r="H4403" i="2"/>
  <c r="K4402" i="2"/>
  <c r="J4402" i="2"/>
  <c r="I4402" i="2"/>
  <c r="L4402" i="2" s="1"/>
  <c r="H4402" i="2"/>
  <c r="L4401" i="2"/>
  <c r="K4401" i="2"/>
  <c r="J4401" i="2"/>
  <c r="H4401" i="2"/>
  <c r="I4401" i="2" s="1"/>
  <c r="K4400" i="2"/>
  <c r="J4400" i="2"/>
  <c r="I4400" i="2" s="1"/>
  <c r="L4400" i="2" s="1"/>
  <c r="H4400" i="2"/>
  <c r="K4399" i="2"/>
  <c r="J4399" i="2"/>
  <c r="I4399" i="2" s="1"/>
  <c r="L4399" i="2" s="1"/>
  <c r="H4399" i="2"/>
  <c r="K4398" i="2"/>
  <c r="J4398" i="2"/>
  <c r="I4398" i="2" s="1"/>
  <c r="L4398" i="2" s="1"/>
  <c r="H4398" i="2"/>
  <c r="K4397" i="2"/>
  <c r="J4397" i="2"/>
  <c r="H4397" i="2"/>
  <c r="I4397" i="2" s="1"/>
  <c r="L4397" i="2" s="1"/>
  <c r="K4396" i="2"/>
  <c r="J4396" i="2"/>
  <c r="I4396" i="2"/>
  <c r="L4396" i="2" s="1"/>
  <c r="H4396" i="2"/>
  <c r="L4395" i="2"/>
  <c r="K4395" i="2"/>
  <c r="J4395" i="2"/>
  <c r="I4395" i="2"/>
  <c r="H4395" i="2"/>
  <c r="K4394" i="2"/>
  <c r="J4394" i="2"/>
  <c r="I4394" i="2" s="1"/>
  <c r="L4394" i="2" s="1"/>
  <c r="H4394" i="2"/>
  <c r="K4393" i="2"/>
  <c r="J4393" i="2"/>
  <c r="I4393" i="2"/>
  <c r="L4393" i="2" s="1"/>
  <c r="H4393" i="2"/>
  <c r="K4392" i="2"/>
  <c r="J4392" i="2"/>
  <c r="H4392" i="2"/>
  <c r="I4392" i="2" s="1"/>
  <c r="L4392" i="2" s="1"/>
  <c r="K4391" i="2"/>
  <c r="J4391" i="2"/>
  <c r="I4391" i="2"/>
  <c r="L4391" i="2" s="1"/>
  <c r="H4391" i="2"/>
  <c r="L4390" i="2"/>
  <c r="K4390" i="2"/>
  <c r="J4390" i="2"/>
  <c r="I4390" i="2"/>
  <c r="H4390" i="2"/>
  <c r="K4389" i="2"/>
  <c r="J4389" i="2"/>
  <c r="H4389" i="2"/>
  <c r="K4388" i="2"/>
  <c r="J4388" i="2"/>
  <c r="I4388" i="2"/>
  <c r="L4388" i="2" s="1"/>
  <c r="H4388" i="2"/>
  <c r="K4387" i="2"/>
  <c r="J4387" i="2"/>
  <c r="H4387" i="2"/>
  <c r="I4387" i="2" s="1"/>
  <c r="L4387" i="2" s="1"/>
  <c r="K4386" i="2"/>
  <c r="J4386" i="2"/>
  <c r="I4386" i="2" s="1"/>
  <c r="L4386" i="2" s="1"/>
  <c r="H4386" i="2"/>
  <c r="K4385" i="2"/>
  <c r="J4385" i="2"/>
  <c r="I4385" i="2" s="1"/>
  <c r="L4385" i="2" s="1"/>
  <c r="H4385" i="2"/>
  <c r="K4384" i="2"/>
  <c r="J4384" i="2"/>
  <c r="H4384" i="2"/>
  <c r="I4384" i="2" s="1"/>
  <c r="L4384" i="2" s="1"/>
  <c r="K4383" i="2"/>
  <c r="J4383" i="2"/>
  <c r="H4383" i="2"/>
  <c r="K4382" i="2"/>
  <c r="J4382" i="2"/>
  <c r="I4382" i="2"/>
  <c r="L4382" i="2" s="1"/>
  <c r="H4382" i="2"/>
  <c r="K4381" i="2"/>
  <c r="J4381" i="2"/>
  <c r="H4381" i="2"/>
  <c r="I4381" i="2" s="1"/>
  <c r="L4381" i="2" s="1"/>
  <c r="K4380" i="2"/>
  <c r="J4380" i="2"/>
  <c r="I4380" i="2" s="1"/>
  <c r="L4380" i="2" s="1"/>
  <c r="H4380" i="2"/>
  <c r="K4379" i="2"/>
  <c r="J4379" i="2"/>
  <c r="H4379" i="2"/>
  <c r="I4379" i="2" s="1"/>
  <c r="L4379" i="2" s="1"/>
  <c r="L4378" i="2"/>
  <c r="K4378" i="2"/>
  <c r="J4378" i="2"/>
  <c r="H4378" i="2"/>
  <c r="I4378" i="2" s="1"/>
  <c r="K4377" i="2"/>
  <c r="J4377" i="2"/>
  <c r="H4377" i="2"/>
  <c r="I4377" i="2" s="1"/>
  <c r="L4377" i="2" s="1"/>
  <c r="K4376" i="2"/>
  <c r="J4376" i="2"/>
  <c r="I4376" i="2" s="1"/>
  <c r="L4376" i="2" s="1"/>
  <c r="H4376" i="2"/>
  <c r="L4375" i="2"/>
  <c r="K4375" i="2"/>
  <c r="J4375" i="2"/>
  <c r="I4375" i="2"/>
  <c r="H4375" i="2"/>
  <c r="K4374" i="2"/>
  <c r="J4374" i="2"/>
  <c r="I4374" i="2"/>
  <c r="L4374" i="2" s="1"/>
  <c r="H4374" i="2"/>
  <c r="K4373" i="2"/>
  <c r="J4373" i="2"/>
  <c r="I4373" i="2"/>
  <c r="L4373" i="2" s="1"/>
  <c r="H4373" i="2"/>
  <c r="K4372" i="2"/>
  <c r="J4372" i="2"/>
  <c r="H4372" i="2"/>
  <c r="I4372" i="2" s="1"/>
  <c r="L4372" i="2" s="1"/>
  <c r="K4371" i="2"/>
  <c r="J4371" i="2"/>
  <c r="H4371" i="2"/>
  <c r="I4371" i="2" s="1"/>
  <c r="L4371" i="2" s="1"/>
  <c r="L4370" i="2"/>
  <c r="K4370" i="2"/>
  <c r="J4370" i="2"/>
  <c r="I4370" i="2" s="1"/>
  <c r="H4370" i="2"/>
  <c r="L4369" i="2"/>
  <c r="K4369" i="2"/>
  <c r="J4369" i="2"/>
  <c r="I4369" i="2"/>
  <c r="H4369" i="2"/>
  <c r="K4368" i="2"/>
  <c r="J4368" i="2"/>
  <c r="I4368" i="2"/>
  <c r="L4368" i="2" s="1"/>
  <c r="H4368" i="2"/>
  <c r="K4367" i="2"/>
  <c r="J4367" i="2"/>
  <c r="I4367" i="2"/>
  <c r="L4367" i="2" s="1"/>
  <c r="H4367" i="2"/>
  <c r="L4366" i="2"/>
  <c r="K4366" i="2"/>
  <c r="J4366" i="2"/>
  <c r="I4366" i="2"/>
  <c r="H4366" i="2"/>
  <c r="K4365" i="2"/>
  <c r="J4365" i="2"/>
  <c r="H4365" i="2"/>
  <c r="K4364" i="2"/>
  <c r="J4364" i="2"/>
  <c r="I4364" i="2"/>
  <c r="L4364" i="2" s="1"/>
  <c r="H4364" i="2"/>
  <c r="K4363" i="2"/>
  <c r="J4363" i="2"/>
  <c r="I4363" i="2"/>
  <c r="L4363" i="2" s="1"/>
  <c r="H4363" i="2"/>
  <c r="K4362" i="2"/>
  <c r="J4362" i="2"/>
  <c r="I4362" i="2"/>
  <c r="L4362" i="2" s="1"/>
  <c r="H4362" i="2"/>
  <c r="K4361" i="2"/>
  <c r="J4361" i="2"/>
  <c r="H4361" i="2"/>
  <c r="I4361" i="2" s="1"/>
  <c r="L4361" i="2" s="1"/>
  <c r="L4360" i="2"/>
  <c r="K4360" i="2"/>
  <c r="J4360" i="2"/>
  <c r="I4360" i="2"/>
  <c r="H4360" i="2"/>
  <c r="L4359" i="2"/>
  <c r="K4359" i="2"/>
  <c r="J4359" i="2"/>
  <c r="H4359" i="2"/>
  <c r="I4359" i="2" s="1"/>
  <c r="K4358" i="2"/>
  <c r="J4358" i="2"/>
  <c r="I4358" i="2"/>
  <c r="L4358" i="2" s="1"/>
  <c r="H4358" i="2"/>
  <c r="K4357" i="2"/>
  <c r="J4357" i="2"/>
  <c r="I4357" i="2"/>
  <c r="L4357" i="2" s="1"/>
  <c r="H4357" i="2"/>
  <c r="K4356" i="2"/>
  <c r="J4356" i="2"/>
  <c r="H4356" i="2"/>
  <c r="K4355" i="2"/>
  <c r="J4355" i="2"/>
  <c r="H4355" i="2"/>
  <c r="I4355" i="2" s="1"/>
  <c r="L4355" i="2" s="1"/>
  <c r="L4354" i="2"/>
  <c r="K4354" i="2"/>
  <c r="J4354" i="2"/>
  <c r="H4354" i="2"/>
  <c r="I4354" i="2" s="1"/>
  <c r="K4353" i="2"/>
  <c r="J4353" i="2"/>
  <c r="H4353" i="2"/>
  <c r="K4352" i="2"/>
  <c r="J4352" i="2"/>
  <c r="H4352" i="2"/>
  <c r="I4352" i="2" s="1"/>
  <c r="L4352" i="2" s="1"/>
  <c r="L4351" i="2"/>
  <c r="K4351" i="2"/>
  <c r="J4351" i="2"/>
  <c r="I4351" i="2" s="1"/>
  <c r="H4351" i="2"/>
  <c r="K4350" i="2"/>
  <c r="J4350" i="2"/>
  <c r="I4350" i="2"/>
  <c r="L4350" i="2" s="1"/>
  <c r="H4350" i="2"/>
  <c r="K4349" i="2"/>
  <c r="J4349" i="2"/>
  <c r="I4349" i="2"/>
  <c r="L4349" i="2" s="1"/>
  <c r="H4349" i="2"/>
  <c r="K4348" i="2"/>
  <c r="J4348" i="2"/>
  <c r="I4348" i="2"/>
  <c r="L4348" i="2" s="1"/>
  <c r="H4348" i="2"/>
  <c r="L4347" i="2"/>
  <c r="K4347" i="2"/>
  <c r="J4347" i="2"/>
  <c r="I4347" i="2" s="1"/>
  <c r="H4347" i="2"/>
  <c r="K4346" i="2"/>
  <c r="J4346" i="2"/>
  <c r="I4346" i="2" s="1"/>
  <c r="L4346" i="2" s="1"/>
  <c r="H4346" i="2"/>
  <c r="K4345" i="2"/>
  <c r="J4345" i="2"/>
  <c r="H4345" i="2"/>
  <c r="K4344" i="2"/>
  <c r="J4344" i="2"/>
  <c r="H4344" i="2"/>
  <c r="K4343" i="2"/>
  <c r="J4343" i="2"/>
  <c r="I4343" i="2"/>
  <c r="L4343" i="2" s="1"/>
  <c r="H4343" i="2"/>
  <c r="K4342" i="2"/>
  <c r="J4342" i="2"/>
  <c r="I4342" i="2" s="1"/>
  <c r="L4342" i="2" s="1"/>
  <c r="H4342" i="2"/>
  <c r="K4341" i="2"/>
  <c r="J4341" i="2"/>
  <c r="H4341" i="2"/>
  <c r="K4340" i="2"/>
  <c r="J4340" i="2"/>
  <c r="H4340" i="2"/>
  <c r="I4340" i="2" s="1"/>
  <c r="L4340" i="2" s="1"/>
  <c r="K4339" i="2"/>
  <c r="J4339" i="2"/>
  <c r="H4339" i="2"/>
  <c r="I4339" i="2" s="1"/>
  <c r="L4339" i="2" s="1"/>
  <c r="K4338" i="2"/>
  <c r="J4338" i="2"/>
  <c r="H4338" i="2"/>
  <c r="I4338" i="2" s="1"/>
  <c r="L4338" i="2" s="1"/>
  <c r="K4337" i="2"/>
  <c r="J4337" i="2"/>
  <c r="I4337" i="2"/>
  <c r="L4337" i="2" s="1"/>
  <c r="H4337" i="2"/>
  <c r="K4336" i="2"/>
  <c r="J4336" i="2"/>
  <c r="I4336" i="2"/>
  <c r="L4336" i="2" s="1"/>
  <c r="H4336" i="2"/>
  <c r="L4335" i="2"/>
  <c r="K4335" i="2"/>
  <c r="J4335" i="2"/>
  <c r="I4335" i="2"/>
  <c r="H4335" i="2"/>
  <c r="K4334" i="2"/>
  <c r="J4334" i="2"/>
  <c r="I4334" i="2" s="1"/>
  <c r="L4334" i="2" s="1"/>
  <c r="H4334" i="2"/>
  <c r="K4333" i="2"/>
  <c r="J4333" i="2"/>
  <c r="H4333" i="2"/>
  <c r="I4333" i="2" s="1"/>
  <c r="L4333" i="2" s="1"/>
  <c r="K4332" i="2"/>
  <c r="J4332" i="2"/>
  <c r="I4332" i="2"/>
  <c r="L4332" i="2" s="1"/>
  <c r="H4332" i="2"/>
  <c r="K4331" i="2"/>
  <c r="J4331" i="2"/>
  <c r="H4331" i="2"/>
  <c r="K4330" i="2"/>
  <c r="J4330" i="2"/>
  <c r="I4330" i="2"/>
  <c r="L4330" i="2" s="1"/>
  <c r="H4330" i="2"/>
  <c r="L4329" i="2"/>
  <c r="K4329" i="2"/>
  <c r="J4329" i="2"/>
  <c r="H4329" i="2"/>
  <c r="I4329" i="2" s="1"/>
  <c r="K4328" i="2"/>
  <c r="J4328" i="2"/>
  <c r="H4328" i="2"/>
  <c r="I4328" i="2" s="1"/>
  <c r="L4328" i="2" s="1"/>
  <c r="L4327" i="2"/>
  <c r="K4327" i="2"/>
  <c r="J4327" i="2"/>
  <c r="I4327" i="2"/>
  <c r="H4327" i="2"/>
  <c r="K4326" i="2"/>
  <c r="J4326" i="2"/>
  <c r="I4326" i="2"/>
  <c r="L4326" i="2" s="1"/>
  <c r="H4326" i="2"/>
  <c r="K4325" i="2"/>
  <c r="J4325" i="2"/>
  <c r="H4325" i="2"/>
  <c r="I4325" i="2" s="1"/>
  <c r="L4325" i="2" s="1"/>
  <c r="K4324" i="2"/>
  <c r="J4324" i="2"/>
  <c r="H4324" i="2"/>
  <c r="I4324" i="2" s="1"/>
  <c r="L4324" i="2" s="1"/>
  <c r="K4323" i="2"/>
  <c r="J4323" i="2"/>
  <c r="I4323" i="2"/>
  <c r="L4323" i="2" s="1"/>
  <c r="H4323" i="2"/>
  <c r="K4322" i="2"/>
  <c r="J4322" i="2"/>
  <c r="I4322" i="2" s="1"/>
  <c r="L4322" i="2" s="1"/>
  <c r="H4322" i="2"/>
  <c r="K4321" i="2"/>
  <c r="J4321" i="2"/>
  <c r="I4321" i="2"/>
  <c r="L4321" i="2" s="1"/>
  <c r="H4321" i="2"/>
  <c r="K4320" i="2"/>
  <c r="J4320" i="2"/>
  <c r="H4320" i="2"/>
  <c r="L4319" i="2"/>
  <c r="K4319" i="2"/>
  <c r="J4319" i="2"/>
  <c r="H4319" i="2"/>
  <c r="I4319" i="2" s="1"/>
  <c r="K4318" i="2"/>
  <c r="J4318" i="2"/>
  <c r="H4318" i="2"/>
  <c r="I4318" i="2" s="1"/>
  <c r="L4318" i="2" s="1"/>
  <c r="L4317" i="2"/>
  <c r="K4317" i="2"/>
  <c r="J4317" i="2"/>
  <c r="H4317" i="2"/>
  <c r="I4317" i="2" s="1"/>
  <c r="K4316" i="2"/>
  <c r="J4316" i="2"/>
  <c r="I4316" i="2"/>
  <c r="L4316" i="2" s="1"/>
  <c r="H4316" i="2"/>
  <c r="K4315" i="2"/>
  <c r="J4315" i="2"/>
  <c r="H4315" i="2"/>
  <c r="I4315" i="2" s="1"/>
  <c r="L4315" i="2" s="1"/>
  <c r="K4314" i="2"/>
  <c r="J4314" i="2"/>
  <c r="H4314" i="2"/>
  <c r="L4313" i="2"/>
  <c r="K4313" i="2"/>
  <c r="J4313" i="2"/>
  <c r="I4313" i="2"/>
  <c r="H4313" i="2"/>
  <c r="K4312" i="2"/>
  <c r="J4312" i="2"/>
  <c r="H4312" i="2"/>
  <c r="I4312" i="2" s="1"/>
  <c r="L4312" i="2" s="1"/>
  <c r="K4311" i="2"/>
  <c r="J4311" i="2"/>
  <c r="H4311" i="2"/>
  <c r="L4310" i="2"/>
  <c r="K4310" i="2"/>
  <c r="J4310" i="2"/>
  <c r="I4310" i="2" s="1"/>
  <c r="H4310" i="2"/>
  <c r="K4309" i="2"/>
  <c r="J4309" i="2"/>
  <c r="I4309" i="2"/>
  <c r="L4309" i="2" s="1"/>
  <c r="H4309" i="2"/>
  <c r="K4308" i="2"/>
  <c r="J4308" i="2"/>
  <c r="I4308" i="2"/>
  <c r="L4308" i="2" s="1"/>
  <c r="H4308" i="2"/>
  <c r="K4307" i="2"/>
  <c r="J4307" i="2"/>
  <c r="I4307" i="2" s="1"/>
  <c r="L4307" i="2" s="1"/>
  <c r="H4307" i="2"/>
  <c r="K4306" i="2"/>
  <c r="J4306" i="2"/>
  <c r="H4306" i="2"/>
  <c r="I4306" i="2" s="1"/>
  <c r="L4306" i="2" s="1"/>
  <c r="K4305" i="2"/>
  <c r="J4305" i="2"/>
  <c r="H4305" i="2"/>
  <c r="K4304" i="2"/>
  <c r="J4304" i="2"/>
  <c r="I4304" i="2"/>
  <c r="L4304" i="2" s="1"/>
  <c r="H4304" i="2"/>
  <c r="K4303" i="2"/>
  <c r="J4303" i="2"/>
  <c r="H4303" i="2"/>
  <c r="I4303" i="2" s="1"/>
  <c r="L4303" i="2" s="1"/>
  <c r="K4302" i="2"/>
  <c r="J4302" i="2"/>
  <c r="H4302" i="2"/>
  <c r="K4301" i="2"/>
  <c r="J4301" i="2"/>
  <c r="H4301" i="2"/>
  <c r="I4301" i="2" s="1"/>
  <c r="L4301" i="2" s="1"/>
  <c r="K4300" i="2"/>
  <c r="J4300" i="2"/>
  <c r="H4300" i="2"/>
  <c r="I4300" i="2" s="1"/>
  <c r="L4300" i="2" s="1"/>
  <c r="K4299" i="2"/>
  <c r="J4299" i="2"/>
  <c r="I4299" i="2"/>
  <c r="L4299" i="2" s="1"/>
  <c r="H4299" i="2"/>
  <c r="K4298" i="2"/>
  <c r="J4298" i="2"/>
  <c r="I4298" i="2"/>
  <c r="L4298" i="2" s="1"/>
  <c r="H4298" i="2"/>
  <c r="K4297" i="2"/>
  <c r="J4297" i="2"/>
  <c r="I4297" i="2" s="1"/>
  <c r="L4297" i="2" s="1"/>
  <c r="H4297" i="2"/>
  <c r="K4296" i="2"/>
  <c r="J4296" i="2"/>
  <c r="I4296" i="2"/>
  <c r="L4296" i="2" s="1"/>
  <c r="H4296" i="2"/>
  <c r="K4295" i="2"/>
  <c r="J4295" i="2"/>
  <c r="I4295" i="2" s="1"/>
  <c r="L4295" i="2" s="1"/>
  <c r="H4295" i="2"/>
  <c r="K4294" i="2"/>
  <c r="J4294" i="2"/>
  <c r="I4294" i="2"/>
  <c r="L4294" i="2" s="1"/>
  <c r="H4294" i="2"/>
  <c r="L4293" i="2"/>
  <c r="K4293" i="2"/>
  <c r="J4293" i="2"/>
  <c r="H4293" i="2"/>
  <c r="I4293" i="2" s="1"/>
  <c r="K4292" i="2"/>
  <c r="J4292" i="2"/>
  <c r="I4292" i="2" s="1"/>
  <c r="L4292" i="2" s="1"/>
  <c r="H4292" i="2"/>
  <c r="K4291" i="2"/>
  <c r="J4291" i="2"/>
  <c r="I4291" i="2"/>
  <c r="L4291" i="2" s="1"/>
  <c r="H4291" i="2"/>
  <c r="K4290" i="2"/>
  <c r="J4290" i="2"/>
  <c r="H4290" i="2"/>
  <c r="I4290" i="2" s="1"/>
  <c r="L4290" i="2" s="1"/>
  <c r="K4289" i="2"/>
  <c r="J4289" i="2"/>
  <c r="H4289" i="2"/>
  <c r="I4289" i="2" s="1"/>
  <c r="L4289" i="2" s="1"/>
  <c r="K4288" i="2"/>
  <c r="J4288" i="2"/>
  <c r="I4288" i="2"/>
  <c r="L4288" i="2" s="1"/>
  <c r="H4288" i="2"/>
  <c r="L4287" i="2"/>
  <c r="K4287" i="2"/>
  <c r="J4287" i="2"/>
  <c r="I4287" i="2"/>
  <c r="H4287" i="2"/>
  <c r="K4286" i="2"/>
  <c r="J4286" i="2"/>
  <c r="I4286" i="2"/>
  <c r="L4286" i="2" s="1"/>
  <c r="H4286" i="2"/>
  <c r="K4285" i="2"/>
  <c r="J4285" i="2"/>
  <c r="I4285" i="2" s="1"/>
  <c r="L4285" i="2" s="1"/>
  <c r="H4285" i="2"/>
  <c r="K4284" i="2"/>
  <c r="J4284" i="2"/>
  <c r="I4284" i="2" s="1"/>
  <c r="L4284" i="2" s="1"/>
  <c r="H4284" i="2"/>
  <c r="K4283" i="2"/>
  <c r="J4283" i="2"/>
  <c r="I4283" i="2"/>
  <c r="L4283" i="2" s="1"/>
  <c r="H4283" i="2"/>
  <c r="K4282" i="2"/>
  <c r="J4282" i="2"/>
  <c r="H4282" i="2"/>
  <c r="K4281" i="2"/>
  <c r="J4281" i="2"/>
  <c r="H4281" i="2"/>
  <c r="I4281" i="2" s="1"/>
  <c r="L4281" i="2" s="1"/>
  <c r="K4280" i="2"/>
  <c r="J4280" i="2"/>
  <c r="I4280" i="2" s="1"/>
  <c r="L4280" i="2" s="1"/>
  <c r="H4280" i="2"/>
  <c r="L4279" i="2"/>
  <c r="K4279" i="2"/>
  <c r="J4279" i="2"/>
  <c r="I4279" i="2"/>
  <c r="H4279" i="2"/>
  <c r="K4278" i="2"/>
  <c r="J4278" i="2"/>
  <c r="H4278" i="2"/>
  <c r="I4278" i="2" s="1"/>
  <c r="L4278" i="2" s="1"/>
  <c r="L4277" i="2"/>
  <c r="K4277" i="2"/>
  <c r="J4277" i="2"/>
  <c r="I4277" i="2" s="1"/>
  <c r="H4277" i="2"/>
  <c r="K4276" i="2"/>
  <c r="J4276" i="2"/>
  <c r="H4276" i="2"/>
  <c r="I4276" i="2" s="1"/>
  <c r="L4276" i="2" s="1"/>
  <c r="K4275" i="2"/>
  <c r="J4275" i="2"/>
  <c r="H4275" i="2"/>
  <c r="I4275" i="2" s="1"/>
  <c r="L4275" i="2" s="1"/>
  <c r="L4274" i="2"/>
  <c r="K4274" i="2"/>
  <c r="J4274" i="2"/>
  <c r="I4274" i="2"/>
  <c r="H4274" i="2"/>
  <c r="K4273" i="2"/>
  <c r="J4273" i="2"/>
  <c r="H4273" i="2"/>
  <c r="K4272" i="2"/>
  <c r="J4272" i="2"/>
  <c r="H4272" i="2"/>
  <c r="I4272" i="2" s="1"/>
  <c r="L4272" i="2" s="1"/>
  <c r="K4271" i="2"/>
  <c r="J4271" i="2"/>
  <c r="H4271" i="2"/>
  <c r="I4271" i="2" s="1"/>
  <c r="L4271" i="2" s="1"/>
  <c r="K4270" i="2"/>
  <c r="J4270" i="2"/>
  <c r="H4270" i="2"/>
  <c r="I4270" i="2" s="1"/>
  <c r="L4270" i="2" s="1"/>
  <c r="L4269" i="2"/>
  <c r="K4269" i="2"/>
  <c r="J4269" i="2"/>
  <c r="I4269" i="2"/>
  <c r="H4269" i="2"/>
  <c r="K4268" i="2"/>
  <c r="J4268" i="2"/>
  <c r="I4268" i="2" s="1"/>
  <c r="L4268" i="2" s="1"/>
  <c r="H4268" i="2"/>
  <c r="K4267" i="2"/>
  <c r="J4267" i="2"/>
  <c r="I4267" i="2"/>
  <c r="L4267" i="2" s="1"/>
  <c r="H4267" i="2"/>
  <c r="K4266" i="2"/>
  <c r="J4266" i="2"/>
  <c r="H4266" i="2"/>
  <c r="I4266" i="2" s="1"/>
  <c r="L4266" i="2" s="1"/>
  <c r="L4265" i="2"/>
  <c r="K4265" i="2"/>
  <c r="J4265" i="2"/>
  <c r="I4265" i="2"/>
  <c r="H4265" i="2"/>
  <c r="K4264" i="2"/>
  <c r="J4264" i="2"/>
  <c r="H4264" i="2"/>
  <c r="I4264" i="2" s="1"/>
  <c r="L4264" i="2" s="1"/>
  <c r="K4263" i="2"/>
  <c r="J4263" i="2"/>
  <c r="H4263" i="2"/>
  <c r="I4263" i="2" s="1"/>
  <c r="L4263" i="2" s="1"/>
  <c r="L4262" i="2"/>
  <c r="K4262" i="2"/>
  <c r="J4262" i="2"/>
  <c r="I4262" i="2"/>
  <c r="H4262" i="2"/>
  <c r="K4261" i="2"/>
  <c r="J4261" i="2"/>
  <c r="I4261" i="2"/>
  <c r="L4261" i="2" s="1"/>
  <c r="H4261" i="2"/>
  <c r="K4260" i="2"/>
  <c r="J4260" i="2"/>
  <c r="I4260" i="2"/>
  <c r="L4260" i="2" s="1"/>
  <c r="H4260" i="2"/>
  <c r="K4259" i="2"/>
  <c r="J4259" i="2"/>
  <c r="I4259" i="2"/>
  <c r="L4259" i="2" s="1"/>
  <c r="H4259" i="2"/>
  <c r="K4258" i="2"/>
  <c r="J4258" i="2"/>
  <c r="I4258" i="2"/>
  <c r="L4258" i="2" s="1"/>
  <c r="H4258" i="2"/>
  <c r="K4257" i="2"/>
  <c r="J4257" i="2"/>
  <c r="H4257" i="2"/>
  <c r="K4256" i="2"/>
  <c r="J4256" i="2"/>
  <c r="H4256" i="2"/>
  <c r="I4256" i="2" s="1"/>
  <c r="L4256" i="2" s="1"/>
  <c r="K4255" i="2"/>
  <c r="J4255" i="2"/>
  <c r="I4255" i="2"/>
  <c r="L4255" i="2" s="1"/>
  <c r="H4255" i="2"/>
  <c r="K4254" i="2"/>
  <c r="J4254" i="2"/>
  <c r="I4254" i="2"/>
  <c r="L4254" i="2" s="1"/>
  <c r="H4254" i="2"/>
  <c r="K4253" i="2"/>
  <c r="J4253" i="2"/>
  <c r="H4253" i="2"/>
  <c r="I4253" i="2" s="1"/>
  <c r="L4253" i="2" s="1"/>
  <c r="K4252" i="2"/>
  <c r="J4252" i="2"/>
  <c r="I4252" i="2"/>
  <c r="L4252" i="2" s="1"/>
  <c r="H4252" i="2"/>
  <c r="K4251" i="2"/>
  <c r="J4251" i="2"/>
  <c r="I4251" i="2" s="1"/>
  <c r="L4251" i="2" s="1"/>
  <c r="H4251" i="2"/>
  <c r="L4250" i="2"/>
  <c r="K4250" i="2"/>
  <c r="J4250" i="2"/>
  <c r="I4250" i="2" s="1"/>
  <c r="H4250" i="2"/>
  <c r="K4249" i="2"/>
  <c r="J4249" i="2"/>
  <c r="I4249" i="2"/>
  <c r="L4249" i="2" s="1"/>
  <c r="H4249" i="2"/>
  <c r="L4248" i="2"/>
  <c r="K4248" i="2"/>
  <c r="J4248" i="2"/>
  <c r="H4248" i="2"/>
  <c r="I4248" i="2" s="1"/>
  <c r="L4247" i="2"/>
  <c r="K4247" i="2"/>
  <c r="J4247" i="2"/>
  <c r="I4247" i="2"/>
  <c r="H4247" i="2"/>
  <c r="L4246" i="2"/>
  <c r="K4246" i="2"/>
  <c r="J4246" i="2"/>
  <c r="I4246" i="2"/>
  <c r="H4246" i="2"/>
  <c r="K4245" i="2"/>
  <c r="J4245" i="2"/>
  <c r="H4245" i="2"/>
  <c r="K4244" i="2"/>
  <c r="J4244" i="2"/>
  <c r="I4244" i="2"/>
  <c r="L4244" i="2" s="1"/>
  <c r="H4244" i="2"/>
  <c r="K4243" i="2"/>
  <c r="J4243" i="2"/>
  <c r="H4243" i="2"/>
  <c r="I4243" i="2" s="1"/>
  <c r="L4243" i="2" s="1"/>
  <c r="K4242" i="2"/>
  <c r="J4242" i="2"/>
  <c r="I4242" i="2"/>
  <c r="L4242" i="2" s="1"/>
  <c r="H4242" i="2"/>
  <c r="K4241" i="2"/>
  <c r="J4241" i="2"/>
  <c r="I4241" i="2"/>
  <c r="L4241" i="2" s="1"/>
  <c r="H4241" i="2"/>
  <c r="K4240" i="2"/>
  <c r="J4240" i="2"/>
  <c r="I4240" i="2"/>
  <c r="L4240" i="2" s="1"/>
  <c r="H4240" i="2"/>
  <c r="L4239" i="2"/>
  <c r="K4239" i="2"/>
  <c r="J4239" i="2"/>
  <c r="H4239" i="2"/>
  <c r="I4239" i="2" s="1"/>
  <c r="K4238" i="2"/>
  <c r="J4238" i="2"/>
  <c r="I4238" i="2"/>
  <c r="L4238" i="2" s="1"/>
  <c r="H4238" i="2"/>
  <c r="K4237" i="2"/>
  <c r="J4237" i="2"/>
  <c r="I4237" i="2"/>
  <c r="L4237" i="2" s="1"/>
  <c r="H4237" i="2"/>
  <c r="K4236" i="2"/>
  <c r="J4236" i="2"/>
  <c r="I4236" i="2"/>
  <c r="L4236" i="2" s="1"/>
  <c r="H4236" i="2"/>
  <c r="L4235" i="2"/>
  <c r="K4235" i="2"/>
  <c r="J4235" i="2"/>
  <c r="H4235" i="2"/>
  <c r="I4235" i="2" s="1"/>
  <c r="L4234" i="2"/>
  <c r="K4234" i="2"/>
  <c r="J4234" i="2"/>
  <c r="H4234" i="2"/>
  <c r="I4234" i="2" s="1"/>
  <c r="K4233" i="2"/>
  <c r="J4233" i="2"/>
  <c r="H4233" i="2"/>
  <c r="I4233" i="2" s="1"/>
  <c r="L4233" i="2" s="1"/>
  <c r="K4232" i="2"/>
  <c r="J4232" i="2"/>
  <c r="I4232" i="2" s="1"/>
  <c r="L4232" i="2" s="1"/>
  <c r="H4232" i="2"/>
  <c r="L4231" i="2"/>
  <c r="K4231" i="2"/>
  <c r="J4231" i="2"/>
  <c r="I4231" i="2"/>
  <c r="H4231" i="2"/>
  <c r="K4230" i="2"/>
  <c r="J4230" i="2"/>
  <c r="I4230" i="2" s="1"/>
  <c r="L4230" i="2" s="1"/>
  <c r="H4230" i="2"/>
  <c r="L4229" i="2"/>
  <c r="K4229" i="2"/>
  <c r="J4229" i="2"/>
  <c r="H4229" i="2"/>
  <c r="I4229" i="2" s="1"/>
  <c r="L4228" i="2"/>
  <c r="K4228" i="2"/>
  <c r="J4228" i="2"/>
  <c r="H4228" i="2"/>
  <c r="I4228" i="2" s="1"/>
  <c r="K4227" i="2"/>
  <c r="J4227" i="2"/>
  <c r="I4227" i="2" s="1"/>
  <c r="L4227" i="2" s="1"/>
  <c r="H4227" i="2"/>
  <c r="L4226" i="2"/>
  <c r="K4226" i="2"/>
  <c r="J4226" i="2"/>
  <c r="I4226" i="2"/>
  <c r="H4226" i="2"/>
  <c r="K4225" i="2"/>
  <c r="J4225" i="2"/>
  <c r="H4225" i="2"/>
  <c r="I4225" i="2" s="1"/>
  <c r="L4225" i="2" s="1"/>
  <c r="L4224" i="2"/>
  <c r="K4224" i="2"/>
  <c r="J4224" i="2"/>
  <c r="I4224" i="2"/>
  <c r="H4224" i="2"/>
  <c r="K4223" i="2"/>
  <c r="J4223" i="2"/>
  <c r="H4223" i="2"/>
  <c r="I4223" i="2" s="1"/>
  <c r="L4223" i="2" s="1"/>
  <c r="K4222" i="2"/>
  <c r="J4222" i="2"/>
  <c r="H4222" i="2"/>
  <c r="K4221" i="2"/>
  <c r="J4221" i="2"/>
  <c r="H4221" i="2"/>
  <c r="K4220" i="2"/>
  <c r="J4220" i="2"/>
  <c r="H4220" i="2"/>
  <c r="K4219" i="2"/>
  <c r="J4219" i="2"/>
  <c r="H4219" i="2"/>
  <c r="I4219" i="2" s="1"/>
  <c r="L4219" i="2" s="1"/>
  <c r="K4218" i="2"/>
  <c r="J4218" i="2"/>
  <c r="I4218" i="2"/>
  <c r="L4218" i="2" s="1"/>
  <c r="H4218" i="2"/>
  <c r="L4217" i="2"/>
  <c r="K4217" i="2"/>
  <c r="J4217" i="2"/>
  <c r="I4217" i="2"/>
  <c r="H4217" i="2"/>
  <c r="K4216" i="2"/>
  <c r="J4216" i="2"/>
  <c r="H4216" i="2"/>
  <c r="I4216" i="2" s="1"/>
  <c r="L4216" i="2" s="1"/>
  <c r="K4215" i="2"/>
  <c r="J4215" i="2"/>
  <c r="H4215" i="2"/>
  <c r="K4214" i="2"/>
  <c r="J4214" i="2"/>
  <c r="I4214" i="2"/>
  <c r="L4214" i="2" s="1"/>
  <c r="H4214" i="2"/>
  <c r="K4213" i="2"/>
  <c r="J4213" i="2"/>
  <c r="I4213" i="2"/>
  <c r="L4213" i="2" s="1"/>
  <c r="H4213" i="2"/>
  <c r="K4212" i="2"/>
  <c r="J4212" i="2"/>
  <c r="H4212" i="2"/>
  <c r="L4211" i="2"/>
  <c r="K4211" i="2"/>
  <c r="J4211" i="2"/>
  <c r="I4211" i="2"/>
  <c r="H4211" i="2"/>
  <c r="K4210" i="2"/>
  <c r="J4210" i="2"/>
  <c r="H4210" i="2"/>
  <c r="I4210" i="2" s="1"/>
  <c r="L4210" i="2" s="1"/>
  <c r="K4209" i="2"/>
  <c r="J4209" i="2"/>
  <c r="H4209" i="2"/>
  <c r="I4209" i="2" s="1"/>
  <c r="L4209" i="2" s="1"/>
  <c r="K4208" i="2"/>
  <c r="J4208" i="2"/>
  <c r="I4208" i="2"/>
  <c r="L4208" i="2" s="1"/>
  <c r="H4208" i="2"/>
  <c r="K4207" i="2"/>
  <c r="J4207" i="2"/>
  <c r="H4207" i="2"/>
  <c r="I4207" i="2" s="1"/>
  <c r="L4207" i="2" s="1"/>
  <c r="K4206" i="2"/>
  <c r="J4206" i="2"/>
  <c r="H4206" i="2"/>
  <c r="I4206" i="2" s="1"/>
  <c r="L4206" i="2" s="1"/>
  <c r="L4205" i="2"/>
  <c r="K4205" i="2"/>
  <c r="J4205" i="2"/>
  <c r="I4205" i="2"/>
  <c r="H4205" i="2"/>
  <c r="K4204" i="2"/>
  <c r="J4204" i="2"/>
  <c r="H4204" i="2"/>
  <c r="I4204" i="2" s="1"/>
  <c r="L4204" i="2" s="1"/>
  <c r="K4203" i="2"/>
  <c r="J4203" i="2"/>
  <c r="H4203" i="2"/>
  <c r="I4203" i="2" s="1"/>
  <c r="L4203" i="2" s="1"/>
  <c r="K4202" i="2"/>
  <c r="J4202" i="2"/>
  <c r="I4202" i="2" s="1"/>
  <c r="L4202" i="2" s="1"/>
  <c r="H4202" i="2"/>
  <c r="K4201" i="2"/>
  <c r="J4201" i="2"/>
  <c r="I4201" i="2"/>
  <c r="L4201" i="2" s="1"/>
  <c r="H4201" i="2"/>
  <c r="K4200" i="2"/>
  <c r="J4200" i="2"/>
  <c r="H4200" i="2"/>
  <c r="I4200" i="2" s="1"/>
  <c r="L4200" i="2" s="1"/>
  <c r="K4199" i="2"/>
  <c r="J4199" i="2"/>
  <c r="H4199" i="2"/>
  <c r="I4199" i="2" s="1"/>
  <c r="L4199" i="2" s="1"/>
  <c r="K4198" i="2"/>
  <c r="J4198" i="2"/>
  <c r="I4198" i="2"/>
  <c r="L4198" i="2" s="1"/>
  <c r="H4198" i="2"/>
  <c r="L4197" i="2"/>
  <c r="K4197" i="2"/>
  <c r="J4197" i="2"/>
  <c r="H4197" i="2"/>
  <c r="I4197" i="2" s="1"/>
  <c r="K4196" i="2"/>
  <c r="J4196" i="2"/>
  <c r="H4196" i="2"/>
  <c r="K4195" i="2"/>
  <c r="J4195" i="2"/>
  <c r="H4195" i="2"/>
  <c r="I4195" i="2" s="1"/>
  <c r="L4195" i="2" s="1"/>
  <c r="K4194" i="2"/>
  <c r="J4194" i="2"/>
  <c r="H4194" i="2"/>
  <c r="I4194" i="2" s="1"/>
  <c r="L4194" i="2" s="1"/>
  <c r="K4193" i="2"/>
  <c r="J4193" i="2"/>
  <c r="H4193" i="2"/>
  <c r="I4193" i="2" s="1"/>
  <c r="L4193" i="2" s="1"/>
  <c r="K4192" i="2"/>
  <c r="J4192" i="2"/>
  <c r="H4192" i="2"/>
  <c r="I4192" i="2" s="1"/>
  <c r="L4192" i="2" s="1"/>
  <c r="L4191" i="2"/>
  <c r="K4191" i="2"/>
  <c r="J4191" i="2"/>
  <c r="I4191" i="2"/>
  <c r="H4191" i="2"/>
  <c r="K4190" i="2"/>
  <c r="J4190" i="2"/>
  <c r="I4190" i="2"/>
  <c r="L4190" i="2" s="1"/>
  <c r="H4190" i="2"/>
  <c r="K4189" i="2"/>
  <c r="J4189" i="2"/>
  <c r="I4189" i="2"/>
  <c r="L4189" i="2" s="1"/>
  <c r="H4189" i="2"/>
  <c r="K4188" i="2"/>
  <c r="J4188" i="2"/>
  <c r="I4188" i="2" s="1"/>
  <c r="L4188" i="2" s="1"/>
  <c r="H4188" i="2"/>
  <c r="K4187" i="2"/>
  <c r="J4187" i="2"/>
  <c r="H4187" i="2"/>
  <c r="I4187" i="2" s="1"/>
  <c r="L4187" i="2" s="1"/>
  <c r="K4186" i="2"/>
  <c r="J4186" i="2"/>
  <c r="I4186" i="2" s="1"/>
  <c r="L4186" i="2" s="1"/>
  <c r="H4186" i="2"/>
  <c r="K4185" i="2"/>
  <c r="J4185" i="2"/>
  <c r="H4185" i="2"/>
  <c r="I4185" i="2" s="1"/>
  <c r="L4185" i="2" s="1"/>
  <c r="K4184" i="2"/>
  <c r="J4184" i="2"/>
  <c r="H4184" i="2"/>
  <c r="I4184" i="2" s="1"/>
  <c r="L4184" i="2" s="1"/>
  <c r="K4183" i="2"/>
  <c r="J4183" i="2"/>
  <c r="I4183" i="2" s="1"/>
  <c r="L4183" i="2" s="1"/>
  <c r="H4183" i="2"/>
  <c r="K4182" i="2"/>
  <c r="J4182" i="2"/>
  <c r="H4182" i="2"/>
  <c r="I4182" i="2" s="1"/>
  <c r="L4182" i="2" s="1"/>
  <c r="K4181" i="2"/>
  <c r="J4181" i="2"/>
  <c r="H4181" i="2"/>
  <c r="I4181" i="2" s="1"/>
  <c r="L4181" i="2" s="1"/>
  <c r="K4180" i="2"/>
  <c r="J4180" i="2"/>
  <c r="H4180" i="2"/>
  <c r="I4180" i="2" s="1"/>
  <c r="L4180" i="2" s="1"/>
  <c r="K4179" i="2"/>
  <c r="J4179" i="2"/>
  <c r="H4179" i="2"/>
  <c r="K4178" i="2"/>
  <c r="J4178" i="2"/>
  <c r="I4178" i="2"/>
  <c r="L4178" i="2" s="1"/>
  <c r="H4178" i="2"/>
  <c r="L4177" i="2"/>
  <c r="K4177" i="2"/>
  <c r="J4177" i="2"/>
  <c r="H4177" i="2"/>
  <c r="I4177" i="2" s="1"/>
  <c r="K4176" i="2"/>
  <c r="J4176" i="2"/>
  <c r="H4176" i="2"/>
  <c r="I4176" i="2" s="1"/>
  <c r="L4176" i="2" s="1"/>
  <c r="K4175" i="2"/>
  <c r="J4175" i="2"/>
  <c r="I4175" i="2"/>
  <c r="L4175" i="2" s="1"/>
  <c r="H4175" i="2"/>
  <c r="K4174" i="2"/>
  <c r="J4174" i="2"/>
  <c r="I4174" i="2"/>
  <c r="L4174" i="2" s="1"/>
  <c r="H4174" i="2"/>
  <c r="L4173" i="2"/>
  <c r="K4173" i="2"/>
  <c r="J4173" i="2"/>
  <c r="I4173" i="2"/>
  <c r="H4173" i="2"/>
  <c r="L4172" i="2"/>
  <c r="K4172" i="2"/>
  <c r="J4172" i="2"/>
  <c r="I4172" i="2"/>
  <c r="H4172" i="2"/>
  <c r="K4171" i="2"/>
  <c r="J4171" i="2"/>
  <c r="I4171" i="2" s="1"/>
  <c r="L4171" i="2" s="1"/>
  <c r="H4171" i="2"/>
  <c r="K4170" i="2"/>
  <c r="J4170" i="2"/>
  <c r="I4170" i="2"/>
  <c r="L4170" i="2" s="1"/>
  <c r="H4170" i="2"/>
  <c r="K4169" i="2"/>
  <c r="J4169" i="2"/>
  <c r="H4169" i="2"/>
  <c r="I4169" i="2" s="1"/>
  <c r="L4169" i="2" s="1"/>
  <c r="K4168" i="2"/>
  <c r="J4168" i="2"/>
  <c r="H4168" i="2"/>
  <c r="I4168" i="2" s="1"/>
  <c r="L4168" i="2" s="1"/>
  <c r="L4167" i="2"/>
  <c r="K4167" i="2"/>
  <c r="J4167" i="2"/>
  <c r="I4167" i="2"/>
  <c r="H4167" i="2"/>
  <c r="K4166" i="2"/>
  <c r="J4166" i="2"/>
  <c r="I4166" i="2"/>
  <c r="L4166" i="2" s="1"/>
  <c r="H4166" i="2"/>
  <c r="K4165" i="2"/>
  <c r="J4165" i="2"/>
  <c r="H4165" i="2"/>
  <c r="K4164" i="2"/>
  <c r="J4164" i="2"/>
  <c r="I4164" i="2"/>
  <c r="L4164" i="2" s="1"/>
  <c r="H4164" i="2"/>
  <c r="L4163" i="2"/>
  <c r="K4163" i="2"/>
  <c r="J4163" i="2"/>
  <c r="H4163" i="2"/>
  <c r="I4163" i="2" s="1"/>
  <c r="K4162" i="2"/>
  <c r="J4162" i="2"/>
  <c r="I4162" i="2" s="1"/>
  <c r="L4162" i="2" s="1"/>
  <c r="H4162" i="2"/>
  <c r="L4161" i="2"/>
  <c r="K4161" i="2"/>
  <c r="J4161" i="2"/>
  <c r="I4161" i="2"/>
  <c r="H4161" i="2"/>
  <c r="K4160" i="2"/>
  <c r="J4160" i="2"/>
  <c r="H4160" i="2"/>
  <c r="I4160" i="2" s="1"/>
  <c r="L4160" i="2" s="1"/>
  <c r="L4159" i="2"/>
  <c r="K4159" i="2"/>
  <c r="J4159" i="2"/>
  <c r="I4159" i="2"/>
  <c r="H4159" i="2"/>
  <c r="K4158" i="2"/>
  <c r="J4158" i="2"/>
  <c r="I4158" i="2"/>
  <c r="L4158" i="2" s="1"/>
  <c r="H4158" i="2"/>
  <c r="K4157" i="2"/>
  <c r="J4157" i="2"/>
  <c r="H4157" i="2"/>
  <c r="I4157" i="2" s="1"/>
  <c r="L4157" i="2" s="1"/>
  <c r="L4156" i="2"/>
  <c r="K4156" i="2"/>
  <c r="J4156" i="2"/>
  <c r="I4156" i="2"/>
  <c r="H4156" i="2"/>
  <c r="K4155" i="2"/>
  <c r="J4155" i="2"/>
  <c r="I4155" i="2"/>
  <c r="L4155" i="2" s="1"/>
  <c r="H4155" i="2"/>
  <c r="K4154" i="2"/>
  <c r="J4154" i="2"/>
  <c r="I4154" i="2" s="1"/>
  <c r="L4154" i="2" s="1"/>
  <c r="H4154" i="2"/>
  <c r="K4153" i="2"/>
  <c r="J4153" i="2"/>
  <c r="I4153" i="2" s="1"/>
  <c r="L4153" i="2" s="1"/>
  <c r="H4153" i="2"/>
  <c r="K4152" i="2"/>
  <c r="J4152" i="2"/>
  <c r="I4152" i="2"/>
  <c r="L4152" i="2" s="1"/>
  <c r="H4152" i="2"/>
  <c r="K4151" i="2"/>
  <c r="J4151" i="2"/>
  <c r="H4151" i="2"/>
  <c r="I4151" i="2" s="1"/>
  <c r="L4151" i="2" s="1"/>
  <c r="K4150" i="2"/>
  <c r="J4150" i="2"/>
  <c r="H4150" i="2"/>
  <c r="K4149" i="2"/>
  <c r="J4149" i="2"/>
  <c r="H4149" i="2"/>
  <c r="L4148" i="2"/>
  <c r="K4148" i="2"/>
  <c r="J4148" i="2"/>
  <c r="I4148" i="2"/>
  <c r="H4148" i="2"/>
  <c r="L4147" i="2"/>
  <c r="K4147" i="2"/>
  <c r="J4147" i="2"/>
  <c r="H4147" i="2"/>
  <c r="I4147" i="2" s="1"/>
  <c r="K4146" i="2"/>
  <c r="J4146" i="2"/>
  <c r="I4146" i="2"/>
  <c r="L4146" i="2" s="1"/>
  <c r="H4146" i="2"/>
  <c r="K4145" i="2"/>
  <c r="J4145" i="2"/>
  <c r="I4145" i="2"/>
  <c r="L4145" i="2" s="1"/>
  <c r="H4145" i="2"/>
  <c r="K4144" i="2"/>
  <c r="J4144" i="2"/>
  <c r="I4144" i="2"/>
  <c r="L4144" i="2" s="1"/>
  <c r="H4144" i="2"/>
  <c r="K4143" i="2"/>
  <c r="J4143" i="2"/>
  <c r="I4143" i="2"/>
  <c r="L4143" i="2" s="1"/>
  <c r="H4143" i="2"/>
  <c r="K4142" i="2"/>
  <c r="J4142" i="2"/>
  <c r="I4142" i="2" s="1"/>
  <c r="L4142" i="2" s="1"/>
  <c r="H4142" i="2"/>
  <c r="K4141" i="2"/>
  <c r="J4141" i="2"/>
  <c r="H4141" i="2"/>
  <c r="K4140" i="2"/>
  <c r="J4140" i="2"/>
  <c r="I4140" i="2" s="1"/>
  <c r="L4140" i="2" s="1"/>
  <c r="H4140" i="2"/>
  <c r="K4139" i="2"/>
  <c r="J4139" i="2"/>
  <c r="I4139" i="2"/>
  <c r="L4139" i="2" s="1"/>
  <c r="H4139" i="2"/>
  <c r="K4138" i="2"/>
  <c r="J4138" i="2"/>
  <c r="I4138" i="2"/>
  <c r="L4138" i="2" s="1"/>
  <c r="H4138" i="2"/>
  <c r="L4137" i="2"/>
  <c r="K4137" i="2"/>
  <c r="J4137" i="2"/>
  <c r="H4137" i="2"/>
  <c r="I4137" i="2" s="1"/>
  <c r="K4136" i="2"/>
  <c r="J4136" i="2"/>
  <c r="H4136" i="2"/>
  <c r="K4135" i="2"/>
  <c r="J4135" i="2"/>
  <c r="I4135" i="2" s="1"/>
  <c r="L4135" i="2" s="1"/>
  <c r="H4135" i="2"/>
  <c r="K4134" i="2"/>
  <c r="J4134" i="2"/>
  <c r="I4134" i="2"/>
  <c r="L4134" i="2" s="1"/>
  <c r="H4134" i="2"/>
  <c r="L4133" i="2"/>
  <c r="K4133" i="2"/>
  <c r="J4133" i="2"/>
  <c r="I4133" i="2"/>
  <c r="H4133" i="2"/>
  <c r="L4132" i="2"/>
  <c r="K4132" i="2"/>
  <c r="J4132" i="2"/>
  <c r="I4132" i="2"/>
  <c r="H4132" i="2"/>
  <c r="L4131" i="2"/>
  <c r="K4131" i="2"/>
  <c r="J4131" i="2"/>
  <c r="I4131" i="2"/>
  <c r="H4131" i="2"/>
  <c r="K4130" i="2"/>
  <c r="J4130" i="2"/>
  <c r="I4130" i="2" s="1"/>
  <c r="L4130" i="2" s="1"/>
  <c r="H4130" i="2"/>
  <c r="L4129" i="2"/>
  <c r="K4129" i="2"/>
  <c r="J4129" i="2"/>
  <c r="H4129" i="2"/>
  <c r="I4129" i="2" s="1"/>
  <c r="K4128" i="2"/>
  <c r="J4128" i="2"/>
  <c r="H4128" i="2"/>
  <c r="I4128" i="2" s="1"/>
  <c r="L4128" i="2" s="1"/>
  <c r="K4127" i="2"/>
  <c r="J4127" i="2"/>
  <c r="I4127" i="2"/>
  <c r="L4127" i="2" s="1"/>
  <c r="H4127" i="2"/>
  <c r="L4126" i="2"/>
  <c r="K4126" i="2"/>
  <c r="J4126" i="2"/>
  <c r="H4126" i="2"/>
  <c r="I4126" i="2" s="1"/>
  <c r="K4125" i="2"/>
  <c r="J4125" i="2"/>
  <c r="H4125" i="2"/>
  <c r="L4124" i="2"/>
  <c r="K4124" i="2"/>
  <c r="J4124" i="2"/>
  <c r="I4124" i="2"/>
  <c r="H4124" i="2"/>
  <c r="K4123" i="2"/>
  <c r="J4123" i="2"/>
  <c r="H4123" i="2"/>
  <c r="K4122" i="2"/>
  <c r="J4122" i="2"/>
  <c r="I4122" i="2"/>
  <c r="L4122" i="2" s="1"/>
  <c r="H4122" i="2"/>
  <c r="L4121" i="2"/>
  <c r="K4121" i="2"/>
  <c r="J4121" i="2"/>
  <c r="H4121" i="2"/>
  <c r="I4121" i="2" s="1"/>
  <c r="K4120" i="2"/>
  <c r="J4120" i="2"/>
  <c r="H4120" i="2"/>
  <c r="I4120" i="2" s="1"/>
  <c r="L4120" i="2" s="1"/>
  <c r="K4119" i="2"/>
  <c r="J4119" i="2"/>
  <c r="I4119" i="2"/>
  <c r="L4119" i="2" s="1"/>
  <c r="H4119" i="2"/>
  <c r="K4118" i="2"/>
  <c r="J4118" i="2"/>
  <c r="I4118" i="2" s="1"/>
  <c r="L4118" i="2" s="1"/>
  <c r="H4118" i="2"/>
  <c r="L4117" i="2"/>
  <c r="K4117" i="2"/>
  <c r="J4117" i="2"/>
  <c r="I4117" i="2" s="1"/>
  <c r="H4117" i="2"/>
  <c r="K4116" i="2"/>
  <c r="J4116" i="2"/>
  <c r="H4116" i="2"/>
  <c r="I4116" i="2" s="1"/>
  <c r="L4116" i="2" s="1"/>
  <c r="K4115" i="2"/>
  <c r="J4115" i="2"/>
  <c r="I4115" i="2" s="1"/>
  <c r="L4115" i="2" s="1"/>
  <c r="H4115" i="2"/>
  <c r="K4114" i="2"/>
  <c r="J4114" i="2"/>
  <c r="I4114" i="2"/>
  <c r="L4114" i="2" s="1"/>
  <c r="H4114" i="2"/>
  <c r="K4113" i="2"/>
  <c r="J4113" i="2"/>
  <c r="H4113" i="2"/>
  <c r="I4113" i="2" s="1"/>
  <c r="L4113" i="2" s="1"/>
  <c r="L4112" i="2"/>
  <c r="K4112" i="2"/>
  <c r="J4112" i="2"/>
  <c r="I4112" i="2"/>
  <c r="H4112" i="2"/>
  <c r="K4111" i="2"/>
  <c r="J4111" i="2"/>
  <c r="I4111" i="2"/>
  <c r="L4111" i="2" s="1"/>
  <c r="H4111" i="2"/>
  <c r="K4110" i="2"/>
  <c r="J4110" i="2"/>
  <c r="H4110" i="2"/>
  <c r="I4110" i="2" s="1"/>
  <c r="L4110" i="2" s="1"/>
  <c r="K4109" i="2"/>
  <c r="J4109" i="2"/>
  <c r="H4109" i="2"/>
  <c r="K4108" i="2"/>
  <c r="J4108" i="2"/>
  <c r="H4108" i="2"/>
  <c r="I4108" i="2" s="1"/>
  <c r="L4108" i="2" s="1"/>
  <c r="K4107" i="2"/>
  <c r="J4107" i="2"/>
  <c r="H4107" i="2"/>
  <c r="I4107" i="2" s="1"/>
  <c r="L4107" i="2" s="1"/>
  <c r="L4106" i="2"/>
  <c r="K4106" i="2"/>
  <c r="J4106" i="2"/>
  <c r="I4106" i="2"/>
  <c r="H4106" i="2"/>
  <c r="K4105" i="2"/>
  <c r="J4105" i="2"/>
  <c r="H4105" i="2"/>
  <c r="K4104" i="2"/>
  <c r="J4104" i="2"/>
  <c r="I4104" i="2"/>
  <c r="L4104" i="2" s="1"/>
  <c r="H4104" i="2"/>
  <c r="K4103" i="2"/>
  <c r="J4103" i="2"/>
  <c r="H4103" i="2"/>
  <c r="I4103" i="2" s="1"/>
  <c r="L4103" i="2" s="1"/>
  <c r="K4102" i="2"/>
  <c r="J4102" i="2"/>
  <c r="I4102" i="2"/>
  <c r="L4102" i="2" s="1"/>
  <c r="H4102" i="2"/>
  <c r="L4101" i="2"/>
  <c r="K4101" i="2"/>
  <c r="J4101" i="2"/>
  <c r="H4101" i="2"/>
  <c r="I4101" i="2" s="1"/>
  <c r="K4100" i="2"/>
  <c r="J4100" i="2"/>
  <c r="I4100" i="2" s="1"/>
  <c r="L4100" i="2" s="1"/>
  <c r="H4100" i="2"/>
  <c r="K4099" i="2"/>
  <c r="J4099" i="2"/>
  <c r="I4099" i="2"/>
  <c r="L4099" i="2" s="1"/>
  <c r="H4099" i="2"/>
  <c r="K4098" i="2"/>
  <c r="J4098" i="2"/>
  <c r="H4098" i="2"/>
  <c r="I4098" i="2" s="1"/>
  <c r="L4098" i="2" s="1"/>
  <c r="K4097" i="2"/>
  <c r="J4097" i="2"/>
  <c r="I4097" i="2"/>
  <c r="L4097" i="2" s="1"/>
  <c r="H4097" i="2"/>
  <c r="K4096" i="2"/>
  <c r="J4096" i="2"/>
  <c r="H4096" i="2"/>
  <c r="I4096" i="2" s="1"/>
  <c r="L4096" i="2" s="1"/>
  <c r="K4095" i="2"/>
  <c r="J4095" i="2"/>
  <c r="H4095" i="2"/>
  <c r="I4095" i="2" s="1"/>
  <c r="L4095" i="2" s="1"/>
  <c r="K4094" i="2"/>
  <c r="J4094" i="2"/>
  <c r="I4094" i="2"/>
  <c r="L4094" i="2" s="1"/>
  <c r="H4094" i="2"/>
  <c r="K4093" i="2"/>
  <c r="J4093" i="2"/>
  <c r="H4093" i="2"/>
  <c r="I4093" i="2" s="1"/>
  <c r="L4093" i="2" s="1"/>
  <c r="K4092" i="2"/>
  <c r="J4092" i="2"/>
  <c r="I4092" i="2"/>
  <c r="L4092" i="2" s="1"/>
  <c r="H4092" i="2"/>
  <c r="K4091" i="2"/>
  <c r="J4091" i="2"/>
  <c r="I4091" i="2"/>
  <c r="L4091" i="2" s="1"/>
  <c r="H4091" i="2"/>
  <c r="K4090" i="2"/>
  <c r="J4090" i="2"/>
  <c r="I4090" i="2"/>
  <c r="L4090" i="2" s="1"/>
  <c r="H4090" i="2"/>
  <c r="K4089" i="2"/>
  <c r="J4089" i="2"/>
  <c r="H4089" i="2"/>
  <c r="K4088" i="2"/>
  <c r="J4088" i="2"/>
  <c r="H4088" i="2"/>
  <c r="I4088" i="2" s="1"/>
  <c r="L4088" i="2" s="1"/>
  <c r="K4087" i="2"/>
  <c r="J4087" i="2"/>
  <c r="I4087" i="2"/>
  <c r="L4087" i="2" s="1"/>
  <c r="H4087" i="2"/>
  <c r="K4086" i="2"/>
  <c r="J4086" i="2"/>
  <c r="H4086" i="2"/>
  <c r="I4086" i="2" s="1"/>
  <c r="L4086" i="2" s="1"/>
  <c r="K4085" i="2"/>
  <c r="J4085" i="2"/>
  <c r="I4085" i="2"/>
  <c r="L4085" i="2" s="1"/>
  <c r="H4085" i="2"/>
  <c r="L4084" i="2"/>
  <c r="K4084" i="2"/>
  <c r="J4084" i="2"/>
  <c r="I4084" i="2"/>
  <c r="H4084" i="2"/>
  <c r="K4083" i="2"/>
  <c r="J4083" i="2"/>
  <c r="I4083" i="2"/>
  <c r="L4083" i="2" s="1"/>
  <c r="H4083" i="2"/>
  <c r="K4082" i="2"/>
  <c r="J4082" i="2"/>
  <c r="I4082" i="2"/>
  <c r="L4082" i="2" s="1"/>
  <c r="H4082" i="2"/>
  <c r="K4081" i="2"/>
  <c r="J4081" i="2"/>
  <c r="I4081" i="2" s="1"/>
  <c r="L4081" i="2" s="1"/>
  <c r="H4081" i="2"/>
  <c r="K4080" i="2"/>
  <c r="J4080" i="2"/>
  <c r="H4080" i="2"/>
  <c r="I4080" i="2" s="1"/>
  <c r="L4080" i="2" s="1"/>
  <c r="K4079" i="2"/>
  <c r="J4079" i="2"/>
  <c r="H4079" i="2"/>
  <c r="K4078" i="2"/>
  <c r="J4078" i="2"/>
  <c r="I4078" i="2"/>
  <c r="L4078" i="2" s="1"/>
  <c r="H4078" i="2"/>
  <c r="K4077" i="2"/>
  <c r="J4077" i="2"/>
  <c r="H4077" i="2"/>
  <c r="I4077" i="2" s="1"/>
  <c r="L4077" i="2" s="1"/>
  <c r="L4076" i="2"/>
  <c r="K4076" i="2"/>
  <c r="J4076" i="2"/>
  <c r="I4076" i="2"/>
  <c r="H4076" i="2"/>
  <c r="K4075" i="2"/>
  <c r="J4075" i="2"/>
  <c r="I4075" i="2"/>
  <c r="L4075" i="2" s="1"/>
  <c r="H4075" i="2"/>
  <c r="K4074" i="2"/>
  <c r="J4074" i="2"/>
  <c r="I4074" i="2"/>
  <c r="L4074" i="2" s="1"/>
  <c r="H4074" i="2"/>
  <c r="L4073" i="2"/>
  <c r="K4073" i="2"/>
  <c r="J4073" i="2"/>
  <c r="H4073" i="2"/>
  <c r="I4073" i="2" s="1"/>
  <c r="K4072" i="2"/>
  <c r="J4072" i="2"/>
  <c r="I4072" i="2"/>
  <c r="L4072" i="2" s="1"/>
  <c r="H4072" i="2"/>
  <c r="K4071" i="2"/>
  <c r="J4071" i="2"/>
  <c r="I4071" i="2"/>
  <c r="L4071" i="2" s="1"/>
  <c r="H4071" i="2"/>
  <c r="K4070" i="2"/>
  <c r="J4070" i="2"/>
  <c r="I4070" i="2"/>
  <c r="L4070" i="2" s="1"/>
  <c r="H4070" i="2"/>
  <c r="K4069" i="2"/>
  <c r="J4069" i="2"/>
  <c r="H4069" i="2"/>
  <c r="I4069" i="2" s="1"/>
  <c r="L4069" i="2" s="1"/>
  <c r="L4068" i="2"/>
  <c r="K4068" i="2"/>
  <c r="J4068" i="2"/>
  <c r="I4068" i="2"/>
  <c r="H4068" i="2"/>
  <c r="K4067" i="2"/>
  <c r="J4067" i="2"/>
  <c r="I4067" i="2"/>
  <c r="L4067" i="2" s="1"/>
  <c r="H4067" i="2"/>
  <c r="K4066" i="2"/>
  <c r="J4066" i="2"/>
  <c r="H4066" i="2"/>
  <c r="I4066" i="2" s="1"/>
  <c r="L4066" i="2" s="1"/>
  <c r="L4065" i="2"/>
  <c r="K4065" i="2"/>
  <c r="J4065" i="2"/>
  <c r="H4065" i="2"/>
  <c r="I4065" i="2" s="1"/>
  <c r="K4064" i="2"/>
  <c r="J4064" i="2"/>
  <c r="H4064" i="2"/>
  <c r="I4064" i="2" s="1"/>
  <c r="L4064" i="2" s="1"/>
  <c r="K4063" i="2"/>
  <c r="J4063" i="2"/>
  <c r="H4063" i="2"/>
  <c r="I4063" i="2" s="1"/>
  <c r="L4063" i="2" s="1"/>
  <c r="K4062" i="2"/>
  <c r="J4062" i="2"/>
  <c r="I4062" i="2" s="1"/>
  <c r="L4062" i="2" s="1"/>
  <c r="H4062" i="2"/>
  <c r="K4061" i="2"/>
  <c r="J4061" i="2"/>
  <c r="I4061" i="2" s="1"/>
  <c r="L4061" i="2" s="1"/>
  <c r="H4061" i="2"/>
  <c r="L4060" i="2"/>
  <c r="K4060" i="2"/>
  <c r="J4060" i="2"/>
  <c r="I4060" i="2"/>
  <c r="H4060" i="2"/>
  <c r="K4059" i="2"/>
  <c r="J4059" i="2"/>
  <c r="H4059" i="2"/>
  <c r="L4058" i="2"/>
  <c r="K4058" i="2"/>
  <c r="J4058" i="2"/>
  <c r="I4058" i="2"/>
  <c r="H4058" i="2"/>
  <c r="L4057" i="2"/>
  <c r="K4057" i="2"/>
  <c r="J4057" i="2"/>
  <c r="I4057" i="2" s="1"/>
  <c r="H4057" i="2"/>
  <c r="K4056" i="2"/>
  <c r="J4056" i="2"/>
  <c r="H4056" i="2"/>
  <c r="I4056" i="2" s="1"/>
  <c r="L4056" i="2" s="1"/>
  <c r="L4055" i="2"/>
  <c r="K4055" i="2"/>
  <c r="J4055" i="2"/>
  <c r="I4055" i="2"/>
  <c r="H4055" i="2"/>
  <c r="L4054" i="2"/>
  <c r="K4054" i="2"/>
  <c r="J4054" i="2"/>
  <c r="H4054" i="2"/>
  <c r="I4054" i="2" s="1"/>
  <c r="K4053" i="2"/>
  <c r="J4053" i="2"/>
  <c r="H4053" i="2"/>
  <c r="I4053" i="2" s="1"/>
  <c r="L4053" i="2" s="1"/>
  <c r="K4052" i="2"/>
  <c r="J4052" i="2"/>
  <c r="H4052" i="2"/>
  <c r="I4052" i="2" s="1"/>
  <c r="L4052" i="2" s="1"/>
  <c r="K4051" i="2"/>
  <c r="J4051" i="2"/>
  <c r="I4051" i="2"/>
  <c r="L4051" i="2" s="1"/>
  <c r="H4051" i="2"/>
  <c r="K4050" i="2"/>
  <c r="J4050" i="2"/>
  <c r="H4050" i="2"/>
  <c r="I4050" i="2" s="1"/>
  <c r="L4050" i="2" s="1"/>
  <c r="K4049" i="2"/>
  <c r="J4049" i="2"/>
  <c r="H4049" i="2"/>
  <c r="I4049" i="2" s="1"/>
  <c r="L4049" i="2" s="1"/>
  <c r="L4048" i="2"/>
  <c r="K4048" i="2"/>
  <c r="J4048" i="2"/>
  <c r="I4048" i="2"/>
  <c r="H4048" i="2"/>
  <c r="L4047" i="2"/>
  <c r="K4047" i="2"/>
  <c r="J4047" i="2"/>
  <c r="I4047" i="2"/>
  <c r="H4047" i="2"/>
  <c r="K4046" i="2"/>
  <c r="J4046" i="2"/>
  <c r="I4046" i="2" s="1"/>
  <c r="L4046" i="2" s="1"/>
  <c r="H4046" i="2"/>
  <c r="K4045" i="2"/>
  <c r="J4045" i="2"/>
  <c r="H4045" i="2"/>
  <c r="L4044" i="2"/>
  <c r="K4044" i="2"/>
  <c r="J4044" i="2"/>
  <c r="I4044" i="2"/>
  <c r="H4044" i="2"/>
  <c r="K4043" i="2"/>
  <c r="J4043" i="2"/>
  <c r="I4043" i="2" s="1"/>
  <c r="L4043" i="2" s="1"/>
  <c r="H4043" i="2"/>
  <c r="K4042" i="2"/>
  <c r="J4042" i="2"/>
  <c r="I4042" i="2"/>
  <c r="L4042" i="2" s="1"/>
  <c r="H4042" i="2"/>
  <c r="L4041" i="2"/>
  <c r="K4041" i="2"/>
  <c r="J4041" i="2"/>
  <c r="I4041" i="2"/>
  <c r="H4041" i="2"/>
  <c r="L4040" i="2"/>
  <c r="K4040" i="2"/>
  <c r="J4040" i="2"/>
  <c r="H4040" i="2"/>
  <c r="I4040" i="2" s="1"/>
  <c r="K4039" i="2"/>
  <c r="J4039" i="2"/>
  <c r="I4039" i="2"/>
  <c r="L4039" i="2" s="1"/>
  <c r="H4039" i="2"/>
  <c r="K4038" i="2"/>
  <c r="J4038" i="2"/>
  <c r="I4038" i="2" s="1"/>
  <c r="L4038" i="2" s="1"/>
  <c r="H4038" i="2"/>
  <c r="L4037" i="2"/>
  <c r="K4037" i="2"/>
  <c r="J4037" i="2"/>
  <c r="I4037" i="2" s="1"/>
  <c r="H4037" i="2"/>
  <c r="K4036" i="2"/>
  <c r="J4036" i="2"/>
  <c r="H4036" i="2"/>
  <c r="I4036" i="2" s="1"/>
  <c r="L4036" i="2" s="1"/>
  <c r="L4035" i="2"/>
  <c r="K4035" i="2"/>
  <c r="J4035" i="2"/>
  <c r="I4035" i="2"/>
  <c r="H4035" i="2"/>
  <c r="K4034" i="2"/>
  <c r="J4034" i="2"/>
  <c r="I4034" i="2" s="1"/>
  <c r="L4034" i="2" s="1"/>
  <c r="H4034" i="2"/>
  <c r="K4033" i="2"/>
  <c r="J4033" i="2"/>
  <c r="H4033" i="2"/>
  <c r="K4032" i="2"/>
  <c r="J4032" i="2"/>
  <c r="H4032" i="2"/>
  <c r="I4032" i="2" s="1"/>
  <c r="L4032" i="2" s="1"/>
  <c r="K4031" i="2"/>
  <c r="J4031" i="2"/>
  <c r="I4031" i="2"/>
  <c r="L4031" i="2" s="1"/>
  <c r="H4031" i="2"/>
  <c r="K4030" i="2"/>
  <c r="J4030" i="2"/>
  <c r="H4030" i="2"/>
  <c r="I4030" i="2" s="1"/>
  <c r="L4030" i="2" s="1"/>
  <c r="L4029" i="2"/>
  <c r="K4029" i="2"/>
  <c r="J4029" i="2"/>
  <c r="I4029" i="2"/>
  <c r="H4029" i="2"/>
  <c r="K4028" i="2"/>
  <c r="J4028" i="2"/>
  <c r="H4028" i="2"/>
  <c r="K4027" i="2"/>
  <c r="J4027" i="2"/>
  <c r="H4027" i="2"/>
  <c r="I4027" i="2" s="1"/>
  <c r="L4027" i="2" s="1"/>
  <c r="K4026" i="2"/>
  <c r="J4026" i="2"/>
  <c r="H4026" i="2"/>
  <c r="I4026" i="2" s="1"/>
  <c r="L4026" i="2" s="1"/>
  <c r="K4025" i="2"/>
  <c r="J4025" i="2"/>
  <c r="H4025" i="2"/>
  <c r="K4024" i="2"/>
  <c r="J4024" i="2"/>
  <c r="H4024" i="2"/>
  <c r="I4024" i="2" s="1"/>
  <c r="L4024" i="2" s="1"/>
  <c r="L4023" i="2"/>
  <c r="K4023" i="2"/>
  <c r="J4023" i="2"/>
  <c r="H4023" i="2"/>
  <c r="I4023" i="2" s="1"/>
  <c r="K4022" i="2"/>
  <c r="J4022" i="2"/>
  <c r="I4022" i="2"/>
  <c r="L4022" i="2" s="1"/>
  <c r="H4022" i="2"/>
  <c r="K4021" i="2"/>
  <c r="J4021" i="2"/>
  <c r="H4021" i="2"/>
  <c r="I4021" i="2" s="1"/>
  <c r="L4021" i="2" s="1"/>
  <c r="K4020" i="2"/>
  <c r="J4020" i="2"/>
  <c r="I4020" i="2" s="1"/>
  <c r="L4020" i="2" s="1"/>
  <c r="H4020" i="2"/>
  <c r="K4019" i="2"/>
  <c r="J4019" i="2"/>
  <c r="H4019" i="2"/>
  <c r="I4019" i="2" s="1"/>
  <c r="L4019" i="2" s="1"/>
  <c r="K4018" i="2"/>
  <c r="J4018" i="2"/>
  <c r="I4018" i="2" s="1"/>
  <c r="L4018" i="2" s="1"/>
  <c r="H4018" i="2"/>
  <c r="L4017" i="2"/>
  <c r="K4017" i="2"/>
  <c r="J4017" i="2"/>
  <c r="I4017" i="2"/>
  <c r="H4017" i="2"/>
  <c r="L4016" i="2"/>
  <c r="K4016" i="2"/>
  <c r="J4016" i="2"/>
  <c r="I4016" i="2" s="1"/>
  <c r="H4016" i="2"/>
  <c r="L4015" i="2"/>
  <c r="K4015" i="2"/>
  <c r="J4015" i="2"/>
  <c r="H4015" i="2"/>
  <c r="I4015" i="2" s="1"/>
  <c r="K4014" i="2"/>
  <c r="J4014" i="2"/>
  <c r="H4014" i="2"/>
  <c r="I4014" i="2" s="1"/>
  <c r="L4014" i="2" s="1"/>
  <c r="L4013" i="2"/>
  <c r="K4013" i="2"/>
  <c r="J4013" i="2"/>
  <c r="I4013" i="2"/>
  <c r="H4013" i="2"/>
  <c r="L4012" i="2"/>
  <c r="K4012" i="2"/>
  <c r="J4012" i="2"/>
  <c r="I4012" i="2"/>
  <c r="H4012" i="2"/>
  <c r="L4011" i="2"/>
  <c r="K4011" i="2"/>
  <c r="J4011" i="2"/>
  <c r="I4011" i="2"/>
  <c r="H4011" i="2"/>
  <c r="L4010" i="2"/>
  <c r="K4010" i="2"/>
  <c r="J4010" i="2"/>
  <c r="I4010" i="2" s="1"/>
  <c r="H4010" i="2"/>
  <c r="K4009" i="2"/>
  <c r="J4009" i="2"/>
  <c r="H4009" i="2"/>
  <c r="I4009" i="2" s="1"/>
  <c r="L4009" i="2" s="1"/>
  <c r="L4008" i="2"/>
  <c r="K4008" i="2"/>
  <c r="J4008" i="2"/>
  <c r="I4008" i="2" s="1"/>
  <c r="H4008" i="2"/>
  <c r="K4007" i="2"/>
  <c r="J4007" i="2"/>
  <c r="H4007" i="2"/>
  <c r="I4007" i="2" s="1"/>
  <c r="L4007" i="2" s="1"/>
  <c r="K4006" i="2"/>
  <c r="J4006" i="2"/>
  <c r="H4006" i="2"/>
  <c r="I4006" i="2" s="1"/>
  <c r="L4006" i="2" s="1"/>
  <c r="K4005" i="2"/>
  <c r="J4005" i="2"/>
  <c r="H4005" i="2"/>
  <c r="I4005" i="2" s="1"/>
  <c r="L4005" i="2" s="1"/>
  <c r="K4004" i="2"/>
  <c r="J4004" i="2"/>
  <c r="H4004" i="2"/>
  <c r="K4003" i="2"/>
  <c r="J4003" i="2"/>
  <c r="H4003" i="2"/>
  <c r="I4003" i="2" s="1"/>
  <c r="L4003" i="2" s="1"/>
  <c r="K4002" i="2"/>
  <c r="J4002" i="2"/>
  <c r="I4002" i="2"/>
  <c r="L4002" i="2" s="1"/>
  <c r="H4002" i="2"/>
  <c r="K4001" i="2"/>
  <c r="J4001" i="2"/>
  <c r="H4001" i="2"/>
  <c r="I4001" i="2" s="1"/>
  <c r="L4001" i="2" s="1"/>
  <c r="K4000" i="2"/>
  <c r="J4000" i="2"/>
  <c r="H4000" i="2"/>
  <c r="I4000" i="2" s="1"/>
  <c r="L4000" i="2" s="1"/>
  <c r="L3999" i="2"/>
  <c r="K3999" i="2"/>
  <c r="J3999" i="2"/>
  <c r="I3999" i="2"/>
  <c r="H3999" i="2"/>
  <c r="K3998" i="2"/>
  <c r="J3998" i="2"/>
  <c r="I3998" i="2" s="1"/>
  <c r="L3998" i="2" s="1"/>
  <c r="H3998" i="2"/>
  <c r="K3997" i="2"/>
  <c r="J3997" i="2"/>
  <c r="H3997" i="2"/>
  <c r="I3997" i="2" s="1"/>
  <c r="L3997" i="2" s="1"/>
  <c r="L3996" i="2"/>
  <c r="K3996" i="2"/>
  <c r="J3996" i="2"/>
  <c r="H3996" i="2"/>
  <c r="I3996" i="2" s="1"/>
  <c r="K3995" i="2"/>
  <c r="J3995" i="2"/>
  <c r="I3995" i="2"/>
  <c r="L3995" i="2" s="1"/>
  <c r="H3995" i="2"/>
  <c r="K3994" i="2"/>
  <c r="J3994" i="2"/>
  <c r="I3994" i="2"/>
  <c r="L3994" i="2" s="1"/>
  <c r="H3994" i="2"/>
  <c r="K3993" i="2"/>
  <c r="J3993" i="2"/>
  <c r="H3993" i="2"/>
  <c r="K3992" i="2"/>
  <c r="J3992" i="2"/>
  <c r="H3992" i="2"/>
  <c r="K3991" i="2"/>
  <c r="J3991" i="2"/>
  <c r="I3991" i="2"/>
  <c r="L3991" i="2" s="1"/>
  <c r="H3991" i="2"/>
  <c r="K3990" i="2"/>
  <c r="J3990" i="2"/>
  <c r="I3990" i="2"/>
  <c r="L3990" i="2" s="1"/>
  <c r="H3990" i="2"/>
  <c r="K3989" i="2"/>
  <c r="J3989" i="2"/>
  <c r="I3989" i="2" s="1"/>
  <c r="L3989" i="2" s="1"/>
  <c r="H3989" i="2"/>
  <c r="K3988" i="2"/>
  <c r="J3988" i="2"/>
  <c r="I3988" i="2"/>
  <c r="L3988" i="2" s="1"/>
  <c r="H3988" i="2"/>
  <c r="K3987" i="2"/>
  <c r="J3987" i="2"/>
  <c r="H3987" i="2"/>
  <c r="I3987" i="2" s="1"/>
  <c r="L3987" i="2" s="1"/>
  <c r="L3986" i="2"/>
  <c r="K3986" i="2"/>
  <c r="J3986" i="2"/>
  <c r="I3986" i="2" s="1"/>
  <c r="H3986" i="2"/>
  <c r="L3985" i="2"/>
  <c r="K3985" i="2"/>
  <c r="J3985" i="2"/>
  <c r="H3985" i="2"/>
  <c r="I3985" i="2" s="1"/>
  <c r="K3984" i="2"/>
  <c r="J3984" i="2"/>
  <c r="I3984" i="2"/>
  <c r="L3984" i="2" s="1"/>
  <c r="H3984" i="2"/>
  <c r="L3983" i="2"/>
  <c r="K3983" i="2"/>
  <c r="J3983" i="2"/>
  <c r="I3983" i="2"/>
  <c r="H3983" i="2"/>
  <c r="L3982" i="2"/>
  <c r="K3982" i="2"/>
  <c r="J3982" i="2"/>
  <c r="I3982" i="2"/>
  <c r="H3982" i="2"/>
  <c r="K3981" i="2"/>
  <c r="J3981" i="2"/>
  <c r="H3981" i="2"/>
  <c r="K3980" i="2"/>
  <c r="J3980" i="2"/>
  <c r="I3980" i="2"/>
  <c r="L3980" i="2" s="1"/>
  <c r="H3980" i="2"/>
  <c r="K3979" i="2"/>
  <c r="J3979" i="2"/>
  <c r="H3979" i="2"/>
  <c r="I3979" i="2" s="1"/>
  <c r="L3979" i="2" s="1"/>
  <c r="K3978" i="2"/>
  <c r="J3978" i="2"/>
  <c r="H3978" i="2"/>
  <c r="I3978" i="2" s="1"/>
  <c r="L3978" i="2" s="1"/>
  <c r="K3977" i="2"/>
  <c r="J3977" i="2"/>
  <c r="H3977" i="2"/>
  <c r="I3977" i="2" s="1"/>
  <c r="L3977" i="2" s="1"/>
  <c r="K3976" i="2"/>
  <c r="J3976" i="2"/>
  <c r="I3976" i="2"/>
  <c r="L3976" i="2" s="1"/>
  <c r="H3976" i="2"/>
  <c r="K3975" i="2"/>
  <c r="J3975" i="2"/>
  <c r="I3975" i="2"/>
  <c r="L3975" i="2" s="1"/>
  <c r="H3975" i="2"/>
  <c r="K3974" i="2"/>
  <c r="J3974" i="2"/>
  <c r="I3974" i="2" s="1"/>
  <c r="L3974" i="2" s="1"/>
  <c r="H3974" i="2"/>
  <c r="L3973" i="2"/>
  <c r="K3973" i="2"/>
  <c r="J3973" i="2"/>
  <c r="I3973" i="2" s="1"/>
  <c r="H3973" i="2"/>
  <c r="K3972" i="2"/>
  <c r="J3972" i="2"/>
  <c r="H3972" i="2"/>
  <c r="I3972" i="2" s="1"/>
  <c r="L3972" i="2" s="1"/>
  <c r="K3971" i="2"/>
  <c r="J3971" i="2"/>
  <c r="H3971" i="2"/>
  <c r="I3971" i="2" s="1"/>
  <c r="L3971" i="2" s="1"/>
  <c r="K3970" i="2"/>
  <c r="J3970" i="2"/>
  <c r="I3970" i="2"/>
  <c r="L3970" i="2" s="1"/>
  <c r="H3970" i="2"/>
  <c r="K3969" i="2"/>
  <c r="J3969" i="2"/>
  <c r="H3969" i="2"/>
  <c r="I3969" i="2" s="1"/>
  <c r="L3969" i="2" s="1"/>
  <c r="L3968" i="2"/>
  <c r="K3968" i="2"/>
  <c r="J3968" i="2"/>
  <c r="I3968" i="2"/>
  <c r="H3968" i="2"/>
  <c r="K3967" i="2"/>
  <c r="J3967" i="2"/>
  <c r="H3967" i="2"/>
  <c r="I3967" i="2" s="1"/>
  <c r="L3967" i="2" s="1"/>
  <c r="K3966" i="2"/>
  <c r="J3966" i="2"/>
  <c r="H3966" i="2"/>
  <c r="I3966" i="2" s="1"/>
  <c r="L3966" i="2" s="1"/>
  <c r="L3965" i="2"/>
  <c r="K3965" i="2"/>
  <c r="J3965" i="2"/>
  <c r="H3965" i="2"/>
  <c r="I3965" i="2" s="1"/>
  <c r="K3964" i="2"/>
  <c r="J3964" i="2"/>
  <c r="I3964" i="2"/>
  <c r="L3964" i="2" s="1"/>
  <c r="H3964" i="2"/>
  <c r="K3963" i="2"/>
  <c r="J3963" i="2"/>
  <c r="I3963" i="2" s="1"/>
  <c r="L3963" i="2" s="1"/>
  <c r="H3963" i="2"/>
  <c r="L3962" i="2"/>
  <c r="K3962" i="2"/>
  <c r="J3962" i="2"/>
  <c r="I3962" i="2"/>
  <c r="H3962" i="2"/>
  <c r="K3961" i="2"/>
  <c r="J3961" i="2"/>
  <c r="I3961" i="2"/>
  <c r="L3961" i="2" s="1"/>
  <c r="H3961" i="2"/>
  <c r="L3960" i="2"/>
  <c r="K3960" i="2"/>
  <c r="J3960" i="2"/>
  <c r="I3960" i="2"/>
  <c r="H3960" i="2"/>
  <c r="K3959" i="2"/>
  <c r="J3959" i="2"/>
  <c r="H3959" i="2"/>
  <c r="I3959" i="2" s="1"/>
  <c r="L3959" i="2" s="1"/>
  <c r="K3958" i="2"/>
  <c r="J3958" i="2"/>
  <c r="H3958" i="2"/>
  <c r="L3957" i="2"/>
  <c r="K3957" i="2"/>
  <c r="J3957" i="2"/>
  <c r="H3957" i="2"/>
  <c r="I3957" i="2" s="1"/>
  <c r="K3956" i="2"/>
  <c r="J3956" i="2"/>
  <c r="H3956" i="2"/>
  <c r="I3956" i="2" s="1"/>
  <c r="L3956" i="2" s="1"/>
  <c r="K3955" i="2"/>
  <c r="J3955" i="2"/>
  <c r="I3955" i="2"/>
  <c r="L3955" i="2" s="1"/>
  <c r="H3955" i="2"/>
  <c r="K3954" i="2"/>
  <c r="J3954" i="2"/>
  <c r="H3954" i="2"/>
  <c r="I3954" i="2" s="1"/>
  <c r="L3954" i="2" s="1"/>
  <c r="K3953" i="2"/>
  <c r="J3953" i="2"/>
  <c r="I3953" i="2" s="1"/>
  <c r="L3953" i="2" s="1"/>
  <c r="H3953" i="2"/>
  <c r="K3952" i="2"/>
  <c r="J3952" i="2"/>
  <c r="H3952" i="2"/>
  <c r="I3952" i="2" s="1"/>
  <c r="L3952" i="2" s="1"/>
  <c r="K3951" i="2"/>
  <c r="J3951" i="2"/>
  <c r="I3951" i="2"/>
  <c r="L3951" i="2" s="1"/>
  <c r="H3951" i="2"/>
  <c r="K3950" i="2"/>
  <c r="J3950" i="2"/>
  <c r="I3950" i="2"/>
  <c r="L3950" i="2" s="1"/>
  <c r="H3950" i="2"/>
  <c r="K3949" i="2"/>
  <c r="J3949" i="2"/>
  <c r="I3949" i="2"/>
  <c r="L3949" i="2" s="1"/>
  <c r="H3949" i="2"/>
  <c r="L3948" i="2"/>
  <c r="K3948" i="2"/>
  <c r="J3948" i="2"/>
  <c r="I3948" i="2"/>
  <c r="H3948" i="2"/>
  <c r="K3947" i="2"/>
  <c r="J3947" i="2"/>
  <c r="I3947" i="2" s="1"/>
  <c r="L3947" i="2" s="1"/>
  <c r="H3947" i="2"/>
  <c r="L3946" i="2"/>
  <c r="K3946" i="2"/>
  <c r="J3946" i="2"/>
  <c r="H3946" i="2"/>
  <c r="I3946" i="2" s="1"/>
  <c r="K3945" i="2"/>
  <c r="J3945" i="2"/>
  <c r="H3945" i="2"/>
  <c r="K3944" i="2"/>
  <c r="J3944" i="2"/>
  <c r="H3944" i="2"/>
  <c r="K3943" i="2"/>
  <c r="J3943" i="2"/>
  <c r="H3943" i="2"/>
  <c r="I3943" i="2" s="1"/>
  <c r="L3943" i="2" s="1"/>
  <c r="K3942" i="2"/>
  <c r="J3942" i="2"/>
  <c r="I3942" i="2"/>
  <c r="L3942" i="2" s="1"/>
  <c r="H3942" i="2"/>
  <c r="L3941" i="2"/>
  <c r="K3941" i="2"/>
  <c r="J3941" i="2"/>
  <c r="I3941" i="2"/>
  <c r="H3941" i="2"/>
  <c r="L3940" i="2"/>
  <c r="K3940" i="2"/>
  <c r="J3940" i="2"/>
  <c r="I3940" i="2"/>
  <c r="H3940" i="2"/>
  <c r="K3939" i="2"/>
  <c r="J3939" i="2"/>
  <c r="I3939" i="2"/>
  <c r="L3939" i="2" s="1"/>
  <c r="H3939" i="2"/>
  <c r="L3938" i="2"/>
  <c r="K3938" i="2"/>
  <c r="J3938" i="2"/>
  <c r="I3938" i="2" s="1"/>
  <c r="H3938" i="2"/>
  <c r="K3937" i="2"/>
  <c r="J3937" i="2"/>
  <c r="I3937" i="2"/>
  <c r="L3937" i="2" s="1"/>
  <c r="H3937" i="2"/>
  <c r="K3936" i="2"/>
  <c r="J3936" i="2"/>
  <c r="I3936" i="2"/>
  <c r="L3936" i="2" s="1"/>
  <c r="H3936" i="2"/>
  <c r="K3935" i="2"/>
  <c r="J3935" i="2"/>
  <c r="H3935" i="2"/>
  <c r="I3935" i="2" s="1"/>
  <c r="L3935" i="2" s="1"/>
  <c r="K3934" i="2"/>
  <c r="J3934" i="2"/>
  <c r="H3934" i="2"/>
  <c r="I3934" i="2" s="1"/>
  <c r="L3934" i="2" s="1"/>
  <c r="L3933" i="2"/>
  <c r="K3933" i="2"/>
  <c r="J3933" i="2"/>
  <c r="H3933" i="2"/>
  <c r="I3933" i="2" s="1"/>
  <c r="L3932" i="2"/>
  <c r="K3932" i="2"/>
  <c r="J3932" i="2"/>
  <c r="H3932" i="2"/>
  <c r="I3932" i="2" s="1"/>
  <c r="L3931" i="2"/>
  <c r="K3931" i="2"/>
  <c r="J3931" i="2"/>
  <c r="I3931" i="2"/>
  <c r="H3931" i="2"/>
  <c r="K3930" i="2"/>
  <c r="J3930" i="2"/>
  <c r="I3930" i="2"/>
  <c r="L3930" i="2" s="1"/>
  <c r="H3930" i="2"/>
  <c r="K3929" i="2"/>
  <c r="J3929" i="2"/>
  <c r="I3929" i="2" s="1"/>
  <c r="L3929" i="2" s="1"/>
  <c r="H3929" i="2"/>
  <c r="K3928" i="2"/>
  <c r="J3928" i="2"/>
  <c r="H3928" i="2"/>
  <c r="I3928" i="2" s="1"/>
  <c r="L3928" i="2" s="1"/>
  <c r="K3927" i="2"/>
  <c r="J3927" i="2"/>
  <c r="H3927" i="2"/>
  <c r="I3927" i="2" s="1"/>
  <c r="L3927" i="2" s="1"/>
  <c r="K3926" i="2"/>
  <c r="J3926" i="2"/>
  <c r="I3926" i="2"/>
  <c r="L3926" i="2" s="1"/>
  <c r="H3926" i="2"/>
  <c r="K3925" i="2"/>
  <c r="J3925" i="2"/>
  <c r="H3925" i="2"/>
  <c r="L3924" i="2"/>
  <c r="K3924" i="2"/>
  <c r="J3924" i="2"/>
  <c r="I3924" i="2"/>
  <c r="H3924" i="2"/>
  <c r="L3923" i="2"/>
  <c r="K3923" i="2"/>
  <c r="J3923" i="2"/>
  <c r="I3923" i="2"/>
  <c r="H3923" i="2"/>
  <c r="K3922" i="2"/>
  <c r="J3922" i="2"/>
  <c r="I3922" i="2"/>
  <c r="L3922" i="2" s="1"/>
  <c r="H3922" i="2"/>
  <c r="K3921" i="2"/>
  <c r="J3921" i="2"/>
  <c r="H3921" i="2"/>
  <c r="I3921" i="2" s="1"/>
  <c r="L3921" i="2" s="1"/>
  <c r="K3920" i="2"/>
  <c r="J3920" i="2"/>
  <c r="H3920" i="2"/>
  <c r="I3920" i="2" s="1"/>
  <c r="L3920" i="2" s="1"/>
  <c r="K3919" i="2"/>
  <c r="J3919" i="2"/>
  <c r="H3919" i="2"/>
  <c r="I3919" i="2" s="1"/>
  <c r="L3919" i="2" s="1"/>
  <c r="L3918" i="2"/>
  <c r="K3918" i="2"/>
  <c r="J3918" i="2"/>
  <c r="H3918" i="2"/>
  <c r="I3918" i="2" s="1"/>
  <c r="K3917" i="2"/>
  <c r="J3917" i="2"/>
  <c r="H3917" i="2"/>
  <c r="I3917" i="2" s="1"/>
  <c r="L3917" i="2" s="1"/>
  <c r="K3916" i="2"/>
  <c r="J3916" i="2"/>
  <c r="I3916" i="2" s="1"/>
  <c r="L3916" i="2" s="1"/>
  <c r="H3916" i="2"/>
  <c r="K3915" i="2"/>
  <c r="J3915" i="2"/>
  <c r="H3915" i="2"/>
  <c r="I3915" i="2" s="1"/>
  <c r="L3915" i="2" s="1"/>
  <c r="K3914" i="2"/>
  <c r="J3914" i="2"/>
  <c r="I3914" i="2"/>
  <c r="L3914" i="2" s="1"/>
  <c r="H3914" i="2"/>
  <c r="K3913" i="2"/>
  <c r="J3913" i="2"/>
  <c r="I3913" i="2" s="1"/>
  <c r="L3913" i="2" s="1"/>
  <c r="H3913" i="2"/>
  <c r="K3912" i="2"/>
  <c r="J3912" i="2"/>
  <c r="I3912" i="2"/>
  <c r="L3912" i="2" s="1"/>
  <c r="H3912" i="2"/>
  <c r="K3911" i="2"/>
  <c r="J3911" i="2"/>
  <c r="H3911" i="2"/>
  <c r="I3911" i="2" s="1"/>
  <c r="L3911" i="2" s="1"/>
  <c r="L3910" i="2"/>
  <c r="K3910" i="2"/>
  <c r="J3910" i="2"/>
  <c r="I3910" i="2"/>
  <c r="H3910" i="2"/>
  <c r="K3909" i="2"/>
  <c r="J3909" i="2"/>
  <c r="I3909" i="2"/>
  <c r="L3909" i="2" s="1"/>
  <c r="H3909" i="2"/>
  <c r="K3908" i="2"/>
  <c r="J3908" i="2"/>
  <c r="H3908" i="2"/>
  <c r="I3908" i="2" s="1"/>
  <c r="L3908" i="2" s="1"/>
  <c r="L3907" i="2"/>
  <c r="K3907" i="2"/>
  <c r="J3907" i="2"/>
  <c r="I3907" i="2"/>
  <c r="H3907" i="2"/>
  <c r="L3906" i="2"/>
  <c r="K3906" i="2"/>
  <c r="J3906" i="2"/>
  <c r="I3906" i="2"/>
  <c r="H3906" i="2"/>
  <c r="K3905" i="2"/>
  <c r="J3905" i="2"/>
  <c r="H3905" i="2"/>
  <c r="I3905" i="2" s="1"/>
  <c r="L3905" i="2" s="1"/>
  <c r="K3904" i="2"/>
  <c r="J3904" i="2"/>
  <c r="I3904" i="2"/>
  <c r="L3904" i="2" s="1"/>
  <c r="H3904" i="2"/>
  <c r="L3903" i="2"/>
  <c r="K3903" i="2"/>
  <c r="J3903" i="2"/>
  <c r="I3903" i="2"/>
  <c r="H3903" i="2"/>
  <c r="L3902" i="2"/>
  <c r="K3902" i="2"/>
  <c r="J3902" i="2"/>
  <c r="I3902" i="2"/>
  <c r="H3902" i="2"/>
  <c r="L3901" i="2"/>
  <c r="K3901" i="2"/>
  <c r="J3901" i="2"/>
  <c r="I3901" i="2"/>
  <c r="H3901" i="2"/>
  <c r="K3900" i="2"/>
  <c r="J3900" i="2"/>
  <c r="I3900" i="2"/>
  <c r="L3900" i="2" s="1"/>
  <c r="H3900" i="2"/>
  <c r="L3899" i="2"/>
  <c r="K3899" i="2"/>
  <c r="J3899" i="2"/>
  <c r="I3899" i="2"/>
  <c r="H3899" i="2"/>
  <c r="L3898" i="2"/>
  <c r="K3898" i="2"/>
  <c r="J3898" i="2"/>
  <c r="I3898" i="2"/>
  <c r="H3898" i="2"/>
  <c r="K3897" i="2"/>
  <c r="J3897" i="2"/>
  <c r="H3897" i="2"/>
  <c r="K3896" i="2"/>
  <c r="J3896" i="2"/>
  <c r="H3896" i="2"/>
  <c r="K3895" i="2"/>
  <c r="J3895" i="2"/>
  <c r="H3895" i="2"/>
  <c r="I3895" i="2" s="1"/>
  <c r="L3895" i="2" s="1"/>
  <c r="L3894" i="2"/>
  <c r="K3894" i="2"/>
  <c r="J3894" i="2"/>
  <c r="I3894" i="2"/>
  <c r="H3894" i="2"/>
  <c r="K3893" i="2"/>
  <c r="J3893" i="2"/>
  <c r="I3893" i="2" s="1"/>
  <c r="L3893" i="2" s="1"/>
  <c r="H3893" i="2"/>
  <c r="K3892" i="2"/>
  <c r="J3892" i="2"/>
  <c r="I3892" i="2" s="1"/>
  <c r="L3892" i="2" s="1"/>
  <c r="H3892" i="2"/>
  <c r="K3891" i="2"/>
  <c r="J3891" i="2"/>
  <c r="H3891" i="2"/>
  <c r="I3891" i="2" s="1"/>
  <c r="L3891" i="2" s="1"/>
  <c r="L3890" i="2"/>
  <c r="K3890" i="2"/>
  <c r="J3890" i="2"/>
  <c r="I3890" i="2" s="1"/>
  <c r="H3890" i="2"/>
  <c r="L3889" i="2"/>
  <c r="K3889" i="2"/>
  <c r="J3889" i="2"/>
  <c r="I3889" i="2"/>
  <c r="H3889" i="2"/>
  <c r="K3888" i="2"/>
  <c r="J3888" i="2"/>
  <c r="I3888" i="2"/>
  <c r="L3888" i="2" s="1"/>
  <c r="H3888" i="2"/>
  <c r="K3887" i="2"/>
  <c r="J3887" i="2"/>
  <c r="H3887" i="2"/>
  <c r="I3887" i="2" s="1"/>
  <c r="L3887" i="2" s="1"/>
  <c r="K3886" i="2"/>
  <c r="J3886" i="2"/>
  <c r="H3886" i="2"/>
  <c r="I3886" i="2" s="1"/>
  <c r="L3886" i="2" s="1"/>
  <c r="K3885" i="2"/>
  <c r="J3885" i="2"/>
  <c r="I3885" i="2"/>
  <c r="L3885" i="2" s="1"/>
  <c r="H3885" i="2"/>
  <c r="K3884" i="2"/>
  <c r="J3884" i="2"/>
  <c r="I3884" i="2"/>
  <c r="L3884" i="2" s="1"/>
  <c r="H3884" i="2"/>
  <c r="K3883" i="2"/>
  <c r="J3883" i="2"/>
  <c r="H3883" i="2"/>
  <c r="I3883" i="2" s="1"/>
  <c r="L3883" i="2" s="1"/>
  <c r="K3882" i="2"/>
  <c r="J3882" i="2"/>
  <c r="I3882" i="2"/>
  <c r="L3882" i="2" s="1"/>
  <c r="H3882" i="2"/>
  <c r="K3881" i="2"/>
  <c r="J3881" i="2"/>
  <c r="H3881" i="2"/>
  <c r="K3880" i="2"/>
  <c r="J3880" i="2"/>
  <c r="I3880" i="2"/>
  <c r="L3880" i="2" s="1"/>
  <c r="H3880" i="2"/>
  <c r="K3879" i="2"/>
  <c r="J3879" i="2"/>
  <c r="H3879" i="2"/>
  <c r="I3879" i="2" s="1"/>
  <c r="L3879" i="2" s="1"/>
  <c r="K3878" i="2"/>
  <c r="J3878" i="2"/>
  <c r="H3878" i="2"/>
  <c r="K3877" i="2"/>
  <c r="J3877" i="2"/>
  <c r="I3877" i="2" s="1"/>
  <c r="L3877" i="2" s="1"/>
  <c r="H3877" i="2"/>
  <c r="K3876" i="2"/>
  <c r="J3876" i="2"/>
  <c r="I3876" i="2"/>
  <c r="L3876" i="2" s="1"/>
  <c r="H3876" i="2"/>
  <c r="K3875" i="2"/>
  <c r="J3875" i="2"/>
  <c r="H3875" i="2"/>
  <c r="L3874" i="2"/>
  <c r="K3874" i="2"/>
  <c r="J3874" i="2"/>
  <c r="H3874" i="2"/>
  <c r="I3874" i="2" s="1"/>
  <c r="K3873" i="2"/>
  <c r="J3873" i="2"/>
  <c r="H3873" i="2"/>
  <c r="I3873" i="2" s="1"/>
  <c r="L3873" i="2" s="1"/>
  <c r="K3872" i="2"/>
  <c r="J3872" i="2"/>
  <c r="H3872" i="2"/>
  <c r="I3872" i="2" s="1"/>
  <c r="L3872" i="2" s="1"/>
  <c r="K3871" i="2"/>
  <c r="J3871" i="2"/>
  <c r="I3871" i="2"/>
  <c r="L3871" i="2" s="1"/>
  <c r="H3871" i="2"/>
  <c r="K3870" i="2"/>
  <c r="J3870" i="2"/>
  <c r="H3870" i="2"/>
  <c r="I3870" i="2" s="1"/>
  <c r="L3870" i="2" s="1"/>
  <c r="K3869" i="2"/>
  <c r="J3869" i="2"/>
  <c r="H3869" i="2"/>
  <c r="I3869" i="2" s="1"/>
  <c r="L3869" i="2" s="1"/>
  <c r="K3868" i="2"/>
  <c r="J3868" i="2"/>
  <c r="I3868" i="2"/>
  <c r="L3868" i="2" s="1"/>
  <c r="H3868" i="2"/>
  <c r="K3867" i="2"/>
  <c r="J3867" i="2"/>
  <c r="I3867" i="2"/>
  <c r="L3867" i="2" s="1"/>
  <c r="H3867" i="2"/>
  <c r="K3866" i="2"/>
  <c r="J3866" i="2"/>
  <c r="I3866" i="2"/>
  <c r="L3866" i="2" s="1"/>
  <c r="H3866" i="2"/>
  <c r="L3865" i="2"/>
  <c r="K3865" i="2"/>
  <c r="J3865" i="2"/>
  <c r="I3865" i="2"/>
  <c r="H3865" i="2"/>
  <c r="L3864" i="2"/>
  <c r="K3864" i="2"/>
  <c r="J3864" i="2"/>
  <c r="I3864" i="2" s="1"/>
  <c r="H3864" i="2"/>
  <c r="K3863" i="2"/>
  <c r="J3863" i="2"/>
  <c r="H3863" i="2"/>
  <c r="K3862" i="2"/>
  <c r="J3862" i="2"/>
  <c r="I3862" i="2"/>
  <c r="L3862" i="2" s="1"/>
  <c r="H3862" i="2"/>
  <c r="K3861" i="2"/>
  <c r="J3861" i="2"/>
  <c r="I3861" i="2"/>
  <c r="L3861" i="2" s="1"/>
  <c r="H3861" i="2"/>
  <c r="K3860" i="2"/>
  <c r="J3860" i="2"/>
  <c r="H3860" i="2"/>
  <c r="K3859" i="2"/>
  <c r="J3859" i="2"/>
  <c r="H3859" i="2"/>
  <c r="I3859" i="2" s="1"/>
  <c r="L3859" i="2" s="1"/>
  <c r="L3858" i="2"/>
  <c r="K3858" i="2"/>
  <c r="J3858" i="2"/>
  <c r="I3858" i="2"/>
  <c r="H3858" i="2"/>
  <c r="K3857" i="2"/>
  <c r="J3857" i="2"/>
  <c r="I3857" i="2" s="1"/>
  <c r="L3857" i="2" s="1"/>
  <c r="H3857" i="2"/>
  <c r="K3856" i="2"/>
  <c r="J3856" i="2"/>
  <c r="I3856" i="2" s="1"/>
  <c r="L3856" i="2" s="1"/>
  <c r="H3856" i="2"/>
  <c r="K3855" i="2"/>
  <c r="J3855" i="2"/>
  <c r="H3855" i="2"/>
  <c r="I3855" i="2" s="1"/>
  <c r="L3855" i="2" s="1"/>
  <c r="K3854" i="2"/>
  <c r="J3854" i="2"/>
  <c r="H3854" i="2"/>
  <c r="K3853" i="2"/>
  <c r="J3853" i="2"/>
  <c r="I3853" i="2" s="1"/>
  <c r="L3853" i="2" s="1"/>
  <c r="H3853" i="2"/>
  <c r="K3852" i="2"/>
  <c r="J3852" i="2"/>
  <c r="I3852" i="2"/>
  <c r="L3852" i="2" s="1"/>
  <c r="H3852" i="2"/>
  <c r="K3851" i="2"/>
  <c r="J3851" i="2"/>
  <c r="H3851" i="2"/>
  <c r="K3850" i="2"/>
  <c r="J3850" i="2"/>
  <c r="I3850" i="2"/>
  <c r="L3850" i="2" s="1"/>
  <c r="H3850" i="2"/>
  <c r="K3849" i="2"/>
  <c r="J3849" i="2"/>
  <c r="I3849" i="2"/>
  <c r="L3849" i="2" s="1"/>
  <c r="H3849" i="2"/>
  <c r="K3848" i="2"/>
  <c r="J3848" i="2"/>
  <c r="H3848" i="2"/>
  <c r="I3848" i="2" s="1"/>
  <c r="L3848" i="2" s="1"/>
  <c r="K3847" i="2"/>
  <c r="J3847" i="2"/>
  <c r="I3847" i="2"/>
  <c r="L3847" i="2" s="1"/>
  <c r="H3847" i="2"/>
  <c r="K3846" i="2"/>
  <c r="J3846" i="2"/>
  <c r="I3846" i="2"/>
  <c r="L3846" i="2" s="1"/>
  <c r="H3846" i="2"/>
  <c r="K3845" i="2"/>
  <c r="J3845" i="2"/>
  <c r="H3845" i="2"/>
  <c r="I3845" i="2" s="1"/>
  <c r="L3845" i="2" s="1"/>
  <c r="K3844" i="2"/>
  <c r="J3844" i="2"/>
  <c r="I3844" i="2"/>
  <c r="L3844" i="2" s="1"/>
  <c r="H3844" i="2"/>
  <c r="L3843" i="2"/>
  <c r="K3843" i="2"/>
  <c r="J3843" i="2"/>
  <c r="H3843" i="2"/>
  <c r="I3843" i="2" s="1"/>
  <c r="K3842" i="2"/>
  <c r="J3842" i="2"/>
  <c r="H3842" i="2"/>
  <c r="I3842" i="2" s="1"/>
  <c r="L3842" i="2" s="1"/>
  <c r="K3841" i="2"/>
  <c r="J3841" i="2"/>
  <c r="I3841" i="2"/>
  <c r="L3841" i="2" s="1"/>
  <c r="H3841" i="2"/>
  <c r="K3840" i="2"/>
  <c r="J3840" i="2"/>
  <c r="H3840" i="2"/>
  <c r="I3840" i="2" s="1"/>
  <c r="L3840" i="2" s="1"/>
  <c r="K3839" i="2"/>
  <c r="J3839" i="2"/>
  <c r="H3839" i="2"/>
  <c r="I3839" i="2" s="1"/>
  <c r="L3839" i="2" s="1"/>
  <c r="K3838" i="2"/>
  <c r="J3838" i="2"/>
  <c r="H3838" i="2"/>
  <c r="K3837" i="2"/>
  <c r="J3837" i="2"/>
  <c r="H3837" i="2"/>
  <c r="I3837" i="2" s="1"/>
  <c r="L3837" i="2" s="1"/>
  <c r="K3836" i="2"/>
  <c r="J3836" i="2"/>
  <c r="H3836" i="2"/>
  <c r="I3836" i="2" s="1"/>
  <c r="L3836" i="2" s="1"/>
  <c r="K3835" i="2"/>
  <c r="J3835" i="2"/>
  <c r="I3835" i="2"/>
  <c r="L3835" i="2" s="1"/>
  <c r="H3835" i="2"/>
  <c r="L3834" i="2"/>
  <c r="K3834" i="2"/>
  <c r="J3834" i="2"/>
  <c r="I3834" i="2"/>
  <c r="H3834" i="2"/>
  <c r="K3833" i="2"/>
  <c r="J3833" i="2"/>
  <c r="H3833" i="2"/>
  <c r="I3833" i="2" s="1"/>
  <c r="L3833" i="2" s="1"/>
  <c r="K3832" i="2"/>
  <c r="J3832" i="2"/>
  <c r="I3832" i="2"/>
  <c r="L3832" i="2" s="1"/>
  <c r="H3832" i="2"/>
  <c r="L3831" i="2"/>
  <c r="K3831" i="2"/>
  <c r="J3831" i="2"/>
  <c r="H3831" i="2"/>
  <c r="I3831" i="2" s="1"/>
  <c r="L3830" i="2"/>
  <c r="K3830" i="2"/>
  <c r="J3830" i="2"/>
  <c r="I3830" i="2"/>
  <c r="H3830" i="2"/>
  <c r="L3829" i="2"/>
  <c r="K3829" i="2"/>
  <c r="J3829" i="2"/>
  <c r="I3829" i="2" s="1"/>
  <c r="H3829" i="2"/>
  <c r="K3828" i="2"/>
  <c r="J3828" i="2"/>
  <c r="I3828" i="2"/>
  <c r="L3828" i="2" s="1"/>
  <c r="H3828" i="2"/>
  <c r="K3827" i="2"/>
  <c r="J3827" i="2"/>
  <c r="H3827" i="2"/>
  <c r="I3827" i="2" s="1"/>
  <c r="L3827" i="2" s="1"/>
  <c r="K3826" i="2"/>
  <c r="J3826" i="2"/>
  <c r="H3826" i="2"/>
  <c r="I3826" i="2" s="1"/>
  <c r="L3826" i="2" s="1"/>
  <c r="K3825" i="2"/>
  <c r="J3825" i="2"/>
  <c r="I3825" i="2"/>
  <c r="L3825" i="2" s="1"/>
  <c r="H3825" i="2"/>
  <c r="K3824" i="2"/>
  <c r="J3824" i="2"/>
  <c r="H3824" i="2"/>
  <c r="I3824" i="2" s="1"/>
  <c r="L3824" i="2" s="1"/>
  <c r="K3823" i="2"/>
  <c r="J3823" i="2"/>
  <c r="H3823" i="2"/>
  <c r="I3823" i="2" s="1"/>
  <c r="L3823" i="2" s="1"/>
  <c r="L3822" i="2"/>
  <c r="K3822" i="2"/>
  <c r="J3822" i="2"/>
  <c r="H3822" i="2"/>
  <c r="I3822" i="2" s="1"/>
  <c r="K3821" i="2"/>
  <c r="J3821" i="2"/>
  <c r="I3821" i="2"/>
  <c r="L3821" i="2" s="1"/>
  <c r="H3821" i="2"/>
  <c r="K3820" i="2"/>
  <c r="J3820" i="2"/>
  <c r="I3820" i="2" s="1"/>
  <c r="L3820" i="2" s="1"/>
  <c r="H3820" i="2"/>
  <c r="L3819" i="2"/>
  <c r="K3819" i="2"/>
  <c r="J3819" i="2"/>
  <c r="I3819" i="2"/>
  <c r="H3819" i="2"/>
  <c r="K3818" i="2"/>
  <c r="J3818" i="2"/>
  <c r="H3818" i="2"/>
  <c r="I3818" i="2" s="1"/>
  <c r="L3818" i="2" s="1"/>
  <c r="L3817" i="2"/>
  <c r="K3817" i="2"/>
  <c r="J3817" i="2"/>
  <c r="I3817" i="2" s="1"/>
  <c r="H3817" i="2"/>
  <c r="L3816" i="2"/>
  <c r="K3816" i="2"/>
  <c r="J3816" i="2"/>
  <c r="I3816" i="2"/>
  <c r="H3816" i="2"/>
  <c r="L3815" i="2"/>
  <c r="K3815" i="2"/>
  <c r="J3815" i="2"/>
  <c r="I3815" i="2"/>
  <c r="H3815" i="2"/>
  <c r="K3814" i="2"/>
  <c r="J3814" i="2"/>
  <c r="I3814" i="2"/>
  <c r="L3814" i="2" s="1"/>
  <c r="H3814" i="2"/>
  <c r="L3813" i="2"/>
  <c r="K3813" i="2"/>
  <c r="J3813" i="2"/>
  <c r="I3813" i="2"/>
  <c r="H3813" i="2"/>
  <c r="K3812" i="2"/>
  <c r="J3812" i="2"/>
  <c r="H3812" i="2"/>
  <c r="K3811" i="2"/>
  <c r="J3811" i="2"/>
  <c r="I3811" i="2"/>
  <c r="L3811" i="2" s="1"/>
  <c r="H3811" i="2"/>
  <c r="L3810" i="2"/>
  <c r="K3810" i="2"/>
  <c r="J3810" i="2"/>
  <c r="I3810" i="2"/>
  <c r="H3810" i="2"/>
  <c r="K3809" i="2"/>
  <c r="J3809" i="2"/>
  <c r="I3809" i="2"/>
  <c r="L3809" i="2" s="1"/>
  <c r="H3809" i="2"/>
  <c r="K3808" i="2"/>
  <c r="J3808" i="2"/>
  <c r="I3808" i="2" s="1"/>
  <c r="L3808" i="2" s="1"/>
  <c r="H3808" i="2"/>
  <c r="K3807" i="2"/>
  <c r="J3807" i="2"/>
  <c r="I3807" i="2"/>
  <c r="L3807" i="2" s="1"/>
  <c r="H3807" i="2"/>
  <c r="K3806" i="2"/>
  <c r="J3806" i="2"/>
  <c r="H3806" i="2"/>
  <c r="I3806" i="2" s="1"/>
  <c r="L3806" i="2" s="1"/>
  <c r="L3805" i="2"/>
  <c r="K3805" i="2"/>
  <c r="J3805" i="2"/>
  <c r="I3805" i="2" s="1"/>
  <c r="H3805" i="2"/>
  <c r="K3804" i="2"/>
  <c r="J3804" i="2"/>
  <c r="I3804" i="2" s="1"/>
  <c r="L3804" i="2" s="1"/>
  <c r="H3804" i="2"/>
  <c r="K3803" i="2"/>
  <c r="J3803" i="2"/>
  <c r="H3803" i="2"/>
  <c r="K3802" i="2"/>
  <c r="J3802" i="2"/>
  <c r="I3802" i="2"/>
  <c r="L3802" i="2" s="1"/>
  <c r="H3802" i="2"/>
  <c r="L3801" i="2"/>
  <c r="K3801" i="2"/>
  <c r="J3801" i="2"/>
  <c r="H3801" i="2"/>
  <c r="I3801" i="2" s="1"/>
  <c r="K3800" i="2"/>
  <c r="J3800" i="2"/>
  <c r="H3800" i="2"/>
  <c r="I3800" i="2" s="1"/>
  <c r="L3800" i="2" s="1"/>
  <c r="K3799" i="2"/>
  <c r="J3799" i="2"/>
  <c r="H3799" i="2"/>
  <c r="I3799" i="2" s="1"/>
  <c r="L3799" i="2" s="1"/>
  <c r="L3798" i="2"/>
  <c r="K3798" i="2"/>
  <c r="J3798" i="2"/>
  <c r="I3798" i="2"/>
  <c r="H3798" i="2"/>
  <c r="K3797" i="2"/>
  <c r="J3797" i="2"/>
  <c r="I3797" i="2"/>
  <c r="L3797" i="2" s="1"/>
  <c r="H3797" i="2"/>
  <c r="K3796" i="2"/>
  <c r="J3796" i="2"/>
  <c r="I3796" i="2"/>
  <c r="L3796" i="2" s="1"/>
  <c r="H3796" i="2"/>
  <c r="K3795" i="2"/>
  <c r="J3795" i="2"/>
  <c r="I3795" i="2"/>
  <c r="L3795" i="2" s="1"/>
  <c r="H3795" i="2"/>
  <c r="K3794" i="2"/>
  <c r="J3794" i="2"/>
  <c r="H3794" i="2"/>
  <c r="I3794" i="2" s="1"/>
  <c r="L3794" i="2" s="1"/>
  <c r="K3793" i="2"/>
  <c r="J3793" i="2"/>
  <c r="H3793" i="2"/>
  <c r="I3793" i="2" s="1"/>
  <c r="L3793" i="2" s="1"/>
  <c r="L3792" i="2"/>
  <c r="K3792" i="2"/>
  <c r="J3792" i="2"/>
  <c r="H3792" i="2"/>
  <c r="I3792" i="2" s="1"/>
  <c r="K3791" i="2"/>
  <c r="J3791" i="2"/>
  <c r="H3791" i="2"/>
  <c r="I3791" i="2" s="1"/>
  <c r="L3791" i="2" s="1"/>
  <c r="K3790" i="2"/>
  <c r="J3790" i="2"/>
  <c r="I3790" i="2"/>
  <c r="L3790" i="2" s="1"/>
  <c r="H3790" i="2"/>
  <c r="L3789" i="2"/>
  <c r="K3789" i="2"/>
  <c r="J3789" i="2"/>
  <c r="H3789" i="2"/>
  <c r="I3789" i="2" s="1"/>
  <c r="K3788" i="2"/>
  <c r="J3788" i="2"/>
  <c r="I3788" i="2" s="1"/>
  <c r="L3788" i="2" s="1"/>
  <c r="H3788" i="2"/>
  <c r="K3787" i="2"/>
  <c r="J3787" i="2"/>
  <c r="I3787" i="2"/>
  <c r="L3787" i="2" s="1"/>
  <c r="H3787" i="2"/>
  <c r="L3786" i="2"/>
  <c r="K3786" i="2"/>
  <c r="J3786" i="2"/>
  <c r="H3786" i="2"/>
  <c r="I3786" i="2" s="1"/>
  <c r="L3785" i="2"/>
  <c r="K3785" i="2"/>
  <c r="J3785" i="2"/>
  <c r="H3785" i="2"/>
  <c r="I3785" i="2" s="1"/>
  <c r="K3784" i="2"/>
  <c r="J3784" i="2"/>
  <c r="I3784" i="2" s="1"/>
  <c r="L3784" i="2" s="1"/>
  <c r="H3784" i="2"/>
  <c r="K3783" i="2"/>
  <c r="J3783" i="2"/>
  <c r="I3783" i="2" s="1"/>
  <c r="L3783" i="2" s="1"/>
  <c r="H3783" i="2"/>
  <c r="L3782" i="2"/>
  <c r="K3782" i="2"/>
  <c r="J3782" i="2"/>
  <c r="H3782" i="2"/>
  <c r="I3782" i="2" s="1"/>
  <c r="K3781" i="2"/>
  <c r="J3781" i="2"/>
  <c r="H3781" i="2"/>
  <c r="I3781" i="2" s="1"/>
  <c r="L3781" i="2" s="1"/>
  <c r="K3780" i="2"/>
  <c r="J3780" i="2"/>
  <c r="I3780" i="2"/>
  <c r="L3780" i="2" s="1"/>
  <c r="H3780" i="2"/>
  <c r="K3779" i="2"/>
  <c r="J3779" i="2"/>
  <c r="H3779" i="2"/>
  <c r="I3779" i="2" s="1"/>
  <c r="L3779" i="2" s="1"/>
  <c r="L3778" i="2"/>
  <c r="K3778" i="2"/>
  <c r="J3778" i="2"/>
  <c r="I3778" i="2"/>
  <c r="H3778" i="2"/>
  <c r="K3777" i="2"/>
  <c r="J3777" i="2"/>
  <c r="H3777" i="2"/>
  <c r="K3776" i="2"/>
  <c r="J3776" i="2"/>
  <c r="I3776" i="2"/>
  <c r="L3776" i="2" s="1"/>
  <c r="H3776" i="2"/>
  <c r="K3775" i="2"/>
  <c r="J3775" i="2"/>
  <c r="H3775" i="2"/>
  <c r="I3775" i="2" s="1"/>
  <c r="L3775" i="2" s="1"/>
  <c r="L3774" i="2"/>
  <c r="K3774" i="2"/>
  <c r="J3774" i="2"/>
  <c r="H3774" i="2"/>
  <c r="I3774" i="2" s="1"/>
  <c r="L3773" i="2"/>
  <c r="K3773" i="2"/>
  <c r="J3773" i="2"/>
  <c r="I3773" i="2"/>
  <c r="H3773" i="2"/>
  <c r="K3772" i="2"/>
  <c r="J3772" i="2"/>
  <c r="I3772" i="2" s="1"/>
  <c r="L3772" i="2" s="1"/>
  <c r="H3772" i="2"/>
  <c r="K3771" i="2"/>
  <c r="J3771" i="2"/>
  <c r="I3771" i="2" s="1"/>
  <c r="L3771" i="2" s="1"/>
  <c r="H3771" i="2"/>
  <c r="L3770" i="2"/>
  <c r="K3770" i="2"/>
  <c r="J3770" i="2"/>
  <c r="H3770" i="2"/>
  <c r="I3770" i="2" s="1"/>
  <c r="K3769" i="2"/>
  <c r="J3769" i="2"/>
  <c r="H3769" i="2"/>
  <c r="I3769" i="2" s="1"/>
  <c r="L3769" i="2" s="1"/>
  <c r="L3768" i="2"/>
  <c r="K3768" i="2"/>
  <c r="J3768" i="2"/>
  <c r="I3768" i="2" s="1"/>
  <c r="H3768" i="2"/>
  <c r="L3767" i="2"/>
  <c r="K3767" i="2"/>
  <c r="J3767" i="2"/>
  <c r="H3767" i="2"/>
  <c r="I3767" i="2" s="1"/>
  <c r="K3766" i="2"/>
  <c r="J3766" i="2"/>
  <c r="H3766" i="2"/>
  <c r="I3766" i="2" s="1"/>
  <c r="L3766" i="2" s="1"/>
  <c r="L3765" i="2"/>
  <c r="K3765" i="2"/>
  <c r="J3765" i="2"/>
  <c r="H3765" i="2"/>
  <c r="I3765" i="2" s="1"/>
  <c r="K3764" i="2"/>
  <c r="J3764" i="2"/>
  <c r="H3764" i="2"/>
  <c r="L3763" i="2"/>
  <c r="K3763" i="2"/>
  <c r="J3763" i="2"/>
  <c r="H3763" i="2"/>
  <c r="I3763" i="2" s="1"/>
  <c r="K3762" i="2"/>
  <c r="J3762" i="2"/>
  <c r="H3762" i="2"/>
  <c r="I3762" i="2" s="1"/>
  <c r="L3762" i="2" s="1"/>
  <c r="K3761" i="2"/>
  <c r="J3761" i="2"/>
  <c r="H3761" i="2"/>
  <c r="I3761" i="2" s="1"/>
  <c r="L3761" i="2" s="1"/>
  <c r="K3760" i="2"/>
  <c r="J3760" i="2"/>
  <c r="I3760" i="2" s="1"/>
  <c r="L3760" i="2" s="1"/>
  <c r="H3760" i="2"/>
  <c r="K3759" i="2"/>
  <c r="J3759" i="2"/>
  <c r="I3759" i="2"/>
  <c r="L3759" i="2" s="1"/>
  <c r="H3759" i="2"/>
  <c r="K3758" i="2"/>
  <c r="J3758" i="2"/>
  <c r="H3758" i="2"/>
  <c r="I3758" i="2" s="1"/>
  <c r="L3758" i="2" s="1"/>
  <c r="L3757" i="2"/>
  <c r="K3757" i="2"/>
  <c r="J3757" i="2"/>
  <c r="I3757" i="2"/>
  <c r="H3757" i="2"/>
  <c r="L3756" i="2"/>
  <c r="K3756" i="2"/>
  <c r="J3756" i="2"/>
  <c r="H3756" i="2"/>
  <c r="I3756" i="2" s="1"/>
  <c r="K3755" i="2"/>
  <c r="J3755" i="2"/>
  <c r="H3755" i="2"/>
  <c r="I3755" i="2" s="1"/>
  <c r="L3755" i="2" s="1"/>
  <c r="K3754" i="2"/>
  <c r="J3754" i="2"/>
  <c r="H3754" i="2"/>
  <c r="I3754" i="2" s="1"/>
  <c r="L3754" i="2" s="1"/>
  <c r="K3753" i="2"/>
  <c r="J3753" i="2"/>
  <c r="I3753" i="2"/>
  <c r="L3753" i="2" s="1"/>
  <c r="H3753" i="2"/>
  <c r="K3752" i="2"/>
  <c r="J3752" i="2"/>
  <c r="H3752" i="2"/>
  <c r="K3751" i="2"/>
  <c r="J3751" i="2"/>
  <c r="I3751" i="2" s="1"/>
  <c r="L3751" i="2" s="1"/>
  <c r="H3751" i="2"/>
  <c r="K3750" i="2"/>
  <c r="J3750" i="2"/>
  <c r="I3750" i="2"/>
  <c r="L3750" i="2" s="1"/>
  <c r="H3750" i="2"/>
  <c r="K3749" i="2"/>
  <c r="J3749" i="2"/>
  <c r="H3749" i="2"/>
  <c r="I3749" i="2" s="1"/>
  <c r="L3749" i="2" s="1"/>
  <c r="L3748" i="2"/>
  <c r="K3748" i="2"/>
  <c r="J3748" i="2"/>
  <c r="I3748" i="2" s="1"/>
  <c r="H3748" i="2"/>
  <c r="K3747" i="2"/>
  <c r="J3747" i="2"/>
  <c r="I3747" i="2"/>
  <c r="L3747" i="2" s="1"/>
  <c r="H3747" i="2"/>
  <c r="K3746" i="2"/>
  <c r="J3746" i="2"/>
  <c r="H3746" i="2"/>
  <c r="I3746" i="2" s="1"/>
  <c r="L3746" i="2" s="1"/>
  <c r="K3745" i="2"/>
  <c r="J3745" i="2"/>
  <c r="I3745" i="2"/>
  <c r="L3745" i="2" s="1"/>
  <c r="H3745" i="2"/>
  <c r="L3744" i="2"/>
  <c r="K3744" i="2"/>
  <c r="J3744" i="2"/>
  <c r="I3744" i="2"/>
  <c r="H3744" i="2"/>
  <c r="L3743" i="2"/>
  <c r="K3743" i="2"/>
  <c r="J3743" i="2"/>
  <c r="H3743" i="2"/>
  <c r="I3743" i="2" s="1"/>
  <c r="K3742" i="2"/>
  <c r="J3742" i="2"/>
  <c r="I3742" i="2"/>
  <c r="L3742" i="2" s="1"/>
  <c r="H3742" i="2"/>
  <c r="K3741" i="2"/>
  <c r="J3741" i="2"/>
  <c r="H3741" i="2"/>
  <c r="I3741" i="2" s="1"/>
  <c r="L3741" i="2" s="1"/>
  <c r="K3740" i="2"/>
  <c r="J3740" i="2"/>
  <c r="H3740" i="2"/>
  <c r="I3740" i="2" s="1"/>
  <c r="L3740" i="2" s="1"/>
  <c r="K3739" i="2"/>
  <c r="J3739" i="2"/>
  <c r="I3739" i="2"/>
  <c r="L3739" i="2" s="1"/>
  <c r="H3739" i="2"/>
  <c r="L3738" i="2"/>
  <c r="K3738" i="2"/>
  <c r="J3738" i="2"/>
  <c r="I3738" i="2"/>
  <c r="H3738" i="2"/>
  <c r="K3737" i="2"/>
  <c r="J3737" i="2"/>
  <c r="I3737" i="2"/>
  <c r="L3737" i="2" s="1"/>
  <c r="H3737" i="2"/>
  <c r="K3736" i="2"/>
  <c r="J3736" i="2"/>
  <c r="I3736" i="2" s="1"/>
  <c r="L3736" i="2" s="1"/>
  <c r="H3736" i="2"/>
  <c r="K3735" i="2"/>
  <c r="J3735" i="2"/>
  <c r="I3735" i="2" s="1"/>
  <c r="L3735" i="2" s="1"/>
  <c r="H3735" i="2"/>
  <c r="K3734" i="2"/>
  <c r="J3734" i="2"/>
  <c r="H3734" i="2"/>
  <c r="I3734" i="2" s="1"/>
  <c r="L3734" i="2" s="1"/>
  <c r="K3733" i="2"/>
  <c r="J3733" i="2"/>
  <c r="H3733" i="2"/>
  <c r="L3732" i="2"/>
  <c r="K3732" i="2"/>
  <c r="J3732" i="2"/>
  <c r="I3732" i="2"/>
  <c r="H3732" i="2"/>
  <c r="K3731" i="2"/>
  <c r="J3731" i="2"/>
  <c r="H3731" i="2"/>
  <c r="I3731" i="2" s="1"/>
  <c r="L3731" i="2" s="1"/>
  <c r="L3730" i="2"/>
  <c r="K3730" i="2"/>
  <c r="J3730" i="2"/>
  <c r="I3730" i="2" s="1"/>
  <c r="H3730" i="2"/>
  <c r="K3729" i="2"/>
  <c r="J3729" i="2"/>
  <c r="I3729" i="2"/>
  <c r="L3729" i="2" s="1"/>
  <c r="H3729" i="2"/>
  <c r="K3728" i="2"/>
  <c r="J3728" i="2"/>
  <c r="I3728" i="2"/>
  <c r="L3728" i="2" s="1"/>
  <c r="H3728" i="2"/>
  <c r="K3727" i="2"/>
  <c r="J3727" i="2"/>
  <c r="I3727" i="2"/>
  <c r="L3727" i="2" s="1"/>
  <c r="H3727" i="2"/>
  <c r="K3726" i="2"/>
  <c r="J3726" i="2"/>
  <c r="H3726" i="2"/>
  <c r="I3726" i="2" s="1"/>
  <c r="L3726" i="2" s="1"/>
  <c r="K3725" i="2"/>
  <c r="J3725" i="2"/>
  <c r="I3725" i="2" s="1"/>
  <c r="L3725" i="2" s="1"/>
  <c r="H3725" i="2"/>
  <c r="K3724" i="2"/>
  <c r="J3724" i="2"/>
  <c r="I3724" i="2" s="1"/>
  <c r="L3724" i="2" s="1"/>
  <c r="H3724" i="2"/>
  <c r="K3723" i="2"/>
  <c r="J3723" i="2"/>
  <c r="H3723" i="2"/>
  <c r="K3722" i="2"/>
  <c r="J3722" i="2"/>
  <c r="H3722" i="2"/>
  <c r="I3722" i="2" s="1"/>
  <c r="L3722" i="2" s="1"/>
  <c r="K3721" i="2"/>
  <c r="J3721" i="2"/>
  <c r="I3721" i="2" s="1"/>
  <c r="L3721" i="2" s="1"/>
  <c r="H3721" i="2"/>
  <c r="K3720" i="2"/>
  <c r="J3720" i="2"/>
  <c r="H3720" i="2"/>
  <c r="K3719" i="2"/>
  <c r="J3719" i="2"/>
  <c r="H3719" i="2"/>
  <c r="K3718" i="2"/>
  <c r="J3718" i="2"/>
  <c r="I3718" i="2" s="1"/>
  <c r="L3718" i="2" s="1"/>
  <c r="H3718" i="2"/>
  <c r="L3717" i="2"/>
  <c r="K3717" i="2"/>
  <c r="J3717" i="2"/>
  <c r="I3717" i="2"/>
  <c r="H3717" i="2"/>
  <c r="K3716" i="2"/>
  <c r="J3716" i="2"/>
  <c r="H3716" i="2"/>
  <c r="I3716" i="2" s="1"/>
  <c r="L3716" i="2" s="1"/>
  <c r="K3715" i="2"/>
  <c r="J3715" i="2"/>
  <c r="I3715" i="2" s="1"/>
  <c r="L3715" i="2" s="1"/>
  <c r="H3715" i="2"/>
  <c r="K3714" i="2"/>
  <c r="J3714" i="2"/>
  <c r="H3714" i="2"/>
  <c r="I3714" i="2" s="1"/>
  <c r="L3714" i="2" s="1"/>
  <c r="K3713" i="2"/>
  <c r="J3713" i="2"/>
  <c r="H3713" i="2"/>
  <c r="I3713" i="2" s="1"/>
  <c r="L3713" i="2" s="1"/>
  <c r="L3712" i="2"/>
  <c r="K3712" i="2"/>
  <c r="J3712" i="2"/>
  <c r="I3712" i="2"/>
  <c r="H3712" i="2"/>
  <c r="K3711" i="2"/>
  <c r="J3711" i="2"/>
  <c r="H3711" i="2"/>
  <c r="I3711" i="2" s="1"/>
  <c r="L3711" i="2" s="1"/>
  <c r="K3710" i="2"/>
  <c r="J3710" i="2"/>
  <c r="H3710" i="2"/>
  <c r="K3709" i="2"/>
  <c r="J3709" i="2"/>
  <c r="I3709" i="2"/>
  <c r="L3709" i="2" s="1"/>
  <c r="H3709" i="2"/>
  <c r="K3708" i="2"/>
  <c r="J3708" i="2"/>
  <c r="H3708" i="2"/>
  <c r="I3708" i="2" s="1"/>
  <c r="L3708" i="2" s="1"/>
  <c r="K3707" i="2"/>
  <c r="J3707" i="2"/>
  <c r="H3707" i="2"/>
  <c r="I3707" i="2" s="1"/>
  <c r="L3707" i="2" s="1"/>
  <c r="K3706" i="2"/>
  <c r="J3706" i="2"/>
  <c r="H3706" i="2"/>
  <c r="I3706" i="2" s="1"/>
  <c r="L3706" i="2" s="1"/>
  <c r="L3705" i="2"/>
  <c r="K3705" i="2"/>
  <c r="J3705" i="2"/>
  <c r="H3705" i="2"/>
  <c r="I3705" i="2" s="1"/>
  <c r="K3704" i="2"/>
  <c r="J3704" i="2"/>
  <c r="H3704" i="2"/>
  <c r="I3704" i="2" s="1"/>
  <c r="L3704" i="2" s="1"/>
  <c r="K3703" i="2"/>
  <c r="J3703" i="2"/>
  <c r="I3703" i="2" s="1"/>
  <c r="L3703" i="2" s="1"/>
  <c r="H3703" i="2"/>
  <c r="K3702" i="2"/>
  <c r="J3702" i="2"/>
  <c r="I3702" i="2"/>
  <c r="L3702" i="2" s="1"/>
  <c r="H3702" i="2"/>
  <c r="K3701" i="2"/>
  <c r="J3701" i="2"/>
  <c r="H3701" i="2"/>
  <c r="I3701" i="2" s="1"/>
  <c r="L3701" i="2" s="1"/>
  <c r="L3700" i="2"/>
  <c r="K3700" i="2"/>
  <c r="J3700" i="2"/>
  <c r="I3700" i="2"/>
  <c r="H3700" i="2"/>
  <c r="L3699" i="2"/>
  <c r="K3699" i="2"/>
  <c r="J3699" i="2"/>
  <c r="H3699" i="2"/>
  <c r="I3699" i="2" s="1"/>
  <c r="K3698" i="2"/>
  <c r="J3698" i="2"/>
  <c r="I3698" i="2" s="1"/>
  <c r="L3698" i="2" s="1"/>
  <c r="H3698" i="2"/>
  <c r="L3697" i="2"/>
  <c r="K3697" i="2"/>
  <c r="J3697" i="2"/>
  <c r="H3697" i="2"/>
  <c r="I3697" i="2" s="1"/>
  <c r="K3696" i="2"/>
  <c r="J3696" i="2"/>
  <c r="H3696" i="2"/>
  <c r="I3696" i="2" s="1"/>
  <c r="L3696" i="2" s="1"/>
  <c r="K3695" i="2"/>
  <c r="J3695" i="2"/>
  <c r="H3695" i="2"/>
  <c r="I3695" i="2" s="1"/>
  <c r="L3695" i="2" s="1"/>
  <c r="K3694" i="2"/>
  <c r="J3694" i="2"/>
  <c r="H3694" i="2"/>
  <c r="L3693" i="2"/>
  <c r="K3693" i="2"/>
  <c r="J3693" i="2"/>
  <c r="I3693" i="2"/>
  <c r="H3693" i="2"/>
  <c r="K3692" i="2"/>
  <c r="J3692" i="2"/>
  <c r="I3692" i="2"/>
  <c r="L3692" i="2" s="1"/>
  <c r="H3692" i="2"/>
  <c r="K3691" i="2"/>
  <c r="J3691" i="2"/>
  <c r="H3691" i="2"/>
  <c r="I3691" i="2" s="1"/>
  <c r="L3691" i="2" s="1"/>
  <c r="K3690" i="2"/>
  <c r="J3690" i="2"/>
  <c r="I3690" i="2"/>
  <c r="L3690" i="2" s="1"/>
  <c r="H3690" i="2"/>
  <c r="K3689" i="2"/>
  <c r="J3689" i="2"/>
  <c r="I3689" i="2"/>
  <c r="L3689" i="2" s="1"/>
  <c r="H3689" i="2"/>
  <c r="K3688" i="2"/>
  <c r="J3688" i="2"/>
  <c r="I3688" i="2"/>
  <c r="L3688" i="2" s="1"/>
  <c r="H3688" i="2"/>
  <c r="K3687" i="2"/>
  <c r="J3687" i="2"/>
  <c r="I3687" i="2" s="1"/>
  <c r="L3687" i="2" s="1"/>
  <c r="H3687" i="2"/>
  <c r="K3686" i="2"/>
  <c r="J3686" i="2"/>
  <c r="I3686" i="2" s="1"/>
  <c r="L3686" i="2" s="1"/>
  <c r="H3686" i="2"/>
  <c r="K3685" i="2"/>
  <c r="J3685" i="2"/>
  <c r="H3685" i="2"/>
  <c r="I3685" i="2" s="1"/>
  <c r="L3685" i="2" s="1"/>
  <c r="K3684" i="2"/>
  <c r="J3684" i="2"/>
  <c r="H3684" i="2"/>
  <c r="K3683" i="2"/>
  <c r="J3683" i="2"/>
  <c r="H3683" i="2"/>
  <c r="I3683" i="2" s="1"/>
  <c r="L3683" i="2" s="1"/>
  <c r="K3682" i="2"/>
  <c r="J3682" i="2"/>
  <c r="H3682" i="2"/>
  <c r="I3682" i="2" s="1"/>
  <c r="L3682" i="2" s="1"/>
  <c r="K3681" i="2"/>
  <c r="J3681" i="2"/>
  <c r="H3681" i="2"/>
  <c r="K3680" i="2"/>
  <c r="J3680" i="2"/>
  <c r="H3680" i="2"/>
  <c r="I3680" i="2" s="1"/>
  <c r="L3680" i="2" s="1"/>
  <c r="K3679" i="2"/>
  <c r="J3679" i="2"/>
  <c r="H3679" i="2"/>
  <c r="I3679" i="2" s="1"/>
  <c r="L3679" i="2" s="1"/>
  <c r="K3678" i="2"/>
  <c r="J3678" i="2"/>
  <c r="H3678" i="2"/>
  <c r="I3678" i="2" s="1"/>
  <c r="L3678" i="2" s="1"/>
  <c r="L3677" i="2"/>
  <c r="K3677" i="2"/>
  <c r="J3677" i="2"/>
  <c r="I3677" i="2"/>
  <c r="H3677" i="2"/>
  <c r="L3676" i="2"/>
  <c r="K3676" i="2"/>
  <c r="J3676" i="2"/>
  <c r="I3676" i="2"/>
  <c r="H3676" i="2"/>
  <c r="K3675" i="2"/>
  <c r="J3675" i="2"/>
  <c r="H3675" i="2"/>
  <c r="I3675" i="2" s="1"/>
  <c r="L3675" i="2" s="1"/>
  <c r="L3674" i="2"/>
  <c r="K3674" i="2"/>
  <c r="J3674" i="2"/>
  <c r="I3674" i="2" s="1"/>
  <c r="H3674" i="2"/>
  <c r="K3673" i="2"/>
  <c r="J3673" i="2"/>
  <c r="H3673" i="2"/>
  <c r="I3673" i="2" s="1"/>
  <c r="L3673" i="2" s="1"/>
  <c r="K3672" i="2"/>
  <c r="J3672" i="2"/>
  <c r="I3672" i="2" s="1"/>
  <c r="L3672" i="2" s="1"/>
  <c r="H3672" i="2"/>
  <c r="L3671" i="2"/>
  <c r="K3671" i="2"/>
  <c r="J3671" i="2"/>
  <c r="H3671" i="2"/>
  <c r="I3671" i="2" s="1"/>
  <c r="K3670" i="2"/>
  <c r="J3670" i="2"/>
  <c r="H3670" i="2"/>
  <c r="I3670" i="2" s="1"/>
  <c r="L3670" i="2" s="1"/>
  <c r="K3669" i="2"/>
  <c r="J3669" i="2"/>
  <c r="H3669" i="2"/>
  <c r="K3668" i="2"/>
  <c r="J3668" i="2"/>
  <c r="I3668" i="2"/>
  <c r="L3668" i="2" s="1"/>
  <c r="H3668" i="2"/>
  <c r="K3667" i="2"/>
  <c r="J3667" i="2"/>
  <c r="H3667" i="2"/>
  <c r="I3667" i="2" s="1"/>
  <c r="L3667" i="2" s="1"/>
  <c r="K3666" i="2"/>
  <c r="J3666" i="2"/>
  <c r="I3666" i="2"/>
  <c r="L3666" i="2" s="1"/>
  <c r="H3666" i="2"/>
  <c r="K3665" i="2"/>
  <c r="J3665" i="2"/>
  <c r="H3665" i="2"/>
  <c r="I3665" i="2" s="1"/>
  <c r="L3665" i="2" s="1"/>
  <c r="K3664" i="2"/>
  <c r="J3664" i="2"/>
  <c r="I3664" i="2"/>
  <c r="L3664" i="2" s="1"/>
  <c r="H3664" i="2"/>
  <c r="L3663" i="2"/>
  <c r="K3663" i="2"/>
  <c r="J3663" i="2"/>
  <c r="I3663" i="2"/>
  <c r="H3663" i="2"/>
  <c r="K3662" i="2"/>
  <c r="J3662" i="2"/>
  <c r="I3662" i="2"/>
  <c r="L3662" i="2" s="1"/>
  <c r="H3662" i="2"/>
  <c r="K3661" i="2"/>
  <c r="J3661" i="2"/>
  <c r="I3661" i="2"/>
  <c r="L3661" i="2" s="1"/>
  <c r="H3661" i="2"/>
  <c r="K3660" i="2"/>
  <c r="J3660" i="2"/>
  <c r="H3660" i="2"/>
  <c r="I3660" i="2" s="1"/>
  <c r="L3660" i="2" s="1"/>
  <c r="K3659" i="2"/>
  <c r="J3659" i="2"/>
  <c r="H3659" i="2"/>
  <c r="I3659" i="2" s="1"/>
  <c r="L3659" i="2" s="1"/>
  <c r="L3658" i="2"/>
  <c r="K3658" i="2"/>
  <c r="J3658" i="2"/>
  <c r="I3658" i="2"/>
  <c r="H3658" i="2"/>
  <c r="K3657" i="2"/>
  <c r="J3657" i="2"/>
  <c r="H3657" i="2"/>
  <c r="I3657" i="2" s="1"/>
  <c r="L3657" i="2" s="1"/>
  <c r="K3656" i="2"/>
  <c r="J3656" i="2"/>
  <c r="H3656" i="2"/>
  <c r="I3656" i="2" s="1"/>
  <c r="L3656" i="2" s="1"/>
  <c r="L3655" i="2"/>
  <c r="K3655" i="2"/>
  <c r="J3655" i="2"/>
  <c r="H3655" i="2"/>
  <c r="I3655" i="2" s="1"/>
  <c r="K3654" i="2"/>
  <c r="J3654" i="2"/>
  <c r="H3654" i="2"/>
  <c r="I3654" i="2" s="1"/>
  <c r="L3654" i="2" s="1"/>
  <c r="K3653" i="2"/>
  <c r="J3653" i="2"/>
  <c r="I3653" i="2" s="1"/>
  <c r="L3653" i="2" s="1"/>
  <c r="H3653" i="2"/>
  <c r="K3652" i="2"/>
  <c r="J3652" i="2"/>
  <c r="I3652" i="2"/>
  <c r="L3652" i="2" s="1"/>
  <c r="H3652" i="2"/>
  <c r="K3651" i="2"/>
  <c r="J3651" i="2"/>
  <c r="H3651" i="2"/>
  <c r="I3651" i="2" s="1"/>
  <c r="L3651" i="2" s="1"/>
  <c r="K3650" i="2"/>
  <c r="J3650" i="2"/>
  <c r="I3650" i="2" s="1"/>
  <c r="L3650" i="2" s="1"/>
  <c r="H3650" i="2"/>
  <c r="L3649" i="2"/>
  <c r="K3649" i="2"/>
  <c r="J3649" i="2"/>
  <c r="I3649" i="2"/>
  <c r="H3649" i="2"/>
  <c r="L3648" i="2"/>
  <c r="K3648" i="2"/>
  <c r="J3648" i="2"/>
  <c r="I3648" i="2"/>
  <c r="H3648" i="2"/>
  <c r="K3647" i="2"/>
  <c r="J3647" i="2"/>
  <c r="H3647" i="2"/>
  <c r="I3647" i="2" s="1"/>
  <c r="L3647" i="2" s="1"/>
  <c r="K3646" i="2"/>
  <c r="J3646" i="2"/>
  <c r="I3646" i="2"/>
  <c r="L3646" i="2" s="1"/>
  <c r="H3646" i="2"/>
  <c r="K3645" i="2"/>
  <c r="J3645" i="2"/>
  <c r="H3645" i="2"/>
  <c r="K3644" i="2"/>
  <c r="J3644" i="2"/>
  <c r="I3644" i="2"/>
  <c r="L3644" i="2" s="1"/>
  <c r="H3644" i="2"/>
  <c r="K3643" i="2"/>
  <c r="J3643" i="2"/>
  <c r="I3643" i="2"/>
  <c r="L3643" i="2" s="1"/>
  <c r="H3643" i="2"/>
  <c r="K3642" i="2"/>
  <c r="J3642" i="2"/>
  <c r="H3642" i="2"/>
  <c r="I3642" i="2" s="1"/>
  <c r="L3642" i="2" s="1"/>
  <c r="K3641" i="2"/>
  <c r="J3641" i="2"/>
  <c r="H3641" i="2"/>
  <c r="I3641" i="2" s="1"/>
  <c r="L3641" i="2" s="1"/>
  <c r="L3640" i="2"/>
  <c r="K3640" i="2"/>
  <c r="J3640" i="2"/>
  <c r="I3640" i="2"/>
  <c r="H3640" i="2"/>
  <c r="K3639" i="2"/>
  <c r="J3639" i="2"/>
  <c r="H3639" i="2"/>
  <c r="I3639" i="2" s="1"/>
  <c r="L3639" i="2" s="1"/>
  <c r="K3638" i="2"/>
  <c r="J3638" i="2"/>
  <c r="I3638" i="2"/>
  <c r="L3638" i="2" s="1"/>
  <c r="H3638" i="2"/>
  <c r="K3637" i="2"/>
  <c r="J3637" i="2"/>
  <c r="H3637" i="2"/>
  <c r="I3637" i="2" s="1"/>
  <c r="L3637" i="2" s="1"/>
  <c r="K3636" i="2"/>
  <c r="J3636" i="2"/>
  <c r="I3636" i="2"/>
  <c r="L3636" i="2" s="1"/>
  <c r="H3636" i="2"/>
  <c r="L3635" i="2"/>
  <c r="K3635" i="2"/>
  <c r="J3635" i="2"/>
  <c r="H3635" i="2"/>
  <c r="I3635" i="2" s="1"/>
  <c r="K3634" i="2"/>
  <c r="J3634" i="2"/>
  <c r="I3634" i="2"/>
  <c r="L3634" i="2" s="1"/>
  <c r="H3634" i="2"/>
  <c r="K3633" i="2"/>
  <c r="J3633" i="2"/>
  <c r="H3633" i="2"/>
  <c r="K3632" i="2"/>
  <c r="J3632" i="2"/>
  <c r="I3632" i="2"/>
  <c r="L3632" i="2" s="1"/>
  <c r="H3632" i="2"/>
  <c r="K3631" i="2"/>
  <c r="J3631" i="2"/>
  <c r="I3631" i="2"/>
  <c r="L3631" i="2" s="1"/>
  <c r="H3631" i="2"/>
  <c r="K3630" i="2"/>
  <c r="J3630" i="2"/>
  <c r="H3630" i="2"/>
  <c r="I3630" i="2" s="1"/>
  <c r="L3630" i="2" s="1"/>
  <c r="K3629" i="2"/>
  <c r="J3629" i="2"/>
  <c r="I3629" i="2"/>
  <c r="L3629" i="2" s="1"/>
  <c r="H3629" i="2"/>
  <c r="K3628" i="2"/>
  <c r="J3628" i="2"/>
  <c r="I3628" i="2"/>
  <c r="L3628" i="2" s="1"/>
  <c r="H3628" i="2"/>
  <c r="L3627" i="2"/>
  <c r="K3627" i="2"/>
  <c r="J3627" i="2"/>
  <c r="I3627" i="2"/>
  <c r="H3627" i="2"/>
  <c r="K3626" i="2"/>
  <c r="J3626" i="2"/>
  <c r="I3626" i="2" s="1"/>
  <c r="L3626" i="2" s="1"/>
  <c r="H3626" i="2"/>
  <c r="L3625" i="2"/>
  <c r="K3625" i="2"/>
  <c r="J3625" i="2"/>
  <c r="I3625" i="2" s="1"/>
  <c r="H3625" i="2"/>
  <c r="K3624" i="2"/>
  <c r="J3624" i="2"/>
  <c r="H3624" i="2"/>
  <c r="I3624" i="2" s="1"/>
  <c r="L3624" i="2" s="1"/>
  <c r="K3623" i="2"/>
  <c r="J3623" i="2"/>
  <c r="H3623" i="2"/>
  <c r="I3623" i="2" s="1"/>
  <c r="L3623" i="2" s="1"/>
  <c r="L3622" i="2"/>
  <c r="K3622" i="2"/>
  <c r="J3622" i="2"/>
  <c r="I3622" i="2"/>
  <c r="H3622" i="2"/>
  <c r="L3621" i="2"/>
  <c r="K3621" i="2"/>
  <c r="J3621" i="2"/>
  <c r="I3621" i="2"/>
  <c r="H3621" i="2"/>
  <c r="K3620" i="2"/>
  <c r="J3620" i="2"/>
  <c r="H3620" i="2"/>
  <c r="I3620" i="2" s="1"/>
  <c r="L3620" i="2" s="1"/>
  <c r="K3619" i="2"/>
  <c r="J3619" i="2"/>
  <c r="I3619" i="2"/>
  <c r="L3619" i="2" s="1"/>
  <c r="H3619" i="2"/>
  <c r="K3618" i="2"/>
  <c r="J3618" i="2"/>
  <c r="H3618" i="2"/>
  <c r="I3618" i="2" s="1"/>
  <c r="L3618" i="2" s="1"/>
  <c r="K3617" i="2"/>
  <c r="J3617" i="2"/>
  <c r="H3617" i="2"/>
  <c r="I3617" i="2" s="1"/>
  <c r="L3617" i="2" s="1"/>
  <c r="K3616" i="2"/>
  <c r="J3616" i="2"/>
  <c r="I3616" i="2"/>
  <c r="L3616" i="2" s="1"/>
  <c r="H3616" i="2"/>
  <c r="L3615" i="2"/>
  <c r="K3615" i="2"/>
  <c r="J3615" i="2"/>
  <c r="I3615" i="2"/>
  <c r="H3615" i="2"/>
  <c r="K3614" i="2"/>
  <c r="J3614" i="2"/>
  <c r="I3614" i="2"/>
  <c r="L3614" i="2" s="1"/>
  <c r="H3614" i="2"/>
  <c r="K3613" i="2"/>
  <c r="J3613" i="2"/>
  <c r="I3613" i="2"/>
  <c r="L3613" i="2" s="1"/>
  <c r="H3613" i="2"/>
  <c r="L3612" i="2"/>
  <c r="K3612" i="2"/>
  <c r="J3612" i="2"/>
  <c r="I3612" i="2"/>
  <c r="H3612" i="2"/>
  <c r="K3611" i="2"/>
  <c r="J3611" i="2"/>
  <c r="H3611" i="2"/>
  <c r="I3611" i="2" s="1"/>
  <c r="L3611" i="2" s="1"/>
  <c r="L3610" i="2"/>
  <c r="K3610" i="2"/>
  <c r="J3610" i="2"/>
  <c r="I3610" i="2"/>
  <c r="H3610" i="2"/>
  <c r="K3609" i="2"/>
  <c r="J3609" i="2"/>
  <c r="H3609" i="2"/>
  <c r="I3609" i="2" s="1"/>
  <c r="L3609" i="2" s="1"/>
  <c r="K3608" i="2"/>
  <c r="J3608" i="2"/>
  <c r="H3608" i="2"/>
  <c r="I3608" i="2" s="1"/>
  <c r="L3608" i="2" s="1"/>
  <c r="L3607" i="2"/>
  <c r="K3607" i="2"/>
  <c r="J3607" i="2"/>
  <c r="I3607" i="2" s="1"/>
  <c r="H3607" i="2"/>
  <c r="K3606" i="2"/>
  <c r="J3606" i="2"/>
  <c r="H3606" i="2"/>
  <c r="I3606" i="2" s="1"/>
  <c r="L3606" i="2" s="1"/>
  <c r="K3605" i="2"/>
  <c r="J3605" i="2"/>
  <c r="H3605" i="2"/>
  <c r="I3605" i="2" s="1"/>
  <c r="L3605" i="2" s="1"/>
  <c r="L3604" i="2"/>
  <c r="K3604" i="2"/>
  <c r="J3604" i="2"/>
  <c r="I3604" i="2"/>
  <c r="H3604" i="2"/>
  <c r="K3603" i="2"/>
  <c r="J3603" i="2"/>
  <c r="H3603" i="2"/>
  <c r="I3603" i="2" s="1"/>
  <c r="L3603" i="2" s="1"/>
  <c r="K3602" i="2"/>
  <c r="J3602" i="2"/>
  <c r="I3602" i="2"/>
  <c r="L3602" i="2" s="1"/>
  <c r="H3602" i="2"/>
  <c r="K3601" i="2"/>
  <c r="J3601" i="2"/>
  <c r="H3601" i="2"/>
  <c r="K3600" i="2"/>
  <c r="J3600" i="2"/>
  <c r="H3600" i="2"/>
  <c r="I3600" i="2" s="1"/>
  <c r="L3600" i="2" s="1"/>
  <c r="K3599" i="2"/>
  <c r="J3599" i="2"/>
  <c r="H3599" i="2"/>
  <c r="L3598" i="2"/>
  <c r="K3598" i="2"/>
  <c r="J3598" i="2"/>
  <c r="H3598" i="2"/>
  <c r="I3598" i="2" s="1"/>
  <c r="K3597" i="2"/>
  <c r="J3597" i="2"/>
  <c r="H3597" i="2"/>
  <c r="I3597" i="2" s="1"/>
  <c r="L3597" i="2" s="1"/>
  <c r="K3596" i="2"/>
  <c r="J3596" i="2"/>
  <c r="H3596" i="2"/>
  <c r="I3596" i="2" s="1"/>
  <c r="L3596" i="2" s="1"/>
  <c r="K3595" i="2"/>
  <c r="J3595" i="2"/>
  <c r="H3595" i="2"/>
  <c r="K3594" i="2"/>
  <c r="J3594" i="2"/>
  <c r="I3594" i="2"/>
  <c r="L3594" i="2" s="1"/>
  <c r="H3594" i="2"/>
  <c r="K3593" i="2"/>
  <c r="J3593" i="2"/>
  <c r="H3593" i="2"/>
  <c r="I3593" i="2" s="1"/>
  <c r="L3593" i="2" s="1"/>
  <c r="L3592" i="2"/>
  <c r="K3592" i="2"/>
  <c r="J3592" i="2"/>
  <c r="I3592" i="2"/>
  <c r="H3592" i="2"/>
  <c r="K3591" i="2"/>
  <c r="J3591" i="2"/>
  <c r="H3591" i="2"/>
  <c r="I3591" i="2" s="1"/>
  <c r="L3591" i="2" s="1"/>
  <c r="K3590" i="2"/>
  <c r="J3590" i="2"/>
  <c r="I3590" i="2"/>
  <c r="L3590" i="2" s="1"/>
  <c r="H3590" i="2"/>
  <c r="K3589" i="2"/>
  <c r="J3589" i="2"/>
  <c r="H3589" i="2"/>
  <c r="I3589" i="2" s="1"/>
  <c r="L3589" i="2" s="1"/>
  <c r="K3588" i="2"/>
  <c r="J3588" i="2"/>
  <c r="H3588" i="2"/>
  <c r="I3588" i="2" s="1"/>
  <c r="L3588" i="2" s="1"/>
  <c r="K3587" i="2"/>
  <c r="J3587" i="2"/>
  <c r="H3587" i="2"/>
  <c r="I3587" i="2" s="1"/>
  <c r="L3587" i="2" s="1"/>
  <c r="K3586" i="2"/>
  <c r="J3586" i="2"/>
  <c r="H3586" i="2"/>
  <c r="I3586" i="2" s="1"/>
  <c r="L3586" i="2" s="1"/>
  <c r="K3585" i="2"/>
  <c r="J3585" i="2"/>
  <c r="H3585" i="2"/>
  <c r="K3584" i="2"/>
  <c r="J3584" i="2"/>
  <c r="H3584" i="2"/>
  <c r="I3584" i="2" s="1"/>
  <c r="L3584" i="2" s="1"/>
  <c r="K3583" i="2"/>
  <c r="J3583" i="2"/>
  <c r="I3583" i="2"/>
  <c r="L3583" i="2" s="1"/>
  <c r="H3583" i="2"/>
  <c r="K3582" i="2"/>
  <c r="J3582" i="2"/>
  <c r="I3582" i="2"/>
  <c r="L3582" i="2" s="1"/>
  <c r="H3582" i="2"/>
  <c r="K3581" i="2"/>
  <c r="J3581" i="2"/>
  <c r="H3581" i="2"/>
  <c r="I3581" i="2" s="1"/>
  <c r="L3581" i="2" s="1"/>
  <c r="K3580" i="2"/>
  <c r="J3580" i="2"/>
  <c r="I3580" i="2"/>
  <c r="L3580" i="2" s="1"/>
  <c r="H3580" i="2"/>
  <c r="K3579" i="2"/>
  <c r="J3579" i="2"/>
  <c r="I3579" i="2" s="1"/>
  <c r="L3579" i="2" s="1"/>
  <c r="H3579" i="2"/>
  <c r="K3578" i="2"/>
  <c r="J3578" i="2"/>
  <c r="I3578" i="2"/>
  <c r="L3578" i="2" s="1"/>
  <c r="H3578" i="2"/>
  <c r="K3577" i="2"/>
  <c r="J3577" i="2"/>
  <c r="H3577" i="2"/>
  <c r="I3577" i="2" s="1"/>
  <c r="L3577" i="2" s="1"/>
  <c r="L3576" i="2"/>
  <c r="K3576" i="2"/>
  <c r="J3576" i="2"/>
  <c r="I3576" i="2"/>
  <c r="H3576" i="2"/>
  <c r="K3575" i="2"/>
  <c r="J3575" i="2"/>
  <c r="H3575" i="2"/>
  <c r="I3575" i="2" s="1"/>
  <c r="L3575" i="2" s="1"/>
  <c r="L3574" i="2"/>
  <c r="K3574" i="2"/>
  <c r="J3574" i="2"/>
  <c r="I3574" i="2"/>
  <c r="H3574" i="2"/>
  <c r="K3573" i="2"/>
  <c r="J3573" i="2"/>
  <c r="H3573" i="2"/>
  <c r="I3573" i="2" s="1"/>
  <c r="L3573" i="2" s="1"/>
  <c r="K3572" i="2"/>
  <c r="J3572" i="2"/>
  <c r="H3572" i="2"/>
  <c r="I3572" i="2" s="1"/>
  <c r="L3572" i="2" s="1"/>
  <c r="L3571" i="2"/>
  <c r="K3571" i="2"/>
  <c r="J3571" i="2"/>
  <c r="I3571" i="2"/>
  <c r="H3571" i="2"/>
  <c r="K3570" i="2"/>
  <c r="J3570" i="2"/>
  <c r="I3570" i="2"/>
  <c r="L3570" i="2" s="1"/>
  <c r="H3570" i="2"/>
  <c r="K3569" i="2"/>
  <c r="J3569" i="2"/>
  <c r="I3569" i="2"/>
  <c r="L3569" i="2" s="1"/>
  <c r="H3569" i="2"/>
  <c r="L3568" i="2"/>
  <c r="K3568" i="2"/>
  <c r="J3568" i="2"/>
  <c r="I3568" i="2"/>
  <c r="H3568" i="2"/>
  <c r="L3567" i="2"/>
  <c r="K3567" i="2"/>
  <c r="J3567" i="2"/>
  <c r="H3567" i="2"/>
  <c r="I3567" i="2" s="1"/>
  <c r="K3566" i="2"/>
  <c r="J3566" i="2"/>
  <c r="I3566" i="2"/>
  <c r="L3566" i="2" s="1"/>
  <c r="H3566" i="2"/>
  <c r="K3565" i="2"/>
  <c r="J3565" i="2"/>
  <c r="H3565" i="2"/>
  <c r="I3565" i="2" s="1"/>
  <c r="L3565" i="2" s="1"/>
  <c r="K3564" i="2"/>
  <c r="J3564" i="2"/>
  <c r="H3564" i="2"/>
  <c r="I3564" i="2" s="1"/>
  <c r="L3564" i="2" s="1"/>
  <c r="K3563" i="2"/>
  <c r="J3563" i="2"/>
  <c r="H3563" i="2"/>
  <c r="K3562" i="2"/>
  <c r="J3562" i="2"/>
  <c r="H3562" i="2"/>
  <c r="I3562" i="2" s="1"/>
  <c r="L3562" i="2" s="1"/>
  <c r="K3561" i="2"/>
  <c r="J3561" i="2"/>
  <c r="I3561" i="2" s="1"/>
  <c r="L3561" i="2" s="1"/>
  <c r="H3561" i="2"/>
  <c r="K3560" i="2"/>
  <c r="J3560" i="2"/>
  <c r="H3560" i="2"/>
  <c r="K3559" i="2"/>
  <c r="J3559" i="2"/>
  <c r="H3559" i="2"/>
  <c r="I3559" i="2" s="1"/>
  <c r="L3559" i="2" s="1"/>
  <c r="L3558" i="2"/>
  <c r="K3558" i="2"/>
  <c r="J3558" i="2"/>
  <c r="H3558" i="2"/>
  <c r="I3558" i="2" s="1"/>
  <c r="K3557" i="2"/>
  <c r="J3557" i="2"/>
  <c r="I3557" i="2" s="1"/>
  <c r="L3557" i="2" s="1"/>
  <c r="H3557" i="2"/>
  <c r="L3556" i="2"/>
  <c r="K3556" i="2"/>
  <c r="J3556" i="2"/>
  <c r="I3556" i="2"/>
  <c r="H3556" i="2"/>
  <c r="K3555" i="2"/>
  <c r="J3555" i="2"/>
  <c r="I3555" i="2" s="1"/>
  <c r="L3555" i="2" s="1"/>
  <c r="H3555" i="2"/>
  <c r="K3554" i="2"/>
  <c r="J3554" i="2"/>
  <c r="H3554" i="2"/>
  <c r="I3554" i="2" s="1"/>
  <c r="L3554" i="2" s="1"/>
  <c r="K3553" i="2"/>
  <c r="J3553" i="2"/>
  <c r="H3553" i="2"/>
  <c r="I3553" i="2" s="1"/>
  <c r="L3553" i="2" s="1"/>
  <c r="K3552" i="2"/>
  <c r="J3552" i="2"/>
  <c r="H3552" i="2"/>
  <c r="L3551" i="2"/>
  <c r="K3551" i="2"/>
  <c r="J3551" i="2"/>
  <c r="I3551" i="2"/>
  <c r="H3551" i="2"/>
  <c r="K3550" i="2"/>
  <c r="J3550" i="2"/>
  <c r="I3550" i="2"/>
  <c r="L3550" i="2" s="1"/>
  <c r="H3550" i="2"/>
  <c r="L3549" i="2"/>
  <c r="K3549" i="2"/>
  <c r="J3549" i="2"/>
  <c r="I3549" i="2"/>
  <c r="H3549" i="2"/>
  <c r="K3548" i="2"/>
  <c r="J3548" i="2"/>
  <c r="H3548" i="2"/>
  <c r="I3548" i="2" s="1"/>
  <c r="L3548" i="2" s="1"/>
  <c r="K3547" i="2"/>
  <c r="J3547" i="2"/>
  <c r="H3547" i="2"/>
  <c r="K3546" i="2"/>
  <c r="J3546" i="2"/>
  <c r="H3546" i="2"/>
  <c r="I3546" i="2" s="1"/>
  <c r="L3546" i="2" s="1"/>
  <c r="K3545" i="2"/>
  <c r="J3545" i="2"/>
  <c r="H3545" i="2"/>
  <c r="I3545" i="2" s="1"/>
  <c r="L3545" i="2" s="1"/>
  <c r="K3544" i="2"/>
  <c r="J3544" i="2"/>
  <c r="H3544" i="2"/>
  <c r="K3543" i="2"/>
  <c r="J3543" i="2"/>
  <c r="I3543" i="2"/>
  <c r="L3543" i="2" s="1"/>
  <c r="H3543" i="2"/>
  <c r="K3542" i="2"/>
  <c r="J3542" i="2"/>
  <c r="H3542" i="2"/>
  <c r="I3542" i="2" s="1"/>
  <c r="L3542" i="2" s="1"/>
  <c r="K3541" i="2"/>
  <c r="J3541" i="2"/>
  <c r="H3541" i="2"/>
  <c r="I3541" i="2" s="1"/>
  <c r="L3541" i="2" s="1"/>
  <c r="K3540" i="2"/>
  <c r="J3540" i="2"/>
  <c r="I3540" i="2"/>
  <c r="L3540" i="2" s="1"/>
  <c r="H3540" i="2"/>
  <c r="L3539" i="2"/>
  <c r="K3539" i="2"/>
  <c r="J3539" i="2"/>
  <c r="I3539" i="2"/>
  <c r="H3539" i="2"/>
  <c r="K3538" i="2"/>
  <c r="J3538" i="2"/>
  <c r="H3538" i="2"/>
  <c r="I3538" i="2" s="1"/>
  <c r="L3538" i="2" s="1"/>
  <c r="K3537" i="2"/>
  <c r="J3537" i="2"/>
  <c r="I3537" i="2"/>
  <c r="L3537" i="2" s="1"/>
  <c r="H3537" i="2"/>
  <c r="K3536" i="2"/>
  <c r="J3536" i="2"/>
  <c r="H3536" i="2"/>
  <c r="K3535" i="2"/>
  <c r="J3535" i="2"/>
  <c r="I3535" i="2"/>
  <c r="L3535" i="2" s="1"/>
  <c r="H3535" i="2"/>
  <c r="K3534" i="2"/>
  <c r="J3534" i="2"/>
  <c r="H3534" i="2"/>
  <c r="I3534" i="2" s="1"/>
  <c r="L3534" i="2" s="1"/>
  <c r="L3533" i="2"/>
  <c r="K3533" i="2"/>
  <c r="J3533" i="2"/>
  <c r="H3533" i="2"/>
  <c r="I3533" i="2" s="1"/>
  <c r="L3532" i="2"/>
  <c r="K3532" i="2"/>
  <c r="J3532" i="2"/>
  <c r="I3532" i="2"/>
  <c r="H3532" i="2"/>
  <c r="K3531" i="2"/>
  <c r="J3531" i="2"/>
  <c r="I3531" i="2"/>
  <c r="L3531" i="2" s="1"/>
  <c r="H3531" i="2"/>
  <c r="K3530" i="2"/>
  <c r="J3530" i="2"/>
  <c r="I3530" i="2"/>
  <c r="L3530" i="2" s="1"/>
  <c r="H3530" i="2"/>
  <c r="K3529" i="2"/>
  <c r="J3529" i="2"/>
  <c r="I3529" i="2"/>
  <c r="L3529" i="2" s="1"/>
  <c r="H3529" i="2"/>
  <c r="K3528" i="2"/>
  <c r="J3528" i="2"/>
  <c r="H3528" i="2"/>
  <c r="I3528" i="2" s="1"/>
  <c r="L3528" i="2" s="1"/>
  <c r="L3527" i="2"/>
  <c r="K3527" i="2"/>
  <c r="J3527" i="2"/>
  <c r="I3527" i="2"/>
  <c r="H3527" i="2"/>
  <c r="L3526" i="2"/>
  <c r="K3526" i="2"/>
  <c r="J3526" i="2"/>
  <c r="I3526" i="2"/>
  <c r="H3526" i="2"/>
  <c r="K3525" i="2"/>
  <c r="J3525" i="2"/>
  <c r="I3525" i="2"/>
  <c r="L3525" i="2" s="1"/>
  <c r="H3525" i="2"/>
  <c r="K3524" i="2"/>
  <c r="J3524" i="2"/>
  <c r="H3524" i="2"/>
  <c r="I3524" i="2" s="1"/>
  <c r="L3524" i="2" s="1"/>
  <c r="K3523" i="2"/>
  <c r="J3523" i="2"/>
  <c r="H3523" i="2"/>
  <c r="I3523" i="2" s="1"/>
  <c r="L3523" i="2" s="1"/>
  <c r="L3522" i="2"/>
  <c r="K3522" i="2"/>
  <c r="J3522" i="2"/>
  <c r="H3522" i="2"/>
  <c r="I3522" i="2" s="1"/>
  <c r="K3521" i="2"/>
  <c r="J3521" i="2"/>
  <c r="I3521" i="2"/>
  <c r="L3521" i="2" s="1"/>
  <c r="H3521" i="2"/>
  <c r="K3520" i="2"/>
  <c r="J3520" i="2"/>
  <c r="H3520" i="2"/>
  <c r="I3520" i="2" s="1"/>
  <c r="L3520" i="2" s="1"/>
  <c r="K3519" i="2"/>
  <c r="J3519" i="2"/>
  <c r="I3519" i="2"/>
  <c r="L3519" i="2" s="1"/>
  <c r="H3519" i="2"/>
  <c r="K3518" i="2"/>
  <c r="J3518" i="2"/>
  <c r="I3518" i="2" s="1"/>
  <c r="L3518" i="2" s="1"/>
  <c r="H3518" i="2"/>
  <c r="K3517" i="2"/>
  <c r="J3517" i="2"/>
  <c r="I3517" i="2"/>
  <c r="L3517" i="2" s="1"/>
  <c r="H3517" i="2"/>
  <c r="L3516" i="2"/>
  <c r="K3516" i="2"/>
  <c r="J3516" i="2"/>
  <c r="I3516" i="2"/>
  <c r="H3516" i="2"/>
  <c r="L3515" i="2"/>
  <c r="K3515" i="2"/>
  <c r="J3515" i="2"/>
  <c r="I3515" i="2"/>
  <c r="H3515" i="2"/>
  <c r="K3514" i="2"/>
  <c r="J3514" i="2"/>
  <c r="I3514" i="2"/>
  <c r="L3514" i="2" s="1"/>
  <c r="H3514" i="2"/>
  <c r="K3513" i="2"/>
  <c r="J3513" i="2"/>
  <c r="I3513" i="2"/>
  <c r="L3513" i="2" s="1"/>
  <c r="H3513" i="2"/>
  <c r="K3512" i="2"/>
  <c r="J3512" i="2"/>
  <c r="I3512" i="2"/>
  <c r="L3512" i="2" s="1"/>
  <c r="H3512" i="2"/>
  <c r="L3511" i="2"/>
  <c r="K3511" i="2"/>
  <c r="J3511" i="2"/>
  <c r="I3511" i="2"/>
  <c r="H3511" i="2"/>
  <c r="L3510" i="2"/>
  <c r="K3510" i="2"/>
  <c r="J3510" i="2"/>
  <c r="H3510" i="2"/>
  <c r="I3510" i="2" s="1"/>
  <c r="K3509" i="2"/>
  <c r="J3509" i="2"/>
  <c r="H3509" i="2"/>
  <c r="I3509" i="2" s="1"/>
  <c r="L3509" i="2" s="1"/>
  <c r="K3508" i="2"/>
  <c r="J3508" i="2"/>
  <c r="H3508" i="2"/>
  <c r="I3508" i="2" s="1"/>
  <c r="L3508" i="2" s="1"/>
  <c r="K3507" i="2"/>
  <c r="J3507" i="2"/>
  <c r="H3507" i="2"/>
  <c r="I3507" i="2" s="1"/>
  <c r="L3507" i="2" s="1"/>
  <c r="L3506" i="2"/>
  <c r="K3506" i="2"/>
  <c r="J3506" i="2"/>
  <c r="H3506" i="2"/>
  <c r="I3506" i="2" s="1"/>
  <c r="K3505" i="2"/>
  <c r="J3505" i="2"/>
  <c r="H3505" i="2"/>
  <c r="I3505" i="2" s="1"/>
  <c r="L3505" i="2" s="1"/>
  <c r="K3504" i="2"/>
  <c r="J3504" i="2"/>
  <c r="H3504" i="2"/>
  <c r="I3504" i="2" s="1"/>
  <c r="L3504" i="2" s="1"/>
  <c r="L3503" i="2"/>
  <c r="K3503" i="2"/>
  <c r="J3503" i="2"/>
  <c r="I3503" i="2"/>
  <c r="H3503" i="2"/>
  <c r="L3502" i="2"/>
  <c r="K3502" i="2"/>
  <c r="J3502" i="2"/>
  <c r="I3502" i="2"/>
  <c r="H3502" i="2"/>
  <c r="K3501" i="2"/>
  <c r="J3501" i="2"/>
  <c r="I3501" i="2"/>
  <c r="L3501" i="2" s="1"/>
  <c r="H3501" i="2"/>
  <c r="K3500" i="2"/>
  <c r="J3500" i="2"/>
  <c r="I3500" i="2"/>
  <c r="L3500" i="2" s="1"/>
  <c r="H3500" i="2"/>
  <c r="K3499" i="2"/>
  <c r="J3499" i="2"/>
  <c r="H3499" i="2"/>
  <c r="I3499" i="2" s="1"/>
  <c r="L3499" i="2" s="1"/>
  <c r="L3498" i="2"/>
  <c r="K3498" i="2"/>
  <c r="J3498" i="2"/>
  <c r="I3498" i="2"/>
  <c r="H3498" i="2"/>
  <c r="K3497" i="2"/>
  <c r="J3497" i="2"/>
  <c r="H3497" i="2"/>
  <c r="I3497" i="2" s="1"/>
  <c r="L3497" i="2" s="1"/>
  <c r="K3496" i="2"/>
  <c r="J3496" i="2"/>
  <c r="H3496" i="2"/>
  <c r="I3496" i="2" s="1"/>
  <c r="L3496" i="2" s="1"/>
  <c r="K3495" i="2"/>
  <c r="J3495" i="2"/>
  <c r="I3495" i="2"/>
  <c r="L3495" i="2" s="1"/>
  <c r="H3495" i="2"/>
  <c r="K3494" i="2"/>
  <c r="J3494" i="2"/>
  <c r="H3494" i="2"/>
  <c r="I3494" i="2" s="1"/>
  <c r="L3494" i="2" s="1"/>
  <c r="K3493" i="2"/>
  <c r="J3493" i="2"/>
  <c r="H3493" i="2"/>
  <c r="I3493" i="2" s="1"/>
  <c r="L3493" i="2" s="1"/>
  <c r="K3492" i="2"/>
  <c r="J3492" i="2"/>
  <c r="I3492" i="2" s="1"/>
  <c r="L3492" i="2" s="1"/>
  <c r="H3492" i="2"/>
  <c r="L3491" i="2"/>
  <c r="K3491" i="2"/>
  <c r="J3491" i="2"/>
  <c r="I3491" i="2"/>
  <c r="H3491" i="2"/>
  <c r="K3490" i="2"/>
  <c r="J3490" i="2"/>
  <c r="H3490" i="2"/>
  <c r="I3490" i="2" s="1"/>
  <c r="L3490" i="2" s="1"/>
  <c r="K3489" i="2"/>
  <c r="J3489" i="2"/>
  <c r="I3489" i="2"/>
  <c r="L3489" i="2" s="1"/>
  <c r="H3489" i="2"/>
  <c r="K3488" i="2"/>
  <c r="J3488" i="2"/>
  <c r="H3488" i="2"/>
  <c r="I3488" i="2" s="1"/>
  <c r="L3488" i="2" s="1"/>
  <c r="K3487" i="2"/>
  <c r="J3487" i="2"/>
  <c r="I3487" i="2" s="1"/>
  <c r="L3487" i="2" s="1"/>
  <c r="H3487" i="2"/>
  <c r="K3486" i="2"/>
  <c r="J3486" i="2"/>
  <c r="H3486" i="2"/>
  <c r="I3486" i="2" s="1"/>
  <c r="L3486" i="2" s="1"/>
  <c r="K3485" i="2"/>
  <c r="J3485" i="2"/>
  <c r="H3485" i="2"/>
  <c r="I3485" i="2" s="1"/>
  <c r="L3485" i="2" s="1"/>
  <c r="L3484" i="2"/>
  <c r="K3484" i="2"/>
  <c r="J3484" i="2"/>
  <c r="I3484" i="2"/>
  <c r="H3484" i="2"/>
  <c r="K3483" i="2"/>
  <c r="J3483" i="2"/>
  <c r="H3483" i="2"/>
  <c r="I3483" i="2" s="1"/>
  <c r="L3483" i="2" s="1"/>
  <c r="K3482" i="2"/>
  <c r="J3482" i="2"/>
  <c r="H3482" i="2"/>
  <c r="I3482" i="2" s="1"/>
  <c r="L3482" i="2" s="1"/>
  <c r="K3481" i="2"/>
  <c r="J3481" i="2"/>
  <c r="H3481" i="2"/>
  <c r="I3481" i="2" s="1"/>
  <c r="L3481" i="2" s="1"/>
  <c r="K3480" i="2"/>
  <c r="J3480" i="2"/>
  <c r="H3480" i="2"/>
  <c r="I3480" i="2" s="1"/>
  <c r="L3480" i="2" s="1"/>
  <c r="L3479" i="2"/>
  <c r="K3479" i="2"/>
  <c r="J3479" i="2"/>
  <c r="I3479" i="2"/>
  <c r="H3479" i="2"/>
  <c r="K3478" i="2"/>
  <c r="J3478" i="2"/>
  <c r="I3478" i="2" s="1"/>
  <c r="L3478" i="2" s="1"/>
  <c r="H3478" i="2"/>
  <c r="K3477" i="2"/>
  <c r="J3477" i="2"/>
  <c r="I3477" i="2" s="1"/>
  <c r="L3477" i="2" s="1"/>
  <c r="H3477" i="2"/>
  <c r="K3476" i="2"/>
  <c r="J3476" i="2"/>
  <c r="H3476" i="2"/>
  <c r="I3476" i="2" s="1"/>
  <c r="L3476" i="2" s="1"/>
  <c r="L3475" i="2"/>
  <c r="K3475" i="2"/>
  <c r="J3475" i="2"/>
  <c r="I3475" i="2"/>
  <c r="H3475" i="2"/>
  <c r="L3474" i="2"/>
  <c r="K3474" i="2"/>
  <c r="J3474" i="2"/>
  <c r="H3474" i="2"/>
  <c r="I3474" i="2" s="1"/>
  <c r="K3473" i="2"/>
  <c r="J3473" i="2"/>
  <c r="I3473" i="2"/>
  <c r="L3473" i="2" s="1"/>
  <c r="H3473" i="2"/>
  <c r="L3472" i="2"/>
  <c r="K3472" i="2"/>
  <c r="J3472" i="2"/>
  <c r="H3472" i="2"/>
  <c r="I3472" i="2" s="1"/>
  <c r="K3471" i="2"/>
  <c r="J3471" i="2"/>
  <c r="H3471" i="2"/>
  <c r="K3470" i="2"/>
  <c r="J3470" i="2"/>
  <c r="H3470" i="2"/>
  <c r="I3470" i="2" s="1"/>
  <c r="L3470" i="2" s="1"/>
  <c r="K3469" i="2"/>
  <c r="J3469" i="2"/>
  <c r="I3469" i="2"/>
  <c r="L3469" i="2" s="1"/>
  <c r="H3469" i="2"/>
  <c r="K3468" i="2"/>
  <c r="J3468" i="2"/>
  <c r="H3468" i="2"/>
  <c r="I3468" i="2" s="1"/>
  <c r="L3468" i="2" s="1"/>
  <c r="L3467" i="2"/>
  <c r="K3467" i="2"/>
  <c r="J3467" i="2"/>
  <c r="I3467" i="2"/>
  <c r="H3467" i="2"/>
  <c r="L3466" i="2"/>
  <c r="K3466" i="2"/>
  <c r="J3466" i="2"/>
  <c r="H3466" i="2"/>
  <c r="I3466" i="2" s="1"/>
  <c r="K3465" i="2"/>
  <c r="J3465" i="2"/>
  <c r="I3465" i="2" s="1"/>
  <c r="L3465" i="2" s="1"/>
  <c r="H3465" i="2"/>
  <c r="K3464" i="2"/>
  <c r="J3464" i="2"/>
  <c r="H3464" i="2"/>
  <c r="I3464" i="2" s="1"/>
  <c r="L3464" i="2" s="1"/>
  <c r="L3463" i="2"/>
  <c r="K3463" i="2"/>
  <c r="J3463" i="2"/>
  <c r="I3463" i="2"/>
  <c r="H3463" i="2"/>
  <c r="K3462" i="2"/>
  <c r="J3462" i="2"/>
  <c r="H3462" i="2"/>
  <c r="I3462" i="2" s="1"/>
  <c r="L3462" i="2" s="1"/>
  <c r="L3461" i="2"/>
  <c r="K3461" i="2"/>
  <c r="J3461" i="2"/>
  <c r="I3461" i="2"/>
  <c r="H3461" i="2"/>
  <c r="K3460" i="2"/>
  <c r="J3460" i="2"/>
  <c r="H3460" i="2"/>
  <c r="K3459" i="2"/>
  <c r="J3459" i="2"/>
  <c r="I3459" i="2"/>
  <c r="L3459" i="2" s="1"/>
  <c r="H3459" i="2"/>
  <c r="L3458" i="2"/>
  <c r="K3458" i="2"/>
  <c r="J3458" i="2"/>
  <c r="H3458" i="2"/>
  <c r="I3458" i="2" s="1"/>
  <c r="K3457" i="2"/>
  <c r="J3457" i="2"/>
  <c r="I3457" i="2"/>
  <c r="L3457" i="2" s="1"/>
  <c r="H3457" i="2"/>
  <c r="K3456" i="2"/>
  <c r="J3456" i="2"/>
  <c r="I3456" i="2"/>
  <c r="L3456" i="2" s="1"/>
  <c r="H3456" i="2"/>
  <c r="L3455" i="2"/>
  <c r="K3455" i="2"/>
  <c r="J3455" i="2"/>
  <c r="I3455" i="2"/>
  <c r="H3455" i="2"/>
  <c r="K3454" i="2"/>
  <c r="J3454" i="2"/>
  <c r="H3454" i="2"/>
  <c r="I3454" i="2" s="1"/>
  <c r="L3454" i="2" s="1"/>
  <c r="K3453" i="2"/>
  <c r="J3453" i="2"/>
  <c r="I3453" i="2" s="1"/>
  <c r="L3453" i="2" s="1"/>
  <c r="H3453" i="2"/>
  <c r="K3452" i="2"/>
  <c r="J3452" i="2"/>
  <c r="I3452" i="2"/>
  <c r="L3452" i="2" s="1"/>
  <c r="H3452" i="2"/>
  <c r="K3451" i="2"/>
  <c r="J3451" i="2"/>
  <c r="I3451" i="2"/>
  <c r="L3451" i="2" s="1"/>
  <c r="H3451" i="2"/>
  <c r="L3450" i="2"/>
  <c r="K3450" i="2"/>
  <c r="J3450" i="2"/>
  <c r="H3450" i="2"/>
  <c r="I3450" i="2" s="1"/>
  <c r="K3449" i="2"/>
  <c r="J3449" i="2"/>
  <c r="H3449" i="2"/>
  <c r="I3449" i="2" s="1"/>
  <c r="L3449" i="2" s="1"/>
  <c r="K3448" i="2"/>
  <c r="J3448" i="2"/>
  <c r="H3448" i="2"/>
  <c r="I3448" i="2" s="1"/>
  <c r="L3448" i="2" s="1"/>
  <c r="K3447" i="2"/>
  <c r="J3447" i="2"/>
  <c r="H3447" i="2"/>
  <c r="I3447" i="2" s="1"/>
  <c r="L3447" i="2" s="1"/>
  <c r="L3446" i="2"/>
  <c r="K3446" i="2"/>
  <c r="J3446" i="2"/>
  <c r="I3446" i="2"/>
  <c r="H3446" i="2"/>
  <c r="K3445" i="2"/>
  <c r="J3445" i="2"/>
  <c r="I3445" i="2"/>
  <c r="L3445" i="2" s="1"/>
  <c r="H3445" i="2"/>
  <c r="K3444" i="2"/>
  <c r="J3444" i="2"/>
  <c r="I3444" i="2"/>
  <c r="L3444" i="2" s="1"/>
  <c r="H3444" i="2"/>
  <c r="L3443" i="2"/>
  <c r="K3443" i="2"/>
  <c r="J3443" i="2"/>
  <c r="I3443" i="2"/>
  <c r="H3443" i="2"/>
  <c r="K3442" i="2"/>
  <c r="J3442" i="2"/>
  <c r="H3442" i="2"/>
  <c r="I3442" i="2" s="1"/>
  <c r="L3442" i="2" s="1"/>
  <c r="L3441" i="2"/>
  <c r="K3441" i="2"/>
  <c r="J3441" i="2"/>
  <c r="I3441" i="2" s="1"/>
  <c r="H3441" i="2"/>
  <c r="K3440" i="2"/>
  <c r="J3440" i="2"/>
  <c r="I3440" i="2" s="1"/>
  <c r="L3440" i="2" s="1"/>
  <c r="H3440" i="2"/>
  <c r="K3439" i="2"/>
  <c r="J3439" i="2"/>
  <c r="H3439" i="2"/>
  <c r="L3438" i="2"/>
  <c r="K3438" i="2"/>
  <c r="J3438" i="2"/>
  <c r="H3438" i="2"/>
  <c r="I3438" i="2" s="1"/>
  <c r="K3437" i="2"/>
  <c r="J3437" i="2"/>
  <c r="H3437" i="2"/>
  <c r="I3437" i="2" s="1"/>
  <c r="L3437" i="2" s="1"/>
  <c r="K3436" i="2"/>
  <c r="J3436" i="2"/>
  <c r="H3436" i="2"/>
  <c r="I3436" i="2" s="1"/>
  <c r="L3436" i="2" s="1"/>
  <c r="K3435" i="2"/>
  <c r="J3435" i="2"/>
  <c r="H3435" i="2"/>
  <c r="I3435" i="2" s="1"/>
  <c r="L3435" i="2" s="1"/>
  <c r="K3434" i="2"/>
  <c r="J3434" i="2"/>
  <c r="H3434" i="2"/>
  <c r="I3434" i="2" s="1"/>
  <c r="L3434" i="2" s="1"/>
  <c r="K3433" i="2"/>
  <c r="J3433" i="2"/>
  <c r="H3433" i="2"/>
  <c r="I3433" i="2" s="1"/>
  <c r="L3433" i="2" s="1"/>
  <c r="K3432" i="2"/>
  <c r="J3432" i="2"/>
  <c r="I3432" i="2" s="1"/>
  <c r="L3432" i="2" s="1"/>
  <c r="H3432" i="2"/>
  <c r="L3431" i="2"/>
  <c r="K3431" i="2"/>
  <c r="J3431" i="2"/>
  <c r="I3431" i="2"/>
  <c r="H3431" i="2"/>
  <c r="K3430" i="2"/>
  <c r="J3430" i="2"/>
  <c r="H3430" i="2"/>
  <c r="I3430" i="2" s="1"/>
  <c r="L3430" i="2" s="1"/>
  <c r="K3429" i="2"/>
  <c r="J3429" i="2"/>
  <c r="I3429" i="2"/>
  <c r="L3429" i="2" s="1"/>
  <c r="H3429" i="2"/>
  <c r="K3428" i="2"/>
  <c r="J3428" i="2"/>
  <c r="I3428" i="2"/>
  <c r="L3428" i="2" s="1"/>
  <c r="H3428" i="2"/>
  <c r="K3427" i="2"/>
  <c r="J3427" i="2"/>
  <c r="I3427" i="2" s="1"/>
  <c r="L3427" i="2" s="1"/>
  <c r="H3427" i="2"/>
  <c r="K3426" i="2"/>
  <c r="J3426" i="2"/>
  <c r="H3426" i="2"/>
  <c r="I3426" i="2" s="1"/>
  <c r="L3426" i="2" s="1"/>
  <c r="L3425" i="2"/>
  <c r="K3425" i="2"/>
  <c r="J3425" i="2"/>
  <c r="I3425" i="2"/>
  <c r="H3425" i="2"/>
  <c r="L3424" i="2"/>
  <c r="K3424" i="2"/>
  <c r="J3424" i="2"/>
  <c r="H3424" i="2"/>
  <c r="I3424" i="2" s="1"/>
  <c r="K3423" i="2"/>
  <c r="J3423" i="2"/>
  <c r="H3423" i="2"/>
  <c r="I3423" i="2" s="1"/>
  <c r="L3423" i="2" s="1"/>
  <c r="K3422" i="2"/>
  <c r="J3422" i="2"/>
  <c r="I3422" i="2" s="1"/>
  <c r="L3422" i="2" s="1"/>
  <c r="H3422" i="2"/>
  <c r="K3421" i="2"/>
  <c r="J3421" i="2"/>
  <c r="I3421" i="2"/>
  <c r="L3421" i="2" s="1"/>
  <c r="H3421" i="2"/>
  <c r="K3420" i="2"/>
  <c r="J3420" i="2"/>
  <c r="I3420" i="2"/>
  <c r="L3420" i="2" s="1"/>
  <c r="H3420" i="2"/>
  <c r="L3419" i="2"/>
  <c r="K3419" i="2"/>
  <c r="J3419" i="2"/>
  <c r="I3419" i="2"/>
  <c r="H3419" i="2"/>
  <c r="K3418" i="2"/>
  <c r="J3418" i="2"/>
  <c r="H3418" i="2"/>
  <c r="I3418" i="2" s="1"/>
  <c r="L3418" i="2" s="1"/>
  <c r="L3417" i="2"/>
  <c r="K3417" i="2"/>
  <c r="J3417" i="2"/>
  <c r="I3417" i="2"/>
  <c r="H3417" i="2"/>
  <c r="K3416" i="2"/>
  <c r="J3416" i="2"/>
  <c r="H3416" i="2"/>
  <c r="I3416" i="2" s="1"/>
  <c r="L3416" i="2" s="1"/>
  <c r="K3415" i="2"/>
  <c r="J3415" i="2"/>
  <c r="H3415" i="2"/>
  <c r="I3415" i="2" s="1"/>
  <c r="L3415" i="2" s="1"/>
  <c r="L3414" i="2"/>
  <c r="K3414" i="2"/>
  <c r="J3414" i="2"/>
  <c r="H3414" i="2"/>
  <c r="I3414" i="2" s="1"/>
  <c r="K3413" i="2"/>
  <c r="J3413" i="2"/>
  <c r="H3413" i="2"/>
  <c r="I3413" i="2" s="1"/>
  <c r="L3413" i="2" s="1"/>
  <c r="L3412" i="2"/>
  <c r="K3412" i="2"/>
  <c r="J3412" i="2"/>
  <c r="I3412" i="2"/>
  <c r="H3412" i="2"/>
  <c r="K3411" i="2"/>
  <c r="J3411" i="2"/>
  <c r="H3411" i="2"/>
  <c r="K3410" i="2"/>
  <c r="J3410" i="2"/>
  <c r="H3410" i="2"/>
  <c r="I3410" i="2" s="1"/>
  <c r="L3410" i="2" s="1"/>
  <c r="K3409" i="2"/>
  <c r="J3409" i="2"/>
  <c r="H3409" i="2"/>
  <c r="I3409" i="2" s="1"/>
  <c r="L3409" i="2" s="1"/>
  <c r="L3408" i="2"/>
  <c r="K3408" i="2"/>
  <c r="J3408" i="2"/>
  <c r="I3408" i="2"/>
  <c r="H3408" i="2"/>
  <c r="L3407" i="2"/>
  <c r="K3407" i="2"/>
  <c r="J3407" i="2"/>
  <c r="I3407" i="2"/>
  <c r="H3407" i="2"/>
  <c r="K3406" i="2"/>
  <c r="J3406" i="2"/>
  <c r="H3406" i="2"/>
  <c r="I3406" i="2" s="1"/>
  <c r="L3406" i="2" s="1"/>
  <c r="L3405" i="2"/>
  <c r="K3405" i="2"/>
  <c r="J3405" i="2"/>
  <c r="I3405" i="2" s="1"/>
  <c r="H3405" i="2"/>
  <c r="K3404" i="2"/>
  <c r="J3404" i="2"/>
  <c r="I3404" i="2"/>
  <c r="L3404" i="2" s="1"/>
  <c r="H3404" i="2"/>
  <c r="K3403" i="2"/>
  <c r="J3403" i="2"/>
  <c r="I3403" i="2"/>
  <c r="L3403" i="2" s="1"/>
  <c r="H3403" i="2"/>
  <c r="K3402" i="2"/>
  <c r="J3402" i="2"/>
  <c r="H3402" i="2"/>
  <c r="I3402" i="2" s="1"/>
  <c r="L3402" i="2" s="1"/>
  <c r="K3401" i="2"/>
  <c r="J3401" i="2"/>
  <c r="I3401" i="2"/>
  <c r="L3401" i="2" s="1"/>
  <c r="H3401" i="2"/>
  <c r="K3400" i="2"/>
  <c r="J3400" i="2"/>
  <c r="H3400" i="2"/>
  <c r="K3399" i="2"/>
  <c r="J3399" i="2"/>
  <c r="I3399" i="2"/>
  <c r="L3399" i="2" s="1"/>
  <c r="H3399" i="2"/>
  <c r="K3398" i="2"/>
  <c r="J3398" i="2"/>
  <c r="H3398" i="2"/>
  <c r="K3397" i="2"/>
  <c r="J3397" i="2"/>
  <c r="I3397" i="2"/>
  <c r="L3397" i="2" s="1"/>
  <c r="H3397" i="2"/>
  <c r="K3396" i="2"/>
  <c r="J3396" i="2"/>
  <c r="I3396" i="2" s="1"/>
  <c r="L3396" i="2" s="1"/>
  <c r="H3396" i="2"/>
  <c r="L3395" i="2"/>
  <c r="K3395" i="2"/>
  <c r="J3395" i="2"/>
  <c r="I3395" i="2"/>
  <c r="H3395" i="2"/>
  <c r="K3394" i="2"/>
  <c r="J3394" i="2"/>
  <c r="H3394" i="2"/>
  <c r="I3394" i="2" s="1"/>
  <c r="L3394" i="2" s="1"/>
  <c r="L3393" i="2"/>
  <c r="K3393" i="2"/>
  <c r="J3393" i="2"/>
  <c r="I3393" i="2" s="1"/>
  <c r="H3393" i="2"/>
  <c r="K3392" i="2"/>
  <c r="J3392" i="2"/>
  <c r="I3392" i="2"/>
  <c r="L3392" i="2" s="1"/>
  <c r="H3392" i="2"/>
  <c r="K3391" i="2"/>
  <c r="J3391" i="2"/>
  <c r="H3391" i="2"/>
  <c r="I3391" i="2" s="1"/>
  <c r="L3391" i="2" s="1"/>
  <c r="L3390" i="2"/>
  <c r="K3390" i="2"/>
  <c r="J3390" i="2"/>
  <c r="H3390" i="2"/>
  <c r="I3390" i="2" s="1"/>
  <c r="L3389" i="2"/>
  <c r="K3389" i="2"/>
  <c r="J3389" i="2"/>
  <c r="I3389" i="2"/>
  <c r="H3389" i="2"/>
  <c r="L3388" i="2"/>
  <c r="K3388" i="2"/>
  <c r="J3388" i="2"/>
  <c r="I3388" i="2"/>
  <c r="H3388" i="2"/>
  <c r="K3387" i="2"/>
  <c r="J3387" i="2"/>
  <c r="H3387" i="2"/>
  <c r="I3387" i="2" s="1"/>
  <c r="L3387" i="2" s="1"/>
  <c r="L3386" i="2"/>
  <c r="K3386" i="2"/>
  <c r="J3386" i="2"/>
  <c r="H3386" i="2"/>
  <c r="I3386" i="2" s="1"/>
  <c r="K3385" i="2"/>
  <c r="J3385" i="2"/>
  <c r="H3385" i="2"/>
  <c r="I3385" i="2" s="1"/>
  <c r="L3385" i="2" s="1"/>
  <c r="K3384" i="2"/>
  <c r="J3384" i="2"/>
  <c r="H3384" i="2"/>
  <c r="I3384" i="2" s="1"/>
  <c r="L3384" i="2" s="1"/>
  <c r="L3383" i="2"/>
  <c r="K3383" i="2"/>
  <c r="J3383" i="2"/>
  <c r="I3383" i="2"/>
  <c r="H3383" i="2"/>
  <c r="K3382" i="2"/>
  <c r="J3382" i="2"/>
  <c r="I3382" i="2"/>
  <c r="L3382" i="2" s="1"/>
  <c r="H3382" i="2"/>
  <c r="K3381" i="2"/>
  <c r="J3381" i="2"/>
  <c r="I3381" i="2" s="1"/>
  <c r="L3381" i="2" s="1"/>
  <c r="H3381" i="2"/>
  <c r="K3380" i="2"/>
  <c r="J3380" i="2"/>
  <c r="H3380" i="2"/>
  <c r="L3379" i="2"/>
  <c r="K3379" i="2"/>
  <c r="J3379" i="2"/>
  <c r="I3379" i="2" s="1"/>
  <c r="H3379" i="2"/>
  <c r="L3378" i="2"/>
  <c r="K3378" i="2"/>
  <c r="J3378" i="2"/>
  <c r="H3378" i="2"/>
  <c r="I3378" i="2" s="1"/>
  <c r="K3377" i="2"/>
  <c r="J3377" i="2"/>
  <c r="I3377" i="2"/>
  <c r="L3377" i="2" s="1"/>
  <c r="H3377" i="2"/>
  <c r="K3376" i="2"/>
  <c r="J3376" i="2"/>
  <c r="H3376" i="2"/>
  <c r="K3375" i="2"/>
  <c r="J3375" i="2"/>
  <c r="I3375" i="2"/>
  <c r="L3375" i="2" s="1"/>
  <c r="H3375" i="2"/>
  <c r="K3374" i="2"/>
  <c r="J3374" i="2"/>
  <c r="I3374" i="2"/>
  <c r="L3374" i="2" s="1"/>
  <c r="H3374" i="2"/>
  <c r="K3373" i="2"/>
  <c r="J3373" i="2"/>
  <c r="I3373" i="2"/>
  <c r="L3373" i="2" s="1"/>
  <c r="H3373" i="2"/>
  <c r="K3372" i="2"/>
  <c r="J3372" i="2"/>
  <c r="H3372" i="2"/>
  <c r="L3371" i="2"/>
  <c r="K3371" i="2"/>
  <c r="J3371" i="2"/>
  <c r="I3371" i="2"/>
  <c r="H3371" i="2"/>
  <c r="L3370" i="2"/>
  <c r="K3370" i="2"/>
  <c r="J3370" i="2"/>
  <c r="I3370" i="2"/>
  <c r="H3370" i="2"/>
  <c r="K3369" i="2"/>
  <c r="J3369" i="2"/>
  <c r="I3369" i="2"/>
  <c r="L3369" i="2" s="1"/>
  <c r="H3369" i="2"/>
  <c r="K3368" i="2"/>
  <c r="J3368" i="2"/>
  <c r="H3368" i="2"/>
  <c r="I3368" i="2" s="1"/>
  <c r="L3368" i="2" s="1"/>
  <c r="K3367" i="2"/>
  <c r="J3367" i="2"/>
  <c r="H3367" i="2"/>
  <c r="K3366" i="2"/>
  <c r="J3366" i="2"/>
  <c r="H3366" i="2"/>
  <c r="I3366" i="2" s="1"/>
  <c r="L3366" i="2" s="1"/>
  <c r="K3365" i="2"/>
  <c r="J3365" i="2"/>
  <c r="I3365" i="2"/>
  <c r="L3365" i="2" s="1"/>
  <c r="H3365" i="2"/>
  <c r="L3364" i="2"/>
  <c r="K3364" i="2"/>
  <c r="J3364" i="2"/>
  <c r="H3364" i="2"/>
  <c r="I3364" i="2" s="1"/>
  <c r="K3363" i="2"/>
  <c r="J3363" i="2"/>
  <c r="H3363" i="2"/>
  <c r="I3363" i="2" s="1"/>
  <c r="L3363" i="2" s="1"/>
  <c r="K3362" i="2"/>
  <c r="J3362" i="2"/>
  <c r="I3362" i="2" s="1"/>
  <c r="L3362" i="2" s="1"/>
  <c r="H3362" i="2"/>
  <c r="K3361" i="2"/>
  <c r="J3361" i="2"/>
  <c r="I3361" i="2"/>
  <c r="L3361" i="2" s="1"/>
  <c r="H3361" i="2"/>
  <c r="K3360" i="2"/>
  <c r="J3360" i="2"/>
  <c r="I3360" i="2"/>
  <c r="L3360" i="2" s="1"/>
  <c r="H3360" i="2"/>
  <c r="L3359" i="2"/>
  <c r="K3359" i="2"/>
  <c r="J3359" i="2"/>
  <c r="I3359" i="2"/>
  <c r="H3359" i="2"/>
  <c r="K3358" i="2"/>
  <c r="J3358" i="2"/>
  <c r="H3358" i="2"/>
  <c r="I3358" i="2" s="1"/>
  <c r="L3358" i="2" s="1"/>
  <c r="K3357" i="2"/>
  <c r="J3357" i="2"/>
  <c r="I3357" i="2" s="1"/>
  <c r="L3357" i="2" s="1"/>
  <c r="H3357" i="2"/>
  <c r="K3356" i="2"/>
  <c r="J3356" i="2"/>
  <c r="I3356" i="2"/>
  <c r="L3356" i="2" s="1"/>
  <c r="H3356" i="2"/>
  <c r="K3355" i="2"/>
  <c r="J3355" i="2"/>
  <c r="I3355" i="2"/>
  <c r="L3355" i="2" s="1"/>
  <c r="H3355" i="2"/>
  <c r="L3354" i="2"/>
  <c r="K3354" i="2"/>
  <c r="J3354" i="2"/>
  <c r="H3354" i="2"/>
  <c r="I3354" i="2" s="1"/>
  <c r="K3353" i="2"/>
  <c r="J3353" i="2"/>
  <c r="I3353" i="2"/>
  <c r="L3353" i="2" s="1"/>
  <c r="H3353" i="2"/>
  <c r="K3352" i="2"/>
  <c r="J3352" i="2"/>
  <c r="H3352" i="2"/>
  <c r="I3352" i="2" s="1"/>
  <c r="L3352" i="2" s="1"/>
  <c r="K3351" i="2"/>
  <c r="J3351" i="2"/>
  <c r="H3351" i="2"/>
  <c r="K3350" i="2"/>
  <c r="J3350" i="2"/>
  <c r="H3350" i="2"/>
  <c r="I3350" i="2" s="1"/>
  <c r="L3350" i="2" s="1"/>
  <c r="K3349" i="2"/>
  <c r="J3349" i="2"/>
  <c r="H3349" i="2"/>
  <c r="I3349" i="2" s="1"/>
  <c r="L3349" i="2" s="1"/>
  <c r="K3348" i="2"/>
  <c r="J3348" i="2"/>
  <c r="I3348" i="2"/>
  <c r="L3348" i="2" s="1"/>
  <c r="H3348" i="2"/>
  <c r="L3347" i="2"/>
  <c r="K3347" i="2"/>
  <c r="J3347" i="2"/>
  <c r="I3347" i="2"/>
  <c r="H3347" i="2"/>
  <c r="K3346" i="2"/>
  <c r="J3346" i="2"/>
  <c r="H3346" i="2"/>
  <c r="I3346" i="2" s="1"/>
  <c r="L3346" i="2" s="1"/>
  <c r="L3345" i="2"/>
  <c r="K3345" i="2"/>
  <c r="J3345" i="2"/>
  <c r="I3345" i="2"/>
  <c r="H3345" i="2"/>
  <c r="K3344" i="2"/>
  <c r="J3344" i="2"/>
  <c r="H3344" i="2"/>
  <c r="I3344" i="2" s="1"/>
  <c r="L3344" i="2" s="1"/>
  <c r="K3343" i="2"/>
  <c r="J3343" i="2"/>
  <c r="I3343" i="2"/>
  <c r="L3343" i="2" s="1"/>
  <c r="H3343" i="2"/>
  <c r="K3342" i="2"/>
  <c r="J3342" i="2"/>
  <c r="H3342" i="2"/>
  <c r="I3342" i="2" s="1"/>
  <c r="L3342" i="2" s="1"/>
  <c r="K3341" i="2"/>
  <c r="J3341" i="2"/>
  <c r="I3341" i="2"/>
  <c r="L3341" i="2" s="1"/>
  <c r="H3341" i="2"/>
  <c r="K3340" i="2"/>
  <c r="J3340" i="2"/>
  <c r="H3340" i="2"/>
  <c r="I3340" i="2" s="1"/>
  <c r="L3340" i="2" s="1"/>
  <c r="K3339" i="2"/>
  <c r="J3339" i="2"/>
  <c r="I3339" i="2"/>
  <c r="L3339" i="2" s="1"/>
  <c r="H3339" i="2"/>
  <c r="K3338" i="2"/>
  <c r="J3338" i="2"/>
  <c r="H3338" i="2"/>
  <c r="I3338" i="2" s="1"/>
  <c r="L3338" i="2" s="1"/>
  <c r="K3337" i="2"/>
  <c r="J3337" i="2"/>
  <c r="H3337" i="2"/>
  <c r="I3337" i="2" s="1"/>
  <c r="L3337" i="2" s="1"/>
  <c r="K3336" i="2"/>
  <c r="J3336" i="2"/>
  <c r="H3336" i="2"/>
  <c r="I3336" i="2" s="1"/>
  <c r="L3336" i="2" s="1"/>
  <c r="L3335" i="2"/>
  <c r="K3335" i="2"/>
  <c r="J3335" i="2"/>
  <c r="I3335" i="2"/>
  <c r="H3335" i="2"/>
  <c r="L3334" i="2"/>
  <c r="K3334" i="2"/>
  <c r="J3334" i="2"/>
  <c r="I3334" i="2"/>
  <c r="H3334" i="2"/>
  <c r="K3333" i="2"/>
  <c r="J3333" i="2"/>
  <c r="I3333" i="2" s="1"/>
  <c r="L3333" i="2" s="1"/>
  <c r="H3333" i="2"/>
  <c r="K3332" i="2"/>
  <c r="J3332" i="2"/>
  <c r="H3332" i="2"/>
  <c r="I3332" i="2" s="1"/>
  <c r="L3332" i="2" s="1"/>
  <c r="L3331" i="2"/>
  <c r="K3331" i="2"/>
  <c r="J3331" i="2"/>
  <c r="H3331" i="2"/>
  <c r="I3331" i="2" s="1"/>
  <c r="K3330" i="2"/>
  <c r="J3330" i="2"/>
  <c r="H3330" i="2"/>
  <c r="I3330" i="2" s="1"/>
  <c r="L3330" i="2" s="1"/>
  <c r="K3329" i="2"/>
  <c r="J3329" i="2"/>
  <c r="I3329" i="2"/>
  <c r="L3329" i="2" s="1"/>
  <c r="H3329" i="2"/>
  <c r="K3328" i="2"/>
  <c r="J3328" i="2"/>
  <c r="H3328" i="2"/>
  <c r="K3327" i="2"/>
  <c r="J3327" i="2"/>
  <c r="H3327" i="2"/>
  <c r="I3327" i="2" s="1"/>
  <c r="L3327" i="2" s="1"/>
  <c r="K3326" i="2"/>
  <c r="J3326" i="2"/>
  <c r="H3326" i="2"/>
  <c r="I3326" i="2" s="1"/>
  <c r="L3326" i="2" s="1"/>
  <c r="K3325" i="2"/>
  <c r="J3325" i="2"/>
  <c r="I3325" i="2"/>
  <c r="L3325" i="2" s="1"/>
  <c r="H3325" i="2"/>
  <c r="K3324" i="2"/>
  <c r="J3324" i="2"/>
  <c r="H3324" i="2"/>
  <c r="I3324" i="2" s="1"/>
  <c r="L3324" i="2" s="1"/>
  <c r="L3323" i="2"/>
  <c r="K3323" i="2"/>
  <c r="J3323" i="2"/>
  <c r="I3323" i="2"/>
  <c r="H3323" i="2"/>
  <c r="L3322" i="2"/>
  <c r="K3322" i="2"/>
  <c r="J3322" i="2"/>
  <c r="H3322" i="2"/>
  <c r="I3322" i="2" s="1"/>
  <c r="K3321" i="2"/>
  <c r="J3321" i="2"/>
  <c r="I3321" i="2" s="1"/>
  <c r="L3321" i="2" s="1"/>
  <c r="H3321" i="2"/>
  <c r="K3320" i="2"/>
  <c r="J3320" i="2"/>
  <c r="I3320" i="2"/>
  <c r="L3320" i="2" s="1"/>
  <c r="H3320" i="2"/>
  <c r="K3319" i="2"/>
  <c r="J3319" i="2"/>
  <c r="H3319" i="2"/>
  <c r="I3319" i="2" s="1"/>
  <c r="L3319" i="2" s="1"/>
  <c r="L3318" i="2"/>
  <c r="K3318" i="2"/>
  <c r="J3318" i="2"/>
  <c r="H3318" i="2"/>
  <c r="I3318" i="2" s="1"/>
  <c r="K3317" i="2"/>
  <c r="J3317" i="2"/>
  <c r="H3317" i="2"/>
  <c r="I3317" i="2" s="1"/>
  <c r="L3317" i="2" s="1"/>
  <c r="L3316" i="2"/>
  <c r="K3316" i="2"/>
  <c r="J3316" i="2"/>
  <c r="H3316" i="2"/>
  <c r="I3316" i="2" s="1"/>
  <c r="K3315" i="2"/>
  <c r="J3315" i="2"/>
  <c r="I3315" i="2" s="1"/>
  <c r="L3315" i="2" s="1"/>
  <c r="H3315" i="2"/>
  <c r="K3314" i="2"/>
  <c r="J3314" i="2"/>
  <c r="H3314" i="2"/>
  <c r="I3314" i="2" s="1"/>
  <c r="L3314" i="2" s="1"/>
  <c r="K3313" i="2"/>
  <c r="J3313" i="2"/>
  <c r="H3313" i="2"/>
  <c r="I3313" i="2" s="1"/>
  <c r="L3313" i="2" s="1"/>
  <c r="L3312" i="2"/>
  <c r="K3312" i="2"/>
  <c r="J3312" i="2"/>
  <c r="I3312" i="2"/>
  <c r="H3312" i="2"/>
  <c r="L3311" i="2"/>
  <c r="K3311" i="2"/>
  <c r="J3311" i="2"/>
  <c r="I3311" i="2"/>
  <c r="H3311" i="2"/>
  <c r="K3310" i="2"/>
  <c r="J3310" i="2"/>
  <c r="I3310" i="2"/>
  <c r="L3310" i="2" s="1"/>
  <c r="H3310" i="2"/>
  <c r="K3309" i="2"/>
  <c r="J3309" i="2"/>
  <c r="I3309" i="2"/>
  <c r="L3309" i="2" s="1"/>
  <c r="H3309" i="2"/>
  <c r="K3308" i="2"/>
  <c r="J3308" i="2"/>
  <c r="I3308" i="2" s="1"/>
  <c r="L3308" i="2" s="1"/>
  <c r="H3308" i="2"/>
  <c r="L3307" i="2"/>
  <c r="K3307" i="2"/>
  <c r="J3307" i="2"/>
  <c r="I3307" i="2"/>
  <c r="H3307" i="2"/>
  <c r="K3306" i="2"/>
  <c r="J3306" i="2"/>
  <c r="H3306" i="2"/>
  <c r="I3306" i="2" s="1"/>
  <c r="L3306" i="2" s="1"/>
  <c r="K3305" i="2"/>
  <c r="J3305" i="2"/>
  <c r="H3305" i="2"/>
  <c r="I3305" i="2" s="1"/>
  <c r="L3305" i="2" s="1"/>
  <c r="L3304" i="2"/>
  <c r="K3304" i="2"/>
  <c r="J3304" i="2"/>
  <c r="H3304" i="2"/>
  <c r="I3304" i="2" s="1"/>
  <c r="K3303" i="2"/>
  <c r="J3303" i="2"/>
  <c r="I3303" i="2"/>
  <c r="L3303" i="2" s="1"/>
  <c r="H3303" i="2"/>
  <c r="K3302" i="2"/>
  <c r="J3302" i="2"/>
  <c r="H3302" i="2"/>
  <c r="I3302" i="2" s="1"/>
  <c r="L3302" i="2" s="1"/>
  <c r="K3301" i="2"/>
  <c r="J3301" i="2"/>
  <c r="H3301" i="2"/>
  <c r="I3301" i="2" s="1"/>
  <c r="L3301" i="2" s="1"/>
  <c r="K3300" i="2"/>
  <c r="J3300" i="2"/>
  <c r="H3300" i="2"/>
  <c r="I3300" i="2" s="1"/>
  <c r="L3300" i="2" s="1"/>
  <c r="K3299" i="2"/>
  <c r="J3299" i="2"/>
  <c r="I3299" i="2"/>
  <c r="L3299" i="2" s="1"/>
  <c r="H3299" i="2"/>
  <c r="K3298" i="2"/>
  <c r="J3298" i="2"/>
  <c r="I3298" i="2"/>
  <c r="L3298" i="2" s="1"/>
  <c r="H3298" i="2"/>
  <c r="L3297" i="2"/>
  <c r="K3297" i="2"/>
  <c r="J3297" i="2"/>
  <c r="I3297" i="2" s="1"/>
  <c r="H3297" i="2"/>
  <c r="L3296" i="2"/>
  <c r="K3296" i="2"/>
  <c r="J3296" i="2"/>
  <c r="I3296" i="2"/>
  <c r="H3296" i="2"/>
  <c r="K3295" i="2"/>
  <c r="J3295" i="2"/>
  <c r="H3295" i="2"/>
  <c r="I3295" i="2" s="1"/>
  <c r="L3295" i="2" s="1"/>
  <c r="K3294" i="2"/>
  <c r="J3294" i="2"/>
  <c r="H3294" i="2"/>
  <c r="K3293" i="2"/>
  <c r="J3293" i="2"/>
  <c r="H3293" i="2"/>
  <c r="I3293" i="2" s="1"/>
  <c r="L3293" i="2" s="1"/>
  <c r="K3292" i="2"/>
  <c r="J3292" i="2"/>
  <c r="H3292" i="2"/>
  <c r="I3292" i="2" s="1"/>
  <c r="L3292" i="2" s="1"/>
  <c r="K3291" i="2"/>
  <c r="J3291" i="2"/>
  <c r="I3291" i="2"/>
  <c r="L3291" i="2" s="1"/>
  <c r="H3291" i="2"/>
  <c r="K3290" i="2"/>
  <c r="J3290" i="2"/>
  <c r="H3290" i="2"/>
  <c r="I3290" i="2" s="1"/>
  <c r="L3290" i="2" s="1"/>
  <c r="K3289" i="2"/>
  <c r="J3289" i="2"/>
  <c r="H3289" i="2"/>
  <c r="I3289" i="2" s="1"/>
  <c r="L3289" i="2" s="1"/>
  <c r="L3288" i="2"/>
  <c r="K3288" i="2"/>
  <c r="J3288" i="2"/>
  <c r="H3288" i="2"/>
  <c r="I3288" i="2" s="1"/>
  <c r="K3287" i="2"/>
  <c r="J3287" i="2"/>
  <c r="I3287" i="2"/>
  <c r="L3287" i="2" s="1"/>
  <c r="H3287" i="2"/>
  <c r="K3286" i="2"/>
  <c r="J3286" i="2"/>
  <c r="H3286" i="2"/>
  <c r="I3286" i="2" s="1"/>
  <c r="L3286" i="2" s="1"/>
  <c r="L3285" i="2"/>
  <c r="K3285" i="2"/>
  <c r="J3285" i="2"/>
  <c r="I3285" i="2"/>
  <c r="H3285" i="2"/>
  <c r="K3284" i="2"/>
  <c r="J3284" i="2"/>
  <c r="H3284" i="2"/>
  <c r="I3284" i="2" s="1"/>
  <c r="L3284" i="2" s="1"/>
  <c r="K3283" i="2"/>
  <c r="J3283" i="2"/>
  <c r="I3283" i="2"/>
  <c r="L3283" i="2" s="1"/>
  <c r="H3283" i="2"/>
  <c r="K3282" i="2"/>
  <c r="J3282" i="2"/>
  <c r="H3282" i="2"/>
  <c r="I3282" i="2" s="1"/>
  <c r="L3282" i="2" s="1"/>
  <c r="K3281" i="2"/>
  <c r="J3281" i="2"/>
  <c r="H3281" i="2"/>
  <c r="I3281" i="2" s="1"/>
  <c r="L3281" i="2" s="1"/>
  <c r="L3280" i="2"/>
  <c r="K3280" i="2"/>
  <c r="J3280" i="2"/>
  <c r="I3280" i="2"/>
  <c r="H3280" i="2"/>
  <c r="K3279" i="2"/>
  <c r="J3279" i="2"/>
  <c r="I3279" i="2"/>
  <c r="L3279" i="2" s="1"/>
  <c r="H3279" i="2"/>
  <c r="K3278" i="2"/>
  <c r="J3278" i="2"/>
  <c r="H3278" i="2"/>
  <c r="I3278" i="2" s="1"/>
  <c r="L3278" i="2" s="1"/>
  <c r="K3277" i="2"/>
  <c r="J3277" i="2"/>
  <c r="I3277" i="2"/>
  <c r="L3277" i="2" s="1"/>
  <c r="H3277" i="2"/>
  <c r="K3276" i="2"/>
  <c r="J3276" i="2"/>
  <c r="I3276" i="2"/>
  <c r="L3276" i="2" s="1"/>
  <c r="H3276" i="2"/>
  <c r="K3275" i="2"/>
  <c r="J3275" i="2"/>
  <c r="I3275" i="2"/>
  <c r="L3275" i="2" s="1"/>
  <c r="H3275" i="2"/>
  <c r="K3274" i="2"/>
  <c r="J3274" i="2"/>
  <c r="H3274" i="2"/>
  <c r="I3274" i="2" s="1"/>
  <c r="L3274" i="2" s="1"/>
  <c r="K3273" i="2"/>
  <c r="J3273" i="2"/>
  <c r="I3273" i="2"/>
  <c r="L3273" i="2" s="1"/>
  <c r="H3273" i="2"/>
  <c r="L3272" i="2"/>
  <c r="K3272" i="2"/>
  <c r="J3272" i="2"/>
  <c r="I3272" i="2"/>
  <c r="H3272" i="2"/>
  <c r="K3271" i="2"/>
  <c r="J3271" i="2"/>
  <c r="H3271" i="2"/>
  <c r="K3270" i="2"/>
  <c r="J3270" i="2"/>
  <c r="H3270" i="2"/>
  <c r="I3270" i="2" s="1"/>
  <c r="L3270" i="2" s="1"/>
  <c r="L3269" i="2"/>
  <c r="K3269" i="2"/>
  <c r="J3269" i="2"/>
  <c r="H3269" i="2"/>
  <c r="I3269" i="2" s="1"/>
  <c r="K3268" i="2"/>
  <c r="J3268" i="2"/>
  <c r="H3268" i="2"/>
  <c r="I3268" i="2" s="1"/>
  <c r="L3268" i="2" s="1"/>
  <c r="K3267" i="2"/>
  <c r="J3267" i="2"/>
  <c r="H3267" i="2"/>
  <c r="I3267" i="2" s="1"/>
  <c r="L3267" i="2" s="1"/>
  <c r="K3266" i="2"/>
  <c r="J3266" i="2"/>
  <c r="I3266" i="2"/>
  <c r="L3266" i="2" s="1"/>
  <c r="H3266" i="2"/>
  <c r="K3265" i="2"/>
  <c r="J3265" i="2"/>
  <c r="H3265" i="2"/>
  <c r="I3265" i="2" s="1"/>
  <c r="L3265" i="2" s="1"/>
  <c r="K3264" i="2"/>
  <c r="J3264" i="2"/>
  <c r="H3264" i="2"/>
  <c r="I3264" i="2" s="1"/>
  <c r="L3264" i="2" s="1"/>
  <c r="L3263" i="2"/>
  <c r="K3263" i="2"/>
  <c r="J3263" i="2"/>
  <c r="I3263" i="2"/>
  <c r="H3263" i="2"/>
  <c r="K3262" i="2"/>
  <c r="J3262" i="2"/>
  <c r="I3262" i="2"/>
  <c r="L3262" i="2" s="1"/>
  <c r="H3262" i="2"/>
  <c r="K3261" i="2"/>
  <c r="J3261" i="2"/>
  <c r="I3261" i="2"/>
  <c r="L3261" i="2" s="1"/>
  <c r="H3261" i="2"/>
  <c r="K3260" i="2"/>
  <c r="J3260" i="2"/>
  <c r="H3260" i="2"/>
  <c r="I3260" i="2" s="1"/>
  <c r="L3260" i="2" s="1"/>
  <c r="K3259" i="2"/>
  <c r="J3259" i="2"/>
  <c r="H3259" i="2"/>
  <c r="I3259" i="2" s="1"/>
  <c r="L3259" i="2" s="1"/>
  <c r="L3258" i="2"/>
  <c r="K3258" i="2"/>
  <c r="J3258" i="2"/>
  <c r="H3258" i="2"/>
  <c r="I3258" i="2" s="1"/>
  <c r="L3257" i="2"/>
  <c r="K3257" i="2"/>
  <c r="J3257" i="2"/>
  <c r="H3257" i="2"/>
  <c r="I3257" i="2" s="1"/>
  <c r="K3256" i="2"/>
  <c r="J3256" i="2"/>
  <c r="H3256" i="2"/>
  <c r="K3255" i="2"/>
  <c r="J3255" i="2"/>
  <c r="H3255" i="2"/>
  <c r="I3255" i="2" s="1"/>
  <c r="L3255" i="2" s="1"/>
  <c r="K3254" i="2"/>
  <c r="J3254" i="2"/>
  <c r="H3254" i="2"/>
  <c r="I3254" i="2" s="1"/>
  <c r="L3254" i="2" s="1"/>
  <c r="K3253" i="2"/>
  <c r="J3253" i="2"/>
  <c r="I3253" i="2"/>
  <c r="L3253" i="2" s="1"/>
  <c r="H3253" i="2"/>
  <c r="K3252" i="2"/>
  <c r="J3252" i="2"/>
  <c r="I3252" i="2"/>
  <c r="L3252" i="2" s="1"/>
  <c r="H3252" i="2"/>
  <c r="K3251" i="2"/>
  <c r="J3251" i="2"/>
  <c r="I3251" i="2"/>
  <c r="L3251" i="2" s="1"/>
  <c r="H3251" i="2"/>
  <c r="K3250" i="2"/>
  <c r="J3250" i="2"/>
  <c r="H3250" i="2"/>
  <c r="I3250" i="2" s="1"/>
  <c r="L3250" i="2" s="1"/>
  <c r="K3249" i="2"/>
  <c r="J3249" i="2"/>
  <c r="I3249" i="2"/>
  <c r="L3249" i="2" s="1"/>
  <c r="H3249" i="2"/>
  <c r="K3248" i="2"/>
  <c r="J3248" i="2"/>
  <c r="I3248" i="2" s="1"/>
  <c r="L3248" i="2" s="1"/>
  <c r="H3248" i="2"/>
  <c r="K3247" i="2"/>
  <c r="J3247" i="2"/>
  <c r="H3247" i="2"/>
  <c r="I3247" i="2" s="1"/>
  <c r="L3247" i="2" s="1"/>
  <c r="K3246" i="2"/>
  <c r="J3246" i="2"/>
  <c r="H3246" i="2"/>
  <c r="L3245" i="2"/>
  <c r="K3245" i="2"/>
  <c r="J3245" i="2"/>
  <c r="H3245" i="2"/>
  <c r="I3245" i="2" s="1"/>
  <c r="K3244" i="2"/>
  <c r="J3244" i="2"/>
  <c r="H3244" i="2"/>
  <c r="K3243" i="2"/>
  <c r="J3243" i="2"/>
  <c r="I3243" i="2"/>
  <c r="L3243" i="2" s="1"/>
  <c r="H3243" i="2"/>
  <c r="L3242" i="2"/>
  <c r="K3242" i="2"/>
  <c r="J3242" i="2"/>
  <c r="I3242" i="2"/>
  <c r="H3242" i="2"/>
  <c r="K3241" i="2"/>
  <c r="J3241" i="2"/>
  <c r="H3241" i="2"/>
  <c r="I3241" i="2" s="1"/>
  <c r="L3241" i="2" s="1"/>
  <c r="L3240" i="2"/>
  <c r="K3240" i="2"/>
  <c r="J3240" i="2"/>
  <c r="I3240" i="2" s="1"/>
  <c r="H3240" i="2"/>
  <c r="K3239" i="2"/>
  <c r="J3239" i="2"/>
  <c r="I3239" i="2"/>
  <c r="L3239" i="2" s="1"/>
  <c r="H3239" i="2"/>
  <c r="K3238" i="2"/>
  <c r="J3238" i="2"/>
  <c r="H3238" i="2"/>
  <c r="I3238" i="2" s="1"/>
  <c r="L3238" i="2" s="1"/>
  <c r="L3237" i="2"/>
  <c r="K3237" i="2"/>
  <c r="J3237" i="2"/>
  <c r="I3237" i="2"/>
  <c r="H3237" i="2"/>
  <c r="K3236" i="2"/>
  <c r="J3236" i="2"/>
  <c r="I3236" i="2"/>
  <c r="L3236" i="2" s="1"/>
  <c r="H3236" i="2"/>
  <c r="K3235" i="2"/>
  <c r="J3235" i="2"/>
  <c r="H3235" i="2"/>
  <c r="I3235" i="2" s="1"/>
  <c r="L3235" i="2" s="1"/>
  <c r="K3234" i="2"/>
  <c r="J3234" i="2"/>
  <c r="H3234" i="2"/>
  <c r="K3233" i="2"/>
  <c r="J3233" i="2"/>
  <c r="H3233" i="2"/>
  <c r="I3233" i="2" s="1"/>
  <c r="L3233" i="2" s="1"/>
  <c r="L3232" i="2"/>
  <c r="K3232" i="2"/>
  <c r="J3232" i="2"/>
  <c r="H3232" i="2"/>
  <c r="I3232" i="2" s="1"/>
  <c r="K3231" i="2"/>
  <c r="J3231" i="2"/>
  <c r="H3231" i="2"/>
  <c r="I3231" i="2" s="1"/>
  <c r="L3231" i="2" s="1"/>
  <c r="K3230" i="2"/>
  <c r="J3230" i="2"/>
  <c r="H3230" i="2"/>
  <c r="I3230" i="2" s="1"/>
  <c r="L3230" i="2" s="1"/>
  <c r="K3229" i="2"/>
  <c r="J3229" i="2"/>
  <c r="I3229" i="2"/>
  <c r="L3229" i="2" s="1"/>
  <c r="H3229" i="2"/>
  <c r="K3228" i="2"/>
  <c r="J3228" i="2"/>
  <c r="H3228" i="2"/>
  <c r="I3228" i="2" s="1"/>
  <c r="L3228" i="2" s="1"/>
  <c r="L3227" i="2"/>
  <c r="K3227" i="2"/>
  <c r="J3227" i="2"/>
  <c r="I3227" i="2"/>
  <c r="H3227" i="2"/>
  <c r="L3226" i="2"/>
  <c r="K3226" i="2"/>
  <c r="J3226" i="2"/>
  <c r="H3226" i="2"/>
  <c r="I3226" i="2" s="1"/>
  <c r="K3225" i="2"/>
  <c r="J3225" i="2"/>
  <c r="I3225" i="2"/>
  <c r="L3225" i="2" s="1"/>
  <c r="H3225" i="2"/>
  <c r="K3224" i="2"/>
  <c r="J3224" i="2"/>
  <c r="I3224" i="2"/>
  <c r="L3224" i="2" s="1"/>
  <c r="H3224" i="2"/>
  <c r="K3223" i="2"/>
  <c r="J3223" i="2"/>
  <c r="H3223" i="2"/>
  <c r="I3223" i="2" s="1"/>
  <c r="L3223" i="2" s="1"/>
  <c r="L3222" i="2"/>
  <c r="K3222" i="2"/>
  <c r="J3222" i="2"/>
  <c r="I3222" i="2"/>
  <c r="H3222" i="2"/>
  <c r="L3221" i="2"/>
  <c r="K3221" i="2"/>
  <c r="J3221" i="2"/>
  <c r="I3221" i="2"/>
  <c r="H3221" i="2"/>
  <c r="K3220" i="2"/>
  <c r="J3220" i="2"/>
  <c r="H3220" i="2"/>
  <c r="K3219" i="2"/>
  <c r="J3219" i="2"/>
  <c r="H3219" i="2"/>
  <c r="I3219" i="2" s="1"/>
  <c r="L3219" i="2" s="1"/>
  <c r="K3218" i="2"/>
  <c r="J3218" i="2"/>
  <c r="I3218" i="2"/>
  <c r="L3218" i="2" s="1"/>
  <c r="H3218" i="2"/>
  <c r="K3217" i="2"/>
  <c r="J3217" i="2"/>
  <c r="I3217" i="2"/>
  <c r="L3217" i="2" s="1"/>
  <c r="H3217" i="2"/>
  <c r="K3216" i="2"/>
  <c r="J3216" i="2"/>
  <c r="I3216" i="2"/>
  <c r="L3216" i="2" s="1"/>
  <c r="H3216" i="2"/>
  <c r="K3215" i="2"/>
  <c r="J3215" i="2"/>
  <c r="I3215" i="2"/>
  <c r="L3215" i="2" s="1"/>
  <c r="H3215" i="2"/>
  <c r="K3214" i="2"/>
  <c r="J3214" i="2"/>
  <c r="I3214" i="2"/>
  <c r="L3214" i="2" s="1"/>
  <c r="H3214" i="2"/>
  <c r="L3213" i="2"/>
  <c r="K3213" i="2"/>
  <c r="J3213" i="2"/>
  <c r="I3213" i="2" s="1"/>
  <c r="H3213" i="2"/>
  <c r="K3212" i="2"/>
  <c r="J3212" i="2"/>
  <c r="H3212" i="2"/>
  <c r="K3211" i="2"/>
  <c r="J3211" i="2"/>
  <c r="I3211" i="2"/>
  <c r="L3211" i="2" s="1"/>
  <c r="H3211" i="2"/>
  <c r="K3210" i="2"/>
  <c r="J3210" i="2"/>
  <c r="H3210" i="2"/>
  <c r="I3210" i="2" s="1"/>
  <c r="L3210" i="2" s="1"/>
  <c r="K3209" i="2"/>
  <c r="J3209" i="2"/>
  <c r="H3209" i="2"/>
  <c r="I3209" i="2" s="1"/>
  <c r="L3209" i="2" s="1"/>
  <c r="L3208" i="2"/>
  <c r="K3208" i="2"/>
  <c r="J3208" i="2"/>
  <c r="H3208" i="2"/>
  <c r="I3208" i="2" s="1"/>
  <c r="K3207" i="2"/>
  <c r="J3207" i="2"/>
  <c r="H3207" i="2"/>
  <c r="I3207" i="2" s="1"/>
  <c r="L3207" i="2" s="1"/>
  <c r="K3206" i="2"/>
  <c r="J3206" i="2"/>
  <c r="H3206" i="2"/>
  <c r="I3206" i="2" s="1"/>
  <c r="L3206" i="2" s="1"/>
  <c r="K3205" i="2"/>
  <c r="J3205" i="2"/>
  <c r="H3205" i="2"/>
  <c r="I3205" i="2" s="1"/>
  <c r="L3205" i="2" s="1"/>
  <c r="K3204" i="2"/>
  <c r="J3204" i="2"/>
  <c r="H3204" i="2"/>
  <c r="L3203" i="2"/>
  <c r="K3203" i="2"/>
  <c r="J3203" i="2"/>
  <c r="I3203" i="2"/>
  <c r="H3203" i="2"/>
  <c r="K3202" i="2"/>
  <c r="J3202" i="2"/>
  <c r="H3202" i="2"/>
  <c r="I3202" i="2" s="1"/>
  <c r="L3202" i="2" s="1"/>
  <c r="K3201" i="2"/>
  <c r="J3201" i="2"/>
  <c r="I3201" i="2"/>
  <c r="L3201" i="2" s="1"/>
  <c r="H3201" i="2"/>
  <c r="L3200" i="2"/>
  <c r="K3200" i="2"/>
  <c r="J3200" i="2"/>
  <c r="I3200" i="2" s="1"/>
  <c r="H3200" i="2"/>
  <c r="K3199" i="2"/>
  <c r="J3199" i="2"/>
  <c r="H3199" i="2"/>
  <c r="I3199" i="2" s="1"/>
  <c r="L3199" i="2" s="1"/>
  <c r="K3198" i="2"/>
  <c r="J3198" i="2"/>
  <c r="H3198" i="2"/>
  <c r="I3198" i="2" s="1"/>
  <c r="L3198" i="2" s="1"/>
  <c r="K3197" i="2"/>
  <c r="J3197" i="2"/>
  <c r="H3197" i="2"/>
  <c r="K3196" i="2"/>
  <c r="J3196" i="2"/>
  <c r="H3196" i="2"/>
  <c r="I3196" i="2" s="1"/>
  <c r="L3196" i="2" s="1"/>
  <c r="K3195" i="2"/>
  <c r="J3195" i="2"/>
  <c r="H3195" i="2"/>
  <c r="I3195" i="2" s="1"/>
  <c r="L3195" i="2" s="1"/>
  <c r="K3194" i="2"/>
  <c r="J3194" i="2"/>
  <c r="I3194" i="2" s="1"/>
  <c r="L3194" i="2" s="1"/>
  <c r="H3194" i="2"/>
  <c r="K3193" i="2"/>
  <c r="J3193" i="2"/>
  <c r="H3193" i="2"/>
  <c r="I3193" i="2" s="1"/>
  <c r="L3193" i="2" s="1"/>
  <c r="K3192" i="2"/>
  <c r="J3192" i="2"/>
  <c r="I3192" i="2"/>
  <c r="L3192" i="2" s="1"/>
  <c r="H3192" i="2"/>
  <c r="L3191" i="2"/>
  <c r="K3191" i="2"/>
  <c r="J3191" i="2"/>
  <c r="I3191" i="2"/>
  <c r="H3191" i="2"/>
  <c r="K3190" i="2"/>
  <c r="J3190" i="2"/>
  <c r="H3190" i="2"/>
  <c r="I3190" i="2" s="1"/>
  <c r="L3190" i="2" s="1"/>
  <c r="L3189" i="2"/>
  <c r="K3189" i="2"/>
  <c r="J3189" i="2"/>
  <c r="I3189" i="2" s="1"/>
  <c r="H3189" i="2"/>
  <c r="K3188" i="2"/>
  <c r="J3188" i="2"/>
  <c r="H3188" i="2"/>
  <c r="I3188" i="2" s="1"/>
  <c r="L3188" i="2" s="1"/>
  <c r="K3187" i="2"/>
  <c r="J3187" i="2"/>
  <c r="H3187" i="2"/>
  <c r="I3187" i="2" s="1"/>
  <c r="L3187" i="2" s="1"/>
  <c r="L3186" i="2"/>
  <c r="K3186" i="2"/>
  <c r="J3186" i="2"/>
  <c r="H3186" i="2"/>
  <c r="I3186" i="2" s="1"/>
  <c r="K3185" i="2"/>
  <c r="J3185" i="2"/>
  <c r="H3185" i="2"/>
  <c r="I3185" i="2" s="1"/>
  <c r="L3185" i="2" s="1"/>
  <c r="K3184" i="2"/>
  <c r="J3184" i="2"/>
  <c r="H3184" i="2"/>
  <c r="K3183" i="2"/>
  <c r="J3183" i="2"/>
  <c r="H3183" i="2"/>
  <c r="I3183" i="2" s="1"/>
  <c r="L3183" i="2" s="1"/>
  <c r="K3182" i="2"/>
  <c r="J3182" i="2"/>
  <c r="I3182" i="2"/>
  <c r="L3182" i="2" s="1"/>
  <c r="H3182" i="2"/>
  <c r="K3181" i="2"/>
  <c r="J3181" i="2"/>
  <c r="I3181" i="2"/>
  <c r="L3181" i="2" s="1"/>
  <c r="H3181" i="2"/>
  <c r="K3180" i="2"/>
  <c r="J3180" i="2"/>
  <c r="I3180" i="2"/>
  <c r="L3180" i="2" s="1"/>
  <c r="H3180" i="2"/>
  <c r="K3179" i="2"/>
  <c r="J3179" i="2"/>
  <c r="I3179" i="2"/>
  <c r="L3179" i="2" s="1"/>
  <c r="H3179" i="2"/>
  <c r="L3178" i="2"/>
  <c r="K3178" i="2"/>
  <c r="J3178" i="2"/>
  <c r="I3178" i="2"/>
  <c r="H3178" i="2"/>
  <c r="K3177" i="2"/>
  <c r="J3177" i="2"/>
  <c r="I3177" i="2"/>
  <c r="L3177" i="2" s="1"/>
  <c r="H3177" i="2"/>
  <c r="K3176" i="2"/>
  <c r="J3176" i="2"/>
  <c r="H3176" i="2"/>
  <c r="I3176" i="2" s="1"/>
  <c r="L3176" i="2" s="1"/>
  <c r="K3175" i="2"/>
  <c r="J3175" i="2"/>
  <c r="I3175" i="2"/>
  <c r="L3175" i="2" s="1"/>
  <c r="H3175" i="2"/>
  <c r="K3174" i="2"/>
  <c r="J3174" i="2"/>
  <c r="H3174" i="2"/>
  <c r="L3173" i="2"/>
  <c r="K3173" i="2"/>
  <c r="J3173" i="2"/>
  <c r="H3173" i="2"/>
  <c r="I3173" i="2" s="1"/>
  <c r="L3172" i="2"/>
  <c r="K3172" i="2"/>
  <c r="J3172" i="2"/>
  <c r="I3172" i="2"/>
  <c r="H3172" i="2"/>
  <c r="K3171" i="2"/>
  <c r="J3171" i="2"/>
  <c r="I3171" i="2" s="1"/>
  <c r="L3171" i="2" s="1"/>
  <c r="H3171" i="2"/>
  <c r="K3170" i="2"/>
  <c r="J3170" i="2"/>
  <c r="I3170" i="2"/>
  <c r="L3170" i="2" s="1"/>
  <c r="H3170" i="2"/>
  <c r="K3169" i="2"/>
  <c r="J3169" i="2"/>
  <c r="I3169" i="2"/>
  <c r="L3169" i="2" s="1"/>
  <c r="H3169" i="2"/>
  <c r="K3168" i="2"/>
  <c r="J3168" i="2"/>
  <c r="H3168" i="2"/>
  <c r="I3168" i="2" s="1"/>
  <c r="L3168" i="2" s="1"/>
  <c r="L3167" i="2"/>
  <c r="K3167" i="2"/>
  <c r="J3167" i="2"/>
  <c r="I3167" i="2"/>
  <c r="H3167" i="2"/>
  <c r="L3166" i="2"/>
  <c r="K3166" i="2"/>
  <c r="J3166" i="2"/>
  <c r="I3166" i="2"/>
  <c r="H3166" i="2"/>
  <c r="K3165" i="2"/>
  <c r="J3165" i="2"/>
  <c r="I3165" i="2"/>
  <c r="L3165" i="2" s="1"/>
  <c r="H3165" i="2"/>
  <c r="K3164" i="2"/>
  <c r="J3164" i="2"/>
  <c r="H3164" i="2"/>
  <c r="I3164" i="2" s="1"/>
  <c r="L3164" i="2" s="1"/>
  <c r="K3163" i="2"/>
  <c r="J3163" i="2"/>
  <c r="H3163" i="2"/>
  <c r="I3163" i="2" s="1"/>
  <c r="L3163" i="2" s="1"/>
  <c r="K3162" i="2"/>
  <c r="J3162" i="2"/>
  <c r="H3162" i="2"/>
  <c r="K3161" i="2"/>
  <c r="J3161" i="2"/>
  <c r="I3161" i="2" s="1"/>
  <c r="L3161" i="2" s="1"/>
  <c r="H3161" i="2"/>
  <c r="K3160" i="2"/>
  <c r="J3160" i="2"/>
  <c r="H3160" i="2"/>
  <c r="I3160" i="2" s="1"/>
  <c r="L3160" i="2" s="1"/>
  <c r="K3159" i="2"/>
  <c r="J3159" i="2"/>
  <c r="I3159" i="2"/>
  <c r="L3159" i="2" s="1"/>
  <c r="H3159" i="2"/>
  <c r="K3158" i="2"/>
  <c r="J3158" i="2"/>
  <c r="H3158" i="2"/>
  <c r="K3157" i="2"/>
  <c r="J3157" i="2"/>
  <c r="H3157" i="2"/>
  <c r="I3157" i="2" s="1"/>
  <c r="L3157" i="2" s="1"/>
  <c r="K3156" i="2"/>
  <c r="J3156" i="2"/>
  <c r="H3156" i="2"/>
  <c r="I3156" i="2" s="1"/>
  <c r="L3156" i="2" s="1"/>
  <c r="L3155" i="2"/>
  <c r="K3155" i="2"/>
  <c r="J3155" i="2"/>
  <c r="I3155" i="2"/>
  <c r="H3155" i="2"/>
  <c r="K3154" i="2"/>
  <c r="J3154" i="2"/>
  <c r="H3154" i="2"/>
  <c r="I3154" i="2" s="1"/>
  <c r="L3154" i="2" s="1"/>
  <c r="K3153" i="2"/>
  <c r="J3153" i="2"/>
  <c r="I3153" i="2" s="1"/>
  <c r="L3153" i="2" s="1"/>
  <c r="H3153" i="2"/>
  <c r="L3152" i="2"/>
  <c r="K3152" i="2"/>
  <c r="J3152" i="2"/>
  <c r="I3152" i="2" s="1"/>
  <c r="H3152" i="2"/>
  <c r="K3151" i="2"/>
  <c r="J3151" i="2"/>
  <c r="H3151" i="2"/>
  <c r="I3151" i="2" s="1"/>
  <c r="L3151" i="2" s="1"/>
  <c r="K3150" i="2"/>
  <c r="J3150" i="2"/>
  <c r="H3150" i="2"/>
  <c r="I3150" i="2" s="1"/>
  <c r="L3150" i="2" s="1"/>
  <c r="K3149" i="2"/>
  <c r="J3149" i="2"/>
  <c r="I3149" i="2" s="1"/>
  <c r="L3149" i="2" s="1"/>
  <c r="H3149" i="2"/>
  <c r="K3148" i="2"/>
  <c r="J3148" i="2"/>
  <c r="H3148" i="2"/>
  <c r="K3147" i="2"/>
  <c r="J3147" i="2"/>
  <c r="H3147" i="2"/>
  <c r="I3147" i="2" s="1"/>
  <c r="L3147" i="2" s="1"/>
  <c r="L3146" i="2"/>
  <c r="K3146" i="2"/>
  <c r="J3146" i="2"/>
  <c r="I3146" i="2" s="1"/>
  <c r="H3146" i="2"/>
  <c r="K3145" i="2"/>
  <c r="J3145" i="2"/>
  <c r="I3145" i="2"/>
  <c r="L3145" i="2" s="1"/>
  <c r="H3145" i="2"/>
  <c r="K3144" i="2"/>
  <c r="J3144" i="2"/>
  <c r="H3144" i="2"/>
  <c r="I3144" i="2" s="1"/>
  <c r="L3144" i="2" s="1"/>
  <c r="L3143" i="2"/>
  <c r="K3143" i="2"/>
  <c r="J3143" i="2"/>
  <c r="I3143" i="2"/>
  <c r="H3143" i="2"/>
  <c r="K3142" i="2"/>
  <c r="J3142" i="2"/>
  <c r="H3142" i="2"/>
  <c r="I3142" i="2" s="1"/>
  <c r="L3142" i="2" s="1"/>
  <c r="K3141" i="2"/>
  <c r="J3141" i="2"/>
  <c r="I3141" i="2"/>
  <c r="L3141" i="2" s="1"/>
  <c r="H3141" i="2"/>
  <c r="K3140" i="2"/>
  <c r="J3140" i="2"/>
  <c r="H3140" i="2"/>
  <c r="I3140" i="2" s="1"/>
  <c r="L3140" i="2" s="1"/>
  <c r="K3139" i="2"/>
  <c r="J3139" i="2"/>
  <c r="H3139" i="2"/>
  <c r="I3139" i="2" s="1"/>
  <c r="L3139" i="2" s="1"/>
  <c r="K3138" i="2"/>
  <c r="J3138" i="2"/>
  <c r="H3138" i="2"/>
  <c r="K3137" i="2"/>
  <c r="J3137" i="2"/>
  <c r="H3137" i="2"/>
  <c r="I3137" i="2" s="1"/>
  <c r="L3137" i="2" s="1"/>
  <c r="L3136" i="2"/>
  <c r="K3136" i="2"/>
  <c r="J3136" i="2"/>
  <c r="H3136" i="2"/>
  <c r="I3136" i="2" s="1"/>
  <c r="K3135" i="2"/>
  <c r="J3135" i="2"/>
  <c r="I3135" i="2"/>
  <c r="L3135" i="2" s="1"/>
  <c r="H3135" i="2"/>
  <c r="K3134" i="2"/>
  <c r="J3134" i="2"/>
  <c r="H3134" i="2"/>
  <c r="I3134" i="2" s="1"/>
  <c r="L3134" i="2" s="1"/>
  <c r="K3133" i="2"/>
  <c r="J3133" i="2"/>
  <c r="I3133" i="2"/>
  <c r="L3133" i="2" s="1"/>
  <c r="H3133" i="2"/>
  <c r="L3132" i="2"/>
  <c r="K3132" i="2"/>
  <c r="J3132" i="2"/>
  <c r="H3132" i="2"/>
  <c r="I3132" i="2" s="1"/>
  <c r="K3131" i="2"/>
  <c r="J3131" i="2"/>
  <c r="I3131" i="2"/>
  <c r="L3131" i="2" s="1"/>
  <c r="H3131" i="2"/>
  <c r="K3130" i="2"/>
  <c r="J3130" i="2"/>
  <c r="I3130" i="2" s="1"/>
  <c r="L3130" i="2" s="1"/>
  <c r="H3130" i="2"/>
  <c r="K3129" i="2"/>
  <c r="J3129" i="2"/>
  <c r="I3129" i="2"/>
  <c r="L3129" i="2" s="1"/>
  <c r="H3129" i="2"/>
  <c r="K3128" i="2"/>
  <c r="J3128" i="2"/>
  <c r="H3128" i="2"/>
  <c r="I3128" i="2" s="1"/>
  <c r="L3128" i="2" s="1"/>
  <c r="L3127" i="2"/>
  <c r="K3127" i="2"/>
  <c r="J3127" i="2"/>
  <c r="I3127" i="2"/>
  <c r="H3127" i="2"/>
  <c r="K3126" i="2"/>
  <c r="J3126" i="2"/>
  <c r="H3126" i="2"/>
  <c r="I3126" i="2" s="1"/>
  <c r="L3126" i="2" s="1"/>
  <c r="K3125" i="2"/>
  <c r="J3125" i="2"/>
  <c r="I3125" i="2" s="1"/>
  <c r="L3125" i="2" s="1"/>
  <c r="H3125" i="2"/>
  <c r="K3124" i="2"/>
  <c r="J3124" i="2"/>
  <c r="H3124" i="2"/>
  <c r="K3123" i="2"/>
  <c r="J3123" i="2"/>
  <c r="H3123" i="2"/>
  <c r="I3123" i="2" s="1"/>
  <c r="L3123" i="2" s="1"/>
  <c r="L3122" i="2"/>
  <c r="K3122" i="2"/>
  <c r="J3122" i="2"/>
  <c r="I3122" i="2" s="1"/>
  <c r="H3122" i="2"/>
  <c r="K3121" i="2"/>
  <c r="J3121" i="2"/>
  <c r="I3121" i="2"/>
  <c r="L3121" i="2" s="1"/>
  <c r="H3121" i="2"/>
  <c r="K3120" i="2"/>
  <c r="J3120" i="2"/>
  <c r="I3120" i="2"/>
  <c r="L3120" i="2" s="1"/>
  <c r="H3120" i="2"/>
  <c r="K3119" i="2"/>
  <c r="J3119" i="2"/>
  <c r="I3119" i="2"/>
  <c r="L3119" i="2" s="1"/>
  <c r="H3119" i="2"/>
  <c r="L3118" i="2"/>
  <c r="K3118" i="2"/>
  <c r="J3118" i="2"/>
  <c r="H3118" i="2"/>
  <c r="I3118" i="2" s="1"/>
  <c r="K3117" i="2"/>
  <c r="J3117" i="2"/>
  <c r="I3117" i="2" s="1"/>
  <c r="L3117" i="2" s="1"/>
  <c r="H3117" i="2"/>
  <c r="K3116" i="2"/>
  <c r="J3116" i="2"/>
  <c r="I3116" i="2"/>
  <c r="L3116" i="2" s="1"/>
  <c r="H3116" i="2"/>
  <c r="K3115" i="2"/>
  <c r="J3115" i="2"/>
  <c r="I3115" i="2"/>
  <c r="L3115" i="2" s="1"/>
  <c r="H3115" i="2"/>
  <c r="K3114" i="2"/>
  <c r="J3114" i="2"/>
  <c r="H3114" i="2"/>
  <c r="I3114" i="2" s="1"/>
  <c r="L3114" i="2" s="1"/>
  <c r="K3113" i="2"/>
  <c r="J3113" i="2"/>
  <c r="H3113" i="2"/>
  <c r="I3113" i="2" s="1"/>
  <c r="L3113" i="2" s="1"/>
  <c r="K3112" i="2"/>
  <c r="J3112" i="2"/>
  <c r="H3112" i="2"/>
  <c r="K3111" i="2"/>
  <c r="J3111" i="2"/>
  <c r="H3111" i="2"/>
  <c r="I3111" i="2" s="1"/>
  <c r="L3111" i="2" s="1"/>
  <c r="L3110" i="2"/>
  <c r="K3110" i="2"/>
  <c r="J3110" i="2"/>
  <c r="I3110" i="2"/>
  <c r="H3110" i="2"/>
  <c r="K3109" i="2"/>
  <c r="J3109" i="2"/>
  <c r="I3109" i="2"/>
  <c r="L3109" i="2" s="1"/>
  <c r="H3109" i="2"/>
  <c r="K3108" i="2"/>
  <c r="J3108" i="2"/>
  <c r="H3108" i="2"/>
  <c r="I3108" i="2" s="1"/>
  <c r="L3108" i="2" s="1"/>
  <c r="K3107" i="2"/>
  <c r="J3107" i="2"/>
  <c r="I3107" i="2"/>
  <c r="L3107" i="2" s="1"/>
  <c r="H3107" i="2"/>
  <c r="K3106" i="2"/>
  <c r="J3106" i="2"/>
  <c r="I3106" i="2"/>
  <c r="L3106" i="2" s="1"/>
  <c r="H3106" i="2"/>
  <c r="K3105" i="2"/>
  <c r="J3105" i="2"/>
  <c r="I3105" i="2" s="1"/>
  <c r="L3105" i="2" s="1"/>
  <c r="H3105" i="2"/>
  <c r="K3104" i="2"/>
  <c r="J3104" i="2"/>
  <c r="H3104" i="2"/>
  <c r="I3104" i="2" s="1"/>
  <c r="L3104" i="2" s="1"/>
  <c r="K3103" i="2"/>
  <c r="J3103" i="2"/>
  <c r="I3103" i="2"/>
  <c r="L3103" i="2" s="1"/>
  <c r="H3103" i="2"/>
  <c r="K3102" i="2"/>
  <c r="J3102" i="2"/>
  <c r="H3102" i="2"/>
  <c r="K3101" i="2"/>
  <c r="J3101" i="2"/>
  <c r="H3101" i="2"/>
  <c r="I3101" i="2" s="1"/>
  <c r="L3101" i="2" s="1"/>
  <c r="K3100" i="2"/>
  <c r="J3100" i="2"/>
  <c r="H3100" i="2"/>
  <c r="K3099" i="2"/>
  <c r="J3099" i="2"/>
  <c r="I3099" i="2"/>
  <c r="L3099" i="2" s="1"/>
  <c r="H3099" i="2"/>
  <c r="K3098" i="2"/>
  <c r="J3098" i="2"/>
  <c r="H3098" i="2"/>
  <c r="K3097" i="2"/>
  <c r="J3097" i="2"/>
  <c r="I3097" i="2"/>
  <c r="L3097" i="2" s="1"/>
  <c r="H3097" i="2"/>
  <c r="L3096" i="2"/>
  <c r="K3096" i="2"/>
  <c r="J3096" i="2"/>
  <c r="H3096" i="2"/>
  <c r="I3096" i="2" s="1"/>
  <c r="L3095" i="2"/>
  <c r="K3095" i="2"/>
  <c r="J3095" i="2"/>
  <c r="I3095" i="2"/>
  <c r="H3095" i="2"/>
  <c r="K3094" i="2"/>
  <c r="J3094" i="2"/>
  <c r="I3094" i="2" s="1"/>
  <c r="L3094" i="2" s="1"/>
  <c r="H3094" i="2"/>
  <c r="K3093" i="2"/>
  <c r="J3093" i="2"/>
  <c r="I3093" i="2"/>
  <c r="L3093" i="2" s="1"/>
  <c r="H3093" i="2"/>
  <c r="K3092" i="2"/>
  <c r="J3092" i="2"/>
  <c r="H3092" i="2"/>
  <c r="L3091" i="2"/>
  <c r="K3091" i="2"/>
  <c r="J3091" i="2"/>
  <c r="I3091" i="2"/>
  <c r="H3091" i="2"/>
  <c r="K3090" i="2"/>
  <c r="J3090" i="2"/>
  <c r="H3090" i="2"/>
  <c r="L3089" i="2"/>
  <c r="K3089" i="2"/>
  <c r="J3089" i="2"/>
  <c r="I3089" i="2" s="1"/>
  <c r="H3089" i="2"/>
  <c r="K3088" i="2"/>
  <c r="J3088" i="2"/>
  <c r="H3088" i="2"/>
  <c r="K3087" i="2"/>
  <c r="J3087" i="2"/>
  <c r="H3087" i="2"/>
  <c r="I3087" i="2" s="1"/>
  <c r="L3087" i="2" s="1"/>
  <c r="L3086" i="2"/>
  <c r="K3086" i="2"/>
  <c r="J3086" i="2"/>
  <c r="I3086" i="2" s="1"/>
  <c r="H3086" i="2"/>
  <c r="K3085" i="2"/>
  <c r="J3085" i="2"/>
  <c r="I3085" i="2"/>
  <c r="L3085" i="2" s="1"/>
  <c r="H3085" i="2"/>
  <c r="K3084" i="2"/>
  <c r="J3084" i="2"/>
  <c r="I3084" i="2"/>
  <c r="L3084" i="2" s="1"/>
  <c r="H3084" i="2"/>
  <c r="L3083" i="2"/>
  <c r="K3083" i="2"/>
  <c r="J3083" i="2"/>
  <c r="I3083" i="2"/>
  <c r="H3083" i="2"/>
  <c r="K3082" i="2"/>
  <c r="J3082" i="2"/>
  <c r="H3082" i="2"/>
  <c r="I3082" i="2" s="1"/>
  <c r="L3082" i="2" s="1"/>
  <c r="L3081" i="2"/>
  <c r="K3081" i="2"/>
  <c r="J3081" i="2"/>
  <c r="I3081" i="2" s="1"/>
  <c r="H3081" i="2"/>
  <c r="L3080" i="2"/>
  <c r="K3080" i="2"/>
  <c r="J3080" i="2"/>
  <c r="I3080" i="2"/>
  <c r="H3080" i="2"/>
  <c r="K3079" i="2"/>
  <c r="J3079" i="2"/>
  <c r="H3079" i="2"/>
  <c r="I3079" i="2" s="1"/>
  <c r="L3079" i="2" s="1"/>
  <c r="L3078" i="2"/>
  <c r="K3078" i="2"/>
  <c r="J3078" i="2"/>
  <c r="I3078" i="2"/>
  <c r="H3078" i="2"/>
  <c r="K3077" i="2"/>
  <c r="J3077" i="2"/>
  <c r="H3077" i="2"/>
  <c r="I3077" i="2" s="1"/>
  <c r="L3077" i="2" s="1"/>
  <c r="K3076" i="2"/>
  <c r="J3076" i="2"/>
  <c r="H3076" i="2"/>
  <c r="K3075" i="2"/>
  <c r="J3075" i="2"/>
  <c r="H3075" i="2"/>
  <c r="K3074" i="2"/>
  <c r="J3074" i="2"/>
  <c r="H3074" i="2"/>
  <c r="I3074" i="2" s="1"/>
  <c r="L3074" i="2" s="1"/>
  <c r="K3073" i="2"/>
  <c r="J3073" i="2"/>
  <c r="H3073" i="2"/>
  <c r="I3073" i="2" s="1"/>
  <c r="L3073" i="2" s="1"/>
  <c r="L3072" i="2"/>
  <c r="K3072" i="2"/>
  <c r="J3072" i="2"/>
  <c r="I3072" i="2"/>
  <c r="H3072" i="2"/>
  <c r="K3071" i="2"/>
  <c r="J3071" i="2"/>
  <c r="I3071" i="2"/>
  <c r="L3071" i="2" s="1"/>
  <c r="H3071" i="2"/>
  <c r="K3070" i="2"/>
  <c r="J3070" i="2"/>
  <c r="H3070" i="2"/>
  <c r="I3070" i="2" s="1"/>
  <c r="L3070" i="2" s="1"/>
  <c r="K3069" i="2"/>
  <c r="J3069" i="2"/>
  <c r="I3069" i="2"/>
  <c r="L3069" i="2" s="1"/>
  <c r="H3069" i="2"/>
  <c r="K3068" i="2"/>
  <c r="J3068" i="2"/>
  <c r="H3068" i="2"/>
  <c r="I3068" i="2" s="1"/>
  <c r="L3068" i="2" s="1"/>
  <c r="L3067" i="2"/>
  <c r="K3067" i="2"/>
  <c r="J3067" i="2"/>
  <c r="I3067" i="2"/>
  <c r="H3067" i="2"/>
  <c r="K3066" i="2"/>
  <c r="J3066" i="2"/>
  <c r="H3066" i="2"/>
  <c r="K3065" i="2"/>
  <c r="J3065" i="2"/>
  <c r="H3065" i="2"/>
  <c r="I3065" i="2" s="1"/>
  <c r="L3065" i="2" s="1"/>
  <c r="K3064" i="2"/>
  <c r="J3064" i="2"/>
  <c r="H3064" i="2"/>
  <c r="K3063" i="2"/>
  <c r="J3063" i="2"/>
  <c r="I3063" i="2" s="1"/>
  <c r="L3063" i="2" s="1"/>
  <c r="H3063" i="2"/>
  <c r="K3062" i="2"/>
  <c r="J3062" i="2"/>
  <c r="H3062" i="2"/>
  <c r="I3062" i="2" s="1"/>
  <c r="L3062" i="2" s="1"/>
  <c r="K3061" i="2"/>
  <c r="J3061" i="2"/>
  <c r="I3061" i="2"/>
  <c r="L3061" i="2" s="1"/>
  <c r="H3061" i="2"/>
  <c r="K3060" i="2"/>
  <c r="J3060" i="2"/>
  <c r="H3060" i="2"/>
  <c r="I3060" i="2" s="1"/>
  <c r="L3060" i="2" s="1"/>
  <c r="L3059" i="2"/>
  <c r="K3059" i="2"/>
  <c r="J3059" i="2"/>
  <c r="I3059" i="2"/>
  <c r="H3059" i="2"/>
  <c r="K3058" i="2"/>
  <c r="J3058" i="2"/>
  <c r="I3058" i="2" s="1"/>
  <c r="L3058" i="2" s="1"/>
  <c r="H3058" i="2"/>
  <c r="K3057" i="2"/>
  <c r="J3057" i="2"/>
  <c r="I3057" i="2" s="1"/>
  <c r="L3057" i="2" s="1"/>
  <c r="H3057" i="2"/>
  <c r="L3056" i="2"/>
  <c r="K3056" i="2"/>
  <c r="J3056" i="2"/>
  <c r="I3056" i="2"/>
  <c r="H3056" i="2"/>
  <c r="K3055" i="2"/>
  <c r="J3055" i="2"/>
  <c r="H3055" i="2"/>
  <c r="I3055" i="2" s="1"/>
  <c r="L3055" i="2" s="1"/>
  <c r="L3054" i="2"/>
  <c r="K3054" i="2"/>
  <c r="J3054" i="2"/>
  <c r="I3054" i="2"/>
  <c r="H3054" i="2"/>
  <c r="K3053" i="2"/>
  <c r="J3053" i="2"/>
  <c r="H3053" i="2"/>
  <c r="I3053" i="2" s="1"/>
  <c r="L3053" i="2" s="1"/>
  <c r="L3052" i="2"/>
  <c r="K3052" i="2"/>
  <c r="J3052" i="2"/>
  <c r="H3052" i="2"/>
  <c r="I3052" i="2" s="1"/>
  <c r="K3051" i="2"/>
  <c r="J3051" i="2"/>
  <c r="H3051" i="2"/>
  <c r="I3051" i="2" s="1"/>
  <c r="L3051" i="2" s="1"/>
  <c r="K3050" i="2"/>
  <c r="J3050" i="2"/>
  <c r="I3050" i="2"/>
  <c r="L3050" i="2" s="1"/>
  <c r="H3050" i="2"/>
  <c r="K3049" i="2"/>
  <c r="J3049" i="2"/>
  <c r="H3049" i="2"/>
  <c r="I3049" i="2" s="1"/>
  <c r="L3049" i="2" s="1"/>
  <c r="K3048" i="2"/>
  <c r="J3048" i="2"/>
  <c r="I3048" i="2" s="1"/>
  <c r="L3048" i="2" s="1"/>
  <c r="H3048" i="2"/>
  <c r="K3047" i="2"/>
  <c r="J3047" i="2"/>
  <c r="I3047" i="2"/>
  <c r="L3047" i="2" s="1"/>
  <c r="H3047" i="2"/>
  <c r="K3046" i="2"/>
  <c r="J3046" i="2"/>
  <c r="H3046" i="2"/>
  <c r="I3046" i="2" s="1"/>
  <c r="L3046" i="2" s="1"/>
  <c r="L3045" i="2"/>
  <c r="K3045" i="2"/>
  <c r="J3045" i="2"/>
  <c r="I3045" i="2"/>
  <c r="H3045" i="2"/>
  <c r="L3044" i="2"/>
  <c r="K3044" i="2"/>
  <c r="J3044" i="2"/>
  <c r="I3044" i="2" s="1"/>
  <c r="H3044" i="2"/>
  <c r="K3043" i="2"/>
  <c r="J3043" i="2"/>
  <c r="I3043" i="2" s="1"/>
  <c r="L3043" i="2" s="1"/>
  <c r="H3043" i="2"/>
  <c r="K3042" i="2"/>
  <c r="J3042" i="2"/>
  <c r="H3042" i="2"/>
  <c r="I3042" i="2" s="1"/>
  <c r="L3042" i="2" s="1"/>
  <c r="K3041" i="2"/>
  <c r="J3041" i="2"/>
  <c r="I3041" i="2" s="1"/>
  <c r="L3041" i="2" s="1"/>
  <c r="H3041" i="2"/>
  <c r="L3040" i="2"/>
  <c r="K3040" i="2"/>
  <c r="J3040" i="2"/>
  <c r="H3040" i="2"/>
  <c r="I3040" i="2" s="1"/>
  <c r="K3039" i="2"/>
  <c r="J3039" i="2"/>
  <c r="H3039" i="2"/>
  <c r="I3039" i="2" s="1"/>
  <c r="L3039" i="2" s="1"/>
  <c r="K3038" i="2"/>
  <c r="J3038" i="2"/>
  <c r="H3038" i="2"/>
  <c r="I3038" i="2" s="1"/>
  <c r="L3038" i="2" s="1"/>
  <c r="K3037" i="2"/>
  <c r="J3037" i="2"/>
  <c r="I3037" i="2"/>
  <c r="L3037" i="2" s="1"/>
  <c r="H3037" i="2"/>
  <c r="K3036" i="2"/>
  <c r="J3036" i="2"/>
  <c r="I3036" i="2"/>
  <c r="L3036" i="2" s="1"/>
  <c r="H3036" i="2"/>
  <c r="L3035" i="2"/>
  <c r="K3035" i="2"/>
  <c r="J3035" i="2"/>
  <c r="I3035" i="2"/>
  <c r="H3035" i="2"/>
  <c r="K3034" i="2"/>
  <c r="J3034" i="2"/>
  <c r="H3034" i="2"/>
  <c r="L3033" i="2"/>
  <c r="K3033" i="2"/>
  <c r="J3033" i="2"/>
  <c r="I3033" i="2" s="1"/>
  <c r="H3033" i="2"/>
  <c r="K3032" i="2"/>
  <c r="J3032" i="2"/>
  <c r="I3032" i="2"/>
  <c r="L3032" i="2" s="1"/>
  <c r="H3032" i="2"/>
  <c r="L3031" i="2"/>
  <c r="K3031" i="2"/>
  <c r="J3031" i="2"/>
  <c r="I3031" i="2"/>
  <c r="H3031" i="2"/>
  <c r="K3030" i="2"/>
  <c r="J3030" i="2"/>
  <c r="H3030" i="2"/>
  <c r="K3029" i="2"/>
  <c r="J3029" i="2"/>
  <c r="H3029" i="2"/>
  <c r="I3029" i="2" s="1"/>
  <c r="L3029" i="2" s="1"/>
  <c r="K3028" i="2"/>
  <c r="J3028" i="2"/>
  <c r="H3028" i="2"/>
  <c r="K3027" i="2"/>
  <c r="J3027" i="2"/>
  <c r="H3027" i="2"/>
  <c r="I3027" i="2" s="1"/>
  <c r="L3027" i="2" s="1"/>
  <c r="K3026" i="2"/>
  <c r="J3026" i="2"/>
  <c r="H3026" i="2"/>
  <c r="I3026" i="2" s="1"/>
  <c r="L3026" i="2" s="1"/>
  <c r="K3025" i="2"/>
  <c r="J3025" i="2"/>
  <c r="H3025" i="2"/>
  <c r="I3025" i="2" s="1"/>
  <c r="L3025" i="2" s="1"/>
  <c r="K3024" i="2"/>
  <c r="J3024" i="2"/>
  <c r="I3024" i="2" s="1"/>
  <c r="L3024" i="2" s="1"/>
  <c r="H3024" i="2"/>
  <c r="K3023" i="2"/>
  <c r="J3023" i="2"/>
  <c r="I3023" i="2"/>
  <c r="L3023" i="2" s="1"/>
  <c r="H3023" i="2"/>
  <c r="L3022" i="2"/>
  <c r="K3022" i="2"/>
  <c r="J3022" i="2"/>
  <c r="H3022" i="2"/>
  <c r="I3022" i="2" s="1"/>
  <c r="L3021" i="2"/>
  <c r="K3021" i="2"/>
  <c r="J3021" i="2"/>
  <c r="I3021" i="2"/>
  <c r="H3021" i="2"/>
  <c r="K3020" i="2"/>
  <c r="J3020" i="2"/>
  <c r="I3020" i="2"/>
  <c r="L3020" i="2" s="1"/>
  <c r="H3020" i="2"/>
  <c r="K3019" i="2"/>
  <c r="J3019" i="2"/>
  <c r="I3019" i="2"/>
  <c r="L3019" i="2" s="1"/>
  <c r="H3019" i="2"/>
  <c r="L3018" i="2"/>
  <c r="K3018" i="2"/>
  <c r="J3018" i="2"/>
  <c r="I3018" i="2"/>
  <c r="H3018" i="2"/>
  <c r="K3017" i="2"/>
  <c r="J3017" i="2"/>
  <c r="I3017" i="2"/>
  <c r="L3017" i="2" s="1"/>
  <c r="H3017" i="2"/>
  <c r="L3016" i="2"/>
  <c r="K3016" i="2"/>
  <c r="J3016" i="2"/>
  <c r="H3016" i="2"/>
  <c r="I3016" i="2" s="1"/>
  <c r="K3015" i="2"/>
  <c r="J3015" i="2"/>
  <c r="I3015" i="2"/>
  <c r="L3015" i="2" s="1"/>
  <c r="H3015" i="2"/>
  <c r="K3014" i="2"/>
  <c r="J3014" i="2"/>
  <c r="I3014" i="2"/>
  <c r="L3014" i="2" s="1"/>
  <c r="H3014" i="2"/>
  <c r="K3013" i="2"/>
  <c r="J3013" i="2"/>
  <c r="H3013" i="2"/>
  <c r="I3013" i="2" s="1"/>
  <c r="L3013" i="2" s="1"/>
  <c r="K3012" i="2"/>
  <c r="J3012" i="2"/>
  <c r="I3012" i="2" s="1"/>
  <c r="L3012" i="2" s="1"/>
  <c r="H3012" i="2"/>
  <c r="K3011" i="2"/>
  <c r="J3011" i="2"/>
  <c r="I3011" i="2"/>
  <c r="L3011" i="2" s="1"/>
  <c r="H3011" i="2"/>
  <c r="L3010" i="2"/>
  <c r="K3010" i="2"/>
  <c r="J3010" i="2"/>
  <c r="H3010" i="2"/>
  <c r="I3010" i="2" s="1"/>
  <c r="K3009" i="2"/>
  <c r="J3009" i="2"/>
  <c r="I3009" i="2"/>
  <c r="L3009" i="2" s="1"/>
  <c r="H3009" i="2"/>
  <c r="K3008" i="2"/>
  <c r="J3008" i="2"/>
  <c r="I3008" i="2"/>
  <c r="L3008" i="2" s="1"/>
  <c r="H3008" i="2"/>
  <c r="K3007" i="2"/>
  <c r="J3007" i="2"/>
  <c r="H3007" i="2"/>
  <c r="I3007" i="2" s="1"/>
  <c r="L3007" i="2" s="1"/>
  <c r="K3006" i="2"/>
  <c r="J3006" i="2"/>
  <c r="H3006" i="2"/>
  <c r="I3006" i="2" s="1"/>
  <c r="L3006" i="2" s="1"/>
  <c r="K3005" i="2"/>
  <c r="J3005" i="2"/>
  <c r="H3005" i="2"/>
  <c r="I3005" i="2" s="1"/>
  <c r="L3005" i="2" s="1"/>
  <c r="K3004" i="2"/>
  <c r="J3004" i="2"/>
  <c r="H3004" i="2"/>
  <c r="I3004" i="2" s="1"/>
  <c r="L3004" i="2" s="1"/>
  <c r="K3003" i="2"/>
  <c r="J3003" i="2"/>
  <c r="H3003" i="2"/>
  <c r="I3003" i="2" s="1"/>
  <c r="L3003" i="2" s="1"/>
  <c r="K3002" i="2"/>
  <c r="J3002" i="2"/>
  <c r="I3002" i="2" s="1"/>
  <c r="L3002" i="2" s="1"/>
  <c r="H3002" i="2"/>
  <c r="K3001" i="2"/>
  <c r="J3001" i="2"/>
  <c r="H3001" i="2"/>
  <c r="I3001" i="2" s="1"/>
  <c r="L3001" i="2" s="1"/>
  <c r="K3000" i="2"/>
  <c r="J3000" i="2"/>
  <c r="I3000" i="2"/>
  <c r="L3000" i="2" s="1"/>
  <c r="H3000" i="2"/>
  <c r="L2999" i="2"/>
  <c r="K2999" i="2"/>
  <c r="J2999" i="2"/>
  <c r="I2999" i="2"/>
  <c r="H2999" i="2"/>
  <c r="L2998" i="2"/>
  <c r="K2998" i="2"/>
  <c r="J2998" i="2"/>
  <c r="H2998" i="2"/>
  <c r="I2998" i="2" s="1"/>
  <c r="L2997" i="2"/>
  <c r="K2997" i="2"/>
  <c r="J2997" i="2"/>
  <c r="I2997" i="2" s="1"/>
  <c r="H2997" i="2"/>
  <c r="K2996" i="2"/>
  <c r="J2996" i="2"/>
  <c r="H2996" i="2"/>
  <c r="I2996" i="2" s="1"/>
  <c r="L2996" i="2" s="1"/>
  <c r="L2995" i="2"/>
  <c r="K2995" i="2"/>
  <c r="J2995" i="2"/>
  <c r="H2995" i="2"/>
  <c r="I2995" i="2" s="1"/>
  <c r="L2994" i="2"/>
  <c r="K2994" i="2"/>
  <c r="J2994" i="2"/>
  <c r="H2994" i="2"/>
  <c r="I2994" i="2" s="1"/>
  <c r="K2993" i="2"/>
  <c r="J2993" i="2"/>
  <c r="I2993" i="2"/>
  <c r="L2993" i="2" s="1"/>
  <c r="H2993" i="2"/>
  <c r="K2992" i="2"/>
  <c r="J2992" i="2"/>
  <c r="H2992" i="2"/>
  <c r="K2991" i="2"/>
  <c r="J2991" i="2"/>
  <c r="H2991" i="2"/>
  <c r="I2991" i="2" s="1"/>
  <c r="L2991" i="2" s="1"/>
  <c r="K2990" i="2"/>
  <c r="J2990" i="2"/>
  <c r="I2990" i="2"/>
  <c r="L2990" i="2" s="1"/>
  <c r="H2990" i="2"/>
  <c r="K2989" i="2"/>
  <c r="J2989" i="2"/>
  <c r="I2989" i="2"/>
  <c r="L2989" i="2" s="1"/>
  <c r="H2989" i="2"/>
  <c r="K2988" i="2"/>
  <c r="J2988" i="2"/>
  <c r="I2988" i="2"/>
  <c r="L2988" i="2" s="1"/>
  <c r="H2988" i="2"/>
  <c r="L2987" i="2"/>
  <c r="K2987" i="2"/>
  <c r="J2987" i="2"/>
  <c r="I2987" i="2"/>
  <c r="H2987" i="2"/>
  <c r="L2986" i="2"/>
  <c r="K2986" i="2"/>
  <c r="J2986" i="2"/>
  <c r="I2986" i="2"/>
  <c r="H2986" i="2"/>
  <c r="K2985" i="2"/>
  <c r="J2985" i="2"/>
  <c r="I2985" i="2"/>
  <c r="L2985" i="2" s="1"/>
  <c r="H2985" i="2"/>
  <c r="K2984" i="2"/>
  <c r="J2984" i="2"/>
  <c r="I2984" i="2" s="1"/>
  <c r="L2984" i="2" s="1"/>
  <c r="H2984" i="2"/>
  <c r="K2983" i="2"/>
  <c r="J2983" i="2"/>
  <c r="H2983" i="2"/>
  <c r="I2983" i="2" s="1"/>
  <c r="L2983" i="2" s="1"/>
  <c r="K2982" i="2"/>
  <c r="J2982" i="2"/>
  <c r="H2982" i="2"/>
  <c r="I2982" i="2" s="1"/>
  <c r="L2982" i="2" s="1"/>
  <c r="K2981" i="2"/>
  <c r="J2981" i="2"/>
  <c r="H2981" i="2"/>
  <c r="I2981" i="2" s="1"/>
  <c r="L2981" i="2" s="1"/>
  <c r="K2980" i="2"/>
  <c r="J2980" i="2"/>
  <c r="H2980" i="2"/>
  <c r="I2980" i="2" s="1"/>
  <c r="L2980" i="2" s="1"/>
  <c r="K2979" i="2"/>
  <c r="J2979" i="2"/>
  <c r="H2979" i="2"/>
  <c r="I2979" i="2" s="1"/>
  <c r="L2979" i="2" s="1"/>
  <c r="K2978" i="2"/>
  <c r="J2978" i="2"/>
  <c r="H2978" i="2"/>
  <c r="K2977" i="2"/>
  <c r="J2977" i="2"/>
  <c r="H2977" i="2"/>
  <c r="I2977" i="2" s="1"/>
  <c r="L2977" i="2" s="1"/>
  <c r="L2976" i="2"/>
  <c r="K2976" i="2"/>
  <c r="J2976" i="2"/>
  <c r="I2976" i="2"/>
  <c r="H2976" i="2"/>
  <c r="L2975" i="2"/>
  <c r="K2975" i="2"/>
  <c r="J2975" i="2"/>
  <c r="I2975" i="2"/>
  <c r="H2975" i="2"/>
  <c r="K2974" i="2"/>
  <c r="J2974" i="2"/>
  <c r="H2974" i="2"/>
  <c r="I2974" i="2" s="1"/>
  <c r="L2974" i="2" s="1"/>
  <c r="K2973" i="2"/>
  <c r="J2973" i="2"/>
  <c r="I2973" i="2"/>
  <c r="L2973" i="2" s="1"/>
  <c r="H2973" i="2"/>
  <c r="K2972" i="2"/>
  <c r="J2972" i="2"/>
  <c r="H2972" i="2"/>
  <c r="I2972" i="2" s="1"/>
  <c r="L2972" i="2" s="1"/>
  <c r="K2971" i="2"/>
  <c r="J2971" i="2"/>
  <c r="H2971" i="2"/>
  <c r="I2971" i="2" s="1"/>
  <c r="L2971" i="2" s="1"/>
  <c r="L2970" i="2"/>
  <c r="K2970" i="2"/>
  <c r="J2970" i="2"/>
  <c r="H2970" i="2"/>
  <c r="I2970" i="2" s="1"/>
  <c r="K2969" i="2"/>
  <c r="J2969" i="2"/>
  <c r="H2969" i="2"/>
  <c r="I2969" i="2" s="1"/>
  <c r="L2969" i="2" s="1"/>
  <c r="K2968" i="2"/>
  <c r="J2968" i="2"/>
  <c r="H2968" i="2"/>
  <c r="K2967" i="2"/>
  <c r="J2967" i="2"/>
  <c r="H2967" i="2"/>
  <c r="I2967" i="2" s="1"/>
  <c r="L2967" i="2" s="1"/>
  <c r="K2966" i="2"/>
  <c r="J2966" i="2"/>
  <c r="I2966" i="2" s="1"/>
  <c r="L2966" i="2" s="1"/>
  <c r="H2966" i="2"/>
  <c r="K2965" i="2"/>
  <c r="J2965" i="2"/>
  <c r="H2965" i="2"/>
  <c r="I2965" i="2" s="1"/>
  <c r="L2965" i="2" s="1"/>
  <c r="L2964" i="2"/>
  <c r="K2964" i="2"/>
  <c r="J2964" i="2"/>
  <c r="H2964" i="2"/>
  <c r="I2964" i="2" s="1"/>
  <c r="L2963" i="2"/>
  <c r="K2963" i="2"/>
  <c r="J2963" i="2"/>
  <c r="I2963" i="2"/>
  <c r="H2963" i="2"/>
  <c r="K2962" i="2"/>
  <c r="J2962" i="2"/>
  <c r="H2962" i="2"/>
  <c r="I2962" i="2" s="1"/>
  <c r="L2962" i="2" s="1"/>
  <c r="K2961" i="2"/>
  <c r="J2961" i="2"/>
  <c r="I2961" i="2"/>
  <c r="L2961" i="2" s="1"/>
  <c r="H2961" i="2"/>
  <c r="K2960" i="2"/>
  <c r="J2960" i="2"/>
  <c r="H2960" i="2"/>
  <c r="I2960" i="2" s="1"/>
  <c r="L2960" i="2" s="1"/>
  <c r="K2959" i="2"/>
  <c r="J2959" i="2"/>
  <c r="H2959" i="2"/>
  <c r="I2959" i="2" s="1"/>
  <c r="L2959" i="2" s="1"/>
  <c r="L2958" i="2"/>
  <c r="K2958" i="2"/>
  <c r="J2958" i="2"/>
  <c r="I2958" i="2"/>
  <c r="H2958" i="2"/>
  <c r="K2957" i="2"/>
  <c r="J2957" i="2"/>
  <c r="H2957" i="2"/>
  <c r="I2957" i="2" s="1"/>
  <c r="L2957" i="2" s="1"/>
  <c r="L2956" i="2"/>
  <c r="K2956" i="2"/>
  <c r="J2956" i="2"/>
  <c r="I2956" i="2"/>
  <c r="H2956" i="2"/>
  <c r="K2955" i="2"/>
  <c r="J2955" i="2"/>
  <c r="I2955" i="2" s="1"/>
  <c r="L2955" i="2" s="1"/>
  <c r="H2955" i="2"/>
  <c r="K2954" i="2"/>
  <c r="J2954" i="2"/>
  <c r="H2954" i="2"/>
  <c r="I2954" i="2" s="1"/>
  <c r="L2954" i="2" s="1"/>
  <c r="K2953" i="2"/>
  <c r="J2953" i="2"/>
  <c r="H2953" i="2"/>
  <c r="I2953" i="2" s="1"/>
  <c r="L2953" i="2" s="1"/>
  <c r="K2952" i="2"/>
  <c r="J2952" i="2"/>
  <c r="I2952" i="2" s="1"/>
  <c r="L2952" i="2" s="1"/>
  <c r="H2952" i="2"/>
  <c r="K2951" i="2"/>
  <c r="J2951" i="2"/>
  <c r="I2951" i="2"/>
  <c r="L2951" i="2" s="1"/>
  <c r="H2951" i="2"/>
  <c r="K2950" i="2"/>
  <c r="J2950" i="2"/>
  <c r="H2950" i="2"/>
  <c r="I2950" i="2" s="1"/>
  <c r="L2950" i="2" s="1"/>
  <c r="L2949" i="2"/>
  <c r="K2949" i="2"/>
  <c r="J2949" i="2"/>
  <c r="I2949" i="2" s="1"/>
  <c r="H2949" i="2"/>
  <c r="K2948" i="2"/>
  <c r="J2948" i="2"/>
  <c r="H2948" i="2"/>
  <c r="I2948" i="2" s="1"/>
  <c r="L2948" i="2" s="1"/>
  <c r="L2947" i="2"/>
  <c r="K2947" i="2"/>
  <c r="J2947" i="2"/>
  <c r="H2947" i="2"/>
  <c r="I2947" i="2" s="1"/>
  <c r="K2946" i="2"/>
  <c r="J2946" i="2"/>
  <c r="H2946" i="2"/>
  <c r="K2945" i="2"/>
  <c r="J2945" i="2"/>
  <c r="I2945" i="2"/>
  <c r="L2945" i="2" s="1"/>
  <c r="H2945" i="2"/>
  <c r="L2944" i="2"/>
  <c r="K2944" i="2"/>
  <c r="J2944" i="2"/>
  <c r="H2944" i="2"/>
  <c r="I2944" i="2" s="1"/>
  <c r="K2943" i="2"/>
  <c r="J2943" i="2"/>
  <c r="I2943" i="2" s="1"/>
  <c r="L2943" i="2" s="1"/>
  <c r="H2943" i="2"/>
  <c r="K2942" i="2"/>
  <c r="J2942" i="2"/>
  <c r="I2942" i="2"/>
  <c r="L2942" i="2" s="1"/>
  <c r="H2942" i="2"/>
  <c r="K2941" i="2"/>
  <c r="J2941" i="2"/>
  <c r="H2941" i="2"/>
  <c r="I2941" i="2" s="1"/>
  <c r="L2941" i="2" s="1"/>
  <c r="K2940" i="2"/>
  <c r="J2940" i="2"/>
  <c r="I2940" i="2"/>
  <c r="L2940" i="2" s="1"/>
  <c r="H2940" i="2"/>
  <c r="K2939" i="2"/>
  <c r="J2939" i="2"/>
  <c r="I2939" i="2"/>
  <c r="L2939" i="2" s="1"/>
  <c r="H2939" i="2"/>
  <c r="L2938" i="2"/>
  <c r="K2938" i="2"/>
  <c r="J2938" i="2"/>
  <c r="I2938" i="2" s="1"/>
  <c r="H2938" i="2"/>
  <c r="K2937" i="2"/>
  <c r="J2937" i="2"/>
  <c r="I2937" i="2" s="1"/>
  <c r="L2937" i="2" s="1"/>
  <c r="H2937" i="2"/>
  <c r="K2936" i="2"/>
  <c r="J2936" i="2"/>
  <c r="H2936" i="2"/>
  <c r="I2936" i="2" s="1"/>
  <c r="L2936" i="2" s="1"/>
  <c r="K2935" i="2"/>
  <c r="J2935" i="2"/>
  <c r="H2935" i="2"/>
  <c r="I2935" i="2" s="1"/>
  <c r="L2935" i="2" s="1"/>
  <c r="L2934" i="2"/>
  <c r="K2934" i="2"/>
  <c r="J2934" i="2"/>
  <c r="H2934" i="2"/>
  <c r="I2934" i="2" s="1"/>
  <c r="K2933" i="2"/>
  <c r="J2933" i="2"/>
  <c r="I2933" i="2" s="1"/>
  <c r="L2933" i="2" s="1"/>
  <c r="H2933" i="2"/>
  <c r="K2932" i="2"/>
  <c r="J2932" i="2"/>
  <c r="H2932" i="2"/>
  <c r="I2932" i="2" s="1"/>
  <c r="L2932" i="2" s="1"/>
  <c r="K2931" i="2"/>
  <c r="J2931" i="2"/>
  <c r="I2931" i="2" s="1"/>
  <c r="L2931" i="2" s="1"/>
  <c r="H2931" i="2"/>
  <c r="K2930" i="2"/>
  <c r="J2930" i="2"/>
  <c r="H2930" i="2"/>
  <c r="I2930" i="2" s="1"/>
  <c r="L2930" i="2" s="1"/>
  <c r="K2929" i="2"/>
  <c r="J2929" i="2"/>
  <c r="I2929" i="2"/>
  <c r="L2929" i="2" s="1"/>
  <c r="H2929" i="2"/>
  <c r="L2928" i="2"/>
  <c r="K2928" i="2"/>
  <c r="J2928" i="2"/>
  <c r="I2928" i="2"/>
  <c r="H2928" i="2"/>
  <c r="K2927" i="2"/>
  <c r="J2927" i="2"/>
  <c r="I2927" i="2"/>
  <c r="L2927" i="2" s="1"/>
  <c r="H2927" i="2"/>
  <c r="K2926" i="2"/>
  <c r="J2926" i="2"/>
  <c r="H2926" i="2"/>
  <c r="I2926" i="2" s="1"/>
  <c r="L2926" i="2" s="1"/>
  <c r="L2925" i="2"/>
  <c r="K2925" i="2"/>
  <c r="J2925" i="2"/>
  <c r="I2925" i="2" s="1"/>
  <c r="H2925" i="2"/>
  <c r="L2924" i="2"/>
  <c r="K2924" i="2"/>
  <c r="J2924" i="2"/>
  <c r="I2924" i="2"/>
  <c r="H2924" i="2"/>
  <c r="K2923" i="2"/>
  <c r="J2923" i="2"/>
  <c r="I2923" i="2"/>
  <c r="L2923" i="2" s="1"/>
  <c r="H2923" i="2"/>
  <c r="K2922" i="2"/>
  <c r="J2922" i="2"/>
  <c r="H2922" i="2"/>
  <c r="I2922" i="2" s="1"/>
  <c r="L2922" i="2" s="1"/>
  <c r="K2921" i="2"/>
  <c r="J2921" i="2"/>
  <c r="H2921" i="2"/>
  <c r="I2921" i="2" s="1"/>
  <c r="L2921" i="2" s="1"/>
  <c r="K2920" i="2"/>
  <c r="J2920" i="2"/>
  <c r="H2920" i="2"/>
  <c r="K2919" i="2"/>
  <c r="J2919" i="2"/>
  <c r="H2919" i="2"/>
  <c r="I2919" i="2" s="1"/>
  <c r="L2919" i="2" s="1"/>
  <c r="K2918" i="2"/>
  <c r="J2918" i="2"/>
  <c r="I2918" i="2"/>
  <c r="L2918" i="2" s="1"/>
  <c r="H2918" i="2"/>
  <c r="K2917" i="2"/>
  <c r="J2917" i="2"/>
  <c r="H2917" i="2"/>
  <c r="I2917" i="2" s="1"/>
  <c r="L2917" i="2" s="1"/>
  <c r="L2916" i="2"/>
  <c r="K2916" i="2"/>
  <c r="J2916" i="2"/>
  <c r="I2916" i="2"/>
  <c r="H2916" i="2"/>
  <c r="K2915" i="2"/>
  <c r="J2915" i="2"/>
  <c r="I2915" i="2"/>
  <c r="L2915" i="2" s="1"/>
  <c r="H2915" i="2"/>
  <c r="K2914" i="2"/>
  <c r="J2914" i="2"/>
  <c r="H2914" i="2"/>
  <c r="I2914" i="2" s="1"/>
  <c r="L2914" i="2" s="1"/>
  <c r="L2913" i="2"/>
  <c r="K2913" i="2"/>
  <c r="J2913" i="2"/>
  <c r="I2913" i="2"/>
  <c r="H2913" i="2"/>
  <c r="L2912" i="2"/>
  <c r="K2912" i="2"/>
  <c r="J2912" i="2"/>
  <c r="I2912" i="2"/>
  <c r="H2912" i="2"/>
  <c r="K2911" i="2"/>
  <c r="J2911" i="2"/>
  <c r="I2911" i="2" s="1"/>
  <c r="L2911" i="2" s="1"/>
  <c r="H2911" i="2"/>
  <c r="K2910" i="2"/>
  <c r="J2910" i="2"/>
  <c r="H2910" i="2"/>
  <c r="K2909" i="2"/>
  <c r="J2909" i="2"/>
  <c r="H2909" i="2"/>
  <c r="K2908" i="2"/>
  <c r="J2908" i="2"/>
  <c r="H2908" i="2"/>
  <c r="K2907" i="2"/>
  <c r="J2907" i="2"/>
  <c r="I2907" i="2"/>
  <c r="L2907" i="2" s="1"/>
  <c r="H2907" i="2"/>
  <c r="K2906" i="2"/>
  <c r="J2906" i="2"/>
  <c r="I2906" i="2"/>
  <c r="L2906" i="2" s="1"/>
  <c r="H2906" i="2"/>
  <c r="K2905" i="2"/>
  <c r="J2905" i="2"/>
  <c r="H2905" i="2"/>
  <c r="I2905" i="2" s="1"/>
  <c r="L2905" i="2" s="1"/>
  <c r="K2904" i="2"/>
  <c r="J2904" i="2"/>
  <c r="I2904" i="2"/>
  <c r="L2904" i="2" s="1"/>
  <c r="H2904" i="2"/>
  <c r="K2903" i="2"/>
  <c r="J2903" i="2"/>
  <c r="I2903" i="2"/>
  <c r="L2903" i="2" s="1"/>
  <c r="H2903" i="2"/>
  <c r="L2902" i="2"/>
  <c r="K2902" i="2"/>
  <c r="J2902" i="2"/>
  <c r="I2902" i="2" s="1"/>
  <c r="H2902" i="2"/>
  <c r="K2901" i="2"/>
  <c r="J2901" i="2"/>
  <c r="I2901" i="2" s="1"/>
  <c r="L2901" i="2" s="1"/>
  <c r="H2901" i="2"/>
  <c r="K2900" i="2"/>
  <c r="J2900" i="2"/>
  <c r="H2900" i="2"/>
  <c r="I2900" i="2" s="1"/>
  <c r="L2900" i="2" s="1"/>
  <c r="K2899" i="2"/>
  <c r="J2899" i="2"/>
  <c r="I2899" i="2"/>
  <c r="L2899" i="2" s="1"/>
  <c r="H2899" i="2"/>
  <c r="L2898" i="2"/>
  <c r="K2898" i="2"/>
  <c r="J2898" i="2"/>
  <c r="I2898" i="2"/>
  <c r="H2898" i="2"/>
  <c r="L2897" i="2"/>
  <c r="K2897" i="2"/>
  <c r="J2897" i="2"/>
  <c r="H2897" i="2"/>
  <c r="I2897" i="2" s="1"/>
  <c r="K2896" i="2"/>
  <c r="J2896" i="2"/>
  <c r="H2896" i="2"/>
  <c r="I2896" i="2" s="1"/>
  <c r="L2896" i="2" s="1"/>
  <c r="K2895" i="2"/>
  <c r="J2895" i="2"/>
  <c r="I2895" i="2"/>
  <c r="L2895" i="2" s="1"/>
  <c r="H2895" i="2"/>
  <c r="L2894" i="2"/>
  <c r="K2894" i="2"/>
  <c r="J2894" i="2"/>
  <c r="H2894" i="2"/>
  <c r="I2894" i="2" s="1"/>
  <c r="K2893" i="2"/>
  <c r="J2893" i="2"/>
  <c r="H2893" i="2"/>
  <c r="I2893" i="2" s="1"/>
  <c r="L2893" i="2" s="1"/>
  <c r="K2892" i="2"/>
  <c r="J2892" i="2"/>
  <c r="I2892" i="2"/>
  <c r="L2892" i="2" s="1"/>
  <c r="H2892" i="2"/>
  <c r="K2891" i="2"/>
  <c r="J2891" i="2"/>
  <c r="I2891" i="2"/>
  <c r="L2891" i="2" s="1"/>
  <c r="H2891" i="2"/>
  <c r="K2890" i="2"/>
  <c r="J2890" i="2"/>
  <c r="H2890" i="2"/>
  <c r="I2890" i="2" s="1"/>
  <c r="L2890" i="2" s="1"/>
  <c r="L2889" i="2"/>
  <c r="K2889" i="2"/>
  <c r="J2889" i="2"/>
  <c r="I2889" i="2"/>
  <c r="H2889" i="2"/>
  <c r="K2888" i="2"/>
  <c r="J2888" i="2"/>
  <c r="H2888" i="2"/>
  <c r="I2888" i="2" s="1"/>
  <c r="L2888" i="2" s="1"/>
  <c r="K2887" i="2"/>
  <c r="J2887" i="2"/>
  <c r="I2887" i="2" s="1"/>
  <c r="L2887" i="2" s="1"/>
  <c r="H2887" i="2"/>
  <c r="K2886" i="2"/>
  <c r="J2886" i="2"/>
  <c r="H2886" i="2"/>
  <c r="I2886" i="2" s="1"/>
  <c r="L2886" i="2" s="1"/>
  <c r="K2885" i="2"/>
  <c r="J2885" i="2"/>
  <c r="H2885" i="2"/>
  <c r="I2885" i="2" s="1"/>
  <c r="L2885" i="2" s="1"/>
  <c r="L2884" i="2"/>
  <c r="K2884" i="2"/>
  <c r="J2884" i="2"/>
  <c r="H2884" i="2"/>
  <c r="I2884" i="2" s="1"/>
  <c r="K2883" i="2"/>
  <c r="J2883" i="2"/>
  <c r="I2883" i="2"/>
  <c r="L2883" i="2" s="1"/>
  <c r="H2883" i="2"/>
  <c r="K2882" i="2"/>
  <c r="J2882" i="2"/>
  <c r="H2882" i="2"/>
  <c r="I2882" i="2" s="1"/>
  <c r="L2882" i="2" s="1"/>
  <c r="K2881" i="2"/>
  <c r="J2881" i="2"/>
  <c r="H2881" i="2"/>
  <c r="I2881" i="2" s="1"/>
  <c r="L2881" i="2" s="1"/>
  <c r="K2880" i="2"/>
  <c r="J2880" i="2"/>
  <c r="I2880" i="2"/>
  <c r="L2880" i="2" s="1"/>
  <c r="H2880" i="2"/>
  <c r="L2879" i="2"/>
  <c r="K2879" i="2"/>
  <c r="J2879" i="2"/>
  <c r="I2879" i="2"/>
  <c r="H2879" i="2"/>
  <c r="K2878" i="2"/>
  <c r="J2878" i="2"/>
  <c r="H2878" i="2"/>
  <c r="I2878" i="2" s="1"/>
  <c r="L2878" i="2" s="1"/>
  <c r="K2877" i="2"/>
  <c r="J2877" i="2"/>
  <c r="I2877" i="2" s="1"/>
  <c r="L2877" i="2" s="1"/>
  <c r="H2877" i="2"/>
  <c r="K2876" i="2"/>
  <c r="J2876" i="2"/>
  <c r="H2876" i="2"/>
  <c r="I2876" i="2" s="1"/>
  <c r="L2876" i="2" s="1"/>
  <c r="K2875" i="2"/>
  <c r="J2875" i="2"/>
  <c r="H2875" i="2"/>
  <c r="I2875" i="2" s="1"/>
  <c r="L2875" i="2" s="1"/>
  <c r="K2874" i="2"/>
  <c r="J2874" i="2"/>
  <c r="H2874" i="2"/>
  <c r="K2873" i="2"/>
  <c r="J2873" i="2"/>
  <c r="H2873" i="2"/>
  <c r="I2873" i="2" s="1"/>
  <c r="L2873" i="2" s="1"/>
  <c r="K2872" i="2"/>
  <c r="J2872" i="2"/>
  <c r="H2872" i="2"/>
  <c r="K2871" i="2"/>
  <c r="J2871" i="2"/>
  <c r="H2871" i="2"/>
  <c r="I2871" i="2" s="1"/>
  <c r="L2871" i="2" s="1"/>
  <c r="K2870" i="2"/>
  <c r="J2870" i="2"/>
  <c r="H2870" i="2"/>
  <c r="I2870" i="2" s="1"/>
  <c r="L2870" i="2" s="1"/>
  <c r="K2869" i="2"/>
  <c r="J2869" i="2"/>
  <c r="H2869" i="2"/>
  <c r="I2869" i="2" s="1"/>
  <c r="L2869" i="2" s="1"/>
  <c r="K2868" i="2"/>
  <c r="J2868" i="2"/>
  <c r="I2868" i="2" s="1"/>
  <c r="L2868" i="2" s="1"/>
  <c r="H2868" i="2"/>
  <c r="K2867" i="2"/>
  <c r="J2867" i="2"/>
  <c r="I2867" i="2"/>
  <c r="L2867" i="2" s="1"/>
  <c r="H2867" i="2"/>
  <c r="K2866" i="2"/>
  <c r="J2866" i="2"/>
  <c r="H2866" i="2"/>
  <c r="I2866" i="2" s="1"/>
  <c r="L2866" i="2" s="1"/>
  <c r="L2865" i="2"/>
  <c r="K2865" i="2"/>
  <c r="J2865" i="2"/>
  <c r="I2865" i="2" s="1"/>
  <c r="H2865" i="2"/>
  <c r="K2864" i="2"/>
  <c r="J2864" i="2"/>
  <c r="I2864" i="2"/>
  <c r="L2864" i="2" s="1"/>
  <c r="H2864" i="2"/>
  <c r="K2863" i="2"/>
  <c r="J2863" i="2"/>
  <c r="H2863" i="2"/>
  <c r="I2863" i="2" s="1"/>
  <c r="L2863" i="2" s="1"/>
  <c r="K2862" i="2"/>
  <c r="J2862" i="2"/>
  <c r="H2862" i="2"/>
  <c r="K2861" i="2"/>
  <c r="J2861" i="2"/>
  <c r="H2861" i="2"/>
  <c r="I2861" i="2" s="1"/>
  <c r="L2861" i="2" s="1"/>
  <c r="K2860" i="2"/>
  <c r="J2860" i="2"/>
  <c r="H2860" i="2"/>
  <c r="I2860" i="2" s="1"/>
  <c r="L2860" i="2" s="1"/>
  <c r="K2859" i="2"/>
  <c r="J2859" i="2"/>
  <c r="I2859" i="2"/>
  <c r="L2859" i="2" s="1"/>
  <c r="H2859" i="2"/>
  <c r="K2858" i="2"/>
  <c r="J2858" i="2"/>
  <c r="H2858" i="2"/>
  <c r="I2858" i="2" s="1"/>
  <c r="L2858" i="2" s="1"/>
  <c r="K2857" i="2"/>
  <c r="J2857" i="2"/>
  <c r="I2857" i="2"/>
  <c r="L2857" i="2" s="1"/>
  <c r="H2857" i="2"/>
  <c r="K2856" i="2"/>
  <c r="J2856" i="2"/>
  <c r="I2856" i="2"/>
  <c r="L2856" i="2" s="1"/>
  <c r="H2856" i="2"/>
  <c r="K2855" i="2"/>
  <c r="J2855" i="2"/>
  <c r="I2855" i="2"/>
  <c r="L2855" i="2" s="1"/>
  <c r="H2855" i="2"/>
  <c r="L2854" i="2"/>
  <c r="K2854" i="2"/>
  <c r="J2854" i="2"/>
  <c r="I2854" i="2"/>
  <c r="H2854" i="2"/>
  <c r="K2853" i="2"/>
  <c r="J2853" i="2"/>
  <c r="I2853" i="2"/>
  <c r="L2853" i="2" s="1"/>
  <c r="H2853" i="2"/>
  <c r="L2852" i="2"/>
  <c r="K2852" i="2"/>
  <c r="J2852" i="2"/>
  <c r="I2852" i="2"/>
  <c r="H2852" i="2"/>
  <c r="L2851" i="2"/>
  <c r="K2851" i="2"/>
  <c r="J2851" i="2"/>
  <c r="I2851" i="2" s="1"/>
  <c r="H2851" i="2"/>
  <c r="K2850" i="2"/>
  <c r="J2850" i="2"/>
  <c r="H2850" i="2"/>
  <c r="I2850" i="2" s="1"/>
  <c r="L2850" i="2" s="1"/>
  <c r="K2849" i="2"/>
  <c r="J2849" i="2"/>
  <c r="I2849" i="2" s="1"/>
  <c r="L2849" i="2" s="1"/>
  <c r="H2849" i="2"/>
  <c r="K2848" i="2"/>
  <c r="J2848" i="2"/>
  <c r="H2848" i="2"/>
  <c r="I2848" i="2" s="1"/>
  <c r="L2848" i="2" s="1"/>
  <c r="K2847" i="2"/>
  <c r="J2847" i="2"/>
  <c r="H2847" i="2"/>
  <c r="I2847" i="2" s="1"/>
  <c r="L2847" i="2" s="1"/>
  <c r="L2846" i="2"/>
  <c r="K2846" i="2"/>
  <c r="J2846" i="2"/>
  <c r="H2846" i="2"/>
  <c r="I2846" i="2" s="1"/>
  <c r="K2845" i="2"/>
  <c r="J2845" i="2"/>
  <c r="H2845" i="2"/>
  <c r="I2845" i="2" s="1"/>
  <c r="L2845" i="2" s="1"/>
  <c r="K2844" i="2"/>
  <c r="J2844" i="2"/>
  <c r="I2844" i="2"/>
  <c r="L2844" i="2" s="1"/>
  <c r="H2844" i="2"/>
  <c r="L2843" i="2"/>
  <c r="K2843" i="2"/>
  <c r="J2843" i="2"/>
  <c r="I2843" i="2"/>
  <c r="H2843" i="2"/>
  <c r="K2842" i="2"/>
  <c r="J2842" i="2"/>
  <c r="H2842" i="2"/>
  <c r="I2842" i="2" s="1"/>
  <c r="L2842" i="2" s="1"/>
  <c r="K2841" i="2"/>
  <c r="J2841" i="2"/>
  <c r="I2841" i="2" s="1"/>
  <c r="L2841" i="2" s="1"/>
  <c r="H2841" i="2"/>
  <c r="K2840" i="2"/>
  <c r="J2840" i="2"/>
  <c r="I2840" i="2" s="1"/>
  <c r="L2840" i="2" s="1"/>
  <c r="H2840" i="2"/>
  <c r="K2839" i="2"/>
  <c r="J2839" i="2"/>
  <c r="H2839" i="2"/>
  <c r="I2839" i="2" s="1"/>
  <c r="L2839" i="2" s="1"/>
  <c r="K2838" i="2"/>
  <c r="J2838" i="2"/>
  <c r="H2838" i="2"/>
  <c r="L2837" i="2"/>
  <c r="K2837" i="2"/>
  <c r="J2837" i="2"/>
  <c r="I2837" i="2" s="1"/>
  <c r="H2837" i="2"/>
  <c r="K2836" i="2"/>
  <c r="J2836" i="2"/>
  <c r="H2836" i="2"/>
  <c r="I2836" i="2" s="1"/>
  <c r="L2836" i="2" s="1"/>
  <c r="K2835" i="2"/>
  <c r="J2835" i="2"/>
  <c r="H2835" i="2"/>
  <c r="I2835" i="2" s="1"/>
  <c r="L2835" i="2" s="1"/>
  <c r="K2834" i="2"/>
  <c r="J2834" i="2"/>
  <c r="I2834" i="2" s="1"/>
  <c r="L2834" i="2" s="1"/>
  <c r="H2834" i="2"/>
  <c r="K2833" i="2"/>
  <c r="J2833" i="2"/>
  <c r="I2833" i="2"/>
  <c r="L2833" i="2" s="1"/>
  <c r="H2833" i="2"/>
  <c r="K2832" i="2"/>
  <c r="J2832" i="2"/>
  <c r="H2832" i="2"/>
  <c r="I2832" i="2" s="1"/>
  <c r="L2832" i="2" s="1"/>
  <c r="L2831" i="2"/>
  <c r="K2831" i="2"/>
  <c r="J2831" i="2"/>
  <c r="I2831" i="2"/>
  <c r="H2831" i="2"/>
  <c r="L2830" i="2"/>
  <c r="K2830" i="2"/>
  <c r="J2830" i="2"/>
  <c r="H2830" i="2"/>
  <c r="I2830" i="2" s="1"/>
  <c r="K2829" i="2"/>
  <c r="J2829" i="2"/>
  <c r="I2829" i="2"/>
  <c r="L2829" i="2" s="1"/>
  <c r="H2829" i="2"/>
  <c r="L2828" i="2"/>
  <c r="K2828" i="2"/>
  <c r="J2828" i="2"/>
  <c r="I2828" i="2" s="1"/>
  <c r="H2828" i="2"/>
  <c r="K2827" i="2"/>
  <c r="J2827" i="2"/>
  <c r="I2827" i="2"/>
  <c r="L2827" i="2" s="1"/>
  <c r="H2827" i="2"/>
  <c r="K2826" i="2"/>
  <c r="J2826" i="2"/>
  <c r="H2826" i="2"/>
  <c r="I2826" i="2" s="1"/>
  <c r="L2826" i="2" s="1"/>
  <c r="L2825" i="2"/>
  <c r="K2825" i="2"/>
  <c r="J2825" i="2"/>
  <c r="I2825" i="2"/>
  <c r="H2825" i="2"/>
  <c r="K2824" i="2"/>
  <c r="J2824" i="2"/>
  <c r="H2824" i="2"/>
  <c r="I2824" i="2" s="1"/>
  <c r="L2824" i="2" s="1"/>
  <c r="K2823" i="2"/>
  <c r="J2823" i="2"/>
  <c r="H2823" i="2"/>
  <c r="I2823" i="2" s="1"/>
  <c r="L2823" i="2" s="1"/>
  <c r="L2822" i="2"/>
  <c r="K2822" i="2"/>
  <c r="J2822" i="2"/>
  <c r="I2822" i="2"/>
  <c r="H2822" i="2"/>
  <c r="K2821" i="2"/>
  <c r="J2821" i="2"/>
  <c r="H2821" i="2"/>
  <c r="I2821" i="2" s="1"/>
  <c r="L2821" i="2" s="1"/>
  <c r="K2820" i="2"/>
  <c r="J2820" i="2"/>
  <c r="I2820" i="2"/>
  <c r="L2820" i="2" s="1"/>
  <c r="H2820" i="2"/>
  <c r="K2819" i="2"/>
  <c r="J2819" i="2"/>
  <c r="I2819" i="2"/>
  <c r="L2819" i="2" s="1"/>
  <c r="H2819" i="2"/>
  <c r="K2818" i="2"/>
  <c r="J2818" i="2"/>
  <c r="H2818" i="2"/>
  <c r="I2818" i="2" s="1"/>
  <c r="L2818" i="2" s="1"/>
  <c r="K2817" i="2"/>
  <c r="J2817" i="2"/>
  <c r="I2817" i="2"/>
  <c r="L2817" i="2" s="1"/>
  <c r="H2817" i="2"/>
  <c r="K2816" i="2"/>
  <c r="J2816" i="2"/>
  <c r="H2816" i="2"/>
  <c r="I2816" i="2" s="1"/>
  <c r="L2816" i="2" s="1"/>
  <c r="K2815" i="2"/>
  <c r="J2815" i="2"/>
  <c r="I2815" i="2" s="1"/>
  <c r="L2815" i="2" s="1"/>
  <c r="H2815" i="2"/>
  <c r="K2814" i="2"/>
  <c r="J2814" i="2"/>
  <c r="H2814" i="2"/>
  <c r="K2813" i="2"/>
  <c r="J2813" i="2"/>
  <c r="H2813" i="2"/>
  <c r="I2813" i="2" s="1"/>
  <c r="L2813" i="2" s="1"/>
  <c r="K2812" i="2"/>
  <c r="J2812" i="2"/>
  <c r="H2812" i="2"/>
  <c r="I2812" i="2" s="1"/>
  <c r="L2812" i="2" s="1"/>
  <c r="K2811" i="2"/>
  <c r="J2811" i="2"/>
  <c r="H2811" i="2"/>
  <c r="I2811" i="2" s="1"/>
  <c r="L2811" i="2" s="1"/>
  <c r="K2810" i="2"/>
  <c r="J2810" i="2"/>
  <c r="H2810" i="2"/>
  <c r="I2810" i="2" s="1"/>
  <c r="L2810" i="2" s="1"/>
  <c r="K2809" i="2"/>
  <c r="J2809" i="2"/>
  <c r="H2809" i="2"/>
  <c r="I2809" i="2" s="1"/>
  <c r="L2809" i="2" s="1"/>
  <c r="K2808" i="2"/>
  <c r="J2808" i="2"/>
  <c r="H2808" i="2"/>
  <c r="I2808" i="2" s="1"/>
  <c r="L2808" i="2" s="1"/>
  <c r="L2807" i="2"/>
  <c r="K2807" i="2"/>
  <c r="J2807" i="2"/>
  <c r="I2807" i="2"/>
  <c r="H2807" i="2"/>
  <c r="K2806" i="2"/>
  <c r="J2806" i="2"/>
  <c r="H2806" i="2"/>
  <c r="I2806" i="2" s="1"/>
  <c r="L2806" i="2" s="1"/>
  <c r="K2805" i="2"/>
  <c r="J2805" i="2"/>
  <c r="I2805" i="2" s="1"/>
  <c r="L2805" i="2" s="1"/>
  <c r="H2805" i="2"/>
  <c r="K2804" i="2"/>
  <c r="J2804" i="2"/>
  <c r="I2804" i="2"/>
  <c r="L2804" i="2" s="1"/>
  <c r="H2804" i="2"/>
  <c r="L2803" i="2"/>
  <c r="K2803" i="2"/>
  <c r="J2803" i="2"/>
  <c r="I2803" i="2"/>
  <c r="H2803" i="2"/>
  <c r="K2802" i="2"/>
  <c r="J2802" i="2"/>
  <c r="H2802" i="2"/>
  <c r="K2801" i="2"/>
  <c r="J2801" i="2"/>
  <c r="I2801" i="2" s="1"/>
  <c r="L2801" i="2" s="1"/>
  <c r="H2801" i="2"/>
  <c r="L2800" i="2"/>
  <c r="K2800" i="2"/>
  <c r="J2800" i="2"/>
  <c r="I2800" i="2"/>
  <c r="H2800" i="2"/>
  <c r="K2799" i="2"/>
  <c r="J2799" i="2"/>
  <c r="H2799" i="2"/>
  <c r="I2799" i="2" s="1"/>
  <c r="L2799" i="2" s="1"/>
  <c r="K2798" i="2"/>
  <c r="J2798" i="2"/>
  <c r="I2798" i="2"/>
  <c r="L2798" i="2" s="1"/>
  <c r="H2798" i="2"/>
  <c r="K2797" i="2"/>
  <c r="J2797" i="2"/>
  <c r="I2797" i="2"/>
  <c r="L2797" i="2" s="1"/>
  <c r="H2797" i="2"/>
  <c r="K2796" i="2"/>
  <c r="J2796" i="2"/>
  <c r="I2796" i="2"/>
  <c r="L2796" i="2" s="1"/>
  <c r="H2796" i="2"/>
  <c r="L2795" i="2"/>
  <c r="K2795" i="2"/>
  <c r="J2795" i="2"/>
  <c r="I2795" i="2"/>
  <c r="H2795" i="2"/>
  <c r="K2794" i="2"/>
  <c r="J2794" i="2"/>
  <c r="H2794" i="2"/>
  <c r="I2794" i="2" s="1"/>
  <c r="L2794" i="2" s="1"/>
  <c r="L2793" i="2"/>
  <c r="K2793" i="2"/>
  <c r="J2793" i="2"/>
  <c r="I2793" i="2" s="1"/>
  <c r="H2793" i="2"/>
  <c r="K2792" i="2"/>
  <c r="J2792" i="2"/>
  <c r="I2792" i="2" s="1"/>
  <c r="L2792" i="2" s="1"/>
  <c r="H2792" i="2"/>
  <c r="K2791" i="2"/>
  <c r="J2791" i="2"/>
  <c r="H2791" i="2"/>
  <c r="I2791" i="2" s="1"/>
  <c r="L2791" i="2" s="1"/>
  <c r="K2790" i="2"/>
  <c r="J2790" i="2"/>
  <c r="H2790" i="2"/>
  <c r="L2789" i="2"/>
  <c r="K2789" i="2"/>
  <c r="J2789" i="2"/>
  <c r="H2789" i="2"/>
  <c r="I2789" i="2" s="1"/>
  <c r="K2788" i="2"/>
  <c r="J2788" i="2"/>
  <c r="H2788" i="2"/>
  <c r="I2788" i="2" s="1"/>
  <c r="L2788" i="2" s="1"/>
  <c r="K2787" i="2"/>
  <c r="J2787" i="2"/>
  <c r="H2787" i="2"/>
  <c r="I2787" i="2" s="1"/>
  <c r="L2787" i="2" s="1"/>
  <c r="K2786" i="2"/>
  <c r="J2786" i="2"/>
  <c r="H2786" i="2"/>
  <c r="I2786" i="2" s="1"/>
  <c r="L2786" i="2" s="1"/>
  <c r="K2785" i="2"/>
  <c r="J2785" i="2"/>
  <c r="H2785" i="2"/>
  <c r="I2785" i="2" s="1"/>
  <c r="L2785" i="2" s="1"/>
  <c r="L2784" i="2"/>
  <c r="K2784" i="2"/>
  <c r="J2784" i="2"/>
  <c r="I2784" i="2" s="1"/>
  <c r="H2784" i="2"/>
  <c r="L2783" i="2"/>
  <c r="K2783" i="2"/>
  <c r="J2783" i="2"/>
  <c r="I2783" i="2"/>
  <c r="H2783" i="2"/>
  <c r="K2782" i="2"/>
  <c r="J2782" i="2"/>
  <c r="H2782" i="2"/>
  <c r="I2782" i="2" s="1"/>
  <c r="L2782" i="2" s="1"/>
  <c r="K2781" i="2"/>
  <c r="J2781" i="2"/>
  <c r="I2781" i="2"/>
  <c r="L2781" i="2" s="1"/>
  <c r="H2781" i="2"/>
  <c r="K2780" i="2"/>
  <c r="J2780" i="2"/>
  <c r="I2780" i="2" s="1"/>
  <c r="L2780" i="2" s="1"/>
  <c r="H2780" i="2"/>
  <c r="L2779" i="2"/>
  <c r="K2779" i="2"/>
  <c r="J2779" i="2"/>
  <c r="H2779" i="2"/>
  <c r="I2779" i="2" s="1"/>
  <c r="K2778" i="2"/>
  <c r="J2778" i="2"/>
  <c r="H2778" i="2"/>
  <c r="I2778" i="2" s="1"/>
  <c r="L2778" i="2" s="1"/>
  <c r="L2777" i="2"/>
  <c r="K2777" i="2"/>
  <c r="J2777" i="2"/>
  <c r="I2777" i="2" s="1"/>
  <c r="H2777" i="2"/>
  <c r="K2776" i="2"/>
  <c r="J2776" i="2"/>
  <c r="H2776" i="2"/>
  <c r="K2775" i="2"/>
  <c r="J2775" i="2"/>
  <c r="I2775" i="2"/>
  <c r="L2775" i="2" s="1"/>
  <c r="H2775" i="2"/>
  <c r="K2774" i="2"/>
  <c r="J2774" i="2"/>
  <c r="I2774" i="2" s="1"/>
  <c r="L2774" i="2" s="1"/>
  <c r="H2774" i="2"/>
  <c r="K2773" i="2"/>
  <c r="J2773" i="2"/>
  <c r="H2773" i="2"/>
  <c r="I2773" i="2" s="1"/>
  <c r="L2773" i="2" s="1"/>
  <c r="K2772" i="2"/>
  <c r="J2772" i="2"/>
  <c r="I2772" i="2"/>
  <c r="L2772" i="2" s="1"/>
  <c r="H2772" i="2"/>
  <c r="L2771" i="2"/>
  <c r="K2771" i="2"/>
  <c r="J2771" i="2"/>
  <c r="I2771" i="2"/>
  <c r="H2771" i="2"/>
  <c r="K2770" i="2"/>
  <c r="J2770" i="2"/>
  <c r="H2770" i="2"/>
  <c r="I2770" i="2" s="1"/>
  <c r="L2770" i="2" s="1"/>
  <c r="K2769" i="2"/>
  <c r="J2769" i="2"/>
  <c r="I2769" i="2"/>
  <c r="L2769" i="2" s="1"/>
  <c r="H2769" i="2"/>
  <c r="K2768" i="2"/>
  <c r="J2768" i="2"/>
  <c r="H2768" i="2"/>
  <c r="I2768" i="2" s="1"/>
  <c r="L2768" i="2" s="1"/>
  <c r="K2767" i="2"/>
  <c r="J2767" i="2"/>
  <c r="H2767" i="2"/>
  <c r="I2767" i="2" s="1"/>
  <c r="L2767" i="2" s="1"/>
  <c r="L2766" i="2"/>
  <c r="K2766" i="2"/>
  <c r="J2766" i="2"/>
  <c r="H2766" i="2"/>
  <c r="I2766" i="2" s="1"/>
  <c r="K2765" i="2"/>
  <c r="J2765" i="2"/>
  <c r="H2765" i="2"/>
  <c r="I2765" i="2" s="1"/>
  <c r="L2765" i="2" s="1"/>
  <c r="L2764" i="2"/>
  <c r="K2764" i="2"/>
  <c r="J2764" i="2"/>
  <c r="H2764" i="2"/>
  <c r="I2764" i="2" s="1"/>
  <c r="K2763" i="2"/>
  <c r="J2763" i="2"/>
  <c r="H2763" i="2"/>
  <c r="I2763" i="2" s="1"/>
  <c r="L2763" i="2" s="1"/>
  <c r="K2762" i="2"/>
  <c r="J2762" i="2"/>
  <c r="H2762" i="2"/>
  <c r="I2762" i="2" s="1"/>
  <c r="L2762" i="2" s="1"/>
  <c r="K2761" i="2"/>
  <c r="J2761" i="2"/>
  <c r="I2761" i="2"/>
  <c r="L2761" i="2" s="1"/>
  <c r="H2761" i="2"/>
  <c r="K2760" i="2"/>
  <c r="J2760" i="2"/>
  <c r="I2760" i="2"/>
  <c r="L2760" i="2" s="1"/>
  <c r="H2760" i="2"/>
  <c r="K2759" i="2"/>
  <c r="J2759" i="2"/>
  <c r="I2759" i="2"/>
  <c r="L2759" i="2" s="1"/>
  <c r="H2759" i="2"/>
  <c r="L2758" i="2"/>
  <c r="K2758" i="2"/>
  <c r="J2758" i="2"/>
  <c r="I2758" i="2"/>
  <c r="H2758" i="2"/>
  <c r="K2757" i="2"/>
  <c r="J2757" i="2"/>
  <c r="I2757" i="2" s="1"/>
  <c r="L2757" i="2" s="1"/>
  <c r="H2757" i="2"/>
  <c r="L2756" i="2"/>
  <c r="K2756" i="2"/>
  <c r="J2756" i="2"/>
  <c r="I2756" i="2" s="1"/>
  <c r="H2756" i="2"/>
  <c r="L2755" i="2"/>
  <c r="K2755" i="2"/>
  <c r="J2755" i="2"/>
  <c r="I2755" i="2"/>
  <c r="H2755" i="2"/>
  <c r="K2754" i="2"/>
  <c r="J2754" i="2"/>
  <c r="H2754" i="2"/>
  <c r="I2754" i="2" s="1"/>
  <c r="L2754" i="2" s="1"/>
  <c r="K2753" i="2"/>
  <c r="J2753" i="2"/>
  <c r="H2753" i="2"/>
  <c r="I2753" i="2" s="1"/>
  <c r="L2753" i="2" s="1"/>
  <c r="K2752" i="2"/>
  <c r="J2752" i="2"/>
  <c r="H2752" i="2"/>
  <c r="I2752" i="2" s="1"/>
  <c r="L2752" i="2" s="1"/>
  <c r="K2751" i="2"/>
  <c r="J2751" i="2"/>
  <c r="I2751" i="2"/>
  <c r="L2751" i="2" s="1"/>
  <c r="H2751" i="2"/>
  <c r="K2750" i="2"/>
  <c r="J2750" i="2"/>
  <c r="I2750" i="2"/>
  <c r="L2750" i="2" s="1"/>
  <c r="H2750" i="2"/>
  <c r="K2749" i="2"/>
  <c r="J2749" i="2"/>
  <c r="H2749" i="2"/>
  <c r="I2749" i="2" s="1"/>
  <c r="L2749" i="2" s="1"/>
  <c r="L2748" i="2"/>
  <c r="K2748" i="2"/>
  <c r="J2748" i="2"/>
  <c r="I2748" i="2" s="1"/>
  <c r="H2748" i="2"/>
  <c r="L2747" i="2"/>
  <c r="K2747" i="2"/>
  <c r="J2747" i="2"/>
  <c r="I2747" i="2"/>
  <c r="H2747" i="2"/>
  <c r="K2746" i="2"/>
  <c r="J2746" i="2"/>
  <c r="I2746" i="2" s="1"/>
  <c r="L2746" i="2" s="1"/>
  <c r="H2746" i="2"/>
  <c r="K2745" i="2"/>
  <c r="J2745" i="2"/>
  <c r="I2745" i="2"/>
  <c r="L2745" i="2" s="1"/>
  <c r="H2745" i="2"/>
  <c r="L2744" i="2"/>
  <c r="K2744" i="2"/>
  <c r="J2744" i="2"/>
  <c r="I2744" i="2"/>
  <c r="H2744" i="2"/>
  <c r="L2743" i="2"/>
  <c r="K2743" i="2"/>
  <c r="J2743" i="2"/>
  <c r="H2743" i="2"/>
  <c r="I2743" i="2" s="1"/>
  <c r="K2742" i="2"/>
  <c r="J2742" i="2"/>
  <c r="H2742" i="2"/>
  <c r="L2741" i="2"/>
  <c r="K2741" i="2"/>
  <c r="J2741" i="2"/>
  <c r="I2741" i="2"/>
  <c r="H2741" i="2"/>
  <c r="K2740" i="2"/>
  <c r="J2740" i="2"/>
  <c r="H2740" i="2"/>
  <c r="K2739" i="2"/>
  <c r="J2739" i="2"/>
  <c r="I2739" i="2"/>
  <c r="L2739" i="2" s="1"/>
  <c r="H2739" i="2"/>
  <c r="L2738" i="2"/>
  <c r="K2738" i="2"/>
  <c r="J2738" i="2"/>
  <c r="I2738" i="2" s="1"/>
  <c r="H2738" i="2"/>
  <c r="K2737" i="2"/>
  <c r="J2737" i="2"/>
  <c r="I2737" i="2"/>
  <c r="L2737" i="2" s="1"/>
  <c r="H2737" i="2"/>
  <c r="K2736" i="2"/>
  <c r="J2736" i="2"/>
  <c r="I2736" i="2"/>
  <c r="L2736" i="2" s="1"/>
  <c r="H2736" i="2"/>
  <c r="L2735" i="2"/>
  <c r="K2735" i="2"/>
  <c r="J2735" i="2"/>
  <c r="I2735" i="2"/>
  <c r="H2735" i="2"/>
  <c r="K2734" i="2"/>
  <c r="J2734" i="2"/>
  <c r="H2734" i="2"/>
  <c r="I2734" i="2" s="1"/>
  <c r="L2734" i="2" s="1"/>
  <c r="L2733" i="2"/>
  <c r="K2733" i="2"/>
  <c r="J2733" i="2"/>
  <c r="I2733" i="2" s="1"/>
  <c r="H2733" i="2"/>
  <c r="K2732" i="2"/>
  <c r="J2732" i="2"/>
  <c r="I2732" i="2"/>
  <c r="L2732" i="2" s="1"/>
  <c r="H2732" i="2"/>
  <c r="K2731" i="2"/>
  <c r="J2731" i="2"/>
  <c r="I2731" i="2"/>
  <c r="L2731" i="2" s="1"/>
  <c r="H2731" i="2"/>
  <c r="L2730" i="2"/>
  <c r="K2730" i="2"/>
  <c r="J2730" i="2"/>
  <c r="I2730" i="2"/>
  <c r="H2730" i="2"/>
  <c r="K2729" i="2"/>
  <c r="J2729" i="2"/>
  <c r="H2729" i="2"/>
  <c r="I2729" i="2" s="1"/>
  <c r="L2729" i="2" s="1"/>
  <c r="K2728" i="2"/>
  <c r="J2728" i="2"/>
  <c r="H2728" i="2"/>
  <c r="K2727" i="2"/>
  <c r="J2727" i="2"/>
  <c r="I2727" i="2"/>
  <c r="L2727" i="2" s="1"/>
  <c r="H2727" i="2"/>
  <c r="K2726" i="2"/>
  <c r="J2726" i="2"/>
  <c r="I2726" i="2"/>
  <c r="L2726" i="2" s="1"/>
  <c r="H2726" i="2"/>
  <c r="K2725" i="2"/>
  <c r="J2725" i="2"/>
  <c r="I2725" i="2"/>
  <c r="L2725" i="2" s="1"/>
  <c r="H2725" i="2"/>
  <c r="K2724" i="2"/>
  <c r="J2724" i="2"/>
  <c r="I2724" i="2" s="1"/>
  <c r="L2724" i="2" s="1"/>
  <c r="H2724" i="2"/>
  <c r="L2723" i="2"/>
  <c r="K2723" i="2"/>
  <c r="J2723" i="2"/>
  <c r="I2723" i="2"/>
  <c r="H2723" i="2"/>
  <c r="K2722" i="2"/>
  <c r="J2722" i="2"/>
  <c r="H2722" i="2"/>
  <c r="I2722" i="2" s="1"/>
  <c r="L2722" i="2" s="1"/>
  <c r="L2721" i="2"/>
  <c r="K2721" i="2"/>
  <c r="J2721" i="2"/>
  <c r="I2721" i="2"/>
  <c r="H2721" i="2"/>
  <c r="L2720" i="2"/>
  <c r="K2720" i="2"/>
  <c r="J2720" i="2"/>
  <c r="H2720" i="2"/>
  <c r="I2720" i="2" s="1"/>
  <c r="K2719" i="2"/>
  <c r="J2719" i="2"/>
  <c r="I2719" i="2" s="1"/>
  <c r="L2719" i="2" s="1"/>
  <c r="H2719" i="2"/>
  <c r="K2718" i="2"/>
  <c r="J2718" i="2"/>
  <c r="H2718" i="2"/>
  <c r="I2718" i="2" s="1"/>
  <c r="L2718" i="2" s="1"/>
  <c r="K2717" i="2"/>
  <c r="J2717" i="2"/>
  <c r="H2717" i="2"/>
  <c r="I2717" i="2" s="1"/>
  <c r="L2717" i="2" s="1"/>
  <c r="K2716" i="2"/>
  <c r="J2716" i="2"/>
  <c r="H2716" i="2"/>
  <c r="I2716" i="2" s="1"/>
  <c r="L2716" i="2" s="1"/>
  <c r="K2715" i="2"/>
  <c r="J2715" i="2"/>
  <c r="I2715" i="2"/>
  <c r="L2715" i="2" s="1"/>
  <c r="H2715" i="2"/>
  <c r="K2714" i="2"/>
  <c r="J2714" i="2"/>
  <c r="H2714" i="2"/>
  <c r="I2714" i="2" s="1"/>
  <c r="L2714" i="2" s="1"/>
  <c r="K2713" i="2"/>
  <c r="J2713" i="2"/>
  <c r="H2713" i="2"/>
  <c r="I2713" i="2" s="1"/>
  <c r="L2713" i="2" s="1"/>
  <c r="L2712" i="2"/>
  <c r="K2712" i="2"/>
  <c r="J2712" i="2"/>
  <c r="H2712" i="2"/>
  <c r="I2712" i="2" s="1"/>
  <c r="K2711" i="2"/>
  <c r="J2711" i="2"/>
  <c r="I2711" i="2"/>
  <c r="L2711" i="2" s="1"/>
  <c r="H2711" i="2"/>
  <c r="L2710" i="2"/>
  <c r="K2710" i="2"/>
  <c r="J2710" i="2"/>
  <c r="I2710" i="2"/>
  <c r="H2710" i="2"/>
  <c r="K2709" i="2"/>
  <c r="J2709" i="2"/>
  <c r="I2709" i="2" s="1"/>
  <c r="L2709" i="2" s="1"/>
  <c r="H2709" i="2"/>
  <c r="K2708" i="2"/>
  <c r="J2708" i="2"/>
  <c r="H2708" i="2"/>
  <c r="I2708" i="2" s="1"/>
  <c r="L2708" i="2" s="1"/>
  <c r="L2707" i="2"/>
  <c r="K2707" i="2"/>
  <c r="J2707" i="2"/>
  <c r="H2707" i="2"/>
  <c r="I2707" i="2" s="1"/>
  <c r="K2706" i="2"/>
  <c r="J2706" i="2"/>
  <c r="H2706" i="2"/>
  <c r="I2706" i="2" s="1"/>
  <c r="L2706" i="2" s="1"/>
  <c r="K2705" i="2"/>
  <c r="J2705" i="2"/>
  <c r="I2705" i="2"/>
  <c r="L2705" i="2" s="1"/>
  <c r="H2705" i="2"/>
  <c r="K2704" i="2"/>
  <c r="J2704" i="2"/>
  <c r="H2704" i="2"/>
  <c r="I2704" i="2" s="1"/>
  <c r="L2704" i="2" s="1"/>
  <c r="K2703" i="2"/>
  <c r="J2703" i="2"/>
  <c r="H2703" i="2"/>
  <c r="K2702" i="2"/>
  <c r="J2702" i="2"/>
  <c r="I2702" i="2" s="1"/>
  <c r="L2702" i="2" s="1"/>
  <c r="H2702" i="2"/>
  <c r="K2701" i="2"/>
  <c r="J2701" i="2"/>
  <c r="I2701" i="2"/>
  <c r="L2701" i="2" s="1"/>
  <c r="H2701" i="2"/>
  <c r="K2700" i="2"/>
  <c r="J2700" i="2"/>
  <c r="I2700" i="2"/>
  <c r="L2700" i="2" s="1"/>
  <c r="H2700" i="2"/>
  <c r="K2699" i="2"/>
  <c r="J2699" i="2"/>
  <c r="I2699" i="2"/>
  <c r="L2699" i="2" s="1"/>
  <c r="H2699" i="2"/>
  <c r="L2698" i="2"/>
  <c r="K2698" i="2"/>
  <c r="J2698" i="2"/>
  <c r="I2698" i="2"/>
  <c r="H2698" i="2"/>
  <c r="K2697" i="2"/>
  <c r="J2697" i="2"/>
  <c r="I2697" i="2" s="1"/>
  <c r="L2697" i="2" s="1"/>
  <c r="H2697" i="2"/>
  <c r="K2696" i="2"/>
  <c r="J2696" i="2"/>
  <c r="I2696" i="2"/>
  <c r="L2696" i="2" s="1"/>
  <c r="H2696" i="2"/>
  <c r="K2695" i="2"/>
  <c r="J2695" i="2"/>
  <c r="I2695" i="2"/>
  <c r="L2695" i="2" s="1"/>
  <c r="H2695" i="2"/>
  <c r="K2694" i="2"/>
  <c r="J2694" i="2"/>
  <c r="H2694" i="2"/>
  <c r="I2694" i="2" s="1"/>
  <c r="L2694" i="2" s="1"/>
  <c r="K2693" i="2"/>
  <c r="J2693" i="2"/>
  <c r="I2693" i="2"/>
  <c r="L2693" i="2" s="1"/>
  <c r="H2693" i="2"/>
  <c r="L2692" i="2"/>
  <c r="K2692" i="2"/>
  <c r="J2692" i="2"/>
  <c r="I2692" i="2"/>
  <c r="H2692" i="2"/>
  <c r="K2691" i="2"/>
  <c r="J2691" i="2"/>
  <c r="I2691" i="2"/>
  <c r="L2691" i="2" s="1"/>
  <c r="H2691" i="2"/>
  <c r="K2690" i="2"/>
  <c r="J2690" i="2"/>
  <c r="I2690" i="2"/>
  <c r="L2690" i="2" s="1"/>
  <c r="H2690" i="2"/>
  <c r="K2689" i="2"/>
  <c r="J2689" i="2"/>
  <c r="H2689" i="2"/>
  <c r="I2689" i="2" s="1"/>
  <c r="L2689" i="2" s="1"/>
  <c r="K2688" i="2"/>
  <c r="J2688" i="2"/>
  <c r="I2688" i="2"/>
  <c r="L2688" i="2" s="1"/>
  <c r="H2688" i="2"/>
  <c r="L2687" i="2"/>
  <c r="K2687" i="2"/>
  <c r="J2687" i="2"/>
  <c r="I2687" i="2"/>
  <c r="H2687" i="2"/>
  <c r="K2686" i="2"/>
  <c r="J2686" i="2"/>
  <c r="H2686" i="2"/>
  <c r="I2686" i="2" s="1"/>
  <c r="L2686" i="2" s="1"/>
  <c r="K2685" i="2"/>
  <c r="J2685" i="2"/>
  <c r="I2685" i="2" s="1"/>
  <c r="L2685" i="2" s="1"/>
  <c r="H2685" i="2"/>
  <c r="L2684" i="2"/>
  <c r="K2684" i="2"/>
  <c r="J2684" i="2"/>
  <c r="I2684" i="2"/>
  <c r="H2684" i="2"/>
  <c r="K2683" i="2"/>
  <c r="J2683" i="2"/>
  <c r="I2683" i="2"/>
  <c r="L2683" i="2" s="1"/>
  <c r="H2683" i="2"/>
  <c r="K2682" i="2"/>
  <c r="J2682" i="2"/>
  <c r="H2682" i="2"/>
  <c r="K2681" i="2"/>
  <c r="J2681" i="2"/>
  <c r="H2681" i="2"/>
  <c r="I2681" i="2" s="1"/>
  <c r="L2681" i="2" s="1"/>
  <c r="L2680" i="2"/>
  <c r="K2680" i="2"/>
  <c r="J2680" i="2"/>
  <c r="H2680" i="2"/>
  <c r="I2680" i="2" s="1"/>
  <c r="K2679" i="2"/>
  <c r="J2679" i="2"/>
  <c r="I2679" i="2" s="1"/>
  <c r="L2679" i="2" s="1"/>
  <c r="H2679" i="2"/>
  <c r="K2678" i="2"/>
  <c r="J2678" i="2"/>
  <c r="I2678" i="2" s="1"/>
  <c r="L2678" i="2" s="1"/>
  <c r="H2678" i="2"/>
  <c r="K2677" i="2"/>
  <c r="J2677" i="2"/>
  <c r="I2677" i="2"/>
  <c r="L2677" i="2" s="1"/>
  <c r="H2677" i="2"/>
  <c r="K2676" i="2"/>
  <c r="J2676" i="2"/>
  <c r="H2676" i="2"/>
  <c r="I2676" i="2" s="1"/>
  <c r="L2676" i="2" s="1"/>
  <c r="L2675" i="2"/>
  <c r="K2675" i="2"/>
  <c r="J2675" i="2"/>
  <c r="I2675" i="2"/>
  <c r="H2675" i="2"/>
  <c r="L2674" i="2"/>
  <c r="K2674" i="2"/>
  <c r="J2674" i="2"/>
  <c r="I2674" i="2" s="1"/>
  <c r="H2674" i="2"/>
  <c r="K2673" i="2"/>
  <c r="J2673" i="2"/>
  <c r="I2673" i="2"/>
  <c r="L2673" i="2" s="1"/>
  <c r="H2673" i="2"/>
  <c r="L2672" i="2"/>
  <c r="K2672" i="2"/>
  <c r="J2672" i="2"/>
  <c r="H2672" i="2"/>
  <c r="I2672" i="2" s="1"/>
  <c r="K2671" i="2"/>
  <c r="J2671" i="2"/>
  <c r="I2671" i="2"/>
  <c r="L2671" i="2" s="1"/>
  <c r="H2671" i="2"/>
  <c r="K2670" i="2"/>
  <c r="J2670" i="2"/>
  <c r="H2670" i="2"/>
  <c r="K2669" i="2"/>
  <c r="J2669" i="2"/>
  <c r="I2669" i="2" s="1"/>
  <c r="L2669" i="2" s="1"/>
  <c r="H2669" i="2"/>
  <c r="K2668" i="2"/>
  <c r="J2668" i="2"/>
  <c r="H2668" i="2"/>
  <c r="I2668" i="2" s="1"/>
  <c r="L2668" i="2" s="1"/>
  <c r="K2667" i="2"/>
  <c r="J2667" i="2"/>
  <c r="I2667" i="2"/>
  <c r="L2667" i="2" s="1"/>
  <c r="H2667" i="2"/>
  <c r="L2666" i="2"/>
  <c r="K2666" i="2"/>
  <c r="J2666" i="2"/>
  <c r="H2666" i="2"/>
  <c r="I2666" i="2" s="1"/>
  <c r="K2665" i="2"/>
  <c r="J2665" i="2"/>
  <c r="H2665" i="2"/>
  <c r="I2665" i="2" s="1"/>
  <c r="L2665" i="2" s="1"/>
  <c r="K2664" i="2"/>
  <c r="J2664" i="2"/>
  <c r="H2664" i="2"/>
  <c r="I2664" i="2" s="1"/>
  <c r="L2664" i="2" s="1"/>
  <c r="L2663" i="2"/>
  <c r="K2663" i="2"/>
  <c r="J2663" i="2"/>
  <c r="I2663" i="2"/>
  <c r="H2663" i="2"/>
  <c r="L2662" i="2"/>
  <c r="K2662" i="2"/>
  <c r="J2662" i="2"/>
  <c r="I2662" i="2" s="1"/>
  <c r="H2662" i="2"/>
  <c r="L2661" i="2"/>
  <c r="K2661" i="2"/>
  <c r="J2661" i="2"/>
  <c r="I2661" i="2" s="1"/>
  <c r="H2661" i="2"/>
  <c r="K2660" i="2"/>
  <c r="J2660" i="2"/>
  <c r="H2660" i="2"/>
  <c r="I2660" i="2" s="1"/>
  <c r="L2660" i="2" s="1"/>
  <c r="L2659" i="2"/>
  <c r="K2659" i="2"/>
  <c r="J2659" i="2"/>
  <c r="I2659" i="2" s="1"/>
  <c r="H2659" i="2"/>
  <c r="K2658" i="2"/>
  <c r="J2658" i="2"/>
  <c r="H2658" i="2"/>
  <c r="I2658" i="2" s="1"/>
  <c r="L2658" i="2" s="1"/>
  <c r="K2657" i="2"/>
  <c r="J2657" i="2"/>
  <c r="H2657" i="2"/>
  <c r="I2657" i="2" s="1"/>
  <c r="L2657" i="2" s="1"/>
  <c r="K2656" i="2"/>
  <c r="J2656" i="2"/>
  <c r="H2656" i="2"/>
  <c r="K2655" i="2"/>
  <c r="J2655" i="2"/>
  <c r="I2655" i="2"/>
  <c r="L2655" i="2" s="1"/>
  <c r="H2655" i="2"/>
  <c r="K2654" i="2"/>
  <c r="J2654" i="2"/>
  <c r="I2654" i="2"/>
  <c r="L2654" i="2" s="1"/>
  <c r="H2654" i="2"/>
  <c r="K2653" i="2"/>
  <c r="J2653" i="2"/>
  <c r="H2653" i="2"/>
  <c r="I2653" i="2" s="1"/>
  <c r="L2653" i="2" s="1"/>
  <c r="L2652" i="2"/>
  <c r="K2652" i="2"/>
  <c r="J2652" i="2"/>
  <c r="H2652" i="2"/>
  <c r="I2652" i="2" s="1"/>
  <c r="K2651" i="2"/>
  <c r="J2651" i="2"/>
  <c r="I2651" i="2"/>
  <c r="L2651" i="2" s="1"/>
  <c r="H2651" i="2"/>
  <c r="K2650" i="2"/>
  <c r="J2650" i="2"/>
  <c r="I2650" i="2"/>
  <c r="L2650" i="2" s="1"/>
  <c r="H2650" i="2"/>
  <c r="K2649" i="2"/>
  <c r="J2649" i="2"/>
  <c r="I2649" i="2"/>
  <c r="L2649" i="2" s="1"/>
  <c r="H2649" i="2"/>
  <c r="K2648" i="2"/>
  <c r="J2648" i="2"/>
  <c r="H2648" i="2"/>
  <c r="I2648" i="2" s="1"/>
  <c r="L2648" i="2" s="1"/>
  <c r="K2647" i="2"/>
  <c r="J2647" i="2"/>
  <c r="H2647" i="2"/>
  <c r="K2646" i="2"/>
  <c r="J2646" i="2"/>
  <c r="H2646" i="2"/>
  <c r="I2646" i="2" s="1"/>
  <c r="L2646" i="2" s="1"/>
  <c r="K2645" i="2"/>
  <c r="J2645" i="2"/>
  <c r="H2645" i="2"/>
  <c r="I2645" i="2" s="1"/>
  <c r="L2645" i="2" s="1"/>
  <c r="K2644" i="2"/>
  <c r="J2644" i="2"/>
  <c r="H2644" i="2"/>
  <c r="I2644" i="2" s="1"/>
  <c r="L2644" i="2" s="1"/>
  <c r="K2643" i="2"/>
  <c r="J2643" i="2"/>
  <c r="I2643" i="2"/>
  <c r="L2643" i="2" s="1"/>
  <c r="H2643" i="2"/>
  <c r="K2642" i="2"/>
  <c r="J2642" i="2"/>
  <c r="I2642" i="2"/>
  <c r="L2642" i="2" s="1"/>
  <c r="H2642" i="2"/>
  <c r="K2641" i="2"/>
  <c r="J2641" i="2"/>
  <c r="I2641" i="2"/>
  <c r="L2641" i="2" s="1"/>
  <c r="H2641" i="2"/>
  <c r="K2640" i="2"/>
  <c r="J2640" i="2"/>
  <c r="H2640" i="2"/>
  <c r="I2640" i="2" s="1"/>
  <c r="L2640" i="2" s="1"/>
  <c r="K2639" i="2"/>
  <c r="J2639" i="2"/>
  <c r="I2639" i="2"/>
  <c r="L2639" i="2" s="1"/>
  <c r="H2639" i="2"/>
  <c r="K2638" i="2"/>
  <c r="J2638" i="2"/>
  <c r="I2638" i="2"/>
  <c r="L2638" i="2" s="1"/>
  <c r="H2638" i="2"/>
  <c r="K2637" i="2"/>
  <c r="J2637" i="2"/>
  <c r="I2637" i="2"/>
  <c r="L2637" i="2" s="1"/>
  <c r="H2637" i="2"/>
  <c r="K2636" i="2"/>
  <c r="J2636" i="2"/>
  <c r="H2636" i="2"/>
  <c r="I2636" i="2" s="1"/>
  <c r="L2636" i="2" s="1"/>
  <c r="K2635" i="2"/>
  <c r="J2635" i="2"/>
  <c r="H2635" i="2"/>
  <c r="I2635" i="2" s="1"/>
  <c r="L2635" i="2" s="1"/>
  <c r="K2634" i="2"/>
  <c r="J2634" i="2"/>
  <c r="H2634" i="2"/>
  <c r="K2633" i="2"/>
  <c r="J2633" i="2"/>
  <c r="I2633" i="2"/>
  <c r="L2633" i="2" s="1"/>
  <c r="H2633" i="2"/>
  <c r="K2632" i="2"/>
  <c r="J2632" i="2"/>
  <c r="H2632" i="2"/>
  <c r="I2632" i="2" s="1"/>
  <c r="L2632" i="2" s="1"/>
  <c r="K2631" i="2"/>
  <c r="J2631" i="2"/>
  <c r="H2631" i="2"/>
  <c r="I2631" i="2" s="1"/>
  <c r="L2631" i="2" s="1"/>
  <c r="K2630" i="2"/>
  <c r="J2630" i="2"/>
  <c r="H2630" i="2"/>
  <c r="I2630" i="2" s="1"/>
  <c r="L2630" i="2" s="1"/>
  <c r="K2629" i="2"/>
  <c r="J2629" i="2"/>
  <c r="H2629" i="2"/>
  <c r="I2629" i="2" s="1"/>
  <c r="L2629" i="2" s="1"/>
  <c r="K2628" i="2"/>
  <c r="J2628" i="2"/>
  <c r="H2628" i="2"/>
  <c r="I2628" i="2" s="1"/>
  <c r="L2628" i="2" s="1"/>
  <c r="K2627" i="2"/>
  <c r="J2627" i="2"/>
  <c r="I2627" i="2"/>
  <c r="L2627" i="2" s="1"/>
  <c r="H2627" i="2"/>
  <c r="K2626" i="2"/>
  <c r="J2626" i="2"/>
  <c r="I2626" i="2"/>
  <c r="L2626" i="2" s="1"/>
  <c r="H2626" i="2"/>
  <c r="L2625" i="2"/>
  <c r="K2625" i="2"/>
  <c r="J2625" i="2"/>
  <c r="I2625" i="2" s="1"/>
  <c r="H2625" i="2"/>
  <c r="K2624" i="2"/>
  <c r="J2624" i="2"/>
  <c r="H2624" i="2"/>
  <c r="I2624" i="2" s="1"/>
  <c r="L2624" i="2" s="1"/>
  <c r="K2623" i="2"/>
  <c r="J2623" i="2"/>
  <c r="I2623" i="2"/>
  <c r="L2623" i="2" s="1"/>
  <c r="H2623" i="2"/>
  <c r="K2622" i="2"/>
  <c r="J2622" i="2"/>
  <c r="H2622" i="2"/>
  <c r="K2621" i="2"/>
  <c r="J2621" i="2"/>
  <c r="I2621" i="2"/>
  <c r="L2621" i="2" s="1"/>
  <c r="H2621" i="2"/>
  <c r="K2620" i="2"/>
  <c r="J2620" i="2"/>
  <c r="H2620" i="2"/>
  <c r="K2619" i="2"/>
  <c r="J2619" i="2"/>
  <c r="H2619" i="2"/>
  <c r="I2619" i="2" s="1"/>
  <c r="L2619" i="2" s="1"/>
  <c r="K2618" i="2"/>
  <c r="J2618" i="2"/>
  <c r="H2618" i="2"/>
  <c r="I2618" i="2" s="1"/>
  <c r="L2618" i="2" s="1"/>
  <c r="K2617" i="2"/>
  <c r="J2617" i="2"/>
  <c r="I2617" i="2"/>
  <c r="L2617" i="2" s="1"/>
  <c r="H2617" i="2"/>
  <c r="L2616" i="2"/>
  <c r="K2616" i="2"/>
  <c r="J2616" i="2"/>
  <c r="H2616" i="2"/>
  <c r="I2616" i="2" s="1"/>
  <c r="L2615" i="2"/>
  <c r="K2615" i="2"/>
  <c r="J2615" i="2"/>
  <c r="I2615" i="2"/>
  <c r="H2615" i="2"/>
  <c r="L2614" i="2"/>
  <c r="K2614" i="2"/>
  <c r="J2614" i="2"/>
  <c r="I2614" i="2" s="1"/>
  <c r="H2614" i="2"/>
  <c r="K2613" i="2"/>
  <c r="J2613" i="2"/>
  <c r="I2613" i="2" s="1"/>
  <c r="L2613" i="2" s="1"/>
  <c r="H2613" i="2"/>
  <c r="K2612" i="2"/>
  <c r="J2612" i="2"/>
  <c r="H2612" i="2"/>
  <c r="I2612" i="2" s="1"/>
  <c r="L2612" i="2" s="1"/>
  <c r="L2611" i="2"/>
  <c r="K2611" i="2"/>
  <c r="J2611" i="2"/>
  <c r="H2611" i="2"/>
  <c r="I2611" i="2" s="1"/>
  <c r="K2610" i="2"/>
  <c r="J2610" i="2"/>
  <c r="H2610" i="2"/>
  <c r="I2610" i="2" s="1"/>
  <c r="L2610" i="2" s="1"/>
  <c r="K2609" i="2"/>
  <c r="J2609" i="2"/>
  <c r="I2609" i="2"/>
  <c r="L2609" i="2" s="1"/>
  <c r="H2609" i="2"/>
  <c r="K2608" i="2"/>
  <c r="J2608" i="2"/>
  <c r="H2608" i="2"/>
  <c r="K2607" i="2"/>
  <c r="J2607" i="2"/>
  <c r="H2607" i="2"/>
  <c r="I2607" i="2" s="1"/>
  <c r="L2607" i="2" s="1"/>
  <c r="K2606" i="2"/>
  <c r="J2606" i="2"/>
  <c r="H2606" i="2"/>
  <c r="I2606" i="2" s="1"/>
  <c r="L2606" i="2" s="1"/>
  <c r="K2605" i="2"/>
  <c r="J2605" i="2"/>
  <c r="I2605" i="2"/>
  <c r="L2605" i="2" s="1"/>
  <c r="H2605" i="2"/>
  <c r="K2604" i="2"/>
  <c r="J2604" i="2"/>
  <c r="H2604" i="2"/>
  <c r="I2604" i="2" s="1"/>
  <c r="L2604" i="2" s="1"/>
  <c r="K2603" i="2"/>
  <c r="J2603" i="2"/>
  <c r="I2603" i="2"/>
  <c r="L2603" i="2" s="1"/>
  <c r="H2603" i="2"/>
  <c r="K2602" i="2"/>
  <c r="J2602" i="2"/>
  <c r="I2602" i="2"/>
  <c r="L2602" i="2" s="1"/>
  <c r="H2602" i="2"/>
  <c r="K2601" i="2"/>
  <c r="J2601" i="2"/>
  <c r="I2601" i="2"/>
  <c r="L2601" i="2" s="1"/>
  <c r="H2601" i="2"/>
  <c r="L2600" i="2"/>
  <c r="K2600" i="2"/>
  <c r="J2600" i="2"/>
  <c r="I2600" i="2"/>
  <c r="H2600" i="2"/>
  <c r="L2599" i="2"/>
  <c r="K2599" i="2"/>
  <c r="J2599" i="2"/>
  <c r="H2599" i="2"/>
  <c r="I2599" i="2" s="1"/>
  <c r="K2598" i="2"/>
  <c r="J2598" i="2"/>
  <c r="H2598" i="2"/>
  <c r="I2598" i="2" s="1"/>
  <c r="L2598" i="2" s="1"/>
  <c r="K2597" i="2"/>
  <c r="J2597" i="2"/>
  <c r="H2597" i="2"/>
  <c r="I2597" i="2" s="1"/>
  <c r="L2597" i="2" s="1"/>
  <c r="L2596" i="2"/>
  <c r="K2596" i="2"/>
  <c r="J2596" i="2"/>
  <c r="H2596" i="2"/>
  <c r="I2596" i="2" s="1"/>
  <c r="K2595" i="2"/>
  <c r="J2595" i="2"/>
  <c r="I2595" i="2"/>
  <c r="L2595" i="2" s="1"/>
  <c r="H2595" i="2"/>
  <c r="K2594" i="2"/>
  <c r="J2594" i="2"/>
  <c r="I2594" i="2"/>
  <c r="L2594" i="2" s="1"/>
  <c r="H2594" i="2"/>
  <c r="K2593" i="2"/>
  <c r="J2593" i="2"/>
  <c r="H2593" i="2"/>
  <c r="I2593" i="2" s="1"/>
  <c r="L2593" i="2" s="1"/>
  <c r="L2592" i="2"/>
  <c r="K2592" i="2"/>
  <c r="J2592" i="2"/>
  <c r="I2592" i="2"/>
  <c r="H2592" i="2"/>
  <c r="K2591" i="2"/>
  <c r="J2591" i="2"/>
  <c r="I2591" i="2"/>
  <c r="L2591" i="2" s="1"/>
  <c r="H2591" i="2"/>
  <c r="K2590" i="2"/>
  <c r="J2590" i="2"/>
  <c r="I2590" i="2"/>
  <c r="L2590" i="2" s="1"/>
  <c r="H2590" i="2"/>
  <c r="K2589" i="2"/>
  <c r="J2589" i="2"/>
  <c r="I2589" i="2"/>
  <c r="L2589" i="2" s="1"/>
  <c r="H2589" i="2"/>
  <c r="K2588" i="2"/>
  <c r="J2588" i="2"/>
  <c r="H2588" i="2"/>
  <c r="I2588" i="2" s="1"/>
  <c r="L2588" i="2" s="1"/>
  <c r="K2587" i="2"/>
  <c r="J2587" i="2"/>
  <c r="H2587" i="2"/>
  <c r="K2586" i="2"/>
  <c r="J2586" i="2"/>
  <c r="H2586" i="2"/>
  <c r="I2586" i="2" s="1"/>
  <c r="L2586" i="2" s="1"/>
  <c r="K2585" i="2"/>
  <c r="J2585" i="2"/>
  <c r="I2585" i="2" s="1"/>
  <c r="L2585" i="2" s="1"/>
  <c r="H2585" i="2"/>
  <c r="L2584" i="2"/>
  <c r="K2584" i="2"/>
  <c r="J2584" i="2"/>
  <c r="H2584" i="2"/>
  <c r="I2584" i="2" s="1"/>
  <c r="K2583" i="2"/>
  <c r="J2583" i="2"/>
  <c r="H2583" i="2"/>
  <c r="I2583" i="2" s="1"/>
  <c r="L2583" i="2" s="1"/>
  <c r="K2582" i="2"/>
  <c r="J2582" i="2"/>
  <c r="H2582" i="2"/>
  <c r="I2582" i="2" s="1"/>
  <c r="L2582" i="2" s="1"/>
  <c r="K2581" i="2"/>
  <c r="J2581" i="2"/>
  <c r="H2581" i="2"/>
  <c r="I2581" i="2" s="1"/>
  <c r="L2581" i="2" s="1"/>
  <c r="K2580" i="2"/>
  <c r="J2580" i="2"/>
  <c r="H2580" i="2"/>
  <c r="I2580" i="2" s="1"/>
  <c r="L2580" i="2" s="1"/>
  <c r="L2579" i="2"/>
  <c r="K2579" i="2"/>
  <c r="J2579" i="2"/>
  <c r="I2579" i="2"/>
  <c r="H2579" i="2"/>
  <c r="K2578" i="2"/>
  <c r="J2578" i="2"/>
  <c r="H2578" i="2"/>
  <c r="I2578" i="2" s="1"/>
  <c r="L2578" i="2" s="1"/>
  <c r="K2577" i="2"/>
  <c r="J2577" i="2"/>
  <c r="I2577" i="2" s="1"/>
  <c r="L2577" i="2" s="1"/>
  <c r="H2577" i="2"/>
  <c r="K2576" i="2"/>
  <c r="J2576" i="2"/>
  <c r="I2576" i="2" s="1"/>
  <c r="L2576" i="2" s="1"/>
  <c r="H2576" i="2"/>
  <c r="K2575" i="2"/>
  <c r="J2575" i="2"/>
  <c r="H2575" i="2"/>
  <c r="I2575" i="2" s="1"/>
  <c r="L2575" i="2" s="1"/>
  <c r="K2574" i="2"/>
  <c r="J2574" i="2"/>
  <c r="H2574" i="2"/>
  <c r="I2574" i="2" s="1"/>
  <c r="L2574" i="2" s="1"/>
  <c r="L2573" i="2"/>
  <c r="K2573" i="2"/>
  <c r="J2573" i="2"/>
  <c r="H2573" i="2"/>
  <c r="I2573" i="2" s="1"/>
  <c r="K2572" i="2"/>
  <c r="J2572" i="2"/>
  <c r="H2572" i="2"/>
  <c r="K2571" i="2"/>
  <c r="J2571" i="2"/>
  <c r="H2571" i="2"/>
  <c r="I2571" i="2" s="1"/>
  <c r="L2571" i="2" s="1"/>
  <c r="L2570" i="2"/>
  <c r="K2570" i="2"/>
  <c r="J2570" i="2"/>
  <c r="H2570" i="2"/>
  <c r="I2570" i="2" s="1"/>
  <c r="K2569" i="2"/>
  <c r="J2569" i="2"/>
  <c r="H2569" i="2"/>
  <c r="I2569" i="2" s="1"/>
  <c r="L2569" i="2" s="1"/>
  <c r="K2568" i="2"/>
  <c r="J2568" i="2"/>
  <c r="I2568" i="2"/>
  <c r="L2568" i="2" s="1"/>
  <c r="H2568" i="2"/>
  <c r="L2567" i="2"/>
  <c r="K2567" i="2"/>
  <c r="J2567" i="2"/>
  <c r="I2567" i="2"/>
  <c r="H2567" i="2"/>
  <c r="K2566" i="2"/>
  <c r="J2566" i="2"/>
  <c r="I2566" i="2"/>
  <c r="L2566" i="2" s="1"/>
  <c r="H2566" i="2"/>
  <c r="K2565" i="2"/>
  <c r="J2565" i="2"/>
  <c r="I2565" i="2"/>
  <c r="L2565" i="2" s="1"/>
  <c r="H2565" i="2"/>
  <c r="K2564" i="2"/>
  <c r="J2564" i="2"/>
  <c r="I2564" i="2"/>
  <c r="L2564" i="2" s="1"/>
  <c r="H2564" i="2"/>
  <c r="L2563" i="2"/>
  <c r="K2563" i="2"/>
  <c r="J2563" i="2"/>
  <c r="H2563" i="2"/>
  <c r="I2563" i="2" s="1"/>
  <c r="L2562" i="2"/>
  <c r="K2562" i="2"/>
  <c r="J2562" i="2"/>
  <c r="H2562" i="2"/>
  <c r="I2562" i="2" s="1"/>
  <c r="K2561" i="2"/>
  <c r="J2561" i="2"/>
  <c r="H2561" i="2"/>
  <c r="I2561" i="2" s="1"/>
  <c r="L2561" i="2" s="1"/>
  <c r="L2560" i="2"/>
  <c r="K2560" i="2"/>
  <c r="J2560" i="2"/>
  <c r="H2560" i="2"/>
  <c r="I2560" i="2" s="1"/>
  <c r="K2559" i="2"/>
  <c r="J2559" i="2"/>
  <c r="I2559" i="2" s="1"/>
  <c r="L2559" i="2" s="1"/>
  <c r="H2559" i="2"/>
  <c r="K2558" i="2"/>
  <c r="J2558" i="2"/>
  <c r="H2558" i="2"/>
  <c r="I2558" i="2" s="1"/>
  <c r="L2558" i="2" s="1"/>
  <c r="K2557" i="2"/>
  <c r="J2557" i="2"/>
  <c r="H2557" i="2"/>
  <c r="I2557" i="2" s="1"/>
  <c r="L2557" i="2" s="1"/>
  <c r="K2556" i="2"/>
  <c r="J2556" i="2"/>
  <c r="I2556" i="2"/>
  <c r="L2556" i="2" s="1"/>
  <c r="H2556" i="2"/>
  <c r="K2555" i="2"/>
  <c r="J2555" i="2"/>
  <c r="I2555" i="2"/>
  <c r="L2555" i="2" s="1"/>
  <c r="H2555" i="2"/>
  <c r="L2554" i="2"/>
  <c r="K2554" i="2"/>
  <c r="J2554" i="2"/>
  <c r="I2554" i="2" s="1"/>
  <c r="H2554" i="2"/>
  <c r="K2553" i="2"/>
  <c r="J2553" i="2"/>
  <c r="I2553" i="2"/>
  <c r="L2553" i="2" s="1"/>
  <c r="H2553" i="2"/>
  <c r="K2552" i="2"/>
  <c r="J2552" i="2"/>
  <c r="I2552" i="2"/>
  <c r="L2552" i="2" s="1"/>
  <c r="H2552" i="2"/>
  <c r="K2551" i="2"/>
  <c r="J2551" i="2"/>
  <c r="H2551" i="2"/>
  <c r="I2551" i="2" s="1"/>
  <c r="L2551" i="2" s="1"/>
  <c r="K2550" i="2"/>
  <c r="J2550" i="2"/>
  <c r="H2550" i="2"/>
  <c r="K2549" i="2"/>
  <c r="J2549" i="2"/>
  <c r="I2549" i="2" s="1"/>
  <c r="L2549" i="2" s="1"/>
  <c r="H2549" i="2"/>
  <c r="K2548" i="2"/>
  <c r="J2548" i="2"/>
  <c r="H2548" i="2"/>
  <c r="I2548" i="2" s="1"/>
  <c r="L2548" i="2" s="1"/>
  <c r="K2547" i="2"/>
  <c r="J2547" i="2"/>
  <c r="I2547" i="2"/>
  <c r="L2547" i="2" s="1"/>
  <c r="H2547" i="2"/>
  <c r="L2546" i="2"/>
  <c r="K2546" i="2"/>
  <c r="J2546" i="2"/>
  <c r="I2546" i="2"/>
  <c r="H2546" i="2"/>
  <c r="K2545" i="2"/>
  <c r="J2545" i="2"/>
  <c r="I2545" i="2"/>
  <c r="L2545" i="2" s="1"/>
  <c r="H2545" i="2"/>
  <c r="K2544" i="2"/>
  <c r="J2544" i="2"/>
  <c r="H2544" i="2"/>
  <c r="I2544" i="2" s="1"/>
  <c r="L2544" i="2" s="1"/>
  <c r="L2543" i="2"/>
  <c r="K2543" i="2"/>
  <c r="J2543" i="2"/>
  <c r="I2543" i="2"/>
  <c r="H2543" i="2"/>
  <c r="K2542" i="2"/>
  <c r="J2542" i="2"/>
  <c r="H2542" i="2"/>
  <c r="I2542" i="2" s="1"/>
  <c r="L2542" i="2" s="1"/>
  <c r="L2541" i="2"/>
  <c r="K2541" i="2"/>
  <c r="J2541" i="2"/>
  <c r="I2541" i="2" s="1"/>
  <c r="H2541" i="2"/>
  <c r="K2540" i="2"/>
  <c r="J2540" i="2"/>
  <c r="I2540" i="2"/>
  <c r="L2540" i="2" s="1"/>
  <c r="H2540" i="2"/>
  <c r="K2539" i="2"/>
  <c r="J2539" i="2"/>
  <c r="I2539" i="2"/>
  <c r="L2539" i="2" s="1"/>
  <c r="H2539" i="2"/>
  <c r="K2538" i="2"/>
  <c r="J2538" i="2"/>
  <c r="H2538" i="2"/>
  <c r="I2538" i="2" s="1"/>
  <c r="L2538" i="2" s="1"/>
  <c r="K2537" i="2"/>
  <c r="J2537" i="2"/>
  <c r="I2537" i="2"/>
  <c r="L2537" i="2" s="1"/>
  <c r="H2537" i="2"/>
  <c r="K2536" i="2"/>
  <c r="J2536" i="2"/>
  <c r="H2536" i="2"/>
  <c r="K2535" i="2"/>
  <c r="J2535" i="2"/>
  <c r="H2535" i="2"/>
  <c r="I2535" i="2" s="1"/>
  <c r="L2535" i="2" s="1"/>
  <c r="L2534" i="2"/>
  <c r="K2534" i="2"/>
  <c r="J2534" i="2"/>
  <c r="I2534" i="2"/>
  <c r="H2534" i="2"/>
  <c r="K2533" i="2"/>
  <c r="J2533" i="2"/>
  <c r="H2533" i="2"/>
  <c r="I2533" i="2" s="1"/>
  <c r="L2533" i="2" s="1"/>
  <c r="K2532" i="2"/>
  <c r="J2532" i="2"/>
  <c r="H2532" i="2"/>
  <c r="I2532" i="2" s="1"/>
  <c r="L2532" i="2" s="1"/>
  <c r="L2531" i="2"/>
  <c r="K2531" i="2"/>
  <c r="J2531" i="2"/>
  <c r="I2531" i="2"/>
  <c r="H2531" i="2"/>
  <c r="K2530" i="2"/>
  <c r="J2530" i="2"/>
  <c r="I2530" i="2"/>
  <c r="L2530" i="2" s="1"/>
  <c r="H2530" i="2"/>
  <c r="K2529" i="2"/>
  <c r="J2529" i="2"/>
  <c r="I2529" i="2"/>
  <c r="L2529" i="2" s="1"/>
  <c r="H2529" i="2"/>
  <c r="L2528" i="2"/>
  <c r="K2528" i="2"/>
  <c r="J2528" i="2"/>
  <c r="I2528" i="2"/>
  <c r="H2528" i="2"/>
  <c r="K2527" i="2"/>
  <c r="J2527" i="2"/>
  <c r="H2527" i="2"/>
  <c r="I2527" i="2" s="1"/>
  <c r="L2527" i="2" s="1"/>
  <c r="K2526" i="2"/>
  <c r="J2526" i="2"/>
  <c r="H2526" i="2"/>
  <c r="I2526" i="2" s="1"/>
  <c r="L2526" i="2" s="1"/>
  <c r="K2525" i="2"/>
  <c r="J2525" i="2"/>
  <c r="H2525" i="2"/>
  <c r="I2525" i="2" s="1"/>
  <c r="L2525" i="2" s="1"/>
  <c r="L2524" i="2"/>
  <c r="K2524" i="2"/>
  <c r="J2524" i="2"/>
  <c r="H2524" i="2"/>
  <c r="I2524" i="2" s="1"/>
  <c r="K2523" i="2"/>
  <c r="J2523" i="2"/>
  <c r="I2523" i="2"/>
  <c r="L2523" i="2" s="1"/>
  <c r="H2523" i="2"/>
  <c r="L2522" i="2"/>
  <c r="K2522" i="2"/>
  <c r="J2522" i="2"/>
  <c r="I2522" i="2"/>
  <c r="H2522" i="2"/>
  <c r="K2521" i="2"/>
  <c r="J2521" i="2"/>
  <c r="H2521" i="2"/>
  <c r="I2521" i="2" s="1"/>
  <c r="L2521" i="2" s="1"/>
  <c r="K2520" i="2"/>
  <c r="J2520" i="2"/>
  <c r="I2520" i="2"/>
  <c r="L2520" i="2" s="1"/>
  <c r="H2520" i="2"/>
  <c r="L2519" i="2"/>
  <c r="K2519" i="2"/>
  <c r="J2519" i="2"/>
  <c r="I2519" i="2"/>
  <c r="H2519" i="2"/>
  <c r="K2518" i="2"/>
  <c r="J2518" i="2"/>
  <c r="I2518" i="2" s="1"/>
  <c r="L2518" i="2" s="1"/>
  <c r="H2518" i="2"/>
  <c r="K2517" i="2"/>
  <c r="J2517" i="2"/>
  <c r="I2517" i="2"/>
  <c r="L2517" i="2" s="1"/>
  <c r="H2517" i="2"/>
  <c r="K2516" i="2"/>
  <c r="J2516" i="2"/>
  <c r="I2516" i="2"/>
  <c r="L2516" i="2" s="1"/>
  <c r="H2516" i="2"/>
  <c r="K2515" i="2"/>
  <c r="J2515" i="2"/>
  <c r="H2515" i="2"/>
  <c r="I2515" i="2" s="1"/>
  <c r="L2515" i="2" s="1"/>
  <c r="K2514" i="2"/>
  <c r="J2514" i="2"/>
  <c r="H2514" i="2"/>
  <c r="K2513" i="2"/>
  <c r="J2513" i="2"/>
  <c r="I2513" i="2"/>
  <c r="L2513" i="2" s="1"/>
  <c r="H2513" i="2"/>
  <c r="K2512" i="2"/>
  <c r="J2512" i="2"/>
  <c r="H2512" i="2"/>
  <c r="I2512" i="2" s="1"/>
  <c r="L2512" i="2" s="1"/>
  <c r="K2511" i="2"/>
  <c r="J2511" i="2"/>
  <c r="I2511" i="2" s="1"/>
  <c r="L2511" i="2" s="1"/>
  <c r="H2511" i="2"/>
  <c r="K2510" i="2"/>
  <c r="J2510" i="2"/>
  <c r="H2510" i="2"/>
  <c r="I2510" i="2" s="1"/>
  <c r="L2510" i="2" s="1"/>
  <c r="K2509" i="2"/>
  <c r="J2509" i="2"/>
  <c r="I2509" i="2"/>
  <c r="L2509" i="2" s="1"/>
  <c r="H2509" i="2"/>
  <c r="K2508" i="2"/>
  <c r="J2508" i="2"/>
  <c r="H2508" i="2"/>
  <c r="I2508" i="2" s="1"/>
  <c r="L2508" i="2" s="1"/>
  <c r="L2507" i="2"/>
  <c r="K2507" i="2"/>
  <c r="J2507" i="2"/>
  <c r="I2507" i="2"/>
  <c r="H2507" i="2"/>
  <c r="K2506" i="2"/>
  <c r="J2506" i="2"/>
  <c r="I2506" i="2"/>
  <c r="L2506" i="2" s="1"/>
  <c r="H2506" i="2"/>
  <c r="K2505" i="2"/>
  <c r="J2505" i="2"/>
  <c r="I2505" i="2" s="1"/>
  <c r="L2505" i="2" s="1"/>
  <c r="H2505" i="2"/>
  <c r="K2504" i="2"/>
  <c r="J2504" i="2"/>
  <c r="H2504" i="2"/>
  <c r="I2504" i="2" s="1"/>
  <c r="L2504" i="2" s="1"/>
  <c r="L2503" i="2"/>
  <c r="K2503" i="2"/>
  <c r="J2503" i="2"/>
  <c r="I2503" i="2" s="1"/>
  <c r="H2503" i="2"/>
  <c r="K2502" i="2"/>
  <c r="J2502" i="2"/>
  <c r="H2502" i="2"/>
  <c r="I2502" i="2" s="1"/>
  <c r="L2502" i="2" s="1"/>
  <c r="K2501" i="2"/>
  <c r="J2501" i="2"/>
  <c r="H2501" i="2"/>
  <c r="I2501" i="2" s="1"/>
  <c r="L2501" i="2" s="1"/>
  <c r="K2500" i="2"/>
  <c r="J2500" i="2"/>
  <c r="H2500" i="2"/>
  <c r="K2499" i="2"/>
  <c r="J2499" i="2"/>
  <c r="H2499" i="2"/>
  <c r="I2499" i="2" s="1"/>
  <c r="L2499" i="2" s="1"/>
  <c r="K2498" i="2"/>
  <c r="J2498" i="2"/>
  <c r="I2498" i="2"/>
  <c r="L2498" i="2" s="1"/>
  <c r="H2498" i="2"/>
  <c r="K2497" i="2"/>
  <c r="J2497" i="2"/>
  <c r="H2497" i="2"/>
  <c r="I2497" i="2" s="1"/>
  <c r="L2497" i="2" s="1"/>
  <c r="K2496" i="2"/>
  <c r="J2496" i="2"/>
  <c r="H2496" i="2"/>
  <c r="I2496" i="2" s="1"/>
  <c r="L2496" i="2" s="1"/>
  <c r="K2495" i="2"/>
  <c r="J2495" i="2"/>
  <c r="I2495" i="2"/>
  <c r="L2495" i="2" s="1"/>
  <c r="H2495" i="2"/>
  <c r="K2494" i="2"/>
  <c r="J2494" i="2"/>
  <c r="H2494" i="2"/>
  <c r="I2494" i="2" s="1"/>
  <c r="L2494" i="2" s="1"/>
  <c r="K2493" i="2"/>
  <c r="J2493" i="2"/>
  <c r="I2493" i="2"/>
  <c r="L2493" i="2" s="1"/>
  <c r="H2493" i="2"/>
  <c r="L2492" i="2"/>
  <c r="K2492" i="2"/>
  <c r="J2492" i="2"/>
  <c r="I2492" i="2"/>
  <c r="H2492" i="2"/>
  <c r="K2491" i="2"/>
  <c r="J2491" i="2"/>
  <c r="H2491" i="2"/>
  <c r="I2491" i="2" s="1"/>
  <c r="L2491" i="2" s="1"/>
  <c r="K2490" i="2"/>
  <c r="J2490" i="2"/>
  <c r="H2490" i="2"/>
  <c r="I2490" i="2" s="1"/>
  <c r="L2490" i="2" s="1"/>
  <c r="K2489" i="2"/>
  <c r="J2489" i="2"/>
  <c r="I2489" i="2"/>
  <c r="L2489" i="2" s="1"/>
  <c r="H2489" i="2"/>
  <c r="K2488" i="2"/>
  <c r="J2488" i="2"/>
  <c r="H2488" i="2"/>
  <c r="I2488" i="2" s="1"/>
  <c r="L2488" i="2" s="1"/>
  <c r="K2487" i="2"/>
  <c r="J2487" i="2"/>
  <c r="I2487" i="2"/>
  <c r="L2487" i="2" s="1"/>
  <c r="H2487" i="2"/>
  <c r="L2486" i="2"/>
  <c r="K2486" i="2"/>
  <c r="J2486" i="2"/>
  <c r="H2486" i="2"/>
  <c r="I2486" i="2" s="1"/>
  <c r="K2485" i="2"/>
  <c r="J2485" i="2"/>
  <c r="H2485" i="2"/>
  <c r="I2485" i="2" s="1"/>
  <c r="L2485" i="2" s="1"/>
  <c r="K2484" i="2"/>
  <c r="J2484" i="2"/>
  <c r="I2484" i="2"/>
  <c r="L2484" i="2" s="1"/>
  <c r="H2484" i="2"/>
  <c r="K2483" i="2"/>
  <c r="J2483" i="2"/>
  <c r="I2483" i="2"/>
  <c r="L2483" i="2" s="1"/>
  <c r="H2483" i="2"/>
  <c r="K2482" i="2"/>
  <c r="J2482" i="2"/>
  <c r="I2482" i="2"/>
  <c r="L2482" i="2" s="1"/>
  <c r="H2482" i="2"/>
  <c r="K2481" i="2"/>
  <c r="J2481" i="2"/>
  <c r="I2481" i="2" s="1"/>
  <c r="L2481" i="2" s="1"/>
  <c r="H2481" i="2"/>
  <c r="K2480" i="2"/>
  <c r="J2480" i="2"/>
  <c r="H2480" i="2"/>
  <c r="K2479" i="2"/>
  <c r="J2479" i="2"/>
  <c r="H2479" i="2"/>
  <c r="I2479" i="2" s="1"/>
  <c r="L2479" i="2" s="1"/>
  <c r="K2478" i="2"/>
  <c r="J2478" i="2"/>
  <c r="H2478" i="2"/>
  <c r="I2478" i="2" s="1"/>
  <c r="L2478" i="2" s="1"/>
  <c r="K2477" i="2"/>
  <c r="J2477" i="2"/>
  <c r="I2477" i="2" s="1"/>
  <c r="L2477" i="2" s="1"/>
  <c r="H2477" i="2"/>
  <c r="L2476" i="2"/>
  <c r="K2476" i="2"/>
  <c r="J2476" i="2"/>
  <c r="I2476" i="2"/>
  <c r="H2476" i="2"/>
  <c r="K2475" i="2"/>
  <c r="J2475" i="2"/>
  <c r="I2475" i="2"/>
  <c r="L2475" i="2" s="1"/>
  <c r="H2475" i="2"/>
  <c r="K2474" i="2"/>
  <c r="J2474" i="2"/>
  <c r="I2474" i="2"/>
  <c r="L2474" i="2" s="1"/>
  <c r="H2474" i="2"/>
  <c r="K2473" i="2"/>
  <c r="J2473" i="2"/>
  <c r="H2473" i="2"/>
  <c r="I2473" i="2" s="1"/>
  <c r="L2473" i="2" s="1"/>
  <c r="K2472" i="2"/>
  <c r="J2472" i="2"/>
  <c r="H2472" i="2"/>
  <c r="I2472" i="2" s="1"/>
  <c r="L2472" i="2" s="1"/>
  <c r="K2471" i="2"/>
  <c r="J2471" i="2"/>
  <c r="I2471" i="2"/>
  <c r="L2471" i="2" s="1"/>
  <c r="H2471" i="2"/>
  <c r="K2470" i="2"/>
  <c r="J2470" i="2"/>
  <c r="H2470" i="2"/>
  <c r="I2470" i="2" s="1"/>
  <c r="L2470" i="2" s="1"/>
  <c r="K2469" i="2"/>
  <c r="J2469" i="2"/>
  <c r="I2469" i="2" s="1"/>
  <c r="L2469" i="2" s="1"/>
  <c r="H2469" i="2"/>
  <c r="K2468" i="2"/>
  <c r="J2468" i="2"/>
  <c r="H2468" i="2"/>
  <c r="I2468" i="2" s="1"/>
  <c r="L2468" i="2" s="1"/>
  <c r="K2467" i="2"/>
  <c r="J2467" i="2"/>
  <c r="I2467" i="2"/>
  <c r="L2467" i="2" s="1"/>
  <c r="H2467" i="2"/>
  <c r="K2466" i="2"/>
  <c r="J2466" i="2"/>
  <c r="H2466" i="2"/>
  <c r="K2465" i="2"/>
  <c r="J2465" i="2"/>
  <c r="I2465" i="2"/>
  <c r="L2465" i="2" s="1"/>
  <c r="H2465" i="2"/>
  <c r="K2464" i="2"/>
  <c r="J2464" i="2"/>
  <c r="H2464" i="2"/>
  <c r="K2463" i="2"/>
  <c r="J2463" i="2"/>
  <c r="I2463" i="2" s="1"/>
  <c r="L2463" i="2" s="1"/>
  <c r="H2463" i="2"/>
  <c r="K2462" i="2"/>
  <c r="J2462" i="2"/>
  <c r="H2462" i="2"/>
  <c r="I2462" i="2" s="1"/>
  <c r="L2462" i="2" s="1"/>
  <c r="K2461" i="2"/>
  <c r="J2461" i="2"/>
  <c r="I2461" i="2"/>
  <c r="L2461" i="2" s="1"/>
  <c r="H2461" i="2"/>
  <c r="K2460" i="2"/>
  <c r="J2460" i="2"/>
  <c r="H2460" i="2"/>
  <c r="I2460" i="2" s="1"/>
  <c r="L2460" i="2" s="1"/>
  <c r="K2459" i="2"/>
  <c r="J2459" i="2"/>
  <c r="I2459" i="2"/>
  <c r="L2459" i="2" s="1"/>
  <c r="H2459" i="2"/>
  <c r="L2458" i="2"/>
  <c r="K2458" i="2"/>
  <c r="J2458" i="2"/>
  <c r="I2458" i="2"/>
  <c r="H2458" i="2"/>
  <c r="K2457" i="2"/>
  <c r="J2457" i="2"/>
  <c r="I2457" i="2"/>
  <c r="L2457" i="2" s="1"/>
  <c r="H2457" i="2"/>
  <c r="K2456" i="2"/>
  <c r="J2456" i="2"/>
  <c r="H2456" i="2"/>
  <c r="K2455" i="2"/>
  <c r="J2455" i="2"/>
  <c r="H2455" i="2"/>
  <c r="I2455" i="2" s="1"/>
  <c r="L2455" i="2" s="1"/>
  <c r="K2454" i="2"/>
  <c r="J2454" i="2"/>
  <c r="H2454" i="2"/>
  <c r="K2453" i="2"/>
  <c r="J2453" i="2"/>
  <c r="I2453" i="2"/>
  <c r="L2453" i="2" s="1"/>
  <c r="H2453" i="2"/>
  <c r="K2452" i="2"/>
  <c r="J2452" i="2"/>
  <c r="H2452" i="2"/>
  <c r="I2452" i="2" s="1"/>
  <c r="L2452" i="2" s="1"/>
  <c r="K2451" i="2"/>
  <c r="J2451" i="2"/>
  <c r="I2451" i="2"/>
  <c r="L2451" i="2" s="1"/>
  <c r="H2451" i="2"/>
  <c r="K2450" i="2"/>
  <c r="J2450" i="2"/>
  <c r="I2450" i="2"/>
  <c r="L2450" i="2" s="1"/>
  <c r="H2450" i="2"/>
  <c r="K2449" i="2"/>
  <c r="J2449" i="2"/>
  <c r="H2449" i="2"/>
  <c r="I2449" i="2" s="1"/>
  <c r="L2449" i="2" s="1"/>
  <c r="K2448" i="2"/>
  <c r="J2448" i="2"/>
  <c r="H2448" i="2"/>
  <c r="I2448" i="2" s="1"/>
  <c r="L2448" i="2" s="1"/>
  <c r="L2447" i="2"/>
  <c r="K2447" i="2"/>
  <c r="J2447" i="2"/>
  <c r="I2447" i="2"/>
  <c r="H2447" i="2"/>
  <c r="K2446" i="2"/>
  <c r="J2446" i="2"/>
  <c r="I2446" i="2"/>
  <c r="L2446" i="2" s="1"/>
  <c r="H2446" i="2"/>
  <c r="K2445" i="2"/>
  <c r="J2445" i="2"/>
  <c r="I2445" i="2"/>
  <c r="L2445" i="2" s="1"/>
  <c r="H2445" i="2"/>
  <c r="K2444" i="2"/>
  <c r="J2444" i="2"/>
  <c r="H2444" i="2"/>
  <c r="I2444" i="2" s="1"/>
  <c r="L2444" i="2" s="1"/>
  <c r="L2443" i="2"/>
  <c r="K2443" i="2"/>
  <c r="J2443" i="2"/>
  <c r="H2443" i="2"/>
  <c r="I2443" i="2" s="1"/>
  <c r="K2442" i="2"/>
  <c r="J2442" i="2"/>
  <c r="I2442" i="2" s="1"/>
  <c r="L2442" i="2" s="1"/>
  <c r="H2442" i="2"/>
  <c r="K2441" i="2"/>
  <c r="J2441" i="2"/>
  <c r="I2441" i="2"/>
  <c r="L2441" i="2" s="1"/>
  <c r="H2441" i="2"/>
  <c r="K2440" i="2"/>
  <c r="J2440" i="2"/>
  <c r="H2440" i="2"/>
  <c r="I2440" i="2" s="1"/>
  <c r="L2440" i="2" s="1"/>
  <c r="K2439" i="2"/>
  <c r="J2439" i="2"/>
  <c r="H2439" i="2"/>
  <c r="I2439" i="2" s="1"/>
  <c r="L2439" i="2" s="1"/>
  <c r="K2438" i="2"/>
  <c r="J2438" i="2"/>
  <c r="H2438" i="2"/>
  <c r="K2437" i="2"/>
  <c r="J2437" i="2"/>
  <c r="H2437" i="2"/>
  <c r="I2437" i="2" s="1"/>
  <c r="L2437" i="2" s="1"/>
  <c r="K2436" i="2"/>
  <c r="J2436" i="2"/>
  <c r="H2436" i="2"/>
  <c r="I2436" i="2" s="1"/>
  <c r="L2436" i="2" s="1"/>
  <c r="K2435" i="2"/>
  <c r="J2435" i="2"/>
  <c r="I2435" i="2"/>
  <c r="L2435" i="2" s="1"/>
  <c r="H2435" i="2"/>
  <c r="K2434" i="2"/>
  <c r="J2434" i="2"/>
  <c r="H2434" i="2"/>
  <c r="I2434" i="2" s="1"/>
  <c r="L2434" i="2" s="1"/>
  <c r="K2433" i="2"/>
  <c r="J2433" i="2"/>
  <c r="H2433" i="2"/>
  <c r="I2433" i="2" s="1"/>
  <c r="L2433" i="2" s="1"/>
  <c r="L2432" i="2"/>
  <c r="K2432" i="2"/>
  <c r="J2432" i="2"/>
  <c r="I2432" i="2"/>
  <c r="H2432" i="2"/>
  <c r="K2431" i="2"/>
  <c r="J2431" i="2"/>
  <c r="H2431" i="2"/>
  <c r="I2431" i="2" s="1"/>
  <c r="L2431" i="2" s="1"/>
  <c r="K2430" i="2"/>
  <c r="J2430" i="2"/>
  <c r="I2430" i="2"/>
  <c r="L2430" i="2" s="1"/>
  <c r="H2430" i="2"/>
  <c r="K2429" i="2"/>
  <c r="J2429" i="2"/>
  <c r="I2429" i="2"/>
  <c r="L2429" i="2" s="1"/>
  <c r="H2429" i="2"/>
  <c r="K2428" i="2"/>
  <c r="J2428" i="2"/>
  <c r="H2428" i="2"/>
  <c r="I2428" i="2" s="1"/>
  <c r="L2428" i="2" s="1"/>
  <c r="L2427" i="2"/>
  <c r="K2427" i="2"/>
  <c r="J2427" i="2"/>
  <c r="I2427" i="2"/>
  <c r="H2427" i="2"/>
  <c r="K2426" i="2"/>
  <c r="J2426" i="2"/>
  <c r="H2426" i="2"/>
  <c r="I2426" i="2" s="1"/>
  <c r="L2426" i="2" s="1"/>
  <c r="K2425" i="2"/>
  <c r="J2425" i="2"/>
  <c r="I2425" i="2" s="1"/>
  <c r="L2425" i="2" s="1"/>
  <c r="H2425" i="2"/>
  <c r="K2424" i="2"/>
  <c r="J2424" i="2"/>
  <c r="H2424" i="2"/>
  <c r="I2424" i="2" s="1"/>
  <c r="L2424" i="2" s="1"/>
  <c r="K2423" i="2"/>
  <c r="J2423" i="2"/>
  <c r="H2423" i="2"/>
  <c r="I2423" i="2" s="1"/>
  <c r="L2423" i="2" s="1"/>
  <c r="L2422" i="2"/>
  <c r="K2422" i="2"/>
  <c r="J2422" i="2"/>
  <c r="H2422" i="2"/>
  <c r="I2422" i="2" s="1"/>
  <c r="K2421" i="2"/>
  <c r="J2421" i="2"/>
  <c r="I2421" i="2"/>
  <c r="L2421" i="2" s="1"/>
  <c r="H2421" i="2"/>
  <c r="K2420" i="2"/>
  <c r="J2420" i="2"/>
  <c r="H2420" i="2"/>
  <c r="I2420" i="2" s="1"/>
  <c r="L2420" i="2" s="1"/>
  <c r="K2419" i="2"/>
  <c r="J2419" i="2"/>
  <c r="H2419" i="2"/>
  <c r="I2419" i="2" s="1"/>
  <c r="L2419" i="2" s="1"/>
  <c r="K2418" i="2"/>
  <c r="J2418" i="2"/>
  <c r="I2418" i="2" s="1"/>
  <c r="L2418" i="2" s="1"/>
  <c r="H2418" i="2"/>
  <c r="K2417" i="2"/>
  <c r="J2417" i="2"/>
  <c r="I2417" i="2" s="1"/>
  <c r="L2417" i="2" s="1"/>
  <c r="H2417" i="2"/>
  <c r="K2416" i="2"/>
  <c r="J2416" i="2"/>
  <c r="H2416" i="2"/>
  <c r="I2416" i="2" s="1"/>
  <c r="L2416" i="2" s="1"/>
  <c r="K2415" i="2"/>
  <c r="J2415" i="2"/>
  <c r="I2415" i="2" s="1"/>
  <c r="L2415" i="2" s="1"/>
  <c r="H2415" i="2"/>
  <c r="K2414" i="2"/>
  <c r="J2414" i="2"/>
  <c r="I2414" i="2"/>
  <c r="L2414" i="2" s="1"/>
  <c r="H2414" i="2"/>
  <c r="K2413" i="2"/>
  <c r="J2413" i="2"/>
  <c r="I2413" i="2"/>
  <c r="L2413" i="2" s="1"/>
  <c r="H2413" i="2"/>
  <c r="L2412" i="2"/>
  <c r="K2412" i="2"/>
  <c r="J2412" i="2"/>
  <c r="H2412" i="2"/>
  <c r="I2412" i="2" s="1"/>
  <c r="K2411" i="2"/>
  <c r="J2411" i="2"/>
  <c r="I2411" i="2"/>
  <c r="L2411" i="2" s="1"/>
  <c r="H2411" i="2"/>
  <c r="K2410" i="2"/>
  <c r="J2410" i="2"/>
  <c r="I2410" i="2"/>
  <c r="L2410" i="2" s="1"/>
  <c r="H2410" i="2"/>
  <c r="K2409" i="2"/>
  <c r="J2409" i="2"/>
  <c r="H2409" i="2"/>
  <c r="I2409" i="2" s="1"/>
  <c r="L2409" i="2" s="1"/>
  <c r="K2408" i="2"/>
  <c r="J2408" i="2"/>
  <c r="H2408" i="2"/>
  <c r="I2408" i="2" s="1"/>
  <c r="L2408" i="2" s="1"/>
  <c r="L2407" i="2"/>
  <c r="K2407" i="2"/>
  <c r="J2407" i="2"/>
  <c r="H2407" i="2"/>
  <c r="I2407" i="2" s="1"/>
  <c r="K2406" i="2"/>
  <c r="J2406" i="2"/>
  <c r="H2406" i="2"/>
  <c r="I2406" i="2" s="1"/>
  <c r="L2406" i="2" s="1"/>
  <c r="K2405" i="2"/>
  <c r="J2405" i="2"/>
  <c r="I2405" i="2"/>
  <c r="L2405" i="2" s="1"/>
  <c r="H2405" i="2"/>
  <c r="K2404" i="2"/>
  <c r="J2404" i="2"/>
  <c r="I2404" i="2"/>
  <c r="L2404" i="2" s="1"/>
  <c r="H2404" i="2"/>
  <c r="K2403" i="2"/>
  <c r="J2403" i="2"/>
  <c r="H2403" i="2"/>
  <c r="I2403" i="2" s="1"/>
  <c r="L2403" i="2" s="1"/>
  <c r="K2402" i="2"/>
  <c r="J2402" i="2"/>
  <c r="H2402" i="2"/>
  <c r="I2402" i="2" s="1"/>
  <c r="L2402" i="2" s="1"/>
  <c r="K2401" i="2"/>
  <c r="J2401" i="2"/>
  <c r="I2401" i="2" s="1"/>
  <c r="L2401" i="2" s="1"/>
  <c r="H2401" i="2"/>
  <c r="K2400" i="2"/>
  <c r="J2400" i="2"/>
  <c r="H2400" i="2"/>
  <c r="K2399" i="2"/>
  <c r="J2399" i="2"/>
  <c r="I2399" i="2"/>
  <c r="L2399" i="2" s="1"/>
  <c r="H2399" i="2"/>
  <c r="L2398" i="2"/>
  <c r="K2398" i="2"/>
  <c r="J2398" i="2"/>
  <c r="I2398" i="2"/>
  <c r="H2398" i="2"/>
  <c r="K2397" i="2"/>
  <c r="J2397" i="2"/>
  <c r="H2397" i="2"/>
  <c r="I2397" i="2" s="1"/>
  <c r="L2397" i="2" s="1"/>
  <c r="K2396" i="2"/>
  <c r="J2396" i="2"/>
  <c r="H2396" i="2"/>
  <c r="I2396" i="2" s="1"/>
  <c r="L2396" i="2" s="1"/>
  <c r="L2395" i="2"/>
  <c r="K2395" i="2"/>
  <c r="J2395" i="2"/>
  <c r="I2395" i="2"/>
  <c r="H2395" i="2"/>
  <c r="K2394" i="2"/>
  <c r="J2394" i="2"/>
  <c r="H2394" i="2"/>
  <c r="I2394" i="2" s="1"/>
  <c r="L2394" i="2" s="1"/>
  <c r="L2393" i="2"/>
  <c r="K2393" i="2"/>
  <c r="J2393" i="2"/>
  <c r="I2393" i="2"/>
  <c r="H2393" i="2"/>
  <c r="K2392" i="2"/>
  <c r="J2392" i="2"/>
  <c r="H2392" i="2"/>
  <c r="I2392" i="2" s="1"/>
  <c r="L2392" i="2" s="1"/>
  <c r="K2391" i="2"/>
  <c r="J2391" i="2"/>
  <c r="H2391" i="2"/>
  <c r="I2391" i="2" s="1"/>
  <c r="L2391" i="2" s="1"/>
  <c r="L2390" i="2"/>
  <c r="K2390" i="2"/>
  <c r="J2390" i="2"/>
  <c r="I2390" i="2" s="1"/>
  <c r="H2390" i="2"/>
  <c r="K2389" i="2"/>
  <c r="J2389" i="2"/>
  <c r="H2389" i="2"/>
  <c r="I2389" i="2" s="1"/>
  <c r="L2389" i="2" s="1"/>
  <c r="K2388" i="2"/>
  <c r="J2388" i="2"/>
  <c r="H2388" i="2"/>
  <c r="I2388" i="2" s="1"/>
  <c r="L2388" i="2" s="1"/>
  <c r="L2387" i="2"/>
  <c r="K2387" i="2"/>
  <c r="J2387" i="2"/>
  <c r="H2387" i="2"/>
  <c r="I2387" i="2" s="1"/>
  <c r="K2386" i="2"/>
  <c r="J2386" i="2"/>
  <c r="H2386" i="2"/>
  <c r="I2386" i="2" s="1"/>
  <c r="L2386" i="2" s="1"/>
  <c r="K2385" i="2"/>
  <c r="J2385" i="2"/>
  <c r="I2385" i="2"/>
  <c r="L2385" i="2" s="1"/>
  <c r="H2385" i="2"/>
  <c r="K2384" i="2"/>
  <c r="J2384" i="2"/>
  <c r="H2384" i="2"/>
  <c r="K2383" i="2"/>
  <c r="J2383" i="2"/>
  <c r="H2383" i="2"/>
  <c r="I2383" i="2" s="1"/>
  <c r="L2383" i="2" s="1"/>
  <c r="K2382" i="2"/>
  <c r="J2382" i="2"/>
  <c r="H2382" i="2"/>
  <c r="I2382" i="2" s="1"/>
  <c r="L2382" i="2" s="1"/>
  <c r="L2381" i="2"/>
  <c r="K2381" i="2"/>
  <c r="J2381" i="2"/>
  <c r="I2381" i="2"/>
  <c r="H2381" i="2"/>
  <c r="K2380" i="2"/>
  <c r="J2380" i="2"/>
  <c r="I2380" i="2" s="1"/>
  <c r="L2380" i="2" s="1"/>
  <c r="H2380" i="2"/>
  <c r="K2379" i="2"/>
  <c r="J2379" i="2"/>
  <c r="H2379" i="2"/>
  <c r="I2379" i="2" s="1"/>
  <c r="L2379" i="2" s="1"/>
  <c r="K2378" i="2"/>
  <c r="J2378" i="2"/>
  <c r="H2378" i="2"/>
  <c r="I2378" i="2" s="1"/>
  <c r="L2378" i="2" s="1"/>
  <c r="K2377" i="2"/>
  <c r="J2377" i="2"/>
  <c r="H2377" i="2"/>
  <c r="I2377" i="2" s="1"/>
  <c r="L2377" i="2" s="1"/>
  <c r="K2376" i="2"/>
  <c r="J2376" i="2"/>
  <c r="H2376" i="2"/>
  <c r="L2375" i="2"/>
  <c r="K2375" i="2"/>
  <c r="J2375" i="2"/>
  <c r="I2375" i="2" s="1"/>
  <c r="H2375" i="2"/>
  <c r="K2374" i="2"/>
  <c r="J2374" i="2"/>
  <c r="H2374" i="2"/>
  <c r="I2374" i="2" s="1"/>
  <c r="L2374" i="2" s="1"/>
  <c r="K2373" i="2"/>
  <c r="J2373" i="2"/>
  <c r="I2373" i="2" s="1"/>
  <c r="L2373" i="2" s="1"/>
  <c r="H2373" i="2"/>
  <c r="L2372" i="2"/>
  <c r="K2372" i="2"/>
  <c r="J2372" i="2"/>
  <c r="H2372" i="2"/>
  <c r="I2372" i="2" s="1"/>
  <c r="K2371" i="2"/>
  <c r="J2371" i="2"/>
  <c r="H2371" i="2"/>
  <c r="I2371" i="2" s="1"/>
  <c r="L2371" i="2" s="1"/>
  <c r="L2370" i="2"/>
  <c r="K2370" i="2"/>
  <c r="J2370" i="2"/>
  <c r="I2370" i="2"/>
  <c r="H2370" i="2"/>
  <c r="K2369" i="2"/>
  <c r="J2369" i="2"/>
  <c r="I2369" i="2"/>
  <c r="L2369" i="2" s="1"/>
  <c r="H2369" i="2"/>
  <c r="K2368" i="2"/>
  <c r="J2368" i="2"/>
  <c r="H2368" i="2"/>
  <c r="I2368" i="2" s="1"/>
  <c r="L2368" i="2" s="1"/>
  <c r="K2367" i="2"/>
  <c r="J2367" i="2"/>
  <c r="I2367" i="2"/>
  <c r="L2367" i="2" s="1"/>
  <c r="H2367" i="2"/>
  <c r="K2366" i="2"/>
  <c r="J2366" i="2"/>
  <c r="H2366" i="2"/>
  <c r="I2366" i="2" s="1"/>
  <c r="L2366" i="2" s="1"/>
  <c r="L2365" i="2"/>
  <c r="K2365" i="2"/>
  <c r="J2365" i="2"/>
  <c r="H2365" i="2"/>
  <c r="I2365" i="2" s="1"/>
  <c r="L2364" i="2"/>
  <c r="K2364" i="2"/>
  <c r="J2364" i="2"/>
  <c r="H2364" i="2"/>
  <c r="I2364" i="2" s="1"/>
  <c r="K2363" i="2"/>
  <c r="J2363" i="2"/>
  <c r="H2363" i="2"/>
  <c r="I2363" i="2" s="1"/>
  <c r="L2363" i="2" s="1"/>
  <c r="K2362" i="2"/>
  <c r="J2362" i="2"/>
  <c r="H2362" i="2"/>
  <c r="I2362" i="2" s="1"/>
  <c r="L2362" i="2" s="1"/>
  <c r="K2361" i="2"/>
  <c r="J2361" i="2"/>
  <c r="I2361" i="2"/>
  <c r="L2361" i="2" s="1"/>
  <c r="H2361" i="2"/>
  <c r="K2360" i="2"/>
  <c r="J2360" i="2"/>
  <c r="I2360" i="2" s="1"/>
  <c r="L2360" i="2" s="1"/>
  <c r="H2360" i="2"/>
  <c r="K2359" i="2"/>
  <c r="J2359" i="2"/>
  <c r="H2359" i="2"/>
  <c r="I2359" i="2" s="1"/>
  <c r="L2359" i="2" s="1"/>
  <c r="K2358" i="2"/>
  <c r="J2358" i="2"/>
  <c r="I2358" i="2"/>
  <c r="L2358" i="2" s="1"/>
  <c r="H2358" i="2"/>
  <c r="K2357" i="2"/>
  <c r="J2357" i="2"/>
  <c r="I2357" i="2"/>
  <c r="L2357" i="2" s="1"/>
  <c r="H2357" i="2"/>
  <c r="K2356" i="2"/>
  <c r="J2356" i="2"/>
  <c r="H2356" i="2"/>
  <c r="I2356" i="2" s="1"/>
  <c r="L2356" i="2" s="1"/>
  <c r="L2355" i="2"/>
  <c r="K2355" i="2"/>
  <c r="J2355" i="2"/>
  <c r="H2355" i="2"/>
  <c r="I2355" i="2" s="1"/>
  <c r="K2354" i="2"/>
  <c r="J2354" i="2"/>
  <c r="I2354" i="2"/>
  <c r="L2354" i="2" s="1"/>
  <c r="H2354" i="2"/>
  <c r="K2353" i="2"/>
  <c r="J2353" i="2"/>
  <c r="I2353" i="2"/>
  <c r="L2353" i="2" s="1"/>
  <c r="H2353" i="2"/>
  <c r="K2352" i="2"/>
  <c r="J2352" i="2"/>
  <c r="H2352" i="2"/>
  <c r="I2352" i="2" s="1"/>
  <c r="L2352" i="2" s="1"/>
  <c r="K2351" i="2"/>
  <c r="J2351" i="2"/>
  <c r="H2351" i="2"/>
  <c r="I2351" i="2" s="1"/>
  <c r="L2351" i="2" s="1"/>
  <c r="K2350" i="2"/>
  <c r="J2350" i="2"/>
  <c r="H2350" i="2"/>
  <c r="I2350" i="2" s="1"/>
  <c r="L2350" i="2" s="1"/>
  <c r="K2349" i="2"/>
  <c r="J2349" i="2"/>
  <c r="I2349" i="2"/>
  <c r="L2349" i="2" s="1"/>
  <c r="H2349" i="2"/>
  <c r="K2348" i="2"/>
  <c r="J2348" i="2"/>
  <c r="I2348" i="2"/>
  <c r="L2348" i="2" s="1"/>
  <c r="H2348" i="2"/>
  <c r="K2347" i="2"/>
  <c r="J2347" i="2"/>
  <c r="I2347" i="2"/>
  <c r="L2347" i="2" s="1"/>
  <c r="H2347" i="2"/>
  <c r="K2346" i="2"/>
  <c r="J2346" i="2"/>
  <c r="H2346" i="2"/>
  <c r="I2346" i="2" s="1"/>
  <c r="L2346" i="2" s="1"/>
  <c r="L2345" i="2"/>
  <c r="K2345" i="2"/>
  <c r="J2345" i="2"/>
  <c r="I2345" i="2" s="1"/>
  <c r="H2345" i="2"/>
  <c r="K2344" i="2"/>
  <c r="J2344" i="2"/>
  <c r="H2344" i="2"/>
  <c r="I2344" i="2" s="1"/>
  <c r="L2344" i="2" s="1"/>
  <c r="K2343" i="2"/>
  <c r="J2343" i="2"/>
  <c r="I2343" i="2" s="1"/>
  <c r="L2343" i="2" s="1"/>
  <c r="H2343" i="2"/>
  <c r="K2342" i="2"/>
  <c r="J2342" i="2"/>
  <c r="H2342" i="2"/>
  <c r="I2342" i="2" s="1"/>
  <c r="L2342" i="2" s="1"/>
  <c r="L2341" i="2"/>
  <c r="K2341" i="2"/>
  <c r="J2341" i="2"/>
  <c r="I2341" i="2"/>
  <c r="H2341" i="2"/>
  <c r="L2340" i="2"/>
  <c r="K2340" i="2"/>
  <c r="J2340" i="2"/>
  <c r="H2340" i="2"/>
  <c r="I2340" i="2" s="1"/>
  <c r="K2339" i="2"/>
  <c r="J2339" i="2"/>
  <c r="H2339" i="2"/>
  <c r="I2339" i="2" s="1"/>
  <c r="L2339" i="2" s="1"/>
  <c r="L2338" i="2"/>
  <c r="K2338" i="2"/>
  <c r="J2338" i="2"/>
  <c r="I2338" i="2"/>
  <c r="H2338" i="2"/>
  <c r="K2337" i="2"/>
  <c r="J2337" i="2"/>
  <c r="H2337" i="2"/>
  <c r="I2337" i="2" s="1"/>
  <c r="L2337" i="2" s="1"/>
  <c r="K2336" i="2"/>
  <c r="J2336" i="2"/>
  <c r="H2336" i="2"/>
  <c r="I2336" i="2" s="1"/>
  <c r="L2336" i="2" s="1"/>
  <c r="K2335" i="2"/>
  <c r="J2335" i="2"/>
  <c r="H2335" i="2"/>
  <c r="I2335" i="2" s="1"/>
  <c r="L2335" i="2" s="1"/>
  <c r="K2334" i="2"/>
  <c r="J2334" i="2"/>
  <c r="H2334" i="2"/>
  <c r="I2334" i="2" s="1"/>
  <c r="L2334" i="2" s="1"/>
  <c r="K2333" i="2"/>
  <c r="J2333" i="2"/>
  <c r="I2333" i="2"/>
  <c r="L2333" i="2" s="1"/>
  <c r="H2333" i="2"/>
  <c r="K2332" i="2"/>
  <c r="J2332" i="2"/>
  <c r="H2332" i="2"/>
  <c r="I2332" i="2" s="1"/>
  <c r="L2332" i="2" s="1"/>
  <c r="K2331" i="2"/>
  <c r="J2331" i="2"/>
  <c r="H2331" i="2"/>
  <c r="I2331" i="2" s="1"/>
  <c r="L2331" i="2" s="1"/>
  <c r="L2330" i="2"/>
  <c r="K2330" i="2"/>
  <c r="J2330" i="2"/>
  <c r="H2330" i="2"/>
  <c r="I2330" i="2" s="1"/>
  <c r="K2329" i="2"/>
  <c r="J2329" i="2"/>
  <c r="I2329" i="2"/>
  <c r="L2329" i="2" s="1"/>
  <c r="H2329" i="2"/>
  <c r="K2328" i="2"/>
  <c r="J2328" i="2"/>
  <c r="H2328" i="2"/>
  <c r="K2327" i="2"/>
  <c r="J2327" i="2"/>
  <c r="H2327" i="2"/>
  <c r="K2326" i="2"/>
  <c r="J2326" i="2"/>
  <c r="H2326" i="2"/>
  <c r="I2326" i="2" s="1"/>
  <c r="L2326" i="2" s="1"/>
  <c r="K2325" i="2"/>
  <c r="J2325" i="2"/>
  <c r="H2325" i="2"/>
  <c r="I2325" i="2" s="1"/>
  <c r="L2325" i="2" s="1"/>
  <c r="K2324" i="2"/>
  <c r="J2324" i="2"/>
  <c r="I2324" i="2"/>
  <c r="L2324" i="2" s="1"/>
  <c r="H2324" i="2"/>
  <c r="K2323" i="2"/>
  <c r="J2323" i="2"/>
  <c r="I2323" i="2"/>
  <c r="L2323" i="2" s="1"/>
  <c r="H2323" i="2"/>
  <c r="K2322" i="2"/>
  <c r="J2322" i="2"/>
  <c r="I2322" i="2"/>
  <c r="L2322" i="2" s="1"/>
  <c r="H2322" i="2"/>
  <c r="K2321" i="2"/>
  <c r="J2321" i="2"/>
  <c r="I2321" i="2"/>
  <c r="L2321" i="2" s="1"/>
  <c r="H2321" i="2"/>
  <c r="K2320" i="2"/>
  <c r="J2320" i="2"/>
  <c r="H2320" i="2"/>
  <c r="I2320" i="2" s="1"/>
  <c r="L2320" i="2" s="1"/>
  <c r="K2319" i="2"/>
  <c r="J2319" i="2"/>
  <c r="H2319" i="2"/>
  <c r="I2319" i="2" s="1"/>
  <c r="L2319" i="2" s="1"/>
  <c r="K2318" i="2"/>
  <c r="J2318" i="2"/>
  <c r="I2318" i="2" s="1"/>
  <c r="L2318" i="2" s="1"/>
  <c r="H2318" i="2"/>
  <c r="K2317" i="2"/>
  <c r="J2317" i="2"/>
  <c r="H2317" i="2"/>
  <c r="I2317" i="2" s="1"/>
  <c r="L2317" i="2" s="1"/>
  <c r="K2316" i="2"/>
  <c r="J2316" i="2"/>
  <c r="H2316" i="2"/>
  <c r="I2316" i="2" s="1"/>
  <c r="L2316" i="2" s="1"/>
  <c r="K2315" i="2"/>
  <c r="J2315" i="2"/>
  <c r="H2315" i="2"/>
  <c r="I2315" i="2" s="1"/>
  <c r="L2315" i="2" s="1"/>
  <c r="K2314" i="2"/>
  <c r="J2314" i="2"/>
  <c r="H2314" i="2"/>
  <c r="I2314" i="2" s="1"/>
  <c r="L2314" i="2" s="1"/>
  <c r="K2313" i="2"/>
  <c r="J2313" i="2"/>
  <c r="I2313" i="2"/>
  <c r="L2313" i="2" s="1"/>
  <c r="H2313" i="2"/>
  <c r="K2312" i="2"/>
  <c r="J2312" i="2"/>
  <c r="I2312" i="2"/>
  <c r="L2312" i="2" s="1"/>
  <c r="H2312" i="2"/>
  <c r="K2311" i="2"/>
  <c r="J2311" i="2"/>
  <c r="I2311" i="2"/>
  <c r="L2311" i="2" s="1"/>
  <c r="H2311" i="2"/>
  <c r="K2310" i="2"/>
  <c r="J2310" i="2"/>
  <c r="H2310" i="2"/>
  <c r="I2310" i="2" s="1"/>
  <c r="L2310" i="2" s="1"/>
  <c r="L2309" i="2"/>
  <c r="K2309" i="2"/>
  <c r="J2309" i="2"/>
  <c r="I2309" i="2" s="1"/>
  <c r="H2309" i="2"/>
  <c r="L2308" i="2"/>
  <c r="K2308" i="2"/>
  <c r="J2308" i="2"/>
  <c r="I2308" i="2"/>
  <c r="H2308" i="2"/>
  <c r="K2307" i="2"/>
  <c r="J2307" i="2"/>
  <c r="H2307" i="2"/>
  <c r="I2307" i="2" s="1"/>
  <c r="L2307" i="2" s="1"/>
  <c r="L2306" i="2"/>
  <c r="K2306" i="2"/>
  <c r="J2306" i="2"/>
  <c r="H2306" i="2"/>
  <c r="I2306" i="2" s="1"/>
  <c r="K2305" i="2"/>
  <c r="J2305" i="2"/>
  <c r="I2305" i="2"/>
  <c r="L2305" i="2" s="1"/>
  <c r="H2305" i="2"/>
  <c r="K2304" i="2"/>
  <c r="J2304" i="2"/>
  <c r="H2304" i="2"/>
  <c r="I2304" i="2" s="1"/>
  <c r="L2304" i="2" s="1"/>
  <c r="K2303" i="2"/>
  <c r="J2303" i="2"/>
  <c r="I2303" i="2" s="1"/>
  <c r="L2303" i="2" s="1"/>
  <c r="H2303" i="2"/>
  <c r="K2302" i="2"/>
  <c r="J2302" i="2"/>
  <c r="I2302" i="2"/>
  <c r="L2302" i="2" s="1"/>
  <c r="H2302" i="2"/>
  <c r="K2301" i="2"/>
  <c r="J2301" i="2"/>
  <c r="H2301" i="2"/>
  <c r="I2301" i="2" s="1"/>
  <c r="L2301" i="2" s="1"/>
  <c r="K2300" i="2"/>
  <c r="J2300" i="2"/>
  <c r="H2300" i="2"/>
  <c r="I2300" i="2" s="1"/>
  <c r="L2300" i="2" s="1"/>
  <c r="K2299" i="2"/>
  <c r="J2299" i="2"/>
  <c r="H2299" i="2"/>
  <c r="I2299" i="2" s="1"/>
  <c r="L2299" i="2" s="1"/>
  <c r="K2298" i="2"/>
  <c r="J2298" i="2"/>
  <c r="I2298" i="2" s="1"/>
  <c r="L2298" i="2" s="1"/>
  <c r="H2298" i="2"/>
  <c r="K2297" i="2"/>
  <c r="J2297" i="2"/>
  <c r="I2297" i="2"/>
  <c r="L2297" i="2" s="1"/>
  <c r="H2297" i="2"/>
  <c r="K2296" i="2"/>
  <c r="J2296" i="2"/>
  <c r="H2296" i="2"/>
  <c r="I2296" i="2" s="1"/>
  <c r="L2296" i="2" s="1"/>
  <c r="K2295" i="2"/>
  <c r="J2295" i="2"/>
  <c r="H2295" i="2"/>
  <c r="I2295" i="2" s="1"/>
  <c r="L2295" i="2" s="1"/>
  <c r="K2294" i="2"/>
  <c r="J2294" i="2"/>
  <c r="H2294" i="2"/>
  <c r="I2294" i="2" s="1"/>
  <c r="L2294" i="2" s="1"/>
  <c r="L2293" i="2"/>
  <c r="K2293" i="2"/>
  <c r="J2293" i="2"/>
  <c r="I2293" i="2"/>
  <c r="H2293" i="2"/>
  <c r="K2292" i="2"/>
  <c r="J2292" i="2"/>
  <c r="H2292" i="2"/>
  <c r="K2291" i="2"/>
  <c r="J2291" i="2"/>
  <c r="H2291" i="2"/>
  <c r="I2291" i="2" s="1"/>
  <c r="L2291" i="2" s="1"/>
  <c r="K2290" i="2"/>
  <c r="J2290" i="2"/>
  <c r="I2290" i="2"/>
  <c r="L2290" i="2" s="1"/>
  <c r="H2290" i="2"/>
  <c r="K2289" i="2"/>
  <c r="J2289" i="2"/>
  <c r="I2289" i="2"/>
  <c r="L2289" i="2" s="1"/>
  <c r="H2289" i="2"/>
  <c r="L2288" i="2"/>
  <c r="K2288" i="2"/>
  <c r="J2288" i="2"/>
  <c r="I2288" i="2" s="1"/>
  <c r="H2288" i="2"/>
  <c r="K2287" i="2"/>
  <c r="J2287" i="2"/>
  <c r="H2287" i="2"/>
  <c r="I2287" i="2" s="1"/>
  <c r="L2287" i="2" s="1"/>
  <c r="K2286" i="2"/>
  <c r="J2286" i="2"/>
  <c r="I2286" i="2" s="1"/>
  <c r="L2286" i="2" s="1"/>
  <c r="H2286" i="2"/>
  <c r="K2285" i="2"/>
  <c r="J2285" i="2"/>
  <c r="I2285" i="2"/>
  <c r="L2285" i="2" s="1"/>
  <c r="H2285" i="2"/>
  <c r="L2284" i="2"/>
  <c r="K2284" i="2"/>
  <c r="J2284" i="2"/>
  <c r="I2284" i="2"/>
  <c r="H2284" i="2"/>
  <c r="L2283" i="2"/>
  <c r="K2283" i="2"/>
  <c r="J2283" i="2"/>
  <c r="H2283" i="2"/>
  <c r="I2283" i="2" s="1"/>
  <c r="K2282" i="2"/>
  <c r="J2282" i="2"/>
  <c r="H2282" i="2"/>
  <c r="I2282" i="2" s="1"/>
  <c r="L2282" i="2" s="1"/>
  <c r="L2281" i="2"/>
  <c r="K2281" i="2"/>
  <c r="J2281" i="2"/>
  <c r="I2281" i="2"/>
  <c r="H2281" i="2"/>
  <c r="K2280" i="2"/>
  <c r="J2280" i="2"/>
  <c r="H2280" i="2"/>
  <c r="K2279" i="2"/>
  <c r="J2279" i="2"/>
  <c r="H2279" i="2"/>
  <c r="I2279" i="2" s="1"/>
  <c r="L2279" i="2" s="1"/>
  <c r="L2278" i="2"/>
  <c r="K2278" i="2"/>
  <c r="J2278" i="2"/>
  <c r="H2278" i="2"/>
  <c r="I2278" i="2" s="1"/>
  <c r="K2277" i="2"/>
  <c r="J2277" i="2"/>
  <c r="H2277" i="2"/>
  <c r="I2277" i="2" s="1"/>
  <c r="L2277" i="2" s="1"/>
  <c r="K2276" i="2"/>
  <c r="J2276" i="2"/>
  <c r="H2276" i="2"/>
  <c r="I2276" i="2" s="1"/>
  <c r="L2276" i="2" s="1"/>
  <c r="K2275" i="2"/>
  <c r="J2275" i="2"/>
  <c r="I2275" i="2"/>
  <c r="L2275" i="2" s="1"/>
  <c r="H2275" i="2"/>
  <c r="K2274" i="2"/>
  <c r="J2274" i="2"/>
  <c r="H2274" i="2"/>
  <c r="I2274" i="2" s="1"/>
  <c r="L2274" i="2" s="1"/>
  <c r="K2273" i="2"/>
  <c r="J2273" i="2"/>
  <c r="I2273" i="2" s="1"/>
  <c r="L2273" i="2" s="1"/>
  <c r="H2273" i="2"/>
  <c r="L2272" i="2"/>
  <c r="K2272" i="2"/>
  <c r="J2272" i="2"/>
  <c r="I2272" i="2"/>
  <c r="H2272" i="2"/>
  <c r="K2271" i="2"/>
  <c r="J2271" i="2"/>
  <c r="I2271" i="2"/>
  <c r="L2271" i="2" s="1"/>
  <c r="H2271" i="2"/>
  <c r="K2270" i="2"/>
  <c r="J2270" i="2"/>
  <c r="H2270" i="2"/>
  <c r="I2270" i="2" s="1"/>
  <c r="L2270" i="2" s="1"/>
  <c r="K2269" i="2"/>
  <c r="J2269" i="2"/>
  <c r="H2269" i="2"/>
  <c r="I2269" i="2" s="1"/>
  <c r="L2269" i="2" s="1"/>
  <c r="L2268" i="2"/>
  <c r="K2268" i="2"/>
  <c r="J2268" i="2"/>
  <c r="H2268" i="2"/>
  <c r="I2268" i="2" s="1"/>
  <c r="K2267" i="2"/>
  <c r="J2267" i="2"/>
  <c r="H2267" i="2"/>
  <c r="I2267" i="2" s="1"/>
  <c r="L2267" i="2" s="1"/>
  <c r="K2266" i="2"/>
  <c r="J2266" i="2"/>
  <c r="I2266" i="2"/>
  <c r="L2266" i="2" s="1"/>
  <c r="H2266" i="2"/>
  <c r="K2265" i="2"/>
  <c r="J2265" i="2"/>
  <c r="H2265" i="2"/>
  <c r="I2265" i="2" s="1"/>
  <c r="L2265" i="2" s="1"/>
  <c r="K2264" i="2"/>
  <c r="J2264" i="2"/>
  <c r="H2264" i="2"/>
  <c r="I2264" i="2" s="1"/>
  <c r="L2264" i="2" s="1"/>
  <c r="L2263" i="2"/>
  <c r="K2263" i="2"/>
  <c r="J2263" i="2"/>
  <c r="H2263" i="2"/>
  <c r="I2263" i="2" s="1"/>
  <c r="K2262" i="2"/>
  <c r="J2262" i="2"/>
  <c r="I2262" i="2"/>
  <c r="L2262" i="2" s="1"/>
  <c r="H2262" i="2"/>
  <c r="K2261" i="2"/>
  <c r="J2261" i="2"/>
  <c r="I2261" i="2"/>
  <c r="L2261" i="2" s="1"/>
  <c r="H2261" i="2"/>
  <c r="K2260" i="2"/>
  <c r="J2260" i="2"/>
  <c r="H2260" i="2"/>
  <c r="I2260" i="2" s="1"/>
  <c r="L2260" i="2" s="1"/>
  <c r="K2259" i="2"/>
  <c r="J2259" i="2"/>
  <c r="I2259" i="2"/>
  <c r="L2259" i="2" s="1"/>
  <c r="H2259" i="2"/>
  <c r="L2258" i="2"/>
  <c r="K2258" i="2"/>
  <c r="J2258" i="2"/>
  <c r="H2258" i="2"/>
  <c r="I2258" i="2" s="1"/>
  <c r="K2257" i="2"/>
  <c r="J2257" i="2"/>
  <c r="H2257" i="2"/>
  <c r="I2257" i="2" s="1"/>
  <c r="L2257" i="2" s="1"/>
  <c r="K2256" i="2"/>
  <c r="J2256" i="2"/>
  <c r="H2256" i="2"/>
  <c r="K2255" i="2"/>
  <c r="J2255" i="2"/>
  <c r="H2255" i="2"/>
  <c r="I2255" i="2" s="1"/>
  <c r="L2255" i="2" s="1"/>
  <c r="K2254" i="2"/>
  <c r="J2254" i="2"/>
  <c r="I2254" i="2"/>
  <c r="L2254" i="2" s="1"/>
  <c r="H2254" i="2"/>
  <c r="K2253" i="2"/>
  <c r="J2253" i="2"/>
  <c r="H2253" i="2"/>
  <c r="I2253" i="2" s="1"/>
  <c r="L2253" i="2" s="1"/>
  <c r="L2252" i="2"/>
  <c r="K2252" i="2"/>
  <c r="J2252" i="2"/>
  <c r="H2252" i="2"/>
  <c r="I2252" i="2" s="1"/>
  <c r="L2251" i="2"/>
  <c r="K2251" i="2"/>
  <c r="J2251" i="2"/>
  <c r="I2251" i="2"/>
  <c r="H2251" i="2"/>
  <c r="K2250" i="2"/>
  <c r="J2250" i="2"/>
  <c r="H2250" i="2"/>
  <c r="I2250" i="2" s="1"/>
  <c r="L2250" i="2" s="1"/>
  <c r="K2249" i="2"/>
  <c r="J2249" i="2"/>
  <c r="I2249" i="2"/>
  <c r="L2249" i="2" s="1"/>
  <c r="H2249" i="2"/>
  <c r="L2248" i="2"/>
  <c r="K2248" i="2"/>
  <c r="J2248" i="2"/>
  <c r="H2248" i="2"/>
  <c r="I2248" i="2" s="1"/>
  <c r="K2247" i="2"/>
  <c r="J2247" i="2"/>
  <c r="H2247" i="2"/>
  <c r="I2247" i="2" s="1"/>
  <c r="L2247" i="2" s="1"/>
  <c r="K2246" i="2"/>
  <c r="J2246" i="2"/>
  <c r="H2246" i="2"/>
  <c r="I2246" i="2" s="1"/>
  <c r="L2246" i="2" s="1"/>
  <c r="K2245" i="2"/>
  <c r="J2245" i="2"/>
  <c r="H2245" i="2"/>
  <c r="I2245" i="2" s="1"/>
  <c r="L2245" i="2" s="1"/>
  <c r="K2244" i="2"/>
  <c r="J2244" i="2"/>
  <c r="H2244" i="2"/>
  <c r="K2243" i="2"/>
  <c r="J2243" i="2"/>
  <c r="H2243" i="2"/>
  <c r="I2243" i="2" s="1"/>
  <c r="L2243" i="2" s="1"/>
  <c r="K2242" i="2"/>
  <c r="J2242" i="2"/>
  <c r="H2242" i="2"/>
  <c r="I2242" i="2" s="1"/>
  <c r="L2242" i="2" s="1"/>
  <c r="K2241" i="2"/>
  <c r="J2241" i="2"/>
  <c r="I2241" i="2"/>
  <c r="L2241" i="2" s="1"/>
  <c r="H2241" i="2"/>
  <c r="K2240" i="2"/>
  <c r="J2240" i="2"/>
  <c r="I2240" i="2"/>
  <c r="L2240" i="2" s="1"/>
  <c r="H2240" i="2"/>
  <c r="K2239" i="2"/>
  <c r="J2239" i="2"/>
  <c r="H2239" i="2"/>
  <c r="I2239" i="2" s="1"/>
  <c r="L2239" i="2" s="1"/>
  <c r="L2238" i="2"/>
  <c r="K2238" i="2"/>
  <c r="J2238" i="2"/>
  <c r="H2238" i="2"/>
  <c r="I2238" i="2" s="1"/>
  <c r="K2237" i="2"/>
  <c r="J2237" i="2"/>
  <c r="I2237" i="2"/>
  <c r="L2237" i="2" s="1"/>
  <c r="H2237" i="2"/>
  <c r="K2236" i="2"/>
  <c r="J2236" i="2"/>
  <c r="I2236" i="2" s="1"/>
  <c r="L2236" i="2" s="1"/>
  <c r="H2236" i="2"/>
  <c r="K2235" i="2"/>
  <c r="J2235" i="2"/>
  <c r="H2235" i="2"/>
  <c r="I2235" i="2" s="1"/>
  <c r="L2235" i="2" s="1"/>
  <c r="K2234" i="2"/>
  <c r="J2234" i="2"/>
  <c r="H2234" i="2"/>
  <c r="I2234" i="2" s="1"/>
  <c r="L2234" i="2" s="1"/>
  <c r="K2233" i="2"/>
  <c r="J2233" i="2"/>
  <c r="I2233" i="2"/>
  <c r="L2233" i="2" s="1"/>
  <c r="H2233" i="2"/>
  <c r="L2232" i="2"/>
  <c r="K2232" i="2"/>
  <c r="J2232" i="2"/>
  <c r="H2232" i="2"/>
  <c r="I2232" i="2" s="1"/>
  <c r="K2231" i="2"/>
  <c r="J2231" i="2"/>
  <c r="I2231" i="2" s="1"/>
  <c r="L2231" i="2" s="1"/>
  <c r="H2231" i="2"/>
  <c r="K2230" i="2"/>
  <c r="J2230" i="2"/>
  <c r="H2230" i="2"/>
  <c r="I2230" i="2" s="1"/>
  <c r="L2230" i="2" s="1"/>
  <c r="K2229" i="2"/>
  <c r="J2229" i="2"/>
  <c r="H2229" i="2"/>
  <c r="I2229" i="2" s="1"/>
  <c r="L2229" i="2" s="1"/>
  <c r="K2228" i="2"/>
  <c r="J2228" i="2"/>
  <c r="H2228" i="2"/>
  <c r="I2228" i="2" s="1"/>
  <c r="L2228" i="2" s="1"/>
  <c r="K2227" i="2"/>
  <c r="J2227" i="2"/>
  <c r="H2227" i="2"/>
  <c r="I2227" i="2" s="1"/>
  <c r="L2227" i="2" s="1"/>
  <c r="L2226" i="2"/>
  <c r="K2226" i="2"/>
  <c r="J2226" i="2"/>
  <c r="I2226" i="2" s="1"/>
  <c r="H2226" i="2"/>
  <c r="K2225" i="2"/>
  <c r="J2225" i="2"/>
  <c r="I2225" i="2"/>
  <c r="L2225" i="2" s="1"/>
  <c r="H2225" i="2"/>
  <c r="K2224" i="2"/>
  <c r="J2224" i="2"/>
  <c r="I2224" i="2"/>
  <c r="L2224" i="2" s="1"/>
  <c r="H2224" i="2"/>
  <c r="K2223" i="2"/>
  <c r="J2223" i="2"/>
  <c r="H2223" i="2"/>
  <c r="I2223" i="2" s="1"/>
  <c r="L2223" i="2" s="1"/>
  <c r="K2222" i="2"/>
  <c r="J2222" i="2"/>
  <c r="H2222" i="2"/>
  <c r="I2222" i="2" s="1"/>
  <c r="L2222" i="2" s="1"/>
  <c r="K2221" i="2"/>
  <c r="J2221" i="2"/>
  <c r="H2221" i="2"/>
  <c r="I2221" i="2" s="1"/>
  <c r="L2221" i="2" s="1"/>
  <c r="K2220" i="2"/>
  <c r="J2220" i="2"/>
  <c r="H2220" i="2"/>
  <c r="K2219" i="2"/>
  <c r="J2219" i="2"/>
  <c r="H2219" i="2"/>
  <c r="I2219" i="2" s="1"/>
  <c r="L2219" i="2" s="1"/>
  <c r="K2218" i="2"/>
  <c r="J2218" i="2"/>
  <c r="H2218" i="2"/>
  <c r="I2218" i="2" s="1"/>
  <c r="L2218" i="2" s="1"/>
  <c r="K2217" i="2"/>
  <c r="J2217" i="2"/>
  <c r="H2217" i="2"/>
  <c r="I2217" i="2" s="1"/>
  <c r="L2217" i="2" s="1"/>
  <c r="K2216" i="2"/>
  <c r="J2216" i="2"/>
  <c r="I2216" i="2" s="1"/>
  <c r="L2216" i="2" s="1"/>
  <c r="H2216" i="2"/>
  <c r="K2215" i="2"/>
  <c r="J2215" i="2"/>
  <c r="H2215" i="2"/>
  <c r="I2215" i="2" s="1"/>
  <c r="L2215" i="2" s="1"/>
  <c r="K2214" i="2"/>
  <c r="J2214" i="2"/>
  <c r="H2214" i="2"/>
  <c r="I2214" i="2" s="1"/>
  <c r="L2214" i="2" s="1"/>
  <c r="K2213" i="2"/>
  <c r="J2213" i="2"/>
  <c r="I2213" i="2"/>
  <c r="L2213" i="2" s="1"/>
  <c r="H2213" i="2"/>
  <c r="L2212" i="2"/>
  <c r="K2212" i="2"/>
  <c r="J2212" i="2"/>
  <c r="I2212" i="2"/>
  <c r="H2212" i="2"/>
  <c r="L2211" i="2"/>
  <c r="K2211" i="2"/>
  <c r="J2211" i="2"/>
  <c r="I2211" i="2"/>
  <c r="H2211" i="2"/>
  <c r="K2210" i="2"/>
  <c r="J2210" i="2"/>
  <c r="H2210" i="2"/>
  <c r="I2210" i="2" s="1"/>
  <c r="L2210" i="2" s="1"/>
  <c r="K2209" i="2"/>
  <c r="J2209" i="2"/>
  <c r="I2209" i="2"/>
  <c r="L2209" i="2" s="1"/>
  <c r="H2209" i="2"/>
  <c r="K2208" i="2"/>
  <c r="J2208" i="2"/>
  <c r="H2208" i="2"/>
  <c r="I2208" i="2" s="1"/>
  <c r="L2208" i="2" s="1"/>
  <c r="K2207" i="2"/>
  <c r="J2207" i="2"/>
  <c r="I2207" i="2"/>
  <c r="L2207" i="2" s="1"/>
  <c r="H2207" i="2"/>
  <c r="L2206" i="2"/>
  <c r="K2206" i="2"/>
  <c r="J2206" i="2"/>
  <c r="H2206" i="2"/>
  <c r="I2206" i="2" s="1"/>
  <c r="K2205" i="2"/>
  <c r="J2205" i="2"/>
  <c r="I2205" i="2"/>
  <c r="L2205" i="2" s="1"/>
  <c r="H2205" i="2"/>
  <c r="K2204" i="2"/>
  <c r="J2204" i="2"/>
  <c r="H2204" i="2"/>
  <c r="I2204" i="2" s="1"/>
  <c r="L2204" i="2" s="1"/>
  <c r="K2203" i="2"/>
  <c r="J2203" i="2"/>
  <c r="I2203" i="2"/>
  <c r="L2203" i="2" s="1"/>
  <c r="H2203" i="2"/>
  <c r="K2202" i="2"/>
  <c r="J2202" i="2"/>
  <c r="I2202" i="2"/>
  <c r="L2202" i="2" s="1"/>
  <c r="H2202" i="2"/>
  <c r="L2201" i="2"/>
  <c r="K2201" i="2"/>
  <c r="J2201" i="2"/>
  <c r="I2201" i="2"/>
  <c r="H2201" i="2"/>
  <c r="K2200" i="2"/>
  <c r="J2200" i="2"/>
  <c r="H2200" i="2"/>
  <c r="I2200" i="2" s="1"/>
  <c r="L2200" i="2" s="1"/>
  <c r="K2199" i="2"/>
  <c r="J2199" i="2"/>
  <c r="I2199" i="2" s="1"/>
  <c r="L2199" i="2" s="1"/>
  <c r="H2199" i="2"/>
  <c r="K2198" i="2"/>
  <c r="J2198" i="2"/>
  <c r="I2198" i="2"/>
  <c r="L2198" i="2" s="1"/>
  <c r="H2198" i="2"/>
  <c r="K2197" i="2"/>
  <c r="J2197" i="2"/>
  <c r="H2197" i="2"/>
  <c r="I2197" i="2" s="1"/>
  <c r="L2197" i="2" s="1"/>
  <c r="L2196" i="2"/>
  <c r="K2196" i="2"/>
  <c r="J2196" i="2"/>
  <c r="H2196" i="2"/>
  <c r="I2196" i="2" s="1"/>
  <c r="L2195" i="2"/>
  <c r="K2195" i="2"/>
  <c r="J2195" i="2"/>
  <c r="H2195" i="2"/>
  <c r="I2195" i="2" s="1"/>
  <c r="K2194" i="2"/>
  <c r="J2194" i="2"/>
  <c r="I2194" i="2"/>
  <c r="L2194" i="2" s="1"/>
  <c r="H2194" i="2"/>
  <c r="K2193" i="2"/>
  <c r="J2193" i="2"/>
  <c r="H2193" i="2"/>
  <c r="I2193" i="2" s="1"/>
  <c r="L2193" i="2" s="1"/>
  <c r="L2192" i="2"/>
  <c r="K2192" i="2"/>
  <c r="J2192" i="2"/>
  <c r="I2192" i="2"/>
  <c r="H2192" i="2"/>
  <c r="K2191" i="2"/>
  <c r="J2191" i="2"/>
  <c r="H2191" i="2"/>
  <c r="I2191" i="2" s="1"/>
  <c r="L2191" i="2" s="1"/>
  <c r="K2190" i="2"/>
  <c r="J2190" i="2"/>
  <c r="H2190" i="2"/>
  <c r="I2190" i="2" s="1"/>
  <c r="L2190" i="2" s="1"/>
  <c r="K2189" i="2"/>
  <c r="J2189" i="2"/>
  <c r="I2189" i="2"/>
  <c r="L2189" i="2" s="1"/>
  <c r="H2189" i="2"/>
  <c r="K2188" i="2"/>
  <c r="J2188" i="2"/>
  <c r="I2188" i="2"/>
  <c r="L2188" i="2" s="1"/>
  <c r="H2188" i="2"/>
  <c r="K2187" i="2"/>
  <c r="J2187" i="2"/>
  <c r="H2187" i="2"/>
  <c r="I2187" i="2" s="1"/>
  <c r="L2187" i="2" s="1"/>
  <c r="L2186" i="2"/>
  <c r="K2186" i="2"/>
  <c r="J2186" i="2"/>
  <c r="H2186" i="2"/>
  <c r="I2186" i="2" s="1"/>
  <c r="K2185" i="2"/>
  <c r="J2185" i="2"/>
  <c r="H2185" i="2"/>
  <c r="I2185" i="2" s="1"/>
  <c r="L2185" i="2" s="1"/>
  <c r="K2184" i="2"/>
  <c r="J2184" i="2"/>
  <c r="H2184" i="2"/>
  <c r="K2183" i="2"/>
  <c r="J2183" i="2"/>
  <c r="H2183" i="2"/>
  <c r="I2183" i="2" s="1"/>
  <c r="L2183" i="2" s="1"/>
  <c r="K2182" i="2"/>
  <c r="J2182" i="2"/>
  <c r="H2182" i="2"/>
  <c r="I2182" i="2" s="1"/>
  <c r="L2182" i="2" s="1"/>
  <c r="K2181" i="2"/>
  <c r="J2181" i="2"/>
  <c r="I2181" i="2"/>
  <c r="L2181" i="2" s="1"/>
  <c r="H2181" i="2"/>
  <c r="K2180" i="2"/>
  <c r="J2180" i="2"/>
  <c r="H2180" i="2"/>
  <c r="I2180" i="2" s="1"/>
  <c r="L2180" i="2" s="1"/>
  <c r="K2179" i="2"/>
  <c r="J2179" i="2"/>
  <c r="I2179" i="2"/>
  <c r="L2179" i="2" s="1"/>
  <c r="H2179" i="2"/>
  <c r="K2178" i="2"/>
  <c r="J2178" i="2"/>
  <c r="I2178" i="2"/>
  <c r="L2178" i="2" s="1"/>
  <c r="H2178" i="2"/>
  <c r="K2177" i="2"/>
  <c r="J2177" i="2"/>
  <c r="I2177" i="2"/>
  <c r="L2177" i="2" s="1"/>
  <c r="H2177" i="2"/>
  <c r="K2176" i="2"/>
  <c r="J2176" i="2"/>
  <c r="H2176" i="2"/>
  <c r="I2176" i="2" s="1"/>
  <c r="L2176" i="2" s="1"/>
  <c r="K2175" i="2"/>
  <c r="J2175" i="2"/>
  <c r="I2175" i="2"/>
  <c r="L2175" i="2" s="1"/>
  <c r="H2175" i="2"/>
  <c r="L2174" i="2"/>
  <c r="K2174" i="2"/>
  <c r="J2174" i="2"/>
  <c r="I2174" i="2"/>
  <c r="H2174" i="2"/>
  <c r="K2173" i="2"/>
  <c r="J2173" i="2"/>
  <c r="H2173" i="2"/>
  <c r="I2173" i="2" s="1"/>
  <c r="L2173" i="2" s="1"/>
  <c r="K2172" i="2"/>
  <c r="J2172" i="2"/>
  <c r="H2172" i="2"/>
  <c r="I2172" i="2" s="1"/>
  <c r="L2172" i="2" s="1"/>
  <c r="K2171" i="2"/>
  <c r="J2171" i="2"/>
  <c r="H2171" i="2"/>
  <c r="I2171" i="2" s="1"/>
  <c r="L2171" i="2" s="1"/>
  <c r="L2170" i="2"/>
  <c r="K2170" i="2"/>
  <c r="J2170" i="2"/>
  <c r="I2170" i="2"/>
  <c r="H2170" i="2"/>
  <c r="K2169" i="2"/>
  <c r="J2169" i="2"/>
  <c r="I2169" i="2"/>
  <c r="L2169" i="2" s="1"/>
  <c r="H2169" i="2"/>
  <c r="K2168" i="2"/>
  <c r="J2168" i="2"/>
  <c r="I2168" i="2"/>
  <c r="L2168" i="2" s="1"/>
  <c r="H2168" i="2"/>
  <c r="L2167" i="2"/>
  <c r="K2167" i="2"/>
  <c r="J2167" i="2"/>
  <c r="H2167" i="2"/>
  <c r="I2167" i="2" s="1"/>
  <c r="K2166" i="2"/>
  <c r="J2166" i="2"/>
  <c r="H2166" i="2"/>
  <c r="I2166" i="2" s="1"/>
  <c r="L2166" i="2" s="1"/>
  <c r="K2165" i="2"/>
  <c r="J2165" i="2"/>
  <c r="I2165" i="2"/>
  <c r="L2165" i="2" s="1"/>
  <c r="H2165" i="2"/>
  <c r="K2164" i="2"/>
  <c r="J2164" i="2"/>
  <c r="H2164" i="2"/>
  <c r="K2163" i="2"/>
  <c r="J2163" i="2"/>
  <c r="H2163" i="2"/>
  <c r="I2163" i="2" s="1"/>
  <c r="L2163" i="2" s="1"/>
  <c r="K2162" i="2"/>
  <c r="J2162" i="2"/>
  <c r="I2162" i="2"/>
  <c r="L2162" i="2" s="1"/>
  <c r="H2162" i="2"/>
  <c r="K2161" i="2"/>
  <c r="J2161" i="2"/>
  <c r="H2161" i="2"/>
  <c r="I2161" i="2" s="1"/>
  <c r="L2161" i="2" s="1"/>
  <c r="K2160" i="2"/>
  <c r="J2160" i="2"/>
  <c r="H2160" i="2"/>
  <c r="I2160" i="2" s="1"/>
  <c r="L2160" i="2" s="1"/>
  <c r="K2159" i="2"/>
  <c r="J2159" i="2"/>
  <c r="H2159" i="2"/>
  <c r="I2159" i="2" s="1"/>
  <c r="L2159" i="2" s="1"/>
  <c r="K2158" i="2"/>
  <c r="J2158" i="2"/>
  <c r="H2158" i="2"/>
  <c r="K2157" i="2"/>
  <c r="J2157" i="2"/>
  <c r="I2157" i="2"/>
  <c r="L2157" i="2" s="1"/>
  <c r="H2157" i="2"/>
  <c r="K2156" i="2"/>
  <c r="J2156" i="2"/>
  <c r="H2156" i="2"/>
  <c r="I2156" i="2" s="1"/>
  <c r="L2156" i="2" s="1"/>
  <c r="K2155" i="2"/>
  <c r="J2155" i="2"/>
  <c r="I2155" i="2"/>
  <c r="L2155" i="2" s="1"/>
  <c r="H2155" i="2"/>
  <c r="K2154" i="2"/>
  <c r="J2154" i="2"/>
  <c r="H2154" i="2"/>
  <c r="I2154" i="2" s="1"/>
  <c r="L2154" i="2" s="1"/>
  <c r="K2153" i="2"/>
  <c r="J2153" i="2"/>
  <c r="I2153" i="2"/>
  <c r="L2153" i="2" s="1"/>
  <c r="H2153" i="2"/>
  <c r="K2152" i="2"/>
  <c r="J2152" i="2"/>
  <c r="H2152" i="2"/>
  <c r="I2152" i="2" s="1"/>
  <c r="L2152" i="2" s="1"/>
  <c r="K2151" i="2"/>
  <c r="J2151" i="2"/>
  <c r="I2151" i="2"/>
  <c r="L2151" i="2" s="1"/>
  <c r="H2151" i="2"/>
  <c r="K2150" i="2"/>
  <c r="J2150" i="2"/>
  <c r="I2150" i="2"/>
  <c r="L2150" i="2" s="1"/>
  <c r="H2150" i="2"/>
  <c r="L2149" i="2"/>
  <c r="K2149" i="2"/>
  <c r="J2149" i="2"/>
  <c r="H2149" i="2"/>
  <c r="I2149" i="2" s="1"/>
  <c r="K2148" i="2"/>
  <c r="J2148" i="2"/>
  <c r="H2148" i="2"/>
  <c r="I2148" i="2" s="1"/>
  <c r="L2148" i="2" s="1"/>
  <c r="K2147" i="2"/>
  <c r="J2147" i="2"/>
  <c r="H2147" i="2"/>
  <c r="I2147" i="2" s="1"/>
  <c r="L2147" i="2" s="1"/>
  <c r="K2146" i="2"/>
  <c r="J2146" i="2"/>
  <c r="H2146" i="2"/>
  <c r="I2146" i="2" s="1"/>
  <c r="L2146" i="2" s="1"/>
  <c r="K2145" i="2"/>
  <c r="J2145" i="2"/>
  <c r="H2145" i="2"/>
  <c r="I2145" i="2" s="1"/>
  <c r="L2145" i="2" s="1"/>
  <c r="K2144" i="2"/>
  <c r="J2144" i="2"/>
  <c r="H2144" i="2"/>
  <c r="I2144" i="2" s="1"/>
  <c r="L2144" i="2" s="1"/>
  <c r="K2143" i="2"/>
  <c r="J2143" i="2"/>
  <c r="H2143" i="2"/>
  <c r="I2143" i="2" s="1"/>
  <c r="L2143" i="2" s="1"/>
  <c r="K2142" i="2"/>
  <c r="J2142" i="2"/>
  <c r="I2142" i="2"/>
  <c r="L2142" i="2" s="1"/>
  <c r="H2142" i="2"/>
  <c r="K2141" i="2"/>
  <c r="J2141" i="2"/>
  <c r="I2141" i="2"/>
  <c r="L2141" i="2" s="1"/>
  <c r="H2141" i="2"/>
  <c r="K2140" i="2"/>
  <c r="J2140" i="2"/>
  <c r="H2140" i="2"/>
  <c r="I2140" i="2" s="1"/>
  <c r="L2140" i="2" s="1"/>
  <c r="L2139" i="2"/>
  <c r="K2139" i="2"/>
  <c r="J2139" i="2"/>
  <c r="I2139" i="2"/>
  <c r="H2139" i="2"/>
  <c r="K2138" i="2"/>
  <c r="J2138" i="2"/>
  <c r="H2138" i="2"/>
  <c r="I2138" i="2" s="1"/>
  <c r="L2138" i="2" s="1"/>
  <c r="K2137" i="2"/>
  <c r="J2137" i="2"/>
  <c r="I2137" i="2"/>
  <c r="L2137" i="2" s="1"/>
  <c r="H2137" i="2"/>
  <c r="K2136" i="2"/>
  <c r="J2136" i="2"/>
  <c r="H2136" i="2"/>
  <c r="I2136" i="2" s="1"/>
  <c r="L2136" i="2" s="1"/>
  <c r="L2135" i="2"/>
  <c r="K2135" i="2"/>
  <c r="J2135" i="2"/>
  <c r="H2135" i="2"/>
  <c r="I2135" i="2" s="1"/>
  <c r="L2134" i="2"/>
  <c r="K2134" i="2"/>
  <c r="J2134" i="2"/>
  <c r="H2134" i="2"/>
  <c r="I2134" i="2" s="1"/>
  <c r="K2133" i="2"/>
  <c r="J2133" i="2"/>
  <c r="H2133" i="2"/>
  <c r="I2133" i="2" s="1"/>
  <c r="L2133" i="2" s="1"/>
  <c r="L2132" i="2"/>
  <c r="K2132" i="2"/>
  <c r="J2132" i="2"/>
  <c r="H2132" i="2"/>
  <c r="I2132" i="2" s="1"/>
  <c r="K2131" i="2"/>
  <c r="J2131" i="2"/>
  <c r="H2131" i="2"/>
  <c r="I2131" i="2" s="1"/>
  <c r="L2131" i="2" s="1"/>
  <c r="K2130" i="2"/>
  <c r="J2130" i="2"/>
  <c r="H2130" i="2"/>
  <c r="I2130" i="2" s="1"/>
  <c r="L2130" i="2" s="1"/>
  <c r="L2129" i="2"/>
  <c r="K2129" i="2"/>
  <c r="J2129" i="2"/>
  <c r="I2129" i="2"/>
  <c r="H2129" i="2"/>
  <c r="K2128" i="2"/>
  <c r="J2128" i="2"/>
  <c r="I2128" i="2"/>
  <c r="L2128" i="2" s="1"/>
  <c r="H2128" i="2"/>
  <c r="K2127" i="2"/>
  <c r="J2127" i="2"/>
  <c r="I2127" i="2"/>
  <c r="L2127" i="2" s="1"/>
  <c r="H2127" i="2"/>
  <c r="K2126" i="2"/>
  <c r="J2126" i="2"/>
  <c r="H2126" i="2"/>
  <c r="I2126" i="2" s="1"/>
  <c r="L2126" i="2" s="1"/>
  <c r="K2125" i="2"/>
  <c r="J2125" i="2"/>
  <c r="H2125" i="2"/>
  <c r="I2125" i="2" s="1"/>
  <c r="L2125" i="2" s="1"/>
  <c r="L2124" i="2"/>
  <c r="K2124" i="2"/>
  <c r="J2124" i="2"/>
  <c r="H2124" i="2"/>
  <c r="I2124" i="2" s="1"/>
  <c r="K2123" i="2"/>
  <c r="J2123" i="2"/>
  <c r="H2123" i="2"/>
  <c r="I2123" i="2" s="1"/>
  <c r="L2123" i="2" s="1"/>
  <c r="K2122" i="2"/>
  <c r="J2122" i="2"/>
  <c r="I2122" i="2"/>
  <c r="L2122" i="2" s="1"/>
  <c r="H2122" i="2"/>
  <c r="K2121" i="2"/>
  <c r="J2121" i="2"/>
  <c r="I2121" i="2"/>
  <c r="L2121" i="2" s="1"/>
  <c r="H2121" i="2"/>
  <c r="K2120" i="2"/>
  <c r="J2120" i="2"/>
  <c r="H2120" i="2"/>
  <c r="I2120" i="2" s="1"/>
  <c r="L2120" i="2" s="1"/>
  <c r="K2119" i="2"/>
  <c r="J2119" i="2"/>
  <c r="H2119" i="2"/>
  <c r="I2119" i="2" s="1"/>
  <c r="L2119" i="2" s="1"/>
  <c r="L2118" i="2"/>
  <c r="K2118" i="2"/>
  <c r="J2118" i="2"/>
  <c r="I2118" i="2"/>
  <c r="H2118" i="2"/>
  <c r="K2117" i="2"/>
  <c r="J2117" i="2"/>
  <c r="I2117" i="2"/>
  <c r="L2117" i="2" s="1"/>
  <c r="H2117" i="2"/>
  <c r="K2116" i="2"/>
  <c r="J2116" i="2"/>
  <c r="H2116" i="2"/>
  <c r="I2116" i="2" s="1"/>
  <c r="L2116" i="2" s="1"/>
  <c r="K2115" i="2"/>
  <c r="J2115" i="2"/>
  <c r="H2115" i="2"/>
  <c r="I2115" i="2" s="1"/>
  <c r="L2115" i="2" s="1"/>
  <c r="K2114" i="2"/>
  <c r="J2114" i="2"/>
  <c r="H2114" i="2"/>
  <c r="I2114" i="2" s="1"/>
  <c r="L2114" i="2" s="1"/>
  <c r="K2113" i="2"/>
  <c r="J2113" i="2"/>
  <c r="H2113" i="2"/>
  <c r="I2113" i="2" s="1"/>
  <c r="L2113" i="2" s="1"/>
  <c r="K2112" i="2"/>
  <c r="J2112" i="2"/>
  <c r="H2112" i="2"/>
  <c r="K2111" i="2"/>
  <c r="J2111" i="2"/>
  <c r="H2111" i="2"/>
  <c r="I2111" i="2" s="1"/>
  <c r="L2111" i="2" s="1"/>
  <c r="L2110" i="2"/>
  <c r="K2110" i="2"/>
  <c r="J2110" i="2"/>
  <c r="I2110" i="2"/>
  <c r="H2110" i="2"/>
  <c r="K2109" i="2"/>
  <c r="J2109" i="2"/>
  <c r="H2109" i="2"/>
  <c r="I2109" i="2" s="1"/>
  <c r="L2109" i="2" s="1"/>
  <c r="K2108" i="2"/>
  <c r="J2108" i="2"/>
  <c r="H2108" i="2"/>
  <c r="I2108" i="2" s="1"/>
  <c r="L2108" i="2" s="1"/>
  <c r="L2107" i="2"/>
  <c r="K2107" i="2"/>
  <c r="J2107" i="2"/>
  <c r="I2107" i="2"/>
  <c r="H2107" i="2"/>
  <c r="K2106" i="2"/>
  <c r="J2106" i="2"/>
  <c r="H2106" i="2"/>
  <c r="I2106" i="2" s="1"/>
  <c r="L2106" i="2" s="1"/>
  <c r="K2105" i="2"/>
  <c r="J2105" i="2"/>
  <c r="I2105" i="2"/>
  <c r="L2105" i="2" s="1"/>
  <c r="H2105" i="2"/>
  <c r="L2104" i="2"/>
  <c r="K2104" i="2"/>
  <c r="J2104" i="2"/>
  <c r="H2104" i="2"/>
  <c r="I2104" i="2" s="1"/>
  <c r="K2103" i="2"/>
  <c r="J2103" i="2"/>
  <c r="H2103" i="2"/>
  <c r="I2103" i="2" s="1"/>
  <c r="L2103" i="2" s="1"/>
  <c r="K2102" i="2"/>
  <c r="J2102" i="2"/>
  <c r="H2102" i="2"/>
  <c r="I2102" i="2" s="1"/>
  <c r="L2102" i="2" s="1"/>
  <c r="K2101" i="2"/>
  <c r="J2101" i="2"/>
  <c r="H2101" i="2"/>
  <c r="I2101" i="2" s="1"/>
  <c r="L2101" i="2" s="1"/>
  <c r="K2100" i="2"/>
  <c r="J2100" i="2"/>
  <c r="H2100" i="2"/>
  <c r="I2100" i="2" s="1"/>
  <c r="L2100" i="2" s="1"/>
  <c r="K2099" i="2"/>
  <c r="J2099" i="2"/>
  <c r="H2099" i="2"/>
  <c r="I2099" i="2" s="1"/>
  <c r="L2099" i="2" s="1"/>
  <c r="K2098" i="2"/>
  <c r="J2098" i="2"/>
  <c r="H2098" i="2"/>
  <c r="I2098" i="2" s="1"/>
  <c r="L2098" i="2" s="1"/>
  <c r="K2097" i="2"/>
  <c r="J2097" i="2"/>
  <c r="I2097" i="2"/>
  <c r="L2097" i="2" s="1"/>
  <c r="H2097" i="2"/>
  <c r="K2096" i="2"/>
  <c r="J2096" i="2"/>
  <c r="I2096" i="2"/>
  <c r="L2096" i="2" s="1"/>
  <c r="H2096" i="2"/>
  <c r="K2095" i="2"/>
  <c r="J2095" i="2"/>
  <c r="H2095" i="2"/>
  <c r="I2095" i="2" s="1"/>
  <c r="L2095" i="2" s="1"/>
  <c r="K2094" i="2"/>
  <c r="J2094" i="2"/>
  <c r="H2094" i="2"/>
  <c r="I2094" i="2" s="1"/>
  <c r="L2094" i="2" s="1"/>
  <c r="K2093" i="2"/>
  <c r="J2093" i="2"/>
  <c r="I2093" i="2"/>
  <c r="L2093" i="2" s="1"/>
  <c r="H2093" i="2"/>
  <c r="K2092" i="2"/>
  <c r="J2092" i="2"/>
  <c r="H2092" i="2"/>
  <c r="I2092" i="2" s="1"/>
  <c r="L2092" i="2" s="1"/>
  <c r="K2091" i="2"/>
  <c r="J2091" i="2"/>
  <c r="I2091" i="2"/>
  <c r="L2091" i="2" s="1"/>
  <c r="H2091" i="2"/>
  <c r="K2090" i="2"/>
  <c r="J2090" i="2"/>
  <c r="I2090" i="2"/>
  <c r="L2090" i="2" s="1"/>
  <c r="H2090" i="2"/>
  <c r="K2089" i="2"/>
  <c r="J2089" i="2"/>
  <c r="H2089" i="2"/>
  <c r="I2089" i="2" s="1"/>
  <c r="L2089" i="2" s="1"/>
  <c r="K2088" i="2"/>
  <c r="J2088" i="2"/>
  <c r="H2088" i="2"/>
  <c r="I2088" i="2" s="1"/>
  <c r="L2088" i="2" s="1"/>
  <c r="K2087" i="2"/>
  <c r="J2087" i="2"/>
  <c r="H2087" i="2"/>
  <c r="I2087" i="2" s="1"/>
  <c r="L2087" i="2" s="1"/>
  <c r="K2086" i="2"/>
  <c r="J2086" i="2"/>
  <c r="H2086" i="2"/>
  <c r="I2086" i="2" s="1"/>
  <c r="L2086" i="2" s="1"/>
  <c r="K2085" i="2"/>
  <c r="J2085" i="2"/>
  <c r="H2085" i="2"/>
  <c r="I2085" i="2" s="1"/>
  <c r="L2085" i="2" s="1"/>
  <c r="K2084" i="2"/>
  <c r="J2084" i="2"/>
  <c r="H2084" i="2"/>
  <c r="I2084" i="2" s="1"/>
  <c r="L2084" i="2" s="1"/>
  <c r="L2083" i="2"/>
  <c r="K2083" i="2"/>
  <c r="J2083" i="2"/>
  <c r="I2083" i="2"/>
  <c r="H2083" i="2"/>
  <c r="K2082" i="2"/>
  <c r="J2082" i="2"/>
  <c r="H2082" i="2"/>
  <c r="K2081" i="2"/>
  <c r="J2081" i="2"/>
  <c r="I2081" i="2"/>
  <c r="L2081" i="2" s="1"/>
  <c r="H2081" i="2"/>
  <c r="L2080" i="2"/>
  <c r="K2080" i="2"/>
  <c r="J2080" i="2"/>
  <c r="H2080" i="2"/>
  <c r="I2080" i="2" s="1"/>
  <c r="K2079" i="2"/>
  <c r="J2079" i="2"/>
  <c r="H2079" i="2"/>
  <c r="I2079" i="2" s="1"/>
  <c r="L2079" i="2" s="1"/>
  <c r="K2078" i="2"/>
  <c r="J2078" i="2"/>
  <c r="H2078" i="2"/>
  <c r="I2078" i="2" s="1"/>
  <c r="L2078" i="2" s="1"/>
  <c r="L2077" i="2"/>
  <c r="K2077" i="2"/>
  <c r="J2077" i="2"/>
  <c r="H2077" i="2"/>
  <c r="I2077" i="2" s="1"/>
  <c r="K2076" i="2"/>
  <c r="J2076" i="2"/>
  <c r="H2076" i="2"/>
  <c r="I2076" i="2" s="1"/>
  <c r="L2076" i="2" s="1"/>
  <c r="K2075" i="2"/>
  <c r="J2075" i="2"/>
  <c r="I2075" i="2"/>
  <c r="L2075" i="2" s="1"/>
  <c r="H2075" i="2"/>
  <c r="K2074" i="2"/>
  <c r="J2074" i="2"/>
  <c r="H2074" i="2"/>
  <c r="I2074" i="2" s="1"/>
  <c r="L2074" i="2" s="1"/>
  <c r="K2073" i="2"/>
  <c r="J2073" i="2"/>
  <c r="H2073" i="2"/>
  <c r="I2073" i="2" s="1"/>
  <c r="L2073" i="2" s="1"/>
  <c r="K2072" i="2"/>
  <c r="J2072" i="2"/>
  <c r="H2072" i="2"/>
  <c r="I2072" i="2" s="1"/>
  <c r="L2072" i="2" s="1"/>
  <c r="K2071" i="2"/>
  <c r="J2071" i="2"/>
  <c r="H2071" i="2"/>
  <c r="I2071" i="2" s="1"/>
  <c r="L2071" i="2" s="1"/>
  <c r="K2070" i="2"/>
  <c r="J2070" i="2"/>
  <c r="H2070" i="2"/>
  <c r="I2070" i="2" s="1"/>
  <c r="L2070" i="2" s="1"/>
  <c r="K2069" i="2"/>
  <c r="J2069" i="2"/>
  <c r="I2069" i="2"/>
  <c r="L2069" i="2" s="1"/>
  <c r="H2069" i="2"/>
  <c r="L2068" i="2"/>
  <c r="K2068" i="2"/>
  <c r="J2068" i="2"/>
  <c r="H2068" i="2"/>
  <c r="I2068" i="2" s="1"/>
  <c r="K2067" i="2"/>
  <c r="J2067" i="2"/>
  <c r="H2067" i="2"/>
  <c r="I2067" i="2" s="1"/>
  <c r="L2067" i="2" s="1"/>
  <c r="K2066" i="2"/>
  <c r="J2066" i="2"/>
  <c r="I2066" i="2"/>
  <c r="L2066" i="2" s="1"/>
  <c r="H2066" i="2"/>
  <c r="K2065" i="2"/>
  <c r="J2065" i="2"/>
  <c r="I2065" i="2"/>
  <c r="L2065" i="2" s="1"/>
  <c r="H2065" i="2"/>
  <c r="K2064" i="2"/>
  <c r="J2064" i="2"/>
  <c r="H2064" i="2"/>
  <c r="I2064" i="2" s="1"/>
  <c r="L2064" i="2" s="1"/>
  <c r="K2063" i="2"/>
  <c r="J2063" i="2"/>
  <c r="H2063" i="2"/>
  <c r="I2063" i="2" s="1"/>
  <c r="L2063" i="2" s="1"/>
  <c r="K2062" i="2"/>
  <c r="J2062" i="2"/>
  <c r="H2062" i="2"/>
  <c r="I2062" i="2" s="1"/>
  <c r="L2062" i="2" s="1"/>
  <c r="K2061" i="2"/>
  <c r="J2061" i="2"/>
  <c r="H2061" i="2"/>
  <c r="I2061" i="2" s="1"/>
  <c r="L2061" i="2" s="1"/>
  <c r="K2060" i="2"/>
  <c r="J2060" i="2"/>
  <c r="I2060" i="2"/>
  <c r="L2060" i="2" s="1"/>
  <c r="H2060" i="2"/>
  <c r="K2059" i="2"/>
  <c r="J2059" i="2"/>
  <c r="H2059" i="2"/>
  <c r="I2059" i="2" s="1"/>
  <c r="L2059" i="2" s="1"/>
  <c r="K2058" i="2"/>
  <c r="J2058" i="2"/>
  <c r="I2058" i="2"/>
  <c r="L2058" i="2" s="1"/>
  <c r="H2058" i="2"/>
  <c r="L2057" i="2"/>
  <c r="K2057" i="2"/>
  <c r="J2057" i="2"/>
  <c r="I2057" i="2"/>
  <c r="H2057" i="2"/>
  <c r="K2056" i="2"/>
  <c r="J2056" i="2"/>
  <c r="H2056" i="2"/>
  <c r="I2056" i="2" s="1"/>
  <c r="L2056" i="2" s="1"/>
  <c r="L2055" i="2"/>
  <c r="K2055" i="2"/>
  <c r="J2055" i="2"/>
  <c r="I2055" i="2"/>
  <c r="H2055" i="2"/>
  <c r="K2054" i="2"/>
  <c r="J2054" i="2"/>
  <c r="I2054" i="2"/>
  <c r="L2054" i="2" s="1"/>
  <c r="H2054" i="2"/>
  <c r="K2053" i="2"/>
  <c r="J2053" i="2"/>
  <c r="H2053" i="2"/>
  <c r="I2053" i="2" s="1"/>
  <c r="L2053" i="2" s="1"/>
  <c r="L2052" i="2"/>
  <c r="K2052" i="2"/>
  <c r="J2052" i="2"/>
  <c r="H2052" i="2"/>
  <c r="I2052" i="2" s="1"/>
  <c r="K2051" i="2"/>
  <c r="J2051" i="2"/>
  <c r="H2051" i="2"/>
  <c r="I2051" i="2" s="1"/>
  <c r="L2051" i="2" s="1"/>
  <c r="K2050" i="2"/>
  <c r="J2050" i="2"/>
  <c r="I2050" i="2" s="1"/>
  <c r="L2050" i="2" s="1"/>
  <c r="H2050" i="2"/>
  <c r="K2049" i="2"/>
  <c r="J2049" i="2"/>
  <c r="H2049" i="2"/>
  <c r="I2049" i="2" s="1"/>
  <c r="L2049" i="2" s="1"/>
  <c r="K2048" i="2"/>
  <c r="J2048" i="2"/>
  <c r="H2048" i="2"/>
  <c r="I2048" i="2" s="1"/>
  <c r="L2048" i="2" s="1"/>
  <c r="L2047" i="2"/>
  <c r="K2047" i="2"/>
  <c r="J2047" i="2"/>
  <c r="H2047" i="2"/>
  <c r="I2047" i="2" s="1"/>
  <c r="K2046" i="2"/>
  <c r="J2046" i="2"/>
  <c r="H2046" i="2"/>
  <c r="I2046" i="2" s="1"/>
  <c r="L2046" i="2" s="1"/>
  <c r="K2045" i="2"/>
  <c r="J2045" i="2"/>
  <c r="I2045" i="2"/>
  <c r="L2045" i="2" s="1"/>
  <c r="H2045" i="2"/>
  <c r="K2044" i="2"/>
  <c r="J2044" i="2"/>
  <c r="I2044" i="2"/>
  <c r="L2044" i="2" s="1"/>
  <c r="H2044" i="2"/>
  <c r="K2043" i="2"/>
  <c r="J2043" i="2"/>
  <c r="I2043" i="2"/>
  <c r="L2043" i="2" s="1"/>
  <c r="H2043" i="2"/>
  <c r="L2042" i="2"/>
  <c r="K2042" i="2"/>
  <c r="J2042" i="2"/>
  <c r="H2042" i="2"/>
  <c r="I2042" i="2" s="1"/>
  <c r="K2041" i="2"/>
  <c r="J2041" i="2"/>
  <c r="I2041" i="2" s="1"/>
  <c r="L2041" i="2" s="1"/>
  <c r="H2041" i="2"/>
  <c r="L2040" i="2"/>
  <c r="K2040" i="2"/>
  <c r="J2040" i="2"/>
  <c r="I2040" i="2"/>
  <c r="H2040" i="2"/>
  <c r="K2039" i="2"/>
  <c r="J2039" i="2"/>
  <c r="H2039" i="2"/>
  <c r="I2039" i="2" s="1"/>
  <c r="L2039" i="2" s="1"/>
  <c r="K2038" i="2"/>
  <c r="J2038" i="2"/>
  <c r="H2038" i="2"/>
  <c r="I2038" i="2" s="1"/>
  <c r="L2038" i="2" s="1"/>
  <c r="K2037" i="2"/>
  <c r="J2037" i="2"/>
  <c r="H2037" i="2"/>
  <c r="I2037" i="2" s="1"/>
  <c r="L2037" i="2" s="1"/>
  <c r="K2036" i="2"/>
  <c r="J2036" i="2"/>
  <c r="I2036" i="2"/>
  <c r="L2036" i="2" s="1"/>
  <c r="H2036" i="2"/>
  <c r="L2035" i="2"/>
  <c r="K2035" i="2"/>
  <c r="J2035" i="2"/>
  <c r="H2035" i="2"/>
  <c r="I2035" i="2" s="1"/>
  <c r="K2034" i="2"/>
  <c r="J2034" i="2"/>
  <c r="I2034" i="2"/>
  <c r="L2034" i="2" s="1"/>
  <c r="H2034" i="2"/>
  <c r="K2033" i="2"/>
  <c r="J2033" i="2"/>
  <c r="I2033" i="2" s="1"/>
  <c r="L2033" i="2" s="1"/>
  <c r="H2033" i="2"/>
  <c r="K2032" i="2"/>
  <c r="J2032" i="2"/>
  <c r="H2032" i="2"/>
  <c r="I2032" i="2" s="1"/>
  <c r="L2032" i="2" s="1"/>
  <c r="K2031" i="2"/>
  <c r="J2031" i="2"/>
  <c r="I2031" i="2"/>
  <c r="L2031" i="2" s="1"/>
  <c r="H2031" i="2"/>
  <c r="L2030" i="2"/>
  <c r="K2030" i="2"/>
  <c r="J2030" i="2"/>
  <c r="H2030" i="2"/>
  <c r="I2030" i="2" s="1"/>
  <c r="K2029" i="2"/>
  <c r="J2029" i="2"/>
  <c r="H2029" i="2"/>
  <c r="I2029" i="2" s="1"/>
  <c r="L2029" i="2" s="1"/>
  <c r="K2028" i="2"/>
  <c r="J2028" i="2"/>
  <c r="H2028" i="2"/>
  <c r="I2028" i="2" s="1"/>
  <c r="L2028" i="2" s="1"/>
  <c r="K2027" i="2"/>
  <c r="J2027" i="2"/>
  <c r="H2027" i="2"/>
  <c r="I2027" i="2" s="1"/>
  <c r="L2027" i="2" s="1"/>
  <c r="K2026" i="2"/>
  <c r="J2026" i="2"/>
  <c r="I2026" i="2"/>
  <c r="L2026" i="2" s="1"/>
  <c r="H2026" i="2"/>
  <c r="K2025" i="2"/>
  <c r="J2025" i="2"/>
  <c r="H2025" i="2"/>
  <c r="I2025" i="2" s="1"/>
  <c r="L2025" i="2" s="1"/>
  <c r="K2024" i="2"/>
  <c r="J2024" i="2"/>
  <c r="H2024" i="2"/>
  <c r="I2024" i="2" s="1"/>
  <c r="L2024" i="2" s="1"/>
  <c r="K2023" i="2"/>
  <c r="J2023" i="2"/>
  <c r="I2023" i="2"/>
  <c r="L2023" i="2" s="1"/>
  <c r="H2023" i="2"/>
  <c r="K2022" i="2"/>
  <c r="J2022" i="2"/>
  <c r="H2022" i="2"/>
  <c r="I2022" i="2" s="1"/>
  <c r="L2022" i="2" s="1"/>
  <c r="K2021" i="2"/>
  <c r="J2021" i="2"/>
  <c r="I2021" i="2" s="1"/>
  <c r="L2021" i="2" s="1"/>
  <c r="H2021" i="2"/>
  <c r="K2020" i="2"/>
  <c r="J2020" i="2"/>
  <c r="H2020" i="2"/>
  <c r="I2020" i="2" s="1"/>
  <c r="L2020" i="2" s="1"/>
  <c r="K2019" i="2"/>
  <c r="J2019" i="2"/>
  <c r="H2019" i="2"/>
  <c r="I2019" i="2" s="1"/>
  <c r="L2019" i="2" s="1"/>
  <c r="L2018" i="2"/>
  <c r="K2018" i="2"/>
  <c r="J2018" i="2"/>
  <c r="I2018" i="2"/>
  <c r="H2018" i="2"/>
  <c r="K2017" i="2"/>
  <c r="J2017" i="2"/>
  <c r="H2017" i="2"/>
  <c r="I2017" i="2" s="1"/>
  <c r="L2017" i="2" s="1"/>
  <c r="K2016" i="2"/>
  <c r="J2016" i="2"/>
  <c r="H2016" i="2"/>
  <c r="I2016" i="2" s="1"/>
  <c r="L2016" i="2" s="1"/>
  <c r="L2015" i="2"/>
  <c r="K2015" i="2"/>
  <c r="J2015" i="2"/>
  <c r="H2015" i="2"/>
  <c r="I2015" i="2" s="1"/>
  <c r="K2014" i="2"/>
  <c r="J2014" i="2"/>
  <c r="I2014" i="2"/>
  <c r="L2014" i="2" s="1"/>
  <c r="H2014" i="2"/>
  <c r="K2013" i="2"/>
  <c r="J2013" i="2"/>
  <c r="H2013" i="2"/>
  <c r="I2013" i="2" s="1"/>
  <c r="L2013" i="2" s="1"/>
  <c r="K2012" i="2"/>
  <c r="J2012" i="2"/>
  <c r="I2012" i="2"/>
  <c r="L2012" i="2" s="1"/>
  <c r="H2012" i="2"/>
  <c r="K2011" i="2"/>
  <c r="J2011" i="2"/>
  <c r="I2011" i="2"/>
  <c r="L2011" i="2" s="1"/>
  <c r="H2011" i="2"/>
  <c r="L2010" i="2"/>
  <c r="K2010" i="2"/>
  <c r="J2010" i="2"/>
  <c r="I2010" i="2"/>
  <c r="H2010" i="2"/>
  <c r="K2009" i="2"/>
  <c r="J2009" i="2"/>
  <c r="I2009" i="2" s="1"/>
  <c r="L2009" i="2" s="1"/>
  <c r="H2009" i="2"/>
  <c r="K2008" i="2"/>
  <c r="J2008" i="2"/>
  <c r="I2008" i="2"/>
  <c r="L2008" i="2" s="1"/>
  <c r="H2008" i="2"/>
  <c r="K2007" i="2"/>
  <c r="J2007" i="2"/>
  <c r="I2007" i="2"/>
  <c r="L2007" i="2" s="1"/>
  <c r="H2007" i="2"/>
  <c r="K2006" i="2"/>
  <c r="J2006" i="2"/>
  <c r="H2006" i="2"/>
  <c r="I2006" i="2" s="1"/>
  <c r="L2006" i="2" s="1"/>
  <c r="K2005" i="2"/>
  <c r="J2005" i="2"/>
  <c r="H2005" i="2"/>
  <c r="I2005" i="2" s="1"/>
  <c r="L2005" i="2" s="1"/>
  <c r="L2004" i="2"/>
  <c r="K2004" i="2"/>
  <c r="J2004" i="2"/>
  <c r="H2004" i="2"/>
  <c r="I2004" i="2" s="1"/>
  <c r="K2003" i="2"/>
  <c r="J2003" i="2"/>
  <c r="I2003" i="2"/>
  <c r="L2003" i="2" s="1"/>
  <c r="H2003" i="2"/>
  <c r="K2002" i="2"/>
  <c r="J2002" i="2"/>
  <c r="I2002" i="2"/>
  <c r="L2002" i="2" s="1"/>
  <c r="H2002" i="2"/>
  <c r="K2001" i="2"/>
  <c r="J2001" i="2"/>
  <c r="I2001" i="2"/>
  <c r="L2001" i="2" s="1"/>
  <c r="H2001" i="2"/>
  <c r="K2000" i="2"/>
  <c r="J2000" i="2"/>
  <c r="H2000" i="2"/>
  <c r="I2000" i="2" s="1"/>
  <c r="L2000" i="2" s="1"/>
  <c r="K1999" i="2"/>
  <c r="J1999" i="2"/>
  <c r="H1999" i="2"/>
  <c r="I1999" i="2" s="1"/>
  <c r="L1999" i="2" s="1"/>
  <c r="K1998" i="2"/>
  <c r="J1998" i="2"/>
  <c r="I1998" i="2"/>
  <c r="L1998" i="2" s="1"/>
  <c r="H1998" i="2"/>
  <c r="K1997" i="2"/>
  <c r="J1997" i="2"/>
  <c r="I1997" i="2"/>
  <c r="L1997" i="2" s="1"/>
  <c r="H1997" i="2"/>
  <c r="K1996" i="2"/>
  <c r="J1996" i="2"/>
  <c r="H1996" i="2"/>
  <c r="I1996" i="2" s="1"/>
  <c r="L1996" i="2" s="1"/>
  <c r="K1995" i="2"/>
  <c r="J1995" i="2"/>
  <c r="H1995" i="2"/>
  <c r="I1995" i="2" s="1"/>
  <c r="L1995" i="2" s="1"/>
  <c r="K1994" i="2"/>
  <c r="J1994" i="2"/>
  <c r="H1994" i="2"/>
  <c r="I1994" i="2" s="1"/>
  <c r="L1994" i="2" s="1"/>
  <c r="L1993" i="2"/>
  <c r="K1993" i="2"/>
  <c r="J1993" i="2"/>
  <c r="I1993" i="2"/>
  <c r="H1993" i="2"/>
  <c r="K1992" i="2"/>
  <c r="J1992" i="2"/>
  <c r="H1992" i="2"/>
  <c r="I1992" i="2" s="1"/>
  <c r="L1992" i="2" s="1"/>
  <c r="K1991" i="2"/>
  <c r="J1991" i="2"/>
  <c r="H1991" i="2"/>
  <c r="I1991" i="2" s="1"/>
  <c r="L1991" i="2" s="1"/>
  <c r="K1990" i="2"/>
  <c r="J1990" i="2"/>
  <c r="H1990" i="2"/>
  <c r="I1990" i="2" s="1"/>
  <c r="L1990" i="2" s="1"/>
  <c r="K1989" i="2"/>
  <c r="J1989" i="2"/>
  <c r="H1989" i="2"/>
  <c r="I1989" i="2" s="1"/>
  <c r="L1989" i="2" s="1"/>
  <c r="K1988" i="2"/>
  <c r="J1988" i="2"/>
  <c r="I1988" i="2"/>
  <c r="L1988" i="2" s="1"/>
  <c r="H1988" i="2"/>
  <c r="K1987" i="2"/>
  <c r="J1987" i="2"/>
  <c r="H1987" i="2"/>
  <c r="I1987" i="2" s="1"/>
  <c r="L1987" i="2" s="1"/>
  <c r="K1986" i="2"/>
  <c r="J1986" i="2"/>
  <c r="H1986" i="2"/>
  <c r="I1986" i="2" s="1"/>
  <c r="L1986" i="2" s="1"/>
  <c r="L1985" i="2"/>
  <c r="K1985" i="2"/>
  <c r="J1985" i="2"/>
  <c r="I1985" i="2"/>
  <c r="H1985" i="2"/>
  <c r="K1984" i="2"/>
  <c r="J1984" i="2"/>
  <c r="H1984" i="2"/>
  <c r="I1984" i="2" s="1"/>
  <c r="L1984" i="2" s="1"/>
  <c r="K1983" i="2"/>
  <c r="J1983" i="2"/>
  <c r="H1983" i="2"/>
  <c r="I1983" i="2" s="1"/>
  <c r="L1983" i="2" s="1"/>
  <c r="K1982" i="2"/>
  <c r="J1982" i="2"/>
  <c r="H1982" i="2"/>
  <c r="I1982" i="2" s="1"/>
  <c r="L1982" i="2" s="1"/>
  <c r="K1981" i="2"/>
  <c r="J1981" i="2"/>
  <c r="H1981" i="2"/>
  <c r="I1981" i="2" s="1"/>
  <c r="L1981" i="2" s="1"/>
  <c r="K1980" i="2"/>
  <c r="J1980" i="2"/>
  <c r="H1980" i="2"/>
  <c r="I1980" i="2" s="1"/>
  <c r="L1980" i="2" s="1"/>
  <c r="K1979" i="2"/>
  <c r="J1979" i="2"/>
  <c r="I1979" i="2"/>
  <c r="L1979" i="2" s="1"/>
  <c r="H1979" i="2"/>
  <c r="L1978" i="2"/>
  <c r="K1978" i="2"/>
  <c r="J1978" i="2"/>
  <c r="H1978" i="2"/>
  <c r="I1978" i="2" s="1"/>
  <c r="K1977" i="2"/>
  <c r="J1977" i="2"/>
  <c r="I1977" i="2"/>
  <c r="L1977" i="2" s="1"/>
  <c r="H1977" i="2"/>
  <c r="K1976" i="2"/>
  <c r="J1976" i="2"/>
  <c r="H1976" i="2"/>
  <c r="I1976" i="2" s="1"/>
  <c r="L1976" i="2" s="1"/>
  <c r="L1975" i="2"/>
  <c r="K1975" i="2"/>
  <c r="J1975" i="2"/>
  <c r="H1975" i="2"/>
  <c r="I1975" i="2" s="1"/>
  <c r="K1974" i="2"/>
  <c r="J1974" i="2"/>
  <c r="I1974" i="2"/>
  <c r="L1974" i="2" s="1"/>
  <c r="H1974" i="2"/>
  <c r="L1973" i="2"/>
  <c r="K1973" i="2"/>
  <c r="J1973" i="2"/>
  <c r="I1973" i="2"/>
  <c r="H1973" i="2"/>
  <c r="K1972" i="2"/>
  <c r="J1972" i="2"/>
  <c r="H1972" i="2"/>
  <c r="I1972" i="2" s="1"/>
  <c r="L1972" i="2" s="1"/>
  <c r="K1971" i="2"/>
  <c r="J1971" i="2"/>
  <c r="H1971" i="2"/>
  <c r="I1971" i="2" s="1"/>
  <c r="L1971" i="2" s="1"/>
  <c r="K1970" i="2"/>
  <c r="J1970" i="2"/>
  <c r="I1970" i="2"/>
  <c r="L1970" i="2" s="1"/>
  <c r="H1970" i="2"/>
  <c r="L1969" i="2"/>
  <c r="K1969" i="2"/>
  <c r="J1969" i="2"/>
  <c r="I1969" i="2"/>
  <c r="H1969" i="2"/>
  <c r="L1968" i="2"/>
  <c r="K1968" i="2"/>
  <c r="J1968" i="2"/>
  <c r="I1968" i="2"/>
  <c r="H1968" i="2"/>
  <c r="K1967" i="2"/>
  <c r="J1967" i="2"/>
  <c r="H1967" i="2"/>
  <c r="I1967" i="2" s="1"/>
  <c r="L1967" i="2" s="1"/>
  <c r="K1966" i="2"/>
  <c r="J1966" i="2"/>
  <c r="I1966" i="2"/>
  <c r="L1966" i="2" s="1"/>
  <c r="H1966" i="2"/>
  <c r="K1965" i="2"/>
  <c r="J1965" i="2"/>
  <c r="H1965" i="2"/>
  <c r="I1965" i="2" s="1"/>
  <c r="L1965" i="2" s="1"/>
  <c r="K1964" i="2"/>
  <c r="J1964" i="2"/>
  <c r="H1964" i="2"/>
  <c r="I1964" i="2" s="1"/>
  <c r="L1964" i="2" s="1"/>
  <c r="K1963" i="2"/>
  <c r="J1963" i="2"/>
  <c r="H1963" i="2"/>
  <c r="I1963" i="2" s="1"/>
  <c r="L1963" i="2" s="1"/>
  <c r="K1962" i="2"/>
  <c r="J1962" i="2"/>
  <c r="H1962" i="2"/>
  <c r="I1962" i="2" s="1"/>
  <c r="L1962" i="2" s="1"/>
  <c r="K1961" i="2"/>
  <c r="J1961" i="2"/>
  <c r="I1961" i="2" s="1"/>
  <c r="L1961" i="2" s="1"/>
  <c r="H1961" i="2"/>
  <c r="K1960" i="2"/>
  <c r="J1960" i="2"/>
  <c r="H1960" i="2"/>
  <c r="I1960" i="2" s="1"/>
  <c r="L1960" i="2" s="1"/>
  <c r="K1959" i="2"/>
  <c r="J1959" i="2"/>
  <c r="I1959" i="2"/>
  <c r="L1959" i="2" s="1"/>
  <c r="H1959" i="2"/>
  <c r="K1958" i="2"/>
  <c r="J1958" i="2"/>
  <c r="H1958" i="2"/>
  <c r="I1958" i="2" s="1"/>
  <c r="L1958" i="2" s="1"/>
  <c r="K1957" i="2"/>
  <c r="J1957" i="2"/>
  <c r="H1957" i="2"/>
  <c r="I1957" i="2" s="1"/>
  <c r="L1957" i="2" s="1"/>
  <c r="K1956" i="2"/>
  <c r="J1956" i="2"/>
  <c r="H1956" i="2"/>
  <c r="K1955" i="2"/>
  <c r="J1955" i="2"/>
  <c r="H1955" i="2"/>
  <c r="I1955" i="2" s="1"/>
  <c r="L1955" i="2" s="1"/>
  <c r="K1954" i="2"/>
  <c r="J1954" i="2"/>
  <c r="H1954" i="2"/>
  <c r="I1954" i="2" s="1"/>
  <c r="L1954" i="2" s="1"/>
  <c r="K1953" i="2"/>
  <c r="J1953" i="2"/>
  <c r="H1953" i="2"/>
  <c r="I1953" i="2" s="1"/>
  <c r="L1953" i="2" s="1"/>
  <c r="K1952" i="2"/>
  <c r="J1952" i="2"/>
  <c r="H1952" i="2"/>
  <c r="I1952" i="2" s="1"/>
  <c r="L1952" i="2" s="1"/>
  <c r="K1951" i="2"/>
  <c r="J1951" i="2"/>
  <c r="I1951" i="2"/>
  <c r="L1951" i="2" s="1"/>
  <c r="H1951" i="2"/>
  <c r="K1950" i="2"/>
  <c r="J1950" i="2"/>
  <c r="H1950" i="2"/>
  <c r="I1950" i="2" s="1"/>
  <c r="L1950" i="2" s="1"/>
  <c r="K1949" i="2"/>
  <c r="J1949" i="2"/>
  <c r="I1949" i="2"/>
  <c r="L1949" i="2" s="1"/>
  <c r="H1949" i="2"/>
  <c r="L1948" i="2"/>
  <c r="K1948" i="2"/>
  <c r="J1948" i="2"/>
  <c r="H1948" i="2"/>
  <c r="I1948" i="2" s="1"/>
  <c r="K1947" i="2"/>
  <c r="J1947" i="2"/>
  <c r="H1947" i="2"/>
  <c r="I1947" i="2" s="1"/>
  <c r="L1947" i="2" s="1"/>
  <c r="K1946" i="2"/>
  <c r="J1946" i="2"/>
  <c r="H1946" i="2"/>
  <c r="I1946" i="2" s="1"/>
  <c r="L1946" i="2" s="1"/>
  <c r="K1945" i="2"/>
  <c r="J1945" i="2"/>
  <c r="H1945" i="2"/>
  <c r="K1944" i="2"/>
  <c r="J1944" i="2"/>
  <c r="H1944" i="2"/>
  <c r="I1944" i="2" s="1"/>
  <c r="L1944" i="2" s="1"/>
  <c r="K1943" i="2"/>
  <c r="J1943" i="2"/>
  <c r="H1943" i="2"/>
  <c r="I1943" i="2" s="1"/>
  <c r="L1943" i="2" s="1"/>
  <c r="K1942" i="2"/>
  <c r="J1942" i="2"/>
  <c r="I1942" i="2"/>
  <c r="L1942" i="2" s="1"/>
  <c r="H1942" i="2"/>
  <c r="K1941" i="2"/>
  <c r="J1941" i="2"/>
  <c r="I1941" i="2"/>
  <c r="L1941" i="2" s="1"/>
  <c r="H1941" i="2"/>
  <c r="K1940" i="2"/>
  <c r="J1940" i="2"/>
  <c r="H1940" i="2"/>
  <c r="I1940" i="2" s="1"/>
  <c r="L1940" i="2" s="1"/>
  <c r="K1939" i="2"/>
  <c r="J1939" i="2"/>
  <c r="H1939" i="2"/>
  <c r="I1939" i="2" s="1"/>
  <c r="L1939" i="2" s="1"/>
  <c r="L1938" i="2"/>
  <c r="K1938" i="2"/>
  <c r="J1938" i="2"/>
  <c r="H1938" i="2"/>
  <c r="I1938" i="2" s="1"/>
  <c r="K1937" i="2"/>
  <c r="J1937" i="2"/>
  <c r="I1937" i="2"/>
  <c r="L1937" i="2" s="1"/>
  <c r="H1937" i="2"/>
  <c r="K1936" i="2"/>
  <c r="J1936" i="2"/>
  <c r="H1936" i="2"/>
  <c r="I1936" i="2" s="1"/>
  <c r="L1936" i="2" s="1"/>
  <c r="K1935" i="2"/>
  <c r="J1935" i="2"/>
  <c r="H1935" i="2"/>
  <c r="I1935" i="2" s="1"/>
  <c r="L1935" i="2" s="1"/>
  <c r="L1934" i="2"/>
  <c r="K1934" i="2"/>
  <c r="J1934" i="2"/>
  <c r="I1934" i="2"/>
  <c r="H1934" i="2"/>
  <c r="K1933" i="2"/>
  <c r="J1933" i="2"/>
  <c r="I1933" i="2"/>
  <c r="L1933" i="2" s="1"/>
  <c r="H1933" i="2"/>
  <c r="K1932" i="2"/>
  <c r="J1932" i="2"/>
  <c r="H1932" i="2"/>
  <c r="I1932" i="2" s="1"/>
  <c r="L1932" i="2" s="1"/>
  <c r="K1931" i="2"/>
  <c r="J1931" i="2"/>
  <c r="H1931" i="2"/>
  <c r="I1931" i="2" s="1"/>
  <c r="L1931" i="2" s="1"/>
  <c r="K1930" i="2"/>
  <c r="J1930" i="2"/>
  <c r="I1930" i="2"/>
  <c r="L1930" i="2" s="1"/>
  <c r="H1930" i="2"/>
  <c r="K1929" i="2"/>
  <c r="J1929" i="2"/>
  <c r="H1929" i="2"/>
  <c r="I1929" i="2" s="1"/>
  <c r="L1929" i="2" s="1"/>
  <c r="K1928" i="2"/>
  <c r="J1928" i="2"/>
  <c r="H1928" i="2"/>
  <c r="I1928" i="2" s="1"/>
  <c r="L1928" i="2" s="1"/>
  <c r="K1927" i="2"/>
  <c r="J1927" i="2"/>
  <c r="I1927" i="2"/>
  <c r="L1927" i="2" s="1"/>
  <c r="H1927" i="2"/>
  <c r="K1926" i="2"/>
  <c r="J1926" i="2"/>
  <c r="H1926" i="2"/>
  <c r="I1926" i="2" s="1"/>
  <c r="L1926" i="2" s="1"/>
  <c r="K1925" i="2"/>
  <c r="J1925" i="2"/>
  <c r="I1925" i="2"/>
  <c r="L1925" i="2" s="1"/>
  <c r="H1925" i="2"/>
  <c r="K1924" i="2"/>
  <c r="J1924" i="2"/>
  <c r="H1924" i="2"/>
  <c r="I1924" i="2" s="1"/>
  <c r="L1924" i="2" s="1"/>
  <c r="K1923" i="2"/>
  <c r="J1923" i="2"/>
  <c r="H1923" i="2"/>
  <c r="I1923" i="2" s="1"/>
  <c r="L1923" i="2" s="1"/>
  <c r="K1922" i="2"/>
  <c r="J1922" i="2"/>
  <c r="I1922" i="2"/>
  <c r="L1922" i="2" s="1"/>
  <c r="H1922" i="2"/>
  <c r="L1921" i="2"/>
  <c r="K1921" i="2"/>
  <c r="J1921" i="2"/>
  <c r="H1921" i="2"/>
  <c r="I1921" i="2" s="1"/>
  <c r="K1920" i="2"/>
  <c r="J1920" i="2"/>
  <c r="H1920" i="2"/>
  <c r="K1919" i="2"/>
  <c r="J1919" i="2"/>
  <c r="I1919" i="2" s="1"/>
  <c r="L1919" i="2" s="1"/>
  <c r="H1919" i="2"/>
  <c r="K1918" i="2"/>
  <c r="J1918" i="2"/>
  <c r="H1918" i="2"/>
  <c r="I1918" i="2" s="1"/>
  <c r="L1918" i="2" s="1"/>
  <c r="K1917" i="2"/>
  <c r="J1917" i="2"/>
  <c r="H1917" i="2"/>
  <c r="I1917" i="2" s="1"/>
  <c r="L1917" i="2" s="1"/>
  <c r="K1916" i="2"/>
  <c r="J1916" i="2"/>
  <c r="H1916" i="2"/>
  <c r="I1916" i="2" s="1"/>
  <c r="L1916" i="2" s="1"/>
  <c r="K1915" i="2"/>
  <c r="J1915" i="2"/>
  <c r="I1915" i="2"/>
  <c r="L1915" i="2" s="1"/>
  <c r="H1915" i="2"/>
  <c r="K1914" i="2"/>
  <c r="J1914" i="2"/>
  <c r="I1914" i="2"/>
  <c r="L1914" i="2" s="1"/>
  <c r="H1914" i="2"/>
  <c r="K1913" i="2"/>
  <c r="J1913" i="2"/>
  <c r="I1913" i="2"/>
  <c r="L1913" i="2" s="1"/>
  <c r="H1913" i="2"/>
  <c r="L1912" i="2"/>
  <c r="K1912" i="2"/>
  <c r="J1912" i="2"/>
  <c r="H1912" i="2"/>
  <c r="I1912" i="2" s="1"/>
  <c r="K1911" i="2"/>
  <c r="J1911" i="2"/>
  <c r="H1911" i="2"/>
  <c r="I1911" i="2" s="1"/>
  <c r="L1911" i="2" s="1"/>
  <c r="K1910" i="2"/>
  <c r="J1910" i="2"/>
  <c r="I1910" i="2"/>
  <c r="L1910" i="2" s="1"/>
  <c r="H1910" i="2"/>
  <c r="L1909" i="2"/>
  <c r="K1909" i="2"/>
  <c r="J1909" i="2"/>
  <c r="I1909" i="2" s="1"/>
  <c r="H1909" i="2"/>
  <c r="K1908" i="2"/>
  <c r="J1908" i="2"/>
  <c r="H1908" i="2"/>
  <c r="I1908" i="2" s="1"/>
  <c r="L1908" i="2" s="1"/>
  <c r="K1907" i="2"/>
  <c r="J1907" i="2"/>
  <c r="H1907" i="2"/>
  <c r="I1907" i="2" s="1"/>
  <c r="L1907" i="2" s="1"/>
  <c r="L1906" i="2"/>
  <c r="K1906" i="2"/>
  <c r="J1906" i="2"/>
  <c r="H1906" i="2"/>
  <c r="I1906" i="2" s="1"/>
  <c r="K1905" i="2"/>
  <c r="J1905" i="2"/>
  <c r="H1905" i="2"/>
  <c r="I1905" i="2" s="1"/>
  <c r="L1905" i="2" s="1"/>
  <c r="K1904" i="2"/>
  <c r="J1904" i="2"/>
  <c r="H1904" i="2"/>
  <c r="I1904" i="2" s="1"/>
  <c r="L1904" i="2" s="1"/>
  <c r="K1903" i="2"/>
  <c r="J1903" i="2"/>
  <c r="I1903" i="2"/>
  <c r="L1903" i="2" s="1"/>
  <c r="H1903" i="2"/>
  <c r="K1902" i="2"/>
  <c r="J1902" i="2"/>
  <c r="H1902" i="2"/>
  <c r="I1902" i="2" s="1"/>
  <c r="L1902" i="2" s="1"/>
  <c r="L1901" i="2"/>
  <c r="K1901" i="2"/>
  <c r="J1901" i="2"/>
  <c r="I1901" i="2"/>
  <c r="H1901" i="2"/>
  <c r="K1900" i="2"/>
  <c r="J1900" i="2"/>
  <c r="H1900" i="2"/>
  <c r="I1900" i="2" s="1"/>
  <c r="L1900" i="2" s="1"/>
  <c r="K1899" i="2"/>
  <c r="J1899" i="2"/>
  <c r="I1899" i="2"/>
  <c r="L1899" i="2" s="1"/>
  <c r="H1899" i="2"/>
  <c r="K1898" i="2"/>
  <c r="J1898" i="2"/>
  <c r="I1898" i="2"/>
  <c r="L1898" i="2" s="1"/>
  <c r="H1898" i="2"/>
  <c r="K1897" i="2"/>
  <c r="J1897" i="2"/>
  <c r="H1897" i="2"/>
  <c r="I1897" i="2" s="1"/>
  <c r="L1897" i="2" s="1"/>
  <c r="L1896" i="2"/>
  <c r="K1896" i="2"/>
  <c r="J1896" i="2"/>
  <c r="H1896" i="2"/>
  <c r="I1896" i="2" s="1"/>
  <c r="K1895" i="2"/>
  <c r="J1895" i="2"/>
  <c r="H1895" i="2"/>
  <c r="I1895" i="2" s="1"/>
  <c r="L1895" i="2" s="1"/>
  <c r="K1894" i="2"/>
  <c r="J1894" i="2"/>
  <c r="I1894" i="2" s="1"/>
  <c r="L1894" i="2" s="1"/>
  <c r="H1894" i="2"/>
  <c r="K1893" i="2"/>
  <c r="J1893" i="2"/>
  <c r="H1893" i="2"/>
  <c r="I1893" i="2" s="1"/>
  <c r="L1893" i="2" s="1"/>
  <c r="K1892" i="2"/>
  <c r="J1892" i="2"/>
  <c r="H1892" i="2"/>
  <c r="I1892" i="2" s="1"/>
  <c r="L1892" i="2" s="1"/>
  <c r="K1891" i="2"/>
  <c r="J1891" i="2"/>
  <c r="H1891" i="2"/>
  <c r="I1891" i="2" s="1"/>
  <c r="L1891" i="2" s="1"/>
  <c r="L1890" i="2"/>
  <c r="K1890" i="2"/>
  <c r="J1890" i="2"/>
  <c r="I1890" i="2"/>
  <c r="H1890" i="2"/>
  <c r="K1889" i="2"/>
  <c r="J1889" i="2"/>
  <c r="I1889" i="2"/>
  <c r="L1889" i="2" s="1"/>
  <c r="H1889" i="2"/>
  <c r="K1888" i="2"/>
  <c r="J1888" i="2"/>
  <c r="I1888" i="2"/>
  <c r="L1888" i="2" s="1"/>
  <c r="H1888" i="2"/>
  <c r="K1887" i="2"/>
  <c r="J1887" i="2"/>
  <c r="H1887" i="2"/>
  <c r="I1887" i="2" s="1"/>
  <c r="L1887" i="2" s="1"/>
  <c r="K1886" i="2"/>
  <c r="J1886" i="2"/>
  <c r="H1886" i="2"/>
  <c r="I1886" i="2" s="1"/>
  <c r="L1886" i="2" s="1"/>
  <c r="K1885" i="2"/>
  <c r="J1885" i="2"/>
  <c r="I1885" i="2"/>
  <c r="L1885" i="2" s="1"/>
  <c r="H1885" i="2"/>
  <c r="K1884" i="2"/>
  <c r="J1884" i="2"/>
  <c r="H1884" i="2"/>
  <c r="K1883" i="2"/>
  <c r="J1883" i="2"/>
  <c r="H1883" i="2"/>
  <c r="I1883" i="2" s="1"/>
  <c r="L1883" i="2" s="1"/>
  <c r="K1882" i="2"/>
  <c r="J1882" i="2"/>
  <c r="H1882" i="2"/>
  <c r="K1881" i="2"/>
  <c r="J1881" i="2"/>
  <c r="H1881" i="2"/>
  <c r="I1881" i="2" s="1"/>
  <c r="L1881" i="2" s="1"/>
  <c r="K1880" i="2"/>
  <c r="J1880" i="2"/>
  <c r="I1880" i="2"/>
  <c r="L1880" i="2" s="1"/>
  <c r="H1880" i="2"/>
  <c r="K1879" i="2"/>
  <c r="J1879" i="2"/>
  <c r="I1879" i="2"/>
  <c r="L1879" i="2" s="1"/>
  <c r="H1879" i="2"/>
  <c r="K1878" i="2"/>
  <c r="J1878" i="2"/>
  <c r="H1878" i="2"/>
  <c r="I1878" i="2" s="1"/>
  <c r="L1878" i="2" s="1"/>
  <c r="L1877" i="2"/>
  <c r="K1877" i="2"/>
  <c r="J1877" i="2"/>
  <c r="I1877" i="2"/>
  <c r="H1877" i="2"/>
  <c r="K1876" i="2"/>
  <c r="J1876" i="2"/>
  <c r="H1876" i="2"/>
  <c r="I1876" i="2" s="1"/>
  <c r="L1876" i="2" s="1"/>
  <c r="K1875" i="2"/>
  <c r="J1875" i="2"/>
  <c r="H1875" i="2"/>
  <c r="I1875" i="2" s="1"/>
  <c r="L1875" i="2" s="1"/>
  <c r="K1874" i="2"/>
  <c r="J1874" i="2"/>
  <c r="H1874" i="2"/>
  <c r="K1873" i="2"/>
  <c r="J1873" i="2"/>
  <c r="H1873" i="2"/>
  <c r="I1873" i="2" s="1"/>
  <c r="L1873" i="2" s="1"/>
  <c r="L1872" i="2"/>
  <c r="K1872" i="2"/>
  <c r="J1872" i="2"/>
  <c r="I1872" i="2"/>
  <c r="H1872" i="2"/>
  <c r="K1871" i="2"/>
  <c r="J1871" i="2"/>
  <c r="H1871" i="2"/>
  <c r="I1871" i="2" s="1"/>
  <c r="L1871" i="2" s="1"/>
  <c r="K1870" i="2"/>
  <c r="J1870" i="2"/>
  <c r="H1870" i="2"/>
  <c r="I1870" i="2" s="1"/>
  <c r="L1870" i="2" s="1"/>
  <c r="K1869" i="2"/>
  <c r="J1869" i="2"/>
  <c r="H1869" i="2"/>
  <c r="I1869" i="2" s="1"/>
  <c r="L1869" i="2" s="1"/>
  <c r="K1868" i="2"/>
  <c r="J1868" i="2"/>
  <c r="H1868" i="2"/>
  <c r="K1867" i="2"/>
  <c r="J1867" i="2"/>
  <c r="H1867" i="2"/>
  <c r="I1867" i="2" s="1"/>
  <c r="L1867" i="2" s="1"/>
  <c r="K1866" i="2"/>
  <c r="J1866" i="2"/>
  <c r="I1866" i="2"/>
  <c r="L1866" i="2" s="1"/>
  <c r="H1866" i="2"/>
  <c r="K1865" i="2"/>
  <c r="J1865" i="2"/>
  <c r="I1865" i="2" s="1"/>
  <c r="L1865" i="2" s="1"/>
  <c r="H1865" i="2"/>
  <c r="L1864" i="2"/>
  <c r="K1864" i="2"/>
  <c r="J1864" i="2"/>
  <c r="H1864" i="2"/>
  <c r="I1864" i="2" s="1"/>
  <c r="K1863" i="2"/>
  <c r="J1863" i="2"/>
  <c r="I1863" i="2"/>
  <c r="L1863" i="2" s="1"/>
  <c r="H1863" i="2"/>
  <c r="L1862" i="2"/>
  <c r="K1862" i="2"/>
  <c r="J1862" i="2"/>
  <c r="I1862" i="2"/>
  <c r="H1862" i="2"/>
  <c r="K1861" i="2"/>
  <c r="J1861" i="2"/>
  <c r="H1861" i="2"/>
  <c r="I1861" i="2" s="1"/>
  <c r="L1861" i="2" s="1"/>
  <c r="K1860" i="2"/>
  <c r="J1860" i="2"/>
  <c r="H1860" i="2"/>
  <c r="I1860" i="2" s="1"/>
  <c r="L1860" i="2" s="1"/>
  <c r="L1859" i="2"/>
  <c r="K1859" i="2"/>
  <c r="J1859" i="2"/>
  <c r="I1859" i="2"/>
  <c r="H1859" i="2"/>
  <c r="K1858" i="2"/>
  <c r="J1858" i="2"/>
  <c r="H1858" i="2"/>
  <c r="I1858" i="2" s="1"/>
  <c r="L1858" i="2" s="1"/>
  <c r="K1857" i="2"/>
  <c r="J1857" i="2"/>
  <c r="I1857" i="2"/>
  <c r="L1857" i="2" s="1"/>
  <c r="H1857" i="2"/>
  <c r="K1856" i="2"/>
  <c r="J1856" i="2"/>
  <c r="I1856" i="2"/>
  <c r="L1856" i="2" s="1"/>
  <c r="H1856" i="2"/>
  <c r="K1855" i="2"/>
  <c r="J1855" i="2"/>
  <c r="I1855" i="2"/>
  <c r="L1855" i="2" s="1"/>
  <c r="H1855" i="2"/>
  <c r="K1854" i="2"/>
  <c r="J1854" i="2"/>
  <c r="H1854" i="2"/>
  <c r="I1854" i="2" s="1"/>
  <c r="L1854" i="2" s="1"/>
  <c r="L1853" i="2"/>
  <c r="K1853" i="2"/>
  <c r="J1853" i="2"/>
  <c r="I1853" i="2"/>
  <c r="H1853" i="2"/>
  <c r="K1852" i="2"/>
  <c r="J1852" i="2"/>
  <c r="I1852" i="2"/>
  <c r="L1852" i="2" s="1"/>
  <c r="H1852" i="2"/>
  <c r="K1851" i="2"/>
  <c r="J1851" i="2"/>
  <c r="H1851" i="2"/>
  <c r="I1851" i="2" s="1"/>
  <c r="L1851" i="2" s="1"/>
  <c r="L1850" i="2"/>
  <c r="K1850" i="2"/>
  <c r="J1850" i="2"/>
  <c r="H1850" i="2"/>
  <c r="I1850" i="2" s="1"/>
  <c r="K1849" i="2"/>
  <c r="J1849" i="2"/>
  <c r="H1849" i="2"/>
  <c r="I1849" i="2" s="1"/>
  <c r="L1849" i="2" s="1"/>
  <c r="K1848" i="2"/>
  <c r="J1848" i="2"/>
  <c r="H1848" i="2"/>
  <c r="I1848" i="2" s="1"/>
  <c r="L1848" i="2" s="1"/>
  <c r="L1847" i="2"/>
  <c r="K1847" i="2"/>
  <c r="J1847" i="2"/>
  <c r="I1847" i="2"/>
  <c r="H1847" i="2"/>
  <c r="K1846" i="2"/>
  <c r="J1846" i="2"/>
  <c r="H1846" i="2"/>
  <c r="I1846" i="2" s="1"/>
  <c r="L1846" i="2" s="1"/>
  <c r="K1845" i="2"/>
  <c r="J1845" i="2"/>
  <c r="H1845" i="2"/>
  <c r="I1845" i="2" s="1"/>
  <c r="L1845" i="2" s="1"/>
  <c r="L1844" i="2"/>
  <c r="K1844" i="2"/>
  <c r="J1844" i="2"/>
  <c r="H1844" i="2"/>
  <c r="I1844" i="2" s="1"/>
  <c r="K1843" i="2"/>
  <c r="J1843" i="2"/>
  <c r="H1843" i="2"/>
  <c r="I1843" i="2" s="1"/>
  <c r="L1843" i="2" s="1"/>
  <c r="K1842" i="2"/>
  <c r="J1842" i="2"/>
  <c r="I1842" i="2"/>
  <c r="L1842" i="2" s="1"/>
  <c r="H1842" i="2"/>
  <c r="K1841" i="2"/>
  <c r="J1841" i="2"/>
  <c r="I1841" i="2"/>
  <c r="L1841" i="2" s="1"/>
  <c r="H1841" i="2"/>
  <c r="K1840" i="2"/>
  <c r="J1840" i="2"/>
  <c r="H1840" i="2"/>
  <c r="I1840" i="2" s="1"/>
  <c r="L1840" i="2" s="1"/>
  <c r="L1839" i="2"/>
  <c r="K1839" i="2"/>
  <c r="J1839" i="2"/>
  <c r="H1839" i="2"/>
  <c r="I1839" i="2" s="1"/>
  <c r="K1838" i="2"/>
  <c r="J1838" i="2"/>
  <c r="H1838" i="2"/>
  <c r="I1838" i="2" s="1"/>
  <c r="L1838" i="2" s="1"/>
  <c r="K1837" i="2"/>
  <c r="J1837" i="2"/>
  <c r="H1837" i="2"/>
  <c r="I1837" i="2" s="1"/>
  <c r="L1837" i="2" s="1"/>
  <c r="L1836" i="2"/>
  <c r="K1836" i="2"/>
  <c r="J1836" i="2"/>
  <c r="I1836" i="2"/>
  <c r="H1836" i="2"/>
  <c r="K1835" i="2"/>
  <c r="J1835" i="2"/>
  <c r="H1835" i="2"/>
  <c r="I1835" i="2" s="1"/>
  <c r="L1835" i="2" s="1"/>
  <c r="K1834" i="2"/>
  <c r="J1834" i="2"/>
  <c r="I1834" i="2"/>
  <c r="L1834" i="2" s="1"/>
  <c r="H1834" i="2"/>
  <c r="K1833" i="2"/>
  <c r="J1833" i="2"/>
  <c r="H1833" i="2"/>
  <c r="I1833" i="2" s="1"/>
  <c r="L1833" i="2" s="1"/>
  <c r="K1832" i="2"/>
  <c r="J1832" i="2"/>
  <c r="H1832" i="2"/>
  <c r="K1831" i="2"/>
  <c r="J1831" i="2"/>
  <c r="I1831" i="2"/>
  <c r="L1831" i="2" s="1"/>
  <c r="H1831" i="2"/>
  <c r="K1830" i="2"/>
  <c r="J1830" i="2"/>
  <c r="H1830" i="2"/>
  <c r="I1830" i="2" s="1"/>
  <c r="L1830" i="2" s="1"/>
  <c r="K1829" i="2"/>
  <c r="J1829" i="2"/>
  <c r="I1829" i="2"/>
  <c r="L1829" i="2" s="1"/>
  <c r="H1829" i="2"/>
  <c r="L1828" i="2"/>
  <c r="K1828" i="2"/>
  <c r="J1828" i="2"/>
  <c r="I1828" i="2"/>
  <c r="H1828" i="2"/>
  <c r="K1827" i="2"/>
  <c r="J1827" i="2"/>
  <c r="H1827" i="2"/>
  <c r="I1827" i="2" s="1"/>
  <c r="L1827" i="2" s="1"/>
  <c r="K1826" i="2"/>
  <c r="J1826" i="2"/>
  <c r="I1826" i="2"/>
  <c r="L1826" i="2" s="1"/>
  <c r="H1826" i="2"/>
  <c r="K1825" i="2"/>
  <c r="J1825" i="2"/>
  <c r="I1825" i="2"/>
  <c r="L1825" i="2" s="1"/>
  <c r="H1825" i="2"/>
  <c r="K1824" i="2"/>
  <c r="J1824" i="2"/>
  <c r="H1824" i="2"/>
  <c r="I1824" i="2" s="1"/>
  <c r="L1824" i="2" s="1"/>
  <c r="K1823" i="2"/>
  <c r="J1823" i="2"/>
  <c r="I1823" i="2"/>
  <c r="L1823" i="2" s="1"/>
  <c r="H1823" i="2"/>
  <c r="L1822" i="2"/>
  <c r="K1822" i="2"/>
  <c r="J1822" i="2"/>
  <c r="H1822" i="2"/>
  <c r="I1822" i="2" s="1"/>
  <c r="K1821" i="2"/>
  <c r="J1821" i="2"/>
  <c r="I1821" i="2"/>
  <c r="L1821" i="2" s="1"/>
  <c r="H1821" i="2"/>
  <c r="K1820" i="2"/>
  <c r="J1820" i="2"/>
  <c r="H1820" i="2"/>
  <c r="K1819" i="2"/>
  <c r="J1819" i="2"/>
  <c r="H1819" i="2"/>
  <c r="I1819" i="2" s="1"/>
  <c r="L1819" i="2" s="1"/>
  <c r="K1818" i="2"/>
  <c r="J1818" i="2"/>
  <c r="H1818" i="2"/>
  <c r="I1818" i="2" s="1"/>
  <c r="L1818" i="2" s="1"/>
  <c r="L1817" i="2"/>
  <c r="K1817" i="2"/>
  <c r="J1817" i="2"/>
  <c r="I1817" i="2"/>
  <c r="H1817" i="2"/>
  <c r="K1816" i="2"/>
  <c r="J1816" i="2"/>
  <c r="H1816" i="2"/>
  <c r="I1816" i="2" s="1"/>
  <c r="L1816" i="2" s="1"/>
  <c r="K1815" i="2"/>
  <c r="J1815" i="2"/>
  <c r="I1815" i="2" s="1"/>
  <c r="L1815" i="2" s="1"/>
  <c r="H1815" i="2"/>
  <c r="K1814" i="2"/>
  <c r="J1814" i="2"/>
  <c r="H1814" i="2"/>
  <c r="I1814" i="2" s="1"/>
  <c r="L1814" i="2" s="1"/>
  <c r="K1813" i="2"/>
  <c r="J1813" i="2"/>
  <c r="H1813" i="2"/>
  <c r="I1813" i="2" s="1"/>
  <c r="L1813" i="2" s="1"/>
  <c r="L1812" i="2"/>
  <c r="K1812" i="2"/>
  <c r="J1812" i="2"/>
  <c r="H1812" i="2"/>
  <c r="I1812" i="2" s="1"/>
  <c r="K1811" i="2"/>
  <c r="J1811" i="2"/>
  <c r="H1811" i="2"/>
  <c r="I1811" i="2" s="1"/>
  <c r="L1811" i="2" s="1"/>
  <c r="K1810" i="2"/>
  <c r="J1810" i="2"/>
  <c r="I1810" i="2" s="1"/>
  <c r="L1810" i="2" s="1"/>
  <c r="H1810" i="2"/>
  <c r="K1809" i="2"/>
  <c r="J1809" i="2"/>
  <c r="I1809" i="2"/>
  <c r="L1809" i="2" s="1"/>
  <c r="H1809" i="2"/>
  <c r="K1808" i="2"/>
  <c r="J1808" i="2"/>
  <c r="H1808" i="2"/>
  <c r="I1808" i="2" s="1"/>
  <c r="L1808" i="2" s="1"/>
  <c r="L1807" i="2"/>
  <c r="K1807" i="2"/>
  <c r="J1807" i="2"/>
  <c r="H1807" i="2"/>
  <c r="I1807" i="2" s="1"/>
  <c r="K1806" i="2"/>
  <c r="J1806" i="2"/>
  <c r="I1806" i="2"/>
  <c r="L1806" i="2" s="1"/>
  <c r="H1806" i="2"/>
  <c r="K1805" i="2"/>
  <c r="J1805" i="2"/>
  <c r="I1805" i="2"/>
  <c r="L1805" i="2" s="1"/>
  <c r="H1805" i="2"/>
  <c r="K1804" i="2"/>
  <c r="J1804" i="2"/>
  <c r="H1804" i="2"/>
  <c r="I1804" i="2" s="1"/>
  <c r="L1804" i="2" s="1"/>
  <c r="L1803" i="2"/>
  <c r="K1803" i="2"/>
  <c r="J1803" i="2"/>
  <c r="I1803" i="2"/>
  <c r="H1803" i="2"/>
  <c r="L1802" i="2"/>
  <c r="K1802" i="2"/>
  <c r="J1802" i="2"/>
  <c r="H1802" i="2"/>
  <c r="I1802" i="2" s="1"/>
  <c r="K1801" i="2"/>
  <c r="J1801" i="2"/>
  <c r="H1801" i="2"/>
  <c r="I1801" i="2" s="1"/>
  <c r="L1801" i="2" s="1"/>
  <c r="K1800" i="2"/>
  <c r="J1800" i="2"/>
  <c r="H1800" i="2"/>
  <c r="K1799" i="2"/>
  <c r="J1799" i="2"/>
  <c r="H1799" i="2"/>
  <c r="I1799" i="2" s="1"/>
  <c r="L1799" i="2" s="1"/>
  <c r="K1798" i="2"/>
  <c r="J1798" i="2"/>
  <c r="I1798" i="2"/>
  <c r="L1798" i="2" s="1"/>
  <c r="H1798" i="2"/>
  <c r="K1797" i="2"/>
  <c r="J1797" i="2"/>
  <c r="I1797" i="2"/>
  <c r="L1797" i="2" s="1"/>
  <c r="H1797" i="2"/>
  <c r="K1796" i="2"/>
  <c r="J1796" i="2"/>
  <c r="H1796" i="2"/>
  <c r="I1796" i="2" s="1"/>
  <c r="L1796" i="2" s="1"/>
  <c r="K1795" i="2"/>
  <c r="J1795" i="2"/>
  <c r="I1795" i="2"/>
  <c r="L1795" i="2" s="1"/>
  <c r="H1795" i="2"/>
  <c r="K1794" i="2"/>
  <c r="J1794" i="2"/>
  <c r="I1794" i="2"/>
  <c r="L1794" i="2" s="1"/>
  <c r="H1794" i="2"/>
  <c r="K1793" i="2"/>
  <c r="J1793" i="2"/>
  <c r="I1793" i="2"/>
  <c r="L1793" i="2" s="1"/>
  <c r="H1793" i="2"/>
  <c r="L1792" i="2"/>
  <c r="K1792" i="2"/>
  <c r="J1792" i="2"/>
  <c r="H1792" i="2"/>
  <c r="I1792" i="2" s="1"/>
  <c r="K1791" i="2"/>
  <c r="J1791" i="2"/>
  <c r="I1791" i="2"/>
  <c r="L1791" i="2" s="1"/>
  <c r="H1791" i="2"/>
  <c r="K1790" i="2"/>
  <c r="J1790" i="2"/>
  <c r="H1790" i="2"/>
  <c r="I1790" i="2" s="1"/>
  <c r="L1790" i="2" s="1"/>
  <c r="K1789" i="2"/>
  <c r="J1789" i="2"/>
  <c r="H1789" i="2"/>
  <c r="I1789" i="2" s="1"/>
  <c r="L1789" i="2" s="1"/>
  <c r="K1788" i="2"/>
  <c r="J1788" i="2"/>
  <c r="H1788" i="2"/>
  <c r="K1787" i="2"/>
  <c r="J1787" i="2"/>
  <c r="H1787" i="2"/>
  <c r="I1787" i="2" s="1"/>
  <c r="L1787" i="2" s="1"/>
  <c r="K1786" i="2"/>
  <c r="J1786" i="2"/>
  <c r="H1786" i="2"/>
  <c r="I1786" i="2" s="1"/>
  <c r="L1786" i="2" s="1"/>
  <c r="K1785" i="2"/>
  <c r="J1785" i="2"/>
  <c r="I1785" i="2" s="1"/>
  <c r="L1785" i="2" s="1"/>
  <c r="H1785" i="2"/>
  <c r="K1784" i="2"/>
  <c r="J1784" i="2"/>
  <c r="I1784" i="2"/>
  <c r="L1784" i="2" s="1"/>
  <c r="H1784" i="2"/>
  <c r="L1783" i="2"/>
  <c r="K1783" i="2"/>
  <c r="J1783" i="2"/>
  <c r="I1783" i="2"/>
  <c r="H1783" i="2"/>
  <c r="K1782" i="2"/>
  <c r="J1782" i="2"/>
  <c r="H1782" i="2"/>
  <c r="I1782" i="2" s="1"/>
  <c r="L1782" i="2" s="1"/>
  <c r="K1781" i="2"/>
  <c r="J1781" i="2"/>
  <c r="I1781" i="2"/>
  <c r="L1781" i="2" s="1"/>
  <c r="H1781" i="2"/>
  <c r="K1780" i="2"/>
  <c r="J1780" i="2"/>
  <c r="H1780" i="2"/>
  <c r="I1780" i="2" s="1"/>
  <c r="L1780" i="2" s="1"/>
  <c r="K1779" i="2"/>
  <c r="J1779" i="2"/>
  <c r="I1779" i="2"/>
  <c r="L1779" i="2" s="1"/>
  <c r="H1779" i="2"/>
  <c r="K1778" i="2"/>
  <c r="J1778" i="2"/>
  <c r="I1778" i="2"/>
  <c r="L1778" i="2" s="1"/>
  <c r="H1778" i="2"/>
  <c r="K1777" i="2"/>
  <c r="J1777" i="2"/>
  <c r="I1777" i="2"/>
  <c r="L1777" i="2" s="1"/>
  <c r="H1777" i="2"/>
  <c r="K1776" i="2"/>
  <c r="J1776" i="2"/>
  <c r="H1776" i="2"/>
  <c r="L1775" i="2"/>
  <c r="K1775" i="2"/>
  <c r="J1775" i="2"/>
  <c r="I1775" i="2"/>
  <c r="H1775" i="2"/>
  <c r="K1774" i="2"/>
  <c r="J1774" i="2"/>
  <c r="H1774" i="2"/>
  <c r="I1774" i="2" s="1"/>
  <c r="L1774" i="2" s="1"/>
  <c r="K1773" i="2"/>
  <c r="J1773" i="2"/>
  <c r="I1773" i="2"/>
  <c r="L1773" i="2" s="1"/>
  <c r="H1773" i="2"/>
  <c r="L1772" i="2"/>
  <c r="K1772" i="2"/>
  <c r="J1772" i="2"/>
  <c r="H1772" i="2"/>
  <c r="I1772" i="2" s="1"/>
  <c r="K1771" i="2"/>
  <c r="J1771" i="2"/>
  <c r="H1771" i="2"/>
  <c r="I1771" i="2" s="1"/>
  <c r="L1771" i="2" s="1"/>
  <c r="K1770" i="2"/>
  <c r="J1770" i="2"/>
  <c r="H1770" i="2"/>
  <c r="I1770" i="2" s="1"/>
  <c r="L1770" i="2" s="1"/>
  <c r="K1769" i="2"/>
  <c r="J1769" i="2"/>
  <c r="I1769" i="2" s="1"/>
  <c r="L1769" i="2" s="1"/>
  <c r="H1769" i="2"/>
  <c r="K1768" i="2"/>
  <c r="J1768" i="2"/>
  <c r="I1768" i="2"/>
  <c r="L1768" i="2" s="1"/>
  <c r="H1768" i="2"/>
  <c r="K1767" i="2"/>
  <c r="J1767" i="2"/>
  <c r="H1767" i="2"/>
  <c r="I1767" i="2" s="1"/>
  <c r="L1767" i="2" s="1"/>
  <c r="L1766" i="2"/>
  <c r="K1766" i="2"/>
  <c r="J1766" i="2"/>
  <c r="I1766" i="2"/>
  <c r="H1766" i="2"/>
  <c r="K1765" i="2"/>
  <c r="J1765" i="2"/>
  <c r="H1765" i="2"/>
  <c r="I1765" i="2" s="1"/>
  <c r="L1765" i="2" s="1"/>
  <c r="K1764" i="2"/>
  <c r="J1764" i="2"/>
  <c r="H1764" i="2"/>
  <c r="I1764" i="2" s="1"/>
  <c r="L1764" i="2" s="1"/>
  <c r="L1763" i="2"/>
  <c r="K1763" i="2"/>
  <c r="J1763" i="2"/>
  <c r="H1763" i="2"/>
  <c r="I1763" i="2" s="1"/>
  <c r="K1762" i="2"/>
  <c r="J1762" i="2"/>
  <c r="I1762" i="2"/>
  <c r="L1762" i="2" s="1"/>
  <c r="H1762" i="2"/>
  <c r="K1761" i="2"/>
  <c r="J1761" i="2"/>
  <c r="H1761" i="2"/>
  <c r="I1761" i="2" s="1"/>
  <c r="L1761" i="2" s="1"/>
  <c r="K1760" i="2"/>
  <c r="J1760" i="2"/>
  <c r="H1760" i="2"/>
  <c r="I1760" i="2" s="1"/>
  <c r="L1760" i="2" s="1"/>
  <c r="K1759" i="2"/>
  <c r="J1759" i="2"/>
  <c r="H1759" i="2"/>
  <c r="I1759" i="2" s="1"/>
  <c r="L1759" i="2" s="1"/>
  <c r="K1758" i="2"/>
  <c r="J1758" i="2"/>
  <c r="I1758" i="2"/>
  <c r="L1758" i="2" s="1"/>
  <c r="H1758" i="2"/>
  <c r="K1757" i="2"/>
  <c r="J1757" i="2"/>
  <c r="I1757" i="2"/>
  <c r="L1757" i="2" s="1"/>
  <c r="H1757" i="2"/>
  <c r="K1756" i="2"/>
  <c r="J1756" i="2"/>
  <c r="H1756" i="2"/>
  <c r="I1756" i="2" s="1"/>
  <c r="L1756" i="2" s="1"/>
  <c r="K1755" i="2"/>
  <c r="J1755" i="2"/>
  <c r="H1755" i="2"/>
  <c r="I1755" i="2" s="1"/>
  <c r="L1755" i="2" s="1"/>
  <c r="K1754" i="2"/>
  <c r="J1754" i="2"/>
  <c r="H1754" i="2"/>
  <c r="I1754" i="2" s="1"/>
  <c r="L1754" i="2" s="1"/>
  <c r="K1753" i="2"/>
  <c r="J1753" i="2"/>
  <c r="I1753" i="2"/>
  <c r="L1753" i="2" s="1"/>
  <c r="H1753" i="2"/>
  <c r="K1752" i="2"/>
  <c r="J1752" i="2"/>
  <c r="H1752" i="2"/>
  <c r="K1751" i="2"/>
  <c r="J1751" i="2"/>
  <c r="H1751" i="2"/>
  <c r="I1751" i="2" s="1"/>
  <c r="L1751" i="2" s="1"/>
  <c r="K1750" i="2"/>
  <c r="J1750" i="2"/>
  <c r="H1750" i="2"/>
  <c r="I1750" i="2" s="1"/>
  <c r="L1750" i="2" s="1"/>
  <c r="K1749" i="2"/>
  <c r="J1749" i="2"/>
  <c r="H1749" i="2"/>
  <c r="I1749" i="2" s="1"/>
  <c r="L1749" i="2" s="1"/>
  <c r="K1748" i="2"/>
  <c r="J1748" i="2"/>
  <c r="H1748" i="2"/>
  <c r="I1748" i="2" s="1"/>
  <c r="L1748" i="2" s="1"/>
  <c r="K1747" i="2"/>
  <c r="J1747" i="2"/>
  <c r="I1747" i="2"/>
  <c r="L1747" i="2" s="1"/>
  <c r="H1747" i="2"/>
  <c r="K1746" i="2"/>
  <c r="J1746" i="2"/>
  <c r="H1746" i="2"/>
  <c r="I1746" i="2" s="1"/>
  <c r="L1746" i="2" s="1"/>
  <c r="L1745" i="2"/>
  <c r="K1745" i="2"/>
  <c r="J1745" i="2"/>
  <c r="I1745" i="2"/>
  <c r="H1745" i="2"/>
  <c r="K1744" i="2"/>
  <c r="J1744" i="2"/>
  <c r="H1744" i="2"/>
  <c r="L1743" i="2"/>
  <c r="K1743" i="2"/>
  <c r="J1743" i="2"/>
  <c r="I1743" i="2"/>
  <c r="H1743" i="2"/>
  <c r="K1742" i="2"/>
  <c r="J1742" i="2"/>
  <c r="I1742" i="2"/>
  <c r="L1742" i="2" s="1"/>
  <c r="H1742" i="2"/>
  <c r="K1741" i="2"/>
  <c r="J1741" i="2"/>
  <c r="I1741" i="2" s="1"/>
  <c r="L1741" i="2" s="1"/>
  <c r="H1741" i="2"/>
  <c r="L1740" i="2"/>
  <c r="K1740" i="2"/>
  <c r="J1740" i="2"/>
  <c r="H1740" i="2"/>
  <c r="I1740" i="2" s="1"/>
  <c r="K1739" i="2"/>
  <c r="J1739" i="2"/>
  <c r="I1739" i="2"/>
  <c r="L1739" i="2" s="1"/>
  <c r="H1739" i="2"/>
  <c r="L1738" i="2"/>
  <c r="K1738" i="2"/>
  <c r="J1738" i="2"/>
  <c r="I1738" i="2"/>
  <c r="H1738" i="2"/>
  <c r="K1737" i="2"/>
  <c r="J1737" i="2"/>
  <c r="H1737" i="2"/>
  <c r="I1737" i="2" s="1"/>
  <c r="L1737" i="2" s="1"/>
  <c r="K1736" i="2"/>
  <c r="J1736" i="2"/>
  <c r="H1736" i="2"/>
  <c r="I1736" i="2" s="1"/>
  <c r="L1736" i="2" s="1"/>
  <c r="L1735" i="2"/>
  <c r="K1735" i="2"/>
  <c r="J1735" i="2"/>
  <c r="H1735" i="2"/>
  <c r="I1735" i="2" s="1"/>
  <c r="K1734" i="2"/>
  <c r="J1734" i="2"/>
  <c r="H1734" i="2"/>
  <c r="I1734" i="2" s="1"/>
  <c r="L1734" i="2" s="1"/>
  <c r="K1733" i="2"/>
  <c r="J1733" i="2"/>
  <c r="I1733" i="2"/>
  <c r="L1733" i="2" s="1"/>
  <c r="H1733" i="2"/>
  <c r="K1732" i="2"/>
  <c r="J1732" i="2"/>
  <c r="H1732" i="2"/>
  <c r="I1732" i="2" s="1"/>
  <c r="L1732" i="2" s="1"/>
  <c r="K1731" i="2"/>
  <c r="J1731" i="2"/>
  <c r="H1731" i="2"/>
  <c r="I1731" i="2" s="1"/>
  <c r="L1731" i="2" s="1"/>
  <c r="K1730" i="2"/>
  <c r="J1730" i="2"/>
  <c r="H1730" i="2"/>
  <c r="I1730" i="2" s="1"/>
  <c r="L1730" i="2" s="1"/>
  <c r="L1729" i="2"/>
  <c r="K1729" i="2"/>
  <c r="J1729" i="2"/>
  <c r="I1729" i="2"/>
  <c r="H1729" i="2"/>
  <c r="K1728" i="2"/>
  <c r="J1728" i="2"/>
  <c r="H1728" i="2"/>
  <c r="K1727" i="2"/>
  <c r="J1727" i="2"/>
  <c r="H1727" i="2"/>
  <c r="I1727" i="2" s="1"/>
  <c r="L1727" i="2" s="1"/>
  <c r="K1726" i="2"/>
  <c r="J1726" i="2"/>
  <c r="H1726" i="2"/>
  <c r="I1726" i="2" s="1"/>
  <c r="L1726" i="2" s="1"/>
  <c r="K1725" i="2"/>
  <c r="J1725" i="2"/>
  <c r="H1725" i="2"/>
  <c r="I1725" i="2" s="1"/>
  <c r="L1725" i="2" s="1"/>
  <c r="K1724" i="2"/>
  <c r="J1724" i="2"/>
  <c r="H1724" i="2"/>
  <c r="I1724" i="2" s="1"/>
  <c r="L1724" i="2" s="1"/>
  <c r="K1723" i="2"/>
  <c r="J1723" i="2"/>
  <c r="I1723" i="2"/>
  <c r="L1723" i="2" s="1"/>
  <c r="H1723" i="2"/>
  <c r="K1722" i="2"/>
  <c r="J1722" i="2"/>
  <c r="H1722" i="2"/>
  <c r="I1722" i="2" s="1"/>
  <c r="L1722" i="2" s="1"/>
  <c r="K1721" i="2"/>
  <c r="J1721" i="2"/>
  <c r="I1721" i="2" s="1"/>
  <c r="L1721" i="2" s="1"/>
  <c r="H1721" i="2"/>
  <c r="K1720" i="2"/>
  <c r="J1720" i="2"/>
  <c r="H1720" i="2"/>
  <c r="I1720" i="2" s="1"/>
  <c r="L1720" i="2" s="1"/>
  <c r="K1719" i="2"/>
  <c r="J1719" i="2"/>
  <c r="I1719" i="2" s="1"/>
  <c r="L1719" i="2" s="1"/>
  <c r="H1719" i="2"/>
  <c r="K1718" i="2"/>
  <c r="J1718" i="2"/>
  <c r="H1718" i="2"/>
  <c r="K1717" i="2"/>
  <c r="J1717" i="2"/>
  <c r="H1717" i="2"/>
  <c r="I1717" i="2" s="1"/>
  <c r="L1717" i="2" s="1"/>
  <c r="L1716" i="2"/>
  <c r="K1716" i="2"/>
  <c r="J1716" i="2"/>
  <c r="I1716" i="2"/>
  <c r="H1716" i="2"/>
  <c r="K1715" i="2"/>
  <c r="J1715" i="2"/>
  <c r="H1715" i="2"/>
  <c r="I1715" i="2" s="1"/>
  <c r="L1715" i="2" s="1"/>
  <c r="K1714" i="2"/>
  <c r="J1714" i="2"/>
  <c r="H1714" i="2"/>
  <c r="I1714" i="2" s="1"/>
  <c r="L1714" i="2" s="1"/>
  <c r="K1713" i="2"/>
  <c r="J1713" i="2"/>
  <c r="H1713" i="2"/>
  <c r="I1713" i="2" s="1"/>
  <c r="L1713" i="2" s="1"/>
  <c r="K1712" i="2"/>
  <c r="J1712" i="2"/>
  <c r="H1712" i="2"/>
  <c r="K1711" i="2"/>
  <c r="J1711" i="2"/>
  <c r="I1711" i="2"/>
  <c r="L1711" i="2" s="1"/>
  <c r="H1711" i="2"/>
  <c r="K1710" i="2"/>
  <c r="J1710" i="2"/>
  <c r="I1710" i="2"/>
  <c r="L1710" i="2" s="1"/>
  <c r="H1710" i="2"/>
  <c r="L1709" i="2"/>
  <c r="K1709" i="2"/>
  <c r="J1709" i="2"/>
  <c r="I1709" i="2" s="1"/>
  <c r="H1709" i="2"/>
  <c r="L1708" i="2"/>
  <c r="K1708" i="2"/>
  <c r="J1708" i="2"/>
  <c r="I1708" i="2"/>
  <c r="H1708" i="2"/>
  <c r="K1707" i="2"/>
  <c r="J1707" i="2"/>
  <c r="H1707" i="2"/>
  <c r="I1707" i="2" s="1"/>
  <c r="L1707" i="2" s="1"/>
  <c r="K1706" i="2"/>
  <c r="J1706" i="2"/>
  <c r="I1706" i="2" s="1"/>
  <c r="L1706" i="2" s="1"/>
  <c r="H1706" i="2"/>
  <c r="K1705" i="2"/>
  <c r="J1705" i="2"/>
  <c r="I1705" i="2"/>
  <c r="L1705" i="2" s="1"/>
  <c r="H1705" i="2"/>
  <c r="K1704" i="2"/>
  <c r="J1704" i="2"/>
  <c r="H1704" i="2"/>
  <c r="L1703" i="2"/>
  <c r="K1703" i="2"/>
  <c r="J1703" i="2"/>
  <c r="H1703" i="2"/>
  <c r="I1703" i="2" s="1"/>
  <c r="K1702" i="2"/>
  <c r="J1702" i="2"/>
  <c r="H1702" i="2"/>
  <c r="I1702" i="2" s="1"/>
  <c r="L1702" i="2" s="1"/>
  <c r="K1701" i="2"/>
  <c r="J1701" i="2"/>
  <c r="H1701" i="2"/>
  <c r="I1701" i="2" s="1"/>
  <c r="L1701" i="2" s="1"/>
  <c r="K1700" i="2"/>
  <c r="J1700" i="2"/>
  <c r="I1700" i="2"/>
  <c r="L1700" i="2" s="1"/>
  <c r="H1700" i="2"/>
  <c r="K1699" i="2"/>
  <c r="J1699" i="2"/>
  <c r="I1699" i="2"/>
  <c r="L1699" i="2" s="1"/>
  <c r="H1699" i="2"/>
  <c r="K1698" i="2"/>
  <c r="J1698" i="2"/>
  <c r="H1698" i="2"/>
  <c r="I1698" i="2" s="1"/>
  <c r="L1698" i="2" s="1"/>
  <c r="L1697" i="2"/>
  <c r="K1697" i="2"/>
  <c r="J1697" i="2"/>
  <c r="I1697" i="2"/>
  <c r="H1697" i="2"/>
  <c r="K1696" i="2"/>
  <c r="J1696" i="2"/>
  <c r="I1696" i="2"/>
  <c r="L1696" i="2" s="1"/>
  <c r="H1696" i="2"/>
  <c r="K1695" i="2"/>
  <c r="J1695" i="2"/>
  <c r="H1695" i="2"/>
  <c r="I1695" i="2" s="1"/>
  <c r="L1695" i="2" s="1"/>
  <c r="K1694" i="2"/>
  <c r="J1694" i="2"/>
  <c r="H1694" i="2"/>
  <c r="I1694" i="2" s="1"/>
  <c r="L1694" i="2" s="1"/>
  <c r="K1693" i="2"/>
  <c r="J1693" i="2"/>
  <c r="H1693" i="2"/>
  <c r="I1693" i="2" s="1"/>
  <c r="L1693" i="2" s="1"/>
  <c r="K1692" i="2"/>
  <c r="J1692" i="2"/>
  <c r="H1692" i="2"/>
  <c r="I1692" i="2" s="1"/>
  <c r="L1692" i="2" s="1"/>
  <c r="K1691" i="2"/>
  <c r="J1691" i="2"/>
  <c r="I1691" i="2"/>
  <c r="L1691" i="2" s="1"/>
  <c r="H1691" i="2"/>
  <c r="K1690" i="2"/>
  <c r="J1690" i="2"/>
  <c r="I1690" i="2"/>
  <c r="L1690" i="2" s="1"/>
  <c r="H1690" i="2"/>
  <c r="K1689" i="2"/>
  <c r="J1689" i="2"/>
  <c r="I1689" i="2"/>
  <c r="L1689" i="2" s="1"/>
  <c r="H1689" i="2"/>
  <c r="L1688" i="2"/>
  <c r="K1688" i="2"/>
  <c r="J1688" i="2"/>
  <c r="H1688" i="2"/>
  <c r="I1688" i="2" s="1"/>
  <c r="K1687" i="2"/>
  <c r="J1687" i="2"/>
  <c r="I1687" i="2"/>
  <c r="L1687" i="2" s="1"/>
  <c r="H1687" i="2"/>
  <c r="L1686" i="2"/>
  <c r="K1686" i="2"/>
  <c r="J1686" i="2"/>
  <c r="I1686" i="2"/>
  <c r="H1686" i="2"/>
  <c r="K1685" i="2"/>
  <c r="J1685" i="2"/>
  <c r="I1685" i="2"/>
  <c r="L1685" i="2" s="1"/>
  <c r="H1685" i="2"/>
  <c r="K1684" i="2"/>
  <c r="J1684" i="2"/>
  <c r="H1684" i="2"/>
  <c r="I1684" i="2" s="1"/>
  <c r="L1684" i="2" s="1"/>
  <c r="K1683" i="2"/>
  <c r="J1683" i="2"/>
  <c r="H1683" i="2"/>
  <c r="I1683" i="2" s="1"/>
  <c r="L1683" i="2" s="1"/>
  <c r="K1682" i="2"/>
  <c r="J1682" i="2"/>
  <c r="H1682" i="2"/>
  <c r="I1682" i="2" s="1"/>
  <c r="L1682" i="2" s="1"/>
  <c r="L1681" i="2"/>
  <c r="K1681" i="2"/>
  <c r="J1681" i="2"/>
  <c r="H1681" i="2"/>
  <c r="I1681" i="2" s="1"/>
  <c r="K1680" i="2"/>
  <c r="J1680" i="2"/>
  <c r="H1680" i="2"/>
  <c r="I1680" i="2" s="1"/>
  <c r="L1680" i="2" s="1"/>
  <c r="K1679" i="2"/>
  <c r="J1679" i="2"/>
  <c r="H1679" i="2"/>
  <c r="I1679" i="2" s="1"/>
  <c r="L1679" i="2" s="1"/>
  <c r="L1678" i="2"/>
  <c r="K1678" i="2"/>
  <c r="J1678" i="2"/>
  <c r="H1678" i="2"/>
  <c r="I1678" i="2" s="1"/>
  <c r="K1677" i="2"/>
  <c r="J1677" i="2"/>
  <c r="I1677" i="2"/>
  <c r="L1677" i="2" s="1"/>
  <c r="H1677" i="2"/>
  <c r="K1676" i="2"/>
  <c r="J1676" i="2"/>
  <c r="I1676" i="2"/>
  <c r="L1676" i="2" s="1"/>
  <c r="H1676" i="2"/>
  <c r="K1675" i="2"/>
  <c r="J1675" i="2"/>
  <c r="I1675" i="2"/>
  <c r="L1675" i="2" s="1"/>
  <c r="H1675" i="2"/>
  <c r="K1674" i="2"/>
  <c r="J1674" i="2"/>
  <c r="I1674" i="2"/>
  <c r="L1674" i="2" s="1"/>
  <c r="H1674" i="2"/>
  <c r="L1673" i="2"/>
  <c r="K1673" i="2"/>
  <c r="J1673" i="2"/>
  <c r="I1673" i="2"/>
  <c r="H1673" i="2"/>
  <c r="L1672" i="2"/>
  <c r="K1672" i="2"/>
  <c r="J1672" i="2"/>
  <c r="I1672" i="2"/>
  <c r="H1672" i="2"/>
  <c r="K1671" i="2"/>
  <c r="J1671" i="2"/>
  <c r="H1671" i="2"/>
  <c r="I1671" i="2" s="1"/>
  <c r="L1671" i="2" s="1"/>
  <c r="K1670" i="2"/>
  <c r="J1670" i="2"/>
  <c r="H1670" i="2"/>
  <c r="I1670" i="2" s="1"/>
  <c r="L1670" i="2" s="1"/>
  <c r="L1669" i="2"/>
  <c r="K1669" i="2"/>
  <c r="J1669" i="2"/>
  <c r="I1669" i="2"/>
  <c r="H1669" i="2"/>
  <c r="K1668" i="2"/>
  <c r="J1668" i="2"/>
  <c r="H1668" i="2"/>
  <c r="I1668" i="2" s="1"/>
  <c r="L1668" i="2" s="1"/>
  <c r="K1667" i="2"/>
  <c r="J1667" i="2"/>
  <c r="H1667" i="2"/>
  <c r="I1667" i="2" s="1"/>
  <c r="L1667" i="2" s="1"/>
  <c r="K1666" i="2"/>
  <c r="J1666" i="2"/>
  <c r="H1666" i="2"/>
  <c r="I1666" i="2" s="1"/>
  <c r="L1666" i="2" s="1"/>
  <c r="K1665" i="2"/>
  <c r="J1665" i="2"/>
  <c r="H1665" i="2"/>
  <c r="I1665" i="2" s="1"/>
  <c r="L1665" i="2" s="1"/>
  <c r="K1664" i="2"/>
  <c r="J1664" i="2"/>
  <c r="I1664" i="2"/>
  <c r="L1664" i="2" s="1"/>
  <c r="H1664" i="2"/>
  <c r="L1663" i="2"/>
  <c r="K1663" i="2"/>
  <c r="J1663" i="2"/>
  <c r="H1663" i="2"/>
  <c r="I1663" i="2" s="1"/>
  <c r="K1662" i="2"/>
  <c r="J1662" i="2"/>
  <c r="H1662" i="2"/>
  <c r="I1662" i="2" s="1"/>
  <c r="L1662" i="2" s="1"/>
  <c r="L1661" i="2"/>
  <c r="K1661" i="2"/>
  <c r="J1661" i="2"/>
  <c r="I1661" i="2" s="1"/>
  <c r="H1661" i="2"/>
  <c r="K1660" i="2"/>
  <c r="J1660" i="2"/>
  <c r="H1660" i="2"/>
  <c r="I1660" i="2" s="1"/>
  <c r="L1660" i="2" s="1"/>
  <c r="K1659" i="2"/>
  <c r="J1659" i="2"/>
  <c r="H1659" i="2"/>
  <c r="I1659" i="2" s="1"/>
  <c r="L1659" i="2" s="1"/>
  <c r="K1658" i="2"/>
  <c r="J1658" i="2"/>
  <c r="I1658" i="2"/>
  <c r="L1658" i="2" s="1"/>
  <c r="H1658" i="2"/>
  <c r="K1657" i="2"/>
  <c r="J1657" i="2"/>
  <c r="H1657" i="2"/>
  <c r="I1657" i="2" s="1"/>
  <c r="L1657" i="2" s="1"/>
  <c r="L1656" i="2"/>
  <c r="K1656" i="2"/>
  <c r="J1656" i="2"/>
  <c r="I1656" i="2"/>
  <c r="H1656" i="2"/>
  <c r="K1655" i="2"/>
  <c r="J1655" i="2"/>
  <c r="H1655" i="2"/>
  <c r="I1655" i="2" s="1"/>
  <c r="L1655" i="2" s="1"/>
  <c r="K1654" i="2"/>
  <c r="J1654" i="2"/>
  <c r="I1654" i="2"/>
  <c r="L1654" i="2" s="1"/>
  <c r="H1654" i="2"/>
  <c r="K1653" i="2"/>
  <c r="J1653" i="2"/>
  <c r="I1653" i="2"/>
  <c r="L1653" i="2" s="1"/>
  <c r="H1653" i="2"/>
  <c r="K1652" i="2"/>
  <c r="J1652" i="2"/>
  <c r="H1652" i="2"/>
  <c r="I1652" i="2" s="1"/>
  <c r="L1652" i="2" s="1"/>
  <c r="K1651" i="2"/>
  <c r="J1651" i="2"/>
  <c r="H1651" i="2"/>
  <c r="I1651" i="2" s="1"/>
  <c r="L1651" i="2" s="1"/>
  <c r="L1650" i="2"/>
  <c r="K1650" i="2"/>
  <c r="J1650" i="2"/>
  <c r="I1650" i="2"/>
  <c r="H1650" i="2"/>
  <c r="K1649" i="2"/>
  <c r="J1649" i="2"/>
  <c r="I1649" i="2"/>
  <c r="L1649" i="2" s="1"/>
  <c r="H1649" i="2"/>
  <c r="K1648" i="2"/>
  <c r="J1648" i="2"/>
  <c r="I1648" i="2"/>
  <c r="L1648" i="2" s="1"/>
  <c r="H1648" i="2"/>
  <c r="K1647" i="2"/>
  <c r="J1647" i="2"/>
  <c r="H1647" i="2"/>
  <c r="I1647" i="2" s="1"/>
  <c r="L1647" i="2" s="1"/>
  <c r="K1646" i="2"/>
  <c r="J1646" i="2"/>
  <c r="H1646" i="2"/>
  <c r="I1646" i="2" s="1"/>
  <c r="L1646" i="2" s="1"/>
  <c r="K1645" i="2"/>
  <c r="J1645" i="2"/>
  <c r="H1645" i="2"/>
  <c r="I1645" i="2" s="1"/>
  <c r="L1645" i="2" s="1"/>
  <c r="K1644" i="2"/>
  <c r="J1644" i="2"/>
  <c r="H1644" i="2"/>
  <c r="K1643" i="2"/>
  <c r="J1643" i="2"/>
  <c r="H1643" i="2"/>
  <c r="I1643" i="2" s="1"/>
  <c r="L1643" i="2" s="1"/>
  <c r="K1642" i="2"/>
  <c r="J1642" i="2"/>
  <c r="I1642" i="2"/>
  <c r="L1642" i="2" s="1"/>
  <c r="H1642" i="2"/>
  <c r="K1641" i="2"/>
  <c r="J1641" i="2"/>
  <c r="H1641" i="2"/>
  <c r="I1641" i="2" s="1"/>
  <c r="L1641" i="2" s="1"/>
  <c r="K1640" i="2"/>
  <c r="J1640" i="2"/>
  <c r="I1640" i="2"/>
  <c r="L1640" i="2" s="1"/>
  <c r="H1640" i="2"/>
  <c r="L1639" i="2"/>
  <c r="K1639" i="2"/>
  <c r="J1639" i="2"/>
  <c r="I1639" i="2"/>
  <c r="H1639" i="2"/>
  <c r="K1638" i="2"/>
  <c r="J1638" i="2"/>
  <c r="H1638" i="2"/>
  <c r="I1638" i="2" s="1"/>
  <c r="L1638" i="2" s="1"/>
  <c r="K1637" i="2"/>
  <c r="J1637" i="2"/>
  <c r="I1637" i="2"/>
  <c r="L1637" i="2" s="1"/>
  <c r="H1637" i="2"/>
  <c r="L1636" i="2"/>
  <c r="K1636" i="2"/>
  <c r="J1636" i="2"/>
  <c r="H1636" i="2"/>
  <c r="I1636" i="2" s="1"/>
  <c r="K1635" i="2"/>
  <c r="J1635" i="2"/>
  <c r="H1635" i="2"/>
  <c r="I1635" i="2" s="1"/>
  <c r="L1635" i="2" s="1"/>
  <c r="K1634" i="2"/>
  <c r="J1634" i="2"/>
  <c r="H1634" i="2"/>
  <c r="I1634" i="2" s="1"/>
  <c r="L1634" i="2" s="1"/>
  <c r="K1633" i="2"/>
  <c r="J1633" i="2"/>
  <c r="H1633" i="2"/>
  <c r="I1633" i="2" s="1"/>
  <c r="L1633" i="2" s="1"/>
  <c r="K1632" i="2"/>
  <c r="J1632" i="2"/>
  <c r="H1632" i="2"/>
  <c r="I1632" i="2" s="1"/>
  <c r="L1632" i="2" s="1"/>
  <c r="L1631" i="2"/>
  <c r="K1631" i="2"/>
  <c r="J1631" i="2"/>
  <c r="H1631" i="2"/>
  <c r="I1631" i="2" s="1"/>
  <c r="K1630" i="2"/>
  <c r="J1630" i="2"/>
  <c r="H1630" i="2"/>
  <c r="I1630" i="2" s="1"/>
  <c r="L1630" i="2" s="1"/>
  <c r="K1629" i="2"/>
  <c r="J1629" i="2"/>
  <c r="I1629" i="2"/>
  <c r="L1629" i="2" s="1"/>
  <c r="H1629" i="2"/>
  <c r="K1628" i="2"/>
  <c r="J1628" i="2"/>
  <c r="I1628" i="2"/>
  <c r="L1628" i="2" s="1"/>
  <c r="H1628" i="2"/>
  <c r="K1627" i="2"/>
  <c r="J1627" i="2"/>
  <c r="H1627" i="2"/>
  <c r="I1627" i="2" s="1"/>
  <c r="L1627" i="2" s="1"/>
  <c r="K1626" i="2"/>
  <c r="J1626" i="2"/>
  <c r="H1626" i="2"/>
  <c r="I1626" i="2" s="1"/>
  <c r="L1626" i="2" s="1"/>
  <c r="K1625" i="2"/>
  <c r="J1625" i="2"/>
  <c r="I1625" i="2"/>
  <c r="L1625" i="2" s="1"/>
  <c r="H1625" i="2"/>
  <c r="K1624" i="2"/>
  <c r="J1624" i="2"/>
  <c r="I1624" i="2" s="1"/>
  <c r="L1624" i="2" s="1"/>
  <c r="H1624" i="2"/>
  <c r="K1623" i="2"/>
  <c r="J1623" i="2"/>
  <c r="I1623" i="2"/>
  <c r="L1623" i="2" s="1"/>
  <c r="H1623" i="2"/>
  <c r="K1622" i="2"/>
  <c r="J1622" i="2"/>
  <c r="I1622" i="2"/>
  <c r="L1622" i="2" s="1"/>
  <c r="H1622" i="2"/>
  <c r="K1621" i="2"/>
  <c r="J1621" i="2"/>
  <c r="H1621" i="2"/>
  <c r="I1621" i="2" s="1"/>
  <c r="L1621" i="2" s="1"/>
  <c r="K1620" i="2"/>
  <c r="J1620" i="2"/>
  <c r="H1620" i="2"/>
  <c r="I1620" i="2" s="1"/>
  <c r="L1620" i="2" s="1"/>
  <c r="K1619" i="2"/>
  <c r="J1619" i="2"/>
  <c r="I1619" i="2" s="1"/>
  <c r="L1619" i="2" s="1"/>
  <c r="H1619" i="2"/>
  <c r="K1618" i="2"/>
  <c r="J1618" i="2"/>
  <c r="H1618" i="2"/>
  <c r="I1618" i="2" s="1"/>
  <c r="L1618" i="2" s="1"/>
  <c r="K1617" i="2"/>
  <c r="J1617" i="2"/>
  <c r="H1617" i="2"/>
  <c r="I1617" i="2" s="1"/>
  <c r="L1617" i="2" s="1"/>
  <c r="K1616" i="2"/>
  <c r="J1616" i="2"/>
  <c r="H1616" i="2"/>
  <c r="I1616" i="2" s="1"/>
  <c r="L1616" i="2" s="1"/>
  <c r="K1615" i="2"/>
  <c r="J1615" i="2"/>
  <c r="H1615" i="2"/>
  <c r="I1615" i="2" s="1"/>
  <c r="L1615" i="2" s="1"/>
  <c r="K1614" i="2"/>
  <c r="J1614" i="2"/>
  <c r="I1614" i="2" s="1"/>
  <c r="L1614" i="2" s="1"/>
  <c r="H1614" i="2"/>
  <c r="K1613" i="2"/>
  <c r="J1613" i="2"/>
  <c r="I1613" i="2"/>
  <c r="L1613" i="2" s="1"/>
  <c r="H1613" i="2"/>
  <c r="K1612" i="2"/>
  <c r="J1612" i="2"/>
  <c r="H1612" i="2"/>
  <c r="I1612" i="2" s="1"/>
  <c r="L1612" i="2" s="1"/>
  <c r="K1611" i="2"/>
  <c r="J1611" i="2"/>
  <c r="I1611" i="2"/>
  <c r="L1611" i="2" s="1"/>
  <c r="H1611" i="2"/>
  <c r="K1610" i="2"/>
  <c r="J1610" i="2"/>
  <c r="I1610" i="2"/>
  <c r="L1610" i="2" s="1"/>
  <c r="H1610" i="2"/>
  <c r="L1609" i="2"/>
  <c r="K1609" i="2"/>
  <c r="J1609" i="2"/>
  <c r="H1609" i="2"/>
  <c r="I1609" i="2" s="1"/>
  <c r="K1608" i="2"/>
  <c r="J1608" i="2"/>
  <c r="H1608" i="2"/>
  <c r="K1607" i="2"/>
  <c r="J1607" i="2"/>
  <c r="H1607" i="2"/>
  <c r="I1607" i="2" s="1"/>
  <c r="L1607" i="2" s="1"/>
  <c r="K1606" i="2"/>
  <c r="J1606" i="2"/>
  <c r="H1606" i="2"/>
  <c r="I1606" i="2" s="1"/>
  <c r="L1606" i="2" s="1"/>
  <c r="K1605" i="2"/>
  <c r="J1605" i="2"/>
  <c r="H1605" i="2"/>
  <c r="I1605" i="2" s="1"/>
  <c r="L1605" i="2" s="1"/>
  <c r="K1604" i="2"/>
  <c r="J1604" i="2"/>
  <c r="H1604" i="2"/>
  <c r="K1603" i="2"/>
  <c r="J1603" i="2"/>
  <c r="H1603" i="2"/>
  <c r="I1603" i="2" s="1"/>
  <c r="L1603" i="2" s="1"/>
  <c r="K1602" i="2"/>
  <c r="J1602" i="2"/>
  <c r="H1602" i="2"/>
  <c r="I1602" i="2" s="1"/>
  <c r="L1602" i="2" s="1"/>
  <c r="K1601" i="2"/>
  <c r="J1601" i="2"/>
  <c r="I1601" i="2"/>
  <c r="L1601" i="2" s="1"/>
  <c r="H1601" i="2"/>
  <c r="K1600" i="2"/>
  <c r="J1600" i="2"/>
  <c r="H1600" i="2"/>
  <c r="I1600" i="2" s="1"/>
  <c r="L1600" i="2" s="1"/>
  <c r="K1599" i="2"/>
  <c r="J1599" i="2"/>
  <c r="H1599" i="2"/>
  <c r="I1599" i="2" s="1"/>
  <c r="L1599" i="2" s="1"/>
  <c r="L1598" i="2"/>
  <c r="K1598" i="2"/>
  <c r="J1598" i="2"/>
  <c r="I1598" i="2"/>
  <c r="H1598" i="2"/>
  <c r="K1597" i="2"/>
  <c r="J1597" i="2"/>
  <c r="I1597" i="2"/>
  <c r="L1597" i="2" s="1"/>
  <c r="H1597" i="2"/>
  <c r="K1596" i="2"/>
  <c r="J1596" i="2"/>
  <c r="H1596" i="2"/>
  <c r="I1596" i="2" s="1"/>
  <c r="L1596" i="2" s="1"/>
  <c r="K1595" i="2"/>
  <c r="J1595" i="2"/>
  <c r="H1595" i="2"/>
  <c r="K1594" i="2"/>
  <c r="J1594" i="2"/>
  <c r="H1594" i="2"/>
  <c r="I1594" i="2" s="1"/>
  <c r="L1594" i="2" s="1"/>
  <c r="K1593" i="2"/>
  <c r="J1593" i="2"/>
  <c r="H1593" i="2"/>
  <c r="I1593" i="2" s="1"/>
  <c r="L1593" i="2" s="1"/>
  <c r="K1592" i="2"/>
  <c r="J1592" i="2"/>
  <c r="I1592" i="2"/>
  <c r="L1592" i="2" s="1"/>
  <c r="H1592" i="2"/>
  <c r="K1591" i="2"/>
  <c r="J1591" i="2"/>
  <c r="H1591" i="2"/>
  <c r="I1591" i="2" s="1"/>
  <c r="L1591" i="2" s="1"/>
  <c r="K1590" i="2"/>
  <c r="J1590" i="2"/>
  <c r="H1590" i="2"/>
  <c r="I1590" i="2" s="1"/>
  <c r="L1590" i="2" s="1"/>
  <c r="L1589" i="2"/>
  <c r="K1589" i="2"/>
  <c r="J1589" i="2"/>
  <c r="I1589" i="2"/>
  <c r="H1589" i="2"/>
  <c r="K1588" i="2"/>
  <c r="J1588" i="2"/>
  <c r="H1588" i="2"/>
  <c r="I1588" i="2" s="1"/>
  <c r="L1588" i="2" s="1"/>
  <c r="K1587" i="2"/>
  <c r="J1587" i="2"/>
  <c r="I1587" i="2"/>
  <c r="L1587" i="2" s="1"/>
  <c r="H1587" i="2"/>
  <c r="K1586" i="2"/>
  <c r="J1586" i="2"/>
  <c r="H1586" i="2"/>
  <c r="I1586" i="2" s="1"/>
  <c r="L1586" i="2" s="1"/>
  <c r="K1585" i="2"/>
  <c r="J1585" i="2"/>
  <c r="H1585" i="2"/>
  <c r="I1585" i="2" s="1"/>
  <c r="L1585" i="2" s="1"/>
  <c r="L1584" i="2"/>
  <c r="K1584" i="2"/>
  <c r="J1584" i="2"/>
  <c r="I1584" i="2"/>
  <c r="H1584" i="2"/>
  <c r="K1583" i="2"/>
  <c r="J1583" i="2"/>
  <c r="I1583" i="2"/>
  <c r="L1583" i="2" s="1"/>
  <c r="H1583" i="2"/>
  <c r="K1582" i="2"/>
  <c r="J1582" i="2"/>
  <c r="H1582" i="2"/>
  <c r="I1582" i="2" s="1"/>
  <c r="L1582" i="2" s="1"/>
  <c r="K1581" i="2"/>
  <c r="J1581" i="2"/>
  <c r="H1581" i="2"/>
  <c r="I1581" i="2" s="1"/>
  <c r="L1581" i="2" s="1"/>
  <c r="K1580" i="2"/>
  <c r="J1580" i="2"/>
  <c r="I1580" i="2"/>
  <c r="L1580" i="2" s="1"/>
  <c r="H1580" i="2"/>
  <c r="L1579" i="2"/>
  <c r="K1579" i="2"/>
  <c r="J1579" i="2"/>
  <c r="H1579" i="2"/>
  <c r="I1579" i="2" s="1"/>
  <c r="K1578" i="2"/>
  <c r="J1578" i="2"/>
  <c r="H1578" i="2"/>
  <c r="I1578" i="2" s="1"/>
  <c r="L1578" i="2" s="1"/>
  <c r="K1577" i="2"/>
  <c r="J1577" i="2"/>
  <c r="I1577" i="2" s="1"/>
  <c r="L1577" i="2" s="1"/>
  <c r="H1577" i="2"/>
  <c r="K1576" i="2"/>
  <c r="J1576" i="2"/>
  <c r="H1576" i="2"/>
  <c r="K1575" i="2"/>
  <c r="J1575" i="2"/>
  <c r="H1575" i="2"/>
  <c r="I1575" i="2" s="1"/>
  <c r="L1575" i="2" s="1"/>
  <c r="K1574" i="2"/>
  <c r="J1574" i="2"/>
  <c r="I1574" i="2"/>
  <c r="L1574" i="2" s="1"/>
  <c r="H1574" i="2"/>
  <c r="L1573" i="2"/>
  <c r="K1573" i="2"/>
  <c r="J1573" i="2"/>
  <c r="I1573" i="2"/>
  <c r="H1573" i="2"/>
  <c r="K1572" i="2"/>
  <c r="J1572" i="2"/>
  <c r="H1572" i="2"/>
  <c r="K1571" i="2"/>
  <c r="J1571" i="2"/>
  <c r="H1571" i="2"/>
  <c r="I1571" i="2" s="1"/>
  <c r="L1571" i="2" s="1"/>
  <c r="K1570" i="2"/>
  <c r="J1570" i="2"/>
  <c r="H1570" i="2"/>
  <c r="I1570" i="2" s="1"/>
  <c r="L1570" i="2" s="1"/>
  <c r="K1569" i="2"/>
  <c r="J1569" i="2"/>
  <c r="H1569" i="2"/>
  <c r="I1569" i="2" s="1"/>
  <c r="L1569" i="2" s="1"/>
  <c r="K1568" i="2"/>
  <c r="J1568" i="2"/>
  <c r="I1568" i="2"/>
  <c r="L1568" i="2" s="1"/>
  <c r="H1568" i="2"/>
  <c r="L1567" i="2"/>
  <c r="K1567" i="2"/>
  <c r="J1567" i="2"/>
  <c r="I1567" i="2"/>
  <c r="H1567" i="2"/>
  <c r="K1566" i="2"/>
  <c r="J1566" i="2"/>
  <c r="I1566" i="2"/>
  <c r="L1566" i="2" s="1"/>
  <c r="H1566" i="2"/>
  <c r="K1565" i="2"/>
  <c r="J1565" i="2"/>
  <c r="I1565" i="2"/>
  <c r="L1565" i="2" s="1"/>
  <c r="H1565" i="2"/>
  <c r="K1564" i="2"/>
  <c r="J1564" i="2"/>
  <c r="H1564" i="2"/>
  <c r="I1564" i="2" s="1"/>
  <c r="L1564" i="2" s="1"/>
  <c r="K1563" i="2"/>
  <c r="J1563" i="2"/>
  <c r="H1563" i="2"/>
  <c r="I1563" i="2" s="1"/>
  <c r="L1563" i="2" s="1"/>
  <c r="K1562" i="2"/>
  <c r="J1562" i="2"/>
  <c r="H1562" i="2"/>
  <c r="I1562" i="2" s="1"/>
  <c r="L1562" i="2" s="1"/>
  <c r="L1561" i="2"/>
  <c r="K1561" i="2"/>
  <c r="J1561" i="2"/>
  <c r="I1561" i="2"/>
  <c r="H1561" i="2"/>
  <c r="K1560" i="2"/>
  <c r="J1560" i="2"/>
  <c r="H1560" i="2"/>
  <c r="K1559" i="2"/>
  <c r="J1559" i="2"/>
  <c r="H1559" i="2"/>
  <c r="I1559" i="2" s="1"/>
  <c r="L1559" i="2" s="1"/>
  <c r="K1558" i="2"/>
  <c r="J1558" i="2"/>
  <c r="H1558" i="2"/>
  <c r="I1558" i="2" s="1"/>
  <c r="L1558" i="2" s="1"/>
  <c r="K1557" i="2"/>
  <c r="J1557" i="2"/>
  <c r="I1557" i="2"/>
  <c r="L1557" i="2" s="1"/>
  <c r="H1557" i="2"/>
  <c r="K1556" i="2"/>
  <c r="J1556" i="2"/>
  <c r="H1556" i="2"/>
  <c r="I1556" i="2" s="1"/>
  <c r="L1556" i="2" s="1"/>
  <c r="K1555" i="2"/>
  <c r="J1555" i="2"/>
  <c r="I1555" i="2"/>
  <c r="L1555" i="2" s="1"/>
  <c r="H1555" i="2"/>
  <c r="K1554" i="2"/>
  <c r="J1554" i="2"/>
  <c r="I1554" i="2"/>
  <c r="L1554" i="2" s="1"/>
  <c r="H1554" i="2"/>
  <c r="K1553" i="2"/>
  <c r="J1553" i="2"/>
  <c r="I1553" i="2" s="1"/>
  <c r="L1553" i="2" s="1"/>
  <c r="H1553" i="2"/>
  <c r="K1552" i="2"/>
  <c r="J1552" i="2"/>
  <c r="H1552" i="2"/>
  <c r="I1552" i="2" s="1"/>
  <c r="L1552" i="2" s="1"/>
  <c r="K1551" i="2"/>
  <c r="J1551" i="2"/>
  <c r="H1551" i="2"/>
  <c r="I1551" i="2" s="1"/>
  <c r="L1551" i="2" s="1"/>
  <c r="L1550" i="2"/>
  <c r="K1550" i="2"/>
  <c r="J1550" i="2"/>
  <c r="I1550" i="2"/>
  <c r="H1550" i="2"/>
  <c r="K1549" i="2"/>
  <c r="J1549" i="2"/>
  <c r="H1549" i="2"/>
  <c r="I1549" i="2" s="1"/>
  <c r="L1549" i="2" s="1"/>
  <c r="K1548" i="2"/>
  <c r="J1548" i="2"/>
  <c r="H1548" i="2"/>
  <c r="I1548" i="2" s="1"/>
  <c r="L1548" i="2" s="1"/>
  <c r="L1547" i="2"/>
  <c r="K1547" i="2"/>
  <c r="J1547" i="2"/>
  <c r="I1547" i="2"/>
  <c r="H1547" i="2"/>
  <c r="K1546" i="2"/>
  <c r="J1546" i="2"/>
  <c r="H1546" i="2"/>
  <c r="I1546" i="2" s="1"/>
  <c r="L1546" i="2" s="1"/>
  <c r="K1545" i="2"/>
  <c r="J1545" i="2"/>
  <c r="I1545" i="2"/>
  <c r="L1545" i="2" s="1"/>
  <c r="H1545" i="2"/>
  <c r="K1544" i="2"/>
  <c r="J1544" i="2"/>
  <c r="H1544" i="2"/>
  <c r="I1544" i="2" s="1"/>
  <c r="L1544" i="2" s="1"/>
  <c r="K1543" i="2"/>
  <c r="J1543" i="2"/>
  <c r="H1543" i="2"/>
  <c r="I1543" i="2" s="1"/>
  <c r="L1543" i="2" s="1"/>
  <c r="K1542" i="2"/>
  <c r="J1542" i="2"/>
  <c r="H1542" i="2"/>
  <c r="I1542" i="2" s="1"/>
  <c r="L1542" i="2" s="1"/>
  <c r="L1541" i="2"/>
  <c r="K1541" i="2"/>
  <c r="J1541" i="2"/>
  <c r="I1541" i="2" s="1"/>
  <c r="H1541" i="2"/>
  <c r="K1540" i="2"/>
  <c r="J1540" i="2"/>
  <c r="I1540" i="2"/>
  <c r="L1540" i="2" s="1"/>
  <c r="H1540" i="2"/>
  <c r="K1539" i="2"/>
  <c r="J1539" i="2"/>
  <c r="I1539" i="2"/>
  <c r="L1539" i="2" s="1"/>
  <c r="H1539" i="2"/>
  <c r="K1538" i="2"/>
  <c r="J1538" i="2"/>
  <c r="H1538" i="2"/>
  <c r="I1538" i="2" s="1"/>
  <c r="L1538" i="2" s="1"/>
  <c r="L1537" i="2"/>
  <c r="K1537" i="2"/>
  <c r="J1537" i="2"/>
  <c r="I1537" i="2"/>
  <c r="H1537" i="2"/>
  <c r="L1536" i="2"/>
  <c r="K1536" i="2"/>
  <c r="J1536" i="2"/>
  <c r="I1536" i="2"/>
  <c r="H1536" i="2"/>
  <c r="K1535" i="2"/>
  <c r="J1535" i="2"/>
  <c r="H1535" i="2"/>
  <c r="I1535" i="2" s="1"/>
  <c r="L1535" i="2" s="1"/>
  <c r="K1534" i="2"/>
  <c r="J1534" i="2"/>
  <c r="H1534" i="2"/>
  <c r="I1534" i="2" s="1"/>
  <c r="L1534" i="2" s="1"/>
  <c r="K1533" i="2"/>
  <c r="J1533" i="2"/>
  <c r="H1533" i="2"/>
  <c r="I1533" i="2" s="1"/>
  <c r="L1533" i="2" s="1"/>
  <c r="K1532" i="2"/>
  <c r="J1532" i="2"/>
  <c r="H1532" i="2"/>
  <c r="I1532" i="2" s="1"/>
  <c r="L1532" i="2" s="1"/>
  <c r="K1531" i="2"/>
  <c r="J1531" i="2"/>
  <c r="I1531" i="2"/>
  <c r="L1531" i="2" s="1"/>
  <c r="H1531" i="2"/>
  <c r="L1530" i="2"/>
  <c r="K1530" i="2"/>
  <c r="J1530" i="2"/>
  <c r="I1530" i="2"/>
  <c r="H1530" i="2"/>
  <c r="K1529" i="2"/>
  <c r="J1529" i="2"/>
  <c r="I1529" i="2"/>
  <c r="L1529" i="2" s="1"/>
  <c r="H1529" i="2"/>
  <c r="K1528" i="2"/>
  <c r="J1528" i="2"/>
  <c r="I1528" i="2"/>
  <c r="L1528" i="2" s="1"/>
  <c r="H1528" i="2"/>
  <c r="K1527" i="2"/>
  <c r="J1527" i="2"/>
  <c r="H1527" i="2"/>
  <c r="I1527" i="2" s="1"/>
  <c r="L1527" i="2" s="1"/>
  <c r="K1526" i="2"/>
  <c r="J1526" i="2"/>
  <c r="I1526" i="2"/>
  <c r="L1526" i="2" s="1"/>
  <c r="H1526" i="2"/>
  <c r="K1525" i="2"/>
  <c r="J1525" i="2"/>
  <c r="H1525" i="2"/>
  <c r="I1525" i="2" s="1"/>
  <c r="L1525" i="2" s="1"/>
  <c r="K1524" i="2"/>
  <c r="J1524" i="2"/>
  <c r="H1524" i="2"/>
  <c r="I1524" i="2" s="1"/>
  <c r="L1524" i="2" s="1"/>
  <c r="K1523" i="2"/>
  <c r="J1523" i="2"/>
  <c r="I1523" i="2"/>
  <c r="L1523" i="2" s="1"/>
  <c r="H1523" i="2"/>
  <c r="K1522" i="2"/>
  <c r="J1522" i="2"/>
  <c r="I1522" i="2"/>
  <c r="L1522" i="2" s="1"/>
  <c r="H1522" i="2"/>
  <c r="K1521" i="2"/>
  <c r="J1521" i="2"/>
  <c r="I1521" i="2"/>
  <c r="L1521" i="2" s="1"/>
  <c r="H1521" i="2"/>
  <c r="K1520" i="2"/>
  <c r="J1520" i="2"/>
  <c r="I1520" i="2" s="1"/>
  <c r="L1520" i="2" s="1"/>
  <c r="H1520" i="2"/>
  <c r="K1519" i="2"/>
  <c r="J1519" i="2"/>
  <c r="H1519" i="2"/>
  <c r="I1519" i="2" s="1"/>
  <c r="L1519" i="2" s="1"/>
  <c r="K1518" i="2"/>
  <c r="J1518" i="2"/>
  <c r="I1518" i="2"/>
  <c r="L1518" i="2" s="1"/>
  <c r="H1518" i="2"/>
  <c r="K1517" i="2"/>
  <c r="J1517" i="2"/>
  <c r="I1517" i="2"/>
  <c r="L1517" i="2" s="1"/>
  <c r="H1517" i="2"/>
  <c r="K1516" i="2"/>
  <c r="J1516" i="2"/>
  <c r="H1516" i="2"/>
  <c r="I1516" i="2" s="1"/>
  <c r="L1516" i="2" s="1"/>
  <c r="K1515" i="2"/>
  <c r="J1515" i="2"/>
  <c r="H1515" i="2"/>
  <c r="I1515" i="2" s="1"/>
  <c r="L1515" i="2" s="1"/>
  <c r="K1514" i="2"/>
  <c r="J1514" i="2"/>
  <c r="H1514" i="2"/>
  <c r="I1514" i="2" s="1"/>
  <c r="L1514" i="2" s="1"/>
  <c r="L1513" i="2"/>
  <c r="K1513" i="2"/>
  <c r="J1513" i="2"/>
  <c r="I1513" i="2"/>
  <c r="H1513" i="2"/>
  <c r="K1512" i="2"/>
  <c r="J1512" i="2"/>
  <c r="H1512" i="2"/>
  <c r="I1512" i="2" s="1"/>
  <c r="L1512" i="2" s="1"/>
  <c r="K1511" i="2"/>
  <c r="J1511" i="2"/>
  <c r="H1511" i="2"/>
  <c r="I1511" i="2" s="1"/>
  <c r="L1511" i="2" s="1"/>
  <c r="L1510" i="2"/>
  <c r="K1510" i="2"/>
  <c r="J1510" i="2"/>
  <c r="H1510" i="2"/>
  <c r="I1510" i="2" s="1"/>
  <c r="K1509" i="2"/>
  <c r="J1509" i="2"/>
  <c r="I1509" i="2"/>
  <c r="L1509" i="2" s="1"/>
  <c r="H1509" i="2"/>
  <c r="K1508" i="2"/>
  <c r="J1508" i="2"/>
  <c r="H1508" i="2"/>
  <c r="I1508" i="2" s="1"/>
  <c r="L1508" i="2" s="1"/>
  <c r="K1507" i="2"/>
  <c r="J1507" i="2"/>
  <c r="H1507" i="2"/>
  <c r="I1507" i="2" s="1"/>
  <c r="L1507" i="2" s="1"/>
  <c r="K1506" i="2"/>
  <c r="J1506" i="2"/>
  <c r="I1506" i="2"/>
  <c r="L1506" i="2" s="1"/>
  <c r="H1506" i="2"/>
  <c r="K1505" i="2"/>
  <c r="J1505" i="2"/>
  <c r="I1505" i="2" s="1"/>
  <c r="L1505" i="2" s="1"/>
  <c r="H1505" i="2"/>
  <c r="K1504" i="2"/>
  <c r="J1504" i="2"/>
  <c r="I1504" i="2"/>
  <c r="L1504" i="2" s="1"/>
  <c r="H1504" i="2"/>
  <c r="K1503" i="2"/>
  <c r="J1503" i="2"/>
  <c r="I1503" i="2"/>
  <c r="L1503" i="2" s="1"/>
  <c r="H1503" i="2"/>
  <c r="K1502" i="2"/>
  <c r="J1502" i="2"/>
  <c r="H1502" i="2"/>
  <c r="I1502" i="2" s="1"/>
  <c r="L1502" i="2" s="1"/>
  <c r="K1501" i="2"/>
  <c r="J1501" i="2"/>
  <c r="H1501" i="2"/>
  <c r="I1501" i="2" s="1"/>
  <c r="L1501" i="2" s="1"/>
  <c r="L1500" i="2"/>
  <c r="K1500" i="2"/>
  <c r="J1500" i="2"/>
  <c r="H1500" i="2"/>
  <c r="I1500" i="2" s="1"/>
  <c r="K1499" i="2"/>
  <c r="J1499" i="2"/>
  <c r="H1499" i="2"/>
  <c r="I1499" i="2" s="1"/>
  <c r="L1499" i="2" s="1"/>
  <c r="K1498" i="2"/>
  <c r="J1498" i="2"/>
  <c r="I1498" i="2" s="1"/>
  <c r="L1498" i="2" s="1"/>
  <c r="H1498" i="2"/>
  <c r="K1497" i="2"/>
  <c r="J1497" i="2"/>
  <c r="I1497" i="2"/>
  <c r="L1497" i="2" s="1"/>
  <c r="H1497" i="2"/>
  <c r="L1496" i="2"/>
  <c r="K1496" i="2"/>
  <c r="J1496" i="2"/>
  <c r="I1496" i="2"/>
  <c r="H1496" i="2"/>
  <c r="K1495" i="2"/>
  <c r="J1495" i="2"/>
  <c r="H1495" i="2"/>
  <c r="I1495" i="2" s="1"/>
  <c r="L1495" i="2" s="1"/>
  <c r="L1494" i="2"/>
  <c r="K1494" i="2"/>
  <c r="J1494" i="2"/>
  <c r="I1494" i="2"/>
  <c r="H1494" i="2"/>
  <c r="K1493" i="2"/>
  <c r="J1493" i="2"/>
  <c r="I1493" i="2"/>
  <c r="L1493" i="2" s="1"/>
  <c r="H1493" i="2"/>
  <c r="K1492" i="2"/>
  <c r="J1492" i="2"/>
  <c r="H1492" i="2"/>
  <c r="I1492" i="2" s="1"/>
  <c r="L1492" i="2" s="1"/>
  <c r="K1491" i="2"/>
  <c r="J1491" i="2"/>
  <c r="H1491" i="2"/>
  <c r="I1491" i="2" s="1"/>
  <c r="L1491" i="2" s="1"/>
  <c r="K1490" i="2"/>
  <c r="J1490" i="2"/>
  <c r="H1490" i="2"/>
  <c r="I1490" i="2" s="1"/>
  <c r="L1490" i="2" s="1"/>
  <c r="K1489" i="2"/>
  <c r="J1489" i="2"/>
  <c r="H1489" i="2"/>
  <c r="I1489" i="2" s="1"/>
  <c r="L1489" i="2" s="1"/>
  <c r="K1488" i="2"/>
  <c r="J1488" i="2"/>
  <c r="H1488" i="2"/>
  <c r="K1487" i="2"/>
  <c r="J1487" i="2"/>
  <c r="H1487" i="2"/>
  <c r="I1487" i="2" s="1"/>
  <c r="L1487" i="2" s="1"/>
  <c r="K1486" i="2"/>
  <c r="J1486" i="2"/>
  <c r="H1486" i="2"/>
  <c r="I1486" i="2" s="1"/>
  <c r="L1486" i="2" s="1"/>
  <c r="K1485" i="2"/>
  <c r="J1485" i="2"/>
  <c r="H1485" i="2"/>
  <c r="I1485" i="2" s="1"/>
  <c r="L1485" i="2" s="1"/>
  <c r="K1484" i="2"/>
  <c r="J1484" i="2"/>
  <c r="H1484" i="2"/>
  <c r="I1484" i="2" s="1"/>
  <c r="L1484" i="2" s="1"/>
  <c r="K1483" i="2"/>
  <c r="J1483" i="2"/>
  <c r="I1483" i="2"/>
  <c r="L1483" i="2" s="1"/>
  <c r="H1483" i="2"/>
  <c r="K1482" i="2"/>
  <c r="J1482" i="2"/>
  <c r="I1482" i="2"/>
  <c r="L1482" i="2" s="1"/>
  <c r="H1482" i="2"/>
  <c r="K1481" i="2"/>
  <c r="J1481" i="2"/>
  <c r="I1481" i="2"/>
  <c r="L1481" i="2" s="1"/>
  <c r="H1481" i="2"/>
  <c r="L1480" i="2"/>
  <c r="K1480" i="2"/>
  <c r="J1480" i="2"/>
  <c r="H1480" i="2"/>
  <c r="I1480" i="2" s="1"/>
  <c r="K1479" i="2"/>
  <c r="J1479" i="2"/>
  <c r="H1479" i="2"/>
  <c r="I1479" i="2" s="1"/>
  <c r="L1479" i="2" s="1"/>
  <c r="K1478" i="2"/>
  <c r="J1478" i="2"/>
  <c r="I1478" i="2" s="1"/>
  <c r="L1478" i="2" s="1"/>
  <c r="H1478" i="2"/>
  <c r="K1477" i="2"/>
  <c r="J1477" i="2"/>
  <c r="I1477" i="2" s="1"/>
  <c r="L1477" i="2" s="1"/>
  <c r="H1477" i="2"/>
  <c r="L1476" i="2"/>
  <c r="K1476" i="2"/>
  <c r="J1476" i="2"/>
  <c r="I1476" i="2"/>
  <c r="H1476" i="2"/>
  <c r="K1475" i="2"/>
  <c r="J1475" i="2"/>
  <c r="H1475" i="2"/>
  <c r="I1475" i="2" s="1"/>
  <c r="L1475" i="2" s="1"/>
  <c r="L1474" i="2"/>
  <c r="K1474" i="2"/>
  <c r="J1474" i="2"/>
  <c r="I1474" i="2"/>
  <c r="H1474" i="2"/>
  <c r="K1473" i="2"/>
  <c r="J1473" i="2"/>
  <c r="I1473" i="2" s="1"/>
  <c r="L1473" i="2" s="1"/>
  <c r="H1473" i="2"/>
  <c r="K1472" i="2"/>
  <c r="J1472" i="2"/>
  <c r="I1472" i="2"/>
  <c r="L1472" i="2" s="1"/>
  <c r="H1472" i="2"/>
  <c r="L1471" i="2"/>
  <c r="K1471" i="2"/>
  <c r="J1471" i="2"/>
  <c r="I1471" i="2"/>
  <c r="H1471" i="2"/>
  <c r="K1470" i="2"/>
  <c r="J1470" i="2"/>
  <c r="H1470" i="2"/>
  <c r="I1470" i="2" s="1"/>
  <c r="L1470" i="2" s="1"/>
  <c r="K1469" i="2"/>
  <c r="J1469" i="2"/>
  <c r="I1469" i="2"/>
  <c r="L1469" i="2" s="1"/>
  <c r="H1469" i="2"/>
  <c r="K1468" i="2"/>
  <c r="J1468" i="2"/>
  <c r="H1468" i="2"/>
  <c r="I1468" i="2" s="1"/>
  <c r="L1468" i="2" s="1"/>
  <c r="K1467" i="2"/>
  <c r="J1467" i="2"/>
  <c r="H1467" i="2"/>
  <c r="I1467" i="2" s="1"/>
  <c r="L1467" i="2" s="1"/>
  <c r="K1466" i="2"/>
  <c r="J1466" i="2"/>
  <c r="I1466" i="2" s="1"/>
  <c r="L1466" i="2" s="1"/>
  <c r="H1466" i="2"/>
  <c r="K1465" i="2"/>
  <c r="J1465" i="2"/>
  <c r="H1465" i="2"/>
  <c r="I1465" i="2" s="1"/>
  <c r="L1465" i="2" s="1"/>
  <c r="K1464" i="2"/>
  <c r="J1464" i="2"/>
  <c r="H1464" i="2"/>
  <c r="I1464" i="2" s="1"/>
  <c r="L1464" i="2" s="1"/>
  <c r="L1463" i="2"/>
  <c r="K1463" i="2"/>
  <c r="J1463" i="2"/>
  <c r="H1463" i="2"/>
  <c r="I1463" i="2" s="1"/>
  <c r="K1462" i="2"/>
  <c r="J1462" i="2"/>
  <c r="H1462" i="2"/>
  <c r="I1462" i="2" s="1"/>
  <c r="L1462" i="2" s="1"/>
  <c r="K1461" i="2"/>
  <c r="J1461" i="2"/>
  <c r="I1461" i="2"/>
  <c r="L1461" i="2" s="1"/>
  <c r="H1461" i="2"/>
  <c r="K1460" i="2"/>
  <c r="J1460" i="2"/>
  <c r="I1460" i="2"/>
  <c r="L1460" i="2" s="1"/>
  <c r="H1460" i="2"/>
  <c r="K1459" i="2"/>
  <c r="J1459" i="2"/>
  <c r="H1459" i="2"/>
  <c r="I1459" i="2" s="1"/>
  <c r="L1459" i="2" s="1"/>
  <c r="K1458" i="2"/>
  <c r="J1458" i="2"/>
  <c r="H1458" i="2"/>
  <c r="I1458" i="2" s="1"/>
  <c r="L1458" i="2" s="1"/>
  <c r="K1457" i="2"/>
  <c r="J1457" i="2"/>
  <c r="I1457" i="2"/>
  <c r="L1457" i="2" s="1"/>
  <c r="H1457" i="2"/>
  <c r="K1456" i="2"/>
  <c r="J1456" i="2"/>
  <c r="I1456" i="2"/>
  <c r="L1456" i="2" s="1"/>
  <c r="H1456" i="2"/>
  <c r="K1455" i="2"/>
  <c r="J1455" i="2"/>
  <c r="H1455" i="2"/>
  <c r="I1455" i="2" s="1"/>
  <c r="L1455" i="2" s="1"/>
  <c r="K1454" i="2"/>
  <c r="J1454" i="2"/>
  <c r="H1454" i="2"/>
  <c r="I1454" i="2" s="1"/>
  <c r="L1454" i="2" s="1"/>
  <c r="K1453" i="2"/>
  <c r="J1453" i="2"/>
  <c r="H1453" i="2"/>
  <c r="I1453" i="2" s="1"/>
  <c r="L1453" i="2" s="1"/>
  <c r="K1452" i="2"/>
  <c r="J1452" i="2"/>
  <c r="H1452" i="2"/>
  <c r="I1452" i="2" s="1"/>
  <c r="L1452" i="2" s="1"/>
  <c r="L1451" i="2"/>
  <c r="K1451" i="2"/>
  <c r="J1451" i="2"/>
  <c r="I1451" i="2"/>
  <c r="H1451" i="2"/>
  <c r="K1450" i="2"/>
  <c r="J1450" i="2"/>
  <c r="I1450" i="2"/>
  <c r="L1450" i="2" s="1"/>
  <c r="H1450" i="2"/>
  <c r="K1449" i="2"/>
  <c r="J1449" i="2"/>
  <c r="H1449" i="2"/>
  <c r="I1449" i="2" s="1"/>
  <c r="L1449" i="2" s="1"/>
  <c r="L1448" i="2"/>
  <c r="K1448" i="2"/>
  <c r="J1448" i="2"/>
  <c r="H1448" i="2"/>
  <c r="I1448" i="2" s="1"/>
  <c r="K1447" i="2"/>
  <c r="J1447" i="2"/>
  <c r="H1447" i="2"/>
  <c r="I1447" i="2" s="1"/>
  <c r="L1447" i="2" s="1"/>
  <c r="K1446" i="2"/>
  <c r="J1446" i="2"/>
  <c r="I1446" i="2"/>
  <c r="L1446" i="2" s="1"/>
  <c r="H1446" i="2"/>
  <c r="K1445" i="2"/>
  <c r="J1445" i="2"/>
  <c r="H1445" i="2"/>
  <c r="I1445" i="2" s="1"/>
  <c r="L1445" i="2" s="1"/>
  <c r="L1444" i="2"/>
  <c r="K1444" i="2"/>
  <c r="J1444" i="2"/>
  <c r="I1444" i="2"/>
  <c r="H1444" i="2"/>
  <c r="K1443" i="2"/>
  <c r="J1443" i="2"/>
  <c r="I1443" i="2"/>
  <c r="L1443" i="2" s="1"/>
  <c r="H1443" i="2"/>
  <c r="L1442" i="2"/>
  <c r="K1442" i="2"/>
  <c r="J1442" i="2"/>
  <c r="I1442" i="2"/>
  <c r="H1442" i="2"/>
  <c r="K1441" i="2"/>
  <c r="J1441" i="2"/>
  <c r="I1441" i="2" s="1"/>
  <c r="L1441" i="2" s="1"/>
  <c r="H1441" i="2"/>
  <c r="K1440" i="2"/>
  <c r="J1440" i="2"/>
  <c r="H1440" i="2"/>
  <c r="I1440" i="2" s="1"/>
  <c r="L1440" i="2" s="1"/>
  <c r="K1439" i="2"/>
  <c r="J1439" i="2"/>
  <c r="H1439" i="2"/>
  <c r="I1439" i="2" s="1"/>
  <c r="L1439" i="2" s="1"/>
  <c r="K1438" i="2"/>
  <c r="J1438" i="2"/>
  <c r="H1438" i="2"/>
  <c r="I1438" i="2" s="1"/>
  <c r="L1438" i="2" s="1"/>
  <c r="L1437" i="2"/>
  <c r="K1437" i="2"/>
  <c r="J1437" i="2"/>
  <c r="I1437" i="2"/>
  <c r="H1437" i="2"/>
  <c r="K1436" i="2"/>
  <c r="J1436" i="2"/>
  <c r="H1436" i="2"/>
  <c r="I1436" i="2" s="1"/>
  <c r="L1436" i="2" s="1"/>
  <c r="K1435" i="2"/>
  <c r="J1435" i="2"/>
  <c r="H1435" i="2"/>
  <c r="I1435" i="2" s="1"/>
  <c r="L1435" i="2" s="1"/>
  <c r="K1434" i="2"/>
  <c r="J1434" i="2"/>
  <c r="I1434" i="2"/>
  <c r="L1434" i="2" s="1"/>
  <c r="H1434" i="2"/>
  <c r="K1433" i="2"/>
  <c r="J1433" i="2"/>
  <c r="I1433" i="2"/>
  <c r="L1433" i="2" s="1"/>
  <c r="H1433" i="2"/>
  <c r="K1432" i="2"/>
  <c r="J1432" i="2"/>
  <c r="H1432" i="2"/>
  <c r="I1432" i="2" s="1"/>
  <c r="L1432" i="2" s="1"/>
  <c r="K1431" i="2"/>
  <c r="J1431" i="2"/>
  <c r="H1431" i="2"/>
  <c r="I1431" i="2" s="1"/>
  <c r="L1431" i="2" s="1"/>
  <c r="K1430" i="2"/>
  <c r="J1430" i="2"/>
  <c r="I1430" i="2"/>
  <c r="L1430" i="2" s="1"/>
  <c r="H1430" i="2"/>
  <c r="L1429" i="2"/>
  <c r="K1429" i="2"/>
  <c r="J1429" i="2"/>
  <c r="I1429" i="2" s="1"/>
  <c r="H1429" i="2"/>
  <c r="K1428" i="2"/>
  <c r="J1428" i="2"/>
  <c r="H1428" i="2"/>
  <c r="I1428" i="2" s="1"/>
  <c r="L1428" i="2" s="1"/>
  <c r="K1427" i="2"/>
  <c r="J1427" i="2"/>
  <c r="I1427" i="2"/>
  <c r="L1427" i="2" s="1"/>
  <c r="H1427" i="2"/>
  <c r="K1426" i="2"/>
  <c r="J1426" i="2"/>
  <c r="H1426" i="2"/>
  <c r="I1426" i="2" s="1"/>
  <c r="L1426" i="2" s="1"/>
  <c r="K1425" i="2"/>
  <c r="J1425" i="2"/>
  <c r="H1425" i="2"/>
  <c r="I1425" i="2" s="1"/>
  <c r="L1425" i="2" s="1"/>
  <c r="L1424" i="2"/>
  <c r="K1424" i="2"/>
  <c r="J1424" i="2"/>
  <c r="H1424" i="2"/>
  <c r="I1424" i="2" s="1"/>
  <c r="K1423" i="2"/>
  <c r="J1423" i="2"/>
  <c r="H1423" i="2"/>
  <c r="I1423" i="2" s="1"/>
  <c r="L1423" i="2" s="1"/>
  <c r="K1422" i="2"/>
  <c r="J1422" i="2"/>
  <c r="I1422" i="2"/>
  <c r="L1422" i="2" s="1"/>
  <c r="H1422" i="2"/>
  <c r="K1421" i="2"/>
  <c r="J1421" i="2"/>
  <c r="I1421" i="2"/>
  <c r="L1421" i="2" s="1"/>
  <c r="H1421" i="2"/>
  <c r="K1420" i="2"/>
  <c r="J1420" i="2"/>
  <c r="H1420" i="2"/>
  <c r="I1420" i="2" s="1"/>
  <c r="L1420" i="2" s="1"/>
  <c r="K1419" i="2"/>
  <c r="J1419" i="2"/>
  <c r="I1419" i="2"/>
  <c r="L1419" i="2" s="1"/>
  <c r="H1419" i="2"/>
  <c r="K1418" i="2"/>
  <c r="J1418" i="2"/>
  <c r="H1418" i="2"/>
  <c r="I1418" i="2" s="1"/>
  <c r="L1418" i="2" s="1"/>
  <c r="K1417" i="2"/>
  <c r="J1417" i="2"/>
  <c r="I1417" i="2" s="1"/>
  <c r="L1417" i="2" s="1"/>
  <c r="H1417" i="2"/>
  <c r="L1416" i="2"/>
  <c r="K1416" i="2"/>
  <c r="J1416" i="2"/>
  <c r="I1416" i="2"/>
  <c r="H1416" i="2"/>
  <c r="K1415" i="2"/>
  <c r="J1415" i="2"/>
  <c r="H1415" i="2"/>
  <c r="I1415" i="2" s="1"/>
  <c r="L1415" i="2" s="1"/>
  <c r="K1414" i="2"/>
  <c r="J1414" i="2"/>
  <c r="I1414" i="2"/>
  <c r="L1414" i="2" s="1"/>
  <c r="H1414" i="2"/>
  <c r="K1413" i="2"/>
  <c r="J1413" i="2"/>
  <c r="H1413" i="2"/>
  <c r="I1413" i="2" s="1"/>
  <c r="L1413" i="2" s="1"/>
  <c r="K1412" i="2"/>
  <c r="J1412" i="2"/>
  <c r="H1412" i="2"/>
  <c r="I1412" i="2" s="1"/>
  <c r="L1412" i="2" s="1"/>
  <c r="L1411" i="2"/>
  <c r="K1411" i="2"/>
  <c r="J1411" i="2"/>
  <c r="I1411" i="2"/>
  <c r="H1411" i="2"/>
  <c r="K1410" i="2"/>
  <c r="J1410" i="2"/>
  <c r="I1410" i="2"/>
  <c r="L1410" i="2" s="1"/>
  <c r="H1410" i="2"/>
  <c r="K1409" i="2"/>
  <c r="J1409" i="2"/>
  <c r="H1409" i="2"/>
  <c r="I1409" i="2" s="1"/>
  <c r="L1409" i="2" s="1"/>
  <c r="K1408" i="2"/>
  <c r="J1408" i="2"/>
  <c r="H1408" i="2"/>
  <c r="I1408" i="2" s="1"/>
  <c r="L1408" i="2" s="1"/>
  <c r="K1407" i="2"/>
  <c r="J1407" i="2"/>
  <c r="H1407" i="2"/>
  <c r="I1407" i="2" s="1"/>
  <c r="L1407" i="2" s="1"/>
  <c r="K1406" i="2"/>
  <c r="J1406" i="2"/>
  <c r="H1406" i="2"/>
  <c r="I1406" i="2" s="1"/>
  <c r="L1406" i="2" s="1"/>
  <c r="K1405" i="2"/>
  <c r="J1405" i="2"/>
  <c r="H1405" i="2"/>
  <c r="I1405" i="2" s="1"/>
  <c r="L1405" i="2" s="1"/>
  <c r="K1404" i="2"/>
  <c r="J1404" i="2"/>
  <c r="H1404" i="2"/>
  <c r="I1404" i="2" s="1"/>
  <c r="L1404" i="2" s="1"/>
  <c r="K1403" i="2"/>
  <c r="J1403" i="2"/>
  <c r="H1403" i="2"/>
  <c r="I1403" i="2" s="1"/>
  <c r="L1403" i="2" s="1"/>
  <c r="K1402" i="2"/>
  <c r="J1402" i="2"/>
  <c r="I1402" i="2"/>
  <c r="L1402" i="2" s="1"/>
  <c r="H1402" i="2"/>
  <c r="K1401" i="2"/>
  <c r="J1401" i="2"/>
  <c r="I1401" i="2"/>
  <c r="L1401" i="2" s="1"/>
  <c r="H1401" i="2"/>
  <c r="L1400" i="2"/>
  <c r="K1400" i="2"/>
  <c r="J1400" i="2"/>
  <c r="H1400" i="2"/>
  <c r="I1400" i="2" s="1"/>
  <c r="K1399" i="2"/>
  <c r="J1399" i="2"/>
  <c r="H1399" i="2"/>
  <c r="I1399" i="2" s="1"/>
  <c r="L1399" i="2" s="1"/>
  <c r="K1398" i="2"/>
  <c r="J1398" i="2"/>
  <c r="I1398" i="2"/>
  <c r="L1398" i="2" s="1"/>
  <c r="H1398" i="2"/>
  <c r="K1397" i="2"/>
  <c r="J1397" i="2"/>
  <c r="H1397" i="2"/>
  <c r="I1397" i="2" s="1"/>
  <c r="L1397" i="2" s="1"/>
  <c r="K1396" i="2"/>
  <c r="J1396" i="2"/>
  <c r="H1396" i="2"/>
  <c r="I1396" i="2" s="1"/>
  <c r="L1396" i="2" s="1"/>
  <c r="K1395" i="2"/>
  <c r="J1395" i="2"/>
  <c r="H1395" i="2"/>
  <c r="I1395" i="2" s="1"/>
  <c r="L1395" i="2" s="1"/>
  <c r="L1394" i="2"/>
  <c r="K1394" i="2"/>
  <c r="J1394" i="2"/>
  <c r="H1394" i="2"/>
  <c r="I1394" i="2" s="1"/>
  <c r="K1393" i="2"/>
  <c r="J1393" i="2"/>
  <c r="H1393" i="2"/>
  <c r="I1393" i="2" s="1"/>
  <c r="L1393" i="2" s="1"/>
  <c r="K1392" i="2"/>
  <c r="J1392" i="2"/>
  <c r="H1392" i="2"/>
  <c r="I1392" i="2" s="1"/>
  <c r="L1392" i="2" s="1"/>
  <c r="L1391" i="2"/>
  <c r="K1391" i="2"/>
  <c r="J1391" i="2"/>
  <c r="H1391" i="2"/>
  <c r="I1391" i="2" s="1"/>
  <c r="K1390" i="2"/>
  <c r="J1390" i="2"/>
  <c r="H1390" i="2"/>
  <c r="I1390" i="2" s="1"/>
  <c r="L1390" i="2" s="1"/>
  <c r="K1389" i="2"/>
  <c r="J1389" i="2"/>
  <c r="H1389" i="2"/>
  <c r="I1389" i="2" s="1"/>
  <c r="L1389" i="2" s="1"/>
  <c r="L1388" i="2"/>
  <c r="K1388" i="2"/>
  <c r="J1388" i="2"/>
  <c r="H1388" i="2"/>
  <c r="I1388" i="2" s="1"/>
  <c r="K1387" i="2"/>
  <c r="J1387" i="2"/>
  <c r="H1387" i="2"/>
  <c r="I1387" i="2" s="1"/>
  <c r="L1387" i="2" s="1"/>
  <c r="K1386" i="2"/>
  <c r="J1386" i="2"/>
  <c r="I1386" i="2"/>
  <c r="L1386" i="2" s="1"/>
  <c r="H1386" i="2"/>
  <c r="K1385" i="2"/>
  <c r="J1385" i="2"/>
  <c r="I1385" i="2"/>
  <c r="L1385" i="2" s="1"/>
  <c r="H1385" i="2"/>
  <c r="K1384" i="2"/>
  <c r="J1384" i="2"/>
  <c r="H1384" i="2"/>
  <c r="I1384" i="2" s="1"/>
  <c r="L1384" i="2" s="1"/>
  <c r="L1383" i="2"/>
  <c r="K1383" i="2"/>
  <c r="J1383" i="2"/>
  <c r="I1383" i="2"/>
  <c r="H1383" i="2"/>
  <c r="K1382" i="2"/>
  <c r="J1382" i="2"/>
  <c r="H1382" i="2"/>
  <c r="I1382" i="2" s="1"/>
  <c r="L1382" i="2" s="1"/>
  <c r="K1381" i="2"/>
  <c r="J1381" i="2"/>
  <c r="H1381" i="2"/>
  <c r="I1381" i="2" s="1"/>
  <c r="L1381" i="2" s="1"/>
  <c r="K1380" i="2"/>
  <c r="J1380" i="2"/>
  <c r="I1380" i="2"/>
  <c r="L1380" i="2" s="1"/>
  <c r="H1380" i="2"/>
  <c r="K1379" i="2"/>
  <c r="J1379" i="2"/>
  <c r="H1379" i="2"/>
  <c r="I1379" i="2" s="1"/>
  <c r="L1379" i="2" s="1"/>
  <c r="K1378" i="2"/>
  <c r="J1378" i="2"/>
  <c r="H1378" i="2"/>
  <c r="I1378" i="2" s="1"/>
  <c r="L1378" i="2" s="1"/>
  <c r="K1377" i="2"/>
  <c r="J1377" i="2"/>
  <c r="H1377" i="2"/>
  <c r="I1377" i="2" s="1"/>
  <c r="L1377" i="2" s="1"/>
  <c r="L1376" i="2"/>
  <c r="K1376" i="2"/>
  <c r="J1376" i="2"/>
  <c r="H1376" i="2"/>
  <c r="I1376" i="2" s="1"/>
  <c r="L1375" i="2"/>
  <c r="K1375" i="2"/>
  <c r="J1375" i="2"/>
  <c r="H1375" i="2"/>
  <c r="I1375" i="2" s="1"/>
  <c r="K1374" i="2"/>
  <c r="J1374" i="2"/>
  <c r="I1374" i="2"/>
  <c r="L1374" i="2" s="1"/>
  <c r="H1374" i="2"/>
  <c r="K1373" i="2"/>
  <c r="J1373" i="2"/>
  <c r="I1373" i="2"/>
  <c r="L1373" i="2" s="1"/>
  <c r="H1373" i="2"/>
  <c r="L1372" i="2"/>
  <c r="K1372" i="2"/>
  <c r="J1372" i="2"/>
  <c r="H1372" i="2"/>
  <c r="I1372" i="2" s="1"/>
  <c r="K1371" i="2"/>
  <c r="J1371" i="2"/>
  <c r="H1371" i="2"/>
  <c r="I1371" i="2" s="1"/>
  <c r="L1371" i="2" s="1"/>
  <c r="K1370" i="2"/>
  <c r="J1370" i="2"/>
  <c r="H1370" i="2"/>
  <c r="I1370" i="2" s="1"/>
  <c r="L1370" i="2" s="1"/>
  <c r="K1369" i="2"/>
  <c r="J1369" i="2"/>
  <c r="H1369" i="2"/>
  <c r="I1369" i="2" s="1"/>
  <c r="L1369" i="2" s="1"/>
  <c r="K1368" i="2"/>
  <c r="J1368" i="2"/>
  <c r="H1368" i="2"/>
  <c r="I1368" i="2" s="1"/>
  <c r="L1368" i="2" s="1"/>
  <c r="K1367" i="2"/>
  <c r="J1367" i="2"/>
  <c r="H1367" i="2"/>
  <c r="I1367" i="2" s="1"/>
  <c r="L1367" i="2" s="1"/>
  <c r="K1366" i="2"/>
  <c r="J1366" i="2"/>
  <c r="H1366" i="2"/>
  <c r="I1366" i="2" s="1"/>
  <c r="L1366" i="2" s="1"/>
  <c r="K1365" i="2"/>
  <c r="J1365" i="2"/>
  <c r="I1365" i="2"/>
  <c r="L1365" i="2" s="1"/>
  <c r="H1365" i="2"/>
  <c r="K1364" i="2"/>
  <c r="J1364" i="2"/>
  <c r="H1364" i="2"/>
  <c r="I1364" i="2" s="1"/>
  <c r="L1364" i="2" s="1"/>
  <c r="K1363" i="2"/>
  <c r="J1363" i="2"/>
  <c r="H1363" i="2"/>
  <c r="I1363" i="2" s="1"/>
  <c r="L1363" i="2" s="1"/>
  <c r="K1362" i="2"/>
  <c r="J1362" i="2"/>
  <c r="I1362" i="2"/>
  <c r="L1362" i="2" s="1"/>
  <c r="H1362" i="2"/>
  <c r="K1361" i="2"/>
  <c r="J1361" i="2"/>
  <c r="H1361" i="2"/>
  <c r="I1361" i="2" s="1"/>
  <c r="L1361" i="2" s="1"/>
  <c r="K1360" i="2"/>
  <c r="J1360" i="2"/>
  <c r="H1360" i="2"/>
  <c r="I1360" i="2" s="1"/>
  <c r="L1360" i="2" s="1"/>
  <c r="K1359" i="2"/>
  <c r="J1359" i="2"/>
  <c r="H1359" i="2"/>
  <c r="I1359" i="2" s="1"/>
  <c r="L1359" i="2" s="1"/>
  <c r="K1358" i="2"/>
  <c r="J1358" i="2"/>
  <c r="H1358" i="2"/>
  <c r="I1358" i="2" s="1"/>
  <c r="L1358" i="2" s="1"/>
  <c r="K1357" i="2"/>
  <c r="J1357" i="2"/>
  <c r="H1357" i="2"/>
  <c r="I1357" i="2" s="1"/>
  <c r="L1357" i="2" s="1"/>
  <c r="K1356" i="2"/>
  <c r="J1356" i="2"/>
  <c r="I1356" i="2"/>
  <c r="L1356" i="2" s="1"/>
  <c r="H1356" i="2"/>
  <c r="K1355" i="2"/>
  <c r="J1355" i="2"/>
  <c r="H1355" i="2"/>
  <c r="I1355" i="2" s="1"/>
  <c r="L1355" i="2" s="1"/>
  <c r="K1354" i="2"/>
  <c r="J1354" i="2"/>
  <c r="H1354" i="2"/>
  <c r="I1354" i="2" s="1"/>
  <c r="L1354" i="2" s="1"/>
  <c r="K1353" i="2"/>
  <c r="J1353" i="2"/>
  <c r="I1353" i="2"/>
  <c r="L1353" i="2" s="1"/>
  <c r="H1353" i="2"/>
  <c r="L1352" i="2"/>
  <c r="K1352" i="2"/>
  <c r="J1352" i="2"/>
  <c r="H1352" i="2"/>
  <c r="I1352" i="2" s="1"/>
  <c r="K1351" i="2"/>
  <c r="J1351" i="2"/>
  <c r="H1351" i="2"/>
  <c r="I1351" i="2" s="1"/>
  <c r="L1351" i="2" s="1"/>
  <c r="L1350" i="2"/>
  <c r="K1350" i="2"/>
  <c r="J1350" i="2"/>
  <c r="I1350" i="2"/>
  <c r="H1350" i="2"/>
  <c r="K1349" i="2"/>
  <c r="J1349" i="2"/>
  <c r="I1349" i="2"/>
  <c r="L1349" i="2" s="1"/>
  <c r="H1349" i="2"/>
  <c r="K1348" i="2"/>
  <c r="J1348" i="2"/>
  <c r="H1348" i="2"/>
  <c r="I1348" i="2" s="1"/>
  <c r="L1348" i="2" s="1"/>
  <c r="K1347" i="2"/>
  <c r="J1347" i="2"/>
  <c r="I1347" i="2"/>
  <c r="L1347" i="2" s="1"/>
  <c r="H1347" i="2"/>
  <c r="K1346" i="2"/>
  <c r="J1346" i="2"/>
  <c r="H1346" i="2"/>
  <c r="I1346" i="2" s="1"/>
  <c r="L1346" i="2" s="1"/>
  <c r="L1345" i="2"/>
  <c r="K1345" i="2"/>
  <c r="J1345" i="2"/>
  <c r="I1345" i="2" s="1"/>
  <c r="H1345" i="2"/>
  <c r="K1344" i="2"/>
  <c r="J1344" i="2"/>
  <c r="I1344" i="2"/>
  <c r="L1344" i="2" s="1"/>
  <c r="H1344" i="2"/>
  <c r="K1343" i="2"/>
  <c r="J1343" i="2"/>
  <c r="H1343" i="2"/>
  <c r="I1343" i="2" s="1"/>
  <c r="L1343" i="2" s="1"/>
  <c r="K1342" i="2"/>
  <c r="J1342" i="2"/>
  <c r="H1342" i="2"/>
  <c r="I1342" i="2" s="1"/>
  <c r="L1342" i="2" s="1"/>
  <c r="K1341" i="2"/>
  <c r="J1341" i="2"/>
  <c r="H1341" i="2"/>
  <c r="I1341" i="2" s="1"/>
  <c r="L1341" i="2" s="1"/>
  <c r="K1340" i="2"/>
  <c r="J1340" i="2"/>
  <c r="H1340" i="2"/>
  <c r="I1340" i="2" s="1"/>
  <c r="L1340" i="2" s="1"/>
  <c r="K1339" i="2"/>
  <c r="J1339" i="2"/>
  <c r="H1339" i="2"/>
  <c r="I1339" i="2" s="1"/>
  <c r="L1339" i="2" s="1"/>
  <c r="K1338" i="2"/>
  <c r="J1338" i="2"/>
  <c r="I1338" i="2"/>
  <c r="L1338" i="2" s="1"/>
  <c r="H1338" i="2"/>
  <c r="K1337" i="2"/>
  <c r="J1337" i="2"/>
  <c r="H1337" i="2"/>
  <c r="I1337" i="2" s="1"/>
  <c r="L1337" i="2" s="1"/>
  <c r="K1336" i="2"/>
  <c r="J1336" i="2"/>
  <c r="H1336" i="2"/>
  <c r="I1336" i="2" s="1"/>
  <c r="L1336" i="2" s="1"/>
  <c r="K1335" i="2"/>
  <c r="J1335" i="2"/>
  <c r="H1335" i="2"/>
  <c r="I1335" i="2" s="1"/>
  <c r="L1335" i="2" s="1"/>
  <c r="K1334" i="2"/>
  <c r="J1334" i="2"/>
  <c r="H1334" i="2"/>
  <c r="K1333" i="2"/>
  <c r="J1333" i="2"/>
  <c r="I1333" i="2" s="1"/>
  <c r="L1333" i="2" s="1"/>
  <c r="H1333" i="2"/>
  <c r="K1332" i="2"/>
  <c r="J1332" i="2"/>
  <c r="H1332" i="2"/>
  <c r="I1332" i="2" s="1"/>
  <c r="L1332" i="2" s="1"/>
  <c r="K1331" i="2"/>
  <c r="J1331" i="2"/>
  <c r="H1331" i="2"/>
  <c r="K1330" i="2"/>
  <c r="J1330" i="2"/>
  <c r="H1330" i="2"/>
  <c r="I1330" i="2" s="1"/>
  <c r="L1330" i="2" s="1"/>
  <c r="K1329" i="2"/>
  <c r="J1329" i="2"/>
  <c r="I1329" i="2"/>
  <c r="L1329" i="2" s="1"/>
  <c r="H1329" i="2"/>
  <c r="L1328" i="2"/>
  <c r="K1328" i="2"/>
  <c r="J1328" i="2"/>
  <c r="H1328" i="2"/>
  <c r="I1328" i="2" s="1"/>
  <c r="K1327" i="2"/>
  <c r="J1327" i="2"/>
  <c r="H1327" i="2"/>
  <c r="I1327" i="2" s="1"/>
  <c r="L1327" i="2" s="1"/>
  <c r="K1326" i="2"/>
  <c r="J1326" i="2"/>
  <c r="I1326" i="2"/>
  <c r="L1326" i="2" s="1"/>
  <c r="H1326" i="2"/>
  <c r="K1325" i="2"/>
  <c r="J1325" i="2"/>
  <c r="H1325" i="2"/>
  <c r="I1325" i="2" s="1"/>
  <c r="L1325" i="2" s="1"/>
  <c r="K1324" i="2"/>
  <c r="J1324" i="2"/>
  <c r="H1324" i="2"/>
  <c r="I1324" i="2" s="1"/>
  <c r="L1324" i="2" s="1"/>
  <c r="K1323" i="2"/>
  <c r="J1323" i="2"/>
  <c r="I1323" i="2"/>
  <c r="L1323" i="2" s="1"/>
  <c r="H1323" i="2"/>
  <c r="K1322" i="2"/>
  <c r="J1322" i="2"/>
  <c r="H1322" i="2"/>
  <c r="I1322" i="2" s="1"/>
  <c r="L1322" i="2" s="1"/>
  <c r="L1321" i="2"/>
  <c r="K1321" i="2"/>
  <c r="J1321" i="2"/>
  <c r="I1321" i="2"/>
  <c r="H1321" i="2"/>
  <c r="K1320" i="2"/>
  <c r="J1320" i="2"/>
  <c r="H1320" i="2"/>
  <c r="I1320" i="2" s="1"/>
  <c r="L1320" i="2" s="1"/>
  <c r="K1319" i="2"/>
  <c r="J1319" i="2"/>
  <c r="I1319" i="2"/>
  <c r="L1319" i="2" s="1"/>
  <c r="H1319" i="2"/>
  <c r="K1318" i="2"/>
  <c r="J1318" i="2"/>
  <c r="I1318" i="2"/>
  <c r="L1318" i="2" s="1"/>
  <c r="H1318" i="2"/>
  <c r="K1317" i="2"/>
  <c r="J1317" i="2"/>
  <c r="I1317" i="2"/>
  <c r="L1317" i="2" s="1"/>
  <c r="H1317" i="2"/>
  <c r="L1316" i="2"/>
  <c r="K1316" i="2"/>
  <c r="J1316" i="2"/>
  <c r="H1316" i="2"/>
  <c r="I1316" i="2" s="1"/>
  <c r="K1315" i="2"/>
  <c r="J1315" i="2"/>
  <c r="H1315" i="2"/>
  <c r="I1315" i="2" s="1"/>
  <c r="L1315" i="2" s="1"/>
  <c r="K1314" i="2"/>
  <c r="J1314" i="2"/>
  <c r="I1314" i="2"/>
  <c r="L1314" i="2" s="1"/>
  <c r="H1314" i="2"/>
  <c r="K1313" i="2"/>
  <c r="J1313" i="2"/>
  <c r="H1313" i="2"/>
  <c r="I1313" i="2" s="1"/>
  <c r="L1313" i="2" s="1"/>
  <c r="L1312" i="2"/>
  <c r="K1312" i="2"/>
  <c r="J1312" i="2"/>
  <c r="H1312" i="2"/>
  <c r="I1312" i="2" s="1"/>
  <c r="K1311" i="2"/>
  <c r="J1311" i="2"/>
  <c r="H1311" i="2"/>
  <c r="I1311" i="2" s="1"/>
  <c r="L1311" i="2" s="1"/>
  <c r="K1310" i="2"/>
  <c r="J1310" i="2"/>
  <c r="H1310" i="2"/>
  <c r="I1310" i="2" s="1"/>
  <c r="L1310" i="2" s="1"/>
  <c r="L1309" i="2"/>
  <c r="K1309" i="2"/>
  <c r="J1309" i="2"/>
  <c r="I1309" i="2" s="1"/>
  <c r="H1309" i="2"/>
  <c r="K1308" i="2"/>
  <c r="J1308" i="2"/>
  <c r="H1308" i="2"/>
  <c r="I1308" i="2" s="1"/>
  <c r="L1308" i="2" s="1"/>
  <c r="K1307" i="2"/>
  <c r="J1307" i="2"/>
  <c r="H1307" i="2"/>
  <c r="I1307" i="2" s="1"/>
  <c r="L1307" i="2" s="1"/>
  <c r="K1306" i="2"/>
  <c r="J1306" i="2"/>
  <c r="I1306" i="2"/>
  <c r="L1306" i="2" s="1"/>
  <c r="H1306" i="2"/>
  <c r="K1305" i="2"/>
  <c r="J1305" i="2"/>
  <c r="H1305" i="2"/>
  <c r="I1305" i="2" s="1"/>
  <c r="L1305" i="2" s="1"/>
  <c r="L1304" i="2"/>
  <c r="K1304" i="2"/>
  <c r="J1304" i="2"/>
  <c r="H1304" i="2"/>
  <c r="I1304" i="2" s="1"/>
  <c r="K1303" i="2"/>
  <c r="J1303" i="2"/>
  <c r="I1303" i="2"/>
  <c r="L1303" i="2" s="1"/>
  <c r="H1303" i="2"/>
  <c r="K1302" i="2"/>
  <c r="J1302" i="2"/>
  <c r="I1302" i="2"/>
  <c r="L1302" i="2" s="1"/>
  <c r="H1302" i="2"/>
  <c r="K1301" i="2"/>
  <c r="J1301" i="2"/>
  <c r="I1301" i="2"/>
  <c r="L1301" i="2" s="1"/>
  <c r="H1301" i="2"/>
  <c r="K1300" i="2"/>
  <c r="J1300" i="2"/>
  <c r="H1300" i="2"/>
  <c r="I1300" i="2" s="1"/>
  <c r="L1300" i="2" s="1"/>
  <c r="K1299" i="2"/>
  <c r="J1299" i="2"/>
  <c r="H1299" i="2"/>
  <c r="I1299" i="2" s="1"/>
  <c r="L1299" i="2" s="1"/>
  <c r="K1298" i="2"/>
  <c r="J1298" i="2"/>
  <c r="I1298" i="2"/>
  <c r="L1298" i="2" s="1"/>
  <c r="H1298" i="2"/>
  <c r="K1297" i="2"/>
  <c r="J1297" i="2"/>
  <c r="I1297" i="2" s="1"/>
  <c r="L1297" i="2" s="1"/>
  <c r="H1297" i="2"/>
  <c r="K1296" i="2"/>
  <c r="J1296" i="2"/>
  <c r="H1296" i="2"/>
  <c r="I1296" i="2" s="1"/>
  <c r="L1296" i="2" s="1"/>
  <c r="K1295" i="2"/>
  <c r="J1295" i="2"/>
  <c r="H1295" i="2"/>
  <c r="I1295" i="2" s="1"/>
  <c r="L1295" i="2" s="1"/>
  <c r="K1294" i="2"/>
  <c r="J1294" i="2"/>
  <c r="I1294" i="2"/>
  <c r="L1294" i="2" s="1"/>
  <c r="H1294" i="2"/>
  <c r="L1293" i="2"/>
  <c r="K1293" i="2"/>
  <c r="J1293" i="2"/>
  <c r="H1293" i="2"/>
  <c r="I1293" i="2" s="1"/>
  <c r="K1292" i="2"/>
  <c r="J1292" i="2"/>
  <c r="H1292" i="2"/>
  <c r="I1292" i="2" s="1"/>
  <c r="L1292" i="2" s="1"/>
  <c r="K1291" i="2"/>
  <c r="J1291" i="2"/>
  <c r="H1291" i="2"/>
  <c r="I1291" i="2" s="1"/>
  <c r="L1291" i="2" s="1"/>
  <c r="L1290" i="2"/>
  <c r="K1290" i="2"/>
  <c r="J1290" i="2"/>
  <c r="I1290" i="2" s="1"/>
  <c r="H1290" i="2"/>
  <c r="K1289" i="2"/>
  <c r="J1289" i="2"/>
  <c r="H1289" i="2"/>
  <c r="I1289" i="2" s="1"/>
  <c r="L1289" i="2" s="1"/>
  <c r="K1288" i="2"/>
  <c r="J1288" i="2"/>
  <c r="I1288" i="2"/>
  <c r="L1288" i="2" s="1"/>
  <c r="H1288" i="2"/>
  <c r="K1287" i="2"/>
  <c r="J1287" i="2"/>
  <c r="H1287" i="2"/>
  <c r="I1287" i="2" s="1"/>
  <c r="L1287" i="2" s="1"/>
  <c r="K1286" i="2"/>
  <c r="J1286" i="2"/>
  <c r="H1286" i="2"/>
  <c r="I1286" i="2" s="1"/>
  <c r="L1286" i="2" s="1"/>
  <c r="K1285" i="2"/>
  <c r="J1285" i="2"/>
  <c r="I1285" i="2" s="1"/>
  <c r="L1285" i="2" s="1"/>
  <c r="H1285" i="2"/>
  <c r="K1284" i="2"/>
  <c r="J1284" i="2"/>
  <c r="H1284" i="2"/>
  <c r="I1284" i="2" s="1"/>
  <c r="L1284" i="2" s="1"/>
  <c r="K1283" i="2"/>
  <c r="J1283" i="2"/>
  <c r="I1283" i="2"/>
  <c r="L1283" i="2" s="1"/>
  <c r="H1283" i="2"/>
  <c r="K1282" i="2"/>
  <c r="J1282" i="2"/>
  <c r="H1282" i="2"/>
  <c r="I1282" i="2" s="1"/>
  <c r="L1282" i="2" s="1"/>
  <c r="K1281" i="2"/>
  <c r="J1281" i="2"/>
  <c r="H1281" i="2"/>
  <c r="I1281" i="2" s="1"/>
  <c r="L1281" i="2" s="1"/>
  <c r="K1280" i="2"/>
  <c r="J1280" i="2"/>
  <c r="H1280" i="2"/>
  <c r="I1280" i="2" s="1"/>
  <c r="L1280" i="2" s="1"/>
  <c r="K1279" i="2"/>
  <c r="J1279" i="2"/>
  <c r="H1279" i="2"/>
  <c r="I1279" i="2" s="1"/>
  <c r="L1279" i="2" s="1"/>
  <c r="K1278" i="2"/>
  <c r="J1278" i="2"/>
  <c r="I1278" i="2" s="1"/>
  <c r="L1278" i="2" s="1"/>
  <c r="H1278" i="2"/>
  <c r="K1277" i="2"/>
  <c r="J1277" i="2"/>
  <c r="H1277" i="2"/>
  <c r="I1277" i="2" s="1"/>
  <c r="L1277" i="2" s="1"/>
  <c r="K1276" i="2"/>
  <c r="J1276" i="2"/>
  <c r="I1276" i="2"/>
  <c r="L1276" i="2" s="1"/>
  <c r="H1276" i="2"/>
  <c r="K1275" i="2"/>
  <c r="J1275" i="2"/>
  <c r="H1275" i="2"/>
  <c r="I1275" i="2" s="1"/>
  <c r="L1275" i="2" s="1"/>
  <c r="K1274" i="2"/>
  <c r="J1274" i="2"/>
  <c r="I1274" i="2"/>
  <c r="L1274" i="2" s="1"/>
  <c r="H1274" i="2"/>
  <c r="K1273" i="2"/>
  <c r="J1273" i="2"/>
  <c r="I1273" i="2" s="1"/>
  <c r="L1273" i="2" s="1"/>
  <c r="H1273" i="2"/>
  <c r="K1272" i="2"/>
  <c r="J1272" i="2"/>
  <c r="H1272" i="2"/>
  <c r="I1272" i="2" s="1"/>
  <c r="L1272" i="2" s="1"/>
  <c r="L1271" i="2"/>
  <c r="K1271" i="2"/>
  <c r="J1271" i="2"/>
  <c r="H1271" i="2"/>
  <c r="I1271" i="2" s="1"/>
  <c r="K1270" i="2"/>
  <c r="J1270" i="2"/>
  <c r="I1270" i="2"/>
  <c r="L1270" i="2" s="1"/>
  <c r="H1270" i="2"/>
  <c r="K1269" i="2"/>
  <c r="J1269" i="2"/>
  <c r="H1269" i="2"/>
  <c r="I1269" i="2" s="1"/>
  <c r="L1269" i="2" s="1"/>
  <c r="L1268" i="2"/>
  <c r="K1268" i="2"/>
  <c r="J1268" i="2"/>
  <c r="H1268" i="2"/>
  <c r="I1268" i="2" s="1"/>
  <c r="K1267" i="2"/>
  <c r="J1267" i="2"/>
  <c r="I1267" i="2"/>
  <c r="L1267" i="2" s="1"/>
  <c r="H1267" i="2"/>
  <c r="K1266" i="2"/>
  <c r="J1266" i="2"/>
  <c r="I1266" i="2"/>
  <c r="L1266" i="2" s="1"/>
  <c r="H1266" i="2"/>
  <c r="K1265" i="2"/>
  <c r="J1265" i="2"/>
  <c r="I1265" i="2"/>
  <c r="L1265" i="2" s="1"/>
  <c r="H1265" i="2"/>
  <c r="K1264" i="2"/>
  <c r="J1264" i="2"/>
  <c r="H1264" i="2"/>
  <c r="I1264" i="2" s="1"/>
  <c r="L1264" i="2" s="1"/>
  <c r="K1263" i="2"/>
  <c r="J1263" i="2"/>
  <c r="H1263" i="2"/>
  <c r="I1263" i="2" s="1"/>
  <c r="L1263" i="2" s="1"/>
  <c r="K1262" i="2"/>
  <c r="J1262" i="2"/>
  <c r="I1262" i="2"/>
  <c r="L1262" i="2" s="1"/>
  <c r="H1262" i="2"/>
  <c r="K1261" i="2"/>
  <c r="J1261" i="2"/>
  <c r="I1261" i="2" s="1"/>
  <c r="L1261" i="2" s="1"/>
  <c r="H1261" i="2"/>
  <c r="K1260" i="2"/>
  <c r="J1260" i="2"/>
  <c r="H1260" i="2"/>
  <c r="I1260" i="2" s="1"/>
  <c r="L1260" i="2" s="1"/>
  <c r="K1259" i="2"/>
  <c r="J1259" i="2"/>
  <c r="H1259" i="2"/>
  <c r="I1259" i="2" s="1"/>
  <c r="L1259" i="2" s="1"/>
  <c r="K1258" i="2"/>
  <c r="J1258" i="2"/>
  <c r="H1258" i="2"/>
  <c r="I1258" i="2" s="1"/>
  <c r="L1258" i="2" s="1"/>
  <c r="L1257" i="2"/>
  <c r="K1257" i="2"/>
  <c r="J1257" i="2"/>
  <c r="I1257" i="2"/>
  <c r="H1257" i="2"/>
  <c r="K1256" i="2"/>
  <c r="J1256" i="2"/>
  <c r="H1256" i="2"/>
  <c r="I1256" i="2" s="1"/>
  <c r="L1256" i="2" s="1"/>
  <c r="K1255" i="2"/>
  <c r="J1255" i="2"/>
  <c r="I1255" i="2"/>
  <c r="L1255" i="2" s="1"/>
  <c r="H1255" i="2"/>
  <c r="K1254" i="2"/>
  <c r="J1254" i="2"/>
  <c r="I1254" i="2" s="1"/>
  <c r="L1254" i="2" s="1"/>
  <c r="H1254" i="2"/>
  <c r="K1253" i="2"/>
  <c r="J1253" i="2"/>
  <c r="H1253" i="2"/>
  <c r="I1253" i="2" s="1"/>
  <c r="L1253" i="2" s="1"/>
  <c r="K1252" i="2"/>
  <c r="J1252" i="2"/>
  <c r="I1252" i="2" s="1"/>
  <c r="L1252" i="2" s="1"/>
  <c r="H1252" i="2"/>
  <c r="K1251" i="2"/>
  <c r="J1251" i="2"/>
  <c r="I1251" i="2"/>
  <c r="L1251" i="2" s="1"/>
  <c r="H1251" i="2"/>
  <c r="K1250" i="2"/>
  <c r="J1250" i="2"/>
  <c r="H1250" i="2"/>
  <c r="I1250" i="2" s="1"/>
  <c r="L1250" i="2" s="1"/>
  <c r="L1249" i="2"/>
  <c r="K1249" i="2"/>
  <c r="J1249" i="2"/>
  <c r="I1249" i="2"/>
  <c r="H1249" i="2"/>
  <c r="K1248" i="2"/>
  <c r="J1248" i="2"/>
  <c r="H1248" i="2"/>
  <c r="I1248" i="2" s="1"/>
  <c r="L1248" i="2" s="1"/>
  <c r="L1247" i="2"/>
  <c r="K1247" i="2"/>
  <c r="J1247" i="2"/>
  <c r="H1247" i="2"/>
  <c r="I1247" i="2" s="1"/>
  <c r="K1246" i="2"/>
  <c r="J1246" i="2"/>
  <c r="I1246" i="2"/>
  <c r="L1246" i="2" s="1"/>
  <c r="H1246" i="2"/>
  <c r="K1245" i="2"/>
  <c r="J1245" i="2"/>
  <c r="H1245" i="2"/>
  <c r="I1245" i="2" s="1"/>
  <c r="L1245" i="2" s="1"/>
  <c r="L1244" i="2"/>
  <c r="K1244" i="2"/>
  <c r="J1244" i="2"/>
  <c r="H1244" i="2"/>
  <c r="I1244" i="2" s="1"/>
  <c r="K1243" i="2"/>
  <c r="J1243" i="2"/>
  <c r="H1243" i="2"/>
  <c r="I1243" i="2" s="1"/>
  <c r="L1243" i="2" s="1"/>
  <c r="L1242" i="2"/>
  <c r="K1242" i="2"/>
  <c r="J1242" i="2"/>
  <c r="I1242" i="2"/>
  <c r="H1242" i="2"/>
  <c r="K1241" i="2"/>
  <c r="J1241" i="2"/>
  <c r="H1241" i="2"/>
  <c r="I1241" i="2" s="1"/>
  <c r="L1241" i="2" s="1"/>
  <c r="K1240" i="2"/>
  <c r="J1240" i="2"/>
  <c r="H1240" i="2"/>
  <c r="I1240" i="2" s="1"/>
  <c r="L1240" i="2" s="1"/>
  <c r="L1239" i="2"/>
  <c r="K1239" i="2"/>
  <c r="J1239" i="2"/>
  <c r="I1239" i="2"/>
  <c r="H1239" i="2"/>
  <c r="K1238" i="2"/>
  <c r="J1238" i="2"/>
  <c r="H1238" i="2"/>
  <c r="I1238" i="2" s="1"/>
  <c r="L1238" i="2" s="1"/>
  <c r="K1237" i="2"/>
  <c r="J1237" i="2"/>
  <c r="I1237" i="2" s="1"/>
  <c r="L1237" i="2" s="1"/>
  <c r="H1237" i="2"/>
  <c r="K1236" i="2"/>
  <c r="J1236" i="2"/>
  <c r="H1236" i="2"/>
  <c r="I1236" i="2" s="1"/>
  <c r="L1236" i="2" s="1"/>
  <c r="K1235" i="2"/>
  <c r="J1235" i="2"/>
  <c r="I1235" i="2"/>
  <c r="L1235" i="2" s="1"/>
  <c r="H1235" i="2"/>
  <c r="K1234" i="2"/>
  <c r="J1234" i="2"/>
  <c r="H1234" i="2"/>
  <c r="I1234" i="2" s="1"/>
  <c r="L1234" i="2" s="1"/>
  <c r="K1233" i="2"/>
  <c r="J1233" i="2"/>
  <c r="H1233" i="2"/>
  <c r="I1233" i="2" s="1"/>
  <c r="L1233" i="2" s="1"/>
  <c r="K1232" i="2"/>
  <c r="J1232" i="2"/>
  <c r="H1232" i="2"/>
  <c r="I1232" i="2" s="1"/>
  <c r="L1232" i="2" s="1"/>
  <c r="K1231" i="2"/>
  <c r="J1231" i="2"/>
  <c r="H1231" i="2"/>
  <c r="I1231" i="2" s="1"/>
  <c r="L1231" i="2" s="1"/>
  <c r="K1230" i="2"/>
  <c r="J1230" i="2"/>
  <c r="I1230" i="2"/>
  <c r="L1230" i="2" s="1"/>
  <c r="H1230" i="2"/>
  <c r="K1229" i="2"/>
  <c r="J1229" i="2"/>
  <c r="I1229" i="2"/>
  <c r="L1229" i="2" s="1"/>
  <c r="H1229" i="2"/>
  <c r="K1228" i="2"/>
  <c r="J1228" i="2"/>
  <c r="H1228" i="2"/>
  <c r="I1228" i="2" s="1"/>
  <c r="L1228" i="2" s="1"/>
  <c r="K1227" i="2"/>
  <c r="J1227" i="2"/>
  <c r="H1227" i="2"/>
  <c r="I1227" i="2" s="1"/>
  <c r="L1227" i="2" s="1"/>
  <c r="L1226" i="2"/>
  <c r="K1226" i="2"/>
  <c r="J1226" i="2"/>
  <c r="H1226" i="2"/>
  <c r="I1226" i="2" s="1"/>
  <c r="L1225" i="2"/>
  <c r="K1225" i="2"/>
  <c r="J1225" i="2"/>
  <c r="I1225" i="2" s="1"/>
  <c r="H1225" i="2"/>
  <c r="K1224" i="2"/>
  <c r="J1224" i="2"/>
  <c r="I1224" i="2"/>
  <c r="L1224" i="2" s="1"/>
  <c r="H1224" i="2"/>
  <c r="L1223" i="2"/>
  <c r="K1223" i="2"/>
  <c r="J1223" i="2"/>
  <c r="I1223" i="2"/>
  <c r="H1223" i="2"/>
  <c r="K1222" i="2"/>
  <c r="J1222" i="2"/>
  <c r="H1222" i="2"/>
  <c r="I1222" i="2" s="1"/>
  <c r="L1222" i="2" s="1"/>
  <c r="K1221" i="2"/>
  <c r="J1221" i="2"/>
  <c r="I1221" i="2"/>
  <c r="L1221" i="2" s="1"/>
  <c r="H1221" i="2"/>
  <c r="L1220" i="2"/>
  <c r="K1220" i="2"/>
  <c r="J1220" i="2"/>
  <c r="H1220" i="2"/>
  <c r="I1220" i="2" s="1"/>
  <c r="K1219" i="2"/>
  <c r="J1219" i="2"/>
  <c r="H1219" i="2"/>
  <c r="I1219" i="2" s="1"/>
  <c r="L1219" i="2" s="1"/>
  <c r="K1218" i="2"/>
  <c r="J1218" i="2"/>
  <c r="I1218" i="2"/>
  <c r="L1218" i="2" s="1"/>
  <c r="H1218" i="2"/>
  <c r="K1217" i="2"/>
  <c r="J1217" i="2"/>
  <c r="H1217" i="2"/>
  <c r="I1217" i="2" s="1"/>
  <c r="L1217" i="2" s="1"/>
  <c r="K1216" i="2"/>
  <c r="J1216" i="2"/>
  <c r="H1216" i="2"/>
  <c r="I1216" i="2" s="1"/>
  <c r="L1216" i="2" s="1"/>
  <c r="K1215" i="2"/>
  <c r="J1215" i="2"/>
  <c r="H1215" i="2"/>
  <c r="I1215" i="2" s="1"/>
  <c r="L1215" i="2" s="1"/>
  <c r="K1214" i="2"/>
  <c r="J1214" i="2"/>
  <c r="H1214" i="2"/>
  <c r="I1214" i="2" s="1"/>
  <c r="L1214" i="2" s="1"/>
  <c r="L1213" i="2"/>
  <c r="K1213" i="2"/>
  <c r="J1213" i="2"/>
  <c r="I1213" i="2" s="1"/>
  <c r="H1213" i="2"/>
  <c r="K1212" i="2"/>
  <c r="J1212" i="2"/>
  <c r="I1212" i="2"/>
  <c r="L1212" i="2" s="1"/>
  <c r="H1212" i="2"/>
  <c r="K1211" i="2"/>
  <c r="J1211" i="2"/>
  <c r="H1211" i="2"/>
  <c r="I1211" i="2" s="1"/>
  <c r="L1211" i="2" s="1"/>
  <c r="K1210" i="2"/>
  <c r="J1210" i="2"/>
  <c r="H1210" i="2"/>
  <c r="I1210" i="2" s="1"/>
  <c r="L1210" i="2" s="1"/>
  <c r="K1209" i="2"/>
  <c r="J1209" i="2"/>
  <c r="H1209" i="2"/>
  <c r="I1209" i="2" s="1"/>
  <c r="L1209" i="2" s="1"/>
  <c r="L1208" i="2"/>
  <c r="K1208" i="2"/>
  <c r="J1208" i="2"/>
  <c r="H1208" i="2"/>
  <c r="I1208" i="2" s="1"/>
  <c r="K1207" i="2"/>
  <c r="J1207" i="2"/>
  <c r="H1207" i="2"/>
  <c r="I1207" i="2" s="1"/>
  <c r="L1207" i="2" s="1"/>
  <c r="L1206" i="2"/>
  <c r="K1206" i="2"/>
  <c r="J1206" i="2"/>
  <c r="I1206" i="2"/>
  <c r="H1206" i="2"/>
  <c r="K1205" i="2"/>
  <c r="J1205" i="2"/>
  <c r="H1205" i="2"/>
  <c r="I1205" i="2" s="1"/>
  <c r="L1205" i="2" s="1"/>
  <c r="K1204" i="2"/>
  <c r="J1204" i="2"/>
  <c r="I1204" i="2"/>
  <c r="L1204" i="2" s="1"/>
  <c r="H1204" i="2"/>
  <c r="K1203" i="2"/>
  <c r="J1203" i="2"/>
  <c r="I1203" i="2"/>
  <c r="L1203" i="2" s="1"/>
  <c r="H1203" i="2"/>
  <c r="K1202" i="2"/>
  <c r="J1202" i="2"/>
  <c r="H1202" i="2"/>
  <c r="I1202" i="2" s="1"/>
  <c r="L1202" i="2" s="1"/>
  <c r="L1201" i="2"/>
  <c r="K1201" i="2"/>
  <c r="J1201" i="2"/>
  <c r="I1201" i="2" s="1"/>
  <c r="H1201" i="2"/>
  <c r="K1200" i="2"/>
  <c r="J1200" i="2"/>
  <c r="I1200" i="2"/>
  <c r="L1200" i="2" s="1"/>
  <c r="H1200" i="2"/>
  <c r="K1199" i="2"/>
  <c r="J1199" i="2"/>
  <c r="H1199" i="2"/>
  <c r="I1199" i="2" s="1"/>
  <c r="L1199" i="2" s="1"/>
  <c r="K1198" i="2"/>
  <c r="J1198" i="2"/>
  <c r="H1198" i="2"/>
  <c r="I1198" i="2" s="1"/>
  <c r="L1198" i="2" s="1"/>
  <c r="K1197" i="2"/>
  <c r="J1197" i="2"/>
  <c r="H1197" i="2"/>
  <c r="I1197" i="2" s="1"/>
  <c r="L1197" i="2" s="1"/>
  <c r="L1196" i="2"/>
  <c r="K1196" i="2"/>
  <c r="J1196" i="2"/>
  <c r="H1196" i="2"/>
  <c r="I1196" i="2" s="1"/>
  <c r="L1195" i="2"/>
  <c r="K1195" i="2"/>
  <c r="J1195" i="2"/>
  <c r="I1195" i="2"/>
  <c r="H1195" i="2"/>
  <c r="K1194" i="2"/>
  <c r="J1194" i="2"/>
  <c r="I1194" i="2"/>
  <c r="L1194" i="2" s="1"/>
  <c r="H1194" i="2"/>
  <c r="K1193" i="2"/>
  <c r="J1193" i="2"/>
  <c r="I1193" i="2"/>
  <c r="L1193" i="2" s="1"/>
  <c r="H1193" i="2"/>
  <c r="K1192" i="2"/>
  <c r="J1192" i="2"/>
  <c r="H1192" i="2"/>
  <c r="I1192" i="2" s="1"/>
  <c r="L1192" i="2" s="1"/>
  <c r="K1191" i="2"/>
  <c r="J1191" i="2"/>
  <c r="H1191" i="2"/>
  <c r="I1191" i="2" s="1"/>
  <c r="L1191" i="2" s="1"/>
  <c r="L1190" i="2"/>
  <c r="K1190" i="2"/>
  <c r="J1190" i="2"/>
  <c r="H1190" i="2"/>
  <c r="I1190" i="2" s="1"/>
  <c r="K1189" i="2"/>
  <c r="J1189" i="2"/>
  <c r="I1189" i="2" s="1"/>
  <c r="L1189" i="2" s="1"/>
  <c r="H1189" i="2"/>
  <c r="K1188" i="2"/>
  <c r="J1188" i="2"/>
  <c r="I1188" i="2"/>
  <c r="L1188" i="2" s="1"/>
  <c r="H1188" i="2"/>
  <c r="K1187" i="2"/>
  <c r="J1187" i="2"/>
  <c r="H1187" i="2"/>
  <c r="I1187" i="2" s="1"/>
  <c r="L1187" i="2" s="1"/>
  <c r="K1186" i="2"/>
  <c r="J1186" i="2"/>
  <c r="H1186" i="2"/>
  <c r="I1186" i="2" s="1"/>
  <c r="L1186" i="2" s="1"/>
  <c r="L1185" i="2"/>
  <c r="K1185" i="2"/>
  <c r="J1185" i="2"/>
  <c r="I1185" i="2"/>
  <c r="H1185" i="2"/>
  <c r="K1184" i="2"/>
  <c r="J1184" i="2"/>
  <c r="H1184" i="2"/>
  <c r="I1184" i="2" s="1"/>
  <c r="L1184" i="2" s="1"/>
  <c r="K1183" i="2"/>
  <c r="J1183" i="2"/>
  <c r="H1183" i="2"/>
  <c r="I1183" i="2" s="1"/>
  <c r="L1183" i="2" s="1"/>
  <c r="K1182" i="2"/>
  <c r="J1182" i="2"/>
  <c r="I1182" i="2"/>
  <c r="L1182" i="2" s="1"/>
  <c r="H1182" i="2"/>
  <c r="K1181" i="2"/>
  <c r="J1181" i="2"/>
  <c r="H1181" i="2"/>
  <c r="I1181" i="2" s="1"/>
  <c r="L1181" i="2" s="1"/>
  <c r="K1180" i="2"/>
  <c r="J1180" i="2"/>
  <c r="H1180" i="2"/>
  <c r="I1180" i="2" s="1"/>
  <c r="L1180" i="2" s="1"/>
  <c r="K1179" i="2"/>
  <c r="J1179" i="2"/>
  <c r="I1179" i="2"/>
  <c r="L1179" i="2" s="1"/>
  <c r="H1179" i="2"/>
  <c r="K1178" i="2"/>
  <c r="J1178" i="2"/>
  <c r="I1178" i="2"/>
  <c r="L1178" i="2" s="1"/>
  <c r="H1178" i="2"/>
  <c r="K1177" i="2"/>
  <c r="J1177" i="2"/>
  <c r="I1177" i="2" s="1"/>
  <c r="L1177" i="2" s="1"/>
  <c r="H1177" i="2"/>
  <c r="K1176" i="2"/>
  <c r="J1176" i="2"/>
  <c r="H1176" i="2"/>
  <c r="I1176" i="2" s="1"/>
  <c r="L1176" i="2" s="1"/>
  <c r="L1175" i="2"/>
  <c r="K1175" i="2"/>
  <c r="J1175" i="2"/>
  <c r="I1175" i="2"/>
  <c r="H1175" i="2"/>
  <c r="K1174" i="2"/>
  <c r="J1174" i="2"/>
  <c r="I1174" i="2"/>
  <c r="L1174" i="2" s="1"/>
  <c r="H1174" i="2"/>
  <c r="K1173" i="2"/>
  <c r="J1173" i="2"/>
  <c r="H1173" i="2"/>
  <c r="I1173" i="2" s="1"/>
  <c r="L1173" i="2" s="1"/>
  <c r="L1172" i="2"/>
  <c r="K1172" i="2"/>
  <c r="J1172" i="2"/>
  <c r="H1172" i="2"/>
  <c r="I1172" i="2" s="1"/>
  <c r="K1171" i="2"/>
  <c r="J1171" i="2"/>
  <c r="H1171" i="2"/>
  <c r="I1171" i="2" s="1"/>
  <c r="L1171" i="2" s="1"/>
  <c r="K1170" i="2"/>
  <c r="J1170" i="2"/>
  <c r="I1170" i="2"/>
  <c r="L1170" i="2" s="1"/>
  <c r="H1170" i="2"/>
  <c r="K1169" i="2"/>
  <c r="J1169" i="2"/>
  <c r="I1169" i="2"/>
  <c r="L1169" i="2" s="1"/>
  <c r="H1169" i="2"/>
  <c r="K1168" i="2"/>
  <c r="J1168" i="2"/>
  <c r="H1168" i="2"/>
  <c r="I1168" i="2" s="1"/>
  <c r="L1168" i="2" s="1"/>
  <c r="K1167" i="2"/>
  <c r="J1167" i="2"/>
  <c r="I1167" i="2"/>
  <c r="L1167" i="2" s="1"/>
  <c r="H1167" i="2"/>
  <c r="L1166" i="2"/>
  <c r="K1166" i="2"/>
  <c r="J1166" i="2"/>
  <c r="H1166" i="2"/>
  <c r="I1166" i="2" s="1"/>
  <c r="K1165" i="2"/>
  <c r="J1165" i="2"/>
  <c r="I1165" i="2" s="1"/>
  <c r="L1165" i="2" s="1"/>
  <c r="H1165" i="2"/>
  <c r="K1164" i="2"/>
  <c r="J1164" i="2"/>
  <c r="H1164" i="2"/>
  <c r="I1164" i="2" s="1"/>
  <c r="L1164" i="2" s="1"/>
  <c r="K1163" i="2"/>
  <c r="J1163" i="2"/>
  <c r="H1163" i="2"/>
  <c r="I1163" i="2" s="1"/>
  <c r="L1163" i="2" s="1"/>
  <c r="K1162" i="2"/>
  <c r="J1162" i="2"/>
  <c r="I1162" i="2"/>
  <c r="L1162" i="2" s="1"/>
  <c r="H1162" i="2"/>
  <c r="K1161" i="2"/>
  <c r="J1161" i="2"/>
  <c r="H1161" i="2"/>
  <c r="I1161" i="2" s="1"/>
  <c r="L1161" i="2" s="1"/>
  <c r="L1160" i="2"/>
  <c r="K1160" i="2"/>
  <c r="J1160" i="2"/>
  <c r="I1160" i="2"/>
  <c r="H1160" i="2"/>
  <c r="K1159" i="2"/>
  <c r="J1159" i="2"/>
  <c r="H1159" i="2"/>
  <c r="I1159" i="2" s="1"/>
  <c r="L1159" i="2" s="1"/>
  <c r="K1158" i="2"/>
  <c r="J1158" i="2"/>
  <c r="I1158" i="2" s="1"/>
  <c r="L1158" i="2" s="1"/>
  <c r="H1158" i="2"/>
  <c r="K1157" i="2"/>
  <c r="J1157" i="2"/>
  <c r="H1157" i="2"/>
  <c r="I1157" i="2" s="1"/>
  <c r="L1157" i="2" s="1"/>
  <c r="K1156" i="2"/>
  <c r="J1156" i="2"/>
  <c r="H1156" i="2"/>
  <c r="I1156" i="2" s="1"/>
  <c r="L1156" i="2" s="1"/>
  <c r="K1155" i="2"/>
  <c r="J1155" i="2"/>
  <c r="H1155" i="2"/>
  <c r="I1155" i="2" s="1"/>
  <c r="L1155" i="2" s="1"/>
  <c r="K1154" i="2"/>
  <c r="J1154" i="2"/>
  <c r="H1154" i="2"/>
  <c r="I1154" i="2" s="1"/>
  <c r="L1154" i="2" s="1"/>
  <c r="L1153" i="2"/>
  <c r="K1153" i="2"/>
  <c r="J1153" i="2"/>
  <c r="I1153" i="2" s="1"/>
  <c r="H1153" i="2"/>
  <c r="L1152" i="2"/>
  <c r="K1152" i="2"/>
  <c r="J1152" i="2"/>
  <c r="H1152" i="2"/>
  <c r="I1152" i="2" s="1"/>
  <c r="K1151" i="2"/>
  <c r="J1151" i="2"/>
  <c r="H1151" i="2"/>
  <c r="I1151" i="2" s="1"/>
  <c r="L1151" i="2" s="1"/>
  <c r="K1150" i="2"/>
  <c r="J1150" i="2"/>
  <c r="I1150" i="2" s="1"/>
  <c r="L1150" i="2" s="1"/>
  <c r="H1150" i="2"/>
  <c r="L1149" i="2"/>
  <c r="K1149" i="2"/>
  <c r="J1149" i="2"/>
  <c r="H1149" i="2"/>
  <c r="I1149" i="2" s="1"/>
  <c r="K1148" i="2"/>
  <c r="J1148" i="2"/>
  <c r="H1148" i="2"/>
  <c r="I1148" i="2" s="1"/>
  <c r="L1148" i="2" s="1"/>
  <c r="K1147" i="2"/>
  <c r="J1147" i="2"/>
  <c r="I1147" i="2" s="1"/>
  <c r="L1147" i="2" s="1"/>
  <c r="H1147" i="2"/>
  <c r="L1146" i="2"/>
  <c r="K1146" i="2"/>
  <c r="J1146" i="2"/>
  <c r="I1146" i="2"/>
  <c r="H1146" i="2"/>
  <c r="K1145" i="2"/>
  <c r="J1145" i="2"/>
  <c r="H1145" i="2"/>
  <c r="I1145" i="2" s="1"/>
  <c r="L1145" i="2" s="1"/>
  <c r="L1144" i="2"/>
  <c r="K1144" i="2"/>
  <c r="J1144" i="2"/>
  <c r="I1144" i="2"/>
  <c r="H1144" i="2"/>
  <c r="K1143" i="2"/>
  <c r="J1143" i="2"/>
  <c r="H1143" i="2"/>
  <c r="I1143" i="2" s="1"/>
  <c r="L1143" i="2" s="1"/>
  <c r="K1142" i="2"/>
  <c r="J1142" i="2"/>
  <c r="I1142" i="2"/>
  <c r="L1142" i="2" s="1"/>
  <c r="H1142" i="2"/>
  <c r="L1141" i="2"/>
  <c r="K1141" i="2"/>
  <c r="J1141" i="2"/>
  <c r="I1141" i="2" s="1"/>
  <c r="H1141" i="2"/>
  <c r="K1140" i="2"/>
  <c r="J1140" i="2"/>
  <c r="H1140" i="2"/>
  <c r="I1140" i="2" s="1"/>
  <c r="L1140" i="2" s="1"/>
  <c r="K1139" i="2"/>
  <c r="J1139" i="2"/>
  <c r="I1139" i="2"/>
  <c r="L1139" i="2" s="1"/>
  <c r="H1139" i="2"/>
  <c r="K1138" i="2"/>
  <c r="J1138" i="2"/>
  <c r="H1138" i="2"/>
  <c r="I1138" i="2" s="1"/>
  <c r="L1138" i="2" s="1"/>
  <c r="K1137" i="2"/>
  <c r="J1137" i="2"/>
  <c r="H1137" i="2"/>
  <c r="I1137" i="2" s="1"/>
  <c r="L1137" i="2" s="1"/>
  <c r="K1136" i="2"/>
  <c r="J1136" i="2"/>
  <c r="H1136" i="2"/>
  <c r="I1136" i="2" s="1"/>
  <c r="L1136" i="2" s="1"/>
  <c r="K1135" i="2"/>
  <c r="J1135" i="2"/>
  <c r="H1135" i="2"/>
  <c r="I1135" i="2" s="1"/>
  <c r="L1135" i="2" s="1"/>
  <c r="K1134" i="2"/>
  <c r="J1134" i="2"/>
  <c r="I1134" i="2" s="1"/>
  <c r="L1134" i="2" s="1"/>
  <c r="H1134" i="2"/>
  <c r="K1133" i="2"/>
  <c r="J1133" i="2"/>
  <c r="I1133" i="2"/>
  <c r="L1133" i="2" s="1"/>
  <c r="H1133" i="2"/>
  <c r="K1132" i="2"/>
  <c r="J1132" i="2"/>
  <c r="H1132" i="2"/>
  <c r="I1132" i="2" s="1"/>
  <c r="L1132" i="2" s="1"/>
  <c r="K1131" i="2"/>
  <c r="J1131" i="2"/>
  <c r="H1131" i="2"/>
  <c r="I1131" i="2" s="1"/>
  <c r="L1131" i="2" s="1"/>
  <c r="K1130" i="2"/>
  <c r="J1130" i="2"/>
  <c r="H1130" i="2"/>
  <c r="I1130" i="2" s="1"/>
  <c r="L1130" i="2" s="1"/>
  <c r="K1129" i="2"/>
  <c r="J1129" i="2"/>
  <c r="I1129" i="2" s="1"/>
  <c r="L1129" i="2" s="1"/>
  <c r="H1129" i="2"/>
  <c r="K1128" i="2"/>
  <c r="J1128" i="2"/>
  <c r="I1128" i="2"/>
  <c r="L1128" i="2" s="1"/>
  <c r="H1128" i="2"/>
  <c r="K1127" i="2"/>
  <c r="J1127" i="2"/>
  <c r="H1127" i="2"/>
  <c r="I1127" i="2" s="1"/>
  <c r="L1127" i="2" s="1"/>
  <c r="K1126" i="2"/>
  <c r="J1126" i="2"/>
  <c r="I1126" i="2"/>
  <c r="L1126" i="2" s="1"/>
  <c r="H1126" i="2"/>
  <c r="K1125" i="2"/>
  <c r="J1125" i="2"/>
  <c r="H1125" i="2"/>
  <c r="I1125" i="2" s="1"/>
  <c r="L1125" i="2" s="1"/>
  <c r="K1124" i="2"/>
  <c r="J1124" i="2"/>
  <c r="H1124" i="2"/>
  <c r="I1124" i="2" s="1"/>
  <c r="L1124" i="2" s="1"/>
  <c r="K1123" i="2"/>
  <c r="J1123" i="2"/>
  <c r="H1123" i="2"/>
  <c r="I1123" i="2" s="1"/>
  <c r="L1123" i="2" s="1"/>
  <c r="L1122" i="2"/>
  <c r="K1122" i="2"/>
  <c r="J1122" i="2"/>
  <c r="I1122" i="2"/>
  <c r="H1122" i="2"/>
  <c r="K1121" i="2"/>
  <c r="J1121" i="2"/>
  <c r="I1121" i="2"/>
  <c r="L1121" i="2" s="1"/>
  <c r="H1121" i="2"/>
  <c r="K1120" i="2"/>
  <c r="J1120" i="2"/>
  <c r="H1120" i="2"/>
  <c r="I1120" i="2" s="1"/>
  <c r="L1120" i="2" s="1"/>
  <c r="K1119" i="2"/>
  <c r="J1119" i="2"/>
  <c r="I1119" i="2"/>
  <c r="L1119" i="2" s="1"/>
  <c r="H1119" i="2"/>
  <c r="K1118" i="2"/>
  <c r="J1118" i="2"/>
  <c r="H1118" i="2"/>
  <c r="I1118" i="2" s="1"/>
  <c r="L1118" i="2" s="1"/>
  <c r="K1117" i="2"/>
  <c r="J1117" i="2"/>
  <c r="H1117" i="2"/>
  <c r="I1117" i="2" s="1"/>
  <c r="L1117" i="2" s="1"/>
  <c r="K1116" i="2"/>
  <c r="J1116" i="2"/>
  <c r="H1116" i="2"/>
  <c r="I1116" i="2" s="1"/>
  <c r="L1116" i="2" s="1"/>
  <c r="K1115" i="2"/>
  <c r="J1115" i="2"/>
  <c r="H1115" i="2"/>
  <c r="I1115" i="2" s="1"/>
  <c r="L1115" i="2" s="1"/>
  <c r="L1114" i="2"/>
  <c r="K1114" i="2"/>
  <c r="J1114" i="2"/>
  <c r="I1114" i="2"/>
  <c r="H1114" i="2"/>
  <c r="K1113" i="2"/>
  <c r="J1113" i="2"/>
  <c r="H1113" i="2"/>
  <c r="I1113" i="2" s="1"/>
  <c r="L1113" i="2" s="1"/>
  <c r="K1112" i="2"/>
  <c r="J1112" i="2"/>
  <c r="H1112" i="2"/>
  <c r="I1112" i="2" s="1"/>
  <c r="L1112" i="2" s="1"/>
  <c r="K1111" i="2"/>
  <c r="J1111" i="2"/>
  <c r="I1111" i="2"/>
  <c r="L1111" i="2" s="1"/>
  <c r="H1111" i="2"/>
  <c r="K1110" i="2"/>
  <c r="J1110" i="2"/>
  <c r="I1110" i="2"/>
  <c r="L1110" i="2" s="1"/>
  <c r="H1110" i="2"/>
  <c r="K1109" i="2"/>
  <c r="J1109" i="2"/>
  <c r="I1109" i="2"/>
  <c r="L1109" i="2" s="1"/>
  <c r="H1109" i="2"/>
  <c r="K1108" i="2"/>
  <c r="J1108" i="2"/>
  <c r="I1108" i="2" s="1"/>
  <c r="L1108" i="2" s="1"/>
  <c r="H1108" i="2"/>
  <c r="L1107" i="2"/>
  <c r="K1107" i="2"/>
  <c r="J1107" i="2"/>
  <c r="I1107" i="2"/>
  <c r="H1107" i="2"/>
  <c r="K1106" i="2"/>
  <c r="J1106" i="2"/>
  <c r="H1106" i="2"/>
  <c r="I1106" i="2" s="1"/>
  <c r="L1106" i="2" s="1"/>
  <c r="L1105" i="2"/>
  <c r="K1105" i="2"/>
  <c r="J1105" i="2"/>
  <c r="I1105" i="2"/>
  <c r="H1105" i="2"/>
  <c r="K1104" i="2"/>
  <c r="J1104" i="2"/>
  <c r="H1104" i="2"/>
  <c r="I1104" i="2" s="1"/>
  <c r="L1104" i="2" s="1"/>
  <c r="K1103" i="2"/>
  <c r="J1103" i="2"/>
  <c r="I1103" i="2"/>
  <c r="L1103" i="2" s="1"/>
  <c r="H1103" i="2"/>
  <c r="L1102" i="2"/>
  <c r="K1102" i="2"/>
  <c r="J1102" i="2"/>
  <c r="H1102" i="2"/>
  <c r="I1102" i="2" s="1"/>
  <c r="K1101" i="2"/>
  <c r="J1101" i="2"/>
  <c r="H1101" i="2"/>
  <c r="I1101" i="2" s="1"/>
  <c r="L1101" i="2" s="1"/>
  <c r="K1100" i="2"/>
  <c r="J1100" i="2"/>
  <c r="H1100" i="2"/>
  <c r="I1100" i="2" s="1"/>
  <c r="L1100" i="2" s="1"/>
  <c r="K1099" i="2"/>
  <c r="J1099" i="2"/>
  <c r="H1099" i="2"/>
  <c r="I1099" i="2" s="1"/>
  <c r="L1099" i="2" s="1"/>
  <c r="K1098" i="2"/>
  <c r="J1098" i="2"/>
  <c r="I1098" i="2"/>
  <c r="L1098" i="2" s="1"/>
  <c r="H1098" i="2"/>
  <c r="L1097" i="2"/>
  <c r="K1097" i="2"/>
  <c r="J1097" i="2"/>
  <c r="I1097" i="2"/>
  <c r="H1097" i="2"/>
  <c r="K1096" i="2"/>
  <c r="J1096" i="2"/>
  <c r="H1096" i="2"/>
  <c r="I1096" i="2" s="1"/>
  <c r="L1096" i="2" s="1"/>
  <c r="K1095" i="2"/>
  <c r="J1095" i="2"/>
  <c r="I1095" i="2"/>
  <c r="L1095" i="2" s="1"/>
  <c r="H1095" i="2"/>
  <c r="K1094" i="2"/>
  <c r="J1094" i="2"/>
  <c r="H1094" i="2"/>
  <c r="I1094" i="2" s="1"/>
  <c r="L1094" i="2" s="1"/>
  <c r="K1093" i="2"/>
  <c r="J1093" i="2"/>
  <c r="H1093" i="2"/>
  <c r="I1093" i="2" s="1"/>
  <c r="L1093" i="2" s="1"/>
  <c r="L1092" i="2"/>
  <c r="K1092" i="2"/>
  <c r="J1092" i="2"/>
  <c r="H1092" i="2"/>
  <c r="I1092" i="2" s="1"/>
  <c r="K1091" i="2"/>
  <c r="J1091" i="2"/>
  <c r="H1091" i="2"/>
  <c r="I1091" i="2" s="1"/>
  <c r="L1091" i="2" s="1"/>
  <c r="K1090" i="2"/>
  <c r="J1090" i="2"/>
  <c r="H1090" i="2"/>
  <c r="K1089" i="2"/>
  <c r="J1089" i="2"/>
  <c r="H1089" i="2"/>
  <c r="I1089" i="2" s="1"/>
  <c r="L1089" i="2" s="1"/>
  <c r="K1088" i="2"/>
  <c r="J1088" i="2"/>
  <c r="H1088" i="2"/>
  <c r="I1088" i="2" s="1"/>
  <c r="L1088" i="2" s="1"/>
  <c r="K1087" i="2"/>
  <c r="J1087" i="2"/>
  <c r="I1087" i="2"/>
  <c r="L1087" i="2" s="1"/>
  <c r="H1087" i="2"/>
  <c r="K1086" i="2"/>
  <c r="J1086" i="2"/>
  <c r="H1086" i="2"/>
  <c r="I1086" i="2" s="1"/>
  <c r="L1086" i="2" s="1"/>
  <c r="K1085" i="2"/>
  <c r="J1085" i="2"/>
  <c r="I1085" i="2"/>
  <c r="L1085" i="2" s="1"/>
  <c r="H1085" i="2"/>
  <c r="K1084" i="2"/>
  <c r="J1084" i="2"/>
  <c r="H1084" i="2"/>
  <c r="I1084" i="2" s="1"/>
  <c r="L1084" i="2" s="1"/>
  <c r="K1083" i="2"/>
  <c r="J1083" i="2"/>
  <c r="I1083" i="2"/>
  <c r="L1083" i="2" s="1"/>
  <c r="H1083" i="2"/>
  <c r="K1082" i="2"/>
  <c r="J1082" i="2"/>
  <c r="I1082" i="2"/>
  <c r="L1082" i="2" s="1"/>
  <c r="H1082" i="2"/>
  <c r="K1081" i="2"/>
  <c r="J1081" i="2"/>
  <c r="H1081" i="2"/>
  <c r="I1081" i="2" s="1"/>
  <c r="L1081" i="2" s="1"/>
  <c r="K1080" i="2"/>
  <c r="J1080" i="2"/>
  <c r="H1080" i="2"/>
  <c r="I1080" i="2" s="1"/>
  <c r="L1080" i="2" s="1"/>
  <c r="K1079" i="2"/>
  <c r="J1079" i="2"/>
  <c r="H1079" i="2"/>
  <c r="I1079" i="2" s="1"/>
  <c r="L1079" i="2" s="1"/>
  <c r="K1078" i="2"/>
  <c r="J1078" i="2"/>
  <c r="H1078" i="2"/>
  <c r="I1078" i="2" s="1"/>
  <c r="L1078" i="2" s="1"/>
  <c r="K1077" i="2"/>
  <c r="J1077" i="2"/>
  <c r="I1077" i="2"/>
  <c r="L1077" i="2" s="1"/>
  <c r="H1077" i="2"/>
  <c r="K1076" i="2"/>
  <c r="J1076" i="2"/>
  <c r="H1076" i="2"/>
  <c r="I1076" i="2" s="1"/>
  <c r="L1076" i="2" s="1"/>
  <c r="K1075" i="2"/>
  <c r="J1075" i="2"/>
  <c r="H1075" i="2"/>
  <c r="I1075" i="2" s="1"/>
  <c r="L1075" i="2" s="1"/>
  <c r="L1074" i="2"/>
  <c r="K1074" i="2"/>
  <c r="J1074" i="2"/>
  <c r="I1074" i="2"/>
  <c r="H1074" i="2"/>
  <c r="K1073" i="2"/>
  <c r="J1073" i="2"/>
  <c r="I1073" i="2"/>
  <c r="L1073" i="2" s="1"/>
  <c r="H1073" i="2"/>
  <c r="K1072" i="2"/>
  <c r="J1072" i="2"/>
  <c r="I1072" i="2"/>
  <c r="L1072" i="2" s="1"/>
  <c r="H1072" i="2"/>
  <c r="L1071" i="2"/>
  <c r="K1071" i="2"/>
  <c r="J1071" i="2"/>
  <c r="I1071" i="2"/>
  <c r="H1071" i="2"/>
  <c r="K1070" i="2"/>
  <c r="J1070" i="2"/>
  <c r="H1070" i="2"/>
  <c r="I1070" i="2" s="1"/>
  <c r="L1070" i="2" s="1"/>
  <c r="K1069" i="2"/>
  <c r="J1069" i="2"/>
  <c r="H1069" i="2"/>
  <c r="K1068" i="2"/>
  <c r="J1068" i="2"/>
  <c r="H1068" i="2"/>
  <c r="I1068" i="2" s="1"/>
  <c r="L1068" i="2" s="1"/>
  <c r="K1067" i="2"/>
  <c r="J1067" i="2"/>
  <c r="H1067" i="2"/>
  <c r="I1067" i="2" s="1"/>
  <c r="L1067" i="2" s="1"/>
  <c r="L1066" i="2"/>
  <c r="K1066" i="2"/>
  <c r="J1066" i="2"/>
  <c r="H1066" i="2"/>
  <c r="I1066" i="2" s="1"/>
  <c r="K1065" i="2"/>
  <c r="J1065" i="2"/>
  <c r="I1065" i="2"/>
  <c r="L1065" i="2" s="1"/>
  <c r="H1065" i="2"/>
  <c r="K1064" i="2"/>
  <c r="J1064" i="2"/>
  <c r="H1064" i="2"/>
  <c r="I1064" i="2" s="1"/>
  <c r="L1064" i="2" s="1"/>
  <c r="K1063" i="2"/>
  <c r="J1063" i="2"/>
  <c r="H1063" i="2"/>
  <c r="I1063" i="2" s="1"/>
  <c r="L1063" i="2" s="1"/>
  <c r="K1062" i="2"/>
  <c r="J1062" i="2"/>
  <c r="H1062" i="2"/>
  <c r="I1062" i="2" s="1"/>
  <c r="L1062" i="2" s="1"/>
  <c r="L1061" i="2"/>
  <c r="K1061" i="2"/>
  <c r="J1061" i="2"/>
  <c r="I1061" i="2"/>
  <c r="H1061" i="2"/>
  <c r="K1060" i="2"/>
  <c r="J1060" i="2"/>
  <c r="H1060" i="2"/>
  <c r="I1060" i="2" s="1"/>
  <c r="L1060" i="2" s="1"/>
  <c r="K1059" i="2"/>
  <c r="J1059" i="2"/>
  <c r="I1059" i="2"/>
  <c r="L1059" i="2" s="1"/>
  <c r="H1059" i="2"/>
  <c r="K1058" i="2"/>
  <c r="J1058" i="2"/>
  <c r="H1058" i="2"/>
  <c r="I1058" i="2" s="1"/>
  <c r="L1058" i="2" s="1"/>
  <c r="K1057" i="2"/>
  <c r="J1057" i="2"/>
  <c r="H1057" i="2"/>
  <c r="I1057" i="2" s="1"/>
  <c r="L1057" i="2" s="1"/>
  <c r="L1056" i="2"/>
  <c r="K1056" i="2"/>
  <c r="J1056" i="2"/>
  <c r="H1056" i="2"/>
  <c r="I1056" i="2" s="1"/>
  <c r="K1055" i="2"/>
  <c r="J1055" i="2"/>
  <c r="I1055" i="2"/>
  <c r="L1055" i="2" s="1"/>
  <c r="H1055" i="2"/>
  <c r="L1054" i="2"/>
  <c r="K1054" i="2"/>
  <c r="J1054" i="2"/>
  <c r="H1054" i="2"/>
  <c r="I1054" i="2" s="1"/>
  <c r="K1053" i="2"/>
  <c r="J1053" i="2"/>
  <c r="H1053" i="2"/>
  <c r="I1053" i="2" s="1"/>
  <c r="L1053" i="2" s="1"/>
  <c r="K1052" i="2"/>
  <c r="J1052" i="2"/>
  <c r="H1052" i="2"/>
  <c r="I1052" i="2" s="1"/>
  <c r="L1052" i="2" s="1"/>
  <c r="K1051" i="2"/>
  <c r="J1051" i="2"/>
  <c r="I1051" i="2"/>
  <c r="L1051" i="2" s="1"/>
  <c r="H1051" i="2"/>
  <c r="K1050" i="2"/>
  <c r="J1050" i="2"/>
  <c r="H1050" i="2"/>
  <c r="I1050" i="2" s="1"/>
  <c r="L1050" i="2" s="1"/>
  <c r="K1049" i="2"/>
  <c r="J1049" i="2"/>
  <c r="I1049" i="2"/>
  <c r="L1049" i="2" s="1"/>
  <c r="H1049" i="2"/>
  <c r="K1048" i="2"/>
  <c r="J1048" i="2"/>
  <c r="H1048" i="2"/>
  <c r="I1048" i="2" s="1"/>
  <c r="L1048" i="2" s="1"/>
  <c r="K1047" i="2"/>
  <c r="J1047" i="2"/>
  <c r="I1047" i="2"/>
  <c r="L1047" i="2" s="1"/>
  <c r="H1047" i="2"/>
  <c r="K1046" i="2"/>
  <c r="J1046" i="2"/>
  <c r="I1046" i="2"/>
  <c r="L1046" i="2" s="1"/>
  <c r="H1046" i="2"/>
  <c r="K1045" i="2"/>
  <c r="J1045" i="2"/>
  <c r="H1045" i="2"/>
  <c r="I1045" i="2" s="1"/>
  <c r="L1045" i="2" s="1"/>
  <c r="K1044" i="2"/>
  <c r="J1044" i="2"/>
  <c r="H1044" i="2"/>
  <c r="I1044" i="2" s="1"/>
  <c r="L1044" i="2" s="1"/>
  <c r="K1043" i="2"/>
  <c r="J1043" i="2"/>
  <c r="H1043" i="2"/>
  <c r="I1043" i="2" s="1"/>
  <c r="L1043" i="2" s="1"/>
  <c r="K1042" i="2"/>
  <c r="J1042" i="2"/>
  <c r="H1042" i="2"/>
  <c r="I1042" i="2" s="1"/>
  <c r="L1042" i="2" s="1"/>
  <c r="K1041" i="2"/>
  <c r="J1041" i="2"/>
  <c r="H1041" i="2"/>
  <c r="I1041" i="2" s="1"/>
  <c r="L1041" i="2" s="1"/>
  <c r="K1040" i="2"/>
  <c r="J1040" i="2"/>
  <c r="H1040" i="2"/>
  <c r="I1040" i="2" s="1"/>
  <c r="L1040" i="2" s="1"/>
  <c r="K1039" i="2"/>
  <c r="J1039" i="2"/>
  <c r="H1039" i="2"/>
  <c r="I1039" i="2" s="1"/>
  <c r="L1039" i="2" s="1"/>
  <c r="L1038" i="2"/>
  <c r="K1038" i="2"/>
  <c r="J1038" i="2"/>
  <c r="I1038" i="2"/>
  <c r="H1038" i="2"/>
  <c r="K1037" i="2"/>
  <c r="J1037" i="2"/>
  <c r="I1037" i="2"/>
  <c r="L1037" i="2" s="1"/>
  <c r="H1037" i="2"/>
  <c r="K1036" i="2"/>
  <c r="J1036" i="2"/>
  <c r="I1036" i="2"/>
  <c r="L1036" i="2" s="1"/>
  <c r="H1036" i="2"/>
  <c r="L1035" i="2"/>
  <c r="K1035" i="2"/>
  <c r="J1035" i="2"/>
  <c r="I1035" i="2"/>
  <c r="H1035" i="2"/>
  <c r="K1034" i="2"/>
  <c r="J1034" i="2"/>
  <c r="H1034" i="2"/>
  <c r="I1034" i="2" s="1"/>
  <c r="L1034" i="2" s="1"/>
  <c r="L1033" i="2"/>
  <c r="K1033" i="2"/>
  <c r="J1033" i="2"/>
  <c r="H1033" i="2"/>
  <c r="I1033" i="2" s="1"/>
  <c r="K1032" i="2"/>
  <c r="J1032" i="2"/>
  <c r="H1032" i="2"/>
  <c r="I1032" i="2" s="1"/>
  <c r="L1032" i="2" s="1"/>
  <c r="K1031" i="2"/>
  <c r="J1031" i="2"/>
  <c r="H1031" i="2"/>
  <c r="I1031" i="2" s="1"/>
  <c r="L1031" i="2" s="1"/>
  <c r="L1030" i="2"/>
  <c r="K1030" i="2"/>
  <c r="J1030" i="2"/>
  <c r="H1030" i="2"/>
  <c r="I1030" i="2" s="1"/>
  <c r="K1029" i="2"/>
  <c r="J1029" i="2"/>
  <c r="H1029" i="2"/>
  <c r="I1029" i="2" s="1"/>
  <c r="L1029" i="2" s="1"/>
  <c r="K1028" i="2"/>
  <c r="J1028" i="2"/>
  <c r="H1028" i="2"/>
  <c r="I1028" i="2" s="1"/>
  <c r="L1028" i="2" s="1"/>
  <c r="K1027" i="2"/>
  <c r="J1027" i="2"/>
  <c r="H1027" i="2"/>
  <c r="I1027" i="2" s="1"/>
  <c r="L1027" i="2" s="1"/>
  <c r="K1026" i="2"/>
  <c r="J1026" i="2"/>
  <c r="I1026" i="2"/>
  <c r="L1026" i="2" s="1"/>
  <c r="H1026" i="2"/>
  <c r="L1025" i="2"/>
  <c r="K1025" i="2"/>
  <c r="J1025" i="2"/>
  <c r="I1025" i="2"/>
  <c r="H1025" i="2"/>
  <c r="K1024" i="2"/>
  <c r="J1024" i="2"/>
  <c r="H1024" i="2"/>
  <c r="I1024" i="2" s="1"/>
  <c r="L1024" i="2" s="1"/>
  <c r="K1023" i="2"/>
  <c r="J1023" i="2"/>
  <c r="I1023" i="2"/>
  <c r="L1023" i="2" s="1"/>
  <c r="H1023" i="2"/>
  <c r="K1022" i="2"/>
  <c r="J1022" i="2"/>
  <c r="H1022" i="2"/>
  <c r="I1022" i="2" s="1"/>
  <c r="L1022" i="2" s="1"/>
  <c r="K1021" i="2"/>
  <c r="J1021" i="2"/>
  <c r="I1021" i="2"/>
  <c r="L1021" i="2" s="1"/>
  <c r="H1021" i="2"/>
  <c r="L1020" i="2"/>
  <c r="K1020" i="2"/>
  <c r="J1020" i="2"/>
  <c r="H1020" i="2"/>
  <c r="I1020" i="2" s="1"/>
  <c r="K1019" i="2"/>
  <c r="J1019" i="2"/>
  <c r="H1019" i="2"/>
  <c r="I1019" i="2" s="1"/>
  <c r="L1019" i="2" s="1"/>
  <c r="L1018" i="2"/>
  <c r="K1018" i="2"/>
  <c r="J1018" i="2"/>
  <c r="I1018" i="2"/>
  <c r="H1018" i="2"/>
  <c r="K1017" i="2"/>
  <c r="J1017" i="2"/>
  <c r="H1017" i="2"/>
  <c r="I1017" i="2" s="1"/>
  <c r="L1017" i="2" s="1"/>
  <c r="K1016" i="2"/>
  <c r="J1016" i="2"/>
  <c r="H1016" i="2"/>
  <c r="I1016" i="2" s="1"/>
  <c r="L1016" i="2" s="1"/>
  <c r="K1015" i="2"/>
  <c r="J1015" i="2"/>
  <c r="I1015" i="2"/>
  <c r="L1015" i="2" s="1"/>
  <c r="H1015" i="2"/>
  <c r="K1014" i="2"/>
  <c r="J1014" i="2"/>
  <c r="I1014" i="2"/>
  <c r="L1014" i="2" s="1"/>
  <c r="H1014" i="2"/>
  <c r="K1013" i="2"/>
  <c r="J1013" i="2"/>
  <c r="I1013" i="2"/>
  <c r="L1013" i="2" s="1"/>
  <c r="H1013" i="2"/>
  <c r="L1012" i="2"/>
  <c r="K1012" i="2"/>
  <c r="J1012" i="2"/>
  <c r="H1012" i="2"/>
  <c r="I1012" i="2" s="1"/>
  <c r="K1011" i="2"/>
  <c r="J1011" i="2"/>
  <c r="I1011" i="2"/>
  <c r="L1011" i="2" s="1"/>
  <c r="H1011" i="2"/>
  <c r="K1010" i="2"/>
  <c r="J1010" i="2"/>
  <c r="H1010" i="2"/>
  <c r="I1010" i="2" s="1"/>
  <c r="L1010" i="2" s="1"/>
  <c r="K1009" i="2"/>
  <c r="J1009" i="2"/>
  <c r="H1009" i="2"/>
  <c r="I1009" i="2" s="1"/>
  <c r="L1009" i="2" s="1"/>
  <c r="K1008" i="2"/>
  <c r="J1008" i="2"/>
  <c r="H1008" i="2"/>
  <c r="I1008" i="2" s="1"/>
  <c r="L1008" i="2" s="1"/>
  <c r="K1007" i="2"/>
  <c r="J1007" i="2"/>
  <c r="H1007" i="2"/>
  <c r="I1007" i="2" s="1"/>
  <c r="L1007" i="2" s="1"/>
  <c r="K1006" i="2"/>
  <c r="J1006" i="2"/>
  <c r="H1006" i="2"/>
  <c r="I1006" i="2" s="1"/>
  <c r="L1006" i="2" s="1"/>
  <c r="K1005" i="2"/>
  <c r="J1005" i="2"/>
  <c r="H1005" i="2"/>
  <c r="I1005" i="2" s="1"/>
  <c r="L1005" i="2" s="1"/>
  <c r="K1004" i="2"/>
  <c r="J1004" i="2"/>
  <c r="H1004" i="2"/>
  <c r="I1004" i="2" s="1"/>
  <c r="L1004" i="2" s="1"/>
  <c r="K1003" i="2"/>
  <c r="J1003" i="2"/>
  <c r="H1003" i="2"/>
  <c r="I1003" i="2" s="1"/>
  <c r="L1003" i="2" s="1"/>
  <c r="K1002" i="2"/>
  <c r="J1002" i="2"/>
  <c r="H1002" i="2"/>
  <c r="K1001" i="2"/>
  <c r="J1001" i="2"/>
  <c r="I1001" i="2"/>
  <c r="L1001" i="2" s="1"/>
  <c r="H1001" i="2"/>
  <c r="K1000" i="2"/>
  <c r="J1000" i="2"/>
  <c r="H1000" i="2"/>
  <c r="I1000" i="2" s="1"/>
  <c r="L1000" i="2" s="1"/>
  <c r="K999" i="2"/>
  <c r="J999" i="2"/>
  <c r="I999" i="2"/>
  <c r="L999" i="2" s="1"/>
  <c r="H999" i="2"/>
  <c r="K998" i="2"/>
  <c r="J998" i="2"/>
  <c r="H998" i="2"/>
  <c r="I998" i="2" s="1"/>
  <c r="L998" i="2" s="1"/>
  <c r="K997" i="2"/>
  <c r="J997" i="2"/>
  <c r="H997" i="2"/>
  <c r="I997" i="2" s="1"/>
  <c r="L997" i="2" s="1"/>
  <c r="K996" i="2"/>
  <c r="J996" i="2"/>
  <c r="H996" i="2"/>
  <c r="I996" i="2" s="1"/>
  <c r="L996" i="2" s="1"/>
  <c r="K995" i="2"/>
  <c r="J995" i="2"/>
  <c r="H995" i="2"/>
  <c r="I995" i="2" s="1"/>
  <c r="L995" i="2" s="1"/>
  <c r="L994" i="2"/>
  <c r="K994" i="2"/>
  <c r="J994" i="2"/>
  <c r="I994" i="2"/>
  <c r="H994" i="2"/>
  <c r="K993" i="2"/>
  <c r="J993" i="2"/>
  <c r="H993" i="2"/>
  <c r="I993" i="2" s="1"/>
  <c r="L993" i="2" s="1"/>
  <c r="K992" i="2"/>
  <c r="J992" i="2"/>
  <c r="H992" i="2"/>
  <c r="I992" i="2" s="1"/>
  <c r="L992" i="2" s="1"/>
  <c r="K991" i="2"/>
  <c r="J991" i="2"/>
  <c r="H991" i="2"/>
  <c r="I991" i="2" s="1"/>
  <c r="L991" i="2" s="1"/>
  <c r="K990" i="2"/>
  <c r="J990" i="2"/>
  <c r="H990" i="2"/>
  <c r="I990" i="2" s="1"/>
  <c r="L990" i="2" s="1"/>
  <c r="L989" i="2"/>
  <c r="K989" i="2"/>
  <c r="J989" i="2"/>
  <c r="I989" i="2"/>
  <c r="H989" i="2"/>
  <c r="K988" i="2"/>
  <c r="J988" i="2"/>
  <c r="I988" i="2"/>
  <c r="L988" i="2" s="1"/>
  <c r="H988" i="2"/>
  <c r="K987" i="2"/>
  <c r="J987" i="2"/>
  <c r="I987" i="2" s="1"/>
  <c r="L987" i="2" s="1"/>
  <c r="H987" i="2"/>
  <c r="K986" i="2"/>
  <c r="J986" i="2"/>
  <c r="H986" i="2"/>
  <c r="I986" i="2" s="1"/>
  <c r="L986" i="2" s="1"/>
  <c r="K985" i="2"/>
  <c r="J985" i="2"/>
  <c r="I985" i="2"/>
  <c r="L985" i="2" s="1"/>
  <c r="H985" i="2"/>
  <c r="K984" i="2"/>
  <c r="J984" i="2"/>
  <c r="H984" i="2"/>
  <c r="I984" i="2" s="1"/>
  <c r="L984" i="2" s="1"/>
  <c r="K983" i="2"/>
  <c r="J983" i="2"/>
  <c r="H983" i="2"/>
  <c r="I983" i="2" s="1"/>
  <c r="L983" i="2" s="1"/>
  <c r="K982" i="2"/>
  <c r="J982" i="2"/>
  <c r="H982" i="2"/>
  <c r="K981" i="2"/>
  <c r="J981" i="2"/>
  <c r="H981" i="2"/>
  <c r="I981" i="2" s="1"/>
  <c r="L981" i="2" s="1"/>
  <c r="K980" i="2"/>
  <c r="J980" i="2"/>
  <c r="H980" i="2"/>
  <c r="I980" i="2" s="1"/>
  <c r="L980" i="2" s="1"/>
  <c r="K979" i="2"/>
  <c r="J979" i="2"/>
  <c r="H979" i="2"/>
  <c r="I979" i="2" s="1"/>
  <c r="L979" i="2" s="1"/>
  <c r="K978" i="2"/>
  <c r="J978" i="2"/>
  <c r="H978" i="2"/>
  <c r="I978" i="2" s="1"/>
  <c r="L978" i="2" s="1"/>
  <c r="K977" i="2"/>
  <c r="J977" i="2"/>
  <c r="I977" i="2"/>
  <c r="L977" i="2" s="1"/>
  <c r="H977" i="2"/>
  <c r="K976" i="2"/>
  <c r="J976" i="2"/>
  <c r="H976" i="2"/>
  <c r="I976" i="2" s="1"/>
  <c r="L976" i="2" s="1"/>
  <c r="K975" i="2"/>
  <c r="J975" i="2"/>
  <c r="I975" i="2"/>
  <c r="L975" i="2" s="1"/>
  <c r="H975" i="2"/>
  <c r="K974" i="2"/>
  <c r="J974" i="2"/>
  <c r="H974" i="2"/>
  <c r="I974" i="2" s="1"/>
  <c r="L974" i="2" s="1"/>
  <c r="K973" i="2"/>
  <c r="J973" i="2"/>
  <c r="H973" i="2"/>
  <c r="I973" i="2" s="1"/>
  <c r="L973" i="2" s="1"/>
  <c r="K972" i="2"/>
  <c r="J972" i="2"/>
  <c r="H972" i="2"/>
  <c r="K971" i="2"/>
  <c r="J971" i="2"/>
  <c r="H971" i="2"/>
  <c r="I971" i="2" s="1"/>
  <c r="L971" i="2" s="1"/>
  <c r="K970" i="2"/>
  <c r="J970" i="2"/>
  <c r="H970" i="2"/>
  <c r="I970" i="2" s="1"/>
  <c r="L970" i="2" s="1"/>
  <c r="K969" i="2"/>
  <c r="J969" i="2"/>
  <c r="I969" i="2"/>
  <c r="L969" i="2" s="1"/>
  <c r="H969" i="2"/>
  <c r="K968" i="2"/>
  <c r="J968" i="2"/>
  <c r="H968" i="2"/>
  <c r="I968" i="2" s="1"/>
  <c r="L968" i="2" s="1"/>
  <c r="K967" i="2"/>
  <c r="J967" i="2"/>
  <c r="H967" i="2"/>
  <c r="I967" i="2" s="1"/>
  <c r="L967" i="2" s="1"/>
  <c r="K966" i="2"/>
  <c r="J966" i="2"/>
  <c r="H966" i="2"/>
  <c r="I966" i="2" s="1"/>
  <c r="L966" i="2" s="1"/>
  <c r="K965" i="2"/>
  <c r="J965" i="2"/>
  <c r="I965" i="2"/>
  <c r="L965" i="2" s="1"/>
  <c r="H965" i="2"/>
  <c r="K964" i="2"/>
  <c r="J964" i="2"/>
  <c r="I964" i="2"/>
  <c r="L964" i="2" s="1"/>
  <c r="H964" i="2"/>
  <c r="K963" i="2"/>
  <c r="J963" i="2"/>
  <c r="I963" i="2"/>
  <c r="L963" i="2" s="1"/>
  <c r="H963" i="2"/>
  <c r="K962" i="2"/>
  <c r="J962" i="2"/>
  <c r="H962" i="2"/>
  <c r="I962" i="2" s="1"/>
  <c r="L962" i="2" s="1"/>
  <c r="K961" i="2"/>
  <c r="J961" i="2"/>
  <c r="H961" i="2"/>
  <c r="I961" i="2" s="1"/>
  <c r="L961" i="2" s="1"/>
  <c r="K960" i="2"/>
  <c r="J960" i="2"/>
  <c r="H960" i="2"/>
  <c r="I960" i="2" s="1"/>
  <c r="L960" i="2" s="1"/>
  <c r="L959" i="2"/>
  <c r="K959" i="2"/>
  <c r="J959" i="2"/>
  <c r="I959" i="2"/>
  <c r="H959" i="2"/>
  <c r="K958" i="2"/>
  <c r="J958" i="2"/>
  <c r="H958" i="2"/>
  <c r="I958" i="2" s="1"/>
  <c r="L958" i="2" s="1"/>
  <c r="K957" i="2"/>
  <c r="J957" i="2"/>
  <c r="H957" i="2"/>
  <c r="I957" i="2" s="1"/>
  <c r="L957" i="2" s="1"/>
  <c r="L956" i="2"/>
  <c r="K956" i="2"/>
  <c r="J956" i="2"/>
  <c r="I956" i="2"/>
  <c r="H956" i="2"/>
  <c r="K955" i="2"/>
  <c r="J955" i="2"/>
  <c r="H955" i="2"/>
  <c r="I955" i="2" s="1"/>
  <c r="L955" i="2" s="1"/>
  <c r="K954" i="2"/>
  <c r="J954" i="2"/>
  <c r="H954" i="2"/>
  <c r="I954" i="2" s="1"/>
  <c r="L954" i="2" s="1"/>
  <c r="L953" i="2"/>
  <c r="K953" i="2"/>
  <c r="J953" i="2"/>
  <c r="I953" i="2"/>
  <c r="H953" i="2"/>
  <c r="K952" i="2"/>
  <c r="J952" i="2"/>
  <c r="H952" i="2"/>
  <c r="I952" i="2" s="1"/>
  <c r="L952" i="2" s="1"/>
  <c r="K951" i="2"/>
  <c r="J951" i="2"/>
  <c r="I951" i="2" s="1"/>
  <c r="L951" i="2" s="1"/>
  <c r="H951" i="2"/>
  <c r="K950" i="2"/>
  <c r="J950" i="2"/>
  <c r="H950" i="2"/>
  <c r="I950" i="2" s="1"/>
  <c r="L950" i="2" s="1"/>
  <c r="K949" i="2"/>
  <c r="J949" i="2"/>
  <c r="H949" i="2"/>
  <c r="I949" i="2" s="1"/>
  <c r="L949" i="2" s="1"/>
  <c r="K948" i="2"/>
  <c r="J948" i="2"/>
  <c r="H948" i="2"/>
  <c r="I948" i="2" s="1"/>
  <c r="L948" i="2" s="1"/>
  <c r="K947" i="2"/>
  <c r="J947" i="2"/>
  <c r="H947" i="2"/>
  <c r="I947" i="2" s="1"/>
  <c r="L947" i="2" s="1"/>
  <c r="K946" i="2"/>
  <c r="J946" i="2"/>
  <c r="H946" i="2"/>
  <c r="K945" i="2"/>
  <c r="J945" i="2"/>
  <c r="H945" i="2"/>
  <c r="I945" i="2" s="1"/>
  <c r="L945" i="2" s="1"/>
  <c r="K944" i="2"/>
  <c r="J944" i="2"/>
  <c r="H944" i="2"/>
  <c r="I944" i="2" s="1"/>
  <c r="L944" i="2" s="1"/>
  <c r="K943" i="2"/>
  <c r="J943" i="2"/>
  <c r="H943" i="2"/>
  <c r="I943" i="2" s="1"/>
  <c r="L943" i="2" s="1"/>
  <c r="K942" i="2"/>
  <c r="J942" i="2"/>
  <c r="I942" i="2"/>
  <c r="L942" i="2" s="1"/>
  <c r="H942" i="2"/>
  <c r="L941" i="2"/>
  <c r="K941" i="2"/>
  <c r="J941" i="2"/>
  <c r="I941" i="2"/>
  <c r="H941" i="2"/>
  <c r="K940" i="2"/>
  <c r="J940" i="2"/>
  <c r="H940" i="2"/>
  <c r="I940" i="2" s="1"/>
  <c r="L940" i="2" s="1"/>
  <c r="K939" i="2"/>
  <c r="J939" i="2"/>
  <c r="I939" i="2"/>
  <c r="L939" i="2" s="1"/>
  <c r="H939" i="2"/>
  <c r="L938" i="2"/>
  <c r="K938" i="2"/>
  <c r="J938" i="2"/>
  <c r="H938" i="2"/>
  <c r="I938" i="2" s="1"/>
  <c r="K937" i="2"/>
  <c r="J937" i="2"/>
  <c r="I937" i="2"/>
  <c r="L937" i="2" s="1"/>
  <c r="H937" i="2"/>
  <c r="K936" i="2"/>
  <c r="J936" i="2"/>
  <c r="H936" i="2"/>
  <c r="I936" i="2" s="1"/>
  <c r="L936" i="2" s="1"/>
  <c r="K935" i="2"/>
  <c r="J935" i="2"/>
  <c r="H935" i="2"/>
  <c r="I935" i="2" s="1"/>
  <c r="L935" i="2" s="1"/>
  <c r="K934" i="2"/>
  <c r="J934" i="2"/>
  <c r="H934" i="2"/>
  <c r="I934" i="2" s="1"/>
  <c r="L934" i="2" s="1"/>
  <c r="K933" i="2"/>
  <c r="J933" i="2"/>
  <c r="I933" i="2"/>
  <c r="L933" i="2" s="1"/>
  <c r="H933" i="2"/>
  <c r="K932" i="2"/>
  <c r="J932" i="2"/>
  <c r="H932" i="2"/>
  <c r="I932" i="2" s="1"/>
  <c r="L932" i="2" s="1"/>
  <c r="K931" i="2"/>
  <c r="J931" i="2"/>
  <c r="H931" i="2"/>
  <c r="I931" i="2" s="1"/>
  <c r="L931" i="2" s="1"/>
  <c r="L930" i="2"/>
  <c r="K930" i="2"/>
  <c r="J930" i="2"/>
  <c r="I930" i="2"/>
  <c r="H930" i="2"/>
  <c r="K929" i="2"/>
  <c r="J929" i="2"/>
  <c r="I929" i="2"/>
  <c r="L929" i="2" s="1"/>
  <c r="H929" i="2"/>
  <c r="K928" i="2"/>
  <c r="J928" i="2"/>
  <c r="I928" i="2"/>
  <c r="L928" i="2" s="1"/>
  <c r="H928" i="2"/>
  <c r="K927" i="2"/>
  <c r="J927" i="2"/>
  <c r="I927" i="2"/>
  <c r="L927" i="2" s="1"/>
  <c r="H927" i="2"/>
  <c r="K926" i="2"/>
  <c r="J926" i="2"/>
  <c r="H926" i="2"/>
  <c r="I926" i="2" s="1"/>
  <c r="L926" i="2" s="1"/>
  <c r="K925" i="2"/>
  <c r="J925" i="2"/>
  <c r="H925" i="2"/>
  <c r="I925" i="2" s="1"/>
  <c r="L925" i="2" s="1"/>
  <c r="K924" i="2"/>
  <c r="J924" i="2"/>
  <c r="H924" i="2"/>
  <c r="I924" i="2" s="1"/>
  <c r="L924" i="2" s="1"/>
  <c r="K923" i="2"/>
  <c r="J923" i="2"/>
  <c r="I923" i="2" s="1"/>
  <c r="L923" i="2" s="1"/>
  <c r="H923" i="2"/>
  <c r="K922" i="2"/>
  <c r="J922" i="2"/>
  <c r="H922" i="2"/>
  <c r="I922" i="2" s="1"/>
  <c r="L922" i="2" s="1"/>
  <c r="K921" i="2"/>
  <c r="J921" i="2"/>
  <c r="H921" i="2"/>
  <c r="I921" i="2" s="1"/>
  <c r="L921" i="2" s="1"/>
  <c r="K920" i="2"/>
  <c r="J920" i="2"/>
  <c r="H920" i="2"/>
  <c r="K919" i="2"/>
  <c r="J919" i="2"/>
  <c r="H919" i="2"/>
  <c r="I919" i="2" s="1"/>
  <c r="L919" i="2" s="1"/>
  <c r="K918" i="2"/>
  <c r="J918" i="2"/>
  <c r="H918" i="2"/>
  <c r="I918" i="2" s="1"/>
  <c r="L918" i="2" s="1"/>
  <c r="L917" i="2"/>
  <c r="K917" i="2"/>
  <c r="J917" i="2"/>
  <c r="I917" i="2"/>
  <c r="H917" i="2"/>
  <c r="K916" i="2"/>
  <c r="J916" i="2"/>
  <c r="H916" i="2"/>
  <c r="I916" i="2" s="1"/>
  <c r="L916" i="2" s="1"/>
  <c r="K915" i="2"/>
  <c r="J915" i="2"/>
  <c r="I915" i="2" s="1"/>
  <c r="L915" i="2" s="1"/>
  <c r="H915" i="2"/>
  <c r="K914" i="2"/>
  <c r="J914" i="2"/>
  <c r="H914" i="2"/>
  <c r="I914" i="2" s="1"/>
  <c r="L914" i="2" s="1"/>
  <c r="K913" i="2"/>
  <c r="J913" i="2"/>
  <c r="H913" i="2"/>
  <c r="I913" i="2" s="1"/>
  <c r="L913" i="2" s="1"/>
  <c r="L912" i="2"/>
  <c r="K912" i="2"/>
  <c r="J912" i="2"/>
  <c r="I912" i="2"/>
  <c r="H912" i="2"/>
  <c r="K911" i="2"/>
  <c r="J911" i="2"/>
  <c r="I911" i="2"/>
  <c r="L911" i="2" s="1"/>
  <c r="H911" i="2"/>
  <c r="L910" i="2"/>
  <c r="K910" i="2"/>
  <c r="J910" i="2"/>
  <c r="I910" i="2"/>
  <c r="H910" i="2"/>
  <c r="K909" i="2"/>
  <c r="J909" i="2"/>
  <c r="H909" i="2"/>
  <c r="I909" i="2" s="1"/>
  <c r="L909" i="2" s="1"/>
  <c r="K908" i="2"/>
  <c r="J908" i="2"/>
  <c r="H908" i="2"/>
  <c r="I908" i="2" s="1"/>
  <c r="L908" i="2" s="1"/>
  <c r="K907" i="2"/>
  <c r="J907" i="2"/>
  <c r="H907" i="2"/>
  <c r="I907" i="2" s="1"/>
  <c r="L907" i="2" s="1"/>
  <c r="K906" i="2"/>
  <c r="J906" i="2"/>
  <c r="H906" i="2"/>
  <c r="I906" i="2" s="1"/>
  <c r="L906" i="2" s="1"/>
  <c r="L905" i="2"/>
  <c r="K905" i="2"/>
  <c r="J905" i="2"/>
  <c r="I905" i="2"/>
  <c r="H905" i="2"/>
  <c r="K904" i="2"/>
  <c r="J904" i="2"/>
  <c r="I904" i="2"/>
  <c r="L904" i="2" s="1"/>
  <c r="H904" i="2"/>
  <c r="K903" i="2"/>
  <c r="J903" i="2"/>
  <c r="I903" i="2"/>
  <c r="L903" i="2" s="1"/>
  <c r="H903" i="2"/>
  <c r="K902" i="2"/>
  <c r="J902" i="2"/>
  <c r="H902" i="2"/>
  <c r="I902" i="2" s="1"/>
  <c r="L902" i="2" s="1"/>
  <c r="K901" i="2"/>
  <c r="J901" i="2"/>
  <c r="H901" i="2"/>
  <c r="I901" i="2" s="1"/>
  <c r="L901" i="2" s="1"/>
  <c r="L900" i="2"/>
  <c r="K900" i="2"/>
  <c r="J900" i="2"/>
  <c r="H900" i="2"/>
  <c r="I900" i="2" s="1"/>
  <c r="K899" i="2"/>
  <c r="J899" i="2"/>
  <c r="H899" i="2"/>
  <c r="I899" i="2" s="1"/>
  <c r="L899" i="2" s="1"/>
  <c r="K898" i="2"/>
  <c r="J898" i="2"/>
  <c r="H898" i="2"/>
  <c r="I898" i="2" s="1"/>
  <c r="L898" i="2" s="1"/>
  <c r="K897" i="2"/>
  <c r="J897" i="2"/>
  <c r="H897" i="2"/>
  <c r="I897" i="2" s="1"/>
  <c r="L897" i="2" s="1"/>
  <c r="K896" i="2"/>
  <c r="J896" i="2"/>
  <c r="I896" i="2"/>
  <c r="L896" i="2" s="1"/>
  <c r="H896" i="2"/>
  <c r="K895" i="2"/>
  <c r="J895" i="2"/>
  <c r="H895" i="2"/>
  <c r="I895" i="2" s="1"/>
  <c r="L895" i="2" s="1"/>
  <c r="K894" i="2"/>
  <c r="J894" i="2"/>
  <c r="H894" i="2"/>
  <c r="I894" i="2" s="1"/>
  <c r="L894" i="2" s="1"/>
  <c r="K893" i="2"/>
  <c r="J893" i="2"/>
  <c r="I893" i="2"/>
  <c r="L893" i="2" s="1"/>
  <c r="H893" i="2"/>
  <c r="K892" i="2"/>
  <c r="J892" i="2"/>
  <c r="H892" i="2"/>
  <c r="I892" i="2" s="1"/>
  <c r="L892" i="2" s="1"/>
  <c r="K891" i="2"/>
  <c r="J891" i="2"/>
  <c r="I891" i="2"/>
  <c r="L891" i="2" s="1"/>
  <c r="H891" i="2"/>
  <c r="K890" i="2"/>
  <c r="J890" i="2"/>
  <c r="I890" i="2" s="1"/>
  <c r="L890" i="2" s="1"/>
  <c r="H890" i="2"/>
  <c r="K889" i="2"/>
  <c r="J889" i="2"/>
  <c r="H889" i="2"/>
  <c r="I889" i="2" s="1"/>
  <c r="L889" i="2" s="1"/>
  <c r="K888" i="2"/>
  <c r="J888" i="2"/>
  <c r="H888" i="2"/>
  <c r="I888" i="2" s="1"/>
  <c r="L888" i="2" s="1"/>
  <c r="L887" i="2"/>
  <c r="K887" i="2"/>
  <c r="J887" i="2"/>
  <c r="H887" i="2"/>
  <c r="I887" i="2" s="1"/>
  <c r="K886" i="2"/>
  <c r="J886" i="2"/>
  <c r="H886" i="2"/>
  <c r="I886" i="2" s="1"/>
  <c r="L886" i="2" s="1"/>
  <c r="K885" i="2"/>
  <c r="J885" i="2"/>
  <c r="H885" i="2"/>
  <c r="I885" i="2" s="1"/>
  <c r="L885" i="2" s="1"/>
  <c r="K884" i="2"/>
  <c r="J884" i="2"/>
  <c r="H884" i="2"/>
  <c r="I884" i="2" s="1"/>
  <c r="L884" i="2" s="1"/>
  <c r="K883" i="2"/>
  <c r="J883" i="2"/>
  <c r="H883" i="2"/>
  <c r="I883" i="2" s="1"/>
  <c r="L883" i="2" s="1"/>
  <c r="K882" i="2"/>
  <c r="J882" i="2"/>
  <c r="I882" i="2"/>
  <c r="L882" i="2" s="1"/>
  <c r="H882" i="2"/>
  <c r="K881" i="2"/>
  <c r="J881" i="2"/>
  <c r="I881" i="2"/>
  <c r="L881" i="2" s="1"/>
  <c r="H881" i="2"/>
  <c r="K880" i="2"/>
  <c r="J880" i="2"/>
  <c r="H880" i="2"/>
  <c r="I880" i="2" s="1"/>
  <c r="L880" i="2" s="1"/>
  <c r="L879" i="2"/>
  <c r="K879" i="2"/>
  <c r="J879" i="2"/>
  <c r="I879" i="2"/>
  <c r="H879" i="2"/>
  <c r="K878" i="2"/>
  <c r="J878" i="2"/>
  <c r="H878" i="2"/>
  <c r="I878" i="2" s="1"/>
  <c r="L878" i="2" s="1"/>
  <c r="K877" i="2"/>
  <c r="J877" i="2"/>
  <c r="H877" i="2"/>
  <c r="I877" i="2" s="1"/>
  <c r="L877" i="2" s="1"/>
  <c r="K876" i="2"/>
  <c r="J876" i="2"/>
  <c r="H876" i="2"/>
  <c r="I876" i="2" s="1"/>
  <c r="L876" i="2" s="1"/>
  <c r="K875" i="2"/>
  <c r="J875" i="2"/>
  <c r="H875" i="2"/>
  <c r="I875" i="2" s="1"/>
  <c r="L875" i="2" s="1"/>
  <c r="L874" i="2"/>
  <c r="K874" i="2"/>
  <c r="J874" i="2"/>
  <c r="H874" i="2"/>
  <c r="I874" i="2" s="1"/>
  <c r="K873" i="2"/>
  <c r="J873" i="2"/>
  <c r="H873" i="2"/>
  <c r="I873" i="2" s="1"/>
  <c r="L873" i="2" s="1"/>
  <c r="K872" i="2"/>
  <c r="J872" i="2"/>
  <c r="H872" i="2"/>
  <c r="I872" i="2" s="1"/>
  <c r="L872" i="2" s="1"/>
  <c r="K871" i="2"/>
  <c r="J871" i="2"/>
  <c r="H871" i="2"/>
  <c r="I871" i="2" s="1"/>
  <c r="L871" i="2" s="1"/>
  <c r="K870" i="2"/>
  <c r="J870" i="2"/>
  <c r="H870" i="2"/>
  <c r="I870" i="2" s="1"/>
  <c r="L870" i="2" s="1"/>
  <c r="L869" i="2"/>
  <c r="K869" i="2"/>
  <c r="J869" i="2"/>
  <c r="I869" i="2"/>
  <c r="H869" i="2"/>
  <c r="K868" i="2"/>
  <c r="J868" i="2"/>
  <c r="H868" i="2"/>
  <c r="I868" i="2" s="1"/>
  <c r="L868" i="2" s="1"/>
  <c r="K867" i="2"/>
  <c r="J867" i="2"/>
  <c r="I867" i="2"/>
  <c r="L867" i="2" s="1"/>
  <c r="H867" i="2"/>
  <c r="K866" i="2"/>
  <c r="J866" i="2"/>
  <c r="H866" i="2"/>
  <c r="I866" i="2" s="1"/>
  <c r="L866" i="2" s="1"/>
  <c r="K865" i="2"/>
  <c r="J865" i="2"/>
  <c r="H865" i="2"/>
  <c r="I865" i="2" s="1"/>
  <c r="L865" i="2" s="1"/>
  <c r="K864" i="2"/>
  <c r="J864" i="2"/>
  <c r="H864" i="2"/>
  <c r="K863" i="2"/>
  <c r="J863" i="2"/>
  <c r="H863" i="2"/>
  <c r="I863" i="2" s="1"/>
  <c r="L863" i="2" s="1"/>
  <c r="K862" i="2"/>
  <c r="J862" i="2"/>
  <c r="H862" i="2"/>
  <c r="I862" i="2" s="1"/>
  <c r="L862" i="2" s="1"/>
  <c r="K861" i="2"/>
  <c r="J861" i="2"/>
  <c r="H861" i="2"/>
  <c r="I861" i="2" s="1"/>
  <c r="L861" i="2" s="1"/>
  <c r="K860" i="2"/>
  <c r="J860" i="2"/>
  <c r="H860" i="2"/>
  <c r="I860" i="2" s="1"/>
  <c r="L860" i="2" s="1"/>
  <c r="K859" i="2"/>
  <c r="J859" i="2"/>
  <c r="I859" i="2"/>
  <c r="L859" i="2" s="1"/>
  <c r="H859" i="2"/>
  <c r="K858" i="2"/>
  <c r="J858" i="2"/>
  <c r="H858" i="2"/>
  <c r="I858" i="2" s="1"/>
  <c r="L858" i="2" s="1"/>
  <c r="K857" i="2"/>
  <c r="J857" i="2"/>
  <c r="I857" i="2"/>
  <c r="L857" i="2" s="1"/>
  <c r="H857" i="2"/>
  <c r="L856" i="2"/>
  <c r="K856" i="2"/>
  <c r="J856" i="2"/>
  <c r="H856" i="2"/>
  <c r="I856" i="2" s="1"/>
  <c r="K855" i="2"/>
  <c r="J855" i="2"/>
  <c r="I855" i="2"/>
  <c r="L855" i="2" s="1"/>
  <c r="H855" i="2"/>
  <c r="K854" i="2"/>
  <c r="J854" i="2"/>
  <c r="I854" i="2"/>
  <c r="L854" i="2" s="1"/>
  <c r="H854" i="2"/>
  <c r="K853" i="2"/>
  <c r="J853" i="2"/>
  <c r="I853" i="2"/>
  <c r="L853" i="2" s="1"/>
  <c r="H853" i="2"/>
  <c r="K852" i="2"/>
  <c r="J852" i="2"/>
  <c r="H852" i="2"/>
  <c r="I852" i="2" s="1"/>
  <c r="L852" i="2" s="1"/>
  <c r="K851" i="2"/>
  <c r="J851" i="2"/>
  <c r="H851" i="2"/>
  <c r="I851" i="2" s="1"/>
  <c r="L851" i="2" s="1"/>
  <c r="K850" i="2"/>
  <c r="J850" i="2"/>
  <c r="H850" i="2"/>
  <c r="I850" i="2" s="1"/>
  <c r="L850" i="2" s="1"/>
  <c r="K849" i="2"/>
  <c r="J849" i="2"/>
  <c r="H849" i="2"/>
  <c r="I849" i="2" s="1"/>
  <c r="L849" i="2" s="1"/>
  <c r="K848" i="2"/>
  <c r="J848" i="2"/>
  <c r="H848" i="2"/>
  <c r="I848" i="2" s="1"/>
  <c r="L848" i="2" s="1"/>
  <c r="K847" i="2"/>
  <c r="J847" i="2"/>
  <c r="H847" i="2"/>
  <c r="I847" i="2" s="1"/>
  <c r="L847" i="2" s="1"/>
  <c r="K846" i="2"/>
  <c r="J846" i="2"/>
  <c r="I846" i="2"/>
  <c r="L846" i="2" s="1"/>
  <c r="H846" i="2"/>
  <c r="K845" i="2"/>
  <c r="J845" i="2"/>
  <c r="I845" i="2"/>
  <c r="L845" i="2" s="1"/>
  <c r="H845" i="2"/>
  <c r="K844" i="2"/>
  <c r="J844" i="2"/>
  <c r="H844" i="2"/>
  <c r="I844" i="2" s="1"/>
  <c r="L844" i="2" s="1"/>
  <c r="L843" i="2"/>
  <c r="K843" i="2"/>
  <c r="J843" i="2"/>
  <c r="I843" i="2"/>
  <c r="H843" i="2"/>
  <c r="K842" i="2"/>
  <c r="J842" i="2"/>
  <c r="I842" i="2" s="1"/>
  <c r="L842" i="2" s="1"/>
  <c r="H842" i="2"/>
  <c r="K841" i="2"/>
  <c r="J841" i="2"/>
  <c r="H841" i="2"/>
  <c r="I841" i="2" s="1"/>
  <c r="L841" i="2" s="1"/>
  <c r="K840" i="2"/>
  <c r="J840" i="2"/>
  <c r="H840" i="2"/>
  <c r="I840" i="2" s="1"/>
  <c r="L840" i="2" s="1"/>
  <c r="K839" i="2"/>
  <c r="J839" i="2"/>
  <c r="I839" i="2" s="1"/>
  <c r="L839" i="2" s="1"/>
  <c r="H839" i="2"/>
  <c r="L838" i="2"/>
  <c r="K838" i="2"/>
  <c r="J838" i="2"/>
  <c r="I838" i="2"/>
  <c r="H838" i="2"/>
  <c r="K837" i="2"/>
  <c r="J837" i="2"/>
  <c r="I837" i="2"/>
  <c r="L837" i="2" s="1"/>
  <c r="H837" i="2"/>
  <c r="L836" i="2"/>
  <c r="K836" i="2"/>
  <c r="J836" i="2"/>
  <c r="I836" i="2"/>
  <c r="H836" i="2"/>
  <c r="K835" i="2"/>
  <c r="J835" i="2"/>
  <c r="H835" i="2"/>
  <c r="I835" i="2" s="1"/>
  <c r="L835" i="2" s="1"/>
  <c r="K834" i="2"/>
  <c r="J834" i="2"/>
  <c r="H834" i="2"/>
  <c r="I834" i="2" s="1"/>
  <c r="L834" i="2" s="1"/>
  <c r="L833" i="2"/>
  <c r="K833" i="2"/>
  <c r="J833" i="2"/>
  <c r="I833" i="2"/>
  <c r="H833" i="2"/>
  <c r="K832" i="2"/>
  <c r="J832" i="2"/>
  <c r="H832" i="2"/>
  <c r="I832" i="2" s="1"/>
  <c r="L832" i="2" s="1"/>
  <c r="K831" i="2"/>
  <c r="J831" i="2"/>
  <c r="I831" i="2"/>
  <c r="L831" i="2" s="1"/>
  <c r="H831" i="2"/>
  <c r="K830" i="2"/>
  <c r="J830" i="2"/>
  <c r="H830" i="2"/>
  <c r="I830" i="2" s="1"/>
  <c r="L830" i="2" s="1"/>
  <c r="K829" i="2"/>
  <c r="J829" i="2"/>
  <c r="H829" i="2"/>
  <c r="I829" i="2" s="1"/>
  <c r="L829" i="2" s="1"/>
  <c r="L828" i="2"/>
  <c r="K828" i="2"/>
  <c r="J828" i="2"/>
  <c r="H828" i="2"/>
  <c r="I828" i="2" s="1"/>
  <c r="K827" i="2"/>
  <c r="J827" i="2"/>
  <c r="H827" i="2"/>
  <c r="I827" i="2" s="1"/>
  <c r="L827" i="2" s="1"/>
  <c r="K826" i="2"/>
  <c r="J826" i="2"/>
  <c r="H826" i="2"/>
  <c r="I826" i="2" s="1"/>
  <c r="L826" i="2" s="1"/>
  <c r="K825" i="2"/>
  <c r="J825" i="2"/>
  <c r="I825" i="2"/>
  <c r="L825" i="2" s="1"/>
  <c r="H825" i="2"/>
  <c r="K824" i="2"/>
  <c r="J824" i="2"/>
  <c r="H824" i="2"/>
  <c r="I824" i="2" s="1"/>
  <c r="L824" i="2" s="1"/>
  <c r="K823" i="2"/>
  <c r="J823" i="2"/>
  <c r="I823" i="2"/>
  <c r="L823" i="2" s="1"/>
  <c r="H823" i="2"/>
  <c r="K822" i="2"/>
  <c r="J822" i="2"/>
  <c r="H822" i="2"/>
  <c r="I822" i="2" s="1"/>
  <c r="L822" i="2" s="1"/>
  <c r="K821" i="2"/>
  <c r="J821" i="2"/>
  <c r="I821" i="2"/>
  <c r="L821" i="2" s="1"/>
  <c r="H821" i="2"/>
  <c r="K820" i="2"/>
  <c r="J820" i="2"/>
  <c r="H820" i="2"/>
  <c r="I820" i="2" s="1"/>
  <c r="L820" i="2" s="1"/>
  <c r="K819" i="2"/>
  <c r="J819" i="2"/>
  <c r="I819" i="2"/>
  <c r="L819" i="2" s="1"/>
  <c r="H819" i="2"/>
  <c r="K818" i="2"/>
  <c r="J818" i="2"/>
  <c r="H818" i="2"/>
  <c r="I818" i="2" s="1"/>
  <c r="L818" i="2" s="1"/>
  <c r="K817" i="2"/>
  <c r="J817" i="2"/>
  <c r="H817" i="2"/>
  <c r="I817" i="2" s="1"/>
  <c r="L817" i="2" s="1"/>
  <c r="K816" i="2"/>
  <c r="J816" i="2"/>
  <c r="H816" i="2"/>
  <c r="I816" i="2" s="1"/>
  <c r="L816" i="2" s="1"/>
  <c r="K815" i="2"/>
  <c r="J815" i="2"/>
  <c r="H815" i="2"/>
  <c r="I815" i="2" s="1"/>
  <c r="L815" i="2" s="1"/>
  <c r="K814" i="2"/>
  <c r="J814" i="2"/>
  <c r="H814" i="2"/>
  <c r="I814" i="2" s="1"/>
  <c r="L814" i="2" s="1"/>
  <c r="K813" i="2"/>
  <c r="J813" i="2"/>
  <c r="H813" i="2"/>
  <c r="I813" i="2" s="1"/>
  <c r="L813" i="2" s="1"/>
  <c r="K812" i="2"/>
  <c r="J812" i="2"/>
  <c r="H812" i="2"/>
  <c r="I812" i="2" s="1"/>
  <c r="L812" i="2" s="1"/>
  <c r="K811" i="2"/>
  <c r="J811" i="2"/>
  <c r="H811" i="2"/>
  <c r="I811" i="2" s="1"/>
  <c r="L811" i="2" s="1"/>
  <c r="L810" i="2"/>
  <c r="K810" i="2"/>
  <c r="J810" i="2"/>
  <c r="I810" i="2"/>
  <c r="H810" i="2"/>
  <c r="K809" i="2"/>
  <c r="J809" i="2"/>
  <c r="I809" i="2"/>
  <c r="L809" i="2" s="1"/>
  <c r="H809" i="2"/>
  <c r="K808" i="2"/>
  <c r="J808" i="2"/>
  <c r="H808" i="2"/>
  <c r="I808" i="2" s="1"/>
  <c r="L808" i="2" s="1"/>
  <c r="K807" i="2"/>
  <c r="J807" i="2"/>
  <c r="I807" i="2"/>
  <c r="L807" i="2" s="1"/>
  <c r="H807" i="2"/>
  <c r="K806" i="2"/>
  <c r="J806" i="2"/>
  <c r="H806" i="2"/>
  <c r="I806" i="2" s="1"/>
  <c r="L806" i="2" s="1"/>
  <c r="K805" i="2"/>
  <c r="J805" i="2"/>
  <c r="H805" i="2"/>
  <c r="I805" i="2" s="1"/>
  <c r="L805" i="2" s="1"/>
  <c r="K804" i="2"/>
  <c r="J804" i="2"/>
  <c r="H804" i="2"/>
  <c r="I804" i="2" s="1"/>
  <c r="L804" i="2" s="1"/>
  <c r="K803" i="2"/>
  <c r="J803" i="2"/>
  <c r="H803" i="2"/>
  <c r="I803" i="2" s="1"/>
  <c r="L803" i="2" s="1"/>
  <c r="K802" i="2"/>
  <c r="J802" i="2"/>
  <c r="H802" i="2"/>
  <c r="I802" i="2" s="1"/>
  <c r="L802" i="2" s="1"/>
  <c r="K801" i="2"/>
  <c r="J801" i="2"/>
  <c r="H801" i="2"/>
  <c r="I801" i="2" s="1"/>
  <c r="L801" i="2" s="1"/>
  <c r="L800" i="2"/>
  <c r="K800" i="2"/>
  <c r="J800" i="2"/>
  <c r="I800" i="2"/>
  <c r="H800" i="2"/>
  <c r="K799" i="2"/>
  <c r="J799" i="2"/>
  <c r="H799" i="2"/>
  <c r="I799" i="2" s="1"/>
  <c r="L799" i="2" s="1"/>
  <c r="K798" i="2"/>
  <c r="J798" i="2"/>
  <c r="H798" i="2"/>
  <c r="I798" i="2" s="1"/>
  <c r="L798" i="2" s="1"/>
  <c r="L797" i="2"/>
  <c r="K797" i="2"/>
  <c r="J797" i="2"/>
  <c r="I797" i="2"/>
  <c r="H797" i="2"/>
  <c r="K796" i="2"/>
  <c r="J796" i="2"/>
  <c r="H796" i="2"/>
  <c r="I796" i="2" s="1"/>
  <c r="L796" i="2" s="1"/>
  <c r="K795" i="2"/>
  <c r="J795" i="2"/>
  <c r="I795" i="2"/>
  <c r="L795" i="2" s="1"/>
  <c r="H795" i="2"/>
  <c r="K794" i="2"/>
  <c r="J794" i="2"/>
  <c r="H794" i="2"/>
  <c r="I794" i="2" s="1"/>
  <c r="L794" i="2" s="1"/>
  <c r="K793" i="2"/>
  <c r="J793" i="2"/>
  <c r="H793" i="2"/>
  <c r="I793" i="2" s="1"/>
  <c r="L793" i="2" s="1"/>
  <c r="L792" i="2"/>
  <c r="K792" i="2"/>
  <c r="J792" i="2"/>
  <c r="H792" i="2"/>
  <c r="I792" i="2" s="1"/>
  <c r="K791" i="2"/>
  <c r="J791" i="2"/>
  <c r="H791" i="2"/>
  <c r="I791" i="2" s="1"/>
  <c r="L791" i="2" s="1"/>
  <c r="K790" i="2"/>
  <c r="J790" i="2"/>
  <c r="H790" i="2"/>
  <c r="I790" i="2" s="1"/>
  <c r="L790" i="2" s="1"/>
  <c r="K789" i="2"/>
  <c r="J789" i="2"/>
  <c r="I789" i="2"/>
  <c r="L789" i="2" s="1"/>
  <c r="H789" i="2"/>
  <c r="K788" i="2"/>
  <c r="J788" i="2"/>
  <c r="H788" i="2"/>
  <c r="I788" i="2" s="1"/>
  <c r="L788" i="2" s="1"/>
  <c r="K787" i="2"/>
  <c r="J787" i="2"/>
  <c r="I787" i="2"/>
  <c r="L787" i="2" s="1"/>
  <c r="H787" i="2"/>
  <c r="K786" i="2"/>
  <c r="J786" i="2"/>
  <c r="H786" i="2"/>
  <c r="I786" i="2" s="1"/>
  <c r="L786" i="2" s="1"/>
  <c r="K785" i="2"/>
  <c r="J785" i="2"/>
  <c r="I785" i="2"/>
  <c r="L785" i="2" s="1"/>
  <c r="H785" i="2"/>
  <c r="L784" i="2"/>
  <c r="K784" i="2"/>
  <c r="J784" i="2"/>
  <c r="I784" i="2"/>
  <c r="H784" i="2"/>
  <c r="K783" i="2"/>
  <c r="J783" i="2"/>
  <c r="I783" i="2" s="1"/>
  <c r="L783" i="2" s="1"/>
  <c r="H783" i="2"/>
  <c r="K782" i="2"/>
  <c r="J782" i="2"/>
  <c r="H782" i="2"/>
  <c r="I782" i="2" s="1"/>
  <c r="L782" i="2" s="1"/>
  <c r="K781" i="2"/>
  <c r="J781" i="2"/>
  <c r="I781" i="2"/>
  <c r="L781" i="2" s="1"/>
  <c r="H781" i="2"/>
  <c r="K780" i="2"/>
  <c r="J780" i="2"/>
  <c r="H780" i="2"/>
  <c r="K779" i="2"/>
  <c r="J779" i="2"/>
  <c r="H779" i="2"/>
  <c r="I779" i="2" s="1"/>
  <c r="L779" i="2" s="1"/>
  <c r="K778" i="2"/>
  <c r="J778" i="2"/>
  <c r="H778" i="2"/>
  <c r="I778" i="2" s="1"/>
  <c r="L778" i="2" s="1"/>
  <c r="K777" i="2"/>
  <c r="J777" i="2"/>
  <c r="I777" i="2"/>
  <c r="L777" i="2" s="1"/>
  <c r="H777" i="2"/>
  <c r="K776" i="2"/>
  <c r="J776" i="2"/>
  <c r="H776" i="2"/>
  <c r="I776" i="2" s="1"/>
  <c r="L776" i="2" s="1"/>
  <c r="K775" i="2"/>
  <c r="J775" i="2"/>
  <c r="I775" i="2"/>
  <c r="L775" i="2" s="1"/>
  <c r="H775" i="2"/>
  <c r="K774" i="2"/>
  <c r="J774" i="2"/>
  <c r="H774" i="2"/>
  <c r="I774" i="2" s="1"/>
  <c r="L774" i="2" s="1"/>
  <c r="K773" i="2"/>
  <c r="J773" i="2"/>
  <c r="I773" i="2"/>
  <c r="L773" i="2" s="1"/>
  <c r="H773" i="2"/>
  <c r="K772" i="2"/>
  <c r="J772" i="2"/>
  <c r="H772" i="2"/>
  <c r="I772" i="2" s="1"/>
  <c r="L772" i="2" s="1"/>
  <c r="K771" i="2"/>
  <c r="J771" i="2"/>
  <c r="I771" i="2"/>
  <c r="L771" i="2" s="1"/>
  <c r="H771" i="2"/>
  <c r="K770" i="2"/>
  <c r="J770" i="2"/>
  <c r="H770" i="2"/>
  <c r="I770" i="2" s="1"/>
  <c r="L770" i="2" s="1"/>
  <c r="K769" i="2"/>
  <c r="J769" i="2"/>
  <c r="H769" i="2"/>
  <c r="I769" i="2" s="1"/>
  <c r="L769" i="2" s="1"/>
  <c r="L768" i="2"/>
  <c r="K768" i="2"/>
  <c r="J768" i="2"/>
  <c r="I768" i="2"/>
  <c r="H768" i="2"/>
  <c r="K767" i="2"/>
  <c r="J767" i="2"/>
  <c r="I767" i="2"/>
  <c r="L767" i="2" s="1"/>
  <c r="H767" i="2"/>
  <c r="L766" i="2"/>
  <c r="K766" i="2"/>
  <c r="J766" i="2"/>
  <c r="I766" i="2"/>
  <c r="H766" i="2"/>
  <c r="K765" i="2"/>
  <c r="J765" i="2"/>
  <c r="H765" i="2"/>
  <c r="I765" i="2" s="1"/>
  <c r="L765" i="2" s="1"/>
  <c r="K764" i="2"/>
  <c r="J764" i="2"/>
  <c r="H764" i="2"/>
  <c r="I764" i="2" s="1"/>
  <c r="L764" i="2" s="1"/>
  <c r="K763" i="2"/>
  <c r="J763" i="2"/>
  <c r="H763" i="2"/>
  <c r="I763" i="2" s="1"/>
  <c r="L763" i="2" s="1"/>
  <c r="K762" i="2"/>
  <c r="J762" i="2"/>
  <c r="H762" i="2"/>
  <c r="I762" i="2" s="1"/>
  <c r="L762" i="2" s="1"/>
  <c r="K761" i="2"/>
  <c r="J761" i="2"/>
  <c r="I761" i="2"/>
  <c r="L761" i="2" s="1"/>
  <c r="H761" i="2"/>
  <c r="K760" i="2"/>
  <c r="J760" i="2"/>
  <c r="H760" i="2"/>
  <c r="I760" i="2" s="1"/>
  <c r="L760" i="2" s="1"/>
  <c r="L759" i="2"/>
  <c r="K759" i="2"/>
  <c r="J759" i="2"/>
  <c r="I759" i="2"/>
  <c r="H759" i="2"/>
  <c r="K758" i="2"/>
  <c r="J758" i="2"/>
  <c r="H758" i="2"/>
  <c r="I758" i="2" s="1"/>
  <c r="L758" i="2" s="1"/>
  <c r="K757" i="2"/>
  <c r="J757" i="2"/>
  <c r="I757" i="2" s="1"/>
  <c r="L757" i="2" s="1"/>
  <c r="H757" i="2"/>
  <c r="K756" i="2"/>
  <c r="J756" i="2"/>
  <c r="H756" i="2"/>
  <c r="I756" i="2" s="1"/>
  <c r="L756" i="2" s="1"/>
  <c r="K755" i="2"/>
  <c r="J755" i="2"/>
  <c r="I755" i="2"/>
  <c r="L755" i="2" s="1"/>
  <c r="H755" i="2"/>
  <c r="L754" i="2"/>
  <c r="K754" i="2"/>
  <c r="J754" i="2"/>
  <c r="H754" i="2"/>
  <c r="I754" i="2" s="1"/>
  <c r="K753" i="2"/>
  <c r="J753" i="2"/>
  <c r="I753" i="2"/>
  <c r="L753" i="2" s="1"/>
  <c r="H753" i="2"/>
  <c r="K752" i="2"/>
  <c r="J752" i="2"/>
  <c r="H752" i="2"/>
  <c r="I752" i="2" s="1"/>
  <c r="L752" i="2" s="1"/>
  <c r="K751" i="2"/>
  <c r="J751" i="2"/>
  <c r="H751" i="2"/>
  <c r="I751" i="2" s="1"/>
  <c r="L751" i="2" s="1"/>
  <c r="K750" i="2"/>
  <c r="J750" i="2"/>
  <c r="H750" i="2"/>
  <c r="I750" i="2" s="1"/>
  <c r="L750" i="2" s="1"/>
  <c r="K749" i="2"/>
  <c r="J749" i="2"/>
  <c r="I749" i="2"/>
  <c r="L749" i="2" s="1"/>
  <c r="H749" i="2"/>
  <c r="K748" i="2"/>
  <c r="J748" i="2"/>
  <c r="H748" i="2"/>
  <c r="I748" i="2" s="1"/>
  <c r="L748" i="2" s="1"/>
  <c r="K747" i="2"/>
  <c r="J747" i="2"/>
  <c r="I747" i="2"/>
  <c r="L747" i="2" s="1"/>
  <c r="H747" i="2"/>
  <c r="L746" i="2"/>
  <c r="K746" i="2"/>
  <c r="J746" i="2"/>
  <c r="I746" i="2"/>
  <c r="H746" i="2"/>
  <c r="K745" i="2"/>
  <c r="J745" i="2"/>
  <c r="H745" i="2"/>
  <c r="I745" i="2" s="1"/>
  <c r="L745" i="2" s="1"/>
  <c r="K744" i="2"/>
  <c r="J744" i="2"/>
  <c r="H744" i="2"/>
  <c r="K743" i="2"/>
  <c r="J743" i="2"/>
  <c r="H743" i="2"/>
  <c r="I743" i="2" s="1"/>
  <c r="L743" i="2" s="1"/>
  <c r="K742" i="2"/>
  <c r="J742" i="2"/>
  <c r="H742" i="2"/>
  <c r="K741" i="2"/>
  <c r="J741" i="2"/>
  <c r="H741" i="2"/>
  <c r="I741" i="2" s="1"/>
  <c r="L741" i="2" s="1"/>
  <c r="K740" i="2"/>
  <c r="J740" i="2"/>
  <c r="H740" i="2"/>
  <c r="I740" i="2" s="1"/>
  <c r="L740" i="2" s="1"/>
  <c r="K739" i="2"/>
  <c r="J739" i="2"/>
  <c r="H739" i="2"/>
  <c r="I739" i="2" s="1"/>
  <c r="L739" i="2" s="1"/>
  <c r="K738" i="2"/>
  <c r="J738" i="2"/>
  <c r="H738" i="2"/>
  <c r="I738" i="2" s="1"/>
  <c r="L738" i="2" s="1"/>
  <c r="K737" i="2"/>
  <c r="J737" i="2"/>
  <c r="I737" i="2"/>
  <c r="L737" i="2" s="1"/>
  <c r="H737" i="2"/>
  <c r="K736" i="2"/>
  <c r="J736" i="2"/>
  <c r="H736" i="2"/>
  <c r="I736" i="2" s="1"/>
  <c r="L736" i="2" s="1"/>
  <c r="K735" i="2"/>
  <c r="J735" i="2"/>
  <c r="I735" i="2"/>
  <c r="L735" i="2" s="1"/>
  <c r="H735" i="2"/>
  <c r="K734" i="2"/>
  <c r="J734" i="2"/>
  <c r="H734" i="2"/>
  <c r="I734" i="2" s="1"/>
  <c r="L734" i="2" s="1"/>
  <c r="K733" i="2"/>
  <c r="J733" i="2"/>
  <c r="H733" i="2"/>
  <c r="I733" i="2" s="1"/>
  <c r="L733" i="2" s="1"/>
  <c r="K732" i="2"/>
  <c r="J732" i="2"/>
  <c r="H732" i="2"/>
  <c r="I732" i="2" s="1"/>
  <c r="L732" i="2" s="1"/>
  <c r="K731" i="2"/>
  <c r="J731" i="2"/>
  <c r="H731" i="2"/>
  <c r="I731" i="2" s="1"/>
  <c r="L731" i="2" s="1"/>
  <c r="K730" i="2"/>
  <c r="J730" i="2"/>
  <c r="H730" i="2"/>
  <c r="I730" i="2" s="1"/>
  <c r="L730" i="2" s="1"/>
  <c r="K729" i="2"/>
  <c r="J729" i="2"/>
  <c r="I729" i="2" s="1"/>
  <c r="L729" i="2" s="1"/>
  <c r="H729" i="2"/>
  <c r="K728" i="2"/>
  <c r="J728" i="2"/>
  <c r="H728" i="2"/>
  <c r="I728" i="2" s="1"/>
  <c r="L728" i="2" s="1"/>
  <c r="K727" i="2"/>
  <c r="J727" i="2"/>
  <c r="H727" i="2"/>
  <c r="I727" i="2" s="1"/>
  <c r="L727" i="2" s="1"/>
  <c r="L726" i="2"/>
  <c r="K726" i="2"/>
  <c r="J726" i="2"/>
  <c r="I726" i="2"/>
  <c r="H726" i="2"/>
  <c r="K725" i="2"/>
  <c r="J725" i="2"/>
  <c r="I725" i="2"/>
  <c r="L725" i="2" s="1"/>
  <c r="H725" i="2"/>
  <c r="K724" i="2"/>
  <c r="J724" i="2"/>
  <c r="H724" i="2"/>
  <c r="I724" i="2" s="1"/>
  <c r="L724" i="2" s="1"/>
  <c r="L723" i="2"/>
  <c r="K723" i="2"/>
  <c r="J723" i="2"/>
  <c r="I723" i="2"/>
  <c r="H723" i="2"/>
  <c r="K722" i="2"/>
  <c r="J722" i="2"/>
  <c r="H722" i="2"/>
  <c r="I722" i="2" s="1"/>
  <c r="L722" i="2" s="1"/>
  <c r="K721" i="2"/>
  <c r="J721" i="2"/>
  <c r="I721" i="2"/>
  <c r="L721" i="2" s="1"/>
  <c r="H721" i="2"/>
  <c r="K720" i="2"/>
  <c r="J720" i="2"/>
  <c r="H720" i="2"/>
  <c r="I720" i="2" s="1"/>
  <c r="L720" i="2" s="1"/>
  <c r="K719" i="2"/>
  <c r="J719" i="2"/>
  <c r="H719" i="2"/>
  <c r="I719" i="2" s="1"/>
  <c r="L719" i="2" s="1"/>
  <c r="L718" i="2"/>
  <c r="K718" i="2"/>
  <c r="J718" i="2"/>
  <c r="H718" i="2"/>
  <c r="I718" i="2" s="1"/>
  <c r="K717" i="2"/>
  <c r="J717" i="2"/>
  <c r="H717" i="2"/>
  <c r="I717" i="2" s="1"/>
  <c r="L717" i="2" s="1"/>
  <c r="K716" i="2"/>
  <c r="J716" i="2"/>
  <c r="H716" i="2"/>
  <c r="I716" i="2" s="1"/>
  <c r="L716" i="2" s="1"/>
  <c r="K715" i="2"/>
  <c r="J715" i="2"/>
  <c r="H715" i="2"/>
  <c r="I715" i="2" s="1"/>
  <c r="L715" i="2" s="1"/>
  <c r="K714" i="2"/>
  <c r="J714" i="2"/>
  <c r="I714" i="2"/>
  <c r="L714" i="2" s="1"/>
  <c r="H714" i="2"/>
  <c r="K713" i="2"/>
  <c r="J713" i="2"/>
  <c r="I713" i="2"/>
  <c r="L713" i="2" s="1"/>
  <c r="H713" i="2"/>
  <c r="K712" i="2"/>
  <c r="J712" i="2"/>
  <c r="H712" i="2"/>
  <c r="I712" i="2" s="1"/>
  <c r="L712" i="2" s="1"/>
  <c r="K711" i="2"/>
  <c r="J711" i="2"/>
  <c r="I711" i="2" s="1"/>
  <c r="L711" i="2" s="1"/>
  <c r="H711" i="2"/>
  <c r="K710" i="2"/>
  <c r="J710" i="2"/>
  <c r="H710" i="2"/>
  <c r="I710" i="2" s="1"/>
  <c r="L710" i="2" s="1"/>
  <c r="K709" i="2"/>
  <c r="J709" i="2"/>
  <c r="H709" i="2"/>
  <c r="I709" i="2" s="1"/>
  <c r="L709" i="2" s="1"/>
  <c r="K708" i="2"/>
  <c r="J708" i="2"/>
  <c r="H708" i="2"/>
  <c r="K707" i="2"/>
  <c r="J707" i="2"/>
  <c r="H707" i="2"/>
  <c r="I707" i="2" s="1"/>
  <c r="L707" i="2" s="1"/>
  <c r="L706" i="2"/>
  <c r="K706" i="2"/>
  <c r="J706" i="2"/>
  <c r="I706" i="2"/>
  <c r="H706" i="2"/>
  <c r="K705" i="2"/>
  <c r="J705" i="2"/>
  <c r="I705" i="2"/>
  <c r="L705" i="2" s="1"/>
  <c r="H705" i="2"/>
  <c r="K704" i="2"/>
  <c r="J704" i="2"/>
  <c r="H704" i="2"/>
  <c r="I704" i="2" s="1"/>
  <c r="L704" i="2" s="1"/>
  <c r="K703" i="2"/>
  <c r="J703" i="2"/>
  <c r="H703" i="2"/>
  <c r="I703" i="2" s="1"/>
  <c r="L703" i="2" s="1"/>
  <c r="K702" i="2"/>
  <c r="J702" i="2"/>
  <c r="H702" i="2"/>
  <c r="I702" i="2" s="1"/>
  <c r="L702" i="2" s="1"/>
  <c r="K701" i="2"/>
  <c r="J701" i="2"/>
  <c r="I701" i="2"/>
  <c r="L701" i="2" s="1"/>
  <c r="H701" i="2"/>
  <c r="K700" i="2"/>
  <c r="J700" i="2"/>
  <c r="H700" i="2"/>
  <c r="I700" i="2" s="1"/>
  <c r="L700" i="2" s="1"/>
  <c r="K699" i="2"/>
  <c r="J699" i="2"/>
  <c r="I699" i="2"/>
  <c r="L699" i="2" s="1"/>
  <c r="H699" i="2"/>
  <c r="K698" i="2"/>
  <c r="J698" i="2"/>
  <c r="I698" i="2"/>
  <c r="L698" i="2" s="1"/>
  <c r="H698" i="2"/>
  <c r="K697" i="2"/>
  <c r="J697" i="2"/>
  <c r="H697" i="2"/>
  <c r="I697" i="2" s="1"/>
  <c r="L697" i="2" s="1"/>
  <c r="K696" i="2"/>
  <c r="J696" i="2"/>
  <c r="H696" i="2"/>
  <c r="K695" i="2"/>
  <c r="J695" i="2"/>
  <c r="H695" i="2"/>
  <c r="I695" i="2" s="1"/>
  <c r="L695" i="2" s="1"/>
  <c r="K694" i="2"/>
  <c r="J694" i="2"/>
  <c r="H694" i="2"/>
  <c r="I694" i="2" s="1"/>
  <c r="L694" i="2" s="1"/>
  <c r="K693" i="2"/>
  <c r="J693" i="2"/>
  <c r="I693" i="2"/>
  <c r="L693" i="2" s="1"/>
  <c r="H693" i="2"/>
  <c r="K692" i="2"/>
  <c r="J692" i="2"/>
  <c r="H692" i="2"/>
  <c r="I692" i="2" s="1"/>
  <c r="L692" i="2" s="1"/>
  <c r="K691" i="2"/>
  <c r="J691" i="2"/>
  <c r="H691" i="2"/>
  <c r="I691" i="2" s="1"/>
  <c r="L691" i="2" s="1"/>
  <c r="K690" i="2"/>
  <c r="J690" i="2"/>
  <c r="I690" i="2" s="1"/>
  <c r="L690" i="2" s="1"/>
  <c r="H690" i="2"/>
  <c r="K689" i="2"/>
  <c r="J689" i="2"/>
  <c r="I689" i="2"/>
  <c r="L689" i="2" s="1"/>
  <c r="H689" i="2"/>
  <c r="K688" i="2"/>
  <c r="J688" i="2"/>
  <c r="H688" i="2"/>
  <c r="I688" i="2" s="1"/>
  <c r="L688" i="2" s="1"/>
  <c r="L687" i="2"/>
  <c r="K687" i="2"/>
  <c r="J687" i="2"/>
  <c r="I687" i="2"/>
  <c r="H687" i="2"/>
  <c r="K686" i="2"/>
  <c r="J686" i="2"/>
  <c r="H686" i="2"/>
  <c r="I686" i="2" s="1"/>
  <c r="L686" i="2" s="1"/>
  <c r="K685" i="2"/>
  <c r="J685" i="2"/>
  <c r="H685" i="2"/>
  <c r="I685" i="2" s="1"/>
  <c r="L685" i="2" s="1"/>
  <c r="K684" i="2"/>
  <c r="J684" i="2"/>
  <c r="H684" i="2"/>
  <c r="I684" i="2" s="1"/>
  <c r="L684" i="2" s="1"/>
  <c r="K683" i="2"/>
  <c r="J683" i="2"/>
  <c r="H683" i="2"/>
  <c r="I683" i="2" s="1"/>
  <c r="L683" i="2" s="1"/>
  <c r="L682" i="2"/>
  <c r="K682" i="2"/>
  <c r="J682" i="2"/>
  <c r="H682" i="2"/>
  <c r="I682" i="2" s="1"/>
  <c r="K681" i="2"/>
  <c r="J681" i="2"/>
  <c r="H681" i="2"/>
  <c r="I681" i="2" s="1"/>
  <c r="L681" i="2" s="1"/>
  <c r="K680" i="2"/>
  <c r="J680" i="2"/>
  <c r="H680" i="2"/>
  <c r="I680" i="2" s="1"/>
  <c r="L680" i="2" s="1"/>
  <c r="K679" i="2"/>
  <c r="J679" i="2"/>
  <c r="I679" i="2"/>
  <c r="L679" i="2" s="1"/>
  <c r="H679" i="2"/>
  <c r="K678" i="2"/>
  <c r="J678" i="2"/>
  <c r="H678" i="2"/>
  <c r="I678" i="2" s="1"/>
  <c r="L678" i="2" s="1"/>
  <c r="L677" i="2"/>
  <c r="K677" i="2"/>
  <c r="J677" i="2"/>
  <c r="I677" i="2"/>
  <c r="H677" i="2"/>
  <c r="K676" i="2"/>
  <c r="J676" i="2"/>
  <c r="H676" i="2"/>
  <c r="I676" i="2" s="1"/>
  <c r="L676" i="2" s="1"/>
  <c r="K675" i="2"/>
  <c r="J675" i="2"/>
  <c r="I675" i="2"/>
  <c r="L675" i="2" s="1"/>
  <c r="H675" i="2"/>
  <c r="K674" i="2"/>
  <c r="J674" i="2"/>
  <c r="H674" i="2"/>
  <c r="I674" i="2" s="1"/>
  <c r="L674" i="2" s="1"/>
  <c r="K673" i="2"/>
  <c r="J673" i="2"/>
  <c r="H673" i="2"/>
  <c r="I673" i="2" s="1"/>
  <c r="L673" i="2" s="1"/>
  <c r="L672" i="2"/>
  <c r="K672" i="2"/>
  <c r="J672" i="2"/>
  <c r="H672" i="2"/>
  <c r="I672" i="2" s="1"/>
  <c r="K671" i="2"/>
  <c r="J671" i="2"/>
  <c r="H671" i="2"/>
  <c r="I671" i="2" s="1"/>
  <c r="L671" i="2" s="1"/>
  <c r="K670" i="2"/>
  <c r="J670" i="2"/>
  <c r="H670" i="2"/>
  <c r="I670" i="2" s="1"/>
  <c r="L670" i="2" s="1"/>
  <c r="K669" i="2"/>
  <c r="J669" i="2"/>
  <c r="H669" i="2"/>
  <c r="I669" i="2" s="1"/>
  <c r="L669" i="2" s="1"/>
  <c r="K668" i="2"/>
  <c r="J668" i="2"/>
  <c r="H668" i="2"/>
  <c r="I668" i="2" s="1"/>
  <c r="L668" i="2" s="1"/>
  <c r="K667" i="2"/>
  <c r="J667" i="2"/>
  <c r="H667" i="2"/>
  <c r="I667" i="2" s="1"/>
  <c r="L667" i="2" s="1"/>
  <c r="K666" i="2"/>
  <c r="J666" i="2"/>
  <c r="H666" i="2"/>
  <c r="I666" i="2" s="1"/>
  <c r="L666" i="2" s="1"/>
  <c r="K665" i="2"/>
  <c r="J665" i="2"/>
  <c r="I665" i="2"/>
  <c r="L665" i="2" s="1"/>
  <c r="H665" i="2"/>
  <c r="K664" i="2"/>
  <c r="J664" i="2"/>
  <c r="H664" i="2"/>
  <c r="I664" i="2" s="1"/>
  <c r="L664" i="2" s="1"/>
  <c r="K663" i="2"/>
  <c r="J663" i="2"/>
  <c r="I663" i="2"/>
  <c r="L663" i="2" s="1"/>
  <c r="H663" i="2"/>
  <c r="K662" i="2"/>
  <c r="J662" i="2"/>
  <c r="I662" i="2"/>
  <c r="L662" i="2" s="1"/>
  <c r="H662" i="2"/>
  <c r="K661" i="2"/>
  <c r="J661" i="2"/>
  <c r="H661" i="2"/>
  <c r="I661" i="2" s="1"/>
  <c r="L661" i="2" s="1"/>
  <c r="K660" i="2"/>
  <c r="J660" i="2"/>
  <c r="H660" i="2"/>
  <c r="K659" i="2"/>
  <c r="J659" i="2"/>
  <c r="H659" i="2"/>
  <c r="I659" i="2" s="1"/>
  <c r="L659" i="2" s="1"/>
  <c r="K658" i="2"/>
  <c r="J658" i="2"/>
  <c r="H658" i="2"/>
  <c r="I658" i="2" s="1"/>
  <c r="L658" i="2" s="1"/>
  <c r="K657" i="2"/>
  <c r="J657" i="2"/>
  <c r="H657" i="2"/>
  <c r="I657" i="2" s="1"/>
  <c r="L657" i="2" s="1"/>
  <c r="K656" i="2"/>
  <c r="J656" i="2"/>
  <c r="H656" i="2"/>
  <c r="I656" i="2" s="1"/>
  <c r="L656" i="2" s="1"/>
  <c r="K655" i="2"/>
  <c r="J655" i="2"/>
  <c r="H655" i="2"/>
  <c r="I655" i="2" s="1"/>
  <c r="L655" i="2" s="1"/>
  <c r="K654" i="2"/>
  <c r="J654" i="2"/>
  <c r="I654" i="2"/>
  <c r="L654" i="2" s="1"/>
  <c r="H654" i="2"/>
  <c r="K653" i="2"/>
  <c r="J653" i="2"/>
  <c r="I653" i="2"/>
  <c r="L653" i="2" s="1"/>
  <c r="H653" i="2"/>
  <c r="K652" i="2"/>
  <c r="J652" i="2"/>
  <c r="H652" i="2"/>
  <c r="I652" i="2" s="1"/>
  <c r="L652" i="2" s="1"/>
  <c r="L651" i="2"/>
  <c r="K651" i="2"/>
  <c r="J651" i="2"/>
  <c r="I651" i="2"/>
  <c r="H651" i="2"/>
  <c r="K650" i="2"/>
  <c r="J650" i="2"/>
  <c r="I650" i="2"/>
  <c r="L650" i="2" s="1"/>
  <c r="H650" i="2"/>
  <c r="K649" i="2"/>
  <c r="J649" i="2"/>
  <c r="H649" i="2"/>
  <c r="I649" i="2" s="1"/>
  <c r="L649" i="2" s="1"/>
  <c r="K648" i="2"/>
  <c r="J648" i="2"/>
  <c r="H648" i="2"/>
  <c r="I648" i="2" s="1"/>
  <c r="L648" i="2" s="1"/>
  <c r="K647" i="2"/>
  <c r="J647" i="2"/>
  <c r="H647" i="2"/>
  <c r="I647" i="2" s="1"/>
  <c r="L647" i="2" s="1"/>
  <c r="L646" i="2"/>
  <c r="K646" i="2"/>
  <c r="J646" i="2"/>
  <c r="H646" i="2"/>
  <c r="I646" i="2" s="1"/>
  <c r="K645" i="2"/>
  <c r="J645" i="2"/>
  <c r="H645" i="2"/>
  <c r="I645" i="2" s="1"/>
  <c r="L645" i="2" s="1"/>
  <c r="K644" i="2"/>
  <c r="J644" i="2"/>
  <c r="H644" i="2"/>
  <c r="I644" i="2" s="1"/>
  <c r="L644" i="2" s="1"/>
  <c r="K643" i="2"/>
  <c r="J643" i="2"/>
  <c r="H643" i="2"/>
  <c r="I643" i="2" s="1"/>
  <c r="L643" i="2" s="1"/>
  <c r="K642" i="2"/>
  <c r="J642" i="2"/>
  <c r="I642" i="2" s="1"/>
  <c r="L642" i="2" s="1"/>
  <c r="H642" i="2"/>
  <c r="L641" i="2"/>
  <c r="K641" i="2"/>
  <c r="J641" i="2"/>
  <c r="I641" i="2"/>
  <c r="H641" i="2"/>
  <c r="K640" i="2"/>
  <c r="J640" i="2"/>
  <c r="H640" i="2"/>
  <c r="I640" i="2" s="1"/>
  <c r="L640" i="2" s="1"/>
  <c r="K639" i="2"/>
  <c r="J639" i="2"/>
  <c r="I639" i="2" s="1"/>
  <c r="L639" i="2" s="1"/>
  <c r="H639" i="2"/>
  <c r="K638" i="2"/>
  <c r="J638" i="2"/>
  <c r="H638" i="2"/>
  <c r="I638" i="2" s="1"/>
  <c r="L638" i="2" s="1"/>
  <c r="K637" i="2"/>
  <c r="J637" i="2"/>
  <c r="H637" i="2"/>
  <c r="I637" i="2" s="1"/>
  <c r="L637" i="2" s="1"/>
  <c r="L636" i="2"/>
  <c r="K636" i="2"/>
  <c r="J636" i="2"/>
  <c r="H636" i="2"/>
  <c r="I636" i="2" s="1"/>
  <c r="K635" i="2"/>
  <c r="J635" i="2"/>
  <c r="H635" i="2"/>
  <c r="I635" i="2" s="1"/>
  <c r="L635" i="2" s="1"/>
  <c r="K634" i="2"/>
  <c r="J634" i="2"/>
  <c r="H634" i="2"/>
  <c r="I634" i="2" s="1"/>
  <c r="L634" i="2" s="1"/>
  <c r="K633" i="2"/>
  <c r="J633" i="2"/>
  <c r="H633" i="2"/>
  <c r="I633" i="2" s="1"/>
  <c r="L633" i="2" s="1"/>
  <c r="K632" i="2"/>
  <c r="J632" i="2"/>
  <c r="H632" i="2"/>
  <c r="I632" i="2" s="1"/>
  <c r="L632" i="2" s="1"/>
  <c r="K631" i="2"/>
  <c r="J631" i="2"/>
  <c r="H631" i="2"/>
  <c r="I631" i="2" s="1"/>
  <c r="L631" i="2" s="1"/>
  <c r="K630" i="2"/>
  <c r="J630" i="2"/>
  <c r="H630" i="2"/>
  <c r="I630" i="2" s="1"/>
  <c r="L630" i="2" s="1"/>
  <c r="K629" i="2"/>
  <c r="J629" i="2"/>
  <c r="I629" i="2"/>
  <c r="L629" i="2" s="1"/>
  <c r="H629" i="2"/>
  <c r="L628" i="2"/>
  <c r="K628" i="2"/>
  <c r="J628" i="2"/>
  <c r="I628" i="2"/>
  <c r="H628" i="2"/>
  <c r="K627" i="2"/>
  <c r="J627" i="2"/>
  <c r="I627" i="2"/>
  <c r="L627" i="2" s="1"/>
  <c r="H627" i="2"/>
  <c r="K626" i="2"/>
  <c r="J626" i="2"/>
  <c r="I626" i="2"/>
  <c r="L626" i="2" s="1"/>
  <c r="H626" i="2"/>
  <c r="K625" i="2"/>
  <c r="J625" i="2"/>
  <c r="H625" i="2"/>
  <c r="I625" i="2" s="1"/>
  <c r="L625" i="2" s="1"/>
  <c r="K624" i="2"/>
  <c r="J624" i="2"/>
  <c r="H624" i="2"/>
  <c r="I624" i="2" s="1"/>
  <c r="L624" i="2" s="1"/>
  <c r="K623" i="2"/>
  <c r="J623" i="2"/>
  <c r="H623" i="2"/>
  <c r="I623" i="2" s="1"/>
  <c r="L623" i="2" s="1"/>
  <c r="L622" i="2"/>
  <c r="K622" i="2"/>
  <c r="J622" i="2"/>
  <c r="I622" i="2"/>
  <c r="H622" i="2"/>
  <c r="K621" i="2"/>
  <c r="J621" i="2"/>
  <c r="I621" i="2"/>
  <c r="L621" i="2" s="1"/>
  <c r="H621" i="2"/>
  <c r="K620" i="2"/>
  <c r="J620" i="2"/>
  <c r="I620" i="2"/>
  <c r="L620" i="2" s="1"/>
  <c r="H620" i="2"/>
  <c r="K619" i="2"/>
  <c r="J619" i="2"/>
  <c r="H619" i="2"/>
  <c r="I619" i="2" s="1"/>
  <c r="L619" i="2" s="1"/>
  <c r="K618" i="2"/>
  <c r="J618" i="2"/>
  <c r="H618" i="2"/>
  <c r="K617" i="2"/>
  <c r="J617" i="2"/>
  <c r="I617" i="2"/>
  <c r="L617" i="2" s="1"/>
  <c r="H617" i="2"/>
  <c r="K616" i="2"/>
  <c r="J616" i="2"/>
  <c r="H616" i="2"/>
  <c r="I616" i="2" s="1"/>
  <c r="L616" i="2" s="1"/>
  <c r="K615" i="2"/>
  <c r="J615" i="2"/>
  <c r="I615" i="2"/>
  <c r="L615" i="2" s="1"/>
  <c r="H615" i="2"/>
  <c r="K614" i="2"/>
  <c r="J614" i="2"/>
  <c r="H614" i="2"/>
  <c r="I614" i="2" s="1"/>
  <c r="L614" i="2" s="1"/>
  <c r="K613" i="2"/>
  <c r="J613" i="2"/>
  <c r="H613" i="2"/>
  <c r="I613" i="2" s="1"/>
  <c r="L613" i="2" s="1"/>
  <c r="K612" i="2"/>
  <c r="J612" i="2"/>
  <c r="H612" i="2"/>
  <c r="I612" i="2" s="1"/>
  <c r="L612" i="2" s="1"/>
  <c r="K611" i="2"/>
  <c r="J611" i="2"/>
  <c r="H611" i="2"/>
  <c r="I611" i="2" s="1"/>
  <c r="L611" i="2" s="1"/>
  <c r="K610" i="2"/>
  <c r="J610" i="2"/>
  <c r="H610" i="2"/>
  <c r="I610" i="2" s="1"/>
  <c r="L610" i="2" s="1"/>
  <c r="K609" i="2"/>
  <c r="J609" i="2"/>
  <c r="I609" i="2"/>
  <c r="L609" i="2" s="1"/>
  <c r="H609" i="2"/>
  <c r="K608" i="2"/>
  <c r="J608" i="2"/>
  <c r="I608" i="2"/>
  <c r="L608" i="2" s="1"/>
  <c r="H608" i="2"/>
  <c r="K607" i="2"/>
  <c r="J607" i="2"/>
  <c r="H607" i="2"/>
  <c r="I607" i="2" s="1"/>
  <c r="L607" i="2" s="1"/>
  <c r="K606" i="2"/>
  <c r="J606" i="2"/>
  <c r="I606" i="2"/>
  <c r="L606" i="2" s="1"/>
  <c r="H606" i="2"/>
  <c r="L605" i="2"/>
  <c r="K605" i="2"/>
  <c r="J605" i="2"/>
  <c r="I605" i="2"/>
  <c r="H605" i="2"/>
  <c r="K604" i="2"/>
  <c r="J604" i="2"/>
  <c r="H604" i="2"/>
  <c r="I604" i="2" s="1"/>
  <c r="L604" i="2" s="1"/>
  <c r="K603" i="2"/>
  <c r="J603" i="2"/>
  <c r="I603" i="2" s="1"/>
  <c r="L603" i="2" s="1"/>
  <c r="H603" i="2"/>
  <c r="K602" i="2"/>
  <c r="J602" i="2"/>
  <c r="H602" i="2"/>
  <c r="I602" i="2" s="1"/>
  <c r="L602" i="2" s="1"/>
  <c r="K601" i="2"/>
  <c r="J601" i="2"/>
  <c r="H601" i="2"/>
  <c r="I601" i="2" s="1"/>
  <c r="L601" i="2" s="1"/>
  <c r="L600" i="2"/>
  <c r="K600" i="2"/>
  <c r="J600" i="2"/>
  <c r="H600" i="2"/>
  <c r="I600" i="2" s="1"/>
  <c r="K599" i="2"/>
  <c r="J599" i="2"/>
  <c r="H599" i="2"/>
  <c r="I599" i="2" s="1"/>
  <c r="L599" i="2" s="1"/>
  <c r="K598" i="2"/>
  <c r="J598" i="2"/>
  <c r="H598" i="2"/>
  <c r="I598" i="2" s="1"/>
  <c r="L598" i="2" s="1"/>
  <c r="K597" i="2"/>
  <c r="J597" i="2"/>
  <c r="H597" i="2"/>
  <c r="I597" i="2" s="1"/>
  <c r="L597" i="2" s="1"/>
  <c r="K596" i="2"/>
  <c r="J596" i="2"/>
  <c r="H596" i="2"/>
  <c r="I596" i="2" s="1"/>
  <c r="L596" i="2" s="1"/>
  <c r="K595" i="2"/>
  <c r="J595" i="2"/>
  <c r="I595" i="2"/>
  <c r="L595" i="2" s="1"/>
  <c r="H595" i="2"/>
  <c r="K594" i="2"/>
  <c r="J594" i="2"/>
  <c r="H594" i="2"/>
  <c r="I594" i="2" s="1"/>
  <c r="L594" i="2" s="1"/>
  <c r="K593" i="2"/>
  <c r="J593" i="2"/>
  <c r="I593" i="2"/>
  <c r="L593" i="2" s="1"/>
  <c r="H593" i="2"/>
  <c r="K592" i="2"/>
  <c r="J592" i="2"/>
  <c r="H592" i="2"/>
  <c r="I592" i="2" s="1"/>
  <c r="L592" i="2" s="1"/>
  <c r="K591" i="2"/>
  <c r="J591" i="2"/>
  <c r="I591" i="2" s="1"/>
  <c r="L591" i="2" s="1"/>
  <c r="H591" i="2"/>
  <c r="K590" i="2"/>
  <c r="J590" i="2"/>
  <c r="H590" i="2"/>
  <c r="I590" i="2" s="1"/>
  <c r="L590" i="2" s="1"/>
  <c r="K589" i="2"/>
  <c r="J589" i="2"/>
  <c r="H589" i="2"/>
  <c r="I589" i="2" s="1"/>
  <c r="L589" i="2" s="1"/>
  <c r="K588" i="2"/>
  <c r="J588" i="2"/>
  <c r="H588" i="2"/>
  <c r="K587" i="2"/>
  <c r="J587" i="2"/>
  <c r="H587" i="2"/>
  <c r="I587" i="2" s="1"/>
  <c r="L587" i="2" s="1"/>
  <c r="K586" i="2"/>
  <c r="J586" i="2"/>
  <c r="H586" i="2"/>
  <c r="I586" i="2" s="1"/>
  <c r="L586" i="2" s="1"/>
  <c r="K585" i="2"/>
  <c r="J585" i="2"/>
  <c r="H585" i="2"/>
  <c r="I585" i="2" s="1"/>
  <c r="L585" i="2" s="1"/>
  <c r="K584" i="2"/>
  <c r="J584" i="2"/>
  <c r="H584" i="2"/>
  <c r="I584" i="2" s="1"/>
  <c r="L584" i="2" s="1"/>
  <c r="K583" i="2"/>
  <c r="J583" i="2"/>
  <c r="H583" i="2"/>
  <c r="I583" i="2" s="1"/>
  <c r="L583" i="2" s="1"/>
  <c r="L582" i="2"/>
  <c r="K582" i="2"/>
  <c r="J582" i="2"/>
  <c r="I582" i="2"/>
  <c r="H582" i="2"/>
  <c r="K581" i="2"/>
  <c r="J581" i="2"/>
  <c r="I581" i="2"/>
  <c r="L581" i="2" s="1"/>
  <c r="H581" i="2"/>
  <c r="K580" i="2"/>
  <c r="J580" i="2"/>
  <c r="H580" i="2"/>
  <c r="I580" i="2" s="1"/>
  <c r="L580" i="2" s="1"/>
  <c r="K579" i="2"/>
  <c r="J579" i="2"/>
  <c r="I579" i="2"/>
  <c r="L579" i="2" s="1"/>
  <c r="H579" i="2"/>
  <c r="K578" i="2"/>
  <c r="J578" i="2"/>
  <c r="H578" i="2"/>
  <c r="I578" i="2" s="1"/>
  <c r="L578" i="2" s="1"/>
  <c r="K577" i="2"/>
  <c r="J577" i="2"/>
  <c r="H577" i="2"/>
  <c r="I577" i="2" s="1"/>
  <c r="L577" i="2" s="1"/>
  <c r="K576" i="2"/>
  <c r="J576" i="2"/>
  <c r="H576" i="2"/>
  <c r="I576" i="2" s="1"/>
  <c r="L576" i="2" s="1"/>
  <c r="K575" i="2"/>
  <c r="J575" i="2"/>
  <c r="H575" i="2"/>
  <c r="I575" i="2" s="1"/>
  <c r="L575" i="2" s="1"/>
  <c r="K574" i="2"/>
  <c r="J574" i="2"/>
  <c r="H574" i="2"/>
  <c r="I574" i="2" s="1"/>
  <c r="L574" i="2" s="1"/>
  <c r="K573" i="2"/>
  <c r="J573" i="2"/>
  <c r="I573" i="2"/>
  <c r="L573" i="2" s="1"/>
  <c r="H573" i="2"/>
  <c r="K572" i="2"/>
  <c r="J572" i="2"/>
  <c r="I572" i="2"/>
  <c r="L572" i="2" s="1"/>
  <c r="H572" i="2"/>
  <c r="K571" i="2"/>
  <c r="J571" i="2"/>
  <c r="H571" i="2"/>
  <c r="I571" i="2" s="1"/>
  <c r="L571" i="2" s="1"/>
  <c r="K570" i="2"/>
  <c r="J570" i="2"/>
  <c r="H570" i="2"/>
  <c r="I570" i="2" s="1"/>
  <c r="L570" i="2" s="1"/>
  <c r="L569" i="2"/>
  <c r="K569" i="2"/>
  <c r="J569" i="2"/>
  <c r="I569" i="2"/>
  <c r="H569" i="2"/>
  <c r="K568" i="2"/>
  <c r="J568" i="2"/>
  <c r="H568" i="2"/>
  <c r="I568" i="2" s="1"/>
  <c r="L568" i="2" s="1"/>
  <c r="L567" i="2"/>
  <c r="K567" i="2"/>
  <c r="J567" i="2"/>
  <c r="I567" i="2"/>
  <c r="H567" i="2"/>
  <c r="K566" i="2"/>
  <c r="J566" i="2"/>
  <c r="H566" i="2"/>
  <c r="I566" i="2" s="1"/>
  <c r="L566" i="2" s="1"/>
  <c r="K565" i="2"/>
  <c r="J565" i="2"/>
  <c r="H565" i="2"/>
  <c r="I565" i="2" s="1"/>
  <c r="L565" i="2" s="1"/>
  <c r="L564" i="2"/>
  <c r="K564" i="2"/>
  <c r="J564" i="2"/>
  <c r="H564" i="2"/>
  <c r="I564" i="2" s="1"/>
  <c r="K563" i="2"/>
  <c r="J563" i="2"/>
  <c r="H563" i="2"/>
  <c r="I563" i="2" s="1"/>
  <c r="L563" i="2" s="1"/>
  <c r="K562" i="2"/>
  <c r="J562" i="2"/>
  <c r="H562" i="2"/>
  <c r="I562" i="2" s="1"/>
  <c r="L562" i="2" s="1"/>
  <c r="K561" i="2"/>
  <c r="J561" i="2"/>
  <c r="H561" i="2"/>
  <c r="I561" i="2" s="1"/>
  <c r="L561" i="2" s="1"/>
  <c r="K560" i="2"/>
  <c r="J560" i="2"/>
  <c r="H560" i="2"/>
  <c r="I560" i="2" s="1"/>
  <c r="L560" i="2" s="1"/>
  <c r="K559" i="2"/>
  <c r="J559" i="2"/>
  <c r="I559" i="2"/>
  <c r="L559" i="2" s="1"/>
  <c r="H559" i="2"/>
  <c r="K558" i="2"/>
  <c r="J558" i="2"/>
  <c r="I558" i="2"/>
  <c r="L558" i="2" s="1"/>
  <c r="H558" i="2"/>
  <c r="K557" i="2"/>
  <c r="J557" i="2"/>
  <c r="I557" i="2"/>
  <c r="L557" i="2" s="1"/>
  <c r="H557" i="2"/>
  <c r="K556" i="2"/>
  <c r="J556" i="2"/>
  <c r="H556" i="2"/>
  <c r="I556" i="2" s="1"/>
  <c r="L556" i="2" s="1"/>
  <c r="K555" i="2"/>
  <c r="J555" i="2"/>
  <c r="I555" i="2" s="1"/>
  <c r="L555" i="2" s="1"/>
  <c r="H555" i="2"/>
  <c r="K554" i="2"/>
  <c r="J554" i="2"/>
  <c r="H554" i="2"/>
  <c r="I554" i="2" s="1"/>
  <c r="L554" i="2" s="1"/>
  <c r="K553" i="2"/>
  <c r="J553" i="2"/>
  <c r="H553" i="2"/>
  <c r="I553" i="2" s="1"/>
  <c r="L553" i="2" s="1"/>
  <c r="K552" i="2"/>
  <c r="J552" i="2"/>
  <c r="H552" i="2"/>
  <c r="K551" i="2"/>
  <c r="J551" i="2"/>
  <c r="H551" i="2"/>
  <c r="I551" i="2" s="1"/>
  <c r="L551" i="2" s="1"/>
  <c r="L550" i="2"/>
  <c r="K550" i="2"/>
  <c r="J550" i="2"/>
  <c r="I550" i="2"/>
  <c r="H550" i="2"/>
  <c r="K549" i="2"/>
  <c r="J549" i="2"/>
  <c r="I549" i="2" s="1"/>
  <c r="L549" i="2" s="1"/>
  <c r="H549" i="2"/>
  <c r="K548" i="2"/>
  <c r="J548" i="2"/>
  <c r="I548" i="2"/>
  <c r="L548" i="2" s="1"/>
  <c r="H548" i="2"/>
  <c r="K547" i="2"/>
  <c r="J547" i="2"/>
  <c r="H547" i="2"/>
  <c r="I547" i="2" s="1"/>
  <c r="L547" i="2" s="1"/>
  <c r="L546" i="2"/>
  <c r="K546" i="2"/>
  <c r="J546" i="2"/>
  <c r="H546" i="2"/>
  <c r="I546" i="2" s="1"/>
  <c r="K545" i="2"/>
  <c r="J545" i="2"/>
  <c r="I545" i="2"/>
  <c r="L545" i="2" s="1"/>
  <c r="H545" i="2"/>
  <c r="K544" i="2"/>
  <c r="J544" i="2"/>
  <c r="I544" i="2"/>
  <c r="L544" i="2" s="1"/>
  <c r="H544" i="2"/>
  <c r="K543" i="2"/>
  <c r="J543" i="2"/>
  <c r="I543" i="2"/>
  <c r="L543" i="2" s="1"/>
  <c r="H543" i="2"/>
  <c r="K542" i="2"/>
  <c r="J542" i="2"/>
  <c r="H542" i="2"/>
  <c r="I542" i="2" s="1"/>
  <c r="L542" i="2" s="1"/>
  <c r="K541" i="2"/>
  <c r="J541" i="2"/>
  <c r="H541" i="2"/>
  <c r="I541" i="2" s="1"/>
  <c r="L541" i="2" s="1"/>
  <c r="L540" i="2"/>
  <c r="K540" i="2"/>
  <c r="J540" i="2"/>
  <c r="I540" i="2"/>
  <c r="H540" i="2"/>
  <c r="K539" i="2"/>
  <c r="J539" i="2"/>
  <c r="H539" i="2"/>
  <c r="I539" i="2" s="1"/>
  <c r="L539" i="2" s="1"/>
  <c r="K538" i="2"/>
  <c r="J538" i="2"/>
  <c r="H538" i="2"/>
  <c r="I538" i="2" s="1"/>
  <c r="L538" i="2" s="1"/>
  <c r="K537" i="2"/>
  <c r="J537" i="2"/>
  <c r="H537" i="2"/>
  <c r="I537" i="2" s="1"/>
  <c r="L537" i="2" s="1"/>
  <c r="K536" i="2"/>
  <c r="J536" i="2"/>
  <c r="H536" i="2"/>
  <c r="I536" i="2" s="1"/>
  <c r="L536" i="2" s="1"/>
  <c r="K535" i="2"/>
  <c r="J535" i="2"/>
  <c r="H535" i="2"/>
  <c r="I535" i="2" s="1"/>
  <c r="L535" i="2" s="1"/>
  <c r="L534" i="2"/>
  <c r="K534" i="2"/>
  <c r="J534" i="2"/>
  <c r="I534" i="2"/>
  <c r="H534" i="2"/>
  <c r="K533" i="2"/>
  <c r="J533" i="2"/>
  <c r="I533" i="2"/>
  <c r="L533" i="2" s="1"/>
  <c r="H533" i="2"/>
  <c r="K532" i="2"/>
  <c r="J532" i="2"/>
  <c r="I532" i="2"/>
  <c r="L532" i="2" s="1"/>
  <c r="H532" i="2"/>
  <c r="L531" i="2"/>
  <c r="K531" i="2"/>
  <c r="J531" i="2"/>
  <c r="I531" i="2"/>
  <c r="H531" i="2"/>
  <c r="K530" i="2"/>
  <c r="J530" i="2"/>
  <c r="H530" i="2"/>
  <c r="I530" i="2" s="1"/>
  <c r="L530" i="2" s="1"/>
  <c r="K529" i="2"/>
  <c r="J529" i="2"/>
  <c r="I529" i="2" s="1"/>
  <c r="L529" i="2" s="1"/>
  <c r="H529" i="2"/>
  <c r="L528" i="2"/>
  <c r="K528" i="2"/>
  <c r="J528" i="2"/>
  <c r="I528" i="2"/>
  <c r="H528" i="2"/>
  <c r="K527" i="2"/>
  <c r="J527" i="2"/>
  <c r="H527" i="2"/>
  <c r="I527" i="2" s="1"/>
  <c r="L527" i="2" s="1"/>
  <c r="L526" i="2"/>
  <c r="K526" i="2"/>
  <c r="J526" i="2"/>
  <c r="H526" i="2"/>
  <c r="I526" i="2" s="1"/>
  <c r="K525" i="2"/>
  <c r="J525" i="2"/>
  <c r="H525" i="2"/>
  <c r="I525" i="2" s="1"/>
  <c r="L525" i="2" s="1"/>
  <c r="K524" i="2"/>
  <c r="J524" i="2"/>
  <c r="I524" i="2"/>
  <c r="L524" i="2" s="1"/>
  <c r="H524" i="2"/>
  <c r="K523" i="2"/>
  <c r="J523" i="2"/>
  <c r="I523" i="2"/>
  <c r="L523" i="2" s="1"/>
  <c r="H523" i="2"/>
  <c r="K522" i="2"/>
  <c r="J522" i="2"/>
  <c r="H522" i="2"/>
  <c r="I522" i="2" s="1"/>
  <c r="L522" i="2" s="1"/>
  <c r="L521" i="2"/>
  <c r="K521" i="2"/>
  <c r="J521" i="2"/>
  <c r="I521" i="2"/>
  <c r="H521" i="2"/>
  <c r="K520" i="2"/>
  <c r="J520" i="2"/>
  <c r="H520" i="2"/>
  <c r="I520" i="2" s="1"/>
  <c r="L520" i="2" s="1"/>
  <c r="K519" i="2"/>
  <c r="J519" i="2"/>
  <c r="I519" i="2"/>
  <c r="L519" i="2" s="1"/>
  <c r="H519" i="2"/>
  <c r="K518" i="2"/>
  <c r="J518" i="2"/>
  <c r="H518" i="2"/>
  <c r="I518" i="2" s="1"/>
  <c r="L518" i="2" s="1"/>
  <c r="K517" i="2"/>
  <c r="J517" i="2"/>
  <c r="H517" i="2"/>
  <c r="I517" i="2" s="1"/>
  <c r="L517" i="2" s="1"/>
  <c r="L516" i="2"/>
  <c r="K516" i="2"/>
  <c r="J516" i="2"/>
  <c r="H516" i="2"/>
  <c r="I516" i="2" s="1"/>
  <c r="K515" i="2"/>
  <c r="J515" i="2"/>
  <c r="H515" i="2"/>
  <c r="I515" i="2" s="1"/>
  <c r="L515" i="2" s="1"/>
  <c r="L514" i="2"/>
  <c r="K514" i="2"/>
  <c r="J514" i="2"/>
  <c r="H514" i="2"/>
  <c r="I514" i="2" s="1"/>
  <c r="K513" i="2"/>
  <c r="J513" i="2"/>
  <c r="H513" i="2"/>
  <c r="I513" i="2" s="1"/>
  <c r="L513" i="2" s="1"/>
  <c r="K512" i="2"/>
  <c r="J512" i="2"/>
  <c r="H512" i="2"/>
  <c r="I512" i="2" s="1"/>
  <c r="L512" i="2" s="1"/>
  <c r="K511" i="2"/>
  <c r="J511" i="2"/>
  <c r="I511" i="2"/>
  <c r="L511" i="2" s="1"/>
  <c r="H511" i="2"/>
  <c r="K510" i="2"/>
  <c r="J510" i="2"/>
  <c r="H510" i="2"/>
  <c r="I510" i="2" s="1"/>
  <c r="L510" i="2" s="1"/>
  <c r="K509" i="2"/>
  <c r="J509" i="2"/>
  <c r="I509" i="2"/>
  <c r="L509" i="2" s="1"/>
  <c r="H509" i="2"/>
  <c r="L508" i="2"/>
  <c r="K508" i="2"/>
  <c r="J508" i="2"/>
  <c r="H508" i="2"/>
  <c r="I508" i="2" s="1"/>
  <c r="K507" i="2"/>
  <c r="J507" i="2"/>
  <c r="I507" i="2"/>
  <c r="L507" i="2" s="1"/>
  <c r="H507" i="2"/>
  <c r="K506" i="2"/>
  <c r="J506" i="2"/>
  <c r="I506" i="2"/>
  <c r="L506" i="2" s="1"/>
  <c r="H506" i="2"/>
  <c r="K505" i="2"/>
  <c r="J505" i="2"/>
  <c r="H505" i="2"/>
  <c r="I505" i="2" s="1"/>
  <c r="L505" i="2" s="1"/>
  <c r="K504" i="2"/>
  <c r="J504" i="2"/>
  <c r="H504" i="2"/>
  <c r="I504" i="2" s="1"/>
  <c r="L504" i="2" s="1"/>
  <c r="K503" i="2"/>
  <c r="J503" i="2"/>
  <c r="H503" i="2"/>
  <c r="I503" i="2" s="1"/>
  <c r="L503" i="2" s="1"/>
  <c r="K502" i="2"/>
  <c r="J502" i="2"/>
  <c r="H502" i="2"/>
  <c r="I502" i="2" s="1"/>
  <c r="L502" i="2" s="1"/>
  <c r="K501" i="2"/>
  <c r="J501" i="2"/>
  <c r="H501" i="2"/>
  <c r="I501" i="2" s="1"/>
  <c r="L501" i="2" s="1"/>
  <c r="K500" i="2"/>
  <c r="J500" i="2"/>
  <c r="H500" i="2"/>
  <c r="I500" i="2" s="1"/>
  <c r="L500" i="2" s="1"/>
  <c r="K499" i="2"/>
  <c r="J499" i="2"/>
  <c r="H499" i="2"/>
  <c r="I499" i="2" s="1"/>
  <c r="L499" i="2" s="1"/>
  <c r="K498" i="2"/>
  <c r="J498" i="2"/>
  <c r="I498" i="2"/>
  <c r="L498" i="2" s="1"/>
  <c r="H498" i="2"/>
  <c r="K497" i="2"/>
  <c r="J497" i="2"/>
  <c r="I497" i="2"/>
  <c r="L497" i="2" s="1"/>
  <c r="H497" i="2"/>
  <c r="K496" i="2"/>
  <c r="J496" i="2"/>
  <c r="I496" i="2" s="1"/>
  <c r="L496" i="2" s="1"/>
  <c r="H496" i="2"/>
  <c r="L495" i="2"/>
  <c r="K495" i="2"/>
  <c r="J495" i="2"/>
  <c r="I495" i="2"/>
  <c r="H495" i="2"/>
  <c r="K494" i="2"/>
  <c r="J494" i="2"/>
  <c r="H494" i="2"/>
  <c r="I494" i="2" s="1"/>
  <c r="L494" i="2" s="1"/>
  <c r="L493" i="2"/>
  <c r="K493" i="2"/>
  <c r="J493" i="2"/>
  <c r="H493" i="2"/>
  <c r="I493" i="2" s="1"/>
  <c r="K492" i="2"/>
  <c r="J492" i="2"/>
  <c r="H492" i="2"/>
  <c r="I492" i="2" s="1"/>
  <c r="L492" i="2" s="1"/>
  <c r="K491" i="2"/>
  <c r="J491" i="2"/>
  <c r="H491" i="2"/>
  <c r="I491" i="2" s="1"/>
  <c r="L491" i="2" s="1"/>
  <c r="L490" i="2"/>
  <c r="K490" i="2"/>
  <c r="J490" i="2"/>
  <c r="H490" i="2"/>
  <c r="I490" i="2" s="1"/>
  <c r="K489" i="2"/>
  <c r="J489" i="2"/>
  <c r="H489" i="2"/>
  <c r="I489" i="2" s="1"/>
  <c r="L489" i="2" s="1"/>
  <c r="K488" i="2"/>
  <c r="J488" i="2"/>
  <c r="H488" i="2"/>
  <c r="I488" i="2" s="1"/>
  <c r="L488" i="2" s="1"/>
  <c r="K487" i="2"/>
  <c r="J487" i="2"/>
  <c r="I487" i="2"/>
  <c r="L487" i="2" s="1"/>
  <c r="H487" i="2"/>
  <c r="K486" i="2"/>
  <c r="J486" i="2"/>
  <c r="I486" i="2"/>
  <c r="L486" i="2" s="1"/>
  <c r="H486" i="2"/>
  <c r="L485" i="2"/>
  <c r="K485" i="2"/>
  <c r="J485" i="2"/>
  <c r="I485" i="2"/>
  <c r="H485" i="2"/>
  <c r="K484" i="2"/>
  <c r="J484" i="2"/>
  <c r="H484" i="2"/>
  <c r="I484" i="2" s="1"/>
  <c r="L484" i="2" s="1"/>
  <c r="K483" i="2"/>
  <c r="J483" i="2"/>
  <c r="I483" i="2"/>
  <c r="L483" i="2" s="1"/>
  <c r="H483" i="2"/>
  <c r="K482" i="2"/>
  <c r="J482" i="2"/>
  <c r="H482" i="2"/>
  <c r="I482" i="2" s="1"/>
  <c r="L482" i="2" s="1"/>
  <c r="K481" i="2"/>
  <c r="J481" i="2"/>
  <c r="H481" i="2"/>
  <c r="I481" i="2" s="1"/>
  <c r="L481" i="2" s="1"/>
  <c r="L480" i="2"/>
  <c r="K480" i="2"/>
  <c r="J480" i="2"/>
  <c r="H480" i="2"/>
  <c r="I480" i="2" s="1"/>
  <c r="K479" i="2"/>
  <c r="J479" i="2"/>
  <c r="H479" i="2"/>
  <c r="I479" i="2" s="1"/>
  <c r="L479" i="2" s="1"/>
  <c r="K478" i="2"/>
  <c r="J478" i="2"/>
  <c r="H478" i="2"/>
  <c r="K477" i="2"/>
  <c r="J477" i="2"/>
  <c r="H477" i="2"/>
  <c r="I477" i="2" s="1"/>
  <c r="L477" i="2" s="1"/>
  <c r="K476" i="2"/>
  <c r="J476" i="2"/>
  <c r="H476" i="2"/>
  <c r="I476" i="2" s="1"/>
  <c r="L476" i="2" s="1"/>
  <c r="K475" i="2"/>
  <c r="J475" i="2"/>
  <c r="I475" i="2"/>
  <c r="L475" i="2" s="1"/>
  <c r="H475" i="2"/>
  <c r="K474" i="2"/>
  <c r="J474" i="2"/>
  <c r="H474" i="2"/>
  <c r="I474" i="2" s="1"/>
  <c r="L474" i="2" s="1"/>
  <c r="K473" i="2"/>
  <c r="J473" i="2"/>
  <c r="I473" i="2"/>
  <c r="L473" i="2" s="1"/>
  <c r="H473" i="2"/>
  <c r="K472" i="2"/>
  <c r="J472" i="2"/>
  <c r="H472" i="2"/>
  <c r="I472" i="2" s="1"/>
  <c r="L472" i="2" s="1"/>
  <c r="K471" i="2"/>
  <c r="J471" i="2"/>
  <c r="I471" i="2"/>
  <c r="L471" i="2" s="1"/>
  <c r="H471" i="2"/>
  <c r="K470" i="2"/>
  <c r="J470" i="2"/>
  <c r="I470" i="2"/>
  <c r="L470" i="2" s="1"/>
  <c r="H470" i="2"/>
  <c r="K469" i="2"/>
  <c r="J469" i="2"/>
  <c r="I469" i="2"/>
  <c r="L469" i="2" s="1"/>
  <c r="H469" i="2"/>
  <c r="L468" i="2"/>
  <c r="K468" i="2"/>
  <c r="J468" i="2"/>
  <c r="I468" i="2"/>
  <c r="H468" i="2"/>
  <c r="K467" i="2"/>
  <c r="J467" i="2"/>
  <c r="H467" i="2"/>
  <c r="I467" i="2" s="1"/>
  <c r="L467" i="2" s="1"/>
  <c r="L466" i="2"/>
  <c r="K466" i="2"/>
  <c r="J466" i="2"/>
  <c r="I466" i="2"/>
  <c r="H466" i="2"/>
  <c r="K465" i="2"/>
  <c r="J465" i="2"/>
  <c r="I465" i="2"/>
  <c r="L465" i="2" s="1"/>
  <c r="H465" i="2"/>
  <c r="K464" i="2"/>
  <c r="J464" i="2"/>
  <c r="H464" i="2"/>
  <c r="I464" i="2" s="1"/>
  <c r="L464" i="2" s="1"/>
  <c r="K463" i="2"/>
  <c r="J463" i="2"/>
  <c r="I463" i="2"/>
  <c r="L463" i="2" s="1"/>
  <c r="H463" i="2"/>
  <c r="K462" i="2"/>
  <c r="J462" i="2"/>
  <c r="H462" i="2"/>
  <c r="I462" i="2" s="1"/>
  <c r="L462" i="2" s="1"/>
  <c r="K461" i="2"/>
  <c r="J461" i="2"/>
  <c r="I461" i="2"/>
  <c r="L461" i="2" s="1"/>
  <c r="H461" i="2"/>
  <c r="K460" i="2"/>
  <c r="J460" i="2"/>
  <c r="I460" i="2" s="1"/>
  <c r="L460" i="2" s="1"/>
  <c r="H460" i="2"/>
  <c r="K459" i="2"/>
  <c r="J459" i="2"/>
  <c r="I459" i="2"/>
  <c r="L459" i="2" s="1"/>
  <c r="H459" i="2"/>
  <c r="K458" i="2"/>
  <c r="J458" i="2"/>
  <c r="H458" i="2"/>
  <c r="I458" i="2" s="1"/>
  <c r="L458" i="2" s="1"/>
  <c r="K457" i="2"/>
  <c r="J457" i="2"/>
  <c r="H457" i="2"/>
  <c r="I457" i="2" s="1"/>
  <c r="L457" i="2" s="1"/>
  <c r="K456" i="2"/>
  <c r="J456" i="2"/>
  <c r="H456" i="2"/>
  <c r="I456" i="2" s="1"/>
  <c r="L456" i="2" s="1"/>
  <c r="K455" i="2"/>
  <c r="J455" i="2"/>
  <c r="I455" i="2"/>
  <c r="L455" i="2" s="1"/>
  <c r="H455" i="2"/>
  <c r="K454" i="2"/>
  <c r="J454" i="2"/>
  <c r="H454" i="2"/>
  <c r="I454" i="2" s="1"/>
  <c r="L454" i="2" s="1"/>
  <c r="K453" i="2"/>
  <c r="J453" i="2"/>
  <c r="H453" i="2"/>
  <c r="I453" i="2" s="1"/>
  <c r="L453" i="2" s="1"/>
  <c r="K452" i="2"/>
  <c r="J452" i="2"/>
  <c r="H452" i="2"/>
  <c r="I452" i="2" s="1"/>
  <c r="L452" i="2" s="1"/>
  <c r="K451" i="2"/>
  <c r="J451" i="2"/>
  <c r="I451" i="2"/>
  <c r="L451" i="2" s="1"/>
  <c r="H451" i="2"/>
  <c r="K450" i="2"/>
  <c r="J450" i="2"/>
  <c r="H450" i="2"/>
  <c r="I450" i="2" s="1"/>
  <c r="L450" i="2" s="1"/>
  <c r="L449" i="2"/>
  <c r="K449" i="2"/>
  <c r="J449" i="2"/>
  <c r="I449" i="2"/>
  <c r="H449" i="2"/>
  <c r="K448" i="2"/>
  <c r="J448" i="2"/>
  <c r="H448" i="2"/>
  <c r="I448" i="2" s="1"/>
  <c r="L448" i="2" s="1"/>
  <c r="K447" i="2"/>
  <c r="J447" i="2"/>
  <c r="I447" i="2" s="1"/>
  <c r="L447" i="2" s="1"/>
  <c r="H447" i="2"/>
  <c r="K446" i="2"/>
  <c r="J446" i="2"/>
  <c r="H446" i="2"/>
  <c r="I446" i="2" s="1"/>
  <c r="L446" i="2" s="1"/>
  <c r="K445" i="2"/>
  <c r="J445" i="2"/>
  <c r="H445" i="2"/>
  <c r="I445" i="2" s="1"/>
  <c r="L445" i="2" s="1"/>
  <c r="K444" i="2"/>
  <c r="J444" i="2"/>
  <c r="H444" i="2"/>
  <c r="I444" i="2" s="1"/>
  <c r="L444" i="2" s="1"/>
  <c r="K443" i="2"/>
  <c r="J443" i="2"/>
  <c r="H443" i="2"/>
  <c r="I443" i="2" s="1"/>
  <c r="L443" i="2" s="1"/>
  <c r="K442" i="2"/>
  <c r="J442" i="2"/>
  <c r="H442" i="2"/>
  <c r="K441" i="2"/>
  <c r="J441" i="2"/>
  <c r="H441" i="2"/>
  <c r="I441" i="2" s="1"/>
  <c r="L441" i="2" s="1"/>
  <c r="K440" i="2"/>
  <c r="J440" i="2"/>
  <c r="H440" i="2"/>
  <c r="I440" i="2" s="1"/>
  <c r="L440" i="2" s="1"/>
  <c r="K439" i="2"/>
  <c r="J439" i="2"/>
  <c r="I439" i="2"/>
  <c r="L439" i="2" s="1"/>
  <c r="H439" i="2"/>
  <c r="K438" i="2"/>
  <c r="J438" i="2"/>
  <c r="H438" i="2"/>
  <c r="I438" i="2" s="1"/>
  <c r="L438" i="2" s="1"/>
  <c r="K437" i="2"/>
  <c r="J437" i="2"/>
  <c r="I437" i="2"/>
  <c r="L437" i="2" s="1"/>
  <c r="H437" i="2"/>
  <c r="K436" i="2"/>
  <c r="J436" i="2"/>
  <c r="H436" i="2"/>
  <c r="I436" i="2" s="1"/>
  <c r="L436" i="2" s="1"/>
  <c r="K435" i="2"/>
  <c r="J435" i="2"/>
  <c r="I435" i="2"/>
  <c r="L435" i="2" s="1"/>
  <c r="H435" i="2"/>
  <c r="K434" i="2"/>
  <c r="J434" i="2"/>
  <c r="H434" i="2"/>
  <c r="I434" i="2" s="1"/>
  <c r="L434" i="2" s="1"/>
  <c r="K433" i="2"/>
  <c r="J433" i="2"/>
  <c r="I433" i="2"/>
  <c r="L433" i="2" s="1"/>
  <c r="H433" i="2"/>
  <c r="K432" i="2"/>
  <c r="J432" i="2"/>
  <c r="H432" i="2"/>
  <c r="I432" i="2" s="1"/>
  <c r="L432" i="2" s="1"/>
  <c r="K431" i="2"/>
  <c r="J431" i="2"/>
  <c r="H431" i="2"/>
  <c r="I431" i="2" s="1"/>
  <c r="L431" i="2" s="1"/>
  <c r="K430" i="2"/>
  <c r="J430" i="2"/>
  <c r="H430" i="2"/>
  <c r="K429" i="2"/>
  <c r="J429" i="2"/>
  <c r="I429" i="2"/>
  <c r="L429" i="2" s="1"/>
  <c r="H429" i="2"/>
  <c r="K428" i="2"/>
  <c r="J428" i="2"/>
  <c r="H428" i="2"/>
  <c r="I428" i="2" s="1"/>
  <c r="L428" i="2" s="1"/>
  <c r="K427" i="2"/>
  <c r="J427" i="2"/>
  <c r="H427" i="2"/>
  <c r="I427" i="2" s="1"/>
  <c r="L427" i="2" s="1"/>
  <c r="K426" i="2"/>
  <c r="J426" i="2"/>
  <c r="H426" i="2"/>
  <c r="I426" i="2" s="1"/>
  <c r="L426" i="2" s="1"/>
  <c r="K425" i="2"/>
  <c r="J425" i="2"/>
  <c r="I425" i="2"/>
  <c r="L425" i="2" s="1"/>
  <c r="H425" i="2"/>
  <c r="K424" i="2"/>
  <c r="J424" i="2"/>
  <c r="I424" i="2"/>
  <c r="L424" i="2" s="1"/>
  <c r="H424" i="2"/>
  <c r="K423" i="2"/>
  <c r="J423" i="2"/>
  <c r="I423" i="2"/>
  <c r="L423" i="2" s="1"/>
  <c r="H423" i="2"/>
  <c r="K422" i="2"/>
  <c r="J422" i="2"/>
  <c r="H422" i="2"/>
  <c r="I422" i="2" s="1"/>
  <c r="L422" i="2" s="1"/>
  <c r="L421" i="2"/>
  <c r="K421" i="2"/>
  <c r="J421" i="2"/>
  <c r="H421" i="2"/>
  <c r="I421" i="2" s="1"/>
  <c r="L420" i="2"/>
  <c r="K420" i="2"/>
  <c r="J420" i="2"/>
  <c r="I420" i="2"/>
  <c r="H420" i="2"/>
  <c r="K419" i="2"/>
  <c r="J419" i="2"/>
  <c r="I419" i="2" s="1"/>
  <c r="L419" i="2" s="1"/>
  <c r="H419" i="2"/>
  <c r="K418" i="2"/>
  <c r="J418" i="2"/>
  <c r="H418" i="2"/>
  <c r="I418" i="2" s="1"/>
  <c r="L418" i="2" s="1"/>
  <c r="K417" i="2"/>
  <c r="J417" i="2"/>
  <c r="H417" i="2"/>
  <c r="I417" i="2" s="1"/>
  <c r="L417" i="2" s="1"/>
  <c r="K416" i="2"/>
  <c r="J416" i="2"/>
  <c r="H416" i="2"/>
  <c r="I416" i="2" s="1"/>
  <c r="L416" i="2" s="1"/>
  <c r="K415" i="2"/>
  <c r="J415" i="2"/>
  <c r="I415" i="2" s="1"/>
  <c r="L415" i="2" s="1"/>
  <c r="H415" i="2"/>
  <c r="K414" i="2"/>
  <c r="J414" i="2"/>
  <c r="I414" i="2"/>
  <c r="L414" i="2" s="1"/>
  <c r="H414" i="2"/>
  <c r="K413" i="2"/>
  <c r="J413" i="2"/>
  <c r="H413" i="2"/>
  <c r="I413" i="2" s="1"/>
  <c r="L413" i="2" s="1"/>
  <c r="K412" i="2"/>
  <c r="J412" i="2"/>
  <c r="H412" i="2"/>
  <c r="I412" i="2" s="1"/>
  <c r="L412" i="2" s="1"/>
  <c r="K411" i="2"/>
  <c r="J411" i="2"/>
  <c r="H411" i="2"/>
  <c r="I411" i="2" s="1"/>
  <c r="L411" i="2" s="1"/>
  <c r="K410" i="2"/>
  <c r="J410" i="2"/>
  <c r="H410" i="2"/>
  <c r="I410" i="2" s="1"/>
  <c r="L410" i="2" s="1"/>
  <c r="L409" i="2"/>
  <c r="K409" i="2"/>
  <c r="J409" i="2"/>
  <c r="I409" i="2" s="1"/>
  <c r="H409" i="2"/>
  <c r="K408" i="2"/>
  <c r="J408" i="2"/>
  <c r="H408" i="2"/>
  <c r="I408" i="2" s="1"/>
  <c r="L408" i="2" s="1"/>
  <c r="K407" i="2"/>
  <c r="J407" i="2"/>
  <c r="H407" i="2"/>
  <c r="I407" i="2" s="1"/>
  <c r="L407" i="2" s="1"/>
  <c r="K406" i="2"/>
  <c r="J406" i="2"/>
  <c r="H406" i="2"/>
  <c r="I406" i="2" s="1"/>
  <c r="L406" i="2" s="1"/>
  <c r="K405" i="2"/>
  <c r="J405" i="2"/>
  <c r="I405" i="2"/>
  <c r="L405" i="2" s="1"/>
  <c r="H405" i="2"/>
  <c r="L404" i="2"/>
  <c r="K404" i="2"/>
  <c r="J404" i="2"/>
  <c r="I404" i="2"/>
  <c r="H404" i="2"/>
  <c r="K403" i="2"/>
  <c r="J403" i="2"/>
  <c r="H403" i="2"/>
  <c r="I403" i="2" s="1"/>
  <c r="L403" i="2" s="1"/>
  <c r="K402" i="2"/>
  <c r="J402" i="2"/>
  <c r="I402" i="2"/>
  <c r="L402" i="2" s="1"/>
  <c r="H402" i="2"/>
  <c r="K401" i="2"/>
  <c r="J401" i="2"/>
  <c r="H401" i="2"/>
  <c r="I401" i="2" s="1"/>
  <c r="L401" i="2" s="1"/>
  <c r="K400" i="2"/>
  <c r="J400" i="2"/>
  <c r="H400" i="2"/>
  <c r="I400" i="2" s="1"/>
  <c r="L400" i="2" s="1"/>
  <c r="K399" i="2"/>
  <c r="J399" i="2"/>
  <c r="H399" i="2"/>
  <c r="I399" i="2" s="1"/>
  <c r="L399" i="2" s="1"/>
  <c r="K398" i="2"/>
  <c r="J398" i="2"/>
  <c r="I398" i="2" s="1"/>
  <c r="L398" i="2" s="1"/>
  <c r="H398" i="2"/>
  <c r="K397" i="2"/>
  <c r="J397" i="2"/>
  <c r="I397" i="2" s="1"/>
  <c r="L397" i="2" s="1"/>
  <c r="H397" i="2"/>
  <c r="K396" i="2"/>
  <c r="J396" i="2"/>
  <c r="H396" i="2"/>
  <c r="I396" i="2" s="1"/>
  <c r="L396" i="2" s="1"/>
  <c r="L395" i="2"/>
  <c r="K395" i="2"/>
  <c r="J395" i="2"/>
  <c r="I395" i="2"/>
  <c r="H395" i="2"/>
  <c r="K394" i="2"/>
  <c r="J394" i="2"/>
  <c r="H394" i="2"/>
  <c r="I394" i="2" s="1"/>
  <c r="L394" i="2" s="1"/>
  <c r="K393" i="2"/>
  <c r="J393" i="2"/>
  <c r="H393" i="2"/>
  <c r="I393" i="2" s="1"/>
  <c r="L393" i="2" s="1"/>
  <c r="L392" i="2"/>
  <c r="K392" i="2"/>
  <c r="J392" i="2"/>
  <c r="H392" i="2"/>
  <c r="I392" i="2" s="1"/>
  <c r="K391" i="2"/>
  <c r="J391" i="2"/>
  <c r="H391" i="2"/>
  <c r="I391" i="2" s="1"/>
  <c r="L391" i="2" s="1"/>
  <c r="K390" i="2"/>
  <c r="J390" i="2"/>
  <c r="I390" i="2"/>
  <c r="L390" i="2" s="1"/>
  <c r="H390" i="2"/>
  <c r="K389" i="2"/>
  <c r="J389" i="2"/>
  <c r="H389" i="2"/>
  <c r="I389" i="2" s="1"/>
  <c r="L389" i="2" s="1"/>
  <c r="K388" i="2"/>
  <c r="J388" i="2"/>
  <c r="H388" i="2"/>
  <c r="I388" i="2" s="1"/>
  <c r="L388" i="2" s="1"/>
  <c r="K387" i="2"/>
  <c r="J387" i="2"/>
  <c r="H387" i="2"/>
  <c r="I387" i="2" s="1"/>
  <c r="L387" i="2" s="1"/>
  <c r="K386" i="2"/>
  <c r="J386" i="2"/>
  <c r="I386" i="2"/>
  <c r="L386" i="2" s="1"/>
  <c r="H386" i="2"/>
  <c r="K385" i="2"/>
  <c r="J385" i="2"/>
  <c r="I385" i="2" s="1"/>
  <c r="L385" i="2" s="1"/>
  <c r="H385" i="2"/>
  <c r="K384" i="2"/>
  <c r="J384" i="2"/>
  <c r="H384" i="2"/>
  <c r="I384" i="2" s="1"/>
  <c r="L384" i="2" s="1"/>
  <c r="K383" i="2"/>
  <c r="J383" i="2"/>
  <c r="I383" i="2"/>
  <c r="L383" i="2" s="1"/>
  <c r="H383" i="2"/>
  <c r="K382" i="2"/>
  <c r="J382" i="2"/>
  <c r="H382" i="2"/>
  <c r="I382" i="2" s="1"/>
  <c r="L382" i="2" s="1"/>
  <c r="K381" i="2"/>
  <c r="J381" i="2"/>
  <c r="I381" i="2"/>
  <c r="L381" i="2" s="1"/>
  <c r="H381" i="2"/>
  <c r="K380" i="2"/>
  <c r="J380" i="2"/>
  <c r="H380" i="2"/>
  <c r="I380" i="2" s="1"/>
  <c r="L380" i="2" s="1"/>
  <c r="K379" i="2"/>
  <c r="J379" i="2"/>
  <c r="H379" i="2"/>
  <c r="I379" i="2" s="1"/>
  <c r="L379" i="2" s="1"/>
  <c r="K378" i="2"/>
  <c r="J378" i="2"/>
  <c r="I378" i="2" s="1"/>
  <c r="L378" i="2" s="1"/>
  <c r="H378" i="2"/>
  <c r="K377" i="2"/>
  <c r="J377" i="2"/>
  <c r="H377" i="2"/>
  <c r="I377" i="2" s="1"/>
  <c r="L377" i="2" s="1"/>
  <c r="K376" i="2"/>
  <c r="J376" i="2"/>
  <c r="H376" i="2"/>
  <c r="I376" i="2" s="1"/>
  <c r="L376" i="2" s="1"/>
  <c r="L375" i="2"/>
  <c r="K375" i="2"/>
  <c r="J375" i="2"/>
  <c r="H375" i="2"/>
  <c r="I375" i="2" s="1"/>
  <c r="K374" i="2"/>
  <c r="J374" i="2"/>
  <c r="H374" i="2"/>
  <c r="I374" i="2" s="1"/>
  <c r="L374" i="2" s="1"/>
  <c r="K373" i="2"/>
  <c r="J373" i="2"/>
  <c r="I373" i="2" s="1"/>
  <c r="L373" i="2" s="1"/>
  <c r="H373" i="2"/>
  <c r="K372" i="2"/>
  <c r="J372" i="2"/>
  <c r="I372" i="2"/>
  <c r="L372" i="2" s="1"/>
  <c r="H372" i="2"/>
  <c r="K371" i="2"/>
  <c r="J371" i="2"/>
  <c r="H371" i="2"/>
  <c r="I371" i="2" s="1"/>
  <c r="L371" i="2" s="1"/>
  <c r="K370" i="2"/>
  <c r="J370" i="2"/>
  <c r="H370" i="2"/>
  <c r="I370" i="2" s="1"/>
  <c r="L370" i="2" s="1"/>
  <c r="L369" i="2"/>
  <c r="K369" i="2"/>
  <c r="J369" i="2"/>
  <c r="I369" i="2"/>
  <c r="H369" i="2"/>
  <c r="K368" i="2"/>
  <c r="J368" i="2"/>
  <c r="H368" i="2"/>
  <c r="I368" i="2" s="1"/>
  <c r="L368" i="2" s="1"/>
  <c r="K367" i="2"/>
  <c r="J367" i="2"/>
  <c r="H367" i="2"/>
  <c r="I367" i="2" s="1"/>
  <c r="L367" i="2" s="1"/>
  <c r="L366" i="2"/>
  <c r="K366" i="2"/>
  <c r="J366" i="2"/>
  <c r="I366" i="2"/>
  <c r="H366" i="2"/>
  <c r="K365" i="2"/>
  <c r="J365" i="2"/>
  <c r="H365" i="2"/>
  <c r="I365" i="2" s="1"/>
  <c r="L365" i="2" s="1"/>
  <c r="K364" i="2"/>
  <c r="J364" i="2"/>
  <c r="H364" i="2"/>
  <c r="I364" i="2" s="1"/>
  <c r="L364" i="2" s="1"/>
  <c r="K363" i="2"/>
  <c r="J363" i="2"/>
  <c r="H363" i="2"/>
  <c r="I363" i="2" s="1"/>
  <c r="L363" i="2" s="1"/>
  <c r="K362" i="2"/>
  <c r="J362" i="2"/>
  <c r="H362" i="2"/>
  <c r="I362" i="2" s="1"/>
  <c r="L362" i="2" s="1"/>
  <c r="K361" i="2"/>
  <c r="J361" i="2"/>
  <c r="I361" i="2" s="1"/>
  <c r="L361" i="2" s="1"/>
  <c r="H361" i="2"/>
  <c r="K360" i="2"/>
  <c r="J360" i="2"/>
  <c r="I360" i="2"/>
  <c r="L360" i="2" s="1"/>
  <c r="H360" i="2"/>
  <c r="K359" i="2"/>
  <c r="J359" i="2"/>
  <c r="H359" i="2"/>
  <c r="I359" i="2" s="1"/>
  <c r="L359" i="2" s="1"/>
  <c r="K358" i="2"/>
  <c r="J358" i="2"/>
  <c r="H358" i="2"/>
  <c r="I358" i="2" s="1"/>
  <c r="L358" i="2" s="1"/>
  <c r="K357" i="2"/>
  <c r="J357" i="2"/>
  <c r="H357" i="2"/>
  <c r="I357" i="2" s="1"/>
  <c r="L357" i="2" s="1"/>
  <c r="K356" i="2"/>
  <c r="J356" i="2"/>
  <c r="H356" i="2"/>
  <c r="I356" i="2" s="1"/>
  <c r="L356" i="2" s="1"/>
  <c r="K355" i="2"/>
  <c r="J355" i="2"/>
  <c r="I355" i="2"/>
  <c r="L355" i="2" s="1"/>
  <c r="H355" i="2"/>
  <c r="K354" i="2"/>
  <c r="J354" i="2"/>
  <c r="I354" i="2"/>
  <c r="L354" i="2" s="1"/>
  <c r="H354" i="2"/>
  <c r="K353" i="2"/>
  <c r="J353" i="2"/>
  <c r="H353" i="2"/>
  <c r="I353" i="2" s="1"/>
  <c r="L353" i="2" s="1"/>
  <c r="K352" i="2"/>
  <c r="J352" i="2"/>
  <c r="I352" i="2" s="1"/>
  <c r="L352" i="2" s="1"/>
  <c r="H352" i="2"/>
  <c r="L351" i="2"/>
  <c r="K351" i="2"/>
  <c r="J351" i="2"/>
  <c r="I351" i="2"/>
  <c r="H351" i="2"/>
  <c r="K350" i="2"/>
  <c r="J350" i="2"/>
  <c r="H350" i="2"/>
  <c r="I350" i="2" s="1"/>
  <c r="L350" i="2" s="1"/>
  <c r="L349" i="2"/>
  <c r="K349" i="2"/>
  <c r="J349" i="2"/>
  <c r="I349" i="2" s="1"/>
  <c r="H349" i="2"/>
  <c r="K348" i="2"/>
  <c r="J348" i="2"/>
  <c r="I348" i="2"/>
  <c r="L348" i="2" s="1"/>
  <c r="H348" i="2"/>
  <c r="K347" i="2"/>
  <c r="J347" i="2"/>
  <c r="H347" i="2"/>
  <c r="I347" i="2" s="1"/>
  <c r="L347" i="2" s="1"/>
  <c r="K346" i="2"/>
  <c r="J346" i="2"/>
  <c r="H346" i="2"/>
  <c r="I346" i="2" s="1"/>
  <c r="L346" i="2" s="1"/>
  <c r="K345" i="2"/>
  <c r="J345" i="2"/>
  <c r="H345" i="2"/>
  <c r="I345" i="2" s="1"/>
  <c r="L345" i="2" s="1"/>
  <c r="K344" i="2"/>
  <c r="J344" i="2"/>
  <c r="H344" i="2"/>
  <c r="I344" i="2" s="1"/>
  <c r="L344" i="2" s="1"/>
  <c r="K343" i="2"/>
  <c r="J343" i="2"/>
  <c r="H343" i="2"/>
  <c r="I343" i="2" s="1"/>
  <c r="L343" i="2" s="1"/>
  <c r="K342" i="2"/>
  <c r="J342" i="2"/>
  <c r="I342" i="2"/>
  <c r="L342" i="2" s="1"/>
  <c r="H342" i="2"/>
  <c r="K341" i="2"/>
  <c r="J341" i="2"/>
  <c r="H341" i="2"/>
  <c r="I341" i="2" s="1"/>
  <c r="L341" i="2" s="1"/>
  <c r="K340" i="2"/>
  <c r="J340" i="2"/>
  <c r="H340" i="2"/>
  <c r="I340" i="2" s="1"/>
  <c r="L340" i="2" s="1"/>
  <c r="K339" i="2"/>
  <c r="J339" i="2"/>
  <c r="H339" i="2"/>
  <c r="I339" i="2" s="1"/>
  <c r="L339" i="2" s="1"/>
  <c r="K338" i="2"/>
  <c r="J338" i="2"/>
  <c r="I338" i="2"/>
  <c r="L338" i="2" s="1"/>
  <c r="H338" i="2"/>
  <c r="K337" i="2"/>
  <c r="J337" i="2"/>
  <c r="I337" i="2" s="1"/>
  <c r="L337" i="2" s="1"/>
  <c r="H337" i="2"/>
  <c r="K336" i="2"/>
  <c r="J336" i="2"/>
  <c r="I336" i="2"/>
  <c r="L336" i="2" s="1"/>
  <c r="H336" i="2"/>
  <c r="K335" i="2"/>
  <c r="J335" i="2"/>
  <c r="I335" i="2" s="1"/>
  <c r="L335" i="2" s="1"/>
  <c r="H335" i="2"/>
  <c r="K334" i="2"/>
  <c r="J334" i="2"/>
  <c r="H334" i="2"/>
  <c r="I334" i="2" s="1"/>
  <c r="L334" i="2" s="1"/>
  <c r="K333" i="2"/>
  <c r="J333" i="2"/>
  <c r="H333" i="2"/>
  <c r="I333" i="2" s="1"/>
  <c r="L333" i="2" s="1"/>
  <c r="L332" i="2"/>
  <c r="K332" i="2"/>
  <c r="J332" i="2"/>
  <c r="H332" i="2"/>
  <c r="I332" i="2" s="1"/>
  <c r="K331" i="2"/>
  <c r="J331" i="2"/>
  <c r="I331" i="2"/>
  <c r="L331" i="2" s="1"/>
  <c r="H331" i="2"/>
  <c r="K330" i="2"/>
  <c r="J330" i="2"/>
  <c r="I330" i="2"/>
  <c r="L330" i="2" s="1"/>
  <c r="H330" i="2"/>
  <c r="K329" i="2"/>
  <c r="J329" i="2"/>
  <c r="H329" i="2"/>
  <c r="I329" i="2" s="1"/>
  <c r="L329" i="2" s="1"/>
  <c r="K328" i="2"/>
  <c r="J328" i="2"/>
  <c r="H328" i="2"/>
  <c r="I328" i="2" s="1"/>
  <c r="L328" i="2" s="1"/>
  <c r="L327" i="2"/>
  <c r="K327" i="2"/>
  <c r="J327" i="2"/>
  <c r="I327" i="2"/>
  <c r="H327" i="2"/>
  <c r="K326" i="2"/>
  <c r="J326" i="2"/>
  <c r="H326" i="2"/>
  <c r="I326" i="2" s="1"/>
  <c r="L326" i="2" s="1"/>
  <c r="K325" i="2"/>
  <c r="J325" i="2"/>
  <c r="I325" i="2" s="1"/>
  <c r="L325" i="2" s="1"/>
  <c r="H325" i="2"/>
  <c r="K324" i="2"/>
  <c r="J324" i="2"/>
  <c r="H324" i="2"/>
  <c r="I324" i="2" s="1"/>
  <c r="L324" i="2" s="1"/>
  <c r="K323" i="2"/>
  <c r="J323" i="2"/>
  <c r="I323" i="2"/>
  <c r="L323" i="2" s="1"/>
  <c r="H323" i="2"/>
  <c r="K322" i="2"/>
  <c r="J322" i="2"/>
  <c r="H322" i="2"/>
  <c r="I322" i="2" s="1"/>
  <c r="L322" i="2" s="1"/>
  <c r="K321" i="2"/>
  <c r="J321" i="2"/>
  <c r="I321" i="2"/>
  <c r="L321" i="2" s="1"/>
  <c r="H321" i="2"/>
  <c r="K320" i="2"/>
  <c r="J320" i="2"/>
  <c r="H320" i="2"/>
  <c r="I320" i="2" s="1"/>
  <c r="L320" i="2" s="1"/>
  <c r="K319" i="2"/>
  <c r="J319" i="2"/>
  <c r="H319" i="2"/>
  <c r="I319" i="2" s="1"/>
  <c r="L319" i="2" s="1"/>
  <c r="K318" i="2"/>
  <c r="J318" i="2"/>
  <c r="I318" i="2" s="1"/>
  <c r="L318" i="2" s="1"/>
  <c r="H318" i="2"/>
  <c r="K317" i="2"/>
  <c r="J317" i="2"/>
  <c r="H317" i="2"/>
  <c r="I317" i="2" s="1"/>
  <c r="L317" i="2" s="1"/>
  <c r="K316" i="2"/>
  <c r="J316" i="2"/>
  <c r="H316" i="2"/>
  <c r="I316" i="2" s="1"/>
  <c r="L316" i="2" s="1"/>
  <c r="L315" i="2"/>
  <c r="K315" i="2"/>
  <c r="J315" i="2"/>
  <c r="H315" i="2"/>
  <c r="I315" i="2" s="1"/>
  <c r="K314" i="2"/>
  <c r="J314" i="2"/>
  <c r="H314" i="2"/>
  <c r="I314" i="2" s="1"/>
  <c r="L314" i="2" s="1"/>
  <c r="K313" i="2"/>
  <c r="J313" i="2"/>
  <c r="I313" i="2" s="1"/>
  <c r="L313" i="2" s="1"/>
  <c r="H313" i="2"/>
  <c r="K312" i="2"/>
  <c r="J312" i="2"/>
  <c r="I312" i="2"/>
  <c r="L312" i="2" s="1"/>
  <c r="H312" i="2"/>
  <c r="K311" i="2"/>
  <c r="J311" i="2"/>
  <c r="H311" i="2"/>
  <c r="I311" i="2" s="1"/>
  <c r="L311" i="2" s="1"/>
  <c r="K310" i="2"/>
  <c r="J310" i="2"/>
  <c r="H310" i="2"/>
  <c r="I310" i="2" s="1"/>
  <c r="L310" i="2" s="1"/>
  <c r="K309" i="2"/>
  <c r="J309" i="2"/>
  <c r="H309" i="2"/>
  <c r="I309" i="2" s="1"/>
  <c r="L309" i="2" s="1"/>
  <c r="L308" i="2"/>
  <c r="K308" i="2"/>
  <c r="J308" i="2"/>
  <c r="I308" i="2"/>
  <c r="H308" i="2"/>
  <c r="K307" i="2"/>
  <c r="J307" i="2"/>
  <c r="H307" i="2"/>
  <c r="I307" i="2" s="1"/>
  <c r="L307" i="2" s="1"/>
  <c r="K306" i="2"/>
  <c r="J306" i="2"/>
  <c r="I306" i="2"/>
  <c r="L306" i="2" s="1"/>
  <c r="H306" i="2"/>
  <c r="K305" i="2"/>
  <c r="J305" i="2"/>
  <c r="H305" i="2"/>
  <c r="I305" i="2" s="1"/>
  <c r="L305" i="2" s="1"/>
  <c r="K304" i="2"/>
  <c r="J304" i="2"/>
  <c r="I304" i="2"/>
  <c r="L304" i="2" s="1"/>
  <c r="H304" i="2"/>
  <c r="L303" i="2"/>
  <c r="K303" i="2"/>
  <c r="J303" i="2"/>
  <c r="I303" i="2"/>
  <c r="H303" i="2"/>
  <c r="K302" i="2"/>
  <c r="J302" i="2"/>
  <c r="H302" i="2"/>
  <c r="I302" i="2" s="1"/>
  <c r="L302" i="2" s="1"/>
  <c r="L301" i="2"/>
  <c r="K301" i="2"/>
  <c r="J301" i="2"/>
  <c r="I301" i="2" s="1"/>
  <c r="H301" i="2"/>
  <c r="K300" i="2"/>
  <c r="J300" i="2"/>
  <c r="H300" i="2"/>
  <c r="I300" i="2" s="1"/>
  <c r="L300" i="2" s="1"/>
  <c r="K299" i="2"/>
  <c r="J299" i="2"/>
  <c r="H299" i="2"/>
  <c r="I299" i="2" s="1"/>
  <c r="L299" i="2" s="1"/>
  <c r="K298" i="2"/>
  <c r="J298" i="2"/>
  <c r="H298" i="2"/>
  <c r="I298" i="2" s="1"/>
  <c r="L298" i="2" s="1"/>
  <c r="K297" i="2"/>
  <c r="J297" i="2"/>
  <c r="H297" i="2"/>
  <c r="I297" i="2" s="1"/>
  <c r="L297" i="2" s="1"/>
  <c r="K296" i="2"/>
  <c r="J296" i="2"/>
  <c r="H296" i="2"/>
  <c r="I296" i="2" s="1"/>
  <c r="L296" i="2" s="1"/>
  <c r="K295" i="2"/>
  <c r="J295" i="2"/>
  <c r="H295" i="2"/>
  <c r="I295" i="2" s="1"/>
  <c r="L295" i="2" s="1"/>
  <c r="K294" i="2"/>
  <c r="J294" i="2"/>
  <c r="I294" i="2"/>
  <c r="L294" i="2" s="1"/>
  <c r="H294" i="2"/>
  <c r="K293" i="2"/>
  <c r="J293" i="2"/>
  <c r="H293" i="2"/>
  <c r="I293" i="2" s="1"/>
  <c r="L293" i="2" s="1"/>
  <c r="K292" i="2"/>
  <c r="J292" i="2"/>
  <c r="H292" i="2"/>
  <c r="I292" i="2" s="1"/>
  <c r="L292" i="2" s="1"/>
  <c r="K291" i="2"/>
  <c r="J291" i="2"/>
  <c r="H291" i="2"/>
  <c r="I291" i="2" s="1"/>
  <c r="L291" i="2" s="1"/>
  <c r="K290" i="2"/>
  <c r="J290" i="2"/>
  <c r="H290" i="2"/>
  <c r="I290" i="2" s="1"/>
  <c r="L290" i="2" s="1"/>
  <c r="K289" i="2"/>
  <c r="J289" i="2"/>
  <c r="I289" i="2" s="1"/>
  <c r="L289" i="2" s="1"/>
  <c r="H289" i="2"/>
  <c r="K288" i="2"/>
  <c r="J288" i="2"/>
  <c r="H288" i="2"/>
  <c r="I288" i="2" s="1"/>
  <c r="L288" i="2" s="1"/>
  <c r="K287" i="2"/>
  <c r="J287" i="2"/>
  <c r="I287" i="2"/>
  <c r="L287" i="2" s="1"/>
  <c r="H287" i="2"/>
  <c r="K286" i="2"/>
  <c r="J286" i="2"/>
  <c r="H286" i="2"/>
  <c r="I286" i="2" s="1"/>
  <c r="L286" i="2" s="1"/>
  <c r="K285" i="2"/>
  <c r="J285" i="2"/>
  <c r="I285" i="2"/>
  <c r="L285" i="2" s="1"/>
  <c r="H285" i="2"/>
  <c r="L284" i="2"/>
  <c r="K284" i="2"/>
  <c r="J284" i="2"/>
  <c r="I284" i="2"/>
  <c r="H284" i="2"/>
  <c r="K283" i="2"/>
  <c r="J283" i="2"/>
  <c r="H283" i="2"/>
  <c r="I283" i="2" s="1"/>
  <c r="L283" i="2" s="1"/>
  <c r="K282" i="2"/>
  <c r="J282" i="2"/>
  <c r="I282" i="2"/>
  <c r="L282" i="2" s="1"/>
  <c r="H282" i="2"/>
  <c r="K281" i="2"/>
  <c r="J281" i="2"/>
  <c r="H281" i="2"/>
  <c r="I281" i="2" s="1"/>
  <c r="L281" i="2" s="1"/>
  <c r="K280" i="2"/>
  <c r="J280" i="2"/>
  <c r="H280" i="2"/>
  <c r="I280" i="2" s="1"/>
  <c r="L280" i="2" s="1"/>
  <c r="K279" i="2"/>
  <c r="J279" i="2"/>
  <c r="H279" i="2"/>
  <c r="I279" i="2" s="1"/>
  <c r="L279" i="2" s="1"/>
  <c r="K278" i="2"/>
  <c r="J278" i="2"/>
  <c r="H278" i="2"/>
  <c r="I278" i="2" s="1"/>
  <c r="L278" i="2" s="1"/>
  <c r="K277" i="2"/>
  <c r="J277" i="2"/>
  <c r="H277" i="2"/>
  <c r="I277" i="2" s="1"/>
  <c r="L277" i="2" s="1"/>
  <c r="K276" i="2"/>
  <c r="J276" i="2"/>
  <c r="H276" i="2"/>
  <c r="I276" i="2" s="1"/>
  <c r="L276" i="2" s="1"/>
  <c r="K275" i="2"/>
  <c r="J275" i="2"/>
  <c r="H275" i="2"/>
  <c r="I275" i="2" s="1"/>
  <c r="L275" i="2" s="1"/>
  <c r="K274" i="2"/>
  <c r="J274" i="2"/>
  <c r="H274" i="2"/>
  <c r="I274" i="2" s="1"/>
  <c r="L274" i="2" s="1"/>
  <c r="K273" i="2"/>
  <c r="J273" i="2"/>
  <c r="H273" i="2"/>
  <c r="I273" i="2" s="1"/>
  <c r="L273" i="2" s="1"/>
  <c r="K272" i="2"/>
  <c r="J272" i="2"/>
  <c r="H272" i="2"/>
  <c r="I272" i="2" s="1"/>
  <c r="L272" i="2" s="1"/>
  <c r="K271" i="2"/>
  <c r="J271" i="2"/>
  <c r="H271" i="2"/>
  <c r="I271" i="2" s="1"/>
  <c r="L271" i="2" s="1"/>
  <c r="K270" i="2"/>
  <c r="J270" i="2"/>
  <c r="I270" i="2"/>
  <c r="L270" i="2" s="1"/>
  <c r="H270" i="2"/>
  <c r="K269" i="2"/>
  <c r="J269" i="2"/>
  <c r="H269" i="2"/>
  <c r="I269" i="2" s="1"/>
  <c r="L269" i="2" s="1"/>
  <c r="K268" i="2"/>
  <c r="J268" i="2"/>
  <c r="H268" i="2"/>
  <c r="I268" i="2" s="1"/>
  <c r="L268" i="2" s="1"/>
  <c r="L267" i="2"/>
  <c r="K267" i="2"/>
  <c r="J267" i="2"/>
  <c r="H267" i="2"/>
  <c r="I267" i="2" s="1"/>
  <c r="K266" i="2"/>
  <c r="J266" i="2"/>
  <c r="H266" i="2"/>
  <c r="I266" i="2" s="1"/>
  <c r="L266" i="2" s="1"/>
  <c r="K265" i="2"/>
  <c r="J265" i="2"/>
  <c r="I265" i="2" s="1"/>
  <c r="L265" i="2" s="1"/>
  <c r="H265" i="2"/>
  <c r="K264" i="2"/>
  <c r="J264" i="2"/>
  <c r="I264" i="2"/>
  <c r="L264" i="2" s="1"/>
  <c r="H264" i="2"/>
  <c r="K263" i="2"/>
  <c r="J263" i="2"/>
  <c r="H263" i="2"/>
  <c r="I263" i="2" s="1"/>
  <c r="L263" i="2" s="1"/>
  <c r="K262" i="2"/>
  <c r="J262" i="2"/>
  <c r="H262" i="2"/>
  <c r="I262" i="2" s="1"/>
  <c r="L262" i="2" s="1"/>
  <c r="K261" i="2"/>
  <c r="J261" i="2"/>
  <c r="I261" i="2" s="1"/>
  <c r="L261" i="2" s="1"/>
  <c r="H261" i="2"/>
  <c r="K260" i="2"/>
  <c r="J260" i="2"/>
  <c r="H260" i="2"/>
  <c r="I260" i="2" s="1"/>
  <c r="L260" i="2" s="1"/>
  <c r="K259" i="2"/>
  <c r="J259" i="2"/>
  <c r="H259" i="2"/>
  <c r="I259" i="2" s="1"/>
  <c r="L259" i="2" s="1"/>
  <c r="K258" i="2"/>
  <c r="J258" i="2"/>
  <c r="I258" i="2" s="1"/>
  <c r="L258" i="2" s="1"/>
  <c r="H258" i="2"/>
  <c r="K257" i="2"/>
  <c r="J257" i="2"/>
  <c r="H257" i="2"/>
  <c r="I257" i="2" s="1"/>
  <c r="L257" i="2" s="1"/>
  <c r="K256" i="2"/>
  <c r="J256" i="2"/>
  <c r="H256" i="2"/>
  <c r="I256" i="2" s="1"/>
  <c r="L256" i="2" s="1"/>
  <c r="L255" i="2"/>
  <c r="K255" i="2"/>
  <c r="J255" i="2"/>
  <c r="I255" i="2"/>
  <c r="H255" i="2"/>
  <c r="K254" i="2"/>
  <c r="J254" i="2"/>
  <c r="H254" i="2"/>
  <c r="I254" i="2" s="1"/>
  <c r="L254" i="2" s="1"/>
  <c r="K253" i="2"/>
  <c r="J253" i="2"/>
  <c r="I253" i="2" s="1"/>
  <c r="L253" i="2" s="1"/>
  <c r="H253" i="2"/>
  <c r="K252" i="2"/>
  <c r="J252" i="2"/>
  <c r="H252" i="2"/>
  <c r="I252" i="2" s="1"/>
  <c r="L252" i="2" s="1"/>
  <c r="K251" i="2"/>
  <c r="J251" i="2"/>
  <c r="H251" i="2"/>
  <c r="I251" i="2" s="1"/>
  <c r="L251" i="2" s="1"/>
  <c r="K250" i="2"/>
  <c r="J250" i="2"/>
  <c r="H250" i="2"/>
  <c r="I250" i="2" s="1"/>
  <c r="L250" i="2" s="1"/>
  <c r="K249" i="2"/>
  <c r="J249" i="2"/>
  <c r="I249" i="2"/>
  <c r="L249" i="2" s="1"/>
  <c r="H249" i="2"/>
  <c r="K248" i="2"/>
  <c r="J248" i="2"/>
  <c r="H248" i="2"/>
  <c r="I248" i="2" s="1"/>
  <c r="L248" i="2" s="1"/>
  <c r="K247" i="2"/>
  <c r="J247" i="2"/>
  <c r="I247" i="2"/>
  <c r="L247" i="2" s="1"/>
  <c r="H247" i="2"/>
  <c r="K246" i="2"/>
  <c r="J246" i="2"/>
  <c r="I246" i="2"/>
  <c r="L246" i="2" s="1"/>
  <c r="H246" i="2"/>
  <c r="K245" i="2"/>
  <c r="J245" i="2"/>
  <c r="H245" i="2"/>
  <c r="I245" i="2" s="1"/>
  <c r="L245" i="2" s="1"/>
  <c r="K244" i="2"/>
  <c r="J244" i="2"/>
  <c r="I244" i="2" s="1"/>
  <c r="L244" i="2" s="1"/>
  <c r="H244" i="2"/>
  <c r="K243" i="2"/>
  <c r="J243" i="2"/>
  <c r="H243" i="2"/>
  <c r="I243" i="2" s="1"/>
  <c r="L243" i="2" s="1"/>
  <c r="K242" i="2"/>
  <c r="J242" i="2"/>
  <c r="H242" i="2"/>
  <c r="I242" i="2" s="1"/>
  <c r="L242" i="2" s="1"/>
  <c r="L241" i="2"/>
  <c r="K241" i="2"/>
  <c r="J241" i="2"/>
  <c r="I241" i="2" s="1"/>
  <c r="H241" i="2"/>
  <c r="K240" i="2"/>
  <c r="J240" i="2"/>
  <c r="H240" i="2"/>
  <c r="I240" i="2" s="1"/>
  <c r="L240" i="2" s="1"/>
  <c r="K239" i="2"/>
  <c r="J239" i="2"/>
  <c r="H239" i="2"/>
  <c r="I239" i="2" s="1"/>
  <c r="L239" i="2" s="1"/>
  <c r="K238" i="2"/>
  <c r="J238" i="2"/>
  <c r="H238" i="2"/>
  <c r="I238" i="2" s="1"/>
  <c r="L238" i="2" s="1"/>
  <c r="K237" i="2"/>
  <c r="J237" i="2"/>
  <c r="H237" i="2"/>
  <c r="I237" i="2" s="1"/>
  <c r="L237" i="2" s="1"/>
  <c r="K236" i="2"/>
  <c r="J236" i="2"/>
  <c r="H236" i="2"/>
  <c r="I236" i="2" s="1"/>
  <c r="L236" i="2" s="1"/>
  <c r="K235" i="2"/>
  <c r="J235" i="2"/>
  <c r="H235" i="2"/>
  <c r="I235" i="2" s="1"/>
  <c r="L235" i="2" s="1"/>
  <c r="K234" i="2"/>
  <c r="J234" i="2"/>
  <c r="I234" i="2"/>
  <c r="L234" i="2" s="1"/>
  <c r="H234" i="2"/>
  <c r="K233" i="2"/>
  <c r="J233" i="2"/>
  <c r="H233" i="2"/>
  <c r="I233" i="2" s="1"/>
  <c r="L233" i="2" s="1"/>
  <c r="L232" i="2"/>
  <c r="K232" i="2"/>
  <c r="J232" i="2"/>
  <c r="I232" i="2"/>
  <c r="H232" i="2"/>
  <c r="L231" i="2"/>
  <c r="K231" i="2"/>
  <c r="J231" i="2"/>
  <c r="I231" i="2"/>
  <c r="H231" i="2"/>
  <c r="K230" i="2"/>
  <c r="J230" i="2"/>
  <c r="I230" i="2"/>
  <c r="L230" i="2" s="1"/>
  <c r="H230" i="2"/>
  <c r="K229" i="2"/>
  <c r="J229" i="2"/>
  <c r="I229" i="2" s="1"/>
  <c r="L229" i="2" s="1"/>
  <c r="H229" i="2"/>
  <c r="K228" i="2"/>
  <c r="J228" i="2"/>
  <c r="H228" i="2"/>
  <c r="I228" i="2" s="1"/>
  <c r="L228" i="2" s="1"/>
  <c r="L227" i="2"/>
  <c r="K227" i="2"/>
  <c r="J227" i="2"/>
  <c r="I227" i="2"/>
  <c r="H227" i="2"/>
  <c r="K226" i="2"/>
  <c r="J226" i="2"/>
  <c r="H226" i="2"/>
  <c r="I226" i="2" s="1"/>
  <c r="L226" i="2" s="1"/>
  <c r="K225" i="2"/>
  <c r="J225" i="2"/>
  <c r="I225" i="2"/>
  <c r="L225" i="2" s="1"/>
  <c r="H225" i="2"/>
  <c r="L224" i="2"/>
  <c r="K224" i="2"/>
  <c r="J224" i="2"/>
  <c r="H224" i="2"/>
  <c r="I224" i="2" s="1"/>
  <c r="K223" i="2"/>
  <c r="J223" i="2"/>
  <c r="H223" i="2"/>
  <c r="I223" i="2" s="1"/>
  <c r="L223" i="2" s="1"/>
  <c r="K222" i="2"/>
  <c r="J222" i="2"/>
  <c r="I222" i="2"/>
  <c r="L222" i="2" s="1"/>
  <c r="H222" i="2"/>
  <c r="K221" i="2"/>
  <c r="J221" i="2"/>
  <c r="H221" i="2"/>
  <c r="I221" i="2" s="1"/>
  <c r="L221" i="2" s="1"/>
  <c r="K220" i="2"/>
  <c r="J220" i="2"/>
  <c r="H220" i="2"/>
  <c r="I220" i="2" s="1"/>
  <c r="L220" i="2" s="1"/>
  <c r="K219" i="2"/>
  <c r="J219" i="2"/>
  <c r="H219" i="2"/>
  <c r="I219" i="2" s="1"/>
  <c r="L219" i="2" s="1"/>
  <c r="K218" i="2"/>
  <c r="J218" i="2"/>
  <c r="H218" i="2"/>
  <c r="I218" i="2" s="1"/>
  <c r="L218" i="2" s="1"/>
  <c r="L217" i="2"/>
  <c r="K217" i="2"/>
  <c r="J217" i="2"/>
  <c r="I217" i="2"/>
  <c r="H217" i="2"/>
  <c r="K216" i="2"/>
  <c r="J216" i="2"/>
  <c r="H216" i="2"/>
  <c r="I216" i="2" s="1"/>
  <c r="L216" i="2" s="1"/>
  <c r="K215" i="2"/>
  <c r="J215" i="2"/>
  <c r="H215" i="2"/>
  <c r="I215" i="2" s="1"/>
  <c r="L215" i="2" s="1"/>
  <c r="K214" i="2"/>
  <c r="J214" i="2"/>
  <c r="H214" i="2"/>
  <c r="I214" i="2" s="1"/>
  <c r="L214" i="2" s="1"/>
  <c r="K213" i="2"/>
  <c r="J213" i="2"/>
  <c r="I213" i="2"/>
  <c r="L213" i="2" s="1"/>
  <c r="H213" i="2"/>
  <c r="K212" i="2"/>
  <c r="J212" i="2"/>
  <c r="H212" i="2"/>
  <c r="I212" i="2" s="1"/>
  <c r="L212" i="2" s="1"/>
  <c r="K211" i="2"/>
  <c r="J211" i="2"/>
  <c r="H211" i="2"/>
  <c r="I211" i="2" s="1"/>
  <c r="L211" i="2" s="1"/>
  <c r="L210" i="2"/>
  <c r="K210" i="2"/>
  <c r="J210" i="2"/>
  <c r="I210" i="2"/>
  <c r="H210" i="2"/>
  <c r="K209" i="2"/>
  <c r="J209" i="2"/>
  <c r="H209" i="2"/>
  <c r="I209" i="2" s="1"/>
  <c r="L209" i="2" s="1"/>
  <c r="K208" i="2"/>
  <c r="J208" i="2"/>
  <c r="H208" i="2"/>
  <c r="I208" i="2" s="1"/>
  <c r="L208" i="2" s="1"/>
  <c r="L207" i="2"/>
  <c r="K207" i="2"/>
  <c r="J207" i="2"/>
  <c r="H207" i="2"/>
  <c r="I207" i="2" s="1"/>
  <c r="K206" i="2"/>
  <c r="J206" i="2"/>
  <c r="H206" i="2"/>
  <c r="I206" i="2" s="1"/>
  <c r="L206" i="2" s="1"/>
  <c r="K205" i="2"/>
  <c r="J205" i="2"/>
  <c r="I205" i="2" s="1"/>
  <c r="L205" i="2" s="1"/>
  <c r="H205" i="2"/>
  <c r="K204" i="2"/>
  <c r="J204" i="2"/>
  <c r="I204" i="2"/>
  <c r="L204" i="2" s="1"/>
  <c r="H204" i="2"/>
  <c r="K203" i="2"/>
  <c r="J203" i="2"/>
  <c r="H203" i="2"/>
  <c r="I203" i="2" s="1"/>
  <c r="L203" i="2" s="1"/>
  <c r="K202" i="2"/>
  <c r="J202" i="2"/>
  <c r="H202" i="2"/>
  <c r="I202" i="2" s="1"/>
  <c r="L202" i="2" s="1"/>
  <c r="K201" i="2"/>
  <c r="J201" i="2"/>
  <c r="H201" i="2"/>
  <c r="I201" i="2" s="1"/>
  <c r="L201" i="2" s="1"/>
  <c r="K200" i="2"/>
  <c r="J200" i="2"/>
  <c r="H200" i="2"/>
  <c r="I200" i="2" s="1"/>
  <c r="L200" i="2" s="1"/>
  <c r="K199" i="2"/>
  <c r="J199" i="2"/>
  <c r="H199" i="2"/>
  <c r="I199" i="2" s="1"/>
  <c r="L199" i="2" s="1"/>
  <c r="L198" i="2"/>
  <c r="K198" i="2"/>
  <c r="J198" i="2"/>
  <c r="I198" i="2"/>
  <c r="H198" i="2"/>
  <c r="K197" i="2"/>
  <c r="J197" i="2"/>
  <c r="H197" i="2"/>
  <c r="I197" i="2" s="1"/>
  <c r="L197" i="2" s="1"/>
  <c r="K196" i="2"/>
  <c r="J196" i="2"/>
  <c r="H196" i="2"/>
  <c r="I196" i="2" s="1"/>
  <c r="L196" i="2" s="1"/>
  <c r="K195" i="2"/>
  <c r="J195" i="2"/>
  <c r="H195" i="2"/>
  <c r="I195" i="2" s="1"/>
  <c r="L195" i="2" s="1"/>
  <c r="K194" i="2"/>
  <c r="J194" i="2"/>
  <c r="H194" i="2"/>
  <c r="I194" i="2" s="1"/>
  <c r="L194" i="2" s="1"/>
  <c r="K193" i="2"/>
  <c r="J193" i="2"/>
  <c r="I193" i="2" s="1"/>
  <c r="L193" i="2" s="1"/>
  <c r="H193" i="2"/>
  <c r="K192" i="2"/>
  <c r="J192" i="2"/>
  <c r="H192" i="2"/>
  <c r="I192" i="2" s="1"/>
  <c r="L192" i="2" s="1"/>
  <c r="K191" i="2"/>
  <c r="J191" i="2"/>
  <c r="H191" i="2"/>
  <c r="I191" i="2" s="1"/>
  <c r="L191" i="2" s="1"/>
  <c r="K190" i="2"/>
  <c r="J190" i="2"/>
  <c r="H190" i="2"/>
  <c r="I190" i="2" s="1"/>
  <c r="L190" i="2" s="1"/>
  <c r="K189" i="2"/>
  <c r="J189" i="2"/>
  <c r="H189" i="2"/>
  <c r="I189" i="2" s="1"/>
  <c r="L189" i="2" s="1"/>
  <c r="K188" i="2"/>
  <c r="J188" i="2"/>
  <c r="H188" i="2"/>
  <c r="I188" i="2" s="1"/>
  <c r="L188" i="2" s="1"/>
  <c r="K187" i="2"/>
  <c r="J187" i="2"/>
  <c r="I187" i="2"/>
  <c r="L187" i="2" s="1"/>
  <c r="H187" i="2"/>
  <c r="K186" i="2"/>
  <c r="J186" i="2"/>
  <c r="I186" i="2"/>
  <c r="L186" i="2" s="1"/>
  <c r="H186" i="2"/>
  <c r="K185" i="2"/>
  <c r="J185" i="2"/>
  <c r="H185" i="2"/>
  <c r="I185" i="2" s="1"/>
  <c r="L185" i="2" s="1"/>
  <c r="K184" i="2"/>
  <c r="J184" i="2"/>
  <c r="I184" i="2" s="1"/>
  <c r="L184" i="2" s="1"/>
  <c r="H184" i="2"/>
  <c r="K183" i="2"/>
  <c r="J183" i="2"/>
  <c r="H183" i="2"/>
  <c r="I183" i="2" s="1"/>
  <c r="L183" i="2" s="1"/>
  <c r="K182" i="2"/>
  <c r="J182" i="2"/>
  <c r="I182" i="2"/>
  <c r="L182" i="2" s="1"/>
  <c r="H182" i="2"/>
  <c r="L181" i="2"/>
  <c r="K181" i="2"/>
  <c r="J181" i="2"/>
  <c r="I181" i="2"/>
  <c r="H181" i="2"/>
  <c r="K180" i="2"/>
  <c r="J180" i="2"/>
  <c r="H180" i="2"/>
  <c r="I180" i="2" s="1"/>
  <c r="L180" i="2" s="1"/>
  <c r="K179" i="2"/>
  <c r="J179" i="2"/>
  <c r="H179" i="2"/>
  <c r="I179" i="2" s="1"/>
  <c r="L179" i="2" s="1"/>
  <c r="K178" i="2"/>
  <c r="J178" i="2"/>
  <c r="H178" i="2"/>
  <c r="I178" i="2" s="1"/>
  <c r="L178" i="2" s="1"/>
  <c r="K177" i="2"/>
  <c r="J177" i="2"/>
  <c r="H177" i="2"/>
  <c r="I177" i="2" s="1"/>
  <c r="L177" i="2" s="1"/>
  <c r="K176" i="2"/>
  <c r="J176" i="2"/>
  <c r="H176" i="2"/>
  <c r="I176" i="2" s="1"/>
  <c r="L176" i="2" s="1"/>
  <c r="K175" i="2"/>
  <c r="J175" i="2"/>
  <c r="H175" i="2"/>
  <c r="I175" i="2" s="1"/>
  <c r="L175" i="2" s="1"/>
  <c r="K174" i="2"/>
  <c r="J174" i="2"/>
  <c r="I174" i="2"/>
  <c r="L174" i="2" s="1"/>
  <c r="H174" i="2"/>
  <c r="K173" i="2"/>
  <c r="J173" i="2"/>
  <c r="I173" i="2"/>
  <c r="L173" i="2" s="1"/>
  <c r="H173" i="2"/>
  <c r="K172" i="2"/>
  <c r="J172" i="2"/>
  <c r="H172" i="2"/>
  <c r="I172" i="2" s="1"/>
  <c r="L172" i="2" s="1"/>
  <c r="K171" i="2"/>
  <c r="J171" i="2"/>
  <c r="H171" i="2"/>
  <c r="I171" i="2" s="1"/>
  <c r="L171" i="2" s="1"/>
  <c r="K170" i="2"/>
  <c r="J170" i="2"/>
  <c r="I170" i="2" s="1"/>
  <c r="L170" i="2" s="1"/>
  <c r="H170" i="2"/>
  <c r="K169" i="2"/>
  <c r="J169" i="2"/>
  <c r="I169" i="2" s="1"/>
  <c r="L169" i="2" s="1"/>
  <c r="H169" i="2"/>
  <c r="K168" i="2"/>
  <c r="J168" i="2"/>
  <c r="H168" i="2"/>
  <c r="I168" i="2" s="1"/>
  <c r="L168" i="2" s="1"/>
  <c r="K167" i="2"/>
  <c r="J167" i="2"/>
  <c r="H167" i="2"/>
  <c r="I167" i="2" s="1"/>
  <c r="L167" i="2" s="1"/>
  <c r="K166" i="2"/>
  <c r="J166" i="2"/>
  <c r="H166" i="2"/>
  <c r="I166" i="2" s="1"/>
  <c r="L166" i="2" s="1"/>
  <c r="K165" i="2"/>
  <c r="J165" i="2"/>
  <c r="H165" i="2"/>
  <c r="I165" i="2" s="1"/>
  <c r="L165" i="2" s="1"/>
  <c r="L164" i="2"/>
  <c r="K164" i="2"/>
  <c r="J164" i="2"/>
  <c r="H164" i="2"/>
  <c r="I164" i="2" s="1"/>
  <c r="K163" i="2"/>
  <c r="J163" i="2"/>
  <c r="H163" i="2"/>
  <c r="I163" i="2" s="1"/>
  <c r="L163" i="2" s="1"/>
  <c r="K162" i="2"/>
  <c r="J162" i="2"/>
  <c r="I162" i="2"/>
  <c r="L162" i="2" s="1"/>
  <c r="H162" i="2"/>
  <c r="K161" i="2"/>
  <c r="J161" i="2"/>
  <c r="H161" i="2"/>
  <c r="I161" i="2" s="1"/>
  <c r="L161" i="2" s="1"/>
  <c r="K160" i="2"/>
  <c r="J160" i="2"/>
  <c r="H160" i="2"/>
  <c r="I160" i="2" s="1"/>
  <c r="L160" i="2" s="1"/>
  <c r="K159" i="2"/>
  <c r="J159" i="2"/>
  <c r="H159" i="2"/>
  <c r="I159" i="2" s="1"/>
  <c r="L159" i="2" s="1"/>
  <c r="K158" i="2"/>
  <c r="J158" i="2"/>
  <c r="H158" i="2"/>
  <c r="I158" i="2" s="1"/>
  <c r="L158" i="2" s="1"/>
  <c r="K157" i="2"/>
  <c r="J157" i="2"/>
  <c r="I157" i="2" s="1"/>
  <c r="L157" i="2" s="1"/>
  <c r="H157" i="2"/>
  <c r="K156" i="2"/>
  <c r="J156" i="2"/>
  <c r="H156" i="2"/>
  <c r="I156" i="2" s="1"/>
  <c r="L156" i="2" s="1"/>
  <c r="K155" i="2"/>
  <c r="J155" i="2"/>
  <c r="H155" i="2"/>
  <c r="I155" i="2" s="1"/>
  <c r="L155" i="2" s="1"/>
  <c r="K154" i="2"/>
  <c r="J154" i="2"/>
  <c r="H154" i="2"/>
  <c r="I154" i="2" s="1"/>
  <c r="L154" i="2" s="1"/>
  <c r="K153" i="2"/>
  <c r="J153" i="2"/>
  <c r="I153" i="2"/>
  <c r="L153" i="2" s="1"/>
  <c r="H153" i="2"/>
  <c r="K152" i="2"/>
  <c r="J152" i="2"/>
  <c r="H152" i="2"/>
  <c r="I152" i="2" s="1"/>
  <c r="L152" i="2" s="1"/>
  <c r="K151" i="2"/>
  <c r="J151" i="2"/>
  <c r="H151" i="2"/>
  <c r="I151" i="2" s="1"/>
  <c r="L151" i="2" s="1"/>
  <c r="K150" i="2"/>
  <c r="J150" i="2"/>
  <c r="I150" i="2" s="1"/>
  <c r="L150" i="2" s="1"/>
  <c r="H150" i="2"/>
  <c r="K149" i="2"/>
  <c r="J149" i="2"/>
  <c r="H149" i="2"/>
  <c r="I149" i="2" s="1"/>
  <c r="L149" i="2" s="1"/>
  <c r="K148" i="2"/>
  <c r="J148" i="2"/>
  <c r="H148" i="2"/>
  <c r="I148" i="2" s="1"/>
  <c r="L148" i="2" s="1"/>
  <c r="L147" i="2"/>
  <c r="K147" i="2"/>
  <c r="J147" i="2"/>
  <c r="H147" i="2"/>
  <c r="I147" i="2" s="1"/>
  <c r="K146" i="2"/>
  <c r="J146" i="2"/>
  <c r="H146" i="2"/>
  <c r="I146" i="2" s="1"/>
  <c r="L146" i="2" s="1"/>
  <c r="K145" i="2"/>
  <c r="J145" i="2"/>
  <c r="I145" i="2" s="1"/>
  <c r="L145" i="2" s="1"/>
  <c r="H145" i="2"/>
  <c r="K144" i="2"/>
  <c r="J144" i="2"/>
  <c r="I144" i="2"/>
  <c r="L144" i="2" s="1"/>
  <c r="H144" i="2"/>
  <c r="K143" i="2"/>
  <c r="J143" i="2"/>
  <c r="I143" i="2"/>
  <c r="L143" i="2" s="1"/>
  <c r="H143" i="2"/>
  <c r="K142" i="2"/>
  <c r="J142" i="2"/>
  <c r="H142" i="2"/>
  <c r="I142" i="2" s="1"/>
  <c r="L142" i="2" s="1"/>
  <c r="K141" i="2"/>
  <c r="J141" i="2"/>
  <c r="H141" i="2"/>
  <c r="I141" i="2" s="1"/>
  <c r="L141" i="2" s="1"/>
  <c r="K140" i="2"/>
  <c r="J140" i="2"/>
  <c r="H140" i="2"/>
  <c r="I140" i="2" s="1"/>
  <c r="L140" i="2" s="1"/>
  <c r="K139" i="2"/>
  <c r="J139" i="2"/>
  <c r="H139" i="2"/>
  <c r="I139" i="2" s="1"/>
  <c r="L139" i="2" s="1"/>
  <c r="L138" i="2"/>
  <c r="K138" i="2"/>
  <c r="J138" i="2"/>
  <c r="I138" i="2"/>
  <c r="H138" i="2"/>
  <c r="K137" i="2"/>
  <c r="J137" i="2"/>
  <c r="H137" i="2"/>
  <c r="I137" i="2" s="1"/>
  <c r="L137" i="2" s="1"/>
  <c r="K136" i="2"/>
  <c r="J136" i="2"/>
  <c r="H136" i="2"/>
  <c r="I136" i="2" s="1"/>
  <c r="L136" i="2" s="1"/>
  <c r="L135" i="2"/>
  <c r="K135" i="2"/>
  <c r="J135" i="2"/>
  <c r="I135" i="2"/>
  <c r="H135" i="2"/>
  <c r="K134" i="2"/>
  <c r="J134" i="2"/>
  <c r="I134" i="2"/>
  <c r="L134" i="2" s="1"/>
  <c r="H134" i="2"/>
  <c r="L133" i="2"/>
  <c r="K133" i="2"/>
  <c r="J133" i="2"/>
  <c r="I133" i="2"/>
  <c r="H133" i="2"/>
  <c r="K132" i="2"/>
  <c r="J132" i="2"/>
  <c r="H132" i="2"/>
  <c r="I132" i="2" s="1"/>
  <c r="L132" i="2" s="1"/>
  <c r="K131" i="2"/>
  <c r="J131" i="2"/>
  <c r="H131" i="2"/>
  <c r="I131" i="2" s="1"/>
  <c r="L131" i="2" s="1"/>
  <c r="K130" i="2"/>
  <c r="J130" i="2"/>
  <c r="H130" i="2"/>
  <c r="I130" i="2" s="1"/>
  <c r="L130" i="2" s="1"/>
  <c r="K129" i="2"/>
  <c r="J129" i="2"/>
  <c r="I129" i="2"/>
  <c r="L129" i="2" s="1"/>
  <c r="H129" i="2"/>
  <c r="K128" i="2"/>
  <c r="J128" i="2"/>
  <c r="H128" i="2"/>
  <c r="I128" i="2" s="1"/>
  <c r="L128" i="2" s="1"/>
  <c r="K127" i="2"/>
  <c r="J127" i="2"/>
  <c r="H127" i="2"/>
  <c r="I127" i="2" s="1"/>
  <c r="L127" i="2" s="1"/>
  <c r="K126" i="2"/>
  <c r="J126" i="2"/>
  <c r="I126" i="2"/>
  <c r="L126" i="2" s="1"/>
  <c r="H126" i="2"/>
  <c r="K125" i="2"/>
  <c r="J125" i="2"/>
  <c r="H125" i="2"/>
  <c r="I125" i="2" s="1"/>
  <c r="L125" i="2" s="1"/>
  <c r="K124" i="2"/>
  <c r="J124" i="2"/>
  <c r="H124" i="2"/>
  <c r="I124" i="2" s="1"/>
  <c r="L124" i="2" s="1"/>
  <c r="K123" i="2"/>
  <c r="J123" i="2"/>
  <c r="H123" i="2"/>
  <c r="I123" i="2" s="1"/>
  <c r="L123" i="2" s="1"/>
  <c r="K122" i="2"/>
  <c r="J122" i="2"/>
  <c r="H122" i="2"/>
  <c r="I122" i="2" s="1"/>
  <c r="L122" i="2" s="1"/>
  <c r="K121" i="2"/>
  <c r="J121" i="2"/>
  <c r="I121" i="2" s="1"/>
  <c r="L121" i="2" s="1"/>
  <c r="H121" i="2"/>
  <c r="K120" i="2"/>
  <c r="J120" i="2"/>
  <c r="H120" i="2"/>
  <c r="G18" i="5" s="1"/>
  <c r="K119" i="2"/>
  <c r="J119" i="2"/>
  <c r="I119" i="2"/>
  <c r="L119" i="2" s="1"/>
  <c r="H119" i="2"/>
  <c r="K118" i="2"/>
  <c r="J118" i="2"/>
  <c r="H118" i="2"/>
  <c r="I118" i="2" s="1"/>
  <c r="L118" i="2" s="1"/>
  <c r="K117" i="2"/>
  <c r="J117" i="2"/>
  <c r="H117" i="2"/>
  <c r="I117" i="2" s="1"/>
  <c r="L117" i="2" s="1"/>
  <c r="L116" i="2"/>
  <c r="K116" i="2"/>
  <c r="J116" i="2"/>
  <c r="H116" i="2"/>
  <c r="I116" i="2" s="1"/>
  <c r="K115" i="2"/>
  <c r="J115" i="2"/>
  <c r="H115" i="2"/>
  <c r="I115" i="2" s="1"/>
  <c r="L115" i="2" s="1"/>
  <c r="K114" i="2"/>
  <c r="J114" i="2"/>
  <c r="I114" i="2"/>
  <c r="L114" i="2" s="1"/>
  <c r="H114" i="2"/>
  <c r="K113" i="2"/>
  <c r="J113" i="2"/>
  <c r="H113" i="2"/>
  <c r="I113" i="2" s="1"/>
  <c r="L113" i="2" s="1"/>
  <c r="K112" i="2"/>
  <c r="J112" i="2"/>
  <c r="H112" i="2"/>
  <c r="I112" i="2" s="1"/>
  <c r="L112" i="2" s="1"/>
  <c r="L111" i="2"/>
  <c r="K111" i="2"/>
  <c r="J111" i="2"/>
  <c r="I111" i="2"/>
  <c r="H111" i="2"/>
  <c r="K110" i="2"/>
  <c r="J110" i="2"/>
  <c r="H110" i="2"/>
  <c r="I110" i="2" s="1"/>
  <c r="L110" i="2" s="1"/>
  <c r="K109" i="2"/>
  <c r="J109" i="2"/>
  <c r="H109" i="2"/>
  <c r="I109" i="2" s="1"/>
  <c r="L109" i="2" s="1"/>
  <c r="K108" i="2"/>
  <c r="J108" i="2"/>
  <c r="H108" i="2"/>
  <c r="I108" i="2" s="1"/>
  <c r="L108" i="2" s="1"/>
  <c r="K107" i="2"/>
  <c r="J107" i="2"/>
  <c r="H107" i="2"/>
  <c r="I107" i="2" s="1"/>
  <c r="L107" i="2" s="1"/>
  <c r="K106" i="2"/>
  <c r="J106" i="2"/>
  <c r="H106" i="2"/>
  <c r="I106" i="2" s="1"/>
  <c r="L106" i="2" s="1"/>
  <c r="K105" i="2"/>
  <c r="J105" i="2"/>
  <c r="I105" i="2"/>
  <c r="L105" i="2" s="1"/>
  <c r="H105" i="2"/>
  <c r="K104" i="2"/>
  <c r="J104" i="2"/>
  <c r="H104" i="2"/>
  <c r="I104" i="2" s="1"/>
  <c r="L104" i="2" s="1"/>
  <c r="K103" i="2"/>
  <c r="J103" i="2"/>
  <c r="H103" i="2"/>
  <c r="I103" i="2" s="1"/>
  <c r="L103" i="2" s="1"/>
  <c r="K102" i="2"/>
  <c r="J102" i="2"/>
  <c r="I102" i="2"/>
  <c r="L102" i="2" s="1"/>
  <c r="H102" i="2"/>
  <c r="K101" i="2"/>
  <c r="J101" i="2"/>
  <c r="H101" i="2"/>
  <c r="I101" i="2" s="1"/>
  <c r="L101" i="2" s="1"/>
  <c r="K100" i="2"/>
  <c r="J100" i="2"/>
  <c r="H100" i="2"/>
  <c r="I100" i="2" s="1"/>
  <c r="L100" i="2" s="1"/>
  <c r="L99" i="2"/>
  <c r="K99" i="2"/>
  <c r="J99" i="2"/>
  <c r="H99" i="2"/>
  <c r="I99" i="2" s="1"/>
  <c r="K98" i="2"/>
  <c r="J98" i="2"/>
  <c r="H98" i="2"/>
  <c r="I98" i="2" s="1"/>
  <c r="L98" i="2" s="1"/>
  <c r="K97" i="2"/>
  <c r="J97" i="2"/>
  <c r="H97" i="2"/>
  <c r="I97" i="2" s="1"/>
  <c r="L97" i="2" s="1"/>
  <c r="K96" i="2"/>
  <c r="J96" i="2"/>
  <c r="I96" i="2"/>
  <c r="L96" i="2" s="1"/>
  <c r="H96" i="2"/>
  <c r="K95" i="2"/>
  <c r="J95" i="2"/>
  <c r="H95" i="2"/>
  <c r="I95" i="2" s="1"/>
  <c r="L95" i="2" s="1"/>
  <c r="K94" i="2"/>
  <c r="J94" i="2"/>
  <c r="H94" i="2"/>
  <c r="I94" i="2" s="1"/>
  <c r="L94" i="2" s="1"/>
  <c r="K93" i="2"/>
  <c r="J93" i="2"/>
  <c r="I93" i="2" s="1"/>
  <c r="L93" i="2" s="1"/>
  <c r="H93" i="2"/>
  <c r="K92" i="2"/>
  <c r="J92" i="2"/>
  <c r="H92" i="2"/>
  <c r="I92" i="2" s="1"/>
  <c r="L92" i="2" s="1"/>
  <c r="K91" i="2"/>
  <c r="J91" i="2"/>
  <c r="H91" i="2"/>
  <c r="I91" i="2" s="1"/>
  <c r="L91" i="2" s="1"/>
  <c r="K90" i="2"/>
  <c r="J90" i="2"/>
  <c r="I90" i="2" s="1"/>
  <c r="L90" i="2" s="1"/>
  <c r="H90" i="2"/>
  <c r="K89" i="2"/>
  <c r="J89" i="2"/>
  <c r="H89" i="2"/>
  <c r="I89" i="2" s="1"/>
  <c r="L89" i="2" s="1"/>
  <c r="K88" i="2"/>
  <c r="J88" i="2"/>
  <c r="H88" i="2"/>
  <c r="I88" i="2" s="1"/>
  <c r="L88" i="2" s="1"/>
  <c r="L87" i="2"/>
  <c r="K87" i="2"/>
  <c r="J87" i="2"/>
  <c r="I87" i="2"/>
  <c r="H87" i="2"/>
  <c r="K86" i="2"/>
  <c r="J86" i="2"/>
  <c r="H86" i="2"/>
  <c r="I86" i="2" s="1"/>
  <c r="L86" i="2" s="1"/>
  <c r="K85" i="2"/>
  <c r="J85" i="2"/>
  <c r="H85" i="2"/>
  <c r="I85" i="2" s="1"/>
  <c r="L85" i="2" s="1"/>
  <c r="K84" i="2"/>
  <c r="J84" i="2"/>
  <c r="H84" i="2"/>
  <c r="I84" i="2" s="1"/>
  <c r="L84" i="2" s="1"/>
  <c r="K83" i="2"/>
  <c r="J83" i="2"/>
  <c r="H83" i="2"/>
  <c r="I83" i="2" s="1"/>
  <c r="L83" i="2" s="1"/>
  <c r="K82" i="2"/>
  <c r="J82" i="2"/>
  <c r="H82" i="2"/>
  <c r="I82" i="2" s="1"/>
  <c r="L82" i="2" s="1"/>
  <c r="K81" i="2"/>
  <c r="J81" i="2"/>
  <c r="I81" i="2"/>
  <c r="L81" i="2" s="1"/>
  <c r="H81" i="2"/>
  <c r="K80" i="2"/>
  <c r="J80" i="2"/>
  <c r="H80" i="2"/>
  <c r="I80" i="2" s="1"/>
  <c r="L80" i="2" s="1"/>
  <c r="K79" i="2"/>
  <c r="J79" i="2"/>
  <c r="I79" i="2"/>
  <c r="L79" i="2" s="1"/>
  <c r="H79" i="2"/>
  <c r="K78" i="2"/>
  <c r="J78" i="2"/>
  <c r="I78" i="2"/>
  <c r="L78" i="2" s="1"/>
  <c r="H78" i="2"/>
  <c r="K77" i="2"/>
  <c r="J77" i="2"/>
  <c r="H77" i="2"/>
  <c r="I77" i="2" s="1"/>
  <c r="L77" i="2" s="1"/>
  <c r="K76" i="2"/>
  <c r="J76" i="2"/>
  <c r="I76" i="2" s="1"/>
  <c r="L76" i="2" s="1"/>
  <c r="H76" i="2"/>
  <c r="K75" i="2"/>
  <c r="J75" i="2"/>
  <c r="H75" i="2"/>
  <c r="I75" i="2" s="1"/>
  <c r="L75" i="2" s="1"/>
  <c r="K74" i="2"/>
  <c r="J74" i="2"/>
  <c r="H74" i="2"/>
  <c r="I74" i="2" s="1"/>
  <c r="L74" i="2" s="1"/>
  <c r="L73" i="2"/>
  <c r="K73" i="2"/>
  <c r="J73" i="2"/>
  <c r="I73" i="2"/>
  <c r="H73" i="2"/>
  <c r="K72" i="2"/>
  <c r="J72" i="2"/>
  <c r="H72" i="2"/>
  <c r="I72" i="2" s="1"/>
  <c r="L72" i="2" s="1"/>
  <c r="K71" i="2"/>
  <c r="J71" i="2"/>
  <c r="H71" i="2"/>
  <c r="I71" i="2" s="1"/>
  <c r="L71" i="2" s="1"/>
  <c r="K70" i="2"/>
  <c r="J70" i="2"/>
  <c r="H70" i="2"/>
  <c r="I70" i="2" s="1"/>
  <c r="L70" i="2" s="1"/>
  <c r="K69" i="2"/>
  <c r="J69" i="2"/>
  <c r="H69" i="2"/>
  <c r="I69" i="2" s="1"/>
  <c r="L69" i="2" s="1"/>
  <c r="K68" i="2"/>
  <c r="J68" i="2"/>
  <c r="H68" i="2"/>
  <c r="I68" i="2" s="1"/>
  <c r="L68" i="2" s="1"/>
  <c r="K67" i="2"/>
  <c r="J67" i="2"/>
  <c r="H67" i="2"/>
  <c r="I67" i="2" s="1"/>
  <c r="L67" i="2" s="1"/>
  <c r="K66" i="2"/>
  <c r="J66" i="2"/>
  <c r="I66" i="2"/>
  <c r="L66" i="2" s="1"/>
  <c r="H66" i="2"/>
  <c r="K65" i="2"/>
  <c r="J65" i="2"/>
  <c r="H65" i="2"/>
  <c r="I65" i="2" s="1"/>
  <c r="L65" i="2" s="1"/>
  <c r="K64" i="2"/>
  <c r="J64" i="2"/>
  <c r="H64" i="2"/>
  <c r="I64" i="2" s="1"/>
  <c r="L64" i="2" s="1"/>
  <c r="K63" i="2"/>
  <c r="J63" i="2"/>
  <c r="H63" i="2"/>
  <c r="I63" i="2" s="1"/>
  <c r="L63" i="2" s="1"/>
  <c r="K62" i="2"/>
  <c r="J62" i="2"/>
  <c r="I62" i="2"/>
  <c r="L62" i="2" s="1"/>
  <c r="H62" i="2"/>
  <c r="K61" i="2"/>
  <c r="J61" i="2"/>
  <c r="H61" i="2"/>
  <c r="I61" i="2" s="1"/>
  <c r="L61" i="2" s="1"/>
  <c r="K60" i="2"/>
  <c r="J60" i="2"/>
  <c r="H60" i="2"/>
  <c r="I60" i="2" s="1"/>
  <c r="L60" i="2" s="1"/>
  <c r="K59" i="2"/>
  <c r="J59" i="2"/>
  <c r="I59" i="2" s="1"/>
  <c r="L59" i="2" s="1"/>
  <c r="H59" i="2"/>
  <c r="K58" i="2"/>
  <c r="J58" i="2"/>
  <c r="H58" i="2"/>
  <c r="I58" i="2" s="1"/>
  <c r="L58" i="2" s="1"/>
  <c r="K57" i="2"/>
  <c r="J57" i="2"/>
  <c r="H57" i="2"/>
  <c r="I57" i="2" s="1"/>
  <c r="L57" i="2" s="1"/>
  <c r="L56" i="2"/>
  <c r="K56" i="2"/>
  <c r="J56" i="2"/>
  <c r="H56" i="2"/>
  <c r="I56" i="2" s="1"/>
  <c r="K55" i="2"/>
  <c r="J55" i="2"/>
  <c r="H55" i="2"/>
  <c r="I55" i="2" s="1"/>
  <c r="L55" i="2" s="1"/>
  <c r="K54" i="2"/>
  <c r="J54" i="2"/>
  <c r="I54" i="2"/>
  <c r="L54" i="2" s="1"/>
  <c r="H54" i="2"/>
  <c r="K53" i="2"/>
  <c r="J53" i="2"/>
  <c r="H53" i="2"/>
  <c r="I53" i="2" s="1"/>
  <c r="L53" i="2" s="1"/>
  <c r="K52" i="2"/>
  <c r="J52" i="2"/>
  <c r="H52" i="2"/>
  <c r="I52" i="2" s="1"/>
  <c r="L52" i="2" s="1"/>
  <c r="K51" i="2"/>
  <c r="J51" i="2"/>
  <c r="H51" i="2"/>
  <c r="I51" i="2" s="1"/>
  <c r="L51" i="2" s="1"/>
  <c r="K50" i="2"/>
  <c r="J50" i="2"/>
  <c r="H50" i="2"/>
  <c r="I50" i="2" s="1"/>
  <c r="L50" i="2" s="1"/>
  <c r="K49" i="2"/>
  <c r="J49" i="2"/>
  <c r="H49" i="2"/>
  <c r="I49" i="2" s="1"/>
  <c r="L49" i="2" s="1"/>
  <c r="K48" i="2"/>
  <c r="J48" i="2"/>
  <c r="H48" i="2"/>
  <c r="I48" i="2" s="1"/>
  <c r="L48" i="2" s="1"/>
  <c r="K47" i="2"/>
  <c r="J47" i="2"/>
  <c r="H47" i="2"/>
  <c r="I47" i="2" s="1"/>
  <c r="L47" i="2" s="1"/>
  <c r="K46" i="2"/>
  <c r="J46" i="2"/>
  <c r="I46" i="2"/>
  <c r="L46" i="2" s="1"/>
  <c r="H46" i="2"/>
  <c r="K45" i="2"/>
  <c r="J45" i="2"/>
  <c r="I45" i="2"/>
  <c r="L45" i="2" s="1"/>
  <c r="H45" i="2"/>
  <c r="K44" i="2"/>
  <c r="J44" i="2"/>
  <c r="H44" i="2"/>
  <c r="I44" i="2" s="1"/>
  <c r="L44" i="2" s="1"/>
  <c r="K43" i="2"/>
  <c r="J43" i="2"/>
  <c r="H43" i="2"/>
  <c r="I43" i="2" s="1"/>
  <c r="K42" i="2"/>
  <c r="J42" i="2"/>
  <c r="I42" i="2" s="1"/>
  <c r="L42" i="2" s="1"/>
  <c r="H42" i="2"/>
  <c r="K41" i="2"/>
  <c r="J41" i="2"/>
  <c r="I41" i="2"/>
  <c r="L41" i="2" s="1"/>
  <c r="H41" i="2"/>
  <c r="K40" i="2"/>
  <c r="J40" i="2"/>
  <c r="H40" i="2"/>
  <c r="I40" i="2" s="1"/>
  <c r="L40" i="2" s="1"/>
  <c r="L39" i="2"/>
  <c r="K39" i="2"/>
  <c r="J39" i="2"/>
  <c r="H39" i="2"/>
  <c r="I39" i="2" s="1"/>
  <c r="K38" i="2"/>
  <c r="J38" i="2"/>
  <c r="H38" i="2"/>
  <c r="I38" i="2" s="1"/>
  <c r="L38" i="2" s="1"/>
  <c r="K37" i="2"/>
  <c r="J37" i="2"/>
  <c r="H37" i="2"/>
  <c r="I37" i="2" s="1"/>
  <c r="L37" i="2" s="1"/>
  <c r="K36" i="2"/>
  <c r="J36" i="2"/>
  <c r="H36" i="2"/>
  <c r="I36" i="2" s="1"/>
  <c r="L36" i="2" s="1"/>
  <c r="K35" i="2"/>
  <c r="J35" i="2"/>
  <c r="H35" i="2"/>
  <c r="I35" i="2" s="1"/>
  <c r="L35" i="2" s="1"/>
  <c r="K34" i="2"/>
  <c r="J34" i="2"/>
  <c r="H34" i="2"/>
  <c r="I34" i="2" s="1"/>
  <c r="L34" i="2" s="1"/>
  <c r="K33" i="2"/>
  <c r="J33" i="2"/>
  <c r="H33" i="2"/>
  <c r="I33" i="2" s="1"/>
  <c r="K32" i="2"/>
  <c r="J32" i="2"/>
  <c r="H32" i="2"/>
  <c r="I32" i="2" s="1"/>
  <c r="L32" i="2" s="1"/>
  <c r="K31" i="2"/>
  <c r="J31" i="2"/>
  <c r="I31" i="2"/>
  <c r="L31" i="2" s="1"/>
  <c r="H31" i="2"/>
  <c r="K30" i="2"/>
  <c r="J30" i="2"/>
  <c r="I30" i="2"/>
  <c r="L30" i="2" s="1"/>
  <c r="H30" i="2"/>
  <c r="K29" i="2"/>
  <c r="J29" i="2"/>
  <c r="I29" i="2"/>
  <c r="L29" i="2" s="1"/>
  <c r="H29" i="2"/>
  <c r="K28" i="2"/>
  <c r="J28" i="2"/>
  <c r="I28" i="2" s="1"/>
  <c r="L28" i="2" s="1"/>
  <c r="H28" i="2"/>
  <c r="K27" i="2"/>
  <c r="J27" i="2"/>
  <c r="H27" i="2"/>
  <c r="I27" i="2" s="1"/>
  <c r="L27" i="2" s="1"/>
  <c r="K26" i="2"/>
  <c r="J26" i="2"/>
  <c r="H26" i="2"/>
  <c r="I26" i="2" s="1"/>
  <c r="L26" i="2" s="1"/>
  <c r="L25" i="2"/>
  <c r="K25" i="2"/>
  <c r="J25" i="2"/>
  <c r="I25" i="2"/>
  <c r="H25" i="2"/>
  <c r="K24" i="2"/>
  <c r="J24" i="2"/>
  <c r="H24" i="2"/>
  <c r="I24" i="2" s="1"/>
  <c r="L24" i="2" s="1"/>
  <c r="K23" i="2"/>
  <c r="J23" i="2"/>
  <c r="H23" i="2"/>
  <c r="I23" i="2" s="1"/>
  <c r="L23" i="2" s="1"/>
  <c r="K22" i="2"/>
  <c r="J22" i="2"/>
  <c r="I22" i="2"/>
  <c r="L22" i="2" s="1"/>
  <c r="H22" i="2"/>
  <c r="K21" i="2"/>
  <c r="J21" i="2"/>
  <c r="H21" i="2"/>
  <c r="I21" i="2" s="1"/>
  <c r="L21" i="2" s="1"/>
  <c r="L20" i="2"/>
  <c r="K20" i="2"/>
  <c r="J20" i="2"/>
  <c r="H20" i="2"/>
  <c r="I20" i="2" s="1"/>
  <c r="K19" i="2"/>
  <c r="J19" i="2"/>
  <c r="H19" i="2"/>
  <c r="I19" i="2" s="1"/>
  <c r="L19" i="2" s="1"/>
  <c r="K18" i="2"/>
  <c r="J18" i="2"/>
  <c r="I18" i="2"/>
  <c r="L18" i="2" s="1"/>
  <c r="H18" i="2"/>
  <c r="K17" i="2"/>
  <c r="J17" i="2"/>
  <c r="I17" i="2"/>
  <c r="L17" i="2" s="1"/>
  <c r="H17" i="2"/>
  <c r="K16" i="2"/>
  <c r="J16" i="2"/>
  <c r="H16" i="2"/>
  <c r="I16" i="2" s="1"/>
  <c r="L16" i="2" s="1"/>
  <c r="K15" i="2"/>
  <c r="J15" i="2"/>
  <c r="H15" i="2"/>
  <c r="I15" i="2" s="1"/>
  <c r="L15" i="2" s="1"/>
  <c r="K14" i="2"/>
  <c r="J14" i="2"/>
  <c r="H14" i="2"/>
  <c r="I14" i="2" s="1"/>
  <c r="L14" i="2" s="1"/>
  <c r="K13" i="2"/>
  <c r="J13" i="2"/>
  <c r="H13" i="2"/>
  <c r="I13" i="2" s="1"/>
  <c r="L13" i="2" s="1"/>
  <c r="K12" i="2"/>
  <c r="J12" i="2"/>
  <c r="H12" i="2"/>
  <c r="I12" i="2" s="1"/>
  <c r="L12" i="2" s="1"/>
  <c r="L11" i="2"/>
  <c r="K11" i="2"/>
  <c r="J11" i="2"/>
  <c r="I11" i="2"/>
  <c r="H11" i="2"/>
  <c r="K10" i="2"/>
  <c r="J10" i="2"/>
  <c r="H10" i="2"/>
  <c r="I10" i="2" s="1"/>
  <c r="L10" i="2" s="1"/>
  <c r="K9" i="2"/>
  <c r="J9" i="2"/>
  <c r="H9" i="2"/>
  <c r="G16" i="5" s="1"/>
  <c r="K8" i="2"/>
  <c r="J8" i="2"/>
  <c r="H8" i="2"/>
  <c r="I8" i="2" s="1"/>
  <c r="L8" i="2" s="1"/>
  <c r="K7" i="2"/>
  <c r="J7" i="2"/>
  <c r="I7" i="2"/>
  <c r="L7" i="2" s="1"/>
  <c r="H7" i="2"/>
  <c r="K6" i="2"/>
  <c r="C14" i="4" s="1"/>
  <c r="J6" i="2"/>
  <c r="I6" i="2"/>
  <c r="L6" i="2" s="1"/>
  <c r="H6" i="2"/>
  <c r="K5" i="2"/>
  <c r="J5" i="2"/>
  <c r="H5" i="2"/>
  <c r="K4" i="2"/>
  <c r="J4" i="2"/>
  <c r="H4" i="2"/>
  <c r="K3" i="2"/>
  <c r="J3" i="2"/>
  <c r="H3" i="2"/>
  <c r="K2" i="2"/>
  <c r="J2" i="2"/>
  <c r="H2" i="2"/>
  <c r="I2" i="2" s="1"/>
  <c r="L43" i="2" l="1"/>
  <c r="L33" i="2"/>
  <c r="L2" i="2"/>
  <c r="I9" i="2"/>
  <c r="G15" i="5"/>
  <c r="I120" i="2"/>
  <c r="L120" i="2" s="1"/>
  <c r="H6" i="5"/>
  <c r="I4" i="2"/>
  <c r="G17" i="5"/>
  <c r="D8" i="7"/>
  <c r="H7" i="5"/>
  <c r="H6" i="3"/>
  <c r="H6" i="6" s="1"/>
  <c r="H9" i="5"/>
  <c r="I5" i="2"/>
  <c r="D7" i="7" s="1"/>
  <c r="D15" i="4"/>
  <c r="G12" i="4"/>
  <c r="C8" i="4"/>
  <c r="G16" i="4"/>
  <c r="D14" i="4"/>
  <c r="C9" i="4"/>
  <c r="C16" i="4"/>
  <c r="D13" i="4"/>
  <c r="D10" i="4"/>
  <c r="D5" i="4"/>
  <c r="D11" i="4"/>
  <c r="D8" i="4"/>
  <c r="C5" i="4"/>
  <c r="C6" i="4"/>
  <c r="D16" i="4"/>
  <c r="G8" i="4"/>
  <c r="D12" i="4"/>
  <c r="C12" i="4"/>
  <c r="D7" i="4"/>
  <c r="G15" i="4"/>
  <c r="G11" i="4"/>
  <c r="C7" i="4"/>
  <c r="G9" i="4"/>
  <c r="C15" i="4"/>
  <c r="G14" i="4"/>
  <c r="D9" i="4"/>
  <c r="G13" i="4"/>
  <c r="D6" i="4"/>
  <c r="G5" i="4"/>
  <c r="C13" i="4"/>
  <c r="C11" i="4"/>
  <c r="G10" i="4"/>
  <c r="C10" i="4"/>
  <c r="G6" i="4"/>
  <c r="G7" i="4"/>
  <c r="I478" i="2"/>
  <c r="L478" i="2" s="1"/>
  <c r="I696" i="2"/>
  <c r="L696" i="2" s="1"/>
  <c r="I742" i="2"/>
  <c r="L742" i="2" s="1"/>
  <c r="I780" i="2"/>
  <c r="L780" i="2" s="1"/>
  <c r="I1002" i="2"/>
  <c r="L1002" i="2" s="1"/>
  <c r="I1069" i="2"/>
  <c r="L1069" i="2" s="1"/>
  <c r="I1090" i="2"/>
  <c r="L1090" i="2" s="1"/>
  <c r="I1712" i="2"/>
  <c r="L1712" i="2" s="1"/>
  <c r="I1868" i="2"/>
  <c r="L1868" i="2" s="1"/>
  <c r="I1945" i="2"/>
  <c r="L1945" i="2" s="1"/>
  <c r="I430" i="2"/>
  <c r="L430" i="2" s="1"/>
  <c r="I552" i="2"/>
  <c r="L552" i="2" s="1"/>
  <c r="I588" i="2"/>
  <c r="L588" i="2" s="1"/>
  <c r="I618" i="2"/>
  <c r="L618" i="2" s="1"/>
  <c r="I660" i="2"/>
  <c r="L660" i="2" s="1"/>
  <c r="I920" i="2"/>
  <c r="L920" i="2" s="1"/>
  <c r="I972" i="2"/>
  <c r="L972" i="2" s="1"/>
  <c r="I1608" i="2"/>
  <c r="L1608" i="2" s="1"/>
  <c r="I1744" i="2"/>
  <c r="L1744" i="2" s="1"/>
  <c r="I1776" i="2"/>
  <c r="L1776" i="2" s="1"/>
  <c r="I1820" i="2"/>
  <c r="L1820" i="2" s="1"/>
  <c r="I1832" i="2"/>
  <c r="L1832" i="2" s="1"/>
  <c r="I2438" i="2"/>
  <c r="L2438" i="2" s="1"/>
  <c r="I2454" i="2"/>
  <c r="L2454" i="2" s="1"/>
  <c r="I2480" i="2"/>
  <c r="L2480" i="2" s="1"/>
  <c r="I3034" i="2"/>
  <c r="L3034" i="2" s="1"/>
  <c r="I3184" i="2"/>
  <c r="L3184" i="2" s="1"/>
  <c r="I3439" i="2"/>
  <c r="L3439" i="2" s="1"/>
  <c r="G14" i="5"/>
  <c r="H8" i="5"/>
  <c r="I864" i="2"/>
  <c r="L864" i="2" s="1"/>
  <c r="I3" i="2"/>
  <c r="I442" i="2"/>
  <c r="L442" i="2" s="1"/>
  <c r="I708" i="2"/>
  <c r="L708" i="2" s="1"/>
  <c r="I744" i="2"/>
  <c r="L744" i="2" s="1"/>
  <c r="I946" i="2"/>
  <c r="L946" i="2" s="1"/>
  <c r="I982" i="2"/>
  <c r="L982" i="2" s="1"/>
  <c r="I1331" i="2"/>
  <c r="L1331" i="2" s="1"/>
  <c r="I1334" i="2"/>
  <c r="L1334" i="2" s="1"/>
  <c r="I1576" i="2"/>
  <c r="L1576" i="2" s="1"/>
  <c r="I1595" i="2"/>
  <c r="L1595" i="2" s="1"/>
  <c r="I1604" i="2"/>
  <c r="L1604" i="2" s="1"/>
  <c r="I1882" i="2"/>
  <c r="L1882" i="2" s="1"/>
  <c r="I2158" i="2"/>
  <c r="L2158" i="2" s="1"/>
  <c r="I2244" i="2"/>
  <c r="L2244" i="2" s="1"/>
  <c r="I2292" i="2"/>
  <c r="L2292" i="2" s="1"/>
  <c r="I2327" i="2"/>
  <c r="L2327" i="2" s="1"/>
  <c r="I2384" i="2"/>
  <c r="L2384" i="2" s="1"/>
  <c r="I2456" i="2"/>
  <c r="L2456" i="2" s="1"/>
  <c r="I2872" i="2"/>
  <c r="L2872" i="2" s="1"/>
  <c r="I2909" i="2"/>
  <c r="L2909" i="2" s="1"/>
  <c r="I2992" i="2"/>
  <c r="L2992" i="2" s="1"/>
  <c r="I3092" i="2"/>
  <c r="L3092" i="2" s="1"/>
  <c r="I3098" i="2"/>
  <c r="L3098" i="2" s="1"/>
  <c r="I3244" i="2"/>
  <c r="L3244" i="2" s="1"/>
  <c r="I3411" i="2"/>
  <c r="L3411" i="2" s="1"/>
  <c r="I3752" i="2"/>
  <c r="L3752" i="2" s="1"/>
  <c r="I3958" i="2"/>
  <c r="L3958" i="2" s="1"/>
  <c r="I1560" i="2"/>
  <c r="L1560" i="2" s="1"/>
  <c r="I1704" i="2"/>
  <c r="L1704" i="2" s="1"/>
  <c r="I1752" i="2"/>
  <c r="L1752" i="2" s="1"/>
  <c r="I1788" i="2"/>
  <c r="L1788" i="2" s="1"/>
  <c r="I1874" i="2"/>
  <c r="L1874" i="2" s="1"/>
  <c r="I2082" i="2"/>
  <c r="L2082" i="2" s="1"/>
  <c r="I2164" i="2"/>
  <c r="L2164" i="2" s="1"/>
  <c r="I2220" i="2"/>
  <c r="L2220" i="2" s="1"/>
  <c r="I2280" i="2"/>
  <c r="L2280" i="2" s="1"/>
  <c r="I2550" i="2"/>
  <c r="L2550" i="2" s="1"/>
  <c r="I2670" i="2"/>
  <c r="L2670" i="2" s="1"/>
  <c r="I3536" i="2"/>
  <c r="L3536" i="2" s="1"/>
  <c r="I3560" i="2"/>
  <c r="L3560" i="2" s="1"/>
  <c r="I3719" i="2"/>
  <c r="L3719" i="2" s="1"/>
  <c r="I3723" i="2"/>
  <c r="L3723" i="2" s="1"/>
  <c r="I3838" i="2"/>
  <c r="L3838" i="2" s="1"/>
  <c r="I4885" i="2"/>
  <c r="L4885" i="2" s="1"/>
  <c r="I1718" i="2"/>
  <c r="L1718" i="2" s="1"/>
  <c r="I1920" i="2"/>
  <c r="L1920" i="2" s="1"/>
  <c r="I2376" i="2"/>
  <c r="L2376" i="2" s="1"/>
  <c r="I2464" i="2"/>
  <c r="L2464" i="2" s="1"/>
  <c r="I2742" i="2"/>
  <c r="L2742" i="2" s="1"/>
  <c r="I2968" i="2"/>
  <c r="L2968" i="2" s="1"/>
  <c r="I3028" i="2"/>
  <c r="L3028" i="2" s="1"/>
  <c r="I3090" i="2"/>
  <c r="L3090" i="2" s="1"/>
  <c r="I3174" i="2"/>
  <c r="L3174" i="2" s="1"/>
  <c r="I3204" i="2"/>
  <c r="L3204" i="2" s="1"/>
  <c r="I3220" i="2"/>
  <c r="L3220" i="2" s="1"/>
  <c r="I3271" i="2"/>
  <c r="L3271" i="2" s="1"/>
  <c r="I3351" i="2"/>
  <c r="L3351" i="2" s="1"/>
  <c r="I3380" i="2"/>
  <c r="L3380" i="2" s="1"/>
  <c r="I3398" i="2"/>
  <c r="L3398" i="2" s="1"/>
  <c r="I3471" i="2"/>
  <c r="L3471" i="2" s="1"/>
  <c r="I4033" i="2"/>
  <c r="L4033" i="2" s="1"/>
  <c r="I4221" i="2"/>
  <c r="L4221" i="2" s="1"/>
  <c r="I4876" i="2"/>
  <c r="L4876" i="2" s="1"/>
  <c r="I1572" i="2"/>
  <c r="L1572" i="2" s="1"/>
  <c r="I2587" i="2"/>
  <c r="L2587" i="2" s="1"/>
  <c r="I2622" i="2"/>
  <c r="L2622" i="2" s="1"/>
  <c r="I2647" i="2"/>
  <c r="L2647" i="2" s="1"/>
  <c r="I2703" i="2"/>
  <c r="L2703" i="2" s="1"/>
  <c r="I2740" i="2"/>
  <c r="L2740" i="2" s="1"/>
  <c r="I2978" i="2"/>
  <c r="L2978" i="2" s="1"/>
  <c r="I3197" i="2"/>
  <c r="L3197" i="2" s="1"/>
  <c r="I3212" i="2"/>
  <c r="L3212" i="2" s="1"/>
  <c r="I3376" i="2"/>
  <c r="L3376" i="2" s="1"/>
  <c r="I3552" i="2"/>
  <c r="L3552" i="2" s="1"/>
  <c r="I3944" i="2"/>
  <c r="L3944" i="2" s="1"/>
  <c r="I4273" i="2"/>
  <c r="L4273" i="2" s="1"/>
  <c r="I4345" i="2"/>
  <c r="L4345" i="2" s="1"/>
  <c r="I1488" i="2"/>
  <c r="L1488" i="2" s="1"/>
  <c r="I1644" i="2"/>
  <c r="L1644" i="2" s="1"/>
  <c r="I1728" i="2"/>
  <c r="L1728" i="2" s="1"/>
  <c r="I1800" i="2"/>
  <c r="L1800" i="2" s="1"/>
  <c r="I1884" i="2"/>
  <c r="L1884" i="2" s="1"/>
  <c r="I1956" i="2"/>
  <c r="L1956" i="2" s="1"/>
  <c r="I2112" i="2"/>
  <c r="L2112" i="2" s="1"/>
  <c r="I2184" i="2"/>
  <c r="L2184" i="2" s="1"/>
  <c r="I2256" i="2"/>
  <c r="L2256" i="2" s="1"/>
  <c r="I2328" i="2"/>
  <c r="L2328" i="2" s="1"/>
  <c r="I2400" i="2"/>
  <c r="L2400" i="2" s="1"/>
  <c r="I2466" i="2"/>
  <c r="L2466" i="2" s="1"/>
  <c r="I2514" i="2"/>
  <c r="L2514" i="2" s="1"/>
  <c r="I3075" i="2"/>
  <c r="L3075" i="2" s="1"/>
  <c r="I3100" i="2"/>
  <c r="L3100" i="2" s="1"/>
  <c r="I3158" i="2"/>
  <c r="L3158" i="2" s="1"/>
  <c r="I3246" i="2"/>
  <c r="L3246" i="2" s="1"/>
  <c r="I3328" i="2"/>
  <c r="L3328" i="2" s="1"/>
  <c r="I3547" i="2"/>
  <c r="L3547" i="2" s="1"/>
  <c r="I3585" i="2"/>
  <c r="L3585" i="2" s="1"/>
  <c r="I3601" i="2"/>
  <c r="L3601" i="2" s="1"/>
  <c r="I3669" i="2"/>
  <c r="L3669" i="2" s="1"/>
  <c r="I3684" i="2"/>
  <c r="L3684" i="2" s="1"/>
  <c r="I3896" i="2"/>
  <c r="L3896" i="2" s="1"/>
  <c r="I4215" i="2"/>
  <c r="L4215" i="2" s="1"/>
  <c r="I4320" i="2"/>
  <c r="L4320" i="2" s="1"/>
  <c r="I4428" i="2"/>
  <c r="L4428" i="2" s="1"/>
  <c r="I4458" i="2"/>
  <c r="L4458" i="2" s="1"/>
  <c r="I2634" i="2"/>
  <c r="L2634" i="2" s="1"/>
  <c r="I2776" i="2"/>
  <c r="L2776" i="2" s="1"/>
  <c r="I2790" i="2"/>
  <c r="L2790" i="2" s="1"/>
  <c r="I2862" i="2"/>
  <c r="L2862" i="2" s="1"/>
  <c r="I3064" i="2"/>
  <c r="L3064" i="2" s="1"/>
  <c r="I3088" i="2"/>
  <c r="L3088" i="2" s="1"/>
  <c r="I3102" i="2"/>
  <c r="L3102" i="2" s="1"/>
  <c r="I3162" i="2"/>
  <c r="L3162" i="2" s="1"/>
  <c r="I3234" i="2"/>
  <c r="L3234" i="2" s="1"/>
  <c r="I3256" i="2"/>
  <c r="L3256" i="2" s="1"/>
  <c r="I3372" i="2"/>
  <c r="L3372" i="2" s="1"/>
  <c r="I3694" i="2"/>
  <c r="L3694" i="2" s="1"/>
  <c r="I3878" i="2"/>
  <c r="L3878" i="2" s="1"/>
  <c r="I4105" i="2"/>
  <c r="L4105" i="2" s="1"/>
  <c r="I4179" i="2"/>
  <c r="L4179" i="2" s="1"/>
  <c r="I4574" i="2"/>
  <c r="L4574" i="2" s="1"/>
  <c r="I4616" i="2"/>
  <c r="L4616" i="2" s="1"/>
  <c r="I4717" i="2"/>
  <c r="L4717" i="2" s="1"/>
  <c r="I3777" i="2"/>
  <c r="L3777" i="2" s="1"/>
  <c r="I3992" i="2"/>
  <c r="L3992" i="2" s="1"/>
  <c r="I4028" i="2"/>
  <c r="L4028" i="2" s="1"/>
  <c r="I4344" i="2"/>
  <c r="L4344" i="2" s="1"/>
  <c r="I4577" i="2"/>
  <c r="L4577" i="2" s="1"/>
  <c r="I4943" i="2"/>
  <c r="L4943" i="2" s="1"/>
  <c r="I2500" i="2"/>
  <c r="L2500" i="2" s="1"/>
  <c r="I2536" i="2"/>
  <c r="L2536" i="2" s="1"/>
  <c r="I2572" i="2"/>
  <c r="L2572" i="2" s="1"/>
  <c r="I2608" i="2"/>
  <c r="L2608" i="2" s="1"/>
  <c r="I2814" i="2"/>
  <c r="L2814" i="2" s="1"/>
  <c r="I2908" i="2"/>
  <c r="L2908" i="2" s="1"/>
  <c r="I3124" i="2"/>
  <c r="L3124" i="2" s="1"/>
  <c r="I3138" i="2"/>
  <c r="L3138" i="2" s="1"/>
  <c r="I3367" i="2"/>
  <c r="L3367" i="2" s="1"/>
  <c r="I3400" i="2"/>
  <c r="L3400" i="2" s="1"/>
  <c r="I3460" i="2"/>
  <c r="L3460" i="2" s="1"/>
  <c r="I3595" i="2"/>
  <c r="L3595" i="2" s="1"/>
  <c r="I3860" i="2"/>
  <c r="L3860" i="2" s="1"/>
  <c r="I3863" i="2"/>
  <c r="L3863" i="2" s="1"/>
  <c r="I3981" i="2"/>
  <c r="L3981" i="2" s="1"/>
  <c r="I4025" i="2"/>
  <c r="L4025" i="2" s="1"/>
  <c r="I4150" i="2"/>
  <c r="L4150" i="2" s="1"/>
  <c r="I4165" i="2"/>
  <c r="L4165" i="2" s="1"/>
  <c r="I4196" i="2"/>
  <c r="L4196" i="2" s="1"/>
  <c r="I4257" i="2"/>
  <c r="L4257" i="2" s="1"/>
  <c r="I4714" i="2"/>
  <c r="L4714" i="2" s="1"/>
  <c r="I2620" i="2"/>
  <c r="L2620" i="2" s="1"/>
  <c r="I2656" i="2"/>
  <c r="L2656" i="2" s="1"/>
  <c r="I2802" i="2"/>
  <c r="L2802" i="2" s="1"/>
  <c r="I2838" i="2"/>
  <c r="L2838" i="2" s="1"/>
  <c r="I2874" i="2"/>
  <c r="L2874" i="2" s="1"/>
  <c r="I2920" i="2"/>
  <c r="L2920" i="2" s="1"/>
  <c r="I3030" i="2"/>
  <c r="L3030" i="2" s="1"/>
  <c r="I3076" i="2"/>
  <c r="L3076" i="2" s="1"/>
  <c r="I2682" i="2"/>
  <c r="L2682" i="2" s="1"/>
  <c r="I2728" i="2"/>
  <c r="L2728" i="2" s="1"/>
  <c r="I2910" i="2"/>
  <c r="L2910" i="2" s="1"/>
  <c r="I2946" i="2"/>
  <c r="L2946" i="2" s="1"/>
  <c r="I3066" i="2"/>
  <c r="L3066" i="2" s="1"/>
  <c r="I3112" i="2"/>
  <c r="L3112" i="2" s="1"/>
  <c r="I3148" i="2"/>
  <c r="L3148" i="2" s="1"/>
  <c r="I3294" i="2"/>
  <c r="L3294" i="2" s="1"/>
  <c r="I3544" i="2"/>
  <c r="L3544" i="2" s="1"/>
  <c r="I3633" i="2"/>
  <c r="L3633" i="2" s="1"/>
  <c r="I3733" i="2"/>
  <c r="L3733" i="2" s="1"/>
  <c r="I3854" i="2"/>
  <c r="L3854" i="2" s="1"/>
  <c r="I4079" i="2"/>
  <c r="L4079" i="2" s="1"/>
  <c r="I4311" i="2"/>
  <c r="L4311" i="2" s="1"/>
  <c r="I4314" i="2"/>
  <c r="L4314" i="2" s="1"/>
  <c r="I4331" i="2"/>
  <c r="L4331" i="2" s="1"/>
  <c r="I4582" i="2"/>
  <c r="L4582" i="2" s="1"/>
  <c r="I4611" i="2"/>
  <c r="L4611" i="2" s="1"/>
  <c r="I4815" i="2"/>
  <c r="L4815" i="2" s="1"/>
  <c r="I4926" i="2"/>
  <c r="L4926" i="2" s="1"/>
  <c r="I3563" i="2"/>
  <c r="L3563" i="2" s="1"/>
  <c r="I3599" i="2"/>
  <c r="L3599" i="2" s="1"/>
  <c r="I3645" i="2"/>
  <c r="L3645" i="2" s="1"/>
  <c r="I3681" i="2"/>
  <c r="L3681" i="2" s="1"/>
  <c r="I3720" i="2"/>
  <c r="L3720" i="2" s="1"/>
  <c r="I3764" i="2"/>
  <c r="L3764" i="2" s="1"/>
  <c r="I3875" i="2"/>
  <c r="L3875" i="2" s="1"/>
  <c r="I3897" i="2"/>
  <c r="L3897" i="2" s="1"/>
  <c r="I3993" i="2"/>
  <c r="L3993" i="2" s="1"/>
  <c r="I4004" i="2"/>
  <c r="L4004" i="2" s="1"/>
  <c r="I4045" i="2"/>
  <c r="L4045" i="2" s="1"/>
  <c r="I4109" i="2"/>
  <c r="L4109" i="2" s="1"/>
  <c r="I4123" i="2"/>
  <c r="L4123" i="2" s="1"/>
  <c r="I4222" i="2"/>
  <c r="L4222" i="2" s="1"/>
  <c r="I4447" i="2"/>
  <c r="L4447" i="2" s="1"/>
  <c r="I4658" i="2"/>
  <c r="L4658" i="2" s="1"/>
  <c r="I4786" i="2"/>
  <c r="L4786" i="2" s="1"/>
  <c r="I4820" i="2"/>
  <c r="L4820" i="2" s="1"/>
  <c r="I3710" i="2"/>
  <c r="L3710" i="2" s="1"/>
  <c r="I3803" i="2"/>
  <c r="L3803" i="2" s="1"/>
  <c r="I3881" i="2"/>
  <c r="L3881" i="2" s="1"/>
  <c r="I4302" i="2"/>
  <c r="L4302" i="2" s="1"/>
  <c r="I4383" i="2"/>
  <c r="L4383" i="2" s="1"/>
  <c r="I4436" i="2"/>
  <c r="L4436" i="2" s="1"/>
  <c r="I4488" i="2"/>
  <c r="L4488" i="2" s="1"/>
  <c r="I4510" i="2"/>
  <c r="L4510" i="2" s="1"/>
  <c r="I4683" i="2"/>
  <c r="L4683" i="2" s="1"/>
  <c r="I3812" i="2"/>
  <c r="L3812" i="2" s="1"/>
  <c r="I3925" i="2"/>
  <c r="L3925" i="2" s="1"/>
  <c r="I4059" i="2"/>
  <c r="L4059" i="2" s="1"/>
  <c r="I4125" i="2"/>
  <c r="L4125" i="2" s="1"/>
  <c r="I4141" i="2"/>
  <c r="L4141" i="2" s="1"/>
  <c r="I4305" i="2"/>
  <c r="L4305" i="2" s="1"/>
  <c r="I4449" i="2"/>
  <c r="L4449" i="2" s="1"/>
  <c r="I4583" i="2"/>
  <c r="L4583" i="2" s="1"/>
  <c r="I4633" i="2"/>
  <c r="L4633" i="2" s="1"/>
  <c r="I4745" i="2"/>
  <c r="L4745" i="2" s="1"/>
  <c r="I4799" i="2"/>
  <c r="L4799" i="2" s="1"/>
  <c r="I4886" i="2"/>
  <c r="L4886" i="2" s="1"/>
  <c r="I4892" i="2"/>
  <c r="L4892" i="2" s="1"/>
  <c r="I4909" i="2"/>
  <c r="L4909" i="2" s="1"/>
  <c r="I4918" i="2"/>
  <c r="L4918" i="2" s="1"/>
  <c r="I4984" i="2"/>
  <c r="L4984" i="2" s="1"/>
  <c r="I3851" i="2"/>
  <c r="L3851" i="2" s="1"/>
  <c r="I4136" i="2"/>
  <c r="L4136" i="2" s="1"/>
  <c r="I4149" i="2"/>
  <c r="L4149" i="2" s="1"/>
  <c r="I4212" i="2"/>
  <c r="L4212" i="2" s="1"/>
  <c r="I4220" i="2"/>
  <c r="L4220" i="2" s="1"/>
  <c r="I4282" i="2"/>
  <c r="L4282" i="2" s="1"/>
  <c r="I4353" i="2"/>
  <c r="L4353" i="2" s="1"/>
  <c r="I4356" i="2"/>
  <c r="L4356" i="2" s="1"/>
  <c r="I4389" i="2"/>
  <c r="L4389" i="2" s="1"/>
  <c r="I4495" i="2"/>
  <c r="L4495" i="2" s="1"/>
  <c r="I4601" i="2"/>
  <c r="L4601" i="2" s="1"/>
  <c r="I4640" i="2"/>
  <c r="L4640" i="2" s="1"/>
  <c r="I4930" i="2"/>
  <c r="L4930" i="2" s="1"/>
  <c r="I4994" i="2"/>
  <c r="L4994" i="2" s="1"/>
  <c r="I3945" i="2"/>
  <c r="L3945" i="2" s="1"/>
  <c r="I4341" i="2"/>
  <c r="L4341" i="2" s="1"/>
  <c r="I4461" i="2"/>
  <c r="L4461" i="2" s="1"/>
  <c r="I4659" i="2"/>
  <c r="L4659" i="2" s="1"/>
  <c r="I4829" i="2"/>
  <c r="L4829" i="2" s="1"/>
  <c r="I4873" i="2"/>
  <c r="L4873" i="2" s="1"/>
  <c r="I4967" i="2"/>
  <c r="L4967" i="2" s="1"/>
  <c r="I4992" i="2"/>
  <c r="L4992" i="2" s="1"/>
  <c r="I4089" i="2"/>
  <c r="L4089" i="2" s="1"/>
  <c r="I4245" i="2"/>
  <c r="L4245" i="2" s="1"/>
  <c r="I4538" i="2"/>
  <c r="L4538" i="2" s="1"/>
  <c r="I4546" i="2"/>
  <c r="L4546" i="2" s="1"/>
  <c r="I4587" i="2"/>
  <c r="L4587" i="2" s="1"/>
  <c r="I4590" i="2"/>
  <c r="L4590" i="2" s="1"/>
  <c r="I4766" i="2"/>
  <c r="L4766" i="2" s="1"/>
  <c r="I4838" i="2"/>
  <c r="L4838" i="2" s="1"/>
  <c r="I4365" i="2"/>
  <c r="L4365" i="2" s="1"/>
  <c r="I4485" i="2"/>
  <c r="L4485" i="2" s="1"/>
  <c r="I4600" i="2"/>
  <c r="L4600" i="2" s="1"/>
  <c r="I4634" i="2"/>
  <c r="L4634" i="2" s="1"/>
  <c r="I4650" i="2"/>
  <c r="L4650" i="2" s="1"/>
  <c r="I4684" i="2"/>
  <c r="L4684" i="2" s="1"/>
  <c r="I4734" i="2"/>
  <c r="L4734" i="2" s="1"/>
  <c r="I4804" i="2"/>
  <c r="L4804" i="2" s="1"/>
  <c r="I4922" i="2"/>
  <c r="L4922" i="2" s="1"/>
  <c r="I4562" i="2"/>
  <c r="L4562" i="2" s="1"/>
  <c r="I4610" i="2"/>
  <c r="L4610" i="2" s="1"/>
  <c r="I4778" i="2"/>
  <c r="L4778" i="2" s="1"/>
  <c r="I4878" i="2"/>
  <c r="L4878" i="2" s="1"/>
  <c r="I4514" i="2"/>
  <c r="L4514" i="2" s="1"/>
  <c r="I4598" i="2"/>
  <c r="L4598" i="2" s="1"/>
  <c r="I4670" i="2"/>
  <c r="L4670" i="2" s="1"/>
  <c r="I4754" i="2"/>
  <c r="L4754" i="2" s="1"/>
  <c r="I4826" i="2"/>
  <c r="L4826" i="2" s="1"/>
  <c r="I4898" i="2"/>
  <c r="L4898" i="2" s="1"/>
  <c r="E8" i="4" l="1"/>
  <c r="F8" i="4" s="1"/>
  <c r="H10" i="3"/>
  <c r="F7" i="5"/>
  <c r="G7" i="5" s="1"/>
  <c r="E7" i="4"/>
  <c r="F7" i="4" s="1"/>
  <c r="E6" i="3"/>
  <c r="E6" i="6" s="1"/>
  <c r="E9" i="4"/>
  <c r="F9" i="4" s="1"/>
  <c r="E17" i="5"/>
  <c r="F17" i="5" s="1"/>
  <c r="E15" i="4"/>
  <c r="F15" i="4" s="1"/>
  <c r="E13" i="4"/>
  <c r="F13" i="4" s="1"/>
  <c r="E6" i="4"/>
  <c r="F6" i="4" s="1"/>
  <c r="F8" i="5"/>
  <c r="G8" i="5" s="1"/>
  <c r="L3" i="2"/>
  <c r="E14" i="5"/>
  <c r="F14" i="5" s="1"/>
  <c r="E18" i="5"/>
  <c r="F18" i="5" s="1"/>
  <c r="F9" i="5"/>
  <c r="G9" i="5" s="1"/>
  <c r="L5" i="2"/>
  <c r="E5" i="4"/>
  <c r="F5" i="4" s="1"/>
  <c r="E12" i="4"/>
  <c r="F12" i="4" s="1"/>
  <c r="E15" i="5"/>
  <c r="F15" i="5" s="1"/>
  <c r="L4" i="2"/>
  <c r="E10" i="4"/>
  <c r="F10" i="4" s="1"/>
  <c r="E16" i="4"/>
  <c r="F16" i="4" s="1"/>
  <c r="E16" i="5"/>
  <c r="F16" i="5" s="1"/>
  <c r="L9" i="2"/>
  <c r="E11" i="4"/>
  <c r="F11" i="4" s="1"/>
  <c r="E14" i="4"/>
  <c r="F14" i="4" s="1"/>
  <c r="F6" i="5"/>
  <c r="G6" i="5" s="1"/>
</calcChain>
</file>

<file path=xl/sharedStrings.xml><?xml version="1.0" encoding="utf-8"?>
<sst xmlns="http://schemas.openxmlformats.org/spreadsheetml/2006/main" count="73996" uniqueCount="14548">
  <si>
    <t>ticket_id</t>
  </si>
  <si>
    <t>created_date</t>
  </si>
  <si>
    <t>resolved_date</t>
  </si>
  <si>
    <t>priority</t>
  </si>
  <si>
    <t>category</t>
  </si>
  <si>
    <t>team</t>
  </si>
  <si>
    <t>agent</t>
  </si>
  <si>
    <t>status</t>
  </si>
  <si>
    <t>customer_satisfaction</t>
  </si>
  <si>
    <t>sla_target_hours</t>
  </si>
  <si>
    <t>resolution_hours</t>
  </si>
  <si>
    <t>sla_met</t>
  </si>
  <si>
    <t>TCK-10001</t>
  </si>
  <si>
    <t>2024-09-05 15:53:23</t>
  </si>
  <si>
    <t>2024-09-05 21:43:34</t>
  </si>
  <si>
    <t>P2</t>
  </si>
  <si>
    <t>Access</t>
  </si>
  <si>
    <t>L2 Support</t>
  </si>
  <si>
    <t>Emily Watson</t>
  </si>
  <si>
    <t>Resolved</t>
  </si>
  <si>
    <t>TCK-10002</t>
  </si>
  <si>
    <t>2024-08-17 15:47:20</t>
  </si>
  <si>
    <t>2024-08-17 22:14:42</t>
  </si>
  <si>
    <t>P3</t>
  </si>
  <si>
    <t>Network</t>
  </si>
  <si>
    <t>TCK-10003</t>
  </si>
  <si>
    <t>2024-07-30 23:13:21</t>
  </si>
  <si>
    <t>2024-07-31 10:14:37</t>
  </si>
  <si>
    <t>Software</t>
  </si>
  <si>
    <t>Infrastructure</t>
  </si>
  <si>
    <t>Alex Mercer</t>
  </si>
  <si>
    <t>Closed</t>
  </si>
  <si>
    <t>TCK-10004</t>
  </si>
  <si>
    <t>2024-03-24 22:52:10</t>
  </si>
  <si>
    <t>2024-03-29 09:46:41</t>
  </si>
  <si>
    <t>P4</t>
  </si>
  <si>
    <t>L1 Support</t>
  </si>
  <si>
    <t>Jim Halpert</t>
  </si>
  <si>
    <t>TCK-10005</t>
  </si>
  <si>
    <t>2024-10-10 17:35:35</t>
  </si>
  <si>
    <t>2024-10-12 23:44:23</t>
  </si>
  <si>
    <t>Application Support</t>
  </si>
  <si>
    <t>Sarah Connor</t>
  </si>
  <si>
    <t>TCK-10006</t>
  </si>
  <si>
    <t>2024-08-12 13:18:43</t>
  </si>
  <si>
    <t>Michael Scott</t>
  </si>
  <si>
    <t>Escalated</t>
  </si>
  <si>
    <t>TCK-10007</t>
  </si>
  <si>
    <t>2024-11-28 12:08:20</t>
  </si>
  <si>
    <t>2024-11-28 15:27:22</t>
  </si>
  <si>
    <t>Dwight Schrute</t>
  </si>
  <si>
    <t>TCK-10008</t>
  </si>
  <si>
    <t>2024-04-14 00:24:49</t>
  </si>
  <si>
    <t>2024-04-14 07:48:27</t>
  </si>
  <si>
    <t>Hardware</t>
  </si>
  <si>
    <t>Anita Sharma</t>
  </si>
  <si>
    <t>TCK-10009</t>
  </si>
  <si>
    <t>2024-04-15 04:05:45</t>
  </si>
  <si>
    <t>2024-04-20 07:07:45</t>
  </si>
  <si>
    <t>Billing</t>
  </si>
  <si>
    <t>Billing Operations</t>
  </si>
  <si>
    <t>TCK-10010</t>
  </si>
  <si>
    <t>2024-01-13 19:11:45</t>
  </si>
  <si>
    <t>Open</t>
  </si>
  <si>
    <t>TCK-10011</t>
  </si>
  <si>
    <t>2024-08-08 14:30:04</t>
  </si>
  <si>
    <t>2024-08-09 01:07:48</t>
  </si>
  <si>
    <t>TCK-10012</t>
  </si>
  <si>
    <t>2024-10-16 15:48:02</t>
  </si>
  <si>
    <t>2024-10-16 22:40:28</t>
  </si>
  <si>
    <t>TCK-10013</t>
  </si>
  <si>
    <t>2024-07-17 05:07:45</t>
  </si>
  <si>
    <t>2024-07-17 16:08:28</t>
  </si>
  <si>
    <t>John Doe</t>
  </si>
  <si>
    <t>TCK-10014</t>
  </si>
  <si>
    <t>2024-05-28 12:56:58</t>
  </si>
  <si>
    <t>2024-05-29 06:03:07</t>
  </si>
  <si>
    <t>Ravi Patel</t>
  </si>
  <si>
    <t>TCK-10015</t>
  </si>
  <si>
    <t>2024-07-27 20:55:34</t>
  </si>
  <si>
    <t>2024-07-27 23:23:32</t>
  </si>
  <si>
    <t>TCK-10016</t>
  </si>
  <si>
    <t>2024-10-06 19:54:36</t>
  </si>
  <si>
    <t>TCK-10017</t>
  </si>
  <si>
    <t>2024-12-04 09:49:16</t>
  </si>
  <si>
    <t>2024-12-04 15:31:00</t>
  </si>
  <si>
    <t>TCK-10018</t>
  </si>
  <si>
    <t>2024-12-24 13:42:31</t>
  </si>
  <si>
    <t>2024-12-27 08:01:58</t>
  </si>
  <si>
    <t>TCK-10019</t>
  </si>
  <si>
    <t>2024-04-29 18:14:21</t>
  </si>
  <si>
    <t>2024-04-29 19:30:35</t>
  </si>
  <si>
    <t>TCK-10020</t>
  </si>
  <si>
    <t>2024-10-24 18:05:39</t>
  </si>
  <si>
    <t>2024-10-25 09:05:42</t>
  </si>
  <si>
    <t>TCK-10021</t>
  </si>
  <si>
    <t>2024-07-28 18:36:13</t>
  </si>
  <si>
    <t>TCK-10022</t>
  </si>
  <si>
    <t>2024-09-09 17:18:09</t>
  </si>
  <si>
    <t>2024-09-09 20:07:53</t>
  </si>
  <si>
    <t>TCK-10023</t>
  </si>
  <si>
    <t>2024-08-16 20:39:33</t>
  </si>
  <si>
    <t>2024-08-16 23:42:21</t>
  </si>
  <si>
    <t>TCK-10024</t>
  </si>
  <si>
    <t>2024-04-18 11:35:46</t>
  </si>
  <si>
    <t>Priya Nair</t>
  </si>
  <si>
    <t>TCK-10025</t>
  </si>
  <si>
    <t>2024-08-10 02:30:26</t>
  </si>
  <si>
    <t>2024-08-10 13:42:02</t>
  </si>
  <si>
    <t>TCK-10026</t>
  </si>
  <si>
    <t>2024-06-30 16:59:07</t>
  </si>
  <si>
    <t>2024-07-02 08:56:29</t>
  </si>
  <si>
    <t>TCK-10027</t>
  </si>
  <si>
    <t>2024-03-15 04:52:31</t>
  </si>
  <si>
    <t>2024-03-16 09:36:11</t>
  </si>
  <si>
    <t>TCK-10028</t>
  </si>
  <si>
    <t>2024-11-28 18:11:22</t>
  </si>
  <si>
    <t>TCK-10029</t>
  </si>
  <si>
    <t>2024-12-26 02:21:57</t>
  </si>
  <si>
    <t>2024-12-28 21:48:00</t>
  </si>
  <si>
    <t>TCK-10030</t>
  </si>
  <si>
    <t>2024-01-02 04:05:22</t>
  </si>
  <si>
    <t>TCK-10031</t>
  </si>
  <si>
    <t>2024-10-06 08:03:01</t>
  </si>
  <si>
    <t>2024-10-07 01:42:32</t>
  </si>
  <si>
    <t>TCK-10032</t>
  </si>
  <si>
    <t>2024-08-15 04:55:47</t>
  </si>
  <si>
    <t>2024-08-16 00:41:49</t>
  </si>
  <si>
    <t>TCK-10033</t>
  </si>
  <si>
    <t>2024-01-27 17:26:28</t>
  </si>
  <si>
    <t>2024-01-28 08:28:35</t>
  </si>
  <si>
    <t>TCK-10034</t>
  </si>
  <si>
    <t>2024-08-15 00:13:12</t>
  </si>
  <si>
    <t>2024-08-15 08:02:18</t>
  </si>
  <si>
    <t>TCK-10035</t>
  </si>
  <si>
    <t>2024-09-08 00:30:12</t>
  </si>
  <si>
    <t>2024-09-09 00:26:32</t>
  </si>
  <si>
    <t>TCK-10036</t>
  </si>
  <si>
    <t>2024-03-24 02:44:31</t>
  </si>
  <si>
    <t>2024-03-24 08:21:35</t>
  </si>
  <si>
    <t>TCK-10037</t>
  </si>
  <si>
    <t>2024-09-30 13:28:02</t>
  </si>
  <si>
    <t>2024-09-30 20:36:11</t>
  </si>
  <si>
    <t>TCK-10038</t>
  </si>
  <si>
    <t>2024-12-07 08:44:11</t>
  </si>
  <si>
    <t>2024-12-07 13:38:57</t>
  </si>
  <si>
    <t>TCK-10039</t>
  </si>
  <si>
    <t>2024-03-20 09:39:52</t>
  </si>
  <si>
    <t>2024-03-21 13:14:30</t>
  </si>
  <si>
    <t>TCK-10040</t>
  </si>
  <si>
    <t>2024-11-18 10:05:04</t>
  </si>
  <si>
    <t>Carlos Mendez</t>
  </si>
  <si>
    <t>TCK-10041</t>
  </si>
  <si>
    <t>2024-03-04 02:03:11</t>
  </si>
  <si>
    <t>2024-03-04 22:28:06</t>
  </si>
  <si>
    <t>TCK-10042</t>
  </si>
  <si>
    <t>2024-07-31 05:16:12</t>
  </si>
  <si>
    <t>2024-07-31 06:54:35</t>
  </si>
  <si>
    <t>P1</t>
  </si>
  <si>
    <t>TCK-10043</t>
  </si>
  <si>
    <t>2024-11-30 14:19:46</t>
  </si>
  <si>
    <t>2024-11-30 17:44:07</t>
  </si>
  <si>
    <t>TCK-10044</t>
  </si>
  <si>
    <t>2024-08-29 08:59:04</t>
  </si>
  <si>
    <t>TCK-10045</t>
  </si>
  <si>
    <t>2024-11-11 04:56:24</t>
  </si>
  <si>
    <t>TCK-10046</t>
  </si>
  <si>
    <t>2024-10-31 04:22:14</t>
  </si>
  <si>
    <t>2024-11-01 00:46:41</t>
  </si>
  <si>
    <t>TCK-10047</t>
  </si>
  <si>
    <t>2024-07-02 03:08:56</t>
  </si>
  <si>
    <t>2024-07-02 05:29:47</t>
  </si>
  <si>
    <t>Pam Beesly</t>
  </si>
  <si>
    <t>TCK-10048</t>
  </si>
  <si>
    <t>2024-03-16 08:06:00</t>
  </si>
  <si>
    <t>2024-03-17 00:21:43</t>
  </si>
  <si>
    <t>TCK-10049</t>
  </si>
  <si>
    <t>2024-05-08 22:32:25</t>
  </si>
  <si>
    <t>2024-05-11 04:31:16</t>
  </si>
  <si>
    <t>TCK-10050</t>
  </si>
  <si>
    <t>2024-05-14 14:02:14</t>
  </si>
  <si>
    <t>2024-05-16 00:07:58</t>
  </si>
  <si>
    <t>TCK-10051</t>
  </si>
  <si>
    <t>2024-06-18 16:21:02</t>
  </si>
  <si>
    <t>2024-06-18 19:01:50</t>
  </si>
  <si>
    <t>TCK-10052</t>
  </si>
  <si>
    <t>2024-01-28 12:12:11</t>
  </si>
  <si>
    <t>2024-01-30 05:43:29</t>
  </si>
  <si>
    <t>TCK-10053</t>
  </si>
  <si>
    <t>2024-09-16 07:53:32</t>
  </si>
  <si>
    <t>2024-09-17 05:28:32</t>
  </si>
  <si>
    <t>TCK-10054</t>
  </si>
  <si>
    <t>2024-12-16 22:45:27</t>
  </si>
  <si>
    <t>2024-12-17 00:59:12</t>
  </si>
  <si>
    <t>TCK-10055</t>
  </si>
  <si>
    <t>2024-08-23 22:29:44</t>
  </si>
  <si>
    <t>2024-08-24 19:16:46</t>
  </si>
  <si>
    <t>TCK-10056</t>
  </si>
  <si>
    <t>2024-03-07 05:38:18</t>
  </si>
  <si>
    <t>2024-03-08 17:49:48</t>
  </si>
  <si>
    <t>TCK-10057</t>
  </si>
  <si>
    <t>2024-11-09 13:42:39</t>
  </si>
  <si>
    <t>2024-11-09 17:36:27</t>
  </si>
  <si>
    <t>TCK-10058</t>
  </si>
  <si>
    <t>2024-08-11 21:38:30</t>
  </si>
  <si>
    <t>2024-08-11 22:28:45</t>
  </si>
  <si>
    <t>TCK-10059</t>
  </si>
  <si>
    <t>2024-10-26 09:21:02</t>
  </si>
  <si>
    <t>2024-10-27 09:06:15</t>
  </si>
  <si>
    <t>TCK-10060</t>
  </si>
  <si>
    <t>2024-12-22 15:26:25</t>
  </si>
  <si>
    <t>2024-12-23 09:11:09</t>
  </si>
  <si>
    <t>TCK-10061</t>
  </si>
  <si>
    <t>2024-06-21 05:04:59</t>
  </si>
  <si>
    <t>2024-06-22 01:47:09</t>
  </si>
  <si>
    <t>TCK-10062</t>
  </si>
  <si>
    <t>2024-07-03 16:17:11</t>
  </si>
  <si>
    <t>2024-07-04 03:39:35</t>
  </si>
  <si>
    <t>TCK-10063</t>
  </si>
  <si>
    <t>2024-04-01 09:38:18</t>
  </si>
  <si>
    <t>2024-04-01 15:09:25</t>
  </si>
  <si>
    <t>TCK-10064</t>
  </si>
  <si>
    <t>2024-01-26 06:39:22</t>
  </si>
  <si>
    <t>2024-01-28 02:05:01</t>
  </si>
  <si>
    <t>TCK-10065</t>
  </si>
  <si>
    <t>2024-09-27 10:44:38</t>
  </si>
  <si>
    <t>2024-09-27 17:16:23</t>
  </si>
  <si>
    <t>TCK-10066</t>
  </si>
  <si>
    <t>2024-12-12 14:42:05</t>
  </si>
  <si>
    <t>2024-12-13 06:38:13</t>
  </si>
  <si>
    <t>TCK-10067</t>
  </si>
  <si>
    <t>2024-05-31 08:24:42</t>
  </si>
  <si>
    <t>2024-05-31 10:04:46</t>
  </si>
  <si>
    <t>TCK-10068</t>
  </si>
  <si>
    <t>2024-01-11 19:20:43</t>
  </si>
  <si>
    <t>2024-01-12 18:58:57</t>
  </si>
  <si>
    <t>TCK-10069</t>
  </si>
  <si>
    <t>2024-05-27 13:30:14</t>
  </si>
  <si>
    <t>2024-05-28 04:28:49</t>
  </si>
  <si>
    <t>TCK-10070</t>
  </si>
  <si>
    <t>2024-07-01 23:34:38</t>
  </si>
  <si>
    <t>2024-07-02 02:11:35</t>
  </si>
  <si>
    <t>TCK-10071</t>
  </si>
  <si>
    <t>2024-04-06 08:50:50</t>
  </si>
  <si>
    <t>2024-04-06 13:28:55</t>
  </si>
  <si>
    <t>TCK-10072</t>
  </si>
  <si>
    <t>2024-09-28 23:29:09</t>
  </si>
  <si>
    <t>TCK-10073</t>
  </si>
  <si>
    <t>2024-10-06 07:34:28</t>
  </si>
  <si>
    <t>2024-10-07 00:57:24</t>
  </si>
  <si>
    <t>TCK-10074</t>
  </si>
  <si>
    <t>2024-05-26 02:06:51</t>
  </si>
  <si>
    <t>2024-05-26 06:35:34</t>
  </si>
  <si>
    <t>TCK-10075</t>
  </si>
  <si>
    <t>2024-11-26 13:18:26</t>
  </si>
  <si>
    <t>2024-11-26 23:16:00</t>
  </si>
  <si>
    <t>TCK-10076</t>
  </si>
  <si>
    <t>2024-05-12 20:30:18</t>
  </si>
  <si>
    <t>2024-05-12 23:56:10</t>
  </si>
  <si>
    <t>TCK-10077</t>
  </si>
  <si>
    <t>2024-02-29 17:58:51</t>
  </si>
  <si>
    <t>2024-03-01 06:14:39</t>
  </si>
  <si>
    <t>TCK-10078</t>
  </si>
  <si>
    <t>2024-10-11 05:39:29</t>
  </si>
  <si>
    <t>2024-10-11 23:22:03</t>
  </si>
  <si>
    <t>TCK-10079</t>
  </si>
  <si>
    <t>2024-09-16 19:58:04</t>
  </si>
  <si>
    <t>2024-09-17 03:38:17</t>
  </si>
  <si>
    <t>TCK-10080</t>
  </si>
  <si>
    <t>2024-08-19 20:34:02</t>
  </si>
  <si>
    <t>TCK-10081</t>
  </si>
  <si>
    <t>2024-02-03 13:58:14</t>
  </si>
  <si>
    <t>2024-02-03 18:06:29</t>
  </si>
  <si>
    <t>TCK-10082</t>
  </si>
  <si>
    <t>2024-02-06 11:19:12</t>
  </si>
  <si>
    <t>2024-02-06 15:53:01</t>
  </si>
  <si>
    <t>TCK-10083</t>
  </si>
  <si>
    <t>2024-10-17 00:37:19</t>
  </si>
  <si>
    <t>2024-10-17 17:44:10</t>
  </si>
  <si>
    <t>TCK-10084</t>
  </si>
  <si>
    <t>2024-10-15 20:09:12</t>
  </si>
  <si>
    <t>2024-10-16 13:20:05</t>
  </si>
  <si>
    <t>TCK-10085</t>
  </si>
  <si>
    <t>2024-07-23 01:58:12</t>
  </si>
  <si>
    <t>2024-07-23 04:39:31</t>
  </si>
  <si>
    <t>TCK-10086</t>
  </si>
  <si>
    <t>2024-04-16 20:46:00</t>
  </si>
  <si>
    <t>TCK-10087</t>
  </si>
  <si>
    <t>2024-09-05 01:22:33</t>
  </si>
  <si>
    <t>2024-09-05 20:04:35</t>
  </si>
  <si>
    <t>TCK-10088</t>
  </si>
  <si>
    <t>2024-04-08 09:16:08</t>
  </si>
  <si>
    <t>2024-04-09 18:04:33</t>
  </si>
  <si>
    <t>TCK-10089</t>
  </si>
  <si>
    <t>2024-11-11 08:23:31</t>
  </si>
  <si>
    <t>2024-11-11 22:57:10</t>
  </si>
  <si>
    <t>TCK-10090</t>
  </si>
  <si>
    <t>2024-10-28 13:59:16</t>
  </si>
  <si>
    <t>2024-10-30 05:28:46</t>
  </si>
  <si>
    <t>TCK-10091</t>
  </si>
  <si>
    <t>2024-08-25 02:10:18</t>
  </si>
  <si>
    <t>2024-08-25 13:22:46</t>
  </si>
  <si>
    <t>TCK-10092</t>
  </si>
  <si>
    <t>2024-01-30 11:39:19</t>
  </si>
  <si>
    <t>2024-01-30 17:15:45</t>
  </si>
  <si>
    <t>TCK-10093</t>
  </si>
  <si>
    <t>2024-06-25 15:52:43</t>
  </si>
  <si>
    <t>2024-06-25 16:57:04</t>
  </si>
  <si>
    <t>TCK-10094</t>
  </si>
  <si>
    <t>2024-03-28 15:22:33</t>
  </si>
  <si>
    <t>2024-03-29 05:54:53</t>
  </si>
  <si>
    <t>TCK-10095</t>
  </si>
  <si>
    <t>2024-12-24 02:08:12</t>
  </si>
  <si>
    <t>2024-12-24 06:36:30</t>
  </si>
  <si>
    <t>TCK-10096</t>
  </si>
  <si>
    <t>2024-08-20 14:06:20</t>
  </si>
  <si>
    <t>2024-08-20 17:46:33</t>
  </si>
  <si>
    <t>TCK-10097</t>
  </si>
  <si>
    <t>2024-08-11 17:14:39</t>
  </si>
  <si>
    <t>2024-08-12 05:14:32</t>
  </si>
  <si>
    <t>TCK-10098</t>
  </si>
  <si>
    <t>2024-12-22 02:25:02</t>
  </si>
  <si>
    <t>2024-12-22 18:08:57</t>
  </si>
  <si>
    <t>TCK-10099</t>
  </si>
  <si>
    <t>2024-05-05 00:28:47</t>
  </si>
  <si>
    <t>2024-05-05 22:09:42</t>
  </si>
  <si>
    <t>TCK-10100</t>
  </si>
  <si>
    <t>2024-08-01 23:16:19</t>
  </si>
  <si>
    <t>2024-08-02 02:36:45</t>
  </si>
  <si>
    <t>TCK-10101</t>
  </si>
  <si>
    <t>2024-01-01 18:43:43</t>
  </si>
  <si>
    <t>2024-01-02 12:33:36</t>
  </si>
  <si>
    <t>TCK-10102</t>
  </si>
  <si>
    <t>2024-10-22 11:37:30</t>
  </si>
  <si>
    <t>2024-10-22 12:26:16</t>
  </si>
  <si>
    <t>TCK-10103</t>
  </si>
  <si>
    <t>2024-08-24 19:05:42</t>
  </si>
  <si>
    <t>2024-08-25 02:04:44</t>
  </si>
  <si>
    <t>TCK-10104</t>
  </si>
  <si>
    <t>2024-02-14 09:32:03</t>
  </si>
  <si>
    <t>TCK-10105</t>
  </si>
  <si>
    <t>2024-04-23 16:20:48</t>
  </si>
  <si>
    <t>2024-04-24 02:34:18</t>
  </si>
  <si>
    <t>TCK-10106</t>
  </si>
  <si>
    <t>2024-07-16 17:08:54</t>
  </si>
  <si>
    <t>2024-07-18 10:15:16</t>
  </si>
  <si>
    <t>TCK-10107</t>
  </si>
  <si>
    <t>2024-04-14 02:13:46</t>
  </si>
  <si>
    <t>2024-04-15 14:13:46</t>
  </si>
  <si>
    <t>TCK-10108</t>
  </si>
  <si>
    <t>2024-07-07 10:23:20</t>
  </si>
  <si>
    <t>2024-07-07 12:28:18</t>
  </si>
  <si>
    <t>TCK-10109</t>
  </si>
  <si>
    <t>2024-08-10 09:32:25</t>
  </si>
  <si>
    <t>2024-08-11 06:34:27</t>
  </si>
  <si>
    <t>TCK-10110</t>
  </si>
  <si>
    <t>2024-09-15 02:01:41</t>
  </si>
  <si>
    <t>TCK-10111</t>
  </si>
  <si>
    <t>2024-02-19 08:42:01</t>
  </si>
  <si>
    <t>2024-02-20 10:37:06</t>
  </si>
  <si>
    <t>TCK-10112</t>
  </si>
  <si>
    <t>2024-12-04 13:41:01</t>
  </si>
  <si>
    <t>2024-12-05 05:20:25</t>
  </si>
  <si>
    <t>TCK-10113</t>
  </si>
  <si>
    <t>2024-11-27 08:23:49</t>
  </si>
  <si>
    <t>2024-11-28 04:35:36</t>
  </si>
  <si>
    <t>TCK-10114</t>
  </si>
  <si>
    <t>2024-01-27 21:43:39</t>
  </si>
  <si>
    <t>2024-01-27 23:11:48</t>
  </si>
  <si>
    <t>TCK-10115</t>
  </si>
  <si>
    <t>2024-12-05 05:01:40</t>
  </si>
  <si>
    <t>2024-12-05 07:49:21</t>
  </si>
  <si>
    <t>TCK-10116</t>
  </si>
  <si>
    <t>2024-02-26 20:48:31</t>
  </si>
  <si>
    <t>2024-02-27 00:12:35</t>
  </si>
  <si>
    <t>TCK-10117</t>
  </si>
  <si>
    <t>2024-07-12 14:35:41</t>
  </si>
  <si>
    <t>2024-07-12 19:46:41</t>
  </si>
  <si>
    <t>TCK-10118</t>
  </si>
  <si>
    <t>2024-12-16 07:52:50</t>
  </si>
  <si>
    <t>TCK-10119</t>
  </si>
  <si>
    <t>2024-08-16 12:33:54</t>
  </si>
  <si>
    <t>2024-08-16 15:58:51</t>
  </si>
  <si>
    <t>TCK-10120</t>
  </si>
  <si>
    <t>2024-04-02 10:55:02</t>
  </si>
  <si>
    <t>2024-04-04 18:55:20</t>
  </si>
  <si>
    <t>TCK-10121</t>
  </si>
  <si>
    <t>2024-08-08 02:50:26</t>
  </si>
  <si>
    <t>2024-08-13 17:45:18</t>
  </si>
  <si>
    <t>TCK-10122</t>
  </si>
  <si>
    <t>2024-03-30 16:51:31</t>
  </si>
  <si>
    <t>2024-03-31 10:54:54</t>
  </si>
  <si>
    <t>TCK-10123</t>
  </si>
  <si>
    <t>2024-02-23 10:52:29</t>
  </si>
  <si>
    <t>2024-02-23 20:43:04</t>
  </si>
  <si>
    <t>TCK-10124</t>
  </si>
  <si>
    <t>2024-12-19 14:20:44</t>
  </si>
  <si>
    <t>2024-12-19 21:45:06</t>
  </si>
  <si>
    <t>TCK-10125</t>
  </si>
  <si>
    <t>2024-12-21 02:18:56</t>
  </si>
  <si>
    <t>2024-12-21 03:53:55</t>
  </si>
  <si>
    <t>TCK-10126</t>
  </si>
  <si>
    <t>2024-02-24 23:57:01</t>
  </si>
  <si>
    <t>2024-02-25 02:38:03</t>
  </si>
  <si>
    <t>TCK-10127</t>
  </si>
  <si>
    <t>2024-06-25 22:54:46</t>
  </si>
  <si>
    <t>2024-06-26 08:53:27</t>
  </si>
  <si>
    <t>TCK-10128</t>
  </si>
  <si>
    <t>2024-07-02 10:28:58</t>
  </si>
  <si>
    <t>TCK-10129</t>
  </si>
  <si>
    <t>2024-03-27 07:17:30</t>
  </si>
  <si>
    <t>2024-03-27 12:32:35</t>
  </si>
  <si>
    <t>TCK-10130</t>
  </si>
  <si>
    <t>2024-04-28 12:53:00</t>
  </si>
  <si>
    <t>2024-04-29 21:02:21</t>
  </si>
  <si>
    <t>TCK-10131</t>
  </si>
  <si>
    <t>2024-07-29 02:57:32</t>
  </si>
  <si>
    <t>2024-07-31 08:58:17</t>
  </si>
  <si>
    <t>TCK-10132</t>
  </si>
  <si>
    <t>2024-04-18 23:22:01</t>
  </si>
  <si>
    <t>TCK-10133</t>
  </si>
  <si>
    <t>2024-11-28 13:22:25</t>
  </si>
  <si>
    <t>TCK-10134</t>
  </si>
  <si>
    <t>2024-09-07 18:13:17</t>
  </si>
  <si>
    <t>TCK-10135</t>
  </si>
  <si>
    <t>2024-11-16 10:01:03</t>
  </si>
  <si>
    <t>2024-11-17 08:35:22</t>
  </si>
  <si>
    <t>TCK-10136</t>
  </si>
  <si>
    <t>2024-03-21 00:39:16</t>
  </si>
  <si>
    <t>2024-03-21 07:25:01</t>
  </si>
  <si>
    <t>TCK-10137</t>
  </si>
  <si>
    <t>2024-12-16 01:33:27</t>
  </si>
  <si>
    <t>2024-12-16 06:11:59</t>
  </si>
  <si>
    <t>TCK-10138</t>
  </si>
  <si>
    <t>2024-02-21 12:29:42</t>
  </si>
  <si>
    <t>2024-02-21 13:04:23</t>
  </si>
  <si>
    <t>TCK-10139</t>
  </si>
  <si>
    <t>2024-07-23 15:28:21</t>
  </si>
  <si>
    <t>2024-07-23 19:41:54</t>
  </si>
  <si>
    <t>TCK-10140</t>
  </si>
  <si>
    <t>2024-01-18 04:11:29</t>
  </si>
  <si>
    <t>2024-01-19 08:14:16</t>
  </si>
  <si>
    <t>TCK-10141</t>
  </si>
  <si>
    <t>2024-06-05 07:20:38</t>
  </si>
  <si>
    <t>2024-06-05 12:46:11</t>
  </si>
  <si>
    <t>TCK-10142</t>
  </si>
  <si>
    <t>2024-08-30 19:03:38</t>
  </si>
  <si>
    <t>TCK-10143</t>
  </si>
  <si>
    <t>2024-07-25 09:08:53</t>
  </si>
  <si>
    <t>2024-07-25 14:24:00</t>
  </si>
  <si>
    <t>TCK-10144</t>
  </si>
  <si>
    <t>2024-08-02 10:49:00</t>
  </si>
  <si>
    <t>2024-08-04 06:40:38</t>
  </si>
  <si>
    <t>TCK-10145</t>
  </si>
  <si>
    <t>2024-05-01 17:09:42</t>
  </si>
  <si>
    <t>2024-05-01 21:25:21</t>
  </si>
  <si>
    <t>TCK-10146</t>
  </si>
  <si>
    <t>2024-06-17 01:22:51</t>
  </si>
  <si>
    <t>2024-06-17 09:57:43</t>
  </si>
  <si>
    <t>TCK-10147</t>
  </si>
  <si>
    <t>2024-06-08 21:00:50</t>
  </si>
  <si>
    <t>2024-06-09 05:47:16</t>
  </si>
  <si>
    <t>TCK-10148</t>
  </si>
  <si>
    <t>2024-07-16 09:25:39</t>
  </si>
  <si>
    <t>2024-07-16 11:00:31</t>
  </si>
  <si>
    <t>TCK-10149</t>
  </si>
  <si>
    <t>2024-03-29 03:57:19</t>
  </si>
  <si>
    <t>2024-03-30 09:36:08</t>
  </si>
  <si>
    <t>TCK-10150</t>
  </si>
  <si>
    <t>2024-09-26 15:37:11</t>
  </si>
  <si>
    <t>2024-09-26 17:23:37</t>
  </si>
  <si>
    <t>TCK-10151</t>
  </si>
  <si>
    <t>2024-01-28 08:34:59</t>
  </si>
  <si>
    <t>2024-01-28 12:14:16</t>
  </si>
  <si>
    <t>TCK-10152</t>
  </si>
  <si>
    <t>2024-05-24 01:08:41</t>
  </si>
  <si>
    <t>2024-05-24 03:00:54</t>
  </si>
  <si>
    <t>TCK-10153</t>
  </si>
  <si>
    <t>2024-09-19 01:50:37</t>
  </si>
  <si>
    <t>2024-09-19 02:58:35</t>
  </si>
  <si>
    <t>TCK-10154</t>
  </si>
  <si>
    <t>2024-05-14 09:14:39</t>
  </si>
  <si>
    <t>2024-05-14 16:08:33</t>
  </si>
  <si>
    <t>TCK-10155</t>
  </si>
  <si>
    <t>2024-01-22 14:36:17</t>
  </si>
  <si>
    <t>2024-01-22 15:24:45</t>
  </si>
  <si>
    <t>TCK-10156</t>
  </si>
  <si>
    <t>2024-06-16 13:59:44</t>
  </si>
  <si>
    <t>2024-06-16 17:12:14</t>
  </si>
  <si>
    <t>TCK-10157</t>
  </si>
  <si>
    <t>2024-10-15 12:19:35</t>
  </si>
  <si>
    <t>2024-10-15 15:08:19</t>
  </si>
  <si>
    <t>TCK-10158</t>
  </si>
  <si>
    <t>2024-02-15 01:29:37</t>
  </si>
  <si>
    <t>2024-02-15 11:16:31</t>
  </si>
  <si>
    <t>TCK-10159</t>
  </si>
  <si>
    <t>2024-02-11 10:42:57</t>
  </si>
  <si>
    <t>2024-02-11 13:49:28</t>
  </si>
  <si>
    <t>TCK-10160</t>
  </si>
  <si>
    <t>2024-03-06 15:06:37</t>
  </si>
  <si>
    <t>2024-03-06 16:42:14</t>
  </si>
  <si>
    <t>TCK-10161</t>
  </si>
  <si>
    <t>2024-09-07 23:57:52</t>
  </si>
  <si>
    <t>2024-09-09 11:46:52</t>
  </si>
  <si>
    <t>TCK-10162</t>
  </si>
  <si>
    <t>2024-03-10 03:07:17</t>
  </si>
  <si>
    <t>2024-03-11 21:37:36</t>
  </si>
  <si>
    <t>TCK-10163</t>
  </si>
  <si>
    <t>2024-09-04 01:24:34</t>
  </si>
  <si>
    <t>2024-09-05 07:58:11</t>
  </si>
  <si>
    <t>TCK-10164</t>
  </si>
  <si>
    <t>2024-08-18 00:25:54</t>
  </si>
  <si>
    <t>2024-08-18 03:39:33</t>
  </si>
  <si>
    <t>TCK-10165</t>
  </si>
  <si>
    <t>2024-12-01 23:23:38</t>
  </si>
  <si>
    <t>2024-12-03 19:07:35</t>
  </si>
  <si>
    <t>TCK-10166</t>
  </si>
  <si>
    <t>2024-01-17 06:21:33</t>
  </si>
  <si>
    <t>2024-01-18 04:17:48</t>
  </si>
  <si>
    <t>TCK-10167</t>
  </si>
  <si>
    <t>2024-11-11 06:45:30</t>
  </si>
  <si>
    <t>2024-11-12 16:25:45</t>
  </si>
  <si>
    <t>TCK-10168</t>
  </si>
  <si>
    <t>2024-07-22 20:40:22</t>
  </si>
  <si>
    <t>2024-07-23 12:55:20</t>
  </si>
  <si>
    <t>TCK-10169</t>
  </si>
  <si>
    <t>2024-09-02 08:17:20</t>
  </si>
  <si>
    <t>2024-09-03 01:27:10</t>
  </si>
  <si>
    <t>TCK-10170</t>
  </si>
  <si>
    <t>2024-12-18 07:43:34</t>
  </si>
  <si>
    <t>2024-12-19 23:26:41</t>
  </si>
  <si>
    <t>TCK-10171</t>
  </si>
  <si>
    <t>2024-09-14 11:32:49</t>
  </si>
  <si>
    <t>2024-09-14 20:38:52</t>
  </si>
  <si>
    <t>TCK-10172</t>
  </si>
  <si>
    <t>2024-09-30 06:51:30</t>
  </si>
  <si>
    <t>TCK-10173</t>
  </si>
  <si>
    <t>2024-03-11 08:10:19</t>
  </si>
  <si>
    <t>2024-03-11 16:07:13</t>
  </si>
  <si>
    <t>TCK-10174</t>
  </si>
  <si>
    <t>2024-02-09 14:42:00</t>
  </si>
  <si>
    <t>2024-02-11 20:49:25</t>
  </si>
  <si>
    <t>TCK-10175</t>
  </si>
  <si>
    <t>2024-03-01 05:44:23</t>
  </si>
  <si>
    <t>2024-03-01 09:01:01</t>
  </si>
  <si>
    <t>TCK-10176</t>
  </si>
  <si>
    <t>2024-06-21 20:13:55</t>
  </si>
  <si>
    <t>2024-06-22 15:07:40</t>
  </si>
  <si>
    <t>TCK-10177</t>
  </si>
  <si>
    <t>2024-11-20 15:49:15</t>
  </si>
  <si>
    <t>2024-11-20 19:13:03</t>
  </si>
  <si>
    <t>TCK-10178</t>
  </si>
  <si>
    <t>2024-03-04 06:29:29</t>
  </si>
  <si>
    <t>2024-04-03 03:29:29</t>
  </si>
  <si>
    <t>TCK-10179</t>
  </si>
  <si>
    <t>2024-10-03 14:44:15</t>
  </si>
  <si>
    <t>2024-10-05 08:28:26</t>
  </si>
  <si>
    <t>TCK-10180</t>
  </si>
  <si>
    <t>2024-06-19 05:32:23</t>
  </si>
  <si>
    <t>TCK-10181</t>
  </si>
  <si>
    <t>2024-06-10 11:07:10</t>
  </si>
  <si>
    <t>TCK-10182</t>
  </si>
  <si>
    <t>2024-05-25 22:26:21</t>
  </si>
  <si>
    <t>2024-05-26 00:10:29</t>
  </si>
  <si>
    <t>TCK-10183</t>
  </si>
  <si>
    <t>2024-11-18 13:56:18</t>
  </si>
  <si>
    <t>2024-11-19 16:01:39</t>
  </si>
  <si>
    <t>TCK-10184</t>
  </si>
  <si>
    <t>2024-02-28 09:37:25</t>
  </si>
  <si>
    <t>2024-02-28 18:10:01</t>
  </si>
  <si>
    <t>TCK-10185</t>
  </si>
  <si>
    <t>2024-06-12 09:03:27</t>
  </si>
  <si>
    <t>2024-06-12 22:23:34</t>
  </si>
  <si>
    <t>TCK-10186</t>
  </si>
  <si>
    <t>2024-08-11 15:49:50</t>
  </si>
  <si>
    <t>2024-08-11 19:27:47</t>
  </si>
  <si>
    <t>TCK-10187</t>
  </si>
  <si>
    <t>2024-02-03 13:58:47</t>
  </si>
  <si>
    <t>2024-02-05 17:06:50</t>
  </si>
  <si>
    <t>TCK-10188</t>
  </si>
  <si>
    <t>2024-07-01 21:58:35</t>
  </si>
  <si>
    <t>2024-07-01 22:36:21</t>
  </si>
  <si>
    <t>TCK-10189</t>
  </si>
  <si>
    <t>2024-09-12 12:39:24</t>
  </si>
  <si>
    <t>2024-09-13 07:39:08</t>
  </si>
  <si>
    <t>TCK-10190</t>
  </si>
  <si>
    <t>2024-10-29 22:08:07</t>
  </si>
  <si>
    <t>2024-10-30 15:08:33</t>
  </si>
  <si>
    <t>TCK-10191</t>
  </si>
  <si>
    <t>2024-01-15 16:42:50</t>
  </si>
  <si>
    <t>2024-01-15 20:13:18</t>
  </si>
  <si>
    <t>TCK-10192</t>
  </si>
  <si>
    <t>2024-07-03 04:24:20</t>
  </si>
  <si>
    <t>2024-07-03 11:05:34</t>
  </si>
  <si>
    <t>TCK-10193</t>
  </si>
  <si>
    <t>2024-02-18 16:11:28</t>
  </si>
  <si>
    <t>2024-02-20 09:15:28</t>
  </si>
  <si>
    <t>TCK-10194</t>
  </si>
  <si>
    <t>2024-09-26 02:32:45</t>
  </si>
  <si>
    <t>2024-09-26 06:33:21</t>
  </si>
  <si>
    <t>TCK-10195</t>
  </si>
  <si>
    <t>2024-11-15 16:46:34</t>
  </si>
  <si>
    <t>2024-11-15 20:36:30</t>
  </si>
  <si>
    <t>TCK-10196</t>
  </si>
  <si>
    <t>2024-03-06 01:14:30</t>
  </si>
  <si>
    <t>2024-03-07 00:00:14</t>
  </si>
  <si>
    <t>TCK-10197</t>
  </si>
  <si>
    <t>2024-11-03 17:06:28</t>
  </si>
  <si>
    <t>2024-11-04 04:26:06</t>
  </si>
  <si>
    <t>TCK-10198</t>
  </si>
  <si>
    <t>2024-11-25 22:10:16</t>
  </si>
  <si>
    <t>2024-11-26 08:02:39</t>
  </si>
  <si>
    <t>TCK-10199</t>
  </si>
  <si>
    <t>2024-08-08 15:06:11</t>
  </si>
  <si>
    <t>2024-08-08 17:27:15</t>
  </si>
  <si>
    <t>TCK-10200</t>
  </si>
  <si>
    <t>2024-06-03 21:56:46</t>
  </si>
  <si>
    <t>2024-06-04 01:22:39</t>
  </si>
  <si>
    <t>TCK-10201</t>
  </si>
  <si>
    <t>2024-04-11 23:56:07</t>
  </si>
  <si>
    <t>2024-04-14 00:07:24</t>
  </si>
  <si>
    <t>TCK-10202</t>
  </si>
  <si>
    <t>2024-11-27 12:55:01</t>
  </si>
  <si>
    <t>2024-11-28 00:48:44</t>
  </si>
  <si>
    <t>TCK-10203</t>
  </si>
  <si>
    <t>2024-10-02 21:23:48</t>
  </si>
  <si>
    <t>2024-10-03 06:34:14</t>
  </si>
  <si>
    <t>TCK-10204</t>
  </si>
  <si>
    <t>2024-07-16 21:56:50</t>
  </si>
  <si>
    <t>2024-07-17 02:30:52</t>
  </si>
  <si>
    <t>TCK-10205</t>
  </si>
  <si>
    <t>2024-11-08 10:40:12</t>
  </si>
  <si>
    <t>2024-11-13 08:21:22</t>
  </si>
  <si>
    <t>TCK-10206</t>
  </si>
  <si>
    <t>2024-10-26 01:07:59</t>
  </si>
  <si>
    <t>2024-10-26 17:24:26</t>
  </si>
  <si>
    <t>TCK-10207</t>
  </si>
  <si>
    <t>2024-12-07 07:10:54</t>
  </si>
  <si>
    <t>2024-12-08 08:29:54</t>
  </si>
  <si>
    <t>TCK-10208</t>
  </si>
  <si>
    <t>2024-11-19 05:07:26</t>
  </si>
  <si>
    <t>2024-11-19 08:16:36</t>
  </si>
  <si>
    <t>TCK-10209</t>
  </si>
  <si>
    <t>2024-12-13 21:18:50</t>
  </si>
  <si>
    <t>TCK-10210</t>
  </si>
  <si>
    <t>2024-04-16 22:04:08</t>
  </si>
  <si>
    <t>2024-04-17 05:16:18</t>
  </si>
  <si>
    <t>TCK-10211</t>
  </si>
  <si>
    <t>2024-09-13 03:50:07</t>
  </si>
  <si>
    <t>2024-09-14 08:50:11</t>
  </si>
  <si>
    <t>TCK-10212</t>
  </si>
  <si>
    <t>2024-10-26 18:26:57</t>
  </si>
  <si>
    <t>2024-10-27 14:59:04</t>
  </si>
  <si>
    <t>TCK-10213</t>
  </si>
  <si>
    <t>2024-09-06 15:00:34</t>
  </si>
  <si>
    <t>2024-09-07 02:15:32</t>
  </si>
  <si>
    <t>TCK-10214</t>
  </si>
  <si>
    <t>2024-06-29 16:54:52</t>
  </si>
  <si>
    <t>2024-06-30 06:42:08</t>
  </si>
  <si>
    <t>TCK-10215</t>
  </si>
  <si>
    <t>2024-10-22 17:54:41</t>
  </si>
  <si>
    <t>2024-10-23 01:22:08</t>
  </si>
  <si>
    <t>TCK-10216</t>
  </si>
  <si>
    <t>2024-04-23 00:58:18</t>
  </si>
  <si>
    <t>TCK-10217</t>
  </si>
  <si>
    <t>2024-12-16 18:08:47</t>
  </si>
  <si>
    <t>2024-12-16 22:20:04</t>
  </si>
  <si>
    <t>TCK-10218</t>
  </si>
  <si>
    <t>2024-07-13 00:46:38</t>
  </si>
  <si>
    <t>2024-07-15 23:18:53</t>
  </si>
  <si>
    <t>TCK-10219</t>
  </si>
  <si>
    <t>2024-01-20 23:04:14</t>
  </si>
  <si>
    <t>2024-01-21 14:11:34</t>
  </si>
  <si>
    <t>TCK-10220</t>
  </si>
  <si>
    <t>2024-10-09 20:51:59</t>
  </si>
  <si>
    <t>2024-10-10 06:39:42</t>
  </si>
  <si>
    <t>TCK-10221</t>
  </si>
  <si>
    <t>2024-05-30 09:01:55</t>
  </si>
  <si>
    <t>2024-05-31 07:19:25</t>
  </si>
  <si>
    <t>TCK-10222</t>
  </si>
  <si>
    <t>2024-11-05 00:58:44</t>
  </si>
  <si>
    <t>2024-11-06 02:10:55</t>
  </si>
  <si>
    <t>TCK-10223</t>
  </si>
  <si>
    <t>2024-02-23 13:16:17</t>
  </si>
  <si>
    <t>2024-02-24 21:00:47</t>
  </si>
  <si>
    <t>TCK-10224</t>
  </si>
  <si>
    <t>2024-05-04 00:54:54</t>
  </si>
  <si>
    <t>TCK-10225</t>
  </si>
  <si>
    <t>2024-04-26 18:15:02</t>
  </si>
  <si>
    <t>2024-04-27 02:55:37</t>
  </si>
  <si>
    <t>TCK-10226</t>
  </si>
  <si>
    <t>2024-12-05 00:33:10</t>
  </si>
  <si>
    <t>TCK-10227</t>
  </si>
  <si>
    <t>2024-10-31 09:11:38</t>
  </si>
  <si>
    <t>2024-11-01 11:22:57</t>
  </si>
  <si>
    <t>TCK-10228</t>
  </si>
  <si>
    <t>2024-10-28 03:51:08</t>
  </si>
  <si>
    <t>2024-10-28 16:26:10</t>
  </si>
  <si>
    <t>TCK-10229</t>
  </si>
  <si>
    <t>2024-06-11 23:18:55</t>
  </si>
  <si>
    <t>2024-06-12 05:18:55</t>
  </si>
  <si>
    <t>TCK-10230</t>
  </si>
  <si>
    <t>2024-01-25 12:30:13</t>
  </si>
  <si>
    <t>TCK-10231</t>
  </si>
  <si>
    <t>2024-07-05 02:44:26</t>
  </si>
  <si>
    <t>TCK-10232</t>
  </si>
  <si>
    <t>2024-05-13 06:43:08</t>
  </si>
  <si>
    <t>2024-05-14 20:58:34</t>
  </si>
  <si>
    <t>TCK-10233</t>
  </si>
  <si>
    <t>2024-04-25 21:58:07</t>
  </si>
  <si>
    <t>2024-04-26 19:25:55</t>
  </si>
  <si>
    <t>TCK-10234</t>
  </si>
  <si>
    <t>2024-04-22 02:23:29</t>
  </si>
  <si>
    <t>2024-04-22 23:20:36</t>
  </si>
  <si>
    <t>TCK-10235</t>
  </si>
  <si>
    <t>2024-04-22 00:54:32</t>
  </si>
  <si>
    <t>2024-04-22 13:57:11</t>
  </si>
  <si>
    <t>TCK-10236</t>
  </si>
  <si>
    <t>2024-12-28 16:24:48</t>
  </si>
  <si>
    <t>2024-12-28 19:50:56</t>
  </si>
  <si>
    <t>TCK-10237</t>
  </si>
  <si>
    <t>2024-03-28 23:24:43</t>
  </si>
  <si>
    <t>2024-03-29 17:32:08</t>
  </si>
  <si>
    <t>TCK-10238</t>
  </si>
  <si>
    <t>2024-08-02 01:39:27</t>
  </si>
  <si>
    <t>2024-08-02 18:10:37</t>
  </si>
  <si>
    <t>TCK-10239</t>
  </si>
  <si>
    <t>2024-01-24 07:26:06</t>
  </si>
  <si>
    <t>2024-01-26 02:27:03</t>
  </si>
  <si>
    <t>TCK-10240</t>
  </si>
  <si>
    <t>2024-03-09 07:43:19</t>
  </si>
  <si>
    <t>2024-03-10 01:24:05</t>
  </si>
  <si>
    <t>TCK-10241</t>
  </si>
  <si>
    <t>2024-04-22 18:01:39</t>
  </si>
  <si>
    <t>2024-04-25 23:03:44</t>
  </si>
  <si>
    <t>TCK-10242</t>
  </si>
  <si>
    <t>2024-07-30 07:55:39</t>
  </si>
  <si>
    <t>2024-07-30 12:37:31</t>
  </si>
  <si>
    <t>TCK-10243</t>
  </si>
  <si>
    <t>2024-06-27 13:23:34</t>
  </si>
  <si>
    <t>2024-06-28 05:33:02</t>
  </si>
  <si>
    <t>TCK-10244</t>
  </si>
  <si>
    <t>2024-08-25 14:30:31</t>
  </si>
  <si>
    <t>2024-08-25 23:12:01</t>
  </si>
  <si>
    <t>TCK-10245</t>
  </si>
  <si>
    <t>2024-07-04 18:11:41</t>
  </si>
  <si>
    <t>2024-07-05 01:28:55</t>
  </si>
  <si>
    <t>TCK-10246</t>
  </si>
  <si>
    <t>2024-10-08 01:45:12</t>
  </si>
  <si>
    <t>2024-10-08 13:38:50</t>
  </si>
  <si>
    <t>TCK-10247</t>
  </si>
  <si>
    <t>2024-09-23 18:40:10</t>
  </si>
  <si>
    <t>2024-09-25 09:40:37</t>
  </si>
  <si>
    <t>TCK-10248</t>
  </si>
  <si>
    <t>2024-03-26 10:25:35</t>
  </si>
  <si>
    <t>TCK-10249</t>
  </si>
  <si>
    <t>2024-05-25 10:26:09</t>
  </si>
  <si>
    <t>2024-05-27 23:17:27</t>
  </si>
  <si>
    <t>TCK-10250</t>
  </si>
  <si>
    <t>2024-08-19 17:23:35</t>
  </si>
  <si>
    <t>2024-08-20 21:12:40</t>
  </si>
  <si>
    <t>TCK-10251</t>
  </si>
  <si>
    <t>2024-08-01 00:27:39</t>
  </si>
  <si>
    <t>2024-08-04 20:13:01</t>
  </si>
  <si>
    <t>TCK-10252</t>
  </si>
  <si>
    <t>2024-10-05 18:09:35</t>
  </si>
  <si>
    <t>2024-10-06 07:01:47</t>
  </si>
  <si>
    <t>TCK-10253</t>
  </si>
  <si>
    <t>2024-01-23 18:08:44</t>
  </si>
  <si>
    <t>2024-01-23 20:36:25</t>
  </si>
  <si>
    <t>TCK-10254</t>
  </si>
  <si>
    <t>2024-01-29 16:41:04</t>
  </si>
  <si>
    <t>TCK-10255</t>
  </si>
  <si>
    <t>2024-12-29 06:56:34</t>
  </si>
  <si>
    <t>2024-12-29 17:16:05</t>
  </si>
  <si>
    <t>TCK-10256</t>
  </si>
  <si>
    <t>2024-10-10 13:28:14</t>
  </si>
  <si>
    <t>2024-10-12 08:15:02</t>
  </si>
  <si>
    <t>TCK-10257</t>
  </si>
  <si>
    <t>2024-09-14 08:21:12</t>
  </si>
  <si>
    <t>2024-09-15 10:43:48</t>
  </si>
  <si>
    <t>TCK-10258</t>
  </si>
  <si>
    <t>2024-03-27 19:37:23</t>
  </si>
  <si>
    <t>2024-03-28 22:07:33</t>
  </si>
  <si>
    <t>TCK-10259</t>
  </si>
  <si>
    <t>2024-04-06 10:58:45</t>
  </si>
  <si>
    <t>2024-04-07 02:50:49</t>
  </si>
  <si>
    <t>TCK-10260</t>
  </si>
  <si>
    <t>2024-12-29 22:22:11</t>
  </si>
  <si>
    <t>2024-12-31 03:33:33</t>
  </si>
  <si>
    <t>TCK-10261</t>
  </si>
  <si>
    <t>2024-01-20 05:41:46</t>
  </si>
  <si>
    <t>2024-01-20 11:46:24</t>
  </si>
  <si>
    <t>TCK-10262</t>
  </si>
  <si>
    <t>2024-04-22 16:07:50</t>
  </si>
  <si>
    <t>2024-04-22 22:29:44</t>
  </si>
  <si>
    <t>TCK-10263</t>
  </si>
  <si>
    <t>2024-12-06 15:19:10</t>
  </si>
  <si>
    <t>2024-12-06 22:34:09</t>
  </si>
  <si>
    <t>TCK-10264</t>
  </si>
  <si>
    <t>2024-12-20 08:31:10</t>
  </si>
  <si>
    <t>2024-12-20 13:41:38</t>
  </si>
  <si>
    <t>TCK-10265</t>
  </si>
  <si>
    <t>2024-07-23 00:21:00</t>
  </si>
  <si>
    <t>2024-07-23 04:22:11</t>
  </si>
  <si>
    <t>TCK-10266</t>
  </si>
  <si>
    <t>2024-04-27 03:03:59</t>
  </si>
  <si>
    <t>2024-05-01 09:37:42</t>
  </si>
  <si>
    <t>TCK-10267</t>
  </si>
  <si>
    <t>2024-04-04 15:36:19</t>
  </si>
  <si>
    <t>2024-04-04 21:19:56</t>
  </si>
  <si>
    <t>TCK-10268</t>
  </si>
  <si>
    <t>2024-04-14 14:14:36</t>
  </si>
  <si>
    <t>2024-04-15 07:25:08</t>
  </si>
  <si>
    <t>TCK-10269</t>
  </si>
  <si>
    <t>2024-07-05 12:16:40</t>
  </si>
  <si>
    <t>2024-07-05 18:07:11</t>
  </si>
  <si>
    <t>TCK-10270</t>
  </si>
  <si>
    <t>2024-10-20 06:52:19</t>
  </si>
  <si>
    <t>2024-10-22 09:54:33</t>
  </si>
  <si>
    <t>TCK-10271</t>
  </si>
  <si>
    <t>2024-05-28 04:01:28</t>
  </si>
  <si>
    <t>2024-05-30 03:02:00</t>
  </si>
  <si>
    <t>TCK-10272</t>
  </si>
  <si>
    <t>2024-10-07 21:22:57</t>
  </si>
  <si>
    <t>2024-10-08 17:24:35</t>
  </si>
  <si>
    <t>TCK-10273</t>
  </si>
  <si>
    <t>2024-01-07 15:10:49</t>
  </si>
  <si>
    <t>2024-01-07 18:13:24</t>
  </si>
  <si>
    <t>TCK-10274</t>
  </si>
  <si>
    <t>2024-11-19 23:30:12</t>
  </si>
  <si>
    <t>2024-11-20 05:13:24</t>
  </si>
  <si>
    <t>TCK-10275</t>
  </si>
  <si>
    <t>2024-06-28 07:14:15</t>
  </si>
  <si>
    <t>2024-06-28 14:16:20</t>
  </si>
  <si>
    <t>TCK-10276</t>
  </si>
  <si>
    <t>2024-09-06 14:05:51</t>
  </si>
  <si>
    <t>2024-09-07 00:30:25</t>
  </si>
  <si>
    <t>TCK-10277</t>
  </si>
  <si>
    <t>2024-01-27 17:30:25</t>
  </si>
  <si>
    <t>2024-01-28 09:30:31</t>
  </si>
  <si>
    <t>TCK-10278</t>
  </si>
  <si>
    <t>2024-07-06 23:47:20</t>
  </si>
  <si>
    <t>2024-07-07 16:55:17</t>
  </si>
  <si>
    <t>TCK-10279</t>
  </si>
  <si>
    <t>2024-04-21 16:07:51</t>
  </si>
  <si>
    <t>2024-04-21 17:02:13</t>
  </si>
  <si>
    <t>TCK-10280</t>
  </si>
  <si>
    <t>2024-07-23 18:55:31</t>
  </si>
  <si>
    <t>2024-07-23 23:34:02</t>
  </si>
  <si>
    <t>TCK-10281</t>
  </si>
  <si>
    <t>2024-03-29 01:08:31</t>
  </si>
  <si>
    <t>TCK-10282</t>
  </si>
  <si>
    <t>2024-09-09 17:27:19</t>
  </si>
  <si>
    <t>2024-09-09 20:02:53</t>
  </si>
  <si>
    <t>TCK-10283</t>
  </si>
  <si>
    <t>2024-07-13 11:01:04</t>
  </si>
  <si>
    <t>TCK-10284</t>
  </si>
  <si>
    <t>2024-02-07 08:50:12</t>
  </si>
  <si>
    <t>TCK-10285</t>
  </si>
  <si>
    <t>2024-09-26 04:35:20</t>
  </si>
  <si>
    <t>2024-09-27 07:32:40</t>
  </si>
  <si>
    <t>TCK-10286</t>
  </si>
  <si>
    <t>2024-03-10 23:42:18</t>
  </si>
  <si>
    <t>2024-03-16 06:56:29</t>
  </si>
  <si>
    <t>TCK-10287</t>
  </si>
  <si>
    <t>2024-04-26 13:27:46</t>
  </si>
  <si>
    <t>2024-04-26 19:24:03</t>
  </si>
  <si>
    <t>TCK-10288</t>
  </si>
  <si>
    <t>2024-09-25 00:50:23</t>
  </si>
  <si>
    <t>2024-09-25 04:47:25</t>
  </si>
  <si>
    <t>TCK-10289</t>
  </si>
  <si>
    <t>2024-08-26 17:38:19</t>
  </si>
  <si>
    <t>2024-08-27 16:49:15</t>
  </si>
  <si>
    <t>TCK-10290</t>
  </si>
  <si>
    <t>2024-08-03 02:41:06</t>
  </si>
  <si>
    <t>2024-08-03 19:32:11</t>
  </si>
  <si>
    <t>TCK-10291</t>
  </si>
  <si>
    <t>2024-01-29 21:07:55</t>
  </si>
  <si>
    <t>2024-01-29 21:50:35</t>
  </si>
  <si>
    <t>TCK-10292</t>
  </si>
  <si>
    <t>2024-06-22 01:14:19</t>
  </si>
  <si>
    <t>2024-06-22 14:57:19</t>
  </si>
  <si>
    <t>TCK-10293</t>
  </si>
  <si>
    <t>2024-01-11 12:46:43</t>
  </si>
  <si>
    <t>2024-01-11 17:04:29</t>
  </si>
  <si>
    <t>TCK-10294</t>
  </si>
  <si>
    <t>2024-10-29 22:22:56</t>
  </si>
  <si>
    <t>2024-10-29 23:21:30</t>
  </si>
  <si>
    <t>TCK-10295</t>
  </si>
  <si>
    <t>2024-04-14 13:43:57</t>
  </si>
  <si>
    <t>2024-04-14 17:42:06</t>
  </si>
  <si>
    <t>TCK-10296</t>
  </si>
  <si>
    <t>2024-04-06 02:23:09</t>
  </si>
  <si>
    <t>2024-04-06 04:55:25</t>
  </si>
  <si>
    <t>TCK-10297</t>
  </si>
  <si>
    <t>2024-11-23 04:24:19</t>
  </si>
  <si>
    <t>2024-11-24 00:20:21</t>
  </si>
  <si>
    <t>TCK-10298</t>
  </si>
  <si>
    <t>2024-02-23 04:46:19</t>
  </si>
  <si>
    <t>2024-02-24 04:17:02</t>
  </si>
  <si>
    <t>TCK-10299</t>
  </si>
  <si>
    <t>2024-09-27 05:28:33</t>
  </si>
  <si>
    <t>2024-09-27 15:53:30</t>
  </si>
  <si>
    <t>TCK-10300</t>
  </si>
  <si>
    <t>2024-08-07 07:28:03</t>
  </si>
  <si>
    <t>2024-08-07 13:12:45</t>
  </si>
  <si>
    <t>TCK-10301</t>
  </si>
  <si>
    <t>2024-03-22 18:03:52</t>
  </si>
  <si>
    <t>2024-03-23 02:38:32</t>
  </si>
  <si>
    <t>TCK-10302</t>
  </si>
  <si>
    <t>2024-03-01 04:43:08</t>
  </si>
  <si>
    <t>TCK-10303</t>
  </si>
  <si>
    <t>2024-07-05 10:47:28</t>
  </si>
  <si>
    <t>2024-07-07 20:49:39</t>
  </si>
  <si>
    <t>TCK-10304</t>
  </si>
  <si>
    <t>2024-08-18 22:48:10</t>
  </si>
  <si>
    <t>2024-08-19 13:42:05</t>
  </si>
  <si>
    <t>TCK-10305</t>
  </si>
  <si>
    <t>2024-09-07 20:07:35</t>
  </si>
  <si>
    <t>2024-09-08 03:03:18</t>
  </si>
  <si>
    <t>TCK-10306</t>
  </si>
  <si>
    <t>2024-08-05 00:52:32</t>
  </si>
  <si>
    <t>2024-08-05 15:16:58</t>
  </si>
  <si>
    <t>TCK-10307</t>
  </si>
  <si>
    <t>2024-05-14 07:19:44</t>
  </si>
  <si>
    <t>TCK-10308</t>
  </si>
  <si>
    <t>2024-02-03 16:13:29</t>
  </si>
  <si>
    <t>2024-02-03 18:25:53</t>
  </si>
  <si>
    <t>TCK-10309</t>
  </si>
  <si>
    <t>2024-07-04 06:09:23</t>
  </si>
  <si>
    <t>2024-07-04 08:58:22</t>
  </si>
  <si>
    <t>TCK-10310</t>
  </si>
  <si>
    <t>2024-05-13 13:43:05</t>
  </si>
  <si>
    <t>2024-05-13 19:23:05</t>
  </si>
  <si>
    <t>TCK-10311</t>
  </si>
  <si>
    <t>2024-06-28 18:39:24</t>
  </si>
  <si>
    <t>2024-06-28 19:39:18</t>
  </si>
  <si>
    <t>TCK-10312</t>
  </si>
  <si>
    <t>2024-03-17 23:11:49</t>
  </si>
  <si>
    <t>2024-03-18 15:57:13</t>
  </si>
  <si>
    <t>TCK-10313</t>
  </si>
  <si>
    <t>2024-08-12 13:16:21</t>
  </si>
  <si>
    <t>2024-08-12 15:51:23</t>
  </si>
  <si>
    <t>TCK-10314</t>
  </si>
  <si>
    <t>2024-07-24 06:39:37</t>
  </si>
  <si>
    <t>2024-07-25 01:49:16</t>
  </si>
  <si>
    <t>TCK-10315</t>
  </si>
  <si>
    <t>2024-03-08 08:04:22</t>
  </si>
  <si>
    <t>2024-03-09 01:39:02</t>
  </si>
  <si>
    <t>TCK-10316</t>
  </si>
  <si>
    <t>2024-02-15 18:02:34</t>
  </si>
  <si>
    <t>2024-02-15 21:27:07</t>
  </si>
  <si>
    <t>TCK-10317</t>
  </si>
  <si>
    <t>2024-09-04 03:18:16</t>
  </si>
  <si>
    <t>2024-09-04 09:31:16</t>
  </si>
  <si>
    <t>TCK-10318</t>
  </si>
  <si>
    <t>2024-08-28 21:19:10</t>
  </si>
  <si>
    <t>2024-08-29 00:59:47</t>
  </si>
  <si>
    <t>TCK-10319</t>
  </si>
  <si>
    <t>2024-07-11 13:27:12</t>
  </si>
  <si>
    <t>2024-07-12 08:05:21</t>
  </si>
  <si>
    <t>TCK-10320</t>
  </si>
  <si>
    <t>2024-01-14 00:44:25</t>
  </si>
  <si>
    <t>2024-01-14 04:54:30</t>
  </si>
  <si>
    <t>TCK-10321</t>
  </si>
  <si>
    <t>2024-08-10 18:04:54</t>
  </si>
  <si>
    <t>2024-08-10 23:46:14</t>
  </si>
  <si>
    <t>TCK-10322</t>
  </si>
  <si>
    <t>2024-06-14 10:43:44</t>
  </si>
  <si>
    <t>TCK-10323</t>
  </si>
  <si>
    <t>2024-02-04 02:44:25</t>
  </si>
  <si>
    <t>2024-02-04 12:17:35</t>
  </si>
  <si>
    <t>TCK-10324</t>
  </si>
  <si>
    <t>2024-09-03 01:50:59</t>
  </si>
  <si>
    <t>2024-09-03 15:06:29</t>
  </si>
  <si>
    <t>TCK-10325</t>
  </si>
  <si>
    <t>2024-03-06 17:23:26</t>
  </si>
  <si>
    <t>2024-03-07 17:09:51</t>
  </si>
  <si>
    <t>TCK-10326</t>
  </si>
  <si>
    <t>2024-02-07 07:33:46</t>
  </si>
  <si>
    <t>TCK-10327</t>
  </si>
  <si>
    <t>2024-12-03 01:28:09</t>
  </si>
  <si>
    <t>2024-12-03 08:55:09</t>
  </si>
  <si>
    <t>TCK-10328</t>
  </si>
  <si>
    <t>2024-06-01 20:14:10</t>
  </si>
  <si>
    <t>2024-06-02 11:33:43</t>
  </si>
  <si>
    <t>TCK-10329</t>
  </si>
  <si>
    <t>2024-02-06 11:42:22</t>
  </si>
  <si>
    <t>TCK-10330</t>
  </si>
  <si>
    <t>2024-05-07 10:33:25</t>
  </si>
  <si>
    <t>TCK-10331</t>
  </si>
  <si>
    <t>2024-09-03 21:08:33</t>
  </si>
  <si>
    <t>2024-09-06 12:56:43</t>
  </si>
  <si>
    <t>TCK-10332</t>
  </si>
  <si>
    <t>2024-05-05 17:19:16</t>
  </si>
  <si>
    <t>2024-05-06 12:08:44</t>
  </si>
  <si>
    <t>TCK-10333</t>
  </si>
  <si>
    <t>2024-01-20 03:12:25</t>
  </si>
  <si>
    <t>2024-01-20 10:50:56</t>
  </si>
  <si>
    <t>TCK-10334</t>
  </si>
  <si>
    <t>2024-06-15 11:22:42</t>
  </si>
  <si>
    <t>2024-06-16 09:27:11</t>
  </si>
  <si>
    <t>TCK-10335</t>
  </si>
  <si>
    <t>2024-05-20 07:30:04</t>
  </si>
  <si>
    <t>TCK-10336</t>
  </si>
  <si>
    <t>2024-09-11 21:33:54</t>
  </si>
  <si>
    <t>2024-09-11 23:43:51</t>
  </si>
  <si>
    <t>TCK-10337</t>
  </si>
  <si>
    <t>2024-01-04 11:08:54</t>
  </si>
  <si>
    <t>2024-01-04 21:21:46</t>
  </si>
  <si>
    <t>TCK-10338</t>
  </si>
  <si>
    <t>2024-02-10 02:41:25</t>
  </si>
  <si>
    <t>2024-02-10 09:26:12</t>
  </si>
  <si>
    <t>TCK-10339</t>
  </si>
  <si>
    <t>2024-09-20 07:22:30</t>
  </si>
  <si>
    <t>2024-09-20 13:05:15</t>
  </si>
  <si>
    <t>TCK-10340</t>
  </si>
  <si>
    <t>2024-02-29 02:54:32</t>
  </si>
  <si>
    <t>2024-03-01 14:24:31</t>
  </si>
  <si>
    <t>TCK-10341</t>
  </si>
  <si>
    <t>2024-05-29 11:26:12</t>
  </si>
  <si>
    <t>2024-05-30 01:07:33</t>
  </si>
  <si>
    <t>TCK-10342</t>
  </si>
  <si>
    <t>2024-08-24 07:10:41</t>
  </si>
  <si>
    <t>2024-08-24 12:06:18</t>
  </si>
  <si>
    <t>TCK-10343</t>
  </si>
  <si>
    <t>2024-06-01 11:23:02</t>
  </si>
  <si>
    <t>2024-06-01 16:31:22</t>
  </si>
  <si>
    <t>TCK-10344</t>
  </si>
  <si>
    <t>2024-12-11 11:30:46</t>
  </si>
  <si>
    <t>2024-12-15 05:18:20</t>
  </si>
  <si>
    <t>TCK-10345</t>
  </si>
  <si>
    <t>2024-03-08 10:20:09</t>
  </si>
  <si>
    <t>2024-03-08 17:08:13</t>
  </si>
  <si>
    <t>TCK-10346</t>
  </si>
  <si>
    <t>2024-11-02 20:42:57</t>
  </si>
  <si>
    <t>2024-11-03 12:10:58</t>
  </si>
  <si>
    <t>TCK-10347</t>
  </si>
  <si>
    <t>2024-02-29 15:05:05</t>
  </si>
  <si>
    <t>TCK-10348</t>
  </si>
  <si>
    <t>2024-03-01 16:13:11</t>
  </si>
  <si>
    <t>2024-03-02 11:53:15</t>
  </si>
  <si>
    <t>TCK-10349</t>
  </si>
  <si>
    <t>2024-02-03 19:33:41</t>
  </si>
  <si>
    <t>2024-02-05 03:12:35</t>
  </si>
  <si>
    <t>TCK-10350</t>
  </si>
  <si>
    <t>2024-01-06 06:02:45</t>
  </si>
  <si>
    <t>TCK-10351</t>
  </si>
  <si>
    <t>2024-07-22 10:45:47</t>
  </si>
  <si>
    <t>2024-07-23 06:58:53</t>
  </si>
  <si>
    <t>TCK-10352</t>
  </si>
  <si>
    <t>2024-02-16 04:22:06</t>
  </si>
  <si>
    <t>2024-02-17 02:39:33</t>
  </si>
  <si>
    <t>TCK-10353</t>
  </si>
  <si>
    <t>2024-07-12 00:25:49</t>
  </si>
  <si>
    <t>2024-07-12 18:36:22</t>
  </si>
  <si>
    <t>TCK-10354</t>
  </si>
  <si>
    <t>2024-09-19 03:15:28</t>
  </si>
  <si>
    <t>2024-09-20 15:54:10</t>
  </si>
  <si>
    <t>TCK-10355</t>
  </si>
  <si>
    <t>2024-05-29 01:37:38</t>
  </si>
  <si>
    <t>2024-05-30 09:10:47</t>
  </si>
  <si>
    <t>TCK-10356</t>
  </si>
  <si>
    <t>2024-04-06 17:58:50</t>
  </si>
  <si>
    <t>2024-04-07 10:06:59</t>
  </si>
  <si>
    <t>TCK-10357</t>
  </si>
  <si>
    <t>2024-03-28 00:14:07</t>
  </si>
  <si>
    <t>2024-04-02 03:02:14</t>
  </si>
  <si>
    <t>TCK-10358</t>
  </si>
  <si>
    <t>2024-02-03 21:10:17</t>
  </si>
  <si>
    <t>2024-02-04 12:16:29</t>
  </si>
  <si>
    <t>TCK-10359</t>
  </si>
  <si>
    <t>2024-08-18 02:57:33</t>
  </si>
  <si>
    <t>TCK-10360</t>
  </si>
  <si>
    <t>2024-10-22 16:12:28</t>
  </si>
  <si>
    <t>2024-10-23 11:44:06</t>
  </si>
  <si>
    <t>TCK-10361</t>
  </si>
  <si>
    <t>2024-05-10 10:35:17</t>
  </si>
  <si>
    <t>2024-05-10 18:03:45</t>
  </si>
  <si>
    <t>TCK-10362</t>
  </si>
  <si>
    <t>2024-02-25 15:01:01</t>
  </si>
  <si>
    <t>2024-02-27 13:40:22</t>
  </si>
  <si>
    <t>TCK-10363</t>
  </si>
  <si>
    <t>2024-08-13 21:10:28</t>
  </si>
  <si>
    <t>2024-08-13 23:49:36</t>
  </si>
  <si>
    <t>TCK-10364</t>
  </si>
  <si>
    <t>2024-04-23 14:37:03</t>
  </si>
  <si>
    <t>2024-04-23 18:29:46</t>
  </si>
  <si>
    <t>TCK-10365</t>
  </si>
  <si>
    <t>2024-03-20 01:25:07</t>
  </si>
  <si>
    <t>2024-03-20 04:21:14</t>
  </si>
  <si>
    <t>TCK-10366</t>
  </si>
  <si>
    <t>2024-05-19 11:28:51</t>
  </si>
  <si>
    <t>2024-05-19 22:42:41</t>
  </si>
  <si>
    <t>TCK-10367</t>
  </si>
  <si>
    <t>2024-11-17 06:28:55</t>
  </si>
  <si>
    <t>2024-11-18 04:38:14</t>
  </si>
  <si>
    <t>TCK-10368</t>
  </si>
  <si>
    <t>2024-01-20 08:15:10</t>
  </si>
  <si>
    <t>TCK-10369</t>
  </si>
  <si>
    <t>2024-11-28 05:27:41</t>
  </si>
  <si>
    <t>2024-11-28 10:42:47</t>
  </si>
  <si>
    <t>TCK-10370</t>
  </si>
  <si>
    <t>2024-11-18 19:37:51</t>
  </si>
  <si>
    <t>2024-11-19 11:10:56</t>
  </si>
  <si>
    <t>TCK-10371</t>
  </si>
  <si>
    <t>2024-04-10 20:22:59</t>
  </si>
  <si>
    <t>TCK-10372</t>
  </si>
  <si>
    <t>2024-06-21 13:04:46</t>
  </si>
  <si>
    <t>2024-06-22 00:44:00</t>
  </si>
  <si>
    <t>TCK-10373</t>
  </si>
  <si>
    <t>2024-11-15 10:39:46</t>
  </si>
  <si>
    <t>2024-11-16 07:35:31</t>
  </si>
  <si>
    <t>TCK-10374</t>
  </si>
  <si>
    <t>2024-06-22 13:07:40</t>
  </si>
  <si>
    <t>2024-06-23 10:44:13</t>
  </si>
  <si>
    <t>TCK-10375</t>
  </si>
  <si>
    <t>2024-01-25 00:21:58</t>
  </si>
  <si>
    <t>2024-01-25 01:36:47</t>
  </si>
  <si>
    <t>TCK-10376</t>
  </si>
  <si>
    <t>2024-07-30 11:14:51</t>
  </si>
  <si>
    <t>2024-07-31 08:15:58</t>
  </si>
  <si>
    <t>TCK-10377</t>
  </si>
  <si>
    <t>2024-05-31 03:58:33</t>
  </si>
  <si>
    <t>2024-05-31 06:41:10</t>
  </si>
  <si>
    <t>TCK-10378</t>
  </si>
  <si>
    <t>2024-07-02 12:25:01</t>
  </si>
  <si>
    <t>2024-07-02 20:15:14</t>
  </si>
  <si>
    <t>TCK-10379</t>
  </si>
  <si>
    <t>2024-12-22 13:28:40</t>
  </si>
  <si>
    <t>2024-12-22 23:06:56</t>
  </si>
  <si>
    <t>TCK-10380</t>
  </si>
  <si>
    <t>2024-11-24 14:01:47</t>
  </si>
  <si>
    <t>2024-11-24 22:52:11</t>
  </si>
  <si>
    <t>TCK-10381</t>
  </si>
  <si>
    <t>2024-08-08 18:53:39</t>
  </si>
  <si>
    <t>2024-08-08 22:04:07</t>
  </si>
  <si>
    <t>TCK-10382</t>
  </si>
  <si>
    <t>2024-08-21 23:54:13</t>
  </si>
  <si>
    <t>TCK-10383</t>
  </si>
  <si>
    <t>2024-03-19 13:47:02</t>
  </si>
  <si>
    <t>2024-03-20 23:20:07</t>
  </si>
  <si>
    <t>TCK-10384</t>
  </si>
  <si>
    <t>2024-02-13 09:51:17</t>
  </si>
  <si>
    <t>2024-02-14 14:33:51</t>
  </si>
  <si>
    <t>TCK-10385</t>
  </si>
  <si>
    <t>2024-05-05 14:52:47</t>
  </si>
  <si>
    <t>TCK-10386</t>
  </si>
  <si>
    <t>2024-09-09 10:47:55</t>
  </si>
  <si>
    <t>2024-09-09 14:01:30</t>
  </si>
  <si>
    <t>TCK-10387</t>
  </si>
  <si>
    <t>2024-11-12 15:15:49</t>
  </si>
  <si>
    <t>2024-11-12 20:50:14</t>
  </si>
  <si>
    <t>TCK-10388</t>
  </si>
  <si>
    <t>2024-11-26 17:37:46</t>
  </si>
  <si>
    <t>2024-12-02 14:35:25</t>
  </si>
  <si>
    <t>TCK-10389</t>
  </si>
  <si>
    <t>2024-08-07 23:18:37</t>
  </si>
  <si>
    <t>2024-08-08 02:16:58</t>
  </si>
  <si>
    <t>TCK-10390</t>
  </si>
  <si>
    <t>2024-02-04 18:59:10</t>
  </si>
  <si>
    <t>2024-02-06 04:04:03</t>
  </si>
  <si>
    <t>TCK-10391</t>
  </si>
  <si>
    <t>2024-11-01 23:33:29</t>
  </si>
  <si>
    <t>2024-11-02 21:45:25</t>
  </si>
  <si>
    <t>TCK-10392</t>
  </si>
  <si>
    <t>2024-05-27 09:51:25</t>
  </si>
  <si>
    <t>2024-05-27 15:34:30</t>
  </si>
  <si>
    <t>TCK-10393</t>
  </si>
  <si>
    <t>2024-11-24 19:04:39</t>
  </si>
  <si>
    <t>2024-11-24 20:45:14</t>
  </si>
  <si>
    <t>TCK-10394</t>
  </si>
  <si>
    <t>2024-07-31 18:50:26</t>
  </si>
  <si>
    <t>TCK-10395</t>
  </si>
  <si>
    <t>2024-12-13 05:28:16</t>
  </si>
  <si>
    <t>2024-12-13 09:56:12</t>
  </si>
  <si>
    <t>TCK-10396</t>
  </si>
  <si>
    <t>2024-03-15 02:46:53</t>
  </si>
  <si>
    <t>2024-03-15 07:08:17</t>
  </si>
  <si>
    <t>TCK-10397</t>
  </si>
  <si>
    <t>2024-08-01 19:13:37</t>
  </si>
  <si>
    <t>2024-08-03 03:02:14</t>
  </si>
  <si>
    <t>TCK-10398</t>
  </si>
  <si>
    <t>2024-03-18 21:06:14</t>
  </si>
  <si>
    <t>2024-03-19 00:10:20</t>
  </si>
  <si>
    <t>TCK-10399</t>
  </si>
  <si>
    <t>2024-12-13 20:51:45</t>
  </si>
  <si>
    <t>2024-12-15 15:21:01</t>
  </si>
  <si>
    <t>TCK-10400</t>
  </si>
  <si>
    <t>2024-04-12 14:05:46</t>
  </si>
  <si>
    <t>2024-04-13 06:06:44</t>
  </si>
  <si>
    <t>TCK-10401</t>
  </si>
  <si>
    <t>2024-05-13 20:22:04</t>
  </si>
  <si>
    <t>2024-05-19 03:22:13</t>
  </si>
  <si>
    <t>TCK-10402</t>
  </si>
  <si>
    <t>2024-07-27 07:21:21</t>
  </si>
  <si>
    <t>2024-07-28 04:10:20</t>
  </si>
  <si>
    <t>TCK-10403</t>
  </si>
  <si>
    <t>2024-07-14 07:55:29</t>
  </si>
  <si>
    <t>TCK-10404</t>
  </si>
  <si>
    <t>2024-02-27 14:18:42</t>
  </si>
  <si>
    <t>TCK-10405</t>
  </si>
  <si>
    <t>2024-11-10 07:24:00</t>
  </si>
  <si>
    <t>2024-11-11 01:35:05</t>
  </si>
  <si>
    <t>TCK-10406</t>
  </si>
  <si>
    <t>2024-04-10 11:40:30</t>
  </si>
  <si>
    <t>2024-04-10 14:41:33</t>
  </si>
  <si>
    <t>TCK-10407</t>
  </si>
  <si>
    <t>2024-06-27 06:20:03</t>
  </si>
  <si>
    <t>2024-06-28 04:02:36</t>
  </si>
  <si>
    <t>TCK-10408</t>
  </si>
  <si>
    <t>2024-08-16 15:56:35</t>
  </si>
  <si>
    <t>2024-08-17 00:10:45</t>
  </si>
  <si>
    <t>TCK-10409</t>
  </si>
  <si>
    <t>2024-05-13 21:05:34</t>
  </si>
  <si>
    <t>2024-05-14 13:07:46</t>
  </si>
  <si>
    <t>TCK-10410</t>
  </si>
  <si>
    <t>2024-08-24 17:04:41</t>
  </si>
  <si>
    <t>2024-08-25 05:10:21</t>
  </si>
  <si>
    <t>TCK-10411</t>
  </si>
  <si>
    <t>2024-05-24 23:23:56</t>
  </si>
  <si>
    <t>2024-05-25 02:09:57</t>
  </si>
  <si>
    <t>TCK-10412</t>
  </si>
  <si>
    <t>2024-12-03 18:44:06</t>
  </si>
  <si>
    <t>2024-12-03 23:55:29</t>
  </si>
  <si>
    <t>TCK-10413</t>
  </si>
  <si>
    <t>2024-03-23 10:18:08</t>
  </si>
  <si>
    <t>2024-03-27 12:55:53</t>
  </si>
  <si>
    <t>TCK-10414</t>
  </si>
  <si>
    <t>2024-05-01 03:52:38</t>
  </si>
  <si>
    <t>2024-05-01 23:16:08</t>
  </si>
  <si>
    <t>TCK-10415</t>
  </si>
  <si>
    <t>2024-04-07 05:25:04</t>
  </si>
  <si>
    <t>2024-04-07 07:23:46</t>
  </si>
  <si>
    <t>TCK-10416</t>
  </si>
  <si>
    <t>2024-12-24 19:40:09</t>
  </si>
  <si>
    <t>2024-12-25 02:23:18</t>
  </si>
  <si>
    <t>TCK-10417</t>
  </si>
  <si>
    <t>2024-05-16 03:59:54</t>
  </si>
  <si>
    <t>2024-05-16 04:59:05</t>
  </si>
  <si>
    <t>TCK-10418</t>
  </si>
  <si>
    <t>2024-11-27 22:11:29</t>
  </si>
  <si>
    <t>2024-11-28 13:53:01</t>
  </si>
  <si>
    <t>TCK-10419</t>
  </si>
  <si>
    <t>2024-12-02 02:56:06</t>
  </si>
  <si>
    <t>TCK-10420</t>
  </si>
  <si>
    <t>2024-09-08 17:56:24</t>
  </si>
  <si>
    <t>2024-09-09 13:27:31</t>
  </si>
  <si>
    <t>TCK-10421</t>
  </si>
  <si>
    <t>2024-04-17 06:42:51</t>
  </si>
  <si>
    <t>2024-04-17 22:55:44</t>
  </si>
  <si>
    <t>TCK-10422</t>
  </si>
  <si>
    <t>2024-06-03 13:43:47</t>
  </si>
  <si>
    <t>2024-06-03 22:13:07</t>
  </si>
  <si>
    <t>TCK-10423</t>
  </si>
  <si>
    <t>2024-01-26 03:00:16</t>
  </si>
  <si>
    <t>2024-01-26 09:52:21</t>
  </si>
  <si>
    <t>TCK-10424</t>
  </si>
  <si>
    <t>2024-02-28 13:26:32</t>
  </si>
  <si>
    <t>2024-02-28 18:41:48</t>
  </si>
  <si>
    <t>TCK-10425</t>
  </si>
  <si>
    <t>2024-07-12 11:51:02</t>
  </si>
  <si>
    <t>2024-07-13 21:32:23</t>
  </si>
  <si>
    <t>TCK-10426</t>
  </si>
  <si>
    <t>2024-03-15 02:08:15</t>
  </si>
  <si>
    <t>2024-03-15 21:01:07</t>
  </si>
  <si>
    <t>TCK-10427</t>
  </si>
  <si>
    <t>2024-11-24 15:52:42</t>
  </si>
  <si>
    <t>2024-11-24 21:42:59</t>
  </si>
  <si>
    <t>TCK-10428</t>
  </si>
  <si>
    <t>2024-08-05 10:33:09</t>
  </si>
  <si>
    <t>2024-08-06 04:08:03</t>
  </si>
  <si>
    <t>TCK-10429</t>
  </si>
  <si>
    <t>2024-11-02 09:32:06</t>
  </si>
  <si>
    <t>2024-11-02 16:31:30</t>
  </si>
  <si>
    <t>TCK-10430</t>
  </si>
  <si>
    <t>2024-08-13 16:54:36</t>
  </si>
  <si>
    <t>2024-08-14 19:19:38</t>
  </si>
  <si>
    <t>TCK-10431</t>
  </si>
  <si>
    <t>2024-12-04 12:54:08</t>
  </si>
  <si>
    <t>2024-12-06 06:41:32</t>
  </si>
  <si>
    <t>TCK-10432</t>
  </si>
  <si>
    <t>2024-05-03 04:54:27</t>
  </si>
  <si>
    <t>2024-05-06 12:38:35</t>
  </si>
  <si>
    <t>TCK-10433</t>
  </si>
  <si>
    <t>2024-06-24 21:26:29</t>
  </si>
  <si>
    <t>2024-06-25 03:26:01</t>
  </si>
  <si>
    <t>TCK-10434</t>
  </si>
  <si>
    <t>2024-08-26 23:21:58</t>
  </si>
  <si>
    <t>2024-08-27 05:50:02</t>
  </si>
  <si>
    <t>TCK-10435</t>
  </si>
  <si>
    <t>2024-01-06 19:12:29</t>
  </si>
  <si>
    <t>2024-01-08 05:56:20</t>
  </si>
  <si>
    <t>TCK-10436</t>
  </si>
  <si>
    <t>2024-12-06 22:05:38</t>
  </si>
  <si>
    <t>2024-12-07 04:29:45</t>
  </si>
  <si>
    <t>TCK-10437</t>
  </si>
  <si>
    <t>2024-04-23 06:42:41</t>
  </si>
  <si>
    <t>2024-04-23 11:50:26</t>
  </si>
  <si>
    <t>TCK-10438</t>
  </si>
  <si>
    <t>2024-07-09 16:47:47</t>
  </si>
  <si>
    <t>2024-07-09 21:52:22</t>
  </si>
  <si>
    <t>TCK-10439</t>
  </si>
  <si>
    <t>2024-08-17 08:20:08</t>
  </si>
  <si>
    <t>2024-08-17 21:38:38</t>
  </si>
  <si>
    <t>TCK-10440</t>
  </si>
  <si>
    <t>2024-01-19 23:01:23</t>
  </si>
  <si>
    <t>2024-01-20 09:10:48</t>
  </si>
  <si>
    <t>TCK-10441</t>
  </si>
  <si>
    <t>2024-07-03 13:41:39</t>
  </si>
  <si>
    <t>2024-07-04 02:42:30</t>
  </si>
  <si>
    <t>TCK-10442</t>
  </si>
  <si>
    <t>2024-09-29 11:14:34</t>
  </si>
  <si>
    <t>2024-09-29 12:49:05</t>
  </si>
  <si>
    <t>TCK-10443</t>
  </si>
  <si>
    <t>2024-03-18 11:31:15</t>
  </si>
  <si>
    <t>2024-03-18 17:11:32</t>
  </si>
  <si>
    <t>TCK-10444</t>
  </si>
  <si>
    <t>2024-12-19 21:08:19</t>
  </si>
  <si>
    <t>2024-12-20 04:06:19</t>
  </si>
  <si>
    <t>TCK-10445</t>
  </si>
  <si>
    <t>2024-09-17 03:44:10</t>
  </si>
  <si>
    <t>2024-09-17 11:21:22</t>
  </si>
  <si>
    <t>TCK-10446</t>
  </si>
  <si>
    <t>2024-04-25 07:07:36</t>
  </si>
  <si>
    <t>2024-04-25 12:31:43</t>
  </si>
  <si>
    <t>TCK-10447</t>
  </si>
  <si>
    <t>2024-02-15 08:16:34</t>
  </si>
  <si>
    <t>2024-02-15 09:15:21</t>
  </si>
  <si>
    <t>TCK-10448</t>
  </si>
  <si>
    <t>2024-06-19 07:47:41</t>
  </si>
  <si>
    <t>2024-06-20 04:56:47</t>
  </si>
  <si>
    <t>TCK-10449</t>
  </si>
  <si>
    <t>2024-04-15 21:40:04</t>
  </si>
  <si>
    <t>2024-04-16 07:04:49</t>
  </si>
  <si>
    <t>TCK-10450</t>
  </si>
  <si>
    <t>2024-01-24 02:37:26</t>
  </si>
  <si>
    <t>TCK-10451</t>
  </si>
  <si>
    <t>2024-07-06 18:51:20</t>
  </si>
  <si>
    <t>2024-07-07 00:49:52</t>
  </si>
  <si>
    <t>TCK-10452</t>
  </si>
  <si>
    <t>2024-11-21 23:43:35</t>
  </si>
  <si>
    <t>2024-11-22 03:03:51</t>
  </si>
  <si>
    <t>TCK-10453</t>
  </si>
  <si>
    <t>2024-05-02 08:54:35</t>
  </si>
  <si>
    <t>2024-05-02 12:38:04</t>
  </si>
  <si>
    <t>TCK-10454</t>
  </si>
  <si>
    <t>2024-05-11 17:11:25</t>
  </si>
  <si>
    <t>2024-05-12 05:25:17</t>
  </si>
  <si>
    <t>TCK-10455</t>
  </si>
  <si>
    <t>2024-09-06 10:19:22</t>
  </si>
  <si>
    <t>2024-09-06 15:55:26</t>
  </si>
  <si>
    <t>TCK-10456</t>
  </si>
  <si>
    <t>2024-11-27 04:00:52</t>
  </si>
  <si>
    <t>2024-11-28 07:34:15</t>
  </si>
  <si>
    <t>TCK-10457</t>
  </si>
  <si>
    <t>2024-09-07 04:09:07</t>
  </si>
  <si>
    <t>2024-09-07 08:20:51</t>
  </si>
  <si>
    <t>TCK-10458</t>
  </si>
  <si>
    <t>2024-05-03 01:54:25</t>
  </si>
  <si>
    <t>2024-05-03 06:26:26</t>
  </si>
  <si>
    <t>TCK-10459</t>
  </si>
  <si>
    <t>2024-11-03 19:57:18</t>
  </si>
  <si>
    <t>2024-11-04 07:39:41</t>
  </si>
  <si>
    <t>TCK-10460</t>
  </si>
  <si>
    <t>2024-11-16 20:27:21</t>
  </si>
  <si>
    <t>2024-11-16 22:27:52</t>
  </si>
  <si>
    <t>TCK-10461</t>
  </si>
  <si>
    <t>2024-10-05 08:47:50</t>
  </si>
  <si>
    <t>2024-10-08 07:07:57</t>
  </si>
  <si>
    <t>TCK-10462</t>
  </si>
  <si>
    <t>2024-07-22 01:15:13</t>
  </si>
  <si>
    <t>2024-07-22 18:22:24</t>
  </si>
  <si>
    <t>TCK-10463</t>
  </si>
  <si>
    <t>2024-08-25 13:33:04</t>
  </si>
  <si>
    <t>2024-08-25 19:13:30</t>
  </si>
  <si>
    <t>TCK-10464</t>
  </si>
  <si>
    <t>2024-06-10 07:08:37</t>
  </si>
  <si>
    <t>2024-06-10 09:46:56</t>
  </si>
  <si>
    <t>TCK-10465</t>
  </si>
  <si>
    <t>2024-02-22 14:53:54</t>
  </si>
  <si>
    <t>TCK-10466</t>
  </si>
  <si>
    <t>2024-11-22 02:19:58</t>
  </si>
  <si>
    <t>2024-11-22 07:21:06</t>
  </si>
  <si>
    <t>TCK-10467</t>
  </si>
  <si>
    <t>2024-08-21 13:29:40</t>
  </si>
  <si>
    <t>TCK-10468</t>
  </si>
  <si>
    <t>2024-12-22 00:54:07</t>
  </si>
  <si>
    <t>TCK-10469</t>
  </si>
  <si>
    <t>2024-06-25 04:49:40</t>
  </si>
  <si>
    <t>2024-06-26 20:01:30</t>
  </si>
  <si>
    <t>TCK-10470</t>
  </si>
  <si>
    <t>2024-05-02 05:51:38</t>
  </si>
  <si>
    <t>2024-05-02 22:16:02</t>
  </si>
  <si>
    <t>TCK-10471</t>
  </si>
  <si>
    <t>2024-02-21 20:35:24</t>
  </si>
  <si>
    <t>2024-02-23 06:22:20</t>
  </si>
  <si>
    <t>TCK-10472</t>
  </si>
  <si>
    <t>2024-08-06 16:49:53</t>
  </si>
  <si>
    <t>2024-08-08 07:24:46</t>
  </si>
  <si>
    <t>TCK-10473</t>
  </si>
  <si>
    <t>2024-11-10 05:56:47</t>
  </si>
  <si>
    <t>2024-11-10 07:15:14</t>
  </si>
  <si>
    <t>TCK-10474</t>
  </si>
  <si>
    <t>2024-04-21 15:27:01</t>
  </si>
  <si>
    <t>2024-04-22 04:53:24</t>
  </si>
  <si>
    <t>TCK-10475</t>
  </si>
  <si>
    <t>2024-06-25 02:29:11</t>
  </si>
  <si>
    <t>2024-06-25 04:54:07</t>
  </si>
  <si>
    <t>TCK-10476</t>
  </si>
  <si>
    <t>2024-11-06 13:33:30</t>
  </si>
  <si>
    <t>2024-11-09 12:25:36</t>
  </si>
  <si>
    <t>TCK-10477</t>
  </si>
  <si>
    <t>2024-08-02 18:10:27</t>
  </si>
  <si>
    <t>2024-08-03 01:49:48</t>
  </si>
  <si>
    <t>TCK-10478</t>
  </si>
  <si>
    <t>2024-09-03 11:20:12</t>
  </si>
  <si>
    <t>2024-09-04 04:31:29</t>
  </si>
  <si>
    <t>TCK-10479</t>
  </si>
  <si>
    <t>2024-06-23 15:15:29</t>
  </si>
  <si>
    <t>2024-06-23 16:20:03</t>
  </si>
  <si>
    <t>TCK-10480</t>
  </si>
  <si>
    <t>2024-04-12 22:53:29</t>
  </si>
  <si>
    <t>2024-04-13 00:44:38</t>
  </si>
  <si>
    <t>TCK-10481</t>
  </si>
  <si>
    <t>2024-05-05 15:07:47</t>
  </si>
  <si>
    <t>2024-05-06 04:45:10</t>
  </si>
  <si>
    <t>TCK-10482</t>
  </si>
  <si>
    <t>2024-10-02 04:04:12</t>
  </si>
  <si>
    <t>TCK-10483</t>
  </si>
  <si>
    <t>2024-02-06 00:59:40</t>
  </si>
  <si>
    <t>2024-02-06 06:54:45</t>
  </si>
  <si>
    <t>TCK-10484</t>
  </si>
  <si>
    <t>2024-08-06 08:01:06</t>
  </si>
  <si>
    <t>2024-08-08 01:43:18</t>
  </si>
  <si>
    <t>TCK-10485</t>
  </si>
  <si>
    <t>2024-08-29 13:22:01</t>
  </si>
  <si>
    <t>TCK-10486</t>
  </si>
  <si>
    <t>2024-02-14 08:43:21</t>
  </si>
  <si>
    <t>TCK-10487</t>
  </si>
  <si>
    <t>2024-11-15 14:36:42</t>
  </si>
  <si>
    <t>2024-11-16 06:18:10</t>
  </si>
  <si>
    <t>TCK-10488</t>
  </si>
  <si>
    <t>2024-02-02 07:30:54</t>
  </si>
  <si>
    <t>2024-02-03 15:39:52</t>
  </si>
  <si>
    <t>TCK-10489</t>
  </si>
  <si>
    <t>2024-12-02 05:55:34</t>
  </si>
  <si>
    <t>2024-12-04 17:49:20</t>
  </si>
  <si>
    <t>TCK-10490</t>
  </si>
  <si>
    <t>2024-11-13 12:42:08</t>
  </si>
  <si>
    <t>2024-11-13 21:04:23</t>
  </si>
  <si>
    <t>TCK-10491</t>
  </si>
  <si>
    <t>2024-11-04 18:37:06</t>
  </si>
  <si>
    <t>2024-11-04 22:10:06</t>
  </si>
  <si>
    <t>TCK-10492</t>
  </si>
  <si>
    <t>2024-05-31 14:25:13</t>
  </si>
  <si>
    <t>2024-06-01 07:07:05</t>
  </si>
  <si>
    <t>TCK-10493</t>
  </si>
  <si>
    <t>2024-12-26 18:01:55</t>
  </si>
  <si>
    <t>2025-01-27 11:01:55</t>
  </si>
  <si>
    <t>TCK-10494</t>
  </si>
  <si>
    <t>2024-09-13 22:23:10</t>
  </si>
  <si>
    <t>2024-09-14 01:40:27</t>
  </si>
  <si>
    <t>TCK-10495</t>
  </si>
  <si>
    <t>2024-09-03 13:44:02</t>
  </si>
  <si>
    <t>2024-09-03 15:22:18</t>
  </si>
  <si>
    <t>TCK-10496</t>
  </si>
  <si>
    <t>2024-08-20 01:13:35</t>
  </si>
  <si>
    <t>2024-08-20 18:26:07</t>
  </si>
  <si>
    <t>TCK-10497</t>
  </si>
  <si>
    <t>2024-12-18 01:03:54</t>
  </si>
  <si>
    <t>2024-12-19 11:21:34</t>
  </si>
  <si>
    <t>TCK-10498</t>
  </si>
  <si>
    <t>2024-11-06 21:22:18</t>
  </si>
  <si>
    <t>2024-11-07 13:28:26</t>
  </si>
  <si>
    <t>TCK-10499</t>
  </si>
  <si>
    <t>2024-03-18 00:03:55</t>
  </si>
  <si>
    <t>2024-03-18 04:30:22</t>
  </si>
  <si>
    <t>TCK-10500</t>
  </si>
  <si>
    <t>2024-12-15 21:42:48</t>
  </si>
  <si>
    <t>2024-12-15 23:32:58</t>
  </si>
  <si>
    <t>TCK-10501</t>
  </si>
  <si>
    <t>2024-11-10 00:18:26</t>
  </si>
  <si>
    <t>2024-11-10 06:08:16</t>
  </si>
  <si>
    <t>TCK-10502</t>
  </si>
  <si>
    <t>2024-11-22 14:23:35</t>
  </si>
  <si>
    <t>2024-11-22 23:01:28</t>
  </si>
  <si>
    <t>TCK-10503</t>
  </si>
  <si>
    <t>2024-03-09 14:17:47</t>
  </si>
  <si>
    <t>2024-03-10 07:39:38</t>
  </si>
  <si>
    <t>TCK-10504</t>
  </si>
  <si>
    <t>2024-10-09 20:05:45</t>
  </si>
  <si>
    <t>2024-10-09 21:52:23</t>
  </si>
  <si>
    <t>TCK-10505</t>
  </si>
  <si>
    <t>2024-12-18 07:21:41</t>
  </si>
  <si>
    <t>2024-12-18 09:05:45</t>
  </si>
  <si>
    <t>TCK-10506</t>
  </si>
  <si>
    <t>2024-08-17 07:28:38</t>
  </si>
  <si>
    <t>2024-08-17 20:07:17</t>
  </si>
  <si>
    <t>TCK-10507</t>
  </si>
  <si>
    <t>2024-11-25 15:45:48</t>
  </si>
  <si>
    <t>2024-11-26 19:40:14</t>
  </si>
  <si>
    <t>TCK-10508</t>
  </si>
  <si>
    <t>2024-12-05 01:26:52</t>
  </si>
  <si>
    <t>2024-12-05 15:42:11</t>
  </si>
  <si>
    <t>TCK-10509</t>
  </si>
  <si>
    <t>2024-04-01 05:12:43</t>
  </si>
  <si>
    <t>2024-04-01 05:46:11</t>
  </si>
  <si>
    <t>TCK-10510</t>
  </si>
  <si>
    <t>2024-05-06 04:33:42</t>
  </si>
  <si>
    <t>2024-05-06 06:32:37</t>
  </si>
  <si>
    <t>TCK-10511</t>
  </si>
  <si>
    <t>2024-05-22 04:48:45</t>
  </si>
  <si>
    <t>2024-05-23 16:26:39</t>
  </si>
  <si>
    <t>TCK-10512</t>
  </si>
  <si>
    <t>2024-11-13 17:11:55</t>
  </si>
  <si>
    <t>2024-12-09 18:11:55</t>
  </si>
  <si>
    <t>TCK-10513</t>
  </si>
  <si>
    <t>2024-07-19 03:52:20</t>
  </si>
  <si>
    <t>2024-07-19 08:41:10</t>
  </si>
  <si>
    <t>TCK-10514</t>
  </si>
  <si>
    <t>2024-11-11 08:40:36</t>
  </si>
  <si>
    <t>2024-11-11 15:08:36</t>
  </si>
  <si>
    <t>TCK-10515</t>
  </si>
  <si>
    <t>2024-01-18 02:08:03</t>
  </si>
  <si>
    <t>2024-01-18 12:49:30</t>
  </si>
  <si>
    <t>TCK-10516</t>
  </si>
  <si>
    <t>2024-12-24 13:49:40</t>
  </si>
  <si>
    <t>2024-12-25 09:35:03</t>
  </si>
  <si>
    <t>TCK-10517</t>
  </si>
  <si>
    <t>2024-02-03 15:14:02</t>
  </si>
  <si>
    <t>2024-02-04 09:00:25</t>
  </si>
  <si>
    <t>TCK-10518</t>
  </si>
  <si>
    <t>2024-11-14 23:10:40</t>
  </si>
  <si>
    <t>2024-11-15 20:23:37</t>
  </si>
  <si>
    <t>TCK-10519</t>
  </si>
  <si>
    <t>2024-01-28 01:39:44</t>
  </si>
  <si>
    <t>2024-01-28 17:55:48</t>
  </si>
  <si>
    <t>TCK-10520</t>
  </si>
  <si>
    <t>2024-02-28 10:00:40</t>
  </si>
  <si>
    <t>2024-02-28 22:40:44</t>
  </si>
  <si>
    <t>TCK-10521</t>
  </si>
  <si>
    <t>2024-07-06 14:48:40</t>
  </si>
  <si>
    <t>2024-07-07 06:27:19</t>
  </si>
  <si>
    <t>TCK-10522</t>
  </si>
  <si>
    <t>2024-05-24 04:10:04</t>
  </si>
  <si>
    <t>TCK-10523</t>
  </si>
  <si>
    <t>2024-07-06 13:42:58</t>
  </si>
  <si>
    <t>TCK-10524</t>
  </si>
  <si>
    <t>2024-11-21 11:10:52</t>
  </si>
  <si>
    <t>2024-11-22 07:06:20</t>
  </si>
  <si>
    <t>TCK-10525</t>
  </si>
  <si>
    <t>2024-12-06 20:03:15</t>
  </si>
  <si>
    <t>2024-12-07 09:06:50</t>
  </si>
  <si>
    <t>TCK-10526</t>
  </si>
  <si>
    <t>2024-05-25 23:31:54</t>
  </si>
  <si>
    <t>2024-05-26 15:13:25</t>
  </si>
  <si>
    <t>TCK-10527</t>
  </si>
  <si>
    <t>2024-11-28 08:57:45</t>
  </si>
  <si>
    <t>TCK-10528</t>
  </si>
  <si>
    <t>2024-06-03 16:32:28</t>
  </si>
  <si>
    <t>2024-06-04 04:48:35</t>
  </si>
  <si>
    <t>TCK-10529</t>
  </si>
  <si>
    <t>2024-08-12 16:05:56</t>
  </si>
  <si>
    <t>2024-08-12 22:13:26</t>
  </si>
  <si>
    <t>TCK-10530</t>
  </si>
  <si>
    <t>2024-02-09 06:39:52</t>
  </si>
  <si>
    <t>2024-02-09 07:49:06</t>
  </si>
  <si>
    <t>TCK-10531</t>
  </si>
  <si>
    <t>2024-09-04 06:47:58</t>
  </si>
  <si>
    <t>TCK-10532</t>
  </si>
  <si>
    <t>2024-06-18 10:00:42</t>
  </si>
  <si>
    <t>2024-06-18 13:34:33</t>
  </si>
  <si>
    <t>TCK-10533</t>
  </si>
  <si>
    <t>2024-09-12 03:59:47</t>
  </si>
  <si>
    <t>TCK-10534</t>
  </si>
  <si>
    <t>2024-11-14 21:05:09</t>
  </si>
  <si>
    <t>2024-11-15 13:34:08</t>
  </si>
  <si>
    <t>TCK-10535</t>
  </si>
  <si>
    <t>2024-10-31 19:01:53</t>
  </si>
  <si>
    <t>2024-11-01 02:18:44</t>
  </si>
  <si>
    <t>TCK-10536</t>
  </si>
  <si>
    <t>2024-03-02 11:29:29</t>
  </si>
  <si>
    <t>2024-03-02 12:34:20</t>
  </si>
  <si>
    <t>TCK-10537</t>
  </si>
  <si>
    <t>2024-09-30 14:13:54</t>
  </si>
  <si>
    <t>2024-09-30 21:08:48</t>
  </si>
  <si>
    <t>TCK-10538</t>
  </si>
  <si>
    <t>2024-04-17 17:14:23</t>
  </si>
  <si>
    <t>2024-04-17 20:48:29</t>
  </si>
  <si>
    <t>TCK-10539</t>
  </si>
  <si>
    <t>2024-01-29 10:41:10</t>
  </si>
  <si>
    <t>TCK-10540</t>
  </si>
  <si>
    <t>2024-12-06 13:57:55</t>
  </si>
  <si>
    <t>2024-12-07 02:13:52</t>
  </si>
  <si>
    <t>TCK-10541</t>
  </si>
  <si>
    <t>2024-05-12 05:52:03</t>
  </si>
  <si>
    <t>2024-05-12 21:11:11</t>
  </si>
  <si>
    <t>TCK-10542</t>
  </si>
  <si>
    <t>2024-11-02 14:48:24</t>
  </si>
  <si>
    <t>2024-11-03 17:27:40</t>
  </si>
  <si>
    <t>TCK-10543</t>
  </si>
  <si>
    <t>2024-04-12 14:35:49</t>
  </si>
  <si>
    <t>2024-04-12 17:31:52</t>
  </si>
  <si>
    <t>TCK-10544</t>
  </si>
  <si>
    <t>2024-08-11 03:23:21</t>
  </si>
  <si>
    <t>2024-08-11 05:50:06</t>
  </si>
  <si>
    <t>TCK-10545</t>
  </si>
  <si>
    <t>2024-03-30 08:22:08</t>
  </si>
  <si>
    <t>2024-03-30 15:25:34</t>
  </si>
  <si>
    <t>TCK-10546</t>
  </si>
  <si>
    <t>2024-09-14 23:33:38</t>
  </si>
  <si>
    <t>2024-09-15 08:23:42</t>
  </si>
  <si>
    <t>TCK-10547</t>
  </si>
  <si>
    <t>2024-12-08 11:23:46</t>
  </si>
  <si>
    <t>TCK-10548</t>
  </si>
  <si>
    <t>2024-12-22 01:48:08</t>
  </si>
  <si>
    <t>2024-12-22 13:57:35</t>
  </si>
  <si>
    <t>TCK-10549</t>
  </si>
  <si>
    <t>2024-07-14 11:24:30</t>
  </si>
  <si>
    <t>TCK-10550</t>
  </si>
  <si>
    <t>2024-09-28 12:06:39</t>
  </si>
  <si>
    <t>2024-09-28 16:33:57</t>
  </si>
  <si>
    <t>TCK-10551</t>
  </si>
  <si>
    <t>2024-12-01 00:56:59</t>
  </si>
  <si>
    <t>2024-12-01 04:14:16</t>
  </si>
  <si>
    <t>TCK-10552</t>
  </si>
  <si>
    <t>2024-03-23 02:18:17</t>
  </si>
  <si>
    <t>2024-03-23 07:22:47</t>
  </si>
  <si>
    <t>TCK-10553</t>
  </si>
  <si>
    <t>2024-03-30 02:23:47</t>
  </si>
  <si>
    <t>2024-03-30 13:08:48</t>
  </si>
  <si>
    <t>TCK-10554</t>
  </si>
  <si>
    <t>2024-02-28 09:53:20</t>
  </si>
  <si>
    <t>2024-03-01 16:36:12</t>
  </si>
  <si>
    <t>TCK-10555</t>
  </si>
  <si>
    <t>2024-05-02 22:47:28</t>
  </si>
  <si>
    <t>2024-05-03 04:31:23</t>
  </si>
  <si>
    <t>TCK-10556</t>
  </si>
  <si>
    <t>2024-04-09 02:09:05</t>
  </si>
  <si>
    <t>2024-04-09 15:58:57</t>
  </si>
  <si>
    <t>TCK-10557</t>
  </si>
  <si>
    <t>2024-04-10 10:04:34</t>
  </si>
  <si>
    <t>TCK-10558</t>
  </si>
  <si>
    <t>2024-03-18 14:25:26</t>
  </si>
  <si>
    <t>TCK-10559</t>
  </si>
  <si>
    <t>2024-04-20 20:44:44</t>
  </si>
  <si>
    <t>2024-04-21 11:39:51</t>
  </si>
  <si>
    <t>TCK-10560</t>
  </si>
  <si>
    <t>2024-02-26 14:05:03</t>
  </si>
  <si>
    <t>2024-02-28 05:31:09</t>
  </si>
  <si>
    <t>TCK-10561</t>
  </si>
  <si>
    <t>2024-03-04 05:56:40</t>
  </si>
  <si>
    <t>2024-03-04 08:35:20</t>
  </si>
  <si>
    <t>TCK-10562</t>
  </si>
  <si>
    <t>2024-12-01 09:56:21</t>
  </si>
  <si>
    <t>2024-12-01 15:40:54</t>
  </si>
  <si>
    <t>TCK-10563</t>
  </si>
  <si>
    <t>2024-09-14 10:29:50</t>
  </si>
  <si>
    <t>2024-09-14 11:43:51</t>
  </si>
  <si>
    <t>TCK-10564</t>
  </si>
  <si>
    <t>2024-08-01 07:46:22</t>
  </si>
  <si>
    <t>2024-08-01 08:27:33</t>
  </si>
  <si>
    <t>TCK-10565</t>
  </si>
  <si>
    <t>2024-05-31 17:37:48</t>
  </si>
  <si>
    <t>2024-06-01 00:07:54</t>
  </si>
  <si>
    <t>TCK-10566</t>
  </si>
  <si>
    <t>2024-09-15 00:43:34</t>
  </si>
  <si>
    <t>TCK-10567</t>
  </si>
  <si>
    <t>2024-07-29 06:36:34</t>
  </si>
  <si>
    <t>2024-07-30 06:02:11</t>
  </si>
  <si>
    <t>TCK-10568</t>
  </si>
  <si>
    <t>2024-12-07 00:58:12</t>
  </si>
  <si>
    <t>TCK-10569</t>
  </si>
  <si>
    <t>2024-07-06 09:19:08</t>
  </si>
  <si>
    <t>2024-07-06 17:54:42</t>
  </si>
  <si>
    <t>TCK-10570</t>
  </si>
  <si>
    <t>2024-11-12 23:53:25</t>
  </si>
  <si>
    <t>2024-11-13 12:19:32</t>
  </si>
  <si>
    <t>TCK-10571</t>
  </si>
  <si>
    <t>2024-04-26 16:34:20</t>
  </si>
  <si>
    <t>2024-04-26 18:14:33</t>
  </si>
  <si>
    <t>TCK-10572</t>
  </si>
  <si>
    <t>2024-08-06 00:44:43</t>
  </si>
  <si>
    <t>TCK-10573</t>
  </si>
  <si>
    <t>2024-11-07 00:09:32</t>
  </si>
  <si>
    <t>2024-11-07 15:55:36</t>
  </si>
  <si>
    <t>TCK-10574</t>
  </si>
  <si>
    <t>2024-01-27 22:07:49</t>
  </si>
  <si>
    <t>2024-01-28 02:16:33</t>
  </si>
  <si>
    <t>TCK-10575</t>
  </si>
  <si>
    <t>2024-02-29 10:08:03</t>
  </si>
  <si>
    <t>2024-02-29 12:01:29</t>
  </si>
  <si>
    <t>TCK-10576</t>
  </si>
  <si>
    <t>2024-02-05 08:41:48</t>
  </si>
  <si>
    <t>2024-02-05 16:16:58</t>
  </si>
  <si>
    <t>TCK-10577</t>
  </si>
  <si>
    <t>2024-11-03 16:36:46</t>
  </si>
  <si>
    <t>2024-11-03 18:51:34</t>
  </si>
  <si>
    <t>TCK-10578</t>
  </si>
  <si>
    <t>2024-12-14 04:31:10</t>
  </si>
  <si>
    <t>TCK-10579</t>
  </si>
  <si>
    <t>2024-10-04 21:19:26</t>
  </si>
  <si>
    <t>2024-10-05 01:15:27</t>
  </si>
  <si>
    <t>TCK-10580</t>
  </si>
  <si>
    <t>2024-07-21 17:22:07</t>
  </si>
  <si>
    <t>TCK-10581</t>
  </si>
  <si>
    <t>2024-12-29 22:09:30</t>
  </si>
  <si>
    <t>TCK-10582</t>
  </si>
  <si>
    <t>2024-07-21 15:23:04</t>
  </si>
  <si>
    <t>2024-07-21 20:43:04</t>
  </si>
  <si>
    <t>TCK-10583</t>
  </si>
  <si>
    <t>2024-04-01 23:21:39</t>
  </si>
  <si>
    <t>2024-04-02 06:43:11</t>
  </si>
  <si>
    <t>TCK-10584</t>
  </si>
  <si>
    <t>2024-08-14 00:01:49</t>
  </si>
  <si>
    <t>2024-08-14 05:38:50</t>
  </si>
  <si>
    <t>TCK-10585</t>
  </si>
  <si>
    <t>2024-08-28 14:11:16</t>
  </si>
  <si>
    <t>2024-08-28 18:38:05</t>
  </si>
  <si>
    <t>TCK-10586</t>
  </si>
  <si>
    <t>2024-07-08 19:01:30</t>
  </si>
  <si>
    <t>2024-07-08 22:23:37</t>
  </si>
  <si>
    <t>TCK-10587</t>
  </si>
  <si>
    <t>2024-04-07 16:39:29</t>
  </si>
  <si>
    <t>2024-04-08 05:12:03</t>
  </si>
  <si>
    <t>TCK-10588</t>
  </si>
  <si>
    <t>2024-05-15 08:28:10</t>
  </si>
  <si>
    <t>2024-05-15 12:19:30</t>
  </si>
  <si>
    <t>TCK-10589</t>
  </si>
  <si>
    <t>2024-07-29 16:08:00</t>
  </si>
  <si>
    <t>2024-07-31 22:20:12</t>
  </si>
  <si>
    <t>TCK-10590</t>
  </si>
  <si>
    <t>2024-08-29 04:39:28</t>
  </si>
  <si>
    <t>2024-08-29 10:39:28</t>
  </si>
  <si>
    <t>TCK-10591</t>
  </si>
  <si>
    <t>2024-04-20 06:57:15</t>
  </si>
  <si>
    <t>2024-04-20 13:26:00</t>
  </si>
  <si>
    <t>TCK-10592</t>
  </si>
  <si>
    <t>2024-12-05 13:32:34</t>
  </si>
  <si>
    <t>2024-12-05 15:15:50</t>
  </si>
  <si>
    <t>TCK-10593</t>
  </si>
  <si>
    <t>2024-08-30 15:49:35</t>
  </si>
  <si>
    <t>2024-08-31 13:12:09</t>
  </si>
  <si>
    <t>TCK-10594</t>
  </si>
  <si>
    <t>2024-07-10 04:13:52</t>
  </si>
  <si>
    <t>2024-07-11 23:18:41</t>
  </si>
  <si>
    <t>TCK-10595</t>
  </si>
  <si>
    <t>2024-05-23 15:58:08</t>
  </si>
  <si>
    <t>2024-05-24 11:23:30</t>
  </si>
  <si>
    <t>TCK-10596</t>
  </si>
  <si>
    <t>2024-03-25 04:20:03</t>
  </si>
  <si>
    <t>2024-03-26 11:56:05</t>
  </si>
  <si>
    <t>TCK-10597</t>
  </si>
  <si>
    <t>2024-03-10 19:26:57</t>
  </si>
  <si>
    <t>2024-03-11 12:10:52</t>
  </si>
  <si>
    <t>TCK-10598</t>
  </si>
  <si>
    <t>2024-02-10 18:18:16</t>
  </si>
  <si>
    <t>2024-02-11 01:53:37</t>
  </si>
  <si>
    <t>TCK-10599</t>
  </si>
  <si>
    <t>2024-05-17 03:53:54</t>
  </si>
  <si>
    <t>2024-05-18 18:24:19</t>
  </si>
  <si>
    <t>TCK-10600</t>
  </si>
  <si>
    <t>2024-04-03 19:41:48</t>
  </si>
  <si>
    <t>2024-04-05 17:50:22</t>
  </si>
  <si>
    <t>TCK-10601</t>
  </si>
  <si>
    <t>2024-10-09 09:43:49</t>
  </si>
  <si>
    <t>2024-10-09 13:58:53</t>
  </si>
  <si>
    <t>TCK-10602</t>
  </si>
  <si>
    <t>2024-03-24 18:17:37</t>
  </si>
  <si>
    <t>2024-03-25 22:24:55</t>
  </si>
  <si>
    <t>TCK-10603</t>
  </si>
  <si>
    <t>2024-06-28 02:57:27</t>
  </si>
  <si>
    <t>2024-06-28 11:29:01</t>
  </si>
  <si>
    <t>TCK-10604</t>
  </si>
  <si>
    <t>2024-08-09 08:04:10</t>
  </si>
  <si>
    <t>2024-08-14 03:00:55</t>
  </si>
  <si>
    <t>TCK-10605</t>
  </si>
  <si>
    <t>2024-12-18 19:57:49</t>
  </si>
  <si>
    <t>2024-12-18 23:00:57</t>
  </si>
  <si>
    <t>TCK-10606</t>
  </si>
  <si>
    <t>2024-05-10 04:44:14</t>
  </si>
  <si>
    <t>2024-05-10 09:58:34</t>
  </si>
  <si>
    <t>TCK-10607</t>
  </si>
  <si>
    <t>2024-01-05 18:34:34</t>
  </si>
  <si>
    <t>2024-01-06 08:30:01</t>
  </si>
  <si>
    <t>TCK-10608</t>
  </si>
  <si>
    <t>2024-09-28 07:40:30</t>
  </si>
  <si>
    <t>2024-09-28 09:05:15</t>
  </si>
  <si>
    <t>TCK-10609</t>
  </si>
  <si>
    <t>2024-11-01 17:29:01</t>
  </si>
  <si>
    <t>2024-11-02 04:01:37</t>
  </si>
  <si>
    <t>TCK-10610</t>
  </si>
  <si>
    <t>2024-07-14 05:19:49</t>
  </si>
  <si>
    <t>2024-07-14 21:02:10</t>
  </si>
  <si>
    <t>TCK-10611</t>
  </si>
  <si>
    <t>2024-08-27 13:30:23</t>
  </si>
  <si>
    <t>2024-08-28 22:14:37</t>
  </si>
  <si>
    <t>TCK-10612</t>
  </si>
  <si>
    <t>2024-02-14 00:51:15</t>
  </si>
  <si>
    <t>2024-02-14 03:44:52</t>
  </si>
  <si>
    <t>TCK-10613</t>
  </si>
  <si>
    <t>2024-05-16 03:35:35</t>
  </si>
  <si>
    <t>2024-05-16 22:41:01</t>
  </si>
  <si>
    <t>TCK-10614</t>
  </si>
  <si>
    <t>2024-05-25 12:15:44</t>
  </si>
  <si>
    <t>2024-05-25 17:17:06</t>
  </si>
  <si>
    <t>TCK-10615</t>
  </si>
  <si>
    <t>2024-11-19 14:56:50</t>
  </si>
  <si>
    <t>2024-11-20 04:16:29</t>
  </si>
  <si>
    <t>TCK-10616</t>
  </si>
  <si>
    <t>2024-03-20 11:33:58</t>
  </si>
  <si>
    <t>2024-03-22 21:17:43</t>
  </si>
  <si>
    <t>TCK-10617</t>
  </si>
  <si>
    <t>2024-05-26 14:13:42</t>
  </si>
  <si>
    <t>2024-05-27 08:43:40</t>
  </si>
  <si>
    <t>TCK-10618</t>
  </si>
  <si>
    <t>2024-01-21 22:47:25</t>
  </si>
  <si>
    <t>2024-01-22 19:48:46</t>
  </si>
  <si>
    <t>TCK-10619</t>
  </si>
  <si>
    <t>2024-02-12 05:37:15</t>
  </si>
  <si>
    <t>TCK-10620</t>
  </si>
  <si>
    <t>2024-07-16 19:56:21</t>
  </si>
  <si>
    <t>2024-07-17 08:20:41</t>
  </si>
  <si>
    <t>TCK-10621</t>
  </si>
  <si>
    <t>2024-06-27 04:44:28</t>
  </si>
  <si>
    <t>TCK-10622</t>
  </si>
  <si>
    <t>2024-04-28 18:07:49</t>
  </si>
  <si>
    <t>2024-04-28 23:10:54</t>
  </si>
  <si>
    <t>TCK-10623</t>
  </si>
  <si>
    <t>2024-07-14 00:00:08</t>
  </si>
  <si>
    <t>2024-07-14 01:00:09</t>
  </si>
  <si>
    <t>TCK-10624</t>
  </si>
  <si>
    <t>2024-04-19 03:35:45</t>
  </si>
  <si>
    <t>2024-04-19 07:56:12</t>
  </si>
  <si>
    <t>TCK-10625</t>
  </si>
  <si>
    <t>2024-12-05 06:10:02</t>
  </si>
  <si>
    <t>2024-12-08 01:56:34</t>
  </si>
  <si>
    <t>TCK-10626</t>
  </si>
  <si>
    <t>2024-07-29 21:59:05</t>
  </si>
  <si>
    <t>2024-07-29 23:43:25</t>
  </si>
  <si>
    <t>TCK-10627</t>
  </si>
  <si>
    <t>2024-12-15 07:57:41</t>
  </si>
  <si>
    <t>TCK-10628</t>
  </si>
  <si>
    <t>2024-12-22 12:06:16</t>
  </si>
  <si>
    <t>2024-12-22 18:53:09</t>
  </si>
  <si>
    <t>TCK-10629</t>
  </si>
  <si>
    <t>2024-10-24 14:22:17</t>
  </si>
  <si>
    <t>2024-10-25 12:43:11</t>
  </si>
  <si>
    <t>TCK-10630</t>
  </si>
  <si>
    <t>2024-04-16 15:57:54</t>
  </si>
  <si>
    <t>2024-04-17 09:59:21</t>
  </si>
  <si>
    <t>TCK-10631</t>
  </si>
  <si>
    <t>2024-08-26 03:37:39</t>
  </si>
  <si>
    <t>2024-08-26 05:20:21</t>
  </si>
  <si>
    <t>TCK-10632</t>
  </si>
  <si>
    <t>2024-07-01 09:11:32</t>
  </si>
  <si>
    <t>2024-07-01 16:12:29</t>
  </si>
  <si>
    <t>TCK-10633</t>
  </si>
  <si>
    <t>2024-01-07 03:56:34</t>
  </si>
  <si>
    <t>2024-01-07 17:05:20</t>
  </si>
  <si>
    <t>TCK-10634</t>
  </si>
  <si>
    <t>2024-06-19 22:26:05</t>
  </si>
  <si>
    <t>2024-06-21 10:54:15</t>
  </si>
  <si>
    <t>TCK-10635</t>
  </si>
  <si>
    <t>2024-11-16 11:17:55</t>
  </si>
  <si>
    <t>2024-11-17 02:46:58</t>
  </si>
  <si>
    <t>TCK-10636</t>
  </si>
  <si>
    <t>2024-01-16 06:57:27</t>
  </si>
  <si>
    <t>2024-01-17 00:21:17</t>
  </si>
  <si>
    <t>TCK-10637</t>
  </si>
  <si>
    <t>2024-07-19 18:38:57</t>
  </si>
  <si>
    <t>2024-07-22 08:03:26</t>
  </si>
  <si>
    <t>TCK-10638</t>
  </si>
  <si>
    <t>2024-03-05 23:46:03</t>
  </si>
  <si>
    <t>2024-03-06 19:05:50</t>
  </si>
  <si>
    <t>TCK-10639</t>
  </si>
  <si>
    <t>2024-10-07 23:33:22</t>
  </si>
  <si>
    <t>2024-10-08 08:33:16</t>
  </si>
  <si>
    <t>TCK-10640</t>
  </si>
  <si>
    <t>2024-06-25 12:36:39</t>
  </si>
  <si>
    <t>2024-06-26 04:14:30</t>
  </si>
  <si>
    <t>TCK-10641</t>
  </si>
  <si>
    <t>2024-03-05 00:32:06</t>
  </si>
  <si>
    <t>2024-03-05 13:37:15</t>
  </si>
  <si>
    <t>TCK-10642</t>
  </si>
  <si>
    <t>2024-11-03 13:16:30</t>
  </si>
  <si>
    <t>2024-11-04 01:02:49</t>
  </si>
  <si>
    <t>TCK-10643</t>
  </si>
  <si>
    <t>2024-12-04 17:09:17</t>
  </si>
  <si>
    <t>2024-12-05 11:09:17</t>
  </si>
  <si>
    <t>TCK-10644</t>
  </si>
  <si>
    <t>2024-06-22 15:25:41</t>
  </si>
  <si>
    <t>2024-06-22 16:18:39</t>
  </si>
  <si>
    <t>TCK-10645</t>
  </si>
  <si>
    <t>2024-07-12 23:40:57</t>
  </si>
  <si>
    <t>2024-07-13 11:20:19</t>
  </si>
  <si>
    <t>TCK-10646</t>
  </si>
  <si>
    <t>2024-08-21 19:44:40</t>
  </si>
  <si>
    <t>2024-08-22 14:58:46</t>
  </si>
  <si>
    <t>TCK-10647</t>
  </si>
  <si>
    <t>2024-02-27 21:50:51</t>
  </si>
  <si>
    <t>2024-02-28 04:22:31</t>
  </si>
  <si>
    <t>TCK-10648</t>
  </si>
  <si>
    <t>2024-01-20 09:00:19</t>
  </si>
  <si>
    <t>2024-01-20 14:33:51</t>
  </si>
  <si>
    <t>TCK-10649</t>
  </si>
  <si>
    <t>2024-08-06 15:52:16</t>
  </si>
  <si>
    <t>TCK-10650</t>
  </si>
  <si>
    <t>2024-02-06 11:59:59</t>
  </si>
  <si>
    <t>2024-02-07 16:14:17</t>
  </si>
  <si>
    <t>TCK-10651</t>
  </si>
  <si>
    <t>2024-02-17 17:20:20</t>
  </si>
  <si>
    <t>2024-02-18 08:13:29</t>
  </si>
  <si>
    <t>TCK-10652</t>
  </si>
  <si>
    <t>2024-10-10 17:33:45</t>
  </si>
  <si>
    <t>2024-10-12 06:31:13</t>
  </si>
  <si>
    <t>TCK-10653</t>
  </si>
  <si>
    <t>2024-06-15 04:25:41</t>
  </si>
  <si>
    <t>TCK-10654</t>
  </si>
  <si>
    <t>2024-05-17 18:09:07</t>
  </si>
  <si>
    <t>2024-05-19 07:55:03</t>
  </si>
  <si>
    <t>TCK-10655</t>
  </si>
  <si>
    <t>2024-03-31 17:07:22</t>
  </si>
  <si>
    <t>2024-03-31 21:55:42</t>
  </si>
  <si>
    <t>TCK-10656</t>
  </si>
  <si>
    <t>2024-11-06 20:28:47</t>
  </si>
  <si>
    <t>2024-11-07 03:12:41</t>
  </si>
  <si>
    <t>TCK-10657</t>
  </si>
  <si>
    <t>2024-09-25 07:25:30</t>
  </si>
  <si>
    <t>2024-09-25 08:16:00</t>
  </si>
  <si>
    <t>TCK-10658</t>
  </si>
  <si>
    <t>2024-05-12 21:43:14</t>
  </si>
  <si>
    <t>2024-05-15 18:04:59</t>
  </si>
  <si>
    <t>TCK-10659</t>
  </si>
  <si>
    <t>2024-07-03 14:39:53</t>
  </si>
  <si>
    <t>2024-07-05 16:59:41</t>
  </si>
  <si>
    <t>TCK-10660</t>
  </si>
  <si>
    <t>2024-10-31 19:18:26</t>
  </si>
  <si>
    <t>2024-11-01 12:58:47</t>
  </si>
  <si>
    <t>TCK-10661</t>
  </si>
  <si>
    <t>2024-03-22 05:08:48</t>
  </si>
  <si>
    <t>TCK-10662</t>
  </si>
  <si>
    <t>2024-04-19 06:04:36</t>
  </si>
  <si>
    <t>2024-04-20 11:35:19</t>
  </si>
  <si>
    <t>TCK-10663</t>
  </si>
  <si>
    <t>2024-02-15 17:04:15</t>
  </si>
  <si>
    <t>2024-02-16 18:09:02</t>
  </si>
  <si>
    <t>TCK-10664</t>
  </si>
  <si>
    <t>2024-06-24 20:04:20</t>
  </si>
  <si>
    <t>2024-06-25 02:23:52</t>
  </si>
  <si>
    <t>TCK-10665</t>
  </si>
  <si>
    <t>2024-02-06 07:07:58</t>
  </si>
  <si>
    <t>2024-02-06 19:23:44</t>
  </si>
  <si>
    <t>TCK-10666</t>
  </si>
  <si>
    <t>2024-04-30 20:45:10</t>
  </si>
  <si>
    <t>2024-05-01 13:56:02</t>
  </si>
  <si>
    <t>TCK-10667</t>
  </si>
  <si>
    <t>2024-10-04 11:57:19</t>
  </si>
  <si>
    <t>2024-10-04 20:18:28</t>
  </si>
  <si>
    <t>TCK-10668</t>
  </si>
  <si>
    <t>2024-01-19 06:03:13</t>
  </si>
  <si>
    <t>2024-01-19 12:55:12</t>
  </si>
  <si>
    <t>TCK-10669</t>
  </si>
  <si>
    <t>2024-03-16 02:39:19</t>
  </si>
  <si>
    <t>2024-03-16 05:18:57</t>
  </si>
  <si>
    <t>TCK-10670</t>
  </si>
  <si>
    <t>2024-08-30 06:16:04</t>
  </si>
  <si>
    <t>2024-08-31 03:54:38</t>
  </si>
  <si>
    <t>TCK-10671</t>
  </si>
  <si>
    <t>2024-08-11 06:50:27</t>
  </si>
  <si>
    <t>2024-08-11 07:50:16</t>
  </si>
  <si>
    <t>TCK-10672</t>
  </si>
  <si>
    <t>2024-01-20 22:17:02</t>
  </si>
  <si>
    <t>2024-01-21 03:06:52</t>
  </si>
  <si>
    <t>TCK-10673</t>
  </si>
  <si>
    <t>2024-09-28 22:33:32</t>
  </si>
  <si>
    <t>2024-09-29 11:50:31</t>
  </si>
  <si>
    <t>TCK-10674</t>
  </si>
  <si>
    <t>2024-10-20 20:02:04</t>
  </si>
  <si>
    <t>2024-10-21 12:23:52</t>
  </si>
  <si>
    <t>TCK-10675</t>
  </si>
  <si>
    <t>2024-06-30 01:48:37</t>
  </si>
  <si>
    <t>2024-06-30 07:57:02</t>
  </si>
  <si>
    <t>TCK-10676</t>
  </si>
  <si>
    <t>2024-05-08 14:52:46</t>
  </si>
  <si>
    <t>2024-05-09 00:26:55</t>
  </si>
  <si>
    <t>TCK-10677</t>
  </si>
  <si>
    <t>2024-03-07 15:59:08</t>
  </si>
  <si>
    <t>2024-03-07 21:38:33</t>
  </si>
  <si>
    <t>TCK-10678</t>
  </si>
  <si>
    <t>2024-08-04 07:41:32</t>
  </si>
  <si>
    <t>TCK-10679</t>
  </si>
  <si>
    <t>2024-07-06 16:03:27</t>
  </si>
  <si>
    <t>2024-07-07 10:31:08</t>
  </si>
  <si>
    <t>TCK-10680</t>
  </si>
  <si>
    <t>2024-04-02 01:07:04</t>
  </si>
  <si>
    <t>2024-04-02 04:07:49</t>
  </si>
  <si>
    <t>TCK-10681</t>
  </si>
  <si>
    <t>2024-06-22 05:42:57</t>
  </si>
  <si>
    <t>2024-06-22 11:45:39</t>
  </si>
  <si>
    <t>TCK-10682</t>
  </si>
  <si>
    <t>2024-07-11 07:09:52</t>
  </si>
  <si>
    <t>2024-07-13 14:08:07</t>
  </si>
  <si>
    <t>TCK-10683</t>
  </si>
  <si>
    <t>2024-02-27 07:34:45</t>
  </si>
  <si>
    <t>2024-02-27 14:10:28</t>
  </si>
  <si>
    <t>TCK-10684</t>
  </si>
  <si>
    <t>2024-04-26 17:44:08</t>
  </si>
  <si>
    <t>2024-04-29 17:16:51</t>
  </si>
  <si>
    <t>TCK-10685</t>
  </si>
  <si>
    <t>2024-08-25 19:30:24</t>
  </si>
  <si>
    <t>2024-08-31 16:30:07</t>
  </si>
  <si>
    <t>TCK-10686</t>
  </si>
  <si>
    <t>2024-08-05 19:51:37</t>
  </si>
  <si>
    <t>2024-08-06 16:44:47</t>
  </si>
  <si>
    <t>TCK-10687</t>
  </si>
  <si>
    <t>2024-05-28 23:51:28</t>
  </si>
  <si>
    <t>2024-05-29 13:35:18</t>
  </si>
  <si>
    <t>TCK-10688</t>
  </si>
  <si>
    <t>2024-05-20 06:07:35</t>
  </si>
  <si>
    <t>2024-05-20 16:48:05</t>
  </si>
  <si>
    <t>TCK-10689</t>
  </si>
  <si>
    <t>2024-09-12 20:19:16</t>
  </si>
  <si>
    <t>2024-09-13 08:01:26</t>
  </si>
  <si>
    <t>TCK-10690</t>
  </si>
  <si>
    <t>2024-08-23 01:41:28</t>
  </si>
  <si>
    <t>2024-08-26 16:06:01</t>
  </si>
  <si>
    <t>TCK-10691</t>
  </si>
  <si>
    <t>2024-06-14 07:09:38</t>
  </si>
  <si>
    <t>2024-06-14 20:42:08</t>
  </si>
  <si>
    <t>TCK-10692</t>
  </si>
  <si>
    <t>2024-01-16 00:55:39</t>
  </si>
  <si>
    <t>2024-01-16 06:13:33</t>
  </si>
  <si>
    <t>TCK-10693</t>
  </si>
  <si>
    <t>2024-11-30 01:43:43</t>
  </si>
  <si>
    <t>2024-12-02 12:24:25</t>
  </si>
  <si>
    <t>TCK-10694</t>
  </si>
  <si>
    <t>2024-10-15 09:00:56</t>
  </si>
  <si>
    <t>2024-10-15 18:25:26</t>
  </si>
  <si>
    <t>TCK-10695</t>
  </si>
  <si>
    <t>2024-07-01 10:10:26</t>
  </si>
  <si>
    <t>2024-07-02 08:31:12</t>
  </si>
  <si>
    <t>TCK-10696</t>
  </si>
  <si>
    <t>2024-03-06 09:17:21</t>
  </si>
  <si>
    <t>2024-03-06 11:49:43</t>
  </si>
  <si>
    <t>TCK-10697</t>
  </si>
  <si>
    <t>2024-08-10 19:26:31</t>
  </si>
  <si>
    <t>2024-08-10 21:33:39</t>
  </si>
  <si>
    <t>TCK-10698</t>
  </si>
  <si>
    <t>2024-04-18 05:44:18</t>
  </si>
  <si>
    <t>2024-04-18 07:43:32</t>
  </si>
  <si>
    <t>TCK-10699</t>
  </si>
  <si>
    <t>2024-02-29 00:41:09</t>
  </si>
  <si>
    <t>2024-02-29 06:46:27</t>
  </si>
  <si>
    <t>TCK-10700</t>
  </si>
  <si>
    <t>2024-01-14 04:25:33</t>
  </si>
  <si>
    <t>TCK-10701</t>
  </si>
  <si>
    <t>2024-03-01 04:47:05</t>
  </si>
  <si>
    <t>2024-03-02 11:35:51</t>
  </si>
  <si>
    <t>TCK-10702</t>
  </si>
  <si>
    <t>2024-10-12 12:44:29</t>
  </si>
  <si>
    <t>2024-10-13 12:58:17</t>
  </si>
  <si>
    <t>TCK-10703</t>
  </si>
  <si>
    <t>2024-10-19 13:08:09</t>
  </si>
  <si>
    <t>2024-10-20 11:40:22</t>
  </si>
  <si>
    <t>TCK-10704</t>
  </si>
  <si>
    <t>2024-11-05 23:27:32</t>
  </si>
  <si>
    <t>TCK-10705</t>
  </si>
  <si>
    <t>2024-02-08 03:30:04</t>
  </si>
  <si>
    <t>TCK-10706</t>
  </si>
  <si>
    <t>2024-11-29 16:27:17</t>
  </si>
  <si>
    <t>2024-11-29 22:27:17</t>
  </si>
  <si>
    <t>TCK-10707</t>
  </si>
  <si>
    <t>2024-10-12 12:17:50</t>
  </si>
  <si>
    <t>2024-10-14 04:09:29</t>
  </si>
  <si>
    <t>TCK-10708</t>
  </si>
  <si>
    <t>2024-01-04 15:00:12</t>
  </si>
  <si>
    <t>2024-01-05 04:45:19</t>
  </si>
  <si>
    <t>TCK-10709</t>
  </si>
  <si>
    <t>2024-03-16 07:37:54</t>
  </si>
  <si>
    <t>2024-03-16 19:14:43</t>
  </si>
  <si>
    <t>TCK-10710</t>
  </si>
  <si>
    <t>2024-10-02 07:44:17</t>
  </si>
  <si>
    <t>2024-10-03 14:58:21</t>
  </si>
  <si>
    <t>TCK-10711</t>
  </si>
  <si>
    <t>2024-03-13 02:10:05</t>
  </si>
  <si>
    <t>2024-03-17 16:21:28</t>
  </si>
  <si>
    <t>TCK-10712</t>
  </si>
  <si>
    <t>2024-04-17 16:04:53</t>
  </si>
  <si>
    <t>2024-04-18 10:20:03</t>
  </si>
  <si>
    <t>TCK-10713</t>
  </si>
  <si>
    <t>2024-05-09 12:34:00</t>
  </si>
  <si>
    <t>2024-05-11 07:15:10</t>
  </si>
  <si>
    <t>TCK-10714</t>
  </si>
  <si>
    <t>2024-03-10 15:12:05</t>
  </si>
  <si>
    <t>2024-03-11 12:13:07</t>
  </si>
  <si>
    <t>TCK-10715</t>
  </si>
  <si>
    <t>2024-02-10 10:42:20</t>
  </si>
  <si>
    <t>2024-02-10 13:19:31</t>
  </si>
  <si>
    <t>TCK-10716</t>
  </si>
  <si>
    <t>2024-01-16 00:39:13</t>
  </si>
  <si>
    <t>2024-01-16 22:13:40</t>
  </si>
  <si>
    <t>TCK-10717</t>
  </si>
  <si>
    <t>2024-06-18 16:21:07</t>
  </si>
  <si>
    <t>2024-06-19 08:48:46</t>
  </si>
  <si>
    <t>TCK-10718</t>
  </si>
  <si>
    <t>2024-02-17 09:41:59</t>
  </si>
  <si>
    <t>2024-02-18 00:59:53</t>
  </si>
  <si>
    <t>TCK-10719</t>
  </si>
  <si>
    <t>2024-02-05 13:04:38</t>
  </si>
  <si>
    <t>2024-02-05 21:23:32</t>
  </si>
  <si>
    <t>TCK-10720</t>
  </si>
  <si>
    <t>2024-08-03 16:05:09</t>
  </si>
  <si>
    <t>2024-08-04 01:12:16</t>
  </si>
  <si>
    <t>TCK-10721</t>
  </si>
  <si>
    <t>2024-02-03 06:58:32</t>
  </si>
  <si>
    <t>2024-02-05 04:25:40</t>
  </si>
  <si>
    <t>TCK-10722</t>
  </si>
  <si>
    <t>2024-05-31 07:34:33</t>
  </si>
  <si>
    <t>2024-05-31 15:16:49</t>
  </si>
  <si>
    <t>TCK-10723</t>
  </si>
  <si>
    <t>2024-01-15 17:15:46</t>
  </si>
  <si>
    <t>2024-01-15 22:36:01</t>
  </si>
  <si>
    <t>TCK-10724</t>
  </si>
  <si>
    <t>2024-09-20 16:08:36</t>
  </si>
  <si>
    <t>TCK-10725</t>
  </si>
  <si>
    <t>2024-01-15 15:43:29</t>
  </si>
  <si>
    <t>TCK-10726</t>
  </si>
  <si>
    <t>2024-08-28 11:38:44</t>
  </si>
  <si>
    <t>2024-08-28 13:05:25</t>
  </si>
  <si>
    <t>TCK-10727</t>
  </si>
  <si>
    <t>2024-06-26 11:56:54</t>
  </si>
  <si>
    <t>2024-06-27 02:54:25</t>
  </si>
  <si>
    <t>TCK-10728</t>
  </si>
  <si>
    <t>2024-03-20 00:45:08</t>
  </si>
  <si>
    <t>2024-03-20 14:17:17</t>
  </si>
  <si>
    <t>TCK-10729</t>
  </si>
  <si>
    <t>2024-11-04 08:14:36</t>
  </si>
  <si>
    <t>2024-11-04 14:11:40</t>
  </si>
  <si>
    <t>TCK-10730</t>
  </si>
  <si>
    <t>2024-05-23 23:58:21</t>
  </si>
  <si>
    <t>2024-05-24 15:16:09</t>
  </si>
  <si>
    <t>TCK-10731</t>
  </si>
  <si>
    <t>2024-03-02 14:22:14</t>
  </si>
  <si>
    <t>2024-03-02 16:59:11</t>
  </si>
  <si>
    <t>TCK-10732</t>
  </si>
  <si>
    <t>2024-06-10 23:28:20</t>
  </si>
  <si>
    <t>2024-06-11 07:23:58</t>
  </si>
  <si>
    <t>TCK-10733</t>
  </si>
  <si>
    <t>2024-04-03 06:00:23</t>
  </si>
  <si>
    <t>2024-04-05 01:34:42</t>
  </si>
  <si>
    <t>TCK-10734</t>
  </si>
  <si>
    <t>2024-10-31 06:12:09</t>
  </si>
  <si>
    <t>2024-11-01 05:50:25</t>
  </si>
  <si>
    <t>TCK-10735</t>
  </si>
  <si>
    <t>2024-12-01 09:14:10</t>
  </si>
  <si>
    <t>2024-12-01 17:16:30</t>
  </si>
  <si>
    <t>TCK-10736</t>
  </si>
  <si>
    <t>2024-11-05 16:58:15</t>
  </si>
  <si>
    <t>2024-11-05 18:03:50</t>
  </si>
  <si>
    <t>TCK-10737</t>
  </si>
  <si>
    <t>2024-04-21 00:59:38</t>
  </si>
  <si>
    <t>2024-04-21 08:04:58</t>
  </si>
  <si>
    <t>TCK-10738</t>
  </si>
  <si>
    <t>2024-11-01 09:18:58</t>
  </si>
  <si>
    <t>2024-11-01 10:49:27</t>
  </si>
  <si>
    <t>TCK-10739</t>
  </si>
  <si>
    <t>2024-09-20 04:43:22</t>
  </si>
  <si>
    <t>2024-09-21 02:21:24</t>
  </si>
  <si>
    <t>TCK-10740</t>
  </si>
  <si>
    <t>2024-12-12 12:07:31</t>
  </si>
  <si>
    <t>2024-12-12 19:14:05</t>
  </si>
  <si>
    <t>TCK-10741</t>
  </si>
  <si>
    <t>2024-05-30 18:10:48</t>
  </si>
  <si>
    <t>2024-05-31 03:25:55</t>
  </si>
  <si>
    <t>TCK-10742</t>
  </si>
  <si>
    <t>2024-08-09 04:20:59</t>
  </si>
  <si>
    <t>2024-08-09 05:29:50</t>
  </si>
  <si>
    <t>TCK-10743</t>
  </si>
  <si>
    <t>2024-03-02 05:22:16</t>
  </si>
  <si>
    <t>2024-03-02 12:27:25</t>
  </si>
  <si>
    <t>TCK-10744</t>
  </si>
  <si>
    <t>2024-07-21 23:14:15</t>
  </si>
  <si>
    <t>2024-07-22 16:31:47</t>
  </si>
  <si>
    <t>TCK-10745</t>
  </si>
  <si>
    <t>2024-04-06 02:59:00</t>
  </si>
  <si>
    <t>TCK-10746</t>
  </si>
  <si>
    <t>2024-12-21 04:48:40</t>
  </si>
  <si>
    <t>TCK-10747</t>
  </si>
  <si>
    <t>2024-10-12 04:29:40</t>
  </si>
  <si>
    <t>2024-10-12 23:38:55</t>
  </si>
  <si>
    <t>TCK-10748</t>
  </si>
  <si>
    <t>2024-04-03 17:43:46</t>
  </si>
  <si>
    <t>2024-04-03 20:19:53</t>
  </si>
  <si>
    <t>TCK-10749</t>
  </si>
  <si>
    <t>2024-07-05 15:54:04</t>
  </si>
  <si>
    <t>2024-07-06 03:34:47</t>
  </si>
  <si>
    <t>TCK-10750</t>
  </si>
  <si>
    <t>2024-12-05 20:07:32</t>
  </si>
  <si>
    <t>2024-12-06 16:04:38</t>
  </si>
  <si>
    <t>TCK-10751</t>
  </si>
  <si>
    <t>2024-12-13 07:24:45</t>
  </si>
  <si>
    <t>2024-12-13 22:18:27</t>
  </si>
  <si>
    <t>TCK-10752</t>
  </si>
  <si>
    <t>2024-03-21 18:44:40</t>
  </si>
  <si>
    <t>TCK-10753</t>
  </si>
  <si>
    <t>2024-07-19 05:41:30</t>
  </si>
  <si>
    <t>2024-07-19 12:09:33</t>
  </si>
  <si>
    <t>TCK-10754</t>
  </si>
  <si>
    <t>2024-09-09 01:24:25</t>
  </si>
  <si>
    <t>TCK-10755</t>
  </si>
  <si>
    <t>2024-04-03 00:13:04</t>
  </si>
  <si>
    <t>2024-04-03 07:13:00</t>
  </si>
  <si>
    <t>TCK-10756</t>
  </si>
  <si>
    <t>2024-04-14 03:57:20</t>
  </si>
  <si>
    <t>2024-04-14 16:35:06</t>
  </si>
  <si>
    <t>TCK-10757</t>
  </si>
  <si>
    <t>2024-07-01 22:14:40</t>
  </si>
  <si>
    <t>2024-07-02 14:22:47</t>
  </si>
  <si>
    <t>TCK-10758</t>
  </si>
  <si>
    <t>2024-12-31 17:35:55</t>
  </si>
  <si>
    <t>2025-01-03 22:59:25</t>
  </si>
  <si>
    <t>TCK-10759</t>
  </si>
  <si>
    <t>2024-02-12 19:21:17</t>
  </si>
  <si>
    <t>2024-02-13 02:37:44</t>
  </si>
  <si>
    <t>TCK-10760</t>
  </si>
  <si>
    <t>2024-06-11 02:24:10</t>
  </si>
  <si>
    <t>2024-06-12 09:30:21</t>
  </si>
  <si>
    <t>TCK-10761</t>
  </si>
  <si>
    <t>2024-01-25 18:43:55</t>
  </si>
  <si>
    <t>2024-01-25 21:21:41</t>
  </si>
  <si>
    <t>TCK-10762</t>
  </si>
  <si>
    <t>2024-07-08 03:13:53</t>
  </si>
  <si>
    <t>2024-07-08 23:57:22</t>
  </si>
  <si>
    <t>TCK-10763</t>
  </si>
  <si>
    <t>2024-11-02 20:30:29</t>
  </si>
  <si>
    <t>2024-11-03 03:48:37</t>
  </si>
  <si>
    <t>TCK-10764</t>
  </si>
  <si>
    <t>2024-03-03 18:40:13</t>
  </si>
  <si>
    <t>2024-03-04 00:12:04</t>
  </si>
  <si>
    <t>TCK-10765</t>
  </si>
  <si>
    <t>2024-01-17 07:33:33</t>
  </si>
  <si>
    <t>TCK-10766</t>
  </si>
  <si>
    <t>2024-05-13 20:53:11</t>
  </si>
  <si>
    <t>2024-05-14 11:35:51</t>
  </si>
  <si>
    <t>TCK-10767</t>
  </si>
  <si>
    <t>2024-02-26 19:04:33</t>
  </si>
  <si>
    <t>TCK-10768</t>
  </si>
  <si>
    <t>2024-07-31 10:26:44</t>
  </si>
  <si>
    <t>2024-08-05 11:26:06</t>
  </si>
  <si>
    <t>TCK-10769</t>
  </si>
  <si>
    <t>2024-09-16 07:50:39</t>
  </si>
  <si>
    <t>2024-09-16 14:45:55</t>
  </si>
  <si>
    <t>TCK-10770</t>
  </si>
  <si>
    <t>2024-08-02 07:19:09</t>
  </si>
  <si>
    <t>2024-08-02 08:29:36</t>
  </si>
  <si>
    <t>TCK-10771</t>
  </si>
  <si>
    <t>2024-08-14 21:58:30</t>
  </si>
  <si>
    <t>2024-08-15 09:27:44</t>
  </si>
  <si>
    <t>TCK-10772</t>
  </si>
  <si>
    <t>2024-02-04 06:24:43</t>
  </si>
  <si>
    <t>2024-02-04 13:29:55</t>
  </si>
  <si>
    <t>TCK-10773</t>
  </si>
  <si>
    <t>2024-06-03 17:30:32</t>
  </si>
  <si>
    <t>2024-06-03 20:41:53</t>
  </si>
  <si>
    <t>TCK-10774</t>
  </si>
  <si>
    <t>2024-12-05 21:04:58</t>
  </si>
  <si>
    <t>TCK-10775</t>
  </si>
  <si>
    <t>2024-11-08 10:53:30</t>
  </si>
  <si>
    <t>2024-11-09 01:16:12</t>
  </si>
  <si>
    <t>TCK-10776</t>
  </si>
  <si>
    <t>2024-03-22 00:41:07</t>
  </si>
  <si>
    <t>2024-03-22 20:52:50</t>
  </si>
  <si>
    <t>TCK-10777</t>
  </si>
  <si>
    <t>2024-06-08 08:26:59</t>
  </si>
  <si>
    <t>2024-06-09 05:30:47</t>
  </si>
  <si>
    <t>TCK-10778</t>
  </si>
  <si>
    <t>2024-11-19 13:26:47</t>
  </si>
  <si>
    <t>2024-11-20 03:15:20</t>
  </si>
  <si>
    <t>TCK-10779</t>
  </si>
  <si>
    <t>2024-01-11 18:10:01</t>
  </si>
  <si>
    <t>2024-01-12 09:54:17</t>
  </si>
  <si>
    <t>TCK-10780</t>
  </si>
  <si>
    <t>2024-06-11 08:10:58</t>
  </si>
  <si>
    <t>TCK-10781</t>
  </si>
  <si>
    <t>2024-10-16 21:10:29</t>
  </si>
  <si>
    <t>2024-10-17 13:44:14</t>
  </si>
  <si>
    <t>TCK-10782</t>
  </si>
  <si>
    <t>2024-07-18 09:05:14</t>
  </si>
  <si>
    <t>2024-07-18 20:53:33</t>
  </si>
  <si>
    <t>TCK-10783</t>
  </si>
  <si>
    <t>2024-05-19 03:04:26</t>
  </si>
  <si>
    <t>TCK-10784</t>
  </si>
  <si>
    <t>2024-05-18 14:00:51</t>
  </si>
  <si>
    <t>2024-05-18 17:00:50</t>
  </si>
  <si>
    <t>TCK-10785</t>
  </si>
  <si>
    <t>2024-03-06 05:49:10</t>
  </si>
  <si>
    <t>2024-03-06 10:10:28</t>
  </si>
  <si>
    <t>TCK-10786</t>
  </si>
  <si>
    <t>2024-11-16 01:51:01</t>
  </si>
  <si>
    <t>2024-11-16 08:54:44</t>
  </si>
  <si>
    <t>TCK-10787</t>
  </si>
  <si>
    <t>2024-03-25 22:45:12</t>
  </si>
  <si>
    <t>2024-03-26 15:21:12</t>
  </si>
  <si>
    <t>TCK-10788</t>
  </si>
  <si>
    <t>2024-08-02 08:44:37</t>
  </si>
  <si>
    <t>TCK-10789</t>
  </si>
  <si>
    <t>2024-02-15 14:28:14</t>
  </si>
  <si>
    <t>2024-02-17 04:36:20</t>
  </si>
  <si>
    <t>TCK-10790</t>
  </si>
  <si>
    <t>2024-08-20 10:29:20</t>
  </si>
  <si>
    <t>2024-08-20 15:18:29</t>
  </si>
  <si>
    <t>TCK-10791</t>
  </si>
  <si>
    <t>2024-09-26 22:49:31</t>
  </si>
  <si>
    <t>2024-09-27 04:19:22</t>
  </si>
  <si>
    <t>TCK-10792</t>
  </si>
  <si>
    <t>2024-01-31 12:32:43</t>
  </si>
  <si>
    <t>2024-01-31 15:11:18</t>
  </si>
  <si>
    <t>TCK-10793</t>
  </si>
  <si>
    <t>2024-07-01 12:09:51</t>
  </si>
  <si>
    <t>2024-07-01 18:17:03</t>
  </si>
  <si>
    <t>TCK-10794</t>
  </si>
  <si>
    <t>2024-03-21 02:28:40</t>
  </si>
  <si>
    <t>2024-03-23 23:45:22</t>
  </si>
  <si>
    <t>TCK-10795</t>
  </si>
  <si>
    <t>2024-05-15 10:04:17</t>
  </si>
  <si>
    <t>2024-05-16 04:04:17</t>
  </si>
  <si>
    <t>TCK-10796</t>
  </si>
  <si>
    <t>2024-07-24 17:08:03</t>
  </si>
  <si>
    <t>TCK-10797</t>
  </si>
  <si>
    <t>2024-07-27 22:22:54</t>
  </si>
  <si>
    <t>2024-07-28 01:09:19</t>
  </si>
  <si>
    <t>TCK-10798</t>
  </si>
  <si>
    <t>2024-09-18 21:42:52</t>
  </si>
  <si>
    <t>2024-09-19 19:08:37</t>
  </si>
  <si>
    <t>TCK-10799</t>
  </si>
  <si>
    <t>2024-05-02 09:18:16</t>
  </si>
  <si>
    <t>2024-05-02 13:53:34</t>
  </si>
  <si>
    <t>TCK-10800</t>
  </si>
  <si>
    <t>2024-05-07 18:15:26</t>
  </si>
  <si>
    <t>2024-05-08 13:48:55</t>
  </si>
  <si>
    <t>TCK-10801</t>
  </si>
  <si>
    <t>2024-06-07 12:08:43</t>
  </si>
  <si>
    <t>2024-06-07 19:19:51</t>
  </si>
  <si>
    <t>TCK-10802</t>
  </si>
  <si>
    <t>2024-01-06 07:10:21</t>
  </si>
  <si>
    <t>2024-01-06 15:26:26</t>
  </si>
  <si>
    <t>TCK-10803</t>
  </si>
  <si>
    <t>2024-06-04 22:05:20</t>
  </si>
  <si>
    <t>2024-06-05 04:34:27</t>
  </si>
  <si>
    <t>TCK-10804</t>
  </si>
  <si>
    <t>2024-06-06 08:14:48</t>
  </si>
  <si>
    <t>2024-06-06 13:05:00</t>
  </si>
  <si>
    <t>TCK-10805</t>
  </si>
  <si>
    <t>2024-11-07 09:42:50</t>
  </si>
  <si>
    <t>2024-11-07 21:59:54</t>
  </si>
  <si>
    <t>TCK-10806</t>
  </si>
  <si>
    <t>2024-10-25 14:16:28</t>
  </si>
  <si>
    <t>2024-10-26 16:51:55</t>
  </si>
  <si>
    <t>TCK-10807</t>
  </si>
  <si>
    <t>2024-11-18 19:04:23</t>
  </si>
  <si>
    <t>2024-11-18 20:30:08</t>
  </si>
  <si>
    <t>TCK-10808</t>
  </si>
  <si>
    <t>2024-10-22 13:18:41</t>
  </si>
  <si>
    <t>TCK-10809</t>
  </si>
  <si>
    <t>2024-05-13 18:43:47</t>
  </si>
  <si>
    <t>TCK-10810</t>
  </si>
  <si>
    <t>2024-12-08 03:21:56</t>
  </si>
  <si>
    <t>2024-12-08 15:22:54</t>
  </si>
  <si>
    <t>TCK-10811</t>
  </si>
  <si>
    <t>2024-10-30 00:22:16</t>
  </si>
  <si>
    <t>2024-10-30 04:29:08</t>
  </si>
  <si>
    <t>TCK-10812</t>
  </si>
  <si>
    <t>2024-09-19 11:41:06</t>
  </si>
  <si>
    <t>2024-09-19 17:16:25</t>
  </si>
  <si>
    <t>TCK-10813</t>
  </si>
  <si>
    <t>2024-04-12 14:58:54</t>
  </si>
  <si>
    <t>2024-04-14 07:10:48</t>
  </si>
  <si>
    <t>TCK-10814</t>
  </si>
  <si>
    <t>2024-01-18 20:32:04</t>
  </si>
  <si>
    <t>2024-01-18 23:55:20</t>
  </si>
  <si>
    <t>TCK-10815</t>
  </si>
  <si>
    <t>2024-05-19 02:53:35</t>
  </si>
  <si>
    <t>2024-05-19 07:01:33</t>
  </si>
  <si>
    <t>TCK-10816</t>
  </si>
  <si>
    <t>2024-12-03 19:06:26</t>
  </si>
  <si>
    <t>2024-12-04 01:46:41</t>
  </si>
  <si>
    <t>TCK-10817</t>
  </si>
  <si>
    <t>2024-12-16 09:44:55</t>
  </si>
  <si>
    <t>2024-12-16 23:47:01</t>
  </si>
  <si>
    <t>TCK-10818</t>
  </si>
  <si>
    <t>2024-02-08 06:52:09</t>
  </si>
  <si>
    <t>2024-02-09 14:53:54</t>
  </si>
  <si>
    <t>TCK-10819</t>
  </si>
  <si>
    <t>2024-04-26 15:44:13</t>
  </si>
  <si>
    <t>2024-04-27 11:16:50</t>
  </si>
  <si>
    <t>TCK-10820</t>
  </si>
  <si>
    <t>2024-04-21 22:20:52</t>
  </si>
  <si>
    <t>2024-04-22 05:39:42</t>
  </si>
  <si>
    <t>TCK-10821</t>
  </si>
  <si>
    <t>2024-08-12 21:09:06</t>
  </si>
  <si>
    <t>2024-08-12 22:15:53</t>
  </si>
  <si>
    <t>TCK-10822</t>
  </si>
  <si>
    <t>2024-09-10 08:45:47</t>
  </si>
  <si>
    <t>2024-10-04 06:45:47</t>
  </si>
  <si>
    <t>TCK-10823</t>
  </si>
  <si>
    <t>2024-07-19 11:35:21</t>
  </si>
  <si>
    <t>2024-07-19 17:47:40</t>
  </si>
  <si>
    <t>TCK-10824</t>
  </si>
  <si>
    <t>2024-09-13 23:09:37</t>
  </si>
  <si>
    <t>TCK-10825</t>
  </si>
  <si>
    <t>2024-07-26 05:18:14</t>
  </si>
  <si>
    <t>2024-07-26 18:17:25</t>
  </si>
  <si>
    <t>TCK-10826</t>
  </si>
  <si>
    <t>2024-04-03 16:26:51</t>
  </si>
  <si>
    <t>2024-04-04 15:03:40</t>
  </si>
  <si>
    <t>TCK-10827</t>
  </si>
  <si>
    <t>2024-11-24 20:59:01</t>
  </si>
  <si>
    <t>2024-11-25 04:14:55</t>
  </si>
  <si>
    <t>TCK-10828</t>
  </si>
  <si>
    <t>2024-01-12 02:13:17</t>
  </si>
  <si>
    <t>2024-01-12 07:25:13</t>
  </si>
  <si>
    <t>TCK-10829</t>
  </si>
  <si>
    <t>2024-03-03 05:19:43</t>
  </si>
  <si>
    <t>2024-03-03 06:24:56</t>
  </si>
  <si>
    <t>TCK-10830</t>
  </si>
  <si>
    <t>2024-10-31 02:56:49</t>
  </si>
  <si>
    <t>2024-10-31 14:10:17</t>
  </si>
  <si>
    <t>TCK-10831</t>
  </si>
  <si>
    <t>2024-05-21 11:27:09</t>
  </si>
  <si>
    <t>2024-05-22 01:30:01</t>
  </si>
  <si>
    <t>TCK-10832</t>
  </si>
  <si>
    <t>2024-02-17 04:28:14</t>
  </si>
  <si>
    <t>2024-02-17 19:06:24</t>
  </si>
  <si>
    <t>TCK-10833</t>
  </si>
  <si>
    <t>2024-05-02 01:11:45</t>
  </si>
  <si>
    <t>2024-05-02 12:59:48</t>
  </si>
  <si>
    <t>TCK-10834</t>
  </si>
  <si>
    <t>2024-03-24 11:38:13</t>
  </si>
  <si>
    <t>2024-03-25 20:58:52</t>
  </si>
  <si>
    <t>TCK-10835</t>
  </si>
  <si>
    <t>2024-07-31 06:42:44</t>
  </si>
  <si>
    <t>2024-08-01 01:52:05</t>
  </si>
  <si>
    <t>TCK-10836</t>
  </si>
  <si>
    <t>2024-12-17 21:20:59</t>
  </si>
  <si>
    <t>TCK-10837</t>
  </si>
  <si>
    <t>2024-09-18 03:45:09</t>
  </si>
  <si>
    <t>TCK-10838</t>
  </si>
  <si>
    <t>2024-05-21 06:03:16</t>
  </si>
  <si>
    <t>2024-05-22 23:58:25</t>
  </si>
  <si>
    <t>TCK-10839</t>
  </si>
  <si>
    <t>2024-12-22 19:41:48</t>
  </si>
  <si>
    <t>2024-12-23 18:23:04</t>
  </si>
  <si>
    <t>TCK-10840</t>
  </si>
  <si>
    <t>2024-12-07 21:13:43</t>
  </si>
  <si>
    <t>2024-12-13 15:39:32</t>
  </si>
  <si>
    <t>TCK-10841</t>
  </si>
  <si>
    <t>2024-06-09 17:04:42</t>
  </si>
  <si>
    <t>2024-06-10 18:32:12</t>
  </si>
  <si>
    <t>TCK-10842</t>
  </si>
  <si>
    <t>2024-08-22 04:07:38</t>
  </si>
  <si>
    <t>2024-08-22 19:36:40</t>
  </si>
  <si>
    <t>TCK-10843</t>
  </si>
  <si>
    <t>2024-06-21 12:50:01</t>
  </si>
  <si>
    <t>2024-06-21 16:54:40</t>
  </si>
  <si>
    <t>TCK-10844</t>
  </si>
  <si>
    <t>2024-07-19 20:52:44</t>
  </si>
  <si>
    <t>2024-07-20 05:47:40</t>
  </si>
  <si>
    <t>TCK-10845</t>
  </si>
  <si>
    <t>2024-10-12 20:18:02</t>
  </si>
  <si>
    <t>2024-10-12 23:55:08</t>
  </si>
  <si>
    <t>TCK-10846</t>
  </si>
  <si>
    <t>2024-12-06 16:32:49</t>
  </si>
  <si>
    <t>2024-12-07 06:20:27</t>
  </si>
  <si>
    <t>TCK-10847</t>
  </si>
  <si>
    <t>2024-03-30 03:42:21</t>
  </si>
  <si>
    <t>2024-03-31 00:52:05</t>
  </si>
  <si>
    <t>TCK-10848</t>
  </si>
  <si>
    <t>2024-04-11 08:50:46</t>
  </si>
  <si>
    <t>2024-04-11 12:36:18</t>
  </si>
  <si>
    <t>TCK-10849</t>
  </si>
  <si>
    <t>2024-06-25 12:51:49</t>
  </si>
  <si>
    <t>2024-06-30 19:23:56</t>
  </si>
  <si>
    <t>TCK-10850</t>
  </si>
  <si>
    <t>2024-10-17 05:21:11</t>
  </si>
  <si>
    <t>2024-10-19 16:33:46</t>
  </si>
  <si>
    <t>TCK-10851</t>
  </si>
  <si>
    <t>2024-03-11 09:10:08</t>
  </si>
  <si>
    <t>2024-03-11 16:38:04</t>
  </si>
  <si>
    <t>TCK-10852</t>
  </si>
  <si>
    <t>2024-09-08 16:40:21</t>
  </si>
  <si>
    <t>TCK-10853</t>
  </si>
  <si>
    <t>2024-06-03 17:28:42</t>
  </si>
  <si>
    <t>2024-06-04 07:14:28</t>
  </si>
  <si>
    <t>TCK-10854</t>
  </si>
  <si>
    <t>2024-12-27 22:09:04</t>
  </si>
  <si>
    <t>TCK-10855</t>
  </si>
  <si>
    <t>2024-08-20 15:55:37</t>
  </si>
  <si>
    <t>2024-08-21 14:16:06</t>
  </si>
  <si>
    <t>TCK-10856</t>
  </si>
  <si>
    <t>2024-02-21 16:32:59</t>
  </si>
  <si>
    <t>2024-02-23 11:18:25</t>
  </si>
  <si>
    <t>TCK-10857</t>
  </si>
  <si>
    <t>2024-02-21 13:34:45</t>
  </si>
  <si>
    <t>2024-02-21 17:18:22</t>
  </si>
  <si>
    <t>TCK-10858</t>
  </si>
  <si>
    <t>2024-11-20 12:56:15</t>
  </si>
  <si>
    <t>TCK-10859</t>
  </si>
  <si>
    <t>2024-04-12 13:21:16</t>
  </si>
  <si>
    <t>2024-04-14 05:19:18</t>
  </si>
  <si>
    <t>TCK-10860</t>
  </si>
  <si>
    <t>2024-10-23 21:58:14</t>
  </si>
  <si>
    <t>2024-10-24 10:14:33</t>
  </si>
  <si>
    <t>TCK-10861</t>
  </si>
  <si>
    <t>2024-03-04 20:26:33</t>
  </si>
  <si>
    <t>2024-03-06 23:53:25</t>
  </si>
  <si>
    <t>TCK-10862</t>
  </si>
  <si>
    <t>2024-02-14 00:29:27</t>
  </si>
  <si>
    <t>2024-02-16 19:48:00</t>
  </si>
  <si>
    <t>TCK-10863</t>
  </si>
  <si>
    <t>2024-07-16 21:46:46</t>
  </si>
  <si>
    <t>2024-07-21 01:24:52</t>
  </si>
  <si>
    <t>TCK-10864</t>
  </si>
  <si>
    <t>2024-06-11 01:18:22</t>
  </si>
  <si>
    <t>2024-06-11 17:42:17</t>
  </si>
  <si>
    <t>TCK-10865</t>
  </si>
  <si>
    <t>2024-02-17 17:02:16</t>
  </si>
  <si>
    <t>2024-02-18 12:23:02</t>
  </si>
  <si>
    <t>TCK-10866</t>
  </si>
  <si>
    <t>2024-06-25 16:06:14</t>
  </si>
  <si>
    <t>TCK-10867</t>
  </si>
  <si>
    <t>2024-09-12 03:58:24</t>
  </si>
  <si>
    <t>2024-09-12 19:30:13</t>
  </si>
  <si>
    <t>TCK-10868</t>
  </si>
  <si>
    <t>2024-01-22 21:37:26</t>
  </si>
  <si>
    <t>2024-01-23 04:55:17</t>
  </si>
  <si>
    <t>TCK-10869</t>
  </si>
  <si>
    <t>2024-06-04 06:10:42</t>
  </si>
  <si>
    <t>2024-06-04 09:08:13</t>
  </si>
  <si>
    <t>TCK-10870</t>
  </si>
  <si>
    <t>2024-02-17 04:05:31</t>
  </si>
  <si>
    <t>2024-02-17 05:32:43</t>
  </si>
  <si>
    <t>TCK-10871</t>
  </si>
  <si>
    <t>2024-03-18 22:56:06</t>
  </si>
  <si>
    <t>2024-03-19 16:46:02</t>
  </si>
  <si>
    <t>TCK-10872</t>
  </si>
  <si>
    <t>2024-08-26 17:39:44</t>
  </si>
  <si>
    <t>2024-08-27 12:36:52</t>
  </si>
  <si>
    <t>TCK-10873</t>
  </si>
  <si>
    <t>2024-10-04 11:33:53</t>
  </si>
  <si>
    <t>2024-10-04 18:32:01</t>
  </si>
  <si>
    <t>TCK-10874</t>
  </si>
  <si>
    <t>2024-02-28 01:06:47</t>
  </si>
  <si>
    <t>2024-02-28 07:51:37</t>
  </si>
  <si>
    <t>TCK-10875</t>
  </si>
  <si>
    <t>2024-01-18 20:18:53</t>
  </si>
  <si>
    <t>2024-01-19 15:17:46</t>
  </si>
  <si>
    <t>TCK-10876</t>
  </si>
  <si>
    <t>2024-08-15 17:53:17</t>
  </si>
  <si>
    <t>2024-08-15 18:54:27</t>
  </si>
  <si>
    <t>TCK-10877</t>
  </si>
  <si>
    <t>2024-02-02 16:19:27</t>
  </si>
  <si>
    <t>2024-02-03 03:54:11</t>
  </si>
  <si>
    <t>TCK-10878</t>
  </si>
  <si>
    <t>2024-05-12 21:28:01</t>
  </si>
  <si>
    <t>2024-05-14 02:54:44</t>
  </si>
  <si>
    <t>TCK-10879</t>
  </si>
  <si>
    <t>2024-02-11 15:04:24</t>
  </si>
  <si>
    <t>2024-02-12 02:51:38</t>
  </si>
  <si>
    <t>TCK-10880</t>
  </si>
  <si>
    <t>2024-09-12 18:22:03</t>
  </si>
  <si>
    <t>2024-09-16 06:31:54</t>
  </si>
  <si>
    <t>TCK-10881</t>
  </si>
  <si>
    <t>2024-09-25 10:00:01</t>
  </si>
  <si>
    <t>2024-09-26 05:02:45</t>
  </si>
  <si>
    <t>TCK-10882</t>
  </si>
  <si>
    <t>2024-03-14 10:20:52</t>
  </si>
  <si>
    <t>2024-03-19 21:04:27</t>
  </si>
  <si>
    <t>TCK-10883</t>
  </si>
  <si>
    <t>2024-02-03 18:27:00</t>
  </si>
  <si>
    <t>2024-02-03 20:17:11</t>
  </si>
  <si>
    <t>TCK-10884</t>
  </si>
  <si>
    <t>2024-07-07 16:57:51</t>
  </si>
  <si>
    <t>2024-07-08 12:22:28</t>
  </si>
  <si>
    <t>TCK-10885</t>
  </si>
  <si>
    <t>2024-01-04 09:23:37</t>
  </si>
  <si>
    <t>2024-01-04 14:14:43</t>
  </si>
  <si>
    <t>TCK-10886</t>
  </si>
  <si>
    <t>2024-04-23 06:12:54</t>
  </si>
  <si>
    <t>2024-04-23 17:28:28</t>
  </si>
  <si>
    <t>TCK-10887</t>
  </si>
  <si>
    <t>2024-03-31 09:31:06</t>
  </si>
  <si>
    <t>2024-04-01 06:07:58</t>
  </si>
  <si>
    <t>TCK-10888</t>
  </si>
  <si>
    <t>2024-07-03 03:49:46</t>
  </si>
  <si>
    <t>2024-07-03 06:35:16</t>
  </si>
  <si>
    <t>TCK-10889</t>
  </si>
  <si>
    <t>2024-05-13 20:53:23</t>
  </si>
  <si>
    <t>2024-05-14 16:28:33</t>
  </si>
  <si>
    <t>TCK-10890</t>
  </si>
  <si>
    <t>2024-02-21 06:29:11</t>
  </si>
  <si>
    <t>2024-02-22 17:15:26</t>
  </si>
  <si>
    <t>TCK-10891</t>
  </si>
  <si>
    <t>2024-11-06 22:15:26</t>
  </si>
  <si>
    <t>2024-11-07 22:45:32</t>
  </si>
  <si>
    <t>TCK-10892</t>
  </si>
  <si>
    <t>2024-03-02 00:57:10</t>
  </si>
  <si>
    <t>2024-03-02 04:18:45</t>
  </si>
  <si>
    <t>TCK-10893</t>
  </si>
  <si>
    <t>2024-12-08 10:38:24</t>
  </si>
  <si>
    <t>2024-12-08 14:22:05</t>
  </si>
  <si>
    <t>TCK-10894</t>
  </si>
  <si>
    <t>2024-02-17 04:53:38</t>
  </si>
  <si>
    <t>2024-02-17 18:39:25</t>
  </si>
  <si>
    <t>TCK-10895</t>
  </si>
  <si>
    <t>2024-11-27 18:20:25</t>
  </si>
  <si>
    <t>2024-11-30 08:55:58</t>
  </si>
  <si>
    <t>TCK-10896</t>
  </si>
  <si>
    <t>2024-10-20 20:14:03</t>
  </si>
  <si>
    <t>2024-11-27 04:14:03</t>
  </si>
  <si>
    <t>TCK-10897</t>
  </si>
  <si>
    <t>2024-02-11 06:30:09</t>
  </si>
  <si>
    <t>2024-02-11 10:18:17</t>
  </si>
  <si>
    <t>TCK-10898</t>
  </si>
  <si>
    <t>2024-10-11 19:52:42</t>
  </si>
  <si>
    <t>2024-10-12 08:54:55</t>
  </si>
  <si>
    <t>TCK-10899</t>
  </si>
  <si>
    <t>2024-10-26 01:38:36</t>
  </si>
  <si>
    <t>2024-10-26 09:28:12</t>
  </si>
  <si>
    <t>TCK-10900</t>
  </si>
  <si>
    <t>2024-06-10 12:09:38</t>
  </si>
  <si>
    <t>2024-06-11 06:54:59</t>
  </si>
  <si>
    <t>TCK-10901</t>
  </si>
  <si>
    <t>2024-06-08 07:02:21</t>
  </si>
  <si>
    <t>2024-06-08 17:46:44</t>
  </si>
  <si>
    <t>TCK-10902</t>
  </si>
  <si>
    <t>2024-11-09 10:45:55</t>
  </si>
  <si>
    <t>2024-11-09 22:01:13</t>
  </si>
  <si>
    <t>TCK-10903</t>
  </si>
  <si>
    <t>2024-01-15 17:44:19</t>
  </si>
  <si>
    <t>TCK-10904</t>
  </si>
  <si>
    <t>2024-10-04 09:05:08</t>
  </si>
  <si>
    <t>2024-10-04 22:46:45</t>
  </si>
  <si>
    <t>TCK-10905</t>
  </si>
  <si>
    <t>2024-10-15 18:26:32</t>
  </si>
  <si>
    <t>2024-10-15 21:59:20</t>
  </si>
  <si>
    <t>TCK-10906</t>
  </si>
  <si>
    <t>2024-12-11 00:50:34</t>
  </si>
  <si>
    <t>2024-12-11 16:28:38</t>
  </si>
  <si>
    <t>TCK-10907</t>
  </si>
  <si>
    <t>2024-12-08 11:16:45</t>
  </si>
  <si>
    <t>2024-12-08 12:56:09</t>
  </si>
  <si>
    <t>TCK-10908</t>
  </si>
  <si>
    <t>2024-04-20 14:23:58</t>
  </si>
  <si>
    <t>2024-04-20 15:21:31</t>
  </si>
  <si>
    <t>TCK-10909</t>
  </si>
  <si>
    <t>2024-07-29 00:32:13</t>
  </si>
  <si>
    <t>TCK-10910</t>
  </si>
  <si>
    <t>2024-04-11 05:06:20</t>
  </si>
  <si>
    <t>TCK-10911</t>
  </si>
  <si>
    <t>2024-06-23 14:31:51</t>
  </si>
  <si>
    <t>TCK-10912</t>
  </si>
  <si>
    <t>2024-11-09 02:45:22</t>
  </si>
  <si>
    <t>2024-11-09 18:45:40</t>
  </si>
  <si>
    <t>TCK-10913</t>
  </si>
  <si>
    <t>2024-08-10 18:33:48</t>
  </si>
  <si>
    <t>2024-08-11 08:50:37</t>
  </si>
  <si>
    <t>TCK-10914</t>
  </si>
  <si>
    <t>2024-05-20 15:15:26</t>
  </si>
  <si>
    <t>2024-05-21 11:46:58</t>
  </si>
  <si>
    <t>TCK-10915</t>
  </si>
  <si>
    <t>2024-06-22 14:33:02</t>
  </si>
  <si>
    <t>2024-06-22 17:54:55</t>
  </si>
  <si>
    <t>TCK-10916</t>
  </si>
  <si>
    <t>2024-09-04 12:14:52</t>
  </si>
  <si>
    <t>TCK-10917</t>
  </si>
  <si>
    <t>2024-11-16 06:28:58</t>
  </si>
  <si>
    <t>2024-11-16 22:53:18</t>
  </si>
  <si>
    <t>TCK-10918</t>
  </si>
  <si>
    <t>2024-09-27 00:56:10</t>
  </si>
  <si>
    <t>2024-09-27 18:43:15</t>
  </si>
  <si>
    <t>TCK-10919</t>
  </si>
  <si>
    <t>2024-02-17 06:33:24</t>
  </si>
  <si>
    <t>2024-02-17 16:35:44</t>
  </si>
  <si>
    <t>TCK-10920</t>
  </si>
  <si>
    <t>2024-01-12 04:46:18</t>
  </si>
  <si>
    <t>2024-01-14 23:34:46</t>
  </si>
  <si>
    <t>TCK-10921</t>
  </si>
  <si>
    <t>2024-11-14 10:47:56</t>
  </si>
  <si>
    <t>2024-11-14 23:00:53</t>
  </si>
  <si>
    <t>TCK-10922</t>
  </si>
  <si>
    <t>2024-06-25 00:26:06</t>
  </si>
  <si>
    <t>2024-06-25 10:53:12</t>
  </si>
  <si>
    <t>TCK-10923</t>
  </si>
  <si>
    <t>2024-10-23 03:21:38</t>
  </si>
  <si>
    <t>2024-10-23 14:07:01</t>
  </si>
  <si>
    <t>TCK-10924</t>
  </si>
  <si>
    <t>2024-06-02 21:22:06</t>
  </si>
  <si>
    <t>2024-06-02 23:17:40</t>
  </si>
  <si>
    <t>TCK-10925</t>
  </si>
  <si>
    <t>2024-09-02 01:02:36</t>
  </si>
  <si>
    <t>2024-09-02 07:22:07</t>
  </si>
  <si>
    <t>TCK-10926</t>
  </si>
  <si>
    <t>2024-08-12 08:41:01</t>
  </si>
  <si>
    <t>2024-08-12 11:27:51</t>
  </si>
  <si>
    <t>TCK-10927</t>
  </si>
  <si>
    <t>2024-07-25 21:17:21</t>
  </si>
  <si>
    <t>2024-07-26 03:17:21</t>
  </si>
  <si>
    <t>TCK-10928</t>
  </si>
  <si>
    <t>2024-07-26 12:59:21</t>
  </si>
  <si>
    <t>2024-07-27 00:18:15</t>
  </si>
  <si>
    <t>TCK-10929</t>
  </si>
  <si>
    <t>2024-11-30 04:30:14</t>
  </si>
  <si>
    <t>TCK-10930</t>
  </si>
  <si>
    <t>2024-07-29 17:44:55</t>
  </si>
  <si>
    <t>2024-07-30 12:44:05</t>
  </si>
  <si>
    <t>TCK-10931</t>
  </si>
  <si>
    <t>2024-05-06 15:55:44</t>
  </si>
  <si>
    <t>2024-05-06 22:48:04</t>
  </si>
  <si>
    <t>TCK-10932</t>
  </si>
  <si>
    <t>2024-11-17 19:06:32</t>
  </si>
  <si>
    <t>2024-11-19 06:36:23</t>
  </si>
  <si>
    <t>TCK-10933</t>
  </si>
  <si>
    <t>2024-02-15 00:38:10</t>
  </si>
  <si>
    <t>2024-02-15 05:44:39</t>
  </si>
  <si>
    <t>TCK-10934</t>
  </si>
  <si>
    <t>2024-01-08 13:34:38</t>
  </si>
  <si>
    <t>2024-01-08 15:13:51</t>
  </si>
  <si>
    <t>TCK-10935</t>
  </si>
  <si>
    <t>2024-06-22 12:51:21</t>
  </si>
  <si>
    <t>2024-06-22 23:09:20</t>
  </si>
  <si>
    <t>TCK-10936</t>
  </si>
  <si>
    <t>2024-06-13 21:39:32</t>
  </si>
  <si>
    <t>TCK-10937</t>
  </si>
  <si>
    <t>2024-03-06 08:06:37</t>
  </si>
  <si>
    <t>2024-03-06 15:16:31</t>
  </si>
  <si>
    <t>TCK-10938</t>
  </si>
  <si>
    <t>2024-09-02 20:35:44</t>
  </si>
  <si>
    <t>2024-09-02 21:52:16</t>
  </si>
  <si>
    <t>TCK-10939</t>
  </si>
  <si>
    <t>2024-09-28 13:49:58</t>
  </si>
  <si>
    <t>2024-09-28 18:03:55</t>
  </si>
  <si>
    <t>TCK-10940</t>
  </si>
  <si>
    <t>2024-12-09 14:50:23</t>
  </si>
  <si>
    <t>2024-12-10 13:17:36</t>
  </si>
  <si>
    <t>TCK-10941</t>
  </si>
  <si>
    <t>2024-06-27 21:38:25</t>
  </si>
  <si>
    <t>TCK-10942</t>
  </si>
  <si>
    <t>2024-08-24 18:18:13</t>
  </si>
  <si>
    <t>2024-08-25 06:40:43</t>
  </si>
  <si>
    <t>TCK-10943</t>
  </si>
  <si>
    <t>2024-02-01 20:21:41</t>
  </si>
  <si>
    <t>2024-02-04 04:59:34</t>
  </si>
  <si>
    <t>TCK-10944</t>
  </si>
  <si>
    <t>2024-05-17 10:08:57</t>
  </si>
  <si>
    <t>2024-05-22 16:32:24</t>
  </si>
  <si>
    <t>TCK-10945</t>
  </si>
  <si>
    <t>2024-02-18 18:53:00</t>
  </si>
  <si>
    <t>2024-02-19 03:01:06</t>
  </si>
  <si>
    <t>TCK-10946</t>
  </si>
  <si>
    <t>2024-05-19 07:08:01</t>
  </si>
  <si>
    <t>2024-05-20 06:37:24</t>
  </si>
  <si>
    <t>TCK-10947</t>
  </si>
  <si>
    <t>2024-07-10 17:34:54</t>
  </si>
  <si>
    <t>2024-07-14 09:03:19</t>
  </si>
  <si>
    <t>TCK-10948</t>
  </si>
  <si>
    <t>2024-08-09 08:25:02</t>
  </si>
  <si>
    <t>2024-08-09 23:07:04</t>
  </si>
  <si>
    <t>TCK-10949</t>
  </si>
  <si>
    <t>2024-08-16 18:05:28</t>
  </si>
  <si>
    <t>2024-08-17 13:51:42</t>
  </si>
  <si>
    <t>TCK-10950</t>
  </si>
  <si>
    <t>2024-11-25 12:49:50</t>
  </si>
  <si>
    <t>2024-11-26 00:29:26</t>
  </si>
  <si>
    <t>TCK-10951</t>
  </si>
  <si>
    <t>2024-09-06 06:14:19</t>
  </si>
  <si>
    <t>2024-09-06 11:07:17</t>
  </si>
  <si>
    <t>TCK-10952</t>
  </si>
  <si>
    <t>2024-07-11 19:05:28</t>
  </si>
  <si>
    <t>2024-07-12 06:38:52</t>
  </si>
  <si>
    <t>TCK-10953</t>
  </si>
  <si>
    <t>2024-03-16 21:52:45</t>
  </si>
  <si>
    <t>2024-03-17 05:11:31</t>
  </si>
  <si>
    <t>TCK-10954</t>
  </si>
  <si>
    <t>2024-03-17 19:01:29</t>
  </si>
  <si>
    <t>2024-03-17 23:51:14</t>
  </si>
  <si>
    <t>TCK-10955</t>
  </si>
  <si>
    <t>2024-05-10 03:55:31</t>
  </si>
  <si>
    <t>TCK-10956</t>
  </si>
  <si>
    <t>2024-11-19 15:37:32</t>
  </si>
  <si>
    <t>2024-11-19 18:37:24</t>
  </si>
  <si>
    <t>TCK-10957</t>
  </si>
  <si>
    <t>2024-08-13 04:03:37</t>
  </si>
  <si>
    <t>2024-08-13 13:28:28</t>
  </si>
  <si>
    <t>TCK-10958</t>
  </si>
  <si>
    <t>2024-12-23 06:46:48</t>
  </si>
  <si>
    <t>2024-12-23 13:51:22</t>
  </si>
  <si>
    <t>TCK-10959</t>
  </si>
  <si>
    <t>2024-11-26 09:54:55</t>
  </si>
  <si>
    <t>2024-11-27 01:02:42</t>
  </si>
  <si>
    <t>TCK-10960</t>
  </si>
  <si>
    <t>2024-06-29 14:44:32</t>
  </si>
  <si>
    <t>2024-07-02 04:34:59</t>
  </si>
  <si>
    <t>TCK-10961</t>
  </si>
  <si>
    <t>2024-05-07 18:59:12</t>
  </si>
  <si>
    <t>2024-05-08 14:32:18</t>
  </si>
  <si>
    <t>TCK-10962</t>
  </si>
  <si>
    <t>2024-02-19 06:14:01</t>
  </si>
  <si>
    <t>2024-02-19 13:35:38</t>
  </si>
  <si>
    <t>TCK-10963</t>
  </si>
  <si>
    <t>2024-01-24 19:49:07</t>
  </si>
  <si>
    <t>2024-01-25 02:38:17</t>
  </si>
  <si>
    <t>TCK-10964</t>
  </si>
  <si>
    <t>2024-02-27 13:57:07</t>
  </si>
  <si>
    <t>TCK-10965</t>
  </si>
  <si>
    <t>2024-07-20 09:07:58</t>
  </si>
  <si>
    <t>2024-07-23 02:31:12</t>
  </si>
  <si>
    <t>TCK-10966</t>
  </si>
  <si>
    <t>2024-03-17 05:19:35</t>
  </si>
  <si>
    <t>2024-03-18 14:28:24</t>
  </si>
  <si>
    <t>TCK-10967</t>
  </si>
  <si>
    <t>2024-08-21 06:11:23</t>
  </si>
  <si>
    <t>2024-08-21 11:54:00</t>
  </si>
  <si>
    <t>TCK-10968</t>
  </si>
  <si>
    <t>2024-11-02 19:47:48</t>
  </si>
  <si>
    <t>TCK-10969</t>
  </si>
  <si>
    <t>2024-10-12 14:50:21</t>
  </si>
  <si>
    <t>2024-10-13 16:21:14</t>
  </si>
  <si>
    <t>TCK-10970</t>
  </si>
  <si>
    <t>2024-05-19 07:44:43</t>
  </si>
  <si>
    <t>2024-05-19 10:44:53</t>
  </si>
  <si>
    <t>TCK-10971</t>
  </si>
  <si>
    <t>2024-01-12 20:41:22</t>
  </si>
  <si>
    <t>2024-01-13 01:15:36</t>
  </si>
  <si>
    <t>TCK-10972</t>
  </si>
  <si>
    <t>2024-01-09 16:19:12</t>
  </si>
  <si>
    <t>2024-01-09 21:34:23</t>
  </si>
  <si>
    <t>TCK-10973</t>
  </si>
  <si>
    <t>2024-05-11 17:57:38</t>
  </si>
  <si>
    <t>2024-05-13 13:09:35</t>
  </si>
  <si>
    <t>TCK-10974</t>
  </si>
  <si>
    <t>2024-08-30 08:40:48</t>
  </si>
  <si>
    <t>2024-09-04 13:28:56</t>
  </si>
  <si>
    <t>TCK-10975</t>
  </si>
  <si>
    <t>2024-05-27 05:02:16</t>
  </si>
  <si>
    <t>2024-05-27 20:00:17</t>
  </si>
  <si>
    <t>TCK-10976</t>
  </si>
  <si>
    <t>2024-07-27 06:55:36</t>
  </si>
  <si>
    <t>2024-07-27 08:35:11</t>
  </si>
  <si>
    <t>TCK-10977</t>
  </si>
  <si>
    <t>2024-08-15 04:02:27</t>
  </si>
  <si>
    <t>2024-08-15 15:40:19</t>
  </si>
  <si>
    <t>TCK-10978</t>
  </si>
  <si>
    <t>2024-12-09 00:46:11</t>
  </si>
  <si>
    <t>2024-12-09 10:47:48</t>
  </si>
  <si>
    <t>TCK-10979</t>
  </si>
  <si>
    <t>2024-10-05 06:20:24</t>
  </si>
  <si>
    <t>2024-10-06 13:38:57</t>
  </si>
  <si>
    <t>TCK-10980</t>
  </si>
  <si>
    <t>2024-12-13 20:55:45</t>
  </si>
  <si>
    <t>2024-12-14 14:14:33</t>
  </si>
  <si>
    <t>TCK-10981</t>
  </si>
  <si>
    <t>2024-05-25 14:55:59</t>
  </si>
  <si>
    <t>2024-05-25 19:42:14</t>
  </si>
  <si>
    <t>TCK-10982</t>
  </si>
  <si>
    <t>2024-08-29 13:18:44</t>
  </si>
  <si>
    <t>2024-08-29 15:58:07</t>
  </si>
  <si>
    <t>TCK-10983</t>
  </si>
  <si>
    <t>2024-06-20 20:50:06</t>
  </si>
  <si>
    <t>2024-06-21 01:21:08</t>
  </si>
  <si>
    <t>TCK-10984</t>
  </si>
  <si>
    <t>2024-04-17 16:28:02</t>
  </si>
  <si>
    <t>2024-04-18 05:17:25</t>
  </si>
  <si>
    <t>TCK-10985</t>
  </si>
  <si>
    <t>2024-04-27 21:30:49</t>
  </si>
  <si>
    <t>2024-04-30 21:26:20</t>
  </si>
  <si>
    <t>TCK-10986</t>
  </si>
  <si>
    <t>2024-10-14 15:37:53</t>
  </si>
  <si>
    <t>2024-10-15 02:16:08</t>
  </si>
  <si>
    <t>TCK-10987</t>
  </si>
  <si>
    <t>2024-08-13 13:33:39</t>
  </si>
  <si>
    <t>2024-08-14 06:43:00</t>
  </si>
  <si>
    <t>TCK-10988</t>
  </si>
  <si>
    <t>2024-04-01 02:27:28</t>
  </si>
  <si>
    <t>2024-04-01 06:36:34</t>
  </si>
  <si>
    <t>TCK-10989</t>
  </si>
  <si>
    <t>2024-06-15 20:38:24</t>
  </si>
  <si>
    <t>2024-06-16 06:41:01</t>
  </si>
  <si>
    <t>TCK-10990</t>
  </si>
  <si>
    <t>2024-02-20 04:16:05</t>
  </si>
  <si>
    <t>2024-02-20 07:55:05</t>
  </si>
  <si>
    <t>TCK-10991</t>
  </si>
  <si>
    <t>2024-06-05 23:40:08</t>
  </si>
  <si>
    <t>2024-06-06 02:43:33</t>
  </si>
  <si>
    <t>TCK-10992</t>
  </si>
  <si>
    <t>2024-05-08 14:09:28</t>
  </si>
  <si>
    <t>2024-05-10 00:54:52</t>
  </si>
  <si>
    <t>TCK-10993</t>
  </si>
  <si>
    <t>2024-07-26 21:48:47</t>
  </si>
  <si>
    <t>TCK-10994</t>
  </si>
  <si>
    <t>2024-09-05 11:56:32</t>
  </si>
  <si>
    <t>2024-09-06 20:51:15</t>
  </si>
  <si>
    <t>TCK-10995</t>
  </si>
  <si>
    <t>2024-03-13 20:05:47</t>
  </si>
  <si>
    <t>2024-03-14 00:27:44</t>
  </si>
  <si>
    <t>TCK-10996</t>
  </si>
  <si>
    <t>2024-05-23 12:05:17</t>
  </si>
  <si>
    <t>2024-05-24 01:25:54</t>
  </si>
  <si>
    <t>TCK-10997</t>
  </si>
  <si>
    <t>2024-01-28 00:55:03</t>
  </si>
  <si>
    <t>2024-01-28 20:00:09</t>
  </si>
  <si>
    <t>TCK-10998</t>
  </si>
  <si>
    <t>2024-03-02 23:56:54</t>
  </si>
  <si>
    <t>2024-03-03 07:58:02</t>
  </si>
  <si>
    <t>TCK-10999</t>
  </si>
  <si>
    <t>2024-02-25 17:59:08</t>
  </si>
  <si>
    <t>2024-02-28 12:20:02</t>
  </si>
  <si>
    <t>TCK-11000</t>
  </si>
  <si>
    <t>2024-08-12 01:56:47</t>
  </si>
  <si>
    <t>2024-08-12 03:21:27</t>
  </si>
  <si>
    <t>TCK-11001</t>
  </si>
  <si>
    <t>2024-11-10 21:36:18</t>
  </si>
  <si>
    <t>2024-11-12 15:34:01</t>
  </si>
  <si>
    <t>TCK-11002</t>
  </si>
  <si>
    <t>2024-08-09 03:52:42</t>
  </si>
  <si>
    <t>2024-08-09 07:16:44</t>
  </si>
  <si>
    <t>TCK-11003</t>
  </si>
  <si>
    <t>2024-09-16 05:41:34</t>
  </si>
  <si>
    <t>2024-09-16 15:26:20</t>
  </si>
  <si>
    <t>TCK-11004</t>
  </si>
  <si>
    <t>2024-10-20 16:48:32</t>
  </si>
  <si>
    <t>2024-10-20 21:03:00</t>
  </si>
  <si>
    <t>TCK-11005</t>
  </si>
  <si>
    <t>2024-01-29 18:13:53</t>
  </si>
  <si>
    <t>2024-01-30 00:35:49</t>
  </si>
  <si>
    <t>TCK-11006</t>
  </si>
  <si>
    <t>2024-04-07 15:48:53</t>
  </si>
  <si>
    <t>2024-04-07 17:04:43</t>
  </si>
  <si>
    <t>TCK-11007</t>
  </si>
  <si>
    <t>2024-04-04 10:20:24</t>
  </si>
  <si>
    <t>2024-04-04 13:06:30</t>
  </si>
  <si>
    <t>TCK-11008</t>
  </si>
  <si>
    <t>2024-04-24 13:37:36</t>
  </si>
  <si>
    <t>2024-04-24 16:17:05</t>
  </si>
  <si>
    <t>TCK-11009</t>
  </si>
  <si>
    <t>2024-03-10 10:31:23</t>
  </si>
  <si>
    <t>2024-03-10 15:38:22</t>
  </si>
  <si>
    <t>TCK-11010</t>
  </si>
  <si>
    <t>2024-09-14 15:19:11</t>
  </si>
  <si>
    <t>2024-09-14 17:48:53</t>
  </si>
  <si>
    <t>TCK-11011</t>
  </si>
  <si>
    <t>2024-10-25 06:01:22</t>
  </si>
  <si>
    <t>2024-10-25 13:32:59</t>
  </si>
  <si>
    <t>TCK-11012</t>
  </si>
  <si>
    <t>2024-03-15 22:59:05</t>
  </si>
  <si>
    <t>2024-03-16 09:51:52</t>
  </si>
  <si>
    <t>TCK-11013</t>
  </si>
  <si>
    <t>2024-05-07 09:10:46</t>
  </si>
  <si>
    <t>TCK-11014</t>
  </si>
  <si>
    <t>2024-06-02 18:15:45</t>
  </si>
  <si>
    <t>2024-06-03 15:28:11</t>
  </si>
  <si>
    <t>TCK-11015</t>
  </si>
  <si>
    <t>2024-05-31 11:28:57</t>
  </si>
  <si>
    <t>2024-05-31 18:18:13</t>
  </si>
  <si>
    <t>TCK-11016</t>
  </si>
  <si>
    <t>2024-10-25 10:02:20</t>
  </si>
  <si>
    <t>2024-10-28 03:02:26</t>
  </si>
  <si>
    <t>TCK-11017</t>
  </si>
  <si>
    <t>2024-02-07 03:05:00</t>
  </si>
  <si>
    <t>TCK-11018</t>
  </si>
  <si>
    <t>2024-10-26 22:01:43</t>
  </si>
  <si>
    <t>2024-10-27 12:50:33</t>
  </si>
  <si>
    <t>TCK-11019</t>
  </si>
  <si>
    <t>2024-05-28 19:57:35</t>
  </si>
  <si>
    <t>2024-05-28 22:47:32</t>
  </si>
  <si>
    <t>TCK-11020</t>
  </si>
  <si>
    <t>2024-02-18 12:17:14</t>
  </si>
  <si>
    <t>2024-02-18 16:28:42</t>
  </si>
  <si>
    <t>TCK-11021</t>
  </si>
  <si>
    <t>2024-05-26 06:13:28</t>
  </si>
  <si>
    <t>2024-05-26 08:54:56</t>
  </si>
  <si>
    <t>TCK-11022</t>
  </si>
  <si>
    <t>2024-10-22 16:19:00</t>
  </si>
  <si>
    <t>2024-10-22 17:29:43</t>
  </si>
  <si>
    <t>TCK-11023</t>
  </si>
  <si>
    <t>2024-05-13 10:27:37</t>
  </si>
  <si>
    <t>2024-05-13 17:11:40</t>
  </si>
  <si>
    <t>TCK-11024</t>
  </si>
  <si>
    <t>2024-03-12 14:46:04</t>
  </si>
  <si>
    <t>TCK-11025</t>
  </si>
  <si>
    <t>2024-01-21 13:40:16</t>
  </si>
  <si>
    <t>TCK-11026</t>
  </si>
  <si>
    <t>2024-04-02 02:34:12</t>
  </si>
  <si>
    <t>2024-04-02 13:37:11</t>
  </si>
  <si>
    <t>TCK-11027</t>
  </si>
  <si>
    <t>2024-04-28 01:06:12</t>
  </si>
  <si>
    <t>2024-04-28 08:22:12</t>
  </si>
  <si>
    <t>TCK-11028</t>
  </si>
  <si>
    <t>2024-05-27 00:34:55</t>
  </si>
  <si>
    <t>2024-05-27 06:57:18</t>
  </si>
  <si>
    <t>TCK-11029</t>
  </si>
  <si>
    <t>2024-01-09 00:39:09</t>
  </si>
  <si>
    <t>2024-01-09 17:52:34</t>
  </si>
  <si>
    <t>TCK-11030</t>
  </si>
  <si>
    <t>2024-06-29 09:32:33</t>
  </si>
  <si>
    <t>2024-06-29 15:12:12</t>
  </si>
  <si>
    <t>TCK-11031</t>
  </si>
  <si>
    <t>2024-12-22 02:58:06</t>
  </si>
  <si>
    <t>2024-12-22 10:03:46</t>
  </si>
  <si>
    <t>TCK-11032</t>
  </si>
  <si>
    <t>2024-10-15 13:44:57</t>
  </si>
  <si>
    <t>2024-10-16 10:56:59</t>
  </si>
  <si>
    <t>TCK-11033</t>
  </si>
  <si>
    <t>2024-08-07 23:51:15</t>
  </si>
  <si>
    <t>2024-08-08 04:58:19</t>
  </si>
  <si>
    <t>TCK-11034</t>
  </si>
  <si>
    <t>2024-01-23 17:50:45</t>
  </si>
  <si>
    <t>2024-01-25 11:57:36</t>
  </si>
  <si>
    <t>TCK-11035</t>
  </si>
  <si>
    <t>2024-01-12 07:21:56</t>
  </si>
  <si>
    <t>2024-01-12 14:57:10</t>
  </si>
  <si>
    <t>TCK-11036</t>
  </si>
  <si>
    <t>2024-09-14 15:55:23</t>
  </si>
  <si>
    <t>2024-09-16 01:31:50</t>
  </si>
  <si>
    <t>TCK-11037</t>
  </si>
  <si>
    <t>2024-02-01 12:54:02</t>
  </si>
  <si>
    <t>2024-02-01 21:27:57</t>
  </si>
  <si>
    <t>TCK-11038</t>
  </si>
  <si>
    <t>2024-09-13 01:32:05</t>
  </si>
  <si>
    <t>2024-09-14 05:41:50</t>
  </si>
  <si>
    <t>TCK-11039</t>
  </si>
  <si>
    <t>2024-11-12 13:09:18</t>
  </si>
  <si>
    <t>2024-11-13 10:17:26</t>
  </si>
  <si>
    <t>TCK-11040</t>
  </si>
  <si>
    <t>2024-01-28 10:58:11</t>
  </si>
  <si>
    <t>2024-01-28 16:58:05</t>
  </si>
  <si>
    <t>TCK-11041</t>
  </si>
  <si>
    <t>2024-02-22 12:03:56</t>
  </si>
  <si>
    <t>2024-02-22 14:13:55</t>
  </si>
  <si>
    <t>TCK-11042</t>
  </si>
  <si>
    <t>2024-11-10 14:05:29</t>
  </si>
  <si>
    <t>2024-11-11 10:12:21</t>
  </si>
  <si>
    <t>TCK-11043</t>
  </si>
  <si>
    <t>2024-04-24 04:07:42</t>
  </si>
  <si>
    <t>2024-04-24 06:10:40</t>
  </si>
  <si>
    <t>TCK-11044</t>
  </si>
  <si>
    <t>2024-01-05 00:36:27</t>
  </si>
  <si>
    <t>2024-01-05 05:33:46</t>
  </si>
  <si>
    <t>TCK-11045</t>
  </si>
  <si>
    <t>2024-01-04 03:41:10</t>
  </si>
  <si>
    <t>2024-01-04 14:50:49</t>
  </si>
  <si>
    <t>TCK-11046</t>
  </si>
  <si>
    <t>2024-12-12 00:49:11</t>
  </si>
  <si>
    <t>2024-12-12 02:00:32</t>
  </si>
  <si>
    <t>TCK-11047</t>
  </si>
  <si>
    <t>2024-05-08 14:12:07</t>
  </si>
  <si>
    <t>2024-05-10 19:00:20</t>
  </si>
  <si>
    <t>TCK-11048</t>
  </si>
  <si>
    <t>2024-07-25 09:49:26</t>
  </si>
  <si>
    <t>2024-07-25 16:32:20</t>
  </si>
  <si>
    <t>TCK-11049</t>
  </si>
  <si>
    <t>2024-09-13 17:46:29</t>
  </si>
  <si>
    <t>2024-09-14 17:18:01</t>
  </si>
  <si>
    <t>TCK-11050</t>
  </si>
  <si>
    <t>2024-09-20 14:45:36</t>
  </si>
  <si>
    <t>2024-09-21 01:53:22</t>
  </si>
  <si>
    <t>TCK-11051</t>
  </si>
  <si>
    <t>2024-12-27 20:05:58</t>
  </si>
  <si>
    <t>2024-12-28 13:01:23</t>
  </si>
  <si>
    <t>TCK-11052</t>
  </si>
  <si>
    <t>2024-12-06 15:05:34</t>
  </si>
  <si>
    <t>2024-12-06 23:38:25</t>
  </si>
  <si>
    <t>TCK-11053</t>
  </si>
  <si>
    <t>2024-08-01 10:41:22</t>
  </si>
  <si>
    <t>2024-08-02 01:25:06</t>
  </si>
  <si>
    <t>TCK-11054</t>
  </si>
  <si>
    <t>2024-09-13 13:16:12</t>
  </si>
  <si>
    <t>TCK-11055</t>
  </si>
  <si>
    <t>2024-05-07 03:12:28</t>
  </si>
  <si>
    <t>2024-05-08 20:37:34</t>
  </si>
  <si>
    <t>TCK-11056</t>
  </si>
  <si>
    <t>2024-02-23 01:20:29</t>
  </si>
  <si>
    <t>2024-02-24 13:20:29</t>
  </si>
  <si>
    <t>TCK-11057</t>
  </si>
  <si>
    <t>2024-12-25 02:52:58</t>
  </si>
  <si>
    <t>2024-12-25 18:37:21</t>
  </si>
  <si>
    <t>TCK-11058</t>
  </si>
  <si>
    <t>2024-11-28 19:48:45</t>
  </si>
  <si>
    <t>2024-11-29 05:09:12</t>
  </si>
  <si>
    <t>TCK-11059</t>
  </si>
  <si>
    <t>2024-03-14 09:44:40</t>
  </si>
  <si>
    <t>2024-03-16 13:56:38</t>
  </si>
  <si>
    <t>TCK-11060</t>
  </si>
  <si>
    <t>2024-01-25 08:48:33</t>
  </si>
  <si>
    <t>2024-01-26 01:04:00</t>
  </si>
  <si>
    <t>TCK-11061</t>
  </si>
  <si>
    <t>2024-07-21 04:26:02</t>
  </si>
  <si>
    <t>2024-07-22 20:25:09</t>
  </si>
  <si>
    <t>TCK-11062</t>
  </si>
  <si>
    <t>2024-04-25 14:35:45</t>
  </si>
  <si>
    <t>2024-04-26 22:32:31</t>
  </si>
  <si>
    <t>TCK-11063</t>
  </si>
  <si>
    <t>2024-09-30 08:07:32</t>
  </si>
  <si>
    <t>2024-09-30 17:50:11</t>
  </si>
  <si>
    <t>TCK-11064</t>
  </si>
  <si>
    <t>2024-11-18 03:55:31</t>
  </si>
  <si>
    <t>TCK-11065</t>
  </si>
  <si>
    <t>2024-05-09 17:07:56</t>
  </si>
  <si>
    <t>2024-05-10 13:38:18</t>
  </si>
  <si>
    <t>TCK-11066</t>
  </si>
  <si>
    <t>2024-10-09 19:49:01</t>
  </si>
  <si>
    <t>2024-10-10 12:02:45</t>
  </si>
  <si>
    <t>TCK-11067</t>
  </si>
  <si>
    <t>2024-10-21 14:24:29</t>
  </si>
  <si>
    <t>2024-10-22 10:16:32</t>
  </si>
  <si>
    <t>TCK-11068</t>
  </si>
  <si>
    <t>2024-02-21 04:04:58</t>
  </si>
  <si>
    <t>2024-02-21 08:48:26</t>
  </si>
  <si>
    <t>TCK-11069</t>
  </si>
  <si>
    <t>2024-07-06 16:40:57</t>
  </si>
  <si>
    <t>2024-07-06 19:56:44</t>
  </si>
  <si>
    <t>TCK-11070</t>
  </si>
  <si>
    <t>2024-02-09 22:13:21</t>
  </si>
  <si>
    <t>TCK-11071</t>
  </si>
  <si>
    <t>2024-06-15 04:57:49</t>
  </si>
  <si>
    <t>2024-06-16 02:38:34</t>
  </si>
  <si>
    <t>TCK-11072</t>
  </si>
  <si>
    <t>2024-07-19 12:12:14</t>
  </si>
  <si>
    <t>2024-07-19 17:01:38</t>
  </si>
  <si>
    <t>TCK-11073</t>
  </si>
  <si>
    <t>2024-04-27 21:16:17</t>
  </si>
  <si>
    <t>TCK-11074</t>
  </si>
  <si>
    <t>2024-09-17 19:42:41</t>
  </si>
  <si>
    <t>2024-09-18 13:42:41</t>
  </si>
  <si>
    <t>TCK-11075</t>
  </si>
  <si>
    <t>2024-02-17 17:36:10</t>
  </si>
  <si>
    <t>2024-02-18 07:41:03</t>
  </si>
  <si>
    <t>TCK-11076</t>
  </si>
  <si>
    <t>2024-10-16 19:15:07</t>
  </si>
  <si>
    <t>TCK-11077</t>
  </si>
  <si>
    <t>2024-09-30 05:59:00</t>
  </si>
  <si>
    <t>2024-10-02 20:23:59</t>
  </si>
  <si>
    <t>TCK-11078</t>
  </si>
  <si>
    <t>2024-11-12 00:28:41</t>
  </si>
  <si>
    <t>2024-11-12 14:48:22</t>
  </si>
  <si>
    <t>TCK-11079</t>
  </si>
  <si>
    <t>2024-11-03 03:57:52</t>
  </si>
  <si>
    <t>2024-11-03 18:35:10</t>
  </si>
  <si>
    <t>TCK-11080</t>
  </si>
  <si>
    <t>2024-08-03 18:22:53</t>
  </si>
  <si>
    <t>2024-08-03 22:34:22</t>
  </si>
  <si>
    <t>TCK-11081</t>
  </si>
  <si>
    <t>2024-10-19 19:06:33</t>
  </si>
  <si>
    <t>2024-10-19 20:56:51</t>
  </si>
  <si>
    <t>TCK-11082</t>
  </si>
  <si>
    <t>2024-01-01 08:47:51</t>
  </si>
  <si>
    <t>2024-01-01 13:31:17</t>
  </si>
  <si>
    <t>TCK-11083</t>
  </si>
  <si>
    <t>2024-07-22 07:36:09</t>
  </si>
  <si>
    <t>2024-07-23 15:26:14</t>
  </si>
  <si>
    <t>TCK-11084</t>
  </si>
  <si>
    <t>2024-01-15 14:23:06</t>
  </si>
  <si>
    <t>2024-01-15 17:37:35</t>
  </si>
  <si>
    <t>TCK-11085</t>
  </si>
  <si>
    <t>2024-08-30 00:22:30</t>
  </si>
  <si>
    <t>2024-08-30 18:22:30</t>
  </si>
  <si>
    <t>TCK-11086</t>
  </si>
  <si>
    <t>2024-09-20 01:40:34</t>
  </si>
  <si>
    <t>2024-09-21 00:22:53</t>
  </si>
  <si>
    <t>TCK-11087</t>
  </si>
  <si>
    <t>2024-03-16 03:25:03</t>
  </si>
  <si>
    <t>2024-03-17 19:25:23</t>
  </si>
  <si>
    <t>TCK-11088</t>
  </si>
  <si>
    <t>2024-05-27 11:59:40</t>
  </si>
  <si>
    <t>2024-05-27 14:15:32</t>
  </si>
  <si>
    <t>TCK-11089</t>
  </si>
  <si>
    <t>2024-09-05 22:53:12</t>
  </si>
  <si>
    <t>2024-09-05 23:19:12</t>
  </si>
  <si>
    <t>TCK-11090</t>
  </si>
  <si>
    <t>2024-03-27 15:17:32</t>
  </si>
  <si>
    <t>2024-03-29 20:02:57</t>
  </si>
  <si>
    <t>TCK-11091</t>
  </si>
  <si>
    <t>2024-02-07 10:30:09</t>
  </si>
  <si>
    <t>2024-02-07 13:52:51</t>
  </si>
  <si>
    <t>TCK-11092</t>
  </si>
  <si>
    <t>2024-10-19 07:57:48</t>
  </si>
  <si>
    <t>2024-10-21 07:28:49</t>
  </si>
  <si>
    <t>TCK-11093</t>
  </si>
  <si>
    <t>2024-01-05 00:31:22</t>
  </si>
  <si>
    <t>2024-01-05 04:00:04</t>
  </si>
  <si>
    <t>TCK-11094</t>
  </si>
  <si>
    <t>2024-05-24 02:03:16</t>
  </si>
  <si>
    <t>2024-05-25 00:34:25</t>
  </si>
  <si>
    <t>TCK-11095</t>
  </si>
  <si>
    <t>2024-07-14 09:06:57</t>
  </si>
  <si>
    <t>2024-07-14 11:59:27</t>
  </si>
  <si>
    <t>TCK-11096</t>
  </si>
  <si>
    <t>2024-04-29 00:58:18</t>
  </si>
  <si>
    <t>2024-04-29 22:38:49</t>
  </si>
  <si>
    <t>TCK-11097</t>
  </si>
  <si>
    <t>2024-01-23 15:06:51</t>
  </si>
  <si>
    <t>TCK-11098</t>
  </si>
  <si>
    <t>2024-06-13 23:48:49</t>
  </si>
  <si>
    <t>2024-06-14 16:01:11</t>
  </si>
  <si>
    <t>TCK-11099</t>
  </si>
  <si>
    <t>2024-02-18 18:12:35</t>
  </si>
  <si>
    <t>2024-02-19 03:38:56</t>
  </si>
  <si>
    <t>TCK-11100</t>
  </si>
  <si>
    <t>2024-09-14 02:35:21</t>
  </si>
  <si>
    <t>2024-09-15 22:44:48</t>
  </si>
  <si>
    <t>TCK-11101</t>
  </si>
  <si>
    <t>2024-12-08 20:11:19</t>
  </si>
  <si>
    <t>2024-12-09 05:47:44</t>
  </si>
  <si>
    <t>TCK-11102</t>
  </si>
  <si>
    <t>2024-07-11 18:28:04</t>
  </si>
  <si>
    <t>TCK-11103</t>
  </si>
  <si>
    <t>2024-04-07 07:58:50</t>
  </si>
  <si>
    <t>2024-04-07 21:28:25</t>
  </si>
  <si>
    <t>TCK-11104</t>
  </si>
  <si>
    <t>2024-08-09 05:59:28</t>
  </si>
  <si>
    <t>TCK-11105</t>
  </si>
  <si>
    <t>2024-12-12 22:38:46</t>
  </si>
  <si>
    <t>2024-12-13 08:15:55</t>
  </si>
  <si>
    <t>TCK-11106</t>
  </si>
  <si>
    <t>2024-12-12 01:13:50</t>
  </si>
  <si>
    <t>2024-12-12 14:25:26</t>
  </si>
  <si>
    <t>TCK-11107</t>
  </si>
  <si>
    <t>2024-06-08 20:10:44</t>
  </si>
  <si>
    <t>2024-06-08 23:31:27</t>
  </si>
  <si>
    <t>TCK-11108</t>
  </si>
  <si>
    <t>2024-12-12 19:50:42</t>
  </si>
  <si>
    <t>2024-12-12 21:35:46</t>
  </si>
  <si>
    <t>TCK-11109</t>
  </si>
  <si>
    <t>2024-01-03 14:09:18</t>
  </si>
  <si>
    <t>2024-01-04 00:36:13</t>
  </si>
  <si>
    <t>TCK-11110</t>
  </si>
  <si>
    <t>2024-12-16 05:54:29</t>
  </si>
  <si>
    <t>TCK-11111</t>
  </si>
  <si>
    <t>2024-02-16 11:13:28</t>
  </si>
  <si>
    <t>2024-02-16 21:46:54</t>
  </si>
  <si>
    <t>TCK-11112</t>
  </si>
  <si>
    <t>2024-10-15 10:56:44</t>
  </si>
  <si>
    <t>2024-10-16 05:47:08</t>
  </si>
  <si>
    <t>TCK-11113</t>
  </si>
  <si>
    <t>2024-09-23 03:25:17</t>
  </si>
  <si>
    <t>TCK-11114</t>
  </si>
  <si>
    <t>2024-10-13 17:21:37</t>
  </si>
  <si>
    <t>2024-10-13 19:51:36</t>
  </si>
  <si>
    <t>TCK-11115</t>
  </si>
  <si>
    <t>2024-03-13 21:39:49</t>
  </si>
  <si>
    <t>2024-03-14 09:09:31</t>
  </si>
  <si>
    <t>TCK-11116</t>
  </si>
  <si>
    <t>2024-11-10 21:18:15</t>
  </si>
  <si>
    <t>2024-11-11 15:30:54</t>
  </si>
  <si>
    <t>TCK-11117</t>
  </si>
  <si>
    <t>2024-02-17 02:46:46</t>
  </si>
  <si>
    <t>2024-02-17 04:11:52</t>
  </si>
  <si>
    <t>TCK-11118</t>
  </si>
  <si>
    <t>2024-06-07 12:17:05</t>
  </si>
  <si>
    <t>2024-06-08 06:17:05</t>
  </si>
  <si>
    <t>TCK-11119</t>
  </si>
  <si>
    <t>2024-04-28 12:11:17</t>
  </si>
  <si>
    <t>2024-04-28 13:18:41</t>
  </si>
  <si>
    <t>TCK-11120</t>
  </si>
  <si>
    <t>2024-01-21 13:53:33</t>
  </si>
  <si>
    <t>2024-01-22 01:04:58</t>
  </si>
  <si>
    <t>TCK-11121</t>
  </si>
  <si>
    <t>2024-07-10 03:07:14</t>
  </si>
  <si>
    <t>TCK-11122</t>
  </si>
  <si>
    <t>2024-10-15 05:20:35</t>
  </si>
  <si>
    <t>2024-10-15 21:24:06</t>
  </si>
  <si>
    <t>TCK-11123</t>
  </si>
  <si>
    <t>2024-02-04 05:03:12</t>
  </si>
  <si>
    <t>2024-02-09 18:11:58</t>
  </si>
  <si>
    <t>TCK-11124</t>
  </si>
  <si>
    <t>2024-03-16 06:12:52</t>
  </si>
  <si>
    <t>2024-03-16 18:17:17</t>
  </si>
  <si>
    <t>TCK-11125</t>
  </si>
  <si>
    <t>2024-07-26 13:07:00</t>
  </si>
  <si>
    <t>2024-07-27 09:24:32</t>
  </si>
  <si>
    <t>TCK-11126</t>
  </si>
  <si>
    <t>2024-12-18 12:07:37</t>
  </si>
  <si>
    <t>2024-12-18 23:25:26</t>
  </si>
  <si>
    <t>TCK-11127</t>
  </si>
  <si>
    <t>2024-07-22 17:49:21</t>
  </si>
  <si>
    <t>2024-07-23 03:52:58</t>
  </si>
  <si>
    <t>TCK-11128</t>
  </si>
  <si>
    <t>2024-08-08 05:07:52</t>
  </si>
  <si>
    <t>2024-08-08 07:20:29</t>
  </si>
  <si>
    <t>TCK-11129</t>
  </si>
  <si>
    <t>2024-01-30 10:54:56</t>
  </si>
  <si>
    <t>2024-01-30 13:33:42</t>
  </si>
  <si>
    <t>TCK-11130</t>
  </si>
  <si>
    <t>2024-03-03 11:20:11</t>
  </si>
  <si>
    <t>2024-03-04 00:26:52</t>
  </si>
  <si>
    <t>TCK-11131</t>
  </si>
  <si>
    <t>2024-03-26 21:41:00</t>
  </si>
  <si>
    <t>2024-03-27 00:28:04</t>
  </si>
  <si>
    <t>TCK-11132</t>
  </si>
  <si>
    <t>2024-12-09 11:46:19</t>
  </si>
  <si>
    <t>TCK-11133</t>
  </si>
  <si>
    <t>2024-11-16 02:44:23</t>
  </si>
  <si>
    <t>2024-11-16 04:06:20</t>
  </si>
  <si>
    <t>TCK-11134</t>
  </si>
  <si>
    <t>2024-08-01 15:36:53</t>
  </si>
  <si>
    <t>2024-08-01 21:57:46</t>
  </si>
  <si>
    <t>TCK-11135</t>
  </si>
  <si>
    <t>2024-03-26 11:50:02</t>
  </si>
  <si>
    <t>2024-03-29 01:27:10</t>
  </si>
  <si>
    <t>TCK-11136</t>
  </si>
  <si>
    <t>2024-02-11 16:07:05</t>
  </si>
  <si>
    <t>2024-02-12 11:10:54</t>
  </si>
  <si>
    <t>TCK-11137</t>
  </si>
  <si>
    <t>2024-04-14 17:20:13</t>
  </si>
  <si>
    <t>2024-04-14 21:05:14</t>
  </si>
  <si>
    <t>TCK-11138</t>
  </si>
  <si>
    <t>2024-07-05 08:40:04</t>
  </si>
  <si>
    <t>2024-07-05 11:32:52</t>
  </si>
  <si>
    <t>TCK-11139</t>
  </si>
  <si>
    <t>2024-01-09 12:10:30</t>
  </si>
  <si>
    <t>2024-01-09 13:27:53</t>
  </si>
  <si>
    <t>TCK-11140</t>
  </si>
  <si>
    <t>2024-12-19 09:42:56</t>
  </si>
  <si>
    <t>2024-12-20 00:25:21</t>
  </si>
  <si>
    <t>TCK-11141</t>
  </si>
  <si>
    <t>2024-01-09 09:05:10</t>
  </si>
  <si>
    <t>2024-02-12 09:05:10</t>
  </si>
  <si>
    <t>TCK-11142</t>
  </si>
  <si>
    <t>2024-01-06 13:48:00</t>
  </si>
  <si>
    <t>2024-01-07 06:37:55</t>
  </si>
  <si>
    <t>TCK-11143</t>
  </si>
  <si>
    <t>2024-07-05 21:53:22</t>
  </si>
  <si>
    <t>2024-07-06 01:25:45</t>
  </si>
  <si>
    <t>TCK-11144</t>
  </si>
  <si>
    <t>2024-09-01 00:35:31</t>
  </si>
  <si>
    <t>2024-09-01 21:04:32</t>
  </si>
  <si>
    <t>TCK-11145</t>
  </si>
  <si>
    <t>2024-01-01 19:16:54</t>
  </si>
  <si>
    <t>2024-01-02 09:17:51</t>
  </si>
  <si>
    <t>TCK-11146</t>
  </si>
  <si>
    <t>2024-05-29 18:04:19</t>
  </si>
  <si>
    <t>2024-05-29 22:32:50</t>
  </si>
  <si>
    <t>TCK-11147</t>
  </si>
  <si>
    <t>2024-05-19 02:21:03</t>
  </si>
  <si>
    <t>2024-05-19 03:21:22</t>
  </si>
  <si>
    <t>TCK-11148</t>
  </si>
  <si>
    <t>2024-08-21 04:47:02</t>
  </si>
  <si>
    <t>2024-08-21 06:17:26</t>
  </si>
  <si>
    <t>TCK-11149</t>
  </si>
  <si>
    <t>2024-09-14 07:47:11</t>
  </si>
  <si>
    <t>2024-09-16 21:23:12</t>
  </si>
  <si>
    <t>TCK-11150</t>
  </si>
  <si>
    <t>2024-02-27 17:24:40</t>
  </si>
  <si>
    <t>2024-02-28 10:38:09</t>
  </si>
  <si>
    <t>TCK-11151</t>
  </si>
  <si>
    <t>2024-05-05 19:04:33</t>
  </si>
  <si>
    <t>2024-05-07 04:10:02</t>
  </si>
  <si>
    <t>TCK-11152</t>
  </si>
  <si>
    <t>2024-11-04 11:58:15</t>
  </si>
  <si>
    <t>2024-11-05 01:15:35</t>
  </si>
  <si>
    <t>TCK-11153</t>
  </si>
  <si>
    <t>2024-11-15 08:02:31</t>
  </si>
  <si>
    <t>2024-11-15 13:55:48</t>
  </si>
  <si>
    <t>TCK-11154</t>
  </si>
  <si>
    <t>2024-04-01 16:09:29</t>
  </si>
  <si>
    <t>2024-04-04 12:27:22</t>
  </si>
  <si>
    <t>TCK-11155</t>
  </si>
  <si>
    <t>2024-05-16 00:09:18</t>
  </si>
  <si>
    <t>2024-05-18 03:09:54</t>
  </si>
  <si>
    <t>TCK-11156</t>
  </si>
  <si>
    <t>2024-06-12 20:43:18</t>
  </si>
  <si>
    <t>2024-06-13 16:06:12</t>
  </si>
  <si>
    <t>TCK-11157</t>
  </si>
  <si>
    <t>2024-01-11 13:34:14</t>
  </si>
  <si>
    <t>2024-01-12 01:41:52</t>
  </si>
  <si>
    <t>TCK-11158</t>
  </si>
  <si>
    <t>2024-03-02 18:16:51</t>
  </si>
  <si>
    <t>2024-03-02 21:26:50</t>
  </si>
  <si>
    <t>TCK-11159</t>
  </si>
  <si>
    <t>2024-03-12 04:19:10</t>
  </si>
  <si>
    <t>TCK-11160</t>
  </si>
  <si>
    <t>2024-07-01 22:26:13</t>
  </si>
  <si>
    <t>2024-07-02 13:56:34</t>
  </si>
  <si>
    <t>TCK-11161</t>
  </si>
  <si>
    <t>2024-03-08 17:53:05</t>
  </si>
  <si>
    <t>TCK-11162</t>
  </si>
  <si>
    <t>2024-06-25 18:21:01</t>
  </si>
  <si>
    <t>2024-06-26 15:45:06</t>
  </si>
  <si>
    <t>TCK-11163</t>
  </si>
  <si>
    <t>2024-02-06 00:54:37</t>
  </si>
  <si>
    <t>2024-02-06 07:46:33</t>
  </si>
  <si>
    <t>TCK-11164</t>
  </si>
  <si>
    <t>2024-10-17 01:11:03</t>
  </si>
  <si>
    <t>2024-10-18 08:10:23</t>
  </si>
  <si>
    <t>TCK-11165</t>
  </si>
  <si>
    <t>2024-03-05 08:16:27</t>
  </si>
  <si>
    <t>2024-03-05 09:54:26</t>
  </si>
  <si>
    <t>TCK-11166</t>
  </si>
  <si>
    <t>2024-05-10 14:49:21</t>
  </si>
  <si>
    <t>2024-05-10 17:47:40</t>
  </si>
  <si>
    <t>TCK-11167</t>
  </si>
  <si>
    <t>2024-08-02 14:08:10</t>
  </si>
  <si>
    <t>2024-08-02 15:14:28</t>
  </si>
  <si>
    <t>TCK-11168</t>
  </si>
  <si>
    <t>2024-07-07 05:24:28</t>
  </si>
  <si>
    <t>TCK-11169</t>
  </si>
  <si>
    <t>2024-10-19 06:09:36</t>
  </si>
  <si>
    <t>2024-10-19 13:34:55</t>
  </si>
  <si>
    <t>TCK-11170</t>
  </si>
  <si>
    <t>2024-02-08 03:38:45</t>
  </si>
  <si>
    <t>2024-02-08 04:36:24</t>
  </si>
  <si>
    <t>TCK-11171</t>
  </si>
  <si>
    <t>2024-07-04 13:31:28</t>
  </si>
  <si>
    <t>2024-07-05 09:58:57</t>
  </si>
  <si>
    <t>TCK-11172</t>
  </si>
  <si>
    <t>2024-10-06 08:33:28</t>
  </si>
  <si>
    <t>2024-10-07 01:00:43</t>
  </si>
  <si>
    <t>TCK-11173</t>
  </si>
  <si>
    <t>2024-09-10 07:26:26</t>
  </si>
  <si>
    <t>2024-09-11 03:18:07</t>
  </si>
  <si>
    <t>TCK-11174</t>
  </si>
  <si>
    <t>2024-12-12 05:44:19</t>
  </si>
  <si>
    <t>TCK-11175</t>
  </si>
  <si>
    <t>2024-08-24 00:30:14</t>
  </si>
  <si>
    <t>2024-08-24 03:51:48</t>
  </si>
  <si>
    <t>TCK-11176</t>
  </si>
  <si>
    <t>2024-11-06 00:08:54</t>
  </si>
  <si>
    <t>2024-11-07 08:54:18</t>
  </si>
  <si>
    <t>TCK-11177</t>
  </si>
  <si>
    <t>2024-05-21 10:27:53</t>
  </si>
  <si>
    <t>TCK-11178</t>
  </si>
  <si>
    <t>2024-04-09 18:20:17</t>
  </si>
  <si>
    <t>TCK-11179</t>
  </si>
  <si>
    <t>2024-07-08 22:54:13</t>
  </si>
  <si>
    <t>2024-07-09 04:06:34</t>
  </si>
  <si>
    <t>TCK-11180</t>
  </si>
  <si>
    <t>2024-11-24 10:26:20</t>
  </si>
  <si>
    <t>2024-11-25 06:44:16</t>
  </si>
  <si>
    <t>TCK-11181</t>
  </si>
  <si>
    <t>2024-01-17 21:45:54</t>
  </si>
  <si>
    <t>2024-01-18 17:34:02</t>
  </si>
  <si>
    <t>TCK-11182</t>
  </si>
  <si>
    <t>2024-03-02 18:35:05</t>
  </si>
  <si>
    <t>2024-03-03 04:06:11</t>
  </si>
  <si>
    <t>TCK-11183</t>
  </si>
  <si>
    <t>2024-07-27 03:38:25</t>
  </si>
  <si>
    <t>2024-08-01 20:23:07</t>
  </si>
  <si>
    <t>TCK-11184</t>
  </si>
  <si>
    <t>2024-03-18 19:12:16</t>
  </si>
  <si>
    <t>2024-03-19 07:19:09</t>
  </si>
  <si>
    <t>TCK-11185</t>
  </si>
  <si>
    <t>2024-01-16 04:49:02</t>
  </si>
  <si>
    <t>2024-01-17 03:22:06</t>
  </si>
  <si>
    <t>TCK-11186</t>
  </si>
  <si>
    <t>2024-01-25 13:36:45</t>
  </si>
  <si>
    <t>2024-01-25 19:20:54</t>
  </si>
  <si>
    <t>TCK-11187</t>
  </si>
  <si>
    <t>2024-06-13 13:54:12</t>
  </si>
  <si>
    <t>2024-06-13 16:43:55</t>
  </si>
  <si>
    <t>TCK-11188</t>
  </si>
  <si>
    <t>2024-12-04 17:00:11</t>
  </si>
  <si>
    <t>2024-12-05 13:47:47</t>
  </si>
  <si>
    <t>TCK-11189</t>
  </si>
  <si>
    <t>2024-10-19 20:06:34</t>
  </si>
  <si>
    <t>2024-10-19 22:00:07</t>
  </si>
  <si>
    <t>TCK-11190</t>
  </si>
  <si>
    <t>2024-05-18 01:58:21</t>
  </si>
  <si>
    <t>2024-05-18 09:56:49</t>
  </si>
  <si>
    <t>TCK-11191</t>
  </si>
  <si>
    <t>2024-08-27 18:18:42</t>
  </si>
  <si>
    <t>2024-08-27 20:06:52</t>
  </si>
  <si>
    <t>TCK-11192</t>
  </si>
  <si>
    <t>2024-02-14 10:53:34</t>
  </si>
  <si>
    <t>2024-02-17 08:14:25</t>
  </si>
  <si>
    <t>TCK-11193</t>
  </si>
  <si>
    <t>2024-09-03 16:02:23</t>
  </si>
  <si>
    <t>2024-09-05 12:54:14</t>
  </si>
  <si>
    <t>TCK-11194</t>
  </si>
  <si>
    <t>2024-03-05 20:10:25</t>
  </si>
  <si>
    <t>TCK-11195</t>
  </si>
  <si>
    <t>2024-08-12 08:30:18</t>
  </si>
  <si>
    <t>2024-08-13 22:43:20</t>
  </si>
  <si>
    <t>TCK-11196</t>
  </si>
  <si>
    <t>2024-07-13 04:14:05</t>
  </si>
  <si>
    <t>2024-07-13 17:18:26</t>
  </si>
  <si>
    <t>TCK-11197</t>
  </si>
  <si>
    <t>2024-02-14 08:46:41</t>
  </si>
  <si>
    <t>2024-02-15 07:21:42</t>
  </si>
  <si>
    <t>TCK-11198</t>
  </si>
  <si>
    <t>2024-09-13 11:58:11</t>
  </si>
  <si>
    <t>2024-09-16 05:16:37</t>
  </si>
  <si>
    <t>TCK-11199</t>
  </si>
  <si>
    <t>2024-11-09 07:54:10</t>
  </si>
  <si>
    <t>TCK-11200</t>
  </si>
  <si>
    <t>2024-02-10 14:19:25</t>
  </si>
  <si>
    <t>2024-02-11 09:09:48</t>
  </si>
  <si>
    <t>TCK-11201</t>
  </si>
  <si>
    <t>2024-11-27 02:28:06</t>
  </si>
  <si>
    <t>2024-11-27 14:26:51</t>
  </si>
  <si>
    <t>TCK-11202</t>
  </si>
  <si>
    <t>2024-11-04 14:17:51</t>
  </si>
  <si>
    <t>TCK-11203</t>
  </si>
  <si>
    <t>2024-10-31 02:35:44</t>
  </si>
  <si>
    <t>2024-10-31 06:12:56</t>
  </si>
  <si>
    <t>TCK-11204</t>
  </si>
  <si>
    <t>2024-12-15 22:21:11</t>
  </si>
  <si>
    <t>2024-12-20 01:19:40</t>
  </si>
  <si>
    <t>TCK-11205</t>
  </si>
  <si>
    <t>2024-05-03 15:02:37</t>
  </si>
  <si>
    <t>2024-05-03 20:02:03</t>
  </si>
  <si>
    <t>TCK-11206</t>
  </si>
  <si>
    <t>2024-01-21 08:46:10</t>
  </si>
  <si>
    <t>2024-01-22 06:01:00</t>
  </si>
  <si>
    <t>TCK-11207</t>
  </si>
  <si>
    <t>2024-03-02 20:48:06</t>
  </si>
  <si>
    <t>2024-03-03 07:11:55</t>
  </si>
  <si>
    <t>TCK-11208</t>
  </si>
  <si>
    <t>2024-12-22 07:56:25</t>
  </si>
  <si>
    <t>2024-12-22 08:49:07</t>
  </si>
  <si>
    <t>TCK-11209</t>
  </si>
  <si>
    <t>2024-02-29 18:30:59</t>
  </si>
  <si>
    <t>2024-02-29 19:21:36</t>
  </si>
  <si>
    <t>TCK-11210</t>
  </si>
  <si>
    <t>2024-09-02 14:01:23</t>
  </si>
  <si>
    <t>2024-09-05 01:12:52</t>
  </si>
  <si>
    <t>TCK-11211</t>
  </si>
  <si>
    <t>2024-05-27 04:12:44</t>
  </si>
  <si>
    <t>TCK-11212</t>
  </si>
  <si>
    <t>2024-09-01 00:08:46</t>
  </si>
  <si>
    <t>2024-09-01 00:54:36</t>
  </si>
  <si>
    <t>TCK-11213</t>
  </si>
  <si>
    <t>2024-12-13 18:19:15</t>
  </si>
  <si>
    <t>2024-12-13 19:16:12</t>
  </si>
  <si>
    <t>TCK-11214</t>
  </si>
  <si>
    <t>2024-08-31 07:47:09</t>
  </si>
  <si>
    <t>2024-08-31 08:44:00</t>
  </si>
  <si>
    <t>TCK-11215</t>
  </si>
  <si>
    <t>2024-12-17 06:31:05</t>
  </si>
  <si>
    <t>2024-12-17 09:40:34</t>
  </si>
  <si>
    <t>TCK-11216</t>
  </si>
  <si>
    <t>2024-08-21 08:20:19</t>
  </si>
  <si>
    <t>2024-08-21 11:12:30</t>
  </si>
  <si>
    <t>TCK-11217</t>
  </si>
  <si>
    <t>2024-02-29 11:58:04</t>
  </si>
  <si>
    <t>2024-02-29 17:42:59</t>
  </si>
  <si>
    <t>TCK-11218</t>
  </si>
  <si>
    <t>2024-04-14 06:07:28</t>
  </si>
  <si>
    <t>2024-04-14 10:06:01</t>
  </si>
  <si>
    <t>TCK-11219</t>
  </si>
  <si>
    <t>2024-06-18 16:23:32</t>
  </si>
  <si>
    <t>2024-06-19 12:53:36</t>
  </si>
  <si>
    <t>TCK-11220</t>
  </si>
  <si>
    <t>2024-06-01 21:24:10</t>
  </si>
  <si>
    <t>2024-06-02 03:06:46</t>
  </si>
  <si>
    <t>TCK-11221</t>
  </si>
  <si>
    <t>2024-06-22 14:29:29</t>
  </si>
  <si>
    <t>2024-06-22 20:57:56</t>
  </si>
  <si>
    <t>TCK-11222</t>
  </si>
  <si>
    <t>2024-12-15 00:59:05</t>
  </si>
  <si>
    <t>TCK-11223</t>
  </si>
  <si>
    <t>2024-04-08 14:43:27</t>
  </si>
  <si>
    <t>2024-04-09 09:37:42</t>
  </si>
  <si>
    <t>TCK-11224</t>
  </si>
  <si>
    <t>2024-03-13 12:51:08</t>
  </si>
  <si>
    <t>2024-03-13 15:26:55</t>
  </si>
  <si>
    <t>TCK-11225</t>
  </si>
  <si>
    <t>2024-10-05 17:05:04</t>
  </si>
  <si>
    <t>2024-10-05 21:58:36</t>
  </si>
  <si>
    <t>TCK-11226</t>
  </si>
  <si>
    <t>2024-02-10 07:17:08</t>
  </si>
  <si>
    <t>2024-02-11 01:06:43</t>
  </si>
  <si>
    <t>TCK-11227</t>
  </si>
  <si>
    <t>2024-05-04 15:44:52</t>
  </si>
  <si>
    <t>2024-05-04 17:21:31</t>
  </si>
  <si>
    <t>TCK-11228</t>
  </si>
  <si>
    <t>2024-08-21 21:44:24</t>
  </si>
  <si>
    <t>2024-08-22 04:21:41</t>
  </si>
  <si>
    <t>TCK-11229</t>
  </si>
  <si>
    <t>2024-12-20 09:07:47</t>
  </si>
  <si>
    <t>2024-12-21 12:09:37</t>
  </si>
  <si>
    <t>TCK-11230</t>
  </si>
  <si>
    <t>2024-01-28 07:21:33</t>
  </si>
  <si>
    <t>2024-01-28 16:48:50</t>
  </si>
  <si>
    <t>TCK-11231</t>
  </si>
  <si>
    <t>2024-10-28 03:55:13</t>
  </si>
  <si>
    <t>2024-10-28 10:29:28</t>
  </si>
  <si>
    <t>TCK-11232</t>
  </si>
  <si>
    <t>2024-02-17 11:39:02</t>
  </si>
  <si>
    <t>2024-02-20 03:02:09</t>
  </si>
  <si>
    <t>TCK-11233</t>
  </si>
  <si>
    <t>2024-11-30 20:43:30</t>
  </si>
  <si>
    <t>2024-12-02 15:11:18</t>
  </si>
  <si>
    <t>TCK-11234</t>
  </si>
  <si>
    <t>2024-01-03 06:03:24</t>
  </si>
  <si>
    <t>TCK-11235</t>
  </si>
  <si>
    <t>2024-08-26 07:14:59</t>
  </si>
  <si>
    <t>2024-08-26 16:09:50</t>
  </si>
  <si>
    <t>TCK-11236</t>
  </si>
  <si>
    <t>2024-08-15 04:29:20</t>
  </si>
  <si>
    <t>2024-08-16 06:48:52</t>
  </si>
  <si>
    <t>TCK-11237</t>
  </si>
  <si>
    <t>2024-09-14 03:28:24</t>
  </si>
  <si>
    <t>2024-09-14 20:23:07</t>
  </si>
  <si>
    <t>TCK-11238</t>
  </si>
  <si>
    <t>2024-11-20 19:49:00</t>
  </si>
  <si>
    <t>2024-11-23 03:51:27</t>
  </si>
  <si>
    <t>TCK-11239</t>
  </si>
  <si>
    <t>2024-03-25 06:31:42</t>
  </si>
  <si>
    <t>2024-03-26 00:27:54</t>
  </si>
  <si>
    <t>TCK-11240</t>
  </si>
  <si>
    <t>2024-05-02 00:43:04</t>
  </si>
  <si>
    <t>2024-05-02 21:45:57</t>
  </si>
  <si>
    <t>TCK-11241</t>
  </si>
  <si>
    <t>2024-05-21 13:24:20</t>
  </si>
  <si>
    <t>2024-05-21 17:12:20</t>
  </si>
  <si>
    <t>TCK-11242</t>
  </si>
  <si>
    <t>2024-09-23 20:27:45</t>
  </si>
  <si>
    <t>2024-09-23 22:00:42</t>
  </si>
  <si>
    <t>TCK-11243</t>
  </si>
  <si>
    <t>2024-06-28 07:24:13</t>
  </si>
  <si>
    <t>2024-06-28 11:56:44</t>
  </si>
  <si>
    <t>TCK-11244</t>
  </si>
  <si>
    <t>2024-03-23 16:35:55</t>
  </si>
  <si>
    <t>2024-03-23 18:03:49</t>
  </si>
  <si>
    <t>TCK-11245</t>
  </si>
  <si>
    <t>2024-10-11 14:44:58</t>
  </si>
  <si>
    <t>TCK-11246</t>
  </si>
  <si>
    <t>2024-02-12 17:40:25</t>
  </si>
  <si>
    <t>2024-02-14 21:47:39</t>
  </si>
  <si>
    <t>TCK-11247</t>
  </si>
  <si>
    <t>2024-07-25 23:49:37</t>
  </si>
  <si>
    <t>2024-07-26 01:18:56</t>
  </si>
  <si>
    <t>TCK-11248</t>
  </si>
  <si>
    <t>2024-12-07 21:47:31</t>
  </si>
  <si>
    <t>TCK-11249</t>
  </si>
  <si>
    <t>2024-02-06 22:24:15</t>
  </si>
  <si>
    <t>2024-02-07 17:32:09</t>
  </si>
  <si>
    <t>TCK-11250</t>
  </si>
  <si>
    <t>2024-09-21 23:30:15</t>
  </si>
  <si>
    <t>TCK-11251</t>
  </si>
  <si>
    <t>2024-09-15 23:51:44</t>
  </si>
  <si>
    <t>2024-09-16 17:46:17</t>
  </si>
  <si>
    <t>TCK-11252</t>
  </si>
  <si>
    <t>2024-05-17 02:12:59</t>
  </si>
  <si>
    <t>2024-06-19 20:12:59</t>
  </si>
  <si>
    <t>TCK-11253</t>
  </si>
  <si>
    <t>2024-04-23 05:08:03</t>
  </si>
  <si>
    <t>2024-04-24 18:43:58</t>
  </si>
  <si>
    <t>TCK-11254</t>
  </si>
  <si>
    <t>2024-07-09 21:17:59</t>
  </si>
  <si>
    <t>2024-07-09 23:58:34</t>
  </si>
  <si>
    <t>TCK-11255</t>
  </si>
  <si>
    <t>2024-10-03 03:08:39</t>
  </si>
  <si>
    <t>2024-10-03 08:53:45</t>
  </si>
  <si>
    <t>TCK-11256</t>
  </si>
  <si>
    <t>2024-06-08 16:26:59</t>
  </si>
  <si>
    <t>TCK-11257</t>
  </si>
  <si>
    <t>2024-05-19 22:02:11</t>
  </si>
  <si>
    <t>2024-05-20 03:05:57</t>
  </si>
  <si>
    <t>TCK-11258</t>
  </si>
  <si>
    <t>2024-12-20 16:05:43</t>
  </si>
  <si>
    <t>2024-12-21 12:36:37</t>
  </si>
  <si>
    <t>TCK-11259</t>
  </si>
  <si>
    <t>2024-06-11 09:27:52</t>
  </si>
  <si>
    <t>2024-06-13 00:17:55</t>
  </si>
  <si>
    <t>TCK-11260</t>
  </si>
  <si>
    <t>2024-11-05 05:02:23</t>
  </si>
  <si>
    <t>2024-11-06 02:21:18</t>
  </si>
  <si>
    <t>TCK-11261</t>
  </si>
  <si>
    <t>2024-09-21 18:39:46</t>
  </si>
  <si>
    <t>2024-09-21 21:25:22</t>
  </si>
  <si>
    <t>TCK-11262</t>
  </si>
  <si>
    <t>2024-01-07 09:19:54</t>
  </si>
  <si>
    <t>2024-01-07 20:30:36</t>
  </si>
  <si>
    <t>TCK-11263</t>
  </si>
  <si>
    <t>2024-01-01 13:58:52</t>
  </si>
  <si>
    <t>2024-01-01 14:54:29</t>
  </si>
  <si>
    <t>TCK-11264</t>
  </si>
  <si>
    <t>2024-04-15 10:49:01</t>
  </si>
  <si>
    <t>TCK-11265</t>
  </si>
  <si>
    <t>2024-04-23 06:28:16</t>
  </si>
  <si>
    <t>2024-04-23 10:08:40</t>
  </si>
  <si>
    <t>TCK-11266</t>
  </si>
  <si>
    <t>2024-02-08 10:43:08</t>
  </si>
  <si>
    <t>2024-02-10 03:15:24</t>
  </si>
  <si>
    <t>TCK-11267</t>
  </si>
  <si>
    <t>2024-02-24 09:13:03</t>
  </si>
  <si>
    <t>2024-02-24 13:21:49</t>
  </si>
  <si>
    <t>TCK-11268</t>
  </si>
  <si>
    <t>2024-09-01 08:21:21</t>
  </si>
  <si>
    <t>2024-09-01 17:08:46</t>
  </si>
  <si>
    <t>TCK-11269</t>
  </si>
  <si>
    <t>2024-10-04 01:53:58</t>
  </si>
  <si>
    <t>TCK-11270</t>
  </si>
  <si>
    <t>2024-06-28 11:28:42</t>
  </si>
  <si>
    <t>2024-06-28 12:54:23</t>
  </si>
  <si>
    <t>TCK-11271</t>
  </si>
  <si>
    <t>2024-07-18 06:06:48</t>
  </si>
  <si>
    <t>2024-07-19 13:12:25</t>
  </si>
  <si>
    <t>TCK-11272</t>
  </si>
  <si>
    <t>2024-06-29 01:40:53</t>
  </si>
  <si>
    <t>2024-06-30 22:43:02</t>
  </si>
  <si>
    <t>TCK-11273</t>
  </si>
  <si>
    <t>2024-08-19 03:38:50</t>
  </si>
  <si>
    <t>2024-08-19 06:33:53</t>
  </si>
  <si>
    <t>TCK-11274</t>
  </si>
  <si>
    <t>2024-10-14 11:21:59</t>
  </si>
  <si>
    <t>2024-10-15 18:57:00</t>
  </si>
  <si>
    <t>TCK-11275</t>
  </si>
  <si>
    <t>2024-09-05 18:08:20</t>
  </si>
  <si>
    <t>TCK-11276</t>
  </si>
  <si>
    <t>2024-01-03 20:07:32</t>
  </si>
  <si>
    <t>2024-01-05 12:49:31</t>
  </si>
  <si>
    <t>TCK-11277</t>
  </si>
  <si>
    <t>2024-04-06 08:07:39</t>
  </si>
  <si>
    <t>2024-04-06 21:12:22</t>
  </si>
  <si>
    <t>TCK-11278</t>
  </si>
  <si>
    <t>2024-03-12 19:24:49</t>
  </si>
  <si>
    <t>2024-03-14 11:16:25</t>
  </si>
  <si>
    <t>TCK-11279</t>
  </si>
  <si>
    <t>2024-06-17 05:49:42</t>
  </si>
  <si>
    <t>2024-06-17 11:40:17</t>
  </si>
  <si>
    <t>TCK-11280</t>
  </si>
  <si>
    <t>2024-07-04 06:07:04</t>
  </si>
  <si>
    <t>2024-07-04 16:29:52</t>
  </si>
  <si>
    <t>TCK-11281</t>
  </si>
  <si>
    <t>2024-02-12 00:26:33</t>
  </si>
  <si>
    <t>2024-02-12 10:47:12</t>
  </si>
  <si>
    <t>TCK-11282</t>
  </si>
  <si>
    <t>2024-01-14 13:40:53</t>
  </si>
  <si>
    <t>2024-01-17 11:56:24</t>
  </si>
  <si>
    <t>TCK-11283</t>
  </si>
  <si>
    <t>2024-10-08 03:27:24</t>
  </si>
  <si>
    <t>2024-10-09 14:31:16</t>
  </si>
  <si>
    <t>TCK-11284</t>
  </si>
  <si>
    <t>2024-07-23 05:52:24</t>
  </si>
  <si>
    <t>2024-07-23 17:38:48</t>
  </si>
  <si>
    <t>TCK-11285</t>
  </si>
  <si>
    <t>2024-02-24 17:15:39</t>
  </si>
  <si>
    <t>2024-02-25 09:12:26</t>
  </si>
  <si>
    <t>TCK-11286</t>
  </si>
  <si>
    <t>2024-08-23 14:51:17</t>
  </si>
  <si>
    <t>2024-08-23 23:51:57</t>
  </si>
  <si>
    <t>TCK-11287</t>
  </si>
  <si>
    <t>2024-05-15 12:28:57</t>
  </si>
  <si>
    <t>2024-05-15 19:36:33</t>
  </si>
  <si>
    <t>TCK-11288</t>
  </si>
  <si>
    <t>2024-07-13 07:03:40</t>
  </si>
  <si>
    <t>2024-07-14 23:47:45</t>
  </si>
  <si>
    <t>TCK-11289</t>
  </si>
  <si>
    <t>2024-05-29 11:55:02</t>
  </si>
  <si>
    <t>2024-05-30 07:35:31</t>
  </si>
  <si>
    <t>TCK-11290</t>
  </si>
  <si>
    <t>2024-10-23 18:57:21</t>
  </si>
  <si>
    <t>2024-10-24 05:03:34</t>
  </si>
  <si>
    <t>TCK-11291</t>
  </si>
  <si>
    <t>2024-08-11 04:00:50</t>
  </si>
  <si>
    <t>2024-08-11 21:33:13</t>
  </si>
  <si>
    <t>TCK-11292</t>
  </si>
  <si>
    <t>2024-07-24 14:15:05</t>
  </si>
  <si>
    <t>2024-07-25 03:21:20</t>
  </si>
  <si>
    <t>TCK-11293</t>
  </si>
  <si>
    <t>2024-12-13 06:04:32</t>
  </si>
  <si>
    <t>2024-12-13 08:47:44</t>
  </si>
  <si>
    <t>TCK-11294</t>
  </si>
  <si>
    <t>2024-10-10 04:05:39</t>
  </si>
  <si>
    <t>2024-10-10 13:45:59</t>
  </si>
  <si>
    <t>TCK-11295</t>
  </si>
  <si>
    <t>2024-11-27 18:27:57</t>
  </si>
  <si>
    <t>2024-11-27 19:47:49</t>
  </si>
  <si>
    <t>TCK-11296</t>
  </si>
  <si>
    <t>2024-04-26 03:40:37</t>
  </si>
  <si>
    <t>2024-04-26 10:03:43</t>
  </si>
  <si>
    <t>TCK-11297</t>
  </si>
  <si>
    <t>2024-11-17 22:54:12</t>
  </si>
  <si>
    <t>TCK-11298</t>
  </si>
  <si>
    <t>2024-01-30 08:58:23</t>
  </si>
  <si>
    <t>2024-01-30 12:31:43</t>
  </si>
  <si>
    <t>TCK-11299</t>
  </si>
  <si>
    <t>2024-02-13 09:25:29</t>
  </si>
  <si>
    <t>2024-02-13 17:08:48</t>
  </si>
  <si>
    <t>TCK-11300</t>
  </si>
  <si>
    <t>2024-10-24 07:51:19</t>
  </si>
  <si>
    <t>TCK-11301</t>
  </si>
  <si>
    <t>2024-01-25 12:56:37</t>
  </si>
  <si>
    <t>2024-01-25 13:59:02</t>
  </si>
  <si>
    <t>TCK-11302</t>
  </si>
  <si>
    <t>2024-06-10 23:38:22</t>
  </si>
  <si>
    <t>2024-06-11 16:47:43</t>
  </si>
  <si>
    <t>TCK-11303</t>
  </si>
  <si>
    <t>2024-07-12 04:37:00</t>
  </si>
  <si>
    <t>2024-07-15 03:16:52</t>
  </si>
  <si>
    <t>TCK-11304</t>
  </si>
  <si>
    <t>2024-01-22 19:57:37</t>
  </si>
  <si>
    <t>2024-01-22 22:41:04</t>
  </si>
  <si>
    <t>TCK-11305</t>
  </si>
  <si>
    <t>2024-07-06 14:10:52</t>
  </si>
  <si>
    <t>2024-07-06 14:58:26</t>
  </si>
  <si>
    <t>TCK-11306</t>
  </si>
  <si>
    <t>2024-08-27 10:18:13</t>
  </si>
  <si>
    <t>2024-08-28 00:34:14</t>
  </si>
  <si>
    <t>TCK-11307</t>
  </si>
  <si>
    <t>2024-03-29 12:58:00</t>
  </si>
  <si>
    <t>2024-03-30 09:10:51</t>
  </si>
  <si>
    <t>TCK-11308</t>
  </si>
  <si>
    <t>2024-01-23 10:11:38</t>
  </si>
  <si>
    <t>2024-01-23 12:49:17</t>
  </si>
  <si>
    <t>TCK-11309</t>
  </si>
  <si>
    <t>2024-04-23 21:29:02</t>
  </si>
  <si>
    <t>2024-04-24 01:58:50</t>
  </si>
  <si>
    <t>TCK-11310</t>
  </si>
  <si>
    <t>2024-10-12 20:44:03</t>
  </si>
  <si>
    <t>2024-10-18 00:09:42</t>
  </si>
  <si>
    <t>TCK-11311</t>
  </si>
  <si>
    <t>2024-09-11 04:24:08</t>
  </si>
  <si>
    <t>2024-09-11 07:33:33</t>
  </si>
  <si>
    <t>TCK-11312</t>
  </si>
  <si>
    <t>2024-08-29 20:15:54</t>
  </si>
  <si>
    <t>2024-08-30 02:57:52</t>
  </si>
  <si>
    <t>TCK-11313</t>
  </si>
  <si>
    <t>2024-11-13 09:12:37</t>
  </si>
  <si>
    <t>2024-11-14 07:03:08</t>
  </si>
  <si>
    <t>TCK-11314</t>
  </si>
  <si>
    <t>2024-11-21 03:06:57</t>
  </si>
  <si>
    <t>2024-11-21 04:27:53</t>
  </si>
  <si>
    <t>TCK-11315</t>
  </si>
  <si>
    <t>2024-07-11 17:03:59</t>
  </si>
  <si>
    <t>2024-07-11 19:42:36</t>
  </si>
  <si>
    <t>TCK-11316</t>
  </si>
  <si>
    <t>2024-09-13 19:23:49</t>
  </si>
  <si>
    <t>TCK-11317</t>
  </si>
  <si>
    <t>2024-10-20 08:14:43</t>
  </si>
  <si>
    <t>2024-10-21 18:39:26</t>
  </si>
  <si>
    <t>TCK-11318</t>
  </si>
  <si>
    <t>2024-12-02 13:18:10</t>
  </si>
  <si>
    <t>2024-12-05 10:08:32</t>
  </si>
  <si>
    <t>TCK-11319</t>
  </si>
  <si>
    <t>2024-12-30 14:34:14</t>
  </si>
  <si>
    <t>2025-01-01 13:38:30</t>
  </si>
  <si>
    <t>TCK-11320</t>
  </si>
  <si>
    <t>2024-04-02 20:26:08</t>
  </si>
  <si>
    <t>TCK-11321</t>
  </si>
  <si>
    <t>2024-10-26 21:24:08</t>
  </si>
  <si>
    <t>2024-10-27 13:15:01</t>
  </si>
  <si>
    <t>TCK-11322</t>
  </si>
  <si>
    <t>2024-11-11 00:09:57</t>
  </si>
  <si>
    <t>2024-11-13 17:01:59</t>
  </si>
  <si>
    <t>TCK-11323</t>
  </si>
  <si>
    <t>2024-01-08 00:56:13</t>
  </si>
  <si>
    <t>2024-01-08 11:40:21</t>
  </si>
  <si>
    <t>TCK-11324</t>
  </si>
  <si>
    <t>2024-02-01 05:25:50</t>
  </si>
  <si>
    <t>2024-02-01 11:34:49</t>
  </si>
  <si>
    <t>TCK-11325</t>
  </si>
  <si>
    <t>2024-07-11 13:04:19</t>
  </si>
  <si>
    <t>2024-07-11 18:19:23</t>
  </si>
  <si>
    <t>TCK-11326</t>
  </si>
  <si>
    <t>2024-07-16 02:57:54</t>
  </si>
  <si>
    <t>2024-07-17 12:55:07</t>
  </si>
  <si>
    <t>TCK-11327</t>
  </si>
  <si>
    <t>2024-04-10 07:33:43</t>
  </si>
  <si>
    <t>2024-04-10 09:09:03</t>
  </si>
  <si>
    <t>TCK-11328</t>
  </si>
  <si>
    <t>2024-06-21 16:38:02</t>
  </si>
  <si>
    <t>2024-06-22 11:39:27</t>
  </si>
  <si>
    <t>TCK-11329</t>
  </si>
  <si>
    <t>2024-06-14 23:02:17</t>
  </si>
  <si>
    <t>2024-06-15 20:29:24</t>
  </si>
  <si>
    <t>TCK-11330</t>
  </si>
  <si>
    <t>2024-07-02 03:06:08</t>
  </si>
  <si>
    <t>2024-07-02 14:01:29</t>
  </si>
  <si>
    <t>TCK-11331</t>
  </si>
  <si>
    <t>2024-02-11 14:09:17</t>
  </si>
  <si>
    <t>2024-02-12 04:25:01</t>
  </si>
  <si>
    <t>TCK-11332</t>
  </si>
  <si>
    <t>2024-03-24 18:43:17</t>
  </si>
  <si>
    <t>2024-03-25 16:36:25</t>
  </si>
  <si>
    <t>TCK-11333</t>
  </si>
  <si>
    <t>2024-03-28 13:14:48</t>
  </si>
  <si>
    <t>2024-03-29 08:56:15</t>
  </si>
  <si>
    <t>TCK-11334</t>
  </si>
  <si>
    <t>2024-01-21 07:22:34</t>
  </si>
  <si>
    <t>2024-01-21 21:30:39</t>
  </si>
  <si>
    <t>TCK-11335</t>
  </si>
  <si>
    <t>2024-05-07 23:33:41</t>
  </si>
  <si>
    <t>2024-05-08 01:08:46</t>
  </si>
  <si>
    <t>TCK-11336</t>
  </si>
  <si>
    <t>2024-10-11 22:10:31</t>
  </si>
  <si>
    <t>2024-10-12 17:45:25</t>
  </si>
  <si>
    <t>TCK-11337</t>
  </si>
  <si>
    <t>2024-03-30 19:00:57</t>
  </si>
  <si>
    <t>TCK-11338</t>
  </si>
  <si>
    <t>2024-04-05 11:02:34</t>
  </si>
  <si>
    <t>2024-04-05 19:17:42</t>
  </si>
  <si>
    <t>TCK-11339</t>
  </si>
  <si>
    <t>2024-02-01 23:41:26</t>
  </si>
  <si>
    <t>2024-02-03 10:09:42</t>
  </si>
  <si>
    <t>TCK-11340</t>
  </si>
  <si>
    <t>2024-06-25 16:13:52</t>
  </si>
  <si>
    <t>2024-06-25 16:58:28</t>
  </si>
  <si>
    <t>TCK-11341</t>
  </si>
  <si>
    <t>2024-11-20 04:07:30</t>
  </si>
  <si>
    <t>2024-11-20 14:26:33</t>
  </si>
  <si>
    <t>TCK-11342</t>
  </si>
  <si>
    <t>2024-02-19 19:56:52</t>
  </si>
  <si>
    <t>2024-02-21 12:54:09</t>
  </si>
  <si>
    <t>TCK-11343</t>
  </si>
  <si>
    <t>2024-02-12 04:30:21</t>
  </si>
  <si>
    <t>TCK-11344</t>
  </si>
  <si>
    <t>2024-09-02 07:46:49</t>
  </si>
  <si>
    <t>2024-09-03 00:56:38</t>
  </si>
  <si>
    <t>TCK-11345</t>
  </si>
  <si>
    <t>2024-11-14 19:56:33</t>
  </si>
  <si>
    <t>2024-11-15 19:14:47</t>
  </si>
  <si>
    <t>TCK-11346</t>
  </si>
  <si>
    <t>2024-03-09 23:10:15</t>
  </si>
  <si>
    <t>2024-03-10 13:04:44</t>
  </si>
  <si>
    <t>TCK-11347</t>
  </si>
  <si>
    <t>2024-08-13 12:23:26</t>
  </si>
  <si>
    <t>2024-08-14 10:14:32</t>
  </si>
  <si>
    <t>TCK-11348</t>
  </si>
  <si>
    <t>2024-10-12 15:12:29</t>
  </si>
  <si>
    <t>2024-10-15 23:01:58</t>
  </si>
  <si>
    <t>TCK-11349</t>
  </si>
  <si>
    <t>2024-03-05 15:26:03</t>
  </si>
  <si>
    <t>2024-03-05 22:28:28</t>
  </si>
  <si>
    <t>TCK-11350</t>
  </si>
  <si>
    <t>2024-10-19 22:50:17</t>
  </si>
  <si>
    <t>2024-10-20 03:05:49</t>
  </si>
  <si>
    <t>TCK-11351</t>
  </si>
  <si>
    <t>2024-08-20 17:24:48</t>
  </si>
  <si>
    <t>2024-08-22 08:10:46</t>
  </si>
  <si>
    <t>TCK-11352</t>
  </si>
  <si>
    <t>2024-03-20 05:24:38</t>
  </si>
  <si>
    <t>2024-03-20 09:17:48</t>
  </si>
  <si>
    <t>TCK-11353</t>
  </si>
  <si>
    <t>2024-10-05 11:56:32</t>
  </si>
  <si>
    <t>2024-10-05 17:07:59</t>
  </si>
  <si>
    <t>TCK-11354</t>
  </si>
  <si>
    <t>2024-09-17 00:52:51</t>
  </si>
  <si>
    <t>2024-09-17 03:54:18</t>
  </si>
  <si>
    <t>TCK-11355</t>
  </si>
  <si>
    <t>2024-04-17 13:30:48</t>
  </si>
  <si>
    <t>2024-04-18 16:30:30</t>
  </si>
  <si>
    <t>TCK-11356</t>
  </si>
  <si>
    <t>2024-10-01 04:02:33</t>
  </si>
  <si>
    <t>2024-10-02 01:48:20</t>
  </si>
  <si>
    <t>TCK-11357</t>
  </si>
  <si>
    <t>2024-04-05 20:04:55</t>
  </si>
  <si>
    <t>2024-04-06 00:10:35</t>
  </si>
  <si>
    <t>TCK-11358</t>
  </si>
  <si>
    <t>2024-07-12 05:49:32</t>
  </si>
  <si>
    <t>2024-07-12 06:38:50</t>
  </si>
  <si>
    <t>TCK-11359</t>
  </si>
  <si>
    <t>2024-08-04 22:29:13</t>
  </si>
  <si>
    <t>2024-08-05 13:45:35</t>
  </si>
  <si>
    <t>TCK-11360</t>
  </si>
  <si>
    <t>2024-05-15 18:09:17</t>
  </si>
  <si>
    <t>2024-05-18 02:36:57</t>
  </si>
  <si>
    <t>TCK-11361</t>
  </si>
  <si>
    <t>2024-09-02 00:16:54</t>
  </si>
  <si>
    <t>2024-09-02 20:39:06</t>
  </si>
  <si>
    <t>TCK-11362</t>
  </si>
  <si>
    <t>2024-04-21 21:33:47</t>
  </si>
  <si>
    <t>2024-04-22 19:28:18</t>
  </si>
  <si>
    <t>TCK-11363</t>
  </si>
  <si>
    <t>2024-05-15 07:40:01</t>
  </si>
  <si>
    <t>2024-05-15 10:39:28</t>
  </si>
  <si>
    <t>TCK-11364</t>
  </si>
  <si>
    <t>2024-03-24 20:56:05</t>
  </si>
  <si>
    <t>2024-03-25 14:41:36</t>
  </si>
  <si>
    <t>TCK-11365</t>
  </si>
  <si>
    <t>2024-06-20 23:17:13</t>
  </si>
  <si>
    <t>2024-06-21 14:40:00</t>
  </si>
  <si>
    <t>TCK-11366</t>
  </si>
  <si>
    <t>2024-06-23 04:16:23</t>
  </si>
  <si>
    <t>2024-06-24 02:00:35</t>
  </si>
  <si>
    <t>TCK-11367</t>
  </si>
  <si>
    <t>2024-05-08 08:52:45</t>
  </si>
  <si>
    <t>2024-05-08 15:52:56</t>
  </si>
  <si>
    <t>TCK-11368</t>
  </si>
  <si>
    <t>2024-08-03 01:20:50</t>
  </si>
  <si>
    <t>2024-08-03 12:05:05</t>
  </si>
  <si>
    <t>TCK-11369</t>
  </si>
  <si>
    <t>2024-10-06 02:34:19</t>
  </si>
  <si>
    <t>2024-10-06 05:03:47</t>
  </si>
  <si>
    <t>TCK-11370</t>
  </si>
  <si>
    <t>2024-11-24 16:27:47</t>
  </si>
  <si>
    <t>2024-11-24 17:23:48</t>
  </si>
  <si>
    <t>TCK-11371</t>
  </si>
  <si>
    <t>2024-03-30 15:48:15</t>
  </si>
  <si>
    <t>2024-03-31 01:54:44</t>
  </si>
  <si>
    <t>TCK-11372</t>
  </si>
  <si>
    <t>2024-11-14 03:04:13</t>
  </si>
  <si>
    <t>2024-11-14 21:01:22</t>
  </si>
  <si>
    <t>TCK-11373</t>
  </si>
  <si>
    <t>2024-01-07 01:24:12</t>
  </si>
  <si>
    <t>TCK-11374</t>
  </si>
  <si>
    <t>2024-05-01 13:49:08</t>
  </si>
  <si>
    <t>2024-05-01 21:36:35</t>
  </si>
  <si>
    <t>TCK-11375</t>
  </si>
  <si>
    <t>2024-07-02 09:46:11</t>
  </si>
  <si>
    <t>2024-07-03 06:41:09</t>
  </si>
  <si>
    <t>TCK-11376</t>
  </si>
  <si>
    <t>2024-04-05 07:58:05</t>
  </si>
  <si>
    <t>2024-04-05 19:35:39</t>
  </si>
  <si>
    <t>TCK-11377</t>
  </si>
  <si>
    <t>2024-01-11 00:00:32</t>
  </si>
  <si>
    <t>2024-01-11 09:11:26</t>
  </si>
  <si>
    <t>TCK-11378</t>
  </si>
  <si>
    <t>2024-02-02 19:31:49</t>
  </si>
  <si>
    <t>2024-02-02 22:01:34</t>
  </si>
  <si>
    <t>TCK-11379</t>
  </si>
  <si>
    <t>2024-10-08 03:09:01</t>
  </si>
  <si>
    <t>2024-11-03 21:09:01</t>
  </si>
  <si>
    <t>TCK-11380</t>
  </si>
  <si>
    <t>2024-05-05 04:03:56</t>
  </si>
  <si>
    <t>2024-05-05 22:40:38</t>
  </si>
  <si>
    <t>TCK-11381</t>
  </si>
  <si>
    <t>2024-05-01 21:31:19</t>
  </si>
  <si>
    <t>2024-05-03 08:30:03</t>
  </si>
  <si>
    <t>TCK-11382</t>
  </si>
  <si>
    <t>2024-12-24 02:29:22</t>
  </si>
  <si>
    <t>2024-12-24 08:22:36</t>
  </si>
  <si>
    <t>TCK-11383</t>
  </si>
  <si>
    <t>2024-06-19 06:44:21</t>
  </si>
  <si>
    <t>2024-06-20 07:24:59</t>
  </si>
  <si>
    <t>TCK-11384</t>
  </si>
  <si>
    <t>2024-07-31 19:12:08</t>
  </si>
  <si>
    <t>TCK-11385</t>
  </si>
  <si>
    <t>2024-10-06 22:21:18</t>
  </si>
  <si>
    <t>TCK-11386</t>
  </si>
  <si>
    <t>2024-07-22 13:03:18</t>
  </si>
  <si>
    <t>2024-07-22 19:45:05</t>
  </si>
  <si>
    <t>TCK-11387</t>
  </si>
  <si>
    <t>2024-10-17 08:20:49</t>
  </si>
  <si>
    <t>2024-10-18 10:00:23</t>
  </si>
  <si>
    <t>TCK-11388</t>
  </si>
  <si>
    <t>2024-02-28 17:21:17</t>
  </si>
  <si>
    <t>2024-02-28 21:40:09</t>
  </si>
  <si>
    <t>TCK-11389</t>
  </si>
  <si>
    <t>2024-02-07 02:48:13</t>
  </si>
  <si>
    <t>2024-02-07 03:58:19</t>
  </si>
  <si>
    <t>TCK-11390</t>
  </si>
  <si>
    <t>2024-12-26 16:27:49</t>
  </si>
  <si>
    <t>2024-12-26 22:28:44</t>
  </si>
  <si>
    <t>TCK-11391</t>
  </si>
  <si>
    <t>2024-08-06 05:56:44</t>
  </si>
  <si>
    <t>2024-08-06 14:03:26</t>
  </si>
  <si>
    <t>TCK-11392</t>
  </si>
  <si>
    <t>2024-02-10 01:42:40</t>
  </si>
  <si>
    <t>2024-02-10 19:32:44</t>
  </si>
  <si>
    <t>TCK-11393</t>
  </si>
  <si>
    <t>2024-10-13 15:48:45</t>
  </si>
  <si>
    <t>2024-10-15 12:58:02</t>
  </si>
  <si>
    <t>TCK-11394</t>
  </si>
  <si>
    <t>2024-11-08 07:48:01</t>
  </si>
  <si>
    <t>2024-11-09 11:26:33</t>
  </si>
  <si>
    <t>TCK-11395</t>
  </si>
  <si>
    <t>2024-06-20 02:11:55</t>
  </si>
  <si>
    <t>2024-06-20 12:37:15</t>
  </si>
  <si>
    <t>TCK-11396</t>
  </si>
  <si>
    <t>2024-10-01 14:40:36</t>
  </si>
  <si>
    <t>2024-10-04 07:17:28</t>
  </si>
  <si>
    <t>TCK-11397</t>
  </si>
  <si>
    <t>2024-09-03 11:09:48</t>
  </si>
  <si>
    <t>2024-09-04 02:11:07</t>
  </si>
  <si>
    <t>TCK-11398</t>
  </si>
  <si>
    <t>2024-12-15 18:23:27</t>
  </si>
  <si>
    <t>2024-12-16 03:50:56</t>
  </si>
  <si>
    <t>TCK-11399</t>
  </si>
  <si>
    <t>2024-08-27 22:36:58</t>
  </si>
  <si>
    <t>2024-08-30 22:24:09</t>
  </si>
  <si>
    <t>TCK-11400</t>
  </si>
  <si>
    <t>2024-05-20 12:41:00</t>
  </si>
  <si>
    <t>2024-05-20 20:15:36</t>
  </si>
  <si>
    <t>TCK-11401</t>
  </si>
  <si>
    <t>2024-08-23 23:32:50</t>
  </si>
  <si>
    <t>2024-08-24 02:04:04</t>
  </si>
  <si>
    <t>TCK-11402</t>
  </si>
  <si>
    <t>2024-08-10 13:06:45</t>
  </si>
  <si>
    <t>2024-08-11 13:13:45</t>
  </si>
  <si>
    <t>TCK-11403</t>
  </si>
  <si>
    <t>2024-10-18 19:58:18</t>
  </si>
  <si>
    <t>2024-10-19 12:46:00</t>
  </si>
  <si>
    <t>TCK-11404</t>
  </si>
  <si>
    <t>2024-11-26 19:21:52</t>
  </si>
  <si>
    <t>2024-11-26 22:18:04</t>
  </si>
  <si>
    <t>TCK-11405</t>
  </si>
  <si>
    <t>2024-04-18 02:17:02</t>
  </si>
  <si>
    <t>2024-04-23 12:04:41</t>
  </si>
  <si>
    <t>TCK-11406</t>
  </si>
  <si>
    <t>2024-10-02 19:14:19</t>
  </si>
  <si>
    <t>2024-10-02 22:52:11</t>
  </si>
  <si>
    <t>TCK-11407</t>
  </si>
  <si>
    <t>2024-01-25 05:04:00</t>
  </si>
  <si>
    <t>2024-01-25 06:58:27</t>
  </si>
  <si>
    <t>TCK-11408</t>
  </si>
  <si>
    <t>2024-03-18 11:51:48</t>
  </si>
  <si>
    <t>2024-03-18 21:13:44</t>
  </si>
  <si>
    <t>TCK-11409</t>
  </si>
  <si>
    <t>2024-09-27 17:54:48</t>
  </si>
  <si>
    <t>TCK-11410</t>
  </si>
  <si>
    <t>2024-03-12 05:01:56</t>
  </si>
  <si>
    <t>TCK-11411</t>
  </si>
  <si>
    <t>2024-10-25 02:22:20</t>
  </si>
  <si>
    <t>2024-10-25 04:51:00</t>
  </si>
  <si>
    <t>TCK-11412</t>
  </si>
  <si>
    <t>2024-09-06 18:49:55</t>
  </si>
  <si>
    <t>2024-09-07 06:53:40</t>
  </si>
  <si>
    <t>TCK-11413</t>
  </si>
  <si>
    <t>2024-05-02 21:03:18</t>
  </si>
  <si>
    <t>2024-05-03 13:41:06</t>
  </si>
  <si>
    <t>TCK-11414</t>
  </si>
  <si>
    <t>2024-07-09 14:03:55</t>
  </si>
  <si>
    <t>2024-07-09 19:56:34</t>
  </si>
  <si>
    <t>TCK-11415</t>
  </si>
  <si>
    <t>2024-08-15 14:40:24</t>
  </si>
  <si>
    <t>2024-08-16 06:59:11</t>
  </si>
  <si>
    <t>TCK-11416</t>
  </si>
  <si>
    <t>2024-05-13 05:21:34</t>
  </si>
  <si>
    <t>2024-05-13 12:12:42</t>
  </si>
  <si>
    <t>TCK-11417</t>
  </si>
  <si>
    <t>2024-12-24 08:54:41</t>
  </si>
  <si>
    <t>2024-12-24 12:14:34</t>
  </si>
  <si>
    <t>TCK-11418</t>
  </si>
  <si>
    <t>2024-08-16 20:11:58</t>
  </si>
  <si>
    <t>2024-08-19 13:27:30</t>
  </si>
  <si>
    <t>TCK-11419</t>
  </si>
  <si>
    <t>2024-05-11 02:00:32</t>
  </si>
  <si>
    <t>2024-05-11 19:45:02</t>
  </si>
  <si>
    <t>TCK-11420</t>
  </si>
  <si>
    <t>2024-08-27 19:14:36</t>
  </si>
  <si>
    <t>2024-08-29 08:15:49</t>
  </si>
  <si>
    <t>TCK-11421</t>
  </si>
  <si>
    <t>2024-05-11 13:15:13</t>
  </si>
  <si>
    <t>2024-05-13 14:10:45</t>
  </si>
  <si>
    <t>TCK-11422</t>
  </si>
  <si>
    <t>2024-10-27 22:52:41</t>
  </si>
  <si>
    <t>2024-10-28 01:43:19</t>
  </si>
  <si>
    <t>TCK-11423</t>
  </si>
  <si>
    <t>2024-09-28 06:23:48</t>
  </si>
  <si>
    <t>2024-09-30 02:21:40</t>
  </si>
  <si>
    <t>TCK-11424</t>
  </si>
  <si>
    <t>2024-04-30 10:38:17</t>
  </si>
  <si>
    <t>2024-05-01 02:28:25</t>
  </si>
  <si>
    <t>TCK-11425</t>
  </si>
  <si>
    <t>2024-03-08 03:47:38</t>
  </si>
  <si>
    <t>2024-03-08 05:38:31</t>
  </si>
  <si>
    <t>TCK-11426</t>
  </si>
  <si>
    <t>2024-10-28 13:11:43</t>
  </si>
  <si>
    <t>2024-10-29 05:51:01</t>
  </si>
  <si>
    <t>TCK-11427</t>
  </si>
  <si>
    <t>2024-09-16 22:16:58</t>
  </si>
  <si>
    <t>2024-09-17 19:45:43</t>
  </si>
  <si>
    <t>TCK-11428</t>
  </si>
  <si>
    <t>2024-05-07 08:54:11</t>
  </si>
  <si>
    <t>2024-05-08 09:37:33</t>
  </si>
  <si>
    <t>TCK-11429</t>
  </si>
  <si>
    <t>2024-08-16 01:54:50</t>
  </si>
  <si>
    <t>2024-08-16 05:06:46</t>
  </si>
  <si>
    <t>TCK-11430</t>
  </si>
  <si>
    <t>2024-10-19 06:12:25</t>
  </si>
  <si>
    <t>2024-10-19 14:45:59</t>
  </si>
  <si>
    <t>TCK-11431</t>
  </si>
  <si>
    <t>2024-05-29 11:45:34</t>
  </si>
  <si>
    <t>2024-05-30 14:35:21</t>
  </si>
  <si>
    <t>TCK-11432</t>
  </si>
  <si>
    <t>2024-06-13 02:52:21</t>
  </si>
  <si>
    <t>2024-06-13 08:20:15</t>
  </si>
  <si>
    <t>TCK-11433</t>
  </si>
  <si>
    <t>2024-12-01 06:46:12</t>
  </si>
  <si>
    <t>2024-12-01 23:10:13</t>
  </si>
  <si>
    <t>TCK-11434</t>
  </si>
  <si>
    <t>2024-09-11 06:01:05</t>
  </si>
  <si>
    <t>2024-09-11 15:32:56</t>
  </si>
  <si>
    <t>TCK-11435</t>
  </si>
  <si>
    <t>2024-12-19 01:08:19</t>
  </si>
  <si>
    <t>2024-12-19 10:58:54</t>
  </si>
  <si>
    <t>TCK-11436</t>
  </si>
  <si>
    <t>2024-06-14 00:34:24</t>
  </si>
  <si>
    <t>2024-06-16 10:53:14</t>
  </si>
  <si>
    <t>TCK-11437</t>
  </si>
  <si>
    <t>2024-07-19 07:10:52</t>
  </si>
  <si>
    <t>2024-07-19 16:56:25</t>
  </si>
  <si>
    <t>TCK-11438</t>
  </si>
  <si>
    <t>2024-05-22 21:39:30</t>
  </si>
  <si>
    <t>2024-05-23 00:39:56</t>
  </si>
  <si>
    <t>TCK-11439</t>
  </si>
  <si>
    <t>2024-04-14 02:48:56</t>
  </si>
  <si>
    <t>2024-04-14 07:40:00</t>
  </si>
  <si>
    <t>TCK-11440</t>
  </si>
  <si>
    <t>2024-01-15 13:15:06</t>
  </si>
  <si>
    <t>2024-01-15 18:36:08</t>
  </si>
  <si>
    <t>TCK-11441</t>
  </si>
  <si>
    <t>2024-12-13 00:43:21</t>
  </si>
  <si>
    <t>TCK-11442</t>
  </si>
  <si>
    <t>2024-12-17 05:58:49</t>
  </si>
  <si>
    <t>2024-12-18 01:59:25</t>
  </si>
  <si>
    <t>TCK-11443</t>
  </si>
  <si>
    <t>2024-10-08 10:24:00</t>
  </si>
  <si>
    <t>TCK-11444</t>
  </si>
  <si>
    <t>2024-01-31 22:08:30</t>
  </si>
  <si>
    <t>2024-02-01 04:01:10</t>
  </si>
  <si>
    <t>TCK-11445</t>
  </si>
  <si>
    <t>2024-10-15 18:19:30</t>
  </si>
  <si>
    <t>2024-10-17 15:43:03</t>
  </si>
  <si>
    <t>TCK-11446</t>
  </si>
  <si>
    <t>2024-07-28 17:18:47</t>
  </si>
  <si>
    <t>2024-07-30 12:16:50</t>
  </si>
  <si>
    <t>TCK-11447</t>
  </si>
  <si>
    <t>2024-09-24 20:40:16</t>
  </si>
  <si>
    <t>2024-09-25 04:52:59</t>
  </si>
  <si>
    <t>TCK-11448</t>
  </si>
  <si>
    <t>2024-03-21 18:39:02</t>
  </si>
  <si>
    <t>2024-03-21 22:22:06</t>
  </si>
  <si>
    <t>TCK-11449</t>
  </si>
  <si>
    <t>2024-03-27 06:53:10</t>
  </si>
  <si>
    <t>2024-03-27 11:49:46</t>
  </si>
  <si>
    <t>TCK-11450</t>
  </si>
  <si>
    <t>2024-06-12 17:48:43</t>
  </si>
  <si>
    <t>TCK-11451</t>
  </si>
  <si>
    <t>2024-01-06 05:08:06</t>
  </si>
  <si>
    <t>2024-01-06 07:22:02</t>
  </si>
  <si>
    <t>TCK-11452</t>
  </si>
  <si>
    <t>2024-09-18 16:41:01</t>
  </si>
  <si>
    <t>2024-09-19 02:07:39</t>
  </si>
  <si>
    <t>TCK-11453</t>
  </si>
  <si>
    <t>2024-07-25 00:09:10</t>
  </si>
  <si>
    <t>2024-07-25 15:17:59</t>
  </si>
  <si>
    <t>TCK-11454</t>
  </si>
  <si>
    <t>2024-05-16 21:23:43</t>
  </si>
  <si>
    <t>2024-05-17 04:35:00</t>
  </si>
  <si>
    <t>TCK-11455</t>
  </si>
  <si>
    <t>2024-02-21 11:30:31</t>
  </si>
  <si>
    <t>2024-02-21 16:09:55</t>
  </si>
  <si>
    <t>TCK-11456</t>
  </si>
  <si>
    <t>2024-12-02 05:23:23</t>
  </si>
  <si>
    <t>2024-12-02 09:02:00</t>
  </si>
  <si>
    <t>TCK-11457</t>
  </si>
  <si>
    <t>2024-05-04 09:03:22</t>
  </si>
  <si>
    <t>2024-05-05 04:58:51</t>
  </si>
  <si>
    <t>TCK-11458</t>
  </si>
  <si>
    <t>2024-06-29 11:59:28</t>
  </si>
  <si>
    <t>2024-06-29 18:26:03</t>
  </si>
  <si>
    <t>TCK-11459</t>
  </si>
  <si>
    <t>2024-09-12 04:08:23</t>
  </si>
  <si>
    <t>2024-09-12 18:56:25</t>
  </si>
  <si>
    <t>TCK-11460</t>
  </si>
  <si>
    <t>2024-08-28 16:20:31</t>
  </si>
  <si>
    <t>2024-08-28 23:34:16</t>
  </si>
  <si>
    <t>TCK-11461</t>
  </si>
  <si>
    <t>2024-04-07 09:37:00</t>
  </si>
  <si>
    <t>2024-04-07 15:47:16</t>
  </si>
  <si>
    <t>TCK-11462</t>
  </si>
  <si>
    <t>2024-07-17 21:59:30</t>
  </si>
  <si>
    <t>2024-07-20 16:47:29</t>
  </si>
  <si>
    <t>TCK-11463</t>
  </si>
  <si>
    <t>2024-12-24 03:56:13</t>
  </si>
  <si>
    <t>2024-12-24 06:24:11</t>
  </si>
  <si>
    <t>TCK-11464</t>
  </si>
  <si>
    <t>2024-04-04 06:31:08</t>
  </si>
  <si>
    <t>2024-04-04 15:40:35</t>
  </si>
  <si>
    <t>TCK-11465</t>
  </si>
  <si>
    <t>2024-03-03 04:28:19</t>
  </si>
  <si>
    <t>2024-03-03 08:02:06</t>
  </si>
  <si>
    <t>TCK-11466</t>
  </si>
  <si>
    <t>2024-07-01 22:40:03</t>
  </si>
  <si>
    <t>2024-07-03 08:40:18</t>
  </si>
  <si>
    <t>TCK-11467</t>
  </si>
  <si>
    <t>2024-07-26 18:49:58</t>
  </si>
  <si>
    <t>2024-07-29 05:58:11</t>
  </si>
  <si>
    <t>TCK-11468</t>
  </si>
  <si>
    <t>2024-06-04 10:57:07</t>
  </si>
  <si>
    <t>2024-06-05 06:37:55</t>
  </si>
  <si>
    <t>TCK-11469</t>
  </si>
  <si>
    <t>2024-08-13 12:14:21</t>
  </si>
  <si>
    <t>2024-08-14 09:15:49</t>
  </si>
  <si>
    <t>TCK-11470</t>
  </si>
  <si>
    <t>2024-03-22 22:08:02</t>
  </si>
  <si>
    <t>2024-03-23 00:35:52</t>
  </si>
  <si>
    <t>TCK-11471</t>
  </si>
  <si>
    <t>2024-04-25 00:19:17</t>
  </si>
  <si>
    <t>TCK-11472</t>
  </si>
  <si>
    <t>2024-07-21 23:20:07</t>
  </si>
  <si>
    <t>2024-07-22 06:33:35</t>
  </si>
  <si>
    <t>TCK-11473</t>
  </si>
  <si>
    <t>2024-09-03 12:19:32</t>
  </si>
  <si>
    <t>2024-09-03 14:07:18</t>
  </si>
  <si>
    <t>TCK-11474</t>
  </si>
  <si>
    <t>2024-05-29 13:15:07</t>
  </si>
  <si>
    <t>2024-05-29 15:48:57</t>
  </si>
  <si>
    <t>TCK-11475</t>
  </si>
  <si>
    <t>2024-10-16 20:09:54</t>
  </si>
  <si>
    <t>TCK-11476</t>
  </si>
  <si>
    <t>2024-05-14 00:18:09</t>
  </si>
  <si>
    <t>2024-05-14 21:35:40</t>
  </si>
  <si>
    <t>TCK-11477</t>
  </si>
  <si>
    <t>2024-12-04 12:16:44</t>
  </si>
  <si>
    <t>2024-12-04 19:15:55</t>
  </si>
  <si>
    <t>TCK-11478</t>
  </si>
  <si>
    <t>2024-02-28 14:55:35</t>
  </si>
  <si>
    <t>2024-02-28 19:35:54</t>
  </si>
  <si>
    <t>TCK-11479</t>
  </si>
  <si>
    <t>2024-01-06 01:43:10</t>
  </si>
  <si>
    <t>2024-01-06 07:51:33</t>
  </si>
  <si>
    <t>TCK-11480</t>
  </si>
  <si>
    <t>2024-05-08 07:18:11</t>
  </si>
  <si>
    <t>2024-05-09 01:58:50</t>
  </si>
  <si>
    <t>TCK-11481</t>
  </si>
  <si>
    <t>2024-07-22 10:14:09</t>
  </si>
  <si>
    <t>TCK-11482</t>
  </si>
  <si>
    <t>2024-11-29 08:41:24</t>
  </si>
  <si>
    <t>2024-11-29 13:14:36</t>
  </si>
  <si>
    <t>TCK-11483</t>
  </si>
  <si>
    <t>2024-03-15 03:03:37</t>
  </si>
  <si>
    <t>2024-03-15 10:26:11</t>
  </si>
  <si>
    <t>TCK-11484</t>
  </si>
  <si>
    <t>2024-07-04 16:35:36</t>
  </si>
  <si>
    <t>2024-07-05 04:45:02</t>
  </si>
  <si>
    <t>TCK-11485</t>
  </si>
  <si>
    <t>2024-07-04 04:58:31</t>
  </si>
  <si>
    <t>2024-07-04 09:43:51</t>
  </si>
  <si>
    <t>TCK-11486</t>
  </si>
  <si>
    <t>2024-02-13 15:28:41</t>
  </si>
  <si>
    <t>2024-02-14 03:11:08</t>
  </si>
  <si>
    <t>TCK-11487</t>
  </si>
  <si>
    <t>2024-10-20 09:00:40</t>
  </si>
  <si>
    <t>2024-10-21 06:49:13</t>
  </si>
  <si>
    <t>TCK-11488</t>
  </si>
  <si>
    <t>2024-12-03 03:27:29</t>
  </si>
  <si>
    <t>2024-12-04 01:47:36</t>
  </si>
  <si>
    <t>TCK-11489</t>
  </si>
  <si>
    <t>2024-07-08 16:34:44</t>
  </si>
  <si>
    <t>2024-07-08 19:33:51</t>
  </si>
  <si>
    <t>TCK-11490</t>
  </si>
  <si>
    <t>2024-02-07 01:26:14</t>
  </si>
  <si>
    <t>2024-02-07 15:41:41</t>
  </si>
  <si>
    <t>TCK-11491</t>
  </si>
  <si>
    <t>2024-04-28 22:23:00</t>
  </si>
  <si>
    <t>2024-04-29 03:03:58</t>
  </si>
  <si>
    <t>TCK-11492</t>
  </si>
  <si>
    <t>2024-03-02 01:38:21</t>
  </si>
  <si>
    <t>2024-03-02 08:56:41</t>
  </si>
  <si>
    <t>TCK-11493</t>
  </si>
  <si>
    <t>2024-09-11 02:58:26</t>
  </si>
  <si>
    <t>TCK-11494</t>
  </si>
  <si>
    <t>2024-07-02 15:11:16</t>
  </si>
  <si>
    <t>2024-07-04 05:49:13</t>
  </si>
  <si>
    <t>TCK-11495</t>
  </si>
  <si>
    <t>2024-04-29 22:55:31</t>
  </si>
  <si>
    <t>TCK-11496</t>
  </si>
  <si>
    <t>2024-11-09 02:35:58</t>
  </si>
  <si>
    <t>TCK-11497</t>
  </si>
  <si>
    <t>2024-11-19 15:56:40</t>
  </si>
  <si>
    <t>2024-11-20 10:36:46</t>
  </si>
  <si>
    <t>TCK-11498</t>
  </si>
  <si>
    <t>2024-06-20 06:03:31</t>
  </si>
  <si>
    <t>2024-06-21 16:17:10</t>
  </si>
  <si>
    <t>TCK-11499</t>
  </si>
  <si>
    <t>2024-01-19 04:45:02</t>
  </si>
  <si>
    <t>2024-01-19 14:48:03</t>
  </si>
  <si>
    <t>TCK-11500</t>
  </si>
  <si>
    <t>2024-09-05 17:46:16</t>
  </si>
  <si>
    <t>2024-09-05 23:40:11</t>
  </si>
  <si>
    <t>TCK-11501</t>
  </si>
  <si>
    <t>2024-10-28 09:47:15</t>
  </si>
  <si>
    <t>2024-10-28 13:58:58</t>
  </si>
  <si>
    <t>TCK-11502</t>
  </si>
  <si>
    <t>2024-08-10 18:15:36</t>
  </si>
  <si>
    <t>2024-08-11 12:15:36</t>
  </si>
  <si>
    <t>TCK-11503</t>
  </si>
  <si>
    <t>2024-12-04 11:44:53</t>
  </si>
  <si>
    <t>TCK-11504</t>
  </si>
  <si>
    <t>2024-06-22 11:32:00</t>
  </si>
  <si>
    <t>2024-06-22 17:59:33</t>
  </si>
  <si>
    <t>TCK-11505</t>
  </si>
  <si>
    <t>2024-04-10 22:17:44</t>
  </si>
  <si>
    <t>2024-04-11 01:47:25</t>
  </si>
  <si>
    <t>TCK-11506</t>
  </si>
  <si>
    <t>2024-01-19 23:40:55</t>
  </si>
  <si>
    <t>2024-01-20 05:47:27</t>
  </si>
  <si>
    <t>TCK-11507</t>
  </si>
  <si>
    <t>2024-11-06 08:29:33</t>
  </si>
  <si>
    <t>2024-11-06 09:48:22</t>
  </si>
  <si>
    <t>TCK-11508</t>
  </si>
  <si>
    <t>2024-08-05 03:38:45</t>
  </si>
  <si>
    <t>2024-08-05 19:18:33</t>
  </si>
  <si>
    <t>TCK-11509</t>
  </si>
  <si>
    <t>2024-01-29 17:11:17</t>
  </si>
  <si>
    <t>2024-02-01 04:58:13</t>
  </si>
  <si>
    <t>TCK-11510</t>
  </si>
  <si>
    <t>2024-01-29 16:38:58</t>
  </si>
  <si>
    <t>2024-01-29 23:53:57</t>
  </si>
  <si>
    <t>TCK-11511</t>
  </si>
  <si>
    <t>2024-06-05 05:56:05</t>
  </si>
  <si>
    <t>2024-06-05 11:24:17</t>
  </si>
  <si>
    <t>TCK-11512</t>
  </si>
  <si>
    <t>2024-08-15 06:47:00</t>
  </si>
  <si>
    <t>2024-08-15 20:54:06</t>
  </si>
  <si>
    <t>TCK-11513</t>
  </si>
  <si>
    <t>2024-12-08 05:06:00</t>
  </si>
  <si>
    <t>2024-12-08 08:02:05</t>
  </si>
  <si>
    <t>TCK-11514</t>
  </si>
  <si>
    <t>2024-11-24 09:09:32</t>
  </si>
  <si>
    <t>2024-11-24 10:20:28</t>
  </si>
  <si>
    <t>TCK-11515</t>
  </si>
  <si>
    <t>2024-04-27 23:30:27</t>
  </si>
  <si>
    <t>2024-04-28 06:16:31</t>
  </si>
  <si>
    <t>TCK-11516</t>
  </si>
  <si>
    <t>2024-02-18 03:28:09</t>
  </si>
  <si>
    <t>2024-02-18 10:16:37</t>
  </si>
  <si>
    <t>TCK-11517</t>
  </si>
  <si>
    <t>2024-03-18 11:26:16</t>
  </si>
  <si>
    <t>TCK-11518</t>
  </si>
  <si>
    <t>2024-07-16 02:49:02</t>
  </si>
  <si>
    <t>2024-07-17 03:34:22</t>
  </si>
  <si>
    <t>TCK-11519</t>
  </si>
  <si>
    <t>2024-10-18 11:32:53</t>
  </si>
  <si>
    <t>2024-10-19 02:45:49</t>
  </si>
  <si>
    <t>TCK-11520</t>
  </si>
  <si>
    <t>2024-06-26 19:07:03</t>
  </si>
  <si>
    <t>TCK-11521</t>
  </si>
  <si>
    <t>2024-02-09 04:40:58</t>
  </si>
  <si>
    <t>TCK-11522</t>
  </si>
  <si>
    <t>2024-09-10 13:05:51</t>
  </si>
  <si>
    <t>2024-09-10 17:06:09</t>
  </si>
  <si>
    <t>TCK-11523</t>
  </si>
  <si>
    <t>2024-04-17 00:32:23</t>
  </si>
  <si>
    <t>2024-04-17 03:07:44</t>
  </si>
  <si>
    <t>TCK-11524</t>
  </si>
  <si>
    <t>2024-02-24 18:56:54</t>
  </si>
  <si>
    <t>2024-02-27 03:04:51</t>
  </si>
  <si>
    <t>TCK-11525</t>
  </si>
  <si>
    <t>2024-06-10 10:55:40</t>
  </si>
  <si>
    <t>TCK-11526</t>
  </si>
  <si>
    <t>2024-10-15 11:37:50</t>
  </si>
  <si>
    <t>2024-10-16 00:45:24</t>
  </si>
  <si>
    <t>TCK-11527</t>
  </si>
  <si>
    <t>2024-05-25 06:19:41</t>
  </si>
  <si>
    <t>2024-05-26 23:23:30</t>
  </si>
  <si>
    <t>TCK-11528</t>
  </si>
  <si>
    <t>2024-12-04 23:53:30</t>
  </si>
  <si>
    <t>2024-12-05 01:50:45</t>
  </si>
  <si>
    <t>TCK-11529</t>
  </si>
  <si>
    <t>2024-05-15 17:48:23</t>
  </si>
  <si>
    <t>TCK-11530</t>
  </si>
  <si>
    <t>2024-06-29 16:49:56</t>
  </si>
  <si>
    <t>2024-06-30 23:36:57</t>
  </si>
  <si>
    <t>TCK-11531</t>
  </si>
  <si>
    <t>2024-07-01 15:56:08</t>
  </si>
  <si>
    <t>2024-07-06 08:54:02</t>
  </si>
  <si>
    <t>TCK-11532</t>
  </si>
  <si>
    <t>2024-07-10 17:14:41</t>
  </si>
  <si>
    <t>2024-07-11 14:52:02</t>
  </si>
  <si>
    <t>TCK-11533</t>
  </si>
  <si>
    <t>2024-02-02 06:03:24</t>
  </si>
  <si>
    <t>2024-02-02 12:13:22</t>
  </si>
  <si>
    <t>TCK-11534</t>
  </si>
  <si>
    <t>2024-05-07 23:00:50</t>
  </si>
  <si>
    <t>2024-05-09 12:41:47</t>
  </si>
  <si>
    <t>TCK-11535</t>
  </si>
  <si>
    <t>2024-05-07 16:39:35</t>
  </si>
  <si>
    <t>TCK-11536</t>
  </si>
  <si>
    <t>2024-01-14 15:00:10</t>
  </si>
  <si>
    <t>TCK-11537</t>
  </si>
  <si>
    <t>2024-01-06 21:29:17</t>
  </si>
  <si>
    <t>2024-01-07 01:33:26</t>
  </si>
  <si>
    <t>TCK-11538</t>
  </si>
  <si>
    <t>2024-03-14 05:56:26</t>
  </si>
  <si>
    <t>2024-03-14 21:00:55</t>
  </si>
  <si>
    <t>TCK-11539</t>
  </si>
  <si>
    <t>2024-02-16 02:09:13</t>
  </si>
  <si>
    <t>2024-02-17 15:18:03</t>
  </si>
  <si>
    <t>TCK-11540</t>
  </si>
  <si>
    <t>2024-07-08 14:28:45</t>
  </si>
  <si>
    <t>2024-07-08 22:14:29</t>
  </si>
  <si>
    <t>TCK-11541</t>
  </si>
  <si>
    <t>2024-06-14 23:24:12</t>
  </si>
  <si>
    <t>2024-06-15 04:04:13</t>
  </si>
  <si>
    <t>TCK-11542</t>
  </si>
  <si>
    <t>2024-04-25 04:14:56</t>
  </si>
  <si>
    <t>2024-04-26 03:43:22</t>
  </si>
  <si>
    <t>TCK-11543</t>
  </si>
  <si>
    <t>2024-03-12 06:04:14</t>
  </si>
  <si>
    <t>2024-03-13 00:17:56</t>
  </si>
  <si>
    <t>TCK-11544</t>
  </si>
  <si>
    <t>2024-10-16 12:08:09</t>
  </si>
  <si>
    <t>2024-10-17 06:51:40</t>
  </si>
  <si>
    <t>TCK-11545</t>
  </si>
  <si>
    <t>2024-03-30 19:42:11</t>
  </si>
  <si>
    <t>2024-03-31 11:03:18</t>
  </si>
  <si>
    <t>TCK-11546</t>
  </si>
  <si>
    <t>2024-03-29 04:52:21</t>
  </si>
  <si>
    <t>TCK-11547</t>
  </si>
  <si>
    <t>2024-08-25 02:29:41</t>
  </si>
  <si>
    <t>2024-08-28 01:11:05</t>
  </si>
  <si>
    <t>TCK-11548</t>
  </si>
  <si>
    <t>2024-07-01 02:06:53</t>
  </si>
  <si>
    <t>2024-07-01 07:27:28</t>
  </si>
  <si>
    <t>TCK-11549</t>
  </si>
  <si>
    <t>2024-10-12 04:20:50</t>
  </si>
  <si>
    <t>2024-10-12 10:00:58</t>
  </si>
  <si>
    <t>TCK-11550</t>
  </si>
  <si>
    <t>2024-04-04 11:55:10</t>
  </si>
  <si>
    <t>2024-04-04 21:28:03</t>
  </si>
  <si>
    <t>TCK-11551</t>
  </si>
  <si>
    <t>2024-04-17 14:32:13</t>
  </si>
  <si>
    <t>2024-04-17 19:54:29</t>
  </si>
  <si>
    <t>TCK-11552</t>
  </si>
  <si>
    <t>2024-01-05 12:22:28</t>
  </si>
  <si>
    <t>2024-01-05 19:30:39</t>
  </si>
  <si>
    <t>TCK-11553</t>
  </si>
  <si>
    <t>2024-11-15 15:50:08</t>
  </si>
  <si>
    <t>2024-11-16 14:26:22</t>
  </si>
  <si>
    <t>TCK-11554</t>
  </si>
  <si>
    <t>2024-04-16 00:10:54</t>
  </si>
  <si>
    <t>2024-04-16 11:51:16</t>
  </si>
  <si>
    <t>TCK-11555</t>
  </si>
  <si>
    <t>2024-12-02 11:06:06</t>
  </si>
  <si>
    <t>2024-12-04 16:32:12</t>
  </si>
  <si>
    <t>TCK-11556</t>
  </si>
  <si>
    <t>2024-05-21 03:12:18</t>
  </si>
  <si>
    <t>TCK-11557</t>
  </si>
  <si>
    <t>2024-06-13 02:17:15</t>
  </si>
  <si>
    <t>2024-06-13 11:28:53</t>
  </si>
  <si>
    <t>TCK-11558</t>
  </si>
  <si>
    <t>2024-09-16 08:41:24</t>
  </si>
  <si>
    <t>2024-09-16 23:23:38</t>
  </si>
  <si>
    <t>TCK-11559</t>
  </si>
  <si>
    <t>2024-08-17 21:18:22</t>
  </si>
  <si>
    <t>2024-08-18 12:04:52</t>
  </si>
  <si>
    <t>TCK-11560</t>
  </si>
  <si>
    <t>2024-09-16 14:04:57</t>
  </si>
  <si>
    <t>TCK-11561</t>
  </si>
  <si>
    <t>2024-08-11 21:13:07</t>
  </si>
  <si>
    <t>2024-08-11 23:40:17</t>
  </si>
  <si>
    <t>TCK-11562</t>
  </si>
  <si>
    <t>2024-10-06 06:56:19</t>
  </si>
  <si>
    <t>2024-10-07 04:31:07</t>
  </si>
  <si>
    <t>TCK-11563</t>
  </si>
  <si>
    <t>2024-09-01 06:29:14</t>
  </si>
  <si>
    <t>2024-09-02 04:11:04</t>
  </si>
  <si>
    <t>TCK-11564</t>
  </si>
  <si>
    <t>2024-12-23 21:15:48</t>
  </si>
  <si>
    <t>2024-12-24 06:51:06</t>
  </si>
  <si>
    <t>TCK-11565</t>
  </si>
  <si>
    <t>2024-04-17 18:24:05</t>
  </si>
  <si>
    <t>TCK-11566</t>
  </si>
  <si>
    <t>2024-04-12 12:57:23</t>
  </si>
  <si>
    <t>2024-04-13 06:43:26</t>
  </si>
  <si>
    <t>TCK-11567</t>
  </si>
  <si>
    <t>2024-03-08 03:41:48</t>
  </si>
  <si>
    <t>2024-03-09 18:36:54</t>
  </si>
  <si>
    <t>TCK-11568</t>
  </si>
  <si>
    <t>2024-11-18 03:53:11</t>
  </si>
  <si>
    <t>2024-11-18 09:02:05</t>
  </si>
  <si>
    <t>TCK-11569</t>
  </si>
  <si>
    <t>2024-03-19 20:09:58</t>
  </si>
  <si>
    <t>2024-03-20 16:20:25</t>
  </si>
  <si>
    <t>TCK-11570</t>
  </si>
  <si>
    <t>2024-05-05 16:20:21</t>
  </si>
  <si>
    <t>2024-05-05 19:18:43</t>
  </si>
  <si>
    <t>TCK-11571</t>
  </si>
  <si>
    <t>2024-06-03 21:21:38</t>
  </si>
  <si>
    <t>2024-06-06 05:35:52</t>
  </si>
  <si>
    <t>TCK-11572</t>
  </si>
  <si>
    <t>2024-02-26 22:37:56</t>
  </si>
  <si>
    <t>TCK-11573</t>
  </si>
  <si>
    <t>2024-02-10 13:51:52</t>
  </si>
  <si>
    <t>2024-02-12 11:26:29</t>
  </si>
  <si>
    <t>TCK-11574</t>
  </si>
  <si>
    <t>2024-01-17 04:01:49</t>
  </si>
  <si>
    <t>2024-01-18 03:46:09</t>
  </si>
  <si>
    <t>TCK-11575</t>
  </si>
  <si>
    <t>2024-03-29 00:54:46</t>
  </si>
  <si>
    <t>2024-03-31 18:14:42</t>
  </si>
  <si>
    <t>TCK-11576</t>
  </si>
  <si>
    <t>2024-06-19 19:18:34</t>
  </si>
  <si>
    <t>2024-06-21 23:41:43</t>
  </si>
  <si>
    <t>TCK-11577</t>
  </si>
  <si>
    <t>2024-12-11 10:23:27</t>
  </si>
  <si>
    <t>2024-12-12 23:54:04</t>
  </si>
  <si>
    <t>TCK-11578</t>
  </si>
  <si>
    <t>2024-05-21 21:31:17</t>
  </si>
  <si>
    <t>2024-05-24 12:30:35</t>
  </si>
  <si>
    <t>TCK-11579</t>
  </si>
  <si>
    <t>2024-09-30 03:10:01</t>
  </si>
  <si>
    <t>TCK-11580</t>
  </si>
  <si>
    <t>2024-10-31 21:26:49</t>
  </si>
  <si>
    <t>2024-11-03 21:10:16</t>
  </si>
  <si>
    <t>TCK-11581</t>
  </si>
  <si>
    <t>2024-09-30 00:27:39</t>
  </si>
  <si>
    <t>2024-10-01 23:12:00</t>
  </si>
  <si>
    <t>TCK-11582</t>
  </si>
  <si>
    <t>2024-08-17 21:06:20</t>
  </si>
  <si>
    <t>2024-08-18 00:40:46</t>
  </si>
  <si>
    <t>TCK-11583</t>
  </si>
  <si>
    <t>2024-12-03 06:24:18</t>
  </si>
  <si>
    <t>TCK-11584</t>
  </si>
  <si>
    <t>2024-04-17 13:20:55</t>
  </si>
  <si>
    <t>2024-04-18 07:20:29</t>
  </si>
  <si>
    <t>TCK-11585</t>
  </si>
  <si>
    <t>2024-06-03 05:16:50</t>
  </si>
  <si>
    <t>2024-06-03 09:57:20</t>
  </si>
  <si>
    <t>TCK-11586</t>
  </si>
  <si>
    <t>2024-06-07 10:50:18</t>
  </si>
  <si>
    <t>2024-06-07 20:03:52</t>
  </si>
  <si>
    <t>TCK-11587</t>
  </si>
  <si>
    <t>2024-08-16 11:24:33</t>
  </si>
  <si>
    <t>2024-08-16 17:11:25</t>
  </si>
  <si>
    <t>TCK-11588</t>
  </si>
  <si>
    <t>2024-08-21 22:37:25</t>
  </si>
  <si>
    <t>2024-08-22 03:27:41</t>
  </si>
  <si>
    <t>TCK-11589</t>
  </si>
  <si>
    <t>2024-06-06 01:24:28</t>
  </si>
  <si>
    <t>2024-06-06 21:05:31</t>
  </si>
  <si>
    <t>TCK-11590</t>
  </si>
  <si>
    <t>2024-05-01 04:33:04</t>
  </si>
  <si>
    <t>2024-05-01 11:02:36</t>
  </si>
  <si>
    <t>TCK-11591</t>
  </si>
  <si>
    <t>2024-09-08 16:34:36</t>
  </si>
  <si>
    <t>2024-09-09 20:37:36</t>
  </si>
  <si>
    <t>TCK-11592</t>
  </si>
  <si>
    <t>2024-09-22 11:19:09</t>
  </si>
  <si>
    <t>2024-09-22 14:16:59</t>
  </si>
  <si>
    <t>TCK-11593</t>
  </si>
  <si>
    <t>2024-08-07 02:56:22</t>
  </si>
  <si>
    <t>2024-08-07 16:15:28</t>
  </si>
  <si>
    <t>TCK-11594</t>
  </si>
  <si>
    <t>2024-02-07 23:47:11</t>
  </si>
  <si>
    <t>2024-02-12 20:18:08</t>
  </si>
  <si>
    <t>TCK-11595</t>
  </si>
  <si>
    <t>2024-03-10 06:20:43</t>
  </si>
  <si>
    <t>2024-03-13 01:06:52</t>
  </si>
  <si>
    <t>TCK-11596</t>
  </si>
  <si>
    <t>2024-02-17 01:07:10</t>
  </si>
  <si>
    <t>2024-02-18 03:04:25</t>
  </si>
  <si>
    <t>TCK-11597</t>
  </si>
  <si>
    <t>2024-07-12 14:26:38</t>
  </si>
  <si>
    <t>TCK-11598</t>
  </si>
  <si>
    <t>2024-12-26 23:14:22</t>
  </si>
  <si>
    <t>2024-12-27 06:39:44</t>
  </si>
  <si>
    <t>TCK-11599</t>
  </si>
  <si>
    <t>2024-11-13 20:26:57</t>
  </si>
  <si>
    <t>2024-11-15 20:07:58</t>
  </si>
  <si>
    <t>TCK-11600</t>
  </si>
  <si>
    <t>2024-09-13 12:28:37</t>
  </si>
  <si>
    <t>2024-09-14 09:28:44</t>
  </si>
  <si>
    <t>TCK-11601</t>
  </si>
  <si>
    <t>2024-09-30 01:02:00</t>
  </si>
  <si>
    <t>2024-09-30 19:02:00</t>
  </si>
  <si>
    <t>TCK-11602</t>
  </si>
  <si>
    <t>2024-08-31 13:54:18</t>
  </si>
  <si>
    <t>2024-09-01 03:45:16</t>
  </si>
  <si>
    <t>TCK-11603</t>
  </si>
  <si>
    <t>2024-04-29 03:10:19</t>
  </si>
  <si>
    <t>2024-04-29 06:25:16</t>
  </si>
  <si>
    <t>TCK-11604</t>
  </si>
  <si>
    <t>2024-04-29 14:33:51</t>
  </si>
  <si>
    <t>2024-04-29 21:19:14</t>
  </si>
  <si>
    <t>TCK-11605</t>
  </si>
  <si>
    <t>2024-04-27 23:39:38</t>
  </si>
  <si>
    <t>2024-04-28 10:54:36</t>
  </si>
  <si>
    <t>TCK-11606</t>
  </si>
  <si>
    <t>2024-11-26 03:18:41</t>
  </si>
  <si>
    <t>2024-11-27 01:37:55</t>
  </si>
  <si>
    <t>TCK-11607</t>
  </si>
  <si>
    <t>2024-01-29 16:04:08</t>
  </si>
  <si>
    <t>2024-01-30 02:15:04</t>
  </si>
  <si>
    <t>TCK-11608</t>
  </si>
  <si>
    <t>2024-02-15 12:17:01</t>
  </si>
  <si>
    <t>2024-02-21 10:49:25</t>
  </si>
  <si>
    <t>TCK-11609</t>
  </si>
  <si>
    <t>2024-11-17 08:12:41</t>
  </si>
  <si>
    <t>2024-11-17 13:14:21</t>
  </si>
  <si>
    <t>TCK-11610</t>
  </si>
  <si>
    <t>2024-12-24 11:19:11</t>
  </si>
  <si>
    <t>TCK-11611</t>
  </si>
  <si>
    <t>2024-09-11 01:32:10</t>
  </si>
  <si>
    <t>2024-09-11 21:07:33</t>
  </si>
  <si>
    <t>TCK-11612</t>
  </si>
  <si>
    <t>2024-10-29 22:54:23</t>
  </si>
  <si>
    <t>2024-10-30 14:49:51</t>
  </si>
  <si>
    <t>TCK-11613</t>
  </si>
  <si>
    <t>2024-09-04 22:50:07</t>
  </si>
  <si>
    <t>2024-09-05 06:03:03</t>
  </si>
  <si>
    <t>TCK-11614</t>
  </si>
  <si>
    <t>2024-09-21 18:30:00</t>
  </si>
  <si>
    <t>2024-09-23 07:56:17</t>
  </si>
  <si>
    <t>TCK-11615</t>
  </si>
  <si>
    <t>2024-06-02 16:47:34</t>
  </si>
  <si>
    <t>2024-06-03 18:44:10</t>
  </si>
  <si>
    <t>TCK-11616</t>
  </si>
  <si>
    <t>2024-07-05 06:55:26</t>
  </si>
  <si>
    <t>2024-07-05 08:10:55</t>
  </si>
  <si>
    <t>TCK-11617</t>
  </si>
  <si>
    <t>2024-05-24 09:03:22</t>
  </si>
  <si>
    <t>2024-05-25 07:20:09</t>
  </si>
  <si>
    <t>TCK-11618</t>
  </si>
  <si>
    <t>2024-10-08 20:39:08</t>
  </si>
  <si>
    <t>2024-10-08 22:38:44</t>
  </si>
  <si>
    <t>TCK-11619</t>
  </si>
  <si>
    <t>2024-12-16 11:10:28</t>
  </si>
  <si>
    <t>2024-12-17 02:22:10</t>
  </si>
  <si>
    <t>TCK-11620</t>
  </si>
  <si>
    <t>2024-10-07 09:53:41</t>
  </si>
  <si>
    <t>2024-10-07 15:34:52</t>
  </si>
  <si>
    <t>TCK-11621</t>
  </si>
  <si>
    <t>2024-05-03 15:48:49</t>
  </si>
  <si>
    <t>2024-05-03 16:47:28</t>
  </si>
  <si>
    <t>TCK-11622</t>
  </si>
  <si>
    <t>2024-05-24 04:07:07</t>
  </si>
  <si>
    <t>2024-05-24 07:17:06</t>
  </si>
  <si>
    <t>TCK-11623</t>
  </si>
  <si>
    <t>2024-02-16 19:08:42</t>
  </si>
  <si>
    <t>2024-02-18 09:33:50</t>
  </si>
  <si>
    <t>TCK-11624</t>
  </si>
  <si>
    <t>2024-08-10 06:41:25</t>
  </si>
  <si>
    <t>2024-08-10 23:01:15</t>
  </si>
  <si>
    <t>TCK-11625</t>
  </si>
  <si>
    <t>2024-05-14 08:59:46</t>
  </si>
  <si>
    <t>2024-05-17 08:20:51</t>
  </si>
  <si>
    <t>TCK-11626</t>
  </si>
  <si>
    <t>2024-10-11 05:12:49</t>
  </si>
  <si>
    <t>2024-10-11 11:29:26</t>
  </si>
  <si>
    <t>TCK-11627</t>
  </si>
  <si>
    <t>2024-06-27 22:52:39</t>
  </si>
  <si>
    <t>2024-06-28 05:31:21</t>
  </si>
  <si>
    <t>TCK-11628</t>
  </si>
  <si>
    <t>2024-12-09 11:57:07</t>
  </si>
  <si>
    <t>2024-12-10 03:55:32</t>
  </si>
  <si>
    <t>TCK-11629</t>
  </si>
  <si>
    <t>2024-07-25 03:22:07</t>
  </si>
  <si>
    <t>2024-07-25 22:03:14</t>
  </si>
  <si>
    <t>TCK-11630</t>
  </si>
  <si>
    <t>2024-12-15 23:54:38</t>
  </si>
  <si>
    <t>2024-12-16 05:11:37</t>
  </si>
  <si>
    <t>TCK-11631</t>
  </si>
  <si>
    <t>2024-09-10 15:17:36</t>
  </si>
  <si>
    <t>2024-09-11 04:56:52</t>
  </si>
  <si>
    <t>TCK-11632</t>
  </si>
  <si>
    <t>2024-05-29 13:50:49</t>
  </si>
  <si>
    <t>2024-05-30 21:51:37</t>
  </si>
  <si>
    <t>TCK-11633</t>
  </si>
  <si>
    <t>2024-10-17 00:57:36</t>
  </si>
  <si>
    <t>2024-10-17 11:45:01</t>
  </si>
  <si>
    <t>TCK-11634</t>
  </si>
  <si>
    <t>2024-12-03 10:37:36</t>
  </si>
  <si>
    <t>2024-12-03 23:51:02</t>
  </si>
  <si>
    <t>TCK-11635</t>
  </si>
  <si>
    <t>2024-01-15 01:02:06</t>
  </si>
  <si>
    <t>2024-01-16 04:42:13</t>
  </si>
  <si>
    <t>TCK-11636</t>
  </si>
  <si>
    <t>2024-05-02 00:06:38</t>
  </si>
  <si>
    <t>2024-05-03 06:20:18</t>
  </si>
  <si>
    <t>TCK-11637</t>
  </si>
  <si>
    <t>2024-12-17 14:41:31</t>
  </si>
  <si>
    <t>2024-12-18 02:00:44</t>
  </si>
  <si>
    <t>TCK-11638</t>
  </si>
  <si>
    <t>2024-03-04 17:39:47</t>
  </si>
  <si>
    <t>2024-03-05 05:38:32</t>
  </si>
  <si>
    <t>TCK-11639</t>
  </si>
  <si>
    <t>2024-09-25 06:55:40</t>
  </si>
  <si>
    <t>TCK-11640</t>
  </si>
  <si>
    <t>2024-12-19 10:13:00</t>
  </si>
  <si>
    <t>2024-12-20 04:15:58</t>
  </si>
  <si>
    <t>TCK-11641</t>
  </si>
  <si>
    <t>2024-11-13 23:51:44</t>
  </si>
  <si>
    <t>2024-11-14 12:17:39</t>
  </si>
  <si>
    <t>TCK-11642</t>
  </si>
  <si>
    <t>2024-05-13 20:43:00</t>
  </si>
  <si>
    <t>2024-05-15 05:09:12</t>
  </si>
  <si>
    <t>TCK-11643</t>
  </si>
  <si>
    <t>2024-02-13 10:19:56</t>
  </si>
  <si>
    <t>2024-02-15 05:50:30</t>
  </si>
  <si>
    <t>TCK-11644</t>
  </si>
  <si>
    <t>2024-08-22 10:37:12</t>
  </si>
  <si>
    <t>2024-08-24 02:09:04</t>
  </si>
  <si>
    <t>TCK-11645</t>
  </si>
  <si>
    <t>2024-04-19 04:04:49</t>
  </si>
  <si>
    <t>2024-04-20 11:22:33</t>
  </si>
  <si>
    <t>TCK-11646</t>
  </si>
  <si>
    <t>2024-04-12 12:23:40</t>
  </si>
  <si>
    <t>2024-04-13 00:08:21</t>
  </si>
  <si>
    <t>TCK-11647</t>
  </si>
  <si>
    <t>2024-08-02 10:14:49</t>
  </si>
  <si>
    <t>2024-08-02 11:56:28</t>
  </si>
  <si>
    <t>TCK-11648</t>
  </si>
  <si>
    <t>2024-05-27 22:00:52</t>
  </si>
  <si>
    <t>2024-05-28 10:52:16</t>
  </si>
  <si>
    <t>TCK-11649</t>
  </si>
  <si>
    <t>2024-06-14 04:45:33</t>
  </si>
  <si>
    <t>2024-06-14 12:54:16</t>
  </si>
  <si>
    <t>TCK-11650</t>
  </si>
  <si>
    <t>2024-06-24 01:07:53</t>
  </si>
  <si>
    <t>2024-06-24 11:10:30</t>
  </si>
  <si>
    <t>TCK-11651</t>
  </si>
  <si>
    <t>2024-04-04 16:33:39</t>
  </si>
  <si>
    <t>2024-04-04 19:53:50</t>
  </si>
  <si>
    <t>TCK-11652</t>
  </si>
  <si>
    <t>2024-01-06 13:20:13</t>
  </si>
  <si>
    <t>2024-01-07 09:30:44</t>
  </si>
  <si>
    <t>TCK-11653</t>
  </si>
  <si>
    <t>2024-12-05 12:41:29</t>
  </si>
  <si>
    <t>2024-12-05 19:44:01</t>
  </si>
  <si>
    <t>TCK-11654</t>
  </si>
  <si>
    <t>2024-03-13 09:40:57</t>
  </si>
  <si>
    <t>2024-03-13 10:15:08</t>
  </si>
  <si>
    <t>TCK-11655</t>
  </si>
  <si>
    <t>2024-05-04 18:23:26</t>
  </si>
  <si>
    <t>TCK-11656</t>
  </si>
  <si>
    <t>2024-08-23 11:16:33</t>
  </si>
  <si>
    <t>2024-08-23 15:17:55</t>
  </si>
  <si>
    <t>TCK-11657</t>
  </si>
  <si>
    <t>2024-04-12 13:46:33</t>
  </si>
  <si>
    <t>2024-04-12 15:51:20</t>
  </si>
  <si>
    <t>TCK-11658</t>
  </si>
  <si>
    <t>2024-10-21 01:05:55</t>
  </si>
  <si>
    <t>2024-10-21 17:32:34</t>
  </si>
  <si>
    <t>TCK-11659</t>
  </si>
  <si>
    <t>2024-11-16 12:36:14</t>
  </si>
  <si>
    <t>2024-11-16 15:19:03</t>
  </si>
  <si>
    <t>TCK-11660</t>
  </si>
  <si>
    <t>2024-01-25 06:20:09</t>
  </si>
  <si>
    <t>2024-01-25 09:01:39</t>
  </si>
  <si>
    <t>TCK-11661</t>
  </si>
  <si>
    <t>2024-06-22 12:23:15</t>
  </si>
  <si>
    <t>2024-06-22 19:24:25</t>
  </si>
  <si>
    <t>TCK-11662</t>
  </si>
  <si>
    <t>2024-09-20 17:14:26</t>
  </si>
  <si>
    <t>2024-09-21 13:09:16</t>
  </si>
  <si>
    <t>TCK-11663</t>
  </si>
  <si>
    <t>2024-07-09 06:37:31</t>
  </si>
  <si>
    <t>2024-07-09 09:49:29</t>
  </si>
  <si>
    <t>TCK-11664</t>
  </si>
  <si>
    <t>2024-06-28 14:47:55</t>
  </si>
  <si>
    <t>2024-06-28 16:38:12</t>
  </si>
  <si>
    <t>TCK-11665</t>
  </si>
  <si>
    <t>2024-05-30 01:43:06</t>
  </si>
  <si>
    <t>2024-05-31 09:54:34</t>
  </si>
  <si>
    <t>TCK-11666</t>
  </si>
  <si>
    <t>2024-06-18 00:43:36</t>
  </si>
  <si>
    <t>2024-06-18 05:03:41</t>
  </si>
  <si>
    <t>TCK-11667</t>
  </si>
  <si>
    <t>2024-02-28 13:10:03</t>
  </si>
  <si>
    <t>2024-02-29 10:53:13</t>
  </si>
  <si>
    <t>TCK-11668</t>
  </si>
  <si>
    <t>2024-03-15 02:25:32</t>
  </si>
  <si>
    <t>TCK-11669</t>
  </si>
  <si>
    <t>2024-03-03 09:38:11</t>
  </si>
  <si>
    <t>2024-03-03 21:45:39</t>
  </si>
  <si>
    <t>TCK-11670</t>
  </si>
  <si>
    <t>2024-04-01 15:46:45</t>
  </si>
  <si>
    <t>2024-04-03 22:32:01</t>
  </si>
  <si>
    <t>TCK-11671</t>
  </si>
  <si>
    <t>2024-04-30 23:06:46</t>
  </si>
  <si>
    <t>2024-05-01 16:17:52</t>
  </si>
  <si>
    <t>TCK-11672</t>
  </si>
  <si>
    <t>2024-12-01 21:58:22</t>
  </si>
  <si>
    <t>2024-12-02 00:26:46</t>
  </si>
  <si>
    <t>TCK-11673</t>
  </si>
  <si>
    <t>2024-09-24 15:15:04</t>
  </si>
  <si>
    <t>TCK-11674</t>
  </si>
  <si>
    <t>2024-07-04 06:23:27</t>
  </si>
  <si>
    <t>2024-07-07 04:46:30</t>
  </si>
  <si>
    <t>TCK-11675</t>
  </si>
  <si>
    <t>2024-08-10 13:59:21</t>
  </si>
  <si>
    <t>2024-08-11 14:43:24</t>
  </si>
  <si>
    <t>TCK-11676</t>
  </si>
  <si>
    <t>2024-01-08 20:47:45</t>
  </si>
  <si>
    <t>2024-01-09 00:56:03</t>
  </si>
  <si>
    <t>TCK-11677</t>
  </si>
  <si>
    <t>2024-12-12 07:53:18</t>
  </si>
  <si>
    <t>2024-12-13 20:06:07</t>
  </si>
  <si>
    <t>TCK-11678</t>
  </si>
  <si>
    <t>2024-05-21 14:41:53</t>
  </si>
  <si>
    <t>2024-05-23 05:09:05</t>
  </si>
  <si>
    <t>TCK-11679</t>
  </si>
  <si>
    <t>2024-02-27 01:56:20</t>
  </si>
  <si>
    <t>2024-02-27 21:09:04</t>
  </si>
  <si>
    <t>TCK-11680</t>
  </si>
  <si>
    <t>2024-12-25 01:35:36</t>
  </si>
  <si>
    <t>2024-12-25 14:16:39</t>
  </si>
  <si>
    <t>TCK-11681</t>
  </si>
  <si>
    <t>2024-05-26 08:39:25</t>
  </si>
  <si>
    <t>2024-05-26 11:34:21</t>
  </si>
  <si>
    <t>TCK-11682</t>
  </si>
  <si>
    <t>2024-10-23 09:50:14</t>
  </si>
  <si>
    <t>2024-10-24 00:21:05</t>
  </si>
  <si>
    <t>TCK-11683</t>
  </si>
  <si>
    <t>2024-02-12 04:15:17</t>
  </si>
  <si>
    <t>2024-02-13 08:58:59</t>
  </si>
  <si>
    <t>TCK-11684</t>
  </si>
  <si>
    <t>2024-01-07 22:02:36</t>
  </si>
  <si>
    <t>2024-01-08 03:44:33</t>
  </si>
  <si>
    <t>TCK-11685</t>
  </si>
  <si>
    <t>2024-09-01 13:40:58</t>
  </si>
  <si>
    <t>2024-09-02 05:12:45</t>
  </si>
  <si>
    <t>TCK-11686</t>
  </si>
  <si>
    <t>2024-10-21 03:00:38</t>
  </si>
  <si>
    <t>2024-10-21 06:42:49</t>
  </si>
  <si>
    <t>TCK-11687</t>
  </si>
  <si>
    <t>2024-02-29 04:44:02</t>
  </si>
  <si>
    <t>2024-02-29 18:24:32</t>
  </si>
  <si>
    <t>TCK-11688</t>
  </si>
  <si>
    <t>2024-10-18 22:26:08</t>
  </si>
  <si>
    <t>2024-10-19 01:11:49</t>
  </si>
  <si>
    <t>TCK-11689</t>
  </si>
  <si>
    <t>2024-02-05 01:57:19</t>
  </si>
  <si>
    <t>2024-02-06 10:38:34</t>
  </si>
  <si>
    <t>TCK-11690</t>
  </si>
  <si>
    <t>2024-09-07 00:17:10</t>
  </si>
  <si>
    <t>2024-09-07 11:18:48</t>
  </si>
  <si>
    <t>TCK-11691</t>
  </si>
  <si>
    <t>2024-07-13 17:46:47</t>
  </si>
  <si>
    <t>2024-07-13 18:44:22</t>
  </si>
  <si>
    <t>TCK-11692</t>
  </si>
  <si>
    <t>2024-06-10 11:30:32</t>
  </si>
  <si>
    <t>2024-06-10 14:03:17</t>
  </si>
  <si>
    <t>TCK-11693</t>
  </si>
  <si>
    <t>2024-08-14 04:44:54</t>
  </si>
  <si>
    <t>2024-08-15 22:53:18</t>
  </si>
  <si>
    <t>TCK-11694</t>
  </si>
  <si>
    <t>2024-04-19 14:59:52</t>
  </si>
  <si>
    <t>2024-04-19 17:32:25</t>
  </si>
  <si>
    <t>TCK-11695</t>
  </si>
  <si>
    <t>2024-12-15 01:17:48</t>
  </si>
  <si>
    <t>2024-12-15 06:31:34</t>
  </si>
  <si>
    <t>TCK-11696</t>
  </si>
  <si>
    <t>2024-06-06 21:18:45</t>
  </si>
  <si>
    <t>2024-06-07 08:50:05</t>
  </si>
  <si>
    <t>TCK-11697</t>
  </si>
  <si>
    <t>2024-10-17 13:05:22</t>
  </si>
  <si>
    <t>2024-10-17 14:15:32</t>
  </si>
  <si>
    <t>TCK-11698</t>
  </si>
  <si>
    <t>2024-08-08 11:23:35</t>
  </si>
  <si>
    <t>2024-08-10 02:02:24</t>
  </si>
  <si>
    <t>TCK-11699</t>
  </si>
  <si>
    <t>2024-03-21 11:20:47</t>
  </si>
  <si>
    <t>TCK-11700</t>
  </si>
  <si>
    <t>2024-08-22 01:18:12</t>
  </si>
  <si>
    <t>2024-08-22 17:18:38</t>
  </si>
  <si>
    <t>TCK-11701</t>
  </si>
  <si>
    <t>2024-01-31 11:58:31</t>
  </si>
  <si>
    <t>2024-01-31 19:58:10</t>
  </si>
  <si>
    <t>TCK-11702</t>
  </si>
  <si>
    <t>2024-06-22 04:15:56</t>
  </si>
  <si>
    <t>2024-06-22 10:33:27</t>
  </si>
  <si>
    <t>TCK-11703</t>
  </si>
  <si>
    <t>2024-12-06 17:03:22</t>
  </si>
  <si>
    <t>2024-12-08 08:23:31</t>
  </si>
  <si>
    <t>TCK-11704</t>
  </si>
  <si>
    <t>2024-12-27 13:24:01</t>
  </si>
  <si>
    <t>TCK-11705</t>
  </si>
  <si>
    <t>2024-10-16 09:00:39</t>
  </si>
  <si>
    <t>2024-10-16 23:23:26</t>
  </si>
  <si>
    <t>TCK-11706</t>
  </si>
  <si>
    <t>2024-08-13 11:54:48</t>
  </si>
  <si>
    <t>2024-08-14 04:25:33</t>
  </si>
  <si>
    <t>TCK-11707</t>
  </si>
  <si>
    <t>2024-06-03 17:19:53</t>
  </si>
  <si>
    <t>TCK-11708</t>
  </si>
  <si>
    <t>2024-01-18 10:25:26</t>
  </si>
  <si>
    <t>2024-01-19 05:11:00</t>
  </si>
  <si>
    <t>TCK-11709</t>
  </si>
  <si>
    <t>2024-04-15 22:52:25</t>
  </si>
  <si>
    <t>TCK-11710</t>
  </si>
  <si>
    <t>2024-01-18 11:15:25</t>
  </si>
  <si>
    <t>TCK-11711</t>
  </si>
  <si>
    <t>2024-07-09 01:24:26</t>
  </si>
  <si>
    <t>2024-07-09 13:06:53</t>
  </si>
  <si>
    <t>TCK-11712</t>
  </si>
  <si>
    <t>2024-03-04 23:36:34</t>
  </si>
  <si>
    <t>2024-03-05 09:05:02</t>
  </si>
  <si>
    <t>TCK-11713</t>
  </si>
  <si>
    <t>2024-06-05 08:51:12</t>
  </si>
  <si>
    <t>2024-06-05 21:20:28</t>
  </si>
  <si>
    <t>TCK-11714</t>
  </si>
  <si>
    <t>2024-05-20 06:30:29</t>
  </si>
  <si>
    <t>2024-05-21 06:20:36</t>
  </si>
  <si>
    <t>TCK-11715</t>
  </si>
  <si>
    <t>2024-12-01 00:33:28</t>
  </si>
  <si>
    <t>TCK-11716</t>
  </si>
  <si>
    <t>2024-08-31 02:00:27</t>
  </si>
  <si>
    <t>2024-08-31 04:12:25</t>
  </si>
  <si>
    <t>TCK-11717</t>
  </si>
  <si>
    <t>2024-02-02 01:54:13</t>
  </si>
  <si>
    <t>2024-02-02 06:52:06</t>
  </si>
  <si>
    <t>TCK-11718</t>
  </si>
  <si>
    <t>2024-09-15 10:51:54</t>
  </si>
  <si>
    <t>2024-09-17 00:10:44</t>
  </si>
  <si>
    <t>TCK-11719</t>
  </si>
  <si>
    <t>2024-06-02 17:17:55</t>
  </si>
  <si>
    <t>2024-06-03 11:01:49</t>
  </si>
  <si>
    <t>TCK-11720</t>
  </si>
  <si>
    <t>2024-09-06 01:36:25</t>
  </si>
  <si>
    <t>2024-09-06 14:17:56</t>
  </si>
  <si>
    <t>TCK-11721</t>
  </si>
  <si>
    <t>2024-02-26 09:29:28</t>
  </si>
  <si>
    <t>2024-02-26 22:49:41</t>
  </si>
  <si>
    <t>TCK-11722</t>
  </si>
  <si>
    <t>2024-11-12 15:38:15</t>
  </si>
  <si>
    <t>2024-11-13 10:39:10</t>
  </si>
  <si>
    <t>TCK-11723</t>
  </si>
  <si>
    <t>2024-06-25 02:31:54</t>
  </si>
  <si>
    <t>2024-06-25 19:34:49</t>
  </si>
  <si>
    <t>TCK-11724</t>
  </si>
  <si>
    <t>2024-03-22 06:52:47</t>
  </si>
  <si>
    <t>2024-03-22 11:01:14</t>
  </si>
  <si>
    <t>TCK-11725</t>
  </si>
  <si>
    <t>2024-05-04 11:11:05</t>
  </si>
  <si>
    <t>2024-05-04 22:12:28</t>
  </si>
  <si>
    <t>TCK-11726</t>
  </si>
  <si>
    <t>2024-12-08 08:07:12</t>
  </si>
  <si>
    <t>2024-12-10 20:50:36</t>
  </si>
  <si>
    <t>TCK-11727</t>
  </si>
  <si>
    <t>2024-04-08 06:16:04</t>
  </si>
  <si>
    <t>2024-04-08 20:58:53</t>
  </si>
  <si>
    <t>TCK-11728</t>
  </si>
  <si>
    <t>2024-05-05 17:23:23</t>
  </si>
  <si>
    <t>2024-05-05 22:50:23</t>
  </si>
  <si>
    <t>TCK-11729</t>
  </si>
  <si>
    <t>2024-09-19 13:43:04</t>
  </si>
  <si>
    <t>2024-09-20 06:20:21</t>
  </si>
  <si>
    <t>TCK-11730</t>
  </si>
  <si>
    <t>2024-12-25 13:26:34</t>
  </si>
  <si>
    <t>2024-12-25 19:23:26</t>
  </si>
  <si>
    <t>TCK-11731</t>
  </si>
  <si>
    <t>2024-11-27 19:42:35</t>
  </si>
  <si>
    <t>2024-11-28 02:12:13</t>
  </si>
  <si>
    <t>TCK-11732</t>
  </si>
  <si>
    <t>2024-07-08 04:09:17</t>
  </si>
  <si>
    <t>2024-07-08 07:16:01</t>
  </si>
  <si>
    <t>TCK-11733</t>
  </si>
  <si>
    <t>2024-11-24 16:59:21</t>
  </si>
  <si>
    <t>2024-11-25 15:21:23</t>
  </si>
  <si>
    <t>TCK-11734</t>
  </si>
  <si>
    <t>2024-01-10 12:41:48</t>
  </si>
  <si>
    <t>2024-01-12 07:07:57</t>
  </si>
  <si>
    <t>TCK-11735</t>
  </si>
  <si>
    <t>2024-06-11 21:51:50</t>
  </si>
  <si>
    <t>2024-06-12 05:37:28</t>
  </si>
  <si>
    <t>TCK-11736</t>
  </si>
  <si>
    <t>2024-05-19 05:28:13</t>
  </si>
  <si>
    <t>2024-05-19 19:30:24</t>
  </si>
  <si>
    <t>TCK-11737</t>
  </si>
  <si>
    <t>2024-06-22 13:58:23</t>
  </si>
  <si>
    <t>2024-06-24 21:53:10</t>
  </si>
  <si>
    <t>TCK-11738</t>
  </si>
  <si>
    <t>2024-02-15 07:47:55</t>
  </si>
  <si>
    <t>2024-02-15 10:25:37</t>
  </si>
  <si>
    <t>TCK-11739</t>
  </si>
  <si>
    <t>2024-11-02 09:30:14</t>
  </si>
  <si>
    <t>2024-11-02 12:39:46</t>
  </si>
  <si>
    <t>TCK-11740</t>
  </si>
  <si>
    <t>2024-04-04 23:13:34</t>
  </si>
  <si>
    <t>2024-04-05 08:04:02</t>
  </si>
  <si>
    <t>TCK-11741</t>
  </si>
  <si>
    <t>2024-09-03 07:41:01</t>
  </si>
  <si>
    <t>2024-09-04 15:41:18</t>
  </si>
  <si>
    <t>TCK-11742</t>
  </si>
  <si>
    <t>2024-07-04 20:22:42</t>
  </si>
  <si>
    <t>2024-07-05 15:54:34</t>
  </si>
  <si>
    <t>TCK-11743</t>
  </si>
  <si>
    <t>2024-03-28 20:20:24</t>
  </si>
  <si>
    <t>2024-03-29 02:16:07</t>
  </si>
  <si>
    <t>TCK-11744</t>
  </si>
  <si>
    <t>2024-12-27 19:29:53</t>
  </si>
  <si>
    <t>TCK-11745</t>
  </si>
  <si>
    <t>2024-07-05 12:00:47</t>
  </si>
  <si>
    <t>2024-07-06 06:00:47</t>
  </si>
  <si>
    <t>TCK-11746</t>
  </si>
  <si>
    <t>2024-07-12 09:37:11</t>
  </si>
  <si>
    <t>2024-07-13 06:12:33</t>
  </si>
  <si>
    <t>TCK-11747</t>
  </si>
  <si>
    <t>2024-09-06 10:16:56</t>
  </si>
  <si>
    <t>2024-09-06 17:08:44</t>
  </si>
  <si>
    <t>TCK-11748</t>
  </si>
  <si>
    <t>2024-08-23 09:45:59</t>
  </si>
  <si>
    <t>2024-08-23 16:16:30</t>
  </si>
  <si>
    <t>TCK-11749</t>
  </si>
  <si>
    <t>2024-08-05 21:19:39</t>
  </si>
  <si>
    <t>2024-08-06 22:06:22</t>
  </si>
  <si>
    <t>TCK-11750</t>
  </si>
  <si>
    <t>2024-07-20 02:46:00</t>
  </si>
  <si>
    <t>2024-07-20 09:48:52</t>
  </si>
  <si>
    <t>TCK-11751</t>
  </si>
  <si>
    <t>2024-05-06 05:25:50</t>
  </si>
  <si>
    <t>2024-05-07 13:48:55</t>
  </si>
  <si>
    <t>TCK-11752</t>
  </si>
  <si>
    <t>2024-08-20 11:31:54</t>
  </si>
  <si>
    <t>2024-08-20 17:48:25</t>
  </si>
  <si>
    <t>TCK-11753</t>
  </si>
  <si>
    <t>2024-10-04 02:06:34</t>
  </si>
  <si>
    <t>2024-10-04 19:15:12</t>
  </si>
  <si>
    <t>TCK-11754</t>
  </si>
  <si>
    <t>2024-04-06 06:27:35</t>
  </si>
  <si>
    <t>2024-04-06 09:48:34</t>
  </si>
  <si>
    <t>TCK-11755</t>
  </si>
  <si>
    <t>2024-10-05 19:18:38</t>
  </si>
  <si>
    <t>2024-10-05 21:49:40</t>
  </si>
  <si>
    <t>TCK-11756</t>
  </si>
  <si>
    <t>2024-11-12 02:46:36</t>
  </si>
  <si>
    <t>2024-11-12 15:16:32</t>
  </si>
  <si>
    <t>TCK-11757</t>
  </si>
  <si>
    <t>2024-08-02 04:22:32</t>
  </si>
  <si>
    <t>2024-08-02 15:30:02</t>
  </si>
  <si>
    <t>TCK-11758</t>
  </si>
  <si>
    <t>2024-08-19 12:20:06</t>
  </si>
  <si>
    <t>2024-08-19 18:18:13</t>
  </si>
  <si>
    <t>TCK-11759</t>
  </si>
  <si>
    <t>2024-01-17 06:28:13</t>
  </si>
  <si>
    <t>2024-01-19 01:02:26</t>
  </si>
  <si>
    <t>TCK-11760</t>
  </si>
  <si>
    <t>2024-03-20 21:44:19</t>
  </si>
  <si>
    <t>2024-03-21 07:33:04</t>
  </si>
  <si>
    <t>TCK-11761</t>
  </si>
  <si>
    <t>2024-04-03 19:18:09</t>
  </si>
  <si>
    <t>TCK-11762</t>
  </si>
  <si>
    <t>2024-05-17 15:20:17</t>
  </si>
  <si>
    <t>2024-05-19 05:00:39</t>
  </si>
  <si>
    <t>TCK-11763</t>
  </si>
  <si>
    <t>2024-03-20 05:24:47</t>
  </si>
  <si>
    <t>2024-03-21 03:41:03</t>
  </si>
  <si>
    <t>TCK-11764</t>
  </si>
  <si>
    <t>2024-02-18 17:00:50</t>
  </si>
  <si>
    <t>2024-02-18 18:00:14</t>
  </si>
  <si>
    <t>TCK-11765</t>
  </si>
  <si>
    <t>2024-02-12 00:55:06</t>
  </si>
  <si>
    <t>2024-02-12 08:35:54</t>
  </si>
  <si>
    <t>TCK-11766</t>
  </si>
  <si>
    <t>2024-11-25 09:14:33</t>
  </si>
  <si>
    <t>2024-11-25 11:44:01</t>
  </si>
  <si>
    <t>TCK-11767</t>
  </si>
  <si>
    <t>2024-07-29 12:57:06</t>
  </si>
  <si>
    <t>TCK-11768</t>
  </si>
  <si>
    <t>2024-08-27 10:09:37</t>
  </si>
  <si>
    <t>2024-08-28 05:38:01</t>
  </si>
  <si>
    <t>TCK-11769</t>
  </si>
  <si>
    <t>2024-03-06 17:25:50</t>
  </si>
  <si>
    <t>2024-03-07 01:45:37</t>
  </si>
  <si>
    <t>TCK-11770</t>
  </si>
  <si>
    <t>2024-08-21 12:27:56</t>
  </si>
  <si>
    <t>2024-08-22 22:21:31</t>
  </si>
  <si>
    <t>TCK-11771</t>
  </si>
  <si>
    <t>2024-08-10 08:13:29</t>
  </si>
  <si>
    <t>2024-08-10 18:01:13</t>
  </si>
  <si>
    <t>TCK-11772</t>
  </si>
  <si>
    <t>2024-03-30 02:18:14</t>
  </si>
  <si>
    <t>2024-03-30 07:05:06</t>
  </si>
  <si>
    <t>TCK-11773</t>
  </si>
  <si>
    <t>2024-07-25 12:41:14</t>
  </si>
  <si>
    <t>2024-07-26 22:20:13</t>
  </si>
  <si>
    <t>TCK-11774</t>
  </si>
  <si>
    <t>2024-08-27 08:24:33</t>
  </si>
  <si>
    <t>TCK-11775</t>
  </si>
  <si>
    <t>2024-06-25 07:12:21</t>
  </si>
  <si>
    <t>2024-06-25 10:47:24</t>
  </si>
  <si>
    <t>TCK-11776</t>
  </si>
  <si>
    <t>2024-01-27 06:25:28</t>
  </si>
  <si>
    <t>2024-01-27 13:42:37</t>
  </si>
  <si>
    <t>TCK-11777</t>
  </si>
  <si>
    <t>2024-03-09 15:54:58</t>
  </si>
  <si>
    <t>2024-03-09 18:02:41</t>
  </si>
  <si>
    <t>TCK-11778</t>
  </si>
  <si>
    <t>2024-01-27 12:02:48</t>
  </si>
  <si>
    <t>2024-01-28 05:58:05</t>
  </si>
  <si>
    <t>TCK-11779</t>
  </si>
  <si>
    <t>2024-02-29 15:26:26</t>
  </si>
  <si>
    <t>2024-03-01 04:18:38</t>
  </si>
  <si>
    <t>TCK-11780</t>
  </si>
  <si>
    <t>2024-07-15 06:22:17</t>
  </si>
  <si>
    <t>2024-07-18 07:24:56</t>
  </si>
  <si>
    <t>TCK-11781</t>
  </si>
  <si>
    <t>2024-05-22 22:28:00</t>
  </si>
  <si>
    <t>2024-05-23 05:55:48</t>
  </si>
  <si>
    <t>TCK-11782</t>
  </si>
  <si>
    <t>2024-10-20 08:34:35</t>
  </si>
  <si>
    <t>2024-10-20 10:38:32</t>
  </si>
  <si>
    <t>TCK-11783</t>
  </si>
  <si>
    <t>2024-08-02 01:18:52</t>
  </si>
  <si>
    <t>TCK-11784</t>
  </si>
  <si>
    <t>2024-07-21 03:32:46</t>
  </si>
  <si>
    <t>2024-07-21 16:12:37</t>
  </si>
  <si>
    <t>TCK-11785</t>
  </si>
  <si>
    <t>2024-11-08 21:38:26</t>
  </si>
  <si>
    <t>2024-11-09 04:49:28</t>
  </si>
  <si>
    <t>TCK-11786</t>
  </si>
  <si>
    <t>2024-01-10 14:32:20</t>
  </si>
  <si>
    <t>2024-01-10 16:20:22</t>
  </si>
  <si>
    <t>TCK-11787</t>
  </si>
  <si>
    <t>2024-11-03 08:13:13</t>
  </si>
  <si>
    <t>2024-11-03 15:15:09</t>
  </si>
  <si>
    <t>TCK-11788</t>
  </si>
  <si>
    <t>2024-07-08 09:04:46</t>
  </si>
  <si>
    <t>2024-07-08 12:31:36</t>
  </si>
  <si>
    <t>TCK-11789</t>
  </si>
  <si>
    <t>2024-12-14 17:00:29</t>
  </si>
  <si>
    <t>2024-12-17 11:43:18</t>
  </si>
  <si>
    <t>TCK-11790</t>
  </si>
  <si>
    <t>2024-01-31 16:09:48</t>
  </si>
  <si>
    <t>2024-02-03 10:00:54</t>
  </si>
  <si>
    <t>TCK-11791</t>
  </si>
  <si>
    <t>2024-05-17 05:22:27</t>
  </si>
  <si>
    <t>2024-05-17 11:14:08</t>
  </si>
  <si>
    <t>TCK-11792</t>
  </si>
  <si>
    <t>2024-01-24 14:11:13</t>
  </si>
  <si>
    <t>2024-01-24 17:18:06</t>
  </si>
  <si>
    <t>TCK-11793</t>
  </si>
  <si>
    <t>2024-08-29 19:20:28</t>
  </si>
  <si>
    <t>2024-08-29 23:27:22</t>
  </si>
  <si>
    <t>TCK-11794</t>
  </si>
  <si>
    <t>2024-01-15 08:59:51</t>
  </si>
  <si>
    <t>2024-01-18 05:51:34</t>
  </si>
  <si>
    <t>TCK-11795</t>
  </si>
  <si>
    <t>2024-09-13 21:23:23</t>
  </si>
  <si>
    <t>2024-09-15 02:57:03</t>
  </si>
  <si>
    <t>TCK-11796</t>
  </si>
  <si>
    <t>2024-06-02 12:04:08</t>
  </si>
  <si>
    <t>TCK-11797</t>
  </si>
  <si>
    <t>2024-02-29 05:26:50</t>
  </si>
  <si>
    <t>TCK-11798</t>
  </si>
  <si>
    <t>2024-03-04 18:55:06</t>
  </si>
  <si>
    <t>2024-03-07 12:49:07</t>
  </si>
  <si>
    <t>TCK-11799</t>
  </si>
  <si>
    <t>2024-02-14 16:45:58</t>
  </si>
  <si>
    <t>2024-02-14 18:45:37</t>
  </si>
  <si>
    <t>TCK-11800</t>
  </si>
  <si>
    <t>2024-08-12 10:26:05</t>
  </si>
  <si>
    <t>2024-08-13 02:27:24</t>
  </si>
  <si>
    <t>TCK-11801</t>
  </si>
  <si>
    <t>2024-08-17 09:08:38</t>
  </si>
  <si>
    <t>2024-08-17 21:24:18</t>
  </si>
  <si>
    <t>TCK-11802</t>
  </si>
  <si>
    <t>2024-07-16 22:41:10</t>
  </si>
  <si>
    <t>TCK-11803</t>
  </si>
  <si>
    <t>2024-04-26 23:23:41</t>
  </si>
  <si>
    <t>2024-04-28 16:07:44</t>
  </si>
  <si>
    <t>TCK-11804</t>
  </si>
  <si>
    <t>2024-12-17 20:50:21</t>
  </si>
  <si>
    <t>2024-12-18 00:29:25</t>
  </si>
  <si>
    <t>TCK-11805</t>
  </si>
  <si>
    <t>2024-02-01 20:10:44</t>
  </si>
  <si>
    <t>TCK-11806</t>
  </si>
  <si>
    <t>2024-01-23 10:22:29</t>
  </si>
  <si>
    <t>2024-01-24 07:54:05</t>
  </si>
  <si>
    <t>TCK-11807</t>
  </si>
  <si>
    <t>2024-04-01 20:43:06</t>
  </si>
  <si>
    <t>2024-04-02 03:54:52</t>
  </si>
  <si>
    <t>TCK-11808</t>
  </si>
  <si>
    <t>2024-11-08 18:45:30</t>
  </si>
  <si>
    <t>2024-11-08 20:06:59</t>
  </si>
  <si>
    <t>TCK-11809</t>
  </si>
  <si>
    <t>2024-01-04 15:07:52</t>
  </si>
  <si>
    <t>2024-01-04 23:33:49</t>
  </si>
  <si>
    <t>TCK-11810</t>
  </si>
  <si>
    <t>2024-02-22 04:09:16</t>
  </si>
  <si>
    <t>2024-02-22 11:01:33</t>
  </si>
  <si>
    <t>TCK-11811</t>
  </si>
  <si>
    <t>2024-01-16 10:58:04</t>
  </si>
  <si>
    <t>2024-01-21 15:16:08</t>
  </si>
  <si>
    <t>TCK-11812</t>
  </si>
  <si>
    <t>2024-11-16 10:00:58</t>
  </si>
  <si>
    <t>2024-11-18 00:45:13</t>
  </si>
  <si>
    <t>TCK-11813</t>
  </si>
  <si>
    <t>2024-01-26 13:18:29</t>
  </si>
  <si>
    <t>2024-01-27 01:50:05</t>
  </si>
  <si>
    <t>TCK-11814</t>
  </si>
  <si>
    <t>2024-04-20 12:14:52</t>
  </si>
  <si>
    <t>2024-04-20 15:53:00</t>
  </si>
  <si>
    <t>TCK-11815</t>
  </si>
  <si>
    <t>2024-09-11 02:57:46</t>
  </si>
  <si>
    <t>2024-09-11 14:46:22</t>
  </si>
  <si>
    <t>TCK-11816</t>
  </si>
  <si>
    <t>2024-01-15 14:58:44</t>
  </si>
  <si>
    <t>TCK-11817</t>
  </si>
  <si>
    <t>2024-10-26 12:20:17</t>
  </si>
  <si>
    <t>2024-10-26 19:27:40</t>
  </si>
  <si>
    <t>TCK-11818</t>
  </si>
  <si>
    <t>2024-09-18 04:08:41</t>
  </si>
  <si>
    <t>2024-09-18 14:31:00</t>
  </si>
  <si>
    <t>TCK-11819</t>
  </si>
  <si>
    <t>2024-01-20 07:53:40</t>
  </si>
  <si>
    <t>2024-01-20 10:31:57</t>
  </si>
  <si>
    <t>TCK-11820</t>
  </si>
  <si>
    <t>2024-10-02 17:40:47</t>
  </si>
  <si>
    <t>TCK-11821</t>
  </si>
  <si>
    <t>2024-06-13 08:34:20</t>
  </si>
  <si>
    <t>2024-06-14 17:27:20</t>
  </si>
  <si>
    <t>TCK-11822</t>
  </si>
  <si>
    <t>2024-02-06 12:50:21</t>
  </si>
  <si>
    <t>2024-02-07 03:33:33</t>
  </si>
  <si>
    <t>TCK-11823</t>
  </si>
  <si>
    <t>2024-12-18 16:42:47</t>
  </si>
  <si>
    <t>2024-12-18 22:57:16</t>
  </si>
  <si>
    <t>TCK-11824</t>
  </si>
  <si>
    <t>2024-01-02 09:30:48</t>
  </si>
  <si>
    <t>2024-01-02 14:47:32</t>
  </si>
  <si>
    <t>TCK-11825</t>
  </si>
  <si>
    <t>2024-07-15 10:45:55</t>
  </si>
  <si>
    <t>2024-07-15 14:31:22</t>
  </si>
  <si>
    <t>TCK-11826</t>
  </si>
  <si>
    <t>2024-11-07 03:08:42</t>
  </si>
  <si>
    <t>2024-11-07 10:54:18</t>
  </si>
  <si>
    <t>TCK-11827</t>
  </si>
  <si>
    <t>2024-01-08 06:58:44</t>
  </si>
  <si>
    <t>2024-01-08 18:50:06</t>
  </si>
  <si>
    <t>TCK-11828</t>
  </si>
  <si>
    <t>2024-08-10 10:28:20</t>
  </si>
  <si>
    <t>2024-08-10 15:42:22</t>
  </si>
  <si>
    <t>TCK-11829</t>
  </si>
  <si>
    <t>2024-03-30 10:50:33</t>
  </si>
  <si>
    <t>2024-03-30 17:46:02</t>
  </si>
  <si>
    <t>TCK-11830</t>
  </si>
  <si>
    <t>2024-04-03 03:27:17</t>
  </si>
  <si>
    <t>2024-04-06 00:38:34</t>
  </si>
  <si>
    <t>TCK-11831</t>
  </si>
  <si>
    <t>2024-12-03 15:26:05</t>
  </si>
  <si>
    <t>2024-12-04 19:54:21</t>
  </si>
  <si>
    <t>TCK-11832</t>
  </si>
  <si>
    <t>2024-08-02 20:21:41</t>
  </si>
  <si>
    <t>2024-08-03 00:52:04</t>
  </si>
  <si>
    <t>TCK-11833</t>
  </si>
  <si>
    <t>2024-09-23 09:26:45</t>
  </si>
  <si>
    <t>2024-09-24 03:08:01</t>
  </si>
  <si>
    <t>TCK-11834</t>
  </si>
  <si>
    <t>2024-09-12 15:56:41</t>
  </si>
  <si>
    <t>2024-09-12 17:24:30</t>
  </si>
  <si>
    <t>TCK-11835</t>
  </si>
  <si>
    <t>2024-04-30 12:40:42</t>
  </si>
  <si>
    <t>TCK-11836</t>
  </si>
  <si>
    <t>2024-12-05 11:00:40</t>
  </si>
  <si>
    <t>2024-12-05 18:13:58</t>
  </si>
  <si>
    <t>TCK-11837</t>
  </si>
  <si>
    <t>2024-02-14 08:41:31</t>
  </si>
  <si>
    <t>2024-02-15 00:43:08</t>
  </si>
  <si>
    <t>TCK-11838</t>
  </si>
  <si>
    <t>2024-02-02 16:06:53</t>
  </si>
  <si>
    <t>2024-02-02 23:37:13</t>
  </si>
  <si>
    <t>TCK-11839</t>
  </si>
  <si>
    <t>2024-12-21 05:58:39</t>
  </si>
  <si>
    <t>2024-12-21 19:01:41</t>
  </si>
  <si>
    <t>TCK-11840</t>
  </si>
  <si>
    <t>2024-03-16 17:47:58</t>
  </si>
  <si>
    <t>2024-03-17 11:38:14</t>
  </si>
  <si>
    <t>TCK-11841</t>
  </si>
  <si>
    <t>2024-07-18 08:05:53</t>
  </si>
  <si>
    <t>2024-07-18 22:27:34</t>
  </si>
  <si>
    <t>TCK-11842</t>
  </si>
  <si>
    <t>2024-10-16 12:39:10</t>
  </si>
  <si>
    <t>2024-10-16 17:49:19</t>
  </si>
  <si>
    <t>TCK-11843</t>
  </si>
  <si>
    <t>2024-01-17 15:08:19</t>
  </si>
  <si>
    <t>2024-01-17 16:48:18</t>
  </si>
  <si>
    <t>TCK-11844</t>
  </si>
  <si>
    <t>2024-10-18 12:00:53</t>
  </si>
  <si>
    <t>2024-10-19 14:03:06</t>
  </si>
  <si>
    <t>TCK-11845</t>
  </si>
  <si>
    <t>2024-08-18 14:05:36</t>
  </si>
  <si>
    <t>2024-08-18 20:24:25</t>
  </si>
  <si>
    <t>TCK-11846</t>
  </si>
  <si>
    <t>2024-09-05 03:20:21</t>
  </si>
  <si>
    <t>2024-09-05 10:31:28</t>
  </si>
  <si>
    <t>TCK-11847</t>
  </si>
  <si>
    <t>2024-02-23 12:10:55</t>
  </si>
  <si>
    <t>2024-02-23 16:05:58</t>
  </si>
  <si>
    <t>TCK-11848</t>
  </si>
  <si>
    <t>2024-01-30 12:05:29</t>
  </si>
  <si>
    <t>2024-01-30 18:15:38</t>
  </si>
  <si>
    <t>TCK-11849</t>
  </si>
  <si>
    <t>2024-02-23 16:53:28</t>
  </si>
  <si>
    <t>2024-02-28 19:10:32</t>
  </si>
  <si>
    <t>TCK-11850</t>
  </si>
  <si>
    <t>2024-02-18 09:13:08</t>
  </si>
  <si>
    <t>2024-02-18 15:11:28</t>
  </si>
  <si>
    <t>TCK-11851</t>
  </si>
  <si>
    <t>2024-12-20 21:31:37</t>
  </si>
  <si>
    <t>2024-12-22 15:18:17</t>
  </si>
  <si>
    <t>TCK-11852</t>
  </si>
  <si>
    <t>2024-02-09 08:07:43</t>
  </si>
  <si>
    <t>TCK-11853</t>
  </si>
  <si>
    <t>2024-06-12 12:16:44</t>
  </si>
  <si>
    <t>2024-06-12 21:04:03</t>
  </si>
  <si>
    <t>TCK-11854</t>
  </si>
  <si>
    <t>2024-07-04 13:44:55</t>
  </si>
  <si>
    <t>2024-07-04 17:20:36</t>
  </si>
  <si>
    <t>TCK-11855</t>
  </si>
  <si>
    <t>2024-04-06 11:34:24</t>
  </si>
  <si>
    <t>2024-04-06 12:01:50</t>
  </si>
  <si>
    <t>TCK-11856</t>
  </si>
  <si>
    <t>2024-10-02 08:32:36</t>
  </si>
  <si>
    <t>TCK-11857</t>
  </si>
  <si>
    <t>2024-01-03 09:16:25</t>
  </si>
  <si>
    <t>2024-01-03 22:50:38</t>
  </si>
  <si>
    <t>TCK-11858</t>
  </si>
  <si>
    <t>2024-03-23 06:43:57</t>
  </si>
  <si>
    <t>TCK-11859</t>
  </si>
  <si>
    <t>2024-04-22 01:12:40</t>
  </si>
  <si>
    <t>2024-04-22 05:23:43</t>
  </si>
  <si>
    <t>TCK-11860</t>
  </si>
  <si>
    <t>2024-06-06 19:57:10</t>
  </si>
  <si>
    <t>2024-06-07 00:48:01</t>
  </si>
  <si>
    <t>TCK-11861</t>
  </si>
  <si>
    <t>2024-02-21 18:30:36</t>
  </si>
  <si>
    <t>2024-02-22 04:57:44</t>
  </si>
  <si>
    <t>TCK-11862</t>
  </si>
  <si>
    <t>2024-04-17 17:37:26</t>
  </si>
  <si>
    <t>2024-04-18 15:17:19</t>
  </si>
  <si>
    <t>TCK-11863</t>
  </si>
  <si>
    <t>2024-06-22 23:02:11</t>
  </si>
  <si>
    <t>2024-06-23 04:19:16</t>
  </si>
  <si>
    <t>TCK-11864</t>
  </si>
  <si>
    <t>2024-06-21 12:53:50</t>
  </si>
  <si>
    <t>2024-06-22 04:52:50</t>
  </si>
  <si>
    <t>TCK-11865</t>
  </si>
  <si>
    <t>2024-04-04 14:45:59</t>
  </si>
  <si>
    <t>2024-04-04 20:24:06</t>
  </si>
  <si>
    <t>TCK-11866</t>
  </si>
  <si>
    <t>2024-11-20 02:33:15</t>
  </si>
  <si>
    <t>2024-11-20 07:51:05</t>
  </si>
  <si>
    <t>TCK-11867</t>
  </si>
  <si>
    <t>2024-06-14 20:01:37</t>
  </si>
  <si>
    <t>2024-06-15 11:34:10</t>
  </si>
  <si>
    <t>TCK-11868</t>
  </si>
  <si>
    <t>2024-09-24 16:38:27</t>
  </si>
  <si>
    <t>2024-09-26 10:21:24</t>
  </si>
  <si>
    <t>TCK-11869</t>
  </si>
  <si>
    <t>2024-04-01 08:57:42</t>
  </si>
  <si>
    <t>2024-04-01 16:49:20</t>
  </si>
  <si>
    <t>TCK-11870</t>
  </si>
  <si>
    <t>2024-04-09 07:00:44</t>
  </si>
  <si>
    <t>2024-04-09 20:58:55</t>
  </si>
  <si>
    <t>TCK-11871</t>
  </si>
  <si>
    <t>2024-04-04 00:23:13</t>
  </si>
  <si>
    <t>TCK-11872</t>
  </si>
  <si>
    <t>2024-11-28 17:06:05</t>
  </si>
  <si>
    <t>2024-11-29 18:27:32</t>
  </si>
  <si>
    <t>TCK-11873</t>
  </si>
  <si>
    <t>2024-05-07 11:22:18</t>
  </si>
  <si>
    <t>2024-05-07 17:35:38</t>
  </si>
  <si>
    <t>TCK-11874</t>
  </si>
  <si>
    <t>2024-10-07 07:05:44</t>
  </si>
  <si>
    <t>2024-10-08 02:40:13</t>
  </si>
  <si>
    <t>TCK-11875</t>
  </si>
  <si>
    <t>2024-08-07 09:03:58</t>
  </si>
  <si>
    <t>2024-08-08 04:57:54</t>
  </si>
  <si>
    <t>TCK-11876</t>
  </si>
  <si>
    <t>2024-10-22 01:42:28</t>
  </si>
  <si>
    <t>TCK-11877</t>
  </si>
  <si>
    <t>2024-01-07 17:09:05</t>
  </si>
  <si>
    <t>2024-01-08 05:04:47</t>
  </si>
  <si>
    <t>TCK-11878</t>
  </si>
  <si>
    <t>2024-10-14 04:23:39</t>
  </si>
  <si>
    <t>2024-10-14 05:31:24</t>
  </si>
  <si>
    <t>TCK-11879</t>
  </si>
  <si>
    <t>2024-01-15 13:17:04</t>
  </si>
  <si>
    <t>TCK-11880</t>
  </si>
  <si>
    <t>2024-09-07 01:22:24</t>
  </si>
  <si>
    <t>2024-09-07 06:11:47</t>
  </si>
  <si>
    <t>TCK-11881</t>
  </si>
  <si>
    <t>2024-11-03 13:34:55</t>
  </si>
  <si>
    <t>2024-11-03 19:23:22</t>
  </si>
  <si>
    <t>TCK-11882</t>
  </si>
  <si>
    <t>2024-10-10 07:38:46</t>
  </si>
  <si>
    <t>2024-10-10 09:45:31</t>
  </si>
  <si>
    <t>TCK-11883</t>
  </si>
  <si>
    <t>2024-08-11 21:40:40</t>
  </si>
  <si>
    <t>2024-08-11 23:35:41</t>
  </si>
  <si>
    <t>TCK-11884</t>
  </si>
  <si>
    <t>2024-08-31 21:59:16</t>
  </si>
  <si>
    <t>2024-09-01 01:18:35</t>
  </si>
  <si>
    <t>TCK-11885</t>
  </si>
  <si>
    <t>2024-11-17 14:47:05</t>
  </si>
  <si>
    <t>2024-11-17 16:29:57</t>
  </si>
  <si>
    <t>TCK-11886</t>
  </si>
  <si>
    <t>2024-12-20 14:42:16</t>
  </si>
  <si>
    <t>2024-12-21 10:06:37</t>
  </si>
  <si>
    <t>TCK-11887</t>
  </si>
  <si>
    <t>2024-05-27 04:01:05</t>
  </si>
  <si>
    <t>2024-05-27 09:03:52</t>
  </si>
  <si>
    <t>TCK-11888</t>
  </si>
  <si>
    <t>2024-03-23 13:58:51</t>
  </si>
  <si>
    <t>2024-03-23 16:48:26</t>
  </si>
  <si>
    <t>TCK-11889</t>
  </si>
  <si>
    <t>2024-12-09 13:52:47</t>
  </si>
  <si>
    <t>TCK-11890</t>
  </si>
  <si>
    <t>2024-12-10 13:44:12</t>
  </si>
  <si>
    <t>2024-12-11 01:17:50</t>
  </si>
  <si>
    <t>TCK-11891</t>
  </si>
  <si>
    <t>2024-11-21 06:30:58</t>
  </si>
  <si>
    <t>2024-11-22 00:39:39</t>
  </si>
  <si>
    <t>TCK-11892</t>
  </si>
  <si>
    <t>2024-06-06 22:28:50</t>
  </si>
  <si>
    <t>2024-06-07 04:00:11</t>
  </si>
  <si>
    <t>TCK-11893</t>
  </si>
  <si>
    <t>2024-03-30 13:18:42</t>
  </si>
  <si>
    <t>2024-04-01 17:41:11</t>
  </si>
  <si>
    <t>TCK-11894</t>
  </si>
  <si>
    <t>2024-02-22 20:19:28</t>
  </si>
  <si>
    <t>2024-02-22 23:38:33</t>
  </si>
  <si>
    <t>TCK-11895</t>
  </si>
  <si>
    <t>2024-01-30 03:20:30</t>
  </si>
  <si>
    <t>2024-01-30 06:23:59</t>
  </si>
  <si>
    <t>TCK-11896</t>
  </si>
  <si>
    <t>2024-03-10 13:58:12</t>
  </si>
  <si>
    <t>2024-03-10 16:31:59</t>
  </si>
  <si>
    <t>TCK-11897</t>
  </si>
  <si>
    <t>2024-08-30 23:55:52</t>
  </si>
  <si>
    <t>2024-08-31 05:41:22</t>
  </si>
  <si>
    <t>TCK-11898</t>
  </si>
  <si>
    <t>2024-11-25 08:43:02</t>
  </si>
  <si>
    <t>2024-11-25 15:23:05</t>
  </si>
  <si>
    <t>TCK-11899</t>
  </si>
  <si>
    <t>2024-02-02 19:31:24</t>
  </si>
  <si>
    <t>2024-02-03 02:48:15</t>
  </si>
  <si>
    <t>TCK-11900</t>
  </si>
  <si>
    <t>2024-10-31 16:08:39</t>
  </si>
  <si>
    <t>2024-11-02 02:17:18</t>
  </si>
  <si>
    <t>TCK-11901</t>
  </si>
  <si>
    <t>2024-05-01 19:55:03</t>
  </si>
  <si>
    <t>2024-05-02 01:34:00</t>
  </si>
  <si>
    <t>TCK-11902</t>
  </si>
  <si>
    <t>2024-02-27 18:56:03</t>
  </si>
  <si>
    <t>2024-02-28 23:43:09</t>
  </si>
  <si>
    <t>TCK-11903</t>
  </si>
  <si>
    <t>2024-10-23 17:48:24</t>
  </si>
  <si>
    <t>2024-10-23 21:33:45</t>
  </si>
  <si>
    <t>TCK-11904</t>
  </si>
  <si>
    <t>2024-08-21 01:03:26</t>
  </si>
  <si>
    <t>2024-08-21 02:41:10</t>
  </si>
  <si>
    <t>TCK-11905</t>
  </si>
  <si>
    <t>2024-07-25 04:17:10</t>
  </si>
  <si>
    <t>2024-07-25 08:33:55</t>
  </si>
  <si>
    <t>TCK-11906</t>
  </si>
  <si>
    <t>2024-05-23 20:36:27</t>
  </si>
  <si>
    <t>2024-05-24 13:34:44</t>
  </si>
  <si>
    <t>TCK-11907</t>
  </si>
  <si>
    <t>2024-01-21 22:20:17</t>
  </si>
  <si>
    <t>2024-01-22 16:46:59</t>
  </si>
  <si>
    <t>TCK-11908</t>
  </si>
  <si>
    <t>2024-08-30 19:48:44</t>
  </si>
  <si>
    <t>2024-08-31 14:34:22</t>
  </si>
  <si>
    <t>TCK-11909</t>
  </si>
  <si>
    <t>2024-12-02 08:43:36</t>
  </si>
  <si>
    <t>TCK-11910</t>
  </si>
  <si>
    <t>2024-10-14 03:22:36</t>
  </si>
  <si>
    <t>2024-10-14 11:27:52</t>
  </si>
  <si>
    <t>TCK-11911</t>
  </si>
  <si>
    <t>2024-07-19 14:19:50</t>
  </si>
  <si>
    <t>2024-07-19 16:46:39</t>
  </si>
  <si>
    <t>TCK-11912</t>
  </si>
  <si>
    <t>2024-02-25 06:53:04</t>
  </si>
  <si>
    <t>2024-02-25 22:56:31</t>
  </si>
  <si>
    <t>TCK-11913</t>
  </si>
  <si>
    <t>2024-06-07 15:29:29</t>
  </si>
  <si>
    <t>2024-06-07 22:02:15</t>
  </si>
  <si>
    <t>TCK-11914</t>
  </si>
  <si>
    <t>2024-02-10 18:12:57</t>
  </si>
  <si>
    <t>2024-02-11 07:09:54</t>
  </si>
  <si>
    <t>TCK-11915</t>
  </si>
  <si>
    <t>2024-05-31 17:57:10</t>
  </si>
  <si>
    <t>2024-05-31 21:29:42</t>
  </si>
  <si>
    <t>TCK-11916</t>
  </si>
  <si>
    <t>2024-09-19 18:27:17</t>
  </si>
  <si>
    <t>2024-09-22 05:47:00</t>
  </si>
  <si>
    <t>TCK-11917</t>
  </si>
  <si>
    <t>2024-07-01 19:09:07</t>
  </si>
  <si>
    <t>2024-07-03 21:10:21</t>
  </si>
  <si>
    <t>TCK-11918</t>
  </si>
  <si>
    <t>2024-01-10 01:38:25</t>
  </si>
  <si>
    <t>2024-01-10 07:40:50</t>
  </si>
  <si>
    <t>TCK-11919</t>
  </si>
  <si>
    <t>2024-05-09 02:16:53</t>
  </si>
  <si>
    <t>2024-05-09 05:26:50</t>
  </si>
  <si>
    <t>TCK-11920</t>
  </si>
  <si>
    <t>2024-01-23 16:09:25</t>
  </si>
  <si>
    <t>2024-01-24 11:26:36</t>
  </si>
  <si>
    <t>TCK-11921</t>
  </si>
  <si>
    <t>2024-04-10 10:05:50</t>
  </si>
  <si>
    <t>2024-04-11 04:56:18</t>
  </si>
  <si>
    <t>TCK-11922</t>
  </si>
  <si>
    <t>2024-10-03 13:50:53</t>
  </si>
  <si>
    <t>2024-10-05 02:19:52</t>
  </si>
  <si>
    <t>TCK-11923</t>
  </si>
  <si>
    <t>2024-09-20 22:42:56</t>
  </si>
  <si>
    <t>2024-09-21 05:30:56</t>
  </si>
  <si>
    <t>TCK-11924</t>
  </si>
  <si>
    <t>2024-10-08 06:12:41</t>
  </si>
  <si>
    <t>2024-10-08 18:08:40</t>
  </si>
  <si>
    <t>TCK-11925</t>
  </si>
  <si>
    <t>2024-07-13 18:42:30</t>
  </si>
  <si>
    <t>2024-07-15 08:58:42</t>
  </si>
  <si>
    <t>TCK-11926</t>
  </si>
  <si>
    <t>2024-01-12 18:00:40</t>
  </si>
  <si>
    <t>2024-01-14 19:43:41</t>
  </si>
  <si>
    <t>TCK-11927</t>
  </si>
  <si>
    <t>2024-09-24 16:19:20</t>
  </si>
  <si>
    <t>2024-09-26 21:25:06</t>
  </si>
  <si>
    <t>TCK-11928</t>
  </si>
  <si>
    <t>2024-12-18 22:35:05</t>
  </si>
  <si>
    <t>2024-12-19 17:08:35</t>
  </si>
  <si>
    <t>TCK-11929</t>
  </si>
  <si>
    <t>2024-01-23 20:05:13</t>
  </si>
  <si>
    <t>2024-01-23 20:51:25</t>
  </si>
  <si>
    <t>TCK-11930</t>
  </si>
  <si>
    <t>2024-03-31 04:20:01</t>
  </si>
  <si>
    <t>2024-04-01 14:38:45</t>
  </si>
  <si>
    <t>TCK-11931</t>
  </si>
  <si>
    <t>2024-03-02 13:39:59</t>
  </si>
  <si>
    <t>2024-03-03 08:08:31</t>
  </si>
  <si>
    <t>TCK-11932</t>
  </si>
  <si>
    <t>2024-02-06 03:35:48</t>
  </si>
  <si>
    <t>2024-02-06 09:28:38</t>
  </si>
  <si>
    <t>TCK-11933</t>
  </si>
  <si>
    <t>2024-09-02 04:28:49</t>
  </si>
  <si>
    <t>TCK-11934</t>
  </si>
  <si>
    <t>2024-06-15 19:29:22</t>
  </si>
  <si>
    <t>2024-06-16 00:31:00</t>
  </si>
  <si>
    <t>TCK-11935</t>
  </si>
  <si>
    <t>2024-01-08 07:28:53</t>
  </si>
  <si>
    <t>2024-01-09 04:30:46</t>
  </si>
  <si>
    <t>TCK-11936</t>
  </si>
  <si>
    <t>2024-11-14 01:55:06</t>
  </si>
  <si>
    <t>2024-11-15 13:07:15</t>
  </si>
  <si>
    <t>TCK-11937</t>
  </si>
  <si>
    <t>2024-03-09 11:51:16</t>
  </si>
  <si>
    <t>2024-03-10 01:28:49</t>
  </si>
  <si>
    <t>TCK-11938</t>
  </si>
  <si>
    <t>2024-02-12 13:50:39</t>
  </si>
  <si>
    <t>2024-02-12 20:32:44</t>
  </si>
  <si>
    <t>TCK-11939</t>
  </si>
  <si>
    <t>2024-04-12 18:38:10</t>
  </si>
  <si>
    <t>2024-04-13 00:50:02</t>
  </si>
  <si>
    <t>TCK-11940</t>
  </si>
  <si>
    <t>2024-10-30 08:23:39</t>
  </si>
  <si>
    <t>TCK-11941</t>
  </si>
  <si>
    <t>2024-10-13 10:09:04</t>
  </si>
  <si>
    <t>2024-10-14 20:29:04</t>
  </si>
  <si>
    <t>TCK-11942</t>
  </si>
  <si>
    <t>2024-09-16 09:07:50</t>
  </si>
  <si>
    <t>2024-09-17 07:47:29</t>
  </si>
  <si>
    <t>TCK-11943</t>
  </si>
  <si>
    <t>2024-01-26 12:21:06</t>
  </si>
  <si>
    <t>2024-01-27 03:33:56</t>
  </si>
  <si>
    <t>TCK-11944</t>
  </si>
  <si>
    <t>2024-06-05 18:52:52</t>
  </si>
  <si>
    <t>2024-06-06 13:45:56</t>
  </si>
  <si>
    <t>TCK-11945</t>
  </si>
  <si>
    <t>2024-09-12 09:33:04</t>
  </si>
  <si>
    <t>2024-09-12 15:31:35</t>
  </si>
  <si>
    <t>TCK-11946</t>
  </si>
  <si>
    <t>2024-02-05 03:38:31</t>
  </si>
  <si>
    <t>2024-02-06 07:38:50</t>
  </si>
  <si>
    <t>TCK-11947</t>
  </si>
  <si>
    <t>2024-08-07 21:20:58</t>
  </si>
  <si>
    <t>2024-08-08 03:58:33</t>
  </si>
  <si>
    <t>TCK-11948</t>
  </si>
  <si>
    <t>2024-12-12 04:25:53</t>
  </si>
  <si>
    <t>2024-12-12 08:09:16</t>
  </si>
  <si>
    <t>TCK-11949</t>
  </si>
  <si>
    <t>2024-12-30 10:24:14</t>
  </si>
  <si>
    <t>2024-12-30 11:12:14</t>
  </si>
  <si>
    <t>TCK-11950</t>
  </si>
  <si>
    <t>2024-12-12 14:23:03</t>
  </si>
  <si>
    <t>2024-12-12 20:21:48</t>
  </si>
  <si>
    <t>TCK-11951</t>
  </si>
  <si>
    <t>2024-05-06 20:28:18</t>
  </si>
  <si>
    <t>2024-05-08 04:09:16</t>
  </si>
  <si>
    <t>TCK-11952</t>
  </si>
  <si>
    <t>2024-10-21 07:51:54</t>
  </si>
  <si>
    <t>2024-10-21 18:59:08</t>
  </si>
  <si>
    <t>TCK-11953</t>
  </si>
  <si>
    <t>2024-02-25 15:47:19</t>
  </si>
  <si>
    <t>2024-02-27 04:34:44</t>
  </si>
  <si>
    <t>TCK-11954</t>
  </si>
  <si>
    <t>2024-10-23 16:39:23</t>
  </si>
  <si>
    <t>2024-10-24 02:51:28</t>
  </si>
  <si>
    <t>TCK-11955</t>
  </si>
  <si>
    <t>2024-06-07 08:48:55</t>
  </si>
  <si>
    <t>2024-06-07 13:13:10</t>
  </si>
  <si>
    <t>TCK-11956</t>
  </si>
  <si>
    <t>2024-12-08 23:30:35</t>
  </si>
  <si>
    <t>2024-12-09 19:36:58</t>
  </si>
  <si>
    <t>TCK-11957</t>
  </si>
  <si>
    <t>2024-03-15 21:57:03</t>
  </si>
  <si>
    <t>2024-03-16 17:41:09</t>
  </si>
  <si>
    <t>TCK-11958</t>
  </si>
  <si>
    <t>2024-12-15 11:13:49</t>
  </si>
  <si>
    <t>2024-12-15 13:54:01</t>
  </si>
  <si>
    <t>TCK-11959</t>
  </si>
  <si>
    <t>2024-08-21 12:03:47</t>
  </si>
  <si>
    <t>2024-08-23 07:23:00</t>
  </si>
  <si>
    <t>TCK-11960</t>
  </si>
  <si>
    <t>2024-02-01 20:58:13</t>
  </si>
  <si>
    <t>2024-02-02 10:08:15</t>
  </si>
  <si>
    <t>TCK-11961</t>
  </si>
  <si>
    <t>2024-04-18 18:46:17</t>
  </si>
  <si>
    <t>2024-04-18 21:48:06</t>
  </si>
  <si>
    <t>TCK-11962</t>
  </si>
  <si>
    <t>2024-07-21 23:36:01</t>
  </si>
  <si>
    <t>2024-07-22 05:21:50</t>
  </si>
  <si>
    <t>TCK-11963</t>
  </si>
  <si>
    <t>2024-04-18 23:55:37</t>
  </si>
  <si>
    <t>2024-04-19 01:07:21</t>
  </si>
  <si>
    <t>TCK-11964</t>
  </si>
  <si>
    <t>2024-12-10 04:51:25</t>
  </si>
  <si>
    <t>2024-12-10 05:47:21</t>
  </si>
  <si>
    <t>TCK-11965</t>
  </si>
  <si>
    <t>2024-10-16 23:56:49</t>
  </si>
  <si>
    <t>TCK-11966</t>
  </si>
  <si>
    <t>2024-03-03 20:21:57</t>
  </si>
  <si>
    <t>2024-03-06 05:08:19</t>
  </si>
  <si>
    <t>TCK-11967</t>
  </si>
  <si>
    <t>2024-03-17 04:02:04</t>
  </si>
  <si>
    <t>TCK-11968</t>
  </si>
  <si>
    <t>2024-05-02 08:33:27</t>
  </si>
  <si>
    <t>TCK-11969</t>
  </si>
  <si>
    <t>2024-06-05 04:30:06</t>
  </si>
  <si>
    <t>2024-06-06 02:55:40</t>
  </si>
  <si>
    <t>TCK-11970</t>
  </si>
  <si>
    <t>2024-02-09 19:30:28</t>
  </si>
  <si>
    <t>2024-02-09 22:42:48</t>
  </si>
  <si>
    <t>TCK-11971</t>
  </si>
  <si>
    <t>2024-05-03 17:42:00</t>
  </si>
  <si>
    <t>2024-05-03 21:32:34</t>
  </si>
  <si>
    <t>TCK-11972</t>
  </si>
  <si>
    <t>2024-07-31 01:31:40</t>
  </si>
  <si>
    <t>TCK-11973</t>
  </si>
  <si>
    <t>2024-12-02 02:15:51</t>
  </si>
  <si>
    <t>2024-12-03 07:53:15</t>
  </si>
  <si>
    <t>TCK-11974</t>
  </si>
  <si>
    <t>2024-01-21 21:03:53</t>
  </si>
  <si>
    <t>2024-01-22 04:10:22</t>
  </si>
  <si>
    <t>TCK-11975</t>
  </si>
  <si>
    <t>2024-10-15 01:50:30</t>
  </si>
  <si>
    <t>2024-10-17 08:56:59</t>
  </si>
  <si>
    <t>TCK-11976</t>
  </si>
  <si>
    <t>2024-12-13 15:09:55</t>
  </si>
  <si>
    <t>2024-12-15 09:55:59</t>
  </si>
  <si>
    <t>TCK-11977</t>
  </si>
  <si>
    <t>2024-08-10 16:16:16</t>
  </si>
  <si>
    <t>2024-08-11 10:07:54</t>
  </si>
  <si>
    <t>TCK-11978</t>
  </si>
  <si>
    <t>2024-03-31 06:56:12</t>
  </si>
  <si>
    <t>2024-04-01 00:43:44</t>
  </si>
  <si>
    <t>TCK-11979</t>
  </si>
  <si>
    <t>2024-03-30 05:34:47</t>
  </si>
  <si>
    <t>2024-03-30 22:39:03</t>
  </si>
  <si>
    <t>TCK-11980</t>
  </si>
  <si>
    <t>2024-09-21 17:00:22</t>
  </si>
  <si>
    <t>2024-09-25 17:52:30</t>
  </si>
  <si>
    <t>TCK-11981</t>
  </si>
  <si>
    <t>2024-07-20 14:41:42</t>
  </si>
  <si>
    <t>2024-07-20 20:01:30</t>
  </si>
  <si>
    <t>TCK-11982</t>
  </si>
  <si>
    <t>2024-03-07 17:16:43</t>
  </si>
  <si>
    <t>2024-03-08 12:16:01</t>
  </si>
  <si>
    <t>TCK-11983</t>
  </si>
  <si>
    <t>2024-01-07 02:14:44</t>
  </si>
  <si>
    <t>2024-01-07 07:42:45</t>
  </si>
  <si>
    <t>TCK-11984</t>
  </si>
  <si>
    <t>2024-09-10 06:34:18</t>
  </si>
  <si>
    <t>2024-09-10 18:17:19</t>
  </si>
  <si>
    <t>TCK-11985</t>
  </si>
  <si>
    <t>2024-01-16 15:33:32</t>
  </si>
  <si>
    <t>2024-01-16 23:51:01</t>
  </si>
  <si>
    <t>TCK-11986</t>
  </si>
  <si>
    <t>2024-01-07 14:40:50</t>
  </si>
  <si>
    <t>2024-01-12 09:49:56</t>
  </si>
  <si>
    <t>TCK-11987</t>
  </si>
  <si>
    <t>2024-11-23 05:48:29</t>
  </si>
  <si>
    <t>2024-11-23 14:09:43</t>
  </si>
  <si>
    <t>TCK-11988</t>
  </si>
  <si>
    <t>2024-12-09 01:24:49</t>
  </si>
  <si>
    <t>2024-12-09 05:31:38</t>
  </si>
  <si>
    <t>TCK-11989</t>
  </si>
  <si>
    <t>2024-08-31 11:21:23</t>
  </si>
  <si>
    <t>2024-09-01 08:35:55</t>
  </si>
  <si>
    <t>TCK-11990</t>
  </si>
  <si>
    <t>2024-07-30 14:09:27</t>
  </si>
  <si>
    <t>2024-07-30 17:05:32</t>
  </si>
  <si>
    <t>TCK-11991</t>
  </si>
  <si>
    <t>2024-04-17 02:15:14</t>
  </si>
  <si>
    <t>2024-04-17 14:03:59</t>
  </si>
  <si>
    <t>TCK-11992</t>
  </si>
  <si>
    <t>2024-07-10 14:09:50</t>
  </si>
  <si>
    <t>TCK-11993</t>
  </si>
  <si>
    <t>2024-07-15 18:26:56</t>
  </si>
  <si>
    <t>2024-07-16 17:07:49</t>
  </si>
  <si>
    <t>TCK-11994</t>
  </si>
  <si>
    <t>2024-09-07 04:02:35</t>
  </si>
  <si>
    <t>2024-09-07 22:36:29</t>
  </si>
  <si>
    <t>TCK-11995</t>
  </si>
  <si>
    <t>2024-09-27 10:32:42</t>
  </si>
  <si>
    <t>2024-09-27 16:00:25</t>
  </si>
  <si>
    <t>TCK-11996</t>
  </si>
  <si>
    <t>2024-01-13 05:31:51</t>
  </si>
  <si>
    <t>2024-01-13 15:34:16</t>
  </si>
  <si>
    <t>TCK-11997</t>
  </si>
  <si>
    <t>2024-12-29 03:39:45</t>
  </si>
  <si>
    <t>2024-12-31 09:28:31</t>
  </si>
  <si>
    <t>TCK-11998</t>
  </si>
  <si>
    <t>2024-04-06 02:42:34</t>
  </si>
  <si>
    <t>2024-04-06 13:05:37</t>
  </si>
  <si>
    <t>TCK-11999</t>
  </si>
  <si>
    <t>2024-12-02 18:25:40</t>
  </si>
  <si>
    <t>2024-12-03 02:28:32</t>
  </si>
  <si>
    <t>TCK-12000</t>
  </si>
  <si>
    <t>2024-05-07 16:04:09</t>
  </si>
  <si>
    <t>TCK-12001</t>
  </si>
  <si>
    <t>2024-05-13 16:15:36</t>
  </si>
  <si>
    <t>TCK-12002</t>
  </si>
  <si>
    <t>2024-03-27 09:56:51</t>
  </si>
  <si>
    <t>2024-03-27 23:52:06</t>
  </si>
  <si>
    <t>TCK-12003</t>
  </si>
  <si>
    <t>2024-07-15 06:06:21</t>
  </si>
  <si>
    <t>2024-07-15 10:26:04</t>
  </si>
  <si>
    <t>TCK-12004</t>
  </si>
  <si>
    <t>2024-11-26 11:42:49</t>
  </si>
  <si>
    <t>2024-11-26 19:27:08</t>
  </si>
  <si>
    <t>TCK-12005</t>
  </si>
  <si>
    <t>2024-04-29 09:53:57</t>
  </si>
  <si>
    <t>2024-05-02 05:52:07</t>
  </si>
  <si>
    <t>TCK-12006</t>
  </si>
  <si>
    <t>2024-03-05 08:11:10</t>
  </si>
  <si>
    <t>2024-03-05 08:52:42</t>
  </si>
  <si>
    <t>TCK-12007</t>
  </si>
  <si>
    <t>2024-06-02 13:17:35</t>
  </si>
  <si>
    <t>2024-06-02 14:49:19</t>
  </si>
  <si>
    <t>TCK-12008</t>
  </si>
  <si>
    <t>2024-05-22 12:23:37</t>
  </si>
  <si>
    <t>2024-05-23 18:09:03</t>
  </si>
  <si>
    <t>TCK-12009</t>
  </si>
  <si>
    <t>2024-06-23 01:23:18</t>
  </si>
  <si>
    <t>TCK-12010</t>
  </si>
  <si>
    <t>2024-02-28 11:10:45</t>
  </si>
  <si>
    <t>TCK-12011</t>
  </si>
  <si>
    <t>2024-11-04 02:12:32</t>
  </si>
  <si>
    <t>2024-11-04 06:00:02</t>
  </si>
  <si>
    <t>TCK-12012</t>
  </si>
  <si>
    <t>2024-07-22 17:26:00</t>
  </si>
  <si>
    <t>2024-07-23 00:37:39</t>
  </si>
  <si>
    <t>TCK-12013</t>
  </si>
  <si>
    <t>2024-08-04 23:07:03</t>
  </si>
  <si>
    <t>TCK-12014</t>
  </si>
  <si>
    <t>2024-08-04 19:24:21</t>
  </si>
  <si>
    <t>2024-08-06 07:44:28</t>
  </si>
  <si>
    <t>TCK-12015</t>
  </si>
  <si>
    <t>2024-11-04 00:43:48</t>
  </si>
  <si>
    <t>2024-11-04 17:32:04</t>
  </si>
  <si>
    <t>TCK-12016</t>
  </si>
  <si>
    <t>2024-10-15 00:46:26</t>
  </si>
  <si>
    <t>2024-10-20 05:44:09</t>
  </si>
  <si>
    <t>TCK-12017</t>
  </si>
  <si>
    <t>2024-10-04 02:37:23</t>
  </si>
  <si>
    <t>2024-10-04 12:15:51</t>
  </si>
  <si>
    <t>TCK-12018</t>
  </si>
  <si>
    <t>2024-09-26 12:54:29</t>
  </si>
  <si>
    <t>2024-09-27 07:39:40</t>
  </si>
  <si>
    <t>TCK-12019</t>
  </si>
  <si>
    <t>2024-03-30 11:46:44</t>
  </si>
  <si>
    <t>2024-04-02 06:18:26</t>
  </si>
  <si>
    <t>TCK-12020</t>
  </si>
  <si>
    <t>2024-11-06 18:07:43</t>
  </si>
  <si>
    <t>2024-11-06 22:28:36</t>
  </si>
  <si>
    <t>TCK-12021</t>
  </si>
  <si>
    <t>2024-06-14 15:39:05</t>
  </si>
  <si>
    <t>2024-06-16 17:24:41</t>
  </si>
  <si>
    <t>TCK-12022</t>
  </si>
  <si>
    <t>2024-08-16 01:57:23</t>
  </si>
  <si>
    <t>TCK-12023</t>
  </si>
  <si>
    <t>2024-09-25 10:37:39</t>
  </si>
  <si>
    <t>2024-09-26 03:22:06</t>
  </si>
  <si>
    <t>TCK-12024</t>
  </si>
  <si>
    <t>2024-10-17 09:36:49</t>
  </si>
  <si>
    <t>2024-10-17 16:03:33</t>
  </si>
  <si>
    <t>TCK-12025</t>
  </si>
  <si>
    <t>2024-01-28 08:39:20</t>
  </si>
  <si>
    <t>2024-01-29 02:05:28</t>
  </si>
  <si>
    <t>TCK-12026</t>
  </si>
  <si>
    <t>2024-01-25 18:24:56</t>
  </si>
  <si>
    <t>2024-01-25 21:46:48</t>
  </si>
  <si>
    <t>TCK-12027</t>
  </si>
  <si>
    <t>2024-02-05 05:28:18</t>
  </si>
  <si>
    <t>2024-02-05 14:54:35</t>
  </si>
  <si>
    <t>TCK-12028</t>
  </si>
  <si>
    <t>2024-10-25 04:21:08</t>
  </si>
  <si>
    <t>2024-10-26 01:06:33</t>
  </si>
  <si>
    <t>TCK-12029</t>
  </si>
  <si>
    <t>2024-05-04 22:31:41</t>
  </si>
  <si>
    <t>2024-05-05 00:22:49</t>
  </si>
  <si>
    <t>TCK-12030</t>
  </si>
  <si>
    <t>2024-01-14 00:43:41</t>
  </si>
  <si>
    <t>2024-01-14 06:00:00</t>
  </si>
  <si>
    <t>TCK-12031</t>
  </si>
  <si>
    <t>2024-02-10 01:02:18</t>
  </si>
  <si>
    <t>2024-02-10 13:00:04</t>
  </si>
  <si>
    <t>TCK-12032</t>
  </si>
  <si>
    <t>2024-09-24 07:48:16</t>
  </si>
  <si>
    <t>2024-09-25 07:07:43</t>
  </si>
  <si>
    <t>TCK-12033</t>
  </si>
  <si>
    <t>2024-05-06 20:53:12</t>
  </si>
  <si>
    <t>2024-05-06 22:51:02</t>
  </si>
  <si>
    <t>TCK-12034</t>
  </si>
  <si>
    <t>2024-06-15 04:51:39</t>
  </si>
  <si>
    <t>2024-06-15 18:29:39</t>
  </si>
  <si>
    <t>TCK-12035</t>
  </si>
  <si>
    <t>2024-03-06 00:29:14</t>
  </si>
  <si>
    <t>2024-03-06 03:27:52</t>
  </si>
  <si>
    <t>TCK-12036</t>
  </si>
  <si>
    <t>2024-04-13 22:33:13</t>
  </si>
  <si>
    <t>2024-04-14 04:14:58</t>
  </si>
  <si>
    <t>TCK-12037</t>
  </si>
  <si>
    <t>2024-04-06 07:28:04</t>
  </si>
  <si>
    <t>2024-04-10 08:29:29</t>
  </si>
  <si>
    <t>TCK-12038</t>
  </si>
  <si>
    <t>2024-02-15 13:39:43</t>
  </si>
  <si>
    <t>2024-02-15 17:27:17</t>
  </si>
  <si>
    <t>TCK-12039</t>
  </si>
  <si>
    <t>2024-05-08 22:09:58</t>
  </si>
  <si>
    <t>TCK-12040</t>
  </si>
  <si>
    <t>2024-10-06 11:22:18</t>
  </si>
  <si>
    <t>2024-10-06 18:23:36</t>
  </si>
  <si>
    <t>TCK-12041</t>
  </si>
  <si>
    <t>2024-02-28 07:00:49</t>
  </si>
  <si>
    <t>2024-02-28 10:06:05</t>
  </si>
  <si>
    <t>TCK-12042</t>
  </si>
  <si>
    <t>2024-08-01 03:32:20</t>
  </si>
  <si>
    <t>TCK-12043</t>
  </si>
  <si>
    <t>2024-06-30 03:43:31</t>
  </si>
  <si>
    <t>2024-06-30 21:13:15</t>
  </si>
  <si>
    <t>TCK-12044</t>
  </si>
  <si>
    <t>2024-05-24 21:05:20</t>
  </si>
  <si>
    <t>2024-05-27 11:40:03</t>
  </si>
  <si>
    <t>TCK-12045</t>
  </si>
  <si>
    <t>2024-11-03 06:27:57</t>
  </si>
  <si>
    <t>2024-11-05 00:54:20</t>
  </si>
  <si>
    <t>TCK-12046</t>
  </si>
  <si>
    <t>2024-11-12 17:18:00</t>
  </si>
  <si>
    <t>2024-11-13 13:29:06</t>
  </si>
  <si>
    <t>TCK-12047</t>
  </si>
  <si>
    <t>2024-12-04 23:41:26</t>
  </si>
  <si>
    <t>2024-12-05 05:30:25</t>
  </si>
  <si>
    <t>TCK-12048</t>
  </si>
  <si>
    <t>2024-08-16 06:06:48</t>
  </si>
  <si>
    <t>2024-08-17 02:13:03</t>
  </si>
  <si>
    <t>TCK-12049</t>
  </si>
  <si>
    <t>2024-01-23 08:22:35</t>
  </si>
  <si>
    <t>2024-01-23 15:04:08</t>
  </si>
  <si>
    <t>TCK-12050</t>
  </si>
  <si>
    <t>2024-02-06 10:09:47</t>
  </si>
  <si>
    <t>2024-02-06 14:55:13</t>
  </si>
  <si>
    <t>TCK-12051</t>
  </si>
  <si>
    <t>2024-12-02 22:31:02</t>
  </si>
  <si>
    <t>2024-12-03 02:00:31</t>
  </si>
  <si>
    <t>TCK-12052</t>
  </si>
  <si>
    <t>2024-10-17 01:25:13</t>
  </si>
  <si>
    <t>2024-10-18 04:34:44</t>
  </si>
  <si>
    <t>TCK-12053</t>
  </si>
  <si>
    <t>2024-01-13 17:29:28</t>
  </si>
  <si>
    <t>TCK-12054</t>
  </si>
  <si>
    <t>2024-03-18 05:02:24</t>
  </si>
  <si>
    <t>2024-03-19 01:21:20</t>
  </si>
  <si>
    <t>TCK-12055</t>
  </si>
  <si>
    <t>2024-01-06 12:58:53</t>
  </si>
  <si>
    <t>2024-01-06 21:08:06</t>
  </si>
  <si>
    <t>TCK-12056</t>
  </si>
  <si>
    <t>2024-04-20 19:16:12</t>
  </si>
  <si>
    <t>2024-04-21 06:10:36</t>
  </si>
  <si>
    <t>TCK-12057</t>
  </si>
  <si>
    <t>2024-05-07 04:29:55</t>
  </si>
  <si>
    <t>2024-05-11 14:15:13</t>
  </si>
  <si>
    <t>TCK-12058</t>
  </si>
  <si>
    <t>2024-05-22 18:08:42</t>
  </si>
  <si>
    <t>2024-05-22 22:59:43</t>
  </si>
  <si>
    <t>TCK-12059</t>
  </si>
  <si>
    <t>2024-10-05 06:33:32</t>
  </si>
  <si>
    <t>2024-10-07 20:05:33</t>
  </si>
  <si>
    <t>TCK-12060</t>
  </si>
  <si>
    <t>2024-06-25 13:06:37</t>
  </si>
  <si>
    <t>2024-06-25 16:32:39</t>
  </si>
  <si>
    <t>TCK-12061</t>
  </si>
  <si>
    <t>2024-02-20 22:47:50</t>
  </si>
  <si>
    <t>2024-02-21 06:19:47</t>
  </si>
  <si>
    <t>TCK-12062</t>
  </si>
  <si>
    <t>2024-06-13 09:36:38</t>
  </si>
  <si>
    <t>2024-06-13 11:32:30</t>
  </si>
  <si>
    <t>TCK-12063</t>
  </si>
  <si>
    <t>2024-06-21 10:07:37</t>
  </si>
  <si>
    <t>2024-06-21 17:10:56</t>
  </si>
  <si>
    <t>TCK-12064</t>
  </si>
  <si>
    <t>2024-04-19 14:49:36</t>
  </si>
  <si>
    <t>2024-04-20 23:26:56</t>
  </si>
  <si>
    <t>TCK-12065</t>
  </si>
  <si>
    <t>2024-09-02 16:11:40</t>
  </si>
  <si>
    <t>2024-09-03 07:09:49</t>
  </si>
  <si>
    <t>TCK-12066</t>
  </si>
  <si>
    <t>2024-06-06 19:54:24</t>
  </si>
  <si>
    <t>2024-06-08 02:07:16</t>
  </si>
  <si>
    <t>TCK-12067</t>
  </si>
  <si>
    <t>2024-08-17 12:20:38</t>
  </si>
  <si>
    <t>2024-08-17 19:45:51</t>
  </si>
  <si>
    <t>TCK-12068</t>
  </si>
  <si>
    <t>2024-02-11 15:57:11</t>
  </si>
  <si>
    <t>2024-02-11 17:09:25</t>
  </si>
  <si>
    <t>TCK-12069</t>
  </si>
  <si>
    <t>2024-10-31 15:41:13</t>
  </si>
  <si>
    <t>2024-10-31 20:08:04</t>
  </si>
  <si>
    <t>TCK-12070</t>
  </si>
  <si>
    <t>2024-10-23 19:48:57</t>
  </si>
  <si>
    <t>2024-10-24 04:35:27</t>
  </si>
  <si>
    <t>TCK-12071</t>
  </si>
  <si>
    <t>2024-05-22 13:38:25</t>
  </si>
  <si>
    <t>2024-05-22 17:16:50</t>
  </si>
  <si>
    <t>TCK-12072</t>
  </si>
  <si>
    <t>2024-07-16 18:17:14</t>
  </si>
  <si>
    <t>2024-07-16 18:57:29</t>
  </si>
  <si>
    <t>TCK-12073</t>
  </si>
  <si>
    <t>2024-12-04 07:07:25</t>
  </si>
  <si>
    <t>2024-12-04 09:06:48</t>
  </si>
  <si>
    <t>TCK-12074</t>
  </si>
  <si>
    <t>2024-01-10 23:03:39</t>
  </si>
  <si>
    <t>2024-01-11 00:58:48</t>
  </si>
  <si>
    <t>TCK-12075</t>
  </si>
  <si>
    <t>2024-08-19 20:36:59</t>
  </si>
  <si>
    <t>2024-08-20 01:58:46</t>
  </si>
  <si>
    <t>TCK-12076</t>
  </si>
  <si>
    <t>2024-03-19 03:32:34</t>
  </si>
  <si>
    <t>2024-03-21 01:11:07</t>
  </si>
  <si>
    <t>TCK-12077</t>
  </si>
  <si>
    <t>2024-05-17 12:22:37</t>
  </si>
  <si>
    <t>2024-05-17 15:57:05</t>
  </si>
  <si>
    <t>TCK-12078</t>
  </si>
  <si>
    <t>2024-06-10 10:15:13</t>
  </si>
  <si>
    <t>2024-06-11 04:52:25</t>
  </si>
  <si>
    <t>TCK-12079</t>
  </si>
  <si>
    <t>2024-08-16 21:21:02</t>
  </si>
  <si>
    <t>2024-08-17 11:41:45</t>
  </si>
  <si>
    <t>TCK-12080</t>
  </si>
  <si>
    <t>2024-08-02 17:20:08</t>
  </si>
  <si>
    <t>2024-08-02 21:07:37</t>
  </si>
  <si>
    <t>TCK-12081</t>
  </si>
  <si>
    <t>2024-10-31 23:40:32</t>
  </si>
  <si>
    <t>2024-11-01 04:52:20</t>
  </si>
  <si>
    <t>TCK-12082</t>
  </si>
  <si>
    <t>2024-07-12 07:29:52</t>
  </si>
  <si>
    <t>TCK-12083</t>
  </si>
  <si>
    <t>2024-09-05 10:48:29</t>
  </si>
  <si>
    <t>2024-09-05 14:25:37</t>
  </si>
  <si>
    <t>TCK-12084</t>
  </si>
  <si>
    <t>2024-10-18 13:38:15</t>
  </si>
  <si>
    <t>2024-10-18 20:54:53</t>
  </si>
  <si>
    <t>TCK-12085</t>
  </si>
  <si>
    <t>2024-08-10 02:16:21</t>
  </si>
  <si>
    <t>2024-08-10 07:45:24</t>
  </si>
  <si>
    <t>TCK-12086</t>
  </si>
  <si>
    <t>2024-08-17 20:17:12</t>
  </si>
  <si>
    <t>2024-08-18 13:12:03</t>
  </si>
  <si>
    <t>TCK-12087</t>
  </si>
  <si>
    <t>2024-03-05 11:14:30</t>
  </si>
  <si>
    <t>2024-03-06 10:50:23</t>
  </si>
  <si>
    <t>TCK-12088</t>
  </si>
  <si>
    <t>2024-11-24 04:59:18</t>
  </si>
  <si>
    <t>2024-11-24 10:04:40</t>
  </si>
  <si>
    <t>TCK-12089</t>
  </si>
  <si>
    <t>2024-04-11 02:38:09</t>
  </si>
  <si>
    <t>2024-04-11 05:35:20</t>
  </si>
  <si>
    <t>TCK-12090</t>
  </si>
  <si>
    <t>2024-08-19 14:13:09</t>
  </si>
  <si>
    <t>TCK-12091</t>
  </si>
  <si>
    <t>2024-12-14 20:48:38</t>
  </si>
  <si>
    <t>2024-12-15 01:36:23</t>
  </si>
  <si>
    <t>TCK-12092</t>
  </si>
  <si>
    <t>2024-09-14 05:29:58</t>
  </si>
  <si>
    <t>TCK-12093</t>
  </si>
  <si>
    <t>2024-12-13 14:12:31</t>
  </si>
  <si>
    <t>2024-12-14 04:09:46</t>
  </si>
  <si>
    <t>TCK-12094</t>
  </si>
  <si>
    <t>2024-12-26 09:13:10</t>
  </si>
  <si>
    <t>2024-12-26 11:11:34</t>
  </si>
  <si>
    <t>TCK-12095</t>
  </si>
  <si>
    <t>2024-04-11 02:43:17</t>
  </si>
  <si>
    <t>2024-04-12 12:20:14</t>
  </si>
  <si>
    <t>TCK-12096</t>
  </si>
  <si>
    <t>2024-08-07 03:32:23</t>
  </si>
  <si>
    <t>2024-08-07 11:43:29</t>
  </si>
  <si>
    <t>TCK-12097</t>
  </si>
  <si>
    <t>2024-11-13 16:19:00</t>
  </si>
  <si>
    <t>2024-11-15 00:33:25</t>
  </si>
  <si>
    <t>TCK-12098</t>
  </si>
  <si>
    <t>2024-06-01 14:40:44</t>
  </si>
  <si>
    <t>2024-06-02 05:05:28</t>
  </si>
  <si>
    <t>TCK-12099</t>
  </si>
  <si>
    <t>2024-02-16 03:02:16</t>
  </si>
  <si>
    <t>2024-02-16 07:11:57</t>
  </si>
  <si>
    <t>TCK-12100</t>
  </si>
  <si>
    <t>2024-04-06 16:34:01</t>
  </si>
  <si>
    <t>2024-04-06 19:46:27</t>
  </si>
  <si>
    <t>TCK-12101</t>
  </si>
  <si>
    <t>2024-06-28 01:44:34</t>
  </si>
  <si>
    <t>2024-06-28 16:28:46</t>
  </si>
  <si>
    <t>TCK-12102</t>
  </si>
  <si>
    <t>2024-09-05 18:00:26</t>
  </si>
  <si>
    <t>2024-09-05 22:58:02</t>
  </si>
  <si>
    <t>TCK-12103</t>
  </si>
  <si>
    <t>2024-06-25 06:49:23</t>
  </si>
  <si>
    <t>2024-06-25 17:05:46</t>
  </si>
  <si>
    <t>TCK-12104</t>
  </si>
  <si>
    <t>2024-12-28 20:04:57</t>
  </si>
  <si>
    <t>2024-12-29 08:44:03</t>
  </si>
  <si>
    <t>TCK-12105</t>
  </si>
  <si>
    <t>2024-11-02 21:13:14</t>
  </si>
  <si>
    <t>2024-11-03 00:27:31</t>
  </si>
  <si>
    <t>TCK-12106</t>
  </si>
  <si>
    <t>2024-04-10 17:41:20</t>
  </si>
  <si>
    <t>2024-04-10 20:32:19</t>
  </si>
  <si>
    <t>TCK-12107</t>
  </si>
  <si>
    <t>2024-02-04 23:14:06</t>
  </si>
  <si>
    <t>2024-02-05 11:30:29</t>
  </si>
  <si>
    <t>TCK-12108</t>
  </si>
  <si>
    <t>2024-08-21 05:30:59</t>
  </si>
  <si>
    <t>2024-08-21 17:36:31</t>
  </si>
  <si>
    <t>TCK-12109</t>
  </si>
  <si>
    <t>2024-01-01 11:57:21</t>
  </si>
  <si>
    <t>2024-01-01 15:28:47</t>
  </si>
  <si>
    <t>TCK-12110</t>
  </si>
  <si>
    <t>2024-09-29 07:33:53</t>
  </si>
  <si>
    <t>2024-09-29 10:03:36</t>
  </si>
  <si>
    <t>TCK-12111</t>
  </si>
  <si>
    <t>2024-09-09 21:06:09</t>
  </si>
  <si>
    <t>2024-09-09 22:52:10</t>
  </si>
  <si>
    <t>TCK-12112</t>
  </si>
  <si>
    <t>2024-10-20 18:45:13</t>
  </si>
  <si>
    <t>2024-10-21 08:08:01</t>
  </si>
  <si>
    <t>TCK-12113</t>
  </si>
  <si>
    <t>2024-09-02 04:33:50</t>
  </si>
  <si>
    <t>2024-09-02 05:17:36</t>
  </si>
  <si>
    <t>TCK-12114</t>
  </si>
  <si>
    <t>2024-04-15 12:41:31</t>
  </si>
  <si>
    <t>2024-04-16 09:50:30</t>
  </si>
  <si>
    <t>TCK-12115</t>
  </si>
  <si>
    <t>2024-04-13 06:13:32</t>
  </si>
  <si>
    <t>2024-04-14 04:31:14</t>
  </si>
  <si>
    <t>TCK-12116</t>
  </si>
  <si>
    <t>2024-08-28 13:15:29</t>
  </si>
  <si>
    <t>2024-08-29 09:20:21</t>
  </si>
  <si>
    <t>TCK-12117</t>
  </si>
  <si>
    <t>2024-08-16 19:50:23</t>
  </si>
  <si>
    <t>2024-08-17 00:42:49</t>
  </si>
  <si>
    <t>TCK-12118</t>
  </si>
  <si>
    <t>2024-11-24 10:16:44</t>
  </si>
  <si>
    <t>2024-11-25 02:51:07</t>
  </si>
  <si>
    <t>TCK-12119</t>
  </si>
  <si>
    <t>2024-01-28 16:01:23</t>
  </si>
  <si>
    <t>2024-01-29 10:09:26</t>
  </si>
  <si>
    <t>TCK-12120</t>
  </si>
  <si>
    <t>2024-03-21 18:41:56</t>
  </si>
  <si>
    <t>2024-03-22 04:41:44</t>
  </si>
  <si>
    <t>TCK-12121</t>
  </si>
  <si>
    <t>2024-07-07 21:15:49</t>
  </si>
  <si>
    <t>2024-07-08 00:57:57</t>
  </si>
  <si>
    <t>TCK-12122</t>
  </si>
  <si>
    <t>2024-01-19 13:40:59</t>
  </si>
  <si>
    <t>2024-01-19 19:31:07</t>
  </si>
  <si>
    <t>TCK-12123</t>
  </si>
  <si>
    <t>2024-06-18 05:38:11</t>
  </si>
  <si>
    <t>2024-06-19 00:09:45</t>
  </si>
  <si>
    <t>TCK-12124</t>
  </si>
  <si>
    <t>2024-06-13 20:09:04</t>
  </si>
  <si>
    <t>2024-06-14 19:20:11</t>
  </si>
  <si>
    <t>TCK-12125</t>
  </si>
  <si>
    <t>2024-10-25 14:19:44</t>
  </si>
  <si>
    <t>2024-10-25 20:57:24</t>
  </si>
  <si>
    <t>TCK-12126</t>
  </si>
  <si>
    <t>2024-11-06 14:34:01</t>
  </si>
  <si>
    <t>2024-11-07 07:15:32</t>
  </si>
  <si>
    <t>TCK-12127</t>
  </si>
  <si>
    <t>2024-06-03 07:33:29</t>
  </si>
  <si>
    <t>TCK-12128</t>
  </si>
  <si>
    <t>2024-01-04 21:20:27</t>
  </si>
  <si>
    <t>2024-01-05 03:26:02</t>
  </si>
  <si>
    <t>TCK-12129</t>
  </si>
  <si>
    <t>2024-06-24 20:15:31</t>
  </si>
  <si>
    <t>2024-06-25 11:10:09</t>
  </si>
  <si>
    <t>TCK-12130</t>
  </si>
  <si>
    <t>2024-02-10 14:08:48</t>
  </si>
  <si>
    <t>2024-02-10 22:16:22</t>
  </si>
  <si>
    <t>TCK-12131</t>
  </si>
  <si>
    <t>2024-07-26 11:43:52</t>
  </si>
  <si>
    <t>2024-07-27 13:38:01</t>
  </si>
  <si>
    <t>TCK-12132</t>
  </si>
  <si>
    <t>2024-07-19 19:59:19</t>
  </si>
  <si>
    <t>2024-07-22 14:34:15</t>
  </si>
  <si>
    <t>TCK-12133</t>
  </si>
  <si>
    <t>2024-05-19 12:12:11</t>
  </si>
  <si>
    <t>2024-05-21 08:31:23</t>
  </si>
  <si>
    <t>TCK-12134</t>
  </si>
  <si>
    <t>2024-03-05 01:36:55</t>
  </si>
  <si>
    <t>2024-03-05 08:10:28</t>
  </si>
  <si>
    <t>TCK-12135</t>
  </si>
  <si>
    <t>2024-10-12 22:34:18</t>
  </si>
  <si>
    <t>2024-10-13 08:50:36</t>
  </si>
  <si>
    <t>TCK-12136</t>
  </si>
  <si>
    <t>2024-01-20 00:15:56</t>
  </si>
  <si>
    <t>TCK-12137</t>
  </si>
  <si>
    <t>2024-07-18 23:21:00</t>
  </si>
  <si>
    <t>2024-07-19 06:07:29</t>
  </si>
  <si>
    <t>TCK-12138</t>
  </si>
  <si>
    <t>2024-10-19 13:04:34</t>
  </si>
  <si>
    <t>TCK-12139</t>
  </si>
  <si>
    <t>2024-04-09 03:46:57</t>
  </si>
  <si>
    <t>2024-04-10 01:22:20</t>
  </si>
  <si>
    <t>TCK-12140</t>
  </si>
  <si>
    <t>2024-02-24 16:22:11</t>
  </si>
  <si>
    <t>2024-02-26 03:13:05</t>
  </si>
  <si>
    <t>TCK-12141</t>
  </si>
  <si>
    <t>2024-09-22 06:18:17</t>
  </si>
  <si>
    <t>2024-09-23 18:16:56</t>
  </si>
  <si>
    <t>TCK-12142</t>
  </si>
  <si>
    <t>2024-04-24 07:20:13</t>
  </si>
  <si>
    <t>2024-04-25 02:43:19</t>
  </si>
  <si>
    <t>TCK-12143</t>
  </si>
  <si>
    <t>2024-09-23 09:26:10</t>
  </si>
  <si>
    <t>2024-09-23 10:38:57</t>
  </si>
  <si>
    <t>TCK-12144</t>
  </si>
  <si>
    <t>2024-08-23 23:13:53</t>
  </si>
  <si>
    <t>2024-08-24 02:18:31</t>
  </si>
  <si>
    <t>TCK-12145</t>
  </si>
  <si>
    <t>2024-11-04 05:40:31</t>
  </si>
  <si>
    <t>2024-11-05 22:56:31</t>
  </si>
  <si>
    <t>TCK-12146</t>
  </si>
  <si>
    <t>2024-03-30 11:15:59</t>
  </si>
  <si>
    <t>2024-04-03 06:54:03</t>
  </si>
  <si>
    <t>TCK-12147</t>
  </si>
  <si>
    <t>2024-07-19 00:35:05</t>
  </si>
  <si>
    <t>2024-07-20 08:43:18</t>
  </si>
  <si>
    <t>TCK-12148</t>
  </si>
  <si>
    <t>2024-04-12 00:58:08</t>
  </si>
  <si>
    <t>2024-04-12 13:03:40</t>
  </si>
  <si>
    <t>TCK-12149</t>
  </si>
  <si>
    <t>2024-06-24 05:26:23</t>
  </si>
  <si>
    <t>2024-06-25 00:10:08</t>
  </si>
  <si>
    <t>TCK-12150</t>
  </si>
  <si>
    <t>2024-04-03 21:34:13</t>
  </si>
  <si>
    <t>TCK-12151</t>
  </si>
  <si>
    <t>2024-07-18 08:46:29</t>
  </si>
  <si>
    <t>2024-07-18 23:08:08</t>
  </si>
  <si>
    <t>TCK-12152</t>
  </si>
  <si>
    <t>2024-03-01 12:44:16</t>
  </si>
  <si>
    <t>2024-03-05 12:10:54</t>
  </si>
  <si>
    <t>TCK-12153</t>
  </si>
  <si>
    <t>2024-11-21 14:09:47</t>
  </si>
  <si>
    <t>2024-11-21 17:18:22</t>
  </si>
  <si>
    <t>TCK-12154</t>
  </si>
  <si>
    <t>2024-10-10 09:50:04</t>
  </si>
  <si>
    <t>2024-10-12 03:32:25</t>
  </si>
  <si>
    <t>TCK-12155</t>
  </si>
  <si>
    <t>2024-09-09 06:17:55</t>
  </si>
  <si>
    <t>2024-09-09 08:07:30</t>
  </si>
  <si>
    <t>TCK-12156</t>
  </si>
  <si>
    <t>2024-09-08 05:49:17</t>
  </si>
  <si>
    <t>TCK-12157</t>
  </si>
  <si>
    <t>2024-08-08 08:55:11</t>
  </si>
  <si>
    <t>2024-08-08 11:09:42</t>
  </si>
  <si>
    <t>TCK-12158</t>
  </si>
  <si>
    <t>2024-01-18 17:23:57</t>
  </si>
  <si>
    <t>2024-01-20 02:25:08</t>
  </si>
  <si>
    <t>TCK-12159</t>
  </si>
  <si>
    <t>2024-06-17 20:53:54</t>
  </si>
  <si>
    <t>2024-06-18 17:00:07</t>
  </si>
  <si>
    <t>TCK-12160</t>
  </si>
  <si>
    <t>2024-09-20 03:37:50</t>
  </si>
  <si>
    <t>2024-09-20 13:37:58</t>
  </si>
  <si>
    <t>TCK-12161</t>
  </si>
  <si>
    <t>2024-04-22 11:28:28</t>
  </si>
  <si>
    <t>TCK-12162</t>
  </si>
  <si>
    <t>2024-09-09 17:16:48</t>
  </si>
  <si>
    <t>2024-09-09 19:57:33</t>
  </si>
  <si>
    <t>TCK-12163</t>
  </si>
  <si>
    <t>2024-10-24 23:41:09</t>
  </si>
  <si>
    <t>2024-10-29 09:11:17</t>
  </si>
  <si>
    <t>TCK-12164</t>
  </si>
  <si>
    <t>2024-11-03 04:19:00</t>
  </si>
  <si>
    <t>2024-11-03 05:20:12</t>
  </si>
  <si>
    <t>TCK-12165</t>
  </si>
  <si>
    <t>2024-11-13 01:45:35</t>
  </si>
  <si>
    <t>2024-11-13 02:41:33</t>
  </si>
  <si>
    <t>TCK-12166</t>
  </si>
  <si>
    <t>2024-06-18 14:59:28</t>
  </si>
  <si>
    <t>2024-06-19 11:51:10</t>
  </si>
  <si>
    <t>TCK-12167</t>
  </si>
  <si>
    <t>2024-05-24 09:40:35</t>
  </si>
  <si>
    <t>2024-05-24 21:34:59</t>
  </si>
  <si>
    <t>TCK-12168</t>
  </si>
  <si>
    <t>2024-11-10 00:53:43</t>
  </si>
  <si>
    <t>2024-11-11 14:40:41</t>
  </si>
  <si>
    <t>TCK-12169</t>
  </si>
  <si>
    <t>2024-01-17 15:04:25</t>
  </si>
  <si>
    <t>TCK-12170</t>
  </si>
  <si>
    <t>2024-07-26 19:59:53</t>
  </si>
  <si>
    <t>2024-07-26 22:42:45</t>
  </si>
  <si>
    <t>TCK-12171</t>
  </si>
  <si>
    <t>2024-06-17 16:02:16</t>
  </si>
  <si>
    <t>2024-06-20 00:08:42</t>
  </si>
  <si>
    <t>TCK-12172</t>
  </si>
  <si>
    <t>2024-08-26 22:17:56</t>
  </si>
  <si>
    <t>2024-08-26 22:57:45</t>
  </si>
  <si>
    <t>TCK-12173</t>
  </si>
  <si>
    <t>2024-05-26 18:24:11</t>
  </si>
  <si>
    <t>TCK-12174</t>
  </si>
  <si>
    <t>2024-02-21 20:51:48</t>
  </si>
  <si>
    <t>2024-02-22 11:02:25</t>
  </si>
  <si>
    <t>TCK-12175</t>
  </si>
  <si>
    <t>2024-03-13 20:50:27</t>
  </si>
  <si>
    <t>2024-03-14 19:14:27</t>
  </si>
  <si>
    <t>TCK-12176</t>
  </si>
  <si>
    <t>2024-12-29 06:23:53</t>
  </si>
  <si>
    <t>2024-12-29 13:42:28</t>
  </si>
  <si>
    <t>TCK-12177</t>
  </si>
  <si>
    <t>2024-06-26 18:47:09</t>
  </si>
  <si>
    <t>2024-06-27 00:55:02</t>
  </si>
  <si>
    <t>TCK-12178</t>
  </si>
  <si>
    <t>2024-09-18 16:34:29</t>
  </si>
  <si>
    <t>2024-09-19 03:11:31</t>
  </si>
  <si>
    <t>TCK-12179</t>
  </si>
  <si>
    <t>2024-04-13 17:49:36</t>
  </si>
  <si>
    <t>2024-04-13 18:59:23</t>
  </si>
  <si>
    <t>TCK-12180</t>
  </si>
  <si>
    <t>2024-12-21 01:37:32</t>
  </si>
  <si>
    <t>TCK-12181</t>
  </si>
  <si>
    <t>2024-02-11 04:52:07</t>
  </si>
  <si>
    <t>2024-02-14 13:07:23</t>
  </si>
  <si>
    <t>TCK-12182</t>
  </si>
  <si>
    <t>2024-02-19 10:18:39</t>
  </si>
  <si>
    <t>2024-02-19 12:39:51</t>
  </si>
  <si>
    <t>TCK-12183</t>
  </si>
  <si>
    <t>2024-01-20 15:59:34</t>
  </si>
  <si>
    <t>2024-01-20 16:58:35</t>
  </si>
  <si>
    <t>TCK-12184</t>
  </si>
  <si>
    <t>2024-04-18 11:18:21</t>
  </si>
  <si>
    <t>2024-04-19 05:29:32</t>
  </si>
  <si>
    <t>TCK-12185</t>
  </si>
  <si>
    <t>2024-11-02 04:28:27</t>
  </si>
  <si>
    <t>2024-11-02 20:56:05</t>
  </si>
  <si>
    <t>TCK-12186</t>
  </si>
  <si>
    <t>2024-04-12 00:18:59</t>
  </si>
  <si>
    <t>2024-04-14 02:53:36</t>
  </si>
  <si>
    <t>TCK-12187</t>
  </si>
  <si>
    <t>2024-10-27 07:33:36</t>
  </si>
  <si>
    <t>TCK-12188</t>
  </si>
  <si>
    <t>2024-09-06 11:01:51</t>
  </si>
  <si>
    <t>2024-09-08 16:47:54</t>
  </si>
  <si>
    <t>TCK-12189</t>
  </si>
  <si>
    <t>2024-12-10 09:15:59</t>
  </si>
  <si>
    <t>2024-12-12 01:58:29</t>
  </si>
  <si>
    <t>TCK-12190</t>
  </si>
  <si>
    <t>2024-03-29 15:38:26</t>
  </si>
  <si>
    <t>2024-03-29 22:13:46</t>
  </si>
  <si>
    <t>TCK-12191</t>
  </si>
  <si>
    <t>2024-11-10 18:35:48</t>
  </si>
  <si>
    <t>TCK-12192</t>
  </si>
  <si>
    <t>2024-04-09 22:03:38</t>
  </si>
  <si>
    <t>2024-04-11 07:53:04</t>
  </si>
  <si>
    <t>TCK-12193</t>
  </si>
  <si>
    <t>2024-03-29 11:49:28</t>
  </si>
  <si>
    <t>2024-03-30 16:00:22</t>
  </si>
  <si>
    <t>TCK-12194</t>
  </si>
  <si>
    <t>2024-06-09 09:17:00</t>
  </si>
  <si>
    <t>2024-06-09 15:03:56</t>
  </si>
  <si>
    <t>TCK-12195</t>
  </si>
  <si>
    <t>2024-11-04 07:35:22</t>
  </si>
  <si>
    <t>2024-11-04 11:40:31</t>
  </si>
  <si>
    <t>TCK-12196</t>
  </si>
  <si>
    <t>2024-10-09 00:46:43</t>
  </si>
  <si>
    <t>2024-10-09 16:43:26</t>
  </si>
  <si>
    <t>TCK-12197</t>
  </si>
  <si>
    <t>2024-09-23 04:57:23</t>
  </si>
  <si>
    <t>TCK-12198</t>
  </si>
  <si>
    <t>2024-10-31 16:20:53</t>
  </si>
  <si>
    <t>2024-11-02 09:20:17</t>
  </si>
  <si>
    <t>TCK-12199</t>
  </si>
  <si>
    <t>2024-06-12 16:59:33</t>
  </si>
  <si>
    <t>2024-06-13 04:31:39</t>
  </si>
  <si>
    <t>TCK-12200</t>
  </si>
  <si>
    <t>2024-03-26 09:30:06</t>
  </si>
  <si>
    <t>2024-03-28 05:46:57</t>
  </si>
  <si>
    <t>TCK-12201</t>
  </si>
  <si>
    <t>2024-03-29 19:43:47</t>
  </si>
  <si>
    <t>TCK-12202</t>
  </si>
  <si>
    <t>2024-07-29 02:57:19</t>
  </si>
  <si>
    <t>TCK-12203</t>
  </si>
  <si>
    <t>2024-10-01 00:10:03</t>
  </si>
  <si>
    <t>2024-10-01 01:55:03</t>
  </si>
  <si>
    <t>TCK-12204</t>
  </si>
  <si>
    <t>2024-03-12 07:33:39</t>
  </si>
  <si>
    <t>TCK-12205</t>
  </si>
  <si>
    <t>2024-12-16 18:10:11</t>
  </si>
  <si>
    <t>2024-12-17 10:09:28</t>
  </si>
  <si>
    <t>TCK-12206</t>
  </si>
  <si>
    <t>2024-12-11 18:35:04</t>
  </si>
  <si>
    <t>2024-12-12 04:27:45</t>
  </si>
  <si>
    <t>TCK-12207</t>
  </si>
  <si>
    <t>2024-01-08 17:59:35</t>
  </si>
  <si>
    <t>2024-01-08 19:59:51</t>
  </si>
  <si>
    <t>TCK-12208</t>
  </si>
  <si>
    <t>2024-06-07 01:20:23</t>
  </si>
  <si>
    <t>2024-06-09 11:14:08</t>
  </si>
  <si>
    <t>TCK-12209</t>
  </si>
  <si>
    <t>2024-03-10 02:56:18</t>
  </si>
  <si>
    <t>2024-03-11 16:07:44</t>
  </si>
  <si>
    <t>TCK-12210</t>
  </si>
  <si>
    <t>2024-12-04 22:54:38</t>
  </si>
  <si>
    <t>TCK-12211</t>
  </si>
  <si>
    <t>2024-01-31 23:46:23</t>
  </si>
  <si>
    <t>TCK-12212</t>
  </si>
  <si>
    <t>2024-09-11 14:01:33</t>
  </si>
  <si>
    <t>2024-09-12 01:21:44</t>
  </si>
  <si>
    <t>TCK-12213</t>
  </si>
  <si>
    <t>2024-11-20 12:28:00</t>
  </si>
  <si>
    <t>2024-11-21 09:51:14</t>
  </si>
  <si>
    <t>TCK-12214</t>
  </si>
  <si>
    <t>2024-08-17 10:08:49</t>
  </si>
  <si>
    <t>2024-08-17 12:44:43</t>
  </si>
  <si>
    <t>TCK-12215</t>
  </si>
  <si>
    <t>2024-09-20 11:06:56</t>
  </si>
  <si>
    <t>2024-09-20 13:34:36</t>
  </si>
  <si>
    <t>TCK-12216</t>
  </si>
  <si>
    <t>2024-12-30 11:52:57</t>
  </si>
  <si>
    <t>2024-12-30 18:17:57</t>
  </si>
  <si>
    <t>TCK-12217</t>
  </si>
  <si>
    <t>2024-04-26 19:11:42</t>
  </si>
  <si>
    <t>2024-04-27 15:47:23</t>
  </si>
  <si>
    <t>TCK-12218</t>
  </si>
  <si>
    <t>2024-05-19 19:44:45</t>
  </si>
  <si>
    <t>2024-05-19 23:00:10</t>
  </si>
  <si>
    <t>TCK-12219</t>
  </si>
  <si>
    <t>2024-01-24 08:56:52</t>
  </si>
  <si>
    <t>2024-01-24 20:05:19</t>
  </si>
  <si>
    <t>TCK-12220</t>
  </si>
  <si>
    <t>2024-11-16 10:32:46</t>
  </si>
  <si>
    <t>2024-11-17 04:49:23</t>
  </si>
  <si>
    <t>TCK-12221</t>
  </si>
  <si>
    <t>2024-07-05 08:26:08</t>
  </si>
  <si>
    <t>2024-07-05 14:47:24</t>
  </si>
  <si>
    <t>TCK-12222</t>
  </si>
  <si>
    <t>2024-04-29 11:10:48</t>
  </si>
  <si>
    <t>2024-04-29 22:55:58</t>
  </si>
  <si>
    <t>TCK-12223</t>
  </si>
  <si>
    <t>2024-11-25 02:03:26</t>
  </si>
  <si>
    <t>2024-11-25 11:35:38</t>
  </si>
  <si>
    <t>TCK-12224</t>
  </si>
  <si>
    <t>2024-05-27 17:02:14</t>
  </si>
  <si>
    <t>2024-05-27 19:34:10</t>
  </si>
  <si>
    <t>TCK-12225</t>
  </si>
  <si>
    <t>2024-09-01 02:55:36</t>
  </si>
  <si>
    <t>2024-09-01 09:32:51</t>
  </si>
  <si>
    <t>TCK-12226</t>
  </si>
  <si>
    <t>2024-10-13 15:28:12</t>
  </si>
  <si>
    <t>2024-10-14 06:52:08</t>
  </si>
  <si>
    <t>TCK-12227</t>
  </si>
  <si>
    <t>2024-08-04 04:17:58</t>
  </si>
  <si>
    <t>2024-08-06 14:58:20</t>
  </si>
  <si>
    <t>TCK-12228</t>
  </si>
  <si>
    <t>2024-03-26 18:01:37</t>
  </si>
  <si>
    <t>2024-03-27 16:19:21</t>
  </si>
  <si>
    <t>TCK-12229</t>
  </si>
  <si>
    <t>2024-05-10 01:52:45</t>
  </si>
  <si>
    <t>2024-05-12 19:21:36</t>
  </si>
  <si>
    <t>TCK-12230</t>
  </si>
  <si>
    <t>2024-08-18 19:04:00</t>
  </si>
  <si>
    <t>2024-08-19 14:40:01</t>
  </si>
  <si>
    <t>TCK-12231</t>
  </si>
  <si>
    <t>2024-11-08 14:49:08</t>
  </si>
  <si>
    <t>2024-11-08 22:47:26</t>
  </si>
  <si>
    <t>TCK-12232</t>
  </si>
  <si>
    <t>2024-06-29 06:53:46</t>
  </si>
  <si>
    <t>TCK-12233</t>
  </si>
  <si>
    <t>2024-02-14 19:32:18</t>
  </si>
  <si>
    <t>2024-02-14 20:33:12</t>
  </si>
  <si>
    <t>TCK-12234</t>
  </si>
  <si>
    <t>2024-03-06 16:11:22</t>
  </si>
  <si>
    <t>2024-03-07 02:31:03</t>
  </si>
  <si>
    <t>TCK-12235</t>
  </si>
  <si>
    <t>2024-12-19 16:31:03</t>
  </si>
  <si>
    <t>2024-12-19 21:12:13</t>
  </si>
  <si>
    <t>TCK-12236</t>
  </si>
  <si>
    <t>2024-07-27 07:30:23</t>
  </si>
  <si>
    <t>2024-07-28 01:11:55</t>
  </si>
  <si>
    <t>TCK-12237</t>
  </si>
  <si>
    <t>2024-07-02 00:52:00</t>
  </si>
  <si>
    <t>2024-07-02 06:46:10</t>
  </si>
  <si>
    <t>TCK-12238</t>
  </si>
  <si>
    <t>2024-12-22 12:37:26</t>
  </si>
  <si>
    <t>2024-12-23 06:31:08</t>
  </si>
  <si>
    <t>TCK-12239</t>
  </si>
  <si>
    <t>2024-12-19 04:54:15</t>
  </si>
  <si>
    <t>2024-12-21 22:38:37</t>
  </si>
  <si>
    <t>TCK-12240</t>
  </si>
  <si>
    <t>2024-07-18 22:01:20</t>
  </si>
  <si>
    <t>2024-07-19 00:16:32</t>
  </si>
  <si>
    <t>TCK-12241</t>
  </si>
  <si>
    <t>2024-02-19 20:01:15</t>
  </si>
  <si>
    <t>2024-02-20 03:33:39</t>
  </si>
  <si>
    <t>TCK-12242</t>
  </si>
  <si>
    <t>2024-07-08 13:43:45</t>
  </si>
  <si>
    <t>2024-07-08 21:13:24</t>
  </si>
  <si>
    <t>TCK-12243</t>
  </si>
  <si>
    <t>2024-05-20 02:31:31</t>
  </si>
  <si>
    <t>2024-05-20 05:11:29</t>
  </si>
  <si>
    <t>TCK-12244</t>
  </si>
  <si>
    <t>2024-03-22 01:22:25</t>
  </si>
  <si>
    <t>2024-03-23 00:04:51</t>
  </si>
  <si>
    <t>TCK-12245</t>
  </si>
  <si>
    <t>2024-12-27 15:39:17</t>
  </si>
  <si>
    <t>2024-12-27 21:44:14</t>
  </si>
  <si>
    <t>TCK-12246</t>
  </si>
  <si>
    <t>2024-02-06 15:49:42</t>
  </si>
  <si>
    <t>2024-02-07 14:18:33</t>
  </si>
  <si>
    <t>TCK-12247</t>
  </si>
  <si>
    <t>2024-10-05 02:35:17</t>
  </si>
  <si>
    <t>2024-10-05 16:54:47</t>
  </si>
  <si>
    <t>TCK-12248</t>
  </si>
  <si>
    <t>2024-03-28 10:06:52</t>
  </si>
  <si>
    <t>2024-03-28 13:44:28</t>
  </si>
  <si>
    <t>TCK-12249</t>
  </si>
  <si>
    <t>2024-09-23 16:00:17</t>
  </si>
  <si>
    <t>2024-09-25 11:21:22</t>
  </si>
  <si>
    <t>TCK-12250</t>
  </si>
  <si>
    <t>2024-07-25 12:12:55</t>
  </si>
  <si>
    <t>2024-07-26 05:03:29</t>
  </si>
  <si>
    <t>TCK-12251</t>
  </si>
  <si>
    <t>2024-08-29 03:38:45</t>
  </si>
  <si>
    <t>2024-08-29 08:27:48</t>
  </si>
  <si>
    <t>TCK-12252</t>
  </si>
  <si>
    <t>2024-07-13 22:28:16</t>
  </si>
  <si>
    <t>2024-07-14 06:15:46</t>
  </si>
  <si>
    <t>TCK-12253</t>
  </si>
  <si>
    <t>2024-12-12 08:01:13</t>
  </si>
  <si>
    <t>2024-12-12 09:45:32</t>
  </si>
  <si>
    <t>TCK-12254</t>
  </si>
  <si>
    <t>2024-04-28 01:59:52</t>
  </si>
  <si>
    <t>2024-04-28 13:12:00</t>
  </si>
  <si>
    <t>TCK-12255</t>
  </si>
  <si>
    <t>2024-09-23 07:20:14</t>
  </si>
  <si>
    <t>2024-09-23 12:32:18</t>
  </si>
  <si>
    <t>TCK-12256</t>
  </si>
  <si>
    <t>2024-06-25 12:00:05</t>
  </si>
  <si>
    <t>2024-06-25 21:46:52</t>
  </si>
  <si>
    <t>TCK-12257</t>
  </si>
  <si>
    <t>2024-04-09 15:32:34</t>
  </si>
  <si>
    <t>2024-04-09 21:04:18</t>
  </si>
  <si>
    <t>TCK-12258</t>
  </si>
  <si>
    <t>2024-02-29 02:16:12</t>
  </si>
  <si>
    <t>2024-02-29 08:04:03</t>
  </si>
  <si>
    <t>TCK-12259</t>
  </si>
  <si>
    <t>2024-08-19 01:35:10</t>
  </si>
  <si>
    <t>2024-08-19 19:04:49</t>
  </si>
  <si>
    <t>TCK-12260</t>
  </si>
  <si>
    <t>2024-02-03 04:51:32</t>
  </si>
  <si>
    <t>2024-02-03 23:40:51</t>
  </si>
  <si>
    <t>TCK-12261</t>
  </si>
  <si>
    <t>2024-10-07 00:25:41</t>
  </si>
  <si>
    <t>2024-10-07 20:06:23</t>
  </si>
  <si>
    <t>TCK-12262</t>
  </si>
  <si>
    <t>2024-04-05 16:26:10</t>
  </si>
  <si>
    <t>2024-04-05 22:54:37</t>
  </si>
  <si>
    <t>TCK-12263</t>
  </si>
  <si>
    <t>2024-07-24 18:39:21</t>
  </si>
  <si>
    <t>2024-07-25 05:01:12</t>
  </si>
  <si>
    <t>TCK-12264</t>
  </si>
  <si>
    <t>2024-09-19 12:45:22</t>
  </si>
  <si>
    <t>2024-09-20 09:35:48</t>
  </si>
  <si>
    <t>TCK-12265</t>
  </si>
  <si>
    <t>2024-10-27 04:23:17</t>
  </si>
  <si>
    <t>2024-10-28 00:18:48</t>
  </si>
  <si>
    <t>TCK-12266</t>
  </si>
  <si>
    <t>2024-11-29 06:06:54</t>
  </si>
  <si>
    <t>2024-11-29 09:50:42</t>
  </si>
  <si>
    <t>TCK-12267</t>
  </si>
  <si>
    <t>2024-02-19 10:48:55</t>
  </si>
  <si>
    <t>2024-02-19 19:28:56</t>
  </si>
  <si>
    <t>TCK-12268</t>
  </si>
  <si>
    <t>2024-12-30 04:02:32</t>
  </si>
  <si>
    <t>2024-12-30 14:35:01</t>
  </si>
  <si>
    <t>TCK-12269</t>
  </si>
  <si>
    <t>2024-11-01 18:57:59</t>
  </si>
  <si>
    <t>2024-11-03 10:35:13</t>
  </si>
  <si>
    <t>TCK-12270</t>
  </si>
  <si>
    <t>2024-06-25 08:07:59</t>
  </si>
  <si>
    <t>2024-06-25 17:46:28</t>
  </si>
  <si>
    <t>TCK-12271</t>
  </si>
  <si>
    <t>2024-02-17 22:09:13</t>
  </si>
  <si>
    <t>2024-02-19 11:17:35</t>
  </si>
  <si>
    <t>TCK-12272</t>
  </si>
  <si>
    <t>2024-06-10 16:19:53</t>
  </si>
  <si>
    <t>2024-06-11 15:36:21</t>
  </si>
  <si>
    <t>TCK-12273</t>
  </si>
  <si>
    <t>2024-09-12 19:00:18</t>
  </si>
  <si>
    <t>2024-09-12 23:53:36</t>
  </si>
  <si>
    <t>TCK-12274</t>
  </si>
  <si>
    <t>2024-11-15 13:08:40</t>
  </si>
  <si>
    <t>2024-11-15 17:25:44</t>
  </si>
  <si>
    <t>TCK-12275</t>
  </si>
  <si>
    <t>2024-04-19 09:43:26</t>
  </si>
  <si>
    <t>2024-04-19 16:41:01</t>
  </si>
  <si>
    <t>TCK-12276</t>
  </si>
  <si>
    <t>2024-04-11 05:09:12</t>
  </si>
  <si>
    <t>2024-04-11 12:30:52</t>
  </si>
  <si>
    <t>TCK-12277</t>
  </si>
  <si>
    <t>2024-12-28 23:15:47</t>
  </si>
  <si>
    <t>2025-01-03 06:26:54</t>
  </si>
  <si>
    <t>TCK-12278</t>
  </si>
  <si>
    <t>2024-06-22 00:59:37</t>
  </si>
  <si>
    <t>2024-06-22 07:22:16</t>
  </si>
  <si>
    <t>TCK-12279</t>
  </si>
  <si>
    <t>2024-04-18 13:16:28</t>
  </si>
  <si>
    <t>2024-04-20 03:16:20</t>
  </si>
  <si>
    <t>TCK-12280</t>
  </si>
  <si>
    <t>2024-01-25 18:06:03</t>
  </si>
  <si>
    <t>2024-01-25 22:35:04</t>
  </si>
  <si>
    <t>TCK-12281</t>
  </si>
  <si>
    <t>2024-07-07 05:45:41</t>
  </si>
  <si>
    <t>2024-07-08 13:35:38</t>
  </si>
  <si>
    <t>TCK-12282</t>
  </si>
  <si>
    <t>2024-02-16 21:41:22</t>
  </si>
  <si>
    <t>2024-02-17 18:49:34</t>
  </si>
  <si>
    <t>TCK-12283</t>
  </si>
  <si>
    <t>2024-07-24 19:26:40</t>
  </si>
  <si>
    <t>TCK-12284</t>
  </si>
  <si>
    <t>2024-03-18 09:46:35</t>
  </si>
  <si>
    <t>2024-03-18 13:14:00</t>
  </si>
  <si>
    <t>TCK-12285</t>
  </si>
  <si>
    <t>2024-01-11 17:41:29</t>
  </si>
  <si>
    <t>2024-01-12 15:48:18</t>
  </si>
  <si>
    <t>TCK-12286</t>
  </si>
  <si>
    <t>2024-12-13 05:42:20</t>
  </si>
  <si>
    <t>2024-12-14 17:57:23</t>
  </si>
  <si>
    <t>TCK-12287</t>
  </si>
  <si>
    <t>2024-09-28 22:02:47</t>
  </si>
  <si>
    <t>2024-09-29 17:50:41</t>
  </si>
  <si>
    <t>TCK-12288</t>
  </si>
  <si>
    <t>2024-11-18 00:22:01</t>
  </si>
  <si>
    <t>2024-11-18 08:43:15</t>
  </si>
  <si>
    <t>TCK-12289</t>
  </si>
  <si>
    <t>2024-01-14 19:58:19</t>
  </si>
  <si>
    <t>TCK-12290</t>
  </si>
  <si>
    <t>2024-01-19 00:39:56</t>
  </si>
  <si>
    <t>2024-01-19 19:59:33</t>
  </si>
  <si>
    <t>TCK-12291</t>
  </si>
  <si>
    <t>2024-01-16 07:32:21</t>
  </si>
  <si>
    <t>2024-01-16 11:10:35</t>
  </si>
  <si>
    <t>TCK-12292</t>
  </si>
  <si>
    <t>2024-03-27 15:37:34</t>
  </si>
  <si>
    <t>TCK-12293</t>
  </si>
  <si>
    <t>2024-10-01 13:12:27</t>
  </si>
  <si>
    <t>2024-10-01 14:29:08</t>
  </si>
  <si>
    <t>TCK-12294</t>
  </si>
  <si>
    <t>2024-03-19 02:58:10</t>
  </si>
  <si>
    <t>2024-03-19 14:44:59</t>
  </si>
  <si>
    <t>TCK-12295</t>
  </si>
  <si>
    <t>2024-02-29 15:53:05</t>
  </si>
  <si>
    <t>2024-02-29 18:40:14</t>
  </si>
  <si>
    <t>TCK-12296</t>
  </si>
  <si>
    <t>2024-05-14 17:56:34</t>
  </si>
  <si>
    <t>2024-05-15 10:19:24</t>
  </si>
  <si>
    <t>TCK-12297</t>
  </si>
  <si>
    <t>2024-03-10 17:01:43</t>
  </si>
  <si>
    <t>2024-03-13 16:41:47</t>
  </si>
  <si>
    <t>TCK-12298</t>
  </si>
  <si>
    <t>2024-05-24 15:28:32</t>
  </si>
  <si>
    <t>2024-05-25 10:10:11</t>
  </si>
  <si>
    <t>TCK-12299</t>
  </si>
  <si>
    <t>2024-09-08 21:30:27</t>
  </si>
  <si>
    <t>2024-09-09 03:56:08</t>
  </si>
  <si>
    <t>TCK-12300</t>
  </si>
  <si>
    <t>2024-09-17 03:33:15</t>
  </si>
  <si>
    <t>2024-09-17 04:26:46</t>
  </si>
  <si>
    <t>TCK-12301</t>
  </si>
  <si>
    <t>2024-03-26 16:13:58</t>
  </si>
  <si>
    <t>2024-03-26 23:18:33</t>
  </si>
  <si>
    <t>TCK-12302</t>
  </si>
  <si>
    <t>2024-07-03 05:35:15</t>
  </si>
  <si>
    <t>2024-07-03 15:21:45</t>
  </si>
  <si>
    <t>TCK-12303</t>
  </si>
  <si>
    <t>2024-01-29 13:48:47</t>
  </si>
  <si>
    <t>2024-01-31 03:32:23</t>
  </si>
  <si>
    <t>TCK-12304</t>
  </si>
  <si>
    <t>2024-10-24 23:37:06</t>
  </si>
  <si>
    <t>2024-10-27 10:33:58</t>
  </si>
  <si>
    <t>TCK-12305</t>
  </si>
  <si>
    <t>2024-08-18 09:48:06</t>
  </si>
  <si>
    <t>2024-08-18 17:03:27</t>
  </si>
  <si>
    <t>TCK-12306</t>
  </si>
  <si>
    <t>2024-11-11 08:57:51</t>
  </si>
  <si>
    <t>2024-11-11 15:39:32</t>
  </si>
  <si>
    <t>TCK-12307</t>
  </si>
  <si>
    <t>2024-02-23 03:11:41</t>
  </si>
  <si>
    <t>TCK-12308</t>
  </si>
  <si>
    <t>2024-08-10 07:27:08</t>
  </si>
  <si>
    <t>2024-08-10 11:20:19</t>
  </si>
  <si>
    <t>TCK-12309</t>
  </si>
  <si>
    <t>2024-07-22 12:45:44</t>
  </si>
  <si>
    <t>2024-07-23 07:26:21</t>
  </si>
  <si>
    <t>TCK-12310</t>
  </si>
  <si>
    <t>2024-03-13 07:48:48</t>
  </si>
  <si>
    <t>TCK-12311</t>
  </si>
  <si>
    <t>2024-09-27 10:05:26</t>
  </si>
  <si>
    <t>2024-09-27 17:19:48</t>
  </si>
  <si>
    <t>TCK-12312</t>
  </si>
  <si>
    <t>2024-03-22 02:44:45</t>
  </si>
  <si>
    <t>2024-03-23 14:57:37</t>
  </si>
  <si>
    <t>TCK-12313</t>
  </si>
  <si>
    <t>2024-03-14 11:47:33</t>
  </si>
  <si>
    <t>2024-03-14 12:41:04</t>
  </si>
  <si>
    <t>TCK-12314</t>
  </si>
  <si>
    <t>2024-08-15 22:47:14</t>
  </si>
  <si>
    <t>2024-08-16 00:08:55</t>
  </si>
  <si>
    <t>TCK-12315</t>
  </si>
  <si>
    <t>2024-11-06 20:15:40</t>
  </si>
  <si>
    <t>2024-11-10 18:06:59</t>
  </si>
  <si>
    <t>TCK-12316</t>
  </si>
  <si>
    <t>2024-07-30 21:29:22</t>
  </si>
  <si>
    <t>2024-07-31 18:43:33</t>
  </si>
  <si>
    <t>TCK-12317</t>
  </si>
  <si>
    <t>2024-02-04 21:47:26</t>
  </si>
  <si>
    <t>2024-02-05 17:41:30</t>
  </si>
  <si>
    <t>TCK-12318</t>
  </si>
  <si>
    <t>2024-06-07 06:46:30</t>
  </si>
  <si>
    <t>2024-06-07 10:12:02</t>
  </si>
  <si>
    <t>TCK-12319</t>
  </si>
  <si>
    <t>2024-06-15 00:25:47</t>
  </si>
  <si>
    <t>2024-06-15 16:05:28</t>
  </si>
  <si>
    <t>TCK-12320</t>
  </si>
  <si>
    <t>2024-09-27 14:40:53</t>
  </si>
  <si>
    <t>2024-09-27 17:14:37</t>
  </si>
  <si>
    <t>TCK-12321</t>
  </si>
  <si>
    <t>2024-02-13 02:24:39</t>
  </si>
  <si>
    <t>TCK-12322</t>
  </si>
  <si>
    <t>2024-08-26 19:39:16</t>
  </si>
  <si>
    <t>2024-08-26 22:49:31</t>
  </si>
  <si>
    <t>TCK-12323</t>
  </si>
  <si>
    <t>2024-09-12 15:57:46</t>
  </si>
  <si>
    <t>2024-09-14 06:50:09</t>
  </si>
  <si>
    <t>TCK-12324</t>
  </si>
  <si>
    <t>2024-10-02 16:42:03</t>
  </si>
  <si>
    <t>2024-10-02 21:36:16</t>
  </si>
  <si>
    <t>TCK-12325</t>
  </si>
  <si>
    <t>2024-08-24 05:56:47</t>
  </si>
  <si>
    <t>2024-08-24 10:39:21</t>
  </si>
  <si>
    <t>TCK-12326</t>
  </si>
  <si>
    <t>2024-06-08 12:42:40</t>
  </si>
  <si>
    <t>2024-06-08 15:44:34</t>
  </si>
  <si>
    <t>TCK-12327</t>
  </si>
  <si>
    <t>2024-08-23 11:05:53</t>
  </si>
  <si>
    <t>2024-08-24 05:13:01</t>
  </si>
  <si>
    <t>TCK-12328</t>
  </si>
  <si>
    <t>2024-11-29 14:23:05</t>
  </si>
  <si>
    <t>TCK-12329</t>
  </si>
  <si>
    <t>2024-12-13 14:41:57</t>
  </si>
  <si>
    <t>2024-12-16 03:32:45</t>
  </si>
  <si>
    <t>TCK-12330</t>
  </si>
  <si>
    <t>2024-04-27 08:51:56</t>
  </si>
  <si>
    <t>2024-04-28 04:47:01</t>
  </si>
  <si>
    <t>TCK-12331</t>
  </si>
  <si>
    <t>2024-08-15 18:14:07</t>
  </si>
  <si>
    <t>2024-08-15 22:53:19</t>
  </si>
  <si>
    <t>TCK-12332</t>
  </si>
  <si>
    <t>2024-05-28 11:51:04</t>
  </si>
  <si>
    <t>2024-05-31 03:29:21</t>
  </si>
  <si>
    <t>TCK-12333</t>
  </si>
  <si>
    <t>2024-05-18 12:01:50</t>
  </si>
  <si>
    <t>2024-05-18 15:30:22</t>
  </si>
  <si>
    <t>TCK-12334</t>
  </si>
  <si>
    <t>2024-10-01 21:31:11</t>
  </si>
  <si>
    <t>2024-10-04 19:49:39</t>
  </si>
  <si>
    <t>TCK-12335</t>
  </si>
  <si>
    <t>2024-06-16 10:09:56</t>
  </si>
  <si>
    <t>2024-06-17 19:45:46</t>
  </si>
  <si>
    <t>TCK-12336</t>
  </si>
  <si>
    <t>2024-03-14 19:01:47</t>
  </si>
  <si>
    <t>2024-03-14 23:30:56</t>
  </si>
  <si>
    <t>TCK-12337</t>
  </si>
  <si>
    <t>2024-12-10 00:57:56</t>
  </si>
  <si>
    <t>2024-12-10 02:41:18</t>
  </si>
  <si>
    <t>TCK-12338</t>
  </si>
  <si>
    <t>2024-03-17 00:37:32</t>
  </si>
  <si>
    <t>2024-03-17 03:28:26</t>
  </si>
  <si>
    <t>TCK-12339</t>
  </si>
  <si>
    <t>2024-10-04 16:52:43</t>
  </si>
  <si>
    <t>2024-10-05 11:25:28</t>
  </si>
  <si>
    <t>TCK-12340</t>
  </si>
  <si>
    <t>2024-09-10 04:55:33</t>
  </si>
  <si>
    <t>2024-09-10 09:41:14</t>
  </si>
  <si>
    <t>TCK-12341</t>
  </si>
  <si>
    <t>2024-12-10 11:14:45</t>
  </si>
  <si>
    <t>2024-12-11 02:47:47</t>
  </si>
  <si>
    <t>TCK-12342</t>
  </si>
  <si>
    <t>2024-04-27 15:45:29</t>
  </si>
  <si>
    <t>2024-04-27 19:03:03</t>
  </si>
  <si>
    <t>TCK-12343</t>
  </si>
  <si>
    <t>2024-03-04 05:49:42</t>
  </si>
  <si>
    <t>2024-03-05 17:17:37</t>
  </si>
  <si>
    <t>TCK-12344</t>
  </si>
  <si>
    <t>2024-10-20 02:46:47</t>
  </si>
  <si>
    <t>2024-10-21 15:56:33</t>
  </si>
  <si>
    <t>TCK-12345</t>
  </si>
  <si>
    <t>2024-01-07 15:23:01</t>
  </si>
  <si>
    <t>2024-01-07 16:19:58</t>
  </si>
  <si>
    <t>TCK-12346</t>
  </si>
  <si>
    <t>2024-06-07 21:33:08</t>
  </si>
  <si>
    <t>TCK-12347</t>
  </si>
  <si>
    <t>2024-10-31 13:00:29</t>
  </si>
  <si>
    <t>2024-11-01 01:10:01</t>
  </si>
  <si>
    <t>TCK-12348</t>
  </si>
  <si>
    <t>2024-10-18 22:55:49</t>
  </si>
  <si>
    <t>2024-10-19 06:01:01</t>
  </si>
  <si>
    <t>TCK-12349</t>
  </si>
  <si>
    <t>2024-03-08 12:51:51</t>
  </si>
  <si>
    <t>2024-03-08 18:50:56</t>
  </si>
  <si>
    <t>TCK-12350</t>
  </si>
  <si>
    <t>2024-12-22 19:26:46</t>
  </si>
  <si>
    <t>2024-12-24 15:54:43</t>
  </si>
  <si>
    <t>TCK-12351</t>
  </si>
  <si>
    <t>2024-10-15 06:20:18</t>
  </si>
  <si>
    <t>2024-10-15 12:04:18</t>
  </si>
  <si>
    <t>TCK-12352</t>
  </si>
  <si>
    <t>2024-04-23 23:55:12</t>
  </si>
  <si>
    <t>2024-04-24 09:16:20</t>
  </si>
  <si>
    <t>TCK-12353</t>
  </si>
  <si>
    <t>2024-10-10 16:48:21</t>
  </si>
  <si>
    <t>2024-10-11 12:01:57</t>
  </si>
  <si>
    <t>TCK-12354</t>
  </si>
  <si>
    <t>2024-08-30 00:14:35</t>
  </si>
  <si>
    <t>2024-08-30 13:41:31</t>
  </si>
  <si>
    <t>TCK-12355</t>
  </si>
  <si>
    <t>2024-12-23 19:39:54</t>
  </si>
  <si>
    <t>2024-12-24 17:03:36</t>
  </si>
  <si>
    <t>TCK-12356</t>
  </si>
  <si>
    <t>2024-05-03 07:27:55</t>
  </si>
  <si>
    <t>2024-05-03 20:45:15</t>
  </si>
  <si>
    <t>TCK-12357</t>
  </si>
  <si>
    <t>2024-12-21 15:05:43</t>
  </si>
  <si>
    <t>2024-12-22 05:11:33</t>
  </si>
  <si>
    <t>TCK-12358</t>
  </si>
  <si>
    <t>2024-11-04 20:36:59</t>
  </si>
  <si>
    <t>2024-11-05 00:54:29</t>
  </si>
  <si>
    <t>TCK-12359</t>
  </si>
  <si>
    <t>2024-05-14 23:03:52</t>
  </si>
  <si>
    <t>2024-05-20 13:35:34</t>
  </si>
  <si>
    <t>TCK-12360</t>
  </si>
  <si>
    <t>2024-01-20 13:13:19</t>
  </si>
  <si>
    <t>TCK-12361</t>
  </si>
  <si>
    <t>2024-08-20 16:13:36</t>
  </si>
  <si>
    <t>2024-08-20 21:05:39</t>
  </si>
  <si>
    <t>TCK-12362</t>
  </si>
  <si>
    <t>2024-12-14 20:22:23</t>
  </si>
  <si>
    <t>2024-12-15 06:41:03</t>
  </si>
  <si>
    <t>TCK-12363</t>
  </si>
  <si>
    <t>2024-03-26 21:27:25</t>
  </si>
  <si>
    <t>2024-03-27 02:09:42</t>
  </si>
  <si>
    <t>TCK-12364</t>
  </si>
  <si>
    <t>2024-09-21 01:55:27</t>
  </si>
  <si>
    <t>2024-09-22 00:30:03</t>
  </si>
  <si>
    <t>TCK-12365</t>
  </si>
  <si>
    <t>2024-01-01 22:03:10</t>
  </si>
  <si>
    <t>2024-01-02 18:54:41</t>
  </si>
  <si>
    <t>TCK-12366</t>
  </si>
  <si>
    <t>2024-07-14 08:52:28</t>
  </si>
  <si>
    <t>TCK-12367</t>
  </si>
  <si>
    <t>2024-01-05 21:27:28</t>
  </si>
  <si>
    <t>2024-01-06 00:49:29</t>
  </si>
  <si>
    <t>TCK-12368</t>
  </si>
  <si>
    <t>2024-05-16 00:16:45</t>
  </si>
  <si>
    <t>2024-05-16 01:33:15</t>
  </si>
  <si>
    <t>TCK-12369</t>
  </si>
  <si>
    <t>2024-03-11 21:11:15</t>
  </si>
  <si>
    <t>TCK-12370</t>
  </si>
  <si>
    <t>2024-08-20 11:16:19</t>
  </si>
  <si>
    <t>2024-08-20 20:10:39</t>
  </si>
  <si>
    <t>TCK-12371</t>
  </si>
  <si>
    <t>2024-12-20 12:54:30</t>
  </si>
  <si>
    <t>2024-12-20 17:00:58</t>
  </si>
  <si>
    <t>TCK-12372</t>
  </si>
  <si>
    <t>2024-02-22 07:18:15</t>
  </si>
  <si>
    <t>2024-02-22 08:48:03</t>
  </si>
  <si>
    <t>TCK-12373</t>
  </si>
  <si>
    <t>2024-12-27 02:19:15</t>
  </si>
  <si>
    <t>2024-12-27 19:01:26</t>
  </si>
  <si>
    <t>TCK-12374</t>
  </si>
  <si>
    <t>2024-06-18 14:48:16</t>
  </si>
  <si>
    <t>2024-06-19 10:28:43</t>
  </si>
  <si>
    <t>TCK-12375</t>
  </si>
  <si>
    <t>2024-03-11 04:39:12</t>
  </si>
  <si>
    <t>2024-03-11 07:15:02</t>
  </si>
  <si>
    <t>TCK-12376</t>
  </si>
  <si>
    <t>2024-02-08 01:00:02</t>
  </si>
  <si>
    <t>2024-02-08 10:04:51</t>
  </si>
  <si>
    <t>TCK-12377</t>
  </si>
  <si>
    <t>2024-11-27 02:07:04</t>
  </si>
  <si>
    <t>2024-11-28 17:37:05</t>
  </si>
  <si>
    <t>TCK-12378</t>
  </si>
  <si>
    <t>2024-11-18 05:18:30</t>
  </si>
  <si>
    <t>2024-11-19 00:48:12</t>
  </si>
  <si>
    <t>TCK-12379</t>
  </si>
  <si>
    <t>2024-12-04 02:28:22</t>
  </si>
  <si>
    <t>2024-12-04 20:26:59</t>
  </si>
  <si>
    <t>TCK-12380</t>
  </si>
  <si>
    <t>2024-05-07 05:13:10</t>
  </si>
  <si>
    <t>TCK-12381</t>
  </si>
  <si>
    <t>2024-10-18 15:13:14</t>
  </si>
  <si>
    <t>2024-10-18 22:19:53</t>
  </si>
  <si>
    <t>TCK-12382</t>
  </si>
  <si>
    <t>2024-07-12 16:05:36</t>
  </si>
  <si>
    <t>2024-07-13 14:04:20</t>
  </si>
  <si>
    <t>TCK-12383</t>
  </si>
  <si>
    <t>2024-04-19 18:16:37</t>
  </si>
  <si>
    <t>2024-04-20 04:21:08</t>
  </si>
  <si>
    <t>TCK-12384</t>
  </si>
  <si>
    <t>2024-03-11 08:26:55</t>
  </si>
  <si>
    <t>2024-03-11 09:21:53</t>
  </si>
  <si>
    <t>TCK-12385</t>
  </si>
  <si>
    <t>2024-01-18 23:49:51</t>
  </si>
  <si>
    <t>2024-01-19 05:36:48</t>
  </si>
  <si>
    <t>TCK-12386</t>
  </si>
  <si>
    <t>2024-12-22 11:24:01</t>
  </si>
  <si>
    <t>2024-12-22 22:27:35</t>
  </si>
  <si>
    <t>TCK-12387</t>
  </si>
  <si>
    <t>2024-08-16 17:44:44</t>
  </si>
  <si>
    <t>2024-08-16 23:25:39</t>
  </si>
  <si>
    <t>TCK-12388</t>
  </si>
  <si>
    <t>2024-02-13 09:36:13</t>
  </si>
  <si>
    <t>2024-02-14 02:02:33</t>
  </si>
  <si>
    <t>TCK-12389</t>
  </si>
  <si>
    <t>2024-01-02 03:51:42</t>
  </si>
  <si>
    <t>2024-01-02 06:06:40</t>
  </si>
  <si>
    <t>TCK-12390</t>
  </si>
  <si>
    <t>2024-02-07 18:09:04</t>
  </si>
  <si>
    <t>2024-02-08 05:21:51</t>
  </si>
  <si>
    <t>TCK-12391</t>
  </si>
  <si>
    <t>2024-01-02 01:48:42</t>
  </si>
  <si>
    <t>2024-01-03 09:32:20</t>
  </si>
  <si>
    <t>TCK-12392</t>
  </si>
  <si>
    <t>2024-08-25 19:15:50</t>
  </si>
  <si>
    <t>2024-08-26 05:21:46</t>
  </si>
  <si>
    <t>TCK-12393</t>
  </si>
  <si>
    <t>2024-11-29 11:13:29</t>
  </si>
  <si>
    <t>2024-11-29 17:23:38</t>
  </si>
  <si>
    <t>TCK-12394</t>
  </si>
  <si>
    <t>2024-03-24 15:11:35</t>
  </si>
  <si>
    <t>2024-04-28 10:11:35</t>
  </si>
  <si>
    <t>TCK-12395</t>
  </si>
  <si>
    <t>2024-11-11 10:05:58</t>
  </si>
  <si>
    <t>2024-11-11 23:45:47</t>
  </si>
  <si>
    <t>TCK-12396</t>
  </si>
  <si>
    <t>2024-02-12 12:47:10</t>
  </si>
  <si>
    <t>2024-02-12 16:14:46</t>
  </si>
  <si>
    <t>TCK-12397</t>
  </si>
  <si>
    <t>2024-02-29 12:02:50</t>
  </si>
  <si>
    <t>TCK-12398</t>
  </si>
  <si>
    <t>2024-05-15 23:58:09</t>
  </si>
  <si>
    <t>2024-05-16 18:02:38</t>
  </si>
  <si>
    <t>TCK-12399</t>
  </si>
  <si>
    <t>2024-10-13 06:39:24</t>
  </si>
  <si>
    <t>2024-10-14 04:41:39</t>
  </si>
  <si>
    <t>TCK-12400</t>
  </si>
  <si>
    <t>2024-05-24 02:49:53</t>
  </si>
  <si>
    <t>2024-05-24 18:30:01</t>
  </si>
  <si>
    <t>TCK-12401</t>
  </si>
  <si>
    <t>2024-08-29 13:43:23</t>
  </si>
  <si>
    <t>2024-08-29 15:16:32</t>
  </si>
  <si>
    <t>TCK-12402</t>
  </si>
  <si>
    <t>2024-06-12 01:21:21</t>
  </si>
  <si>
    <t>2024-06-12 13:54:15</t>
  </si>
  <si>
    <t>TCK-12403</t>
  </si>
  <si>
    <t>2024-01-07 19:03:41</t>
  </si>
  <si>
    <t>2024-01-09 14:45:27</t>
  </si>
  <si>
    <t>TCK-12404</t>
  </si>
  <si>
    <t>2024-05-29 15:32:26</t>
  </si>
  <si>
    <t>2024-05-30 03:05:03</t>
  </si>
  <si>
    <t>TCK-12405</t>
  </si>
  <si>
    <t>2024-07-16 07:43:27</t>
  </si>
  <si>
    <t>2024-07-16 23:48:57</t>
  </si>
  <si>
    <t>TCK-12406</t>
  </si>
  <si>
    <t>2024-01-04 20:11:19</t>
  </si>
  <si>
    <t>2024-01-05 04:03:29</t>
  </si>
  <si>
    <t>TCK-12407</t>
  </si>
  <si>
    <t>2024-10-24 08:45:09</t>
  </si>
  <si>
    <t>2024-10-24 19:14:17</t>
  </si>
  <si>
    <t>TCK-12408</t>
  </si>
  <si>
    <t>2024-01-02 19:51:31</t>
  </si>
  <si>
    <t>2024-01-03 05:26:17</t>
  </si>
  <si>
    <t>TCK-12409</t>
  </si>
  <si>
    <t>2024-08-10 01:54:21</t>
  </si>
  <si>
    <t>2024-08-10 08:27:55</t>
  </si>
  <si>
    <t>TCK-12410</t>
  </si>
  <si>
    <t>2024-06-28 18:33:21</t>
  </si>
  <si>
    <t>2024-06-28 23:18:36</t>
  </si>
  <si>
    <t>TCK-12411</t>
  </si>
  <si>
    <t>2024-02-11 19:36:51</t>
  </si>
  <si>
    <t>2024-02-12 00:49:01</t>
  </si>
  <si>
    <t>TCK-12412</t>
  </si>
  <si>
    <t>2024-09-14 18:30:06</t>
  </si>
  <si>
    <t>TCK-12413</t>
  </si>
  <si>
    <t>2024-02-16 06:20:01</t>
  </si>
  <si>
    <t>2024-02-17 03:19:09</t>
  </si>
  <si>
    <t>TCK-12414</t>
  </si>
  <si>
    <t>2024-08-22 01:27:20</t>
  </si>
  <si>
    <t>2024-08-23 13:27:20</t>
  </si>
  <si>
    <t>TCK-12415</t>
  </si>
  <si>
    <t>2024-03-27 07:57:57</t>
  </si>
  <si>
    <t>2024-03-27 08:30:20</t>
  </si>
  <si>
    <t>TCK-12416</t>
  </si>
  <si>
    <t>2024-09-16 06:37:42</t>
  </si>
  <si>
    <t>2024-09-17 22:17:47</t>
  </si>
  <si>
    <t>TCK-12417</t>
  </si>
  <si>
    <t>2024-08-03 05:25:48</t>
  </si>
  <si>
    <t>2024-08-04 02:07:39</t>
  </si>
  <si>
    <t>TCK-12418</t>
  </si>
  <si>
    <t>2024-01-19 16:20:22</t>
  </si>
  <si>
    <t>2024-01-19 17:05:08</t>
  </si>
  <si>
    <t>TCK-12419</t>
  </si>
  <si>
    <t>2024-10-29 16:39:06</t>
  </si>
  <si>
    <t>2024-10-30 00:22:38</t>
  </si>
  <si>
    <t>TCK-12420</t>
  </si>
  <si>
    <t>2024-11-16 21:55:10</t>
  </si>
  <si>
    <t>2024-11-17 15:50:50</t>
  </si>
  <si>
    <t>TCK-12421</t>
  </si>
  <si>
    <t>2024-12-20 14:56:14</t>
  </si>
  <si>
    <t>2024-12-20 15:27:21</t>
  </si>
  <si>
    <t>TCK-12422</t>
  </si>
  <si>
    <t>2024-10-18 15:37:38</t>
  </si>
  <si>
    <t>2024-10-19 04:45:15</t>
  </si>
  <si>
    <t>TCK-12423</t>
  </si>
  <si>
    <t>2024-02-21 09:55:03</t>
  </si>
  <si>
    <t>2024-02-21 20:55:30</t>
  </si>
  <si>
    <t>TCK-12424</t>
  </si>
  <si>
    <t>2024-06-05 00:22:20</t>
  </si>
  <si>
    <t>2024-06-05 10:18:53</t>
  </si>
  <si>
    <t>TCK-12425</t>
  </si>
  <si>
    <t>2024-05-14 00:06:40</t>
  </si>
  <si>
    <t>2024-05-14 06:08:51</t>
  </si>
  <si>
    <t>TCK-12426</t>
  </si>
  <si>
    <t>2024-03-11 13:10:42</t>
  </si>
  <si>
    <t>TCK-12427</t>
  </si>
  <si>
    <t>2024-09-08 19:17:21</t>
  </si>
  <si>
    <t>2024-09-09 05:37:14</t>
  </si>
  <si>
    <t>TCK-12428</t>
  </si>
  <si>
    <t>2024-09-23 06:11:10</t>
  </si>
  <si>
    <t>2024-09-24 01:53:14</t>
  </si>
  <si>
    <t>TCK-12429</t>
  </si>
  <si>
    <t>2024-07-26 20:45:35</t>
  </si>
  <si>
    <t>2024-07-26 23:02:35</t>
  </si>
  <si>
    <t>TCK-12430</t>
  </si>
  <si>
    <t>2024-11-18 05:54:10</t>
  </si>
  <si>
    <t>2024-11-18 18:14:38</t>
  </si>
  <si>
    <t>TCK-12431</t>
  </si>
  <si>
    <t>2024-12-03 18:56:09</t>
  </si>
  <si>
    <t>TCK-12432</t>
  </si>
  <si>
    <t>2024-09-05 22:05:40</t>
  </si>
  <si>
    <t>2024-09-06 03:15:49</t>
  </si>
  <si>
    <t>TCK-12433</t>
  </si>
  <si>
    <t>2024-08-28 03:22:55</t>
  </si>
  <si>
    <t>2024-08-28 08:43:42</t>
  </si>
  <si>
    <t>TCK-12434</t>
  </si>
  <si>
    <t>2024-11-23 05:11:43</t>
  </si>
  <si>
    <t>2024-11-23 18:42:26</t>
  </si>
  <si>
    <t>TCK-12435</t>
  </si>
  <si>
    <t>2024-02-02 23:14:52</t>
  </si>
  <si>
    <t>2024-02-03 07:56:29</t>
  </si>
  <si>
    <t>TCK-12436</t>
  </si>
  <si>
    <t>2024-06-23 09:52:13</t>
  </si>
  <si>
    <t>2024-06-23 15:08:58</t>
  </si>
  <si>
    <t>TCK-12437</t>
  </si>
  <si>
    <t>2024-07-24 17:55:57</t>
  </si>
  <si>
    <t>2024-07-26 00:42:20</t>
  </si>
  <si>
    <t>TCK-12438</t>
  </si>
  <si>
    <t>2024-09-30 02:10:11</t>
  </si>
  <si>
    <t>2024-10-02 23:35:12</t>
  </si>
  <si>
    <t>TCK-12439</t>
  </si>
  <si>
    <t>2024-07-08 23:34:08</t>
  </si>
  <si>
    <t>2024-07-09 19:47:43</t>
  </si>
  <si>
    <t>TCK-12440</t>
  </si>
  <si>
    <t>2024-03-19 09:49:17</t>
  </si>
  <si>
    <t>TCK-12441</t>
  </si>
  <si>
    <t>2024-03-09 07:53:16</t>
  </si>
  <si>
    <t>2024-03-09 13:04:52</t>
  </si>
  <si>
    <t>TCK-12442</t>
  </si>
  <si>
    <t>2024-06-18 04:34:57</t>
  </si>
  <si>
    <t>2024-06-18 08:09:39</t>
  </si>
  <si>
    <t>TCK-12443</t>
  </si>
  <si>
    <t>2024-03-23 22:34:18</t>
  </si>
  <si>
    <t>2024-03-25 14:36:05</t>
  </si>
  <si>
    <t>TCK-12444</t>
  </si>
  <si>
    <t>2024-09-23 13:52:25</t>
  </si>
  <si>
    <t>2024-09-24 07:25:00</t>
  </si>
  <si>
    <t>TCK-12445</t>
  </si>
  <si>
    <t>2024-08-18 10:24:20</t>
  </si>
  <si>
    <t>2024-08-18 20:46:36</t>
  </si>
  <si>
    <t>TCK-12446</t>
  </si>
  <si>
    <t>2024-04-10 02:58:16</t>
  </si>
  <si>
    <t>TCK-12447</t>
  </si>
  <si>
    <t>2024-05-12 22:35:30</t>
  </si>
  <si>
    <t>2024-05-13 00:48:04</t>
  </si>
  <si>
    <t>TCK-12448</t>
  </si>
  <si>
    <t>2024-07-05 15:02:24</t>
  </si>
  <si>
    <t>2024-07-05 20:37:44</t>
  </si>
  <si>
    <t>TCK-12449</t>
  </si>
  <si>
    <t>2024-06-08 09:44:13</t>
  </si>
  <si>
    <t>2024-06-09 03:09:13</t>
  </si>
  <si>
    <t>TCK-12450</t>
  </si>
  <si>
    <t>2024-07-20 00:01:09</t>
  </si>
  <si>
    <t>2024-07-20 01:58:47</t>
  </si>
  <si>
    <t>TCK-12451</t>
  </si>
  <si>
    <t>2024-05-24 09:22:01</t>
  </si>
  <si>
    <t>2024-05-25 11:22:43</t>
  </si>
  <si>
    <t>TCK-12452</t>
  </si>
  <si>
    <t>2024-10-15 10:59:01</t>
  </si>
  <si>
    <t>2024-10-15 14:55:49</t>
  </si>
  <si>
    <t>TCK-12453</t>
  </si>
  <si>
    <t>2024-09-13 18:45:04</t>
  </si>
  <si>
    <t>2024-09-15 01:38:04</t>
  </si>
  <si>
    <t>TCK-12454</t>
  </si>
  <si>
    <t>2024-06-24 19:34:37</t>
  </si>
  <si>
    <t>2024-06-27 22:33:53</t>
  </si>
  <si>
    <t>TCK-12455</t>
  </si>
  <si>
    <t>2024-02-08 17:38:33</t>
  </si>
  <si>
    <t>2024-02-10 19:19:20</t>
  </si>
  <si>
    <t>TCK-12456</t>
  </si>
  <si>
    <t>2024-07-22 14:09:45</t>
  </si>
  <si>
    <t>2024-07-22 17:17:10</t>
  </si>
  <si>
    <t>TCK-12457</t>
  </si>
  <si>
    <t>2024-07-27 15:23:14</t>
  </si>
  <si>
    <t>TCK-12458</t>
  </si>
  <si>
    <t>2024-07-10 06:49:40</t>
  </si>
  <si>
    <t>2024-07-15 06:17:38</t>
  </si>
  <si>
    <t>TCK-12459</t>
  </si>
  <si>
    <t>2024-12-22 10:18:45</t>
  </si>
  <si>
    <t>2024-12-26 06:23:31</t>
  </si>
  <si>
    <t>TCK-12460</t>
  </si>
  <si>
    <t>2024-05-24 04:26:20</t>
  </si>
  <si>
    <t>2024-05-24 10:36:22</t>
  </si>
  <si>
    <t>TCK-12461</t>
  </si>
  <si>
    <t>2024-11-18 07:23:20</t>
  </si>
  <si>
    <t>2024-11-19 01:04:06</t>
  </si>
  <si>
    <t>TCK-12462</t>
  </si>
  <si>
    <t>2024-09-17 02:56:06</t>
  </si>
  <si>
    <t>2024-09-17 07:38:58</t>
  </si>
  <si>
    <t>TCK-12463</t>
  </si>
  <si>
    <t>2024-02-01 07:58:42</t>
  </si>
  <si>
    <t>2024-02-01 14:34:33</t>
  </si>
  <si>
    <t>TCK-12464</t>
  </si>
  <si>
    <t>2024-05-02 17:24:09</t>
  </si>
  <si>
    <t>2024-05-02 20:26:00</t>
  </si>
  <si>
    <t>TCK-12465</t>
  </si>
  <si>
    <t>2024-02-09 13:59:16</t>
  </si>
  <si>
    <t>2024-02-11 01:59:16</t>
  </si>
  <si>
    <t>TCK-12466</t>
  </si>
  <si>
    <t>2024-03-21 13:30:11</t>
  </si>
  <si>
    <t>2024-03-21 18:45:22</t>
  </si>
  <si>
    <t>TCK-12467</t>
  </si>
  <si>
    <t>2024-03-25 14:53:37</t>
  </si>
  <si>
    <t>2024-03-25 22:13:49</t>
  </si>
  <si>
    <t>TCK-12468</t>
  </si>
  <si>
    <t>2024-09-30 20:41:13</t>
  </si>
  <si>
    <t>2024-09-30 22:04:45</t>
  </si>
  <si>
    <t>TCK-12469</t>
  </si>
  <si>
    <t>2024-02-03 17:05:43</t>
  </si>
  <si>
    <t>2024-02-04 11:05:43</t>
  </si>
  <si>
    <t>TCK-12470</t>
  </si>
  <si>
    <t>2024-02-15 06:18:37</t>
  </si>
  <si>
    <t>2024-02-15 12:48:39</t>
  </si>
  <si>
    <t>TCK-12471</t>
  </si>
  <si>
    <t>2024-07-02 11:02:29</t>
  </si>
  <si>
    <t>2024-07-04 18:40:07</t>
  </si>
  <si>
    <t>TCK-12472</t>
  </si>
  <si>
    <t>2024-05-13 14:04:03</t>
  </si>
  <si>
    <t>2024-05-13 21:40:11</t>
  </si>
  <si>
    <t>TCK-12473</t>
  </si>
  <si>
    <t>2024-06-09 10:03:47</t>
  </si>
  <si>
    <t>2024-06-09 19:12:46</t>
  </si>
  <si>
    <t>TCK-12474</t>
  </si>
  <si>
    <t>2024-07-27 06:24:46</t>
  </si>
  <si>
    <t>2024-07-28 02:26:37</t>
  </si>
  <si>
    <t>TCK-12475</t>
  </si>
  <si>
    <t>2024-03-14 16:45:46</t>
  </si>
  <si>
    <t>TCK-12476</t>
  </si>
  <si>
    <t>2024-01-04 13:06:21</t>
  </si>
  <si>
    <t>2024-01-05 11:06:52</t>
  </si>
  <si>
    <t>TCK-12477</t>
  </si>
  <si>
    <t>2024-04-10 23:34:29</t>
  </si>
  <si>
    <t>2024-04-11 06:17:15</t>
  </si>
  <si>
    <t>TCK-12478</t>
  </si>
  <si>
    <t>2024-06-09 05:53:41</t>
  </si>
  <si>
    <t>2024-06-10 03:00:37</t>
  </si>
  <si>
    <t>TCK-12479</t>
  </si>
  <si>
    <t>2024-08-31 17:13:54</t>
  </si>
  <si>
    <t>2024-09-02 09:02:45</t>
  </si>
  <si>
    <t>TCK-12480</t>
  </si>
  <si>
    <t>2024-07-17 01:35:55</t>
  </si>
  <si>
    <t>2024-07-17 20:57:15</t>
  </si>
  <si>
    <t>TCK-12481</t>
  </si>
  <si>
    <t>2024-07-28 03:08:43</t>
  </si>
  <si>
    <t>2024-07-29 05:20:27</t>
  </si>
  <si>
    <t>TCK-12482</t>
  </si>
  <si>
    <t>2024-11-09 08:52:31</t>
  </si>
  <si>
    <t>2024-11-12 00:29:12</t>
  </si>
  <si>
    <t>TCK-12483</t>
  </si>
  <si>
    <t>2024-10-24 16:31:48</t>
  </si>
  <si>
    <t>2024-10-24 23:58:56</t>
  </si>
  <si>
    <t>TCK-12484</t>
  </si>
  <si>
    <t>2024-08-01 07:14:29</t>
  </si>
  <si>
    <t>2024-08-01 17:53:50</t>
  </si>
  <si>
    <t>TCK-12485</t>
  </si>
  <si>
    <t>2024-06-23 21:42:36</t>
  </si>
  <si>
    <t>2024-06-24 01:12:52</t>
  </si>
  <si>
    <t>TCK-12486</t>
  </si>
  <si>
    <t>2024-05-15 21:54:34</t>
  </si>
  <si>
    <t>2024-05-15 23:36:55</t>
  </si>
  <si>
    <t>TCK-12487</t>
  </si>
  <si>
    <t>2024-03-06 03:14:10</t>
  </si>
  <si>
    <t>2024-03-09 03:24:41</t>
  </si>
  <si>
    <t>TCK-12488</t>
  </si>
  <si>
    <t>2024-01-14 20:49:38</t>
  </si>
  <si>
    <t>2024-01-15 00:34:45</t>
  </si>
  <si>
    <t>TCK-12489</t>
  </si>
  <si>
    <t>2024-09-25 08:34:58</t>
  </si>
  <si>
    <t>2024-09-25 18:33:21</t>
  </si>
  <si>
    <t>TCK-12490</t>
  </si>
  <si>
    <t>2024-11-22 15:07:34</t>
  </si>
  <si>
    <t>2024-11-23 13:00:10</t>
  </si>
  <si>
    <t>TCK-12491</t>
  </si>
  <si>
    <t>2024-02-26 08:01:34</t>
  </si>
  <si>
    <t>2024-02-26 20:06:33</t>
  </si>
  <si>
    <t>TCK-12492</t>
  </si>
  <si>
    <t>2024-04-09 15:50:58</t>
  </si>
  <si>
    <t>2024-04-10 16:53:11</t>
  </si>
  <si>
    <t>TCK-12493</t>
  </si>
  <si>
    <t>2024-02-26 07:36:14</t>
  </si>
  <si>
    <t>2024-02-26 14:02:14</t>
  </si>
  <si>
    <t>TCK-12494</t>
  </si>
  <si>
    <t>2024-03-16 01:28:27</t>
  </si>
  <si>
    <t>2024-03-16 02:21:20</t>
  </si>
  <si>
    <t>TCK-12495</t>
  </si>
  <si>
    <t>2024-06-23 13:43:43</t>
  </si>
  <si>
    <t>2024-06-24 08:17:38</t>
  </si>
  <si>
    <t>TCK-12496</t>
  </si>
  <si>
    <t>2024-11-08 00:39:32</t>
  </si>
  <si>
    <t>2024-11-10 05:09:41</t>
  </si>
  <si>
    <t>TCK-12497</t>
  </si>
  <si>
    <t>2024-06-29 20:40:54</t>
  </si>
  <si>
    <t>2024-06-30 18:34:12</t>
  </si>
  <si>
    <t>TCK-12498</t>
  </si>
  <si>
    <t>2024-01-06 02:52:13</t>
  </si>
  <si>
    <t>2024-01-06 03:23:16</t>
  </si>
  <si>
    <t>TCK-12499</t>
  </si>
  <si>
    <t>2024-03-03 13:37:00</t>
  </si>
  <si>
    <t>2024-03-03 17:01:27</t>
  </si>
  <si>
    <t>TCK-12500</t>
  </si>
  <si>
    <t>2024-07-11 19:27:35</t>
  </si>
  <si>
    <t>2024-07-11 22:09:32</t>
  </si>
  <si>
    <t>TCK-12501</t>
  </si>
  <si>
    <t>2024-02-13 18:44:50</t>
  </si>
  <si>
    <t>2024-02-17 17:30:35</t>
  </si>
  <si>
    <t>TCK-12502</t>
  </si>
  <si>
    <t>2024-04-10 01:52:43</t>
  </si>
  <si>
    <t>2024-04-10 08:01:36</t>
  </si>
  <si>
    <t>TCK-12503</t>
  </si>
  <si>
    <t>2024-03-12 15:54:06</t>
  </si>
  <si>
    <t>2024-03-13 12:53:36</t>
  </si>
  <si>
    <t>TCK-12504</t>
  </si>
  <si>
    <t>2024-02-02 06:55:31</t>
  </si>
  <si>
    <t>2024-02-02 10:45:30</t>
  </si>
  <si>
    <t>TCK-12505</t>
  </si>
  <si>
    <t>2024-12-09 08:58:14</t>
  </si>
  <si>
    <t>2024-12-09 12:10:18</t>
  </si>
  <si>
    <t>TCK-12506</t>
  </si>
  <si>
    <t>2024-12-24 18:30:38</t>
  </si>
  <si>
    <t>2024-12-24 19:28:28</t>
  </si>
  <si>
    <t>TCK-12507</t>
  </si>
  <si>
    <t>2024-02-22 08:22:44</t>
  </si>
  <si>
    <t>2024-02-22 09:25:51</t>
  </si>
  <si>
    <t>TCK-12508</t>
  </si>
  <si>
    <t>2024-08-11 15:07:54</t>
  </si>
  <si>
    <t>TCK-12509</t>
  </si>
  <si>
    <t>2024-02-05 15:25:28</t>
  </si>
  <si>
    <t>2024-02-05 19:52:05</t>
  </si>
  <si>
    <t>TCK-12510</t>
  </si>
  <si>
    <t>2024-07-05 08:19:09</t>
  </si>
  <si>
    <t>2024-07-05 18:27:29</t>
  </si>
  <si>
    <t>TCK-12511</t>
  </si>
  <si>
    <t>2024-01-05 02:08:45</t>
  </si>
  <si>
    <t>2024-01-05 13:29:15</t>
  </si>
  <si>
    <t>TCK-12512</t>
  </si>
  <si>
    <t>2024-02-04 17:32:21</t>
  </si>
  <si>
    <t>2024-02-07 08:09:57</t>
  </si>
  <si>
    <t>TCK-12513</t>
  </si>
  <si>
    <t>2024-01-18 06:29:39</t>
  </si>
  <si>
    <t>2024-01-18 15:34:18</t>
  </si>
  <si>
    <t>TCK-12514</t>
  </si>
  <si>
    <t>2024-11-01 08:40:24</t>
  </si>
  <si>
    <t>2024-11-01 15:53:46</t>
  </si>
  <si>
    <t>TCK-12515</t>
  </si>
  <si>
    <t>2024-03-02 14:03:36</t>
  </si>
  <si>
    <t>2024-03-02 15:51:59</t>
  </si>
  <si>
    <t>TCK-12516</t>
  </si>
  <si>
    <t>2024-03-06 15:28:54</t>
  </si>
  <si>
    <t>TCK-12517</t>
  </si>
  <si>
    <t>2024-02-27 23:02:34</t>
  </si>
  <si>
    <t>2024-02-28 03:55:24</t>
  </si>
  <si>
    <t>TCK-12518</t>
  </si>
  <si>
    <t>2024-08-01 08:47:53</t>
  </si>
  <si>
    <t>2024-08-01 16:04:45</t>
  </si>
  <si>
    <t>TCK-12519</t>
  </si>
  <si>
    <t>2024-01-03 05:00:42</t>
  </si>
  <si>
    <t>2024-01-03 08:07:33</t>
  </si>
  <si>
    <t>TCK-12520</t>
  </si>
  <si>
    <t>2024-11-28 17:19:24</t>
  </si>
  <si>
    <t>2024-11-30 12:13:23</t>
  </si>
  <si>
    <t>TCK-12521</t>
  </si>
  <si>
    <t>2024-08-14 08:22:28</t>
  </si>
  <si>
    <t>2024-08-14 11:41:12</t>
  </si>
  <si>
    <t>TCK-12522</t>
  </si>
  <si>
    <t>2024-11-05 03:23:51</t>
  </si>
  <si>
    <t>2024-11-06 22:46:46</t>
  </si>
  <si>
    <t>TCK-12523</t>
  </si>
  <si>
    <t>2024-01-10 06:54:46</t>
  </si>
  <si>
    <t>2024-01-11 05:26:34</t>
  </si>
  <si>
    <t>TCK-12524</t>
  </si>
  <si>
    <t>2024-10-08 02:57:54</t>
  </si>
  <si>
    <t>2024-10-08 11:32:15</t>
  </si>
  <si>
    <t>TCK-12525</t>
  </si>
  <si>
    <t>2024-09-08 02:56:09</t>
  </si>
  <si>
    <t>2024-09-09 18:35:57</t>
  </si>
  <si>
    <t>TCK-12526</t>
  </si>
  <si>
    <t>2024-03-14 18:39:24</t>
  </si>
  <si>
    <t>2024-03-15 01:56:08</t>
  </si>
  <si>
    <t>TCK-12527</t>
  </si>
  <si>
    <t>2024-01-12 23:21:10</t>
  </si>
  <si>
    <t>2024-01-13 19:55:13</t>
  </si>
  <si>
    <t>TCK-12528</t>
  </si>
  <si>
    <t>2024-06-06 09:29:09</t>
  </si>
  <si>
    <t>2024-06-07 05:51:46</t>
  </si>
  <si>
    <t>TCK-12529</t>
  </si>
  <si>
    <t>2024-11-10 22:48:12</t>
  </si>
  <si>
    <t>2024-11-11 17:23:03</t>
  </si>
  <si>
    <t>TCK-12530</t>
  </si>
  <si>
    <t>2024-08-19 23:26:34</t>
  </si>
  <si>
    <t>TCK-12531</t>
  </si>
  <si>
    <t>2024-06-01 05:08:55</t>
  </si>
  <si>
    <t>2024-06-01 12:06:05</t>
  </si>
  <si>
    <t>TCK-12532</t>
  </si>
  <si>
    <t>2024-11-03 00:14:42</t>
  </si>
  <si>
    <t>2024-11-05 23:26:57</t>
  </si>
  <si>
    <t>TCK-12533</t>
  </si>
  <si>
    <t>2024-01-08 02:09:01</t>
  </si>
  <si>
    <t>TCK-12534</t>
  </si>
  <si>
    <t>2024-08-05 19:42:21</t>
  </si>
  <si>
    <t>2024-08-07 14:47:13</t>
  </si>
  <si>
    <t>TCK-12535</t>
  </si>
  <si>
    <t>2024-11-01 16:51:49</t>
  </si>
  <si>
    <t>2024-11-03 12:40:13</t>
  </si>
  <si>
    <t>TCK-12536</t>
  </si>
  <si>
    <t>2024-01-24 22:59:51</t>
  </si>
  <si>
    <t>2024-01-25 03:08:11</t>
  </si>
  <si>
    <t>TCK-12537</t>
  </si>
  <si>
    <t>2024-07-22 04:51:22</t>
  </si>
  <si>
    <t>2024-07-22 16:23:02</t>
  </si>
  <si>
    <t>TCK-12538</t>
  </si>
  <si>
    <t>2024-08-08 20:15:49</t>
  </si>
  <si>
    <t>2024-08-09 12:01:22</t>
  </si>
  <si>
    <t>TCK-12539</t>
  </si>
  <si>
    <t>2024-07-26 01:52:35</t>
  </si>
  <si>
    <t>2024-07-26 20:54:01</t>
  </si>
  <si>
    <t>TCK-12540</t>
  </si>
  <si>
    <t>2024-12-21 01:56:15</t>
  </si>
  <si>
    <t>2024-12-25 17:39:14</t>
  </si>
  <si>
    <t>TCK-12541</t>
  </si>
  <si>
    <t>2024-06-20 03:17:20</t>
  </si>
  <si>
    <t>2024-06-20 18:22:42</t>
  </si>
  <si>
    <t>TCK-12542</t>
  </si>
  <si>
    <t>2024-01-03 23:47:12</t>
  </si>
  <si>
    <t>2024-01-05 13:07:48</t>
  </si>
  <si>
    <t>TCK-12543</t>
  </si>
  <si>
    <t>2024-06-13 03:58:50</t>
  </si>
  <si>
    <t>2024-06-13 04:43:33</t>
  </si>
  <si>
    <t>TCK-12544</t>
  </si>
  <si>
    <t>2024-11-17 03:20:43</t>
  </si>
  <si>
    <t>TCK-12545</t>
  </si>
  <si>
    <t>2024-07-17 03:50:23</t>
  </si>
  <si>
    <t>TCK-12546</t>
  </si>
  <si>
    <t>2024-10-31 11:41:20</t>
  </si>
  <si>
    <t>TCK-12547</t>
  </si>
  <si>
    <t>2024-12-26 04:31:03</t>
  </si>
  <si>
    <t>2024-12-27 18:19:58</t>
  </si>
  <si>
    <t>TCK-12548</t>
  </si>
  <si>
    <t>2024-07-03 03:31:19</t>
  </si>
  <si>
    <t>2024-07-03 06:13:43</t>
  </si>
  <si>
    <t>TCK-12549</t>
  </si>
  <si>
    <t>2024-12-28 12:55:20</t>
  </si>
  <si>
    <t>2024-12-28 14:42:43</t>
  </si>
  <si>
    <t>TCK-12550</t>
  </si>
  <si>
    <t>2024-12-01 21:56:37</t>
  </si>
  <si>
    <t>2024-12-02 18:06:16</t>
  </si>
  <si>
    <t>TCK-12551</t>
  </si>
  <si>
    <t>2024-02-13 05:35:18</t>
  </si>
  <si>
    <t>2024-02-13 07:30:03</t>
  </si>
  <si>
    <t>TCK-12552</t>
  </si>
  <si>
    <t>2024-11-01 10:49:57</t>
  </si>
  <si>
    <t>2024-11-01 12:28:25</t>
  </si>
  <si>
    <t>TCK-12553</t>
  </si>
  <si>
    <t>2024-08-26 04:31:57</t>
  </si>
  <si>
    <t>2024-08-26 06:59:02</t>
  </si>
  <si>
    <t>TCK-12554</t>
  </si>
  <si>
    <t>2024-04-01 00:23:37</t>
  </si>
  <si>
    <t>2024-04-01 21:22:18</t>
  </si>
  <si>
    <t>TCK-12555</t>
  </si>
  <si>
    <t>2024-07-24 11:30:28</t>
  </si>
  <si>
    <t>2024-07-24 19:12:18</t>
  </si>
  <si>
    <t>TCK-12556</t>
  </si>
  <si>
    <t>2024-05-15 05:13:34</t>
  </si>
  <si>
    <t>2024-05-16 01:09:56</t>
  </si>
  <si>
    <t>TCK-12557</t>
  </si>
  <si>
    <t>2024-10-18 12:11:38</t>
  </si>
  <si>
    <t>2024-10-18 15:43:25</t>
  </si>
  <si>
    <t>TCK-12558</t>
  </si>
  <si>
    <t>2024-10-16 06:20:30</t>
  </si>
  <si>
    <t>2024-10-17 13:19:46</t>
  </si>
  <si>
    <t>TCK-12559</t>
  </si>
  <si>
    <t>2024-01-21 20:47:49</t>
  </si>
  <si>
    <t>2024-01-23 00:04:04</t>
  </si>
  <si>
    <t>TCK-12560</t>
  </si>
  <si>
    <t>2024-08-23 01:19:50</t>
  </si>
  <si>
    <t>2024-08-23 18:16:52</t>
  </si>
  <si>
    <t>TCK-12561</t>
  </si>
  <si>
    <t>2024-11-12 04:25:30</t>
  </si>
  <si>
    <t>2024-11-13 00:42:39</t>
  </si>
  <si>
    <t>TCK-12562</t>
  </si>
  <si>
    <t>2024-01-19 00:54:11</t>
  </si>
  <si>
    <t>2024-01-21 10:06:08</t>
  </si>
  <si>
    <t>TCK-12563</t>
  </si>
  <si>
    <t>2024-10-19 02:12:43</t>
  </si>
  <si>
    <t>2024-10-20 22:55:18</t>
  </si>
  <si>
    <t>TCK-12564</t>
  </si>
  <si>
    <t>2024-07-22 18:56:53</t>
  </si>
  <si>
    <t>TCK-12565</t>
  </si>
  <si>
    <t>2024-07-25 04:58:31</t>
  </si>
  <si>
    <t>2024-07-25 11:28:03</t>
  </si>
  <si>
    <t>TCK-12566</t>
  </si>
  <si>
    <t>2024-01-02 16:16:42</t>
  </si>
  <si>
    <t>2024-01-03 13:57:59</t>
  </si>
  <si>
    <t>TCK-12567</t>
  </si>
  <si>
    <t>2024-01-12 00:13:43</t>
  </si>
  <si>
    <t>TCK-12568</t>
  </si>
  <si>
    <t>2024-03-01 09:14:39</t>
  </si>
  <si>
    <t>2024-03-01 13:18:56</t>
  </si>
  <si>
    <t>TCK-12569</t>
  </si>
  <si>
    <t>2024-07-27 06:58:40</t>
  </si>
  <si>
    <t>2024-07-27 13:38:53</t>
  </si>
  <si>
    <t>TCK-12570</t>
  </si>
  <si>
    <t>2024-01-04 01:00:12</t>
  </si>
  <si>
    <t>2024-01-04 07:08:13</t>
  </si>
  <si>
    <t>TCK-12571</t>
  </si>
  <si>
    <t>2024-07-13 17:00:36</t>
  </si>
  <si>
    <t>2024-07-13 20:01:16</t>
  </si>
  <si>
    <t>TCK-12572</t>
  </si>
  <si>
    <t>2024-06-02 20:06:10</t>
  </si>
  <si>
    <t>2024-06-03 16:35:18</t>
  </si>
  <si>
    <t>TCK-12573</t>
  </si>
  <si>
    <t>2024-05-28 20:28:30</t>
  </si>
  <si>
    <t>2024-05-29 15:12:44</t>
  </si>
  <si>
    <t>TCK-12574</t>
  </si>
  <si>
    <t>2024-05-18 18:53:20</t>
  </si>
  <si>
    <t>2024-05-19 06:21:17</t>
  </si>
  <si>
    <t>TCK-12575</t>
  </si>
  <si>
    <t>2024-12-31 05:44:06</t>
  </si>
  <si>
    <t>2025-01-05 19:52:26</t>
  </si>
  <si>
    <t>TCK-12576</t>
  </si>
  <si>
    <t>2024-05-31 04:06:20</t>
  </si>
  <si>
    <t>2024-05-31 07:42:18</t>
  </si>
  <si>
    <t>TCK-12577</t>
  </si>
  <si>
    <t>2024-07-22 07:44:48</t>
  </si>
  <si>
    <t>2024-07-23 00:19:16</t>
  </si>
  <si>
    <t>TCK-12578</t>
  </si>
  <si>
    <t>2024-12-02 12:55:56</t>
  </si>
  <si>
    <t>2024-12-02 13:48:06</t>
  </si>
  <si>
    <t>TCK-12579</t>
  </si>
  <si>
    <t>2024-10-14 04:09:34</t>
  </si>
  <si>
    <t>2024-10-14 09:33:56</t>
  </si>
  <si>
    <t>TCK-12580</t>
  </si>
  <si>
    <t>2024-01-29 00:16:05</t>
  </si>
  <si>
    <t>2024-01-29 18:52:10</t>
  </si>
  <si>
    <t>TCK-12581</t>
  </si>
  <si>
    <t>2024-12-03 07:53:07</t>
  </si>
  <si>
    <t>2024-12-04 01:58:48</t>
  </si>
  <si>
    <t>TCK-12582</t>
  </si>
  <si>
    <t>2024-12-08 06:31:24</t>
  </si>
  <si>
    <t>2024-12-08 19:14:12</t>
  </si>
  <si>
    <t>TCK-12583</t>
  </si>
  <si>
    <t>2024-11-02 01:35:23</t>
  </si>
  <si>
    <t>2024-11-02 19:10:36</t>
  </si>
  <si>
    <t>TCK-12584</t>
  </si>
  <si>
    <t>2024-02-13 12:09:08</t>
  </si>
  <si>
    <t>2024-02-13 14:32:41</t>
  </si>
  <si>
    <t>TCK-12585</t>
  </si>
  <si>
    <t>2024-08-06 21:33:25</t>
  </si>
  <si>
    <t>2024-08-09 04:41:06</t>
  </si>
  <si>
    <t>TCK-12586</t>
  </si>
  <si>
    <t>2024-11-11 17:18:13</t>
  </si>
  <si>
    <t>2024-11-12 04:34:49</t>
  </si>
  <si>
    <t>TCK-12587</t>
  </si>
  <si>
    <t>2024-05-23 22:53:42</t>
  </si>
  <si>
    <t>2024-05-24 16:53:42</t>
  </si>
  <si>
    <t>TCK-12588</t>
  </si>
  <si>
    <t>2024-03-20 09:26:56</t>
  </si>
  <si>
    <t>2024-03-20 12:04:00</t>
  </si>
  <si>
    <t>TCK-12589</t>
  </si>
  <si>
    <t>2024-09-06 08:34:43</t>
  </si>
  <si>
    <t>2024-09-07 06:56:38</t>
  </si>
  <si>
    <t>TCK-12590</t>
  </si>
  <si>
    <t>2024-10-28 19:47:45</t>
  </si>
  <si>
    <t>2024-10-28 23:43:01</t>
  </si>
  <si>
    <t>TCK-12591</t>
  </si>
  <si>
    <t>2024-01-20 16:16:04</t>
  </si>
  <si>
    <t>2024-01-20 18:04:14</t>
  </si>
  <si>
    <t>TCK-12592</t>
  </si>
  <si>
    <t>2024-08-03 20:58:47</t>
  </si>
  <si>
    <t>2024-08-03 23:35:22</t>
  </si>
  <si>
    <t>TCK-12593</t>
  </si>
  <si>
    <t>2024-05-26 20:11:47</t>
  </si>
  <si>
    <t>2024-05-27 13:25:10</t>
  </si>
  <si>
    <t>TCK-12594</t>
  </si>
  <si>
    <t>2024-06-05 00:32:06</t>
  </si>
  <si>
    <t>2024-06-06 21:55:00</t>
  </si>
  <si>
    <t>TCK-12595</t>
  </si>
  <si>
    <t>2024-07-03 21:01:51</t>
  </si>
  <si>
    <t>2024-07-06 20:44:00</t>
  </si>
  <si>
    <t>TCK-12596</t>
  </si>
  <si>
    <t>2024-04-01 02:45:48</t>
  </si>
  <si>
    <t>2024-04-01 03:44:09</t>
  </si>
  <si>
    <t>TCK-12597</t>
  </si>
  <si>
    <t>2024-11-20 07:42:59</t>
  </si>
  <si>
    <t>2024-11-21 04:34:27</t>
  </si>
  <si>
    <t>TCK-12598</t>
  </si>
  <si>
    <t>2024-06-23 20:27:03</t>
  </si>
  <si>
    <t>2024-06-24 05:24:46</t>
  </si>
  <si>
    <t>TCK-12599</t>
  </si>
  <si>
    <t>2024-10-13 10:57:52</t>
  </si>
  <si>
    <t>2024-10-13 16:36:13</t>
  </si>
  <si>
    <t>TCK-12600</t>
  </si>
  <si>
    <t>2024-08-16 04:24:28</t>
  </si>
  <si>
    <t>2024-08-16 11:05:34</t>
  </si>
  <si>
    <t>TCK-12601</t>
  </si>
  <si>
    <t>2024-11-21 12:08:22</t>
  </si>
  <si>
    <t>2024-11-21 17:18:54</t>
  </si>
  <si>
    <t>TCK-12602</t>
  </si>
  <si>
    <t>2024-02-11 15:52:36</t>
  </si>
  <si>
    <t>2024-02-11 20:44:19</t>
  </si>
  <si>
    <t>TCK-12603</t>
  </si>
  <si>
    <t>2024-06-13 14:02:03</t>
  </si>
  <si>
    <t>2024-06-13 16:47:56</t>
  </si>
  <si>
    <t>TCK-12604</t>
  </si>
  <si>
    <t>2024-06-06 06:56:07</t>
  </si>
  <si>
    <t>TCK-12605</t>
  </si>
  <si>
    <t>2024-11-20 19:51:01</t>
  </si>
  <si>
    <t>2024-11-20 22:51:13</t>
  </si>
  <si>
    <t>TCK-12606</t>
  </si>
  <si>
    <t>2024-06-09 19:23:02</t>
  </si>
  <si>
    <t>2024-06-12 22:41:40</t>
  </si>
  <si>
    <t>TCK-12607</t>
  </si>
  <si>
    <t>2024-04-14 15:53:02</t>
  </si>
  <si>
    <t>2024-04-15 03:45:38</t>
  </si>
  <si>
    <t>TCK-12608</t>
  </si>
  <si>
    <t>2024-01-08 20:08:19</t>
  </si>
  <si>
    <t>TCK-12609</t>
  </si>
  <si>
    <t>2024-06-22 09:44:32</t>
  </si>
  <si>
    <t>2024-06-23 14:20:27</t>
  </si>
  <si>
    <t>TCK-12610</t>
  </si>
  <si>
    <t>2024-06-09 19:56:40</t>
  </si>
  <si>
    <t>2024-06-15 07:07:25</t>
  </si>
  <si>
    <t>TCK-12611</t>
  </si>
  <si>
    <t>2024-08-07 01:25:03</t>
  </si>
  <si>
    <t>2024-08-07 06:02:40</t>
  </si>
  <si>
    <t>TCK-12612</t>
  </si>
  <si>
    <t>2024-10-21 00:35:37</t>
  </si>
  <si>
    <t>2024-10-22 21:38:54</t>
  </si>
  <si>
    <t>TCK-12613</t>
  </si>
  <si>
    <t>2024-09-28 18:02:28</t>
  </si>
  <si>
    <t>2024-09-29 11:54:23</t>
  </si>
  <si>
    <t>TCK-12614</t>
  </si>
  <si>
    <t>2024-11-30 18:46:11</t>
  </si>
  <si>
    <t>2024-11-30 20:11:04</t>
  </si>
  <si>
    <t>TCK-12615</t>
  </si>
  <si>
    <t>2024-11-13 15:57:46</t>
  </si>
  <si>
    <t>2024-11-14 01:07:04</t>
  </si>
  <si>
    <t>TCK-12616</t>
  </si>
  <si>
    <t>2024-12-01 11:51:38</t>
  </si>
  <si>
    <t>2024-12-01 17:45:11</t>
  </si>
  <si>
    <t>TCK-12617</t>
  </si>
  <si>
    <t>2024-01-10 10:03:23</t>
  </si>
  <si>
    <t>2024-01-11 03:43:09</t>
  </si>
  <si>
    <t>TCK-12618</t>
  </si>
  <si>
    <t>2024-10-19 23:28:37</t>
  </si>
  <si>
    <t>2024-10-20 20:41:35</t>
  </si>
  <si>
    <t>TCK-12619</t>
  </si>
  <si>
    <t>2024-11-23 11:46:49</t>
  </si>
  <si>
    <t>2024-11-28 14:52:22</t>
  </si>
  <si>
    <t>TCK-12620</t>
  </si>
  <si>
    <t>2024-12-08 21:55:25</t>
  </si>
  <si>
    <t>2024-12-13 07:03:33</t>
  </si>
  <si>
    <t>TCK-12621</t>
  </si>
  <si>
    <t>2024-03-02 06:12:13</t>
  </si>
  <si>
    <t>2024-03-02 09:26:05</t>
  </si>
  <si>
    <t>TCK-12622</t>
  </si>
  <si>
    <t>2024-11-10 17:54:08</t>
  </si>
  <si>
    <t>2024-11-11 08:54:48</t>
  </si>
  <si>
    <t>TCK-12623</t>
  </si>
  <si>
    <t>2024-05-11 11:04:33</t>
  </si>
  <si>
    <t>2024-05-11 17:24:19</t>
  </si>
  <si>
    <t>TCK-12624</t>
  </si>
  <si>
    <t>2024-04-20 22:52:25</t>
  </si>
  <si>
    <t>2024-04-21 18:36:34</t>
  </si>
  <si>
    <t>TCK-12625</t>
  </si>
  <si>
    <t>2024-03-04 17:14:25</t>
  </si>
  <si>
    <t>2024-03-05 06:37:22</t>
  </si>
  <si>
    <t>TCK-12626</t>
  </si>
  <si>
    <t>2024-02-17 21:18:21</t>
  </si>
  <si>
    <t>2024-02-18 06:36:12</t>
  </si>
  <si>
    <t>TCK-12627</t>
  </si>
  <si>
    <t>2024-10-19 03:09:12</t>
  </si>
  <si>
    <t>2024-10-20 09:52:16</t>
  </si>
  <si>
    <t>TCK-12628</t>
  </si>
  <si>
    <t>2024-07-12 02:54:15</t>
  </si>
  <si>
    <t>2024-07-12 06:38:30</t>
  </si>
  <si>
    <t>TCK-12629</t>
  </si>
  <si>
    <t>2024-03-12 02:42:53</t>
  </si>
  <si>
    <t>2024-03-12 17:48:22</t>
  </si>
  <si>
    <t>TCK-12630</t>
  </si>
  <si>
    <t>2024-08-15 21:30:49</t>
  </si>
  <si>
    <t>2024-08-15 23:53:31</t>
  </si>
  <si>
    <t>TCK-12631</t>
  </si>
  <si>
    <t>2024-06-13 19:47:33</t>
  </si>
  <si>
    <t>2024-06-15 14:02:20</t>
  </si>
  <si>
    <t>TCK-12632</t>
  </si>
  <si>
    <t>2024-02-10 06:57:48</t>
  </si>
  <si>
    <t>2024-02-11 19:02:04</t>
  </si>
  <si>
    <t>TCK-12633</t>
  </si>
  <si>
    <t>2024-08-10 02:52:08</t>
  </si>
  <si>
    <t>2024-08-10 06:30:54</t>
  </si>
  <si>
    <t>TCK-12634</t>
  </si>
  <si>
    <t>2024-02-11 11:00:37</t>
  </si>
  <si>
    <t>2024-02-11 12:07:25</t>
  </si>
  <si>
    <t>TCK-12635</t>
  </si>
  <si>
    <t>2024-02-09 07:29:34</t>
  </si>
  <si>
    <t>2024-02-09 18:54:06</t>
  </si>
  <si>
    <t>TCK-12636</t>
  </si>
  <si>
    <t>2024-06-28 08:47:21</t>
  </si>
  <si>
    <t>2024-06-29 04:43:57</t>
  </si>
  <si>
    <t>TCK-12637</t>
  </si>
  <si>
    <t>2024-02-06 14:46:39</t>
  </si>
  <si>
    <t>2024-02-07 12:11:08</t>
  </si>
  <si>
    <t>TCK-12638</t>
  </si>
  <si>
    <t>2024-08-17 17:43:48</t>
  </si>
  <si>
    <t>2024-08-17 18:48:42</t>
  </si>
  <si>
    <t>TCK-12639</t>
  </si>
  <si>
    <t>2024-05-28 18:23:51</t>
  </si>
  <si>
    <t>2024-05-30 15:26:00</t>
  </si>
  <si>
    <t>TCK-12640</t>
  </si>
  <si>
    <t>2024-02-07 08:01:38</t>
  </si>
  <si>
    <t>2024-02-08 00:00:13</t>
  </si>
  <si>
    <t>TCK-12641</t>
  </si>
  <si>
    <t>2024-04-17 02:35:58</t>
  </si>
  <si>
    <t>2024-04-17 05:49:11</t>
  </si>
  <si>
    <t>TCK-12642</t>
  </si>
  <si>
    <t>2024-10-28 06:00:33</t>
  </si>
  <si>
    <t>2024-10-28 11:50:19</t>
  </si>
  <si>
    <t>TCK-12643</t>
  </si>
  <si>
    <t>2024-07-06 14:56:33</t>
  </si>
  <si>
    <t>2024-07-06 21:02:50</t>
  </si>
  <si>
    <t>TCK-12644</t>
  </si>
  <si>
    <t>2024-10-13 14:23:55</t>
  </si>
  <si>
    <t>2024-10-14 10:32:16</t>
  </si>
  <si>
    <t>TCK-12645</t>
  </si>
  <si>
    <t>2024-02-11 14:41:25</t>
  </si>
  <si>
    <t>2024-02-13 12:49:12</t>
  </si>
  <si>
    <t>TCK-12646</t>
  </si>
  <si>
    <t>2024-03-14 14:50:20</t>
  </si>
  <si>
    <t>2024-03-15 23:58:21</t>
  </si>
  <si>
    <t>TCK-12647</t>
  </si>
  <si>
    <t>2024-12-24 10:12:16</t>
  </si>
  <si>
    <t>2024-12-24 15:07:18</t>
  </si>
  <si>
    <t>TCK-12648</t>
  </si>
  <si>
    <t>2024-06-02 12:15:05</t>
  </si>
  <si>
    <t>2024-06-02 19:17:51</t>
  </si>
  <si>
    <t>TCK-12649</t>
  </si>
  <si>
    <t>2024-11-17 21:48:37</t>
  </si>
  <si>
    <t>2024-11-19 12:43:01</t>
  </si>
  <si>
    <t>TCK-12650</t>
  </si>
  <si>
    <t>2024-01-08 14:53:03</t>
  </si>
  <si>
    <t>2024-01-08 22:17:40</t>
  </si>
  <si>
    <t>TCK-12651</t>
  </si>
  <si>
    <t>2024-07-28 13:27:05</t>
  </si>
  <si>
    <t>2024-07-30 01:03:00</t>
  </si>
  <si>
    <t>TCK-12652</t>
  </si>
  <si>
    <t>2024-09-27 04:15:53</t>
  </si>
  <si>
    <t>2024-09-27 05:45:14</t>
  </si>
  <si>
    <t>TCK-12653</t>
  </si>
  <si>
    <t>2024-02-13 09:38:15</t>
  </si>
  <si>
    <t>TCK-12654</t>
  </si>
  <si>
    <t>2024-12-04 07:51:43</t>
  </si>
  <si>
    <t>TCK-12655</t>
  </si>
  <si>
    <t>2024-01-05 08:13:14</t>
  </si>
  <si>
    <t>2024-01-05 10:07:57</t>
  </si>
  <si>
    <t>TCK-12656</t>
  </si>
  <si>
    <t>2024-02-27 06:32:00</t>
  </si>
  <si>
    <t>2024-02-28 13:33:51</t>
  </si>
  <si>
    <t>TCK-12657</t>
  </si>
  <si>
    <t>2024-04-10 21:49:26</t>
  </si>
  <si>
    <t>2024-04-10 23:17:52</t>
  </si>
  <si>
    <t>TCK-12658</t>
  </si>
  <si>
    <t>2024-12-15 19:56:19</t>
  </si>
  <si>
    <t>2024-12-17 13:14:41</t>
  </si>
  <si>
    <t>TCK-12659</t>
  </si>
  <si>
    <t>2024-07-04 10:18:57</t>
  </si>
  <si>
    <t>2024-07-05 01:21:25</t>
  </si>
  <si>
    <t>TCK-12660</t>
  </si>
  <si>
    <t>2024-08-30 13:04:43</t>
  </si>
  <si>
    <t>2024-09-02 00:50:48</t>
  </si>
  <si>
    <t>TCK-12661</t>
  </si>
  <si>
    <t>2024-01-09 00:17:45</t>
  </si>
  <si>
    <t>2024-01-09 17:19:36</t>
  </si>
  <si>
    <t>TCK-12662</t>
  </si>
  <si>
    <t>2024-12-08 22:44:41</t>
  </si>
  <si>
    <t>2024-12-09 04:46:15</t>
  </si>
  <si>
    <t>TCK-12663</t>
  </si>
  <si>
    <t>2024-04-14 16:10:10</t>
  </si>
  <si>
    <t>2024-04-14 20:01:12</t>
  </si>
  <si>
    <t>TCK-12664</t>
  </si>
  <si>
    <t>2024-01-05 12:28:45</t>
  </si>
  <si>
    <t>2024-01-05 18:27:15</t>
  </si>
  <si>
    <t>TCK-12665</t>
  </si>
  <si>
    <t>2024-08-08 20:27:56</t>
  </si>
  <si>
    <t>2024-08-08 21:46:14</t>
  </si>
  <si>
    <t>TCK-12666</t>
  </si>
  <si>
    <t>2024-01-02 13:56:47</t>
  </si>
  <si>
    <t>2024-01-03 11:35:45</t>
  </si>
  <si>
    <t>TCK-12667</t>
  </si>
  <si>
    <t>2024-06-01 02:39:29</t>
  </si>
  <si>
    <t>2024-06-01 16:55:18</t>
  </si>
  <si>
    <t>TCK-12668</t>
  </si>
  <si>
    <t>2024-07-26 13:47:49</t>
  </si>
  <si>
    <t>2024-07-26 15:35:34</t>
  </si>
  <si>
    <t>TCK-12669</t>
  </si>
  <si>
    <t>2024-03-27 14:23:31</t>
  </si>
  <si>
    <t>2024-03-28 00:52:26</t>
  </si>
  <si>
    <t>TCK-12670</t>
  </si>
  <si>
    <t>2024-07-29 21:58:13</t>
  </si>
  <si>
    <t>2024-07-30 09:54:15</t>
  </si>
  <si>
    <t>TCK-12671</t>
  </si>
  <si>
    <t>2024-05-30 21:37:14</t>
  </si>
  <si>
    <t>2024-06-01 02:53:53</t>
  </si>
  <si>
    <t>TCK-12672</t>
  </si>
  <si>
    <t>2024-07-20 07:43:18</t>
  </si>
  <si>
    <t>2024-07-21 16:44:03</t>
  </si>
  <si>
    <t>TCK-12673</t>
  </si>
  <si>
    <t>2024-01-05 15:23:38</t>
  </si>
  <si>
    <t>2024-01-07 18:54:00</t>
  </si>
  <si>
    <t>TCK-12674</t>
  </si>
  <si>
    <t>2024-04-02 01:25:50</t>
  </si>
  <si>
    <t>2024-04-02 18:13:50</t>
  </si>
  <si>
    <t>TCK-12675</t>
  </si>
  <si>
    <t>2024-12-21 14:59:26</t>
  </si>
  <si>
    <t>2024-12-22 06:58:27</t>
  </si>
  <si>
    <t>TCK-12676</t>
  </si>
  <si>
    <t>2024-06-06 10:41:36</t>
  </si>
  <si>
    <t>TCK-12677</t>
  </si>
  <si>
    <t>2024-03-12 10:01:22</t>
  </si>
  <si>
    <t>2024-03-13 00:57:16</t>
  </si>
  <si>
    <t>TCK-12678</t>
  </si>
  <si>
    <t>2024-06-24 22:04:55</t>
  </si>
  <si>
    <t>2024-06-25 12:40:37</t>
  </si>
  <si>
    <t>TCK-12679</t>
  </si>
  <si>
    <t>2024-05-30 17:03:59</t>
  </si>
  <si>
    <t>2024-05-31 09:40:20</t>
  </si>
  <si>
    <t>TCK-12680</t>
  </si>
  <si>
    <t>2024-12-03 14:36:53</t>
  </si>
  <si>
    <t>2024-12-05 11:58:49</t>
  </si>
  <si>
    <t>TCK-12681</t>
  </si>
  <si>
    <t>2024-01-09 20:11:26</t>
  </si>
  <si>
    <t>2024-01-10 19:34:16</t>
  </si>
  <si>
    <t>TCK-12682</t>
  </si>
  <si>
    <t>2024-11-28 22:40:12</t>
  </si>
  <si>
    <t>2024-11-29 10:06:09</t>
  </si>
  <si>
    <t>TCK-12683</t>
  </si>
  <si>
    <t>2024-03-21 07:25:56</t>
  </si>
  <si>
    <t>2024-03-21 14:46:29</t>
  </si>
  <si>
    <t>TCK-12684</t>
  </si>
  <si>
    <t>2024-01-07 02:13:33</t>
  </si>
  <si>
    <t>2024-01-09 18:42:19</t>
  </si>
  <si>
    <t>TCK-12685</t>
  </si>
  <si>
    <t>2024-08-08 09:33:50</t>
  </si>
  <si>
    <t>2024-08-09 03:32:11</t>
  </si>
  <si>
    <t>TCK-12686</t>
  </si>
  <si>
    <t>2024-03-20 14:06:11</t>
  </si>
  <si>
    <t>2024-03-22 16:17:21</t>
  </si>
  <si>
    <t>TCK-12687</t>
  </si>
  <si>
    <t>2024-04-29 22:24:15</t>
  </si>
  <si>
    <t>2024-04-30 14:59:29</t>
  </si>
  <si>
    <t>TCK-12688</t>
  </si>
  <si>
    <t>2024-09-15 13:01:24</t>
  </si>
  <si>
    <t>2024-09-16 06:48:24</t>
  </si>
  <si>
    <t>TCK-12689</t>
  </si>
  <si>
    <t>2024-04-19 23:00:43</t>
  </si>
  <si>
    <t>2024-04-20 05:04:35</t>
  </si>
  <si>
    <t>TCK-12690</t>
  </si>
  <si>
    <t>2024-11-14 14:32:10</t>
  </si>
  <si>
    <t>TCK-12691</t>
  </si>
  <si>
    <t>2024-07-25 08:38:11</t>
  </si>
  <si>
    <t>TCK-12692</t>
  </si>
  <si>
    <t>2024-10-15 16:35:37</t>
  </si>
  <si>
    <t>2024-10-16 09:08:45</t>
  </si>
  <si>
    <t>TCK-12693</t>
  </si>
  <si>
    <t>2024-01-30 14:15:48</t>
  </si>
  <si>
    <t>2024-02-01 09:32:42</t>
  </si>
  <si>
    <t>TCK-12694</t>
  </si>
  <si>
    <t>2024-09-06 05:33:24</t>
  </si>
  <si>
    <t>2024-09-06 12:13:47</t>
  </si>
  <si>
    <t>TCK-12695</t>
  </si>
  <si>
    <t>2024-12-24 01:38:01</t>
  </si>
  <si>
    <t>TCK-12696</t>
  </si>
  <si>
    <t>2024-09-12 22:35:13</t>
  </si>
  <si>
    <t>2024-09-13 02:26:18</t>
  </si>
  <si>
    <t>TCK-12697</t>
  </si>
  <si>
    <t>2024-07-04 04:12:45</t>
  </si>
  <si>
    <t>2024-07-04 07:36:14</t>
  </si>
  <si>
    <t>TCK-12698</t>
  </si>
  <si>
    <t>2024-07-18 15:09:38</t>
  </si>
  <si>
    <t>2024-07-18 20:56:19</t>
  </si>
  <si>
    <t>TCK-12699</t>
  </si>
  <si>
    <t>2024-08-02 00:52:03</t>
  </si>
  <si>
    <t>2024-08-02 08:06:13</t>
  </si>
  <si>
    <t>TCK-12700</t>
  </si>
  <si>
    <t>2024-01-08 19:20:05</t>
  </si>
  <si>
    <t>TCK-12701</t>
  </si>
  <si>
    <t>2024-03-12 17:36:46</t>
  </si>
  <si>
    <t>2024-03-13 04:38:29</t>
  </si>
  <si>
    <t>TCK-12702</t>
  </si>
  <si>
    <t>2024-02-13 23:01:19</t>
  </si>
  <si>
    <t>2024-02-14 09:25:01</t>
  </si>
  <si>
    <t>TCK-12703</t>
  </si>
  <si>
    <t>2024-01-14 04:27:17</t>
  </si>
  <si>
    <t>2024-01-14 22:18:21</t>
  </si>
  <si>
    <t>TCK-12704</t>
  </si>
  <si>
    <t>2024-12-24 17:24:05</t>
  </si>
  <si>
    <t>2024-12-25 07:56:11</t>
  </si>
  <si>
    <t>TCK-12705</t>
  </si>
  <si>
    <t>2024-03-12 17:53:23</t>
  </si>
  <si>
    <t>2024-03-12 20:24:34</t>
  </si>
  <si>
    <t>TCK-12706</t>
  </si>
  <si>
    <t>2024-10-13 02:00:37</t>
  </si>
  <si>
    <t>2024-10-14 13:16:11</t>
  </si>
  <si>
    <t>TCK-12707</t>
  </si>
  <si>
    <t>2024-08-15 17:52:44</t>
  </si>
  <si>
    <t>2024-08-15 20:09:12</t>
  </si>
  <si>
    <t>TCK-12708</t>
  </si>
  <si>
    <t>2024-06-24 14:52:45</t>
  </si>
  <si>
    <t>2024-06-25 02:26:09</t>
  </si>
  <si>
    <t>TCK-12709</t>
  </si>
  <si>
    <t>2024-10-20 05:47:14</t>
  </si>
  <si>
    <t>2024-10-20 08:05:56</t>
  </si>
  <si>
    <t>TCK-12710</t>
  </si>
  <si>
    <t>2024-04-09 16:37:19</t>
  </si>
  <si>
    <t>2024-04-10 00:42:03</t>
  </si>
  <si>
    <t>TCK-12711</t>
  </si>
  <si>
    <t>2024-04-04 17:35:28</t>
  </si>
  <si>
    <t>2024-04-06 10:03:41</t>
  </si>
  <si>
    <t>TCK-12712</t>
  </si>
  <si>
    <t>2024-07-12 21:32:44</t>
  </si>
  <si>
    <t>2024-07-12 23:12:37</t>
  </si>
  <si>
    <t>TCK-12713</t>
  </si>
  <si>
    <t>2024-05-28 08:39:50</t>
  </si>
  <si>
    <t>2024-05-28 13:42:09</t>
  </si>
  <si>
    <t>TCK-12714</t>
  </si>
  <si>
    <t>2024-08-08 12:20:05</t>
  </si>
  <si>
    <t>2024-08-11 08:08:37</t>
  </si>
  <si>
    <t>TCK-12715</t>
  </si>
  <si>
    <t>2024-03-12 23:50:26</t>
  </si>
  <si>
    <t>2024-03-13 01:08:04</t>
  </si>
  <si>
    <t>TCK-12716</t>
  </si>
  <si>
    <t>2024-12-28 01:25:42</t>
  </si>
  <si>
    <t>2024-12-30 21:09:16</t>
  </si>
  <si>
    <t>TCK-12717</t>
  </si>
  <si>
    <t>2024-09-12 14:31:11</t>
  </si>
  <si>
    <t>2024-09-14 01:58:50</t>
  </si>
  <si>
    <t>TCK-12718</t>
  </si>
  <si>
    <t>2024-12-02 07:53:16</t>
  </si>
  <si>
    <t>2024-12-03 03:52:20</t>
  </si>
  <si>
    <t>TCK-12719</t>
  </si>
  <si>
    <t>2024-01-06 03:10:42</t>
  </si>
  <si>
    <t>2024-01-07 00:10:30</t>
  </si>
  <si>
    <t>TCK-12720</t>
  </si>
  <si>
    <t>2024-11-12 02:37:37</t>
  </si>
  <si>
    <t>2024-11-12 20:22:44</t>
  </si>
  <si>
    <t>TCK-12721</t>
  </si>
  <si>
    <t>2024-02-19 06:54:54</t>
  </si>
  <si>
    <t>2024-02-19 22:44:33</t>
  </si>
  <si>
    <t>TCK-12722</t>
  </si>
  <si>
    <t>2024-06-04 05:58:54</t>
  </si>
  <si>
    <t>2024-06-04 12:34:53</t>
  </si>
  <si>
    <t>TCK-12723</t>
  </si>
  <si>
    <t>2024-10-11 06:14:42</t>
  </si>
  <si>
    <t>2024-10-12 10:30:05</t>
  </si>
  <si>
    <t>TCK-12724</t>
  </si>
  <si>
    <t>2024-12-16 07:10:17</t>
  </si>
  <si>
    <t>2024-12-16 22:43:03</t>
  </si>
  <si>
    <t>TCK-12725</t>
  </si>
  <si>
    <t>2024-05-29 08:45:26</t>
  </si>
  <si>
    <t>TCK-12726</t>
  </si>
  <si>
    <t>2024-05-08 07:13:24</t>
  </si>
  <si>
    <t>2024-05-09 02:35:20</t>
  </si>
  <si>
    <t>TCK-12727</t>
  </si>
  <si>
    <t>2024-12-28 11:25:07</t>
  </si>
  <si>
    <t>2024-12-29 08:17:44</t>
  </si>
  <si>
    <t>TCK-12728</t>
  </si>
  <si>
    <t>2024-12-21 19:54:04</t>
  </si>
  <si>
    <t>2024-12-25 11:57:22</t>
  </si>
  <si>
    <t>TCK-12729</t>
  </si>
  <si>
    <t>2024-01-03 00:12:28</t>
  </si>
  <si>
    <t>TCK-12730</t>
  </si>
  <si>
    <t>2024-06-23 12:58:28</t>
  </si>
  <si>
    <t>2024-06-24 21:19:54</t>
  </si>
  <si>
    <t>TCK-12731</t>
  </si>
  <si>
    <t>2024-12-21 19:41:53</t>
  </si>
  <si>
    <t>2024-12-22 04:22:05</t>
  </si>
  <si>
    <t>TCK-12732</t>
  </si>
  <si>
    <t>2024-10-03 09:20:03</t>
  </si>
  <si>
    <t>2024-10-03 12:16:52</t>
  </si>
  <si>
    <t>TCK-12733</t>
  </si>
  <si>
    <t>2024-01-06 06:40:39</t>
  </si>
  <si>
    <t>2024-01-06 10:22:40</t>
  </si>
  <si>
    <t>TCK-12734</t>
  </si>
  <si>
    <t>2024-06-12 01:46:13</t>
  </si>
  <si>
    <t>2024-06-12 04:17:06</t>
  </si>
  <si>
    <t>TCK-12735</t>
  </si>
  <si>
    <t>2024-08-20 10:13:27</t>
  </si>
  <si>
    <t>2024-08-20 16:29:51</t>
  </si>
  <si>
    <t>TCK-12736</t>
  </si>
  <si>
    <t>2024-11-11 01:08:59</t>
  </si>
  <si>
    <t>2024-11-11 07:15:06</t>
  </si>
  <si>
    <t>TCK-12737</t>
  </si>
  <si>
    <t>2024-01-11 07:17:12</t>
  </si>
  <si>
    <t>2024-01-11 11:01:36</t>
  </si>
  <si>
    <t>TCK-12738</t>
  </si>
  <si>
    <t>2024-01-03 07:53:31</t>
  </si>
  <si>
    <t>2024-01-04 02:20:06</t>
  </si>
  <si>
    <t>TCK-12739</t>
  </si>
  <si>
    <t>2024-12-23 04:56:16</t>
  </si>
  <si>
    <t>2024-12-23 20:44:56</t>
  </si>
  <si>
    <t>TCK-12740</t>
  </si>
  <si>
    <t>2024-08-18 15:59:41</t>
  </si>
  <si>
    <t>TCK-12741</t>
  </si>
  <si>
    <t>2024-01-15 17:13:56</t>
  </si>
  <si>
    <t>2024-01-16 10:46:07</t>
  </si>
  <si>
    <t>TCK-12742</t>
  </si>
  <si>
    <t>2024-11-10 00:52:24</t>
  </si>
  <si>
    <t>2024-11-10 02:36:26</t>
  </si>
  <si>
    <t>TCK-12743</t>
  </si>
  <si>
    <t>2024-08-22 05:37:54</t>
  </si>
  <si>
    <t>2024-08-22 09:03:48</t>
  </si>
  <si>
    <t>TCK-12744</t>
  </si>
  <si>
    <t>2024-04-05 19:18:04</t>
  </si>
  <si>
    <t>2024-04-06 11:22:25</t>
  </si>
  <si>
    <t>TCK-12745</t>
  </si>
  <si>
    <t>2024-10-22 22:20:03</t>
  </si>
  <si>
    <t>2024-10-22 23:17:53</t>
  </si>
  <si>
    <t>TCK-12746</t>
  </si>
  <si>
    <t>2024-05-28 22:16:01</t>
  </si>
  <si>
    <t>2024-05-31 00:55:32</t>
  </si>
  <si>
    <t>TCK-12747</t>
  </si>
  <si>
    <t>2024-04-18 13:41:00</t>
  </si>
  <si>
    <t>2024-04-18 19:10:29</t>
  </si>
  <si>
    <t>TCK-12748</t>
  </si>
  <si>
    <t>2024-08-24 11:43:15</t>
  </si>
  <si>
    <t>2024-08-24 18:20:11</t>
  </si>
  <si>
    <t>TCK-12749</t>
  </si>
  <si>
    <t>2024-04-02 06:29:00</t>
  </si>
  <si>
    <t>TCK-12750</t>
  </si>
  <si>
    <t>2024-08-23 06:05:22</t>
  </si>
  <si>
    <t>TCK-12751</t>
  </si>
  <si>
    <t>2024-12-15 20:37:59</t>
  </si>
  <si>
    <t>2024-12-15 23:05:25</t>
  </si>
  <si>
    <t>TCK-12752</t>
  </si>
  <si>
    <t>2024-01-17 20:41:20</t>
  </si>
  <si>
    <t>2024-01-18 16:12:23</t>
  </si>
  <si>
    <t>TCK-12753</t>
  </si>
  <si>
    <t>2024-09-01 16:34:58</t>
  </si>
  <si>
    <t>2024-09-03 10:31:47</t>
  </si>
  <si>
    <t>TCK-12754</t>
  </si>
  <si>
    <t>2024-05-27 08:32:59</t>
  </si>
  <si>
    <t>2024-05-27 10:27:29</t>
  </si>
  <si>
    <t>TCK-12755</t>
  </si>
  <si>
    <t>2024-03-13 18:01:59</t>
  </si>
  <si>
    <t>2024-03-14 10:22:53</t>
  </si>
  <si>
    <t>TCK-12756</t>
  </si>
  <si>
    <t>2024-02-27 07:42:59</t>
  </si>
  <si>
    <t>2024-02-27 09:02:36</t>
  </si>
  <si>
    <t>TCK-12757</t>
  </si>
  <si>
    <t>2024-04-25 09:23:53</t>
  </si>
  <si>
    <t>2024-04-25 14:36:17</t>
  </si>
  <si>
    <t>TCK-12758</t>
  </si>
  <si>
    <t>2024-03-17 17:14:57</t>
  </si>
  <si>
    <t>2024-03-18 01:54:47</t>
  </si>
  <si>
    <t>TCK-12759</t>
  </si>
  <si>
    <t>2024-08-12 06:06:23</t>
  </si>
  <si>
    <t>TCK-12760</t>
  </si>
  <si>
    <t>2024-02-21 16:51:02</t>
  </si>
  <si>
    <t>2024-02-21 21:45:49</t>
  </si>
  <si>
    <t>TCK-12761</t>
  </si>
  <si>
    <t>2024-01-06 14:50:56</t>
  </si>
  <si>
    <t>2024-01-06 21:10:37</t>
  </si>
  <si>
    <t>TCK-12762</t>
  </si>
  <si>
    <t>2024-01-03 15:20:34</t>
  </si>
  <si>
    <t>2024-01-03 18:49:03</t>
  </si>
  <si>
    <t>TCK-12763</t>
  </si>
  <si>
    <t>2024-06-03 01:12:51</t>
  </si>
  <si>
    <t>2024-06-03 06:22:24</t>
  </si>
  <si>
    <t>TCK-12764</t>
  </si>
  <si>
    <t>2024-06-15 21:57:43</t>
  </si>
  <si>
    <t>2024-06-16 15:30:48</t>
  </si>
  <si>
    <t>TCK-12765</t>
  </si>
  <si>
    <t>2024-03-05 09:03:41</t>
  </si>
  <si>
    <t>2024-03-05 10:21:11</t>
  </si>
  <si>
    <t>TCK-12766</t>
  </si>
  <si>
    <t>2024-03-19 00:25:26</t>
  </si>
  <si>
    <t>2024-03-19 07:32:30</t>
  </si>
  <si>
    <t>TCK-12767</t>
  </si>
  <si>
    <t>2024-09-09 11:36:34</t>
  </si>
  <si>
    <t>2024-09-09 18:09:49</t>
  </si>
  <si>
    <t>TCK-12768</t>
  </si>
  <si>
    <t>2024-06-29 07:50:23</t>
  </si>
  <si>
    <t>2024-06-29 10:29:54</t>
  </si>
  <si>
    <t>TCK-12769</t>
  </si>
  <si>
    <t>2024-02-23 13:30:44</t>
  </si>
  <si>
    <t>2024-02-23 15:01:55</t>
  </si>
  <si>
    <t>TCK-12770</t>
  </si>
  <si>
    <t>2024-02-18 15:04:45</t>
  </si>
  <si>
    <t>2024-02-19 06:18:57</t>
  </si>
  <si>
    <t>TCK-12771</t>
  </si>
  <si>
    <t>2024-04-20 09:25:08</t>
  </si>
  <si>
    <t>TCK-12772</t>
  </si>
  <si>
    <t>2024-03-02 06:24:59</t>
  </si>
  <si>
    <t>2024-03-02 13:21:05</t>
  </si>
  <si>
    <t>TCK-12773</t>
  </si>
  <si>
    <t>2024-05-27 20:47:44</t>
  </si>
  <si>
    <t>2024-05-28 03:24:37</t>
  </si>
  <si>
    <t>TCK-12774</t>
  </si>
  <si>
    <t>2024-06-23 04:21:12</t>
  </si>
  <si>
    <t>TCK-12775</t>
  </si>
  <si>
    <t>2024-06-07 01:10:23</t>
  </si>
  <si>
    <t>2024-06-07 02:50:46</t>
  </si>
  <si>
    <t>TCK-12776</t>
  </si>
  <si>
    <t>2024-01-03 00:42:46</t>
  </si>
  <si>
    <t>2024-01-03 02:33:06</t>
  </si>
  <si>
    <t>TCK-12777</t>
  </si>
  <si>
    <t>2024-06-20 05:26:55</t>
  </si>
  <si>
    <t>2024-06-20 19:53:58</t>
  </si>
  <si>
    <t>TCK-12778</t>
  </si>
  <si>
    <t>2024-08-08 14:23:07</t>
  </si>
  <si>
    <t>2024-08-08 19:48:33</t>
  </si>
  <si>
    <t>TCK-12779</t>
  </si>
  <si>
    <t>2024-12-30 23:49:34</t>
  </si>
  <si>
    <t>2025-01-01 18:42:57</t>
  </si>
  <si>
    <t>TCK-12780</t>
  </si>
  <si>
    <t>2024-09-07 01:03:42</t>
  </si>
  <si>
    <t>2024-09-07 18:06:56</t>
  </si>
  <si>
    <t>TCK-12781</t>
  </si>
  <si>
    <t>2024-08-13 20:51:21</t>
  </si>
  <si>
    <t>2024-08-14 16:23:10</t>
  </si>
  <si>
    <t>TCK-12782</t>
  </si>
  <si>
    <t>2024-08-31 21:56:22</t>
  </si>
  <si>
    <t>2024-09-01 16:05:17</t>
  </si>
  <si>
    <t>TCK-12783</t>
  </si>
  <si>
    <t>2024-10-17 02:04:54</t>
  </si>
  <si>
    <t>2024-10-19 16:59:20</t>
  </si>
  <si>
    <t>TCK-12784</t>
  </si>
  <si>
    <t>2024-03-13 09:59:50</t>
  </si>
  <si>
    <t>2024-03-13 16:21:19</t>
  </si>
  <si>
    <t>TCK-12785</t>
  </si>
  <si>
    <t>2024-08-22 18:55:57</t>
  </si>
  <si>
    <t>2024-08-24 09:39:43</t>
  </si>
  <si>
    <t>TCK-12786</t>
  </si>
  <si>
    <t>2024-12-03 15:43:33</t>
  </si>
  <si>
    <t>2024-12-06 10:50:52</t>
  </si>
  <si>
    <t>TCK-12787</t>
  </si>
  <si>
    <t>2024-08-28 01:45:37</t>
  </si>
  <si>
    <t>2024-09-01 14:22:29</t>
  </si>
  <si>
    <t>TCK-12788</t>
  </si>
  <si>
    <t>2024-03-28 06:17:15</t>
  </si>
  <si>
    <t>2024-03-28 09:07:47</t>
  </si>
  <si>
    <t>TCK-12789</t>
  </si>
  <si>
    <t>2024-09-24 19:31:14</t>
  </si>
  <si>
    <t>2024-09-25 21:23:03</t>
  </si>
  <si>
    <t>TCK-12790</t>
  </si>
  <si>
    <t>2024-03-23 19:52:39</t>
  </si>
  <si>
    <t>2024-03-25 01:29:17</t>
  </si>
  <si>
    <t>TCK-12791</t>
  </si>
  <si>
    <t>2024-07-07 00:24:57</t>
  </si>
  <si>
    <t>2024-07-07 02:04:41</t>
  </si>
  <si>
    <t>TCK-12792</t>
  </si>
  <si>
    <t>2024-12-21 14:54:54</t>
  </si>
  <si>
    <t>2024-12-22 18:12:01</t>
  </si>
  <si>
    <t>TCK-12793</t>
  </si>
  <si>
    <t>2024-01-12 18:32:07</t>
  </si>
  <si>
    <t>2024-01-12 21:33:54</t>
  </si>
  <si>
    <t>TCK-12794</t>
  </si>
  <si>
    <t>2024-08-31 05:18:25</t>
  </si>
  <si>
    <t>2024-08-31 11:51:48</t>
  </si>
  <si>
    <t>TCK-12795</t>
  </si>
  <si>
    <t>2024-12-10 16:40:08</t>
  </si>
  <si>
    <t>2024-12-11 04:49:22</t>
  </si>
  <si>
    <t>TCK-12796</t>
  </si>
  <si>
    <t>2024-06-21 08:35:30</t>
  </si>
  <si>
    <t>2024-07-21 15:35:30</t>
  </si>
  <si>
    <t>TCK-12797</t>
  </si>
  <si>
    <t>2024-07-14 20:14:44</t>
  </si>
  <si>
    <t>2024-07-15 08:17:35</t>
  </si>
  <si>
    <t>TCK-12798</t>
  </si>
  <si>
    <t>2024-10-10 00:44:55</t>
  </si>
  <si>
    <t>2024-10-10 08:38:23</t>
  </si>
  <si>
    <t>TCK-12799</t>
  </si>
  <si>
    <t>2024-07-15 23:25:36</t>
  </si>
  <si>
    <t>TCK-12800</t>
  </si>
  <si>
    <t>2024-01-06 16:33:49</t>
  </si>
  <si>
    <t>2024-01-07 11:55:20</t>
  </si>
  <si>
    <t>TCK-12801</t>
  </si>
  <si>
    <t>2024-11-10 17:45:49</t>
  </si>
  <si>
    <t>2024-11-11 16:50:04</t>
  </si>
  <si>
    <t>TCK-12802</t>
  </si>
  <si>
    <t>2024-07-07 23:03:48</t>
  </si>
  <si>
    <t>TCK-12803</t>
  </si>
  <si>
    <t>2024-09-28 18:59:31</t>
  </si>
  <si>
    <t>2024-10-01 00:11:08</t>
  </si>
  <si>
    <t>TCK-12804</t>
  </si>
  <si>
    <t>2024-08-20 20:40:50</t>
  </si>
  <si>
    <t>2024-08-26 03:15:30</t>
  </si>
  <si>
    <t>TCK-12805</t>
  </si>
  <si>
    <t>2024-04-19 21:19:19</t>
  </si>
  <si>
    <t>2024-04-20 08:37:36</t>
  </si>
  <si>
    <t>TCK-12806</t>
  </si>
  <si>
    <t>2024-02-21 12:21:13</t>
  </si>
  <si>
    <t>2024-02-22 05:24:47</t>
  </si>
  <si>
    <t>TCK-12807</t>
  </si>
  <si>
    <t>2024-12-29 06:44:02</t>
  </si>
  <si>
    <t>2024-12-30 12:39:48</t>
  </si>
  <si>
    <t>TCK-12808</t>
  </si>
  <si>
    <t>2024-05-12 03:45:23</t>
  </si>
  <si>
    <t>2024-05-12 09:18:34</t>
  </si>
  <si>
    <t>TCK-12809</t>
  </si>
  <si>
    <t>2024-03-04 18:31:24</t>
  </si>
  <si>
    <t>2024-03-04 22:42:27</t>
  </si>
  <si>
    <t>TCK-12810</t>
  </si>
  <si>
    <t>2024-12-11 18:46:31</t>
  </si>
  <si>
    <t>2024-12-12 19:38:11</t>
  </si>
  <si>
    <t>TCK-12811</t>
  </si>
  <si>
    <t>2024-10-28 01:28:36</t>
  </si>
  <si>
    <t>2024-10-28 17:06:53</t>
  </si>
  <si>
    <t>TCK-12812</t>
  </si>
  <si>
    <t>2024-09-12 14:08:56</t>
  </si>
  <si>
    <t>2024-09-12 18:07:13</t>
  </si>
  <si>
    <t>TCK-12813</t>
  </si>
  <si>
    <t>2024-09-28 08:58:22</t>
  </si>
  <si>
    <t>2024-09-28 23:06:06</t>
  </si>
  <si>
    <t>TCK-12814</t>
  </si>
  <si>
    <t>2024-12-04 03:30:01</t>
  </si>
  <si>
    <t>2024-12-04 19:17:21</t>
  </si>
  <si>
    <t>TCK-12815</t>
  </si>
  <si>
    <t>2024-05-30 13:25:44</t>
  </si>
  <si>
    <t>2024-05-31 04:46:02</t>
  </si>
  <si>
    <t>TCK-12816</t>
  </si>
  <si>
    <t>2024-11-08 13:40:58</t>
  </si>
  <si>
    <t>2024-11-08 17:05:42</t>
  </si>
  <si>
    <t>TCK-12817</t>
  </si>
  <si>
    <t>2024-02-08 18:20:27</t>
  </si>
  <si>
    <t>2024-02-09 16:08:34</t>
  </si>
  <si>
    <t>TCK-12818</t>
  </si>
  <si>
    <t>2024-09-15 18:59:59</t>
  </si>
  <si>
    <t>2024-09-16 19:56:09</t>
  </si>
  <si>
    <t>TCK-12819</t>
  </si>
  <si>
    <t>2024-03-08 04:32:04</t>
  </si>
  <si>
    <t>2024-03-08 07:37:47</t>
  </si>
  <si>
    <t>TCK-12820</t>
  </si>
  <si>
    <t>2024-06-10 11:22:49</t>
  </si>
  <si>
    <t>2024-06-11 07:47:27</t>
  </si>
  <si>
    <t>TCK-12821</t>
  </si>
  <si>
    <t>2024-02-11 16:45:28</t>
  </si>
  <si>
    <t>2024-02-11 21:43:00</t>
  </si>
  <si>
    <t>TCK-12822</t>
  </si>
  <si>
    <t>2024-01-03 06:01:41</t>
  </si>
  <si>
    <t>2024-01-04 05:59:54</t>
  </si>
  <si>
    <t>TCK-12823</t>
  </si>
  <si>
    <t>2024-10-28 12:28:39</t>
  </si>
  <si>
    <t>2024-10-28 19:47:38</t>
  </si>
  <si>
    <t>TCK-12824</t>
  </si>
  <si>
    <t>2024-01-19 00:51:13</t>
  </si>
  <si>
    <t>TCK-12825</t>
  </si>
  <si>
    <t>2024-07-18 10:39:34</t>
  </si>
  <si>
    <t>2024-07-19 01:31:59</t>
  </si>
  <si>
    <t>TCK-12826</t>
  </si>
  <si>
    <t>2024-01-13 03:19:07</t>
  </si>
  <si>
    <t>2024-01-14 07:43:00</t>
  </si>
  <si>
    <t>TCK-12827</t>
  </si>
  <si>
    <t>2024-06-17 14:15:38</t>
  </si>
  <si>
    <t>2024-06-20 05:53:45</t>
  </si>
  <si>
    <t>TCK-12828</t>
  </si>
  <si>
    <t>2024-07-08 10:58:12</t>
  </si>
  <si>
    <t>2024-07-08 14:25:00</t>
  </si>
  <si>
    <t>TCK-12829</t>
  </si>
  <si>
    <t>2024-01-06 10:52:11</t>
  </si>
  <si>
    <t>2024-01-06 16:46:54</t>
  </si>
  <si>
    <t>TCK-12830</t>
  </si>
  <si>
    <t>2024-07-17 04:19:10</t>
  </si>
  <si>
    <t>2024-07-21 12:21:20</t>
  </si>
  <si>
    <t>TCK-12831</t>
  </si>
  <si>
    <t>2024-12-11 07:17:13</t>
  </si>
  <si>
    <t>2024-12-11 15:42:14</t>
  </si>
  <si>
    <t>TCK-12832</t>
  </si>
  <si>
    <t>2024-04-07 19:15:12</t>
  </si>
  <si>
    <t>TCK-12833</t>
  </si>
  <si>
    <t>2024-05-17 17:24:53</t>
  </si>
  <si>
    <t>2024-05-19 09:45:06</t>
  </si>
  <si>
    <t>TCK-12834</t>
  </si>
  <si>
    <t>2024-11-24 06:13:46</t>
  </si>
  <si>
    <t>2024-11-24 10:14:00</t>
  </si>
  <si>
    <t>TCK-12835</t>
  </si>
  <si>
    <t>2024-06-28 02:04:55</t>
  </si>
  <si>
    <t>2024-06-28 13:09:33</t>
  </si>
  <si>
    <t>TCK-12836</t>
  </si>
  <si>
    <t>2024-12-19 08:59:30</t>
  </si>
  <si>
    <t>2024-12-19 14:01:33</t>
  </si>
  <si>
    <t>TCK-12837</t>
  </si>
  <si>
    <t>2024-11-01 20:38:55</t>
  </si>
  <si>
    <t>2024-11-02 04:02:25</t>
  </si>
  <si>
    <t>TCK-12838</t>
  </si>
  <si>
    <t>2024-03-06 16:48:43</t>
  </si>
  <si>
    <t>2024-03-08 04:29:13</t>
  </si>
  <si>
    <t>TCK-12839</t>
  </si>
  <si>
    <t>2024-06-12 10:35:25</t>
  </si>
  <si>
    <t>2024-06-15 07:00:19</t>
  </si>
  <si>
    <t>TCK-12840</t>
  </si>
  <si>
    <t>2024-06-05 18:52:54</t>
  </si>
  <si>
    <t>2024-06-06 01:57:36</t>
  </si>
  <si>
    <t>TCK-12841</t>
  </si>
  <si>
    <t>2024-02-05 09:55:07</t>
  </si>
  <si>
    <t>2024-02-08 01:34:27</t>
  </si>
  <si>
    <t>TCK-12842</t>
  </si>
  <si>
    <t>2024-06-10 05:44:14</t>
  </si>
  <si>
    <t>TCK-12843</t>
  </si>
  <si>
    <t>2024-04-01 19:38:22</t>
  </si>
  <si>
    <t>2024-04-01 23:51:25</t>
  </si>
  <si>
    <t>TCK-12844</t>
  </si>
  <si>
    <t>2024-02-29 04:07:23</t>
  </si>
  <si>
    <t>2024-03-01 16:02:59</t>
  </si>
  <si>
    <t>TCK-12845</t>
  </si>
  <si>
    <t>2024-11-16 07:30:36</t>
  </si>
  <si>
    <t>2024-11-16 14:21:08</t>
  </si>
  <si>
    <t>TCK-12846</t>
  </si>
  <si>
    <t>2024-06-30 07:34:43</t>
  </si>
  <si>
    <t>2024-07-01 08:37:54</t>
  </si>
  <si>
    <t>TCK-12847</t>
  </si>
  <si>
    <t>2024-08-18 18:24:29</t>
  </si>
  <si>
    <t>2024-08-19 06:02:15</t>
  </si>
  <si>
    <t>TCK-12848</t>
  </si>
  <si>
    <t>2024-07-19 00:34:57</t>
  </si>
  <si>
    <t>2024-07-19 02:00:39</t>
  </si>
  <si>
    <t>TCK-12849</t>
  </si>
  <si>
    <t>2024-08-24 15:51:33</t>
  </si>
  <si>
    <t>2024-08-24 23:38:09</t>
  </si>
  <si>
    <t>TCK-12850</t>
  </si>
  <si>
    <t>2024-06-08 23:01:47</t>
  </si>
  <si>
    <t>2024-06-09 00:51:21</t>
  </si>
  <si>
    <t>TCK-12851</t>
  </si>
  <si>
    <t>2024-09-21 21:47:30</t>
  </si>
  <si>
    <t>TCK-12852</t>
  </si>
  <si>
    <t>2024-07-31 16:45:28</t>
  </si>
  <si>
    <t>2024-08-01 03:04:26</t>
  </si>
  <si>
    <t>TCK-12853</t>
  </si>
  <si>
    <t>2024-10-25 05:06:29</t>
  </si>
  <si>
    <t>TCK-12854</t>
  </si>
  <si>
    <t>2024-05-31 00:38:43</t>
  </si>
  <si>
    <t>2024-05-31 15:00:08</t>
  </si>
  <si>
    <t>TCK-12855</t>
  </si>
  <si>
    <t>2024-10-29 23:56:09</t>
  </si>
  <si>
    <t>2024-10-30 02:36:18</t>
  </si>
  <si>
    <t>TCK-12856</t>
  </si>
  <si>
    <t>2024-09-14 17:18:41</t>
  </si>
  <si>
    <t>TCK-12857</t>
  </si>
  <si>
    <t>2024-12-24 03:19:37</t>
  </si>
  <si>
    <t>2024-12-24 05:48:54</t>
  </si>
  <si>
    <t>TCK-12858</t>
  </si>
  <si>
    <t>2024-10-31 09:32:06</t>
  </si>
  <si>
    <t>2024-11-01 04:15:44</t>
  </si>
  <si>
    <t>TCK-12859</t>
  </si>
  <si>
    <t>2024-10-14 14:49:50</t>
  </si>
  <si>
    <t>2024-10-14 15:55:15</t>
  </si>
  <si>
    <t>TCK-12860</t>
  </si>
  <si>
    <t>2024-05-03 22:41:38</t>
  </si>
  <si>
    <t>2024-05-04 13:41:54</t>
  </si>
  <si>
    <t>TCK-12861</t>
  </si>
  <si>
    <t>2024-10-14 09:23:01</t>
  </si>
  <si>
    <t>2024-10-14 13:38:43</t>
  </si>
  <si>
    <t>TCK-12862</t>
  </si>
  <si>
    <t>2024-01-30 23:37:57</t>
  </si>
  <si>
    <t>2024-01-31 05:32:59</t>
  </si>
  <si>
    <t>TCK-12863</t>
  </si>
  <si>
    <t>2024-09-09 01:26:37</t>
  </si>
  <si>
    <t>2024-09-09 10:27:33</t>
  </si>
  <si>
    <t>TCK-12864</t>
  </si>
  <si>
    <t>2024-11-14 10:53:46</t>
  </si>
  <si>
    <t>2024-11-16 03:31:56</t>
  </si>
  <si>
    <t>TCK-12865</t>
  </si>
  <si>
    <t>2024-06-22 16:49:49</t>
  </si>
  <si>
    <t>2024-06-23 11:06:03</t>
  </si>
  <si>
    <t>TCK-12866</t>
  </si>
  <si>
    <t>2024-06-14 21:53:08</t>
  </si>
  <si>
    <t>2024-06-15 15:48:56</t>
  </si>
  <si>
    <t>TCK-12867</t>
  </si>
  <si>
    <t>2024-10-27 04:58:14</t>
  </si>
  <si>
    <t>2024-10-27 10:07:07</t>
  </si>
  <si>
    <t>TCK-12868</t>
  </si>
  <si>
    <t>2024-03-26 05:46:38</t>
  </si>
  <si>
    <t>2024-03-28 00:06:30</t>
  </si>
  <si>
    <t>TCK-12869</t>
  </si>
  <si>
    <t>2024-03-03 12:51:51</t>
  </si>
  <si>
    <t>2024-03-03 23:17:29</t>
  </si>
  <si>
    <t>TCK-12870</t>
  </si>
  <si>
    <t>2024-10-15 21:37:37</t>
  </si>
  <si>
    <t>2024-10-16 03:13:20</t>
  </si>
  <si>
    <t>TCK-12871</t>
  </si>
  <si>
    <t>2024-03-04 21:35:02</t>
  </si>
  <si>
    <t>2024-03-09 20:54:35</t>
  </si>
  <si>
    <t>TCK-12872</t>
  </si>
  <si>
    <t>2024-05-15 01:53:48</t>
  </si>
  <si>
    <t>2024-05-15 23:36:36</t>
  </si>
  <si>
    <t>TCK-12873</t>
  </si>
  <si>
    <t>2024-04-26 19:11:15</t>
  </si>
  <si>
    <t>2024-04-26 20:49:09</t>
  </si>
  <si>
    <t>TCK-12874</t>
  </si>
  <si>
    <t>2024-08-10 14:14:25</t>
  </si>
  <si>
    <t>2024-08-11 11:28:35</t>
  </si>
  <si>
    <t>TCK-12875</t>
  </si>
  <si>
    <t>2024-06-14 06:26:32</t>
  </si>
  <si>
    <t>2024-06-14 09:06:04</t>
  </si>
  <si>
    <t>TCK-12876</t>
  </si>
  <si>
    <t>2024-08-02 15:15:18</t>
  </si>
  <si>
    <t>2024-08-02 18:30:12</t>
  </si>
  <si>
    <t>TCK-12877</t>
  </si>
  <si>
    <t>2024-05-30 11:24:36</t>
  </si>
  <si>
    <t>2024-05-30 23:44:30</t>
  </si>
  <si>
    <t>TCK-12878</t>
  </si>
  <si>
    <t>2024-01-11 08:45:26</t>
  </si>
  <si>
    <t>2024-01-12 07:29:39</t>
  </si>
  <si>
    <t>TCK-12879</t>
  </si>
  <si>
    <t>2024-10-26 14:59:00</t>
  </si>
  <si>
    <t>2024-10-28 20:09:03</t>
  </si>
  <si>
    <t>TCK-12880</t>
  </si>
  <si>
    <t>2024-08-15 13:55:25</t>
  </si>
  <si>
    <t>2024-08-16 01:33:10</t>
  </si>
  <si>
    <t>TCK-12881</t>
  </si>
  <si>
    <t>2024-10-17 03:35:58</t>
  </si>
  <si>
    <t>2024-10-19 15:44:26</t>
  </si>
  <si>
    <t>TCK-12882</t>
  </si>
  <si>
    <t>2024-04-18 06:04:28</t>
  </si>
  <si>
    <t>2024-04-18 16:33:33</t>
  </si>
  <si>
    <t>TCK-12883</t>
  </si>
  <si>
    <t>2024-03-26 20:13:42</t>
  </si>
  <si>
    <t>2024-03-27 00:00:17</t>
  </si>
  <si>
    <t>TCK-12884</t>
  </si>
  <si>
    <t>2024-03-27 01:08:24</t>
  </si>
  <si>
    <t>2024-03-28 00:23:43</t>
  </si>
  <si>
    <t>TCK-12885</t>
  </si>
  <si>
    <t>2024-02-28 11:29:27</t>
  </si>
  <si>
    <t>2024-02-28 17:14:26</t>
  </si>
  <si>
    <t>TCK-12886</t>
  </si>
  <si>
    <t>2024-11-29 16:22:20</t>
  </si>
  <si>
    <t>2024-11-30 12:29:26</t>
  </si>
  <si>
    <t>TCK-12887</t>
  </si>
  <si>
    <t>2024-01-21 17:46:08</t>
  </si>
  <si>
    <t>2024-01-21 22:32:37</t>
  </si>
  <si>
    <t>TCK-12888</t>
  </si>
  <si>
    <t>2024-10-12 19:17:38</t>
  </si>
  <si>
    <t>2024-10-13 06:32:17</t>
  </si>
  <si>
    <t>TCK-12889</t>
  </si>
  <si>
    <t>2024-09-23 11:32:37</t>
  </si>
  <si>
    <t>2024-09-23 18:21:24</t>
  </si>
  <si>
    <t>TCK-12890</t>
  </si>
  <si>
    <t>2024-11-04 05:33:03</t>
  </si>
  <si>
    <t>2024-11-04 12:56:36</t>
  </si>
  <si>
    <t>TCK-12891</t>
  </si>
  <si>
    <t>2024-03-22 05:22:07</t>
  </si>
  <si>
    <t>TCK-12892</t>
  </si>
  <si>
    <t>2024-04-09 16:23:47</t>
  </si>
  <si>
    <t>2024-04-10 20:33:39</t>
  </si>
  <si>
    <t>TCK-12893</t>
  </si>
  <si>
    <t>2024-10-20 13:22:25</t>
  </si>
  <si>
    <t>2024-10-20 18:54:17</t>
  </si>
  <si>
    <t>TCK-12894</t>
  </si>
  <si>
    <t>2024-07-06 14:26:45</t>
  </si>
  <si>
    <t>2024-07-06 20:33:40</t>
  </si>
  <si>
    <t>TCK-12895</t>
  </si>
  <si>
    <t>2024-07-20 03:20:08</t>
  </si>
  <si>
    <t>2024-07-20 11:38:29</t>
  </si>
  <si>
    <t>TCK-12896</t>
  </si>
  <si>
    <t>2024-04-21 04:15:34</t>
  </si>
  <si>
    <t>2024-04-21 09:48:29</t>
  </si>
  <si>
    <t>TCK-12897</t>
  </si>
  <si>
    <t>2024-07-14 07:25:50</t>
  </si>
  <si>
    <t>TCK-12898</t>
  </si>
  <si>
    <t>2024-02-03 15:28:21</t>
  </si>
  <si>
    <t>TCK-12899</t>
  </si>
  <si>
    <t>2024-04-07 11:45:33</t>
  </si>
  <si>
    <t>2024-04-07 20:23:23</t>
  </si>
  <si>
    <t>TCK-12900</t>
  </si>
  <si>
    <t>2024-01-31 11:26:08</t>
  </si>
  <si>
    <t>2024-01-31 22:28:11</t>
  </si>
  <si>
    <t>TCK-12901</t>
  </si>
  <si>
    <t>2024-10-22 20:54:16</t>
  </si>
  <si>
    <t>2024-10-23 08:01:54</t>
  </si>
  <si>
    <t>TCK-12902</t>
  </si>
  <si>
    <t>2024-03-18 04:46:20</t>
  </si>
  <si>
    <t>TCK-12903</t>
  </si>
  <si>
    <t>2024-03-10 22:19:10</t>
  </si>
  <si>
    <t>2024-03-11 04:29:37</t>
  </si>
  <si>
    <t>TCK-12904</t>
  </si>
  <si>
    <t>2024-12-05 20:52:06</t>
  </si>
  <si>
    <t>2024-12-06 03:19:07</t>
  </si>
  <si>
    <t>TCK-12905</t>
  </si>
  <si>
    <t>2024-10-15 01:41:33</t>
  </si>
  <si>
    <t>2024-10-15 02:26:34</t>
  </si>
  <si>
    <t>TCK-12906</t>
  </si>
  <si>
    <t>2024-05-04 12:21:54</t>
  </si>
  <si>
    <t>TCK-12907</t>
  </si>
  <si>
    <t>2024-06-05 09:00:14</t>
  </si>
  <si>
    <t>2024-06-06 23:12:30</t>
  </si>
  <si>
    <t>TCK-12908</t>
  </si>
  <si>
    <t>2024-05-04 10:06:21</t>
  </si>
  <si>
    <t>2024-05-04 13:28:29</t>
  </si>
  <si>
    <t>TCK-12909</t>
  </si>
  <si>
    <t>2024-02-07 11:06:37</t>
  </si>
  <si>
    <t>2024-02-08 13:42:18</t>
  </si>
  <si>
    <t>TCK-12910</t>
  </si>
  <si>
    <t>2024-08-11 23:33:14</t>
  </si>
  <si>
    <t>2024-08-12 06:58:09</t>
  </si>
  <si>
    <t>TCK-12911</t>
  </si>
  <si>
    <t>2024-03-02 19:41:07</t>
  </si>
  <si>
    <t>2024-03-02 21:57:28</t>
  </si>
  <si>
    <t>TCK-12912</t>
  </si>
  <si>
    <t>2024-06-04 13:43:59</t>
  </si>
  <si>
    <t>2024-06-04 16:19:34</t>
  </si>
  <si>
    <t>TCK-12913</t>
  </si>
  <si>
    <t>2024-06-16 02:17:11</t>
  </si>
  <si>
    <t>2024-06-16 14:32:51</t>
  </si>
  <si>
    <t>TCK-12914</t>
  </si>
  <si>
    <t>2024-09-04 14:04:37</t>
  </si>
  <si>
    <t>2024-09-05 05:13:43</t>
  </si>
  <si>
    <t>TCK-12915</t>
  </si>
  <si>
    <t>2024-07-02 14:24:19</t>
  </si>
  <si>
    <t>2024-07-08 12:42:18</t>
  </si>
  <si>
    <t>TCK-12916</t>
  </si>
  <si>
    <t>2024-11-12 11:43:14</t>
  </si>
  <si>
    <t>2024-11-12 13:35:34</t>
  </si>
  <si>
    <t>TCK-12917</t>
  </si>
  <si>
    <t>2024-12-05 02:46:27</t>
  </si>
  <si>
    <t>2024-12-05 21:08:32</t>
  </si>
  <si>
    <t>TCK-12918</t>
  </si>
  <si>
    <t>2024-04-07 02:50:20</t>
  </si>
  <si>
    <t>2024-04-08 01:29:04</t>
  </si>
  <si>
    <t>TCK-12919</t>
  </si>
  <si>
    <t>2024-10-24 07:22:16</t>
  </si>
  <si>
    <t>2024-10-24 23:50:05</t>
  </si>
  <si>
    <t>TCK-12920</t>
  </si>
  <si>
    <t>2024-02-19 18:21:08</t>
  </si>
  <si>
    <t>2024-02-19 23:53:44</t>
  </si>
  <si>
    <t>TCK-12921</t>
  </si>
  <si>
    <t>2024-12-20 01:06:52</t>
  </si>
  <si>
    <t>2024-12-20 13:12:02</t>
  </si>
  <si>
    <t>TCK-12922</t>
  </si>
  <si>
    <t>2024-06-27 01:45:41</t>
  </si>
  <si>
    <t>2024-06-27 15:43:31</t>
  </si>
  <si>
    <t>TCK-12923</t>
  </si>
  <si>
    <t>2024-12-31 11:10:12</t>
  </si>
  <si>
    <t>2025-01-01 01:21:22</t>
  </si>
  <si>
    <t>TCK-12924</t>
  </si>
  <si>
    <t>2024-02-09 15:53:13</t>
  </si>
  <si>
    <t>2024-02-10 06:51:05</t>
  </si>
  <si>
    <t>TCK-12925</t>
  </si>
  <si>
    <t>2024-10-22 01:37:08</t>
  </si>
  <si>
    <t>2024-10-22 23:19:27</t>
  </si>
  <si>
    <t>TCK-12926</t>
  </si>
  <si>
    <t>2024-06-02 05:05:49</t>
  </si>
  <si>
    <t>2024-06-02 10:50:25</t>
  </si>
  <si>
    <t>TCK-12927</t>
  </si>
  <si>
    <t>2024-07-03 09:50:57</t>
  </si>
  <si>
    <t>TCK-12928</t>
  </si>
  <si>
    <t>2024-04-16 16:39:01</t>
  </si>
  <si>
    <t>TCK-12929</t>
  </si>
  <si>
    <t>2024-01-08 18:00:55</t>
  </si>
  <si>
    <t>2024-01-08 22:54:50</t>
  </si>
  <si>
    <t>TCK-12930</t>
  </si>
  <si>
    <t>2024-10-31 17:07:11</t>
  </si>
  <si>
    <t>2024-10-31 23:37:13</t>
  </si>
  <si>
    <t>TCK-12931</t>
  </si>
  <si>
    <t>2024-11-19 04:43:17</t>
  </si>
  <si>
    <t>2024-11-19 23:45:59</t>
  </si>
  <si>
    <t>TCK-12932</t>
  </si>
  <si>
    <t>2024-06-27 23:35:57</t>
  </si>
  <si>
    <t>2024-06-28 03:05:16</t>
  </si>
  <si>
    <t>TCK-12933</t>
  </si>
  <si>
    <t>2024-07-15 16:47:10</t>
  </si>
  <si>
    <t>2024-07-16 13:13:24</t>
  </si>
  <si>
    <t>TCK-12934</t>
  </si>
  <si>
    <t>2024-06-28 01:02:41</t>
  </si>
  <si>
    <t>2024-06-28 02:11:14</t>
  </si>
  <si>
    <t>TCK-12935</t>
  </si>
  <si>
    <t>2024-02-13 10:00:46</t>
  </si>
  <si>
    <t>2024-02-13 10:30:23</t>
  </si>
  <si>
    <t>TCK-12936</t>
  </si>
  <si>
    <t>2024-10-06 08:06:57</t>
  </si>
  <si>
    <t>2024-10-06 10:27:19</t>
  </si>
  <si>
    <t>TCK-12937</t>
  </si>
  <si>
    <t>2024-04-15 22:15:44</t>
  </si>
  <si>
    <t>2024-04-16 03:43:28</t>
  </si>
  <si>
    <t>TCK-12938</t>
  </si>
  <si>
    <t>2024-02-09 07:42:38</t>
  </si>
  <si>
    <t>2024-02-09 15:00:16</t>
  </si>
  <si>
    <t>TCK-12939</t>
  </si>
  <si>
    <t>2024-07-11 00:54:26</t>
  </si>
  <si>
    <t>2024-07-11 23:12:13</t>
  </si>
  <si>
    <t>TCK-12940</t>
  </si>
  <si>
    <t>2024-10-03 05:11:44</t>
  </si>
  <si>
    <t>2024-10-04 02:25:07</t>
  </si>
  <si>
    <t>TCK-12941</t>
  </si>
  <si>
    <t>2024-01-16 08:16:03</t>
  </si>
  <si>
    <t>TCK-12942</t>
  </si>
  <si>
    <t>2024-06-06 07:24:05</t>
  </si>
  <si>
    <t>2024-06-06 18:05:31</t>
  </si>
  <si>
    <t>TCK-12943</t>
  </si>
  <si>
    <t>2024-10-26 06:12:05</t>
  </si>
  <si>
    <t>2024-10-27 06:08:43</t>
  </si>
  <si>
    <t>TCK-12944</t>
  </si>
  <si>
    <t>2024-03-18 00:39:48</t>
  </si>
  <si>
    <t>TCK-12945</t>
  </si>
  <si>
    <t>2024-02-07 16:21:14</t>
  </si>
  <si>
    <t>2024-02-07 19:57:09</t>
  </si>
  <si>
    <t>TCK-12946</t>
  </si>
  <si>
    <t>2024-07-05 23:04:23</t>
  </si>
  <si>
    <t>2024-07-06 09:22:40</t>
  </si>
  <si>
    <t>TCK-12947</t>
  </si>
  <si>
    <t>2024-09-22 03:15:27</t>
  </si>
  <si>
    <t>2024-09-22 09:57:21</t>
  </si>
  <si>
    <t>TCK-12948</t>
  </si>
  <si>
    <t>2024-12-28 14:48:52</t>
  </si>
  <si>
    <t>2024-12-29 04:06:00</t>
  </si>
  <si>
    <t>TCK-12949</t>
  </si>
  <si>
    <t>2024-04-26 11:34:16</t>
  </si>
  <si>
    <t>2024-04-26 18:08:42</t>
  </si>
  <si>
    <t>TCK-12950</t>
  </si>
  <si>
    <t>2024-05-28 03:07:02</t>
  </si>
  <si>
    <t>2024-05-28 04:27:32</t>
  </si>
  <si>
    <t>TCK-12951</t>
  </si>
  <si>
    <t>2024-07-13 05:58:19</t>
  </si>
  <si>
    <t>2024-07-13 17:00:47</t>
  </si>
  <si>
    <t>TCK-12952</t>
  </si>
  <si>
    <t>2024-02-16 12:53:04</t>
  </si>
  <si>
    <t>2024-02-17 00:40:55</t>
  </si>
  <si>
    <t>TCK-12953</t>
  </si>
  <si>
    <t>2024-08-20 02:41:26</t>
  </si>
  <si>
    <t>2024-08-20 21:41:57</t>
  </si>
  <si>
    <t>TCK-12954</t>
  </si>
  <si>
    <t>2024-05-05 20:12:32</t>
  </si>
  <si>
    <t>2024-05-05 22:55:59</t>
  </si>
  <si>
    <t>TCK-12955</t>
  </si>
  <si>
    <t>2024-01-26 13:53:11</t>
  </si>
  <si>
    <t>TCK-12956</t>
  </si>
  <si>
    <t>2024-06-14 17:51:04</t>
  </si>
  <si>
    <t>2024-06-15 03:47:01</t>
  </si>
  <si>
    <t>TCK-12957</t>
  </si>
  <si>
    <t>2024-09-01 11:36:40</t>
  </si>
  <si>
    <t>TCK-12958</t>
  </si>
  <si>
    <t>2024-12-22 11:11:41</t>
  </si>
  <si>
    <t>2024-12-23 21:01:00</t>
  </si>
  <si>
    <t>TCK-12959</t>
  </si>
  <si>
    <t>2024-02-03 21:30:41</t>
  </si>
  <si>
    <t>2024-02-04 05:11:41</t>
  </si>
  <si>
    <t>TCK-12960</t>
  </si>
  <si>
    <t>2024-07-04 08:28:18</t>
  </si>
  <si>
    <t>TCK-12961</t>
  </si>
  <si>
    <t>2024-02-13 12:45:13</t>
  </si>
  <si>
    <t>2024-02-18 23:45:24</t>
  </si>
  <si>
    <t>TCK-12962</t>
  </si>
  <si>
    <t>2024-11-02 03:35:47</t>
  </si>
  <si>
    <t>2024-11-02 22:34:33</t>
  </si>
  <si>
    <t>TCK-12963</t>
  </si>
  <si>
    <t>2024-08-21 03:47:31</t>
  </si>
  <si>
    <t>2024-08-21 05:47:44</t>
  </si>
  <si>
    <t>TCK-12964</t>
  </si>
  <si>
    <t>2024-07-14 02:20:21</t>
  </si>
  <si>
    <t>2024-07-14 08:25:52</t>
  </si>
  <si>
    <t>TCK-12965</t>
  </si>
  <si>
    <t>2024-04-20 14:13:08</t>
  </si>
  <si>
    <t>2024-04-20 16:40:45</t>
  </si>
  <si>
    <t>TCK-12966</t>
  </si>
  <si>
    <t>2024-01-13 17:47:36</t>
  </si>
  <si>
    <t>2024-01-13 18:58:08</t>
  </si>
  <si>
    <t>TCK-12967</t>
  </si>
  <si>
    <t>2024-02-09 20:39:24</t>
  </si>
  <si>
    <t>2024-02-12 10:05:38</t>
  </si>
  <si>
    <t>TCK-12968</t>
  </si>
  <si>
    <t>2024-10-30 03:58:15</t>
  </si>
  <si>
    <t>2024-10-31 18:27:25</t>
  </si>
  <si>
    <t>TCK-12969</t>
  </si>
  <si>
    <t>2024-06-18 22:09:31</t>
  </si>
  <si>
    <t>2024-06-19 04:07:15</t>
  </si>
  <si>
    <t>TCK-12970</t>
  </si>
  <si>
    <t>2024-01-12 16:15:46</t>
  </si>
  <si>
    <t>2024-01-12 19:01:08</t>
  </si>
  <si>
    <t>TCK-12971</t>
  </si>
  <si>
    <t>2024-05-08 06:29:41</t>
  </si>
  <si>
    <t>2024-05-08 13:27:29</t>
  </si>
  <si>
    <t>TCK-12972</t>
  </si>
  <si>
    <t>2024-04-12 07:57:15</t>
  </si>
  <si>
    <t>2024-04-12 12:29:53</t>
  </si>
  <si>
    <t>TCK-12973</t>
  </si>
  <si>
    <t>2024-09-06 11:46:01</t>
  </si>
  <si>
    <t>2024-09-06 21:11:30</t>
  </si>
  <si>
    <t>TCK-12974</t>
  </si>
  <si>
    <t>2024-08-05 12:32:41</t>
  </si>
  <si>
    <t>2024-08-06 04:33:52</t>
  </si>
  <si>
    <t>TCK-12975</t>
  </si>
  <si>
    <t>2024-11-16 07:22:24</t>
  </si>
  <si>
    <t>TCK-12976</t>
  </si>
  <si>
    <t>2024-12-17 08:34:52</t>
  </si>
  <si>
    <t>2024-12-17 13:08:18</t>
  </si>
  <si>
    <t>TCK-12977</t>
  </si>
  <si>
    <t>2024-12-21 16:06:23</t>
  </si>
  <si>
    <t>2024-12-22 10:00:05</t>
  </si>
  <si>
    <t>TCK-12978</t>
  </si>
  <si>
    <t>2024-12-13 20:04:22</t>
  </si>
  <si>
    <t>2024-12-14 04:33:09</t>
  </si>
  <si>
    <t>TCK-12979</t>
  </si>
  <si>
    <t>2024-07-21 05:05:28</t>
  </si>
  <si>
    <t>2024-07-21 14:15:17</t>
  </si>
  <si>
    <t>TCK-12980</t>
  </si>
  <si>
    <t>2024-04-01 00:38:26</t>
  </si>
  <si>
    <t>2024-04-01 12:06:05</t>
  </si>
  <si>
    <t>TCK-12981</t>
  </si>
  <si>
    <t>2024-03-27 19:26:29</t>
  </si>
  <si>
    <t>2024-03-28 05:08:19</t>
  </si>
  <si>
    <t>TCK-12982</t>
  </si>
  <si>
    <t>2024-07-18 04:26:57</t>
  </si>
  <si>
    <t>2024-07-18 11:01:17</t>
  </si>
  <si>
    <t>TCK-12983</t>
  </si>
  <si>
    <t>2024-04-27 08:15:48</t>
  </si>
  <si>
    <t>2024-04-27 21:30:21</t>
  </si>
  <si>
    <t>TCK-12984</t>
  </si>
  <si>
    <t>2024-04-03 16:34:52</t>
  </si>
  <si>
    <t>2024-04-03 19:37:55</t>
  </si>
  <si>
    <t>TCK-12985</t>
  </si>
  <si>
    <t>2024-10-02 20:26:30</t>
  </si>
  <si>
    <t>2024-10-03 14:12:25</t>
  </si>
  <si>
    <t>TCK-12986</t>
  </si>
  <si>
    <t>2024-05-11 14:43:45</t>
  </si>
  <si>
    <t>2024-05-12 07:54:48</t>
  </si>
  <si>
    <t>TCK-12987</t>
  </si>
  <si>
    <t>2024-03-04 07:21:42</t>
  </si>
  <si>
    <t>TCK-12988</t>
  </si>
  <si>
    <t>2024-03-24 00:19:28</t>
  </si>
  <si>
    <t>2024-03-24 07:27:16</t>
  </si>
  <si>
    <t>TCK-12989</t>
  </si>
  <si>
    <t>2024-05-05 10:44:05</t>
  </si>
  <si>
    <t>2024-05-05 13:32:52</t>
  </si>
  <si>
    <t>TCK-12990</t>
  </si>
  <si>
    <t>2024-08-23 07:56:55</t>
  </si>
  <si>
    <t>2024-08-23 20:15:00</t>
  </si>
  <si>
    <t>TCK-12991</t>
  </si>
  <si>
    <t>2024-08-21 10:37:51</t>
  </si>
  <si>
    <t>2024-08-21 16:39:38</t>
  </si>
  <si>
    <t>TCK-12992</t>
  </si>
  <si>
    <t>2024-05-19 19:49:28</t>
  </si>
  <si>
    <t>2024-05-20 18:25:51</t>
  </si>
  <si>
    <t>TCK-12993</t>
  </si>
  <si>
    <t>2024-03-27 06:34:46</t>
  </si>
  <si>
    <t>2024-03-27 17:46:50</t>
  </si>
  <si>
    <t>TCK-12994</t>
  </si>
  <si>
    <t>2024-07-25 19:13:58</t>
  </si>
  <si>
    <t>2024-07-26 11:19:47</t>
  </si>
  <si>
    <t>TCK-12995</t>
  </si>
  <si>
    <t>2024-08-12 04:56:34</t>
  </si>
  <si>
    <t>2024-08-12 06:19:08</t>
  </si>
  <si>
    <t>TCK-12996</t>
  </si>
  <si>
    <t>2024-01-23 21:51:21</t>
  </si>
  <si>
    <t>2024-01-24 03:14:19</t>
  </si>
  <si>
    <t>TCK-12997</t>
  </si>
  <si>
    <t>2024-05-26 13:54:50</t>
  </si>
  <si>
    <t>2024-05-27 12:05:54</t>
  </si>
  <si>
    <t>TCK-12998</t>
  </si>
  <si>
    <t>2024-10-09 17:00:29</t>
  </si>
  <si>
    <t>2024-10-10 02:25:41</t>
  </si>
  <si>
    <t>TCK-12999</t>
  </si>
  <si>
    <t>2024-03-25 16:24:21</t>
  </si>
  <si>
    <t>2024-03-25 22:31:20</t>
  </si>
  <si>
    <t>TCK-13000</t>
  </si>
  <si>
    <t>2024-04-20 23:07:23</t>
  </si>
  <si>
    <t>2024-04-21 00:43:38</t>
  </si>
  <si>
    <t>TCK-13001</t>
  </si>
  <si>
    <t>2024-10-21 07:09:50</t>
  </si>
  <si>
    <t>2024-10-23 04:23:23</t>
  </si>
  <si>
    <t>TCK-13002</t>
  </si>
  <si>
    <t>2024-06-15 13:21:09</t>
  </si>
  <si>
    <t>2024-06-15 15:00:09</t>
  </si>
  <si>
    <t>TCK-13003</t>
  </si>
  <si>
    <t>2024-03-03 12:26:08</t>
  </si>
  <si>
    <t>2024-03-03 16:20:55</t>
  </si>
  <si>
    <t>TCK-13004</t>
  </si>
  <si>
    <t>2024-01-24 14:04:01</t>
  </si>
  <si>
    <t>2024-01-24 21:10:22</t>
  </si>
  <si>
    <t>TCK-13005</t>
  </si>
  <si>
    <t>2024-09-01 16:33:52</t>
  </si>
  <si>
    <t>2024-09-03 01:16:11</t>
  </si>
  <si>
    <t>TCK-13006</t>
  </si>
  <si>
    <t>2024-05-18 11:41:50</t>
  </si>
  <si>
    <t>2024-05-18 19:54:02</t>
  </si>
  <si>
    <t>TCK-13007</t>
  </si>
  <si>
    <t>2024-06-10 03:33:09</t>
  </si>
  <si>
    <t>2024-06-10 05:39:42</t>
  </si>
  <si>
    <t>TCK-13008</t>
  </si>
  <si>
    <t>2024-12-30 23:44:19</t>
  </si>
  <si>
    <t>2024-12-31 20:39:32</t>
  </si>
  <si>
    <t>TCK-13009</t>
  </si>
  <si>
    <t>2024-04-04 19:37:28</t>
  </si>
  <si>
    <t>2024-04-05 10:48:08</t>
  </si>
  <si>
    <t>TCK-13010</t>
  </si>
  <si>
    <t>2024-05-27 21:45:29</t>
  </si>
  <si>
    <t>2024-05-28 13:36:14</t>
  </si>
  <si>
    <t>TCK-13011</t>
  </si>
  <si>
    <t>2024-09-22 14:07:35</t>
  </si>
  <si>
    <t>2024-09-23 21:51:11</t>
  </si>
  <si>
    <t>TCK-13012</t>
  </si>
  <si>
    <t>2024-10-29 20:16:37</t>
  </si>
  <si>
    <t>2024-10-29 23:04:05</t>
  </si>
  <si>
    <t>TCK-13013</t>
  </si>
  <si>
    <t>2024-12-02 13:49:41</t>
  </si>
  <si>
    <t>2024-12-03 12:29:38</t>
  </si>
  <si>
    <t>TCK-13014</t>
  </si>
  <si>
    <t>2024-05-14 11:36:20</t>
  </si>
  <si>
    <t>TCK-13015</t>
  </si>
  <si>
    <t>2024-05-22 06:04:03</t>
  </si>
  <si>
    <t>2024-05-22 19:15:27</t>
  </si>
  <si>
    <t>TCK-13016</t>
  </si>
  <si>
    <t>2024-08-16 22:54:02</t>
  </si>
  <si>
    <t>2024-08-18 01:06:54</t>
  </si>
  <si>
    <t>TCK-13017</t>
  </si>
  <si>
    <t>2024-02-23 23:05:24</t>
  </si>
  <si>
    <t>TCK-13018</t>
  </si>
  <si>
    <t>2024-06-11 23:33:39</t>
  </si>
  <si>
    <t>2024-06-12 06:15:07</t>
  </si>
  <si>
    <t>TCK-13019</t>
  </si>
  <si>
    <t>2024-10-18 20:58:24</t>
  </si>
  <si>
    <t>2024-10-19 05:53:33</t>
  </si>
  <si>
    <t>TCK-13020</t>
  </si>
  <si>
    <t>2024-06-20 13:00:59</t>
  </si>
  <si>
    <t>2024-06-20 21:33:36</t>
  </si>
  <si>
    <t>TCK-13021</t>
  </si>
  <si>
    <t>2024-09-12 09:17:24</t>
  </si>
  <si>
    <t>2024-09-12 22:54:43</t>
  </si>
  <si>
    <t>TCK-13022</t>
  </si>
  <si>
    <t>2024-12-29 10:04:07</t>
  </si>
  <si>
    <t>TCK-13023</t>
  </si>
  <si>
    <t>2024-07-10 16:43:53</t>
  </si>
  <si>
    <t>2024-07-11 09:22:22</t>
  </si>
  <si>
    <t>TCK-13024</t>
  </si>
  <si>
    <t>2024-01-10 17:48:55</t>
  </si>
  <si>
    <t>2024-01-10 23:14:36</t>
  </si>
  <si>
    <t>TCK-13025</t>
  </si>
  <si>
    <t>2024-02-26 06:20:51</t>
  </si>
  <si>
    <t>2024-02-26 23:05:31</t>
  </si>
  <si>
    <t>TCK-13026</t>
  </si>
  <si>
    <t>2024-10-06 02:04:48</t>
  </si>
  <si>
    <t>2024-10-06 15:50:38</t>
  </si>
  <si>
    <t>TCK-13027</t>
  </si>
  <si>
    <t>2024-12-01 10:44:23</t>
  </si>
  <si>
    <t>2024-12-01 15:57:41</t>
  </si>
  <si>
    <t>TCK-13028</t>
  </si>
  <si>
    <t>2024-02-29 04:32:10</t>
  </si>
  <si>
    <t>2024-02-29 08:03:27</t>
  </si>
  <si>
    <t>TCK-13029</t>
  </si>
  <si>
    <t>2024-11-13 15:59:13</t>
  </si>
  <si>
    <t>2024-11-13 19:39:44</t>
  </si>
  <si>
    <t>TCK-13030</t>
  </si>
  <si>
    <t>2024-08-12 03:06:23</t>
  </si>
  <si>
    <t>TCK-13031</t>
  </si>
  <si>
    <t>2024-09-25 19:44:08</t>
  </si>
  <si>
    <t>2024-09-26 04:58:52</t>
  </si>
  <si>
    <t>TCK-13032</t>
  </si>
  <si>
    <t>2024-08-23 21:49:29</t>
  </si>
  <si>
    <t>2024-08-29 14:04:37</t>
  </si>
  <si>
    <t>TCK-13033</t>
  </si>
  <si>
    <t>2024-10-05 02:04:30</t>
  </si>
  <si>
    <t>2024-10-06 18:15:19</t>
  </si>
  <si>
    <t>TCK-13034</t>
  </si>
  <si>
    <t>2024-12-27 17:09:13</t>
  </si>
  <si>
    <t>TCK-13035</t>
  </si>
  <si>
    <t>2024-11-02 00:08:48</t>
  </si>
  <si>
    <t>2024-11-03 02:19:21</t>
  </si>
  <si>
    <t>TCK-13036</t>
  </si>
  <si>
    <t>2024-09-05 11:11:15</t>
  </si>
  <si>
    <t>2024-09-05 14:50:26</t>
  </si>
  <si>
    <t>TCK-13037</t>
  </si>
  <si>
    <t>2024-05-15 16:55:00</t>
  </si>
  <si>
    <t>2024-05-17 03:03:08</t>
  </si>
  <si>
    <t>TCK-13038</t>
  </si>
  <si>
    <t>2024-02-10 08:17:20</t>
  </si>
  <si>
    <t>2024-02-10 09:25:42</t>
  </si>
  <si>
    <t>TCK-13039</t>
  </si>
  <si>
    <t>2024-09-05 13:25:08</t>
  </si>
  <si>
    <t>2024-09-05 15:28:29</t>
  </si>
  <si>
    <t>TCK-13040</t>
  </si>
  <si>
    <t>2024-08-01 12:15:26</t>
  </si>
  <si>
    <t>2024-08-01 19:15:29</t>
  </si>
  <si>
    <t>TCK-13041</t>
  </si>
  <si>
    <t>2024-12-14 20:54:44</t>
  </si>
  <si>
    <t>2024-12-15 01:29:20</t>
  </si>
  <si>
    <t>TCK-13042</t>
  </si>
  <si>
    <t>2024-05-31 12:11:12</t>
  </si>
  <si>
    <t>2024-06-01 07:26:57</t>
  </si>
  <si>
    <t>TCK-13043</t>
  </si>
  <si>
    <t>2024-05-18 16:28:14</t>
  </si>
  <si>
    <t>2024-05-19 04:35:27</t>
  </si>
  <si>
    <t>TCK-13044</t>
  </si>
  <si>
    <t>2024-05-04 22:30:58</t>
  </si>
  <si>
    <t>2024-05-06 05:34:33</t>
  </si>
  <si>
    <t>TCK-13045</t>
  </si>
  <si>
    <t>2024-05-15 09:31:16</t>
  </si>
  <si>
    <t>2024-05-15 16:48:18</t>
  </si>
  <si>
    <t>TCK-13046</t>
  </si>
  <si>
    <t>2024-09-12 03:36:30</t>
  </si>
  <si>
    <t>2024-09-12 08:54:20</t>
  </si>
  <si>
    <t>TCK-13047</t>
  </si>
  <si>
    <t>2024-10-29 00:05:03</t>
  </si>
  <si>
    <t>2024-10-29 07:56:41</t>
  </si>
  <si>
    <t>TCK-13048</t>
  </si>
  <si>
    <t>2024-08-01 04:13:27</t>
  </si>
  <si>
    <t>2024-08-01 13:34:48</t>
  </si>
  <si>
    <t>TCK-13049</t>
  </si>
  <si>
    <t>2024-11-17 00:22:41</t>
  </si>
  <si>
    <t>2024-11-17 07:18:23</t>
  </si>
  <si>
    <t>TCK-13050</t>
  </si>
  <si>
    <t>2024-09-05 02:19:26</t>
  </si>
  <si>
    <t>2024-09-05 20:19:26</t>
  </si>
  <si>
    <t>TCK-13051</t>
  </si>
  <si>
    <t>2024-02-11 16:36:30</t>
  </si>
  <si>
    <t>2024-02-13 19:43:29</t>
  </si>
  <si>
    <t>TCK-13052</t>
  </si>
  <si>
    <t>2024-12-25 02:58:40</t>
  </si>
  <si>
    <t>2024-12-27 06:10:42</t>
  </si>
  <si>
    <t>TCK-13053</t>
  </si>
  <si>
    <t>2024-03-06 03:46:52</t>
  </si>
  <si>
    <t>TCK-13054</t>
  </si>
  <si>
    <t>2024-10-20 19:20:23</t>
  </si>
  <si>
    <t>2024-10-21 01:07:14</t>
  </si>
  <si>
    <t>TCK-13055</t>
  </si>
  <si>
    <t>2024-12-24 05:23:28</t>
  </si>
  <si>
    <t>2024-12-25 13:26:37</t>
  </si>
  <si>
    <t>TCK-13056</t>
  </si>
  <si>
    <t>2024-02-25 07:23:52</t>
  </si>
  <si>
    <t>2024-02-26 03:55:19</t>
  </si>
  <si>
    <t>TCK-13057</t>
  </si>
  <si>
    <t>2024-05-15 19:02:24</t>
  </si>
  <si>
    <t>2024-05-16 16:22:10</t>
  </si>
  <si>
    <t>TCK-13058</t>
  </si>
  <si>
    <t>2024-06-15 05:43:44</t>
  </si>
  <si>
    <t>2024-06-16 15:29:15</t>
  </si>
  <si>
    <t>TCK-13059</t>
  </si>
  <si>
    <t>2024-10-27 02:26:59</t>
  </si>
  <si>
    <t>2024-10-27 18:44:50</t>
  </si>
  <si>
    <t>TCK-13060</t>
  </si>
  <si>
    <t>2024-04-01 09:57:57</t>
  </si>
  <si>
    <t>2024-04-01 11:51:49</t>
  </si>
  <si>
    <t>TCK-13061</t>
  </si>
  <si>
    <t>2024-04-19 16:13:34</t>
  </si>
  <si>
    <t>2024-04-20 15:44:56</t>
  </si>
  <si>
    <t>TCK-13062</t>
  </si>
  <si>
    <t>2024-09-27 01:44:44</t>
  </si>
  <si>
    <t>2024-09-27 06:47:13</t>
  </si>
  <si>
    <t>TCK-13063</t>
  </si>
  <si>
    <t>2024-01-09 14:04:31</t>
  </si>
  <si>
    <t>2024-01-10 02:31:45</t>
  </si>
  <si>
    <t>TCK-13064</t>
  </si>
  <si>
    <t>2024-02-14 17:15:15</t>
  </si>
  <si>
    <t>2024-02-14 19:00:13</t>
  </si>
  <si>
    <t>TCK-13065</t>
  </si>
  <si>
    <t>2024-02-29 03:04:34</t>
  </si>
  <si>
    <t>2024-02-29 20:07:06</t>
  </si>
  <si>
    <t>TCK-13066</t>
  </si>
  <si>
    <t>2024-11-24 09:07:57</t>
  </si>
  <si>
    <t>TCK-13067</t>
  </si>
  <si>
    <t>2024-03-20 06:58:07</t>
  </si>
  <si>
    <t>2024-03-20 08:22:32</t>
  </si>
  <si>
    <t>TCK-13068</t>
  </si>
  <si>
    <t>2024-04-20 12:09:50</t>
  </si>
  <si>
    <t>2024-04-22 22:37:59</t>
  </si>
  <si>
    <t>TCK-13069</t>
  </si>
  <si>
    <t>2024-09-03 09:18:11</t>
  </si>
  <si>
    <t>2024-09-04 06:55:41</t>
  </si>
  <si>
    <t>TCK-13070</t>
  </si>
  <si>
    <t>2024-09-26 08:10:58</t>
  </si>
  <si>
    <t>2024-09-26 11:05:36</t>
  </si>
  <si>
    <t>TCK-13071</t>
  </si>
  <si>
    <t>2024-04-12 19:26:35</t>
  </si>
  <si>
    <t>2024-04-13 00:20:58</t>
  </si>
  <si>
    <t>TCK-13072</t>
  </si>
  <si>
    <t>2024-09-24 23:51:59</t>
  </si>
  <si>
    <t>2024-09-25 08:11:23</t>
  </si>
  <si>
    <t>TCK-13073</t>
  </si>
  <si>
    <t>2024-05-26 17:48:15</t>
  </si>
  <si>
    <t>2024-05-27 00:27:25</t>
  </si>
  <si>
    <t>TCK-13074</t>
  </si>
  <si>
    <t>2024-12-07 02:04:09</t>
  </si>
  <si>
    <t>2024-12-07 07:48:09</t>
  </si>
  <si>
    <t>TCK-13075</t>
  </si>
  <si>
    <t>2024-05-04 17:06:59</t>
  </si>
  <si>
    <t>2024-05-06 10:30:15</t>
  </si>
  <si>
    <t>TCK-13076</t>
  </si>
  <si>
    <t>2024-02-05 01:21:13</t>
  </si>
  <si>
    <t>2024-02-09 10:51:02</t>
  </si>
  <si>
    <t>TCK-13077</t>
  </si>
  <si>
    <t>2024-06-21 12:28:57</t>
  </si>
  <si>
    <t>TCK-13078</t>
  </si>
  <si>
    <t>2024-03-08 17:02:44</t>
  </si>
  <si>
    <t>2024-03-09 02:16:53</t>
  </si>
  <si>
    <t>TCK-13079</t>
  </si>
  <si>
    <t>2024-08-21 09:40:45</t>
  </si>
  <si>
    <t>2024-08-21 17:26:03</t>
  </si>
  <si>
    <t>TCK-13080</t>
  </si>
  <si>
    <t>2024-06-21 13:32:50</t>
  </si>
  <si>
    <t>2024-06-22 15:54:16</t>
  </si>
  <si>
    <t>TCK-13081</t>
  </si>
  <si>
    <t>2024-02-02 07:32:01</t>
  </si>
  <si>
    <t>2024-02-03 05:25:51</t>
  </si>
  <si>
    <t>TCK-13082</t>
  </si>
  <si>
    <t>2024-10-30 04:21:14</t>
  </si>
  <si>
    <t>2024-11-02 00:12:20</t>
  </si>
  <si>
    <t>TCK-13083</t>
  </si>
  <si>
    <t>2024-11-17 23:27:54</t>
  </si>
  <si>
    <t>2024-11-19 12:04:44</t>
  </si>
  <si>
    <t>TCK-13084</t>
  </si>
  <si>
    <t>2024-12-01 02:35:22</t>
  </si>
  <si>
    <t>2024-12-02 00:57:20</t>
  </si>
  <si>
    <t>TCK-13085</t>
  </si>
  <si>
    <t>2024-08-15 08:12:36</t>
  </si>
  <si>
    <t>2024-08-17 05:45:24</t>
  </si>
  <si>
    <t>TCK-13086</t>
  </si>
  <si>
    <t>2024-05-18 13:57:28</t>
  </si>
  <si>
    <t>2024-05-19 06:26:07</t>
  </si>
  <si>
    <t>TCK-13087</t>
  </si>
  <si>
    <t>2024-07-11 15:58:03</t>
  </si>
  <si>
    <t>2024-07-11 22:47:20</t>
  </si>
  <si>
    <t>TCK-13088</t>
  </si>
  <si>
    <t>2024-06-17 06:39:12</t>
  </si>
  <si>
    <t>2024-06-18 02:59:12</t>
  </si>
  <si>
    <t>TCK-13089</t>
  </si>
  <si>
    <t>2024-03-04 00:57:47</t>
  </si>
  <si>
    <t>2024-03-04 12:25:03</t>
  </si>
  <si>
    <t>TCK-13090</t>
  </si>
  <si>
    <t>2024-07-19 07:01:02</t>
  </si>
  <si>
    <t>2024-07-19 08:45:38</t>
  </si>
  <si>
    <t>TCK-13091</t>
  </si>
  <si>
    <t>2024-03-06 23:16:10</t>
  </si>
  <si>
    <t>2024-03-07 04:12:43</t>
  </si>
  <si>
    <t>TCK-13092</t>
  </si>
  <si>
    <t>2024-08-13 21:15:48</t>
  </si>
  <si>
    <t>2024-08-14 12:21:43</t>
  </si>
  <si>
    <t>TCK-13093</t>
  </si>
  <si>
    <t>2024-02-29 11:28:56</t>
  </si>
  <si>
    <t>TCK-13094</t>
  </si>
  <si>
    <t>2024-10-15 12:25:35</t>
  </si>
  <si>
    <t>TCK-13095</t>
  </si>
  <si>
    <t>2024-04-23 07:27:59</t>
  </si>
  <si>
    <t>2024-04-23 12:09:13</t>
  </si>
  <si>
    <t>TCK-13096</t>
  </si>
  <si>
    <t>2024-02-24 08:16:26</t>
  </si>
  <si>
    <t>2024-02-24 21:32:40</t>
  </si>
  <si>
    <t>TCK-13097</t>
  </si>
  <si>
    <t>2024-02-14 15:57:43</t>
  </si>
  <si>
    <t>2024-02-16 04:20:08</t>
  </si>
  <si>
    <t>TCK-13098</t>
  </si>
  <si>
    <t>2024-08-22 16:44:21</t>
  </si>
  <si>
    <t>TCK-13099</t>
  </si>
  <si>
    <t>2024-08-06 06:33:33</t>
  </si>
  <si>
    <t>2024-08-07 18:56:09</t>
  </si>
  <si>
    <t>TCK-13100</t>
  </si>
  <si>
    <t>2024-01-08 07:56:18</t>
  </si>
  <si>
    <t>2024-01-08 12:11:13</t>
  </si>
  <si>
    <t>TCK-13101</t>
  </si>
  <si>
    <t>2024-01-15 08:44:45</t>
  </si>
  <si>
    <t>2024-01-15 14:11:24</t>
  </si>
  <si>
    <t>TCK-13102</t>
  </si>
  <si>
    <t>2024-03-29 12:22:14</t>
  </si>
  <si>
    <t>2024-03-30 00:01:51</t>
  </si>
  <si>
    <t>TCK-13103</t>
  </si>
  <si>
    <t>2024-10-31 05:02:48</t>
  </si>
  <si>
    <t>2024-11-01 22:45:30</t>
  </si>
  <si>
    <t>TCK-13104</t>
  </si>
  <si>
    <t>2024-06-13 19:04:07</t>
  </si>
  <si>
    <t>2024-06-14 01:15:29</t>
  </si>
  <si>
    <t>TCK-13105</t>
  </si>
  <si>
    <t>2024-01-10 23:55:21</t>
  </si>
  <si>
    <t>2024-01-11 21:37:17</t>
  </si>
  <si>
    <t>TCK-13106</t>
  </si>
  <si>
    <t>2024-05-23 01:08:55</t>
  </si>
  <si>
    <t>2024-05-24 18:47:59</t>
  </si>
  <si>
    <t>TCK-13107</t>
  </si>
  <si>
    <t>2024-05-20 21:01:53</t>
  </si>
  <si>
    <t>2024-05-21 05:09:26</t>
  </si>
  <si>
    <t>TCK-13108</t>
  </si>
  <si>
    <t>2024-12-14 10:20:24</t>
  </si>
  <si>
    <t>TCK-13109</t>
  </si>
  <si>
    <t>2024-07-18 23:53:01</t>
  </si>
  <si>
    <t>2024-07-19 05:43:30</t>
  </si>
  <si>
    <t>TCK-13110</t>
  </si>
  <si>
    <t>2024-12-31 07:22:20</t>
  </si>
  <si>
    <t>2025-01-01 08:20:55</t>
  </si>
  <si>
    <t>TCK-13111</t>
  </si>
  <si>
    <t>2024-06-01 10:19:18</t>
  </si>
  <si>
    <t>2024-06-02 09:55:09</t>
  </si>
  <si>
    <t>TCK-13112</t>
  </si>
  <si>
    <t>2024-07-02 06:02:02</t>
  </si>
  <si>
    <t>2024-07-02 08:38:43</t>
  </si>
  <si>
    <t>TCK-13113</t>
  </si>
  <si>
    <t>2024-08-25 06:23:42</t>
  </si>
  <si>
    <t>2024-08-27 03:44:53</t>
  </si>
  <si>
    <t>TCK-13114</t>
  </si>
  <si>
    <t>2024-05-11 07:05:07</t>
  </si>
  <si>
    <t>2024-05-11 14:18:57</t>
  </si>
  <si>
    <t>TCK-13115</t>
  </si>
  <si>
    <t>2024-01-13 17:09:11</t>
  </si>
  <si>
    <t>2024-01-14 20:44:46</t>
  </si>
  <si>
    <t>TCK-13116</t>
  </si>
  <si>
    <t>2024-03-08 05:09:47</t>
  </si>
  <si>
    <t>2024-03-08 19:14:09</t>
  </si>
  <si>
    <t>TCK-13117</t>
  </si>
  <si>
    <t>2024-12-18 13:43:02</t>
  </si>
  <si>
    <t>2024-12-19 08:31:18</t>
  </si>
  <si>
    <t>TCK-13118</t>
  </si>
  <si>
    <t>2024-01-03 04:37:11</t>
  </si>
  <si>
    <t>2024-01-03 07:48:27</t>
  </si>
  <si>
    <t>TCK-13119</t>
  </si>
  <si>
    <t>2024-09-20 02:13:13</t>
  </si>
  <si>
    <t>TCK-13120</t>
  </si>
  <si>
    <t>2024-01-10 07:51:48</t>
  </si>
  <si>
    <t>2024-01-10 11:35:01</t>
  </si>
  <si>
    <t>TCK-13121</t>
  </si>
  <si>
    <t>2024-08-20 00:56:54</t>
  </si>
  <si>
    <t>2024-08-20 07:24:32</t>
  </si>
  <si>
    <t>TCK-13122</t>
  </si>
  <si>
    <t>2024-01-31 21:15:05</t>
  </si>
  <si>
    <t>2024-02-01 11:24:14</t>
  </si>
  <si>
    <t>TCK-13123</t>
  </si>
  <si>
    <t>2024-12-03 19:04:56</t>
  </si>
  <si>
    <t>2024-12-04 00:28:35</t>
  </si>
  <si>
    <t>TCK-13124</t>
  </si>
  <si>
    <t>2024-11-09 09:37:24</t>
  </si>
  <si>
    <t>2024-11-09 15:56:56</t>
  </si>
  <si>
    <t>TCK-13125</t>
  </si>
  <si>
    <t>2024-05-16 07:08:37</t>
  </si>
  <si>
    <t>2024-05-16 08:13:20</t>
  </si>
  <si>
    <t>TCK-13126</t>
  </si>
  <si>
    <t>2024-12-19 07:09:42</t>
  </si>
  <si>
    <t>2024-12-20 04:23:38</t>
  </si>
  <si>
    <t>TCK-13127</t>
  </si>
  <si>
    <t>2024-05-19 03:56:49</t>
  </si>
  <si>
    <t>2024-05-19 05:40:11</t>
  </si>
  <si>
    <t>TCK-13128</t>
  </si>
  <si>
    <t>2024-11-24 13:50:41</t>
  </si>
  <si>
    <t>2024-11-24 20:22:48</t>
  </si>
  <si>
    <t>TCK-13129</t>
  </si>
  <si>
    <t>2024-09-16 16:21:14</t>
  </si>
  <si>
    <t>2024-09-17 03:21:20</t>
  </si>
  <si>
    <t>TCK-13130</t>
  </si>
  <si>
    <t>2024-12-09 05:52:43</t>
  </si>
  <si>
    <t>2024-12-09 13:18:48</t>
  </si>
  <si>
    <t>TCK-13131</t>
  </si>
  <si>
    <t>2024-06-01 16:04:53</t>
  </si>
  <si>
    <t>2024-06-01 22:32:26</t>
  </si>
  <si>
    <t>TCK-13132</t>
  </si>
  <si>
    <t>2024-11-03 04:15:43</t>
  </si>
  <si>
    <t>TCK-13133</t>
  </si>
  <si>
    <t>2024-06-18 14:11:53</t>
  </si>
  <si>
    <t>2024-06-19 05:09:18</t>
  </si>
  <si>
    <t>TCK-13134</t>
  </si>
  <si>
    <t>2024-02-25 19:21:10</t>
  </si>
  <si>
    <t>2024-02-27 14:48:59</t>
  </si>
  <si>
    <t>TCK-13135</t>
  </si>
  <si>
    <t>2024-03-24 22:51:46</t>
  </si>
  <si>
    <t>2024-03-25 03:04:36</t>
  </si>
  <si>
    <t>TCK-13136</t>
  </si>
  <si>
    <t>2024-02-05 11:04:09</t>
  </si>
  <si>
    <t>2024-02-05 21:38:39</t>
  </si>
  <si>
    <t>TCK-13137</t>
  </si>
  <si>
    <t>2024-11-29 22:39:22</t>
  </si>
  <si>
    <t>2024-11-30 08:26:13</t>
  </si>
  <si>
    <t>TCK-13138</t>
  </si>
  <si>
    <t>2024-05-27 08:46:38</t>
  </si>
  <si>
    <t>2024-05-27 11:40:21</t>
  </si>
  <si>
    <t>TCK-13139</t>
  </si>
  <si>
    <t>2024-04-10 19:49:31</t>
  </si>
  <si>
    <t>2024-04-11 00:48:27</t>
  </si>
  <si>
    <t>TCK-13140</t>
  </si>
  <si>
    <t>2024-11-05 07:01:14</t>
  </si>
  <si>
    <t>TCK-13141</t>
  </si>
  <si>
    <t>2024-07-07 05:25:35</t>
  </si>
  <si>
    <t>2024-07-07 19:45:04</t>
  </si>
  <si>
    <t>TCK-13142</t>
  </si>
  <si>
    <t>2024-12-29 21:20:31</t>
  </si>
  <si>
    <t>TCK-13143</t>
  </si>
  <si>
    <t>2024-03-24 07:10:15</t>
  </si>
  <si>
    <t>2024-03-24 14:09:24</t>
  </si>
  <si>
    <t>TCK-13144</t>
  </si>
  <si>
    <t>2024-03-30 02:35:40</t>
  </si>
  <si>
    <t>2024-03-31 20:06:36</t>
  </si>
  <si>
    <t>TCK-13145</t>
  </si>
  <si>
    <t>2024-06-21 05:49:49</t>
  </si>
  <si>
    <t>2024-06-21 10:28:17</t>
  </si>
  <si>
    <t>TCK-13146</t>
  </si>
  <si>
    <t>2024-07-08 14:11:16</t>
  </si>
  <si>
    <t>2024-07-08 19:01:09</t>
  </si>
  <si>
    <t>TCK-13147</t>
  </si>
  <si>
    <t>2024-01-23 06:25:44</t>
  </si>
  <si>
    <t>2024-01-23 09:47:39</t>
  </si>
  <si>
    <t>TCK-13148</t>
  </si>
  <si>
    <t>2024-04-05 02:34:43</t>
  </si>
  <si>
    <t>2024-04-05 12:02:29</t>
  </si>
  <si>
    <t>TCK-13149</t>
  </si>
  <si>
    <t>2024-08-19 04:37:55</t>
  </si>
  <si>
    <t>2024-08-19 07:16:58</t>
  </si>
  <si>
    <t>TCK-13150</t>
  </si>
  <si>
    <t>2024-10-06 11:56:57</t>
  </si>
  <si>
    <t>2024-10-07 01:17:35</t>
  </si>
  <si>
    <t>TCK-13151</t>
  </si>
  <si>
    <t>2024-04-03 13:50:04</t>
  </si>
  <si>
    <t>2024-04-04 03:26:36</t>
  </si>
  <si>
    <t>TCK-13152</t>
  </si>
  <si>
    <t>2024-03-08 08:01:56</t>
  </si>
  <si>
    <t>2024-03-08 08:38:11</t>
  </si>
  <si>
    <t>TCK-13153</t>
  </si>
  <si>
    <t>2024-03-03 08:21:15</t>
  </si>
  <si>
    <t>2024-03-03 10:45:33</t>
  </si>
  <si>
    <t>TCK-13154</t>
  </si>
  <si>
    <t>2024-08-01 23:59:10</t>
  </si>
  <si>
    <t>2024-08-02 18:17:33</t>
  </si>
  <si>
    <t>TCK-13155</t>
  </si>
  <si>
    <t>2024-06-10 15:12:40</t>
  </si>
  <si>
    <t>2024-06-12 10:17:53</t>
  </si>
  <si>
    <t>TCK-13156</t>
  </si>
  <si>
    <t>2024-04-05 16:32:00</t>
  </si>
  <si>
    <t>2024-04-06 08:09:10</t>
  </si>
  <si>
    <t>TCK-13157</t>
  </si>
  <si>
    <t>2024-03-12 20:44:58</t>
  </si>
  <si>
    <t>2024-03-12 23:48:11</t>
  </si>
  <si>
    <t>TCK-13158</t>
  </si>
  <si>
    <t>2024-12-21 00:48:12</t>
  </si>
  <si>
    <t>2024-12-21 05:13:06</t>
  </si>
  <si>
    <t>TCK-13159</t>
  </si>
  <si>
    <t>2024-07-26 09:09:32</t>
  </si>
  <si>
    <t>2024-07-26 17:15:38</t>
  </si>
  <si>
    <t>TCK-13160</t>
  </si>
  <si>
    <t>2024-10-30 16:11:59</t>
  </si>
  <si>
    <t>2024-10-31 02:00:44</t>
  </si>
  <si>
    <t>TCK-13161</t>
  </si>
  <si>
    <t>2024-02-25 09:22:27</t>
  </si>
  <si>
    <t>2024-02-25 21:56:38</t>
  </si>
  <si>
    <t>TCK-13162</t>
  </si>
  <si>
    <t>2024-06-22 14:23:36</t>
  </si>
  <si>
    <t>2024-06-23 01:28:36</t>
  </si>
  <si>
    <t>TCK-13163</t>
  </si>
  <si>
    <t>2024-06-04 23:39:08</t>
  </si>
  <si>
    <t>2024-06-05 13:51:33</t>
  </si>
  <si>
    <t>TCK-13164</t>
  </si>
  <si>
    <t>2024-06-27 12:00:45</t>
  </si>
  <si>
    <t>2024-06-27 16:34:31</t>
  </si>
  <si>
    <t>TCK-13165</t>
  </si>
  <si>
    <t>2024-03-25 18:27:30</t>
  </si>
  <si>
    <t>2024-03-26 02:55:10</t>
  </si>
  <si>
    <t>TCK-13166</t>
  </si>
  <si>
    <t>2024-05-28 09:37:51</t>
  </si>
  <si>
    <t>2024-05-28 10:55:04</t>
  </si>
  <si>
    <t>TCK-13167</t>
  </si>
  <si>
    <t>2024-10-29 22:04:02</t>
  </si>
  <si>
    <t>2024-10-29 22:51:01</t>
  </si>
  <si>
    <t>TCK-13168</t>
  </si>
  <si>
    <t>2024-07-25 21:20:03</t>
  </si>
  <si>
    <t>2024-07-27 16:42:23</t>
  </si>
  <si>
    <t>TCK-13169</t>
  </si>
  <si>
    <t>2024-08-07 21:41:30</t>
  </si>
  <si>
    <t>2024-08-08 15:59:29</t>
  </si>
  <si>
    <t>TCK-13170</t>
  </si>
  <si>
    <t>2024-01-12 07:50:19</t>
  </si>
  <si>
    <t>2024-01-12 13:19:52</t>
  </si>
  <si>
    <t>TCK-13171</t>
  </si>
  <si>
    <t>2024-05-14 03:06:58</t>
  </si>
  <si>
    <t>TCK-13172</t>
  </si>
  <si>
    <t>2024-08-18 23:10:05</t>
  </si>
  <si>
    <t>2024-08-19 01:52:23</t>
  </si>
  <si>
    <t>TCK-13173</t>
  </si>
  <si>
    <t>2024-04-12 22:43:53</t>
  </si>
  <si>
    <t>2024-04-12 23:42:37</t>
  </si>
  <si>
    <t>TCK-13174</t>
  </si>
  <si>
    <t>2024-04-19 08:55:37</t>
  </si>
  <si>
    <t>2024-04-19 23:13:41</t>
  </si>
  <si>
    <t>TCK-13175</t>
  </si>
  <si>
    <t>2024-06-04 20:43:50</t>
  </si>
  <si>
    <t>2024-06-05 14:00:14</t>
  </si>
  <si>
    <t>TCK-13176</t>
  </si>
  <si>
    <t>2024-07-21 12:42:51</t>
  </si>
  <si>
    <t>2024-07-22 03:21:34</t>
  </si>
  <si>
    <t>TCK-13177</t>
  </si>
  <si>
    <t>2024-12-27 10:54:33</t>
  </si>
  <si>
    <t>2025-01-01 15:18:09</t>
  </si>
  <si>
    <t>TCK-13178</t>
  </si>
  <si>
    <t>2024-05-18 13:39:30</t>
  </si>
  <si>
    <t>2024-05-21 08:34:30</t>
  </si>
  <si>
    <t>TCK-13179</t>
  </si>
  <si>
    <t>2024-01-31 05:24:27</t>
  </si>
  <si>
    <t>2024-01-31 16:07:45</t>
  </si>
  <si>
    <t>TCK-13180</t>
  </si>
  <si>
    <t>2024-03-06 15:23:32</t>
  </si>
  <si>
    <t>2024-03-07 11:28:24</t>
  </si>
  <si>
    <t>TCK-13181</t>
  </si>
  <si>
    <t>2024-06-11 21:11:28</t>
  </si>
  <si>
    <t>TCK-13182</t>
  </si>
  <si>
    <t>2024-07-16 06:40:08</t>
  </si>
  <si>
    <t>2024-07-16 09:16:22</t>
  </si>
  <si>
    <t>TCK-13183</t>
  </si>
  <si>
    <t>2024-01-22 03:08:25</t>
  </si>
  <si>
    <t>2024-01-22 18:39:27</t>
  </si>
  <si>
    <t>TCK-13184</t>
  </si>
  <si>
    <t>2024-01-31 04:23:04</t>
  </si>
  <si>
    <t>2024-01-31 11:18:33</t>
  </si>
  <si>
    <t>TCK-13185</t>
  </si>
  <si>
    <t>2024-03-16 20:35:28</t>
  </si>
  <si>
    <t>2024-03-18 13:12:29</t>
  </si>
  <si>
    <t>TCK-13186</t>
  </si>
  <si>
    <t>2024-10-20 06:42:23</t>
  </si>
  <si>
    <t>2024-10-21 12:02:33</t>
  </si>
  <si>
    <t>TCK-13187</t>
  </si>
  <si>
    <t>2024-05-24 15:17:51</t>
  </si>
  <si>
    <t>2024-05-27 06:53:20</t>
  </si>
  <si>
    <t>TCK-13188</t>
  </si>
  <si>
    <t>2024-08-20 10:59:09</t>
  </si>
  <si>
    <t>2024-08-21 21:40:21</t>
  </si>
  <si>
    <t>TCK-13189</t>
  </si>
  <si>
    <t>2024-03-01 04:34:09</t>
  </si>
  <si>
    <t>2024-03-01 11:02:16</t>
  </si>
  <si>
    <t>TCK-13190</t>
  </si>
  <si>
    <t>2024-03-12 21:23:29</t>
  </si>
  <si>
    <t>2024-03-13 20:35:26</t>
  </si>
  <si>
    <t>TCK-13191</t>
  </si>
  <si>
    <t>2024-07-11 00:02:33</t>
  </si>
  <si>
    <t>TCK-13192</t>
  </si>
  <si>
    <t>2024-10-01 18:37:37</t>
  </si>
  <si>
    <t>2024-10-01 23:29:41</t>
  </si>
  <si>
    <t>TCK-13193</t>
  </si>
  <si>
    <t>2024-02-08 06:19:50</t>
  </si>
  <si>
    <t>2024-02-09 03:01:36</t>
  </si>
  <si>
    <t>TCK-13194</t>
  </si>
  <si>
    <t>2024-08-22 13:22:17</t>
  </si>
  <si>
    <t>2024-08-22 16:28:03</t>
  </si>
  <si>
    <t>TCK-13195</t>
  </si>
  <si>
    <t>2024-01-19 06:04:10</t>
  </si>
  <si>
    <t>2024-01-19 17:57:05</t>
  </si>
  <si>
    <t>TCK-13196</t>
  </si>
  <si>
    <t>2024-12-21 13:18:33</t>
  </si>
  <si>
    <t>2024-12-22 01:06:41</t>
  </si>
  <si>
    <t>TCK-13197</t>
  </si>
  <si>
    <t>2024-12-12 18:22:18</t>
  </si>
  <si>
    <t>2024-12-13 01:08:15</t>
  </si>
  <si>
    <t>TCK-13198</t>
  </si>
  <si>
    <t>2024-08-29 18:39:52</t>
  </si>
  <si>
    <t>2024-08-30 06:49:56</t>
  </si>
  <si>
    <t>TCK-13199</t>
  </si>
  <si>
    <t>2024-04-24 09:48:06</t>
  </si>
  <si>
    <t>2024-04-24 21:34:03</t>
  </si>
  <si>
    <t>TCK-13200</t>
  </si>
  <si>
    <t>2024-04-15 08:03:26</t>
  </si>
  <si>
    <t>2024-04-15 13:41:55</t>
  </si>
  <si>
    <t>TCK-13201</t>
  </si>
  <si>
    <t>2024-05-01 18:18:26</t>
  </si>
  <si>
    <t>2024-05-01 20:55:57</t>
  </si>
  <si>
    <t>TCK-13202</t>
  </si>
  <si>
    <t>2024-08-02 23:58:28</t>
  </si>
  <si>
    <t>2024-08-04 14:54:54</t>
  </si>
  <si>
    <t>TCK-13203</t>
  </si>
  <si>
    <t>2024-09-28 07:05:50</t>
  </si>
  <si>
    <t>2024-09-28 23:07:50</t>
  </si>
  <si>
    <t>TCK-13204</t>
  </si>
  <si>
    <t>2024-09-12 15:07:57</t>
  </si>
  <si>
    <t>2024-09-12 15:52:58</t>
  </si>
  <si>
    <t>TCK-13205</t>
  </si>
  <si>
    <t>2024-03-16 01:20:57</t>
  </si>
  <si>
    <t>2024-03-16 20:41:52</t>
  </si>
  <si>
    <t>TCK-13206</t>
  </si>
  <si>
    <t>2024-11-22 01:54:34</t>
  </si>
  <si>
    <t>2024-11-22 16:19:26</t>
  </si>
  <si>
    <t>TCK-13207</t>
  </si>
  <si>
    <t>2024-12-16 13:33:06</t>
  </si>
  <si>
    <t>2024-12-17 01:44:46</t>
  </si>
  <si>
    <t>TCK-13208</t>
  </si>
  <si>
    <t>2024-03-09 11:06:40</t>
  </si>
  <si>
    <t>2024-03-09 13:29:36</t>
  </si>
  <si>
    <t>TCK-13209</t>
  </si>
  <si>
    <t>2024-06-13 18:37:16</t>
  </si>
  <si>
    <t>2024-06-13 22:55:25</t>
  </si>
  <si>
    <t>TCK-13210</t>
  </si>
  <si>
    <t>2024-11-20 12:34:03</t>
  </si>
  <si>
    <t>2024-11-20 22:57:11</t>
  </si>
  <si>
    <t>TCK-13211</t>
  </si>
  <si>
    <t>2024-04-28 23:52:27</t>
  </si>
  <si>
    <t>2024-04-29 01:52:56</t>
  </si>
  <si>
    <t>TCK-13212</t>
  </si>
  <si>
    <t>2024-04-15 06:03:48</t>
  </si>
  <si>
    <t>2024-04-16 03:53:22</t>
  </si>
  <si>
    <t>TCK-13213</t>
  </si>
  <si>
    <t>2024-07-02 21:19:20</t>
  </si>
  <si>
    <t>2024-07-03 14:38:52</t>
  </si>
  <si>
    <t>TCK-13214</t>
  </si>
  <si>
    <t>2024-10-28 17:16:25</t>
  </si>
  <si>
    <t>2024-10-29 13:43:45</t>
  </si>
  <si>
    <t>TCK-13215</t>
  </si>
  <si>
    <t>2024-02-22 04:47:00</t>
  </si>
  <si>
    <t>2024-02-23 06:59:57</t>
  </si>
  <si>
    <t>TCK-13216</t>
  </si>
  <si>
    <t>2024-03-04 16:06:05</t>
  </si>
  <si>
    <t>TCK-13217</t>
  </si>
  <si>
    <t>2024-08-24 18:13:40</t>
  </si>
  <si>
    <t>TCK-13218</t>
  </si>
  <si>
    <t>2024-12-05 14:46:14</t>
  </si>
  <si>
    <t>2024-12-09 13:11:34</t>
  </si>
  <si>
    <t>TCK-13219</t>
  </si>
  <si>
    <t>2024-04-10 18:27:34</t>
  </si>
  <si>
    <t>2024-04-11 13:08:31</t>
  </si>
  <si>
    <t>TCK-13220</t>
  </si>
  <si>
    <t>2024-02-23 07:06:00</t>
  </si>
  <si>
    <t>TCK-13221</t>
  </si>
  <si>
    <t>2024-10-14 13:18:34</t>
  </si>
  <si>
    <t>TCK-13222</t>
  </si>
  <si>
    <t>2024-06-16 05:05:22</t>
  </si>
  <si>
    <t>2024-06-16 09:39:42</t>
  </si>
  <si>
    <t>TCK-13223</t>
  </si>
  <si>
    <t>2024-11-28 10:27:08</t>
  </si>
  <si>
    <t>2024-11-30 16:43:32</t>
  </si>
  <si>
    <t>TCK-13224</t>
  </si>
  <si>
    <t>2024-02-01 17:03:02</t>
  </si>
  <si>
    <t>2024-02-02 04:31:22</t>
  </si>
  <si>
    <t>TCK-13225</t>
  </si>
  <si>
    <t>2024-05-11 02:28:47</t>
  </si>
  <si>
    <t>2024-05-11 11:47:21</t>
  </si>
  <si>
    <t>TCK-13226</t>
  </si>
  <si>
    <t>2024-07-15 12:38:54</t>
  </si>
  <si>
    <t>2024-07-16 02:31:58</t>
  </si>
  <si>
    <t>TCK-13227</t>
  </si>
  <si>
    <t>2024-03-11 12:15:52</t>
  </si>
  <si>
    <t>2024-03-12 05:38:31</t>
  </si>
  <si>
    <t>TCK-13228</t>
  </si>
  <si>
    <t>2024-12-09 05:37:44</t>
  </si>
  <si>
    <t>2024-12-10 03:05:48</t>
  </si>
  <si>
    <t>TCK-13229</t>
  </si>
  <si>
    <t>2024-11-03 12:32:26</t>
  </si>
  <si>
    <t>2024-11-05 06:06:34</t>
  </si>
  <si>
    <t>TCK-13230</t>
  </si>
  <si>
    <t>2024-11-05 05:42:35</t>
  </si>
  <si>
    <t>2024-11-05 17:12:07</t>
  </si>
  <si>
    <t>TCK-13231</t>
  </si>
  <si>
    <t>2024-01-14 06:18:31</t>
  </si>
  <si>
    <t>2024-01-15 07:07:15</t>
  </si>
  <si>
    <t>TCK-13232</t>
  </si>
  <si>
    <t>2024-10-20 18:25:18</t>
  </si>
  <si>
    <t>2024-10-21 01:54:31</t>
  </si>
  <si>
    <t>TCK-13233</t>
  </si>
  <si>
    <t>2024-08-10 20:28:10</t>
  </si>
  <si>
    <t>2024-08-11 00:45:07</t>
  </si>
  <si>
    <t>TCK-13234</t>
  </si>
  <si>
    <t>2024-10-06 23:43:44</t>
  </si>
  <si>
    <t>2024-10-08 05:03:10</t>
  </si>
  <si>
    <t>TCK-13235</t>
  </si>
  <si>
    <t>2024-11-09 13:14:29</t>
  </si>
  <si>
    <t>TCK-13236</t>
  </si>
  <si>
    <t>2024-11-30 04:33:34</t>
  </si>
  <si>
    <t>2024-11-30 16:38:46</t>
  </si>
  <si>
    <t>TCK-13237</t>
  </si>
  <si>
    <t>2024-05-30 17:48:58</t>
  </si>
  <si>
    <t>2024-05-30 23:14:24</t>
  </si>
  <si>
    <t>TCK-13238</t>
  </si>
  <si>
    <t>2024-08-19 11:02:44</t>
  </si>
  <si>
    <t>2024-08-19 13:25:38</t>
  </si>
  <si>
    <t>TCK-13239</t>
  </si>
  <si>
    <t>2024-09-19 04:36:26</t>
  </si>
  <si>
    <t>2024-09-20 14:32:27</t>
  </si>
  <si>
    <t>TCK-13240</t>
  </si>
  <si>
    <t>2024-01-19 21:41:17</t>
  </si>
  <si>
    <t>2024-01-21 20:27:43</t>
  </si>
  <si>
    <t>TCK-13241</t>
  </si>
  <si>
    <t>2024-03-08 13:01:47</t>
  </si>
  <si>
    <t>TCK-13242</t>
  </si>
  <si>
    <t>2024-06-21 23:00:17</t>
  </si>
  <si>
    <t>TCK-13243</t>
  </si>
  <si>
    <t>2024-08-03 14:09:07</t>
  </si>
  <si>
    <t>2024-08-09 00:55:31</t>
  </si>
  <si>
    <t>TCK-13244</t>
  </si>
  <si>
    <t>2024-09-23 00:37:53</t>
  </si>
  <si>
    <t>2024-09-23 03:50:22</t>
  </si>
  <si>
    <t>TCK-13245</t>
  </si>
  <si>
    <t>2024-10-18 13:37:02</t>
  </si>
  <si>
    <t>2024-10-19 03:23:30</t>
  </si>
  <si>
    <t>TCK-13246</t>
  </si>
  <si>
    <t>2024-04-13 07:16:09</t>
  </si>
  <si>
    <t>2024-04-14 12:25:02</t>
  </si>
  <si>
    <t>TCK-13247</t>
  </si>
  <si>
    <t>2024-04-26 02:00:17</t>
  </si>
  <si>
    <t>2024-04-26 04:31:10</t>
  </si>
  <si>
    <t>TCK-13248</t>
  </si>
  <si>
    <t>2024-01-13 21:13:39</t>
  </si>
  <si>
    <t>2024-01-14 07:45:19</t>
  </si>
  <si>
    <t>TCK-13249</t>
  </si>
  <si>
    <t>2024-02-28 14:14:32</t>
  </si>
  <si>
    <t>2024-02-29 11:07:47</t>
  </si>
  <si>
    <t>TCK-13250</t>
  </si>
  <si>
    <t>2024-06-13 11:32:12</t>
  </si>
  <si>
    <t>2024-06-13 22:20:01</t>
  </si>
  <si>
    <t>TCK-13251</t>
  </si>
  <si>
    <t>2024-09-02 12:07:19</t>
  </si>
  <si>
    <t>2024-09-03 10:54:45</t>
  </si>
  <si>
    <t>TCK-13252</t>
  </si>
  <si>
    <t>2024-01-28 13:44:53</t>
  </si>
  <si>
    <t>TCK-13253</t>
  </si>
  <si>
    <t>2024-09-15 20:32:21</t>
  </si>
  <si>
    <t>2024-09-16 10:31:12</t>
  </si>
  <si>
    <t>TCK-13254</t>
  </si>
  <si>
    <t>2024-11-20 01:13:52</t>
  </si>
  <si>
    <t>2024-11-20 03:29:36</t>
  </si>
  <si>
    <t>TCK-13255</t>
  </si>
  <si>
    <t>2024-11-02 04:32:54</t>
  </si>
  <si>
    <t>2024-11-03 02:41:25</t>
  </si>
  <si>
    <t>TCK-13256</t>
  </si>
  <si>
    <t>2024-09-06 23:40:03</t>
  </si>
  <si>
    <t>2024-09-07 17:01:20</t>
  </si>
  <si>
    <t>TCK-13257</t>
  </si>
  <si>
    <t>2024-09-18 00:10:27</t>
  </si>
  <si>
    <t>2024-09-18 02:53:49</t>
  </si>
  <si>
    <t>TCK-13258</t>
  </si>
  <si>
    <t>2024-02-22 01:12:30</t>
  </si>
  <si>
    <t>2024-02-22 16:13:56</t>
  </si>
  <si>
    <t>TCK-13259</t>
  </si>
  <si>
    <t>2024-03-05 01:15:18</t>
  </si>
  <si>
    <t>2024-03-05 13:46:52</t>
  </si>
  <si>
    <t>TCK-13260</t>
  </si>
  <si>
    <t>2024-11-28 12:35:00</t>
  </si>
  <si>
    <t>2024-11-28 13:34:38</t>
  </si>
  <si>
    <t>TCK-13261</t>
  </si>
  <si>
    <t>2024-04-08 17:38:36</t>
  </si>
  <si>
    <t>2024-04-08 19:41:26</t>
  </si>
  <si>
    <t>TCK-13262</t>
  </si>
  <si>
    <t>2024-04-04 22:51:07</t>
  </si>
  <si>
    <t>2024-04-05 01:57:40</t>
  </si>
  <si>
    <t>TCK-13263</t>
  </si>
  <si>
    <t>2024-04-26 13:02:49</t>
  </si>
  <si>
    <t>2024-04-26 22:03:14</t>
  </si>
  <si>
    <t>TCK-13264</t>
  </si>
  <si>
    <t>2024-10-17 04:03:43</t>
  </si>
  <si>
    <t>2024-10-17 23:26:30</t>
  </si>
  <si>
    <t>TCK-13265</t>
  </si>
  <si>
    <t>2024-12-21 23:39:26</t>
  </si>
  <si>
    <t>2024-12-24 00:06:43</t>
  </si>
  <si>
    <t>TCK-13266</t>
  </si>
  <si>
    <t>2024-03-20 11:25:56</t>
  </si>
  <si>
    <t>2024-03-20 12:18:46</t>
  </si>
  <si>
    <t>TCK-13267</t>
  </si>
  <si>
    <t>2024-03-17 07:04:51</t>
  </si>
  <si>
    <t>2024-03-17 09:18:32</t>
  </si>
  <si>
    <t>TCK-13268</t>
  </si>
  <si>
    <t>2024-07-24 02:07:22</t>
  </si>
  <si>
    <t>2024-07-24 11:12:40</t>
  </si>
  <si>
    <t>TCK-13269</t>
  </si>
  <si>
    <t>2024-11-09 15:16:45</t>
  </si>
  <si>
    <t>2024-11-10 13:32:16</t>
  </si>
  <si>
    <t>TCK-13270</t>
  </si>
  <si>
    <t>2024-08-03 11:39:34</t>
  </si>
  <si>
    <t>2024-08-04 17:47:22</t>
  </si>
  <si>
    <t>TCK-13271</t>
  </si>
  <si>
    <t>2024-03-21 03:42:57</t>
  </si>
  <si>
    <t>2024-03-23 14:41:56</t>
  </si>
  <si>
    <t>TCK-13272</t>
  </si>
  <si>
    <t>2024-10-24 14:19:07</t>
  </si>
  <si>
    <t>2024-10-24 16:01:41</t>
  </si>
  <si>
    <t>TCK-13273</t>
  </si>
  <si>
    <t>2024-09-30 13:49:00</t>
  </si>
  <si>
    <t>2024-09-30 23:45:50</t>
  </si>
  <si>
    <t>TCK-13274</t>
  </si>
  <si>
    <t>2024-11-23 00:24:14</t>
  </si>
  <si>
    <t>2024-11-23 01:38:03</t>
  </si>
  <si>
    <t>TCK-13275</t>
  </si>
  <si>
    <t>2024-07-02 17:03:15</t>
  </si>
  <si>
    <t>2024-07-03 08:01:55</t>
  </si>
  <si>
    <t>TCK-13276</t>
  </si>
  <si>
    <t>2024-09-06 07:36:33</t>
  </si>
  <si>
    <t>2024-09-06 11:12:37</t>
  </si>
  <si>
    <t>TCK-13277</t>
  </si>
  <si>
    <t>2024-01-05 07:39:20</t>
  </si>
  <si>
    <t>2024-01-07 03:54:56</t>
  </si>
  <si>
    <t>TCK-13278</t>
  </si>
  <si>
    <t>2024-04-28 00:54:09</t>
  </si>
  <si>
    <t>TCK-13279</t>
  </si>
  <si>
    <t>2024-05-06 18:13:06</t>
  </si>
  <si>
    <t>TCK-13280</t>
  </si>
  <si>
    <t>2024-08-20 10:22:12</t>
  </si>
  <si>
    <t>2024-08-20 21:16:34</t>
  </si>
  <si>
    <t>TCK-13281</t>
  </si>
  <si>
    <t>2024-12-29 10:13:53</t>
  </si>
  <si>
    <t>2024-12-30 02:48:17</t>
  </si>
  <si>
    <t>TCK-13282</t>
  </si>
  <si>
    <t>2024-09-06 03:54:38</t>
  </si>
  <si>
    <t>2024-09-08 20:52:56</t>
  </si>
  <si>
    <t>TCK-13283</t>
  </si>
  <si>
    <t>2024-09-04 12:07:39</t>
  </si>
  <si>
    <t>2024-09-04 15:45:57</t>
  </si>
  <si>
    <t>TCK-13284</t>
  </si>
  <si>
    <t>2024-02-19 05:54:00</t>
  </si>
  <si>
    <t>TCK-13285</t>
  </si>
  <si>
    <t>2024-06-05 11:55:20</t>
  </si>
  <si>
    <t>2024-06-05 20:47:51</t>
  </si>
  <si>
    <t>TCK-13286</t>
  </si>
  <si>
    <t>2024-04-15 13:48:37</t>
  </si>
  <si>
    <t>2024-04-15 20:54:37</t>
  </si>
  <si>
    <t>TCK-13287</t>
  </si>
  <si>
    <t>2024-09-03 14:39:29</t>
  </si>
  <si>
    <t>2024-09-04 05:51:17</t>
  </si>
  <si>
    <t>TCK-13288</t>
  </si>
  <si>
    <t>2024-03-19 11:39:44</t>
  </si>
  <si>
    <t>2024-03-19 17:27:37</t>
  </si>
  <si>
    <t>TCK-13289</t>
  </si>
  <si>
    <t>2024-03-15 15:44:25</t>
  </si>
  <si>
    <t>2024-03-15 21:56:24</t>
  </si>
  <si>
    <t>TCK-13290</t>
  </si>
  <si>
    <t>2024-01-18 16:35:45</t>
  </si>
  <si>
    <t>TCK-13291</t>
  </si>
  <si>
    <t>2024-12-21 02:41:36</t>
  </si>
  <si>
    <t>2024-12-21 08:37:58</t>
  </si>
  <si>
    <t>TCK-13292</t>
  </si>
  <si>
    <t>2024-03-11 23:41:59</t>
  </si>
  <si>
    <t>2024-03-12 06:59:28</t>
  </si>
  <si>
    <t>TCK-13293</t>
  </si>
  <si>
    <t>2024-08-24 01:31:49</t>
  </si>
  <si>
    <t>2024-08-25 02:50:22</t>
  </si>
  <si>
    <t>TCK-13294</t>
  </si>
  <si>
    <t>2024-07-15 11:29:43</t>
  </si>
  <si>
    <t>2024-07-16 01:01:52</t>
  </si>
  <si>
    <t>TCK-13295</t>
  </si>
  <si>
    <t>2024-06-16 21:04:51</t>
  </si>
  <si>
    <t>2024-06-20 16:55:36</t>
  </si>
  <si>
    <t>TCK-13296</t>
  </si>
  <si>
    <t>2024-05-15 07:49:03</t>
  </si>
  <si>
    <t>2024-05-15 18:09:37</t>
  </si>
  <si>
    <t>TCK-13297</t>
  </si>
  <si>
    <t>2024-06-11 03:50:11</t>
  </si>
  <si>
    <t>2024-06-11 08:13:45</t>
  </si>
  <si>
    <t>TCK-13298</t>
  </si>
  <si>
    <t>2024-03-16 11:49:38</t>
  </si>
  <si>
    <t>2024-03-17 05:35:35</t>
  </si>
  <si>
    <t>TCK-13299</t>
  </si>
  <si>
    <t>2024-02-01 06:18:45</t>
  </si>
  <si>
    <t>2024-02-02 00:12:54</t>
  </si>
  <si>
    <t>TCK-13300</t>
  </si>
  <si>
    <t>2024-11-29 02:18:28</t>
  </si>
  <si>
    <t>2024-11-30 12:24:45</t>
  </si>
  <si>
    <t>TCK-13301</t>
  </si>
  <si>
    <t>2024-01-29 20:18:14</t>
  </si>
  <si>
    <t>2024-01-30 18:13:38</t>
  </si>
  <si>
    <t>TCK-13302</t>
  </si>
  <si>
    <t>2024-06-20 09:45:19</t>
  </si>
  <si>
    <t>TCK-13303</t>
  </si>
  <si>
    <t>2024-06-08 02:39:33</t>
  </si>
  <si>
    <t>2024-06-08 19:57:15</t>
  </si>
  <si>
    <t>TCK-13304</t>
  </si>
  <si>
    <t>2024-11-10 01:30:22</t>
  </si>
  <si>
    <t>2024-11-10 19:37:07</t>
  </si>
  <si>
    <t>TCK-13305</t>
  </si>
  <si>
    <t>2024-05-09 03:56:07</t>
  </si>
  <si>
    <t>2024-05-09 19:50:55</t>
  </si>
  <si>
    <t>TCK-13306</t>
  </si>
  <si>
    <t>2024-12-05 05:34:19</t>
  </si>
  <si>
    <t>2024-12-06 17:32:26</t>
  </si>
  <si>
    <t>TCK-13307</t>
  </si>
  <si>
    <t>2024-03-01 05:49:47</t>
  </si>
  <si>
    <t>2024-04-04 13:49:47</t>
  </si>
  <si>
    <t>TCK-13308</t>
  </si>
  <si>
    <t>2024-11-19 08:58:01</t>
  </si>
  <si>
    <t>2024-11-20 23:12:09</t>
  </si>
  <si>
    <t>TCK-13309</t>
  </si>
  <si>
    <t>2024-03-26 07:27:54</t>
  </si>
  <si>
    <t>2024-03-26 16:41:36</t>
  </si>
  <si>
    <t>TCK-13310</t>
  </si>
  <si>
    <t>2024-05-19 03:20:30</t>
  </si>
  <si>
    <t>2024-05-19 20:12:27</t>
  </si>
  <si>
    <t>TCK-13311</t>
  </si>
  <si>
    <t>2024-03-02 22:38:19</t>
  </si>
  <si>
    <t>2024-03-03 14:43:01</t>
  </si>
  <si>
    <t>TCK-13312</t>
  </si>
  <si>
    <t>2024-01-26 07:58:19</t>
  </si>
  <si>
    <t>2024-01-27 16:29:44</t>
  </si>
  <si>
    <t>TCK-13313</t>
  </si>
  <si>
    <t>2024-10-22 17:25:35</t>
  </si>
  <si>
    <t>2024-10-22 20:30:07</t>
  </si>
  <si>
    <t>TCK-13314</t>
  </si>
  <si>
    <t>2024-06-07 02:36:35</t>
  </si>
  <si>
    <t>2024-06-09 08:25:19</t>
  </si>
  <si>
    <t>TCK-13315</t>
  </si>
  <si>
    <t>2024-08-20 21:42:10</t>
  </si>
  <si>
    <t>2024-08-21 15:07:31</t>
  </si>
  <si>
    <t>TCK-13316</t>
  </si>
  <si>
    <t>2024-01-25 00:47:57</t>
  </si>
  <si>
    <t>2024-01-26 05:05:02</t>
  </si>
  <si>
    <t>TCK-13317</t>
  </si>
  <si>
    <t>2024-03-01 14:53:01</t>
  </si>
  <si>
    <t>2024-03-01 20:45:01</t>
  </si>
  <si>
    <t>TCK-13318</t>
  </si>
  <si>
    <t>2024-09-14 17:54:58</t>
  </si>
  <si>
    <t>2024-09-15 11:56:54</t>
  </si>
  <si>
    <t>TCK-13319</t>
  </si>
  <si>
    <t>2024-09-26 22:01:12</t>
  </si>
  <si>
    <t>2024-09-26 23:05:17</t>
  </si>
  <si>
    <t>TCK-13320</t>
  </si>
  <si>
    <t>2024-01-03 06:40:42</t>
  </si>
  <si>
    <t>2024-01-03 10:04:27</t>
  </si>
  <si>
    <t>TCK-13321</t>
  </si>
  <si>
    <t>2024-10-17 09:20:26</t>
  </si>
  <si>
    <t>2024-10-19 02:41:20</t>
  </si>
  <si>
    <t>TCK-13322</t>
  </si>
  <si>
    <t>2024-12-12 22:40:04</t>
  </si>
  <si>
    <t>2024-12-15 14:27:48</t>
  </si>
  <si>
    <t>TCK-13323</t>
  </si>
  <si>
    <t>2024-09-29 09:16:27</t>
  </si>
  <si>
    <t>2024-09-30 06:58:27</t>
  </si>
  <si>
    <t>TCK-13324</t>
  </si>
  <si>
    <t>2024-08-11 00:20:27</t>
  </si>
  <si>
    <t>2024-08-11 07:43:45</t>
  </si>
  <si>
    <t>TCK-13325</t>
  </si>
  <si>
    <t>2024-12-25 18:09:42</t>
  </si>
  <si>
    <t>2024-12-28 12:31:16</t>
  </si>
  <si>
    <t>TCK-13326</t>
  </si>
  <si>
    <t>2024-05-04 23:46:19</t>
  </si>
  <si>
    <t>2024-05-05 12:18:48</t>
  </si>
  <si>
    <t>TCK-13327</t>
  </si>
  <si>
    <t>2024-05-04 14:51:17</t>
  </si>
  <si>
    <t>2024-05-05 12:28:46</t>
  </si>
  <si>
    <t>TCK-13328</t>
  </si>
  <si>
    <t>2024-07-04 20:25:00</t>
  </si>
  <si>
    <t>2024-07-05 15:47:36</t>
  </si>
  <si>
    <t>TCK-13329</t>
  </si>
  <si>
    <t>2024-11-18 17:25:42</t>
  </si>
  <si>
    <t>2024-11-18 21:39:41</t>
  </si>
  <si>
    <t>TCK-13330</t>
  </si>
  <si>
    <t>2024-05-25 19:56:16</t>
  </si>
  <si>
    <t>2024-05-26 14:15:54</t>
  </si>
  <si>
    <t>TCK-13331</t>
  </si>
  <si>
    <t>2024-09-18 09:12:43</t>
  </si>
  <si>
    <t>2024-09-18 15:10:46</t>
  </si>
  <si>
    <t>TCK-13332</t>
  </si>
  <si>
    <t>2024-09-07 11:22:47</t>
  </si>
  <si>
    <t>2024-09-07 17:29:04</t>
  </si>
  <si>
    <t>TCK-13333</t>
  </si>
  <si>
    <t>2024-01-15 14:04:21</t>
  </si>
  <si>
    <t>2024-01-16 06:55:23</t>
  </si>
  <si>
    <t>TCK-13334</t>
  </si>
  <si>
    <t>2024-04-29 03:21:31</t>
  </si>
  <si>
    <t>2024-04-29 10:00:19</t>
  </si>
  <si>
    <t>TCK-13335</t>
  </si>
  <si>
    <t>2024-03-09 04:31:15</t>
  </si>
  <si>
    <t>2024-03-11 11:57:12</t>
  </si>
  <si>
    <t>TCK-13336</t>
  </si>
  <si>
    <t>2024-09-26 19:55:47</t>
  </si>
  <si>
    <t>2024-09-26 21:34:46</t>
  </si>
  <si>
    <t>TCK-13337</t>
  </si>
  <si>
    <t>2024-01-19 20:57:24</t>
  </si>
  <si>
    <t>2024-01-19 23:42:47</t>
  </si>
  <si>
    <t>TCK-13338</t>
  </si>
  <si>
    <t>2024-04-03 16:36:54</t>
  </si>
  <si>
    <t>TCK-13339</t>
  </si>
  <si>
    <t>2024-07-13 16:49:33</t>
  </si>
  <si>
    <t>2024-07-14 11:06:51</t>
  </si>
  <si>
    <t>TCK-13340</t>
  </si>
  <si>
    <t>2024-06-02 03:45:34</t>
  </si>
  <si>
    <t>2024-06-02 09:15:11</t>
  </si>
  <si>
    <t>TCK-13341</t>
  </si>
  <si>
    <t>2024-07-27 15:40:21</t>
  </si>
  <si>
    <t>2024-07-28 05:56:48</t>
  </si>
  <si>
    <t>TCK-13342</t>
  </si>
  <si>
    <t>2024-05-13 22:24:34</t>
  </si>
  <si>
    <t>TCK-13343</t>
  </si>
  <si>
    <t>2024-02-08 06:49:34</t>
  </si>
  <si>
    <t>2024-02-08 22:17:15</t>
  </si>
  <si>
    <t>TCK-13344</t>
  </si>
  <si>
    <t>2024-06-08 18:33:11</t>
  </si>
  <si>
    <t>2024-06-08 20:02:42</t>
  </si>
  <si>
    <t>TCK-13345</t>
  </si>
  <si>
    <t>2024-08-18 14:15:24</t>
  </si>
  <si>
    <t>2024-08-19 19:07:23</t>
  </si>
  <si>
    <t>TCK-13346</t>
  </si>
  <si>
    <t>2024-11-09 14:24:05</t>
  </si>
  <si>
    <t>2024-11-10 18:32:06</t>
  </si>
  <si>
    <t>TCK-13347</t>
  </si>
  <si>
    <t>2024-07-20 13:59:18</t>
  </si>
  <si>
    <t>2024-07-20 18:53:26</t>
  </si>
  <si>
    <t>TCK-13348</t>
  </si>
  <si>
    <t>2024-08-24 15:28:25</t>
  </si>
  <si>
    <t>2024-08-25 23:09:46</t>
  </si>
  <si>
    <t>TCK-13349</t>
  </si>
  <si>
    <t>2024-02-11 01:22:03</t>
  </si>
  <si>
    <t>2024-02-11 15:29:23</t>
  </si>
  <si>
    <t>TCK-13350</t>
  </si>
  <si>
    <t>2024-06-17 06:58:11</t>
  </si>
  <si>
    <t>2024-06-18 03:48:30</t>
  </si>
  <si>
    <t>TCK-13351</t>
  </si>
  <si>
    <t>2024-10-18 07:37:11</t>
  </si>
  <si>
    <t>2024-10-18 21:57:41</t>
  </si>
  <si>
    <t>TCK-13352</t>
  </si>
  <si>
    <t>2024-09-20 04:45:15</t>
  </si>
  <si>
    <t>TCK-13353</t>
  </si>
  <si>
    <t>2024-05-23 06:08:34</t>
  </si>
  <si>
    <t>2024-05-24 05:29:04</t>
  </si>
  <si>
    <t>TCK-13354</t>
  </si>
  <si>
    <t>2024-07-28 09:36:26</t>
  </si>
  <si>
    <t>TCK-13355</t>
  </si>
  <si>
    <t>2024-01-30 05:33:27</t>
  </si>
  <si>
    <t>2024-01-30 12:59:29</t>
  </si>
  <si>
    <t>TCK-13356</t>
  </si>
  <si>
    <t>2024-06-06 16:37:52</t>
  </si>
  <si>
    <t>2024-06-07 14:19:27</t>
  </si>
  <si>
    <t>TCK-13357</t>
  </si>
  <si>
    <t>2024-12-09 19:34:06</t>
  </si>
  <si>
    <t>2024-12-09 23:16:40</t>
  </si>
  <si>
    <t>TCK-13358</t>
  </si>
  <si>
    <t>2024-09-15 06:43:42</t>
  </si>
  <si>
    <t>2024-09-15 08:22:06</t>
  </si>
  <si>
    <t>TCK-13359</t>
  </si>
  <si>
    <t>2024-05-31 17:29:48</t>
  </si>
  <si>
    <t>TCK-13360</t>
  </si>
  <si>
    <t>2024-09-17 07:09:09</t>
  </si>
  <si>
    <t>TCK-13361</t>
  </si>
  <si>
    <t>2024-10-02 02:46:09</t>
  </si>
  <si>
    <t>2024-10-03 08:49:18</t>
  </si>
  <si>
    <t>TCK-13362</t>
  </si>
  <si>
    <t>2024-09-18 09:32:11</t>
  </si>
  <si>
    <t>2024-09-18 12:31:40</t>
  </si>
  <si>
    <t>TCK-13363</t>
  </si>
  <si>
    <t>2024-05-26 23:35:15</t>
  </si>
  <si>
    <t>2024-05-27 00:29:11</t>
  </si>
  <si>
    <t>TCK-13364</t>
  </si>
  <si>
    <t>2024-08-28 14:40:02</t>
  </si>
  <si>
    <t>TCK-13365</t>
  </si>
  <si>
    <t>2024-09-01 16:21:15</t>
  </si>
  <si>
    <t>2024-09-02 11:27:40</t>
  </si>
  <si>
    <t>TCK-13366</t>
  </si>
  <si>
    <t>2024-12-25 09:17:04</t>
  </si>
  <si>
    <t>2024-12-25 16:09:24</t>
  </si>
  <si>
    <t>TCK-13367</t>
  </si>
  <si>
    <t>2024-12-24 03:45:25</t>
  </si>
  <si>
    <t>2024-12-24 17:25:49</t>
  </si>
  <si>
    <t>TCK-13368</t>
  </si>
  <si>
    <t>2024-07-28 23:59:58</t>
  </si>
  <si>
    <t>2024-07-29 01:28:39</t>
  </si>
  <si>
    <t>TCK-13369</t>
  </si>
  <si>
    <t>2024-04-18 20:44:25</t>
  </si>
  <si>
    <t>2024-04-20 16:08:30</t>
  </si>
  <si>
    <t>TCK-13370</t>
  </si>
  <si>
    <t>2024-07-22 03:30:48</t>
  </si>
  <si>
    <t>2024-07-22 07:19:30</t>
  </si>
  <si>
    <t>TCK-13371</t>
  </si>
  <si>
    <t>2024-12-20 07:02:02</t>
  </si>
  <si>
    <t>2024-12-20 15:22:18</t>
  </si>
  <si>
    <t>TCK-13372</t>
  </si>
  <si>
    <t>2024-01-19 06:42:26</t>
  </si>
  <si>
    <t>2024-01-20 04:55:20</t>
  </si>
  <si>
    <t>TCK-13373</t>
  </si>
  <si>
    <t>2024-06-29 22:24:48</t>
  </si>
  <si>
    <t>2024-06-30 14:52:11</t>
  </si>
  <si>
    <t>TCK-13374</t>
  </si>
  <si>
    <t>2024-06-10 21:44:11</t>
  </si>
  <si>
    <t>2024-06-11 02:02:46</t>
  </si>
  <si>
    <t>TCK-13375</t>
  </si>
  <si>
    <t>2024-09-12 09:32:47</t>
  </si>
  <si>
    <t>2024-09-13 04:25:06</t>
  </si>
  <si>
    <t>TCK-13376</t>
  </si>
  <si>
    <t>2024-04-25 19:43:02</t>
  </si>
  <si>
    <t>2024-04-26 10:07:45</t>
  </si>
  <si>
    <t>TCK-13377</t>
  </si>
  <si>
    <t>2024-01-15 16:54:40</t>
  </si>
  <si>
    <t>2024-01-15 23:54:38</t>
  </si>
  <si>
    <t>TCK-13378</t>
  </si>
  <si>
    <t>2024-08-09 08:39:22</t>
  </si>
  <si>
    <t>2024-08-09 10:11:58</t>
  </si>
  <si>
    <t>TCK-13379</t>
  </si>
  <si>
    <t>2024-02-14 19:08:56</t>
  </si>
  <si>
    <t>2024-02-15 05:10:25</t>
  </si>
  <si>
    <t>TCK-13380</t>
  </si>
  <si>
    <t>2024-03-14 06:41:08</t>
  </si>
  <si>
    <t>2024-03-14 14:44:30</t>
  </si>
  <si>
    <t>TCK-13381</t>
  </si>
  <si>
    <t>2024-05-09 07:31:31</t>
  </si>
  <si>
    <t>TCK-13382</t>
  </si>
  <si>
    <t>2024-10-10 07:16:54</t>
  </si>
  <si>
    <t>2024-10-10 08:51:02</t>
  </si>
  <si>
    <t>TCK-13383</t>
  </si>
  <si>
    <t>2024-12-27 04:58:44</t>
  </si>
  <si>
    <t>2024-12-27 07:35:32</t>
  </si>
  <si>
    <t>TCK-13384</t>
  </si>
  <si>
    <t>2024-12-26 18:06:47</t>
  </si>
  <si>
    <t>2024-12-27 02:35:35</t>
  </si>
  <si>
    <t>TCK-13385</t>
  </si>
  <si>
    <t>2024-08-29 17:20:12</t>
  </si>
  <si>
    <t>2024-08-30 13:06:10</t>
  </si>
  <si>
    <t>TCK-13386</t>
  </si>
  <si>
    <t>2024-05-11 15:03:31</t>
  </si>
  <si>
    <t>2024-05-13 07:36:09</t>
  </si>
  <si>
    <t>TCK-13387</t>
  </si>
  <si>
    <t>2024-04-28 11:53:30</t>
  </si>
  <si>
    <t>TCK-13388</t>
  </si>
  <si>
    <t>2024-04-05 07:18:37</t>
  </si>
  <si>
    <t>TCK-13389</t>
  </si>
  <si>
    <t>2024-08-14 17:05:02</t>
  </si>
  <si>
    <t>2024-08-15 07:46:58</t>
  </si>
  <si>
    <t>TCK-13390</t>
  </si>
  <si>
    <t>2024-12-27 02:24:51</t>
  </si>
  <si>
    <t>2024-12-27 14:01:58</t>
  </si>
  <si>
    <t>TCK-13391</t>
  </si>
  <si>
    <t>2024-08-10 21:57:12</t>
  </si>
  <si>
    <t>2024-08-11 10:18:21</t>
  </si>
  <si>
    <t>TCK-13392</t>
  </si>
  <si>
    <t>2024-10-22 18:51:16</t>
  </si>
  <si>
    <t>2024-10-23 02:32:07</t>
  </si>
  <si>
    <t>TCK-13393</t>
  </si>
  <si>
    <t>2024-06-25 11:21:02</t>
  </si>
  <si>
    <t>2024-06-25 21:39:40</t>
  </si>
  <si>
    <t>TCK-13394</t>
  </si>
  <si>
    <t>2024-05-06 09:28:01</t>
  </si>
  <si>
    <t>2024-05-08 00:37:19</t>
  </si>
  <si>
    <t>TCK-13395</t>
  </si>
  <si>
    <t>2024-09-05 12:24:12</t>
  </si>
  <si>
    <t>2024-09-06 06:56:41</t>
  </si>
  <si>
    <t>TCK-13396</t>
  </si>
  <si>
    <t>2024-10-07 22:46:08</t>
  </si>
  <si>
    <t>TCK-13397</t>
  </si>
  <si>
    <t>2024-05-12 11:41:38</t>
  </si>
  <si>
    <t>2024-05-13 05:14:44</t>
  </si>
  <si>
    <t>TCK-13398</t>
  </si>
  <si>
    <t>2024-06-19 17:48:39</t>
  </si>
  <si>
    <t>2024-06-19 20:36:33</t>
  </si>
  <si>
    <t>TCK-13399</t>
  </si>
  <si>
    <t>2024-04-22 18:25:46</t>
  </si>
  <si>
    <t>2024-04-22 23:10:17</t>
  </si>
  <si>
    <t>TCK-13400</t>
  </si>
  <si>
    <t>2024-11-08 02:08:15</t>
  </si>
  <si>
    <t>2024-11-10 06:18:01</t>
  </si>
  <si>
    <t>TCK-13401</t>
  </si>
  <si>
    <t>2024-12-08 12:34:00</t>
  </si>
  <si>
    <t>2024-12-09 02:29:53</t>
  </si>
  <si>
    <t>TCK-13402</t>
  </si>
  <si>
    <t>2024-03-05 23:08:28</t>
  </si>
  <si>
    <t>2024-03-08 08:10:44</t>
  </si>
  <si>
    <t>TCK-13403</t>
  </si>
  <si>
    <t>2024-08-13 13:42:44</t>
  </si>
  <si>
    <t>2024-08-13 14:09:03</t>
  </si>
  <si>
    <t>TCK-13404</t>
  </si>
  <si>
    <t>2024-10-08 08:06:49</t>
  </si>
  <si>
    <t>2024-10-08 18:52:22</t>
  </si>
  <si>
    <t>TCK-13405</t>
  </si>
  <si>
    <t>2024-01-14 10:45:33</t>
  </si>
  <si>
    <t>2024-01-14 13:59:35</t>
  </si>
  <si>
    <t>TCK-13406</t>
  </si>
  <si>
    <t>2024-08-09 12:09:12</t>
  </si>
  <si>
    <t>2024-08-09 18:18:05</t>
  </si>
  <si>
    <t>TCK-13407</t>
  </si>
  <si>
    <t>2024-10-22 00:31:18</t>
  </si>
  <si>
    <t>TCK-13408</t>
  </si>
  <si>
    <t>2024-10-22 05:05:24</t>
  </si>
  <si>
    <t>2024-10-22 10:22:57</t>
  </si>
  <si>
    <t>TCK-13409</t>
  </si>
  <si>
    <t>2024-07-28 21:48:06</t>
  </si>
  <si>
    <t>2024-07-30 06:31:32</t>
  </si>
  <si>
    <t>TCK-13410</t>
  </si>
  <si>
    <t>2024-01-21 11:36:36</t>
  </si>
  <si>
    <t>2024-01-22 06:04:29</t>
  </si>
  <si>
    <t>TCK-13411</t>
  </si>
  <si>
    <t>2024-12-11 19:38:41</t>
  </si>
  <si>
    <t>TCK-13412</t>
  </si>
  <si>
    <t>2024-04-10 18:14:01</t>
  </si>
  <si>
    <t>2024-04-11 00:31:28</t>
  </si>
  <si>
    <t>TCK-13413</t>
  </si>
  <si>
    <t>2024-12-08 01:46:21</t>
  </si>
  <si>
    <t>2024-12-08 09:07:05</t>
  </si>
  <si>
    <t>TCK-13414</t>
  </si>
  <si>
    <t>2024-01-20 04:36:48</t>
  </si>
  <si>
    <t>2024-01-20 11:26:12</t>
  </si>
  <si>
    <t>TCK-13415</t>
  </si>
  <si>
    <t>2024-10-30 04:56:14</t>
  </si>
  <si>
    <t>2024-10-31 06:57:53</t>
  </si>
  <si>
    <t>TCK-13416</t>
  </si>
  <si>
    <t>2024-03-06 01:55:47</t>
  </si>
  <si>
    <t>2024-03-07 00:12:28</t>
  </si>
  <si>
    <t>TCK-13417</t>
  </si>
  <si>
    <t>2024-04-27 21:12:46</t>
  </si>
  <si>
    <t>2024-05-01 15:19:30</t>
  </si>
  <si>
    <t>TCK-13418</t>
  </si>
  <si>
    <t>2024-06-22 18:53:40</t>
  </si>
  <si>
    <t>2024-06-22 23:56:51</t>
  </si>
  <si>
    <t>TCK-13419</t>
  </si>
  <si>
    <t>2024-12-11 02:05:31</t>
  </si>
  <si>
    <t>TCK-13420</t>
  </si>
  <si>
    <t>2024-12-17 05:51:16</t>
  </si>
  <si>
    <t>TCK-13421</t>
  </si>
  <si>
    <t>2024-10-28 13:54:58</t>
  </si>
  <si>
    <t>2024-10-29 11:04:39</t>
  </si>
  <si>
    <t>TCK-13422</t>
  </si>
  <si>
    <t>2024-03-20 03:56:08</t>
  </si>
  <si>
    <t>2024-03-21 17:15:41</t>
  </si>
  <si>
    <t>TCK-13423</t>
  </si>
  <si>
    <t>2024-11-13 19:02:18</t>
  </si>
  <si>
    <t>2024-11-13 19:53:42</t>
  </si>
  <si>
    <t>TCK-13424</t>
  </si>
  <si>
    <t>2024-03-12 07:21:55</t>
  </si>
  <si>
    <t>2024-03-12 10:36:30</t>
  </si>
  <si>
    <t>TCK-13425</t>
  </si>
  <si>
    <t>2024-05-01 14:05:46</t>
  </si>
  <si>
    <t>2024-05-01 19:21:26</t>
  </si>
  <si>
    <t>TCK-13426</t>
  </si>
  <si>
    <t>2024-10-08 04:19:32</t>
  </si>
  <si>
    <t>2024-10-09 05:27:20</t>
  </si>
  <si>
    <t>TCK-13427</t>
  </si>
  <si>
    <t>2024-12-02 05:20:37</t>
  </si>
  <si>
    <t>2024-12-03 21:29:52</t>
  </si>
  <si>
    <t>TCK-13428</t>
  </si>
  <si>
    <t>2024-10-30 05:22:17</t>
  </si>
  <si>
    <t>2024-10-30 05:56:38</t>
  </si>
  <si>
    <t>TCK-13429</t>
  </si>
  <si>
    <t>2024-06-03 23:53:37</t>
  </si>
  <si>
    <t>2024-06-04 10:22:21</t>
  </si>
  <si>
    <t>TCK-13430</t>
  </si>
  <si>
    <t>2024-08-10 19:29:16</t>
  </si>
  <si>
    <t>TCK-13431</t>
  </si>
  <si>
    <t>2024-09-24 20:01:47</t>
  </si>
  <si>
    <t>2024-09-25 03:43:33</t>
  </si>
  <si>
    <t>TCK-13432</t>
  </si>
  <si>
    <t>2024-08-19 04:23:02</t>
  </si>
  <si>
    <t>2024-08-19 07:30:40</t>
  </si>
  <si>
    <t>TCK-13433</t>
  </si>
  <si>
    <t>2024-08-29 11:46:26</t>
  </si>
  <si>
    <t>2024-08-30 00:17:58</t>
  </si>
  <si>
    <t>TCK-13434</t>
  </si>
  <si>
    <t>2024-07-07 01:29:46</t>
  </si>
  <si>
    <t>2024-07-07 06:19:36</t>
  </si>
  <si>
    <t>TCK-13435</t>
  </si>
  <si>
    <t>2024-08-01 19:39:22</t>
  </si>
  <si>
    <t>2024-08-03 17:54:51</t>
  </si>
  <si>
    <t>TCK-13436</t>
  </si>
  <si>
    <t>2024-04-14 16:01:22</t>
  </si>
  <si>
    <t>2024-04-15 12:58:35</t>
  </si>
  <si>
    <t>TCK-13437</t>
  </si>
  <si>
    <t>2024-12-30 13:56:29</t>
  </si>
  <si>
    <t>2025-01-02 04:40:42</t>
  </si>
  <si>
    <t>TCK-13438</t>
  </si>
  <si>
    <t>2024-02-02 16:14:37</t>
  </si>
  <si>
    <t>2024-02-03 05:21:56</t>
  </si>
  <si>
    <t>TCK-13439</t>
  </si>
  <si>
    <t>2024-11-03 19:19:53</t>
  </si>
  <si>
    <t>2024-11-08 04:17:01</t>
  </si>
  <si>
    <t>TCK-13440</t>
  </si>
  <si>
    <t>2024-02-20 22:21:14</t>
  </si>
  <si>
    <t>2024-02-21 03:35:42</t>
  </si>
  <si>
    <t>TCK-13441</t>
  </si>
  <si>
    <t>2024-11-03 19:25:18</t>
  </si>
  <si>
    <t>2024-11-04 19:48:22</t>
  </si>
  <si>
    <t>TCK-13442</t>
  </si>
  <si>
    <t>2024-04-10 11:38:36</t>
  </si>
  <si>
    <t>2024-04-11 05:45:23</t>
  </si>
  <si>
    <t>TCK-13443</t>
  </si>
  <si>
    <t>2024-07-11 17:31:52</t>
  </si>
  <si>
    <t>2024-07-11 21:05:33</t>
  </si>
  <si>
    <t>TCK-13444</t>
  </si>
  <si>
    <t>2024-04-29 17:02:15</t>
  </si>
  <si>
    <t>2024-04-29 23:01:30</t>
  </si>
  <si>
    <t>TCK-13445</t>
  </si>
  <si>
    <t>2024-12-26 18:28:46</t>
  </si>
  <si>
    <t>2024-12-27 05:25:19</t>
  </si>
  <si>
    <t>TCK-13446</t>
  </si>
  <si>
    <t>2024-01-13 04:56:38</t>
  </si>
  <si>
    <t>2024-01-13 17:11:44</t>
  </si>
  <si>
    <t>TCK-13447</t>
  </si>
  <si>
    <t>2024-02-19 19:52:17</t>
  </si>
  <si>
    <t>2024-02-19 21:36:45</t>
  </si>
  <si>
    <t>TCK-13448</t>
  </si>
  <si>
    <t>2024-08-18 23:32:35</t>
  </si>
  <si>
    <t>2024-08-19 00:55:04</t>
  </si>
  <si>
    <t>TCK-13449</t>
  </si>
  <si>
    <t>2024-12-24 18:32:29</t>
  </si>
  <si>
    <t>2024-12-25 03:46:39</t>
  </si>
  <si>
    <t>TCK-13450</t>
  </si>
  <si>
    <t>2024-10-19 10:28:21</t>
  </si>
  <si>
    <t>TCK-13451</t>
  </si>
  <si>
    <t>2024-04-10 18:33:23</t>
  </si>
  <si>
    <t>TCK-13452</t>
  </si>
  <si>
    <t>2024-01-06 06:49:19</t>
  </si>
  <si>
    <t>2024-01-06 20:42:40</t>
  </si>
  <si>
    <t>TCK-13453</t>
  </si>
  <si>
    <t>2024-08-25 13:14:59</t>
  </si>
  <si>
    <t>2024-08-26 04:39:07</t>
  </si>
  <si>
    <t>TCK-13454</t>
  </si>
  <si>
    <t>2024-10-23 03:10:30</t>
  </si>
  <si>
    <t>2024-10-23 21:38:25</t>
  </si>
  <si>
    <t>TCK-13455</t>
  </si>
  <si>
    <t>2024-02-02 08:12:35</t>
  </si>
  <si>
    <t>2024-02-03 20:23:27</t>
  </si>
  <si>
    <t>TCK-13456</t>
  </si>
  <si>
    <t>2024-04-27 07:20:22</t>
  </si>
  <si>
    <t>2024-04-27 12:39:42</t>
  </si>
  <si>
    <t>TCK-13457</t>
  </si>
  <si>
    <t>2024-08-11 12:07:12</t>
  </si>
  <si>
    <t>2024-08-11 12:44:58</t>
  </si>
  <si>
    <t>TCK-13458</t>
  </si>
  <si>
    <t>2024-05-01 09:51:08</t>
  </si>
  <si>
    <t>2024-05-01 12:48:55</t>
  </si>
  <si>
    <t>TCK-13459</t>
  </si>
  <si>
    <t>2024-01-21 17:18:43</t>
  </si>
  <si>
    <t>2024-01-21 22:38:29</t>
  </si>
  <si>
    <t>TCK-13460</t>
  </si>
  <si>
    <t>2024-01-25 02:06:02</t>
  </si>
  <si>
    <t>TCK-13461</t>
  </si>
  <si>
    <t>2024-03-28 13:44:21</t>
  </si>
  <si>
    <t>2024-03-28 21:47:36</t>
  </si>
  <si>
    <t>TCK-13462</t>
  </si>
  <si>
    <t>2024-10-14 11:09:51</t>
  </si>
  <si>
    <t>2024-10-15 00:56:45</t>
  </si>
  <si>
    <t>TCK-13463</t>
  </si>
  <si>
    <t>2024-06-26 16:30:23</t>
  </si>
  <si>
    <t>2024-06-26 23:39:33</t>
  </si>
  <si>
    <t>TCK-13464</t>
  </si>
  <si>
    <t>2024-05-12 12:38:09</t>
  </si>
  <si>
    <t>2024-05-12 15:32:43</t>
  </si>
  <si>
    <t>TCK-13465</t>
  </si>
  <si>
    <t>2024-02-29 13:39:18</t>
  </si>
  <si>
    <t>2024-02-29 15:45:10</t>
  </si>
  <si>
    <t>TCK-13466</t>
  </si>
  <si>
    <t>2024-03-02 09:58:46</t>
  </si>
  <si>
    <t>TCK-13467</t>
  </si>
  <si>
    <t>2024-06-04 14:02:37</t>
  </si>
  <si>
    <t>2024-06-04 16:51:11</t>
  </si>
  <si>
    <t>TCK-13468</t>
  </si>
  <si>
    <t>2024-05-18 18:46:18</t>
  </si>
  <si>
    <t>TCK-13469</t>
  </si>
  <si>
    <t>2024-04-13 22:30:21</t>
  </si>
  <si>
    <t>2024-04-14 14:55:19</t>
  </si>
  <si>
    <t>TCK-13470</t>
  </si>
  <si>
    <t>2024-05-12 17:18:55</t>
  </si>
  <si>
    <t>2024-05-13 13:10:28</t>
  </si>
  <si>
    <t>TCK-13471</t>
  </si>
  <si>
    <t>2024-03-31 15:42:41</t>
  </si>
  <si>
    <t>2024-03-31 23:12:01</t>
  </si>
  <si>
    <t>TCK-13472</t>
  </si>
  <si>
    <t>2024-12-10 09:25:44</t>
  </si>
  <si>
    <t>2024-12-10 11:57:20</t>
  </si>
  <si>
    <t>TCK-13473</t>
  </si>
  <si>
    <t>2024-01-27 21:21:47</t>
  </si>
  <si>
    <t>2024-01-29 13:15:39</t>
  </si>
  <si>
    <t>TCK-13474</t>
  </si>
  <si>
    <t>2024-02-17 10:22:43</t>
  </si>
  <si>
    <t>TCK-13475</t>
  </si>
  <si>
    <t>2024-09-02 16:50:11</t>
  </si>
  <si>
    <t>2024-09-02 21:41:27</t>
  </si>
  <si>
    <t>TCK-13476</t>
  </si>
  <si>
    <t>2024-11-24 15:28:27</t>
  </si>
  <si>
    <t>2024-11-28 10:21:47</t>
  </si>
  <si>
    <t>TCK-13477</t>
  </si>
  <si>
    <t>2024-01-04 22:17:31</t>
  </si>
  <si>
    <t>2024-01-05 05:19:30</t>
  </si>
  <si>
    <t>TCK-13478</t>
  </si>
  <si>
    <t>2024-09-13 11:16:10</t>
  </si>
  <si>
    <t>2024-09-15 02:47:37</t>
  </si>
  <si>
    <t>TCK-13479</t>
  </si>
  <si>
    <t>2024-09-26 08:42:54</t>
  </si>
  <si>
    <t>2024-09-26 17:58:28</t>
  </si>
  <si>
    <t>TCK-13480</t>
  </si>
  <si>
    <t>2024-04-20 20:00:28</t>
  </si>
  <si>
    <t>2024-04-21 08:18:49</t>
  </si>
  <si>
    <t>TCK-13481</t>
  </si>
  <si>
    <t>2024-07-13 20:08:07</t>
  </si>
  <si>
    <t>2024-07-15 15:37:18</t>
  </si>
  <si>
    <t>TCK-13482</t>
  </si>
  <si>
    <t>2024-12-30 17:19:00</t>
  </si>
  <si>
    <t>2024-12-30 20:30:44</t>
  </si>
  <si>
    <t>TCK-13483</t>
  </si>
  <si>
    <t>2024-09-23 09:08:34</t>
  </si>
  <si>
    <t>TCK-13484</t>
  </si>
  <si>
    <t>2024-09-01 02:41:09</t>
  </si>
  <si>
    <t>2024-09-01 03:37:51</t>
  </si>
  <si>
    <t>TCK-13485</t>
  </si>
  <si>
    <t>2024-07-22 20:05:03</t>
  </si>
  <si>
    <t>2024-07-23 05:55:52</t>
  </si>
  <si>
    <t>TCK-13486</t>
  </si>
  <si>
    <t>2024-02-13 22:20:15</t>
  </si>
  <si>
    <t>2024-02-14 05:02:14</t>
  </si>
  <si>
    <t>TCK-13487</t>
  </si>
  <si>
    <t>2024-01-08 05:22:23</t>
  </si>
  <si>
    <t>2024-01-08 20:05:15</t>
  </si>
  <si>
    <t>TCK-13488</t>
  </si>
  <si>
    <t>2024-07-21 10:44:54</t>
  </si>
  <si>
    <t>2024-07-22 09:04:40</t>
  </si>
  <si>
    <t>TCK-13489</t>
  </si>
  <si>
    <t>2024-03-20 17:19:41</t>
  </si>
  <si>
    <t>2024-03-21 14:58:55</t>
  </si>
  <si>
    <t>TCK-13490</t>
  </si>
  <si>
    <t>2024-07-19 09:06:00</t>
  </si>
  <si>
    <t>2024-07-19 13:33:35</t>
  </si>
  <si>
    <t>TCK-13491</t>
  </si>
  <si>
    <t>2024-05-17 22:32:01</t>
  </si>
  <si>
    <t>2024-05-18 07:07:42</t>
  </si>
  <si>
    <t>TCK-13492</t>
  </si>
  <si>
    <t>2024-02-05 01:18:48</t>
  </si>
  <si>
    <t>2024-02-05 18:23:47</t>
  </si>
  <si>
    <t>TCK-13493</t>
  </si>
  <si>
    <t>2024-07-24 21:01:23</t>
  </si>
  <si>
    <t>2024-07-25 21:16:37</t>
  </si>
  <si>
    <t>TCK-13494</t>
  </si>
  <si>
    <t>2024-01-08 11:45:58</t>
  </si>
  <si>
    <t>TCK-13495</t>
  </si>
  <si>
    <t>2024-02-12 04:07:38</t>
  </si>
  <si>
    <t>2024-02-12 20:05:19</t>
  </si>
  <si>
    <t>TCK-13496</t>
  </si>
  <si>
    <t>2024-05-25 22:46:24</t>
  </si>
  <si>
    <t>2024-05-29 04:51:32</t>
  </si>
  <si>
    <t>TCK-13497</t>
  </si>
  <si>
    <t>2024-07-16 08:11:59</t>
  </si>
  <si>
    <t>TCK-13498</t>
  </si>
  <si>
    <t>2024-11-23 16:41:12</t>
  </si>
  <si>
    <t>2024-11-23 20:44:21</t>
  </si>
  <si>
    <t>TCK-13499</t>
  </si>
  <si>
    <t>2024-02-08 03:48:11</t>
  </si>
  <si>
    <t>TCK-13500</t>
  </si>
  <si>
    <t>2024-02-01 04:41:39</t>
  </si>
  <si>
    <t>2024-02-01 05:36:53</t>
  </si>
  <si>
    <t>TCK-13501</t>
  </si>
  <si>
    <t>2024-10-04 13:44:46</t>
  </si>
  <si>
    <t>TCK-13502</t>
  </si>
  <si>
    <t>2024-06-09 15:21:23</t>
  </si>
  <si>
    <t>2024-06-09 17:28:48</t>
  </si>
  <si>
    <t>TCK-13503</t>
  </si>
  <si>
    <t>2024-08-23 12:55:53</t>
  </si>
  <si>
    <t>2024-08-23 23:34:38</t>
  </si>
  <si>
    <t>TCK-13504</t>
  </si>
  <si>
    <t>2024-02-19 19:24:18</t>
  </si>
  <si>
    <t>2024-02-19 23:16:33</t>
  </si>
  <si>
    <t>TCK-13505</t>
  </si>
  <si>
    <t>2024-02-09 23:29:48</t>
  </si>
  <si>
    <t>2024-02-10 02:04:51</t>
  </si>
  <si>
    <t>TCK-13506</t>
  </si>
  <si>
    <t>2024-11-26 18:24:33</t>
  </si>
  <si>
    <t>2024-11-27 05:36:31</t>
  </si>
  <si>
    <t>TCK-13507</t>
  </si>
  <si>
    <t>2024-11-07 10:12:58</t>
  </si>
  <si>
    <t>2024-11-07 16:15:40</t>
  </si>
  <si>
    <t>TCK-13508</t>
  </si>
  <si>
    <t>2024-08-26 20:51:53</t>
  </si>
  <si>
    <t>2024-08-26 22:35:37</t>
  </si>
  <si>
    <t>TCK-13509</t>
  </si>
  <si>
    <t>2024-08-02 13:48:00</t>
  </si>
  <si>
    <t>2024-08-03 01:07:51</t>
  </si>
  <si>
    <t>TCK-13510</t>
  </si>
  <si>
    <t>2024-09-26 21:17:30</t>
  </si>
  <si>
    <t>2024-09-27 17:24:18</t>
  </si>
  <si>
    <t>TCK-13511</t>
  </si>
  <si>
    <t>2024-01-31 03:54:56</t>
  </si>
  <si>
    <t>TCK-13512</t>
  </si>
  <si>
    <t>2024-01-13 14:13:04</t>
  </si>
  <si>
    <t>2024-01-13 21:59:40</t>
  </si>
  <si>
    <t>TCK-13513</t>
  </si>
  <si>
    <t>2024-10-23 08:31:51</t>
  </si>
  <si>
    <t>2024-10-23 15:39:34</t>
  </si>
  <si>
    <t>TCK-13514</t>
  </si>
  <si>
    <t>2024-12-05 12:16:55</t>
  </si>
  <si>
    <t>2024-12-06 03:14:27</t>
  </si>
  <si>
    <t>TCK-13515</t>
  </si>
  <si>
    <t>2024-11-25 06:36:07</t>
  </si>
  <si>
    <t>2024-11-26 04:05:51</t>
  </si>
  <si>
    <t>TCK-13516</t>
  </si>
  <si>
    <t>2024-10-29 02:44:56</t>
  </si>
  <si>
    <t>TCK-13517</t>
  </si>
  <si>
    <t>2024-02-10 14:02:15</t>
  </si>
  <si>
    <t>2024-02-10 21:31:25</t>
  </si>
  <si>
    <t>TCK-13518</t>
  </si>
  <si>
    <t>2024-09-28 04:18:35</t>
  </si>
  <si>
    <t>2024-09-28 13:01:40</t>
  </si>
  <si>
    <t>TCK-13519</t>
  </si>
  <si>
    <t>2024-07-14 10:02:12</t>
  </si>
  <si>
    <t>2024-07-16 08:26:53</t>
  </si>
  <si>
    <t>TCK-13520</t>
  </si>
  <si>
    <t>2024-11-13 19:54:54</t>
  </si>
  <si>
    <t>2024-11-14 14:46:57</t>
  </si>
  <si>
    <t>TCK-13521</t>
  </si>
  <si>
    <t>2024-05-31 16:30:17</t>
  </si>
  <si>
    <t>2024-06-01 10:15:32</t>
  </si>
  <si>
    <t>TCK-13522</t>
  </si>
  <si>
    <t>2024-06-26 00:51:03</t>
  </si>
  <si>
    <t>2024-06-26 15:05:44</t>
  </si>
  <si>
    <t>TCK-13523</t>
  </si>
  <si>
    <t>2024-07-23 07:48:15</t>
  </si>
  <si>
    <t>2024-07-23 18:13:30</t>
  </si>
  <si>
    <t>TCK-13524</t>
  </si>
  <si>
    <t>2024-08-27 03:00:34</t>
  </si>
  <si>
    <t>2024-08-27 11:40:24</t>
  </si>
  <si>
    <t>TCK-13525</t>
  </si>
  <si>
    <t>2024-10-22 03:06:55</t>
  </si>
  <si>
    <t>2024-10-23 03:51:46</t>
  </si>
  <si>
    <t>TCK-13526</t>
  </si>
  <si>
    <t>2024-04-04 02:20:44</t>
  </si>
  <si>
    <t>TCK-13527</t>
  </si>
  <si>
    <t>2024-08-22 08:16:22</t>
  </si>
  <si>
    <t>2024-08-22 11:26:12</t>
  </si>
  <si>
    <t>TCK-13528</t>
  </si>
  <si>
    <t>2024-01-09 14:42:04</t>
  </si>
  <si>
    <t>2024-01-09 17:00:35</t>
  </si>
  <si>
    <t>TCK-13529</t>
  </si>
  <si>
    <t>2024-09-04 09:20:41</t>
  </si>
  <si>
    <t>2024-09-04 11:59:30</t>
  </si>
  <si>
    <t>TCK-13530</t>
  </si>
  <si>
    <t>2024-06-06 17:33:12</t>
  </si>
  <si>
    <t>2024-06-07 01:17:00</t>
  </si>
  <si>
    <t>TCK-13531</t>
  </si>
  <si>
    <t>2024-10-24 12:21:28</t>
  </si>
  <si>
    <t>TCK-13532</t>
  </si>
  <si>
    <t>2024-08-19 14:37:59</t>
  </si>
  <si>
    <t>2024-08-19 21:27:02</t>
  </si>
  <si>
    <t>TCK-13533</t>
  </si>
  <si>
    <t>2024-08-11 03:35:32</t>
  </si>
  <si>
    <t>2024-08-12 00:47:57</t>
  </si>
  <si>
    <t>TCK-13534</t>
  </si>
  <si>
    <t>2024-04-24 09:42:44</t>
  </si>
  <si>
    <t>2024-04-24 11:03:42</t>
  </si>
  <si>
    <t>TCK-13535</t>
  </si>
  <si>
    <t>2024-09-15 19:41:10</t>
  </si>
  <si>
    <t>2024-09-16 05:04:19</t>
  </si>
  <si>
    <t>TCK-13536</t>
  </si>
  <si>
    <t>2024-03-30 04:40:49</t>
  </si>
  <si>
    <t>2024-03-31 01:34:49</t>
  </si>
  <si>
    <t>TCK-13537</t>
  </si>
  <si>
    <t>2024-10-21 08:58:30</t>
  </si>
  <si>
    <t>2024-10-21 12:42:24</t>
  </si>
  <si>
    <t>TCK-13538</t>
  </si>
  <si>
    <t>2024-05-30 05:00:19</t>
  </si>
  <si>
    <t>2024-05-30 09:31:19</t>
  </si>
  <si>
    <t>TCK-13539</t>
  </si>
  <si>
    <t>2024-08-08 21:26:41</t>
  </si>
  <si>
    <t>2024-08-09 08:27:21</t>
  </si>
  <si>
    <t>TCK-13540</t>
  </si>
  <si>
    <t>2024-11-04 05:14:37</t>
  </si>
  <si>
    <t>2024-11-04 21:07:59</t>
  </si>
  <si>
    <t>TCK-13541</t>
  </si>
  <si>
    <t>2024-02-29 22:06:25</t>
  </si>
  <si>
    <t>2024-03-02 07:31:11</t>
  </si>
  <si>
    <t>TCK-13542</t>
  </si>
  <si>
    <t>2024-04-04 02:15:13</t>
  </si>
  <si>
    <t>TCK-13543</t>
  </si>
  <si>
    <t>2024-05-31 23:52:53</t>
  </si>
  <si>
    <t>2024-06-01 12:01:34</t>
  </si>
  <si>
    <t>TCK-13544</t>
  </si>
  <si>
    <t>2024-05-04 09:18:12</t>
  </si>
  <si>
    <t>2024-05-05 03:18:12</t>
  </si>
  <si>
    <t>TCK-13545</t>
  </si>
  <si>
    <t>2024-08-26 03:34:02</t>
  </si>
  <si>
    <t>2024-08-26 08:23:47</t>
  </si>
  <si>
    <t>TCK-13546</t>
  </si>
  <si>
    <t>2024-06-23 06:21:42</t>
  </si>
  <si>
    <t>2024-06-23 12:21:42</t>
  </si>
  <si>
    <t>TCK-13547</t>
  </si>
  <si>
    <t>2024-04-07 15:10:40</t>
  </si>
  <si>
    <t>2024-04-08 13:02:04</t>
  </si>
  <si>
    <t>TCK-13548</t>
  </si>
  <si>
    <t>2024-02-28 22:38:01</t>
  </si>
  <si>
    <t>2024-03-01 18:03:32</t>
  </si>
  <si>
    <t>TCK-13549</t>
  </si>
  <si>
    <t>2024-01-19 22:33:27</t>
  </si>
  <si>
    <t>2024-01-20 17:38:39</t>
  </si>
  <si>
    <t>TCK-13550</t>
  </si>
  <si>
    <t>2024-06-10 14:40:22</t>
  </si>
  <si>
    <t>2024-06-10 17:41:42</t>
  </si>
  <si>
    <t>TCK-13551</t>
  </si>
  <si>
    <t>2024-07-19 01:20:38</t>
  </si>
  <si>
    <t>2024-07-19 03:29:04</t>
  </si>
  <si>
    <t>TCK-13552</t>
  </si>
  <si>
    <t>2024-03-16 08:54:57</t>
  </si>
  <si>
    <t>2024-03-17 01:19:20</t>
  </si>
  <si>
    <t>TCK-13553</t>
  </si>
  <si>
    <t>2024-10-02 15:17:25</t>
  </si>
  <si>
    <t>2024-10-05 00:34:37</t>
  </si>
  <si>
    <t>TCK-13554</t>
  </si>
  <si>
    <t>2024-04-12 05:44:22</t>
  </si>
  <si>
    <t>2024-04-14 23:00:14</t>
  </si>
  <si>
    <t>TCK-13555</t>
  </si>
  <si>
    <t>2024-05-03 10:44:48</t>
  </si>
  <si>
    <t>TCK-13556</t>
  </si>
  <si>
    <t>2024-10-27 04:29:39</t>
  </si>
  <si>
    <t>2024-10-28 06:45:57</t>
  </si>
  <si>
    <t>TCK-13557</t>
  </si>
  <si>
    <t>2024-11-15 13:06:17</t>
  </si>
  <si>
    <t>2024-11-16 00:59:20</t>
  </si>
  <si>
    <t>TCK-13558</t>
  </si>
  <si>
    <t>2024-03-14 23:02:39</t>
  </si>
  <si>
    <t>2024-03-15 07:54:29</t>
  </si>
  <si>
    <t>TCK-13559</t>
  </si>
  <si>
    <t>2024-08-17 21:01:52</t>
  </si>
  <si>
    <t>2024-08-17 22:11:50</t>
  </si>
  <si>
    <t>TCK-13560</t>
  </si>
  <si>
    <t>2024-01-27 15:11:39</t>
  </si>
  <si>
    <t>2024-01-28 23:22:33</t>
  </si>
  <si>
    <t>TCK-13561</t>
  </si>
  <si>
    <t>2024-11-08 23:31:42</t>
  </si>
  <si>
    <t>2024-11-09 11:20:04</t>
  </si>
  <si>
    <t>TCK-13562</t>
  </si>
  <si>
    <t>2024-11-24 18:37:48</t>
  </si>
  <si>
    <t>2024-11-26 15:13:38</t>
  </si>
  <si>
    <t>TCK-13563</t>
  </si>
  <si>
    <t>2024-04-27 08:10:39</t>
  </si>
  <si>
    <t>2024-04-28 01:27:44</t>
  </si>
  <si>
    <t>TCK-13564</t>
  </si>
  <si>
    <t>2024-02-14 04:54:57</t>
  </si>
  <si>
    <t>2024-02-14 11:36:22</t>
  </si>
  <si>
    <t>TCK-13565</t>
  </si>
  <si>
    <t>2024-08-23 07:00:24</t>
  </si>
  <si>
    <t>2024-08-24 23:03:16</t>
  </si>
  <si>
    <t>TCK-13566</t>
  </si>
  <si>
    <t>2024-09-19 09:43:28</t>
  </si>
  <si>
    <t>2024-09-19 22:56:58</t>
  </si>
  <si>
    <t>TCK-13567</t>
  </si>
  <si>
    <t>2024-01-21 13:53:28</t>
  </si>
  <si>
    <t>2024-01-21 16:30:10</t>
  </si>
  <si>
    <t>TCK-13568</t>
  </si>
  <si>
    <t>2024-04-01 17:54:21</t>
  </si>
  <si>
    <t>TCK-13569</t>
  </si>
  <si>
    <t>2024-06-02 20:10:53</t>
  </si>
  <si>
    <t>2024-06-03 14:49:33</t>
  </si>
  <si>
    <t>TCK-13570</t>
  </si>
  <si>
    <t>2024-05-04 09:43:19</t>
  </si>
  <si>
    <t>2024-05-04 13:37:06</t>
  </si>
  <si>
    <t>TCK-13571</t>
  </si>
  <si>
    <t>2024-08-10 04:26:15</t>
  </si>
  <si>
    <t>2024-08-10 09:04:29</t>
  </si>
  <si>
    <t>TCK-13572</t>
  </si>
  <si>
    <t>2024-02-27 01:16:23</t>
  </si>
  <si>
    <t>2024-02-27 08:47:20</t>
  </si>
  <si>
    <t>TCK-13573</t>
  </si>
  <si>
    <t>2024-06-26 10:41:25</t>
  </si>
  <si>
    <t>TCK-13574</t>
  </si>
  <si>
    <t>2024-06-01 22:30:41</t>
  </si>
  <si>
    <t>2024-06-03 01:58:49</t>
  </si>
  <si>
    <t>TCK-13575</t>
  </si>
  <si>
    <t>2024-03-03 14:44:07</t>
  </si>
  <si>
    <t>2024-03-03 17:13:48</t>
  </si>
  <si>
    <t>TCK-13576</t>
  </si>
  <si>
    <t>2024-07-16 16:25:37</t>
  </si>
  <si>
    <t>2024-07-16 21:40:08</t>
  </si>
  <si>
    <t>TCK-13577</t>
  </si>
  <si>
    <t>2024-12-19 09:32:44</t>
  </si>
  <si>
    <t>2024-12-20 11:37:51</t>
  </si>
  <si>
    <t>TCK-13578</t>
  </si>
  <si>
    <t>2024-03-08 00:57:51</t>
  </si>
  <si>
    <t>2024-03-08 10:28:56</t>
  </si>
  <si>
    <t>TCK-13579</t>
  </si>
  <si>
    <t>2024-07-02 14:45:52</t>
  </si>
  <si>
    <t>2024-07-02 18:45:36</t>
  </si>
  <si>
    <t>TCK-13580</t>
  </si>
  <si>
    <t>2024-01-28 06:25:59</t>
  </si>
  <si>
    <t>2024-01-28 13:06:12</t>
  </si>
  <si>
    <t>TCK-13581</t>
  </si>
  <si>
    <t>2024-01-27 01:14:15</t>
  </si>
  <si>
    <t>2024-01-27 02:10:11</t>
  </si>
  <si>
    <t>TCK-13582</t>
  </si>
  <si>
    <t>2024-12-10 00:48:54</t>
  </si>
  <si>
    <t>2024-12-10 03:37:44</t>
  </si>
  <si>
    <t>TCK-13583</t>
  </si>
  <si>
    <t>2024-12-06 23:17:24</t>
  </si>
  <si>
    <t>2024-12-07 09:47:25</t>
  </si>
  <si>
    <t>TCK-13584</t>
  </si>
  <si>
    <t>2024-01-16 04:51:16</t>
  </si>
  <si>
    <t>2024-01-16 07:30:07</t>
  </si>
  <si>
    <t>TCK-13585</t>
  </si>
  <si>
    <t>2024-11-14 12:11:43</t>
  </si>
  <si>
    <t>2024-11-15 10:35:59</t>
  </si>
  <si>
    <t>TCK-13586</t>
  </si>
  <si>
    <t>2024-02-25 07:18:09</t>
  </si>
  <si>
    <t>2024-02-25 21:07:26</t>
  </si>
  <si>
    <t>TCK-13587</t>
  </si>
  <si>
    <t>2024-12-15 19:13:42</t>
  </si>
  <si>
    <t>2024-12-16 02:42:08</t>
  </si>
  <si>
    <t>TCK-13588</t>
  </si>
  <si>
    <t>2024-04-09 01:40:50</t>
  </si>
  <si>
    <t>2024-04-09 09:27:51</t>
  </si>
  <si>
    <t>TCK-13589</t>
  </si>
  <si>
    <t>2024-01-13 05:28:12</t>
  </si>
  <si>
    <t>2024-01-13 21:15:00</t>
  </si>
  <si>
    <t>TCK-13590</t>
  </si>
  <si>
    <t>2024-04-26 13:53:56</t>
  </si>
  <si>
    <t>2024-04-26 15:21:03</t>
  </si>
  <si>
    <t>TCK-13591</t>
  </si>
  <si>
    <t>2024-05-03 18:35:14</t>
  </si>
  <si>
    <t>2024-05-04 03:24:53</t>
  </si>
  <si>
    <t>TCK-13592</t>
  </si>
  <si>
    <t>2024-03-17 02:51:18</t>
  </si>
  <si>
    <t>2024-03-17 04:45:39</t>
  </si>
  <si>
    <t>TCK-13593</t>
  </si>
  <si>
    <t>2024-08-02 23:17:58</t>
  </si>
  <si>
    <t>TCK-13594</t>
  </si>
  <si>
    <t>2024-09-08 23:04:02</t>
  </si>
  <si>
    <t>2024-09-11 16:05:10</t>
  </si>
  <si>
    <t>TCK-13595</t>
  </si>
  <si>
    <t>2024-06-06 11:04:11</t>
  </si>
  <si>
    <t>2024-06-06 12:27:39</t>
  </si>
  <si>
    <t>TCK-13596</t>
  </si>
  <si>
    <t>2024-10-28 19:34:47</t>
  </si>
  <si>
    <t>2024-10-28 23:24:28</t>
  </si>
  <si>
    <t>TCK-13597</t>
  </si>
  <si>
    <t>2024-07-28 09:20:48</t>
  </si>
  <si>
    <t>2024-07-28 16:44:18</t>
  </si>
  <si>
    <t>TCK-13598</t>
  </si>
  <si>
    <t>2024-12-19 03:36:34</t>
  </si>
  <si>
    <t>2024-12-20 03:37:18</t>
  </si>
  <si>
    <t>TCK-13599</t>
  </si>
  <si>
    <t>2024-06-17 00:21:17</t>
  </si>
  <si>
    <t>2024-06-17 06:16:19</t>
  </si>
  <si>
    <t>TCK-13600</t>
  </si>
  <si>
    <t>2024-05-07 21:37:31</t>
  </si>
  <si>
    <t>2024-05-09 08:28:21</t>
  </si>
  <si>
    <t>TCK-13601</t>
  </si>
  <si>
    <t>2024-06-07 07:19:34</t>
  </si>
  <si>
    <t>TCK-13602</t>
  </si>
  <si>
    <t>2024-02-04 14:40:25</t>
  </si>
  <si>
    <t>2024-02-04 20:17:32</t>
  </si>
  <si>
    <t>TCK-13603</t>
  </si>
  <si>
    <t>2024-06-30 23:36:52</t>
  </si>
  <si>
    <t>2024-07-01 03:48:17</t>
  </si>
  <si>
    <t>TCK-13604</t>
  </si>
  <si>
    <t>2024-08-01 17:38:21</t>
  </si>
  <si>
    <t>2024-08-02 20:39:47</t>
  </si>
  <si>
    <t>TCK-13605</t>
  </si>
  <si>
    <t>2024-12-07 09:21:58</t>
  </si>
  <si>
    <t>2024-12-07 12:44:33</t>
  </si>
  <si>
    <t>TCK-13606</t>
  </si>
  <si>
    <t>2024-10-29 00:47:15</t>
  </si>
  <si>
    <t>2024-10-29 18:27:12</t>
  </si>
  <si>
    <t>TCK-13607</t>
  </si>
  <si>
    <t>2024-07-16 11:03:23</t>
  </si>
  <si>
    <t>2024-07-17 09:37:10</t>
  </si>
  <si>
    <t>TCK-13608</t>
  </si>
  <si>
    <t>2024-05-31 22:56:23</t>
  </si>
  <si>
    <t>2024-06-02 05:48:46</t>
  </si>
  <si>
    <t>TCK-13609</t>
  </si>
  <si>
    <t>2024-11-30 10:34:38</t>
  </si>
  <si>
    <t>TCK-13610</t>
  </si>
  <si>
    <t>2024-05-07 20:32:06</t>
  </si>
  <si>
    <t>2024-05-08 09:58:17</t>
  </si>
  <si>
    <t>TCK-13611</t>
  </si>
  <si>
    <t>2024-05-17 08:00:57</t>
  </si>
  <si>
    <t>2024-05-22 18:59:05</t>
  </si>
  <si>
    <t>TCK-13612</t>
  </si>
  <si>
    <t>2024-07-18 09:07:17</t>
  </si>
  <si>
    <t>TCK-13613</t>
  </si>
  <si>
    <t>2024-06-30 20:35:31</t>
  </si>
  <si>
    <t>2024-07-01 09:07:09</t>
  </si>
  <si>
    <t>TCK-13614</t>
  </si>
  <si>
    <t>2024-08-14 12:17:27</t>
  </si>
  <si>
    <t>2024-08-15 19:18:27</t>
  </si>
  <si>
    <t>TCK-13615</t>
  </si>
  <si>
    <t>2024-11-07 00:16:09</t>
  </si>
  <si>
    <t>2024-11-07 11:19:36</t>
  </si>
  <si>
    <t>TCK-13616</t>
  </si>
  <si>
    <t>2024-05-30 02:03:55</t>
  </si>
  <si>
    <t>2024-05-30 21:24:15</t>
  </si>
  <si>
    <t>TCK-13617</t>
  </si>
  <si>
    <t>2024-02-12 17:07:13</t>
  </si>
  <si>
    <t>2024-02-13 06:02:03</t>
  </si>
  <si>
    <t>TCK-13618</t>
  </si>
  <si>
    <t>2024-07-19 14:54:09</t>
  </si>
  <si>
    <t>2024-07-19 20:29:23</t>
  </si>
  <si>
    <t>TCK-13619</t>
  </si>
  <si>
    <t>2024-06-16 00:22:17</t>
  </si>
  <si>
    <t>2024-06-18 00:49:31</t>
  </si>
  <si>
    <t>TCK-13620</t>
  </si>
  <si>
    <t>2024-11-06 00:00:37</t>
  </si>
  <si>
    <t>TCK-13621</t>
  </si>
  <si>
    <t>2024-03-26 00:39:39</t>
  </si>
  <si>
    <t>2024-03-30 16:06:09</t>
  </si>
  <si>
    <t>TCK-13622</t>
  </si>
  <si>
    <t>2024-09-24 00:35:06</t>
  </si>
  <si>
    <t>2024-09-25 16:28:05</t>
  </si>
  <si>
    <t>TCK-13623</t>
  </si>
  <si>
    <t>2024-01-11 06:03:20</t>
  </si>
  <si>
    <t>2024-01-11 11:29:14</t>
  </si>
  <si>
    <t>TCK-13624</t>
  </si>
  <si>
    <t>2024-10-03 16:35:12</t>
  </si>
  <si>
    <t>2024-10-04 01:55:26</t>
  </si>
  <si>
    <t>TCK-13625</t>
  </si>
  <si>
    <t>2024-05-09 16:04:14</t>
  </si>
  <si>
    <t>2024-05-10 23:44:25</t>
  </si>
  <si>
    <t>TCK-13626</t>
  </si>
  <si>
    <t>2024-11-07 11:22:39</t>
  </si>
  <si>
    <t>2024-11-07 20:31:48</t>
  </si>
  <si>
    <t>TCK-13627</t>
  </si>
  <si>
    <t>2024-08-30 07:25:24</t>
  </si>
  <si>
    <t>2024-08-30 15:17:14</t>
  </si>
  <si>
    <t>TCK-13628</t>
  </si>
  <si>
    <t>2024-04-23 17:48:58</t>
  </si>
  <si>
    <t>2024-04-24 03:43:34</t>
  </si>
  <si>
    <t>TCK-13629</t>
  </si>
  <si>
    <t>2024-01-17 14:33:05</t>
  </si>
  <si>
    <t>2024-01-18 03:17:22</t>
  </si>
  <si>
    <t>TCK-13630</t>
  </si>
  <si>
    <t>2024-04-13 10:20:59</t>
  </si>
  <si>
    <t>2024-04-13 19:41:05</t>
  </si>
  <si>
    <t>TCK-13631</t>
  </si>
  <si>
    <t>2024-08-02 07:48:25</t>
  </si>
  <si>
    <t>TCK-13632</t>
  </si>
  <si>
    <t>2024-02-27 14:33:57</t>
  </si>
  <si>
    <t>2024-02-28 01:13:56</t>
  </si>
  <si>
    <t>TCK-13633</t>
  </si>
  <si>
    <t>2024-03-06 21:53:19</t>
  </si>
  <si>
    <t>2024-03-07 03:45:58</t>
  </si>
  <si>
    <t>TCK-13634</t>
  </si>
  <si>
    <t>2024-04-20 08:23:33</t>
  </si>
  <si>
    <t>2024-04-20 18:20:05</t>
  </si>
  <si>
    <t>TCK-13635</t>
  </si>
  <si>
    <t>2024-05-12 10:02:56</t>
  </si>
  <si>
    <t>2024-05-12 22:38:35</t>
  </si>
  <si>
    <t>TCK-13636</t>
  </si>
  <si>
    <t>2024-07-28 15:13:29</t>
  </si>
  <si>
    <t>2024-07-29 11:07:27</t>
  </si>
  <si>
    <t>TCK-13637</t>
  </si>
  <si>
    <t>2024-10-08 04:28:41</t>
  </si>
  <si>
    <t>2024-10-08 22:00:41</t>
  </si>
  <si>
    <t>TCK-13638</t>
  </si>
  <si>
    <t>2024-08-07 23:26:56</t>
  </si>
  <si>
    <t>2024-08-08 05:35:49</t>
  </si>
  <si>
    <t>TCK-13639</t>
  </si>
  <si>
    <t>2024-02-28 10:59:40</t>
  </si>
  <si>
    <t>2024-02-28 14:01:24</t>
  </si>
  <si>
    <t>TCK-13640</t>
  </si>
  <si>
    <t>2024-09-07 04:07:48</t>
  </si>
  <si>
    <t>2024-09-07 11:12:26</t>
  </si>
  <si>
    <t>TCK-13641</t>
  </si>
  <si>
    <t>2024-03-22 10:01:05</t>
  </si>
  <si>
    <t>2024-03-23 08:39:03</t>
  </si>
  <si>
    <t>TCK-13642</t>
  </si>
  <si>
    <t>2024-10-10 02:31:53</t>
  </si>
  <si>
    <t>2024-10-10 05:05:27</t>
  </si>
  <si>
    <t>TCK-13643</t>
  </si>
  <si>
    <t>2024-10-14 23:11:46</t>
  </si>
  <si>
    <t>2024-10-15 18:56:17</t>
  </si>
  <si>
    <t>TCK-13644</t>
  </si>
  <si>
    <t>2024-07-05 21:30:10</t>
  </si>
  <si>
    <t>2024-07-06 02:41:05</t>
  </si>
  <si>
    <t>TCK-13645</t>
  </si>
  <si>
    <t>2024-03-31 21:20:06</t>
  </si>
  <si>
    <t>2024-04-01 05:34:15</t>
  </si>
  <si>
    <t>TCK-13646</t>
  </si>
  <si>
    <t>2024-07-10 00:24:36</t>
  </si>
  <si>
    <t>2024-07-11 04:31:05</t>
  </si>
  <si>
    <t>TCK-13647</t>
  </si>
  <si>
    <t>2024-03-02 23:55:53</t>
  </si>
  <si>
    <t>TCK-13648</t>
  </si>
  <si>
    <t>2024-03-06 08:23:02</t>
  </si>
  <si>
    <t>2024-03-06 18:14:37</t>
  </si>
  <si>
    <t>TCK-13649</t>
  </si>
  <si>
    <t>2024-02-23 16:14:02</t>
  </si>
  <si>
    <t>2024-02-24 08:45:47</t>
  </si>
  <si>
    <t>TCK-13650</t>
  </si>
  <si>
    <t>2024-06-15 00:04:42</t>
  </si>
  <si>
    <t>2024-06-16 14:11:39</t>
  </si>
  <si>
    <t>TCK-13651</t>
  </si>
  <si>
    <t>2024-05-20 20:06:02</t>
  </si>
  <si>
    <t>2024-05-21 16:59:08</t>
  </si>
  <si>
    <t>TCK-13652</t>
  </si>
  <si>
    <t>2024-06-20 19:15:13</t>
  </si>
  <si>
    <t>2024-06-20 21:12:40</t>
  </si>
  <si>
    <t>TCK-13653</t>
  </si>
  <si>
    <t>2024-06-17 20:57:09</t>
  </si>
  <si>
    <t>2024-06-18 02:20:49</t>
  </si>
  <si>
    <t>TCK-13654</t>
  </si>
  <si>
    <t>2024-06-04 05:52:57</t>
  </si>
  <si>
    <t>2024-06-04 16:27:50</t>
  </si>
  <si>
    <t>TCK-13655</t>
  </si>
  <si>
    <t>2024-10-02 01:51:13</t>
  </si>
  <si>
    <t>2024-10-02 21:54:49</t>
  </si>
  <si>
    <t>TCK-13656</t>
  </si>
  <si>
    <t>2024-07-19 16:57:53</t>
  </si>
  <si>
    <t>2024-07-19 22:11:46</t>
  </si>
  <si>
    <t>TCK-13657</t>
  </si>
  <si>
    <t>2024-09-25 07:01:15</t>
  </si>
  <si>
    <t>TCK-13658</t>
  </si>
  <si>
    <t>2024-12-04 04:28:35</t>
  </si>
  <si>
    <t>2024-12-05 01:11:12</t>
  </si>
  <si>
    <t>TCK-13659</t>
  </si>
  <si>
    <t>2024-10-22 20:44:58</t>
  </si>
  <si>
    <t>2024-10-25 05:24:38</t>
  </si>
  <si>
    <t>TCK-13660</t>
  </si>
  <si>
    <t>2024-11-21 22:57:58</t>
  </si>
  <si>
    <t>2024-11-22 15:15:24</t>
  </si>
  <si>
    <t>TCK-13661</t>
  </si>
  <si>
    <t>2024-07-22 04:11:02</t>
  </si>
  <si>
    <t>2024-07-22 21:21:07</t>
  </si>
  <si>
    <t>TCK-13662</t>
  </si>
  <si>
    <t>2024-12-05 01:42:13</t>
  </si>
  <si>
    <t>2024-12-06 21:13:29</t>
  </si>
  <si>
    <t>TCK-13663</t>
  </si>
  <si>
    <t>2024-04-21 02:33:15</t>
  </si>
  <si>
    <t>2024-04-21 04:59:03</t>
  </si>
  <si>
    <t>TCK-13664</t>
  </si>
  <si>
    <t>2024-02-29 05:37:54</t>
  </si>
  <si>
    <t>2024-03-01 11:07:05</t>
  </si>
  <si>
    <t>TCK-13665</t>
  </si>
  <si>
    <t>2024-08-09 22:50:33</t>
  </si>
  <si>
    <t>2024-08-11 09:42:30</t>
  </si>
  <si>
    <t>TCK-13666</t>
  </si>
  <si>
    <t>2024-03-09 22:07:45</t>
  </si>
  <si>
    <t>2024-03-10 00:51:42</t>
  </si>
  <si>
    <t>TCK-13667</t>
  </si>
  <si>
    <t>2024-03-30 12:25:58</t>
  </si>
  <si>
    <t>2024-03-31 03:28:58</t>
  </si>
  <si>
    <t>TCK-13668</t>
  </si>
  <si>
    <t>2024-05-21 21:08:50</t>
  </si>
  <si>
    <t>2024-05-23 04:37:42</t>
  </si>
  <si>
    <t>TCK-13669</t>
  </si>
  <si>
    <t>2024-05-09 22:53:38</t>
  </si>
  <si>
    <t>2024-05-10 10:30:01</t>
  </si>
  <si>
    <t>TCK-13670</t>
  </si>
  <si>
    <t>2024-11-19 05:21:50</t>
  </si>
  <si>
    <t>2024-11-19 22:54:02</t>
  </si>
  <si>
    <t>TCK-13671</t>
  </si>
  <si>
    <t>2024-03-05 17:01:40</t>
  </si>
  <si>
    <t>2024-03-05 18:55:35</t>
  </si>
  <si>
    <t>TCK-13672</t>
  </si>
  <si>
    <t>2024-11-04 10:30:47</t>
  </si>
  <si>
    <t>2024-11-07 09:43:53</t>
  </si>
  <si>
    <t>TCK-13673</t>
  </si>
  <si>
    <t>2024-12-03 14:03:30</t>
  </si>
  <si>
    <t>2024-12-04 04:51:36</t>
  </si>
  <si>
    <t>TCK-13674</t>
  </si>
  <si>
    <t>2024-02-15 01:51:22</t>
  </si>
  <si>
    <t>2024-02-15 06:03:34</t>
  </si>
  <si>
    <t>TCK-13675</t>
  </si>
  <si>
    <t>2024-04-27 07:11:17</t>
  </si>
  <si>
    <t>2024-04-27 20:07:07</t>
  </si>
  <si>
    <t>TCK-13676</t>
  </si>
  <si>
    <t>2024-04-16 07:20:03</t>
  </si>
  <si>
    <t>TCK-13677</t>
  </si>
  <si>
    <t>2024-11-05 20:14:26</t>
  </si>
  <si>
    <t>2024-11-05 22:46:40</t>
  </si>
  <si>
    <t>TCK-13678</t>
  </si>
  <si>
    <t>2024-08-07 17:35:54</t>
  </si>
  <si>
    <t>2024-08-08 02:28:19</t>
  </si>
  <si>
    <t>TCK-13679</t>
  </si>
  <si>
    <t>2024-10-13 09:57:32</t>
  </si>
  <si>
    <t>2024-10-14 02:39:43</t>
  </si>
  <si>
    <t>TCK-13680</t>
  </si>
  <si>
    <t>2024-09-26 11:03:21</t>
  </si>
  <si>
    <t>2024-09-30 22:31:21</t>
  </si>
  <si>
    <t>TCK-13681</t>
  </si>
  <si>
    <t>2024-10-09 15:09:41</t>
  </si>
  <si>
    <t>2024-10-10 05:59:21</t>
  </si>
  <si>
    <t>TCK-13682</t>
  </si>
  <si>
    <t>2024-03-22 18:01:47</t>
  </si>
  <si>
    <t>2024-03-23 02:22:42</t>
  </si>
  <si>
    <t>TCK-13683</t>
  </si>
  <si>
    <t>2024-01-16 19:44:17</t>
  </si>
  <si>
    <t>2024-01-18 15:13:39</t>
  </si>
  <si>
    <t>TCK-13684</t>
  </si>
  <si>
    <t>2024-02-22 11:21:13</t>
  </si>
  <si>
    <t>2024-02-22 19:35:11</t>
  </si>
  <si>
    <t>TCK-13685</t>
  </si>
  <si>
    <t>2024-07-07 09:43:13</t>
  </si>
  <si>
    <t>2024-07-12 20:02:31</t>
  </si>
  <si>
    <t>TCK-13686</t>
  </si>
  <si>
    <t>2024-07-02 01:11:41</t>
  </si>
  <si>
    <t>2024-07-02 18:01:04</t>
  </si>
  <si>
    <t>TCK-13687</t>
  </si>
  <si>
    <t>2024-12-29 15:15:45</t>
  </si>
  <si>
    <t>2025-01-01 09:37:36</t>
  </si>
  <si>
    <t>TCK-13688</t>
  </si>
  <si>
    <t>2024-06-16 05:50:26</t>
  </si>
  <si>
    <t>2024-06-16 08:57:45</t>
  </si>
  <si>
    <t>TCK-13689</t>
  </si>
  <si>
    <t>2024-12-14 17:09:56</t>
  </si>
  <si>
    <t>TCK-13690</t>
  </si>
  <si>
    <t>2024-07-20 16:29:25</t>
  </si>
  <si>
    <t>2024-07-21 00:52:17</t>
  </si>
  <si>
    <t>TCK-13691</t>
  </si>
  <si>
    <t>2024-04-10 12:34:13</t>
  </si>
  <si>
    <t>2024-04-11 18:16:25</t>
  </si>
  <si>
    <t>TCK-13692</t>
  </si>
  <si>
    <t>2024-10-07 17:56:05</t>
  </si>
  <si>
    <t>TCK-13693</t>
  </si>
  <si>
    <t>2024-12-22 10:29:34</t>
  </si>
  <si>
    <t>2024-12-22 13:08:55</t>
  </si>
  <si>
    <t>TCK-13694</t>
  </si>
  <si>
    <t>2024-09-28 12:34:24</t>
  </si>
  <si>
    <t>2024-09-29 08:06:55</t>
  </si>
  <si>
    <t>TCK-13695</t>
  </si>
  <si>
    <t>2024-07-24 09:11:05</t>
  </si>
  <si>
    <t>2024-07-24 12:21:40</t>
  </si>
  <si>
    <t>TCK-13696</t>
  </si>
  <si>
    <t>2024-12-10 20:14:56</t>
  </si>
  <si>
    <t>2024-12-10 23:46:56</t>
  </si>
  <si>
    <t>TCK-13697</t>
  </si>
  <si>
    <t>2024-01-25 10:50:12</t>
  </si>
  <si>
    <t>2024-01-26 12:47:23</t>
  </si>
  <si>
    <t>TCK-13698</t>
  </si>
  <si>
    <t>2024-03-31 11:00:29</t>
  </si>
  <si>
    <t>2024-03-31 13:29:41</t>
  </si>
  <si>
    <t>TCK-13699</t>
  </si>
  <si>
    <t>2024-06-20 05:01:42</t>
  </si>
  <si>
    <t>2024-06-20 16:26:09</t>
  </si>
  <si>
    <t>TCK-13700</t>
  </si>
  <si>
    <t>2024-12-05 01:32:18</t>
  </si>
  <si>
    <t>2024-12-06 04:31:02</t>
  </si>
  <si>
    <t>TCK-13701</t>
  </si>
  <si>
    <t>2024-07-30 19:23:41</t>
  </si>
  <si>
    <t>2024-07-31 16:18:52</t>
  </si>
  <si>
    <t>TCK-13702</t>
  </si>
  <si>
    <t>2024-09-28 00:05:11</t>
  </si>
  <si>
    <t>2024-09-28 19:18:53</t>
  </si>
  <si>
    <t>TCK-13703</t>
  </si>
  <si>
    <t>2024-11-19 23:40:16</t>
  </si>
  <si>
    <t>2024-11-20 04:01:20</t>
  </si>
  <si>
    <t>TCK-13704</t>
  </si>
  <si>
    <t>2024-01-30 20:37:05</t>
  </si>
  <si>
    <t>2024-01-31 03:06:41</t>
  </si>
  <si>
    <t>TCK-13705</t>
  </si>
  <si>
    <t>2024-11-20 07:07:53</t>
  </si>
  <si>
    <t>2024-11-20 19:05:45</t>
  </si>
  <si>
    <t>TCK-13706</t>
  </si>
  <si>
    <t>2024-03-02 00:59:58</t>
  </si>
  <si>
    <t>2024-03-02 07:36:47</t>
  </si>
  <si>
    <t>TCK-13707</t>
  </si>
  <si>
    <t>2024-03-26 20:35:33</t>
  </si>
  <si>
    <t>2024-03-29 07:31:33</t>
  </si>
  <si>
    <t>TCK-13708</t>
  </si>
  <si>
    <t>2024-12-02 05:12:30</t>
  </si>
  <si>
    <t>2024-12-02 21:45:59</t>
  </si>
  <si>
    <t>TCK-13709</t>
  </si>
  <si>
    <t>2024-02-19 13:38:17</t>
  </si>
  <si>
    <t>2024-02-20 03:05:10</t>
  </si>
  <si>
    <t>TCK-13710</t>
  </si>
  <si>
    <t>2024-05-11 13:40:53</t>
  </si>
  <si>
    <t>2024-05-11 16:08:06</t>
  </si>
  <si>
    <t>TCK-13711</t>
  </si>
  <si>
    <t>2024-12-20 19:37:06</t>
  </si>
  <si>
    <t>TCK-13712</t>
  </si>
  <si>
    <t>2024-10-16 00:48:01</t>
  </si>
  <si>
    <t>2024-10-16 03:21:12</t>
  </si>
  <si>
    <t>TCK-13713</t>
  </si>
  <si>
    <t>2024-10-20 07:26:44</t>
  </si>
  <si>
    <t>2024-10-21 16:45:52</t>
  </si>
  <si>
    <t>TCK-13714</t>
  </si>
  <si>
    <t>2024-02-20 10:58:32</t>
  </si>
  <si>
    <t>2024-02-20 18:03:27</t>
  </si>
  <si>
    <t>TCK-13715</t>
  </si>
  <si>
    <t>2024-05-12 05:49:53</t>
  </si>
  <si>
    <t>2024-05-12 17:39:43</t>
  </si>
  <si>
    <t>TCK-13716</t>
  </si>
  <si>
    <t>2024-09-17 05:20:25</t>
  </si>
  <si>
    <t>TCK-13717</t>
  </si>
  <si>
    <t>2024-01-10 03:04:06</t>
  </si>
  <si>
    <t>2024-01-10 16:37:58</t>
  </si>
  <si>
    <t>TCK-13718</t>
  </si>
  <si>
    <t>2024-12-19 01:25:37</t>
  </si>
  <si>
    <t>2024-12-22 00:38:03</t>
  </si>
  <si>
    <t>TCK-13719</t>
  </si>
  <si>
    <t>2024-04-24 04:33:29</t>
  </si>
  <si>
    <t>2024-04-24 10:43:16</t>
  </si>
  <si>
    <t>TCK-13720</t>
  </si>
  <si>
    <t>2024-10-31 22:35:54</t>
  </si>
  <si>
    <t>2024-11-06 21:20:03</t>
  </si>
  <si>
    <t>TCK-13721</t>
  </si>
  <si>
    <t>2024-08-24 17:42:06</t>
  </si>
  <si>
    <t>2024-08-25 03:43:17</t>
  </si>
  <si>
    <t>TCK-13722</t>
  </si>
  <si>
    <t>2024-10-17 02:15:25</t>
  </si>
  <si>
    <t>2024-11-21 21:15:25</t>
  </si>
  <si>
    <t>TCK-13723</t>
  </si>
  <si>
    <t>2024-05-08 14:34:03</t>
  </si>
  <si>
    <t>2024-05-11 09:28:26</t>
  </si>
  <si>
    <t>TCK-13724</t>
  </si>
  <si>
    <t>2024-08-27 03:50:37</t>
  </si>
  <si>
    <t>2024-08-27 18:49:22</t>
  </si>
  <si>
    <t>TCK-13725</t>
  </si>
  <si>
    <t>2024-06-09 13:31:41</t>
  </si>
  <si>
    <t>2024-06-09 16:22:14</t>
  </si>
  <si>
    <t>TCK-13726</t>
  </si>
  <si>
    <t>2024-04-05 10:59:50</t>
  </si>
  <si>
    <t>2024-04-05 15:15:21</t>
  </si>
  <si>
    <t>TCK-13727</t>
  </si>
  <si>
    <t>2024-02-26 04:08:01</t>
  </si>
  <si>
    <t>2024-02-27 00:38:27</t>
  </si>
  <si>
    <t>TCK-13728</t>
  </si>
  <si>
    <t>2024-01-30 17:32:29</t>
  </si>
  <si>
    <t>2024-01-30 18:53:38</t>
  </si>
  <si>
    <t>TCK-13729</t>
  </si>
  <si>
    <t>2024-05-06 23:15:41</t>
  </si>
  <si>
    <t>2024-05-07 03:06:26</t>
  </si>
  <si>
    <t>TCK-13730</t>
  </si>
  <si>
    <t>2024-05-28 06:54:45</t>
  </si>
  <si>
    <t>2024-05-30 15:21:53</t>
  </si>
  <si>
    <t>TCK-13731</t>
  </si>
  <si>
    <t>2024-07-11 10:21:17</t>
  </si>
  <si>
    <t>TCK-13732</t>
  </si>
  <si>
    <t>2024-01-11 04:54:48</t>
  </si>
  <si>
    <t>2024-01-12 14:41:03</t>
  </si>
  <si>
    <t>TCK-13733</t>
  </si>
  <si>
    <t>2024-02-14 21:23:18</t>
  </si>
  <si>
    <t>2024-02-15 04:35:39</t>
  </si>
  <si>
    <t>TCK-13734</t>
  </si>
  <si>
    <t>2024-02-21 04:50:08</t>
  </si>
  <si>
    <t>2024-02-21 16:28:45</t>
  </si>
  <si>
    <t>TCK-13735</t>
  </si>
  <si>
    <t>2024-07-25 00:10:09</t>
  </si>
  <si>
    <t>2024-07-25 03:56:16</t>
  </si>
  <si>
    <t>TCK-13736</t>
  </si>
  <si>
    <t>2024-03-13 04:04:58</t>
  </si>
  <si>
    <t>2024-03-13 04:59:20</t>
  </si>
  <si>
    <t>TCK-13737</t>
  </si>
  <si>
    <t>2024-01-17 00:11:03</t>
  </si>
  <si>
    <t>2024-01-17 07:55:49</t>
  </si>
  <si>
    <t>TCK-13738</t>
  </si>
  <si>
    <t>2024-07-18 12:29:21</t>
  </si>
  <si>
    <t>2024-07-19 04:49:35</t>
  </si>
  <si>
    <t>TCK-13739</t>
  </si>
  <si>
    <t>2024-10-08 07:27:58</t>
  </si>
  <si>
    <t>2024-10-09 12:02:32</t>
  </si>
  <si>
    <t>TCK-13740</t>
  </si>
  <si>
    <t>2024-06-18 20:32:58</t>
  </si>
  <si>
    <t>2024-06-19 02:13:19</t>
  </si>
  <si>
    <t>TCK-13741</t>
  </si>
  <si>
    <t>2024-12-16 07:35:23</t>
  </si>
  <si>
    <t>2024-12-16 09:55:17</t>
  </si>
  <si>
    <t>TCK-13742</t>
  </si>
  <si>
    <t>2024-04-19 23:20:56</t>
  </si>
  <si>
    <t>2024-04-22 23:54:03</t>
  </si>
  <si>
    <t>TCK-13743</t>
  </si>
  <si>
    <t>2024-04-27 19:22:50</t>
  </si>
  <si>
    <t>TCK-13744</t>
  </si>
  <si>
    <t>2024-10-30 22:14:15</t>
  </si>
  <si>
    <t>2024-10-31 02:15:13</t>
  </si>
  <si>
    <t>TCK-13745</t>
  </si>
  <si>
    <t>2024-08-21 16:06:35</t>
  </si>
  <si>
    <t>2024-08-21 22:17:48</t>
  </si>
  <si>
    <t>TCK-13746</t>
  </si>
  <si>
    <t>2024-11-14 13:14:10</t>
  </si>
  <si>
    <t>2024-11-14 20:02:22</t>
  </si>
  <si>
    <t>TCK-13747</t>
  </si>
  <si>
    <t>2024-07-14 11:38:48</t>
  </si>
  <si>
    <t>2024-07-14 12:09:48</t>
  </si>
  <si>
    <t>TCK-13748</t>
  </si>
  <si>
    <t>2024-08-22 06:13:58</t>
  </si>
  <si>
    <t>2024-08-22 08:02:02</t>
  </si>
  <si>
    <t>TCK-13749</t>
  </si>
  <si>
    <t>2024-03-02 14:38:48</t>
  </si>
  <si>
    <t>2024-03-02 18:56:09</t>
  </si>
  <si>
    <t>TCK-13750</t>
  </si>
  <si>
    <t>2024-03-25 14:11:48</t>
  </si>
  <si>
    <t>2024-03-25 18:00:14</t>
  </si>
  <si>
    <t>TCK-13751</t>
  </si>
  <si>
    <t>2024-10-22 15:12:42</t>
  </si>
  <si>
    <t>2024-10-23 12:29:50</t>
  </si>
  <si>
    <t>TCK-13752</t>
  </si>
  <si>
    <t>2024-01-28 05:02:04</t>
  </si>
  <si>
    <t>2024-01-29 11:03:51</t>
  </si>
  <si>
    <t>TCK-13753</t>
  </si>
  <si>
    <t>2024-11-04 09:00:21</t>
  </si>
  <si>
    <t>2024-11-05 03:21:10</t>
  </si>
  <si>
    <t>TCK-13754</t>
  </si>
  <si>
    <t>2024-12-10 22:44:26</t>
  </si>
  <si>
    <t>2024-12-11 23:39:31</t>
  </si>
  <si>
    <t>TCK-13755</t>
  </si>
  <si>
    <t>2024-07-20 23:39:17</t>
  </si>
  <si>
    <t>2024-07-21 16:24:11</t>
  </si>
  <si>
    <t>TCK-13756</t>
  </si>
  <si>
    <t>2024-11-30 04:38:34</t>
  </si>
  <si>
    <t>2024-11-30 15:05:16</t>
  </si>
  <si>
    <t>TCK-13757</t>
  </si>
  <si>
    <t>2024-09-14 11:33:51</t>
  </si>
  <si>
    <t>2024-09-16 23:35:59</t>
  </si>
  <si>
    <t>TCK-13758</t>
  </si>
  <si>
    <t>2024-05-02 20:16:28</t>
  </si>
  <si>
    <t>TCK-13759</t>
  </si>
  <si>
    <t>2024-10-22 08:50:38</t>
  </si>
  <si>
    <t>2024-10-24 13:22:10</t>
  </si>
  <si>
    <t>TCK-13760</t>
  </si>
  <si>
    <t>2024-08-24 06:38:27</t>
  </si>
  <si>
    <t>2024-08-24 12:18:27</t>
  </si>
  <si>
    <t>TCK-13761</t>
  </si>
  <si>
    <t>2024-04-06 13:50:12</t>
  </si>
  <si>
    <t>2024-04-06 18:11:32</t>
  </si>
  <si>
    <t>TCK-13762</t>
  </si>
  <si>
    <t>2024-01-11 14:19:36</t>
  </si>
  <si>
    <t>2024-01-11 20:45:49</t>
  </si>
  <si>
    <t>TCK-13763</t>
  </si>
  <si>
    <t>2024-04-26 03:50:24</t>
  </si>
  <si>
    <t>2024-04-26 06:38:00</t>
  </si>
  <si>
    <t>TCK-13764</t>
  </si>
  <si>
    <t>2024-07-29 17:06:56</t>
  </si>
  <si>
    <t>2024-07-30 07:45:03</t>
  </si>
  <si>
    <t>TCK-13765</t>
  </si>
  <si>
    <t>2024-08-12 17:12:18</t>
  </si>
  <si>
    <t>2024-08-13 03:13:52</t>
  </si>
  <si>
    <t>TCK-13766</t>
  </si>
  <si>
    <t>2024-10-15 18:24:52</t>
  </si>
  <si>
    <t>2024-10-15 23:07:55</t>
  </si>
  <si>
    <t>TCK-13767</t>
  </si>
  <si>
    <t>2024-01-10 15:00:31</t>
  </si>
  <si>
    <t>2024-01-11 16:01:46</t>
  </si>
  <si>
    <t>TCK-13768</t>
  </si>
  <si>
    <t>2024-03-21 09:50:47</t>
  </si>
  <si>
    <t>2024-03-22 07:41:04</t>
  </si>
  <si>
    <t>TCK-13769</t>
  </si>
  <si>
    <t>2024-01-13 23:18:33</t>
  </si>
  <si>
    <t>2024-01-14 02:58:21</t>
  </si>
  <si>
    <t>TCK-13770</t>
  </si>
  <si>
    <t>2024-07-20 05:13:07</t>
  </si>
  <si>
    <t>2024-07-20 09:25:14</t>
  </si>
  <si>
    <t>TCK-13771</t>
  </si>
  <si>
    <t>2024-03-29 20:58:25</t>
  </si>
  <si>
    <t>2024-03-29 22:36:07</t>
  </si>
  <si>
    <t>TCK-13772</t>
  </si>
  <si>
    <t>2024-04-27 14:00:07</t>
  </si>
  <si>
    <t>2024-04-27 15:00:28</t>
  </si>
  <si>
    <t>TCK-13773</t>
  </si>
  <si>
    <t>2024-05-01 08:22:37</t>
  </si>
  <si>
    <t>2024-05-01 12:51:26</t>
  </si>
  <si>
    <t>TCK-13774</t>
  </si>
  <si>
    <t>2024-01-13 09:23:07</t>
  </si>
  <si>
    <t>2024-01-14 20:43:28</t>
  </si>
  <si>
    <t>TCK-13775</t>
  </si>
  <si>
    <t>2024-05-09 14:21:50</t>
  </si>
  <si>
    <t>TCK-13776</t>
  </si>
  <si>
    <t>2024-12-19 15:38:31</t>
  </si>
  <si>
    <t>2025-01-23 20:38:31</t>
  </si>
  <si>
    <t>TCK-13777</t>
  </si>
  <si>
    <t>2024-11-24 17:48:11</t>
  </si>
  <si>
    <t>2024-11-26 10:23:46</t>
  </si>
  <si>
    <t>TCK-13778</t>
  </si>
  <si>
    <t>2024-09-02 17:34:46</t>
  </si>
  <si>
    <t>2024-09-03 04:37:43</t>
  </si>
  <si>
    <t>TCK-13779</t>
  </si>
  <si>
    <t>2024-01-04 00:44:05</t>
  </si>
  <si>
    <t>TCK-13780</t>
  </si>
  <si>
    <t>2024-02-29 10:29:33</t>
  </si>
  <si>
    <t>2024-03-01 07:23:50</t>
  </si>
  <si>
    <t>TCK-13781</t>
  </si>
  <si>
    <t>2024-09-25 11:36:19</t>
  </si>
  <si>
    <t>2024-09-25 14:43:04</t>
  </si>
  <si>
    <t>TCK-13782</t>
  </si>
  <si>
    <t>2024-05-23 02:45:03</t>
  </si>
  <si>
    <t>2024-05-23 05:35:20</t>
  </si>
  <si>
    <t>TCK-13783</t>
  </si>
  <si>
    <t>2024-03-16 13:12:58</t>
  </si>
  <si>
    <t>2024-03-16 20:10:58</t>
  </si>
  <si>
    <t>TCK-13784</t>
  </si>
  <si>
    <t>2024-02-14 09:54:54</t>
  </si>
  <si>
    <t>2024-02-14 12:27:05</t>
  </si>
  <si>
    <t>TCK-13785</t>
  </si>
  <si>
    <t>2024-03-14 15:55:28</t>
  </si>
  <si>
    <t>2024-03-16 05:47:29</t>
  </si>
  <si>
    <t>TCK-13786</t>
  </si>
  <si>
    <t>2024-05-08 18:31:47</t>
  </si>
  <si>
    <t>2024-05-09 04:10:47</t>
  </si>
  <si>
    <t>TCK-13787</t>
  </si>
  <si>
    <t>2024-10-18 03:45:21</t>
  </si>
  <si>
    <t>2024-10-20 16:07:46</t>
  </si>
  <si>
    <t>TCK-13788</t>
  </si>
  <si>
    <t>2024-09-27 08:47:09</t>
  </si>
  <si>
    <t>2024-09-27 11:20:38</t>
  </si>
  <si>
    <t>TCK-13789</t>
  </si>
  <si>
    <t>2024-06-10 11:12:15</t>
  </si>
  <si>
    <t>TCK-13790</t>
  </si>
  <si>
    <t>2024-03-20 19:52:59</t>
  </si>
  <si>
    <t>2024-03-20 22:16:33</t>
  </si>
  <si>
    <t>TCK-13791</t>
  </si>
  <si>
    <t>2024-11-13 06:44:24</t>
  </si>
  <si>
    <t>2024-11-15 08:00:47</t>
  </si>
  <si>
    <t>TCK-13792</t>
  </si>
  <si>
    <t>2024-02-05 17:04:47</t>
  </si>
  <si>
    <t>2024-02-06 06:49:33</t>
  </si>
  <si>
    <t>TCK-13793</t>
  </si>
  <si>
    <t>2024-02-19 01:16:41</t>
  </si>
  <si>
    <t>2024-02-19 18:44:31</t>
  </si>
  <si>
    <t>TCK-13794</t>
  </si>
  <si>
    <t>2024-04-15 10:01:33</t>
  </si>
  <si>
    <t>2024-04-17 04:24:09</t>
  </si>
  <si>
    <t>TCK-13795</t>
  </si>
  <si>
    <t>2024-08-31 06:12:24</t>
  </si>
  <si>
    <t>2024-09-01 00:39:54</t>
  </si>
  <si>
    <t>TCK-13796</t>
  </si>
  <si>
    <t>2024-12-12 17:27:39</t>
  </si>
  <si>
    <t>2024-12-13 10:24:17</t>
  </si>
  <si>
    <t>TCK-13797</t>
  </si>
  <si>
    <t>2024-09-13 01:03:30</t>
  </si>
  <si>
    <t>2024-09-14 21:39:34</t>
  </si>
  <si>
    <t>TCK-13798</t>
  </si>
  <si>
    <t>2024-04-16 17:06:31</t>
  </si>
  <si>
    <t>2024-04-17 06:56:24</t>
  </si>
  <si>
    <t>TCK-13799</t>
  </si>
  <si>
    <t>2024-10-10 10:17:24</t>
  </si>
  <si>
    <t>2024-10-11 15:20:46</t>
  </si>
  <si>
    <t>TCK-13800</t>
  </si>
  <si>
    <t>2024-10-07 13:10:26</t>
  </si>
  <si>
    <t>2024-10-07 21:04:38</t>
  </si>
  <si>
    <t>TCK-13801</t>
  </si>
  <si>
    <t>2024-04-10 10:49:28</t>
  </si>
  <si>
    <t>TCK-13802</t>
  </si>
  <si>
    <t>2024-11-28 20:54:32</t>
  </si>
  <si>
    <t>2024-11-29 14:13:50</t>
  </si>
  <si>
    <t>TCK-13803</t>
  </si>
  <si>
    <t>2024-12-22 23:17:40</t>
  </si>
  <si>
    <t>2024-12-23 21:29:01</t>
  </si>
  <si>
    <t>TCK-13804</t>
  </si>
  <si>
    <t>2024-07-12 08:45:51</t>
  </si>
  <si>
    <t>2024-07-16 09:33:00</t>
  </si>
  <si>
    <t>TCK-13805</t>
  </si>
  <si>
    <t>2024-07-01 09:07:27</t>
  </si>
  <si>
    <t>2024-07-01 13:27:29</t>
  </si>
  <si>
    <t>TCK-13806</t>
  </si>
  <si>
    <t>2024-09-09 16:35:17</t>
  </si>
  <si>
    <t>TCK-13807</t>
  </si>
  <si>
    <t>2024-10-20 12:39:35</t>
  </si>
  <si>
    <t>2024-10-20 16:15:39</t>
  </si>
  <si>
    <t>TCK-13808</t>
  </si>
  <si>
    <t>2024-07-29 11:48:52</t>
  </si>
  <si>
    <t>TCK-13809</t>
  </si>
  <si>
    <t>2024-11-18 06:19:30</t>
  </si>
  <si>
    <t>2024-11-19 01:33:38</t>
  </si>
  <si>
    <t>TCK-13810</t>
  </si>
  <si>
    <t>2024-02-12 10:31:22</t>
  </si>
  <si>
    <t>2024-02-12 13:07:08</t>
  </si>
  <si>
    <t>TCK-13811</t>
  </si>
  <si>
    <t>2024-08-18 21:56:26</t>
  </si>
  <si>
    <t>2024-08-20 00:16:18</t>
  </si>
  <si>
    <t>TCK-13812</t>
  </si>
  <si>
    <t>2024-10-12 01:41:15</t>
  </si>
  <si>
    <t>2024-10-12 20:25:07</t>
  </si>
  <si>
    <t>TCK-13813</t>
  </si>
  <si>
    <t>2024-10-01 15:12:13</t>
  </si>
  <si>
    <t>2024-10-01 16:07:44</t>
  </si>
  <si>
    <t>TCK-13814</t>
  </si>
  <si>
    <t>2024-06-18 08:18:08</t>
  </si>
  <si>
    <t>TCK-13815</t>
  </si>
  <si>
    <t>2024-03-09 16:27:40</t>
  </si>
  <si>
    <t>2024-03-10 01:48:12</t>
  </si>
  <si>
    <t>TCK-13816</t>
  </si>
  <si>
    <t>2024-02-22 01:48:33</t>
  </si>
  <si>
    <t>2024-02-22 14:27:10</t>
  </si>
  <si>
    <t>TCK-13817</t>
  </si>
  <si>
    <t>2024-08-15 21:43:19</t>
  </si>
  <si>
    <t>2024-08-15 23:50:23</t>
  </si>
  <si>
    <t>TCK-13818</t>
  </si>
  <si>
    <t>2024-02-21 17:50:31</t>
  </si>
  <si>
    <t>2024-02-23 05:36:28</t>
  </si>
  <si>
    <t>TCK-13819</t>
  </si>
  <si>
    <t>2024-11-24 13:25:51</t>
  </si>
  <si>
    <t>2024-11-27 11:12:19</t>
  </si>
  <si>
    <t>TCK-13820</t>
  </si>
  <si>
    <t>2024-01-05 06:13:25</t>
  </si>
  <si>
    <t>2024-01-07 19:43:11</t>
  </si>
  <si>
    <t>TCK-13821</t>
  </si>
  <si>
    <t>2024-05-28 08:05:03</t>
  </si>
  <si>
    <t>2024-05-28 12:02:45</t>
  </si>
  <si>
    <t>TCK-13822</t>
  </si>
  <si>
    <t>2024-05-23 06:54:11</t>
  </si>
  <si>
    <t>2024-05-23 11:44:21</t>
  </si>
  <si>
    <t>TCK-13823</t>
  </si>
  <si>
    <t>2024-10-07 00:01:20</t>
  </si>
  <si>
    <t>2024-10-07 14:40:19</t>
  </si>
  <si>
    <t>TCK-13824</t>
  </si>
  <si>
    <t>2024-02-23 03:38:23</t>
  </si>
  <si>
    <t>2024-02-25 13:27:59</t>
  </si>
  <si>
    <t>TCK-13825</t>
  </si>
  <si>
    <t>2024-10-26 16:10:22</t>
  </si>
  <si>
    <t>2024-10-27 09:53:29</t>
  </si>
  <si>
    <t>TCK-13826</t>
  </si>
  <si>
    <t>2024-01-15 01:26:23</t>
  </si>
  <si>
    <t>2024-01-15 09:56:50</t>
  </si>
  <si>
    <t>TCK-13827</t>
  </si>
  <si>
    <t>2024-05-01 13:51:34</t>
  </si>
  <si>
    <t>2024-05-01 16:00:09</t>
  </si>
  <si>
    <t>TCK-13828</t>
  </si>
  <si>
    <t>2024-10-23 03:12:58</t>
  </si>
  <si>
    <t>2024-10-23 06:43:36</t>
  </si>
  <si>
    <t>TCK-13829</t>
  </si>
  <si>
    <t>2024-02-02 08:51:28</t>
  </si>
  <si>
    <t>TCK-13830</t>
  </si>
  <si>
    <t>2024-04-14 22:49:26</t>
  </si>
  <si>
    <t>2024-04-15 08:48:22</t>
  </si>
  <si>
    <t>TCK-13831</t>
  </si>
  <si>
    <t>2024-09-20 11:03:08</t>
  </si>
  <si>
    <t>2024-09-20 18:29:50</t>
  </si>
  <si>
    <t>TCK-13832</t>
  </si>
  <si>
    <t>2024-04-25 04:59:05</t>
  </si>
  <si>
    <t>2024-04-25 09:20:24</t>
  </si>
  <si>
    <t>TCK-13833</t>
  </si>
  <si>
    <t>2024-09-27 21:58:41</t>
  </si>
  <si>
    <t>2024-09-28 06:58:17</t>
  </si>
  <si>
    <t>TCK-13834</t>
  </si>
  <si>
    <t>2024-09-01 16:55:56</t>
  </si>
  <si>
    <t>2024-09-02 06:03:45</t>
  </si>
  <si>
    <t>TCK-13835</t>
  </si>
  <si>
    <t>2024-02-21 21:39:35</t>
  </si>
  <si>
    <t>2024-02-22 18:37:38</t>
  </si>
  <si>
    <t>TCK-13836</t>
  </si>
  <si>
    <t>2024-12-22 04:26:28</t>
  </si>
  <si>
    <t>2024-12-22 07:18:26</t>
  </si>
  <si>
    <t>TCK-13837</t>
  </si>
  <si>
    <t>2024-08-18 23:12:12</t>
  </si>
  <si>
    <t>2024-08-19 15:29:39</t>
  </si>
  <si>
    <t>TCK-13838</t>
  </si>
  <si>
    <t>2024-02-19 22:52:21</t>
  </si>
  <si>
    <t>2024-02-20 04:14:09</t>
  </si>
  <si>
    <t>TCK-13839</t>
  </si>
  <si>
    <t>2024-09-08 07:19:19</t>
  </si>
  <si>
    <t>2024-09-10 23:18:41</t>
  </si>
  <si>
    <t>TCK-13840</t>
  </si>
  <si>
    <t>2024-07-25 21:35:43</t>
  </si>
  <si>
    <t>2024-07-26 14:54:06</t>
  </si>
  <si>
    <t>TCK-13841</t>
  </si>
  <si>
    <t>2024-05-10 09:57:06</t>
  </si>
  <si>
    <t>2024-05-10 13:08:54</t>
  </si>
  <si>
    <t>TCK-13842</t>
  </si>
  <si>
    <t>2024-04-04 07:43:43</t>
  </si>
  <si>
    <t>2024-04-05 12:52:07</t>
  </si>
  <si>
    <t>TCK-13843</t>
  </si>
  <si>
    <t>2024-05-11 03:21:39</t>
  </si>
  <si>
    <t>2024-05-12 14:31:12</t>
  </si>
  <si>
    <t>TCK-13844</t>
  </si>
  <si>
    <t>2024-06-18 10:57:55</t>
  </si>
  <si>
    <t>2024-06-18 17:47:46</t>
  </si>
  <si>
    <t>TCK-13845</t>
  </si>
  <si>
    <t>2024-10-14 01:44:31</t>
  </si>
  <si>
    <t>2024-10-14 14:51:58</t>
  </si>
  <si>
    <t>TCK-13846</t>
  </si>
  <si>
    <t>2024-03-27 08:02:19</t>
  </si>
  <si>
    <t>2024-03-27 14:37:05</t>
  </si>
  <si>
    <t>TCK-13847</t>
  </si>
  <si>
    <t>2024-03-13 12:35:50</t>
  </si>
  <si>
    <t>2024-03-13 17:27:58</t>
  </si>
  <si>
    <t>TCK-13848</t>
  </si>
  <si>
    <t>2024-09-16 13:50:49</t>
  </si>
  <si>
    <t>2024-09-17 03:26:26</t>
  </si>
  <si>
    <t>TCK-13849</t>
  </si>
  <si>
    <t>2024-10-06 22:51:46</t>
  </si>
  <si>
    <t>TCK-13850</t>
  </si>
  <si>
    <t>2024-10-17 00:08:58</t>
  </si>
  <si>
    <t>2024-10-17 02:17:37</t>
  </si>
  <si>
    <t>TCK-13851</t>
  </si>
  <si>
    <t>2024-05-19 03:14:45</t>
  </si>
  <si>
    <t>2024-05-19 06:50:05</t>
  </si>
  <si>
    <t>TCK-13852</t>
  </si>
  <si>
    <t>2024-09-17 21:11:50</t>
  </si>
  <si>
    <t>2024-09-18 06:54:49</t>
  </si>
  <si>
    <t>TCK-13853</t>
  </si>
  <si>
    <t>2024-09-05 07:15:25</t>
  </si>
  <si>
    <t>2024-09-06 17:15:37</t>
  </si>
  <si>
    <t>TCK-13854</t>
  </si>
  <si>
    <t>2024-08-11 12:06:40</t>
  </si>
  <si>
    <t>2024-08-15 17:00:50</t>
  </si>
  <si>
    <t>TCK-13855</t>
  </si>
  <si>
    <t>2024-12-08 22:32:32</t>
  </si>
  <si>
    <t>2024-12-09 01:11:00</t>
  </si>
  <si>
    <t>TCK-13856</t>
  </si>
  <si>
    <t>2024-05-14 05:29:38</t>
  </si>
  <si>
    <t>2024-05-19 05:10:18</t>
  </si>
  <si>
    <t>TCK-13857</t>
  </si>
  <si>
    <t>2024-08-18 19:01:43</t>
  </si>
  <si>
    <t>TCK-13858</t>
  </si>
  <si>
    <t>2024-04-16 12:38:07</t>
  </si>
  <si>
    <t>2024-04-16 17:38:39</t>
  </si>
  <si>
    <t>TCK-13859</t>
  </si>
  <si>
    <t>2024-06-02 18:19:55</t>
  </si>
  <si>
    <t>2024-06-03 12:47:33</t>
  </si>
  <si>
    <t>TCK-13860</t>
  </si>
  <si>
    <t>2024-05-31 18:27:10</t>
  </si>
  <si>
    <t>TCK-13861</t>
  </si>
  <si>
    <t>2024-04-26 03:08:53</t>
  </si>
  <si>
    <t>2024-04-27 01:52:54</t>
  </si>
  <si>
    <t>TCK-13862</t>
  </si>
  <si>
    <t>2024-02-09 23:51:17</t>
  </si>
  <si>
    <t>2024-02-10 13:23:28</t>
  </si>
  <si>
    <t>TCK-13863</t>
  </si>
  <si>
    <t>2024-12-03 08:18:32</t>
  </si>
  <si>
    <t>2024-12-03 14:33:54</t>
  </si>
  <si>
    <t>TCK-13864</t>
  </si>
  <si>
    <t>2024-06-05 14:16:41</t>
  </si>
  <si>
    <t>TCK-13865</t>
  </si>
  <si>
    <t>2024-02-17 22:01:19</t>
  </si>
  <si>
    <t>2024-02-18 07:19:03</t>
  </si>
  <si>
    <t>TCK-13866</t>
  </si>
  <si>
    <t>2024-04-02 15:53:42</t>
  </si>
  <si>
    <t>2024-04-03 10:23:00</t>
  </si>
  <si>
    <t>TCK-13867</t>
  </si>
  <si>
    <t>2024-10-03 10:35:59</t>
  </si>
  <si>
    <t>2024-10-04 03:44:59</t>
  </si>
  <si>
    <t>TCK-13868</t>
  </si>
  <si>
    <t>2024-08-22 04:42:15</t>
  </si>
  <si>
    <t>2024-08-22 08:13:53</t>
  </si>
  <si>
    <t>TCK-13869</t>
  </si>
  <si>
    <t>2024-03-28 02:28:03</t>
  </si>
  <si>
    <t>2024-03-28 22:18:03</t>
  </si>
  <si>
    <t>TCK-13870</t>
  </si>
  <si>
    <t>2024-07-20 18:14:43</t>
  </si>
  <si>
    <t>2024-07-20 19:50:53</t>
  </si>
  <si>
    <t>TCK-13871</t>
  </si>
  <si>
    <t>2024-07-29 19:35:37</t>
  </si>
  <si>
    <t>2024-07-29 20:18:06</t>
  </si>
  <si>
    <t>TCK-13872</t>
  </si>
  <si>
    <t>2024-08-09 00:02:54</t>
  </si>
  <si>
    <t>2024-08-09 20:20:27</t>
  </si>
  <si>
    <t>TCK-13873</t>
  </si>
  <si>
    <t>2024-08-11 20:51:28</t>
  </si>
  <si>
    <t>2024-08-11 23:04:02</t>
  </si>
  <si>
    <t>TCK-13874</t>
  </si>
  <si>
    <t>2024-06-17 12:46:47</t>
  </si>
  <si>
    <t>2024-06-18 03:37:48</t>
  </si>
  <si>
    <t>TCK-13875</t>
  </si>
  <si>
    <t>2024-11-26 17:00:12</t>
  </si>
  <si>
    <t>TCK-13876</t>
  </si>
  <si>
    <t>2024-11-25 11:01:02</t>
  </si>
  <si>
    <t>2024-11-25 22:05:17</t>
  </si>
  <si>
    <t>TCK-13877</t>
  </si>
  <si>
    <t>2024-03-21 22:22:22</t>
  </si>
  <si>
    <t>2024-03-22 08:40:16</t>
  </si>
  <si>
    <t>TCK-13878</t>
  </si>
  <si>
    <t>2024-11-30 04:05:53</t>
  </si>
  <si>
    <t>2024-12-01 01:35:05</t>
  </si>
  <si>
    <t>TCK-13879</t>
  </si>
  <si>
    <t>2024-05-21 09:24:48</t>
  </si>
  <si>
    <t>2024-05-21 19:44:31</t>
  </si>
  <si>
    <t>TCK-13880</t>
  </si>
  <si>
    <t>2024-09-25 11:58:54</t>
  </si>
  <si>
    <t>2024-09-26 22:11:27</t>
  </si>
  <si>
    <t>TCK-13881</t>
  </si>
  <si>
    <t>2024-12-22 09:39:42</t>
  </si>
  <si>
    <t>2024-12-22 10:22:44</t>
  </si>
  <si>
    <t>TCK-13882</t>
  </si>
  <si>
    <t>2024-08-03 15:04:40</t>
  </si>
  <si>
    <t>2024-08-04 08:22:01</t>
  </si>
  <si>
    <t>TCK-13883</t>
  </si>
  <si>
    <t>2024-10-03 05:55:34</t>
  </si>
  <si>
    <t>TCK-13884</t>
  </si>
  <si>
    <t>2024-03-17 07:44:57</t>
  </si>
  <si>
    <t>2024-03-17 10:35:57</t>
  </si>
  <si>
    <t>TCK-13885</t>
  </si>
  <si>
    <t>2024-06-16 00:21:01</t>
  </si>
  <si>
    <t>2024-06-16 16:10:32</t>
  </si>
  <si>
    <t>TCK-13886</t>
  </si>
  <si>
    <t>2024-08-23 09:48:53</t>
  </si>
  <si>
    <t>2024-08-24 13:54:00</t>
  </si>
  <si>
    <t>TCK-13887</t>
  </si>
  <si>
    <t>2024-07-31 23:44:58</t>
  </si>
  <si>
    <t>2024-08-01 02:42:53</t>
  </si>
  <si>
    <t>TCK-13888</t>
  </si>
  <si>
    <t>2024-11-04 03:37:41</t>
  </si>
  <si>
    <t>2024-11-06 22:28:40</t>
  </si>
  <si>
    <t>TCK-13889</t>
  </si>
  <si>
    <t>2024-04-08 15:44:22</t>
  </si>
  <si>
    <t>2024-04-08 21:14:37</t>
  </si>
  <si>
    <t>TCK-13890</t>
  </si>
  <si>
    <t>2024-02-10 00:38:13</t>
  </si>
  <si>
    <t>2024-02-10 03:13:46</t>
  </si>
  <si>
    <t>TCK-13891</t>
  </si>
  <si>
    <t>2024-05-17 04:34:38</t>
  </si>
  <si>
    <t>2024-05-17 07:47:40</t>
  </si>
  <si>
    <t>TCK-13892</t>
  </si>
  <si>
    <t>2024-01-14 19:43:16</t>
  </si>
  <si>
    <t>2024-01-15 09:29:38</t>
  </si>
  <si>
    <t>TCK-13893</t>
  </si>
  <si>
    <t>2024-09-04 23:35:27</t>
  </si>
  <si>
    <t>2024-09-05 14:24:07</t>
  </si>
  <si>
    <t>TCK-13894</t>
  </si>
  <si>
    <t>2024-04-28 19:15:49</t>
  </si>
  <si>
    <t>2024-04-29 01:54:26</t>
  </si>
  <si>
    <t>TCK-13895</t>
  </si>
  <si>
    <t>2024-12-18 20:23:13</t>
  </si>
  <si>
    <t>2024-12-19 08:03:04</t>
  </si>
  <si>
    <t>TCK-13896</t>
  </si>
  <si>
    <t>2024-08-23 05:19:41</t>
  </si>
  <si>
    <t>2024-08-23 08:38:26</t>
  </si>
  <si>
    <t>TCK-13897</t>
  </si>
  <si>
    <t>2024-02-24 07:25:27</t>
  </si>
  <si>
    <t>TCK-13898</t>
  </si>
  <si>
    <t>2024-09-18 10:15:12</t>
  </si>
  <si>
    <t>TCK-13899</t>
  </si>
  <si>
    <t>2024-02-22 15:58:02</t>
  </si>
  <si>
    <t>2024-02-23 12:36:03</t>
  </si>
  <si>
    <t>TCK-13900</t>
  </si>
  <si>
    <t>2024-05-31 21:12:15</t>
  </si>
  <si>
    <t>2024-06-01 05:53:46</t>
  </si>
  <si>
    <t>TCK-13901</t>
  </si>
  <si>
    <t>2024-04-15 05:13:08</t>
  </si>
  <si>
    <t>TCK-13902</t>
  </si>
  <si>
    <t>2024-11-01 14:59:15</t>
  </si>
  <si>
    <t>2024-11-02 10:30:24</t>
  </si>
  <si>
    <t>TCK-13903</t>
  </si>
  <si>
    <t>2024-11-15 09:07:18</t>
  </si>
  <si>
    <t>2024-11-15 14:13:02</t>
  </si>
  <si>
    <t>TCK-13904</t>
  </si>
  <si>
    <t>2024-12-30 13:02:14</t>
  </si>
  <si>
    <t>2024-12-30 18:53:17</t>
  </si>
  <si>
    <t>TCK-13905</t>
  </si>
  <si>
    <t>2024-01-01 14:24:34</t>
  </si>
  <si>
    <t>2024-01-01 18:05:05</t>
  </si>
  <si>
    <t>TCK-13906</t>
  </si>
  <si>
    <t>2024-05-20 21:45:47</t>
  </si>
  <si>
    <t>2024-05-26 12:07:51</t>
  </si>
  <si>
    <t>TCK-13907</t>
  </si>
  <si>
    <t>2024-10-25 10:00:37</t>
  </si>
  <si>
    <t>2024-10-25 11:31:48</t>
  </si>
  <si>
    <t>TCK-13908</t>
  </si>
  <si>
    <t>2024-08-30 13:05:03</t>
  </si>
  <si>
    <t>2024-08-30 14:43:28</t>
  </si>
  <si>
    <t>TCK-13909</t>
  </si>
  <si>
    <t>2024-12-09 07:56:31</t>
  </si>
  <si>
    <t>2024-12-09 09:28:59</t>
  </si>
  <si>
    <t>TCK-13910</t>
  </si>
  <si>
    <t>2024-12-19 06:22:55</t>
  </si>
  <si>
    <t>2024-12-20 00:53:53</t>
  </si>
  <si>
    <t>TCK-13911</t>
  </si>
  <si>
    <t>2024-04-13 08:12:30</t>
  </si>
  <si>
    <t>2024-04-14 03:37:53</t>
  </si>
  <si>
    <t>TCK-13912</t>
  </si>
  <si>
    <t>2024-07-30 14:22:06</t>
  </si>
  <si>
    <t>2024-07-30 21:29:46</t>
  </si>
  <si>
    <t>TCK-13913</t>
  </si>
  <si>
    <t>2024-02-06 08:18:06</t>
  </si>
  <si>
    <t>TCK-13914</t>
  </si>
  <si>
    <t>2024-07-20 03:12:30</t>
  </si>
  <si>
    <t>2024-07-20 04:07:13</t>
  </si>
  <si>
    <t>TCK-13915</t>
  </si>
  <si>
    <t>2024-06-07 22:33:46</t>
  </si>
  <si>
    <t>2024-06-08 01:49:18</t>
  </si>
  <si>
    <t>TCK-13916</t>
  </si>
  <si>
    <t>2024-04-19 22:40:28</t>
  </si>
  <si>
    <t>2024-04-20 11:19:14</t>
  </si>
  <si>
    <t>TCK-13917</t>
  </si>
  <si>
    <t>2024-02-26 03:26:16</t>
  </si>
  <si>
    <t>2024-02-26 09:19:23</t>
  </si>
  <si>
    <t>TCK-13918</t>
  </si>
  <si>
    <t>2024-05-05 08:36:10</t>
  </si>
  <si>
    <t>2024-05-05 13:10:00</t>
  </si>
  <si>
    <t>TCK-13919</t>
  </si>
  <si>
    <t>2024-04-07 05:46:10</t>
  </si>
  <si>
    <t>2024-04-07 09:46:37</t>
  </si>
  <si>
    <t>TCK-13920</t>
  </si>
  <si>
    <t>2024-04-12 01:58:39</t>
  </si>
  <si>
    <t>2024-04-12 15:24:01</t>
  </si>
  <si>
    <t>TCK-13921</t>
  </si>
  <si>
    <t>2024-04-26 13:00:28</t>
  </si>
  <si>
    <t>2024-04-26 14:11:09</t>
  </si>
  <si>
    <t>TCK-13922</t>
  </si>
  <si>
    <t>2024-03-21 23:02:21</t>
  </si>
  <si>
    <t>TCK-13923</t>
  </si>
  <si>
    <t>2024-08-04 01:07:32</t>
  </si>
  <si>
    <t>2024-08-04 16:55:17</t>
  </si>
  <si>
    <t>TCK-13924</t>
  </si>
  <si>
    <t>2024-11-23 02:23:19</t>
  </si>
  <si>
    <t>2024-11-23 03:12:51</t>
  </si>
  <si>
    <t>TCK-13925</t>
  </si>
  <si>
    <t>2024-01-07 05:54:34</t>
  </si>
  <si>
    <t>2024-01-08 11:05:15</t>
  </si>
  <si>
    <t>TCK-13926</t>
  </si>
  <si>
    <t>2024-05-17 05:47:30</t>
  </si>
  <si>
    <t>2024-05-18 01:32:08</t>
  </si>
  <si>
    <t>TCK-13927</t>
  </si>
  <si>
    <t>2024-02-17 21:36:49</t>
  </si>
  <si>
    <t>2024-02-18 19:02:36</t>
  </si>
  <si>
    <t>TCK-13928</t>
  </si>
  <si>
    <t>2024-06-17 03:47:59</t>
  </si>
  <si>
    <t>2024-06-18 16:54:22</t>
  </si>
  <si>
    <t>TCK-13929</t>
  </si>
  <si>
    <t>2024-04-24 16:52:19</t>
  </si>
  <si>
    <t>2024-04-24 23:12:18</t>
  </si>
  <si>
    <t>TCK-13930</t>
  </si>
  <si>
    <t>2024-08-31 19:07:16</t>
  </si>
  <si>
    <t>2024-08-31 20:53:34</t>
  </si>
  <si>
    <t>TCK-13931</t>
  </si>
  <si>
    <t>2024-12-27 15:49:25</t>
  </si>
  <si>
    <t>2024-12-28 07:01:58</t>
  </si>
  <si>
    <t>TCK-13932</t>
  </si>
  <si>
    <t>2024-12-22 23:17:07</t>
  </si>
  <si>
    <t>2024-12-23 10:58:17</t>
  </si>
  <si>
    <t>TCK-13933</t>
  </si>
  <si>
    <t>2024-03-06 08:05:11</t>
  </si>
  <si>
    <t>2024-03-06 23:20:03</t>
  </si>
  <si>
    <t>TCK-13934</t>
  </si>
  <si>
    <t>2024-03-21 14:57:06</t>
  </si>
  <si>
    <t>2024-03-21 23:40:06</t>
  </si>
  <si>
    <t>TCK-13935</t>
  </si>
  <si>
    <t>2024-11-29 17:49:29</t>
  </si>
  <si>
    <t>2024-11-30 16:35:03</t>
  </si>
  <si>
    <t>TCK-13936</t>
  </si>
  <si>
    <t>2024-06-05 12:55:53</t>
  </si>
  <si>
    <t>TCK-13937</t>
  </si>
  <si>
    <t>2024-02-24 09:54:07</t>
  </si>
  <si>
    <t>2024-02-24 15:22:35</t>
  </si>
  <si>
    <t>TCK-13938</t>
  </si>
  <si>
    <t>2024-02-17 07:04:37</t>
  </si>
  <si>
    <t>2024-02-17 19:17:04</t>
  </si>
  <si>
    <t>TCK-13939</t>
  </si>
  <si>
    <t>2024-10-23 11:33:05</t>
  </si>
  <si>
    <t>2024-10-26 07:10:00</t>
  </si>
  <si>
    <t>TCK-13940</t>
  </si>
  <si>
    <t>2024-05-20 04:52:15</t>
  </si>
  <si>
    <t>2024-05-21 01:38:00</t>
  </si>
  <si>
    <t>TCK-13941</t>
  </si>
  <si>
    <t>2024-06-03 13:10:16</t>
  </si>
  <si>
    <t>2024-06-03 15:47:34</t>
  </si>
  <si>
    <t>TCK-13942</t>
  </si>
  <si>
    <t>2024-05-12 09:30:42</t>
  </si>
  <si>
    <t>2024-05-14 17:29:52</t>
  </si>
  <si>
    <t>TCK-13943</t>
  </si>
  <si>
    <t>2024-11-06 09:02:41</t>
  </si>
  <si>
    <t>2024-11-08 21:18:53</t>
  </si>
  <si>
    <t>TCK-13944</t>
  </si>
  <si>
    <t>2024-09-22 06:39:06</t>
  </si>
  <si>
    <t>2024-09-22 07:49:06</t>
  </si>
  <si>
    <t>TCK-13945</t>
  </si>
  <si>
    <t>2024-08-31 09:59:18</t>
  </si>
  <si>
    <t>2024-09-01 05:32:04</t>
  </si>
  <si>
    <t>TCK-13946</t>
  </si>
  <si>
    <t>2024-08-02 21:31:55</t>
  </si>
  <si>
    <t>2024-08-03 22:43:02</t>
  </si>
  <si>
    <t>TCK-13947</t>
  </si>
  <si>
    <t>2024-12-24 04:02:02</t>
  </si>
  <si>
    <t>TCK-13948</t>
  </si>
  <si>
    <t>2024-06-02 07:12:00</t>
  </si>
  <si>
    <t>2024-06-02 11:14:18</t>
  </si>
  <si>
    <t>TCK-13949</t>
  </si>
  <si>
    <t>2024-03-22 17:36:39</t>
  </si>
  <si>
    <t>2024-03-23 05:54:56</t>
  </si>
  <si>
    <t>TCK-13950</t>
  </si>
  <si>
    <t>2024-01-29 16:09:52</t>
  </si>
  <si>
    <t>TCK-13951</t>
  </si>
  <si>
    <t>2024-09-10 16:24:36</t>
  </si>
  <si>
    <t>2024-09-11 07:12:33</t>
  </si>
  <si>
    <t>TCK-13952</t>
  </si>
  <si>
    <t>2024-11-11 10:54:02</t>
  </si>
  <si>
    <t>2024-11-11 17:52:08</t>
  </si>
  <si>
    <t>TCK-13953</t>
  </si>
  <si>
    <t>2024-04-29 22:17:08</t>
  </si>
  <si>
    <t>2024-04-30 05:48:29</t>
  </si>
  <si>
    <t>TCK-13954</t>
  </si>
  <si>
    <t>2024-10-21 18:23:00</t>
  </si>
  <si>
    <t>2024-10-22 02:40:30</t>
  </si>
  <si>
    <t>TCK-13955</t>
  </si>
  <si>
    <t>2024-11-07 02:39:55</t>
  </si>
  <si>
    <t>2024-11-08 17:42:23</t>
  </si>
  <si>
    <t>TCK-13956</t>
  </si>
  <si>
    <t>2024-09-13 03:17:02</t>
  </si>
  <si>
    <t>2024-09-13 06:13:47</t>
  </si>
  <si>
    <t>TCK-13957</t>
  </si>
  <si>
    <t>2024-12-30 20:26:39</t>
  </si>
  <si>
    <t>2025-01-02 00:58:36</t>
  </si>
  <si>
    <t>TCK-13958</t>
  </si>
  <si>
    <t>2024-01-18 19:56:18</t>
  </si>
  <si>
    <t>2024-01-19 07:48:54</t>
  </si>
  <si>
    <t>TCK-13959</t>
  </si>
  <si>
    <t>2024-11-06 09:59:15</t>
  </si>
  <si>
    <t>TCK-13960</t>
  </si>
  <si>
    <t>2024-08-29 07:00:43</t>
  </si>
  <si>
    <t>TCK-13961</t>
  </si>
  <si>
    <t>2024-06-21 17:44:26</t>
  </si>
  <si>
    <t>2024-06-22 02:59:15</t>
  </si>
  <si>
    <t>TCK-13962</t>
  </si>
  <si>
    <t>2024-02-07 13:37:08</t>
  </si>
  <si>
    <t>2024-02-09 04:33:21</t>
  </si>
  <si>
    <t>TCK-13963</t>
  </si>
  <si>
    <t>2024-11-13 16:26:54</t>
  </si>
  <si>
    <t>2024-11-15 08:38:30</t>
  </si>
  <si>
    <t>TCK-13964</t>
  </si>
  <si>
    <t>2024-06-12 11:37:30</t>
  </si>
  <si>
    <t>2024-06-13 09:14:13</t>
  </si>
  <si>
    <t>TCK-13965</t>
  </si>
  <si>
    <t>2024-07-05 07:11:59</t>
  </si>
  <si>
    <t>2024-07-10 23:19:08</t>
  </si>
  <si>
    <t>TCK-13966</t>
  </si>
  <si>
    <t>2024-06-08 20:12:24</t>
  </si>
  <si>
    <t>2024-06-08 23:41:48</t>
  </si>
  <si>
    <t>TCK-13967</t>
  </si>
  <si>
    <t>2024-06-14 02:44:07</t>
  </si>
  <si>
    <t>2024-06-17 05:49:49</t>
  </si>
  <si>
    <t>TCK-13968</t>
  </si>
  <si>
    <t>2024-06-21 22:34:21</t>
  </si>
  <si>
    <t>2024-06-22 20:48:37</t>
  </si>
  <si>
    <t>TCK-13969</t>
  </si>
  <si>
    <t>2024-05-15 19:42:30</t>
  </si>
  <si>
    <t>2024-05-18 13:19:18</t>
  </si>
  <si>
    <t>TCK-13970</t>
  </si>
  <si>
    <t>2024-10-05 18:00:09</t>
  </si>
  <si>
    <t>2024-10-06 09:36:37</t>
  </si>
  <si>
    <t>TCK-13971</t>
  </si>
  <si>
    <t>2024-04-16 07:33:11</t>
  </si>
  <si>
    <t>2024-04-16 22:40:38</t>
  </si>
  <si>
    <t>TCK-13972</t>
  </si>
  <si>
    <t>2024-01-11 19:31:25</t>
  </si>
  <si>
    <t>2024-01-12 15:58:48</t>
  </si>
  <si>
    <t>TCK-13973</t>
  </si>
  <si>
    <t>2024-01-04 03:57:38</t>
  </si>
  <si>
    <t>2024-01-06 08:19:14</t>
  </si>
  <si>
    <t>TCK-13974</t>
  </si>
  <si>
    <t>2024-08-24 03:09:55</t>
  </si>
  <si>
    <t>TCK-13975</t>
  </si>
  <si>
    <t>2024-07-23 04:03:55</t>
  </si>
  <si>
    <t>2024-07-23 07:45:18</t>
  </si>
  <si>
    <t>TCK-13976</t>
  </si>
  <si>
    <t>2024-02-04 06:15:52</t>
  </si>
  <si>
    <t>2024-02-05 19:31:07</t>
  </si>
  <si>
    <t>TCK-13977</t>
  </si>
  <si>
    <t>2024-02-10 11:22:58</t>
  </si>
  <si>
    <t>2024-02-10 13:35:41</t>
  </si>
  <si>
    <t>TCK-13978</t>
  </si>
  <si>
    <t>2024-06-17 01:25:30</t>
  </si>
  <si>
    <t>2024-06-17 06:55:41</t>
  </si>
  <si>
    <t>TCK-13979</t>
  </si>
  <si>
    <t>2024-12-16 04:06:56</t>
  </si>
  <si>
    <t>2024-12-17 11:42:11</t>
  </si>
  <si>
    <t>TCK-13980</t>
  </si>
  <si>
    <t>2024-11-15 15:47:44</t>
  </si>
  <si>
    <t>2024-11-15 19:17:26</t>
  </si>
  <si>
    <t>TCK-13981</t>
  </si>
  <si>
    <t>2024-08-11 20:39:52</t>
  </si>
  <si>
    <t>2024-08-12 00:25:50</t>
  </si>
  <si>
    <t>TCK-13982</t>
  </si>
  <si>
    <t>2024-07-26 10:54:07</t>
  </si>
  <si>
    <t>2024-07-26 23:23:41</t>
  </si>
  <si>
    <t>TCK-13983</t>
  </si>
  <si>
    <t>2024-07-04 02:33:32</t>
  </si>
  <si>
    <t>TCK-13984</t>
  </si>
  <si>
    <t>2024-12-01 12:08:06</t>
  </si>
  <si>
    <t>2024-12-03 04:06:47</t>
  </si>
  <si>
    <t>TCK-13985</t>
  </si>
  <si>
    <t>2024-10-01 10:40:04</t>
  </si>
  <si>
    <t>2024-10-02 05:30:01</t>
  </si>
  <si>
    <t>TCK-13986</t>
  </si>
  <si>
    <t>2024-09-06 09:36:04</t>
  </si>
  <si>
    <t>2024-09-06 22:46:09</t>
  </si>
  <si>
    <t>TCK-13987</t>
  </si>
  <si>
    <t>2024-10-21 00:27:22</t>
  </si>
  <si>
    <t>TCK-13988</t>
  </si>
  <si>
    <t>2024-03-03 10:34:04</t>
  </si>
  <si>
    <t>2024-03-03 15:33:58</t>
  </si>
  <si>
    <t>TCK-13989</t>
  </si>
  <si>
    <t>2024-04-08 19:17:27</t>
  </si>
  <si>
    <t>TCK-13990</t>
  </si>
  <si>
    <t>2024-02-10 02:56:27</t>
  </si>
  <si>
    <t>2024-02-10 05:31:26</t>
  </si>
  <si>
    <t>TCK-13991</t>
  </si>
  <si>
    <t>2024-07-15 11:10:03</t>
  </si>
  <si>
    <t>2024-07-16 04:56:44</t>
  </si>
  <si>
    <t>TCK-13992</t>
  </si>
  <si>
    <t>2024-05-21 10:48:32</t>
  </si>
  <si>
    <t>2024-05-21 14:42:12</t>
  </si>
  <si>
    <t>TCK-13993</t>
  </si>
  <si>
    <t>2024-07-28 05:03:00</t>
  </si>
  <si>
    <t>2024-07-30 19:56:55</t>
  </si>
  <si>
    <t>TCK-13994</t>
  </si>
  <si>
    <t>2024-07-20 07:51:55</t>
  </si>
  <si>
    <t>TCK-13995</t>
  </si>
  <si>
    <t>2024-05-07 22:25:53</t>
  </si>
  <si>
    <t>2024-05-08 10:36:26</t>
  </si>
  <si>
    <t>TCK-13996</t>
  </si>
  <si>
    <t>2024-08-26 22:03:20</t>
  </si>
  <si>
    <t>2024-08-27 01:08:52</t>
  </si>
  <si>
    <t>TCK-13997</t>
  </si>
  <si>
    <t>2024-11-08 09:59:19</t>
  </si>
  <si>
    <t>2024-11-09 21:13:48</t>
  </si>
  <si>
    <t>TCK-13998</t>
  </si>
  <si>
    <t>2024-04-14 00:26:01</t>
  </si>
  <si>
    <t>2024-04-14 18:06:14</t>
  </si>
  <si>
    <t>TCK-13999</t>
  </si>
  <si>
    <t>2024-03-25 01:39:00</t>
  </si>
  <si>
    <t>2024-03-25 02:04:02</t>
  </si>
  <si>
    <t>TCK-14000</t>
  </si>
  <si>
    <t>2024-05-13 06:15:42</t>
  </si>
  <si>
    <t>2024-05-13 12:43:43</t>
  </si>
  <si>
    <t>TCK-14001</t>
  </si>
  <si>
    <t>2024-12-15 10:39:43</t>
  </si>
  <si>
    <t>2024-12-15 17:59:08</t>
  </si>
  <si>
    <t>TCK-14002</t>
  </si>
  <si>
    <t>2024-03-05 11:08:46</t>
  </si>
  <si>
    <t>2024-03-06 01:56:05</t>
  </si>
  <si>
    <t>TCK-14003</t>
  </si>
  <si>
    <t>2024-09-06 22:05:28</t>
  </si>
  <si>
    <t>2024-09-07 04:44:38</t>
  </si>
  <si>
    <t>TCK-14004</t>
  </si>
  <si>
    <t>2024-02-15 22:56:47</t>
  </si>
  <si>
    <t>2024-02-16 06:00:42</t>
  </si>
  <si>
    <t>TCK-14005</t>
  </si>
  <si>
    <t>2024-04-23 19:33:33</t>
  </si>
  <si>
    <t>2024-04-24 01:04:14</t>
  </si>
  <si>
    <t>TCK-14006</t>
  </si>
  <si>
    <t>2024-07-20 04:27:22</t>
  </si>
  <si>
    <t>2024-07-20 05:28:38</t>
  </si>
  <si>
    <t>TCK-14007</t>
  </si>
  <si>
    <t>2024-01-23 01:10:20</t>
  </si>
  <si>
    <t>2024-01-24 03:02:00</t>
  </si>
  <si>
    <t>TCK-14008</t>
  </si>
  <si>
    <t>2024-11-16 13:24:21</t>
  </si>
  <si>
    <t>2024-11-17 21:38:33</t>
  </si>
  <si>
    <t>TCK-14009</t>
  </si>
  <si>
    <t>2024-05-08 07:14:20</t>
  </si>
  <si>
    <t>2024-05-08 12:50:16</t>
  </si>
  <si>
    <t>TCK-14010</t>
  </si>
  <si>
    <t>2024-09-20 19:59:49</t>
  </si>
  <si>
    <t>TCK-14011</t>
  </si>
  <si>
    <t>2024-11-27 04:45:59</t>
  </si>
  <si>
    <t>2024-11-27 18:51:44</t>
  </si>
  <si>
    <t>TCK-14012</t>
  </si>
  <si>
    <t>2024-06-11 23:31:27</t>
  </si>
  <si>
    <t>TCK-14013</t>
  </si>
  <si>
    <t>2024-08-18 03:29:49</t>
  </si>
  <si>
    <t>2024-08-18 06:47:42</t>
  </si>
  <si>
    <t>TCK-14014</t>
  </si>
  <si>
    <t>2024-11-24 11:39:15</t>
  </si>
  <si>
    <t>2024-11-24 12:33:19</t>
  </si>
  <si>
    <t>TCK-14015</t>
  </si>
  <si>
    <t>2024-04-24 13:52:27</t>
  </si>
  <si>
    <t>2024-04-25 02:41:12</t>
  </si>
  <si>
    <t>TCK-14016</t>
  </si>
  <si>
    <t>2024-04-09 11:38:23</t>
  </si>
  <si>
    <t>TCK-14017</t>
  </si>
  <si>
    <t>2024-01-11 17:26:29</t>
  </si>
  <si>
    <t>2024-01-12 10:04:33</t>
  </si>
  <si>
    <t>TCK-14018</t>
  </si>
  <si>
    <t>2024-03-23 00:25:06</t>
  </si>
  <si>
    <t>2024-03-23 17:20:21</t>
  </si>
  <si>
    <t>TCK-14019</t>
  </si>
  <si>
    <t>2024-06-22 18:57:20</t>
  </si>
  <si>
    <t>2024-06-24 08:51:43</t>
  </si>
  <si>
    <t>TCK-14020</t>
  </si>
  <si>
    <t>2024-03-11 04:58:22</t>
  </si>
  <si>
    <t>2024-03-12 00:44:38</t>
  </si>
  <si>
    <t>TCK-14021</t>
  </si>
  <si>
    <t>2024-11-11 18:34:07</t>
  </si>
  <si>
    <t>2024-11-13 04:21:53</t>
  </si>
  <si>
    <t>TCK-14022</t>
  </si>
  <si>
    <t>2024-12-13 00:38:06</t>
  </si>
  <si>
    <t>2024-12-13 12:27:23</t>
  </si>
  <si>
    <t>TCK-14023</t>
  </si>
  <si>
    <t>2024-10-06 19:25:02</t>
  </si>
  <si>
    <t>2024-10-08 08:22:16</t>
  </si>
  <si>
    <t>TCK-14024</t>
  </si>
  <si>
    <t>2024-07-09 01:53:09</t>
  </si>
  <si>
    <t>2024-07-09 03:50:00</t>
  </si>
  <si>
    <t>TCK-14025</t>
  </si>
  <si>
    <t>2024-06-22 20:01:32</t>
  </si>
  <si>
    <t>2024-06-23 03:01:19</t>
  </si>
  <si>
    <t>TCK-14026</t>
  </si>
  <si>
    <t>2024-07-09 22:45:55</t>
  </si>
  <si>
    <t>2024-07-10 19:54:39</t>
  </si>
  <si>
    <t>TCK-14027</t>
  </si>
  <si>
    <t>2024-09-26 15:14:35</t>
  </si>
  <si>
    <t>2024-09-26 23:24:52</t>
  </si>
  <si>
    <t>TCK-14028</t>
  </si>
  <si>
    <t>2024-08-04 03:21:13</t>
  </si>
  <si>
    <t>TCK-14029</t>
  </si>
  <si>
    <t>2024-12-11 02:14:41</t>
  </si>
  <si>
    <t>2024-12-12 22:36:54</t>
  </si>
  <si>
    <t>TCK-14030</t>
  </si>
  <si>
    <t>2024-05-25 04:43:18</t>
  </si>
  <si>
    <t>TCK-14031</t>
  </si>
  <si>
    <t>2024-10-24 03:41:51</t>
  </si>
  <si>
    <t>2024-10-25 02:15:47</t>
  </si>
  <si>
    <t>TCK-14032</t>
  </si>
  <si>
    <t>2024-02-05 22:18:45</t>
  </si>
  <si>
    <t>2024-02-05 23:58:20</t>
  </si>
  <si>
    <t>TCK-14033</t>
  </si>
  <si>
    <t>2024-07-02 11:09:24</t>
  </si>
  <si>
    <t>2024-07-02 18:16:46</t>
  </si>
  <si>
    <t>TCK-14034</t>
  </si>
  <si>
    <t>2024-05-29 08:29:16</t>
  </si>
  <si>
    <t>TCK-14035</t>
  </si>
  <si>
    <t>2024-12-04 08:09:39</t>
  </si>
  <si>
    <t>2024-12-04 16:23:54</t>
  </si>
  <si>
    <t>TCK-14036</t>
  </si>
  <si>
    <t>2024-05-16 08:39:56</t>
  </si>
  <si>
    <t>2024-05-16 22:19:25</t>
  </si>
  <si>
    <t>TCK-14037</t>
  </si>
  <si>
    <t>2024-02-06 09:16:53</t>
  </si>
  <si>
    <t>2024-02-06 10:18:20</t>
  </si>
  <si>
    <t>TCK-14038</t>
  </si>
  <si>
    <t>2024-09-23 17:43:34</t>
  </si>
  <si>
    <t>2024-09-23 20:59:39</t>
  </si>
  <si>
    <t>TCK-14039</t>
  </si>
  <si>
    <t>2024-09-15 20:40:30</t>
  </si>
  <si>
    <t>2024-09-16 12:26:04</t>
  </si>
  <si>
    <t>TCK-14040</t>
  </si>
  <si>
    <t>2024-08-05 15:49:42</t>
  </si>
  <si>
    <t>TCK-14041</t>
  </si>
  <si>
    <t>2024-06-24 00:23:25</t>
  </si>
  <si>
    <t>2024-06-24 20:46:56</t>
  </si>
  <si>
    <t>TCK-14042</t>
  </si>
  <si>
    <t>2024-11-08 17:24:33</t>
  </si>
  <si>
    <t>2024-11-08 20:12:28</t>
  </si>
  <si>
    <t>TCK-14043</t>
  </si>
  <si>
    <t>2024-06-06 12:36:50</t>
  </si>
  <si>
    <t>2024-06-07 08:19:03</t>
  </si>
  <si>
    <t>TCK-14044</t>
  </si>
  <si>
    <t>2024-09-09 02:04:24</t>
  </si>
  <si>
    <t>2024-09-09 09:21:41</t>
  </si>
  <si>
    <t>TCK-14045</t>
  </si>
  <si>
    <t>2024-09-10 05:40:10</t>
  </si>
  <si>
    <t>2024-09-10 18:19:20</t>
  </si>
  <si>
    <t>TCK-14046</t>
  </si>
  <si>
    <t>2024-05-01 03:39:46</t>
  </si>
  <si>
    <t>TCK-14047</t>
  </si>
  <si>
    <t>2024-04-10 05:41:11</t>
  </si>
  <si>
    <t>2024-04-11 00:37:04</t>
  </si>
  <si>
    <t>TCK-14048</t>
  </si>
  <si>
    <t>2024-06-19 02:38:55</t>
  </si>
  <si>
    <t>2024-06-21 09:10:25</t>
  </si>
  <si>
    <t>TCK-14049</t>
  </si>
  <si>
    <t>2024-08-14 21:05:08</t>
  </si>
  <si>
    <t>2024-08-16 16:28:19</t>
  </si>
  <si>
    <t>TCK-14050</t>
  </si>
  <si>
    <t>2024-11-10 01:26:16</t>
  </si>
  <si>
    <t>TCK-14051</t>
  </si>
  <si>
    <t>2024-03-12 00:56:17</t>
  </si>
  <si>
    <t>2024-03-13 21:30:31</t>
  </si>
  <si>
    <t>TCK-14052</t>
  </si>
  <si>
    <t>2024-04-13 17:59:58</t>
  </si>
  <si>
    <t>2024-04-14 06:18:47</t>
  </si>
  <si>
    <t>TCK-14053</t>
  </si>
  <si>
    <t>2024-04-15 03:06:15</t>
  </si>
  <si>
    <t>2024-04-15 04:31:36</t>
  </si>
  <si>
    <t>TCK-14054</t>
  </si>
  <si>
    <t>2024-07-21 14:27:20</t>
  </si>
  <si>
    <t>TCK-14055</t>
  </si>
  <si>
    <t>2024-11-02 01:27:20</t>
  </si>
  <si>
    <t>2024-11-02 06:41:14</t>
  </si>
  <si>
    <t>TCK-14056</t>
  </si>
  <si>
    <t>2024-11-03 10:49:52</t>
  </si>
  <si>
    <t>2024-11-03 17:50:19</t>
  </si>
  <si>
    <t>TCK-14057</t>
  </si>
  <si>
    <t>2024-01-27 09:27:11</t>
  </si>
  <si>
    <t>2024-01-28 00:54:26</t>
  </si>
  <si>
    <t>TCK-14058</t>
  </si>
  <si>
    <t>2024-08-21 23:49:30</t>
  </si>
  <si>
    <t>2024-08-22 01:21:18</t>
  </si>
  <si>
    <t>TCK-14059</t>
  </si>
  <si>
    <t>2024-05-18 06:04:01</t>
  </si>
  <si>
    <t>2024-05-18 07:27:49</t>
  </si>
  <si>
    <t>TCK-14060</t>
  </si>
  <si>
    <t>2024-06-16 19:56:57</t>
  </si>
  <si>
    <t>2024-06-17 00:02:19</t>
  </si>
  <si>
    <t>TCK-14061</t>
  </si>
  <si>
    <t>2024-08-10 08:09:22</t>
  </si>
  <si>
    <t>2024-08-10 22:33:42</t>
  </si>
  <si>
    <t>TCK-14062</t>
  </si>
  <si>
    <t>2024-11-27 07:14:36</t>
  </si>
  <si>
    <t>2024-11-27 13:25:48</t>
  </si>
  <si>
    <t>TCK-14063</t>
  </si>
  <si>
    <t>2024-08-06 20:19:16</t>
  </si>
  <si>
    <t>2024-08-07 16:08:49</t>
  </si>
  <si>
    <t>TCK-14064</t>
  </si>
  <si>
    <t>2024-09-26 00:24:30</t>
  </si>
  <si>
    <t>2024-09-26 11:00:48</t>
  </si>
  <si>
    <t>TCK-14065</t>
  </si>
  <si>
    <t>2024-10-16 06:26:29</t>
  </si>
  <si>
    <t>2024-10-17 02:04:39</t>
  </si>
  <si>
    <t>TCK-14066</t>
  </si>
  <si>
    <t>2024-02-01 23:50:09</t>
  </si>
  <si>
    <t>2024-02-02 14:50:44</t>
  </si>
  <si>
    <t>TCK-14067</t>
  </si>
  <si>
    <t>2024-11-25 08:53:34</t>
  </si>
  <si>
    <t>2024-11-25 16:12:13</t>
  </si>
  <si>
    <t>TCK-14068</t>
  </si>
  <si>
    <t>2024-03-25 01:14:48</t>
  </si>
  <si>
    <t>2024-03-25 19:26:09</t>
  </si>
  <si>
    <t>TCK-14069</t>
  </si>
  <si>
    <t>2024-12-14 15:14:48</t>
  </si>
  <si>
    <t>2024-12-15 08:58:13</t>
  </si>
  <si>
    <t>TCK-14070</t>
  </si>
  <si>
    <t>2024-02-24 16:16:34</t>
  </si>
  <si>
    <t>2024-02-25 13:30:59</t>
  </si>
  <si>
    <t>TCK-14071</t>
  </si>
  <si>
    <t>2024-06-22 22:26:51</t>
  </si>
  <si>
    <t>2024-07-20 06:26:51</t>
  </si>
  <si>
    <t>TCK-14072</t>
  </si>
  <si>
    <t>2024-02-04 02:47:33</t>
  </si>
  <si>
    <t>2024-02-04 04:57:39</t>
  </si>
  <si>
    <t>TCK-14073</t>
  </si>
  <si>
    <t>2024-06-10 01:06:07</t>
  </si>
  <si>
    <t>2024-06-10 19:11:49</t>
  </si>
  <si>
    <t>TCK-14074</t>
  </si>
  <si>
    <t>2024-06-12 19:52:39</t>
  </si>
  <si>
    <t>2024-06-13 07:55:41</t>
  </si>
  <si>
    <t>TCK-14075</t>
  </si>
  <si>
    <t>2024-06-25 22:03:39</t>
  </si>
  <si>
    <t>TCK-14076</t>
  </si>
  <si>
    <t>2024-11-24 16:14:47</t>
  </si>
  <si>
    <t>2024-11-24 21:09:29</t>
  </si>
  <si>
    <t>TCK-14077</t>
  </si>
  <si>
    <t>2024-01-30 20:30:51</t>
  </si>
  <si>
    <t>2024-02-01 18:56:40</t>
  </si>
  <si>
    <t>TCK-14078</t>
  </si>
  <si>
    <t>2024-03-20 00:27:24</t>
  </si>
  <si>
    <t>2024-03-21 09:39:50</t>
  </si>
  <si>
    <t>TCK-14079</t>
  </si>
  <si>
    <t>2024-09-01 20:42:21</t>
  </si>
  <si>
    <t>2024-09-02 04:50:50</t>
  </si>
  <si>
    <t>TCK-14080</t>
  </si>
  <si>
    <t>2024-05-08 19:43:05</t>
  </si>
  <si>
    <t>2024-05-09 00:19:36</t>
  </si>
  <si>
    <t>TCK-14081</t>
  </si>
  <si>
    <t>2024-01-13 18:53:17</t>
  </si>
  <si>
    <t>2024-01-13 23:57:32</t>
  </si>
  <si>
    <t>TCK-14082</t>
  </si>
  <si>
    <t>2024-10-14 09:59:18</t>
  </si>
  <si>
    <t>2024-10-14 16:56:54</t>
  </si>
  <si>
    <t>TCK-14083</t>
  </si>
  <si>
    <t>2024-04-28 16:46:11</t>
  </si>
  <si>
    <t>2024-04-29 00:58:19</t>
  </si>
  <si>
    <t>TCK-14084</t>
  </si>
  <si>
    <t>2024-10-08 06:37:23</t>
  </si>
  <si>
    <t>TCK-14085</t>
  </si>
  <si>
    <t>2024-03-16 11:37:23</t>
  </si>
  <si>
    <t>2024-03-17 18:24:59</t>
  </si>
  <si>
    <t>TCK-14086</t>
  </si>
  <si>
    <t>2024-04-12 16:26:07</t>
  </si>
  <si>
    <t>2024-04-12 20:22:47</t>
  </si>
  <si>
    <t>TCK-14087</t>
  </si>
  <si>
    <t>2024-10-17 07:39:49</t>
  </si>
  <si>
    <t>2024-10-17 18:42:34</t>
  </si>
  <si>
    <t>TCK-14088</t>
  </si>
  <si>
    <t>2024-11-20 11:43:39</t>
  </si>
  <si>
    <t>2024-11-22 02:49:21</t>
  </si>
  <si>
    <t>TCK-14089</t>
  </si>
  <si>
    <t>2024-05-28 04:12:56</t>
  </si>
  <si>
    <t>2024-05-28 08:32:28</t>
  </si>
  <si>
    <t>TCK-14090</t>
  </si>
  <si>
    <t>2024-04-02 06:42:48</t>
  </si>
  <si>
    <t>2024-04-02 13:50:50</t>
  </si>
  <si>
    <t>TCK-14091</t>
  </si>
  <si>
    <t>2024-05-21 08:11:06</t>
  </si>
  <si>
    <t>2024-05-22 18:15:28</t>
  </si>
  <si>
    <t>TCK-14092</t>
  </si>
  <si>
    <t>2024-08-17 00:33:16</t>
  </si>
  <si>
    <t>2024-08-17 06:12:19</t>
  </si>
  <si>
    <t>TCK-14093</t>
  </si>
  <si>
    <t>2024-04-26 19:59:34</t>
  </si>
  <si>
    <t>2024-04-27 02:47:54</t>
  </si>
  <si>
    <t>TCK-14094</t>
  </si>
  <si>
    <t>2024-11-22 22:05:59</t>
  </si>
  <si>
    <t>2024-11-23 05:49:23</t>
  </si>
  <si>
    <t>TCK-14095</t>
  </si>
  <si>
    <t>2024-01-06 03:06:36</t>
  </si>
  <si>
    <t>2024-01-07 12:50:27</t>
  </si>
  <si>
    <t>TCK-14096</t>
  </si>
  <si>
    <t>2024-09-14 06:54:48</t>
  </si>
  <si>
    <t>2024-09-15 21:07:54</t>
  </si>
  <si>
    <t>TCK-14097</t>
  </si>
  <si>
    <t>2024-08-06 05:57:08</t>
  </si>
  <si>
    <t>2024-08-09 00:37:26</t>
  </si>
  <si>
    <t>TCK-14098</t>
  </si>
  <si>
    <t>2024-06-18 15:51:50</t>
  </si>
  <si>
    <t>TCK-14099</t>
  </si>
  <si>
    <t>2024-06-30 20:02:57</t>
  </si>
  <si>
    <t>2024-06-30 22:14:32</t>
  </si>
  <si>
    <t>TCK-14100</t>
  </si>
  <si>
    <t>2024-11-24 02:43:55</t>
  </si>
  <si>
    <t>2024-11-25 03:45:32</t>
  </si>
  <si>
    <t>TCK-14101</t>
  </si>
  <si>
    <t>2024-04-18 02:46:08</t>
  </si>
  <si>
    <t>2024-04-19 08:53:28</t>
  </si>
  <si>
    <t>TCK-14102</t>
  </si>
  <si>
    <t>2024-09-08 18:56:48</t>
  </si>
  <si>
    <t>2024-09-10 17:11:16</t>
  </si>
  <si>
    <t>TCK-14103</t>
  </si>
  <si>
    <t>2024-08-19 06:19:01</t>
  </si>
  <si>
    <t>2024-08-19 12:07:43</t>
  </si>
  <si>
    <t>TCK-14104</t>
  </si>
  <si>
    <t>2024-12-02 09:22:24</t>
  </si>
  <si>
    <t>2024-12-07 08:02:20</t>
  </si>
  <si>
    <t>TCK-14105</t>
  </si>
  <si>
    <t>2024-10-14 03:34:26</t>
  </si>
  <si>
    <t>2024-10-14 06:58:03</t>
  </si>
  <si>
    <t>TCK-14106</t>
  </si>
  <si>
    <t>2024-06-14 03:50:28</t>
  </si>
  <si>
    <t>2024-06-14 17:17:04</t>
  </si>
  <si>
    <t>TCK-14107</t>
  </si>
  <si>
    <t>2024-10-11 03:45:46</t>
  </si>
  <si>
    <t>2024-10-11 19:56:56</t>
  </si>
  <si>
    <t>TCK-14108</t>
  </si>
  <si>
    <t>2024-05-25 12:13:00</t>
  </si>
  <si>
    <t>2024-05-26 15:27:33</t>
  </si>
  <si>
    <t>TCK-14109</t>
  </si>
  <si>
    <t>2024-04-01 16:11:27</t>
  </si>
  <si>
    <t>2024-04-01 21:32:26</t>
  </si>
  <si>
    <t>TCK-14110</t>
  </si>
  <si>
    <t>2024-02-01 12:01:08</t>
  </si>
  <si>
    <t>2024-02-01 17:27:08</t>
  </si>
  <si>
    <t>TCK-14111</t>
  </si>
  <si>
    <t>2024-02-13 19:19:06</t>
  </si>
  <si>
    <t>2024-02-14 11:33:16</t>
  </si>
  <si>
    <t>TCK-14112</t>
  </si>
  <si>
    <t>2024-01-30 23:11:02</t>
  </si>
  <si>
    <t>2024-01-31 03:35:25</t>
  </si>
  <si>
    <t>TCK-14113</t>
  </si>
  <si>
    <t>2024-10-13 23:03:57</t>
  </si>
  <si>
    <t>2024-10-14 10:06:20</t>
  </si>
  <si>
    <t>TCK-14114</t>
  </si>
  <si>
    <t>2024-02-23 01:17:42</t>
  </si>
  <si>
    <t>2024-02-23 06:00:54</t>
  </si>
  <si>
    <t>TCK-14115</t>
  </si>
  <si>
    <t>2024-06-05 22:23:05</t>
  </si>
  <si>
    <t>2024-06-06 05:29:31</t>
  </si>
  <si>
    <t>TCK-14116</t>
  </si>
  <si>
    <t>2024-11-07 06:32:19</t>
  </si>
  <si>
    <t>2024-11-07 09:37:15</t>
  </si>
  <si>
    <t>TCK-14117</t>
  </si>
  <si>
    <t>2024-11-04 09:18:25</t>
  </si>
  <si>
    <t>2024-11-04 10:29:03</t>
  </si>
  <si>
    <t>TCK-14118</t>
  </si>
  <si>
    <t>2024-07-06 15:52:45</t>
  </si>
  <si>
    <t>2024-07-06 19:47:31</t>
  </si>
  <si>
    <t>TCK-14119</t>
  </si>
  <si>
    <t>2024-04-27 08:01:20</t>
  </si>
  <si>
    <t>2024-04-27 17:36:55</t>
  </si>
  <si>
    <t>TCK-14120</t>
  </si>
  <si>
    <t>2024-07-11 13:18:10</t>
  </si>
  <si>
    <t>2024-07-12 02:13:13</t>
  </si>
  <si>
    <t>TCK-14121</t>
  </si>
  <si>
    <t>2024-03-14 09:10:26</t>
  </si>
  <si>
    <t>2024-03-15 19:05:59</t>
  </si>
  <si>
    <t>TCK-14122</t>
  </si>
  <si>
    <t>2024-03-17 20:54:38</t>
  </si>
  <si>
    <t>2024-03-18 04:21:02</t>
  </si>
  <si>
    <t>TCK-14123</t>
  </si>
  <si>
    <t>2024-07-27 22:12:04</t>
  </si>
  <si>
    <t>2024-07-28 16:38:07</t>
  </si>
  <si>
    <t>TCK-14124</t>
  </si>
  <si>
    <t>2024-11-07 17:55:40</t>
  </si>
  <si>
    <t>2024-11-08 14:29:17</t>
  </si>
  <si>
    <t>TCK-14125</t>
  </si>
  <si>
    <t>2024-04-11 11:30:01</t>
  </si>
  <si>
    <t>2024-04-12 17:41:55</t>
  </si>
  <si>
    <t>TCK-14126</t>
  </si>
  <si>
    <t>2024-01-28 21:48:05</t>
  </si>
  <si>
    <t>2024-01-31 05:01:25</t>
  </si>
  <si>
    <t>TCK-14127</t>
  </si>
  <si>
    <t>2024-03-01 18:30:59</t>
  </si>
  <si>
    <t>2024-03-03 10:44:14</t>
  </si>
  <si>
    <t>TCK-14128</t>
  </si>
  <si>
    <t>2024-11-05 16:36:48</t>
  </si>
  <si>
    <t>2024-11-06 12:27:25</t>
  </si>
  <si>
    <t>TCK-14129</t>
  </si>
  <si>
    <t>2024-05-23 19:20:57</t>
  </si>
  <si>
    <t>2024-05-25 04:06:04</t>
  </si>
  <si>
    <t>TCK-14130</t>
  </si>
  <si>
    <t>2024-11-19 12:23:03</t>
  </si>
  <si>
    <t>TCK-14131</t>
  </si>
  <si>
    <t>2024-01-02 14:15:34</t>
  </si>
  <si>
    <t>2024-01-03 20:28:37</t>
  </si>
  <si>
    <t>TCK-14132</t>
  </si>
  <si>
    <t>2024-02-26 06:58:44</t>
  </si>
  <si>
    <t>2024-02-26 18:27:11</t>
  </si>
  <si>
    <t>TCK-14133</t>
  </si>
  <si>
    <t>2024-03-30 07:07:24</t>
  </si>
  <si>
    <t>TCK-14134</t>
  </si>
  <si>
    <t>2024-11-19 21:59:19</t>
  </si>
  <si>
    <t>2024-11-21 11:16:11</t>
  </si>
  <si>
    <t>TCK-14135</t>
  </si>
  <si>
    <t>2024-08-09 23:07:38</t>
  </si>
  <si>
    <t>2024-08-10 03:44:15</t>
  </si>
  <si>
    <t>TCK-14136</t>
  </si>
  <si>
    <t>2024-02-22 03:57:10</t>
  </si>
  <si>
    <t>2024-02-22 09:26:36</t>
  </si>
  <si>
    <t>TCK-14137</t>
  </si>
  <si>
    <t>2024-07-08 16:48:12</t>
  </si>
  <si>
    <t>TCK-14138</t>
  </si>
  <si>
    <t>2024-05-11 09:07:18</t>
  </si>
  <si>
    <t>2024-05-12 22:56:56</t>
  </si>
  <si>
    <t>TCK-14139</t>
  </si>
  <si>
    <t>2024-09-19 03:10:24</t>
  </si>
  <si>
    <t>2024-09-19 20:53:27</t>
  </si>
  <si>
    <t>TCK-14140</t>
  </si>
  <si>
    <t>2024-05-08 00:04:16</t>
  </si>
  <si>
    <t>2024-05-08 08:54:23</t>
  </si>
  <si>
    <t>TCK-14141</t>
  </si>
  <si>
    <t>2024-07-03 04:49:03</t>
  </si>
  <si>
    <t>2024-07-03 10:51:15</t>
  </si>
  <si>
    <t>TCK-14142</t>
  </si>
  <si>
    <t>2024-08-15 11:37:44</t>
  </si>
  <si>
    <t>2024-08-17 05:34:36</t>
  </si>
  <si>
    <t>TCK-14143</t>
  </si>
  <si>
    <t>2024-02-14 04:19:57</t>
  </si>
  <si>
    <t>2024-02-14 23:32:56</t>
  </si>
  <si>
    <t>TCK-14144</t>
  </si>
  <si>
    <t>2024-08-12 12:19:35</t>
  </si>
  <si>
    <t>2024-08-13 09:12:14</t>
  </si>
  <si>
    <t>TCK-14145</t>
  </si>
  <si>
    <t>2024-11-15 02:19:33</t>
  </si>
  <si>
    <t>2024-11-15 15:03:00</t>
  </si>
  <si>
    <t>TCK-14146</t>
  </si>
  <si>
    <t>2024-04-29 15:31:55</t>
  </si>
  <si>
    <t>2024-04-29 23:59:48</t>
  </si>
  <si>
    <t>TCK-14147</t>
  </si>
  <si>
    <t>2024-07-30 00:07:03</t>
  </si>
  <si>
    <t>2024-07-30 06:56:54</t>
  </si>
  <si>
    <t>TCK-14148</t>
  </si>
  <si>
    <t>2024-08-23 22:35:00</t>
  </si>
  <si>
    <t>2024-08-25 20:01:33</t>
  </si>
  <si>
    <t>TCK-14149</t>
  </si>
  <si>
    <t>2024-03-15 15:52:20</t>
  </si>
  <si>
    <t>2024-03-15 22:09:44</t>
  </si>
  <si>
    <t>TCK-14150</t>
  </si>
  <si>
    <t>2024-12-09 03:04:16</t>
  </si>
  <si>
    <t>2024-12-09 15:08:59</t>
  </si>
  <si>
    <t>TCK-14151</t>
  </si>
  <si>
    <t>2024-04-07 16:44:45</t>
  </si>
  <si>
    <t>2024-04-13 09:21:50</t>
  </si>
  <si>
    <t>TCK-14152</t>
  </si>
  <si>
    <t>2024-06-01 23:38:15</t>
  </si>
  <si>
    <t>2024-06-02 07:04:27</t>
  </si>
  <si>
    <t>TCK-14153</t>
  </si>
  <si>
    <t>2024-10-21 13:05:32</t>
  </si>
  <si>
    <t>2024-10-22 12:10:41</t>
  </si>
  <si>
    <t>TCK-14154</t>
  </si>
  <si>
    <t>2024-05-01 02:08:26</t>
  </si>
  <si>
    <t>TCK-14155</t>
  </si>
  <si>
    <t>2024-12-28 22:17:56</t>
  </si>
  <si>
    <t>2024-12-30 19:27:50</t>
  </si>
  <si>
    <t>TCK-14156</t>
  </si>
  <si>
    <t>2024-07-01 18:32:06</t>
  </si>
  <si>
    <t>2024-07-01 22:23:13</t>
  </si>
  <si>
    <t>TCK-14157</t>
  </si>
  <si>
    <t>2024-11-04 11:52:43</t>
  </si>
  <si>
    <t>2024-11-04 18:40:45</t>
  </si>
  <si>
    <t>TCK-14158</t>
  </si>
  <si>
    <t>2024-01-29 16:48:22</t>
  </si>
  <si>
    <t>2024-01-29 22:08:03</t>
  </si>
  <si>
    <t>TCK-14159</t>
  </si>
  <si>
    <t>2024-11-08 16:52:12</t>
  </si>
  <si>
    <t>2024-11-12 12:09:39</t>
  </si>
  <si>
    <t>TCK-14160</t>
  </si>
  <si>
    <t>2024-07-25 21:11:48</t>
  </si>
  <si>
    <t>TCK-14161</t>
  </si>
  <si>
    <t>2024-06-18 00:55:10</t>
  </si>
  <si>
    <t>2024-06-18 07:47:52</t>
  </si>
  <si>
    <t>TCK-14162</t>
  </si>
  <si>
    <t>2024-11-08 22:33:52</t>
  </si>
  <si>
    <t>2024-11-09 04:52:30</t>
  </si>
  <si>
    <t>TCK-14163</t>
  </si>
  <si>
    <t>2024-03-05 23:04:21</t>
  </si>
  <si>
    <t>2024-03-08 10:47:30</t>
  </si>
  <si>
    <t>TCK-14164</t>
  </si>
  <si>
    <t>2024-03-11 11:44:21</t>
  </si>
  <si>
    <t>2024-03-12 02:25:18</t>
  </si>
  <si>
    <t>TCK-14165</t>
  </si>
  <si>
    <t>2024-01-28 19:41:05</t>
  </si>
  <si>
    <t>2024-01-29 08:17:03</t>
  </si>
  <si>
    <t>TCK-14166</t>
  </si>
  <si>
    <t>2024-10-01 22:43:57</t>
  </si>
  <si>
    <t>TCK-14167</t>
  </si>
  <si>
    <t>2024-09-11 21:09:23</t>
  </si>
  <si>
    <t>2024-09-12 08:23:42</t>
  </si>
  <si>
    <t>TCK-14168</t>
  </si>
  <si>
    <t>2024-09-13 02:48:25</t>
  </si>
  <si>
    <t>2024-09-13 15:30:00</t>
  </si>
  <si>
    <t>TCK-14169</t>
  </si>
  <si>
    <t>2024-06-10 08:23:02</t>
  </si>
  <si>
    <t>2024-06-10 22:22:29</t>
  </si>
  <si>
    <t>TCK-14170</t>
  </si>
  <si>
    <t>2024-11-16 00:50:10</t>
  </si>
  <si>
    <t>2024-11-16 04:09:26</t>
  </si>
  <si>
    <t>TCK-14171</t>
  </si>
  <si>
    <t>2024-02-09 11:43:32</t>
  </si>
  <si>
    <t>2024-02-09 12:59:00</t>
  </si>
  <si>
    <t>TCK-14172</t>
  </si>
  <si>
    <t>2024-08-14 07:05:44</t>
  </si>
  <si>
    <t>TCK-14173</t>
  </si>
  <si>
    <t>2024-09-30 17:44:57</t>
  </si>
  <si>
    <t>2024-10-02 01:59:17</t>
  </si>
  <si>
    <t>TCK-14174</t>
  </si>
  <si>
    <t>2024-11-09 14:52:02</t>
  </si>
  <si>
    <t>2024-11-13 00:38:22</t>
  </si>
  <si>
    <t>TCK-14175</t>
  </si>
  <si>
    <t>2024-01-26 12:46:36</t>
  </si>
  <si>
    <t>2024-01-27 08:50:47</t>
  </si>
  <si>
    <t>TCK-14176</t>
  </si>
  <si>
    <t>2024-07-14 10:02:17</t>
  </si>
  <si>
    <t>2024-07-16 18:59:18</t>
  </si>
  <si>
    <t>TCK-14177</t>
  </si>
  <si>
    <t>2024-11-16 22:33:27</t>
  </si>
  <si>
    <t>2024-11-17 11:41:40</t>
  </si>
  <si>
    <t>TCK-14178</t>
  </si>
  <si>
    <t>2024-10-09 01:57:43</t>
  </si>
  <si>
    <t>2024-10-09 19:38:38</t>
  </si>
  <si>
    <t>TCK-14179</t>
  </si>
  <si>
    <t>2024-11-15 05:14:08</t>
  </si>
  <si>
    <t>2024-11-15 07:41:45</t>
  </si>
  <si>
    <t>TCK-14180</t>
  </si>
  <si>
    <t>2024-12-12 10:05:57</t>
  </si>
  <si>
    <t>2024-12-14 07:18:46</t>
  </si>
  <si>
    <t>TCK-14181</t>
  </si>
  <si>
    <t>2024-01-07 14:31:06</t>
  </si>
  <si>
    <t>2024-01-09 02:36:20</t>
  </si>
  <si>
    <t>TCK-14182</t>
  </si>
  <si>
    <t>2024-08-14 03:38:58</t>
  </si>
  <si>
    <t>2024-08-16 14:59:26</t>
  </si>
  <si>
    <t>TCK-14183</t>
  </si>
  <si>
    <t>2024-04-04 21:09:28</t>
  </si>
  <si>
    <t>2024-04-05 00:27:58</t>
  </si>
  <si>
    <t>TCK-14184</t>
  </si>
  <si>
    <t>2024-02-29 18:40:40</t>
  </si>
  <si>
    <t>2024-02-29 22:59:55</t>
  </si>
  <si>
    <t>TCK-14185</t>
  </si>
  <si>
    <t>2024-01-25 16:13:50</t>
  </si>
  <si>
    <t>2024-01-25 22:22:42</t>
  </si>
  <si>
    <t>TCK-14186</t>
  </si>
  <si>
    <t>2024-08-08 20:57:02</t>
  </si>
  <si>
    <t>2024-08-10 11:15:33</t>
  </si>
  <si>
    <t>TCK-14187</t>
  </si>
  <si>
    <t>2024-09-15 07:38:46</t>
  </si>
  <si>
    <t>2024-09-15 18:26:16</t>
  </si>
  <si>
    <t>TCK-14188</t>
  </si>
  <si>
    <t>2024-01-18 19:17:08</t>
  </si>
  <si>
    <t>2024-01-19 04:35:41</t>
  </si>
  <si>
    <t>TCK-14189</t>
  </si>
  <si>
    <t>2024-05-10 21:52:24</t>
  </si>
  <si>
    <t>2024-05-11 09:54:33</t>
  </si>
  <si>
    <t>TCK-14190</t>
  </si>
  <si>
    <t>2024-02-27 07:43:37</t>
  </si>
  <si>
    <t>TCK-14191</t>
  </si>
  <si>
    <t>2024-06-13 17:05:57</t>
  </si>
  <si>
    <t>2024-06-14 11:42:55</t>
  </si>
  <si>
    <t>TCK-14192</t>
  </si>
  <si>
    <t>2024-07-22 08:14:23</t>
  </si>
  <si>
    <t>2024-07-24 02:00:49</t>
  </si>
  <si>
    <t>TCK-14193</t>
  </si>
  <si>
    <t>2024-07-10 01:26:40</t>
  </si>
  <si>
    <t>2024-07-10 17:13:57</t>
  </si>
  <si>
    <t>TCK-14194</t>
  </si>
  <si>
    <t>2024-03-24 02:04:43</t>
  </si>
  <si>
    <t>2024-03-24 20:47:46</t>
  </si>
  <si>
    <t>TCK-14195</t>
  </si>
  <si>
    <t>2024-07-16 02:35:21</t>
  </si>
  <si>
    <t>2024-07-16 20:04:12</t>
  </si>
  <si>
    <t>TCK-14196</t>
  </si>
  <si>
    <t>2024-07-17 07:44:08</t>
  </si>
  <si>
    <t>2024-07-18 11:12:02</t>
  </si>
  <si>
    <t>TCK-14197</t>
  </si>
  <si>
    <t>2024-07-12 23:34:46</t>
  </si>
  <si>
    <t>2024-07-14 05:56:08</t>
  </si>
  <si>
    <t>TCK-14198</t>
  </si>
  <si>
    <t>2024-05-15 10:03:58</t>
  </si>
  <si>
    <t>2024-05-17 22:23:30</t>
  </si>
  <si>
    <t>TCK-14199</t>
  </si>
  <si>
    <t>2024-09-04 22:29:25</t>
  </si>
  <si>
    <t>2024-09-05 01:22:07</t>
  </si>
  <si>
    <t>TCK-14200</t>
  </si>
  <si>
    <t>2024-04-01 19:22:32</t>
  </si>
  <si>
    <t>2024-04-03 07:14:29</t>
  </si>
  <si>
    <t>TCK-14201</t>
  </si>
  <si>
    <t>2024-06-12 15:07:32</t>
  </si>
  <si>
    <t>2024-06-14 03:14:55</t>
  </si>
  <si>
    <t>TCK-14202</t>
  </si>
  <si>
    <t>2024-08-05 09:31:53</t>
  </si>
  <si>
    <t>2024-08-05 18:47:51</t>
  </si>
  <si>
    <t>TCK-14203</t>
  </si>
  <si>
    <t>2024-05-04 10:59:09</t>
  </si>
  <si>
    <t>2024-05-05 06:26:01</t>
  </si>
  <si>
    <t>TCK-14204</t>
  </si>
  <si>
    <t>2024-06-26 10:31:52</t>
  </si>
  <si>
    <t>TCK-14205</t>
  </si>
  <si>
    <t>2024-08-16 14:51:23</t>
  </si>
  <si>
    <t>2024-08-16 21:14:07</t>
  </si>
  <si>
    <t>TCK-14206</t>
  </si>
  <si>
    <t>2024-09-21 02:00:33</t>
  </si>
  <si>
    <t>2024-09-21 05:47:50</t>
  </si>
  <si>
    <t>TCK-14207</t>
  </si>
  <si>
    <t>2024-03-08 19:49:10</t>
  </si>
  <si>
    <t>2024-03-08 20:43:32</t>
  </si>
  <si>
    <t>TCK-14208</t>
  </si>
  <si>
    <t>2024-02-07 03:23:53</t>
  </si>
  <si>
    <t>2024-02-08 05:29:17</t>
  </si>
  <si>
    <t>TCK-14209</t>
  </si>
  <si>
    <t>2024-04-16 12:28:20</t>
  </si>
  <si>
    <t>2024-04-16 21:47:49</t>
  </si>
  <si>
    <t>TCK-14210</t>
  </si>
  <si>
    <t>2024-08-01 09:27:11</t>
  </si>
  <si>
    <t>2024-08-01 12:08:02</t>
  </si>
  <si>
    <t>TCK-14211</t>
  </si>
  <si>
    <t>2024-05-07 01:19:58</t>
  </si>
  <si>
    <t>2024-05-07 04:19:38</t>
  </si>
  <si>
    <t>TCK-14212</t>
  </si>
  <si>
    <t>2024-04-29 22:22:26</t>
  </si>
  <si>
    <t>TCK-14213</t>
  </si>
  <si>
    <t>2024-12-06 02:18:24</t>
  </si>
  <si>
    <t>2024-12-06 20:31:58</t>
  </si>
  <si>
    <t>TCK-14214</t>
  </si>
  <si>
    <t>2024-03-29 17:11:47</t>
  </si>
  <si>
    <t>2024-03-31 17:48:22</t>
  </si>
  <si>
    <t>TCK-14215</t>
  </si>
  <si>
    <t>2024-02-25 18:21:37</t>
  </si>
  <si>
    <t>2024-02-25 22:44:47</t>
  </si>
  <si>
    <t>TCK-14216</t>
  </si>
  <si>
    <t>2024-12-29 09:51:19</t>
  </si>
  <si>
    <t>2024-12-29 15:01:39</t>
  </si>
  <si>
    <t>TCK-14217</t>
  </si>
  <si>
    <t>2024-04-12 23:20:30</t>
  </si>
  <si>
    <t>2024-04-13 23:03:40</t>
  </si>
  <si>
    <t>TCK-14218</t>
  </si>
  <si>
    <t>2024-12-14 21:38:52</t>
  </si>
  <si>
    <t>2024-12-15 13:29:48</t>
  </si>
  <si>
    <t>TCK-14219</t>
  </si>
  <si>
    <t>2024-03-01 08:34:33</t>
  </si>
  <si>
    <t>2024-03-02 06:42:46</t>
  </si>
  <si>
    <t>TCK-14220</t>
  </si>
  <si>
    <t>2024-03-22 21:12:05</t>
  </si>
  <si>
    <t>2024-03-24 10:28:04</t>
  </si>
  <si>
    <t>TCK-14221</t>
  </si>
  <si>
    <t>2024-02-14 10:17:38</t>
  </si>
  <si>
    <t>2024-02-14 22:39:55</t>
  </si>
  <si>
    <t>TCK-14222</t>
  </si>
  <si>
    <t>2024-06-05 11:00:59</t>
  </si>
  <si>
    <t>2024-06-06 09:21:46</t>
  </si>
  <si>
    <t>TCK-14223</t>
  </si>
  <si>
    <t>2024-03-05 00:07:35</t>
  </si>
  <si>
    <t>TCK-14224</t>
  </si>
  <si>
    <t>2024-04-05 05:27:04</t>
  </si>
  <si>
    <t>2024-04-05 23:39:36</t>
  </si>
  <si>
    <t>TCK-14225</t>
  </si>
  <si>
    <t>2024-11-19 15:38:31</t>
  </si>
  <si>
    <t>2024-11-20 06:30:30</t>
  </si>
  <si>
    <t>TCK-14226</t>
  </si>
  <si>
    <t>2024-02-25 08:27:05</t>
  </si>
  <si>
    <t>2024-02-25 15:07:42</t>
  </si>
  <si>
    <t>TCK-14227</t>
  </si>
  <si>
    <t>2024-12-07 06:33:36</t>
  </si>
  <si>
    <t>2024-12-07 09:52:02</t>
  </si>
  <si>
    <t>TCK-14228</t>
  </si>
  <si>
    <t>2024-04-15 01:53:36</t>
  </si>
  <si>
    <t>2024-04-15 14:38:36</t>
  </si>
  <si>
    <t>TCK-14229</t>
  </si>
  <si>
    <t>2024-08-18 16:40:09</t>
  </si>
  <si>
    <t>2024-08-18 23:48:47</t>
  </si>
  <si>
    <t>TCK-14230</t>
  </si>
  <si>
    <t>2024-09-07 18:20:21</t>
  </si>
  <si>
    <t>TCK-14231</t>
  </si>
  <si>
    <t>2024-07-11 21:32:20</t>
  </si>
  <si>
    <t>2024-07-12 15:46:26</t>
  </si>
  <si>
    <t>TCK-14232</t>
  </si>
  <si>
    <t>2024-03-23 14:17:32</t>
  </si>
  <si>
    <t>2024-03-24 06:59:50</t>
  </si>
  <si>
    <t>TCK-14233</t>
  </si>
  <si>
    <t>2024-07-06 16:30:52</t>
  </si>
  <si>
    <t>2024-07-06 18:58:56</t>
  </si>
  <si>
    <t>TCK-14234</t>
  </si>
  <si>
    <t>2024-04-19 23:20:08</t>
  </si>
  <si>
    <t>2024-04-25 16:12:54</t>
  </si>
  <si>
    <t>TCK-14235</t>
  </si>
  <si>
    <t>2024-07-31 12:13:37</t>
  </si>
  <si>
    <t>2024-08-01 00:45:44</t>
  </si>
  <si>
    <t>TCK-14236</t>
  </si>
  <si>
    <t>2024-11-01 06:11:48</t>
  </si>
  <si>
    <t>2024-11-02 02:29:38</t>
  </si>
  <si>
    <t>TCK-14237</t>
  </si>
  <si>
    <t>2024-02-24 14:13:29</t>
  </si>
  <si>
    <t>2024-02-25 02:34:33</t>
  </si>
  <si>
    <t>TCK-14238</t>
  </si>
  <si>
    <t>2024-10-11 06:42:32</t>
  </si>
  <si>
    <t>2024-10-12 00:41:42</t>
  </si>
  <si>
    <t>TCK-14239</t>
  </si>
  <si>
    <t>2024-03-27 18:20:31</t>
  </si>
  <si>
    <t>2024-03-27 21:50:32</t>
  </si>
  <si>
    <t>TCK-14240</t>
  </si>
  <si>
    <t>2024-09-16 22:12:29</t>
  </si>
  <si>
    <t>2024-09-18 10:34:52</t>
  </si>
  <si>
    <t>TCK-14241</t>
  </si>
  <si>
    <t>2024-05-24 16:48:08</t>
  </si>
  <si>
    <t>2024-05-24 18:55:52</t>
  </si>
  <si>
    <t>TCK-14242</t>
  </si>
  <si>
    <t>2024-04-14 04:41:55</t>
  </si>
  <si>
    <t>2024-04-17 23:06:04</t>
  </si>
  <si>
    <t>TCK-14243</t>
  </si>
  <si>
    <t>2024-07-13 06:31:00</t>
  </si>
  <si>
    <t>2024-07-14 22:03:04</t>
  </si>
  <si>
    <t>TCK-14244</t>
  </si>
  <si>
    <t>2024-12-14 05:56:11</t>
  </si>
  <si>
    <t>2024-12-14 17:29:18</t>
  </si>
  <si>
    <t>TCK-14245</t>
  </si>
  <si>
    <t>2024-02-12 17:46:03</t>
  </si>
  <si>
    <t>TCK-14246</t>
  </si>
  <si>
    <t>2024-09-22 11:55:31</t>
  </si>
  <si>
    <t>TCK-14247</t>
  </si>
  <si>
    <t>2024-06-02 09:38:06</t>
  </si>
  <si>
    <t>2024-06-03 23:42:56</t>
  </si>
  <si>
    <t>TCK-14248</t>
  </si>
  <si>
    <t>2024-10-24 23:47:25</t>
  </si>
  <si>
    <t>TCK-14249</t>
  </si>
  <si>
    <t>2024-05-10 23:04:08</t>
  </si>
  <si>
    <t>2024-05-11 20:59:30</t>
  </si>
  <si>
    <t>TCK-14250</t>
  </si>
  <si>
    <t>2024-05-16 08:14:26</t>
  </si>
  <si>
    <t>2024-05-16 10:15:42</t>
  </si>
  <si>
    <t>TCK-14251</t>
  </si>
  <si>
    <t>2024-09-21 02:19:55</t>
  </si>
  <si>
    <t>TCK-14252</t>
  </si>
  <si>
    <t>2024-02-22 16:43:26</t>
  </si>
  <si>
    <t>2024-02-22 23:19:55</t>
  </si>
  <si>
    <t>TCK-14253</t>
  </si>
  <si>
    <t>2024-09-28 21:07:38</t>
  </si>
  <si>
    <t>TCK-14254</t>
  </si>
  <si>
    <t>2024-06-26 17:44:45</t>
  </si>
  <si>
    <t>TCK-14255</t>
  </si>
  <si>
    <t>2024-08-24 10:08:35</t>
  </si>
  <si>
    <t>2024-08-24 13:22:50</t>
  </si>
  <si>
    <t>TCK-14256</t>
  </si>
  <si>
    <t>2024-01-01 21:11:25</t>
  </si>
  <si>
    <t>2024-01-02 04:43:06</t>
  </si>
  <si>
    <t>TCK-14257</t>
  </si>
  <si>
    <t>2024-07-22 00:41:38</t>
  </si>
  <si>
    <t>2024-07-22 10:27:43</t>
  </si>
  <si>
    <t>TCK-14258</t>
  </si>
  <si>
    <t>2024-04-06 21:21:56</t>
  </si>
  <si>
    <t>2024-04-06 22:36:39</t>
  </si>
  <si>
    <t>TCK-14259</t>
  </si>
  <si>
    <t>2024-01-13 02:36:50</t>
  </si>
  <si>
    <t>2024-01-13 09:45:57</t>
  </si>
  <si>
    <t>TCK-14260</t>
  </si>
  <si>
    <t>2024-11-18 12:26:50</t>
  </si>
  <si>
    <t>2024-11-20 07:51:52</t>
  </si>
  <si>
    <t>TCK-14261</t>
  </si>
  <si>
    <t>2024-10-15 12:39:26</t>
  </si>
  <si>
    <t>2024-10-15 20:14:29</t>
  </si>
  <si>
    <t>TCK-14262</t>
  </si>
  <si>
    <t>2024-11-18 11:05:40</t>
  </si>
  <si>
    <t>2024-11-19 16:40:48</t>
  </si>
  <si>
    <t>TCK-14263</t>
  </si>
  <si>
    <t>2024-03-08 10:48:48</t>
  </si>
  <si>
    <t>2024-03-08 15:57:32</t>
  </si>
  <si>
    <t>TCK-14264</t>
  </si>
  <si>
    <t>2024-10-19 14:35:46</t>
  </si>
  <si>
    <t>TCK-14265</t>
  </si>
  <si>
    <t>2024-09-29 01:27:20</t>
  </si>
  <si>
    <t>2024-09-29 04:29:05</t>
  </si>
  <si>
    <t>TCK-14266</t>
  </si>
  <si>
    <t>2024-10-30 03:56:16</t>
  </si>
  <si>
    <t>2024-10-31 16:57:06</t>
  </si>
  <si>
    <t>TCK-14267</t>
  </si>
  <si>
    <t>2024-03-06 07:48:51</t>
  </si>
  <si>
    <t>2024-03-06 14:29:14</t>
  </si>
  <si>
    <t>TCK-14268</t>
  </si>
  <si>
    <t>2024-04-20 05:50:19</t>
  </si>
  <si>
    <t>TCK-14269</t>
  </si>
  <si>
    <t>2024-10-12 11:39:38</t>
  </si>
  <si>
    <t>2024-10-12 15:20:17</t>
  </si>
  <si>
    <t>TCK-14270</t>
  </si>
  <si>
    <t>2024-07-19 14:25:59</t>
  </si>
  <si>
    <t>2024-07-20 15:51:42</t>
  </si>
  <si>
    <t>TCK-14271</t>
  </si>
  <si>
    <t>2024-10-19 18:59:56</t>
  </si>
  <si>
    <t>2024-10-19 22:27:47</t>
  </si>
  <si>
    <t>TCK-14272</t>
  </si>
  <si>
    <t>2024-08-29 21:41:20</t>
  </si>
  <si>
    <t>2024-08-30 07:43:02</t>
  </si>
  <si>
    <t>TCK-14273</t>
  </si>
  <si>
    <t>2024-04-22 04:39:30</t>
  </si>
  <si>
    <t>2024-04-22 20:33:56</t>
  </si>
  <si>
    <t>TCK-14274</t>
  </si>
  <si>
    <t>2024-09-22 04:30:18</t>
  </si>
  <si>
    <t>2024-09-25 07:18:53</t>
  </si>
  <si>
    <t>TCK-14275</t>
  </si>
  <si>
    <t>2024-04-25 05:55:59</t>
  </si>
  <si>
    <t>2024-04-26 03:07:50</t>
  </si>
  <si>
    <t>TCK-14276</t>
  </si>
  <si>
    <t>2024-12-10 16:11:53</t>
  </si>
  <si>
    <t>2024-12-11 08:18:25</t>
  </si>
  <si>
    <t>TCK-14277</t>
  </si>
  <si>
    <t>2024-08-07 05:30:14</t>
  </si>
  <si>
    <t>2024-08-07 09:26:29</t>
  </si>
  <si>
    <t>TCK-14278</t>
  </si>
  <si>
    <t>2024-01-22 12:55:18</t>
  </si>
  <si>
    <t>2024-01-24 03:40:46</t>
  </si>
  <si>
    <t>TCK-14279</t>
  </si>
  <si>
    <t>2024-06-23 03:55:38</t>
  </si>
  <si>
    <t>2024-06-23 15:35:57</t>
  </si>
  <si>
    <t>TCK-14280</t>
  </si>
  <si>
    <t>2024-03-03 12:18:41</t>
  </si>
  <si>
    <t>2024-03-03 17:40:02</t>
  </si>
  <si>
    <t>TCK-14281</t>
  </si>
  <si>
    <t>2024-02-27 12:11:16</t>
  </si>
  <si>
    <t>2024-02-27 17:05:58</t>
  </si>
  <si>
    <t>TCK-14282</t>
  </si>
  <si>
    <t>2024-09-01 07:51:54</t>
  </si>
  <si>
    <t>2024-09-02 02:18:24</t>
  </si>
  <si>
    <t>TCK-14283</t>
  </si>
  <si>
    <t>2024-06-17 03:33:08</t>
  </si>
  <si>
    <t>2024-06-18 22:43:24</t>
  </si>
  <si>
    <t>TCK-14284</t>
  </si>
  <si>
    <t>2024-10-08 23:57:13</t>
  </si>
  <si>
    <t>2024-10-09 06:48:45</t>
  </si>
  <si>
    <t>TCK-14285</t>
  </si>
  <si>
    <t>2024-01-29 10:29:39</t>
  </si>
  <si>
    <t>2024-01-29 14:44:04</t>
  </si>
  <si>
    <t>TCK-14286</t>
  </si>
  <si>
    <t>2024-11-02 05:37:54</t>
  </si>
  <si>
    <t>2024-11-02 15:57:15</t>
  </si>
  <si>
    <t>TCK-14287</t>
  </si>
  <si>
    <t>2024-08-13 17:06:11</t>
  </si>
  <si>
    <t>TCK-14288</t>
  </si>
  <si>
    <t>2024-11-11 08:54:35</t>
  </si>
  <si>
    <t>2024-11-11 15:26:03</t>
  </si>
  <si>
    <t>TCK-14289</t>
  </si>
  <si>
    <t>2024-01-29 18:02:18</t>
  </si>
  <si>
    <t>2024-01-30 19:52:26</t>
  </si>
  <si>
    <t>TCK-14290</t>
  </si>
  <si>
    <t>2024-12-29 22:07:13</t>
  </si>
  <si>
    <t>2024-12-30 17:10:26</t>
  </si>
  <si>
    <t>TCK-14291</t>
  </si>
  <si>
    <t>2024-07-12 20:49:08</t>
  </si>
  <si>
    <t>2024-07-14 11:32:48</t>
  </si>
  <si>
    <t>TCK-14292</t>
  </si>
  <si>
    <t>2024-04-06 11:03:31</t>
  </si>
  <si>
    <t>2024-04-08 03:15:36</t>
  </si>
  <si>
    <t>TCK-14293</t>
  </si>
  <si>
    <t>2024-04-30 06:53:49</t>
  </si>
  <si>
    <t>2024-05-01 13:41:01</t>
  </si>
  <si>
    <t>TCK-14294</t>
  </si>
  <si>
    <t>2024-05-28 12:33:05</t>
  </si>
  <si>
    <t>2024-05-28 15:47:03</t>
  </si>
  <si>
    <t>TCK-14295</t>
  </si>
  <si>
    <t>2024-07-09 13:11:57</t>
  </si>
  <si>
    <t>TCK-14296</t>
  </si>
  <si>
    <t>2024-11-19 23:17:32</t>
  </si>
  <si>
    <t>2024-11-20 11:52:53</t>
  </si>
  <si>
    <t>TCK-14297</t>
  </si>
  <si>
    <t>2024-03-07 11:40:59</t>
  </si>
  <si>
    <t>2024-03-08 05:03:24</t>
  </si>
  <si>
    <t>TCK-14298</t>
  </si>
  <si>
    <t>2024-07-01 21:53:29</t>
  </si>
  <si>
    <t>2024-07-01 23:47:11</t>
  </si>
  <si>
    <t>TCK-14299</t>
  </si>
  <si>
    <t>2024-03-26 07:23:22</t>
  </si>
  <si>
    <t>2024-03-26 10:16:30</t>
  </si>
  <si>
    <t>TCK-14300</t>
  </si>
  <si>
    <t>2024-11-15 15:28:01</t>
  </si>
  <si>
    <t>2024-11-15 18:07:26</t>
  </si>
  <si>
    <t>TCK-14301</t>
  </si>
  <si>
    <t>2024-12-24 18:56:30</t>
  </si>
  <si>
    <t>2024-12-26 08:35:11</t>
  </si>
  <si>
    <t>TCK-14302</t>
  </si>
  <si>
    <t>2024-06-29 18:56:21</t>
  </si>
  <si>
    <t>2024-06-30 14:25:50</t>
  </si>
  <si>
    <t>TCK-14303</t>
  </si>
  <si>
    <t>2024-12-12 17:30:43</t>
  </si>
  <si>
    <t>2024-12-12 21:02:31</t>
  </si>
  <si>
    <t>TCK-14304</t>
  </si>
  <si>
    <t>2024-06-24 03:25:05</t>
  </si>
  <si>
    <t>2024-06-24 23:23:20</t>
  </si>
  <si>
    <t>TCK-14305</t>
  </si>
  <si>
    <t>2024-06-02 08:48:07</t>
  </si>
  <si>
    <t>2024-06-02 19:37:51</t>
  </si>
  <si>
    <t>TCK-14306</t>
  </si>
  <si>
    <t>2024-06-18 13:51:37</t>
  </si>
  <si>
    <t>2024-06-18 18:33:29</t>
  </si>
  <si>
    <t>TCK-14307</t>
  </si>
  <si>
    <t>2024-07-11 14:44:24</t>
  </si>
  <si>
    <t>TCK-14308</t>
  </si>
  <si>
    <t>2024-07-01 02:15:34</t>
  </si>
  <si>
    <t>2024-07-01 18:56:09</t>
  </si>
  <si>
    <t>TCK-14309</t>
  </si>
  <si>
    <t>2024-01-17 02:20:51</t>
  </si>
  <si>
    <t>2024-01-17 17:54:45</t>
  </si>
  <si>
    <t>TCK-14310</t>
  </si>
  <si>
    <t>2024-09-23 13:59:09</t>
  </si>
  <si>
    <t>2024-09-24 05:07:18</t>
  </si>
  <si>
    <t>TCK-14311</t>
  </si>
  <si>
    <t>2024-04-05 18:35:34</t>
  </si>
  <si>
    <t>2024-04-06 00:07:39</t>
  </si>
  <si>
    <t>TCK-14312</t>
  </si>
  <si>
    <t>2024-11-15 02:02:53</t>
  </si>
  <si>
    <t>2024-11-16 18:17:50</t>
  </si>
  <si>
    <t>TCK-14313</t>
  </si>
  <si>
    <t>2024-01-09 15:56:57</t>
  </si>
  <si>
    <t>2024-01-10 01:55:42</t>
  </si>
  <si>
    <t>TCK-14314</t>
  </si>
  <si>
    <t>2024-05-18 09:18:21</t>
  </si>
  <si>
    <t>2024-05-18 13:12:59</t>
  </si>
  <si>
    <t>TCK-14315</t>
  </si>
  <si>
    <t>2024-06-25 23:15:18</t>
  </si>
  <si>
    <t>TCK-14316</t>
  </si>
  <si>
    <t>2024-08-10 10:12:57</t>
  </si>
  <si>
    <t>2024-08-11 00:52:13</t>
  </si>
  <si>
    <t>TCK-14317</t>
  </si>
  <si>
    <t>2024-06-03 16:11:31</t>
  </si>
  <si>
    <t>2024-06-05 07:18:12</t>
  </si>
  <si>
    <t>TCK-14318</t>
  </si>
  <si>
    <t>2024-08-11 16:57:07</t>
  </si>
  <si>
    <t>2024-08-12 08:40:47</t>
  </si>
  <si>
    <t>TCK-14319</t>
  </si>
  <si>
    <t>2024-05-07 08:03:15</t>
  </si>
  <si>
    <t>2024-05-08 12:38:48</t>
  </si>
  <si>
    <t>TCK-14320</t>
  </si>
  <si>
    <t>2024-11-15 15:44:07</t>
  </si>
  <si>
    <t>TCK-14321</t>
  </si>
  <si>
    <t>2024-04-29 08:57:45</t>
  </si>
  <si>
    <t>2024-04-30 01:18:58</t>
  </si>
  <si>
    <t>TCK-14322</t>
  </si>
  <si>
    <t>2024-02-23 16:33:02</t>
  </si>
  <si>
    <t>TCK-14323</t>
  </si>
  <si>
    <t>2024-06-27 00:54:05</t>
  </si>
  <si>
    <t>2024-06-27 11:20:48</t>
  </si>
  <si>
    <t>TCK-14324</t>
  </si>
  <si>
    <t>2024-11-13 12:36:42</t>
  </si>
  <si>
    <t>2024-11-16 20:17:25</t>
  </si>
  <si>
    <t>TCK-14325</t>
  </si>
  <si>
    <t>2024-09-19 21:40:54</t>
  </si>
  <si>
    <t>TCK-14326</t>
  </si>
  <si>
    <t>2024-06-25 17:25:07</t>
  </si>
  <si>
    <t>2024-06-25 22:31:45</t>
  </si>
  <si>
    <t>TCK-14327</t>
  </si>
  <si>
    <t>2024-10-11 05:30:14</t>
  </si>
  <si>
    <t>2024-10-11 10:58:27</t>
  </si>
  <si>
    <t>TCK-14328</t>
  </si>
  <si>
    <t>2024-05-11 01:10:07</t>
  </si>
  <si>
    <t>2024-05-11 04:18:45</t>
  </si>
  <si>
    <t>TCK-14329</t>
  </si>
  <si>
    <t>2024-03-14 13:58:40</t>
  </si>
  <si>
    <t>2024-03-14 22:01:07</t>
  </si>
  <si>
    <t>TCK-14330</t>
  </si>
  <si>
    <t>2024-09-07 03:06:18</t>
  </si>
  <si>
    <t>2024-09-07 11:05:15</t>
  </si>
  <si>
    <t>TCK-14331</t>
  </si>
  <si>
    <t>2024-02-25 03:33:04</t>
  </si>
  <si>
    <t>2024-02-25 08:56:31</t>
  </si>
  <si>
    <t>TCK-14332</t>
  </si>
  <si>
    <t>2024-08-21 10:43:31</t>
  </si>
  <si>
    <t>2024-08-21 17:55:08</t>
  </si>
  <si>
    <t>TCK-14333</t>
  </si>
  <si>
    <t>2024-11-03 14:40:46</t>
  </si>
  <si>
    <t>2024-11-03 18:50:04</t>
  </si>
  <si>
    <t>TCK-14334</t>
  </si>
  <si>
    <t>2024-01-06 00:04:39</t>
  </si>
  <si>
    <t>2024-01-06 16:32:32</t>
  </si>
  <si>
    <t>TCK-14335</t>
  </si>
  <si>
    <t>2024-02-20 12:24:18</t>
  </si>
  <si>
    <t>2024-02-20 23:47:52</t>
  </si>
  <si>
    <t>TCK-14336</t>
  </si>
  <si>
    <t>2024-02-19 18:16:39</t>
  </si>
  <si>
    <t>2024-02-19 22:51:17</t>
  </si>
  <si>
    <t>TCK-14337</t>
  </si>
  <si>
    <t>2024-02-08 03:07:35</t>
  </si>
  <si>
    <t>2024-02-08 07:52:15</t>
  </si>
  <si>
    <t>TCK-14338</t>
  </si>
  <si>
    <t>2024-08-12 10:58:07</t>
  </si>
  <si>
    <t>2024-08-12 16:12:03</t>
  </si>
  <si>
    <t>TCK-14339</t>
  </si>
  <si>
    <t>2024-01-24 04:42:00</t>
  </si>
  <si>
    <t>2024-01-25 03:18:57</t>
  </si>
  <si>
    <t>TCK-14340</t>
  </si>
  <si>
    <t>2024-11-28 06:10:34</t>
  </si>
  <si>
    <t>2024-11-28 17:41:02</t>
  </si>
  <si>
    <t>TCK-14341</t>
  </si>
  <si>
    <t>2024-10-01 01:43:58</t>
  </si>
  <si>
    <t>2024-10-04 00:49:22</t>
  </si>
  <si>
    <t>TCK-14342</t>
  </si>
  <si>
    <t>2024-09-24 18:44:17</t>
  </si>
  <si>
    <t>2024-09-25 13:12:11</t>
  </si>
  <si>
    <t>TCK-14343</t>
  </si>
  <si>
    <t>2024-09-16 17:48:55</t>
  </si>
  <si>
    <t>2024-09-18 12:59:02</t>
  </si>
  <si>
    <t>TCK-14344</t>
  </si>
  <si>
    <t>2024-03-10 04:19:33</t>
  </si>
  <si>
    <t>2024-03-10 05:01:40</t>
  </si>
  <si>
    <t>TCK-14345</t>
  </si>
  <si>
    <t>2024-04-17 13:29:44</t>
  </si>
  <si>
    <t>2024-04-18 02:52:27</t>
  </si>
  <si>
    <t>TCK-14346</t>
  </si>
  <si>
    <t>2024-10-29 12:45:53</t>
  </si>
  <si>
    <t>2024-10-30 06:40:18</t>
  </si>
  <si>
    <t>TCK-14347</t>
  </si>
  <si>
    <t>2024-01-04 05:29:25</t>
  </si>
  <si>
    <t>TCK-14348</t>
  </si>
  <si>
    <t>2024-06-20 18:29:17</t>
  </si>
  <si>
    <t>2024-06-21 09:40:58</t>
  </si>
  <si>
    <t>TCK-14349</t>
  </si>
  <si>
    <t>2024-12-23 15:48:29</t>
  </si>
  <si>
    <t>2024-12-25 01:49:23</t>
  </si>
  <si>
    <t>TCK-14350</t>
  </si>
  <si>
    <t>2024-03-26 00:20:54</t>
  </si>
  <si>
    <t>2024-03-26 04:03:53</t>
  </si>
  <si>
    <t>TCK-14351</t>
  </si>
  <si>
    <t>2024-10-11 04:20:06</t>
  </si>
  <si>
    <t>2024-10-12 00:13:04</t>
  </si>
  <si>
    <t>TCK-14352</t>
  </si>
  <si>
    <t>2024-07-05 12:39:02</t>
  </si>
  <si>
    <t>2024-07-05 18:54:49</t>
  </si>
  <si>
    <t>TCK-14353</t>
  </si>
  <si>
    <t>2024-03-26 20:35:34</t>
  </si>
  <si>
    <t>2024-03-27 15:26:49</t>
  </si>
  <si>
    <t>TCK-14354</t>
  </si>
  <si>
    <t>2024-07-24 12:41:24</t>
  </si>
  <si>
    <t>2024-07-24 14:51:17</t>
  </si>
  <si>
    <t>TCK-14355</t>
  </si>
  <si>
    <t>2024-05-01 17:43:25</t>
  </si>
  <si>
    <t>2024-05-02 13:19:24</t>
  </si>
  <si>
    <t>TCK-14356</t>
  </si>
  <si>
    <t>2024-08-09 06:21:32</t>
  </si>
  <si>
    <t>TCK-14357</t>
  </si>
  <si>
    <t>2024-06-07 22:27:10</t>
  </si>
  <si>
    <t>TCK-14358</t>
  </si>
  <si>
    <t>2024-12-22 23:53:52</t>
  </si>
  <si>
    <t>2024-12-24 15:05:32</t>
  </si>
  <si>
    <t>TCK-14359</t>
  </si>
  <si>
    <t>2024-07-19 15:57:00</t>
  </si>
  <si>
    <t>2024-07-20 02:20:41</t>
  </si>
  <si>
    <t>TCK-14360</t>
  </si>
  <si>
    <t>2024-04-13 11:14:50</t>
  </si>
  <si>
    <t>2024-04-13 15:07:43</t>
  </si>
  <si>
    <t>TCK-14361</t>
  </si>
  <si>
    <t>2024-07-07 13:28:43</t>
  </si>
  <si>
    <t>2024-07-07 20:14:39</t>
  </si>
  <si>
    <t>TCK-14362</t>
  </si>
  <si>
    <t>2024-11-24 23:39:32</t>
  </si>
  <si>
    <t>2024-11-25 04:58:15</t>
  </si>
  <si>
    <t>TCK-14363</t>
  </si>
  <si>
    <t>2024-10-29 22:19:39</t>
  </si>
  <si>
    <t>2024-10-30 03:14:56</t>
  </si>
  <si>
    <t>TCK-14364</t>
  </si>
  <si>
    <t>2024-09-05 02:13:51</t>
  </si>
  <si>
    <t>2024-09-05 09:56:27</t>
  </si>
  <si>
    <t>TCK-14365</t>
  </si>
  <si>
    <t>2024-06-17 07:21:32</t>
  </si>
  <si>
    <t>2024-06-19 06:27:13</t>
  </si>
  <si>
    <t>TCK-14366</t>
  </si>
  <si>
    <t>2024-09-13 08:28:36</t>
  </si>
  <si>
    <t>2024-09-13 15:19:43</t>
  </si>
  <si>
    <t>TCK-14367</t>
  </si>
  <si>
    <t>2024-07-15 18:12:36</t>
  </si>
  <si>
    <t>2024-07-15 22:49:53</t>
  </si>
  <si>
    <t>TCK-14368</t>
  </si>
  <si>
    <t>2024-09-23 01:59:16</t>
  </si>
  <si>
    <t>2024-09-24 03:24:52</t>
  </si>
  <si>
    <t>TCK-14369</t>
  </si>
  <si>
    <t>2024-10-16 01:01:08</t>
  </si>
  <si>
    <t>2024-10-16 19:28:34</t>
  </si>
  <si>
    <t>TCK-14370</t>
  </si>
  <si>
    <t>2024-08-10 00:50:20</t>
  </si>
  <si>
    <t>2024-08-10 19:42:20</t>
  </si>
  <si>
    <t>TCK-14371</t>
  </si>
  <si>
    <t>2024-05-07 11:32:13</t>
  </si>
  <si>
    <t>2024-05-08 06:49:34</t>
  </si>
  <si>
    <t>TCK-14372</t>
  </si>
  <si>
    <t>2024-07-29 03:56:06</t>
  </si>
  <si>
    <t>TCK-14373</t>
  </si>
  <si>
    <t>2024-10-09 22:14:29</t>
  </si>
  <si>
    <t>2024-10-10 05:46:12</t>
  </si>
  <si>
    <t>TCK-14374</t>
  </si>
  <si>
    <t>2024-06-16 11:50:20</t>
  </si>
  <si>
    <t>TCK-14375</t>
  </si>
  <si>
    <t>2024-04-26 04:00:17</t>
  </si>
  <si>
    <t>2024-04-26 16:52:26</t>
  </si>
  <si>
    <t>TCK-14376</t>
  </si>
  <si>
    <t>2024-11-12 08:45:03</t>
  </si>
  <si>
    <t>2024-11-13 07:08:22</t>
  </si>
  <si>
    <t>TCK-14377</t>
  </si>
  <si>
    <t>2024-04-15 21:43:27</t>
  </si>
  <si>
    <t>2024-04-17 11:00:49</t>
  </si>
  <si>
    <t>TCK-14378</t>
  </si>
  <si>
    <t>2024-12-19 09:13:00</t>
  </si>
  <si>
    <t>2024-12-19 13:23:05</t>
  </si>
  <si>
    <t>TCK-14379</t>
  </si>
  <si>
    <t>2024-04-16 09:13:18</t>
  </si>
  <si>
    <t>2024-04-16 09:58:00</t>
  </si>
  <si>
    <t>TCK-14380</t>
  </si>
  <si>
    <t>2024-01-12 01:48:12</t>
  </si>
  <si>
    <t>2024-01-12 08:04:26</t>
  </si>
  <si>
    <t>TCK-14381</t>
  </si>
  <si>
    <t>2024-11-03 03:12:00</t>
  </si>
  <si>
    <t>TCK-14382</t>
  </si>
  <si>
    <t>2024-04-06 12:45:09</t>
  </si>
  <si>
    <t>2024-04-07 21:26:16</t>
  </si>
  <si>
    <t>TCK-14383</t>
  </si>
  <si>
    <t>2024-01-31 03:37:51</t>
  </si>
  <si>
    <t>2024-01-31 10:56:10</t>
  </si>
  <si>
    <t>TCK-14384</t>
  </si>
  <si>
    <t>2024-02-29 07:50:02</t>
  </si>
  <si>
    <t>2024-02-29 13:15:01</t>
  </si>
  <si>
    <t>TCK-14385</t>
  </si>
  <si>
    <t>2024-01-03 05:23:53</t>
  </si>
  <si>
    <t>2024-01-03 19:00:10</t>
  </si>
  <si>
    <t>TCK-14386</t>
  </si>
  <si>
    <t>2024-07-07 06:20:08</t>
  </si>
  <si>
    <t>2024-07-07 12:54:11</t>
  </si>
  <si>
    <t>TCK-14387</t>
  </si>
  <si>
    <t>2024-09-14 20:24:55</t>
  </si>
  <si>
    <t>TCK-14388</t>
  </si>
  <si>
    <t>2024-09-28 05:03:29</t>
  </si>
  <si>
    <t>2024-09-29 03:48:38</t>
  </si>
  <si>
    <t>TCK-14389</t>
  </si>
  <si>
    <t>2024-06-29 02:40:01</t>
  </si>
  <si>
    <t>TCK-14390</t>
  </si>
  <si>
    <t>2024-11-26 09:58:39</t>
  </si>
  <si>
    <t>TCK-14391</t>
  </si>
  <si>
    <t>2024-07-06 02:52:03</t>
  </si>
  <si>
    <t>2024-07-06 07:52:31</t>
  </si>
  <si>
    <t>TCK-14392</t>
  </si>
  <si>
    <t>2024-08-31 14:03:43</t>
  </si>
  <si>
    <t>2024-08-31 16:16:27</t>
  </si>
  <si>
    <t>TCK-14393</t>
  </si>
  <si>
    <t>2024-01-14 05:14:53</t>
  </si>
  <si>
    <t>2024-01-15 07:15:02</t>
  </si>
  <si>
    <t>TCK-14394</t>
  </si>
  <si>
    <t>2024-07-31 02:42:48</t>
  </si>
  <si>
    <t>2024-08-02 20:48:46</t>
  </si>
  <si>
    <t>TCK-14395</t>
  </si>
  <si>
    <t>2024-09-21 21:50:01</t>
  </si>
  <si>
    <t>2024-09-21 22:29:32</t>
  </si>
  <si>
    <t>TCK-14396</t>
  </si>
  <si>
    <t>2024-09-22 16:16:06</t>
  </si>
  <si>
    <t>2024-09-23 12:23:41</t>
  </si>
  <si>
    <t>TCK-14397</t>
  </si>
  <si>
    <t>2024-02-04 14:37:21</t>
  </si>
  <si>
    <t>2024-02-04 19:01:14</t>
  </si>
  <si>
    <t>TCK-14398</t>
  </si>
  <si>
    <t>2024-03-24 20:55:30</t>
  </si>
  <si>
    <t>2024-03-25 00:45:26</t>
  </si>
  <si>
    <t>TCK-14399</t>
  </si>
  <si>
    <t>2024-11-08 06:24:38</t>
  </si>
  <si>
    <t>2024-11-09 07:56:27</t>
  </si>
  <si>
    <t>TCK-14400</t>
  </si>
  <si>
    <t>2024-05-09 16:38:58</t>
  </si>
  <si>
    <t>2024-05-09 17:33:23</t>
  </si>
  <si>
    <t>TCK-14401</t>
  </si>
  <si>
    <t>2024-08-27 02:16:27</t>
  </si>
  <si>
    <t>2024-08-27 23:57:38</t>
  </si>
  <si>
    <t>TCK-14402</t>
  </si>
  <si>
    <t>2024-11-03 21:25:26</t>
  </si>
  <si>
    <t>2024-11-04 01:15:57</t>
  </si>
  <si>
    <t>TCK-14403</t>
  </si>
  <si>
    <t>2024-01-02 08:30:07</t>
  </si>
  <si>
    <t>2024-01-04 06:36:06</t>
  </si>
  <si>
    <t>TCK-14404</t>
  </si>
  <si>
    <t>2024-07-12 04:23:56</t>
  </si>
  <si>
    <t>2024-07-12 20:09:42</t>
  </si>
  <si>
    <t>TCK-14405</t>
  </si>
  <si>
    <t>2024-01-10 12:52:01</t>
  </si>
  <si>
    <t>2024-01-10 21:50:03</t>
  </si>
  <si>
    <t>TCK-14406</t>
  </si>
  <si>
    <t>2024-01-04 08:30:03</t>
  </si>
  <si>
    <t>2024-01-04 10:24:21</t>
  </si>
  <si>
    <t>TCK-14407</t>
  </si>
  <si>
    <t>2024-02-23 18:00:56</t>
  </si>
  <si>
    <t>2024-02-23 20:38:15</t>
  </si>
  <si>
    <t>TCK-14408</t>
  </si>
  <si>
    <t>2024-10-19 03:36:57</t>
  </si>
  <si>
    <t>2024-10-19 07:01:21</t>
  </si>
  <si>
    <t>TCK-14409</t>
  </si>
  <si>
    <t>2024-12-10 08:12:26</t>
  </si>
  <si>
    <t>2024-12-10 11:55:02</t>
  </si>
  <si>
    <t>TCK-14410</t>
  </si>
  <si>
    <t>2024-09-05 02:56:03</t>
  </si>
  <si>
    <t>2024-09-05 18:58:02</t>
  </si>
  <si>
    <t>TCK-14411</t>
  </si>
  <si>
    <t>2024-05-16 21:33:25</t>
  </si>
  <si>
    <t>TCK-14412</t>
  </si>
  <si>
    <t>2024-08-04 07:41:59</t>
  </si>
  <si>
    <t>2024-08-04 15:17:38</t>
  </si>
  <si>
    <t>TCK-14413</t>
  </si>
  <si>
    <t>2024-10-14 01:13:54</t>
  </si>
  <si>
    <t>2024-10-16 03:48:59</t>
  </si>
  <si>
    <t>TCK-14414</t>
  </si>
  <si>
    <t>2024-02-17 02:51:53</t>
  </si>
  <si>
    <t>2024-02-17 13:33:53</t>
  </si>
  <si>
    <t>TCK-14415</t>
  </si>
  <si>
    <t>2024-06-05 12:00:11</t>
  </si>
  <si>
    <t>2024-06-06 01:55:07</t>
  </si>
  <si>
    <t>TCK-14416</t>
  </si>
  <si>
    <t>2024-02-07 18:49:24</t>
  </si>
  <si>
    <t>2024-02-08 16:14:09</t>
  </si>
  <si>
    <t>TCK-14417</t>
  </si>
  <si>
    <t>2024-06-30 13:58:14</t>
  </si>
  <si>
    <t>2024-07-01 06:43:53</t>
  </si>
  <si>
    <t>TCK-14418</t>
  </si>
  <si>
    <t>2024-03-30 15:46:59</t>
  </si>
  <si>
    <t>2024-03-30 22:26:41</t>
  </si>
  <si>
    <t>TCK-14419</t>
  </si>
  <si>
    <t>2024-01-24 08:53:25</t>
  </si>
  <si>
    <t>2024-01-24 21:58:57</t>
  </si>
  <si>
    <t>TCK-14420</t>
  </si>
  <si>
    <t>2024-10-31 17:55:14</t>
  </si>
  <si>
    <t>TCK-14421</t>
  </si>
  <si>
    <t>2024-03-07 21:32:17</t>
  </si>
  <si>
    <t>2024-03-08 09:34:44</t>
  </si>
  <si>
    <t>TCK-14422</t>
  </si>
  <si>
    <t>2024-01-07 12:09:50</t>
  </si>
  <si>
    <t>2024-01-07 17:29:33</t>
  </si>
  <si>
    <t>TCK-14423</t>
  </si>
  <si>
    <t>2024-08-23 20:18:23</t>
  </si>
  <si>
    <t>2024-08-24 12:31:26</t>
  </si>
  <si>
    <t>TCK-14424</t>
  </si>
  <si>
    <t>2024-08-04 17:49:22</t>
  </si>
  <si>
    <t>2024-08-04 22:43:18</t>
  </si>
  <si>
    <t>TCK-14425</t>
  </si>
  <si>
    <t>2024-08-03 01:00:03</t>
  </si>
  <si>
    <t>2024-08-03 23:24:20</t>
  </si>
  <si>
    <t>TCK-14426</t>
  </si>
  <si>
    <t>2024-04-01 11:19:23</t>
  </si>
  <si>
    <t>2024-04-05 04:11:37</t>
  </si>
  <si>
    <t>TCK-14427</t>
  </si>
  <si>
    <t>2024-04-15 06:09:50</t>
  </si>
  <si>
    <t>2024-04-15 13:46:28</t>
  </si>
  <si>
    <t>TCK-14428</t>
  </si>
  <si>
    <t>2024-05-13 16:25:37</t>
  </si>
  <si>
    <t>2024-05-14 09:30:35</t>
  </si>
  <si>
    <t>TCK-14429</t>
  </si>
  <si>
    <t>2024-03-25 15:58:41</t>
  </si>
  <si>
    <t>2024-03-25 21:39:03</t>
  </si>
  <si>
    <t>TCK-14430</t>
  </si>
  <si>
    <t>2024-12-09 15:44:43</t>
  </si>
  <si>
    <t>TCK-14431</t>
  </si>
  <si>
    <t>2024-02-02 23:25:41</t>
  </si>
  <si>
    <t>2024-02-03 06:13:16</t>
  </si>
  <si>
    <t>TCK-14432</t>
  </si>
  <si>
    <t>2024-03-06 01:45:42</t>
  </si>
  <si>
    <t>2024-03-06 16:55:15</t>
  </si>
  <si>
    <t>TCK-14433</t>
  </si>
  <si>
    <t>2024-04-02 14:56:15</t>
  </si>
  <si>
    <t>2024-04-03 11:53:54</t>
  </si>
  <si>
    <t>TCK-14434</t>
  </si>
  <si>
    <t>2024-07-10 01:33:45</t>
  </si>
  <si>
    <t>2024-07-10 16:07:32</t>
  </si>
  <si>
    <t>TCK-14435</t>
  </si>
  <si>
    <t>2024-06-21 01:13:29</t>
  </si>
  <si>
    <t>2024-06-21 19:16:13</t>
  </si>
  <si>
    <t>TCK-14436</t>
  </si>
  <si>
    <t>2024-05-25 20:03:29</t>
  </si>
  <si>
    <t>2024-05-26 07:56:17</t>
  </si>
  <si>
    <t>TCK-14437</t>
  </si>
  <si>
    <t>2024-04-11 17:32:25</t>
  </si>
  <si>
    <t>2024-04-12 13:57:45</t>
  </si>
  <si>
    <t>TCK-14438</t>
  </si>
  <si>
    <t>2024-09-24 06:41:53</t>
  </si>
  <si>
    <t>2024-09-24 19:31:05</t>
  </si>
  <si>
    <t>TCK-14439</t>
  </si>
  <si>
    <t>2024-10-08 14:12:06</t>
  </si>
  <si>
    <t>TCK-14440</t>
  </si>
  <si>
    <t>2024-04-03 00:01:28</t>
  </si>
  <si>
    <t>2024-04-03 22:34:31</t>
  </si>
  <si>
    <t>TCK-14441</t>
  </si>
  <si>
    <t>2024-12-23 23:33:39</t>
  </si>
  <si>
    <t>2024-12-24 01:08:15</t>
  </si>
  <si>
    <t>TCK-14442</t>
  </si>
  <si>
    <t>2024-11-10 12:27:02</t>
  </si>
  <si>
    <t>2024-11-10 21:25:48</t>
  </si>
  <si>
    <t>TCK-14443</t>
  </si>
  <si>
    <t>2024-11-06 15:01:47</t>
  </si>
  <si>
    <t>TCK-14444</t>
  </si>
  <si>
    <t>2024-09-01 13:04:58</t>
  </si>
  <si>
    <t>2024-09-01 13:46:00</t>
  </si>
  <si>
    <t>TCK-14445</t>
  </si>
  <si>
    <t>2024-02-10 02:12:23</t>
  </si>
  <si>
    <t>2024-02-10 05:49:49</t>
  </si>
  <si>
    <t>TCK-14446</t>
  </si>
  <si>
    <t>2024-04-09 02:25:43</t>
  </si>
  <si>
    <t>2024-04-09 15:52:03</t>
  </si>
  <si>
    <t>TCK-14447</t>
  </si>
  <si>
    <t>2024-11-30 08:15:43</t>
  </si>
  <si>
    <t>TCK-14448</t>
  </si>
  <si>
    <t>2024-01-24 15:58:00</t>
  </si>
  <si>
    <t>2024-01-24 21:14:35</t>
  </si>
  <si>
    <t>TCK-14449</t>
  </si>
  <si>
    <t>2024-06-28 19:01:20</t>
  </si>
  <si>
    <t>2024-06-29 06:39:23</t>
  </si>
  <si>
    <t>TCK-14450</t>
  </si>
  <si>
    <t>2024-03-04 23:54:26</t>
  </si>
  <si>
    <t>2024-03-05 05:10:16</t>
  </si>
  <si>
    <t>TCK-14451</t>
  </si>
  <si>
    <t>2024-09-06 12:30:18</t>
  </si>
  <si>
    <t>2024-09-06 23:32:13</t>
  </si>
  <si>
    <t>TCK-14452</t>
  </si>
  <si>
    <t>2024-05-17 19:11:28</t>
  </si>
  <si>
    <t>2024-05-19 09:10:46</t>
  </si>
  <si>
    <t>TCK-14453</t>
  </si>
  <si>
    <t>2024-09-13 12:49:55</t>
  </si>
  <si>
    <t>2024-09-14 03:19:47</t>
  </si>
  <si>
    <t>TCK-14454</t>
  </si>
  <si>
    <t>2024-05-02 10:20:31</t>
  </si>
  <si>
    <t>2024-05-04 05:47:30</t>
  </si>
  <si>
    <t>TCK-14455</t>
  </si>
  <si>
    <t>2024-07-01 11:49:46</t>
  </si>
  <si>
    <t>2024-07-01 17:35:30</t>
  </si>
  <si>
    <t>TCK-14456</t>
  </si>
  <si>
    <t>2024-05-03 05:36:42</t>
  </si>
  <si>
    <t>2024-05-03 09:19:12</t>
  </si>
  <si>
    <t>TCK-14457</t>
  </si>
  <si>
    <t>2024-01-11 04:54:00</t>
  </si>
  <si>
    <t>2024-01-12 01:19:44</t>
  </si>
  <si>
    <t>TCK-14458</t>
  </si>
  <si>
    <t>2024-11-28 05:23:58</t>
  </si>
  <si>
    <t>2024-11-29 07:23:57</t>
  </si>
  <si>
    <t>TCK-14459</t>
  </si>
  <si>
    <t>2024-11-24 14:23:56</t>
  </si>
  <si>
    <t>2024-11-24 15:21:37</t>
  </si>
  <si>
    <t>TCK-14460</t>
  </si>
  <si>
    <t>2024-05-01 00:52:46</t>
  </si>
  <si>
    <t>2024-05-02 16:32:50</t>
  </si>
  <si>
    <t>TCK-14461</t>
  </si>
  <si>
    <t>2024-04-24 06:38:06</t>
  </si>
  <si>
    <t>2024-04-24 07:51:08</t>
  </si>
  <si>
    <t>TCK-14462</t>
  </si>
  <si>
    <t>2024-04-17 16:25:09</t>
  </si>
  <si>
    <t>TCK-14463</t>
  </si>
  <si>
    <t>2024-05-08 19:45:47</t>
  </si>
  <si>
    <t>TCK-14464</t>
  </si>
  <si>
    <t>2024-10-27 16:59:36</t>
  </si>
  <si>
    <t>2024-10-28 11:57:59</t>
  </si>
  <si>
    <t>TCK-14465</t>
  </si>
  <si>
    <t>2024-05-17 06:39:16</t>
  </si>
  <si>
    <t>2024-05-20 03:45:45</t>
  </si>
  <si>
    <t>TCK-14466</t>
  </si>
  <si>
    <t>2024-11-18 11:01:55</t>
  </si>
  <si>
    <t>2024-11-18 17:18:32</t>
  </si>
  <si>
    <t>TCK-14467</t>
  </si>
  <si>
    <t>2024-11-27 06:08:56</t>
  </si>
  <si>
    <t>2024-11-27 12:42:42</t>
  </si>
  <si>
    <t>TCK-14468</t>
  </si>
  <si>
    <t>2024-12-07 01:41:00</t>
  </si>
  <si>
    <t>2024-12-08 00:54:23</t>
  </si>
  <si>
    <t>TCK-14469</t>
  </si>
  <si>
    <t>2024-01-21 19:31:44</t>
  </si>
  <si>
    <t>2024-01-21 20:43:44</t>
  </si>
  <si>
    <t>TCK-14470</t>
  </si>
  <si>
    <t>2024-02-05 03:50:35</t>
  </si>
  <si>
    <t>2024-02-05 06:49:05</t>
  </si>
  <si>
    <t>TCK-14471</t>
  </si>
  <si>
    <t>2024-03-27 07:22:31</t>
  </si>
  <si>
    <t>TCK-14472</t>
  </si>
  <si>
    <t>2024-09-19 18:07:10</t>
  </si>
  <si>
    <t>2024-09-20 10:31:10</t>
  </si>
  <si>
    <t>TCK-14473</t>
  </si>
  <si>
    <t>2024-02-21 03:31:35</t>
  </si>
  <si>
    <t>2024-02-21 06:23:01</t>
  </si>
  <si>
    <t>TCK-14474</t>
  </si>
  <si>
    <t>2024-03-20 18:00:50</t>
  </si>
  <si>
    <t>2024-03-20 20:05:53</t>
  </si>
  <si>
    <t>TCK-14475</t>
  </si>
  <si>
    <t>2024-03-11 01:36:10</t>
  </si>
  <si>
    <t>2024-03-11 04:50:25</t>
  </si>
  <si>
    <t>TCK-14476</t>
  </si>
  <si>
    <t>2024-08-26 09:18:16</t>
  </si>
  <si>
    <t>TCK-14477</t>
  </si>
  <si>
    <t>2024-03-19 21:52:29</t>
  </si>
  <si>
    <t>2024-03-20 14:09:16</t>
  </si>
  <si>
    <t>TCK-14478</t>
  </si>
  <si>
    <t>2024-04-27 08:53:45</t>
  </si>
  <si>
    <t>2024-04-27 13:58:58</t>
  </si>
  <si>
    <t>TCK-14479</t>
  </si>
  <si>
    <t>2024-02-04 04:24:25</t>
  </si>
  <si>
    <t>2024-02-04 05:39:40</t>
  </si>
  <si>
    <t>TCK-14480</t>
  </si>
  <si>
    <t>2024-12-27 10:21:40</t>
  </si>
  <si>
    <t>TCK-14481</t>
  </si>
  <si>
    <t>2024-10-31 11:13:48</t>
  </si>
  <si>
    <t>2024-10-31 19:58:38</t>
  </si>
  <si>
    <t>TCK-14482</t>
  </si>
  <si>
    <t>2024-05-08 19:30:17</t>
  </si>
  <si>
    <t>2024-05-09 15:27:59</t>
  </si>
  <si>
    <t>TCK-14483</t>
  </si>
  <si>
    <t>2024-05-19 10:55:43</t>
  </si>
  <si>
    <t>2024-05-20 01:02:32</t>
  </si>
  <si>
    <t>TCK-14484</t>
  </si>
  <si>
    <t>2024-04-01 14:43:30</t>
  </si>
  <si>
    <t>2024-04-03 10:07:47</t>
  </si>
  <si>
    <t>TCK-14485</t>
  </si>
  <si>
    <t>2024-05-22 04:07:45</t>
  </si>
  <si>
    <t>2024-05-22 22:33:09</t>
  </si>
  <si>
    <t>TCK-14486</t>
  </si>
  <si>
    <t>2024-02-25 23:14:39</t>
  </si>
  <si>
    <t>2024-02-26 16:16:37</t>
  </si>
  <si>
    <t>TCK-14487</t>
  </si>
  <si>
    <t>2024-02-18 05:12:09</t>
  </si>
  <si>
    <t>2024-02-19 02:42:08</t>
  </si>
  <si>
    <t>TCK-14488</t>
  </si>
  <si>
    <t>2024-04-21 06:26:36</t>
  </si>
  <si>
    <t>2024-04-22 01:52:58</t>
  </si>
  <si>
    <t>TCK-14489</t>
  </si>
  <si>
    <t>2024-04-07 03:09:41</t>
  </si>
  <si>
    <t>2024-04-07 14:31:24</t>
  </si>
  <si>
    <t>TCK-14490</t>
  </si>
  <si>
    <t>2024-09-16 06:03:35</t>
  </si>
  <si>
    <t>2024-09-16 09:04:20</t>
  </si>
  <si>
    <t>TCK-14491</t>
  </si>
  <si>
    <t>2024-07-31 10:56:03</t>
  </si>
  <si>
    <t>2024-07-31 17:47:18</t>
  </si>
  <si>
    <t>TCK-14492</t>
  </si>
  <si>
    <t>2024-04-26 21:39:21</t>
  </si>
  <si>
    <t>2024-04-28 02:13:00</t>
  </si>
  <si>
    <t>TCK-14493</t>
  </si>
  <si>
    <t>2024-09-29 08:07:00</t>
  </si>
  <si>
    <t>TCK-14494</t>
  </si>
  <si>
    <t>2024-04-26 06:28:29</t>
  </si>
  <si>
    <t>2024-04-26 14:08:03</t>
  </si>
  <si>
    <t>TCK-14495</t>
  </si>
  <si>
    <t>2024-03-07 07:20:59</t>
  </si>
  <si>
    <t>2024-03-07 09:53:17</t>
  </si>
  <si>
    <t>TCK-14496</t>
  </si>
  <si>
    <t>2024-11-02 03:41:13</t>
  </si>
  <si>
    <t>2024-11-02 04:30:42</t>
  </si>
  <si>
    <t>TCK-14497</t>
  </si>
  <si>
    <t>2024-05-26 06:14:55</t>
  </si>
  <si>
    <t>2024-05-26 11:34:15</t>
  </si>
  <si>
    <t>TCK-14498</t>
  </si>
  <si>
    <t>2024-05-13 19:37:45</t>
  </si>
  <si>
    <t>2024-05-14 13:03:37</t>
  </si>
  <si>
    <t>TCK-14499</t>
  </si>
  <si>
    <t>2024-07-07 03:05:07</t>
  </si>
  <si>
    <t>2024-07-09 09:30:00</t>
  </si>
  <si>
    <t>TCK-14500</t>
  </si>
  <si>
    <t>2024-06-09 23:04:54</t>
  </si>
  <si>
    <t>TCK-14501</t>
  </si>
  <si>
    <t>2024-05-29 23:38:24</t>
  </si>
  <si>
    <t>2024-05-30 11:45:02</t>
  </si>
  <si>
    <t>TCK-14502</t>
  </si>
  <si>
    <t>2024-12-24 05:50:06</t>
  </si>
  <si>
    <t>2024-12-25 02:34:36</t>
  </si>
  <si>
    <t>TCK-14503</t>
  </si>
  <si>
    <t>2024-02-05 09:44:52</t>
  </si>
  <si>
    <t>2024-02-06 04:43:36</t>
  </si>
  <si>
    <t>TCK-14504</t>
  </si>
  <si>
    <t>2024-02-12 23:31:06</t>
  </si>
  <si>
    <t>2024-02-14 20:07:14</t>
  </si>
  <si>
    <t>TCK-14505</t>
  </si>
  <si>
    <t>2024-12-12 13:15:24</t>
  </si>
  <si>
    <t>TCK-14506</t>
  </si>
  <si>
    <t>2024-04-03 03:29:09</t>
  </si>
  <si>
    <t>2024-04-03 08:19:19</t>
  </si>
  <si>
    <t>TCK-14507</t>
  </si>
  <si>
    <t>2024-12-01 17:30:32</t>
  </si>
  <si>
    <t>2024-12-02 03:40:55</t>
  </si>
  <si>
    <t>TCK-14508</t>
  </si>
  <si>
    <t>2024-12-27 22:32:23</t>
  </si>
  <si>
    <t>2024-12-27 23:13:00</t>
  </si>
  <si>
    <t>TCK-14509</t>
  </si>
  <si>
    <t>2024-10-02 16:34:14</t>
  </si>
  <si>
    <t>2024-10-03 02:52:56</t>
  </si>
  <si>
    <t>TCK-14510</t>
  </si>
  <si>
    <t>2024-04-28 11:05:36</t>
  </si>
  <si>
    <t>2024-04-28 17:32:11</t>
  </si>
  <si>
    <t>TCK-14511</t>
  </si>
  <si>
    <t>2024-12-27 09:33:52</t>
  </si>
  <si>
    <t>2024-12-27 13:00:26</t>
  </si>
  <si>
    <t>TCK-14512</t>
  </si>
  <si>
    <t>2024-03-12 11:34:14</t>
  </si>
  <si>
    <t>2024-03-12 13:58:08</t>
  </si>
  <si>
    <t>TCK-14513</t>
  </si>
  <si>
    <t>2024-02-22 10:18:15</t>
  </si>
  <si>
    <t>2024-02-22 14:54:20</t>
  </si>
  <si>
    <t>TCK-14514</t>
  </si>
  <si>
    <t>2024-08-09 23:00:42</t>
  </si>
  <si>
    <t>TCK-14515</t>
  </si>
  <si>
    <t>2024-09-10 09:13:04</t>
  </si>
  <si>
    <t>2024-09-10 12:17:50</t>
  </si>
  <si>
    <t>TCK-14516</t>
  </si>
  <si>
    <t>2024-01-06 00:30:30</t>
  </si>
  <si>
    <t>2024-01-06 12:11:08</t>
  </si>
  <si>
    <t>TCK-14517</t>
  </si>
  <si>
    <t>2024-10-11 09:14:26</t>
  </si>
  <si>
    <t>2024-10-11 12:04:00</t>
  </si>
  <si>
    <t>TCK-14518</t>
  </si>
  <si>
    <t>2024-10-03 01:04:35</t>
  </si>
  <si>
    <t>2024-10-03 01:54:35</t>
  </si>
  <si>
    <t>TCK-14519</t>
  </si>
  <si>
    <t>2024-03-08 22:52:00</t>
  </si>
  <si>
    <t>2024-03-09 15:12:37</t>
  </si>
  <si>
    <t>TCK-14520</t>
  </si>
  <si>
    <t>2024-05-12 23:23:22</t>
  </si>
  <si>
    <t>2024-05-14 19:34:31</t>
  </si>
  <si>
    <t>TCK-14521</t>
  </si>
  <si>
    <t>2024-07-29 01:33:48</t>
  </si>
  <si>
    <t>2024-07-29 13:18:09</t>
  </si>
  <si>
    <t>TCK-14522</t>
  </si>
  <si>
    <t>2024-08-06 15:54:57</t>
  </si>
  <si>
    <t>2024-08-06 17:49:41</t>
  </si>
  <si>
    <t>TCK-14523</t>
  </si>
  <si>
    <t>2024-06-30 13:19:56</t>
  </si>
  <si>
    <t>2024-06-30 20:23:39</t>
  </si>
  <si>
    <t>TCK-14524</t>
  </si>
  <si>
    <t>2024-12-30 19:34:11</t>
  </si>
  <si>
    <t>2024-12-31 17:23:00</t>
  </si>
  <si>
    <t>TCK-14525</t>
  </si>
  <si>
    <t>2024-07-19 12:04:38</t>
  </si>
  <si>
    <t>2024-07-19 14:03:13</t>
  </si>
  <si>
    <t>TCK-14526</t>
  </si>
  <si>
    <t>2024-04-18 07:53:14</t>
  </si>
  <si>
    <t>2024-04-19 16:46:40</t>
  </si>
  <si>
    <t>TCK-14527</t>
  </si>
  <si>
    <t>2024-02-12 03:25:30</t>
  </si>
  <si>
    <t>2024-02-14 01:36:05</t>
  </si>
  <si>
    <t>TCK-14528</t>
  </si>
  <si>
    <t>2024-06-10 07:53:40</t>
  </si>
  <si>
    <t>2024-06-12 19:19:56</t>
  </si>
  <si>
    <t>TCK-14529</t>
  </si>
  <si>
    <t>2024-06-05 18:26:45</t>
  </si>
  <si>
    <t>2024-06-07 14:16:22</t>
  </si>
  <si>
    <t>TCK-14530</t>
  </si>
  <si>
    <t>2024-11-26 03:15:35</t>
  </si>
  <si>
    <t>2024-11-27 16:40:19</t>
  </si>
  <si>
    <t>TCK-14531</t>
  </si>
  <si>
    <t>2024-07-15 14:01:59</t>
  </si>
  <si>
    <t>TCK-14532</t>
  </si>
  <si>
    <t>2024-01-30 00:12:39</t>
  </si>
  <si>
    <t>2024-01-30 01:37:03</t>
  </si>
  <si>
    <t>TCK-14533</t>
  </si>
  <si>
    <t>2024-02-03 07:18:32</t>
  </si>
  <si>
    <t>2024-02-04 16:18:07</t>
  </si>
  <si>
    <t>TCK-14534</t>
  </si>
  <si>
    <t>2024-11-08 22:44:15</t>
  </si>
  <si>
    <t>2024-11-09 20:05:18</t>
  </si>
  <si>
    <t>TCK-14535</t>
  </si>
  <si>
    <t>2024-01-10 12:52:50</t>
  </si>
  <si>
    <t>2024-01-12 01:27:04</t>
  </si>
  <si>
    <t>TCK-14536</t>
  </si>
  <si>
    <t>2024-11-27 09:28:36</t>
  </si>
  <si>
    <t>2024-11-27 20:13:33</t>
  </si>
  <si>
    <t>TCK-14537</t>
  </si>
  <si>
    <t>2024-10-07 15:56:28</t>
  </si>
  <si>
    <t>2024-10-09 04:26:25</t>
  </si>
  <si>
    <t>TCK-14538</t>
  </si>
  <si>
    <t>2024-12-21 22:18:20</t>
  </si>
  <si>
    <t>2024-12-22 00:03:59</t>
  </si>
  <si>
    <t>TCK-14539</t>
  </si>
  <si>
    <t>2024-03-14 03:42:07</t>
  </si>
  <si>
    <t>2024-03-14 04:36:20</t>
  </si>
  <si>
    <t>TCK-14540</t>
  </si>
  <si>
    <t>2024-10-30 07:57:56</t>
  </si>
  <si>
    <t>2024-10-30 14:02:08</t>
  </si>
  <si>
    <t>TCK-14541</t>
  </si>
  <si>
    <t>2024-06-08 11:15:51</t>
  </si>
  <si>
    <t>TCK-14542</t>
  </si>
  <si>
    <t>2024-06-19 13:38:00</t>
  </si>
  <si>
    <t>TCK-14543</t>
  </si>
  <si>
    <t>2024-10-03 19:54:46</t>
  </si>
  <si>
    <t>2024-10-04 00:38:31</t>
  </si>
  <si>
    <t>TCK-14544</t>
  </si>
  <si>
    <t>2024-11-27 09:11:49</t>
  </si>
  <si>
    <t>TCK-14545</t>
  </si>
  <si>
    <t>2024-03-18 17:59:36</t>
  </si>
  <si>
    <t>2024-03-20 12:06:57</t>
  </si>
  <si>
    <t>TCK-14546</t>
  </si>
  <si>
    <t>2024-06-27 23:30:59</t>
  </si>
  <si>
    <t>2024-06-29 23:39:58</t>
  </si>
  <si>
    <t>TCK-14547</t>
  </si>
  <si>
    <t>2024-12-01 02:16:31</t>
  </si>
  <si>
    <t>2024-12-02 16:28:41</t>
  </si>
  <si>
    <t>TCK-14548</t>
  </si>
  <si>
    <t>2024-04-05 02:08:23</t>
  </si>
  <si>
    <t>2024-04-05 03:42:05</t>
  </si>
  <si>
    <t>TCK-14549</t>
  </si>
  <si>
    <t>2024-12-13 15:09:32</t>
  </si>
  <si>
    <t>TCK-14550</t>
  </si>
  <si>
    <t>2024-07-26 15:22:30</t>
  </si>
  <si>
    <t>TCK-14551</t>
  </si>
  <si>
    <t>2024-02-23 09:11:22</t>
  </si>
  <si>
    <t>2024-02-24 10:11:57</t>
  </si>
  <si>
    <t>TCK-14552</t>
  </si>
  <si>
    <t>2024-01-20 05:57:03</t>
  </si>
  <si>
    <t>2024-01-22 19:38:06</t>
  </si>
  <si>
    <t>TCK-14553</t>
  </si>
  <si>
    <t>2024-11-19 10:38:30</t>
  </si>
  <si>
    <t>2024-11-20 05:31:02</t>
  </si>
  <si>
    <t>TCK-14554</t>
  </si>
  <si>
    <t>2024-12-25 15:38:29</t>
  </si>
  <si>
    <t>2024-12-25 18:37:10</t>
  </si>
  <si>
    <t>TCK-14555</t>
  </si>
  <si>
    <t>2024-04-30 08:22:12</t>
  </si>
  <si>
    <t>2024-05-01 06:32:45</t>
  </si>
  <si>
    <t>TCK-14556</t>
  </si>
  <si>
    <t>2024-04-17 15:15:01</t>
  </si>
  <si>
    <t>TCK-14557</t>
  </si>
  <si>
    <t>2024-05-27 02:52:16</t>
  </si>
  <si>
    <t>2024-05-27 11:15:52</t>
  </si>
  <si>
    <t>TCK-14558</t>
  </si>
  <si>
    <t>2024-07-29 15:44:34</t>
  </si>
  <si>
    <t>2024-07-30 13:51:31</t>
  </si>
  <si>
    <t>TCK-14559</t>
  </si>
  <si>
    <t>2024-01-17 14:03:59</t>
  </si>
  <si>
    <t>2024-01-17 19:22:00</t>
  </si>
  <si>
    <t>TCK-14560</t>
  </si>
  <si>
    <t>2024-11-17 00:00:11</t>
  </si>
  <si>
    <t>2024-11-17 05:45:29</t>
  </si>
  <si>
    <t>TCK-14561</t>
  </si>
  <si>
    <t>2024-10-26 23:49:58</t>
  </si>
  <si>
    <t>2024-10-27 06:25:49</t>
  </si>
  <si>
    <t>TCK-14562</t>
  </si>
  <si>
    <t>2024-09-03 01:43:03</t>
  </si>
  <si>
    <t>TCK-14563</t>
  </si>
  <si>
    <t>2024-12-14 09:52:02</t>
  </si>
  <si>
    <t>2024-12-15 15:37:56</t>
  </si>
  <si>
    <t>TCK-14564</t>
  </si>
  <si>
    <t>2024-08-01 23:25:39</t>
  </si>
  <si>
    <t>2024-08-02 03:49:05</t>
  </si>
  <si>
    <t>TCK-14565</t>
  </si>
  <si>
    <t>2024-06-07 13:52:05</t>
  </si>
  <si>
    <t>2024-06-07 19:19:11</t>
  </si>
  <si>
    <t>TCK-14566</t>
  </si>
  <si>
    <t>2024-01-04 15:26:40</t>
  </si>
  <si>
    <t>2024-01-04 17:04:36</t>
  </si>
  <si>
    <t>TCK-14567</t>
  </si>
  <si>
    <t>2024-08-05 12:29:55</t>
  </si>
  <si>
    <t>2024-08-05 15:39:42</t>
  </si>
  <si>
    <t>TCK-14568</t>
  </si>
  <si>
    <t>2024-01-23 06:26:07</t>
  </si>
  <si>
    <t>2024-01-23 13:57:01</t>
  </si>
  <si>
    <t>TCK-14569</t>
  </si>
  <si>
    <t>2024-11-11 23:47:40</t>
  </si>
  <si>
    <t>2024-11-12 05:22:42</t>
  </si>
  <si>
    <t>TCK-14570</t>
  </si>
  <si>
    <t>2024-06-21 17:33:01</t>
  </si>
  <si>
    <t>2024-06-21 19:36:46</t>
  </si>
  <si>
    <t>TCK-14571</t>
  </si>
  <si>
    <t>2024-01-06 08:36:09</t>
  </si>
  <si>
    <t>2024-01-06 15:19:53</t>
  </si>
  <si>
    <t>TCK-14572</t>
  </si>
  <si>
    <t>2024-10-22 08:11:51</t>
  </si>
  <si>
    <t>2024-10-22 20:05:25</t>
  </si>
  <si>
    <t>TCK-14573</t>
  </si>
  <si>
    <t>2024-06-06 13:42:40</t>
  </si>
  <si>
    <t>2024-06-06 19:34:40</t>
  </si>
  <si>
    <t>TCK-14574</t>
  </si>
  <si>
    <t>2024-06-25 02:36:29</t>
  </si>
  <si>
    <t>2024-06-25 18:50:15</t>
  </si>
  <si>
    <t>TCK-14575</t>
  </si>
  <si>
    <t>2024-07-20 14:02:55</t>
  </si>
  <si>
    <t>2024-07-21 11:47:26</t>
  </si>
  <si>
    <t>TCK-14576</t>
  </si>
  <si>
    <t>2024-01-20 04:20:18</t>
  </si>
  <si>
    <t>2024-01-20 09:01:39</t>
  </si>
  <si>
    <t>TCK-14577</t>
  </si>
  <si>
    <t>2024-07-04 07:39:15</t>
  </si>
  <si>
    <t>2024-07-05 00:09:27</t>
  </si>
  <si>
    <t>TCK-14578</t>
  </si>
  <si>
    <t>2024-01-15 17:35:04</t>
  </si>
  <si>
    <t>2024-01-16 00:06:38</t>
  </si>
  <si>
    <t>TCK-14579</t>
  </si>
  <si>
    <t>2024-01-27 15:06:40</t>
  </si>
  <si>
    <t>2024-01-28 15:41:37</t>
  </si>
  <si>
    <t>TCK-14580</t>
  </si>
  <si>
    <t>2024-06-15 16:17:18</t>
  </si>
  <si>
    <t>2024-06-15 17:22:39</t>
  </si>
  <si>
    <t>TCK-14581</t>
  </si>
  <si>
    <t>2024-03-21 13:21:36</t>
  </si>
  <si>
    <t>2024-03-22 21:02:14</t>
  </si>
  <si>
    <t>TCK-14582</t>
  </si>
  <si>
    <t>2024-06-24 21:36:02</t>
  </si>
  <si>
    <t>2024-06-25 01:14:22</t>
  </si>
  <si>
    <t>TCK-14583</t>
  </si>
  <si>
    <t>2024-03-16 01:05:50</t>
  </si>
  <si>
    <t>TCK-14584</t>
  </si>
  <si>
    <t>2024-09-20 08:16:12</t>
  </si>
  <si>
    <t>2024-09-21 01:55:04</t>
  </si>
  <si>
    <t>TCK-14585</t>
  </si>
  <si>
    <t>2024-03-03 17:52:37</t>
  </si>
  <si>
    <t>TCK-14586</t>
  </si>
  <si>
    <t>2024-10-13 02:29:36</t>
  </si>
  <si>
    <t>2024-10-13 07:56:53</t>
  </si>
  <si>
    <t>TCK-14587</t>
  </si>
  <si>
    <t>2024-04-18 17:29:10</t>
  </si>
  <si>
    <t>2024-04-19 13:35:22</t>
  </si>
  <si>
    <t>TCK-14588</t>
  </si>
  <si>
    <t>2024-11-05 16:09:20</t>
  </si>
  <si>
    <t>2024-11-06 14:12:03</t>
  </si>
  <si>
    <t>TCK-14589</t>
  </si>
  <si>
    <t>2024-09-29 20:17:50</t>
  </si>
  <si>
    <t>2024-09-30 01:02:22</t>
  </si>
  <si>
    <t>TCK-14590</t>
  </si>
  <si>
    <t>2024-02-07 03:32:10</t>
  </si>
  <si>
    <t>2024-02-11 15:18:18</t>
  </si>
  <si>
    <t>TCK-14591</t>
  </si>
  <si>
    <t>2024-12-14 21:41:17</t>
  </si>
  <si>
    <t>2024-12-15 18:15:18</t>
  </si>
  <si>
    <t>TCK-14592</t>
  </si>
  <si>
    <t>2024-03-28 13:57:51</t>
  </si>
  <si>
    <t>2024-03-28 15:28:25</t>
  </si>
  <si>
    <t>TCK-14593</t>
  </si>
  <si>
    <t>2024-08-26 03:43:55</t>
  </si>
  <si>
    <t>TCK-14594</t>
  </si>
  <si>
    <t>2024-05-20 06:08:29</t>
  </si>
  <si>
    <t>2024-05-20 10:25:33</t>
  </si>
  <si>
    <t>TCK-14595</t>
  </si>
  <si>
    <t>2024-10-14 09:19:43</t>
  </si>
  <si>
    <t>2024-10-14 22:40:04</t>
  </si>
  <si>
    <t>TCK-14596</t>
  </si>
  <si>
    <t>2024-08-31 02:25:04</t>
  </si>
  <si>
    <t>2024-09-01 01:31:51</t>
  </si>
  <si>
    <t>TCK-14597</t>
  </si>
  <si>
    <t>2024-01-09 05:04:02</t>
  </si>
  <si>
    <t>2024-01-09 20:44:56</t>
  </si>
  <si>
    <t>TCK-14598</t>
  </si>
  <si>
    <t>2024-06-30 15:10:39</t>
  </si>
  <si>
    <t>2024-06-30 20:38:54</t>
  </si>
  <si>
    <t>TCK-14599</t>
  </si>
  <si>
    <t>2024-05-30 19:14:53</t>
  </si>
  <si>
    <t>2024-05-30 22:51:35</t>
  </si>
  <si>
    <t>TCK-14600</t>
  </si>
  <si>
    <t>2024-06-06 16:58:36</t>
  </si>
  <si>
    <t>2024-06-06 22:04:19</t>
  </si>
  <si>
    <t>TCK-14601</t>
  </si>
  <si>
    <t>2024-04-03 08:41:45</t>
  </si>
  <si>
    <t>2024-04-03 18:02:54</t>
  </si>
  <si>
    <t>TCK-14602</t>
  </si>
  <si>
    <t>2024-02-08 08:41:34</t>
  </si>
  <si>
    <t>2024-02-08 14:01:25</t>
  </si>
  <si>
    <t>TCK-14603</t>
  </si>
  <si>
    <t>2024-11-21 10:12:17</t>
  </si>
  <si>
    <t>2024-11-21 17:13:06</t>
  </si>
  <si>
    <t>TCK-14604</t>
  </si>
  <si>
    <t>2024-05-27 06:35:37</t>
  </si>
  <si>
    <t>2024-05-27 07:24:21</t>
  </si>
  <si>
    <t>TCK-14605</t>
  </si>
  <si>
    <t>2024-06-15 03:49:50</t>
  </si>
  <si>
    <t>2024-06-15 04:26:06</t>
  </si>
  <si>
    <t>TCK-14606</t>
  </si>
  <si>
    <t>2024-12-12 08:49:00</t>
  </si>
  <si>
    <t>2024-12-12 11:27:39</t>
  </si>
  <si>
    <t>TCK-14607</t>
  </si>
  <si>
    <t>2024-11-18 09:44:29</t>
  </si>
  <si>
    <t>TCK-14608</t>
  </si>
  <si>
    <t>2024-04-18 02:04:47</t>
  </si>
  <si>
    <t>2024-04-18 03:33:57</t>
  </si>
  <si>
    <t>TCK-14609</t>
  </si>
  <si>
    <t>2024-12-27 11:19:40</t>
  </si>
  <si>
    <t>2024-12-28 09:56:31</t>
  </si>
  <si>
    <t>TCK-14610</t>
  </si>
  <si>
    <t>2024-12-14 15:48:19</t>
  </si>
  <si>
    <t>2024-12-14 22:17:11</t>
  </si>
  <si>
    <t>TCK-14611</t>
  </si>
  <si>
    <t>2024-11-07 02:53:51</t>
  </si>
  <si>
    <t>2024-11-07 03:52:18</t>
  </si>
  <si>
    <t>TCK-14612</t>
  </si>
  <si>
    <t>2024-01-11 05:59:53</t>
  </si>
  <si>
    <t>2024-01-12 08:51:58</t>
  </si>
  <si>
    <t>TCK-14613</t>
  </si>
  <si>
    <t>2024-03-27 16:41:17</t>
  </si>
  <si>
    <t>2024-03-28 01:33:02</t>
  </si>
  <si>
    <t>TCK-14614</t>
  </si>
  <si>
    <t>2024-11-11 01:16:24</t>
  </si>
  <si>
    <t>2024-11-11 03:38:30</t>
  </si>
  <si>
    <t>TCK-14615</t>
  </si>
  <si>
    <t>2024-11-15 01:22:56</t>
  </si>
  <si>
    <t>2024-11-15 04:45:08</t>
  </si>
  <si>
    <t>TCK-14616</t>
  </si>
  <si>
    <t>2024-09-21 10:40:02</t>
  </si>
  <si>
    <t>2024-09-22 05:42:01</t>
  </si>
  <si>
    <t>TCK-14617</t>
  </si>
  <si>
    <t>2024-06-16 08:55:38</t>
  </si>
  <si>
    <t>2024-06-16 14:34:18</t>
  </si>
  <si>
    <t>TCK-14618</t>
  </si>
  <si>
    <t>2024-12-22 20:44:27</t>
  </si>
  <si>
    <t>2024-12-23 18:48:38</t>
  </si>
  <si>
    <t>TCK-14619</t>
  </si>
  <si>
    <t>2024-05-22 05:32:22</t>
  </si>
  <si>
    <t>2024-05-22 08:37:11</t>
  </si>
  <si>
    <t>TCK-14620</t>
  </si>
  <si>
    <t>2024-03-30 19:03:11</t>
  </si>
  <si>
    <t>2024-03-31 05:28:11</t>
  </si>
  <si>
    <t>TCK-14621</t>
  </si>
  <si>
    <t>2024-08-19 20:16:48</t>
  </si>
  <si>
    <t>2024-08-20 03:15:54</t>
  </si>
  <si>
    <t>TCK-14622</t>
  </si>
  <si>
    <t>2024-06-08 21:44:36</t>
  </si>
  <si>
    <t>2024-06-09 02:45:19</t>
  </si>
  <si>
    <t>TCK-14623</t>
  </si>
  <si>
    <t>2024-07-19 11:20:19</t>
  </si>
  <si>
    <t>TCK-14624</t>
  </si>
  <si>
    <t>2024-07-17 20:20:01</t>
  </si>
  <si>
    <t>2024-07-18 23:51:46</t>
  </si>
  <si>
    <t>TCK-14625</t>
  </si>
  <si>
    <t>2024-06-30 13:15:18</t>
  </si>
  <si>
    <t>2024-07-01 01:15:13</t>
  </si>
  <si>
    <t>TCK-14626</t>
  </si>
  <si>
    <t>2024-08-08 22:08:40</t>
  </si>
  <si>
    <t>TCK-14627</t>
  </si>
  <si>
    <t>2024-11-28 00:52:57</t>
  </si>
  <si>
    <t>2024-11-28 13:33:59</t>
  </si>
  <si>
    <t>TCK-14628</t>
  </si>
  <si>
    <t>2024-07-25 03:33:35</t>
  </si>
  <si>
    <t>2024-07-25 18:10:36</t>
  </si>
  <si>
    <t>TCK-14629</t>
  </si>
  <si>
    <t>2024-01-03 05:47:01</t>
  </si>
  <si>
    <t>2024-01-04 02:10:09</t>
  </si>
  <si>
    <t>TCK-14630</t>
  </si>
  <si>
    <t>2024-02-10 13:02:02</t>
  </si>
  <si>
    <t>2024-02-10 15:16:00</t>
  </si>
  <si>
    <t>TCK-14631</t>
  </si>
  <si>
    <t>2024-05-18 10:20:26</t>
  </si>
  <si>
    <t>TCK-14632</t>
  </si>
  <si>
    <t>2024-08-31 02:49:09</t>
  </si>
  <si>
    <t>2024-08-31 03:44:34</t>
  </si>
  <si>
    <t>TCK-14633</t>
  </si>
  <si>
    <t>2024-10-27 23:38:53</t>
  </si>
  <si>
    <t>2024-10-29 20:26:41</t>
  </si>
  <si>
    <t>TCK-14634</t>
  </si>
  <si>
    <t>2024-08-05 09:30:28</t>
  </si>
  <si>
    <t>2024-08-05 17:08:35</t>
  </si>
  <si>
    <t>TCK-14635</t>
  </si>
  <si>
    <t>2024-04-11 22:31:12</t>
  </si>
  <si>
    <t>2024-04-12 14:14:21</t>
  </si>
  <si>
    <t>TCK-14636</t>
  </si>
  <si>
    <t>2024-12-07 18:37:12</t>
  </si>
  <si>
    <t>2024-12-12 20:25:29</t>
  </si>
  <si>
    <t>TCK-14637</t>
  </si>
  <si>
    <t>2024-08-21 02:57:29</t>
  </si>
  <si>
    <t>2024-08-21 12:24:39</t>
  </si>
  <si>
    <t>TCK-14638</t>
  </si>
  <si>
    <t>2024-11-09 06:32:47</t>
  </si>
  <si>
    <t>2024-11-09 10:39:42</t>
  </si>
  <si>
    <t>TCK-14639</t>
  </si>
  <si>
    <t>2024-08-22 06:52:24</t>
  </si>
  <si>
    <t>2024-08-22 22:58:52</t>
  </si>
  <si>
    <t>TCK-14640</t>
  </si>
  <si>
    <t>2024-11-28 20:29:28</t>
  </si>
  <si>
    <t>2024-11-30 19:09:50</t>
  </si>
  <si>
    <t>TCK-14641</t>
  </si>
  <si>
    <t>2024-04-30 17:41:25</t>
  </si>
  <si>
    <t>2024-05-01 08:31:33</t>
  </si>
  <si>
    <t>TCK-14642</t>
  </si>
  <si>
    <t>2024-12-27 07:13:39</t>
  </si>
  <si>
    <t>2024-12-27 10:40:38</t>
  </si>
  <si>
    <t>TCK-14643</t>
  </si>
  <si>
    <t>2024-11-26 00:29:31</t>
  </si>
  <si>
    <t>2024-11-26 19:25:23</t>
  </si>
  <si>
    <t>TCK-14644</t>
  </si>
  <si>
    <t>2024-07-12 07:33:47</t>
  </si>
  <si>
    <t>2024-07-13 07:41:38</t>
  </si>
  <si>
    <t>TCK-14645</t>
  </si>
  <si>
    <t>2024-03-04 01:43:40</t>
  </si>
  <si>
    <t>2024-03-05 01:02:52</t>
  </si>
  <si>
    <t>TCK-14646</t>
  </si>
  <si>
    <t>2024-10-06 12:43:00</t>
  </si>
  <si>
    <t>2024-10-06 18:48:35</t>
  </si>
  <si>
    <t>TCK-14647</t>
  </si>
  <si>
    <t>2024-04-30 00:39:29</t>
  </si>
  <si>
    <t>2024-04-30 14:23:56</t>
  </si>
  <si>
    <t>TCK-14648</t>
  </si>
  <si>
    <t>2024-06-23 19:20:54</t>
  </si>
  <si>
    <t>2024-06-24 06:40:07</t>
  </si>
  <si>
    <t>TCK-14649</t>
  </si>
  <si>
    <t>2024-08-03 04:27:01</t>
  </si>
  <si>
    <t>2024-08-04 08:11:18</t>
  </si>
  <si>
    <t>TCK-14650</t>
  </si>
  <si>
    <t>2024-07-26 17:30:06</t>
  </si>
  <si>
    <t>2024-07-26 21:12:24</t>
  </si>
  <si>
    <t>TCK-14651</t>
  </si>
  <si>
    <t>2024-01-11 08:46:51</t>
  </si>
  <si>
    <t>TCK-14652</t>
  </si>
  <si>
    <t>2024-10-29 15:05:27</t>
  </si>
  <si>
    <t>2024-10-29 17:46:54</t>
  </si>
  <si>
    <t>TCK-14653</t>
  </si>
  <si>
    <t>2024-06-11 00:27:03</t>
  </si>
  <si>
    <t>2024-06-11 04:36:12</t>
  </si>
  <si>
    <t>TCK-14654</t>
  </si>
  <si>
    <t>2024-10-19 03:19:56</t>
  </si>
  <si>
    <t>TCK-14655</t>
  </si>
  <si>
    <t>2024-02-07 09:55:13</t>
  </si>
  <si>
    <t>2024-02-07 16:03:13</t>
  </si>
  <si>
    <t>TCK-14656</t>
  </si>
  <si>
    <t>2024-01-18 20:41:43</t>
  </si>
  <si>
    <t>2024-01-19 02:46:07</t>
  </si>
  <si>
    <t>TCK-14657</t>
  </si>
  <si>
    <t>2024-08-24 04:08:24</t>
  </si>
  <si>
    <t>2024-08-24 16:48:26</t>
  </si>
  <si>
    <t>TCK-14658</t>
  </si>
  <si>
    <t>2024-10-18 06:39:35</t>
  </si>
  <si>
    <t>2024-10-20 17:08:34</t>
  </si>
  <si>
    <t>TCK-14659</t>
  </si>
  <si>
    <t>2024-10-15 01:14:12</t>
  </si>
  <si>
    <t>2024-10-15 15:48:23</t>
  </si>
  <si>
    <t>TCK-14660</t>
  </si>
  <si>
    <t>2024-11-11 20:33:44</t>
  </si>
  <si>
    <t>2024-11-13 21:34:14</t>
  </si>
  <si>
    <t>TCK-14661</t>
  </si>
  <si>
    <t>2024-11-21 03:01:24</t>
  </si>
  <si>
    <t>2024-11-21 06:38:38</t>
  </si>
  <si>
    <t>TCK-14662</t>
  </si>
  <si>
    <t>2024-03-14 03:45:33</t>
  </si>
  <si>
    <t>2024-03-15 17:02:23</t>
  </si>
  <si>
    <t>TCK-14663</t>
  </si>
  <si>
    <t>2024-07-11 19:00:09</t>
  </si>
  <si>
    <t>2024-07-11 23:34:53</t>
  </si>
  <si>
    <t>TCK-14664</t>
  </si>
  <si>
    <t>2024-03-28 11:33:07</t>
  </si>
  <si>
    <t>2024-03-28 14:54:19</t>
  </si>
  <si>
    <t>TCK-14665</t>
  </si>
  <si>
    <t>2024-12-16 00:08:55</t>
  </si>
  <si>
    <t>2024-12-16 03:56:50</t>
  </si>
  <si>
    <t>TCK-14666</t>
  </si>
  <si>
    <t>2024-03-01 19:41:27</t>
  </si>
  <si>
    <t>2024-03-03 15:33:22</t>
  </si>
  <si>
    <t>TCK-14667</t>
  </si>
  <si>
    <t>2024-12-05 12:10:27</t>
  </si>
  <si>
    <t>2024-12-05 15:03:13</t>
  </si>
  <si>
    <t>TCK-14668</t>
  </si>
  <si>
    <t>2024-07-18 01:35:01</t>
  </si>
  <si>
    <t>2024-07-19 10:38:37</t>
  </si>
  <si>
    <t>TCK-14669</t>
  </si>
  <si>
    <t>2024-01-14 18:55:12</t>
  </si>
  <si>
    <t>2024-01-15 06:56:28</t>
  </si>
  <si>
    <t>TCK-14670</t>
  </si>
  <si>
    <t>2024-07-17 12:06:31</t>
  </si>
  <si>
    <t>2024-07-17 14:49:52</t>
  </si>
  <si>
    <t>TCK-14671</t>
  </si>
  <si>
    <t>2024-12-12 11:47:52</t>
  </si>
  <si>
    <t>2024-12-12 22:10:10</t>
  </si>
  <si>
    <t>TCK-14672</t>
  </si>
  <si>
    <t>2024-05-04 17:09:20</t>
  </si>
  <si>
    <t>2024-05-04 20:52:29</t>
  </si>
  <si>
    <t>TCK-14673</t>
  </si>
  <si>
    <t>2024-09-29 19:07:17</t>
  </si>
  <si>
    <t>2024-09-30 13:14:44</t>
  </si>
  <si>
    <t>TCK-14674</t>
  </si>
  <si>
    <t>2024-11-12 10:28:47</t>
  </si>
  <si>
    <t>TCK-14675</t>
  </si>
  <si>
    <t>2024-04-21 14:15:08</t>
  </si>
  <si>
    <t>2024-04-22 20:47:01</t>
  </si>
  <si>
    <t>TCK-14676</t>
  </si>
  <si>
    <t>2024-08-07 20:00:56</t>
  </si>
  <si>
    <t>2024-08-08 11:41:26</t>
  </si>
  <si>
    <t>TCK-14677</t>
  </si>
  <si>
    <t>2024-05-22 08:30:21</t>
  </si>
  <si>
    <t>TCK-14678</t>
  </si>
  <si>
    <t>2024-06-25 07:02:56</t>
  </si>
  <si>
    <t>2024-06-25 14:03:16</t>
  </si>
  <si>
    <t>TCK-14679</t>
  </si>
  <si>
    <t>2024-04-25 12:37:44</t>
  </si>
  <si>
    <t>2024-04-26 00:00:51</t>
  </si>
  <si>
    <t>TCK-14680</t>
  </si>
  <si>
    <t>2024-05-15 09:33:00</t>
  </si>
  <si>
    <t>TCK-14681</t>
  </si>
  <si>
    <t>2024-03-02 02:07:19</t>
  </si>
  <si>
    <t>2024-03-03 15:48:52</t>
  </si>
  <si>
    <t>TCK-14682</t>
  </si>
  <si>
    <t>2024-10-27 07:39:52</t>
  </si>
  <si>
    <t>2024-10-28 00:35:04</t>
  </si>
  <si>
    <t>TCK-14683</t>
  </si>
  <si>
    <t>2024-03-08 15:35:53</t>
  </si>
  <si>
    <t>2024-03-09 09:11:40</t>
  </si>
  <si>
    <t>TCK-14684</t>
  </si>
  <si>
    <t>2024-05-29 00:39:35</t>
  </si>
  <si>
    <t>2024-05-29 18:35:29</t>
  </si>
  <si>
    <t>TCK-14685</t>
  </si>
  <si>
    <t>2024-10-20 15:48:32</t>
  </si>
  <si>
    <t>2024-10-22 04:43:50</t>
  </si>
  <si>
    <t>TCK-14686</t>
  </si>
  <si>
    <t>2024-01-27 07:42:42</t>
  </si>
  <si>
    <t>2024-01-28 23:55:51</t>
  </si>
  <si>
    <t>TCK-14687</t>
  </si>
  <si>
    <t>2024-01-09 01:25:29</t>
  </si>
  <si>
    <t>2024-01-09 22:57:29</t>
  </si>
  <si>
    <t>TCK-14688</t>
  </si>
  <si>
    <t>2024-02-04 23:12:52</t>
  </si>
  <si>
    <t>2024-02-05 20:17:58</t>
  </si>
  <si>
    <t>TCK-14689</t>
  </si>
  <si>
    <t>2024-04-06 17:57:39</t>
  </si>
  <si>
    <t>2024-04-06 19:24:19</t>
  </si>
  <si>
    <t>TCK-14690</t>
  </si>
  <si>
    <t>2024-02-11 23:16:47</t>
  </si>
  <si>
    <t>2024-02-12 03:52:35</t>
  </si>
  <si>
    <t>TCK-14691</t>
  </si>
  <si>
    <t>2024-10-28 01:52:26</t>
  </si>
  <si>
    <t>2024-10-28 18:59:49</t>
  </si>
  <si>
    <t>TCK-14692</t>
  </si>
  <si>
    <t>2024-12-22 13:59:16</t>
  </si>
  <si>
    <t>2024-12-23 14:40:44</t>
  </si>
  <si>
    <t>TCK-14693</t>
  </si>
  <si>
    <t>2024-04-07 07:44:12</t>
  </si>
  <si>
    <t>2024-04-07 10:12:14</t>
  </si>
  <si>
    <t>TCK-14694</t>
  </si>
  <si>
    <t>2024-11-27 12:20:01</t>
  </si>
  <si>
    <t>2024-11-27 19:09:10</t>
  </si>
  <si>
    <t>TCK-14695</t>
  </si>
  <si>
    <t>2024-01-11 02:31:42</t>
  </si>
  <si>
    <t>2024-01-11 05:53:22</t>
  </si>
  <si>
    <t>TCK-14696</t>
  </si>
  <si>
    <t>2024-03-27 07:11:19</t>
  </si>
  <si>
    <t>2024-03-27 14:31:34</t>
  </si>
  <si>
    <t>TCK-14697</t>
  </si>
  <si>
    <t>2024-01-27 22:20:49</t>
  </si>
  <si>
    <t>2024-01-28 10:02:28</t>
  </si>
  <si>
    <t>TCK-14698</t>
  </si>
  <si>
    <t>2024-12-20 17:57:22</t>
  </si>
  <si>
    <t>2024-12-21 04:38:20</t>
  </si>
  <si>
    <t>TCK-14699</t>
  </si>
  <si>
    <t>2024-10-01 09:09:36</t>
  </si>
  <si>
    <t>2024-10-01 14:47:50</t>
  </si>
  <si>
    <t>TCK-14700</t>
  </si>
  <si>
    <t>2024-11-10 09:52:13</t>
  </si>
  <si>
    <t>2024-11-10 12:51:11</t>
  </si>
  <si>
    <t>TCK-14701</t>
  </si>
  <si>
    <t>2024-03-08 04:40:37</t>
  </si>
  <si>
    <t>2024-03-09 00:16:58</t>
  </si>
  <si>
    <t>TCK-14702</t>
  </si>
  <si>
    <t>2024-05-23 19:28:10</t>
  </si>
  <si>
    <t>TCK-14703</t>
  </si>
  <si>
    <t>2024-02-16 22:19:29</t>
  </si>
  <si>
    <t>2024-02-17 06:32:49</t>
  </si>
  <si>
    <t>TCK-14704</t>
  </si>
  <si>
    <t>2024-05-14 11:01:19</t>
  </si>
  <si>
    <t>2024-05-15 18:18:40</t>
  </si>
  <si>
    <t>TCK-14705</t>
  </si>
  <si>
    <t>2024-05-16 22:10:16</t>
  </si>
  <si>
    <t>2024-05-17 08:22:05</t>
  </si>
  <si>
    <t>TCK-14706</t>
  </si>
  <si>
    <t>2024-01-10 06:04:02</t>
  </si>
  <si>
    <t>TCK-14707</t>
  </si>
  <si>
    <t>2024-08-02 22:27:21</t>
  </si>
  <si>
    <t>2024-08-07 15:31:16</t>
  </si>
  <si>
    <t>TCK-14708</t>
  </si>
  <si>
    <t>2024-11-12 17:57:26</t>
  </si>
  <si>
    <t>2024-11-13 19:19:11</t>
  </si>
  <si>
    <t>TCK-14709</t>
  </si>
  <si>
    <t>2024-05-05 17:45:29</t>
  </si>
  <si>
    <t>2024-05-06 07:30:12</t>
  </si>
  <si>
    <t>TCK-14710</t>
  </si>
  <si>
    <t>2024-11-13 01:44:48</t>
  </si>
  <si>
    <t>2024-11-14 20:24:14</t>
  </si>
  <si>
    <t>TCK-14711</t>
  </si>
  <si>
    <t>2024-03-08 03:00:46</t>
  </si>
  <si>
    <t>2024-03-08 05:40:17</t>
  </si>
  <si>
    <t>TCK-14712</t>
  </si>
  <si>
    <t>2024-11-10 23:56:26</t>
  </si>
  <si>
    <t>2024-11-11 01:18:15</t>
  </si>
  <si>
    <t>TCK-14713</t>
  </si>
  <si>
    <t>2024-05-12 13:16:54</t>
  </si>
  <si>
    <t>2024-05-12 19:11:57</t>
  </si>
  <si>
    <t>TCK-14714</t>
  </si>
  <si>
    <t>2024-05-12 01:42:27</t>
  </si>
  <si>
    <t>2024-05-12 22:34:16</t>
  </si>
  <si>
    <t>TCK-14715</t>
  </si>
  <si>
    <t>2024-11-15 12:41:11</t>
  </si>
  <si>
    <t>2024-11-15 20:46:39</t>
  </si>
  <si>
    <t>TCK-14716</t>
  </si>
  <si>
    <t>2024-06-12 15:17:43</t>
  </si>
  <si>
    <t>2024-06-12 19:58:50</t>
  </si>
  <si>
    <t>TCK-14717</t>
  </si>
  <si>
    <t>2024-03-28 00:27:58</t>
  </si>
  <si>
    <t>TCK-14718</t>
  </si>
  <si>
    <t>2024-11-22 03:28:58</t>
  </si>
  <si>
    <t>2024-11-23 01:15:29</t>
  </si>
  <si>
    <t>TCK-14719</t>
  </si>
  <si>
    <t>2024-02-18 08:55:58</t>
  </si>
  <si>
    <t>2024-02-20 01:58:51</t>
  </si>
  <si>
    <t>TCK-14720</t>
  </si>
  <si>
    <t>2024-07-08 05:07:57</t>
  </si>
  <si>
    <t>2024-07-09 14:59:58</t>
  </si>
  <si>
    <t>TCK-14721</t>
  </si>
  <si>
    <t>2024-09-14 09:03:07</t>
  </si>
  <si>
    <t>2024-09-15 08:57:27</t>
  </si>
  <si>
    <t>TCK-14722</t>
  </si>
  <si>
    <t>2024-06-02 10:57:42</t>
  </si>
  <si>
    <t>2024-06-02 13:28:21</t>
  </si>
  <si>
    <t>TCK-14723</t>
  </si>
  <si>
    <t>2024-03-27 10:17:20</t>
  </si>
  <si>
    <t>2024-03-27 12:37:31</t>
  </si>
  <si>
    <t>TCK-14724</t>
  </si>
  <si>
    <t>2024-02-22 08:20:26</t>
  </si>
  <si>
    <t>2024-02-22 12:14:33</t>
  </si>
  <si>
    <t>TCK-14725</t>
  </si>
  <si>
    <t>2024-09-19 06:21:20</t>
  </si>
  <si>
    <t>2024-09-19 09:29:47</t>
  </si>
  <si>
    <t>TCK-14726</t>
  </si>
  <si>
    <t>2024-12-29 17:12:49</t>
  </si>
  <si>
    <t>2024-12-30 19:41:18</t>
  </si>
  <si>
    <t>TCK-14727</t>
  </si>
  <si>
    <t>2024-06-03 05:11:16</t>
  </si>
  <si>
    <t>2024-06-03 23:34:36</t>
  </si>
  <si>
    <t>TCK-14728</t>
  </si>
  <si>
    <t>2024-11-05 09:35:40</t>
  </si>
  <si>
    <t>2024-11-06 04:08:34</t>
  </si>
  <si>
    <t>TCK-14729</t>
  </si>
  <si>
    <t>2024-10-19 16:45:27</t>
  </si>
  <si>
    <t>TCK-14730</t>
  </si>
  <si>
    <t>2024-11-18 10:29:36</t>
  </si>
  <si>
    <t>2024-11-18 11:39:51</t>
  </si>
  <si>
    <t>TCK-14731</t>
  </si>
  <si>
    <t>2024-12-28 22:48:40</t>
  </si>
  <si>
    <t>2024-12-29 03:38:13</t>
  </si>
  <si>
    <t>TCK-14732</t>
  </si>
  <si>
    <t>2024-10-17 02:26:22</t>
  </si>
  <si>
    <t>2024-10-18 14:19:02</t>
  </si>
  <si>
    <t>TCK-14733</t>
  </si>
  <si>
    <t>2024-06-18 02:00:14</t>
  </si>
  <si>
    <t>2024-06-18 07:41:26</t>
  </si>
  <si>
    <t>TCK-14734</t>
  </si>
  <si>
    <t>2024-05-07 17:27:25</t>
  </si>
  <si>
    <t>2024-05-08 16:08:11</t>
  </si>
  <si>
    <t>TCK-14735</t>
  </si>
  <si>
    <t>2024-09-02 23:51:36</t>
  </si>
  <si>
    <t>2024-09-03 03:58:27</t>
  </si>
  <si>
    <t>TCK-14736</t>
  </si>
  <si>
    <t>2024-06-05 01:51:19</t>
  </si>
  <si>
    <t>2024-06-05 19:52:38</t>
  </si>
  <si>
    <t>TCK-14737</t>
  </si>
  <si>
    <t>2024-08-30 00:05:23</t>
  </si>
  <si>
    <t>2024-08-31 06:39:41</t>
  </si>
  <si>
    <t>TCK-14738</t>
  </si>
  <si>
    <t>2024-11-04 19:23:29</t>
  </si>
  <si>
    <t>2024-11-04 21:55:44</t>
  </si>
  <si>
    <t>TCK-14739</t>
  </si>
  <si>
    <t>2024-06-07 16:58:15</t>
  </si>
  <si>
    <t>2024-06-08 01:58:02</t>
  </si>
  <si>
    <t>TCK-14740</t>
  </si>
  <si>
    <t>2024-04-08 17:28:07</t>
  </si>
  <si>
    <t>2024-04-10 00:04:23</t>
  </si>
  <si>
    <t>TCK-14741</t>
  </si>
  <si>
    <t>2024-11-08 19:06:01</t>
  </si>
  <si>
    <t>2024-11-09 03:18:57</t>
  </si>
  <si>
    <t>TCK-14742</t>
  </si>
  <si>
    <t>2024-03-12 13:20:38</t>
  </si>
  <si>
    <t>2024-03-12 20:46:49</t>
  </si>
  <si>
    <t>TCK-14743</t>
  </si>
  <si>
    <t>2024-06-02 09:04:05</t>
  </si>
  <si>
    <t>2024-06-03 04:52:44</t>
  </si>
  <si>
    <t>TCK-14744</t>
  </si>
  <si>
    <t>2024-05-14 10:43:12</t>
  </si>
  <si>
    <t>2024-05-14 15:57:26</t>
  </si>
  <si>
    <t>TCK-14745</t>
  </si>
  <si>
    <t>2024-04-09 18:16:14</t>
  </si>
  <si>
    <t>TCK-14746</t>
  </si>
  <si>
    <t>2024-06-29 06:13:46</t>
  </si>
  <si>
    <t>2024-06-29 23:21:43</t>
  </si>
  <si>
    <t>TCK-14747</t>
  </si>
  <si>
    <t>2024-05-31 00:26:49</t>
  </si>
  <si>
    <t>2024-05-31 04:16:00</t>
  </si>
  <si>
    <t>TCK-14748</t>
  </si>
  <si>
    <t>2024-09-08 14:59:50</t>
  </si>
  <si>
    <t>2024-09-09 06:14:24</t>
  </si>
  <si>
    <t>TCK-14749</t>
  </si>
  <si>
    <t>2024-03-12 03:25:11</t>
  </si>
  <si>
    <t>TCK-14750</t>
  </si>
  <si>
    <t>2024-08-12 04:38:05</t>
  </si>
  <si>
    <t>2024-08-12 15:26:44</t>
  </si>
  <si>
    <t>TCK-14751</t>
  </si>
  <si>
    <t>2024-11-19 15:41:43</t>
  </si>
  <si>
    <t>2024-11-21 06:27:33</t>
  </si>
  <si>
    <t>TCK-14752</t>
  </si>
  <si>
    <t>2024-05-31 19:30:45</t>
  </si>
  <si>
    <t>2024-06-01 13:21:31</t>
  </si>
  <si>
    <t>TCK-14753</t>
  </si>
  <si>
    <t>2024-11-25 11:53:35</t>
  </si>
  <si>
    <t>2024-11-26 22:43:07</t>
  </si>
  <si>
    <t>TCK-14754</t>
  </si>
  <si>
    <t>2024-03-21 16:15:50</t>
  </si>
  <si>
    <t>2024-03-21 18:15:34</t>
  </si>
  <si>
    <t>TCK-14755</t>
  </si>
  <si>
    <t>2024-09-10 17:21:18</t>
  </si>
  <si>
    <t>TCK-14756</t>
  </si>
  <si>
    <t>2024-06-10 13:56:01</t>
  </si>
  <si>
    <t>2024-07-16 02:56:01</t>
  </si>
  <si>
    <t>TCK-14757</t>
  </si>
  <si>
    <t>2024-08-24 06:15:17</t>
  </si>
  <si>
    <t>2024-08-24 12:54:25</t>
  </si>
  <si>
    <t>TCK-14758</t>
  </si>
  <si>
    <t>2024-05-09 22:44:10</t>
  </si>
  <si>
    <t>2024-05-10 07:37:50</t>
  </si>
  <si>
    <t>TCK-14759</t>
  </si>
  <si>
    <t>2024-11-21 07:54:35</t>
  </si>
  <si>
    <t>TCK-14760</t>
  </si>
  <si>
    <t>2024-01-25 06:45:10</t>
  </si>
  <si>
    <t>TCK-14761</t>
  </si>
  <si>
    <t>2024-11-04 03:01:43</t>
  </si>
  <si>
    <t>2024-11-05 02:41:28</t>
  </si>
  <si>
    <t>TCK-14762</t>
  </si>
  <si>
    <t>2024-11-10 20:01:29</t>
  </si>
  <si>
    <t>2024-11-11 11:46:01</t>
  </si>
  <si>
    <t>TCK-14763</t>
  </si>
  <si>
    <t>2024-12-12 17:59:50</t>
  </si>
  <si>
    <t>2024-12-13 01:25:21</t>
  </si>
  <si>
    <t>TCK-14764</t>
  </si>
  <si>
    <t>2024-12-27 21:38:20</t>
  </si>
  <si>
    <t>2024-12-28 01:06:30</t>
  </si>
  <si>
    <t>TCK-14765</t>
  </si>
  <si>
    <t>2024-09-28 00:15:35</t>
  </si>
  <si>
    <t>2024-09-28 02:16:19</t>
  </si>
  <si>
    <t>TCK-14766</t>
  </si>
  <si>
    <t>2024-09-26 14:54:37</t>
  </si>
  <si>
    <t>TCK-14767</t>
  </si>
  <si>
    <t>2024-05-06 19:21:10</t>
  </si>
  <si>
    <t>2024-05-06 21:50:03</t>
  </si>
  <si>
    <t>TCK-14768</t>
  </si>
  <si>
    <t>2024-11-16 21:03:08</t>
  </si>
  <si>
    <t>2024-11-17 03:03:08</t>
  </si>
  <si>
    <t>TCK-14769</t>
  </si>
  <si>
    <t>2024-01-26 07:40:43</t>
  </si>
  <si>
    <t>2024-01-26 09:02:49</t>
  </si>
  <si>
    <t>TCK-14770</t>
  </si>
  <si>
    <t>2024-08-24 06:34:22</t>
  </si>
  <si>
    <t>2024-08-25 16:50:52</t>
  </si>
  <si>
    <t>TCK-14771</t>
  </si>
  <si>
    <t>2024-06-09 23:44:27</t>
  </si>
  <si>
    <t>2024-06-10 06:37:52</t>
  </si>
  <si>
    <t>TCK-14772</t>
  </si>
  <si>
    <t>2024-12-09 05:19:01</t>
  </si>
  <si>
    <t>2024-12-10 03:43:46</t>
  </si>
  <si>
    <t>TCK-14773</t>
  </si>
  <si>
    <t>2024-10-31 17:52:13</t>
  </si>
  <si>
    <t>2024-11-03 08:23:15</t>
  </si>
  <si>
    <t>TCK-14774</t>
  </si>
  <si>
    <t>2024-02-26 03:33:49</t>
  </si>
  <si>
    <t>2024-02-26 09:55:08</t>
  </si>
  <si>
    <t>TCK-14775</t>
  </si>
  <si>
    <t>2024-08-20 19:36:22</t>
  </si>
  <si>
    <t>2024-08-21 13:03:05</t>
  </si>
  <si>
    <t>TCK-14776</t>
  </si>
  <si>
    <t>2024-04-17 21:38:43</t>
  </si>
  <si>
    <t>2024-04-18 02:08:25</t>
  </si>
  <si>
    <t>TCK-14777</t>
  </si>
  <si>
    <t>2024-02-18 01:32:46</t>
  </si>
  <si>
    <t>2024-02-22 00:53:28</t>
  </si>
  <si>
    <t>TCK-14778</t>
  </si>
  <si>
    <t>2024-04-30 22:03:39</t>
  </si>
  <si>
    <t>2024-05-02 05:24:05</t>
  </si>
  <si>
    <t>TCK-14779</t>
  </si>
  <si>
    <t>2024-01-05 10:12:57</t>
  </si>
  <si>
    <t>2024-01-05 14:21:36</t>
  </si>
  <si>
    <t>TCK-14780</t>
  </si>
  <si>
    <t>2024-04-08 20:05:03</t>
  </si>
  <si>
    <t>2024-04-09 09:39:52</t>
  </si>
  <si>
    <t>TCK-14781</t>
  </si>
  <si>
    <t>2024-03-16 14:55:10</t>
  </si>
  <si>
    <t>2024-03-17 04:39:54</t>
  </si>
  <si>
    <t>TCK-14782</t>
  </si>
  <si>
    <t>2024-06-21 20:22:23</t>
  </si>
  <si>
    <t>2024-06-22 17:00:50</t>
  </si>
  <si>
    <t>TCK-14783</t>
  </si>
  <si>
    <t>2024-11-04 09:17:16</t>
  </si>
  <si>
    <t>2024-11-07 19:58:22</t>
  </si>
  <si>
    <t>TCK-14784</t>
  </si>
  <si>
    <t>2024-07-07 15:48:45</t>
  </si>
  <si>
    <t>2024-07-07 18:48:35</t>
  </si>
  <si>
    <t>TCK-14785</t>
  </si>
  <si>
    <t>2024-08-21 11:04:31</t>
  </si>
  <si>
    <t>2024-08-21 12:03:17</t>
  </si>
  <si>
    <t>TCK-14786</t>
  </si>
  <si>
    <t>2024-12-19 09:48:42</t>
  </si>
  <si>
    <t>2024-12-21 09:47:40</t>
  </si>
  <si>
    <t>TCK-14787</t>
  </si>
  <si>
    <t>2024-06-08 10:35:08</t>
  </si>
  <si>
    <t>2024-06-08 21:56:34</t>
  </si>
  <si>
    <t>TCK-14788</t>
  </si>
  <si>
    <t>2024-10-07 05:22:32</t>
  </si>
  <si>
    <t>2024-10-07 08:33:21</t>
  </si>
  <si>
    <t>TCK-14789</t>
  </si>
  <si>
    <t>2024-04-26 14:58:20</t>
  </si>
  <si>
    <t>2024-04-26 22:21:53</t>
  </si>
  <si>
    <t>TCK-14790</t>
  </si>
  <si>
    <t>2024-08-26 00:56:38</t>
  </si>
  <si>
    <t>2024-08-26 22:05:16</t>
  </si>
  <si>
    <t>TCK-14791</t>
  </si>
  <si>
    <t>2024-08-07 13:24:00</t>
  </si>
  <si>
    <t>2024-08-07 17:10:56</t>
  </si>
  <si>
    <t>TCK-14792</t>
  </si>
  <si>
    <t>2024-02-25 07:50:15</t>
  </si>
  <si>
    <t>2024-02-25 17:22:18</t>
  </si>
  <si>
    <t>TCK-14793</t>
  </si>
  <si>
    <t>2024-08-29 10:40:36</t>
  </si>
  <si>
    <t>2024-08-29 13:05:29</t>
  </si>
  <si>
    <t>TCK-14794</t>
  </si>
  <si>
    <t>2024-11-25 19:08:12</t>
  </si>
  <si>
    <t>2024-11-27 13:23:49</t>
  </si>
  <si>
    <t>TCK-14795</t>
  </si>
  <si>
    <t>2024-01-06 02:36:01</t>
  </si>
  <si>
    <t>2024-01-06 05:52:39</t>
  </si>
  <si>
    <t>TCK-14796</t>
  </si>
  <si>
    <t>2024-10-10 14:05:58</t>
  </si>
  <si>
    <t>TCK-14797</t>
  </si>
  <si>
    <t>2024-04-23 03:11:20</t>
  </si>
  <si>
    <t>TCK-14798</t>
  </si>
  <si>
    <t>2024-03-14 12:25:25</t>
  </si>
  <si>
    <t>2024-03-15 08:43:12</t>
  </si>
  <si>
    <t>TCK-14799</t>
  </si>
  <si>
    <t>2024-10-04 11:59:14</t>
  </si>
  <si>
    <t>2024-10-04 22:27:52</t>
  </si>
  <si>
    <t>TCK-14800</t>
  </si>
  <si>
    <t>2024-07-14 23:28:07</t>
  </si>
  <si>
    <t>TCK-14801</t>
  </si>
  <si>
    <t>2024-07-23 08:35:29</t>
  </si>
  <si>
    <t>2024-07-23 22:15:10</t>
  </si>
  <si>
    <t>TCK-14802</t>
  </si>
  <si>
    <t>2024-11-01 21:13:08</t>
  </si>
  <si>
    <t>2024-11-03 19:44:36</t>
  </si>
  <si>
    <t>TCK-14803</t>
  </si>
  <si>
    <t>2024-11-12 01:17:12</t>
  </si>
  <si>
    <t>2024-11-12 17:05:47</t>
  </si>
  <si>
    <t>TCK-14804</t>
  </si>
  <si>
    <t>2024-07-14 18:34:53</t>
  </si>
  <si>
    <t>2024-07-16 16:00:58</t>
  </si>
  <si>
    <t>TCK-14805</t>
  </si>
  <si>
    <t>2024-06-21 15:29:39</t>
  </si>
  <si>
    <t>2024-06-22 13:41:52</t>
  </si>
  <si>
    <t>TCK-14806</t>
  </si>
  <si>
    <t>2024-09-23 20:29:15</t>
  </si>
  <si>
    <t>2024-09-23 21:23:21</t>
  </si>
  <si>
    <t>TCK-14807</t>
  </si>
  <si>
    <t>2024-06-23 13:37:09</t>
  </si>
  <si>
    <t>2024-06-24 05:42:06</t>
  </si>
  <si>
    <t>TCK-14808</t>
  </si>
  <si>
    <t>2024-06-14 12:35:46</t>
  </si>
  <si>
    <t>2024-06-15 06:43:02</t>
  </si>
  <si>
    <t>TCK-14809</t>
  </si>
  <si>
    <t>2024-11-02 12:45:15</t>
  </si>
  <si>
    <t>2024-11-05 02:45:48</t>
  </si>
  <si>
    <t>TCK-14810</t>
  </si>
  <si>
    <t>2024-06-28 02:48:08</t>
  </si>
  <si>
    <t>2024-06-28 11:38:12</t>
  </si>
  <si>
    <t>TCK-14811</t>
  </si>
  <si>
    <t>2024-08-02 04:09:12</t>
  </si>
  <si>
    <t>2024-08-03 02:47:54</t>
  </si>
  <si>
    <t>TCK-14812</t>
  </si>
  <si>
    <t>2024-08-28 19:29:22</t>
  </si>
  <si>
    <t>2024-08-29 03:38:16</t>
  </si>
  <si>
    <t>TCK-14813</t>
  </si>
  <si>
    <t>2024-01-18 23:32:57</t>
  </si>
  <si>
    <t>2024-01-19 08:25:39</t>
  </si>
  <si>
    <t>TCK-14814</t>
  </si>
  <si>
    <t>2024-08-03 00:22:56</t>
  </si>
  <si>
    <t>2024-08-03 09:35:15</t>
  </si>
  <si>
    <t>TCK-14815</t>
  </si>
  <si>
    <t>2024-12-07 02:09:13</t>
  </si>
  <si>
    <t>TCK-14816</t>
  </si>
  <si>
    <t>2024-10-08 21:54:45</t>
  </si>
  <si>
    <t>2024-10-09 18:04:36</t>
  </si>
  <si>
    <t>TCK-14817</t>
  </si>
  <si>
    <t>2024-03-15 23:35:03</t>
  </si>
  <si>
    <t>2024-03-16 13:23:35</t>
  </si>
  <si>
    <t>TCK-14818</t>
  </si>
  <si>
    <t>2024-07-14 05:40:21</t>
  </si>
  <si>
    <t>2024-07-14 10:06:55</t>
  </si>
  <si>
    <t>TCK-14819</t>
  </si>
  <si>
    <t>2024-09-16 06:10:23</t>
  </si>
  <si>
    <t>2024-09-18 09:46:26</t>
  </si>
  <si>
    <t>TCK-14820</t>
  </si>
  <si>
    <t>2024-04-04 21:42:44</t>
  </si>
  <si>
    <t>2024-04-05 19:21:30</t>
  </si>
  <si>
    <t>TCK-14821</t>
  </si>
  <si>
    <t>2024-09-17 04:21:39</t>
  </si>
  <si>
    <t>TCK-14822</t>
  </si>
  <si>
    <t>2024-04-24 09:08:51</t>
  </si>
  <si>
    <t>2024-04-24 09:46:02</t>
  </si>
  <si>
    <t>TCK-14823</t>
  </si>
  <si>
    <t>2024-12-20 11:56:39</t>
  </si>
  <si>
    <t>2024-12-20 14:43:46</t>
  </si>
  <si>
    <t>TCK-14824</t>
  </si>
  <si>
    <t>2024-07-02 21:14:20</t>
  </si>
  <si>
    <t>2024-07-03 15:48:55</t>
  </si>
  <si>
    <t>TCK-14825</t>
  </si>
  <si>
    <t>2024-01-24 08:24:37</t>
  </si>
  <si>
    <t>2024-01-24 11:05:28</t>
  </si>
  <si>
    <t>TCK-14826</t>
  </si>
  <si>
    <t>2024-06-15 14:23:18</t>
  </si>
  <si>
    <t>2024-06-16 12:33:36</t>
  </si>
  <si>
    <t>TCK-14827</t>
  </si>
  <si>
    <t>2024-09-08 22:54:02</t>
  </si>
  <si>
    <t>2024-09-08 23:58:56</t>
  </si>
  <si>
    <t>TCK-14828</t>
  </si>
  <si>
    <t>2024-05-10 17:05:31</t>
  </si>
  <si>
    <t>2024-05-10 19:57:47</t>
  </si>
  <si>
    <t>TCK-14829</t>
  </si>
  <si>
    <t>2024-08-09 23:06:59</t>
  </si>
  <si>
    <t>2024-08-10 06:27:11</t>
  </si>
  <si>
    <t>TCK-14830</t>
  </si>
  <si>
    <t>2024-05-15 14:14:38</t>
  </si>
  <si>
    <t>TCK-14831</t>
  </si>
  <si>
    <t>2024-03-28 19:36:55</t>
  </si>
  <si>
    <t>2024-03-29 15:46:48</t>
  </si>
  <si>
    <t>TCK-14832</t>
  </si>
  <si>
    <t>2024-05-06 15:09:11</t>
  </si>
  <si>
    <t>2024-05-06 22:21:41</t>
  </si>
  <si>
    <t>TCK-14833</t>
  </si>
  <si>
    <t>2024-10-23 17:19:40</t>
  </si>
  <si>
    <t>2024-10-24 11:42:34</t>
  </si>
  <si>
    <t>TCK-14834</t>
  </si>
  <si>
    <t>2024-10-03 03:29:01</t>
  </si>
  <si>
    <t>2024-10-03 11:11:04</t>
  </si>
  <si>
    <t>TCK-14835</t>
  </si>
  <si>
    <t>2024-12-18 15:32:44</t>
  </si>
  <si>
    <t>TCK-14836</t>
  </si>
  <si>
    <t>2024-12-16 17:06:04</t>
  </si>
  <si>
    <t>2024-12-17 12:40:52</t>
  </si>
  <si>
    <t>TCK-14837</t>
  </si>
  <si>
    <t>2024-01-05 07:29:44</t>
  </si>
  <si>
    <t>2024-01-05 19:01:51</t>
  </si>
  <si>
    <t>TCK-14838</t>
  </si>
  <si>
    <t>2024-11-16 14:09:13</t>
  </si>
  <si>
    <t>TCK-14839</t>
  </si>
  <si>
    <t>2024-07-26 10:45:17</t>
  </si>
  <si>
    <t>2024-07-27 07:02:51</t>
  </si>
  <si>
    <t>TCK-14840</t>
  </si>
  <si>
    <t>2024-03-11 11:37:21</t>
  </si>
  <si>
    <t>2024-03-11 22:21:47</t>
  </si>
  <si>
    <t>TCK-14841</t>
  </si>
  <si>
    <t>2024-05-23 21:46:59</t>
  </si>
  <si>
    <t>2024-05-24 08:23:33</t>
  </si>
  <si>
    <t>TCK-14842</t>
  </si>
  <si>
    <t>2024-06-02 14:31:04</t>
  </si>
  <si>
    <t>TCK-14843</t>
  </si>
  <si>
    <t>2024-11-03 19:55:34</t>
  </si>
  <si>
    <t>2024-11-03 23:32:55</t>
  </si>
  <si>
    <t>TCK-14844</t>
  </si>
  <si>
    <t>2024-07-15 16:38:36</t>
  </si>
  <si>
    <t>2024-07-16 01:54:54</t>
  </si>
  <si>
    <t>TCK-14845</t>
  </si>
  <si>
    <t>2024-12-28 14:40:03</t>
  </si>
  <si>
    <t>TCK-14846</t>
  </si>
  <si>
    <t>2024-11-17 11:59:59</t>
  </si>
  <si>
    <t>2024-11-17 12:31:30</t>
  </si>
  <si>
    <t>TCK-14847</t>
  </si>
  <si>
    <t>2024-10-24 20:12:31</t>
  </si>
  <si>
    <t>TCK-14848</t>
  </si>
  <si>
    <t>2024-09-22 06:26:42</t>
  </si>
  <si>
    <t>TCK-14849</t>
  </si>
  <si>
    <t>2024-06-10 03:34:28</t>
  </si>
  <si>
    <t>2024-06-10 17:40:15</t>
  </si>
  <si>
    <t>TCK-14850</t>
  </si>
  <si>
    <t>2024-11-20 16:51:11</t>
  </si>
  <si>
    <t>2024-11-20 20:57:06</t>
  </si>
  <si>
    <t>TCK-14851</t>
  </si>
  <si>
    <t>2024-01-09 10:58:11</t>
  </si>
  <si>
    <t>2024-01-09 20:00:18</t>
  </si>
  <si>
    <t>TCK-14852</t>
  </si>
  <si>
    <t>2024-12-15 10:51:41</t>
  </si>
  <si>
    <t>2024-12-15 16:08:55</t>
  </si>
  <si>
    <t>TCK-14853</t>
  </si>
  <si>
    <t>2024-06-18 21:01:03</t>
  </si>
  <si>
    <t>2024-06-18 22:39:37</t>
  </si>
  <si>
    <t>TCK-14854</t>
  </si>
  <si>
    <t>2024-04-20 00:17:51</t>
  </si>
  <si>
    <t>2024-04-20 07:31:16</t>
  </si>
  <si>
    <t>TCK-14855</t>
  </si>
  <si>
    <t>2024-11-19 02:37:01</t>
  </si>
  <si>
    <t>2024-11-19 03:02:49</t>
  </si>
  <si>
    <t>TCK-14856</t>
  </si>
  <si>
    <t>2024-04-16 10:07:58</t>
  </si>
  <si>
    <t>2024-04-17 05:56:19</t>
  </si>
  <si>
    <t>TCK-14857</t>
  </si>
  <si>
    <t>2024-07-14 19:15:44</t>
  </si>
  <si>
    <t>2024-07-17 05:05:15</t>
  </si>
  <si>
    <t>TCK-14858</t>
  </si>
  <si>
    <t>2024-07-02 04:17:44</t>
  </si>
  <si>
    <t>2024-07-02 06:55:40</t>
  </si>
  <si>
    <t>TCK-14859</t>
  </si>
  <si>
    <t>2024-07-24 23:16:41</t>
  </si>
  <si>
    <t>2024-07-25 14:10:27</t>
  </si>
  <si>
    <t>TCK-14860</t>
  </si>
  <si>
    <t>2024-06-08 08:07:48</t>
  </si>
  <si>
    <t>2024-06-08 21:46:03</t>
  </si>
  <si>
    <t>TCK-14861</t>
  </si>
  <si>
    <t>2024-07-16 21:24:19</t>
  </si>
  <si>
    <t>2024-07-18 07:01:32</t>
  </si>
  <si>
    <t>TCK-14862</t>
  </si>
  <si>
    <t>2024-08-14 23:15:54</t>
  </si>
  <si>
    <t>2024-08-15 03:09:09</t>
  </si>
  <si>
    <t>TCK-14863</t>
  </si>
  <si>
    <t>2024-05-14 22:20:28</t>
  </si>
  <si>
    <t>2024-05-15 13:03:11</t>
  </si>
  <si>
    <t>TCK-14864</t>
  </si>
  <si>
    <t>2024-12-19 16:10:54</t>
  </si>
  <si>
    <t>2024-12-19 22:23:27</t>
  </si>
  <si>
    <t>TCK-14865</t>
  </si>
  <si>
    <t>2024-06-03 10:44:48</t>
  </si>
  <si>
    <t>2024-06-03 13:52:08</t>
  </si>
  <si>
    <t>TCK-14866</t>
  </si>
  <si>
    <t>2024-12-21 17:42:49</t>
  </si>
  <si>
    <t>2024-12-21 23:55:22</t>
  </si>
  <si>
    <t>TCK-14867</t>
  </si>
  <si>
    <t>2024-12-10 19:47:05</t>
  </si>
  <si>
    <t>2024-12-10 22:24:57</t>
  </si>
  <si>
    <t>TCK-14868</t>
  </si>
  <si>
    <t>2024-02-22 19:53:38</t>
  </si>
  <si>
    <t>2024-02-25 07:36:49</t>
  </si>
  <si>
    <t>TCK-14869</t>
  </si>
  <si>
    <t>2024-12-05 12:15:21</t>
  </si>
  <si>
    <t>2024-12-08 07:17:57</t>
  </si>
  <si>
    <t>TCK-14870</t>
  </si>
  <si>
    <t>2024-07-30 16:06:05</t>
  </si>
  <si>
    <t>2024-08-04 00:46:15</t>
  </si>
  <si>
    <t>TCK-14871</t>
  </si>
  <si>
    <t>2024-09-18 23:48:19</t>
  </si>
  <si>
    <t>2024-09-19 09:57:30</t>
  </si>
  <si>
    <t>TCK-14872</t>
  </si>
  <si>
    <t>2024-06-03 13:58:04</t>
  </si>
  <si>
    <t>2024-06-03 22:28:29</t>
  </si>
  <si>
    <t>TCK-14873</t>
  </si>
  <si>
    <t>2024-02-26 11:50:19</t>
  </si>
  <si>
    <t>2024-02-29 03:56:35</t>
  </si>
  <si>
    <t>TCK-14874</t>
  </si>
  <si>
    <t>2024-06-14 21:02:44</t>
  </si>
  <si>
    <t>2024-06-15 04:29:59</t>
  </si>
  <si>
    <t>TCK-14875</t>
  </si>
  <si>
    <t>2024-01-14 05:07:40</t>
  </si>
  <si>
    <t>2024-01-14 06:52:10</t>
  </si>
  <si>
    <t>TCK-14876</t>
  </si>
  <si>
    <t>2024-12-09 18:02:20</t>
  </si>
  <si>
    <t>2024-12-10 15:56:29</t>
  </si>
  <si>
    <t>TCK-14877</t>
  </si>
  <si>
    <t>2024-06-11 19:45:55</t>
  </si>
  <si>
    <t>2024-06-12 16:31:54</t>
  </si>
  <si>
    <t>TCK-14878</t>
  </si>
  <si>
    <t>2024-09-18 22:34:05</t>
  </si>
  <si>
    <t>TCK-14879</t>
  </si>
  <si>
    <t>2024-07-02 06:27:04</t>
  </si>
  <si>
    <t>TCK-14880</t>
  </si>
  <si>
    <t>2024-10-20 07:46:42</t>
  </si>
  <si>
    <t>2024-10-20 16:35:11</t>
  </si>
  <si>
    <t>TCK-14881</t>
  </si>
  <si>
    <t>2024-11-24 16:48:30</t>
  </si>
  <si>
    <t>2024-11-25 08:06:40</t>
  </si>
  <si>
    <t>TCK-14882</t>
  </si>
  <si>
    <t>2024-12-29 17:48:00</t>
  </si>
  <si>
    <t>2024-12-29 22:13:58</t>
  </si>
  <si>
    <t>TCK-14883</t>
  </si>
  <si>
    <t>2024-03-08 01:08:23</t>
  </si>
  <si>
    <t>2024-03-08 02:07:54</t>
  </si>
  <si>
    <t>TCK-14884</t>
  </si>
  <si>
    <t>2024-11-17 04:32:55</t>
  </si>
  <si>
    <t>2024-11-17 18:03:54</t>
  </si>
  <si>
    <t>TCK-14885</t>
  </si>
  <si>
    <t>2024-04-25 13:35:04</t>
  </si>
  <si>
    <t>2024-04-27 04:37:30</t>
  </si>
  <si>
    <t>TCK-14886</t>
  </si>
  <si>
    <t>2024-05-23 04:24:21</t>
  </si>
  <si>
    <t>2024-05-23 09:17:12</t>
  </si>
  <si>
    <t>TCK-14887</t>
  </si>
  <si>
    <t>2024-01-21 13:43:10</t>
  </si>
  <si>
    <t>2024-01-21 15:34:34</t>
  </si>
  <si>
    <t>TCK-14888</t>
  </si>
  <si>
    <t>2024-08-20 19:51:04</t>
  </si>
  <si>
    <t>TCK-14889</t>
  </si>
  <si>
    <t>2024-09-09 14:24:25</t>
  </si>
  <si>
    <t>2024-09-09 17:35:46</t>
  </si>
  <si>
    <t>TCK-14890</t>
  </si>
  <si>
    <t>2024-07-13 10:29:15</t>
  </si>
  <si>
    <t>2024-07-13 21:56:27</t>
  </si>
  <si>
    <t>TCK-14891</t>
  </si>
  <si>
    <t>2024-09-02 01:25:01</t>
  </si>
  <si>
    <t>2024-09-02 14:05:20</t>
  </si>
  <si>
    <t>TCK-14892</t>
  </si>
  <si>
    <t>2024-11-09 10:11:16</t>
  </si>
  <si>
    <t>2024-11-09 14:17:20</t>
  </si>
  <si>
    <t>TCK-14893</t>
  </si>
  <si>
    <t>2024-02-05 12:46:49</t>
  </si>
  <si>
    <t>2024-02-09 07:52:32</t>
  </si>
  <si>
    <t>TCK-14894</t>
  </si>
  <si>
    <t>2024-11-10 16:38:33</t>
  </si>
  <si>
    <t>2024-11-11 08:42:59</t>
  </si>
  <si>
    <t>TCK-14895</t>
  </si>
  <si>
    <t>2024-06-04 03:17:39</t>
  </si>
  <si>
    <t>2024-06-05 06:31:24</t>
  </si>
  <si>
    <t>TCK-14896</t>
  </si>
  <si>
    <t>2024-02-11 06:26:04</t>
  </si>
  <si>
    <t>2024-02-11 07:54:37</t>
  </si>
  <si>
    <t>TCK-14897</t>
  </si>
  <si>
    <t>2024-04-07 10:37:21</t>
  </si>
  <si>
    <t>2024-04-07 12:54:22</t>
  </si>
  <si>
    <t>TCK-14898</t>
  </si>
  <si>
    <t>2024-10-02 23:21:44</t>
  </si>
  <si>
    <t>2024-10-03 00:33:12</t>
  </si>
  <si>
    <t>TCK-14899</t>
  </si>
  <si>
    <t>2024-11-08 00:29:09</t>
  </si>
  <si>
    <t>2024-11-08 07:45:14</t>
  </si>
  <si>
    <t>TCK-14900</t>
  </si>
  <si>
    <t>2024-02-12 19:56:13</t>
  </si>
  <si>
    <t>2024-02-13 12:33:43</t>
  </si>
  <si>
    <t>TCK-14901</t>
  </si>
  <si>
    <t>2024-07-05 08:01:03</t>
  </si>
  <si>
    <t>2024-07-06 00:50:50</t>
  </si>
  <si>
    <t>TCK-14902</t>
  </si>
  <si>
    <t>2024-03-16 09:24:09</t>
  </si>
  <si>
    <t>2024-03-16 12:41:48</t>
  </si>
  <si>
    <t>TCK-14903</t>
  </si>
  <si>
    <t>2024-07-12 21:11:53</t>
  </si>
  <si>
    <t>2024-07-13 03:40:56</t>
  </si>
  <si>
    <t>TCK-14904</t>
  </si>
  <si>
    <t>2024-09-20 12:31:29</t>
  </si>
  <si>
    <t>2024-09-22 14:11:03</t>
  </si>
  <si>
    <t>TCK-14905</t>
  </si>
  <si>
    <t>2024-11-24 02:15:27</t>
  </si>
  <si>
    <t>2024-11-24 17:13:40</t>
  </si>
  <si>
    <t>TCK-14906</t>
  </si>
  <si>
    <t>2024-02-11 10:57:52</t>
  </si>
  <si>
    <t>2024-02-11 12:33:11</t>
  </si>
  <si>
    <t>TCK-14907</t>
  </si>
  <si>
    <t>2024-11-09 08:08:57</t>
  </si>
  <si>
    <t>2024-11-10 00:16:27</t>
  </si>
  <si>
    <t>TCK-14908</t>
  </si>
  <si>
    <t>2024-01-30 05:02:20</t>
  </si>
  <si>
    <t>2024-02-03 23:18:39</t>
  </si>
  <si>
    <t>TCK-14909</t>
  </si>
  <si>
    <t>2024-05-05 01:34:53</t>
  </si>
  <si>
    <t>2024-05-05 02:24:53</t>
  </si>
  <si>
    <t>TCK-14910</t>
  </si>
  <si>
    <t>2024-12-13 01:19:14</t>
  </si>
  <si>
    <t>2024-12-13 16:55:12</t>
  </si>
  <si>
    <t>TCK-14911</t>
  </si>
  <si>
    <t>2024-03-21 10:49:19</t>
  </si>
  <si>
    <t>2024-03-21 17:44:37</t>
  </si>
  <si>
    <t>TCK-14912</t>
  </si>
  <si>
    <t>2024-07-22 04:37:49</t>
  </si>
  <si>
    <t>2024-07-22 13:30:55</t>
  </si>
  <si>
    <t>TCK-14913</t>
  </si>
  <si>
    <t>2024-05-19 05:35:46</t>
  </si>
  <si>
    <t>2024-05-20 17:59:58</t>
  </si>
  <si>
    <t>TCK-14914</t>
  </si>
  <si>
    <t>2024-10-13 02:27:32</t>
  </si>
  <si>
    <t>2024-10-14 18:53:00</t>
  </si>
  <si>
    <t>TCK-14915</t>
  </si>
  <si>
    <t>2024-02-28 00:36:32</t>
  </si>
  <si>
    <t>2024-02-28 12:26:52</t>
  </si>
  <si>
    <t>TCK-14916</t>
  </si>
  <si>
    <t>2024-10-02 01:06:34</t>
  </si>
  <si>
    <t>2024-10-03 17:43:03</t>
  </si>
  <si>
    <t>TCK-14917</t>
  </si>
  <si>
    <t>2024-06-18 20:27:25</t>
  </si>
  <si>
    <t>2024-06-19 05:49:52</t>
  </si>
  <si>
    <t>TCK-14918</t>
  </si>
  <si>
    <t>2024-12-08 23:42:10</t>
  </si>
  <si>
    <t>TCK-14919</t>
  </si>
  <si>
    <t>2024-04-11 23:19:41</t>
  </si>
  <si>
    <t>2024-04-12 14:14:27</t>
  </si>
  <si>
    <t>TCK-14920</t>
  </si>
  <si>
    <t>2024-12-23 08:57:43</t>
  </si>
  <si>
    <t>2024-12-23 20:01:32</t>
  </si>
  <si>
    <t>TCK-14921</t>
  </si>
  <si>
    <t>2024-10-22 23:21:46</t>
  </si>
  <si>
    <t>2024-10-23 21:42:46</t>
  </si>
  <si>
    <t>TCK-14922</t>
  </si>
  <si>
    <t>2024-09-08 01:11:16</t>
  </si>
  <si>
    <t>TCK-14923</t>
  </si>
  <si>
    <t>2024-12-26 21:46:41</t>
  </si>
  <si>
    <t>TCK-14924</t>
  </si>
  <si>
    <t>2024-09-22 19:34:42</t>
  </si>
  <si>
    <t>2024-09-22 21:26:03</t>
  </si>
  <si>
    <t>TCK-14925</t>
  </si>
  <si>
    <t>2024-10-18 09:00:22</t>
  </si>
  <si>
    <t>2024-10-18 11:21:09</t>
  </si>
  <si>
    <t>TCK-14926</t>
  </si>
  <si>
    <t>2024-02-11 16:26:40</t>
  </si>
  <si>
    <t>2024-02-12 05:00:35</t>
  </si>
  <si>
    <t>TCK-14927</t>
  </si>
  <si>
    <t>2024-09-30 00:22:00</t>
  </si>
  <si>
    <t>2024-09-30 04:24:56</t>
  </si>
  <si>
    <t>TCK-14928</t>
  </si>
  <si>
    <t>2024-06-14 23:55:56</t>
  </si>
  <si>
    <t>2024-06-15 16:39:39</t>
  </si>
  <si>
    <t>TCK-14929</t>
  </si>
  <si>
    <t>2024-05-04 12:28:17</t>
  </si>
  <si>
    <t>2024-05-04 15:24:48</t>
  </si>
  <si>
    <t>TCK-14930</t>
  </si>
  <si>
    <t>2024-08-29 15:40:06</t>
  </si>
  <si>
    <t>2024-08-30 01:22:51</t>
  </si>
  <si>
    <t>TCK-14931</t>
  </si>
  <si>
    <t>2024-05-07 12:59:24</t>
  </si>
  <si>
    <t>2024-05-08 03:01:42</t>
  </si>
  <si>
    <t>TCK-14932</t>
  </si>
  <si>
    <t>2024-07-25 09:54:03</t>
  </si>
  <si>
    <t>2024-07-25 12:05:53</t>
  </si>
  <si>
    <t>TCK-14933</t>
  </si>
  <si>
    <t>2024-08-23 12:38:02</t>
  </si>
  <si>
    <t>TCK-14934</t>
  </si>
  <si>
    <t>2024-02-07 04:03:33</t>
  </si>
  <si>
    <t>2024-02-07 07:35:41</t>
  </si>
  <si>
    <t>TCK-14935</t>
  </si>
  <si>
    <t>2024-12-27 14:58:21</t>
  </si>
  <si>
    <t>2024-12-28 17:23:09</t>
  </si>
  <si>
    <t>TCK-14936</t>
  </si>
  <si>
    <t>2024-10-13 01:17:18</t>
  </si>
  <si>
    <t>2024-10-13 23:16:22</t>
  </si>
  <si>
    <t>TCK-14937</t>
  </si>
  <si>
    <t>2024-06-28 02:46:20</t>
  </si>
  <si>
    <t>2024-06-30 20:09:57</t>
  </si>
  <si>
    <t>TCK-14938</t>
  </si>
  <si>
    <t>2024-02-01 21:52:17</t>
  </si>
  <si>
    <t>2024-02-02 17:19:23</t>
  </si>
  <si>
    <t>TCK-14939</t>
  </si>
  <si>
    <t>2024-11-26 22:48:31</t>
  </si>
  <si>
    <t>2024-11-27 04:21:49</t>
  </si>
  <si>
    <t>TCK-14940</t>
  </si>
  <si>
    <t>2024-04-11 18:36:47</t>
  </si>
  <si>
    <t>2024-04-11 19:30:09</t>
  </si>
  <si>
    <t>TCK-14941</t>
  </si>
  <si>
    <t>2024-07-10 08:49:10</t>
  </si>
  <si>
    <t>TCK-14942</t>
  </si>
  <si>
    <t>2024-02-09 15:32:45</t>
  </si>
  <si>
    <t>2024-02-10 02:54:26</t>
  </si>
  <si>
    <t>TCK-14943</t>
  </si>
  <si>
    <t>2024-07-06 04:37:37</t>
  </si>
  <si>
    <t>2024-07-06 07:22:54</t>
  </si>
  <si>
    <t>TCK-14944</t>
  </si>
  <si>
    <t>2024-11-30 02:27:59</t>
  </si>
  <si>
    <t>TCK-14945</t>
  </si>
  <si>
    <t>2024-11-04 12:46:35</t>
  </si>
  <si>
    <t>2024-11-04 18:36:10</t>
  </si>
  <si>
    <t>TCK-14946</t>
  </si>
  <si>
    <t>2024-07-11 07:51:53</t>
  </si>
  <si>
    <t>2024-07-11 13:58:48</t>
  </si>
  <si>
    <t>TCK-14947</t>
  </si>
  <si>
    <t>2024-08-15 12:19:35</t>
  </si>
  <si>
    <t>2024-08-15 17:45:26</t>
  </si>
  <si>
    <t>TCK-14948</t>
  </si>
  <si>
    <t>2024-02-19 21:52:27</t>
  </si>
  <si>
    <t>2024-02-21 02:31:15</t>
  </si>
  <si>
    <t>TCK-14949</t>
  </si>
  <si>
    <t>2024-01-21 00:47:24</t>
  </si>
  <si>
    <t>TCK-14950</t>
  </si>
  <si>
    <t>2024-09-20 00:28:30</t>
  </si>
  <si>
    <t>2024-09-20 03:30:50</t>
  </si>
  <si>
    <t>TCK-14951</t>
  </si>
  <si>
    <t>2024-10-11 11:56:21</t>
  </si>
  <si>
    <t>2024-10-11 23:40:49</t>
  </si>
  <si>
    <t>TCK-14952</t>
  </si>
  <si>
    <t>2024-07-07 08:06:01</t>
  </si>
  <si>
    <t>2024-07-08 05:41:57</t>
  </si>
  <si>
    <t>TCK-14953</t>
  </si>
  <si>
    <t>2024-10-06 18:35:24</t>
  </si>
  <si>
    <t>2024-10-09 17:25:02</t>
  </si>
  <si>
    <t>TCK-14954</t>
  </si>
  <si>
    <t>2024-06-20 01:25:46</t>
  </si>
  <si>
    <t>2024-06-22 14:16:32</t>
  </si>
  <si>
    <t>TCK-14955</t>
  </si>
  <si>
    <t>2024-10-14 22:55:24</t>
  </si>
  <si>
    <t>2024-10-17 04:01:07</t>
  </si>
  <si>
    <t>TCK-14956</t>
  </si>
  <si>
    <t>2024-05-24 22:47:59</t>
  </si>
  <si>
    <t>2024-05-25 03:18:07</t>
  </si>
  <si>
    <t>TCK-14957</t>
  </si>
  <si>
    <t>2024-11-08 14:35:26</t>
  </si>
  <si>
    <t>2024-11-08 21:25:41</t>
  </si>
  <si>
    <t>TCK-14958</t>
  </si>
  <si>
    <t>2024-07-30 11:55:41</t>
  </si>
  <si>
    <t>2024-07-30 14:32:26</t>
  </si>
  <si>
    <t>TCK-14959</t>
  </si>
  <si>
    <t>2024-11-23 10:56:07</t>
  </si>
  <si>
    <t>2024-11-23 19:52:51</t>
  </si>
  <si>
    <t>TCK-14960</t>
  </si>
  <si>
    <t>2024-05-18 14:52:38</t>
  </si>
  <si>
    <t>2024-05-19 07:53:05</t>
  </si>
  <si>
    <t>TCK-14961</t>
  </si>
  <si>
    <t>2024-02-18 14:44:08</t>
  </si>
  <si>
    <t>2024-02-19 03:41:31</t>
  </si>
  <si>
    <t>TCK-14962</t>
  </si>
  <si>
    <t>2024-11-09 08:12:15</t>
  </si>
  <si>
    <t>2024-11-10 11:34:48</t>
  </si>
  <si>
    <t>TCK-14963</t>
  </si>
  <si>
    <t>2024-05-12 14:43:34</t>
  </si>
  <si>
    <t>2024-05-13 08:50:13</t>
  </si>
  <si>
    <t>TCK-14964</t>
  </si>
  <si>
    <t>2024-12-09 17:49:29</t>
  </si>
  <si>
    <t>2024-12-10 14:10:58</t>
  </si>
  <si>
    <t>TCK-14965</t>
  </si>
  <si>
    <t>2024-12-12 15:15:45</t>
  </si>
  <si>
    <t>2024-12-12 19:41:59</t>
  </si>
  <si>
    <t>TCK-14966</t>
  </si>
  <si>
    <t>2024-01-28 03:56:49</t>
  </si>
  <si>
    <t>2024-01-28 06:52:06</t>
  </si>
  <si>
    <t>TCK-14967</t>
  </si>
  <si>
    <t>2024-03-21 03:58:23</t>
  </si>
  <si>
    <t>2024-03-21 19:04:39</t>
  </si>
  <si>
    <t>TCK-14968</t>
  </si>
  <si>
    <t>2024-01-04 14:29:31</t>
  </si>
  <si>
    <t>2024-01-04 18:52:53</t>
  </si>
  <si>
    <t>TCK-14969</t>
  </si>
  <si>
    <t>2024-02-23 14:06:37</t>
  </si>
  <si>
    <t>2024-02-24 00:46:50</t>
  </si>
  <si>
    <t>TCK-14970</t>
  </si>
  <si>
    <t>2024-03-12 05:08:01</t>
  </si>
  <si>
    <t>2024-03-13 23:56:45</t>
  </si>
  <si>
    <t>TCK-14971</t>
  </si>
  <si>
    <t>2024-05-20 05:10:27</t>
  </si>
  <si>
    <t>TCK-14972</t>
  </si>
  <si>
    <t>2024-11-20 09:53:55</t>
  </si>
  <si>
    <t>2024-11-20 16:11:12</t>
  </si>
  <si>
    <t>TCK-14973</t>
  </si>
  <si>
    <t>2024-08-30 18:38:01</t>
  </si>
  <si>
    <t>TCK-14974</t>
  </si>
  <si>
    <t>2024-10-17 20:13:09</t>
  </si>
  <si>
    <t>2024-10-18 22:28:52</t>
  </si>
  <si>
    <t>TCK-14975</t>
  </si>
  <si>
    <t>2024-09-27 08:53:01</t>
  </si>
  <si>
    <t>2024-09-28 21:54:01</t>
  </si>
  <si>
    <t>TCK-14976</t>
  </si>
  <si>
    <t>2024-07-28 21:30:06</t>
  </si>
  <si>
    <t>2024-07-30 07:01:35</t>
  </si>
  <si>
    <t>TCK-14977</t>
  </si>
  <si>
    <t>2024-10-16 07:40:32</t>
  </si>
  <si>
    <t>2024-10-16 13:51:31</t>
  </si>
  <si>
    <t>TCK-14978</t>
  </si>
  <si>
    <t>2024-04-11 10:10:18</t>
  </si>
  <si>
    <t>TCK-14979</t>
  </si>
  <si>
    <t>2024-12-24 02:22:11</t>
  </si>
  <si>
    <t>2024-12-25 04:01:11</t>
  </si>
  <si>
    <t>TCK-14980</t>
  </si>
  <si>
    <t>2024-01-20 04:04:58</t>
  </si>
  <si>
    <t>2024-01-20 06:32:00</t>
  </si>
  <si>
    <t>TCK-14981</t>
  </si>
  <si>
    <t>2024-01-10 16:02:17</t>
  </si>
  <si>
    <t>2024-01-10 18:34:37</t>
  </si>
  <si>
    <t>TCK-14982</t>
  </si>
  <si>
    <t>2024-09-02 00:45:21</t>
  </si>
  <si>
    <t>TCK-14983</t>
  </si>
  <si>
    <t>2024-05-19 21:23:23</t>
  </si>
  <si>
    <t>2024-05-19 22:20:33</t>
  </si>
  <si>
    <t>TCK-14984</t>
  </si>
  <si>
    <t>2024-04-09 07:33:38</t>
  </si>
  <si>
    <t>2024-04-10 18:13:04</t>
  </si>
  <si>
    <t>TCK-14985</t>
  </si>
  <si>
    <t>2024-06-20 11:48:23</t>
  </si>
  <si>
    <t>TCK-14986</t>
  </si>
  <si>
    <t>2024-08-02 13:15:13</t>
  </si>
  <si>
    <t>2024-08-03 00:15:48</t>
  </si>
  <si>
    <t>TCK-14987</t>
  </si>
  <si>
    <t>2024-03-16 01:26:53</t>
  </si>
  <si>
    <t>2024-03-16 14:11:37</t>
  </si>
  <si>
    <t>TCK-14988</t>
  </si>
  <si>
    <t>2024-12-12 22:14:56</t>
  </si>
  <si>
    <t>2024-12-13 02:50:08</t>
  </si>
  <si>
    <t>TCK-14989</t>
  </si>
  <si>
    <t>2024-08-08 04:50:45</t>
  </si>
  <si>
    <t>2024-08-08 11:32:54</t>
  </si>
  <si>
    <t>TCK-14990</t>
  </si>
  <si>
    <t>2024-01-28 18:23:44</t>
  </si>
  <si>
    <t>2024-01-30 18:15:20</t>
  </si>
  <si>
    <t>TCK-14991</t>
  </si>
  <si>
    <t>2024-10-07 15:00:28</t>
  </si>
  <si>
    <t>2024-10-09 02:54:39</t>
  </si>
  <si>
    <t>TCK-14992</t>
  </si>
  <si>
    <t>2024-09-29 09:57:31</t>
  </si>
  <si>
    <t>2024-09-29 17:18:35</t>
  </si>
  <si>
    <t>TCK-14993</t>
  </si>
  <si>
    <t>2024-07-17 08:34:22</t>
  </si>
  <si>
    <t>2024-07-17 15:49:17</t>
  </si>
  <si>
    <t>TCK-14994</t>
  </si>
  <si>
    <t>2024-12-16 20:30:10</t>
  </si>
  <si>
    <t>TCK-14995</t>
  </si>
  <si>
    <t>2024-07-29 22:03:54</t>
  </si>
  <si>
    <t>2024-07-30 04:44:23</t>
  </si>
  <si>
    <t>TCK-14996</t>
  </si>
  <si>
    <t>2024-04-15 21:53:01</t>
  </si>
  <si>
    <t>TCK-14997</t>
  </si>
  <si>
    <t>2024-08-19 16:17:45</t>
  </si>
  <si>
    <t>2024-08-20 20:32:36</t>
  </si>
  <si>
    <t>TCK-14998</t>
  </si>
  <si>
    <t>2024-04-13 16:44:30</t>
  </si>
  <si>
    <t>TCK-14999</t>
  </si>
  <si>
    <t>2024-01-09 02:33:17</t>
  </si>
  <si>
    <t>2024-01-10 05:34:00</t>
  </si>
  <si>
    <t>TCK-15000</t>
  </si>
  <si>
    <t>2024-04-01 10:53:13</t>
  </si>
  <si>
    <t>2024-04-03 02:04:52</t>
  </si>
  <si>
    <t>SLA_Met</t>
  </si>
  <si>
    <t>month</t>
  </si>
  <si>
    <t>breach_hours</t>
  </si>
  <si>
    <t>Service Desk SLA &amp; KPI Summary</t>
  </si>
  <si>
    <t>Automated Operational Metrics (Full Year 2024)</t>
  </si>
  <si>
    <t>Total Ticket Volume</t>
  </si>
  <si>
    <t>Overall SLA Compliance %</t>
  </si>
  <si>
    <t>Avg Resolution Time (Hrs)</t>
  </si>
  <si>
    <t>Open Backlog Count</t>
  </si>
  <si>
    <t>Avg Customer CSAT (1-5)</t>
  </si>
  <si>
    <t>Total Breached Tickets</t>
  </si>
  <si>
    <t>Monthly SLA Compliance &amp; Ticket Volume Trend</t>
  </si>
  <si>
    <t>Month</t>
  </si>
  <si>
    <t>Total Intake Volume</t>
  </si>
  <si>
    <t>Resolved Tickets</t>
  </si>
  <si>
    <t>Tickets Met SLA</t>
  </si>
  <si>
    <t>SLA Compliance %</t>
  </si>
  <si>
    <t>Avg Resolution Hrs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</si>
  <si>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</si>
  <si>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</si>
  <si>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</si>
  <si>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</si>
  <si>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</si>
  <si>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</si>
  <si>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</si>
  <si>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</si>
  <si>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</si>
  <si>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</si>
  <si>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</si>
  <si>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</si>
  <si>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SLA Performance by Priority &amp; Category</t>
  </si>
  <si>
    <t>Performance by Priority Level</t>
  </si>
  <si>
    <t>Priority</t>
  </si>
  <si>
    <t>SLA Target (Hrs)</t>
  </si>
  <si>
    <t>Total Tickets</t>
  </si>
  <si>
    <t>SLA Met</t>
  </si>
  <si>
    <t>Avg Res Hrs</t>
  </si>
  <si>
    <t>Performance by Service Category</t>
  </si>
  <si>
    <t>Category</t>
  </si>
  <si>
    <t>EXECUTIVE SERVICE DESK DASHBOARD</t>
  </si>
  <si>
    <t>Daily / Weekly / Monthly Governance View</t>
  </si>
  <si>
    <t>Avg Res Time (Hrs)</t>
  </si>
  <si>
    <t>Open Backlog</t>
  </si>
  <si>
    <t>Report Documentation &amp; Metric Definitions</t>
  </si>
  <si>
    <t>Metric / Concept</t>
  </si>
  <si>
    <t>Definition &amp; Governance Business Standard</t>
  </si>
  <si>
    <t>Excel Formula Used</t>
  </si>
  <si>
    <t>Count of all support ticket intake records created in 2024.</t>
  </si>
  <si>
    <t>Count of tickets with completed status ('Resolved' or 'Closed').</t>
  </si>
  <si>
    <t>Standard Definition: Tickets Met SLA / Total Resolved Tickets.</t>
  </si>
  <si>
    <t>Avg Resolution Time</t>
  </si>
  <si>
    <t>Mean turnaround time (decimal hours) from creation to resolution for resolved tickets.</t>
  </si>
  <si>
    <t>Count of active tickets currently in 'Open' or 'Escalated' status.</t>
  </si>
  <si>
    <t>Avg CSAT</t>
  </si>
  <si>
    <t>Average customer satisfaction rating on a 1-5 scale for resolved tickets.</t>
  </si>
  <si>
    <t>SLA Target (P1)</t>
  </si>
  <si>
    <t>Critical Incident Target = 4 Hours.</t>
  </si>
  <si>
    <t>Hardcoded SLA Target Rule</t>
  </si>
  <si>
    <t>SLA Target (P2)</t>
  </si>
  <si>
    <t>High Priority Target = 8 Hours.</t>
  </si>
  <si>
    <t>SLA Target (P3)</t>
  </si>
  <si>
    <t>Medium Priority Target = 24 Hours.</t>
  </si>
  <si>
    <t>SLA Target (P4)</t>
  </si>
  <si>
    <t>Low Priority Target = 48 Hours.</t>
  </si>
  <si>
    <t>Conditional Formatting</t>
  </si>
  <si>
    <t>Green: SLA &gt;= 90% | Amber: 80% &lt;= SLA &lt; 90% | Red: SLA &lt; 80%</t>
  </si>
  <si>
    <t>Excel CellIsRule Conditional Formatting on merged E6:G7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</si>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</sst>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1F4E78"/>
      <name val="Calibri"/>
    </font>
    <font>
      <i/>
      <sz val="11"/>
      <color rgb="FF595959"/>
      <name val="Calibri"/>
    </font>
    <font>
      <b/>
      <sz val="10"/>
      <color rgb="FF595959"/>
      <name val="Calibri"/>
    </font>
    <font>
      <b/>
      <sz val="20"/>
      <color rgb="FF1F4E78"/>
      <name val="Calibri"/>
    </font>
    <font>
      <b/>
      <sz val="11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2F5597"/>
        <bgColor rgb="FF2F5597"/>
      </patternFill>
    </fill>
  </fills>
  <borders count="3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0" fillId="0" borderId="2" xfId="0" applyBorder="1" applyAlignment="1">
      <alignment horizontal="center" vertical="center"/>
    </xf>
    <xf numFmtId="3" fontId="0" fillId="0" borderId="2" xfId="0" applyNumberFormat="1" applyBorder="1"/>
    <xf numFmtId="10" fontId="0" fillId="0" borderId="2" xfId="0" applyNumberFormat="1" applyBorder="1" applyAlignment="1">
      <alignment horizontal="right" vertical="center"/>
    </xf>
    <xf numFmtId="2" fontId="0" fillId="0" borderId="2" xfId="0" applyNumberFormat="1" applyBorder="1" applyAlignment="1">
      <alignment horizontal="right" vertical="center"/>
    </xf>
    <xf numFmtId="0" fontId="6" fillId="0" borderId="0" xfId="0" applyFont="1"/>
    <xf numFmtId="0" fontId="1" fillId="5" borderId="0" xfId="0" applyFont="1" applyFill="1" applyAlignment="1">
      <alignment horizontal="center" vertical="center"/>
    </xf>
    <xf numFmtId="10" fontId="0" fillId="0" borderId="2" xfId="0" applyNumberFormat="1" applyBorder="1"/>
    <xf numFmtId="2" fontId="0" fillId="0" borderId="2" xfId="0" applyNumberFormat="1" applyBorder="1"/>
    <xf numFmtId="0" fontId="6" fillId="0" borderId="2" xfId="0" applyFont="1" applyBorder="1"/>
    <xf numFmtId="0" fontId="7" fillId="0" borderId="2" xfId="0" applyFont="1" applyBorder="1"/>
    <xf numFmtId="10" fontId="5" fillId="4" borderId="1" xfId="0" applyNumberFormat="1" applyFont="1" applyFill="1" applyBorder="1" applyAlignment="1">
      <alignment horizontal="center" vertical="center"/>
    </xf>
    <xf numFmtId="0" fontId="0" fillId="0" borderId="1" xfId="0" applyBorder="1"/>
    <xf numFmtId="2" fontId="5" fillId="4" borderId="1" xfId="0" applyNumberFormat="1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">
    <dxf>
      <font>
        <b/>
        <sz val="20"/>
        <color rgb="FF9C0006"/>
        <name val="Calibri"/>
      </font>
      <fill>
        <patternFill patternType="solid">
          <fgColor rgb="FFFFC7CE"/>
          <bgColor rgb="FFFFC7CE"/>
        </patternFill>
      </fill>
    </dxf>
    <dxf>
      <font>
        <b/>
        <sz val="20"/>
        <color rgb="FF9C6500"/>
        <name val="Calibri"/>
      </font>
      <fill>
        <patternFill patternType="solid">
          <fgColor rgb="FFFFEB9C"/>
          <bgColor rgb="FFFFEB9C"/>
        </patternFill>
      </fill>
    </dxf>
    <dxf>
      <font>
        <b/>
        <sz val="20"/>
        <color rgb="FF006100"/>
        <name val="Calibri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t>Monthly SLA Compliance %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Monthly_Trend!$F$4</c:f>
              <c:strCache>
                <c:ptCount val="1"/>
                <c:pt idx="0">
                  <c:v>SLA Compliance %</c:v>
                </c:pt>
              </c:strCache>
            </c:strRef>
          </c:tx>
          <c:spPr>
            <a:ln w="25000">
              <a:solidFill>
                <a:srgbClr val="1F4E78"/>
              </a:solidFill>
              <a:prstDash val="solid"/>
            </a:ln>
          </c:spPr>
          <c:marker>
            <c:symbol val="none"/>
          </c:marker>
          <c:cat>
            <c:strRef>
              <c:f>Monthly_Trend!$B$5:$B$16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Monthly_Trend!$F$5:$F$16</c:f>
              <c:numCache>
                <c:formatCode>0.00%</c:formatCode>
                <c:ptCount val="12"/>
                <c:pt idx="0">
                  <c:v>0.84530386740331487</c:v>
                </c:pt>
                <c:pt idx="1">
                  <c:v>0.79319371727748689</c:v>
                </c:pt>
                <c:pt idx="2">
                  <c:v>0.80585106382978722</c:v>
                </c:pt>
                <c:pt idx="3">
                  <c:v>0.851123595505618</c:v>
                </c:pt>
                <c:pt idx="4">
                  <c:v>0.81621621621621621</c:v>
                </c:pt>
                <c:pt idx="5">
                  <c:v>0.82493368700265257</c:v>
                </c:pt>
                <c:pt idx="6">
                  <c:v>0.81451612903225812</c:v>
                </c:pt>
                <c:pt idx="7">
                  <c:v>0.86901763224181361</c:v>
                </c:pt>
                <c:pt idx="8">
                  <c:v>0.82831325301204817</c:v>
                </c:pt>
                <c:pt idx="9">
                  <c:v>0.78706199460916437</c:v>
                </c:pt>
                <c:pt idx="10">
                  <c:v>0.79842931937172779</c:v>
                </c:pt>
                <c:pt idx="11">
                  <c:v>0.77839335180055402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10811472"/>
        <c:axId val="-1710812016"/>
      </c:lineChart>
      <c:catAx>
        <c:axId val="-1710811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-1710812016"/>
        <c:crosses val="autoZero"/>
        <c:auto val="1"/>
        <c:lblAlgn val="ctr"/>
        <c:lblOffset val="100"/>
        <c:noMultiLvlLbl val="1"/>
      </c:catAx>
      <c:valAx>
        <c:axId val="-171081201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SLA Compliance %</a:t>
                </a:r>
              </a:p>
            </c:rich>
          </c:tx>
          <c:overlay val="1"/>
        </c:title>
        <c:numFmt formatCode="0.00%" sourceLinked="1"/>
        <c:majorTickMark val="none"/>
        <c:minorTickMark val="none"/>
        <c:tickLblPos val="nextTo"/>
        <c:crossAx val="-1710811472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10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Monthly_Trend!$C$4</c:f>
              <c:strCache>
                <c:ptCount val="1"/>
                <c:pt idx="0">
                  <c:v>Total Intake Volume</c:v>
                </c:pt>
              </c:strCache>
            </c:strRef>
          </c:tx>
          <c:spPr>
            <a:solidFill>
              <a:srgbClr val="1F4E78"/>
            </a:solidFill>
            <a:ln>
              <a:prstDash val="solid"/>
            </a:ln>
          </c:spPr>
          <c:invertIfNegative val="1"/>
          <c:cat>
            <c:strRef>
              <c:f>Monthly_Trend!$B$5:$B$16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Monthly_Trend!$C$5:$C$16</c:f>
              <c:numCache>
                <c:formatCode>#,##0</c:formatCode>
                <c:ptCount val="12"/>
                <c:pt idx="0">
                  <c:v>408</c:v>
                </c:pt>
                <c:pt idx="1">
                  <c:v>419</c:v>
                </c:pt>
                <c:pt idx="2">
                  <c:v>420</c:v>
                </c:pt>
                <c:pt idx="3">
                  <c:v>405</c:v>
                </c:pt>
                <c:pt idx="4">
                  <c:v>417</c:v>
                </c:pt>
                <c:pt idx="5">
                  <c:v>425</c:v>
                </c:pt>
                <c:pt idx="6">
                  <c:v>427</c:v>
                </c:pt>
                <c:pt idx="7">
                  <c:v>443</c:v>
                </c:pt>
                <c:pt idx="8">
                  <c:v>388</c:v>
                </c:pt>
                <c:pt idx="9">
                  <c:v>412</c:v>
                </c:pt>
                <c:pt idx="10">
                  <c:v>422</c:v>
                </c:pt>
                <c:pt idx="11">
                  <c:v>414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710809296"/>
        <c:axId val="-1710808752"/>
      </c:barChart>
      <c:catAx>
        <c:axId val="-17108092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-1710808752"/>
        <c:crosses val="autoZero"/>
        <c:auto val="1"/>
        <c:lblAlgn val="ctr"/>
        <c:lblOffset val="100"/>
        <c:noMultiLvlLbl val="1"/>
      </c:catAx>
      <c:valAx>
        <c:axId val="-17108087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Ticket Volume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-1710809296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10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Priority_Category!$G$5</c:f>
              <c:strCache>
                <c:ptCount val="1"/>
                <c:pt idx="0">
                  <c:v>SLA Compliance %</c:v>
                </c:pt>
              </c:strCache>
            </c:strRef>
          </c:tx>
          <c:spPr>
            <a:solidFill>
              <a:srgbClr val="2F5597"/>
            </a:solidFill>
            <a:ln>
              <a:prstDash val="solid"/>
            </a:ln>
          </c:spPr>
          <c:invertIfNegative val="1"/>
          <c:cat>
            <c:strRef>
              <c:f>Priority_Category!$B$6:$B$9</c:f>
              <c:strCache>
                <c:ptCount val="4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</c:strCache>
            </c:strRef>
          </c:cat>
          <c:val>
            <c:numRef>
              <c:f>Priority_Category!$G$6:$G$9</c:f>
              <c:numCache>
                <c:formatCode>0.00%</c:formatCode>
                <c:ptCount val="4"/>
                <c:pt idx="0">
                  <c:v>0.78290993071593529</c:v>
                </c:pt>
                <c:pt idx="1">
                  <c:v>0.8283185840707965</c:v>
                </c:pt>
                <c:pt idx="2">
                  <c:v>0.81827160493827156</c:v>
                </c:pt>
                <c:pt idx="3">
                  <c:v>0.82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710807120"/>
        <c:axId val="-1593232816"/>
      </c:barChart>
      <c:catAx>
        <c:axId val="-1710807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Priority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-1593232816"/>
        <c:crosses val="autoZero"/>
        <c:auto val="1"/>
        <c:lblAlgn val="ctr"/>
        <c:lblOffset val="100"/>
        <c:noMultiLvlLbl val="1"/>
      </c:catAx>
      <c:valAx>
        <c:axId val="-159323281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SLA Compliance %</a:t>
                </a:r>
              </a:p>
            </c:rich>
          </c:tx>
          <c:overlay val="1"/>
        </c:title>
        <c:numFmt formatCode="0.00%" sourceLinked="1"/>
        <c:majorTickMark val="none"/>
        <c:minorTickMark val="none"/>
        <c:tickLblPos val="nextTo"/>
        <c:crossAx val="-171080712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10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Priority_Category!$F$13</c:f>
              <c:strCache>
                <c:ptCount val="1"/>
                <c:pt idx="0">
                  <c:v>SLA Compliance %</c:v>
                </c:pt>
              </c:strCache>
            </c:strRef>
          </c:tx>
          <c:spPr>
            <a:solidFill>
              <a:srgbClr val="1F4E78"/>
            </a:solidFill>
            <a:ln>
              <a:prstDash val="solid"/>
            </a:ln>
          </c:spPr>
          <c:invertIfNegative val="1"/>
          <c:cat>
            <c:strRef>
              <c:f>Priority_Category!$B$14:$B$18</c:f>
              <c:strCache>
                <c:ptCount val="5"/>
                <c:pt idx="0">
                  <c:v>Network</c:v>
                </c:pt>
                <c:pt idx="1">
                  <c:v>Software</c:v>
                </c:pt>
                <c:pt idx="2">
                  <c:v>Hardware</c:v>
                </c:pt>
                <c:pt idx="3">
                  <c:v>Access</c:v>
                </c:pt>
                <c:pt idx="4">
                  <c:v>Billing</c:v>
                </c:pt>
              </c:strCache>
            </c:strRef>
          </c:cat>
          <c:val>
            <c:numRef>
              <c:f>Priority_Category!$F$14:$F$18</c:f>
              <c:numCache>
                <c:formatCode>0.00%</c:formatCode>
                <c:ptCount val="5"/>
                <c:pt idx="0">
                  <c:v>0.81220095693779903</c:v>
                </c:pt>
                <c:pt idx="1">
                  <c:v>0.81058131939908562</c:v>
                </c:pt>
                <c:pt idx="2">
                  <c:v>0.81858407079646023</c:v>
                </c:pt>
                <c:pt idx="3">
                  <c:v>0.82841530054644807</c:v>
                </c:pt>
                <c:pt idx="4">
                  <c:v>0.82845188284518834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593229552"/>
        <c:axId val="-1593221936"/>
      </c:barChart>
      <c:catAx>
        <c:axId val="-1593229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Category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-1593221936"/>
        <c:crosses val="autoZero"/>
        <c:auto val="1"/>
        <c:lblAlgn val="ctr"/>
        <c:lblOffset val="100"/>
        <c:noMultiLvlLbl val="1"/>
      </c:catAx>
      <c:valAx>
        <c:axId val="-159322193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SLA Compliance %</a:t>
                </a:r>
              </a:p>
            </c:rich>
          </c:tx>
          <c:overlay val="1"/>
        </c:title>
        <c:numFmt formatCode="0.00%" sourceLinked="1"/>
        <c:majorTickMark val="none"/>
        <c:minorTickMark val="none"/>
        <c:tickLblPos val="nextTo"/>
        <c:crossAx val="-1593229552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IN"/>
              <a:t>Monthly SLA Compliance Trend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Monthly_Trend!$F$4</c:f>
              <c:strCache>
                <c:ptCount val="1"/>
                <c:pt idx="0">
                  <c:v>SLA Compliance %</c:v>
                </c:pt>
              </c:strCache>
            </c:strRef>
          </c:tx>
          <c:spPr>
            <a:ln w="25000">
              <a:solidFill>
                <a:srgbClr val="1F4E78"/>
              </a:solidFill>
              <a:prstDash val="solid"/>
            </a:ln>
          </c:spPr>
          <c:marker>
            <c:symbol val="none"/>
          </c:marker>
          <c:cat>
            <c:strRef>
              <c:f>Monthly_Trend!$B$5:$B$16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Monthly_Trend!$F$5:$F$16</c:f>
              <c:numCache>
                <c:formatCode>0.00%</c:formatCode>
                <c:ptCount val="12"/>
                <c:pt idx="0">
                  <c:v>0.84530386740331487</c:v>
                </c:pt>
                <c:pt idx="1">
                  <c:v>0.79319371727748689</c:v>
                </c:pt>
                <c:pt idx="2">
                  <c:v>0.80585106382978722</c:v>
                </c:pt>
                <c:pt idx="3">
                  <c:v>0.851123595505618</c:v>
                </c:pt>
                <c:pt idx="4">
                  <c:v>0.81621621621621621</c:v>
                </c:pt>
                <c:pt idx="5">
                  <c:v>0.82493368700265257</c:v>
                </c:pt>
                <c:pt idx="6">
                  <c:v>0.81451612903225812</c:v>
                </c:pt>
                <c:pt idx="7">
                  <c:v>0.86901763224181361</c:v>
                </c:pt>
                <c:pt idx="8">
                  <c:v>0.82831325301204817</c:v>
                </c:pt>
                <c:pt idx="9">
                  <c:v>0.78706199460916437</c:v>
                </c:pt>
                <c:pt idx="10">
                  <c:v>0.79842931937172779</c:v>
                </c:pt>
                <c:pt idx="11">
                  <c:v>0.77839335180055402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593226832"/>
        <c:axId val="-1879642112"/>
      </c:lineChart>
      <c:catAx>
        <c:axId val="-1593226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-1879642112"/>
        <c:crosses val="autoZero"/>
        <c:auto val="1"/>
        <c:lblAlgn val="ctr"/>
        <c:lblOffset val="100"/>
        <c:noMultiLvlLbl val="1"/>
      </c:catAx>
      <c:valAx>
        <c:axId val="-18796421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SLA Compliance %</a:t>
                </a:r>
              </a:p>
            </c:rich>
          </c:tx>
          <c:layout/>
          <c:overlay val="1"/>
        </c:title>
        <c:numFmt formatCode="0.00%" sourceLinked="1"/>
        <c:majorTickMark val="none"/>
        <c:minorTickMark val="none"/>
        <c:tickLblPos val="nextTo"/>
        <c:crossAx val="-1593226832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10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Monthly_Trend!$C$4</c:f>
              <c:strCache>
                <c:ptCount val="1"/>
                <c:pt idx="0">
                  <c:v>Total Intake Volume</c:v>
                </c:pt>
              </c:strCache>
            </c:strRef>
          </c:tx>
          <c:spPr>
            <a:solidFill>
              <a:srgbClr val="1F4E78"/>
            </a:solidFill>
            <a:ln>
              <a:prstDash val="solid"/>
            </a:ln>
          </c:spPr>
          <c:invertIfNegative val="1"/>
          <c:cat>
            <c:strRef>
              <c:f>Monthly_Trend!$B$5:$B$16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Monthly_Trend!$C$5:$C$16</c:f>
              <c:numCache>
                <c:formatCode>#,##0</c:formatCode>
                <c:ptCount val="12"/>
                <c:pt idx="0">
                  <c:v>408</c:v>
                </c:pt>
                <c:pt idx="1">
                  <c:v>419</c:v>
                </c:pt>
                <c:pt idx="2">
                  <c:v>420</c:v>
                </c:pt>
                <c:pt idx="3">
                  <c:v>405</c:v>
                </c:pt>
                <c:pt idx="4">
                  <c:v>417</c:v>
                </c:pt>
                <c:pt idx="5">
                  <c:v>425</c:v>
                </c:pt>
                <c:pt idx="6">
                  <c:v>427</c:v>
                </c:pt>
                <c:pt idx="7">
                  <c:v>443</c:v>
                </c:pt>
                <c:pt idx="8">
                  <c:v>388</c:v>
                </c:pt>
                <c:pt idx="9">
                  <c:v>412</c:v>
                </c:pt>
                <c:pt idx="10">
                  <c:v>422</c:v>
                </c:pt>
                <c:pt idx="11">
                  <c:v>414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879648096"/>
        <c:axId val="-1710872640"/>
      </c:barChart>
      <c:catAx>
        <c:axId val="-1879648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-1710872640"/>
        <c:crosses val="autoZero"/>
        <c:auto val="1"/>
        <c:lblAlgn val="ctr"/>
        <c:lblOffset val="100"/>
        <c:noMultiLvlLbl val="1"/>
      </c:catAx>
      <c:valAx>
        <c:axId val="-17108726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Ticket Volume</a:t>
                </a:r>
              </a:p>
            </c:rich>
          </c:tx>
          <c:layout/>
          <c:overlay val="1"/>
        </c:title>
        <c:numFmt formatCode="#,##0" sourceLinked="1"/>
        <c:majorTickMark val="none"/>
        <c:minorTickMark val="none"/>
        <c:tickLblPos val="nextTo"/>
        <c:crossAx val="-1879648096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3</xdr:row>
      <xdr:rowOff>0</xdr:rowOff>
    </xdr:from>
    <xdr:ext cx="4860000" cy="324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18</xdr:row>
      <xdr:rowOff>0</xdr:rowOff>
    </xdr:from>
    <xdr:ext cx="4860000" cy="324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3</xdr:row>
      <xdr:rowOff>0</xdr:rowOff>
    </xdr:from>
    <xdr:ext cx="4860000" cy="324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18</xdr:row>
      <xdr:rowOff>0</xdr:rowOff>
    </xdr:from>
    <xdr:ext cx="4860000" cy="324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0</xdr:rowOff>
    </xdr:from>
    <xdr:ext cx="4860000" cy="324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8</xdr:row>
      <xdr:rowOff>0</xdr:rowOff>
    </xdr:from>
    <xdr:ext cx="4860000" cy="324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arth mude" refreshedDate="46298.843413773146" createdVersion="5" refreshedVersion="5" minRefreshableVersion="3" recordCount="5000">
  <cacheSource type="worksheet">
    <worksheetSource ref="A1:L5001" sheet="Cleaned_Data"/>
  </cacheSource>
  <cacheFields count="12">
    <cacheField name="ticket_id" numFmtId="0">
      <sharedItems/>
    </cacheField>
    <cacheField name="created_date" numFmtId="0">
      <sharedItems/>
    </cacheField>
    <cacheField name="resolved_date" numFmtId="0">
      <sharedItems containsBlank="1"/>
    </cacheField>
    <cacheField name="priority" numFmtId="0">
      <sharedItems/>
    </cacheField>
    <cacheField name="category" numFmtId="0">
      <sharedItems count="5">
        <s v="Access"/>
        <s v="Network"/>
        <s v="Software"/>
        <s v="Hardware"/>
        <s v="Billing"/>
      </sharedItems>
    </cacheField>
    <cacheField name="team" numFmtId="0">
      <sharedItems/>
    </cacheField>
    <cacheField name="agent" numFmtId="0">
      <sharedItems/>
    </cacheField>
    <cacheField name="status" numFmtId="0">
      <sharedItems/>
    </cacheField>
    <cacheField name="customer_satisfaction" numFmtId="0">
      <sharedItems containsString="0" containsBlank="1" containsNumber="1" containsInteger="1" minValue="1" maxValue="5"/>
    </cacheField>
    <cacheField name="sla_target_hours" numFmtId="0">
      <sharedItems containsSemiMixedTypes="0" containsString="0" containsNumber="1" containsInteger="1" minValue="4" maxValue="48"/>
    </cacheField>
    <cacheField name="resolution_hours" numFmtId="0">
      <sharedItems containsString="0" containsBlank="1" containsNumber="1" minValue="0.42" maxValue="896"/>
    </cacheField>
    <cacheField name="sla_met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0">
  <r>
    <s v="TCK-10001"/>
    <s v="2024-09-05 15:53:23"/>
    <s v="2024-09-05 21:43:34"/>
    <s v="P2"/>
    <x v="0"/>
    <s v="L2 Support"/>
    <s v="Emily Watson"/>
    <s v="Resolved"/>
    <n v="5"/>
    <n v="8"/>
    <n v="5.84"/>
    <n v="1"/>
  </r>
  <r>
    <s v="TCK-10002"/>
    <s v="2024-08-17 15:47:20"/>
    <s v="2024-08-17 22:14:42"/>
    <s v="P3"/>
    <x v="1"/>
    <s v="L2 Support"/>
    <s v="Emily Watson"/>
    <s v="Resolved"/>
    <n v="5"/>
    <n v="24"/>
    <n v="6.46"/>
    <n v="1"/>
  </r>
  <r>
    <s v="TCK-10003"/>
    <s v="2024-07-30 23:13:21"/>
    <s v="2024-07-31 10:14:37"/>
    <s v="P3"/>
    <x v="2"/>
    <s v="Infrastructure"/>
    <s v="Alex Mercer"/>
    <s v="Closed"/>
    <n v="4"/>
    <n v="24"/>
    <n v="11.02"/>
    <n v="1"/>
  </r>
  <r>
    <s v="TCK-10004"/>
    <s v="2024-03-24 22:52:10"/>
    <s v="2024-03-29 09:46:41"/>
    <s v="P4"/>
    <x v="2"/>
    <s v="L1 Support"/>
    <s v="Jim Halpert"/>
    <s v="Resolved"/>
    <n v="3"/>
    <n v="48"/>
    <n v="106.91"/>
    <n v="0"/>
  </r>
  <r>
    <s v="TCK-10005"/>
    <s v="2024-10-10 17:35:35"/>
    <s v="2024-10-12 23:44:23"/>
    <s v="P3"/>
    <x v="1"/>
    <s v="Application Support"/>
    <s v="Sarah Connor"/>
    <s v="Closed"/>
    <n v="3"/>
    <n v="24"/>
    <n v="54.15"/>
    <n v="0"/>
  </r>
  <r>
    <s v="TCK-10006"/>
    <s v="2024-08-12 13:18:43"/>
    <m/>
    <s v="P2"/>
    <x v="1"/>
    <s v="L2 Support"/>
    <s v="Michael Scott"/>
    <s v="Escalated"/>
    <m/>
    <n v="8"/>
    <m/>
    <m/>
  </r>
  <r>
    <s v="TCK-10007"/>
    <s v="2024-11-28 12:08:20"/>
    <s v="2024-11-28 15:27:22"/>
    <s v="P2"/>
    <x v="1"/>
    <s v="Infrastructure"/>
    <s v="Dwight Schrute"/>
    <s v="Closed"/>
    <n v="4"/>
    <n v="8"/>
    <n v="3.32"/>
    <n v="1"/>
  </r>
  <r>
    <s v="TCK-10008"/>
    <s v="2024-04-14 00:24:49"/>
    <s v="2024-04-14 07:48:27"/>
    <s v="P3"/>
    <x v="3"/>
    <s v="L1 Support"/>
    <s v="Anita Sharma"/>
    <s v="Closed"/>
    <n v="4"/>
    <n v="24"/>
    <n v="7.39"/>
    <n v="1"/>
  </r>
  <r>
    <s v="TCK-10009"/>
    <s v="2024-04-15 04:05:45"/>
    <s v="2024-04-20 07:07:45"/>
    <s v="P4"/>
    <x v="4"/>
    <s v="Billing Operations"/>
    <s v="Emily Watson"/>
    <s v="Closed"/>
    <n v="1"/>
    <n v="48"/>
    <n v="123.03"/>
    <n v="0"/>
  </r>
  <r>
    <s v="TCK-10010"/>
    <s v="2024-01-13 19:11:45"/>
    <m/>
    <s v="P4"/>
    <x v="2"/>
    <s v="L1 Support"/>
    <s v="Emily Watson"/>
    <s v="Open"/>
    <m/>
    <n v="48"/>
    <m/>
    <m/>
  </r>
  <r>
    <s v="TCK-10011"/>
    <s v="2024-08-08 14:30:04"/>
    <s v="2024-08-09 01:07:48"/>
    <s v="P4"/>
    <x v="2"/>
    <s v="Application Support"/>
    <s v="Jim Halpert"/>
    <s v="Closed"/>
    <n v="4"/>
    <n v="48"/>
    <n v="10.63"/>
    <n v="1"/>
  </r>
  <r>
    <s v="TCK-10012"/>
    <s v="2024-10-16 15:48:02"/>
    <s v="2024-10-16 22:40:28"/>
    <s v="P3"/>
    <x v="2"/>
    <s v="Billing Operations"/>
    <s v="Jim Halpert"/>
    <s v="Closed"/>
    <n v="5"/>
    <n v="24"/>
    <n v="6.87"/>
    <n v="1"/>
  </r>
  <r>
    <s v="TCK-10013"/>
    <s v="2024-07-17 05:07:45"/>
    <s v="2024-07-17 16:08:28"/>
    <s v="P3"/>
    <x v="2"/>
    <s v="L1 Support"/>
    <s v="John Doe"/>
    <s v="Closed"/>
    <n v="3"/>
    <n v="24"/>
    <n v="11.01"/>
    <n v="1"/>
  </r>
  <r>
    <s v="TCK-10014"/>
    <s v="2024-05-28 12:56:58"/>
    <s v="2024-05-29 06:03:07"/>
    <s v="P3"/>
    <x v="2"/>
    <s v="Infrastructure"/>
    <s v="Ravi Patel"/>
    <s v="Closed"/>
    <n v="5"/>
    <n v="24"/>
    <n v="17.100000000000001"/>
    <n v="1"/>
  </r>
  <r>
    <s v="TCK-10015"/>
    <s v="2024-07-27 20:55:34"/>
    <s v="2024-07-27 23:23:32"/>
    <s v="P3"/>
    <x v="0"/>
    <s v="Infrastructure"/>
    <s v="Sarah Connor"/>
    <s v="Resolved"/>
    <n v="5"/>
    <n v="24"/>
    <n v="2.4700000000000002"/>
    <n v="1"/>
  </r>
  <r>
    <s v="TCK-10016"/>
    <s v="2024-10-06 19:54:36"/>
    <m/>
    <s v="P2"/>
    <x v="2"/>
    <s v="L2 Support"/>
    <s v="Ravi Patel"/>
    <s v="Open"/>
    <m/>
    <n v="8"/>
    <m/>
    <m/>
  </r>
  <r>
    <s v="TCK-10017"/>
    <s v="2024-12-04 09:49:16"/>
    <s v="2024-12-04 15:31:00"/>
    <s v="P3"/>
    <x v="0"/>
    <s v="Billing Operations"/>
    <s v="Anita Sharma"/>
    <s v="Resolved"/>
    <n v="5"/>
    <n v="24"/>
    <n v="5.7"/>
    <n v="1"/>
  </r>
  <r>
    <s v="TCK-10018"/>
    <s v="2024-12-24 13:42:31"/>
    <s v="2024-12-27 08:01:58"/>
    <s v="P3"/>
    <x v="1"/>
    <s v="Infrastructure"/>
    <s v="Dwight Schrute"/>
    <s v="Resolved"/>
    <n v="3"/>
    <n v="24"/>
    <n v="66.319999999999993"/>
    <n v="0"/>
  </r>
  <r>
    <s v="TCK-10019"/>
    <s v="2024-04-29 18:14:21"/>
    <s v="2024-04-29 19:30:35"/>
    <s v="P2"/>
    <x v="2"/>
    <s v="Billing Operations"/>
    <s v="Sarah Connor"/>
    <s v="Resolved"/>
    <n v="5"/>
    <n v="8"/>
    <n v="1.27"/>
    <n v="1"/>
  </r>
  <r>
    <s v="TCK-10020"/>
    <s v="2024-10-24 18:05:39"/>
    <s v="2024-10-25 09:05:42"/>
    <s v="P2"/>
    <x v="3"/>
    <s v="Billing Operations"/>
    <s v="John Doe"/>
    <s v="Resolved"/>
    <n v="1"/>
    <n v="8"/>
    <n v="15"/>
    <n v="0"/>
  </r>
  <r>
    <s v="TCK-10021"/>
    <s v="2024-07-28 18:36:13"/>
    <m/>
    <s v="P3"/>
    <x v="3"/>
    <s v="Infrastructure"/>
    <s v="Jim Halpert"/>
    <s v="Escalated"/>
    <m/>
    <n v="24"/>
    <m/>
    <m/>
  </r>
  <r>
    <s v="TCK-10022"/>
    <s v="2024-09-09 17:18:09"/>
    <s v="2024-09-09 20:07:53"/>
    <s v="P3"/>
    <x v="0"/>
    <s v="Application Support"/>
    <s v="Sarah Connor"/>
    <s v="Resolved"/>
    <n v="5"/>
    <n v="24"/>
    <n v="2.83"/>
    <n v="1"/>
  </r>
  <r>
    <s v="TCK-10023"/>
    <s v="2024-08-16 20:39:33"/>
    <s v="2024-08-16 23:42:21"/>
    <s v="P2"/>
    <x v="1"/>
    <s v="L1 Support"/>
    <s v="Emily Watson"/>
    <s v="Resolved"/>
    <n v="5"/>
    <n v="8"/>
    <n v="3.05"/>
    <n v="1"/>
  </r>
  <r>
    <s v="TCK-10024"/>
    <s v="2024-04-18 11:35:46"/>
    <m/>
    <s v="P3"/>
    <x v="0"/>
    <s v="L2 Support"/>
    <s v="Priya Nair"/>
    <s v="Open"/>
    <m/>
    <n v="24"/>
    <m/>
    <m/>
  </r>
  <r>
    <s v="TCK-10025"/>
    <s v="2024-08-10 02:30:26"/>
    <s v="2024-08-10 13:42:02"/>
    <s v="P3"/>
    <x v="2"/>
    <s v="Application Support"/>
    <s v="Jim Halpert"/>
    <s v="Resolved"/>
    <n v="4"/>
    <n v="24"/>
    <n v="11.19"/>
    <n v="1"/>
  </r>
  <r>
    <s v="TCK-10026"/>
    <s v="2024-06-30 16:59:07"/>
    <s v="2024-07-02 08:56:29"/>
    <s v="P4"/>
    <x v="1"/>
    <s v="L1 Support"/>
    <s v="Alex Mercer"/>
    <s v="Resolved"/>
    <n v="4"/>
    <n v="48"/>
    <n v="39.96"/>
    <n v="1"/>
  </r>
  <r>
    <s v="TCK-10027"/>
    <s v="2024-03-15 04:52:31"/>
    <s v="2024-03-16 09:36:11"/>
    <s v="P3"/>
    <x v="0"/>
    <s v="L2 Support"/>
    <s v="Michael Scott"/>
    <s v="Resolved"/>
    <n v="3"/>
    <n v="24"/>
    <n v="28.73"/>
    <n v="0"/>
  </r>
  <r>
    <s v="TCK-10028"/>
    <s v="2024-11-28 18:11:22"/>
    <m/>
    <s v="P3"/>
    <x v="1"/>
    <s v="Billing Operations"/>
    <s v="Alex Mercer"/>
    <s v="Escalated"/>
    <m/>
    <n v="24"/>
    <m/>
    <m/>
  </r>
  <r>
    <s v="TCK-10029"/>
    <s v="2024-12-26 02:21:57"/>
    <s v="2024-12-28 21:48:00"/>
    <s v="P3"/>
    <x v="2"/>
    <s v="Application Support"/>
    <s v="Dwight Schrute"/>
    <s v="Resolved"/>
    <n v="1"/>
    <n v="24"/>
    <n v="67.430000000000007"/>
    <n v="0"/>
  </r>
  <r>
    <s v="TCK-10030"/>
    <s v="2024-01-02 04:05:22"/>
    <m/>
    <s v="P4"/>
    <x v="0"/>
    <s v="Application Support"/>
    <s v="Michael Scott"/>
    <s v="Open"/>
    <m/>
    <n v="48"/>
    <m/>
    <m/>
  </r>
  <r>
    <s v="TCK-10031"/>
    <s v="2024-10-06 08:03:01"/>
    <s v="2024-10-07 01:42:32"/>
    <s v="P3"/>
    <x v="1"/>
    <s v="L2 Support"/>
    <s v="Alex Mercer"/>
    <s v="Closed"/>
    <n v="3"/>
    <n v="24"/>
    <n v="17.66"/>
    <n v="1"/>
  </r>
  <r>
    <s v="TCK-10032"/>
    <s v="2024-08-15 04:55:47"/>
    <s v="2024-08-16 00:41:49"/>
    <s v="P3"/>
    <x v="4"/>
    <s v="Billing Operations"/>
    <s v="John Doe"/>
    <s v="Resolved"/>
    <n v="3"/>
    <n v="24"/>
    <n v="19.77"/>
    <n v="1"/>
  </r>
  <r>
    <s v="TCK-10033"/>
    <s v="2024-01-27 17:26:28"/>
    <s v="2024-01-28 08:28:35"/>
    <s v="P3"/>
    <x v="2"/>
    <s v="L1 Support"/>
    <s v="Anita Sharma"/>
    <s v="Resolved"/>
    <n v="4"/>
    <n v="24"/>
    <n v="15.04"/>
    <n v="1"/>
  </r>
  <r>
    <s v="TCK-10034"/>
    <s v="2024-08-15 00:13:12"/>
    <s v="2024-08-15 08:02:18"/>
    <s v="P3"/>
    <x v="0"/>
    <s v="Infrastructure"/>
    <s v="Emily Watson"/>
    <s v="Closed"/>
    <n v="4"/>
    <n v="24"/>
    <n v="7.82"/>
    <n v="1"/>
  </r>
  <r>
    <s v="TCK-10035"/>
    <s v="2024-09-08 00:30:12"/>
    <s v="2024-09-09 00:26:32"/>
    <s v="P2"/>
    <x v="2"/>
    <s v="L1 Support"/>
    <s v="Alex Mercer"/>
    <s v="Resolved"/>
    <n v="1"/>
    <n v="8"/>
    <n v="23.94"/>
    <n v="0"/>
  </r>
  <r>
    <s v="TCK-10036"/>
    <s v="2024-03-24 02:44:31"/>
    <s v="2024-03-24 08:21:35"/>
    <s v="P3"/>
    <x v="1"/>
    <s v="Infrastructure"/>
    <s v="Sarah Connor"/>
    <s v="Closed"/>
    <n v="5"/>
    <n v="24"/>
    <n v="5.62"/>
    <n v="1"/>
  </r>
  <r>
    <s v="TCK-10037"/>
    <s v="2024-09-30 13:28:02"/>
    <s v="2024-09-30 20:36:11"/>
    <s v="P2"/>
    <x v="4"/>
    <s v="Billing Operations"/>
    <s v="Alex Mercer"/>
    <s v="Closed"/>
    <n v="4"/>
    <n v="8"/>
    <n v="7.14"/>
    <n v="1"/>
  </r>
  <r>
    <s v="TCK-10038"/>
    <s v="2024-12-07 08:44:11"/>
    <s v="2024-12-07 13:38:57"/>
    <s v="P2"/>
    <x v="1"/>
    <s v="L1 Support"/>
    <s v="Priya Nair"/>
    <s v="Closed"/>
    <n v="5"/>
    <n v="8"/>
    <n v="4.91"/>
    <n v="1"/>
  </r>
  <r>
    <s v="TCK-10039"/>
    <s v="2024-03-20 09:39:52"/>
    <s v="2024-03-21 13:14:30"/>
    <s v="P3"/>
    <x v="0"/>
    <s v="Billing Operations"/>
    <s v="Dwight Schrute"/>
    <s v="Resolved"/>
    <n v="2"/>
    <n v="24"/>
    <n v="27.58"/>
    <n v="0"/>
  </r>
  <r>
    <s v="TCK-10040"/>
    <s v="2024-11-18 10:05:04"/>
    <m/>
    <s v="P2"/>
    <x v="1"/>
    <s v="L2 Support"/>
    <s v="Carlos Mendez"/>
    <s v="Escalated"/>
    <m/>
    <n v="8"/>
    <m/>
    <m/>
  </r>
  <r>
    <s v="TCK-10041"/>
    <s v="2024-03-04 02:03:11"/>
    <s v="2024-03-04 22:28:06"/>
    <s v="P3"/>
    <x v="3"/>
    <s v="Application Support"/>
    <s v="Ravi Patel"/>
    <s v="Resolved"/>
    <n v="5"/>
    <n v="24"/>
    <n v="20.420000000000002"/>
    <n v="1"/>
  </r>
  <r>
    <s v="TCK-10042"/>
    <s v="2024-07-31 05:16:12"/>
    <s v="2024-07-31 06:54:35"/>
    <s v="P1"/>
    <x v="2"/>
    <s v="Billing Operations"/>
    <s v="John Doe"/>
    <s v="Resolved"/>
    <n v="5"/>
    <n v="4"/>
    <n v="1.64"/>
    <n v="1"/>
  </r>
  <r>
    <s v="TCK-10043"/>
    <s v="2024-11-30 14:19:46"/>
    <s v="2024-11-30 17:44:07"/>
    <s v="P1"/>
    <x v="2"/>
    <s v="L2 Support"/>
    <s v="Carlos Mendez"/>
    <s v="Resolved"/>
    <n v="4"/>
    <n v="4"/>
    <n v="3.41"/>
    <n v="1"/>
  </r>
  <r>
    <s v="TCK-10044"/>
    <s v="2024-08-29 08:59:04"/>
    <m/>
    <s v="P3"/>
    <x v="4"/>
    <s v="L2 Support"/>
    <s v="John Doe"/>
    <s v="Escalated"/>
    <m/>
    <n v="24"/>
    <m/>
    <m/>
  </r>
  <r>
    <s v="TCK-10045"/>
    <s v="2024-11-11 04:56:24"/>
    <m/>
    <s v="P2"/>
    <x v="2"/>
    <s v="L2 Support"/>
    <s v="Priya Nair"/>
    <s v="Open"/>
    <m/>
    <n v="8"/>
    <m/>
    <m/>
  </r>
  <r>
    <s v="TCK-10046"/>
    <s v="2024-10-31 04:22:14"/>
    <s v="2024-11-01 00:46:41"/>
    <s v="P4"/>
    <x v="0"/>
    <s v="L2 Support"/>
    <s v="Michael Scott"/>
    <s v="Resolved"/>
    <n v="3"/>
    <n v="48"/>
    <n v="20.41"/>
    <n v="1"/>
  </r>
  <r>
    <s v="TCK-10047"/>
    <s v="2024-07-02 03:08:56"/>
    <s v="2024-07-02 05:29:47"/>
    <s v="P2"/>
    <x v="0"/>
    <s v="Application Support"/>
    <s v="Pam Beesly"/>
    <s v="Resolved"/>
    <n v="3"/>
    <n v="8"/>
    <n v="2.35"/>
    <n v="1"/>
  </r>
  <r>
    <s v="TCK-10048"/>
    <s v="2024-03-16 08:06:00"/>
    <s v="2024-03-17 00:21:43"/>
    <s v="P3"/>
    <x v="2"/>
    <s v="L1 Support"/>
    <s v="Michael Scott"/>
    <s v="Resolved"/>
    <n v="5"/>
    <n v="24"/>
    <n v="16.260000000000002"/>
    <n v="1"/>
  </r>
  <r>
    <s v="TCK-10049"/>
    <s v="2024-05-08 22:32:25"/>
    <s v="2024-05-11 04:31:16"/>
    <s v="P4"/>
    <x v="1"/>
    <s v="Infrastructure"/>
    <s v="John Doe"/>
    <s v="Closed"/>
    <n v="2"/>
    <n v="48"/>
    <n v="53.98"/>
    <n v="0"/>
  </r>
  <r>
    <s v="TCK-10050"/>
    <s v="2024-05-14 14:02:14"/>
    <s v="2024-05-16 00:07:58"/>
    <s v="P3"/>
    <x v="2"/>
    <s v="Billing Operations"/>
    <s v="Ravi Patel"/>
    <s v="Resolved"/>
    <n v="1"/>
    <n v="24"/>
    <n v="34.1"/>
    <n v="0"/>
  </r>
  <r>
    <s v="TCK-10051"/>
    <s v="2024-06-18 16:21:02"/>
    <s v="2024-06-18 19:01:50"/>
    <s v="P1"/>
    <x v="4"/>
    <s v="Billing Operations"/>
    <s v="Carlos Mendez"/>
    <s v="Closed"/>
    <n v="4"/>
    <n v="4"/>
    <n v="2.68"/>
    <n v="1"/>
  </r>
  <r>
    <s v="TCK-10052"/>
    <s v="2024-01-28 12:12:11"/>
    <s v="2024-01-30 05:43:29"/>
    <s v="P4"/>
    <x v="4"/>
    <s v="Billing Operations"/>
    <s v="Pam Beesly"/>
    <s v="Closed"/>
    <n v="5"/>
    <n v="48"/>
    <n v="41.52"/>
    <n v="1"/>
  </r>
  <r>
    <s v="TCK-10053"/>
    <s v="2024-09-16 07:53:32"/>
    <s v="2024-09-17 05:28:32"/>
    <s v="P3"/>
    <x v="2"/>
    <s v="Infrastructure"/>
    <s v="Ravi Patel"/>
    <s v="Resolved"/>
    <n v="5"/>
    <n v="24"/>
    <n v="21.58"/>
    <n v="1"/>
  </r>
  <r>
    <s v="TCK-10054"/>
    <s v="2024-12-16 22:45:27"/>
    <s v="2024-12-17 00:59:12"/>
    <s v="P2"/>
    <x v="3"/>
    <s v="Application Support"/>
    <s v="Ravi Patel"/>
    <s v="Closed"/>
    <n v="5"/>
    <n v="8"/>
    <n v="2.23"/>
    <n v="1"/>
  </r>
  <r>
    <s v="TCK-10055"/>
    <s v="2024-08-23 22:29:44"/>
    <s v="2024-08-24 19:16:46"/>
    <s v="P3"/>
    <x v="2"/>
    <s v="Application Support"/>
    <s v="Carlos Mendez"/>
    <s v="Resolved"/>
    <n v="5"/>
    <n v="24"/>
    <n v="20.78"/>
    <n v="1"/>
  </r>
  <r>
    <s v="TCK-10056"/>
    <s v="2024-03-07 05:38:18"/>
    <s v="2024-03-08 17:49:48"/>
    <s v="P3"/>
    <x v="2"/>
    <s v="Billing Operations"/>
    <s v="Pam Beesly"/>
    <s v="Resolved"/>
    <n v="2"/>
    <n v="24"/>
    <n v="36.19"/>
    <n v="0"/>
  </r>
  <r>
    <s v="TCK-10057"/>
    <s v="2024-11-09 13:42:39"/>
    <s v="2024-11-09 17:36:27"/>
    <s v="P2"/>
    <x v="1"/>
    <s v="L2 Support"/>
    <s v="Dwight Schrute"/>
    <s v="Closed"/>
    <n v="5"/>
    <n v="8"/>
    <n v="3.9"/>
    <n v="1"/>
  </r>
  <r>
    <s v="TCK-10058"/>
    <s v="2024-08-11 21:38:30"/>
    <s v="2024-08-11 22:28:45"/>
    <s v="P2"/>
    <x v="3"/>
    <s v="Application Support"/>
    <s v="Jim Halpert"/>
    <s v="Resolved"/>
    <n v="5"/>
    <n v="8"/>
    <n v="0.84"/>
    <n v="1"/>
  </r>
  <r>
    <s v="TCK-10059"/>
    <s v="2024-10-26 09:21:02"/>
    <s v="2024-10-27 09:06:15"/>
    <s v="P4"/>
    <x v="0"/>
    <s v="L2 Support"/>
    <s v="John Doe"/>
    <s v="Closed"/>
    <n v="5"/>
    <n v="48"/>
    <n v="23.75"/>
    <n v="1"/>
  </r>
  <r>
    <s v="TCK-10060"/>
    <s v="2024-12-22 15:26:25"/>
    <s v="2024-12-23 09:11:09"/>
    <s v="P4"/>
    <x v="2"/>
    <s v="Application Support"/>
    <s v="Carlos Mendez"/>
    <s v="Resolved"/>
    <n v="5"/>
    <n v="48"/>
    <n v="17.75"/>
    <n v="1"/>
  </r>
  <r>
    <s v="TCK-10061"/>
    <s v="2024-06-21 05:04:59"/>
    <s v="2024-06-22 01:47:09"/>
    <s v="P3"/>
    <x v="0"/>
    <s v="Billing Operations"/>
    <s v="Jim Halpert"/>
    <s v="Closed"/>
    <n v="5"/>
    <n v="24"/>
    <n v="20.7"/>
    <n v="1"/>
  </r>
  <r>
    <s v="TCK-10062"/>
    <s v="2024-07-03 16:17:11"/>
    <s v="2024-07-04 03:39:35"/>
    <s v="P3"/>
    <x v="0"/>
    <s v="Infrastructure"/>
    <s v="Ravi Patel"/>
    <s v="Resolved"/>
    <n v="5"/>
    <n v="24"/>
    <n v="11.37"/>
    <n v="1"/>
  </r>
  <r>
    <s v="TCK-10063"/>
    <s v="2024-04-01 09:38:18"/>
    <s v="2024-04-01 15:09:25"/>
    <s v="P2"/>
    <x v="2"/>
    <s v="Billing Operations"/>
    <s v="Sarah Connor"/>
    <s v="Resolved"/>
    <n v="5"/>
    <n v="8"/>
    <n v="5.52"/>
    <n v="1"/>
  </r>
  <r>
    <s v="TCK-10064"/>
    <s v="2024-01-26 06:39:22"/>
    <s v="2024-01-28 02:05:01"/>
    <s v="P3"/>
    <x v="2"/>
    <s v="Application Support"/>
    <s v="Jim Halpert"/>
    <s v="Resolved"/>
    <n v="3"/>
    <n v="24"/>
    <n v="43.43"/>
    <n v="0"/>
  </r>
  <r>
    <s v="TCK-10065"/>
    <s v="2024-09-27 10:44:38"/>
    <s v="2024-09-27 17:16:23"/>
    <s v="P1"/>
    <x v="0"/>
    <s v="Billing Operations"/>
    <s v="Jim Halpert"/>
    <s v="Resolved"/>
    <n v="2"/>
    <n v="4"/>
    <n v="6.53"/>
    <n v="0"/>
  </r>
  <r>
    <s v="TCK-10066"/>
    <s v="2024-12-12 14:42:05"/>
    <s v="2024-12-13 06:38:13"/>
    <s v="P4"/>
    <x v="1"/>
    <s v="Billing Operations"/>
    <s v="Anita Sharma"/>
    <s v="Closed"/>
    <n v="4"/>
    <n v="48"/>
    <n v="15.94"/>
    <n v="1"/>
  </r>
  <r>
    <s v="TCK-10067"/>
    <s v="2024-05-31 08:24:42"/>
    <s v="2024-05-31 10:04:46"/>
    <s v="P2"/>
    <x v="3"/>
    <s v="Application Support"/>
    <s v="Priya Nair"/>
    <s v="Resolved"/>
    <n v="5"/>
    <n v="8"/>
    <n v="1.67"/>
    <n v="1"/>
  </r>
  <r>
    <s v="TCK-10068"/>
    <s v="2024-01-11 19:20:43"/>
    <s v="2024-01-12 18:58:57"/>
    <s v="P4"/>
    <x v="3"/>
    <s v="L1 Support"/>
    <s v="Sarah Connor"/>
    <s v="Closed"/>
    <n v="3"/>
    <n v="48"/>
    <n v="23.64"/>
    <n v="1"/>
  </r>
  <r>
    <s v="TCK-10069"/>
    <s v="2024-05-27 13:30:14"/>
    <s v="2024-05-28 04:28:49"/>
    <s v="P2"/>
    <x v="2"/>
    <s v="Infrastructure"/>
    <s v="Jim Halpert"/>
    <s v="Resolved"/>
    <n v="3"/>
    <n v="8"/>
    <n v="14.98"/>
    <n v="0"/>
  </r>
  <r>
    <s v="TCK-10070"/>
    <s v="2024-07-01 23:34:38"/>
    <s v="2024-07-02 02:11:35"/>
    <s v="P1"/>
    <x v="2"/>
    <s v="Infrastructure"/>
    <s v="Emily Watson"/>
    <s v="Closed"/>
    <n v="5"/>
    <n v="4"/>
    <n v="2.62"/>
    <n v="1"/>
  </r>
  <r>
    <s v="TCK-10071"/>
    <s v="2024-04-06 08:50:50"/>
    <s v="2024-04-06 13:28:55"/>
    <s v="P2"/>
    <x v="1"/>
    <s v="L2 Support"/>
    <s v="Emily Watson"/>
    <s v="Resolved"/>
    <n v="4"/>
    <n v="8"/>
    <n v="4.63"/>
    <n v="1"/>
  </r>
  <r>
    <s v="TCK-10072"/>
    <s v="2024-09-28 23:29:09"/>
    <m/>
    <s v="P2"/>
    <x v="2"/>
    <s v="Billing Operations"/>
    <s v="Anita Sharma"/>
    <s v="Escalated"/>
    <m/>
    <n v="8"/>
    <m/>
    <m/>
  </r>
  <r>
    <s v="TCK-10073"/>
    <s v="2024-10-06 07:34:28"/>
    <s v="2024-10-07 00:57:24"/>
    <s v="P2"/>
    <x v="0"/>
    <s v="Infrastructure"/>
    <s v="Sarah Connor"/>
    <s v="Closed"/>
    <n v="4"/>
    <n v="8"/>
    <n v="17.38"/>
    <n v="0"/>
  </r>
  <r>
    <s v="TCK-10074"/>
    <s v="2024-05-26 02:06:51"/>
    <s v="2024-05-26 06:35:34"/>
    <s v="P3"/>
    <x v="0"/>
    <s v="L1 Support"/>
    <s v="Anita Sharma"/>
    <s v="Closed"/>
    <n v="5"/>
    <n v="24"/>
    <n v="4.4800000000000004"/>
    <n v="1"/>
  </r>
  <r>
    <s v="TCK-10075"/>
    <s v="2024-11-26 13:18:26"/>
    <s v="2024-11-26 23:16:00"/>
    <s v="P3"/>
    <x v="0"/>
    <s v="Billing Operations"/>
    <s v="Alex Mercer"/>
    <s v="Resolved"/>
    <n v="5"/>
    <n v="24"/>
    <n v="9.9600000000000009"/>
    <n v="1"/>
  </r>
  <r>
    <s v="TCK-10076"/>
    <s v="2024-05-12 20:30:18"/>
    <s v="2024-05-12 23:56:10"/>
    <s v="P1"/>
    <x v="2"/>
    <s v="Application Support"/>
    <s v="Sarah Connor"/>
    <s v="Resolved"/>
    <n v="4"/>
    <n v="4"/>
    <n v="3.43"/>
    <n v="1"/>
  </r>
  <r>
    <s v="TCK-10077"/>
    <s v="2024-02-29 17:58:51"/>
    <s v="2024-03-01 06:14:39"/>
    <s v="P3"/>
    <x v="0"/>
    <s v="Infrastructure"/>
    <s v="Anita Sharma"/>
    <s v="Closed"/>
    <n v="4"/>
    <n v="24"/>
    <n v="12.26"/>
    <n v="1"/>
  </r>
  <r>
    <s v="TCK-10078"/>
    <s v="2024-10-11 05:39:29"/>
    <s v="2024-10-11 23:22:03"/>
    <s v="P3"/>
    <x v="2"/>
    <s v="L2 Support"/>
    <s v="Sarah Connor"/>
    <s v="Resolved"/>
    <n v="5"/>
    <n v="24"/>
    <n v="17.71"/>
    <n v="1"/>
  </r>
  <r>
    <s v="TCK-10079"/>
    <s v="2024-09-16 19:58:04"/>
    <s v="2024-09-17 03:38:17"/>
    <s v="P3"/>
    <x v="1"/>
    <s v="Infrastructure"/>
    <s v="John Doe"/>
    <s v="Resolved"/>
    <n v="4"/>
    <n v="24"/>
    <n v="7.67"/>
    <n v="1"/>
  </r>
  <r>
    <s v="TCK-10080"/>
    <s v="2024-08-19 20:34:02"/>
    <m/>
    <s v="P3"/>
    <x v="0"/>
    <s v="L1 Support"/>
    <s v="Ravi Patel"/>
    <s v="Open"/>
    <m/>
    <n v="24"/>
    <m/>
    <m/>
  </r>
  <r>
    <s v="TCK-10081"/>
    <s v="2024-02-03 13:58:14"/>
    <s v="2024-02-03 18:06:29"/>
    <s v="P2"/>
    <x v="2"/>
    <s v="Billing Operations"/>
    <s v="Emily Watson"/>
    <s v="Closed"/>
    <n v="5"/>
    <n v="8"/>
    <n v="4.1399999999999997"/>
    <n v="1"/>
  </r>
  <r>
    <s v="TCK-10082"/>
    <s v="2024-02-06 11:19:12"/>
    <s v="2024-02-06 15:53:01"/>
    <s v="P2"/>
    <x v="2"/>
    <s v="L2 Support"/>
    <s v="Michael Scott"/>
    <s v="Closed"/>
    <n v="4"/>
    <n v="8"/>
    <n v="4.5599999999999996"/>
    <n v="1"/>
  </r>
  <r>
    <s v="TCK-10083"/>
    <s v="2024-10-17 00:37:19"/>
    <s v="2024-10-17 17:44:10"/>
    <s v="P3"/>
    <x v="2"/>
    <s v="Application Support"/>
    <s v="Michael Scott"/>
    <s v="Resolved"/>
    <n v="4"/>
    <n v="24"/>
    <n v="17.11"/>
    <n v="1"/>
  </r>
  <r>
    <s v="TCK-10084"/>
    <s v="2024-10-15 20:09:12"/>
    <s v="2024-10-16 13:20:05"/>
    <s v="P3"/>
    <x v="0"/>
    <s v="L2 Support"/>
    <s v="Emily Watson"/>
    <s v="Resolved"/>
    <n v="5"/>
    <n v="24"/>
    <n v="17.18"/>
    <n v="1"/>
  </r>
  <r>
    <s v="TCK-10085"/>
    <s v="2024-07-23 01:58:12"/>
    <s v="2024-07-23 04:39:31"/>
    <s v="P3"/>
    <x v="0"/>
    <s v="L2 Support"/>
    <s v="Michael Scott"/>
    <s v="Resolved"/>
    <n v="5"/>
    <n v="24"/>
    <n v="2.69"/>
    <n v="1"/>
  </r>
  <r>
    <s v="TCK-10086"/>
    <s v="2024-04-16 20:46:00"/>
    <m/>
    <s v="P1"/>
    <x v="1"/>
    <s v="Infrastructure"/>
    <s v="Priya Nair"/>
    <s v="Open"/>
    <m/>
    <n v="4"/>
    <m/>
    <m/>
  </r>
  <r>
    <s v="TCK-10087"/>
    <s v="2024-09-05 01:22:33"/>
    <s v="2024-09-05 20:04:35"/>
    <s v="P4"/>
    <x v="2"/>
    <s v="L1 Support"/>
    <s v="Anita Sharma"/>
    <s v="Resolved"/>
    <n v="5"/>
    <n v="48"/>
    <n v="18.7"/>
    <n v="1"/>
  </r>
  <r>
    <s v="TCK-10088"/>
    <s v="2024-04-08 09:16:08"/>
    <s v="2024-04-09 18:04:33"/>
    <s v="P4"/>
    <x v="2"/>
    <s v="L1 Support"/>
    <s v="Jim Halpert"/>
    <s v="Resolved"/>
    <n v="4"/>
    <n v="48"/>
    <n v="32.81"/>
    <n v="1"/>
  </r>
  <r>
    <s v="TCK-10089"/>
    <s v="2024-11-11 08:23:31"/>
    <s v="2024-11-11 22:57:10"/>
    <s v="P3"/>
    <x v="2"/>
    <s v="L2 Support"/>
    <s v="Sarah Connor"/>
    <s v="Closed"/>
    <n v="5"/>
    <n v="24"/>
    <n v="14.56"/>
    <n v="1"/>
  </r>
  <r>
    <s v="TCK-10090"/>
    <s v="2024-10-28 13:59:16"/>
    <s v="2024-10-30 05:28:46"/>
    <s v="P3"/>
    <x v="2"/>
    <s v="Application Support"/>
    <s v="Michael Scott"/>
    <s v="Closed"/>
    <n v="2"/>
    <n v="24"/>
    <n v="39.49"/>
    <n v="0"/>
  </r>
  <r>
    <s v="TCK-10091"/>
    <s v="2024-08-25 02:10:18"/>
    <s v="2024-08-25 13:22:46"/>
    <s v="P4"/>
    <x v="3"/>
    <s v="L2 Support"/>
    <s v="Carlos Mendez"/>
    <s v="Resolved"/>
    <n v="4"/>
    <n v="48"/>
    <n v="11.21"/>
    <n v="1"/>
  </r>
  <r>
    <s v="TCK-10092"/>
    <s v="2024-01-30 11:39:19"/>
    <s v="2024-01-30 17:15:45"/>
    <s v="P2"/>
    <x v="2"/>
    <s v="Billing Operations"/>
    <s v="Dwight Schrute"/>
    <s v="Resolved"/>
    <n v="5"/>
    <n v="8"/>
    <n v="5.61"/>
    <n v="1"/>
  </r>
  <r>
    <s v="TCK-10093"/>
    <s v="2024-06-25 15:52:43"/>
    <s v="2024-06-25 16:57:04"/>
    <s v="P1"/>
    <x v="2"/>
    <s v="Infrastructure"/>
    <s v="Carlos Mendez"/>
    <s v="Closed"/>
    <n v="4"/>
    <n v="4"/>
    <n v="1.07"/>
    <n v="1"/>
  </r>
  <r>
    <s v="TCK-10094"/>
    <s v="2024-03-28 15:22:33"/>
    <s v="2024-03-29 05:54:53"/>
    <s v="P3"/>
    <x v="4"/>
    <s v="L2 Support"/>
    <s v="Sarah Connor"/>
    <s v="Resolved"/>
    <n v="5"/>
    <n v="24"/>
    <n v="14.54"/>
    <n v="1"/>
  </r>
  <r>
    <s v="TCK-10095"/>
    <s v="2024-12-24 02:08:12"/>
    <s v="2024-12-24 06:36:30"/>
    <s v="P2"/>
    <x v="1"/>
    <s v="Infrastructure"/>
    <s v="Priya Nair"/>
    <s v="Resolved"/>
    <n v="4"/>
    <n v="8"/>
    <n v="4.47"/>
    <n v="1"/>
  </r>
  <r>
    <s v="TCK-10096"/>
    <s v="2024-08-20 14:06:20"/>
    <s v="2024-08-20 17:46:33"/>
    <s v="P1"/>
    <x v="2"/>
    <s v="Infrastructure"/>
    <s v="Anita Sharma"/>
    <s v="Resolved"/>
    <n v="5"/>
    <n v="4"/>
    <n v="3.67"/>
    <n v="1"/>
  </r>
  <r>
    <s v="TCK-10097"/>
    <s v="2024-08-11 17:14:39"/>
    <s v="2024-08-12 05:14:32"/>
    <s v="P3"/>
    <x v="1"/>
    <s v="Infrastructure"/>
    <s v="Anita Sharma"/>
    <s v="Resolved"/>
    <n v="5"/>
    <n v="24"/>
    <n v="12"/>
    <n v="1"/>
  </r>
  <r>
    <s v="TCK-10098"/>
    <s v="2024-12-22 02:25:02"/>
    <s v="2024-12-22 18:08:57"/>
    <s v="P2"/>
    <x v="4"/>
    <s v="Application Support"/>
    <s v="Carlos Mendez"/>
    <s v="Closed"/>
    <n v="2"/>
    <n v="8"/>
    <n v="15.73"/>
    <n v="0"/>
  </r>
  <r>
    <s v="TCK-10099"/>
    <s v="2024-05-05 00:28:47"/>
    <s v="2024-05-05 22:09:42"/>
    <s v="P3"/>
    <x v="0"/>
    <s v="Infrastructure"/>
    <s v="Jim Halpert"/>
    <s v="Closed"/>
    <n v="5"/>
    <n v="24"/>
    <n v="21.68"/>
    <n v="1"/>
  </r>
  <r>
    <s v="TCK-10100"/>
    <s v="2024-08-01 23:16:19"/>
    <s v="2024-08-02 02:36:45"/>
    <s v="P1"/>
    <x v="1"/>
    <s v="Infrastructure"/>
    <s v="Pam Beesly"/>
    <s v="Resolved"/>
    <n v="5"/>
    <n v="4"/>
    <n v="3.34"/>
    <n v="1"/>
  </r>
  <r>
    <s v="TCK-10101"/>
    <s v="2024-01-01 18:43:43"/>
    <s v="2024-01-02 12:33:36"/>
    <s v="P3"/>
    <x v="3"/>
    <s v="Application Support"/>
    <s v="Alex Mercer"/>
    <s v="Resolved"/>
    <n v="5"/>
    <n v="24"/>
    <n v="17.829999999999998"/>
    <n v="1"/>
  </r>
  <r>
    <s v="TCK-10102"/>
    <s v="2024-10-22 11:37:30"/>
    <s v="2024-10-22 12:26:16"/>
    <s v="P1"/>
    <x v="2"/>
    <s v="L2 Support"/>
    <s v="Michael Scott"/>
    <s v="Resolved"/>
    <n v="5"/>
    <n v="4"/>
    <n v="0.81"/>
    <n v="1"/>
  </r>
  <r>
    <s v="TCK-10103"/>
    <s v="2024-08-24 19:05:42"/>
    <s v="2024-08-25 02:04:44"/>
    <s v="P3"/>
    <x v="0"/>
    <s v="Infrastructure"/>
    <s v="Ravi Patel"/>
    <s v="Resolved"/>
    <n v="5"/>
    <n v="24"/>
    <n v="6.98"/>
    <n v="1"/>
  </r>
  <r>
    <s v="TCK-10104"/>
    <s v="2024-02-14 09:32:03"/>
    <m/>
    <s v="P3"/>
    <x v="1"/>
    <s v="L2 Support"/>
    <s v="Dwight Schrute"/>
    <s v="Open"/>
    <m/>
    <n v="24"/>
    <m/>
    <m/>
  </r>
  <r>
    <s v="TCK-10105"/>
    <s v="2024-04-23 16:20:48"/>
    <s v="2024-04-24 02:34:18"/>
    <s v="P3"/>
    <x v="2"/>
    <s v="Application Support"/>
    <s v="Dwight Schrute"/>
    <s v="Resolved"/>
    <n v="5"/>
    <n v="24"/>
    <n v="10.220000000000001"/>
    <n v="1"/>
  </r>
  <r>
    <s v="TCK-10106"/>
    <s v="2024-07-16 17:08:54"/>
    <s v="2024-07-18 10:15:16"/>
    <s v="P3"/>
    <x v="1"/>
    <s v="L1 Support"/>
    <s v="Michael Scott"/>
    <s v="Closed"/>
    <n v="3"/>
    <n v="24"/>
    <n v="41.11"/>
    <n v="0"/>
  </r>
  <r>
    <s v="TCK-10107"/>
    <s v="2024-04-14 02:13:46"/>
    <s v="2024-04-15 14:13:46"/>
    <s v="P4"/>
    <x v="0"/>
    <s v="Infrastructure"/>
    <s v="Anita Sharma"/>
    <s v="Closed"/>
    <n v="4"/>
    <n v="48"/>
    <n v="36"/>
    <n v="1"/>
  </r>
  <r>
    <s v="TCK-10108"/>
    <s v="2024-07-07 10:23:20"/>
    <s v="2024-07-07 12:28:18"/>
    <s v="P2"/>
    <x v="3"/>
    <s v="Billing Operations"/>
    <s v="Jim Halpert"/>
    <s v="Resolved"/>
    <n v="5"/>
    <n v="8"/>
    <n v="2.08"/>
    <n v="1"/>
  </r>
  <r>
    <s v="TCK-10109"/>
    <s v="2024-08-10 09:32:25"/>
    <s v="2024-08-11 06:34:27"/>
    <s v="P3"/>
    <x v="0"/>
    <s v="Application Support"/>
    <s v="Alex Mercer"/>
    <s v="Resolved"/>
    <n v="4"/>
    <n v="24"/>
    <n v="21.03"/>
    <n v="1"/>
  </r>
  <r>
    <s v="TCK-10110"/>
    <s v="2024-09-15 02:01:41"/>
    <m/>
    <s v="P3"/>
    <x v="3"/>
    <s v="L2 Support"/>
    <s v="Dwight Schrute"/>
    <s v="Escalated"/>
    <m/>
    <n v="24"/>
    <m/>
    <m/>
  </r>
  <r>
    <s v="TCK-10111"/>
    <s v="2024-02-19 08:42:01"/>
    <s v="2024-02-20 10:37:06"/>
    <s v="P3"/>
    <x v="3"/>
    <s v="L1 Support"/>
    <s v="Dwight Schrute"/>
    <s v="Resolved"/>
    <n v="1"/>
    <n v="24"/>
    <n v="25.92"/>
    <n v="0"/>
  </r>
  <r>
    <s v="TCK-10112"/>
    <s v="2024-12-04 13:41:01"/>
    <s v="2024-12-05 05:20:25"/>
    <s v="P3"/>
    <x v="1"/>
    <s v="Application Support"/>
    <s v="Michael Scott"/>
    <s v="Resolved"/>
    <n v="5"/>
    <n v="24"/>
    <n v="15.66"/>
    <n v="1"/>
  </r>
  <r>
    <s v="TCK-10113"/>
    <s v="2024-11-27 08:23:49"/>
    <s v="2024-11-28 04:35:36"/>
    <s v="P3"/>
    <x v="2"/>
    <s v="Infrastructure"/>
    <s v="Carlos Mendez"/>
    <s v="Closed"/>
    <n v="3"/>
    <n v="24"/>
    <n v="20.2"/>
    <n v="1"/>
  </r>
  <r>
    <s v="TCK-10114"/>
    <s v="2024-01-27 21:43:39"/>
    <s v="2024-01-27 23:11:48"/>
    <s v="P2"/>
    <x v="3"/>
    <s v="Infrastructure"/>
    <s v="Emily Watson"/>
    <s v="Closed"/>
    <n v="5"/>
    <n v="8"/>
    <n v="1.47"/>
    <n v="1"/>
  </r>
  <r>
    <s v="TCK-10115"/>
    <s v="2024-12-05 05:01:40"/>
    <s v="2024-12-05 07:49:21"/>
    <s v="P2"/>
    <x v="1"/>
    <s v="Infrastructure"/>
    <s v="Alex Mercer"/>
    <s v="Resolved"/>
    <n v="4"/>
    <n v="8"/>
    <n v="2.79"/>
    <n v="1"/>
  </r>
  <r>
    <s v="TCK-10116"/>
    <s v="2024-02-26 20:48:31"/>
    <s v="2024-02-27 00:12:35"/>
    <s v="P2"/>
    <x v="2"/>
    <s v="L2 Support"/>
    <s v="John Doe"/>
    <s v="Resolved"/>
    <n v="5"/>
    <n v="8"/>
    <n v="3.4"/>
    <n v="1"/>
  </r>
  <r>
    <s v="TCK-10117"/>
    <s v="2024-07-12 14:35:41"/>
    <s v="2024-07-12 19:46:41"/>
    <s v="P4"/>
    <x v="1"/>
    <s v="Application Support"/>
    <s v="Carlos Mendez"/>
    <s v="Resolved"/>
    <n v="5"/>
    <n v="48"/>
    <n v="5.18"/>
    <n v="1"/>
  </r>
  <r>
    <s v="TCK-10118"/>
    <s v="2024-12-16 07:52:50"/>
    <m/>
    <s v="P2"/>
    <x v="2"/>
    <s v="L1 Support"/>
    <s v="Dwight Schrute"/>
    <s v="Open"/>
    <m/>
    <n v="8"/>
    <m/>
    <m/>
  </r>
  <r>
    <s v="TCK-10119"/>
    <s v="2024-08-16 12:33:54"/>
    <s v="2024-08-16 15:58:51"/>
    <s v="P2"/>
    <x v="4"/>
    <s v="Infrastructure"/>
    <s v="Dwight Schrute"/>
    <s v="Closed"/>
    <n v="4"/>
    <n v="8"/>
    <n v="3.42"/>
    <n v="1"/>
  </r>
  <r>
    <s v="TCK-10120"/>
    <s v="2024-04-02 10:55:02"/>
    <s v="2024-04-04 18:55:20"/>
    <s v="P3"/>
    <x v="2"/>
    <s v="Infrastructure"/>
    <s v="Priya Nair"/>
    <s v="Resolved"/>
    <n v="1"/>
    <n v="24"/>
    <n v="56"/>
    <n v="0"/>
  </r>
  <r>
    <s v="TCK-10121"/>
    <s v="2024-08-08 02:50:26"/>
    <s v="2024-08-13 17:45:18"/>
    <s v="P4"/>
    <x v="0"/>
    <s v="L1 Support"/>
    <s v="Anita Sharma"/>
    <s v="Closed"/>
    <n v="3"/>
    <n v="48"/>
    <n v="134.91"/>
    <n v="0"/>
  </r>
  <r>
    <s v="TCK-10122"/>
    <s v="2024-03-30 16:51:31"/>
    <s v="2024-03-31 10:54:54"/>
    <s v="P3"/>
    <x v="2"/>
    <s v="L2 Support"/>
    <s v="Anita Sharma"/>
    <s v="Resolved"/>
    <n v="5"/>
    <n v="24"/>
    <n v="18.059999999999999"/>
    <n v="1"/>
  </r>
  <r>
    <s v="TCK-10123"/>
    <s v="2024-02-23 10:52:29"/>
    <s v="2024-02-23 20:43:04"/>
    <s v="P3"/>
    <x v="4"/>
    <s v="L1 Support"/>
    <s v="Michael Scott"/>
    <s v="Closed"/>
    <n v="4"/>
    <n v="24"/>
    <n v="9.84"/>
    <n v="1"/>
  </r>
  <r>
    <s v="TCK-10124"/>
    <s v="2024-12-19 14:20:44"/>
    <s v="2024-12-19 21:45:06"/>
    <s v="P2"/>
    <x v="0"/>
    <s v="L2 Support"/>
    <s v="Emily Watson"/>
    <s v="Resolved"/>
    <n v="5"/>
    <n v="8"/>
    <n v="7.41"/>
    <n v="1"/>
  </r>
  <r>
    <s v="TCK-10125"/>
    <s v="2024-12-21 02:18:56"/>
    <s v="2024-12-21 03:53:55"/>
    <s v="P2"/>
    <x v="1"/>
    <s v="Application Support"/>
    <s v="Michael Scott"/>
    <s v="Closed"/>
    <n v="5"/>
    <n v="8"/>
    <n v="1.58"/>
    <n v="1"/>
  </r>
  <r>
    <s v="TCK-10126"/>
    <s v="2024-02-24 23:57:01"/>
    <s v="2024-02-25 02:38:03"/>
    <s v="P3"/>
    <x v="2"/>
    <s v="Application Support"/>
    <s v="Ravi Patel"/>
    <s v="Resolved"/>
    <n v="5"/>
    <n v="24"/>
    <n v="2.68"/>
    <n v="1"/>
  </r>
  <r>
    <s v="TCK-10127"/>
    <s v="2024-06-25 22:54:46"/>
    <s v="2024-06-26 08:53:27"/>
    <s v="P3"/>
    <x v="0"/>
    <s v="Infrastructure"/>
    <s v="Anita Sharma"/>
    <s v="Resolved"/>
    <n v="5"/>
    <n v="24"/>
    <n v="9.98"/>
    <n v="1"/>
  </r>
  <r>
    <s v="TCK-10128"/>
    <s v="2024-07-02 10:28:58"/>
    <m/>
    <s v="P1"/>
    <x v="0"/>
    <s v="Billing Operations"/>
    <s v="Pam Beesly"/>
    <s v="Open"/>
    <m/>
    <n v="4"/>
    <m/>
    <m/>
  </r>
  <r>
    <s v="TCK-10129"/>
    <s v="2024-03-27 07:17:30"/>
    <s v="2024-03-27 12:32:35"/>
    <s v="P3"/>
    <x v="3"/>
    <s v="Application Support"/>
    <s v="Priya Nair"/>
    <s v="Resolved"/>
    <n v="5"/>
    <n v="24"/>
    <n v="5.25"/>
    <n v="1"/>
  </r>
  <r>
    <s v="TCK-10130"/>
    <s v="2024-04-28 12:53:00"/>
    <s v="2024-04-29 21:02:21"/>
    <s v="P4"/>
    <x v="1"/>
    <s v="L2 Support"/>
    <s v="Ravi Patel"/>
    <s v="Resolved"/>
    <n v="5"/>
    <n v="48"/>
    <n v="32.159999999999997"/>
    <n v="1"/>
  </r>
  <r>
    <s v="TCK-10131"/>
    <s v="2024-07-29 02:57:32"/>
    <s v="2024-07-31 08:58:17"/>
    <s v="P3"/>
    <x v="0"/>
    <s v="L2 Support"/>
    <s v="Jim Halpert"/>
    <s v="Closed"/>
    <n v="4"/>
    <n v="24"/>
    <n v="54.01"/>
    <n v="0"/>
  </r>
  <r>
    <s v="TCK-10132"/>
    <s v="2024-04-18 23:22:01"/>
    <m/>
    <s v="P1"/>
    <x v="2"/>
    <s v="Application Support"/>
    <s v="Dwight Schrute"/>
    <s v="Open"/>
    <m/>
    <n v="4"/>
    <m/>
    <m/>
  </r>
  <r>
    <s v="TCK-10133"/>
    <s v="2024-11-28 13:22:25"/>
    <m/>
    <s v="P3"/>
    <x v="4"/>
    <s v="Infrastructure"/>
    <s v="Ravi Patel"/>
    <s v="Open"/>
    <m/>
    <n v="24"/>
    <m/>
    <m/>
  </r>
  <r>
    <s v="TCK-10134"/>
    <s v="2024-09-07 18:13:17"/>
    <m/>
    <s v="P3"/>
    <x v="2"/>
    <s v="L2 Support"/>
    <s v="Sarah Connor"/>
    <s v="Open"/>
    <m/>
    <n v="24"/>
    <m/>
    <m/>
  </r>
  <r>
    <s v="TCK-10135"/>
    <s v="2024-11-16 10:01:03"/>
    <s v="2024-11-17 08:35:22"/>
    <s v="P3"/>
    <x v="3"/>
    <s v="Billing Operations"/>
    <s v="Alex Mercer"/>
    <s v="Resolved"/>
    <n v="5"/>
    <n v="24"/>
    <n v="22.57"/>
    <n v="1"/>
  </r>
  <r>
    <s v="TCK-10136"/>
    <s v="2024-03-21 00:39:16"/>
    <s v="2024-03-21 07:25:01"/>
    <s v="P1"/>
    <x v="0"/>
    <s v="L2 Support"/>
    <s v="Anita Sharma"/>
    <s v="Resolved"/>
    <n v="1"/>
    <n v="4"/>
    <n v="6.76"/>
    <n v="0"/>
  </r>
  <r>
    <s v="TCK-10137"/>
    <s v="2024-12-16 01:33:27"/>
    <s v="2024-12-16 06:11:59"/>
    <s v="P3"/>
    <x v="2"/>
    <s v="L2 Support"/>
    <s v="John Doe"/>
    <s v="Resolved"/>
    <n v="5"/>
    <n v="24"/>
    <n v="4.6399999999999997"/>
    <n v="1"/>
  </r>
  <r>
    <s v="TCK-10138"/>
    <s v="2024-02-21 12:29:42"/>
    <s v="2024-02-21 13:04:23"/>
    <s v="P1"/>
    <x v="0"/>
    <s v="L2 Support"/>
    <s v="Anita Sharma"/>
    <s v="Resolved"/>
    <n v="5"/>
    <n v="4"/>
    <n v="0.57999999999999996"/>
    <n v="1"/>
  </r>
  <r>
    <s v="TCK-10139"/>
    <s v="2024-07-23 15:28:21"/>
    <s v="2024-07-23 19:41:54"/>
    <s v="P2"/>
    <x v="1"/>
    <s v="Application Support"/>
    <s v="Pam Beesly"/>
    <s v="Resolved"/>
    <n v="5"/>
    <n v="8"/>
    <n v="4.2300000000000004"/>
    <n v="1"/>
  </r>
  <r>
    <s v="TCK-10140"/>
    <s v="2024-01-18 04:11:29"/>
    <s v="2024-01-19 08:14:16"/>
    <s v="P3"/>
    <x v="4"/>
    <s v="Billing Operations"/>
    <s v="Michael Scott"/>
    <s v="Resolved"/>
    <n v="2"/>
    <n v="24"/>
    <n v="28.05"/>
    <n v="0"/>
  </r>
  <r>
    <s v="TCK-10141"/>
    <s v="2024-06-05 07:20:38"/>
    <s v="2024-06-05 12:46:11"/>
    <s v="P3"/>
    <x v="1"/>
    <s v="Application Support"/>
    <s v="Sarah Connor"/>
    <s v="Closed"/>
    <n v="4"/>
    <n v="24"/>
    <n v="5.43"/>
    <n v="1"/>
  </r>
  <r>
    <s v="TCK-10142"/>
    <s v="2024-08-30 19:03:38"/>
    <m/>
    <s v="P3"/>
    <x v="2"/>
    <s v="Infrastructure"/>
    <s v="Jim Halpert"/>
    <s v="Escalated"/>
    <m/>
    <n v="24"/>
    <m/>
    <m/>
  </r>
  <r>
    <s v="TCK-10143"/>
    <s v="2024-07-25 09:08:53"/>
    <s v="2024-07-25 14:24:00"/>
    <s v="P2"/>
    <x v="2"/>
    <s v="Application Support"/>
    <s v="Sarah Connor"/>
    <s v="Closed"/>
    <n v="5"/>
    <n v="8"/>
    <n v="5.25"/>
    <n v="1"/>
  </r>
  <r>
    <s v="TCK-10144"/>
    <s v="2024-08-02 10:49:00"/>
    <s v="2024-08-04 06:40:38"/>
    <s v="P3"/>
    <x v="2"/>
    <s v="Application Support"/>
    <s v="Emily Watson"/>
    <s v="Resolved"/>
    <n v="3"/>
    <n v="24"/>
    <n v="43.86"/>
    <n v="0"/>
  </r>
  <r>
    <s v="TCK-10145"/>
    <s v="2024-05-01 17:09:42"/>
    <s v="2024-05-01 21:25:21"/>
    <s v="P3"/>
    <x v="2"/>
    <s v="Infrastructure"/>
    <s v="John Doe"/>
    <s v="Closed"/>
    <n v="3"/>
    <n v="24"/>
    <n v="4.26"/>
    <n v="1"/>
  </r>
  <r>
    <s v="TCK-10146"/>
    <s v="2024-06-17 01:22:51"/>
    <s v="2024-06-17 09:57:43"/>
    <s v="P1"/>
    <x v="0"/>
    <s v="L2 Support"/>
    <s v="Ravi Patel"/>
    <s v="Resolved"/>
    <n v="2"/>
    <n v="4"/>
    <n v="8.58"/>
    <n v="0"/>
  </r>
  <r>
    <s v="TCK-10147"/>
    <s v="2024-06-08 21:00:50"/>
    <s v="2024-06-09 05:47:16"/>
    <s v="P3"/>
    <x v="3"/>
    <s v="Application Support"/>
    <s v="Priya Nair"/>
    <s v="Resolved"/>
    <n v="4"/>
    <n v="24"/>
    <n v="8.77"/>
    <n v="1"/>
  </r>
  <r>
    <s v="TCK-10148"/>
    <s v="2024-07-16 09:25:39"/>
    <s v="2024-07-16 11:00:31"/>
    <s v="P2"/>
    <x v="3"/>
    <s v="L2 Support"/>
    <s v="Sarah Connor"/>
    <s v="Resolved"/>
    <n v="4"/>
    <n v="8"/>
    <n v="1.58"/>
    <n v="1"/>
  </r>
  <r>
    <s v="TCK-10149"/>
    <s v="2024-03-29 03:57:19"/>
    <s v="2024-03-30 09:36:08"/>
    <s v="P4"/>
    <x v="0"/>
    <s v="Billing Operations"/>
    <s v="Anita Sharma"/>
    <s v="Closed"/>
    <n v="5"/>
    <n v="48"/>
    <n v="29.65"/>
    <n v="1"/>
  </r>
  <r>
    <s v="TCK-10150"/>
    <s v="2024-09-26 15:37:11"/>
    <s v="2024-09-26 17:23:37"/>
    <s v="P2"/>
    <x v="1"/>
    <s v="Infrastructure"/>
    <s v="Pam Beesly"/>
    <s v="Resolved"/>
    <n v="5"/>
    <n v="8"/>
    <n v="1.77"/>
    <n v="1"/>
  </r>
  <r>
    <s v="TCK-10151"/>
    <s v="2024-01-28 08:34:59"/>
    <s v="2024-01-28 12:14:16"/>
    <s v="P2"/>
    <x v="3"/>
    <s v="L1 Support"/>
    <s v="Sarah Connor"/>
    <s v="Closed"/>
    <n v="4"/>
    <n v="8"/>
    <n v="3.65"/>
    <n v="1"/>
  </r>
  <r>
    <s v="TCK-10152"/>
    <s v="2024-05-24 01:08:41"/>
    <s v="2024-05-24 03:00:54"/>
    <s v="P2"/>
    <x v="0"/>
    <s v="Billing Operations"/>
    <s v="Anita Sharma"/>
    <s v="Resolved"/>
    <n v="5"/>
    <n v="8"/>
    <n v="1.87"/>
    <n v="1"/>
  </r>
  <r>
    <s v="TCK-10153"/>
    <s v="2024-09-19 01:50:37"/>
    <s v="2024-09-19 02:58:35"/>
    <s v="P1"/>
    <x v="2"/>
    <s v="Application Support"/>
    <s v="Dwight Schrute"/>
    <s v="Closed"/>
    <n v="5"/>
    <n v="4"/>
    <n v="1.1299999999999999"/>
    <n v="1"/>
  </r>
  <r>
    <s v="TCK-10154"/>
    <s v="2024-05-14 09:14:39"/>
    <s v="2024-05-14 16:08:33"/>
    <s v="P3"/>
    <x v="2"/>
    <s v="Billing Operations"/>
    <s v="Dwight Schrute"/>
    <s v="Resolved"/>
    <n v="5"/>
    <n v="24"/>
    <n v="6.9"/>
    <n v="1"/>
  </r>
  <r>
    <s v="TCK-10155"/>
    <s v="2024-01-22 14:36:17"/>
    <s v="2024-01-22 15:24:45"/>
    <s v="P1"/>
    <x v="2"/>
    <s v="L2 Support"/>
    <s v="John Doe"/>
    <s v="Closed"/>
    <n v="4"/>
    <n v="4"/>
    <n v="0.81"/>
    <n v="1"/>
  </r>
  <r>
    <s v="TCK-10156"/>
    <s v="2024-06-16 13:59:44"/>
    <s v="2024-06-16 17:12:14"/>
    <s v="P2"/>
    <x v="2"/>
    <s v="L2 Support"/>
    <s v="Ravi Patel"/>
    <s v="Closed"/>
    <n v="4"/>
    <n v="8"/>
    <n v="3.21"/>
    <n v="1"/>
  </r>
  <r>
    <s v="TCK-10157"/>
    <s v="2024-10-15 12:19:35"/>
    <s v="2024-10-15 15:08:19"/>
    <s v="P1"/>
    <x v="1"/>
    <s v="L1 Support"/>
    <s v="Pam Beesly"/>
    <s v="Closed"/>
    <n v="4"/>
    <n v="4"/>
    <n v="2.81"/>
    <n v="1"/>
  </r>
  <r>
    <s v="TCK-10158"/>
    <s v="2024-02-15 01:29:37"/>
    <s v="2024-02-15 11:16:31"/>
    <s v="P3"/>
    <x v="0"/>
    <s v="L2 Support"/>
    <s v="Anita Sharma"/>
    <s v="Resolved"/>
    <n v="4"/>
    <n v="24"/>
    <n v="9.7799999999999994"/>
    <n v="1"/>
  </r>
  <r>
    <s v="TCK-10159"/>
    <s v="2024-02-11 10:42:57"/>
    <s v="2024-02-11 13:49:28"/>
    <s v="P2"/>
    <x v="3"/>
    <s v="Billing Operations"/>
    <s v="Sarah Connor"/>
    <s v="Resolved"/>
    <n v="4"/>
    <n v="8"/>
    <n v="3.11"/>
    <n v="1"/>
  </r>
  <r>
    <s v="TCK-10160"/>
    <s v="2024-03-06 15:06:37"/>
    <s v="2024-03-06 16:42:14"/>
    <s v="P1"/>
    <x v="3"/>
    <s v="Billing Operations"/>
    <s v="Ravi Patel"/>
    <s v="Resolved"/>
    <n v="5"/>
    <n v="4"/>
    <n v="1.59"/>
    <n v="1"/>
  </r>
  <r>
    <s v="TCK-10161"/>
    <s v="2024-09-07 23:57:52"/>
    <s v="2024-09-09 11:46:52"/>
    <s v="P4"/>
    <x v="2"/>
    <s v="L2 Support"/>
    <s v="Michael Scott"/>
    <s v="Resolved"/>
    <n v="5"/>
    <n v="48"/>
    <n v="35.82"/>
    <n v="1"/>
  </r>
  <r>
    <s v="TCK-10162"/>
    <s v="2024-03-10 03:07:17"/>
    <s v="2024-03-11 21:37:36"/>
    <s v="P4"/>
    <x v="3"/>
    <s v="Application Support"/>
    <s v="Anita Sharma"/>
    <s v="Closed"/>
    <n v="5"/>
    <n v="48"/>
    <n v="42.51"/>
    <n v="1"/>
  </r>
  <r>
    <s v="TCK-10163"/>
    <s v="2024-09-04 01:24:34"/>
    <s v="2024-09-05 07:58:11"/>
    <s v="P4"/>
    <x v="2"/>
    <s v="Infrastructure"/>
    <s v="John Doe"/>
    <s v="Resolved"/>
    <n v="5"/>
    <n v="48"/>
    <n v="30.56"/>
    <n v="1"/>
  </r>
  <r>
    <s v="TCK-10164"/>
    <s v="2024-08-18 00:25:54"/>
    <s v="2024-08-18 03:39:33"/>
    <s v="P1"/>
    <x v="2"/>
    <s v="Infrastructure"/>
    <s v="Dwight Schrute"/>
    <s v="Resolved"/>
    <n v="3"/>
    <n v="4"/>
    <n v="3.23"/>
    <n v="1"/>
  </r>
  <r>
    <s v="TCK-10165"/>
    <s v="2024-12-01 23:23:38"/>
    <s v="2024-12-03 19:07:35"/>
    <s v="P4"/>
    <x v="1"/>
    <s v="Billing Operations"/>
    <s v="Ravi Patel"/>
    <s v="Resolved"/>
    <n v="5"/>
    <n v="48"/>
    <n v="43.73"/>
    <n v="1"/>
  </r>
  <r>
    <s v="TCK-10166"/>
    <s v="2024-01-17 06:21:33"/>
    <s v="2024-01-18 04:17:48"/>
    <s v="P3"/>
    <x v="0"/>
    <s v="L2 Support"/>
    <s v="Pam Beesly"/>
    <s v="Closed"/>
    <n v="4"/>
    <n v="24"/>
    <n v="21.94"/>
    <n v="1"/>
  </r>
  <r>
    <s v="TCK-10167"/>
    <s v="2024-11-11 06:45:30"/>
    <s v="2024-11-12 16:25:45"/>
    <s v="P4"/>
    <x v="2"/>
    <s v="L1 Support"/>
    <s v="Ravi Patel"/>
    <s v="Closed"/>
    <n v="5"/>
    <n v="48"/>
    <n v="33.67"/>
    <n v="1"/>
  </r>
  <r>
    <s v="TCK-10168"/>
    <s v="2024-07-22 20:40:22"/>
    <s v="2024-07-23 12:55:20"/>
    <s v="P3"/>
    <x v="1"/>
    <s v="Infrastructure"/>
    <s v="Michael Scott"/>
    <s v="Resolved"/>
    <n v="3"/>
    <n v="24"/>
    <n v="16.25"/>
    <n v="1"/>
  </r>
  <r>
    <s v="TCK-10169"/>
    <s v="2024-09-02 08:17:20"/>
    <s v="2024-09-03 01:27:10"/>
    <s v="P3"/>
    <x v="4"/>
    <s v="L1 Support"/>
    <s v="Ravi Patel"/>
    <s v="Closed"/>
    <n v="5"/>
    <n v="24"/>
    <n v="17.16"/>
    <n v="1"/>
  </r>
  <r>
    <s v="TCK-10170"/>
    <s v="2024-12-18 07:43:34"/>
    <s v="2024-12-19 23:26:41"/>
    <s v="P3"/>
    <x v="1"/>
    <s v="L1 Support"/>
    <s v="Anita Sharma"/>
    <s v="Closed"/>
    <n v="2"/>
    <n v="24"/>
    <n v="39.72"/>
    <n v="0"/>
  </r>
  <r>
    <s v="TCK-10171"/>
    <s v="2024-09-14 11:32:49"/>
    <s v="2024-09-14 20:38:52"/>
    <s v="P3"/>
    <x v="3"/>
    <s v="L1 Support"/>
    <s v="Michael Scott"/>
    <s v="Closed"/>
    <n v="4"/>
    <n v="24"/>
    <n v="9.1"/>
    <n v="1"/>
  </r>
  <r>
    <s v="TCK-10172"/>
    <s v="2024-09-30 06:51:30"/>
    <m/>
    <s v="P4"/>
    <x v="0"/>
    <s v="Billing Operations"/>
    <s v="Sarah Connor"/>
    <s v="Open"/>
    <m/>
    <n v="48"/>
    <m/>
    <m/>
  </r>
  <r>
    <s v="TCK-10173"/>
    <s v="2024-03-11 08:10:19"/>
    <s v="2024-03-11 16:07:13"/>
    <s v="P4"/>
    <x v="2"/>
    <s v="Application Support"/>
    <s v="Emily Watson"/>
    <s v="Resolved"/>
    <n v="5"/>
    <n v="48"/>
    <n v="7.95"/>
    <n v="1"/>
  </r>
  <r>
    <s v="TCK-10174"/>
    <s v="2024-02-09 14:42:00"/>
    <s v="2024-02-11 20:49:25"/>
    <s v="P3"/>
    <x v="2"/>
    <s v="Billing Operations"/>
    <s v="Alex Mercer"/>
    <s v="Closed"/>
    <n v="2"/>
    <n v="24"/>
    <n v="54.12"/>
    <n v="0"/>
  </r>
  <r>
    <s v="TCK-10175"/>
    <s v="2024-03-01 05:44:23"/>
    <s v="2024-03-01 09:01:01"/>
    <s v="P2"/>
    <x v="0"/>
    <s v="Billing Operations"/>
    <s v="John Doe"/>
    <s v="Closed"/>
    <n v="5"/>
    <n v="8"/>
    <n v="3.28"/>
    <n v="1"/>
  </r>
  <r>
    <s v="TCK-10176"/>
    <s v="2024-06-21 20:13:55"/>
    <s v="2024-06-22 15:07:40"/>
    <s v="P3"/>
    <x v="0"/>
    <s v="Application Support"/>
    <s v="Emily Watson"/>
    <s v="Resolved"/>
    <n v="4"/>
    <n v="24"/>
    <n v="18.899999999999999"/>
    <n v="1"/>
  </r>
  <r>
    <s v="TCK-10177"/>
    <s v="2024-11-20 15:49:15"/>
    <s v="2024-11-20 19:13:03"/>
    <s v="P2"/>
    <x v="3"/>
    <s v="Billing Operations"/>
    <s v="Dwight Schrute"/>
    <s v="Resolved"/>
    <n v="5"/>
    <n v="8"/>
    <n v="3.4"/>
    <n v="1"/>
  </r>
  <r>
    <s v="TCK-10178"/>
    <s v="2024-03-04 06:29:29"/>
    <s v="2024-04-03 03:29:29"/>
    <s v="P4"/>
    <x v="0"/>
    <s v="L2 Support"/>
    <s v="Michael Scott"/>
    <s v="Resolved"/>
    <n v="5"/>
    <n v="48"/>
    <n v="717"/>
    <n v="0"/>
  </r>
  <r>
    <s v="TCK-10179"/>
    <s v="2024-10-03 14:44:15"/>
    <s v="2024-10-05 08:28:26"/>
    <s v="P4"/>
    <x v="0"/>
    <s v="Infrastructure"/>
    <s v="Sarah Connor"/>
    <s v="Closed"/>
    <n v="4"/>
    <n v="48"/>
    <n v="41.74"/>
    <n v="1"/>
  </r>
  <r>
    <s v="TCK-10180"/>
    <s v="2024-06-19 05:32:23"/>
    <m/>
    <s v="P1"/>
    <x v="2"/>
    <s v="Application Support"/>
    <s v="Pam Beesly"/>
    <s v="Open"/>
    <m/>
    <n v="4"/>
    <m/>
    <m/>
  </r>
  <r>
    <s v="TCK-10181"/>
    <s v="2024-06-10 11:07:10"/>
    <m/>
    <s v="P1"/>
    <x v="2"/>
    <s v="L2 Support"/>
    <s v="Jim Halpert"/>
    <s v="Escalated"/>
    <m/>
    <n v="4"/>
    <m/>
    <m/>
  </r>
  <r>
    <s v="TCK-10182"/>
    <s v="2024-05-25 22:26:21"/>
    <s v="2024-05-26 00:10:29"/>
    <s v="P2"/>
    <x v="2"/>
    <s v="L1 Support"/>
    <s v="Priya Nair"/>
    <s v="Closed"/>
    <n v="4"/>
    <n v="8"/>
    <n v="1.74"/>
    <n v="1"/>
  </r>
  <r>
    <s v="TCK-10183"/>
    <s v="2024-11-18 13:56:18"/>
    <s v="2024-11-19 16:01:39"/>
    <s v="P3"/>
    <x v="0"/>
    <s v="Application Support"/>
    <s v="Dwight Schrute"/>
    <s v="Closed"/>
    <n v="1"/>
    <n v="24"/>
    <n v="26.09"/>
    <n v="0"/>
  </r>
  <r>
    <s v="TCK-10184"/>
    <s v="2024-02-28 09:37:25"/>
    <s v="2024-02-28 18:10:01"/>
    <s v="P3"/>
    <x v="0"/>
    <s v="Billing Operations"/>
    <s v="Jim Halpert"/>
    <s v="Resolved"/>
    <n v="3"/>
    <n v="24"/>
    <n v="8.5399999999999991"/>
    <n v="1"/>
  </r>
  <r>
    <s v="TCK-10185"/>
    <s v="2024-06-12 09:03:27"/>
    <s v="2024-06-12 22:23:34"/>
    <s v="P3"/>
    <x v="3"/>
    <s v="L1 Support"/>
    <s v="Sarah Connor"/>
    <s v="Closed"/>
    <n v="5"/>
    <n v="24"/>
    <n v="13.34"/>
    <n v="1"/>
  </r>
  <r>
    <s v="TCK-10186"/>
    <s v="2024-08-11 15:49:50"/>
    <s v="2024-08-11 19:27:47"/>
    <s v="P2"/>
    <x v="1"/>
    <s v="Application Support"/>
    <s v="Alex Mercer"/>
    <s v="Closed"/>
    <n v="5"/>
    <n v="8"/>
    <n v="3.63"/>
    <n v="1"/>
  </r>
  <r>
    <s v="TCK-10187"/>
    <s v="2024-02-03 13:58:47"/>
    <s v="2024-02-05 17:06:50"/>
    <s v="P3"/>
    <x v="2"/>
    <s v="Billing Operations"/>
    <s v="Ravi Patel"/>
    <s v="Resolved"/>
    <n v="2"/>
    <n v="24"/>
    <n v="51.13"/>
    <n v="0"/>
  </r>
  <r>
    <s v="TCK-10188"/>
    <s v="2024-07-01 21:58:35"/>
    <s v="2024-07-01 22:36:21"/>
    <s v="P1"/>
    <x v="2"/>
    <s v="Infrastructure"/>
    <s v="Michael Scott"/>
    <s v="Closed"/>
    <n v="4"/>
    <n v="4"/>
    <n v="0.63"/>
    <n v="1"/>
  </r>
  <r>
    <s v="TCK-10189"/>
    <s v="2024-09-12 12:39:24"/>
    <s v="2024-09-13 07:39:08"/>
    <s v="P3"/>
    <x v="0"/>
    <s v="Infrastructure"/>
    <s v="John Doe"/>
    <s v="Resolved"/>
    <n v="4"/>
    <n v="24"/>
    <n v="19"/>
    <n v="1"/>
  </r>
  <r>
    <s v="TCK-10190"/>
    <s v="2024-10-29 22:08:07"/>
    <s v="2024-10-30 15:08:33"/>
    <s v="P3"/>
    <x v="4"/>
    <s v="Application Support"/>
    <s v="Carlos Mendez"/>
    <s v="Resolved"/>
    <n v="5"/>
    <n v="24"/>
    <n v="17.010000000000002"/>
    <n v="1"/>
  </r>
  <r>
    <s v="TCK-10191"/>
    <s v="2024-01-15 16:42:50"/>
    <s v="2024-01-15 20:13:18"/>
    <s v="P2"/>
    <x v="1"/>
    <s v="L2 Support"/>
    <s v="Alex Mercer"/>
    <s v="Resolved"/>
    <n v="5"/>
    <n v="8"/>
    <n v="3.51"/>
    <n v="1"/>
  </r>
  <r>
    <s v="TCK-10192"/>
    <s v="2024-07-03 04:24:20"/>
    <s v="2024-07-03 11:05:34"/>
    <s v="P2"/>
    <x v="0"/>
    <s v="L2 Support"/>
    <s v="Michael Scott"/>
    <s v="Resolved"/>
    <n v="4"/>
    <n v="8"/>
    <n v="6.69"/>
    <n v="1"/>
  </r>
  <r>
    <s v="TCK-10193"/>
    <s v="2024-02-18 16:11:28"/>
    <s v="2024-02-20 09:15:28"/>
    <s v="P3"/>
    <x v="2"/>
    <s v="Application Support"/>
    <s v="Priya Nair"/>
    <s v="Resolved"/>
    <n v="1"/>
    <n v="24"/>
    <n v="41.07"/>
    <n v="0"/>
  </r>
  <r>
    <s v="TCK-10194"/>
    <s v="2024-09-26 02:32:45"/>
    <s v="2024-09-26 06:33:21"/>
    <s v="P3"/>
    <x v="4"/>
    <s v="Billing Operations"/>
    <s v="Michael Scott"/>
    <s v="Closed"/>
    <n v="5"/>
    <n v="24"/>
    <n v="4.01"/>
    <n v="1"/>
  </r>
  <r>
    <s v="TCK-10195"/>
    <s v="2024-11-15 16:46:34"/>
    <s v="2024-11-15 20:36:30"/>
    <s v="P2"/>
    <x v="2"/>
    <s v="L1 Support"/>
    <s v="Sarah Connor"/>
    <s v="Resolved"/>
    <n v="5"/>
    <n v="8"/>
    <n v="3.83"/>
    <n v="1"/>
  </r>
  <r>
    <s v="TCK-10196"/>
    <s v="2024-03-06 01:14:30"/>
    <s v="2024-03-07 00:00:14"/>
    <s v="P3"/>
    <x v="2"/>
    <s v="L1 Support"/>
    <s v="Priya Nair"/>
    <s v="Closed"/>
    <n v="4"/>
    <n v="24"/>
    <n v="22.76"/>
    <n v="1"/>
  </r>
  <r>
    <s v="TCK-10197"/>
    <s v="2024-11-03 17:06:28"/>
    <s v="2024-11-04 04:26:06"/>
    <s v="P4"/>
    <x v="1"/>
    <s v="Application Support"/>
    <s v="Pam Beesly"/>
    <s v="Resolved"/>
    <n v="3"/>
    <n v="48"/>
    <n v="11.33"/>
    <n v="1"/>
  </r>
  <r>
    <s v="TCK-10198"/>
    <s v="2024-11-25 22:10:16"/>
    <s v="2024-11-26 08:02:39"/>
    <s v="P3"/>
    <x v="0"/>
    <s v="L1 Support"/>
    <s v="John Doe"/>
    <s v="Resolved"/>
    <n v="4"/>
    <n v="24"/>
    <n v="9.8699999999999992"/>
    <n v="1"/>
  </r>
  <r>
    <s v="TCK-10199"/>
    <s v="2024-08-08 15:06:11"/>
    <s v="2024-08-08 17:27:15"/>
    <s v="P1"/>
    <x v="1"/>
    <s v="Application Support"/>
    <s v="Pam Beesly"/>
    <s v="Resolved"/>
    <n v="5"/>
    <n v="4"/>
    <n v="2.35"/>
    <n v="1"/>
  </r>
  <r>
    <s v="TCK-10200"/>
    <s v="2024-06-03 21:56:46"/>
    <s v="2024-06-04 01:22:39"/>
    <s v="P2"/>
    <x v="2"/>
    <s v="L1 Support"/>
    <s v="Alex Mercer"/>
    <s v="Closed"/>
    <n v="5"/>
    <n v="8"/>
    <n v="3.43"/>
    <n v="1"/>
  </r>
  <r>
    <s v="TCK-10201"/>
    <s v="2024-04-11 23:56:07"/>
    <s v="2024-04-14 00:07:24"/>
    <s v="P3"/>
    <x v="0"/>
    <s v="L2 Support"/>
    <s v="Anita Sharma"/>
    <s v="Resolved"/>
    <n v="1"/>
    <n v="24"/>
    <n v="48.19"/>
    <n v="0"/>
  </r>
  <r>
    <s v="TCK-10202"/>
    <s v="2024-11-27 12:55:01"/>
    <s v="2024-11-28 00:48:44"/>
    <s v="P1"/>
    <x v="1"/>
    <s v="Application Support"/>
    <s v="Sarah Connor"/>
    <s v="Closed"/>
    <n v="2"/>
    <n v="4"/>
    <n v="11.9"/>
    <n v="0"/>
  </r>
  <r>
    <s v="TCK-10203"/>
    <s v="2024-10-02 21:23:48"/>
    <s v="2024-10-03 06:34:14"/>
    <s v="P1"/>
    <x v="2"/>
    <s v="Infrastructure"/>
    <s v="John Doe"/>
    <s v="Closed"/>
    <n v="3"/>
    <n v="4"/>
    <n v="9.17"/>
    <n v="0"/>
  </r>
  <r>
    <s v="TCK-10204"/>
    <s v="2024-07-16 21:56:50"/>
    <s v="2024-07-17 02:30:52"/>
    <s v="P2"/>
    <x v="4"/>
    <s v="L2 Support"/>
    <s v="Emily Watson"/>
    <s v="Closed"/>
    <n v="4"/>
    <n v="8"/>
    <n v="4.57"/>
    <n v="1"/>
  </r>
  <r>
    <s v="TCK-10205"/>
    <s v="2024-11-08 10:40:12"/>
    <s v="2024-11-13 08:21:22"/>
    <s v="P4"/>
    <x v="1"/>
    <s v="L1 Support"/>
    <s v="Sarah Connor"/>
    <s v="Resolved"/>
    <n v="2"/>
    <n v="48"/>
    <n v="117.69"/>
    <n v="0"/>
  </r>
  <r>
    <s v="TCK-10206"/>
    <s v="2024-10-26 01:07:59"/>
    <s v="2024-10-26 17:24:26"/>
    <s v="P3"/>
    <x v="3"/>
    <s v="L2 Support"/>
    <s v="Pam Beesly"/>
    <s v="Closed"/>
    <n v="4"/>
    <n v="24"/>
    <n v="16.27"/>
    <n v="1"/>
  </r>
  <r>
    <s v="TCK-10207"/>
    <s v="2024-12-07 07:10:54"/>
    <s v="2024-12-08 08:29:54"/>
    <s v="P4"/>
    <x v="3"/>
    <s v="Billing Operations"/>
    <s v="John Doe"/>
    <s v="Closed"/>
    <n v="5"/>
    <n v="48"/>
    <n v="25.32"/>
    <n v="1"/>
  </r>
  <r>
    <s v="TCK-10208"/>
    <s v="2024-11-19 05:07:26"/>
    <s v="2024-11-19 08:16:36"/>
    <s v="P2"/>
    <x v="1"/>
    <s v="L2 Support"/>
    <s v="John Doe"/>
    <s v="Resolved"/>
    <n v="5"/>
    <n v="8"/>
    <n v="3.15"/>
    <n v="1"/>
  </r>
  <r>
    <s v="TCK-10209"/>
    <s v="2024-12-13 21:18:50"/>
    <m/>
    <s v="P2"/>
    <x v="1"/>
    <s v="L2 Support"/>
    <s v="Carlos Mendez"/>
    <s v="Open"/>
    <m/>
    <n v="8"/>
    <m/>
    <m/>
  </r>
  <r>
    <s v="TCK-10210"/>
    <s v="2024-04-16 22:04:08"/>
    <s v="2024-04-17 05:16:18"/>
    <s v="P2"/>
    <x v="2"/>
    <s v="Billing Operations"/>
    <s v="Sarah Connor"/>
    <s v="Resolved"/>
    <n v="4"/>
    <n v="8"/>
    <n v="7.2"/>
    <n v="1"/>
  </r>
  <r>
    <s v="TCK-10211"/>
    <s v="2024-09-13 03:50:07"/>
    <s v="2024-09-14 08:50:11"/>
    <s v="P3"/>
    <x v="4"/>
    <s v="Infrastructure"/>
    <s v="Anita Sharma"/>
    <s v="Resolved"/>
    <n v="4"/>
    <n v="24"/>
    <n v="29"/>
    <n v="0"/>
  </r>
  <r>
    <s v="TCK-10212"/>
    <s v="2024-10-26 18:26:57"/>
    <s v="2024-10-27 14:59:04"/>
    <s v="P3"/>
    <x v="3"/>
    <s v="Billing Operations"/>
    <s v="Jim Halpert"/>
    <s v="Closed"/>
    <n v="5"/>
    <n v="24"/>
    <n v="20.54"/>
    <n v="1"/>
  </r>
  <r>
    <s v="TCK-10213"/>
    <s v="2024-09-06 15:00:34"/>
    <s v="2024-09-07 02:15:32"/>
    <s v="P4"/>
    <x v="2"/>
    <s v="Application Support"/>
    <s v="Michael Scott"/>
    <s v="Resolved"/>
    <n v="4"/>
    <n v="48"/>
    <n v="11.25"/>
    <n v="1"/>
  </r>
  <r>
    <s v="TCK-10214"/>
    <s v="2024-06-29 16:54:52"/>
    <s v="2024-06-30 06:42:08"/>
    <s v="P2"/>
    <x v="3"/>
    <s v="Infrastructure"/>
    <s v="Priya Nair"/>
    <s v="Resolved"/>
    <n v="2"/>
    <n v="8"/>
    <n v="13.79"/>
    <n v="0"/>
  </r>
  <r>
    <s v="TCK-10215"/>
    <s v="2024-10-22 17:54:41"/>
    <s v="2024-10-23 01:22:08"/>
    <s v="P3"/>
    <x v="3"/>
    <s v="Infrastructure"/>
    <s v="Emily Watson"/>
    <s v="Resolved"/>
    <n v="3"/>
    <n v="24"/>
    <n v="7.46"/>
    <n v="1"/>
  </r>
  <r>
    <s v="TCK-10216"/>
    <s v="2024-04-23 00:58:18"/>
    <m/>
    <s v="P4"/>
    <x v="0"/>
    <s v="Application Support"/>
    <s v="Emily Watson"/>
    <s v="Escalated"/>
    <m/>
    <n v="48"/>
    <m/>
    <m/>
  </r>
  <r>
    <s v="TCK-10217"/>
    <s v="2024-12-16 18:08:47"/>
    <s v="2024-12-16 22:20:04"/>
    <s v="P2"/>
    <x v="2"/>
    <s v="Billing Operations"/>
    <s v="Priya Nair"/>
    <s v="Resolved"/>
    <n v="5"/>
    <n v="8"/>
    <n v="4.1900000000000004"/>
    <n v="1"/>
  </r>
  <r>
    <s v="TCK-10218"/>
    <s v="2024-07-13 00:46:38"/>
    <s v="2024-07-15 23:18:53"/>
    <s v="P4"/>
    <x v="2"/>
    <s v="L1 Support"/>
    <s v="Jim Halpert"/>
    <s v="Resolved"/>
    <n v="2"/>
    <n v="48"/>
    <n v="70.540000000000006"/>
    <n v="0"/>
  </r>
  <r>
    <s v="TCK-10219"/>
    <s v="2024-01-20 23:04:14"/>
    <s v="2024-01-21 14:11:34"/>
    <s v="P2"/>
    <x v="3"/>
    <s v="Application Support"/>
    <s v="Michael Scott"/>
    <s v="Resolved"/>
    <n v="3"/>
    <n v="8"/>
    <n v="15.12"/>
    <n v="0"/>
  </r>
  <r>
    <s v="TCK-10220"/>
    <s v="2024-10-09 20:51:59"/>
    <s v="2024-10-10 06:39:42"/>
    <s v="P3"/>
    <x v="2"/>
    <s v="L1 Support"/>
    <s v="Jim Halpert"/>
    <s v="Resolved"/>
    <n v="4"/>
    <n v="24"/>
    <n v="9.8000000000000007"/>
    <n v="1"/>
  </r>
  <r>
    <s v="TCK-10221"/>
    <s v="2024-05-30 09:01:55"/>
    <s v="2024-05-31 07:19:25"/>
    <s v="P3"/>
    <x v="0"/>
    <s v="Infrastructure"/>
    <s v="Anita Sharma"/>
    <s v="Closed"/>
    <n v="4"/>
    <n v="24"/>
    <n v="22.29"/>
    <n v="1"/>
  </r>
  <r>
    <s v="TCK-10222"/>
    <s v="2024-11-05 00:58:44"/>
    <s v="2024-11-06 02:10:55"/>
    <s v="P4"/>
    <x v="3"/>
    <s v="Infrastructure"/>
    <s v="John Doe"/>
    <s v="Resolved"/>
    <n v="3"/>
    <n v="48"/>
    <n v="25.2"/>
    <n v="1"/>
  </r>
  <r>
    <s v="TCK-10223"/>
    <s v="2024-02-23 13:16:17"/>
    <s v="2024-02-24 21:00:47"/>
    <s v="P3"/>
    <x v="0"/>
    <s v="Billing Operations"/>
    <s v="Dwight Schrute"/>
    <s v="Resolved"/>
    <n v="4"/>
    <n v="24"/>
    <n v="31.74"/>
    <n v="0"/>
  </r>
  <r>
    <s v="TCK-10224"/>
    <s v="2024-05-04 00:54:54"/>
    <m/>
    <s v="P2"/>
    <x v="4"/>
    <s v="Infrastructure"/>
    <s v="Anita Sharma"/>
    <s v="Open"/>
    <m/>
    <n v="8"/>
    <m/>
    <m/>
  </r>
  <r>
    <s v="TCK-10225"/>
    <s v="2024-04-26 18:15:02"/>
    <s v="2024-04-27 02:55:37"/>
    <s v="P3"/>
    <x v="1"/>
    <s v="Infrastructure"/>
    <s v="Carlos Mendez"/>
    <s v="Resolved"/>
    <n v="5"/>
    <n v="24"/>
    <n v="8.68"/>
    <n v="1"/>
  </r>
  <r>
    <s v="TCK-10226"/>
    <s v="2024-12-05 00:33:10"/>
    <m/>
    <s v="P3"/>
    <x v="1"/>
    <s v="Application Support"/>
    <s v="Michael Scott"/>
    <s v="Escalated"/>
    <m/>
    <n v="24"/>
    <m/>
    <m/>
  </r>
  <r>
    <s v="TCK-10227"/>
    <s v="2024-10-31 09:11:38"/>
    <s v="2024-11-01 11:22:57"/>
    <s v="P4"/>
    <x v="3"/>
    <s v="L2 Support"/>
    <s v="Priya Nair"/>
    <s v="Resolved"/>
    <n v="5"/>
    <n v="48"/>
    <n v="26.19"/>
    <n v="1"/>
  </r>
  <r>
    <s v="TCK-10228"/>
    <s v="2024-10-28 03:51:08"/>
    <s v="2024-10-28 16:26:10"/>
    <s v="P4"/>
    <x v="3"/>
    <s v="L2 Support"/>
    <s v="Alex Mercer"/>
    <s v="Closed"/>
    <n v="4"/>
    <n v="48"/>
    <n v="12.58"/>
    <n v="1"/>
  </r>
  <r>
    <s v="TCK-10229"/>
    <s v="2024-06-11 23:18:55"/>
    <s v="2024-06-12 05:18:55"/>
    <s v="P2"/>
    <x v="0"/>
    <s v="Application Support"/>
    <s v="Ravi Patel"/>
    <s v="Closed"/>
    <n v="3"/>
    <n v="8"/>
    <n v="6"/>
    <n v="1"/>
  </r>
  <r>
    <s v="TCK-10230"/>
    <s v="2024-01-25 12:30:13"/>
    <m/>
    <s v="P3"/>
    <x v="2"/>
    <s v="Billing Operations"/>
    <s v="Pam Beesly"/>
    <s v="Escalated"/>
    <m/>
    <n v="24"/>
    <m/>
    <m/>
  </r>
  <r>
    <s v="TCK-10231"/>
    <s v="2024-07-05 02:44:26"/>
    <m/>
    <s v="P3"/>
    <x v="4"/>
    <s v="L2 Support"/>
    <s v="Dwight Schrute"/>
    <s v="Open"/>
    <m/>
    <n v="24"/>
    <m/>
    <m/>
  </r>
  <r>
    <s v="TCK-10232"/>
    <s v="2024-05-13 06:43:08"/>
    <s v="2024-05-14 20:58:34"/>
    <s v="P3"/>
    <x v="3"/>
    <s v="Infrastructure"/>
    <s v="Anita Sharma"/>
    <s v="Resolved"/>
    <n v="1"/>
    <n v="24"/>
    <n v="38.26"/>
    <n v="0"/>
  </r>
  <r>
    <s v="TCK-10233"/>
    <s v="2024-04-25 21:58:07"/>
    <s v="2024-04-26 19:25:55"/>
    <s v="P3"/>
    <x v="0"/>
    <s v="Application Support"/>
    <s v="Pam Beesly"/>
    <s v="Resolved"/>
    <n v="5"/>
    <n v="24"/>
    <n v="21.46"/>
    <n v="1"/>
  </r>
  <r>
    <s v="TCK-10234"/>
    <s v="2024-04-22 02:23:29"/>
    <s v="2024-04-22 23:20:36"/>
    <s v="P2"/>
    <x v="3"/>
    <s v="Application Support"/>
    <s v="Jim Halpert"/>
    <s v="Closed"/>
    <n v="1"/>
    <n v="8"/>
    <n v="20.95"/>
    <n v="0"/>
  </r>
  <r>
    <s v="TCK-10235"/>
    <s v="2024-04-22 00:54:32"/>
    <s v="2024-04-22 13:57:11"/>
    <s v="P4"/>
    <x v="1"/>
    <s v="Application Support"/>
    <s v="Carlos Mendez"/>
    <s v="Resolved"/>
    <n v="5"/>
    <n v="48"/>
    <n v="13.04"/>
    <n v="1"/>
  </r>
  <r>
    <s v="TCK-10236"/>
    <s v="2024-12-28 16:24:48"/>
    <s v="2024-12-28 19:50:56"/>
    <s v="P3"/>
    <x v="2"/>
    <s v="L1 Support"/>
    <s v="Anita Sharma"/>
    <s v="Closed"/>
    <n v="5"/>
    <n v="24"/>
    <n v="3.44"/>
    <n v="1"/>
  </r>
  <r>
    <s v="TCK-10237"/>
    <s v="2024-03-28 23:24:43"/>
    <s v="2024-03-29 17:32:08"/>
    <s v="P3"/>
    <x v="1"/>
    <s v="Application Support"/>
    <s v="Pam Beesly"/>
    <s v="Closed"/>
    <n v="3"/>
    <n v="24"/>
    <n v="18.12"/>
    <n v="1"/>
  </r>
  <r>
    <s v="TCK-10238"/>
    <s v="2024-08-02 01:39:27"/>
    <s v="2024-08-02 18:10:37"/>
    <s v="P4"/>
    <x v="1"/>
    <s v="Application Support"/>
    <s v="Dwight Schrute"/>
    <s v="Closed"/>
    <n v="4"/>
    <n v="48"/>
    <n v="16.52"/>
    <n v="1"/>
  </r>
  <r>
    <s v="TCK-10239"/>
    <s v="2024-01-24 07:26:06"/>
    <s v="2024-01-26 02:27:03"/>
    <s v="P4"/>
    <x v="1"/>
    <s v="Billing Operations"/>
    <s v="Emily Watson"/>
    <s v="Resolved"/>
    <n v="5"/>
    <n v="48"/>
    <n v="43.02"/>
    <n v="1"/>
  </r>
  <r>
    <s v="TCK-10240"/>
    <s v="2024-03-09 07:43:19"/>
    <s v="2024-03-10 01:24:05"/>
    <s v="P3"/>
    <x v="0"/>
    <s v="L1 Support"/>
    <s v="Jim Halpert"/>
    <s v="Closed"/>
    <n v="5"/>
    <n v="24"/>
    <n v="17.68"/>
    <n v="1"/>
  </r>
  <r>
    <s v="TCK-10241"/>
    <s v="2024-04-22 18:01:39"/>
    <s v="2024-04-25 23:03:44"/>
    <s v="P4"/>
    <x v="4"/>
    <s v="Billing Operations"/>
    <s v="Anita Sharma"/>
    <s v="Resolved"/>
    <n v="4"/>
    <n v="48"/>
    <n v="77.03"/>
    <n v="0"/>
  </r>
  <r>
    <s v="TCK-10242"/>
    <s v="2024-07-30 07:55:39"/>
    <s v="2024-07-30 12:37:31"/>
    <s v="P3"/>
    <x v="0"/>
    <s v="L2 Support"/>
    <s v="Ravi Patel"/>
    <s v="Resolved"/>
    <n v="4"/>
    <n v="24"/>
    <n v="4.7"/>
    <n v="1"/>
  </r>
  <r>
    <s v="TCK-10243"/>
    <s v="2024-06-27 13:23:34"/>
    <s v="2024-06-28 05:33:02"/>
    <s v="P3"/>
    <x v="0"/>
    <s v="L1 Support"/>
    <s v="Priya Nair"/>
    <s v="Resolved"/>
    <n v="4"/>
    <n v="24"/>
    <n v="16.16"/>
    <n v="1"/>
  </r>
  <r>
    <s v="TCK-10244"/>
    <s v="2024-08-25 14:30:31"/>
    <s v="2024-08-25 23:12:01"/>
    <s v="P4"/>
    <x v="0"/>
    <s v="Application Support"/>
    <s v="Ravi Patel"/>
    <s v="Resolved"/>
    <n v="5"/>
    <n v="48"/>
    <n v="8.69"/>
    <n v="1"/>
  </r>
  <r>
    <s v="TCK-10245"/>
    <s v="2024-07-04 18:11:41"/>
    <s v="2024-07-05 01:28:55"/>
    <s v="P2"/>
    <x v="2"/>
    <s v="Infrastructure"/>
    <s v="Jim Halpert"/>
    <s v="Resolved"/>
    <n v="4"/>
    <n v="8"/>
    <n v="7.29"/>
    <n v="1"/>
  </r>
  <r>
    <s v="TCK-10246"/>
    <s v="2024-10-08 01:45:12"/>
    <s v="2024-10-08 13:38:50"/>
    <s v="P3"/>
    <x v="2"/>
    <s v="Infrastructure"/>
    <s v="Priya Nair"/>
    <s v="Resolved"/>
    <n v="4"/>
    <n v="24"/>
    <n v="11.89"/>
    <n v="1"/>
  </r>
  <r>
    <s v="TCK-10247"/>
    <s v="2024-09-23 18:40:10"/>
    <s v="2024-09-25 09:40:37"/>
    <s v="P3"/>
    <x v="0"/>
    <s v="Infrastructure"/>
    <s v="Priya Nair"/>
    <s v="Resolved"/>
    <n v="2"/>
    <n v="24"/>
    <n v="39.01"/>
    <n v="0"/>
  </r>
  <r>
    <s v="TCK-10248"/>
    <s v="2024-03-26 10:25:35"/>
    <m/>
    <s v="P4"/>
    <x v="2"/>
    <s v="Application Support"/>
    <s v="Priya Nair"/>
    <s v="Escalated"/>
    <m/>
    <n v="48"/>
    <m/>
    <m/>
  </r>
  <r>
    <s v="TCK-10249"/>
    <s v="2024-05-25 10:26:09"/>
    <s v="2024-05-27 23:17:27"/>
    <s v="P3"/>
    <x v="1"/>
    <s v="Application Support"/>
    <s v="Ravi Patel"/>
    <s v="Closed"/>
    <n v="2"/>
    <n v="24"/>
    <n v="60.86"/>
    <n v="0"/>
  </r>
  <r>
    <s v="TCK-10250"/>
    <s v="2024-08-19 17:23:35"/>
    <s v="2024-08-20 21:12:40"/>
    <s v="P4"/>
    <x v="1"/>
    <s v="Application Support"/>
    <s v="Ravi Patel"/>
    <s v="Closed"/>
    <n v="3"/>
    <n v="48"/>
    <n v="27.82"/>
    <n v="1"/>
  </r>
  <r>
    <s v="TCK-10251"/>
    <s v="2024-08-01 00:27:39"/>
    <s v="2024-08-04 20:13:01"/>
    <s v="P4"/>
    <x v="2"/>
    <s v="Billing Operations"/>
    <s v="John Doe"/>
    <s v="Resolved"/>
    <n v="2"/>
    <n v="48"/>
    <n v="91.76"/>
    <n v="0"/>
  </r>
  <r>
    <s v="TCK-10252"/>
    <s v="2024-10-05 18:09:35"/>
    <s v="2024-10-06 07:01:47"/>
    <s v="P3"/>
    <x v="1"/>
    <s v="Billing Operations"/>
    <s v="Dwight Schrute"/>
    <s v="Closed"/>
    <n v="4"/>
    <n v="24"/>
    <n v="12.87"/>
    <n v="1"/>
  </r>
  <r>
    <s v="TCK-10253"/>
    <s v="2024-01-23 18:08:44"/>
    <s v="2024-01-23 20:36:25"/>
    <s v="P3"/>
    <x v="2"/>
    <s v="Infrastructure"/>
    <s v="Priya Nair"/>
    <s v="Resolved"/>
    <n v="4"/>
    <n v="24"/>
    <n v="2.46"/>
    <n v="1"/>
  </r>
  <r>
    <s v="TCK-10254"/>
    <s v="2024-01-29 16:41:04"/>
    <m/>
    <s v="P1"/>
    <x v="2"/>
    <s v="L1 Support"/>
    <s v="Ravi Patel"/>
    <s v="Escalated"/>
    <m/>
    <n v="4"/>
    <m/>
    <m/>
  </r>
  <r>
    <s v="TCK-10255"/>
    <s v="2024-12-29 06:56:34"/>
    <s v="2024-12-29 17:16:05"/>
    <s v="P4"/>
    <x v="1"/>
    <s v="Application Support"/>
    <s v="Alex Mercer"/>
    <s v="Resolved"/>
    <n v="5"/>
    <n v="48"/>
    <n v="10.33"/>
    <n v="1"/>
  </r>
  <r>
    <s v="TCK-10256"/>
    <s v="2024-10-10 13:28:14"/>
    <s v="2024-10-12 08:15:02"/>
    <s v="P3"/>
    <x v="2"/>
    <s v="Application Support"/>
    <s v="Dwight Schrute"/>
    <s v="Closed"/>
    <n v="2"/>
    <n v="24"/>
    <n v="42.78"/>
    <n v="0"/>
  </r>
  <r>
    <s v="TCK-10257"/>
    <s v="2024-09-14 08:21:12"/>
    <s v="2024-09-15 10:43:48"/>
    <s v="P4"/>
    <x v="1"/>
    <s v="Infrastructure"/>
    <s v="Sarah Connor"/>
    <s v="Resolved"/>
    <n v="5"/>
    <n v="48"/>
    <n v="26.38"/>
    <n v="1"/>
  </r>
  <r>
    <s v="TCK-10258"/>
    <s v="2024-03-27 19:37:23"/>
    <s v="2024-03-28 22:07:33"/>
    <s v="P4"/>
    <x v="0"/>
    <s v="Infrastructure"/>
    <s v="Dwight Schrute"/>
    <s v="Closed"/>
    <n v="5"/>
    <n v="48"/>
    <n v="26.5"/>
    <n v="1"/>
  </r>
  <r>
    <s v="TCK-10259"/>
    <s v="2024-04-06 10:58:45"/>
    <s v="2024-04-07 02:50:49"/>
    <s v="P3"/>
    <x v="1"/>
    <s v="L2 Support"/>
    <s v="Priya Nair"/>
    <s v="Closed"/>
    <n v="5"/>
    <n v="24"/>
    <n v="15.87"/>
    <n v="1"/>
  </r>
  <r>
    <s v="TCK-10260"/>
    <s v="2024-12-29 22:22:11"/>
    <s v="2024-12-31 03:33:33"/>
    <s v="P4"/>
    <x v="1"/>
    <s v="L2 Support"/>
    <s v="Sarah Connor"/>
    <s v="Resolved"/>
    <n v="5"/>
    <n v="48"/>
    <n v="29.19"/>
    <n v="1"/>
  </r>
  <r>
    <s v="TCK-10261"/>
    <s v="2024-01-20 05:41:46"/>
    <s v="2024-01-20 11:46:24"/>
    <s v="P2"/>
    <x v="1"/>
    <s v="Application Support"/>
    <s v="Emily Watson"/>
    <s v="Resolved"/>
    <n v="4"/>
    <n v="8"/>
    <n v="6.08"/>
    <n v="1"/>
  </r>
  <r>
    <s v="TCK-10262"/>
    <s v="2024-04-22 16:07:50"/>
    <s v="2024-04-22 22:29:44"/>
    <s v="P2"/>
    <x v="4"/>
    <s v="Billing Operations"/>
    <s v="Pam Beesly"/>
    <s v="Closed"/>
    <n v="4"/>
    <n v="8"/>
    <n v="6.36"/>
    <n v="1"/>
  </r>
  <r>
    <s v="TCK-10263"/>
    <s v="2024-12-06 15:19:10"/>
    <s v="2024-12-06 22:34:09"/>
    <s v="P2"/>
    <x v="3"/>
    <s v="L2 Support"/>
    <s v="Jim Halpert"/>
    <s v="Resolved"/>
    <n v="5"/>
    <n v="8"/>
    <n v="7.25"/>
    <n v="1"/>
  </r>
  <r>
    <s v="TCK-10264"/>
    <s v="2024-12-20 08:31:10"/>
    <s v="2024-12-20 13:41:38"/>
    <s v="P2"/>
    <x v="3"/>
    <s v="Billing Operations"/>
    <s v="Dwight Schrute"/>
    <s v="Resolved"/>
    <n v="4"/>
    <n v="8"/>
    <n v="5.17"/>
    <n v="1"/>
  </r>
  <r>
    <s v="TCK-10265"/>
    <s v="2024-07-23 00:21:00"/>
    <s v="2024-07-23 04:22:11"/>
    <s v="P2"/>
    <x v="2"/>
    <s v="L2 Support"/>
    <s v="Michael Scott"/>
    <s v="Resolved"/>
    <n v="5"/>
    <n v="8"/>
    <n v="4.0199999999999996"/>
    <n v="1"/>
  </r>
  <r>
    <s v="TCK-10266"/>
    <s v="2024-04-27 03:03:59"/>
    <s v="2024-05-01 09:37:42"/>
    <s v="P4"/>
    <x v="1"/>
    <s v="Application Support"/>
    <s v="Alex Mercer"/>
    <s v="Closed"/>
    <n v="1"/>
    <n v="48"/>
    <n v="102.56"/>
    <n v="0"/>
  </r>
  <r>
    <s v="TCK-10267"/>
    <s v="2024-04-04 15:36:19"/>
    <s v="2024-04-04 21:19:56"/>
    <s v="P2"/>
    <x v="2"/>
    <s v="L1 Support"/>
    <s v="Dwight Schrute"/>
    <s v="Closed"/>
    <n v="4"/>
    <n v="8"/>
    <n v="5.73"/>
    <n v="1"/>
  </r>
  <r>
    <s v="TCK-10268"/>
    <s v="2024-04-14 14:14:36"/>
    <s v="2024-04-15 07:25:08"/>
    <s v="P3"/>
    <x v="3"/>
    <s v="L1 Support"/>
    <s v="Sarah Connor"/>
    <s v="Resolved"/>
    <n v="5"/>
    <n v="24"/>
    <n v="17.18"/>
    <n v="1"/>
  </r>
  <r>
    <s v="TCK-10269"/>
    <s v="2024-07-05 12:16:40"/>
    <s v="2024-07-05 18:07:11"/>
    <s v="P2"/>
    <x v="4"/>
    <s v="Infrastructure"/>
    <s v="Alex Mercer"/>
    <s v="Resolved"/>
    <n v="5"/>
    <n v="8"/>
    <n v="5.84"/>
    <n v="1"/>
  </r>
  <r>
    <s v="TCK-10270"/>
    <s v="2024-10-20 06:52:19"/>
    <s v="2024-10-22 09:54:33"/>
    <s v="P3"/>
    <x v="2"/>
    <s v="Billing Operations"/>
    <s v="Priya Nair"/>
    <s v="Resolved"/>
    <n v="3"/>
    <n v="24"/>
    <n v="51.04"/>
    <n v="0"/>
  </r>
  <r>
    <s v="TCK-10271"/>
    <s v="2024-05-28 04:01:28"/>
    <s v="2024-05-30 03:02:00"/>
    <s v="P3"/>
    <x v="3"/>
    <s v="Infrastructure"/>
    <s v="Michael Scott"/>
    <s v="Resolved"/>
    <n v="3"/>
    <n v="24"/>
    <n v="47.01"/>
    <n v="0"/>
  </r>
  <r>
    <s v="TCK-10272"/>
    <s v="2024-10-07 21:22:57"/>
    <s v="2024-10-08 17:24:35"/>
    <s v="P3"/>
    <x v="0"/>
    <s v="L2 Support"/>
    <s v="Pam Beesly"/>
    <s v="Resolved"/>
    <n v="5"/>
    <n v="24"/>
    <n v="20.03"/>
    <n v="1"/>
  </r>
  <r>
    <s v="TCK-10273"/>
    <s v="2024-01-07 15:10:49"/>
    <s v="2024-01-07 18:13:24"/>
    <s v="P2"/>
    <x v="4"/>
    <s v="Billing Operations"/>
    <s v="Priya Nair"/>
    <s v="Resolved"/>
    <n v="4"/>
    <n v="8"/>
    <n v="3.04"/>
    <n v="1"/>
  </r>
  <r>
    <s v="TCK-10274"/>
    <s v="2024-11-19 23:30:12"/>
    <s v="2024-11-20 05:13:24"/>
    <s v="P2"/>
    <x v="3"/>
    <s v="Infrastructure"/>
    <s v="Michael Scott"/>
    <s v="Closed"/>
    <n v="5"/>
    <n v="8"/>
    <n v="5.72"/>
    <n v="1"/>
  </r>
  <r>
    <s v="TCK-10275"/>
    <s v="2024-06-28 07:14:15"/>
    <s v="2024-06-28 14:16:20"/>
    <s v="P2"/>
    <x v="0"/>
    <s v="L2 Support"/>
    <s v="John Doe"/>
    <s v="Closed"/>
    <n v="5"/>
    <n v="8"/>
    <n v="7.03"/>
    <n v="1"/>
  </r>
  <r>
    <s v="TCK-10276"/>
    <s v="2024-09-06 14:05:51"/>
    <s v="2024-09-07 00:30:25"/>
    <s v="P4"/>
    <x v="2"/>
    <s v="L1 Support"/>
    <s v="Carlos Mendez"/>
    <s v="Resolved"/>
    <n v="5"/>
    <n v="48"/>
    <n v="10.41"/>
    <n v="1"/>
  </r>
  <r>
    <s v="TCK-10277"/>
    <s v="2024-01-27 17:30:25"/>
    <s v="2024-01-28 09:30:31"/>
    <s v="P3"/>
    <x v="1"/>
    <s v="Billing Operations"/>
    <s v="Dwight Schrute"/>
    <s v="Resolved"/>
    <n v="5"/>
    <n v="24"/>
    <n v="16"/>
    <n v="1"/>
  </r>
  <r>
    <s v="TCK-10278"/>
    <s v="2024-07-06 23:47:20"/>
    <s v="2024-07-07 16:55:17"/>
    <s v="P3"/>
    <x v="1"/>
    <s v="Billing Operations"/>
    <s v="Ravi Patel"/>
    <s v="Resolved"/>
    <n v="5"/>
    <n v="24"/>
    <n v="17.13"/>
    <n v="1"/>
  </r>
  <r>
    <s v="TCK-10279"/>
    <s v="2024-04-21 16:07:51"/>
    <s v="2024-04-21 17:02:13"/>
    <s v="P1"/>
    <x v="0"/>
    <s v="Application Support"/>
    <s v="John Doe"/>
    <s v="Resolved"/>
    <n v="4"/>
    <n v="4"/>
    <n v="0.91"/>
    <n v="1"/>
  </r>
  <r>
    <s v="TCK-10280"/>
    <s v="2024-07-23 18:55:31"/>
    <s v="2024-07-23 23:34:02"/>
    <s v="P2"/>
    <x v="0"/>
    <s v="Application Support"/>
    <s v="Sarah Connor"/>
    <s v="Resolved"/>
    <n v="5"/>
    <n v="8"/>
    <n v="4.6399999999999997"/>
    <n v="1"/>
  </r>
  <r>
    <s v="TCK-10281"/>
    <s v="2024-03-29 01:08:31"/>
    <m/>
    <s v="P2"/>
    <x v="0"/>
    <s v="L1 Support"/>
    <s v="Carlos Mendez"/>
    <s v="Escalated"/>
    <m/>
    <n v="8"/>
    <m/>
    <m/>
  </r>
  <r>
    <s v="TCK-10282"/>
    <s v="2024-09-09 17:27:19"/>
    <s v="2024-09-09 20:02:53"/>
    <s v="P3"/>
    <x v="1"/>
    <s v="Application Support"/>
    <s v="Jim Halpert"/>
    <s v="Closed"/>
    <n v="4"/>
    <n v="24"/>
    <n v="2.59"/>
    <n v="1"/>
  </r>
  <r>
    <s v="TCK-10283"/>
    <s v="2024-07-13 11:01:04"/>
    <m/>
    <s v="P4"/>
    <x v="3"/>
    <s v="Infrastructure"/>
    <s v="Anita Sharma"/>
    <s v="Escalated"/>
    <m/>
    <n v="48"/>
    <m/>
    <m/>
  </r>
  <r>
    <s v="TCK-10284"/>
    <s v="2024-02-07 08:50:12"/>
    <m/>
    <s v="P4"/>
    <x v="4"/>
    <s v="L2 Support"/>
    <s v="Emily Watson"/>
    <s v="Open"/>
    <m/>
    <n v="48"/>
    <m/>
    <m/>
  </r>
  <r>
    <s v="TCK-10285"/>
    <s v="2024-09-26 04:35:20"/>
    <s v="2024-09-27 07:32:40"/>
    <s v="P4"/>
    <x v="2"/>
    <s v="L1 Support"/>
    <s v="Sarah Connor"/>
    <s v="Closed"/>
    <n v="5"/>
    <n v="48"/>
    <n v="26.96"/>
    <n v="1"/>
  </r>
  <r>
    <s v="TCK-10286"/>
    <s v="2024-03-10 23:42:18"/>
    <s v="2024-03-16 06:56:29"/>
    <s v="P4"/>
    <x v="2"/>
    <s v="L2 Support"/>
    <s v="Anita Sharma"/>
    <s v="Resolved"/>
    <n v="4"/>
    <n v="48"/>
    <n v="127.24"/>
    <n v="0"/>
  </r>
  <r>
    <s v="TCK-10287"/>
    <s v="2024-04-26 13:27:46"/>
    <s v="2024-04-26 19:24:03"/>
    <s v="P2"/>
    <x v="2"/>
    <s v="Application Support"/>
    <s v="Carlos Mendez"/>
    <s v="Closed"/>
    <n v="4"/>
    <n v="8"/>
    <n v="5.94"/>
    <n v="1"/>
  </r>
  <r>
    <s v="TCK-10288"/>
    <s v="2024-09-25 00:50:23"/>
    <s v="2024-09-25 04:47:25"/>
    <s v="P3"/>
    <x v="2"/>
    <s v="Infrastructure"/>
    <s v="Alex Mercer"/>
    <s v="Resolved"/>
    <n v="5"/>
    <n v="24"/>
    <n v="3.95"/>
    <n v="1"/>
  </r>
  <r>
    <s v="TCK-10289"/>
    <s v="2024-08-26 17:38:19"/>
    <s v="2024-08-27 16:49:15"/>
    <s v="P4"/>
    <x v="2"/>
    <s v="Infrastructure"/>
    <s v="Alex Mercer"/>
    <s v="Closed"/>
    <n v="4"/>
    <n v="48"/>
    <n v="23.18"/>
    <n v="1"/>
  </r>
  <r>
    <s v="TCK-10290"/>
    <s v="2024-08-03 02:41:06"/>
    <s v="2024-08-03 19:32:11"/>
    <s v="P4"/>
    <x v="2"/>
    <s v="Billing Operations"/>
    <s v="Carlos Mendez"/>
    <s v="Resolved"/>
    <n v="4"/>
    <n v="48"/>
    <n v="16.850000000000001"/>
    <n v="1"/>
  </r>
  <r>
    <s v="TCK-10291"/>
    <s v="2024-01-29 21:07:55"/>
    <s v="2024-01-29 21:50:35"/>
    <s v="P1"/>
    <x v="4"/>
    <s v="L2 Support"/>
    <s v="Priya Nair"/>
    <s v="Resolved"/>
    <n v="5"/>
    <n v="4"/>
    <n v="0.71"/>
    <n v="1"/>
  </r>
  <r>
    <s v="TCK-10292"/>
    <s v="2024-06-22 01:14:19"/>
    <s v="2024-06-22 14:57:19"/>
    <s v="P3"/>
    <x v="2"/>
    <s v="L2 Support"/>
    <s v="Sarah Connor"/>
    <s v="Resolved"/>
    <n v="4"/>
    <n v="24"/>
    <n v="13.72"/>
    <n v="1"/>
  </r>
  <r>
    <s v="TCK-10293"/>
    <s v="2024-01-11 12:46:43"/>
    <s v="2024-01-11 17:04:29"/>
    <s v="P1"/>
    <x v="3"/>
    <s v="Billing Operations"/>
    <s v="Anita Sharma"/>
    <s v="Closed"/>
    <n v="2"/>
    <n v="4"/>
    <n v="4.3"/>
    <n v="0"/>
  </r>
  <r>
    <s v="TCK-10294"/>
    <s v="2024-10-29 22:22:56"/>
    <s v="2024-10-29 23:21:30"/>
    <s v="P1"/>
    <x v="4"/>
    <s v="L2 Support"/>
    <s v="Anita Sharma"/>
    <s v="Resolved"/>
    <n v="4"/>
    <n v="4"/>
    <n v="0.98"/>
    <n v="1"/>
  </r>
  <r>
    <s v="TCK-10295"/>
    <s v="2024-04-14 13:43:57"/>
    <s v="2024-04-14 17:42:06"/>
    <s v="P3"/>
    <x v="1"/>
    <s v="Application Support"/>
    <s v="Michael Scott"/>
    <s v="Resolved"/>
    <n v="4"/>
    <n v="24"/>
    <n v="3.97"/>
    <n v="1"/>
  </r>
  <r>
    <s v="TCK-10296"/>
    <s v="2024-04-06 02:23:09"/>
    <s v="2024-04-06 04:55:25"/>
    <s v="P3"/>
    <x v="2"/>
    <s v="Billing Operations"/>
    <s v="Emily Watson"/>
    <s v="Resolved"/>
    <n v="4"/>
    <n v="24"/>
    <n v="2.54"/>
    <n v="1"/>
  </r>
  <r>
    <s v="TCK-10297"/>
    <s v="2024-11-23 04:24:19"/>
    <s v="2024-11-24 00:20:21"/>
    <s v="P3"/>
    <x v="4"/>
    <s v="Infrastructure"/>
    <s v="Dwight Schrute"/>
    <s v="Resolved"/>
    <n v="5"/>
    <n v="24"/>
    <n v="19.93"/>
    <n v="1"/>
  </r>
  <r>
    <s v="TCK-10298"/>
    <s v="2024-02-23 04:46:19"/>
    <s v="2024-02-24 04:17:02"/>
    <s v="P2"/>
    <x v="0"/>
    <s v="L2 Support"/>
    <s v="Dwight Schrute"/>
    <s v="Resolved"/>
    <n v="1"/>
    <n v="8"/>
    <n v="23.51"/>
    <n v="0"/>
  </r>
  <r>
    <s v="TCK-10299"/>
    <s v="2024-09-27 05:28:33"/>
    <s v="2024-09-27 15:53:30"/>
    <s v="P3"/>
    <x v="4"/>
    <s v="L2 Support"/>
    <s v="Pam Beesly"/>
    <s v="Resolved"/>
    <n v="4"/>
    <n v="24"/>
    <n v="10.42"/>
    <n v="1"/>
  </r>
  <r>
    <s v="TCK-10300"/>
    <s v="2024-08-07 07:28:03"/>
    <s v="2024-08-07 13:12:45"/>
    <s v="P2"/>
    <x v="4"/>
    <s v="L2 Support"/>
    <s v="Carlos Mendez"/>
    <s v="Closed"/>
    <n v="5"/>
    <n v="8"/>
    <n v="5.74"/>
    <n v="1"/>
  </r>
  <r>
    <s v="TCK-10301"/>
    <s v="2024-03-22 18:03:52"/>
    <s v="2024-03-23 02:38:32"/>
    <s v="P3"/>
    <x v="2"/>
    <s v="L1 Support"/>
    <s v="Jim Halpert"/>
    <s v="Closed"/>
    <n v="4"/>
    <n v="24"/>
    <n v="8.58"/>
    <n v="1"/>
  </r>
  <r>
    <s v="TCK-10302"/>
    <s v="2024-03-01 04:43:08"/>
    <m/>
    <s v="P3"/>
    <x v="0"/>
    <s v="L1 Support"/>
    <s v="Dwight Schrute"/>
    <s v="Escalated"/>
    <m/>
    <n v="24"/>
    <m/>
    <m/>
  </r>
  <r>
    <s v="TCK-10303"/>
    <s v="2024-07-05 10:47:28"/>
    <s v="2024-07-07 20:49:39"/>
    <s v="P3"/>
    <x v="2"/>
    <s v="Application Support"/>
    <s v="Ravi Patel"/>
    <s v="Resolved"/>
    <n v="3"/>
    <n v="24"/>
    <n v="58.04"/>
    <n v="0"/>
  </r>
  <r>
    <s v="TCK-10304"/>
    <s v="2024-08-18 22:48:10"/>
    <s v="2024-08-19 13:42:05"/>
    <s v="P3"/>
    <x v="1"/>
    <s v="L2 Support"/>
    <s v="Carlos Mendez"/>
    <s v="Closed"/>
    <n v="5"/>
    <n v="24"/>
    <n v="14.9"/>
    <n v="1"/>
  </r>
  <r>
    <s v="TCK-10305"/>
    <s v="2024-09-07 20:07:35"/>
    <s v="2024-09-08 03:03:18"/>
    <s v="P3"/>
    <x v="2"/>
    <s v="Infrastructure"/>
    <s v="Jim Halpert"/>
    <s v="Resolved"/>
    <n v="5"/>
    <n v="24"/>
    <n v="6.93"/>
    <n v="1"/>
  </r>
  <r>
    <s v="TCK-10306"/>
    <s v="2024-08-05 00:52:32"/>
    <s v="2024-08-05 15:16:58"/>
    <s v="P3"/>
    <x v="3"/>
    <s v="Application Support"/>
    <s v="Pam Beesly"/>
    <s v="Resolved"/>
    <n v="5"/>
    <n v="24"/>
    <n v="14.41"/>
    <n v="1"/>
  </r>
  <r>
    <s v="TCK-10307"/>
    <s v="2024-05-14 07:19:44"/>
    <m/>
    <s v="P4"/>
    <x v="2"/>
    <s v="Infrastructure"/>
    <s v="Jim Halpert"/>
    <s v="Open"/>
    <m/>
    <n v="48"/>
    <m/>
    <m/>
  </r>
  <r>
    <s v="TCK-10308"/>
    <s v="2024-02-03 16:13:29"/>
    <s v="2024-02-03 18:25:53"/>
    <s v="P2"/>
    <x v="4"/>
    <s v="L2 Support"/>
    <s v="Pam Beesly"/>
    <s v="Resolved"/>
    <n v="4"/>
    <n v="8"/>
    <n v="2.21"/>
    <n v="1"/>
  </r>
  <r>
    <s v="TCK-10309"/>
    <s v="2024-07-04 06:09:23"/>
    <s v="2024-07-04 08:58:22"/>
    <s v="P1"/>
    <x v="0"/>
    <s v="Application Support"/>
    <s v="Pam Beesly"/>
    <s v="Resolved"/>
    <n v="3"/>
    <n v="4"/>
    <n v="2.82"/>
    <n v="1"/>
  </r>
  <r>
    <s v="TCK-10310"/>
    <s v="2024-05-13 13:43:05"/>
    <s v="2024-05-13 19:23:05"/>
    <s v="P3"/>
    <x v="3"/>
    <s v="L2 Support"/>
    <s v="Priya Nair"/>
    <s v="Resolved"/>
    <n v="5"/>
    <n v="24"/>
    <n v="5.67"/>
    <n v="1"/>
  </r>
  <r>
    <s v="TCK-10311"/>
    <s v="2024-06-28 18:39:24"/>
    <s v="2024-06-28 19:39:18"/>
    <s v="P2"/>
    <x v="2"/>
    <s v="L2 Support"/>
    <s v="John Doe"/>
    <s v="Closed"/>
    <n v="5"/>
    <n v="8"/>
    <n v="1"/>
    <n v="1"/>
  </r>
  <r>
    <s v="TCK-10312"/>
    <s v="2024-03-17 23:11:49"/>
    <s v="2024-03-18 15:57:13"/>
    <s v="P3"/>
    <x v="2"/>
    <s v="L1 Support"/>
    <s v="Priya Nair"/>
    <s v="Resolved"/>
    <n v="5"/>
    <n v="24"/>
    <n v="16.760000000000002"/>
    <n v="1"/>
  </r>
  <r>
    <s v="TCK-10313"/>
    <s v="2024-08-12 13:16:21"/>
    <s v="2024-08-12 15:51:23"/>
    <s v="P2"/>
    <x v="0"/>
    <s v="L2 Support"/>
    <s v="Pam Beesly"/>
    <s v="Resolved"/>
    <n v="5"/>
    <n v="8"/>
    <n v="2.58"/>
    <n v="1"/>
  </r>
  <r>
    <s v="TCK-10314"/>
    <s v="2024-07-24 06:39:37"/>
    <s v="2024-07-25 01:49:16"/>
    <s v="P4"/>
    <x v="2"/>
    <s v="Application Support"/>
    <s v="Anita Sharma"/>
    <s v="Resolved"/>
    <n v="4"/>
    <n v="48"/>
    <n v="19.16"/>
    <n v="1"/>
  </r>
  <r>
    <s v="TCK-10315"/>
    <s v="2024-03-08 08:04:22"/>
    <s v="2024-03-09 01:39:02"/>
    <s v="P4"/>
    <x v="0"/>
    <s v="Infrastructure"/>
    <s v="Anita Sharma"/>
    <s v="Closed"/>
    <n v="4"/>
    <n v="48"/>
    <n v="17.579999999999998"/>
    <n v="1"/>
  </r>
  <r>
    <s v="TCK-10316"/>
    <s v="2024-02-15 18:02:34"/>
    <s v="2024-02-15 21:27:07"/>
    <s v="P2"/>
    <x v="1"/>
    <s v="Billing Operations"/>
    <s v="Jim Halpert"/>
    <s v="Resolved"/>
    <n v="4"/>
    <n v="8"/>
    <n v="3.41"/>
    <n v="1"/>
  </r>
  <r>
    <s v="TCK-10317"/>
    <s v="2024-09-04 03:18:16"/>
    <s v="2024-09-04 09:31:16"/>
    <s v="P3"/>
    <x v="4"/>
    <s v="L2 Support"/>
    <s v="Ravi Patel"/>
    <s v="Resolved"/>
    <n v="5"/>
    <n v="24"/>
    <n v="6.22"/>
    <n v="1"/>
  </r>
  <r>
    <s v="TCK-10318"/>
    <s v="2024-08-28 21:19:10"/>
    <s v="2024-08-29 00:59:47"/>
    <s v="P1"/>
    <x v="2"/>
    <s v="L1 Support"/>
    <s v="Dwight Schrute"/>
    <s v="Resolved"/>
    <n v="5"/>
    <n v="4"/>
    <n v="3.68"/>
    <n v="1"/>
  </r>
  <r>
    <s v="TCK-10319"/>
    <s v="2024-07-11 13:27:12"/>
    <s v="2024-07-12 08:05:21"/>
    <s v="P3"/>
    <x v="2"/>
    <s v="Application Support"/>
    <s v="Dwight Schrute"/>
    <s v="Resolved"/>
    <n v="4"/>
    <n v="24"/>
    <n v="18.64"/>
    <n v="1"/>
  </r>
  <r>
    <s v="TCK-10320"/>
    <s v="2024-01-14 00:44:25"/>
    <s v="2024-01-14 04:54:30"/>
    <s v="P2"/>
    <x v="2"/>
    <s v="L2 Support"/>
    <s v="Dwight Schrute"/>
    <s v="Closed"/>
    <n v="5"/>
    <n v="8"/>
    <n v="4.17"/>
    <n v="1"/>
  </r>
  <r>
    <s v="TCK-10321"/>
    <s v="2024-08-10 18:04:54"/>
    <s v="2024-08-10 23:46:14"/>
    <s v="P2"/>
    <x v="0"/>
    <s v="Infrastructure"/>
    <s v="Ravi Patel"/>
    <s v="Closed"/>
    <n v="5"/>
    <n v="8"/>
    <n v="5.69"/>
    <n v="1"/>
  </r>
  <r>
    <s v="TCK-10322"/>
    <s v="2024-06-14 10:43:44"/>
    <m/>
    <s v="P2"/>
    <x v="0"/>
    <s v="L2 Support"/>
    <s v="Michael Scott"/>
    <s v="Open"/>
    <m/>
    <n v="8"/>
    <m/>
    <m/>
  </r>
  <r>
    <s v="TCK-10323"/>
    <s v="2024-02-04 02:44:25"/>
    <s v="2024-02-04 12:17:35"/>
    <s v="P3"/>
    <x v="4"/>
    <s v="L2 Support"/>
    <s v="Emily Watson"/>
    <s v="Closed"/>
    <n v="5"/>
    <n v="24"/>
    <n v="9.5500000000000007"/>
    <n v="1"/>
  </r>
  <r>
    <s v="TCK-10324"/>
    <s v="2024-09-03 01:50:59"/>
    <s v="2024-09-03 15:06:29"/>
    <s v="P3"/>
    <x v="3"/>
    <s v="L2 Support"/>
    <s v="Emily Watson"/>
    <s v="Closed"/>
    <n v="5"/>
    <n v="24"/>
    <n v="13.26"/>
    <n v="1"/>
  </r>
  <r>
    <s v="TCK-10325"/>
    <s v="2024-03-06 17:23:26"/>
    <s v="2024-03-07 17:09:51"/>
    <s v="P2"/>
    <x v="0"/>
    <s v="Infrastructure"/>
    <s v="Anita Sharma"/>
    <s v="Resolved"/>
    <n v="2"/>
    <n v="8"/>
    <n v="23.77"/>
    <n v="0"/>
  </r>
  <r>
    <s v="TCK-10326"/>
    <s v="2024-02-07 07:33:46"/>
    <m/>
    <s v="P2"/>
    <x v="0"/>
    <s v="Application Support"/>
    <s v="Alex Mercer"/>
    <s v="Escalated"/>
    <m/>
    <n v="8"/>
    <m/>
    <m/>
  </r>
  <r>
    <s v="TCK-10327"/>
    <s v="2024-12-03 01:28:09"/>
    <s v="2024-12-03 08:55:09"/>
    <s v="P3"/>
    <x v="0"/>
    <s v="L2 Support"/>
    <s v="Emily Watson"/>
    <s v="Resolved"/>
    <n v="5"/>
    <n v="24"/>
    <n v="7.45"/>
    <n v="1"/>
  </r>
  <r>
    <s v="TCK-10328"/>
    <s v="2024-06-01 20:14:10"/>
    <s v="2024-06-02 11:33:43"/>
    <s v="P3"/>
    <x v="3"/>
    <s v="Infrastructure"/>
    <s v="Carlos Mendez"/>
    <s v="Resolved"/>
    <n v="5"/>
    <n v="24"/>
    <n v="15.33"/>
    <n v="1"/>
  </r>
  <r>
    <s v="TCK-10329"/>
    <s v="2024-02-06 11:42:22"/>
    <m/>
    <s v="P3"/>
    <x v="0"/>
    <s v="Infrastructure"/>
    <s v="Dwight Schrute"/>
    <s v="Open"/>
    <m/>
    <n v="24"/>
    <m/>
    <m/>
  </r>
  <r>
    <s v="TCK-10330"/>
    <s v="2024-05-07 10:33:25"/>
    <m/>
    <s v="P3"/>
    <x v="0"/>
    <s v="L1 Support"/>
    <s v="Priya Nair"/>
    <s v="Escalated"/>
    <m/>
    <n v="24"/>
    <m/>
    <m/>
  </r>
  <r>
    <s v="TCK-10331"/>
    <s v="2024-09-03 21:08:33"/>
    <s v="2024-09-06 12:56:43"/>
    <s v="P3"/>
    <x v="2"/>
    <s v="L1 Support"/>
    <s v="Ravi Patel"/>
    <s v="Resolved"/>
    <n v="2"/>
    <n v="24"/>
    <n v="63.8"/>
    <n v="0"/>
  </r>
  <r>
    <s v="TCK-10332"/>
    <s v="2024-05-05 17:19:16"/>
    <s v="2024-05-06 12:08:44"/>
    <s v="P4"/>
    <x v="2"/>
    <s v="Billing Operations"/>
    <s v="John Doe"/>
    <s v="Closed"/>
    <n v="5"/>
    <n v="48"/>
    <n v="18.82"/>
    <n v="1"/>
  </r>
  <r>
    <s v="TCK-10333"/>
    <s v="2024-01-20 03:12:25"/>
    <s v="2024-01-20 10:50:56"/>
    <s v="P1"/>
    <x v="3"/>
    <s v="Application Support"/>
    <s v="Alex Mercer"/>
    <s v="Resolved"/>
    <n v="1"/>
    <n v="4"/>
    <n v="7.64"/>
    <n v="0"/>
  </r>
  <r>
    <s v="TCK-10334"/>
    <s v="2024-06-15 11:22:42"/>
    <s v="2024-06-16 09:27:11"/>
    <s v="P2"/>
    <x v="4"/>
    <s v="L2 Support"/>
    <s v="Carlos Mendez"/>
    <s v="Resolved"/>
    <n v="1"/>
    <n v="8"/>
    <n v="22.07"/>
    <n v="0"/>
  </r>
  <r>
    <s v="TCK-10335"/>
    <s v="2024-05-20 07:30:04"/>
    <m/>
    <s v="P2"/>
    <x v="2"/>
    <s v="L2 Support"/>
    <s v="Alex Mercer"/>
    <s v="Open"/>
    <m/>
    <n v="8"/>
    <m/>
    <m/>
  </r>
  <r>
    <s v="TCK-10336"/>
    <s v="2024-09-11 21:33:54"/>
    <s v="2024-09-11 23:43:51"/>
    <s v="P1"/>
    <x v="1"/>
    <s v="L2 Support"/>
    <s v="Dwight Schrute"/>
    <s v="Resolved"/>
    <n v="4"/>
    <n v="4"/>
    <n v="2.17"/>
    <n v="1"/>
  </r>
  <r>
    <s v="TCK-10337"/>
    <s v="2024-01-04 11:08:54"/>
    <s v="2024-01-04 21:21:46"/>
    <s v="P3"/>
    <x v="0"/>
    <s v="Application Support"/>
    <s v="Priya Nair"/>
    <s v="Resolved"/>
    <n v="5"/>
    <n v="24"/>
    <n v="10.210000000000001"/>
    <n v="1"/>
  </r>
  <r>
    <s v="TCK-10338"/>
    <s v="2024-02-10 02:41:25"/>
    <s v="2024-02-10 09:26:12"/>
    <s v="P2"/>
    <x v="2"/>
    <s v="Infrastructure"/>
    <s v="John Doe"/>
    <s v="Resolved"/>
    <n v="5"/>
    <n v="8"/>
    <n v="6.75"/>
    <n v="1"/>
  </r>
  <r>
    <s v="TCK-10339"/>
    <s v="2024-09-20 07:22:30"/>
    <s v="2024-09-20 13:05:15"/>
    <s v="P2"/>
    <x v="2"/>
    <s v="L1 Support"/>
    <s v="Anita Sharma"/>
    <s v="Closed"/>
    <n v="5"/>
    <n v="8"/>
    <n v="5.71"/>
    <n v="1"/>
  </r>
  <r>
    <s v="TCK-10340"/>
    <s v="2024-02-29 02:54:32"/>
    <s v="2024-03-01 14:24:31"/>
    <s v="P4"/>
    <x v="3"/>
    <s v="Application Support"/>
    <s v="Emily Watson"/>
    <s v="Resolved"/>
    <n v="5"/>
    <n v="48"/>
    <n v="35.5"/>
    <n v="1"/>
  </r>
  <r>
    <s v="TCK-10341"/>
    <s v="2024-05-29 11:26:12"/>
    <s v="2024-05-30 01:07:33"/>
    <s v="P3"/>
    <x v="2"/>
    <s v="L2 Support"/>
    <s v="Emily Watson"/>
    <s v="Resolved"/>
    <n v="5"/>
    <n v="24"/>
    <n v="13.69"/>
    <n v="1"/>
  </r>
  <r>
    <s v="TCK-10342"/>
    <s v="2024-08-24 07:10:41"/>
    <s v="2024-08-24 12:06:18"/>
    <s v="P2"/>
    <x v="4"/>
    <s v="L1 Support"/>
    <s v="Carlos Mendez"/>
    <s v="Closed"/>
    <n v="4"/>
    <n v="8"/>
    <n v="4.93"/>
    <n v="1"/>
  </r>
  <r>
    <s v="TCK-10343"/>
    <s v="2024-06-01 11:23:02"/>
    <s v="2024-06-01 16:31:22"/>
    <s v="P2"/>
    <x v="1"/>
    <s v="L2 Support"/>
    <s v="Dwight Schrute"/>
    <s v="Resolved"/>
    <n v="3"/>
    <n v="8"/>
    <n v="5.14"/>
    <n v="1"/>
  </r>
  <r>
    <s v="TCK-10344"/>
    <s v="2024-12-11 11:30:46"/>
    <s v="2024-12-15 05:18:20"/>
    <s v="P4"/>
    <x v="4"/>
    <s v="Infrastructure"/>
    <s v="John Doe"/>
    <s v="Resolved"/>
    <n v="2"/>
    <n v="48"/>
    <n v="89.79"/>
    <n v="0"/>
  </r>
  <r>
    <s v="TCK-10345"/>
    <s v="2024-03-08 10:20:09"/>
    <s v="2024-03-08 17:08:13"/>
    <s v="P3"/>
    <x v="4"/>
    <s v="L1 Support"/>
    <s v="Alex Mercer"/>
    <s v="Closed"/>
    <n v="5"/>
    <n v="24"/>
    <n v="6.8"/>
    <n v="1"/>
  </r>
  <r>
    <s v="TCK-10346"/>
    <s v="2024-11-02 20:42:57"/>
    <s v="2024-11-03 12:10:58"/>
    <s v="P3"/>
    <x v="2"/>
    <s v="Billing Operations"/>
    <s v="Jim Halpert"/>
    <s v="Resolved"/>
    <n v="5"/>
    <n v="24"/>
    <n v="15.47"/>
    <n v="1"/>
  </r>
  <r>
    <s v="TCK-10347"/>
    <s v="2024-02-29 15:05:05"/>
    <m/>
    <s v="P2"/>
    <x v="2"/>
    <s v="Billing Operations"/>
    <s v="Emily Watson"/>
    <s v="Escalated"/>
    <m/>
    <n v="8"/>
    <m/>
    <m/>
  </r>
  <r>
    <s v="TCK-10348"/>
    <s v="2024-03-01 16:13:11"/>
    <s v="2024-03-02 11:53:15"/>
    <s v="P3"/>
    <x v="2"/>
    <s v="L1 Support"/>
    <s v="Michael Scott"/>
    <s v="Closed"/>
    <n v="3"/>
    <n v="24"/>
    <n v="19.670000000000002"/>
    <n v="1"/>
  </r>
  <r>
    <s v="TCK-10349"/>
    <s v="2024-02-03 19:33:41"/>
    <s v="2024-02-05 03:12:35"/>
    <s v="P4"/>
    <x v="1"/>
    <s v="Billing Operations"/>
    <s v="Anita Sharma"/>
    <s v="Resolved"/>
    <n v="4"/>
    <n v="48"/>
    <n v="31.65"/>
    <n v="1"/>
  </r>
  <r>
    <s v="TCK-10350"/>
    <s v="2024-01-06 06:02:45"/>
    <m/>
    <s v="P3"/>
    <x v="0"/>
    <s v="L2 Support"/>
    <s v="Dwight Schrute"/>
    <s v="Open"/>
    <m/>
    <n v="24"/>
    <m/>
    <m/>
  </r>
  <r>
    <s v="TCK-10351"/>
    <s v="2024-07-22 10:45:47"/>
    <s v="2024-07-23 06:58:53"/>
    <s v="P3"/>
    <x v="0"/>
    <s v="Infrastructure"/>
    <s v="John Doe"/>
    <s v="Resolved"/>
    <n v="5"/>
    <n v="24"/>
    <n v="20.22"/>
    <n v="1"/>
  </r>
  <r>
    <s v="TCK-10352"/>
    <s v="2024-02-16 04:22:06"/>
    <s v="2024-02-17 02:39:33"/>
    <s v="P3"/>
    <x v="1"/>
    <s v="Application Support"/>
    <s v="Michael Scott"/>
    <s v="Resolved"/>
    <n v="5"/>
    <n v="24"/>
    <n v="22.29"/>
    <n v="1"/>
  </r>
  <r>
    <s v="TCK-10353"/>
    <s v="2024-07-12 00:25:49"/>
    <s v="2024-07-12 18:36:22"/>
    <s v="P3"/>
    <x v="2"/>
    <s v="Application Support"/>
    <s v="Anita Sharma"/>
    <s v="Resolved"/>
    <n v="5"/>
    <n v="24"/>
    <n v="18.18"/>
    <n v="1"/>
  </r>
  <r>
    <s v="TCK-10354"/>
    <s v="2024-09-19 03:15:28"/>
    <s v="2024-09-20 15:54:10"/>
    <s v="P3"/>
    <x v="2"/>
    <s v="Billing Operations"/>
    <s v="Alex Mercer"/>
    <s v="Resolved"/>
    <n v="2"/>
    <n v="24"/>
    <n v="36.65"/>
    <n v="0"/>
  </r>
  <r>
    <s v="TCK-10355"/>
    <s v="2024-05-29 01:37:38"/>
    <s v="2024-05-30 09:10:47"/>
    <s v="P4"/>
    <x v="1"/>
    <s v="L1 Support"/>
    <s v="Ravi Patel"/>
    <s v="Closed"/>
    <n v="4"/>
    <n v="48"/>
    <n v="31.55"/>
    <n v="1"/>
  </r>
  <r>
    <s v="TCK-10356"/>
    <s v="2024-04-06 17:58:50"/>
    <s v="2024-04-07 10:06:59"/>
    <s v="P3"/>
    <x v="0"/>
    <s v="Infrastructure"/>
    <s v="Sarah Connor"/>
    <s v="Closed"/>
    <n v="3"/>
    <n v="24"/>
    <n v="16.14"/>
    <n v="1"/>
  </r>
  <r>
    <s v="TCK-10357"/>
    <s v="2024-03-28 00:14:07"/>
    <s v="2024-04-02 03:02:14"/>
    <s v="P4"/>
    <x v="4"/>
    <s v="Application Support"/>
    <s v="Sarah Connor"/>
    <s v="Closed"/>
    <n v="2"/>
    <n v="48"/>
    <n v="122.8"/>
    <n v="0"/>
  </r>
  <r>
    <s v="TCK-10358"/>
    <s v="2024-02-03 21:10:17"/>
    <s v="2024-02-04 12:16:29"/>
    <s v="P3"/>
    <x v="1"/>
    <s v="L2 Support"/>
    <s v="Michael Scott"/>
    <s v="Closed"/>
    <n v="4"/>
    <n v="24"/>
    <n v="15.1"/>
    <n v="1"/>
  </r>
  <r>
    <s v="TCK-10359"/>
    <s v="2024-08-18 02:57:33"/>
    <m/>
    <s v="P4"/>
    <x v="4"/>
    <s v="L2 Support"/>
    <s v="Priya Nair"/>
    <s v="Open"/>
    <m/>
    <n v="48"/>
    <m/>
    <m/>
  </r>
  <r>
    <s v="TCK-10360"/>
    <s v="2024-10-22 16:12:28"/>
    <s v="2024-10-23 11:44:06"/>
    <s v="P3"/>
    <x v="1"/>
    <s v="Application Support"/>
    <s v="Alex Mercer"/>
    <s v="Resolved"/>
    <n v="5"/>
    <n v="24"/>
    <n v="19.53"/>
    <n v="1"/>
  </r>
  <r>
    <s v="TCK-10361"/>
    <s v="2024-05-10 10:35:17"/>
    <s v="2024-05-10 18:03:45"/>
    <s v="P1"/>
    <x v="3"/>
    <s v="Infrastructure"/>
    <s v="Sarah Connor"/>
    <s v="Resolved"/>
    <n v="4"/>
    <n v="4"/>
    <n v="7.47"/>
    <n v="0"/>
  </r>
  <r>
    <s v="TCK-10362"/>
    <s v="2024-02-25 15:01:01"/>
    <s v="2024-02-27 13:40:22"/>
    <s v="P3"/>
    <x v="1"/>
    <s v="L2 Support"/>
    <s v="Ravi Patel"/>
    <s v="Resolved"/>
    <n v="3"/>
    <n v="24"/>
    <n v="46.66"/>
    <n v="0"/>
  </r>
  <r>
    <s v="TCK-10363"/>
    <s v="2024-08-13 21:10:28"/>
    <s v="2024-08-13 23:49:36"/>
    <s v="P1"/>
    <x v="1"/>
    <s v="Application Support"/>
    <s v="Sarah Connor"/>
    <s v="Closed"/>
    <n v="4"/>
    <n v="4"/>
    <n v="2.65"/>
    <n v="1"/>
  </r>
  <r>
    <s v="TCK-10364"/>
    <s v="2024-04-23 14:37:03"/>
    <s v="2024-04-23 18:29:46"/>
    <s v="P2"/>
    <x v="2"/>
    <s v="Application Support"/>
    <s v="Priya Nair"/>
    <s v="Closed"/>
    <n v="4"/>
    <n v="8"/>
    <n v="3.88"/>
    <n v="1"/>
  </r>
  <r>
    <s v="TCK-10365"/>
    <s v="2024-03-20 01:25:07"/>
    <s v="2024-03-20 04:21:14"/>
    <s v="P2"/>
    <x v="0"/>
    <s v="L1 Support"/>
    <s v="John Doe"/>
    <s v="Resolved"/>
    <n v="4"/>
    <n v="8"/>
    <n v="2.94"/>
    <n v="1"/>
  </r>
  <r>
    <s v="TCK-10366"/>
    <s v="2024-05-19 11:28:51"/>
    <s v="2024-05-19 22:42:41"/>
    <s v="P4"/>
    <x v="2"/>
    <s v="Infrastructure"/>
    <s v="Dwight Schrute"/>
    <s v="Resolved"/>
    <n v="5"/>
    <n v="48"/>
    <n v="11.23"/>
    <n v="1"/>
  </r>
  <r>
    <s v="TCK-10367"/>
    <s v="2024-11-17 06:28:55"/>
    <s v="2024-11-18 04:38:14"/>
    <s v="P3"/>
    <x v="3"/>
    <s v="L2 Support"/>
    <s v="Pam Beesly"/>
    <s v="Resolved"/>
    <n v="4"/>
    <n v="24"/>
    <n v="22.16"/>
    <n v="1"/>
  </r>
  <r>
    <s v="TCK-10368"/>
    <s v="2024-01-20 08:15:10"/>
    <m/>
    <s v="P3"/>
    <x v="2"/>
    <s v="L2 Support"/>
    <s v="Alex Mercer"/>
    <s v="Open"/>
    <m/>
    <n v="24"/>
    <m/>
    <m/>
  </r>
  <r>
    <s v="TCK-10369"/>
    <s v="2024-11-28 05:27:41"/>
    <s v="2024-11-28 10:42:47"/>
    <s v="P3"/>
    <x v="0"/>
    <s v="L2 Support"/>
    <s v="Sarah Connor"/>
    <s v="Resolved"/>
    <n v="3"/>
    <n v="24"/>
    <n v="5.25"/>
    <n v="1"/>
  </r>
  <r>
    <s v="TCK-10370"/>
    <s v="2024-11-18 19:37:51"/>
    <s v="2024-11-19 11:10:56"/>
    <s v="P3"/>
    <x v="2"/>
    <s v="L2 Support"/>
    <s v="Jim Halpert"/>
    <s v="Resolved"/>
    <n v="5"/>
    <n v="24"/>
    <n v="15.55"/>
    <n v="1"/>
  </r>
  <r>
    <s v="TCK-10371"/>
    <s v="2024-04-10 20:22:59"/>
    <m/>
    <s v="P4"/>
    <x v="1"/>
    <s v="L1 Support"/>
    <s v="Emily Watson"/>
    <s v="Open"/>
    <m/>
    <n v="48"/>
    <m/>
    <m/>
  </r>
  <r>
    <s v="TCK-10372"/>
    <s v="2024-06-21 13:04:46"/>
    <s v="2024-06-22 00:44:00"/>
    <s v="P4"/>
    <x v="1"/>
    <s v="Infrastructure"/>
    <s v="Sarah Connor"/>
    <s v="Resolved"/>
    <n v="5"/>
    <n v="48"/>
    <n v="11.65"/>
    <n v="1"/>
  </r>
  <r>
    <s v="TCK-10373"/>
    <s v="2024-11-15 10:39:46"/>
    <s v="2024-11-16 07:35:31"/>
    <s v="P3"/>
    <x v="2"/>
    <s v="Application Support"/>
    <s v="Carlos Mendez"/>
    <s v="Resolved"/>
    <n v="4"/>
    <n v="24"/>
    <n v="20.93"/>
    <n v="1"/>
  </r>
  <r>
    <s v="TCK-10374"/>
    <s v="2024-06-22 13:07:40"/>
    <s v="2024-06-23 10:44:13"/>
    <s v="P4"/>
    <x v="3"/>
    <s v="Billing Operations"/>
    <s v="Anita Sharma"/>
    <s v="Resolved"/>
    <n v="5"/>
    <n v="48"/>
    <n v="21.61"/>
    <n v="1"/>
  </r>
  <r>
    <s v="TCK-10375"/>
    <s v="2024-01-25 00:21:58"/>
    <s v="2024-01-25 01:36:47"/>
    <s v="P1"/>
    <x v="2"/>
    <s v="Application Support"/>
    <s v="Emily Watson"/>
    <s v="Closed"/>
    <n v="5"/>
    <n v="4"/>
    <n v="1.25"/>
    <n v="1"/>
  </r>
  <r>
    <s v="TCK-10376"/>
    <s v="2024-07-30 11:14:51"/>
    <s v="2024-07-31 08:15:58"/>
    <s v="P3"/>
    <x v="4"/>
    <s v="Infrastructure"/>
    <s v="Dwight Schrute"/>
    <s v="Resolved"/>
    <n v="5"/>
    <n v="24"/>
    <n v="21.02"/>
    <n v="1"/>
  </r>
  <r>
    <s v="TCK-10377"/>
    <s v="2024-05-31 03:58:33"/>
    <s v="2024-05-31 06:41:10"/>
    <s v="P2"/>
    <x v="1"/>
    <s v="Billing Operations"/>
    <s v="Emily Watson"/>
    <s v="Resolved"/>
    <n v="5"/>
    <n v="8"/>
    <n v="2.71"/>
    <n v="1"/>
  </r>
  <r>
    <s v="TCK-10378"/>
    <s v="2024-07-02 12:25:01"/>
    <s v="2024-07-02 20:15:14"/>
    <s v="P3"/>
    <x v="0"/>
    <s v="L2 Support"/>
    <s v="John Doe"/>
    <s v="Resolved"/>
    <n v="5"/>
    <n v="24"/>
    <n v="7.84"/>
    <n v="1"/>
  </r>
  <r>
    <s v="TCK-10379"/>
    <s v="2024-12-22 13:28:40"/>
    <s v="2024-12-22 23:06:56"/>
    <s v="P3"/>
    <x v="0"/>
    <s v="L2 Support"/>
    <s v="Anita Sharma"/>
    <s v="Closed"/>
    <n v="5"/>
    <n v="24"/>
    <n v="9.64"/>
    <n v="1"/>
  </r>
  <r>
    <s v="TCK-10380"/>
    <s v="2024-11-24 14:01:47"/>
    <s v="2024-11-24 22:52:11"/>
    <s v="P2"/>
    <x v="2"/>
    <s v="Infrastructure"/>
    <s v="Priya Nair"/>
    <s v="Closed"/>
    <n v="3"/>
    <n v="8"/>
    <n v="8.84"/>
    <n v="0"/>
  </r>
  <r>
    <s v="TCK-10381"/>
    <s v="2024-08-08 18:53:39"/>
    <s v="2024-08-08 22:04:07"/>
    <s v="P3"/>
    <x v="3"/>
    <s v="L2 Support"/>
    <s v="Dwight Schrute"/>
    <s v="Resolved"/>
    <n v="3"/>
    <n v="24"/>
    <n v="3.17"/>
    <n v="1"/>
  </r>
  <r>
    <s v="TCK-10382"/>
    <s v="2024-08-21 23:54:13"/>
    <m/>
    <s v="P2"/>
    <x v="2"/>
    <s v="L1 Support"/>
    <s v="Pam Beesly"/>
    <s v="Open"/>
    <m/>
    <n v="8"/>
    <m/>
    <m/>
  </r>
  <r>
    <s v="TCK-10383"/>
    <s v="2024-03-19 13:47:02"/>
    <s v="2024-03-20 23:20:07"/>
    <s v="P4"/>
    <x v="2"/>
    <s v="L2 Support"/>
    <s v="Pam Beesly"/>
    <s v="Resolved"/>
    <n v="4"/>
    <n v="48"/>
    <n v="33.549999999999997"/>
    <n v="1"/>
  </r>
  <r>
    <s v="TCK-10384"/>
    <s v="2024-02-13 09:51:17"/>
    <s v="2024-02-14 14:33:51"/>
    <s v="P4"/>
    <x v="0"/>
    <s v="L1 Support"/>
    <s v="Pam Beesly"/>
    <s v="Closed"/>
    <n v="4"/>
    <n v="48"/>
    <n v="28.71"/>
    <n v="1"/>
  </r>
  <r>
    <s v="TCK-10385"/>
    <s v="2024-05-05 14:52:47"/>
    <m/>
    <s v="P2"/>
    <x v="1"/>
    <s v="Application Support"/>
    <s v="Carlos Mendez"/>
    <s v="Escalated"/>
    <m/>
    <n v="8"/>
    <m/>
    <m/>
  </r>
  <r>
    <s v="TCK-10386"/>
    <s v="2024-09-09 10:47:55"/>
    <s v="2024-09-09 14:01:30"/>
    <s v="P2"/>
    <x v="0"/>
    <s v="Billing Operations"/>
    <s v="Priya Nair"/>
    <s v="Closed"/>
    <n v="5"/>
    <n v="8"/>
    <n v="3.23"/>
    <n v="1"/>
  </r>
  <r>
    <s v="TCK-10387"/>
    <s v="2024-11-12 15:15:49"/>
    <s v="2024-11-12 20:50:14"/>
    <s v="P2"/>
    <x v="2"/>
    <s v="Infrastructure"/>
    <s v="John Doe"/>
    <s v="Resolved"/>
    <n v="5"/>
    <n v="8"/>
    <n v="5.57"/>
    <n v="1"/>
  </r>
  <r>
    <s v="TCK-10388"/>
    <s v="2024-11-26 17:37:46"/>
    <s v="2024-12-02 14:35:25"/>
    <s v="P4"/>
    <x v="4"/>
    <s v="L1 Support"/>
    <s v="John Doe"/>
    <s v="Closed"/>
    <n v="1"/>
    <n v="48"/>
    <n v="140.96"/>
    <n v="0"/>
  </r>
  <r>
    <s v="TCK-10389"/>
    <s v="2024-08-07 23:18:37"/>
    <s v="2024-08-08 02:16:58"/>
    <s v="P2"/>
    <x v="2"/>
    <s v="Infrastructure"/>
    <s v="Priya Nair"/>
    <s v="Resolved"/>
    <n v="5"/>
    <n v="8"/>
    <n v="2.97"/>
    <n v="1"/>
  </r>
  <r>
    <s v="TCK-10390"/>
    <s v="2024-02-04 18:59:10"/>
    <s v="2024-02-06 04:04:03"/>
    <s v="P4"/>
    <x v="3"/>
    <s v="Infrastructure"/>
    <s v="Dwight Schrute"/>
    <s v="Resolved"/>
    <n v="4"/>
    <n v="48"/>
    <n v="33.08"/>
    <n v="1"/>
  </r>
  <r>
    <s v="TCK-10391"/>
    <s v="2024-11-01 23:33:29"/>
    <s v="2024-11-02 21:45:25"/>
    <s v="P2"/>
    <x v="1"/>
    <s v="Application Support"/>
    <s v="Dwight Schrute"/>
    <s v="Closed"/>
    <n v="2"/>
    <n v="8"/>
    <n v="22.2"/>
    <n v="0"/>
  </r>
  <r>
    <s v="TCK-10392"/>
    <s v="2024-05-27 09:51:25"/>
    <s v="2024-05-27 15:34:30"/>
    <s v="P3"/>
    <x v="2"/>
    <s v="Application Support"/>
    <s v="Anita Sharma"/>
    <s v="Closed"/>
    <n v="3"/>
    <n v="24"/>
    <n v="5.72"/>
    <n v="1"/>
  </r>
  <r>
    <s v="TCK-10393"/>
    <s v="2024-11-24 19:04:39"/>
    <s v="2024-11-24 20:45:14"/>
    <s v="P1"/>
    <x v="1"/>
    <s v="Infrastructure"/>
    <s v="Sarah Connor"/>
    <s v="Resolved"/>
    <n v="5"/>
    <n v="4"/>
    <n v="1.68"/>
    <n v="1"/>
  </r>
  <r>
    <s v="TCK-10394"/>
    <s v="2024-07-31 18:50:26"/>
    <m/>
    <s v="P4"/>
    <x v="2"/>
    <s v="Infrastructure"/>
    <s v="Anita Sharma"/>
    <s v="Escalated"/>
    <m/>
    <n v="48"/>
    <m/>
    <m/>
  </r>
  <r>
    <s v="TCK-10395"/>
    <s v="2024-12-13 05:28:16"/>
    <s v="2024-12-13 09:56:12"/>
    <s v="P3"/>
    <x v="1"/>
    <s v="L2 Support"/>
    <s v="Anita Sharma"/>
    <s v="Closed"/>
    <n v="4"/>
    <n v="24"/>
    <n v="4.47"/>
    <n v="1"/>
  </r>
  <r>
    <s v="TCK-10396"/>
    <s v="2024-03-15 02:46:53"/>
    <s v="2024-03-15 07:08:17"/>
    <s v="P3"/>
    <x v="3"/>
    <s v="Billing Operations"/>
    <s v="Michael Scott"/>
    <s v="Closed"/>
    <n v="4"/>
    <n v="24"/>
    <n v="4.3600000000000003"/>
    <n v="1"/>
  </r>
  <r>
    <s v="TCK-10397"/>
    <s v="2024-08-01 19:13:37"/>
    <s v="2024-08-03 03:02:14"/>
    <s v="P4"/>
    <x v="1"/>
    <s v="Infrastructure"/>
    <s v="Alex Mercer"/>
    <s v="Resolved"/>
    <n v="5"/>
    <n v="48"/>
    <n v="31.81"/>
    <n v="1"/>
  </r>
  <r>
    <s v="TCK-10398"/>
    <s v="2024-03-18 21:06:14"/>
    <s v="2024-03-19 00:10:20"/>
    <s v="P1"/>
    <x v="2"/>
    <s v="Infrastructure"/>
    <s v="Sarah Connor"/>
    <s v="Resolved"/>
    <n v="4"/>
    <n v="4"/>
    <n v="3.07"/>
    <n v="1"/>
  </r>
  <r>
    <s v="TCK-10399"/>
    <s v="2024-12-13 20:51:45"/>
    <s v="2024-12-15 15:21:01"/>
    <s v="P3"/>
    <x v="1"/>
    <s v="Billing Operations"/>
    <s v="Jim Halpert"/>
    <s v="Resolved"/>
    <n v="2"/>
    <n v="24"/>
    <n v="42.49"/>
    <n v="0"/>
  </r>
  <r>
    <s v="TCK-10400"/>
    <s v="2024-04-12 14:05:46"/>
    <s v="2024-04-13 06:06:44"/>
    <s v="P3"/>
    <x v="2"/>
    <s v="Infrastructure"/>
    <s v="Anita Sharma"/>
    <s v="Resolved"/>
    <n v="3"/>
    <n v="24"/>
    <n v="16.02"/>
    <n v="1"/>
  </r>
  <r>
    <s v="TCK-10401"/>
    <s v="2024-05-13 20:22:04"/>
    <s v="2024-05-19 03:22:13"/>
    <s v="P4"/>
    <x v="2"/>
    <s v="Billing Operations"/>
    <s v="Emily Watson"/>
    <s v="Closed"/>
    <n v="2"/>
    <n v="48"/>
    <n v="127"/>
    <n v="0"/>
  </r>
  <r>
    <s v="TCK-10402"/>
    <s v="2024-07-27 07:21:21"/>
    <s v="2024-07-28 04:10:20"/>
    <s v="P3"/>
    <x v="4"/>
    <s v="Billing Operations"/>
    <s v="Emily Watson"/>
    <s v="Resolved"/>
    <n v="5"/>
    <n v="24"/>
    <n v="20.82"/>
    <n v="1"/>
  </r>
  <r>
    <s v="TCK-10403"/>
    <s v="2024-07-14 07:55:29"/>
    <m/>
    <s v="P3"/>
    <x v="2"/>
    <s v="Billing Operations"/>
    <s v="Carlos Mendez"/>
    <s v="Escalated"/>
    <m/>
    <n v="24"/>
    <m/>
    <m/>
  </r>
  <r>
    <s v="TCK-10404"/>
    <s v="2024-02-27 14:18:42"/>
    <m/>
    <s v="P2"/>
    <x v="0"/>
    <s v="L2 Support"/>
    <s v="John Doe"/>
    <s v="Escalated"/>
    <m/>
    <n v="8"/>
    <m/>
    <m/>
  </r>
  <r>
    <s v="TCK-10405"/>
    <s v="2024-11-10 07:24:00"/>
    <s v="2024-11-11 01:35:05"/>
    <s v="P2"/>
    <x v="1"/>
    <s v="L1 Support"/>
    <s v="Carlos Mendez"/>
    <s v="Resolved"/>
    <n v="3"/>
    <n v="8"/>
    <n v="18.18"/>
    <n v="0"/>
  </r>
  <r>
    <s v="TCK-10406"/>
    <s v="2024-04-10 11:40:30"/>
    <s v="2024-04-10 14:41:33"/>
    <s v="P2"/>
    <x v="0"/>
    <s v="L1 Support"/>
    <s v="Sarah Connor"/>
    <s v="Resolved"/>
    <n v="4"/>
    <n v="8"/>
    <n v="3.02"/>
    <n v="1"/>
  </r>
  <r>
    <s v="TCK-10407"/>
    <s v="2024-06-27 06:20:03"/>
    <s v="2024-06-28 04:02:36"/>
    <s v="P4"/>
    <x v="1"/>
    <s v="Billing Operations"/>
    <s v="Anita Sharma"/>
    <s v="Resolved"/>
    <n v="4"/>
    <n v="48"/>
    <n v="21.71"/>
    <n v="1"/>
  </r>
  <r>
    <s v="TCK-10408"/>
    <s v="2024-08-16 15:56:35"/>
    <s v="2024-08-17 00:10:45"/>
    <s v="P3"/>
    <x v="4"/>
    <s v="L1 Support"/>
    <s v="Sarah Connor"/>
    <s v="Closed"/>
    <n v="5"/>
    <n v="24"/>
    <n v="8.24"/>
    <n v="1"/>
  </r>
  <r>
    <s v="TCK-10409"/>
    <s v="2024-05-13 21:05:34"/>
    <s v="2024-05-14 13:07:46"/>
    <s v="P4"/>
    <x v="2"/>
    <s v="Application Support"/>
    <s v="Anita Sharma"/>
    <s v="Closed"/>
    <n v="4"/>
    <n v="48"/>
    <n v="16.04"/>
    <n v="1"/>
  </r>
  <r>
    <s v="TCK-10410"/>
    <s v="2024-08-24 17:04:41"/>
    <s v="2024-08-25 05:10:21"/>
    <s v="P3"/>
    <x v="2"/>
    <s v="Application Support"/>
    <s v="Pam Beesly"/>
    <s v="Closed"/>
    <n v="4"/>
    <n v="24"/>
    <n v="12.09"/>
    <n v="1"/>
  </r>
  <r>
    <s v="TCK-10411"/>
    <s v="2024-05-24 23:23:56"/>
    <s v="2024-05-25 02:09:57"/>
    <s v="P1"/>
    <x v="0"/>
    <s v="Infrastructure"/>
    <s v="Michael Scott"/>
    <s v="Resolved"/>
    <n v="3"/>
    <n v="4"/>
    <n v="2.77"/>
    <n v="1"/>
  </r>
  <r>
    <s v="TCK-10412"/>
    <s v="2024-12-03 18:44:06"/>
    <s v="2024-12-03 23:55:29"/>
    <s v="P2"/>
    <x v="2"/>
    <s v="Application Support"/>
    <s v="Pam Beesly"/>
    <s v="Resolved"/>
    <n v="4"/>
    <n v="8"/>
    <n v="5.19"/>
    <n v="1"/>
  </r>
  <r>
    <s v="TCK-10413"/>
    <s v="2024-03-23 10:18:08"/>
    <s v="2024-03-27 12:55:53"/>
    <s v="P4"/>
    <x v="2"/>
    <s v="Application Support"/>
    <s v="Ravi Patel"/>
    <s v="Closed"/>
    <n v="1"/>
    <n v="48"/>
    <n v="98.63"/>
    <n v="0"/>
  </r>
  <r>
    <s v="TCK-10414"/>
    <s v="2024-05-01 03:52:38"/>
    <s v="2024-05-01 23:16:08"/>
    <s v="P3"/>
    <x v="2"/>
    <s v="Billing Operations"/>
    <s v="Anita Sharma"/>
    <s v="Resolved"/>
    <n v="5"/>
    <n v="24"/>
    <n v="19.39"/>
    <n v="1"/>
  </r>
  <r>
    <s v="TCK-10415"/>
    <s v="2024-04-07 05:25:04"/>
    <s v="2024-04-07 07:23:46"/>
    <s v="P1"/>
    <x v="2"/>
    <s v="Infrastructure"/>
    <s v="Priya Nair"/>
    <s v="Resolved"/>
    <n v="4"/>
    <n v="4"/>
    <n v="1.98"/>
    <n v="1"/>
  </r>
  <r>
    <s v="TCK-10416"/>
    <s v="2024-12-24 19:40:09"/>
    <s v="2024-12-25 02:23:18"/>
    <s v="P2"/>
    <x v="1"/>
    <s v="Infrastructure"/>
    <s v="Dwight Schrute"/>
    <s v="Closed"/>
    <n v="5"/>
    <n v="8"/>
    <n v="6.72"/>
    <n v="1"/>
  </r>
  <r>
    <s v="TCK-10417"/>
    <s v="2024-05-16 03:59:54"/>
    <s v="2024-05-16 04:59:05"/>
    <s v="P2"/>
    <x v="3"/>
    <s v="Infrastructure"/>
    <s v="Priya Nair"/>
    <s v="Closed"/>
    <n v="3"/>
    <n v="8"/>
    <n v="0.99"/>
    <n v="1"/>
  </r>
  <r>
    <s v="TCK-10418"/>
    <s v="2024-11-27 22:11:29"/>
    <s v="2024-11-28 13:53:01"/>
    <s v="P3"/>
    <x v="4"/>
    <s v="L2 Support"/>
    <s v="Carlos Mendez"/>
    <s v="Resolved"/>
    <n v="5"/>
    <n v="24"/>
    <n v="15.69"/>
    <n v="1"/>
  </r>
  <r>
    <s v="TCK-10419"/>
    <s v="2024-12-02 02:56:06"/>
    <m/>
    <s v="P3"/>
    <x v="0"/>
    <s v="L1 Support"/>
    <s v="Dwight Schrute"/>
    <s v="Open"/>
    <m/>
    <n v="24"/>
    <m/>
    <m/>
  </r>
  <r>
    <s v="TCK-10420"/>
    <s v="2024-09-08 17:56:24"/>
    <s v="2024-09-09 13:27:31"/>
    <s v="P2"/>
    <x v="0"/>
    <s v="L2 Support"/>
    <s v="Michael Scott"/>
    <s v="Closed"/>
    <n v="3"/>
    <n v="8"/>
    <n v="19.52"/>
    <n v="0"/>
  </r>
  <r>
    <s v="TCK-10421"/>
    <s v="2024-04-17 06:42:51"/>
    <s v="2024-04-17 22:55:44"/>
    <s v="P3"/>
    <x v="2"/>
    <s v="Infrastructure"/>
    <s v="Dwight Schrute"/>
    <s v="Resolved"/>
    <n v="5"/>
    <n v="24"/>
    <n v="16.21"/>
    <n v="1"/>
  </r>
  <r>
    <s v="TCK-10422"/>
    <s v="2024-06-03 13:43:47"/>
    <s v="2024-06-03 22:13:07"/>
    <s v="P3"/>
    <x v="1"/>
    <s v="Infrastructure"/>
    <s v="Ravi Patel"/>
    <s v="Closed"/>
    <n v="4"/>
    <n v="24"/>
    <n v="8.49"/>
    <n v="1"/>
  </r>
  <r>
    <s v="TCK-10423"/>
    <s v="2024-01-26 03:00:16"/>
    <s v="2024-01-26 09:52:21"/>
    <s v="P2"/>
    <x v="2"/>
    <s v="Infrastructure"/>
    <s v="Michael Scott"/>
    <s v="Resolved"/>
    <n v="4"/>
    <n v="8"/>
    <n v="6.87"/>
    <n v="1"/>
  </r>
  <r>
    <s v="TCK-10424"/>
    <s v="2024-02-28 13:26:32"/>
    <s v="2024-02-28 18:41:48"/>
    <s v="P3"/>
    <x v="2"/>
    <s v="L1 Support"/>
    <s v="Anita Sharma"/>
    <s v="Resolved"/>
    <n v="3"/>
    <n v="24"/>
    <n v="5.25"/>
    <n v="1"/>
  </r>
  <r>
    <s v="TCK-10425"/>
    <s v="2024-07-12 11:51:02"/>
    <s v="2024-07-13 21:32:23"/>
    <s v="P4"/>
    <x v="2"/>
    <s v="Application Support"/>
    <s v="Jim Halpert"/>
    <s v="Resolved"/>
    <n v="5"/>
    <n v="48"/>
    <n v="33.69"/>
    <n v="1"/>
  </r>
  <r>
    <s v="TCK-10426"/>
    <s v="2024-03-15 02:08:15"/>
    <s v="2024-03-15 21:01:07"/>
    <s v="P2"/>
    <x v="0"/>
    <s v="Billing Operations"/>
    <s v="Carlos Mendez"/>
    <s v="Closed"/>
    <n v="2"/>
    <n v="8"/>
    <n v="18.88"/>
    <n v="0"/>
  </r>
  <r>
    <s v="TCK-10427"/>
    <s v="2024-11-24 15:52:42"/>
    <s v="2024-11-24 21:42:59"/>
    <s v="P2"/>
    <x v="0"/>
    <s v="Billing Operations"/>
    <s v="John Doe"/>
    <s v="Resolved"/>
    <n v="5"/>
    <n v="8"/>
    <n v="5.84"/>
    <n v="1"/>
  </r>
  <r>
    <s v="TCK-10428"/>
    <s v="2024-08-05 10:33:09"/>
    <s v="2024-08-06 04:08:03"/>
    <s v="P3"/>
    <x v="1"/>
    <s v="Infrastructure"/>
    <s v="Carlos Mendez"/>
    <s v="Resolved"/>
    <n v="4"/>
    <n v="24"/>
    <n v="17.579999999999998"/>
    <n v="1"/>
  </r>
  <r>
    <s v="TCK-10429"/>
    <s v="2024-11-02 09:32:06"/>
    <s v="2024-11-02 16:31:30"/>
    <s v="P4"/>
    <x v="2"/>
    <s v="Billing Operations"/>
    <s v="Michael Scott"/>
    <s v="Resolved"/>
    <n v="5"/>
    <n v="48"/>
    <n v="6.99"/>
    <n v="1"/>
  </r>
  <r>
    <s v="TCK-10430"/>
    <s v="2024-08-13 16:54:36"/>
    <s v="2024-08-14 19:19:38"/>
    <s v="P4"/>
    <x v="2"/>
    <s v="L2 Support"/>
    <s v="Ravi Patel"/>
    <s v="Resolved"/>
    <n v="4"/>
    <n v="48"/>
    <n v="26.42"/>
    <n v="1"/>
  </r>
  <r>
    <s v="TCK-10431"/>
    <s v="2024-12-04 12:54:08"/>
    <s v="2024-12-06 06:41:32"/>
    <s v="P4"/>
    <x v="1"/>
    <s v="L2 Support"/>
    <s v="Pam Beesly"/>
    <s v="Resolved"/>
    <n v="4"/>
    <n v="48"/>
    <n v="41.79"/>
    <n v="1"/>
  </r>
  <r>
    <s v="TCK-10432"/>
    <s v="2024-05-03 04:54:27"/>
    <s v="2024-05-06 12:38:35"/>
    <s v="P4"/>
    <x v="1"/>
    <s v="L1 Support"/>
    <s v="Dwight Schrute"/>
    <s v="Resolved"/>
    <n v="1"/>
    <n v="48"/>
    <n v="79.739999999999995"/>
    <n v="0"/>
  </r>
  <r>
    <s v="TCK-10433"/>
    <s v="2024-06-24 21:26:29"/>
    <s v="2024-06-25 03:26:01"/>
    <s v="P2"/>
    <x v="0"/>
    <s v="L2 Support"/>
    <s v="Anita Sharma"/>
    <s v="Closed"/>
    <n v="3"/>
    <n v="8"/>
    <n v="5.99"/>
    <n v="1"/>
  </r>
  <r>
    <s v="TCK-10434"/>
    <s v="2024-08-26 23:21:58"/>
    <s v="2024-08-27 05:50:02"/>
    <s v="P3"/>
    <x v="2"/>
    <s v="Application Support"/>
    <s v="Dwight Schrute"/>
    <s v="Resolved"/>
    <n v="4"/>
    <n v="24"/>
    <n v="6.47"/>
    <n v="1"/>
  </r>
  <r>
    <s v="TCK-10435"/>
    <s v="2024-01-06 19:12:29"/>
    <s v="2024-01-08 05:56:20"/>
    <s v="P4"/>
    <x v="0"/>
    <s v="Billing Operations"/>
    <s v="Emily Watson"/>
    <s v="Resolved"/>
    <n v="4"/>
    <n v="48"/>
    <n v="34.729999999999997"/>
    <n v="1"/>
  </r>
  <r>
    <s v="TCK-10436"/>
    <s v="2024-12-06 22:05:38"/>
    <s v="2024-12-07 04:29:45"/>
    <s v="P2"/>
    <x v="1"/>
    <s v="Application Support"/>
    <s v="Ravi Patel"/>
    <s v="Closed"/>
    <n v="4"/>
    <n v="8"/>
    <n v="6.4"/>
    <n v="1"/>
  </r>
  <r>
    <s v="TCK-10437"/>
    <s v="2024-04-23 06:42:41"/>
    <s v="2024-04-23 11:50:26"/>
    <s v="P3"/>
    <x v="2"/>
    <s v="Billing Operations"/>
    <s v="Pam Beesly"/>
    <s v="Resolved"/>
    <n v="5"/>
    <n v="24"/>
    <n v="5.13"/>
    <n v="1"/>
  </r>
  <r>
    <s v="TCK-10438"/>
    <s v="2024-07-09 16:47:47"/>
    <s v="2024-07-09 21:52:22"/>
    <s v="P3"/>
    <x v="1"/>
    <s v="Application Support"/>
    <s v="Alex Mercer"/>
    <s v="Resolved"/>
    <n v="5"/>
    <n v="24"/>
    <n v="5.08"/>
    <n v="1"/>
  </r>
  <r>
    <s v="TCK-10439"/>
    <s v="2024-08-17 08:20:08"/>
    <s v="2024-08-17 21:38:38"/>
    <s v="P3"/>
    <x v="1"/>
    <s v="L1 Support"/>
    <s v="Jim Halpert"/>
    <s v="Closed"/>
    <n v="3"/>
    <n v="24"/>
    <n v="13.31"/>
    <n v="1"/>
  </r>
  <r>
    <s v="TCK-10440"/>
    <s v="2024-01-19 23:01:23"/>
    <s v="2024-01-20 09:10:48"/>
    <s v="P3"/>
    <x v="3"/>
    <s v="L1 Support"/>
    <s v="Alex Mercer"/>
    <s v="Closed"/>
    <n v="5"/>
    <n v="24"/>
    <n v="10.16"/>
    <n v="1"/>
  </r>
  <r>
    <s v="TCK-10441"/>
    <s v="2024-07-03 13:41:39"/>
    <s v="2024-07-04 02:42:30"/>
    <s v="P3"/>
    <x v="2"/>
    <s v="L1 Support"/>
    <s v="Michael Scott"/>
    <s v="Resolved"/>
    <n v="5"/>
    <n v="24"/>
    <n v="13.01"/>
    <n v="1"/>
  </r>
  <r>
    <s v="TCK-10442"/>
    <s v="2024-09-29 11:14:34"/>
    <s v="2024-09-29 12:49:05"/>
    <s v="P2"/>
    <x v="0"/>
    <s v="L1 Support"/>
    <s v="Ravi Patel"/>
    <s v="Closed"/>
    <n v="4"/>
    <n v="8"/>
    <n v="1.58"/>
    <n v="1"/>
  </r>
  <r>
    <s v="TCK-10443"/>
    <s v="2024-03-18 11:31:15"/>
    <s v="2024-03-18 17:11:32"/>
    <s v="P3"/>
    <x v="0"/>
    <s v="Billing Operations"/>
    <s v="Emily Watson"/>
    <s v="Resolved"/>
    <n v="5"/>
    <n v="24"/>
    <n v="5.67"/>
    <n v="1"/>
  </r>
  <r>
    <s v="TCK-10444"/>
    <s v="2024-12-19 21:08:19"/>
    <s v="2024-12-20 04:06:19"/>
    <s v="P2"/>
    <x v="4"/>
    <s v="Infrastructure"/>
    <s v="Emily Watson"/>
    <s v="Resolved"/>
    <n v="5"/>
    <n v="8"/>
    <n v="6.97"/>
    <n v="1"/>
  </r>
  <r>
    <s v="TCK-10445"/>
    <s v="2024-09-17 03:44:10"/>
    <s v="2024-09-17 11:21:22"/>
    <s v="P3"/>
    <x v="4"/>
    <s v="Billing Operations"/>
    <s v="Sarah Connor"/>
    <s v="Closed"/>
    <n v="4"/>
    <n v="24"/>
    <n v="7.62"/>
    <n v="1"/>
  </r>
  <r>
    <s v="TCK-10446"/>
    <s v="2024-04-25 07:07:36"/>
    <s v="2024-04-25 12:31:43"/>
    <s v="P2"/>
    <x v="1"/>
    <s v="L2 Support"/>
    <s v="Alex Mercer"/>
    <s v="Closed"/>
    <n v="4"/>
    <n v="8"/>
    <n v="5.4"/>
    <n v="1"/>
  </r>
  <r>
    <s v="TCK-10447"/>
    <s v="2024-02-15 08:16:34"/>
    <s v="2024-02-15 09:15:21"/>
    <s v="P1"/>
    <x v="0"/>
    <s v="L1 Support"/>
    <s v="Alex Mercer"/>
    <s v="Closed"/>
    <n v="4"/>
    <n v="4"/>
    <n v="0.98"/>
    <n v="1"/>
  </r>
  <r>
    <s v="TCK-10448"/>
    <s v="2024-06-19 07:47:41"/>
    <s v="2024-06-20 04:56:47"/>
    <s v="P4"/>
    <x v="2"/>
    <s v="L1 Support"/>
    <s v="Pam Beesly"/>
    <s v="Closed"/>
    <n v="5"/>
    <n v="48"/>
    <n v="21.15"/>
    <n v="1"/>
  </r>
  <r>
    <s v="TCK-10449"/>
    <s v="2024-04-15 21:40:04"/>
    <s v="2024-04-16 07:04:49"/>
    <s v="P4"/>
    <x v="3"/>
    <s v="Application Support"/>
    <s v="Jim Halpert"/>
    <s v="Closed"/>
    <n v="5"/>
    <n v="48"/>
    <n v="9.41"/>
    <n v="1"/>
  </r>
  <r>
    <s v="TCK-10450"/>
    <s v="2024-01-24 02:37:26"/>
    <m/>
    <s v="P4"/>
    <x v="0"/>
    <s v="L1 Support"/>
    <s v="Jim Halpert"/>
    <s v="Open"/>
    <m/>
    <n v="48"/>
    <m/>
    <m/>
  </r>
  <r>
    <s v="TCK-10451"/>
    <s v="2024-07-06 18:51:20"/>
    <s v="2024-07-07 00:49:52"/>
    <s v="P4"/>
    <x v="3"/>
    <s v="L2 Support"/>
    <s v="Anita Sharma"/>
    <s v="Resolved"/>
    <n v="5"/>
    <n v="48"/>
    <n v="5.98"/>
    <n v="1"/>
  </r>
  <r>
    <s v="TCK-10452"/>
    <s v="2024-11-21 23:43:35"/>
    <s v="2024-11-22 03:03:51"/>
    <s v="P3"/>
    <x v="0"/>
    <s v="Application Support"/>
    <s v="Dwight Schrute"/>
    <s v="Resolved"/>
    <n v="4"/>
    <n v="24"/>
    <n v="3.34"/>
    <n v="1"/>
  </r>
  <r>
    <s v="TCK-10453"/>
    <s v="2024-05-02 08:54:35"/>
    <s v="2024-05-02 12:38:04"/>
    <s v="P1"/>
    <x v="0"/>
    <s v="Billing Operations"/>
    <s v="Priya Nair"/>
    <s v="Closed"/>
    <n v="5"/>
    <n v="4"/>
    <n v="3.72"/>
    <n v="1"/>
  </r>
  <r>
    <s v="TCK-10454"/>
    <s v="2024-05-11 17:11:25"/>
    <s v="2024-05-12 05:25:17"/>
    <s v="P3"/>
    <x v="3"/>
    <s v="Billing Operations"/>
    <s v="Sarah Connor"/>
    <s v="Resolved"/>
    <n v="5"/>
    <n v="24"/>
    <n v="12.23"/>
    <n v="1"/>
  </r>
  <r>
    <s v="TCK-10455"/>
    <s v="2024-09-06 10:19:22"/>
    <s v="2024-09-06 15:55:26"/>
    <s v="P3"/>
    <x v="0"/>
    <s v="Billing Operations"/>
    <s v="Anita Sharma"/>
    <s v="Resolved"/>
    <n v="5"/>
    <n v="24"/>
    <n v="5.6"/>
    <n v="1"/>
  </r>
  <r>
    <s v="TCK-10456"/>
    <s v="2024-11-27 04:00:52"/>
    <s v="2024-11-28 07:34:15"/>
    <s v="P3"/>
    <x v="1"/>
    <s v="Application Support"/>
    <s v="Pam Beesly"/>
    <s v="Resolved"/>
    <n v="1"/>
    <n v="24"/>
    <n v="27.56"/>
    <n v="0"/>
  </r>
  <r>
    <s v="TCK-10457"/>
    <s v="2024-09-07 04:09:07"/>
    <s v="2024-09-07 08:20:51"/>
    <s v="P3"/>
    <x v="0"/>
    <s v="L1 Support"/>
    <s v="Dwight Schrute"/>
    <s v="Resolved"/>
    <n v="4"/>
    <n v="24"/>
    <n v="4.2"/>
    <n v="1"/>
  </r>
  <r>
    <s v="TCK-10458"/>
    <s v="2024-05-03 01:54:25"/>
    <s v="2024-05-03 06:26:26"/>
    <s v="P2"/>
    <x v="2"/>
    <s v="L1 Support"/>
    <s v="Sarah Connor"/>
    <s v="Resolved"/>
    <n v="5"/>
    <n v="8"/>
    <n v="4.53"/>
    <n v="1"/>
  </r>
  <r>
    <s v="TCK-10459"/>
    <s v="2024-11-03 19:57:18"/>
    <s v="2024-11-04 07:39:41"/>
    <s v="P3"/>
    <x v="3"/>
    <s v="Infrastructure"/>
    <s v="Ravi Patel"/>
    <s v="Closed"/>
    <n v="4"/>
    <n v="24"/>
    <n v="11.71"/>
    <n v="1"/>
  </r>
  <r>
    <s v="TCK-10460"/>
    <s v="2024-11-16 20:27:21"/>
    <s v="2024-11-16 22:27:52"/>
    <s v="P1"/>
    <x v="2"/>
    <s v="Application Support"/>
    <s v="Pam Beesly"/>
    <s v="Closed"/>
    <n v="5"/>
    <n v="4"/>
    <n v="2.0099999999999998"/>
    <n v="1"/>
  </r>
  <r>
    <s v="TCK-10461"/>
    <s v="2024-10-05 08:47:50"/>
    <s v="2024-10-08 07:07:57"/>
    <s v="P3"/>
    <x v="1"/>
    <s v="L2 Support"/>
    <s v="Alex Mercer"/>
    <s v="Resolved"/>
    <n v="1"/>
    <n v="24"/>
    <n v="70.34"/>
    <n v="0"/>
  </r>
  <r>
    <s v="TCK-10462"/>
    <s v="2024-07-22 01:15:13"/>
    <s v="2024-07-22 18:22:24"/>
    <s v="P3"/>
    <x v="1"/>
    <s v="L2 Support"/>
    <s v="Dwight Schrute"/>
    <s v="Resolved"/>
    <n v="4"/>
    <n v="24"/>
    <n v="17.12"/>
    <n v="1"/>
  </r>
  <r>
    <s v="TCK-10463"/>
    <s v="2024-08-25 13:33:04"/>
    <s v="2024-08-25 19:13:30"/>
    <s v="P2"/>
    <x v="1"/>
    <s v="Application Support"/>
    <s v="Emily Watson"/>
    <s v="Resolved"/>
    <n v="4"/>
    <n v="8"/>
    <n v="5.67"/>
    <n v="1"/>
  </r>
  <r>
    <s v="TCK-10464"/>
    <s v="2024-06-10 07:08:37"/>
    <s v="2024-06-10 09:46:56"/>
    <s v="P1"/>
    <x v="3"/>
    <s v="Billing Operations"/>
    <s v="Sarah Connor"/>
    <s v="Closed"/>
    <n v="5"/>
    <n v="4"/>
    <n v="2.64"/>
    <n v="1"/>
  </r>
  <r>
    <s v="TCK-10465"/>
    <s v="2024-02-22 14:53:54"/>
    <m/>
    <s v="P4"/>
    <x v="1"/>
    <s v="L1 Support"/>
    <s v="Ravi Patel"/>
    <s v="Open"/>
    <m/>
    <n v="48"/>
    <m/>
    <m/>
  </r>
  <r>
    <s v="TCK-10466"/>
    <s v="2024-11-22 02:19:58"/>
    <s v="2024-11-22 07:21:06"/>
    <s v="P3"/>
    <x v="2"/>
    <s v="L2 Support"/>
    <s v="Priya Nair"/>
    <s v="Closed"/>
    <n v="4"/>
    <n v="24"/>
    <n v="5.0199999999999996"/>
    <n v="1"/>
  </r>
  <r>
    <s v="TCK-10467"/>
    <s v="2024-08-21 13:29:40"/>
    <m/>
    <s v="P3"/>
    <x v="2"/>
    <s v="Application Support"/>
    <s v="Jim Halpert"/>
    <s v="Escalated"/>
    <m/>
    <n v="24"/>
    <m/>
    <m/>
  </r>
  <r>
    <s v="TCK-10468"/>
    <s v="2024-12-22 00:54:07"/>
    <m/>
    <s v="P3"/>
    <x v="2"/>
    <s v="Application Support"/>
    <s v="Pam Beesly"/>
    <s v="Escalated"/>
    <m/>
    <n v="24"/>
    <m/>
    <m/>
  </r>
  <r>
    <s v="TCK-10469"/>
    <s v="2024-06-25 04:49:40"/>
    <s v="2024-06-26 20:01:30"/>
    <s v="P4"/>
    <x v="3"/>
    <s v="Billing Operations"/>
    <s v="Priya Nair"/>
    <s v="Closed"/>
    <n v="5"/>
    <n v="48"/>
    <n v="39.200000000000003"/>
    <n v="1"/>
  </r>
  <r>
    <s v="TCK-10470"/>
    <s v="2024-05-02 05:51:38"/>
    <s v="2024-05-02 22:16:02"/>
    <s v="P3"/>
    <x v="4"/>
    <s v="L2 Support"/>
    <s v="Emily Watson"/>
    <s v="Resolved"/>
    <n v="5"/>
    <n v="24"/>
    <n v="16.41"/>
    <n v="1"/>
  </r>
  <r>
    <s v="TCK-10471"/>
    <s v="2024-02-21 20:35:24"/>
    <s v="2024-02-23 06:22:20"/>
    <s v="P4"/>
    <x v="3"/>
    <s v="L2 Support"/>
    <s v="Ravi Patel"/>
    <s v="Resolved"/>
    <n v="5"/>
    <n v="48"/>
    <n v="33.78"/>
    <n v="1"/>
  </r>
  <r>
    <s v="TCK-10472"/>
    <s v="2024-08-06 16:49:53"/>
    <s v="2024-08-08 07:24:46"/>
    <s v="P3"/>
    <x v="2"/>
    <s v="Application Support"/>
    <s v="Carlos Mendez"/>
    <s v="Closed"/>
    <n v="3"/>
    <n v="24"/>
    <n v="38.58"/>
    <n v="0"/>
  </r>
  <r>
    <s v="TCK-10473"/>
    <s v="2024-11-10 05:56:47"/>
    <s v="2024-11-10 07:15:14"/>
    <s v="P1"/>
    <x v="3"/>
    <s v="Application Support"/>
    <s v="John Doe"/>
    <s v="Resolved"/>
    <n v="5"/>
    <n v="4"/>
    <n v="1.31"/>
    <n v="1"/>
  </r>
  <r>
    <s v="TCK-10474"/>
    <s v="2024-04-21 15:27:01"/>
    <s v="2024-04-22 04:53:24"/>
    <s v="P3"/>
    <x v="1"/>
    <s v="L1 Support"/>
    <s v="Priya Nair"/>
    <s v="Closed"/>
    <n v="4"/>
    <n v="24"/>
    <n v="13.44"/>
    <n v="1"/>
  </r>
  <r>
    <s v="TCK-10475"/>
    <s v="2024-06-25 02:29:11"/>
    <s v="2024-06-25 04:54:07"/>
    <s v="P2"/>
    <x v="0"/>
    <s v="Billing Operations"/>
    <s v="Emily Watson"/>
    <s v="Closed"/>
    <n v="5"/>
    <n v="8"/>
    <n v="2.42"/>
    <n v="1"/>
  </r>
  <r>
    <s v="TCK-10476"/>
    <s v="2024-11-06 13:33:30"/>
    <s v="2024-11-09 12:25:36"/>
    <s v="P3"/>
    <x v="3"/>
    <s v="L1 Support"/>
    <s v="Jim Halpert"/>
    <s v="Resolved"/>
    <n v="2"/>
    <n v="24"/>
    <n v="70.87"/>
    <n v="0"/>
  </r>
  <r>
    <s v="TCK-10477"/>
    <s v="2024-08-02 18:10:27"/>
    <s v="2024-08-03 01:49:48"/>
    <s v="P1"/>
    <x v="0"/>
    <s v="L2 Support"/>
    <s v="Anita Sharma"/>
    <s v="Closed"/>
    <n v="1"/>
    <n v="4"/>
    <n v="7.66"/>
    <n v="0"/>
  </r>
  <r>
    <s v="TCK-10478"/>
    <s v="2024-09-03 11:20:12"/>
    <s v="2024-09-04 04:31:29"/>
    <s v="P3"/>
    <x v="3"/>
    <s v="Billing Operations"/>
    <s v="Ravi Patel"/>
    <s v="Closed"/>
    <n v="4"/>
    <n v="24"/>
    <n v="17.190000000000001"/>
    <n v="1"/>
  </r>
  <r>
    <s v="TCK-10479"/>
    <s v="2024-06-23 15:15:29"/>
    <s v="2024-06-23 16:20:03"/>
    <s v="P2"/>
    <x v="3"/>
    <s v="L2 Support"/>
    <s v="John Doe"/>
    <s v="Closed"/>
    <n v="4"/>
    <n v="8"/>
    <n v="1.08"/>
    <n v="1"/>
  </r>
  <r>
    <s v="TCK-10480"/>
    <s v="2024-04-12 22:53:29"/>
    <s v="2024-04-13 00:44:38"/>
    <s v="P2"/>
    <x v="3"/>
    <s v="Infrastructure"/>
    <s v="Alex Mercer"/>
    <s v="Resolved"/>
    <n v="4"/>
    <n v="8"/>
    <n v="1.85"/>
    <n v="1"/>
  </r>
  <r>
    <s v="TCK-10481"/>
    <s v="2024-05-05 15:07:47"/>
    <s v="2024-05-06 04:45:10"/>
    <s v="P3"/>
    <x v="0"/>
    <s v="Billing Operations"/>
    <s v="Carlos Mendez"/>
    <s v="Resolved"/>
    <n v="3"/>
    <n v="24"/>
    <n v="13.62"/>
    <n v="1"/>
  </r>
  <r>
    <s v="TCK-10482"/>
    <s v="2024-10-02 04:04:12"/>
    <m/>
    <s v="P2"/>
    <x v="2"/>
    <s v="L2 Support"/>
    <s v="Ravi Patel"/>
    <s v="Open"/>
    <m/>
    <n v="8"/>
    <m/>
    <m/>
  </r>
  <r>
    <s v="TCK-10483"/>
    <s v="2024-02-06 00:59:40"/>
    <s v="2024-02-06 06:54:45"/>
    <s v="P2"/>
    <x v="0"/>
    <s v="Infrastructure"/>
    <s v="Pam Beesly"/>
    <s v="Resolved"/>
    <n v="5"/>
    <n v="8"/>
    <n v="5.92"/>
    <n v="1"/>
  </r>
  <r>
    <s v="TCK-10484"/>
    <s v="2024-08-06 08:01:06"/>
    <s v="2024-08-08 01:43:18"/>
    <s v="P4"/>
    <x v="4"/>
    <s v="L1 Support"/>
    <s v="Sarah Connor"/>
    <s v="Closed"/>
    <n v="5"/>
    <n v="48"/>
    <n v="41.7"/>
    <n v="1"/>
  </r>
  <r>
    <s v="TCK-10485"/>
    <s v="2024-08-29 13:22:01"/>
    <m/>
    <s v="P2"/>
    <x v="1"/>
    <s v="Infrastructure"/>
    <s v="Jim Halpert"/>
    <s v="Open"/>
    <m/>
    <n v="8"/>
    <m/>
    <m/>
  </r>
  <r>
    <s v="TCK-10486"/>
    <s v="2024-02-14 08:43:21"/>
    <m/>
    <s v="P3"/>
    <x v="2"/>
    <s v="Infrastructure"/>
    <s v="Alex Mercer"/>
    <s v="Open"/>
    <m/>
    <n v="24"/>
    <m/>
    <m/>
  </r>
  <r>
    <s v="TCK-10487"/>
    <s v="2024-11-15 14:36:42"/>
    <s v="2024-11-16 06:18:10"/>
    <s v="P3"/>
    <x v="1"/>
    <s v="Billing Operations"/>
    <s v="Dwight Schrute"/>
    <s v="Resolved"/>
    <n v="4"/>
    <n v="24"/>
    <n v="15.69"/>
    <n v="1"/>
  </r>
  <r>
    <s v="TCK-10488"/>
    <s v="2024-02-02 07:30:54"/>
    <s v="2024-02-03 15:39:52"/>
    <s v="P4"/>
    <x v="1"/>
    <s v="Billing Operations"/>
    <s v="Ravi Patel"/>
    <s v="Resolved"/>
    <n v="5"/>
    <n v="48"/>
    <n v="32.15"/>
    <n v="1"/>
  </r>
  <r>
    <s v="TCK-10489"/>
    <s v="2024-12-02 05:55:34"/>
    <s v="2024-12-04 17:49:20"/>
    <s v="P3"/>
    <x v="0"/>
    <s v="L2 Support"/>
    <s v="Ravi Patel"/>
    <s v="Closed"/>
    <n v="2"/>
    <n v="24"/>
    <n v="59.9"/>
    <n v="0"/>
  </r>
  <r>
    <s v="TCK-10490"/>
    <s v="2024-11-13 12:42:08"/>
    <s v="2024-11-13 21:04:23"/>
    <s v="P4"/>
    <x v="0"/>
    <s v="L2 Support"/>
    <s v="Alex Mercer"/>
    <s v="Resolved"/>
    <n v="3"/>
    <n v="48"/>
    <n v="8.3699999999999992"/>
    <n v="1"/>
  </r>
  <r>
    <s v="TCK-10491"/>
    <s v="2024-11-04 18:37:06"/>
    <s v="2024-11-04 22:10:06"/>
    <s v="P2"/>
    <x v="1"/>
    <s v="L2 Support"/>
    <s v="Michael Scott"/>
    <s v="Resolved"/>
    <n v="4"/>
    <n v="8"/>
    <n v="3.55"/>
    <n v="1"/>
  </r>
  <r>
    <s v="TCK-10492"/>
    <s v="2024-05-31 14:25:13"/>
    <s v="2024-06-01 07:07:05"/>
    <s v="P3"/>
    <x v="3"/>
    <s v="Billing Operations"/>
    <s v="Sarah Connor"/>
    <s v="Closed"/>
    <n v="3"/>
    <n v="24"/>
    <n v="16.7"/>
    <n v="1"/>
  </r>
  <r>
    <s v="TCK-10493"/>
    <s v="2024-12-26 18:01:55"/>
    <s v="2025-01-27 11:01:55"/>
    <s v="P3"/>
    <x v="2"/>
    <s v="Infrastructure"/>
    <s v="Anita Sharma"/>
    <s v="Resolved"/>
    <n v="4"/>
    <n v="24"/>
    <n v="761"/>
    <n v="0"/>
  </r>
  <r>
    <s v="TCK-10494"/>
    <s v="2024-09-13 22:23:10"/>
    <s v="2024-09-14 01:40:27"/>
    <s v="P1"/>
    <x v="1"/>
    <s v="L2 Support"/>
    <s v="John Doe"/>
    <s v="Closed"/>
    <n v="4"/>
    <n v="4"/>
    <n v="3.29"/>
    <n v="1"/>
  </r>
  <r>
    <s v="TCK-10495"/>
    <s v="2024-09-03 13:44:02"/>
    <s v="2024-09-03 15:22:18"/>
    <s v="P2"/>
    <x v="3"/>
    <s v="Infrastructure"/>
    <s v="Alex Mercer"/>
    <s v="Closed"/>
    <n v="3"/>
    <n v="8"/>
    <n v="1.64"/>
    <n v="1"/>
  </r>
  <r>
    <s v="TCK-10496"/>
    <s v="2024-08-20 01:13:35"/>
    <s v="2024-08-20 18:26:07"/>
    <s v="P3"/>
    <x v="2"/>
    <s v="L1 Support"/>
    <s v="Michael Scott"/>
    <s v="Resolved"/>
    <n v="4"/>
    <n v="24"/>
    <n v="17.21"/>
    <n v="1"/>
  </r>
  <r>
    <s v="TCK-10497"/>
    <s v="2024-12-18 01:03:54"/>
    <s v="2024-12-19 11:21:34"/>
    <s v="P3"/>
    <x v="2"/>
    <s v="L2 Support"/>
    <s v="John Doe"/>
    <s v="Resolved"/>
    <n v="1"/>
    <n v="24"/>
    <n v="34.29"/>
    <n v="0"/>
  </r>
  <r>
    <s v="TCK-10498"/>
    <s v="2024-11-06 21:22:18"/>
    <s v="2024-11-07 13:28:26"/>
    <s v="P3"/>
    <x v="0"/>
    <s v="Billing Operations"/>
    <s v="Dwight Schrute"/>
    <s v="Closed"/>
    <n v="4"/>
    <n v="24"/>
    <n v="16.100000000000001"/>
    <n v="1"/>
  </r>
  <r>
    <s v="TCK-10499"/>
    <s v="2024-03-18 00:03:55"/>
    <s v="2024-03-18 04:30:22"/>
    <s v="P3"/>
    <x v="2"/>
    <s v="Infrastructure"/>
    <s v="Pam Beesly"/>
    <s v="Resolved"/>
    <n v="5"/>
    <n v="24"/>
    <n v="4.4400000000000004"/>
    <n v="1"/>
  </r>
  <r>
    <s v="TCK-10500"/>
    <s v="2024-12-15 21:42:48"/>
    <s v="2024-12-15 23:32:58"/>
    <s v="P2"/>
    <x v="2"/>
    <s v="Infrastructure"/>
    <s v="Anita Sharma"/>
    <s v="Closed"/>
    <n v="5"/>
    <n v="8"/>
    <n v="1.84"/>
    <n v="1"/>
  </r>
  <r>
    <s v="TCK-10501"/>
    <s v="2024-11-10 00:18:26"/>
    <s v="2024-11-10 06:08:16"/>
    <s v="P2"/>
    <x v="2"/>
    <s v="L1 Support"/>
    <s v="Pam Beesly"/>
    <s v="Resolved"/>
    <n v="4"/>
    <n v="8"/>
    <n v="5.83"/>
    <n v="1"/>
  </r>
  <r>
    <s v="TCK-10502"/>
    <s v="2024-11-22 14:23:35"/>
    <s v="2024-11-22 23:01:28"/>
    <s v="P3"/>
    <x v="4"/>
    <s v="Infrastructure"/>
    <s v="Dwight Schrute"/>
    <s v="Resolved"/>
    <n v="5"/>
    <n v="24"/>
    <n v="8.6300000000000008"/>
    <n v="1"/>
  </r>
  <r>
    <s v="TCK-10503"/>
    <s v="2024-03-09 14:17:47"/>
    <s v="2024-03-10 07:39:38"/>
    <s v="P3"/>
    <x v="1"/>
    <s v="Infrastructure"/>
    <s v="John Doe"/>
    <s v="Closed"/>
    <n v="5"/>
    <n v="24"/>
    <n v="17.36"/>
    <n v="1"/>
  </r>
  <r>
    <s v="TCK-10504"/>
    <s v="2024-10-09 20:05:45"/>
    <s v="2024-10-09 21:52:23"/>
    <s v="P1"/>
    <x v="1"/>
    <s v="Billing Operations"/>
    <s v="Carlos Mendez"/>
    <s v="Resolved"/>
    <n v="5"/>
    <n v="4"/>
    <n v="1.78"/>
    <n v="1"/>
  </r>
  <r>
    <s v="TCK-10505"/>
    <s v="2024-12-18 07:21:41"/>
    <s v="2024-12-18 09:05:45"/>
    <s v="P1"/>
    <x v="2"/>
    <s v="Billing Operations"/>
    <s v="Dwight Schrute"/>
    <s v="Closed"/>
    <n v="5"/>
    <n v="4"/>
    <n v="1.73"/>
    <n v="1"/>
  </r>
  <r>
    <s v="TCK-10506"/>
    <s v="2024-08-17 07:28:38"/>
    <s v="2024-08-17 20:07:17"/>
    <s v="P3"/>
    <x v="4"/>
    <s v="Application Support"/>
    <s v="Ravi Patel"/>
    <s v="Resolved"/>
    <n v="5"/>
    <n v="24"/>
    <n v="12.64"/>
    <n v="1"/>
  </r>
  <r>
    <s v="TCK-10507"/>
    <s v="2024-11-25 15:45:48"/>
    <s v="2024-11-26 19:40:14"/>
    <s v="P4"/>
    <x v="4"/>
    <s v="L2 Support"/>
    <s v="Ravi Patel"/>
    <s v="Resolved"/>
    <n v="5"/>
    <n v="48"/>
    <n v="27.91"/>
    <n v="1"/>
  </r>
  <r>
    <s v="TCK-10508"/>
    <s v="2024-12-05 01:26:52"/>
    <s v="2024-12-05 15:42:11"/>
    <s v="P4"/>
    <x v="0"/>
    <s v="Application Support"/>
    <s v="Pam Beesly"/>
    <s v="Resolved"/>
    <n v="4"/>
    <n v="48"/>
    <n v="14.26"/>
    <n v="1"/>
  </r>
  <r>
    <s v="TCK-10509"/>
    <s v="2024-04-01 05:12:43"/>
    <s v="2024-04-01 05:46:11"/>
    <s v="P1"/>
    <x v="2"/>
    <s v="Infrastructure"/>
    <s v="Jim Halpert"/>
    <s v="Resolved"/>
    <n v="5"/>
    <n v="4"/>
    <n v="0.56000000000000005"/>
    <n v="1"/>
  </r>
  <r>
    <s v="TCK-10510"/>
    <s v="2024-05-06 04:33:42"/>
    <s v="2024-05-06 06:32:37"/>
    <s v="P2"/>
    <x v="4"/>
    <s v="Infrastructure"/>
    <s v="Priya Nair"/>
    <s v="Resolved"/>
    <n v="5"/>
    <n v="8"/>
    <n v="1.98"/>
    <n v="1"/>
  </r>
  <r>
    <s v="TCK-10511"/>
    <s v="2024-05-22 04:48:45"/>
    <s v="2024-05-23 16:26:39"/>
    <s v="P3"/>
    <x v="0"/>
    <s v="L1 Support"/>
    <s v="Ravi Patel"/>
    <s v="Resolved"/>
    <n v="2"/>
    <n v="24"/>
    <n v="35.630000000000003"/>
    <n v="0"/>
  </r>
  <r>
    <s v="TCK-10512"/>
    <s v="2024-11-13 17:11:55"/>
    <s v="2024-12-09 18:11:55"/>
    <s v="P4"/>
    <x v="2"/>
    <s v="Application Support"/>
    <s v="Anita Sharma"/>
    <s v="Resolved"/>
    <n v="1"/>
    <n v="48"/>
    <n v="625"/>
    <n v="0"/>
  </r>
  <r>
    <s v="TCK-10513"/>
    <s v="2024-07-19 03:52:20"/>
    <s v="2024-07-19 08:41:10"/>
    <s v="P3"/>
    <x v="2"/>
    <s v="L2 Support"/>
    <s v="John Doe"/>
    <s v="Resolved"/>
    <n v="4"/>
    <n v="24"/>
    <n v="4.8099999999999996"/>
    <n v="1"/>
  </r>
  <r>
    <s v="TCK-10514"/>
    <s v="2024-11-11 08:40:36"/>
    <s v="2024-11-11 15:08:36"/>
    <s v="P2"/>
    <x v="1"/>
    <s v="Application Support"/>
    <s v="Dwight Schrute"/>
    <s v="Resolved"/>
    <n v="3"/>
    <n v="8"/>
    <n v="6.47"/>
    <n v="1"/>
  </r>
  <r>
    <s v="TCK-10515"/>
    <s v="2024-01-18 02:08:03"/>
    <s v="2024-01-18 12:49:30"/>
    <s v="P2"/>
    <x v="3"/>
    <s v="L2 Support"/>
    <s v="Carlos Mendez"/>
    <s v="Resolved"/>
    <n v="1"/>
    <n v="8"/>
    <n v="10.69"/>
    <n v="0"/>
  </r>
  <r>
    <s v="TCK-10516"/>
    <s v="2024-12-24 13:49:40"/>
    <s v="2024-12-25 09:35:03"/>
    <s v="P2"/>
    <x v="4"/>
    <s v="Billing Operations"/>
    <s v="Anita Sharma"/>
    <s v="Closed"/>
    <n v="3"/>
    <n v="8"/>
    <n v="19.760000000000002"/>
    <n v="0"/>
  </r>
  <r>
    <s v="TCK-10517"/>
    <s v="2024-02-03 15:14:02"/>
    <s v="2024-02-04 09:00:25"/>
    <s v="P2"/>
    <x v="3"/>
    <s v="Application Support"/>
    <s v="Dwight Schrute"/>
    <s v="Resolved"/>
    <n v="3"/>
    <n v="8"/>
    <n v="17.77"/>
    <n v="0"/>
  </r>
  <r>
    <s v="TCK-10518"/>
    <s v="2024-11-14 23:10:40"/>
    <s v="2024-11-15 20:23:37"/>
    <s v="P3"/>
    <x v="3"/>
    <s v="Billing Operations"/>
    <s v="Michael Scott"/>
    <s v="Resolved"/>
    <n v="5"/>
    <n v="24"/>
    <n v="21.22"/>
    <n v="1"/>
  </r>
  <r>
    <s v="TCK-10519"/>
    <s v="2024-01-28 01:39:44"/>
    <s v="2024-01-28 17:55:48"/>
    <s v="P2"/>
    <x v="2"/>
    <s v="L1 Support"/>
    <s v="Alex Mercer"/>
    <s v="Resolved"/>
    <n v="2"/>
    <n v="8"/>
    <n v="16.27"/>
    <n v="0"/>
  </r>
  <r>
    <s v="TCK-10520"/>
    <s v="2024-02-28 10:00:40"/>
    <s v="2024-02-28 22:40:44"/>
    <s v="P3"/>
    <x v="1"/>
    <s v="Billing Operations"/>
    <s v="Anita Sharma"/>
    <s v="Resolved"/>
    <n v="4"/>
    <n v="24"/>
    <n v="12.67"/>
    <n v="1"/>
  </r>
  <r>
    <s v="TCK-10521"/>
    <s v="2024-07-06 14:48:40"/>
    <s v="2024-07-07 06:27:19"/>
    <s v="P3"/>
    <x v="4"/>
    <s v="Billing Operations"/>
    <s v="Alex Mercer"/>
    <s v="Closed"/>
    <n v="5"/>
    <n v="24"/>
    <n v="15.64"/>
    <n v="1"/>
  </r>
  <r>
    <s v="TCK-10522"/>
    <s v="2024-05-24 04:10:04"/>
    <m/>
    <s v="P4"/>
    <x v="3"/>
    <s v="Application Support"/>
    <s v="Emily Watson"/>
    <s v="Open"/>
    <m/>
    <n v="48"/>
    <m/>
    <m/>
  </r>
  <r>
    <s v="TCK-10523"/>
    <s v="2024-07-06 13:42:58"/>
    <m/>
    <s v="P3"/>
    <x v="2"/>
    <s v="Billing Operations"/>
    <s v="Priya Nair"/>
    <s v="Open"/>
    <m/>
    <n v="24"/>
    <m/>
    <m/>
  </r>
  <r>
    <s v="TCK-10524"/>
    <s v="2024-11-21 11:10:52"/>
    <s v="2024-11-22 07:06:20"/>
    <s v="P3"/>
    <x v="1"/>
    <s v="L2 Support"/>
    <s v="Michael Scott"/>
    <s v="Resolved"/>
    <n v="4"/>
    <n v="24"/>
    <n v="19.920000000000002"/>
    <n v="1"/>
  </r>
  <r>
    <s v="TCK-10525"/>
    <s v="2024-12-06 20:03:15"/>
    <s v="2024-12-07 09:06:50"/>
    <s v="P3"/>
    <x v="2"/>
    <s v="L1 Support"/>
    <s v="Priya Nair"/>
    <s v="Closed"/>
    <n v="5"/>
    <n v="24"/>
    <n v="13.06"/>
    <n v="1"/>
  </r>
  <r>
    <s v="TCK-10526"/>
    <s v="2024-05-25 23:31:54"/>
    <s v="2024-05-26 15:13:25"/>
    <s v="P3"/>
    <x v="3"/>
    <s v="Infrastructure"/>
    <s v="Jim Halpert"/>
    <s v="Resolved"/>
    <n v="4"/>
    <n v="24"/>
    <n v="15.69"/>
    <n v="1"/>
  </r>
  <r>
    <s v="TCK-10527"/>
    <s v="2024-11-28 08:57:45"/>
    <m/>
    <s v="P3"/>
    <x v="3"/>
    <s v="Billing Operations"/>
    <s v="Michael Scott"/>
    <s v="Escalated"/>
    <m/>
    <n v="24"/>
    <m/>
    <m/>
  </r>
  <r>
    <s v="TCK-10528"/>
    <s v="2024-06-03 16:32:28"/>
    <s v="2024-06-04 04:48:35"/>
    <s v="P3"/>
    <x v="2"/>
    <s v="Billing Operations"/>
    <s v="Dwight Schrute"/>
    <s v="Resolved"/>
    <n v="5"/>
    <n v="24"/>
    <n v="12.27"/>
    <n v="1"/>
  </r>
  <r>
    <s v="TCK-10529"/>
    <s v="2024-08-12 16:05:56"/>
    <s v="2024-08-12 22:13:26"/>
    <s v="P2"/>
    <x v="0"/>
    <s v="L2 Support"/>
    <s v="Carlos Mendez"/>
    <s v="Resolved"/>
    <n v="5"/>
    <n v="8"/>
    <n v="6.12"/>
    <n v="1"/>
  </r>
  <r>
    <s v="TCK-10530"/>
    <s v="2024-02-09 06:39:52"/>
    <s v="2024-02-09 07:49:06"/>
    <s v="P2"/>
    <x v="2"/>
    <s v="Infrastructure"/>
    <s v="Ravi Patel"/>
    <s v="Closed"/>
    <n v="4"/>
    <n v="8"/>
    <n v="1.1499999999999999"/>
    <n v="1"/>
  </r>
  <r>
    <s v="TCK-10531"/>
    <s v="2024-09-04 06:47:58"/>
    <m/>
    <s v="P1"/>
    <x v="0"/>
    <s v="L2 Support"/>
    <s v="Dwight Schrute"/>
    <s v="Open"/>
    <m/>
    <n v="4"/>
    <m/>
    <m/>
  </r>
  <r>
    <s v="TCK-10532"/>
    <s v="2024-06-18 10:00:42"/>
    <s v="2024-06-18 13:34:33"/>
    <s v="P1"/>
    <x v="2"/>
    <s v="Infrastructure"/>
    <s v="Sarah Connor"/>
    <s v="Closed"/>
    <n v="4"/>
    <n v="4"/>
    <n v="3.56"/>
    <n v="1"/>
  </r>
  <r>
    <s v="TCK-10533"/>
    <s v="2024-09-12 03:59:47"/>
    <m/>
    <s v="P3"/>
    <x v="0"/>
    <s v="Billing Operations"/>
    <s v="Alex Mercer"/>
    <s v="Open"/>
    <m/>
    <n v="24"/>
    <m/>
    <m/>
  </r>
  <r>
    <s v="TCK-10534"/>
    <s v="2024-11-14 21:05:09"/>
    <s v="2024-11-15 13:34:08"/>
    <s v="P2"/>
    <x v="2"/>
    <s v="L1 Support"/>
    <s v="Emily Watson"/>
    <s v="Closed"/>
    <n v="1"/>
    <n v="8"/>
    <n v="16.48"/>
    <n v="0"/>
  </r>
  <r>
    <s v="TCK-10535"/>
    <s v="2024-10-31 19:01:53"/>
    <s v="2024-11-01 02:18:44"/>
    <s v="P3"/>
    <x v="2"/>
    <s v="L2 Support"/>
    <s v="Anita Sharma"/>
    <s v="Resolved"/>
    <n v="3"/>
    <n v="24"/>
    <n v="7.28"/>
    <n v="1"/>
  </r>
  <r>
    <s v="TCK-10536"/>
    <s v="2024-03-02 11:29:29"/>
    <s v="2024-03-02 12:34:20"/>
    <s v="P1"/>
    <x v="2"/>
    <s v="Application Support"/>
    <s v="Pam Beesly"/>
    <s v="Closed"/>
    <n v="3"/>
    <n v="4"/>
    <n v="1.08"/>
    <n v="1"/>
  </r>
  <r>
    <s v="TCK-10537"/>
    <s v="2024-09-30 14:13:54"/>
    <s v="2024-09-30 21:08:48"/>
    <s v="P1"/>
    <x v="1"/>
    <s v="Infrastructure"/>
    <s v="Priya Nair"/>
    <s v="Closed"/>
    <n v="4"/>
    <n v="4"/>
    <n v="6.92"/>
    <n v="0"/>
  </r>
  <r>
    <s v="TCK-10538"/>
    <s v="2024-04-17 17:14:23"/>
    <s v="2024-04-17 20:48:29"/>
    <s v="P2"/>
    <x v="4"/>
    <s v="Application Support"/>
    <s v="Jim Halpert"/>
    <s v="Closed"/>
    <n v="4"/>
    <n v="8"/>
    <n v="3.57"/>
    <n v="1"/>
  </r>
  <r>
    <s v="TCK-10539"/>
    <s v="2024-01-29 10:41:10"/>
    <m/>
    <s v="P3"/>
    <x v="2"/>
    <s v="L1 Support"/>
    <s v="Ravi Patel"/>
    <s v="Open"/>
    <m/>
    <n v="24"/>
    <m/>
    <m/>
  </r>
  <r>
    <s v="TCK-10540"/>
    <s v="2024-12-06 13:57:55"/>
    <s v="2024-12-07 02:13:52"/>
    <s v="P3"/>
    <x v="0"/>
    <s v="Infrastructure"/>
    <s v="Priya Nair"/>
    <s v="Resolved"/>
    <n v="4"/>
    <n v="24"/>
    <n v="12.27"/>
    <n v="1"/>
  </r>
  <r>
    <s v="TCK-10541"/>
    <s v="2024-05-12 05:52:03"/>
    <s v="2024-05-12 21:11:11"/>
    <s v="P4"/>
    <x v="2"/>
    <s v="Application Support"/>
    <s v="Anita Sharma"/>
    <s v="Closed"/>
    <n v="4"/>
    <n v="48"/>
    <n v="15.32"/>
    <n v="1"/>
  </r>
  <r>
    <s v="TCK-10542"/>
    <s v="2024-11-02 14:48:24"/>
    <s v="2024-11-03 17:27:40"/>
    <s v="P4"/>
    <x v="3"/>
    <s v="L2 Support"/>
    <s v="Pam Beesly"/>
    <s v="Resolved"/>
    <n v="5"/>
    <n v="48"/>
    <n v="26.65"/>
    <n v="1"/>
  </r>
  <r>
    <s v="TCK-10543"/>
    <s v="2024-04-12 14:35:49"/>
    <s v="2024-04-12 17:31:52"/>
    <s v="P2"/>
    <x v="1"/>
    <s v="Infrastructure"/>
    <s v="Sarah Connor"/>
    <s v="Closed"/>
    <n v="4"/>
    <n v="8"/>
    <n v="2.93"/>
    <n v="1"/>
  </r>
  <r>
    <s v="TCK-10544"/>
    <s v="2024-08-11 03:23:21"/>
    <s v="2024-08-11 05:50:06"/>
    <s v="P2"/>
    <x v="4"/>
    <s v="L2 Support"/>
    <s v="Dwight Schrute"/>
    <s v="Closed"/>
    <n v="4"/>
    <n v="8"/>
    <n v="2.4500000000000002"/>
    <n v="1"/>
  </r>
  <r>
    <s v="TCK-10545"/>
    <s v="2024-03-30 08:22:08"/>
    <s v="2024-03-30 15:25:34"/>
    <s v="P2"/>
    <x v="2"/>
    <s v="Billing Operations"/>
    <s v="Pam Beesly"/>
    <s v="Resolved"/>
    <n v="5"/>
    <n v="8"/>
    <n v="7.06"/>
    <n v="1"/>
  </r>
  <r>
    <s v="TCK-10546"/>
    <s v="2024-09-14 23:33:38"/>
    <s v="2024-09-15 08:23:42"/>
    <s v="P3"/>
    <x v="1"/>
    <s v="Billing Operations"/>
    <s v="Alex Mercer"/>
    <s v="Closed"/>
    <n v="5"/>
    <n v="24"/>
    <n v="8.83"/>
    <n v="1"/>
  </r>
  <r>
    <s v="TCK-10547"/>
    <s v="2024-12-08 11:23:46"/>
    <m/>
    <s v="P4"/>
    <x v="0"/>
    <s v="Application Support"/>
    <s v="John Doe"/>
    <s v="Escalated"/>
    <m/>
    <n v="48"/>
    <m/>
    <m/>
  </r>
  <r>
    <s v="TCK-10548"/>
    <s v="2024-12-22 01:48:08"/>
    <s v="2024-12-22 13:57:35"/>
    <s v="P3"/>
    <x v="2"/>
    <s v="Billing Operations"/>
    <s v="John Doe"/>
    <s v="Resolved"/>
    <n v="5"/>
    <n v="24"/>
    <n v="12.16"/>
    <n v="1"/>
  </r>
  <r>
    <s v="TCK-10549"/>
    <s v="2024-07-14 11:24:30"/>
    <m/>
    <s v="P2"/>
    <x v="0"/>
    <s v="L2 Support"/>
    <s v="Dwight Schrute"/>
    <s v="Escalated"/>
    <m/>
    <n v="8"/>
    <m/>
    <m/>
  </r>
  <r>
    <s v="TCK-10550"/>
    <s v="2024-09-28 12:06:39"/>
    <s v="2024-09-28 16:33:57"/>
    <s v="P3"/>
    <x v="2"/>
    <s v="L1 Support"/>
    <s v="Alex Mercer"/>
    <s v="Closed"/>
    <n v="4"/>
    <n v="24"/>
    <n v="4.46"/>
    <n v="1"/>
  </r>
  <r>
    <s v="TCK-10551"/>
    <s v="2024-12-01 00:56:59"/>
    <s v="2024-12-01 04:14:16"/>
    <s v="P2"/>
    <x v="2"/>
    <s v="L2 Support"/>
    <s v="Michael Scott"/>
    <s v="Resolved"/>
    <n v="4"/>
    <n v="8"/>
    <n v="3.29"/>
    <n v="1"/>
  </r>
  <r>
    <s v="TCK-10552"/>
    <s v="2024-03-23 02:18:17"/>
    <s v="2024-03-23 07:22:47"/>
    <s v="P3"/>
    <x v="0"/>
    <s v="Infrastructure"/>
    <s v="Jim Halpert"/>
    <s v="Resolved"/>
    <n v="5"/>
    <n v="24"/>
    <n v="5.08"/>
    <n v="1"/>
  </r>
  <r>
    <s v="TCK-10553"/>
    <s v="2024-03-30 02:23:47"/>
    <s v="2024-03-30 13:08:48"/>
    <s v="P4"/>
    <x v="0"/>
    <s v="L2 Support"/>
    <s v="Ravi Patel"/>
    <s v="Resolved"/>
    <n v="5"/>
    <n v="48"/>
    <n v="10.75"/>
    <n v="1"/>
  </r>
  <r>
    <s v="TCK-10554"/>
    <s v="2024-02-28 09:53:20"/>
    <s v="2024-03-01 16:36:12"/>
    <s v="P3"/>
    <x v="2"/>
    <s v="Application Support"/>
    <s v="Dwight Schrute"/>
    <s v="Resolved"/>
    <n v="2"/>
    <n v="24"/>
    <n v="54.71"/>
    <n v="0"/>
  </r>
  <r>
    <s v="TCK-10555"/>
    <s v="2024-05-02 22:47:28"/>
    <s v="2024-05-03 04:31:23"/>
    <s v="P3"/>
    <x v="2"/>
    <s v="Billing Operations"/>
    <s v="Anita Sharma"/>
    <s v="Resolved"/>
    <n v="4"/>
    <n v="24"/>
    <n v="5.73"/>
    <n v="1"/>
  </r>
  <r>
    <s v="TCK-10556"/>
    <s v="2024-04-09 02:09:05"/>
    <s v="2024-04-09 15:58:57"/>
    <s v="P3"/>
    <x v="2"/>
    <s v="Application Support"/>
    <s v="Priya Nair"/>
    <s v="Resolved"/>
    <n v="5"/>
    <n v="24"/>
    <n v="13.83"/>
    <n v="1"/>
  </r>
  <r>
    <s v="TCK-10557"/>
    <s v="2024-04-10 10:04:34"/>
    <m/>
    <s v="P2"/>
    <x v="2"/>
    <s v="Infrastructure"/>
    <s v="Carlos Mendez"/>
    <s v="Escalated"/>
    <m/>
    <n v="8"/>
    <m/>
    <m/>
  </r>
  <r>
    <s v="TCK-10558"/>
    <s v="2024-03-18 14:25:26"/>
    <m/>
    <s v="P3"/>
    <x v="3"/>
    <s v="Billing Operations"/>
    <s v="John Doe"/>
    <s v="Escalated"/>
    <m/>
    <n v="24"/>
    <m/>
    <m/>
  </r>
  <r>
    <s v="TCK-10559"/>
    <s v="2024-04-20 20:44:44"/>
    <s v="2024-04-21 11:39:51"/>
    <s v="P3"/>
    <x v="3"/>
    <s v="Application Support"/>
    <s v="Priya Nair"/>
    <s v="Resolved"/>
    <n v="4"/>
    <n v="24"/>
    <n v="14.92"/>
    <n v="1"/>
  </r>
  <r>
    <s v="TCK-10560"/>
    <s v="2024-02-26 14:05:03"/>
    <s v="2024-02-28 05:31:09"/>
    <s v="P4"/>
    <x v="3"/>
    <s v="Infrastructure"/>
    <s v="Jim Halpert"/>
    <s v="Closed"/>
    <n v="3"/>
    <n v="48"/>
    <n v="39.44"/>
    <n v="1"/>
  </r>
  <r>
    <s v="TCK-10561"/>
    <s v="2024-03-04 05:56:40"/>
    <s v="2024-03-04 08:35:20"/>
    <s v="P2"/>
    <x v="2"/>
    <s v="Infrastructure"/>
    <s v="Priya Nair"/>
    <s v="Resolved"/>
    <n v="4"/>
    <n v="8"/>
    <n v="2.64"/>
    <n v="1"/>
  </r>
  <r>
    <s v="TCK-10562"/>
    <s v="2024-12-01 09:56:21"/>
    <s v="2024-12-01 15:40:54"/>
    <s v="P4"/>
    <x v="0"/>
    <s v="Billing Operations"/>
    <s v="Dwight Schrute"/>
    <s v="Resolved"/>
    <n v="5"/>
    <n v="48"/>
    <n v="5.74"/>
    <n v="1"/>
  </r>
  <r>
    <s v="TCK-10563"/>
    <s v="2024-09-14 10:29:50"/>
    <s v="2024-09-14 11:43:51"/>
    <s v="P2"/>
    <x v="0"/>
    <s v="L1 Support"/>
    <s v="Emily Watson"/>
    <s v="Resolved"/>
    <n v="5"/>
    <n v="8"/>
    <n v="1.23"/>
    <n v="1"/>
  </r>
  <r>
    <s v="TCK-10564"/>
    <s v="2024-08-01 07:46:22"/>
    <s v="2024-08-01 08:27:33"/>
    <s v="P1"/>
    <x v="0"/>
    <s v="Billing Operations"/>
    <s v="Sarah Connor"/>
    <s v="Resolved"/>
    <n v="5"/>
    <n v="4"/>
    <n v="0.69"/>
    <n v="1"/>
  </r>
  <r>
    <s v="TCK-10565"/>
    <s v="2024-05-31 17:37:48"/>
    <s v="2024-06-01 00:07:54"/>
    <s v="P2"/>
    <x v="2"/>
    <s v="Infrastructure"/>
    <s v="Dwight Schrute"/>
    <s v="Closed"/>
    <n v="3"/>
    <n v="8"/>
    <n v="6.5"/>
    <n v="1"/>
  </r>
  <r>
    <s v="TCK-10566"/>
    <s v="2024-09-15 00:43:34"/>
    <m/>
    <s v="P3"/>
    <x v="4"/>
    <s v="Application Support"/>
    <s v="Dwight Schrute"/>
    <s v="Escalated"/>
    <m/>
    <n v="24"/>
    <m/>
    <m/>
  </r>
  <r>
    <s v="TCK-10567"/>
    <s v="2024-07-29 06:36:34"/>
    <s v="2024-07-30 06:02:11"/>
    <s v="P4"/>
    <x v="2"/>
    <s v="L2 Support"/>
    <s v="Priya Nair"/>
    <s v="Resolved"/>
    <n v="5"/>
    <n v="48"/>
    <n v="23.43"/>
    <n v="1"/>
  </r>
  <r>
    <s v="TCK-10568"/>
    <s v="2024-12-07 00:58:12"/>
    <m/>
    <s v="P3"/>
    <x v="2"/>
    <s v="Billing Operations"/>
    <s v="Michael Scott"/>
    <s v="Open"/>
    <m/>
    <n v="24"/>
    <m/>
    <m/>
  </r>
  <r>
    <s v="TCK-10569"/>
    <s v="2024-07-06 09:19:08"/>
    <s v="2024-07-06 17:54:42"/>
    <s v="P3"/>
    <x v="0"/>
    <s v="Application Support"/>
    <s v="Michael Scott"/>
    <s v="Resolved"/>
    <n v="3"/>
    <n v="24"/>
    <n v="8.59"/>
    <n v="1"/>
  </r>
  <r>
    <s v="TCK-10570"/>
    <s v="2024-11-12 23:53:25"/>
    <s v="2024-11-13 12:19:32"/>
    <s v="P3"/>
    <x v="1"/>
    <s v="Infrastructure"/>
    <s v="Dwight Schrute"/>
    <s v="Resolved"/>
    <n v="5"/>
    <n v="24"/>
    <n v="12.44"/>
    <n v="1"/>
  </r>
  <r>
    <s v="TCK-10571"/>
    <s v="2024-04-26 16:34:20"/>
    <s v="2024-04-26 18:14:33"/>
    <s v="P1"/>
    <x v="2"/>
    <s v="Infrastructure"/>
    <s v="Anita Sharma"/>
    <s v="Resolved"/>
    <n v="4"/>
    <n v="4"/>
    <n v="1.67"/>
    <n v="1"/>
  </r>
  <r>
    <s v="TCK-10572"/>
    <s v="2024-08-06 00:44:43"/>
    <m/>
    <s v="P3"/>
    <x v="2"/>
    <s v="Application Support"/>
    <s v="Jim Halpert"/>
    <s v="Open"/>
    <m/>
    <n v="24"/>
    <m/>
    <m/>
  </r>
  <r>
    <s v="TCK-10573"/>
    <s v="2024-11-07 00:09:32"/>
    <s v="2024-11-07 15:55:36"/>
    <s v="P4"/>
    <x v="0"/>
    <s v="Infrastructure"/>
    <s v="Michael Scott"/>
    <s v="Closed"/>
    <n v="4"/>
    <n v="48"/>
    <n v="15.77"/>
    <n v="1"/>
  </r>
  <r>
    <s v="TCK-10574"/>
    <s v="2024-01-27 22:07:49"/>
    <s v="2024-01-28 02:16:33"/>
    <s v="P2"/>
    <x v="2"/>
    <s v="Application Support"/>
    <s v="Anita Sharma"/>
    <s v="Resolved"/>
    <n v="4"/>
    <n v="8"/>
    <n v="4.1500000000000004"/>
    <n v="1"/>
  </r>
  <r>
    <s v="TCK-10575"/>
    <s v="2024-02-29 10:08:03"/>
    <s v="2024-02-29 12:01:29"/>
    <s v="P1"/>
    <x v="2"/>
    <s v="L2 Support"/>
    <s v="Sarah Connor"/>
    <s v="Resolved"/>
    <n v="3"/>
    <n v="4"/>
    <n v="1.89"/>
    <n v="1"/>
  </r>
  <r>
    <s v="TCK-10576"/>
    <s v="2024-02-05 08:41:48"/>
    <s v="2024-02-05 16:16:58"/>
    <s v="P2"/>
    <x v="2"/>
    <s v="Infrastructure"/>
    <s v="Jim Halpert"/>
    <s v="Resolved"/>
    <n v="4"/>
    <n v="8"/>
    <n v="7.59"/>
    <n v="1"/>
  </r>
  <r>
    <s v="TCK-10577"/>
    <s v="2024-11-03 16:36:46"/>
    <s v="2024-11-03 18:51:34"/>
    <s v="P1"/>
    <x v="1"/>
    <s v="L2 Support"/>
    <s v="Alex Mercer"/>
    <s v="Resolved"/>
    <n v="4"/>
    <n v="4"/>
    <n v="2.25"/>
    <n v="1"/>
  </r>
  <r>
    <s v="TCK-10578"/>
    <s v="2024-12-14 04:31:10"/>
    <m/>
    <s v="P4"/>
    <x v="0"/>
    <s v="L1 Support"/>
    <s v="Sarah Connor"/>
    <s v="Escalated"/>
    <m/>
    <n v="48"/>
    <m/>
    <m/>
  </r>
  <r>
    <s v="TCK-10579"/>
    <s v="2024-10-04 21:19:26"/>
    <s v="2024-10-05 01:15:27"/>
    <s v="P2"/>
    <x v="0"/>
    <s v="Application Support"/>
    <s v="Emily Watson"/>
    <s v="Closed"/>
    <n v="5"/>
    <n v="8"/>
    <n v="3.93"/>
    <n v="1"/>
  </r>
  <r>
    <s v="TCK-10580"/>
    <s v="2024-07-21 17:22:07"/>
    <m/>
    <s v="P3"/>
    <x v="2"/>
    <s v="Application Support"/>
    <s v="Carlos Mendez"/>
    <s v="Escalated"/>
    <m/>
    <n v="24"/>
    <m/>
    <m/>
  </r>
  <r>
    <s v="TCK-10581"/>
    <s v="2024-12-29 22:09:30"/>
    <m/>
    <s v="P2"/>
    <x v="3"/>
    <s v="L1 Support"/>
    <s v="Priya Nair"/>
    <s v="Open"/>
    <m/>
    <n v="8"/>
    <m/>
    <m/>
  </r>
  <r>
    <s v="TCK-10582"/>
    <s v="2024-07-21 15:23:04"/>
    <s v="2024-07-21 20:43:04"/>
    <s v="P2"/>
    <x v="2"/>
    <s v="Infrastructure"/>
    <s v="Emily Watson"/>
    <s v="Resolved"/>
    <n v="5"/>
    <n v="8"/>
    <n v="5.33"/>
    <n v="1"/>
  </r>
  <r>
    <s v="TCK-10583"/>
    <s v="2024-04-01 23:21:39"/>
    <s v="2024-04-02 06:43:11"/>
    <s v="P3"/>
    <x v="2"/>
    <s v="L2 Support"/>
    <s v="Michael Scott"/>
    <s v="Closed"/>
    <n v="5"/>
    <n v="24"/>
    <n v="7.36"/>
    <n v="1"/>
  </r>
  <r>
    <s v="TCK-10584"/>
    <s v="2024-08-14 00:01:49"/>
    <s v="2024-08-14 05:38:50"/>
    <s v="P3"/>
    <x v="2"/>
    <s v="Billing Operations"/>
    <s v="John Doe"/>
    <s v="Resolved"/>
    <n v="3"/>
    <n v="24"/>
    <n v="5.62"/>
    <n v="1"/>
  </r>
  <r>
    <s v="TCK-10585"/>
    <s v="2024-08-28 14:11:16"/>
    <s v="2024-08-28 18:38:05"/>
    <s v="P2"/>
    <x v="4"/>
    <s v="L1 Support"/>
    <s v="Alex Mercer"/>
    <s v="Resolved"/>
    <n v="4"/>
    <n v="8"/>
    <n v="4.45"/>
    <n v="1"/>
  </r>
  <r>
    <s v="TCK-10586"/>
    <s v="2024-07-08 19:01:30"/>
    <s v="2024-07-08 22:23:37"/>
    <s v="P2"/>
    <x v="4"/>
    <s v="Infrastructure"/>
    <s v="Dwight Schrute"/>
    <s v="Closed"/>
    <n v="5"/>
    <n v="8"/>
    <n v="3.37"/>
    <n v="1"/>
  </r>
  <r>
    <s v="TCK-10587"/>
    <s v="2024-04-07 16:39:29"/>
    <s v="2024-04-08 05:12:03"/>
    <s v="P4"/>
    <x v="2"/>
    <s v="Application Support"/>
    <s v="Ravi Patel"/>
    <s v="Resolved"/>
    <n v="4"/>
    <n v="48"/>
    <n v="12.54"/>
    <n v="1"/>
  </r>
  <r>
    <s v="TCK-10588"/>
    <s v="2024-05-15 08:28:10"/>
    <s v="2024-05-15 12:19:30"/>
    <s v="P2"/>
    <x v="2"/>
    <s v="Billing Operations"/>
    <s v="Ravi Patel"/>
    <s v="Resolved"/>
    <n v="5"/>
    <n v="8"/>
    <n v="3.86"/>
    <n v="1"/>
  </r>
  <r>
    <s v="TCK-10589"/>
    <s v="2024-07-29 16:08:00"/>
    <s v="2024-07-31 22:20:12"/>
    <s v="P3"/>
    <x v="1"/>
    <s v="Billing Operations"/>
    <s v="Jim Halpert"/>
    <s v="Closed"/>
    <n v="2"/>
    <n v="24"/>
    <n v="54.2"/>
    <n v="0"/>
  </r>
  <r>
    <s v="TCK-10590"/>
    <s v="2024-08-29 04:39:28"/>
    <s v="2024-08-29 10:39:28"/>
    <s v="P2"/>
    <x v="0"/>
    <s v="Billing Operations"/>
    <s v="Jim Halpert"/>
    <s v="Resolved"/>
    <n v="4"/>
    <n v="8"/>
    <n v="6"/>
    <n v="1"/>
  </r>
  <r>
    <s v="TCK-10591"/>
    <s v="2024-04-20 06:57:15"/>
    <s v="2024-04-20 13:26:00"/>
    <s v="P2"/>
    <x v="3"/>
    <s v="L1 Support"/>
    <s v="Sarah Connor"/>
    <s v="Resolved"/>
    <n v="4"/>
    <n v="8"/>
    <n v="6.48"/>
    <n v="1"/>
  </r>
  <r>
    <s v="TCK-10592"/>
    <s v="2024-12-05 13:32:34"/>
    <s v="2024-12-05 15:15:50"/>
    <s v="P1"/>
    <x v="1"/>
    <s v="L2 Support"/>
    <s v="Sarah Connor"/>
    <s v="Resolved"/>
    <n v="4"/>
    <n v="4"/>
    <n v="1.72"/>
    <n v="1"/>
  </r>
  <r>
    <s v="TCK-10593"/>
    <s v="2024-08-30 15:49:35"/>
    <s v="2024-08-31 13:12:09"/>
    <s v="P3"/>
    <x v="2"/>
    <s v="Infrastructure"/>
    <s v="Emily Watson"/>
    <s v="Closed"/>
    <n v="4"/>
    <n v="24"/>
    <n v="21.38"/>
    <n v="1"/>
  </r>
  <r>
    <s v="TCK-10594"/>
    <s v="2024-07-10 04:13:52"/>
    <s v="2024-07-11 23:18:41"/>
    <s v="P4"/>
    <x v="0"/>
    <s v="Application Support"/>
    <s v="Carlos Mendez"/>
    <s v="Resolved"/>
    <n v="4"/>
    <n v="48"/>
    <n v="43.08"/>
    <n v="1"/>
  </r>
  <r>
    <s v="TCK-10595"/>
    <s v="2024-05-23 15:58:08"/>
    <s v="2024-05-24 11:23:30"/>
    <s v="P3"/>
    <x v="1"/>
    <s v="Billing Operations"/>
    <s v="Michael Scott"/>
    <s v="Resolved"/>
    <n v="3"/>
    <n v="24"/>
    <n v="19.420000000000002"/>
    <n v="1"/>
  </r>
  <r>
    <s v="TCK-10596"/>
    <s v="2024-03-25 04:20:03"/>
    <s v="2024-03-26 11:56:05"/>
    <s v="P4"/>
    <x v="1"/>
    <s v="L2 Support"/>
    <s v="Ravi Patel"/>
    <s v="Resolved"/>
    <n v="5"/>
    <n v="48"/>
    <n v="31.6"/>
    <n v="1"/>
  </r>
  <r>
    <s v="TCK-10597"/>
    <s v="2024-03-10 19:26:57"/>
    <s v="2024-03-11 12:10:52"/>
    <s v="P3"/>
    <x v="3"/>
    <s v="L1 Support"/>
    <s v="Carlos Mendez"/>
    <s v="Closed"/>
    <n v="4"/>
    <n v="24"/>
    <n v="16.73"/>
    <n v="1"/>
  </r>
  <r>
    <s v="TCK-10598"/>
    <s v="2024-02-10 18:18:16"/>
    <s v="2024-02-11 01:53:37"/>
    <s v="P2"/>
    <x v="1"/>
    <s v="Application Support"/>
    <s v="Ravi Patel"/>
    <s v="Resolved"/>
    <n v="4"/>
    <n v="8"/>
    <n v="7.59"/>
    <n v="1"/>
  </r>
  <r>
    <s v="TCK-10599"/>
    <s v="2024-05-17 03:53:54"/>
    <s v="2024-05-18 18:24:19"/>
    <s v="P4"/>
    <x v="3"/>
    <s v="Infrastructure"/>
    <s v="Pam Beesly"/>
    <s v="Resolved"/>
    <n v="4"/>
    <n v="48"/>
    <n v="38.51"/>
    <n v="1"/>
  </r>
  <r>
    <s v="TCK-10600"/>
    <s v="2024-04-03 19:41:48"/>
    <s v="2024-04-05 17:50:22"/>
    <s v="P3"/>
    <x v="2"/>
    <s v="Billing Operations"/>
    <s v="Priya Nair"/>
    <s v="Resolved"/>
    <n v="2"/>
    <n v="24"/>
    <n v="46.14"/>
    <n v="0"/>
  </r>
  <r>
    <s v="TCK-10601"/>
    <s v="2024-10-09 09:43:49"/>
    <s v="2024-10-09 13:58:53"/>
    <s v="P1"/>
    <x v="2"/>
    <s v="L1 Support"/>
    <s v="Ravi Patel"/>
    <s v="Resolved"/>
    <n v="4"/>
    <n v="4"/>
    <n v="4.25"/>
    <n v="0"/>
  </r>
  <r>
    <s v="TCK-10602"/>
    <s v="2024-03-24 18:17:37"/>
    <s v="2024-03-25 22:24:55"/>
    <s v="P4"/>
    <x v="1"/>
    <s v="Infrastructure"/>
    <s v="Ravi Patel"/>
    <s v="Resolved"/>
    <n v="3"/>
    <n v="48"/>
    <n v="28.12"/>
    <n v="1"/>
  </r>
  <r>
    <s v="TCK-10603"/>
    <s v="2024-06-28 02:57:27"/>
    <s v="2024-06-28 11:29:01"/>
    <s v="P3"/>
    <x v="1"/>
    <s v="Infrastructure"/>
    <s v="Anita Sharma"/>
    <s v="Resolved"/>
    <n v="5"/>
    <n v="24"/>
    <n v="8.5299999999999994"/>
    <n v="1"/>
  </r>
  <r>
    <s v="TCK-10604"/>
    <s v="2024-08-09 08:04:10"/>
    <s v="2024-08-14 03:00:55"/>
    <s v="P4"/>
    <x v="0"/>
    <s v="Infrastructure"/>
    <s v="Dwight Schrute"/>
    <s v="Resolved"/>
    <n v="2"/>
    <n v="48"/>
    <n v="114.95"/>
    <n v="0"/>
  </r>
  <r>
    <s v="TCK-10605"/>
    <s v="2024-12-18 19:57:49"/>
    <s v="2024-12-18 23:00:57"/>
    <s v="P1"/>
    <x v="3"/>
    <s v="L1 Support"/>
    <s v="Priya Nair"/>
    <s v="Closed"/>
    <n v="5"/>
    <n v="4"/>
    <n v="3.05"/>
    <n v="1"/>
  </r>
  <r>
    <s v="TCK-10606"/>
    <s v="2024-05-10 04:44:14"/>
    <s v="2024-05-10 09:58:34"/>
    <s v="P2"/>
    <x v="0"/>
    <s v="Application Support"/>
    <s v="Sarah Connor"/>
    <s v="Closed"/>
    <n v="5"/>
    <n v="8"/>
    <n v="5.24"/>
    <n v="1"/>
  </r>
  <r>
    <s v="TCK-10607"/>
    <s v="2024-01-05 18:34:34"/>
    <s v="2024-01-06 08:30:01"/>
    <s v="P3"/>
    <x v="3"/>
    <s v="L1 Support"/>
    <s v="Michael Scott"/>
    <s v="Resolved"/>
    <n v="4"/>
    <n v="24"/>
    <n v="13.92"/>
    <n v="1"/>
  </r>
  <r>
    <s v="TCK-10608"/>
    <s v="2024-09-28 07:40:30"/>
    <s v="2024-09-28 09:05:15"/>
    <s v="P2"/>
    <x v="1"/>
    <s v="Application Support"/>
    <s v="Dwight Schrute"/>
    <s v="Closed"/>
    <n v="4"/>
    <n v="8"/>
    <n v="1.41"/>
    <n v="1"/>
  </r>
  <r>
    <s v="TCK-10609"/>
    <s v="2024-11-01 17:29:01"/>
    <s v="2024-11-02 04:01:37"/>
    <s v="P3"/>
    <x v="1"/>
    <s v="L1 Support"/>
    <s v="Dwight Schrute"/>
    <s v="Closed"/>
    <n v="3"/>
    <n v="24"/>
    <n v="10.54"/>
    <n v="1"/>
  </r>
  <r>
    <s v="TCK-10610"/>
    <s v="2024-07-14 05:19:49"/>
    <s v="2024-07-14 21:02:10"/>
    <s v="P3"/>
    <x v="3"/>
    <s v="L2 Support"/>
    <s v="Dwight Schrute"/>
    <s v="Closed"/>
    <n v="4"/>
    <n v="24"/>
    <n v="15.71"/>
    <n v="1"/>
  </r>
  <r>
    <s v="TCK-10611"/>
    <s v="2024-08-27 13:30:23"/>
    <s v="2024-08-28 22:14:37"/>
    <s v="P4"/>
    <x v="2"/>
    <s v="L2 Support"/>
    <s v="Sarah Connor"/>
    <s v="Resolved"/>
    <n v="5"/>
    <n v="48"/>
    <n v="32.74"/>
    <n v="1"/>
  </r>
  <r>
    <s v="TCK-10612"/>
    <s v="2024-02-14 00:51:15"/>
    <s v="2024-02-14 03:44:52"/>
    <s v="P3"/>
    <x v="2"/>
    <s v="Infrastructure"/>
    <s v="Emily Watson"/>
    <s v="Resolved"/>
    <n v="4"/>
    <n v="24"/>
    <n v="2.89"/>
    <n v="1"/>
  </r>
  <r>
    <s v="TCK-10613"/>
    <s v="2024-05-16 03:35:35"/>
    <s v="2024-05-16 22:41:01"/>
    <s v="P3"/>
    <x v="4"/>
    <s v="Application Support"/>
    <s v="Anita Sharma"/>
    <s v="Resolved"/>
    <n v="4"/>
    <n v="24"/>
    <n v="19.09"/>
    <n v="1"/>
  </r>
  <r>
    <s v="TCK-10614"/>
    <s v="2024-05-25 12:15:44"/>
    <s v="2024-05-25 17:17:06"/>
    <s v="P2"/>
    <x v="0"/>
    <s v="L1 Support"/>
    <s v="Sarah Connor"/>
    <s v="Closed"/>
    <n v="4"/>
    <n v="8"/>
    <n v="5.0199999999999996"/>
    <n v="1"/>
  </r>
  <r>
    <s v="TCK-10615"/>
    <s v="2024-11-19 14:56:50"/>
    <s v="2024-11-20 04:16:29"/>
    <s v="P4"/>
    <x v="1"/>
    <s v="L1 Support"/>
    <s v="Michael Scott"/>
    <s v="Resolved"/>
    <n v="5"/>
    <n v="48"/>
    <n v="13.33"/>
    <n v="1"/>
  </r>
  <r>
    <s v="TCK-10616"/>
    <s v="2024-03-20 11:33:58"/>
    <s v="2024-03-22 21:17:43"/>
    <s v="P3"/>
    <x v="0"/>
    <s v="Billing Operations"/>
    <s v="Dwight Schrute"/>
    <s v="Closed"/>
    <n v="2"/>
    <n v="24"/>
    <n v="57.73"/>
    <n v="0"/>
  </r>
  <r>
    <s v="TCK-10617"/>
    <s v="2024-05-26 14:13:42"/>
    <s v="2024-05-27 08:43:40"/>
    <s v="P3"/>
    <x v="3"/>
    <s v="L1 Support"/>
    <s v="Michael Scott"/>
    <s v="Resolved"/>
    <n v="5"/>
    <n v="24"/>
    <n v="18.5"/>
    <n v="1"/>
  </r>
  <r>
    <s v="TCK-10618"/>
    <s v="2024-01-21 22:47:25"/>
    <s v="2024-01-22 19:48:46"/>
    <s v="P3"/>
    <x v="4"/>
    <s v="L1 Support"/>
    <s v="Jim Halpert"/>
    <s v="Closed"/>
    <n v="4"/>
    <n v="24"/>
    <n v="21.02"/>
    <n v="1"/>
  </r>
  <r>
    <s v="TCK-10619"/>
    <s v="2024-02-12 05:37:15"/>
    <m/>
    <s v="P1"/>
    <x v="0"/>
    <s v="Application Support"/>
    <s v="Emily Watson"/>
    <s v="Escalated"/>
    <m/>
    <n v="4"/>
    <m/>
    <m/>
  </r>
  <r>
    <s v="TCK-10620"/>
    <s v="2024-07-16 19:56:21"/>
    <s v="2024-07-17 08:20:41"/>
    <s v="P4"/>
    <x v="1"/>
    <s v="Infrastructure"/>
    <s v="Dwight Schrute"/>
    <s v="Closed"/>
    <n v="5"/>
    <n v="48"/>
    <n v="12.41"/>
    <n v="1"/>
  </r>
  <r>
    <s v="TCK-10621"/>
    <s v="2024-06-27 04:44:28"/>
    <m/>
    <s v="P3"/>
    <x v="0"/>
    <s v="L1 Support"/>
    <s v="Emily Watson"/>
    <s v="Open"/>
    <m/>
    <n v="24"/>
    <m/>
    <m/>
  </r>
  <r>
    <s v="TCK-10622"/>
    <s v="2024-04-28 18:07:49"/>
    <s v="2024-04-28 23:10:54"/>
    <s v="P2"/>
    <x v="2"/>
    <s v="L2 Support"/>
    <s v="Alex Mercer"/>
    <s v="Resolved"/>
    <n v="4"/>
    <n v="8"/>
    <n v="5.05"/>
    <n v="1"/>
  </r>
  <r>
    <s v="TCK-10623"/>
    <s v="2024-07-14 00:00:08"/>
    <s v="2024-07-14 01:00:09"/>
    <s v="P2"/>
    <x v="1"/>
    <s v="Infrastructure"/>
    <s v="Jim Halpert"/>
    <s v="Closed"/>
    <n v="5"/>
    <n v="8"/>
    <n v="1"/>
    <n v="1"/>
  </r>
  <r>
    <s v="TCK-10624"/>
    <s v="2024-04-19 03:35:45"/>
    <s v="2024-04-19 07:56:12"/>
    <s v="P2"/>
    <x v="2"/>
    <s v="Application Support"/>
    <s v="Carlos Mendez"/>
    <s v="Resolved"/>
    <n v="5"/>
    <n v="8"/>
    <n v="4.34"/>
    <n v="1"/>
  </r>
  <r>
    <s v="TCK-10625"/>
    <s v="2024-12-05 06:10:02"/>
    <s v="2024-12-08 01:56:34"/>
    <s v="P3"/>
    <x v="2"/>
    <s v="L2 Support"/>
    <s v="Anita Sharma"/>
    <s v="Resolved"/>
    <n v="2"/>
    <n v="24"/>
    <n v="67.78"/>
    <n v="0"/>
  </r>
  <r>
    <s v="TCK-10626"/>
    <s v="2024-07-29 21:59:05"/>
    <s v="2024-07-29 23:43:25"/>
    <s v="P2"/>
    <x v="3"/>
    <s v="Billing Operations"/>
    <s v="Ravi Patel"/>
    <s v="Closed"/>
    <n v="5"/>
    <n v="8"/>
    <n v="1.74"/>
    <n v="1"/>
  </r>
  <r>
    <s v="TCK-10627"/>
    <s v="2024-12-15 07:57:41"/>
    <m/>
    <s v="P3"/>
    <x v="4"/>
    <s v="L2 Support"/>
    <s v="Carlos Mendez"/>
    <s v="Open"/>
    <m/>
    <n v="24"/>
    <m/>
    <m/>
  </r>
  <r>
    <s v="TCK-10628"/>
    <s v="2024-12-22 12:06:16"/>
    <s v="2024-12-22 18:53:09"/>
    <s v="P2"/>
    <x v="1"/>
    <s v="Billing Operations"/>
    <s v="Priya Nair"/>
    <s v="Resolved"/>
    <n v="5"/>
    <n v="8"/>
    <n v="6.78"/>
    <n v="1"/>
  </r>
  <r>
    <s v="TCK-10629"/>
    <s v="2024-10-24 14:22:17"/>
    <s v="2024-10-25 12:43:11"/>
    <s v="P2"/>
    <x v="4"/>
    <s v="Application Support"/>
    <s v="Michael Scott"/>
    <s v="Resolved"/>
    <n v="4"/>
    <n v="8"/>
    <n v="22.35"/>
    <n v="0"/>
  </r>
  <r>
    <s v="TCK-10630"/>
    <s v="2024-04-16 15:57:54"/>
    <s v="2024-04-17 09:59:21"/>
    <s v="P2"/>
    <x v="1"/>
    <s v="L2 Support"/>
    <s v="John Doe"/>
    <s v="Resolved"/>
    <n v="2"/>
    <n v="8"/>
    <n v="18.02"/>
    <n v="0"/>
  </r>
  <r>
    <s v="TCK-10631"/>
    <s v="2024-08-26 03:37:39"/>
    <s v="2024-08-26 05:20:21"/>
    <s v="P2"/>
    <x v="2"/>
    <s v="L1 Support"/>
    <s v="Pam Beesly"/>
    <s v="Resolved"/>
    <n v="5"/>
    <n v="8"/>
    <n v="1.71"/>
    <n v="1"/>
  </r>
  <r>
    <s v="TCK-10632"/>
    <s v="2024-07-01 09:11:32"/>
    <s v="2024-07-01 16:12:29"/>
    <s v="P3"/>
    <x v="2"/>
    <s v="Application Support"/>
    <s v="Dwight Schrute"/>
    <s v="Resolved"/>
    <n v="4"/>
    <n v="24"/>
    <n v="7.02"/>
    <n v="1"/>
  </r>
  <r>
    <s v="TCK-10633"/>
    <s v="2024-01-07 03:56:34"/>
    <s v="2024-01-07 17:05:20"/>
    <s v="P4"/>
    <x v="4"/>
    <s v="L2 Support"/>
    <s v="Priya Nair"/>
    <s v="Closed"/>
    <n v="4"/>
    <n v="48"/>
    <n v="13.15"/>
    <n v="1"/>
  </r>
  <r>
    <s v="TCK-10634"/>
    <s v="2024-06-19 22:26:05"/>
    <s v="2024-06-21 10:54:15"/>
    <s v="P4"/>
    <x v="3"/>
    <s v="Infrastructure"/>
    <s v="Dwight Schrute"/>
    <s v="Closed"/>
    <n v="5"/>
    <n v="48"/>
    <n v="36.47"/>
    <n v="1"/>
  </r>
  <r>
    <s v="TCK-10635"/>
    <s v="2024-11-16 11:17:55"/>
    <s v="2024-11-17 02:46:58"/>
    <s v="P3"/>
    <x v="2"/>
    <s v="Billing Operations"/>
    <s v="Priya Nair"/>
    <s v="Closed"/>
    <n v="5"/>
    <n v="24"/>
    <n v="15.48"/>
    <n v="1"/>
  </r>
  <r>
    <s v="TCK-10636"/>
    <s v="2024-01-16 06:57:27"/>
    <s v="2024-01-17 00:21:17"/>
    <s v="P3"/>
    <x v="2"/>
    <s v="L1 Support"/>
    <s v="Emily Watson"/>
    <s v="Resolved"/>
    <n v="5"/>
    <n v="24"/>
    <n v="17.399999999999999"/>
    <n v="1"/>
  </r>
  <r>
    <s v="TCK-10637"/>
    <s v="2024-07-19 18:38:57"/>
    <s v="2024-07-22 08:03:26"/>
    <s v="P3"/>
    <x v="4"/>
    <s v="L2 Support"/>
    <s v="Michael Scott"/>
    <s v="Resolved"/>
    <n v="1"/>
    <n v="24"/>
    <n v="61.41"/>
    <n v="0"/>
  </r>
  <r>
    <s v="TCK-10638"/>
    <s v="2024-03-05 23:46:03"/>
    <s v="2024-03-06 19:05:50"/>
    <s v="P3"/>
    <x v="3"/>
    <s v="L1 Support"/>
    <s v="Priya Nair"/>
    <s v="Resolved"/>
    <n v="4"/>
    <n v="24"/>
    <n v="19.329999999999998"/>
    <n v="1"/>
  </r>
  <r>
    <s v="TCK-10639"/>
    <s v="2024-10-07 23:33:22"/>
    <s v="2024-10-08 08:33:16"/>
    <s v="P3"/>
    <x v="1"/>
    <s v="Billing Operations"/>
    <s v="Priya Nair"/>
    <s v="Resolved"/>
    <n v="3"/>
    <n v="24"/>
    <n v="9"/>
    <n v="1"/>
  </r>
  <r>
    <s v="TCK-10640"/>
    <s v="2024-06-25 12:36:39"/>
    <s v="2024-06-26 04:14:30"/>
    <s v="P3"/>
    <x v="0"/>
    <s v="L2 Support"/>
    <s v="Dwight Schrute"/>
    <s v="Resolved"/>
    <n v="5"/>
    <n v="24"/>
    <n v="15.63"/>
    <n v="1"/>
  </r>
  <r>
    <s v="TCK-10641"/>
    <s v="2024-03-05 00:32:06"/>
    <s v="2024-03-05 13:37:15"/>
    <s v="P3"/>
    <x v="1"/>
    <s v="L1 Support"/>
    <s v="Priya Nair"/>
    <s v="Resolved"/>
    <n v="4"/>
    <n v="24"/>
    <n v="13.09"/>
    <n v="1"/>
  </r>
  <r>
    <s v="TCK-10642"/>
    <s v="2024-11-03 13:16:30"/>
    <s v="2024-11-04 01:02:49"/>
    <s v="P4"/>
    <x v="3"/>
    <s v="L2 Support"/>
    <s v="Jim Halpert"/>
    <s v="Closed"/>
    <n v="4"/>
    <n v="48"/>
    <n v="11.77"/>
    <n v="1"/>
  </r>
  <r>
    <s v="TCK-10643"/>
    <s v="2024-12-04 17:09:17"/>
    <s v="2024-12-05 11:09:17"/>
    <s v="P3"/>
    <x v="3"/>
    <s v="L2 Support"/>
    <s v="John Doe"/>
    <s v="Closed"/>
    <n v="5"/>
    <n v="24"/>
    <n v="18"/>
    <n v="1"/>
  </r>
  <r>
    <s v="TCK-10644"/>
    <s v="2024-06-22 15:25:41"/>
    <s v="2024-06-22 16:18:39"/>
    <s v="P2"/>
    <x v="1"/>
    <s v="L2 Support"/>
    <s v="Emily Watson"/>
    <s v="Resolved"/>
    <n v="4"/>
    <n v="8"/>
    <n v="0.88"/>
    <n v="1"/>
  </r>
  <r>
    <s v="TCK-10645"/>
    <s v="2024-07-12 23:40:57"/>
    <s v="2024-07-13 11:20:19"/>
    <s v="P3"/>
    <x v="1"/>
    <s v="Application Support"/>
    <s v="Emily Watson"/>
    <s v="Resolved"/>
    <n v="4"/>
    <n v="24"/>
    <n v="11.66"/>
    <n v="1"/>
  </r>
  <r>
    <s v="TCK-10646"/>
    <s v="2024-08-21 19:44:40"/>
    <s v="2024-08-22 14:58:46"/>
    <s v="P3"/>
    <x v="2"/>
    <s v="Billing Operations"/>
    <s v="Michael Scott"/>
    <s v="Closed"/>
    <n v="3"/>
    <n v="24"/>
    <n v="19.239999999999998"/>
    <n v="1"/>
  </r>
  <r>
    <s v="TCK-10647"/>
    <s v="2024-02-27 21:50:51"/>
    <s v="2024-02-28 04:22:31"/>
    <s v="P1"/>
    <x v="2"/>
    <s v="L2 Support"/>
    <s v="Alex Mercer"/>
    <s v="Closed"/>
    <n v="4"/>
    <n v="4"/>
    <n v="6.53"/>
    <n v="0"/>
  </r>
  <r>
    <s v="TCK-10648"/>
    <s v="2024-01-20 09:00:19"/>
    <s v="2024-01-20 14:33:51"/>
    <s v="P2"/>
    <x v="4"/>
    <s v="L2 Support"/>
    <s v="Carlos Mendez"/>
    <s v="Resolved"/>
    <n v="5"/>
    <n v="8"/>
    <n v="5.56"/>
    <n v="1"/>
  </r>
  <r>
    <s v="TCK-10649"/>
    <s v="2024-08-06 15:52:16"/>
    <m/>
    <s v="P2"/>
    <x v="2"/>
    <s v="Billing Operations"/>
    <s v="Pam Beesly"/>
    <s v="Open"/>
    <m/>
    <n v="8"/>
    <m/>
    <m/>
  </r>
  <r>
    <s v="TCK-10650"/>
    <s v="2024-02-06 11:59:59"/>
    <s v="2024-02-07 16:14:17"/>
    <s v="P3"/>
    <x v="2"/>
    <s v="Application Support"/>
    <s v="Sarah Connor"/>
    <s v="Closed"/>
    <n v="2"/>
    <n v="24"/>
    <n v="28.24"/>
    <n v="0"/>
  </r>
  <r>
    <s v="TCK-10651"/>
    <s v="2024-02-17 17:20:20"/>
    <s v="2024-02-18 08:13:29"/>
    <s v="P3"/>
    <x v="2"/>
    <s v="Billing Operations"/>
    <s v="Jim Halpert"/>
    <s v="Resolved"/>
    <n v="4"/>
    <n v="24"/>
    <n v="14.89"/>
    <n v="1"/>
  </r>
  <r>
    <s v="TCK-10652"/>
    <s v="2024-10-10 17:33:45"/>
    <s v="2024-10-12 06:31:13"/>
    <s v="P4"/>
    <x v="2"/>
    <s v="L1 Support"/>
    <s v="Dwight Schrute"/>
    <s v="Closed"/>
    <n v="5"/>
    <n v="48"/>
    <n v="36.96"/>
    <n v="1"/>
  </r>
  <r>
    <s v="TCK-10653"/>
    <s v="2024-06-15 04:25:41"/>
    <m/>
    <s v="P3"/>
    <x v="2"/>
    <s v="Billing Operations"/>
    <s v="Anita Sharma"/>
    <s v="Escalated"/>
    <m/>
    <n v="24"/>
    <m/>
    <m/>
  </r>
  <r>
    <s v="TCK-10654"/>
    <s v="2024-05-17 18:09:07"/>
    <s v="2024-05-19 07:55:03"/>
    <s v="P4"/>
    <x v="0"/>
    <s v="Application Support"/>
    <s v="Ravi Patel"/>
    <s v="Closed"/>
    <n v="5"/>
    <n v="48"/>
    <n v="37.770000000000003"/>
    <n v="1"/>
  </r>
  <r>
    <s v="TCK-10655"/>
    <s v="2024-03-31 17:07:22"/>
    <s v="2024-03-31 21:55:42"/>
    <s v="P3"/>
    <x v="4"/>
    <s v="L1 Support"/>
    <s v="Sarah Connor"/>
    <s v="Resolved"/>
    <n v="5"/>
    <n v="24"/>
    <n v="4.8099999999999996"/>
    <n v="1"/>
  </r>
  <r>
    <s v="TCK-10656"/>
    <s v="2024-11-06 20:28:47"/>
    <s v="2024-11-07 03:12:41"/>
    <s v="P3"/>
    <x v="0"/>
    <s v="L1 Support"/>
    <s v="Pam Beesly"/>
    <s v="Resolved"/>
    <n v="5"/>
    <n v="24"/>
    <n v="6.73"/>
    <n v="1"/>
  </r>
  <r>
    <s v="TCK-10657"/>
    <s v="2024-09-25 07:25:30"/>
    <s v="2024-09-25 08:16:00"/>
    <s v="P2"/>
    <x v="0"/>
    <s v="Infrastructure"/>
    <s v="Michael Scott"/>
    <s v="Resolved"/>
    <n v="5"/>
    <n v="8"/>
    <n v="0.84"/>
    <n v="1"/>
  </r>
  <r>
    <s v="TCK-10658"/>
    <s v="2024-05-12 21:43:14"/>
    <s v="2024-05-15 18:04:59"/>
    <s v="P3"/>
    <x v="1"/>
    <s v="L1 Support"/>
    <s v="John Doe"/>
    <s v="Resolved"/>
    <n v="2"/>
    <n v="24"/>
    <n v="68.36"/>
    <n v="0"/>
  </r>
  <r>
    <s v="TCK-10659"/>
    <s v="2024-07-03 14:39:53"/>
    <s v="2024-07-05 16:59:41"/>
    <s v="P3"/>
    <x v="3"/>
    <s v="Application Support"/>
    <s v="John Doe"/>
    <s v="Closed"/>
    <n v="2"/>
    <n v="24"/>
    <n v="50.33"/>
    <n v="0"/>
  </r>
  <r>
    <s v="TCK-10660"/>
    <s v="2024-10-31 19:18:26"/>
    <s v="2024-11-01 12:58:47"/>
    <s v="P4"/>
    <x v="4"/>
    <s v="L1 Support"/>
    <s v="Ravi Patel"/>
    <s v="Resolved"/>
    <n v="5"/>
    <n v="48"/>
    <n v="17.670000000000002"/>
    <n v="1"/>
  </r>
  <r>
    <s v="TCK-10661"/>
    <s v="2024-03-22 05:08:48"/>
    <m/>
    <s v="P3"/>
    <x v="2"/>
    <s v="Infrastructure"/>
    <s v="Sarah Connor"/>
    <s v="Escalated"/>
    <m/>
    <n v="24"/>
    <m/>
    <m/>
  </r>
  <r>
    <s v="TCK-10662"/>
    <s v="2024-04-19 06:04:36"/>
    <s v="2024-04-20 11:35:19"/>
    <s v="P4"/>
    <x v="2"/>
    <s v="Application Support"/>
    <s v="Carlos Mendez"/>
    <s v="Resolved"/>
    <n v="4"/>
    <n v="48"/>
    <n v="29.51"/>
    <n v="1"/>
  </r>
  <r>
    <s v="TCK-10663"/>
    <s v="2024-02-15 17:04:15"/>
    <s v="2024-02-16 18:09:02"/>
    <s v="P4"/>
    <x v="0"/>
    <s v="Infrastructure"/>
    <s v="Priya Nair"/>
    <s v="Resolved"/>
    <n v="4"/>
    <n v="48"/>
    <n v="25.08"/>
    <n v="1"/>
  </r>
  <r>
    <s v="TCK-10664"/>
    <s v="2024-06-24 20:04:20"/>
    <s v="2024-06-25 02:23:52"/>
    <s v="P4"/>
    <x v="2"/>
    <s v="Billing Operations"/>
    <s v="Michael Scott"/>
    <s v="Resolved"/>
    <n v="4"/>
    <n v="48"/>
    <n v="6.33"/>
    <n v="1"/>
  </r>
  <r>
    <s v="TCK-10665"/>
    <s v="2024-02-06 07:07:58"/>
    <s v="2024-02-06 19:23:44"/>
    <s v="P3"/>
    <x v="1"/>
    <s v="Application Support"/>
    <s v="Ravi Patel"/>
    <s v="Resolved"/>
    <n v="5"/>
    <n v="24"/>
    <n v="12.26"/>
    <n v="1"/>
  </r>
  <r>
    <s v="TCK-10666"/>
    <s v="2024-04-30 20:45:10"/>
    <s v="2024-05-01 13:56:02"/>
    <s v="P3"/>
    <x v="1"/>
    <s v="L1 Support"/>
    <s v="Ravi Patel"/>
    <s v="Closed"/>
    <n v="4"/>
    <n v="24"/>
    <n v="17.18"/>
    <n v="1"/>
  </r>
  <r>
    <s v="TCK-10667"/>
    <s v="2024-10-04 11:57:19"/>
    <s v="2024-10-04 20:18:28"/>
    <s v="P4"/>
    <x v="1"/>
    <s v="Infrastructure"/>
    <s v="Alex Mercer"/>
    <s v="Closed"/>
    <n v="4"/>
    <n v="48"/>
    <n v="8.35"/>
    <n v="1"/>
  </r>
  <r>
    <s v="TCK-10668"/>
    <s v="2024-01-19 06:03:13"/>
    <s v="2024-01-19 12:55:12"/>
    <s v="P2"/>
    <x v="0"/>
    <s v="Infrastructure"/>
    <s v="Alex Mercer"/>
    <s v="Closed"/>
    <n v="4"/>
    <n v="8"/>
    <n v="6.87"/>
    <n v="1"/>
  </r>
  <r>
    <s v="TCK-10669"/>
    <s v="2024-03-16 02:39:19"/>
    <s v="2024-03-16 05:18:57"/>
    <s v="P2"/>
    <x v="2"/>
    <s v="Application Support"/>
    <s v="Carlos Mendez"/>
    <s v="Resolved"/>
    <n v="3"/>
    <n v="8"/>
    <n v="2.66"/>
    <n v="1"/>
  </r>
  <r>
    <s v="TCK-10670"/>
    <s v="2024-08-30 06:16:04"/>
    <s v="2024-08-31 03:54:38"/>
    <s v="P3"/>
    <x v="1"/>
    <s v="Billing Operations"/>
    <s v="Pam Beesly"/>
    <s v="Resolved"/>
    <n v="5"/>
    <n v="24"/>
    <n v="21.64"/>
    <n v="1"/>
  </r>
  <r>
    <s v="TCK-10671"/>
    <s v="2024-08-11 06:50:27"/>
    <s v="2024-08-11 07:50:16"/>
    <s v="P2"/>
    <x v="4"/>
    <s v="Billing Operations"/>
    <s v="Pam Beesly"/>
    <s v="Resolved"/>
    <n v="5"/>
    <n v="8"/>
    <n v="1"/>
    <n v="1"/>
  </r>
  <r>
    <s v="TCK-10672"/>
    <s v="2024-01-20 22:17:02"/>
    <s v="2024-01-21 03:06:52"/>
    <s v="P2"/>
    <x v="1"/>
    <s v="Application Support"/>
    <s v="Jim Halpert"/>
    <s v="Resolved"/>
    <n v="5"/>
    <n v="8"/>
    <n v="4.83"/>
    <n v="1"/>
  </r>
  <r>
    <s v="TCK-10673"/>
    <s v="2024-09-28 22:33:32"/>
    <s v="2024-09-29 11:50:31"/>
    <s v="P3"/>
    <x v="2"/>
    <s v="Infrastructure"/>
    <s v="Emily Watson"/>
    <s v="Closed"/>
    <n v="5"/>
    <n v="24"/>
    <n v="13.28"/>
    <n v="1"/>
  </r>
  <r>
    <s v="TCK-10674"/>
    <s v="2024-10-20 20:02:04"/>
    <s v="2024-10-21 12:23:52"/>
    <s v="P3"/>
    <x v="3"/>
    <s v="L1 Support"/>
    <s v="Priya Nair"/>
    <s v="Resolved"/>
    <n v="5"/>
    <n v="24"/>
    <n v="16.36"/>
    <n v="1"/>
  </r>
  <r>
    <s v="TCK-10675"/>
    <s v="2024-06-30 01:48:37"/>
    <s v="2024-06-30 07:57:02"/>
    <s v="P3"/>
    <x v="4"/>
    <s v="L2 Support"/>
    <s v="Anita Sharma"/>
    <s v="Resolved"/>
    <n v="5"/>
    <n v="24"/>
    <n v="6.14"/>
    <n v="1"/>
  </r>
  <r>
    <s v="TCK-10676"/>
    <s v="2024-05-08 14:52:46"/>
    <s v="2024-05-09 00:26:55"/>
    <s v="P3"/>
    <x v="0"/>
    <s v="Application Support"/>
    <s v="Dwight Schrute"/>
    <s v="Resolved"/>
    <n v="4"/>
    <n v="24"/>
    <n v="9.57"/>
    <n v="1"/>
  </r>
  <r>
    <s v="TCK-10677"/>
    <s v="2024-03-07 15:59:08"/>
    <s v="2024-03-07 21:38:33"/>
    <s v="P2"/>
    <x v="1"/>
    <s v="Billing Operations"/>
    <s v="John Doe"/>
    <s v="Resolved"/>
    <n v="4"/>
    <n v="8"/>
    <n v="5.66"/>
    <n v="1"/>
  </r>
  <r>
    <s v="TCK-10678"/>
    <s v="2024-08-04 07:41:32"/>
    <m/>
    <s v="P3"/>
    <x v="0"/>
    <s v="Billing Operations"/>
    <s v="Dwight Schrute"/>
    <s v="Open"/>
    <m/>
    <n v="24"/>
    <m/>
    <m/>
  </r>
  <r>
    <s v="TCK-10679"/>
    <s v="2024-07-06 16:03:27"/>
    <s v="2024-07-07 10:31:08"/>
    <s v="P3"/>
    <x v="2"/>
    <s v="Billing Operations"/>
    <s v="Jim Halpert"/>
    <s v="Closed"/>
    <n v="5"/>
    <n v="24"/>
    <n v="18.46"/>
    <n v="1"/>
  </r>
  <r>
    <s v="TCK-10680"/>
    <s v="2024-04-02 01:07:04"/>
    <s v="2024-04-02 04:07:49"/>
    <s v="P2"/>
    <x v="3"/>
    <s v="Billing Operations"/>
    <s v="Dwight Schrute"/>
    <s v="Resolved"/>
    <n v="3"/>
    <n v="8"/>
    <n v="3.01"/>
    <n v="1"/>
  </r>
  <r>
    <s v="TCK-10681"/>
    <s v="2024-06-22 05:42:57"/>
    <s v="2024-06-22 11:45:39"/>
    <s v="P2"/>
    <x v="4"/>
    <s v="L1 Support"/>
    <s v="Anita Sharma"/>
    <s v="Resolved"/>
    <n v="4"/>
    <n v="8"/>
    <n v="6.04"/>
    <n v="1"/>
  </r>
  <r>
    <s v="TCK-10682"/>
    <s v="2024-07-11 07:09:52"/>
    <s v="2024-07-13 14:08:07"/>
    <s v="P3"/>
    <x v="2"/>
    <s v="L2 Support"/>
    <s v="John Doe"/>
    <s v="Closed"/>
    <n v="1"/>
    <n v="24"/>
    <n v="54.97"/>
    <n v="0"/>
  </r>
  <r>
    <s v="TCK-10683"/>
    <s v="2024-02-27 07:34:45"/>
    <s v="2024-02-27 14:10:28"/>
    <s v="P3"/>
    <x v="2"/>
    <s v="Infrastructure"/>
    <s v="Jim Halpert"/>
    <s v="Closed"/>
    <n v="5"/>
    <n v="24"/>
    <n v="6.6"/>
    <n v="1"/>
  </r>
  <r>
    <s v="TCK-10684"/>
    <s v="2024-04-26 17:44:08"/>
    <s v="2024-04-29 17:16:51"/>
    <s v="P3"/>
    <x v="0"/>
    <s v="Infrastructure"/>
    <s v="Jim Halpert"/>
    <s v="Closed"/>
    <n v="2"/>
    <n v="24"/>
    <n v="71.55"/>
    <n v="0"/>
  </r>
  <r>
    <s v="TCK-10685"/>
    <s v="2024-08-25 19:30:24"/>
    <s v="2024-08-31 16:30:07"/>
    <s v="P4"/>
    <x v="2"/>
    <s v="L2 Support"/>
    <s v="Michael Scott"/>
    <s v="Resolved"/>
    <n v="1"/>
    <n v="48"/>
    <n v="141"/>
    <n v="0"/>
  </r>
  <r>
    <s v="TCK-10686"/>
    <s v="2024-08-05 19:51:37"/>
    <s v="2024-08-06 16:44:47"/>
    <s v="P4"/>
    <x v="2"/>
    <s v="Infrastructure"/>
    <s v="Alex Mercer"/>
    <s v="Resolved"/>
    <n v="4"/>
    <n v="48"/>
    <n v="20.89"/>
    <n v="1"/>
  </r>
  <r>
    <s v="TCK-10687"/>
    <s v="2024-05-28 23:51:28"/>
    <s v="2024-05-29 13:35:18"/>
    <s v="P3"/>
    <x v="2"/>
    <s v="L2 Support"/>
    <s v="Carlos Mendez"/>
    <s v="Resolved"/>
    <n v="5"/>
    <n v="24"/>
    <n v="13.73"/>
    <n v="1"/>
  </r>
  <r>
    <s v="TCK-10688"/>
    <s v="2024-05-20 06:07:35"/>
    <s v="2024-05-20 16:48:05"/>
    <s v="P4"/>
    <x v="1"/>
    <s v="L2 Support"/>
    <s v="John Doe"/>
    <s v="Resolved"/>
    <n v="5"/>
    <n v="48"/>
    <n v="10.68"/>
    <n v="1"/>
  </r>
  <r>
    <s v="TCK-10689"/>
    <s v="2024-09-12 20:19:16"/>
    <s v="2024-09-13 08:01:26"/>
    <s v="P3"/>
    <x v="4"/>
    <s v="L1 Support"/>
    <s v="John Doe"/>
    <s v="Closed"/>
    <n v="5"/>
    <n v="24"/>
    <n v="11.7"/>
    <n v="1"/>
  </r>
  <r>
    <s v="TCK-10690"/>
    <s v="2024-08-23 01:41:28"/>
    <s v="2024-08-26 16:06:01"/>
    <s v="P4"/>
    <x v="3"/>
    <s v="Application Support"/>
    <s v="Ravi Patel"/>
    <s v="Resolved"/>
    <n v="1"/>
    <n v="48"/>
    <n v="86.41"/>
    <n v="0"/>
  </r>
  <r>
    <s v="TCK-10691"/>
    <s v="2024-06-14 07:09:38"/>
    <s v="2024-06-14 20:42:08"/>
    <s v="P3"/>
    <x v="3"/>
    <s v="L2 Support"/>
    <s v="Priya Nair"/>
    <s v="Resolved"/>
    <n v="4"/>
    <n v="24"/>
    <n v="13.54"/>
    <n v="1"/>
  </r>
  <r>
    <s v="TCK-10692"/>
    <s v="2024-01-16 00:55:39"/>
    <s v="2024-01-16 06:13:33"/>
    <s v="P3"/>
    <x v="2"/>
    <s v="L1 Support"/>
    <s v="Anita Sharma"/>
    <s v="Resolved"/>
    <n v="5"/>
    <n v="24"/>
    <n v="5.3"/>
    <n v="1"/>
  </r>
  <r>
    <s v="TCK-10693"/>
    <s v="2024-11-30 01:43:43"/>
    <s v="2024-12-02 12:24:25"/>
    <s v="P4"/>
    <x v="0"/>
    <s v="Application Support"/>
    <s v="Ravi Patel"/>
    <s v="Resolved"/>
    <n v="2"/>
    <n v="48"/>
    <n v="58.68"/>
    <n v="0"/>
  </r>
  <r>
    <s v="TCK-10694"/>
    <s v="2024-10-15 09:00:56"/>
    <s v="2024-10-15 18:25:26"/>
    <s v="P3"/>
    <x v="3"/>
    <s v="Billing Operations"/>
    <s v="Anita Sharma"/>
    <s v="Resolved"/>
    <n v="5"/>
    <n v="24"/>
    <n v="9.41"/>
    <n v="1"/>
  </r>
  <r>
    <s v="TCK-10695"/>
    <s v="2024-07-01 10:10:26"/>
    <s v="2024-07-02 08:31:12"/>
    <s v="P3"/>
    <x v="4"/>
    <s v="Billing Operations"/>
    <s v="Priya Nair"/>
    <s v="Resolved"/>
    <n v="4"/>
    <n v="24"/>
    <n v="22.35"/>
    <n v="1"/>
  </r>
  <r>
    <s v="TCK-10696"/>
    <s v="2024-03-06 09:17:21"/>
    <s v="2024-03-06 11:49:43"/>
    <s v="P1"/>
    <x v="4"/>
    <s v="Infrastructure"/>
    <s v="Priya Nair"/>
    <s v="Closed"/>
    <n v="5"/>
    <n v="4"/>
    <n v="2.54"/>
    <n v="1"/>
  </r>
  <r>
    <s v="TCK-10697"/>
    <s v="2024-08-10 19:26:31"/>
    <s v="2024-08-10 21:33:39"/>
    <s v="P1"/>
    <x v="4"/>
    <s v="Billing Operations"/>
    <s v="Alex Mercer"/>
    <s v="Resolved"/>
    <n v="5"/>
    <n v="4"/>
    <n v="2.12"/>
    <n v="1"/>
  </r>
  <r>
    <s v="TCK-10698"/>
    <s v="2024-04-18 05:44:18"/>
    <s v="2024-04-18 07:43:32"/>
    <s v="P2"/>
    <x v="3"/>
    <s v="Infrastructure"/>
    <s v="Michael Scott"/>
    <s v="Resolved"/>
    <n v="5"/>
    <n v="8"/>
    <n v="1.99"/>
    <n v="1"/>
  </r>
  <r>
    <s v="TCK-10699"/>
    <s v="2024-02-29 00:41:09"/>
    <s v="2024-02-29 06:46:27"/>
    <s v="P3"/>
    <x v="2"/>
    <s v="L2 Support"/>
    <s v="Michael Scott"/>
    <s v="Closed"/>
    <n v="5"/>
    <n v="24"/>
    <n v="6.09"/>
    <n v="1"/>
  </r>
  <r>
    <s v="TCK-10700"/>
    <s v="2024-01-14 04:25:33"/>
    <m/>
    <s v="P2"/>
    <x v="1"/>
    <s v="L2 Support"/>
    <s v="Anita Sharma"/>
    <s v="Open"/>
    <m/>
    <n v="8"/>
    <m/>
    <m/>
  </r>
  <r>
    <s v="TCK-10701"/>
    <s v="2024-03-01 04:47:05"/>
    <s v="2024-03-02 11:35:51"/>
    <s v="P4"/>
    <x v="0"/>
    <s v="Application Support"/>
    <s v="Jim Halpert"/>
    <s v="Resolved"/>
    <n v="4"/>
    <n v="48"/>
    <n v="30.81"/>
    <n v="1"/>
  </r>
  <r>
    <s v="TCK-10702"/>
    <s v="2024-10-12 12:44:29"/>
    <s v="2024-10-13 12:58:17"/>
    <s v="P4"/>
    <x v="1"/>
    <s v="Infrastructure"/>
    <s v="Sarah Connor"/>
    <s v="Resolved"/>
    <n v="4"/>
    <n v="48"/>
    <n v="24.23"/>
    <n v="1"/>
  </r>
  <r>
    <s v="TCK-10703"/>
    <s v="2024-10-19 13:08:09"/>
    <s v="2024-10-20 11:40:22"/>
    <s v="P4"/>
    <x v="2"/>
    <s v="Application Support"/>
    <s v="Dwight Schrute"/>
    <s v="Resolved"/>
    <n v="4"/>
    <n v="48"/>
    <n v="22.54"/>
    <n v="1"/>
  </r>
  <r>
    <s v="TCK-10704"/>
    <s v="2024-11-05 23:27:32"/>
    <m/>
    <s v="P3"/>
    <x v="3"/>
    <s v="Billing Operations"/>
    <s v="Carlos Mendez"/>
    <s v="Open"/>
    <m/>
    <n v="24"/>
    <m/>
    <m/>
  </r>
  <r>
    <s v="TCK-10705"/>
    <s v="2024-02-08 03:30:04"/>
    <m/>
    <s v="P4"/>
    <x v="3"/>
    <s v="Application Support"/>
    <s v="Anita Sharma"/>
    <s v="Open"/>
    <m/>
    <n v="48"/>
    <m/>
    <m/>
  </r>
  <r>
    <s v="TCK-10706"/>
    <s v="2024-11-29 16:27:17"/>
    <s v="2024-11-29 22:27:17"/>
    <s v="P2"/>
    <x v="2"/>
    <s v="L1 Support"/>
    <s v="Michael Scott"/>
    <s v="Closed"/>
    <n v="5"/>
    <n v="8"/>
    <n v="6"/>
    <n v="1"/>
  </r>
  <r>
    <s v="TCK-10707"/>
    <s v="2024-10-12 12:17:50"/>
    <s v="2024-10-14 04:09:29"/>
    <s v="P3"/>
    <x v="0"/>
    <s v="Billing Operations"/>
    <s v="Pam Beesly"/>
    <s v="Closed"/>
    <n v="1"/>
    <n v="24"/>
    <n v="39.86"/>
    <n v="0"/>
  </r>
  <r>
    <s v="TCK-10708"/>
    <s v="2024-01-04 15:00:12"/>
    <s v="2024-01-05 04:45:19"/>
    <s v="P4"/>
    <x v="1"/>
    <s v="L1 Support"/>
    <s v="Ravi Patel"/>
    <s v="Resolved"/>
    <n v="4"/>
    <n v="48"/>
    <n v="13.75"/>
    <n v="1"/>
  </r>
  <r>
    <s v="TCK-10709"/>
    <s v="2024-03-16 07:37:54"/>
    <s v="2024-03-16 19:14:43"/>
    <s v="P1"/>
    <x v="3"/>
    <s v="L1 Support"/>
    <s v="Anita Sharma"/>
    <s v="Closed"/>
    <n v="2"/>
    <n v="4"/>
    <n v="11.61"/>
    <n v="0"/>
  </r>
  <r>
    <s v="TCK-10710"/>
    <s v="2024-10-02 07:44:17"/>
    <s v="2024-10-03 14:58:21"/>
    <s v="P4"/>
    <x v="1"/>
    <s v="Billing Operations"/>
    <s v="John Doe"/>
    <s v="Resolved"/>
    <n v="5"/>
    <n v="48"/>
    <n v="31.23"/>
    <n v="1"/>
  </r>
  <r>
    <s v="TCK-10711"/>
    <s v="2024-03-13 02:10:05"/>
    <s v="2024-03-17 16:21:28"/>
    <s v="P4"/>
    <x v="3"/>
    <s v="Infrastructure"/>
    <s v="Michael Scott"/>
    <s v="Resolved"/>
    <n v="4"/>
    <n v="48"/>
    <n v="110.19"/>
    <n v="0"/>
  </r>
  <r>
    <s v="TCK-10712"/>
    <s v="2024-04-17 16:04:53"/>
    <s v="2024-04-18 10:20:03"/>
    <s v="P3"/>
    <x v="2"/>
    <s v="Infrastructure"/>
    <s v="Michael Scott"/>
    <s v="Resolved"/>
    <n v="4"/>
    <n v="24"/>
    <n v="18.25"/>
    <n v="1"/>
  </r>
  <r>
    <s v="TCK-10713"/>
    <s v="2024-05-09 12:34:00"/>
    <s v="2024-05-11 07:15:10"/>
    <s v="P4"/>
    <x v="2"/>
    <s v="Infrastructure"/>
    <s v="John Doe"/>
    <s v="Resolved"/>
    <n v="5"/>
    <n v="48"/>
    <n v="42.69"/>
    <n v="1"/>
  </r>
  <r>
    <s v="TCK-10714"/>
    <s v="2024-03-10 15:12:05"/>
    <s v="2024-03-11 12:13:07"/>
    <s v="P3"/>
    <x v="1"/>
    <s v="Billing Operations"/>
    <s v="Jim Halpert"/>
    <s v="Resolved"/>
    <n v="5"/>
    <n v="24"/>
    <n v="21.02"/>
    <n v="1"/>
  </r>
  <r>
    <s v="TCK-10715"/>
    <s v="2024-02-10 10:42:20"/>
    <s v="2024-02-10 13:19:31"/>
    <s v="P1"/>
    <x v="1"/>
    <s v="Infrastructure"/>
    <s v="Dwight Schrute"/>
    <s v="Resolved"/>
    <n v="3"/>
    <n v="4"/>
    <n v="2.62"/>
    <n v="1"/>
  </r>
  <r>
    <s v="TCK-10716"/>
    <s v="2024-01-16 00:39:13"/>
    <s v="2024-01-16 22:13:40"/>
    <s v="P3"/>
    <x v="2"/>
    <s v="Infrastructure"/>
    <s v="Jim Halpert"/>
    <s v="Closed"/>
    <n v="4"/>
    <n v="24"/>
    <n v="21.57"/>
    <n v="1"/>
  </r>
  <r>
    <s v="TCK-10717"/>
    <s v="2024-06-18 16:21:07"/>
    <s v="2024-06-19 08:48:46"/>
    <s v="P3"/>
    <x v="0"/>
    <s v="L1 Support"/>
    <s v="Ravi Patel"/>
    <s v="Resolved"/>
    <n v="5"/>
    <n v="24"/>
    <n v="16.46"/>
    <n v="1"/>
  </r>
  <r>
    <s v="TCK-10718"/>
    <s v="2024-02-17 09:41:59"/>
    <s v="2024-02-18 00:59:53"/>
    <s v="P3"/>
    <x v="4"/>
    <s v="Infrastructure"/>
    <s v="Pam Beesly"/>
    <s v="Closed"/>
    <n v="5"/>
    <n v="24"/>
    <n v="15.3"/>
    <n v="1"/>
  </r>
  <r>
    <s v="TCK-10719"/>
    <s v="2024-02-05 13:04:38"/>
    <s v="2024-02-05 21:23:32"/>
    <s v="P3"/>
    <x v="0"/>
    <s v="Infrastructure"/>
    <s v="Sarah Connor"/>
    <s v="Closed"/>
    <n v="4"/>
    <n v="24"/>
    <n v="8.32"/>
    <n v="1"/>
  </r>
  <r>
    <s v="TCK-10720"/>
    <s v="2024-08-03 16:05:09"/>
    <s v="2024-08-04 01:12:16"/>
    <s v="P1"/>
    <x v="2"/>
    <s v="L2 Support"/>
    <s v="Michael Scott"/>
    <s v="Closed"/>
    <n v="2"/>
    <n v="4"/>
    <n v="9.1199999999999992"/>
    <n v="0"/>
  </r>
  <r>
    <s v="TCK-10721"/>
    <s v="2024-02-03 06:58:32"/>
    <s v="2024-02-05 04:25:40"/>
    <s v="P4"/>
    <x v="2"/>
    <s v="L2 Support"/>
    <s v="John Doe"/>
    <s v="Resolved"/>
    <n v="4"/>
    <n v="48"/>
    <n v="45.45"/>
    <n v="1"/>
  </r>
  <r>
    <s v="TCK-10722"/>
    <s v="2024-05-31 07:34:33"/>
    <s v="2024-05-31 15:16:49"/>
    <s v="P1"/>
    <x v="2"/>
    <s v="Infrastructure"/>
    <s v="Dwight Schrute"/>
    <s v="Resolved"/>
    <n v="4"/>
    <n v="4"/>
    <n v="7.7"/>
    <n v="0"/>
  </r>
  <r>
    <s v="TCK-10723"/>
    <s v="2024-01-15 17:15:46"/>
    <s v="2024-01-15 22:36:01"/>
    <s v="P2"/>
    <x v="2"/>
    <s v="L1 Support"/>
    <s v="Jim Halpert"/>
    <s v="Resolved"/>
    <n v="4"/>
    <n v="8"/>
    <n v="5.34"/>
    <n v="1"/>
  </r>
  <r>
    <s v="TCK-10724"/>
    <s v="2024-09-20 16:08:36"/>
    <m/>
    <s v="P4"/>
    <x v="2"/>
    <s v="Billing Operations"/>
    <s v="Emily Watson"/>
    <s v="Open"/>
    <m/>
    <n v="48"/>
    <m/>
    <m/>
  </r>
  <r>
    <s v="TCK-10725"/>
    <s v="2024-01-15 15:43:29"/>
    <m/>
    <s v="P3"/>
    <x v="2"/>
    <s v="L1 Support"/>
    <s v="Dwight Schrute"/>
    <s v="Open"/>
    <m/>
    <n v="24"/>
    <m/>
    <m/>
  </r>
  <r>
    <s v="TCK-10726"/>
    <s v="2024-08-28 11:38:44"/>
    <s v="2024-08-28 13:05:25"/>
    <s v="P1"/>
    <x v="0"/>
    <s v="L2 Support"/>
    <s v="Alex Mercer"/>
    <s v="Resolved"/>
    <n v="5"/>
    <n v="4"/>
    <n v="1.44"/>
    <n v="1"/>
  </r>
  <r>
    <s v="TCK-10727"/>
    <s v="2024-06-26 11:56:54"/>
    <s v="2024-06-27 02:54:25"/>
    <s v="P3"/>
    <x v="0"/>
    <s v="L1 Support"/>
    <s v="Sarah Connor"/>
    <s v="Resolved"/>
    <n v="3"/>
    <n v="24"/>
    <n v="14.96"/>
    <n v="1"/>
  </r>
  <r>
    <s v="TCK-10728"/>
    <s v="2024-03-20 00:45:08"/>
    <s v="2024-03-20 14:17:17"/>
    <s v="P3"/>
    <x v="0"/>
    <s v="Application Support"/>
    <s v="Pam Beesly"/>
    <s v="Resolved"/>
    <n v="4"/>
    <n v="24"/>
    <n v="13.54"/>
    <n v="1"/>
  </r>
  <r>
    <s v="TCK-10729"/>
    <s v="2024-11-04 08:14:36"/>
    <s v="2024-11-04 14:11:40"/>
    <s v="P2"/>
    <x v="1"/>
    <s v="L2 Support"/>
    <s v="Pam Beesly"/>
    <s v="Resolved"/>
    <n v="4"/>
    <n v="8"/>
    <n v="5.95"/>
    <n v="1"/>
  </r>
  <r>
    <s v="TCK-10730"/>
    <s v="2024-05-23 23:58:21"/>
    <s v="2024-05-24 15:16:09"/>
    <s v="P3"/>
    <x v="2"/>
    <s v="Billing Operations"/>
    <s v="Alex Mercer"/>
    <s v="Resolved"/>
    <n v="4"/>
    <n v="24"/>
    <n v="15.3"/>
    <n v="1"/>
  </r>
  <r>
    <s v="TCK-10731"/>
    <s v="2024-03-02 14:22:14"/>
    <s v="2024-03-02 16:59:11"/>
    <s v="P1"/>
    <x v="2"/>
    <s v="L1 Support"/>
    <s v="Alex Mercer"/>
    <s v="Resolved"/>
    <n v="5"/>
    <n v="4"/>
    <n v="2.62"/>
    <n v="1"/>
  </r>
  <r>
    <s v="TCK-10732"/>
    <s v="2024-06-10 23:28:20"/>
    <s v="2024-06-11 07:23:58"/>
    <s v="P3"/>
    <x v="0"/>
    <s v="Application Support"/>
    <s v="Priya Nair"/>
    <s v="Resolved"/>
    <n v="4"/>
    <n v="24"/>
    <n v="7.93"/>
    <n v="1"/>
  </r>
  <r>
    <s v="TCK-10733"/>
    <s v="2024-04-03 06:00:23"/>
    <s v="2024-04-05 01:34:42"/>
    <s v="P4"/>
    <x v="3"/>
    <s v="L1 Support"/>
    <s v="Anita Sharma"/>
    <s v="Resolved"/>
    <n v="5"/>
    <n v="48"/>
    <n v="43.57"/>
    <n v="1"/>
  </r>
  <r>
    <s v="TCK-10734"/>
    <s v="2024-10-31 06:12:09"/>
    <s v="2024-11-01 05:50:25"/>
    <s v="P2"/>
    <x v="0"/>
    <s v="Billing Operations"/>
    <s v="Emily Watson"/>
    <s v="Resolved"/>
    <n v="2"/>
    <n v="8"/>
    <n v="23.64"/>
    <n v="0"/>
  </r>
  <r>
    <s v="TCK-10735"/>
    <s v="2024-12-01 09:14:10"/>
    <s v="2024-12-01 17:16:30"/>
    <s v="P3"/>
    <x v="2"/>
    <s v="L2 Support"/>
    <s v="Dwight Schrute"/>
    <s v="Closed"/>
    <n v="4"/>
    <n v="24"/>
    <n v="8.0399999999999991"/>
    <n v="1"/>
  </r>
  <r>
    <s v="TCK-10736"/>
    <s v="2024-11-05 16:58:15"/>
    <s v="2024-11-05 18:03:50"/>
    <s v="P2"/>
    <x v="0"/>
    <s v="Application Support"/>
    <s v="Dwight Schrute"/>
    <s v="Resolved"/>
    <n v="5"/>
    <n v="8"/>
    <n v="1.0900000000000001"/>
    <n v="1"/>
  </r>
  <r>
    <s v="TCK-10737"/>
    <s v="2024-04-21 00:59:38"/>
    <s v="2024-04-21 08:04:58"/>
    <s v="P2"/>
    <x v="2"/>
    <s v="Billing Operations"/>
    <s v="Dwight Schrute"/>
    <s v="Resolved"/>
    <n v="4"/>
    <n v="8"/>
    <n v="7.09"/>
    <n v="1"/>
  </r>
  <r>
    <s v="TCK-10738"/>
    <s v="2024-11-01 09:18:58"/>
    <s v="2024-11-01 10:49:27"/>
    <s v="P1"/>
    <x v="2"/>
    <s v="L1 Support"/>
    <s v="Emily Watson"/>
    <s v="Closed"/>
    <n v="4"/>
    <n v="4"/>
    <n v="1.51"/>
    <n v="1"/>
  </r>
  <r>
    <s v="TCK-10739"/>
    <s v="2024-09-20 04:43:22"/>
    <s v="2024-09-21 02:21:24"/>
    <s v="P4"/>
    <x v="2"/>
    <s v="L1 Support"/>
    <s v="Pam Beesly"/>
    <s v="Resolved"/>
    <n v="4"/>
    <n v="48"/>
    <n v="21.63"/>
    <n v="1"/>
  </r>
  <r>
    <s v="TCK-10740"/>
    <s v="2024-12-12 12:07:31"/>
    <s v="2024-12-12 19:14:05"/>
    <s v="P2"/>
    <x v="2"/>
    <s v="Application Support"/>
    <s v="Alex Mercer"/>
    <s v="Closed"/>
    <n v="4"/>
    <n v="8"/>
    <n v="7.11"/>
    <n v="1"/>
  </r>
  <r>
    <s v="TCK-10741"/>
    <s v="2024-05-30 18:10:48"/>
    <s v="2024-05-31 03:25:55"/>
    <s v="P3"/>
    <x v="2"/>
    <s v="L2 Support"/>
    <s v="Carlos Mendez"/>
    <s v="Resolved"/>
    <n v="3"/>
    <n v="24"/>
    <n v="9.25"/>
    <n v="1"/>
  </r>
  <r>
    <s v="TCK-10742"/>
    <s v="2024-08-09 04:20:59"/>
    <s v="2024-08-09 05:29:50"/>
    <s v="P1"/>
    <x v="1"/>
    <s v="Application Support"/>
    <s v="Dwight Schrute"/>
    <s v="Resolved"/>
    <n v="4"/>
    <n v="4"/>
    <n v="1.1499999999999999"/>
    <n v="1"/>
  </r>
  <r>
    <s v="TCK-10743"/>
    <s v="2024-03-02 05:22:16"/>
    <s v="2024-03-02 12:27:25"/>
    <s v="P3"/>
    <x v="3"/>
    <s v="Billing Operations"/>
    <s v="John Doe"/>
    <s v="Closed"/>
    <n v="4"/>
    <n v="24"/>
    <n v="7.09"/>
    <n v="1"/>
  </r>
  <r>
    <s v="TCK-10744"/>
    <s v="2024-07-21 23:14:15"/>
    <s v="2024-07-22 16:31:47"/>
    <s v="P3"/>
    <x v="4"/>
    <s v="Billing Operations"/>
    <s v="Dwight Schrute"/>
    <s v="Closed"/>
    <n v="5"/>
    <n v="24"/>
    <n v="17.29"/>
    <n v="1"/>
  </r>
  <r>
    <s v="TCK-10745"/>
    <s v="2024-04-06 02:59:00"/>
    <m/>
    <s v="P2"/>
    <x v="2"/>
    <s v="L2 Support"/>
    <s v="Anita Sharma"/>
    <s v="Open"/>
    <m/>
    <n v="8"/>
    <m/>
    <m/>
  </r>
  <r>
    <s v="TCK-10746"/>
    <s v="2024-12-21 04:48:40"/>
    <m/>
    <s v="P3"/>
    <x v="1"/>
    <s v="L1 Support"/>
    <s v="Alex Mercer"/>
    <s v="Escalated"/>
    <m/>
    <n v="24"/>
    <m/>
    <m/>
  </r>
  <r>
    <s v="TCK-10747"/>
    <s v="2024-10-12 04:29:40"/>
    <s v="2024-10-12 23:38:55"/>
    <s v="P3"/>
    <x v="1"/>
    <s v="Billing Operations"/>
    <s v="Jim Halpert"/>
    <s v="Resolved"/>
    <n v="4"/>
    <n v="24"/>
    <n v="19.149999999999999"/>
    <n v="1"/>
  </r>
  <r>
    <s v="TCK-10748"/>
    <s v="2024-04-03 17:43:46"/>
    <s v="2024-04-03 20:19:53"/>
    <s v="P1"/>
    <x v="0"/>
    <s v="Application Support"/>
    <s v="Emily Watson"/>
    <s v="Resolved"/>
    <n v="3"/>
    <n v="4"/>
    <n v="2.6"/>
    <n v="1"/>
  </r>
  <r>
    <s v="TCK-10749"/>
    <s v="2024-07-05 15:54:04"/>
    <s v="2024-07-06 03:34:47"/>
    <s v="P3"/>
    <x v="1"/>
    <s v="Application Support"/>
    <s v="Anita Sharma"/>
    <s v="Closed"/>
    <n v="5"/>
    <n v="24"/>
    <n v="11.68"/>
    <n v="1"/>
  </r>
  <r>
    <s v="TCK-10750"/>
    <s v="2024-12-05 20:07:32"/>
    <s v="2024-12-06 16:04:38"/>
    <s v="P3"/>
    <x v="1"/>
    <s v="Infrastructure"/>
    <s v="Carlos Mendez"/>
    <s v="Resolved"/>
    <n v="3"/>
    <n v="24"/>
    <n v="19.95"/>
    <n v="1"/>
  </r>
  <r>
    <s v="TCK-10751"/>
    <s v="2024-12-13 07:24:45"/>
    <s v="2024-12-13 22:18:27"/>
    <s v="P3"/>
    <x v="2"/>
    <s v="Infrastructure"/>
    <s v="Jim Halpert"/>
    <s v="Closed"/>
    <n v="5"/>
    <n v="24"/>
    <n v="14.9"/>
    <n v="1"/>
  </r>
  <r>
    <s v="TCK-10752"/>
    <s v="2024-03-21 18:44:40"/>
    <m/>
    <s v="P3"/>
    <x v="1"/>
    <s v="Infrastructure"/>
    <s v="Priya Nair"/>
    <s v="Open"/>
    <m/>
    <n v="24"/>
    <m/>
    <m/>
  </r>
  <r>
    <s v="TCK-10753"/>
    <s v="2024-07-19 05:41:30"/>
    <s v="2024-07-19 12:09:33"/>
    <s v="P4"/>
    <x v="3"/>
    <s v="L1 Support"/>
    <s v="Sarah Connor"/>
    <s v="Resolved"/>
    <n v="4"/>
    <n v="48"/>
    <n v="6.47"/>
    <n v="1"/>
  </r>
  <r>
    <s v="TCK-10754"/>
    <s v="2024-09-09 01:24:25"/>
    <m/>
    <s v="P3"/>
    <x v="1"/>
    <s v="L2 Support"/>
    <s v="John Doe"/>
    <s v="Escalated"/>
    <m/>
    <n v="24"/>
    <m/>
    <m/>
  </r>
  <r>
    <s v="TCK-10755"/>
    <s v="2024-04-03 00:13:04"/>
    <s v="2024-04-03 07:13:00"/>
    <s v="P3"/>
    <x v="3"/>
    <s v="Billing Operations"/>
    <s v="Priya Nair"/>
    <s v="Resolved"/>
    <n v="4"/>
    <n v="24"/>
    <n v="7"/>
    <n v="1"/>
  </r>
  <r>
    <s v="TCK-10756"/>
    <s v="2024-04-14 03:57:20"/>
    <s v="2024-04-14 16:35:06"/>
    <s v="P3"/>
    <x v="2"/>
    <s v="L1 Support"/>
    <s v="Sarah Connor"/>
    <s v="Resolved"/>
    <n v="5"/>
    <n v="24"/>
    <n v="12.63"/>
    <n v="1"/>
  </r>
  <r>
    <s v="TCK-10757"/>
    <s v="2024-07-01 22:14:40"/>
    <s v="2024-07-02 14:22:47"/>
    <s v="P3"/>
    <x v="3"/>
    <s v="Billing Operations"/>
    <s v="Michael Scott"/>
    <s v="Resolved"/>
    <n v="5"/>
    <n v="24"/>
    <n v="16.14"/>
    <n v="1"/>
  </r>
  <r>
    <s v="TCK-10758"/>
    <s v="2024-12-31 17:35:55"/>
    <s v="2025-01-03 22:59:25"/>
    <s v="P4"/>
    <x v="1"/>
    <s v="Application Support"/>
    <s v="Sarah Connor"/>
    <s v="Resolved"/>
    <n v="4"/>
    <n v="48"/>
    <n v="77.39"/>
    <n v="0"/>
  </r>
  <r>
    <s v="TCK-10759"/>
    <s v="2024-02-12 19:21:17"/>
    <s v="2024-02-13 02:37:44"/>
    <s v="P2"/>
    <x v="1"/>
    <s v="L2 Support"/>
    <s v="Dwight Schrute"/>
    <s v="Resolved"/>
    <n v="3"/>
    <n v="8"/>
    <n v="7.27"/>
    <n v="1"/>
  </r>
  <r>
    <s v="TCK-10760"/>
    <s v="2024-06-11 02:24:10"/>
    <s v="2024-06-12 09:30:21"/>
    <s v="P4"/>
    <x v="2"/>
    <s v="L2 Support"/>
    <s v="Dwight Schrute"/>
    <s v="Resolved"/>
    <n v="4"/>
    <n v="48"/>
    <n v="31.1"/>
    <n v="1"/>
  </r>
  <r>
    <s v="TCK-10761"/>
    <s v="2024-01-25 18:43:55"/>
    <s v="2024-01-25 21:21:41"/>
    <s v="P1"/>
    <x v="0"/>
    <s v="Billing Operations"/>
    <s v="Carlos Mendez"/>
    <s v="Resolved"/>
    <n v="5"/>
    <n v="4"/>
    <n v="2.63"/>
    <n v="1"/>
  </r>
  <r>
    <s v="TCK-10762"/>
    <s v="2024-07-08 03:13:53"/>
    <s v="2024-07-08 23:57:22"/>
    <s v="P3"/>
    <x v="3"/>
    <s v="Billing Operations"/>
    <s v="Dwight Schrute"/>
    <s v="Resolved"/>
    <n v="4"/>
    <n v="24"/>
    <n v="20.72"/>
    <n v="1"/>
  </r>
  <r>
    <s v="TCK-10763"/>
    <s v="2024-11-02 20:30:29"/>
    <s v="2024-11-03 03:48:37"/>
    <s v="P2"/>
    <x v="2"/>
    <s v="Infrastructure"/>
    <s v="Alex Mercer"/>
    <s v="Resolved"/>
    <n v="5"/>
    <n v="8"/>
    <n v="7.3"/>
    <n v="1"/>
  </r>
  <r>
    <s v="TCK-10764"/>
    <s v="2024-03-03 18:40:13"/>
    <s v="2024-03-04 00:12:04"/>
    <s v="P3"/>
    <x v="0"/>
    <s v="L2 Support"/>
    <s v="Priya Nair"/>
    <s v="Closed"/>
    <n v="4"/>
    <n v="24"/>
    <n v="5.53"/>
    <n v="1"/>
  </r>
  <r>
    <s v="TCK-10765"/>
    <s v="2024-01-17 07:33:33"/>
    <m/>
    <s v="P4"/>
    <x v="3"/>
    <s v="Application Support"/>
    <s v="Michael Scott"/>
    <s v="Open"/>
    <m/>
    <n v="48"/>
    <m/>
    <m/>
  </r>
  <r>
    <s v="TCK-10766"/>
    <s v="2024-05-13 20:53:11"/>
    <s v="2024-05-14 11:35:51"/>
    <s v="P2"/>
    <x v="2"/>
    <s v="L2 Support"/>
    <s v="Ravi Patel"/>
    <s v="Resolved"/>
    <n v="2"/>
    <n v="8"/>
    <n v="14.71"/>
    <n v="0"/>
  </r>
  <r>
    <s v="TCK-10767"/>
    <s v="2024-02-26 19:04:33"/>
    <m/>
    <s v="P4"/>
    <x v="4"/>
    <s v="L2 Support"/>
    <s v="Alex Mercer"/>
    <s v="Escalated"/>
    <m/>
    <n v="48"/>
    <m/>
    <m/>
  </r>
  <r>
    <s v="TCK-10768"/>
    <s v="2024-07-31 10:26:44"/>
    <s v="2024-08-05 11:26:06"/>
    <s v="P4"/>
    <x v="2"/>
    <s v="Infrastructure"/>
    <s v="Dwight Schrute"/>
    <s v="Closed"/>
    <n v="4"/>
    <n v="48"/>
    <n v="120.99"/>
    <n v="0"/>
  </r>
  <r>
    <s v="TCK-10769"/>
    <s v="2024-09-16 07:50:39"/>
    <s v="2024-09-16 14:45:55"/>
    <s v="P2"/>
    <x v="3"/>
    <s v="Application Support"/>
    <s v="Pam Beesly"/>
    <s v="Closed"/>
    <n v="4"/>
    <n v="8"/>
    <n v="6.92"/>
    <n v="1"/>
  </r>
  <r>
    <s v="TCK-10770"/>
    <s v="2024-08-02 07:19:09"/>
    <s v="2024-08-02 08:29:36"/>
    <s v="P2"/>
    <x v="1"/>
    <s v="Billing Operations"/>
    <s v="Emily Watson"/>
    <s v="Resolved"/>
    <n v="5"/>
    <n v="8"/>
    <n v="1.17"/>
    <n v="1"/>
  </r>
  <r>
    <s v="TCK-10771"/>
    <s v="2024-08-14 21:58:30"/>
    <s v="2024-08-15 09:27:44"/>
    <s v="P3"/>
    <x v="0"/>
    <s v="Infrastructure"/>
    <s v="Emily Watson"/>
    <s v="Resolved"/>
    <n v="5"/>
    <n v="24"/>
    <n v="11.49"/>
    <n v="1"/>
  </r>
  <r>
    <s v="TCK-10772"/>
    <s v="2024-02-04 06:24:43"/>
    <s v="2024-02-04 13:29:55"/>
    <s v="P4"/>
    <x v="2"/>
    <s v="Application Support"/>
    <s v="Pam Beesly"/>
    <s v="Closed"/>
    <n v="5"/>
    <n v="48"/>
    <n v="7.09"/>
    <n v="1"/>
  </r>
  <r>
    <s v="TCK-10773"/>
    <s v="2024-06-03 17:30:32"/>
    <s v="2024-06-03 20:41:53"/>
    <s v="P2"/>
    <x v="0"/>
    <s v="Infrastructure"/>
    <s v="Jim Halpert"/>
    <s v="Resolved"/>
    <n v="5"/>
    <n v="8"/>
    <n v="3.19"/>
    <n v="1"/>
  </r>
  <r>
    <s v="TCK-10774"/>
    <s v="2024-12-05 21:04:58"/>
    <m/>
    <s v="P3"/>
    <x v="2"/>
    <s v="Application Support"/>
    <s v="Priya Nair"/>
    <s v="Escalated"/>
    <m/>
    <n v="24"/>
    <m/>
    <m/>
  </r>
  <r>
    <s v="TCK-10775"/>
    <s v="2024-11-08 10:53:30"/>
    <s v="2024-11-09 01:16:12"/>
    <s v="P3"/>
    <x v="1"/>
    <s v="Application Support"/>
    <s v="Priya Nair"/>
    <s v="Closed"/>
    <n v="3"/>
    <n v="24"/>
    <n v="14.38"/>
    <n v="1"/>
  </r>
  <r>
    <s v="TCK-10776"/>
    <s v="2024-03-22 00:41:07"/>
    <s v="2024-03-22 20:52:50"/>
    <s v="P2"/>
    <x v="4"/>
    <s v="Billing Operations"/>
    <s v="Pam Beesly"/>
    <s v="Resolved"/>
    <n v="1"/>
    <n v="8"/>
    <n v="20.2"/>
    <n v="0"/>
  </r>
  <r>
    <s v="TCK-10777"/>
    <s v="2024-06-08 08:26:59"/>
    <s v="2024-06-09 05:30:47"/>
    <s v="P3"/>
    <x v="2"/>
    <s v="L2 Support"/>
    <s v="Ravi Patel"/>
    <s v="Resolved"/>
    <n v="4"/>
    <n v="24"/>
    <n v="21.06"/>
    <n v="1"/>
  </r>
  <r>
    <s v="TCK-10778"/>
    <s v="2024-11-19 13:26:47"/>
    <s v="2024-11-20 03:15:20"/>
    <s v="P3"/>
    <x v="3"/>
    <s v="L1 Support"/>
    <s v="Michael Scott"/>
    <s v="Closed"/>
    <n v="4"/>
    <n v="24"/>
    <n v="13.81"/>
    <n v="1"/>
  </r>
  <r>
    <s v="TCK-10779"/>
    <s v="2024-01-11 18:10:01"/>
    <s v="2024-01-12 09:54:17"/>
    <s v="P3"/>
    <x v="1"/>
    <s v="Infrastructure"/>
    <s v="Carlos Mendez"/>
    <s v="Closed"/>
    <n v="5"/>
    <n v="24"/>
    <n v="15.74"/>
    <n v="1"/>
  </r>
  <r>
    <s v="TCK-10780"/>
    <s v="2024-06-11 08:10:58"/>
    <m/>
    <s v="P2"/>
    <x v="4"/>
    <s v="L2 Support"/>
    <s v="Alex Mercer"/>
    <s v="Open"/>
    <m/>
    <n v="8"/>
    <m/>
    <m/>
  </r>
  <r>
    <s v="TCK-10781"/>
    <s v="2024-10-16 21:10:29"/>
    <s v="2024-10-17 13:44:14"/>
    <s v="P3"/>
    <x v="2"/>
    <s v="Application Support"/>
    <s v="Michael Scott"/>
    <s v="Closed"/>
    <n v="4"/>
    <n v="24"/>
    <n v="16.559999999999999"/>
    <n v="1"/>
  </r>
  <r>
    <s v="TCK-10782"/>
    <s v="2024-07-18 09:05:14"/>
    <s v="2024-07-18 20:53:33"/>
    <s v="P3"/>
    <x v="1"/>
    <s v="Infrastructure"/>
    <s v="John Doe"/>
    <s v="Closed"/>
    <n v="5"/>
    <n v="24"/>
    <n v="11.81"/>
    <n v="1"/>
  </r>
  <r>
    <s v="TCK-10783"/>
    <s v="2024-05-19 03:04:26"/>
    <m/>
    <s v="P2"/>
    <x v="2"/>
    <s v="Application Support"/>
    <s v="Carlos Mendez"/>
    <s v="Open"/>
    <m/>
    <n v="8"/>
    <m/>
    <m/>
  </r>
  <r>
    <s v="TCK-10784"/>
    <s v="2024-05-18 14:00:51"/>
    <s v="2024-05-18 17:00:50"/>
    <s v="P1"/>
    <x v="2"/>
    <s v="L1 Support"/>
    <s v="Ravi Patel"/>
    <s v="Resolved"/>
    <n v="5"/>
    <n v="4"/>
    <n v="3"/>
    <n v="1"/>
  </r>
  <r>
    <s v="TCK-10785"/>
    <s v="2024-03-06 05:49:10"/>
    <s v="2024-03-06 10:10:28"/>
    <s v="P3"/>
    <x v="0"/>
    <s v="Infrastructure"/>
    <s v="Michael Scott"/>
    <s v="Closed"/>
    <n v="5"/>
    <n v="24"/>
    <n v="4.3600000000000003"/>
    <n v="1"/>
  </r>
  <r>
    <s v="TCK-10786"/>
    <s v="2024-11-16 01:51:01"/>
    <s v="2024-11-16 08:54:44"/>
    <s v="P2"/>
    <x v="1"/>
    <s v="Infrastructure"/>
    <s v="Pam Beesly"/>
    <s v="Closed"/>
    <n v="4"/>
    <n v="8"/>
    <n v="7.06"/>
    <n v="1"/>
  </r>
  <r>
    <s v="TCK-10787"/>
    <s v="2024-03-25 22:45:12"/>
    <s v="2024-03-26 15:21:12"/>
    <s v="P2"/>
    <x v="2"/>
    <s v="L2 Support"/>
    <s v="Ravi Patel"/>
    <s v="Closed"/>
    <n v="2"/>
    <n v="8"/>
    <n v="16.600000000000001"/>
    <n v="0"/>
  </r>
  <r>
    <s v="TCK-10788"/>
    <s v="2024-08-02 08:44:37"/>
    <m/>
    <s v="P3"/>
    <x v="0"/>
    <s v="Application Support"/>
    <s v="Dwight Schrute"/>
    <s v="Open"/>
    <m/>
    <n v="24"/>
    <m/>
    <m/>
  </r>
  <r>
    <s v="TCK-10789"/>
    <s v="2024-02-15 14:28:14"/>
    <s v="2024-02-17 04:36:20"/>
    <s v="P4"/>
    <x v="4"/>
    <s v="Application Support"/>
    <s v="Pam Beesly"/>
    <s v="Resolved"/>
    <n v="5"/>
    <n v="48"/>
    <n v="38.14"/>
    <n v="1"/>
  </r>
  <r>
    <s v="TCK-10790"/>
    <s v="2024-08-20 10:29:20"/>
    <s v="2024-08-20 15:18:29"/>
    <s v="P3"/>
    <x v="4"/>
    <s v="L2 Support"/>
    <s v="Priya Nair"/>
    <s v="Resolved"/>
    <n v="4"/>
    <n v="24"/>
    <n v="4.82"/>
    <n v="1"/>
  </r>
  <r>
    <s v="TCK-10791"/>
    <s v="2024-09-26 22:49:31"/>
    <s v="2024-09-27 04:19:22"/>
    <s v="P2"/>
    <x v="2"/>
    <s v="L2 Support"/>
    <s v="Emily Watson"/>
    <s v="Resolved"/>
    <n v="5"/>
    <n v="8"/>
    <n v="5.5"/>
    <n v="1"/>
  </r>
  <r>
    <s v="TCK-10792"/>
    <s v="2024-01-31 12:32:43"/>
    <s v="2024-01-31 15:11:18"/>
    <s v="P1"/>
    <x v="2"/>
    <s v="Application Support"/>
    <s v="Alex Mercer"/>
    <s v="Resolved"/>
    <n v="5"/>
    <n v="4"/>
    <n v="2.64"/>
    <n v="1"/>
  </r>
  <r>
    <s v="TCK-10793"/>
    <s v="2024-07-01 12:09:51"/>
    <s v="2024-07-01 18:17:03"/>
    <s v="P2"/>
    <x v="2"/>
    <s v="L1 Support"/>
    <s v="Michael Scott"/>
    <s v="Closed"/>
    <n v="5"/>
    <n v="8"/>
    <n v="6.12"/>
    <n v="1"/>
  </r>
  <r>
    <s v="TCK-10794"/>
    <s v="2024-03-21 02:28:40"/>
    <s v="2024-03-23 23:45:22"/>
    <s v="P3"/>
    <x v="2"/>
    <s v="Infrastructure"/>
    <s v="Alex Mercer"/>
    <s v="Resolved"/>
    <n v="4"/>
    <n v="24"/>
    <n v="69.28"/>
    <n v="0"/>
  </r>
  <r>
    <s v="TCK-10795"/>
    <s v="2024-05-15 10:04:17"/>
    <s v="2024-05-16 04:04:17"/>
    <s v="P3"/>
    <x v="4"/>
    <s v="Billing Operations"/>
    <s v="Emily Watson"/>
    <s v="Resolved"/>
    <n v="5"/>
    <n v="24"/>
    <n v="18"/>
    <n v="1"/>
  </r>
  <r>
    <s v="TCK-10796"/>
    <s v="2024-07-24 17:08:03"/>
    <m/>
    <s v="P2"/>
    <x v="1"/>
    <s v="Infrastructure"/>
    <s v="John Doe"/>
    <s v="Open"/>
    <m/>
    <n v="8"/>
    <m/>
    <m/>
  </r>
  <r>
    <s v="TCK-10797"/>
    <s v="2024-07-27 22:22:54"/>
    <s v="2024-07-28 01:09:19"/>
    <s v="P1"/>
    <x v="0"/>
    <s v="L2 Support"/>
    <s v="Ravi Patel"/>
    <s v="Closed"/>
    <n v="4"/>
    <n v="4"/>
    <n v="2.77"/>
    <n v="1"/>
  </r>
  <r>
    <s v="TCK-10798"/>
    <s v="2024-09-18 21:42:52"/>
    <s v="2024-09-19 19:08:37"/>
    <s v="P4"/>
    <x v="1"/>
    <s v="Infrastructure"/>
    <s v="Jim Halpert"/>
    <s v="Resolved"/>
    <n v="5"/>
    <n v="48"/>
    <n v="21.43"/>
    <n v="1"/>
  </r>
  <r>
    <s v="TCK-10799"/>
    <s v="2024-05-02 09:18:16"/>
    <s v="2024-05-02 13:53:34"/>
    <s v="P2"/>
    <x v="1"/>
    <s v="L2 Support"/>
    <s v="Dwight Schrute"/>
    <s v="Closed"/>
    <n v="3"/>
    <n v="8"/>
    <n v="4.59"/>
    <n v="1"/>
  </r>
  <r>
    <s v="TCK-10800"/>
    <s v="2024-05-07 18:15:26"/>
    <s v="2024-05-08 13:48:55"/>
    <s v="P3"/>
    <x v="2"/>
    <s v="Application Support"/>
    <s v="Anita Sharma"/>
    <s v="Closed"/>
    <n v="4"/>
    <n v="24"/>
    <n v="19.559999999999999"/>
    <n v="1"/>
  </r>
  <r>
    <s v="TCK-10801"/>
    <s v="2024-06-07 12:08:43"/>
    <s v="2024-06-07 19:19:51"/>
    <s v="P2"/>
    <x v="0"/>
    <s v="L2 Support"/>
    <s v="Sarah Connor"/>
    <s v="Closed"/>
    <n v="4"/>
    <n v="8"/>
    <n v="7.19"/>
    <n v="1"/>
  </r>
  <r>
    <s v="TCK-10802"/>
    <s v="2024-01-06 07:10:21"/>
    <s v="2024-01-06 15:26:26"/>
    <s v="P4"/>
    <x v="2"/>
    <s v="L1 Support"/>
    <s v="Jim Halpert"/>
    <s v="Resolved"/>
    <n v="4"/>
    <n v="48"/>
    <n v="8.27"/>
    <n v="1"/>
  </r>
  <r>
    <s v="TCK-10803"/>
    <s v="2024-06-04 22:05:20"/>
    <s v="2024-06-05 04:34:27"/>
    <s v="P3"/>
    <x v="4"/>
    <s v="L2 Support"/>
    <s v="Sarah Connor"/>
    <s v="Resolved"/>
    <n v="5"/>
    <n v="24"/>
    <n v="6.49"/>
    <n v="1"/>
  </r>
  <r>
    <s v="TCK-10804"/>
    <s v="2024-06-06 08:14:48"/>
    <s v="2024-06-06 13:05:00"/>
    <s v="P2"/>
    <x v="0"/>
    <s v="Application Support"/>
    <s v="Michael Scott"/>
    <s v="Closed"/>
    <n v="5"/>
    <n v="8"/>
    <n v="4.84"/>
    <n v="1"/>
  </r>
  <r>
    <s v="TCK-10805"/>
    <s v="2024-11-07 09:42:50"/>
    <s v="2024-11-07 21:59:54"/>
    <s v="P3"/>
    <x v="2"/>
    <s v="Application Support"/>
    <s v="Carlos Mendez"/>
    <s v="Closed"/>
    <n v="4"/>
    <n v="24"/>
    <n v="12.28"/>
    <n v="1"/>
  </r>
  <r>
    <s v="TCK-10806"/>
    <s v="2024-10-25 14:16:28"/>
    <s v="2024-10-26 16:51:55"/>
    <s v="P3"/>
    <x v="4"/>
    <s v="Application Support"/>
    <s v="Dwight Schrute"/>
    <s v="Resolved"/>
    <n v="3"/>
    <n v="24"/>
    <n v="26.59"/>
    <n v="0"/>
  </r>
  <r>
    <s v="TCK-10807"/>
    <s v="2024-11-18 19:04:23"/>
    <s v="2024-11-18 20:30:08"/>
    <s v="P1"/>
    <x v="3"/>
    <s v="L2 Support"/>
    <s v="Jim Halpert"/>
    <s v="Closed"/>
    <n v="5"/>
    <n v="4"/>
    <n v="1.43"/>
    <n v="1"/>
  </r>
  <r>
    <s v="TCK-10808"/>
    <s v="2024-10-22 13:18:41"/>
    <m/>
    <s v="P1"/>
    <x v="0"/>
    <s v="Application Support"/>
    <s v="Dwight Schrute"/>
    <s v="Open"/>
    <m/>
    <n v="4"/>
    <m/>
    <m/>
  </r>
  <r>
    <s v="TCK-10809"/>
    <s v="2024-05-13 18:43:47"/>
    <m/>
    <s v="P4"/>
    <x v="2"/>
    <s v="L1 Support"/>
    <s v="Alex Mercer"/>
    <s v="Escalated"/>
    <m/>
    <n v="48"/>
    <m/>
    <m/>
  </r>
  <r>
    <s v="TCK-10810"/>
    <s v="2024-12-08 03:21:56"/>
    <s v="2024-12-08 15:22:54"/>
    <s v="P4"/>
    <x v="2"/>
    <s v="Infrastructure"/>
    <s v="Jim Halpert"/>
    <s v="Resolved"/>
    <n v="5"/>
    <n v="48"/>
    <n v="12.02"/>
    <n v="1"/>
  </r>
  <r>
    <s v="TCK-10811"/>
    <s v="2024-10-30 00:22:16"/>
    <s v="2024-10-30 04:29:08"/>
    <s v="P2"/>
    <x v="0"/>
    <s v="Application Support"/>
    <s v="Jim Halpert"/>
    <s v="Resolved"/>
    <n v="4"/>
    <n v="8"/>
    <n v="4.1100000000000003"/>
    <n v="1"/>
  </r>
  <r>
    <s v="TCK-10812"/>
    <s v="2024-09-19 11:41:06"/>
    <s v="2024-09-19 17:16:25"/>
    <s v="P3"/>
    <x v="3"/>
    <s v="Billing Operations"/>
    <s v="Anita Sharma"/>
    <s v="Resolved"/>
    <n v="3"/>
    <n v="24"/>
    <n v="5.59"/>
    <n v="1"/>
  </r>
  <r>
    <s v="TCK-10813"/>
    <s v="2024-04-12 14:58:54"/>
    <s v="2024-04-14 07:10:48"/>
    <s v="P3"/>
    <x v="4"/>
    <s v="Billing Operations"/>
    <s v="Carlos Mendez"/>
    <s v="Resolved"/>
    <n v="1"/>
    <n v="24"/>
    <n v="40.200000000000003"/>
    <n v="0"/>
  </r>
  <r>
    <s v="TCK-10814"/>
    <s v="2024-01-18 20:32:04"/>
    <s v="2024-01-18 23:55:20"/>
    <s v="P2"/>
    <x v="2"/>
    <s v="Billing Operations"/>
    <s v="Alex Mercer"/>
    <s v="Closed"/>
    <n v="4"/>
    <n v="8"/>
    <n v="3.39"/>
    <n v="1"/>
  </r>
  <r>
    <s v="TCK-10815"/>
    <s v="2024-05-19 02:53:35"/>
    <s v="2024-05-19 07:01:33"/>
    <s v="P3"/>
    <x v="1"/>
    <s v="L2 Support"/>
    <s v="Emily Watson"/>
    <s v="Resolved"/>
    <n v="5"/>
    <n v="24"/>
    <n v="4.13"/>
    <n v="1"/>
  </r>
  <r>
    <s v="TCK-10816"/>
    <s v="2024-12-03 19:06:26"/>
    <s v="2024-12-04 01:46:41"/>
    <s v="P2"/>
    <x v="2"/>
    <s v="L1 Support"/>
    <s v="Ravi Patel"/>
    <s v="Resolved"/>
    <n v="5"/>
    <n v="8"/>
    <n v="6.67"/>
    <n v="1"/>
  </r>
  <r>
    <s v="TCK-10817"/>
    <s v="2024-12-16 09:44:55"/>
    <s v="2024-12-16 23:47:01"/>
    <s v="P3"/>
    <x v="1"/>
    <s v="Application Support"/>
    <s v="Anita Sharma"/>
    <s v="Resolved"/>
    <n v="4"/>
    <n v="24"/>
    <n v="14.04"/>
    <n v="1"/>
  </r>
  <r>
    <s v="TCK-10818"/>
    <s v="2024-02-08 06:52:09"/>
    <s v="2024-02-09 14:53:54"/>
    <s v="P4"/>
    <x v="1"/>
    <s v="L2 Support"/>
    <s v="Pam Beesly"/>
    <s v="Resolved"/>
    <n v="4"/>
    <n v="48"/>
    <n v="32.03"/>
    <n v="1"/>
  </r>
  <r>
    <s v="TCK-10819"/>
    <s v="2024-04-26 15:44:13"/>
    <s v="2024-04-27 11:16:50"/>
    <s v="P3"/>
    <x v="2"/>
    <s v="Application Support"/>
    <s v="Carlos Mendez"/>
    <s v="Closed"/>
    <n v="5"/>
    <n v="24"/>
    <n v="19.54"/>
    <n v="1"/>
  </r>
  <r>
    <s v="TCK-10820"/>
    <s v="2024-04-21 22:20:52"/>
    <s v="2024-04-22 05:39:42"/>
    <s v="P2"/>
    <x v="2"/>
    <s v="Billing Operations"/>
    <s v="Jim Halpert"/>
    <s v="Closed"/>
    <n v="5"/>
    <n v="8"/>
    <n v="7.31"/>
    <n v="1"/>
  </r>
  <r>
    <s v="TCK-10821"/>
    <s v="2024-08-12 21:09:06"/>
    <s v="2024-08-12 22:15:53"/>
    <s v="P1"/>
    <x v="2"/>
    <s v="L1 Support"/>
    <s v="Anita Sharma"/>
    <s v="Closed"/>
    <n v="5"/>
    <n v="4"/>
    <n v="1.1100000000000001"/>
    <n v="1"/>
  </r>
  <r>
    <s v="TCK-10822"/>
    <s v="2024-09-10 08:45:47"/>
    <s v="2024-10-04 06:45:47"/>
    <s v="P4"/>
    <x v="2"/>
    <s v="Infrastructure"/>
    <s v="Jim Halpert"/>
    <s v="Closed"/>
    <n v="4"/>
    <n v="48"/>
    <n v="574"/>
    <n v="0"/>
  </r>
  <r>
    <s v="TCK-10823"/>
    <s v="2024-07-19 11:35:21"/>
    <s v="2024-07-19 17:47:40"/>
    <s v="P3"/>
    <x v="0"/>
    <s v="L2 Support"/>
    <s v="Alex Mercer"/>
    <s v="Closed"/>
    <n v="4"/>
    <n v="24"/>
    <n v="6.21"/>
    <n v="1"/>
  </r>
  <r>
    <s v="TCK-10824"/>
    <s v="2024-09-13 23:09:37"/>
    <m/>
    <s v="P4"/>
    <x v="0"/>
    <s v="Application Support"/>
    <s v="Michael Scott"/>
    <s v="Open"/>
    <m/>
    <n v="48"/>
    <m/>
    <m/>
  </r>
  <r>
    <s v="TCK-10825"/>
    <s v="2024-07-26 05:18:14"/>
    <s v="2024-07-26 18:17:25"/>
    <s v="P4"/>
    <x v="0"/>
    <s v="Application Support"/>
    <s v="Anita Sharma"/>
    <s v="Closed"/>
    <n v="4"/>
    <n v="48"/>
    <n v="12.99"/>
    <n v="1"/>
  </r>
  <r>
    <s v="TCK-10826"/>
    <s v="2024-04-03 16:26:51"/>
    <s v="2024-04-04 15:03:40"/>
    <s v="P2"/>
    <x v="3"/>
    <s v="Infrastructure"/>
    <s v="Jim Halpert"/>
    <s v="Resolved"/>
    <n v="2"/>
    <n v="8"/>
    <n v="22.61"/>
    <n v="0"/>
  </r>
  <r>
    <s v="TCK-10827"/>
    <s v="2024-11-24 20:59:01"/>
    <s v="2024-11-25 04:14:55"/>
    <s v="P3"/>
    <x v="0"/>
    <s v="L2 Support"/>
    <s v="Michael Scott"/>
    <s v="Closed"/>
    <n v="4"/>
    <n v="24"/>
    <n v="7.26"/>
    <n v="1"/>
  </r>
  <r>
    <s v="TCK-10828"/>
    <s v="2024-01-12 02:13:17"/>
    <s v="2024-01-12 07:25:13"/>
    <s v="P2"/>
    <x v="0"/>
    <s v="Application Support"/>
    <s v="Dwight Schrute"/>
    <s v="Closed"/>
    <n v="3"/>
    <n v="8"/>
    <n v="5.2"/>
    <n v="1"/>
  </r>
  <r>
    <s v="TCK-10829"/>
    <s v="2024-03-03 05:19:43"/>
    <s v="2024-03-03 06:24:56"/>
    <s v="P2"/>
    <x v="1"/>
    <s v="Infrastructure"/>
    <s v="Carlos Mendez"/>
    <s v="Closed"/>
    <n v="5"/>
    <n v="8"/>
    <n v="1.0900000000000001"/>
    <n v="1"/>
  </r>
  <r>
    <s v="TCK-10830"/>
    <s v="2024-10-31 02:56:49"/>
    <s v="2024-10-31 14:10:17"/>
    <s v="P1"/>
    <x v="2"/>
    <s v="L1 Support"/>
    <s v="Pam Beesly"/>
    <s v="Closed"/>
    <n v="2"/>
    <n v="4"/>
    <n v="11.22"/>
    <n v="0"/>
  </r>
  <r>
    <s v="TCK-10831"/>
    <s v="2024-05-21 11:27:09"/>
    <s v="2024-05-22 01:30:01"/>
    <s v="P3"/>
    <x v="0"/>
    <s v="Application Support"/>
    <s v="Priya Nair"/>
    <s v="Closed"/>
    <n v="5"/>
    <n v="24"/>
    <n v="14.05"/>
    <n v="1"/>
  </r>
  <r>
    <s v="TCK-10832"/>
    <s v="2024-02-17 04:28:14"/>
    <s v="2024-02-17 19:06:24"/>
    <s v="P3"/>
    <x v="0"/>
    <s v="Billing Operations"/>
    <s v="Michael Scott"/>
    <s v="Resolved"/>
    <n v="5"/>
    <n v="24"/>
    <n v="14.64"/>
    <n v="1"/>
  </r>
  <r>
    <s v="TCK-10833"/>
    <s v="2024-05-02 01:11:45"/>
    <s v="2024-05-02 12:59:48"/>
    <s v="P2"/>
    <x v="3"/>
    <s v="Application Support"/>
    <s v="Priya Nair"/>
    <s v="Closed"/>
    <n v="1"/>
    <n v="8"/>
    <n v="11.8"/>
    <n v="0"/>
  </r>
  <r>
    <s v="TCK-10834"/>
    <s v="2024-03-24 11:38:13"/>
    <s v="2024-03-25 20:58:52"/>
    <s v="P4"/>
    <x v="2"/>
    <s v="Infrastructure"/>
    <s v="Anita Sharma"/>
    <s v="Resolved"/>
    <n v="4"/>
    <n v="48"/>
    <n v="33.340000000000003"/>
    <n v="1"/>
  </r>
  <r>
    <s v="TCK-10835"/>
    <s v="2024-07-31 06:42:44"/>
    <s v="2024-08-01 01:52:05"/>
    <s v="P3"/>
    <x v="3"/>
    <s v="Infrastructure"/>
    <s v="John Doe"/>
    <s v="Resolved"/>
    <n v="3"/>
    <n v="24"/>
    <n v="19.16"/>
    <n v="1"/>
  </r>
  <r>
    <s v="TCK-10836"/>
    <s v="2024-12-17 21:20:59"/>
    <m/>
    <s v="P3"/>
    <x v="0"/>
    <s v="L1 Support"/>
    <s v="Priya Nair"/>
    <s v="Open"/>
    <m/>
    <n v="24"/>
    <m/>
    <m/>
  </r>
  <r>
    <s v="TCK-10837"/>
    <s v="2024-09-18 03:45:09"/>
    <m/>
    <s v="P2"/>
    <x v="3"/>
    <s v="Infrastructure"/>
    <s v="Carlos Mendez"/>
    <s v="Open"/>
    <m/>
    <n v="8"/>
    <m/>
    <m/>
  </r>
  <r>
    <s v="TCK-10838"/>
    <s v="2024-05-21 06:03:16"/>
    <s v="2024-05-22 23:58:25"/>
    <s v="P4"/>
    <x v="3"/>
    <s v="Billing Operations"/>
    <s v="Emily Watson"/>
    <s v="Closed"/>
    <n v="4"/>
    <n v="48"/>
    <n v="41.92"/>
    <n v="1"/>
  </r>
  <r>
    <s v="TCK-10839"/>
    <s v="2024-12-22 19:41:48"/>
    <s v="2024-12-23 18:23:04"/>
    <s v="P2"/>
    <x v="2"/>
    <s v="L2 Support"/>
    <s v="Michael Scott"/>
    <s v="Resolved"/>
    <n v="2"/>
    <n v="8"/>
    <n v="22.69"/>
    <n v="0"/>
  </r>
  <r>
    <s v="TCK-10840"/>
    <s v="2024-12-07 21:13:43"/>
    <s v="2024-12-13 15:39:32"/>
    <s v="P4"/>
    <x v="3"/>
    <s v="L1 Support"/>
    <s v="Michael Scott"/>
    <s v="Closed"/>
    <n v="2"/>
    <n v="48"/>
    <n v="138.43"/>
    <n v="0"/>
  </r>
  <r>
    <s v="TCK-10841"/>
    <s v="2024-06-09 17:04:42"/>
    <s v="2024-06-10 18:32:12"/>
    <s v="P4"/>
    <x v="2"/>
    <s v="Application Support"/>
    <s v="Sarah Connor"/>
    <s v="Closed"/>
    <n v="4"/>
    <n v="48"/>
    <n v="25.46"/>
    <n v="1"/>
  </r>
  <r>
    <s v="TCK-10842"/>
    <s v="2024-08-22 04:07:38"/>
    <s v="2024-08-22 19:36:40"/>
    <s v="P3"/>
    <x v="0"/>
    <s v="Infrastructure"/>
    <s v="Dwight Schrute"/>
    <s v="Closed"/>
    <n v="4"/>
    <n v="24"/>
    <n v="15.48"/>
    <n v="1"/>
  </r>
  <r>
    <s v="TCK-10843"/>
    <s v="2024-06-21 12:50:01"/>
    <s v="2024-06-21 16:54:40"/>
    <s v="P3"/>
    <x v="1"/>
    <s v="Application Support"/>
    <s v="Emily Watson"/>
    <s v="Closed"/>
    <n v="4"/>
    <n v="24"/>
    <n v="4.08"/>
    <n v="1"/>
  </r>
  <r>
    <s v="TCK-10844"/>
    <s v="2024-07-19 20:52:44"/>
    <s v="2024-07-20 05:47:40"/>
    <s v="P3"/>
    <x v="0"/>
    <s v="L2 Support"/>
    <s v="Anita Sharma"/>
    <s v="Closed"/>
    <n v="4"/>
    <n v="24"/>
    <n v="8.92"/>
    <n v="1"/>
  </r>
  <r>
    <s v="TCK-10845"/>
    <s v="2024-10-12 20:18:02"/>
    <s v="2024-10-12 23:55:08"/>
    <s v="P2"/>
    <x v="1"/>
    <s v="Billing Operations"/>
    <s v="Pam Beesly"/>
    <s v="Closed"/>
    <n v="4"/>
    <n v="8"/>
    <n v="3.62"/>
    <n v="1"/>
  </r>
  <r>
    <s v="TCK-10846"/>
    <s v="2024-12-06 16:32:49"/>
    <s v="2024-12-07 06:20:27"/>
    <s v="P3"/>
    <x v="0"/>
    <s v="Billing Operations"/>
    <s v="Emily Watson"/>
    <s v="Resolved"/>
    <n v="5"/>
    <n v="24"/>
    <n v="13.79"/>
    <n v="1"/>
  </r>
  <r>
    <s v="TCK-10847"/>
    <s v="2024-03-30 03:42:21"/>
    <s v="2024-03-31 00:52:05"/>
    <s v="P4"/>
    <x v="4"/>
    <s v="L2 Support"/>
    <s v="Michael Scott"/>
    <s v="Closed"/>
    <n v="4"/>
    <n v="48"/>
    <n v="21.16"/>
    <n v="1"/>
  </r>
  <r>
    <s v="TCK-10848"/>
    <s v="2024-04-11 08:50:46"/>
    <s v="2024-04-11 12:36:18"/>
    <s v="P2"/>
    <x v="4"/>
    <s v="L2 Support"/>
    <s v="Anita Sharma"/>
    <s v="Resolved"/>
    <n v="5"/>
    <n v="8"/>
    <n v="3.76"/>
    <n v="1"/>
  </r>
  <r>
    <s v="TCK-10849"/>
    <s v="2024-06-25 12:51:49"/>
    <s v="2024-06-30 19:23:56"/>
    <s v="P4"/>
    <x v="2"/>
    <s v="L2 Support"/>
    <s v="Priya Nair"/>
    <s v="Resolved"/>
    <n v="1"/>
    <n v="48"/>
    <n v="126.54"/>
    <n v="0"/>
  </r>
  <r>
    <s v="TCK-10850"/>
    <s v="2024-10-17 05:21:11"/>
    <s v="2024-10-19 16:33:46"/>
    <s v="P3"/>
    <x v="1"/>
    <s v="L2 Support"/>
    <s v="Anita Sharma"/>
    <s v="Resolved"/>
    <n v="1"/>
    <n v="24"/>
    <n v="59.21"/>
    <n v="0"/>
  </r>
  <r>
    <s v="TCK-10851"/>
    <s v="2024-03-11 09:10:08"/>
    <s v="2024-03-11 16:38:04"/>
    <s v="P3"/>
    <x v="1"/>
    <s v="Infrastructure"/>
    <s v="Michael Scott"/>
    <s v="Resolved"/>
    <n v="5"/>
    <n v="24"/>
    <n v="7.47"/>
    <n v="1"/>
  </r>
  <r>
    <s v="TCK-10852"/>
    <s v="2024-09-08 16:40:21"/>
    <m/>
    <s v="P3"/>
    <x v="1"/>
    <s v="L2 Support"/>
    <s v="Pam Beesly"/>
    <s v="Escalated"/>
    <m/>
    <n v="24"/>
    <m/>
    <m/>
  </r>
  <r>
    <s v="TCK-10853"/>
    <s v="2024-06-03 17:28:42"/>
    <s v="2024-06-04 07:14:28"/>
    <s v="P3"/>
    <x v="0"/>
    <s v="Application Support"/>
    <s v="Priya Nair"/>
    <s v="Closed"/>
    <n v="3"/>
    <n v="24"/>
    <n v="13.76"/>
    <n v="1"/>
  </r>
  <r>
    <s v="TCK-10854"/>
    <s v="2024-12-27 22:09:04"/>
    <m/>
    <s v="P2"/>
    <x v="4"/>
    <s v="Billing Operations"/>
    <s v="Carlos Mendez"/>
    <s v="Escalated"/>
    <m/>
    <n v="8"/>
    <m/>
    <m/>
  </r>
  <r>
    <s v="TCK-10855"/>
    <s v="2024-08-20 15:55:37"/>
    <s v="2024-08-21 14:16:06"/>
    <s v="P3"/>
    <x v="0"/>
    <s v="L1 Support"/>
    <s v="Michael Scott"/>
    <s v="Resolved"/>
    <n v="5"/>
    <n v="24"/>
    <n v="22.34"/>
    <n v="1"/>
  </r>
  <r>
    <s v="TCK-10856"/>
    <s v="2024-02-21 16:32:59"/>
    <s v="2024-02-23 11:18:25"/>
    <s v="P4"/>
    <x v="3"/>
    <s v="Billing Operations"/>
    <s v="John Doe"/>
    <s v="Resolved"/>
    <n v="5"/>
    <n v="48"/>
    <n v="42.76"/>
    <n v="1"/>
  </r>
  <r>
    <s v="TCK-10857"/>
    <s v="2024-02-21 13:34:45"/>
    <s v="2024-02-21 17:18:22"/>
    <s v="P1"/>
    <x v="0"/>
    <s v="Application Support"/>
    <s v="John Doe"/>
    <s v="Resolved"/>
    <n v="4"/>
    <n v="4"/>
    <n v="3.73"/>
    <n v="1"/>
  </r>
  <r>
    <s v="TCK-10858"/>
    <s v="2024-11-20 12:56:15"/>
    <m/>
    <s v="P2"/>
    <x v="2"/>
    <s v="Application Support"/>
    <s v="Michael Scott"/>
    <s v="Open"/>
    <m/>
    <n v="8"/>
    <m/>
    <m/>
  </r>
  <r>
    <s v="TCK-10859"/>
    <s v="2024-04-12 13:21:16"/>
    <s v="2024-04-14 05:19:18"/>
    <s v="P3"/>
    <x v="0"/>
    <s v="Infrastructure"/>
    <s v="Ravi Patel"/>
    <s v="Resolved"/>
    <n v="4"/>
    <n v="24"/>
    <n v="39.97"/>
    <n v="0"/>
  </r>
  <r>
    <s v="TCK-10860"/>
    <s v="2024-10-23 21:58:14"/>
    <s v="2024-10-24 10:14:33"/>
    <s v="P4"/>
    <x v="3"/>
    <s v="Application Support"/>
    <s v="Alex Mercer"/>
    <s v="Resolved"/>
    <n v="4"/>
    <n v="48"/>
    <n v="12.27"/>
    <n v="1"/>
  </r>
  <r>
    <s v="TCK-10861"/>
    <s v="2024-03-04 20:26:33"/>
    <s v="2024-03-06 23:53:25"/>
    <s v="P3"/>
    <x v="2"/>
    <s v="Application Support"/>
    <s v="Alex Mercer"/>
    <s v="Resolved"/>
    <n v="2"/>
    <n v="24"/>
    <n v="51.45"/>
    <n v="0"/>
  </r>
  <r>
    <s v="TCK-10862"/>
    <s v="2024-02-14 00:29:27"/>
    <s v="2024-02-16 19:48:00"/>
    <s v="P4"/>
    <x v="0"/>
    <s v="L1 Support"/>
    <s v="Pam Beesly"/>
    <s v="Resolved"/>
    <n v="1"/>
    <n v="48"/>
    <n v="67.31"/>
    <n v="0"/>
  </r>
  <r>
    <s v="TCK-10863"/>
    <s v="2024-07-16 21:46:46"/>
    <s v="2024-07-21 01:24:52"/>
    <s v="P4"/>
    <x v="3"/>
    <s v="Billing Operations"/>
    <s v="Emily Watson"/>
    <s v="Closed"/>
    <n v="2"/>
    <n v="48"/>
    <n v="99.64"/>
    <n v="0"/>
  </r>
  <r>
    <s v="TCK-10864"/>
    <s v="2024-06-11 01:18:22"/>
    <s v="2024-06-11 17:42:17"/>
    <s v="P4"/>
    <x v="2"/>
    <s v="Application Support"/>
    <s v="Carlos Mendez"/>
    <s v="Resolved"/>
    <n v="5"/>
    <n v="48"/>
    <n v="16.399999999999999"/>
    <n v="1"/>
  </r>
  <r>
    <s v="TCK-10865"/>
    <s v="2024-02-17 17:02:16"/>
    <s v="2024-02-18 12:23:02"/>
    <s v="P3"/>
    <x v="3"/>
    <s v="L1 Support"/>
    <s v="Pam Beesly"/>
    <s v="Resolved"/>
    <n v="5"/>
    <n v="24"/>
    <n v="19.350000000000001"/>
    <n v="1"/>
  </r>
  <r>
    <s v="TCK-10866"/>
    <s v="2024-06-25 16:06:14"/>
    <m/>
    <s v="P3"/>
    <x v="2"/>
    <s v="L1 Support"/>
    <s v="Pam Beesly"/>
    <s v="Escalated"/>
    <m/>
    <n v="24"/>
    <m/>
    <m/>
  </r>
  <r>
    <s v="TCK-10867"/>
    <s v="2024-09-12 03:58:24"/>
    <s v="2024-09-12 19:30:13"/>
    <s v="P3"/>
    <x v="2"/>
    <s v="Billing Operations"/>
    <s v="John Doe"/>
    <s v="Resolved"/>
    <n v="4"/>
    <n v="24"/>
    <n v="15.53"/>
    <n v="1"/>
  </r>
  <r>
    <s v="TCK-10868"/>
    <s v="2024-01-22 21:37:26"/>
    <s v="2024-01-23 04:55:17"/>
    <s v="P3"/>
    <x v="2"/>
    <s v="Billing Operations"/>
    <s v="Jim Halpert"/>
    <s v="Resolved"/>
    <n v="5"/>
    <n v="24"/>
    <n v="7.3"/>
    <n v="1"/>
  </r>
  <r>
    <s v="TCK-10869"/>
    <s v="2024-06-04 06:10:42"/>
    <s v="2024-06-04 09:08:13"/>
    <s v="P1"/>
    <x v="0"/>
    <s v="L2 Support"/>
    <s v="Jim Halpert"/>
    <s v="Closed"/>
    <n v="5"/>
    <n v="4"/>
    <n v="2.96"/>
    <n v="1"/>
  </r>
  <r>
    <s v="TCK-10870"/>
    <s v="2024-02-17 04:05:31"/>
    <s v="2024-02-17 05:32:43"/>
    <s v="P2"/>
    <x v="0"/>
    <s v="Infrastructure"/>
    <s v="Carlos Mendez"/>
    <s v="Closed"/>
    <n v="4"/>
    <n v="8"/>
    <n v="1.45"/>
    <n v="1"/>
  </r>
  <r>
    <s v="TCK-10871"/>
    <s v="2024-03-18 22:56:06"/>
    <s v="2024-03-19 16:46:02"/>
    <s v="P3"/>
    <x v="0"/>
    <s v="Application Support"/>
    <s v="Michael Scott"/>
    <s v="Closed"/>
    <n v="5"/>
    <n v="24"/>
    <n v="17.829999999999998"/>
    <n v="1"/>
  </r>
  <r>
    <s v="TCK-10872"/>
    <s v="2024-08-26 17:39:44"/>
    <s v="2024-08-27 12:36:52"/>
    <s v="P2"/>
    <x v="3"/>
    <s v="L1 Support"/>
    <s v="Alex Mercer"/>
    <s v="Resolved"/>
    <n v="2"/>
    <n v="8"/>
    <n v="18.95"/>
    <n v="0"/>
  </r>
  <r>
    <s v="TCK-10873"/>
    <s v="2024-10-04 11:33:53"/>
    <s v="2024-10-04 18:32:01"/>
    <s v="P2"/>
    <x v="2"/>
    <s v="Billing Operations"/>
    <s v="Sarah Connor"/>
    <s v="Resolved"/>
    <n v="4"/>
    <n v="8"/>
    <n v="6.97"/>
    <n v="1"/>
  </r>
  <r>
    <s v="TCK-10874"/>
    <s v="2024-02-28 01:06:47"/>
    <s v="2024-02-28 07:51:37"/>
    <s v="P4"/>
    <x v="3"/>
    <s v="Infrastructure"/>
    <s v="Emily Watson"/>
    <s v="Resolved"/>
    <n v="3"/>
    <n v="48"/>
    <n v="6.75"/>
    <n v="1"/>
  </r>
  <r>
    <s v="TCK-10875"/>
    <s v="2024-01-18 20:18:53"/>
    <s v="2024-01-19 15:17:46"/>
    <s v="P3"/>
    <x v="2"/>
    <s v="Application Support"/>
    <s v="Sarah Connor"/>
    <s v="Resolved"/>
    <n v="4"/>
    <n v="24"/>
    <n v="18.98"/>
    <n v="1"/>
  </r>
  <r>
    <s v="TCK-10876"/>
    <s v="2024-08-15 17:53:17"/>
    <s v="2024-08-15 18:54:27"/>
    <s v="P1"/>
    <x v="2"/>
    <s v="L1 Support"/>
    <s v="Priya Nair"/>
    <s v="Closed"/>
    <n v="4"/>
    <n v="4"/>
    <n v="1.02"/>
    <n v="1"/>
  </r>
  <r>
    <s v="TCK-10877"/>
    <s v="2024-02-02 16:19:27"/>
    <s v="2024-02-03 03:54:11"/>
    <s v="P3"/>
    <x v="0"/>
    <s v="Infrastructure"/>
    <s v="Anita Sharma"/>
    <s v="Closed"/>
    <n v="5"/>
    <n v="24"/>
    <n v="11.58"/>
    <n v="1"/>
  </r>
  <r>
    <s v="TCK-10878"/>
    <s v="2024-05-12 21:28:01"/>
    <s v="2024-05-14 02:54:44"/>
    <s v="P4"/>
    <x v="3"/>
    <s v="L2 Support"/>
    <s v="Emily Watson"/>
    <s v="Resolved"/>
    <n v="5"/>
    <n v="48"/>
    <n v="29.45"/>
    <n v="1"/>
  </r>
  <r>
    <s v="TCK-10879"/>
    <s v="2024-02-11 15:04:24"/>
    <s v="2024-02-12 02:51:38"/>
    <s v="P3"/>
    <x v="1"/>
    <s v="Application Support"/>
    <s v="Sarah Connor"/>
    <s v="Resolved"/>
    <n v="4"/>
    <n v="24"/>
    <n v="11.79"/>
    <n v="1"/>
  </r>
  <r>
    <s v="TCK-10880"/>
    <s v="2024-09-12 18:22:03"/>
    <s v="2024-09-16 06:31:54"/>
    <s v="P4"/>
    <x v="3"/>
    <s v="Application Support"/>
    <s v="Michael Scott"/>
    <s v="Closed"/>
    <n v="2"/>
    <n v="48"/>
    <n v="84.16"/>
    <n v="0"/>
  </r>
  <r>
    <s v="TCK-10881"/>
    <s v="2024-09-25 10:00:01"/>
    <s v="2024-09-26 05:02:45"/>
    <s v="P3"/>
    <x v="0"/>
    <s v="L1 Support"/>
    <s v="John Doe"/>
    <s v="Resolved"/>
    <n v="5"/>
    <n v="24"/>
    <n v="19.05"/>
    <n v="1"/>
  </r>
  <r>
    <s v="TCK-10882"/>
    <s v="2024-03-14 10:20:52"/>
    <s v="2024-03-19 21:04:27"/>
    <s v="P4"/>
    <x v="2"/>
    <s v="L2 Support"/>
    <s v="Carlos Mendez"/>
    <s v="Resolved"/>
    <n v="2"/>
    <n v="48"/>
    <n v="130.72999999999999"/>
    <n v="0"/>
  </r>
  <r>
    <s v="TCK-10883"/>
    <s v="2024-02-03 18:27:00"/>
    <s v="2024-02-03 20:17:11"/>
    <s v="P2"/>
    <x v="2"/>
    <s v="Application Support"/>
    <s v="Jim Halpert"/>
    <s v="Resolved"/>
    <n v="5"/>
    <n v="8"/>
    <n v="1.84"/>
    <n v="1"/>
  </r>
  <r>
    <s v="TCK-10884"/>
    <s v="2024-07-07 16:57:51"/>
    <s v="2024-07-08 12:22:28"/>
    <s v="P3"/>
    <x v="0"/>
    <s v="Billing Operations"/>
    <s v="Emily Watson"/>
    <s v="Resolved"/>
    <n v="3"/>
    <n v="24"/>
    <n v="19.41"/>
    <n v="1"/>
  </r>
  <r>
    <s v="TCK-10885"/>
    <s v="2024-01-04 09:23:37"/>
    <s v="2024-01-04 14:14:43"/>
    <s v="P2"/>
    <x v="0"/>
    <s v="Application Support"/>
    <s v="Jim Halpert"/>
    <s v="Closed"/>
    <n v="5"/>
    <n v="8"/>
    <n v="4.8499999999999996"/>
    <n v="1"/>
  </r>
  <r>
    <s v="TCK-10886"/>
    <s v="2024-04-23 06:12:54"/>
    <s v="2024-04-23 17:28:28"/>
    <s v="P1"/>
    <x v="2"/>
    <s v="Billing Operations"/>
    <s v="Anita Sharma"/>
    <s v="Closed"/>
    <n v="3"/>
    <n v="4"/>
    <n v="11.26"/>
    <n v="0"/>
  </r>
  <r>
    <s v="TCK-10887"/>
    <s v="2024-03-31 09:31:06"/>
    <s v="2024-04-01 06:07:58"/>
    <s v="P3"/>
    <x v="2"/>
    <s v="Application Support"/>
    <s v="Anita Sharma"/>
    <s v="Resolved"/>
    <n v="4"/>
    <n v="24"/>
    <n v="20.61"/>
    <n v="1"/>
  </r>
  <r>
    <s v="TCK-10888"/>
    <s v="2024-07-03 03:49:46"/>
    <s v="2024-07-03 06:35:16"/>
    <s v="P2"/>
    <x v="3"/>
    <s v="Infrastructure"/>
    <s v="Dwight Schrute"/>
    <s v="Closed"/>
    <n v="4"/>
    <n v="8"/>
    <n v="2.76"/>
    <n v="1"/>
  </r>
  <r>
    <s v="TCK-10889"/>
    <s v="2024-05-13 20:53:23"/>
    <s v="2024-05-14 16:28:33"/>
    <s v="P3"/>
    <x v="2"/>
    <s v="Billing Operations"/>
    <s v="Carlos Mendez"/>
    <s v="Resolved"/>
    <n v="5"/>
    <n v="24"/>
    <n v="19.59"/>
    <n v="1"/>
  </r>
  <r>
    <s v="TCK-10890"/>
    <s v="2024-02-21 06:29:11"/>
    <s v="2024-02-22 17:15:26"/>
    <s v="P4"/>
    <x v="0"/>
    <s v="Application Support"/>
    <s v="Jim Halpert"/>
    <s v="Closed"/>
    <n v="5"/>
    <n v="48"/>
    <n v="34.770000000000003"/>
    <n v="1"/>
  </r>
  <r>
    <s v="TCK-10891"/>
    <s v="2024-11-06 22:15:26"/>
    <s v="2024-11-07 22:45:32"/>
    <s v="P4"/>
    <x v="1"/>
    <s v="L2 Support"/>
    <s v="Michael Scott"/>
    <s v="Closed"/>
    <n v="4"/>
    <n v="48"/>
    <n v="24.5"/>
    <n v="1"/>
  </r>
  <r>
    <s v="TCK-10892"/>
    <s v="2024-03-02 00:57:10"/>
    <s v="2024-03-02 04:18:45"/>
    <s v="P3"/>
    <x v="1"/>
    <s v="Application Support"/>
    <s v="Dwight Schrute"/>
    <s v="Resolved"/>
    <n v="3"/>
    <n v="24"/>
    <n v="3.36"/>
    <n v="1"/>
  </r>
  <r>
    <s v="TCK-10893"/>
    <s v="2024-12-08 10:38:24"/>
    <s v="2024-12-08 14:22:05"/>
    <s v="P2"/>
    <x v="3"/>
    <s v="L2 Support"/>
    <s v="Ravi Patel"/>
    <s v="Resolved"/>
    <n v="5"/>
    <n v="8"/>
    <n v="3.73"/>
    <n v="1"/>
  </r>
  <r>
    <s v="TCK-10894"/>
    <s v="2024-02-17 04:53:38"/>
    <s v="2024-02-17 18:39:25"/>
    <s v="P3"/>
    <x v="2"/>
    <s v="Infrastructure"/>
    <s v="Pam Beesly"/>
    <s v="Closed"/>
    <n v="5"/>
    <n v="24"/>
    <n v="13.76"/>
    <n v="1"/>
  </r>
  <r>
    <s v="TCK-10895"/>
    <s v="2024-11-27 18:20:25"/>
    <s v="2024-11-30 08:55:58"/>
    <s v="P3"/>
    <x v="2"/>
    <s v="L1 Support"/>
    <s v="Priya Nair"/>
    <s v="Resolved"/>
    <n v="4"/>
    <n v="24"/>
    <n v="62.59"/>
    <n v="0"/>
  </r>
  <r>
    <s v="TCK-10896"/>
    <s v="2024-10-20 20:14:03"/>
    <s v="2024-11-27 04:14:03"/>
    <s v="P2"/>
    <x v="1"/>
    <s v="Billing Operations"/>
    <s v="Anita Sharma"/>
    <s v="Closed"/>
    <n v="1"/>
    <n v="8"/>
    <n v="896"/>
    <n v="0"/>
  </r>
  <r>
    <s v="TCK-10897"/>
    <s v="2024-02-11 06:30:09"/>
    <s v="2024-02-11 10:18:17"/>
    <s v="P2"/>
    <x v="1"/>
    <s v="L2 Support"/>
    <s v="Pam Beesly"/>
    <s v="Resolved"/>
    <n v="5"/>
    <n v="8"/>
    <n v="3.8"/>
    <n v="1"/>
  </r>
  <r>
    <s v="TCK-10898"/>
    <s v="2024-10-11 19:52:42"/>
    <s v="2024-10-12 08:54:55"/>
    <s v="P4"/>
    <x v="1"/>
    <s v="Infrastructure"/>
    <s v="Pam Beesly"/>
    <s v="Closed"/>
    <n v="5"/>
    <n v="48"/>
    <n v="13.04"/>
    <n v="1"/>
  </r>
  <r>
    <s v="TCK-10899"/>
    <s v="2024-10-26 01:38:36"/>
    <s v="2024-10-26 09:28:12"/>
    <s v="P3"/>
    <x v="2"/>
    <s v="Application Support"/>
    <s v="Pam Beesly"/>
    <s v="Resolved"/>
    <n v="5"/>
    <n v="24"/>
    <n v="7.83"/>
    <n v="1"/>
  </r>
  <r>
    <s v="TCK-10900"/>
    <s v="2024-06-10 12:09:38"/>
    <s v="2024-06-11 06:54:59"/>
    <s v="P3"/>
    <x v="3"/>
    <s v="L2 Support"/>
    <s v="Ravi Patel"/>
    <s v="Resolved"/>
    <n v="4"/>
    <n v="24"/>
    <n v="18.760000000000002"/>
    <n v="1"/>
  </r>
  <r>
    <s v="TCK-10901"/>
    <s v="2024-06-08 07:02:21"/>
    <s v="2024-06-08 17:46:44"/>
    <s v="P4"/>
    <x v="4"/>
    <s v="Billing Operations"/>
    <s v="Carlos Mendez"/>
    <s v="Resolved"/>
    <n v="3"/>
    <n v="48"/>
    <n v="10.74"/>
    <n v="1"/>
  </r>
  <r>
    <s v="TCK-10902"/>
    <s v="2024-11-09 10:45:55"/>
    <s v="2024-11-09 22:01:13"/>
    <s v="P3"/>
    <x v="1"/>
    <s v="Infrastructure"/>
    <s v="Pam Beesly"/>
    <s v="Resolved"/>
    <n v="4"/>
    <n v="24"/>
    <n v="11.26"/>
    <n v="1"/>
  </r>
  <r>
    <s v="TCK-10903"/>
    <s v="2024-01-15 17:44:19"/>
    <m/>
    <s v="P3"/>
    <x v="3"/>
    <s v="Billing Operations"/>
    <s v="Alex Mercer"/>
    <s v="Escalated"/>
    <m/>
    <n v="24"/>
    <m/>
    <m/>
  </r>
  <r>
    <s v="TCK-10904"/>
    <s v="2024-10-04 09:05:08"/>
    <s v="2024-10-04 22:46:45"/>
    <s v="P3"/>
    <x v="0"/>
    <s v="Infrastructure"/>
    <s v="Jim Halpert"/>
    <s v="Resolved"/>
    <n v="4"/>
    <n v="24"/>
    <n v="13.69"/>
    <n v="1"/>
  </r>
  <r>
    <s v="TCK-10905"/>
    <s v="2024-10-15 18:26:32"/>
    <s v="2024-10-15 21:59:20"/>
    <s v="P2"/>
    <x v="2"/>
    <s v="Infrastructure"/>
    <s v="Ravi Patel"/>
    <s v="Closed"/>
    <n v="5"/>
    <n v="8"/>
    <n v="3.55"/>
    <n v="1"/>
  </r>
  <r>
    <s v="TCK-10906"/>
    <s v="2024-12-11 00:50:34"/>
    <s v="2024-12-11 16:28:38"/>
    <s v="P3"/>
    <x v="0"/>
    <s v="Application Support"/>
    <s v="Priya Nair"/>
    <s v="Resolved"/>
    <n v="5"/>
    <n v="24"/>
    <n v="15.63"/>
    <n v="1"/>
  </r>
  <r>
    <s v="TCK-10907"/>
    <s v="2024-12-08 11:16:45"/>
    <s v="2024-12-08 12:56:09"/>
    <s v="P2"/>
    <x v="1"/>
    <s v="Infrastructure"/>
    <s v="Jim Halpert"/>
    <s v="Closed"/>
    <n v="5"/>
    <n v="8"/>
    <n v="1.66"/>
    <n v="1"/>
  </r>
  <r>
    <s v="TCK-10908"/>
    <s v="2024-04-20 14:23:58"/>
    <s v="2024-04-20 15:21:31"/>
    <s v="P2"/>
    <x v="2"/>
    <s v="Infrastructure"/>
    <s v="Ravi Patel"/>
    <s v="Resolved"/>
    <n v="5"/>
    <n v="8"/>
    <n v="0.96"/>
    <n v="1"/>
  </r>
  <r>
    <s v="TCK-10909"/>
    <s v="2024-07-29 00:32:13"/>
    <m/>
    <s v="P3"/>
    <x v="2"/>
    <s v="Infrastructure"/>
    <s v="Priya Nair"/>
    <s v="Open"/>
    <m/>
    <n v="24"/>
    <m/>
    <m/>
  </r>
  <r>
    <s v="TCK-10910"/>
    <s v="2024-04-11 05:06:20"/>
    <m/>
    <s v="P3"/>
    <x v="2"/>
    <s v="L1 Support"/>
    <s v="Carlos Mendez"/>
    <s v="Open"/>
    <m/>
    <n v="24"/>
    <m/>
    <m/>
  </r>
  <r>
    <s v="TCK-10911"/>
    <s v="2024-06-23 14:31:51"/>
    <m/>
    <s v="P2"/>
    <x v="0"/>
    <s v="Application Support"/>
    <s v="Pam Beesly"/>
    <s v="Escalated"/>
    <m/>
    <n v="8"/>
    <m/>
    <m/>
  </r>
  <r>
    <s v="TCK-10912"/>
    <s v="2024-11-09 02:45:22"/>
    <s v="2024-11-09 18:45:40"/>
    <s v="P3"/>
    <x v="2"/>
    <s v="Billing Operations"/>
    <s v="Anita Sharma"/>
    <s v="Resolved"/>
    <n v="5"/>
    <n v="24"/>
    <n v="16"/>
    <n v="1"/>
  </r>
  <r>
    <s v="TCK-10913"/>
    <s v="2024-08-10 18:33:48"/>
    <s v="2024-08-11 08:50:37"/>
    <s v="P3"/>
    <x v="0"/>
    <s v="Billing Operations"/>
    <s v="Priya Nair"/>
    <s v="Resolved"/>
    <n v="5"/>
    <n v="24"/>
    <n v="14.28"/>
    <n v="1"/>
  </r>
  <r>
    <s v="TCK-10914"/>
    <s v="2024-05-20 15:15:26"/>
    <s v="2024-05-21 11:46:58"/>
    <s v="P3"/>
    <x v="1"/>
    <s v="Application Support"/>
    <s v="Jim Halpert"/>
    <s v="Resolved"/>
    <n v="4"/>
    <n v="24"/>
    <n v="20.53"/>
    <n v="1"/>
  </r>
  <r>
    <s v="TCK-10915"/>
    <s v="2024-06-22 14:33:02"/>
    <s v="2024-06-22 17:54:55"/>
    <s v="P1"/>
    <x v="3"/>
    <s v="Application Support"/>
    <s v="Anita Sharma"/>
    <s v="Closed"/>
    <n v="5"/>
    <n v="4"/>
    <n v="3.36"/>
    <n v="1"/>
  </r>
  <r>
    <s v="TCK-10916"/>
    <s v="2024-09-04 12:14:52"/>
    <m/>
    <s v="P3"/>
    <x v="3"/>
    <s v="Application Support"/>
    <s v="Priya Nair"/>
    <s v="Escalated"/>
    <m/>
    <n v="24"/>
    <m/>
    <m/>
  </r>
  <r>
    <s v="TCK-10917"/>
    <s v="2024-11-16 06:28:58"/>
    <s v="2024-11-16 22:53:18"/>
    <s v="P2"/>
    <x v="2"/>
    <s v="Application Support"/>
    <s v="Priya Nair"/>
    <s v="Resolved"/>
    <n v="2"/>
    <n v="8"/>
    <n v="16.41"/>
    <n v="0"/>
  </r>
  <r>
    <s v="TCK-10918"/>
    <s v="2024-09-27 00:56:10"/>
    <s v="2024-09-27 18:43:15"/>
    <s v="P2"/>
    <x v="2"/>
    <s v="L2 Support"/>
    <s v="Ravi Patel"/>
    <s v="Resolved"/>
    <n v="2"/>
    <n v="8"/>
    <n v="17.78"/>
    <n v="0"/>
  </r>
  <r>
    <s v="TCK-10919"/>
    <s v="2024-02-17 06:33:24"/>
    <s v="2024-02-17 16:35:44"/>
    <s v="P3"/>
    <x v="2"/>
    <s v="Billing Operations"/>
    <s v="John Doe"/>
    <s v="Resolved"/>
    <n v="4"/>
    <n v="24"/>
    <n v="10.039999999999999"/>
    <n v="1"/>
  </r>
  <r>
    <s v="TCK-10920"/>
    <s v="2024-01-12 04:46:18"/>
    <s v="2024-01-14 23:34:46"/>
    <s v="P3"/>
    <x v="1"/>
    <s v="Billing Operations"/>
    <s v="Jim Halpert"/>
    <s v="Resolved"/>
    <n v="1"/>
    <n v="24"/>
    <n v="66.81"/>
    <n v="0"/>
  </r>
  <r>
    <s v="TCK-10921"/>
    <s v="2024-11-14 10:47:56"/>
    <s v="2024-11-14 23:00:53"/>
    <s v="P3"/>
    <x v="1"/>
    <s v="Billing Operations"/>
    <s v="Pam Beesly"/>
    <s v="Resolved"/>
    <n v="4"/>
    <n v="24"/>
    <n v="12.22"/>
    <n v="1"/>
  </r>
  <r>
    <s v="TCK-10922"/>
    <s v="2024-06-25 00:26:06"/>
    <s v="2024-06-25 10:53:12"/>
    <s v="P4"/>
    <x v="0"/>
    <s v="Application Support"/>
    <s v="Priya Nair"/>
    <s v="Closed"/>
    <n v="5"/>
    <n v="48"/>
    <n v="10.45"/>
    <n v="1"/>
  </r>
  <r>
    <s v="TCK-10923"/>
    <s v="2024-10-23 03:21:38"/>
    <s v="2024-10-23 14:07:01"/>
    <s v="P3"/>
    <x v="2"/>
    <s v="Infrastructure"/>
    <s v="Sarah Connor"/>
    <s v="Closed"/>
    <n v="4"/>
    <n v="24"/>
    <n v="10.76"/>
    <n v="1"/>
  </r>
  <r>
    <s v="TCK-10924"/>
    <s v="2024-06-02 21:22:06"/>
    <s v="2024-06-02 23:17:40"/>
    <s v="P2"/>
    <x v="1"/>
    <s v="Application Support"/>
    <s v="Priya Nair"/>
    <s v="Resolved"/>
    <n v="3"/>
    <n v="8"/>
    <n v="1.93"/>
    <n v="1"/>
  </r>
  <r>
    <s v="TCK-10925"/>
    <s v="2024-09-02 01:02:36"/>
    <s v="2024-09-02 07:22:07"/>
    <s v="P3"/>
    <x v="0"/>
    <s v="Billing Operations"/>
    <s v="Carlos Mendez"/>
    <s v="Resolved"/>
    <n v="5"/>
    <n v="24"/>
    <n v="6.33"/>
    <n v="1"/>
  </r>
  <r>
    <s v="TCK-10926"/>
    <s v="2024-08-12 08:41:01"/>
    <s v="2024-08-12 11:27:51"/>
    <s v="P3"/>
    <x v="4"/>
    <s v="Billing Operations"/>
    <s v="Emily Watson"/>
    <s v="Closed"/>
    <n v="5"/>
    <n v="24"/>
    <n v="2.78"/>
    <n v="1"/>
  </r>
  <r>
    <s v="TCK-10927"/>
    <s v="2024-07-25 21:17:21"/>
    <s v="2024-07-26 03:17:21"/>
    <s v="P2"/>
    <x v="2"/>
    <s v="L2 Support"/>
    <s v="Emily Watson"/>
    <s v="Closed"/>
    <n v="1"/>
    <n v="8"/>
    <n v="6"/>
    <n v="1"/>
  </r>
  <r>
    <s v="TCK-10928"/>
    <s v="2024-07-26 12:59:21"/>
    <s v="2024-07-27 00:18:15"/>
    <s v="P3"/>
    <x v="2"/>
    <s v="L1 Support"/>
    <s v="Dwight Schrute"/>
    <s v="Closed"/>
    <n v="4"/>
    <n v="24"/>
    <n v="11.32"/>
    <n v="1"/>
  </r>
  <r>
    <s v="TCK-10929"/>
    <s v="2024-11-30 04:30:14"/>
    <m/>
    <s v="P3"/>
    <x v="2"/>
    <s v="L1 Support"/>
    <s v="Sarah Connor"/>
    <s v="Escalated"/>
    <m/>
    <n v="24"/>
    <m/>
    <m/>
  </r>
  <r>
    <s v="TCK-10930"/>
    <s v="2024-07-29 17:44:55"/>
    <s v="2024-07-30 12:44:05"/>
    <s v="P2"/>
    <x v="1"/>
    <s v="Infrastructure"/>
    <s v="Sarah Connor"/>
    <s v="Resolved"/>
    <n v="1"/>
    <n v="8"/>
    <n v="18.989999999999998"/>
    <n v="0"/>
  </r>
  <r>
    <s v="TCK-10931"/>
    <s v="2024-05-06 15:55:44"/>
    <s v="2024-05-06 22:48:04"/>
    <s v="P2"/>
    <x v="0"/>
    <s v="Infrastructure"/>
    <s v="Jim Halpert"/>
    <s v="Resolved"/>
    <n v="4"/>
    <n v="8"/>
    <n v="6.87"/>
    <n v="1"/>
  </r>
  <r>
    <s v="TCK-10932"/>
    <s v="2024-11-17 19:06:32"/>
    <s v="2024-11-19 06:36:23"/>
    <s v="P4"/>
    <x v="2"/>
    <s v="L2 Support"/>
    <s v="Anita Sharma"/>
    <s v="Closed"/>
    <n v="4"/>
    <n v="48"/>
    <n v="35.5"/>
    <n v="1"/>
  </r>
  <r>
    <s v="TCK-10933"/>
    <s v="2024-02-15 00:38:10"/>
    <s v="2024-02-15 05:44:39"/>
    <s v="P2"/>
    <x v="2"/>
    <s v="Billing Operations"/>
    <s v="Jim Halpert"/>
    <s v="Resolved"/>
    <n v="5"/>
    <n v="8"/>
    <n v="5.1100000000000003"/>
    <n v="1"/>
  </r>
  <r>
    <s v="TCK-10934"/>
    <s v="2024-01-08 13:34:38"/>
    <s v="2024-01-08 15:13:51"/>
    <s v="P2"/>
    <x v="4"/>
    <s v="L1 Support"/>
    <s v="Emily Watson"/>
    <s v="Closed"/>
    <n v="5"/>
    <n v="8"/>
    <n v="1.65"/>
    <n v="1"/>
  </r>
  <r>
    <s v="TCK-10935"/>
    <s v="2024-06-22 12:51:21"/>
    <s v="2024-06-22 23:09:20"/>
    <s v="P1"/>
    <x v="3"/>
    <s v="L2 Support"/>
    <s v="John Doe"/>
    <s v="Resolved"/>
    <n v="2"/>
    <n v="4"/>
    <n v="10.3"/>
    <n v="0"/>
  </r>
  <r>
    <s v="TCK-10936"/>
    <s v="2024-06-13 21:39:32"/>
    <m/>
    <s v="P4"/>
    <x v="3"/>
    <s v="L1 Support"/>
    <s v="Alex Mercer"/>
    <s v="Open"/>
    <m/>
    <n v="48"/>
    <m/>
    <m/>
  </r>
  <r>
    <s v="TCK-10937"/>
    <s v="2024-03-06 08:06:37"/>
    <s v="2024-03-06 15:16:31"/>
    <s v="P1"/>
    <x v="4"/>
    <s v="Application Support"/>
    <s v="Michael Scott"/>
    <s v="Closed"/>
    <n v="2"/>
    <n v="4"/>
    <n v="7.16"/>
    <n v="0"/>
  </r>
  <r>
    <s v="TCK-10938"/>
    <s v="2024-09-02 20:35:44"/>
    <s v="2024-09-02 21:52:16"/>
    <s v="P2"/>
    <x v="0"/>
    <s v="Infrastructure"/>
    <s v="Alex Mercer"/>
    <s v="Resolved"/>
    <n v="3"/>
    <n v="8"/>
    <n v="1.28"/>
    <n v="1"/>
  </r>
  <r>
    <s v="TCK-10939"/>
    <s v="2024-09-28 13:49:58"/>
    <s v="2024-09-28 18:03:55"/>
    <s v="P2"/>
    <x v="1"/>
    <s v="Billing Operations"/>
    <s v="Michael Scott"/>
    <s v="Closed"/>
    <n v="5"/>
    <n v="8"/>
    <n v="4.2300000000000004"/>
    <n v="1"/>
  </r>
  <r>
    <s v="TCK-10940"/>
    <s v="2024-12-09 14:50:23"/>
    <s v="2024-12-10 13:17:36"/>
    <s v="P3"/>
    <x v="2"/>
    <s v="Infrastructure"/>
    <s v="Priya Nair"/>
    <s v="Resolved"/>
    <n v="4"/>
    <n v="24"/>
    <n v="22.45"/>
    <n v="1"/>
  </r>
  <r>
    <s v="TCK-10941"/>
    <s v="2024-06-27 21:38:25"/>
    <m/>
    <s v="P4"/>
    <x v="2"/>
    <s v="L2 Support"/>
    <s v="Carlos Mendez"/>
    <s v="Open"/>
    <m/>
    <n v="48"/>
    <m/>
    <m/>
  </r>
  <r>
    <s v="TCK-10942"/>
    <s v="2024-08-24 18:18:13"/>
    <s v="2024-08-25 06:40:43"/>
    <s v="P3"/>
    <x v="4"/>
    <s v="L2 Support"/>
    <s v="Jim Halpert"/>
    <s v="Closed"/>
    <n v="4"/>
    <n v="24"/>
    <n v="12.38"/>
    <n v="1"/>
  </r>
  <r>
    <s v="TCK-10943"/>
    <s v="2024-02-01 20:21:41"/>
    <s v="2024-02-04 04:59:34"/>
    <s v="P3"/>
    <x v="3"/>
    <s v="L1 Support"/>
    <s v="Ravi Patel"/>
    <s v="Resolved"/>
    <n v="2"/>
    <n v="24"/>
    <n v="56.63"/>
    <n v="0"/>
  </r>
  <r>
    <s v="TCK-10944"/>
    <s v="2024-05-17 10:08:57"/>
    <s v="2024-05-22 16:32:24"/>
    <s v="P4"/>
    <x v="2"/>
    <s v="Billing Operations"/>
    <s v="Pam Beesly"/>
    <s v="Resolved"/>
    <n v="4"/>
    <n v="48"/>
    <n v="126.39"/>
    <n v="0"/>
  </r>
  <r>
    <s v="TCK-10945"/>
    <s v="2024-02-18 18:53:00"/>
    <s v="2024-02-19 03:01:06"/>
    <s v="P3"/>
    <x v="4"/>
    <s v="Application Support"/>
    <s v="Alex Mercer"/>
    <s v="Resolved"/>
    <n v="5"/>
    <n v="24"/>
    <n v="8.14"/>
    <n v="1"/>
  </r>
  <r>
    <s v="TCK-10946"/>
    <s v="2024-05-19 07:08:01"/>
    <s v="2024-05-20 06:37:24"/>
    <s v="P2"/>
    <x v="0"/>
    <s v="Infrastructure"/>
    <s v="Priya Nair"/>
    <s v="Resolved"/>
    <n v="1"/>
    <n v="8"/>
    <n v="23.49"/>
    <n v="0"/>
  </r>
  <r>
    <s v="TCK-10947"/>
    <s v="2024-07-10 17:34:54"/>
    <s v="2024-07-14 09:03:19"/>
    <s v="P4"/>
    <x v="0"/>
    <s v="L2 Support"/>
    <s v="Alex Mercer"/>
    <s v="Resolved"/>
    <n v="3"/>
    <n v="48"/>
    <n v="87.47"/>
    <n v="0"/>
  </r>
  <r>
    <s v="TCK-10948"/>
    <s v="2024-08-09 08:25:02"/>
    <s v="2024-08-09 23:07:04"/>
    <s v="P3"/>
    <x v="1"/>
    <s v="L2 Support"/>
    <s v="Carlos Mendez"/>
    <s v="Closed"/>
    <n v="4"/>
    <n v="24"/>
    <n v="14.7"/>
    <n v="1"/>
  </r>
  <r>
    <s v="TCK-10949"/>
    <s v="2024-08-16 18:05:28"/>
    <s v="2024-08-17 13:51:42"/>
    <s v="P2"/>
    <x v="1"/>
    <s v="Infrastructure"/>
    <s v="Anita Sharma"/>
    <s v="Closed"/>
    <n v="1"/>
    <n v="8"/>
    <n v="19.77"/>
    <n v="0"/>
  </r>
  <r>
    <s v="TCK-10950"/>
    <s v="2024-11-25 12:49:50"/>
    <s v="2024-11-26 00:29:26"/>
    <s v="P3"/>
    <x v="4"/>
    <s v="Billing Operations"/>
    <s v="Anita Sharma"/>
    <s v="Resolved"/>
    <n v="5"/>
    <n v="24"/>
    <n v="11.66"/>
    <n v="1"/>
  </r>
  <r>
    <s v="TCK-10951"/>
    <s v="2024-09-06 06:14:19"/>
    <s v="2024-09-06 11:07:17"/>
    <s v="P3"/>
    <x v="3"/>
    <s v="Infrastructure"/>
    <s v="Jim Halpert"/>
    <s v="Closed"/>
    <n v="5"/>
    <n v="24"/>
    <n v="4.88"/>
    <n v="1"/>
  </r>
  <r>
    <s v="TCK-10952"/>
    <s v="2024-07-11 19:05:28"/>
    <s v="2024-07-12 06:38:52"/>
    <s v="P3"/>
    <x v="0"/>
    <s v="L2 Support"/>
    <s v="Alex Mercer"/>
    <s v="Resolved"/>
    <n v="3"/>
    <n v="24"/>
    <n v="11.56"/>
    <n v="1"/>
  </r>
  <r>
    <s v="TCK-10953"/>
    <s v="2024-03-16 21:52:45"/>
    <s v="2024-03-17 05:11:31"/>
    <s v="P2"/>
    <x v="0"/>
    <s v="L1 Support"/>
    <s v="Priya Nair"/>
    <s v="Resolved"/>
    <n v="5"/>
    <n v="8"/>
    <n v="7.31"/>
    <n v="1"/>
  </r>
  <r>
    <s v="TCK-10954"/>
    <s v="2024-03-17 19:01:29"/>
    <s v="2024-03-17 23:51:14"/>
    <s v="P2"/>
    <x v="2"/>
    <s v="L1 Support"/>
    <s v="Alex Mercer"/>
    <s v="Resolved"/>
    <n v="5"/>
    <n v="8"/>
    <n v="4.83"/>
    <n v="1"/>
  </r>
  <r>
    <s v="TCK-10955"/>
    <s v="2024-05-10 03:55:31"/>
    <m/>
    <s v="P4"/>
    <x v="2"/>
    <s v="Application Support"/>
    <s v="Emily Watson"/>
    <s v="Open"/>
    <m/>
    <n v="48"/>
    <m/>
    <m/>
  </r>
  <r>
    <s v="TCK-10956"/>
    <s v="2024-11-19 15:37:32"/>
    <s v="2024-11-19 18:37:24"/>
    <s v="P1"/>
    <x v="2"/>
    <s v="L2 Support"/>
    <s v="Sarah Connor"/>
    <s v="Closed"/>
    <n v="5"/>
    <n v="4"/>
    <n v="3"/>
    <n v="1"/>
  </r>
  <r>
    <s v="TCK-10957"/>
    <s v="2024-08-13 04:03:37"/>
    <s v="2024-08-13 13:28:28"/>
    <s v="P2"/>
    <x v="4"/>
    <s v="L1 Support"/>
    <s v="Jim Halpert"/>
    <s v="Resolved"/>
    <n v="1"/>
    <n v="8"/>
    <n v="9.41"/>
    <n v="0"/>
  </r>
  <r>
    <s v="TCK-10958"/>
    <s v="2024-12-23 06:46:48"/>
    <s v="2024-12-23 13:51:22"/>
    <s v="P4"/>
    <x v="1"/>
    <s v="Billing Operations"/>
    <s v="Carlos Mendez"/>
    <s v="Resolved"/>
    <n v="3"/>
    <n v="48"/>
    <n v="7.08"/>
    <n v="1"/>
  </r>
  <r>
    <s v="TCK-10959"/>
    <s v="2024-11-26 09:54:55"/>
    <s v="2024-11-27 01:02:42"/>
    <s v="P3"/>
    <x v="1"/>
    <s v="Application Support"/>
    <s v="Emily Watson"/>
    <s v="Closed"/>
    <n v="4"/>
    <n v="24"/>
    <n v="15.13"/>
    <n v="1"/>
  </r>
  <r>
    <s v="TCK-10960"/>
    <s v="2024-06-29 14:44:32"/>
    <s v="2024-07-02 04:34:59"/>
    <s v="P3"/>
    <x v="0"/>
    <s v="Billing Operations"/>
    <s v="Sarah Connor"/>
    <s v="Resolved"/>
    <n v="2"/>
    <n v="24"/>
    <n v="61.84"/>
    <n v="0"/>
  </r>
  <r>
    <s v="TCK-10961"/>
    <s v="2024-05-07 18:59:12"/>
    <s v="2024-05-08 14:32:18"/>
    <s v="P3"/>
    <x v="1"/>
    <s v="L1 Support"/>
    <s v="Anita Sharma"/>
    <s v="Closed"/>
    <n v="5"/>
    <n v="24"/>
    <n v="19.55"/>
    <n v="1"/>
  </r>
  <r>
    <s v="TCK-10962"/>
    <s v="2024-02-19 06:14:01"/>
    <s v="2024-02-19 13:35:38"/>
    <s v="P3"/>
    <x v="2"/>
    <s v="Application Support"/>
    <s v="Dwight Schrute"/>
    <s v="Closed"/>
    <n v="5"/>
    <n v="24"/>
    <n v="7.36"/>
    <n v="1"/>
  </r>
  <r>
    <s v="TCK-10963"/>
    <s v="2024-01-24 19:49:07"/>
    <s v="2024-01-25 02:38:17"/>
    <s v="P2"/>
    <x v="3"/>
    <s v="Billing Operations"/>
    <s v="Carlos Mendez"/>
    <s v="Closed"/>
    <n v="5"/>
    <n v="8"/>
    <n v="6.82"/>
    <n v="1"/>
  </r>
  <r>
    <s v="TCK-10964"/>
    <s v="2024-02-27 13:57:07"/>
    <m/>
    <s v="P3"/>
    <x v="3"/>
    <s v="Infrastructure"/>
    <s v="Pam Beesly"/>
    <s v="Escalated"/>
    <m/>
    <n v="24"/>
    <m/>
    <m/>
  </r>
  <r>
    <s v="TCK-10965"/>
    <s v="2024-07-20 09:07:58"/>
    <s v="2024-07-23 02:31:12"/>
    <s v="P3"/>
    <x v="2"/>
    <s v="L1 Support"/>
    <s v="Emily Watson"/>
    <s v="Resolved"/>
    <n v="2"/>
    <n v="24"/>
    <n v="65.39"/>
    <n v="0"/>
  </r>
  <r>
    <s v="TCK-10966"/>
    <s v="2024-03-17 05:19:35"/>
    <s v="2024-03-18 14:28:24"/>
    <s v="P4"/>
    <x v="3"/>
    <s v="L2 Support"/>
    <s v="Sarah Connor"/>
    <s v="Resolved"/>
    <n v="5"/>
    <n v="48"/>
    <n v="33.15"/>
    <n v="1"/>
  </r>
  <r>
    <s v="TCK-10967"/>
    <s v="2024-08-21 06:11:23"/>
    <s v="2024-08-21 11:54:00"/>
    <s v="P3"/>
    <x v="0"/>
    <s v="Billing Operations"/>
    <s v="Pam Beesly"/>
    <s v="Closed"/>
    <n v="4"/>
    <n v="24"/>
    <n v="5.71"/>
    <n v="1"/>
  </r>
  <r>
    <s v="TCK-10968"/>
    <s v="2024-11-02 19:47:48"/>
    <m/>
    <s v="P4"/>
    <x v="2"/>
    <s v="L1 Support"/>
    <s v="Carlos Mendez"/>
    <s v="Open"/>
    <m/>
    <n v="48"/>
    <m/>
    <m/>
  </r>
  <r>
    <s v="TCK-10969"/>
    <s v="2024-10-12 14:50:21"/>
    <s v="2024-10-13 16:21:14"/>
    <s v="P3"/>
    <x v="0"/>
    <s v="Application Support"/>
    <s v="Emily Watson"/>
    <s v="Resolved"/>
    <n v="1"/>
    <n v="24"/>
    <n v="25.51"/>
    <n v="0"/>
  </r>
  <r>
    <s v="TCK-10970"/>
    <s v="2024-05-19 07:44:43"/>
    <s v="2024-05-19 10:44:53"/>
    <s v="P1"/>
    <x v="4"/>
    <s v="Infrastructure"/>
    <s v="Dwight Schrute"/>
    <s v="Resolved"/>
    <n v="3"/>
    <n v="4"/>
    <n v="3"/>
    <n v="1"/>
  </r>
  <r>
    <s v="TCK-10971"/>
    <s v="2024-01-12 20:41:22"/>
    <s v="2024-01-13 01:15:36"/>
    <s v="P2"/>
    <x v="2"/>
    <s v="L2 Support"/>
    <s v="Michael Scott"/>
    <s v="Closed"/>
    <n v="4"/>
    <n v="8"/>
    <n v="4.57"/>
    <n v="1"/>
  </r>
  <r>
    <s v="TCK-10972"/>
    <s v="2024-01-09 16:19:12"/>
    <s v="2024-01-09 21:34:23"/>
    <s v="P2"/>
    <x v="2"/>
    <s v="L1 Support"/>
    <s v="Alex Mercer"/>
    <s v="Closed"/>
    <n v="5"/>
    <n v="8"/>
    <n v="5.25"/>
    <n v="1"/>
  </r>
  <r>
    <s v="TCK-10973"/>
    <s v="2024-05-11 17:57:38"/>
    <s v="2024-05-13 13:09:35"/>
    <s v="P4"/>
    <x v="2"/>
    <s v="L2 Support"/>
    <s v="Pam Beesly"/>
    <s v="Closed"/>
    <n v="5"/>
    <n v="48"/>
    <n v="43.2"/>
    <n v="1"/>
  </r>
  <r>
    <s v="TCK-10974"/>
    <s v="2024-08-30 08:40:48"/>
    <s v="2024-09-04 13:28:56"/>
    <s v="P4"/>
    <x v="0"/>
    <s v="L1 Support"/>
    <s v="Sarah Connor"/>
    <s v="Resolved"/>
    <n v="1"/>
    <n v="48"/>
    <n v="124.8"/>
    <n v="0"/>
  </r>
  <r>
    <s v="TCK-10975"/>
    <s v="2024-05-27 05:02:16"/>
    <s v="2024-05-27 20:00:17"/>
    <s v="P3"/>
    <x v="2"/>
    <s v="Application Support"/>
    <s v="Carlos Mendez"/>
    <s v="Resolved"/>
    <n v="4"/>
    <n v="24"/>
    <n v="14.97"/>
    <n v="1"/>
  </r>
  <r>
    <s v="TCK-10976"/>
    <s v="2024-07-27 06:55:36"/>
    <s v="2024-07-27 08:35:11"/>
    <s v="P2"/>
    <x v="1"/>
    <s v="L2 Support"/>
    <s v="Alex Mercer"/>
    <s v="Closed"/>
    <n v="5"/>
    <n v="8"/>
    <n v="1.66"/>
    <n v="1"/>
  </r>
  <r>
    <s v="TCK-10977"/>
    <s v="2024-08-15 04:02:27"/>
    <s v="2024-08-15 15:40:19"/>
    <s v="P4"/>
    <x v="2"/>
    <s v="L1 Support"/>
    <s v="Dwight Schrute"/>
    <s v="Closed"/>
    <n v="4"/>
    <n v="48"/>
    <n v="11.63"/>
    <n v="1"/>
  </r>
  <r>
    <s v="TCK-10978"/>
    <s v="2024-12-09 00:46:11"/>
    <s v="2024-12-09 10:47:48"/>
    <s v="P3"/>
    <x v="0"/>
    <s v="Application Support"/>
    <s v="Ravi Patel"/>
    <s v="Resolved"/>
    <n v="5"/>
    <n v="24"/>
    <n v="10.029999999999999"/>
    <n v="1"/>
  </r>
  <r>
    <s v="TCK-10979"/>
    <s v="2024-10-05 06:20:24"/>
    <s v="2024-10-06 13:38:57"/>
    <s v="P4"/>
    <x v="2"/>
    <s v="Billing Operations"/>
    <s v="Jim Halpert"/>
    <s v="Closed"/>
    <n v="4"/>
    <n v="48"/>
    <n v="31.31"/>
    <n v="1"/>
  </r>
  <r>
    <s v="TCK-10980"/>
    <s v="2024-12-13 20:55:45"/>
    <s v="2024-12-14 14:14:33"/>
    <s v="P2"/>
    <x v="0"/>
    <s v="Application Support"/>
    <s v="Emily Watson"/>
    <s v="Resolved"/>
    <n v="4"/>
    <n v="8"/>
    <n v="17.309999999999999"/>
    <n v="0"/>
  </r>
  <r>
    <s v="TCK-10981"/>
    <s v="2024-05-25 14:55:59"/>
    <s v="2024-05-25 19:42:14"/>
    <s v="P2"/>
    <x v="1"/>
    <s v="L1 Support"/>
    <s v="Michael Scott"/>
    <s v="Resolved"/>
    <n v="4"/>
    <n v="8"/>
    <n v="4.7699999999999996"/>
    <n v="1"/>
  </r>
  <r>
    <s v="TCK-10982"/>
    <s v="2024-08-29 13:18:44"/>
    <s v="2024-08-29 15:58:07"/>
    <s v="P2"/>
    <x v="2"/>
    <s v="Application Support"/>
    <s v="Jim Halpert"/>
    <s v="Resolved"/>
    <n v="3"/>
    <n v="8"/>
    <n v="2.66"/>
    <n v="1"/>
  </r>
  <r>
    <s v="TCK-10983"/>
    <s v="2024-06-20 20:50:06"/>
    <s v="2024-06-21 01:21:08"/>
    <s v="P2"/>
    <x v="3"/>
    <s v="Infrastructure"/>
    <s v="Sarah Connor"/>
    <s v="Resolved"/>
    <n v="3"/>
    <n v="8"/>
    <n v="4.5199999999999996"/>
    <n v="1"/>
  </r>
  <r>
    <s v="TCK-10984"/>
    <s v="2024-04-17 16:28:02"/>
    <s v="2024-04-18 05:17:25"/>
    <s v="P4"/>
    <x v="1"/>
    <s v="L1 Support"/>
    <s v="Pam Beesly"/>
    <s v="Resolved"/>
    <n v="4"/>
    <n v="48"/>
    <n v="12.82"/>
    <n v="1"/>
  </r>
  <r>
    <s v="TCK-10985"/>
    <s v="2024-04-27 21:30:49"/>
    <s v="2024-04-30 21:26:20"/>
    <s v="P3"/>
    <x v="0"/>
    <s v="Infrastructure"/>
    <s v="Emily Watson"/>
    <s v="Closed"/>
    <n v="3"/>
    <n v="24"/>
    <n v="71.930000000000007"/>
    <n v="0"/>
  </r>
  <r>
    <s v="TCK-10986"/>
    <s v="2024-10-14 15:37:53"/>
    <s v="2024-10-15 02:16:08"/>
    <s v="P3"/>
    <x v="2"/>
    <s v="Infrastructure"/>
    <s v="Michael Scott"/>
    <s v="Closed"/>
    <n v="4"/>
    <n v="24"/>
    <n v="10.64"/>
    <n v="1"/>
  </r>
  <r>
    <s v="TCK-10987"/>
    <s v="2024-08-13 13:33:39"/>
    <s v="2024-08-14 06:43:00"/>
    <s v="P3"/>
    <x v="1"/>
    <s v="Billing Operations"/>
    <s v="John Doe"/>
    <s v="Closed"/>
    <n v="4"/>
    <n v="24"/>
    <n v="17.16"/>
    <n v="1"/>
  </r>
  <r>
    <s v="TCK-10988"/>
    <s v="2024-04-01 02:27:28"/>
    <s v="2024-04-01 06:36:34"/>
    <s v="P3"/>
    <x v="0"/>
    <s v="Application Support"/>
    <s v="Priya Nair"/>
    <s v="Closed"/>
    <n v="5"/>
    <n v="24"/>
    <n v="4.1500000000000004"/>
    <n v="1"/>
  </r>
  <r>
    <s v="TCK-10989"/>
    <s v="2024-06-15 20:38:24"/>
    <s v="2024-06-16 06:41:01"/>
    <s v="P3"/>
    <x v="3"/>
    <s v="L2 Support"/>
    <s v="Dwight Schrute"/>
    <s v="Resolved"/>
    <n v="5"/>
    <n v="24"/>
    <n v="10.039999999999999"/>
    <n v="1"/>
  </r>
  <r>
    <s v="TCK-10990"/>
    <s v="2024-02-20 04:16:05"/>
    <s v="2024-02-20 07:55:05"/>
    <s v="P2"/>
    <x v="0"/>
    <s v="Application Support"/>
    <s v="Carlos Mendez"/>
    <s v="Closed"/>
    <n v="5"/>
    <n v="8"/>
    <n v="3.65"/>
    <n v="1"/>
  </r>
  <r>
    <s v="TCK-10991"/>
    <s v="2024-06-05 23:40:08"/>
    <s v="2024-06-06 02:43:33"/>
    <s v="P3"/>
    <x v="3"/>
    <s v="Infrastructure"/>
    <s v="Pam Beesly"/>
    <s v="Closed"/>
    <n v="4"/>
    <n v="24"/>
    <n v="3.06"/>
    <n v="1"/>
  </r>
  <r>
    <s v="TCK-10992"/>
    <s v="2024-05-08 14:09:28"/>
    <s v="2024-05-10 00:54:52"/>
    <s v="P3"/>
    <x v="0"/>
    <s v="Billing Operations"/>
    <s v="Anita Sharma"/>
    <s v="Closed"/>
    <n v="2"/>
    <n v="24"/>
    <n v="34.76"/>
    <n v="0"/>
  </r>
  <r>
    <s v="TCK-10993"/>
    <s v="2024-07-26 21:48:47"/>
    <m/>
    <s v="P3"/>
    <x v="2"/>
    <s v="Infrastructure"/>
    <s v="Anita Sharma"/>
    <s v="Escalated"/>
    <m/>
    <n v="24"/>
    <m/>
    <m/>
  </r>
  <r>
    <s v="TCK-10994"/>
    <s v="2024-09-05 11:56:32"/>
    <s v="2024-09-06 20:51:15"/>
    <s v="P4"/>
    <x v="1"/>
    <s v="L1 Support"/>
    <s v="Carlos Mendez"/>
    <s v="Closed"/>
    <n v="4"/>
    <n v="48"/>
    <n v="32.909999999999997"/>
    <n v="1"/>
  </r>
  <r>
    <s v="TCK-10995"/>
    <s v="2024-03-13 20:05:47"/>
    <s v="2024-03-14 00:27:44"/>
    <s v="P2"/>
    <x v="2"/>
    <s v="Application Support"/>
    <s v="Michael Scott"/>
    <s v="Resolved"/>
    <n v="4"/>
    <n v="8"/>
    <n v="4.37"/>
    <n v="1"/>
  </r>
  <r>
    <s v="TCK-10996"/>
    <s v="2024-05-23 12:05:17"/>
    <s v="2024-05-24 01:25:54"/>
    <s v="P3"/>
    <x v="1"/>
    <s v="Application Support"/>
    <s v="Jim Halpert"/>
    <s v="Resolved"/>
    <n v="4"/>
    <n v="24"/>
    <n v="13.34"/>
    <n v="1"/>
  </r>
  <r>
    <s v="TCK-10997"/>
    <s v="2024-01-28 00:55:03"/>
    <s v="2024-01-28 20:00:09"/>
    <s v="P3"/>
    <x v="4"/>
    <s v="L2 Support"/>
    <s v="John Doe"/>
    <s v="Closed"/>
    <n v="5"/>
    <n v="24"/>
    <n v="19.079999999999998"/>
    <n v="1"/>
  </r>
  <r>
    <s v="TCK-10998"/>
    <s v="2024-03-02 23:56:54"/>
    <s v="2024-03-03 07:58:02"/>
    <s v="P3"/>
    <x v="4"/>
    <s v="Billing Operations"/>
    <s v="Emily Watson"/>
    <s v="Resolved"/>
    <n v="3"/>
    <n v="24"/>
    <n v="8.02"/>
    <n v="1"/>
  </r>
  <r>
    <s v="TCK-10999"/>
    <s v="2024-02-25 17:59:08"/>
    <s v="2024-02-28 12:20:02"/>
    <s v="P3"/>
    <x v="0"/>
    <s v="Billing Operations"/>
    <s v="Emily Watson"/>
    <s v="Resolved"/>
    <n v="2"/>
    <n v="24"/>
    <n v="66.349999999999994"/>
    <n v="0"/>
  </r>
  <r>
    <s v="TCK-11000"/>
    <s v="2024-08-12 01:56:47"/>
    <s v="2024-08-12 03:21:27"/>
    <s v="P1"/>
    <x v="1"/>
    <s v="Application Support"/>
    <s v="Pam Beesly"/>
    <s v="Closed"/>
    <n v="5"/>
    <n v="4"/>
    <n v="1.41"/>
    <n v="1"/>
  </r>
  <r>
    <s v="TCK-11001"/>
    <s v="2024-11-10 21:36:18"/>
    <s v="2024-11-12 15:34:01"/>
    <s v="P4"/>
    <x v="2"/>
    <s v="L2 Support"/>
    <s v="Anita Sharma"/>
    <s v="Closed"/>
    <n v="4"/>
    <n v="48"/>
    <n v="41.96"/>
    <n v="1"/>
  </r>
  <r>
    <s v="TCK-11002"/>
    <s v="2024-08-09 03:52:42"/>
    <s v="2024-08-09 07:16:44"/>
    <s v="P1"/>
    <x v="1"/>
    <s v="L1 Support"/>
    <s v="Emily Watson"/>
    <s v="Closed"/>
    <n v="5"/>
    <n v="4"/>
    <n v="3.4"/>
    <n v="1"/>
  </r>
  <r>
    <s v="TCK-11003"/>
    <s v="2024-09-16 05:41:34"/>
    <s v="2024-09-16 15:26:20"/>
    <s v="P4"/>
    <x v="3"/>
    <s v="L2 Support"/>
    <s v="Dwight Schrute"/>
    <s v="Resolved"/>
    <n v="4"/>
    <n v="48"/>
    <n v="9.75"/>
    <n v="1"/>
  </r>
  <r>
    <s v="TCK-11004"/>
    <s v="2024-10-20 16:48:32"/>
    <s v="2024-10-20 21:03:00"/>
    <s v="P2"/>
    <x v="0"/>
    <s v="Infrastructure"/>
    <s v="Jim Halpert"/>
    <s v="Resolved"/>
    <n v="4"/>
    <n v="8"/>
    <n v="4.24"/>
    <n v="1"/>
  </r>
  <r>
    <s v="TCK-11005"/>
    <s v="2024-01-29 18:13:53"/>
    <s v="2024-01-30 00:35:49"/>
    <s v="P3"/>
    <x v="3"/>
    <s v="Application Support"/>
    <s v="Jim Halpert"/>
    <s v="Resolved"/>
    <n v="3"/>
    <n v="24"/>
    <n v="6.37"/>
    <n v="1"/>
  </r>
  <r>
    <s v="TCK-11006"/>
    <s v="2024-04-07 15:48:53"/>
    <s v="2024-04-07 17:04:43"/>
    <s v="P2"/>
    <x v="4"/>
    <s v="Infrastructure"/>
    <s v="Carlos Mendez"/>
    <s v="Closed"/>
    <n v="5"/>
    <n v="8"/>
    <n v="1.26"/>
    <n v="1"/>
  </r>
  <r>
    <s v="TCK-11007"/>
    <s v="2024-04-04 10:20:24"/>
    <s v="2024-04-04 13:06:30"/>
    <s v="P3"/>
    <x v="2"/>
    <s v="Application Support"/>
    <s v="Michael Scott"/>
    <s v="Closed"/>
    <n v="4"/>
    <n v="24"/>
    <n v="2.77"/>
    <n v="1"/>
  </r>
  <r>
    <s v="TCK-11008"/>
    <s v="2024-04-24 13:37:36"/>
    <s v="2024-04-24 16:17:05"/>
    <s v="P2"/>
    <x v="0"/>
    <s v="L2 Support"/>
    <s v="Sarah Connor"/>
    <s v="Closed"/>
    <n v="4"/>
    <n v="8"/>
    <n v="2.66"/>
    <n v="1"/>
  </r>
  <r>
    <s v="TCK-11009"/>
    <s v="2024-03-10 10:31:23"/>
    <s v="2024-03-10 15:38:22"/>
    <s v="P2"/>
    <x v="1"/>
    <s v="Billing Operations"/>
    <s v="Emily Watson"/>
    <s v="Resolved"/>
    <n v="5"/>
    <n v="8"/>
    <n v="5.12"/>
    <n v="1"/>
  </r>
  <r>
    <s v="TCK-11010"/>
    <s v="2024-09-14 15:19:11"/>
    <s v="2024-09-14 17:48:53"/>
    <s v="P3"/>
    <x v="0"/>
    <s v="Application Support"/>
    <s v="Priya Nair"/>
    <s v="Resolved"/>
    <n v="5"/>
    <n v="24"/>
    <n v="2.5"/>
    <n v="1"/>
  </r>
  <r>
    <s v="TCK-11011"/>
    <s v="2024-10-25 06:01:22"/>
    <s v="2024-10-25 13:32:59"/>
    <s v="P2"/>
    <x v="2"/>
    <s v="L2 Support"/>
    <s v="Emily Watson"/>
    <s v="Resolved"/>
    <n v="4"/>
    <n v="8"/>
    <n v="7.53"/>
    <n v="1"/>
  </r>
  <r>
    <s v="TCK-11012"/>
    <s v="2024-03-15 22:59:05"/>
    <s v="2024-03-16 09:51:52"/>
    <s v="P3"/>
    <x v="1"/>
    <s v="L1 Support"/>
    <s v="Carlos Mendez"/>
    <s v="Resolved"/>
    <n v="4"/>
    <n v="24"/>
    <n v="10.88"/>
    <n v="1"/>
  </r>
  <r>
    <s v="TCK-11013"/>
    <s v="2024-05-07 09:10:46"/>
    <m/>
    <s v="P2"/>
    <x v="3"/>
    <s v="Billing Operations"/>
    <s v="Emily Watson"/>
    <s v="Open"/>
    <m/>
    <n v="8"/>
    <m/>
    <m/>
  </r>
  <r>
    <s v="TCK-11014"/>
    <s v="2024-06-02 18:15:45"/>
    <s v="2024-06-03 15:28:11"/>
    <s v="P4"/>
    <x v="1"/>
    <s v="L2 Support"/>
    <s v="Sarah Connor"/>
    <s v="Resolved"/>
    <n v="4"/>
    <n v="48"/>
    <n v="21.21"/>
    <n v="1"/>
  </r>
  <r>
    <s v="TCK-11015"/>
    <s v="2024-05-31 11:28:57"/>
    <s v="2024-05-31 18:18:13"/>
    <s v="P2"/>
    <x v="2"/>
    <s v="Infrastructure"/>
    <s v="Carlos Mendez"/>
    <s v="Closed"/>
    <n v="4"/>
    <n v="8"/>
    <n v="6.82"/>
    <n v="1"/>
  </r>
  <r>
    <s v="TCK-11016"/>
    <s v="2024-10-25 10:02:20"/>
    <s v="2024-10-28 03:02:26"/>
    <s v="P3"/>
    <x v="4"/>
    <s v="L1 Support"/>
    <s v="Priya Nair"/>
    <s v="Resolved"/>
    <n v="1"/>
    <n v="24"/>
    <n v="65"/>
    <n v="0"/>
  </r>
  <r>
    <s v="TCK-11017"/>
    <s v="2024-02-07 03:05:00"/>
    <m/>
    <s v="P3"/>
    <x v="4"/>
    <s v="Application Support"/>
    <s v="Carlos Mendez"/>
    <s v="Open"/>
    <m/>
    <n v="24"/>
    <m/>
    <m/>
  </r>
  <r>
    <s v="TCK-11018"/>
    <s v="2024-10-26 22:01:43"/>
    <s v="2024-10-27 12:50:33"/>
    <s v="P3"/>
    <x v="2"/>
    <s v="Infrastructure"/>
    <s v="Carlos Mendez"/>
    <s v="Resolved"/>
    <n v="5"/>
    <n v="24"/>
    <n v="14.81"/>
    <n v="1"/>
  </r>
  <r>
    <s v="TCK-11019"/>
    <s v="2024-05-28 19:57:35"/>
    <s v="2024-05-28 22:47:32"/>
    <s v="P3"/>
    <x v="0"/>
    <s v="Billing Operations"/>
    <s v="Anita Sharma"/>
    <s v="Closed"/>
    <n v="5"/>
    <n v="24"/>
    <n v="2.83"/>
    <n v="1"/>
  </r>
  <r>
    <s v="TCK-11020"/>
    <s v="2024-02-18 12:17:14"/>
    <s v="2024-02-18 16:28:42"/>
    <s v="P2"/>
    <x v="0"/>
    <s v="L2 Support"/>
    <s v="Anita Sharma"/>
    <s v="Resolved"/>
    <n v="4"/>
    <n v="8"/>
    <n v="4.1900000000000004"/>
    <n v="1"/>
  </r>
  <r>
    <s v="TCK-11021"/>
    <s v="2024-05-26 06:13:28"/>
    <s v="2024-05-26 08:54:56"/>
    <s v="P2"/>
    <x v="2"/>
    <s v="Billing Operations"/>
    <s v="Dwight Schrute"/>
    <s v="Closed"/>
    <n v="5"/>
    <n v="8"/>
    <n v="2.69"/>
    <n v="1"/>
  </r>
  <r>
    <s v="TCK-11022"/>
    <s v="2024-10-22 16:19:00"/>
    <s v="2024-10-22 17:29:43"/>
    <s v="P1"/>
    <x v="0"/>
    <s v="Application Support"/>
    <s v="Carlos Mendez"/>
    <s v="Closed"/>
    <n v="5"/>
    <n v="4"/>
    <n v="1.18"/>
    <n v="1"/>
  </r>
  <r>
    <s v="TCK-11023"/>
    <s v="2024-05-13 10:27:37"/>
    <s v="2024-05-13 17:11:40"/>
    <s v="P2"/>
    <x v="2"/>
    <s v="L2 Support"/>
    <s v="Carlos Mendez"/>
    <s v="Closed"/>
    <n v="5"/>
    <n v="8"/>
    <n v="6.73"/>
    <n v="1"/>
  </r>
  <r>
    <s v="TCK-11024"/>
    <s v="2024-03-12 14:46:04"/>
    <m/>
    <s v="P3"/>
    <x v="1"/>
    <s v="Application Support"/>
    <s v="Sarah Connor"/>
    <s v="Open"/>
    <m/>
    <n v="24"/>
    <m/>
    <m/>
  </r>
  <r>
    <s v="TCK-11025"/>
    <s v="2024-01-21 13:40:16"/>
    <m/>
    <s v="P3"/>
    <x v="1"/>
    <s v="L2 Support"/>
    <s v="John Doe"/>
    <s v="Open"/>
    <m/>
    <n v="24"/>
    <m/>
    <m/>
  </r>
  <r>
    <s v="TCK-11026"/>
    <s v="2024-04-02 02:34:12"/>
    <s v="2024-04-02 13:37:11"/>
    <s v="P3"/>
    <x v="2"/>
    <s v="Application Support"/>
    <s v="Michael Scott"/>
    <s v="Resolved"/>
    <n v="5"/>
    <n v="24"/>
    <n v="11.05"/>
    <n v="1"/>
  </r>
  <r>
    <s v="TCK-11027"/>
    <s v="2024-04-28 01:06:12"/>
    <s v="2024-04-28 08:22:12"/>
    <s v="P2"/>
    <x v="2"/>
    <s v="L2 Support"/>
    <s v="Michael Scott"/>
    <s v="Closed"/>
    <n v="4"/>
    <n v="8"/>
    <n v="7.27"/>
    <n v="1"/>
  </r>
  <r>
    <s v="TCK-11028"/>
    <s v="2024-05-27 00:34:55"/>
    <s v="2024-05-27 06:57:18"/>
    <s v="P2"/>
    <x v="2"/>
    <s v="Billing Operations"/>
    <s v="Anita Sharma"/>
    <s v="Closed"/>
    <n v="5"/>
    <n v="8"/>
    <n v="6.37"/>
    <n v="1"/>
  </r>
  <r>
    <s v="TCK-11029"/>
    <s v="2024-01-09 00:39:09"/>
    <s v="2024-01-09 17:52:34"/>
    <s v="P3"/>
    <x v="2"/>
    <s v="L1 Support"/>
    <s v="Michael Scott"/>
    <s v="Closed"/>
    <n v="4"/>
    <n v="24"/>
    <n v="17.22"/>
    <n v="1"/>
  </r>
  <r>
    <s v="TCK-11030"/>
    <s v="2024-06-29 09:32:33"/>
    <s v="2024-06-29 15:12:12"/>
    <s v="P2"/>
    <x v="2"/>
    <s v="Billing Operations"/>
    <s v="Anita Sharma"/>
    <s v="Resolved"/>
    <n v="4"/>
    <n v="8"/>
    <n v="5.66"/>
    <n v="1"/>
  </r>
  <r>
    <s v="TCK-11031"/>
    <s v="2024-12-22 02:58:06"/>
    <s v="2024-12-22 10:03:46"/>
    <s v="P2"/>
    <x v="1"/>
    <s v="Billing Operations"/>
    <s v="Priya Nair"/>
    <s v="Closed"/>
    <n v="5"/>
    <n v="8"/>
    <n v="7.09"/>
    <n v="1"/>
  </r>
  <r>
    <s v="TCK-11032"/>
    <s v="2024-10-15 13:44:57"/>
    <s v="2024-10-16 10:56:59"/>
    <s v="P3"/>
    <x v="2"/>
    <s v="Billing Operations"/>
    <s v="Sarah Connor"/>
    <s v="Resolved"/>
    <n v="4"/>
    <n v="24"/>
    <n v="21.2"/>
    <n v="1"/>
  </r>
  <r>
    <s v="TCK-11033"/>
    <s v="2024-08-07 23:51:15"/>
    <s v="2024-08-08 04:58:19"/>
    <s v="P2"/>
    <x v="0"/>
    <s v="Infrastructure"/>
    <s v="Priya Nair"/>
    <s v="Resolved"/>
    <n v="4"/>
    <n v="8"/>
    <n v="5.12"/>
    <n v="1"/>
  </r>
  <r>
    <s v="TCK-11034"/>
    <s v="2024-01-23 17:50:45"/>
    <s v="2024-01-25 11:57:36"/>
    <s v="P3"/>
    <x v="4"/>
    <s v="L2 Support"/>
    <s v="Emily Watson"/>
    <s v="Resolved"/>
    <n v="3"/>
    <n v="24"/>
    <n v="42.11"/>
    <n v="0"/>
  </r>
  <r>
    <s v="TCK-11035"/>
    <s v="2024-01-12 07:21:56"/>
    <s v="2024-01-12 14:57:10"/>
    <s v="P3"/>
    <x v="3"/>
    <s v="Infrastructure"/>
    <s v="Anita Sharma"/>
    <s v="Resolved"/>
    <n v="5"/>
    <n v="24"/>
    <n v="7.59"/>
    <n v="1"/>
  </r>
  <r>
    <s v="TCK-11036"/>
    <s v="2024-09-14 15:55:23"/>
    <s v="2024-09-16 01:31:50"/>
    <s v="P4"/>
    <x v="1"/>
    <s v="L1 Support"/>
    <s v="Carlos Mendez"/>
    <s v="Closed"/>
    <n v="5"/>
    <n v="48"/>
    <n v="33.61"/>
    <n v="1"/>
  </r>
  <r>
    <s v="TCK-11037"/>
    <s v="2024-02-01 12:54:02"/>
    <s v="2024-02-01 21:27:57"/>
    <s v="P3"/>
    <x v="1"/>
    <s v="Application Support"/>
    <s v="John Doe"/>
    <s v="Closed"/>
    <n v="5"/>
    <n v="24"/>
    <n v="8.57"/>
    <n v="1"/>
  </r>
  <r>
    <s v="TCK-11038"/>
    <s v="2024-09-13 01:32:05"/>
    <s v="2024-09-14 05:41:50"/>
    <s v="P4"/>
    <x v="3"/>
    <s v="Application Support"/>
    <s v="Priya Nair"/>
    <s v="Closed"/>
    <n v="5"/>
    <n v="48"/>
    <n v="28.16"/>
    <n v="1"/>
  </r>
  <r>
    <s v="TCK-11039"/>
    <s v="2024-11-12 13:09:18"/>
    <s v="2024-11-13 10:17:26"/>
    <s v="P2"/>
    <x v="0"/>
    <s v="Application Support"/>
    <s v="Priya Nair"/>
    <s v="Resolved"/>
    <n v="1"/>
    <n v="8"/>
    <n v="21.14"/>
    <n v="0"/>
  </r>
  <r>
    <s v="TCK-11040"/>
    <s v="2024-01-28 10:58:11"/>
    <s v="2024-01-28 16:58:05"/>
    <s v="P3"/>
    <x v="2"/>
    <s v="Application Support"/>
    <s v="Carlos Mendez"/>
    <s v="Resolved"/>
    <n v="4"/>
    <n v="24"/>
    <n v="6"/>
    <n v="1"/>
  </r>
  <r>
    <s v="TCK-11041"/>
    <s v="2024-02-22 12:03:56"/>
    <s v="2024-02-22 14:13:55"/>
    <s v="P2"/>
    <x v="1"/>
    <s v="L1 Support"/>
    <s v="Dwight Schrute"/>
    <s v="Closed"/>
    <n v="5"/>
    <n v="8"/>
    <n v="2.17"/>
    <n v="1"/>
  </r>
  <r>
    <s v="TCK-11042"/>
    <s v="2024-11-10 14:05:29"/>
    <s v="2024-11-11 10:12:21"/>
    <s v="P3"/>
    <x v="2"/>
    <s v="Application Support"/>
    <s v="Dwight Schrute"/>
    <s v="Closed"/>
    <n v="4"/>
    <n v="24"/>
    <n v="20.11"/>
    <n v="1"/>
  </r>
  <r>
    <s v="TCK-11043"/>
    <s v="2024-04-24 04:07:42"/>
    <s v="2024-04-24 06:10:40"/>
    <s v="P1"/>
    <x v="1"/>
    <s v="L1 Support"/>
    <s v="Pam Beesly"/>
    <s v="Resolved"/>
    <n v="5"/>
    <n v="4"/>
    <n v="2.0499999999999998"/>
    <n v="1"/>
  </r>
  <r>
    <s v="TCK-11044"/>
    <s v="2024-01-05 00:36:27"/>
    <s v="2024-01-05 05:33:46"/>
    <s v="P1"/>
    <x v="0"/>
    <s v="L1 Support"/>
    <s v="Carlos Mendez"/>
    <s v="Closed"/>
    <n v="2"/>
    <n v="4"/>
    <n v="4.96"/>
    <n v="0"/>
  </r>
  <r>
    <s v="TCK-11045"/>
    <s v="2024-01-04 03:41:10"/>
    <s v="2024-01-04 14:50:49"/>
    <s v="P3"/>
    <x v="2"/>
    <s v="Infrastructure"/>
    <s v="Dwight Schrute"/>
    <s v="Resolved"/>
    <n v="4"/>
    <n v="24"/>
    <n v="11.16"/>
    <n v="1"/>
  </r>
  <r>
    <s v="TCK-11046"/>
    <s v="2024-12-12 00:49:11"/>
    <s v="2024-12-12 02:00:32"/>
    <s v="P2"/>
    <x v="2"/>
    <s v="L2 Support"/>
    <s v="Pam Beesly"/>
    <s v="Closed"/>
    <n v="4"/>
    <n v="8"/>
    <n v="1.19"/>
    <n v="1"/>
  </r>
  <r>
    <s v="TCK-11047"/>
    <s v="2024-05-08 14:12:07"/>
    <s v="2024-05-10 19:00:20"/>
    <s v="P4"/>
    <x v="1"/>
    <s v="Application Support"/>
    <s v="Priya Nair"/>
    <s v="Closed"/>
    <n v="1"/>
    <n v="48"/>
    <n v="52.8"/>
    <n v="0"/>
  </r>
  <r>
    <s v="TCK-11048"/>
    <s v="2024-07-25 09:49:26"/>
    <s v="2024-07-25 16:32:20"/>
    <s v="P2"/>
    <x v="3"/>
    <s v="L2 Support"/>
    <s v="Pam Beesly"/>
    <s v="Resolved"/>
    <n v="5"/>
    <n v="8"/>
    <n v="6.72"/>
    <n v="1"/>
  </r>
  <r>
    <s v="TCK-11049"/>
    <s v="2024-09-13 17:46:29"/>
    <s v="2024-09-14 17:18:01"/>
    <s v="P2"/>
    <x v="4"/>
    <s v="Infrastructure"/>
    <s v="Alex Mercer"/>
    <s v="Closed"/>
    <n v="3"/>
    <n v="8"/>
    <n v="23.53"/>
    <n v="0"/>
  </r>
  <r>
    <s v="TCK-11050"/>
    <s v="2024-09-20 14:45:36"/>
    <s v="2024-09-21 01:53:22"/>
    <s v="P3"/>
    <x v="3"/>
    <s v="Application Support"/>
    <s v="Priya Nair"/>
    <s v="Closed"/>
    <n v="5"/>
    <n v="24"/>
    <n v="11.13"/>
    <n v="1"/>
  </r>
  <r>
    <s v="TCK-11051"/>
    <s v="2024-12-27 20:05:58"/>
    <s v="2024-12-28 13:01:23"/>
    <s v="P3"/>
    <x v="3"/>
    <s v="L1 Support"/>
    <s v="Priya Nair"/>
    <s v="Resolved"/>
    <n v="5"/>
    <n v="24"/>
    <n v="16.920000000000002"/>
    <n v="1"/>
  </r>
  <r>
    <s v="TCK-11052"/>
    <s v="2024-12-06 15:05:34"/>
    <s v="2024-12-06 23:38:25"/>
    <s v="P3"/>
    <x v="0"/>
    <s v="Billing Operations"/>
    <s v="Alex Mercer"/>
    <s v="Resolved"/>
    <n v="5"/>
    <n v="24"/>
    <n v="8.5500000000000007"/>
    <n v="1"/>
  </r>
  <r>
    <s v="TCK-11053"/>
    <s v="2024-08-01 10:41:22"/>
    <s v="2024-08-02 01:25:06"/>
    <s v="P4"/>
    <x v="4"/>
    <s v="Application Support"/>
    <s v="Sarah Connor"/>
    <s v="Resolved"/>
    <n v="4"/>
    <n v="48"/>
    <n v="14.73"/>
    <n v="1"/>
  </r>
  <r>
    <s v="TCK-11054"/>
    <s v="2024-09-13 13:16:12"/>
    <m/>
    <s v="P3"/>
    <x v="1"/>
    <s v="L1 Support"/>
    <s v="John Doe"/>
    <s v="Open"/>
    <m/>
    <n v="24"/>
    <m/>
    <m/>
  </r>
  <r>
    <s v="TCK-11055"/>
    <s v="2024-05-07 03:12:28"/>
    <s v="2024-05-08 20:37:34"/>
    <s v="P4"/>
    <x v="0"/>
    <s v="L2 Support"/>
    <s v="Priya Nair"/>
    <s v="Resolved"/>
    <n v="4"/>
    <n v="48"/>
    <n v="41.42"/>
    <n v="1"/>
  </r>
  <r>
    <s v="TCK-11056"/>
    <s v="2024-02-23 01:20:29"/>
    <s v="2024-02-24 13:20:29"/>
    <s v="P4"/>
    <x v="0"/>
    <s v="Application Support"/>
    <s v="Sarah Connor"/>
    <s v="Closed"/>
    <n v="5"/>
    <n v="48"/>
    <n v="36"/>
    <n v="1"/>
  </r>
  <r>
    <s v="TCK-11057"/>
    <s v="2024-12-25 02:52:58"/>
    <s v="2024-12-25 18:37:21"/>
    <s v="P3"/>
    <x v="3"/>
    <s v="Application Support"/>
    <s v="Priya Nair"/>
    <s v="Closed"/>
    <n v="5"/>
    <n v="24"/>
    <n v="15.74"/>
    <n v="1"/>
  </r>
  <r>
    <s v="TCK-11058"/>
    <s v="2024-11-28 19:48:45"/>
    <s v="2024-11-29 05:09:12"/>
    <s v="P3"/>
    <x v="0"/>
    <s v="Infrastructure"/>
    <s v="Sarah Connor"/>
    <s v="Resolved"/>
    <n v="5"/>
    <n v="24"/>
    <n v="9.34"/>
    <n v="1"/>
  </r>
  <r>
    <s v="TCK-11059"/>
    <s v="2024-03-14 09:44:40"/>
    <s v="2024-03-16 13:56:38"/>
    <s v="P3"/>
    <x v="1"/>
    <s v="Infrastructure"/>
    <s v="John Doe"/>
    <s v="Closed"/>
    <n v="1"/>
    <n v="24"/>
    <n v="52.2"/>
    <n v="0"/>
  </r>
  <r>
    <s v="TCK-11060"/>
    <s v="2024-01-25 08:48:33"/>
    <s v="2024-01-26 01:04:00"/>
    <s v="P3"/>
    <x v="1"/>
    <s v="Application Support"/>
    <s v="Jim Halpert"/>
    <s v="Resolved"/>
    <n v="5"/>
    <n v="24"/>
    <n v="16.260000000000002"/>
    <n v="1"/>
  </r>
  <r>
    <s v="TCK-11061"/>
    <s v="2024-07-21 04:26:02"/>
    <s v="2024-07-22 20:25:09"/>
    <s v="P3"/>
    <x v="3"/>
    <s v="L1 Support"/>
    <s v="Jim Halpert"/>
    <s v="Resolved"/>
    <n v="3"/>
    <n v="24"/>
    <n v="39.99"/>
    <n v="0"/>
  </r>
  <r>
    <s v="TCK-11062"/>
    <s v="2024-04-25 14:35:45"/>
    <s v="2024-04-26 22:32:31"/>
    <s v="P4"/>
    <x v="2"/>
    <s v="Application Support"/>
    <s v="John Doe"/>
    <s v="Closed"/>
    <n v="5"/>
    <n v="48"/>
    <n v="31.95"/>
    <n v="1"/>
  </r>
  <r>
    <s v="TCK-11063"/>
    <s v="2024-09-30 08:07:32"/>
    <s v="2024-09-30 17:50:11"/>
    <s v="P1"/>
    <x v="2"/>
    <s v="Billing Operations"/>
    <s v="Priya Nair"/>
    <s v="Resolved"/>
    <n v="2"/>
    <n v="4"/>
    <n v="9.7100000000000009"/>
    <n v="0"/>
  </r>
  <r>
    <s v="TCK-11064"/>
    <s v="2024-11-18 03:55:31"/>
    <m/>
    <s v="P2"/>
    <x v="2"/>
    <s v="Application Support"/>
    <s v="Alex Mercer"/>
    <s v="Escalated"/>
    <m/>
    <n v="8"/>
    <m/>
    <m/>
  </r>
  <r>
    <s v="TCK-11065"/>
    <s v="2024-05-09 17:07:56"/>
    <s v="2024-05-10 13:38:18"/>
    <s v="P2"/>
    <x v="0"/>
    <s v="L2 Support"/>
    <s v="Priya Nair"/>
    <s v="Closed"/>
    <n v="3"/>
    <n v="8"/>
    <n v="20.51"/>
    <n v="0"/>
  </r>
  <r>
    <s v="TCK-11066"/>
    <s v="2024-10-09 19:49:01"/>
    <s v="2024-10-10 12:02:45"/>
    <s v="P3"/>
    <x v="4"/>
    <s v="L2 Support"/>
    <s v="Alex Mercer"/>
    <s v="Resolved"/>
    <n v="5"/>
    <n v="24"/>
    <n v="16.23"/>
    <n v="1"/>
  </r>
  <r>
    <s v="TCK-11067"/>
    <s v="2024-10-21 14:24:29"/>
    <s v="2024-10-22 10:16:32"/>
    <s v="P3"/>
    <x v="1"/>
    <s v="Infrastructure"/>
    <s v="Michael Scott"/>
    <s v="Closed"/>
    <n v="4"/>
    <n v="24"/>
    <n v="19.87"/>
    <n v="1"/>
  </r>
  <r>
    <s v="TCK-11068"/>
    <s v="2024-02-21 04:04:58"/>
    <s v="2024-02-21 08:48:26"/>
    <s v="P2"/>
    <x v="0"/>
    <s v="L1 Support"/>
    <s v="Priya Nair"/>
    <s v="Resolved"/>
    <n v="4"/>
    <n v="8"/>
    <n v="4.72"/>
    <n v="1"/>
  </r>
  <r>
    <s v="TCK-11069"/>
    <s v="2024-07-06 16:40:57"/>
    <s v="2024-07-06 19:56:44"/>
    <s v="P2"/>
    <x v="1"/>
    <s v="L2 Support"/>
    <s v="Priya Nair"/>
    <s v="Resolved"/>
    <n v="5"/>
    <n v="8"/>
    <n v="3.26"/>
    <n v="1"/>
  </r>
  <r>
    <s v="TCK-11070"/>
    <s v="2024-02-09 22:13:21"/>
    <m/>
    <s v="P3"/>
    <x v="4"/>
    <s v="L2 Support"/>
    <s v="Jim Halpert"/>
    <s v="Open"/>
    <m/>
    <n v="24"/>
    <m/>
    <m/>
  </r>
  <r>
    <s v="TCK-11071"/>
    <s v="2024-06-15 04:57:49"/>
    <s v="2024-06-16 02:38:34"/>
    <s v="P3"/>
    <x v="1"/>
    <s v="L1 Support"/>
    <s v="Sarah Connor"/>
    <s v="Resolved"/>
    <n v="4"/>
    <n v="24"/>
    <n v="21.68"/>
    <n v="1"/>
  </r>
  <r>
    <s v="TCK-11072"/>
    <s v="2024-07-19 12:12:14"/>
    <s v="2024-07-19 17:01:38"/>
    <s v="P3"/>
    <x v="3"/>
    <s v="L2 Support"/>
    <s v="Carlos Mendez"/>
    <s v="Closed"/>
    <n v="4"/>
    <n v="24"/>
    <n v="4.82"/>
    <n v="1"/>
  </r>
  <r>
    <s v="TCK-11073"/>
    <s v="2024-04-27 21:16:17"/>
    <m/>
    <s v="P3"/>
    <x v="4"/>
    <s v="Application Support"/>
    <s v="Priya Nair"/>
    <s v="Escalated"/>
    <m/>
    <n v="24"/>
    <m/>
    <m/>
  </r>
  <r>
    <s v="TCK-11074"/>
    <s v="2024-09-17 19:42:41"/>
    <s v="2024-09-18 13:42:41"/>
    <s v="P3"/>
    <x v="0"/>
    <s v="Application Support"/>
    <s v="Michael Scott"/>
    <s v="Closed"/>
    <n v="4"/>
    <n v="24"/>
    <n v="18"/>
    <n v="1"/>
  </r>
  <r>
    <s v="TCK-11075"/>
    <s v="2024-02-17 17:36:10"/>
    <s v="2024-02-18 07:41:03"/>
    <s v="P3"/>
    <x v="3"/>
    <s v="Billing Operations"/>
    <s v="Emily Watson"/>
    <s v="Resolved"/>
    <n v="4"/>
    <n v="24"/>
    <n v="14.08"/>
    <n v="1"/>
  </r>
  <r>
    <s v="TCK-11076"/>
    <s v="2024-10-16 19:15:07"/>
    <m/>
    <s v="P1"/>
    <x v="3"/>
    <s v="Application Support"/>
    <s v="Dwight Schrute"/>
    <s v="Escalated"/>
    <m/>
    <n v="4"/>
    <m/>
    <m/>
  </r>
  <r>
    <s v="TCK-11077"/>
    <s v="2024-09-30 05:59:00"/>
    <s v="2024-10-02 20:23:59"/>
    <s v="P3"/>
    <x v="3"/>
    <s v="L1 Support"/>
    <s v="Pam Beesly"/>
    <s v="Resolved"/>
    <n v="1"/>
    <n v="24"/>
    <n v="62.42"/>
    <n v="0"/>
  </r>
  <r>
    <s v="TCK-11078"/>
    <s v="2024-11-12 00:28:41"/>
    <s v="2024-11-12 14:48:22"/>
    <s v="P3"/>
    <x v="2"/>
    <s v="Billing Operations"/>
    <s v="Ravi Patel"/>
    <s v="Resolved"/>
    <n v="5"/>
    <n v="24"/>
    <n v="14.33"/>
    <n v="1"/>
  </r>
  <r>
    <s v="TCK-11079"/>
    <s v="2024-11-03 03:57:52"/>
    <s v="2024-11-03 18:35:10"/>
    <s v="P3"/>
    <x v="0"/>
    <s v="L2 Support"/>
    <s v="Carlos Mendez"/>
    <s v="Closed"/>
    <n v="4"/>
    <n v="24"/>
    <n v="14.62"/>
    <n v="1"/>
  </r>
  <r>
    <s v="TCK-11080"/>
    <s v="2024-08-03 18:22:53"/>
    <s v="2024-08-03 22:34:22"/>
    <s v="P3"/>
    <x v="2"/>
    <s v="L1 Support"/>
    <s v="John Doe"/>
    <s v="Closed"/>
    <n v="4"/>
    <n v="24"/>
    <n v="4.1900000000000004"/>
    <n v="1"/>
  </r>
  <r>
    <s v="TCK-11081"/>
    <s v="2024-10-19 19:06:33"/>
    <s v="2024-10-19 20:56:51"/>
    <s v="P1"/>
    <x v="4"/>
    <s v="Billing Operations"/>
    <s v="Michael Scott"/>
    <s v="Resolved"/>
    <n v="5"/>
    <n v="4"/>
    <n v="1.84"/>
    <n v="1"/>
  </r>
  <r>
    <s v="TCK-11082"/>
    <s v="2024-01-01 08:47:51"/>
    <s v="2024-01-01 13:31:17"/>
    <s v="P2"/>
    <x v="1"/>
    <s v="Billing Operations"/>
    <s v="Michael Scott"/>
    <s v="Closed"/>
    <n v="5"/>
    <n v="8"/>
    <n v="4.72"/>
    <n v="1"/>
  </r>
  <r>
    <s v="TCK-11083"/>
    <s v="2024-07-22 07:36:09"/>
    <s v="2024-07-23 15:26:14"/>
    <s v="P4"/>
    <x v="4"/>
    <s v="Billing Operations"/>
    <s v="Ravi Patel"/>
    <s v="Resolved"/>
    <n v="3"/>
    <n v="48"/>
    <n v="31.83"/>
    <n v="1"/>
  </r>
  <r>
    <s v="TCK-11084"/>
    <s v="2024-01-15 14:23:06"/>
    <s v="2024-01-15 17:37:35"/>
    <s v="P2"/>
    <x v="2"/>
    <s v="L2 Support"/>
    <s v="John Doe"/>
    <s v="Closed"/>
    <n v="4"/>
    <n v="8"/>
    <n v="3.24"/>
    <n v="1"/>
  </r>
  <r>
    <s v="TCK-11085"/>
    <s v="2024-08-30 00:22:30"/>
    <s v="2024-08-30 18:22:30"/>
    <s v="P3"/>
    <x v="3"/>
    <s v="Infrastructure"/>
    <s v="Jim Halpert"/>
    <s v="Closed"/>
    <n v="5"/>
    <n v="24"/>
    <n v="18"/>
    <n v="1"/>
  </r>
  <r>
    <s v="TCK-11086"/>
    <s v="2024-09-20 01:40:34"/>
    <s v="2024-09-21 00:22:53"/>
    <s v="P3"/>
    <x v="3"/>
    <s v="Billing Operations"/>
    <s v="Emily Watson"/>
    <s v="Resolved"/>
    <n v="5"/>
    <n v="24"/>
    <n v="22.71"/>
    <n v="1"/>
  </r>
  <r>
    <s v="TCK-11087"/>
    <s v="2024-03-16 03:25:03"/>
    <s v="2024-03-17 19:25:23"/>
    <s v="P3"/>
    <x v="3"/>
    <s v="Billing Operations"/>
    <s v="Anita Sharma"/>
    <s v="Resolved"/>
    <n v="3"/>
    <n v="24"/>
    <n v="40.01"/>
    <n v="0"/>
  </r>
  <r>
    <s v="TCK-11088"/>
    <s v="2024-05-27 11:59:40"/>
    <s v="2024-05-27 14:15:32"/>
    <s v="P1"/>
    <x v="3"/>
    <s v="L1 Support"/>
    <s v="Michael Scott"/>
    <s v="Resolved"/>
    <n v="3"/>
    <n v="4"/>
    <n v="2.2599999999999998"/>
    <n v="1"/>
  </r>
  <r>
    <s v="TCK-11089"/>
    <s v="2024-09-05 22:53:12"/>
    <s v="2024-09-05 23:19:12"/>
    <s v="P1"/>
    <x v="4"/>
    <s v="Infrastructure"/>
    <s v="John Doe"/>
    <s v="Closed"/>
    <n v="4"/>
    <n v="4"/>
    <n v="0.43"/>
    <n v="1"/>
  </r>
  <r>
    <s v="TCK-11090"/>
    <s v="2024-03-27 15:17:32"/>
    <s v="2024-03-29 20:02:57"/>
    <s v="P3"/>
    <x v="1"/>
    <s v="L1 Support"/>
    <s v="John Doe"/>
    <s v="Resolved"/>
    <n v="3"/>
    <n v="24"/>
    <n v="52.76"/>
    <n v="0"/>
  </r>
  <r>
    <s v="TCK-11091"/>
    <s v="2024-02-07 10:30:09"/>
    <s v="2024-02-07 13:52:51"/>
    <s v="P3"/>
    <x v="3"/>
    <s v="Infrastructure"/>
    <s v="Ravi Patel"/>
    <s v="Resolved"/>
    <n v="4"/>
    <n v="24"/>
    <n v="3.38"/>
    <n v="1"/>
  </r>
  <r>
    <s v="TCK-11092"/>
    <s v="2024-10-19 07:57:48"/>
    <s v="2024-10-21 07:28:49"/>
    <s v="P3"/>
    <x v="2"/>
    <s v="Billing Operations"/>
    <s v="Ravi Patel"/>
    <s v="Closed"/>
    <n v="1"/>
    <n v="24"/>
    <n v="47.52"/>
    <n v="0"/>
  </r>
  <r>
    <s v="TCK-11093"/>
    <s v="2024-01-05 00:31:22"/>
    <s v="2024-01-05 04:00:04"/>
    <s v="P3"/>
    <x v="0"/>
    <s v="L2 Support"/>
    <s v="John Doe"/>
    <s v="Resolved"/>
    <n v="5"/>
    <n v="24"/>
    <n v="3.48"/>
    <n v="1"/>
  </r>
  <r>
    <s v="TCK-11094"/>
    <s v="2024-05-24 02:03:16"/>
    <s v="2024-05-25 00:34:25"/>
    <s v="P3"/>
    <x v="2"/>
    <s v="Billing Operations"/>
    <s v="Jim Halpert"/>
    <s v="Closed"/>
    <n v="5"/>
    <n v="24"/>
    <n v="22.52"/>
    <n v="1"/>
  </r>
  <r>
    <s v="TCK-11095"/>
    <s v="2024-07-14 09:06:57"/>
    <s v="2024-07-14 11:59:27"/>
    <s v="P2"/>
    <x v="4"/>
    <s v="Billing Operations"/>
    <s v="Priya Nair"/>
    <s v="Closed"/>
    <n v="5"/>
    <n v="8"/>
    <n v="2.88"/>
    <n v="1"/>
  </r>
  <r>
    <s v="TCK-11096"/>
    <s v="2024-04-29 00:58:18"/>
    <s v="2024-04-29 22:38:49"/>
    <s v="P3"/>
    <x v="2"/>
    <s v="L1 Support"/>
    <s v="Carlos Mendez"/>
    <s v="Resolved"/>
    <n v="4"/>
    <n v="24"/>
    <n v="21.68"/>
    <n v="1"/>
  </r>
  <r>
    <s v="TCK-11097"/>
    <s v="2024-01-23 15:06:51"/>
    <m/>
    <s v="P1"/>
    <x v="1"/>
    <s v="Application Support"/>
    <s v="Alex Mercer"/>
    <s v="Escalated"/>
    <m/>
    <n v="4"/>
    <m/>
    <m/>
  </r>
  <r>
    <s v="TCK-11098"/>
    <s v="2024-06-13 23:48:49"/>
    <s v="2024-06-14 16:01:11"/>
    <s v="P3"/>
    <x v="4"/>
    <s v="L2 Support"/>
    <s v="Dwight Schrute"/>
    <s v="Resolved"/>
    <n v="5"/>
    <n v="24"/>
    <n v="16.21"/>
    <n v="1"/>
  </r>
  <r>
    <s v="TCK-11099"/>
    <s v="2024-02-18 18:12:35"/>
    <s v="2024-02-19 03:38:56"/>
    <s v="P3"/>
    <x v="3"/>
    <s v="L1 Support"/>
    <s v="Priya Nair"/>
    <s v="Resolved"/>
    <n v="5"/>
    <n v="24"/>
    <n v="9.44"/>
    <n v="1"/>
  </r>
  <r>
    <s v="TCK-11100"/>
    <s v="2024-09-14 02:35:21"/>
    <s v="2024-09-15 22:44:48"/>
    <s v="P4"/>
    <x v="0"/>
    <s v="Billing Operations"/>
    <s v="Carlos Mendez"/>
    <s v="Closed"/>
    <n v="5"/>
    <n v="48"/>
    <n v="44.16"/>
    <n v="1"/>
  </r>
  <r>
    <s v="TCK-11101"/>
    <s v="2024-12-08 20:11:19"/>
    <s v="2024-12-09 05:47:44"/>
    <s v="P3"/>
    <x v="4"/>
    <s v="L2 Support"/>
    <s v="Sarah Connor"/>
    <s v="Resolved"/>
    <n v="3"/>
    <n v="24"/>
    <n v="9.61"/>
    <n v="1"/>
  </r>
  <r>
    <s v="TCK-11102"/>
    <s v="2024-07-11 18:28:04"/>
    <m/>
    <s v="P3"/>
    <x v="2"/>
    <s v="L1 Support"/>
    <s v="Pam Beesly"/>
    <s v="Open"/>
    <m/>
    <n v="24"/>
    <m/>
    <m/>
  </r>
  <r>
    <s v="TCK-11103"/>
    <s v="2024-04-07 07:58:50"/>
    <s v="2024-04-07 21:28:25"/>
    <s v="P4"/>
    <x v="0"/>
    <s v="L1 Support"/>
    <s v="Michael Scott"/>
    <s v="Resolved"/>
    <n v="5"/>
    <n v="48"/>
    <n v="13.49"/>
    <n v="1"/>
  </r>
  <r>
    <s v="TCK-11104"/>
    <s v="2024-08-09 05:59:28"/>
    <m/>
    <s v="P3"/>
    <x v="3"/>
    <s v="Billing Operations"/>
    <s v="Alex Mercer"/>
    <s v="Open"/>
    <m/>
    <n v="24"/>
    <m/>
    <m/>
  </r>
  <r>
    <s v="TCK-11105"/>
    <s v="2024-12-12 22:38:46"/>
    <s v="2024-12-13 08:15:55"/>
    <s v="P3"/>
    <x v="2"/>
    <s v="Infrastructure"/>
    <s v="Alex Mercer"/>
    <s v="Closed"/>
    <n v="3"/>
    <n v="24"/>
    <n v="9.6199999999999992"/>
    <n v="1"/>
  </r>
  <r>
    <s v="TCK-11106"/>
    <s v="2024-12-12 01:13:50"/>
    <s v="2024-12-12 14:25:26"/>
    <s v="P3"/>
    <x v="2"/>
    <s v="L1 Support"/>
    <s v="Sarah Connor"/>
    <s v="Resolved"/>
    <n v="5"/>
    <n v="24"/>
    <n v="13.19"/>
    <n v="1"/>
  </r>
  <r>
    <s v="TCK-11107"/>
    <s v="2024-06-08 20:10:44"/>
    <s v="2024-06-08 23:31:27"/>
    <s v="P2"/>
    <x v="2"/>
    <s v="L2 Support"/>
    <s v="Carlos Mendez"/>
    <s v="Resolved"/>
    <n v="4"/>
    <n v="8"/>
    <n v="3.35"/>
    <n v="1"/>
  </r>
  <r>
    <s v="TCK-11108"/>
    <s v="2024-12-12 19:50:42"/>
    <s v="2024-12-12 21:35:46"/>
    <s v="P2"/>
    <x v="0"/>
    <s v="L1 Support"/>
    <s v="Dwight Schrute"/>
    <s v="Closed"/>
    <n v="5"/>
    <n v="8"/>
    <n v="1.75"/>
    <n v="1"/>
  </r>
  <r>
    <s v="TCK-11109"/>
    <s v="2024-01-03 14:09:18"/>
    <s v="2024-01-04 00:36:13"/>
    <s v="P3"/>
    <x v="0"/>
    <s v="L2 Support"/>
    <s v="Sarah Connor"/>
    <s v="Resolved"/>
    <n v="5"/>
    <n v="24"/>
    <n v="10.45"/>
    <n v="1"/>
  </r>
  <r>
    <s v="TCK-11110"/>
    <s v="2024-12-16 05:54:29"/>
    <m/>
    <s v="P1"/>
    <x v="3"/>
    <s v="Application Support"/>
    <s v="Carlos Mendez"/>
    <s v="Escalated"/>
    <m/>
    <n v="4"/>
    <m/>
    <m/>
  </r>
  <r>
    <s v="TCK-11111"/>
    <s v="2024-02-16 11:13:28"/>
    <s v="2024-02-16 21:46:54"/>
    <s v="P3"/>
    <x v="3"/>
    <s v="L2 Support"/>
    <s v="Pam Beesly"/>
    <s v="Closed"/>
    <n v="5"/>
    <n v="24"/>
    <n v="10.56"/>
    <n v="1"/>
  </r>
  <r>
    <s v="TCK-11112"/>
    <s v="2024-10-15 10:56:44"/>
    <s v="2024-10-16 05:47:08"/>
    <s v="P4"/>
    <x v="2"/>
    <s v="L1 Support"/>
    <s v="Sarah Connor"/>
    <s v="Closed"/>
    <n v="3"/>
    <n v="48"/>
    <n v="18.84"/>
    <n v="1"/>
  </r>
  <r>
    <s v="TCK-11113"/>
    <s v="2024-09-23 03:25:17"/>
    <m/>
    <s v="P2"/>
    <x v="3"/>
    <s v="Infrastructure"/>
    <s v="Jim Halpert"/>
    <s v="Escalated"/>
    <m/>
    <n v="8"/>
    <m/>
    <m/>
  </r>
  <r>
    <s v="TCK-11114"/>
    <s v="2024-10-13 17:21:37"/>
    <s v="2024-10-13 19:51:36"/>
    <s v="P1"/>
    <x v="2"/>
    <s v="Infrastructure"/>
    <s v="Dwight Schrute"/>
    <s v="Resolved"/>
    <n v="5"/>
    <n v="4"/>
    <n v="2.5"/>
    <n v="1"/>
  </r>
  <r>
    <s v="TCK-11115"/>
    <s v="2024-03-13 21:39:49"/>
    <s v="2024-03-14 09:09:31"/>
    <s v="P2"/>
    <x v="0"/>
    <s v="Infrastructure"/>
    <s v="Priya Nair"/>
    <s v="Resolved"/>
    <n v="3"/>
    <n v="8"/>
    <n v="11.5"/>
    <n v="0"/>
  </r>
  <r>
    <s v="TCK-11116"/>
    <s v="2024-11-10 21:18:15"/>
    <s v="2024-11-11 15:30:54"/>
    <s v="P2"/>
    <x v="0"/>
    <s v="Billing Operations"/>
    <s v="John Doe"/>
    <s v="Resolved"/>
    <n v="1"/>
    <n v="8"/>
    <n v="18.21"/>
    <n v="0"/>
  </r>
  <r>
    <s v="TCK-11117"/>
    <s v="2024-02-17 02:46:46"/>
    <s v="2024-02-17 04:11:52"/>
    <s v="P2"/>
    <x v="1"/>
    <s v="L2 Support"/>
    <s v="John Doe"/>
    <s v="Resolved"/>
    <n v="3"/>
    <n v="8"/>
    <n v="1.42"/>
    <n v="1"/>
  </r>
  <r>
    <s v="TCK-11118"/>
    <s v="2024-06-07 12:17:05"/>
    <s v="2024-06-08 06:17:05"/>
    <s v="P3"/>
    <x v="2"/>
    <s v="L2 Support"/>
    <s v="Emily Watson"/>
    <s v="Resolved"/>
    <n v="5"/>
    <n v="24"/>
    <n v="18"/>
    <n v="1"/>
  </r>
  <r>
    <s v="TCK-11119"/>
    <s v="2024-04-28 12:11:17"/>
    <s v="2024-04-28 13:18:41"/>
    <s v="P2"/>
    <x v="2"/>
    <s v="Infrastructure"/>
    <s v="Priya Nair"/>
    <s v="Resolved"/>
    <n v="3"/>
    <n v="8"/>
    <n v="1.1200000000000001"/>
    <n v="1"/>
  </r>
  <r>
    <s v="TCK-11120"/>
    <s v="2024-01-21 13:53:33"/>
    <s v="2024-01-22 01:04:58"/>
    <s v="P3"/>
    <x v="2"/>
    <s v="Infrastructure"/>
    <s v="Dwight Schrute"/>
    <s v="Resolved"/>
    <n v="4"/>
    <n v="24"/>
    <n v="11.19"/>
    <n v="1"/>
  </r>
  <r>
    <s v="TCK-11121"/>
    <s v="2024-07-10 03:07:14"/>
    <m/>
    <s v="P3"/>
    <x v="2"/>
    <s v="L1 Support"/>
    <s v="Carlos Mendez"/>
    <s v="Open"/>
    <m/>
    <n v="24"/>
    <m/>
    <m/>
  </r>
  <r>
    <s v="TCK-11122"/>
    <s v="2024-10-15 05:20:35"/>
    <s v="2024-10-15 21:24:06"/>
    <s v="P4"/>
    <x v="0"/>
    <s v="Billing Operations"/>
    <s v="Ravi Patel"/>
    <s v="Closed"/>
    <n v="5"/>
    <n v="48"/>
    <n v="16.059999999999999"/>
    <n v="1"/>
  </r>
  <r>
    <s v="TCK-11123"/>
    <s v="2024-02-04 05:03:12"/>
    <s v="2024-02-09 18:11:58"/>
    <s v="P4"/>
    <x v="1"/>
    <s v="Billing Operations"/>
    <s v="Sarah Connor"/>
    <s v="Resolved"/>
    <n v="3"/>
    <n v="48"/>
    <n v="133.15"/>
    <n v="0"/>
  </r>
  <r>
    <s v="TCK-11124"/>
    <s v="2024-03-16 06:12:52"/>
    <s v="2024-03-16 18:17:17"/>
    <s v="P3"/>
    <x v="4"/>
    <s v="L1 Support"/>
    <s v="Ravi Patel"/>
    <s v="Closed"/>
    <n v="5"/>
    <n v="24"/>
    <n v="12.07"/>
    <n v="1"/>
  </r>
  <r>
    <s v="TCK-11125"/>
    <s v="2024-07-26 13:07:00"/>
    <s v="2024-07-27 09:24:32"/>
    <s v="P3"/>
    <x v="1"/>
    <s v="L2 Support"/>
    <s v="Jim Halpert"/>
    <s v="Closed"/>
    <n v="5"/>
    <n v="24"/>
    <n v="20.29"/>
    <n v="1"/>
  </r>
  <r>
    <s v="TCK-11126"/>
    <s v="2024-12-18 12:07:37"/>
    <s v="2024-12-18 23:25:26"/>
    <s v="P3"/>
    <x v="2"/>
    <s v="Infrastructure"/>
    <s v="Dwight Schrute"/>
    <s v="Closed"/>
    <n v="4"/>
    <n v="24"/>
    <n v="11.3"/>
    <n v="1"/>
  </r>
  <r>
    <s v="TCK-11127"/>
    <s v="2024-07-22 17:49:21"/>
    <s v="2024-07-23 03:52:58"/>
    <s v="P4"/>
    <x v="2"/>
    <s v="L1 Support"/>
    <s v="John Doe"/>
    <s v="Closed"/>
    <n v="3"/>
    <n v="48"/>
    <n v="10.06"/>
    <n v="1"/>
  </r>
  <r>
    <s v="TCK-11128"/>
    <s v="2024-08-08 05:07:52"/>
    <s v="2024-08-08 07:20:29"/>
    <s v="P1"/>
    <x v="4"/>
    <s v="L2 Support"/>
    <s v="Priya Nair"/>
    <s v="Closed"/>
    <n v="5"/>
    <n v="4"/>
    <n v="2.21"/>
    <n v="1"/>
  </r>
  <r>
    <s v="TCK-11129"/>
    <s v="2024-01-30 10:54:56"/>
    <s v="2024-01-30 13:33:42"/>
    <s v="P2"/>
    <x v="2"/>
    <s v="Application Support"/>
    <s v="Ravi Patel"/>
    <s v="Closed"/>
    <n v="4"/>
    <n v="8"/>
    <n v="2.65"/>
    <n v="1"/>
  </r>
  <r>
    <s v="TCK-11130"/>
    <s v="2024-03-03 11:20:11"/>
    <s v="2024-03-04 00:26:52"/>
    <s v="P3"/>
    <x v="3"/>
    <s v="L1 Support"/>
    <s v="Ravi Patel"/>
    <s v="Resolved"/>
    <n v="4"/>
    <n v="24"/>
    <n v="13.11"/>
    <n v="1"/>
  </r>
  <r>
    <s v="TCK-11131"/>
    <s v="2024-03-26 21:41:00"/>
    <s v="2024-03-27 00:28:04"/>
    <s v="P2"/>
    <x v="2"/>
    <s v="L1 Support"/>
    <s v="John Doe"/>
    <s v="Resolved"/>
    <n v="5"/>
    <n v="8"/>
    <n v="2.78"/>
    <n v="1"/>
  </r>
  <r>
    <s v="TCK-11132"/>
    <s v="2024-12-09 11:46:19"/>
    <m/>
    <s v="P2"/>
    <x v="1"/>
    <s v="L1 Support"/>
    <s v="Carlos Mendez"/>
    <s v="Escalated"/>
    <m/>
    <n v="8"/>
    <m/>
    <m/>
  </r>
  <r>
    <s v="TCK-11133"/>
    <s v="2024-11-16 02:44:23"/>
    <s v="2024-11-16 04:06:20"/>
    <s v="P2"/>
    <x v="1"/>
    <s v="Infrastructure"/>
    <s v="Carlos Mendez"/>
    <s v="Closed"/>
    <n v="5"/>
    <n v="8"/>
    <n v="1.37"/>
    <n v="1"/>
  </r>
  <r>
    <s v="TCK-11134"/>
    <s v="2024-08-01 15:36:53"/>
    <s v="2024-08-01 21:57:46"/>
    <s v="P2"/>
    <x v="1"/>
    <s v="Billing Operations"/>
    <s v="Michael Scott"/>
    <s v="Resolved"/>
    <n v="5"/>
    <n v="8"/>
    <n v="6.35"/>
    <n v="1"/>
  </r>
  <r>
    <s v="TCK-11135"/>
    <s v="2024-03-26 11:50:02"/>
    <s v="2024-03-29 01:27:10"/>
    <s v="P3"/>
    <x v="2"/>
    <s v="Infrastructure"/>
    <s v="Alex Mercer"/>
    <s v="Resolved"/>
    <n v="3"/>
    <n v="24"/>
    <n v="61.62"/>
    <n v="0"/>
  </r>
  <r>
    <s v="TCK-11136"/>
    <s v="2024-02-11 16:07:05"/>
    <s v="2024-02-12 11:10:54"/>
    <s v="P3"/>
    <x v="3"/>
    <s v="Infrastructure"/>
    <s v="Carlos Mendez"/>
    <s v="Closed"/>
    <n v="4"/>
    <n v="24"/>
    <n v="19.059999999999999"/>
    <n v="1"/>
  </r>
  <r>
    <s v="TCK-11137"/>
    <s v="2024-04-14 17:20:13"/>
    <s v="2024-04-14 21:05:14"/>
    <s v="P2"/>
    <x v="3"/>
    <s v="Application Support"/>
    <s v="John Doe"/>
    <s v="Resolved"/>
    <n v="4"/>
    <n v="8"/>
    <n v="3.75"/>
    <n v="1"/>
  </r>
  <r>
    <s v="TCK-11138"/>
    <s v="2024-07-05 08:40:04"/>
    <s v="2024-07-05 11:32:52"/>
    <s v="P1"/>
    <x v="1"/>
    <s v="L2 Support"/>
    <s v="John Doe"/>
    <s v="Resolved"/>
    <n v="5"/>
    <n v="4"/>
    <n v="2.88"/>
    <n v="1"/>
  </r>
  <r>
    <s v="TCK-11139"/>
    <s v="2024-01-09 12:10:30"/>
    <s v="2024-01-09 13:27:53"/>
    <s v="P2"/>
    <x v="0"/>
    <s v="Application Support"/>
    <s v="Carlos Mendez"/>
    <s v="Closed"/>
    <n v="4"/>
    <n v="8"/>
    <n v="1.29"/>
    <n v="1"/>
  </r>
  <r>
    <s v="TCK-11140"/>
    <s v="2024-12-19 09:42:56"/>
    <s v="2024-12-20 00:25:21"/>
    <s v="P3"/>
    <x v="2"/>
    <s v="Billing Operations"/>
    <s v="John Doe"/>
    <s v="Closed"/>
    <n v="4"/>
    <n v="24"/>
    <n v="14.71"/>
    <n v="1"/>
  </r>
  <r>
    <s v="TCK-11141"/>
    <s v="2024-01-09 09:05:10"/>
    <s v="2024-02-12 09:05:10"/>
    <s v="P2"/>
    <x v="1"/>
    <s v="L1 Support"/>
    <s v="John Doe"/>
    <s v="Resolved"/>
    <n v="5"/>
    <n v="8"/>
    <n v="816"/>
    <n v="0"/>
  </r>
  <r>
    <s v="TCK-11142"/>
    <s v="2024-01-06 13:48:00"/>
    <s v="2024-01-07 06:37:55"/>
    <s v="P3"/>
    <x v="1"/>
    <s v="L1 Support"/>
    <s v="Ravi Patel"/>
    <s v="Closed"/>
    <n v="4"/>
    <n v="24"/>
    <n v="16.829999999999998"/>
    <n v="1"/>
  </r>
  <r>
    <s v="TCK-11143"/>
    <s v="2024-07-05 21:53:22"/>
    <s v="2024-07-06 01:25:45"/>
    <s v="P3"/>
    <x v="0"/>
    <s v="L2 Support"/>
    <s v="Michael Scott"/>
    <s v="Resolved"/>
    <n v="5"/>
    <n v="24"/>
    <n v="3.54"/>
    <n v="1"/>
  </r>
  <r>
    <s v="TCK-11144"/>
    <s v="2024-09-01 00:35:31"/>
    <s v="2024-09-01 21:04:32"/>
    <s v="P3"/>
    <x v="1"/>
    <s v="L1 Support"/>
    <s v="Sarah Connor"/>
    <s v="Resolved"/>
    <n v="4"/>
    <n v="24"/>
    <n v="20.48"/>
    <n v="1"/>
  </r>
  <r>
    <s v="TCK-11145"/>
    <s v="2024-01-01 19:16:54"/>
    <s v="2024-01-02 09:17:51"/>
    <s v="P4"/>
    <x v="3"/>
    <s v="Application Support"/>
    <s v="Jim Halpert"/>
    <s v="Resolved"/>
    <n v="5"/>
    <n v="48"/>
    <n v="14.02"/>
    <n v="1"/>
  </r>
  <r>
    <s v="TCK-11146"/>
    <s v="2024-05-29 18:04:19"/>
    <s v="2024-05-29 22:32:50"/>
    <s v="P3"/>
    <x v="0"/>
    <s v="L1 Support"/>
    <s v="Dwight Schrute"/>
    <s v="Resolved"/>
    <n v="5"/>
    <n v="24"/>
    <n v="4.4800000000000004"/>
    <n v="1"/>
  </r>
  <r>
    <s v="TCK-11147"/>
    <s v="2024-05-19 02:21:03"/>
    <s v="2024-05-19 03:21:22"/>
    <s v="P1"/>
    <x v="2"/>
    <s v="Infrastructure"/>
    <s v="Sarah Connor"/>
    <s v="Closed"/>
    <n v="5"/>
    <n v="4"/>
    <n v="1.01"/>
    <n v="1"/>
  </r>
  <r>
    <s v="TCK-11148"/>
    <s v="2024-08-21 04:47:02"/>
    <s v="2024-08-21 06:17:26"/>
    <s v="P2"/>
    <x v="2"/>
    <s v="Infrastructure"/>
    <s v="Anita Sharma"/>
    <s v="Closed"/>
    <n v="5"/>
    <n v="8"/>
    <n v="1.51"/>
    <n v="1"/>
  </r>
  <r>
    <s v="TCK-11149"/>
    <s v="2024-09-14 07:47:11"/>
    <s v="2024-09-16 21:23:12"/>
    <s v="P3"/>
    <x v="2"/>
    <s v="L1 Support"/>
    <s v="Alex Mercer"/>
    <s v="Closed"/>
    <n v="1"/>
    <n v="24"/>
    <n v="61.6"/>
    <n v="0"/>
  </r>
  <r>
    <s v="TCK-11150"/>
    <s v="2024-02-27 17:24:40"/>
    <s v="2024-02-28 10:38:09"/>
    <s v="P3"/>
    <x v="0"/>
    <s v="Application Support"/>
    <s v="Sarah Connor"/>
    <s v="Resolved"/>
    <n v="4"/>
    <n v="24"/>
    <n v="17.22"/>
    <n v="1"/>
  </r>
  <r>
    <s v="TCK-11151"/>
    <s v="2024-05-05 19:04:33"/>
    <s v="2024-05-07 04:10:02"/>
    <s v="P4"/>
    <x v="1"/>
    <s v="Application Support"/>
    <s v="Pam Beesly"/>
    <s v="Resolved"/>
    <n v="4"/>
    <n v="48"/>
    <n v="33.090000000000003"/>
    <n v="1"/>
  </r>
  <r>
    <s v="TCK-11152"/>
    <s v="2024-11-04 11:58:15"/>
    <s v="2024-11-05 01:15:35"/>
    <s v="P3"/>
    <x v="1"/>
    <s v="L2 Support"/>
    <s v="Jim Halpert"/>
    <s v="Resolved"/>
    <n v="5"/>
    <n v="24"/>
    <n v="13.29"/>
    <n v="1"/>
  </r>
  <r>
    <s v="TCK-11153"/>
    <s v="2024-11-15 08:02:31"/>
    <s v="2024-11-15 13:55:48"/>
    <s v="P2"/>
    <x v="1"/>
    <s v="Application Support"/>
    <s v="Ravi Patel"/>
    <s v="Closed"/>
    <n v="5"/>
    <n v="8"/>
    <n v="5.89"/>
    <n v="1"/>
  </r>
  <r>
    <s v="TCK-11154"/>
    <s v="2024-04-01 16:09:29"/>
    <s v="2024-04-04 12:27:22"/>
    <s v="P3"/>
    <x v="2"/>
    <s v="L1 Support"/>
    <s v="Pam Beesly"/>
    <s v="Closed"/>
    <n v="1"/>
    <n v="24"/>
    <n v="68.3"/>
    <n v="0"/>
  </r>
  <r>
    <s v="TCK-11155"/>
    <s v="2024-05-16 00:09:18"/>
    <s v="2024-05-18 03:09:54"/>
    <s v="P3"/>
    <x v="0"/>
    <s v="L2 Support"/>
    <s v="Michael Scott"/>
    <s v="Resolved"/>
    <n v="4"/>
    <n v="24"/>
    <n v="51.01"/>
    <n v="0"/>
  </r>
  <r>
    <s v="TCK-11156"/>
    <s v="2024-06-12 20:43:18"/>
    <s v="2024-06-13 16:06:12"/>
    <s v="P2"/>
    <x v="0"/>
    <s v="L1 Support"/>
    <s v="Priya Nair"/>
    <s v="Resolved"/>
    <n v="2"/>
    <n v="8"/>
    <n v="19.38"/>
    <n v="0"/>
  </r>
  <r>
    <s v="TCK-11157"/>
    <s v="2024-01-11 13:34:14"/>
    <s v="2024-01-12 01:41:52"/>
    <s v="P3"/>
    <x v="2"/>
    <s v="L1 Support"/>
    <s v="Priya Nair"/>
    <s v="Resolved"/>
    <n v="5"/>
    <n v="24"/>
    <n v="12.13"/>
    <n v="1"/>
  </r>
  <r>
    <s v="TCK-11158"/>
    <s v="2024-03-02 18:16:51"/>
    <s v="2024-03-02 21:26:50"/>
    <s v="P1"/>
    <x v="2"/>
    <s v="L1 Support"/>
    <s v="Emily Watson"/>
    <s v="Resolved"/>
    <n v="4"/>
    <n v="4"/>
    <n v="3.17"/>
    <n v="1"/>
  </r>
  <r>
    <s v="TCK-11159"/>
    <s v="2024-03-12 04:19:10"/>
    <m/>
    <s v="P3"/>
    <x v="1"/>
    <s v="Billing Operations"/>
    <s v="Priya Nair"/>
    <s v="Open"/>
    <m/>
    <n v="24"/>
    <m/>
    <m/>
  </r>
  <r>
    <s v="TCK-11160"/>
    <s v="2024-07-01 22:26:13"/>
    <s v="2024-07-02 13:56:34"/>
    <s v="P3"/>
    <x v="2"/>
    <s v="L1 Support"/>
    <s v="Michael Scott"/>
    <s v="Resolved"/>
    <n v="5"/>
    <n v="24"/>
    <n v="15.51"/>
    <n v="1"/>
  </r>
  <r>
    <s v="TCK-11161"/>
    <s v="2024-03-08 17:53:05"/>
    <m/>
    <s v="P3"/>
    <x v="1"/>
    <s v="Application Support"/>
    <s v="Carlos Mendez"/>
    <s v="Open"/>
    <m/>
    <n v="24"/>
    <m/>
    <m/>
  </r>
  <r>
    <s v="TCK-11162"/>
    <s v="2024-06-25 18:21:01"/>
    <s v="2024-06-26 15:45:06"/>
    <s v="P3"/>
    <x v="0"/>
    <s v="Billing Operations"/>
    <s v="Ravi Patel"/>
    <s v="Resolved"/>
    <n v="4"/>
    <n v="24"/>
    <n v="21.4"/>
    <n v="1"/>
  </r>
  <r>
    <s v="TCK-11163"/>
    <s v="2024-02-06 00:54:37"/>
    <s v="2024-02-06 07:46:33"/>
    <s v="P3"/>
    <x v="4"/>
    <s v="L2 Support"/>
    <s v="Priya Nair"/>
    <s v="Resolved"/>
    <n v="4"/>
    <n v="24"/>
    <n v="6.87"/>
    <n v="1"/>
  </r>
  <r>
    <s v="TCK-11164"/>
    <s v="2024-10-17 01:11:03"/>
    <s v="2024-10-18 08:10:23"/>
    <s v="P4"/>
    <x v="3"/>
    <s v="L1 Support"/>
    <s v="Priya Nair"/>
    <s v="Resolved"/>
    <n v="5"/>
    <n v="48"/>
    <n v="30.99"/>
    <n v="1"/>
  </r>
  <r>
    <s v="TCK-11165"/>
    <s v="2024-03-05 08:16:27"/>
    <s v="2024-03-05 09:54:26"/>
    <s v="P1"/>
    <x v="2"/>
    <s v="Application Support"/>
    <s v="Emily Watson"/>
    <s v="Resolved"/>
    <n v="5"/>
    <n v="4"/>
    <n v="1.63"/>
    <n v="1"/>
  </r>
  <r>
    <s v="TCK-11166"/>
    <s v="2024-05-10 14:49:21"/>
    <s v="2024-05-10 17:47:40"/>
    <s v="P1"/>
    <x v="2"/>
    <s v="Billing Operations"/>
    <s v="Sarah Connor"/>
    <s v="Resolved"/>
    <n v="4"/>
    <n v="4"/>
    <n v="2.97"/>
    <n v="1"/>
  </r>
  <r>
    <s v="TCK-11167"/>
    <s v="2024-08-02 14:08:10"/>
    <s v="2024-08-02 15:14:28"/>
    <s v="P2"/>
    <x v="4"/>
    <s v="L2 Support"/>
    <s v="Michael Scott"/>
    <s v="Resolved"/>
    <n v="5"/>
    <n v="8"/>
    <n v="1.1000000000000001"/>
    <n v="1"/>
  </r>
  <r>
    <s v="TCK-11168"/>
    <s v="2024-07-07 05:24:28"/>
    <m/>
    <s v="P1"/>
    <x v="2"/>
    <s v="Infrastructure"/>
    <s v="Alex Mercer"/>
    <s v="Escalated"/>
    <m/>
    <n v="4"/>
    <m/>
    <m/>
  </r>
  <r>
    <s v="TCK-11169"/>
    <s v="2024-10-19 06:09:36"/>
    <s v="2024-10-19 13:34:55"/>
    <s v="P2"/>
    <x v="2"/>
    <s v="L2 Support"/>
    <s v="Pam Beesly"/>
    <s v="Closed"/>
    <n v="5"/>
    <n v="8"/>
    <n v="7.42"/>
    <n v="1"/>
  </r>
  <r>
    <s v="TCK-11170"/>
    <s v="2024-02-08 03:38:45"/>
    <s v="2024-02-08 04:36:24"/>
    <s v="P2"/>
    <x v="0"/>
    <s v="Billing Operations"/>
    <s v="Sarah Connor"/>
    <s v="Resolved"/>
    <n v="5"/>
    <n v="8"/>
    <n v="0.96"/>
    <n v="1"/>
  </r>
  <r>
    <s v="TCK-11171"/>
    <s v="2024-07-04 13:31:28"/>
    <s v="2024-07-05 09:58:57"/>
    <s v="P3"/>
    <x v="2"/>
    <s v="Infrastructure"/>
    <s v="John Doe"/>
    <s v="Resolved"/>
    <n v="3"/>
    <n v="24"/>
    <n v="20.46"/>
    <n v="1"/>
  </r>
  <r>
    <s v="TCK-11172"/>
    <s v="2024-10-06 08:33:28"/>
    <s v="2024-10-07 01:00:43"/>
    <s v="P2"/>
    <x v="2"/>
    <s v="L2 Support"/>
    <s v="Priya Nair"/>
    <s v="Resolved"/>
    <n v="3"/>
    <n v="8"/>
    <n v="16.45"/>
    <n v="0"/>
  </r>
  <r>
    <s v="TCK-11173"/>
    <s v="2024-09-10 07:26:26"/>
    <s v="2024-09-11 03:18:07"/>
    <s v="P3"/>
    <x v="0"/>
    <s v="Application Support"/>
    <s v="John Doe"/>
    <s v="Resolved"/>
    <n v="4"/>
    <n v="24"/>
    <n v="19.86"/>
    <n v="1"/>
  </r>
  <r>
    <s v="TCK-11174"/>
    <s v="2024-12-12 05:44:19"/>
    <m/>
    <s v="P3"/>
    <x v="3"/>
    <s v="L2 Support"/>
    <s v="Emily Watson"/>
    <s v="Escalated"/>
    <m/>
    <n v="24"/>
    <m/>
    <m/>
  </r>
  <r>
    <s v="TCK-11175"/>
    <s v="2024-08-24 00:30:14"/>
    <s v="2024-08-24 03:51:48"/>
    <s v="P1"/>
    <x v="1"/>
    <s v="Application Support"/>
    <s v="Sarah Connor"/>
    <s v="Closed"/>
    <n v="5"/>
    <n v="4"/>
    <n v="3.36"/>
    <n v="1"/>
  </r>
  <r>
    <s v="TCK-11176"/>
    <s v="2024-11-06 00:08:54"/>
    <s v="2024-11-07 08:54:18"/>
    <s v="P3"/>
    <x v="1"/>
    <s v="L1 Support"/>
    <s v="Dwight Schrute"/>
    <s v="Resolved"/>
    <n v="1"/>
    <n v="24"/>
    <n v="32.76"/>
    <n v="0"/>
  </r>
  <r>
    <s v="TCK-11177"/>
    <s v="2024-05-21 10:27:53"/>
    <m/>
    <s v="P3"/>
    <x v="1"/>
    <s v="Application Support"/>
    <s v="Michael Scott"/>
    <s v="Escalated"/>
    <m/>
    <n v="24"/>
    <m/>
    <m/>
  </r>
  <r>
    <s v="TCK-11178"/>
    <s v="2024-04-09 18:20:17"/>
    <m/>
    <s v="P3"/>
    <x v="2"/>
    <s v="L2 Support"/>
    <s v="Sarah Connor"/>
    <s v="Escalated"/>
    <m/>
    <n v="24"/>
    <m/>
    <m/>
  </r>
  <r>
    <s v="TCK-11179"/>
    <s v="2024-07-08 22:54:13"/>
    <s v="2024-07-09 04:06:34"/>
    <s v="P1"/>
    <x v="0"/>
    <s v="Application Support"/>
    <s v="Jim Halpert"/>
    <s v="Closed"/>
    <n v="2"/>
    <n v="4"/>
    <n v="5.21"/>
    <n v="0"/>
  </r>
  <r>
    <s v="TCK-11180"/>
    <s v="2024-11-24 10:26:20"/>
    <s v="2024-11-25 06:44:16"/>
    <s v="P3"/>
    <x v="2"/>
    <s v="L1 Support"/>
    <s v="Carlos Mendez"/>
    <s v="Resolved"/>
    <n v="5"/>
    <n v="24"/>
    <n v="20.3"/>
    <n v="1"/>
  </r>
  <r>
    <s v="TCK-11181"/>
    <s v="2024-01-17 21:45:54"/>
    <s v="2024-01-18 17:34:02"/>
    <s v="P3"/>
    <x v="3"/>
    <s v="L2 Support"/>
    <s v="Priya Nair"/>
    <s v="Closed"/>
    <n v="4"/>
    <n v="24"/>
    <n v="19.8"/>
    <n v="1"/>
  </r>
  <r>
    <s v="TCK-11182"/>
    <s v="2024-03-02 18:35:05"/>
    <s v="2024-03-03 04:06:11"/>
    <s v="P3"/>
    <x v="0"/>
    <s v="L2 Support"/>
    <s v="Jim Halpert"/>
    <s v="Closed"/>
    <n v="4"/>
    <n v="24"/>
    <n v="9.52"/>
    <n v="1"/>
  </r>
  <r>
    <s v="TCK-11183"/>
    <s v="2024-07-27 03:38:25"/>
    <s v="2024-08-01 20:23:07"/>
    <s v="P4"/>
    <x v="2"/>
    <s v="L1 Support"/>
    <s v="John Doe"/>
    <s v="Closed"/>
    <n v="3"/>
    <n v="48"/>
    <n v="136.74"/>
    <n v="0"/>
  </r>
  <r>
    <s v="TCK-11184"/>
    <s v="2024-03-18 19:12:16"/>
    <s v="2024-03-19 07:19:09"/>
    <s v="P3"/>
    <x v="1"/>
    <s v="Infrastructure"/>
    <s v="Anita Sharma"/>
    <s v="Resolved"/>
    <n v="4"/>
    <n v="24"/>
    <n v="12.11"/>
    <n v="1"/>
  </r>
  <r>
    <s v="TCK-11185"/>
    <s v="2024-01-16 04:49:02"/>
    <s v="2024-01-17 03:22:06"/>
    <s v="P3"/>
    <x v="4"/>
    <s v="L2 Support"/>
    <s v="Carlos Mendez"/>
    <s v="Resolved"/>
    <n v="5"/>
    <n v="24"/>
    <n v="22.55"/>
    <n v="1"/>
  </r>
  <r>
    <s v="TCK-11186"/>
    <s v="2024-01-25 13:36:45"/>
    <s v="2024-01-25 19:20:54"/>
    <s v="P4"/>
    <x v="2"/>
    <s v="Application Support"/>
    <s v="Dwight Schrute"/>
    <s v="Resolved"/>
    <n v="5"/>
    <n v="48"/>
    <n v="5.74"/>
    <n v="1"/>
  </r>
  <r>
    <s v="TCK-11187"/>
    <s v="2024-06-13 13:54:12"/>
    <s v="2024-06-13 16:43:55"/>
    <s v="P2"/>
    <x v="3"/>
    <s v="L1 Support"/>
    <s v="John Doe"/>
    <s v="Resolved"/>
    <n v="5"/>
    <n v="8"/>
    <n v="2.83"/>
    <n v="1"/>
  </r>
  <r>
    <s v="TCK-11188"/>
    <s v="2024-12-04 17:00:11"/>
    <s v="2024-12-05 13:47:47"/>
    <s v="P3"/>
    <x v="3"/>
    <s v="Infrastructure"/>
    <s v="John Doe"/>
    <s v="Closed"/>
    <n v="4"/>
    <n v="24"/>
    <n v="20.79"/>
    <n v="1"/>
  </r>
  <r>
    <s v="TCK-11189"/>
    <s v="2024-10-19 20:06:34"/>
    <s v="2024-10-19 22:00:07"/>
    <s v="P2"/>
    <x v="1"/>
    <s v="Application Support"/>
    <s v="Dwight Schrute"/>
    <s v="Resolved"/>
    <n v="5"/>
    <n v="8"/>
    <n v="1.89"/>
    <n v="1"/>
  </r>
  <r>
    <s v="TCK-11190"/>
    <s v="2024-05-18 01:58:21"/>
    <s v="2024-05-18 09:56:49"/>
    <s v="P4"/>
    <x v="3"/>
    <s v="L1 Support"/>
    <s v="Ravi Patel"/>
    <s v="Closed"/>
    <n v="5"/>
    <n v="48"/>
    <n v="7.97"/>
    <n v="1"/>
  </r>
  <r>
    <s v="TCK-11191"/>
    <s v="2024-08-27 18:18:42"/>
    <s v="2024-08-27 20:06:52"/>
    <s v="P2"/>
    <x v="3"/>
    <s v="Infrastructure"/>
    <s v="Alex Mercer"/>
    <s v="Resolved"/>
    <n v="5"/>
    <n v="8"/>
    <n v="1.8"/>
    <n v="1"/>
  </r>
  <r>
    <s v="TCK-11192"/>
    <s v="2024-02-14 10:53:34"/>
    <s v="2024-02-17 08:14:25"/>
    <s v="P3"/>
    <x v="3"/>
    <s v="Infrastructure"/>
    <s v="Ravi Patel"/>
    <s v="Closed"/>
    <n v="3"/>
    <n v="24"/>
    <n v="69.349999999999994"/>
    <n v="0"/>
  </r>
  <r>
    <s v="TCK-11193"/>
    <s v="2024-09-03 16:02:23"/>
    <s v="2024-09-05 12:54:14"/>
    <s v="P3"/>
    <x v="4"/>
    <s v="L1 Support"/>
    <s v="Alex Mercer"/>
    <s v="Resolved"/>
    <n v="2"/>
    <n v="24"/>
    <n v="44.86"/>
    <n v="0"/>
  </r>
  <r>
    <s v="TCK-11194"/>
    <s v="2024-03-05 20:10:25"/>
    <m/>
    <s v="P3"/>
    <x v="2"/>
    <s v="L2 Support"/>
    <s v="Emily Watson"/>
    <s v="Escalated"/>
    <m/>
    <n v="24"/>
    <m/>
    <m/>
  </r>
  <r>
    <s v="TCK-11195"/>
    <s v="2024-08-12 08:30:18"/>
    <s v="2024-08-13 22:43:20"/>
    <s v="P4"/>
    <x v="2"/>
    <s v="Infrastructure"/>
    <s v="Alex Mercer"/>
    <s v="Resolved"/>
    <n v="4"/>
    <n v="48"/>
    <n v="38.22"/>
    <n v="1"/>
  </r>
  <r>
    <s v="TCK-11196"/>
    <s v="2024-07-13 04:14:05"/>
    <s v="2024-07-13 17:18:26"/>
    <s v="P3"/>
    <x v="2"/>
    <s v="Application Support"/>
    <s v="Pam Beesly"/>
    <s v="Resolved"/>
    <n v="5"/>
    <n v="24"/>
    <n v="13.07"/>
    <n v="1"/>
  </r>
  <r>
    <s v="TCK-11197"/>
    <s v="2024-02-14 08:46:41"/>
    <s v="2024-02-15 07:21:42"/>
    <s v="P4"/>
    <x v="2"/>
    <s v="Infrastructure"/>
    <s v="John Doe"/>
    <s v="Closed"/>
    <n v="4"/>
    <n v="48"/>
    <n v="22.58"/>
    <n v="1"/>
  </r>
  <r>
    <s v="TCK-11198"/>
    <s v="2024-09-13 11:58:11"/>
    <s v="2024-09-16 05:16:37"/>
    <s v="P3"/>
    <x v="3"/>
    <s v="Infrastructure"/>
    <s v="Priya Nair"/>
    <s v="Closed"/>
    <n v="4"/>
    <n v="24"/>
    <n v="65.31"/>
    <n v="0"/>
  </r>
  <r>
    <s v="TCK-11199"/>
    <s v="2024-11-09 07:54:10"/>
    <m/>
    <s v="P4"/>
    <x v="1"/>
    <s v="L1 Support"/>
    <s v="Anita Sharma"/>
    <s v="Open"/>
    <m/>
    <n v="48"/>
    <m/>
    <m/>
  </r>
  <r>
    <s v="TCK-11200"/>
    <s v="2024-02-10 14:19:25"/>
    <s v="2024-02-11 09:09:48"/>
    <s v="P3"/>
    <x v="0"/>
    <s v="Billing Operations"/>
    <s v="Sarah Connor"/>
    <s v="Closed"/>
    <n v="5"/>
    <n v="24"/>
    <n v="18.84"/>
    <n v="1"/>
  </r>
  <r>
    <s v="TCK-11201"/>
    <s v="2024-11-27 02:28:06"/>
    <s v="2024-11-27 14:26:51"/>
    <s v="P3"/>
    <x v="2"/>
    <s v="Application Support"/>
    <s v="Ravi Patel"/>
    <s v="Resolved"/>
    <n v="4"/>
    <n v="24"/>
    <n v="11.98"/>
    <n v="1"/>
  </r>
  <r>
    <s v="TCK-11202"/>
    <s v="2024-11-04 14:17:51"/>
    <m/>
    <s v="P4"/>
    <x v="2"/>
    <s v="Application Support"/>
    <s v="Alex Mercer"/>
    <s v="Open"/>
    <m/>
    <n v="48"/>
    <m/>
    <m/>
  </r>
  <r>
    <s v="TCK-11203"/>
    <s v="2024-10-31 02:35:44"/>
    <s v="2024-10-31 06:12:56"/>
    <s v="P2"/>
    <x v="2"/>
    <s v="Infrastructure"/>
    <s v="Michael Scott"/>
    <s v="Closed"/>
    <n v="4"/>
    <n v="8"/>
    <n v="3.62"/>
    <n v="1"/>
  </r>
  <r>
    <s v="TCK-11204"/>
    <s v="2024-12-15 22:21:11"/>
    <s v="2024-12-20 01:19:40"/>
    <s v="P4"/>
    <x v="1"/>
    <s v="L1 Support"/>
    <s v="John Doe"/>
    <s v="Closed"/>
    <n v="3"/>
    <n v="48"/>
    <n v="98.97"/>
    <n v="0"/>
  </r>
  <r>
    <s v="TCK-11205"/>
    <s v="2024-05-03 15:02:37"/>
    <s v="2024-05-03 20:02:03"/>
    <s v="P2"/>
    <x v="4"/>
    <s v="Application Support"/>
    <s v="Emily Watson"/>
    <s v="Closed"/>
    <n v="4"/>
    <n v="8"/>
    <n v="4.99"/>
    <n v="1"/>
  </r>
  <r>
    <s v="TCK-11206"/>
    <s v="2024-01-21 08:46:10"/>
    <s v="2024-01-22 06:01:00"/>
    <s v="P4"/>
    <x v="3"/>
    <s v="L2 Support"/>
    <s v="Carlos Mendez"/>
    <s v="Resolved"/>
    <n v="4"/>
    <n v="48"/>
    <n v="21.25"/>
    <n v="1"/>
  </r>
  <r>
    <s v="TCK-11207"/>
    <s v="2024-03-02 20:48:06"/>
    <s v="2024-03-03 07:11:55"/>
    <s v="P3"/>
    <x v="1"/>
    <s v="L2 Support"/>
    <s v="Ravi Patel"/>
    <s v="Resolved"/>
    <n v="5"/>
    <n v="24"/>
    <n v="10.4"/>
    <n v="1"/>
  </r>
  <r>
    <s v="TCK-11208"/>
    <s v="2024-12-22 07:56:25"/>
    <s v="2024-12-22 08:49:07"/>
    <s v="P2"/>
    <x v="3"/>
    <s v="Infrastructure"/>
    <s v="Emily Watson"/>
    <s v="Resolved"/>
    <n v="5"/>
    <n v="8"/>
    <n v="0.88"/>
    <n v="1"/>
  </r>
  <r>
    <s v="TCK-11209"/>
    <s v="2024-02-29 18:30:59"/>
    <s v="2024-02-29 19:21:36"/>
    <s v="P1"/>
    <x v="0"/>
    <s v="L1 Support"/>
    <s v="Anita Sharma"/>
    <s v="Resolved"/>
    <n v="4"/>
    <n v="4"/>
    <n v="0.84"/>
    <n v="1"/>
  </r>
  <r>
    <s v="TCK-11210"/>
    <s v="2024-09-02 14:01:23"/>
    <s v="2024-09-05 01:12:52"/>
    <s v="P3"/>
    <x v="1"/>
    <s v="L2 Support"/>
    <s v="Michael Scott"/>
    <s v="Resolved"/>
    <n v="3"/>
    <n v="24"/>
    <n v="59.19"/>
    <n v="0"/>
  </r>
  <r>
    <s v="TCK-11211"/>
    <s v="2024-05-27 04:12:44"/>
    <m/>
    <s v="P3"/>
    <x v="0"/>
    <s v="Infrastructure"/>
    <s v="Sarah Connor"/>
    <s v="Open"/>
    <m/>
    <n v="24"/>
    <m/>
    <m/>
  </r>
  <r>
    <s v="TCK-11212"/>
    <s v="2024-09-01 00:08:46"/>
    <s v="2024-09-01 00:54:36"/>
    <s v="P1"/>
    <x v="4"/>
    <s v="L1 Support"/>
    <s v="Sarah Connor"/>
    <s v="Resolved"/>
    <n v="4"/>
    <n v="4"/>
    <n v="0.76"/>
    <n v="1"/>
  </r>
  <r>
    <s v="TCK-11213"/>
    <s v="2024-12-13 18:19:15"/>
    <s v="2024-12-13 19:16:12"/>
    <s v="P2"/>
    <x v="1"/>
    <s v="Infrastructure"/>
    <s v="Emily Watson"/>
    <s v="Resolved"/>
    <n v="3"/>
    <n v="8"/>
    <n v="0.95"/>
    <n v="1"/>
  </r>
  <r>
    <s v="TCK-11214"/>
    <s v="2024-08-31 07:47:09"/>
    <s v="2024-08-31 08:44:00"/>
    <s v="P1"/>
    <x v="3"/>
    <s v="Application Support"/>
    <s v="Pam Beesly"/>
    <s v="Closed"/>
    <n v="4"/>
    <n v="4"/>
    <n v="0.95"/>
    <n v="1"/>
  </r>
  <r>
    <s v="TCK-11215"/>
    <s v="2024-12-17 06:31:05"/>
    <s v="2024-12-17 09:40:34"/>
    <s v="P2"/>
    <x v="3"/>
    <s v="Billing Operations"/>
    <s v="Alex Mercer"/>
    <s v="Resolved"/>
    <n v="5"/>
    <n v="8"/>
    <n v="3.16"/>
    <n v="1"/>
  </r>
  <r>
    <s v="TCK-11216"/>
    <s v="2024-08-21 08:20:19"/>
    <s v="2024-08-21 11:12:30"/>
    <s v="P3"/>
    <x v="1"/>
    <s v="Infrastructure"/>
    <s v="Sarah Connor"/>
    <s v="Resolved"/>
    <n v="5"/>
    <n v="24"/>
    <n v="2.87"/>
    <n v="1"/>
  </r>
  <r>
    <s v="TCK-11217"/>
    <s v="2024-02-29 11:58:04"/>
    <s v="2024-02-29 17:42:59"/>
    <s v="P2"/>
    <x v="2"/>
    <s v="L2 Support"/>
    <s v="Alex Mercer"/>
    <s v="Resolved"/>
    <n v="5"/>
    <n v="8"/>
    <n v="5.75"/>
    <n v="1"/>
  </r>
  <r>
    <s v="TCK-11218"/>
    <s v="2024-04-14 06:07:28"/>
    <s v="2024-04-14 10:06:01"/>
    <s v="P2"/>
    <x v="1"/>
    <s v="L1 Support"/>
    <s v="Pam Beesly"/>
    <s v="Closed"/>
    <n v="5"/>
    <n v="8"/>
    <n v="3.98"/>
    <n v="1"/>
  </r>
  <r>
    <s v="TCK-11219"/>
    <s v="2024-06-18 16:23:32"/>
    <s v="2024-06-19 12:53:36"/>
    <s v="P3"/>
    <x v="2"/>
    <s v="L2 Support"/>
    <s v="Michael Scott"/>
    <s v="Resolved"/>
    <n v="4"/>
    <n v="24"/>
    <n v="20.5"/>
    <n v="1"/>
  </r>
  <r>
    <s v="TCK-11220"/>
    <s v="2024-06-01 21:24:10"/>
    <s v="2024-06-02 03:06:46"/>
    <s v="P2"/>
    <x v="0"/>
    <s v="Billing Operations"/>
    <s v="Michael Scott"/>
    <s v="Resolved"/>
    <n v="4"/>
    <n v="8"/>
    <n v="5.71"/>
    <n v="1"/>
  </r>
  <r>
    <s v="TCK-11221"/>
    <s v="2024-06-22 14:29:29"/>
    <s v="2024-06-22 20:57:56"/>
    <s v="P3"/>
    <x v="0"/>
    <s v="Infrastructure"/>
    <s v="Anita Sharma"/>
    <s v="Resolved"/>
    <n v="4"/>
    <n v="24"/>
    <n v="6.47"/>
    <n v="1"/>
  </r>
  <r>
    <s v="TCK-11222"/>
    <s v="2024-12-15 00:59:05"/>
    <m/>
    <s v="P3"/>
    <x v="1"/>
    <s v="L2 Support"/>
    <s v="Alex Mercer"/>
    <s v="Open"/>
    <m/>
    <n v="24"/>
    <m/>
    <m/>
  </r>
  <r>
    <s v="TCK-11223"/>
    <s v="2024-04-08 14:43:27"/>
    <s v="2024-04-09 09:37:42"/>
    <s v="P3"/>
    <x v="2"/>
    <s v="Billing Operations"/>
    <s v="Pam Beesly"/>
    <s v="Resolved"/>
    <n v="4"/>
    <n v="24"/>
    <n v="18.899999999999999"/>
    <n v="1"/>
  </r>
  <r>
    <s v="TCK-11224"/>
    <s v="2024-03-13 12:51:08"/>
    <s v="2024-03-13 15:26:55"/>
    <s v="P3"/>
    <x v="1"/>
    <s v="Infrastructure"/>
    <s v="Pam Beesly"/>
    <s v="Resolved"/>
    <n v="5"/>
    <n v="24"/>
    <n v="2.6"/>
    <n v="1"/>
  </r>
  <r>
    <s v="TCK-11225"/>
    <s v="2024-10-05 17:05:04"/>
    <s v="2024-10-05 21:58:36"/>
    <s v="P2"/>
    <x v="2"/>
    <s v="Infrastructure"/>
    <s v="Emily Watson"/>
    <s v="Closed"/>
    <n v="5"/>
    <n v="8"/>
    <n v="4.8899999999999997"/>
    <n v="1"/>
  </r>
  <r>
    <s v="TCK-11226"/>
    <s v="2024-02-10 07:17:08"/>
    <s v="2024-02-11 01:06:43"/>
    <s v="P3"/>
    <x v="0"/>
    <s v="L1 Support"/>
    <s v="Anita Sharma"/>
    <s v="Closed"/>
    <n v="4"/>
    <n v="24"/>
    <n v="17.829999999999998"/>
    <n v="1"/>
  </r>
  <r>
    <s v="TCK-11227"/>
    <s v="2024-05-04 15:44:52"/>
    <s v="2024-05-04 17:21:31"/>
    <s v="P2"/>
    <x v="1"/>
    <s v="Application Support"/>
    <s v="Dwight Schrute"/>
    <s v="Resolved"/>
    <n v="4"/>
    <n v="8"/>
    <n v="1.61"/>
    <n v="1"/>
  </r>
  <r>
    <s v="TCK-11228"/>
    <s v="2024-08-21 21:44:24"/>
    <s v="2024-08-22 04:21:41"/>
    <s v="P2"/>
    <x v="2"/>
    <s v="Billing Operations"/>
    <s v="Alex Mercer"/>
    <s v="Resolved"/>
    <n v="5"/>
    <n v="8"/>
    <n v="6.62"/>
    <n v="1"/>
  </r>
  <r>
    <s v="TCK-11229"/>
    <s v="2024-12-20 09:07:47"/>
    <s v="2024-12-21 12:09:37"/>
    <s v="P3"/>
    <x v="1"/>
    <s v="Application Support"/>
    <s v="Alex Mercer"/>
    <s v="Closed"/>
    <n v="2"/>
    <n v="24"/>
    <n v="27.03"/>
    <n v="0"/>
  </r>
  <r>
    <s v="TCK-11230"/>
    <s v="2024-01-28 07:21:33"/>
    <s v="2024-01-28 16:48:50"/>
    <s v="P3"/>
    <x v="0"/>
    <s v="Application Support"/>
    <s v="Priya Nair"/>
    <s v="Resolved"/>
    <n v="3"/>
    <n v="24"/>
    <n v="9.4499999999999993"/>
    <n v="1"/>
  </r>
  <r>
    <s v="TCK-11231"/>
    <s v="2024-10-28 03:55:13"/>
    <s v="2024-10-28 10:29:28"/>
    <s v="P2"/>
    <x v="3"/>
    <s v="Application Support"/>
    <s v="Michael Scott"/>
    <s v="Closed"/>
    <n v="5"/>
    <n v="8"/>
    <n v="6.57"/>
    <n v="1"/>
  </r>
  <r>
    <s v="TCK-11232"/>
    <s v="2024-02-17 11:39:02"/>
    <s v="2024-02-20 03:02:09"/>
    <s v="P4"/>
    <x v="3"/>
    <s v="L1 Support"/>
    <s v="Alex Mercer"/>
    <s v="Resolved"/>
    <n v="4"/>
    <n v="48"/>
    <n v="63.39"/>
    <n v="0"/>
  </r>
  <r>
    <s v="TCK-11233"/>
    <s v="2024-11-30 20:43:30"/>
    <s v="2024-12-02 15:11:18"/>
    <s v="P3"/>
    <x v="2"/>
    <s v="L2 Support"/>
    <s v="Sarah Connor"/>
    <s v="Resolved"/>
    <n v="4"/>
    <n v="24"/>
    <n v="42.46"/>
    <n v="0"/>
  </r>
  <r>
    <s v="TCK-11234"/>
    <s v="2024-01-03 06:03:24"/>
    <m/>
    <s v="P4"/>
    <x v="0"/>
    <s v="Infrastructure"/>
    <s v="Alex Mercer"/>
    <s v="Open"/>
    <m/>
    <n v="48"/>
    <m/>
    <m/>
  </r>
  <r>
    <s v="TCK-11235"/>
    <s v="2024-08-26 07:14:59"/>
    <s v="2024-08-26 16:09:50"/>
    <s v="P3"/>
    <x v="2"/>
    <s v="L2 Support"/>
    <s v="John Doe"/>
    <s v="Closed"/>
    <n v="4"/>
    <n v="24"/>
    <n v="8.91"/>
    <n v="1"/>
  </r>
  <r>
    <s v="TCK-11236"/>
    <s v="2024-08-15 04:29:20"/>
    <s v="2024-08-16 06:48:52"/>
    <s v="P4"/>
    <x v="4"/>
    <s v="Application Support"/>
    <s v="Carlos Mendez"/>
    <s v="Resolved"/>
    <n v="5"/>
    <n v="48"/>
    <n v="26.33"/>
    <n v="1"/>
  </r>
  <r>
    <s v="TCK-11237"/>
    <s v="2024-09-14 03:28:24"/>
    <s v="2024-09-14 20:23:07"/>
    <s v="P3"/>
    <x v="2"/>
    <s v="Application Support"/>
    <s v="Emily Watson"/>
    <s v="Resolved"/>
    <n v="4"/>
    <n v="24"/>
    <n v="16.91"/>
    <n v="1"/>
  </r>
  <r>
    <s v="TCK-11238"/>
    <s v="2024-11-20 19:49:00"/>
    <s v="2024-11-23 03:51:27"/>
    <s v="P4"/>
    <x v="3"/>
    <s v="L2 Support"/>
    <s v="Priya Nair"/>
    <s v="Resolved"/>
    <n v="1"/>
    <n v="48"/>
    <n v="56.04"/>
    <n v="0"/>
  </r>
  <r>
    <s v="TCK-11239"/>
    <s v="2024-03-25 06:31:42"/>
    <s v="2024-03-26 00:27:54"/>
    <s v="P3"/>
    <x v="2"/>
    <s v="Application Support"/>
    <s v="Sarah Connor"/>
    <s v="Resolved"/>
    <n v="5"/>
    <n v="24"/>
    <n v="17.940000000000001"/>
    <n v="1"/>
  </r>
  <r>
    <s v="TCK-11240"/>
    <s v="2024-05-02 00:43:04"/>
    <s v="2024-05-02 21:45:57"/>
    <s v="P3"/>
    <x v="2"/>
    <s v="Application Support"/>
    <s v="Carlos Mendez"/>
    <s v="Resolved"/>
    <n v="4"/>
    <n v="24"/>
    <n v="21.05"/>
    <n v="1"/>
  </r>
  <r>
    <s v="TCK-11241"/>
    <s v="2024-05-21 13:24:20"/>
    <s v="2024-05-21 17:12:20"/>
    <s v="P3"/>
    <x v="2"/>
    <s v="Billing Operations"/>
    <s v="Ravi Patel"/>
    <s v="Resolved"/>
    <n v="4"/>
    <n v="24"/>
    <n v="3.8"/>
    <n v="1"/>
  </r>
  <r>
    <s v="TCK-11242"/>
    <s v="2024-09-23 20:27:45"/>
    <s v="2024-09-23 22:00:42"/>
    <s v="P2"/>
    <x v="0"/>
    <s v="L1 Support"/>
    <s v="John Doe"/>
    <s v="Resolved"/>
    <n v="3"/>
    <n v="8"/>
    <n v="1.55"/>
    <n v="1"/>
  </r>
  <r>
    <s v="TCK-11243"/>
    <s v="2024-06-28 07:24:13"/>
    <s v="2024-06-28 11:56:44"/>
    <s v="P2"/>
    <x v="0"/>
    <s v="Billing Operations"/>
    <s v="Dwight Schrute"/>
    <s v="Resolved"/>
    <n v="4"/>
    <n v="8"/>
    <n v="4.54"/>
    <n v="1"/>
  </r>
  <r>
    <s v="TCK-11244"/>
    <s v="2024-03-23 16:35:55"/>
    <s v="2024-03-23 18:03:49"/>
    <s v="P2"/>
    <x v="2"/>
    <s v="Billing Operations"/>
    <s v="Pam Beesly"/>
    <s v="Resolved"/>
    <n v="5"/>
    <n v="8"/>
    <n v="1.46"/>
    <n v="1"/>
  </r>
  <r>
    <s v="TCK-11245"/>
    <s v="2024-10-11 14:44:58"/>
    <m/>
    <s v="P4"/>
    <x v="1"/>
    <s v="L2 Support"/>
    <s v="Jim Halpert"/>
    <s v="Open"/>
    <m/>
    <n v="48"/>
    <m/>
    <m/>
  </r>
  <r>
    <s v="TCK-11246"/>
    <s v="2024-02-12 17:40:25"/>
    <s v="2024-02-14 21:47:39"/>
    <s v="P3"/>
    <x v="3"/>
    <s v="L1 Support"/>
    <s v="Emily Watson"/>
    <s v="Resolved"/>
    <n v="1"/>
    <n v="24"/>
    <n v="52.12"/>
    <n v="0"/>
  </r>
  <r>
    <s v="TCK-11247"/>
    <s v="2024-07-25 23:49:37"/>
    <s v="2024-07-26 01:18:56"/>
    <s v="P2"/>
    <x v="2"/>
    <s v="Billing Operations"/>
    <s v="Priya Nair"/>
    <s v="Closed"/>
    <n v="5"/>
    <n v="8"/>
    <n v="1.49"/>
    <n v="1"/>
  </r>
  <r>
    <s v="TCK-11248"/>
    <s v="2024-12-07 21:47:31"/>
    <m/>
    <s v="P3"/>
    <x v="2"/>
    <s v="L2 Support"/>
    <s v="Emily Watson"/>
    <s v="Open"/>
    <m/>
    <n v="24"/>
    <m/>
    <m/>
  </r>
  <r>
    <s v="TCK-11249"/>
    <s v="2024-02-06 22:24:15"/>
    <s v="2024-02-07 17:32:09"/>
    <s v="P2"/>
    <x v="4"/>
    <s v="Billing Operations"/>
    <s v="Dwight Schrute"/>
    <s v="Closed"/>
    <n v="1"/>
    <n v="8"/>
    <n v="19.13"/>
    <n v="0"/>
  </r>
  <r>
    <s v="TCK-11250"/>
    <s v="2024-09-21 23:30:15"/>
    <m/>
    <s v="P1"/>
    <x v="1"/>
    <s v="Application Support"/>
    <s v="John Doe"/>
    <s v="Escalated"/>
    <m/>
    <n v="4"/>
    <m/>
    <m/>
  </r>
  <r>
    <s v="TCK-11251"/>
    <s v="2024-09-15 23:51:44"/>
    <s v="2024-09-16 17:46:17"/>
    <s v="P3"/>
    <x v="2"/>
    <s v="L2 Support"/>
    <s v="Michael Scott"/>
    <s v="Closed"/>
    <n v="3"/>
    <n v="24"/>
    <n v="17.91"/>
    <n v="1"/>
  </r>
  <r>
    <s v="TCK-11252"/>
    <s v="2024-05-17 02:12:59"/>
    <s v="2024-06-19 20:12:59"/>
    <s v="P4"/>
    <x v="3"/>
    <s v="Application Support"/>
    <s v="Emily Watson"/>
    <s v="Resolved"/>
    <n v="5"/>
    <n v="48"/>
    <n v="810"/>
    <n v="0"/>
  </r>
  <r>
    <s v="TCK-11253"/>
    <s v="2024-04-23 05:08:03"/>
    <s v="2024-04-24 18:43:58"/>
    <s v="P4"/>
    <x v="2"/>
    <s v="L2 Support"/>
    <s v="John Doe"/>
    <s v="Closed"/>
    <n v="4"/>
    <n v="48"/>
    <n v="37.6"/>
    <n v="1"/>
  </r>
  <r>
    <s v="TCK-11254"/>
    <s v="2024-07-09 21:17:59"/>
    <s v="2024-07-09 23:58:34"/>
    <s v="P3"/>
    <x v="4"/>
    <s v="Infrastructure"/>
    <s v="Carlos Mendez"/>
    <s v="Resolved"/>
    <n v="4"/>
    <n v="24"/>
    <n v="2.68"/>
    <n v="1"/>
  </r>
  <r>
    <s v="TCK-11255"/>
    <s v="2024-10-03 03:08:39"/>
    <s v="2024-10-03 08:53:45"/>
    <s v="P2"/>
    <x v="2"/>
    <s v="Billing Operations"/>
    <s v="Dwight Schrute"/>
    <s v="Resolved"/>
    <n v="3"/>
    <n v="8"/>
    <n v="5.75"/>
    <n v="1"/>
  </r>
  <r>
    <s v="TCK-11256"/>
    <s v="2024-06-08 16:26:59"/>
    <m/>
    <s v="P4"/>
    <x v="4"/>
    <s v="L2 Support"/>
    <s v="Pam Beesly"/>
    <s v="Open"/>
    <m/>
    <n v="48"/>
    <m/>
    <m/>
  </r>
  <r>
    <s v="TCK-11257"/>
    <s v="2024-05-19 22:02:11"/>
    <s v="2024-05-20 03:05:57"/>
    <s v="P2"/>
    <x v="1"/>
    <s v="Application Support"/>
    <s v="Carlos Mendez"/>
    <s v="Resolved"/>
    <n v="5"/>
    <n v="8"/>
    <n v="5.0599999999999996"/>
    <n v="1"/>
  </r>
  <r>
    <s v="TCK-11258"/>
    <s v="2024-12-20 16:05:43"/>
    <s v="2024-12-21 12:36:37"/>
    <s v="P3"/>
    <x v="4"/>
    <s v="Billing Operations"/>
    <s v="John Doe"/>
    <s v="Resolved"/>
    <n v="4"/>
    <n v="24"/>
    <n v="20.52"/>
    <n v="1"/>
  </r>
  <r>
    <s v="TCK-11259"/>
    <s v="2024-06-11 09:27:52"/>
    <s v="2024-06-13 00:17:55"/>
    <s v="P4"/>
    <x v="2"/>
    <s v="L2 Support"/>
    <s v="Alex Mercer"/>
    <s v="Closed"/>
    <n v="4"/>
    <n v="48"/>
    <n v="38.83"/>
    <n v="1"/>
  </r>
  <r>
    <s v="TCK-11260"/>
    <s v="2024-11-05 05:02:23"/>
    <s v="2024-11-06 02:21:18"/>
    <s v="P3"/>
    <x v="4"/>
    <s v="Infrastructure"/>
    <s v="Michael Scott"/>
    <s v="Resolved"/>
    <n v="4"/>
    <n v="24"/>
    <n v="21.32"/>
    <n v="1"/>
  </r>
  <r>
    <s v="TCK-11261"/>
    <s v="2024-09-21 18:39:46"/>
    <s v="2024-09-21 21:25:22"/>
    <s v="P2"/>
    <x v="4"/>
    <s v="Billing Operations"/>
    <s v="Ravi Patel"/>
    <s v="Closed"/>
    <n v="5"/>
    <n v="8"/>
    <n v="2.76"/>
    <n v="1"/>
  </r>
  <r>
    <s v="TCK-11262"/>
    <s v="2024-01-07 09:19:54"/>
    <s v="2024-01-07 20:30:36"/>
    <s v="P3"/>
    <x v="4"/>
    <s v="Billing Operations"/>
    <s v="Sarah Connor"/>
    <s v="Resolved"/>
    <n v="5"/>
    <n v="24"/>
    <n v="11.18"/>
    <n v="1"/>
  </r>
  <r>
    <s v="TCK-11263"/>
    <s v="2024-01-01 13:58:52"/>
    <s v="2024-01-01 14:54:29"/>
    <s v="P1"/>
    <x v="1"/>
    <s v="Infrastructure"/>
    <s v="Ravi Patel"/>
    <s v="Closed"/>
    <n v="3"/>
    <n v="4"/>
    <n v="0.93"/>
    <n v="1"/>
  </r>
  <r>
    <s v="TCK-11264"/>
    <s v="2024-04-15 10:49:01"/>
    <m/>
    <s v="P2"/>
    <x v="0"/>
    <s v="Application Support"/>
    <s v="Anita Sharma"/>
    <s v="Open"/>
    <m/>
    <n v="8"/>
    <m/>
    <m/>
  </r>
  <r>
    <s v="TCK-11265"/>
    <s v="2024-04-23 06:28:16"/>
    <s v="2024-04-23 10:08:40"/>
    <s v="P2"/>
    <x v="2"/>
    <s v="Infrastructure"/>
    <s v="Emily Watson"/>
    <s v="Closed"/>
    <n v="5"/>
    <n v="8"/>
    <n v="3.67"/>
    <n v="1"/>
  </r>
  <r>
    <s v="TCK-11266"/>
    <s v="2024-02-08 10:43:08"/>
    <s v="2024-02-10 03:15:24"/>
    <s v="P4"/>
    <x v="4"/>
    <s v="Billing Operations"/>
    <s v="Michael Scott"/>
    <s v="Resolved"/>
    <n v="5"/>
    <n v="48"/>
    <n v="40.54"/>
    <n v="1"/>
  </r>
  <r>
    <s v="TCK-11267"/>
    <s v="2024-02-24 09:13:03"/>
    <s v="2024-02-24 13:21:49"/>
    <s v="P3"/>
    <x v="1"/>
    <s v="L2 Support"/>
    <s v="Jim Halpert"/>
    <s v="Closed"/>
    <n v="5"/>
    <n v="24"/>
    <n v="4.1500000000000004"/>
    <n v="1"/>
  </r>
  <r>
    <s v="TCK-11268"/>
    <s v="2024-09-01 08:21:21"/>
    <s v="2024-09-01 17:08:46"/>
    <s v="P3"/>
    <x v="1"/>
    <s v="Application Support"/>
    <s v="Sarah Connor"/>
    <s v="Resolved"/>
    <n v="5"/>
    <n v="24"/>
    <n v="8.7899999999999991"/>
    <n v="1"/>
  </r>
  <r>
    <s v="TCK-11269"/>
    <s v="2024-10-04 01:53:58"/>
    <m/>
    <s v="P3"/>
    <x v="2"/>
    <s v="Application Support"/>
    <s v="Jim Halpert"/>
    <s v="Escalated"/>
    <m/>
    <n v="24"/>
    <m/>
    <m/>
  </r>
  <r>
    <s v="TCK-11270"/>
    <s v="2024-06-28 11:28:42"/>
    <s v="2024-06-28 12:54:23"/>
    <s v="P1"/>
    <x v="3"/>
    <s v="Application Support"/>
    <s v="Sarah Connor"/>
    <s v="Closed"/>
    <n v="4"/>
    <n v="4"/>
    <n v="1.43"/>
    <n v="1"/>
  </r>
  <r>
    <s v="TCK-11271"/>
    <s v="2024-07-18 06:06:48"/>
    <s v="2024-07-19 13:12:25"/>
    <s v="P3"/>
    <x v="3"/>
    <s v="Billing Operations"/>
    <s v="Michael Scott"/>
    <s v="Resolved"/>
    <n v="2"/>
    <n v="24"/>
    <n v="31.09"/>
    <n v="0"/>
  </r>
  <r>
    <s v="TCK-11272"/>
    <s v="2024-06-29 01:40:53"/>
    <s v="2024-06-30 22:43:02"/>
    <s v="P4"/>
    <x v="0"/>
    <s v="Application Support"/>
    <s v="Alex Mercer"/>
    <s v="Resolved"/>
    <n v="4"/>
    <n v="48"/>
    <n v="45.04"/>
    <n v="1"/>
  </r>
  <r>
    <s v="TCK-11273"/>
    <s v="2024-08-19 03:38:50"/>
    <s v="2024-08-19 06:33:53"/>
    <s v="P1"/>
    <x v="2"/>
    <s v="Application Support"/>
    <s v="Priya Nair"/>
    <s v="Resolved"/>
    <n v="5"/>
    <n v="4"/>
    <n v="2.92"/>
    <n v="1"/>
  </r>
  <r>
    <s v="TCK-11274"/>
    <s v="2024-10-14 11:21:59"/>
    <s v="2024-10-15 18:57:00"/>
    <s v="P3"/>
    <x v="0"/>
    <s v="Billing Operations"/>
    <s v="John Doe"/>
    <s v="Closed"/>
    <n v="3"/>
    <n v="24"/>
    <n v="31.58"/>
    <n v="0"/>
  </r>
  <r>
    <s v="TCK-11275"/>
    <s v="2024-09-05 18:08:20"/>
    <m/>
    <s v="P4"/>
    <x v="2"/>
    <s v="Infrastructure"/>
    <s v="Priya Nair"/>
    <s v="Escalated"/>
    <m/>
    <n v="48"/>
    <m/>
    <m/>
  </r>
  <r>
    <s v="TCK-11276"/>
    <s v="2024-01-03 20:07:32"/>
    <s v="2024-01-05 12:49:31"/>
    <s v="P4"/>
    <x v="3"/>
    <s v="L2 Support"/>
    <s v="Sarah Connor"/>
    <s v="Resolved"/>
    <n v="5"/>
    <n v="48"/>
    <n v="40.700000000000003"/>
    <n v="1"/>
  </r>
  <r>
    <s v="TCK-11277"/>
    <s v="2024-04-06 08:07:39"/>
    <s v="2024-04-06 21:12:22"/>
    <s v="P2"/>
    <x v="2"/>
    <s v="Billing Operations"/>
    <s v="Dwight Schrute"/>
    <s v="Resolved"/>
    <n v="2"/>
    <n v="8"/>
    <n v="13.08"/>
    <n v="0"/>
  </r>
  <r>
    <s v="TCK-11278"/>
    <s v="2024-03-12 19:24:49"/>
    <s v="2024-03-14 11:16:25"/>
    <s v="P4"/>
    <x v="0"/>
    <s v="Billing Operations"/>
    <s v="Michael Scott"/>
    <s v="Closed"/>
    <n v="5"/>
    <n v="48"/>
    <n v="39.86"/>
    <n v="1"/>
  </r>
  <r>
    <s v="TCK-11279"/>
    <s v="2024-06-17 05:49:42"/>
    <s v="2024-06-17 11:40:17"/>
    <s v="P2"/>
    <x v="1"/>
    <s v="L2 Support"/>
    <s v="Priya Nair"/>
    <s v="Closed"/>
    <n v="5"/>
    <n v="8"/>
    <n v="5.84"/>
    <n v="1"/>
  </r>
  <r>
    <s v="TCK-11280"/>
    <s v="2024-07-04 06:07:04"/>
    <s v="2024-07-04 16:29:52"/>
    <s v="P3"/>
    <x v="2"/>
    <s v="L1 Support"/>
    <s v="Anita Sharma"/>
    <s v="Resolved"/>
    <n v="5"/>
    <n v="24"/>
    <n v="10.38"/>
    <n v="1"/>
  </r>
  <r>
    <s v="TCK-11281"/>
    <s v="2024-02-12 00:26:33"/>
    <s v="2024-02-12 10:47:12"/>
    <s v="P3"/>
    <x v="0"/>
    <s v="L2 Support"/>
    <s v="Alex Mercer"/>
    <s v="Resolved"/>
    <n v="5"/>
    <n v="24"/>
    <n v="10.34"/>
    <n v="1"/>
  </r>
  <r>
    <s v="TCK-11282"/>
    <s v="2024-01-14 13:40:53"/>
    <s v="2024-01-17 11:56:24"/>
    <s v="P3"/>
    <x v="0"/>
    <s v="Billing Operations"/>
    <s v="Dwight Schrute"/>
    <s v="Resolved"/>
    <n v="2"/>
    <n v="24"/>
    <n v="70.260000000000005"/>
    <n v="0"/>
  </r>
  <r>
    <s v="TCK-11283"/>
    <s v="2024-10-08 03:27:24"/>
    <s v="2024-10-09 14:31:16"/>
    <s v="P3"/>
    <x v="1"/>
    <s v="L2 Support"/>
    <s v="Pam Beesly"/>
    <s v="Resolved"/>
    <n v="4"/>
    <n v="24"/>
    <n v="35.06"/>
    <n v="0"/>
  </r>
  <r>
    <s v="TCK-11284"/>
    <s v="2024-07-23 05:52:24"/>
    <s v="2024-07-23 17:38:48"/>
    <s v="P3"/>
    <x v="1"/>
    <s v="L2 Support"/>
    <s v="Pam Beesly"/>
    <s v="Closed"/>
    <n v="5"/>
    <n v="24"/>
    <n v="11.77"/>
    <n v="1"/>
  </r>
  <r>
    <s v="TCK-11285"/>
    <s v="2024-02-24 17:15:39"/>
    <s v="2024-02-25 09:12:26"/>
    <s v="P2"/>
    <x v="0"/>
    <s v="Infrastructure"/>
    <s v="Jim Halpert"/>
    <s v="Resolved"/>
    <n v="4"/>
    <n v="8"/>
    <n v="15.95"/>
    <n v="0"/>
  </r>
  <r>
    <s v="TCK-11286"/>
    <s v="2024-08-23 14:51:17"/>
    <s v="2024-08-23 23:51:57"/>
    <s v="P3"/>
    <x v="3"/>
    <s v="Billing Operations"/>
    <s v="Carlos Mendez"/>
    <s v="Resolved"/>
    <n v="5"/>
    <n v="24"/>
    <n v="9.01"/>
    <n v="1"/>
  </r>
  <r>
    <s v="TCK-11287"/>
    <s v="2024-05-15 12:28:57"/>
    <s v="2024-05-15 19:36:33"/>
    <s v="P3"/>
    <x v="0"/>
    <s v="L1 Support"/>
    <s v="Alex Mercer"/>
    <s v="Resolved"/>
    <n v="5"/>
    <n v="24"/>
    <n v="7.13"/>
    <n v="1"/>
  </r>
  <r>
    <s v="TCK-11288"/>
    <s v="2024-07-13 07:03:40"/>
    <s v="2024-07-14 23:47:45"/>
    <s v="P4"/>
    <x v="2"/>
    <s v="L2 Support"/>
    <s v="Priya Nair"/>
    <s v="Closed"/>
    <n v="5"/>
    <n v="48"/>
    <n v="40.729999999999997"/>
    <n v="1"/>
  </r>
  <r>
    <s v="TCK-11289"/>
    <s v="2024-05-29 11:55:02"/>
    <s v="2024-05-30 07:35:31"/>
    <s v="P3"/>
    <x v="2"/>
    <s v="L1 Support"/>
    <s v="Alex Mercer"/>
    <s v="Closed"/>
    <n v="3"/>
    <n v="24"/>
    <n v="19.670000000000002"/>
    <n v="1"/>
  </r>
  <r>
    <s v="TCK-11290"/>
    <s v="2024-10-23 18:57:21"/>
    <s v="2024-10-24 05:03:34"/>
    <s v="P3"/>
    <x v="3"/>
    <s v="L1 Support"/>
    <s v="John Doe"/>
    <s v="Resolved"/>
    <n v="5"/>
    <n v="24"/>
    <n v="10.1"/>
    <n v="1"/>
  </r>
  <r>
    <s v="TCK-11291"/>
    <s v="2024-08-11 04:00:50"/>
    <s v="2024-08-11 21:33:13"/>
    <s v="P3"/>
    <x v="1"/>
    <s v="Application Support"/>
    <s v="Dwight Schrute"/>
    <s v="Closed"/>
    <n v="4"/>
    <n v="24"/>
    <n v="17.54"/>
    <n v="1"/>
  </r>
  <r>
    <s v="TCK-11292"/>
    <s v="2024-07-24 14:15:05"/>
    <s v="2024-07-25 03:21:20"/>
    <s v="P4"/>
    <x v="1"/>
    <s v="Billing Operations"/>
    <s v="Alex Mercer"/>
    <s v="Closed"/>
    <n v="5"/>
    <n v="48"/>
    <n v="13.1"/>
    <n v="1"/>
  </r>
  <r>
    <s v="TCK-11293"/>
    <s v="2024-12-13 06:04:32"/>
    <s v="2024-12-13 08:47:44"/>
    <s v="P1"/>
    <x v="0"/>
    <s v="Billing Operations"/>
    <s v="Ravi Patel"/>
    <s v="Closed"/>
    <n v="5"/>
    <n v="4"/>
    <n v="2.72"/>
    <n v="1"/>
  </r>
  <r>
    <s v="TCK-11294"/>
    <s v="2024-10-10 04:05:39"/>
    <s v="2024-10-10 13:45:59"/>
    <s v="P3"/>
    <x v="0"/>
    <s v="L2 Support"/>
    <s v="Anita Sharma"/>
    <s v="Closed"/>
    <n v="5"/>
    <n v="24"/>
    <n v="9.67"/>
    <n v="1"/>
  </r>
  <r>
    <s v="TCK-11295"/>
    <s v="2024-11-27 18:27:57"/>
    <s v="2024-11-27 19:47:49"/>
    <s v="P2"/>
    <x v="1"/>
    <s v="Application Support"/>
    <s v="Carlos Mendez"/>
    <s v="Resolved"/>
    <n v="5"/>
    <n v="8"/>
    <n v="1.33"/>
    <n v="1"/>
  </r>
  <r>
    <s v="TCK-11296"/>
    <s v="2024-04-26 03:40:37"/>
    <s v="2024-04-26 10:03:43"/>
    <s v="P2"/>
    <x v="0"/>
    <s v="L1 Support"/>
    <s v="Anita Sharma"/>
    <s v="Resolved"/>
    <n v="4"/>
    <n v="8"/>
    <n v="6.38"/>
    <n v="1"/>
  </r>
  <r>
    <s v="TCK-11297"/>
    <s v="2024-11-17 22:54:12"/>
    <m/>
    <s v="P2"/>
    <x v="0"/>
    <s v="L1 Support"/>
    <s v="John Doe"/>
    <s v="Escalated"/>
    <m/>
    <n v="8"/>
    <m/>
    <m/>
  </r>
  <r>
    <s v="TCK-11298"/>
    <s v="2024-01-30 08:58:23"/>
    <s v="2024-01-30 12:31:43"/>
    <s v="P3"/>
    <x v="2"/>
    <s v="Billing Operations"/>
    <s v="Anita Sharma"/>
    <s v="Resolved"/>
    <n v="5"/>
    <n v="24"/>
    <n v="3.56"/>
    <n v="1"/>
  </r>
  <r>
    <s v="TCK-11299"/>
    <s v="2024-02-13 09:25:29"/>
    <s v="2024-02-13 17:08:48"/>
    <s v="P3"/>
    <x v="4"/>
    <s v="Infrastructure"/>
    <s v="Carlos Mendez"/>
    <s v="Resolved"/>
    <n v="4"/>
    <n v="24"/>
    <n v="7.72"/>
    <n v="1"/>
  </r>
  <r>
    <s v="TCK-11300"/>
    <s v="2024-10-24 07:51:19"/>
    <m/>
    <s v="P1"/>
    <x v="2"/>
    <s v="Infrastructure"/>
    <s v="Carlos Mendez"/>
    <s v="Open"/>
    <m/>
    <n v="4"/>
    <m/>
    <m/>
  </r>
  <r>
    <s v="TCK-11301"/>
    <s v="2024-01-25 12:56:37"/>
    <s v="2024-01-25 13:59:02"/>
    <s v="P2"/>
    <x v="1"/>
    <s v="Billing Operations"/>
    <s v="Anita Sharma"/>
    <s v="Closed"/>
    <n v="5"/>
    <n v="8"/>
    <n v="1.04"/>
    <n v="1"/>
  </r>
  <r>
    <s v="TCK-11302"/>
    <s v="2024-06-10 23:38:22"/>
    <s v="2024-06-11 16:47:43"/>
    <s v="P3"/>
    <x v="3"/>
    <s v="L1 Support"/>
    <s v="Ravi Patel"/>
    <s v="Resolved"/>
    <n v="4"/>
    <n v="24"/>
    <n v="17.16"/>
    <n v="1"/>
  </r>
  <r>
    <s v="TCK-11303"/>
    <s v="2024-07-12 04:37:00"/>
    <s v="2024-07-15 03:16:52"/>
    <s v="P3"/>
    <x v="3"/>
    <s v="Application Support"/>
    <s v="Dwight Schrute"/>
    <s v="Resolved"/>
    <n v="1"/>
    <n v="24"/>
    <n v="70.66"/>
    <n v="0"/>
  </r>
  <r>
    <s v="TCK-11304"/>
    <s v="2024-01-22 19:57:37"/>
    <s v="2024-01-22 22:41:04"/>
    <s v="P1"/>
    <x v="0"/>
    <s v="L2 Support"/>
    <s v="Ravi Patel"/>
    <s v="Closed"/>
    <n v="3"/>
    <n v="4"/>
    <n v="2.72"/>
    <n v="1"/>
  </r>
  <r>
    <s v="TCK-11305"/>
    <s v="2024-07-06 14:10:52"/>
    <s v="2024-07-06 14:58:26"/>
    <s v="P1"/>
    <x v="0"/>
    <s v="L2 Support"/>
    <s v="Jim Halpert"/>
    <s v="Closed"/>
    <n v="4"/>
    <n v="4"/>
    <n v="0.79"/>
    <n v="1"/>
  </r>
  <r>
    <s v="TCK-11306"/>
    <s v="2024-08-27 10:18:13"/>
    <s v="2024-08-28 00:34:14"/>
    <s v="P4"/>
    <x v="2"/>
    <s v="L2 Support"/>
    <s v="Pam Beesly"/>
    <s v="Resolved"/>
    <n v="5"/>
    <n v="48"/>
    <n v="14.27"/>
    <n v="1"/>
  </r>
  <r>
    <s v="TCK-11307"/>
    <s v="2024-03-29 12:58:00"/>
    <s v="2024-03-30 09:10:51"/>
    <s v="P3"/>
    <x v="0"/>
    <s v="Billing Operations"/>
    <s v="Anita Sharma"/>
    <s v="Resolved"/>
    <n v="4"/>
    <n v="24"/>
    <n v="20.21"/>
    <n v="1"/>
  </r>
  <r>
    <s v="TCK-11308"/>
    <s v="2024-01-23 10:11:38"/>
    <s v="2024-01-23 12:49:17"/>
    <s v="P1"/>
    <x v="1"/>
    <s v="L2 Support"/>
    <s v="Michael Scott"/>
    <s v="Resolved"/>
    <n v="4"/>
    <n v="4"/>
    <n v="2.63"/>
    <n v="1"/>
  </r>
  <r>
    <s v="TCK-11309"/>
    <s v="2024-04-23 21:29:02"/>
    <s v="2024-04-24 01:58:50"/>
    <s v="P2"/>
    <x v="2"/>
    <s v="L1 Support"/>
    <s v="Carlos Mendez"/>
    <s v="Resolved"/>
    <n v="4"/>
    <n v="8"/>
    <n v="4.5"/>
    <n v="1"/>
  </r>
  <r>
    <s v="TCK-11310"/>
    <s v="2024-10-12 20:44:03"/>
    <s v="2024-10-18 00:09:42"/>
    <s v="P4"/>
    <x v="0"/>
    <s v="L2 Support"/>
    <s v="Dwight Schrute"/>
    <s v="Closed"/>
    <n v="1"/>
    <n v="48"/>
    <n v="123.43"/>
    <n v="0"/>
  </r>
  <r>
    <s v="TCK-11311"/>
    <s v="2024-09-11 04:24:08"/>
    <s v="2024-09-11 07:33:33"/>
    <s v="P2"/>
    <x v="0"/>
    <s v="Infrastructure"/>
    <s v="Priya Nair"/>
    <s v="Resolved"/>
    <n v="4"/>
    <n v="8"/>
    <n v="3.16"/>
    <n v="1"/>
  </r>
  <r>
    <s v="TCK-11312"/>
    <s v="2024-08-29 20:15:54"/>
    <s v="2024-08-30 02:57:52"/>
    <s v="P3"/>
    <x v="1"/>
    <s v="L2 Support"/>
    <s v="Ravi Patel"/>
    <s v="Resolved"/>
    <n v="4"/>
    <n v="24"/>
    <n v="6.7"/>
    <n v="1"/>
  </r>
  <r>
    <s v="TCK-11313"/>
    <s v="2024-11-13 09:12:37"/>
    <s v="2024-11-14 07:03:08"/>
    <s v="P3"/>
    <x v="1"/>
    <s v="L2 Support"/>
    <s v="Priya Nair"/>
    <s v="Resolved"/>
    <n v="3"/>
    <n v="24"/>
    <n v="21.84"/>
    <n v="1"/>
  </r>
  <r>
    <s v="TCK-11314"/>
    <s v="2024-11-21 03:06:57"/>
    <s v="2024-11-21 04:27:53"/>
    <s v="P1"/>
    <x v="2"/>
    <s v="Application Support"/>
    <s v="Michael Scott"/>
    <s v="Closed"/>
    <n v="5"/>
    <n v="4"/>
    <n v="1.35"/>
    <n v="1"/>
  </r>
  <r>
    <s v="TCK-11315"/>
    <s v="2024-07-11 17:03:59"/>
    <s v="2024-07-11 19:42:36"/>
    <s v="P1"/>
    <x v="2"/>
    <s v="Application Support"/>
    <s v="Alex Mercer"/>
    <s v="Resolved"/>
    <n v="5"/>
    <n v="4"/>
    <n v="2.64"/>
    <n v="1"/>
  </r>
  <r>
    <s v="TCK-11316"/>
    <s v="2024-09-13 19:23:49"/>
    <m/>
    <s v="P2"/>
    <x v="2"/>
    <s v="Infrastructure"/>
    <s v="Alex Mercer"/>
    <s v="Open"/>
    <m/>
    <n v="8"/>
    <m/>
    <m/>
  </r>
  <r>
    <s v="TCK-11317"/>
    <s v="2024-10-20 08:14:43"/>
    <s v="2024-10-21 18:39:26"/>
    <s v="P4"/>
    <x v="4"/>
    <s v="Infrastructure"/>
    <s v="Anita Sharma"/>
    <s v="Resolved"/>
    <n v="5"/>
    <n v="48"/>
    <n v="34.409999999999997"/>
    <n v="1"/>
  </r>
  <r>
    <s v="TCK-11318"/>
    <s v="2024-12-02 13:18:10"/>
    <s v="2024-12-05 10:08:32"/>
    <s v="P3"/>
    <x v="0"/>
    <s v="L1 Support"/>
    <s v="Sarah Connor"/>
    <s v="Closed"/>
    <n v="1"/>
    <n v="24"/>
    <n v="68.84"/>
    <n v="0"/>
  </r>
  <r>
    <s v="TCK-11319"/>
    <s v="2024-12-30 14:34:14"/>
    <s v="2025-01-01 13:38:30"/>
    <s v="P3"/>
    <x v="2"/>
    <s v="Billing Operations"/>
    <s v="Ravi Patel"/>
    <s v="Resolved"/>
    <n v="4"/>
    <n v="24"/>
    <n v="47.07"/>
    <n v="0"/>
  </r>
  <r>
    <s v="TCK-11320"/>
    <s v="2024-04-02 20:26:08"/>
    <m/>
    <s v="P2"/>
    <x v="1"/>
    <s v="Infrastructure"/>
    <s v="Sarah Connor"/>
    <s v="Escalated"/>
    <m/>
    <n v="8"/>
    <m/>
    <m/>
  </r>
  <r>
    <s v="TCK-11321"/>
    <s v="2024-10-26 21:24:08"/>
    <s v="2024-10-27 13:15:01"/>
    <s v="P3"/>
    <x v="2"/>
    <s v="Application Support"/>
    <s v="Alex Mercer"/>
    <s v="Closed"/>
    <n v="5"/>
    <n v="24"/>
    <n v="15.85"/>
    <n v="1"/>
  </r>
  <r>
    <s v="TCK-11322"/>
    <s v="2024-11-11 00:09:57"/>
    <s v="2024-11-13 17:01:59"/>
    <s v="P3"/>
    <x v="0"/>
    <s v="Infrastructure"/>
    <s v="Anita Sharma"/>
    <s v="Closed"/>
    <n v="2"/>
    <n v="24"/>
    <n v="64.87"/>
    <n v="0"/>
  </r>
  <r>
    <s v="TCK-11323"/>
    <s v="2024-01-08 00:56:13"/>
    <s v="2024-01-08 11:40:21"/>
    <s v="P3"/>
    <x v="2"/>
    <s v="Infrastructure"/>
    <s v="Dwight Schrute"/>
    <s v="Closed"/>
    <n v="5"/>
    <n v="24"/>
    <n v="10.74"/>
    <n v="1"/>
  </r>
  <r>
    <s v="TCK-11324"/>
    <s v="2024-02-01 05:25:50"/>
    <s v="2024-02-01 11:34:49"/>
    <s v="P2"/>
    <x v="0"/>
    <s v="Infrastructure"/>
    <s v="Sarah Connor"/>
    <s v="Resolved"/>
    <n v="4"/>
    <n v="8"/>
    <n v="6.15"/>
    <n v="1"/>
  </r>
  <r>
    <s v="TCK-11325"/>
    <s v="2024-07-11 13:04:19"/>
    <s v="2024-07-11 18:19:23"/>
    <s v="P2"/>
    <x v="3"/>
    <s v="L2 Support"/>
    <s v="Anita Sharma"/>
    <s v="Closed"/>
    <n v="4"/>
    <n v="8"/>
    <n v="5.25"/>
    <n v="1"/>
  </r>
  <r>
    <s v="TCK-11326"/>
    <s v="2024-07-16 02:57:54"/>
    <s v="2024-07-17 12:55:07"/>
    <s v="P4"/>
    <x v="3"/>
    <s v="L1 Support"/>
    <s v="Ravi Patel"/>
    <s v="Closed"/>
    <n v="4"/>
    <n v="48"/>
    <n v="33.950000000000003"/>
    <n v="1"/>
  </r>
  <r>
    <s v="TCK-11327"/>
    <s v="2024-04-10 07:33:43"/>
    <s v="2024-04-10 09:09:03"/>
    <s v="P1"/>
    <x v="0"/>
    <s v="Infrastructure"/>
    <s v="Ravi Patel"/>
    <s v="Closed"/>
    <n v="3"/>
    <n v="4"/>
    <n v="1.59"/>
    <n v="1"/>
  </r>
  <r>
    <s v="TCK-11328"/>
    <s v="2024-06-21 16:38:02"/>
    <s v="2024-06-22 11:39:27"/>
    <s v="P2"/>
    <x v="1"/>
    <s v="L2 Support"/>
    <s v="Pam Beesly"/>
    <s v="Closed"/>
    <n v="1"/>
    <n v="8"/>
    <n v="19.02"/>
    <n v="0"/>
  </r>
  <r>
    <s v="TCK-11329"/>
    <s v="2024-06-14 23:02:17"/>
    <s v="2024-06-15 20:29:24"/>
    <s v="P4"/>
    <x v="1"/>
    <s v="Infrastructure"/>
    <s v="Anita Sharma"/>
    <s v="Closed"/>
    <n v="5"/>
    <n v="48"/>
    <n v="21.45"/>
    <n v="1"/>
  </r>
  <r>
    <s v="TCK-11330"/>
    <s v="2024-07-02 03:06:08"/>
    <s v="2024-07-02 14:01:29"/>
    <s v="P4"/>
    <x v="2"/>
    <s v="L1 Support"/>
    <s v="John Doe"/>
    <s v="Resolved"/>
    <n v="5"/>
    <n v="48"/>
    <n v="10.92"/>
    <n v="1"/>
  </r>
  <r>
    <s v="TCK-11331"/>
    <s v="2024-02-11 14:09:17"/>
    <s v="2024-02-12 04:25:01"/>
    <s v="P3"/>
    <x v="0"/>
    <s v="Billing Operations"/>
    <s v="Priya Nair"/>
    <s v="Closed"/>
    <n v="4"/>
    <n v="24"/>
    <n v="14.26"/>
    <n v="1"/>
  </r>
  <r>
    <s v="TCK-11332"/>
    <s v="2024-03-24 18:43:17"/>
    <s v="2024-03-25 16:36:25"/>
    <s v="P3"/>
    <x v="3"/>
    <s v="L2 Support"/>
    <s v="Jim Halpert"/>
    <s v="Closed"/>
    <n v="5"/>
    <n v="24"/>
    <n v="21.89"/>
    <n v="1"/>
  </r>
  <r>
    <s v="TCK-11333"/>
    <s v="2024-03-28 13:14:48"/>
    <s v="2024-03-29 08:56:15"/>
    <s v="P3"/>
    <x v="4"/>
    <s v="Billing Operations"/>
    <s v="Priya Nair"/>
    <s v="Resolved"/>
    <n v="5"/>
    <n v="24"/>
    <n v="19.690000000000001"/>
    <n v="1"/>
  </r>
  <r>
    <s v="TCK-11334"/>
    <s v="2024-01-21 07:22:34"/>
    <s v="2024-01-21 21:30:39"/>
    <s v="P3"/>
    <x v="3"/>
    <s v="Billing Operations"/>
    <s v="Dwight Schrute"/>
    <s v="Resolved"/>
    <n v="5"/>
    <n v="24"/>
    <n v="14.13"/>
    <n v="1"/>
  </r>
  <r>
    <s v="TCK-11335"/>
    <s v="2024-05-07 23:33:41"/>
    <s v="2024-05-08 01:08:46"/>
    <s v="P2"/>
    <x v="0"/>
    <s v="Infrastructure"/>
    <s v="Emily Watson"/>
    <s v="Resolved"/>
    <n v="4"/>
    <n v="8"/>
    <n v="1.58"/>
    <n v="1"/>
  </r>
  <r>
    <s v="TCK-11336"/>
    <s v="2024-10-11 22:10:31"/>
    <s v="2024-10-12 17:45:25"/>
    <s v="P4"/>
    <x v="1"/>
    <s v="L1 Support"/>
    <s v="Pam Beesly"/>
    <s v="Closed"/>
    <n v="4"/>
    <n v="48"/>
    <n v="19.579999999999998"/>
    <n v="1"/>
  </r>
  <r>
    <s v="TCK-11337"/>
    <s v="2024-03-30 19:00:57"/>
    <m/>
    <s v="P3"/>
    <x v="2"/>
    <s v="Billing Operations"/>
    <s v="John Doe"/>
    <s v="Open"/>
    <m/>
    <n v="24"/>
    <m/>
    <m/>
  </r>
  <r>
    <s v="TCK-11338"/>
    <s v="2024-04-05 11:02:34"/>
    <s v="2024-04-05 19:17:42"/>
    <s v="P3"/>
    <x v="2"/>
    <s v="Billing Operations"/>
    <s v="Carlos Mendez"/>
    <s v="Resolved"/>
    <n v="4"/>
    <n v="24"/>
    <n v="8.25"/>
    <n v="1"/>
  </r>
  <r>
    <s v="TCK-11339"/>
    <s v="2024-02-01 23:41:26"/>
    <s v="2024-02-03 10:09:42"/>
    <s v="P3"/>
    <x v="3"/>
    <s v="L2 Support"/>
    <s v="Anita Sharma"/>
    <s v="Resolved"/>
    <n v="1"/>
    <n v="24"/>
    <n v="34.47"/>
    <n v="0"/>
  </r>
  <r>
    <s v="TCK-11340"/>
    <s v="2024-06-25 16:13:52"/>
    <s v="2024-06-25 16:58:28"/>
    <s v="P1"/>
    <x v="1"/>
    <s v="Infrastructure"/>
    <s v="Ravi Patel"/>
    <s v="Closed"/>
    <n v="5"/>
    <n v="4"/>
    <n v="0.74"/>
    <n v="1"/>
  </r>
  <r>
    <s v="TCK-11341"/>
    <s v="2024-11-20 04:07:30"/>
    <s v="2024-11-20 14:26:33"/>
    <s v="P3"/>
    <x v="3"/>
    <s v="L1 Support"/>
    <s v="John Doe"/>
    <s v="Resolved"/>
    <n v="4"/>
    <n v="24"/>
    <n v="10.32"/>
    <n v="1"/>
  </r>
  <r>
    <s v="TCK-11342"/>
    <s v="2024-02-19 19:56:52"/>
    <s v="2024-02-21 12:54:09"/>
    <s v="P3"/>
    <x v="3"/>
    <s v="Infrastructure"/>
    <s v="Sarah Connor"/>
    <s v="Resolved"/>
    <n v="2"/>
    <n v="24"/>
    <n v="40.950000000000003"/>
    <n v="0"/>
  </r>
  <r>
    <s v="TCK-11343"/>
    <s v="2024-02-12 04:30:21"/>
    <m/>
    <s v="P4"/>
    <x v="1"/>
    <s v="Infrastructure"/>
    <s v="Dwight Schrute"/>
    <s v="Open"/>
    <m/>
    <n v="48"/>
    <m/>
    <m/>
  </r>
  <r>
    <s v="TCK-11344"/>
    <s v="2024-09-02 07:46:49"/>
    <s v="2024-09-03 00:56:38"/>
    <s v="P3"/>
    <x v="0"/>
    <s v="Infrastructure"/>
    <s v="Dwight Schrute"/>
    <s v="Closed"/>
    <n v="5"/>
    <n v="24"/>
    <n v="17.16"/>
    <n v="1"/>
  </r>
  <r>
    <s v="TCK-11345"/>
    <s v="2024-11-14 19:56:33"/>
    <s v="2024-11-15 19:14:47"/>
    <s v="P4"/>
    <x v="1"/>
    <s v="L1 Support"/>
    <s v="Anita Sharma"/>
    <s v="Closed"/>
    <n v="4"/>
    <n v="48"/>
    <n v="23.3"/>
    <n v="1"/>
  </r>
  <r>
    <s v="TCK-11346"/>
    <s v="2024-03-09 23:10:15"/>
    <s v="2024-03-10 13:04:44"/>
    <s v="P3"/>
    <x v="3"/>
    <s v="L1 Support"/>
    <s v="Emily Watson"/>
    <s v="Resolved"/>
    <n v="5"/>
    <n v="24"/>
    <n v="13.91"/>
    <n v="1"/>
  </r>
  <r>
    <s v="TCK-11347"/>
    <s v="2024-08-13 12:23:26"/>
    <s v="2024-08-14 10:14:32"/>
    <s v="P3"/>
    <x v="4"/>
    <s v="Infrastructure"/>
    <s v="Pam Beesly"/>
    <s v="Resolved"/>
    <n v="3"/>
    <n v="24"/>
    <n v="21.85"/>
    <n v="1"/>
  </r>
  <r>
    <s v="TCK-11348"/>
    <s v="2024-10-12 15:12:29"/>
    <s v="2024-10-15 23:01:58"/>
    <s v="P4"/>
    <x v="0"/>
    <s v="Application Support"/>
    <s v="Ravi Patel"/>
    <s v="Resolved"/>
    <n v="2"/>
    <n v="48"/>
    <n v="79.819999999999993"/>
    <n v="0"/>
  </r>
  <r>
    <s v="TCK-11349"/>
    <s v="2024-03-05 15:26:03"/>
    <s v="2024-03-05 22:28:28"/>
    <s v="P2"/>
    <x v="2"/>
    <s v="Application Support"/>
    <s v="Emily Watson"/>
    <s v="Closed"/>
    <n v="5"/>
    <n v="8"/>
    <n v="7.04"/>
    <n v="1"/>
  </r>
  <r>
    <s v="TCK-11350"/>
    <s v="2024-10-19 22:50:17"/>
    <s v="2024-10-20 03:05:49"/>
    <s v="P2"/>
    <x v="2"/>
    <s v="Infrastructure"/>
    <s v="John Doe"/>
    <s v="Resolved"/>
    <n v="4"/>
    <n v="8"/>
    <n v="4.26"/>
    <n v="1"/>
  </r>
  <r>
    <s v="TCK-11351"/>
    <s v="2024-08-20 17:24:48"/>
    <s v="2024-08-22 08:10:46"/>
    <s v="P4"/>
    <x v="4"/>
    <s v="Billing Operations"/>
    <s v="Ravi Patel"/>
    <s v="Closed"/>
    <n v="3"/>
    <n v="48"/>
    <n v="38.770000000000003"/>
    <n v="1"/>
  </r>
  <r>
    <s v="TCK-11352"/>
    <s v="2024-03-20 05:24:38"/>
    <s v="2024-03-20 09:17:48"/>
    <s v="P2"/>
    <x v="4"/>
    <s v="Application Support"/>
    <s v="Priya Nair"/>
    <s v="Resolved"/>
    <n v="5"/>
    <n v="8"/>
    <n v="3.89"/>
    <n v="1"/>
  </r>
  <r>
    <s v="TCK-11353"/>
    <s v="2024-10-05 11:56:32"/>
    <s v="2024-10-05 17:07:59"/>
    <s v="P3"/>
    <x v="0"/>
    <s v="Application Support"/>
    <s v="Jim Halpert"/>
    <s v="Resolved"/>
    <n v="4"/>
    <n v="24"/>
    <n v="5.19"/>
    <n v="1"/>
  </r>
  <r>
    <s v="TCK-11354"/>
    <s v="2024-09-17 00:52:51"/>
    <s v="2024-09-17 03:54:18"/>
    <s v="P2"/>
    <x v="2"/>
    <s v="L1 Support"/>
    <s v="Priya Nair"/>
    <s v="Closed"/>
    <n v="5"/>
    <n v="8"/>
    <n v="3.02"/>
    <n v="1"/>
  </r>
  <r>
    <s v="TCK-11355"/>
    <s v="2024-04-17 13:30:48"/>
    <s v="2024-04-18 16:30:30"/>
    <s v="P3"/>
    <x v="0"/>
    <s v="L1 Support"/>
    <s v="Priya Nair"/>
    <s v="Closed"/>
    <n v="1"/>
    <n v="24"/>
    <n v="27"/>
    <n v="0"/>
  </r>
  <r>
    <s v="TCK-11356"/>
    <s v="2024-10-01 04:02:33"/>
    <s v="2024-10-02 01:48:20"/>
    <s v="P3"/>
    <x v="2"/>
    <s v="Billing Operations"/>
    <s v="Carlos Mendez"/>
    <s v="Closed"/>
    <n v="5"/>
    <n v="24"/>
    <n v="21.76"/>
    <n v="1"/>
  </r>
  <r>
    <s v="TCK-11357"/>
    <s v="2024-04-05 20:04:55"/>
    <s v="2024-04-06 00:10:35"/>
    <s v="P2"/>
    <x v="2"/>
    <s v="L2 Support"/>
    <s v="Carlos Mendez"/>
    <s v="Resolved"/>
    <n v="4"/>
    <n v="8"/>
    <n v="4.09"/>
    <n v="1"/>
  </r>
  <r>
    <s v="TCK-11358"/>
    <s v="2024-07-12 05:49:32"/>
    <s v="2024-07-12 06:38:50"/>
    <s v="P2"/>
    <x v="1"/>
    <s v="L1 Support"/>
    <s v="Ravi Patel"/>
    <s v="Closed"/>
    <n v="3"/>
    <n v="8"/>
    <n v="0.82"/>
    <n v="1"/>
  </r>
  <r>
    <s v="TCK-11359"/>
    <s v="2024-08-04 22:29:13"/>
    <s v="2024-08-05 13:45:35"/>
    <s v="P3"/>
    <x v="0"/>
    <s v="L1 Support"/>
    <s v="Jim Halpert"/>
    <s v="Closed"/>
    <n v="4"/>
    <n v="24"/>
    <n v="15.27"/>
    <n v="1"/>
  </r>
  <r>
    <s v="TCK-11360"/>
    <s v="2024-05-15 18:09:17"/>
    <s v="2024-05-18 02:36:57"/>
    <s v="P3"/>
    <x v="3"/>
    <s v="L2 Support"/>
    <s v="Michael Scott"/>
    <s v="Closed"/>
    <n v="2"/>
    <n v="24"/>
    <n v="56.46"/>
    <n v="0"/>
  </r>
  <r>
    <s v="TCK-11361"/>
    <s v="2024-09-02 00:16:54"/>
    <s v="2024-09-02 20:39:06"/>
    <s v="P3"/>
    <x v="2"/>
    <s v="Application Support"/>
    <s v="Michael Scott"/>
    <s v="Resolved"/>
    <n v="5"/>
    <n v="24"/>
    <n v="20.37"/>
    <n v="1"/>
  </r>
  <r>
    <s v="TCK-11362"/>
    <s v="2024-04-21 21:33:47"/>
    <s v="2024-04-22 19:28:18"/>
    <s v="P3"/>
    <x v="2"/>
    <s v="L2 Support"/>
    <s v="Carlos Mendez"/>
    <s v="Resolved"/>
    <n v="5"/>
    <n v="24"/>
    <n v="21.91"/>
    <n v="1"/>
  </r>
  <r>
    <s v="TCK-11363"/>
    <s v="2024-05-15 07:40:01"/>
    <s v="2024-05-15 10:39:28"/>
    <s v="P3"/>
    <x v="0"/>
    <s v="Application Support"/>
    <s v="Dwight Schrute"/>
    <s v="Closed"/>
    <n v="4"/>
    <n v="24"/>
    <n v="2.99"/>
    <n v="1"/>
  </r>
  <r>
    <s v="TCK-11364"/>
    <s v="2024-03-24 20:56:05"/>
    <s v="2024-03-25 14:41:36"/>
    <s v="P4"/>
    <x v="0"/>
    <s v="L1 Support"/>
    <s v="Ravi Patel"/>
    <s v="Closed"/>
    <n v="4"/>
    <n v="48"/>
    <n v="17.760000000000002"/>
    <n v="1"/>
  </r>
  <r>
    <s v="TCK-11365"/>
    <s v="2024-06-20 23:17:13"/>
    <s v="2024-06-21 14:40:00"/>
    <s v="P3"/>
    <x v="2"/>
    <s v="L1 Support"/>
    <s v="Michael Scott"/>
    <s v="Resolved"/>
    <n v="3"/>
    <n v="24"/>
    <n v="15.38"/>
    <n v="1"/>
  </r>
  <r>
    <s v="TCK-11366"/>
    <s v="2024-06-23 04:16:23"/>
    <s v="2024-06-24 02:00:35"/>
    <s v="P3"/>
    <x v="3"/>
    <s v="L2 Support"/>
    <s v="Ravi Patel"/>
    <s v="Resolved"/>
    <n v="5"/>
    <n v="24"/>
    <n v="21.74"/>
    <n v="1"/>
  </r>
  <r>
    <s v="TCK-11367"/>
    <s v="2024-05-08 08:52:45"/>
    <s v="2024-05-08 15:52:56"/>
    <s v="P2"/>
    <x v="2"/>
    <s v="L1 Support"/>
    <s v="Jim Halpert"/>
    <s v="Resolved"/>
    <n v="5"/>
    <n v="8"/>
    <n v="7"/>
    <n v="1"/>
  </r>
  <r>
    <s v="TCK-11368"/>
    <s v="2024-08-03 01:20:50"/>
    <s v="2024-08-03 12:05:05"/>
    <s v="P1"/>
    <x v="1"/>
    <s v="L2 Support"/>
    <s v="Pam Beesly"/>
    <s v="Resolved"/>
    <n v="2"/>
    <n v="4"/>
    <n v="10.74"/>
    <n v="0"/>
  </r>
  <r>
    <s v="TCK-11369"/>
    <s v="2024-10-06 02:34:19"/>
    <s v="2024-10-06 05:03:47"/>
    <s v="P2"/>
    <x v="0"/>
    <s v="Infrastructure"/>
    <s v="Pam Beesly"/>
    <s v="Resolved"/>
    <n v="3"/>
    <n v="8"/>
    <n v="2.4900000000000002"/>
    <n v="1"/>
  </r>
  <r>
    <s v="TCK-11370"/>
    <s v="2024-11-24 16:27:47"/>
    <s v="2024-11-24 17:23:48"/>
    <s v="P1"/>
    <x v="4"/>
    <s v="L1 Support"/>
    <s v="Ravi Patel"/>
    <s v="Resolved"/>
    <n v="4"/>
    <n v="4"/>
    <n v="0.93"/>
    <n v="1"/>
  </r>
  <r>
    <s v="TCK-11371"/>
    <s v="2024-03-30 15:48:15"/>
    <s v="2024-03-31 01:54:44"/>
    <s v="P3"/>
    <x v="3"/>
    <s v="L1 Support"/>
    <s v="Michael Scott"/>
    <s v="Closed"/>
    <n v="4"/>
    <n v="24"/>
    <n v="10.11"/>
    <n v="1"/>
  </r>
  <r>
    <s v="TCK-11372"/>
    <s v="2024-11-14 03:04:13"/>
    <s v="2024-11-14 21:01:22"/>
    <s v="P3"/>
    <x v="2"/>
    <s v="L1 Support"/>
    <s v="Sarah Connor"/>
    <s v="Resolved"/>
    <n v="4"/>
    <n v="24"/>
    <n v="17.95"/>
    <n v="1"/>
  </r>
  <r>
    <s v="TCK-11373"/>
    <s v="2024-01-07 01:24:12"/>
    <m/>
    <s v="P3"/>
    <x v="2"/>
    <s v="L2 Support"/>
    <s v="Sarah Connor"/>
    <s v="Open"/>
    <m/>
    <n v="24"/>
    <m/>
    <m/>
  </r>
  <r>
    <s v="TCK-11374"/>
    <s v="2024-05-01 13:49:08"/>
    <s v="2024-05-01 21:36:35"/>
    <s v="P3"/>
    <x v="2"/>
    <s v="L1 Support"/>
    <s v="Michael Scott"/>
    <s v="Resolved"/>
    <n v="5"/>
    <n v="24"/>
    <n v="7.79"/>
    <n v="1"/>
  </r>
  <r>
    <s v="TCK-11375"/>
    <s v="2024-07-02 09:46:11"/>
    <s v="2024-07-03 06:41:09"/>
    <s v="P3"/>
    <x v="2"/>
    <s v="L2 Support"/>
    <s v="Jim Halpert"/>
    <s v="Closed"/>
    <n v="5"/>
    <n v="24"/>
    <n v="20.92"/>
    <n v="1"/>
  </r>
  <r>
    <s v="TCK-11376"/>
    <s v="2024-04-05 07:58:05"/>
    <s v="2024-04-05 19:35:39"/>
    <s v="P3"/>
    <x v="3"/>
    <s v="Application Support"/>
    <s v="Pam Beesly"/>
    <s v="Closed"/>
    <n v="5"/>
    <n v="24"/>
    <n v="11.63"/>
    <n v="1"/>
  </r>
  <r>
    <s v="TCK-11377"/>
    <s v="2024-01-11 00:00:32"/>
    <s v="2024-01-11 09:11:26"/>
    <s v="P3"/>
    <x v="2"/>
    <s v="Infrastructure"/>
    <s v="Dwight Schrute"/>
    <s v="Closed"/>
    <n v="5"/>
    <n v="24"/>
    <n v="9.18"/>
    <n v="1"/>
  </r>
  <r>
    <s v="TCK-11378"/>
    <s v="2024-02-02 19:31:49"/>
    <s v="2024-02-02 22:01:34"/>
    <s v="P1"/>
    <x v="1"/>
    <s v="Application Support"/>
    <s v="Anita Sharma"/>
    <s v="Resolved"/>
    <n v="4"/>
    <n v="4"/>
    <n v="2.5"/>
    <n v="1"/>
  </r>
  <r>
    <s v="TCK-11379"/>
    <s v="2024-10-08 03:09:01"/>
    <s v="2024-11-03 21:09:01"/>
    <s v="P4"/>
    <x v="0"/>
    <s v="L1 Support"/>
    <s v="Dwight Schrute"/>
    <s v="Resolved"/>
    <n v="4"/>
    <n v="48"/>
    <n v="642"/>
    <n v="0"/>
  </r>
  <r>
    <s v="TCK-11380"/>
    <s v="2024-05-05 04:03:56"/>
    <s v="2024-05-05 22:40:38"/>
    <s v="P3"/>
    <x v="3"/>
    <s v="L1 Support"/>
    <s v="Michael Scott"/>
    <s v="Closed"/>
    <n v="5"/>
    <n v="24"/>
    <n v="18.61"/>
    <n v="1"/>
  </r>
  <r>
    <s v="TCK-11381"/>
    <s v="2024-05-01 21:31:19"/>
    <s v="2024-05-03 08:30:03"/>
    <s v="P4"/>
    <x v="2"/>
    <s v="Application Support"/>
    <s v="Priya Nair"/>
    <s v="Resolved"/>
    <n v="5"/>
    <n v="48"/>
    <n v="34.979999999999997"/>
    <n v="1"/>
  </r>
  <r>
    <s v="TCK-11382"/>
    <s v="2024-12-24 02:29:22"/>
    <s v="2024-12-24 08:22:36"/>
    <s v="P2"/>
    <x v="3"/>
    <s v="Application Support"/>
    <s v="John Doe"/>
    <s v="Closed"/>
    <n v="4"/>
    <n v="8"/>
    <n v="5.89"/>
    <n v="1"/>
  </r>
  <r>
    <s v="TCK-11383"/>
    <s v="2024-06-19 06:44:21"/>
    <s v="2024-06-20 07:24:59"/>
    <s v="P4"/>
    <x v="1"/>
    <s v="Application Support"/>
    <s v="Dwight Schrute"/>
    <s v="Resolved"/>
    <n v="5"/>
    <n v="48"/>
    <n v="24.68"/>
    <n v="1"/>
  </r>
  <r>
    <s v="TCK-11384"/>
    <s v="2024-07-31 19:12:08"/>
    <m/>
    <s v="P3"/>
    <x v="1"/>
    <s v="L1 Support"/>
    <s v="Jim Halpert"/>
    <s v="Escalated"/>
    <m/>
    <n v="24"/>
    <m/>
    <m/>
  </r>
  <r>
    <s v="TCK-11385"/>
    <s v="2024-10-06 22:21:18"/>
    <m/>
    <s v="P4"/>
    <x v="3"/>
    <s v="Billing Operations"/>
    <s v="Pam Beesly"/>
    <s v="Open"/>
    <m/>
    <n v="48"/>
    <m/>
    <m/>
  </r>
  <r>
    <s v="TCK-11386"/>
    <s v="2024-07-22 13:03:18"/>
    <s v="2024-07-22 19:45:05"/>
    <s v="P3"/>
    <x v="0"/>
    <s v="Infrastructure"/>
    <s v="Ravi Patel"/>
    <s v="Closed"/>
    <n v="4"/>
    <n v="24"/>
    <n v="6.7"/>
    <n v="1"/>
  </r>
  <r>
    <s v="TCK-11387"/>
    <s v="2024-10-17 08:20:49"/>
    <s v="2024-10-18 10:00:23"/>
    <s v="P3"/>
    <x v="0"/>
    <s v="L2 Support"/>
    <s v="John Doe"/>
    <s v="Resolved"/>
    <n v="2"/>
    <n v="24"/>
    <n v="25.66"/>
    <n v="0"/>
  </r>
  <r>
    <s v="TCK-11388"/>
    <s v="2024-02-28 17:21:17"/>
    <s v="2024-02-28 21:40:09"/>
    <s v="P3"/>
    <x v="4"/>
    <s v="L1 Support"/>
    <s v="Michael Scott"/>
    <s v="Closed"/>
    <n v="4"/>
    <n v="24"/>
    <n v="4.3099999999999996"/>
    <n v="1"/>
  </r>
  <r>
    <s v="TCK-11389"/>
    <s v="2024-02-07 02:48:13"/>
    <s v="2024-02-07 03:58:19"/>
    <s v="P1"/>
    <x v="2"/>
    <s v="L2 Support"/>
    <s v="Sarah Connor"/>
    <s v="Resolved"/>
    <n v="5"/>
    <n v="4"/>
    <n v="1.17"/>
    <n v="1"/>
  </r>
  <r>
    <s v="TCK-11390"/>
    <s v="2024-12-26 16:27:49"/>
    <s v="2024-12-26 22:28:44"/>
    <s v="P2"/>
    <x v="2"/>
    <s v="Application Support"/>
    <s v="Anita Sharma"/>
    <s v="Closed"/>
    <n v="5"/>
    <n v="8"/>
    <n v="6.02"/>
    <n v="1"/>
  </r>
  <r>
    <s v="TCK-11391"/>
    <s v="2024-08-06 05:56:44"/>
    <s v="2024-08-06 14:03:26"/>
    <s v="P3"/>
    <x v="3"/>
    <s v="L1 Support"/>
    <s v="Anita Sharma"/>
    <s v="Resolved"/>
    <n v="4"/>
    <n v="24"/>
    <n v="8.11"/>
    <n v="1"/>
  </r>
  <r>
    <s v="TCK-11392"/>
    <s v="2024-02-10 01:42:40"/>
    <s v="2024-02-10 19:32:44"/>
    <s v="P2"/>
    <x v="2"/>
    <s v="Application Support"/>
    <s v="Pam Beesly"/>
    <s v="Closed"/>
    <n v="4"/>
    <n v="8"/>
    <n v="17.829999999999998"/>
    <n v="0"/>
  </r>
  <r>
    <s v="TCK-11393"/>
    <s v="2024-10-13 15:48:45"/>
    <s v="2024-10-15 12:58:02"/>
    <s v="P4"/>
    <x v="3"/>
    <s v="Application Support"/>
    <s v="Emily Watson"/>
    <s v="Resolved"/>
    <n v="3"/>
    <n v="48"/>
    <n v="45.15"/>
    <n v="1"/>
  </r>
  <r>
    <s v="TCK-11394"/>
    <s v="2024-11-08 07:48:01"/>
    <s v="2024-11-09 11:26:33"/>
    <s v="P3"/>
    <x v="1"/>
    <s v="Application Support"/>
    <s v="Alex Mercer"/>
    <s v="Resolved"/>
    <n v="2"/>
    <n v="24"/>
    <n v="27.64"/>
    <n v="0"/>
  </r>
  <r>
    <s v="TCK-11395"/>
    <s v="2024-06-20 02:11:55"/>
    <s v="2024-06-20 12:37:15"/>
    <s v="P3"/>
    <x v="2"/>
    <s v="Infrastructure"/>
    <s v="Ravi Patel"/>
    <s v="Closed"/>
    <n v="5"/>
    <n v="24"/>
    <n v="10.42"/>
    <n v="1"/>
  </r>
  <r>
    <s v="TCK-11396"/>
    <s v="2024-10-01 14:40:36"/>
    <s v="2024-10-04 07:17:28"/>
    <s v="P3"/>
    <x v="2"/>
    <s v="Billing Operations"/>
    <s v="Pam Beesly"/>
    <s v="Resolved"/>
    <n v="4"/>
    <n v="24"/>
    <n v="64.61"/>
    <n v="0"/>
  </r>
  <r>
    <s v="TCK-11397"/>
    <s v="2024-09-03 11:09:48"/>
    <s v="2024-09-04 02:11:07"/>
    <s v="P4"/>
    <x v="0"/>
    <s v="Application Support"/>
    <s v="Ravi Patel"/>
    <s v="Resolved"/>
    <n v="4"/>
    <n v="48"/>
    <n v="15.02"/>
    <n v="1"/>
  </r>
  <r>
    <s v="TCK-11398"/>
    <s v="2024-12-15 18:23:27"/>
    <s v="2024-12-16 03:50:56"/>
    <s v="P3"/>
    <x v="2"/>
    <s v="L1 Support"/>
    <s v="Pam Beesly"/>
    <s v="Closed"/>
    <n v="4"/>
    <n v="24"/>
    <n v="9.4600000000000009"/>
    <n v="1"/>
  </r>
  <r>
    <s v="TCK-11399"/>
    <s v="2024-08-27 22:36:58"/>
    <s v="2024-08-30 22:24:09"/>
    <s v="P3"/>
    <x v="4"/>
    <s v="L2 Support"/>
    <s v="Jim Halpert"/>
    <s v="Resolved"/>
    <n v="1"/>
    <n v="24"/>
    <n v="71.790000000000006"/>
    <n v="0"/>
  </r>
  <r>
    <s v="TCK-11400"/>
    <s v="2024-05-20 12:41:00"/>
    <s v="2024-05-20 20:15:36"/>
    <s v="P3"/>
    <x v="1"/>
    <s v="Infrastructure"/>
    <s v="Pam Beesly"/>
    <s v="Resolved"/>
    <n v="5"/>
    <n v="24"/>
    <n v="7.58"/>
    <n v="1"/>
  </r>
  <r>
    <s v="TCK-11401"/>
    <s v="2024-08-23 23:32:50"/>
    <s v="2024-08-24 02:04:04"/>
    <s v="P2"/>
    <x v="3"/>
    <s v="Application Support"/>
    <s v="Jim Halpert"/>
    <s v="Resolved"/>
    <n v="5"/>
    <n v="8"/>
    <n v="2.52"/>
    <n v="1"/>
  </r>
  <r>
    <s v="TCK-11402"/>
    <s v="2024-08-10 13:06:45"/>
    <s v="2024-08-11 13:13:45"/>
    <s v="P4"/>
    <x v="0"/>
    <s v="Application Support"/>
    <s v="Anita Sharma"/>
    <s v="Closed"/>
    <n v="5"/>
    <n v="48"/>
    <n v="24.12"/>
    <n v="1"/>
  </r>
  <r>
    <s v="TCK-11403"/>
    <s v="2024-10-18 19:58:18"/>
    <s v="2024-10-19 12:46:00"/>
    <s v="P3"/>
    <x v="1"/>
    <s v="Infrastructure"/>
    <s v="Alex Mercer"/>
    <s v="Closed"/>
    <n v="4"/>
    <n v="24"/>
    <n v="16.8"/>
    <n v="1"/>
  </r>
  <r>
    <s v="TCK-11404"/>
    <s v="2024-11-26 19:21:52"/>
    <s v="2024-11-26 22:18:04"/>
    <s v="P2"/>
    <x v="2"/>
    <s v="L1 Support"/>
    <s v="Alex Mercer"/>
    <s v="Resolved"/>
    <n v="5"/>
    <n v="8"/>
    <n v="2.94"/>
    <n v="1"/>
  </r>
  <r>
    <s v="TCK-11405"/>
    <s v="2024-04-18 02:17:02"/>
    <s v="2024-04-23 12:04:41"/>
    <s v="P4"/>
    <x v="1"/>
    <s v="Billing Operations"/>
    <s v="Priya Nair"/>
    <s v="Resolved"/>
    <n v="2"/>
    <n v="48"/>
    <n v="129.79"/>
    <n v="0"/>
  </r>
  <r>
    <s v="TCK-11406"/>
    <s v="2024-10-02 19:14:19"/>
    <s v="2024-10-02 22:52:11"/>
    <s v="P2"/>
    <x v="4"/>
    <s v="Infrastructure"/>
    <s v="Ravi Patel"/>
    <s v="Resolved"/>
    <n v="5"/>
    <n v="8"/>
    <n v="3.63"/>
    <n v="1"/>
  </r>
  <r>
    <s v="TCK-11407"/>
    <s v="2024-01-25 05:04:00"/>
    <s v="2024-01-25 06:58:27"/>
    <s v="P1"/>
    <x v="3"/>
    <s v="Billing Operations"/>
    <s v="John Doe"/>
    <s v="Closed"/>
    <n v="4"/>
    <n v="4"/>
    <n v="1.91"/>
    <n v="1"/>
  </r>
  <r>
    <s v="TCK-11408"/>
    <s v="2024-03-18 11:51:48"/>
    <s v="2024-03-18 21:13:44"/>
    <s v="P3"/>
    <x v="2"/>
    <s v="L1 Support"/>
    <s v="Michael Scott"/>
    <s v="Resolved"/>
    <n v="5"/>
    <n v="24"/>
    <n v="9.3699999999999992"/>
    <n v="1"/>
  </r>
  <r>
    <s v="TCK-11409"/>
    <s v="2024-09-27 17:54:48"/>
    <m/>
    <s v="P1"/>
    <x v="4"/>
    <s v="L1 Support"/>
    <s v="Sarah Connor"/>
    <s v="Open"/>
    <m/>
    <n v="4"/>
    <m/>
    <m/>
  </r>
  <r>
    <s v="TCK-11410"/>
    <s v="2024-03-12 05:01:56"/>
    <m/>
    <s v="P3"/>
    <x v="1"/>
    <s v="Billing Operations"/>
    <s v="Carlos Mendez"/>
    <s v="Escalated"/>
    <m/>
    <n v="24"/>
    <m/>
    <m/>
  </r>
  <r>
    <s v="TCK-11411"/>
    <s v="2024-10-25 02:22:20"/>
    <s v="2024-10-25 04:51:00"/>
    <s v="P2"/>
    <x v="1"/>
    <s v="Infrastructure"/>
    <s v="Dwight Schrute"/>
    <s v="Resolved"/>
    <n v="5"/>
    <n v="8"/>
    <n v="2.48"/>
    <n v="1"/>
  </r>
  <r>
    <s v="TCK-11412"/>
    <s v="2024-09-06 18:49:55"/>
    <s v="2024-09-07 06:53:40"/>
    <s v="P4"/>
    <x v="0"/>
    <s v="L2 Support"/>
    <s v="Michael Scott"/>
    <s v="Resolved"/>
    <n v="4"/>
    <n v="48"/>
    <n v="12.06"/>
    <n v="1"/>
  </r>
  <r>
    <s v="TCK-11413"/>
    <s v="2024-05-02 21:03:18"/>
    <s v="2024-05-03 13:41:06"/>
    <s v="P3"/>
    <x v="0"/>
    <s v="Infrastructure"/>
    <s v="Emily Watson"/>
    <s v="Resolved"/>
    <n v="4"/>
    <n v="24"/>
    <n v="16.63"/>
    <n v="1"/>
  </r>
  <r>
    <s v="TCK-11414"/>
    <s v="2024-07-09 14:03:55"/>
    <s v="2024-07-09 19:56:34"/>
    <s v="P3"/>
    <x v="2"/>
    <s v="Billing Operations"/>
    <s v="Dwight Schrute"/>
    <s v="Closed"/>
    <n v="5"/>
    <n v="24"/>
    <n v="5.88"/>
    <n v="1"/>
  </r>
  <r>
    <s v="TCK-11415"/>
    <s v="2024-08-15 14:40:24"/>
    <s v="2024-08-16 06:59:11"/>
    <s v="P3"/>
    <x v="2"/>
    <s v="L2 Support"/>
    <s v="Priya Nair"/>
    <s v="Resolved"/>
    <n v="4"/>
    <n v="24"/>
    <n v="16.309999999999999"/>
    <n v="1"/>
  </r>
  <r>
    <s v="TCK-11416"/>
    <s v="2024-05-13 05:21:34"/>
    <s v="2024-05-13 12:12:42"/>
    <s v="P3"/>
    <x v="2"/>
    <s v="Infrastructure"/>
    <s v="Sarah Connor"/>
    <s v="Resolved"/>
    <n v="4"/>
    <n v="24"/>
    <n v="6.85"/>
    <n v="1"/>
  </r>
  <r>
    <s v="TCK-11417"/>
    <s v="2024-12-24 08:54:41"/>
    <s v="2024-12-24 12:14:34"/>
    <s v="P2"/>
    <x v="3"/>
    <s v="L2 Support"/>
    <s v="Dwight Schrute"/>
    <s v="Resolved"/>
    <n v="4"/>
    <n v="8"/>
    <n v="3.33"/>
    <n v="1"/>
  </r>
  <r>
    <s v="TCK-11418"/>
    <s v="2024-08-16 20:11:58"/>
    <s v="2024-08-19 13:27:30"/>
    <s v="P4"/>
    <x v="4"/>
    <s v="L1 Support"/>
    <s v="Carlos Mendez"/>
    <s v="Resolved"/>
    <n v="2"/>
    <n v="48"/>
    <n v="65.260000000000005"/>
    <n v="0"/>
  </r>
  <r>
    <s v="TCK-11419"/>
    <s v="2024-05-11 02:00:32"/>
    <s v="2024-05-11 19:45:02"/>
    <s v="P3"/>
    <x v="1"/>
    <s v="Infrastructure"/>
    <s v="Michael Scott"/>
    <s v="Resolved"/>
    <n v="4"/>
    <n v="24"/>
    <n v="17.739999999999998"/>
    <n v="1"/>
  </r>
  <r>
    <s v="TCK-11420"/>
    <s v="2024-08-27 19:14:36"/>
    <s v="2024-08-29 08:15:49"/>
    <s v="P3"/>
    <x v="2"/>
    <s v="Application Support"/>
    <s v="Priya Nair"/>
    <s v="Resolved"/>
    <n v="2"/>
    <n v="24"/>
    <n v="37.020000000000003"/>
    <n v="0"/>
  </r>
  <r>
    <s v="TCK-11421"/>
    <s v="2024-05-11 13:15:13"/>
    <s v="2024-05-13 14:10:45"/>
    <s v="P3"/>
    <x v="2"/>
    <s v="L1 Support"/>
    <s v="Emily Watson"/>
    <s v="Closed"/>
    <n v="2"/>
    <n v="24"/>
    <n v="48.93"/>
    <n v="0"/>
  </r>
  <r>
    <s v="TCK-11422"/>
    <s v="2024-10-27 22:52:41"/>
    <s v="2024-10-28 01:43:19"/>
    <s v="P2"/>
    <x v="3"/>
    <s v="Billing Operations"/>
    <s v="Alex Mercer"/>
    <s v="Resolved"/>
    <n v="5"/>
    <n v="8"/>
    <n v="2.84"/>
    <n v="1"/>
  </r>
  <r>
    <s v="TCK-11423"/>
    <s v="2024-09-28 06:23:48"/>
    <s v="2024-09-30 02:21:40"/>
    <s v="P4"/>
    <x v="1"/>
    <s v="Billing Operations"/>
    <s v="John Doe"/>
    <s v="Resolved"/>
    <n v="5"/>
    <n v="48"/>
    <n v="43.96"/>
    <n v="1"/>
  </r>
  <r>
    <s v="TCK-11424"/>
    <s v="2024-04-30 10:38:17"/>
    <s v="2024-05-01 02:28:25"/>
    <s v="P3"/>
    <x v="1"/>
    <s v="Infrastructure"/>
    <s v="Dwight Schrute"/>
    <s v="Resolved"/>
    <n v="4"/>
    <n v="24"/>
    <n v="15.84"/>
    <n v="1"/>
  </r>
  <r>
    <s v="TCK-11425"/>
    <s v="2024-03-08 03:47:38"/>
    <s v="2024-03-08 05:38:31"/>
    <s v="P2"/>
    <x v="1"/>
    <s v="L2 Support"/>
    <s v="Emily Watson"/>
    <s v="Resolved"/>
    <n v="5"/>
    <n v="8"/>
    <n v="1.85"/>
    <n v="1"/>
  </r>
  <r>
    <s v="TCK-11426"/>
    <s v="2024-10-28 13:11:43"/>
    <s v="2024-10-29 05:51:01"/>
    <s v="P3"/>
    <x v="2"/>
    <s v="Infrastructure"/>
    <s v="Sarah Connor"/>
    <s v="Resolved"/>
    <n v="5"/>
    <n v="24"/>
    <n v="16.66"/>
    <n v="1"/>
  </r>
  <r>
    <s v="TCK-11427"/>
    <s v="2024-09-16 22:16:58"/>
    <s v="2024-09-17 19:45:43"/>
    <s v="P3"/>
    <x v="2"/>
    <s v="L2 Support"/>
    <s v="Sarah Connor"/>
    <s v="Resolved"/>
    <n v="4"/>
    <n v="24"/>
    <n v="21.48"/>
    <n v="1"/>
  </r>
  <r>
    <s v="TCK-11428"/>
    <s v="2024-05-07 08:54:11"/>
    <s v="2024-05-08 09:37:33"/>
    <s v="P4"/>
    <x v="0"/>
    <s v="Application Support"/>
    <s v="Anita Sharma"/>
    <s v="Resolved"/>
    <n v="5"/>
    <n v="48"/>
    <n v="24.72"/>
    <n v="1"/>
  </r>
  <r>
    <s v="TCK-11429"/>
    <s v="2024-08-16 01:54:50"/>
    <s v="2024-08-16 05:06:46"/>
    <s v="P1"/>
    <x v="0"/>
    <s v="L2 Support"/>
    <s v="Emily Watson"/>
    <s v="Resolved"/>
    <n v="5"/>
    <n v="4"/>
    <n v="3.2"/>
    <n v="1"/>
  </r>
  <r>
    <s v="TCK-11430"/>
    <s v="2024-10-19 06:12:25"/>
    <s v="2024-10-19 14:45:59"/>
    <s v="P3"/>
    <x v="1"/>
    <s v="L2 Support"/>
    <s v="John Doe"/>
    <s v="Resolved"/>
    <n v="3"/>
    <n v="24"/>
    <n v="8.56"/>
    <n v="1"/>
  </r>
  <r>
    <s v="TCK-11431"/>
    <s v="2024-05-29 11:45:34"/>
    <s v="2024-05-30 14:35:21"/>
    <s v="P3"/>
    <x v="2"/>
    <s v="Infrastructure"/>
    <s v="Michael Scott"/>
    <s v="Resolved"/>
    <n v="4"/>
    <n v="24"/>
    <n v="26.83"/>
    <n v="0"/>
  </r>
  <r>
    <s v="TCK-11432"/>
    <s v="2024-06-13 02:52:21"/>
    <s v="2024-06-13 08:20:15"/>
    <s v="P2"/>
    <x v="2"/>
    <s v="Billing Operations"/>
    <s v="Sarah Connor"/>
    <s v="Resolved"/>
    <n v="4"/>
    <n v="8"/>
    <n v="5.46"/>
    <n v="1"/>
  </r>
  <r>
    <s v="TCK-11433"/>
    <s v="2024-12-01 06:46:12"/>
    <s v="2024-12-01 23:10:13"/>
    <s v="P3"/>
    <x v="0"/>
    <s v="L2 Support"/>
    <s v="Pam Beesly"/>
    <s v="Resolved"/>
    <n v="3"/>
    <n v="24"/>
    <n v="16.399999999999999"/>
    <n v="1"/>
  </r>
  <r>
    <s v="TCK-11434"/>
    <s v="2024-09-11 06:01:05"/>
    <s v="2024-09-11 15:32:56"/>
    <s v="P4"/>
    <x v="2"/>
    <s v="L1 Support"/>
    <s v="Michael Scott"/>
    <s v="Resolved"/>
    <n v="5"/>
    <n v="48"/>
    <n v="9.5299999999999994"/>
    <n v="1"/>
  </r>
  <r>
    <s v="TCK-11435"/>
    <s v="2024-12-19 01:08:19"/>
    <s v="2024-12-19 10:58:54"/>
    <s v="P3"/>
    <x v="2"/>
    <s v="Application Support"/>
    <s v="Priya Nair"/>
    <s v="Resolved"/>
    <n v="5"/>
    <n v="24"/>
    <n v="9.84"/>
    <n v="1"/>
  </r>
  <r>
    <s v="TCK-11436"/>
    <s v="2024-06-14 00:34:24"/>
    <s v="2024-06-16 10:53:14"/>
    <s v="P3"/>
    <x v="2"/>
    <s v="L1 Support"/>
    <s v="John Doe"/>
    <s v="Resolved"/>
    <n v="1"/>
    <n v="24"/>
    <n v="58.31"/>
    <n v="0"/>
  </r>
  <r>
    <s v="TCK-11437"/>
    <s v="2024-07-19 07:10:52"/>
    <s v="2024-07-19 16:56:25"/>
    <s v="P4"/>
    <x v="0"/>
    <s v="Application Support"/>
    <s v="Jim Halpert"/>
    <s v="Resolved"/>
    <n v="4"/>
    <n v="48"/>
    <n v="9.76"/>
    <n v="1"/>
  </r>
  <r>
    <s v="TCK-11438"/>
    <s v="2024-05-22 21:39:30"/>
    <s v="2024-05-23 00:39:56"/>
    <s v="P1"/>
    <x v="3"/>
    <s v="Infrastructure"/>
    <s v="Michael Scott"/>
    <s v="Resolved"/>
    <n v="3"/>
    <n v="4"/>
    <n v="3.01"/>
    <n v="1"/>
  </r>
  <r>
    <s v="TCK-11439"/>
    <s v="2024-04-14 02:48:56"/>
    <s v="2024-04-14 07:40:00"/>
    <s v="P2"/>
    <x v="2"/>
    <s v="L1 Support"/>
    <s v="Dwight Schrute"/>
    <s v="Resolved"/>
    <n v="4"/>
    <n v="8"/>
    <n v="4.8499999999999996"/>
    <n v="1"/>
  </r>
  <r>
    <s v="TCK-11440"/>
    <s v="2024-01-15 13:15:06"/>
    <s v="2024-01-15 18:36:08"/>
    <s v="P3"/>
    <x v="2"/>
    <s v="L2 Support"/>
    <s v="Sarah Connor"/>
    <s v="Resolved"/>
    <n v="4"/>
    <n v="24"/>
    <n v="5.35"/>
    <n v="1"/>
  </r>
  <r>
    <s v="TCK-11441"/>
    <s v="2024-12-13 00:43:21"/>
    <m/>
    <s v="P2"/>
    <x v="4"/>
    <s v="Billing Operations"/>
    <s v="Emily Watson"/>
    <s v="Open"/>
    <m/>
    <n v="8"/>
    <m/>
    <m/>
  </r>
  <r>
    <s v="TCK-11442"/>
    <s v="2024-12-17 05:58:49"/>
    <s v="2024-12-18 01:59:25"/>
    <s v="P4"/>
    <x v="0"/>
    <s v="Billing Operations"/>
    <s v="Anita Sharma"/>
    <s v="Resolved"/>
    <n v="4"/>
    <n v="48"/>
    <n v="20.010000000000002"/>
    <n v="1"/>
  </r>
  <r>
    <s v="TCK-11443"/>
    <s v="2024-10-08 10:24:00"/>
    <m/>
    <s v="P3"/>
    <x v="0"/>
    <s v="Application Support"/>
    <s v="Ravi Patel"/>
    <s v="Escalated"/>
    <m/>
    <n v="24"/>
    <m/>
    <m/>
  </r>
  <r>
    <s v="TCK-11444"/>
    <s v="2024-01-31 22:08:30"/>
    <s v="2024-02-01 04:01:10"/>
    <s v="P2"/>
    <x v="3"/>
    <s v="Infrastructure"/>
    <s v="Jim Halpert"/>
    <s v="Resolved"/>
    <n v="5"/>
    <n v="8"/>
    <n v="5.88"/>
    <n v="1"/>
  </r>
  <r>
    <s v="TCK-11445"/>
    <s v="2024-10-15 18:19:30"/>
    <s v="2024-10-17 15:43:03"/>
    <s v="P4"/>
    <x v="0"/>
    <s v="Application Support"/>
    <s v="Sarah Connor"/>
    <s v="Closed"/>
    <n v="5"/>
    <n v="48"/>
    <n v="45.39"/>
    <n v="1"/>
  </r>
  <r>
    <s v="TCK-11446"/>
    <s v="2024-07-28 17:18:47"/>
    <s v="2024-07-30 12:16:50"/>
    <s v="P4"/>
    <x v="2"/>
    <s v="L1 Support"/>
    <s v="Pam Beesly"/>
    <s v="Closed"/>
    <n v="4"/>
    <n v="48"/>
    <n v="42.97"/>
    <n v="1"/>
  </r>
  <r>
    <s v="TCK-11447"/>
    <s v="2024-09-24 20:40:16"/>
    <s v="2024-09-25 04:52:59"/>
    <s v="P3"/>
    <x v="2"/>
    <s v="L1 Support"/>
    <s v="Anita Sharma"/>
    <s v="Resolved"/>
    <n v="3"/>
    <n v="24"/>
    <n v="8.2100000000000009"/>
    <n v="1"/>
  </r>
  <r>
    <s v="TCK-11448"/>
    <s v="2024-03-21 18:39:02"/>
    <s v="2024-03-21 22:22:06"/>
    <s v="P1"/>
    <x v="2"/>
    <s v="L2 Support"/>
    <s v="Michael Scott"/>
    <s v="Resolved"/>
    <n v="4"/>
    <n v="4"/>
    <n v="3.72"/>
    <n v="1"/>
  </r>
  <r>
    <s v="TCK-11449"/>
    <s v="2024-03-27 06:53:10"/>
    <s v="2024-03-27 11:49:46"/>
    <s v="P2"/>
    <x v="0"/>
    <s v="L2 Support"/>
    <s v="Sarah Connor"/>
    <s v="Closed"/>
    <n v="4"/>
    <n v="8"/>
    <n v="4.9400000000000004"/>
    <n v="1"/>
  </r>
  <r>
    <s v="TCK-11450"/>
    <s v="2024-06-12 17:48:43"/>
    <m/>
    <s v="P3"/>
    <x v="2"/>
    <s v="Application Support"/>
    <s v="Dwight Schrute"/>
    <s v="Open"/>
    <m/>
    <n v="24"/>
    <m/>
    <m/>
  </r>
  <r>
    <s v="TCK-11451"/>
    <s v="2024-01-06 05:08:06"/>
    <s v="2024-01-06 07:22:02"/>
    <s v="P2"/>
    <x v="2"/>
    <s v="Application Support"/>
    <s v="John Doe"/>
    <s v="Resolved"/>
    <n v="5"/>
    <n v="8"/>
    <n v="2.23"/>
    <n v="1"/>
  </r>
  <r>
    <s v="TCK-11452"/>
    <s v="2024-09-18 16:41:01"/>
    <s v="2024-09-19 02:07:39"/>
    <s v="P3"/>
    <x v="2"/>
    <s v="Billing Operations"/>
    <s v="Sarah Connor"/>
    <s v="Closed"/>
    <n v="4"/>
    <n v="24"/>
    <n v="9.44"/>
    <n v="1"/>
  </r>
  <r>
    <s v="TCK-11453"/>
    <s v="2024-07-25 00:09:10"/>
    <s v="2024-07-25 15:17:59"/>
    <s v="P3"/>
    <x v="2"/>
    <s v="Infrastructure"/>
    <s v="Dwight Schrute"/>
    <s v="Closed"/>
    <n v="4"/>
    <n v="24"/>
    <n v="15.15"/>
    <n v="1"/>
  </r>
  <r>
    <s v="TCK-11454"/>
    <s v="2024-05-16 21:23:43"/>
    <s v="2024-05-17 04:35:00"/>
    <s v="P3"/>
    <x v="2"/>
    <s v="L1 Support"/>
    <s v="Michael Scott"/>
    <s v="Closed"/>
    <n v="5"/>
    <n v="24"/>
    <n v="7.19"/>
    <n v="1"/>
  </r>
  <r>
    <s v="TCK-11455"/>
    <s v="2024-02-21 11:30:31"/>
    <s v="2024-02-21 16:09:55"/>
    <s v="P3"/>
    <x v="4"/>
    <s v="L1 Support"/>
    <s v="Sarah Connor"/>
    <s v="Resolved"/>
    <n v="4"/>
    <n v="24"/>
    <n v="4.66"/>
    <n v="1"/>
  </r>
  <r>
    <s v="TCK-11456"/>
    <s v="2024-12-02 05:23:23"/>
    <s v="2024-12-02 09:02:00"/>
    <s v="P2"/>
    <x v="0"/>
    <s v="Application Support"/>
    <s v="Ravi Patel"/>
    <s v="Resolved"/>
    <n v="5"/>
    <n v="8"/>
    <n v="3.64"/>
    <n v="1"/>
  </r>
  <r>
    <s v="TCK-11457"/>
    <s v="2024-05-04 09:03:22"/>
    <s v="2024-05-05 04:58:51"/>
    <s v="P3"/>
    <x v="3"/>
    <s v="Infrastructure"/>
    <s v="Ravi Patel"/>
    <s v="Resolved"/>
    <n v="4"/>
    <n v="24"/>
    <n v="19.920000000000002"/>
    <n v="1"/>
  </r>
  <r>
    <s v="TCK-11458"/>
    <s v="2024-06-29 11:59:28"/>
    <s v="2024-06-29 18:26:03"/>
    <s v="P2"/>
    <x v="4"/>
    <s v="L2 Support"/>
    <s v="John Doe"/>
    <s v="Resolved"/>
    <n v="5"/>
    <n v="8"/>
    <n v="6.44"/>
    <n v="1"/>
  </r>
  <r>
    <s v="TCK-11459"/>
    <s v="2024-09-12 04:08:23"/>
    <s v="2024-09-12 18:56:25"/>
    <s v="P2"/>
    <x v="4"/>
    <s v="Application Support"/>
    <s v="Anita Sharma"/>
    <s v="Closed"/>
    <n v="2"/>
    <n v="8"/>
    <n v="14.8"/>
    <n v="0"/>
  </r>
  <r>
    <s v="TCK-11460"/>
    <s v="2024-08-28 16:20:31"/>
    <s v="2024-08-28 23:34:16"/>
    <s v="P2"/>
    <x v="3"/>
    <s v="Billing Operations"/>
    <s v="Sarah Connor"/>
    <s v="Closed"/>
    <n v="4"/>
    <n v="8"/>
    <n v="7.23"/>
    <n v="1"/>
  </r>
  <r>
    <s v="TCK-11461"/>
    <s v="2024-04-07 09:37:00"/>
    <s v="2024-04-07 15:47:16"/>
    <s v="P2"/>
    <x v="3"/>
    <s v="L1 Support"/>
    <s v="Pam Beesly"/>
    <s v="Resolved"/>
    <n v="4"/>
    <n v="8"/>
    <n v="6.17"/>
    <n v="1"/>
  </r>
  <r>
    <s v="TCK-11462"/>
    <s v="2024-07-17 21:59:30"/>
    <s v="2024-07-20 16:47:29"/>
    <s v="P4"/>
    <x v="0"/>
    <s v="L2 Support"/>
    <s v="Dwight Schrute"/>
    <s v="Resolved"/>
    <n v="4"/>
    <n v="48"/>
    <n v="66.8"/>
    <n v="0"/>
  </r>
  <r>
    <s v="TCK-11463"/>
    <s v="2024-12-24 03:56:13"/>
    <s v="2024-12-24 06:24:11"/>
    <s v="P2"/>
    <x v="1"/>
    <s v="L1 Support"/>
    <s v="Alex Mercer"/>
    <s v="Resolved"/>
    <n v="5"/>
    <n v="8"/>
    <n v="2.4700000000000002"/>
    <n v="1"/>
  </r>
  <r>
    <s v="TCK-11464"/>
    <s v="2024-04-04 06:31:08"/>
    <s v="2024-04-04 15:40:35"/>
    <s v="P3"/>
    <x v="4"/>
    <s v="Billing Operations"/>
    <s v="Carlos Mendez"/>
    <s v="Resolved"/>
    <n v="5"/>
    <n v="24"/>
    <n v="9.16"/>
    <n v="1"/>
  </r>
  <r>
    <s v="TCK-11465"/>
    <s v="2024-03-03 04:28:19"/>
    <s v="2024-03-03 08:02:06"/>
    <s v="P2"/>
    <x v="0"/>
    <s v="L1 Support"/>
    <s v="Alex Mercer"/>
    <s v="Closed"/>
    <n v="5"/>
    <n v="8"/>
    <n v="3.56"/>
    <n v="1"/>
  </r>
  <r>
    <s v="TCK-11466"/>
    <s v="2024-07-01 22:40:03"/>
    <s v="2024-07-03 08:40:18"/>
    <s v="P4"/>
    <x v="1"/>
    <s v="Application Support"/>
    <s v="Michael Scott"/>
    <s v="Closed"/>
    <n v="5"/>
    <n v="48"/>
    <n v="34"/>
    <n v="1"/>
  </r>
  <r>
    <s v="TCK-11467"/>
    <s v="2024-07-26 18:49:58"/>
    <s v="2024-07-29 05:58:11"/>
    <s v="P3"/>
    <x v="2"/>
    <s v="L1 Support"/>
    <s v="Michael Scott"/>
    <s v="Closed"/>
    <n v="1"/>
    <n v="24"/>
    <n v="59.14"/>
    <n v="0"/>
  </r>
  <r>
    <s v="TCK-11468"/>
    <s v="2024-06-04 10:57:07"/>
    <s v="2024-06-05 06:37:55"/>
    <s v="P3"/>
    <x v="2"/>
    <s v="Application Support"/>
    <s v="Jim Halpert"/>
    <s v="Closed"/>
    <n v="5"/>
    <n v="24"/>
    <n v="19.68"/>
    <n v="1"/>
  </r>
  <r>
    <s v="TCK-11469"/>
    <s v="2024-08-13 12:14:21"/>
    <s v="2024-08-14 09:15:49"/>
    <s v="P3"/>
    <x v="1"/>
    <s v="L2 Support"/>
    <s v="Pam Beesly"/>
    <s v="Resolved"/>
    <n v="5"/>
    <n v="24"/>
    <n v="21.02"/>
    <n v="1"/>
  </r>
  <r>
    <s v="TCK-11470"/>
    <s v="2024-03-22 22:08:02"/>
    <s v="2024-03-23 00:35:52"/>
    <s v="P2"/>
    <x v="2"/>
    <s v="L1 Support"/>
    <s v="Dwight Schrute"/>
    <s v="Closed"/>
    <n v="4"/>
    <n v="8"/>
    <n v="2.46"/>
    <n v="1"/>
  </r>
  <r>
    <s v="TCK-11471"/>
    <s v="2024-04-25 00:19:17"/>
    <m/>
    <s v="P3"/>
    <x v="2"/>
    <s v="Application Support"/>
    <s v="Priya Nair"/>
    <s v="Open"/>
    <m/>
    <n v="24"/>
    <m/>
    <m/>
  </r>
  <r>
    <s v="TCK-11472"/>
    <s v="2024-07-21 23:20:07"/>
    <s v="2024-07-22 06:33:35"/>
    <s v="P2"/>
    <x v="2"/>
    <s v="Infrastructure"/>
    <s v="Anita Sharma"/>
    <s v="Resolved"/>
    <n v="4"/>
    <n v="8"/>
    <n v="7.22"/>
    <n v="1"/>
  </r>
  <r>
    <s v="TCK-11473"/>
    <s v="2024-09-03 12:19:32"/>
    <s v="2024-09-03 14:07:18"/>
    <s v="P2"/>
    <x v="0"/>
    <s v="Infrastructure"/>
    <s v="John Doe"/>
    <s v="Closed"/>
    <n v="4"/>
    <n v="8"/>
    <n v="1.8"/>
    <n v="1"/>
  </r>
  <r>
    <s v="TCK-11474"/>
    <s v="2024-05-29 13:15:07"/>
    <s v="2024-05-29 15:48:57"/>
    <s v="P2"/>
    <x v="2"/>
    <s v="L2 Support"/>
    <s v="Anita Sharma"/>
    <s v="Resolved"/>
    <n v="5"/>
    <n v="8"/>
    <n v="2.56"/>
    <n v="1"/>
  </r>
  <r>
    <s v="TCK-11475"/>
    <s v="2024-10-16 20:09:54"/>
    <m/>
    <s v="P4"/>
    <x v="2"/>
    <s v="Application Support"/>
    <s v="Anita Sharma"/>
    <s v="Open"/>
    <m/>
    <n v="48"/>
    <m/>
    <m/>
  </r>
  <r>
    <s v="TCK-11476"/>
    <s v="2024-05-14 00:18:09"/>
    <s v="2024-05-14 21:35:40"/>
    <s v="P3"/>
    <x v="3"/>
    <s v="Billing Operations"/>
    <s v="Pam Beesly"/>
    <s v="Resolved"/>
    <n v="5"/>
    <n v="24"/>
    <n v="21.29"/>
    <n v="1"/>
  </r>
  <r>
    <s v="TCK-11477"/>
    <s v="2024-12-04 12:16:44"/>
    <s v="2024-12-04 19:15:55"/>
    <s v="P3"/>
    <x v="1"/>
    <s v="Application Support"/>
    <s v="Alex Mercer"/>
    <s v="Closed"/>
    <n v="4"/>
    <n v="24"/>
    <n v="6.99"/>
    <n v="1"/>
  </r>
  <r>
    <s v="TCK-11478"/>
    <s v="2024-02-28 14:55:35"/>
    <s v="2024-02-28 19:35:54"/>
    <s v="P2"/>
    <x v="0"/>
    <s v="L1 Support"/>
    <s v="Carlos Mendez"/>
    <s v="Resolved"/>
    <n v="5"/>
    <n v="8"/>
    <n v="4.67"/>
    <n v="1"/>
  </r>
  <r>
    <s v="TCK-11479"/>
    <s v="2024-01-06 01:43:10"/>
    <s v="2024-01-06 07:51:33"/>
    <s v="P4"/>
    <x v="0"/>
    <s v="Billing Operations"/>
    <s v="Emily Watson"/>
    <s v="Closed"/>
    <n v="5"/>
    <n v="48"/>
    <n v="6.14"/>
    <n v="1"/>
  </r>
  <r>
    <s v="TCK-11480"/>
    <s v="2024-05-08 07:18:11"/>
    <s v="2024-05-09 01:58:50"/>
    <s v="P3"/>
    <x v="2"/>
    <s v="Billing Operations"/>
    <s v="Priya Nair"/>
    <s v="Resolved"/>
    <n v="4"/>
    <n v="24"/>
    <n v="18.68"/>
    <n v="1"/>
  </r>
  <r>
    <s v="TCK-11481"/>
    <s v="2024-07-22 10:14:09"/>
    <m/>
    <s v="P2"/>
    <x v="2"/>
    <s v="L2 Support"/>
    <s v="Priya Nair"/>
    <s v="Open"/>
    <m/>
    <n v="8"/>
    <m/>
    <m/>
  </r>
  <r>
    <s v="TCK-11482"/>
    <s v="2024-11-29 08:41:24"/>
    <s v="2024-11-29 13:14:36"/>
    <s v="P2"/>
    <x v="3"/>
    <s v="Application Support"/>
    <s v="John Doe"/>
    <s v="Resolved"/>
    <n v="3"/>
    <n v="8"/>
    <n v="4.55"/>
    <n v="1"/>
  </r>
  <r>
    <s v="TCK-11483"/>
    <s v="2024-03-15 03:03:37"/>
    <s v="2024-03-15 10:26:11"/>
    <s v="P3"/>
    <x v="4"/>
    <s v="L2 Support"/>
    <s v="Ravi Patel"/>
    <s v="Resolved"/>
    <n v="5"/>
    <n v="24"/>
    <n v="7.38"/>
    <n v="1"/>
  </r>
  <r>
    <s v="TCK-11484"/>
    <s v="2024-07-04 16:35:36"/>
    <s v="2024-07-05 04:45:02"/>
    <s v="P3"/>
    <x v="4"/>
    <s v="L1 Support"/>
    <s v="Pam Beesly"/>
    <s v="Closed"/>
    <n v="4"/>
    <n v="24"/>
    <n v="12.16"/>
    <n v="1"/>
  </r>
  <r>
    <s v="TCK-11485"/>
    <s v="2024-07-04 04:58:31"/>
    <s v="2024-07-04 09:43:51"/>
    <s v="P2"/>
    <x v="2"/>
    <s v="L2 Support"/>
    <s v="Anita Sharma"/>
    <s v="Resolved"/>
    <n v="5"/>
    <n v="8"/>
    <n v="4.76"/>
    <n v="1"/>
  </r>
  <r>
    <s v="TCK-11486"/>
    <s v="2024-02-13 15:28:41"/>
    <s v="2024-02-14 03:11:08"/>
    <s v="P3"/>
    <x v="2"/>
    <s v="L2 Support"/>
    <s v="Anita Sharma"/>
    <s v="Closed"/>
    <n v="3"/>
    <n v="24"/>
    <n v="11.71"/>
    <n v="1"/>
  </r>
  <r>
    <s v="TCK-11487"/>
    <s v="2024-10-20 09:00:40"/>
    <s v="2024-10-21 06:49:13"/>
    <s v="P3"/>
    <x v="2"/>
    <s v="L2 Support"/>
    <s v="Pam Beesly"/>
    <s v="Resolved"/>
    <n v="4"/>
    <n v="24"/>
    <n v="21.81"/>
    <n v="1"/>
  </r>
  <r>
    <s v="TCK-11488"/>
    <s v="2024-12-03 03:27:29"/>
    <s v="2024-12-04 01:47:36"/>
    <s v="P3"/>
    <x v="2"/>
    <s v="Billing Operations"/>
    <s v="Ravi Patel"/>
    <s v="Resolved"/>
    <n v="5"/>
    <n v="24"/>
    <n v="22.34"/>
    <n v="1"/>
  </r>
  <r>
    <s v="TCK-11489"/>
    <s v="2024-07-08 16:34:44"/>
    <s v="2024-07-08 19:33:51"/>
    <s v="P1"/>
    <x v="0"/>
    <s v="Billing Operations"/>
    <s v="Dwight Schrute"/>
    <s v="Resolved"/>
    <n v="5"/>
    <n v="4"/>
    <n v="2.99"/>
    <n v="1"/>
  </r>
  <r>
    <s v="TCK-11490"/>
    <s v="2024-02-07 01:26:14"/>
    <s v="2024-02-07 15:41:41"/>
    <s v="P4"/>
    <x v="2"/>
    <s v="Billing Operations"/>
    <s v="John Doe"/>
    <s v="Resolved"/>
    <n v="4"/>
    <n v="48"/>
    <n v="14.26"/>
    <n v="1"/>
  </r>
  <r>
    <s v="TCK-11491"/>
    <s v="2024-04-28 22:23:00"/>
    <s v="2024-04-29 03:03:58"/>
    <s v="P2"/>
    <x v="2"/>
    <s v="L1 Support"/>
    <s v="Carlos Mendez"/>
    <s v="Resolved"/>
    <n v="4"/>
    <n v="8"/>
    <n v="4.68"/>
    <n v="1"/>
  </r>
  <r>
    <s v="TCK-11492"/>
    <s v="2024-03-02 01:38:21"/>
    <s v="2024-03-02 08:56:41"/>
    <s v="P2"/>
    <x v="3"/>
    <s v="L2 Support"/>
    <s v="John Doe"/>
    <s v="Closed"/>
    <n v="5"/>
    <n v="8"/>
    <n v="7.31"/>
    <n v="1"/>
  </r>
  <r>
    <s v="TCK-11493"/>
    <s v="2024-09-11 02:58:26"/>
    <m/>
    <s v="P3"/>
    <x v="2"/>
    <s v="Infrastructure"/>
    <s v="Emily Watson"/>
    <s v="Open"/>
    <m/>
    <n v="24"/>
    <m/>
    <m/>
  </r>
  <r>
    <s v="TCK-11494"/>
    <s v="2024-07-02 15:11:16"/>
    <s v="2024-07-04 05:49:13"/>
    <s v="P4"/>
    <x v="0"/>
    <s v="Infrastructure"/>
    <s v="John Doe"/>
    <s v="Resolved"/>
    <n v="4"/>
    <n v="48"/>
    <n v="38.630000000000003"/>
    <n v="1"/>
  </r>
  <r>
    <s v="TCK-11495"/>
    <s v="2024-04-29 22:55:31"/>
    <m/>
    <s v="P3"/>
    <x v="2"/>
    <s v="Application Support"/>
    <s v="Alex Mercer"/>
    <s v="Open"/>
    <m/>
    <n v="24"/>
    <m/>
    <m/>
  </r>
  <r>
    <s v="TCK-11496"/>
    <s v="2024-11-09 02:35:58"/>
    <m/>
    <s v="P2"/>
    <x v="2"/>
    <s v="Infrastructure"/>
    <s v="Alex Mercer"/>
    <s v="Open"/>
    <m/>
    <n v="8"/>
    <m/>
    <m/>
  </r>
  <r>
    <s v="TCK-11497"/>
    <s v="2024-11-19 15:56:40"/>
    <s v="2024-11-20 10:36:46"/>
    <s v="P3"/>
    <x v="2"/>
    <s v="Application Support"/>
    <s v="Pam Beesly"/>
    <s v="Closed"/>
    <n v="5"/>
    <n v="24"/>
    <n v="18.670000000000002"/>
    <n v="1"/>
  </r>
  <r>
    <s v="TCK-11498"/>
    <s v="2024-06-20 06:03:31"/>
    <s v="2024-06-21 16:17:10"/>
    <s v="P4"/>
    <x v="1"/>
    <s v="L2 Support"/>
    <s v="John Doe"/>
    <s v="Resolved"/>
    <n v="4"/>
    <n v="48"/>
    <n v="34.229999999999997"/>
    <n v="1"/>
  </r>
  <r>
    <s v="TCK-11499"/>
    <s v="2024-01-19 04:45:02"/>
    <s v="2024-01-19 14:48:03"/>
    <s v="P3"/>
    <x v="2"/>
    <s v="Application Support"/>
    <s v="Emily Watson"/>
    <s v="Resolved"/>
    <n v="4"/>
    <n v="24"/>
    <n v="10.050000000000001"/>
    <n v="1"/>
  </r>
  <r>
    <s v="TCK-11500"/>
    <s v="2024-09-05 17:46:16"/>
    <s v="2024-09-05 23:40:11"/>
    <s v="P2"/>
    <x v="2"/>
    <s v="Application Support"/>
    <s v="Michael Scott"/>
    <s v="Resolved"/>
    <n v="4"/>
    <n v="8"/>
    <n v="5.9"/>
    <n v="1"/>
  </r>
  <r>
    <s v="TCK-11501"/>
    <s v="2024-10-28 09:47:15"/>
    <s v="2024-10-28 13:58:58"/>
    <s v="P3"/>
    <x v="0"/>
    <s v="L2 Support"/>
    <s v="Anita Sharma"/>
    <s v="Resolved"/>
    <n v="4"/>
    <n v="24"/>
    <n v="4.2"/>
    <n v="1"/>
  </r>
  <r>
    <s v="TCK-11502"/>
    <s v="2024-08-10 18:15:36"/>
    <s v="2024-08-11 12:15:36"/>
    <s v="P3"/>
    <x v="4"/>
    <s v="Billing Operations"/>
    <s v="Ravi Patel"/>
    <s v="Closed"/>
    <n v="5"/>
    <n v="24"/>
    <n v="18"/>
    <n v="1"/>
  </r>
  <r>
    <s v="TCK-11503"/>
    <s v="2024-12-04 11:44:53"/>
    <m/>
    <s v="P3"/>
    <x v="0"/>
    <s v="Infrastructure"/>
    <s v="Pam Beesly"/>
    <s v="Open"/>
    <m/>
    <n v="24"/>
    <m/>
    <m/>
  </r>
  <r>
    <s v="TCK-11504"/>
    <s v="2024-06-22 11:32:00"/>
    <s v="2024-06-22 17:59:33"/>
    <s v="P3"/>
    <x v="2"/>
    <s v="Infrastructure"/>
    <s v="Dwight Schrute"/>
    <s v="Resolved"/>
    <n v="5"/>
    <n v="24"/>
    <n v="6.46"/>
    <n v="1"/>
  </r>
  <r>
    <s v="TCK-11505"/>
    <s v="2024-04-10 22:17:44"/>
    <s v="2024-04-11 01:47:25"/>
    <s v="P2"/>
    <x v="0"/>
    <s v="L1 Support"/>
    <s v="John Doe"/>
    <s v="Resolved"/>
    <n v="4"/>
    <n v="8"/>
    <n v="3.49"/>
    <n v="1"/>
  </r>
  <r>
    <s v="TCK-11506"/>
    <s v="2024-01-19 23:40:55"/>
    <s v="2024-01-20 05:47:27"/>
    <s v="P4"/>
    <x v="1"/>
    <s v="Billing Operations"/>
    <s v="Pam Beesly"/>
    <s v="Resolved"/>
    <n v="5"/>
    <n v="48"/>
    <n v="6.11"/>
    <n v="1"/>
  </r>
  <r>
    <s v="TCK-11507"/>
    <s v="2024-11-06 08:29:33"/>
    <s v="2024-11-06 09:48:22"/>
    <s v="P2"/>
    <x v="2"/>
    <s v="Infrastructure"/>
    <s v="Anita Sharma"/>
    <s v="Resolved"/>
    <n v="3"/>
    <n v="8"/>
    <n v="1.31"/>
    <n v="1"/>
  </r>
  <r>
    <s v="TCK-11508"/>
    <s v="2024-08-05 03:38:45"/>
    <s v="2024-08-05 19:18:33"/>
    <s v="P3"/>
    <x v="2"/>
    <s v="Billing Operations"/>
    <s v="Sarah Connor"/>
    <s v="Closed"/>
    <n v="4"/>
    <n v="24"/>
    <n v="15.66"/>
    <n v="1"/>
  </r>
  <r>
    <s v="TCK-11509"/>
    <s v="2024-01-29 17:11:17"/>
    <s v="2024-02-01 04:58:13"/>
    <s v="P3"/>
    <x v="2"/>
    <s v="Infrastructure"/>
    <s v="Dwight Schrute"/>
    <s v="Resolved"/>
    <n v="2"/>
    <n v="24"/>
    <n v="59.78"/>
    <n v="0"/>
  </r>
  <r>
    <s v="TCK-11510"/>
    <s v="2024-01-29 16:38:58"/>
    <s v="2024-01-29 23:53:57"/>
    <s v="P2"/>
    <x v="3"/>
    <s v="Application Support"/>
    <s v="Ravi Patel"/>
    <s v="Closed"/>
    <n v="5"/>
    <n v="8"/>
    <n v="7.25"/>
    <n v="1"/>
  </r>
  <r>
    <s v="TCK-11511"/>
    <s v="2024-06-05 05:56:05"/>
    <s v="2024-06-05 11:24:17"/>
    <s v="P3"/>
    <x v="1"/>
    <s v="Application Support"/>
    <s v="Alex Mercer"/>
    <s v="Resolved"/>
    <n v="5"/>
    <n v="24"/>
    <n v="5.47"/>
    <n v="1"/>
  </r>
  <r>
    <s v="TCK-11512"/>
    <s v="2024-08-15 06:47:00"/>
    <s v="2024-08-15 20:54:06"/>
    <s v="P3"/>
    <x v="2"/>
    <s v="Application Support"/>
    <s v="Carlos Mendez"/>
    <s v="Closed"/>
    <n v="4"/>
    <n v="24"/>
    <n v="14.12"/>
    <n v="1"/>
  </r>
  <r>
    <s v="TCK-11513"/>
    <s v="2024-12-08 05:06:00"/>
    <s v="2024-12-08 08:02:05"/>
    <s v="P3"/>
    <x v="3"/>
    <s v="L2 Support"/>
    <s v="John Doe"/>
    <s v="Resolved"/>
    <n v="5"/>
    <n v="24"/>
    <n v="2.93"/>
    <n v="1"/>
  </r>
  <r>
    <s v="TCK-11514"/>
    <s v="2024-11-24 09:09:32"/>
    <s v="2024-11-24 10:20:28"/>
    <s v="P1"/>
    <x v="1"/>
    <s v="Infrastructure"/>
    <s v="Sarah Connor"/>
    <s v="Resolved"/>
    <n v="4"/>
    <n v="4"/>
    <n v="1.18"/>
    <n v="1"/>
  </r>
  <r>
    <s v="TCK-11515"/>
    <s v="2024-04-27 23:30:27"/>
    <s v="2024-04-28 06:16:31"/>
    <s v="P2"/>
    <x v="4"/>
    <s v="L2 Support"/>
    <s v="Emily Watson"/>
    <s v="Closed"/>
    <n v="5"/>
    <n v="8"/>
    <n v="6.77"/>
    <n v="1"/>
  </r>
  <r>
    <s v="TCK-11516"/>
    <s v="2024-02-18 03:28:09"/>
    <s v="2024-02-18 10:16:37"/>
    <s v="P4"/>
    <x v="2"/>
    <s v="Application Support"/>
    <s v="Priya Nair"/>
    <s v="Closed"/>
    <n v="4"/>
    <n v="48"/>
    <n v="6.81"/>
    <n v="1"/>
  </r>
  <r>
    <s v="TCK-11517"/>
    <s v="2024-03-18 11:26:16"/>
    <m/>
    <s v="P2"/>
    <x v="2"/>
    <s v="L1 Support"/>
    <s v="Sarah Connor"/>
    <s v="Escalated"/>
    <m/>
    <n v="8"/>
    <m/>
    <m/>
  </r>
  <r>
    <s v="TCK-11518"/>
    <s v="2024-07-16 02:49:02"/>
    <s v="2024-07-17 03:34:22"/>
    <s v="P4"/>
    <x v="0"/>
    <s v="L1 Support"/>
    <s v="John Doe"/>
    <s v="Closed"/>
    <n v="5"/>
    <n v="48"/>
    <n v="24.76"/>
    <n v="1"/>
  </r>
  <r>
    <s v="TCK-11519"/>
    <s v="2024-10-18 11:32:53"/>
    <s v="2024-10-19 02:45:49"/>
    <s v="P4"/>
    <x v="2"/>
    <s v="L2 Support"/>
    <s v="Sarah Connor"/>
    <s v="Closed"/>
    <n v="4"/>
    <n v="48"/>
    <n v="15.22"/>
    <n v="1"/>
  </r>
  <r>
    <s v="TCK-11520"/>
    <s v="2024-06-26 19:07:03"/>
    <m/>
    <s v="P1"/>
    <x v="2"/>
    <s v="Application Support"/>
    <s v="Jim Halpert"/>
    <s v="Escalated"/>
    <m/>
    <n v="4"/>
    <m/>
    <m/>
  </r>
  <r>
    <s v="TCK-11521"/>
    <s v="2024-02-09 04:40:58"/>
    <m/>
    <s v="P3"/>
    <x v="4"/>
    <s v="L1 Support"/>
    <s v="Jim Halpert"/>
    <s v="Open"/>
    <m/>
    <n v="24"/>
    <m/>
    <m/>
  </r>
  <r>
    <s v="TCK-11522"/>
    <s v="2024-09-10 13:05:51"/>
    <s v="2024-09-10 17:06:09"/>
    <s v="P2"/>
    <x v="4"/>
    <s v="L1 Support"/>
    <s v="Carlos Mendez"/>
    <s v="Closed"/>
    <n v="5"/>
    <n v="8"/>
    <n v="4"/>
    <n v="1"/>
  </r>
  <r>
    <s v="TCK-11523"/>
    <s v="2024-04-17 00:32:23"/>
    <s v="2024-04-17 03:07:44"/>
    <s v="P3"/>
    <x v="0"/>
    <s v="L1 Support"/>
    <s v="John Doe"/>
    <s v="Closed"/>
    <n v="5"/>
    <n v="24"/>
    <n v="2.59"/>
    <n v="1"/>
  </r>
  <r>
    <s v="TCK-11524"/>
    <s v="2024-02-24 18:56:54"/>
    <s v="2024-02-27 03:04:51"/>
    <s v="P3"/>
    <x v="0"/>
    <s v="L1 Support"/>
    <s v="Anita Sharma"/>
    <s v="Closed"/>
    <n v="2"/>
    <n v="24"/>
    <n v="56.13"/>
    <n v="0"/>
  </r>
  <r>
    <s v="TCK-11525"/>
    <s v="2024-06-10 10:55:40"/>
    <m/>
    <s v="P4"/>
    <x v="2"/>
    <s v="L2 Support"/>
    <s v="Ravi Patel"/>
    <s v="Escalated"/>
    <m/>
    <n v="48"/>
    <m/>
    <m/>
  </r>
  <r>
    <s v="TCK-11526"/>
    <s v="2024-10-15 11:37:50"/>
    <s v="2024-10-16 00:45:24"/>
    <s v="P4"/>
    <x v="3"/>
    <s v="Infrastructure"/>
    <s v="Sarah Connor"/>
    <s v="Closed"/>
    <n v="4"/>
    <n v="48"/>
    <n v="13.13"/>
    <n v="1"/>
  </r>
  <r>
    <s v="TCK-11527"/>
    <s v="2024-05-25 06:19:41"/>
    <s v="2024-05-26 23:23:30"/>
    <s v="P4"/>
    <x v="2"/>
    <s v="Infrastructure"/>
    <s v="Alex Mercer"/>
    <s v="Closed"/>
    <n v="3"/>
    <n v="48"/>
    <n v="41.06"/>
    <n v="1"/>
  </r>
  <r>
    <s v="TCK-11528"/>
    <s v="2024-12-04 23:53:30"/>
    <s v="2024-12-05 01:50:45"/>
    <s v="P2"/>
    <x v="2"/>
    <s v="Billing Operations"/>
    <s v="Jim Halpert"/>
    <s v="Closed"/>
    <n v="4"/>
    <n v="8"/>
    <n v="1.95"/>
    <n v="1"/>
  </r>
  <r>
    <s v="TCK-11529"/>
    <s v="2024-05-15 17:48:23"/>
    <m/>
    <s v="P4"/>
    <x v="1"/>
    <s v="L1 Support"/>
    <s v="Sarah Connor"/>
    <s v="Escalated"/>
    <m/>
    <n v="48"/>
    <m/>
    <m/>
  </r>
  <r>
    <s v="TCK-11530"/>
    <s v="2024-06-29 16:49:56"/>
    <s v="2024-06-30 23:36:57"/>
    <s v="P4"/>
    <x v="0"/>
    <s v="Billing Operations"/>
    <s v="Dwight Schrute"/>
    <s v="Resolved"/>
    <n v="4"/>
    <n v="48"/>
    <n v="30.78"/>
    <n v="1"/>
  </r>
  <r>
    <s v="TCK-11531"/>
    <s v="2024-07-01 15:56:08"/>
    <s v="2024-07-06 08:54:02"/>
    <s v="P4"/>
    <x v="2"/>
    <s v="Infrastructure"/>
    <s v="Carlos Mendez"/>
    <s v="Resolved"/>
    <n v="1"/>
    <n v="48"/>
    <n v="112.96"/>
    <n v="0"/>
  </r>
  <r>
    <s v="TCK-11532"/>
    <s v="2024-07-10 17:14:41"/>
    <s v="2024-07-11 14:52:02"/>
    <s v="P3"/>
    <x v="0"/>
    <s v="L2 Support"/>
    <s v="John Doe"/>
    <s v="Resolved"/>
    <n v="4"/>
    <n v="24"/>
    <n v="21.62"/>
    <n v="1"/>
  </r>
  <r>
    <s v="TCK-11533"/>
    <s v="2024-02-02 06:03:24"/>
    <s v="2024-02-02 12:13:22"/>
    <s v="P3"/>
    <x v="0"/>
    <s v="Infrastructure"/>
    <s v="Anita Sharma"/>
    <s v="Resolved"/>
    <n v="5"/>
    <n v="24"/>
    <n v="6.17"/>
    <n v="1"/>
  </r>
  <r>
    <s v="TCK-11534"/>
    <s v="2024-05-07 23:00:50"/>
    <s v="2024-05-09 12:41:47"/>
    <s v="P3"/>
    <x v="2"/>
    <s v="Billing Operations"/>
    <s v="Ravi Patel"/>
    <s v="Resolved"/>
    <n v="3"/>
    <n v="24"/>
    <n v="37.68"/>
    <n v="0"/>
  </r>
  <r>
    <s v="TCK-11535"/>
    <s v="2024-05-07 16:39:35"/>
    <m/>
    <s v="P3"/>
    <x v="3"/>
    <s v="Billing Operations"/>
    <s v="Priya Nair"/>
    <s v="Open"/>
    <m/>
    <n v="24"/>
    <m/>
    <m/>
  </r>
  <r>
    <s v="TCK-11536"/>
    <s v="2024-01-14 15:00:10"/>
    <m/>
    <s v="P3"/>
    <x v="0"/>
    <s v="L1 Support"/>
    <s v="Emily Watson"/>
    <s v="Escalated"/>
    <m/>
    <n v="24"/>
    <m/>
    <m/>
  </r>
  <r>
    <s v="TCK-11537"/>
    <s v="2024-01-06 21:29:17"/>
    <s v="2024-01-07 01:33:26"/>
    <s v="P2"/>
    <x v="1"/>
    <s v="L2 Support"/>
    <s v="John Doe"/>
    <s v="Resolved"/>
    <n v="5"/>
    <n v="8"/>
    <n v="4.07"/>
    <n v="1"/>
  </r>
  <r>
    <s v="TCK-11538"/>
    <s v="2024-03-14 05:56:26"/>
    <s v="2024-03-14 21:00:55"/>
    <s v="P3"/>
    <x v="0"/>
    <s v="Billing Operations"/>
    <s v="Jim Halpert"/>
    <s v="Resolved"/>
    <n v="5"/>
    <n v="24"/>
    <n v="15.07"/>
    <n v="1"/>
  </r>
  <r>
    <s v="TCK-11539"/>
    <s v="2024-02-16 02:09:13"/>
    <s v="2024-02-17 15:18:03"/>
    <s v="P3"/>
    <x v="3"/>
    <s v="Billing Operations"/>
    <s v="Pam Beesly"/>
    <s v="Resolved"/>
    <n v="3"/>
    <n v="24"/>
    <n v="37.15"/>
    <n v="0"/>
  </r>
  <r>
    <s v="TCK-11540"/>
    <s v="2024-07-08 14:28:45"/>
    <s v="2024-07-08 22:14:29"/>
    <s v="P3"/>
    <x v="2"/>
    <s v="L1 Support"/>
    <s v="Carlos Mendez"/>
    <s v="Closed"/>
    <n v="5"/>
    <n v="24"/>
    <n v="7.76"/>
    <n v="1"/>
  </r>
  <r>
    <s v="TCK-11541"/>
    <s v="2024-06-14 23:24:12"/>
    <s v="2024-06-15 04:04:13"/>
    <s v="P3"/>
    <x v="4"/>
    <s v="L2 Support"/>
    <s v="Sarah Connor"/>
    <s v="Resolved"/>
    <n v="5"/>
    <n v="24"/>
    <n v="4.67"/>
    <n v="1"/>
  </r>
  <r>
    <s v="TCK-11542"/>
    <s v="2024-04-25 04:14:56"/>
    <s v="2024-04-26 03:43:22"/>
    <s v="P2"/>
    <x v="3"/>
    <s v="Application Support"/>
    <s v="Jim Halpert"/>
    <s v="Closed"/>
    <n v="4"/>
    <n v="8"/>
    <n v="23.47"/>
    <n v="0"/>
  </r>
  <r>
    <s v="TCK-11543"/>
    <s v="2024-03-12 06:04:14"/>
    <s v="2024-03-13 00:17:56"/>
    <s v="P3"/>
    <x v="4"/>
    <s v="Billing Operations"/>
    <s v="Emily Watson"/>
    <s v="Resolved"/>
    <n v="4"/>
    <n v="24"/>
    <n v="18.23"/>
    <n v="1"/>
  </r>
  <r>
    <s v="TCK-11544"/>
    <s v="2024-10-16 12:08:09"/>
    <s v="2024-10-17 06:51:40"/>
    <s v="P3"/>
    <x v="3"/>
    <s v="L2 Support"/>
    <s v="Anita Sharma"/>
    <s v="Closed"/>
    <n v="4"/>
    <n v="24"/>
    <n v="18.73"/>
    <n v="1"/>
  </r>
  <r>
    <s v="TCK-11545"/>
    <s v="2024-03-30 19:42:11"/>
    <s v="2024-03-31 11:03:18"/>
    <s v="P3"/>
    <x v="4"/>
    <s v="L2 Support"/>
    <s v="Pam Beesly"/>
    <s v="Resolved"/>
    <n v="5"/>
    <n v="24"/>
    <n v="15.35"/>
    <n v="1"/>
  </r>
  <r>
    <s v="TCK-11546"/>
    <s v="2024-03-29 04:52:21"/>
    <m/>
    <s v="P4"/>
    <x v="0"/>
    <s v="L2 Support"/>
    <s v="Ravi Patel"/>
    <s v="Open"/>
    <m/>
    <n v="48"/>
    <m/>
    <m/>
  </r>
  <r>
    <s v="TCK-11547"/>
    <s v="2024-08-25 02:29:41"/>
    <s v="2024-08-28 01:11:05"/>
    <s v="P3"/>
    <x v="2"/>
    <s v="L1 Support"/>
    <s v="Jim Halpert"/>
    <s v="Resolved"/>
    <n v="3"/>
    <n v="24"/>
    <n v="70.69"/>
    <n v="0"/>
  </r>
  <r>
    <s v="TCK-11548"/>
    <s v="2024-07-01 02:06:53"/>
    <s v="2024-07-01 07:27:28"/>
    <s v="P2"/>
    <x v="0"/>
    <s v="Infrastructure"/>
    <s v="Alex Mercer"/>
    <s v="Resolved"/>
    <n v="4"/>
    <n v="8"/>
    <n v="5.34"/>
    <n v="1"/>
  </r>
  <r>
    <s v="TCK-11549"/>
    <s v="2024-10-12 04:20:50"/>
    <s v="2024-10-12 10:00:58"/>
    <s v="P3"/>
    <x v="4"/>
    <s v="L1 Support"/>
    <s v="Jim Halpert"/>
    <s v="Resolved"/>
    <n v="5"/>
    <n v="24"/>
    <n v="5.67"/>
    <n v="1"/>
  </r>
  <r>
    <s v="TCK-11550"/>
    <s v="2024-04-04 11:55:10"/>
    <s v="2024-04-04 21:28:03"/>
    <s v="P3"/>
    <x v="1"/>
    <s v="Application Support"/>
    <s v="Jim Halpert"/>
    <s v="Closed"/>
    <n v="4"/>
    <n v="24"/>
    <n v="9.5500000000000007"/>
    <n v="1"/>
  </r>
  <r>
    <s v="TCK-11551"/>
    <s v="2024-04-17 14:32:13"/>
    <s v="2024-04-17 19:54:29"/>
    <s v="P2"/>
    <x v="2"/>
    <s v="Billing Operations"/>
    <s v="Carlos Mendez"/>
    <s v="Resolved"/>
    <n v="5"/>
    <n v="8"/>
    <n v="5.37"/>
    <n v="1"/>
  </r>
  <r>
    <s v="TCK-11552"/>
    <s v="2024-01-05 12:22:28"/>
    <s v="2024-01-05 19:30:39"/>
    <s v="P3"/>
    <x v="2"/>
    <s v="Billing Operations"/>
    <s v="Sarah Connor"/>
    <s v="Closed"/>
    <n v="4"/>
    <n v="24"/>
    <n v="7.14"/>
    <n v="1"/>
  </r>
  <r>
    <s v="TCK-11553"/>
    <s v="2024-11-15 15:50:08"/>
    <s v="2024-11-16 14:26:22"/>
    <s v="P2"/>
    <x v="0"/>
    <s v="Application Support"/>
    <s v="John Doe"/>
    <s v="Resolved"/>
    <n v="2"/>
    <n v="8"/>
    <n v="22.6"/>
    <n v="0"/>
  </r>
  <r>
    <s v="TCK-11554"/>
    <s v="2024-04-16 00:10:54"/>
    <s v="2024-04-16 11:51:16"/>
    <s v="P4"/>
    <x v="0"/>
    <s v="Infrastructure"/>
    <s v="Sarah Connor"/>
    <s v="Closed"/>
    <n v="5"/>
    <n v="48"/>
    <n v="11.67"/>
    <n v="1"/>
  </r>
  <r>
    <s v="TCK-11555"/>
    <s v="2024-12-02 11:06:06"/>
    <s v="2024-12-04 16:32:12"/>
    <s v="P3"/>
    <x v="0"/>
    <s v="L2 Support"/>
    <s v="Ravi Patel"/>
    <s v="Resolved"/>
    <n v="2"/>
    <n v="24"/>
    <n v="53.44"/>
    <n v="0"/>
  </r>
  <r>
    <s v="TCK-11556"/>
    <s v="2024-05-21 03:12:18"/>
    <m/>
    <s v="P2"/>
    <x v="0"/>
    <s v="Application Support"/>
    <s v="Priya Nair"/>
    <s v="Escalated"/>
    <m/>
    <n v="8"/>
    <m/>
    <m/>
  </r>
  <r>
    <s v="TCK-11557"/>
    <s v="2024-06-13 02:17:15"/>
    <s v="2024-06-13 11:28:53"/>
    <s v="P1"/>
    <x v="1"/>
    <s v="Infrastructure"/>
    <s v="Priya Nair"/>
    <s v="Closed"/>
    <n v="2"/>
    <n v="4"/>
    <n v="9.19"/>
    <n v="0"/>
  </r>
  <r>
    <s v="TCK-11558"/>
    <s v="2024-09-16 08:41:24"/>
    <s v="2024-09-16 23:23:38"/>
    <s v="P4"/>
    <x v="4"/>
    <s v="L1 Support"/>
    <s v="Alex Mercer"/>
    <s v="Resolved"/>
    <n v="4"/>
    <n v="48"/>
    <n v="14.7"/>
    <n v="1"/>
  </r>
  <r>
    <s v="TCK-11559"/>
    <s v="2024-08-17 21:18:22"/>
    <s v="2024-08-18 12:04:52"/>
    <s v="P3"/>
    <x v="2"/>
    <s v="Application Support"/>
    <s v="Ravi Patel"/>
    <s v="Closed"/>
    <n v="5"/>
    <n v="24"/>
    <n v="14.78"/>
    <n v="1"/>
  </r>
  <r>
    <s v="TCK-11560"/>
    <s v="2024-09-16 14:04:57"/>
    <m/>
    <s v="P3"/>
    <x v="3"/>
    <s v="Billing Operations"/>
    <s v="Carlos Mendez"/>
    <s v="Open"/>
    <m/>
    <n v="24"/>
    <m/>
    <m/>
  </r>
  <r>
    <s v="TCK-11561"/>
    <s v="2024-08-11 21:13:07"/>
    <s v="2024-08-11 23:40:17"/>
    <s v="P1"/>
    <x v="4"/>
    <s v="L2 Support"/>
    <s v="Pam Beesly"/>
    <s v="Closed"/>
    <n v="5"/>
    <n v="4"/>
    <n v="2.4500000000000002"/>
    <n v="1"/>
  </r>
  <r>
    <s v="TCK-11562"/>
    <s v="2024-10-06 06:56:19"/>
    <s v="2024-10-07 04:31:07"/>
    <s v="P3"/>
    <x v="2"/>
    <s v="Application Support"/>
    <s v="Dwight Schrute"/>
    <s v="Closed"/>
    <n v="5"/>
    <n v="24"/>
    <n v="21.58"/>
    <n v="1"/>
  </r>
  <r>
    <s v="TCK-11563"/>
    <s v="2024-09-01 06:29:14"/>
    <s v="2024-09-02 04:11:04"/>
    <s v="P3"/>
    <x v="2"/>
    <s v="L1 Support"/>
    <s v="Emily Watson"/>
    <s v="Closed"/>
    <n v="3"/>
    <n v="24"/>
    <n v="21.7"/>
    <n v="1"/>
  </r>
  <r>
    <s v="TCK-11564"/>
    <s v="2024-12-23 21:15:48"/>
    <s v="2024-12-24 06:51:06"/>
    <s v="P3"/>
    <x v="1"/>
    <s v="Application Support"/>
    <s v="Michael Scott"/>
    <s v="Resolved"/>
    <n v="5"/>
    <n v="24"/>
    <n v="9.59"/>
    <n v="1"/>
  </r>
  <r>
    <s v="TCK-11565"/>
    <s v="2024-04-17 18:24:05"/>
    <m/>
    <s v="P3"/>
    <x v="1"/>
    <s v="Application Support"/>
    <s v="Priya Nair"/>
    <s v="Escalated"/>
    <m/>
    <n v="24"/>
    <m/>
    <m/>
  </r>
  <r>
    <s v="TCK-11566"/>
    <s v="2024-04-12 12:57:23"/>
    <s v="2024-04-13 06:43:26"/>
    <s v="P3"/>
    <x v="1"/>
    <s v="Billing Operations"/>
    <s v="Ravi Patel"/>
    <s v="Closed"/>
    <n v="5"/>
    <n v="24"/>
    <n v="17.77"/>
    <n v="1"/>
  </r>
  <r>
    <s v="TCK-11567"/>
    <s v="2024-03-08 03:41:48"/>
    <s v="2024-03-09 18:36:54"/>
    <s v="P4"/>
    <x v="0"/>
    <s v="Infrastructure"/>
    <s v="Pam Beesly"/>
    <s v="Closed"/>
    <n v="4"/>
    <n v="48"/>
    <n v="38.92"/>
    <n v="1"/>
  </r>
  <r>
    <s v="TCK-11568"/>
    <s v="2024-11-18 03:53:11"/>
    <s v="2024-11-18 09:02:05"/>
    <s v="P2"/>
    <x v="4"/>
    <s v="L1 Support"/>
    <s v="Carlos Mendez"/>
    <s v="Resolved"/>
    <n v="5"/>
    <n v="8"/>
    <n v="5.15"/>
    <n v="1"/>
  </r>
  <r>
    <s v="TCK-11569"/>
    <s v="2024-03-19 20:09:58"/>
    <s v="2024-03-20 16:20:25"/>
    <s v="P2"/>
    <x v="0"/>
    <s v="Infrastructure"/>
    <s v="Pam Beesly"/>
    <s v="Closed"/>
    <n v="4"/>
    <n v="8"/>
    <n v="20.170000000000002"/>
    <n v="0"/>
  </r>
  <r>
    <s v="TCK-11570"/>
    <s v="2024-05-05 16:20:21"/>
    <s v="2024-05-05 19:18:43"/>
    <s v="P1"/>
    <x v="1"/>
    <s v="Infrastructure"/>
    <s v="Ravi Patel"/>
    <s v="Closed"/>
    <n v="5"/>
    <n v="4"/>
    <n v="2.97"/>
    <n v="1"/>
  </r>
  <r>
    <s v="TCK-11571"/>
    <s v="2024-06-03 21:21:38"/>
    <s v="2024-06-06 05:35:52"/>
    <s v="P3"/>
    <x v="1"/>
    <s v="L1 Support"/>
    <s v="Sarah Connor"/>
    <s v="Closed"/>
    <n v="3"/>
    <n v="24"/>
    <n v="56.24"/>
    <n v="0"/>
  </r>
  <r>
    <s v="TCK-11572"/>
    <s v="2024-02-26 22:37:56"/>
    <m/>
    <s v="P3"/>
    <x v="2"/>
    <s v="Application Support"/>
    <s v="John Doe"/>
    <s v="Open"/>
    <m/>
    <n v="24"/>
    <m/>
    <m/>
  </r>
  <r>
    <s v="TCK-11573"/>
    <s v="2024-02-10 13:51:52"/>
    <s v="2024-02-12 11:26:29"/>
    <s v="P4"/>
    <x v="0"/>
    <s v="Infrastructure"/>
    <s v="Anita Sharma"/>
    <s v="Closed"/>
    <n v="4"/>
    <n v="48"/>
    <n v="45.58"/>
    <n v="1"/>
  </r>
  <r>
    <s v="TCK-11574"/>
    <s v="2024-01-17 04:01:49"/>
    <s v="2024-01-18 03:46:09"/>
    <s v="P2"/>
    <x v="1"/>
    <s v="Infrastructure"/>
    <s v="Alex Mercer"/>
    <s v="Resolved"/>
    <n v="1"/>
    <n v="8"/>
    <n v="23.74"/>
    <n v="0"/>
  </r>
  <r>
    <s v="TCK-11575"/>
    <s v="2024-03-29 00:54:46"/>
    <s v="2024-03-31 18:14:42"/>
    <s v="P3"/>
    <x v="0"/>
    <s v="L2 Support"/>
    <s v="Alex Mercer"/>
    <s v="Resolved"/>
    <n v="2"/>
    <n v="24"/>
    <n v="65.33"/>
    <n v="0"/>
  </r>
  <r>
    <s v="TCK-11576"/>
    <s v="2024-06-19 19:18:34"/>
    <s v="2024-06-21 23:41:43"/>
    <s v="P3"/>
    <x v="3"/>
    <s v="Billing Operations"/>
    <s v="Emily Watson"/>
    <s v="Resolved"/>
    <n v="2"/>
    <n v="24"/>
    <n v="52.39"/>
    <n v="0"/>
  </r>
  <r>
    <s v="TCK-11577"/>
    <s v="2024-12-11 10:23:27"/>
    <s v="2024-12-12 23:54:04"/>
    <s v="P4"/>
    <x v="2"/>
    <s v="Infrastructure"/>
    <s v="Priya Nair"/>
    <s v="Closed"/>
    <n v="4"/>
    <n v="48"/>
    <n v="37.51"/>
    <n v="1"/>
  </r>
  <r>
    <s v="TCK-11578"/>
    <s v="2024-05-21 21:31:17"/>
    <s v="2024-05-24 12:30:35"/>
    <s v="P4"/>
    <x v="4"/>
    <s v="Infrastructure"/>
    <s v="Ravi Patel"/>
    <s v="Resolved"/>
    <n v="3"/>
    <n v="48"/>
    <n v="62.99"/>
    <n v="0"/>
  </r>
  <r>
    <s v="TCK-11579"/>
    <s v="2024-09-30 03:10:01"/>
    <m/>
    <s v="P2"/>
    <x v="2"/>
    <s v="L2 Support"/>
    <s v="Sarah Connor"/>
    <s v="Escalated"/>
    <m/>
    <n v="8"/>
    <m/>
    <m/>
  </r>
  <r>
    <s v="TCK-11580"/>
    <s v="2024-10-31 21:26:49"/>
    <s v="2024-11-03 21:10:16"/>
    <s v="P4"/>
    <x v="0"/>
    <s v="Billing Operations"/>
    <s v="Pam Beesly"/>
    <s v="Resolved"/>
    <n v="2"/>
    <n v="48"/>
    <n v="71.72"/>
    <n v="0"/>
  </r>
  <r>
    <s v="TCK-11581"/>
    <s v="2024-09-30 00:27:39"/>
    <s v="2024-10-01 23:12:00"/>
    <s v="P3"/>
    <x v="3"/>
    <s v="L2 Support"/>
    <s v="Dwight Schrute"/>
    <s v="Resolved"/>
    <n v="2"/>
    <n v="24"/>
    <n v="46.74"/>
    <n v="0"/>
  </r>
  <r>
    <s v="TCK-11582"/>
    <s v="2024-08-17 21:06:20"/>
    <s v="2024-08-18 00:40:46"/>
    <s v="P3"/>
    <x v="4"/>
    <s v="L2 Support"/>
    <s v="Alex Mercer"/>
    <s v="Closed"/>
    <n v="4"/>
    <n v="24"/>
    <n v="3.57"/>
    <n v="1"/>
  </r>
  <r>
    <s v="TCK-11583"/>
    <s v="2024-12-03 06:24:18"/>
    <m/>
    <s v="P3"/>
    <x v="1"/>
    <s v="Infrastructure"/>
    <s v="Sarah Connor"/>
    <s v="Open"/>
    <m/>
    <n v="24"/>
    <m/>
    <m/>
  </r>
  <r>
    <s v="TCK-11584"/>
    <s v="2024-04-17 13:20:55"/>
    <s v="2024-04-18 07:20:29"/>
    <s v="P3"/>
    <x v="4"/>
    <s v="L1 Support"/>
    <s v="Priya Nair"/>
    <s v="Closed"/>
    <n v="4"/>
    <n v="24"/>
    <n v="17.989999999999998"/>
    <n v="1"/>
  </r>
  <r>
    <s v="TCK-11585"/>
    <s v="2024-06-03 05:16:50"/>
    <s v="2024-06-03 09:57:20"/>
    <s v="P2"/>
    <x v="2"/>
    <s v="Billing Operations"/>
    <s v="Priya Nair"/>
    <s v="Closed"/>
    <n v="5"/>
    <n v="8"/>
    <n v="4.68"/>
    <n v="1"/>
  </r>
  <r>
    <s v="TCK-11586"/>
    <s v="2024-06-07 10:50:18"/>
    <s v="2024-06-07 20:03:52"/>
    <s v="P2"/>
    <x v="2"/>
    <s v="Billing Operations"/>
    <s v="Pam Beesly"/>
    <s v="Closed"/>
    <n v="3"/>
    <n v="8"/>
    <n v="9.23"/>
    <n v="0"/>
  </r>
  <r>
    <s v="TCK-11587"/>
    <s v="2024-08-16 11:24:33"/>
    <s v="2024-08-16 17:11:25"/>
    <s v="P2"/>
    <x v="4"/>
    <s v="Billing Operations"/>
    <s v="Sarah Connor"/>
    <s v="Resolved"/>
    <n v="4"/>
    <n v="8"/>
    <n v="5.78"/>
    <n v="1"/>
  </r>
  <r>
    <s v="TCK-11588"/>
    <s v="2024-08-21 22:37:25"/>
    <s v="2024-08-22 03:27:41"/>
    <s v="P3"/>
    <x v="4"/>
    <s v="L2 Support"/>
    <s v="Alex Mercer"/>
    <s v="Closed"/>
    <n v="3"/>
    <n v="24"/>
    <n v="4.84"/>
    <n v="1"/>
  </r>
  <r>
    <s v="TCK-11589"/>
    <s v="2024-06-06 01:24:28"/>
    <s v="2024-06-06 21:05:31"/>
    <s v="P3"/>
    <x v="4"/>
    <s v="Application Support"/>
    <s v="Jim Halpert"/>
    <s v="Resolved"/>
    <n v="4"/>
    <n v="24"/>
    <n v="19.68"/>
    <n v="1"/>
  </r>
  <r>
    <s v="TCK-11590"/>
    <s v="2024-05-01 04:33:04"/>
    <s v="2024-05-01 11:02:36"/>
    <s v="P3"/>
    <x v="1"/>
    <s v="Infrastructure"/>
    <s v="Dwight Schrute"/>
    <s v="Resolved"/>
    <n v="4"/>
    <n v="24"/>
    <n v="6.49"/>
    <n v="1"/>
  </r>
  <r>
    <s v="TCK-11591"/>
    <s v="2024-09-08 16:34:36"/>
    <s v="2024-09-09 20:37:36"/>
    <s v="P3"/>
    <x v="2"/>
    <s v="L1 Support"/>
    <s v="Ravi Patel"/>
    <s v="Resolved"/>
    <n v="2"/>
    <n v="24"/>
    <n v="28.05"/>
    <n v="0"/>
  </r>
  <r>
    <s v="TCK-11592"/>
    <s v="2024-09-22 11:19:09"/>
    <s v="2024-09-22 14:16:59"/>
    <s v="P3"/>
    <x v="1"/>
    <s v="Billing Operations"/>
    <s v="Alex Mercer"/>
    <s v="Resolved"/>
    <n v="5"/>
    <n v="24"/>
    <n v="2.96"/>
    <n v="1"/>
  </r>
  <r>
    <s v="TCK-11593"/>
    <s v="2024-08-07 02:56:22"/>
    <s v="2024-08-07 16:15:28"/>
    <s v="P3"/>
    <x v="1"/>
    <s v="L2 Support"/>
    <s v="Emily Watson"/>
    <s v="Closed"/>
    <n v="5"/>
    <n v="24"/>
    <n v="13.32"/>
    <n v="1"/>
  </r>
  <r>
    <s v="TCK-11594"/>
    <s v="2024-02-07 23:47:11"/>
    <s v="2024-02-12 20:18:08"/>
    <s v="P4"/>
    <x v="4"/>
    <s v="Billing Operations"/>
    <s v="Pam Beesly"/>
    <s v="Closed"/>
    <n v="3"/>
    <n v="48"/>
    <n v="116.52"/>
    <n v="0"/>
  </r>
  <r>
    <s v="TCK-11595"/>
    <s v="2024-03-10 06:20:43"/>
    <s v="2024-03-13 01:06:52"/>
    <s v="P3"/>
    <x v="0"/>
    <s v="Application Support"/>
    <s v="Alex Mercer"/>
    <s v="Closed"/>
    <n v="3"/>
    <n v="24"/>
    <n v="66.77"/>
    <n v="0"/>
  </r>
  <r>
    <s v="TCK-11596"/>
    <s v="2024-02-17 01:07:10"/>
    <s v="2024-02-18 03:04:25"/>
    <s v="P4"/>
    <x v="2"/>
    <s v="Infrastructure"/>
    <s v="Sarah Connor"/>
    <s v="Resolved"/>
    <n v="5"/>
    <n v="48"/>
    <n v="25.95"/>
    <n v="1"/>
  </r>
  <r>
    <s v="TCK-11597"/>
    <s v="2024-07-12 14:26:38"/>
    <m/>
    <s v="P2"/>
    <x v="1"/>
    <s v="Billing Operations"/>
    <s v="Pam Beesly"/>
    <s v="Open"/>
    <m/>
    <n v="8"/>
    <m/>
    <m/>
  </r>
  <r>
    <s v="TCK-11598"/>
    <s v="2024-12-26 23:14:22"/>
    <s v="2024-12-27 06:39:44"/>
    <s v="P3"/>
    <x v="0"/>
    <s v="Application Support"/>
    <s v="Sarah Connor"/>
    <s v="Closed"/>
    <n v="4"/>
    <n v="24"/>
    <n v="7.42"/>
    <n v="1"/>
  </r>
  <r>
    <s v="TCK-11599"/>
    <s v="2024-11-13 20:26:57"/>
    <s v="2024-11-15 20:07:58"/>
    <s v="P3"/>
    <x v="0"/>
    <s v="L1 Support"/>
    <s v="Pam Beesly"/>
    <s v="Resolved"/>
    <n v="3"/>
    <n v="24"/>
    <n v="47.68"/>
    <n v="0"/>
  </r>
  <r>
    <s v="TCK-11600"/>
    <s v="2024-09-13 12:28:37"/>
    <s v="2024-09-14 09:28:44"/>
    <s v="P3"/>
    <x v="0"/>
    <s v="L1 Support"/>
    <s v="Ravi Patel"/>
    <s v="Resolved"/>
    <n v="5"/>
    <n v="24"/>
    <n v="21"/>
    <n v="1"/>
  </r>
  <r>
    <s v="TCK-11601"/>
    <s v="2024-09-30 01:02:00"/>
    <s v="2024-09-30 19:02:00"/>
    <s v="P3"/>
    <x v="2"/>
    <s v="Billing Operations"/>
    <s v="Carlos Mendez"/>
    <s v="Resolved"/>
    <n v="4"/>
    <n v="24"/>
    <n v="18"/>
    <n v="1"/>
  </r>
  <r>
    <s v="TCK-11602"/>
    <s v="2024-08-31 13:54:18"/>
    <s v="2024-09-01 03:45:16"/>
    <s v="P3"/>
    <x v="2"/>
    <s v="L1 Support"/>
    <s v="Dwight Schrute"/>
    <s v="Resolved"/>
    <n v="5"/>
    <n v="24"/>
    <n v="13.85"/>
    <n v="1"/>
  </r>
  <r>
    <s v="TCK-11603"/>
    <s v="2024-04-29 03:10:19"/>
    <s v="2024-04-29 06:25:16"/>
    <s v="P3"/>
    <x v="0"/>
    <s v="Infrastructure"/>
    <s v="Carlos Mendez"/>
    <s v="Closed"/>
    <n v="5"/>
    <n v="24"/>
    <n v="3.25"/>
    <n v="1"/>
  </r>
  <r>
    <s v="TCK-11604"/>
    <s v="2024-04-29 14:33:51"/>
    <s v="2024-04-29 21:19:14"/>
    <s v="P4"/>
    <x v="0"/>
    <s v="Billing Operations"/>
    <s v="Ravi Patel"/>
    <s v="Resolved"/>
    <n v="3"/>
    <n v="48"/>
    <n v="6.76"/>
    <n v="1"/>
  </r>
  <r>
    <s v="TCK-11605"/>
    <s v="2024-04-27 23:39:38"/>
    <s v="2024-04-28 10:54:36"/>
    <s v="P3"/>
    <x v="2"/>
    <s v="Billing Operations"/>
    <s v="Alex Mercer"/>
    <s v="Closed"/>
    <n v="5"/>
    <n v="24"/>
    <n v="11.25"/>
    <n v="1"/>
  </r>
  <r>
    <s v="TCK-11606"/>
    <s v="2024-11-26 03:18:41"/>
    <s v="2024-11-27 01:37:55"/>
    <s v="P2"/>
    <x v="2"/>
    <s v="L1 Support"/>
    <s v="Emily Watson"/>
    <s v="Resolved"/>
    <n v="3"/>
    <n v="8"/>
    <n v="22.32"/>
    <n v="0"/>
  </r>
  <r>
    <s v="TCK-11607"/>
    <s v="2024-01-29 16:04:08"/>
    <s v="2024-01-30 02:15:04"/>
    <s v="P3"/>
    <x v="2"/>
    <s v="Billing Operations"/>
    <s v="Carlos Mendez"/>
    <s v="Closed"/>
    <n v="5"/>
    <n v="24"/>
    <n v="10.18"/>
    <n v="1"/>
  </r>
  <r>
    <s v="TCK-11608"/>
    <s v="2024-02-15 12:17:01"/>
    <s v="2024-02-21 10:49:25"/>
    <s v="P4"/>
    <x v="1"/>
    <s v="L2 Support"/>
    <s v="Carlos Mendez"/>
    <s v="Closed"/>
    <n v="4"/>
    <n v="48"/>
    <n v="142.54"/>
    <n v="0"/>
  </r>
  <r>
    <s v="TCK-11609"/>
    <s v="2024-11-17 08:12:41"/>
    <s v="2024-11-17 13:14:21"/>
    <s v="P2"/>
    <x v="4"/>
    <s v="Application Support"/>
    <s v="Alex Mercer"/>
    <s v="Resolved"/>
    <n v="4"/>
    <n v="8"/>
    <n v="5.03"/>
    <n v="1"/>
  </r>
  <r>
    <s v="TCK-11610"/>
    <s v="2024-12-24 11:19:11"/>
    <m/>
    <s v="P3"/>
    <x v="3"/>
    <s v="Infrastructure"/>
    <s v="Emily Watson"/>
    <s v="Open"/>
    <m/>
    <n v="24"/>
    <m/>
    <m/>
  </r>
  <r>
    <s v="TCK-11611"/>
    <s v="2024-09-11 01:32:10"/>
    <s v="2024-09-11 21:07:33"/>
    <s v="P3"/>
    <x v="2"/>
    <s v="L1 Support"/>
    <s v="Jim Halpert"/>
    <s v="Closed"/>
    <n v="4"/>
    <n v="24"/>
    <n v="19.59"/>
    <n v="1"/>
  </r>
  <r>
    <s v="TCK-11612"/>
    <s v="2024-10-29 22:54:23"/>
    <s v="2024-10-30 14:49:51"/>
    <s v="P3"/>
    <x v="3"/>
    <s v="Application Support"/>
    <s v="Alex Mercer"/>
    <s v="Closed"/>
    <n v="4"/>
    <n v="24"/>
    <n v="15.92"/>
    <n v="1"/>
  </r>
  <r>
    <s v="TCK-11613"/>
    <s v="2024-09-04 22:50:07"/>
    <s v="2024-09-05 06:03:03"/>
    <s v="P2"/>
    <x v="1"/>
    <s v="Application Support"/>
    <s v="Sarah Connor"/>
    <s v="Resolved"/>
    <n v="4"/>
    <n v="8"/>
    <n v="7.22"/>
    <n v="1"/>
  </r>
  <r>
    <s v="TCK-11614"/>
    <s v="2024-09-21 18:30:00"/>
    <s v="2024-09-23 07:56:17"/>
    <s v="P3"/>
    <x v="3"/>
    <s v="Infrastructure"/>
    <s v="Ravi Patel"/>
    <s v="Resolved"/>
    <n v="3"/>
    <n v="24"/>
    <n v="37.44"/>
    <n v="0"/>
  </r>
  <r>
    <s v="TCK-11615"/>
    <s v="2024-06-02 16:47:34"/>
    <s v="2024-06-03 18:44:10"/>
    <s v="P4"/>
    <x v="0"/>
    <s v="L1 Support"/>
    <s v="Ravi Patel"/>
    <s v="Closed"/>
    <n v="3"/>
    <n v="48"/>
    <n v="25.94"/>
    <n v="1"/>
  </r>
  <r>
    <s v="TCK-11616"/>
    <s v="2024-07-05 06:55:26"/>
    <s v="2024-07-05 08:10:55"/>
    <s v="P2"/>
    <x v="4"/>
    <s v="Application Support"/>
    <s v="John Doe"/>
    <s v="Resolved"/>
    <n v="4"/>
    <n v="8"/>
    <n v="1.26"/>
    <n v="1"/>
  </r>
  <r>
    <s v="TCK-11617"/>
    <s v="2024-05-24 09:03:22"/>
    <s v="2024-05-25 07:20:09"/>
    <s v="P3"/>
    <x v="1"/>
    <s v="Billing Operations"/>
    <s v="Alex Mercer"/>
    <s v="Closed"/>
    <n v="5"/>
    <n v="24"/>
    <n v="22.28"/>
    <n v="1"/>
  </r>
  <r>
    <s v="TCK-11618"/>
    <s v="2024-10-08 20:39:08"/>
    <s v="2024-10-08 22:38:44"/>
    <s v="P2"/>
    <x v="3"/>
    <s v="L2 Support"/>
    <s v="Pam Beesly"/>
    <s v="Closed"/>
    <n v="4"/>
    <n v="8"/>
    <n v="1.99"/>
    <n v="1"/>
  </r>
  <r>
    <s v="TCK-11619"/>
    <s v="2024-12-16 11:10:28"/>
    <s v="2024-12-17 02:22:10"/>
    <s v="P3"/>
    <x v="1"/>
    <s v="L2 Support"/>
    <s v="Michael Scott"/>
    <s v="Resolved"/>
    <n v="4"/>
    <n v="24"/>
    <n v="15.2"/>
    <n v="1"/>
  </r>
  <r>
    <s v="TCK-11620"/>
    <s v="2024-10-07 09:53:41"/>
    <s v="2024-10-07 15:34:52"/>
    <s v="P3"/>
    <x v="0"/>
    <s v="L1 Support"/>
    <s v="Emily Watson"/>
    <s v="Closed"/>
    <n v="5"/>
    <n v="24"/>
    <n v="5.69"/>
    <n v="1"/>
  </r>
  <r>
    <s v="TCK-11621"/>
    <s v="2024-05-03 15:48:49"/>
    <s v="2024-05-03 16:47:28"/>
    <s v="P1"/>
    <x v="4"/>
    <s v="Application Support"/>
    <s v="Ravi Patel"/>
    <s v="Resolved"/>
    <n v="5"/>
    <n v="4"/>
    <n v="0.98"/>
    <n v="1"/>
  </r>
  <r>
    <s v="TCK-11622"/>
    <s v="2024-05-24 04:07:07"/>
    <s v="2024-05-24 07:17:06"/>
    <s v="P1"/>
    <x v="4"/>
    <s v="L2 Support"/>
    <s v="Alex Mercer"/>
    <s v="Resolved"/>
    <n v="5"/>
    <n v="4"/>
    <n v="3.17"/>
    <n v="1"/>
  </r>
  <r>
    <s v="TCK-11623"/>
    <s v="2024-02-16 19:08:42"/>
    <s v="2024-02-18 09:33:50"/>
    <s v="P4"/>
    <x v="0"/>
    <s v="L1 Support"/>
    <s v="Anita Sharma"/>
    <s v="Resolved"/>
    <n v="4"/>
    <n v="48"/>
    <n v="38.42"/>
    <n v="1"/>
  </r>
  <r>
    <s v="TCK-11624"/>
    <s v="2024-08-10 06:41:25"/>
    <s v="2024-08-10 23:01:15"/>
    <s v="P3"/>
    <x v="2"/>
    <s v="Billing Operations"/>
    <s v="Jim Halpert"/>
    <s v="Resolved"/>
    <n v="5"/>
    <n v="24"/>
    <n v="16.329999999999998"/>
    <n v="1"/>
  </r>
  <r>
    <s v="TCK-11625"/>
    <s v="2024-05-14 08:59:46"/>
    <s v="2024-05-17 08:20:51"/>
    <s v="P4"/>
    <x v="3"/>
    <s v="Application Support"/>
    <s v="John Doe"/>
    <s v="Resolved"/>
    <n v="1"/>
    <n v="48"/>
    <n v="71.349999999999994"/>
    <n v="0"/>
  </r>
  <r>
    <s v="TCK-11626"/>
    <s v="2024-10-11 05:12:49"/>
    <s v="2024-10-11 11:29:26"/>
    <s v="P2"/>
    <x v="4"/>
    <s v="Infrastructure"/>
    <s v="John Doe"/>
    <s v="Resolved"/>
    <n v="4"/>
    <n v="8"/>
    <n v="6.28"/>
    <n v="1"/>
  </r>
  <r>
    <s v="TCK-11627"/>
    <s v="2024-06-27 22:52:39"/>
    <s v="2024-06-28 05:31:21"/>
    <s v="P3"/>
    <x v="0"/>
    <s v="L2 Support"/>
    <s v="Jim Halpert"/>
    <s v="Resolved"/>
    <n v="4"/>
    <n v="24"/>
    <n v="6.64"/>
    <n v="1"/>
  </r>
  <r>
    <s v="TCK-11628"/>
    <s v="2024-12-09 11:57:07"/>
    <s v="2024-12-10 03:55:32"/>
    <s v="P3"/>
    <x v="0"/>
    <s v="Application Support"/>
    <s v="Jim Halpert"/>
    <s v="Resolved"/>
    <n v="4"/>
    <n v="24"/>
    <n v="15.97"/>
    <n v="1"/>
  </r>
  <r>
    <s v="TCK-11629"/>
    <s v="2024-07-25 03:22:07"/>
    <s v="2024-07-25 22:03:14"/>
    <s v="P2"/>
    <x v="2"/>
    <s v="L2 Support"/>
    <s v="Anita Sharma"/>
    <s v="Resolved"/>
    <n v="2"/>
    <n v="8"/>
    <n v="18.690000000000001"/>
    <n v="0"/>
  </r>
  <r>
    <s v="TCK-11630"/>
    <s v="2024-12-15 23:54:38"/>
    <s v="2024-12-16 05:11:37"/>
    <s v="P3"/>
    <x v="0"/>
    <s v="Application Support"/>
    <s v="Pam Beesly"/>
    <s v="Closed"/>
    <n v="4"/>
    <n v="24"/>
    <n v="5.28"/>
    <n v="1"/>
  </r>
  <r>
    <s v="TCK-11631"/>
    <s v="2024-09-10 15:17:36"/>
    <s v="2024-09-11 04:56:52"/>
    <s v="P3"/>
    <x v="4"/>
    <s v="Billing Operations"/>
    <s v="Jim Halpert"/>
    <s v="Resolved"/>
    <n v="4"/>
    <n v="24"/>
    <n v="13.65"/>
    <n v="1"/>
  </r>
  <r>
    <s v="TCK-11632"/>
    <s v="2024-05-29 13:50:49"/>
    <s v="2024-05-30 21:51:37"/>
    <s v="P4"/>
    <x v="2"/>
    <s v="Application Support"/>
    <s v="Alex Mercer"/>
    <s v="Closed"/>
    <n v="4"/>
    <n v="48"/>
    <n v="32.01"/>
    <n v="1"/>
  </r>
  <r>
    <s v="TCK-11633"/>
    <s v="2024-10-17 00:57:36"/>
    <s v="2024-10-17 11:45:01"/>
    <s v="P3"/>
    <x v="3"/>
    <s v="Application Support"/>
    <s v="Anita Sharma"/>
    <s v="Closed"/>
    <n v="4"/>
    <n v="24"/>
    <n v="10.79"/>
    <n v="1"/>
  </r>
  <r>
    <s v="TCK-11634"/>
    <s v="2024-12-03 10:37:36"/>
    <s v="2024-12-03 23:51:02"/>
    <s v="P3"/>
    <x v="0"/>
    <s v="Application Support"/>
    <s v="Pam Beesly"/>
    <s v="Closed"/>
    <n v="5"/>
    <n v="24"/>
    <n v="13.22"/>
    <n v="1"/>
  </r>
  <r>
    <s v="TCK-11635"/>
    <s v="2024-01-15 01:02:06"/>
    <s v="2024-01-16 04:42:13"/>
    <s v="P3"/>
    <x v="2"/>
    <s v="L1 Support"/>
    <s v="Alex Mercer"/>
    <s v="Resolved"/>
    <n v="3"/>
    <n v="24"/>
    <n v="27.67"/>
    <n v="0"/>
  </r>
  <r>
    <s v="TCK-11636"/>
    <s v="2024-05-02 00:06:38"/>
    <s v="2024-05-03 06:20:18"/>
    <s v="P4"/>
    <x v="2"/>
    <s v="L2 Support"/>
    <s v="Emily Watson"/>
    <s v="Resolved"/>
    <n v="4"/>
    <n v="48"/>
    <n v="30.23"/>
    <n v="1"/>
  </r>
  <r>
    <s v="TCK-11637"/>
    <s v="2024-12-17 14:41:31"/>
    <s v="2024-12-18 02:00:44"/>
    <s v="P4"/>
    <x v="2"/>
    <s v="L2 Support"/>
    <s v="Michael Scott"/>
    <s v="Resolved"/>
    <n v="5"/>
    <n v="48"/>
    <n v="11.32"/>
    <n v="1"/>
  </r>
  <r>
    <s v="TCK-11638"/>
    <s v="2024-03-04 17:39:47"/>
    <s v="2024-03-05 05:38:32"/>
    <s v="P3"/>
    <x v="2"/>
    <s v="Billing Operations"/>
    <s v="Jim Halpert"/>
    <s v="Resolved"/>
    <n v="5"/>
    <n v="24"/>
    <n v="11.98"/>
    <n v="1"/>
  </r>
  <r>
    <s v="TCK-11639"/>
    <s v="2024-09-25 06:55:40"/>
    <m/>
    <s v="P4"/>
    <x v="2"/>
    <s v="L1 Support"/>
    <s v="Carlos Mendez"/>
    <s v="Open"/>
    <m/>
    <n v="48"/>
    <m/>
    <m/>
  </r>
  <r>
    <s v="TCK-11640"/>
    <s v="2024-12-19 10:13:00"/>
    <s v="2024-12-20 04:15:58"/>
    <s v="P3"/>
    <x v="0"/>
    <s v="L2 Support"/>
    <s v="Jim Halpert"/>
    <s v="Resolved"/>
    <n v="5"/>
    <n v="24"/>
    <n v="18.05"/>
    <n v="1"/>
  </r>
  <r>
    <s v="TCK-11641"/>
    <s v="2024-11-13 23:51:44"/>
    <s v="2024-11-14 12:17:39"/>
    <s v="P3"/>
    <x v="2"/>
    <s v="Billing Operations"/>
    <s v="John Doe"/>
    <s v="Resolved"/>
    <n v="5"/>
    <n v="24"/>
    <n v="12.43"/>
    <n v="1"/>
  </r>
  <r>
    <s v="TCK-11642"/>
    <s v="2024-05-13 20:43:00"/>
    <s v="2024-05-15 05:09:12"/>
    <s v="P4"/>
    <x v="4"/>
    <s v="Infrastructure"/>
    <s v="Sarah Connor"/>
    <s v="Resolved"/>
    <n v="5"/>
    <n v="48"/>
    <n v="32.44"/>
    <n v="1"/>
  </r>
  <r>
    <s v="TCK-11643"/>
    <s v="2024-02-13 10:19:56"/>
    <s v="2024-02-15 05:50:30"/>
    <s v="P4"/>
    <x v="0"/>
    <s v="L2 Support"/>
    <s v="Carlos Mendez"/>
    <s v="Resolved"/>
    <n v="3"/>
    <n v="48"/>
    <n v="43.51"/>
    <n v="1"/>
  </r>
  <r>
    <s v="TCK-11644"/>
    <s v="2024-08-22 10:37:12"/>
    <s v="2024-08-24 02:09:04"/>
    <s v="P4"/>
    <x v="2"/>
    <s v="Billing Operations"/>
    <s v="Anita Sharma"/>
    <s v="Resolved"/>
    <n v="4"/>
    <n v="48"/>
    <n v="39.53"/>
    <n v="1"/>
  </r>
  <r>
    <s v="TCK-11645"/>
    <s v="2024-04-19 04:04:49"/>
    <s v="2024-04-20 11:22:33"/>
    <s v="P4"/>
    <x v="4"/>
    <s v="L1 Support"/>
    <s v="Dwight Schrute"/>
    <s v="Resolved"/>
    <n v="5"/>
    <n v="48"/>
    <n v="31.3"/>
    <n v="1"/>
  </r>
  <r>
    <s v="TCK-11646"/>
    <s v="2024-04-12 12:23:40"/>
    <s v="2024-04-13 00:08:21"/>
    <s v="P3"/>
    <x v="2"/>
    <s v="L1 Support"/>
    <s v="Michael Scott"/>
    <s v="Closed"/>
    <n v="3"/>
    <n v="24"/>
    <n v="11.74"/>
    <n v="1"/>
  </r>
  <r>
    <s v="TCK-11647"/>
    <s v="2024-08-02 10:14:49"/>
    <s v="2024-08-02 11:56:28"/>
    <s v="P1"/>
    <x v="0"/>
    <s v="Billing Operations"/>
    <s v="Alex Mercer"/>
    <s v="Closed"/>
    <n v="5"/>
    <n v="4"/>
    <n v="1.69"/>
    <n v="1"/>
  </r>
  <r>
    <s v="TCK-11648"/>
    <s v="2024-05-27 22:00:52"/>
    <s v="2024-05-28 10:52:16"/>
    <s v="P3"/>
    <x v="0"/>
    <s v="Infrastructure"/>
    <s v="Priya Nair"/>
    <s v="Resolved"/>
    <n v="5"/>
    <n v="24"/>
    <n v="12.86"/>
    <n v="1"/>
  </r>
  <r>
    <s v="TCK-11649"/>
    <s v="2024-06-14 04:45:33"/>
    <s v="2024-06-14 12:54:16"/>
    <s v="P3"/>
    <x v="2"/>
    <s v="Infrastructure"/>
    <s v="Priya Nair"/>
    <s v="Resolved"/>
    <n v="3"/>
    <n v="24"/>
    <n v="8.15"/>
    <n v="1"/>
  </r>
  <r>
    <s v="TCK-11650"/>
    <s v="2024-06-24 01:07:53"/>
    <s v="2024-06-24 11:10:30"/>
    <s v="P4"/>
    <x v="1"/>
    <s v="Infrastructure"/>
    <s v="Ravi Patel"/>
    <s v="Closed"/>
    <n v="5"/>
    <n v="48"/>
    <n v="10.039999999999999"/>
    <n v="1"/>
  </r>
  <r>
    <s v="TCK-11651"/>
    <s v="2024-04-04 16:33:39"/>
    <s v="2024-04-04 19:53:50"/>
    <s v="P1"/>
    <x v="3"/>
    <s v="L2 Support"/>
    <s v="Anita Sharma"/>
    <s v="Closed"/>
    <n v="3"/>
    <n v="4"/>
    <n v="3.34"/>
    <n v="1"/>
  </r>
  <r>
    <s v="TCK-11652"/>
    <s v="2024-01-06 13:20:13"/>
    <s v="2024-01-07 09:30:44"/>
    <s v="P3"/>
    <x v="2"/>
    <s v="Billing Operations"/>
    <s v="Sarah Connor"/>
    <s v="Resolved"/>
    <n v="4"/>
    <n v="24"/>
    <n v="20.18"/>
    <n v="1"/>
  </r>
  <r>
    <s v="TCK-11653"/>
    <s v="2024-12-05 12:41:29"/>
    <s v="2024-12-05 19:44:01"/>
    <s v="P2"/>
    <x v="0"/>
    <s v="Billing Operations"/>
    <s v="Sarah Connor"/>
    <s v="Resolved"/>
    <n v="5"/>
    <n v="8"/>
    <n v="7.04"/>
    <n v="1"/>
  </r>
  <r>
    <s v="TCK-11654"/>
    <s v="2024-03-13 09:40:57"/>
    <s v="2024-03-13 10:15:08"/>
    <s v="P1"/>
    <x v="4"/>
    <s v="L1 Support"/>
    <s v="Jim Halpert"/>
    <s v="Closed"/>
    <n v="3"/>
    <n v="4"/>
    <n v="0.56999999999999995"/>
    <n v="1"/>
  </r>
  <r>
    <s v="TCK-11655"/>
    <s v="2024-05-04 18:23:26"/>
    <m/>
    <s v="P3"/>
    <x v="1"/>
    <s v="L2 Support"/>
    <s v="Priya Nair"/>
    <s v="Escalated"/>
    <m/>
    <n v="24"/>
    <m/>
    <m/>
  </r>
  <r>
    <s v="TCK-11656"/>
    <s v="2024-08-23 11:16:33"/>
    <s v="2024-08-23 15:17:55"/>
    <s v="P3"/>
    <x v="2"/>
    <s v="Billing Operations"/>
    <s v="Alex Mercer"/>
    <s v="Resolved"/>
    <n v="5"/>
    <n v="24"/>
    <n v="4.0199999999999996"/>
    <n v="1"/>
  </r>
  <r>
    <s v="TCK-11657"/>
    <s v="2024-04-12 13:46:33"/>
    <s v="2024-04-12 15:51:20"/>
    <s v="P2"/>
    <x v="2"/>
    <s v="L2 Support"/>
    <s v="Priya Nair"/>
    <s v="Resolved"/>
    <n v="5"/>
    <n v="8"/>
    <n v="2.08"/>
    <n v="1"/>
  </r>
  <r>
    <s v="TCK-11658"/>
    <s v="2024-10-21 01:05:55"/>
    <s v="2024-10-21 17:32:34"/>
    <s v="P4"/>
    <x v="1"/>
    <s v="Billing Operations"/>
    <s v="Michael Scott"/>
    <s v="Closed"/>
    <n v="4"/>
    <n v="48"/>
    <n v="16.440000000000001"/>
    <n v="1"/>
  </r>
  <r>
    <s v="TCK-11659"/>
    <s v="2024-11-16 12:36:14"/>
    <s v="2024-11-16 15:19:03"/>
    <s v="P2"/>
    <x v="2"/>
    <s v="L1 Support"/>
    <s v="Carlos Mendez"/>
    <s v="Closed"/>
    <n v="4"/>
    <n v="8"/>
    <n v="2.71"/>
    <n v="1"/>
  </r>
  <r>
    <s v="TCK-11660"/>
    <s v="2024-01-25 06:20:09"/>
    <s v="2024-01-25 09:01:39"/>
    <s v="P1"/>
    <x v="2"/>
    <s v="L1 Support"/>
    <s v="Anita Sharma"/>
    <s v="Closed"/>
    <n v="5"/>
    <n v="4"/>
    <n v="2.69"/>
    <n v="1"/>
  </r>
  <r>
    <s v="TCK-11661"/>
    <s v="2024-06-22 12:23:15"/>
    <s v="2024-06-22 19:24:25"/>
    <s v="P1"/>
    <x v="0"/>
    <s v="L1 Support"/>
    <s v="Pam Beesly"/>
    <s v="Closed"/>
    <n v="2"/>
    <n v="4"/>
    <n v="7.02"/>
    <n v="0"/>
  </r>
  <r>
    <s v="TCK-11662"/>
    <s v="2024-09-20 17:14:26"/>
    <s v="2024-09-21 13:09:16"/>
    <s v="P4"/>
    <x v="3"/>
    <s v="Infrastructure"/>
    <s v="Dwight Schrute"/>
    <s v="Resolved"/>
    <n v="4"/>
    <n v="48"/>
    <n v="19.91"/>
    <n v="1"/>
  </r>
  <r>
    <s v="TCK-11663"/>
    <s v="2024-07-09 06:37:31"/>
    <s v="2024-07-09 09:49:29"/>
    <s v="P2"/>
    <x v="4"/>
    <s v="L2 Support"/>
    <s v="Emily Watson"/>
    <s v="Closed"/>
    <n v="4"/>
    <n v="8"/>
    <n v="3.2"/>
    <n v="1"/>
  </r>
  <r>
    <s v="TCK-11664"/>
    <s v="2024-06-28 14:47:55"/>
    <s v="2024-06-28 16:38:12"/>
    <s v="P2"/>
    <x v="0"/>
    <s v="Application Support"/>
    <s v="Dwight Schrute"/>
    <s v="Closed"/>
    <n v="5"/>
    <n v="8"/>
    <n v="1.84"/>
    <n v="1"/>
  </r>
  <r>
    <s v="TCK-11665"/>
    <s v="2024-05-30 01:43:06"/>
    <s v="2024-05-31 09:54:34"/>
    <s v="P3"/>
    <x v="1"/>
    <s v="L2 Support"/>
    <s v="Pam Beesly"/>
    <s v="Resolved"/>
    <n v="2"/>
    <n v="24"/>
    <n v="32.19"/>
    <n v="0"/>
  </r>
  <r>
    <s v="TCK-11666"/>
    <s v="2024-06-18 00:43:36"/>
    <s v="2024-06-18 05:03:41"/>
    <s v="P3"/>
    <x v="3"/>
    <s v="L2 Support"/>
    <s v="John Doe"/>
    <s v="Closed"/>
    <n v="4"/>
    <n v="24"/>
    <n v="4.33"/>
    <n v="1"/>
  </r>
  <r>
    <s v="TCK-11667"/>
    <s v="2024-02-28 13:10:03"/>
    <s v="2024-02-29 10:53:13"/>
    <s v="P2"/>
    <x v="1"/>
    <s v="Application Support"/>
    <s v="Jim Halpert"/>
    <s v="Resolved"/>
    <n v="1"/>
    <n v="8"/>
    <n v="21.72"/>
    <n v="0"/>
  </r>
  <r>
    <s v="TCK-11668"/>
    <s v="2024-03-15 02:25:32"/>
    <m/>
    <s v="P3"/>
    <x v="0"/>
    <s v="Application Support"/>
    <s v="Jim Halpert"/>
    <s v="Open"/>
    <m/>
    <n v="24"/>
    <m/>
    <m/>
  </r>
  <r>
    <s v="TCK-11669"/>
    <s v="2024-03-03 09:38:11"/>
    <s v="2024-03-03 21:45:39"/>
    <s v="P3"/>
    <x v="3"/>
    <s v="Infrastructure"/>
    <s v="Sarah Connor"/>
    <s v="Resolved"/>
    <n v="4"/>
    <n v="24"/>
    <n v="12.12"/>
    <n v="1"/>
  </r>
  <r>
    <s v="TCK-11670"/>
    <s v="2024-04-01 15:46:45"/>
    <s v="2024-04-03 22:32:01"/>
    <s v="P3"/>
    <x v="1"/>
    <s v="L2 Support"/>
    <s v="Jim Halpert"/>
    <s v="Resolved"/>
    <n v="2"/>
    <n v="24"/>
    <n v="54.75"/>
    <n v="0"/>
  </r>
  <r>
    <s v="TCK-11671"/>
    <s v="2024-04-30 23:06:46"/>
    <s v="2024-05-01 16:17:52"/>
    <s v="P3"/>
    <x v="2"/>
    <s v="L1 Support"/>
    <s v="Anita Sharma"/>
    <s v="Resolved"/>
    <n v="5"/>
    <n v="24"/>
    <n v="17.18"/>
    <n v="1"/>
  </r>
  <r>
    <s v="TCK-11672"/>
    <s v="2024-12-01 21:58:22"/>
    <s v="2024-12-02 00:26:46"/>
    <s v="P2"/>
    <x v="3"/>
    <s v="Application Support"/>
    <s v="Sarah Connor"/>
    <s v="Resolved"/>
    <n v="5"/>
    <n v="8"/>
    <n v="2.4700000000000002"/>
    <n v="1"/>
  </r>
  <r>
    <s v="TCK-11673"/>
    <s v="2024-09-24 15:15:04"/>
    <m/>
    <s v="P2"/>
    <x v="0"/>
    <s v="Infrastructure"/>
    <s v="Carlos Mendez"/>
    <s v="Open"/>
    <m/>
    <n v="8"/>
    <m/>
    <m/>
  </r>
  <r>
    <s v="TCK-11674"/>
    <s v="2024-07-04 06:23:27"/>
    <s v="2024-07-07 04:46:30"/>
    <s v="P3"/>
    <x v="3"/>
    <s v="Billing Operations"/>
    <s v="Pam Beesly"/>
    <s v="Closed"/>
    <n v="3"/>
    <n v="24"/>
    <n v="70.38"/>
    <n v="0"/>
  </r>
  <r>
    <s v="TCK-11675"/>
    <s v="2024-08-10 13:59:21"/>
    <s v="2024-08-11 14:43:24"/>
    <s v="P4"/>
    <x v="2"/>
    <s v="Billing Operations"/>
    <s v="Anita Sharma"/>
    <s v="Resolved"/>
    <n v="4"/>
    <n v="48"/>
    <n v="24.73"/>
    <n v="1"/>
  </r>
  <r>
    <s v="TCK-11676"/>
    <s v="2024-01-08 20:47:45"/>
    <s v="2024-01-09 00:56:03"/>
    <s v="P2"/>
    <x v="0"/>
    <s v="Application Support"/>
    <s v="John Doe"/>
    <s v="Closed"/>
    <n v="5"/>
    <n v="8"/>
    <n v="4.1399999999999997"/>
    <n v="1"/>
  </r>
  <r>
    <s v="TCK-11677"/>
    <s v="2024-12-12 07:53:18"/>
    <s v="2024-12-13 20:06:07"/>
    <s v="P4"/>
    <x v="0"/>
    <s v="L1 Support"/>
    <s v="Dwight Schrute"/>
    <s v="Resolved"/>
    <n v="5"/>
    <n v="48"/>
    <n v="36.21"/>
    <n v="1"/>
  </r>
  <r>
    <s v="TCK-11678"/>
    <s v="2024-05-21 14:41:53"/>
    <s v="2024-05-23 05:09:05"/>
    <s v="P4"/>
    <x v="1"/>
    <s v="L2 Support"/>
    <s v="Emily Watson"/>
    <s v="Closed"/>
    <n v="4"/>
    <n v="48"/>
    <n v="38.450000000000003"/>
    <n v="1"/>
  </r>
  <r>
    <s v="TCK-11679"/>
    <s v="2024-02-27 01:56:20"/>
    <s v="2024-02-27 21:09:04"/>
    <s v="P3"/>
    <x v="4"/>
    <s v="Application Support"/>
    <s v="Pam Beesly"/>
    <s v="Closed"/>
    <n v="5"/>
    <n v="24"/>
    <n v="19.21"/>
    <n v="1"/>
  </r>
  <r>
    <s v="TCK-11680"/>
    <s v="2024-12-25 01:35:36"/>
    <s v="2024-12-25 14:16:39"/>
    <s v="P3"/>
    <x v="1"/>
    <s v="L1 Support"/>
    <s v="Priya Nair"/>
    <s v="Closed"/>
    <n v="4"/>
    <n v="24"/>
    <n v="12.68"/>
    <n v="1"/>
  </r>
  <r>
    <s v="TCK-11681"/>
    <s v="2024-05-26 08:39:25"/>
    <s v="2024-05-26 11:34:21"/>
    <s v="P3"/>
    <x v="0"/>
    <s v="L1 Support"/>
    <s v="Michael Scott"/>
    <s v="Resolved"/>
    <n v="5"/>
    <n v="24"/>
    <n v="2.92"/>
    <n v="1"/>
  </r>
  <r>
    <s v="TCK-11682"/>
    <s v="2024-10-23 09:50:14"/>
    <s v="2024-10-24 00:21:05"/>
    <s v="P3"/>
    <x v="2"/>
    <s v="L2 Support"/>
    <s v="Dwight Schrute"/>
    <s v="Closed"/>
    <n v="5"/>
    <n v="24"/>
    <n v="14.51"/>
    <n v="1"/>
  </r>
  <r>
    <s v="TCK-11683"/>
    <s v="2024-02-12 04:15:17"/>
    <s v="2024-02-13 08:58:59"/>
    <s v="P4"/>
    <x v="2"/>
    <s v="L2 Support"/>
    <s v="Priya Nair"/>
    <s v="Closed"/>
    <n v="4"/>
    <n v="48"/>
    <n v="28.73"/>
    <n v="1"/>
  </r>
  <r>
    <s v="TCK-11684"/>
    <s v="2024-01-07 22:02:36"/>
    <s v="2024-01-08 03:44:33"/>
    <s v="P2"/>
    <x v="0"/>
    <s v="Billing Operations"/>
    <s v="Dwight Schrute"/>
    <s v="Resolved"/>
    <n v="5"/>
    <n v="8"/>
    <n v="5.7"/>
    <n v="1"/>
  </r>
  <r>
    <s v="TCK-11685"/>
    <s v="2024-09-01 13:40:58"/>
    <s v="2024-09-02 05:12:45"/>
    <s v="P3"/>
    <x v="2"/>
    <s v="L2 Support"/>
    <s v="Pam Beesly"/>
    <s v="Closed"/>
    <n v="4"/>
    <n v="24"/>
    <n v="15.53"/>
    <n v="1"/>
  </r>
  <r>
    <s v="TCK-11686"/>
    <s v="2024-10-21 03:00:38"/>
    <s v="2024-10-21 06:42:49"/>
    <s v="P3"/>
    <x v="0"/>
    <s v="L1 Support"/>
    <s v="Priya Nair"/>
    <s v="Closed"/>
    <n v="3"/>
    <n v="24"/>
    <n v="3.7"/>
    <n v="1"/>
  </r>
  <r>
    <s v="TCK-11687"/>
    <s v="2024-02-29 04:44:02"/>
    <s v="2024-02-29 18:24:32"/>
    <s v="P2"/>
    <x v="1"/>
    <s v="L2 Support"/>
    <s v="Sarah Connor"/>
    <s v="Closed"/>
    <n v="2"/>
    <n v="8"/>
    <n v="13.68"/>
    <n v="0"/>
  </r>
  <r>
    <s v="TCK-11688"/>
    <s v="2024-10-18 22:26:08"/>
    <s v="2024-10-19 01:11:49"/>
    <s v="P1"/>
    <x v="2"/>
    <s v="L1 Support"/>
    <s v="Ravi Patel"/>
    <s v="Resolved"/>
    <n v="5"/>
    <n v="4"/>
    <n v="2.76"/>
    <n v="1"/>
  </r>
  <r>
    <s v="TCK-11689"/>
    <s v="2024-02-05 01:57:19"/>
    <s v="2024-02-06 10:38:34"/>
    <s v="P4"/>
    <x v="2"/>
    <s v="L1 Support"/>
    <s v="Michael Scott"/>
    <s v="Resolved"/>
    <n v="3"/>
    <n v="48"/>
    <n v="32.69"/>
    <n v="1"/>
  </r>
  <r>
    <s v="TCK-11690"/>
    <s v="2024-09-07 00:17:10"/>
    <s v="2024-09-07 11:18:48"/>
    <s v="P4"/>
    <x v="2"/>
    <s v="L1 Support"/>
    <s v="Alex Mercer"/>
    <s v="Resolved"/>
    <n v="5"/>
    <n v="48"/>
    <n v="11.03"/>
    <n v="1"/>
  </r>
  <r>
    <s v="TCK-11691"/>
    <s v="2024-07-13 17:46:47"/>
    <s v="2024-07-13 18:44:22"/>
    <s v="P2"/>
    <x v="2"/>
    <s v="Application Support"/>
    <s v="Alex Mercer"/>
    <s v="Resolved"/>
    <n v="5"/>
    <n v="8"/>
    <n v="0.96"/>
    <n v="1"/>
  </r>
  <r>
    <s v="TCK-11692"/>
    <s v="2024-06-10 11:30:32"/>
    <s v="2024-06-10 14:03:17"/>
    <s v="P3"/>
    <x v="1"/>
    <s v="Billing Operations"/>
    <s v="Alex Mercer"/>
    <s v="Resolved"/>
    <n v="5"/>
    <n v="24"/>
    <n v="2.5499999999999998"/>
    <n v="1"/>
  </r>
  <r>
    <s v="TCK-11693"/>
    <s v="2024-08-14 04:44:54"/>
    <s v="2024-08-15 22:53:18"/>
    <s v="P4"/>
    <x v="2"/>
    <s v="L2 Support"/>
    <s v="Jim Halpert"/>
    <s v="Resolved"/>
    <n v="5"/>
    <n v="48"/>
    <n v="42.14"/>
    <n v="1"/>
  </r>
  <r>
    <s v="TCK-11694"/>
    <s v="2024-04-19 14:59:52"/>
    <s v="2024-04-19 17:32:25"/>
    <s v="P2"/>
    <x v="2"/>
    <s v="Application Support"/>
    <s v="John Doe"/>
    <s v="Closed"/>
    <n v="4"/>
    <n v="8"/>
    <n v="2.54"/>
    <n v="1"/>
  </r>
  <r>
    <s v="TCK-11695"/>
    <s v="2024-12-15 01:17:48"/>
    <s v="2024-12-15 06:31:34"/>
    <s v="P2"/>
    <x v="1"/>
    <s v="Infrastructure"/>
    <s v="Dwight Schrute"/>
    <s v="Resolved"/>
    <n v="5"/>
    <n v="8"/>
    <n v="5.23"/>
    <n v="1"/>
  </r>
  <r>
    <s v="TCK-11696"/>
    <s v="2024-06-06 21:18:45"/>
    <s v="2024-06-07 08:50:05"/>
    <s v="P2"/>
    <x v="1"/>
    <s v="Application Support"/>
    <s v="Sarah Connor"/>
    <s v="Closed"/>
    <n v="2"/>
    <n v="8"/>
    <n v="11.52"/>
    <n v="0"/>
  </r>
  <r>
    <s v="TCK-11697"/>
    <s v="2024-10-17 13:05:22"/>
    <s v="2024-10-17 14:15:32"/>
    <s v="P2"/>
    <x v="3"/>
    <s v="L2 Support"/>
    <s v="Anita Sharma"/>
    <s v="Closed"/>
    <n v="5"/>
    <n v="8"/>
    <n v="1.17"/>
    <n v="1"/>
  </r>
  <r>
    <s v="TCK-11698"/>
    <s v="2024-08-08 11:23:35"/>
    <s v="2024-08-10 02:02:24"/>
    <s v="P4"/>
    <x v="0"/>
    <s v="L2 Support"/>
    <s v="Ravi Patel"/>
    <s v="Resolved"/>
    <n v="5"/>
    <n v="48"/>
    <n v="38.65"/>
    <n v="1"/>
  </r>
  <r>
    <s v="TCK-11699"/>
    <s v="2024-03-21 11:20:47"/>
    <m/>
    <s v="P3"/>
    <x v="0"/>
    <s v="Infrastructure"/>
    <s v="Dwight Schrute"/>
    <s v="Escalated"/>
    <m/>
    <n v="24"/>
    <m/>
    <m/>
  </r>
  <r>
    <s v="TCK-11700"/>
    <s v="2024-08-22 01:18:12"/>
    <s v="2024-08-22 17:18:38"/>
    <s v="P3"/>
    <x v="4"/>
    <s v="Application Support"/>
    <s v="Ravi Patel"/>
    <s v="Closed"/>
    <n v="5"/>
    <n v="24"/>
    <n v="16.010000000000002"/>
    <n v="1"/>
  </r>
  <r>
    <s v="TCK-11701"/>
    <s v="2024-01-31 11:58:31"/>
    <s v="2024-01-31 19:58:10"/>
    <s v="P3"/>
    <x v="0"/>
    <s v="L1 Support"/>
    <s v="Anita Sharma"/>
    <s v="Resolved"/>
    <n v="3"/>
    <n v="24"/>
    <n v="7.99"/>
    <n v="1"/>
  </r>
  <r>
    <s v="TCK-11702"/>
    <s v="2024-06-22 04:15:56"/>
    <s v="2024-06-22 10:33:27"/>
    <s v="P3"/>
    <x v="3"/>
    <s v="L2 Support"/>
    <s v="Sarah Connor"/>
    <s v="Resolved"/>
    <n v="4"/>
    <n v="24"/>
    <n v="6.29"/>
    <n v="1"/>
  </r>
  <r>
    <s v="TCK-11703"/>
    <s v="2024-12-06 17:03:22"/>
    <s v="2024-12-08 08:23:31"/>
    <s v="P3"/>
    <x v="2"/>
    <s v="L1 Support"/>
    <s v="Michael Scott"/>
    <s v="Closed"/>
    <n v="1"/>
    <n v="24"/>
    <n v="39.340000000000003"/>
    <n v="0"/>
  </r>
  <r>
    <s v="TCK-11704"/>
    <s v="2024-12-27 13:24:01"/>
    <m/>
    <s v="P4"/>
    <x v="4"/>
    <s v="L2 Support"/>
    <s v="Sarah Connor"/>
    <s v="Open"/>
    <m/>
    <n v="48"/>
    <m/>
    <m/>
  </r>
  <r>
    <s v="TCK-11705"/>
    <s v="2024-10-16 09:00:39"/>
    <s v="2024-10-16 23:23:26"/>
    <s v="P4"/>
    <x v="0"/>
    <s v="Application Support"/>
    <s v="John Doe"/>
    <s v="Resolved"/>
    <n v="5"/>
    <n v="48"/>
    <n v="14.38"/>
    <n v="1"/>
  </r>
  <r>
    <s v="TCK-11706"/>
    <s v="2024-08-13 11:54:48"/>
    <s v="2024-08-14 04:25:33"/>
    <s v="P3"/>
    <x v="2"/>
    <s v="L1 Support"/>
    <s v="Priya Nair"/>
    <s v="Closed"/>
    <n v="4"/>
    <n v="24"/>
    <n v="16.510000000000002"/>
    <n v="1"/>
  </r>
  <r>
    <s v="TCK-11707"/>
    <s v="2024-06-03 17:19:53"/>
    <m/>
    <s v="P3"/>
    <x v="1"/>
    <s v="Application Support"/>
    <s v="Jim Halpert"/>
    <s v="Open"/>
    <m/>
    <n v="24"/>
    <m/>
    <m/>
  </r>
  <r>
    <s v="TCK-11708"/>
    <s v="2024-01-18 10:25:26"/>
    <s v="2024-01-19 05:11:00"/>
    <s v="P3"/>
    <x v="4"/>
    <s v="Infrastructure"/>
    <s v="Priya Nair"/>
    <s v="Resolved"/>
    <n v="3"/>
    <n v="24"/>
    <n v="18.760000000000002"/>
    <n v="1"/>
  </r>
  <r>
    <s v="TCK-11709"/>
    <s v="2024-04-15 22:52:25"/>
    <m/>
    <s v="P4"/>
    <x v="1"/>
    <s v="Application Support"/>
    <s v="Alex Mercer"/>
    <s v="Escalated"/>
    <m/>
    <n v="48"/>
    <m/>
    <m/>
  </r>
  <r>
    <s v="TCK-11710"/>
    <s v="2024-01-18 11:15:25"/>
    <m/>
    <s v="P4"/>
    <x v="0"/>
    <s v="Application Support"/>
    <s v="Ravi Patel"/>
    <s v="Open"/>
    <m/>
    <n v="48"/>
    <m/>
    <m/>
  </r>
  <r>
    <s v="TCK-11711"/>
    <s v="2024-07-09 01:24:26"/>
    <s v="2024-07-09 13:06:53"/>
    <s v="P3"/>
    <x v="0"/>
    <s v="L1 Support"/>
    <s v="Michael Scott"/>
    <s v="Resolved"/>
    <n v="4"/>
    <n v="24"/>
    <n v="11.71"/>
    <n v="1"/>
  </r>
  <r>
    <s v="TCK-11712"/>
    <s v="2024-03-04 23:36:34"/>
    <s v="2024-03-05 09:05:02"/>
    <s v="P3"/>
    <x v="4"/>
    <s v="Billing Operations"/>
    <s v="Ravi Patel"/>
    <s v="Resolved"/>
    <n v="4"/>
    <n v="24"/>
    <n v="9.4700000000000006"/>
    <n v="1"/>
  </r>
  <r>
    <s v="TCK-11713"/>
    <s v="2024-06-05 08:51:12"/>
    <s v="2024-06-05 21:20:28"/>
    <s v="P3"/>
    <x v="4"/>
    <s v="Infrastructure"/>
    <s v="John Doe"/>
    <s v="Closed"/>
    <n v="5"/>
    <n v="24"/>
    <n v="12.49"/>
    <n v="1"/>
  </r>
  <r>
    <s v="TCK-11714"/>
    <s v="2024-05-20 06:30:29"/>
    <s v="2024-05-21 06:20:36"/>
    <s v="P4"/>
    <x v="1"/>
    <s v="Infrastructure"/>
    <s v="John Doe"/>
    <s v="Resolved"/>
    <n v="5"/>
    <n v="48"/>
    <n v="23.84"/>
    <n v="1"/>
  </r>
  <r>
    <s v="TCK-11715"/>
    <s v="2024-12-01 00:33:28"/>
    <m/>
    <s v="P3"/>
    <x v="0"/>
    <s v="Infrastructure"/>
    <s v="Ravi Patel"/>
    <s v="Open"/>
    <m/>
    <n v="24"/>
    <m/>
    <m/>
  </r>
  <r>
    <s v="TCK-11716"/>
    <s v="2024-08-31 02:00:27"/>
    <s v="2024-08-31 04:12:25"/>
    <s v="P2"/>
    <x v="2"/>
    <s v="L2 Support"/>
    <s v="Anita Sharma"/>
    <s v="Resolved"/>
    <n v="5"/>
    <n v="8"/>
    <n v="2.2000000000000002"/>
    <n v="1"/>
  </r>
  <r>
    <s v="TCK-11717"/>
    <s v="2024-02-02 01:54:13"/>
    <s v="2024-02-02 06:52:06"/>
    <s v="P4"/>
    <x v="0"/>
    <s v="Billing Operations"/>
    <s v="Ravi Patel"/>
    <s v="Resolved"/>
    <n v="5"/>
    <n v="48"/>
    <n v="4.96"/>
    <n v="1"/>
  </r>
  <r>
    <s v="TCK-11718"/>
    <s v="2024-09-15 10:51:54"/>
    <s v="2024-09-17 00:10:44"/>
    <s v="P4"/>
    <x v="0"/>
    <s v="Infrastructure"/>
    <s v="Dwight Schrute"/>
    <s v="Resolved"/>
    <n v="5"/>
    <n v="48"/>
    <n v="37.31"/>
    <n v="1"/>
  </r>
  <r>
    <s v="TCK-11719"/>
    <s v="2024-06-02 17:17:55"/>
    <s v="2024-06-03 11:01:49"/>
    <s v="P3"/>
    <x v="0"/>
    <s v="L2 Support"/>
    <s v="Anita Sharma"/>
    <s v="Resolved"/>
    <n v="4"/>
    <n v="24"/>
    <n v="17.73"/>
    <n v="1"/>
  </r>
  <r>
    <s v="TCK-11720"/>
    <s v="2024-09-06 01:36:25"/>
    <s v="2024-09-06 14:17:56"/>
    <s v="P3"/>
    <x v="1"/>
    <s v="L2 Support"/>
    <s v="Priya Nair"/>
    <s v="Resolved"/>
    <n v="4"/>
    <n v="24"/>
    <n v="12.69"/>
    <n v="1"/>
  </r>
  <r>
    <s v="TCK-11721"/>
    <s v="2024-02-26 09:29:28"/>
    <s v="2024-02-26 22:49:41"/>
    <s v="P4"/>
    <x v="3"/>
    <s v="Infrastructure"/>
    <s v="Emily Watson"/>
    <s v="Closed"/>
    <n v="5"/>
    <n v="48"/>
    <n v="13.34"/>
    <n v="1"/>
  </r>
  <r>
    <s v="TCK-11722"/>
    <s v="2024-11-12 15:38:15"/>
    <s v="2024-11-13 10:39:10"/>
    <s v="P2"/>
    <x v="1"/>
    <s v="Infrastructure"/>
    <s v="Sarah Connor"/>
    <s v="Resolved"/>
    <n v="1"/>
    <n v="8"/>
    <n v="19.02"/>
    <n v="0"/>
  </r>
  <r>
    <s v="TCK-11723"/>
    <s v="2024-06-25 02:31:54"/>
    <s v="2024-06-25 19:34:49"/>
    <s v="P4"/>
    <x v="2"/>
    <s v="Infrastructure"/>
    <s v="Carlos Mendez"/>
    <s v="Resolved"/>
    <n v="4"/>
    <n v="48"/>
    <n v="17.05"/>
    <n v="1"/>
  </r>
  <r>
    <s v="TCK-11724"/>
    <s v="2024-03-22 06:52:47"/>
    <s v="2024-03-22 11:01:14"/>
    <s v="P2"/>
    <x v="3"/>
    <s v="Application Support"/>
    <s v="Carlos Mendez"/>
    <s v="Closed"/>
    <n v="3"/>
    <n v="8"/>
    <n v="4.1399999999999997"/>
    <n v="1"/>
  </r>
  <r>
    <s v="TCK-11725"/>
    <s v="2024-05-04 11:11:05"/>
    <s v="2024-05-04 22:12:28"/>
    <s v="P3"/>
    <x v="2"/>
    <s v="Application Support"/>
    <s v="Jim Halpert"/>
    <s v="Closed"/>
    <n v="5"/>
    <n v="24"/>
    <n v="11.02"/>
    <n v="1"/>
  </r>
  <r>
    <s v="TCK-11726"/>
    <s v="2024-12-08 08:07:12"/>
    <s v="2024-12-10 20:50:36"/>
    <s v="P3"/>
    <x v="4"/>
    <s v="Application Support"/>
    <s v="Alex Mercer"/>
    <s v="Resolved"/>
    <n v="1"/>
    <n v="24"/>
    <n v="60.72"/>
    <n v="0"/>
  </r>
  <r>
    <s v="TCK-11727"/>
    <s v="2024-04-08 06:16:04"/>
    <s v="2024-04-08 20:58:53"/>
    <s v="P3"/>
    <x v="1"/>
    <s v="L1 Support"/>
    <s v="Dwight Schrute"/>
    <s v="Resolved"/>
    <n v="4"/>
    <n v="24"/>
    <n v="14.71"/>
    <n v="1"/>
  </r>
  <r>
    <s v="TCK-11728"/>
    <s v="2024-05-05 17:23:23"/>
    <s v="2024-05-05 22:50:23"/>
    <s v="P2"/>
    <x v="0"/>
    <s v="Application Support"/>
    <s v="Emily Watson"/>
    <s v="Closed"/>
    <n v="5"/>
    <n v="8"/>
    <n v="5.45"/>
    <n v="1"/>
  </r>
  <r>
    <s v="TCK-11729"/>
    <s v="2024-09-19 13:43:04"/>
    <s v="2024-09-20 06:20:21"/>
    <s v="P3"/>
    <x v="4"/>
    <s v="Application Support"/>
    <s v="Sarah Connor"/>
    <s v="Resolved"/>
    <n v="4"/>
    <n v="24"/>
    <n v="16.62"/>
    <n v="1"/>
  </r>
  <r>
    <s v="TCK-11730"/>
    <s v="2024-12-25 13:26:34"/>
    <s v="2024-12-25 19:23:26"/>
    <s v="P3"/>
    <x v="0"/>
    <s v="Infrastructure"/>
    <s v="Anita Sharma"/>
    <s v="Resolved"/>
    <n v="4"/>
    <n v="24"/>
    <n v="5.95"/>
    <n v="1"/>
  </r>
  <r>
    <s v="TCK-11731"/>
    <s v="2024-11-27 19:42:35"/>
    <s v="2024-11-28 02:12:13"/>
    <s v="P2"/>
    <x v="2"/>
    <s v="Infrastructure"/>
    <s v="Jim Halpert"/>
    <s v="Resolved"/>
    <n v="4"/>
    <n v="8"/>
    <n v="6.49"/>
    <n v="1"/>
  </r>
  <r>
    <s v="TCK-11732"/>
    <s v="2024-07-08 04:09:17"/>
    <s v="2024-07-08 07:16:01"/>
    <s v="P2"/>
    <x v="2"/>
    <s v="L2 Support"/>
    <s v="Jim Halpert"/>
    <s v="Resolved"/>
    <n v="5"/>
    <n v="8"/>
    <n v="3.11"/>
    <n v="1"/>
  </r>
  <r>
    <s v="TCK-11733"/>
    <s v="2024-11-24 16:59:21"/>
    <s v="2024-11-25 15:21:23"/>
    <s v="P3"/>
    <x v="0"/>
    <s v="L1 Support"/>
    <s v="Sarah Connor"/>
    <s v="Resolved"/>
    <n v="5"/>
    <n v="24"/>
    <n v="22.37"/>
    <n v="1"/>
  </r>
  <r>
    <s v="TCK-11734"/>
    <s v="2024-01-10 12:41:48"/>
    <s v="2024-01-12 07:07:57"/>
    <s v="P3"/>
    <x v="2"/>
    <s v="Application Support"/>
    <s v="Alex Mercer"/>
    <s v="Closed"/>
    <n v="2"/>
    <n v="24"/>
    <n v="42.44"/>
    <n v="0"/>
  </r>
  <r>
    <s v="TCK-11735"/>
    <s v="2024-06-11 21:51:50"/>
    <s v="2024-06-12 05:37:28"/>
    <s v="P3"/>
    <x v="2"/>
    <s v="Billing Operations"/>
    <s v="Priya Nair"/>
    <s v="Resolved"/>
    <n v="5"/>
    <n v="24"/>
    <n v="7.76"/>
    <n v="1"/>
  </r>
  <r>
    <s v="TCK-11736"/>
    <s v="2024-05-19 05:28:13"/>
    <s v="2024-05-19 19:30:24"/>
    <s v="P3"/>
    <x v="2"/>
    <s v="L2 Support"/>
    <s v="John Doe"/>
    <s v="Resolved"/>
    <n v="5"/>
    <n v="24"/>
    <n v="14.04"/>
    <n v="1"/>
  </r>
  <r>
    <s v="TCK-11737"/>
    <s v="2024-06-22 13:58:23"/>
    <s v="2024-06-24 21:53:10"/>
    <s v="P3"/>
    <x v="2"/>
    <s v="Billing Operations"/>
    <s v="Michael Scott"/>
    <s v="Resolved"/>
    <n v="2"/>
    <n v="24"/>
    <n v="55.91"/>
    <n v="0"/>
  </r>
  <r>
    <s v="TCK-11738"/>
    <s v="2024-02-15 07:47:55"/>
    <s v="2024-02-15 10:25:37"/>
    <s v="P3"/>
    <x v="2"/>
    <s v="L2 Support"/>
    <s v="Michael Scott"/>
    <s v="Resolved"/>
    <n v="3"/>
    <n v="24"/>
    <n v="2.63"/>
    <n v="1"/>
  </r>
  <r>
    <s v="TCK-11739"/>
    <s v="2024-11-02 09:30:14"/>
    <s v="2024-11-02 12:39:46"/>
    <s v="P1"/>
    <x v="2"/>
    <s v="Infrastructure"/>
    <s v="Anita Sharma"/>
    <s v="Resolved"/>
    <n v="4"/>
    <n v="4"/>
    <n v="3.16"/>
    <n v="1"/>
  </r>
  <r>
    <s v="TCK-11740"/>
    <s v="2024-04-04 23:13:34"/>
    <s v="2024-04-05 08:04:02"/>
    <s v="P4"/>
    <x v="2"/>
    <s v="L2 Support"/>
    <s v="Carlos Mendez"/>
    <s v="Resolved"/>
    <n v="4"/>
    <n v="48"/>
    <n v="8.84"/>
    <n v="1"/>
  </r>
  <r>
    <s v="TCK-11741"/>
    <s v="2024-09-03 07:41:01"/>
    <s v="2024-09-04 15:41:18"/>
    <s v="P3"/>
    <x v="0"/>
    <s v="L1 Support"/>
    <s v="John Doe"/>
    <s v="Closed"/>
    <n v="3"/>
    <n v="24"/>
    <n v="32"/>
    <n v="0"/>
  </r>
  <r>
    <s v="TCK-11742"/>
    <s v="2024-07-04 20:22:42"/>
    <s v="2024-07-05 15:54:34"/>
    <s v="P3"/>
    <x v="1"/>
    <s v="Billing Operations"/>
    <s v="John Doe"/>
    <s v="Resolved"/>
    <n v="4"/>
    <n v="24"/>
    <n v="19.53"/>
    <n v="1"/>
  </r>
  <r>
    <s v="TCK-11743"/>
    <s v="2024-03-28 20:20:24"/>
    <s v="2024-03-29 02:16:07"/>
    <s v="P4"/>
    <x v="2"/>
    <s v="Application Support"/>
    <s v="Alex Mercer"/>
    <s v="Closed"/>
    <n v="5"/>
    <n v="48"/>
    <n v="5.93"/>
    <n v="1"/>
  </r>
  <r>
    <s v="TCK-11744"/>
    <s v="2024-12-27 19:29:53"/>
    <m/>
    <s v="P3"/>
    <x v="2"/>
    <s v="L2 Support"/>
    <s v="Priya Nair"/>
    <s v="Open"/>
    <m/>
    <n v="24"/>
    <m/>
    <m/>
  </r>
  <r>
    <s v="TCK-11745"/>
    <s v="2024-07-05 12:00:47"/>
    <s v="2024-07-06 06:00:47"/>
    <s v="P3"/>
    <x v="1"/>
    <s v="Application Support"/>
    <s v="Carlos Mendez"/>
    <s v="Closed"/>
    <n v="5"/>
    <n v="24"/>
    <n v="18"/>
    <n v="1"/>
  </r>
  <r>
    <s v="TCK-11746"/>
    <s v="2024-07-12 09:37:11"/>
    <s v="2024-07-13 06:12:33"/>
    <s v="P3"/>
    <x v="2"/>
    <s v="L1 Support"/>
    <s v="Jim Halpert"/>
    <s v="Resolved"/>
    <n v="4"/>
    <n v="24"/>
    <n v="20.59"/>
    <n v="1"/>
  </r>
  <r>
    <s v="TCK-11747"/>
    <s v="2024-09-06 10:16:56"/>
    <s v="2024-09-06 17:08:44"/>
    <s v="P1"/>
    <x v="2"/>
    <s v="Infrastructure"/>
    <s v="Dwight Schrute"/>
    <s v="Closed"/>
    <n v="3"/>
    <n v="4"/>
    <n v="6.86"/>
    <n v="0"/>
  </r>
  <r>
    <s v="TCK-11748"/>
    <s v="2024-08-23 09:45:59"/>
    <s v="2024-08-23 16:16:30"/>
    <s v="P2"/>
    <x v="2"/>
    <s v="Application Support"/>
    <s v="Ravi Patel"/>
    <s v="Resolved"/>
    <n v="5"/>
    <n v="8"/>
    <n v="6.51"/>
    <n v="1"/>
  </r>
  <r>
    <s v="TCK-11749"/>
    <s v="2024-08-05 21:19:39"/>
    <s v="2024-08-06 22:06:22"/>
    <s v="P4"/>
    <x v="3"/>
    <s v="Billing Operations"/>
    <s v="John Doe"/>
    <s v="Resolved"/>
    <n v="4"/>
    <n v="48"/>
    <n v="24.78"/>
    <n v="1"/>
  </r>
  <r>
    <s v="TCK-11750"/>
    <s v="2024-07-20 02:46:00"/>
    <s v="2024-07-20 09:48:52"/>
    <s v="P3"/>
    <x v="1"/>
    <s v="Infrastructure"/>
    <s v="Michael Scott"/>
    <s v="Closed"/>
    <n v="5"/>
    <n v="24"/>
    <n v="7.05"/>
    <n v="1"/>
  </r>
  <r>
    <s v="TCK-11751"/>
    <s v="2024-05-06 05:25:50"/>
    <s v="2024-05-07 13:48:55"/>
    <s v="P4"/>
    <x v="3"/>
    <s v="Infrastructure"/>
    <s v="Michael Scott"/>
    <s v="Resolved"/>
    <n v="4"/>
    <n v="48"/>
    <n v="32.380000000000003"/>
    <n v="1"/>
  </r>
  <r>
    <s v="TCK-11752"/>
    <s v="2024-08-20 11:31:54"/>
    <s v="2024-08-20 17:48:25"/>
    <s v="P3"/>
    <x v="3"/>
    <s v="Billing Operations"/>
    <s v="John Doe"/>
    <s v="Closed"/>
    <n v="5"/>
    <n v="24"/>
    <n v="6.28"/>
    <n v="1"/>
  </r>
  <r>
    <s v="TCK-11753"/>
    <s v="2024-10-04 02:06:34"/>
    <s v="2024-10-04 19:15:12"/>
    <s v="P3"/>
    <x v="2"/>
    <s v="Application Support"/>
    <s v="Anita Sharma"/>
    <s v="Resolved"/>
    <n v="4"/>
    <n v="24"/>
    <n v="17.14"/>
    <n v="1"/>
  </r>
  <r>
    <s v="TCK-11754"/>
    <s v="2024-04-06 06:27:35"/>
    <s v="2024-04-06 09:48:34"/>
    <s v="P2"/>
    <x v="0"/>
    <s v="Infrastructure"/>
    <s v="John Doe"/>
    <s v="Closed"/>
    <n v="4"/>
    <n v="8"/>
    <n v="3.35"/>
    <n v="1"/>
  </r>
  <r>
    <s v="TCK-11755"/>
    <s v="2024-10-05 19:18:38"/>
    <s v="2024-10-05 21:49:40"/>
    <s v="P2"/>
    <x v="3"/>
    <s v="Billing Operations"/>
    <s v="Pam Beesly"/>
    <s v="Resolved"/>
    <n v="5"/>
    <n v="8"/>
    <n v="2.52"/>
    <n v="1"/>
  </r>
  <r>
    <s v="TCK-11756"/>
    <s v="2024-11-12 02:46:36"/>
    <s v="2024-11-12 15:16:32"/>
    <s v="P3"/>
    <x v="0"/>
    <s v="L1 Support"/>
    <s v="Emily Watson"/>
    <s v="Closed"/>
    <n v="5"/>
    <n v="24"/>
    <n v="12.5"/>
    <n v="1"/>
  </r>
  <r>
    <s v="TCK-11757"/>
    <s v="2024-08-02 04:22:32"/>
    <s v="2024-08-02 15:30:02"/>
    <s v="P3"/>
    <x v="2"/>
    <s v="Billing Operations"/>
    <s v="Jim Halpert"/>
    <s v="Resolved"/>
    <n v="5"/>
    <n v="24"/>
    <n v="11.12"/>
    <n v="1"/>
  </r>
  <r>
    <s v="TCK-11758"/>
    <s v="2024-08-19 12:20:06"/>
    <s v="2024-08-19 18:18:13"/>
    <s v="P2"/>
    <x v="2"/>
    <s v="Infrastructure"/>
    <s v="Sarah Connor"/>
    <s v="Resolved"/>
    <n v="5"/>
    <n v="8"/>
    <n v="5.97"/>
    <n v="1"/>
  </r>
  <r>
    <s v="TCK-11759"/>
    <s v="2024-01-17 06:28:13"/>
    <s v="2024-01-19 01:02:26"/>
    <s v="P4"/>
    <x v="2"/>
    <s v="Billing Operations"/>
    <s v="Ravi Patel"/>
    <s v="Resolved"/>
    <n v="5"/>
    <n v="48"/>
    <n v="42.57"/>
    <n v="1"/>
  </r>
  <r>
    <s v="TCK-11760"/>
    <s v="2024-03-20 21:44:19"/>
    <s v="2024-03-21 07:33:04"/>
    <s v="P1"/>
    <x v="3"/>
    <s v="L1 Support"/>
    <s v="Alex Mercer"/>
    <s v="Resolved"/>
    <n v="1"/>
    <n v="4"/>
    <n v="9.81"/>
    <n v="0"/>
  </r>
  <r>
    <s v="TCK-11761"/>
    <s v="2024-04-03 19:18:09"/>
    <m/>
    <s v="P2"/>
    <x v="3"/>
    <s v="Billing Operations"/>
    <s v="Michael Scott"/>
    <s v="Open"/>
    <m/>
    <n v="8"/>
    <m/>
    <m/>
  </r>
  <r>
    <s v="TCK-11762"/>
    <s v="2024-05-17 15:20:17"/>
    <s v="2024-05-19 05:00:39"/>
    <s v="P4"/>
    <x v="1"/>
    <s v="Billing Operations"/>
    <s v="Anita Sharma"/>
    <s v="Resolved"/>
    <n v="5"/>
    <n v="48"/>
    <n v="37.67"/>
    <n v="1"/>
  </r>
  <r>
    <s v="TCK-11763"/>
    <s v="2024-03-20 05:24:47"/>
    <s v="2024-03-21 03:41:03"/>
    <s v="P3"/>
    <x v="1"/>
    <s v="L2 Support"/>
    <s v="Sarah Connor"/>
    <s v="Closed"/>
    <n v="5"/>
    <n v="24"/>
    <n v="22.27"/>
    <n v="1"/>
  </r>
  <r>
    <s v="TCK-11764"/>
    <s v="2024-02-18 17:00:50"/>
    <s v="2024-02-18 18:00:14"/>
    <s v="P1"/>
    <x v="0"/>
    <s v="L2 Support"/>
    <s v="Emily Watson"/>
    <s v="Resolved"/>
    <n v="4"/>
    <n v="4"/>
    <n v="0.99"/>
    <n v="1"/>
  </r>
  <r>
    <s v="TCK-11765"/>
    <s v="2024-02-12 00:55:06"/>
    <s v="2024-02-12 08:35:54"/>
    <s v="P1"/>
    <x v="3"/>
    <s v="Application Support"/>
    <s v="Anita Sharma"/>
    <s v="Closed"/>
    <n v="1"/>
    <n v="4"/>
    <n v="7.68"/>
    <n v="0"/>
  </r>
  <r>
    <s v="TCK-11766"/>
    <s v="2024-11-25 09:14:33"/>
    <s v="2024-11-25 11:44:01"/>
    <s v="P1"/>
    <x v="0"/>
    <s v="Application Support"/>
    <s v="John Doe"/>
    <s v="Closed"/>
    <n v="4"/>
    <n v="4"/>
    <n v="2.4900000000000002"/>
    <n v="1"/>
  </r>
  <r>
    <s v="TCK-11767"/>
    <s v="2024-07-29 12:57:06"/>
    <m/>
    <s v="P3"/>
    <x v="2"/>
    <s v="Application Support"/>
    <s v="Jim Halpert"/>
    <s v="Open"/>
    <m/>
    <n v="24"/>
    <m/>
    <m/>
  </r>
  <r>
    <s v="TCK-11768"/>
    <s v="2024-08-27 10:09:37"/>
    <s v="2024-08-28 05:38:01"/>
    <s v="P3"/>
    <x v="2"/>
    <s v="L2 Support"/>
    <s v="Pam Beesly"/>
    <s v="Resolved"/>
    <n v="5"/>
    <n v="24"/>
    <n v="19.47"/>
    <n v="1"/>
  </r>
  <r>
    <s v="TCK-11769"/>
    <s v="2024-03-06 17:25:50"/>
    <s v="2024-03-07 01:45:37"/>
    <s v="P3"/>
    <x v="2"/>
    <s v="Infrastructure"/>
    <s v="Pam Beesly"/>
    <s v="Resolved"/>
    <n v="4"/>
    <n v="24"/>
    <n v="8.33"/>
    <n v="1"/>
  </r>
  <r>
    <s v="TCK-11770"/>
    <s v="2024-08-21 12:27:56"/>
    <s v="2024-08-22 22:21:31"/>
    <s v="P4"/>
    <x v="4"/>
    <s v="Billing Operations"/>
    <s v="Emily Watson"/>
    <s v="Closed"/>
    <n v="3"/>
    <n v="48"/>
    <n v="33.89"/>
    <n v="1"/>
  </r>
  <r>
    <s v="TCK-11771"/>
    <s v="2024-08-10 08:13:29"/>
    <s v="2024-08-10 18:01:13"/>
    <s v="P2"/>
    <x v="2"/>
    <s v="Application Support"/>
    <s v="Jim Halpert"/>
    <s v="Closed"/>
    <n v="1"/>
    <n v="8"/>
    <n v="9.8000000000000007"/>
    <n v="0"/>
  </r>
  <r>
    <s v="TCK-11772"/>
    <s v="2024-03-30 02:18:14"/>
    <s v="2024-03-30 07:05:06"/>
    <s v="P2"/>
    <x v="4"/>
    <s v="Infrastructure"/>
    <s v="Dwight Schrute"/>
    <s v="Resolved"/>
    <n v="5"/>
    <n v="8"/>
    <n v="4.78"/>
    <n v="1"/>
  </r>
  <r>
    <s v="TCK-11773"/>
    <s v="2024-07-25 12:41:14"/>
    <s v="2024-07-26 22:20:13"/>
    <s v="P4"/>
    <x v="0"/>
    <s v="Application Support"/>
    <s v="Pam Beesly"/>
    <s v="Resolved"/>
    <n v="4"/>
    <n v="48"/>
    <n v="33.65"/>
    <n v="1"/>
  </r>
  <r>
    <s v="TCK-11774"/>
    <s v="2024-08-27 08:24:33"/>
    <m/>
    <s v="P3"/>
    <x v="1"/>
    <s v="L1 Support"/>
    <s v="Ravi Patel"/>
    <s v="Open"/>
    <m/>
    <n v="24"/>
    <m/>
    <m/>
  </r>
  <r>
    <s v="TCK-11775"/>
    <s v="2024-06-25 07:12:21"/>
    <s v="2024-06-25 10:47:24"/>
    <s v="P2"/>
    <x v="1"/>
    <s v="Application Support"/>
    <s v="Michael Scott"/>
    <s v="Closed"/>
    <n v="4"/>
    <n v="8"/>
    <n v="3.58"/>
    <n v="1"/>
  </r>
  <r>
    <s v="TCK-11776"/>
    <s v="2024-01-27 06:25:28"/>
    <s v="2024-01-27 13:42:37"/>
    <s v="P2"/>
    <x v="1"/>
    <s v="L1 Support"/>
    <s v="Anita Sharma"/>
    <s v="Closed"/>
    <n v="5"/>
    <n v="8"/>
    <n v="7.29"/>
    <n v="1"/>
  </r>
  <r>
    <s v="TCK-11777"/>
    <s v="2024-03-09 15:54:58"/>
    <s v="2024-03-09 18:02:41"/>
    <s v="P2"/>
    <x v="2"/>
    <s v="Application Support"/>
    <s v="John Doe"/>
    <s v="Resolved"/>
    <n v="5"/>
    <n v="8"/>
    <n v="2.13"/>
    <n v="1"/>
  </r>
  <r>
    <s v="TCK-11778"/>
    <s v="2024-01-27 12:02:48"/>
    <s v="2024-01-28 05:58:05"/>
    <s v="P3"/>
    <x v="2"/>
    <s v="L2 Support"/>
    <s v="Ravi Patel"/>
    <s v="Resolved"/>
    <n v="5"/>
    <n v="24"/>
    <n v="17.920000000000002"/>
    <n v="1"/>
  </r>
  <r>
    <s v="TCK-11779"/>
    <s v="2024-02-29 15:26:26"/>
    <s v="2024-03-01 04:18:38"/>
    <s v="P3"/>
    <x v="1"/>
    <s v="L1 Support"/>
    <s v="Pam Beesly"/>
    <s v="Closed"/>
    <n v="3"/>
    <n v="24"/>
    <n v="12.87"/>
    <n v="1"/>
  </r>
  <r>
    <s v="TCK-11780"/>
    <s v="2024-07-15 06:22:17"/>
    <s v="2024-07-18 07:24:56"/>
    <s v="P4"/>
    <x v="2"/>
    <s v="L2 Support"/>
    <s v="Alex Mercer"/>
    <s v="Resolved"/>
    <n v="2"/>
    <n v="48"/>
    <n v="73.040000000000006"/>
    <n v="0"/>
  </r>
  <r>
    <s v="TCK-11781"/>
    <s v="2024-05-22 22:28:00"/>
    <s v="2024-05-23 05:55:48"/>
    <s v="P3"/>
    <x v="2"/>
    <s v="L2 Support"/>
    <s v="Dwight Schrute"/>
    <s v="Resolved"/>
    <n v="5"/>
    <n v="24"/>
    <n v="7.46"/>
    <n v="1"/>
  </r>
  <r>
    <s v="TCK-11782"/>
    <s v="2024-10-20 08:34:35"/>
    <s v="2024-10-20 10:38:32"/>
    <s v="P1"/>
    <x v="4"/>
    <s v="L2 Support"/>
    <s v="Alex Mercer"/>
    <s v="Resolved"/>
    <n v="5"/>
    <n v="4"/>
    <n v="2.0699999999999998"/>
    <n v="1"/>
  </r>
  <r>
    <s v="TCK-11783"/>
    <s v="2024-08-02 01:18:52"/>
    <m/>
    <s v="P3"/>
    <x v="2"/>
    <s v="Billing Operations"/>
    <s v="Dwight Schrute"/>
    <s v="Escalated"/>
    <m/>
    <n v="24"/>
    <m/>
    <m/>
  </r>
  <r>
    <s v="TCK-11784"/>
    <s v="2024-07-21 03:32:46"/>
    <s v="2024-07-21 16:12:37"/>
    <s v="P3"/>
    <x v="3"/>
    <s v="Application Support"/>
    <s v="Michael Scott"/>
    <s v="Resolved"/>
    <n v="4"/>
    <n v="24"/>
    <n v="12.66"/>
    <n v="1"/>
  </r>
  <r>
    <s v="TCK-11785"/>
    <s v="2024-11-08 21:38:26"/>
    <s v="2024-11-09 04:49:28"/>
    <s v="P1"/>
    <x v="1"/>
    <s v="Infrastructure"/>
    <s v="Michael Scott"/>
    <s v="Resolved"/>
    <n v="1"/>
    <n v="4"/>
    <n v="7.18"/>
    <n v="0"/>
  </r>
  <r>
    <s v="TCK-11786"/>
    <s v="2024-01-10 14:32:20"/>
    <s v="2024-01-10 16:20:22"/>
    <s v="P2"/>
    <x v="1"/>
    <s v="L1 Support"/>
    <s v="Emily Watson"/>
    <s v="Resolved"/>
    <n v="5"/>
    <n v="8"/>
    <n v="1.8"/>
    <n v="1"/>
  </r>
  <r>
    <s v="TCK-11787"/>
    <s v="2024-11-03 08:13:13"/>
    <s v="2024-11-03 15:15:09"/>
    <s v="P3"/>
    <x v="1"/>
    <s v="Infrastructure"/>
    <s v="Jim Halpert"/>
    <s v="Resolved"/>
    <n v="4"/>
    <n v="24"/>
    <n v="7.03"/>
    <n v="1"/>
  </r>
  <r>
    <s v="TCK-11788"/>
    <s v="2024-07-08 09:04:46"/>
    <s v="2024-07-08 12:31:36"/>
    <s v="P3"/>
    <x v="0"/>
    <s v="Infrastructure"/>
    <s v="Emily Watson"/>
    <s v="Resolved"/>
    <n v="5"/>
    <n v="24"/>
    <n v="3.45"/>
    <n v="1"/>
  </r>
  <r>
    <s v="TCK-11789"/>
    <s v="2024-12-14 17:00:29"/>
    <s v="2024-12-17 11:43:18"/>
    <s v="P3"/>
    <x v="1"/>
    <s v="Infrastructure"/>
    <s v="Alex Mercer"/>
    <s v="Resolved"/>
    <n v="3"/>
    <n v="24"/>
    <n v="66.709999999999994"/>
    <n v="0"/>
  </r>
  <r>
    <s v="TCK-11790"/>
    <s v="2024-01-31 16:09:48"/>
    <s v="2024-02-03 10:00:54"/>
    <s v="P3"/>
    <x v="2"/>
    <s v="Billing Operations"/>
    <s v="Ravi Patel"/>
    <s v="Resolved"/>
    <n v="2"/>
    <n v="24"/>
    <n v="65.849999999999994"/>
    <n v="0"/>
  </r>
  <r>
    <s v="TCK-11791"/>
    <s v="2024-05-17 05:22:27"/>
    <s v="2024-05-17 11:14:08"/>
    <s v="P2"/>
    <x v="2"/>
    <s v="Billing Operations"/>
    <s v="John Doe"/>
    <s v="Resolved"/>
    <n v="5"/>
    <n v="8"/>
    <n v="5.86"/>
    <n v="1"/>
  </r>
  <r>
    <s v="TCK-11792"/>
    <s v="2024-01-24 14:11:13"/>
    <s v="2024-01-24 17:18:06"/>
    <s v="P1"/>
    <x v="2"/>
    <s v="Billing Operations"/>
    <s v="Pam Beesly"/>
    <s v="Resolved"/>
    <n v="4"/>
    <n v="4"/>
    <n v="3.11"/>
    <n v="1"/>
  </r>
  <r>
    <s v="TCK-11793"/>
    <s v="2024-08-29 19:20:28"/>
    <s v="2024-08-29 23:27:22"/>
    <s v="P2"/>
    <x v="2"/>
    <s v="Billing Operations"/>
    <s v="Anita Sharma"/>
    <s v="Resolved"/>
    <n v="5"/>
    <n v="8"/>
    <n v="4.12"/>
    <n v="1"/>
  </r>
  <r>
    <s v="TCK-11794"/>
    <s v="2024-01-15 08:59:51"/>
    <s v="2024-01-18 05:51:34"/>
    <s v="P3"/>
    <x v="2"/>
    <s v="Billing Operations"/>
    <s v="Ravi Patel"/>
    <s v="Resolved"/>
    <n v="2"/>
    <n v="24"/>
    <n v="68.86"/>
    <n v="0"/>
  </r>
  <r>
    <s v="TCK-11795"/>
    <s v="2024-09-13 21:23:23"/>
    <s v="2024-09-15 02:57:03"/>
    <s v="P3"/>
    <x v="0"/>
    <s v="Infrastructure"/>
    <s v="John Doe"/>
    <s v="Resolved"/>
    <n v="2"/>
    <n v="24"/>
    <n v="29.56"/>
    <n v="0"/>
  </r>
  <r>
    <s v="TCK-11796"/>
    <s v="2024-06-02 12:04:08"/>
    <m/>
    <s v="P2"/>
    <x v="1"/>
    <s v="L1 Support"/>
    <s v="John Doe"/>
    <s v="Open"/>
    <m/>
    <n v="8"/>
    <m/>
    <m/>
  </r>
  <r>
    <s v="TCK-11797"/>
    <s v="2024-02-29 05:26:50"/>
    <m/>
    <s v="P3"/>
    <x v="3"/>
    <s v="L2 Support"/>
    <s v="Alex Mercer"/>
    <s v="Escalated"/>
    <m/>
    <n v="24"/>
    <m/>
    <m/>
  </r>
  <r>
    <s v="TCK-11798"/>
    <s v="2024-03-04 18:55:06"/>
    <s v="2024-03-07 12:49:07"/>
    <s v="P4"/>
    <x v="2"/>
    <s v="Application Support"/>
    <s v="Sarah Connor"/>
    <s v="Resolved"/>
    <n v="2"/>
    <n v="48"/>
    <n v="65.900000000000006"/>
    <n v="0"/>
  </r>
  <r>
    <s v="TCK-11799"/>
    <s v="2024-02-14 16:45:58"/>
    <s v="2024-02-14 18:45:37"/>
    <s v="P1"/>
    <x v="2"/>
    <s v="Infrastructure"/>
    <s v="Anita Sharma"/>
    <s v="Closed"/>
    <n v="5"/>
    <n v="4"/>
    <n v="1.99"/>
    <n v="1"/>
  </r>
  <r>
    <s v="TCK-11800"/>
    <s v="2024-08-12 10:26:05"/>
    <s v="2024-08-13 02:27:24"/>
    <s v="P3"/>
    <x v="0"/>
    <s v="Infrastructure"/>
    <s v="Carlos Mendez"/>
    <s v="Closed"/>
    <n v="5"/>
    <n v="24"/>
    <n v="16.02"/>
    <n v="1"/>
  </r>
  <r>
    <s v="TCK-11801"/>
    <s v="2024-08-17 09:08:38"/>
    <s v="2024-08-17 21:24:18"/>
    <s v="P3"/>
    <x v="2"/>
    <s v="Billing Operations"/>
    <s v="Emily Watson"/>
    <s v="Resolved"/>
    <n v="4"/>
    <n v="24"/>
    <n v="12.26"/>
    <n v="1"/>
  </r>
  <r>
    <s v="TCK-11802"/>
    <s v="2024-07-16 22:41:10"/>
    <m/>
    <s v="P2"/>
    <x v="4"/>
    <s v="Application Support"/>
    <s v="Alex Mercer"/>
    <s v="Open"/>
    <m/>
    <n v="8"/>
    <m/>
    <m/>
  </r>
  <r>
    <s v="TCK-11803"/>
    <s v="2024-04-26 23:23:41"/>
    <s v="2024-04-28 16:07:44"/>
    <s v="P4"/>
    <x v="2"/>
    <s v="L2 Support"/>
    <s v="Ravi Patel"/>
    <s v="Resolved"/>
    <n v="4"/>
    <n v="48"/>
    <n v="40.729999999999997"/>
    <n v="1"/>
  </r>
  <r>
    <s v="TCK-11804"/>
    <s v="2024-12-17 20:50:21"/>
    <s v="2024-12-18 00:29:25"/>
    <s v="P2"/>
    <x v="1"/>
    <s v="Billing Operations"/>
    <s v="Ravi Patel"/>
    <s v="Resolved"/>
    <n v="4"/>
    <n v="8"/>
    <n v="3.65"/>
    <n v="1"/>
  </r>
  <r>
    <s v="TCK-11805"/>
    <s v="2024-02-01 20:10:44"/>
    <m/>
    <s v="P2"/>
    <x v="3"/>
    <s v="L1 Support"/>
    <s v="Pam Beesly"/>
    <s v="Open"/>
    <m/>
    <n v="8"/>
    <m/>
    <m/>
  </r>
  <r>
    <s v="TCK-11806"/>
    <s v="2024-01-23 10:22:29"/>
    <s v="2024-01-24 07:54:05"/>
    <s v="P3"/>
    <x v="0"/>
    <s v="L2 Support"/>
    <s v="Jim Halpert"/>
    <s v="Resolved"/>
    <n v="4"/>
    <n v="24"/>
    <n v="21.53"/>
    <n v="1"/>
  </r>
  <r>
    <s v="TCK-11807"/>
    <s v="2024-04-01 20:43:06"/>
    <s v="2024-04-02 03:54:52"/>
    <s v="P3"/>
    <x v="4"/>
    <s v="Application Support"/>
    <s v="Anita Sharma"/>
    <s v="Resolved"/>
    <n v="4"/>
    <n v="24"/>
    <n v="7.2"/>
    <n v="1"/>
  </r>
  <r>
    <s v="TCK-11808"/>
    <s v="2024-11-08 18:45:30"/>
    <s v="2024-11-08 20:06:59"/>
    <s v="P2"/>
    <x v="0"/>
    <s v="Infrastructure"/>
    <s v="Anita Sharma"/>
    <s v="Resolved"/>
    <n v="5"/>
    <n v="8"/>
    <n v="1.36"/>
    <n v="1"/>
  </r>
  <r>
    <s v="TCK-11809"/>
    <s v="2024-01-04 15:07:52"/>
    <s v="2024-01-04 23:33:49"/>
    <s v="P2"/>
    <x v="2"/>
    <s v="L1 Support"/>
    <s v="Priya Nair"/>
    <s v="Closed"/>
    <n v="1"/>
    <n v="8"/>
    <n v="8.43"/>
    <n v="0"/>
  </r>
  <r>
    <s v="TCK-11810"/>
    <s v="2024-02-22 04:09:16"/>
    <s v="2024-02-22 11:01:33"/>
    <s v="P2"/>
    <x v="0"/>
    <s v="Infrastructure"/>
    <s v="Carlos Mendez"/>
    <s v="Closed"/>
    <n v="4"/>
    <n v="8"/>
    <n v="6.87"/>
    <n v="1"/>
  </r>
  <r>
    <s v="TCK-11811"/>
    <s v="2024-01-16 10:58:04"/>
    <s v="2024-01-21 15:16:08"/>
    <s v="P4"/>
    <x v="1"/>
    <s v="L1 Support"/>
    <s v="Anita Sharma"/>
    <s v="Resolved"/>
    <n v="3"/>
    <n v="48"/>
    <n v="124.3"/>
    <n v="0"/>
  </r>
  <r>
    <s v="TCK-11812"/>
    <s v="2024-11-16 10:00:58"/>
    <s v="2024-11-18 00:45:13"/>
    <s v="P4"/>
    <x v="1"/>
    <s v="Billing Operations"/>
    <s v="Michael Scott"/>
    <s v="Closed"/>
    <n v="4"/>
    <n v="48"/>
    <n v="38.74"/>
    <n v="1"/>
  </r>
  <r>
    <s v="TCK-11813"/>
    <s v="2024-01-26 13:18:29"/>
    <s v="2024-01-27 01:50:05"/>
    <s v="P3"/>
    <x v="0"/>
    <s v="L2 Support"/>
    <s v="Carlos Mendez"/>
    <s v="Closed"/>
    <n v="4"/>
    <n v="24"/>
    <n v="12.53"/>
    <n v="1"/>
  </r>
  <r>
    <s v="TCK-11814"/>
    <s v="2024-04-20 12:14:52"/>
    <s v="2024-04-20 15:53:00"/>
    <s v="P1"/>
    <x v="0"/>
    <s v="L2 Support"/>
    <s v="Priya Nair"/>
    <s v="Resolved"/>
    <n v="4"/>
    <n v="4"/>
    <n v="3.64"/>
    <n v="1"/>
  </r>
  <r>
    <s v="TCK-11815"/>
    <s v="2024-09-11 02:57:46"/>
    <s v="2024-09-11 14:46:22"/>
    <s v="P3"/>
    <x v="2"/>
    <s v="L2 Support"/>
    <s v="Michael Scott"/>
    <s v="Closed"/>
    <n v="5"/>
    <n v="24"/>
    <n v="11.81"/>
    <n v="1"/>
  </r>
  <r>
    <s v="TCK-11816"/>
    <s v="2024-01-15 14:58:44"/>
    <m/>
    <s v="P1"/>
    <x v="3"/>
    <s v="L1 Support"/>
    <s v="John Doe"/>
    <s v="Open"/>
    <m/>
    <n v="4"/>
    <m/>
    <m/>
  </r>
  <r>
    <s v="TCK-11817"/>
    <s v="2024-10-26 12:20:17"/>
    <s v="2024-10-26 19:27:40"/>
    <s v="P2"/>
    <x v="2"/>
    <s v="L2 Support"/>
    <s v="Priya Nair"/>
    <s v="Resolved"/>
    <n v="5"/>
    <n v="8"/>
    <n v="7.12"/>
    <n v="1"/>
  </r>
  <r>
    <s v="TCK-11818"/>
    <s v="2024-09-18 04:08:41"/>
    <s v="2024-09-18 14:31:00"/>
    <s v="P3"/>
    <x v="3"/>
    <s v="L2 Support"/>
    <s v="Dwight Schrute"/>
    <s v="Closed"/>
    <n v="4"/>
    <n v="24"/>
    <n v="10.37"/>
    <n v="1"/>
  </r>
  <r>
    <s v="TCK-11819"/>
    <s v="2024-01-20 07:53:40"/>
    <s v="2024-01-20 10:31:57"/>
    <s v="P1"/>
    <x v="0"/>
    <s v="Infrastructure"/>
    <s v="Jim Halpert"/>
    <s v="Resolved"/>
    <n v="4"/>
    <n v="4"/>
    <n v="2.64"/>
    <n v="1"/>
  </r>
  <r>
    <s v="TCK-11820"/>
    <s v="2024-10-02 17:40:47"/>
    <m/>
    <s v="P4"/>
    <x v="2"/>
    <s v="Infrastructure"/>
    <s v="Priya Nair"/>
    <s v="Escalated"/>
    <m/>
    <n v="48"/>
    <m/>
    <m/>
  </r>
  <r>
    <s v="TCK-11821"/>
    <s v="2024-06-13 08:34:20"/>
    <s v="2024-06-14 17:27:20"/>
    <s v="P3"/>
    <x v="4"/>
    <s v="Billing Operations"/>
    <s v="Priya Nair"/>
    <s v="Resolved"/>
    <n v="1"/>
    <n v="24"/>
    <n v="32.880000000000003"/>
    <n v="0"/>
  </r>
  <r>
    <s v="TCK-11822"/>
    <s v="2024-02-06 12:50:21"/>
    <s v="2024-02-07 03:33:33"/>
    <s v="P3"/>
    <x v="4"/>
    <s v="L2 Support"/>
    <s v="Alex Mercer"/>
    <s v="Closed"/>
    <n v="5"/>
    <n v="24"/>
    <n v="14.72"/>
    <n v="1"/>
  </r>
  <r>
    <s v="TCK-11823"/>
    <s v="2024-12-18 16:42:47"/>
    <s v="2024-12-18 22:57:16"/>
    <s v="P2"/>
    <x v="1"/>
    <s v="L1 Support"/>
    <s v="Alex Mercer"/>
    <s v="Closed"/>
    <n v="4"/>
    <n v="8"/>
    <n v="6.24"/>
    <n v="1"/>
  </r>
  <r>
    <s v="TCK-11824"/>
    <s v="2024-01-02 09:30:48"/>
    <s v="2024-01-02 14:47:32"/>
    <s v="P2"/>
    <x v="0"/>
    <s v="Billing Operations"/>
    <s v="Emily Watson"/>
    <s v="Resolved"/>
    <n v="5"/>
    <n v="8"/>
    <n v="5.28"/>
    <n v="1"/>
  </r>
  <r>
    <s v="TCK-11825"/>
    <s v="2024-07-15 10:45:55"/>
    <s v="2024-07-15 14:31:22"/>
    <s v="P2"/>
    <x v="2"/>
    <s v="Billing Operations"/>
    <s v="Anita Sharma"/>
    <s v="Closed"/>
    <n v="5"/>
    <n v="8"/>
    <n v="3.76"/>
    <n v="1"/>
  </r>
  <r>
    <s v="TCK-11826"/>
    <s v="2024-11-07 03:08:42"/>
    <s v="2024-11-07 10:54:18"/>
    <s v="P1"/>
    <x v="4"/>
    <s v="Billing Operations"/>
    <s v="Ravi Patel"/>
    <s v="Resolved"/>
    <n v="1"/>
    <n v="4"/>
    <n v="7.76"/>
    <n v="0"/>
  </r>
  <r>
    <s v="TCK-11827"/>
    <s v="2024-01-08 06:58:44"/>
    <s v="2024-01-08 18:50:06"/>
    <s v="P3"/>
    <x v="3"/>
    <s v="L1 Support"/>
    <s v="Dwight Schrute"/>
    <s v="Closed"/>
    <n v="5"/>
    <n v="24"/>
    <n v="11.86"/>
    <n v="1"/>
  </r>
  <r>
    <s v="TCK-11828"/>
    <s v="2024-08-10 10:28:20"/>
    <s v="2024-08-10 15:42:22"/>
    <s v="P2"/>
    <x v="2"/>
    <s v="Billing Operations"/>
    <s v="Emily Watson"/>
    <s v="Resolved"/>
    <n v="3"/>
    <n v="8"/>
    <n v="5.23"/>
    <n v="1"/>
  </r>
  <r>
    <s v="TCK-11829"/>
    <s v="2024-03-30 10:50:33"/>
    <s v="2024-03-30 17:46:02"/>
    <s v="P3"/>
    <x v="3"/>
    <s v="Application Support"/>
    <s v="Michael Scott"/>
    <s v="Resolved"/>
    <n v="5"/>
    <n v="24"/>
    <n v="6.92"/>
    <n v="1"/>
  </r>
  <r>
    <s v="TCK-11830"/>
    <s v="2024-04-03 03:27:17"/>
    <s v="2024-04-06 00:38:34"/>
    <s v="P3"/>
    <x v="2"/>
    <s v="L1 Support"/>
    <s v="Michael Scott"/>
    <s v="Resolved"/>
    <n v="1"/>
    <n v="24"/>
    <n v="69.19"/>
    <n v="0"/>
  </r>
  <r>
    <s v="TCK-11831"/>
    <s v="2024-12-03 15:26:05"/>
    <s v="2024-12-04 19:54:21"/>
    <s v="P4"/>
    <x v="0"/>
    <s v="Infrastructure"/>
    <s v="Anita Sharma"/>
    <s v="Closed"/>
    <n v="5"/>
    <n v="48"/>
    <n v="28.47"/>
    <n v="1"/>
  </r>
  <r>
    <s v="TCK-11832"/>
    <s v="2024-08-02 20:21:41"/>
    <s v="2024-08-03 00:52:04"/>
    <s v="P2"/>
    <x v="2"/>
    <s v="L2 Support"/>
    <s v="Jim Halpert"/>
    <s v="Closed"/>
    <n v="4"/>
    <n v="8"/>
    <n v="4.51"/>
    <n v="1"/>
  </r>
  <r>
    <s v="TCK-11833"/>
    <s v="2024-09-23 09:26:45"/>
    <s v="2024-09-24 03:08:01"/>
    <s v="P3"/>
    <x v="2"/>
    <s v="L2 Support"/>
    <s v="Dwight Schrute"/>
    <s v="Resolved"/>
    <n v="4"/>
    <n v="24"/>
    <n v="17.690000000000001"/>
    <n v="1"/>
  </r>
  <r>
    <s v="TCK-11834"/>
    <s v="2024-09-12 15:56:41"/>
    <s v="2024-09-12 17:24:30"/>
    <s v="P2"/>
    <x v="2"/>
    <s v="L2 Support"/>
    <s v="Jim Halpert"/>
    <s v="Resolved"/>
    <n v="5"/>
    <n v="8"/>
    <n v="1.46"/>
    <n v="1"/>
  </r>
  <r>
    <s v="TCK-11835"/>
    <s v="2024-04-30 12:40:42"/>
    <m/>
    <s v="P4"/>
    <x v="3"/>
    <s v="L1 Support"/>
    <s v="Sarah Connor"/>
    <s v="Escalated"/>
    <m/>
    <n v="48"/>
    <m/>
    <m/>
  </r>
  <r>
    <s v="TCK-11836"/>
    <s v="2024-12-05 11:00:40"/>
    <s v="2024-12-05 18:13:58"/>
    <s v="P2"/>
    <x v="4"/>
    <s v="L2 Support"/>
    <s v="Sarah Connor"/>
    <s v="Closed"/>
    <n v="5"/>
    <n v="8"/>
    <n v="7.22"/>
    <n v="1"/>
  </r>
  <r>
    <s v="TCK-11837"/>
    <s v="2024-02-14 08:41:31"/>
    <s v="2024-02-15 00:43:08"/>
    <s v="P3"/>
    <x v="2"/>
    <s v="Billing Operations"/>
    <s v="Ravi Patel"/>
    <s v="Resolved"/>
    <n v="4"/>
    <n v="24"/>
    <n v="16.03"/>
    <n v="1"/>
  </r>
  <r>
    <s v="TCK-11838"/>
    <s v="2024-02-02 16:06:53"/>
    <s v="2024-02-02 23:37:13"/>
    <s v="P3"/>
    <x v="1"/>
    <s v="L2 Support"/>
    <s v="Jim Halpert"/>
    <s v="Closed"/>
    <n v="3"/>
    <n v="24"/>
    <n v="7.51"/>
    <n v="1"/>
  </r>
  <r>
    <s v="TCK-11839"/>
    <s v="2024-12-21 05:58:39"/>
    <s v="2024-12-21 19:01:41"/>
    <s v="P3"/>
    <x v="4"/>
    <s v="L1 Support"/>
    <s v="Sarah Connor"/>
    <s v="Resolved"/>
    <n v="5"/>
    <n v="24"/>
    <n v="13.05"/>
    <n v="1"/>
  </r>
  <r>
    <s v="TCK-11840"/>
    <s v="2024-03-16 17:47:58"/>
    <s v="2024-03-17 11:38:14"/>
    <s v="P3"/>
    <x v="4"/>
    <s v="Infrastructure"/>
    <s v="Alex Mercer"/>
    <s v="Resolved"/>
    <n v="4"/>
    <n v="24"/>
    <n v="17.84"/>
    <n v="1"/>
  </r>
  <r>
    <s v="TCK-11841"/>
    <s v="2024-07-18 08:05:53"/>
    <s v="2024-07-18 22:27:34"/>
    <s v="P3"/>
    <x v="2"/>
    <s v="L2 Support"/>
    <s v="Emily Watson"/>
    <s v="Closed"/>
    <n v="5"/>
    <n v="24"/>
    <n v="14.36"/>
    <n v="1"/>
  </r>
  <r>
    <s v="TCK-11842"/>
    <s v="2024-10-16 12:39:10"/>
    <s v="2024-10-16 17:49:19"/>
    <s v="P2"/>
    <x v="3"/>
    <s v="Application Support"/>
    <s v="Ravi Patel"/>
    <s v="Closed"/>
    <n v="4"/>
    <n v="8"/>
    <n v="5.17"/>
    <n v="1"/>
  </r>
  <r>
    <s v="TCK-11843"/>
    <s v="2024-01-17 15:08:19"/>
    <s v="2024-01-17 16:48:18"/>
    <s v="P1"/>
    <x v="1"/>
    <s v="Billing Operations"/>
    <s v="Pam Beesly"/>
    <s v="Resolved"/>
    <n v="4"/>
    <n v="4"/>
    <n v="1.67"/>
    <n v="1"/>
  </r>
  <r>
    <s v="TCK-11844"/>
    <s v="2024-10-18 12:00:53"/>
    <s v="2024-10-19 14:03:06"/>
    <s v="P4"/>
    <x v="4"/>
    <s v="Application Support"/>
    <s v="Sarah Connor"/>
    <s v="Resolved"/>
    <n v="5"/>
    <n v="48"/>
    <n v="26.04"/>
    <n v="1"/>
  </r>
  <r>
    <s v="TCK-11845"/>
    <s v="2024-08-18 14:05:36"/>
    <s v="2024-08-18 20:24:25"/>
    <s v="P2"/>
    <x v="2"/>
    <s v="Billing Operations"/>
    <s v="Priya Nair"/>
    <s v="Closed"/>
    <n v="5"/>
    <n v="8"/>
    <n v="6.31"/>
    <n v="1"/>
  </r>
  <r>
    <s v="TCK-11846"/>
    <s v="2024-09-05 03:20:21"/>
    <s v="2024-09-05 10:31:28"/>
    <s v="P2"/>
    <x v="2"/>
    <s v="Application Support"/>
    <s v="Michael Scott"/>
    <s v="Resolved"/>
    <n v="5"/>
    <n v="8"/>
    <n v="7.19"/>
    <n v="1"/>
  </r>
  <r>
    <s v="TCK-11847"/>
    <s v="2024-02-23 12:10:55"/>
    <s v="2024-02-23 16:05:58"/>
    <s v="P3"/>
    <x v="0"/>
    <s v="L2 Support"/>
    <s v="Michael Scott"/>
    <s v="Resolved"/>
    <n v="5"/>
    <n v="24"/>
    <n v="3.92"/>
    <n v="1"/>
  </r>
  <r>
    <s v="TCK-11848"/>
    <s v="2024-01-30 12:05:29"/>
    <s v="2024-01-30 18:15:38"/>
    <s v="P3"/>
    <x v="0"/>
    <s v="Application Support"/>
    <s v="Alex Mercer"/>
    <s v="Resolved"/>
    <n v="3"/>
    <n v="24"/>
    <n v="6.17"/>
    <n v="1"/>
  </r>
  <r>
    <s v="TCK-11849"/>
    <s v="2024-02-23 16:53:28"/>
    <s v="2024-02-28 19:10:32"/>
    <s v="P4"/>
    <x v="3"/>
    <s v="L1 Support"/>
    <s v="Pam Beesly"/>
    <s v="Resolved"/>
    <n v="2"/>
    <n v="48"/>
    <n v="122.28"/>
    <n v="0"/>
  </r>
  <r>
    <s v="TCK-11850"/>
    <s v="2024-02-18 09:13:08"/>
    <s v="2024-02-18 15:11:28"/>
    <s v="P2"/>
    <x v="2"/>
    <s v="L1 Support"/>
    <s v="Emily Watson"/>
    <s v="Resolved"/>
    <n v="5"/>
    <n v="8"/>
    <n v="5.97"/>
    <n v="1"/>
  </r>
  <r>
    <s v="TCK-11851"/>
    <s v="2024-12-20 21:31:37"/>
    <s v="2024-12-22 15:18:17"/>
    <s v="P4"/>
    <x v="0"/>
    <s v="Billing Operations"/>
    <s v="Anita Sharma"/>
    <s v="Closed"/>
    <n v="5"/>
    <n v="48"/>
    <n v="41.78"/>
    <n v="1"/>
  </r>
  <r>
    <s v="TCK-11852"/>
    <s v="2024-02-09 08:07:43"/>
    <m/>
    <s v="P4"/>
    <x v="0"/>
    <s v="L1 Support"/>
    <s v="Michael Scott"/>
    <s v="Open"/>
    <m/>
    <n v="48"/>
    <m/>
    <m/>
  </r>
  <r>
    <s v="TCK-11853"/>
    <s v="2024-06-12 12:16:44"/>
    <s v="2024-06-12 21:04:03"/>
    <s v="P1"/>
    <x v="2"/>
    <s v="L1 Support"/>
    <s v="John Doe"/>
    <s v="Resolved"/>
    <n v="1"/>
    <n v="4"/>
    <n v="8.7899999999999991"/>
    <n v="0"/>
  </r>
  <r>
    <s v="TCK-11854"/>
    <s v="2024-07-04 13:44:55"/>
    <s v="2024-07-04 17:20:36"/>
    <s v="P1"/>
    <x v="0"/>
    <s v="Application Support"/>
    <s v="Ravi Patel"/>
    <s v="Resolved"/>
    <n v="5"/>
    <n v="4"/>
    <n v="3.59"/>
    <n v="1"/>
  </r>
  <r>
    <s v="TCK-11855"/>
    <s v="2024-04-06 11:34:24"/>
    <s v="2024-04-06 12:01:50"/>
    <s v="P1"/>
    <x v="1"/>
    <s v="Billing Operations"/>
    <s v="Priya Nair"/>
    <s v="Closed"/>
    <n v="4"/>
    <n v="4"/>
    <n v="0.46"/>
    <n v="1"/>
  </r>
  <r>
    <s v="TCK-11856"/>
    <s v="2024-10-02 08:32:36"/>
    <m/>
    <s v="P2"/>
    <x v="0"/>
    <s v="Billing Operations"/>
    <s v="Emily Watson"/>
    <s v="Escalated"/>
    <m/>
    <n v="8"/>
    <m/>
    <m/>
  </r>
  <r>
    <s v="TCK-11857"/>
    <s v="2024-01-03 09:16:25"/>
    <s v="2024-01-03 22:50:38"/>
    <s v="P3"/>
    <x v="0"/>
    <s v="Billing Operations"/>
    <s v="Priya Nair"/>
    <s v="Closed"/>
    <n v="3"/>
    <n v="24"/>
    <n v="13.57"/>
    <n v="1"/>
  </r>
  <r>
    <s v="TCK-11858"/>
    <s v="2024-03-23 06:43:57"/>
    <m/>
    <s v="P3"/>
    <x v="2"/>
    <s v="Billing Operations"/>
    <s v="Michael Scott"/>
    <s v="Open"/>
    <m/>
    <n v="24"/>
    <m/>
    <m/>
  </r>
  <r>
    <s v="TCK-11859"/>
    <s v="2024-04-22 01:12:40"/>
    <s v="2024-04-22 05:23:43"/>
    <s v="P2"/>
    <x v="3"/>
    <s v="L1 Support"/>
    <s v="Priya Nair"/>
    <s v="Resolved"/>
    <n v="5"/>
    <n v="8"/>
    <n v="4.18"/>
    <n v="1"/>
  </r>
  <r>
    <s v="TCK-11860"/>
    <s v="2024-06-06 19:57:10"/>
    <s v="2024-06-07 00:48:01"/>
    <s v="P3"/>
    <x v="0"/>
    <s v="L2 Support"/>
    <s v="Anita Sharma"/>
    <s v="Resolved"/>
    <n v="5"/>
    <n v="24"/>
    <n v="4.8499999999999996"/>
    <n v="1"/>
  </r>
  <r>
    <s v="TCK-11861"/>
    <s v="2024-02-21 18:30:36"/>
    <s v="2024-02-22 04:57:44"/>
    <s v="P3"/>
    <x v="1"/>
    <s v="L2 Support"/>
    <s v="Priya Nair"/>
    <s v="Resolved"/>
    <n v="5"/>
    <n v="24"/>
    <n v="10.45"/>
    <n v="1"/>
  </r>
  <r>
    <s v="TCK-11862"/>
    <s v="2024-04-17 17:37:26"/>
    <s v="2024-04-18 15:17:19"/>
    <s v="P4"/>
    <x v="3"/>
    <s v="L2 Support"/>
    <s v="Priya Nair"/>
    <s v="Resolved"/>
    <n v="4"/>
    <n v="48"/>
    <n v="21.66"/>
    <n v="1"/>
  </r>
  <r>
    <s v="TCK-11863"/>
    <s v="2024-06-22 23:02:11"/>
    <s v="2024-06-23 04:19:16"/>
    <s v="P2"/>
    <x v="0"/>
    <s v="L1 Support"/>
    <s v="Pam Beesly"/>
    <s v="Resolved"/>
    <n v="5"/>
    <n v="8"/>
    <n v="5.28"/>
    <n v="1"/>
  </r>
  <r>
    <s v="TCK-11864"/>
    <s v="2024-06-21 12:53:50"/>
    <s v="2024-06-22 04:52:50"/>
    <s v="P3"/>
    <x v="0"/>
    <s v="L2 Support"/>
    <s v="Emily Watson"/>
    <s v="Resolved"/>
    <n v="5"/>
    <n v="24"/>
    <n v="15.98"/>
    <n v="1"/>
  </r>
  <r>
    <s v="TCK-11865"/>
    <s v="2024-04-04 14:45:59"/>
    <s v="2024-04-04 20:24:06"/>
    <s v="P3"/>
    <x v="4"/>
    <s v="Application Support"/>
    <s v="Alex Mercer"/>
    <s v="Resolved"/>
    <n v="5"/>
    <n v="24"/>
    <n v="5.64"/>
    <n v="1"/>
  </r>
  <r>
    <s v="TCK-11866"/>
    <s v="2024-11-20 02:33:15"/>
    <s v="2024-11-20 07:51:05"/>
    <s v="P1"/>
    <x v="2"/>
    <s v="Infrastructure"/>
    <s v="Emily Watson"/>
    <s v="Resolved"/>
    <n v="1"/>
    <n v="4"/>
    <n v="5.3"/>
    <n v="0"/>
  </r>
  <r>
    <s v="TCK-11867"/>
    <s v="2024-06-14 20:01:37"/>
    <s v="2024-06-15 11:34:10"/>
    <s v="P3"/>
    <x v="2"/>
    <s v="Billing Operations"/>
    <s v="Sarah Connor"/>
    <s v="Closed"/>
    <n v="4"/>
    <n v="24"/>
    <n v="15.54"/>
    <n v="1"/>
  </r>
  <r>
    <s v="TCK-11868"/>
    <s v="2024-09-24 16:38:27"/>
    <s v="2024-09-26 10:21:24"/>
    <s v="P4"/>
    <x v="0"/>
    <s v="Application Support"/>
    <s v="Michael Scott"/>
    <s v="Resolved"/>
    <n v="3"/>
    <n v="48"/>
    <n v="41.72"/>
    <n v="1"/>
  </r>
  <r>
    <s v="TCK-11869"/>
    <s v="2024-04-01 08:57:42"/>
    <s v="2024-04-01 16:49:20"/>
    <s v="P3"/>
    <x v="2"/>
    <s v="Billing Operations"/>
    <s v="Ravi Patel"/>
    <s v="Closed"/>
    <n v="4"/>
    <n v="24"/>
    <n v="7.86"/>
    <n v="1"/>
  </r>
  <r>
    <s v="TCK-11870"/>
    <s v="2024-04-09 07:00:44"/>
    <s v="2024-04-09 20:58:55"/>
    <s v="P3"/>
    <x v="2"/>
    <s v="Billing Operations"/>
    <s v="Michael Scott"/>
    <s v="Closed"/>
    <n v="5"/>
    <n v="24"/>
    <n v="13.97"/>
    <n v="1"/>
  </r>
  <r>
    <s v="TCK-11871"/>
    <s v="2024-04-04 00:23:13"/>
    <m/>
    <s v="P4"/>
    <x v="2"/>
    <s v="L2 Support"/>
    <s v="Carlos Mendez"/>
    <s v="Open"/>
    <m/>
    <n v="48"/>
    <m/>
    <m/>
  </r>
  <r>
    <s v="TCK-11872"/>
    <s v="2024-11-28 17:06:05"/>
    <s v="2024-11-29 18:27:32"/>
    <s v="P3"/>
    <x v="0"/>
    <s v="Billing Operations"/>
    <s v="John Doe"/>
    <s v="Closed"/>
    <n v="4"/>
    <n v="24"/>
    <n v="25.36"/>
    <n v="0"/>
  </r>
  <r>
    <s v="TCK-11873"/>
    <s v="2024-05-07 11:22:18"/>
    <s v="2024-05-07 17:35:38"/>
    <s v="P3"/>
    <x v="0"/>
    <s v="Application Support"/>
    <s v="Anita Sharma"/>
    <s v="Resolved"/>
    <n v="5"/>
    <n v="24"/>
    <n v="6.22"/>
    <n v="1"/>
  </r>
  <r>
    <s v="TCK-11874"/>
    <s v="2024-10-07 07:05:44"/>
    <s v="2024-10-08 02:40:13"/>
    <s v="P3"/>
    <x v="2"/>
    <s v="Infrastructure"/>
    <s v="Anita Sharma"/>
    <s v="Resolved"/>
    <n v="5"/>
    <n v="24"/>
    <n v="19.57"/>
    <n v="1"/>
  </r>
  <r>
    <s v="TCK-11875"/>
    <s v="2024-08-07 09:03:58"/>
    <s v="2024-08-08 04:57:54"/>
    <s v="P3"/>
    <x v="2"/>
    <s v="Billing Operations"/>
    <s v="Emily Watson"/>
    <s v="Closed"/>
    <n v="4"/>
    <n v="24"/>
    <n v="19.899999999999999"/>
    <n v="1"/>
  </r>
  <r>
    <s v="TCK-11876"/>
    <s v="2024-10-22 01:42:28"/>
    <m/>
    <s v="P2"/>
    <x v="2"/>
    <s v="L2 Support"/>
    <s v="Jim Halpert"/>
    <s v="Open"/>
    <m/>
    <n v="8"/>
    <m/>
    <m/>
  </r>
  <r>
    <s v="TCK-11877"/>
    <s v="2024-01-07 17:09:05"/>
    <s v="2024-01-08 05:04:47"/>
    <s v="P3"/>
    <x v="1"/>
    <s v="L2 Support"/>
    <s v="Emily Watson"/>
    <s v="Resolved"/>
    <n v="5"/>
    <n v="24"/>
    <n v="11.93"/>
    <n v="1"/>
  </r>
  <r>
    <s v="TCK-11878"/>
    <s v="2024-10-14 04:23:39"/>
    <s v="2024-10-14 05:31:24"/>
    <s v="P1"/>
    <x v="3"/>
    <s v="Billing Operations"/>
    <s v="Dwight Schrute"/>
    <s v="Closed"/>
    <n v="4"/>
    <n v="4"/>
    <n v="1.1299999999999999"/>
    <n v="1"/>
  </r>
  <r>
    <s v="TCK-11879"/>
    <s v="2024-01-15 13:17:04"/>
    <m/>
    <s v="P2"/>
    <x v="4"/>
    <s v="Application Support"/>
    <s v="Sarah Connor"/>
    <s v="Escalated"/>
    <m/>
    <n v="8"/>
    <m/>
    <m/>
  </r>
  <r>
    <s v="TCK-11880"/>
    <s v="2024-09-07 01:22:24"/>
    <s v="2024-09-07 06:11:47"/>
    <s v="P3"/>
    <x v="2"/>
    <s v="L2 Support"/>
    <s v="Sarah Connor"/>
    <s v="Resolved"/>
    <n v="5"/>
    <n v="24"/>
    <n v="4.82"/>
    <n v="1"/>
  </r>
  <r>
    <s v="TCK-11881"/>
    <s v="2024-11-03 13:34:55"/>
    <s v="2024-11-03 19:23:22"/>
    <s v="P3"/>
    <x v="0"/>
    <s v="L2 Support"/>
    <s v="Alex Mercer"/>
    <s v="Resolved"/>
    <n v="5"/>
    <n v="24"/>
    <n v="5.81"/>
    <n v="1"/>
  </r>
  <r>
    <s v="TCK-11882"/>
    <s v="2024-10-10 07:38:46"/>
    <s v="2024-10-10 09:45:31"/>
    <s v="P1"/>
    <x v="0"/>
    <s v="L2 Support"/>
    <s v="Jim Halpert"/>
    <s v="Closed"/>
    <n v="4"/>
    <n v="4"/>
    <n v="2.11"/>
    <n v="1"/>
  </r>
  <r>
    <s v="TCK-11883"/>
    <s v="2024-08-11 21:40:40"/>
    <s v="2024-08-11 23:35:41"/>
    <s v="P2"/>
    <x v="2"/>
    <s v="Infrastructure"/>
    <s v="Pam Beesly"/>
    <s v="Closed"/>
    <n v="5"/>
    <n v="8"/>
    <n v="1.92"/>
    <n v="1"/>
  </r>
  <r>
    <s v="TCK-11884"/>
    <s v="2024-08-31 21:59:16"/>
    <s v="2024-09-01 01:18:35"/>
    <s v="P3"/>
    <x v="3"/>
    <s v="L2 Support"/>
    <s v="John Doe"/>
    <s v="Closed"/>
    <n v="4"/>
    <n v="24"/>
    <n v="3.32"/>
    <n v="1"/>
  </r>
  <r>
    <s v="TCK-11885"/>
    <s v="2024-11-17 14:47:05"/>
    <s v="2024-11-17 16:29:57"/>
    <s v="P2"/>
    <x v="1"/>
    <s v="Application Support"/>
    <s v="Alex Mercer"/>
    <s v="Closed"/>
    <n v="4"/>
    <n v="8"/>
    <n v="1.71"/>
    <n v="1"/>
  </r>
  <r>
    <s v="TCK-11886"/>
    <s v="2024-12-20 14:42:16"/>
    <s v="2024-12-21 10:06:37"/>
    <s v="P3"/>
    <x v="2"/>
    <s v="Infrastructure"/>
    <s v="Carlos Mendez"/>
    <s v="Resolved"/>
    <n v="4"/>
    <n v="24"/>
    <n v="19.41"/>
    <n v="1"/>
  </r>
  <r>
    <s v="TCK-11887"/>
    <s v="2024-05-27 04:01:05"/>
    <s v="2024-05-27 09:03:52"/>
    <s v="P1"/>
    <x v="1"/>
    <s v="Billing Operations"/>
    <s v="John Doe"/>
    <s v="Closed"/>
    <n v="3"/>
    <n v="4"/>
    <n v="5.05"/>
    <n v="0"/>
  </r>
  <r>
    <s v="TCK-11888"/>
    <s v="2024-03-23 13:58:51"/>
    <s v="2024-03-23 16:48:26"/>
    <s v="P1"/>
    <x v="2"/>
    <s v="Application Support"/>
    <s v="Emily Watson"/>
    <s v="Closed"/>
    <n v="5"/>
    <n v="4"/>
    <n v="2.83"/>
    <n v="1"/>
  </r>
  <r>
    <s v="TCK-11889"/>
    <s v="2024-12-09 13:52:47"/>
    <m/>
    <s v="P3"/>
    <x v="4"/>
    <s v="Billing Operations"/>
    <s v="Anita Sharma"/>
    <s v="Escalated"/>
    <m/>
    <n v="24"/>
    <m/>
    <m/>
  </r>
  <r>
    <s v="TCK-11890"/>
    <s v="2024-12-10 13:44:12"/>
    <s v="2024-12-11 01:17:50"/>
    <s v="P3"/>
    <x v="0"/>
    <s v="Billing Operations"/>
    <s v="Ravi Patel"/>
    <s v="Closed"/>
    <n v="4"/>
    <n v="24"/>
    <n v="11.56"/>
    <n v="1"/>
  </r>
  <r>
    <s v="TCK-11891"/>
    <s v="2024-11-21 06:30:58"/>
    <s v="2024-11-22 00:39:39"/>
    <s v="P3"/>
    <x v="2"/>
    <s v="Infrastructure"/>
    <s v="Anita Sharma"/>
    <s v="Resolved"/>
    <n v="3"/>
    <n v="24"/>
    <n v="18.14"/>
    <n v="1"/>
  </r>
  <r>
    <s v="TCK-11892"/>
    <s v="2024-06-06 22:28:50"/>
    <s v="2024-06-07 04:00:11"/>
    <s v="P2"/>
    <x v="0"/>
    <s v="Application Support"/>
    <s v="Sarah Connor"/>
    <s v="Closed"/>
    <n v="5"/>
    <n v="8"/>
    <n v="5.52"/>
    <n v="1"/>
  </r>
  <r>
    <s v="TCK-11893"/>
    <s v="2024-03-30 13:18:42"/>
    <s v="2024-04-01 17:41:11"/>
    <s v="P3"/>
    <x v="2"/>
    <s v="L1 Support"/>
    <s v="Ravi Patel"/>
    <s v="Resolved"/>
    <n v="3"/>
    <n v="24"/>
    <n v="52.37"/>
    <n v="0"/>
  </r>
  <r>
    <s v="TCK-11894"/>
    <s v="2024-02-22 20:19:28"/>
    <s v="2024-02-22 23:38:33"/>
    <s v="P1"/>
    <x v="1"/>
    <s v="L2 Support"/>
    <s v="John Doe"/>
    <s v="Resolved"/>
    <n v="5"/>
    <n v="4"/>
    <n v="3.32"/>
    <n v="1"/>
  </r>
  <r>
    <s v="TCK-11895"/>
    <s v="2024-01-30 03:20:30"/>
    <s v="2024-01-30 06:23:59"/>
    <s v="P2"/>
    <x v="3"/>
    <s v="Infrastructure"/>
    <s v="Ravi Patel"/>
    <s v="Resolved"/>
    <n v="4"/>
    <n v="8"/>
    <n v="3.06"/>
    <n v="1"/>
  </r>
  <r>
    <s v="TCK-11896"/>
    <s v="2024-03-10 13:58:12"/>
    <s v="2024-03-10 16:31:59"/>
    <s v="P1"/>
    <x v="2"/>
    <s v="L2 Support"/>
    <s v="John Doe"/>
    <s v="Closed"/>
    <n v="5"/>
    <n v="4"/>
    <n v="2.56"/>
    <n v="1"/>
  </r>
  <r>
    <s v="TCK-11897"/>
    <s v="2024-08-30 23:55:52"/>
    <s v="2024-08-31 05:41:22"/>
    <s v="P3"/>
    <x v="2"/>
    <s v="Billing Operations"/>
    <s v="Sarah Connor"/>
    <s v="Closed"/>
    <n v="4"/>
    <n v="24"/>
    <n v="5.76"/>
    <n v="1"/>
  </r>
  <r>
    <s v="TCK-11898"/>
    <s v="2024-11-25 08:43:02"/>
    <s v="2024-11-25 15:23:05"/>
    <s v="P2"/>
    <x v="1"/>
    <s v="L1 Support"/>
    <s v="Alex Mercer"/>
    <s v="Closed"/>
    <n v="5"/>
    <n v="8"/>
    <n v="6.67"/>
    <n v="1"/>
  </r>
  <r>
    <s v="TCK-11899"/>
    <s v="2024-02-02 19:31:24"/>
    <s v="2024-02-03 02:48:15"/>
    <s v="P2"/>
    <x v="0"/>
    <s v="Billing Operations"/>
    <s v="Sarah Connor"/>
    <s v="Resolved"/>
    <n v="3"/>
    <n v="8"/>
    <n v="7.28"/>
    <n v="1"/>
  </r>
  <r>
    <s v="TCK-11900"/>
    <s v="2024-10-31 16:08:39"/>
    <s v="2024-11-02 02:17:18"/>
    <s v="P4"/>
    <x v="3"/>
    <s v="L1 Support"/>
    <s v="Carlos Mendez"/>
    <s v="Closed"/>
    <n v="5"/>
    <n v="48"/>
    <n v="34.14"/>
    <n v="1"/>
  </r>
  <r>
    <s v="TCK-11901"/>
    <s v="2024-05-01 19:55:03"/>
    <s v="2024-05-02 01:34:00"/>
    <s v="P3"/>
    <x v="1"/>
    <s v="Billing Operations"/>
    <s v="Carlos Mendez"/>
    <s v="Resolved"/>
    <n v="5"/>
    <n v="24"/>
    <n v="5.65"/>
    <n v="1"/>
  </r>
  <r>
    <s v="TCK-11902"/>
    <s v="2024-02-27 18:56:03"/>
    <s v="2024-02-28 23:43:09"/>
    <s v="P3"/>
    <x v="3"/>
    <s v="Application Support"/>
    <s v="Michael Scott"/>
    <s v="Resolved"/>
    <n v="1"/>
    <n v="24"/>
    <n v="28.78"/>
    <n v="0"/>
  </r>
  <r>
    <s v="TCK-11903"/>
    <s v="2024-10-23 17:48:24"/>
    <s v="2024-10-23 21:33:45"/>
    <s v="P2"/>
    <x v="3"/>
    <s v="L1 Support"/>
    <s v="Pam Beesly"/>
    <s v="Resolved"/>
    <n v="3"/>
    <n v="8"/>
    <n v="3.76"/>
    <n v="1"/>
  </r>
  <r>
    <s v="TCK-11904"/>
    <s v="2024-08-21 01:03:26"/>
    <s v="2024-08-21 02:41:10"/>
    <s v="P1"/>
    <x v="3"/>
    <s v="L2 Support"/>
    <s v="Jim Halpert"/>
    <s v="Resolved"/>
    <n v="5"/>
    <n v="4"/>
    <n v="1.63"/>
    <n v="1"/>
  </r>
  <r>
    <s v="TCK-11905"/>
    <s v="2024-07-25 04:17:10"/>
    <s v="2024-07-25 08:33:55"/>
    <s v="P2"/>
    <x v="2"/>
    <s v="L1 Support"/>
    <s v="Emily Watson"/>
    <s v="Resolved"/>
    <n v="5"/>
    <n v="8"/>
    <n v="4.28"/>
    <n v="1"/>
  </r>
  <r>
    <s v="TCK-11906"/>
    <s v="2024-05-23 20:36:27"/>
    <s v="2024-05-24 13:34:44"/>
    <s v="P3"/>
    <x v="2"/>
    <s v="L2 Support"/>
    <s v="Anita Sharma"/>
    <s v="Resolved"/>
    <n v="5"/>
    <n v="24"/>
    <n v="16.97"/>
    <n v="1"/>
  </r>
  <r>
    <s v="TCK-11907"/>
    <s v="2024-01-21 22:20:17"/>
    <s v="2024-01-22 16:46:59"/>
    <s v="P3"/>
    <x v="2"/>
    <s v="Billing Operations"/>
    <s v="Anita Sharma"/>
    <s v="Closed"/>
    <n v="3"/>
    <n v="24"/>
    <n v="18.440000000000001"/>
    <n v="1"/>
  </r>
  <r>
    <s v="TCK-11908"/>
    <s v="2024-08-30 19:48:44"/>
    <s v="2024-08-31 14:34:22"/>
    <s v="P3"/>
    <x v="0"/>
    <s v="Billing Operations"/>
    <s v="John Doe"/>
    <s v="Resolved"/>
    <n v="5"/>
    <n v="24"/>
    <n v="18.760000000000002"/>
    <n v="1"/>
  </r>
  <r>
    <s v="TCK-11909"/>
    <s v="2024-12-02 08:43:36"/>
    <m/>
    <s v="P3"/>
    <x v="0"/>
    <s v="L1 Support"/>
    <s v="Ravi Patel"/>
    <s v="Open"/>
    <m/>
    <n v="24"/>
    <m/>
    <m/>
  </r>
  <r>
    <s v="TCK-11910"/>
    <s v="2024-10-14 03:22:36"/>
    <s v="2024-10-14 11:27:52"/>
    <s v="P1"/>
    <x v="3"/>
    <s v="Infrastructure"/>
    <s v="Carlos Mendez"/>
    <s v="Resolved"/>
    <n v="4"/>
    <n v="4"/>
    <n v="8.09"/>
    <n v="0"/>
  </r>
  <r>
    <s v="TCK-11911"/>
    <s v="2024-07-19 14:19:50"/>
    <s v="2024-07-19 16:46:39"/>
    <s v="P2"/>
    <x v="0"/>
    <s v="L2 Support"/>
    <s v="Ravi Patel"/>
    <s v="Closed"/>
    <n v="5"/>
    <n v="8"/>
    <n v="2.4500000000000002"/>
    <n v="1"/>
  </r>
  <r>
    <s v="TCK-11912"/>
    <s v="2024-02-25 06:53:04"/>
    <s v="2024-02-25 22:56:31"/>
    <s v="P3"/>
    <x v="3"/>
    <s v="Infrastructure"/>
    <s v="Priya Nair"/>
    <s v="Resolved"/>
    <n v="5"/>
    <n v="24"/>
    <n v="16.059999999999999"/>
    <n v="1"/>
  </r>
  <r>
    <s v="TCK-11913"/>
    <s v="2024-06-07 15:29:29"/>
    <s v="2024-06-07 22:02:15"/>
    <s v="P2"/>
    <x v="1"/>
    <s v="Application Support"/>
    <s v="Priya Nair"/>
    <s v="Resolved"/>
    <n v="4"/>
    <n v="8"/>
    <n v="6.55"/>
    <n v="1"/>
  </r>
  <r>
    <s v="TCK-11914"/>
    <s v="2024-02-10 18:12:57"/>
    <s v="2024-02-11 07:09:54"/>
    <s v="P2"/>
    <x v="0"/>
    <s v="L1 Support"/>
    <s v="Dwight Schrute"/>
    <s v="Closed"/>
    <n v="4"/>
    <n v="8"/>
    <n v="12.95"/>
    <n v="0"/>
  </r>
  <r>
    <s v="TCK-11915"/>
    <s v="2024-05-31 17:57:10"/>
    <s v="2024-05-31 21:29:42"/>
    <s v="P2"/>
    <x v="4"/>
    <s v="Infrastructure"/>
    <s v="Michael Scott"/>
    <s v="Closed"/>
    <n v="4"/>
    <n v="8"/>
    <n v="3.54"/>
    <n v="1"/>
  </r>
  <r>
    <s v="TCK-11916"/>
    <s v="2024-09-19 18:27:17"/>
    <s v="2024-09-22 05:47:00"/>
    <s v="P3"/>
    <x v="2"/>
    <s v="L2 Support"/>
    <s v="Michael Scott"/>
    <s v="Resolved"/>
    <n v="2"/>
    <n v="24"/>
    <n v="59.33"/>
    <n v="0"/>
  </r>
  <r>
    <s v="TCK-11917"/>
    <s v="2024-07-01 19:09:07"/>
    <s v="2024-07-03 21:10:21"/>
    <s v="P3"/>
    <x v="2"/>
    <s v="Infrastructure"/>
    <s v="Michael Scott"/>
    <s v="Resolved"/>
    <n v="4"/>
    <n v="24"/>
    <n v="50.02"/>
    <n v="0"/>
  </r>
  <r>
    <s v="TCK-11918"/>
    <s v="2024-01-10 01:38:25"/>
    <s v="2024-01-10 07:40:50"/>
    <s v="P3"/>
    <x v="0"/>
    <s v="Infrastructure"/>
    <s v="Emily Watson"/>
    <s v="Closed"/>
    <n v="5"/>
    <n v="24"/>
    <n v="6.04"/>
    <n v="1"/>
  </r>
  <r>
    <s v="TCK-11919"/>
    <s v="2024-05-09 02:16:53"/>
    <s v="2024-05-09 05:26:50"/>
    <s v="P3"/>
    <x v="1"/>
    <s v="Billing Operations"/>
    <s v="Priya Nair"/>
    <s v="Resolved"/>
    <n v="5"/>
    <n v="24"/>
    <n v="3.17"/>
    <n v="1"/>
  </r>
  <r>
    <s v="TCK-11920"/>
    <s v="2024-01-23 16:09:25"/>
    <s v="2024-01-24 11:26:36"/>
    <s v="P4"/>
    <x v="2"/>
    <s v="L2 Support"/>
    <s v="Emily Watson"/>
    <s v="Resolved"/>
    <n v="5"/>
    <n v="48"/>
    <n v="19.29"/>
    <n v="1"/>
  </r>
  <r>
    <s v="TCK-11921"/>
    <s v="2024-04-10 10:05:50"/>
    <s v="2024-04-11 04:56:18"/>
    <s v="P3"/>
    <x v="0"/>
    <s v="L1 Support"/>
    <s v="Jim Halpert"/>
    <s v="Closed"/>
    <n v="3"/>
    <n v="24"/>
    <n v="18.84"/>
    <n v="1"/>
  </r>
  <r>
    <s v="TCK-11922"/>
    <s v="2024-10-03 13:50:53"/>
    <s v="2024-10-05 02:19:52"/>
    <s v="P3"/>
    <x v="2"/>
    <s v="L1 Support"/>
    <s v="Ravi Patel"/>
    <s v="Resolved"/>
    <n v="1"/>
    <n v="24"/>
    <n v="36.479999999999997"/>
    <n v="0"/>
  </r>
  <r>
    <s v="TCK-11923"/>
    <s v="2024-09-20 22:42:56"/>
    <s v="2024-09-21 05:30:56"/>
    <s v="P2"/>
    <x v="2"/>
    <s v="Application Support"/>
    <s v="Carlos Mendez"/>
    <s v="Resolved"/>
    <n v="5"/>
    <n v="8"/>
    <n v="6.8"/>
    <n v="1"/>
  </r>
  <r>
    <s v="TCK-11924"/>
    <s v="2024-10-08 06:12:41"/>
    <s v="2024-10-08 18:08:40"/>
    <s v="P1"/>
    <x v="1"/>
    <s v="Billing Operations"/>
    <s v="Ravi Patel"/>
    <s v="Resolved"/>
    <n v="1"/>
    <n v="4"/>
    <n v="11.93"/>
    <n v="0"/>
  </r>
  <r>
    <s v="TCK-11925"/>
    <s v="2024-07-13 18:42:30"/>
    <s v="2024-07-15 08:58:42"/>
    <s v="P4"/>
    <x v="0"/>
    <s v="Billing Operations"/>
    <s v="Alex Mercer"/>
    <s v="Resolved"/>
    <n v="5"/>
    <n v="48"/>
    <n v="38.270000000000003"/>
    <n v="1"/>
  </r>
  <r>
    <s v="TCK-11926"/>
    <s v="2024-01-12 18:00:40"/>
    <s v="2024-01-14 19:43:41"/>
    <s v="P3"/>
    <x v="2"/>
    <s v="Application Support"/>
    <s v="Sarah Connor"/>
    <s v="Resolved"/>
    <n v="1"/>
    <n v="24"/>
    <n v="49.72"/>
    <n v="0"/>
  </r>
  <r>
    <s v="TCK-11927"/>
    <s v="2024-09-24 16:19:20"/>
    <s v="2024-09-26 21:25:06"/>
    <s v="P3"/>
    <x v="2"/>
    <s v="Application Support"/>
    <s v="Michael Scott"/>
    <s v="Closed"/>
    <n v="4"/>
    <n v="24"/>
    <n v="53.1"/>
    <n v="0"/>
  </r>
  <r>
    <s v="TCK-11928"/>
    <s v="2024-12-18 22:35:05"/>
    <s v="2024-12-19 17:08:35"/>
    <s v="P3"/>
    <x v="1"/>
    <s v="Billing Operations"/>
    <s v="Carlos Mendez"/>
    <s v="Resolved"/>
    <n v="4"/>
    <n v="24"/>
    <n v="18.559999999999999"/>
    <n v="1"/>
  </r>
  <r>
    <s v="TCK-11929"/>
    <s v="2024-01-23 20:05:13"/>
    <s v="2024-01-23 20:51:25"/>
    <s v="P1"/>
    <x v="3"/>
    <s v="L1 Support"/>
    <s v="Ravi Patel"/>
    <s v="Closed"/>
    <n v="4"/>
    <n v="4"/>
    <n v="0.77"/>
    <n v="1"/>
  </r>
  <r>
    <s v="TCK-11930"/>
    <s v="2024-03-31 04:20:01"/>
    <s v="2024-04-01 14:38:45"/>
    <s v="P3"/>
    <x v="2"/>
    <s v="L1 Support"/>
    <s v="Anita Sharma"/>
    <s v="Resolved"/>
    <n v="3"/>
    <n v="24"/>
    <n v="34.31"/>
    <n v="0"/>
  </r>
  <r>
    <s v="TCK-11931"/>
    <s v="2024-03-02 13:39:59"/>
    <s v="2024-03-03 08:08:31"/>
    <s v="P4"/>
    <x v="3"/>
    <s v="Billing Operations"/>
    <s v="John Doe"/>
    <s v="Resolved"/>
    <n v="4"/>
    <n v="48"/>
    <n v="18.48"/>
    <n v="1"/>
  </r>
  <r>
    <s v="TCK-11932"/>
    <s v="2024-02-06 03:35:48"/>
    <s v="2024-02-06 09:28:38"/>
    <s v="P2"/>
    <x v="1"/>
    <s v="Infrastructure"/>
    <s v="John Doe"/>
    <s v="Resolved"/>
    <n v="5"/>
    <n v="8"/>
    <n v="5.88"/>
    <n v="1"/>
  </r>
  <r>
    <s v="TCK-11933"/>
    <s v="2024-09-02 04:28:49"/>
    <m/>
    <s v="P1"/>
    <x v="0"/>
    <s v="L2 Support"/>
    <s v="Dwight Schrute"/>
    <s v="Open"/>
    <m/>
    <n v="4"/>
    <m/>
    <m/>
  </r>
  <r>
    <s v="TCK-11934"/>
    <s v="2024-06-15 19:29:22"/>
    <s v="2024-06-16 00:31:00"/>
    <s v="P3"/>
    <x v="0"/>
    <s v="L1 Support"/>
    <s v="Ravi Patel"/>
    <s v="Closed"/>
    <n v="5"/>
    <n v="24"/>
    <n v="5.03"/>
    <n v="1"/>
  </r>
  <r>
    <s v="TCK-11935"/>
    <s v="2024-01-08 07:28:53"/>
    <s v="2024-01-09 04:30:46"/>
    <s v="P4"/>
    <x v="2"/>
    <s v="L1 Support"/>
    <s v="Ravi Patel"/>
    <s v="Closed"/>
    <n v="5"/>
    <n v="48"/>
    <n v="21.03"/>
    <n v="1"/>
  </r>
  <r>
    <s v="TCK-11936"/>
    <s v="2024-11-14 01:55:06"/>
    <s v="2024-11-15 13:07:15"/>
    <s v="P4"/>
    <x v="1"/>
    <s v="L2 Support"/>
    <s v="Carlos Mendez"/>
    <s v="Resolved"/>
    <n v="3"/>
    <n v="48"/>
    <n v="35.200000000000003"/>
    <n v="1"/>
  </r>
  <r>
    <s v="TCK-11937"/>
    <s v="2024-03-09 11:51:16"/>
    <s v="2024-03-10 01:28:49"/>
    <s v="P3"/>
    <x v="2"/>
    <s v="Infrastructure"/>
    <s v="Pam Beesly"/>
    <s v="Resolved"/>
    <n v="4"/>
    <n v="24"/>
    <n v="13.63"/>
    <n v="1"/>
  </r>
  <r>
    <s v="TCK-11938"/>
    <s v="2024-02-12 13:50:39"/>
    <s v="2024-02-12 20:32:44"/>
    <s v="P3"/>
    <x v="0"/>
    <s v="Application Support"/>
    <s v="Ravi Patel"/>
    <s v="Closed"/>
    <n v="5"/>
    <n v="24"/>
    <n v="6.7"/>
    <n v="1"/>
  </r>
  <r>
    <s v="TCK-11939"/>
    <s v="2024-04-12 18:38:10"/>
    <s v="2024-04-13 00:50:02"/>
    <s v="P2"/>
    <x v="4"/>
    <s v="L1 Support"/>
    <s v="Emily Watson"/>
    <s v="Resolved"/>
    <n v="5"/>
    <n v="8"/>
    <n v="6.2"/>
    <n v="1"/>
  </r>
  <r>
    <s v="TCK-11940"/>
    <s v="2024-10-30 08:23:39"/>
    <m/>
    <s v="P2"/>
    <x v="2"/>
    <s v="Application Support"/>
    <s v="Carlos Mendez"/>
    <s v="Open"/>
    <m/>
    <n v="8"/>
    <m/>
    <m/>
  </r>
  <r>
    <s v="TCK-11941"/>
    <s v="2024-10-13 10:09:04"/>
    <s v="2024-10-14 20:29:04"/>
    <s v="P4"/>
    <x v="1"/>
    <s v="L1 Support"/>
    <s v="Emily Watson"/>
    <s v="Resolved"/>
    <n v="3"/>
    <n v="48"/>
    <n v="34.33"/>
    <n v="1"/>
  </r>
  <r>
    <s v="TCK-11942"/>
    <s v="2024-09-16 09:07:50"/>
    <s v="2024-09-17 07:47:29"/>
    <s v="P3"/>
    <x v="4"/>
    <s v="L1 Support"/>
    <s v="Anita Sharma"/>
    <s v="Closed"/>
    <n v="5"/>
    <n v="24"/>
    <n v="22.66"/>
    <n v="1"/>
  </r>
  <r>
    <s v="TCK-11943"/>
    <s v="2024-01-26 12:21:06"/>
    <s v="2024-01-27 03:33:56"/>
    <s v="P4"/>
    <x v="2"/>
    <s v="L2 Support"/>
    <s v="Alex Mercer"/>
    <s v="Closed"/>
    <n v="5"/>
    <n v="48"/>
    <n v="15.21"/>
    <n v="1"/>
  </r>
  <r>
    <s v="TCK-11944"/>
    <s v="2024-06-05 18:52:52"/>
    <s v="2024-06-06 13:45:56"/>
    <s v="P3"/>
    <x v="0"/>
    <s v="Billing Operations"/>
    <s v="Carlos Mendez"/>
    <s v="Resolved"/>
    <n v="5"/>
    <n v="24"/>
    <n v="18.88"/>
    <n v="1"/>
  </r>
  <r>
    <s v="TCK-11945"/>
    <s v="2024-09-12 09:33:04"/>
    <s v="2024-09-12 15:31:35"/>
    <s v="P2"/>
    <x v="3"/>
    <s v="Billing Operations"/>
    <s v="Anita Sharma"/>
    <s v="Closed"/>
    <n v="5"/>
    <n v="8"/>
    <n v="5.98"/>
    <n v="1"/>
  </r>
  <r>
    <s v="TCK-11946"/>
    <s v="2024-02-05 03:38:31"/>
    <s v="2024-02-06 07:38:50"/>
    <s v="P4"/>
    <x v="2"/>
    <s v="Billing Operations"/>
    <s v="Pam Beesly"/>
    <s v="Closed"/>
    <n v="4"/>
    <n v="48"/>
    <n v="28.01"/>
    <n v="1"/>
  </r>
  <r>
    <s v="TCK-11947"/>
    <s v="2024-08-07 21:20:58"/>
    <s v="2024-08-08 03:58:33"/>
    <s v="P2"/>
    <x v="1"/>
    <s v="Billing Operations"/>
    <s v="Michael Scott"/>
    <s v="Closed"/>
    <n v="5"/>
    <n v="8"/>
    <n v="6.63"/>
    <n v="1"/>
  </r>
  <r>
    <s v="TCK-11948"/>
    <s v="2024-12-12 04:25:53"/>
    <s v="2024-12-12 08:09:16"/>
    <s v="P2"/>
    <x v="1"/>
    <s v="L2 Support"/>
    <s v="Michael Scott"/>
    <s v="Closed"/>
    <n v="5"/>
    <n v="8"/>
    <n v="3.72"/>
    <n v="1"/>
  </r>
  <r>
    <s v="TCK-11949"/>
    <s v="2024-12-30 10:24:14"/>
    <s v="2024-12-30 11:12:14"/>
    <s v="P1"/>
    <x v="3"/>
    <s v="L1 Support"/>
    <s v="Ravi Patel"/>
    <s v="Resolved"/>
    <n v="5"/>
    <n v="4"/>
    <n v="0.8"/>
    <n v="1"/>
  </r>
  <r>
    <s v="TCK-11950"/>
    <s v="2024-12-12 14:23:03"/>
    <s v="2024-12-12 20:21:48"/>
    <s v="P1"/>
    <x v="2"/>
    <s v="L2 Support"/>
    <s v="Michael Scott"/>
    <s v="Closed"/>
    <n v="2"/>
    <n v="4"/>
    <n v="5.98"/>
    <n v="0"/>
  </r>
  <r>
    <s v="TCK-11951"/>
    <s v="2024-05-06 20:28:18"/>
    <s v="2024-05-08 04:09:16"/>
    <s v="P3"/>
    <x v="3"/>
    <s v="Infrastructure"/>
    <s v="Carlos Mendez"/>
    <s v="Resolved"/>
    <n v="3"/>
    <n v="24"/>
    <n v="31.68"/>
    <n v="0"/>
  </r>
  <r>
    <s v="TCK-11952"/>
    <s v="2024-10-21 07:51:54"/>
    <s v="2024-10-21 18:59:08"/>
    <s v="P1"/>
    <x v="0"/>
    <s v="Infrastructure"/>
    <s v="Alex Mercer"/>
    <s v="Closed"/>
    <n v="1"/>
    <n v="4"/>
    <n v="11.12"/>
    <n v="0"/>
  </r>
  <r>
    <s v="TCK-11953"/>
    <s v="2024-02-25 15:47:19"/>
    <s v="2024-02-27 04:34:44"/>
    <s v="P4"/>
    <x v="3"/>
    <s v="Application Support"/>
    <s v="Pam Beesly"/>
    <s v="Resolved"/>
    <n v="4"/>
    <n v="48"/>
    <n v="36.79"/>
    <n v="1"/>
  </r>
  <r>
    <s v="TCK-11954"/>
    <s v="2024-10-23 16:39:23"/>
    <s v="2024-10-24 02:51:28"/>
    <s v="P3"/>
    <x v="3"/>
    <s v="Application Support"/>
    <s v="Carlos Mendez"/>
    <s v="Resolved"/>
    <n v="4"/>
    <n v="24"/>
    <n v="10.199999999999999"/>
    <n v="1"/>
  </r>
  <r>
    <s v="TCK-11955"/>
    <s v="2024-06-07 08:48:55"/>
    <s v="2024-06-07 13:13:10"/>
    <s v="P3"/>
    <x v="4"/>
    <s v="L2 Support"/>
    <s v="Alex Mercer"/>
    <s v="Closed"/>
    <n v="5"/>
    <n v="24"/>
    <n v="4.4000000000000004"/>
    <n v="1"/>
  </r>
  <r>
    <s v="TCK-11956"/>
    <s v="2024-12-08 23:30:35"/>
    <s v="2024-12-09 19:36:58"/>
    <s v="P2"/>
    <x v="1"/>
    <s v="Billing Operations"/>
    <s v="Pam Beesly"/>
    <s v="Closed"/>
    <n v="1"/>
    <n v="8"/>
    <n v="20.11"/>
    <n v="0"/>
  </r>
  <r>
    <s v="TCK-11957"/>
    <s v="2024-03-15 21:57:03"/>
    <s v="2024-03-16 17:41:09"/>
    <s v="P3"/>
    <x v="2"/>
    <s v="L2 Support"/>
    <s v="Emily Watson"/>
    <s v="Closed"/>
    <n v="4"/>
    <n v="24"/>
    <n v="19.739999999999998"/>
    <n v="1"/>
  </r>
  <r>
    <s v="TCK-11958"/>
    <s v="2024-12-15 11:13:49"/>
    <s v="2024-12-15 13:54:01"/>
    <s v="P1"/>
    <x v="1"/>
    <s v="L2 Support"/>
    <s v="Dwight Schrute"/>
    <s v="Closed"/>
    <n v="5"/>
    <n v="4"/>
    <n v="2.67"/>
    <n v="1"/>
  </r>
  <r>
    <s v="TCK-11959"/>
    <s v="2024-08-21 12:03:47"/>
    <s v="2024-08-23 07:23:00"/>
    <s v="P3"/>
    <x v="0"/>
    <s v="L1 Support"/>
    <s v="Alex Mercer"/>
    <s v="Resolved"/>
    <n v="1"/>
    <n v="24"/>
    <n v="43.32"/>
    <n v="0"/>
  </r>
  <r>
    <s v="TCK-11960"/>
    <s v="2024-02-01 20:58:13"/>
    <s v="2024-02-02 10:08:15"/>
    <s v="P3"/>
    <x v="0"/>
    <s v="Infrastructure"/>
    <s v="Alex Mercer"/>
    <s v="Resolved"/>
    <n v="5"/>
    <n v="24"/>
    <n v="13.17"/>
    <n v="1"/>
  </r>
  <r>
    <s v="TCK-11961"/>
    <s v="2024-04-18 18:46:17"/>
    <s v="2024-04-18 21:48:06"/>
    <s v="P1"/>
    <x v="3"/>
    <s v="L1 Support"/>
    <s v="Priya Nair"/>
    <s v="Resolved"/>
    <n v="5"/>
    <n v="4"/>
    <n v="3.03"/>
    <n v="1"/>
  </r>
  <r>
    <s v="TCK-11962"/>
    <s v="2024-07-21 23:36:01"/>
    <s v="2024-07-22 05:21:50"/>
    <s v="P2"/>
    <x v="2"/>
    <s v="Application Support"/>
    <s v="Carlos Mendez"/>
    <s v="Resolved"/>
    <n v="4"/>
    <n v="8"/>
    <n v="5.76"/>
    <n v="1"/>
  </r>
  <r>
    <s v="TCK-11963"/>
    <s v="2024-04-18 23:55:37"/>
    <s v="2024-04-19 01:07:21"/>
    <s v="P2"/>
    <x v="0"/>
    <s v="Application Support"/>
    <s v="Dwight Schrute"/>
    <s v="Closed"/>
    <n v="5"/>
    <n v="8"/>
    <n v="1.2"/>
    <n v="1"/>
  </r>
  <r>
    <s v="TCK-11964"/>
    <s v="2024-12-10 04:51:25"/>
    <s v="2024-12-10 05:47:21"/>
    <s v="P2"/>
    <x v="2"/>
    <s v="Application Support"/>
    <s v="Carlos Mendez"/>
    <s v="Resolved"/>
    <n v="5"/>
    <n v="8"/>
    <n v="0.93"/>
    <n v="1"/>
  </r>
  <r>
    <s v="TCK-11965"/>
    <s v="2024-10-16 23:56:49"/>
    <m/>
    <s v="P4"/>
    <x v="0"/>
    <s v="Application Support"/>
    <s v="Jim Halpert"/>
    <s v="Open"/>
    <m/>
    <n v="48"/>
    <m/>
    <m/>
  </r>
  <r>
    <s v="TCK-11966"/>
    <s v="2024-03-03 20:21:57"/>
    <s v="2024-03-06 05:08:19"/>
    <s v="P3"/>
    <x v="4"/>
    <s v="L1 Support"/>
    <s v="Michael Scott"/>
    <s v="Resolved"/>
    <n v="1"/>
    <n v="24"/>
    <n v="56.77"/>
    <n v="0"/>
  </r>
  <r>
    <s v="TCK-11967"/>
    <s v="2024-03-17 04:02:04"/>
    <m/>
    <s v="P2"/>
    <x v="2"/>
    <s v="L1 Support"/>
    <s v="John Doe"/>
    <s v="Open"/>
    <m/>
    <n v="8"/>
    <m/>
    <m/>
  </r>
  <r>
    <s v="TCK-11968"/>
    <s v="2024-05-02 08:33:27"/>
    <m/>
    <s v="P3"/>
    <x v="4"/>
    <s v="L2 Support"/>
    <s v="Pam Beesly"/>
    <s v="Open"/>
    <m/>
    <n v="24"/>
    <m/>
    <m/>
  </r>
  <r>
    <s v="TCK-11969"/>
    <s v="2024-06-05 04:30:06"/>
    <s v="2024-06-06 02:55:40"/>
    <s v="P2"/>
    <x v="2"/>
    <s v="L1 Support"/>
    <s v="Dwight Schrute"/>
    <s v="Resolved"/>
    <n v="1"/>
    <n v="8"/>
    <n v="22.43"/>
    <n v="0"/>
  </r>
  <r>
    <s v="TCK-11970"/>
    <s v="2024-02-09 19:30:28"/>
    <s v="2024-02-09 22:42:48"/>
    <s v="P1"/>
    <x v="1"/>
    <s v="Application Support"/>
    <s v="Sarah Connor"/>
    <s v="Resolved"/>
    <n v="5"/>
    <n v="4"/>
    <n v="3.21"/>
    <n v="1"/>
  </r>
  <r>
    <s v="TCK-11971"/>
    <s v="2024-05-03 17:42:00"/>
    <s v="2024-05-03 21:32:34"/>
    <s v="P2"/>
    <x v="2"/>
    <s v="Billing Operations"/>
    <s v="Pam Beesly"/>
    <s v="Resolved"/>
    <n v="5"/>
    <n v="8"/>
    <n v="3.84"/>
    <n v="1"/>
  </r>
  <r>
    <s v="TCK-11972"/>
    <s v="2024-07-31 01:31:40"/>
    <m/>
    <s v="P2"/>
    <x v="2"/>
    <s v="L1 Support"/>
    <s v="Priya Nair"/>
    <s v="Escalated"/>
    <m/>
    <n v="8"/>
    <m/>
    <m/>
  </r>
  <r>
    <s v="TCK-11973"/>
    <s v="2024-12-02 02:15:51"/>
    <s v="2024-12-03 07:53:15"/>
    <s v="P3"/>
    <x v="1"/>
    <s v="Application Support"/>
    <s v="Michael Scott"/>
    <s v="Resolved"/>
    <n v="1"/>
    <n v="24"/>
    <n v="29.62"/>
    <n v="0"/>
  </r>
  <r>
    <s v="TCK-11974"/>
    <s v="2024-01-21 21:03:53"/>
    <s v="2024-01-22 04:10:22"/>
    <s v="P2"/>
    <x v="4"/>
    <s v="Infrastructure"/>
    <s v="Sarah Connor"/>
    <s v="Resolved"/>
    <n v="5"/>
    <n v="8"/>
    <n v="7.11"/>
    <n v="1"/>
  </r>
  <r>
    <s v="TCK-11975"/>
    <s v="2024-10-15 01:50:30"/>
    <s v="2024-10-17 08:56:59"/>
    <s v="P3"/>
    <x v="3"/>
    <s v="L2 Support"/>
    <s v="John Doe"/>
    <s v="Resolved"/>
    <n v="3"/>
    <n v="24"/>
    <n v="55.11"/>
    <n v="0"/>
  </r>
  <r>
    <s v="TCK-11976"/>
    <s v="2024-12-13 15:09:55"/>
    <s v="2024-12-15 09:55:59"/>
    <s v="P4"/>
    <x v="2"/>
    <s v="L2 Support"/>
    <s v="Sarah Connor"/>
    <s v="Closed"/>
    <n v="4"/>
    <n v="48"/>
    <n v="42.77"/>
    <n v="1"/>
  </r>
  <r>
    <s v="TCK-11977"/>
    <s v="2024-08-10 16:16:16"/>
    <s v="2024-08-11 10:07:54"/>
    <s v="P3"/>
    <x v="0"/>
    <s v="Application Support"/>
    <s v="Priya Nair"/>
    <s v="Closed"/>
    <n v="5"/>
    <n v="24"/>
    <n v="17.86"/>
    <n v="1"/>
  </r>
  <r>
    <s v="TCK-11978"/>
    <s v="2024-03-31 06:56:12"/>
    <s v="2024-04-01 00:43:44"/>
    <s v="P4"/>
    <x v="2"/>
    <s v="L1 Support"/>
    <s v="Ravi Patel"/>
    <s v="Resolved"/>
    <n v="3"/>
    <n v="48"/>
    <n v="17.79"/>
    <n v="1"/>
  </r>
  <r>
    <s v="TCK-11979"/>
    <s v="2024-03-30 05:34:47"/>
    <s v="2024-03-30 22:39:03"/>
    <s v="P3"/>
    <x v="2"/>
    <s v="L1 Support"/>
    <s v="Dwight Schrute"/>
    <s v="Closed"/>
    <n v="4"/>
    <n v="24"/>
    <n v="17.07"/>
    <n v="1"/>
  </r>
  <r>
    <s v="TCK-11980"/>
    <s v="2024-09-21 17:00:22"/>
    <s v="2024-09-25 17:52:30"/>
    <s v="P4"/>
    <x v="1"/>
    <s v="Application Support"/>
    <s v="Priya Nair"/>
    <s v="Resolved"/>
    <n v="4"/>
    <n v="48"/>
    <n v="96.87"/>
    <n v="0"/>
  </r>
  <r>
    <s v="TCK-11981"/>
    <s v="2024-07-20 14:41:42"/>
    <s v="2024-07-20 20:01:30"/>
    <s v="P3"/>
    <x v="1"/>
    <s v="L1 Support"/>
    <s v="Pam Beesly"/>
    <s v="Closed"/>
    <n v="5"/>
    <n v="24"/>
    <n v="5.33"/>
    <n v="1"/>
  </r>
  <r>
    <s v="TCK-11982"/>
    <s v="2024-03-07 17:16:43"/>
    <s v="2024-03-08 12:16:01"/>
    <s v="P2"/>
    <x v="3"/>
    <s v="Infrastructure"/>
    <s v="Carlos Mendez"/>
    <s v="Resolved"/>
    <n v="2"/>
    <n v="8"/>
    <n v="18.989999999999998"/>
    <n v="0"/>
  </r>
  <r>
    <s v="TCK-11983"/>
    <s v="2024-01-07 02:14:44"/>
    <s v="2024-01-07 07:42:45"/>
    <s v="P3"/>
    <x v="2"/>
    <s v="Application Support"/>
    <s v="Sarah Connor"/>
    <s v="Closed"/>
    <n v="3"/>
    <n v="24"/>
    <n v="5.47"/>
    <n v="1"/>
  </r>
  <r>
    <s v="TCK-11984"/>
    <s v="2024-09-10 06:34:18"/>
    <s v="2024-09-10 18:17:19"/>
    <s v="P3"/>
    <x v="1"/>
    <s v="Billing Operations"/>
    <s v="John Doe"/>
    <s v="Resolved"/>
    <n v="5"/>
    <n v="24"/>
    <n v="11.72"/>
    <n v="1"/>
  </r>
  <r>
    <s v="TCK-11985"/>
    <s v="2024-01-16 15:33:32"/>
    <s v="2024-01-16 23:51:01"/>
    <s v="P3"/>
    <x v="2"/>
    <s v="Infrastructure"/>
    <s v="Emily Watson"/>
    <s v="Resolved"/>
    <n v="5"/>
    <n v="24"/>
    <n v="8.2899999999999991"/>
    <n v="1"/>
  </r>
  <r>
    <s v="TCK-11986"/>
    <s v="2024-01-07 14:40:50"/>
    <s v="2024-01-12 09:49:56"/>
    <s v="P4"/>
    <x v="1"/>
    <s v="L1 Support"/>
    <s v="Pam Beesly"/>
    <s v="Closed"/>
    <n v="1"/>
    <n v="48"/>
    <n v="115.15"/>
    <n v="0"/>
  </r>
  <r>
    <s v="TCK-11987"/>
    <s v="2024-11-23 05:48:29"/>
    <s v="2024-11-23 14:09:43"/>
    <s v="P3"/>
    <x v="4"/>
    <s v="Billing Operations"/>
    <s v="Priya Nair"/>
    <s v="Closed"/>
    <n v="4"/>
    <n v="24"/>
    <n v="8.35"/>
    <n v="1"/>
  </r>
  <r>
    <s v="TCK-11988"/>
    <s v="2024-12-09 01:24:49"/>
    <s v="2024-12-09 05:31:38"/>
    <s v="P3"/>
    <x v="0"/>
    <s v="Billing Operations"/>
    <s v="Ravi Patel"/>
    <s v="Closed"/>
    <n v="4"/>
    <n v="24"/>
    <n v="4.1100000000000003"/>
    <n v="1"/>
  </r>
  <r>
    <s v="TCK-11989"/>
    <s v="2024-08-31 11:21:23"/>
    <s v="2024-09-01 08:35:55"/>
    <s v="P3"/>
    <x v="2"/>
    <s v="L1 Support"/>
    <s v="Priya Nair"/>
    <s v="Closed"/>
    <n v="4"/>
    <n v="24"/>
    <n v="21.24"/>
    <n v="1"/>
  </r>
  <r>
    <s v="TCK-11990"/>
    <s v="2024-07-30 14:09:27"/>
    <s v="2024-07-30 17:05:32"/>
    <s v="P3"/>
    <x v="2"/>
    <s v="L2 Support"/>
    <s v="Ravi Patel"/>
    <s v="Closed"/>
    <n v="5"/>
    <n v="24"/>
    <n v="2.93"/>
    <n v="1"/>
  </r>
  <r>
    <s v="TCK-11991"/>
    <s v="2024-04-17 02:15:14"/>
    <s v="2024-04-17 14:03:59"/>
    <s v="P3"/>
    <x v="1"/>
    <s v="Billing Operations"/>
    <s v="Sarah Connor"/>
    <s v="Closed"/>
    <n v="5"/>
    <n v="24"/>
    <n v="11.81"/>
    <n v="1"/>
  </r>
  <r>
    <s v="TCK-11992"/>
    <s v="2024-07-10 14:09:50"/>
    <m/>
    <s v="P3"/>
    <x v="1"/>
    <s v="Billing Operations"/>
    <s v="Anita Sharma"/>
    <s v="Open"/>
    <m/>
    <n v="24"/>
    <m/>
    <m/>
  </r>
  <r>
    <s v="TCK-11993"/>
    <s v="2024-07-15 18:26:56"/>
    <s v="2024-07-16 17:07:49"/>
    <s v="P3"/>
    <x v="0"/>
    <s v="L2 Support"/>
    <s v="Pam Beesly"/>
    <s v="Resolved"/>
    <n v="3"/>
    <n v="24"/>
    <n v="22.68"/>
    <n v="1"/>
  </r>
  <r>
    <s v="TCK-11994"/>
    <s v="2024-09-07 04:02:35"/>
    <s v="2024-09-07 22:36:29"/>
    <s v="P3"/>
    <x v="3"/>
    <s v="L1 Support"/>
    <s v="Jim Halpert"/>
    <s v="Closed"/>
    <n v="4"/>
    <n v="24"/>
    <n v="18.57"/>
    <n v="1"/>
  </r>
  <r>
    <s v="TCK-11995"/>
    <s v="2024-09-27 10:32:42"/>
    <s v="2024-09-27 16:00:25"/>
    <s v="P2"/>
    <x v="1"/>
    <s v="Infrastructure"/>
    <s v="Jim Halpert"/>
    <s v="Resolved"/>
    <n v="5"/>
    <n v="8"/>
    <n v="5.46"/>
    <n v="1"/>
  </r>
  <r>
    <s v="TCK-11996"/>
    <s v="2024-01-13 05:31:51"/>
    <s v="2024-01-13 15:34:16"/>
    <s v="P3"/>
    <x v="1"/>
    <s v="Billing Operations"/>
    <s v="John Doe"/>
    <s v="Closed"/>
    <n v="4"/>
    <n v="24"/>
    <n v="10.039999999999999"/>
    <n v="1"/>
  </r>
  <r>
    <s v="TCK-11997"/>
    <s v="2024-12-29 03:39:45"/>
    <s v="2024-12-31 09:28:31"/>
    <s v="P3"/>
    <x v="2"/>
    <s v="Application Support"/>
    <s v="Emily Watson"/>
    <s v="Resolved"/>
    <n v="1"/>
    <n v="24"/>
    <n v="53.81"/>
    <n v="0"/>
  </r>
  <r>
    <s v="TCK-11998"/>
    <s v="2024-04-06 02:42:34"/>
    <s v="2024-04-06 13:05:37"/>
    <s v="P3"/>
    <x v="1"/>
    <s v="Billing Operations"/>
    <s v="Priya Nair"/>
    <s v="Closed"/>
    <n v="5"/>
    <n v="24"/>
    <n v="10.38"/>
    <n v="1"/>
  </r>
  <r>
    <s v="TCK-11999"/>
    <s v="2024-12-02 18:25:40"/>
    <s v="2024-12-03 02:28:32"/>
    <s v="P4"/>
    <x v="2"/>
    <s v="Billing Operations"/>
    <s v="Sarah Connor"/>
    <s v="Resolved"/>
    <n v="5"/>
    <n v="48"/>
    <n v="8.0500000000000007"/>
    <n v="1"/>
  </r>
  <r>
    <s v="TCK-12000"/>
    <s v="2024-05-07 16:04:09"/>
    <m/>
    <s v="P2"/>
    <x v="0"/>
    <s v="Application Support"/>
    <s v="John Doe"/>
    <s v="Open"/>
    <m/>
    <n v="8"/>
    <m/>
    <m/>
  </r>
  <r>
    <s v="TCK-12001"/>
    <s v="2024-05-13 16:15:36"/>
    <m/>
    <s v="P3"/>
    <x v="4"/>
    <s v="L2 Support"/>
    <s v="Jim Halpert"/>
    <s v="Open"/>
    <m/>
    <n v="24"/>
    <m/>
    <m/>
  </r>
  <r>
    <s v="TCK-12002"/>
    <s v="2024-03-27 09:56:51"/>
    <s v="2024-03-27 23:52:06"/>
    <s v="P4"/>
    <x v="2"/>
    <s v="Billing Operations"/>
    <s v="Anita Sharma"/>
    <s v="Closed"/>
    <n v="5"/>
    <n v="48"/>
    <n v="13.92"/>
    <n v="1"/>
  </r>
  <r>
    <s v="TCK-12003"/>
    <s v="2024-07-15 06:06:21"/>
    <s v="2024-07-15 10:26:04"/>
    <s v="P2"/>
    <x v="0"/>
    <s v="Infrastructure"/>
    <s v="Pam Beesly"/>
    <s v="Resolved"/>
    <n v="5"/>
    <n v="8"/>
    <n v="4.33"/>
    <n v="1"/>
  </r>
  <r>
    <s v="TCK-12004"/>
    <s v="2024-11-26 11:42:49"/>
    <s v="2024-11-26 19:27:08"/>
    <s v="P3"/>
    <x v="1"/>
    <s v="Infrastructure"/>
    <s v="Dwight Schrute"/>
    <s v="Closed"/>
    <n v="3"/>
    <n v="24"/>
    <n v="7.74"/>
    <n v="1"/>
  </r>
  <r>
    <s v="TCK-12005"/>
    <s v="2024-04-29 09:53:57"/>
    <s v="2024-05-02 05:52:07"/>
    <s v="P3"/>
    <x v="1"/>
    <s v="Billing Operations"/>
    <s v="Anita Sharma"/>
    <s v="Resolved"/>
    <n v="2"/>
    <n v="24"/>
    <n v="67.97"/>
    <n v="0"/>
  </r>
  <r>
    <s v="TCK-12006"/>
    <s v="2024-03-05 08:11:10"/>
    <s v="2024-03-05 08:52:42"/>
    <s v="P1"/>
    <x v="2"/>
    <s v="Infrastructure"/>
    <s v="Anita Sharma"/>
    <s v="Resolved"/>
    <n v="4"/>
    <n v="4"/>
    <n v="0.69"/>
    <n v="1"/>
  </r>
  <r>
    <s v="TCK-12007"/>
    <s v="2024-06-02 13:17:35"/>
    <s v="2024-06-02 14:49:19"/>
    <s v="P2"/>
    <x v="2"/>
    <s v="Application Support"/>
    <s v="Sarah Connor"/>
    <s v="Resolved"/>
    <n v="5"/>
    <n v="8"/>
    <n v="1.53"/>
    <n v="1"/>
  </r>
  <r>
    <s v="TCK-12008"/>
    <s v="2024-05-22 12:23:37"/>
    <s v="2024-05-23 18:09:03"/>
    <s v="P3"/>
    <x v="2"/>
    <s v="Application Support"/>
    <s v="Dwight Schrute"/>
    <s v="Closed"/>
    <n v="3"/>
    <n v="24"/>
    <n v="29.76"/>
    <n v="0"/>
  </r>
  <r>
    <s v="TCK-12009"/>
    <s v="2024-06-23 01:23:18"/>
    <m/>
    <s v="P4"/>
    <x v="1"/>
    <s v="Billing Operations"/>
    <s v="Michael Scott"/>
    <s v="Open"/>
    <m/>
    <n v="48"/>
    <m/>
    <m/>
  </r>
  <r>
    <s v="TCK-12010"/>
    <s v="2024-02-28 11:10:45"/>
    <m/>
    <s v="P3"/>
    <x v="3"/>
    <s v="L1 Support"/>
    <s v="Michael Scott"/>
    <s v="Open"/>
    <m/>
    <n v="24"/>
    <m/>
    <m/>
  </r>
  <r>
    <s v="TCK-12011"/>
    <s v="2024-11-04 02:12:32"/>
    <s v="2024-11-04 06:00:02"/>
    <s v="P1"/>
    <x v="0"/>
    <s v="L2 Support"/>
    <s v="Dwight Schrute"/>
    <s v="Resolved"/>
    <n v="5"/>
    <n v="4"/>
    <n v="3.79"/>
    <n v="1"/>
  </r>
  <r>
    <s v="TCK-12012"/>
    <s v="2024-07-22 17:26:00"/>
    <s v="2024-07-23 00:37:39"/>
    <s v="P3"/>
    <x v="1"/>
    <s v="L2 Support"/>
    <s v="Dwight Schrute"/>
    <s v="Resolved"/>
    <n v="5"/>
    <n v="24"/>
    <n v="7.19"/>
    <n v="1"/>
  </r>
  <r>
    <s v="TCK-12013"/>
    <s v="2024-08-04 23:07:03"/>
    <m/>
    <s v="P4"/>
    <x v="2"/>
    <s v="L2 Support"/>
    <s v="John Doe"/>
    <s v="Open"/>
    <m/>
    <n v="48"/>
    <m/>
    <m/>
  </r>
  <r>
    <s v="TCK-12014"/>
    <s v="2024-08-04 19:24:21"/>
    <s v="2024-08-06 07:44:28"/>
    <s v="P4"/>
    <x v="0"/>
    <s v="Application Support"/>
    <s v="Jim Halpert"/>
    <s v="Resolved"/>
    <n v="5"/>
    <n v="48"/>
    <n v="36.340000000000003"/>
    <n v="1"/>
  </r>
  <r>
    <s v="TCK-12015"/>
    <s v="2024-11-04 00:43:48"/>
    <s v="2024-11-04 17:32:04"/>
    <s v="P3"/>
    <x v="2"/>
    <s v="Infrastructure"/>
    <s v="Michael Scott"/>
    <s v="Closed"/>
    <n v="5"/>
    <n v="24"/>
    <n v="16.8"/>
    <n v="1"/>
  </r>
  <r>
    <s v="TCK-12016"/>
    <s v="2024-10-15 00:46:26"/>
    <s v="2024-10-20 05:44:09"/>
    <s v="P4"/>
    <x v="2"/>
    <s v="Infrastructure"/>
    <s v="Priya Nair"/>
    <s v="Closed"/>
    <n v="2"/>
    <n v="48"/>
    <n v="124.96"/>
    <n v="0"/>
  </r>
  <r>
    <s v="TCK-12017"/>
    <s v="2024-10-04 02:37:23"/>
    <s v="2024-10-04 12:15:51"/>
    <s v="P4"/>
    <x v="4"/>
    <s v="Billing Operations"/>
    <s v="John Doe"/>
    <s v="Resolved"/>
    <n v="3"/>
    <n v="48"/>
    <n v="9.64"/>
    <n v="1"/>
  </r>
  <r>
    <s v="TCK-12018"/>
    <s v="2024-09-26 12:54:29"/>
    <s v="2024-09-27 07:39:40"/>
    <s v="P3"/>
    <x v="2"/>
    <s v="L2 Support"/>
    <s v="Alex Mercer"/>
    <s v="Closed"/>
    <n v="4"/>
    <n v="24"/>
    <n v="18.75"/>
    <n v="1"/>
  </r>
  <r>
    <s v="TCK-12019"/>
    <s v="2024-03-30 11:46:44"/>
    <s v="2024-04-02 06:18:26"/>
    <s v="P3"/>
    <x v="4"/>
    <s v="L1 Support"/>
    <s v="Emily Watson"/>
    <s v="Resolved"/>
    <n v="3"/>
    <n v="24"/>
    <n v="66.53"/>
    <n v="0"/>
  </r>
  <r>
    <s v="TCK-12020"/>
    <s v="2024-11-06 18:07:43"/>
    <s v="2024-11-06 22:28:36"/>
    <s v="P2"/>
    <x v="2"/>
    <s v="L2 Support"/>
    <s v="Alex Mercer"/>
    <s v="Resolved"/>
    <n v="5"/>
    <n v="8"/>
    <n v="4.3499999999999996"/>
    <n v="1"/>
  </r>
  <r>
    <s v="TCK-12021"/>
    <s v="2024-06-14 15:39:05"/>
    <s v="2024-06-16 17:24:41"/>
    <s v="P3"/>
    <x v="1"/>
    <s v="L1 Support"/>
    <s v="Michael Scott"/>
    <s v="Resolved"/>
    <n v="2"/>
    <n v="24"/>
    <n v="49.76"/>
    <n v="0"/>
  </r>
  <r>
    <s v="TCK-12022"/>
    <s v="2024-08-16 01:57:23"/>
    <m/>
    <s v="P3"/>
    <x v="0"/>
    <s v="L2 Support"/>
    <s v="Dwight Schrute"/>
    <s v="Escalated"/>
    <m/>
    <n v="24"/>
    <m/>
    <m/>
  </r>
  <r>
    <s v="TCK-12023"/>
    <s v="2024-09-25 10:37:39"/>
    <s v="2024-09-26 03:22:06"/>
    <s v="P4"/>
    <x v="2"/>
    <s v="Application Support"/>
    <s v="Carlos Mendez"/>
    <s v="Closed"/>
    <n v="4"/>
    <n v="48"/>
    <n v="16.739999999999998"/>
    <n v="1"/>
  </r>
  <r>
    <s v="TCK-12024"/>
    <s v="2024-10-17 09:36:49"/>
    <s v="2024-10-17 16:03:33"/>
    <s v="P1"/>
    <x v="2"/>
    <s v="Billing Operations"/>
    <s v="Priya Nair"/>
    <s v="Closed"/>
    <n v="4"/>
    <n v="4"/>
    <n v="6.45"/>
    <n v="0"/>
  </r>
  <r>
    <s v="TCK-12025"/>
    <s v="2024-01-28 08:39:20"/>
    <s v="2024-01-29 02:05:28"/>
    <s v="P3"/>
    <x v="0"/>
    <s v="L2 Support"/>
    <s v="Priya Nair"/>
    <s v="Resolved"/>
    <n v="4"/>
    <n v="24"/>
    <n v="17.440000000000001"/>
    <n v="1"/>
  </r>
  <r>
    <s v="TCK-12026"/>
    <s v="2024-01-25 18:24:56"/>
    <s v="2024-01-25 21:46:48"/>
    <s v="P2"/>
    <x v="3"/>
    <s v="L1 Support"/>
    <s v="Carlos Mendez"/>
    <s v="Resolved"/>
    <n v="3"/>
    <n v="8"/>
    <n v="3.36"/>
    <n v="1"/>
  </r>
  <r>
    <s v="TCK-12027"/>
    <s v="2024-02-05 05:28:18"/>
    <s v="2024-02-05 14:54:35"/>
    <s v="P3"/>
    <x v="2"/>
    <s v="Application Support"/>
    <s v="John Doe"/>
    <s v="Resolved"/>
    <n v="5"/>
    <n v="24"/>
    <n v="9.44"/>
    <n v="1"/>
  </r>
  <r>
    <s v="TCK-12028"/>
    <s v="2024-10-25 04:21:08"/>
    <s v="2024-10-26 01:06:33"/>
    <s v="P3"/>
    <x v="2"/>
    <s v="L1 Support"/>
    <s v="Carlos Mendez"/>
    <s v="Resolved"/>
    <n v="4"/>
    <n v="24"/>
    <n v="20.76"/>
    <n v="1"/>
  </r>
  <r>
    <s v="TCK-12029"/>
    <s v="2024-05-04 22:31:41"/>
    <s v="2024-05-05 00:22:49"/>
    <s v="P2"/>
    <x v="4"/>
    <s v="Billing Operations"/>
    <s v="Carlos Mendez"/>
    <s v="Resolved"/>
    <n v="5"/>
    <n v="8"/>
    <n v="1.85"/>
    <n v="1"/>
  </r>
  <r>
    <s v="TCK-12030"/>
    <s v="2024-01-14 00:43:41"/>
    <s v="2024-01-14 06:00:00"/>
    <s v="P2"/>
    <x v="2"/>
    <s v="Billing Operations"/>
    <s v="Carlos Mendez"/>
    <s v="Closed"/>
    <n v="4"/>
    <n v="8"/>
    <n v="5.27"/>
    <n v="1"/>
  </r>
  <r>
    <s v="TCK-12031"/>
    <s v="2024-02-10 01:02:18"/>
    <s v="2024-02-10 13:00:04"/>
    <s v="P3"/>
    <x v="2"/>
    <s v="L2 Support"/>
    <s v="Priya Nair"/>
    <s v="Resolved"/>
    <n v="3"/>
    <n v="24"/>
    <n v="11.96"/>
    <n v="1"/>
  </r>
  <r>
    <s v="TCK-12032"/>
    <s v="2024-09-24 07:48:16"/>
    <s v="2024-09-25 07:07:43"/>
    <s v="P2"/>
    <x v="2"/>
    <s v="L2 Support"/>
    <s v="Anita Sharma"/>
    <s v="Closed"/>
    <n v="4"/>
    <n v="8"/>
    <n v="23.32"/>
    <n v="0"/>
  </r>
  <r>
    <s v="TCK-12033"/>
    <s v="2024-05-06 20:53:12"/>
    <s v="2024-05-06 22:51:02"/>
    <s v="P2"/>
    <x v="1"/>
    <s v="Billing Operations"/>
    <s v="Anita Sharma"/>
    <s v="Resolved"/>
    <n v="4"/>
    <n v="8"/>
    <n v="1.96"/>
    <n v="1"/>
  </r>
  <r>
    <s v="TCK-12034"/>
    <s v="2024-06-15 04:51:39"/>
    <s v="2024-06-15 18:29:39"/>
    <s v="P3"/>
    <x v="3"/>
    <s v="Billing Operations"/>
    <s v="Sarah Connor"/>
    <s v="Closed"/>
    <n v="4"/>
    <n v="24"/>
    <n v="13.63"/>
    <n v="1"/>
  </r>
  <r>
    <s v="TCK-12035"/>
    <s v="2024-03-06 00:29:14"/>
    <s v="2024-03-06 03:27:52"/>
    <s v="P2"/>
    <x v="2"/>
    <s v="L2 Support"/>
    <s v="Anita Sharma"/>
    <s v="Closed"/>
    <n v="5"/>
    <n v="8"/>
    <n v="2.98"/>
    <n v="1"/>
  </r>
  <r>
    <s v="TCK-12036"/>
    <s v="2024-04-13 22:33:13"/>
    <s v="2024-04-14 04:14:58"/>
    <s v="P3"/>
    <x v="2"/>
    <s v="Application Support"/>
    <s v="Priya Nair"/>
    <s v="Closed"/>
    <n v="4"/>
    <n v="24"/>
    <n v="5.7"/>
    <n v="1"/>
  </r>
  <r>
    <s v="TCK-12037"/>
    <s v="2024-04-06 07:28:04"/>
    <s v="2024-04-10 08:29:29"/>
    <s v="P4"/>
    <x v="3"/>
    <s v="Infrastructure"/>
    <s v="Michael Scott"/>
    <s v="Closed"/>
    <n v="3"/>
    <n v="48"/>
    <n v="97.02"/>
    <n v="0"/>
  </r>
  <r>
    <s v="TCK-12038"/>
    <s v="2024-02-15 13:39:43"/>
    <s v="2024-02-15 17:27:17"/>
    <s v="P2"/>
    <x v="2"/>
    <s v="Billing Operations"/>
    <s v="Dwight Schrute"/>
    <s v="Resolved"/>
    <n v="4"/>
    <n v="8"/>
    <n v="3.79"/>
    <n v="1"/>
  </r>
  <r>
    <s v="TCK-12039"/>
    <s v="2024-05-08 22:09:58"/>
    <m/>
    <s v="P2"/>
    <x v="4"/>
    <s v="Application Support"/>
    <s v="Ravi Patel"/>
    <s v="Open"/>
    <m/>
    <n v="8"/>
    <m/>
    <m/>
  </r>
  <r>
    <s v="TCK-12040"/>
    <s v="2024-10-06 11:22:18"/>
    <s v="2024-10-06 18:23:36"/>
    <s v="P2"/>
    <x v="2"/>
    <s v="Infrastructure"/>
    <s v="John Doe"/>
    <s v="Closed"/>
    <n v="4"/>
    <n v="8"/>
    <n v="7.02"/>
    <n v="1"/>
  </r>
  <r>
    <s v="TCK-12041"/>
    <s v="2024-02-28 07:00:49"/>
    <s v="2024-02-28 10:06:05"/>
    <s v="P1"/>
    <x v="3"/>
    <s v="L1 Support"/>
    <s v="John Doe"/>
    <s v="Closed"/>
    <n v="5"/>
    <n v="4"/>
    <n v="3.09"/>
    <n v="1"/>
  </r>
  <r>
    <s v="TCK-12042"/>
    <s v="2024-08-01 03:32:20"/>
    <m/>
    <s v="P2"/>
    <x v="1"/>
    <s v="L1 Support"/>
    <s v="Michael Scott"/>
    <s v="Open"/>
    <m/>
    <n v="8"/>
    <m/>
    <m/>
  </r>
  <r>
    <s v="TCK-12043"/>
    <s v="2024-06-30 03:43:31"/>
    <s v="2024-06-30 21:13:15"/>
    <s v="P3"/>
    <x v="2"/>
    <s v="Billing Operations"/>
    <s v="Dwight Schrute"/>
    <s v="Resolved"/>
    <n v="5"/>
    <n v="24"/>
    <n v="17.5"/>
    <n v="1"/>
  </r>
  <r>
    <s v="TCK-12044"/>
    <s v="2024-05-24 21:05:20"/>
    <s v="2024-05-27 11:40:03"/>
    <s v="P3"/>
    <x v="2"/>
    <s v="L2 Support"/>
    <s v="Carlos Mendez"/>
    <s v="Resolved"/>
    <n v="4"/>
    <n v="24"/>
    <n v="62.58"/>
    <n v="0"/>
  </r>
  <r>
    <s v="TCK-12045"/>
    <s v="2024-11-03 06:27:57"/>
    <s v="2024-11-05 00:54:20"/>
    <s v="P4"/>
    <x v="0"/>
    <s v="L2 Support"/>
    <s v="Alex Mercer"/>
    <s v="Resolved"/>
    <n v="5"/>
    <n v="48"/>
    <n v="42.44"/>
    <n v="1"/>
  </r>
  <r>
    <s v="TCK-12046"/>
    <s v="2024-11-12 17:18:00"/>
    <s v="2024-11-13 13:29:06"/>
    <s v="P3"/>
    <x v="0"/>
    <s v="Infrastructure"/>
    <s v="Sarah Connor"/>
    <s v="Resolved"/>
    <n v="5"/>
    <n v="24"/>
    <n v="20.18"/>
    <n v="1"/>
  </r>
  <r>
    <s v="TCK-12047"/>
    <s v="2024-12-04 23:41:26"/>
    <s v="2024-12-05 05:30:25"/>
    <s v="P3"/>
    <x v="0"/>
    <s v="L1 Support"/>
    <s v="Alex Mercer"/>
    <s v="Closed"/>
    <n v="5"/>
    <n v="24"/>
    <n v="5.82"/>
    <n v="1"/>
  </r>
  <r>
    <s v="TCK-12048"/>
    <s v="2024-08-16 06:06:48"/>
    <s v="2024-08-17 02:13:03"/>
    <s v="P3"/>
    <x v="3"/>
    <s v="L1 Support"/>
    <s v="Michael Scott"/>
    <s v="Resolved"/>
    <n v="5"/>
    <n v="24"/>
    <n v="20.100000000000001"/>
    <n v="1"/>
  </r>
  <r>
    <s v="TCK-12049"/>
    <s v="2024-01-23 08:22:35"/>
    <s v="2024-01-23 15:04:08"/>
    <s v="P3"/>
    <x v="1"/>
    <s v="L1 Support"/>
    <s v="Anita Sharma"/>
    <s v="Resolved"/>
    <n v="5"/>
    <n v="24"/>
    <n v="6.69"/>
    <n v="1"/>
  </r>
  <r>
    <s v="TCK-12050"/>
    <s v="2024-02-06 10:09:47"/>
    <s v="2024-02-06 14:55:13"/>
    <s v="P3"/>
    <x v="1"/>
    <s v="Application Support"/>
    <s v="Alex Mercer"/>
    <s v="Closed"/>
    <n v="4"/>
    <n v="24"/>
    <n v="4.76"/>
    <n v="1"/>
  </r>
  <r>
    <s v="TCK-12051"/>
    <s v="2024-12-02 22:31:02"/>
    <s v="2024-12-03 02:00:31"/>
    <s v="P3"/>
    <x v="0"/>
    <s v="Application Support"/>
    <s v="Jim Halpert"/>
    <s v="Resolved"/>
    <n v="5"/>
    <n v="24"/>
    <n v="3.49"/>
    <n v="1"/>
  </r>
  <r>
    <s v="TCK-12052"/>
    <s v="2024-10-17 01:25:13"/>
    <s v="2024-10-18 04:34:44"/>
    <s v="P3"/>
    <x v="1"/>
    <s v="Application Support"/>
    <s v="Jim Halpert"/>
    <s v="Resolved"/>
    <n v="2"/>
    <n v="24"/>
    <n v="27.16"/>
    <n v="0"/>
  </r>
  <r>
    <s v="TCK-12053"/>
    <s v="2024-01-13 17:29:28"/>
    <m/>
    <s v="P3"/>
    <x v="0"/>
    <s v="Billing Operations"/>
    <s v="Dwight Schrute"/>
    <s v="Open"/>
    <m/>
    <n v="24"/>
    <m/>
    <m/>
  </r>
  <r>
    <s v="TCK-12054"/>
    <s v="2024-03-18 05:02:24"/>
    <s v="2024-03-19 01:21:20"/>
    <s v="P4"/>
    <x v="0"/>
    <s v="L2 Support"/>
    <s v="Alex Mercer"/>
    <s v="Resolved"/>
    <n v="4"/>
    <n v="48"/>
    <n v="20.32"/>
    <n v="1"/>
  </r>
  <r>
    <s v="TCK-12055"/>
    <s v="2024-01-06 12:58:53"/>
    <s v="2024-01-06 21:08:06"/>
    <s v="P3"/>
    <x v="2"/>
    <s v="Infrastructure"/>
    <s v="Ravi Patel"/>
    <s v="Resolved"/>
    <n v="4"/>
    <n v="24"/>
    <n v="8.15"/>
    <n v="1"/>
  </r>
  <r>
    <s v="TCK-12056"/>
    <s v="2024-04-20 19:16:12"/>
    <s v="2024-04-21 06:10:36"/>
    <s v="P1"/>
    <x v="3"/>
    <s v="Application Support"/>
    <s v="Carlos Mendez"/>
    <s v="Resolved"/>
    <n v="2"/>
    <n v="4"/>
    <n v="10.91"/>
    <n v="0"/>
  </r>
  <r>
    <s v="TCK-12057"/>
    <s v="2024-05-07 04:29:55"/>
    <s v="2024-05-11 14:15:13"/>
    <s v="P4"/>
    <x v="1"/>
    <s v="Infrastructure"/>
    <s v="Jim Halpert"/>
    <s v="Resolved"/>
    <n v="3"/>
    <n v="48"/>
    <n v="105.76"/>
    <n v="0"/>
  </r>
  <r>
    <s v="TCK-12058"/>
    <s v="2024-05-22 18:08:42"/>
    <s v="2024-05-22 22:59:43"/>
    <s v="P4"/>
    <x v="2"/>
    <s v="Application Support"/>
    <s v="Sarah Connor"/>
    <s v="Closed"/>
    <n v="5"/>
    <n v="48"/>
    <n v="4.8499999999999996"/>
    <n v="1"/>
  </r>
  <r>
    <s v="TCK-12059"/>
    <s v="2024-10-05 06:33:32"/>
    <s v="2024-10-07 20:05:33"/>
    <s v="P3"/>
    <x v="3"/>
    <s v="L2 Support"/>
    <s v="Priya Nair"/>
    <s v="Closed"/>
    <n v="1"/>
    <n v="24"/>
    <n v="61.53"/>
    <n v="0"/>
  </r>
  <r>
    <s v="TCK-12060"/>
    <s v="2024-06-25 13:06:37"/>
    <s v="2024-06-25 16:32:39"/>
    <s v="P2"/>
    <x v="2"/>
    <s v="Application Support"/>
    <s v="Pam Beesly"/>
    <s v="Resolved"/>
    <n v="5"/>
    <n v="8"/>
    <n v="3.43"/>
    <n v="1"/>
  </r>
  <r>
    <s v="TCK-12061"/>
    <s v="2024-02-20 22:47:50"/>
    <s v="2024-02-21 06:19:47"/>
    <s v="P2"/>
    <x v="1"/>
    <s v="L1 Support"/>
    <s v="Priya Nair"/>
    <s v="Closed"/>
    <n v="5"/>
    <n v="8"/>
    <n v="7.53"/>
    <n v="1"/>
  </r>
  <r>
    <s v="TCK-12062"/>
    <s v="2024-06-13 09:36:38"/>
    <s v="2024-06-13 11:32:30"/>
    <s v="P2"/>
    <x v="3"/>
    <s v="Application Support"/>
    <s v="Emily Watson"/>
    <s v="Closed"/>
    <n v="5"/>
    <n v="8"/>
    <n v="1.93"/>
    <n v="1"/>
  </r>
  <r>
    <s v="TCK-12063"/>
    <s v="2024-06-21 10:07:37"/>
    <s v="2024-06-21 17:10:56"/>
    <s v="P3"/>
    <x v="4"/>
    <s v="Application Support"/>
    <s v="Jim Halpert"/>
    <s v="Closed"/>
    <n v="4"/>
    <n v="24"/>
    <n v="7.06"/>
    <n v="1"/>
  </r>
  <r>
    <s v="TCK-12064"/>
    <s v="2024-04-19 14:49:36"/>
    <s v="2024-04-20 23:26:56"/>
    <s v="P3"/>
    <x v="4"/>
    <s v="L1 Support"/>
    <s v="Pam Beesly"/>
    <s v="Resolved"/>
    <n v="3"/>
    <n v="24"/>
    <n v="32.619999999999997"/>
    <n v="0"/>
  </r>
  <r>
    <s v="TCK-12065"/>
    <s v="2024-09-02 16:11:40"/>
    <s v="2024-09-03 07:09:49"/>
    <s v="P3"/>
    <x v="2"/>
    <s v="Infrastructure"/>
    <s v="Alex Mercer"/>
    <s v="Resolved"/>
    <n v="5"/>
    <n v="24"/>
    <n v="14.97"/>
    <n v="1"/>
  </r>
  <r>
    <s v="TCK-12066"/>
    <s v="2024-06-06 19:54:24"/>
    <s v="2024-06-08 02:07:16"/>
    <s v="P4"/>
    <x v="3"/>
    <s v="Application Support"/>
    <s v="Pam Beesly"/>
    <s v="Resolved"/>
    <n v="4"/>
    <n v="48"/>
    <n v="30.21"/>
    <n v="1"/>
  </r>
  <r>
    <s v="TCK-12067"/>
    <s v="2024-08-17 12:20:38"/>
    <s v="2024-08-17 19:45:51"/>
    <s v="P3"/>
    <x v="4"/>
    <s v="Infrastructure"/>
    <s v="Michael Scott"/>
    <s v="Resolved"/>
    <n v="4"/>
    <n v="24"/>
    <n v="7.42"/>
    <n v="1"/>
  </r>
  <r>
    <s v="TCK-12068"/>
    <s v="2024-02-11 15:57:11"/>
    <s v="2024-02-11 17:09:25"/>
    <s v="P2"/>
    <x v="0"/>
    <s v="Application Support"/>
    <s v="Jim Halpert"/>
    <s v="Resolved"/>
    <n v="4"/>
    <n v="8"/>
    <n v="1.2"/>
    <n v="1"/>
  </r>
  <r>
    <s v="TCK-12069"/>
    <s v="2024-10-31 15:41:13"/>
    <s v="2024-10-31 20:08:04"/>
    <s v="P3"/>
    <x v="1"/>
    <s v="L1 Support"/>
    <s v="Priya Nair"/>
    <s v="Closed"/>
    <n v="4"/>
    <n v="24"/>
    <n v="4.45"/>
    <n v="1"/>
  </r>
  <r>
    <s v="TCK-12070"/>
    <s v="2024-10-23 19:48:57"/>
    <s v="2024-10-24 04:35:27"/>
    <s v="P4"/>
    <x v="2"/>
    <s v="Application Support"/>
    <s v="Ravi Patel"/>
    <s v="Resolved"/>
    <n v="5"/>
    <n v="48"/>
    <n v="8.7799999999999994"/>
    <n v="1"/>
  </r>
  <r>
    <s v="TCK-12071"/>
    <s v="2024-05-22 13:38:25"/>
    <s v="2024-05-22 17:16:50"/>
    <s v="P3"/>
    <x v="1"/>
    <s v="L1 Support"/>
    <s v="Priya Nair"/>
    <s v="Resolved"/>
    <n v="3"/>
    <n v="24"/>
    <n v="3.64"/>
    <n v="1"/>
  </r>
  <r>
    <s v="TCK-12072"/>
    <s v="2024-07-16 18:17:14"/>
    <s v="2024-07-16 18:57:29"/>
    <s v="P1"/>
    <x v="2"/>
    <s v="L2 Support"/>
    <s v="Alex Mercer"/>
    <s v="Resolved"/>
    <n v="3"/>
    <n v="4"/>
    <n v="0.67"/>
    <n v="1"/>
  </r>
  <r>
    <s v="TCK-12073"/>
    <s v="2024-12-04 07:07:25"/>
    <s v="2024-12-04 09:06:48"/>
    <s v="P2"/>
    <x v="4"/>
    <s v="Infrastructure"/>
    <s v="Dwight Schrute"/>
    <s v="Resolved"/>
    <n v="5"/>
    <n v="8"/>
    <n v="1.99"/>
    <n v="1"/>
  </r>
  <r>
    <s v="TCK-12074"/>
    <s v="2024-01-10 23:03:39"/>
    <s v="2024-01-11 00:58:48"/>
    <s v="P1"/>
    <x v="2"/>
    <s v="Infrastructure"/>
    <s v="Ravi Patel"/>
    <s v="Closed"/>
    <n v="5"/>
    <n v="4"/>
    <n v="1.92"/>
    <n v="1"/>
  </r>
  <r>
    <s v="TCK-12075"/>
    <s v="2024-08-19 20:36:59"/>
    <s v="2024-08-20 01:58:46"/>
    <s v="P2"/>
    <x v="1"/>
    <s v="L1 Support"/>
    <s v="Ravi Patel"/>
    <s v="Resolved"/>
    <n v="5"/>
    <n v="8"/>
    <n v="5.36"/>
    <n v="1"/>
  </r>
  <r>
    <s v="TCK-12076"/>
    <s v="2024-03-19 03:32:34"/>
    <s v="2024-03-21 01:11:07"/>
    <s v="P3"/>
    <x v="1"/>
    <s v="Application Support"/>
    <s v="Michael Scott"/>
    <s v="Closed"/>
    <n v="1"/>
    <n v="24"/>
    <n v="45.64"/>
    <n v="0"/>
  </r>
  <r>
    <s v="TCK-12077"/>
    <s v="2024-05-17 12:22:37"/>
    <s v="2024-05-17 15:57:05"/>
    <s v="P3"/>
    <x v="2"/>
    <s v="L2 Support"/>
    <s v="Priya Nair"/>
    <s v="Closed"/>
    <n v="4"/>
    <n v="24"/>
    <n v="3.57"/>
    <n v="1"/>
  </r>
  <r>
    <s v="TCK-12078"/>
    <s v="2024-06-10 10:15:13"/>
    <s v="2024-06-11 04:52:25"/>
    <s v="P3"/>
    <x v="2"/>
    <s v="Infrastructure"/>
    <s v="Carlos Mendez"/>
    <s v="Closed"/>
    <n v="3"/>
    <n v="24"/>
    <n v="18.62"/>
    <n v="1"/>
  </r>
  <r>
    <s v="TCK-12079"/>
    <s v="2024-08-16 21:21:02"/>
    <s v="2024-08-17 11:41:45"/>
    <s v="P3"/>
    <x v="2"/>
    <s v="Infrastructure"/>
    <s v="Alex Mercer"/>
    <s v="Resolved"/>
    <n v="5"/>
    <n v="24"/>
    <n v="14.35"/>
    <n v="1"/>
  </r>
  <r>
    <s v="TCK-12080"/>
    <s v="2024-08-02 17:20:08"/>
    <s v="2024-08-02 21:07:37"/>
    <s v="P1"/>
    <x v="0"/>
    <s v="Infrastructure"/>
    <s v="Anita Sharma"/>
    <s v="Resolved"/>
    <n v="3"/>
    <n v="4"/>
    <n v="3.79"/>
    <n v="1"/>
  </r>
  <r>
    <s v="TCK-12081"/>
    <s v="2024-10-31 23:40:32"/>
    <s v="2024-11-01 04:52:20"/>
    <s v="P2"/>
    <x v="2"/>
    <s v="Billing Operations"/>
    <s v="Ravi Patel"/>
    <s v="Resolved"/>
    <n v="5"/>
    <n v="8"/>
    <n v="5.2"/>
    <n v="1"/>
  </r>
  <r>
    <s v="TCK-12082"/>
    <s v="2024-07-12 07:29:52"/>
    <m/>
    <s v="P4"/>
    <x v="2"/>
    <s v="Billing Operations"/>
    <s v="Ravi Patel"/>
    <s v="Escalated"/>
    <m/>
    <n v="48"/>
    <m/>
    <m/>
  </r>
  <r>
    <s v="TCK-12083"/>
    <s v="2024-09-05 10:48:29"/>
    <s v="2024-09-05 14:25:37"/>
    <s v="P2"/>
    <x v="1"/>
    <s v="Application Support"/>
    <s v="Anita Sharma"/>
    <s v="Resolved"/>
    <n v="5"/>
    <n v="8"/>
    <n v="3.62"/>
    <n v="1"/>
  </r>
  <r>
    <s v="TCK-12084"/>
    <s v="2024-10-18 13:38:15"/>
    <s v="2024-10-18 20:54:53"/>
    <s v="P2"/>
    <x v="2"/>
    <s v="Application Support"/>
    <s v="Sarah Connor"/>
    <s v="Resolved"/>
    <n v="4"/>
    <n v="8"/>
    <n v="7.28"/>
    <n v="1"/>
  </r>
  <r>
    <s v="TCK-12085"/>
    <s v="2024-08-10 02:16:21"/>
    <s v="2024-08-10 07:45:24"/>
    <s v="P2"/>
    <x v="2"/>
    <s v="L2 Support"/>
    <s v="Pam Beesly"/>
    <s v="Resolved"/>
    <n v="5"/>
    <n v="8"/>
    <n v="5.48"/>
    <n v="1"/>
  </r>
  <r>
    <s v="TCK-12086"/>
    <s v="2024-08-17 20:17:12"/>
    <s v="2024-08-18 13:12:03"/>
    <s v="P3"/>
    <x v="3"/>
    <s v="L1 Support"/>
    <s v="Anita Sharma"/>
    <s v="Resolved"/>
    <n v="5"/>
    <n v="24"/>
    <n v="16.91"/>
    <n v="1"/>
  </r>
  <r>
    <s v="TCK-12087"/>
    <s v="2024-03-05 11:14:30"/>
    <s v="2024-03-06 10:50:23"/>
    <s v="P4"/>
    <x v="0"/>
    <s v="L2 Support"/>
    <s v="Alex Mercer"/>
    <s v="Resolved"/>
    <n v="5"/>
    <n v="48"/>
    <n v="23.6"/>
    <n v="1"/>
  </r>
  <r>
    <s v="TCK-12088"/>
    <s v="2024-11-24 04:59:18"/>
    <s v="2024-11-24 10:04:40"/>
    <s v="P2"/>
    <x v="1"/>
    <s v="L1 Support"/>
    <s v="John Doe"/>
    <s v="Closed"/>
    <n v="5"/>
    <n v="8"/>
    <n v="5.09"/>
    <n v="1"/>
  </r>
  <r>
    <s v="TCK-12089"/>
    <s v="2024-04-11 02:38:09"/>
    <s v="2024-04-11 05:35:20"/>
    <s v="P1"/>
    <x v="4"/>
    <s v="Billing Operations"/>
    <s v="Sarah Connor"/>
    <s v="Resolved"/>
    <n v="5"/>
    <n v="4"/>
    <n v="2.95"/>
    <n v="1"/>
  </r>
  <r>
    <s v="TCK-12090"/>
    <s v="2024-08-19 14:13:09"/>
    <m/>
    <s v="P3"/>
    <x v="4"/>
    <s v="Billing Operations"/>
    <s v="Dwight Schrute"/>
    <s v="Open"/>
    <m/>
    <n v="24"/>
    <m/>
    <m/>
  </r>
  <r>
    <s v="TCK-12091"/>
    <s v="2024-12-14 20:48:38"/>
    <s v="2024-12-15 01:36:23"/>
    <s v="P2"/>
    <x v="4"/>
    <s v="L1 Support"/>
    <s v="Priya Nair"/>
    <s v="Closed"/>
    <n v="4"/>
    <n v="8"/>
    <n v="4.8"/>
    <n v="1"/>
  </r>
  <r>
    <s v="TCK-12092"/>
    <s v="2024-09-14 05:29:58"/>
    <m/>
    <s v="P3"/>
    <x v="0"/>
    <s v="L1 Support"/>
    <s v="Ravi Patel"/>
    <s v="Open"/>
    <m/>
    <n v="24"/>
    <m/>
    <m/>
  </r>
  <r>
    <s v="TCK-12093"/>
    <s v="2024-12-13 14:12:31"/>
    <s v="2024-12-14 04:09:46"/>
    <s v="P2"/>
    <x v="2"/>
    <s v="L2 Support"/>
    <s v="Sarah Connor"/>
    <s v="Resolved"/>
    <n v="2"/>
    <n v="8"/>
    <n v="13.95"/>
    <n v="0"/>
  </r>
  <r>
    <s v="TCK-12094"/>
    <s v="2024-12-26 09:13:10"/>
    <s v="2024-12-26 11:11:34"/>
    <s v="P2"/>
    <x v="2"/>
    <s v="Billing Operations"/>
    <s v="Pam Beesly"/>
    <s v="Resolved"/>
    <n v="5"/>
    <n v="8"/>
    <n v="1.97"/>
    <n v="1"/>
  </r>
  <r>
    <s v="TCK-12095"/>
    <s v="2024-04-11 02:43:17"/>
    <s v="2024-04-12 12:20:14"/>
    <s v="P3"/>
    <x v="2"/>
    <s v="Infrastructure"/>
    <s v="Dwight Schrute"/>
    <s v="Closed"/>
    <n v="1"/>
    <n v="24"/>
    <n v="33.619999999999997"/>
    <n v="0"/>
  </r>
  <r>
    <s v="TCK-12096"/>
    <s v="2024-08-07 03:32:23"/>
    <s v="2024-08-07 11:43:29"/>
    <s v="P1"/>
    <x v="3"/>
    <s v="L1 Support"/>
    <s v="Carlos Mendez"/>
    <s v="Closed"/>
    <n v="2"/>
    <n v="4"/>
    <n v="8.18"/>
    <n v="0"/>
  </r>
  <r>
    <s v="TCK-12097"/>
    <s v="2024-11-13 16:19:00"/>
    <s v="2024-11-15 00:33:25"/>
    <s v="P3"/>
    <x v="0"/>
    <s v="Billing Operations"/>
    <s v="Carlos Mendez"/>
    <s v="Resolved"/>
    <n v="3"/>
    <n v="24"/>
    <n v="32.24"/>
    <n v="0"/>
  </r>
  <r>
    <s v="TCK-12098"/>
    <s v="2024-06-01 14:40:44"/>
    <s v="2024-06-02 05:05:28"/>
    <s v="P3"/>
    <x v="4"/>
    <s v="Application Support"/>
    <s v="Carlos Mendez"/>
    <s v="Closed"/>
    <n v="4"/>
    <n v="24"/>
    <n v="14.41"/>
    <n v="1"/>
  </r>
  <r>
    <s v="TCK-12099"/>
    <s v="2024-02-16 03:02:16"/>
    <s v="2024-02-16 07:11:57"/>
    <s v="P2"/>
    <x v="0"/>
    <s v="Billing Operations"/>
    <s v="Jim Halpert"/>
    <s v="Resolved"/>
    <n v="5"/>
    <n v="8"/>
    <n v="4.16"/>
    <n v="1"/>
  </r>
  <r>
    <s v="TCK-12100"/>
    <s v="2024-04-06 16:34:01"/>
    <s v="2024-04-06 19:46:27"/>
    <s v="P2"/>
    <x v="0"/>
    <s v="Billing Operations"/>
    <s v="Ravi Patel"/>
    <s v="Resolved"/>
    <n v="5"/>
    <n v="8"/>
    <n v="3.21"/>
    <n v="1"/>
  </r>
  <r>
    <s v="TCK-12101"/>
    <s v="2024-06-28 01:44:34"/>
    <s v="2024-06-28 16:28:46"/>
    <s v="P3"/>
    <x v="0"/>
    <s v="Application Support"/>
    <s v="John Doe"/>
    <s v="Resolved"/>
    <n v="4"/>
    <n v="24"/>
    <n v="14.74"/>
    <n v="1"/>
  </r>
  <r>
    <s v="TCK-12102"/>
    <s v="2024-09-05 18:00:26"/>
    <s v="2024-09-05 22:58:02"/>
    <s v="P2"/>
    <x v="3"/>
    <s v="Application Support"/>
    <s v="Ravi Patel"/>
    <s v="Resolved"/>
    <n v="3"/>
    <n v="8"/>
    <n v="4.96"/>
    <n v="1"/>
  </r>
  <r>
    <s v="TCK-12103"/>
    <s v="2024-06-25 06:49:23"/>
    <s v="2024-06-25 17:05:46"/>
    <s v="P3"/>
    <x v="1"/>
    <s v="Application Support"/>
    <s v="Alex Mercer"/>
    <s v="Resolved"/>
    <n v="4"/>
    <n v="24"/>
    <n v="10.27"/>
    <n v="1"/>
  </r>
  <r>
    <s v="TCK-12104"/>
    <s v="2024-12-28 20:04:57"/>
    <s v="2024-12-29 08:44:03"/>
    <s v="P3"/>
    <x v="0"/>
    <s v="Application Support"/>
    <s v="Michael Scott"/>
    <s v="Resolved"/>
    <n v="5"/>
    <n v="24"/>
    <n v="12.65"/>
    <n v="1"/>
  </r>
  <r>
    <s v="TCK-12105"/>
    <s v="2024-11-02 21:13:14"/>
    <s v="2024-11-03 00:27:31"/>
    <s v="P3"/>
    <x v="0"/>
    <s v="Application Support"/>
    <s v="Ravi Patel"/>
    <s v="Closed"/>
    <n v="4"/>
    <n v="24"/>
    <n v="3.24"/>
    <n v="1"/>
  </r>
  <r>
    <s v="TCK-12106"/>
    <s v="2024-04-10 17:41:20"/>
    <s v="2024-04-10 20:32:19"/>
    <s v="P3"/>
    <x v="1"/>
    <s v="Billing Operations"/>
    <s v="Dwight Schrute"/>
    <s v="Closed"/>
    <n v="5"/>
    <n v="24"/>
    <n v="2.85"/>
    <n v="1"/>
  </r>
  <r>
    <s v="TCK-12107"/>
    <s v="2024-02-04 23:14:06"/>
    <s v="2024-02-05 11:30:29"/>
    <s v="P2"/>
    <x v="2"/>
    <s v="L1 Support"/>
    <s v="Anita Sharma"/>
    <s v="Closed"/>
    <n v="2"/>
    <n v="8"/>
    <n v="12.27"/>
    <n v="0"/>
  </r>
  <r>
    <s v="TCK-12108"/>
    <s v="2024-08-21 05:30:59"/>
    <s v="2024-08-21 17:36:31"/>
    <s v="P3"/>
    <x v="4"/>
    <s v="L2 Support"/>
    <s v="Priya Nair"/>
    <s v="Resolved"/>
    <n v="4"/>
    <n v="24"/>
    <n v="12.09"/>
    <n v="1"/>
  </r>
  <r>
    <s v="TCK-12109"/>
    <s v="2024-01-01 11:57:21"/>
    <s v="2024-01-01 15:28:47"/>
    <s v="P2"/>
    <x v="4"/>
    <s v="L1 Support"/>
    <s v="Michael Scott"/>
    <s v="Resolved"/>
    <n v="5"/>
    <n v="8"/>
    <n v="3.52"/>
    <n v="1"/>
  </r>
  <r>
    <s v="TCK-12110"/>
    <s v="2024-09-29 07:33:53"/>
    <s v="2024-09-29 10:03:36"/>
    <s v="P1"/>
    <x v="1"/>
    <s v="Infrastructure"/>
    <s v="Michael Scott"/>
    <s v="Resolved"/>
    <n v="4"/>
    <n v="4"/>
    <n v="2.5"/>
    <n v="1"/>
  </r>
  <r>
    <s v="TCK-12111"/>
    <s v="2024-09-09 21:06:09"/>
    <s v="2024-09-09 22:52:10"/>
    <s v="P1"/>
    <x v="1"/>
    <s v="Infrastructure"/>
    <s v="Michael Scott"/>
    <s v="Resolved"/>
    <n v="3"/>
    <n v="4"/>
    <n v="1.77"/>
    <n v="1"/>
  </r>
  <r>
    <s v="TCK-12112"/>
    <s v="2024-10-20 18:45:13"/>
    <s v="2024-10-21 08:08:01"/>
    <s v="P3"/>
    <x v="0"/>
    <s v="L1 Support"/>
    <s v="Ravi Patel"/>
    <s v="Resolved"/>
    <n v="5"/>
    <n v="24"/>
    <n v="13.38"/>
    <n v="1"/>
  </r>
  <r>
    <s v="TCK-12113"/>
    <s v="2024-09-02 04:33:50"/>
    <s v="2024-09-02 05:17:36"/>
    <s v="P1"/>
    <x v="2"/>
    <s v="L1 Support"/>
    <s v="Jim Halpert"/>
    <s v="Resolved"/>
    <n v="3"/>
    <n v="4"/>
    <n v="0.73"/>
    <n v="1"/>
  </r>
  <r>
    <s v="TCK-12114"/>
    <s v="2024-04-15 12:41:31"/>
    <s v="2024-04-16 09:50:30"/>
    <s v="P3"/>
    <x v="0"/>
    <s v="L1 Support"/>
    <s v="Emily Watson"/>
    <s v="Closed"/>
    <n v="5"/>
    <n v="24"/>
    <n v="21.15"/>
    <n v="1"/>
  </r>
  <r>
    <s v="TCK-12115"/>
    <s v="2024-04-13 06:13:32"/>
    <s v="2024-04-14 04:31:14"/>
    <s v="P3"/>
    <x v="3"/>
    <s v="Billing Operations"/>
    <s v="Anita Sharma"/>
    <s v="Closed"/>
    <n v="4"/>
    <n v="24"/>
    <n v="22.3"/>
    <n v="1"/>
  </r>
  <r>
    <s v="TCK-12116"/>
    <s v="2024-08-28 13:15:29"/>
    <s v="2024-08-29 09:20:21"/>
    <s v="P3"/>
    <x v="2"/>
    <s v="Billing Operations"/>
    <s v="Jim Halpert"/>
    <s v="Closed"/>
    <n v="4"/>
    <n v="24"/>
    <n v="20.079999999999998"/>
    <n v="1"/>
  </r>
  <r>
    <s v="TCK-12117"/>
    <s v="2024-08-16 19:50:23"/>
    <s v="2024-08-17 00:42:49"/>
    <s v="P2"/>
    <x v="2"/>
    <s v="L1 Support"/>
    <s v="Sarah Connor"/>
    <s v="Resolved"/>
    <n v="4"/>
    <n v="8"/>
    <n v="4.87"/>
    <n v="1"/>
  </r>
  <r>
    <s v="TCK-12118"/>
    <s v="2024-11-24 10:16:44"/>
    <s v="2024-11-25 02:51:07"/>
    <s v="P3"/>
    <x v="2"/>
    <s v="Infrastructure"/>
    <s v="Emily Watson"/>
    <s v="Closed"/>
    <n v="4"/>
    <n v="24"/>
    <n v="16.57"/>
    <n v="1"/>
  </r>
  <r>
    <s v="TCK-12119"/>
    <s v="2024-01-28 16:01:23"/>
    <s v="2024-01-29 10:09:26"/>
    <s v="P3"/>
    <x v="2"/>
    <s v="L1 Support"/>
    <s v="Emily Watson"/>
    <s v="Closed"/>
    <n v="5"/>
    <n v="24"/>
    <n v="18.13"/>
    <n v="1"/>
  </r>
  <r>
    <s v="TCK-12120"/>
    <s v="2024-03-21 18:41:56"/>
    <s v="2024-03-22 04:41:44"/>
    <s v="P3"/>
    <x v="2"/>
    <s v="L2 Support"/>
    <s v="Sarah Connor"/>
    <s v="Resolved"/>
    <n v="3"/>
    <n v="24"/>
    <n v="10"/>
    <n v="1"/>
  </r>
  <r>
    <s v="TCK-12121"/>
    <s v="2024-07-07 21:15:49"/>
    <s v="2024-07-08 00:57:57"/>
    <s v="P1"/>
    <x v="1"/>
    <s v="Billing Operations"/>
    <s v="Michael Scott"/>
    <s v="Closed"/>
    <n v="4"/>
    <n v="4"/>
    <n v="3.7"/>
    <n v="1"/>
  </r>
  <r>
    <s v="TCK-12122"/>
    <s v="2024-01-19 13:40:59"/>
    <s v="2024-01-19 19:31:07"/>
    <s v="P2"/>
    <x v="2"/>
    <s v="Application Support"/>
    <s v="Carlos Mendez"/>
    <s v="Closed"/>
    <n v="5"/>
    <n v="8"/>
    <n v="5.84"/>
    <n v="1"/>
  </r>
  <r>
    <s v="TCK-12123"/>
    <s v="2024-06-18 05:38:11"/>
    <s v="2024-06-19 00:09:45"/>
    <s v="P3"/>
    <x v="2"/>
    <s v="Infrastructure"/>
    <s v="Jim Halpert"/>
    <s v="Resolved"/>
    <n v="4"/>
    <n v="24"/>
    <n v="18.53"/>
    <n v="1"/>
  </r>
  <r>
    <s v="TCK-12124"/>
    <s v="2024-06-13 20:09:04"/>
    <s v="2024-06-14 19:20:11"/>
    <s v="P4"/>
    <x v="4"/>
    <s v="Application Support"/>
    <s v="Pam Beesly"/>
    <s v="Resolved"/>
    <n v="5"/>
    <n v="48"/>
    <n v="23.19"/>
    <n v="1"/>
  </r>
  <r>
    <s v="TCK-12125"/>
    <s v="2024-10-25 14:19:44"/>
    <s v="2024-10-25 20:57:24"/>
    <s v="P2"/>
    <x v="2"/>
    <s v="Billing Operations"/>
    <s v="Anita Sharma"/>
    <s v="Resolved"/>
    <n v="4"/>
    <n v="8"/>
    <n v="6.63"/>
    <n v="1"/>
  </r>
  <r>
    <s v="TCK-12126"/>
    <s v="2024-11-06 14:34:01"/>
    <s v="2024-11-07 07:15:32"/>
    <s v="P3"/>
    <x v="2"/>
    <s v="L2 Support"/>
    <s v="Carlos Mendez"/>
    <s v="Resolved"/>
    <n v="3"/>
    <n v="24"/>
    <n v="16.690000000000001"/>
    <n v="1"/>
  </r>
  <r>
    <s v="TCK-12127"/>
    <s v="2024-06-03 07:33:29"/>
    <m/>
    <s v="P3"/>
    <x v="3"/>
    <s v="Infrastructure"/>
    <s v="Emily Watson"/>
    <s v="Open"/>
    <m/>
    <n v="24"/>
    <m/>
    <m/>
  </r>
  <r>
    <s v="TCK-12128"/>
    <s v="2024-01-04 21:20:27"/>
    <s v="2024-01-05 03:26:02"/>
    <s v="P3"/>
    <x v="3"/>
    <s v="L2 Support"/>
    <s v="John Doe"/>
    <s v="Resolved"/>
    <n v="5"/>
    <n v="24"/>
    <n v="6.09"/>
    <n v="1"/>
  </r>
  <r>
    <s v="TCK-12129"/>
    <s v="2024-06-24 20:15:31"/>
    <s v="2024-06-25 11:10:09"/>
    <s v="P3"/>
    <x v="0"/>
    <s v="Application Support"/>
    <s v="Michael Scott"/>
    <s v="Resolved"/>
    <n v="4"/>
    <n v="24"/>
    <n v="14.91"/>
    <n v="1"/>
  </r>
  <r>
    <s v="TCK-12130"/>
    <s v="2024-02-10 14:08:48"/>
    <s v="2024-02-10 22:16:22"/>
    <s v="P1"/>
    <x v="2"/>
    <s v="L1 Support"/>
    <s v="Sarah Connor"/>
    <s v="Resolved"/>
    <n v="4"/>
    <n v="4"/>
    <n v="8.1300000000000008"/>
    <n v="0"/>
  </r>
  <r>
    <s v="TCK-12131"/>
    <s v="2024-07-26 11:43:52"/>
    <s v="2024-07-27 13:38:01"/>
    <s v="P3"/>
    <x v="3"/>
    <s v="L1 Support"/>
    <s v="Alex Mercer"/>
    <s v="Closed"/>
    <n v="2"/>
    <n v="24"/>
    <n v="25.9"/>
    <n v="0"/>
  </r>
  <r>
    <s v="TCK-12132"/>
    <s v="2024-07-19 19:59:19"/>
    <s v="2024-07-22 14:34:15"/>
    <s v="P4"/>
    <x v="2"/>
    <s v="Application Support"/>
    <s v="Ravi Patel"/>
    <s v="Resolved"/>
    <n v="2"/>
    <n v="48"/>
    <n v="66.58"/>
    <n v="0"/>
  </r>
  <r>
    <s v="TCK-12133"/>
    <s v="2024-05-19 12:12:11"/>
    <s v="2024-05-21 08:31:23"/>
    <s v="P3"/>
    <x v="0"/>
    <s v="L1 Support"/>
    <s v="Michael Scott"/>
    <s v="Resolved"/>
    <n v="1"/>
    <n v="24"/>
    <n v="44.32"/>
    <n v="0"/>
  </r>
  <r>
    <s v="TCK-12134"/>
    <s v="2024-03-05 01:36:55"/>
    <s v="2024-03-05 08:10:28"/>
    <s v="P3"/>
    <x v="2"/>
    <s v="L2 Support"/>
    <s v="Priya Nair"/>
    <s v="Resolved"/>
    <n v="4"/>
    <n v="24"/>
    <n v="6.56"/>
    <n v="1"/>
  </r>
  <r>
    <s v="TCK-12135"/>
    <s v="2024-10-12 22:34:18"/>
    <s v="2024-10-13 08:50:36"/>
    <s v="P3"/>
    <x v="2"/>
    <s v="L2 Support"/>
    <s v="Jim Halpert"/>
    <s v="Resolved"/>
    <n v="5"/>
    <n v="24"/>
    <n v="10.27"/>
    <n v="1"/>
  </r>
  <r>
    <s v="TCK-12136"/>
    <s v="2024-01-20 00:15:56"/>
    <m/>
    <s v="P3"/>
    <x v="2"/>
    <s v="L2 Support"/>
    <s v="Pam Beesly"/>
    <s v="Escalated"/>
    <m/>
    <n v="24"/>
    <m/>
    <m/>
  </r>
  <r>
    <s v="TCK-12137"/>
    <s v="2024-07-18 23:21:00"/>
    <s v="2024-07-19 06:07:29"/>
    <s v="P2"/>
    <x v="1"/>
    <s v="Billing Operations"/>
    <s v="Priya Nair"/>
    <s v="Closed"/>
    <n v="4"/>
    <n v="8"/>
    <n v="6.77"/>
    <n v="1"/>
  </r>
  <r>
    <s v="TCK-12138"/>
    <s v="2024-10-19 13:04:34"/>
    <m/>
    <s v="P4"/>
    <x v="2"/>
    <s v="L1 Support"/>
    <s v="Carlos Mendez"/>
    <s v="Open"/>
    <m/>
    <n v="48"/>
    <m/>
    <m/>
  </r>
  <r>
    <s v="TCK-12139"/>
    <s v="2024-04-09 03:46:57"/>
    <s v="2024-04-10 01:22:20"/>
    <s v="P2"/>
    <x v="1"/>
    <s v="Application Support"/>
    <s v="Pam Beesly"/>
    <s v="Closed"/>
    <n v="1"/>
    <n v="8"/>
    <n v="21.59"/>
    <n v="0"/>
  </r>
  <r>
    <s v="TCK-12140"/>
    <s v="2024-02-24 16:22:11"/>
    <s v="2024-02-26 03:13:05"/>
    <s v="P4"/>
    <x v="1"/>
    <s v="Application Support"/>
    <s v="Michael Scott"/>
    <s v="Closed"/>
    <n v="5"/>
    <n v="48"/>
    <n v="34.85"/>
    <n v="1"/>
  </r>
  <r>
    <s v="TCK-12141"/>
    <s v="2024-09-22 06:18:17"/>
    <s v="2024-09-23 18:16:56"/>
    <s v="P4"/>
    <x v="0"/>
    <s v="L1 Support"/>
    <s v="Dwight Schrute"/>
    <s v="Resolved"/>
    <n v="4"/>
    <n v="48"/>
    <n v="35.979999999999997"/>
    <n v="1"/>
  </r>
  <r>
    <s v="TCK-12142"/>
    <s v="2024-04-24 07:20:13"/>
    <s v="2024-04-25 02:43:19"/>
    <s v="P3"/>
    <x v="3"/>
    <s v="L2 Support"/>
    <s v="Dwight Schrute"/>
    <s v="Resolved"/>
    <n v="5"/>
    <n v="24"/>
    <n v="19.39"/>
    <n v="1"/>
  </r>
  <r>
    <s v="TCK-12143"/>
    <s v="2024-09-23 09:26:10"/>
    <s v="2024-09-23 10:38:57"/>
    <s v="P2"/>
    <x v="1"/>
    <s v="Application Support"/>
    <s v="Pam Beesly"/>
    <s v="Closed"/>
    <n v="5"/>
    <n v="8"/>
    <n v="1.21"/>
    <n v="1"/>
  </r>
  <r>
    <s v="TCK-12144"/>
    <s v="2024-08-23 23:13:53"/>
    <s v="2024-08-24 02:18:31"/>
    <s v="P3"/>
    <x v="4"/>
    <s v="L1 Support"/>
    <s v="Michael Scott"/>
    <s v="Resolved"/>
    <n v="5"/>
    <n v="24"/>
    <n v="3.08"/>
    <n v="1"/>
  </r>
  <r>
    <s v="TCK-12145"/>
    <s v="2024-11-04 05:40:31"/>
    <s v="2024-11-05 22:56:31"/>
    <s v="P4"/>
    <x v="2"/>
    <s v="Billing Operations"/>
    <s v="Ravi Patel"/>
    <s v="Closed"/>
    <n v="4"/>
    <n v="48"/>
    <n v="41.27"/>
    <n v="1"/>
  </r>
  <r>
    <s v="TCK-12146"/>
    <s v="2024-03-30 11:15:59"/>
    <s v="2024-04-03 06:54:03"/>
    <s v="P4"/>
    <x v="1"/>
    <s v="L1 Support"/>
    <s v="Ravi Patel"/>
    <s v="Resolved"/>
    <n v="2"/>
    <n v="48"/>
    <n v="91.63"/>
    <n v="0"/>
  </r>
  <r>
    <s v="TCK-12147"/>
    <s v="2024-07-19 00:35:05"/>
    <s v="2024-07-20 08:43:18"/>
    <s v="P4"/>
    <x v="0"/>
    <s v="Infrastructure"/>
    <s v="John Doe"/>
    <s v="Resolved"/>
    <n v="4"/>
    <n v="48"/>
    <n v="32.14"/>
    <n v="1"/>
  </r>
  <r>
    <s v="TCK-12148"/>
    <s v="2024-04-12 00:58:08"/>
    <s v="2024-04-12 13:03:40"/>
    <s v="P3"/>
    <x v="0"/>
    <s v="L2 Support"/>
    <s v="Ravi Patel"/>
    <s v="Closed"/>
    <n v="5"/>
    <n v="24"/>
    <n v="12.09"/>
    <n v="1"/>
  </r>
  <r>
    <s v="TCK-12149"/>
    <s v="2024-06-24 05:26:23"/>
    <s v="2024-06-25 00:10:08"/>
    <s v="P3"/>
    <x v="3"/>
    <s v="L1 Support"/>
    <s v="Carlos Mendez"/>
    <s v="Closed"/>
    <n v="5"/>
    <n v="24"/>
    <n v="18.73"/>
    <n v="1"/>
  </r>
  <r>
    <s v="TCK-12150"/>
    <s v="2024-04-03 21:34:13"/>
    <m/>
    <s v="P3"/>
    <x v="1"/>
    <s v="Billing Operations"/>
    <s v="Dwight Schrute"/>
    <s v="Escalated"/>
    <m/>
    <n v="24"/>
    <m/>
    <m/>
  </r>
  <r>
    <s v="TCK-12151"/>
    <s v="2024-07-18 08:46:29"/>
    <s v="2024-07-18 23:08:08"/>
    <s v="P3"/>
    <x v="0"/>
    <s v="Application Support"/>
    <s v="Anita Sharma"/>
    <s v="Closed"/>
    <n v="5"/>
    <n v="24"/>
    <n v="14.36"/>
    <n v="1"/>
  </r>
  <r>
    <s v="TCK-12152"/>
    <s v="2024-03-01 12:44:16"/>
    <s v="2024-03-05 12:10:54"/>
    <s v="P4"/>
    <x v="0"/>
    <s v="Billing Operations"/>
    <s v="Alex Mercer"/>
    <s v="Resolved"/>
    <n v="3"/>
    <n v="48"/>
    <n v="95.44"/>
    <n v="0"/>
  </r>
  <r>
    <s v="TCK-12153"/>
    <s v="2024-11-21 14:09:47"/>
    <s v="2024-11-21 17:18:22"/>
    <s v="P3"/>
    <x v="2"/>
    <s v="Application Support"/>
    <s v="Carlos Mendez"/>
    <s v="Resolved"/>
    <n v="3"/>
    <n v="24"/>
    <n v="3.14"/>
    <n v="1"/>
  </r>
  <r>
    <s v="TCK-12154"/>
    <s v="2024-10-10 09:50:04"/>
    <s v="2024-10-12 03:32:25"/>
    <s v="P4"/>
    <x v="2"/>
    <s v="Application Support"/>
    <s v="Priya Nair"/>
    <s v="Resolved"/>
    <n v="5"/>
    <n v="48"/>
    <n v="41.71"/>
    <n v="1"/>
  </r>
  <r>
    <s v="TCK-12155"/>
    <s v="2024-09-09 06:17:55"/>
    <s v="2024-09-09 08:07:30"/>
    <s v="P2"/>
    <x v="2"/>
    <s v="Billing Operations"/>
    <s v="Emily Watson"/>
    <s v="Resolved"/>
    <n v="4"/>
    <n v="8"/>
    <n v="1.83"/>
    <n v="1"/>
  </r>
  <r>
    <s v="TCK-12156"/>
    <s v="2024-09-08 05:49:17"/>
    <m/>
    <s v="P3"/>
    <x v="2"/>
    <s v="Application Support"/>
    <s v="John Doe"/>
    <s v="Open"/>
    <m/>
    <n v="24"/>
    <m/>
    <m/>
  </r>
  <r>
    <s v="TCK-12157"/>
    <s v="2024-08-08 08:55:11"/>
    <s v="2024-08-08 11:09:42"/>
    <s v="P2"/>
    <x v="1"/>
    <s v="Billing Operations"/>
    <s v="Alex Mercer"/>
    <s v="Closed"/>
    <n v="4"/>
    <n v="8"/>
    <n v="2.2400000000000002"/>
    <n v="1"/>
  </r>
  <r>
    <s v="TCK-12158"/>
    <s v="2024-01-18 17:23:57"/>
    <s v="2024-01-20 02:25:08"/>
    <s v="P4"/>
    <x v="1"/>
    <s v="L2 Support"/>
    <s v="John Doe"/>
    <s v="Closed"/>
    <n v="4"/>
    <n v="48"/>
    <n v="33.020000000000003"/>
    <n v="1"/>
  </r>
  <r>
    <s v="TCK-12159"/>
    <s v="2024-06-17 20:53:54"/>
    <s v="2024-06-18 17:00:07"/>
    <s v="P3"/>
    <x v="1"/>
    <s v="L1 Support"/>
    <s v="Ravi Patel"/>
    <s v="Closed"/>
    <n v="5"/>
    <n v="24"/>
    <n v="20.100000000000001"/>
    <n v="1"/>
  </r>
  <r>
    <s v="TCK-12160"/>
    <s v="2024-09-20 03:37:50"/>
    <s v="2024-09-20 13:37:58"/>
    <s v="P3"/>
    <x v="2"/>
    <s v="L1 Support"/>
    <s v="Ravi Patel"/>
    <s v="Resolved"/>
    <n v="5"/>
    <n v="24"/>
    <n v="10"/>
    <n v="1"/>
  </r>
  <r>
    <s v="TCK-12161"/>
    <s v="2024-04-22 11:28:28"/>
    <m/>
    <s v="P1"/>
    <x v="0"/>
    <s v="Billing Operations"/>
    <s v="Michael Scott"/>
    <s v="Open"/>
    <m/>
    <n v="4"/>
    <m/>
    <m/>
  </r>
  <r>
    <s v="TCK-12162"/>
    <s v="2024-09-09 17:16:48"/>
    <s v="2024-09-09 19:57:33"/>
    <s v="P2"/>
    <x v="4"/>
    <s v="Billing Operations"/>
    <s v="Ravi Patel"/>
    <s v="Closed"/>
    <n v="5"/>
    <n v="8"/>
    <n v="2.68"/>
    <n v="1"/>
  </r>
  <r>
    <s v="TCK-12163"/>
    <s v="2024-10-24 23:41:09"/>
    <s v="2024-10-29 09:11:17"/>
    <s v="P4"/>
    <x v="3"/>
    <s v="L2 Support"/>
    <s v="Pam Beesly"/>
    <s v="Resolved"/>
    <n v="3"/>
    <n v="48"/>
    <n v="105.5"/>
    <n v="0"/>
  </r>
  <r>
    <s v="TCK-12164"/>
    <s v="2024-11-03 04:19:00"/>
    <s v="2024-11-03 05:20:12"/>
    <s v="P1"/>
    <x v="1"/>
    <s v="L1 Support"/>
    <s v="Dwight Schrute"/>
    <s v="Closed"/>
    <n v="4"/>
    <n v="4"/>
    <n v="1.02"/>
    <n v="1"/>
  </r>
  <r>
    <s v="TCK-12165"/>
    <s v="2024-11-13 01:45:35"/>
    <s v="2024-11-13 02:41:33"/>
    <s v="P2"/>
    <x v="2"/>
    <s v="Billing Operations"/>
    <s v="Jim Halpert"/>
    <s v="Resolved"/>
    <n v="5"/>
    <n v="8"/>
    <n v="0.93"/>
    <n v="1"/>
  </r>
  <r>
    <s v="TCK-12166"/>
    <s v="2024-06-18 14:59:28"/>
    <s v="2024-06-19 11:51:10"/>
    <s v="P3"/>
    <x v="0"/>
    <s v="Application Support"/>
    <s v="Jim Halpert"/>
    <s v="Resolved"/>
    <n v="4"/>
    <n v="24"/>
    <n v="20.86"/>
    <n v="1"/>
  </r>
  <r>
    <s v="TCK-12167"/>
    <s v="2024-05-24 09:40:35"/>
    <s v="2024-05-24 21:34:59"/>
    <s v="P2"/>
    <x v="1"/>
    <s v="L1 Support"/>
    <s v="Priya Nair"/>
    <s v="Closed"/>
    <n v="1"/>
    <n v="8"/>
    <n v="11.91"/>
    <n v="0"/>
  </r>
  <r>
    <s v="TCK-12168"/>
    <s v="2024-11-10 00:53:43"/>
    <s v="2024-11-11 14:40:41"/>
    <s v="P3"/>
    <x v="2"/>
    <s v="Application Support"/>
    <s v="Anita Sharma"/>
    <s v="Closed"/>
    <n v="2"/>
    <n v="24"/>
    <n v="37.78"/>
    <n v="0"/>
  </r>
  <r>
    <s v="TCK-12169"/>
    <s v="2024-01-17 15:04:25"/>
    <m/>
    <s v="P3"/>
    <x v="1"/>
    <s v="Billing Operations"/>
    <s v="Emily Watson"/>
    <s v="Open"/>
    <m/>
    <n v="24"/>
    <m/>
    <m/>
  </r>
  <r>
    <s v="TCK-12170"/>
    <s v="2024-07-26 19:59:53"/>
    <s v="2024-07-26 22:42:45"/>
    <s v="P3"/>
    <x v="3"/>
    <s v="Application Support"/>
    <s v="John Doe"/>
    <s v="Resolved"/>
    <n v="4"/>
    <n v="24"/>
    <n v="2.71"/>
    <n v="1"/>
  </r>
  <r>
    <s v="TCK-12171"/>
    <s v="2024-06-17 16:02:16"/>
    <s v="2024-06-20 00:08:42"/>
    <s v="P3"/>
    <x v="2"/>
    <s v="Billing Operations"/>
    <s v="Sarah Connor"/>
    <s v="Resolved"/>
    <n v="2"/>
    <n v="24"/>
    <n v="56.11"/>
    <n v="0"/>
  </r>
  <r>
    <s v="TCK-12172"/>
    <s v="2024-08-26 22:17:56"/>
    <s v="2024-08-26 22:57:45"/>
    <s v="P1"/>
    <x v="1"/>
    <s v="Billing Operations"/>
    <s v="Jim Halpert"/>
    <s v="Resolved"/>
    <n v="4"/>
    <n v="4"/>
    <n v="0.66"/>
    <n v="1"/>
  </r>
  <r>
    <s v="TCK-12173"/>
    <s v="2024-05-26 18:24:11"/>
    <m/>
    <s v="P1"/>
    <x v="3"/>
    <s v="L2 Support"/>
    <s v="Alex Mercer"/>
    <s v="Open"/>
    <m/>
    <n v="4"/>
    <m/>
    <m/>
  </r>
  <r>
    <s v="TCK-12174"/>
    <s v="2024-02-21 20:51:48"/>
    <s v="2024-02-22 11:02:25"/>
    <s v="P3"/>
    <x v="0"/>
    <s v="Infrastructure"/>
    <s v="Dwight Schrute"/>
    <s v="Closed"/>
    <n v="5"/>
    <n v="24"/>
    <n v="14.18"/>
    <n v="1"/>
  </r>
  <r>
    <s v="TCK-12175"/>
    <s v="2024-03-13 20:50:27"/>
    <s v="2024-03-14 19:14:27"/>
    <s v="P3"/>
    <x v="2"/>
    <s v="L1 Support"/>
    <s v="Ravi Patel"/>
    <s v="Closed"/>
    <n v="5"/>
    <n v="24"/>
    <n v="22.4"/>
    <n v="1"/>
  </r>
  <r>
    <s v="TCK-12176"/>
    <s v="2024-12-29 06:23:53"/>
    <s v="2024-12-29 13:42:28"/>
    <s v="P2"/>
    <x v="1"/>
    <s v="Application Support"/>
    <s v="Pam Beesly"/>
    <s v="Resolved"/>
    <n v="4"/>
    <n v="8"/>
    <n v="7.31"/>
    <n v="1"/>
  </r>
  <r>
    <s v="TCK-12177"/>
    <s v="2024-06-26 18:47:09"/>
    <s v="2024-06-27 00:55:02"/>
    <s v="P2"/>
    <x v="1"/>
    <s v="L2 Support"/>
    <s v="Dwight Schrute"/>
    <s v="Resolved"/>
    <n v="3"/>
    <n v="8"/>
    <n v="6.13"/>
    <n v="1"/>
  </r>
  <r>
    <s v="TCK-12178"/>
    <s v="2024-09-18 16:34:29"/>
    <s v="2024-09-19 03:11:31"/>
    <s v="P3"/>
    <x v="3"/>
    <s v="L2 Support"/>
    <s v="Michael Scott"/>
    <s v="Resolved"/>
    <n v="4"/>
    <n v="24"/>
    <n v="10.62"/>
    <n v="1"/>
  </r>
  <r>
    <s v="TCK-12179"/>
    <s v="2024-04-13 17:49:36"/>
    <s v="2024-04-13 18:59:23"/>
    <s v="P2"/>
    <x v="3"/>
    <s v="Application Support"/>
    <s v="Pam Beesly"/>
    <s v="Resolved"/>
    <n v="5"/>
    <n v="8"/>
    <n v="1.1599999999999999"/>
    <n v="1"/>
  </r>
  <r>
    <s v="TCK-12180"/>
    <s v="2024-12-21 01:37:32"/>
    <m/>
    <s v="P4"/>
    <x v="0"/>
    <s v="Infrastructure"/>
    <s v="Michael Scott"/>
    <s v="Open"/>
    <m/>
    <n v="48"/>
    <m/>
    <m/>
  </r>
  <r>
    <s v="TCK-12181"/>
    <s v="2024-02-11 04:52:07"/>
    <s v="2024-02-14 13:07:23"/>
    <s v="P4"/>
    <x v="2"/>
    <s v="Infrastructure"/>
    <s v="Pam Beesly"/>
    <s v="Resolved"/>
    <n v="3"/>
    <n v="48"/>
    <n v="80.25"/>
    <n v="0"/>
  </r>
  <r>
    <s v="TCK-12182"/>
    <s v="2024-02-19 10:18:39"/>
    <s v="2024-02-19 12:39:51"/>
    <s v="P1"/>
    <x v="3"/>
    <s v="L2 Support"/>
    <s v="Pam Beesly"/>
    <s v="Resolved"/>
    <n v="5"/>
    <n v="4"/>
    <n v="2.35"/>
    <n v="1"/>
  </r>
  <r>
    <s v="TCK-12183"/>
    <s v="2024-01-20 15:59:34"/>
    <s v="2024-01-20 16:58:35"/>
    <s v="P1"/>
    <x v="2"/>
    <s v="Infrastructure"/>
    <s v="Jim Halpert"/>
    <s v="Resolved"/>
    <n v="5"/>
    <n v="4"/>
    <n v="0.98"/>
    <n v="1"/>
  </r>
  <r>
    <s v="TCK-12184"/>
    <s v="2024-04-18 11:18:21"/>
    <s v="2024-04-19 05:29:32"/>
    <s v="P4"/>
    <x v="2"/>
    <s v="L2 Support"/>
    <s v="Ravi Patel"/>
    <s v="Resolved"/>
    <n v="5"/>
    <n v="48"/>
    <n v="18.190000000000001"/>
    <n v="1"/>
  </r>
  <r>
    <s v="TCK-12185"/>
    <s v="2024-11-02 04:28:27"/>
    <s v="2024-11-02 20:56:05"/>
    <s v="P2"/>
    <x v="1"/>
    <s v="Application Support"/>
    <s v="Ravi Patel"/>
    <s v="Closed"/>
    <n v="1"/>
    <n v="8"/>
    <n v="16.46"/>
    <n v="0"/>
  </r>
  <r>
    <s v="TCK-12186"/>
    <s v="2024-04-12 00:18:59"/>
    <s v="2024-04-14 02:53:36"/>
    <s v="P3"/>
    <x v="2"/>
    <s v="L2 Support"/>
    <s v="Jim Halpert"/>
    <s v="Resolved"/>
    <n v="4"/>
    <n v="24"/>
    <n v="50.58"/>
    <n v="0"/>
  </r>
  <r>
    <s v="TCK-12187"/>
    <s v="2024-10-27 07:33:36"/>
    <m/>
    <s v="P3"/>
    <x v="2"/>
    <s v="L1 Support"/>
    <s v="Pam Beesly"/>
    <s v="Open"/>
    <m/>
    <n v="24"/>
    <m/>
    <m/>
  </r>
  <r>
    <s v="TCK-12188"/>
    <s v="2024-09-06 11:01:51"/>
    <s v="2024-09-08 16:47:54"/>
    <s v="P3"/>
    <x v="2"/>
    <s v="L1 Support"/>
    <s v="Sarah Connor"/>
    <s v="Closed"/>
    <n v="3"/>
    <n v="24"/>
    <n v="53.77"/>
    <n v="0"/>
  </r>
  <r>
    <s v="TCK-12189"/>
    <s v="2024-12-10 09:15:59"/>
    <s v="2024-12-12 01:58:29"/>
    <s v="P4"/>
    <x v="4"/>
    <s v="L1 Support"/>
    <s v="Pam Beesly"/>
    <s v="Resolved"/>
    <n v="5"/>
    <n v="48"/>
    <n v="40.71"/>
    <n v="1"/>
  </r>
  <r>
    <s v="TCK-12190"/>
    <s v="2024-03-29 15:38:26"/>
    <s v="2024-03-29 22:13:46"/>
    <s v="P4"/>
    <x v="0"/>
    <s v="Application Support"/>
    <s v="Alex Mercer"/>
    <s v="Closed"/>
    <n v="4"/>
    <n v="48"/>
    <n v="6.59"/>
    <n v="1"/>
  </r>
  <r>
    <s v="TCK-12191"/>
    <s v="2024-11-10 18:35:48"/>
    <m/>
    <s v="P3"/>
    <x v="2"/>
    <s v="L1 Support"/>
    <s v="Alex Mercer"/>
    <s v="Open"/>
    <m/>
    <n v="24"/>
    <m/>
    <m/>
  </r>
  <r>
    <s v="TCK-12192"/>
    <s v="2024-04-09 22:03:38"/>
    <s v="2024-04-11 07:53:04"/>
    <s v="P4"/>
    <x v="0"/>
    <s v="L1 Support"/>
    <s v="Ravi Patel"/>
    <s v="Closed"/>
    <n v="5"/>
    <n v="48"/>
    <n v="33.82"/>
    <n v="1"/>
  </r>
  <r>
    <s v="TCK-12193"/>
    <s v="2024-03-29 11:49:28"/>
    <s v="2024-03-30 16:00:22"/>
    <s v="P4"/>
    <x v="1"/>
    <s v="Billing Operations"/>
    <s v="Ravi Patel"/>
    <s v="Resolved"/>
    <n v="5"/>
    <n v="48"/>
    <n v="28.18"/>
    <n v="1"/>
  </r>
  <r>
    <s v="TCK-12194"/>
    <s v="2024-06-09 09:17:00"/>
    <s v="2024-06-09 15:03:56"/>
    <s v="P2"/>
    <x v="3"/>
    <s v="Infrastructure"/>
    <s v="Dwight Schrute"/>
    <s v="Closed"/>
    <n v="5"/>
    <n v="8"/>
    <n v="5.78"/>
    <n v="1"/>
  </r>
  <r>
    <s v="TCK-12195"/>
    <s v="2024-11-04 07:35:22"/>
    <s v="2024-11-04 11:40:31"/>
    <s v="P3"/>
    <x v="2"/>
    <s v="Application Support"/>
    <s v="Emily Watson"/>
    <s v="Closed"/>
    <n v="5"/>
    <n v="24"/>
    <n v="4.09"/>
    <n v="1"/>
  </r>
  <r>
    <s v="TCK-12196"/>
    <s v="2024-10-09 00:46:43"/>
    <s v="2024-10-09 16:43:26"/>
    <s v="P3"/>
    <x v="1"/>
    <s v="Infrastructure"/>
    <s v="Alex Mercer"/>
    <s v="Resolved"/>
    <n v="4"/>
    <n v="24"/>
    <n v="15.95"/>
    <n v="1"/>
  </r>
  <r>
    <s v="TCK-12197"/>
    <s v="2024-09-23 04:57:23"/>
    <m/>
    <s v="P2"/>
    <x v="2"/>
    <s v="Infrastructure"/>
    <s v="Emily Watson"/>
    <s v="Escalated"/>
    <m/>
    <n v="8"/>
    <m/>
    <m/>
  </r>
  <r>
    <s v="TCK-12198"/>
    <s v="2024-10-31 16:20:53"/>
    <s v="2024-11-02 09:20:17"/>
    <s v="P3"/>
    <x v="2"/>
    <s v="Infrastructure"/>
    <s v="Ravi Patel"/>
    <s v="Closed"/>
    <n v="4"/>
    <n v="24"/>
    <n v="40.99"/>
    <n v="0"/>
  </r>
  <r>
    <s v="TCK-12199"/>
    <s v="2024-06-12 16:59:33"/>
    <s v="2024-06-13 04:31:39"/>
    <s v="P3"/>
    <x v="2"/>
    <s v="Infrastructure"/>
    <s v="Ravi Patel"/>
    <s v="Resolved"/>
    <n v="5"/>
    <n v="24"/>
    <n v="11.54"/>
    <n v="1"/>
  </r>
  <r>
    <s v="TCK-12200"/>
    <s v="2024-03-26 09:30:06"/>
    <s v="2024-03-28 05:46:57"/>
    <s v="P4"/>
    <x v="4"/>
    <s v="Infrastructure"/>
    <s v="Ravi Patel"/>
    <s v="Resolved"/>
    <n v="4"/>
    <n v="48"/>
    <n v="44.28"/>
    <n v="1"/>
  </r>
  <r>
    <s v="TCK-12201"/>
    <s v="2024-03-29 19:43:47"/>
    <m/>
    <s v="P3"/>
    <x v="4"/>
    <s v="Infrastructure"/>
    <s v="Jim Halpert"/>
    <s v="Open"/>
    <m/>
    <n v="24"/>
    <m/>
    <m/>
  </r>
  <r>
    <s v="TCK-12202"/>
    <s v="2024-07-29 02:57:19"/>
    <m/>
    <s v="P1"/>
    <x v="2"/>
    <s v="Application Support"/>
    <s v="Dwight Schrute"/>
    <s v="Open"/>
    <m/>
    <n v="4"/>
    <m/>
    <m/>
  </r>
  <r>
    <s v="TCK-12203"/>
    <s v="2024-10-01 00:10:03"/>
    <s v="2024-10-01 01:55:03"/>
    <s v="P1"/>
    <x v="2"/>
    <s v="Billing Operations"/>
    <s v="Pam Beesly"/>
    <s v="Resolved"/>
    <n v="4"/>
    <n v="4"/>
    <n v="1.75"/>
    <n v="1"/>
  </r>
  <r>
    <s v="TCK-12204"/>
    <s v="2024-03-12 07:33:39"/>
    <m/>
    <s v="P3"/>
    <x v="1"/>
    <s v="L1 Support"/>
    <s v="Ravi Patel"/>
    <s v="Open"/>
    <m/>
    <n v="24"/>
    <m/>
    <m/>
  </r>
  <r>
    <s v="TCK-12205"/>
    <s v="2024-12-16 18:10:11"/>
    <s v="2024-12-17 10:09:28"/>
    <s v="P3"/>
    <x v="1"/>
    <s v="Application Support"/>
    <s v="Carlos Mendez"/>
    <s v="Closed"/>
    <n v="5"/>
    <n v="24"/>
    <n v="15.99"/>
    <n v="1"/>
  </r>
  <r>
    <s v="TCK-12206"/>
    <s v="2024-12-11 18:35:04"/>
    <s v="2024-12-12 04:27:45"/>
    <s v="P2"/>
    <x v="4"/>
    <s v="L1 Support"/>
    <s v="Dwight Schrute"/>
    <s v="Closed"/>
    <n v="4"/>
    <n v="8"/>
    <n v="9.8800000000000008"/>
    <n v="0"/>
  </r>
  <r>
    <s v="TCK-12207"/>
    <s v="2024-01-08 17:59:35"/>
    <s v="2024-01-08 19:59:51"/>
    <s v="P2"/>
    <x v="0"/>
    <s v="Application Support"/>
    <s v="Carlos Mendez"/>
    <s v="Resolved"/>
    <n v="5"/>
    <n v="8"/>
    <n v="2"/>
    <n v="1"/>
  </r>
  <r>
    <s v="TCK-12208"/>
    <s v="2024-06-07 01:20:23"/>
    <s v="2024-06-09 11:14:08"/>
    <s v="P3"/>
    <x v="2"/>
    <s v="L2 Support"/>
    <s v="Pam Beesly"/>
    <s v="Closed"/>
    <n v="1"/>
    <n v="24"/>
    <n v="57.9"/>
    <n v="0"/>
  </r>
  <r>
    <s v="TCK-12209"/>
    <s v="2024-03-10 02:56:18"/>
    <s v="2024-03-11 16:07:44"/>
    <s v="P4"/>
    <x v="0"/>
    <s v="L2 Support"/>
    <s v="John Doe"/>
    <s v="Resolved"/>
    <n v="5"/>
    <n v="48"/>
    <n v="37.19"/>
    <n v="1"/>
  </r>
  <r>
    <s v="TCK-12210"/>
    <s v="2024-12-04 22:54:38"/>
    <m/>
    <s v="P4"/>
    <x v="1"/>
    <s v="Application Support"/>
    <s v="Priya Nair"/>
    <s v="Open"/>
    <m/>
    <n v="48"/>
    <m/>
    <m/>
  </r>
  <r>
    <s v="TCK-12211"/>
    <s v="2024-01-31 23:46:23"/>
    <m/>
    <s v="P2"/>
    <x v="2"/>
    <s v="L2 Support"/>
    <s v="Pam Beesly"/>
    <s v="Escalated"/>
    <m/>
    <n v="8"/>
    <m/>
    <m/>
  </r>
  <r>
    <s v="TCK-12212"/>
    <s v="2024-09-11 14:01:33"/>
    <s v="2024-09-12 01:21:44"/>
    <s v="P3"/>
    <x v="3"/>
    <s v="Application Support"/>
    <s v="Carlos Mendez"/>
    <s v="Closed"/>
    <n v="3"/>
    <n v="24"/>
    <n v="11.34"/>
    <n v="1"/>
  </r>
  <r>
    <s v="TCK-12213"/>
    <s v="2024-11-20 12:28:00"/>
    <s v="2024-11-21 09:51:14"/>
    <s v="P3"/>
    <x v="0"/>
    <s v="L2 Support"/>
    <s v="John Doe"/>
    <s v="Resolved"/>
    <n v="5"/>
    <n v="24"/>
    <n v="21.39"/>
    <n v="1"/>
  </r>
  <r>
    <s v="TCK-12214"/>
    <s v="2024-08-17 10:08:49"/>
    <s v="2024-08-17 12:44:43"/>
    <s v="P3"/>
    <x v="3"/>
    <s v="L2 Support"/>
    <s v="Carlos Mendez"/>
    <s v="Closed"/>
    <n v="4"/>
    <n v="24"/>
    <n v="2.6"/>
    <n v="1"/>
  </r>
  <r>
    <s v="TCK-12215"/>
    <s v="2024-09-20 11:06:56"/>
    <s v="2024-09-20 13:34:36"/>
    <s v="P3"/>
    <x v="4"/>
    <s v="L1 Support"/>
    <s v="Emily Watson"/>
    <s v="Closed"/>
    <n v="4"/>
    <n v="24"/>
    <n v="2.46"/>
    <n v="1"/>
  </r>
  <r>
    <s v="TCK-12216"/>
    <s v="2024-12-30 11:52:57"/>
    <s v="2024-12-30 18:17:57"/>
    <s v="P1"/>
    <x v="1"/>
    <s v="L1 Support"/>
    <s v="Ravi Patel"/>
    <s v="Closed"/>
    <n v="1"/>
    <n v="4"/>
    <n v="6.42"/>
    <n v="0"/>
  </r>
  <r>
    <s v="TCK-12217"/>
    <s v="2024-04-26 19:11:42"/>
    <s v="2024-04-27 15:47:23"/>
    <s v="P3"/>
    <x v="4"/>
    <s v="L2 Support"/>
    <s v="Carlos Mendez"/>
    <s v="Resolved"/>
    <n v="5"/>
    <n v="24"/>
    <n v="20.59"/>
    <n v="1"/>
  </r>
  <r>
    <s v="TCK-12218"/>
    <s v="2024-05-19 19:44:45"/>
    <s v="2024-05-19 23:00:10"/>
    <s v="P2"/>
    <x v="4"/>
    <s v="Infrastructure"/>
    <s v="Carlos Mendez"/>
    <s v="Closed"/>
    <n v="3"/>
    <n v="8"/>
    <n v="3.26"/>
    <n v="1"/>
  </r>
  <r>
    <s v="TCK-12219"/>
    <s v="2024-01-24 08:56:52"/>
    <s v="2024-01-24 20:05:19"/>
    <s v="P3"/>
    <x v="2"/>
    <s v="Billing Operations"/>
    <s v="Alex Mercer"/>
    <s v="Closed"/>
    <n v="5"/>
    <n v="24"/>
    <n v="11.14"/>
    <n v="1"/>
  </r>
  <r>
    <s v="TCK-12220"/>
    <s v="2024-11-16 10:32:46"/>
    <s v="2024-11-17 04:49:23"/>
    <s v="P3"/>
    <x v="1"/>
    <s v="Application Support"/>
    <s v="Priya Nair"/>
    <s v="Resolved"/>
    <n v="5"/>
    <n v="24"/>
    <n v="18.28"/>
    <n v="1"/>
  </r>
  <r>
    <s v="TCK-12221"/>
    <s v="2024-07-05 08:26:08"/>
    <s v="2024-07-05 14:47:24"/>
    <s v="P3"/>
    <x v="2"/>
    <s v="L2 Support"/>
    <s v="Priya Nair"/>
    <s v="Closed"/>
    <n v="5"/>
    <n v="24"/>
    <n v="6.35"/>
    <n v="1"/>
  </r>
  <r>
    <s v="TCK-12222"/>
    <s v="2024-04-29 11:10:48"/>
    <s v="2024-04-29 22:55:58"/>
    <s v="P3"/>
    <x v="2"/>
    <s v="Infrastructure"/>
    <s v="Emily Watson"/>
    <s v="Resolved"/>
    <n v="5"/>
    <n v="24"/>
    <n v="11.75"/>
    <n v="1"/>
  </r>
  <r>
    <s v="TCK-12223"/>
    <s v="2024-11-25 02:03:26"/>
    <s v="2024-11-25 11:35:38"/>
    <s v="P2"/>
    <x v="2"/>
    <s v="L2 Support"/>
    <s v="John Doe"/>
    <s v="Closed"/>
    <n v="1"/>
    <n v="8"/>
    <n v="9.5399999999999991"/>
    <n v="0"/>
  </r>
  <r>
    <s v="TCK-12224"/>
    <s v="2024-05-27 17:02:14"/>
    <s v="2024-05-27 19:34:10"/>
    <s v="P2"/>
    <x v="0"/>
    <s v="Application Support"/>
    <s v="John Doe"/>
    <s v="Resolved"/>
    <n v="5"/>
    <n v="8"/>
    <n v="2.5299999999999998"/>
    <n v="1"/>
  </r>
  <r>
    <s v="TCK-12225"/>
    <s v="2024-09-01 02:55:36"/>
    <s v="2024-09-01 09:32:51"/>
    <s v="P2"/>
    <x v="4"/>
    <s v="L2 Support"/>
    <s v="Emily Watson"/>
    <s v="Closed"/>
    <n v="3"/>
    <n v="8"/>
    <n v="6.62"/>
    <n v="1"/>
  </r>
  <r>
    <s v="TCK-12226"/>
    <s v="2024-10-13 15:28:12"/>
    <s v="2024-10-14 06:52:08"/>
    <s v="P3"/>
    <x v="2"/>
    <s v="Application Support"/>
    <s v="Carlos Mendez"/>
    <s v="Resolved"/>
    <n v="5"/>
    <n v="24"/>
    <n v="15.4"/>
    <n v="1"/>
  </r>
  <r>
    <s v="TCK-12227"/>
    <s v="2024-08-04 04:17:58"/>
    <s v="2024-08-06 14:58:20"/>
    <s v="P4"/>
    <x v="2"/>
    <s v="L2 Support"/>
    <s v="Alex Mercer"/>
    <s v="Resolved"/>
    <n v="2"/>
    <n v="48"/>
    <n v="58.67"/>
    <n v="0"/>
  </r>
  <r>
    <s v="TCK-12228"/>
    <s v="2024-03-26 18:01:37"/>
    <s v="2024-03-27 16:19:21"/>
    <s v="P3"/>
    <x v="3"/>
    <s v="L1 Support"/>
    <s v="Michael Scott"/>
    <s v="Closed"/>
    <n v="5"/>
    <n v="24"/>
    <n v="22.3"/>
    <n v="1"/>
  </r>
  <r>
    <s v="TCK-12229"/>
    <s v="2024-05-10 01:52:45"/>
    <s v="2024-05-12 19:21:36"/>
    <s v="P3"/>
    <x v="4"/>
    <s v="Billing Operations"/>
    <s v="Ravi Patel"/>
    <s v="Resolved"/>
    <n v="1"/>
    <n v="24"/>
    <n v="65.48"/>
    <n v="0"/>
  </r>
  <r>
    <s v="TCK-12230"/>
    <s v="2024-08-18 19:04:00"/>
    <s v="2024-08-19 14:40:01"/>
    <s v="P3"/>
    <x v="0"/>
    <s v="Infrastructure"/>
    <s v="John Doe"/>
    <s v="Resolved"/>
    <n v="4"/>
    <n v="24"/>
    <n v="19.600000000000001"/>
    <n v="1"/>
  </r>
  <r>
    <s v="TCK-12231"/>
    <s v="2024-11-08 14:49:08"/>
    <s v="2024-11-08 22:47:26"/>
    <s v="P4"/>
    <x v="0"/>
    <s v="L2 Support"/>
    <s v="Dwight Schrute"/>
    <s v="Resolved"/>
    <n v="4"/>
    <n v="48"/>
    <n v="7.97"/>
    <n v="1"/>
  </r>
  <r>
    <s v="TCK-12232"/>
    <s v="2024-06-29 06:53:46"/>
    <m/>
    <s v="P4"/>
    <x v="3"/>
    <s v="L2 Support"/>
    <s v="Alex Mercer"/>
    <s v="Open"/>
    <m/>
    <n v="48"/>
    <m/>
    <m/>
  </r>
  <r>
    <s v="TCK-12233"/>
    <s v="2024-02-14 19:32:18"/>
    <s v="2024-02-14 20:33:12"/>
    <s v="P1"/>
    <x v="4"/>
    <s v="L2 Support"/>
    <s v="Emily Watson"/>
    <s v="Closed"/>
    <n v="4"/>
    <n v="4"/>
    <n v="1.01"/>
    <n v="1"/>
  </r>
  <r>
    <s v="TCK-12234"/>
    <s v="2024-03-06 16:11:22"/>
    <s v="2024-03-07 02:31:03"/>
    <s v="P1"/>
    <x v="0"/>
    <s v="L2 Support"/>
    <s v="Sarah Connor"/>
    <s v="Resolved"/>
    <n v="2"/>
    <n v="4"/>
    <n v="10.33"/>
    <n v="0"/>
  </r>
  <r>
    <s v="TCK-12235"/>
    <s v="2024-12-19 16:31:03"/>
    <s v="2024-12-19 21:12:13"/>
    <s v="P3"/>
    <x v="1"/>
    <s v="Infrastructure"/>
    <s v="Anita Sharma"/>
    <s v="Resolved"/>
    <n v="4"/>
    <n v="24"/>
    <n v="4.6900000000000004"/>
    <n v="1"/>
  </r>
  <r>
    <s v="TCK-12236"/>
    <s v="2024-07-27 07:30:23"/>
    <s v="2024-07-28 01:11:55"/>
    <s v="P3"/>
    <x v="3"/>
    <s v="L1 Support"/>
    <s v="Priya Nair"/>
    <s v="Closed"/>
    <n v="5"/>
    <n v="24"/>
    <n v="17.690000000000001"/>
    <n v="1"/>
  </r>
  <r>
    <s v="TCK-12237"/>
    <s v="2024-07-02 00:52:00"/>
    <s v="2024-07-02 06:46:10"/>
    <s v="P2"/>
    <x v="4"/>
    <s v="Application Support"/>
    <s v="Ravi Patel"/>
    <s v="Resolved"/>
    <n v="5"/>
    <n v="8"/>
    <n v="5.9"/>
    <n v="1"/>
  </r>
  <r>
    <s v="TCK-12238"/>
    <s v="2024-12-22 12:37:26"/>
    <s v="2024-12-23 06:31:08"/>
    <s v="P2"/>
    <x v="2"/>
    <s v="Billing Operations"/>
    <s v="Emily Watson"/>
    <s v="Resolved"/>
    <n v="1"/>
    <n v="8"/>
    <n v="17.899999999999999"/>
    <n v="0"/>
  </r>
  <r>
    <s v="TCK-12239"/>
    <s v="2024-12-19 04:54:15"/>
    <s v="2024-12-21 22:38:37"/>
    <s v="P3"/>
    <x v="0"/>
    <s v="Billing Operations"/>
    <s v="Michael Scott"/>
    <s v="Resolved"/>
    <n v="2"/>
    <n v="24"/>
    <n v="65.739999999999995"/>
    <n v="0"/>
  </r>
  <r>
    <s v="TCK-12240"/>
    <s v="2024-07-18 22:01:20"/>
    <s v="2024-07-19 00:16:32"/>
    <s v="P2"/>
    <x v="0"/>
    <s v="Application Support"/>
    <s v="John Doe"/>
    <s v="Resolved"/>
    <n v="4"/>
    <n v="8"/>
    <n v="2.25"/>
    <n v="1"/>
  </r>
  <r>
    <s v="TCK-12241"/>
    <s v="2024-02-19 20:01:15"/>
    <s v="2024-02-20 03:33:39"/>
    <s v="P3"/>
    <x v="0"/>
    <s v="L2 Support"/>
    <s v="John Doe"/>
    <s v="Closed"/>
    <n v="4"/>
    <n v="24"/>
    <n v="7.54"/>
    <n v="1"/>
  </r>
  <r>
    <s v="TCK-12242"/>
    <s v="2024-07-08 13:43:45"/>
    <s v="2024-07-08 21:13:24"/>
    <s v="P4"/>
    <x v="3"/>
    <s v="L2 Support"/>
    <s v="Priya Nair"/>
    <s v="Closed"/>
    <n v="5"/>
    <n v="48"/>
    <n v="7.49"/>
    <n v="1"/>
  </r>
  <r>
    <s v="TCK-12243"/>
    <s v="2024-05-20 02:31:31"/>
    <s v="2024-05-20 05:11:29"/>
    <s v="P3"/>
    <x v="0"/>
    <s v="L1 Support"/>
    <s v="Carlos Mendez"/>
    <s v="Resolved"/>
    <n v="3"/>
    <n v="24"/>
    <n v="2.67"/>
    <n v="1"/>
  </r>
  <r>
    <s v="TCK-12244"/>
    <s v="2024-03-22 01:22:25"/>
    <s v="2024-03-23 00:04:51"/>
    <s v="P4"/>
    <x v="2"/>
    <s v="L2 Support"/>
    <s v="Emily Watson"/>
    <s v="Closed"/>
    <n v="4"/>
    <n v="48"/>
    <n v="22.71"/>
    <n v="1"/>
  </r>
  <r>
    <s v="TCK-12245"/>
    <s v="2024-12-27 15:39:17"/>
    <s v="2024-12-27 21:44:14"/>
    <s v="P2"/>
    <x v="0"/>
    <s v="L2 Support"/>
    <s v="Pam Beesly"/>
    <s v="Closed"/>
    <n v="4"/>
    <n v="8"/>
    <n v="6.08"/>
    <n v="1"/>
  </r>
  <r>
    <s v="TCK-12246"/>
    <s v="2024-02-06 15:49:42"/>
    <s v="2024-02-07 14:18:33"/>
    <s v="P3"/>
    <x v="0"/>
    <s v="Application Support"/>
    <s v="Michael Scott"/>
    <s v="Resolved"/>
    <n v="3"/>
    <n v="24"/>
    <n v="22.48"/>
    <n v="1"/>
  </r>
  <r>
    <s v="TCK-12247"/>
    <s v="2024-10-05 02:35:17"/>
    <s v="2024-10-05 16:54:47"/>
    <s v="P3"/>
    <x v="2"/>
    <s v="Application Support"/>
    <s v="Dwight Schrute"/>
    <s v="Resolved"/>
    <n v="5"/>
    <n v="24"/>
    <n v="14.32"/>
    <n v="1"/>
  </r>
  <r>
    <s v="TCK-12248"/>
    <s v="2024-03-28 10:06:52"/>
    <s v="2024-03-28 13:44:28"/>
    <s v="P2"/>
    <x v="1"/>
    <s v="L1 Support"/>
    <s v="Carlos Mendez"/>
    <s v="Resolved"/>
    <n v="5"/>
    <n v="8"/>
    <n v="3.63"/>
    <n v="1"/>
  </r>
  <r>
    <s v="TCK-12249"/>
    <s v="2024-09-23 16:00:17"/>
    <s v="2024-09-25 11:21:22"/>
    <s v="P4"/>
    <x v="1"/>
    <s v="Infrastructure"/>
    <s v="Jim Halpert"/>
    <s v="Closed"/>
    <n v="5"/>
    <n v="48"/>
    <n v="43.35"/>
    <n v="1"/>
  </r>
  <r>
    <s v="TCK-12250"/>
    <s v="2024-07-25 12:12:55"/>
    <s v="2024-07-26 05:03:29"/>
    <s v="P2"/>
    <x v="4"/>
    <s v="L1 Support"/>
    <s v="Michael Scott"/>
    <s v="Resolved"/>
    <n v="1"/>
    <n v="8"/>
    <n v="16.84"/>
    <n v="0"/>
  </r>
  <r>
    <s v="TCK-12251"/>
    <s v="2024-08-29 03:38:45"/>
    <s v="2024-08-29 08:27:48"/>
    <s v="P3"/>
    <x v="1"/>
    <s v="Billing Operations"/>
    <s v="Sarah Connor"/>
    <s v="Closed"/>
    <n v="4"/>
    <n v="24"/>
    <n v="4.82"/>
    <n v="1"/>
  </r>
  <r>
    <s v="TCK-12252"/>
    <s v="2024-07-13 22:28:16"/>
    <s v="2024-07-14 06:15:46"/>
    <s v="P1"/>
    <x v="2"/>
    <s v="Infrastructure"/>
    <s v="Jim Halpert"/>
    <s v="Closed"/>
    <n v="3"/>
    <n v="4"/>
    <n v="7.79"/>
    <n v="0"/>
  </r>
  <r>
    <s v="TCK-12253"/>
    <s v="2024-12-12 08:01:13"/>
    <s v="2024-12-12 09:45:32"/>
    <s v="P1"/>
    <x v="2"/>
    <s v="Application Support"/>
    <s v="John Doe"/>
    <s v="Resolved"/>
    <n v="4"/>
    <n v="4"/>
    <n v="1.74"/>
    <n v="1"/>
  </r>
  <r>
    <s v="TCK-12254"/>
    <s v="2024-04-28 01:59:52"/>
    <s v="2024-04-28 13:12:00"/>
    <s v="P3"/>
    <x v="0"/>
    <s v="Infrastructure"/>
    <s v="Michael Scott"/>
    <s v="Closed"/>
    <n v="5"/>
    <n v="24"/>
    <n v="11.2"/>
    <n v="1"/>
  </r>
  <r>
    <s v="TCK-12255"/>
    <s v="2024-09-23 07:20:14"/>
    <s v="2024-09-23 12:32:18"/>
    <s v="P2"/>
    <x v="0"/>
    <s v="L2 Support"/>
    <s v="Anita Sharma"/>
    <s v="Resolved"/>
    <n v="4"/>
    <n v="8"/>
    <n v="5.2"/>
    <n v="1"/>
  </r>
  <r>
    <s v="TCK-12256"/>
    <s v="2024-06-25 12:00:05"/>
    <s v="2024-06-25 21:46:52"/>
    <s v="P2"/>
    <x v="0"/>
    <s v="Application Support"/>
    <s v="John Doe"/>
    <s v="Resolved"/>
    <n v="4"/>
    <n v="8"/>
    <n v="9.7799999999999994"/>
    <n v="0"/>
  </r>
  <r>
    <s v="TCK-12257"/>
    <s v="2024-04-09 15:32:34"/>
    <s v="2024-04-09 21:04:18"/>
    <s v="P2"/>
    <x v="2"/>
    <s v="L2 Support"/>
    <s v="Priya Nair"/>
    <s v="Resolved"/>
    <n v="4"/>
    <n v="8"/>
    <n v="5.53"/>
    <n v="1"/>
  </r>
  <r>
    <s v="TCK-12258"/>
    <s v="2024-02-29 02:16:12"/>
    <s v="2024-02-29 08:04:03"/>
    <s v="P2"/>
    <x v="2"/>
    <s v="Billing Operations"/>
    <s v="Carlos Mendez"/>
    <s v="Closed"/>
    <n v="5"/>
    <n v="8"/>
    <n v="5.8"/>
    <n v="1"/>
  </r>
  <r>
    <s v="TCK-12259"/>
    <s v="2024-08-19 01:35:10"/>
    <s v="2024-08-19 19:04:49"/>
    <s v="P4"/>
    <x v="3"/>
    <s v="Billing Operations"/>
    <s v="Jim Halpert"/>
    <s v="Resolved"/>
    <n v="5"/>
    <n v="48"/>
    <n v="17.489999999999998"/>
    <n v="1"/>
  </r>
  <r>
    <s v="TCK-12260"/>
    <s v="2024-02-03 04:51:32"/>
    <s v="2024-02-03 23:40:51"/>
    <s v="P3"/>
    <x v="3"/>
    <s v="Application Support"/>
    <s v="Michael Scott"/>
    <s v="Resolved"/>
    <n v="5"/>
    <n v="24"/>
    <n v="18.82"/>
    <n v="1"/>
  </r>
  <r>
    <s v="TCK-12261"/>
    <s v="2024-10-07 00:25:41"/>
    <s v="2024-10-07 20:06:23"/>
    <s v="P4"/>
    <x v="4"/>
    <s v="Application Support"/>
    <s v="John Doe"/>
    <s v="Closed"/>
    <n v="4"/>
    <n v="48"/>
    <n v="19.68"/>
    <n v="1"/>
  </r>
  <r>
    <s v="TCK-12262"/>
    <s v="2024-04-05 16:26:10"/>
    <s v="2024-04-05 22:54:37"/>
    <s v="P2"/>
    <x v="2"/>
    <s v="L1 Support"/>
    <s v="Priya Nair"/>
    <s v="Resolved"/>
    <n v="5"/>
    <n v="8"/>
    <n v="6.47"/>
    <n v="1"/>
  </r>
  <r>
    <s v="TCK-12263"/>
    <s v="2024-07-24 18:39:21"/>
    <s v="2024-07-25 05:01:12"/>
    <s v="P3"/>
    <x v="1"/>
    <s v="Infrastructure"/>
    <s v="Pam Beesly"/>
    <s v="Closed"/>
    <n v="5"/>
    <n v="24"/>
    <n v="10.36"/>
    <n v="1"/>
  </r>
  <r>
    <s v="TCK-12264"/>
    <s v="2024-09-19 12:45:22"/>
    <s v="2024-09-20 09:35:48"/>
    <s v="P2"/>
    <x v="2"/>
    <s v="Application Support"/>
    <s v="Jim Halpert"/>
    <s v="Closed"/>
    <n v="1"/>
    <n v="8"/>
    <n v="20.84"/>
    <n v="0"/>
  </r>
  <r>
    <s v="TCK-12265"/>
    <s v="2024-10-27 04:23:17"/>
    <s v="2024-10-28 00:18:48"/>
    <s v="P4"/>
    <x v="4"/>
    <s v="Infrastructure"/>
    <s v="Emily Watson"/>
    <s v="Resolved"/>
    <n v="4"/>
    <n v="48"/>
    <n v="19.93"/>
    <n v="1"/>
  </r>
  <r>
    <s v="TCK-12266"/>
    <s v="2024-11-29 06:06:54"/>
    <s v="2024-11-29 09:50:42"/>
    <s v="P2"/>
    <x v="2"/>
    <s v="Billing Operations"/>
    <s v="Ravi Patel"/>
    <s v="Resolved"/>
    <n v="5"/>
    <n v="8"/>
    <n v="3.73"/>
    <n v="1"/>
  </r>
  <r>
    <s v="TCK-12267"/>
    <s v="2024-02-19 10:48:55"/>
    <s v="2024-02-19 19:28:56"/>
    <s v="P1"/>
    <x v="2"/>
    <s v="Infrastructure"/>
    <s v="Alex Mercer"/>
    <s v="Resolved"/>
    <n v="4"/>
    <n v="4"/>
    <n v="8.67"/>
    <n v="0"/>
  </r>
  <r>
    <s v="TCK-12268"/>
    <s v="2024-12-30 04:02:32"/>
    <s v="2024-12-30 14:35:01"/>
    <s v="P3"/>
    <x v="4"/>
    <s v="Billing Operations"/>
    <s v="Sarah Connor"/>
    <s v="Closed"/>
    <n v="4"/>
    <n v="24"/>
    <n v="10.54"/>
    <n v="1"/>
  </r>
  <r>
    <s v="TCK-12269"/>
    <s v="2024-11-01 18:57:59"/>
    <s v="2024-11-03 10:35:13"/>
    <s v="P4"/>
    <x v="3"/>
    <s v="Application Support"/>
    <s v="Michael Scott"/>
    <s v="Closed"/>
    <n v="4"/>
    <n v="48"/>
    <n v="39.619999999999997"/>
    <n v="1"/>
  </r>
  <r>
    <s v="TCK-12270"/>
    <s v="2024-06-25 08:07:59"/>
    <s v="2024-06-25 17:46:28"/>
    <s v="P4"/>
    <x v="2"/>
    <s v="L2 Support"/>
    <s v="Pam Beesly"/>
    <s v="Closed"/>
    <n v="4"/>
    <n v="48"/>
    <n v="9.64"/>
    <n v="1"/>
  </r>
  <r>
    <s v="TCK-12271"/>
    <s v="2024-02-17 22:09:13"/>
    <s v="2024-02-19 11:17:35"/>
    <s v="P4"/>
    <x v="2"/>
    <s v="Infrastructure"/>
    <s v="Carlos Mendez"/>
    <s v="Resolved"/>
    <n v="4"/>
    <n v="48"/>
    <n v="37.14"/>
    <n v="1"/>
  </r>
  <r>
    <s v="TCK-12272"/>
    <s v="2024-06-10 16:19:53"/>
    <s v="2024-06-11 15:36:21"/>
    <s v="P4"/>
    <x v="2"/>
    <s v="Infrastructure"/>
    <s v="Michael Scott"/>
    <s v="Resolved"/>
    <n v="4"/>
    <n v="48"/>
    <n v="23.27"/>
    <n v="1"/>
  </r>
  <r>
    <s v="TCK-12273"/>
    <s v="2024-09-12 19:00:18"/>
    <s v="2024-09-12 23:53:36"/>
    <s v="P3"/>
    <x v="2"/>
    <s v="L1 Support"/>
    <s v="Alex Mercer"/>
    <s v="Resolved"/>
    <n v="5"/>
    <n v="24"/>
    <n v="4.8899999999999997"/>
    <n v="1"/>
  </r>
  <r>
    <s v="TCK-12274"/>
    <s v="2024-11-15 13:08:40"/>
    <s v="2024-11-15 17:25:44"/>
    <s v="P3"/>
    <x v="1"/>
    <s v="L1 Support"/>
    <s v="Sarah Connor"/>
    <s v="Resolved"/>
    <n v="5"/>
    <n v="24"/>
    <n v="4.28"/>
    <n v="1"/>
  </r>
  <r>
    <s v="TCK-12275"/>
    <s v="2024-04-19 09:43:26"/>
    <s v="2024-04-19 16:41:01"/>
    <s v="P2"/>
    <x v="2"/>
    <s v="Infrastructure"/>
    <s v="Priya Nair"/>
    <s v="Closed"/>
    <n v="5"/>
    <n v="8"/>
    <n v="6.96"/>
    <n v="1"/>
  </r>
  <r>
    <s v="TCK-12276"/>
    <s v="2024-04-11 05:09:12"/>
    <s v="2024-04-11 12:30:52"/>
    <s v="P2"/>
    <x v="1"/>
    <s v="Application Support"/>
    <s v="Alex Mercer"/>
    <s v="Resolved"/>
    <n v="5"/>
    <n v="8"/>
    <n v="7.36"/>
    <n v="1"/>
  </r>
  <r>
    <s v="TCK-12277"/>
    <s v="2024-12-28 23:15:47"/>
    <s v="2025-01-03 06:26:54"/>
    <s v="P4"/>
    <x v="1"/>
    <s v="Billing Operations"/>
    <s v="Jim Halpert"/>
    <s v="Closed"/>
    <n v="1"/>
    <n v="48"/>
    <n v="127.19"/>
    <n v="0"/>
  </r>
  <r>
    <s v="TCK-12278"/>
    <s v="2024-06-22 00:59:37"/>
    <s v="2024-06-22 07:22:16"/>
    <s v="P3"/>
    <x v="1"/>
    <s v="Application Support"/>
    <s v="Jim Halpert"/>
    <s v="Closed"/>
    <n v="3"/>
    <n v="24"/>
    <n v="6.38"/>
    <n v="1"/>
  </r>
  <r>
    <s v="TCK-12279"/>
    <s v="2024-04-18 13:16:28"/>
    <s v="2024-04-20 03:16:20"/>
    <s v="P4"/>
    <x v="3"/>
    <s v="L1 Support"/>
    <s v="Carlos Mendez"/>
    <s v="Closed"/>
    <n v="5"/>
    <n v="48"/>
    <n v="38"/>
    <n v="1"/>
  </r>
  <r>
    <s v="TCK-12280"/>
    <s v="2024-01-25 18:06:03"/>
    <s v="2024-01-25 22:35:04"/>
    <s v="P1"/>
    <x v="4"/>
    <s v="Infrastructure"/>
    <s v="Carlos Mendez"/>
    <s v="Resolved"/>
    <n v="4"/>
    <n v="4"/>
    <n v="4.4800000000000004"/>
    <n v="0"/>
  </r>
  <r>
    <s v="TCK-12281"/>
    <s v="2024-07-07 05:45:41"/>
    <s v="2024-07-08 13:35:38"/>
    <s v="P4"/>
    <x v="3"/>
    <s v="L2 Support"/>
    <s v="Sarah Connor"/>
    <s v="Resolved"/>
    <n v="5"/>
    <n v="48"/>
    <n v="31.83"/>
    <n v="1"/>
  </r>
  <r>
    <s v="TCK-12282"/>
    <s v="2024-02-16 21:41:22"/>
    <s v="2024-02-17 18:49:34"/>
    <s v="P3"/>
    <x v="3"/>
    <s v="L2 Support"/>
    <s v="Anita Sharma"/>
    <s v="Closed"/>
    <n v="5"/>
    <n v="24"/>
    <n v="21.14"/>
    <n v="1"/>
  </r>
  <r>
    <s v="TCK-12283"/>
    <s v="2024-07-24 19:26:40"/>
    <m/>
    <s v="P4"/>
    <x v="3"/>
    <s v="Application Support"/>
    <s v="John Doe"/>
    <s v="Open"/>
    <m/>
    <n v="48"/>
    <m/>
    <m/>
  </r>
  <r>
    <s v="TCK-12284"/>
    <s v="2024-03-18 09:46:35"/>
    <s v="2024-03-18 13:14:00"/>
    <s v="P2"/>
    <x v="2"/>
    <s v="Infrastructure"/>
    <s v="Pam Beesly"/>
    <s v="Closed"/>
    <n v="5"/>
    <n v="8"/>
    <n v="3.46"/>
    <n v="1"/>
  </r>
  <r>
    <s v="TCK-12285"/>
    <s v="2024-01-11 17:41:29"/>
    <s v="2024-01-12 15:48:18"/>
    <s v="P3"/>
    <x v="1"/>
    <s v="Application Support"/>
    <s v="Emily Watson"/>
    <s v="Resolved"/>
    <n v="4"/>
    <n v="24"/>
    <n v="22.11"/>
    <n v="1"/>
  </r>
  <r>
    <s v="TCK-12286"/>
    <s v="2024-12-13 05:42:20"/>
    <s v="2024-12-14 17:57:23"/>
    <s v="P4"/>
    <x v="3"/>
    <s v="L2 Support"/>
    <s v="John Doe"/>
    <s v="Resolved"/>
    <n v="4"/>
    <n v="48"/>
    <n v="36.25"/>
    <n v="1"/>
  </r>
  <r>
    <s v="TCK-12287"/>
    <s v="2024-09-28 22:02:47"/>
    <s v="2024-09-29 17:50:41"/>
    <s v="P3"/>
    <x v="0"/>
    <s v="Billing Operations"/>
    <s v="Anita Sharma"/>
    <s v="Resolved"/>
    <n v="5"/>
    <n v="24"/>
    <n v="19.8"/>
    <n v="1"/>
  </r>
  <r>
    <s v="TCK-12288"/>
    <s v="2024-11-18 00:22:01"/>
    <s v="2024-11-18 08:43:15"/>
    <s v="P4"/>
    <x v="0"/>
    <s v="Infrastructure"/>
    <s v="Emily Watson"/>
    <s v="Resolved"/>
    <n v="4"/>
    <n v="48"/>
    <n v="8.35"/>
    <n v="1"/>
  </r>
  <r>
    <s v="TCK-12289"/>
    <s v="2024-01-14 19:58:19"/>
    <m/>
    <s v="P3"/>
    <x v="1"/>
    <s v="L1 Support"/>
    <s v="Ravi Patel"/>
    <s v="Escalated"/>
    <m/>
    <n v="24"/>
    <m/>
    <m/>
  </r>
  <r>
    <s v="TCK-12290"/>
    <s v="2024-01-19 00:39:56"/>
    <s v="2024-01-19 19:59:33"/>
    <s v="P3"/>
    <x v="2"/>
    <s v="Application Support"/>
    <s v="Sarah Connor"/>
    <s v="Closed"/>
    <n v="4"/>
    <n v="24"/>
    <n v="19.329999999999998"/>
    <n v="1"/>
  </r>
  <r>
    <s v="TCK-12291"/>
    <s v="2024-01-16 07:32:21"/>
    <s v="2024-01-16 11:10:35"/>
    <s v="P1"/>
    <x v="2"/>
    <s v="L2 Support"/>
    <s v="Jim Halpert"/>
    <s v="Resolved"/>
    <n v="5"/>
    <n v="4"/>
    <n v="3.64"/>
    <n v="1"/>
  </r>
  <r>
    <s v="TCK-12292"/>
    <s v="2024-03-27 15:37:34"/>
    <m/>
    <s v="P4"/>
    <x v="3"/>
    <s v="Billing Operations"/>
    <s v="Carlos Mendez"/>
    <s v="Escalated"/>
    <m/>
    <n v="48"/>
    <m/>
    <m/>
  </r>
  <r>
    <s v="TCK-12293"/>
    <s v="2024-10-01 13:12:27"/>
    <s v="2024-10-01 14:29:08"/>
    <s v="P1"/>
    <x v="0"/>
    <s v="Application Support"/>
    <s v="Priya Nair"/>
    <s v="Closed"/>
    <n v="4"/>
    <n v="4"/>
    <n v="1.28"/>
    <n v="1"/>
  </r>
  <r>
    <s v="TCK-12294"/>
    <s v="2024-03-19 02:58:10"/>
    <s v="2024-03-19 14:44:59"/>
    <s v="P2"/>
    <x v="0"/>
    <s v="L2 Support"/>
    <s v="John Doe"/>
    <s v="Resolved"/>
    <n v="2"/>
    <n v="8"/>
    <n v="11.78"/>
    <n v="0"/>
  </r>
  <r>
    <s v="TCK-12295"/>
    <s v="2024-02-29 15:53:05"/>
    <s v="2024-02-29 18:40:14"/>
    <s v="P2"/>
    <x v="1"/>
    <s v="Billing Operations"/>
    <s v="Alex Mercer"/>
    <s v="Closed"/>
    <n v="5"/>
    <n v="8"/>
    <n v="2.79"/>
    <n v="1"/>
  </r>
  <r>
    <s v="TCK-12296"/>
    <s v="2024-05-14 17:56:34"/>
    <s v="2024-05-15 10:19:24"/>
    <s v="P3"/>
    <x v="3"/>
    <s v="Billing Operations"/>
    <s v="John Doe"/>
    <s v="Closed"/>
    <n v="5"/>
    <n v="24"/>
    <n v="16.38"/>
    <n v="1"/>
  </r>
  <r>
    <s v="TCK-12297"/>
    <s v="2024-03-10 17:01:43"/>
    <s v="2024-03-13 16:41:47"/>
    <s v="P3"/>
    <x v="2"/>
    <s v="L1 Support"/>
    <s v="Jim Halpert"/>
    <s v="Resolved"/>
    <n v="2"/>
    <n v="24"/>
    <n v="71.67"/>
    <n v="0"/>
  </r>
  <r>
    <s v="TCK-12298"/>
    <s v="2024-05-24 15:28:32"/>
    <s v="2024-05-25 10:10:11"/>
    <s v="P3"/>
    <x v="4"/>
    <s v="L2 Support"/>
    <s v="Carlos Mendez"/>
    <s v="Closed"/>
    <n v="3"/>
    <n v="24"/>
    <n v="18.690000000000001"/>
    <n v="1"/>
  </r>
  <r>
    <s v="TCK-12299"/>
    <s v="2024-09-08 21:30:27"/>
    <s v="2024-09-09 03:56:08"/>
    <s v="P2"/>
    <x v="1"/>
    <s v="Application Support"/>
    <s v="Carlos Mendez"/>
    <s v="Closed"/>
    <n v="3"/>
    <n v="8"/>
    <n v="6.43"/>
    <n v="1"/>
  </r>
  <r>
    <s v="TCK-12300"/>
    <s v="2024-09-17 03:33:15"/>
    <s v="2024-09-17 04:26:46"/>
    <s v="P2"/>
    <x v="0"/>
    <s v="Infrastructure"/>
    <s v="Sarah Connor"/>
    <s v="Closed"/>
    <n v="5"/>
    <n v="8"/>
    <n v="0.89"/>
    <n v="1"/>
  </r>
  <r>
    <s v="TCK-12301"/>
    <s v="2024-03-26 16:13:58"/>
    <s v="2024-03-26 23:18:33"/>
    <s v="P3"/>
    <x v="1"/>
    <s v="L1 Support"/>
    <s v="Ravi Patel"/>
    <s v="Closed"/>
    <n v="5"/>
    <n v="24"/>
    <n v="7.08"/>
    <n v="1"/>
  </r>
  <r>
    <s v="TCK-12302"/>
    <s v="2024-07-03 05:35:15"/>
    <s v="2024-07-03 15:21:45"/>
    <s v="P3"/>
    <x v="2"/>
    <s v="Infrastructure"/>
    <s v="Priya Nair"/>
    <s v="Resolved"/>
    <n v="4"/>
    <n v="24"/>
    <n v="9.7799999999999994"/>
    <n v="1"/>
  </r>
  <r>
    <s v="TCK-12303"/>
    <s v="2024-01-29 13:48:47"/>
    <s v="2024-01-31 03:32:23"/>
    <s v="P3"/>
    <x v="4"/>
    <s v="L1 Support"/>
    <s v="Pam Beesly"/>
    <s v="Resolved"/>
    <n v="1"/>
    <n v="24"/>
    <n v="37.729999999999997"/>
    <n v="0"/>
  </r>
  <r>
    <s v="TCK-12304"/>
    <s v="2024-10-24 23:37:06"/>
    <s v="2024-10-27 10:33:58"/>
    <s v="P4"/>
    <x v="2"/>
    <s v="Application Support"/>
    <s v="Michael Scott"/>
    <s v="Resolved"/>
    <n v="3"/>
    <n v="48"/>
    <n v="58.95"/>
    <n v="0"/>
  </r>
  <r>
    <s v="TCK-12305"/>
    <s v="2024-08-18 09:48:06"/>
    <s v="2024-08-18 17:03:27"/>
    <s v="P4"/>
    <x v="3"/>
    <s v="Application Support"/>
    <s v="Ravi Patel"/>
    <s v="Resolved"/>
    <n v="5"/>
    <n v="48"/>
    <n v="7.26"/>
    <n v="1"/>
  </r>
  <r>
    <s v="TCK-12306"/>
    <s v="2024-11-11 08:57:51"/>
    <s v="2024-11-11 15:39:32"/>
    <s v="P2"/>
    <x v="2"/>
    <s v="Application Support"/>
    <s v="John Doe"/>
    <s v="Closed"/>
    <n v="4"/>
    <n v="8"/>
    <n v="6.69"/>
    <n v="1"/>
  </r>
  <r>
    <s v="TCK-12307"/>
    <s v="2024-02-23 03:11:41"/>
    <m/>
    <s v="P3"/>
    <x v="1"/>
    <s v="Infrastructure"/>
    <s v="Sarah Connor"/>
    <s v="Open"/>
    <m/>
    <n v="24"/>
    <m/>
    <m/>
  </r>
  <r>
    <s v="TCK-12308"/>
    <s v="2024-08-10 07:27:08"/>
    <s v="2024-08-10 11:20:19"/>
    <s v="P2"/>
    <x v="0"/>
    <s v="Billing Operations"/>
    <s v="Jim Halpert"/>
    <s v="Resolved"/>
    <n v="3"/>
    <n v="8"/>
    <n v="3.89"/>
    <n v="1"/>
  </r>
  <r>
    <s v="TCK-12309"/>
    <s v="2024-07-22 12:45:44"/>
    <s v="2024-07-23 07:26:21"/>
    <s v="P3"/>
    <x v="1"/>
    <s v="Application Support"/>
    <s v="Dwight Schrute"/>
    <s v="Closed"/>
    <n v="5"/>
    <n v="24"/>
    <n v="18.68"/>
    <n v="1"/>
  </r>
  <r>
    <s v="TCK-12310"/>
    <s v="2024-03-13 07:48:48"/>
    <m/>
    <s v="P2"/>
    <x v="3"/>
    <s v="L1 Support"/>
    <s v="Dwight Schrute"/>
    <s v="Open"/>
    <m/>
    <n v="8"/>
    <m/>
    <m/>
  </r>
  <r>
    <s v="TCK-12311"/>
    <s v="2024-09-27 10:05:26"/>
    <s v="2024-09-27 17:19:48"/>
    <s v="P3"/>
    <x v="2"/>
    <s v="Billing Operations"/>
    <s v="Dwight Schrute"/>
    <s v="Closed"/>
    <n v="5"/>
    <n v="24"/>
    <n v="7.24"/>
    <n v="1"/>
  </r>
  <r>
    <s v="TCK-12312"/>
    <s v="2024-03-22 02:44:45"/>
    <s v="2024-03-23 14:57:37"/>
    <s v="P4"/>
    <x v="3"/>
    <s v="Infrastructure"/>
    <s v="Emily Watson"/>
    <s v="Resolved"/>
    <n v="4"/>
    <n v="48"/>
    <n v="36.21"/>
    <n v="1"/>
  </r>
  <r>
    <s v="TCK-12313"/>
    <s v="2024-03-14 11:47:33"/>
    <s v="2024-03-14 12:41:04"/>
    <s v="P1"/>
    <x v="0"/>
    <s v="Billing Operations"/>
    <s v="Carlos Mendez"/>
    <s v="Resolved"/>
    <n v="4"/>
    <n v="4"/>
    <n v="0.89"/>
    <n v="1"/>
  </r>
  <r>
    <s v="TCK-12314"/>
    <s v="2024-08-15 22:47:14"/>
    <s v="2024-08-16 00:08:55"/>
    <s v="P1"/>
    <x v="0"/>
    <s v="Infrastructure"/>
    <s v="Dwight Schrute"/>
    <s v="Closed"/>
    <n v="5"/>
    <n v="4"/>
    <n v="1.36"/>
    <n v="1"/>
  </r>
  <r>
    <s v="TCK-12315"/>
    <s v="2024-11-06 20:15:40"/>
    <s v="2024-11-10 18:06:59"/>
    <s v="P4"/>
    <x v="2"/>
    <s v="L1 Support"/>
    <s v="Alex Mercer"/>
    <s v="Resolved"/>
    <n v="2"/>
    <n v="48"/>
    <n v="93.86"/>
    <n v="0"/>
  </r>
  <r>
    <s v="TCK-12316"/>
    <s v="2024-07-30 21:29:22"/>
    <s v="2024-07-31 18:43:33"/>
    <s v="P3"/>
    <x v="2"/>
    <s v="Application Support"/>
    <s v="Michael Scott"/>
    <s v="Closed"/>
    <n v="5"/>
    <n v="24"/>
    <n v="21.24"/>
    <n v="1"/>
  </r>
  <r>
    <s v="TCK-12317"/>
    <s v="2024-02-04 21:47:26"/>
    <s v="2024-02-05 17:41:30"/>
    <s v="P3"/>
    <x v="2"/>
    <s v="Infrastructure"/>
    <s v="Jim Halpert"/>
    <s v="Closed"/>
    <n v="3"/>
    <n v="24"/>
    <n v="19.899999999999999"/>
    <n v="1"/>
  </r>
  <r>
    <s v="TCK-12318"/>
    <s v="2024-06-07 06:46:30"/>
    <s v="2024-06-07 10:12:02"/>
    <s v="P2"/>
    <x v="2"/>
    <s v="L2 Support"/>
    <s v="Dwight Schrute"/>
    <s v="Resolved"/>
    <n v="4"/>
    <n v="8"/>
    <n v="3.43"/>
    <n v="1"/>
  </r>
  <r>
    <s v="TCK-12319"/>
    <s v="2024-06-15 00:25:47"/>
    <s v="2024-06-15 16:05:28"/>
    <s v="P3"/>
    <x v="4"/>
    <s v="Application Support"/>
    <s v="Sarah Connor"/>
    <s v="Resolved"/>
    <n v="4"/>
    <n v="24"/>
    <n v="15.66"/>
    <n v="1"/>
  </r>
  <r>
    <s v="TCK-12320"/>
    <s v="2024-09-27 14:40:53"/>
    <s v="2024-09-27 17:14:37"/>
    <s v="P3"/>
    <x v="2"/>
    <s v="L1 Support"/>
    <s v="Priya Nair"/>
    <s v="Resolved"/>
    <n v="4"/>
    <n v="24"/>
    <n v="2.56"/>
    <n v="1"/>
  </r>
  <r>
    <s v="TCK-12321"/>
    <s v="2024-02-13 02:24:39"/>
    <m/>
    <s v="P2"/>
    <x v="1"/>
    <s v="Application Support"/>
    <s v="Carlos Mendez"/>
    <s v="Open"/>
    <m/>
    <n v="8"/>
    <m/>
    <m/>
  </r>
  <r>
    <s v="TCK-12322"/>
    <s v="2024-08-26 19:39:16"/>
    <s v="2024-08-26 22:49:31"/>
    <s v="P2"/>
    <x v="2"/>
    <s v="Billing Operations"/>
    <s v="Anita Sharma"/>
    <s v="Closed"/>
    <n v="4"/>
    <n v="8"/>
    <n v="3.17"/>
    <n v="1"/>
  </r>
  <r>
    <s v="TCK-12323"/>
    <s v="2024-09-12 15:57:46"/>
    <s v="2024-09-14 06:50:09"/>
    <s v="P3"/>
    <x v="2"/>
    <s v="Infrastructure"/>
    <s v="Michael Scott"/>
    <s v="Closed"/>
    <n v="1"/>
    <n v="24"/>
    <n v="38.869999999999997"/>
    <n v="0"/>
  </r>
  <r>
    <s v="TCK-12324"/>
    <s v="2024-10-02 16:42:03"/>
    <s v="2024-10-02 21:36:16"/>
    <s v="P2"/>
    <x v="1"/>
    <s v="Infrastructure"/>
    <s v="Anita Sharma"/>
    <s v="Resolved"/>
    <n v="4"/>
    <n v="8"/>
    <n v="4.9000000000000004"/>
    <n v="1"/>
  </r>
  <r>
    <s v="TCK-12325"/>
    <s v="2024-08-24 05:56:47"/>
    <s v="2024-08-24 10:39:21"/>
    <s v="P2"/>
    <x v="0"/>
    <s v="Infrastructure"/>
    <s v="Michael Scott"/>
    <s v="Closed"/>
    <n v="4"/>
    <n v="8"/>
    <n v="4.71"/>
    <n v="1"/>
  </r>
  <r>
    <s v="TCK-12326"/>
    <s v="2024-06-08 12:42:40"/>
    <s v="2024-06-08 15:44:34"/>
    <s v="P2"/>
    <x v="2"/>
    <s v="Billing Operations"/>
    <s v="John Doe"/>
    <s v="Resolved"/>
    <n v="4"/>
    <n v="8"/>
    <n v="3.03"/>
    <n v="1"/>
  </r>
  <r>
    <s v="TCK-12327"/>
    <s v="2024-08-23 11:05:53"/>
    <s v="2024-08-24 05:13:01"/>
    <s v="P3"/>
    <x v="0"/>
    <s v="L2 Support"/>
    <s v="Anita Sharma"/>
    <s v="Closed"/>
    <n v="5"/>
    <n v="24"/>
    <n v="18.12"/>
    <n v="1"/>
  </r>
  <r>
    <s v="TCK-12328"/>
    <s v="2024-11-29 14:23:05"/>
    <m/>
    <s v="P4"/>
    <x v="1"/>
    <s v="L2 Support"/>
    <s v="Sarah Connor"/>
    <s v="Escalated"/>
    <m/>
    <n v="48"/>
    <m/>
    <m/>
  </r>
  <r>
    <s v="TCK-12329"/>
    <s v="2024-12-13 14:41:57"/>
    <s v="2024-12-16 03:32:45"/>
    <s v="P3"/>
    <x v="2"/>
    <s v="L1 Support"/>
    <s v="Priya Nair"/>
    <s v="Resolved"/>
    <n v="2"/>
    <n v="24"/>
    <n v="60.85"/>
    <n v="0"/>
  </r>
  <r>
    <s v="TCK-12330"/>
    <s v="2024-04-27 08:51:56"/>
    <s v="2024-04-28 04:47:01"/>
    <s v="P4"/>
    <x v="3"/>
    <s v="L2 Support"/>
    <s v="Michael Scott"/>
    <s v="Closed"/>
    <n v="4"/>
    <n v="48"/>
    <n v="19.920000000000002"/>
    <n v="1"/>
  </r>
  <r>
    <s v="TCK-12331"/>
    <s v="2024-08-15 18:14:07"/>
    <s v="2024-08-15 22:53:19"/>
    <s v="P2"/>
    <x v="0"/>
    <s v="L1 Support"/>
    <s v="Emily Watson"/>
    <s v="Resolved"/>
    <n v="5"/>
    <n v="8"/>
    <n v="4.6500000000000004"/>
    <n v="1"/>
  </r>
  <r>
    <s v="TCK-12332"/>
    <s v="2024-05-28 11:51:04"/>
    <s v="2024-05-31 03:29:21"/>
    <s v="P4"/>
    <x v="1"/>
    <s v="Billing Operations"/>
    <s v="Emily Watson"/>
    <s v="Closed"/>
    <n v="3"/>
    <n v="48"/>
    <n v="63.64"/>
    <n v="0"/>
  </r>
  <r>
    <s v="TCK-12333"/>
    <s v="2024-05-18 12:01:50"/>
    <s v="2024-05-18 15:30:22"/>
    <s v="P2"/>
    <x v="0"/>
    <s v="L2 Support"/>
    <s v="Priya Nair"/>
    <s v="Closed"/>
    <n v="4"/>
    <n v="8"/>
    <n v="3.48"/>
    <n v="1"/>
  </r>
  <r>
    <s v="TCK-12334"/>
    <s v="2024-10-01 21:31:11"/>
    <s v="2024-10-04 19:49:39"/>
    <s v="P3"/>
    <x v="1"/>
    <s v="Billing Operations"/>
    <s v="Pam Beesly"/>
    <s v="Closed"/>
    <n v="2"/>
    <n v="24"/>
    <n v="70.31"/>
    <n v="0"/>
  </r>
  <r>
    <s v="TCK-12335"/>
    <s v="2024-06-16 10:09:56"/>
    <s v="2024-06-17 19:45:46"/>
    <s v="P4"/>
    <x v="1"/>
    <s v="Billing Operations"/>
    <s v="Anita Sharma"/>
    <s v="Resolved"/>
    <n v="5"/>
    <n v="48"/>
    <n v="33.6"/>
    <n v="1"/>
  </r>
  <r>
    <s v="TCK-12336"/>
    <s v="2024-03-14 19:01:47"/>
    <s v="2024-03-14 23:30:56"/>
    <s v="P2"/>
    <x v="2"/>
    <s v="Application Support"/>
    <s v="Emily Watson"/>
    <s v="Resolved"/>
    <n v="4"/>
    <n v="8"/>
    <n v="4.49"/>
    <n v="1"/>
  </r>
  <r>
    <s v="TCK-12337"/>
    <s v="2024-12-10 00:57:56"/>
    <s v="2024-12-10 02:41:18"/>
    <s v="P2"/>
    <x v="0"/>
    <s v="L2 Support"/>
    <s v="Jim Halpert"/>
    <s v="Resolved"/>
    <n v="5"/>
    <n v="8"/>
    <n v="1.72"/>
    <n v="1"/>
  </r>
  <r>
    <s v="TCK-12338"/>
    <s v="2024-03-17 00:37:32"/>
    <s v="2024-03-17 03:28:26"/>
    <s v="P2"/>
    <x v="2"/>
    <s v="Infrastructure"/>
    <s v="Jim Halpert"/>
    <s v="Resolved"/>
    <n v="5"/>
    <n v="8"/>
    <n v="2.85"/>
    <n v="1"/>
  </r>
  <r>
    <s v="TCK-12339"/>
    <s v="2024-10-04 16:52:43"/>
    <s v="2024-10-05 11:25:28"/>
    <s v="P3"/>
    <x v="2"/>
    <s v="Application Support"/>
    <s v="Ravi Patel"/>
    <s v="Closed"/>
    <n v="5"/>
    <n v="24"/>
    <n v="18.55"/>
    <n v="1"/>
  </r>
  <r>
    <s v="TCK-12340"/>
    <s v="2024-09-10 04:55:33"/>
    <s v="2024-09-10 09:41:14"/>
    <s v="P2"/>
    <x v="1"/>
    <s v="L2 Support"/>
    <s v="Anita Sharma"/>
    <s v="Closed"/>
    <n v="3"/>
    <n v="8"/>
    <n v="4.76"/>
    <n v="1"/>
  </r>
  <r>
    <s v="TCK-12341"/>
    <s v="2024-12-10 11:14:45"/>
    <s v="2024-12-11 02:47:47"/>
    <s v="P4"/>
    <x v="1"/>
    <s v="Application Support"/>
    <s v="Dwight Schrute"/>
    <s v="Closed"/>
    <n v="5"/>
    <n v="48"/>
    <n v="15.55"/>
    <n v="1"/>
  </r>
  <r>
    <s v="TCK-12342"/>
    <s v="2024-04-27 15:45:29"/>
    <s v="2024-04-27 19:03:03"/>
    <s v="P2"/>
    <x v="2"/>
    <s v="L2 Support"/>
    <s v="Emily Watson"/>
    <s v="Resolved"/>
    <n v="3"/>
    <n v="8"/>
    <n v="3.29"/>
    <n v="1"/>
  </r>
  <r>
    <s v="TCK-12343"/>
    <s v="2024-03-04 05:49:42"/>
    <s v="2024-03-05 17:17:37"/>
    <s v="P4"/>
    <x v="3"/>
    <s v="Infrastructure"/>
    <s v="Jim Halpert"/>
    <s v="Resolved"/>
    <n v="5"/>
    <n v="48"/>
    <n v="35.47"/>
    <n v="1"/>
  </r>
  <r>
    <s v="TCK-12344"/>
    <s v="2024-10-20 02:46:47"/>
    <s v="2024-10-21 15:56:33"/>
    <s v="P4"/>
    <x v="1"/>
    <s v="L2 Support"/>
    <s v="John Doe"/>
    <s v="Resolved"/>
    <n v="3"/>
    <n v="48"/>
    <n v="37.159999999999997"/>
    <n v="1"/>
  </r>
  <r>
    <s v="TCK-12345"/>
    <s v="2024-01-07 15:23:01"/>
    <s v="2024-01-07 16:19:58"/>
    <s v="P2"/>
    <x v="2"/>
    <s v="L1 Support"/>
    <s v="Emily Watson"/>
    <s v="Resolved"/>
    <n v="4"/>
    <n v="8"/>
    <n v="0.95"/>
    <n v="1"/>
  </r>
  <r>
    <s v="TCK-12346"/>
    <s v="2024-06-07 21:33:08"/>
    <m/>
    <s v="P3"/>
    <x v="1"/>
    <s v="L1 Support"/>
    <s v="Carlos Mendez"/>
    <s v="Open"/>
    <m/>
    <n v="24"/>
    <m/>
    <m/>
  </r>
  <r>
    <s v="TCK-12347"/>
    <s v="2024-10-31 13:00:29"/>
    <s v="2024-11-01 01:10:01"/>
    <s v="P3"/>
    <x v="4"/>
    <s v="L1 Support"/>
    <s v="Dwight Schrute"/>
    <s v="Closed"/>
    <n v="5"/>
    <n v="24"/>
    <n v="12.16"/>
    <n v="1"/>
  </r>
  <r>
    <s v="TCK-12348"/>
    <s v="2024-10-18 22:55:49"/>
    <s v="2024-10-19 06:01:01"/>
    <s v="P4"/>
    <x v="2"/>
    <s v="L1 Support"/>
    <s v="John Doe"/>
    <s v="Resolved"/>
    <n v="5"/>
    <n v="48"/>
    <n v="7.09"/>
    <n v="1"/>
  </r>
  <r>
    <s v="TCK-12349"/>
    <s v="2024-03-08 12:51:51"/>
    <s v="2024-03-08 18:50:56"/>
    <s v="P4"/>
    <x v="0"/>
    <s v="Billing Operations"/>
    <s v="Michael Scott"/>
    <s v="Closed"/>
    <n v="4"/>
    <n v="48"/>
    <n v="5.98"/>
    <n v="1"/>
  </r>
  <r>
    <s v="TCK-12350"/>
    <s v="2024-12-22 19:26:46"/>
    <s v="2024-12-24 15:54:43"/>
    <s v="P4"/>
    <x v="1"/>
    <s v="L2 Support"/>
    <s v="Ravi Patel"/>
    <s v="Resolved"/>
    <n v="5"/>
    <n v="48"/>
    <n v="44.47"/>
    <n v="1"/>
  </r>
  <r>
    <s v="TCK-12351"/>
    <s v="2024-10-15 06:20:18"/>
    <s v="2024-10-15 12:04:18"/>
    <s v="P3"/>
    <x v="4"/>
    <s v="L1 Support"/>
    <s v="Sarah Connor"/>
    <s v="Resolved"/>
    <n v="5"/>
    <n v="24"/>
    <n v="5.73"/>
    <n v="1"/>
  </r>
  <r>
    <s v="TCK-12352"/>
    <s v="2024-04-23 23:55:12"/>
    <s v="2024-04-24 09:16:20"/>
    <s v="P1"/>
    <x v="4"/>
    <s v="Application Support"/>
    <s v="Priya Nair"/>
    <s v="Resolved"/>
    <n v="2"/>
    <n v="4"/>
    <n v="9.35"/>
    <n v="0"/>
  </r>
  <r>
    <s v="TCK-12353"/>
    <s v="2024-10-10 16:48:21"/>
    <s v="2024-10-11 12:01:57"/>
    <s v="P3"/>
    <x v="1"/>
    <s v="Application Support"/>
    <s v="Carlos Mendez"/>
    <s v="Closed"/>
    <n v="4"/>
    <n v="24"/>
    <n v="19.23"/>
    <n v="1"/>
  </r>
  <r>
    <s v="TCK-12354"/>
    <s v="2024-08-30 00:14:35"/>
    <s v="2024-08-30 13:41:31"/>
    <s v="P3"/>
    <x v="3"/>
    <s v="L2 Support"/>
    <s v="Michael Scott"/>
    <s v="Resolved"/>
    <n v="5"/>
    <n v="24"/>
    <n v="13.45"/>
    <n v="1"/>
  </r>
  <r>
    <s v="TCK-12355"/>
    <s v="2024-12-23 19:39:54"/>
    <s v="2024-12-24 17:03:36"/>
    <s v="P3"/>
    <x v="0"/>
    <s v="Application Support"/>
    <s v="Carlos Mendez"/>
    <s v="Resolved"/>
    <n v="4"/>
    <n v="24"/>
    <n v="21.4"/>
    <n v="1"/>
  </r>
  <r>
    <s v="TCK-12356"/>
    <s v="2024-05-03 07:27:55"/>
    <s v="2024-05-03 20:45:15"/>
    <s v="P3"/>
    <x v="0"/>
    <s v="Billing Operations"/>
    <s v="Priya Nair"/>
    <s v="Resolved"/>
    <n v="5"/>
    <n v="24"/>
    <n v="13.29"/>
    <n v="1"/>
  </r>
  <r>
    <s v="TCK-12357"/>
    <s v="2024-12-21 15:05:43"/>
    <s v="2024-12-22 05:11:33"/>
    <s v="P3"/>
    <x v="0"/>
    <s v="L2 Support"/>
    <s v="Dwight Schrute"/>
    <s v="Resolved"/>
    <n v="5"/>
    <n v="24"/>
    <n v="14.1"/>
    <n v="1"/>
  </r>
  <r>
    <s v="TCK-12358"/>
    <s v="2024-11-04 20:36:59"/>
    <s v="2024-11-05 00:54:29"/>
    <s v="P2"/>
    <x v="4"/>
    <s v="L1 Support"/>
    <s v="Alex Mercer"/>
    <s v="Resolved"/>
    <n v="4"/>
    <n v="8"/>
    <n v="4.29"/>
    <n v="1"/>
  </r>
  <r>
    <s v="TCK-12359"/>
    <s v="2024-05-14 23:03:52"/>
    <s v="2024-05-20 13:35:34"/>
    <s v="P4"/>
    <x v="3"/>
    <s v="Billing Operations"/>
    <s v="Alex Mercer"/>
    <s v="Closed"/>
    <n v="2"/>
    <n v="48"/>
    <n v="134.53"/>
    <n v="0"/>
  </r>
  <r>
    <s v="TCK-12360"/>
    <s v="2024-01-20 13:13:19"/>
    <m/>
    <s v="P4"/>
    <x v="2"/>
    <s v="L1 Support"/>
    <s v="Carlos Mendez"/>
    <s v="Open"/>
    <m/>
    <n v="48"/>
    <m/>
    <m/>
  </r>
  <r>
    <s v="TCK-12361"/>
    <s v="2024-08-20 16:13:36"/>
    <s v="2024-08-20 21:05:39"/>
    <s v="P2"/>
    <x v="1"/>
    <s v="Billing Operations"/>
    <s v="Anita Sharma"/>
    <s v="Resolved"/>
    <n v="5"/>
    <n v="8"/>
    <n v="4.87"/>
    <n v="1"/>
  </r>
  <r>
    <s v="TCK-12362"/>
    <s v="2024-12-14 20:22:23"/>
    <s v="2024-12-15 06:41:03"/>
    <s v="P3"/>
    <x v="2"/>
    <s v="L2 Support"/>
    <s v="John Doe"/>
    <s v="Resolved"/>
    <n v="4"/>
    <n v="24"/>
    <n v="10.31"/>
    <n v="1"/>
  </r>
  <r>
    <s v="TCK-12363"/>
    <s v="2024-03-26 21:27:25"/>
    <s v="2024-03-27 02:09:42"/>
    <s v="P3"/>
    <x v="1"/>
    <s v="L1 Support"/>
    <s v="Pam Beesly"/>
    <s v="Closed"/>
    <n v="4"/>
    <n v="24"/>
    <n v="4.7"/>
    <n v="1"/>
  </r>
  <r>
    <s v="TCK-12364"/>
    <s v="2024-09-21 01:55:27"/>
    <s v="2024-09-22 00:30:03"/>
    <s v="P2"/>
    <x v="0"/>
    <s v="Billing Operations"/>
    <s v="Carlos Mendez"/>
    <s v="Resolved"/>
    <n v="3"/>
    <n v="8"/>
    <n v="22.58"/>
    <n v="0"/>
  </r>
  <r>
    <s v="TCK-12365"/>
    <s v="2024-01-01 22:03:10"/>
    <s v="2024-01-02 18:54:41"/>
    <s v="P3"/>
    <x v="0"/>
    <s v="L2 Support"/>
    <s v="Michael Scott"/>
    <s v="Resolved"/>
    <n v="3"/>
    <n v="24"/>
    <n v="20.86"/>
    <n v="1"/>
  </r>
  <r>
    <s v="TCK-12366"/>
    <s v="2024-07-14 08:52:28"/>
    <m/>
    <s v="P4"/>
    <x v="2"/>
    <s v="Billing Operations"/>
    <s v="Anita Sharma"/>
    <s v="Open"/>
    <m/>
    <n v="48"/>
    <m/>
    <m/>
  </r>
  <r>
    <s v="TCK-12367"/>
    <s v="2024-01-05 21:27:28"/>
    <s v="2024-01-06 00:49:29"/>
    <s v="P2"/>
    <x v="1"/>
    <s v="L2 Support"/>
    <s v="Alex Mercer"/>
    <s v="Closed"/>
    <n v="5"/>
    <n v="8"/>
    <n v="3.37"/>
    <n v="1"/>
  </r>
  <r>
    <s v="TCK-12368"/>
    <s v="2024-05-16 00:16:45"/>
    <s v="2024-05-16 01:33:15"/>
    <s v="P1"/>
    <x v="0"/>
    <s v="Infrastructure"/>
    <s v="Emily Watson"/>
    <s v="Closed"/>
    <n v="5"/>
    <n v="4"/>
    <n v="1.27"/>
    <n v="1"/>
  </r>
  <r>
    <s v="TCK-12369"/>
    <s v="2024-03-11 21:11:15"/>
    <m/>
    <s v="P3"/>
    <x v="3"/>
    <s v="L2 Support"/>
    <s v="John Doe"/>
    <s v="Open"/>
    <m/>
    <n v="24"/>
    <m/>
    <m/>
  </r>
  <r>
    <s v="TCK-12370"/>
    <s v="2024-08-20 11:16:19"/>
    <s v="2024-08-20 20:10:39"/>
    <s v="P3"/>
    <x v="2"/>
    <s v="Infrastructure"/>
    <s v="John Doe"/>
    <s v="Resolved"/>
    <n v="4"/>
    <n v="24"/>
    <n v="8.91"/>
    <n v="1"/>
  </r>
  <r>
    <s v="TCK-12371"/>
    <s v="2024-12-20 12:54:30"/>
    <s v="2024-12-20 17:00:58"/>
    <s v="P3"/>
    <x v="0"/>
    <s v="Application Support"/>
    <s v="Sarah Connor"/>
    <s v="Closed"/>
    <n v="5"/>
    <n v="24"/>
    <n v="4.1100000000000003"/>
    <n v="1"/>
  </r>
  <r>
    <s v="TCK-12372"/>
    <s v="2024-02-22 07:18:15"/>
    <s v="2024-02-22 08:48:03"/>
    <s v="P1"/>
    <x v="2"/>
    <s v="L2 Support"/>
    <s v="John Doe"/>
    <s v="Closed"/>
    <n v="5"/>
    <n v="4"/>
    <n v="1.5"/>
    <n v="1"/>
  </r>
  <r>
    <s v="TCK-12373"/>
    <s v="2024-12-27 02:19:15"/>
    <s v="2024-12-27 19:01:26"/>
    <s v="P3"/>
    <x v="2"/>
    <s v="L2 Support"/>
    <s v="Anita Sharma"/>
    <s v="Resolved"/>
    <n v="4"/>
    <n v="24"/>
    <n v="16.7"/>
    <n v="1"/>
  </r>
  <r>
    <s v="TCK-12374"/>
    <s v="2024-06-18 14:48:16"/>
    <s v="2024-06-19 10:28:43"/>
    <s v="P2"/>
    <x v="3"/>
    <s v="L2 Support"/>
    <s v="Carlos Mendez"/>
    <s v="Resolved"/>
    <n v="2"/>
    <n v="8"/>
    <n v="19.670000000000002"/>
    <n v="0"/>
  </r>
  <r>
    <s v="TCK-12375"/>
    <s v="2024-03-11 04:39:12"/>
    <s v="2024-03-11 07:15:02"/>
    <s v="P1"/>
    <x v="1"/>
    <s v="Infrastructure"/>
    <s v="Carlos Mendez"/>
    <s v="Resolved"/>
    <n v="5"/>
    <n v="4"/>
    <n v="2.6"/>
    <n v="1"/>
  </r>
  <r>
    <s v="TCK-12376"/>
    <s v="2024-02-08 01:00:02"/>
    <s v="2024-02-08 10:04:51"/>
    <s v="P2"/>
    <x v="0"/>
    <s v="L2 Support"/>
    <s v="Carlos Mendez"/>
    <s v="Resolved"/>
    <n v="2"/>
    <n v="8"/>
    <n v="9.08"/>
    <n v="0"/>
  </r>
  <r>
    <s v="TCK-12377"/>
    <s v="2024-11-27 02:07:04"/>
    <s v="2024-11-28 17:37:05"/>
    <s v="P4"/>
    <x v="0"/>
    <s v="L2 Support"/>
    <s v="Sarah Connor"/>
    <s v="Closed"/>
    <n v="3"/>
    <n v="48"/>
    <n v="39.5"/>
    <n v="1"/>
  </r>
  <r>
    <s v="TCK-12378"/>
    <s v="2024-11-18 05:18:30"/>
    <s v="2024-11-19 00:48:12"/>
    <s v="P2"/>
    <x v="4"/>
    <s v="Infrastructure"/>
    <s v="Ravi Patel"/>
    <s v="Closed"/>
    <n v="2"/>
    <n v="8"/>
    <n v="19.5"/>
    <n v="0"/>
  </r>
  <r>
    <s v="TCK-12379"/>
    <s v="2024-12-04 02:28:22"/>
    <s v="2024-12-04 20:26:59"/>
    <s v="P3"/>
    <x v="2"/>
    <s v="Application Support"/>
    <s v="Jim Halpert"/>
    <s v="Resolved"/>
    <n v="4"/>
    <n v="24"/>
    <n v="17.98"/>
    <n v="1"/>
  </r>
  <r>
    <s v="TCK-12380"/>
    <s v="2024-05-07 05:13:10"/>
    <m/>
    <s v="P2"/>
    <x v="2"/>
    <s v="Application Support"/>
    <s v="Michael Scott"/>
    <s v="Escalated"/>
    <m/>
    <n v="8"/>
    <m/>
    <m/>
  </r>
  <r>
    <s v="TCK-12381"/>
    <s v="2024-10-18 15:13:14"/>
    <s v="2024-10-18 22:19:53"/>
    <s v="P2"/>
    <x v="0"/>
    <s v="L1 Support"/>
    <s v="Alex Mercer"/>
    <s v="Closed"/>
    <n v="5"/>
    <n v="8"/>
    <n v="7.11"/>
    <n v="1"/>
  </r>
  <r>
    <s v="TCK-12382"/>
    <s v="2024-07-12 16:05:36"/>
    <s v="2024-07-13 14:04:20"/>
    <s v="P3"/>
    <x v="2"/>
    <s v="L2 Support"/>
    <s v="Pam Beesly"/>
    <s v="Resolved"/>
    <n v="5"/>
    <n v="24"/>
    <n v="21.98"/>
    <n v="1"/>
  </r>
  <r>
    <s v="TCK-12383"/>
    <s v="2024-04-19 18:16:37"/>
    <s v="2024-04-20 04:21:08"/>
    <s v="P4"/>
    <x v="2"/>
    <s v="Infrastructure"/>
    <s v="Priya Nair"/>
    <s v="Resolved"/>
    <n v="4"/>
    <n v="48"/>
    <n v="10.08"/>
    <n v="1"/>
  </r>
  <r>
    <s v="TCK-12384"/>
    <s v="2024-03-11 08:26:55"/>
    <s v="2024-03-11 09:21:53"/>
    <s v="P2"/>
    <x v="1"/>
    <s v="Application Support"/>
    <s v="John Doe"/>
    <s v="Resolved"/>
    <n v="5"/>
    <n v="8"/>
    <n v="0.92"/>
    <n v="1"/>
  </r>
  <r>
    <s v="TCK-12385"/>
    <s v="2024-01-18 23:49:51"/>
    <s v="2024-01-19 05:36:48"/>
    <s v="P2"/>
    <x v="3"/>
    <s v="Billing Operations"/>
    <s v="Emily Watson"/>
    <s v="Closed"/>
    <n v="5"/>
    <n v="8"/>
    <n v="5.78"/>
    <n v="1"/>
  </r>
  <r>
    <s v="TCK-12386"/>
    <s v="2024-12-22 11:24:01"/>
    <s v="2024-12-22 22:27:35"/>
    <s v="P4"/>
    <x v="0"/>
    <s v="L1 Support"/>
    <s v="Sarah Connor"/>
    <s v="Resolved"/>
    <n v="5"/>
    <n v="48"/>
    <n v="11.06"/>
    <n v="1"/>
  </r>
  <r>
    <s v="TCK-12387"/>
    <s v="2024-08-16 17:44:44"/>
    <s v="2024-08-16 23:25:39"/>
    <s v="P3"/>
    <x v="4"/>
    <s v="Infrastructure"/>
    <s v="Anita Sharma"/>
    <s v="Closed"/>
    <n v="5"/>
    <n v="24"/>
    <n v="5.68"/>
    <n v="1"/>
  </r>
  <r>
    <s v="TCK-12388"/>
    <s v="2024-02-13 09:36:13"/>
    <s v="2024-02-14 02:02:33"/>
    <s v="P3"/>
    <x v="1"/>
    <s v="L2 Support"/>
    <s v="Jim Halpert"/>
    <s v="Resolved"/>
    <n v="4"/>
    <n v="24"/>
    <n v="16.440000000000001"/>
    <n v="1"/>
  </r>
  <r>
    <s v="TCK-12389"/>
    <s v="2024-01-02 03:51:42"/>
    <s v="2024-01-02 06:06:40"/>
    <s v="P1"/>
    <x v="2"/>
    <s v="L2 Support"/>
    <s v="Priya Nair"/>
    <s v="Resolved"/>
    <n v="4"/>
    <n v="4"/>
    <n v="2.25"/>
    <n v="1"/>
  </r>
  <r>
    <s v="TCK-12390"/>
    <s v="2024-02-07 18:09:04"/>
    <s v="2024-02-08 05:21:51"/>
    <s v="P1"/>
    <x v="3"/>
    <s v="Infrastructure"/>
    <s v="John Doe"/>
    <s v="Resolved"/>
    <n v="2"/>
    <n v="4"/>
    <n v="11.21"/>
    <n v="0"/>
  </r>
  <r>
    <s v="TCK-12391"/>
    <s v="2024-01-02 01:48:42"/>
    <s v="2024-01-03 09:32:20"/>
    <s v="P4"/>
    <x v="3"/>
    <s v="L2 Support"/>
    <s v="Jim Halpert"/>
    <s v="Closed"/>
    <n v="5"/>
    <n v="48"/>
    <n v="31.73"/>
    <n v="1"/>
  </r>
  <r>
    <s v="TCK-12392"/>
    <s v="2024-08-25 19:15:50"/>
    <s v="2024-08-26 05:21:46"/>
    <s v="P1"/>
    <x v="2"/>
    <s v="Billing Operations"/>
    <s v="Priya Nair"/>
    <s v="Resolved"/>
    <n v="4"/>
    <n v="4"/>
    <n v="10.1"/>
    <n v="0"/>
  </r>
  <r>
    <s v="TCK-12393"/>
    <s v="2024-11-29 11:13:29"/>
    <s v="2024-11-29 17:23:38"/>
    <s v="P2"/>
    <x v="0"/>
    <s v="L2 Support"/>
    <s v="Ravi Patel"/>
    <s v="Closed"/>
    <n v="5"/>
    <n v="8"/>
    <n v="6.17"/>
    <n v="1"/>
  </r>
  <r>
    <s v="TCK-12394"/>
    <s v="2024-03-24 15:11:35"/>
    <s v="2024-04-28 10:11:35"/>
    <s v="P4"/>
    <x v="2"/>
    <s v="L1 Support"/>
    <s v="Ravi Patel"/>
    <s v="Resolved"/>
    <n v="5"/>
    <n v="48"/>
    <n v="835"/>
    <n v="0"/>
  </r>
  <r>
    <s v="TCK-12395"/>
    <s v="2024-11-11 10:05:58"/>
    <s v="2024-11-11 23:45:47"/>
    <s v="P3"/>
    <x v="0"/>
    <s v="L2 Support"/>
    <s v="Jim Halpert"/>
    <s v="Resolved"/>
    <n v="5"/>
    <n v="24"/>
    <n v="13.66"/>
    <n v="1"/>
  </r>
  <r>
    <s v="TCK-12396"/>
    <s v="2024-02-12 12:47:10"/>
    <s v="2024-02-12 16:14:46"/>
    <s v="P1"/>
    <x v="1"/>
    <s v="L2 Support"/>
    <s v="Carlos Mendez"/>
    <s v="Resolved"/>
    <n v="5"/>
    <n v="4"/>
    <n v="3.46"/>
    <n v="1"/>
  </r>
  <r>
    <s v="TCK-12397"/>
    <s v="2024-02-29 12:02:50"/>
    <m/>
    <s v="P1"/>
    <x v="2"/>
    <s v="Billing Operations"/>
    <s v="Priya Nair"/>
    <s v="Escalated"/>
    <m/>
    <n v="4"/>
    <m/>
    <m/>
  </r>
  <r>
    <s v="TCK-12398"/>
    <s v="2024-05-15 23:58:09"/>
    <s v="2024-05-16 18:02:38"/>
    <s v="P4"/>
    <x v="2"/>
    <s v="Billing Operations"/>
    <s v="Priya Nair"/>
    <s v="Closed"/>
    <n v="5"/>
    <n v="48"/>
    <n v="18.07"/>
    <n v="1"/>
  </r>
  <r>
    <s v="TCK-12399"/>
    <s v="2024-10-13 06:39:24"/>
    <s v="2024-10-14 04:41:39"/>
    <s v="P4"/>
    <x v="1"/>
    <s v="Application Support"/>
    <s v="Dwight Schrute"/>
    <s v="Resolved"/>
    <n v="5"/>
    <n v="48"/>
    <n v="22.04"/>
    <n v="1"/>
  </r>
  <r>
    <s v="TCK-12400"/>
    <s v="2024-05-24 02:49:53"/>
    <s v="2024-05-24 18:30:01"/>
    <s v="P4"/>
    <x v="1"/>
    <s v="Billing Operations"/>
    <s v="Ravi Patel"/>
    <s v="Resolved"/>
    <n v="5"/>
    <n v="48"/>
    <n v="15.67"/>
    <n v="1"/>
  </r>
  <r>
    <s v="TCK-12401"/>
    <s v="2024-08-29 13:43:23"/>
    <s v="2024-08-29 15:16:32"/>
    <s v="P2"/>
    <x v="3"/>
    <s v="Application Support"/>
    <s v="Sarah Connor"/>
    <s v="Resolved"/>
    <n v="5"/>
    <n v="8"/>
    <n v="1.55"/>
    <n v="1"/>
  </r>
  <r>
    <s v="TCK-12402"/>
    <s v="2024-06-12 01:21:21"/>
    <s v="2024-06-12 13:54:15"/>
    <s v="P3"/>
    <x v="2"/>
    <s v="L2 Support"/>
    <s v="Ravi Patel"/>
    <s v="Closed"/>
    <n v="5"/>
    <n v="24"/>
    <n v="12.55"/>
    <n v="1"/>
  </r>
  <r>
    <s v="TCK-12403"/>
    <s v="2024-01-07 19:03:41"/>
    <s v="2024-01-09 14:45:27"/>
    <s v="P4"/>
    <x v="0"/>
    <s v="L2 Support"/>
    <s v="Priya Nair"/>
    <s v="Resolved"/>
    <n v="4"/>
    <n v="48"/>
    <n v="43.7"/>
    <n v="1"/>
  </r>
  <r>
    <s v="TCK-12404"/>
    <s v="2024-05-29 15:32:26"/>
    <s v="2024-05-30 03:05:03"/>
    <s v="P3"/>
    <x v="3"/>
    <s v="Infrastructure"/>
    <s v="Anita Sharma"/>
    <s v="Closed"/>
    <n v="4"/>
    <n v="24"/>
    <n v="11.54"/>
    <n v="1"/>
  </r>
  <r>
    <s v="TCK-12405"/>
    <s v="2024-07-16 07:43:27"/>
    <s v="2024-07-16 23:48:57"/>
    <s v="P3"/>
    <x v="0"/>
    <s v="L2 Support"/>
    <s v="Pam Beesly"/>
    <s v="Resolved"/>
    <n v="5"/>
    <n v="24"/>
    <n v="16.09"/>
    <n v="1"/>
  </r>
  <r>
    <s v="TCK-12406"/>
    <s v="2024-01-04 20:11:19"/>
    <s v="2024-01-05 04:03:29"/>
    <s v="P3"/>
    <x v="0"/>
    <s v="L2 Support"/>
    <s v="Anita Sharma"/>
    <s v="Closed"/>
    <n v="4"/>
    <n v="24"/>
    <n v="7.87"/>
    <n v="1"/>
  </r>
  <r>
    <s v="TCK-12407"/>
    <s v="2024-10-24 08:45:09"/>
    <s v="2024-10-24 19:14:17"/>
    <s v="P3"/>
    <x v="2"/>
    <s v="Infrastructure"/>
    <s v="Sarah Connor"/>
    <s v="Closed"/>
    <n v="3"/>
    <n v="24"/>
    <n v="10.49"/>
    <n v="1"/>
  </r>
  <r>
    <s v="TCK-12408"/>
    <s v="2024-01-02 19:51:31"/>
    <s v="2024-01-03 05:26:17"/>
    <s v="P3"/>
    <x v="3"/>
    <s v="Infrastructure"/>
    <s v="Carlos Mendez"/>
    <s v="Closed"/>
    <n v="5"/>
    <n v="24"/>
    <n v="9.58"/>
    <n v="1"/>
  </r>
  <r>
    <s v="TCK-12409"/>
    <s v="2024-08-10 01:54:21"/>
    <s v="2024-08-10 08:27:55"/>
    <s v="P2"/>
    <x v="2"/>
    <s v="Billing Operations"/>
    <s v="Emily Watson"/>
    <s v="Closed"/>
    <n v="4"/>
    <n v="8"/>
    <n v="6.56"/>
    <n v="1"/>
  </r>
  <r>
    <s v="TCK-12410"/>
    <s v="2024-06-28 18:33:21"/>
    <s v="2024-06-28 23:18:36"/>
    <s v="P2"/>
    <x v="0"/>
    <s v="Billing Operations"/>
    <s v="Carlos Mendez"/>
    <s v="Resolved"/>
    <n v="5"/>
    <n v="8"/>
    <n v="4.75"/>
    <n v="1"/>
  </r>
  <r>
    <s v="TCK-12411"/>
    <s v="2024-02-11 19:36:51"/>
    <s v="2024-02-12 00:49:01"/>
    <s v="P4"/>
    <x v="2"/>
    <s v="Billing Operations"/>
    <s v="Ravi Patel"/>
    <s v="Resolved"/>
    <n v="5"/>
    <n v="48"/>
    <n v="5.2"/>
    <n v="1"/>
  </r>
  <r>
    <s v="TCK-12412"/>
    <s v="2024-09-14 18:30:06"/>
    <m/>
    <s v="P3"/>
    <x v="0"/>
    <s v="L1 Support"/>
    <s v="Pam Beesly"/>
    <s v="Escalated"/>
    <m/>
    <n v="24"/>
    <m/>
    <m/>
  </r>
  <r>
    <s v="TCK-12413"/>
    <s v="2024-02-16 06:20:01"/>
    <s v="2024-02-17 03:19:09"/>
    <s v="P4"/>
    <x v="4"/>
    <s v="L2 Support"/>
    <s v="Jim Halpert"/>
    <s v="Resolved"/>
    <n v="4"/>
    <n v="48"/>
    <n v="20.99"/>
    <n v="1"/>
  </r>
  <r>
    <s v="TCK-12414"/>
    <s v="2024-08-22 01:27:20"/>
    <s v="2024-08-23 13:27:20"/>
    <s v="P4"/>
    <x v="2"/>
    <s v="Billing Operations"/>
    <s v="John Doe"/>
    <s v="Resolved"/>
    <n v="1"/>
    <n v="48"/>
    <n v="36"/>
    <n v="1"/>
  </r>
  <r>
    <s v="TCK-12415"/>
    <s v="2024-03-27 07:57:57"/>
    <s v="2024-03-27 08:30:20"/>
    <s v="P1"/>
    <x v="0"/>
    <s v="Billing Operations"/>
    <s v="Ravi Patel"/>
    <s v="Resolved"/>
    <n v="4"/>
    <n v="4"/>
    <n v="0.54"/>
    <n v="1"/>
  </r>
  <r>
    <s v="TCK-12416"/>
    <s v="2024-09-16 06:37:42"/>
    <s v="2024-09-17 22:17:47"/>
    <s v="P4"/>
    <x v="3"/>
    <s v="Billing Operations"/>
    <s v="Anita Sharma"/>
    <s v="Closed"/>
    <n v="5"/>
    <n v="48"/>
    <n v="39.67"/>
    <n v="1"/>
  </r>
  <r>
    <s v="TCK-12417"/>
    <s v="2024-08-03 05:25:48"/>
    <s v="2024-08-04 02:07:39"/>
    <s v="P2"/>
    <x v="4"/>
    <s v="L2 Support"/>
    <s v="Alex Mercer"/>
    <s v="Resolved"/>
    <n v="4"/>
    <n v="8"/>
    <n v="20.7"/>
    <n v="0"/>
  </r>
  <r>
    <s v="TCK-12418"/>
    <s v="2024-01-19 16:20:22"/>
    <s v="2024-01-19 17:05:08"/>
    <s v="P1"/>
    <x v="3"/>
    <s v="Infrastructure"/>
    <s v="Priya Nair"/>
    <s v="Resolved"/>
    <n v="5"/>
    <n v="4"/>
    <n v="0.75"/>
    <n v="1"/>
  </r>
  <r>
    <s v="TCK-12419"/>
    <s v="2024-10-29 16:39:06"/>
    <s v="2024-10-30 00:22:38"/>
    <s v="P3"/>
    <x v="3"/>
    <s v="L1 Support"/>
    <s v="Pam Beesly"/>
    <s v="Resolved"/>
    <n v="5"/>
    <n v="24"/>
    <n v="7.73"/>
    <n v="1"/>
  </r>
  <r>
    <s v="TCK-12420"/>
    <s v="2024-11-16 21:55:10"/>
    <s v="2024-11-17 15:50:50"/>
    <s v="P3"/>
    <x v="2"/>
    <s v="Infrastructure"/>
    <s v="Jim Halpert"/>
    <s v="Resolved"/>
    <n v="5"/>
    <n v="24"/>
    <n v="17.93"/>
    <n v="1"/>
  </r>
  <r>
    <s v="TCK-12421"/>
    <s v="2024-12-20 14:56:14"/>
    <s v="2024-12-20 15:27:21"/>
    <s v="P1"/>
    <x v="1"/>
    <s v="Application Support"/>
    <s v="John Doe"/>
    <s v="Resolved"/>
    <n v="4"/>
    <n v="4"/>
    <n v="0.52"/>
    <n v="1"/>
  </r>
  <r>
    <s v="TCK-12422"/>
    <s v="2024-10-18 15:37:38"/>
    <s v="2024-10-19 04:45:15"/>
    <s v="P2"/>
    <x v="2"/>
    <s v="L1 Support"/>
    <s v="Alex Mercer"/>
    <s v="Resolved"/>
    <n v="4"/>
    <n v="8"/>
    <n v="13.13"/>
    <n v="0"/>
  </r>
  <r>
    <s v="TCK-12423"/>
    <s v="2024-02-21 09:55:03"/>
    <s v="2024-02-21 20:55:30"/>
    <s v="P3"/>
    <x v="4"/>
    <s v="Application Support"/>
    <s v="Dwight Schrute"/>
    <s v="Resolved"/>
    <n v="5"/>
    <n v="24"/>
    <n v="11.01"/>
    <n v="1"/>
  </r>
  <r>
    <s v="TCK-12424"/>
    <s v="2024-06-05 00:22:20"/>
    <s v="2024-06-05 10:18:53"/>
    <s v="P4"/>
    <x v="2"/>
    <s v="Infrastructure"/>
    <s v="Alex Mercer"/>
    <s v="Resolved"/>
    <n v="4"/>
    <n v="48"/>
    <n v="9.94"/>
    <n v="1"/>
  </r>
  <r>
    <s v="TCK-12425"/>
    <s v="2024-05-14 00:06:40"/>
    <s v="2024-05-14 06:08:51"/>
    <s v="P3"/>
    <x v="2"/>
    <s v="Application Support"/>
    <s v="John Doe"/>
    <s v="Resolved"/>
    <n v="5"/>
    <n v="24"/>
    <n v="6.04"/>
    <n v="1"/>
  </r>
  <r>
    <s v="TCK-12426"/>
    <s v="2024-03-11 13:10:42"/>
    <m/>
    <s v="P2"/>
    <x v="1"/>
    <s v="L2 Support"/>
    <s v="Emily Watson"/>
    <s v="Open"/>
    <m/>
    <n v="8"/>
    <m/>
    <m/>
  </r>
  <r>
    <s v="TCK-12427"/>
    <s v="2024-09-08 19:17:21"/>
    <s v="2024-09-09 05:37:14"/>
    <s v="P3"/>
    <x v="2"/>
    <s v="L1 Support"/>
    <s v="Michael Scott"/>
    <s v="Resolved"/>
    <n v="5"/>
    <n v="24"/>
    <n v="10.33"/>
    <n v="1"/>
  </r>
  <r>
    <s v="TCK-12428"/>
    <s v="2024-09-23 06:11:10"/>
    <s v="2024-09-24 01:53:14"/>
    <s v="P3"/>
    <x v="2"/>
    <s v="L2 Support"/>
    <s v="Anita Sharma"/>
    <s v="Resolved"/>
    <n v="5"/>
    <n v="24"/>
    <n v="19.7"/>
    <n v="1"/>
  </r>
  <r>
    <s v="TCK-12429"/>
    <s v="2024-07-26 20:45:35"/>
    <s v="2024-07-26 23:02:35"/>
    <s v="P2"/>
    <x v="1"/>
    <s v="L1 Support"/>
    <s v="John Doe"/>
    <s v="Resolved"/>
    <n v="4"/>
    <n v="8"/>
    <n v="2.2799999999999998"/>
    <n v="1"/>
  </r>
  <r>
    <s v="TCK-12430"/>
    <s v="2024-11-18 05:54:10"/>
    <s v="2024-11-18 18:14:38"/>
    <s v="P4"/>
    <x v="3"/>
    <s v="L1 Support"/>
    <s v="Priya Nair"/>
    <s v="Resolved"/>
    <n v="3"/>
    <n v="48"/>
    <n v="12.34"/>
    <n v="1"/>
  </r>
  <r>
    <s v="TCK-12431"/>
    <s v="2024-12-03 18:56:09"/>
    <m/>
    <s v="P1"/>
    <x v="0"/>
    <s v="Application Support"/>
    <s v="Emily Watson"/>
    <s v="Open"/>
    <m/>
    <n v="4"/>
    <m/>
    <m/>
  </r>
  <r>
    <s v="TCK-12432"/>
    <s v="2024-09-05 22:05:40"/>
    <s v="2024-09-06 03:15:49"/>
    <s v="P2"/>
    <x v="4"/>
    <s v="Application Support"/>
    <s v="John Doe"/>
    <s v="Resolved"/>
    <n v="5"/>
    <n v="8"/>
    <n v="5.17"/>
    <n v="1"/>
  </r>
  <r>
    <s v="TCK-12433"/>
    <s v="2024-08-28 03:22:55"/>
    <s v="2024-08-28 08:43:42"/>
    <s v="P2"/>
    <x v="2"/>
    <s v="Infrastructure"/>
    <s v="Ravi Patel"/>
    <s v="Resolved"/>
    <n v="4"/>
    <n v="8"/>
    <n v="5.35"/>
    <n v="1"/>
  </r>
  <r>
    <s v="TCK-12434"/>
    <s v="2024-11-23 05:11:43"/>
    <s v="2024-11-23 18:42:26"/>
    <s v="P2"/>
    <x v="0"/>
    <s v="Infrastructure"/>
    <s v="Sarah Connor"/>
    <s v="Resolved"/>
    <n v="2"/>
    <n v="8"/>
    <n v="13.51"/>
    <n v="0"/>
  </r>
  <r>
    <s v="TCK-12435"/>
    <s v="2024-02-02 23:14:52"/>
    <s v="2024-02-03 07:56:29"/>
    <s v="P3"/>
    <x v="1"/>
    <s v="L1 Support"/>
    <s v="Ravi Patel"/>
    <s v="Closed"/>
    <n v="3"/>
    <n v="24"/>
    <n v="8.69"/>
    <n v="1"/>
  </r>
  <r>
    <s v="TCK-12436"/>
    <s v="2024-06-23 09:52:13"/>
    <s v="2024-06-23 15:08:58"/>
    <s v="P3"/>
    <x v="2"/>
    <s v="L2 Support"/>
    <s v="Pam Beesly"/>
    <s v="Closed"/>
    <n v="4"/>
    <n v="24"/>
    <n v="5.28"/>
    <n v="1"/>
  </r>
  <r>
    <s v="TCK-12437"/>
    <s v="2024-07-24 17:55:57"/>
    <s v="2024-07-26 00:42:20"/>
    <s v="P3"/>
    <x v="0"/>
    <s v="Infrastructure"/>
    <s v="Sarah Connor"/>
    <s v="Closed"/>
    <n v="2"/>
    <n v="24"/>
    <n v="30.77"/>
    <n v="0"/>
  </r>
  <r>
    <s v="TCK-12438"/>
    <s v="2024-09-30 02:10:11"/>
    <s v="2024-10-02 23:35:12"/>
    <s v="P4"/>
    <x v="3"/>
    <s v="L2 Support"/>
    <s v="Michael Scott"/>
    <s v="Resolved"/>
    <n v="2"/>
    <n v="48"/>
    <n v="69.42"/>
    <n v="0"/>
  </r>
  <r>
    <s v="TCK-12439"/>
    <s v="2024-07-08 23:34:08"/>
    <s v="2024-07-09 19:47:43"/>
    <s v="P3"/>
    <x v="1"/>
    <s v="L2 Support"/>
    <s v="Sarah Connor"/>
    <s v="Resolved"/>
    <n v="3"/>
    <n v="24"/>
    <n v="20.23"/>
    <n v="1"/>
  </r>
  <r>
    <s v="TCK-12440"/>
    <s v="2024-03-19 09:49:17"/>
    <m/>
    <s v="P2"/>
    <x v="3"/>
    <s v="Billing Operations"/>
    <s v="John Doe"/>
    <s v="Open"/>
    <m/>
    <n v="8"/>
    <m/>
    <m/>
  </r>
  <r>
    <s v="TCK-12441"/>
    <s v="2024-03-09 07:53:16"/>
    <s v="2024-03-09 13:04:52"/>
    <s v="P4"/>
    <x v="3"/>
    <s v="Infrastructure"/>
    <s v="John Doe"/>
    <s v="Resolved"/>
    <n v="5"/>
    <n v="48"/>
    <n v="5.19"/>
    <n v="1"/>
  </r>
  <r>
    <s v="TCK-12442"/>
    <s v="2024-06-18 04:34:57"/>
    <s v="2024-06-18 08:09:39"/>
    <s v="P2"/>
    <x v="3"/>
    <s v="Infrastructure"/>
    <s v="John Doe"/>
    <s v="Resolved"/>
    <n v="5"/>
    <n v="8"/>
    <n v="3.58"/>
    <n v="1"/>
  </r>
  <r>
    <s v="TCK-12443"/>
    <s v="2024-03-23 22:34:18"/>
    <s v="2024-03-25 14:36:05"/>
    <s v="P4"/>
    <x v="0"/>
    <s v="Application Support"/>
    <s v="Ravi Patel"/>
    <s v="Resolved"/>
    <n v="4"/>
    <n v="48"/>
    <n v="40.03"/>
    <n v="1"/>
  </r>
  <r>
    <s v="TCK-12444"/>
    <s v="2024-09-23 13:52:25"/>
    <s v="2024-09-24 07:25:00"/>
    <s v="P3"/>
    <x v="2"/>
    <s v="Application Support"/>
    <s v="Dwight Schrute"/>
    <s v="Resolved"/>
    <n v="5"/>
    <n v="24"/>
    <n v="17.54"/>
    <n v="1"/>
  </r>
  <r>
    <s v="TCK-12445"/>
    <s v="2024-08-18 10:24:20"/>
    <s v="2024-08-18 20:46:36"/>
    <s v="P4"/>
    <x v="3"/>
    <s v="L1 Support"/>
    <s v="Michael Scott"/>
    <s v="Resolved"/>
    <n v="5"/>
    <n v="48"/>
    <n v="10.37"/>
    <n v="1"/>
  </r>
  <r>
    <s v="TCK-12446"/>
    <s v="2024-04-10 02:58:16"/>
    <m/>
    <s v="P4"/>
    <x v="3"/>
    <s v="Application Support"/>
    <s v="Michael Scott"/>
    <s v="Escalated"/>
    <m/>
    <n v="48"/>
    <m/>
    <m/>
  </r>
  <r>
    <s v="TCK-12447"/>
    <s v="2024-05-12 22:35:30"/>
    <s v="2024-05-13 00:48:04"/>
    <s v="P1"/>
    <x v="3"/>
    <s v="Billing Operations"/>
    <s v="Alex Mercer"/>
    <s v="Closed"/>
    <n v="5"/>
    <n v="4"/>
    <n v="2.21"/>
    <n v="1"/>
  </r>
  <r>
    <s v="TCK-12448"/>
    <s v="2024-07-05 15:02:24"/>
    <s v="2024-07-05 20:37:44"/>
    <s v="P2"/>
    <x v="1"/>
    <s v="L2 Support"/>
    <s v="Carlos Mendez"/>
    <s v="Closed"/>
    <n v="5"/>
    <n v="8"/>
    <n v="5.59"/>
    <n v="1"/>
  </r>
  <r>
    <s v="TCK-12449"/>
    <s v="2024-06-08 09:44:13"/>
    <s v="2024-06-09 03:09:13"/>
    <s v="P3"/>
    <x v="2"/>
    <s v="Infrastructure"/>
    <s v="John Doe"/>
    <s v="Closed"/>
    <n v="5"/>
    <n v="24"/>
    <n v="17.420000000000002"/>
    <n v="1"/>
  </r>
  <r>
    <s v="TCK-12450"/>
    <s v="2024-07-20 00:01:09"/>
    <s v="2024-07-20 01:58:47"/>
    <s v="P2"/>
    <x v="0"/>
    <s v="Billing Operations"/>
    <s v="Priya Nair"/>
    <s v="Resolved"/>
    <n v="5"/>
    <n v="8"/>
    <n v="1.96"/>
    <n v="1"/>
  </r>
  <r>
    <s v="TCK-12451"/>
    <s v="2024-05-24 09:22:01"/>
    <s v="2024-05-25 11:22:43"/>
    <s v="P4"/>
    <x v="4"/>
    <s v="Infrastructure"/>
    <s v="Carlos Mendez"/>
    <s v="Closed"/>
    <n v="5"/>
    <n v="48"/>
    <n v="26.01"/>
    <n v="1"/>
  </r>
  <r>
    <s v="TCK-12452"/>
    <s v="2024-10-15 10:59:01"/>
    <s v="2024-10-15 14:55:49"/>
    <s v="P2"/>
    <x v="2"/>
    <s v="L2 Support"/>
    <s v="John Doe"/>
    <s v="Resolved"/>
    <n v="5"/>
    <n v="8"/>
    <n v="3.95"/>
    <n v="1"/>
  </r>
  <r>
    <s v="TCK-12453"/>
    <s v="2024-09-13 18:45:04"/>
    <s v="2024-09-15 01:38:04"/>
    <s v="P4"/>
    <x v="0"/>
    <s v="L1 Support"/>
    <s v="John Doe"/>
    <s v="Resolved"/>
    <n v="5"/>
    <n v="48"/>
    <n v="30.88"/>
    <n v="1"/>
  </r>
  <r>
    <s v="TCK-12454"/>
    <s v="2024-06-24 19:34:37"/>
    <s v="2024-06-27 22:33:53"/>
    <s v="P4"/>
    <x v="2"/>
    <s v="Infrastructure"/>
    <s v="Anita Sharma"/>
    <s v="Resolved"/>
    <n v="2"/>
    <n v="48"/>
    <n v="74.989999999999995"/>
    <n v="0"/>
  </r>
  <r>
    <s v="TCK-12455"/>
    <s v="2024-02-08 17:38:33"/>
    <s v="2024-02-10 19:19:20"/>
    <s v="P3"/>
    <x v="0"/>
    <s v="L2 Support"/>
    <s v="Jim Halpert"/>
    <s v="Resolved"/>
    <n v="2"/>
    <n v="24"/>
    <n v="49.68"/>
    <n v="0"/>
  </r>
  <r>
    <s v="TCK-12456"/>
    <s v="2024-07-22 14:09:45"/>
    <s v="2024-07-22 17:17:10"/>
    <s v="P2"/>
    <x v="1"/>
    <s v="L2 Support"/>
    <s v="Carlos Mendez"/>
    <s v="Resolved"/>
    <n v="4"/>
    <n v="8"/>
    <n v="3.12"/>
    <n v="1"/>
  </r>
  <r>
    <s v="TCK-12457"/>
    <s v="2024-07-27 15:23:14"/>
    <m/>
    <s v="P2"/>
    <x v="1"/>
    <s v="L2 Support"/>
    <s v="Anita Sharma"/>
    <s v="Escalated"/>
    <m/>
    <n v="8"/>
    <m/>
    <m/>
  </r>
  <r>
    <s v="TCK-12458"/>
    <s v="2024-07-10 06:49:40"/>
    <s v="2024-07-15 06:17:38"/>
    <s v="P4"/>
    <x v="1"/>
    <s v="Infrastructure"/>
    <s v="Anita Sharma"/>
    <s v="Resolved"/>
    <n v="2"/>
    <n v="48"/>
    <n v="119.47"/>
    <n v="0"/>
  </r>
  <r>
    <s v="TCK-12459"/>
    <s v="2024-12-22 10:18:45"/>
    <s v="2024-12-26 06:23:31"/>
    <s v="P4"/>
    <x v="0"/>
    <s v="Billing Operations"/>
    <s v="Carlos Mendez"/>
    <s v="Closed"/>
    <n v="2"/>
    <n v="48"/>
    <n v="92.08"/>
    <n v="0"/>
  </r>
  <r>
    <s v="TCK-12460"/>
    <s v="2024-05-24 04:26:20"/>
    <s v="2024-05-24 10:36:22"/>
    <s v="P2"/>
    <x v="3"/>
    <s v="Application Support"/>
    <s v="Jim Halpert"/>
    <s v="Closed"/>
    <n v="3"/>
    <n v="8"/>
    <n v="6.17"/>
    <n v="1"/>
  </r>
  <r>
    <s v="TCK-12461"/>
    <s v="2024-11-18 07:23:20"/>
    <s v="2024-11-19 01:04:06"/>
    <s v="P3"/>
    <x v="0"/>
    <s v="Billing Operations"/>
    <s v="Alex Mercer"/>
    <s v="Closed"/>
    <n v="5"/>
    <n v="24"/>
    <n v="17.68"/>
    <n v="1"/>
  </r>
  <r>
    <s v="TCK-12462"/>
    <s v="2024-09-17 02:56:06"/>
    <s v="2024-09-17 07:38:58"/>
    <s v="P2"/>
    <x v="1"/>
    <s v="Application Support"/>
    <s v="Alex Mercer"/>
    <s v="Closed"/>
    <n v="5"/>
    <n v="8"/>
    <n v="4.71"/>
    <n v="1"/>
  </r>
  <r>
    <s v="TCK-12463"/>
    <s v="2024-02-01 07:58:42"/>
    <s v="2024-02-01 14:34:33"/>
    <s v="P1"/>
    <x v="4"/>
    <s v="Billing Operations"/>
    <s v="John Doe"/>
    <s v="Closed"/>
    <n v="2"/>
    <n v="4"/>
    <n v="6.6"/>
    <n v="0"/>
  </r>
  <r>
    <s v="TCK-12464"/>
    <s v="2024-05-02 17:24:09"/>
    <s v="2024-05-02 20:26:00"/>
    <s v="P2"/>
    <x v="2"/>
    <s v="Application Support"/>
    <s v="Alex Mercer"/>
    <s v="Closed"/>
    <n v="5"/>
    <n v="8"/>
    <n v="3.03"/>
    <n v="1"/>
  </r>
  <r>
    <s v="TCK-12465"/>
    <s v="2024-02-09 13:59:16"/>
    <s v="2024-02-11 01:59:16"/>
    <s v="P4"/>
    <x v="0"/>
    <s v="L1 Support"/>
    <s v="Michael Scott"/>
    <s v="Resolved"/>
    <n v="3"/>
    <n v="48"/>
    <n v="36"/>
    <n v="1"/>
  </r>
  <r>
    <s v="TCK-12466"/>
    <s v="2024-03-21 13:30:11"/>
    <s v="2024-03-21 18:45:22"/>
    <s v="P3"/>
    <x v="4"/>
    <s v="Billing Operations"/>
    <s v="Dwight Schrute"/>
    <s v="Resolved"/>
    <n v="4"/>
    <n v="24"/>
    <n v="5.25"/>
    <n v="1"/>
  </r>
  <r>
    <s v="TCK-12467"/>
    <s v="2024-03-25 14:53:37"/>
    <s v="2024-03-25 22:13:49"/>
    <s v="P3"/>
    <x v="2"/>
    <s v="Billing Operations"/>
    <s v="Jim Halpert"/>
    <s v="Closed"/>
    <n v="5"/>
    <n v="24"/>
    <n v="7.34"/>
    <n v="1"/>
  </r>
  <r>
    <s v="TCK-12468"/>
    <s v="2024-09-30 20:41:13"/>
    <s v="2024-09-30 22:04:45"/>
    <s v="P1"/>
    <x v="2"/>
    <s v="Infrastructure"/>
    <s v="Jim Halpert"/>
    <s v="Resolved"/>
    <n v="5"/>
    <n v="4"/>
    <n v="1.39"/>
    <n v="1"/>
  </r>
  <r>
    <s v="TCK-12469"/>
    <s v="2024-02-03 17:05:43"/>
    <s v="2024-02-04 11:05:43"/>
    <s v="P3"/>
    <x v="2"/>
    <s v="Application Support"/>
    <s v="Emily Watson"/>
    <s v="Closed"/>
    <n v="5"/>
    <n v="24"/>
    <n v="18"/>
    <n v="1"/>
  </r>
  <r>
    <s v="TCK-12470"/>
    <s v="2024-02-15 06:18:37"/>
    <s v="2024-02-15 12:48:39"/>
    <s v="P2"/>
    <x v="2"/>
    <s v="Application Support"/>
    <s v="Carlos Mendez"/>
    <s v="Closed"/>
    <n v="5"/>
    <n v="8"/>
    <n v="6.5"/>
    <n v="1"/>
  </r>
  <r>
    <s v="TCK-12471"/>
    <s v="2024-07-02 11:02:29"/>
    <s v="2024-07-04 18:40:07"/>
    <s v="P3"/>
    <x v="2"/>
    <s v="L2 Support"/>
    <s v="Ravi Patel"/>
    <s v="Closed"/>
    <n v="2"/>
    <n v="24"/>
    <n v="55.63"/>
    <n v="0"/>
  </r>
  <r>
    <s v="TCK-12472"/>
    <s v="2024-05-13 14:04:03"/>
    <s v="2024-05-13 21:40:11"/>
    <s v="P4"/>
    <x v="2"/>
    <s v="Billing Operations"/>
    <s v="Sarah Connor"/>
    <s v="Resolved"/>
    <n v="5"/>
    <n v="48"/>
    <n v="7.6"/>
    <n v="1"/>
  </r>
  <r>
    <s v="TCK-12473"/>
    <s v="2024-06-09 10:03:47"/>
    <s v="2024-06-09 19:12:46"/>
    <s v="P1"/>
    <x v="0"/>
    <s v="Billing Operations"/>
    <s v="Priya Nair"/>
    <s v="Resolved"/>
    <n v="1"/>
    <n v="4"/>
    <n v="9.15"/>
    <n v="0"/>
  </r>
  <r>
    <s v="TCK-12474"/>
    <s v="2024-07-27 06:24:46"/>
    <s v="2024-07-28 02:26:37"/>
    <s v="P4"/>
    <x v="3"/>
    <s v="Infrastructure"/>
    <s v="Jim Halpert"/>
    <s v="Closed"/>
    <n v="4"/>
    <n v="48"/>
    <n v="20.03"/>
    <n v="1"/>
  </r>
  <r>
    <s v="TCK-12475"/>
    <s v="2024-03-14 16:45:46"/>
    <m/>
    <s v="P3"/>
    <x v="2"/>
    <s v="L2 Support"/>
    <s v="Dwight Schrute"/>
    <s v="Escalated"/>
    <m/>
    <n v="24"/>
    <m/>
    <m/>
  </r>
  <r>
    <s v="TCK-12476"/>
    <s v="2024-01-04 13:06:21"/>
    <s v="2024-01-05 11:06:52"/>
    <s v="P2"/>
    <x v="2"/>
    <s v="L2 Support"/>
    <s v="Jim Halpert"/>
    <s v="Resolved"/>
    <n v="1"/>
    <n v="8"/>
    <n v="22.01"/>
    <n v="0"/>
  </r>
  <r>
    <s v="TCK-12477"/>
    <s v="2024-04-10 23:34:29"/>
    <s v="2024-04-11 06:17:15"/>
    <s v="P3"/>
    <x v="2"/>
    <s v="Billing Operations"/>
    <s v="Anita Sharma"/>
    <s v="Resolved"/>
    <n v="3"/>
    <n v="24"/>
    <n v="6.71"/>
    <n v="1"/>
  </r>
  <r>
    <s v="TCK-12478"/>
    <s v="2024-06-09 05:53:41"/>
    <s v="2024-06-10 03:00:37"/>
    <s v="P3"/>
    <x v="1"/>
    <s v="Application Support"/>
    <s v="Jim Halpert"/>
    <s v="Resolved"/>
    <n v="5"/>
    <n v="24"/>
    <n v="21.12"/>
    <n v="1"/>
  </r>
  <r>
    <s v="TCK-12479"/>
    <s v="2024-08-31 17:13:54"/>
    <s v="2024-09-02 09:02:45"/>
    <s v="P4"/>
    <x v="4"/>
    <s v="Billing Operations"/>
    <s v="John Doe"/>
    <s v="Resolved"/>
    <n v="5"/>
    <n v="48"/>
    <n v="39.81"/>
    <n v="1"/>
  </r>
  <r>
    <s v="TCK-12480"/>
    <s v="2024-07-17 01:35:55"/>
    <s v="2024-07-17 20:57:15"/>
    <s v="P3"/>
    <x v="2"/>
    <s v="Infrastructure"/>
    <s v="Pam Beesly"/>
    <s v="Resolved"/>
    <n v="5"/>
    <n v="24"/>
    <n v="19.36"/>
    <n v="1"/>
  </r>
  <r>
    <s v="TCK-12481"/>
    <s v="2024-07-28 03:08:43"/>
    <s v="2024-07-29 05:20:27"/>
    <s v="P3"/>
    <x v="1"/>
    <s v="Application Support"/>
    <s v="Sarah Connor"/>
    <s v="Resolved"/>
    <n v="4"/>
    <n v="24"/>
    <n v="26.2"/>
    <n v="0"/>
  </r>
  <r>
    <s v="TCK-12482"/>
    <s v="2024-11-09 08:52:31"/>
    <s v="2024-11-12 00:29:12"/>
    <s v="P3"/>
    <x v="3"/>
    <s v="L1 Support"/>
    <s v="Sarah Connor"/>
    <s v="Closed"/>
    <n v="3"/>
    <n v="24"/>
    <n v="63.61"/>
    <n v="0"/>
  </r>
  <r>
    <s v="TCK-12483"/>
    <s v="2024-10-24 16:31:48"/>
    <s v="2024-10-24 23:58:56"/>
    <s v="P4"/>
    <x v="2"/>
    <s v="L2 Support"/>
    <s v="Anita Sharma"/>
    <s v="Resolved"/>
    <n v="4"/>
    <n v="48"/>
    <n v="7.45"/>
    <n v="1"/>
  </r>
  <r>
    <s v="TCK-12484"/>
    <s v="2024-08-01 07:14:29"/>
    <s v="2024-08-01 17:53:50"/>
    <s v="P3"/>
    <x v="0"/>
    <s v="Infrastructure"/>
    <s v="Ravi Patel"/>
    <s v="Resolved"/>
    <n v="5"/>
    <n v="24"/>
    <n v="10.66"/>
    <n v="1"/>
  </r>
  <r>
    <s v="TCK-12485"/>
    <s v="2024-06-23 21:42:36"/>
    <s v="2024-06-24 01:12:52"/>
    <s v="P1"/>
    <x v="2"/>
    <s v="L2 Support"/>
    <s v="Priya Nair"/>
    <s v="Resolved"/>
    <n v="5"/>
    <n v="4"/>
    <n v="3.5"/>
    <n v="1"/>
  </r>
  <r>
    <s v="TCK-12486"/>
    <s v="2024-05-15 21:54:34"/>
    <s v="2024-05-15 23:36:55"/>
    <s v="P2"/>
    <x v="0"/>
    <s v="Application Support"/>
    <s v="Alex Mercer"/>
    <s v="Resolved"/>
    <n v="4"/>
    <n v="8"/>
    <n v="1.71"/>
    <n v="1"/>
  </r>
  <r>
    <s v="TCK-12487"/>
    <s v="2024-03-06 03:14:10"/>
    <s v="2024-03-09 03:24:41"/>
    <s v="P4"/>
    <x v="4"/>
    <s v="L1 Support"/>
    <s v="Carlos Mendez"/>
    <s v="Closed"/>
    <n v="1"/>
    <n v="48"/>
    <n v="72.180000000000007"/>
    <n v="0"/>
  </r>
  <r>
    <s v="TCK-12488"/>
    <s v="2024-01-14 20:49:38"/>
    <s v="2024-01-15 00:34:45"/>
    <s v="P3"/>
    <x v="2"/>
    <s v="Application Support"/>
    <s v="John Doe"/>
    <s v="Resolved"/>
    <n v="3"/>
    <n v="24"/>
    <n v="3.75"/>
    <n v="1"/>
  </r>
  <r>
    <s v="TCK-12489"/>
    <s v="2024-09-25 08:34:58"/>
    <s v="2024-09-25 18:33:21"/>
    <s v="P3"/>
    <x v="3"/>
    <s v="Infrastructure"/>
    <s v="Sarah Connor"/>
    <s v="Closed"/>
    <n v="5"/>
    <n v="24"/>
    <n v="9.9700000000000006"/>
    <n v="1"/>
  </r>
  <r>
    <s v="TCK-12490"/>
    <s v="2024-11-22 15:07:34"/>
    <s v="2024-11-23 13:00:10"/>
    <s v="P3"/>
    <x v="1"/>
    <s v="Billing Operations"/>
    <s v="Dwight Schrute"/>
    <s v="Closed"/>
    <n v="5"/>
    <n v="24"/>
    <n v="21.88"/>
    <n v="1"/>
  </r>
  <r>
    <s v="TCK-12491"/>
    <s v="2024-02-26 08:01:34"/>
    <s v="2024-02-26 20:06:33"/>
    <s v="P3"/>
    <x v="2"/>
    <s v="Application Support"/>
    <s v="Alex Mercer"/>
    <s v="Closed"/>
    <n v="5"/>
    <n v="24"/>
    <n v="12.08"/>
    <n v="1"/>
  </r>
  <r>
    <s v="TCK-12492"/>
    <s v="2024-04-09 15:50:58"/>
    <s v="2024-04-10 16:53:11"/>
    <s v="P4"/>
    <x v="3"/>
    <s v="L2 Support"/>
    <s v="John Doe"/>
    <s v="Resolved"/>
    <n v="4"/>
    <n v="48"/>
    <n v="25.04"/>
    <n v="1"/>
  </r>
  <r>
    <s v="TCK-12493"/>
    <s v="2024-02-26 07:36:14"/>
    <s v="2024-02-26 14:02:14"/>
    <s v="P2"/>
    <x v="1"/>
    <s v="L2 Support"/>
    <s v="John Doe"/>
    <s v="Resolved"/>
    <n v="3"/>
    <n v="8"/>
    <n v="6.43"/>
    <n v="1"/>
  </r>
  <r>
    <s v="TCK-12494"/>
    <s v="2024-03-16 01:28:27"/>
    <s v="2024-03-16 02:21:20"/>
    <s v="P2"/>
    <x v="2"/>
    <s v="L1 Support"/>
    <s v="Priya Nair"/>
    <s v="Resolved"/>
    <n v="5"/>
    <n v="8"/>
    <n v="0.88"/>
    <n v="1"/>
  </r>
  <r>
    <s v="TCK-12495"/>
    <s v="2024-06-23 13:43:43"/>
    <s v="2024-06-24 08:17:38"/>
    <s v="P3"/>
    <x v="1"/>
    <s v="L2 Support"/>
    <s v="Alex Mercer"/>
    <s v="Resolved"/>
    <n v="4"/>
    <n v="24"/>
    <n v="18.57"/>
    <n v="1"/>
  </r>
  <r>
    <s v="TCK-12496"/>
    <s v="2024-11-08 00:39:32"/>
    <s v="2024-11-10 05:09:41"/>
    <s v="P3"/>
    <x v="1"/>
    <s v="Billing Operations"/>
    <s v="Pam Beesly"/>
    <s v="Resolved"/>
    <n v="1"/>
    <n v="24"/>
    <n v="52.5"/>
    <n v="0"/>
  </r>
  <r>
    <s v="TCK-12497"/>
    <s v="2024-06-29 20:40:54"/>
    <s v="2024-06-30 18:34:12"/>
    <s v="P3"/>
    <x v="2"/>
    <s v="L1 Support"/>
    <s v="Sarah Connor"/>
    <s v="Resolved"/>
    <n v="5"/>
    <n v="24"/>
    <n v="21.89"/>
    <n v="1"/>
  </r>
  <r>
    <s v="TCK-12498"/>
    <s v="2024-01-06 02:52:13"/>
    <s v="2024-01-06 03:23:16"/>
    <s v="P1"/>
    <x v="2"/>
    <s v="Billing Operations"/>
    <s v="Dwight Schrute"/>
    <s v="Resolved"/>
    <n v="4"/>
    <n v="4"/>
    <n v="0.52"/>
    <n v="1"/>
  </r>
  <r>
    <s v="TCK-12499"/>
    <s v="2024-03-03 13:37:00"/>
    <s v="2024-03-03 17:01:27"/>
    <s v="P1"/>
    <x v="2"/>
    <s v="Application Support"/>
    <s v="Anita Sharma"/>
    <s v="Resolved"/>
    <n v="5"/>
    <n v="4"/>
    <n v="3.41"/>
    <n v="1"/>
  </r>
  <r>
    <s v="TCK-12500"/>
    <s v="2024-07-11 19:27:35"/>
    <s v="2024-07-11 22:09:32"/>
    <s v="P2"/>
    <x v="1"/>
    <s v="Infrastructure"/>
    <s v="Pam Beesly"/>
    <s v="Closed"/>
    <n v="4"/>
    <n v="8"/>
    <n v="2.7"/>
    <n v="1"/>
  </r>
  <r>
    <s v="TCK-12501"/>
    <s v="2024-02-13 18:44:50"/>
    <s v="2024-02-17 17:30:35"/>
    <s v="P4"/>
    <x v="1"/>
    <s v="L2 Support"/>
    <s v="Ravi Patel"/>
    <s v="Closed"/>
    <n v="1"/>
    <n v="48"/>
    <n v="94.76"/>
    <n v="0"/>
  </r>
  <r>
    <s v="TCK-12502"/>
    <s v="2024-04-10 01:52:43"/>
    <s v="2024-04-10 08:01:36"/>
    <s v="P2"/>
    <x v="2"/>
    <s v="L2 Support"/>
    <s v="Emily Watson"/>
    <s v="Closed"/>
    <n v="5"/>
    <n v="8"/>
    <n v="6.15"/>
    <n v="1"/>
  </r>
  <r>
    <s v="TCK-12503"/>
    <s v="2024-03-12 15:54:06"/>
    <s v="2024-03-13 12:53:36"/>
    <s v="P3"/>
    <x v="1"/>
    <s v="Application Support"/>
    <s v="Alex Mercer"/>
    <s v="Resolved"/>
    <n v="4"/>
    <n v="24"/>
    <n v="20.99"/>
    <n v="1"/>
  </r>
  <r>
    <s v="TCK-12504"/>
    <s v="2024-02-02 06:55:31"/>
    <s v="2024-02-02 10:45:30"/>
    <s v="P2"/>
    <x v="0"/>
    <s v="L1 Support"/>
    <s v="Anita Sharma"/>
    <s v="Resolved"/>
    <n v="5"/>
    <n v="8"/>
    <n v="3.83"/>
    <n v="1"/>
  </r>
  <r>
    <s v="TCK-12505"/>
    <s v="2024-12-09 08:58:14"/>
    <s v="2024-12-09 12:10:18"/>
    <s v="P2"/>
    <x v="3"/>
    <s v="L2 Support"/>
    <s v="Carlos Mendez"/>
    <s v="Resolved"/>
    <n v="3"/>
    <n v="8"/>
    <n v="3.2"/>
    <n v="1"/>
  </r>
  <r>
    <s v="TCK-12506"/>
    <s v="2024-12-24 18:30:38"/>
    <s v="2024-12-24 19:28:28"/>
    <s v="P2"/>
    <x v="2"/>
    <s v="Application Support"/>
    <s v="Anita Sharma"/>
    <s v="Closed"/>
    <n v="5"/>
    <n v="8"/>
    <n v="0.96"/>
    <n v="1"/>
  </r>
  <r>
    <s v="TCK-12507"/>
    <s v="2024-02-22 08:22:44"/>
    <s v="2024-02-22 09:25:51"/>
    <s v="P2"/>
    <x v="2"/>
    <s v="Infrastructure"/>
    <s v="Anita Sharma"/>
    <s v="Resolved"/>
    <n v="4"/>
    <n v="8"/>
    <n v="1.05"/>
    <n v="1"/>
  </r>
  <r>
    <s v="TCK-12508"/>
    <s v="2024-08-11 15:07:54"/>
    <m/>
    <s v="P3"/>
    <x v="2"/>
    <s v="Billing Operations"/>
    <s v="Anita Sharma"/>
    <s v="Open"/>
    <m/>
    <n v="24"/>
    <m/>
    <m/>
  </r>
  <r>
    <s v="TCK-12509"/>
    <s v="2024-02-05 15:25:28"/>
    <s v="2024-02-05 19:52:05"/>
    <s v="P2"/>
    <x v="2"/>
    <s v="Application Support"/>
    <s v="Priya Nair"/>
    <s v="Resolved"/>
    <n v="4"/>
    <n v="8"/>
    <n v="4.4400000000000004"/>
    <n v="1"/>
  </r>
  <r>
    <s v="TCK-12510"/>
    <s v="2024-07-05 08:19:09"/>
    <s v="2024-07-05 18:27:29"/>
    <s v="P3"/>
    <x v="2"/>
    <s v="Billing Operations"/>
    <s v="Carlos Mendez"/>
    <s v="Resolved"/>
    <n v="3"/>
    <n v="24"/>
    <n v="10.14"/>
    <n v="1"/>
  </r>
  <r>
    <s v="TCK-12511"/>
    <s v="2024-01-05 02:08:45"/>
    <s v="2024-01-05 13:29:15"/>
    <s v="P3"/>
    <x v="2"/>
    <s v="Application Support"/>
    <s v="Michael Scott"/>
    <s v="Resolved"/>
    <n v="5"/>
    <n v="24"/>
    <n v="11.34"/>
    <n v="1"/>
  </r>
  <r>
    <s v="TCK-12512"/>
    <s v="2024-02-04 17:32:21"/>
    <s v="2024-02-07 08:09:57"/>
    <s v="P4"/>
    <x v="1"/>
    <s v="L1 Support"/>
    <s v="Dwight Schrute"/>
    <s v="Resolved"/>
    <n v="2"/>
    <n v="48"/>
    <n v="62.63"/>
    <n v="0"/>
  </r>
  <r>
    <s v="TCK-12513"/>
    <s v="2024-01-18 06:29:39"/>
    <s v="2024-01-18 15:34:18"/>
    <s v="P1"/>
    <x v="3"/>
    <s v="Billing Operations"/>
    <s v="Emily Watson"/>
    <s v="Resolved"/>
    <n v="3"/>
    <n v="4"/>
    <n v="9.08"/>
    <n v="0"/>
  </r>
  <r>
    <s v="TCK-12514"/>
    <s v="2024-11-01 08:40:24"/>
    <s v="2024-11-01 15:53:46"/>
    <s v="P2"/>
    <x v="2"/>
    <s v="Billing Operations"/>
    <s v="Michael Scott"/>
    <s v="Resolved"/>
    <n v="3"/>
    <n v="8"/>
    <n v="7.22"/>
    <n v="1"/>
  </r>
  <r>
    <s v="TCK-12515"/>
    <s v="2024-03-02 14:03:36"/>
    <s v="2024-03-02 15:51:59"/>
    <s v="P2"/>
    <x v="3"/>
    <s v="Billing Operations"/>
    <s v="Jim Halpert"/>
    <s v="Resolved"/>
    <n v="5"/>
    <n v="8"/>
    <n v="1.81"/>
    <n v="1"/>
  </r>
  <r>
    <s v="TCK-12516"/>
    <s v="2024-03-06 15:28:54"/>
    <m/>
    <s v="P1"/>
    <x v="3"/>
    <s v="Application Support"/>
    <s v="Carlos Mendez"/>
    <s v="Open"/>
    <m/>
    <n v="4"/>
    <m/>
    <m/>
  </r>
  <r>
    <s v="TCK-12517"/>
    <s v="2024-02-27 23:02:34"/>
    <s v="2024-02-28 03:55:24"/>
    <s v="P4"/>
    <x v="2"/>
    <s v="Infrastructure"/>
    <s v="Alex Mercer"/>
    <s v="Closed"/>
    <n v="3"/>
    <n v="48"/>
    <n v="4.88"/>
    <n v="1"/>
  </r>
  <r>
    <s v="TCK-12518"/>
    <s v="2024-08-01 08:47:53"/>
    <s v="2024-08-01 16:04:45"/>
    <s v="P3"/>
    <x v="2"/>
    <s v="Infrastructure"/>
    <s v="Priya Nair"/>
    <s v="Closed"/>
    <n v="4"/>
    <n v="24"/>
    <n v="7.28"/>
    <n v="1"/>
  </r>
  <r>
    <s v="TCK-12519"/>
    <s v="2024-01-03 05:00:42"/>
    <s v="2024-01-03 08:07:33"/>
    <s v="P1"/>
    <x v="2"/>
    <s v="Billing Operations"/>
    <s v="Sarah Connor"/>
    <s v="Resolved"/>
    <n v="3"/>
    <n v="4"/>
    <n v="3.11"/>
    <n v="1"/>
  </r>
  <r>
    <s v="TCK-12520"/>
    <s v="2024-11-28 17:19:24"/>
    <s v="2024-11-30 12:13:23"/>
    <s v="P4"/>
    <x v="2"/>
    <s v="L2 Support"/>
    <s v="Emily Watson"/>
    <s v="Resolved"/>
    <n v="5"/>
    <n v="48"/>
    <n v="42.9"/>
    <n v="1"/>
  </r>
  <r>
    <s v="TCK-12521"/>
    <s v="2024-08-14 08:22:28"/>
    <s v="2024-08-14 11:41:12"/>
    <s v="P3"/>
    <x v="4"/>
    <s v="Billing Operations"/>
    <s v="Priya Nair"/>
    <s v="Resolved"/>
    <n v="3"/>
    <n v="24"/>
    <n v="3.31"/>
    <n v="1"/>
  </r>
  <r>
    <s v="TCK-12522"/>
    <s v="2024-11-05 03:23:51"/>
    <s v="2024-11-06 22:46:46"/>
    <s v="P3"/>
    <x v="2"/>
    <s v="L1 Support"/>
    <s v="Ravi Patel"/>
    <s v="Resolved"/>
    <n v="1"/>
    <n v="24"/>
    <n v="43.38"/>
    <n v="0"/>
  </r>
  <r>
    <s v="TCK-12523"/>
    <s v="2024-01-10 06:54:46"/>
    <s v="2024-01-11 05:26:34"/>
    <s v="P4"/>
    <x v="0"/>
    <s v="Billing Operations"/>
    <s v="Ravi Patel"/>
    <s v="Resolved"/>
    <n v="5"/>
    <n v="48"/>
    <n v="22.53"/>
    <n v="1"/>
  </r>
  <r>
    <s v="TCK-12524"/>
    <s v="2024-10-08 02:57:54"/>
    <s v="2024-10-08 11:32:15"/>
    <s v="P4"/>
    <x v="4"/>
    <s v="L1 Support"/>
    <s v="Sarah Connor"/>
    <s v="Resolved"/>
    <n v="5"/>
    <n v="48"/>
    <n v="8.57"/>
    <n v="1"/>
  </r>
  <r>
    <s v="TCK-12525"/>
    <s v="2024-09-08 02:56:09"/>
    <s v="2024-09-09 18:35:57"/>
    <s v="P3"/>
    <x v="2"/>
    <s v="Billing Operations"/>
    <s v="John Doe"/>
    <s v="Closed"/>
    <n v="4"/>
    <n v="24"/>
    <n v="39.659999999999997"/>
    <n v="0"/>
  </r>
  <r>
    <s v="TCK-12526"/>
    <s v="2024-03-14 18:39:24"/>
    <s v="2024-03-15 01:56:08"/>
    <s v="P3"/>
    <x v="0"/>
    <s v="L1 Support"/>
    <s v="Sarah Connor"/>
    <s v="Resolved"/>
    <n v="4"/>
    <n v="24"/>
    <n v="7.28"/>
    <n v="1"/>
  </r>
  <r>
    <s v="TCK-12527"/>
    <s v="2024-01-12 23:21:10"/>
    <s v="2024-01-13 19:55:13"/>
    <s v="P3"/>
    <x v="2"/>
    <s v="Billing Operations"/>
    <s v="Anita Sharma"/>
    <s v="Closed"/>
    <n v="4"/>
    <n v="24"/>
    <n v="20.57"/>
    <n v="1"/>
  </r>
  <r>
    <s v="TCK-12528"/>
    <s v="2024-06-06 09:29:09"/>
    <s v="2024-06-07 05:51:46"/>
    <s v="P3"/>
    <x v="2"/>
    <s v="L1 Support"/>
    <s v="Sarah Connor"/>
    <s v="Resolved"/>
    <n v="5"/>
    <n v="24"/>
    <n v="20.38"/>
    <n v="1"/>
  </r>
  <r>
    <s v="TCK-12529"/>
    <s v="2024-11-10 22:48:12"/>
    <s v="2024-11-11 17:23:03"/>
    <s v="P2"/>
    <x v="0"/>
    <s v="L1 Support"/>
    <s v="Priya Nair"/>
    <s v="Resolved"/>
    <n v="2"/>
    <n v="8"/>
    <n v="18.579999999999998"/>
    <n v="0"/>
  </r>
  <r>
    <s v="TCK-12530"/>
    <s v="2024-08-19 23:26:34"/>
    <m/>
    <s v="P4"/>
    <x v="2"/>
    <s v="L1 Support"/>
    <s v="John Doe"/>
    <s v="Escalated"/>
    <m/>
    <n v="48"/>
    <m/>
    <m/>
  </r>
  <r>
    <s v="TCK-12531"/>
    <s v="2024-06-01 05:08:55"/>
    <s v="2024-06-01 12:06:05"/>
    <s v="P2"/>
    <x v="2"/>
    <s v="Billing Operations"/>
    <s v="Sarah Connor"/>
    <s v="Resolved"/>
    <n v="4"/>
    <n v="8"/>
    <n v="6.95"/>
    <n v="1"/>
  </r>
  <r>
    <s v="TCK-12532"/>
    <s v="2024-11-03 00:14:42"/>
    <s v="2024-11-05 23:26:57"/>
    <s v="P4"/>
    <x v="3"/>
    <s v="L2 Support"/>
    <s v="Jim Halpert"/>
    <s v="Resolved"/>
    <n v="4"/>
    <n v="48"/>
    <n v="71.2"/>
    <n v="0"/>
  </r>
  <r>
    <s v="TCK-12533"/>
    <s v="2024-01-08 02:09:01"/>
    <m/>
    <s v="P1"/>
    <x v="1"/>
    <s v="Billing Operations"/>
    <s v="Sarah Connor"/>
    <s v="Escalated"/>
    <m/>
    <n v="4"/>
    <m/>
    <m/>
  </r>
  <r>
    <s v="TCK-12534"/>
    <s v="2024-08-05 19:42:21"/>
    <s v="2024-08-07 14:47:13"/>
    <s v="P4"/>
    <x v="3"/>
    <s v="Infrastructure"/>
    <s v="Sarah Connor"/>
    <s v="Resolved"/>
    <n v="5"/>
    <n v="48"/>
    <n v="43.08"/>
    <n v="1"/>
  </r>
  <r>
    <s v="TCK-12535"/>
    <s v="2024-11-01 16:51:49"/>
    <s v="2024-11-03 12:40:13"/>
    <s v="P3"/>
    <x v="2"/>
    <s v="Billing Operations"/>
    <s v="Alex Mercer"/>
    <s v="Resolved"/>
    <n v="3"/>
    <n v="24"/>
    <n v="43.81"/>
    <n v="0"/>
  </r>
  <r>
    <s v="TCK-12536"/>
    <s v="2024-01-24 22:59:51"/>
    <s v="2024-01-25 03:08:11"/>
    <s v="P3"/>
    <x v="1"/>
    <s v="L1 Support"/>
    <s v="Michael Scott"/>
    <s v="Resolved"/>
    <n v="5"/>
    <n v="24"/>
    <n v="4.1399999999999997"/>
    <n v="1"/>
  </r>
  <r>
    <s v="TCK-12537"/>
    <s v="2024-07-22 04:51:22"/>
    <s v="2024-07-22 16:23:02"/>
    <s v="P2"/>
    <x v="1"/>
    <s v="L1 Support"/>
    <s v="Priya Nair"/>
    <s v="Closed"/>
    <n v="4"/>
    <n v="8"/>
    <n v="11.53"/>
    <n v="0"/>
  </r>
  <r>
    <s v="TCK-12538"/>
    <s v="2024-08-08 20:15:49"/>
    <s v="2024-08-09 12:01:22"/>
    <s v="P3"/>
    <x v="4"/>
    <s v="Application Support"/>
    <s v="Sarah Connor"/>
    <s v="Resolved"/>
    <n v="4"/>
    <n v="24"/>
    <n v="15.76"/>
    <n v="1"/>
  </r>
  <r>
    <s v="TCK-12539"/>
    <s v="2024-07-26 01:52:35"/>
    <s v="2024-07-26 20:54:01"/>
    <s v="P3"/>
    <x v="1"/>
    <s v="Application Support"/>
    <s v="Jim Halpert"/>
    <s v="Closed"/>
    <n v="5"/>
    <n v="24"/>
    <n v="19.02"/>
    <n v="1"/>
  </r>
  <r>
    <s v="TCK-12540"/>
    <s v="2024-12-21 01:56:15"/>
    <s v="2024-12-25 17:39:14"/>
    <s v="P4"/>
    <x v="2"/>
    <s v="Application Support"/>
    <s v="Priya Nair"/>
    <s v="Resolved"/>
    <n v="3"/>
    <n v="48"/>
    <n v="111.72"/>
    <n v="0"/>
  </r>
  <r>
    <s v="TCK-12541"/>
    <s v="2024-06-20 03:17:20"/>
    <s v="2024-06-20 18:22:42"/>
    <s v="P3"/>
    <x v="2"/>
    <s v="Infrastructure"/>
    <s v="Jim Halpert"/>
    <s v="Closed"/>
    <n v="4"/>
    <n v="24"/>
    <n v="15.09"/>
    <n v="1"/>
  </r>
  <r>
    <s v="TCK-12542"/>
    <s v="2024-01-03 23:47:12"/>
    <s v="2024-01-05 13:07:48"/>
    <s v="P3"/>
    <x v="0"/>
    <s v="L2 Support"/>
    <s v="Priya Nair"/>
    <s v="Resolved"/>
    <n v="2"/>
    <n v="24"/>
    <n v="37.340000000000003"/>
    <n v="0"/>
  </r>
  <r>
    <s v="TCK-12543"/>
    <s v="2024-06-13 03:58:50"/>
    <s v="2024-06-13 04:43:33"/>
    <s v="P1"/>
    <x v="4"/>
    <s v="Billing Operations"/>
    <s v="John Doe"/>
    <s v="Resolved"/>
    <n v="5"/>
    <n v="4"/>
    <n v="0.75"/>
    <n v="1"/>
  </r>
  <r>
    <s v="TCK-12544"/>
    <s v="2024-11-17 03:20:43"/>
    <m/>
    <s v="P3"/>
    <x v="4"/>
    <s v="Application Support"/>
    <s v="Dwight Schrute"/>
    <s v="Escalated"/>
    <m/>
    <n v="24"/>
    <m/>
    <m/>
  </r>
  <r>
    <s v="TCK-12545"/>
    <s v="2024-07-17 03:50:23"/>
    <m/>
    <s v="P3"/>
    <x v="2"/>
    <s v="Application Support"/>
    <s v="Pam Beesly"/>
    <s v="Open"/>
    <m/>
    <n v="24"/>
    <m/>
    <m/>
  </r>
  <r>
    <s v="TCK-12546"/>
    <s v="2024-10-31 11:41:20"/>
    <m/>
    <s v="P3"/>
    <x v="1"/>
    <s v="L2 Support"/>
    <s v="Michael Scott"/>
    <s v="Escalated"/>
    <m/>
    <n v="24"/>
    <m/>
    <m/>
  </r>
  <r>
    <s v="TCK-12547"/>
    <s v="2024-12-26 04:31:03"/>
    <s v="2024-12-27 18:19:58"/>
    <s v="P3"/>
    <x v="2"/>
    <s v="Application Support"/>
    <s v="Ravi Patel"/>
    <s v="Resolved"/>
    <n v="2"/>
    <n v="24"/>
    <n v="37.82"/>
    <n v="0"/>
  </r>
  <r>
    <s v="TCK-12548"/>
    <s v="2024-07-03 03:31:19"/>
    <s v="2024-07-03 06:13:43"/>
    <s v="P3"/>
    <x v="1"/>
    <s v="L2 Support"/>
    <s v="Anita Sharma"/>
    <s v="Resolved"/>
    <n v="4"/>
    <n v="24"/>
    <n v="2.71"/>
    <n v="1"/>
  </r>
  <r>
    <s v="TCK-12549"/>
    <s v="2024-12-28 12:55:20"/>
    <s v="2024-12-28 14:42:43"/>
    <s v="P2"/>
    <x v="2"/>
    <s v="Billing Operations"/>
    <s v="Anita Sharma"/>
    <s v="Resolved"/>
    <n v="4"/>
    <n v="8"/>
    <n v="1.79"/>
    <n v="1"/>
  </r>
  <r>
    <s v="TCK-12550"/>
    <s v="2024-12-01 21:56:37"/>
    <s v="2024-12-02 18:06:16"/>
    <s v="P2"/>
    <x v="2"/>
    <s v="L1 Support"/>
    <s v="Michael Scott"/>
    <s v="Closed"/>
    <n v="2"/>
    <n v="8"/>
    <n v="20.16"/>
    <n v="0"/>
  </r>
  <r>
    <s v="TCK-12551"/>
    <s v="2024-02-13 05:35:18"/>
    <s v="2024-02-13 07:30:03"/>
    <s v="P2"/>
    <x v="2"/>
    <s v="Application Support"/>
    <s v="Michael Scott"/>
    <s v="Closed"/>
    <n v="4"/>
    <n v="8"/>
    <n v="1.91"/>
    <n v="1"/>
  </r>
  <r>
    <s v="TCK-12552"/>
    <s v="2024-11-01 10:49:57"/>
    <s v="2024-11-01 12:28:25"/>
    <s v="P2"/>
    <x v="4"/>
    <s v="Infrastructure"/>
    <s v="Michael Scott"/>
    <s v="Closed"/>
    <n v="5"/>
    <n v="8"/>
    <n v="1.64"/>
    <n v="1"/>
  </r>
  <r>
    <s v="TCK-12553"/>
    <s v="2024-08-26 04:31:57"/>
    <s v="2024-08-26 06:59:02"/>
    <s v="P3"/>
    <x v="1"/>
    <s v="Billing Operations"/>
    <s v="Sarah Connor"/>
    <s v="Resolved"/>
    <n v="5"/>
    <n v="24"/>
    <n v="2.4500000000000002"/>
    <n v="1"/>
  </r>
  <r>
    <s v="TCK-12554"/>
    <s v="2024-04-01 00:23:37"/>
    <s v="2024-04-01 21:22:18"/>
    <s v="P2"/>
    <x v="2"/>
    <s v="Billing Operations"/>
    <s v="Michael Scott"/>
    <s v="Resolved"/>
    <n v="3"/>
    <n v="8"/>
    <n v="20.98"/>
    <n v="0"/>
  </r>
  <r>
    <s v="TCK-12555"/>
    <s v="2024-07-24 11:30:28"/>
    <s v="2024-07-24 19:12:18"/>
    <s v="P3"/>
    <x v="3"/>
    <s v="Application Support"/>
    <s v="Ravi Patel"/>
    <s v="Resolved"/>
    <n v="5"/>
    <n v="24"/>
    <n v="7.7"/>
    <n v="1"/>
  </r>
  <r>
    <s v="TCK-12556"/>
    <s v="2024-05-15 05:13:34"/>
    <s v="2024-05-16 01:09:56"/>
    <s v="P4"/>
    <x v="0"/>
    <s v="L1 Support"/>
    <s v="John Doe"/>
    <s v="Resolved"/>
    <n v="4"/>
    <n v="48"/>
    <n v="19.940000000000001"/>
    <n v="1"/>
  </r>
  <r>
    <s v="TCK-12557"/>
    <s v="2024-10-18 12:11:38"/>
    <s v="2024-10-18 15:43:25"/>
    <s v="P2"/>
    <x v="0"/>
    <s v="L2 Support"/>
    <s v="Emily Watson"/>
    <s v="Closed"/>
    <n v="4"/>
    <n v="8"/>
    <n v="3.53"/>
    <n v="1"/>
  </r>
  <r>
    <s v="TCK-12558"/>
    <s v="2024-10-16 06:20:30"/>
    <s v="2024-10-17 13:19:46"/>
    <s v="P4"/>
    <x v="2"/>
    <s v="L2 Support"/>
    <s v="Dwight Schrute"/>
    <s v="Resolved"/>
    <n v="5"/>
    <n v="48"/>
    <n v="30.99"/>
    <n v="1"/>
  </r>
  <r>
    <s v="TCK-12559"/>
    <s v="2024-01-21 20:47:49"/>
    <s v="2024-01-23 00:04:04"/>
    <s v="P4"/>
    <x v="2"/>
    <s v="L1 Support"/>
    <s v="Priya Nair"/>
    <s v="Resolved"/>
    <n v="5"/>
    <n v="48"/>
    <n v="27.27"/>
    <n v="1"/>
  </r>
  <r>
    <s v="TCK-12560"/>
    <s v="2024-08-23 01:19:50"/>
    <s v="2024-08-23 18:16:52"/>
    <s v="P4"/>
    <x v="1"/>
    <s v="L1 Support"/>
    <s v="Michael Scott"/>
    <s v="Resolved"/>
    <n v="5"/>
    <n v="48"/>
    <n v="16.95"/>
    <n v="1"/>
  </r>
  <r>
    <s v="TCK-12561"/>
    <s v="2024-11-12 04:25:30"/>
    <s v="2024-11-13 00:42:39"/>
    <s v="P2"/>
    <x v="1"/>
    <s v="Application Support"/>
    <s v="Priya Nair"/>
    <s v="Resolved"/>
    <n v="2"/>
    <n v="8"/>
    <n v="20.29"/>
    <n v="0"/>
  </r>
  <r>
    <s v="TCK-12562"/>
    <s v="2024-01-19 00:54:11"/>
    <s v="2024-01-21 10:06:08"/>
    <s v="P3"/>
    <x v="1"/>
    <s v="Application Support"/>
    <s v="John Doe"/>
    <s v="Closed"/>
    <n v="2"/>
    <n v="24"/>
    <n v="57.2"/>
    <n v="0"/>
  </r>
  <r>
    <s v="TCK-12563"/>
    <s v="2024-10-19 02:12:43"/>
    <s v="2024-10-20 22:55:18"/>
    <s v="P4"/>
    <x v="0"/>
    <s v="Infrastructure"/>
    <s v="Sarah Connor"/>
    <s v="Closed"/>
    <n v="4"/>
    <n v="48"/>
    <n v="44.71"/>
    <n v="1"/>
  </r>
  <r>
    <s v="TCK-12564"/>
    <s v="2024-07-22 18:56:53"/>
    <m/>
    <s v="P2"/>
    <x v="2"/>
    <s v="L1 Support"/>
    <s v="Carlos Mendez"/>
    <s v="Open"/>
    <m/>
    <n v="8"/>
    <m/>
    <m/>
  </r>
  <r>
    <s v="TCK-12565"/>
    <s v="2024-07-25 04:58:31"/>
    <s v="2024-07-25 11:28:03"/>
    <s v="P2"/>
    <x v="1"/>
    <s v="Application Support"/>
    <s v="John Doe"/>
    <s v="Closed"/>
    <n v="5"/>
    <n v="8"/>
    <n v="6.49"/>
    <n v="1"/>
  </r>
  <r>
    <s v="TCK-12566"/>
    <s v="2024-01-02 16:16:42"/>
    <s v="2024-01-03 13:57:59"/>
    <s v="P3"/>
    <x v="0"/>
    <s v="Billing Operations"/>
    <s v="Alex Mercer"/>
    <s v="Closed"/>
    <n v="4"/>
    <n v="24"/>
    <n v="21.69"/>
    <n v="1"/>
  </r>
  <r>
    <s v="TCK-12567"/>
    <s v="2024-01-12 00:13:43"/>
    <m/>
    <s v="P3"/>
    <x v="2"/>
    <s v="Billing Operations"/>
    <s v="Dwight Schrute"/>
    <s v="Escalated"/>
    <m/>
    <n v="24"/>
    <m/>
    <m/>
  </r>
  <r>
    <s v="TCK-12568"/>
    <s v="2024-03-01 09:14:39"/>
    <s v="2024-03-01 13:18:56"/>
    <s v="P2"/>
    <x v="2"/>
    <s v="Billing Operations"/>
    <s v="Anita Sharma"/>
    <s v="Closed"/>
    <n v="5"/>
    <n v="8"/>
    <n v="4.07"/>
    <n v="1"/>
  </r>
  <r>
    <s v="TCK-12569"/>
    <s v="2024-07-27 06:58:40"/>
    <s v="2024-07-27 13:38:53"/>
    <s v="P2"/>
    <x v="2"/>
    <s v="L2 Support"/>
    <s v="Alex Mercer"/>
    <s v="Resolved"/>
    <n v="5"/>
    <n v="8"/>
    <n v="6.67"/>
    <n v="1"/>
  </r>
  <r>
    <s v="TCK-12570"/>
    <s v="2024-01-04 01:00:12"/>
    <s v="2024-01-04 07:08:13"/>
    <s v="P2"/>
    <x v="2"/>
    <s v="L1 Support"/>
    <s v="Carlos Mendez"/>
    <s v="Closed"/>
    <n v="4"/>
    <n v="8"/>
    <n v="6.13"/>
    <n v="1"/>
  </r>
  <r>
    <s v="TCK-12571"/>
    <s v="2024-07-13 17:00:36"/>
    <s v="2024-07-13 20:01:16"/>
    <s v="P1"/>
    <x v="2"/>
    <s v="Infrastructure"/>
    <s v="Carlos Mendez"/>
    <s v="Closed"/>
    <n v="4"/>
    <n v="4"/>
    <n v="3.01"/>
    <n v="1"/>
  </r>
  <r>
    <s v="TCK-12572"/>
    <s v="2024-06-02 20:06:10"/>
    <s v="2024-06-03 16:35:18"/>
    <s v="P4"/>
    <x v="1"/>
    <s v="L1 Support"/>
    <s v="Jim Halpert"/>
    <s v="Closed"/>
    <n v="5"/>
    <n v="48"/>
    <n v="20.49"/>
    <n v="1"/>
  </r>
  <r>
    <s v="TCK-12573"/>
    <s v="2024-05-28 20:28:30"/>
    <s v="2024-05-29 15:12:44"/>
    <s v="P3"/>
    <x v="0"/>
    <s v="Infrastructure"/>
    <s v="Jim Halpert"/>
    <s v="Closed"/>
    <n v="5"/>
    <n v="24"/>
    <n v="18.739999999999998"/>
    <n v="1"/>
  </r>
  <r>
    <s v="TCK-12574"/>
    <s v="2024-05-18 18:53:20"/>
    <s v="2024-05-19 06:21:17"/>
    <s v="P1"/>
    <x v="3"/>
    <s v="L1 Support"/>
    <s v="Emily Watson"/>
    <s v="Closed"/>
    <n v="2"/>
    <n v="4"/>
    <n v="11.47"/>
    <n v="0"/>
  </r>
  <r>
    <s v="TCK-12575"/>
    <s v="2024-12-31 05:44:06"/>
    <s v="2025-01-05 19:52:26"/>
    <s v="P4"/>
    <x v="1"/>
    <s v="Infrastructure"/>
    <s v="Alex Mercer"/>
    <s v="Closed"/>
    <n v="3"/>
    <n v="48"/>
    <n v="134.13999999999999"/>
    <n v="0"/>
  </r>
  <r>
    <s v="TCK-12576"/>
    <s v="2024-05-31 04:06:20"/>
    <s v="2024-05-31 07:42:18"/>
    <s v="P1"/>
    <x v="3"/>
    <s v="L1 Support"/>
    <s v="Emily Watson"/>
    <s v="Resolved"/>
    <n v="5"/>
    <n v="4"/>
    <n v="3.6"/>
    <n v="1"/>
  </r>
  <r>
    <s v="TCK-12577"/>
    <s v="2024-07-22 07:44:48"/>
    <s v="2024-07-23 00:19:16"/>
    <s v="P3"/>
    <x v="0"/>
    <s v="L2 Support"/>
    <s v="Michael Scott"/>
    <s v="Closed"/>
    <n v="5"/>
    <n v="24"/>
    <n v="16.57"/>
    <n v="1"/>
  </r>
  <r>
    <s v="TCK-12578"/>
    <s v="2024-12-02 12:55:56"/>
    <s v="2024-12-02 13:48:06"/>
    <s v="P2"/>
    <x v="1"/>
    <s v="Billing Operations"/>
    <s v="Michael Scott"/>
    <s v="Resolved"/>
    <n v="5"/>
    <n v="8"/>
    <n v="0.87"/>
    <n v="1"/>
  </r>
  <r>
    <s v="TCK-12579"/>
    <s v="2024-10-14 04:09:34"/>
    <s v="2024-10-14 09:33:56"/>
    <s v="P3"/>
    <x v="0"/>
    <s v="L1 Support"/>
    <s v="Alex Mercer"/>
    <s v="Resolved"/>
    <n v="4"/>
    <n v="24"/>
    <n v="5.41"/>
    <n v="1"/>
  </r>
  <r>
    <s v="TCK-12580"/>
    <s v="2024-01-29 00:16:05"/>
    <s v="2024-01-29 18:52:10"/>
    <s v="P3"/>
    <x v="0"/>
    <s v="Billing Operations"/>
    <s v="Jim Halpert"/>
    <s v="Closed"/>
    <n v="4"/>
    <n v="24"/>
    <n v="18.600000000000001"/>
    <n v="1"/>
  </r>
  <r>
    <s v="TCK-12581"/>
    <s v="2024-12-03 07:53:07"/>
    <s v="2024-12-04 01:58:48"/>
    <s v="P4"/>
    <x v="0"/>
    <s v="L2 Support"/>
    <s v="Michael Scott"/>
    <s v="Resolved"/>
    <n v="5"/>
    <n v="48"/>
    <n v="18.09"/>
    <n v="1"/>
  </r>
  <r>
    <s v="TCK-12582"/>
    <s v="2024-12-08 06:31:24"/>
    <s v="2024-12-08 19:14:12"/>
    <s v="P3"/>
    <x v="4"/>
    <s v="Application Support"/>
    <s v="Michael Scott"/>
    <s v="Closed"/>
    <n v="5"/>
    <n v="24"/>
    <n v="12.71"/>
    <n v="1"/>
  </r>
  <r>
    <s v="TCK-12583"/>
    <s v="2024-11-02 01:35:23"/>
    <s v="2024-11-02 19:10:36"/>
    <s v="P3"/>
    <x v="4"/>
    <s v="Infrastructure"/>
    <s v="Dwight Schrute"/>
    <s v="Resolved"/>
    <n v="5"/>
    <n v="24"/>
    <n v="17.59"/>
    <n v="1"/>
  </r>
  <r>
    <s v="TCK-12584"/>
    <s v="2024-02-13 12:09:08"/>
    <s v="2024-02-13 14:32:41"/>
    <s v="P2"/>
    <x v="0"/>
    <s v="Application Support"/>
    <s v="Dwight Schrute"/>
    <s v="Resolved"/>
    <n v="4"/>
    <n v="8"/>
    <n v="2.39"/>
    <n v="1"/>
  </r>
  <r>
    <s v="TCK-12585"/>
    <s v="2024-08-06 21:33:25"/>
    <s v="2024-08-09 04:41:06"/>
    <s v="P3"/>
    <x v="0"/>
    <s v="Infrastructure"/>
    <s v="Michael Scott"/>
    <s v="Resolved"/>
    <n v="3"/>
    <n v="24"/>
    <n v="55.13"/>
    <n v="0"/>
  </r>
  <r>
    <s v="TCK-12586"/>
    <s v="2024-11-11 17:18:13"/>
    <s v="2024-11-12 04:34:49"/>
    <s v="P3"/>
    <x v="1"/>
    <s v="Application Support"/>
    <s v="Alex Mercer"/>
    <s v="Resolved"/>
    <n v="5"/>
    <n v="24"/>
    <n v="11.28"/>
    <n v="1"/>
  </r>
  <r>
    <s v="TCK-12587"/>
    <s v="2024-05-23 22:53:42"/>
    <s v="2024-05-24 16:53:42"/>
    <s v="P3"/>
    <x v="1"/>
    <s v="Application Support"/>
    <s v="Dwight Schrute"/>
    <s v="Resolved"/>
    <n v="3"/>
    <n v="24"/>
    <n v="18"/>
    <n v="1"/>
  </r>
  <r>
    <s v="TCK-12588"/>
    <s v="2024-03-20 09:26:56"/>
    <s v="2024-03-20 12:04:00"/>
    <s v="P1"/>
    <x v="2"/>
    <s v="L1 Support"/>
    <s v="Pam Beesly"/>
    <s v="Resolved"/>
    <n v="5"/>
    <n v="4"/>
    <n v="2.62"/>
    <n v="1"/>
  </r>
  <r>
    <s v="TCK-12589"/>
    <s v="2024-09-06 08:34:43"/>
    <s v="2024-09-07 06:56:38"/>
    <s v="P3"/>
    <x v="2"/>
    <s v="L1 Support"/>
    <s v="Emily Watson"/>
    <s v="Resolved"/>
    <n v="5"/>
    <n v="24"/>
    <n v="22.37"/>
    <n v="1"/>
  </r>
  <r>
    <s v="TCK-12590"/>
    <s v="2024-10-28 19:47:45"/>
    <s v="2024-10-28 23:43:01"/>
    <s v="P2"/>
    <x v="2"/>
    <s v="L1 Support"/>
    <s v="Michael Scott"/>
    <s v="Resolved"/>
    <n v="4"/>
    <n v="8"/>
    <n v="3.92"/>
    <n v="1"/>
  </r>
  <r>
    <s v="TCK-12591"/>
    <s v="2024-01-20 16:16:04"/>
    <s v="2024-01-20 18:04:14"/>
    <s v="P2"/>
    <x v="1"/>
    <s v="Infrastructure"/>
    <s v="Jim Halpert"/>
    <s v="Closed"/>
    <n v="4"/>
    <n v="8"/>
    <n v="1.8"/>
    <n v="1"/>
  </r>
  <r>
    <s v="TCK-12592"/>
    <s v="2024-08-03 20:58:47"/>
    <s v="2024-08-03 23:35:22"/>
    <s v="P3"/>
    <x v="2"/>
    <s v="L1 Support"/>
    <s v="Dwight Schrute"/>
    <s v="Resolved"/>
    <n v="5"/>
    <n v="24"/>
    <n v="2.61"/>
    <n v="1"/>
  </r>
  <r>
    <s v="TCK-12593"/>
    <s v="2024-05-26 20:11:47"/>
    <s v="2024-05-27 13:25:10"/>
    <s v="P3"/>
    <x v="1"/>
    <s v="L1 Support"/>
    <s v="Priya Nair"/>
    <s v="Resolved"/>
    <n v="5"/>
    <n v="24"/>
    <n v="17.22"/>
    <n v="1"/>
  </r>
  <r>
    <s v="TCK-12594"/>
    <s v="2024-06-05 00:32:06"/>
    <s v="2024-06-06 21:55:00"/>
    <s v="P3"/>
    <x v="3"/>
    <s v="Infrastructure"/>
    <s v="Anita Sharma"/>
    <s v="Resolved"/>
    <n v="2"/>
    <n v="24"/>
    <n v="45.38"/>
    <n v="0"/>
  </r>
  <r>
    <s v="TCK-12595"/>
    <s v="2024-07-03 21:01:51"/>
    <s v="2024-07-06 20:44:00"/>
    <s v="P3"/>
    <x v="2"/>
    <s v="L1 Support"/>
    <s v="Michael Scott"/>
    <s v="Resolved"/>
    <n v="2"/>
    <n v="24"/>
    <n v="71.7"/>
    <n v="0"/>
  </r>
  <r>
    <s v="TCK-12596"/>
    <s v="2024-04-01 02:45:48"/>
    <s v="2024-04-01 03:44:09"/>
    <s v="P2"/>
    <x v="3"/>
    <s v="Infrastructure"/>
    <s v="Emily Watson"/>
    <s v="Resolved"/>
    <n v="5"/>
    <n v="8"/>
    <n v="0.97"/>
    <n v="1"/>
  </r>
  <r>
    <s v="TCK-12597"/>
    <s v="2024-11-20 07:42:59"/>
    <s v="2024-11-21 04:34:27"/>
    <s v="P3"/>
    <x v="1"/>
    <s v="L2 Support"/>
    <s v="Anita Sharma"/>
    <s v="Resolved"/>
    <n v="5"/>
    <n v="24"/>
    <n v="20.86"/>
    <n v="1"/>
  </r>
  <r>
    <s v="TCK-12598"/>
    <s v="2024-06-23 20:27:03"/>
    <s v="2024-06-24 05:24:46"/>
    <s v="P3"/>
    <x v="2"/>
    <s v="L1 Support"/>
    <s v="Pam Beesly"/>
    <s v="Resolved"/>
    <n v="4"/>
    <n v="24"/>
    <n v="8.9600000000000009"/>
    <n v="1"/>
  </r>
  <r>
    <s v="TCK-12599"/>
    <s v="2024-10-13 10:57:52"/>
    <s v="2024-10-13 16:36:13"/>
    <s v="P3"/>
    <x v="3"/>
    <s v="Application Support"/>
    <s v="Dwight Schrute"/>
    <s v="Closed"/>
    <n v="5"/>
    <n v="24"/>
    <n v="5.64"/>
    <n v="1"/>
  </r>
  <r>
    <s v="TCK-12600"/>
    <s v="2024-08-16 04:24:28"/>
    <s v="2024-08-16 11:05:34"/>
    <s v="P3"/>
    <x v="1"/>
    <s v="Billing Operations"/>
    <s v="Michael Scott"/>
    <s v="Resolved"/>
    <n v="4"/>
    <n v="24"/>
    <n v="6.68"/>
    <n v="1"/>
  </r>
  <r>
    <s v="TCK-12601"/>
    <s v="2024-11-21 12:08:22"/>
    <s v="2024-11-21 17:18:54"/>
    <s v="P2"/>
    <x v="0"/>
    <s v="L2 Support"/>
    <s v="Alex Mercer"/>
    <s v="Closed"/>
    <n v="4"/>
    <n v="8"/>
    <n v="5.18"/>
    <n v="1"/>
  </r>
  <r>
    <s v="TCK-12602"/>
    <s v="2024-02-11 15:52:36"/>
    <s v="2024-02-11 20:44:19"/>
    <s v="P3"/>
    <x v="0"/>
    <s v="Infrastructure"/>
    <s v="Carlos Mendez"/>
    <s v="Closed"/>
    <n v="4"/>
    <n v="24"/>
    <n v="4.8600000000000003"/>
    <n v="1"/>
  </r>
  <r>
    <s v="TCK-12603"/>
    <s v="2024-06-13 14:02:03"/>
    <s v="2024-06-13 16:47:56"/>
    <s v="P2"/>
    <x v="0"/>
    <s v="L2 Support"/>
    <s v="Anita Sharma"/>
    <s v="Closed"/>
    <n v="5"/>
    <n v="8"/>
    <n v="2.76"/>
    <n v="1"/>
  </r>
  <r>
    <s v="TCK-12604"/>
    <s v="2024-06-06 06:56:07"/>
    <m/>
    <s v="P3"/>
    <x v="2"/>
    <s v="Infrastructure"/>
    <s v="John Doe"/>
    <s v="Open"/>
    <m/>
    <n v="24"/>
    <m/>
    <m/>
  </r>
  <r>
    <s v="TCK-12605"/>
    <s v="2024-11-20 19:51:01"/>
    <s v="2024-11-20 22:51:13"/>
    <s v="P3"/>
    <x v="3"/>
    <s v="L2 Support"/>
    <s v="Anita Sharma"/>
    <s v="Closed"/>
    <n v="4"/>
    <n v="24"/>
    <n v="3"/>
    <n v="1"/>
  </r>
  <r>
    <s v="TCK-12606"/>
    <s v="2024-06-09 19:23:02"/>
    <s v="2024-06-12 22:41:40"/>
    <s v="P4"/>
    <x v="4"/>
    <s v="Billing Operations"/>
    <s v="Alex Mercer"/>
    <s v="Resolved"/>
    <n v="2"/>
    <n v="48"/>
    <n v="75.31"/>
    <n v="0"/>
  </r>
  <r>
    <s v="TCK-12607"/>
    <s v="2024-04-14 15:53:02"/>
    <s v="2024-04-15 03:45:38"/>
    <s v="P3"/>
    <x v="1"/>
    <s v="Application Support"/>
    <s v="Ravi Patel"/>
    <s v="Resolved"/>
    <n v="5"/>
    <n v="24"/>
    <n v="11.88"/>
    <n v="1"/>
  </r>
  <r>
    <s v="TCK-12608"/>
    <s v="2024-01-08 20:08:19"/>
    <m/>
    <s v="P4"/>
    <x v="0"/>
    <s v="L1 Support"/>
    <s v="Jim Halpert"/>
    <s v="Open"/>
    <m/>
    <n v="48"/>
    <m/>
    <m/>
  </r>
  <r>
    <s v="TCK-12609"/>
    <s v="2024-06-22 09:44:32"/>
    <s v="2024-06-23 14:20:27"/>
    <s v="P4"/>
    <x v="1"/>
    <s v="Infrastructure"/>
    <s v="Carlos Mendez"/>
    <s v="Resolved"/>
    <n v="4"/>
    <n v="48"/>
    <n v="28.6"/>
    <n v="1"/>
  </r>
  <r>
    <s v="TCK-12610"/>
    <s v="2024-06-09 19:56:40"/>
    <s v="2024-06-15 07:07:25"/>
    <s v="P4"/>
    <x v="1"/>
    <s v="Infrastructure"/>
    <s v="Jim Halpert"/>
    <s v="Closed"/>
    <n v="2"/>
    <n v="48"/>
    <n v="131.18"/>
    <n v="0"/>
  </r>
  <r>
    <s v="TCK-12611"/>
    <s v="2024-08-07 01:25:03"/>
    <s v="2024-08-07 06:02:40"/>
    <s v="P2"/>
    <x v="2"/>
    <s v="L2 Support"/>
    <s v="Ravi Patel"/>
    <s v="Resolved"/>
    <n v="5"/>
    <n v="8"/>
    <n v="4.63"/>
    <n v="1"/>
  </r>
  <r>
    <s v="TCK-12612"/>
    <s v="2024-10-21 00:35:37"/>
    <s v="2024-10-22 21:38:54"/>
    <s v="P4"/>
    <x v="2"/>
    <s v="L2 Support"/>
    <s v="Pam Beesly"/>
    <s v="Closed"/>
    <n v="4"/>
    <n v="48"/>
    <n v="45.05"/>
    <n v="1"/>
  </r>
  <r>
    <s v="TCK-12613"/>
    <s v="2024-09-28 18:02:28"/>
    <s v="2024-09-29 11:54:23"/>
    <s v="P3"/>
    <x v="0"/>
    <s v="L2 Support"/>
    <s v="John Doe"/>
    <s v="Resolved"/>
    <n v="4"/>
    <n v="24"/>
    <n v="17.87"/>
    <n v="1"/>
  </r>
  <r>
    <s v="TCK-12614"/>
    <s v="2024-11-30 18:46:11"/>
    <s v="2024-11-30 20:11:04"/>
    <s v="P1"/>
    <x v="0"/>
    <s v="L1 Support"/>
    <s v="Jim Halpert"/>
    <s v="Resolved"/>
    <n v="5"/>
    <n v="4"/>
    <n v="1.41"/>
    <n v="1"/>
  </r>
  <r>
    <s v="TCK-12615"/>
    <s v="2024-11-13 15:57:46"/>
    <s v="2024-11-14 01:07:04"/>
    <s v="P3"/>
    <x v="1"/>
    <s v="Application Support"/>
    <s v="Priya Nair"/>
    <s v="Resolved"/>
    <n v="4"/>
    <n v="24"/>
    <n v="9.15"/>
    <n v="1"/>
  </r>
  <r>
    <s v="TCK-12616"/>
    <s v="2024-12-01 11:51:38"/>
    <s v="2024-12-01 17:45:11"/>
    <s v="P2"/>
    <x v="3"/>
    <s v="Infrastructure"/>
    <s v="Emily Watson"/>
    <s v="Closed"/>
    <n v="5"/>
    <n v="8"/>
    <n v="5.89"/>
    <n v="1"/>
  </r>
  <r>
    <s v="TCK-12617"/>
    <s v="2024-01-10 10:03:23"/>
    <s v="2024-01-11 03:43:09"/>
    <s v="P3"/>
    <x v="1"/>
    <s v="Billing Operations"/>
    <s v="Jim Halpert"/>
    <s v="Resolved"/>
    <n v="5"/>
    <n v="24"/>
    <n v="17.66"/>
    <n v="1"/>
  </r>
  <r>
    <s v="TCK-12618"/>
    <s v="2024-10-19 23:28:37"/>
    <s v="2024-10-20 20:41:35"/>
    <s v="P3"/>
    <x v="0"/>
    <s v="L2 Support"/>
    <s v="Alex Mercer"/>
    <s v="Resolved"/>
    <n v="5"/>
    <n v="24"/>
    <n v="21.22"/>
    <n v="1"/>
  </r>
  <r>
    <s v="TCK-12619"/>
    <s v="2024-11-23 11:46:49"/>
    <s v="2024-11-28 14:52:22"/>
    <s v="P4"/>
    <x v="3"/>
    <s v="L2 Support"/>
    <s v="John Doe"/>
    <s v="Closed"/>
    <n v="4"/>
    <n v="48"/>
    <n v="123.09"/>
    <n v="0"/>
  </r>
  <r>
    <s v="TCK-12620"/>
    <s v="2024-12-08 21:55:25"/>
    <s v="2024-12-13 07:03:33"/>
    <s v="P4"/>
    <x v="3"/>
    <s v="Infrastructure"/>
    <s v="Michael Scott"/>
    <s v="Resolved"/>
    <n v="1"/>
    <n v="48"/>
    <n v="105.14"/>
    <n v="0"/>
  </r>
  <r>
    <s v="TCK-12621"/>
    <s v="2024-03-02 06:12:13"/>
    <s v="2024-03-02 09:26:05"/>
    <s v="P2"/>
    <x v="1"/>
    <s v="L2 Support"/>
    <s v="John Doe"/>
    <s v="Resolved"/>
    <n v="3"/>
    <n v="8"/>
    <n v="3.23"/>
    <n v="1"/>
  </r>
  <r>
    <s v="TCK-12622"/>
    <s v="2024-11-10 17:54:08"/>
    <s v="2024-11-11 08:54:48"/>
    <s v="P3"/>
    <x v="3"/>
    <s v="Infrastructure"/>
    <s v="Pam Beesly"/>
    <s v="Closed"/>
    <n v="5"/>
    <n v="24"/>
    <n v="15.01"/>
    <n v="1"/>
  </r>
  <r>
    <s v="TCK-12623"/>
    <s v="2024-05-11 11:04:33"/>
    <s v="2024-05-11 17:24:19"/>
    <s v="P2"/>
    <x v="0"/>
    <s v="L1 Support"/>
    <s v="Emily Watson"/>
    <s v="Closed"/>
    <n v="5"/>
    <n v="8"/>
    <n v="6.33"/>
    <n v="1"/>
  </r>
  <r>
    <s v="TCK-12624"/>
    <s v="2024-04-20 22:52:25"/>
    <s v="2024-04-21 18:36:34"/>
    <s v="P3"/>
    <x v="2"/>
    <s v="L2 Support"/>
    <s v="Emily Watson"/>
    <s v="Resolved"/>
    <n v="4"/>
    <n v="24"/>
    <n v="19.739999999999998"/>
    <n v="1"/>
  </r>
  <r>
    <s v="TCK-12625"/>
    <s v="2024-03-04 17:14:25"/>
    <s v="2024-03-05 06:37:22"/>
    <s v="P3"/>
    <x v="1"/>
    <s v="Billing Operations"/>
    <s v="Alex Mercer"/>
    <s v="Resolved"/>
    <n v="5"/>
    <n v="24"/>
    <n v="13.38"/>
    <n v="1"/>
  </r>
  <r>
    <s v="TCK-12626"/>
    <s v="2024-02-17 21:18:21"/>
    <s v="2024-02-18 06:36:12"/>
    <s v="P2"/>
    <x v="4"/>
    <s v="Infrastructure"/>
    <s v="Michael Scott"/>
    <s v="Resolved"/>
    <n v="3"/>
    <n v="8"/>
    <n v="9.3000000000000007"/>
    <n v="0"/>
  </r>
  <r>
    <s v="TCK-12627"/>
    <s v="2024-10-19 03:09:12"/>
    <s v="2024-10-20 09:52:16"/>
    <s v="P3"/>
    <x v="2"/>
    <s v="Billing Operations"/>
    <s v="Anita Sharma"/>
    <s v="Closed"/>
    <n v="1"/>
    <n v="24"/>
    <n v="30.72"/>
    <n v="0"/>
  </r>
  <r>
    <s v="TCK-12628"/>
    <s v="2024-07-12 02:54:15"/>
    <s v="2024-07-12 06:38:30"/>
    <s v="P3"/>
    <x v="1"/>
    <s v="Application Support"/>
    <s v="Michael Scott"/>
    <s v="Closed"/>
    <n v="3"/>
    <n v="24"/>
    <n v="3.74"/>
    <n v="1"/>
  </r>
  <r>
    <s v="TCK-12629"/>
    <s v="2024-03-12 02:42:53"/>
    <s v="2024-03-12 17:48:22"/>
    <s v="P3"/>
    <x v="0"/>
    <s v="L1 Support"/>
    <s v="Anita Sharma"/>
    <s v="Resolved"/>
    <n v="5"/>
    <n v="24"/>
    <n v="15.09"/>
    <n v="1"/>
  </r>
  <r>
    <s v="TCK-12630"/>
    <s v="2024-08-15 21:30:49"/>
    <s v="2024-08-15 23:53:31"/>
    <s v="P2"/>
    <x v="2"/>
    <s v="L1 Support"/>
    <s v="Priya Nair"/>
    <s v="Resolved"/>
    <n v="4"/>
    <n v="8"/>
    <n v="2.38"/>
    <n v="1"/>
  </r>
  <r>
    <s v="TCK-12631"/>
    <s v="2024-06-13 19:47:33"/>
    <s v="2024-06-15 14:02:20"/>
    <s v="P4"/>
    <x v="2"/>
    <s v="Infrastructure"/>
    <s v="John Doe"/>
    <s v="Closed"/>
    <n v="4"/>
    <n v="48"/>
    <n v="42.25"/>
    <n v="1"/>
  </r>
  <r>
    <s v="TCK-12632"/>
    <s v="2024-02-10 06:57:48"/>
    <s v="2024-02-11 19:02:04"/>
    <s v="P4"/>
    <x v="1"/>
    <s v="L1 Support"/>
    <s v="Anita Sharma"/>
    <s v="Resolved"/>
    <n v="3"/>
    <n v="48"/>
    <n v="36.07"/>
    <n v="1"/>
  </r>
  <r>
    <s v="TCK-12633"/>
    <s v="2024-08-10 02:52:08"/>
    <s v="2024-08-10 06:30:54"/>
    <s v="P3"/>
    <x v="3"/>
    <s v="Billing Operations"/>
    <s v="Michael Scott"/>
    <s v="Resolved"/>
    <n v="4"/>
    <n v="24"/>
    <n v="3.65"/>
    <n v="1"/>
  </r>
  <r>
    <s v="TCK-12634"/>
    <s v="2024-02-11 11:00:37"/>
    <s v="2024-02-11 12:07:25"/>
    <s v="P1"/>
    <x v="4"/>
    <s v="Infrastructure"/>
    <s v="Pam Beesly"/>
    <s v="Resolved"/>
    <n v="5"/>
    <n v="4"/>
    <n v="1.1100000000000001"/>
    <n v="1"/>
  </r>
  <r>
    <s v="TCK-12635"/>
    <s v="2024-02-09 07:29:34"/>
    <s v="2024-02-09 18:54:06"/>
    <s v="P3"/>
    <x v="1"/>
    <s v="L2 Support"/>
    <s v="Carlos Mendez"/>
    <s v="Closed"/>
    <n v="5"/>
    <n v="24"/>
    <n v="11.41"/>
    <n v="1"/>
  </r>
  <r>
    <s v="TCK-12636"/>
    <s v="2024-06-28 08:47:21"/>
    <s v="2024-06-29 04:43:57"/>
    <s v="P3"/>
    <x v="2"/>
    <s v="Billing Operations"/>
    <s v="John Doe"/>
    <s v="Resolved"/>
    <n v="4"/>
    <n v="24"/>
    <n v="19.940000000000001"/>
    <n v="1"/>
  </r>
  <r>
    <s v="TCK-12637"/>
    <s v="2024-02-06 14:46:39"/>
    <s v="2024-02-07 12:11:08"/>
    <s v="P3"/>
    <x v="2"/>
    <s v="Infrastructure"/>
    <s v="Carlos Mendez"/>
    <s v="Closed"/>
    <n v="5"/>
    <n v="24"/>
    <n v="21.41"/>
    <n v="1"/>
  </r>
  <r>
    <s v="TCK-12638"/>
    <s v="2024-08-17 17:43:48"/>
    <s v="2024-08-17 18:48:42"/>
    <s v="P2"/>
    <x v="4"/>
    <s v="L1 Support"/>
    <s v="Michael Scott"/>
    <s v="Closed"/>
    <n v="4"/>
    <n v="8"/>
    <n v="1.08"/>
    <n v="1"/>
  </r>
  <r>
    <s v="TCK-12639"/>
    <s v="2024-05-28 18:23:51"/>
    <s v="2024-05-30 15:26:00"/>
    <s v="P4"/>
    <x v="1"/>
    <s v="L2 Support"/>
    <s v="Emily Watson"/>
    <s v="Closed"/>
    <n v="4"/>
    <n v="48"/>
    <n v="45.04"/>
    <n v="1"/>
  </r>
  <r>
    <s v="TCK-12640"/>
    <s v="2024-02-07 08:01:38"/>
    <s v="2024-02-08 00:00:13"/>
    <s v="P3"/>
    <x v="3"/>
    <s v="L1 Support"/>
    <s v="John Doe"/>
    <s v="Resolved"/>
    <n v="5"/>
    <n v="24"/>
    <n v="15.98"/>
    <n v="1"/>
  </r>
  <r>
    <s v="TCK-12641"/>
    <s v="2024-04-17 02:35:58"/>
    <s v="2024-04-17 05:49:11"/>
    <s v="P1"/>
    <x v="2"/>
    <s v="Billing Operations"/>
    <s v="Pam Beesly"/>
    <s v="Closed"/>
    <n v="5"/>
    <n v="4"/>
    <n v="3.22"/>
    <n v="1"/>
  </r>
  <r>
    <s v="TCK-12642"/>
    <s v="2024-10-28 06:00:33"/>
    <s v="2024-10-28 11:50:19"/>
    <s v="P2"/>
    <x v="2"/>
    <s v="Application Support"/>
    <s v="John Doe"/>
    <s v="Resolved"/>
    <n v="4"/>
    <n v="8"/>
    <n v="5.83"/>
    <n v="1"/>
  </r>
  <r>
    <s v="TCK-12643"/>
    <s v="2024-07-06 14:56:33"/>
    <s v="2024-07-06 21:02:50"/>
    <s v="P2"/>
    <x v="1"/>
    <s v="L2 Support"/>
    <s v="Pam Beesly"/>
    <s v="Resolved"/>
    <n v="5"/>
    <n v="8"/>
    <n v="6.1"/>
    <n v="1"/>
  </r>
  <r>
    <s v="TCK-12644"/>
    <s v="2024-10-13 14:23:55"/>
    <s v="2024-10-14 10:32:16"/>
    <s v="P3"/>
    <x v="0"/>
    <s v="Application Support"/>
    <s v="John Doe"/>
    <s v="Closed"/>
    <n v="3"/>
    <n v="24"/>
    <n v="20.14"/>
    <n v="1"/>
  </r>
  <r>
    <s v="TCK-12645"/>
    <s v="2024-02-11 14:41:25"/>
    <s v="2024-02-13 12:49:12"/>
    <s v="P3"/>
    <x v="2"/>
    <s v="Application Support"/>
    <s v="John Doe"/>
    <s v="Closed"/>
    <n v="2"/>
    <n v="24"/>
    <n v="46.13"/>
    <n v="0"/>
  </r>
  <r>
    <s v="TCK-12646"/>
    <s v="2024-03-14 14:50:20"/>
    <s v="2024-03-15 23:58:21"/>
    <s v="P3"/>
    <x v="2"/>
    <s v="L2 Support"/>
    <s v="Carlos Mendez"/>
    <s v="Resolved"/>
    <n v="1"/>
    <n v="24"/>
    <n v="33.130000000000003"/>
    <n v="0"/>
  </r>
  <r>
    <s v="TCK-12647"/>
    <s v="2024-12-24 10:12:16"/>
    <s v="2024-12-24 15:07:18"/>
    <s v="P2"/>
    <x v="2"/>
    <s v="Billing Operations"/>
    <s v="John Doe"/>
    <s v="Closed"/>
    <n v="5"/>
    <n v="8"/>
    <n v="4.92"/>
    <n v="1"/>
  </r>
  <r>
    <s v="TCK-12648"/>
    <s v="2024-06-02 12:15:05"/>
    <s v="2024-06-02 19:17:51"/>
    <s v="P2"/>
    <x v="3"/>
    <s v="L1 Support"/>
    <s v="John Doe"/>
    <s v="Resolved"/>
    <n v="5"/>
    <n v="8"/>
    <n v="7.05"/>
    <n v="1"/>
  </r>
  <r>
    <s v="TCK-12649"/>
    <s v="2024-11-17 21:48:37"/>
    <s v="2024-11-19 12:43:01"/>
    <s v="P4"/>
    <x v="4"/>
    <s v="Infrastructure"/>
    <s v="Jim Halpert"/>
    <s v="Resolved"/>
    <n v="5"/>
    <n v="48"/>
    <n v="38.909999999999997"/>
    <n v="1"/>
  </r>
  <r>
    <s v="TCK-12650"/>
    <s v="2024-01-08 14:53:03"/>
    <s v="2024-01-08 22:17:40"/>
    <s v="P3"/>
    <x v="3"/>
    <s v="L1 Support"/>
    <s v="Priya Nair"/>
    <s v="Closed"/>
    <n v="5"/>
    <n v="24"/>
    <n v="7.41"/>
    <n v="1"/>
  </r>
  <r>
    <s v="TCK-12651"/>
    <s v="2024-07-28 13:27:05"/>
    <s v="2024-07-30 01:03:00"/>
    <s v="P3"/>
    <x v="1"/>
    <s v="Infrastructure"/>
    <s v="Dwight Schrute"/>
    <s v="Resolved"/>
    <n v="3"/>
    <n v="24"/>
    <n v="35.6"/>
    <n v="0"/>
  </r>
  <r>
    <s v="TCK-12652"/>
    <s v="2024-09-27 04:15:53"/>
    <s v="2024-09-27 05:45:14"/>
    <s v="P1"/>
    <x v="4"/>
    <s v="Billing Operations"/>
    <s v="John Doe"/>
    <s v="Resolved"/>
    <n v="4"/>
    <n v="4"/>
    <n v="1.49"/>
    <n v="1"/>
  </r>
  <r>
    <s v="TCK-12653"/>
    <s v="2024-02-13 09:38:15"/>
    <m/>
    <s v="P4"/>
    <x v="0"/>
    <s v="L1 Support"/>
    <s v="Dwight Schrute"/>
    <s v="Escalated"/>
    <m/>
    <n v="48"/>
    <m/>
    <m/>
  </r>
  <r>
    <s v="TCK-12654"/>
    <s v="2024-12-04 07:51:43"/>
    <m/>
    <s v="P2"/>
    <x v="2"/>
    <s v="Billing Operations"/>
    <s v="Priya Nair"/>
    <s v="Open"/>
    <m/>
    <n v="8"/>
    <m/>
    <m/>
  </r>
  <r>
    <s v="TCK-12655"/>
    <s v="2024-01-05 08:13:14"/>
    <s v="2024-01-05 10:07:57"/>
    <s v="P1"/>
    <x v="2"/>
    <s v="Application Support"/>
    <s v="John Doe"/>
    <s v="Resolved"/>
    <n v="4"/>
    <n v="4"/>
    <n v="1.91"/>
    <n v="1"/>
  </r>
  <r>
    <s v="TCK-12656"/>
    <s v="2024-02-27 06:32:00"/>
    <s v="2024-02-28 13:33:51"/>
    <s v="P4"/>
    <x v="3"/>
    <s v="L2 Support"/>
    <s v="Emily Watson"/>
    <s v="Closed"/>
    <n v="5"/>
    <n v="48"/>
    <n v="31.03"/>
    <n v="1"/>
  </r>
  <r>
    <s v="TCK-12657"/>
    <s v="2024-04-10 21:49:26"/>
    <s v="2024-04-10 23:17:52"/>
    <s v="P2"/>
    <x v="1"/>
    <s v="Application Support"/>
    <s v="Michael Scott"/>
    <s v="Resolved"/>
    <n v="4"/>
    <n v="8"/>
    <n v="1.47"/>
    <n v="1"/>
  </r>
  <r>
    <s v="TCK-12658"/>
    <s v="2024-12-15 19:56:19"/>
    <s v="2024-12-17 13:14:41"/>
    <s v="P4"/>
    <x v="1"/>
    <s v="L2 Support"/>
    <s v="Dwight Schrute"/>
    <s v="Resolved"/>
    <n v="5"/>
    <n v="48"/>
    <n v="41.31"/>
    <n v="1"/>
  </r>
  <r>
    <s v="TCK-12659"/>
    <s v="2024-07-04 10:18:57"/>
    <s v="2024-07-05 01:21:25"/>
    <s v="P4"/>
    <x v="0"/>
    <s v="L1 Support"/>
    <s v="Jim Halpert"/>
    <s v="Closed"/>
    <n v="4"/>
    <n v="48"/>
    <n v="15.04"/>
    <n v="1"/>
  </r>
  <r>
    <s v="TCK-12660"/>
    <s v="2024-08-30 13:04:43"/>
    <s v="2024-09-02 00:50:48"/>
    <s v="P4"/>
    <x v="4"/>
    <s v="Application Support"/>
    <s v="Sarah Connor"/>
    <s v="Resolved"/>
    <n v="2"/>
    <n v="48"/>
    <n v="59.77"/>
    <n v="0"/>
  </r>
  <r>
    <s v="TCK-12661"/>
    <s v="2024-01-09 00:17:45"/>
    <s v="2024-01-09 17:19:36"/>
    <s v="P4"/>
    <x v="0"/>
    <s v="Application Support"/>
    <s v="Anita Sharma"/>
    <s v="Closed"/>
    <n v="4"/>
    <n v="48"/>
    <n v="17.03"/>
    <n v="1"/>
  </r>
  <r>
    <s v="TCK-12662"/>
    <s v="2024-12-08 22:44:41"/>
    <s v="2024-12-09 04:46:15"/>
    <s v="P2"/>
    <x v="3"/>
    <s v="Application Support"/>
    <s v="Michael Scott"/>
    <s v="Resolved"/>
    <n v="4"/>
    <n v="8"/>
    <n v="6.03"/>
    <n v="1"/>
  </r>
  <r>
    <s v="TCK-12663"/>
    <s v="2024-04-14 16:10:10"/>
    <s v="2024-04-14 20:01:12"/>
    <s v="P2"/>
    <x v="0"/>
    <s v="L2 Support"/>
    <s v="Ravi Patel"/>
    <s v="Closed"/>
    <n v="5"/>
    <n v="8"/>
    <n v="3.85"/>
    <n v="1"/>
  </r>
  <r>
    <s v="TCK-12664"/>
    <s v="2024-01-05 12:28:45"/>
    <s v="2024-01-05 18:27:15"/>
    <s v="P2"/>
    <x v="0"/>
    <s v="Billing Operations"/>
    <s v="Pam Beesly"/>
    <s v="Closed"/>
    <n v="4"/>
    <n v="8"/>
    <n v="5.98"/>
    <n v="1"/>
  </r>
  <r>
    <s v="TCK-12665"/>
    <s v="2024-08-08 20:27:56"/>
    <s v="2024-08-08 21:46:14"/>
    <s v="P1"/>
    <x v="3"/>
    <s v="L2 Support"/>
    <s v="Emily Watson"/>
    <s v="Resolved"/>
    <n v="5"/>
    <n v="4"/>
    <n v="1.3"/>
    <n v="1"/>
  </r>
  <r>
    <s v="TCK-12666"/>
    <s v="2024-01-02 13:56:47"/>
    <s v="2024-01-03 11:35:45"/>
    <s v="P3"/>
    <x v="2"/>
    <s v="Infrastructure"/>
    <s v="Carlos Mendez"/>
    <s v="Closed"/>
    <n v="4"/>
    <n v="24"/>
    <n v="21.65"/>
    <n v="1"/>
  </r>
  <r>
    <s v="TCK-12667"/>
    <s v="2024-06-01 02:39:29"/>
    <s v="2024-06-01 16:55:18"/>
    <s v="P3"/>
    <x v="2"/>
    <s v="Billing Operations"/>
    <s v="Anita Sharma"/>
    <s v="Resolved"/>
    <n v="4"/>
    <n v="24"/>
    <n v="14.26"/>
    <n v="1"/>
  </r>
  <r>
    <s v="TCK-12668"/>
    <s v="2024-07-26 13:47:49"/>
    <s v="2024-07-26 15:35:34"/>
    <s v="P1"/>
    <x v="3"/>
    <s v="L1 Support"/>
    <s v="Michael Scott"/>
    <s v="Resolved"/>
    <n v="3"/>
    <n v="4"/>
    <n v="1.8"/>
    <n v="1"/>
  </r>
  <r>
    <s v="TCK-12669"/>
    <s v="2024-03-27 14:23:31"/>
    <s v="2024-03-28 00:52:26"/>
    <s v="P3"/>
    <x v="4"/>
    <s v="Billing Operations"/>
    <s v="Michael Scott"/>
    <s v="Resolved"/>
    <n v="4"/>
    <n v="24"/>
    <n v="10.48"/>
    <n v="1"/>
  </r>
  <r>
    <s v="TCK-12670"/>
    <s v="2024-07-29 21:58:13"/>
    <s v="2024-07-30 09:54:15"/>
    <s v="P3"/>
    <x v="0"/>
    <s v="Infrastructure"/>
    <s v="Jim Halpert"/>
    <s v="Resolved"/>
    <n v="5"/>
    <n v="24"/>
    <n v="11.93"/>
    <n v="1"/>
  </r>
  <r>
    <s v="TCK-12671"/>
    <s v="2024-05-30 21:37:14"/>
    <s v="2024-06-01 02:53:53"/>
    <s v="P3"/>
    <x v="2"/>
    <s v="L1 Support"/>
    <s v="Pam Beesly"/>
    <s v="Closed"/>
    <n v="2"/>
    <n v="24"/>
    <n v="29.28"/>
    <n v="0"/>
  </r>
  <r>
    <s v="TCK-12672"/>
    <s v="2024-07-20 07:43:18"/>
    <s v="2024-07-21 16:44:03"/>
    <s v="P3"/>
    <x v="3"/>
    <s v="L1 Support"/>
    <s v="John Doe"/>
    <s v="Resolved"/>
    <n v="3"/>
    <n v="24"/>
    <n v="33.01"/>
    <n v="0"/>
  </r>
  <r>
    <s v="TCK-12673"/>
    <s v="2024-01-05 15:23:38"/>
    <s v="2024-01-07 18:54:00"/>
    <s v="P3"/>
    <x v="2"/>
    <s v="L1 Support"/>
    <s v="Priya Nair"/>
    <s v="Resolved"/>
    <n v="1"/>
    <n v="24"/>
    <n v="51.51"/>
    <n v="0"/>
  </r>
  <r>
    <s v="TCK-12674"/>
    <s v="2024-04-02 01:25:50"/>
    <s v="2024-04-02 18:13:50"/>
    <s v="P3"/>
    <x v="0"/>
    <s v="Application Support"/>
    <s v="Alex Mercer"/>
    <s v="Resolved"/>
    <n v="4"/>
    <n v="24"/>
    <n v="16.8"/>
    <n v="1"/>
  </r>
  <r>
    <s v="TCK-12675"/>
    <s v="2024-12-21 14:59:26"/>
    <s v="2024-12-22 06:58:27"/>
    <s v="P3"/>
    <x v="2"/>
    <s v="L2 Support"/>
    <s v="Alex Mercer"/>
    <s v="Resolved"/>
    <n v="3"/>
    <n v="24"/>
    <n v="15.98"/>
    <n v="1"/>
  </r>
  <r>
    <s v="TCK-12676"/>
    <s v="2024-06-06 10:41:36"/>
    <m/>
    <s v="P3"/>
    <x v="0"/>
    <s v="L1 Support"/>
    <s v="Ravi Patel"/>
    <s v="Open"/>
    <m/>
    <n v="24"/>
    <m/>
    <m/>
  </r>
  <r>
    <s v="TCK-12677"/>
    <s v="2024-03-12 10:01:22"/>
    <s v="2024-03-13 00:57:16"/>
    <s v="P3"/>
    <x v="2"/>
    <s v="Application Support"/>
    <s v="Anita Sharma"/>
    <s v="Closed"/>
    <n v="5"/>
    <n v="24"/>
    <n v="14.93"/>
    <n v="1"/>
  </r>
  <r>
    <s v="TCK-12678"/>
    <s v="2024-06-24 22:04:55"/>
    <s v="2024-06-25 12:40:37"/>
    <s v="P3"/>
    <x v="2"/>
    <s v="Infrastructure"/>
    <s v="Emily Watson"/>
    <s v="Resolved"/>
    <n v="5"/>
    <n v="24"/>
    <n v="14.6"/>
    <n v="1"/>
  </r>
  <r>
    <s v="TCK-12679"/>
    <s v="2024-05-30 17:03:59"/>
    <s v="2024-05-31 09:40:20"/>
    <s v="P3"/>
    <x v="2"/>
    <s v="Application Support"/>
    <s v="Emily Watson"/>
    <s v="Resolved"/>
    <n v="5"/>
    <n v="24"/>
    <n v="16.61"/>
    <n v="1"/>
  </r>
  <r>
    <s v="TCK-12680"/>
    <s v="2024-12-03 14:36:53"/>
    <s v="2024-12-05 11:58:49"/>
    <s v="P4"/>
    <x v="0"/>
    <s v="Application Support"/>
    <s v="Alex Mercer"/>
    <s v="Closed"/>
    <n v="4"/>
    <n v="48"/>
    <n v="45.37"/>
    <n v="1"/>
  </r>
  <r>
    <s v="TCK-12681"/>
    <s v="2024-01-09 20:11:26"/>
    <s v="2024-01-10 19:34:16"/>
    <s v="P4"/>
    <x v="3"/>
    <s v="Billing Operations"/>
    <s v="John Doe"/>
    <s v="Resolved"/>
    <n v="4"/>
    <n v="48"/>
    <n v="23.38"/>
    <n v="1"/>
  </r>
  <r>
    <s v="TCK-12682"/>
    <s v="2024-11-28 22:40:12"/>
    <s v="2024-11-29 10:06:09"/>
    <s v="P3"/>
    <x v="0"/>
    <s v="L1 Support"/>
    <s v="Ravi Patel"/>
    <s v="Closed"/>
    <n v="4"/>
    <n v="24"/>
    <n v="11.43"/>
    <n v="1"/>
  </r>
  <r>
    <s v="TCK-12683"/>
    <s v="2024-03-21 07:25:56"/>
    <s v="2024-03-21 14:46:29"/>
    <s v="P2"/>
    <x v="1"/>
    <s v="L1 Support"/>
    <s v="Jim Halpert"/>
    <s v="Closed"/>
    <n v="5"/>
    <n v="8"/>
    <n v="7.34"/>
    <n v="1"/>
  </r>
  <r>
    <s v="TCK-12684"/>
    <s v="2024-01-07 02:13:33"/>
    <s v="2024-01-09 18:42:19"/>
    <s v="P3"/>
    <x v="4"/>
    <s v="Billing Operations"/>
    <s v="Anita Sharma"/>
    <s v="Resolved"/>
    <n v="1"/>
    <n v="24"/>
    <n v="64.48"/>
    <n v="0"/>
  </r>
  <r>
    <s v="TCK-12685"/>
    <s v="2024-08-08 09:33:50"/>
    <s v="2024-08-09 03:32:11"/>
    <s v="P4"/>
    <x v="4"/>
    <s v="Application Support"/>
    <s v="Sarah Connor"/>
    <s v="Closed"/>
    <n v="5"/>
    <n v="48"/>
    <n v="17.97"/>
    <n v="1"/>
  </r>
  <r>
    <s v="TCK-12686"/>
    <s v="2024-03-20 14:06:11"/>
    <s v="2024-03-22 16:17:21"/>
    <s v="P3"/>
    <x v="2"/>
    <s v="L1 Support"/>
    <s v="Dwight Schrute"/>
    <s v="Closed"/>
    <n v="3"/>
    <n v="24"/>
    <n v="50.19"/>
    <n v="0"/>
  </r>
  <r>
    <s v="TCK-12687"/>
    <s v="2024-04-29 22:24:15"/>
    <s v="2024-04-30 14:59:29"/>
    <s v="P3"/>
    <x v="1"/>
    <s v="Billing Operations"/>
    <s v="Michael Scott"/>
    <s v="Resolved"/>
    <n v="5"/>
    <n v="24"/>
    <n v="16.59"/>
    <n v="1"/>
  </r>
  <r>
    <s v="TCK-12688"/>
    <s v="2024-09-15 13:01:24"/>
    <s v="2024-09-16 06:48:24"/>
    <s v="P2"/>
    <x v="0"/>
    <s v="L2 Support"/>
    <s v="Pam Beesly"/>
    <s v="Resolved"/>
    <n v="1"/>
    <n v="8"/>
    <n v="17.78"/>
    <n v="0"/>
  </r>
  <r>
    <s v="TCK-12689"/>
    <s v="2024-04-19 23:00:43"/>
    <s v="2024-04-20 05:04:35"/>
    <s v="P3"/>
    <x v="3"/>
    <s v="Application Support"/>
    <s v="Dwight Schrute"/>
    <s v="Resolved"/>
    <n v="5"/>
    <n v="24"/>
    <n v="6.06"/>
    <n v="1"/>
  </r>
  <r>
    <s v="TCK-12690"/>
    <s v="2024-11-14 14:32:10"/>
    <m/>
    <s v="P3"/>
    <x v="2"/>
    <s v="Infrastructure"/>
    <s v="Michael Scott"/>
    <s v="Escalated"/>
    <m/>
    <n v="24"/>
    <m/>
    <m/>
  </r>
  <r>
    <s v="TCK-12691"/>
    <s v="2024-07-25 08:38:11"/>
    <m/>
    <s v="P2"/>
    <x v="4"/>
    <s v="L2 Support"/>
    <s v="Ravi Patel"/>
    <s v="Open"/>
    <m/>
    <n v="8"/>
    <m/>
    <m/>
  </r>
  <r>
    <s v="TCK-12692"/>
    <s v="2024-10-15 16:35:37"/>
    <s v="2024-10-16 09:08:45"/>
    <s v="P3"/>
    <x v="3"/>
    <s v="L2 Support"/>
    <s v="Alex Mercer"/>
    <s v="Closed"/>
    <n v="5"/>
    <n v="24"/>
    <n v="16.55"/>
    <n v="1"/>
  </r>
  <r>
    <s v="TCK-12693"/>
    <s v="2024-01-30 14:15:48"/>
    <s v="2024-02-01 09:32:42"/>
    <s v="P3"/>
    <x v="2"/>
    <s v="Application Support"/>
    <s v="Dwight Schrute"/>
    <s v="Resolved"/>
    <n v="2"/>
    <n v="24"/>
    <n v="43.28"/>
    <n v="0"/>
  </r>
  <r>
    <s v="TCK-12694"/>
    <s v="2024-09-06 05:33:24"/>
    <s v="2024-09-06 12:13:47"/>
    <s v="P2"/>
    <x v="2"/>
    <s v="L1 Support"/>
    <s v="Pam Beesly"/>
    <s v="Closed"/>
    <n v="5"/>
    <n v="8"/>
    <n v="6.67"/>
    <n v="1"/>
  </r>
  <r>
    <s v="TCK-12695"/>
    <s v="2024-12-24 01:38:01"/>
    <m/>
    <s v="P1"/>
    <x v="2"/>
    <s v="Infrastructure"/>
    <s v="Anita Sharma"/>
    <s v="Open"/>
    <m/>
    <n v="4"/>
    <m/>
    <m/>
  </r>
  <r>
    <s v="TCK-12696"/>
    <s v="2024-09-12 22:35:13"/>
    <s v="2024-09-13 02:26:18"/>
    <s v="P2"/>
    <x v="0"/>
    <s v="Billing Operations"/>
    <s v="Sarah Connor"/>
    <s v="Resolved"/>
    <n v="3"/>
    <n v="8"/>
    <n v="3.85"/>
    <n v="1"/>
  </r>
  <r>
    <s v="TCK-12697"/>
    <s v="2024-07-04 04:12:45"/>
    <s v="2024-07-04 07:36:14"/>
    <s v="P1"/>
    <x v="0"/>
    <s v="L2 Support"/>
    <s v="Jim Halpert"/>
    <s v="Closed"/>
    <n v="4"/>
    <n v="4"/>
    <n v="3.39"/>
    <n v="1"/>
  </r>
  <r>
    <s v="TCK-12698"/>
    <s v="2024-07-18 15:09:38"/>
    <s v="2024-07-18 20:56:19"/>
    <s v="P3"/>
    <x v="1"/>
    <s v="L1 Support"/>
    <s v="Dwight Schrute"/>
    <s v="Resolved"/>
    <n v="5"/>
    <n v="24"/>
    <n v="5.78"/>
    <n v="1"/>
  </r>
  <r>
    <s v="TCK-12699"/>
    <s v="2024-08-02 00:52:03"/>
    <s v="2024-08-02 08:06:13"/>
    <s v="P2"/>
    <x v="0"/>
    <s v="Infrastructure"/>
    <s v="Michael Scott"/>
    <s v="Closed"/>
    <n v="5"/>
    <n v="8"/>
    <n v="7.24"/>
    <n v="1"/>
  </r>
  <r>
    <s v="TCK-12700"/>
    <s v="2024-01-08 19:20:05"/>
    <m/>
    <s v="P3"/>
    <x v="2"/>
    <s v="Billing Operations"/>
    <s v="Pam Beesly"/>
    <s v="Open"/>
    <m/>
    <n v="24"/>
    <m/>
    <m/>
  </r>
  <r>
    <s v="TCK-12701"/>
    <s v="2024-03-12 17:36:46"/>
    <s v="2024-03-13 04:38:29"/>
    <s v="P3"/>
    <x v="2"/>
    <s v="Infrastructure"/>
    <s v="Sarah Connor"/>
    <s v="Resolved"/>
    <n v="5"/>
    <n v="24"/>
    <n v="11.03"/>
    <n v="1"/>
  </r>
  <r>
    <s v="TCK-12702"/>
    <s v="2024-02-13 23:01:19"/>
    <s v="2024-02-14 09:25:01"/>
    <s v="P3"/>
    <x v="0"/>
    <s v="Application Support"/>
    <s v="Sarah Connor"/>
    <s v="Resolved"/>
    <n v="3"/>
    <n v="24"/>
    <n v="10.4"/>
    <n v="1"/>
  </r>
  <r>
    <s v="TCK-12703"/>
    <s v="2024-01-14 04:27:17"/>
    <s v="2024-01-14 22:18:21"/>
    <s v="P3"/>
    <x v="0"/>
    <s v="L2 Support"/>
    <s v="Anita Sharma"/>
    <s v="Resolved"/>
    <n v="4"/>
    <n v="24"/>
    <n v="17.850000000000001"/>
    <n v="1"/>
  </r>
  <r>
    <s v="TCK-12704"/>
    <s v="2024-12-24 17:24:05"/>
    <s v="2024-12-25 07:56:11"/>
    <s v="P3"/>
    <x v="3"/>
    <s v="Infrastructure"/>
    <s v="Michael Scott"/>
    <s v="Resolved"/>
    <n v="5"/>
    <n v="24"/>
    <n v="14.54"/>
    <n v="1"/>
  </r>
  <r>
    <s v="TCK-12705"/>
    <s v="2024-03-12 17:53:23"/>
    <s v="2024-03-12 20:24:34"/>
    <s v="P3"/>
    <x v="2"/>
    <s v="Billing Operations"/>
    <s v="Carlos Mendez"/>
    <s v="Closed"/>
    <n v="4"/>
    <n v="24"/>
    <n v="2.52"/>
    <n v="1"/>
  </r>
  <r>
    <s v="TCK-12706"/>
    <s v="2024-10-13 02:00:37"/>
    <s v="2024-10-14 13:16:11"/>
    <s v="P3"/>
    <x v="0"/>
    <s v="L2 Support"/>
    <s v="Michael Scott"/>
    <s v="Resolved"/>
    <n v="2"/>
    <n v="24"/>
    <n v="35.26"/>
    <n v="0"/>
  </r>
  <r>
    <s v="TCK-12707"/>
    <s v="2024-08-15 17:52:44"/>
    <s v="2024-08-15 20:09:12"/>
    <s v="P1"/>
    <x v="4"/>
    <s v="L2 Support"/>
    <s v="Dwight Schrute"/>
    <s v="Resolved"/>
    <n v="4"/>
    <n v="4"/>
    <n v="2.27"/>
    <n v="1"/>
  </r>
  <r>
    <s v="TCK-12708"/>
    <s v="2024-06-24 14:52:45"/>
    <s v="2024-06-25 02:26:09"/>
    <s v="P3"/>
    <x v="3"/>
    <s v="L1 Support"/>
    <s v="Emily Watson"/>
    <s v="Closed"/>
    <n v="4"/>
    <n v="24"/>
    <n v="11.56"/>
    <n v="1"/>
  </r>
  <r>
    <s v="TCK-12709"/>
    <s v="2024-10-20 05:47:14"/>
    <s v="2024-10-20 08:05:56"/>
    <s v="P2"/>
    <x v="2"/>
    <s v="L2 Support"/>
    <s v="Priya Nair"/>
    <s v="Resolved"/>
    <n v="5"/>
    <n v="8"/>
    <n v="2.31"/>
    <n v="1"/>
  </r>
  <r>
    <s v="TCK-12710"/>
    <s v="2024-04-09 16:37:19"/>
    <s v="2024-04-10 00:42:03"/>
    <s v="P3"/>
    <x v="1"/>
    <s v="Billing Operations"/>
    <s v="Dwight Schrute"/>
    <s v="Closed"/>
    <n v="3"/>
    <n v="24"/>
    <n v="8.08"/>
    <n v="1"/>
  </r>
  <r>
    <s v="TCK-12711"/>
    <s v="2024-04-04 17:35:28"/>
    <s v="2024-04-06 10:03:41"/>
    <s v="P4"/>
    <x v="0"/>
    <s v="Infrastructure"/>
    <s v="Ravi Patel"/>
    <s v="Resolved"/>
    <n v="5"/>
    <n v="48"/>
    <n v="40.47"/>
    <n v="1"/>
  </r>
  <r>
    <s v="TCK-12712"/>
    <s v="2024-07-12 21:32:44"/>
    <s v="2024-07-12 23:12:37"/>
    <s v="P2"/>
    <x v="2"/>
    <s v="Application Support"/>
    <s v="Jim Halpert"/>
    <s v="Resolved"/>
    <n v="4"/>
    <n v="8"/>
    <n v="1.66"/>
    <n v="1"/>
  </r>
  <r>
    <s v="TCK-12713"/>
    <s v="2024-05-28 08:39:50"/>
    <s v="2024-05-28 13:42:09"/>
    <s v="P3"/>
    <x v="2"/>
    <s v="Billing Operations"/>
    <s v="Ravi Patel"/>
    <s v="Resolved"/>
    <n v="5"/>
    <n v="24"/>
    <n v="5.04"/>
    <n v="1"/>
  </r>
  <r>
    <s v="TCK-12714"/>
    <s v="2024-08-08 12:20:05"/>
    <s v="2024-08-11 08:08:37"/>
    <s v="P4"/>
    <x v="4"/>
    <s v="L2 Support"/>
    <s v="John Doe"/>
    <s v="Closed"/>
    <n v="2"/>
    <n v="48"/>
    <n v="67.81"/>
    <n v="0"/>
  </r>
  <r>
    <s v="TCK-12715"/>
    <s v="2024-03-12 23:50:26"/>
    <s v="2024-03-13 01:08:04"/>
    <s v="P2"/>
    <x v="2"/>
    <s v="Billing Operations"/>
    <s v="John Doe"/>
    <s v="Resolved"/>
    <n v="4"/>
    <n v="8"/>
    <n v="1.29"/>
    <n v="1"/>
  </r>
  <r>
    <s v="TCK-12716"/>
    <s v="2024-12-28 01:25:42"/>
    <s v="2024-12-30 21:09:16"/>
    <s v="P3"/>
    <x v="2"/>
    <s v="L2 Support"/>
    <s v="Pam Beesly"/>
    <s v="Resolved"/>
    <n v="4"/>
    <n v="24"/>
    <n v="67.73"/>
    <n v="0"/>
  </r>
  <r>
    <s v="TCK-12717"/>
    <s v="2024-09-12 14:31:11"/>
    <s v="2024-09-14 01:58:50"/>
    <s v="P4"/>
    <x v="3"/>
    <s v="Billing Operations"/>
    <s v="Priya Nair"/>
    <s v="Resolved"/>
    <n v="5"/>
    <n v="48"/>
    <n v="35.46"/>
    <n v="1"/>
  </r>
  <r>
    <s v="TCK-12718"/>
    <s v="2024-12-02 07:53:16"/>
    <s v="2024-12-03 03:52:20"/>
    <s v="P4"/>
    <x v="3"/>
    <s v="Application Support"/>
    <s v="Priya Nair"/>
    <s v="Resolved"/>
    <n v="5"/>
    <n v="48"/>
    <n v="19.98"/>
    <n v="1"/>
  </r>
  <r>
    <s v="TCK-12719"/>
    <s v="2024-01-06 03:10:42"/>
    <s v="2024-01-07 00:10:30"/>
    <s v="P2"/>
    <x v="2"/>
    <s v="Billing Operations"/>
    <s v="John Doe"/>
    <s v="Resolved"/>
    <n v="3"/>
    <n v="8"/>
    <n v="21"/>
    <n v="0"/>
  </r>
  <r>
    <s v="TCK-12720"/>
    <s v="2024-11-12 02:37:37"/>
    <s v="2024-11-12 20:22:44"/>
    <s v="P2"/>
    <x v="2"/>
    <s v="Billing Operations"/>
    <s v="Ravi Patel"/>
    <s v="Closed"/>
    <n v="1"/>
    <n v="8"/>
    <n v="17.75"/>
    <n v="0"/>
  </r>
  <r>
    <s v="TCK-12721"/>
    <s v="2024-02-19 06:54:54"/>
    <s v="2024-02-19 22:44:33"/>
    <s v="P3"/>
    <x v="1"/>
    <s v="L1 Support"/>
    <s v="Michael Scott"/>
    <s v="Resolved"/>
    <n v="4"/>
    <n v="24"/>
    <n v="15.83"/>
    <n v="1"/>
  </r>
  <r>
    <s v="TCK-12722"/>
    <s v="2024-06-04 05:58:54"/>
    <s v="2024-06-04 12:34:53"/>
    <s v="P2"/>
    <x v="3"/>
    <s v="L1 Support"/>
    <s v="Michael Scott"/>
    <s v="Closed"/>
    <n v="5"/>
    <n v="8"/>
    <n v="6.6"/>
    <n v="1"/>
  </r>
  <r>
    <s v="TCK-12723"/>
    <s v="2024-10-11 06:14:42"/>
    <s v="2024-10-12 10:30:05"/>
    <s v="P4"/>
    <x v="1"/>
    <s v="Infrastructure"/>
    <s v="Sarah Connor"/>
    <s v="Resolved"/>
    <n v="4"/>
    <n v="48"/>
    <n v="28.26"/>
    <n v="1"/>
  </r>
  <r>
    <s v="TCK-12724"/>
    <s v="2024-12-16 07:10:17"/>
    <s v="2024-12-16 22:43:03"/>
    <s v="P3"/>
    <x v="2"/>
    <s v="L2 Support"/>
    <s v="Alex Mercer"/>
    <s v="Closed"/>
    <n v="5"/>
    <n v="24"/>
    <n v="15.55"/>
    <n v="1"/>
  </r>
  <r>
    <s v="TCK-12725"/>
    <s v="2024-05-29 08:45:26"/>
    <m/>
    <s v="P2"/>
    <x v="0"/>
    <s v="L2 Support"/>
    <s v="Michael Scott"/>
    <s v="Open"/>
    <m/>
    <n v="8"/>
    <m/>
    <m/>
  </r>
  <r>
    <s v="TCK-12726"/>
    <s v="2024-05-08 07:13:24"/>
    <s v="2024-05-09 02:35:20"/>
    <s v="P3"/>
    <x v="0"/>
    <s v="L2 Support"/>
    <s v="Alex Mercer"/>
    <s v="Resolved"/>
    <n v="3"/>
    <n v="24"/>
    <n v="19.37"/>
    <n v="1"/>
  </r>
  <r>
    <s v="TCK-12727"/>
    <s v="2024-12-28 11:25:07"/>
    <s v="2024-12-29 08:17:44"/>
    <s v="P3"/>
    <x v="2"/>
    <s v="Billing Operations"/>
    <s v="Sarah Connor"/>
    <s v="Closed"/>
    <n v="4"/>
    <n v="24"/>
    <n v="20.88"/>
    <n v="1"/>
  </r>
  <r>
    <s v="TCK-12728"/>
    <s v="2024-12-21 19:54:04"/>
    <s v="2024-12-25 11:57:22"/>
    <s v="P4"/>
    <x v="2"/>
    <s v="Billing Operations"/>
    <s v="Alex Mercer"/>
    <s v="Closed"/>
    <n v="1"/>
    <n v="48"/>
    <n v="88.06"/>
    <n v="0"/>
  </r>
  <r>
    <s v="TCK-12729"/>
    <s v="2024-01-03 00:12:28"/>
    <m/>
    <s v="P1"/>
    <x v="3"/>
    <s v="L2 Support"/>
    <s v="Carlos Mendez"/>
    <s v="Open"/>
    <m/>
    <n v="4"/>
    <m/>
    <m/>
  </r>
  <r>
    <s v="TCK-12730"/>
    <s v="2024-06-23 12:58:28"/>
    <s v="2024-06-24 21:19:54"/>
    <s v="P3"/>
    <x v="2"/>
    <s v="Billing Operations"/>
    <s v="Jim Halpert"/>
    <s v="Closed"/>
    <n v="3"/>
    <n v="24"/>
    <n v="32.36"/>
    <n v="0"/>
  </r>
  <r>
    <s v="TCK-12731"/>
    <s v="2024-12-21 19:41:53"/>
    <s v="2024-12-22 04:22:05"/>
    <s v="P3"/>
    <x v="4"/>
    <s v="Infrastructure"/>
    <s v="Alex Mercer"/>
    <s v="Resolved"/>
    <n v="4"/>
    <n v="24"/>
    <n v="8.67"/>
    <n v="1"/>
  </r>
  <r>
    <s v="TCK-12732"/>
    <s v="2024-10-03 09:20:03"/>
    <s v="2024-10-03 12:16:52"/>
    <s v="P2"/>
    <x v="2"/>
    <s v="L1 Support"/>
    <s v="Carlos Mendez"/>
    <s v="Resolved"/>
    <n v="4"/>
    <n v="8"/>
    <n v="2.95"/>
    <n v="1"/>
  </r>
  <r>
    <s v="TCK-12733"/>
    <s v="2024-01-06 06:40:39"/>
    <s v="2024-01-06 10:22:40"/>
    <s v="P1"/>
    <x v="2"/>
    <s v="L2 Support"/>
    <s v="Carlos Mendez"/>
    <s v="Resolved"/>
    <n v="3"/>
    <n v="4"/>
    <n v="3.7"/>
    <n v="1"/>
  </r>
  <r>
    <s v="TCK-12734"/>
    <s v="2024-06-12 01:46:13"/>
    <s v="2024-06-12 04:17:06"/>
    <s v="P1"/>
    <x v="3"/>
    <s v="L2 Support"/>
    <s v="Alex Mercer"/>
    <s v="Resolved"/>
    <n v="5"/>
    <n v="4"/>
    <n v="2.5099999999999998"/>
    <n v="1"/>
  </r>
  <r>
    <s v="TCK-12735"/>
    <s v="2024-08-20 10:13:27"/>
    <s v="2024-08-20 16:29:51"/>
    <s v="P3"/>
    <x v="3"/>
    <s v="Billing Operations"/>
    <s v="Dwight Schrute"/>
    <s v="Resolved"/>
    <n v="5"/>
    <n v="24"/>
    <n v="6.27"/>
    <n v="1"/>
  </r>
  <r>
    <s v="TCK-12736"/>
    <s v="2024-11-11 01:08:59"/>
    <s v="2024-11-11 07:15:06"/>
    <s v="P2"/>
    <x v="4"/>
    <s v="Infrastructure"/>
    <s v="Dwight Schrute"/>
    <s v="Resolved"/>
    <n v="4"/>
    <n v="8"/>
    <n v="6.1"/>
    <n v="1"/>
  </r>
  <r>
    <s v="TCK-12737"/>
    <s v="2024-01-11 07:17:12"/>
    <s v="2024-01-11 11:01:36"/>
    <s v="P3"/>
    <x v="4"/>
    <s v="Application Support"/>
    <s v="John Doe"/>
    <s v="Closed"/>
    <n v="5"/>
    <n v="24"/>
    <n v="3.74"/>
    <n v="1"/>
  </r>
  <r>
    <s v="TCK-12738"/>
    <s v="2024-01-03 07:53:31"/>
    <s v="2024-01-04 02:20:06"/>
    <s v="P3"/>
    <x v="2"/>
    <s v="Infrastructure"/>
    <s v="Sarah Connor"/>
    <s v="Closed"/>
    <n v="5"/>
    <n v="24"/>
    <n v="18.440000000000001"/>
    <n v="1"/>
  </r>
  <r>
    <s v="TCK-12739"/>
    <s v="2024-12-23 04:56:16"/>
    <s v="2024-12-23 20:44:56"/>
    <s v="P3"/>
    <x v="0"/>
    <s v="Infrastructure"/>
    <s v="Sarah Connor"/>
    <s v="Resolved"/>
    <n v="5"/>
    <n v="24"/>
    <n v="15.81"/>
    <n v="1"/>
  </r>
  <r>
    <s v="TCK-12740"/>
    <s v="2024-08-18 15:59:41"/>
    <m/>
    <s v="P2"/>
    <x v="2"/>
    <s v="Application Support"/>
    <s v="Emily Watson"/>
    <s v="Escalated"/>
    <m/>
    <n v="8"/>
    <m/>
    <m/>
  </r>
  <r>
    <s v="TCK-12741"/>
    <s v="2024-01-15 17:13:56"/>
    <s v="2024-01-16 10:46:07"/>
    <s v="P3"/>
    <x v="1"/>
    <s v="Infrastructure"/>
    <s v="Ravi Patel"/>
    <s v="Resolved"/>
    <n v="5"/>
    <n v="24"/>
    <n v="17.54"/>
    <n v="1"/>
  </r>
  <r>
    <s v="TCK-12742"/>
    <s v="2024-11-10 00:52:24"/>
    <s v="2024-11-10 02:36:26"/>
    <s v="P1"/>
    <x v="0"/>
    <s v="Application Support"/>
    <s v="Michael Scott"/>
    <s v="Resolved"/>
    <n v="4"/>
    <n v="4"/>
    <n v="1.73"/>
    <n v="1"/>
  </r>
  <r>
    <s v="TCK-12743"/>
    <s v="2024-08-22 05:37:54"/>
    <s v="2024-08-22 09:03:48"/>
    <s v="P3"/>
    <x v="4"/>
    <s v="L1 Support"/>
    <s v="Carlos Mendez"/>
    <s v="Resolved"/>
    <n v="3"/>
    <n v="24"/>
    <n v="3.43"/>
    <n v="1"/>
  </r>
  <r>
    <s v="TCK-12744"/>
    <s v="2024-04-05 19:18:04"/>
    <s v="2024-04-06 11:22:25"/>
    <s v="P4"/>
    <x v="0"/>
    <s v="Infrastructure"/>
    <s v="Pam Beesly"/>
    <s v="Closed"/>
    <n v="3"/>
    <n v="48"/>
    <n v="16.07"/>
    <n v="1"/>
  </r>
  <r>
    <s v="TCK-12745"/>
    <s v="2024-10-22 22:20:03"/>
    <s v="2024-10-22 23:17:53"/>
    <s v="P2"/>
    <x v="4"/>
    <s v="Billing Operations"/>
    <s v="John Doe"/>
    <s v="Resolved"/>
    <n v="4"/>
    <n v="8"/>
    <n v="0.96"/>
    <n v="1"/>
  </r>
  <r>
    <s v="TCK-12746"/>
    <s v="2024-05-28 22:16:01"/>
    <s v="2024-05-31 00:55:32"/>
    <s v="P3"/>
    <x v="1"/>
    <s v="L1 Support"/>
    <s v="Emily Watson"/>
    <s v="Resolved"/>
    <n v="2"/>
    <n v="24"/>
    <n v="50.66"/>
    <n v="0"/>
  </r>
  <r>
    <s v="TCK-12747"/>
    <s v="2024-04-18 13:41:00"/>
    <s v="2024-04-18 19:10:29"/>
    <s v="P3"/>
    <x v="3"/>
    <s v="L1 Support"/>
    <s v="Carlos Mendez"/>
    <s v="Resolved"/>
    <n v="4"/>
    <n v="24"/>
    <n v="5.49"/>
    <n v="1"/>
  </r>
  <r>
    <s v="TCK-12748"/>
    <s v="2024-08-24 11:43:15"/>
    <s v="2024-08-24 18:20:11"/>
    <s v="P3"/>
    <x v="1"/>
    <s v="Application Support"/>
    <s v="Michael Scott"/>
    <s v="Closed"/>
    <n v="4"/>
    <n v="24"/>
    <n v="6.62"/>
    <n v="1"/>
  </r>
  <r>
    <s v="TCK-12749"/>
    <s v="2024-04-02 06:29:00"/>
    <m/>
    <s v="P2"/>
    <x v="2"/>
    <s v="L2 Support"/>
    <s v="Alex Mercer"/>
    <s v="Open"/>
    <m/>
    <n v="8"/>
    <m/>
    <m/>
  </r>
  <r>
    <s v="TCK-12750"/>
    <s v="2024-08-23 06:05:22"/>
    <m/>
    <s v="P4"/>
    <x v="2"/>
    <s v="L1 Support"/>
    <s v="Ravi Patel"/>
    <s v="Open"/>
    <m/>
    <n v="48"/>
    <m/>
    <m/>
  </r>
  <r>
    <s v="TCK-12751"/>
    <s v="2024-12-15 20:37:59"/>
    <s v="2024-12-15 23:05:25"/>
    <s v="P1"/>
    <x v="0"/>
    <s v="Application Support"/>
    <s v="Dwight Schrute"/>
    <s v="Resolved"/>
    <n v="4"/>
    <n v="4"/>
    <n v="2.46"/>
    <n v="1"/>
  </r>
  <r>
    <s v="TCK-12752"/>
    <s v="2024-01-17 20:41:20"/>
    <s v="2024-01-18 16:12:23"/>
    <s v="P3"/>
    <x v="1"/>
    <s v="L1 Support"/>
    <s v="Anita Sharma"/>
    <s v="Closed"/>
    <n v="5"/>
    <n v="24"/>
    <n v="19.52"/>
    <n v="1"/>
  </r>
  <r>
    <s v="TCK-12753"/>
    <s v="2024-09-01 16:34:58"/>
    <s v="2024-09-03 10:31:47"/>
    <s v="P4"/>
    <x v="2"/>
    <s v="L2 Support"/>
    <s v="Sarah Connor"/>
    <s v="Resolved"/>
    <n v="5"/>
    <n v="48"/>
    <n v="41.95"/>
    <n v="1"/>
  </r>
  <r>
    <s v="TCK-12754"/>
    <s v="2024-05-27 08:32:59"/>
    <s v="2024-05-27 10:27:29"/>
    <s v="P2"/>
    <x v="1"/>
    <s v="Infrastructure"/>
    <s v="Ravi Patel"/>
    <s v="Resolved"/>
    <n v="4"/>
    <n v="8"/>
    <n v="1.91"/>
    <n v="1"/>
  </r>
  <r>
    <s v="TCK-12755"/>
    <s v="2024-03-13 18:01:59"/>
    <s v="2024-03-14 10:22:53"/>
    <s v="P3"/>
    <x v="2"/>
    <s v="Application Support"/>
    <s v="Alex Mercer"/>
    <s v="Resolved"/>
    <n v="5"/>
    <n v="24"/>
    <n v="16.350000000000001"/>
    <n v="1"/>
  </r>
  <r>
    <s v="TCK-12756"/>
    <s v="2024-02-27 07:42:59"/>
    <s v="2024-02-27 09:02:36"/>
    <s v="P1"/>
    <x v="2"/>
    <s v="Application Support"/>
    <s v="Carlos Mendez"/>
    <s v="Resolved"/>
    <n v="5"/>
    <n v="4"/>
    <n v="1.33"/>
    <n v="1"/>
  </r>
  <r>
    <s v="TCK-12757"/>
    <s v="2024-04-25 09:23:53"/>
    <s v="2024-04-25 14:36:17"/>
    <s v="P3"/>
    <x v="3"/>
    <s v="L1 Support"/>
    <s v="Ravi Patel"/>
    <s v="Closed"/>
    <n v="5"/>
    <n v="24"/>
    <n v="5.21"/>
    <n v="1"/>
  </r>
  <r>
    <s v="TCK-12758"/>
    <s v="2024-03-17 17:14:57"/>
    <s v="2024-03-18 01:54:47"/>
    <s v="P1"/>
    <x v="0"/>
    <s v="Infrastructure"/>
    <s v="Jim Halpert"/>
    <s v="Closed"/>
    <n v="3"/>
    <n v="4"/>
    <n v="8.66"/>
    <n v="0"/>
  </r>
  <r>
    <s v="TCK-12759"/>
    <s v="2024-08-12 06:06:23"/>
    <m/>
    <s v="P2"/>
    <x v="0"/>
    <s v="Application Support"/>
    <s v="Jim Halpert"/>
    <s v="Escalated"/>
    <m/>
    <n v="8"/>
    <m/>
    <m/>
  </r>
  <r>
    <s v="TCK-12760"/>
    <s v="2024-02-21 16:51:02"/>
    <s v="2024-02-21 21:45:49"/>
    <s v="P4"/>
    <x v="1"/>
    <s v="Infrastructure"/>
    <s v="Priya Nair"/>
    <s v="Closed"/>
    <n v="4"/>
    <n v="48"/>
    <n v="4.91"/>
    <n v="1"/>
  </r>
  <r>
    <s v="TCK-12761"/>
    <s v="2024-01-06 14:50:56"/>
    <s v="2024-01-06 21:10:37"/>
    <s v="P2"/>
    <x v="2"/>
    <s v="Billing Operations"/>
    <s v="Michael Scott"/>
    <s v="Resolved"/>
    <n v="5"/>
    <n v="8"/>
    <n v="6.33"/>
    <n v="1"/>
  </r>
  <r>
    <s v="TCK-12762"/>
    <s v="2024-01-03 15:20:34"/>
    <s v="2024-01-03 18:49:03"/>
    <s v="P2"/>
    <x v="2"/>
    <s v="Application Support"/>
    <s v="Alex Mercer"/>
    <s v="Resolved"/>
    <n v="3"/>
    <n v="8"/>
    <n v="3.47"/>
    <n v="1"/>
  </r>
  <r>
    <s v="TCK-12763"/>
    <s v="2024-06-03 01:12:51"/>
    <s v="2024-06-03 06:22:24"/>
    <s v="P2"/>
    <x v="0"/>
    <s v="Infrastructure"/>
    <s v="Alex Mercer"/>
    <s v="Resolved"/>
    <n v="5"/>
    <n v="8"/>
    <n v="5.16"/>
    <n v="1"/>
  </r>
  <r>
    <s v="TCK-12764"/>
    <s v="2024-06-15 21:57:43"/>
    <s v="2024-06-16 15:30:48"/>
    <s v="P2"/>
    <x v="1"/>
    <s v="Billing Operations"/>
    <s v="Anita Sharma"/>
    <s v="Resolved"/>
    <n v="2"/>
    <n v="8"/>
    <n v="17.55"/>
    <n v="0"/>
  </r>
  <r>
    <s v="TCK-12765"/>
    <s v="2024-03-05 09:03:41"/>
    <s v="2024-03-05 10:21:11"/>
    <s v="P1"/>
    <x v="0"/>
    <s v="L1 Support"/>
    <s v="John Doe"/>
    <s v="Resolved"/>
    <n v="4"/>
    <n v="4"/>
    <n v="1.29"/>
    <n v="1"/>
  </r>
  <r>
    <s v="TCK-12766"/>
    <s v="2024-03-19 00:25:26"/>
    <s v="2024-03-19 07:32:30"/>
    <s v="P3"/>
    <x v="2"/>
    <s v="Infrastructure"/>
    <s v="Anita Sharma"/>
    <s v="Resolved"/>
    <n v="4"/>
    <n v="24"/>
    <n v="7.12"/>
    <n v="1"/>
  </r>
  <r>
    <s v="TCK-12767"/>
    <s v="2024-09-09 11:36:34"/>
    <s v="2024-09-09 18:09:49"/>
    <s v="P4"/>
    <x v="4"/>
    <s v="L1 Support"/>
    <s v="Alex Mercer"/>
    <s v="Closed"/>
    <n v="5"/>
    <n v="48"/>
    <n v="6.55"/>
    <n v="1"/>
  </r>
  <r>
    <s v="TCK-12768"/>
    <s v="2024-06-29 07:50:23"/>
    <s v="2024-06-29 10:29:54"/>
    <s v="P2"/>
    <x v="3"/>
    <s v="Application Support"/>
    <s v="Michael Scott"/>
    <s v="Closed"/>
    <n v="5"/>
    <n v="8"/>
    <n v="2.66"/>
    <n v="1"/>
  </r>
  <r>
    <s v="TCK-12769"/>
    <s v="2024-02-23 13:30:44"/>
    <s v="2024-02-23 15:01:55"/>
    <s v="P1"/>
    <x v="2"/>
    <s v="Billing Operations"/>
    <s v="Anita Sharma"/>
    <s v="Resolved"/>
    <n v="5"/>
    <n v="4"/>
    <n v="1.52"/>
    <n v="1"/>
  </r>
  <r>
    <s v="TCK-12770"/>
    <s v="2024-02-18 15:04:45"/>
    <s v="2024-02-19 06:18:57"/>
    <s v="P3"/>
    <x v="3"/>
    <s v="L1 Support"/>
    <s v="Priya Nair"/>
    <s v="Resolved"/>
    <n v="5"/>
    <n v="24"/>
    <n v="15.24"/>
    <n v="1"/>
  </r>
  <r>
    <s v="TCK-12771"/>
    <s v="2024-04-20 09:25:08"/>
    <m/>
    <s v="P4"/>
    <x v="0"/>
    <s v="Infrastructure"/>
    <s v="Jim Halpert"/>
    <s v="Escalated"/>
    <m/>
    <n v="48"/>
    <m/>
    <m/>
  </r>
  <r>
    <s v="TCK-12772"/>
    <s v="2024-03-02 06:24:59"/>
    <s v="2024-03-02 13:21:05"/>
    <s v="P4"/>
    <x v="3"/>
    <s v="Infrastructure"/>
    <s v="John Doe"/>
    <s v="Resolved"/>
    <n v="5"/>
    <n v="48"/>
    <n v="6.94"/>
    <n v="1"/>
  </r>
  <r>
    <s v="TCK-12773"/>
    <s v="2024-05-27 20:47:44"/>
    <s v="2024-05-28 03:24:37"/>
    <s v="P1"/>
    <x v="4"/>
    <s v="Application Support"/>
    <s v="Sarah Connor"/>
    <s v="Closed"/>
    <n v="2"/>
    <n v="4"/>
    <n v="6.61"/>
    <n v="0"/>
  </r>
  <r>
    <s v="TCK-12774"/>
    <s v="2024-06-23 04:21:12"/>
    <m/>
    <s v="P1"/>
    <x v="2"/>
    <s v="L2 Support"/>
    <s v="Jim Halpert"/>
    <s v="Open"/>
    <m/>
    <n v="4"/>
    <m/>
    <m/>
  </r>
  <r>
    <s v="TCK-12775"/>
    <s v="2024-06-07 01:10:23"/>
    <s v="2024-06-07 02:50:46"/>
    <s v="P1"/>
    <x v="1"/>
    <s v="L1 Support"/>
    <s v="Pam Beesly"/>
    <s v="Resolved"/>
    <n v="4"/>
    <n v="4"/>
    <n v="1.67"/>
    <n v="1"/>
  </r>
  <r>
    <s v="TCK-12776"/>
    <s v="2024-01-03 00:42:46"/>
    <s v="2024-01-03 02:33:06"/>
    <s v="P1"/>
    <x v="2"/>
    <s v="L1 Support"/>
    <s v="Jim Halpert"/>
    <s v="Resolved"/>
    <n v="4"/>
    <n v="4"/>
    <n v="1.84"/>
    <n v="1"/>
  </r>
  <r>
    <s v="TCK-12777"/>
    <s v="2024-06-20 05:26:55"/>
    <s v="2024-06-20 19:53:58"/>
    <s v="P3"/>
    <x v="2"/>
    <s v="L2 Support"/>
    <s v="Michael Scott"/>
    <s v="Resolved"/>
    <n v="4"/>
    <n v="24"/>
    <n v="14.45"/>
    <n v="1"/>
  </r>
  <r>
    <s v="TCK-12778"/>
    <s v="2024-08-08 14:23:07"/>
    <s v="2024-08-08 19:48:33"/>
    <s v="P2"/>
    <x v="0"/>
    <s v="Infrastructure"/>
    <s v="Priya Nair"/>
    <s v="Closed"/>
    <n v="4"/>
    <n v="8"/>
    <n v="5.42"/>
    <n v="1"/>
  </r>
  <r>
    <s v="TCK-12779"/>
    <s v="2024-12-30 23:49:34"/>
    <s v="2025-01-01 18:42:57"/>
    <s v="P4"/>
    <x v="2"/>
    <s v="L1 Support"/>
    <s v="Pam Beesly"/>
    <s v="Closed"/>
    <n v="3"/>
    <n v="48"/>
    <n v="42.89"/>
    <n v="1"/>
  </r>
  <r>
    <s v="TCK-12780"/>
    <s v="2024-09-07 01:03:42"/>
    <s v="2024-09-07 18:06:56"/>
    <s v="P4"/>
    <x v="3"/>
    <s v="Billing Operations"/>
    <s v="Jim Halpert"/>
    <s v="Resolved"/>
    <n v="5"/>
    <n v="48"/>
    <n v="17.05"/>
    <n v="1"/>
  </r>
  <r>
    <s v="TCK-12781"/>
    <s v="2024-08-13 20:51:21"/>
    <s v="2024-08-14 16:23:10"/>
    <s v="P2"/>
    <x v="2"/>
    <s v="L1 Support"/>
    <s v="Ravi Patel"/>
    <s v="Resolved"/>
    <n v="2"/>
    <n v="8"/>
    <n v="19.53"/>
    <n v="0"/>
  </r>
  <r>
    <s v="TCK-12782"/>
    <s v="2024-08-31 21:56:22"/>
    <s v="2024-09-01 16:05:17"/>
    <s v="P3"/>
    <x v="2"/>
    <s v="Billing Operations"/>
    <s v="Alex Mercer"/>
    <s v="Resolved"/>
    <n v="5"/>
    <n v="24"/>
    <n v="18.149999999999999"/>
    <n v="1"/>
  </r>
  <r>
    <s v="TCK-12783"/>
    <s v="2024-10-17 02:04:54"/>
    <s v="2024-10-19 16:59:20"/>
    <s v="P3"/>
    <x v="0"/>
    <s v="L1 Support"/>
    <s v="Ravi Patel"/>
    <s v="Resolved"/>
    <n v="1"/>
    <n v="24"/>
    <n v="62.91"/>
    <n v="0"/>
  </r>
  <r>
    <s v="TCK-12784"/>
    <s v="2024-03-13 09:59:50"/>
    <s v="2024-03-13 16:21:19"/>
    <s v="P2"/>
    <x v="3"/>
    <s v="Application Support"/>
    <s v="Dwight Schrute"/>
    <s v="Resolved"/>
    <n v="5"/>
    <n v="8"/>
    <n v="6.36"/>
    <n v="1"/>
  </r>
  <r>
    <s v="TCK-12785"/>
    <s v="2024-08-22 18:55:57"/>
    <s v="2024-08-24 09:39:43"/>
    <s v="P3"/>
    <x v="2"/>
    <s v="L2 Support"/>
    <s v="Emily Watson"/>
    <s v="Closed"/>
    <n v="1"/>
    <n v="24"/>
    <n v="38.729999999999997"/>
    <n v="0"/>
  </r>
  <r>
    <s v="TCK-12786"/>
    <s v="2024-12-03 15:43:33"/>
    <s v="2024-12-06 10:50:52"/>
    <s v="P3"/>
    <x v="1"/>
    <s v="L2 Support"/>
    <s v="John Doe"/>
    <s v="Closed"/>
    <n v="2"/>
    <n v="24"/>
    <n v="67.12"/>
    <n v="0"/>
  </r>
  <r>
    <s v="TCK-12787"/>
    <s v="2024-08-28 01:45:37"/>
    <s v="2024-09-01 14:22:29"/>
    <s v="P4"/>
    <x v="3"/>
    <s v="Infrastructure"/>
    <s v="John Doe"/>
    <s v="Resolved"/>
    <n v="3"/>
    <n v="48"/>
    <n v="108.61"/>
    <n v="0"/>
  </r>
  <r>
    <s v="TCK-12788"/>
    <s v="2024-03-28 06:17:15"/>
    <s v="2024-03-28 09:07:47"/>
    <s v="P3"/>
    <x v="0"/>
    <s v="L2 Support"/>
    <s v="Alex Mercer"/>
    <s v="Resolved"/>
    <n v="3"/>
    <n v="24"/>
    <n v="2.84"/>
    <n v="1"/>
  </r>
  <r>
    <s v="TCK-12789"/>
    <s v="2024-09-24 19:31:14"/>
    <s v="2024-09-25 21:23:03"/>
    <s v="P4"/>
    <x v="1"/>
    <s v="Billing Operations"/>
    <s v="Emily Watson"/>
    <s v="Resolved"/>
    <n v="4"/>
    <n v="48"/>
    <n v="25.86"/>
    <n v="1"/>
  </r>
  <r>
    <s v="TCK-12790"/>
    <s v="2024-03-23 19:52:39"/>
    <s v="2024-03-25 01:29:17"/>
    <s v="P4"/>
    <x v="2"/>
    <s v="L1 Support"/>
    <s v="Anita Sharma"/>
    <s v="Closed"/>
    <n v="5"/>
    <n v="48"/>
    <n v="29.61"/>
    <n v="1"/>
  </r>
  <r>
    <s v="TCK-12791"/>
    <s v="2024-07-07 00:24:57"/>
    <s v="2024-07-07 02:04:41"/>
    <s v="P2"/>
    <x v="2"/>
    <s v="L1 Support"/>
    <s v="Pam Beesly"/>
    <s v="Closed"/>
    <n v="4"/>
    <n v="8"/>
    <n v="1.66"/>
    <n v="1"/>
  </r>
  <r>
    <s v="TCK-12792"/>
    <s v="2024-12-21 14:54:54"/>
    <s v="2024-12-22 18:12:01"/>
    <s v="P4"/>
    <x v="2"/>
    <s v="Billing Operations"/>
    <s v="Priya Nair"/>
    <s v="Closed"/>
    <n v="4"/>
    <n v="48"/>
    <n v="27.29"/>
    <n v="1"/>
  </r>
  <r>
    <s v="TCK-12793"/>
    <s v="2024-01-12 18:32:07"/>
    <s v="2024-01-12 21:33:54"/>
    <s v="P1"/>
    <x v="0"/>
    <s v="Infrastructure"/>
    <s v="Emily Watson"/>
    <s v="Resolved"/>
    <n v="4"/>
    <n v="4"/>
    <n v="3.03"/>
    <n v="1"/>
  </r>
  <r>
    <s v="TCK-12794"/>
    <s v="2024-08-31 05:18:25"/>
    <s v="2024-08-31 11:51:48"/>
    <s v="P3"/>
    <x v="1"/>
    <s v="L2 Support"/>
    <s v="Dwight Schrute"/>
    <s v="Resolved"/>
    <n v="3"/>
    <n v="24"/>
    <n v="6.56"/>
    <n v="1"/>
  </r>
  <r>
    <s v="TCK-12795"/>
    <s v="2024-12-10 16:40:08"/>
    <s v="2024-12-11 04:49:22"/>
    <s v="P3"/>
    <x v="3"/>
    <s v="L1 Support"/>
    <s v="Jim Halpert"/>
    <s v="Resolved"/>
    <n v="5"/>
    <n v="24"/>
    <n v="12.15"/>
    <n v="1"/>
  </r>
  <r>
    <s v="TCK-12796"/>
    <s v="2024-06-21 08:35:30"/>
    <s v="2024-07-21 15:35:30"/>
    <s v="P1"/>
    <x v="3"/>
    <s v="L1 Support"/>
    <s v="Emily Watson"/>
    <s v="Resolved"/>
    <n v="4"/>
    <n v="4"/>
    <n v="727"/>
    <n v="0"/>
  </r>
  <r>
    <s v="TCK-12797"/>
    <s v="2024-07-14 20:14:44"/>
    <s v="2024-07-15 08:17:35"/>
    <s v="P3"/>
    <x v="1"/>
    <s v="Infrastructure"/>
    <s v="Sarah Connor"/>
    <s v="Closed"/>
    <n v="5"/>
    <n v="24"/>
    <n v="12.05"/>
    <n v="1"/>
  </r>
  <r>
    <s v="TCK-12798"/>
    <s v="2024-10-10 00:44:55"/>
    <s v="2024-10-10 08:38:23"/>
    <s v="P1"/>
    <x v="0"/>
    <s v="Infrastructure"/>
    <s v="Alex Mercer"/>
    <s v="Closed"/>
    <n v="3"/>
    <n v="4"/>
    <n v="7.89"/>
    <n v="0"/>
  </r>
  <r>
    <s v="TCK-12799"/>
    <s v="2024-07-15 23:25:36"/>
    <m/>
    <s v="P2"/>
    <x v="2"/>
    <s v="L2 Support"/>
    <s v="Pam Beesly"/>
    <s v="Open"/>
    <m/>
    <n v="8"/>
    <m/>
    <m/>
  </r>
  <r>
    <s v="TCK-12800"/>
    <s v="2024-01-06 16:33:49"/>
    <s v="2024-01-07 11:55:20"/>
    <s v="P4"/>
    <x v="2"/>
    <s v="Application Support"/>
    <s v="Emily Watson"/>
    <s v="Closed"/>
    <n v="5"/>
    <n v="48"/>
    <n v="19.36"/>
    <n v="1"/>
  </r>
  <r>
    <s v="TCK-12801"/>
    <s v="2024-11-10 17:45:49"/>
    <s v="2024-11-11 16:50:04"/>
    <s v="P4"/>
    <x v="0"/>
    <s v="Infrastructure"/>
    <s v="Jim Halpert"/>
    <s v="Closed"/>
    <n v="4"/>
    <n v="48"/>
    <n v="23.07"/>
    <n v="1"/>
  </r>
  <r>
    <s v="TCK-12802"/>
    <s v="2024-07-07 23:03:48"/>
    <m/>
    <s v="P3"/>
    <x v="3"/>
    <s v="Billing Operations"/>
    <s v="Emily Watson"/>
    <s v="Escalated"/>
    <m/>
    <n v="24"/>
    <m/>
    <m/>
  </r>
  <r>
    <s v="TCK-12803"/>
    <s v="2024-09-28 18:59:31"/>
    <s v="2024-10-01 00:11:08"/>
    <s v="P3"/>
    <x v="3"/>
    <s v="Billing Operations"/>
    <s v="Ravi Patel"/>
    <s v="Closed"/>
    <n v="1"/>
    <n v="24"/>
    <n v="53.19"/>
    <n v="0"/>
  </r>
  <r>
    <s v="TCK-12804"/>
    <s v="2024-08-20 20:40:50"/>
    <s v="2024-08-26 03:15:30"/>
    <s v="P4"/>
    <x v="2"/>
    <s v="L1 Support"/>
    <s v="Anita Sharma"/>
    <s v="Closed"/>
    <n v="1"/>
    <n v="48"/>
    <n v="126.58"/>
    <n v="0"/>
  </r>
  <r>
    <s v="TCK-12805"/>
    <s v="2024-04-19 21:19:19"/>
    <s v="2024-04-20 08:37:36"/>
    <s v="P3"/>
    <x v="2"/>
    <s v="L2 Support"/>
    <s v="John Doe"/>
    <s v="Closed"/>
    <n v="4"/>
    <n v="24"/>
    <n v="11.3"/>
    <n v="1"/>
  </r>
  <r>
    <s v="TCK-12806"/>
    <s v="2024-02-21 12:21:13"/>
    <s v="2024-02-22 05:24:47"/>
    <s v="P3"/>
    <x v="2"/>
    <s v="Infrastructure"/>
    <s v="Jim Halpert"/>
    <s v="Resolved"/>
    <n v="5"/>
    <n v="24"/>
    <n v="17.059999999999999"/>
    <n v="1"/>
  </r>
  <r>
    <s v="TCK-12807"/>
    <s v="2024-12-29 06:44:02"/>
    <s v="2024-12-30 12:39:48"/>
    <s v="P4"/>
    <x v="0"/>
    <s v="L1 Support"/>
    <s v="Carlos Mendez"/>
    <s v="Closed"/>
    <n v="5"/>
    <n v="48"/>
    <n v="29.93"/>
    <n v="1"/>
  </r>
  <r>
    <s v="TCK-12808"/>
    <s v="2024-05-12 03:45:23"/>
    <s v="2024-05-12 09:18:34"/>
    <s v="P2"/>
    <x v="1"/>
    <s v="L1 Support"/>
    <s v="John Doe"/>
    <s v="Closed"/>
    <n v="5"/>
    <n v="8"/>
    <n v="5.55"/>
    <n v="1"/>
  </r>
  <r>
    <s v="TCK-12809"/>
    <s v="2024-03-04 18:31:24"/>
    <s v="2024-03-04 22:42:27"/>
    <s v="P2"/>
    <x v="1"/>
    <s v="Billing Operations"/>
    <s v="Ravi Patel"/>
    <s v="Closed"/>
    <n v="4"/>
    <n v="8"/>
    <n v="4.18"/>
    <n v="1"/>
  </r>
  <r>
    <s v="TCK-12810"/>
    <s v="2024-12-11 18:46:31"/>
    <s v="2024-12-12 19:38:11"/>
    <s v="P4"/>
    <x v="1"/>
    <s v="Application Support"/>
    <s v="Priya Nair"/>
    <s v="Resolved"/>
    <n v="5"/>
    <n v="48"/>
    <n v="24.86"/>
    <n v="1"/>
  </r>
  <r>
    <s v="TCK-12811"/>
    <s v="2024-10-28 01:28:36"/>
    <s v="2024-10-28 17:06:53"/>
    <s v="P3"/>
    <x v="1"/>
    <s v="L2 Support"/>
    <s v="Emily Watson"/>
    <s v="Resolved"/>
    <n v="3"/>
    <n v="24"/>
    <n v="15.64"/>
    <n v="1"/>
  </r>
  <r>
    <s v="TCK-12812"/>
    <s v="2024-09-12 14:08:56"/>
    <s v="2024-09-12 18:07:13"/>
    <s v="P3"/>
    <x v="0"/>
    <s v="L1 Support"/>
    <s v="Jim Halpert"/>
    <s v="Resolved"/>
    <n v="5"/>
    <n v="24"/>
    <n v="3.97"/>
    <n v="1"/>
  </r>
  <r>
    <s v="TCK-12813"/>
    <s v="2024-09-28 08:58:22"/>
    <s v="2024-09-28 23:06:06"/>
    <s v="P3"/>
    <x v="3"/>
    <s v="Infrastructure"/>
    <s v="Jim Halpert"/>
    <s v="Resolved"/>
    <n v="5"/>
    <n v="24"/>
    <n v="14.13"/>
    <n v="1"/>
  </r>
  <r>
    <s v="TCK-12814"/>
    <s v="2024-12-04 03:30:01"/>
    <s v="2024-12-04 19:17:21"/>
    <s v="P4"/>
    <x v="2"/>
    <s v="Infrastructure"/>
    <s v="Ravi Patel"/>
    <s v="Resolved"/>
    <n v="5"/>
    <n v="48"/>
    <n v="15.79"/>
    <n v="1"/>
  </r>
  <r>
    <s v="TCK-12815"/>
    <s v="2024-05-30 13:25:44"/>
    <s v="2024-05-31 04:46:02"/>
    <s v="P2"/>
    <x v="3"/>
    <s v="L2 Support"/>
    <s v="Alex Mercer"/>
    <s v="Closed"/>
    <n v="1"/>
    <n v="8"/>
    <n v="15.34"/>
    <n v="0"/>
  </r>
  <r>
    <s v="TCK-12816"/>
    <s v="2024-11-08 13:40:58"/>
    <s v="2024-11-08 17:05:42"/>
    <s v="P2"/>
    <x v="0"/>
    <s v="L1 Support"/>
    <s v="Anita Sharma"/>
    <s v="Closed"/>
    <n v="4"/>
    <n v="8"/>
    <n v="3.41"/>
    <n v="1"/>
  </r>
  <r>
    <s v="TCK-12817"/>
    <s v="2024-02-08 18:20:27"/>
    <s v="2024-02-09 16:08:34"/>
    <s v="P3"/>
    <x v="2"/>
    <s v="Infrastructure"/>
    <s v="Priya Nair"/>
    <s v="Resolved"/>
    <n v="4"/>
    <n v="24"/>
    <n v="21.8"/>
    <n v="1"/>
  </r>
  <r>
    <s v="TCK-12818"/>
    <s v="2024-09-15 18:59:59"/>
    <s v="2024-09-16 19:56:09"/>
    <s v="P4"/>
    <x v="4"/>
    <s v="Infrastructure"/>
    <s v="Pam Beesly"/>
    <s v="Closed"/>
    <n v="3"/>
    <n v="48"/>
    <n v="24.94"/>
    <n v="1"/>
  </r>
  <r>
    <s v="TCK-12819"/>
    <s v="2024-03-08 04:32:04"/>
    <s v="2024-03-08 07:37:47"/>
    <s v="P2"/>
    <x v="2"/>
    <s v="L1 Support"/>
    <s v="Alex Mercer"/>
    <s v="Resolved"/>
    <n v="5"/>
    <n v="8"/>
    <n v="3.1"/>
    <n v="1"/>
  </r>
  <r>
    <s v="TCK-12820"/>
    <s v="2024-06-10 11:22:49"/>
    <s v="2024-06-11 07:47:27"/>
    <s v="P4"/>
    <x v="0"/>
    <s v="Infrastructure"/>
    <s v="Carlos Mendez"/>
    <s v="Resolved"/>
    <n v="4"/>
    <n v="48"/>
    <n v="20.41"/>
    <n v="1"/>
  </r>
  <r>
    <s v="TCK-12821"/>
    <s v="2024-02-11 16:45:28"/>
    <s v="2024-02-11 21:43:00"/>
    <s v="P2"/>
    <x v="0"/>
    <s v="Infrastructure"/>
    <s v="Michael Scott"/>
    <s v="Resolved"/>
    <n v="5"/>
    <n v="8"/>
    <n v="4.96"/>
    <n v="1"/>
  </r>
  <r>
    <s v="TCK-12822"/>
    <s v="2024-01-03 06:01:41"/>
    <s v="2024-01-04 05:59:54"/>
    <s v="P2"/>
    <x v="0"/>
    <s v="L2 Support"/>
    <s v="Emily Watson"/>
    <s v="Resolved"/>
    <n v="1"/>
    <n v="8"/>
    <n v="23.97"/>
    <n v="0"/>
  </r>
  <r>
    <s v="TCK-12823"/>
    <s v="2024-10-28 12:28:39"/>
    <s v="2024-10-28 19:47:38"/>
    <s v="P2"/>
    <x v="2"/>
    <s v="Application Support"/>
    <s v="Alex Mercer"/>
    <s v="Closed"/>
    <n v="4"/>
    <n v="8"/>
    <n v="7.32"/>
    <n v="1"/>
  </r>
  <r>
    <s v="TCK-12824"/>
    <s v="2024-01-19 00:51:13"/>
    <m/>
    <s v="P4"/>
    <x v="2"/>
    <s v="Infrastructure"/>
    <s v="John Doe"/>
    <s v="Open"/>
    <m/>
    <n v="48"/>
    <m/>
    <m/>
  </r>
  <r>
    <s v="TCK-12825"/>
    <s v="2024-07-18 10:39:34"/>
    <s v="2024-07-19 01:31:59"/>
    <s v="P3"/>
    <x v="1"/>
    <s v="L1 Support"/>
    <s v="Priya Nair"/>
    <s v="Resolved"/>
    <n v="5"/>
    <n v="24"/>
    <n v="14.87"/>
    <n v="1"/>
  </r>
  <r>
    <s v="TCK-12826"/>
    <s v="2024-01-13 03:19:07"/>
    <s v="2024-01-14 07:43:00"/>
    <s v="P4"/>
    <x v="0"/>
    <s v="Infrastructure"/>
    <s v="Priya Nair"/>
    <s v="Resolved"/>
    <n v="5"/>
    <n v="48"/>
    <n v="28.4"/>
    <n v="1"/>
  </r>
  <r>
    <s v="TCK-12827"/>
    <s v="2024-06-17 14:15:38"/>
    <s v="2024-06-20 05:53:45"/>
    <s v="P3"/>
    <x v="2"/>
    <s v="Application Support"/>
    <s v="Anita Sharma"/>
    <s v="Resolved"/>
    <n v="2"/>
    <n v="24"/>
    <n v="63.64"/>
    <n v="0"/>
  </r>
  <r>
    <s v="TCK-12828"/>
    <s v="2024-07-08 10:58:12"/>
    <s v="2024-07-08 14:25:00"/>
    <s v="P2"/>
    <x v="2"/>
    <s v="L2 Support"/>
    <s v="Ravi Patel"/>
    <s v="Resolved"/>
    <n v="4"/>
    <n v="8"/>
    <n v="3.45"/>
    <n v="1"/>
  </r>
  <r>
    <s v="TCK-12829"/>
    <s v="2024-01-06 10:52:11"/>
    <s v="2024-01-06 16:46:54"/>
    <s v="P2"/>
    <x v="4"/>
    <s v="Application Support"/>
    <s v="Emily Watson"/>
    <s v="Resolved"/>
    <n v="4"/>
    <n v="8"/>
    <n v="5.91"/>
    <n v="1"/>
  </r>
  <r>
    <s v="TCK-12830"/>
    <s v="2024-07-17 04:19:10"/>
    <s v="2024-07-21 12:21:20"/>
    <s v="P4"/>
    <x v="1"/>
    <s v="Infrastructure"/>
    <s v="Dwight Schrute"/>
    <s v="Closed"/>
    <n v="2"/>
    <n v="48"/>
    <n v="104.04"/>
    <n v="0"/>
  </r>
  <r>
    <s v="TCK-12831"/>
    <s v="2024-12-11 07:17:13"/>
    <s v="2024-12-11 15:42:14"/>
    <s v="P2"/>
    <x v="0"/>
    <s v="Billing Operations"/>
    <s v="Alex Mercer"/>
    <s v="Resolved"/>
    <n v="3"/>
    <n v="8"/>
    <n v="8.42"/>
    <n v="0"/>
  </r>
  <r>
    <s v="TCK-12832"/>
    <s v="2024-04-07 19:15:12"/>
    <m/>
    <s v="P2"/>
    <x v="3"/>
    <s v="L1 Support"/>
    <s v="Emily Watson"/>
    <s v="Escalated"/>
    <m/>
    <n v="8"/>
    <m/>
    <m/>
  </r>
  <r>
    <s v="TCK-12833"/>
    <s v="2024-05-17 17:24:53"/>
    <s v="2024-05-19 09:45:06"/>
    <s v="P4"/>
    <x v="3"/>
    <s v="L2 Support"/>
    <s v="Pam Beesly"/>
    <s v="Resolved"/>
    <n v="4"/>
    <n v="48"/>
    <n v="40.340000000000003"/>
    <n v="1"/>
  </r>
  <r>
    <s v="TCK-12834"/>
    <s v="2024-11-24 06:13:46"/>
    <s v="2024-11-24 10:14:00"/>
    <s v="P2"/>
    <x v="1"/>
    <s v="L1 Support"/>
    <s v="Anita Sharma"/>
    <s v="Closed"/>
    <n v="5"/>
    <n v="8"/>
    <n v="4"/>
    <n v="1"/>
  </r>
  <r>
    <s v="TCK-12835"/>
    <s v="2024-06-28 02:04:55"/>
    <s v="2024-06-28 13:09:33"/>
    <s v="P3"/>
    <x v="2"/>
    <s v="L1 Support"/>
    <s v="Carlos Mendez"/>
    <s v="Resolved"/>
    <n v="4"/>
    <n v="24"/>
    <n v="11.08"/>
    <n v="1"/>
  </r>
  <r>
    <s v="TCK-12836"/>
    <s v="2024-12-19 08:59:30"/>
    <s v="2024-12-19 14:01:33"/>
    <s v="P3"/>
    <x v="0"/>
    <s v="L2 Support"/>
    <s v="Alex Mercer"/>
    <s v="Resolved"/>
    <n v="5"/>
    <n v="24"/>
    <n v="5.03"/>
    <n v="1"/>
  </r>
  <r>
    <s v="TCK-12837"/>
    <s v="2024-11-01 20:38:55"/>
    <s v="2024-11-02 04:02:25"/>
    <s v="P3"/>
    <x v="0"/>
    <s v="Billing Operations"/>
    <s v="Michael Scott"/>
    <s v="Resolved"/>
    <n v="5"/>
    <n v="24"/>
    <n v="7.39"/>
    <n v="1"/>
  </r>
  <r>
    <s v="TCK-12838"/>
    <s v="2024-03-06 16:48:43"/>
    <s v="2024-03-08 04:29:13"/>
    <s v="P4"/>
    <x v="2"/>
    <s v="Infrastructure"/>
    <s v="Priya Nair"/>
    <s v="Resolved"/>
    <n v="4"/>
    <n v="48"/>
    <n v="35.67"/>
    <n v="1"/>
  </r>
  <r>
    <s v="TCK-12839"/>
    <s v="2024-06-12 10:35:25"/>
    <s v="2024-06-15 07:00:19"/>
    <s v="P4"/>
    <x v="2"/>
    <s v="Billing Operations"/>
    <s v="Emily Watson"/>
    <s v="Resolved"/>
    <n v="1"/>
    <n v="48"/>
    <n v="68.42"/>
    <n v="0"/>
  </r>
  <r>
    <s v="TCK-12840"/>
    <s v="2024-06-05 18:52:54"/>
    <s v="2024-06-06 01:57:36"/>
    <s v="P2"/>
    <x v="3"/>
    <s v="L1 Support"/>
    <s v="Pam Beesly"/>
    <s v="Resolved"/>
    <n v="5"/>
    <n v="8"/>
    <n v="7.08"/>
    <n v="1"/>
  </r>
  <r>
    <s v="TCK-12841"/>
    <s v="2024-02-05 09:55:07"/>
    <s v="2024-02-08 01:34:27"/>
    <s v="P3"/>
    <x v="2"/>
    <s v="Infrastructure"/>
    <s v="John Doe"/>
    <s v="Closed"/>
    <n v="2"/>
    <n v="24"/>
    <n v="63.66"/>
    <n v="0"/>
  </r>
  <r>
    <s v="TCK-12842"/>
    <s v="2024-06-10 05:44:14"/>
    <m/>
    <s v="P3"/>
    <x v="3"/>
    <s v="L1 Support"/>
    <s v="Jim Halpert"/>
    <s v="Open"/>
    <m/>
    <n v="24"/>
    <m/>
    <m/>
  </r>
  <r>
    <s v="TCK-12843"/>
    <s v="2024-04-01 19:38:22"/>
    <s v="2024-04-01 23:51:25"/>
    <s v="P2"/>
    <x v="0"/>
    <s v="L2 Support"/>
    <s v="Carlos Mendez"/>
    <s v="Resolved"/>
    <n v="5"/>
    <n v="8"/>
    <n v="4.22"/>
    <n v="1"/>
  </r>
  <r>
    <s v="TCK-12844"/>
    <s v="2024-02-29 04:07:23"/>
    <s v="2024-03-01 16:02:59"/>
    <s v="P4"/>
    <x v="2"/>
    <s v="Billing Operations"/>
    <s v="Alex Mercer"/>
    <s v="Resolved"/>
    <n v="4"/>
    <n v="48"/>
    <n v="35.93"/>
    <n v="1"/>
  </r>
  <r>
    <s v="TCK-12845"/>
    <s v="2024-11-16 07:30:36"/>
    <s v="2024-11-16 14:21:08"/>
    <s v="P2"/>
    <x v="0"/>
    <s v="Billing Operations"/>
    <s v="Carlos Mendez"/>
    <s v="Closed"/>
    <n v="4"/>
    <n v="8"/>
    <n v="6.84"/>
    <n v="1"/>
  </r>
  <r>
    <s v="TCK-12846"/>
    <s v="2024-06-30 07:34:43"/>
    <s v="2024-07-01 08:37:54"/>
    <s v="P4"/>
    <x v="3"/>
    <s v="Infrastructure"/>
    <s v="Sarah Connor"/>
    <s v="Closed"/>
    <n v="4"/>
    <n v="48"/>
    <n v="25.05"/>
    <n v="1"/>
  </r>
  <r>
    <s v="TCK-12847"/>
    <s v="2024-08-18 18:24:29"/>
    <s v="2024-08-19 06:02:15"/>
    <s v="P3"/>
    <x v="0"/>
    <s v="Billing Operations"/>
    <s v="Ravi Patel"/>
    <s v="Closed"/>
    <n v="4"/>
    <n v="24"/>
    <n v="11.63"/>
    <n v="1"/>
  </r>
  <r>
    <s v="TCK-12848"/>
    <s v="2024-07-19 00:34:57"/>
    <s v="2024-07-19 02:00:39"/>
    <s v="P1"/>
    <x v="2"/>
    <s v="Infrastructure"/>
    <s v="Dwight Schrute"/>
    <s v="Closed"/>
    <n v="5"/>
    <n v="4"/>
    <n v="1.43"/>
    <n v="1"/>
  </r>
  <r>
    <s v="TCK-12849"/>
    <s v="2024-08-24 15:51:33"/>
    <s v="2024-08-24 23:38:09"/>
    <s v="P3"/>
    <x v="3"/>
    <s v="L2 Support"/>
    <s v="Jim Halpert"/>
    <s v="Closed"/>
    <n v="5"/>
    <n v="24"/>
    <n v="7.78"/>
    <n v="1"/>
  </r>
  <r>
    <s v="TCK-12850"/>
    <s v="2024-06-08 23:01:47"/>
    <s v="2024-06-09 00:51:21"/>
    <s v="P2"/>
    <x v="1"/>
    <s v="L2 Support"/>
    <s v="Alex Mercer"/>
    <s v="Closed"/>
    <n v="5"/>
    <n v="8"/>
    <n v="1.83"/>
    <n v="1"/>
  </r>
  <r>
    <s v="TCK-12851"/>
    <s v="2024-09-21 21:47:30"/>
    <m/>
    <s v="P2"/>
    <x v="1"/>
    <s v="Billing Operations"/>
    <s v="Alex Mercer"/>
    <s v="Open"/>
    <m/>
    <n v="8"/>
    <m/>
    <m/>
  </r>
  <r>
    <s v="TCK-12852"/>
    <s v="2024-07-31 16:45:28"/>
    <s v="2024-08-01 03:04:26"/>
    <s v="P1"/>
    <x v="4"/>
    <s v="Billing Operations"/>
    <s v="Ravi Patel"/>
    <s v="Closed"/>
    <n v="1"/>
    <n v="4"/>
    <n v="10.32"/>
    <n v="0"/>
  </r>
  <r>
    <s v="TCK-12853"/>
    <s v="2024-10-25 05:06:29"/>
    <m/>
    <s v="P2"/>
    <x v="0"/>
    <s v="Application Support"/>
    <s v="Alex Mercer"/>
    <s v="Open"/>
    <m/>
    <n v="8"/>
    <m/>
    <m/>
  </r>
  <r>
    <s v="TCK-12854"/>
    <s v="2024-05-31 00:38:43"/>
    <s v="2024-05-31 15:00:08"/>
    <s v="P3"/>
    <x v="0"/>
    <s v="Billing Operations"/>
    <s v="Alex Mercer"/>
    <s v="Closed"/>
    <n v="4"/>
    <n v="24"/>
    <n v="14.36"/>
    <n v="1"/>
  </r>
  <r>
    <s v="TCK-12855"/>
    <s v="2024-10-29 23:56:09"/>
    <s v="2024-10-30 02:36:18"/>
    <s v="P2"/>
    <x v="3"/>
    <s v="Application Support"/>
    <s v="Ravi Patel"/>
    <s v="Closed"/>
    <n v="5"/>
    <n v="8"/>
    <n v="2.67"/>
    <n v="1"/>
  </r>
  <r>
    <s v="TCK-12856"/>
    <s v="2024-09-14 17:18:41"/>
    <m/>
    <s v="P4"/>
    <x v="2"/>
    <s v="Infrastructure"/>
    <s v="Anita Sharma"/>
    <s v="Open"/>
    <m/>
    <n v="48"/>
    <m/>
    <m/>
  </r>
  <r>
    <s v="TCK-12857"/>
    <s v="2024-12-24 03:19:37"/>
    <s v="2024-12-24 05:48:54"/>
    <s v="P1"/>
    <x v="0"/>
    <s v="L1 Support"/>
    <s v="Jim Halpert"/>
    <s v="Resolved"/>
    <n v="5"/>
    <n v="4"/>
    <n v="2.4900000000000002"/>
    <n v="1"/>
  </r>
  <r>
    <s v="TCK-12858"/>
    <s v="2024-10-31 09:32:06"/>
    <s v="2024-11-01 04:15:44"/>
    <s v="P3"/>
    <x v="2"/>
    <s v="L2 Support"/>
    <s v="Pam Beesly"/>
    <s v="Resolved"/>
    <n v="4"/>
    <n v="24"/>
    <n v="18.73"/>
    <n v="1"/>
  </r>
  <r>
    <s v="TCK-12859"/>
    <s v="2024-10-14 14:49:50"/>
    <s v="2024-10-14 15:55:15"/>
    <s v="P2"/>
    <x v="1"/>
    <s v="L2 Support"/>
    <s v="Sarah Connor"/>
    <s v="Resolved"/>
    <n v="5"/>
    <n v="8"/>
    <n v="1.0900000000000001"/>
    <n v="1"/>
  </r>
  <r>
    <s v="TCK-12860"/>
    <s v="2024-05-03 22:41:38"/>
    <s v="2024-05-04 13:41:54"/>
    <s v="P3"/>
    <x v="4"/>
    <s v="Infrastructure"/>
    <s v="John Doe"/>
    <s v="Closed"/>
    <n v="5"/>
    <n v="24"/>
    <n v="15"/>
    <n v="1"/>
  </r>
  <r>
    <s v="TCK-12861"/>
    <s v="2024-10-14 09:23:01"/>
    <s v="2024-10-14 13:38:43"/>
    <s v="P2"/>
    <x v="2"/>
    <s v="Infrastructure"/>
    <s v="Michael Scott"/>
    <s v="Resolved"/>
    <n v="4"/>
    <n v="8"/>
    <n v="4.26"/>
    <n v="1"/>
  </r>
  <r>
    <s v="TCK-12862"/>
    <s v="2024-01-30 23:37:57"/>
    <s v="2024-01-31 05:32:59"/>
    <s v="P2"/>
    <x v="2"/>
    <s v="Application Support"/>
    <s v="Alex Mercer"/>
    <s v="Closed"/>
    <n v="5"/>
    <n v="8"/>
    <n v="5.92"/>
    <n v="1"/>
  </r>
  <r>
    <s v="TCK-12863"/>
    <s v="2024-09-09 01:26:37"/>
    <s v="2024-09-09 10:27:33"/>
    <s v="P3"/>
    <x v="0"/>
    <s v="L2 Support"/>
    <s v="Jim Halpert"/>
    <s v="Resolved"/>
    <n v="5"/>
    <n v="24"/>
    <n v="9.02"/>
    <n v="1"/>
  </r>
  <r>
    <s v="TCK-12864"/>
    <s v="2024-11-14 10:53:46"/>
    <s v="2024-11-16 03:31:56"/>
    <s v="P4"/>
    <x v="2"/>
    <s v="L1 Support"/>
    <s v="Priya Nair"/>
    <s v="Resolved"/>
    <n v="4"/>
    <n v="48"/>
    <n v="40.64"/>
    <n v="1"/>
  </r>
  <r>
    <s v="TCK-12865"/>
    <s v="2024-06-22 16:49:49"/>
    <s v="2024-06-23 11:06:03"/>
    <s v="P3"/>
    <x v="0"/>
    <s v="L2 Support"/>
    <s v="Emily Watson"/>
    <s v="Closed"/>
    <n v="4"/>
    <n v="24"/>
    <n v="18.27"/>
    <n v="1"/>
  </r>
  <r>
    <s v="TCK-12866"/>
    <s v="2024-06-14 21:53:08"/>
    <s v="2024-06-15 15:48:56"/>
    <s v="P3"/>
    <x v="2"/>
    <s v="Application Support"/>
    <s v="Anita Sharma"/>
    <s v="Closed"/>
    <n v="4"/>
    <n v="24"/>
    <n v="17.93"/>
    <n v="1"/>
  </r>
  <r>
    <s v="TCK-12867"/>
    <s v="2024-10-27 04:58:14"/>
    <s v="2024-10-27 10:07:07"/>
    <s v="P3"/>
    <x v="0"/>
    <s v="Infrastructure"/>
    <s v="Alex Mercer"/>
    <s v="Resolved"/>
    <n v="4"/>
    <n v="24"/>
    <n v="5.15"/>
    <n v="1"/>
  </r>
  <r>
    <s v="TCK-12868"/>
    <s v="2024-03-26 05:46:38"/>
    <s v="2024-03-28 00:06:30"/>
    <s v="P3"/>
    <x v="2"/>
    <s v="L2 Support"/>
    <s v="Sarah Connor"/>
    <s v="Resolved"/>
    <n v="3"/>
    <n v="24"/>
    <n v="42.33"/>
    <n v="0"/>
  </r>
  <r>
    <s v="TCK-12869"/>
    <s v="2024-03-03 12:51:51"/>
    <s v="2024-03-03 23:17:29"/>
    <s v="P3"/>
    <x v="0"/>
    <s v="L2 Support"/>
    <s v="Carlos Mendez"/>
    <s v="Resolved"/>
    <n v="5"/>
    <n v="24"/>
    <n v="10.43"/>
    <n v="1"/>
  </r>
  <r>
    <s v="TCK-12870"/>
    <s v="2024-10-15 21:37:37"/>
    <s v="2024-10-16 03:13:20"/>
    <s v="P2"/>
    <x v="1"/>
    <s v="Billing Operations"/>
    <s v="Sarah Connor"/>
    <s v="Resolved"/>
    <n v="4"/>
    <n v="8"/>
    <n v="5.6"/>
    <n v="1"/>
  </r>
  <r>
    <s v="TCK-12871"/>
    <s v="2024-03-04 21:35:02"/>
    <s v="2024-03-09 20:54:35"/>
    <s v="P4"/>
    <x v="2"/>
    <s v="L2 Support"/>
    <s v="Michael Scott"/>
    <s v="Resolved"/>
    <n v="1"/>
    <n v="48"/>
    <n v="119.33"/>
    <n v="0"/>
  </r>
  <r>
    <s v="TCK-12872"/>
    <s v="2024-05-15 01:53:48"/>
    <s v="2024-05-15 23:36:36"/>
    <s v="P3"/>
    <x v="2"/>
    <s v="L2 Support"/>
    <s v="Anita Sharma"/>
    <s v="Resolved"/>
    <n v="5"/>
    <n v="24"/>
    <n v="21.71"/>
    <n v="1"/>
  </r>
  <r>
    <s v="TCK-12873"/>
    <s v="2024-04-26 19:11:15"/>
    <s v="2024-04-26 20:49:09"/>
    <s v="P2"/>
    <x v="2"/>
    <s v="Application Support"/>
    <s v="Priya Nair"/>
    <s v="Resolved"/>
    <n v="5"/>
    <n v="8"/>
    <n v="1.63"/>
    <n v="1"/>
  </r>
  <r>
    <s v="TCK-12874"/>
    <s v="2024-08-10 14:14:25"/>
    <s v="2024-08-11 11:28:35"/>
    <s v="P3"/>
    <x v="2"/>
    <s v="L1 Support"/>
    <s v="Carlos Mendez"/>
    <s v="Resolved"/>
    <n v="5"/>
    <n v="24"/>
    <n v="21.24"/>
    <n v="1"/>
  </r>
  <r>
    <s v="TCK-12875"/>
    <s v="2024-06-14 06:26:32"/>
    <s v="2024-06-14 09:06:04"/>
    <s v="P1"/>
    <x v="1"/>
    <s v="L1 Support"/>
    <s v="John Doe"/>
    <s v="Closed"/>
    <n v="4"/>
    <n v="4"/>
    <n v="2.66"/>
    <n v="1"/>
  </r>
  <r>
    <s v="TCK-12876"/>
    <s v="2024-08-02 15:15:18"/>
    <s v="2024-08-02 18:30:12"/>
    <s v="P1"/>
    <x v="0"/>
    <s v="Infrastructure"/>
    <s v="Sarah Connor"/>
    <s v="Resolved"/>
    <n v="5"/>
    <n v="4"/>
    <n v="3.25"/>
    <n v="1"/>
  </r>
  <r>
    <s v="TCK-12877"/>
    <s v="2024-05-30 11:24:36"/>
    <s v="2024-05-30 23:44:30"/>
    <s v="P3"/>
    <x v="4"/>
    <s v="Billing Operations"/>
    <s v="Michael Scott"/>
    <s v="Closed"/>
    <n v="4"/>
    <n v="24"/>
    <n v="12.33"/>
    <n v="1"/>
  </r>
  <r>
    <s v="TCK-12878"/>
    <s v="2024-01-11 08:45:26"/>
    <s v="2024-01-12 07:29:39"/>
    <s v="P3"/>
    <x v="1"/>
    <s v="L2 Support"/>
    <s v="Ravi Patel"/>
    <s v="Resolved"/>
    <n v="5"/>
    <n v="24"/>
    <n v="22.74"/>
    <n v="1"/>
  </r>
  <r>
    <s v="TCK-12879"/>
    <s v="2024-10-26 14:59:00"/>
    <s v="2024-10-28 20:09:03"/>
    <s v="P4"/>
    <x v="0"/>
    <s v="Application Support"/>
    <s v="Carlos Mendez"/>
    <s v="Resolved"/>
    <n v="3"/>
    <n v="48"/>
    <n v="53.17"/>
    <n v="0"/>
  </r>
  <r>
    <s v="TCK-12880"/>
    <s v="2024-08-15 13:55:25"/>
    <s v="2024-08-16 01:33:10"/>
    <s v="P3"/>
    <x v="0"/>
    <s v="L1 Support"/>
    <s v="Ravi Patel"/>
    <s v="Closed"/>
    <n v="4"/>
    <n v="24"/>
    <n v="11.63"/>
    <n v="1"/>
  </r>
  <r>
    <s v="TCK-12881"/>
    <s v="2024-10-17 03:35:58"/>
    <s v="2024-10-19 15:44:26"/>
    <s v="P3"/>
    <x v="2"/>
    <s v="Application Support"/>
    <s v="Sarah Connor"/>
    <s v="Resolved"/>
    <n v="4"/>
    <n v="24"/>
    <n v="60.14"/>
    <n v="0"/>
  </r>
  <r>
    <s v="TCK-12882"/>
    <s v="2024-04-18 06:04:28"/>
    <s v="2024-04-18 16:33:33"/>
    <s v="P2"/>
    <x v="4"/>
    <s v="L1 Support"/>
    <s v="John Doe"/>
    <s v="Closed"/>
    <n v="2"/>
    <n v="8"/>
    <n v="10.48"/>
    <n v="0"/>
  </r>
  <r>
    <s v="TCK-12883"/>
    <s v="2024-03-26 20:13:42"/>
    <s v="2024-03-27 00:00:17"/>
    <s v="P2"/>
    <x v="3"/>
    <s v="L1 Support"/>
    <s v="Sarah Connor"/>
    <s v="Closed"/>
    <n v="4"/>
    <n v="8"/>
    <n v="3.78"/>
    <n v="1"/>
  </r>
  <r>
    <s v="TCK-12884"/>
    <s v="2024-03-27 01:08:24"/>
    <s v="2024-03-28 00:23:43"/>
    <s v="P4"/>
    <x v="2"/>
    <s v="Billing Operations"/>
    <s v="Priya Nair"/>
    <s v="Resolved"/>
    <n v="3"/>
    <n v="48"/>
    <n v="23.26"/>
    <n v="1"/>
  </r>
  <r>
    <s v="TCK-12885"/>
    <s v="2024-02-28 11:29:27"/>
    <s v="2024-02-28 17:14:26"/>
    <s v="P3"/>
    <x v="2"/>
    <s v="Application Support"/>
    <s v="Sarah Connor"/>
    <s v="Resolved"/>
    <n v="4"/>
    <n v="24"/>
    <n v="5.75"/>
    <n v="1"/>
  </r>
  <r>
    <s v="TCK-12886"/>
    <s v="2024-11-29 16:22:20"/>
    <s v="2024-11-30 12:29:26"/>
    <s v="P3"/>
    <x v="2"/>
    <s v="Application Support"/>
    <s v="Pam Beesly"/>
    <s v="Resolved"/>
    <n v="4"/>
    <n v="24"/>
    <n v="20.12"/>
    <n v="1"/>
  </r>
  <r>
    <s v="TCK-12887"/>
    <s v="2024-01-21 17:46:08"/>
    <s v="2024-01-21 22:32:37"/>
    <s v="P2"/>
    <x v="4"/>
    <s v="Application Support"/>
    <s v="John Doe"/>
    <s v="Resolved"/>
    <n v="5"/>
    <n v="8"/>
    <n v="4.7699999999999996"/>
    <n v="1"/>
  </r>
  <r>
    <s v="TCK-12888"/>
    <s v="2024-10-12 19:17:38"/>
    <s v="2024-10-13 06:32:17"/>
    <s v="P4"/>
    <x v="2"/>
    <s v="Billing Operations"/>
    <s v="Carlos Mendez"/>
    <s v="Resolved"/>
    <n v="4"/>
    <n v="48"/>
    <n v="11.24"/>
    <n v="1"/>
  </r>
  <r>
    <s v="TCK-12889"/>
    <s v="2024-09-23 11:32:37"/>
    <s v="2024-09-23 18:21:24"/>
    <s v="P3"/>
    <x v="0"/>
    <s v="Infrastructure"/>
    <s v="Sarah Connor"/>
    <s v="Resolved"/>
    <n v="5"/>
    <n v="24"/>
    <n v="6.81"/>
    <n v="1"/>
  </r>
  <r>
    <s v="TCK-12890"/>
    <s v="2024-11-04 05:33:03"/>
    <s v="2024-11-04 12:56:36"/>
    <s v="P4"/>
    <x v="2"/>
    <s v="L1 Support"/>
    <s v="John Doe"/>
    <s v="Closed"/>
    <n v="5"/>
    <n v="48"/>
    <n v="7.39"/>
    <n v="1"/>
  </r>
  <r>
    <s v="TCK-12891"/>
    <s v="2024-03-22 05:22:07"/>
    <m/>
    <s v="P4"/>
    <x v="0"/>
    <s v="Infrastructure"/>
    <s v="Michael Scott"/>
    <s v="Open"/>
    <m/>
    <n v="48"/>
    <m/>
    <m/>
  </r>
  <r>
    <s v="TCK-12892"/>
    <s v="2024-04-09 16:23:47"/>
    <s v="2024-04-10 20:33:39"/>
    <s v="P4"/>
    <x v="2"/>
    <s v="L2 Support"/>
    <s v="John Doe"/>
    <s v="Resolved"/>
    <n v="4"/>
    <n v="48"/>
    <n v="28.16"/>
    <n v="1"/>
  </r>
  <r>
    <s v="TCK-12893"/>
    <s v="2024-10-20 13:22:25"/>
    <s v="2024-10-20 18:54:17"/>
    <s v="P2"/>
    <x v="2"/>
    <s v="Infrastructure"/>
    <s v="Pam Beesly"/>
    <s v="Resolved"/>
    <n v="4"/>
    <n v="8"/>
    <n v="5.53"/>
    <n v="1"/>
  </r>
  <r>
    <s v="TCK-12894"/>
    <s v="2024-07-06 14:26:45"/>
    <s v="2024-07-06 20:33:40"/>
    <s v="P2"/>
    <x v="2"/>
    <s v="L2 Support"/>
    <s v="Pam Beesly"/>
    <s v="Resolved"/>
    <n v="4"/>
    <n v="8"/>
    <n v="6.12"/>
    <n v="1"/>
  </r>
  <r>
    <s v="TCK-12895"/>
    <s v="2024-07-20 03:20:08"/>
    <s v="2024-07-20 11:38:29"/>
    <s v="P3"/>
    <x v="3"/>
    <s v="L2 Support"/>
    <s v="Sarah Connor"/>
    <s v="Resolved"/>
    <n v="5"/>
    <n v="24"/>
    <n v="8.31"/>
    <n v="1"/>
  </r>
  <r>
    <s v="TCK-12896"/>
    <s v="2024-04-21 04:15:34"/>
    <s v="2024-04-21 09:48:29"/>
    <s v="P2"/>
    <x v="2"/>
    <s v="Application Support"/>
    <s v="Jim Halpert"/>
    <s v="Resolved"/>
    <n v="5"/>
    <n v="8"/>
    <n v="5.55"/>
    <n v="1"/>
  </r>
  <r>
    <s v="TCK-12897"/>
    <s v="2024-07-14 07:25:50"/>
    <m/>
    <s v="P1"/>
    <x v="1"/>
    <s v="Billing Operations"/>
    <s v="Dwight Schrute"/>
    <s v="Escalated"/>
    <m/>
    <n v="4"/>
    <m/>
    <m/>
  </r>
  <r>
    <s v="TCK-12898"/>
    <s v="2024-02-03 15:28:21"/>
    <m/>
    <s v="P2"/>
    <x v="3"/>
    <s v="Infrastructure"/>
    <s v="Sarah Connor"/>
    <s v="Open"/>
    <m/>
    <n v="8"/>
    <m/>
    <m/>
  </r>
  <r>
    <s v="TCK-12899"/>
    <s v="2024-04-07 11:45:33"/>
    <s v="2024-04-07 20:23:23"/>
    <s v="P2"/>
    <x v="2"/>
    <s v="Application Support"/>
    <s v="John Doe"/>
    <s v="Closed"/>
    <n v="3"/>
    <n v="8"/>
    <n v="8.6300000000000008"/>
    <n v="0"/>
  </r>
  <r>
    <s v="TCK-12900"/>
    <s v="2024-01-31 11:26:08"/>
    <s v="2024-01-31 22:28:11"/>
    <s v="P3"/>
    <x v="1"/>
    <s v="Billing Operations"/>
    <s v="Carlos Mendez"/>
    <s v="Resolved"/>
    <n v="4"/>
    <n v="24"/>
    <n v="11.03"/>
    <n v="1"/>
  </r>
  <r>
    <s v="TCK-12901"/>
    <s v="2024-10-22 20:54:16"/>
    <s v="2024-10-23 08:01:54"/>
    <s v="P3"/>
    <x v="1"/>
    <s v="Billing Operations"/>
    <s v="Carlos Mendez"/>
    <s v="Closed"/>
    <n v="5"/>
    <n v="24"/>
    <n v="11.13"/>
    <n v="1"/>
  </r>
  <r>
    <s v="TCK-12902"/>
    <s v="2024-03-18 04:46:20"/>
    <m/>
    <s v="P2"/>
    <x v="0"/>
    <s v="L1 Support"/>
    <s v="Pam Beesly"/>
    <s v="Open"/>
    <m/>
    <n v="8"/>
    <m/>
    <m/>
  </r>
  <r>
    <s v="TCK-12903"/>
    <s v="2024-03-10 22:19:10"/>
    <s v="2024-03-11 04:29:37"/>
    <s v="P3"/>
    <x v="1"/>
    <s v="Application Support"/>
    <s v="Alex Mercer"/>
    <s v="Resolved"/>
    <n v="5"/>
    <n v="24"/>
    <n v="6.17"/>
    <n v="1"/>
  </r>
  <r>
    <s v="TCK-12904"/>
    <s v="2024-12-05 20:52:06"/>
    <s v="2024-12-06 03:19:07"/>
    <s v="P2"/>
    <x v="3"/>
    <s v="Infrastructure"/>
    <s v="Priya Nair"/>
    <s v="Resolved"/>
    <n v="4"/>
    <n v="8"/>
    <n v="6.45"/>
    <n v="1"/>
  </r>
  <r>
    <s v="TCK-12905"/>
    <s v="2024-10-15 01:41:33"/>
    <s v="2024-10-15 02:26:34"/>
    <s v="P1"/>
    <x v="2"/>
    <s v="L2 Support"/>
    <s v="Alex Mercer"/>
    <s v="Resolved"/>
    <n v="3"/>
    <n v="4"/>
    <n v="0.75"/>
    <n v="1"/>
  </r>
  <r>
    <s v="TCK-12906"/>
    <s v="2024-05-04 12:21:54"/>
    <m/>
    <s v="P3"/>
    <x v="3"/>
    <s v="L1 Support"/>
    <s v="Sarah Connor"/>
    <s v="Escalated"/>
    <m/>
    <n v="24"/>
    <m/>
    <m/>
  </r>
  <r>
    <s v="TCK-12907"/>
    <s v="2024-06-05 09:00:14"/>
    <s v="2024-06-06 23:12:30"/>
    <s v="P3"/>
    <x v="2"/>
    <s v="Billing Operations"/>
    <s v="John Doe"/>
    <s v="Resolved"/>
    <n v="1"/>
    <n v="24"/>
    <n v="38.200000000000003"/>
    <n v="0"/>
  </r>
  <r>
    <s v="TCK-12908"/>
    <s v="2024-05-04 10:06:21"/>
    <s v="2024-05-04 13:28:29"/>
    <s v="P2"/>
    <x v="4"/>
    <s v="L2 Support"/>
    <s v="John Doe"/>
    <s v="Closed"/>
    <n v="5"/>
    <n v="8"/>
    <n v="3.37"/>
    <n v="1"/>
  </r>
  <r>
    <s v="TCK-12909"/>
    <s v="2024-02-07 11:06:37"/>
    <s v="2024-02-08 13:42:18"/>
    <s v="P4"/>
    <x v="0"/>
    <s v="L1 Support"/>
    <s v="Sarah Connor"/>
    <s v="Resolved"/>
    <n v="4"/>
    <n v="48"/>
    <n v="26.59"/>
    <n v="1"/>
  </r>
  <r>
    <s v="TCK-12910"/>
    <s v="2024-08-11 23:33:14"/>
    <s v="2024-08-12 06:58:09"/>
    <s v="P2"/>
    <x v="2"/>
    <s v="L2 Support"/>
    <s v="Pam Beesly"/>
    <s v="Resolved"/>
    <n v="5"/>
    <n v="8"/>
    <n v="7.42"/>
    <n v="1"/>
  </r>
  <r>
    <s v="TCK-12911"/>
    <s v="2024-03-02 19:41:07"/>
    <s v="2024-03-02 21:57:28"/>
    <s v="P2"/>
    <x v="3"/>
    <s v="Infrastructure"/>
    <s v="Jim Halpert"/>
    <s v="Closed"/>
    <n v="4"/>
    <n v="8"/>
    <n v="2.27"/>
    <n v="1"/>
  </r>
  <r>
    <s v="TCK-12912"/>
    <s v="2024-06-04 13:43:59"/>
    <s v="2024-06-04 16:19:34"/>
    <s v="P2"/>
    <x v="0"/>
    <s v="Billing Operations"/>
    <s v="Dwight Schrute"/>
    <s v="Resolved"/>
    <n v="5"/>
    <n v="8"/>
    <n v="2.59"/>
    <n v="1"/>
  </r>
  <r>
    <s v="TCK-12913"/>
    <s v="2024-06-16 02:17:11"/>
    <s v="2024-06-16 14:32:51"/>
    <s v="P2"/>
    <x v="1"/>
    <s v="L1 Support"/>
    <s v="Priya Nair"/>
    <s v="Closed"/>
    <n v="3"/>
    <n v="8"/>
    <n v="12.26"/>
    <n v="0"/>
  </r>
  <r>
    <s v="TCK-12914"/>
    <s v="2024-09-04 14:04:37"/>
    <s v="2024-09-05 05:13:43"/>
    <s v="P3"/>
    <x v="3"/>
    <s v="L2 Support"/>
    <s v="Michael Scott"/>
    <s v="Closed"/>
    <n v="4"/>
    <n v="24"/>
    <n v="15.15"/>
    <n v="1"/>
  </r>
  <r>
    <s v="TCK-12915"/>
    <s v="2024-07-02 14:24:19"/>
    <s v="2024-07-08 12:42:18"/>
    <s v="P4"/>
    <x v="2"/>
    <s v="L1 Support"/>
    <s v="Pam Beesly"/>
    <s v="Closed"/>
    <n v="2"/>
    <n v="48"/>
    <n v="142.30000000000001"/>
    <n v="0"/>
  </r>
  <r>
    <s v="TCK-12916"/>
    <s v="2024-11-12 11:43:14"/>
    <s v="2024-11-12 13:35:34"/>
    <s v="P2"/>
    <x v="0"/>
    <s v="Infrastructure"/>
    <s v="Dwight Schrute"/>
    <s v="Closed"/>
    <n v="5"/>
    <n v="8"/>
    <n v="1.87"/>
    <n v="1"/>
  </r>
  <r>
    <s v="TCK-12917"/>
    <s v="2024-12-05 02:46:27"/>
    <s v="2024-12-05 21:08:32"/>
    <s v="P3"/>
    <x v="1"/>
    <s v="Application Support"/>
    <s v="Jim Halpert"/>
    <s v="Resolved"/>
    <n v="4"/>
    <n v="24"/>
    <n v="18.37"/>
    <n v="1"/>
  </r>
  <r>
    <s v="TCK-12918"/>
    <s v="2024-04-07 02:50:20"/>
    <s v="2024-04-08 01:29:04"/>
    <s v="P3"/>
    <x v="3"/>
    <s v="Infrastructure"/>
    <s v="John Doe"/>
    <s v="Resolved"/>
    <n v="4"/>
    <n v="24"/>
    <n v="22.65"/>
    <n v="1"/>
  </r>
  <r>
    <s v="TCK-12919"/>
    <s v="2024-10-24 07:22:16"/>
    <s v="2024-10-24 23:50:05"/>
    <s v="P3"/>
    <x v="0"/>
    <s v="L2 Support"/>
    <s v="Pam Beesly"/>
    <s v="Resolved"/>
    <n v="5"/>
    <n v="24"/>
    <n v="16.46"/>
    <n v="1"/>
  </r>
  <r>
    <s v="TCK-12920"/>
    <s v="2024-02-19 18:21:08"/>
    <s v="2024-02-19 23:53:44"/>
    <s v="P3"/>
    <x v="0"/>
    <s v="Billing Operations"/>
    <s v="Ravi Patel"/>
    <s v="Closed"/>
    <n v="4"/>
    <n v="24"/>
    <n v="5.54"/>
    <n v="1"/>
  </r>
  <r>
    <s v="TCK-12921"/>
    <s v="2024-12-20 01:06:52"/>
    <s v="2024-12-20 13:12:02"/>
    <s v="P3"/>
    <x v="4"/>
    <s v="Application Support"/>
    <s v="Anita Sharma"/>
    <s v="Resolved"/>
    <n v="4"/>
    <n v="24"/>
    <n v="12.09"/>
    <n v="1"/>
  </r>
  <r>
    <s v="TCK-12922"/>
    <s v="2024-06-27 01:45:41"/>
    <s v="2024-06-27 15:43:31"/>
    <s v="P4"/>
    <x v="3"/>
    <s v="Application Support"/>
    <s v="Emily Watson"/>
    <s v="Closed"/>
    <n v="4"/>
    <n v="48"/>
    <n v="13.96"/>
    <n v="1"/>
  </r>
  <r>
    <s v="TCK-12923"/>
    <s v="2024-12-31 11:10:12"/>
    <s v="2025-01-01 01:21:22"/>
    <s v="P3"/>
    <x v="2"/>
    <s v="Infrastructure"/>
    <s v="Ravi Patel"/>
    <s v="Closed"/>
    <n v="4"/>
    <n v="24"/>
    <n v="14.19"/>
    <n v="1"/>
  </r>
  <r>
    <s v="TCK-12924"/>
    <s v="2024-02-09 15:53:13"/>
    <s v="2024-02-10 06:51:05"/>
    <s v="P3"/>
    <x v="2"/>
    <s v="Infrastructure"/>
    <s v="Anita Sharma"/>
    <s v="Resolved"/>
    <n v="5"/>
    <n v="24"/>
    <n v="14.96"/>
    <n v="1"/>
  </r>
  <r>
    <s v="TCK-12925"/>
    <s v="2024-10-22 01:37:08"/>
    <s v="2024-10-22 23:19:27"/>
    <s v="P3"/>
    <x v="3"/>
    <s v="Application Support"/>
    <s v="Sarah Connor"/>
    <s v="Resolved"/>
    <n v="3"/>
    <n v="24"/>
    <n v="21.71"/>
    <n v="1"/>
  </r>
  <r>
    <s v="TCK-12926"/>
    <s v="2024-06-02 05:05:49"/>
    <s v="2024-06-02 10:50:25"/>
    <s v="P4"/>
    <x v="2"/>
    <s v="L2 Support"/>
    <s v="Priya Nair"/>
    <s v="Resolved"/>
    <n v="5"/>
    <n v="48"/>
    <n v="5.74"/>
    <n v="1"/>
  </r>
  <r>
    <s v="TCK-12927"/>
    <s v="2024-07-03 09:50:57"/>
    <m/>
    <s v="P2"/>
    <x v="1"/>
    <s v="L2 Support"/>
    <s v="Alex Mercer"/>
    <s v="Open"/>
    <m/>
    <n v="8"/>
    <m/>
    <m/>
  </r>
  <r>
    <s v="TCK-12928"/>
    <s v="2024-04-16 16:39:01"/>
    <m/>
    <s v="P3"/>
    <x v="2"/>
    <s v="Application Support"/>
    <s v="Ravi Patel"/>
    <s v="Open"/>
    <m/>
    <n v="24"/>
    <m/>
    <m/>
  </r>
  <r>
    <s v="TCK-12929"/>
    <s v="2024-01-08 18:00:55"/>
    <s v="2024-01-08 22:54:50"/>
    <s v="P3"/>
    <x v="1"/>
    <s v="Infrastructure"/>
    <s v="Anita Sharma"/>
    <s v="Resolved"/>
    <n v="4"/>
    <n v="24"/>
    <n v="4.9000000000000004"/>
    <n v="1"/>
  </r>
  <r>
    <s v="TCK-12930"/>
    <s v="2024-10-31 17:07:11"/>
    <s v="2024-10-31 23:37:13"/>
    <s v="P2"/>
    <x v="0"/>
    <s v="Application Support"/>
    <s v="Jim Halpert"/>
    <s v="Resolved"/>
    <n v="5"/>
    <n v="8"/>
    <n v="6.5"/>
    <n v="1"/>
  </r>
  <r>
    <s v="TCK-12931"/>
    <s v="2024-11-19 04:43:17"/>
    <s v="2024-11-19 23:45:59"/>
    <s v="P3"/>
    <x v="2"/>
    <s v="Infrastructure"/>
    <s v="Pam Beesly"/>
    <s v="Closed"/>
    <n v="5"/>
    <n v="24"/>
    <n v="19.05"/>
    <n v="1"/>
  </r>
  <r>
    <s v="TCK-12932"/>
    <s v="2024-06-27 23:35:57"/>
    <s v="2024-06-28 03:05:16"/>
    <s v="P2"/>
    <x v="4"/>
    <s v="Billing Operations"/>
    <s v="Carlos Mendez"/>
    <s v="Closed"/>
    <n v="5"/>
    <n v="8"/>
    <n v="3.49"/>
    <n v="1"/>
  </r>
  <r>
    <s v="TCK-12933"/>
    <s v="2024-07-15 16:47:10"/>
    <s v="2024-07-16 13:13:24"/>
    <s v="P4"/>
    <x v="1"/>
    <s v="L1 Support"/>
    <s v="John Doe"/>
    <s v="Closed"/>
    <n v="4"/>
    <n v="48"/>
    <n v="20.440000000000001"/>
    <n v="1"/>
  </r>
  <r>
    <s v="TCK-12934"/>
    <s v="2024-06-28 01:02:41"/>
    <s v="2024-06-28 02:11:14"/>
    <s v="P1"/>
    <x v="2"/>
    <s v="L1 Support"/>
    <s v="Jim Halpert"/>
    <s v="Closed"/>
    <n v="4"/>
    <n v="4"/>
    <n v="1.1399999999999999"/>
    <n v="1"/>
  </r>
  <r>
    <s v="TCK-12935"/>
    <s v="2024-02-13 10:00:46"/>
    <s v="2024-02-13 10:30:23"/>
    <s v="P1"/>
    <x v="4"/>
    <s v="L1 Support"/>
    <s v="John Doe"/>
    <s v="Resolved"/>
    <n v="4"/>
    <n v="4"/>
    <n v="0.49"/>
    <n v="1"/>
  </r>
  <r>
    <s v="TCK-12936"/>
    <s v="2024-10-06 08:06:57"/>
    <s v="2024-10-06 10:27:19"/>
    <s v="P2"/>
    <x v="3"/>
    <s v="Billing Operations"/>
    <s v="Alex Mercer"/>
    <s v="Closed"/>
    <n v="4"/>
    <n v="8"/>
    <n v="2.34"/>
    <n v="1"/>
  </r>
  <r>
    <s v="TCK-12937"/>
    <s v="2024-04-15 22:15:44"/>
    <s v="2024-04-16 03:43:28"/>
    <s v="P2"/>
    <x v="4"/>
    <s v="Application Support"/>
    <s v="Dwight Schrute"/>
    <s v="Closed"/>
    <n v="5"/>
    <n v="8"/>
    <n v="5.46"/>
    <n v="1"/>
  </r>
  <r>
    <s v="TCK-12938"/>
    <s v="2024-02-09 07:42:38"/>
    <s v="2024-02-09 15:00:16"/>
    <s v="P2"/>
    <x v="0"/>
    <s v="Billing Operations"/>
    <s v="Priya Nair"/>
    <s v="Resolved"/>
    <n v="5"/>
    <n v="8"/>
    <n v="7.29"/>
    <n v="1"/>
  </r>
  <r>
    <s v="TCK-12939"/>
    <s v="2024-07-11 00:54:26"/>
    <s v="2024-07-11 23:12:13"/>
    <s v="P3"/>
    <x v="1"/>
    <s v="Infrastructure"/>
    <s v="Ravi Patel"/>
    <s v="Resolved"/>
    <n v="5"/>
    <n v="24"/>
    <n v="22.3"/>
    <n v="1"/>
  </r>
  <r>
    <s v="TCK-12940"/>
    <s v="2024-10-03 05:11:44"/>
    <s v="2024-10-04 02:25:07"/>
    <s v="P3"/>
    <x v="3"/>
    <s v="L1 Support"/>
    <s v="Alex Mercer"/>
    <s v="Closed"/>
    <n v="5"/>
    <n v="24"/>
    <n v="21.22"/>
    <n v="1"/>
  </r>
  <r>
    <s v="TCK-12941"/>
    <s v="2024-01-16 08:16:03"/>
    <m/>
    <s v="P2"/>
    <x v="3"/>
    <s v="Application Support"/>
    <s v="Jim Halpert"/>
    <s v="Open"/>
    <m/>
    <n v="8"/>
    <m/>
    <m/>
  </r>
  <r>
    <s v="TCK-12942"/>
    <s v="2024-06-06 07:24:05"/>
    <s v="2024-06-06 18:05:31"/>
    <s v="P4"/>
    <x v="4"/>
    <s v="L1 Support"/>
    <s v="Anita Sharma"/>
    <s v="Closed"/>
    <n v="5"/>
    <n v="48"/>
    <n v="10.69"/>
    <n v="1"/>
  </r>
  <r>
    <s v="TCK-12943"/>
    <s v="2024-10-26 06:12:05"/>
    <s v="2024-10-27 06:08:43"/>
    <s v="P2"/>
    <x v="2"/>
    <s v="Infrastructure"/>
    <s v="Michael Scott"/>
    <s v="Closed"/>
    <n v="1"/>
    <n v="8"/>
    <n v="23.94"/>
    <n v="0"/>
  </r>
  <r>
    <s v="TCK-12944"/>
    <s v="2024-03-18 00:39:48"/>
    <m/>
    <s v="P1"/>
    <x v="1"/>
    <s v="Application Support"/>
    <s v="Anita Sharma"/>
    <s v="Escalated"/>
    <m/>
    <n v="4"/>
    <m/>
    <m/>
  </r>
  <r>
    <s v="TCK-12945"/>
    <s v="2024-02-07 16:21:14"/>
    <s v="2024-02-07 19:57:09"/>
    <s v="P3"/>
    <x v="4"/>
    <s v="Billing Operations"/>
    <s v="Sarah Connor"/>
    <s v="Resolved"/>
    <n v="4"/>
    <n v="24"/>
    <n v="3.6"/>
    <n v="1"/>
  </r>
  <r>
    <s v="TCK-12946"/>
    <s v="2024-07-05 23:04:23"/>
    <s v="2024-07-06 09:22:40"/>
    <s v="P1"/>
    <x v="0"/>
    <s v="L1 Support"/>
    <s v="Dwight Schrute"/>
    <s v="Resolved"/>
    <n v="1"/>
    <n v="4"/>
    <n v="10.3"/>
    <n v="0"/>
  </r>
  <r>
    <s v="TCK-12947"/>
    <s v="2024-09-22 03:15:27"/>
    <s v="2024-09-22 09:57:21"/>
    <s v="P2"/>
    <x v="0"/>
    <s v="L1 Support"/>
    <s v="John Doe"/>
    <s v="Resolved"/>
    <n v="4"/>
    <n v="8"/>
    <n v="6.7"/>
    <n v="1"/>
  </r>
  <r>
    <s v="TCK-12948"/>
    <s v="2024-12-28 14:48:52"/>
    <s v="2024-12-29 04:06:00"/>
    <s v="P3"/>
    <x v="0"/>
    <s v="L1 Support"/>
    <s v="Michael Scott"/>
    <s v="Resolved"/>
    <n v="5"/>
    <n v="24"/>
    <n v="13.29"/>
    <n v="1"/>
  </r>
  <r>
    <s v="TCK-12949"/>
    <s v="2024-04-26 11:34:16"/>
    <s v="2024-04-26 18:08:42"/>
    <s v="P2"/>
    <x v="4"/>
    <s v="L1 Support"/>
    <s v="Anita Sharma"/>
    <s v="Resolved"/>
    <n v="4"/>
    <n v="8"/>
    <n v="6.57"/>
    <n v="1"/>
  </r>
  <r>
    <s v="TCK-12950"/>
    <s v="2024-05-28 03:07:02"/>
    <s v="2024-05-28 04:27:32"/>
    <s v="P2"/>
    <x v="2"/>
    <s v="Billing Operations"/>
    <s v="Sarah Connor"/>
    <s v="Resolved"/>
    <n v="5"/>
    <n v="8"/>
    <n v="1.34"/>
    <n v="1"/>
  </r>
  <r>
    <s v="TCK-12951"/>
    <s v="2024-07-13 05:58:19"/>
    <s v="2024-07-13 17:00:47"/>
    <s v="P2"/>
    <x v="4"/>
    <s v="Application Support"/>
    <s v="Sarah Connor"/>
    <s v="Closed"/>
    <n v="2"/>
    <n v="8"/>
    <n v="11.04"/>
    <n v="0"/>
  </r>
  <r>
    <s v="TCK-12952"/>
    <s v="2024-02-16 12:53:04"/>
    <s v="2024-02-17 00:40:55"/>
    <s v="P2"/>
    <x v="0"/>
    <s v="L1 Support"/>
    <s v="Priya Nair"/>
    <s v="Resolved"/>
    <n v="1"/>
    <n v="8"/>
    <n v="11.8"/>
    <n v="0"/>
  </r>
  <r>
    <s v="TCK-12953"/>
    <s v="2024-08-20 02:41:26"/>
    <s v="2024-08-20 21:41:57"/>
    <s v="P3"/>
    <x v="4"/>
    <s v="L2 Support"/>
    <s v="Jim Halpert"/>
    <s v="Resolved"/>
    <n v="4"/>
    <n v="24"/>
    <n v="19.010000000000002"/>
    <n v="1"/>
  </r>
  <r>
    <s v="TCK-12954"/>
    <s v="2024-05-05 20:12:32"/>
    <s v="2024-05-05 22:55:59"/>
    <s v="P2"/>
    <x v="3"/>
    <s v="Infrastructure"/>
    <s v="Sarah Connor"/>
    <s v="Resolved"/>
    <n v="5"/>
    <n v="8"/>
    <n v="2.72"/>
    <n v="1"/>
  </r>
  <r>
    <s v="TCK-12955"/>
    <s v="2024-01-26 13:53:11"/>
    <m/>
    <s v="P4"/>
    <x v="2"/>
    <s v="Billing Operations"/>
    <s v="Anita Sharma"/>
    <s v="Open"/>
    <m/>
    <n v="48"/>
    <m/>
    <m/>
  </r>
  <r>
    <s v="TCK-12956"/>
    <s v="2024-06-14 17:51:04"/>
    <s v="2024-06-15 03:47:01"/>
    <s v="P3"/>
    <x v="2"/>
    <s v="Billing Operations"/>
    <s v="Anita Sharma"/>
    <s v="Resolved"/>
    <n v="5"/>
    <n v="24"/>
    <n v="9.93"/>
    <n v="1"/>
  </r>
  <r>
    <s v="TCK-12957"/>
    <s v="2024-09-01 11:36:40"/>
    <m/>
    <s v="P3"/>
    <x v="2"/>
    <s v="Application Support"/>
    <s v="Pam Beesly"/>
    <s v="Open"/>
    <m/>
    <n v="24"/>
    <m/>
    <m/>
  </r>
  <r>
    <s v="TCK-12958"/>
    <s v="2024-12-22 11:11:41"/>
    <s v="2024-12-23 21:01:00"/>
    <s v="P3"/>
    <x v="2"/>
    <s v="Billing Operations"/>
    <s v="Michael Scott"/>
    <s v="Closed"/>
    <n v="2"/>
    <n v="24"/>
    <n v="33.82"/>
    <n v="0"/>
  </r>
  <r>
    <s v="TCK-12959"/>
    <s v="2024-02-03 21:30:41"/>
    <s v="2024-02-04 05:11:41"/>
    <s v="P3"/>
    <x v="2"/>
    <s v="L2 Support"/>
    <s v="Carlos Mendez"/>
    <s v="Resolved"/>
    <n v="5"/>
    <n v="24"/>
    <n v="7.68"/>
    <n v="1"/>
  </r>
  <r>
    <s v="TCK-12960"/>
    <s v="2024-07-04 08:28:18"/>
    <m/>
    <s v="P1"/>
    <x v="1"/>
    <s v="Infrastructure"/>
    <s v="Carlos Mendez"/>
    <s v="Open"/>
    <m/>
    <n v="4"/>
    <m/>
    <m/>
  </r>
  <r>
    <s v="TCK-12961"/>
    <s v="2024-02-13 12:45:13"/>
    <s v="2024-02-18 23:45:24"/>
    <s v="P4"/>
    <x v="1"/>
    <s v="Application Support"/>
    <s v="Ravi Patel"/>
    <s v="Closed"/>
    <n v="1"/>
    <n v="48"/>
    <n v="131"/>
    <n v="0"/>
  </r>
  <r>
    <s v="TCK-12962"/>
    <s v="2024-11-02 03:35:47"/>
    <s v="2024-11-02 22:34:33"/>
    <s v="P3"/>
    <x v="2"/>
    <s v="L1 Support"/>
    <s v="Alex Mercer"/>
    <s v="Resolved"/>
    <n v="4"/>
    <n v="24"/>
    <n v="18.98"/>
    <n v="1"/>
  </r>
  <r>
    <s v="TCK-12963"/>
    <s v="2024-08-21 03:47:31"/>
    <s v="2024-08-21 05:47:44"/>
    <s v="P1"/>
    <x v="4"/>
    <s v="L1 Support"/>
    <s v="Dwight Schrute"/>
    <s v="Resolved"/>
    <n v="4"/>
    <n v="4"/>
    <n v="2"/>
    <n v="1"/>
  </r>
  <r>
    <s v="TCK-12964"/>
    <s v="2024-07-14 02:20:21"/>
    <s v="2024-07-14 08:25:52"/>
    <s v="P3"/>
    <x v="1"/>
    <s v="L2 Support"/>
    <s v="John Doe"/>
    <s v="Resolved"/>
    <n v="5"/>
    <n v="24"/>
    <n v="6.09"/>
    <n v="1"/>
  </r>
  <r>
    <s v="TCK-12965"/>
    <s v="2024-04-20 14:13:08"/>
    <s v="2024-04-20 16:40:45"/>
    <s v="P1"/>
    <x v="2"/>
    <s v="Infrastructure"/>
    <s v="John Doe"/>
    <s v="Resolved"/>
    <n v="5"/>
    <n v="4"/>
    <n v="2.46"/>
    <n v="1"/>
  </r>
  <r>
    <s v="TCK-12966"/>
    <s v="2024-01-13 17:47:36"/>
    <s v="2024-01-13 18:58:08"/>
    <s v="P1"/>
    <x v="1"/>
    <s v="Billing Operations"/>
    <s v="Michael Scott"/>
    <s v="Resolved"/>
    <n v="5"/>
    <n v="4"/>
    <n v="1.18"/>
    <n v="1"/>
  </r>
  <r>
    <s v="TCK-12967"/>
    <s v="2024-02-09 20:39:24"/>
    <s v="2024-02-12 10:05:38"/>
    <s v="P3"/>
    <x v="4"/>
    <s v="Infrastructure"/>
    <s v="Carlos Mendez"/>
    <s v="Resolved"/>
    <n v="1"/>
    <n v="24"/>
    <n v="61.44"/>
    <n v="0"/>
  </r>
  <r>
    <s v="TCK-12968"/>
    <s v="2024-10-30 03:58:15"/>
    <s v="2024-10-31 18:27:25"/>
    <s v="P4"/>
    <x v="4"/>
    <s v="L2 Support"/>
    <s v="Carlos Mendez"/>
    <s v="Resolved"/>
    <n v="5"/>
    <n v="48"/>
    <n v="38.49"/>
    <n v="1"/>
  </r>
  <r>
    <s v="TCK-12969"/>
    <s v="2024-06-18 22:09:31"/>
    <s v="2024-06-19 04:07:15"/>
    <s v="P2"/>
    <x v="3"/>
    <s v="Infrastructure"/>
    <s v="Dwight Schrute"/>
    <s v="Closed"/>
    <n v="5"/>
    <n v="8"/>
    <n v="5.96"/>
    <n v="1"/>
  </r>
  <r>
    <s v="TCK-12970"/>
    <s v="2024-01-12 16:15:46"/>
    <s v="2024-01-12 19:01:08"/>
    <s v="P2"/>
    <x v="2"/>
    <s v="L1 Support"/>
    <s v="Alex Mercer"/>
    <s v="Closed"/>
    <n v="5"/>
    <n v="8"/>
    <n v="2.76"/>
    <n v="1"/>
  </r>
  <r>
    <s v="TCK-12971"/>
    <s v="2024-05-08 06:29:41"/>
    <s v="2024-05-08 13:27:29"/>
    <s v="P2"/>
    <x v="1"/>
    <s v="Infrastructure"/>
    <s v="John Doe"/>
    <s v="Closed"/>
    <n v="5"/>
    <n v="8"/>
    <n v="6.96"/>
    <n v="1"/>
  </r>
  <r>
    <s v="TCK-12972"/>
    <s v="2024-04-12 07:57:15"/>
    <s v="2024-04-12 12:29:53"/>
    <s v="P2"/>
    <x v="3"/>
    <s v="Application Support"/>
    <s v="Michael Scott"/>
    <s v="Closed"/>
    <n v="4"/>
    <n v="8"/>
    <n v="4.54"/>
    <n v="1"/>
  </r>
  <r>
    <s v="TCK-12973"/>
    <s v="2024-09-06 11:46:01"/>
    <s v="2024-09-06 21:11:30"/>
    <s v="P3"/>
    <x v="3"/>
    <s v="Billing Operations"/>
    <s v="Emily Watson"/>
    <s v="Resolved"/>
    <n v="5"/>
    <n v="24"/>
    <n v="9.42"/>
    <n v="1"/>
  </r>
  <r>
    <s v="TCK-12974"/>
    <s v="2024-08-05 12:32:41"/>
    <s v="2024-08-06 04:33:52"/>
    <s v="P3"/>
    <x v="4"/>
    <s v="L2 Support"/>
    <s v="Dwight Schrute"/>
    <s v="Closed"/>
    <n v="3"/>
    <n v="24"/>
    <n v="16.02"/>
    <n v="1"/>
  </r>
  <r>
    <s v="TCK-12975"/>
    <s v="2024-11-16 07:22:24"/>
    <m/>
    <s v="P3"/>
    <x v="2"/>
    <s v="Application Support"/>
    <s v="Michael Scott"/>
    <s v="Open"/>
    <m/>
    <n v="24"/>
    <m/>
    <m/>
  </r>
  <r>
    <s v="TCK-12976"/>
    <s v="2024-12-17 08:34:52"/>
    <s v="2024-12-17 13:08:18"/>
    <s v="P2"/>
    <x v="0"/>
    <s v="Billing Operations"/>
    <s v="Anita Sharma"/>
    <s v="Resolved"/>
    <n v="5"/>
    <n v="8"/>
    <n v="4.5599999999999996"/>
    <n v="1"/>
  </r>
  <r>
    <s v="TCK-12977"/>
    <s v="2024-12-21 16:06:23"/>
    <s v="2024-12-22 10:00:05"/>
    <s v="P3"/>
    <x v="2"/>
    <s v="Billing Operations"/>
    <s v="Michael Scott"/>
    <s v="Closed"/>
    <n v="4"/>
    <n v="24"/>
    <n v="17.899999999999999"/>
    <n v="1"/>
  </r>
  <r>
    <s v="TCK-12978"/>
    <s v="2024-12-13 20:04:22"/>
    <s v="2024-12-14 04:33:09"/>
    <s v="P3"/>
    <x v="0"/>
    <s v="Billing Operations"/>
    <s v="Jim Halpert"/>
    <s v="Closed"/>
    <n v="5"/>
    <n v="24"/>
    <n v="8.48"/>
    <n v="1"/>
  </r>
  <r>
    <s v="TCK-12979"/>
    <s v="2024-07-21 05:05:28"/>
    <s v="2024-07-21 14:15:17"/>
    <s v="P3"/>
    <x v="2"/>
    <s v="L1 Support"/>
    <s v="Jim Halpert"/>
    <s v="Resolved"/>
    <n v="4"/>
    <n v="24"/>
    <n v="9.16"/>
    <n v="1"/>
  </r>
  <r>
    <s v="TCK-12980"/>
    <s v="2024-04-01 00:38:26"/>
    <s v="2024-04-01 12:06:05"/>
    <s v="P3"/>
    <x v="2"/>
    <s v="Application Support"/>
    <s v="Alex Mercer"/>
    <s v="Resolved"/>
    <n v="3"/>
    <n v="24"/>
    <n v="11.46"/>
    <n v="1"/>
  </r>
  <r>
    <s v="TCK-12981"/>
    <s v="2024-03-27 19:26:29"/>
    <s v="2024-03-28 05:08:19"/>
    <s v="P3"/>
    <x v="3"/>
    <s v="Infrastructure"/>
    <s v="Anita Sharma"/>
    <s v="Closed"/>
    <n v="5"/>
    <n v="24"/>
    <n v="9.6999999999999993"/>
    <n v="1"/>
  </r>
  <r>
    <s v="TCK-12982"/>
    <s v="2024-07-18 04:26:57"/>
    <s v="2024-07-18 11:01:17"/>
    <s v="P2"/>
    <x v="2"/>
    <s v="Application Support"/>
    <s v="Anita Sharma"/>
    <s v="Closed"/>
    <n v="4"/>
    <n v="8"/>
    <n v="6.57"/>
    <n v="1"/>
  </r>
  <r>
    <s v="TCK-12983"/>
    <s v="2024-04-27 08:15:48"/>
    <s v="2024-04-27 21:30:21"/>
    <s v="P3"/>
    <x v="0"/>
    <s v="L2 Support"/>
    <s v="Pam Beesly"/>
    <s v="Closed"/>
    <n v="5"/>
    <n v="24"/>
    <n v="13.24"/>
    <n v="1"/>
  </r>
  <r>
    <s v="TCK-12984"/>
    <s v="2024-04-03 16:34:52"/>
    <s v="2024-04-03 19:37:55"/>
    <s v="P3"/>
    <x v="4"/>
    <s v="L2 Support"/>
    <s v="Emily Watson"/>
    <s v="Resolved"/>
    <n v="3"/>
    <n v="24"/>
    <n v="3.05"/>
    <n v="1"/>
  </r>
  <r>
    <s v="TCK-12985"/>
    <s v="2024-10-02 20:26:30"/>
    <s v="2024-10-03 14:12:25"/>
    <s v="P2"/>
    <x v="1"/>
    <s v="Infrastructure"/>
    <s v="Pam Beesly"/>
    <s v="Resolved"/>
    <n v="2"/>
    <n v="8"/>
    <n v="17.77"/>
    <n v="0"/>
  </r>
  <r>
    <s v="TCK-12986"/>
    <s v="2024-05-11 14:43:45"/>
    <s v="2024-05-12 07:54:48"/>
    <s v="P2"/>
    <x v="2"/>
    <s v="Billing Operations"/>
    <s v="Alex Mercer"/>
    <s v="Resolved"/>
    <n v="2"/>
    <n v="8"/>
    <n v="17.18"/>
    <n v="0"/>
  </r>
  <r>
    <s v="TCK-12987"/>
    <s v="2024-03-04 07:21:42"/>
    <m/>
    <s v="P2"/>
    <x v="2"/>
    <s v="L1 Support"/>
    <s v="Emily Watson"/>
    <s v="Escalated"/>
    <m/>
    <n v="8"/>
    <m/>
    <m/>
  </r>
  <r>
    <s v="TCK-12988"/>
    <s v="2024-03-24 00:19:28"/>
    <s v="2024-03-24 07:27:16"/>
    <s v="P2"/>
    <x v="1"/>
    <s v="Infrastructure"/>
    <s v="Carlos Mendez"/>
    <s v="Closed"/>
    <n v="5"/>
    <n v="8"/>
    <n v="7.13"/>
    <n v="1"/>
  </r>
  <r>
    <s v="TCK-12989"/>
    <s v="2024-05-05 10:44:05"/>
    <s v="2024-05-05 13:32:52"/>
    <s v="P3"/>
    <x v="4"/>
    <s v="L2 Support"/>
    <s v="Ravi Patel"/>
    <s v="Resolved"/>
    <n v="5"/>
    <n v="24"/>
    <n v="2.81"/>
    <n v="1"/>
  </r>
  <r>
    <s v="TCK-12990"/>
    <s v="2024-08-23 07:56:55"/>
    <s v="2024-08-23 20:15:00"/>
    <s v="P3"/>
    <x v="1"/>
    <s v="Billing Operations"/>
    <s v="Anita Sharma"/>
    <s v="Resolved"/>
    <n v="5"/>
    <n v="24"/>
    <n v="12.3"/>
    <n v="1"/>
  </r>
  <r>
    <s v="TCK-12991"/>
    <s v="2024-08-21 10:37:51"/>
    <s v="2024-08-21 16:39:38"/>
    <s v="P2"/>
    <x v="1"/>
    <s v="Infrastructure"/>
    <s v="Sarah Connor"/>
    <s v="Resolved"/>
    <n v="5"/>
    <n v="8"/>
    <n v="6.03"/>
    <n v="1"/>
  </r>
  <r>
    <s v="TCK-12992"/>
    <s v="2024-05-19 19:49:28"/>
    <s v="2024-05-20 18:25:51"/>
    <s v="P3"/>
    <x v="3"/>
    <s v="Application Support"/>
    <s v="Jim Halpert"/>
    <s v="Closed"/>
    <n v="3"/>
    <n v="24"/>
    <n v="22.61"/>
    <n v="1"/>
  </r>
  <r>
    <s v="TCK-12993"/>
    <s v="2024-03-27 06:34:46"/>
    <s v="2024-03-27 17:46:50"/>
    <s v="P4"/>
    <x v="0"/>
    <s v="L1 Support"/>
    <s v="Emily Watson"/>
    <s v="Resolved"/>
    <n v="3"/>
    <n v="48"/>
    <n v="11.2"/>
    <n v="1"/>
  </r>
  <r>
    <s v="TCK-12994"/>
    <s v="2024-07-25 19:13:58"/>
    <s v="2024-07-26 11:19:47"/>
    <s v="P3"/>
    <x v="0"/>
    <s v="L1 Support"/>
    <s v="John Doe"/>
    <s v="Resolved"/>
    <n v="3"/>
    <n v="24"/>
    <n v="16.100000000000001"/>
    <n v="1"/>
  </r>
  <r>
    <s v="TCK-12995"/>
    <s v="2024-08-12 04:56:34"/>
    <s v="2024-08-12 06:19:08"/>
    <s v="P2"/>
    <x v="2"/>
    <s v="Infrastructure"/>
    <s v="Anita Sharma"/>
    <s v="Resolved"/>
    <n v="3"/>
    <n v="8"/>
    <n v="1.38"/>
    <n v="1"/>
  </r>
  <r>
    <s v="TCK-12996"/>
    <s v="2024-01-23 21:51:21"/>
    <s v="2024-01-24 03:14:19"/>
    <s v="P3"/>
    <x v="1"/>
    <s v="Billing Operations"/>
    <s v="Carlos Mendez"/>
    <s v="Resolved"/>
    <n v="5"/>
    <n v="24"/>
    <n v="5.38"/>
    <n v="1"/>
  </r>
  <r>
    <s v="TCK-12997"/>
    <s v="2024-05-26 13:54:50"/>
    <s v="2024-05-27 12:05:54"/>
    <s v="P3"/>
    <x v="3"/>
    <s v="Application Support"/>
    <s v="Sarah Connor"/>
    <s v="Resolved"/>
    <n v="4"/>
    <n v="24"/>
    <n v="22.18"/>
    <n v="1"/>
  </r>
  <r>
    <s v="TCK-12998"/>
    <s v="2024-10-09 17:00:29"/>
    <s v="2024-10-10 02:25:41"/>
    <s v="P3"/>
    <x v="4"/>
    <s v="L2 Support"/>
    <s v="Emily Watson"/>
    <s v="Resolved"/>
    <n v="5"/>
    <n v="24"/>
    <n v="9.42"/>
    <n v="1"/>
  </r>
  <r>
    <s v="TCK-12999"/>
    <s v="2024-03-25 16:24:21"/>
    <s v="2024-03-25 22:31:20"/>
    <s v="P2"/>
    <x v="2"/>
    <s v="Application Support"/>
    <s v="Carlos Mendez"/>
    <s v="Closed"/>
    <n v="5"/>
    <n v="8"/>
    <n v="6.12"/>
    <n v="1"/>
  </r>
  <r>
    <s v="TCK-13000"/>
    <s v="2024-04-20 23:07:23"/>
    <s v="2024-04-21 00:43:38"/>
    <s v="P2"/>
    <x v="2"/>
    <s v="Infrastructure"/>
    <s v="Emily Watson"/>
    <s v="Resolved"/>
    <n v="4"/>
    <n v="8"/>
    <n v="1.6"/>
    <n v="1"/>
  </r>
  <r>
    <s v="TCK-13001"/>
    <s v="2024-10-21 07:09:50"/>
    <s v="2024-10-23 04:23:23"/>
    <s v="P3"/>
    <x v="3"/>
    <s v="L1 Support"/>
    <s v="Sarah Connor"/>
    <s v="Closed"/>
    <n v="2"/>
    <n v="24"/>
    <n v="45.23"/>
    <n v="0"/>
  </r>
  <r>
    <s v="TCK-13002"/>
    <s v="2024-06-15 13:21:09"/>
    <s v="2024-06-15 15:00:09"/>
    <s v="P2"/>
    <x v="2"/>
    <s v="Application Support"/>
    <s v="Carlos Mendez"/>
    <s v="Closed"/>
    <n v="5"/>
    <n v="8"/>
    <n v="1.65"/>
    <n v="1"/>
  </r>
  <r>
    <s v="TCK-13003"/>
    <s v="2024-03-03 12:26:08"/>
    <s v="2024-03-03 16:20:55"/>
    <s v="P3"/>
    <x v="0"/>
    <s v="Infrastructure"/>
    <s v="Dwight Schrute"/>
    <s v="Resolved"/>
    <n v="5"/>
    <n v="24"/>
    <n v="3.91"/>
    <n v="1"/>
  </r>
  <r>
    <s v="TCK-13004"/>
    <s v="2024-01-24 14:04:01"/>
    <s v="2024-01-24 21:10:22"/>
    <s v="P2"/>
    <x v="2"/>
    <s v="L1 Support"/>
    <s v="Jim Halpert"/>
    <s v="Resolved"/>
    <n v="3"/>
    <n v="8"/>
    <n v="7.11"/>
    <n v="1"/>
  </r>
  <r>
    <s v="TCK-13005"/>
    <s v="2024-09-01 16:33:52"/>
    <s v="2024-09-03 01:16:11"/>
    <s v="P4"/>
    <x v="3"/>
    <s v="L2 Support"/>
    <s v="Pam Beesly"/>
    <s v="Resolved"/>
    <n v="4"/>
    <n v="48"/>
    <n v="32.71"/>
    <n v="1"/>
  </r>
  <r>
    <s v="TCK-13006"/>
    <s v="2024-05-18 11:41:50"/>
    <s v="2024-05-18 19:54:02"/>
    <s v="P3"/>
    <x v="1"/>
    <s v="L2 Support"/>
    <s v="Jim Halpert"/>
    <s v="Closed"/>
    <n v="5"/>
    <n v="24"/>
    <n v="8.1999999999999993"/>
    <n v="1"/>
  </r>
  <r>
    <s v="TCK-13007"/>
    <s v="2024-06-10 03:33:09"/>
    <s v="2024-06-10 05:39:42"/>
    <s v="P2"/>
    <x v="3"/>
    <s v="L1 Support"/>
    <s v="Michael Scott"/>
    <s v="Closed"/>
    <n v="3"/>
    <n v="8"/>
    <n v="2.11"/>
    <n v="1"/>
  </r>
  <r>
    <s v="TCK-13008"/>
    <s v="2024-12-30 23:44:19"/>
    <s v="2024-12-31 20:39:32"/>
    <s v="P3"/>
    <x v="2"/>
    <s v="Infrastructure"/>
    <s v="Emily Watson"/>
    <s v="Closed"/>
    <n v="4"/>
    <n v="24"/>
    <n v="20.92"/>
    <n v="1"/>
  </r>
  <r>
    <s v="TCK-13009"/>
    <s v="2024-04-04 19:37:28"/>
    <s v="2024-04-05 10:48:08"/>
    <s v="P3"/>
    <x v="2"/>
    <s v="L2 Support"/>
    <s v="Michael Scott"/>
    <s v="Resolved"/>
    <n v="5"/>
    <n v="24"/>
    <n v="15.18"/>
    <n v="1"/>
  </r>
  <r>
    <s v="TCK-13010"/>
    <s v="2024-05-27 21:45:29"/>
    <s v="2024-05-28 13:36:14"/>
    <s v="P3"/>
    <x v="1"/>
    <s v="Application Support"/>
    <s v="Ravi Patel"/>
    <s v="Closed"/>
    <n v="4"/>
    <n v="24"/>
    <n v="15.85"/>
    <n v="1"/>
  </r>
  <r>
    <s v="TCK-13011"/>
    <s v="2024-09-22 14:07:35"/>
    <s v="2024-09-23 21:51:11"/>
    <s v="P3"/>
    <x v="2"/>
    <s v="L1 Support"/>
    <s v="Pam Beesly"/>
    <s v="Closed"/>
    <n v="1"/>
    <n v="24"/>
    <n v="31.73"/>
    <n v="0"/>
  </r>
  <r>
    <s v="TCK-13012"/>
    <s v="2024-10-29 20:16:37"/>
    <s v="2024-10-29 23:04:05"/>
    <s v="P2"/>
    <x v="0"/>
    <s v="Application Support"/>
    <s v="Pam Beesly"/>
    <s v="Resolved"/>
    <n v="4"/>
    <n v="8"/>
    <n v="2.79"/>
    <n v="1"/>
  </r>
  <r>
    <s v="TCK-13013"/>
    <s v="2024-12-02 13:49:41"/>
    <s v="2024-12-03 12:29:38"/>
    <s v="P3"/>
    <x v="2"/>
    <s v="Infrastructure"/>
    <s v="Sarah Connor"/>
    <s v="Closed"/>
    <n v="4"/>
    <n v="24"/>
    <n v="22.67"/>
    <n v="1"/>
  </r>
  <r>
    <s v="TCK-13014"/>
    <s v="2024-05-14 11:36:20"/>
    <m/>
    <s v="P2"/>
    <x v="0"/>
    <s v="L2 Support"/>
    <s v="Dwight Schrute"/>
    <s v="Open"/>
    <m/>
    <n v="8"/>
    <m/>
    <m/>
  </r>
  <r>
    <s v="TCK-13015"/>
    <s v="2024-05-22 06:04:03"/>
    <s v="2024-05-22 19:15:27"/>
    <s v="P3"/>
    <x v="2"/>
    <s v="Application Support"/>
    <s v="Anita Sharma"/>
    <s v="Resolved"/>
    <n v="5"/>
    <n v="24"/>
    <n v="13.19"/>
    <n v="1"/>
  </r>
  <r>
    <s v="TCK-13016"/>
    <s v="2024-08-16 22:54:02"/>
    <s v="2024-08-18 01:06:54"/>
    <s v="P3"/>
    <x v="1"/>
    <s v="Billing Operations"/>
    <s v="Michael Scott"/>
    <s v="Closed"/>
    <n v="2"/>
    <n v="24"/>
    <n v="26.21"/>
    <n v="0"/>
  </r>
  <r>
    <s v="TCK-13017"/>
    <s v="2024-02-23 23:05:24"/>
    <m/>
    <s v="P2"/>
    <x v="4"/>
    <s v="Billing Operations"/>
    <s v="John Doe"/>
    <s v="Escalated"/>
    <m/>
    <n v="8"/>
    <m/>
    <m/>
  </r>
  <r>
    <s v="TCK-13018"/>
    <s v="2024-06-11 23:33:39"/>
    <s v="2024-06-12 06:15:07"/>
    <s v="P2"/>
    <x v="2"/>
    <s v="Infrastructure"/>
    <s v="Sarah Connor"/>
    <s v="Resolved"/>
    <n v="5"/>
    <n v="8"/>
    <n v="6.69"/>
    <n v="1"/>
  </r>
  <r>
    <s v="TCK-13019"/>
    <s v="2024-10-18 20:58:24"/>
    <s v="2024-10-19 05:53:33"/>
    <s v="P3"/>
    <x v="2"/>
    <s v="Application Support"/>
    <s v="John Doe"/>
    <s v="Closed"/>
    <n v="3"/>
    <n v="24"/>
    <n v="8.92"/>
    <n v="1"/>
  </r>
  <r>
    <s v="TCK-13020"/>
    <s v="2024-06-20 13:00:59"/>
    <s v="2024-06-20 21:33:36"/>
    <s v="P3"/>
    <x v="2"/>
    <s v="Infrastructure"/>
    <s v="John Doe"/>
    <s v="Resolved"/>
    <n v="5"/>
    <n v="24"/>
    <n v="8.5399999999999991"/>
    <n v="1"/>
  </r>
  <r>
    <s v="TCK-13021"/>
    <s v="2024-09-12 09:17:24"/>
    <s v="2024-09-12 22:54:43"/>
    <s v="P3"/>
    <x v="1"/>
    <s v="L2 Support"/>
    <s v="Emily Watson"/>
    <s v="Resolved"/>
    <n v="5"/>
    <n v="24"/>
    <n v="13.62"/>
    <n v="1"/>
  </r>
  <r>
    <s v="TCK-13022"/>
    <s v="2024-12-29 10:04:07"/>
    <m/>
    <s v="P4"/>
    <x v="0"/>
    <s v="L1 Support"/>
    <s v="Michael Scott"/>
    <s v="Open"/>
    <m/>
    <n v="48"/>
    <m/>
    <m/>
  </r>
  <r>
    <s v="TCK-13023"/>
    <s v="2024-07-10 16:43:53"/>
    <s v="2024-07-11 09:22:22"/>
    <s v="P3"/>
    <x v="2"/>
    <s v="L2 Support"/>
    <s v="Pam Beesly"/>
    <s v="Resolved"/>
    <n v="3"/>
    <n v="24"/>
    <n v="16.64"/>
    <n v="1"/>
  </r>
  <r>
    <s v="TCK-13024"/>
    <s v="2024-01-10 17:48:55"/>
    <s v="2024-01-10 23:14:36"/>
    <s v="P2"/>
    <x v="3"/>
    <s v="Billing Operations"/>
    <s v="John Doe"/>
    <s v="Resolved"/>
    <n v="5"/>
    <n v="8"/>
    <n v="5.43"/>
    <n v="1"/>
  </r>
  <r>
    <s v="TCK-13025"/>
    <s v="2024-02-26 06:20:51"/>
    <s v="2024-02-26 23:05:31"/>
    <s v="P3"/>
    <x v="2"/>
    <s v="L2 Support"/>
    <s v="Priya Nair"/>
    <s v="Resolved"/>
    <n v="4"/>
    <n v="24"/>
    <n v="16.739999999999998"/>
    <n v="1"/>
  </r>
  <r>
    <s v="TCK-13026"/>
    <s v="2024-10-06 02:04:48"/>
    <s v="2024-10-06 15:50:38"/>
    <s v="P4"/>
    <x v="2"/>
    <s v="Application Support"/>
    <s v="Alex Mercer"/>
    <s v="Resolved"/>
    <n v="4"/>
    <n v="48"/>
    <n v="13.76"/>
    <n v="1"/>
  </r>
  <r>
    <s v="TCK-13027"/>
    <s v="2024-12-01 10:44:23"/>
    <s v="2024-12-01 15:57:41"/>
    <s v="P3"/>
    <x v="0"/>
    <s v="Application Support"/>
    <s v="Emily Watson"/>
    <s v="Resolved"/>
    <n v="5"/>
    <n v="24"/>
    <n v="5.22"/>
    <n v="1"/>
  </r>
  <r>
    <s v="TCK-13028"/>
    <s v="2024-02-29 04:32:10"/>
    <s v="2024-02-29 08:03:27"/>
    <s v="P1"/>
    <x v="4"/>
    <s v="L1 Support"/>
    <s v="Priya Nair"/>
    <s v="Closed"/>
    <n v="4"/>
    <n v="4"/>
    <n v="3.52"/>
    <n v="1"/>
  </r>
  <r>
    <s v="TCK-13029"/>
    <s v="2024-11-13 15:59:13"/>
    <s v="2024-11-13 19:39:44"/>
    <s v="P2"/>
    <x v="4"/>
    <s v="Billing Operations"/>
    <s v="Emily Watson"/>
    <s v="Resolved"/>
    <n v="4"/>
    <n v="8"/>
    <n v="3.68"/>
    <n v="1"/>
  </r>
  <r>
    <s v="TCK-13030"/>
    <s v="2024-08-12 03:06:23"/>
    <m/>
    <s v="P3"/>
    <x v="4"/>
    <s v="Billing Operations"/>
    <s v="John Doe"/>
    <s v="Open"/>
    <m/>
    <n v="24"/>
    <m/>
    <m/>
  </r>
  <r>
    <s v="TCK-13031"/>
    <s v="2024-09-25 19:44:08"/>
    <s v="2024-09-26 04:58:52"/>
    <s v="P3"/>
    <x v="2"/>
    <s v="L1 Support"/>
    <s v="Priya Nair"/>
    <s v="Resolved"/>
    <n v="5"/>
    <n v="24"/>
    <n v="9.25"/>
    <n v="1"/>
  </r>
  <r>
    <s v="TCK-13032"/>
    <s v="2024-08-23 21:49:29"/>
    <s v="2024-08-29 14:04:37"/>
    <s v="P4"/>
    <x v="0"/>
    <s v="Billing Operations"/>
    <s v="John Doe"/>
    <s v="Resolved"/>
    <n v="1"/>
    <n v="48"/>
    <n v="136.25"/>
    <n v="0"/>
  </r>
  <r>
    <s v="TCK-13033"/>
    <s v="2024-10-05 02:04:30"/>
    <s v="2024-10-06 18:15:19"/>
    <s v="P4"/>
    <x v="1"/>
    <s v="L2 Support"/>
    <s v="John Doe"/>
    <s v="Resolved"/>
    <n v="5"/>
    <n v="48"/>
    <n v="40.18"/>
    <n v="1"/>
  </r>
  <r>
    <s v="TCK-13034"/>
    <s v="2024-12-27 17:09:13"/>
    <m/>
    <s v="P2"/>
    <x v="1"/>
    <s v="L1 Support"/>
    <s v="Sarah Connor"/>
    <s v="Open"/>
    <m/>
    <n v="8"/>
    <m/>
    <m/>
  </r>
  <r>
    <s v="TCK-13035"/>
    <s v="2024-11-02 00:08:48"/>
    <s v="2024-11-03 02:19:21"/>
    <s v="P4"/>
    <x v="0"/>
    <s v="L1 Support"/>
    <s v="Ravi Patel"/>
    <s v="Closed"/>
    <n v="5"/>
    <n v="48"/>
    <n v="26.18"/>
    <n v="1"/>
  </r>
  <r>
    <s v="TCK-13036"/>
    <s v="2024-09-05 11:11:15"/>
    <s v="2024-09-05 14:50:26"/>
    <s v="P3"/>
    <x v="0"/>
    <s v="Infrastructure"/>
    <s v="Michael Scott"/>
    <s v="Closed"/>
    <n v="4"/>
    <n v="24"/>
    <n v="3.65"/>
    <n v="1"/>
  </r>
  <r>
    <s v="TCK-13037"/>
    <s v="2024-05-15 16:55:00"/>
    <s v="2024-05-17 03:03:08"/>
    <s v="P3"/>
    <x v="4"/>
    <s v="Infrastructure"/>
    <s v="Sarah Connor"/>
    <s v="Closed"/>
    <n v="2"/>
    <n v="24"/>
    <n v="34.14"/>
    <n v="0"/>
  </r>
  <r>
    <s v="TCK-13038"/>
    <s v="2024-02-10 08:17:20"/>
    <s v="2024-02-10 09:25:42"/>
    <s v="P2"/>
    <x v="3"/>
    <s v="Application Support"/>
    <s v="Michael Scott"/>
    <s v="Resolved"/>
    <n v="3"/>
    <n v="8"/>
    <n v="1.1399999999999999"/>
    <n v="1"/>
  </r>
  <r>
    <s v="TCK-13039"/>
    <s v="2024-09-05 13:25:08"/>
    <s v="2024-09-05 15:28:29"/>
    <s v="P1"/>
    <x v="4"/>
    <s v="Billing Operations"/>
    <s v="Pam Beesly"/>
    <s v="Resolved"/>
    <n v="5"/>
    <n v="4"/>
    <n v="2.06"/>
    <n v="1"/>
  </r>
  <r>
    <s v="TCK-13040"/>
    <s v="2024-08-01 12:15:26"/>
    <s v="2024-08-01 19:15:29"/>
    <s v="P2"/>
    <x v="4"/>
    <s v="Billing Operations"/>
    <s v="Alex Mercer"/>
    <s v="Resolved"/>
    <n v="4"/>
    <n v="8"/>
    <n v="7"/>
    <n v="1"/>
  </r>
  <r>
    <s v="TCK-13041"/>
    <s v="2024-12-14 20:54:44"/>
    <s v="2024-12-15 01:29:20"/>
    <s v="P3"/>
    <x v="3"/>
    <s v="L2 Support"/>
    <s v="Dwight Schrute"/>
    <s v="Closed"/>
    <n v="5"/>
    <n v="24"/>
    <n v="4.58"/>
    <n v="1"/>
  </r>
  <r>
    <s v="TCK-13042"/>
    <s v="2024-05-31 12:11:12"/>
    <s v="2024-06-01 07:26:57"/>
    <s v="P3"/>
    <x v="0"/>
    <s v="Application Support"/>
    <s v="Sarah Connor"/>
    <s v="Resolved"/>
    <n v="4"/>
    <n v="24"/>
    <n v="19.260000000000002"/>
    <n v="1"/>
  </r>
  <r>
    <s v="TCK-13043"/>
    <s v="2024-05-18 16:28:14"/>
    <s v="2024-05-19 04:35:27"/>
    <s v="P3"/>
    <x v="0"/>
    <s v="L2 Support"/>
    <s v="Carlos Mendez"/>
    <s v="Resolved"/>
    <n v="3"/>
    <n v="24"/>
    <n v="12.12"/>
    <n v="1"/>
  </r>
  <r>
    <s v="TCK-13044"/>
    <s v="2024-05-04 22:30:58"/>
    <s v="2024-05-06 05:34:33"/>
    <s v="P4"/>
    <x v="2"/>
    <s v="Billing Operations"/>
    <s v="Emily Watson"/>
    <s v="Resolved"/>
    <n v="3"/>
    <n v="48"/>
    <n v="31.06"/>
    <n v="1"/>
  </r>
  <r>
    <s v="TCK-13045"/>
    <s v="2024-05-15 09:31:16"/>
    <s v="2024-05-15 16:48:18"/>
    <s v="P3"/>
    <x v="1"/>
    <s v="L2 Support"/>
    <s v="Ravi Patel"/>
    <s v="Resolved"/>
    <n v="4"/>
    <n v="24"/>
    <n v="7.28"/>
    <n v="1"/>
  </r>
  <r>
    <s v="TCK-13046"/>
    <s v="2024-09-12 03:36:30"/>
    <s v="2024-09-12 08:54:20"/>
    <s v="P3"/>
    <x v="0"/>
    <s v="L2 Support"/>
    <s v="Michael Scott"/>
    <s v="Resolved"/>
    <n v="4"/>
    <n v="24"/>
    <n v="5.3"/>
    <n v="1"/>
  </r>
  <r>
    <s v="TCK-13047"/>
    <s v="2024-10-29 00:05:03"/>
    <s v="2024-10-29 07:56:41"/>
    <s v="P3"/>
    <x v="2"/>
    <s v="L1 Support"/>
    <s v="Sarah Connor"/>
    <s v="Closed"/>
    <n v="4"/>
    <n v="24"/>
    <n v="7.86"/>
    <n v="1"/>
  </r>
  <r>
    <s v="TCK-13048"/>
    <s v="2024-08-01 04:13:27"/>
    <s v="2024-08-01 13:34:48"/>
    <s v="P3"/>
    <x v="0"/>
    <s v="L1 Support"/>
    <s v="Emily Watson"/>
    <s v="Resolved"/>
    <n v="4"/>
    <n v="24"/>
    <n v="9.36"/>
    <n v="1"/>
  </r>
  <r>
    <s v="TCK-13049"/>
    <s v="2024-11-17 00:22:41"/>
    <s v="2024-11-17 07:18:23"/>
    <s v="P3"/>
    <x v="2"/>
    <s v="Application Support"/>
    <s v="Jim Halpert"/>
    <s v="Closed"/>
    <n v="4"/>
    <n v="24"/>
    <n v="6.93"/>
    <n v="1"/>
  </r>
  <r>
    <s v="TCK-13050"/>
    <s v="2024-09-05 02:19:26"/>
    <s v="2024-09-05 20:19:26"/>
    <s v="P3"/>
    <x v="3"/>
    <s v="L1 Support"/>
    <s v="John Doe"/>
    <s v="Resolved"/>
    <n v="1"/>
    <n v="24"/>
    <n v="18"/>
    <n v="1"/>
  </r>
  <r>
    <s v="TCK-13051"/>
    <s v="2024-02-11 16:36:30"/>
    <s v="2024-02-13 19:43:29"/>
    <s v="P4"/>
    <x v="1"/>
    <s v="Billing Operations"/>
    <s v="Dwight Schrute"/>
    <s v="Closed"/>
    <n v="4"/>
    <n v="48"/>
    <n v="51.12"/>
    <n v="0"/>
  </r>
  <r>
    <s v="TCK-13052"/>
    <s v="2024-12-25 02:58:40"/>
    <s v="2024-12-27 06:10:42"/>
    <s v="P3"/>
    <x v="0"/>
    <s v="L1 Support"/>
    <s v="Carlos Mendez"/>
    <s v="Resolved"/>
    <n v="3"/>
    <n v="24"/>
    <n v="51.2"/>
    <n v="0"/>
  </r>
  <r>
    <s v="TCK-13053"/>
    <s v="2024-03-06 03:46:52"/>
    <m/>
    <s v="P4"/>
    <x v="0"/>
    <s v="Application Support"/>
    <s v="Dwight Schrute"/>
    <s v="Open"/>
    <m/>
    <n v="48"/>
    <m/>
    <m/>
  </r>
  <r>
    <s v="TCK-13054"/>
    <s v="2024-10-20 19:20:23"/>
    <s v="2024-10-21 01:07:14"/>
    <s v="P2"/>
    <x v="0"/>
    <s v="Billing Operations"/>
    <s v="Michael Scott"/>
    <s v="Resolved"/>
    <n v="5"/>
    <n v="8"/>
    <n v="5.78"/>
    <n v="1"/>
  </r>
  <r>
    <s v="TCK-13055"/>
    <s v="2024-12-24 05:23:28"/>
    <s v="2024-12-25 13:26:37"/>
    <s v="P3"/>
    <x v="1"/>
    <s v="Billing Operations"/>
    <s v="Alex Mercer"/>
    <s v="Resolved"/>
    <n v="1"/>
    <n v="24"/>
    <n v="32.049999999999997"/>
    <n v="0"/>
  </r>
  <r>
    <s v="TCK-13056"/>
    <s v="2024-02-25 07:23:52"/>
    <s v="2024-02-26 03:55:19"/>
    <s v="P3"/>
    <x v="2"/>
    <s v="L2 Support"/>
    <s v="Michael Scott"/>
    <s v="Closed"/>
    <n v="5"/>
    <n v="24"/>
    <n v="20.52"/>
    <n v="1"/>
  </r>
  <r>
    <s v="TCK-13057"/>
    <s v="2024-05-15 19:02:24"/>
    <s v="2024-05-16 16:22:10"/>
    <s v="P3"/>
    <x v="2"/>
    <s v="Application Support"/>
    <s v="Dwight Schrute"/>
    <s v="Resolved"/>
    <n v="5"/>
    <n v="24"/>
    <n v="21.33"/>
    <n v="1"/>
  </r>
  <r>
    <s v="TCK-13058"/>
    <s v="2024-06-15 05:43:44"/>
    <s v="2024-06-16 15:29:15"/>
    <s v="P4"/>
    <x v="3"/>
    <s v="Billing Operations"/>
    <s v="Carlos Mendez"/>
    <s v="Resolved"/>
    <n v="4"/>
    <n v="48"/>
    <n v="33.76"/>
    <n v="1"/>
  </r>
  <r>
    <s v="TCK-13059"/>
    <s v="2024-10-27 02:26:59"/>
    <s v="2024-10-27 18:44:50"/>
    <s v="P3"/>
    <x v="0"/>
    <s v="Application Support"/>
    <s v="Michael Scott"/>
    <s v="Resolved"/>
    <n v="5"/>
    <n v="24"/>
    <n v="16.3"/>
    <n v="1"/>
  </r>
  <r>
    <s v="TCK-13060"/>
    <s v="2024-04-01 09:57:57"/>
    <s v="2024-04-01 11:51:49"/>
    <s v="P2"/>
    <x v="0"/>
    <s v="L1 Support"/>
    <s v="Alex Mercer"/>
    <s v="Closed"/>
    <n v="5"/>
    <n v="8"/>
    <n v="1.9"/>
    <n v="1"/>
  </r>
  <r>
    <s v="TCK-13061"/>
    <s v="2024-04-19 16:13:34"/>
    <s v="2024-04-20 15:44:56"/>
    <s v="P4"/>
    <x v="4"/>
    <s v="Application Support"/>
    <s v="Carlos Mendez"/>
    <s v="Closed"/>
    <n v="4"/>
    <n v="48"/>
    <n v="23.52"/>
    <n v="1"/>
  </r>
  <r>
    <s v="TCK-13062"/>
    <s v="2024-09-27 01:44:44"/>
    <s v="2024-09-27 06:47:13"/>
    <s v="P2"/>
    <x v="0"/>
    <s v="Billing Operations"/>
    <s v="Sarah Connor"/>
    <s v="Closed"/>
    <n v="3"/>
    <n v="8"/>
    <n v="5.04"/>
    <n v="1"/>
  </r>
  <r>
    <s v="TCK-13063"/>
    <s v="2024-01-09 14:04:31"/>
    <s v="2024-01-10 02:31:45"/>
    <s v="P3"/>
    <x v="2"/>
    <s v="L2 Support"/>
    <s v="Jim Halpert"/>
    <s v="Resolved"/>
    <n v="5"/>
    <n v="24"/>
    <n v="12.45"/>
    <n v="1"/>
  </r>
  <r>
    <s v="TCK-13064"/>
    <s v="2024-02-14 17:15:15"/>
    <s v="2024-02-14 19:00:13"/>
    <s v="P1"/>
    <x v="4"/>
    <s v="L1 Support"/>
    <s v="Priya Nair"/>
    <s v="Closed"/>
    <n v="5"/>
    <n v="4"/>
    <n v="1.75"/>
    <n v="1"/>
  </r>
  <r>
    <s v="TCK-13065"/>
    <s v="2024-02-29 03:04:34"/>
    <s v="2024-02-29 20:07:06"/>
    <s v="P3"/>
    <x v="4"/>
    <s v="L1 Support"/>
    <s v="John Doe"/>
    <s v="Resolved"/>
    <n v="5"/>
    <n v="24"/>
    <n v="17.04"/>
    <n v="1"/>
  </r>
  <r>
    <s v="TCK-13066"/>
    <s v="2024-11-24 09:07:57"/>
    <m/>
    <s v="P3"/>
    <x v="2"/>
    <s v="Application Support"/>
    <s v="Ravi Patel"/>
    <s v="Open"/>
    <m/>
    <n v="24"/>
    <m/>
    <m/>
  </r>
  <r>
    <s v="TCK-13067"/>
    <s v="2024-03-20 06:58:07"/>
    <s v="2024-03-20 08:22:32"/>
    <s v="P2"/>
    <x v="2"/>
    <s v="Billing Operations"/>
    <s v="Priya Nair"/>
    <s v="Resolved"/>
    <n v="4"/>
    <n v="8"/>
    <n v="1.41"/>
    <n v="1"/>
  </r>
  <r>
    <s v="TCK-13068"/>
    <s v="2024-04-20 12:09:50"/>
    <s v="2024-04-22 22:37:59"/>
    <s v="P3"/>
    <x v="2"/>
    <s v="L1 Support"/>
    <s v="Michael Scott"/>
    <s v="Resolved"/>
    <n v="4"/>
    <n v="24"/>
    <n v="58.47"/>
    <n v="0"/>
  </r>
  <r>
    <s v="TCK-13069"/>
    <s v="2024-09-03 09:18:11"/>
    <s v="2024-09-04 06:55:41"/>
    <s v="P3"/>
    <x v="2"/>
    <s v="L2 Support"/>
    <s v="John Doe"/>
    <s v="Resolved"/>
    <n v="5"/>
    <n v="24"/>
    <n v="21.62"/>
    <n v="1"/>
  </r>
  <r>
    <s v="TCK-13070"/>
    <s v="2024-09-26 08:10:58"/>
    <s v="2024-09-26 11:05:36"/>
    <s v="P2"/>
    <x v="3"/>
    <s v="Application Support"/>
    <s v="Pam Beesly"/>
    <s v="Resolved"/>
    <n v="5"/>
    <n v="8"/>
    <n v="2.91"/>
    <n v="1"/>
  </r>
  <r>
    <s v="TCK-13071"/>
    <s v="2024-04-12 19:26:35"/>
    <s v="2024-04-13 00:20:58"/>
    <s v="P4"/>
    <x v="3"/>
    <s v="L2 Support"/>
    <s v="Priya Nair"/>
    <s v="Resolved"/>
    <n v="5"/>
    <n v="48"/>
    <n v="4.91"/>
    <n v="1"/>
  </r>
  <r>
    <s v="TCK-13072"/>
    <s v="2024-09-24 23:51:59"/>
    <s v="2024-09-25 08:11:23"/>
    <s v="P4"/>
    <x v="3"/>
    <s v="L2 Support"/>
    <s v="Alex Mercer"/>
    <s v="Resolved"/>
    <n v="5"/>
    <n v="48"/>
    <n v="8.32"/>
    <n v="1"/>
  </r>
  <r>
    <s v="TCK-13073"/>
    <s v="2024-05-26 17:48:15"/>
    <s v="2024-05-27 00:27:25"/>
    <s v="P3"/>
    <x v="2"/>
    <s v="Billing Operations"/>
    <s v="Alex Mercer"/>
    <s v="Closed"/>
    <n v="4"/>
    <n v="24"/>
    <n v="6.65"/>
    <n v="1"/>
  </r>
  <r>
    <s v="TCK-13074"/>
    <s v="2024-12-07 02:04:09"/>
    <s v="2024-12-07 07:48:09"/>
    <s v="P2"/>
    <x v="4"/>
    <s v="L2 Support"/>
    <s v="Priya Nair"/>
    <s v="Resolved"/>
    <n v="5"/>
    <n v="8"/>
    <n v="5.73"/>
    <n v="1"/>
  </r>
  <r>
    <s v="TCK-13075"/>
    <s v="2024-05-04 17:06:59"/>
    <s v="2024-05-06 10:30:15"/>
    <s v="P4"/>
    <x v="0"/>
    <s v="L2 Support"/>
    <s v="Jim Halpert"/>
    <s v="Closed"/>
    <n v="5"/>
    <n v="48"/>
    <n v="41.39"/>
    <n v="1"/>
  </r>
  <r>
    <s v="TCK-13076"/>
    <s v="2024-02-05 01:21:13"/>
    <s v="2024-02-09 10:51:02"/>
    <s v="P4"/>
    <x v="1"/>
    <s v="L1 Support"/>
    <s v="Anita Sharma"/>
    <s v="Resolved"/>
    <n v="1"/>
    <n v="48"/>
    <n v="105.5"/>
    <n v="0"/>
  </r>
  <r>
    <s v="TCK-13077"/>
    <s v="2024-06-21 12:28:57"/>
    <m/>
    <s v="P3"/>
    <x v="0"/>
    <s v="Infrastructure"/>
    <s v="Ravi Patel"/>
    <s v="Escalated"/>
    <m/>
    <n v="24"/>
    <m/>
    <m/>
  </r>
  <r>
    <s v="TCK-13078"/>
    <s v="2024-03-08 17:02:44"/>
    <s v="2024-03-09 02:16:53"/>
    <s v="P3"/>
    <x v="4"/>
    <s v="L2 Support"/>
    <s v="Pam Beesly"/>
    <s v="Closed"/>
    <n v="5"/>
    <n v="24"/>
    <n v="9.24"/>
    <n v="1"/>
  </r>
  <r>
    <s v="TCK-13079"/>
    <s v="2024-08-21 09:40:45"/>
    <s v="2024-08-21 17:26:03"/>
    <s v="P3"/>
    <x v="2"/>
    <s v="L1 Support"/>
    <s v="Anita Sharma"/>
    <s v="Closed"/>
    <n v="4"/>
    <n v="24"/>
    <n v="7.76"/>
    <n v="1"/>
  </r>
  <r>
    <s v="TCK-13080"/>
    <s v="2024-06-21 13:32:50"/>
    <s v="2024-06-22 15:54:16"/>
    <s v="P3"/>
    <x v="1"/>
    <s v="Application Support"/>
    <s v="Jim Halpert"/>
    <s v="Resolved"/>
    <n v="3"/>
    <n v="24"/>
    <n v="26.36"/>
    <n v="0"/>
  </r>
  <r>
    <s v="TCK-13081"/>
    <s v="2024-02-02 07:32:01"/>
    <s v="2024-02-03 05:25:51"/>
    <s v="P2"/>
    <x v="1"/>
    <s v="Application Support"/>
    <s v="Ravi Patel"/>
    <s v="Resolved"/>
    <n v="2"/>
    <n v="8"/>
    <n v="21.9"/>
    <n v="0"/>
  </r>
  <r>
    <s v="TCK-13082"/>
    <s v="2024-10-30 04:21:14"/>
    <s v="2024-11-02 00:12:20"/>
    <s v="P3"/>
    <x v="3"/>
    <s v="Infrastructure"/>
    <s v="Dwight Schrute"/>
    <s v="Closed"/>
    <n v="1"/>
    <n v="24"/>
    <n v="67.849999999999994"/>
    <n v="0"/>
  </r>
  <r>
    <s v="TCK-13083"/>
    <s v="2024-11-17 23:27:54"/>
    <s v="2024-11-19 12:04:44"/>
    <s v="P4"/>
    <x v="1"/>
    <s v="Infrastructure"/>
    <s v="Carlos Mendez"/>
    <s v="Resolved"/>
    <n v="4"/>
    <n v="48"/>
    <n v="36.61"/>
    <n v="1"/>
  </r>
  <r>
    <s v="TCK-13084"/>
    <s v="2024-12-01 02:35:22"/>
    <s v="2024-12-02 00:57:20"/>
    <s v="P3"/>
    <x v="2"/>
    <s v="L2 Support"/>
    <s v="Anita Sharma"/>
    <s v="Resolved"/>
    <n v="3"/>
    <n v="24"/>
    <n v="22.37"/>
    <n v="1"/>
  </r>
  <r>
    <s v="TCK-13085"/>
    <s v="2024-08-15 08:12:36"/>
    <s v="2024-08-17 05:45:24"/>
    <s v="P4"/>
    <x v="0"/>
    <s v="L2 Support"/>
    <s v="Carlos Mendez"/>
    <s v="Resolved"/>
    <n v="5"/>
    <n v="48"/>
    <n v="45.55"/>
    <n v="1"/>
  </r>
  <r>
    <s v="TCK-13086"/>
    <s v="2024-05-18 13:57:28"/>
    <s v="2024-05-19 06:26:07"/>
    <s v="P3"/>
    <x v="0"/>
    <s v="L1 Support"/>
    <s v="Jim Halpert"/>
    <s v="Closed"/>
    <n v="3"/>
    <n v="24"/>
    <n v="16.48"/>
    <n v="1"/>
  </r>
  <r>
    <s v="TCK-13087"/>
    <s v="2024-07-11 15:58:03"/>
    <s v="2024-07-11 22:47:20"/>
    <s v="P3"/>
    <x v="0"/>
    <s v="L2 Support"/>
    <s v="Carlos Mendez"/>
    <s v="Resolved"/>
    <n v="5"/>
    <n v="24"/>
    <n v="6.82"/>
    <n v="1"/>
  </r>
  <r>
    <s v="TCK-13088"/>
    <s v="2024-06-17 06:39:12"/>
    <s v="2024-06-18 02:59:12"/>
    <s v="P3"/>
    <x v="4"/>
    <s v="Infrastructure"/>
    <s v="Alex Mercer"/>
    <s v="Resolved"/>
    <n v="5"/>
    <n v="24"/>
    <n v="20.329999999999998"/>
    <n v="1"/>
  </r>
  <r>
    <s v="TCK-13089"/>
    <s v="2024-03-04 00:57:47"/>
    <s v="2024-03-04 12:25:03"/>
    <s v="P3"/>
    <x v="2"/>
    <s v="Billing Operations"/>
    <s v="John Doe"/>
    <s v="Resolved"/>
    <n v="5"/>
    <n v="24"/>
    <n v="11.45"/>
    <n v="1"/>
  </r>
  <r>
    <s v="TCK-13090"/>
    <s v="2024-07-19 07:01:02"/>
    <s v="2024-07-19 08:45:38"/>
    <s v="P1"/>
    <x v="3"/>
    <s v="L2 Support"/>
    <s v="Dwight Schrute"/>
    <s v="Closed"/>
    <n v="5"/>
    <n v="4"/>
    <n v="1.74"/>
    <n v="1"/>
  </r>
  <r>
    <s v="TCK-13091"/>
    <s v="2024-03-06 23:16:10"/>
    <s v="2024-03-07 04:12:43"/>
    <s v="P2"/>
    <x v="4"/>
    <s v="Billing Operations"/>
    <s v="Carlos Mendez"/>
    <s v="Closed"/>
    <n v="4"/>
    <n v="8"/>
    <n v="4.9400000000000004"/>
    <n v="1"/>
  </r>
  <r>
    <s v="TCK-13092"/>
    <s v="2024-08-13 21:15:48"/>
    <s v="2024-08-14 12:21:43"/>
    <s v="P3"/>
    <x v="0"/>
    <s v="Billing Operations"/>
    <s v="Ravi Patel"/>
    <s v="Resolved"/>
    <n v="4"/>
    <n v="24"/>
    <n v="15.1"/>
    <n v="1"/>
  </r>
  <r>
    <s v="TCK-13093"/>
    <s v="2024-02-29 11:28:56"/>
    <s v="2024-02-29 17:42:59"/>
    <s v="P3"/>
    <x v="4"/>
    <s v="Application Support"/>
    <s v="Jim Halpert"/>
    <s v="Resolved"/>
    <n v="5"/>
    <n v="24"/>
    <n v="6.23"/>
    <n v="1"/>
  </r>
  <r>
    <s v="TCK-13094"/>
    <s v="2024-10-15 12:25:35"/>
    <m/>
    <s v="P3"/>
    <x v="2"/>
    <s v="L1 Support"/>
    <s v="Priya Nair"/>
    <s v="Open"/>
    <m/>
    <n v="24"/>
    <m/>
    <m/>
  </r>
  <r>
    <s v="TCK-13095"/>
    <s v="2024-04-23 07:27:59"/>
    <s v="2024-04-23 12:09:13"/>
    <s v="P2"/>
    <x v="2"/>
    <s v="Application Support"/>
    <s v="Pam Beesly"/>
    <s v="Resolved"/>
    <n v="5"/>
    <n v="8"/>
    <n v="4.6900000000000004"/>
    <n v="1"/>
  </r>
  <r>
    <s v="TCK-13096"/>
    <s v="2024-02-24 08:16:26"/>
    <s v="2024-02-24 21:32:40"/>
    <s v="P3"/>
    <x v="4"/>
    <s v="Infrastructure"/>
    <s v="Jim Halpert"/>
    <s v="Resolved"/>
    <n v="3"/>
    <n v="24"/>
    <n v="13.27"/>
    <n v="1"/>
  </r>
  <r>
    <s v="TCK-13097"/>
    <s v="2024-02-14 15:57:43"/>
    <s v="2024-02-16 04:20:08"/>
    <s v="P4"/>
    <x v="2"/>
    <s v="Application Support"/>
    <s v="Alex Mercer"/>
    <s v="Resolved"/>
    <n v="3"/>
    <n v="48"/>
    <n v="36.369999999999997"/>
    <n v="1"/>
  </r>
  <r>
    <s v="TCK-13098"/>
    <s v="2024-08-22 16:44:21"/>
    <m/>
    <s v="P2"/>
    <x v="2"/>
    <s v="L2 Support"/>
    <s v="Ravi Patel"/>
    <s v="Open"/>
    <m/>
    <n v="8"/>
    <m/>
    <m/>
  </r>
  <r>
    <s v="TCK-13099"/>
    <s v="2024-08-06 06:33:33"/>
    <s v="2024-08-07 18:56:09"/>
    <s v="P4"/>
    <x v="2"/>
    <s v="Application Support"/>
    <s v="Alex Mercer"/>
    <s v="Closed"/>
    <n v="5"/>
    <n v="48"/>
    <n v="36.380000000000003"/>
    <n v="1"/>
  </r>
  <r>
    <s v="TCK-13100"/>
    <s v="2024-01-08 07:56:18"/>
    <s v="2024-01-08 12:11:13"/>
    <s v="P2"/>
    <x v="0"/>
    <s v="L2 Support"/>
    <s v="Pam Beesly"/>
    <s v="Closed"/>
    <n v="5"/>
    <n v="8"/>
    <n v="4.25"/>
    <n v="1"/>
  </r>
  <r>
    <s v="TCK-13101"/>
    <s v="2024-01-15 08:44:45"/>
    <s v="2024-01-15 14:11:24"/>
    <s v="P3"/>
    <x v="1"/>
    <s v="L1 Support"/>
    <s v="Jim Halpert"/>
    <s v="Closed"/>
    <n v="4"/>
    <n v="24"/>
    <n v="5.44"/>
    <n v="1"/>
  </r>
  <r>
    <s v="TCK-13102"/>
    <s v="2024-03-29 12:22:14"/>
    <s v="2024-03-30 00:01:51"/>
    <s v="P4"/>
    <x v="2"/>
    <s v="L2 Support"/>
    <s v="Sarah Connor"/>
    <s v="Closed"/>
    <n v="3"/>
    <n v="48"/>
    <n v="11.66"/>
    <n v="1"/>
  </r>
  <r>
    <s v="TCK-13103"/>
    <s v="2024-10-31 05:02:48"/>
    <s v="2024-11-01 22:45:30"/>
    <s v="P4"/>
    <x v="3"/>
    <s v="L1 Support"/>
    <s v="John Doe"/>
    <s v="Closed"/>
    <n v="5"/>
    <n v="48"/>
    <n v="41.71"/>
    <n v="1"/>
  </r>
  <r>
    <s v="TCK-13104"/>
    <s v="2024-06-13 19:04:07"/>
    <s v="2024-06-14 01:15:29"/>
    <s v="P2"/>
    <x v="0"/>
    <s v="Billing Operations"/>
    <s v="Dwight Schrute"/>
    <s v="Resolved"/>
    <n v="5"/>
    <n v="8"/>
    <n v="6.19"/>
    <n v="1"/>
  </r>
  <r>
    <s v="TCK-13105"/>
    <s v="2024-01-10 23:55:21"/>
    <s v="2024-01-11 21:37:17"/>
    <s v="P3"/>
    <x v="2"/>
    <s v="L1 Support"/>
    <s v="Carlos Mendez"/>
    <s v="Closed"/>
    <n v="5"/>
    <n v="24"/>
    <n v="21.7"/>
    <n v="1"/>
  </r>
  <r>
    <s v="TCK-13106"/>
    <s v="2024-05-23 01:08:55"/>
    <s v="2024-05-24 18:47:59"/>
    <s v="P4"/>
    <x v="3"/>
    <s v="Application Support"/>
    <s v="Michael Scott"/>
    <s v="Resolved"/>
    <n v="5"/>
    <n v="48"/>
    <n v="41.65"/>
    <n v="1"/>
  </r>
  <r>
    <s v="TCK-13107"/>
    <s v="2024-05-20 21:01:53"/>
    <s v="2024-05-21 05:09:26"/>
    <s v="P3"/>
    <x v="2"/>
    <s v="Infrastructure"/>
    <s v="Emily Watson"/>
    <s v="Resolved"/>
    <n v="5"/>
    <n v="24"/>
    <n v="8.1300000000000008"/>
    <n v="1"/>
  </r>
  <r>
    <s v="TCK-13108"/>
    <s v="2024-12-14 10:20:24"/>
    <m/>
    <s v="P3"/>
    <x v="2"/>
    <s v="Application Support"/>
    <s v="Pam Beesly"/>
    <s v="Open"/>
    <m/>
    <n v="24"/>
    <m/>
    <m/>
  </r>
  <r>
    <s v="TCK-13109"/>
    <s v="2024-07-18 23:53:01"/>
    <s v="2024-07-19 05:43:30"/>
    <s v="P2"/>
    <x v="0"/>
    <s v="Infrastructure"/>
    <s v="Ravi Patel"/>
    <s v="Resolved"/>
    <n v="4"/>
    <n v="8"/>
    <n v="5.84"/>
    <n v="1"/>
  </r>
  <r>
    <s v="TCK-13110"/>
    <s v="2024-12-31 07:22:20"/>
    <s v="2025-01-01 08:20:55"/>
    <s v="P4"/>
    <x v="3"/>
    <s v="Application Support"/>
    <s v="Carlos Mendez"/>
    <s v="Resolved"/>
    <n v="4"/>
    <n v="48"/>
    <n v="24.98"/>
    <n v="1"/>
  </r>
  <r>
    <s v="TCK-13111"/>
    <s v="2024-06-01 10:19:18"/>
    <s v="2024-06-02 09:55:09"/>
    <s v="P4"/>
    <x v="2"/>
    <s v="L2 Support"/>
    <s v="John Doe"/>
    <s v="Resolved"/>
    <n v="4"/>
    <n v="48"/>
    <n v="23.6"/>
    <n v="1"/>
  </r>
  <r>
    <s v="TCK-13112"/>
    <s v="2024-07-02 06:02:02"/>
    <s v="2024-07-02 08:38:43"/>
    <s v="P1"/>
    <x v="2"/>
    <s v="Billing Operations"/>
    <s v="Michael Scott"/>
    <s v="Resolved"/>
    <n v="5"/>
    <n v="4"/>
    <n v="2.61"/>
    <n v="1"/>
  </r>
  <r>
    <s v="TCK-13113"/>
    <s v="2024-08-25 06:23:42"/>
    <s v="2024-08-27 03:44:53"/>
    <s v="P3"/>
    <x v="3"/>
    <s v="Infrastructure"/>
    <s v="Michael Scott"/>
    <s v="Resolved"/>
    <n v="2"/>
    <n v="24"/>
    <n v="45.35"/>
    <n v="0"/>
  </r>
  <r>
    <s v="TCK-13114"/>
    <s v="2024-05-11 07:05:07"/>
    <s v="2024-05-11 14:18:57"/>
    <s v="P4"/>
    <x v="1"/>
    <s v="L1 Support"/>
    <s v="Priya Nair"/>
    <s v="Closed"/>
    <n v="5"/>
    <n v="48"/>
    <n v="7.23"/>
    <n v="1"/>
  </r>
  <r>
    <s v="TCK-13115"/>
    <s v="2024-01-13 17:09:11"/>
    <s v="2024-01-14 20:44:46"/>
    <s v="P3"/>
    <x v="4"/>
    <s v="Application Support"/>
    <s v="Dwight Schrute"/>
    <s v="Resolved"/>
    <n v="1"/>
    <n v="24"/>
    <n v="27.59"/>
    <n v="0"/>
  </r>
  <r>
    <s v="TCK-13116"/>
    <s v="2024-03-08 05:09:47"/>
    <s v="2024-03-08 19:14:09"/>
    <s v="P4"/>
    <x v="0"/>
    <s v="L2 Support"/>
    <s v="Anita Sharma"/>
    <s v="Resolved"/>
    <n v="5"/>
    <n v="48"/>
    <n v="14.07"/>
    <n v="1"/>
  </r>
  <r>
    <s v="TCK-13117"/>
    <s v="2024-12-18 13:43:02"/>
    <s v="2024-12-19 08:31:18"/>
    <s v="P2"/>
    <x v="0"/>
    <s v="Infrastructure"/>
    <s v="Michael Scott"/>
    <s v="Closed"/>
    <n v="4"/>
    <n v="8"/>
    <n v="18.8"/>
    <n v="0"/>
  </r>
  <r>
    <s v="TCK-13118"/>
    <s v="2024-01-03 04:37:11"/>
    <s v="2024-01-03 07:48:27"/>
    <s v="P2"/>
    <x v="4"/>
    <s v="L1 Support"/>
    <s v="Jim Halpert"/>
    <s v="Resolved"/>
    <n v="4"/>
    <n v="8"/>
    <n v="3.19"/>
    <n v="1"/>
  </r>
  <r>
    <s v="TCK-13119"/>
    <s v="2024-09-20 02:13:13"/>
    <m/>
    <s v="P2"/>
    <x v="3"/>
    <s v="L1 Support"/>
    <s v="Michael Scott"/>
    <s v="Escalated"/>
    <m/>
    <n v="8"/>
    <m/>
    <m/>
  </r>
  <r>
    <s v="TCK-13120"/>
    <s v="2024-01-10 07:51:48"/>
    <s v="2024-01-10 11:35:01"/>
    <s v="P3"/>
    <x v="4"/>
    <s v="L1 Support"/>
    <s v="Michael Scott"/>
    <s v="Resolved"/>
    <n v="5"/>
    <n v="24"/>
    <n v="3.72"/>
    <n v="1"/>
  </r>
  <r>
    <s v="TCK-13121"/>
    <s v="2024-08-20 00:56:54"/>
    <s v="2024-08-20 07:24:32"/>
    <s v="P2"/>
    <x v="3"/>
    <s v="L2 Support"/>
    <s v="Emily Watson"/>
    <s v="Closed"/>
    <n v="4"/>
    <n v="8"/>
    <n v="6.46"/>
    <n v="1"/>
  </r>
  <r>
    <s v="TCK-13122"/>
    <s v="2024-01-31 21:15:05"/>
    <s v="2024-02-01 11:24:14"/>
    <s v="P3"/>
    <x v="0"/>
    <s v="L1 Support"/>
    <s v="Sarah Connor"/>
    <s v="Resolved"/>
    <n v="4"/>
    <n v="24"/>
    <n v="14.15"/>
    <n v="1"/>
  </r>
  <r>
    <s v="TCK-13123"/>
    <s v="2024-12-03 19:04:56"/>
    <s v="2024-12-04 00:28:35"/>
    <s v="P2"/>
    <x v="2"/>
    <s v="Application Support"/>
    <s v="Michael Scott"/>
    <s v="Resolved"/>
    <n v="5"/>
    <n v="8"/>
    <n v="5.39"/>
    <n v="1"/>
  </r>
  <r>
    <s v="TCK-13124"/>
    <s v="2024-11-09 09:37:24"/>
    <s v="2024-11-09 15:56:56"/>
    <s v="P3"/>
    <x v="1"/>
    <s v="L1 Support"/>
    <s v="Ravi Patel"/>
    <s v="Resolved"/>
    <n v="5"/>
    <n v="24"/>
    <n v="6.33"/>
    <n v="1"/>
  </r>
  <r>
    <s v="TCK-13125"/>
    <s v="2024-05-16 07:08:37"/>
    <s v="2024-05-16 08:13:20"/>
    <s v="P2"/>
    <x v="2"/>
    <s v="L1 Support"/>
    <s v="Michael Scott"/>
    <s v="Closed"/>
    <n v="5"/>
    <n v="8"/>
    <n v="1.08"/>
    <n v="1"/>
  </r>
  <r>
    <s v="TCK-13126"/>
    <s v="2024-12-19 07:09:42"/>
    <s v="2024-12-20 04:23:38"/>
    <s v="P3"/>
    <x v="3"/>
    <s v="Infrastructure"/>
    <s v="Sarah Connor"/>
    <s v="Resolved"/>
    <n v="4"/>
    <n v="24"/>
    <n v="21.23"/>
    <n v="1"/>
  </r>
  <r>
    <s v="TCK-13127"/>
    <s v="2024-05-19 03:56:49"/>
    <s v="2024-05-19 05:40:11"/>
    <s v="P2"/>
    <x v="3"/>
    <s v="Application Support"/>
    <s v="Priya Nair"/>
    <s v="Resolved"/>
    <n v="4"/>
    <n v="8"/>
    <n v="1.72"/>
    <n v="1"/>
  </r>
  <r>
    <s v="TCK-13128"/>
    <s v="2024-11-24 13:50:41"/>
    <s v="2024-11-24 20:22:48"/>
    <s v="P2"/>
    <x v="2"/>
    <s v="L2 Support"/>
    <s v="Dwight Schrute"/>
    <s v="Resolved"/>
    <n v="5"/>
    <n v="8"/>
    <n v="6.54"/>
    <n v="1"/>
  </r>
  <r>
    <s v="TCK-13129"/>
    <s v="2024-09-16 16:21:14"/>
    <s v="2024-09-17 03:21:20"/>
    <s v="P2"/>
    <x v="2"/>
    <s v="Application Support"/>
    <s v="Priya Nair"/>
    <s v="Closed"/>
    <n v="2"/>
    <n v="8"/>
    <n v="11"/>
    <n v="0"/>
  </r>
  <r>
    <s v="TCK-13130"/>
    <s v="2024-12-09 05:52:43"/>
    <s v="2024-12-09 13:18:48"/>
    <s v="P2"/>
    <x v="0"/>
    <s v="L1 Support"/>
    <s v="Ravi Patel"/>
    <s v="Resolved"/>
    <n v="5"/>
    <n v="8"/>
    <n v="7.43"/>
    <n v="1"/>
  </r>
  <r>
    <s v="TCK-13131"/>
    <s v="2024-06-01 16:04:53"/>
    <s v="2024-06-01 22:32:26"/>
    <s v="P2"/>
    <x v="3"/>
    <s v="L1 Support"/>
    <s v="Jim Halpert"/>
    <s v="Closed"/>
    <n v="4"/>
    <n v="8"/>
    <n v="6.46"/>
    <n v="1"/>
  </r>
  <r>
    <s v="TCK-13132"/>
    <s v="2024-11-03 04:15:43"/>
    <m/>
    <s v="P4"/>
    <x v="4"/>
    <s v="Billing Operations"/>
    <s v="Pam Beesly"/>
    <s v="Open"/>
    <m/>
    <n v="48"/>
    <m/>
    <m/>
  </r>
  <r>
    <s v="TCK-13133"/>
    <s v="2024-06-18 14:11:53"/>
    <s v="2024-06-19 05:09:18"/>
    <s v="P3"/>
    <x v="4"/>
    <s v="Infrastructure"/>
    <s v="Pam Beesly"/>
    <s v="Resolved"/>
    <n v="5"/>
    <n v="24"/>
    <n v="14.96"/>
    <n v="1"/>
  </r>
  <r>
    <s v="TCK-13134"/>
    <s v="2024-02-25 19:21:10"/>
    <s v="2024-02-27 14:48:59"/>
    <s v="P4"/>
    <x v="1"/>
    <s v="Application Support"/>
    <s v="Dwight Schrute"/>
    <s v="Resolved"/>
    <n v="5"/>
    <n v="48"/>
    <n v="43.46"/>
    <n v="1"/>
  </r>
  <r>
    <s v="TCK-13135"/>
    <s v="2024-03-24 22:51:46"/>
    <s v="2024-03-25 03:04:36"/>
    <s v="P2"/>
    <x v="2"/>
    <s v="Billing Operations"/>
    <s v="Ravi Patel"/>
    <s v="Resolved"/>
    <n v="5"/>
    <n v="8"/>
    <n v="4.21"/>
    <n v="1"/>
  </r>
  <r>
    <s v="TCK-13136"/>
    <s v="2024-02-05 11:04:09"/>
    <s v="2024-02-05 21:38:39"/>
    <s v="P3"/>
    <x v="3"/>
    <s v="L1 Support"/>
    <s v="John Doe"/>
    <s v="Resolved"/>
    <n v="4"/>
    <n v="24"/>
    <n v="10.58"/>
    <n v="1"/>
  </r>
  <r>
    <s v="TCK-13137"/>
    <s v="2024-11-29 22:39:22"/>
    <s v="2024-11-30 08:26:13"/>
    <s v="P3"/>
    <x v="3"/>
    <s v="L2 Support"/>
    <s v="Sarah Connor"/>
    <s v="Resolved"/>
    <n v="4"/>
    <n v="24"/>
    <n v="9.7799999999999994"/>
    <n v="1"/>
  </r>
  <r>
    <s v="TCK-13138"/>
    <s v="2024-05-27 08:46:38"/>
    <s v="2024-05-27 11:40:21"/>
    <s v="P3"/>
    <x v="3"/>
    <s v="L1 Support"/>
    <s v="Sarah Connor"/>
    <s v="Closed"/>
    <n v="4"/>
    <n v="24"/>
    <n v="2.9"/>
    <n v="1"/>
  </r>
  <r>
    <s v="TCK-13139"/>
    <s v="2024-04-10 19:49:31"/>
    <s v="2024-04-11 00:48:27"/>
    <s v="P2"/>
    <x v="1"/>
    <s v="L2 Support"/>
    <s v="Carlos Mendez"/>
    <s v="Resolved"/>
    <n v="4"/>
    <n v="8"/>
    <n v="4.9800000000000004"/>
    <n v="1"/>
  </r>
  <r>
    <s v="TCK-13140"/>
    <s v="2024-11-05 07:01:14"/>
    <m/>
    <s v="P1"/>
    <x v="1"/>
    <s v="L2 Support"/>
    <s v="Carlos Mendez"/>
    <s v="Escalated"/>
    <m/>
    <n v="4"/>
    <m/>
    <m/>
  </r>
  <r>
    <s v="TCK-13141"/>
    <s v="2024-07-07 05:25:35"/>
    <s v="2024-07-07 19:45:04"/>
    <s v="P3"/>
    <x v="3"/>
    <s v="L1 Support"/>
    <s v="Pam Beesly"/>
    <s v="Resolved"/>
    <n v="5"/>
    <n v="24"/>
    <n v="14.32"/>
    <n v="1"/>
  </r>
  <r>
    <s v="TCK-13142"/>
    <s v="2024-12-29 21:20:31"/>
    <m/>
    <s v="P3"/>
    <x v="1"/>
    <s v="Infrastructure"/>
    <s v="Sarah Connor"/>
    <s v="Open"/>
    <m/>
    <n v="24"/>
    <m/>
    <m/>
  </r>
  <r>
    <s v="TCK-13143"/>
    <s v="2024-03-24 07:10:15"/>
    <s v="2024-03-24 14:09:24"/>
    <s v="P4"/>
    <x v="2"/>
    <s v="Application Support"/>
    <s v="John Doe"/>
    <s v="Closed"/>
    <n v="5"/>
    <n v="48"/>
    <n v="6.99"/>
    <n v="1"/>
  </r>
  <r>
    <s v="TCK-13144"/>
    <s v="2024-03-30 02:35:40"/>
    <s v="2024-03-31 20:06:36"/>
    <s v="P4"/>
    <x v="2"/>
    <s v="L1 Support"/>
    <s v="Anita Sharma"/>
    <s v="Resolved"/>
    <n v="5"/>
    <n v="48"/>
    <n v="41.52"/>
    <n v="1"/>
  </r>
  <r>
    <s v="TCK-13145"/>
    <s v="2024-06-21 05:49:49"/>
    <s v="2024-06-21 10:28:17"/>
    <s v="P2"/>
    <x v="2"/>
    <s v="Application Support"/>
    <s v="Sarah Connor"/>
    <s v="Closed"/>
    <n v="5"/>
    <n v="8"/>
    <n v="4.6399999999999997"/>
    <n v="1"/>
  </r>
  <r>
    <s v="TCK-13146"/>
    <s v="2024-07-08 14:11:16"/>
    <s v="2024-07-08 19:01:09"/>
    <s v="P1"/>
    <x v="3"/>
    <s v="Infrastructure"/>
    <s v="Anita Sharma"/>
    <s v="Closed"/>
    <n v="3"/>
    <n v="4"/>
    <n v="4.83"/>
    <n v="0"/>
  </r>
  <r>
    <s v="TCK-13147"/>
    <s v="2024-01-23 06:25:44"/>
    <s v="2024-01-23 09:47:39"/>
    <s v="P2"/>
    <x v="2"/>
    <s v="L1 Support"/>
    <s v="John Doe"/>
    <s v="Resolved"/>
    <n v="5"/>
    <n v="8"/>
    <n v="3.37"/>
    <n v="1"/>
  </r>
  <r>
    <s v="TCK-13148"/>
    <s v="2024-04-05 02:34:43"/>
    <s v="2024-04-05 12:02:29"/>
    <s v="P3"/>
    <x v="3"/>
    <s v="L1 Support"/>
    <s v="Emily Watson"/>
    <s v="Closed"/>
    <n v="3"/>
    <n v="24"/>
    <n v="9.4600000000000009"/>
    <n v="1"/>
  </r>
  <r>
    <s v="TCK-13149"/>
    <s v="2024-08-19 04:37:55"/>
    <s v="2024-08-19 07:16:58"/>
    <s v="P2"/>
    <x v="2"/>
    <s v="Application Support"/>
    <s v="Alex Mercer"/>
    <s v="Resolved"/>
    <n v="5"/>
    <n v="8"/>
    <n v="2.65"/>
    <n v="1"/>
  </r>
  <r>
    <s v="TCK-13150"/>
    <s v="2024-10-06 11:56:57"/>
    <s v="2024-10-07 01:17:35"/>
    <s v="P3"/>
    <x v="2"/>
    <s v="Application Support"/>
    <s v="Carlos Mendez"/>
    <s v="Resolved"/>
    <n v="5"/>
    <n v="24"/>
    <n v="13.34"/>
    <n v="1"/>
  </r>
  <r>
    <s v="TCK-13151"/>
    <s v="2024-04-03 13:50:04"/>
    <s v="2024-04-04 03:26:36"/>
    <s v="P3"/>
    <x v="3"/>
    <s v="L1 Support"/>
    <s v="Alex Mercer"/>
    <s v="Resolved"/>
    <n v="4"/>
    <n v="24"/>
    <n v="13.61"/>
    <n v="1"/>
  </r>
  <r>
    <s v="TCK-13152"/>
    <s v="2024-03-08 08:01:56"/>
    <s v="2024-03-08 08:38:11"/>
    <s v="P1"/>
    <x v="0"/>
    <s v="Infrastructure"/>
    <s v="Sarah Connor"/>
    <s v="Resolved"/>
    <n v="5"/>
    <n v="4"/>
    <n v="0.6"/>
    <n v="1"/>
  </r>
  <r>
    <s v="TCK-13153"/>
    <s v="2024-03-03 08:21:15"/>
    <s v="2024-03-03 10:45:33"/>
    <s v="P2"/>
    <x v="1"/>
    <s v="Billing Operations"/>
    <s v="Carlos Mendez"/>
    <s v="Resolved"/>
    <n v="3"/>
    <n v="8"/>
    <n v="2.4"/>
    <n v="1"/>
  </r>
  <r>
    <s v="TCK-13154"/>
    <s v="2024-08-01 23:59:10"/>
    <s v="2024-08-02 18:17:33"/>
    <s v="P3"/>
    <x v="3"/>
    <s v="L1 Support"/>
    <s v="Carlos Mendez"/>
    <s v="Resolved"/>
    <n v="4"/>
    <n v="24"/>
    <n v="18.309999999999999"/>
    <n v="1"/>
  </r>
  <r>
    <s v="TCK-13155"/>
    <s v="2024-06-10 15:12:40"/>
    <s v="2024-06-12 10:17:53"/>
    <s v="P4"/>
    <x v="2"/>
    <s v="Billing Operations"/>
    <s v="Carlos Mendez"/>
    <s v="Closed"/>
    <n v="4"/>
    <n v="48"/>
    <n v="43.09"/>
    <n v="1"/>
  </r>
  <r>
    <s v="TCK-13156"/>
    <s v="2024-04-05 16:32:00"/>
    <s v="2024-04-06 08:09:10"/>
    <s v="P3"/>
    <x v="3"/>
    <s v="Application Support"/>
    <s v="Priya Nair"/>
    <s v="Resolved"/>
    <n v="4"/>
    <n v="24"/>
    <n v="15.62"/>
    <n v="1"/>
  </r>
  <r>
    <s v="TCK-13157"/>
    <s v="2024-03-12 20:44:58"/>
    <s v="2024-03-12 23:48:11"/>
    <s v="P1"/>
    <x v="1"/>
    <s v="L2 Support"/>
    <s v="Sarah Connor"/>
    <s v="Resolved"/>
    <n v="5"/>
    <n v="4"/>
    <n v="3.05"/>
    <n v="1"/>
  </r>
  <r>
    <s v="TCK-13158"/>
    <s v="2024-12-21 00:48:12"/>
    <s v="2024-12-21 05:13:06"/>
    <s v="P1"/>
    <x v="1"/>
    <s v="L2 Support"/>
    <s v="Michael Scott"/>
    <s v="Closed"/>
    <n v="2"/>
    <n v="4"/>
    <n v="4.42"/>
    <n v="0"/>
  </r>
  <r>
    <s v="TCK-13159"/>
    <s v="2024-07-26 09:09:32"/>
    <s v="2024-07-26 17:15:38"/>
    <s v="P4"/>
    <x v="2"/>
    <s v="L2 Support"/>
    <s v="Emily Watson"/>
    <s v="Resolved"/>
    <n v="4"/>
    <n v="48"/>
    <n v="8.1"/>
    <n v="1"/>
  </r>
  <r>
    <s v="TCK-13160"/>
    <s v="2024-10-30 16:11:59"/>
    <s v="2024-10-31 02:00:44"/>
    <s v="P3"/>
    <x v="1"/>
    <s v="Infrastructure"/>
    <s v="Carlos Mendez"/>
    <s v="Resolved"/>
    <n v="5"/>
    <n v="24"/>
    <n v="9.81"/>
    <n v="1"/>
  </r>
  <r>
    <s v="TCK-13161"/>
    <s v="2024-02-25 09:22:27"/>
    <s v="2024-02-25 21:56:38"/>
    <s v="P3"/>
    <x v="2"/>
    <s v="Application Support"/>
    <s v="Sarah Connor"/>
    <s v="Closed"/>
    <n v="4"/>
    <n v="24"/>
    <n v="12.57"/>
    <n v="1"/>
  </r>
  <r>
    <s v="TCK-13162"/>
    <s v="2024-06-22 14:23:36"/>
    <s v="2024-06-23 01:28:36"/>
    <s v="P3"/>
    <x v="1"/>
    <s v="Billing Operations"/>
    <s v="Ravi Patel"/>
    <s v="Resolved"/>
    <n v="5"/>
    <n v="24"/>
    <n v="11.08"/>
    <n v="1"/>
  </r>
  <r>
    <s v="TCK-13163"/>
    <s v="2024-06-04 23:39:08"/>
    <s v="2024-06-05 13:51:33"/>
    <s v="P2"/>
    <x v="0"/>
    <s v="Application Support"/>
    <s v="Dwight Schrute"/>
    <s v="Resolved"/>
    <n v="2"/>
    <n v="8"/>
    <n v="14.21"/>
    <n v="0"/>
  </r>
  <r>
    <s v="TCK-13164"/>
    <s v="2024-06-27 12:00:45"/>
    <s v="2024-06-27 16:34:31"/>
    <s v="P1"/>
    <x v="2"/>
    <s v="Billing Operations"/>
    <s v="Dwight Schrute"/>
    <s v="Closed"/>
    <n v="3"/>
    <n v="4"/>
    <n v="4.5599999999999996"/>
    <n v="0"/>
  </r>
  <r>
    <s v="TCK-13165"/>
    <s v="2024-03-25 18:27:30"/>
    <s v="2024-03-26 02:55:10"/>
    <s v="P3"/>
    <x v="4"/>
    <s v="Infrastructure"/>
    <s v="Carlos Mendez"/>
    <s v="Resolved"/>
    <n v="4"/>
    <n v="24"/>
    <n v="8.4600000000000009"/>
    <n v="1"/>
  </r>
  <r>
    <s v="TCK-13166"/>
    <s v="2024-05-28 09:37:51"/>
    <s v="2024-05-28 10:55:04"/>
    <s v="P2"/>
    <x v="2"/>
    <s v="L2 Support"/>
    <s v="Alex Mercer"/>
    <s v="Resolved"/>
    <n v="4"/>
    <n v="8"/>
    <n v="1.29"/>
    <n v="1"/>
  </r>
  <r>
    <s v="TCK-13167"/>
    <s v="2024-10-29 22:04:02"/>
    <s v="2024-10-29 22:51:01"/>
    <s v="P1"/>
    <x v="2"/>
    <s v="L1 Support"/>
    <s v="Pam Beesly"/>
    <s v="Resolved"/>
    <n v="4"/>
    <n v="4"/>
    <n v="0.78"/>
    <n v="1"/>
  </r>
  <r>
    <s v="TCK-13168"/>
    <s v="2024-07-25 21:20:03"/>
    <s v="2024-07-27 16:42:23"/>
    <s v="P3"/>
    <x v="2"/>
    <s v="Application Support"/>
    <s v="Michael Scott"/>
    <s v="Resolved"/>
    <n v="2"/>
    <n v="24"/>
    <n v="43.37"/>
    <n v="0"/>
  </r>
  <r>
    <s v="TCK-13169"/>
    <s v="2024-08-07 21:41:30"/>
    <s v="2024-08-08 15:59:29"/>
    <s v="P3"/>
    <x v="2"/>
    <s v="Application Support"/>
    <s v="Alex Mercer"/>
    <s v="Resolved"/>
    <n v="4"/>
    <n v="24"/>
    <n v="18.3"/>
    <n v="1"/>
  </r>
  <r>
    <s v="TCK-13170"/>
    <s v="2024-01-12 07:50:19"/>
    <s v="2024-01-12 13:19:52"/>
    <s v="P2"/>
    <x v="2"/>
    <s v="Billing Operations"/>
    <s v="Carlos Mendez"/>
    <s v="Resolved"/>
    <n v="3"/>
    <n v="8"/>
    <n v="5.49"/>
    <n v="1"/>
  </r>
  <r>
    <s v="TCK-13171"/>
    <s v="2024-05-14 03:06:58"/>
    <m/>
    <s v="P3"/>
    <x v="1"/>
    <s v="L2 Support"/>
    <s v="Priya Nair"/>
    <s v="Escalated"/>
    <m/>
    <n v="24"/>
    <m/>
    <m/>
  </r>
  <r>
    <s v="TCK-13172"/>
    <s v="2024-08-18 23:10:05"/>
    <s v="2024-08-19 01:52:23"/>
    <s v="P2"/>
    <x v="3"/>
    <s v="Application Support"/>
    <s v="Alex Mercer"/>
    <s v="Resolved"/>
    <n v="3"/>
    <n v="8"/>
    <n v="2.7"/>
    <n v="1"/>
  </r>
  <r>
    <s v="TCK-13173"/>
    <s v="2024-04-12 22:43:53"/>
    <s v="2024-04-12 23:42:37"/>
    <s v="P1"/>
    <x v="0"/>
    <s v="L2 Support"/>
    <s v="Anita Sharma"/>
    <s v="Resolved"/>
    <n v="5"/>
    <n v="4"/>
    <n v="0.98"/>
    <n v="1"/>
  </r>
  <r>
    <s v="TCK-13174"/>
    <s v="2024-04-19 08:55:37"/>
    <s v="2024-04-19 23:13:41"/>
    <s v="P3"/>
    <x v="2"/>
    <s v="L1 Support"/>
    <s v="Sarah Connor"/>
    <s v="Resolved"/>
    <n v="5"/>
    <n v="24"/>
    <n v="14.3"/>
    <n v="1"/>
  </r>
  <r>
    <s v="TCK-13175"/>
    <s v="2024-06-04 20:43:50"/>
    <s v="2024-06-05 14:00:14"/>
    <s v="P3"/>
    <x v="0"/>
    <s v="Application Support"/>
    <s v="Pam Beesly"/>
    <s v="Closed"/>
    <n v="5"/>
    <n v="24"/>
    <n v="17.27"/>
    <n v="1"/>
  </r>
  <r>
    <s v="TCK-13176"/>
    <s v="2024-07-21 12:42:51"/>
    <s v="2024-07-22 03:21:34"/>
    <s v="P3"/>
    <x v="0"/>
    <s v="Application Support"/>
    <s v="Michael Scott"/>
    <s v="Closed"/>
    <n v="4"/>
    <n v="24"/>
    <n v="14.65"/>
    <n v="1"/>
  </r>
  <r>
    <s v="TCK-13177"/>
    <s v="2024-12-27 10:54:33"/>
    <s v="2025-01-01 15:18:09"/>
    <s v="P4"/>
    <x v="1"/>
    <s v="L1 Support"/>
    <s v="Sarah Connor"/>
    <s v="Resolved"/>
    <n v="4"/>
    <n v="48"/>
    <n v="124.39"/>
    <n v="0"/>
  </r>
  <r>
    <s v="TCK-13178"/>
    <s v="2024-05-18 13:39:30"/>
    <s v="2024-05-21 08:34:30"/>
    <s v="P3"/>
    <x v="1"/>
    <s v="Billing Operations"/>
    <s v="Ravi Patel"/>
    <s v="Closed"/>
    <n v="1"/>
    <n v="24"/>
    <n v="66.92"/>
    <n v="0"/>
  </r>
  <r>
    <s v="TCK-13179"/>
    <s v="2024-01-31 05:24:27"/>
    <s v="2024-01-31 16:07:45"/>
    <s v="P3"/>
    <x v="3"/>
    <s v="Infrastructure"/>
    <s v="Jim Halpert"/>
    <s v="Closed"/>
    <n v="5"/>
    <n v="24"/>
    <n v="10.72"/>
    <n v="1"/>
  </r>
  <r>
    <s v="TCK-13180"/>
    <s v="2024-03-06 15:23:32"/>
    <s v="2024-03-07 11:28:24"/>
    <s v="P3"/>
    <x v="4"/>
    <s v="Infrastructure"/>
    <s v="Pam Beesly"/>
    <s v="Resolved"/>
    <n v="4"/>
    <n v="24"/>
    <n v="20.079999999999998"/>
    <n v="1"/>
  </r>
  <r>
    <s v="TCK-13181"/>
    <s v="2024-06-11 21:11:28"/>
    <m/>
    <s v="P3"/>
    <x v="3"/>
    <s v="L2 Support"/>
    <s v="Dwight Schrute"/>
    <s v="Open"/>
    <m/>
    <n v="24"/>
    <m/>
    <m/>
  </r>
  <r>
    <s v="TCK-13182"/>
    <s v="2024-07-16 06:40:08"/>
    <s v="2024-07-16 09:16:22"/>
    <s v="P1"/>
    <x v="2"/>
    <s v="L2 Support"/>
    <s v="Ravi Patel"/>
    <s v="Closed"/>
    <n v="5"/>
    <n v="4"/>
    <n v="2.6"/>
    <n v="1"/>
  </r>
  <r>
    <s v="TCK-13183"/>
    <s v="2024-01-22 03:08:25"/>
    <s v="2024-01-22 18:39:27"/>
    <s v="P3"/>
    <x v="4"/>
    <s v="L2 Support"/>
    <s v="Priya Nair"/>
    <s v="Resolved"/>
    <n v="3"/>
    <n v="24"/>
    <n v="15.52"/>
    <n v="1"/>
  </r>
  <r>
    <s v="TCK-13184"/>
    <s v="2024-01-31 04:23:04"/>
    <s v="2024-01-31 11:18:33"/>
    <s v="P3"/>
    <x v="2"/>
    <s v="L2 Support"/>
    <s v="Carlos Mendez"/>
    <s v="Closed"/>
    <n v="5"/>
    <n v="24"/>
    <n v="6.92"/>
    <n v="1"/>
  </r>
  <r>
    <s v="TCK-13185"/>
    <s v="2024-03-16 20:35:28"/>
    <s v="2024-03-18 13:12:29"/>
    <s v="P3"/>
    <x v="1"/>
    <s v="L2 Support"/>
    <s v="Sarah Connor"/>
    <s v="Resolved"/>
    <n v="2"/>
    <n v="24"/>
    <n v="40.619999999999997"/>
    <n v="0"/>
  </r>
  <r>
    <s v="TCK-13186"/>
    <s v="2024-10-20 06:42:23"/>
    <s v="2024-10-21 12:02:33"/>
    <s v="P4"/>
    <x v="2"/>
    <s v="Billing Operations"/>
    <s v="Alex Mercer"/>
    <s v="Resolved"/>
    <n v="5"/>
    <n v="48"/>
    <n v="29.34"/>
    <n v="1"/>
  </r>
  <r>
    <s v="TCK-13187"/>
    <s v="2024-05-24 15:17:51"/>
    <s v="2024-05-27 06:53:20"/>
    <s v="P3"/>
    <x v="2"/>
    <s v="L2 Support"/>
    <s v="Pam Beesly"/>
    <s v="Closed"/>
    <n v="1"/>
    <n v="24"/>
    <n v="63.59"/>
    <n v="0"/>
  </r>
  <r>
    <s v="TCK-13188"/>
    <s v="2024-08-20 10:59:09"/>
    <s v="2024-08-21 21:40:21"/>
    <s v="P4"/>
    <x v="2"/>
    <s v="L1 Support"/>
    <s v="John Doe"/>
    <s v="Resolved"/>
    <n v="5"/>
    <n v="48"/>
    <n v="34.69"/>
    <n v="1"/>
  </r>
  <r>
    <s v="TCK-13189"/>
    <s v="2024-03-01 04:34:09"/>
    <s v="2024-03-01 11:02:16"/>
    <s v="P2"/>
    <x v="2"/>
    <s v="Infrastructure"/>
    <s v="Sarah Connor"/>
    <s v="Resolved"/>
    <n v="5"/>
    <n v="8"/>
    <n v="6.47"/>
    <n v="1"/>
  </r>
  <r>
    <s v="TCK-13190"/>
    <s v="2024-03-12 21:23:29"/>
    <s v="2024-03-13 20:35:26"/>
    <s v="P2"/>
    <x v="0"/>
    <s v="L1 Support"/>
    <s v="Carlos Mendez"/>
    <s v="Closed"/>
    <n v="1"/>
    <n v="8"/>
    <n v="23.2"/>
    <n v="0"/>
  </r>
  <r>
    <s v="TCK-13191"/>
    <s v="2024-07-11 00:02:33"/>
    <m/>
    <s v="P4"/>
    <x v="0"/>
    <s v="L1 Support"/>
    <s v="Priya Nair"/>
    <s v="Escalated"/>
    <m/>
    <n v="48"/>
    <m/>
    <m/>
  </r>
  <r>
    <s v="TCK-13192"/>
    <s v="2024-10-01 18:37:37"/>
    <s v="2024-10-01 23:29:41"/>
    <s v="P2"/>
    <x v="0"/>
    <s v="L1 Support"/>
    <s v="Priya Nair"/>
    <s v="Resolved"/>
    <n v="4"/>
    <n v="8"/>
    <n v="4.87"/>
    <n v="1"/>
  </r>
  <r>
    <s v="TCK-13193"/>
    <s v="2024-02-08 06:19:50"/>
    <s v="2024-02-09 03:01:36"/>
    <s v="P4"/>
    <x v="0"/>
    <s v="Billing Operations"/>
    <s v="Michael Scott"/>
    <s v="Resolved"/>
    <n v="5"/>
    <n v="48"/>
    <n v="20.7"/>
    <n v="1"/>
  </r>
  <r>
    <s v="TCK-13194"/>
    <s v="2024-08-22 13:22:17"/>
    <s v="2024-08-22 16:28:03"/>
    <s v="P2"/>
    <x v="0"/>
    <s v="Application Support"/>
    <s v="Anita Sharma"/>
    <s v="Resolved"/>
    <n v="5"/>
    <n v="8"/>
    <n v="3.1"/>
    <n v="1"/>
  </r>
  <r>
    <s v="TCK-13195"/>
    <s v="2024-01-19 06:04:10"/>
    <s v="2024-01-19 17:57:05"/>
    <s v="P3"/>
    <x v="2"/>
    <s v="Infrastructure"/>
    <s v="Pam Beesly"/>
    <s v="Closed"/>
    <n v="5"/>
    <n v="24"/>
    <n v="11.88"/>
    <n v="1"/>
  </r>
  <r>
    <s v="TCK-13196"/>
    <s v="2024-12-21 13:18:33"/>
    <s v="2024-12-22 01:06:41"/>
    <s v="P3"/>
    <x v="3"/>
    <s v="Billing Operations"/>
    <s v="Anita Sharma"/>
    <s v="Closed"/>
    <n v="5"/>
    <n v="24"/>
    <n v="11.8"/>
    <n v="1"/>
  </r>
  <r>
    <s v="TCK-13197"/>
    <s v="2024-12-12 18:22:18"/>
    <s v="2024-12-13 01:08:15"/>
    <s v="P2"/>
    <x v="3"/>
    <s v="L1 Support"/>
    <s v="Jim Halpert"/>
    <s v="Resolved"/>
    <n v="4"/>
    <n v="8"/>
    <n v="6.77"/>
    <n v="1"/>
  </r>
  <r>
    <s v="TCK-13198"/>
    <s v="2024-08-29 18:39:52"/>
    <s v="2024-08-30 06:49:56"/>
    <s v="P3"/>
    <x v="4"/>
    <s v="Application Support"/>
    <s v="Alex Mercer"/>
    <s v="Resolved"/>
    <n v="4"/>
    <n v="24"/>
    <n v="12.17"/>
    <n v="1"/>
  </r>
  <r>
    <s v="TCK-13199"/>
    <s v="2024-04-24 09:48:06"/>
    <s v="2024-04-24 21:34:03"/>
    <s v="P4"/>
    <x v="0"/>
    <s v="L2 Support"/>
    <s v="Michael Scott"/>
    <s v="Resolved"/>
    <n v="5"/>
    <n v="48"/>
    <n v="11.77"/>
    <n v="1"/>
  </r>
  <r>
    <s v="TCK-13200"/>
    <s v="2024-04-15 08:03:26"/>
    <s v="2024-04-15 13:41:55"/>
    <s v="P1"/>
    <x v="3"/>
    <s v="L2 Support"/>
    <s v="Alex Mercer"/>
    <s v="Resolved"/>
    <n v="1"/>
    <n v="4"/>
    <n v="5.64"/>
    <n v="0"/>
  </r>
  <r>
    <s v="TCK-13201"/>
    <s v="2024-05-01 18:18:26"/>
    <s v="2024-05-01 20:55:57"/>
    <s v="P2"/>
    <x v="1"/>
    <s v="Billing Operations"/>
    <s v="Sarah Connor"/>
    <s v="Closed"/>
    <n v="4"/>
    <n v="8"/>
    <n v="2.63"/>
    <n v="1"/>
  </r>
  <r>
    <s v="TCK-13202"/>
    <s v="2024-08-02 23:58:28"/>
    <s v="2024-08-04 14:54:54"/>
    <s v="P4"/>
    <x v="2"/>
    <s v="L1 Support"/>
    <s v="John Doe"/>
    <s v="Closed"/>
    <n v="4"/>
    <n v="48"/>
    <n v="38.94"/>
    <n v="1"/>
  </r>
  <r>
    <s v="TCK-13203"/>
    <s v="2024-09-28 07:05:50"/>
    <s v="2024-09-28 23:07:50"/>
    <s v="P3"/>
    <x v="2"/>
    <s v="Infrastructure"/>
    <s v="Priya Nair"/>
    <s v="Closed"/>
    <n v="5"/>
    <n v="24"/>
    <n v="16.03"/>
    <n v="1"/>
  </r>
  <r>
    <s v="TCK-13204"/>
    <s v="2024-09-12 15:07:57"/>
    <s v="2024-09-12 15:52:58"/>
    <s v="P1"/>
    <x v="2"/>
    <s v="Infrastructure"/>
    <s v="Alex Mercer"/>
    <s v="Closed"/>
    <n v="4"/>
    <n v="4"/>
    <n v="0.75"/>
    <n v="1"/>
  </r>
  <r>
    <s v="TCK-13205"/>
    <s v="2024-03-16 01:20:57"/>
    <s v="2024-03-16 20:41:52"/>
    <s v="P3"/>
    <x v="3"/>
    <s v="L1 Support"/>
    <s v="Emily Watson"/>
    <s v="Resolved"/>
    <n v="4"/>
    <n v="24"/>
    <n v="19.350000000000001"/>
    <n v="1"/>
  </r>
  <r>
    <s v="TCK-13206"/>
    <s v="2024-11-22 01:54:34"/>
    <s v="2024-11-22 16:19:26"/>
    <s v="P2"/>
    <x v="1"/>
    <s v="Billing Operations"/>
    <s v="Alex Mercer"/>
    <s v="Resolved"/>
    <n v="1"/>
    <n v="8"/>
    <n v="14.41"/>
    <n v="0"/>
  </r>
  <r>
    <s v="TCK-13207"/>
    <s v="2024-12-16 13:33:06"/>
    <s v="2024-12-17 01:44:46"/>
    <s v="P4"/>
    <x v="1"/>
    <s v="L2 Support"/>
    <s v="Pam Beesly"/>
    <s v="Resolved"/>
    <n v="5"/>
    <n v="48"/>
    <n v="12.19"/>
    <n v="1"/>
  </r>
  <r>
    <s v="TCK-13208"/>
    <s v="2024-03-09 11:06:40"/>
    <s v="2024-03-09 13:29:36"/>
    <s v="P1"/>
    <x v="4"/>
    <s v="L2 Support"/>
    <s v="Dwight Schrute"/>
    <s v="Resolved"/>
    <n v="5"/>
    <n v="4"/>
    <n v="2.38"/>
    <n v="1"/>
  </r>
  <r>
    <s v="TCK-13209"/>
    <s v="2024-06-13 18:37:16"/>
    <s v="2024-06-13 22:55:25"/>
    <s v="P3"/>
    <x v="0"/>
    <s v="Billing Operations"/>
    <s v="Pam Beesly"/>
    <s v="Resolved"/>
    <n v="4"/>
    <n v="24"/>
    <n v="4.3"/>
    <n v="1"/>
  </r>
  <r>
    <s v="TCK-13210"/>
    <s v="2024-11-20 12:34:03"/>
    <s v="2024-11-20 22:57:11"/>
    <s v="P1"/>
    <x v="0"/>
    <s v="L2 Support"/>
    <s v="Anita Sharma"/>
    <s v="Closed"/>
    <n v="3"/>
    <n v="4"/>
    <n v="10.39"/>
    <n v="0"/>
  </r>
  <r>
    <s v="TCK-13211"/>
    <s v="2024-04-28 23:52:27"/>
    <s v="2024-04-29 01:52:56"/>
    <s v="P2"/>
    <x v="3"/>
    <s v="L2 Support"/>
    <s v="Michael Scott"/>
    <s v="Resolved"/>
    <n v="5"/>
    <n v="8"/>
    <n v="2.0099999999999998"/>
    <n v="1"/>
  </r>
  <r>
    <s v="TCK-13212"/>
    <s v="2024-04-15 06:03:48"/>
    <s v="2024-04-16 03:53:22"/>
    <s v="P3"/>
    <x v="2"/>
    <s v="Infrastructure"/>
    <s v="Carlos Mendez"/>
    <s v="Resolved"/>
    <n v="4"/>
    <n v="24"/>
    <n v="21.83"/>
    <n v="1"/>
  </r>
  <r>
    <s v="TCK-13213"/>
    <s v="2024-07-02 21:19:20"/>
    <s v="2024-07-03 14:38:52"/>
    <s v="P3"/>
    <x v="4"/>
    <s v="Billing Operations"/>
    <s v="Jim Halpert"/>
    <s v="Resolved"/>
    <n v="5"/>
    <n v="24"/>
    <n v="17.329999999999998"/>
    <n v="1"/>
  </r>
  <r>
    <s v="TCK-13214"/>
    <s v="2024-10-28 17:16:25"/>
    <s v="2024-10-29 13:43:45"/>
    <s v="P4"/>
    <x v="0"/>
    <s v="L2 Support"/>
    <s v="Michael Scott"/>
    <s v="Resolved"/>
    <n v="5"/>
    <n v="48"/>
    <n v="20.46"/>
    <n v="1"/>
  </r>
  <r>
    <s v="TCK-13215"/>
    <s v="2024-02-22 04:47:00"/>
    <s v="2024-02-23 06:59:57"/>
    <s v="P3"/>
    <x v="2"/>
    <s v="Application Support"/>
    <s v="Michael Scott"/>
    <s v="Resolved"/>
    <n v="3"/>
    <n v="24"/>
    <n v="26.22"/>
    <n v="0"/>
  </r>
  <r>
    <s v="TCK-13216"/>
    <s v="2024-03-04 16:06:05"/>
    <m/>
    <s v="P4"/>
    <x v="0"/>
    <s v="Billing Operations"/>
    <s v="Anita Sharma"/>
    <s v="Escalated"/>
    <m/>
    <n v="48"/>
    <m/>
    <m/>
  </r>
  <r>
    <s v="TCK-13217"/>
    <s v="2024-08-24 18:13:40"/>
    <m/>
    <s v="P2"/>
    <x v="4"/>
    <s v="Application Support"/>
    <s v="Carlos Mendez"/>
    <s v="Open"/>
    <m/>
    <n v="8"/>
    <m/>
    <m/>
  </r>
  <r>
    <s v="TCK-13218"/>
    <s v="2024-12-05 14:46:14"/>
    <s v="2024-12-09 13:11:34"/>
    <s v="P4"/>
    <x v="2"/>
    <s v="L2 Support"/>
    <s v="Pam Beesly"/>
    <s v="Closed"/>
    <n v="2"/>
    <n v="48"/>
    <n v="94.42"/>
    <n v="0"/>
  </r>
  <r>
    <s v="TCK-13219"/>
    <s v="2024-04-10 18:27:34"/>
    <s v="2024-04-11 13:08:31"/>
    <s v="P3"/>
    <x v="0"/>
    <s v="Billing Operations"/>
    <s v="Emily Watson"/>
    <s v="Resolved"/>
    <n v="4"/>
    <n v="24"/>
    <n v="18.68"/>
    <n v="1"/>
  </r>
  <r>
    <s v="TCK-13220"/>
    <s v="2024-02-23 07:06:00"/>
    <m/>
    <s v="P3"/>
    <x v="4"/>
    <s v="L2 Support"/>
    <s v="Michael Scott"/>
    <s v="Escalated"/>
    <m/>
    <n v="24"/>
    <m/>
    <m/>
  </r>
  <r>
    <s v="TCK-13221"/>
    <s v="2024-10-14 13:18:34"/>
    <m/>
    <s v="P3"/>
    <x v="3"/>
    <s v="Application Support"/>
    <s v="Ravi Patel"/>
    <s v="Escalated"/>
    <m/>
    <n v="24"/>
    <m/>
    <m/>
  </r>
  <r>
    <s v="TCK-13222"/>
    <s v="2024-06-16 05:05:22"/>
    <s v="2024-06-16 09:39:42"/>
    <s v="P3"/>
    <x v="2"/>
    <s v="Billing Operations"/>
    <s v="Michael Scott"/>
    <s v="Resolved"/>
    <n v="5"/>
    <n v="24"/>
    <n v="4.57"/>
    <n v="1"/>
  </r>
  <r>
    <s v="TCK-13223"/>
    <s v="2024-11-28 10:27:08"/>
    <s v="2024-11-30 16:43:32"/>
    <s v="P3"/>
    <x v="0"/>
    <s v="Application Support"/>
    <s v="Anita Sharma"/>
    <s v="Resolved"/>
    <n v="4"/>
    <n v="24"/>
    <n v="54.27"/>
    <n v="0"/>
  </r>
  <r>
    <s v="TCK-13224"/>
    <s v="2024-02-01 17:03:02"/>
    <s v="2024-02-02 04:31:22"/>
    <s v="P1"/>
    <x v="0"/>
    <s v="Billing Operations"/>
    <s v="Michael Scott"/>
    <s v="Closed"/>
    <n v="2"/>
    <n v="4"/>
    <n v="11.47"/>
    <n v="0"/>
  </r>
  <r>
    <s v="TCK-13225"/>
    <s v="2024-05-11 02:28:47"/>
    <s v="2024-05-11 11:47:21"/>
    <s v="P3"/>
    <x v="0"/>
    <s v="Application Support"/>
    <s v="Jim Halpert"/>
    <s v="Closed"/>
    <n v="5"/>
    <n v="24"/>
    <n v="9.31"/>
    <n v="1"/>
  </r>
  <r>
    <s v="TCK-13226"/>
    <s v="2024-07-15 12:38:54"/>
    <s v="2024-07-16 02:31:58"/>
    <s v="P3"/>
    <x v="3"/>
    <s v="L1 Support"/>
    <s v="Jim Halpert"/>
    <s v="Resolved"/>
    <n v="5"/>
    <n v="24"/>
    <n v="13.88"/>
    <n v="1"/>
  </r>
  <r>
    <s v="TCK-13227"/>
    <s v="2024-03-11 12:15:52"/>
    <s v="2024-03-12 05:38:31"/>
    <s v="P2"/>
    <x v="3"/>
    <s v="Infrastructure"/>
    <s v="Anita Sharma"/>
    <s v="Closed"/>
    <n v="2"/>
    <n v="8"/>
    <n v="17.38"/>
    <n v="0"/>
  </r>
  <r>
    <s v="TCK-13228"/>
    <s v="2024-12-09 05:37:44"/>
    <s v="2024-12-10 03:05:48"/>
    <s v="P4"/>
    <x v="4"/>
    <s v="Infrastructure"/>
    <s v="Alex Mercer"/>
    <s v="Closed"/>
    <n v="5"/>
    <n v="48"/>
    <n v="21.47"/>
    <n v="1"/>
  </r>
  <r>
    <s v="TCK-13229"/>
    <s v="2024-11-03 12:32:26"/>
    <s v="2024-11-05 06:06:34"/>
    <s v="P4"/>
    <x v="2"/>
    <s v="Infrastructure"/>
    <s v="Alex Mercer"/>
    <s v="Resolved"/>
    <n v="5"/>
    <n v="48"/>
    <n v="41.57"/>
    <n v="1"/>
  </r>
  <r>
    <s v="TCK-13230"/>
    <s v="2024-11-05 05:42:35"/>
    <s v="2024-11-05 17:12:07"/>
    <s v="P3"/>
    <x v="1"/>
    <s v="Billing Operations"/>
    <s v="Anita Sharma"/>
    <s v="Resolved"/>
    <n v="4"/>
    <n v="24"/>
    <n v="11.49"/>
    <n v="1"/>
  </r>
  <r>
    <s v="TCK-13231"/>
    <s v="2024-01-14 06:18:31"/>
    <s v="2024-01-15 07:07:15"/>
    <s v="P4"/>
    <x v="0"/>
    <s v="L2 Support"/>
    <s v="Ravi Patel"/>
    <s v="Resolved"/>
    <n v="5"/>
    <n v="48"/>
    <n v="24.81"/>
    <n v="1"/>
  </r>
  <r>
    <s v="TCK-13232"/>
    <s v="2024-10-20 18:25:18"/>
    <s v="2024-10-21 01:54:31"/>
    <s v="P3"/>
    <x v="0"/>
    <s v="Billing Operations"/>
    <s v="Sarah Connor"/>
    <s v="Closed"/>
    <n v="5"/>
    <n v="24"/>
    <n v="7.49"/>
    <n v="1"/>
  </r>
  <r>
    <s v="TCK-13233"/>
    <s v="2024-08-10 20:28:10"/>
    <s v="2024-08-11 00:45:07"/>
    <s v="P2"/>
    <x v="0"/>
    <s v="Billing Operations"/>
    <s v="Alex Mercer"/>
    <s v="Closed"/>
    <n v="4"/>
    <n v="8"/>
    <n v="4.28"/>
    <n v="1"/>
  </r>
  <r>
    <s v="TCK-13234"/>
    <s v="2024-10-06 23:43:44"/>
    <s v="2024-10-08 05:03:10"/>
    <s v="P4"/>
    <x v="1"/>
    <s v="L1 Support"/>
    <s v="John Doe"/>
    <s v="Resolved"/>
    <n v="3"/>
    <n v="48"/>
    <n v="29.32"/>
    <n v="1"/>
  </r>
  <r>
    <s v="TCK-13235"/>
    <s v="2024-11-09 13:14:29"/>
    <m/>
    <s v="P3"/>
    <x v="2"/>
    <s v="Infrastructure"/>
    <s v="Carlos Mendez"/>
    <s v="Open"/>
    <m/>
    <n v="24"/>
    <m/>
    <m/>
  </r>
  <r>
    <s v="TCK-13236"/>
    <s v="2024-11-30 04:33:34"/>
    <s v="2024-11-30 16:38:46"/>
    <s v="P3"/>
    <x v="3"/>
    <s v="Application Support"/>
    <s v="Dwight Schrute"/>
    <s v="Resolved"/>
    <n v="5"/>
    <n v="24"/>
    <n v="12.09"/>
    <n v="1"/>
  </r>
  <r>
    <s v="TCK-13237"/>
    <s v="2024-05-30 17:48:58"/>
    <s v="2024-05-30 23:14:24"/>
    <s v="P2"/>
    <x v="1"/>
    <s v="L2 Support"/>
    <s v="Priya Nair"/>
    <s v="Resolved"/>
    <n v="4"/>
    <n v="8"/>
    <n v="5.42"/>
    <n v="1"/>
  </r>
  <r>
    <s v="TCK-13238"/>
    <s v="2024-08-19 11:02:44"/>
    <s v="2024-08-19 13:25:38"/>
    <s v="P2"/>
    <x v="2"/>
    <s v="Billing Operations"/>
    <s v="Jim Halpert"/>
    <s v="Closed"/>
    <n v="5"/>
    <n v="8"/>
    <n v="2.38"/>
    <n v="1"/>
  </r>
  <r>
    <s v="TCK-13239"/>
    <s v="2024-09-19 04:36:26"/>
    <s v="2024-09-20 14:32:27"/>
    <s v="P4"/>
    <x v="2"/>
    <s v="Infrastructure"/>
    <s v="Dwight Schrute"/>
    <s v="Closed"/>
    <n v="5"/>
    <n v="48"/>
    <n v="33.93"/>
    <n v="1"/>
  </r>
  <r>
    <s v="TCK-13240"/>
    <s v="2024-01-19 21:41:17"/>
    <s v="2024-01-21 20:27:43"/>
    <s v="P3"/>
    <x v="2"/>
    <s v="L1 Support"/>
    <s v="Dwight Schrute"/>
    <s v="Resolved"/>
    <n v="3"/>
    <n v="24"/>
    <n v="46.77"/>
    <n v="0"/>
  </r>
  <r>
    <s v="TCK-13241"/>
    <s v="2024-03-08 13:01:47"/>
    <m/>
    <s v="P3"/>
    <x v="0"/>
    <s v="Application Support"/>
    <s v="Emily Watson"/>
    <s v="Open"/>
    <m/>
    <n v="24"/>
    <m/>
    <m/>
  </r>
  <r>
    <s v="TCK-13242"/>
    <s v="2024-06-21 23:00:17"/>
    <m/>
    <s v="P3"/>
    <x v="3"/>
    <s v="Billing Operations"/>
    <s v="Anita Sharma"/>
    <s v="Open"/>
    <m/>
    <n v="24"/>
    <m/>
    <m/>
  </r>
  <r>
    <s v="TCK-13243"/>
    <s v="2024-08-03 14:09:07"/>
    <s v="2024-08-09 00:55:31"/>
    <s v="P4"/>
    <x v="3"/>
    <s v="Application Support"/>
    <s v="Michael Scott"/>
    <s v="Closed"/>
    <n v="2"/>
    <n v="48"/>
    <n v="130.77000000000001"/>
    <n v="0"/>
  </r>
  <r>
    <s v="TCK-13244"/>
    <s v="2024-09-23 00:37:53"/>
    <s v="2024-09-23 03:50:22"/>
    <s v="P2"/>
    <x v="2"/>
    <s v="Infrastructure"/>
    <s v="Ravi Patel"/>
    <s v="Closed"/>
    <n v="4"/>
    <n v="8"/>
    <n v="3.21"/>
    <n v="1"/>
  </r>
  <r>
    <s v="TCK-13245"/>
    <s v="2024-10-18 13:37:02"/>
    <s v="2024-10-19 03:23:30"/>
    <s v="P3"/>
    <x v="2"/>
    <s v="L1 Support"/>
    <s v="Emily Watson"/>
    <s v="Resolved"/>
    <n v="4"/>
    <n v="24"/>
    <n v="13.77"/>
    <n v="1"/>
  </r>
  <r>
    <s v="TCK-13246"/>
    <s v="2024-04-13 07:16:09"/>
    <s v="2024-04-14 12:25:02"/>
    <s v="P4"/>
    <x v="2"/>
    <s v="Application Support"/>
    <s v="Jim Halpert"/>
    <s v="Resolved"/>
    <n v="4"/>
    <n v="48"/>
    <n v="29.15"/>
    <n v="1"/>
  </r>
  <r>
    <s v="TCK-13247"/>
    <s v="2024-04-26 02:00:17"/>
    <s v="2024-04-26 04:31:10"/>
    <s v="P1"/>
    <x v="2"/>
    <s v="Application Support"/>
    <s v="Emily Watson"/>
    <s v="Closed"/>
    <n v="3"/>
    <n v="4"/>
    <n v="2.5099999999999998"/>
    <n v="1"/>
  </r>
  <r>
    <s v="TCK-13248"/>
    <s v="2024-01-13 21:13:39"/>
    <s v="2024-01-14 07:45:19"/>
    <s v="P3"/>
    <x v="1"/>
    <s v="Infrastructure"/>
    <s v="Priya Nair"/>
    <s v="Resolved"/>
    <n v="5"/>
    <n v="24"/>
    <n v="10.53"/>
    <n v="1"/>
  </r>
  <r>
    <s v="TCK-13249"/>
    <s v="2024-02-28 14:14:32"/>
    <s v="2024-02-29 11:07:47"/>
    <s v="P2"/>
    <x v="2"/>
    <s v="Infrastructure"/>
    <s v="Pam Beesly"/>
    <s v="Resolved"/>
    <n v="2"/>
    <n v="8"/>
    <n v="20.89"/>
    <n v="0"/>
  </r>
  <r>
    <s v="TCK-13250"/>
    <s v="2024-06-13 11:32:12"/>
    <s v="2024-06-13 22:20:01"/>
    <s v="P3"/>
    <x v="2"/>
    <s v="L2 Support"/>
    <s v="Emily Watson"/>
    <s v="Closed"/>
    <n v="5"/>
    <n v="24"/>
    <n v="10.8"/>
    <n v="1"/>
  </r>
  <r>
    <s v="TCK-13251"/>
    <s v="2024-09-02 12:07:19"/>
    <s v="2024-09-03 10:54:45"/>
    <s v="P3"/>
    <x v="4"/>
    <s v="L1 Support"/>
    <s v="Alex Mercer"/>
    <s v="Resolved"/>
    <n v="5"/>
    <n v="24"/>
    <n v="22.79"/>
    <n v="1"/>
  </r>
  <r>
    <s v="TCK-13252"/>
    <s v="2024-01-28 13:44:53"/>
    <m/>
    <s v="P1"/>
    <x v="2"/>
    <s v="Infrastructure"/>
    <s v="Anita Sharma"/>
    <s v="Escalated"/>
    <m/>
    <n v="4"/>
    <m/>
    <m/>
  </r>
  <r>
    <s v="TCK-13253"/>
    <s v="2024-09-15 20:32:21"/>
    <s v="2024-09-16 10:31:12"/>
    <s v="P3"/>
    <x v="2"/>
    <s v="L1 Support"/>
    <s v="Anita Sharma"/>
    <s v="Closed"/>
    <n v="5"/>
    <n v="24"/>
    <n v="13.98"/>
    <n v="1"/>
  </r>
  <r>
    <s v="TCK-13254"/>
    <s v="2024-11-20 01:13:52"/>
    <s v="2024-11-20 03:29:36"/>
    <s v="P2"/>
    <x v="1"/>
    <s v="Billing Operations"/>
    <s v="Sarah Connor"/>
    <s v="Closed"/>
    <n v="5"/>
    <n v="8"/>
    <n v="2.2599999999999998"/>
    <n v="1"/>
  </r>
  <r>
    <s v="TCK-13255"/>
    <s v="2024-11-02 04:32:54"/>
    <s v="2024-11-03 02:41:25"/>
    <s v="P4"/>
    <x v="2"/>
    <s v="L1 Support"/>
    <s v="Michael Scott"/>
    <s v="Closed"/>
    <n v="3"/>
    <n v="48"/>
    <n v="22.14"/>
    <n v="1"/>
  </r>
  <r>
    <s v="TCK-13256"/>
    <s v="2024-09-06 23:40:03"/>
    <s v="2024-09-07 17:01:20"/>
    <s v="P3"/>
    <x v="2"/>
    <s v="Application Support"/>
    <s v="Carlos Mendez"/>
    <s v="Resolved"/>
    <n v="4"/>
    <n v="24"/>
    <n v="17.350000000000001"/>
    <n v="1"/>
  </r>
  <r>
    <s v="TCK-13257"/>
    <s v="2024-09-18 00:10:27"/>
    <s v="2024-09-18 02:53:49"/>
    <s v="P3"/>
    <x v="0"/>
    <s v="Application Support"/>
    <s v="Ravi Patel"/>
    <s v="Closed"/>
    <n v="4"/>
    <n v="24"/>
    <n v="2.72"/>
    <n v="1"/>
  </r>
  <r>
    <s v="TCK-13258"/>
    <s v="2024-02-22 01:12:30"/>
    <s v="2024-02-22 16:13:56"/>
    <s v="P3"/>
    <x v="2"/>
    <s v="Billing Operations"/>
    <s v="Anita Sharma"/>
    <s v="Resolved"/>
    <n v="4"/>
    <n v="24"/>
    <n v="15.02"/>
    <n v="1"/>
  </r>
  <r>
    <s v="TCK-13259"/>
    <s v="2024-03-05 01:15:18"/>
    <s v="2024-03-05 13:46:52"/>
    <s v="P3"/>
    <x v="3"/>
    <s v="L1 Support"/>
    <s v="Priya Nair"/>
    <s v="Resolved"/>
    <n v="5"/>
    <n v="24"/>
    <n v="12.53"/>
    <n v="1"/>
  </r>
  <r>
    <s v="TCK-13260"/>
    <s v="2024-11-28 12:35:00"/>
    <s v="2024-11-28 13:34:38"/>
    <s v="P1"/>
    <x v="2"/>
    <s v="Application Support"/>
    <s v="Carlos Mendez"/>
    <s v="Resolved"/>
    <n v="4"/>
    <n v="4"/>
    <n v="0.99"/>
    <n v="1"/>
  </r>
  <r>
    <s v="TCK-13261"/>
    <s v="2024-04-08 17:38:36"/>
    <s v="2024-04-08 19:41:26"/>
    <s v="P1"/>
    <x v="1"/>
    <s v="L1 Support"/>
    <s v="Ravi Patel"/>
    <s v="Resolved"/>
    <n v="4"/>
    <n v="4"/>
    <n v="2.0499999999999998"/>
    <n v="1"/>
  </r>
  <r>
    <s v="TCK-13262"/>
    <s v="2024-04-04 22:51:07"/>
    <s v="2024-04-05 01:57:40"/>
    <s v="P2"/>
    <x v="3"/>
    <s v="L1 Support"/>
    <s v="Michael Scott"/>
    <s v="Resolved"/>
    <n v="4"/>
    <n v="8"/>
    <n v="3.11"/>
    <n v="1"/>
  </r>
  <r>
    <s v="TCK-13263"/>
    <s v="2024-04-26 13:02:49"/>
    <s v="2024-04-26 22:03:14"/>
    <s v="P4"/>
    <x v="0"/>
    <s v="L1 Support"/>
    <s v="Emily Watson"/>
    <s v="Resolved"/>
    <n v="5"/>
    <n v="48"/>
    <n v="9.01"/>
    <n v="1"/>
  </r>
  <r>
    <s v="TCK-13264"/>
    <s v="2024-10-17 04:03:43"/>
    <s v="2024-10-17 23:26:30"/>
    <s v="P4"/>
    <x v="1"/>
    <s v="L2 Support"/>
    <s v="Ravi Patel"/>
    <s v="Resolved"/>
    <n v="3"/>
    <n v="48"/>
    <n v="19.38"/>
    <n v="1"/>
  </r>
  <r>
    <s v="TCK-13265"/>
    <s v="2024-12-21 23:39:26"/>
    <s v="2024-12-24 00:06:43"/>
    <s v="P3"/>
    <x v="3"/>
    <s v="Application Support"/>
    <s v="Jim Halpert"/>
    <s v="Resolved"/>
    <n v="2"/>
    <n v="24"/>
    <n v="48.45"/>
    <n v="0"/>
  </r>
  <r>
    <s v="TCK-13266"/>
    <s v="2024-03-20 11:25:56"/>
    <s v="2024-03-20 12:18:46"/>
    <s v="P1"/>
    <x v="2"/>
    <s v="Infrastructure"/>
    <s v="Sarah Connor"/>
    <s v="Resolved"/>
    <n v="5"/>
    <n v="4"/>
    <n v="0.88"/>
    <n v="1"/>
  </r>
  <r>
    <s v="TCK-13267"/>
    <s v="2024-03-17 07:04:51"/>
    <s v="2024-03-17 09:18:32"/>
    <s v="P2"/>
    <x v="4"/>
    <s v="Application Support"/>
    <s v="Pam Beesly"/>
    <s v="Resolved"/>
    <n v="5"/>
    <n v="8"/>
    <n v="2.23"/>
    <n v="1"/>
  </r>
  <r>
    <s v="TCK-13268"/>
    <s v="2024-07-24 02:07:22"/>
    <s v="2024-07-24 11:12:40"/>
    <s v="P3"/>
    <x v="2"/>
    <s v="L2 Support"/>
    <s v="Priya Nair"/>
    <s v="Resolved"/>
    <n v="5"/>
    <n v="24"/>
    <n v="9.09"/>
    <n v="1"/>
  </r>
  <r>
    <s v="TCK-13269"/>
    <s v="2024-11-09 15:16:45"/>
    <s v="2024-11-10 13:32:16"/>
    <s v="P3"/>
    <x v="4"/>
    <s v="Billing Operations"/>
    <s v="Michael Scott"/>
    <s v="Closed"/>
    <n v="5"/>
    <n v="24"/>
    <n v="22.26"/>
    <n v="1"/>
  </r>
  <r>
    <s v="TCK-13270"/>
    <s v="2024-08-03 11:39:34"/>
    <s v="2024-08-04 17:47:22"/>
    <s v="P4"/>
    <x v="2"/>
    <s v="Billing Operations"/>
    <s v="Sarah Connor"/>
    <s v="Resolved"/>
    <n v="4"/>
    <n v="48"/>
    <n v="30.13"/>
    <n v="1"/>
  </r>
  <r>
    <s v="TCK-13271"/>
    <s v="2024-03-21 03:42:57"/>
    <s v="2024-03-23 14:41:56"/>
    <s v="P4"/>
    <x v="1"/>
    <s v="L2 Support"/>
    <s v="Michael Scott"/>
    <s v="Resolved"/>
    <n v="3"/>
    <n v="48"/>
    <n v="58.98"/>
    <n v="0"/>
  </r>
  <r>
    <s v="TCK-13272"/>
    <s v="2024-10-24 14:19:07"/>
    <s v="2024-10-24 16:01:41"/>
    <s v="P1"/>
    <x v="1"/>
    <s v="L2 Support"/>
    <s v="Ravi Patel"/>
    <s v="Resolved"/>
    <n v="4"/>
    <n v="4"/>
    <n v="1.71"/>
    <n v="1"/>
  </r>
  <r>
    <s v="TCK-13273"/>
    <s v="2024-09-30 13:49:00"/>
    <s v="2024-09-30 23:45:50"/>
    <s v="P3"/>
    <x v="0"/>
    <s v="Infrastructure"/>
    <s v="John Doe"/>
    <s v="Resolved"/>
    <n v="4"/>
    <n v="24"/>
    <n v="9.9499999999999993"/>
    <n v="1"/>
  </r>
  <r>
    <s v="TCK-13274"/>
    <s v="2024-11-23 00:24:14"/>
    <s v="2024-11-23 01:38:03"/>
    <s v="P2"/>
    <x v="0"/>
    <s v="L1 Support"/>
    <s v="Anita Sharma"/>
    <s v="Closed"/>
    <n v="4"/>
    <n v="8"/>
    <n v="1.23"/>
    <n v="1"/>
  </r>
  <r>
    <s v="TCK-13275"/>
    <s v="2024-07-02 17:03:15"/>
    <s v="2024-07-03 08:01:55"/>
    <s v="P4"/>
    <x v="2"/>
    <s v="L1 Support"/>
    <s v="Michael Scott"/>
    <s v="Closed"/>
    <n v="4"/>
    <n v="48"/>
    <n v="14.98"/>
    <n v="1"/>
  </r>
  <r>
    <s v="TCK-13276"/>
    <s v="2024-09-06 07:36:33"/>
    <s v="2024-09-06 11:12:37"/>
    <s v="P3"/>
    <x v="1"/>
    <s v="L1 Support"/>
    <s v="Sarah Connor"/>
    <s v="Resolved"/>
    <n v="4"/>
    <n v="24"/>
    <n v="3.6"/>
    <n v="1"/>
  </r>
  <r>
    <s v="TCK-13277"/>
    <s v="2024-01-05 07:39:20"/>
    <s v="2024-01-07 03:54:56"/>
    <s v="P3"/>
    <x v="1"/>
    <s v="L1 Support"/>
    <s v="Alex Mercer"/>
    <s v="Closed"/>
    <n v="2"/>
    <n v="24"/>
    <n v="44.26"/>
    <n v="0"/>
  </r>
  <r>
    <s v="TCK-13278"/>
    <s v="2024-04-28 00:54:09"/>
    <m/>
    <s v="P3"/>
    <x v="2"/>
    <s v="Application Support"/>
    <s v="Jim Halpert"/>
    <s v="Open"/>
    <m/>
    <n v="24"/>
    <m/>
    <m/>
  </r>
  <r>
    <s v="TCK-13279"/>
    <s v="2024-05-06 18:13:06"/>
    <m/>
    <s v="P4"/>
    <x v="2"/>
    <s v="Billing Operations"/>
    <s v="Priya Nair"/>
    <s v="Escalated"/>
    <m/>
    <n v="48"/>
    <m/>
    <m/>
  </r>
  <r>
    <s v="TCK-13280"/>
    <s v="2024-08-20 10:22:12"/>
    <s v="2024-08-20 21:16:34"/>
    <s v="P3"/>
    <x v="1"/>
    <s v="Billing Operations"/>
    <s v="Anita Sharma"/>
    <s v="Resolved"/>
    <n v="5"/>
    <n v="24"/>
    <n v="10.91"/>
    <n v="1"/>
  </r>
  <r>
    <s v="TCK-13281"/>
    <s v="2024-12-29 10:13:53"/>
    <s v="2024-12-30 02:48:17"/>
    <s v="P3"/>
    <x v="0"/>
    <s v="L1 Support"/>
    <s v="Alex Mercer"/>
    <s v="Resolved"/>
    <n v="4"/>
    <n v="24"/>
    <n v="16.57"/>
    <n v="1"/>
  </r>
  <r>
    <s v="TCK-13282"/>
    <s v="2024-09-06 03:54:38"/>
    <s v="2024-09-08 20:52:56"/>
    <s v="P3"/>
    <x v="3"/>
    <s v="L1 Support"/>
    <s v="Alex Mercer"/>
    <s v="Closed"/>
    <n v="3"/>
    <n v="24"/>
    <n v="64.97"/>
    <n v="0"/>
  </r>
  <r>
    <s v="TCK-13283"/>
    <s v="2024-09-04 12:07:39"/>
    <s v="2024-09-04 15:45:57"/>
    <s v="P2"/>
    <x v="3"/>
    <s v="L2 Support"/>
    <s v="Priya Nair"/>
    <s v="Resolved"/>
    <n v="5"/>
    <n v="8"/>
    <n v="3.64"/>
    <n v="1"/>
  </r>
  <r>
    <s v="TCK-13284"/>
    <s v="2024-02-19 05:54:00"/>
    <m/>
    <s v="P2"/>
    <x v="1"/>
    <s v="Application Support"/>
    <s v="Pam Beesly"/>
    <s v="Open"/>
    <m/>
    <n v="8"/>
    <m/>
    <m/>
  </r>
  <r>
    <s v="TCK-13285"/>
    <s v="2024-06-05 11:55:20"/>
    <s v="2024-06-05 20:47:51"/>
    <s v="P2"/>
    <x v="0"/>
    <s v="Billing Operations"/>
    <s v="Anita Sharma"/>
    <s v="Closed"/>
    <n v="1"/>
    <n v="8"/>
    <n v="8.8800000000000008"/>
    <n v="0"/>
  </r>
  <r>
    <s v="TCK-13286"/>
    <s v="2024-04-15 13:48:37"/>
    <s v="2024-04-15 20:54:37"/>
    <s v="P3"/>
    <x v="0"/>
    <s v="L1 Support"/>
    <s v="Priya Nair"/>
    <s v="Resolved"/>
    <n v="5"/>
    <n v="24"/>
    <n v="7.1"/>
    <n v="1"/>
  </r>
  <r>
    <s v="TCK-13287"/>
    <s v="2024-09-03 14:39:29"/>
    <s v="2024-09-04 05:51:17"/>
    <s v="P3"/>
    <x v="4"/>
    <s v="Infrastructure"/>
    <s v="Dwight Schrute"/>
    <s v="Resolved"/>
    <n v="3"/>
    <n v="24"/>
    <n v="15.2"/>
    <n v="1"/>
  </r>
  <r>
    <s v="TCK-13288"/>
    <s v="2024-03-19 11:39:44"/>
    <s v="2024-03-19 17:27:37"/>
    <s v="P2"/>
    <x v="1"/>
    <s v="Application Support"/>
    <s v="Michael Scott"/>
    <s v="Closed"/>
    <n v="4"/>
    <n v="8"/>
    <n v="5.8"/>
    <n v="1"/>
  </r>
  <r>
    <s v="TCK-13289"/>
    <s v="2024-03-15 15:44:25"/>
    <s v="2024-03-15 21:56:24"/>
    <s v="P3"/>
    <x v="4"/>
    <s v="L2 Support"/>
    <s v="Anita Sharma"/>
    <s v="Resolved"/>
    <n v="5"/>
    <n v="24"/>
    <n v="6.2"/>
    <n v="1"/>
  </r>
  <r>
    <s v="TCK-13290"/>
    <s v="2024-01-18 16:35:45"/>
    <m/>
    <s v="P2"/>
    <x v="2"/>
    <s v="L1 Support"/>
    <s v="Priya Nair"/>
    <s v="Open"/>
    <m/>
    <n v="8"/>
    <m/>
    <m/>
  </r>
  <r>
    <s v="TCK-13291"/>
    <s v="2024-12-21 02:41:36"/>
    <s v="2024-12-21 08:37:58"/>
    <s v="P3"/>
    <x v="2"/>
    <s v="L1 Support"/>
    <s v="Jim Halpert"/>
    <s v="Resolved"/>
    <n v="5"/>
    <n v="24"/>
    <n v="5.94"/>
    <n v="1"/>
  </r>
  <r>
    <s v="TCK-13292"/>
    <s v="2024-03-11 23:41:59"/>
    <s v="2024-03-12 06:59:28"/>
    <s v="P2"/>
    <x v="2"/>
    <s v="Infrastructure"/>
    <s v="Michael Scott"/>
    <s v="Closed"/>
    <n v="4"/>
    <n v="8"/>
    <n v="7.29"/>
    <n v="1"/>
  </r>
  <r>
    <s v="TCK-13293"/>
    <s v="2024-08-24 01:31:49"/>
    <s v="2024-08-25 02:50:22"/>
    <s v="P4"/>
    <x v="1"/>
    <s v="Billing Operations"/>
    <s v="Alex Mercer"/>
    <s v="Resolved"/>
    <n v="5"/>
    <n v="48"/>
    <n v="25.31"/>
    <n v="1"/>
  </r>
  <r>
    <s v="TCK-13294"/>
    <s v="2024-07-15 11:29:43"/>
    <s v="2024-07-16 01:01:52"/>
    <s v="P2"/>
    <x v="2"/>
    <s v="Infrastructure"/>
    <s v="Emily Watson"/>
    <s v="Resolved"/>
    <n v="3"/>
    <n v="8"/>
    <n v="13.54"/>
    <n v="0"/>
  </r>
  <r>
    <s v="TCK-13295"/>
    <s v="2024-06-16 21:04:51"/>
    <s v="2024-06-20 16:55:36"/>
    <s v="P4"/>
    <x v="2"/>
    <s v="Billing Operations"/>
    <s v="Dwight Schrute"/>
    <s v="Resolved"/>
    <n v="3"/>
    <n v="48"/>
    <n v="91.85"/>
    <n v="0"/>
  </r>
  <r>
    <s v="TCK-13296"/>
    <s v="2024-05-15 07:49:03"/>
    <s v="2024-05-15 18:09:37"/>
    <s v="P3"/>
    <x v="2"/>
    <s v="Billing Operations"/>
    <s v="Anita Sharma"/>
    <s v="Closed"/>
    <n v="5"/>
    <n v="24"/>
    <n v="10.34"/>
    <n v="1"/>
  </r>
  <r>
    <s v="TCK-13297"/>
    <s v="2024-06-11 03:50:11"/>
    <s v="2024-06-11 08:13:45"/>
    <s v="P3"/>
    <x v="0"/>
    <s v="L2 Support"/>
    <s v="Anita Sharma"/>
    <s v="Resolved"/>
    <n v="5"/>
    <n v="24"/>
    <n v="4.3899999999999997"/>
    <n v="1"/>
  </r>
  <r>
    <s v="TCK-13298"/>
    <s v="2024-03-16 11:49:38"/>
    <s v="2024-03-17 05:35:35"/>
    <s v="P3"/>
    <x v="1"/>
    <s v="Infrastructure"/>
    <s v="Dwight Schrute"/>
    <s v="Closed"/>
    <n v="5"/>
    <n v="24"/>
    <n v="17.77"/>
    <n v="1"/>
  </r>
  <r>
    <s v="TCK-13299"/>
    <s v="2024-02-01 06:18:45"/>
    <s v="2024-02-02 00:12:54"/>
    <s v="P3"/>
    <x v="3"/>
    <s v="L2 Support"/>
    <s v="Ravi Patel"/>
    <s v="Resolved"/>
    <n v="5"/>
    <n v="24"/>
    <n v="17.899999999999999"/>
    <n v="1"/>
  </r>
  <r>
    <s v="TCK-13300"/>
    <s v="2024-11-29 02:18:28"/>
    <s v="2024-11-30 12:24:45"/>
    <s v="P4"/>
    <x v="3"/>
    <s v="Infrastructure"/>
    <s v="Priya Nair"/>
    <s v="Resolved"/>
    <n v="4"/>
    <n v="48"/>
    <n v="34.1"/>
    <n v="1"/>
  </r>
  <r>
    <s v="TCK-13301"/>
    <s v="2024-01-29 20:18:14"/>
    <s v="2024-01-30 18:13:38"/>
    <s v="P3"/>
    <x v="0"/>
    <s v="Infrastructure"/>
    <s v="Dwight Schrute"/>
    <s v="Closed"/>
    <n v="4"/>
    <n v="24"/>
    <n v="21.92"/>
    <n v="1"/>
  </r>
  <r>
    <s v="TCK-13302"/>
    <s v="2024-06-20 09:45:19"/>
    <m/>
    <s v="P2"/>
    <x v="2"/>
    <s v="Infrastructure"/>
    <s v="Sarah Connor"/>
    <s v="Open"/>
    <m/>
    <n v="8"/>
    <m/>
    <m/>
  </r>
  <r>
    <s v="TCK-13303"/>
    <s v="2024-06-08 02:39:33"/>
    <s v="2024-06-08 19:57:15"/>
    <s v="P3"/>
    <x v="3"/>
    <s v="Billing Operations"/>
    <s v="Pam Beesly"/>
    <s v="Closed"/>
    <n v="4"/>
    <n v="24"/>
    <n v="17.3"/>
    <n v="1"/>
  </r>
  <r>
    <s v="TCK-13304"/>
    <s v="2024-11-10 01:30:22"/>
    <s v="2024-11-10 19:37:07"/>
    <s v="P3"/>
    <x v="0"/>
    <s v="Billing Operations"/>
    <s v="Jim Halpert"/>
    <s v="Closed"/>
    <n v="5"/>
    <n v="24"/>
    <n v="18.11"/>
    <n v="1"/>
  </r>
  <r>
    <s v="TCK-13305"/>
    <s v="2024-05-09 03:56:07"/>
    <s v="2024-05-09 19:50:55"/>
    <s v="P3"/>
    <x v="3"/>
    <s v="Billing Operations"/>
    <s v="John Doe"/>
    <s v="Resolved"/>
    <n v="5"/>
    <n v="24"/>
    <n v="15.91"/>
    <n v="1"/>
  </r>
  <r>
    <s v="TCK-13306"/>
    <s v="2024-12-05 05:34:19"/>
    <s v="2024-12-06 17:32:26"/>
    <s v="P4"/>
    <x v="2"/>
    <s v="L2 Support"/>
    <s v="Priya Nair"/>
    <s v="Resolved"/>
    <n v="5"/>
    <n v="48"/>
    <n v="35.97"/>
    <n v="1"/>
  </r>
  <r>
    <s v="TCK-13307"/>
    <s v="2024-03-01 05:49:47"/>
    <s v="2024-04-04 13:49:47"/>
    <s v="P2"/>
    <x v="2"/>
    <s v="Application Support"/>
    <s v="Ravi Patel"/>
    <s v="Resolved"/>
    <n v="5"/>
    <n v="8"/>
    <n v="824"/>
    <n v="0"/>
  </r>
  <r>
    <s v="TCK-13308"/>
    <s v="2024-11-19 08:58:01"/>
    <s v="2024-11-20 23:12:09"/>
    <s v="P3"/>
    <x v="4"/>
    <s v="Application Support"/>
    <s v="Ravi Patel"/>
    <s v="Resolved"/>
    <n v="3"/>
    <n v="24"/>
    <n v="38.24"/>
    <n v="0"/>
  </r>
  <r>
    <s v="TCK-13309"/>
    <s v="2024-03-26 07:27:54"/>
    <s v="2024-03-26 16:41:36"/>
    <s v="P3"/>
    <x v="2"/>
    <s v="Infrastructure"/>
    <s v="Anita Sharma"/>
    <s v="Resolved"/>
    <n v="3"/>
    <n v="24"/>
    <n v="9.23"/>
    <n v="1"/>
  </r>
  <r>
    <s v="TCK-13310"/>
    <s v="2024-05-19 03:20:30"/>
    <s v="2024-05-19 20:12:27"/>
    <s v="P3"/>
    <x v="1"/>
    <s v="Application Support"/>
    <s v="Pam Beesly"/>
    <s v="Closed"/>
    <n v="5"/>
    <n v="24"/>
    <n v="16.87"/>
    <n v="1"/>
  </r>
  <r>
    <s v="TCK-13311"/>
    <s v="2024-03-02 22:38:19"/>
    <s v="2024-03-03 14:43:01"/>
    <s v="P4"/>
    <x v="0"/>
    <s v="Application Support"/>
    <s v="Michael Scott"/>
    <s v="Resolved"/>
    <n v="5"/>
    <n v="48"/>
    <n v="16.079999999999998"/>
    <n v="1"/>
  </r>
  <r>
    <s v="TCK-13312"/>
    <s v="2024-01-26 07:58:19"/>
    <s v="2024-01-27 16:29:44"/>
    <s v="P3"/>
    <x v="2"/>
    <s v="Billing Operations"/>
    <s v="Jim Halpert"/>
    <s v="Closed"/>
    <n v="2"/>
    <n v="24"/>
    <n v="32.520000000000003"/>
    <n v="0"/>
  </r>
  <r>
    <s v="TCK-13313"/>
    <s v="2024-10-22 17:25:35"/>
    <s v="2024-10-22 20:30:07"/>
    <s v="P2"/>
    <x v="0"/>
    <s v="L1 Support"/>
    <s v="Anita Sharma"/>
    <s v="Closed"/>
    <n v="4"/>
    <n v="8"/>
    <n v="3.08"/>
    <n v="1"/>
  </r>
  <r>
    <s v="TCK-13314"/>
    <s v="2024-06-07 02:36:35"/>
    <s v="2024-06-09 08:25:19"/>
    <s v="P3"/>
    <x v="2"/>
    <s v="Infrastructure"/>
    <s v="Carlos Mendez"/>
    <s v="Resolved"/>
    <n v="2"/>
    <n v="24"/>
    <n v="53.81"/>
    <n v="0"/>
  </r>
  <r>
    <s v="TCK-13315"/>
    <s v="2024-08-20 21:42:10"/>
    <s v="2024-08-21 15:07:31"/>
    <s v="P3"/>
    <x v="4"/>
    <s v="L1 Support"/>
    <s v="Alex Mercer"/>
    <s v="Closed"/>
    <n v="5"/>
    <n v="24"/>
    <n v="17.420000000000002"/>
    <n v="1"/>
  </r>
  <r>
    <s v="TCK-13316"/>
    <s v="2024-01-25 00:47:57"/>
    <s v="2024-01-26 05:05:02"/>
    <s v="P4"/>
    <x v="2"/>
    <s v="L2 Support"/>
    <s v="Alex Mercer"/>
    <s v="Resolved"/>
    <n v="5"/>
    <n v="48"/>
    <n v="28.28"/>
    <n v="1"/>
  </r>
  <r>
    <s v="TCK-13317"/>
    <s v="2024-03-01 14:53:01"/>
    <s v="2024-03-01 20:45:01"/>
    <s v="P2"/>
    <x v="2"/>
    <s v="L2 Support"/>
    <s v="Ravi Patel"/>
    <s v="Resolved"/>
    <n v="4"/>
    <n v="8"/>
    <n v="5.87"/>
    <n v="1"/>
  </r>
  <r>
    <s v="TCK-13318"/>
    <s v="2024-09-14 17:54:58"/>
    <s v="2024-09-15 11:56:54"/>
    <s v="P3"/>
    <x v="2"/>
    <s v="Application Support"/>
    <s v="Ravi Patel"/>
    <s v="Resolved"/>
    <n v="4"/>
    <n v="24"/>
    <n v="18.03"/>
    <n v="1"/>
  </r>
  <r>
    <s v="TCK-13319"/>
    <s v="2024-09-26 22:01:12"/>
    <s v="2024-09-26 23:05:17"/>
    <s v="P1"/>
    <x v="1"/>
    <s v="Billing Operations"/>
    <s v="Alex Mercer"/>
    <s v="Resolved"/>
    <n v="4"/>
    <n v="4"/>
    <n v="1.07"/>
    <n v="1"/>
  </r>
  <r>
    <s v="TCK-13320"/>
    <s v="2024-01-03 06:40:42"/>
    <s v="2024-01-03 10:04:27"/>
    <s v="P1"/>
    <x v="0"/>
    <s v="L2 Support"/>
    <s v="Dwight Schrute"/>
    <s v="Closed"/>
    <n v="4"/>
    <n v="4"/>
    <n v="3.4"/>
    <n v="1"/>
  </r>
  <r>
    <s v="TCK-13321"/>
    <s v="2024-10-17 09:20:26"/>
    <s v="2024-10-19 02:41:20"/>
    <s v="P3"/>
    <x v="4"/>
    <s v="Infrastructure"/>
    <s v="Michael Scott"/>
    <s v="Resolved"/>
    <n v="2"/>
    <n v="24"/>
    <n v="41.35"/>
    <n v="0"/>
  </r>
  <r>
    <s v="TCK-13322"/>
    <s v="2024-12-12 22:40:04"/>
    <s v="2024-12-15 14:27:48"/>
    <s v="P3"/>
    <x v="2"/>
    <s v="Application Support"/>
    <s v="Dwight Schrute"/>
    <s v="Closed"/>
    <n v="2"/>
    <n v="24"/>
    <n v="63.8"/>
    <n v="0"/>
  </r>
  <r>
    <s v="TCK-13323"/>
    <s v="2024-09-29 09:16:27"/>
    <s v="2024-09-30 06:58:27"/>
    <s v="P2"/>
    <x v="1"/>
    <s v="Infrastructure"/>
    <s v="Priya Nair"/>
    <s v="Resolved"/>
    <n v="1"/>
    <n v="8"/>
    <n v="21.7"/>
    <n v="0"/>
  </r>
  <r>
    <s v="TCK-13324"/>
    <s v="2024-08-11 00:20:27"/>
    <s v="2024-08-11 07:43:45"/>
    <s v="P1"/>
    <x v="3"/>
    <s v="L2 Support"/>
    <s v="Priya Nair"/>
    <s v="Resolved"/>
    <n v="3"/>
    <n v="4"/>
    <n v="7.39"/>
    <n v="0"/>
  </r>
  <r>
    <s v="TCK-13325"/>
    <s v="2024-12-25 18:09:42"/>
    <s v="2024-12-28 12:31:16"/>
    <s v="P3"/>
    <x v="0"/>
    <s v="Infrastructure"/>
    <s v="Priya Nair"/>
    <s v="Resolved"/>
    <n v="4"/>
    <n v="24"/>
    <n v="66.36"/>
    <n v="0"/>
  </r>
  <r>
    <s v="TCK-13326"/>
    <s v="2024-05-04 23:46:19"/>
    <s v="2024-05-05 12:18:48"/>
    <s v="P3"/>
    <x v="0"/>
    <s v="L2 Support"/>
    <s v="Ravi Patel"/>
    <s v="Resolved"/>
    <n v="4"/>
    <n v="24"/>
    <n v="12.54"/>
    <n v="1"/>
  </r>
  <r>
    <s v="TCK-13327"/>
    <s v="2024-05-04 14:51:17"/>
    <s v="2024-05-05 12:28:46"/>
    <s v="P3"/>
    <x v="1"/>
    <s v="L2 Support"/>
    <s v="Jim Halpert"/>
    <s v="Resolved"/>
    <n v="4"/>
    <n v="24"/>
    <n v="21.62"/>
    <n v="1"/>
  </r>
  <r>
    <s v="TCK-13328"/>
    <s v="2024-07-04 20:25:00"/>
    <s v="2024-07-05 15:47:36"/>
    <s v="P3"/>
    <x v="2"/>
    <s v="Application Support"/>
    <s v="Alex Mercer"/>
    <s v="Resolved"/>
    <n v="5"/>
    <n v="24"/>
    <n v="19.38"/>
    <n v="1"/>
  </r>
  <r>
    <s v="TCK-13329"/>
    <s v="2024-11-18 17:25:42"/>
    <s v="2024-11-18 21:39:41"/>
    <s v="P2"/>
    <x v="3"/>
    <s v="Billing Operations"/>
    <s v="Priya Nair"/>
    <s v="Closed"/>
    <n v="4"/>
    <n v="8"/>
    <n v="4.2300000000000004"/>
    <n v="1"/>
  </r>
  <r>
    <s v="TCK-13330"/>
    <s v="2024-05-25 19:56:16"/>
    <s v="2024-05-26 14:15:54"/>
    <s v="P3"/>
    <x v="1"/>
    <s v="Infrastructure"/>
    <s v="Michael Scott"/>
    <s v="Resolved"/>
    <n v="4"/>
    <n v="24"/>
    <n v="18.329999999999998"/>
    <n v="1"/>
  </r>
  <r>
    <s v="TCK-13331"/>
    <s v="2024-09-18 09:12:43"/>
    <s v="2024-09-18 15:10:46"/>
    <s v="P2"/>
    <x v="4"/>
    <s v="Billing Operations"/>
    <s v="Ravi Patel"/>
    <s v="Resolved"/>
    <n v="5"/>
    <n v="8"/>
    <n v="5.97"/>
    <n v="1"/>
  </r>
  <r>
    <s v="TCK-13332"/>
    <s v="2024-09-07 11:22:47"/>
    <s v="2024-09-07 17:29:04"/>
    <s v="P2"/>
    <x v="3"/>
    <s v="Infrastructure"/>
    <s v="Dwight Schrute"/>
    <s v="Resolved"/>
    <n v="5"/>
    <n v="8"/>
    <n v="6.1"/>
    <n v="1"/>
  </r>
  <r>
    <s v="TCK-13333"/>
    <s v="2024-01-15 14:04:21"/>
    <s v="2024-01-16 06:55:23"/>
    <s v="P3"/>
    <x v="2"/>
    <s v="Infrastructure"/>
    <s v="Priya Nair"/>
    <s v="Closed"/>
    <n v="5"/>
    <n v="24"/>
    <n v="16.850000000000001"/>
    <n v="1"/>
  </r>
  <r>
    <s v="TCK-13334"/>
    <s v="2024-04-29 03:21:31"/>
    <s v="2024-04-29 10:00:19"/>
    <s v="P2"/>
    <x v="0"/>
    <s v="Billing Operations"/>
    <s v="Dwight Schrute"/>
    <s v="Closed"/>
    <n v="5"/>
    <n v="8"/>
    <n v="6.65"/>
    <n v="1"/>
  </r>
  <r>
    <s v="TCK-13335"/>
    <s v="2024-03-09 04:31:15"/>
    <s v="2024-03-11 11:57:12"/>
    <s v="P4"/>
    <x v="0"/>
    <s v="Billing Operations"/>
    <s v="Michael Scott"/>
    <s v="Closed"/>
    <n v="2"/>
    <n v="48"/>
    <n v="55.43"/>
    <n v="0"/>
  </r>
  <r>
    <s v="TCK-13336"/>
    <s v="2024-09-26 19:55:47"/>
    <s v="2024-09-26 21:34:46"/>
    <s v="P2"/>
    <x v="0"/>
    <s v="Infrastructure"/>
    <s v="Emily Watson"/>
    <s v="Resolved"/>
    <n v="3"/>
    <n v="8"/>
    <n v="1.65"/>
    <n v="1"/>
  </r>
  <r>
    <s v="TCK-13337"/>
    <s v="2024-01-19 20:57:24"/>
    <s v="2024-01-19 23:42:47"/>
    <s v="P2"/>
    <x v="4"/>
    <s v="Infrastructure"/>
    <s v="Dwight Schrute"/>
    <s v="Resolved"/>
    <n v="5"/>
    <n v="8"/>
    <n v="2.76"/>
    <n v="1"/>
  </r>
  <r>
    <s v="TCK-13338"/>
    <s v="2024-04-03 16:36:54"/>
    <m/>
    <s v="P3"/>
    <x v="0"/>
    <s v="Infrastructure"/>
    <s v="Priya Nair"/>
    <s v="Open"/>
    <m/>
    <n v="24"/>
    <m/>
    <m/>
  </r>
  <r>
    <s v="TCK-13339"/>
    <s v="2024-07-13 16:49:33"/>
    <s v="2024-07-14 11:06:51"/>
    <s v="P2"/>
    <x v="2"/>
    <s v="L2 Support"/>
    <s v="Pam Beesly"/>
    <s v="Resolved"/>
    <n v="2"/>
    <n v="8"/>
    <n v="18.29"/>
    <n v="0"/>
  </r>
  <r>
    <s v="TCK-13340"/>
    <s v="2024-06-02 03:45:34"/>
    <s v="2024-06-02 09:15:11"/>
    <s v="P3"/>
    <x v="0"/>
    <s v="Infrastructure"/>
    <s v="Dwight Schrute"/>
    <s v="Resolved"/>
    <n v="5"/>
    <n v="24"/>
    <n v="5.49"/>
    <n v="1"/>
  </r>
  <r>
    <s v="TCK-13341"/>
    <s v="2024-07-27 15:40:21"/>
    <s v="2024-07-28 05:56:48"/>
    <s v="P3"/>
    <x v="0"/>
    <s v="Billing Operations"/>
    <s v="Alex Mercer"/>
    <s v="Closed"/>
    <n v="5"/>
    <n v="24"/>
    <n v="14.27"/>
    <n v="1"/>
  </r>
  <r>
    <s v="TCK-13342"/>
    <s v="2024-05-13 22:24:34"/>
    <m/>
    <s v="P3"/>
    <x v="3"/>
    <s v="Application Support"/>
    <s v="Pam Beesly"/>
    <s v="Open"/>
    <m/>
    <n v="24"/>
    <m/>
    <m/>
  </r>
  <r>
    <s v="TCK-13343"/>
    <s v="2024-02-08 06:49:34"/>
    <s v="2024-02-08 22:17:15"/>
    <s v="P3"/>
    <x v="2"/>
    <s v="L2 Support"/>
    <s v="Ravi Patel"/>
    <s v="Closed"/>
    <n v="5"/>
    <n v="24"/>
    <n v="15.46"/>
    <n v="1"/>
  </r>
  <r>
    <s v="TCK-13344"/>
    <s v="2024-06-08 18:33:11"/>
    <s v="2024-06-08 20:02:42"/>
    <s v="P2"/>
    <x v="2"/>
    <s v="Infrastructure"/>
    <s v="Dwight Schrute"/>
    <s v="Resolved"/>
    <n v="4"/>
    <n v="8"/>
    <n v="1.49"/>
    <n v="1"/>
  </r>
  <r>
    <s v="TCK-13345"/>
    <s v="2024-08-18 14:15:24"/>
    <s v="2024-08-19 19:07:23"/>
    <s v="P4"/>
    <x v="2"/>
    <s v="L1 Support"/>
    <s v="Michael Scott"/>
    <s v="Closed"/>
    <n v="5"/>
    <n v="48"/>
    <n v="28.87"/>
    <n v="1"/>
  </r>
  <r>
    <s v="TCK-13346"/>
    <s v="2024-11-09 14:24:05"/>
    <s v="2024-11-10 18:32:06"/>
    <s v="P4"/>
    <x v="2"/>
    <s v="Infrastructure"/>
    <s v="Sarah Connor"/>
    <s v="Closed"/>
    <n v="5"/>
    <n v="48"/>
    <n v="28.13"/>
    <n v="1"/>
  </r>
  <r>
    <s v="TCK-13347"/>
    <s v="2024-07-20 13:59:18"/>
    <s v="2024-07-20 18:53:26"/>
    <s v="P3"/>
    <x v="2"/>
    <s v="Infrastructure"/>
    <s v="Pam Beesly"/>
    <s v="Closed"/>
    <n v="3"/>
    <n v="24"/>
    <n v="4.9000000000000004"/>
    <n v="1"/>
  </r>
  <r>
    <s v="TCK-13348"/>
    <s v="2024-08-24 15:28:25"/>
    <s v="2024-08-25 23:09:46"/>
    <s v="P4"/>
    <x v="1"/>
    <s v="L1 Support"/>
    <s v="Dwight Schrute"/>
    <s v="Resolved"/>
    <n v="3"/>
    <n v="48"/>
    <n v="31.69"/>
    <n v="1"/>
  </r>
  <r>
    <s v="TCK-13349"/>
    <s v="2024-02-11 01:22:03"/>
    <s v="2024-02-11 15:29:23"/>
    <s v="P3"/>
    <x v="1"/>
    <s v="Application Support"/>
    <s v="Dwight Schrute"/>
    <s v="Closed"/>
    <n v="4"/>
    <n v="24"/>
    <n v="14.12"/>
    <n v="1"/>
  </r>
  <r>
    <s v="TCK-13350"/>
    <s v="2024-06-17 06:58:11"/>
    <s v="2024-06-18 03:48:30"/>
    <s v="P3"/>
    <x v="1"/>
    <s v="Billing Operations"/>
    <s v="Pam Beesly"/>
    <s v="Resolved"/>
    <n v="4"/>
    <n v="24"/>
    <n v="20.84"/>
    <n v="1"/>
  </r>
  <r>
    <s v="TCK-13351"/>
    <s v="2024-10-18 07:37:11"/>
    <s v="2024-10-18 21:57:41"/>
    <s v="P3"/>
    <x v="3"/>
    <s v="L2 Support"/>
    <s v="Carlos Mendez"/>
    <s v="Resolved"/>
    <n v="4"/>
    <n v="24"/>
    <n v="14.34"/>
    <n v="1"/>
  </r>
  <r>
    <s v="TCK-13352"/>
    <s v="2024-09-20 04:45:15"/>
    <m/>
    <s v="P2"/>
    <x v="4"/>
    <s v="Application Support"/>
    <s v="Dwight Schrute"/>
    <s v="Escalated"/>
    <m/>
    <n v="8"/>
    <m/>
    <m/>
  </r>
  <r>
    <s v="TCK-13353"/>
    <s v="2024-05-23 06:08:34"/>
    <s v="2024-05-24 05:29:04"/>
    <s v="P4"/>
    <x v="0"/>
    <s v="Billing Operations"/>
    <s v="Anita Sharma"/>
    <s v="Resolved"/>
    <n v="4"/>
    <n v="48"/>
    <n v="23.34"/>
    <n v="1"/>
  </r>
  <r>
    <s v="TCK-13354"/>
    <s v="2024-07-28 09:36:26"/>
    <m/>
    <s v="P2"/>
    <x v="0"/>
    <s v="L2 Support"/>
    <s v="Emily Watson"/>
    <s v="Open"/>
    <m/>
    <n v="8"/>
    <m/>
    <m/>
  </r>
  <r>
    <s v="TCK-13355"/>
    <s v="2024-01-30 05:33:27"/>
    <s v="2024-01-30 12:59:29"/>
    <s v="P2"/>
    <x v="1"/>
    <s v="Application Support"/>
    <s v="Michael Scott"/>
    <s v="Resolved"/>
    <n v="4"/>
    <n v="8"/>
    <n v="7.43"/>
    <n v="1"/>
  </r>
  <r>
    <s v="TCK-13356"/>
    <s v="2024-06-06 16:37:52"/>
    <s v="2024-06-07 14:19:27"/>
    <s v="P4"/>
    <x v="4"/>
    <s v="Infrastructure"/>
    <s v="Dwight Schrute"/>
    <s v="Closed"/>
    <n v="5"/>
    <n v="48"/>
    <n v="21.69"/>
    <n v="1"/>
  </r>
  <r>
    <s v="TCK-13357"/>
    <s v="2024-12-09 19:34:06"/>
    <s v="2024-12-09 23:16:40"/>
    <s v="P1"/>
    <x v="3"/>
    <s v="Billing Operations"/>
    <s v="Alex Mercer"/>
    <s v="Resolved"/>
    <n v="5"/>
    <n v="4"/>
    <n v="3.71"/>
    <n v="1"/>
  </r>
  <r>
    <s v="TCK-13358"/>
    <s v="2024-09-15 06:43:42"/>
    <s v="2024-09-15 08:22:06"/>
    <s v="P1"/>
    <x v="2"/>
    <s v="L2 Support"/>
    <s v="Pam Beesly"/>
    <s v="Closed"/>
    <n v="5"/>
    <n v="4"/>
    <n v="1.64"/>
    <n v="1"/>
  </r>
  <r>
    <s v="TCK-13359"/>
    <s v="2024-05-31 17:29:48"/>
    <m/>
    <s v="P4"/>
    <x v="2"/>
    <s v="Infrastructure"/>
    <s v="John Doe"/>
    <s v="Open"/>
    <m/>
    <n v="48"/>
    <m/>
    <m/>
  </r>
  <r>
    <s v="TCK-13360"/>
    <s v="2024-09-17 07:09:09"/>
    <m/>
    <s v="P3"/>
    <x v="0"/>
    <s v="Application Support"/>
    <s v="Anita Sharma"/>
    <s v="Open"/>
    <m/>
    <n v="24"/>
    <m/>
    <m/>
  </r>
  <r>
    <s v="TCK-13361"/>
    <s v="2024-10-02 02:46:09"/>
    <s v="2024-10-03 08:49:18"/>
    <s v="P3"/>
    <x v="1"/>
    <s v="Billing Operations"/>
    <s v="Ravi Patel"/>
    <s v="Resolved"/>
    <n v="3"/>
    <n v="24"/>
    <n v="30.05"/>
    <n v="0"/>
  </r>
  <r>
    <s v="TCK-13362"/>
    <s v="2024-09-18 09:32:11"/>
    <s v="2024-09-18 12:31:40"/>
    <s v="P2"/>
    <x v="1"/>
    <s v="L2 Support"/>
    <s v="Sarah Connor"/>
    <s v="Resolved"/>
    <n v="4"/>
    <n v="8"/>
    <n v="2.99"/>
    <n v="1"/>
  </r>
  <r>
    <s v="TCK-13363"/>
    <s v="2024-05-26 23:35:15"/>
    <s v="2024-05-27 00:29:11"/>
    <s v="P1"/>
    <x v="1"/>
    <s v="Application Support"/>
    <s v="Carlos Mendez"/>
    <s v="Resolved"/>
    <n v="4"/>
    <n v="4"/>
    <n v="0.9"/>
    <n v="1"/>
  </r>
  <r>
    <s v="TCK-13364"/>
    <s v="2024-08-28 14:40:02"/>
    <m/>
    <s v="P4"/>
    <x v="2"/>
    <s v="Infrastructure"/>
    <s v="Dwight Schrute"/>
    <s v="Escalated"/>
    <m/>
    <n v="48"/>
    <m/>
    <m/>
  </r>
  <r>
    <s v="TCK-13365"/>
    <s v="2024-09-01 16:21:15"/>
    <s v="2024-09-02 11:27:40"/>
    <s v="P3"/>
    <x v="2"/>
    <s v="Infrastructure"/>
    <s v="Priya Nair"/>
    <s v="Resolved"/>
    <n v="4"/>
    <n v="24"/>
    <n v="19.11"/>
    <n v="1"/>
  </r>
  <r>
    <s v="TCK-13366"/>
    <s v="2024-12-25 09:17:04"/>
    <s v="2024-12-25 16:09:24"/>
    <s v="P1"/>
    <x v="2"/>
    <s v="Billing Operations"/>
    <s v="Carlos Mendez"/>
    <s v="Closed"/>
    <n v="1"/>
    <n v="4"/>
    <n v="6.87"/>
    <n v="0"/>
  </r>
  <r>
    <s v="TCK-13367"/>
    <s v="2024-12-24 03:45:25"/>
    <s v="2024-12-24 17:25:49"/>
    <s v="P3"/>
    <x v="2"/>
    <s v="L1 Support"/>
    <s v="Carlos Mendez"/>
    <s v="Resolved"/>
    <n v="5"/>
    <n v="24"/>
    <n v="13.67"/>
    <n v="1"/>
  </r>
  <r>
    <s v="TCK-13368"/>
    <s v="2024-07-28 23:59:58"/>
    <s v="2024-07-29 01:28:39"/>
    <s v="P2"/>
    <x v="3"/>
    <s v="Application Support"/>
    <s v="Priya Nair"/>
    <s v="Resolved"/>
    <n v="5"/>
    <n v="8"/>
    <n v="1.48"/>
    <n v="1"/>
  </r>
  <r>
    <s v="TCK-13369"/>
    <s v="2024-04-18 20:44:25"/>
    <s v="2024-04-20 16:08:30"/>
    <s v="P4"/>
    <x v="4"/>
    <s v="Infrastructure"/>
    <s v="Jim Halpert"/>
    <s v="Closed"/>
    <n v="4"/>
    <n v="48"/>
    <n v="43.4"/>
    <n v="1"/>
  </r>
  <r>
    <s v="TCK-13370"/>
    <s v="2024-07-22 03:30:48"/>
    <s v="2024-07-22 07:19:30"/>
    <s v="P2"/>
    <x v="2"/>
    <s v="Infrastructure"/>
    <s v="Alex Mercer"/>
    <s v="Closed"/>
    <n v="5"/>
    <n v="8"/>
    <n v="3.81"/>
    <n v="1"/>
  </r>
  <r>
    <s v="TCK-13371"/>
    <s v="2024-12-20 07:02:02"/>
    <s v="2024-12-20 15:22:18"/>
    <s v="P3"/>
    <x v="1"/>
    <s v="Billing Operations"/>
    <s v="Dwight Schrute"/>
    <s v="Closed"/>
    <n v="5"/>
    <n v="24"/>
    <n v="8.34"/>
    <n v="1"/>
  </r>
  <r>
    <s v="TCK-13372"/>
    <s v="2024-01-19 06:42:26"/>
    <s v="2024-01-20 04:55:20"/>
    <s v="P3"/>
    <x v="1"/>
    <s v="Application Support"/>
    <s v="Carlos Mendez"/>
    <s v="Closed"/>
    <n v="4"/>
    <n v="24"/>
    <n v="22.22"/>
    <n v="1"/>
  </r>
  <r>
    <s v="TCK-13373"/>
    <s v="2024-06-29 22:24:48"/>
    <s v="2024-06-30 14:52:11"/>
    <s v="P3"/>
    <x v="0"/>
    <s v="Infrastructure"/>
    <s v="Alex Mercer"/>
    <s v="Resolved"/>
    <n v="3"/>
    <n v="24"/>
    <n v="16.46"/>
    <n v="1"/>
  </r>
  <r>
    <s v="TCK-13374"/>
    <s v="2024-06-10 21:44:11"/>
    <s v="2024-06-11 02:02:46"/>
    <s v="P2"/>
    <x v="1"/>
    <s v="L2 Support"/>
    <s v="Alex Mercer"/>
    <s v="Resolved"/>
    <n v="5"/>
    <n v="8"/>
    <n v="4.3099999999999996"/>
    <n v="1"/>
  </r>
  <r>
    <s v="TCK-13375"/>
    <s v="2024-09-12 09:32:47"/>
    <s v="2024-09-13 04:25:06"/>
    <s v="P2"/>
    <x v="2"/>
    <s v="Billing Operations"/>
    <s v="Emily Watson"/>
    <s v="Resolved"/>
    <n v="2"/>
    <n v="8"/>
    <n v="18.87"/>
    <n v="0"/>
  </r>
  <r>
    <s v="TCK-13376"/>
    <s v="2024-04-25 19:43:02"/>
    <s v="2024-04-26 10:07:45"/>
    <s v="P3"/>
    <x v="0"/>
    <s v="Infrastructure"/>
    <s v="Anita Sharma"/>
    <s v="Resolved"/>
    <n v="3"/>
    <n v="24"/>
    <n v="14.41"/>
    <n v="1"/>
  </r>
  <r>
    <s v="TCK-13377"/>
    <s v="2024-01-15 16:54:40"/>
    <s v="2024-01-15 23:54:38"/>
    <s v="P2"/>
    <x v="4"/>
    <s v="L2 Support"/>
    <s v="Anita Sharma"/>
    <s v="Closed"/>
    <n v="5"/>
    <n v="8"/>
    <n v="7"/>
    <n v="1"/>
  </r>
  <r>
    <s v="TCK-13378"/>
    <s v="2024-08-09 08:39:22"/>
    <s v="2024-08-09 10:11:58"/>
    <s v="P1"/>
    <x v="3"/>
    <s v="Application Support"/>
    <s v="Carlos Mendez"/>
    <s v="Resolved"/>
    <n v="5"/>
    <n v="4"/>
    <n v="1.54"/>
    <n v="1"/>
  </r>
  <r>
    <s v="TCK-13379"/>
    <s v="2024-02-14 19:08:56"/>
    <s v="2024-02-15 05:10:25"/>
    <s v="P3"/>
    <x v="3"/>
    <s v="L1 Support"/>
    <s v="Sarah Connor"/>
    <s v="Closed"/>
    <n v="5"/>
    <n v="24"/>
    <n v="10.02"/>
    <n v="1"/>
  </r>
  <r>
    <s v="TCK-13380"/>
    <s v="2024-03-14 06:41:08"/>
    <s v="2024-03-14 14:44:30"/>
    <s v="P3"/>
    <x v="2"/>
    <s v="Billing Operations"/>
    <s v="Jim Halpert"/>
    <s v="Resolved"/>
    <n v="4"/>
    <n v="24"/>
    <n v="8.06"/>
    <n v="1"/>
  </r>
  <r>
    <s v="TCK-13381"/>
    <s v="2024-05-09 07:31:31"/>
    <m/>
    <s v="P4"/>
    <x v="1"/>
    <s v="L2 Support"/>
    <s v="Carlos Mendez"/>
    <s v="Open"/>
    <m/>
    <n v="48"/>
    <m/>
    <m/>
  </r>
  <r>
    <s v="TCK-13382"/>
    <s v="2024-10-10 07:16:54"/>
    <s v="2024-10-10 08:51:02"/>
    <s v="P2"/>
    <x v="0"/>
    <s v="L2 Support"/>
    <s v="Jim Halpert"/>
    <s v="Closed"/>
    <n v="5"/>
    <n v="8"/>
    <n v="1.57"/>
    <n v="1"/>
  </r>
  <r>
    <s v="TCK-13383"/>
    <s v="2024-12-27 04:58:44"/>
    <s v="2024-12-27 07:35:32"/>
    <s v="P3"/>
    <x v="3"/>
    <s v="Billing Operations"/>
    <s v="Dwight Schrute"/>
    <s v="Resolved"/>
    <n v="5"/>
    <n v="24"/>
    <n v="2.61"/>
    <n v="1"/>
  </r>
  <r>
    <s v="TCK-13384"/>
    <s v="2024-12-26 18:06:47"/>
    <s v="2024-12-27 02:35:35"/>
    <s v="P3"/>
    <x v="1"/>
    <s v="Infrastructure"/>
    <s v="Ravi Patel"/>
    <s v="Resolved"/>
    <n v="5"/>
    <n v="24"/>
    <n v="8.48"/>
    <n v="1"/>
  </r>
  <r>
    <s v="TCK-13385"/>
    <s v="2024-08-29 17:20:12"/>
    <s v="2024-08-30 13:06:10"/>
    <s v="P3"/>
    <x v="1"/>
    <s v="Infrastructure"/>
    <s v="Dwight Schrute"/>
    <s v="Resolved"/>
    <n v="4"/>
    <n v="24"/>
    <n v="19.77"/>
    <n v="1"/>
  </r>
  <r>
    <s v="TCK-13386"/>
    <s v="2024-05-11 15:03:31"/>
    <s v="2024-05-13 07:36:09"/>
    <s v="P4"/>
    <x v="2"/>
    <s v="L2 Support"/>
    <s v="Priya Nair"/>
    <s v="Closed"/>
    <n v="5"/>
    <n v="48"/>
    <n v="40.54"/>
    <n v="1"/>
  </r>
  <r>
    <s v="TCK-13387"/>
    <s v="2024-04-28 11:53:30"/>
    <m/>
    <s v="P1"/>
    <x v="0"/>
    <s v="L1 Support"/>
    <s v="John Doe"/>
    <s v="Open"/>
    <m/>
    <n v="4"/>
    <m/>
    <m/>
  </r>
  <r>
    <s v="TCK-13388"/>
    <s v="2024-04-05 07:18:37"/>
    <m/>
    <s v="P2"/>
    <x v="3"/>
    <s v="Infrastructure"/>
    <s v="Ravi Patel"/>
    <s v="Open"/>
    <m/>
    <n v="8"/>
    <m/>
    <m/>
  </r>
  <r>
    <s v="TCK-13389"/>
    <s v="2024-08-14 17:05:02"/>
    <s v="2024-08-15 07:46:58"/>
    <s v="P3"/>
    <x v="3"/>
    <s v="L1 Support"/>
    <s v="Emily Watson"/>
    <s v="Resolved"/>
    <n v="3"/>
    <n v="24"/>
    <n v="14.7"/>
    <n v="1"/>
  </r>
  <r>
    <s v="TCK-13390"/>
    <s v="2024-12-27 02:24:51"/>
    <s v="2024-12-27 14:01:58"/>
    <s v="P3"/>
    <x v="0"/>
    <s v="L1 Support"/>
    <s v="Emily Watson"/>
    <s v="Resolved"/>
    <n v="3"/>
    <n v="24"/>
    <n v="11.62"/>
    <n v="1"/>
  </r>
  <r>
    <s v="TCK-13391"/>
    <s v="2024-08-10 21:57:12"/>
    <s v="2024-08-11 10:18:21"/>
    <s v="P2"/>
    <x v="1"/>
    <s v="Application Support"/>
    <s v="Alex Mercer"/>
    <s v="Resolved"/>
    <n v="3"/>
    <n v="8"/>
    <n v="12.35"/>
    <n v="0"/>
  </r>
  <r>
    <s v="TCK-13392"/>
    <s v="2024-10-22 18:51:16"/>
    <s v="2024-10-23 02:32:07"/>
    <s v="P3"/>
    <x v="3"/>
    <s v="Infrastructure"/>
    <s v="Emily Watson"/>
    <s v="Resolved"/>
    <n v="5"/>
    <n v="24"/>
    <n v="7.68"/>
    <n v="1"/>
  </r>
  <r>
    <s v="TCK-13393"/>
    <s v="2024-06-25 11:21:02"/>
    <s v="2024-06-25 21:39:40"/>
    <s v="P3"/>
    <x v="2"/>
    <s v="Application Support"/>
    <s v="Carlos Mendez"/>
    <s v="Resolved"/>
    <n v="4"/>
    <n v="24"/>
    <n v="10.31"/>
    <n v="1"/>
  </r>
  <r>
    <s v="TCK-13394"/>
    <s v="2024-05-06 09:28:01"/>
    <s v="2024-05-08 00:37:19"/>
    <s v="P4"/>
    <x v="3"/>
    <s v="Billing Operations"/>
    <s v="Priya Nair"/>
    <s v="Resolved"/>
    <n v="5"/>
    <n v="48"/>
    <n v="39.159999999999997"/>
    <n v="1"/>
  </r>
  <r>
    <s v="TCK-13395"/>
    <s v="2024-09-05 12:24:12"/>
    <s v="2024-09-06 06:56:41"/>
    <s v="P3"/>
    <x v="0"/>
    <s v="L1 Support"/>
    <s v="Emily Watson"/>
    <s v="Resolved"/>
    <n v="5"/>
    <n v="24"/>
    <n v="18.54"/>
    <n v="1"/>
  </r>
  <r>
    <s v="TCK-13396"/>
    <s v="2024-10-07 22:46:08"/>
    <m/>
    <s v="P3"/>
    <x v="2"/>
    <s v="Application Support"/>
    <s v="Michael Scott"/>
    <s v="Escalated"/>
    <m/>
    <n v="24"/>
    <m/>
    <m/>
  </r>
  <r>
    <s v="TCK-13397"/>
    <s v="2024-05-12 11:41:38"/>
    <s v="2024-05-13 05:14:44"/>
    <s v="P2"/>
    <x v="1"/>
    <s v="Billing Operations"/>
    <s v="Michael Scott"/>
    <s v="Closed"/>
    <n v="3"/>
    <n v="8"/>
    <n v="17.55"/>
    <n v="0"/>
  </r>
  <r>
    <s v="TCK-13398"/>
    <s v="2024-06-19 17:48:39"/>
    <s v="2024-06-19 20:36:33"/>
    <s v="P3"/>
    <x v="2"/>
    <s v="L1 Support"/>
    <s v="Ravi Patel"/>
    <s v="Resolved"/>
    <n v="4"/>
    <n v="24"/>
    <n v="2.8"/>
    <n v="1"/>
  </r>
  <r>
    <s v="TCK-13399"/>
    <s v="2024-04-22 18:25:46"/>
    <s v="2024-04-22 23:10:17"/>
    <s v="P2"/>
    <x v="1"/>
    <s v="Billing Operations"/>
    <s v="Anita Sharma"/>
    <s v="Closed"/>
    <n v="5"/>
    <n v="8"/>
    <n v="4.74"/>
    <n v="1"/>
  </r>
  <r>
    <s v="TCK-13400"/>
    <s v="2024-11-08 02:08:15"/>
    <s v="2024-11-10 06:18:01"/>
    <s v="P3"/>
    <x v="0"/>
    <s v="L1 Support"/>
    <s v="Sarah Connor"/>
    <s v="Resolved"/>
    <n v="2"/>
    <n v="24"/>
    <n v="52.16"/>
    <n v="0"/>
  </r>
  <r>
    <s v="TCK-13401"/>
    <s v="2024-12-08 12:34:00"/>
    <s v="2024-12-09 02:29:53"/>
    <s v="P3"/>
    <x v="2"/>
    <s v="Infrastructure"/>
    <s v="Jim Halpert"/>
    <s v="Resolved"/>
    <n v="4"/>
    <n v="24"/>
    <n v="13.93"/>
    <n v="1"/>
  </r>
  <r>
    <s v="TCK-13402"/>
    <s v="2024-03-05 23:08:28"/>
    <s v="2024-03-08 08:10:44"/>
    <s v="P3"/>
    <x v="3"/>
    <s v="Infrastructure"/>
    <s v="Ravi Patel"/>
    <s v="Resolved"/>
    <n v="3"/>
    <n v="24"/>
    <n v="57.04"/>
    <n v="0"/>
  </r>
  <r>
    <s v="TCK-13403"/>
    <s v="2024-08-13 13:42:44"/>
    <s v="2024-08-13 14:09:03"/>
    <s v="P1"/>
    <x v="2"/>
    <s v="Application Support"/>
    <s v="Ravi Patel"/>
    <s v="Closed"/>
    <n v="4"/>
    <n v="4"/>
    <n v="0.44"/>
    <n v="1"/>
  </r>
  <r>
    <s v="TCK-13404"/>
    <s v="2024-10-08 08:06:49"/>
    <s v="2024-10-08 18:52:22"/>
    <s v="P3"/>
    <x v="3"/>
    <s v="Application Support"/>
    <s v="Sarah Connor"/>
    <s v="Resolved"/>
    <n v="5"/>
    <n v="24"/>
    <n v="10.76"/>
    <n v="1"/>
  </r>
  <r>
    <s v="TCK-13405"/>
    <s v="2024-01-14 10:45:33"/>
    <s v="2024-01-14 13:59:35"/>
    <s v="P3"/>
    <x v="0"/>
    <s v="Application Support"/>
    <s v="Dwight Schrute"/>
    <s v="Resolved"/>
    <n v="5"/>
    <n v="24"/>
    <n v="3.23"/>
    <n v="1"/>
  </r>
  <r>
    <s v="TCK-13406"/>
    <s v="2024-08-09 12:09:12"/>
    <s v="2024-08-09 18:18:05"/>
    <s v="P3"/>
    <x v="0"/>
    <s v="L2 Support"/>
    <s v="Jim Halpert"/>
    <s v="Resolved"/>
    <n v="5"/>
    <n v="24"/>
    <n v="6.15"/>
    <n v="1"/>
  </r>
  <r>
    <s v="TCK-13407"/>
    <s v="2024-10-22 00:31:18"/>
    <m/>
    <s v="P4"/>
    <x v="1"/>
    <s v="L1 Support"/>
    <s v="Alex Mercer"/>
    <s v="Open"/>
    <m/>
    <n v="48"/>
    <m/>
    <m/>
  </r>
  <r>
    <s v="TCK-13408"/>
    <s v="2024-10-22 05:05:24"/>
    <s v="2024-10-22 10:22:57"/>
    <s v="P2"/>
    <x v="2"/>
    <s v="L2 Support"/>
    <s v="Ravi Patel"/>
    <s v="Closed"/>
    <n v="3"/>
    <n v="8"/>
    <n v="5.29"/>
    <n v="1"/>
  </r>
  <r>
    <s v="TCK-13409"/>
    <s v="2024-07-28 21:48:06"/>
    <s v="2024-07-30 06:31:32"/>
    <s v="P4"/>
    <x v="3"/>
    <s v="L2 Support"/>
    <s v="Michael Scott"/>
    <s v="Resolved"/>
    <n v="5"/>
    <n v="48"/>
    <n v="32.72"/>
    <n v="1"/>
  </r>
  <r>
    <s v="TCK-13410"/>
    <s v="2024-01-21 11:36:36"/>
    <s v="2024-01-22 06:04:29"/>
    <s v="P3"/>
    <x v="2"/>
    <s v="Billing Operations"/>
    <s v="Emily Watson"/>
    <s v="Resolved"/>
    <n v="5"/>
    <n v="24"/>
    <n v="18.46"/>
    <n v="1"/>
  </r>
  <r>
    <s v="TCK-13411"/>
    <s v="2024-12-11 19:38:41"/>
    <m/>
    <s v="P1"/>
    <x v="0"/>
    <s v="Application Support"/>
    <s v="Anita Sharma"/>
    <s v="Escalated"/>
    <m/>
    <n v="4"/>
    <m/>
    <m/>
  </r>
  <r>
    <s v="TCK-13412"/>
    <s v="2024-04-10 18:14:01"/>
    <s v="2024-04-11 00:31:28"/>
    <s v="P3"/>
    <x v="3"/>
    <s v="L1 Support"/>
    <s v="Jim Halpert"/>
    <s v="Closed"/>
    <n v="4"/>
    <n v="24"/>
    <n v="6.29"/>
    <n v="1"/>
  </r>
  <r>
    <s v="TCK-13413"/>
    <s v="2024-12-08 01:46:21"/>
    <s v="2024-12-08 09:07:05"/>
    <s v="P3"/>
    <x v="0"/>
    <s v="Billing Operations"/>
    <s v="Michael Scott"/>
    <s v="Resolved"/>
    <n v="5"/>
    <n v="24"/>
    <n v="7.35"/>
    <n v="1"/>
  </r>
  <r>
    <s v="TCK-13414"/>
    <s v="2024-01-20 04:36:48"/>
    <s v="2024-01-20 11:26:12"/>
    <s v="P1"/>
    <x v="2"/>
    <s v="Infrastructure"/>
    <s v="Michael Scott"/>
    <s v="Resolved"/>
    <n v="2"/>
    <n v="4"/>
    <n v="6.82"/>
    <n v="0"/>
  </r>
  <r>
    <s v="TCK-13415"/>
    <s v="2024-10-30 04:56:14"/>
    <s v="2024-10-31 06:57:53"/>
    <s v="P4"/>
    <x v="2"/>
    <s v="L1 Support"/>
    <s v="Anita Sharma"/>
    <s v="Closed"/>
    <n v="3"/>
    <n v="48"/>
    <n v="26.03"/>
    <n v="1"/>
  </r>
  <r>
    <s v="TCK-13416"/>
    <s v="2024-03-06 01:55:47"/>
    <s v="2024-03-07 00:12:28"/>
    <s v="P3"/>
    <x v="4"/>
    <s v="L2 Support"/>
    <s v="Ravi Patel"/>
    <s v="Closed"/>
    <n v="4"/>
    <n v="24"/>
    <n v="22.28"/>
    <n v="1"/>
  </r>
  <r>
    <s v="TCK-13417"/>
    <s v="2024-04-27 21:12:46"/>
    <s v="2024-05-01 15:19:30"/>
    <s v="P4"/>
    <x v="2"/>
    <s v="L1 Support"/>
    <s v="Dwight Schrute"/>
    <s v="Closed"/>
    <n v="2"/>
    <n v="48"/>
    <n v="90.11"/>
    <n v="0"/>
  </r>
  <r>
    <s v="TCK-13418"/>
    <s v="2024-06-22 18:53:40"/>
    <s v="2024-06-22 23:56:51"/>
    <s v="P3"/>
    <x v="1"/>
    <s v="L2 Support"/>
    <s v="Alex Mercer"/>
    <s v="Resolved"/>
    <n v="4"/>
    <n v="24"/>
    <n v="5.05"/>
    <n v="1"/>
  </r>
  <r>
    <s v="TCK-13419"/>
    <s v="2024-12-11 02:05:31"/>
    <m/>
    <s v="P1"/>
    <x v="2"/>
    <s v="L1 Support"/>
    <s v="Anita Sharma"/>
    <s v="Escalated"/>
    <m/>
    <n v="4"/>
    <m/>
    <m/>
  </r>
  <r>
    <s v="TCK-13420"/>
    <s v="2024-12-17 05:51:16"/>
    <m/>
    <s v="P2"/>
    <x v="2"/>
    <s v="Application Support"/>
    <s v="Emily Watson"/>
    <s v="Open"/>
    <m/>
    <n v="8"/>
    <m/>
    <m/>
  </r>
  <r>
    <s v="TCK-13421"/>
    <s v="2024-10-28 13:54:58"/>
    <s v="2024-10-29 11:04:39"/>
    <s v="P3"/>
    <x v="1"/>
    <s v="Application Support"/>
    <s v="Anita Sharma"/>
    <s v="Resolved"/>
    <n v="5"/>
    <n v="24"/>
    <n v="21.16"/>
    <n v="1"/>
  </r>
  <r>
    <s v="TCK-13422"/>
    <s v="2024-03-20 03:56:08"/>
    <s v="2024-03-21 17:15:41"/>
    <s v="P4"/>
    <x v="3"/>
    <s v="Infrastructure"/>
    <s v="John Doe"/>
    <s v="Closed"/>
    <n v="4"/>
    <n v="48"/>
    <n v="37.33"/>
    <n v="1"/>
  </r>
  <r>
    <s v="TCK-13423"/>
    <s v="2024-11-13 19:02:18"/>
    <s v="2024-11-13 19:53:42"/>
    <s v="P2"/>
    <x v="4"/>
    <s v="Billing Operations"/>
    <s v="Jim Halpert"/>
    <s v="Resolved"/>
    <n v="4"/>
    <n v="8"/>
    <n v="0.86"/>
    <n v="1"/>
  </r>
  <r>
    <s v="TCK-13424"/>
    <s v="2024-03-12 07:21:55"/>
    <s v="2024-03-12 10:36:30"/>
    <s v="P3"/>
    <x v="2"/>
    <s v="Application Support"/>
    <s v="Alex Mercer"/>
    <s v="Resolved"/>
    <n v="5"/>
    <n v="24"/>
    <n v="3.24"/>
    <n v="1"/>
  </r>
  <r>
    <s v="TCK-13425"/>
    <s v="2024-05-01 14:05:46"/>
    <s v="2024-05-01 19:21:26"/>
    <s v="P2"/>
    <x v="1"/>
    <s v="L1 Support"/>
    <s v="John Doe"/>
    <s v="Closed"/>
    <n v="3"/>
    <n v="8"/>
    <n v="5.26"/>
    <n v="1"/>
  </r>
  <r>
    <s v="TCK-13426"/>
    <s v="2024-10-08 04:19:32"/>
    <s v="2024-10-09 05:27:20"/>
    <s v="P4"/>
    <x v="3"/>
    <s v="Infrastructure"/>
    <s v="Michael Scott"/>
    <s v="Resolved"/>
    <n v="4"/>
    <n v="48"/>
    <n v="25.13"/>
    <n v="1"/>
  </r>
  <r>
    <s v="TCK-13427"/>
    <s v="2024-12-02 05:20:37"/>
    <s v="2024-12-03 21:29:52"/>
    <s v="P3"/>
    <x v="1"/>
    <s v="Infrastructure"/>
    <s v="Jim Halpert"/>
    <s v="Resolved"/>
    <n v="3"/>
    <n v="24"/>
    <n v="40.15"/>
    <n v="0"/>
  </r>
  <r>
    <s v="TCK-13428"/>
    <s v="2024-10-30 05:22:17"/>
    <s v="2024-10-30 05:56:38"/>
    <s v="P1"/>
    <x v="1"/>
    <s v="Billing Operations"/>
    <s v="Dwight Schrute"/>
    <s v="Resolved"/>
    <n v="5"/>
    <n v="4"/>
    <n v="0.56999999999999995"/>
    <n v="1"/>
  </r>
  <r>
    <s v="TCK-13429"/>
    <s v="2024-06-03 23:53:37"/>
    <s v="2024-06-04 10:22:21"/>
    <s v="P1"/>
    <x v="2"/>
    <s v="Infrastructure"/>
    <s v="Michael Scott"/>
    <s v="Closed"/>
    <n v="1"/>
    <n v="4"/>
    <n v="10.48"/>
    <n v="0"/>
  </r>
  <r>
    <s v="TCK-13430"/>
    <s v="2024-08-10 19:29:16"/>
    <m/>
    <s v="P4"/>
    <x v="2"/>
    <s v="Application Support"/>
    <s v="John Doe"/>
    <s v="Open"/>
    <m/>
    <n v="48"/>
    <m/>
    <m/>
  </r>
  <r>
    <s v="TCK-13431"/>
    <s v="2024-09-24 20:01:47"/>
    <s v="2024-09-25 03:43:33"/>
    <s v="P3"/>
    <x v="2"/>
    <s v="L1 Support"/>
    <s v="Jim Halpert"/>
    <s v="Resolved"/>
    <n v="4"/>
    <n v="24"/>
    <n v="7.7"/>
    <n v="1"/>
  </r>
  <r>
    <s v="TCK-13432"/>
    <s v="2024-08-19 04:23:02"/>
    <s v="2024-08-19 07:30:40"/>
    <s v="P2"/>
    <x v="1"/>
    <s v="Application Support"/>
    <s v="Sarah Connor"/>
    <s v="Resolved"/>
    <n v="5"/>
    <n v="8"/>
    <n v="3.13"/>
    <n v="1"/>
  </r>
  <r>
    <s v="TCK-13433"/>
    <s v="2024-08-29 11:46:26"/>
    <s v="2024-08-30 00:17:58"/>
    <s v="P3"/>
    <x v="1"/>
    <s v="Infrastructure"/>
    <s v="Alex Mercer"/>
    <s v="Closed"/>
    <n v="5"/>
    <n v="24"/>
    <n v="12.53"/>
    <n v="1"/>
  </r>
  <r>
    <s v="TCK-13434"/>
    <s v="2024-07-07 01:29:46"/>
    <s v="2024-07-07 06:19:36"/>
    <s v="P3"/>
    <x v="1"/>
    <s v="L2 Support"/>
    <s v="Pam Beesly"/>
    <s v="Resolved"/>
    <n v="5"/>
    <n v="24"/>
    <n v="4.83"/>
    <n v="1"/>
  </r>
  <r>
    <s v="TCK-13435"/>
    <s v="2024-08-01 19:39:22"/>
    <s v="2024-08-03 17:54:51"/>
    <s v="P3"/>
    <x v="2"/>
    <s v="L2 Support"/>
    <s v="Emily Watson"/>
    <s v="Closed"/>
    <n v="1"/>
    <n v="24"/>
    <n v="46.26"/>
    <n v="0"/>
  </r>
  <r>
    <s v="TCK-13436"/>
    <s v="2024-04-14 16:01:22"/>
    <s v="2024-04-15 12:58:35"/>
    <s v="P3"/>
    <x v="0"/>
    <s v="Application Support"/>
    <s v="Anita Sharma"/>
    <s v="Resolved"/>
    <n v="4"/>
    <n v="24"/>
    <n v="20.95"/>
    <n v="1"/>
  </r>
  <r>
    <s v="TCK-13437"/>
    <s v="2024-12-30 13:56:29"/>
    <s v="2025-01-02 04:40:42"/>
    <s v="P3"/>
    <x v="2"/>
    <s v="Infrastructure"/>
    <s v="Sarah Connor"/>
    <s v="Resolved"/>
    <n v="2"/>
    <n v="24"/>
    <n v="62.74"/>
    <n v="0"/>
  </r>
  <r>
    <s v="TCK-13438"/>
    <s v="2024-02-02 16:14:37"/>
    <s v="2024-02-03 05:21:56"/>
    <s v="P2"/>
    <x v="1"/>
    <s v="L1 Support"/>
    <s v="Dwight Schrute"/>
    <s v="Resolved"/>
    <n v="3"/>
    <n v="8"/>
    <n v="13.12"/>
    <n v="0"/>
  </r>
  <r>
    <s v="TCK-13439"/>
    <s v="2024-11-03 19:19:53"/>
    <s v="2024-11-08 04:17:01"/>
    <s v="P4"/>
    <x v="4"/>
    <s v="Infrastructure"/>
    <s v="Ravi Patel"/>
    <s v="Closed"/>
    <n v="1"/>
    <n v="48"/>
    <n v="104.95"/>
    <n v="0"/>
  </r>
  <r>
    <s v="TCK-13440"/>
    <s v="2024-02-20 22:21:14"/>
    <s v="2024-02-21 03:35:42"/>
    <s v="P2"/>
    <x v="1"/>
    <s v="Billing Operations"/>
    <s v="Emily Watson"/>
    <s v="Closed"/>
    <n v="5"/>
    <n v="8"/>
    <n v="5.24"/>
    <n v="1"/>
  </r>
  <r>
    <s v="TCK-13441"/>
    <s v="2024-11-03 19:25:18"/>
    <s v="2024-11-04 19:48:22"/>
    <s v="P4"/>
    <x v="0"/>
    <s v="L2 Support"/>
    <s v="Carlos Mendez"/>
    <s v="Resolved"/>
    <n v="5"/>
    <n v="48"/>
    <n v="24.38"/>
    <n v="1"/>
  </r>
  <r>
    <s v="TCK-13442"/>
    <s v="2024-04-10 11:38:36"/>
    <s v="2024-04-11 05:45:23"/>
    <s v="P2"/>
    <x v="3"/>
    <s v="L2 Support"/>
    <s v="Carlos Mendez"/>
    <s v="Closed"/>
    <n v="2"/>
    <n v="8"/>
    <n v="18.11"/>
    <n v="0"/>
  </r>
  <r>
    <s v="TCK-13443"/>
    <s v="2024-07-11 17:31:52"/>
    <s v="2024-07-11 21:05:33"/>
    <s v="P2"/>
    <x v="4"/>
    <s v="Application Support"/>
    <s v="Pam Beesly"/>
    <s v="Resolved"/>
    <n v="5"/>
    <n v="8"/>
    <n v="3.56"/>
    <n v="1"/>
  </r>
  <r>
    <s v="TCK-13444"/>
    <s v="2024-04-29 17:02:15"/>
    <s v="2024-04-29 23:01:30"/>
    <s v="P2"/>
    <x v="2"/>
    <s v="L1 Support"/>
    <s v="John Doe"/>
    <s v="Closed"/>
    <n v="4"/>
    <n v="8"/>
    <n v="5.99"/>
    <n v="1"/>
  </r>
  <r>
    <s v="TCK-13445"/>
    <s v="2024-12-26 18:28:46"/>
    <s v="2024-12-27 05:25:19"/>
    <s v="P3"/>
    <x v="1"/>
    <s v="Infrastructure"/>
    <s v="John Doe"/>
    <s v="Resolved"/>
    <n v="3"/>
    <n v="24"/>
    <n v="10.94"/>
    <n v="1"/>
  </r>
  <r>
    <s v="TCK-13446"/>
    <s v="2024-01-13 04:56:38"/>
    <s v="2024-01-13 17:11:44"/>
    <s v="P3"/>
    <x v="3"/>
    <s v="L1 Support"/>
    <s v="Anita Sharma"/>
    <s v="Resolved"/>
    <n v="4"/>
    <n v="24"/>
    <n v="12.25"/>
    <n v="1"/>
  </r>
  <r>
    <s v="TCK-13447"/>
    <s v="2024-02-19 19:52:17"/>
    <s v="2024-02-19 21:36:45"/>
    <s v="P2"/>
    <x v="1"/>
    <s v="Application Support"/>
    <s v="Priya Nair"/>
    <s v="Closed"/>
    <n v="4"/>
    <n v="8"/>
    <n v="1.74"/>
    <n v="1"/>
  </r>
  <r>
    <s v="TCK-13448"/>
    <s v="2024-08-18 23:32:35"/>
    <s v="2024-08-19 00:55:04"/>
    <s v="P2"/>
    <x v="1"/>
    <s v="Application Support"/>
    <s v="Anita Sharma"/>
    <s v="Resolved"/>
    <n v="5"/>
    <n v="8"/>
    <n v="1.37"/>
    <n v="1"/>
  </r>
  <r>
    <s v="TCK-13449"/>
    <s v="2024-12-24 18:32:29"/>
    <s v="2024-12-25 03:46:39"/>
    <s v="P4"/>
    <x v="4"/>
    <s v="L1 Support"/>
    <s v="Carlos Mendez"/>
    <s v="Resolved"/>
    <n v="5"/>
    <n v="48"/>
    <n v="9.24"/>
    <n v="1"/>
  </r>
  <r>
    <s v="TCK-13450"/>
    <s v="2024-10-19 10:28:21"/>
    <m/>
    <s v="P3"/>
    <x v="0"/>
    <s v="Application Support"/>
    <s v="Michael Scott"/>
    <s v="Open"/>
    <m/>
    <n v="24"/>
    <m/>
    <m/>
  </r>
  <r>
    <s v="TCK-13451"/>
    <s v="2024-04-10 18:33:23"/>
    <m/>
    <s v="P3"/>
    <x v="0"/>
    <s v="Application Support"/>
    <s v="Anita Sharma"/>
    <s v="Escalated"/>
    <m/>
    <n v="24"/>
    <m/>
    <m/>
  </r>
  <r>
    <s v="TCK-13452"/>
    <s v="2024-01-06 06:49:19"/>
    <s v="2024-01-06 20:42:40"/>
    <s v="P4"/>
    <x v="3"/>
    <s v="Billing Operations"/>
    <s v="Michael Scott"/>
    <s v="Resolved"/>
    <n v="5"/>
    <n v="48"/>
    <n v="13.89"/>
    <n v="1"/>
  </r>
  <r>
    <s v="TCK-13453"/>
    <s v="2024-08-25 13:14:59"/>
    <s v="2024-08-26 04:39:07"/>
    <s v="P3"/>
    <x v="0"/>
    <s v="Application Support"/>
    <s v="Michael Scott"/>
    <s v="Resolved"/>
    <n v="5"/>
    <n v="24"/>
    <n v="15.4"/>
    <n v="1"/>
  </r>
  <r>
    <s v="TCK-13454"/>
    <s v="2024-10-23 03:10:30"/>
    <s v="2024-10-23 21:38:25"/>
    <s v="P3"/>
    <x v="2"/>
    <s v="Application Support"/>
    <s v="Carlos Mendez"/>
    <s v="Resolved"/>
    <n v="5"/>
    <n v="24"/>
    <n v="18.47"/>
    <n v="1"/>
  </r>
  <r>
    <s v="TCK-13455"/>
    <s v="2024-02-02 08:12:35"/>
    <s v="2024-02-03 20:23:27"/>
    <s v="P4"/>
    <x v="2"/>
    <s v="Billing Operations"/>
    <s v="Alex Mercer"/>
    <s v="Closed"/>
    <n v="4"/>
    <n v="48"/>
    <n v="36.18"/>
    <n v="1"/>
  </r>
  <r>
    <s v="TCK-13456"/>
    <s v="2024-04-27 07:20:22"/>
    <s v="2024-04-27 12:39:42"/>
    <s v="P3"/>
    <x v="0"/>
    <s v="Application Support"/>
    <s v="Pam Beesly"/>
    <s v="Resolved"/>
    <n v="5"/>
    <n v="24"/>
    <n v="5.32"/>
    <n v="1"/>
  </r>
  <r>
    <s v="TCK-13457"/>
    <s v="2024-08-11 12:07:12"/>
    <s v="2024-08-11 12:44:58"/>
    <s v="P1"/>
    <x v="1"/>
    <s v="L1 Support"/>
    <s v="Jim Halpert"/>
    <s v="Resolved"/>
    <n v="5"/>
    <n v="4"/>
    <n v="0.63"/>
    <n v="1"/>
  </r>
  <r>
    <s v="TCK-13458"/>
    <s v="2024-05-01 09:51:08"/>
    <s v="2024-05-01 12:48:55"/>
    <s v="P2"/>
    <x v="2"/>
    <s v="Application Support"/>
    <s v="Emily Watson"/>
    <s v="Closed"/>
    <n v="5"/>
    <n v="8"/>
    <n v="2.96"/>
    <n v="1"/>
  </r>
  <r>
    <s v="TCK-13459"/>
    <s v="2024-01-21 17:18:43"/>
    <s v="2024-01-21 22:38:29"/>
    <s v="P3"/>
    <x v="2"/>
    <s v="L2 Support"/>
    <s v="Sarah Connor"/>
    <s v="Resolved"/>
    <n v="5"/>
    <n v="24"/>
    <n v="5.33"/>
    <n v="1"/>
  </r>
  <r>
    <s v="TCK-13460"/>
    <s v="2024-01-25 02:06:02"/>
    <m/>
    <s v="P3"/>
    <x v="2"/>
    <s v="Infrastructure"/>
    <s v="Michael Scott"/>
    <s v="Open"/>
    <m/>
    <n v="24"/>
    <m/>
    <m/>
  </r>
  <r>
    <s v="TCK-13461"/>
    <s v="2024-03-28 13:44:21"/>
    <s v="2024-03-28 21:47:36"/>
    <s v="P3"/>
    <x v="2"/>
    <s v="L2 Support"/>
    <s v="Carlos Mendez"/>
    <s v="Closed"/>
    <n v="5"/>
    <n v="24"/>
    <n v="8.0500000000000007"/>
    <n v="1"/>
  </r>
  <r>
    <s v="TCK-13462"/>
    <s v="2024-10-14 11:09:51"/>
    <s v="2024-10-15 00:56:45"/>
    <s v="P3"/>
    <x v="3"/>
    <s v="L2 Support"/>
    <s v="Priya Nair"/>
    <s v="Resolved"/>
    <n v="4"/>
    <n v="24"/>
    <n v="13.78"/>
    <n v="1"/>
  </r>
  <r>
    <s v="TCK-13463"/>
    <s v="2024-06-26 16:30:23"/>
    <s v="2024-06-26 23:39:33"/>
    <s v="P2"/>
    <x v="0"/>
    <s v="Billing Operations"/>
    <s v="Sarah Connor"/>
    <s v="Closed"/>
    <n v="4"/>
    <n v="8"/>
    <n v="7.15"/>
    <n v="1"/>
  </r>
  <r>
    <s v="TCK-13464"/>
    <s v="2024-05-12 12:38:09"/>
    <s v="2024-05-12 15:32:43"/>
    <s v="P2"/>
    <x v="0"/>
    <s v="L2 Support"/>
    <s v="Alex Mercer"/>
    <s v="Resolved"/>
    <n v="5"/>
    <n v="8"/>
    <n v="2.91"/>
    <n v="1"/>
  </r>
  <r>
    <s v="TCK-13465"/>
    <s v="2024-02-29 13:39:18"/>
    <s v="2024-02-29 15:45:10"/>
    <s v="P2"/>
    <x v="2"/>
    <s v="Infrastructure"/>
    <s v="Alex Mercer"/>
    <s v="Closed"/>
    <n v="5"/>
    <n v="8"/>
    <n v="2.1"/>
    <n v="1"/>
  </r>
  <r>
    <s v="TCK-13466"/>
    <s v="2024-03-02 09:58:46"/>
    <m/>
    <s v="P1"/>
    <x v="2"/>
    <s v="L1 Support"/>
    <s v="Pam Beesly"/>
    <s v="Open"/>
    <m/>
    <n v="4"/>
    <m/>
    <m/>
  </r>
  <r>
    <s v="TCK-13467"/>
    <s v="2024-06-04 14:02:37"/>
    <s v="2024-06-04 16:51:11"/>
    <s v="P1"/>
    <x v="2"/>
    <s v="L2 Support"/>
    <s v="Pam Beesly"/>
    <s v="Resolved"/>
    <n v="4"/>
    <n v="4"/>
    <n v="2.81"/>
    <n v="1"/>
  </r>
  <r>
    <s v="TCK-13468"/>
    <s v="2024-05-18 18:46:18"/>
    <m/>
    <s v="P2"/>
    <x v="0"/>
    <s v="L1 Support"/>
    <s v="Anita Sharma"/>
    <s v="Open"/>
    <m/>
    <n v="8"/>
    <m/>
    <m/>
  </r>
  <r>
    <s v="TCK-13469"/>
    <s v="2024-04-13 22:30:21"/>
    <s v="2024-04-14 14:55:19"/>
    <s v="P3"/>
    <x v="3"/>
    <s v="Infrastructure"/>
    <s v="John Doe"/>
    <s v="Resolved"/>
    <n v="4"/>
    <n v="24"/>
    <n v="16.420000000000002"/>
    <n v="1"/>
  </r>
  <r>
    <s v="TCK-13470"/>
    <s v="2024-05-12 17:18:55"/>
    <s v="2024-05-13 13:10:28"/>
    <s v="P3"/>
    <x v="1"/>
    <s v="Billing Operations"/>
    <s v="Anita Sharma"/>
    <s v="Resolved"/>
    <n v="4"/>
    <n v="24"/>
    <n v="19.86"/>
    <n v="1"/>
  </r>
  <r>
    <s v="TCK-13471"/>
    <s v="2024-03-31 15:42:41"/>
    <s v="2024-03-31 23:12:01"/>
    <s v="P3"/>
    <x v="0"/>
    <s v="Application Support"/>
    <s v="Ravi Patel"/>
    <s v="Resolved"/>
    <n v="5"/>
    <n v="24"/>
    <n v="7.49"/>
    <n v="1"/>
  </r>
  <r>
    <s v="TCK-13472"/>
    <s v="2024-12-10 09:25:44"/>
    <s v="2024-12-10 11:57:20"/>
    <s v="P2"/>
    <x v="1"/>
    <s v="L2 Support"/>
    <s v="Priya Nair"/>
    <s v="Closed"/>
    <n v="5"/>
    <n v="8"/>
    <n v="2.5299999999999998"/>
    <n v="1"/>
  </r>
  <r>
    <s v="TCK-13473"/>
    <s v="2024-01-27 21:21:47"/>
    <s v="2024-01-29 13:15:39"/>
    <s v="P3"/>
    <x v="0"/>
    <s v="L1 Support"/>
    <s v="Pam Beesly"/>
    <s v="Closed"/>
    <n v="2"/>
    <n v="24"/>
    <n v="39.9"/>
    <n v="0"/>
  </r>
  <r>
    <s v="TCK-13474"/>
    <s v="2024-02-17 10:22:43"/>
    <m/>
    <s v="P4"/>
    <x v="2"/>
    <s v="L2 Support"/>
    <s v="John Doe"/>
    <s v="Open"/>
    <m/>
    <n v="48"/>
    <m/>
    <m/>
  </r>
  <r>
    <s v="TCK-13475"/>
    <s v="2024-09-02 16:50:11"/>
    <s v="2024-09-02 21:41:27"/>
    <s v="P3"/>
    <x v="4"/>
    <s v="Application Support"/>
    <s v="Emily Watson"/>
    <s v="Resolved"/>
    <n v="4"/>
    <n v="24"/>
    <n v="4.8499999999999996"/>
    <n v="1"/>
  </r>
  <r>
    <s v="TCK-13476"/>
    <s v="2024-11-24 15:28:27"/>
    <s v="2024-11-28 10:21:47"/>
    <s v="P4"/>
    <x v="3"/>
    <s v="Billing Operations"/>
    <s v="Carlos Mendez"/>
    <s v="Resolved"/>
    <n v="2"/>
    <n v="48"/>
    <n v="90.89"/>
    <n v="0"/>
  </r>
  <r>
    <s v="TCK-13477"/>
    <s v="2024-01-04 22:17:31"/>
    <s v="2024-01-05 05:19:30"/>
    <s v="P4"/>
    <x v="1"/>
    <s v="Application Support"/>
    <s v="Sarah Connor"/>
    <s v="Resolved"/>
    <n v="5"/>
    <n v="48"/>
    <n v="7.03"/>
    <n v="1"/>
  </r>
  <r>
    <s v="TCK-13478"/>
    <s v="2024-09-13 11:16:10"/>
    <s v="2024-09-15 02:47:37"/>
    <s v="P3"/>
    <x v="0"/>
    <s v="Application Support"/>
    <s v="Anita Sharma"/>
    <s v="Resolved"/>
    <n v="2"/>
    <n v="24"/>
    <n v="39.520000000000003"/>
    <n v="0"/>
  </r>
  <r>
    <s v="TCK-13479"/>
    <s v="2024-09-26 08:42:54"/>
    <s v="2024-09-26 17:58:28"/>
    <s v="P4"/>
    <x v="1"/>
    <s v="Billing Operations"/>
    <s v="Alex Mercer"/>
    <s v="Closed"/>
    <n v="3"/>
    <n v="48"/>
    <n v="9.26"/>
    <n v="1"/>
  </r>
  <r>
    <s v="TCK-13480"/>
    <s v="2024-04-20 20:00:28"/>
    <s v="2024-04-21 08:18:49"/>
    <s v="P3"/>
    <x v="2"/>
    <s v="L1 Support"/>
    <s v="Alex Mercer"/>
    <s v="Closed"/>
    <n v="5"/>
    <n v="24"/>
    <n v="12.31"/>
    <n v="1"/>
  </r>
  <r>
    <s v="TCK-13481"/>
    <s v="2024-07-13 20:08:07"/>
    <s v="2024-07-15 15:37:18"/>
    <s v="P3"/>
    <x v="2"/>
    <s v="L2 Support"/>
    <s v="Alex Mercer"/>
    <s v="Resolved"/>
    <n v="1"/>
    <n v="24"/>
    <n v="43.49"/>
    <n v="0"/>
  </r>
  <r>
    <s v="TCK-13482"/>
    <s v="2024-12-30 17:19:00"/>
    <s v="2024-12-30 20:30:44"/>
    <s v="P2"/>
    <x v="2"/>
    <s v="Application Support"/>
    <s v="Ravi Patel"/>
    <s v="Resolved"/>
    <n v="5"/>
    <n v="8"/>
    <n v="3.2"/>
    <n v="1"/>
  </r>
  <r>
    <s v="TCK-13483"/>
    <s v="2024-09-23 09:08:34"/>
    <m/>
    <s v="P3"/>
    <x v="2"/>
    <s v="Billing Operations"/>
    <s v="Alex Mercer"/>
    <s v="Escalated"/>
    <m/>
    <n v="24"/>
    <m/>
    <m/>
  </r>
  <r>
    <s v="TCK-13484"/>
    <s v="2024-09-01 02:41:09"/>
    <s v="2024-09-01 03:37:51"/>
    <s v="P1"/>
    <x v="3"/>
    <s v="Infrastructure"/>
    <s v="Jim Halpert"/>
    <s v="Closed"/>
    <n v="4"/>
    <n v="4"/>
    <n v="0.94"/>
    <n v="1"/>
  </r>
  <r>
    <s v="TCK-13485"/>
    <s v="2024-07-22 20:05:03"/>
    <s v="2024-07-23 05:55:52"/>
    <s v="P1"/>
    <x v="2"/>
    <s v="L2 Support"/>
    <s v="Priya Nair"/>
    <s v="Resolved"/>
    <n v="4"/>
    <n v="4"/>
    <n v="9.85"/>
    <n v="0"/>
  </r>
  <r>
    <s v="TCK-13486"/>
    <s v="2024-02-13 22:20:15"/>
    <s v="2024-02-14 05:02:14"/>
    <s v="P3"/>
    <x v="4"/>
    <s v="Infrastructure"/>
    <s v="Dwight Schrute"/>
    <s v="Resolved"/>
    <n v="4"/>
    <n v="24"/>
    <n v="6.7"/>
    <n v="1"/>
  </r>
  <r>
    <s v="TCK-13487"/>
    <s v="2024-01-08 05:22:23"/>
    <s v="2024-01-08 20:05:15"/>
    <s v="P3"/>
    <x v="2"/>
    <s v="L1 Support"/>
    <s v="Ravi Patel"/>
    <s v="Resolved"/>
    <n v="5"/>
    <n v="24"/>
    <n v="14.71"/>
    <n v="1"/>
  </r>
  <r>
    <s v="TCK-13488"/>
    <s v="2024-07-21 10:44:54"/>
    <s v="2024-07-22 09:04:40"/>
    <s v="P3"/>
    <x v="3"/>
    <s v="Billing Operations"/>
    <s v="Pam Beesly"/>
    <s v="Resolved"/>
    <n v="5"/>
    <n v="24"/>
    <n v="22.33"/>
    <n v="1"/>
  </r>
  <r>
    <s v="TCK-13489"/>
    <s v="2024-03-20 17:19:41"/>
    <s v="2024-03-21 14:58:55"/>
    <s v="P3"/>
    <x v="0"/>
    <s v="Infrastructure"/>
    <s v="Jim Halpert"/>
    <s v="Resolved"/>
    <n v="4"/>
    <n v="24"/>
    <n v="21.65"/>
    <n v="1"/>
  </r>
  <r>
    <s v="TCK-13490"/>
    <s v="2024-07-19 09:06:00"/>
    <s v="2024-07-19 13:33:35"/>
    <s v="P3"/>
    <x v="2"/>
    <s v="L1 Support"/>
    <s v="Ravi Patel"/>
    <s v="Resolved"/>
    <n v="4"/>
    <n v="24"/>
    <n v="4.46"/>
    <n v="1"/>
  </r>
  <r>
    <s v="TCK-13491"/>
    <s v="2024-05-17 22:32:01"/>
    <s v="2024-05-18 07:07:42"/>
    <s v="P3"/>
    <x v="2"/>
    <s v="Billing Operations"/>
    <s v="Pam Beesly"/>
    <s v="Closed"/>
    <n v="5"/>
    <n v="24"/>
    <n v="8.59"/>
    <n v="1"/>
  </r>
  <r>
    <s v="TCK-13492"/>
    <s v="2024-02-05 01:18:48"/>
    <s v="2024-02-05 18:23:47"/>
    <s v="P3"/>
    <x v="4"/>
    <s v="Application Support"/>
    <s v="Emily Watson"/>
    <s v="Closed"/>
    <n v="4"/>
    <n v="24"/>
    <n v="17.079999999999998"/>
    <n v="1"/>
  </r>
  <r>
    <s v="TCK-13493"/>
    <s v="2024-07-24 21:01:23"/>
    <s v="2024-07-25 21:16:37"/>
    <s v="P4"/>
    <x v="2"/>
    <s v="Infrastructure"/>
    <s v="Emily Watson"/>
    <s v="Resolved"/>
    <n v="5"/>
    <n v="48"/>
    <n v="24.25"/>
    <n v="1"/>
  </r>
  <r>
    <s v="TCK-13494"/>
    <s v="2024-01-08 11:45:58"/>
    <m/>
    <s v="P3"/>
    <x v="1"/>
    <s v="Application Support"/>
    <s v="Priya Nair"/>
    <s v="Open"/>
    <m/>
    <n v="24"/>
    <m/>
    <m/>
  </r>
  <r>
    <s v="TCK-13495"/>
    <s v="2024-02-12 04:07:38"/>
    <s v="2024-02-12 20:05:19"/>
    <s v="P3"/>
    <x v="2"/>
    <s v="L2 Support"/>
    <s v="Alex Mercer"/>
    <s v="Closed"/>
    <n v="4"/>
    <n v="24"/>
    <n v="15.96"/>
    <n v="1"/>
  </r>
  <r>
    <s v="TCK-13496"/>
    <s v="2024-05-25 22:46:24"/>
    <s v="2024-05-29 04:51:32"/>
    <s v="P4"/>
    <x v="2"/>
    <s v="Infrastructure"/>
    <s v="Alex Mercer"/>
    <s v="Closed"/>
    <n v="4"/>
    <n v="48"/>
    <n v="78.09"/>
    <n v="0"/>
  </r>
  <r>
    <s v="TCK-13497"/>
    <s v="2024-07-16 08:11:59"/>
    <m/>
    <s v="P4"/>
    <x v="4"/>
    <s v="Billing Operations"/>
    <s v="Anita Sharma"/>
    <s v="Open"/>
    <m/>
    <n v="48"/>
    <m/>
    <m/>
  </r>
  <r>
    <s v="TCK-13498"/>
    <s v="2024-11-23 16:41:12"/>
    <s v="2024-11-23 20:44:21"/>
    <s v="P2"/>
    <x v="0"/>
    <s v="Application Support"/>
    <s v="Carlos Mendez"/>
    <s v="Resolved"/>
    <n v="4"/>
    <n v="8"/>
    <n v="4.05"/>
    <n v="1"/>
  </r>
  <r>
    <s v="TCK-13499"/>
    <s v="2024-02-08 03:48:11"/>
    <m/>
    <s v="P3"/>
    <x v="1"/>
    <s v="Infrastructure"/>
    <s v="Emily Watson"/>
    <s v="Open"/>
    <m/>
    <n v="24"/>
    <m/>
    <m/>
  </r>
  <r>
    <s v="TCK-13500"/>
    <s v="2024-02-01 04:41:39"/>
    <s v="2024-02-01 05:36:53"/>
    <s v="P2"/>
    <x v="2"/>
    <s v="Billing Operations"/>
    <s v="Michael Scott"/>
    <s v="Closed"/>
    <n v="5"/>
    <n v="8"/>
    <n v="0.92"/>
    <n v="1"/>
  </r>
  <r>
    <s v="TCK-13501"/>
    <s v="2024-10-04 13:44:46"/>
    <m/>
    <s v="P2"/>
    <x v="2"/>
    <s v="Billing Operations"/>
    <s v="Anita Sharma"/>
    <s v="Escalated"/>
    <m/>
    <n v="8"/>
    <m/>
    <m/>
  </r>
  <r>
    <s v="TCK-13502"/>
    <s v="2024-06-09 15:21:23"/>
    <s v="2024-06-09 17:28:48"/>
    <s v="P2"/>
    <x v="2"/>
    <s v="Application Support"/>
    <s v="John Doe"/>
    <s v="Resolved"/>
    <n v="3"/>
    <n v="8"/>
    <n v="2.12"/>
    <n v="1"/>
  </r>
  <r>
    <s v="TCK-13503"/>
    <s v="2024-08-23 12:55:53"/>
    <s v="2024-08-23 23:34:38"/>
    <s v="P3"/>
    <x v="1"/>
    <s v="Infrastructure"/>
    <s v="John Doe"/>
    <s v="Resolved"/>
    <n v="3"/>
    <n v="24"/>
    <n v="10.65"/>
    <n v="1"/>
  </r>
  <r>
    <s v="TCK-13504"/>
    <s v="2024-02-19 19:24:18"/>
    <s v="2024-02-19 23:16:33"/>
    <s v="P2"/>
    <x v="1"/>
    <s v="Infrastructure"/>
    <s v="Alex Mercer"/>
    <s v="Resolved"/>
    <n v="5"/>
    <n v="8"/>
    <n v="3.87"/>
    <n v="1"/>
  </r>
  <r>
    <s v="TCK-13505"/>
    <s v="2024-02-09 23:29:48"/>
    <s v="2024-02-10 02:04:51"/>
    <s v="P2"/>
    <x v="0"/>
    <s v="Infrastructure"/>
    <s v="Ravi Patel"/>
    <s v="Closed"/>
    <n v="5"/>
    <n v="8"/>
    <n v="2.58"/>
    <n v="1"/>
  </r>
  <r>
    <s v="TCK-13506"/>
    <s v="2024-11-26 18:24:33"/>
    <s v="2024-11-27 05:36:31"/>
    <s v="P3"/>
    <x v="0"/>
    <s v="Billing Operations"/>
    <s v="Alex Mercer"/>
    <s v="Resolved"/>
    <n v="5"/>
    <n v="24"/>
    <n v="11.2"/>
    <n v="1"/>
  </r>
  <r>
    <s v="TCK-13507"/>
    <s v="2024-11-07 10:12:58"/>
    <s v="2024-11-07 16:15:40"/>
    <s v="P2"/>
    <x v="1"/>
    <s v="Billing Operations"/>
    <s v="John Doe"/>
    <s v="Resolved"/>
    <n v="4"/>
    <n v="8"/>
    <n v="6.04"/>
    <n v="1"/>
  </r>
  <r>
    <s v="TCK-13508"/>
    <s v="2024-08-26 20:51:53"/>
    <s v="2024-08-26 22:35:37"/>
    <s v="P1"/>
    <x v="3"/>
    <s v="L2 Support"/>
    <s v="Jim Halpert"/>
    <s v="Resolved"/>
    <n v="4"/>
    <n v="4"/>
    <n v="1.73"/>
    <n v="1"/>
  </r>
  <r>
    <s v="TCK-13509"/>
    <s v="2024-08-02 13:48:00"/>
    <s v="2024-08-03 01:07:51"/>
    <s v="P4"/>
    <x v="0"/>
    <s v="Infrastructure"/>
    <s v="Michael Scott"/>
    <s v="Resolved"/>
    <n v="5"/>
    <n v="48"/>
    <n v="11.33"/>
    <n v="1"/>
  </r>
  <r>
    <s v="TCK-13510"/>
    <s v="2024-09-26 21:17:30"/>
    <s v="2024-09-27 17:24:18"/>
    <s v="P3"/>
    <x v="2"/>
    <s v="Billing Operations"/>
    <s v="Jim Halpert"/>
    <s v="Resolved"/>
    <n v="4"/>
    <n v="24"/>
    <n v="20.11"/>
    <n v="1"/>
  </r>
  <r>
    <s v="TCK-13511"/>
    <s v="2024-01-31 03:54:56"/>
    <m/>
    <s v="P2"/>
    <x v="1"/>
    <s v="L1 Support"/>
    <s v="Sarah Connor"/>
    <s v="Open"/>
    <m/>
    <n v="8"/>
    <m/>
    <m/>
  </r>
  <r>
    <s v="TCK-13512"/>
    <s v="2024-01-13 14:13:04"/>
    <s v="2024-01-13 21:59:40"/>
    <s v="P3"/>
    <x v="2"/>
    <s v="Application Support"/>
    <s v="Carlos Mendez"/>
    <s v="Closed"/>
    <n v="4"/>
    <n v="24"/>
    <n v="7.78"/>
    <n v="1"/>
  </r>
  <r>
    <s v="TCK-13513"/>
    <s v="2024-10-23 08:31:51"/>
    <s v="2024-10-23 15:39:34"/>
    <s v="P2"/>
    <x v="3"/>
    <s v="L1 Support"/>
    <s v="Jim Halpert"/>
    <s v="Resolved"/>
    <n v="5"/>
    <n v="8"/>
    <n v="7.13"/>
    <n v="1"/>
  </r>
  <r>
    <s v="TCK-13514"/>
    <s v="2024-12-05 12:16:55"/>
    <s v="2024-12-06 03:14:27"/>
    <s v="P3"/>
    <x v="0"/>
    <s v="L1 Support"/>
    <s v="Sarah Connor"/>
    <s v="Closed"/>
    <n v="5"/>
    <n v="24"/>
    <n v="14.96"/>
    <n v="1"/>
  </r>
  <r>
    <s v="TCK-13515"/>
    <s v="2024-11-25 06:36:07"/>
    <s v="2024-11-26 04:05:51"/>
    <s v="P4"/>
    <x v="4"/>
    <s v="Billing Operations"/>
    <s v="John Doe"/>
    <s v="Closed"/>
    <n v="5"/>
    <n v="48"/>
    <n v="21.5"/>
    <n v="1"/>
  </r>
  <r>
    <s v="TCK-13516"/>
    <s v="2024-10-29 02:44:56"/>
    <m/>
    <s v="P2"/>
    <x v="1"/>
    <s v="L1 Support"/>
    <s v="Emily Watson"/>
    <s v="Open"/>
    <m/>
    <n v="8"/>
    <m/>
    <m/>
  </r>
  <r>
    <s v="TCK-13517"/>
    <s v="2024-02-10 14:02:15"/>
    <s v="2024-02-10 21:31:25"/>
    <s v="P2"/>
    <x v="0"/>
    <s v="Billing Operations"/>
    <s v="Carlos Mendez"/>
    <s v="Resolved"/>
    <n v="5"/>
    <n v="8"/>
    <n v="7.49"/>
    <n v="1"/>
  </r>
  <r>
    <s v="TCK-13518"/>
    <s v="2024-09-28 04:18:35"/>
    <s v="2024-09-28 13:01:40"/>
    <s v="P3"/>
    <x v="1"/>
    <s v="L1 Support"/>
    <s v="Dwight Schrute"/>
    <s v="Closed"/>
    <n v="4"/>
    <n v="24"/>
    <n v="8.7200000000000006"/>
    <n v="1"/>
  </r>
  <r>
    <s v="TCK-13519"/>
    <s v="2024-07-14 10:02:12"/>
    <s v="2024-07-16 08:26:53"/>
    <s v="P3"/>
    <x v="1"/>
    <s v="Infrastructure"/>
    <s v="Alex Mercer"/>
    <s v="Closed"/>
    <n v="1"/>
    <n v="24"/>
    <n v="46.41"/>
    <n v="0"/>
  </r>
  <r>
    <s v="TCK-13520"/>
    <s v="2024-11-13 19:54:54"/>
    <s v="2024-11-14 14:46:57"/>
    <s v="P3"/>
    <x v="2"/>
    <s v="L1 Support"/>
    <s v="Alex Mercer"/>
    <s v="Resolved"/>
    <n v="5"/>
    <n v="24"/>
    <n v="18.87"/>
    <n v="1"/>
  </r>
  <r>
    <s v="TCK-13521"/>
    <s v="2024-05-31 16:30:17"/>
    <s v="2024-06-01 10:15:32"/>
    <s v="P2"/>
    <x v="2"/>
    <s v="L2 Support"/>
    <s v="Dwight Schrute"/>
    <s v="Resolved"/>
    <n v="3"/>
    <n v="8"/>
    <n v="17.75"/>
    <n v="0"/>
  </r>
  <r>
    <s v="TCK-13522"/>
    <s v="2024-06-26 00:51:03"/>
    <s v="2024-06-26 15:05:44"/>
    <s v="P3"/>
    <x v="1"/>
    <s v="L2 Support"/>
    <s v="Dwight Schrute"/>
    <s v="Resolved"/>
    <n v="5"/>
    <n v="24"/>
    <n v="14.24"/>
    <n v="1"/>
  </r>
  <r>
    <s v="TCK-13523"/>
    <s v="2024-07-23 07:48:15"/>
    <s v="2024-07-23 18:13:30"/>
    <s v="P3"/>
    <x v="3"/>
    <s v="L2 Support"/>
    <s v="Emily Watson"/>
    <s v="Closed"/>
    <n v="5"/>
    <n v="24"/>
    <n v="10.42"/>
    <n v="1"/>
  </r>
  <r>
    <s v="TCK-13524"/>
    <s v="2024-08-27 03:00:34"/>
    <s v="2024-08-27 11:40:24"/>
    <s v="P2"/>
    <x v="2"/>
    <s v="Application Support"/>
    <s v="Michael Scott"/>
    <s v="Resolved"/>
    <n v="1"/>
    <n v="8"/>
    <n v="8.66"/>
    <n v="0"/>
  </r>
  <r>
    <s v="TCK-13525"/>
    <s v="2024-10-22 03:06:55"/>
    <s v="2024-10-23 03:51:46"/>
    <s v="P4"/>
    <x v="2"/>
    <s v="L1 Support"/>
    <s v="Priya Nair"/>
    <s v="Closed"/>
    <n v="5"/>
    <n v="48"/>
    <n v="24.75"/>
    <n v="1"/>
  </r>
  <r>
    <s v="TCK-13526"/>
    <s v="2024-04-04 02:20:44"/>
    <m/>
    <s v="P1"/>
    <x v="0"/>
    <s v="L1 Support"/>
    <s v="Alex Mercer"/>
    <s v="Escalated"/>
    <m/>
    <n v="4"/>
    <m/>
    <m/>
  </r>
  <r>
    <s v="TCK-13527"/>
    <s v="2024-08-22 08:16:22"/>
    <s v="2024-08-22 11:26:12"/>
    <s v="P3"/>
    <x v="2"/>
    <s v="Application Support"/>
    <s v="Sarah Connor"/>
    <s v="Resolved"/>
    <n v="5"/>
    <n v="24"/>
    <n v="3.16"/>
    <n v="1"/>
  </r>
  <r>
    <s v="TCK-13528"/>
    <s v="2024-01-09 14:42:04"/>
    <s v="2024-01-09 17:00:35"/>
    <s v="P1"/>
    <x v="2"/>
    <s v="Billing Operations"/>
    <s v="Jim Halpert"/>
    <s v="Resolved"/>
    <n v="5"/>
    <n v="4"/>
    <n v="2.31"/>
    <n v="1"/>
  </r>
  <r>
    <s v="TCK-13529"/>
    <s v="2024-09-04 09:20:41"/>
    <s v="2024-09-04 11:59:30"/>
    <s v="P3"/>
    <x v="2"/>
    <s v="Infrastructure"/>
    <s v="Ravi Patel"/>
    <s v="Resolved"/>
    <n v="5"/>
    <n v="24"/>
    <n v="2.65"/>
    <n v="1"/>
  </r>
  <r>
    <s v="TCK-13530"/>
    <s v="2024-06-06 17:33:12"/>
    <s v="2024-06-07 01:17:00"/>
    <s v="P4"/>
    <x v="1"/>
    <s v="L1 Support"/>
    <s v="Dwight Schrute"/>
    <s v="Closed"/>
    <n v="4"/>
    <n v="48"/>
    <n v="7.73"/>
    <n v="1"/>
  </r>
  <r>
    <s v="TCK-13531"/>
    <s v="2024-10-24 12:21:28"/>
    <m/>
    <s v="P4"/>
    <x v="3"/>
    <s v="Infrastructure"/>
    <s v="Anita Sharma"/>
    <s v="Open"/>
    <m/>
    <n v="48"/>
    <m/>
    <m/>
  </r>
  <r>
    <s v="TCK-13532"/>
    <s v="2024-08-19 14:37:59"/>
    <s v="2024-08-19 21:27:02"/>
    <s v="P2"/>
    <x v="2"/>
    <s v="L1 Support"/>
    <s v="Dwight Schrute"/>
    <s v="Resolved"/>
    <n v="4"/>
    <n v="8"/>
    <n v="6.82"/>
    <n v="1"/>
  </r>
  <r>
    <s v="TCK-13533"/>
    <s v="2024-08-11 03:35:32"/>
    <s v="2024-08-12 00:47:57"/>
    <s v="P3"/>
    <x v="2"/>
    <s v="L1 Support"/>
    <s v="Alex Mercer"/>
    <s v="Resolved"/>
    <n v="4"/>
    <n v="24"/>
    <n v="21.21"/>
    <n v="1"/>
  </r>
  <r>
    <s v="TCK-13534"/>
    <s v="2024-04-24 09:42:44"/>
    <s v="2024-04-24 11:03:42"/>
    <s v="P1"/>
    <x v="4"/>
    <s v="Infrastructure"/>
    <s v="Pam Beesly"/>
    <s v="Closed"/>
    <n v="4"/>
    <n v="4"/>
    <n v="1.35"/>
    <n v="1"/>
  </r>
  <r>
    <s v="TCK-13535"/>
    <s v="2024-09-15 19:41:10"/>
    <s v="2024-09-16 05:04:19"/>
    <s v="P3"/>
    <x v="2"/>
    <s v="Billing Operations"/>
    <s v="Priya Nair"/>
    <s v="Resolved"/>
    <n v="5"/>
    <n v="24"/>
    <n v="9.39"/>
    <n v="1"/>
  </r>
  <r>
    <s v="TCK-13536"/>
    <s v="2024-03-30 04:40:49"/>
    <s v="2024-03-31 01:34:49"/>
    <s v="P3"/>
    <x v="2"/>
    <s v="L1 Support"/>
    <s v="Emily Watson"/>
    <s v="Closed"/>
    <n v="5"/>
    <n v="24"/>
    <n v="20.9"/>
    <n v="1"/>
  </r>
  <r>
    <s v="TCK-13537"/>
    <s v="2024-10-21 08:58:30"/>
    <s v="2024-10-21 12:42:24"/>
    <s v="P1"/>
    <x v="3"/>
    <s v="Billing Operations"/>
    <s v="Anita Sharma"/>
    <s v="Resolved"/>
    <n v="4"/>
    <n v="4"/>
    <n v="3.73"/>
    <n v="1"/>
  </r>
  <r>
    <s v="TCK-13538"/>
    <s v="2024-05-30 05:00:19"/>
    <s v="2024-05-30 09:31:19"/>
    <s v="P3"/>
    <x v="4"/>
    <s v="Billing Operations"/>
    <s v="Dwight Schrute"/>
    <s v="Closed"/>
    <n v="4"/>
    <n v="24"/>
    <n v="4.5199999999999996"/>
    <n v="1"/>
  </r>
  <r>
    <s v="TCK-13539"/>
    <s v="2024-08-08 21:26:41"/>
    <s v="2024-08-09 08:27:21"/>
    <s v="P4"/>
    <x v="0"/>
    <s v="L2 Support"/>
    <s v="Michael Scott"/>
    <s v="Resolved"/>
    <n v="5"/>
    <n v="48"/>
    <n v="11.01"/>
    <n v="1"/>
  </r>
  <r>
    <s v="TCK-13540"/>
    <s v="2024-11-04 05:14:37"/>
    <s v="2024-11-04 21:07:59"/>
    <s v="P3"/>
    <x v="3"/>
    <s v="Infrastructure"/>
    <s v="Ravi Patel"/>
    <s v="Resolved"/>
    <n v="5"/>
    <n v="24"/>
    <n v="15.89"/>
    <n v="1"/>
  </r>
  <r>
    <s v="TCK-13541"/>
    <s v="2024-02-29 22:06:25"/>
    <s v="2024-03-02 07:31:11"/>
    <s v="P4"/>
    <x v="3"/>
    <s v="Application Support"/>
    <s v="Ravi Patel"/>
    <s v="Resolved"/>
    <n v="5"/>
    <n v="48"/>
    <n v="33.409999999999997"/>
    <n v="1"/>
  </r>
  <r>
    <s v="TCK-13542"/>
    <s v="2024-04-04 02:15:13"/>
    <m/>
    <s v="P2"/>
    <x v="2"/>
    <s v="L1 Support"/>
    <s v="Dwight Schrute"/>
    <s v="Open"/>
    <m/>
    <n v="8"/>
    <m/>
    <m/>
  </r>
  <r>
    <s v="TCK-13543"/>
    <s v="2024-05-31 23:52:53"/>
    <s v="2024-06-01 12:01:34"/>
    <s v="P3"/>
    <x v="1"/>
    <s v="L1 Support"/>
    <s v="Pam Beesly"/>
    <s v="Resolved"/>
    <n v="4"/>
    <n v="24"/>
    <n v="12.14"/>
    <n v="1"/>
  </r>
  <r>
    <s v="TCK-13544"/>
    <s v="2024-05-04 09:18:12"/>
    <s v="2024-05-05 03:18:12"/>
    <s v="P3"/>
    <x v="2"/>
    <s v="L1 Support"/>
    <s v="Jim Halpert"/>
    <s v="Resolved"/>
    <n v="5"/>
    <n v="24"/>
    <n v="18"/>
    <n v="1"/>
  </r>
  <r>
    <s v="TCK-13545"/>
    <s v="2024-08-26 03:34:02"/>
    <s v="2024-08-26 08:23:47"/>
    <s v="P2"/>
    <x v="0"/>
    <s v="Infrastructure"/>
    <s v="Jim Halpert"/>
    <s v="Resolved"/>
    <n v="5"/>
    <n v="8"/>
    <n v="4.83"/>
    <n v="1"/>
  </r>
  <r>
    <s v="TCK-13546"/>
    <s v="2024-06-23 06:21:42"/>
    <s v="2024-06-23 12:21:42"/>
    <s v="P1"/>
    <x v="4"/>
    <s v="Infrastructure"/>
    <s v="Pam Beesly"/>
    <s v="Resolved"/>
    <n v="3"/>
    <n v="4"/>
    <n v="6"/>
    <n v="0"/>
  </r>
  <r>
    <s v="TCK-13547"/>
    <s v="2024-04-07 15:10:40"/>
    <s v="2024-04-08 13:02:04"/>
    <s v="P3"/>
    <x v="2"/>
    <s v="L1 Support"/>
    <s v="Priya Nair"/>
    <s v="Resolved"/>
    <n v="5"/>
    <n v="24"/>
    <n v="21.86"/>
    <n v="1"/>
  </r>
  <r>
    <s v="TCK-13548"/>
    <s v="2024-02-28 22:38:01"/>
    <s v="2024-03-01 18:03:32"/>
    <s v="P3"/>
    <x v="1"/>
    <s v="L1 Support"/>
    <s v="Pam Beesly"/>
    <s v="Resolved"/>
    <n v="1"/>
    <n v="24"/>
    <n v="43.43"/>
    <n v="0"/>
  </r>
  <r>
    <s v="TCK-13549"/>
    <s v="2024-01-19 22:33:27"/>
    <s v="2024-01-20 17:38:39"/>
    <s v="P3"/>
    <x v="0"/>
    <s v="L1 Support"/>
    <s v="Carlos Mendez"/>
    <s v="Closed"/>
    <n v="4"/>
    <n v="24"/>
    <n v="19.09"/>
    <n v="1"/>
  </r>
  <r>
    <s v="TCK-13550"/>
    <s v="2024-06-10 14:40:22"/>
    <s v="2024-06-10 17:41:42"/>
    <s v="P1"/>
    <x v="3"/>
    <s v="L2 Support"/>
    <s v="Ravi Patel"/>
    <s v="Resolved"/>
    <n v="5"/>
    <n v="4"/>
    <n v="3.02"/>
    <n v="1"/>
  </r>
  <r>
    <s v="TCK-13551"/>
    <s v="2024-07-19 01:20:38"/>
    <s v="2024-07-19 03:29:04"/>
    <s v="P1"/>
    <x v="4"/>
    <s v="L2 Support"/>
    <s v="Alex Mercer"/>
    <s v="Resolved"/>
    <n v="5"/>
    <n v="4"/>
    <n v="2.14"/>
    <n v="1"/>
  </r>
  <r>
    <s v="TCK-13552"/>
    <s v="2024-03-16 08:54:57"/>
    <s v="2024-03-17 01:19:20"/>
    <s v="P3"/>
    <x v="2"/>
    <s v="Application Support"/>
    <s v="Anita Sharma"/>
    <s v="Closed"/>
    <n v="5"/>
    <n v="24"/>
    <n v="16.41"/>
    <n v="1"/>
  </r>
  <r>
    <s v="TCK-13553"/>
    <s v="2024-10-02 15:17:25"/>
    <s v="2024-10-05 00:34:37"/>
    <s v="P4"/>
    <x v="0"/>
    <s v="Application Support"/>
    <s v="John Doe"/>
    <s v="Resolved"/>
    <n v="1"/>
    <n v="48"/>
    <n v="57.29"/>
    <n v="0"/>
  </r>
  <r>
    <s v="TCK-13554"/>
    <s v="2024-04-12 05:44:22"/>
    <s v="2024-04-14 23:00:14"/>
    <s v="P3"/>
    <x v="2"/>
    <s v="Application Support"/>
    <s v="Carlos Mendez"/>
    <s v="Resolved"/>
    <n v="4"/>
    <n v="24"/>
    <n v="65.260000000000005"/>
    <n v="0"/>
  </r>
  <r>
    <s v="TCK-13555"/>
    <s v="2024-05-03 10:44:48"/>
    <m/>
    <s v="P3"/>
    <x v="1"/>
    <s v="L2 Support"/>
    <s v="John Doe"/>
    <s v="Escalated"/>
    <m/>
    <n v="24"/>
    <m/>
    <m/>
  </r>
  <r>
    <s v="TCK-13556"/>
    <s v="2024-10-27 04:29:39"/>
    <s v="2024-10-28 06:45:57"/>
    <s v="P4"/>
    <x v="2"/>
    <s v="L2 Support"/>
    <s v="Alex Mercer"/>
    <s v="Resolved"/>
    <n v="5"/>
    <n v="48"/>
    <n v="26.27"/>
    <n v="1"/>
  </r>
  <r>
    <s v="TCK-13557"/>
    <s v="2024-11-15 13:06:17"/>
    <s v="2024-11-16 00:59:20"/>
    <s v="P2"/>
    <x v="2"/>
    <s v="L1 Support"/>
    <s v="Carlos Mendez"/>
    <s v="Closed"/>
    <n v="1"/>
    <n v="8"/>
    <n v="11.88"/>
    <n v="0"/>
  </r>
  <r>
    <s v="TCK-13558"/>
    <s v="2024-03-14 23:02:39"/>
    <s v="2024-03-15 07:54:29"/>
    <s v="P3"/>
    <x v="3"/>
    <s v="Application Support"/>
    <s v="Anita Sharma"/>
    <s v="Resolved"/>
    <n v="5"/>
    <n v="24"/>
    <n v="8.86"/>
    <n v="1"/>
  </r>
  <r>
    <s v="TCK-13559"/>
    <s v="2024-08-17 21:01:52"/>
    <s v="2024-08-17 22:11:50"/>
    <s v="P1"/>
    <x v="0"/>
    <s v="Application Support"/>
    <s v="Michael Scott"/>
    <s v="Resolved"/>
    <n v="5"/>
    <n v="4"/>
    <n v="1.17"/>
    <n v="1"/>
  </r>
  <r>
    <s v="TCK-13560"/>
    <s v="2024-01-27 15:11:39"/>
    <s v="2024-01-28 23:22:33"/>
    <s v="P3"/>
    <x v="0"/>
    <s v="L2 Support"/>
    <s v="Pam Beesly"/>
    <s v="Resolved"/>
    <n v="3"/>
    <n v="24"/>
    <n v="32.18"/>
    <n v="0"/>
  </r>
  <r>
    <s v="TCK-13561"/>
    <s v="2024-11-08 23:31:42"/>
    <s v="2024-11-09 11:20:04"/>
    <s v="P3"/>
    <x v="2"/>
    <s v="L1 Support"/>
    <s v="John Doe"/>
    <s v="Resolved"/>
    <n v="4"/>
    <n v="24"/>
    <n v="11.81"/>
    <n v="1"/>
  </r>
  <r>
    <s v="TCK-13562"/>
    <s v="2024-11-24 18:37:48"/>
    <s v="2024-11-26 15:13:38"/>
    <s v="P3"/>
    <x v="2"/>
    <s v="L2 Support"/>
    <s v="John Doe"/>
    <s v="Resolved"/>
    <n v="1"/>
    <n v="24"/>
    <n v="44.6"/>
    <n v="0"/>
  </r>
  <r>
    <s v="TCK-13563"/>
    <s v="2024-04-27 08:10:39"/>
    <s v="2024-04-28 01:27:44"/>
    <s v="P3"/>
    <x v="2"/>
    <s v="L2 Support"/>
    <s v="Priya Nair"/>
    <s v="Closed"/>
    <n v="4"/>
    <n v="24"/>
    <n v="17.28"/>
    <n v="1"/>
  </r>
  <r>
    <s v="TCK-13564"/>
    <s v="2024-02-14 04:54:57"/>
    <s v="2024-02-14 11:36:22"/>
    <s v="P4"/>
    <x v="0"/>
    <s v="L1 Support"/>
    <s v="Michael Scott"/>
    <s v="Closed"/>
    <n v="4"/>
    <n v="48"/>
    <n v="6.69"/>
    <n v="1"/>
  </r>
  <r>
    <s v="TCK-13565"/>
    <s v="2024-08-23 07:00:24"/>
    <s v="2024-08-24 23:03:16"/>
    <s v="P3"/>
    <x v="1"/>
    <s v="Billing Operations"/>
    <s v="Dwight Schrute"/>
    <s v="Resolved"/>
    <n v="2"/>
    <n v="24"/>
    <n v="40.049999999999997"/>
    <n v="0"/>
  </r>
  <r>
    <s v="TCK-13566"/>
    <s v="2024-09-19 09:43:28"/>
    <s v="2024-09-19 22:56:58"/>
    <s v="P3"/>
    <x v="3"/>
    <s v="Application Support"/>
    <s v="Priya Nair"/>
    <s v="Closed"/>
    <n v="5"/>
    <n v="24"/>
    <n v="13.22"/>
    <n v="1"/>
  </r>
  <r>
    <s v="TCK-13567"/>
    <s v="2024-01-21 13:53:28"/>
    <s v="2024-01-21 16:30:10"/>
    <s v="P2"/>
    <x v="2"/>
    <s v="L1 Support"/>
    <s v="Priya Nair"/>
    <s v="Resolved"/>
    <n v="4"/>
    <n v="8"/>
    <n v="2.61"/>
    <n v="1"/>
  </r>
  <r>
    <s v="TCK-13568"/>
    <s v="2024-04-01 17:54:21"/>
    <m/>
    <s v="P3"/>
    <x v="1"/>
    <s v="L2 Support"/>
    <s v="Priya Nair"/>
    <s v="Escalated"/>
    <m/>
    <n v="24"/>
    <m/>
    <m/>
  </r>
  <r>
    <s v="TCK-13569"/>
    <s v="2024-06-02 20:10:53"/>
    <s v="2024-06-03 14:49:33"/>
    <s v="P3"/>
    <x v="2"/>
    <s v="L2 Support"/>
    <s v="Pam Beesly"/>
    <s v="Resolved"/>
    <n v="4"/>
    <n v="24"/>
    <n v="18.64"/>
    <n v="1"/>
  </r>
  <r>
    <s v="TCK-13570"/>
    <s v="2024-05-04 09:43:19"/>
    <s v="2024-05-04 13:37:06"/>
    <s v="P2"/>
    <x v="3"/>
    <s v="Billing Operations"/>
    <s v="Dwight Schrute"/>
    <s v="Resolved"/>
    <n v="5"/>
    <n v="8"/>
    <n v="3.9"/>
    <n v="1"/>
  </r>
  <r>
    <s v="TCK-13571"/>
    <s v="2024-08-10 04:26:15"/>
    <s v="2024-08-10 09:04:29"/>
    <s v="P2"/>
    <x v="2"/>
    <s v="Application Support"/>
    <s v="Anita Sharma"/>
    <s v="Resolved"/>
    <n v="5"/>
    <n v="8"/>
    <n v="4.6399999999999997"/>
    <n v="1"/>
  </r>
  <r>
    <s v="TCK-13572"/>
    <s v="2024-02-27 01:16:23"/>
    <s v="2024-02-27 08:47:20"/>
    <s v="P2"/>
    <x v="2"/>
    <s v="L1 Support"/>
    <s v="Sarah Connor"/>
    <s v="Resolved"/>
    <n v="5"/>
    <n v="8"/>
    <n v="7.52"/>
    <n v="1"/>
  </r>
  <r>
    <s v="TCK-13573"/>
    <s v="2024-06-26 10:41:25"/>
    <m/>
    <s v="P1"/>
    <x v="0"/>
    <s v="Application Support"/>
    <s v="John Doe"/>
    <s v="Escalated"/>
    <m/>
    <n v="4"/>
    <m/>
    <m/>
  </r>
  <r>
    <s v="TCK-13574"/>
    <s v="2024-06-01 22:30:41"/>
    <s v="2024-06-03 01:58:49"/>
    <s v="P4"/>
    <x v="2"/>
    <s v="Application Support"/>
    <s v="Sarah Connor"/>
    <s v="Resolved"/>
    <n v="5"/>
    <n v="48"/>
    <n v="27.47"/>
    <n v="1"/>
  </r>
  <r>
    <s v="TCK-13575"/>
    <s v="2024-03-03 14:44:07"/>
    <s v="2024-03-03 17:13:48"/>
    <s v="P2"/>
    <x v="1"/>
    <s v="L1 Support"/>
    <s v="Ravi Patel"/>
    <s v="Resolved"/>
    <n v="5"/>
    <n v="8"/>
    <n v="2.4900000000000002"/>
    <n v="1"/>
  </r>
  <r>
    <s v="TCK-13576"/>
    <s v="2024-07-16 16:25:37"/>
    <s v="2024-07-16 21:40:08"/>
    <s v="P3"/>
    <x v="3"/>
    <s v="L2 Support"/>
    <s v="Carlos Mendez"/>
    <s v="Resolved"/>
    <n v="4"/>
    <n v="24"/>
    <n v="5.24"/>
    <n v="1"/>
  </r>
  <r>
    <s v="TCK-13577"/>
    <s v="2024-12-19 09:32:44"/>
    <s v="2024-12-20 11:37:51"/>
    <s v="P4"/>
    <x v="1"/>
    <s v="L1 Support"/>
    <s v="Alex Mercer"/>
    <s v="Closed"/>
    <n v="4"/>
    <n v="48"/>
    <n v="26.09"/>
    <n v="1"/>
  </r>
  <r>
    <s v="TCK-13578"/>
    <s v="2024-03-08 00:57:51"/>
    <s v="2024-03-08 10:28:56"/>
    <s v="P3"/>
    <x v="2"/>
    <s v="Application Support"/>
    <s v="Pam Beesly"/>
    <s v="Closed"/>
    <n v="4"/>
    <n v="24"/>
    <n v="9.52"/>
    <n v="1"/>
  </r>
  <r>
    <s v="TCK-13579"/>
    <s v="2024-07-02 14:45:52"/>
    <s v="2024-07-02 18:45:36"/>
    <s v="P2"/>
    <x v="1"/>
    <s v="Application Support"/>
    <s v="Alex Mercer"/>
    <s v="Closed"/>
    <n v="5"/>
    <n v="8"/>
    <n v="4"/>
    <n v="1"/>
  </r>
  <r>
    <s v="TCK-13580"/>
    <s v="2024-01-28 06:25:59"/>
    <s v="2024-01-28 13:06:12"/>
    <s v="P3"/>
    <x v="0"/>
    <s v="Application Support"/>
    <s v="Anita Sharma"/>
    <s v="Closed"/>
    <n v="4"/>
    <n v="24"/>
    <n v="6.67"/>
    <n v="1"/>
  </r>
  <r>
    <s v="TCK-13581"/>
    <s v="2024-01-27 01:14:15"/>
    <s v="2024-01-27 02:10:11"/>
    <s v="P2"/>
    <x v="3"/>
    <s v="Infrastructure"/>
    <s v="Pam Beesly"/>
    <s v="Resolved"/>
    <n v="5"/>
    <n v="8"/>
    <n v="0.93"/>
    <n v="1"/>
  </r>
  <r>
    <s v="TCK-13582"/>
    <s v="2024-12-10 00:48:54"/>
    <s v="2024-12-10 03:37:44"/>
    <s v="P1"/>
    <x v="2"/>
    <s v="Billing Operations"/>
    <s v="Michael Scott"/>
    <s v="Closed"/>
    <n v="4"/>
    <n v="4"/>
    <n v="2.81"/>
    <n v="1"/>
  </r>
  <r>
    <s v="TCK-13583"/>
    <s v="2024-12-06 23:17:24"/>
    <s v="2024-12-07 09:47:25"/>
    <s v="P2"/>
    <x v="3"/>
    <s v="L1 Support"/>
    <s v="Emily Watson"/>
    <s v="Resolved"/>
    <n v="1"/>
    <n v="8"/>
    <n v="10.5"/>
    <n v="0"/>
  </r>
  <r>
    <s v="TCK-13584"/>
    <s v="2024-01-16 04:51:16"/>
    <s v="2024-01-16 07:30:07"/>
    <s v="P2"/>
    <x v="3"/>
    <s v="L2 Support"/>
    <s v="Alex Mercer"/>
    <s v="Closed"/>
    <n v="4"/>
    <n v="8"/>
    <n v="2.65"/>
    <n v="1"/>
  </r>
  <r>
    <s v="TCK-13585"/>
    <s v="2024-11-14 12:11:43"/>
    <s v="2024-11-15 10:35:59"/>
    <s v="P3"/>
    <x v="1"/>
    <s v="Application Support"/>
    <s v="Pam Beesly"/>
    <s v="Closed"/>
    <n v="5"/>
    <n v="24"/>
    <n v="22.4"/>
    <n v="1"/>
  </r>
  <r>
    <s v="TCK-13586"/>
    <s v="2024-02-25 07:18:09"/>
    <s v="2024-02-25 21:07:26"/>
    <s v="P4"/>
    <x v="0"/>
    <s v="Billing Operations"/>
    <s v="Sarah Connor"/>
    <s v="Closed"/>
    <n v="4"/>
    <n v="48"/>
    <n v="13.82"/>
    <n v="1"/>
  </r>
  <r>
    <s v="TCK-13587"/>
    <s v="2024-12-15 19:13:42"/>
    <s v="2024-12-16 02:42:08"/>
    <s v="P3"/>
    <x v="3"/>
    <s v="Billing Operations"/>
    <s v="Dwight Schrute"/>
    <s v="Closed"/>
    <n v="5"/>
    <n v="24"/>
    <n v="7.47"/>
    <n v="1"/>
  </r>
  <r>
    <s v="TCK-13588"/>
    <s v="2024-04-09 01:40:50"/>
    <s v="2024-04-09 09:27:51"/>
    <s v="P3"/>
    <x v="4"/>
    <s v="L1 Support"/>
    <s v="Alex Mercer"/>
    <s v="Resolved"/>
    <n v="4"/>
    <n v="24"/>
    <n v="7.78"/>
    <n v="1"/>
  </r>
  <r>
    <s v="TCK-13589"/>
    <s v="2024-01-13 05:28:12"/>
    <s v="2024-01-13 21:15:00"/>
    <s v="P3"/>
    <x v="2"/>
    <s v="Infrastructure"/>
    <s v="Ravi Patel"/>
    <s v="Resolved"/>
    <n v="4"/>
    <n v="24"/>
    <n v="15.78"/>
    <n v="1"/>
  </r>
  <r>
    <s v="TCK-13590"/>
    <s v="2024-04-26 13:53:56"/>
    <s v="2024-04-26 15:21:03"/>
    <s v="P2"/>
    <x v="4"/>
    <s v="L2 Support"/>
    <s v="Ravi Patel"/>
    <s v="Resolved"/>
    <n v="4"/>
    <n v="8"/>
    <n v="1.45"/>
    <n v="1"/>
  </r>
  <r>
    <s v="TCK-13591"/>
    <s v="2024-05-03 18:35:14"/>
    <s v="2024-05-04 03:24:53"/>
    <s v="P4"/>
    <x v="3"/>
    <s v="Application Support"/>
    <s v="Anita Sharma"/>
    <s v="Closed"/>
    <n v="5"/>
    <n v="48"/>
    <n v="8.83"/>
    <n v="1"/>
  </r>
  <r>
    <s v="TCK-13592"/>
    <s v="2024-03-17 02:51:18"/>
    <s v="2024-03-17 04:45:39"/>
    <s v="P2"/>
    <x v="2"/>
    <s v="Infrastructure"/>
    <s v="Pam Beesly"/>
    <s v="Resolved"/>
    <n v="5"/>
    <n v="8"/>
    <n v="1.91"/>
    <n v="1"/>
  </r>
  <r>
    <s v="TCK-13593"/>
    <s v="2024-08-02 23:17:58"/>
    <m/>
    <s v="P4"/>
    <x v="2"/>
    <s v="Billing Operations"/>
    <s v="Emily Watson"/>
    <s v="Escalated"/>
    <m/>
    <n v="48"/>
    <m/>
    <m/>
  </r>
  <r>
    <s v="TCK-13594"/>
    <s v="2024-09-08 23:04:02"/>
    <s v="2024-09-11 16:05:10"/>
    <s v="P3"/>
    <x v="2"/>
    <s v="Infrastructure"/>
    <s v="Michael Scott"/>
    <s v="Closed"/>
    <n v="2"/>
    <n v="24"/>
    <n v="65.02"/>
    <n v="0"/>
  </r>
  <r>
    <s v="TCK-13595"/>
    <s v="2024-06-06 11:04:11"/>
    <s v="2024-06-06 12:27:39"/>
    <s v="P2"/>
    <x v="2"/>
    <s v="L2 Support"/>
    <s v="Anita Sharma"/>
    <s v="Resolved"/>
    <n v="5"/>
    <n v="8"/>
    <n v="1.39"/>
    <n v="1"/>
  </r>
  <r>
    <s v="TCK-13596"/>
    <s v="2024-10-28 19:34:47"/>
    <s v="2024-10-28 23:24:28"/>
    <s v="P2"/>
    <x v="2"/>
    <s v="Billing Operations"/>
    <s v="Carlos Mendez"/>
    <s v="Resolved"/>
    <n v="5"/>
    <n v="8"/>
    <n v="3.83"/>
    <n v="1"/>
  </r>
  <r>
    <s v="TCK-13597"/>
    <s v="2024-07-28 09:20:48"/>
    <s v="2024-07-28 16:44:18"/>
    <s v="P2"/>
    <x v="1"/>
    <s v="L1 Support"/>
    <s v="Dwight Schrute"/>
    <s v="Resolved"/>
    <n v="3"/>
    <n v="8"/>
    <n v="7.39"/>
    <n v="1"/>
  </r>
  <r>
    <s v="TCK-13598"/>
    <s v="2024-12-19 03:36:34"/>
    <s v="2024-12-20 03:37:18"/>
    <s v="P4"/>
    <x v="0"/>
    <s v="Billing Operations"/>
    <s v="Ravi Patel"/>
    <s v="Resolved"/>
    <n v="5"/>
    <n v="48"/>
    <n v="24.01"/>
    <n v="1"/>
  </r>
  <r>
    <s v="TCK-13599"/>
    <s v="2024-06-17 00:21:17"/>
    <s v="2024-06-17 06:16:19"/>
    <s v="P1"/>
    <x v="0"/>
    <s v="Infrastructure"/>
    <s v="John Doe"/>
    <s v="Resolved"/>
    <n v="4"/>
    <n v="4"/>
    <n v="5.92"/>
    <n v="0"/>
  </r>
  <r>
    <s v="TCK-13600"/>
    <s v="2024-05-07 21:37:31"/>
    <s v="2024-05-09 08:28:21"/>
    <s v="P4"/>
    <x v="0"/>
    <s v="Infrastructure"/>
    <s v="Anita Sharma"/>
    <s v="Closed"/>
    <n v="4"/>
    <n v="48"/>
    <n v="34.85"/>
    <n v="1"/>
  </r>
  <r>
    <s v="TCK-13601"/>
    <s v="2024-06-07 07:19:34"/>
    <m/>
    <s v="P3"/>
    <x v="2"/>
    <s v="Billing Operations"/>
    <s v="Anita Sharma"/>
    <s v="Escalated"/>
    <m/>
    <n v="24"/>
    <m/>
    <m/>
  </r>
  <r>
    <s v="TCK-13602"/>
    <s v="2024-02-04 14:40:25"/>
    <s v="2024-02-04 20:17:32"/>
    <s v="P2"/>
    <x v="2"/>
    <s v="Application Support"/>
    <s v="Anita Sharma"/>
    <s v="Closed"/>
    <n v="5"/>
    <n v="8"/>
    <n v="5.62"/>
    <n v="1"/>
  </r>
  <r>
    <s v="TCK-13603"/>
    <s v="2024-06-30 23:36:52"/>
    <s v="2024-07-01 03:48:17"/>
    <s v="P3"/>
    <x v="1"/>
    <s v="Infrastructure"/>
    <s v="Pam Beesly"/>
    <s v="Closed"/>
    <n v="4"/>
    <n v="24"/>
    <n v="4.1900000000000004"/>
    <n v="1"/>
  </r>
  <r>
    <s v="TCK-13604"/>
    <s v="2024-08-01 17:38:21"/>
    <s v="2024-08-02 20:39:47"/>
    <s v="P3"/>
    <x v="0"/>
    <s v="Infrastructure"/>
    <s v="Ravi Patel"/>
    <s v="Closed"/>
    <n v="3"/>
    <n v="24"/>
    <n v="27.02"/>
    <n v="0"/>
  </r>
  <r>
    <s v="TCK-13605"/>
    <s v="2024-12-07 09:21:58"/>
    <s v="2024-12-07 12:44:33"/>
    <s v="P2"/>
    <x v="4"/>
    <s v="L2 Support"/>
    <s v="John Doe"/>
    <s v="Resolved"/>
    <n v="5"/>
    <n v="8"/>
    <n v="3.38"/>
    <n v="1"/>
  </r>
  <r>
    <s v="TCK-13606"/>
    <s v="2024-10-29 00:47:15"/>
    <s v="2024-10-29 18:27:12"/>
    <s v="P3"/>
    <x v="1"/>
    <s v="Billing Operations"/>
    <s v="Emily Watson"/>
    <s v="Resolved"/>
    <n v="4"/>
    <n v="24"/>
    <n v="17.670000000000002"/>
    <n v="1"/>
  </r>
  <r>
    <s v="TCK-13607"/>
    <s v="2024-07-16 11:03:23"/>
    <s v="2024-07-17 09:37:10"/>
    <s v="P3"/>
    <x v="0"/>
    <s v="Billing Operations"/>
    <s v="Anita Sharma"/>
    <s v="Closed"/>
    <n v="4"/>
    <n v="24"/>
    <n v="22.56"/>
    <n v="1"/>
  </r>
  <r>
    <s v="TCK-13608"/>
    <s v="2024-05-31 22:56:23"/>
    <s v="2024-06-02 05:48:46"/>
    <s v="P4"/>
    <x v="0"/>
    <s v="L2 Support"/>
    <s v="Priya Nair"/>
    <s v="Closed"/>
    <n v="5"/>
    <n v="48"/>
    <n v="30.87"/>
    <n v="1"/>
  </r>
  <r>
    <s v="TCK-13609"/>
    <s v="2024-11-30 10:34:38"/>
    <m/>
    <s v="P4"/>
    <x v="1"/>
    <s v="L1 Support"/>
    <s v="Carlos Mendez"/>
    <s v="Open"/>
    <m/>
    <n v="48"/>
    <m/>
    <m/>
  </r>
  <r>
    <s v="TCK-13610"/>
    <s v="2024-05-07 20:32:06"/>
    <s v="2024-05-08 09:58:17"/>
    <s v="P3"/>
    <x v="4"/>
    <s v="L2 Support"/>
    <s v="Emily Watson"/>
    <s v="Resolved"/>
    <n v="5"/>
    <n v="24"/>
    <n v="13.44"/>
    <n v="1"/>
  </r>
  <r>
    <s v="TCK-13611"/>
    <s v="2024-05-17 08:00:57"/>
    <s v="2024-05-22 18:59:05"/>
    <s v="P4"/>
    <x v="1"/>
    <s v="Infrastructure"/>
    <s v="Priya Nair"/>
    <s v="Closed"/>
    <n v="2"/>
    <n v="48"/>
    <n v="130.97"/>
    <n v="0"/>
  </r>
  <r>
    <s v="TCK-13612"/>
    <s v="2024-07-18 09:07:17"/>
    <m/>
    <s v="P3"/>
    <x v="2"/>
    <s v="Infrastructure"/>
    <s v="Emily Watson"/>
    <s v="Escalated"/>
    <m/>
    <n v="24"/>
    <m/>
    <m/>
  </r>
  <r>
    <s v="TCK-13613"/>
    <s v="2024-06-30 20:35:31"/>
    <s v="2024-07-01 09:07:09"/>
    <s v="P3"/>
    <x v="2"/>
    <s v="Billing Operations"/>
    <s v="Alex Mercer"/>
    <s v="Closed"/>
    <n v="4"/>
    <n v="24"/>
    <n v="12.53"/>
    <n v="1"/>
  </r>
  <r>
    <s v="TCK-13614"/>
    <s v="2024-08-14 12:17:27"/>
    <s v="2024-08-15 19:18:27"/>
    <s v="P4"/>
    <x v="0"/>
    <s v="Infrastructure"/>
    <s v="Michael Scott"/>
    <s v="Resolved"/>
    <n v="4"/>
    <n v="48"/>
    <n v="31.02"/>
    <n v="1"/>
  </r>
  <r>
    <s v="TCK-13615"/>
    <s v="2024-11-07 00:16:09"/>
    <s v="2024-11-07 11:19:36"/>
    <s v="P2"/>
    <x v="1"/>
    <s v="L1 Support"/>
    <s v="Dwight Schrute"/>
    <s v="Resolved"/>
    <n v="2"/>
    <n v="8"/>
    <n v="11.06"/>
    <n v="0"/>
  </r>
  <r>
    <s v="TCK-13616"/>
    <s v="2024-05-30 02:03:55"/>
    <s v="2024-05-30 21:24:15"/>
    <s v="P3"/>
    <x v="4"/>
    <s v="Infrastructure"/>
    <s v="Carlos Mendez"/>
    <s v="Resolved"/>
    <n v="5"/>
    <n v="24"/>
    <n v="19.34"/>
    <n v="1"/>
  </r>
  <r>
    <s v="TCK-13617"/>
    <s v="2024-02-12 17:07:13"/>
    <s v="2024-02-13 06:02:03"/>
    <s v="P3"/>
    <x v="1"/>
    <s v="Infrastructure"/>
    <s v="Emily Watson"/>
    <s v="Resolved"/>
    <n v="5"/>
    <n v="24"/>
    <n v="12.91"/>
    <n v="1"/>
  </r>
  <r>
    <s v="TCK-13618"/>
    <s v="2024-07-19 14:54:09"/>
    <s v="2024-07-19 20:29:23"/>
    <s v="P2"/>
    <x v="3"/>
    <s v="Billing Operations"/>
    <s v="Priya Nair"/>
    <s v="Resolved"/>
    <n v="5"/>
    <n v="8"/>
    <n v="5.59"/>
    <n v="1"/>
  </r>
  <r>
    <s v="TCK-13619"/>
    <s v="2024-06-16 00:22:17"/>
    <s v="2024-06-18 00:49:31"/>
    <s v="P3"/>
    <x v="0"/>
    <s v="Application Support"/>
    <s v="Ravi Patel"/>
    <s v="Closed"/>
    <n v="2"/>
    <n v="24"/>
    <n v="48.45"/>
    <n v="0"/>
  </r>
  <r>
    <s v="TCK-13620"/>
    <s v="2024-11-06 00:00:37"/>
    <m/>
    <s v="P3"/>
    <x v="2"/>
    <s v="Billing Operations"/>
    <s v="Michael Scott"/>
    <s v="Escalated"/>
    <m/>
    <n v="24"/>
    <m/>
    <m/>
  </r>
  <r>
    <s v="TCK-13621"/>
    <s v="2024-03-26 00:39:39"/>
    <s v="2024-03-30 16:06:09"/>
    <s v="P4"/>
    <x v="3"/>
    <s v="Application Support"/>
    <s v="Priya Nair"/>
    <s v="Resolved"/>
    <n v="1"/>
    <n v="48"/>
    <n v="111.44"/>
    <n v="0"/>
  </r>
  <r>
    <s v="TCK-13622"/>
    <s v="2024-09-24 00:35:06"/>
    <s v="2024-09-25 16:28:05"/>
    <s v="P4"/>
    <x v="2"/>
    <s v="Application Support"/>
    <s v="Sarah Connor"/>
    <s v="Closed"/>
    <n v="4"/>
    <n v="48"/>
    <n v="39.880000000000003"/>
    <n v="1"/>
  </r>
  <r>
    <s v="TCK-13623"/>
    <s v="2024-01-11 06:03:20"/>
    <s v="2024-01-11 11:29:14"/>
    <s v="P3"/>
    <x v="1"/>
    <s v="Billing Operations"/>
    <s v="Ravi Patel"/>
    <s v="Resolved"/>
    <n v="4"/>
    <n v="24"/>
    <n v="5.43"/>
    <n v="1"/>
  </r>
  <r>
    <s v="TCK-13624"/>
    <s v="2024-10-03 16:35:12"/>
    <s v="2024-10-04 01:55:26"/>
    <s v="P3"/>
    <x v="2"/>
    <s v="L2 Support"/>
    <s v="Emily Watson"/>
    <s v="Resolved"/>
    <n v="5"/>
    <n v="24"/>
    <n v="9.34"/>
    <n v="1"/>
  </r>
  <r>
    <s v="TCK-13625"/>
    <s v="2024-05-09 16:04:14"/>
    <s v="2024-05-10 23:44:25"/>
    <s v="P3"/>
    <x v="1"/>
    <s v="L2 Support"/>
    <s v="Emily Watson"/>
    <s v="Resolved"/>
    <n v="3"/>
    <n v="24"/>
    <n v="31.67"/>
    <n v="0"/>
  </r>
  <r>
    <s v="TCK-13626"/>
    <s v="2024-11-07 11:22:39"/>
    <s v="2024-11-07 20:31:48"/>
    <s v="P3"/>
    <x v="3"/>
    <s v="Application Support"/>
    <s v="Emily Watson"/>
    <s v="Resolved"/>
    <n v="4"/>
    <n v="24"/>
    <n v="9.15"/>
    <n v="1"/>
  </r>
  <r>
    <s v="TCK-13627"/>
    <s v="2024-08-30 07:25:24"/>
    <s v="2024-08-30 15:17:14"/>
    <s v="P3"/>
    <x v="2"/>
    <s v="L1 Support"/>
    <s v="Emily Watson"/>
    <s v="Resolved"/>
    <n v="4"/>
    <n v="24"/>
    <n v="7.86"/>
    <n v="1"/>
  </r>
  <r>
    <s v="TCK-13628"/>
    <s v="2024-04-23 17:48:58"/>
    <s v="2024-04-24 03:43:34"/>
    <s v="P3"/>
    <x v="3"/>
    <s v="L1 Support"/>
    <s v="Anita Sharma"/>
    <s v="Resolved"/>
    <n v="5"/>
    <n v="24"/>
    <n v="9.91"/>
    <n v="1"/>
  </r>
  <r>
    <s v="TCK-13629"/>
    <s v="2024-01-17 14:33:05"/>
    <s v="2024-01-18 03:17:22"/>
    <s v="P4"/>
    <x v="1"/>
    <s v="L1 Support"/>
    <s v="Jim Halpert"/>
    <s v="Resolved"/>
    <n v="5"/>
    <n v="48"/>
    <n v="12.74"/>
    <n v="1"/>
  </r>
  <r>
    <s v="TCK-13630"/>
    <s v="2024-04-13 10:20:59"/>
    <s v="2024-04-13 19:41:05"/>
    <s v="P4"/>
    <x v="0"/>
    <s v="Billing Operations"/>
    <s v="Michael Scott"/>
    <s v="Closed"/>
    <n v="4"/>
    <n v="48"/>
    <n v="9.34"/>
    <n v="1"/>
  </r>
  <r>
    <s v="TCK-13631"/>
    <s v="2024-08-02 07:48:25"/>
    <m/>
    <s v="P3"/>
    <x v="4"/>
    <s v="Billing Operations"/>
    <s v="Sarah Connor"/>
    <s v="Open"/>
    <m/>
    <n v="24"/>
    <m/>
    <m/>
  </r>
  <r>
    <s v="TCK-13632"/>
    <s v="2024-02-27 14:33:57"/>
    <s v="2024-02-28 01:13:56"/>
    <s v="P3"/>
    <x v="0"/>
    <s v="L1 Support"/>
    <s v="Jim Halpert"/>
    <s v="Resolved"/>
    <n v="5"/>
    <n v="24"/>
    <n v="10.67"/>
    <n v="1"/>
  </r>
  <r>
    <s v="TCK-13633"/>
    <s v="2024-03-06 21:53:19"/>
    <s v="2024-03-07 03:45:58"/>
    <s v="P4"/>
    <x v="4"/>
    <s v="Billing Operations"/>
    <s v="Carlos Mendez"/>
    <s v="Resolved"/>
    <n v="4"/>
    <n v="48"/>
    <n v="5.88"/>
    <n v="1"/>
  </r>
  <r>
    <s v="TCK-13634"/>
    <s v="2024-04-20 08:23:33"/>
    <s v="2024-04-20 18:20:05"/>
    <s v="P3"/>
    <x v="3"/>
    <s v="L2 Support"/>
    <s v="Carlos Mendez"/>
    <s v="Resolved"/>
    <n v="5"/>
    <n v="24"/>
    <n v="9.94"/>
    <n v="1"/>
  </r>
  <r>
    <s v="TCK-13635"/>
    <s v="2024-05-12 10:02:56"/>
    <s v="2024-05-12 22:38:35"/>
    <s v="P3"/>
    <x v="1"/>
    <s v="Application Support"/>
    <s v="Emily Watson"/>
    <s v="Closed"/>
    <n v="4"/>
    <n v="24"/>
    <n v="12.59"/>
    <n v="1"/>
  </r>
  <r>
    <s v="TCK-13636"/>
    <s v="2024-07-28 15:13:29"/>
    <s v="2024-07-29 11:07:27"/>
    <s v="P3"/>
    <x v="3"/>
    <s v="L2 Support"/>
    <s v="Emily Watson"/>
    <s v="Closed"/>
    <n v="4"/>
    <n v="24"/>
    <n v="19.899999999999999"/>
    <n v="1"/>
  </r>
  <r>
    <s v="TCK-13637"/>
    <s v="2024-10-08 04:28:41"/>
    <s v="2024-10-08 22:00:41"/>
    <s v="P3"/>
    <x v="2"/>
    <s v="Application Support"/>
    <s v="Alex Mercer"/>
    <s v="Resolved"/>
    <n v="4"/>
    <n v="24"/>
    <n v="17.53"/>
    <n v="1"/>
  </r>
  <r>
    <s v="TCK-13638"/>
    <s v="2024-08-07 23:26:56"/>
    <s v="2024-08-08 05:35:49"/>
    <s v="P3"/>
    <x v="3"/>
    <s v="L2 Support"/>
    <s v="Jim Halpert"/>
    <s v="Closed"/>
    <n v="5"/>
    <n v="24"/>
    <n v="6.15"/>
    <n v="1"/>
  </r>
  <r>
    <s v="TCK-13639"/>
    <s v="2024-02-28 10:59:40"/>
    <s v="2024-02-28 14:01:24"/>
    <s v="P1"/>
    <x v="2"/>
    <s v="Infrastructure"/>
    <s v="Carlos Mendez"/>
    <s v="Resolved"/>
    <n v="3"/>
    <n v="4"/>
    <n v="3.03"/>
    <n v="1"/>
  </r>
  <r>
    <s v="TCK-13640"/>
    <s v="2024-09-07 04:07:48"/>
    <s v="2024-09-07 11:12:26"/>
    <s v="P4"/>
    <x v="2"/>
    <s v="L1 Support"/>
    <s v="Pam Beesly"/>
    <s v="Closed"/>
    <n v="5"/>
    <n v="48"/>
    <n v="7.08"/>
    <n v="1"/>
  </r>
  <r>
    <s v="TCK-13641"/>
    <s v="2024-03-22 10:01:05"/>
    <s v="2024-03-23 08:39:03"/>
    <s v="P2"/>
    <x v="3"/>
    <s v="Application Support"/>
    <s v="Jim Halpert"/>
    <s v="Closed"/>
    <n v="2"/>
    <n v="8"/>
    <n v="22.63"/>
    <n v="0"/>
  </r>
  <r>
    <s v="TCK-13642"/>
    <s v="2024-10-10 02:31:53"/>
    <s v="2024-10-10 05:05:27"/>
    <s v="P1"/>
    <x v="3"/>
    <s v="L2 Support"/>
    <s v="Carlos Mendez"/>
    <s v="Closed"/>
    <n v="5"/>
    <n v="4"/>
    <n v="2.56"/>
    <n v="1"/>
  </r>
  <r>
    <s v="TCK-13643"/>
    <s v="2024-10-14 23:11:46"/>
    <s v="2024-10-15 18:56:17"/>
    <s v="P3"/>
    <x v="3"/>
    <s v="Application Support"/>
    <s v="Carlos Mendez"/>
    <s v="Closed"/>
    <n v="4"/>
    <n v="24"/>
    <n v="19.739999999999998"/>
    <n v="1"/>
  </r>
  <r>
    <s v="TCK-13644"/>
    <s v="2024-07-05 21:30:10"/>
    <s v="2024-07-06 02:41:05"/>
    <s v="P1"/>
    <x v="1"/>
    <s v="Application Support"/>
    <s v="Alex Mercer"/>
    <s v="Closed"/>
    <n v="1"/>
    <n v="4"/>
    <n v="5.18"/>
    <n v="0"/>
  </r>
  <r>
    <s v="TCK-13645"/>
    <s v="2024-03-31 21:20:06"/>
    <s v="2024-04-01 05:34:15"/>
    <s v="P3"/>
    <x v="2"/>
    <s v="Infrastructure"/>
    <s v="John Doe"/>
    <s v="Resolved"/>
    <n v="5"/>
    <n v="24"/>
    <n v="8.24"/>
    <n v="1"/>
  </r>
  <r>
    <s v="TCK-13646"/>
    <s v="2024-07-10 00:24:36"/>
    <s v="2024-07-11 04:31:05"/>
    <s v="P3"/>
    <x v="2"/>
    <s v="Application Support"/>
    <s v="John Doe"/>
    <s v="Closed"/>
    <n v="1"/>
    <n v="24"/>
    <n v="28.11"/>
    <n v="0"/>
  </r>
  <r>
    <s v="TCK-13647"/>
    <s v="2024-03-02 23:55:53"/>
    <m/>
    <s v="P3"/>
    <x v="2"/>
    <s v="L1 Support"/>
    <s v="Sarah Connor"/>
    <s v="Escalated"/>
    <m/>
    <n v="24"/>
    <m/>
    <m/>
  </r>
  <r>
    <s v="TCK-13648"/>
    <s v="2024-03-06 08:23:02"/>
    <s v="2024-03-06 18:14:37"/>
    <s v="P3"/>
    <x v="3"/>
    <s v="L1 Support"/>
    <s v="Michael Scott"/>
    <s v="Resolved"/>
    <n v="5"/>
    <n v="24"/>
    <n v="9.86"/>
    <n v="1"/>
  </r>
  <r>
    <s v="TCK-13649"/>
    <s v="2024-02-23 16:14:02"/>
    <s v="2024-02-24 08:45:47"/>
    <s v="P3"/>
    <x v="2"/>
    <s v="Application Support"/>
    <s v="Alex Mercer"/>
    <s v="Closed"/>
    <n v="3"/>
    <n v="24"/>
    <n v="16.53"/>
    <n v="1"/>
  </r>
  <r>
    <s v="TCK-13650"/>
    <s v="2024-06-15 00:04:42"/>
    <s v="2024-06-16 14:11:39"/>
    <s v="P4"/>
    <x v="4"/>
    <s v="Application Support"/>
    <s v="John Doe"/>
    <s v="Closed"/>
    <n v="4"/>
    <n v="48"/>
    <n v="38.119999999999997"/>
    <n v="1"/>
  </r>
  <r>
    <s v="TCK-13651"/>
    <s v="2024-05-20 20:06:02"/>
    <s v="2024-05-21 16:59:08"/>
    <s v="P3"/>
    <x v="2"/>
    <s v="Application Support"/>
    <s v="Priya Nair"/>
    <s v="Resolved"/>
    <n v="4"/>
    <n v="24"/>
    <n v="20.88"/>
    <n v="1"/>
  </r>
  <r>
    <s v="TCK-13652"/>
    <s v="2024-06-20 19:15:13"/>
    <s v="2024-06-20 21:12:40"/>
    <s v="P1"/>
    <x v="3"/>
    <s v="Billing Operations"/>
    <s v="Michael Scott"/>
    <s v="Resolved"/>
    <n v="5"/>
    <n v="4"/>
    <n v="1.96"/>
    <n v="1"/>
  </r>
  <r>
    <s v="TCK-13653"/>
    <s v="2024-06-17 20:57:09"/>
    <s v="2024-06-18 02:20:49"/>
    <s v="P1"/>
    <x v="4"/>
    <s v="Billing Operations"/>
    <s v="Ravi Patel"/>
    <s v="Closed"/>
    <n v="2"/>
    <n v="4"/>
    <n v="5.39"/>
    <n v="0"/>
  </r>
  <r>
    <s v="TCK-13654"/>
    <s v="2024-06-04 05:52:57"/>
    <s v="2024-06-04 16:27:50"/>
    <s v="P3"/>
    <x v="1"/>
    <s v="L2 Support"/>
    <s v="Ravi Patel"/>
    <s v="Closed"/>
    <n v="5"/>
    <n v="24"/>
    <n v="10.58"/>
    <n v="1"/>
  </r>
  <r>
    <s v="TCK-13655"/>
    <s v="2024-10-02 01:51:13"/>
    <s v="2024-10-02 21:54:49"/>
    <s v="P3"/>
    <x v="2"/>
    <s v="L1 Support"/>
    <s v="Dwight Schrute"/>
    <s v="Resolved"/>
    <n v="3"/>
    <n v="24"/>
    <n v="20.059999999999999"/>
    <n v="1"/>
  </r>
  <r>
    <s v="TCK-13656"/>
    <s v="2024-07-19 16:57:53"/>
    <s v="2024-07-19 22:11:46"/>
    <s v="P4"/>
    <x v="1"/>
    <s v="Application Support"/>
    <s v="Priya Nair"/>
    <s v="Closed"/>
    <n v="4"/>
    <n v="48"/>
    <n v="5.23"/>
    <n v="1"/>
  </r>
  <r>
    <s v="TCK-13657"/>
    <s v="2024-09-25 07:01:15"/>
    <m/>
    <s v="P4"/>
    <x v="3"/>
    <s v="Application Support"/>
    <s v="Michael Scott"/>
    <s v="Escalated"/>
    <m/>
    <n v="48"/>
    <m/>
    <m/>
  </r>
  <r>
    <s v="TCK-13658"/>
    <s v="2024-12-04 04:28:35"/>
    <s v="2024-12-05 01:11:12"/>
    <s v="P3"/>
    <x v="2"/>
    <s v="L1 Support"/>
    <s v="John Doe"/>
    <s v="Resolved"/>
    <n v="5"/>
    <n v="24"/>
    <n v="20.71"/>
    <n v="1"/>
  </r>
  <r>
    <s v="TCK-13659"/>
    <s v="2024-10-22 20:44:58"/>
    <s v="2024-10-25 05:24:38"/>
    <s v="P3"/>
    <x v="2"/>
    <s v="Billing Operations"/>
    <s v="Carlos Mendez"/>
    <s v="Resolved"/>
    <n v="1"/>
    <n v="24"/>
    <n v="56.66"/>
    <n v="0"/>
  </r>
  <r>
    <s v="TCK-13660"/>
    <s v="2024-11-21 22:57:58"/>
    <s v="2024-11-22 15:15:24"/>
    <s v="P3"/>
    <x v="1"/>
    <s v="Billing Operations"/>
    <s v="Anita Sharma"/>
    <s v="Resolved"/>
    <n v="5"/>
    <n v="24"/>
    <n v="16.29"/>
    <n v="1"/>
  </r>
  <r>
    <s v="TCK-13661"/>
    <s v="2024-07-22 04:11:02"/>
    <s v="2024-07-22 21:21:07"/>
    <s v="P3"/>
    <x v="4"/>
    <s v="L1 Support"/>
    <s v="Dwight Schrute"/>
    <s v="Resolved"/>
    <n v="4"/>
    <n v="24"/>
    <n v="17.170000000000002"/>
    <n v="1"/>
  </r>
  <r>
    <s v="TCK-13662"/>
    <s v="2024-12-05 01:42:13"/>
    <s v="2024-12-06 21:13:29"/>
    <s v="P4"/>
    <x v="0"/>
    <s v="L1 Support"/>
    <s v="Dwight Schrute"/>
    <s v="Resolved"/>
    <n v="4"/>
    <n v="48"/>
    <n v="43.52"/>
    <n v="1"/>
  </r>
  <r>
    <s v="TCK-13663"/>
    <s v="2024-04-21 02:33:15"/>
    <s v="2024-04-21 04:59:03"/>
    <s v="P1"/>
    <x v="2"/>
    <s v="Application Support"/>
    <s v="Ravi Patel"/>
    <s v="Closed"/>
    <n v="4"/>
    <n v="4"/>
    <n v="2.4300000000000002"/>
    <n v="1"/>
  </r>
  <r>
    <s v="TCK-13664"/>
    <s v="2024-02-29 05:37:54"/>
    <s v="2024-03-01 11:07:05"/>
    <s v="P3"/>
    <x v="2"/>
    <s v="L1 Support"/>
    <s v="Carlos Mendez"/>
    <s v="Resolved"/>
    <n v="4"/>
    <n v="24"/>
    <n v="29.49"/>
    <n v="0"/>
  </r>
  <r>
    <s v="TCK-13665"/>
    <s v="2024-08-09 22:50:33"/>
    <s v="2024-08-11 09:42:30"/>
    <s v="P4"/>
    <x v="1"/>
    <s v="Application Support"/>
    <s v="Alex Mercer"/>
    <s v="Closed"/>
    <n v="3"/>
    <n v="48"/>
    <n v="34.869999999999997"/>
    <n v="1"/>
  </r>
  <r>
    <s v="TCK-13666"/>
    <s v="2024-03-09 22:07:45"/>
    <s v="2024-03-10 00:51:42"/>
    <s v="P1"/>
    <x v="1"/>
    <s v="Infrastructure"/>
    <s v="Carlos Mendez"/>
    <s v="Resolved"/>
    <n v="5"/>
    <n v="4"/>
    <n v="2.73"/>
    <n v="1"/>
  </r>
  <r>
    <s v="TCK-13667"/>
    <s v="2024-03-30 12:25:58"/>
    <s v="2024-03-31 03:28:58"/>
    <s v="P3"/>
    <x v="3"/>
    <s v="L1 Support"/>
    <s v="Sarah Connor"/>
    <s v="Resolved"/>
    <n v="5"/>
    <n v="24"/>
    <n v="15.05"/>
    <n v="1"/>
  </r>
  <r>
    <s v="TCK-13668"/>
    <s v="2024-05-21 21:08:50"/>
    <s v="2024-05-23 04:37:42"/>
    <s v="P4"/>
    <x v="0"/>
    <s v="Application Support"/>
    <s v="Michael Scott"/>
    <s v="Closed"/>
    <n v="5"/>
    <n v="48"/>
    <n v="31.48"/>
    <n v="1"/>
  </r>
  <r>
    <s v="TCK-13669"/>
    <s v="2024-05-09 22:53:38"/>
    <s v="2024-05-10 10:30:01"/>
    <s v="P3"/>
    <x v="0"/>
    <s v="Application Support"/>
    <s v="Pam Beesly"/>
    <s v="Closed"/>
    <n v="4"/>
    <n v="24"/>
    <n v="11.61"/>
    <n v="1"/>
  </r>
  <r>
    <s v="TCK-13670"/>
    <s v="2024-11-19 05:21:50"/>
    <s v="2024-11-19 22:54:02"/>
    <s v="P3"/>
    <x v="2"/>
    <s v="Application Support"/>
    <s v="Carlos Mendez"/>
    <s v="Closed"/>
    <n v="5"/>
    <n v="24"/>
    <n v="17.54"/>
    <n v="1"/>
  </r>
  <r>
    <s v="TCK-13671"/>
    <s v="2024-03-05 17:01:40"/>
    <s v="2024-03-05 18:55:35"/>
    <s v="P1"/>
    <x v="1"/>
    <s v="Infrastructure"/>
    <s v="Sarah Connor"/>
    <s v="Resolved"/>
    <n v="3"/>
    <n v="4"/>
    <n v="1.9"/>
    <n v="1"/>
  </r>
  <r>
    <s v="TCK-13672"/>
    <s v="2024-11-04 10:30:47"/>
    <s v="2024-11-07 09:43:53"/>
    <s v="P3"/>
    <x v="0"/>
    <s v="L1 Support"/>
    <s v="Emily Watson"/>
    <s v="Resolved"/>
    <n v="3"/>
    <n v="24"/>
    <n v="71.22"/>
    <n v="0"/>
  </r>
  <r>
    <s v="TCK-13673"/>
    <s v="2024-12-03 14:03:30"/>
    <s v="2024-12-04 04:51:36"/>
    <s v="P3"/>
    <x v="2"/>
    <s v="Application Support"/>
    <s v="Priya Nair"/>
    <s v="Closed"/>
    <n v="4"/>
    <n v="24"/>
    <n v="14.8"/>
    <n v="1"/>
  </r>
  <r>
    <s v="TCK-13674"/>
    <s v="2024-02-15 01:51:22"/>
    <s v="2024-02-15 06:03:34"/>
    <s v="P3"/>
    <x v="4"/>
    <s v="L1 Support"/>
    <s v="Ravi Patel"/>
    <s v="Resolved"/>
    <n v="5"/>
    <n v="24"/>
    <n v="4.2"/>
    <n v="1"/>
  </r>
  <r>
    <s v="TCK-13675"/>
    <s v="2024-04-27 07:11:17"/>
    <s v="2024-04-27 20:07:07"/>
    <s v="P3"/>
    <x v="1"/>
    <s v="Infrastructure"/>
    <s v="Ravi Patel"/>
    <s v="Resolved"/>
    <n v="3"/>
    <n v="24"/>
    <n v="12.93"/>
    <n v="1"/>
  </r>
  <r>
    <s v="TCK-13676"/>
    <s v="2024-04-16 07:20:03"/>
    <m/>
    <s v="P3"/>
    <x v="1"/>
    <s v="L1 Support"/>
    <s v="Emily Watson"/>
    <s v="Open"/>
    <m/>
    <n v="24"/>
    <m/>
    <m/>
  </r>
  <r>
    <s v="TCK-13677"/>
    <s v="2024-11-05 20:14:26"/>
    <s v="2024-11-05 22:46:40"/>
    <s v="P2"/>
    <x v="2"/>
    <s v="Infrastructure"/>
    <s v="Priya Nair"/>
    <s v="Resolved"/>
    <n v="4"/>
    <n v="8"/>
    <n v="2.54"/>
    <n v="1"/>
  </r>
  <r>
    <s v="TCK-13678"/>
    <s v="2024-08-07 17:35:54"/>
    <s v="2024-08-08 02:28:19"/>
    <s v="P3"/>
    <x v="3"/>
    <s v="L2 Support"/>
    <s v="John Doe"/>
    <s v="Resolved"/>
    <n v="5"/>
    <n v="24"/>
    <n v="8.8699999999999992"/>
    <n v="1"/>
  </r>
  <r>
    <s v="TCK-13679"/>
    <s v="2024-10-13 09:57:32"/>
    <s v="2024-10-14 02:39:43"/>
    <s v="P3"/>
    <x v="1"/>
    <s v="L1 Support"/>
    <s v="Sarah Connor"/>
    <s v="Closed"/>
    <n v="4"/>
    <n v="24"/>
    <n v="16.7"/>
    <n v="1"/>
  </r>
  <r>
    <s v="TCK-13680"/>
    <s v="2024-09-26 11:03:21"/>
    <s v="2024-09-30 22:31:21"/>
    <s v="P4"/>
    <x v="4"/>
    <s v="Infrastructure"/>
    <s v="Jim Halpert"/>
    <s v="Closed"/>
    <n v="2"/>
    <n v="48"/>
    <n v="107.47"/>
    <n v="0"/>
  </r>
  <r>
    <s v="TCK-13681"/>
    <s v="2024-10-09 15:09:41"/>
    <s v="2024-10-10 05:59:21"/>
    <s v="P2"/>
    <x v="2"/>
    <s v="L2 Support"/>
    <s v="Sarah Connor"/>
    <s v="Resolved"/>
    <n v="2"/>
    <n v="8"/>
    <n v="14.83"/>
    <n v="0"/>
  </r>
  <r>
    <s v="TCK-13682"/>
    <s v="2024-03-22 18:01:47"/>
    <s v="2024-03-23 02:22:42"/>
    <s v="P1"/>
    <x v="3"/>
    <s v="L2 Support"/>
    <s v="Carlos Mendez"/>
    <s v="Resolved"/>
    <n v="3"/>
    <n v="4"/>
    <n v="8.35"/>
    <n v="0"/>
  </r>
  <r>
    <s v="TCK-13683"/>
    <s v="2024-01-16 19:44:17"/>
    <s v="2024-01-18 15:13:39"/>
    <s v="P4"/>
    <x v="4"/>
    <s v="Application Support"/>
    <s v="Michael Scott"/>
    <s v="Resolved"/>
    <n v="5"/>
    <n v="48"/>
    <n v="43.49"/>
    <n v="1"/>
  </r>
  <r>
    <s v="TCK-13684"/>
    <s v="2024-02-22 11:21:13"/>
    <s v="2024-02-22 19:35:11"/>
    <s v="P1"/>
    <x v="0"/>
    <s v="Infrastructure"/>
    <s v="Ravi Patel"/>
    <s v="Closed"/>
    <n v="3"/>
    <n v="4"/>
    <n v="8.23"/>
    <n v="0"/>
  </r>
  <r>
    <s v="TCK-13685"/>
    <s v="2024-07-07 09:43:13"/>
    <s v="2024-07-12 20:02:31"/>
    <s v="P4"/>
    <x v="2"/>
    <s v="L1 Support"/>
    <s v="Priya Nair"/>
    <s v="Closed"/>
    <n v="3"/>
    <n v="48"/>
    <n v="130.32"/>
    <n v="0"/>
  </r>
  <r>
    <s v="TCK-13686"/>
    <s v="2024-07-02 01:11:41"/>
    <s v="2024-07-02 18:01:04"/>
    <s v="P4"/>
    <x v="2"/>
    <s v="Billing Operations"/>
    <s v="Michael Scott"/>
    <s v="Resolved"/>
    <n v="5"/>
    <n v="48"/>
    <n v="16.82"/>
    <n v="1"/>
  </r>
  <r>
    <s v="TCK-13687"/>
    <s v="2024-12-29 15:15:45"/>
    <s v="2025-01-01 09:37:36"/>
    <s v="P3"/>
    <x v="4"/>
    <s v="Billing Operations"/>
    <s v="Michael Scott"/>
    <s v="Closed"/>
    <n v="1"/>
    <n v="24"/>
    <n v="66.36"/>
    <n v="0"/>
  </r>
  <r>
    <s v="TCK-13688"/>
    <s v="2024-06-16 05:50:26"/>
    <s v="2024-06-16 08:57:45"/>
    <s v="P1"/>
    <x v="1"/>
    <s v="Infrastructure"/>
    <s v="Ravi Patel"/>
    <s v="Resolved"/>
    <n v="5"/>
    <n v="4"/>
    <n v="3.12"/>
    <n v="1"/>
  </r>
  <r>
    <s v="TCK-13689"/>
    <s v="2024-12-14 17:09:56"/>
    <m/>
    <s v="P2"/>
    <x v="2"/>
    <s v="Application Support"/>
    <s v="Anita Sharma"/>
    <s v="Open"/>
    <m/>
    <n v="8"/>
    <m/>
    <m/>
  </r>
  <r>
    <s v="TCK-13690"/>
    <s v="2024-07-20 16:29:25"/>
    <s v="2024-07-21 00:52:17"/>
    <s v="P3"/>
    <x v="2"/>
    <s v="Billing Operations"/>
    <s v="Ravi Patel"/>
    <s v="Resolved"/>
    <n v="4"/>
    <n v="24"/>
    <n v="8.3800000000000008"/>
    <n v="1"/>
  </r>
  <r>
    <s v="TCK-13691"/>
    <s v="2024-04-10 12:34:13"/>
    <s v="2024-04-11 18:16:25"/>
    <s v="P4"/>
    <x v="0"/>
    <s v="L1 Support"/>
    <s v="Emily Watson"/>
    <s v="Resolved"/>
    <n v="5"/>
    <n v="48"/>
    <n v="29.7"/>
    <n v="1"/>
  </r>
  <r>
    <s v="TCK-13692"/>
    <s v="2024-10-07 17:56:05"/>
    <m/>
    <s v="P4"/>
    <x v="4"/>
    <s v="L2 Support"/>
    <s v="Jim Halpert"/>
    <s v="Escalated"/>
    <m/>
    <n v="48"/>
    <m/>
    <m/>
  </r>
  <r>
    <s v="TCK-13693"/>
    <s v="2024-12-22 10:29:34"/>
    <s v="2024-12-22 13:08:55"/>
    <s v="P1"/>
    <x v="2"/>
    <s v="Billing Operations"/>
    <s v="Jim Halpert"/>
    <s v="Resolved"/>
    <n v="3"/>
    <n v="4"/>
    <n v="2.66"/>
    <n v="1"/>
  </r>
  <r>
    <s v="TCK-13694"/>
    <s v="2024-09-28 12:34:24"/>
    <s v="2024-09-29 08:06:55"/>
    <s v="P3"/>
    <x v="2"/>
    <s v="L2 Support"/>
    <s v="Ravi Patel"/>
    <s v="Closed"/>
    <n v="5"/>
    <n v="24"/>
    <n v="19.54"/>
    <n v="1"/>
  </r>
  <r>
    <s v="TCK-13695"/>
    <s v="2024-07-24 09:11:05"/>
    <s v="2024-07-24 12:21:40"/>
    <s v="P2"/>
    <x v="2"/>
    <s v="Billing Operations"/>
    <s v="Emily Watson"/>
    <s v="Resolved"/>
    <n v="4"/>
    <n v="8"/>
    <n v="3.18"/>
    <n v="1"/>
  </r>
  <r>
    <s v="TCK-13696"/>
    <s v="2024-12-10 20:14:56"/>
    <s v="2024-12-10 23:46:56"/>
    <s v="P1"/>
    <x v="2"/>
    <s v="Billing Operations"/>
    <s v="Jim Halpert"/>
    <s v="Resolved"/>
    <n v="5"/>
    <n v="4"/>
    <n v="3.53"/>
    <n v="1"/>
  </r>
  <r>
    <s v="TCK-13697"/>
    <s v="2024-01-25 10:50:12"/>
    <s v="2024-01-26 12:47:23"/>
    <s v="P4"/>
    <x v="0"/>
    <s v="L1 Support"/>
    <s v="Carlos Mendez"/>
    <s v="Resolved"/>
    <n v="5"/>
    <n v="48"/>
    <n v="25.95"/>
    <n v="1"/>
  </r>
  <r>
    <s v="TCK-13698"/>
    <s v="2024-03-31 11:00:29"/>
    <s v="2024-03-31 13:29:41"/>
    <s v="P2"/>
    <x v="1"/>
    <s v="L2 Support"/>
    <s v="Dwight Schrute"/>
    <s v="Closed"/>
    <n v="4"/>
    <n v="8"/>
    <n v="2.4900000000000002"/>
    <n v="1"/>
  </r>
  <r>
    <s v="TCK-13699"/>
    <s v="2024-06-20 05:01:42"/>
    <s v="2024-06-20 16:26:09"/>
    <s v="P4"/>
    <x v="2"/>
    <s v="Application Support"/>
    <s v="Sarah Connor"/>
    <s v="Resolved"/>
    <n v="4"/>
    <n v="48"/>
    <n v="11.41"/>
    <n v="1"/>
  </r>
  <r>
    <s v="TCK-13700"/>
    <s v="2024-12-05 01:32:18"/>
    <s v="2024-12-06 04:31:02"/>
    <s v="P4"/>
    <x v="2"/>
    <s v="L1 Support"/>
    <s v="Sarah Connor"/>
    <s v="Resolved"/>
    <n v="3"/>
    <n v="48"/>
    <n v="26.98"/>
    <n v="1"/>
  </r>
  <r>
    <s v="TCK-13701"/>
    <s v="2024-07-30 19:23:41"/>
    <s v="2024-07-31 16:18:52"/>
    <s v="P4"/>
    <x v="3"/>
    <s v="Application Support"/>
    <s v="Ravi Patel"/>
    <s v="Closed"/>
    <n v="3"/>
    <n v="48"/>
    <n v="20.92"/>
    <n v="1"/>
  </r>
  <r>
    <s v="TCK-13702"/>
    <s v="2024-09-28 00:05:11"/>
    <s v="2024-09-28 19:18:53"/>
    <s v="P4"/>
    <x v="2"/>
    <s v="Billing Operations"/>
    <s v="Pam Beesly"/>
    <s v="Resolved"/>
    <n v="4"/>
    <n v="48"/>
    <n v="19.23"/>
    <n v="1"/>
  </r>
  <r>
    <s v="TCK-13703"/>
    <s v="2024-11-19 23:40:16"/>
    <s v="2024-11-20 04:01:20"/>
    <s v="P2"/>
    <x v="2"/>
    <s v="L1 Support"/>
    <s v="John Doe"/>
    <s v="Closed"/>
    <n v="4"/>
    <n v="8"/>
    <n v="4.3499999999999996"/>
    <n v="1"/>
  </r>
  <r>
    <s v="TCK-13704"/>
    <s v="2024-01-30 20:37:05"/>
    <s v="2024-01-31 03:06:41"/>
    <s v="P4"/>
    <x v="4"/>
    <s v="Billing Operations"/>
    <s v="Priya Nair"/>
    <s v="Resolved"/>
    <n v="5"/>
    <n v="48"/>
    <n v="6.49"/>
    <n v="1"/>
  </r>
  <r>
    <s v="TCK-13705"/>
    <s v="2024-11-20 07:07:53"/>
    <s v="2024-11-20 19:05:45"/>
    <s v="P4"/>
    <x v="2"/>
    <s v="Billing Operations"/>
    <s v="Priya Nair"/>
    <s v="Closed"/>
    <n v="5"/>
    <n v="48"/>
    <n v="11.96"/>
    <n v="1"/>
  </r>
  <r>
    <s v="TCK-13706"/>
    <s v="2024-03-02 00:59:58"/>
    <s v="2024-03-02 07:36:47"/>
    <s v="P4"/>
    <x v="0"/>
    <s v="Infrastructure"/>
    <s v="Dwight Schrute"/>
    <s v="Closed"/>
    <n v="3"/>
    <n v="48"/>
    <n v="6.61"/>
    <n v="1"/>
  </r>
  <r>
    <s v="TCK-13707"/>
    <s v="2024-03-26 20:35:33"/>
    <s v="2024-03-29 07:31:33"/>
    <s v="P4"/>
    <x v="1"/>
    <s v="Billing Operations"/>
    <s v="Ravi Patel"/>
    <s v="Closed"/>
    <n v="3"/>
    <n v="48"/>
    <n v="58.93"/>
    <n v="0"/>
  </r>
  <r>
    <s v="TCK-13708"/>
    <s v="2024-12-02 05:12:30"/>
    <s v="2024-12-02 21:45:59"/>
    <s v="P2"/>
    <x v="0"/>
    <s v="L1 Support"/>
    <s v="Emily Watson"/>
    <s v="Closed"/>
    <n v="4"/>
    <n v="8"/>
    <n v="16.559999999999999"/>
    <n v="0"/>
  </r>
  <r>
    <s v="TCK-13709"/>
    <s v="2024-02-19 13:38:17"/>
    <s v="2024-02-20 03:05:10"/>
    <s v="P3"/>
    <x v="4"/>
    <s v="Application Support"/>
    <s v="Ravi Patel"/>
    <s v="Resolved"/>
    <n v="5"/>
    <n v="24"/>
    <n v="13.45"/>
    <n v="1"/>
  </r>
  <r>
    <s v="TCK-13710"/>
    <s v="2024-05-11 13:40:53"/>
    <s v="2024-05-11 16:08:06"/>
    <s v="P2"/>
    <x v="1"/>
    <s v="Application Support"/>
    <s v="Priya Nair"/>
    <s v="Resolved"/>
    <n v="3"/>
    <n v="8"/>
    <n v="2.4500000000000002"/>
    <n v="1"/>
  </r>
  <r>
    <s v="TCK-13711"/>
    <s v="2024-12-20 19:37:06"/>
    <m/>
    <s v="P3"/>
    <x v="3"/>
    <s v="Infrastructure"/>
    <s v="Dwight Schrute"/>
    <s v="Escalated"/>
    <m/>
    <n v="24"/>
    <m/>
    <m/>
  </r>
  <r>
    <s v="TCK-13712"/>
    <s v="2024-10-16 00:48:01"/>
    <s v="2024-10-16 03:21:12"/>
    <s v="P1"/>
    <x v="1"/>
    <s v="Billing Operations"/>
    <s v="Emily Watson"/>
    <s v="Closed"/>
    <n v="5"/>
    <n v="4"/>
    <n v="2.5499999999999998"/>
    <n v="1"/>
  </r>
  <r>
    <s v="TCK-13713"/>
    <s v="2024-10-20 07:26:44"/>
    <s v="2024-10-21 16:45:52"/>
    <s v="P3"/>
    <x v="4"/>
    <s v="Infrastructure"/>
    <s v="Dwight Schrute"/>
    <s v="Resolved"/>
    <n v="4"/>
    <n v="24"/>
    <n v="33.32"/>
    <n v="0"/>
  </r>
  <r>
    <s v="TCK-13714"/>
    <s v="2024-02-20 10:58:32"/>
    <s v="2024-02-20 18:03:27"/>
    <s v="P4"/>
    <x v="0"/>
    <s v="Application Support"/>
    <s v="Dwight Schrute"/>
    <s v="Closed"/>
    <n v="4"/>
    <n v="48"/>
    <n v="7.08"/>
    <n v="1"/>
  </r>
  <r>
    <s v="TCK-13715"/>
    <s v="2024-05-12 05:49:53"/>
    <s v="2024-05-12 17:39:43"/>
    <s v="P3"/>
    <x v="0"/>
    <s v="Application Support"/>
    <s v="Emily Watson"/>
    <s v="Resolved"/>
    <n v="5"/>
    <n v="24"/>
    <n v="11.83"/>
    <n v="1"/>
  </r>
  <r>
    <s v="TCK-13716"/>
    <s v="2024-09-17 05:20:25"/>
    <m/>
    <s v="P4"/>
    <x v="1"/>
    <s v="Infrastructure"/>
    <s v="Dwight Schrute"/>
    <s v="Open"/>
    <m/>
    <n v="48"/>
    <m/>
    <m/>
  </r>
  <r>
    <s v="TCK-13717"/>
    <s v="2024-01-10 03:04:06"/>
    <s v="2024-01-10 16:37:58"/>
    <s v="P2"/>
    <x v="1"/>
    <s v="Infrastructure"/>
    <s v="Alex Mercer"/>
    <s v="Closed"/>
    <n v="2"/>
    <n v="8"/>
    <n v="13.56"/>
    <n v="0"/>
  </r>
  <r>
    <s v="TCK-13718"/>
    <s v="2024-12-19 01:25:37"/>
    <s v="2024-12-22 00:38:03"/>
    <s v="P3"/>
    <x v="3"/>
    <s v="L2 Support"/>
    <s v="Anita Sharma"/>
    <s v="Closed"/>
    <n v="2"/>
    <n v="24"/>
    <n v="71.209999999999994"/>
    <n v="0"/>
  </r>
  <r>
    <s v="TCK-13719"/>
    <s v="2024-04-24 04:33:29"/>
    <s v="2024-04-24 10:43:16"/>
    <s v="P2"/>
    <x v="2"/>
    <s v="Billing Operations"/>
    <s v="Ravi Patel"/>
    <s v="Closed"/>
    <n v="4"/>
    <n v="8"/>
    <n v="6.16"/>
    <n v="1"/>
  </r>
  <r>
    <s v="TCK-13720"/>
    <s v="2024-10-31 22:35:54"/>
    <s v="2024-11-06 21:20:03"/>
    <s v="P4"/>
    <x v="2"/>
    <s v="Application Support"/>
    <s v="Emily Watson"/>
    <s v="Resolved"/>
    <n v="2"/>
    <n v="48"/>
    <n v="142.74"/>
    <n v="0"/>
  </r>
  <r>
    <s v="TCK-13721"/>
    <s v="2024-08-24 17:42:06"/>
    <s v="2024-08-25 03:43:17"/>
    <s v="P1"/>
    <x v="4"/>
    <s v="Infrastructure"/>
    <s v="Ravi Patel"/>
    <s v="Closed"/>
    <n v="2"/>
    <n v="4"/>
    <n v="10.02"/>
    <n v="0"/>
  </r>
  <r>
    <s v="TCK-13722"/>
    <s v="2024-10-17 02:15:25"/>
    <s v="2024-11-21 21:15:25"/>
    <s v="P2"/>
    <x v="1"/>
    <s v="L2 Support"/>
    <s v="Anita Sharma"/>
    <s v="Closed"/>
    <n v="2"/>
    <n v="8"/>
    <n v="859"/>
    <n v="0"/>
  </r>
  <r>
    <s v="TCK-13723"/>
    <s v="2024-05-08 14:34:03"/>
    <s v="2024-05-11 09:28:26"/>
    <s v="P3"/>
    <x v="2"/>
    <s v="Application Support"/>
    <s v="Alex Mercer"/>
    <s v="Resolved"/>
    <n v="1"/>
    <n v="24"/>
    <n v="66.91"/>
    <n v="0"/>
  </r>
  <r>
    <s v="TCK-13724"/>
    <s v="2024-08-27 03:50:37"/>
    <s v="2024-08-27 18:49:22"/>
    <s v="P2"/>
    <x v="2"/>
    <s v="Billing Operations"/>
    <s v="Carlos Mendez"/>
    <s v="Closed"/>
    <n v="1"/>
    <n v="8"/>
    <n v="14.98"/>
    <n v="0"/>
  </r>
  <r>
    <s v="TCK-13725"/>
    <s v="2024-06-09 13:31:41"/>
    <s v="2024-06-09 16:22:14"/>
    <s v="P1"/>
    <x v="3"/>
    <s v="Infrastructure"/>
    <s v="Emily Watson"/>
    <s v="Resolved"/>
    <n v="4"/>
    <n v="4"/>
    <n v="2.84"/>
    <n v="1"/>
  </r>
  <r>
    <s v="TCK-13726"/>
    <s v="2024-04-05 10:59:50"/>
    <s v="2024-04-05 15:15:21"/>
    <s v="P3"/>
    <x v="1"/>
    <s v="L1 Support"/>
    <s v="Emily Watson"/>
    <s v="Closed"/>
    <n v="5"/>
    <n v="24"/>
    <n v="4.26"/>
    <n v="1"/>
  </r>
  <r>
    <s v="TCK-13727"/>
    <s v="2024-02-26 04:08:01"/>
    <s v="2024-02-27 00:38:27"/>
    <s v="P3"/>
    <x v="2"/>
    <s v="Application Support"/>
    <s v="Ravi Patel"/>
    <s v="Closed"/>
    <n v="5"/>
    <n v="24"/>
    <n v="20.51"/>
    <n v="1"/>
  </r>
  <r>
    <s v="TCK-13728"/>
    <s v="2024-01-30 17:32:29"/>
    <s v="2024-01-30 18:53:38"/>
    <s v="P1"/>
    <x v="3"/>
    <s v="L1 Support"/>
    <s v="Pam Beesly"/>
    <s v="Closed"/>
    <n v="5"/>
    <n v="4"/>
    <n v="1.35"/>
    <n v="1"/>
  </r>
  <r>
    <s v="TCK-13729"/>
    <s v="2024-05-06 23:15:41"/>
    <s v="2024-05-07 03:06:26"/>
    <s v="P3"/>
    <x v="1"/>
    <s v="Application Support"/>
    <s v="Dwight Schrute"/>
    <s v="Resolved"/>
    <n v="4"/>
    <n v="24"/>
    <n v="3.85"/>
    <n v="1"/>
  </r>
  <r>
    <s v="TCK-13730"/>
    <s v="2024-05-28 06:54:45"/>
    <s v="2024-05-30 15:21:53"/>
    <s v="P3"/>
    <x v="2"/>
    <s v="Billing Operations"/>
    <s v="Pam Beesly"/>
    <s v="Resolved"/>
    <n v="1"/>
    <n v="24"/>
    <n v="56.45"/>
    <n v="0"/>
  </r>
  <r>
    <s v="TCK-13731"/>
    <s v="2024-07-11 10:21:17"/>
    <m/>
    <s v="P2"/>
    <x v="2"/>
    <s v="Billing Operations"/>
    <s v="Pam Beesly"/>
    <s v="Escalated"/>
    <m/>
    <n v="8"/>
    <m/>
    <m/>
  </r>
  <r>
    <s v="TCK-13732"/>
    <s v="2024-01-11 04:54:48"/>
    <s v="2024-01-12 14:41:03"/>
    <s v="P4"/>
    <x v="2"/>
    <s v="L2 Support"/>
    <s v="Priya Nair"/>
    <s v="Closed"/>
    <n v="3"/>
    <n v="48"/>
    <n v="33.770000000000003"/>
    <n v="1"/>
  </r>
  <r>
    <s v="TCK-13733"/>
    <s v="2024-02-14 21:23:18"/>
    <s v="2024-02-15 04:35:39"/>
    <s v="P2"/>
    <x v="2"/>
    <s v="Infrastructure"/>
    <s v="Sarah Connor"/>
    <s v="Closed"/>
    <n v="5"/>
    <n v="8"/>
    <n v="7.21"/>
    <n v="1"/>
  </r>
  <r>
    <s v="TCK-13734"/>
    <s v="2024-02-21 04:50:08"/>
    <s v="2024-02-21 16:28:45"/>
    <s v="P3"/>
    <x v="3"/>
    <s v="Infrastructure"/>
    <s v="John Doe"/>
    <s v="Closed"/>
    <n v="5"/>
    <n v="24"/>
    <n v="11.64"/>
    <n v="1"/>
  </r>
  <r>
    <s v="TCK-13735"/>
    <s v="2024-07-25 00:10:09"/>
    <s v="2024-07-25 03:56:16"/>
    <s v="P3"/>
    <x v="2"/>
    <s v="L1 Support"/>
    <s v="Jim Halpert"/>
    <s v="Closed"/>
    <n v="5"/>
    <n v="24"/>
    <n v="3.77"/>
    <n v="1"/>
  </r>
  <r>
    <s v="TCK-13736"/>
    <s v="2024-03-13 04:04:58"/>
    <s v="2024-03-13 04:59:20"/>
    <s v="P1"/>
    <x v="0"/>
    <s v="Infrastructure"/>
    <s v="Dwight Schrute"/>
    <s v="Resolved"/>
    <n v="5"/>
    <n v="4"/>
    <n v="0.91"/>
    <n v="1"/>
  </r>
  <r>
    <s v="TCK-13737"/>
    <s v="2024-01-17 00:11:03"/>
    <s v="2024-01-17 07:55:49"/>
    <s v="P3"/>
    <x v="3"/>
    <s v="Application Support"/>
    <s v="Carlos Mendez"/>
    <s v="Resolved"/>
    <n v="4"/>
    <n v="24"/>
    <n v="7.75"/>
    <n v="1"/>
  </r>
  <r>
    <s v="TCK-13738"/>
    <s v="2024-07-18 12:29:21"/>
    <s v="2024-07-19 04:49:35"/>
    <s v="P3"/>
    <x v="2"/>
    <s v="Infrastructure"/>
    <s v="Alex Mercer"/>
    <s v="Resolved"/>
    <n v="4"/>
    <n v="24"/>
    <n v="16.34"/>
    <n v="1"/>
  </r>
  <r>
    <s v="TCK-13739"/>
    <s v="2024-10-08 07:27:58"/>
    <s v="2024-10-09 12:02:32"/>
    <s v="P4"/>
    <x v="0"/>
    <s v="Infrastructure"/>
    <s v="Michael Scott"/>
    <s v="Resolved"/>
    <n v="5"/>
    <n v="48"/>
    <n v="28.58"/>
    <n v="1"/>
  </r>
  <r>
    <s v="TCK-13740"/>
    <s v="2024-06-18 20:32:58"/>
    <s v="2024-06-19 02:13:19"/>
    <s v="P2"/>
    <x v="3"/>
    <s v="L1 Support"/>
    <s v="Anita Sharma"/>
    <s v="Resolved"/>
    <n v="5"/>
    <n v="8"/>
    <n v="5.67"/>
    <n v="1"/>
  </r>
  <r>
    <s v="TCK-13741"/>
    <s v="2024-12-16 07:35:23"/>
    <s v="2024-12-16 09:55:17"/>
    <s v="P1"/>
    <x v="0"/>
    <s v="L2 Support"/>
    <s v="Pam Beesly"/>
    <s v="Resolved"/>
    <n v="5"/>
    <n v="4"/>
    <n v="2.33"/>
    <n v="1"/>
  </r>
  <r>
    <s v="TCK-13742"/>
    <s v="2024-04-19 23:20:56"/>
    <s v="2024-04-22 23:54:03"/>
    <s v="P4"/>
    <x v="2"/>
    <s v="Infrastructure"/>
    <s v="Sarah Connor"/>
    <s v="Resolved"/>
    <n v="1"/>
    <n v="48"/>
    <n v="72.55"/>
    <n v="0"/>
  </r>
  <r>
    <s v="TCK-13743"/>
    <s v="2024-04-27 19:22:50"/>
    <m/>
    <s v="P3"/>
    <x v="1"/>
    <s v="Billing Operations"/>
    <s v="Sarah Connor"/>
    <s v="Open"/>
    <m/>
    <n v="24"/>
    <m/>
    <m/>
  </r>
  <r>
    <s v="TCK-13744"/>
    <s v="2024-10-30 22:14:15"/>
    <s v="2024-10-31 02:15:13"/>
    <s v="P2"/>
    <x v="0"/>
    <s v="L2 Support"/>
    <s v="Michael Scott"/>
    <s v="Closed"/>
    <n v="4"/>
    <n v="8"/>
    <n v="4.0199999999999996"/>
    <n v="1"/>
  </r>
  <r>
    <s v="TCK-13745"/>
    <s v="2024-08-21 16:06:35"/>
    <s v="2024-08-21 22:17:48"/>
    <s v="P3"/>
    <x v="3"/>
    <s v="L2 Support"/>
    <s v="Dwight Schrute"/>
    <s v="Resolved"/>
    <n v="4"/>
    <n v="24"/>
    <n v="6.19"/>
    <n v="1"/>
  </r>
  <r>
    <s v="TCK-13746"/>
    <s v="2024-11-14 13:14:10"/>
    <s v="2024-11-14 20:02:22"/>
    <s v="P2"/>
    <x v="0"/>
    <s v="L2 Support"/>
    <s v="Alex Mercer"/>
    <s v="Closed"/>
    <n v="5"/>
    <n v="8"/>
    <n v="6.8"/>
    <n v="1"/>
  </r>
  <r>
    <s v="TCK-13747"/>
    <s v="2024-07-14 11:38:48"/>
    <s v="2024-07-14 12:09:48"/>
    <s v="P1"/>
    <x v="2"/>
    <s v="L1 Support"/>
    <s v="Michael Scott"/>
    <s v="Closed"/>
    <n v="5"/>
    <n v="4"/>
    <n v="0.52"/>
    <n v="1"/>
  </r>
  <r>
    <s v="TCK-13748"/>
    <s v="2024-08-22 06:13:58"/>
    <s v="2024-08-22 08:02:02"/>
    <s v="P1"/>
    <x v="2"/>
    <s v="Billing Operations"/>
    <s v="Priya Nair"/>
    <s v="Resolved"/>
    <n v="5"/>
    <n v="4"/>
    <n v="1.8"/>
    <n v="1"/>
  </r>
  <r>
    <s v="TCK-13749"/>
    <s v="2024-03-02 14:38:48"/>
    <s v="2024-03-02 18:56:09"/>
    <s v="P2"/>
    <x v="0"/>
    <s v="L1 Support"/>
    <s v="Carlos Mendez"/>
    <s v="Closed"/>
    <n v="3"/>
    <n v="8"/>
    <n v="4.29"/>
    <n v="1"/>
  </r>
  <r>
    <s v="TCK-13750"/>
    <s v="2024-03-25 14:11:48"/>
    <s v="2024-03-25 18:00:14"/>
    <s v="P2"/>
    <x v="2"/>
    <s v="Billing Operations"/>
    <s v="Priya Nair"/>
    <s v="Closed"/>
    <n v="4"/>
    <n v="8"/>
    <n v="3.81"/>
    <n v="1"/>
  </r>
  <r>
    <s v="TCK-13751"/>
    <s v="2024-10-22 15:12:42"/>
    <s v="2024-10-23 12:29:50"/>
    <s v="P3"/>
    <x v="0"/>
    <s v="Application Support"/>
    <s v="Dwight Schrute"/>
    <s v="Resolved"/>
    <n v="5"/>
    <n v="24"/>
    <n v="21.29"/>
    <n v="1"/>
  </r>
  <r>
    <s v="TCK-13752"/>
    <s v="2024-01-28 05:02:04"/>
    <s v="2024-01-29 11:03:51"/>
    <s v="P4"/>
    <x v="1"/>
    <s v="L2 Support"/>
    <s v="Priya Nair"/>
    <s v="Resolved"/>
    <n v="5"/>
    <n v="48"/>
    <n v="30.03"/>
    <n v="1"/>
  </r>
  <r>
    <s v="TCK-13753"/>
    <s v="2024-11-04 09:00:21"/>
    <s v="2024-11-05 03:21:10"/>
    <s v="P3"/>
    <x v="0"/>
    <s v="Infrastructure"/>
    <s v="Alex Mercer"/>
    <s v="Resolved"/>
    <n v="3"/>
    <n v="24"/>
    <n v="18.350000000000001"/>
    <n v="1"/>
  </r>
  <r>
    <s v="TCK-13754"/>
    <s v="2024-12-10 22:44:26"/>
    <s v="2024-12-11 23:39:31"/>
    <s v="P4"/>
    <x v="2"/>
    <s v="Infrastructure"/>
    <s v="Anita Sharma"/>
    <s v="Resolved"/>
    <n v="4"/>
    <n v="48"/>
    <n v="24.92"/>
    <n v="1"/>
  </r>
  <r>
    <s v="TCK-13755"/>
    <s v="2024-07-20 23:39:17"/>
    <s v="2024-07-21 16:24:11"/>
    <s v="P3"/>
    <x v="2"/>
    <s v="L1 Support"/>
    <s v="Priya Nair"/>
    <s v="Resolved"/>
    <n v="4"/>
    <n v="24"/>
    <n v="16.75"/>
    <n v="1"/>
  </r>
  <r>
    <s v="TCK-13756"/>
    <s v="2024-11-30 04:38:34"/>
    <s v="2024-11-30 15:05:16"/>
    <s v="P3"/>
    <x v="1"/>
    <s v="L1 Support"/>
    <s v="Jim Halpert"/>
    <s v="Closed"/>
    <n v="5"/>
    <n v="24"/>
    <n v="10.44"/>
    <n v="1"/>
  </r>
  <r>
    <s v="TCK-13757"/>
    <s v="2024-09-14 11:33:51"/>
    <s v="2024-09-16 23:35:59"/>
    <s v="P3"/>
    <x v="3"/>
    <s v="L1 Support"/>
    <s v="Sarah Connor"/>
    <s v="Closed"/>
    <n v="3"/>
    <n v="24"/>
    <n v="60.04"/>
    <n v="0"/>
  </r>
  <r>
    <s v="TCK-13758"/>
    <s v="2024-05-02 20:16:28"/>
    <m/>
    <s v="P3"/>
    <x v="3"/>
    <s v="Application Support"/>
    <s v="Alex Mercer"/>
    <s v="Open"/>
    <m/>
    <n v="24"/>
    <m/>
    <m/>
  </r>
  <r>
    <s v="TCK-13759"/>
    <s v="2024-10-22 08:50:38"/>
    <s v="2024-10-24 13:22:10"/>
    <s v="P4"/>
    <x v="3"/>
    <s v="L2 Support"/>
    <s v="Alex Mercer"/>
    <s v="Resolved"/>
    <n v="2"/>
    <n v="48"/>
    <n v="52.53"/>
    <n v="0"/>
  </r>
  <r>
    <s v="TCK-13760"/>
    <s v="2024-08-24 06:38:27"/>
    <s v="2024-08-24 12:18:27"/>
    <s v="P2"/>
    <x v="4"/>
    <s v="Application Support"/>
    <s v="Jim Halpert"/>
    <s v="Closed"/>
    <n v="5"/>
    <n v="8"/>
    <n v="5.67"/>
    <n v="1"/>
  </r>
  <r>
    <s v="TCK-13761"/>
    <s v="2024-04-06 13:50:12"/>
    <s v="2024-04-06 18:11:32"/>
    <s v="P2"/>
    <x v="2"/>
    <s v="L1 Support"/>
    <s v="Dwight Schrute"/>
    <s v="Resolved"/>
    <n v="3"/>
    <n v="8"/>
    <n v="4.3600000000000003"/>
    <n v="1"/>
  </r>
  <r>
    <s v="TCK-13762"/>
    <s v="2024-01-11 14:19:36"/>
    <s v="2024-01-11 20:45:49"/>
    <s v="P3"/>
    <x v="0"/>
    <s v="L1 Support"/>
    <s v="Michael Scott"/>
    <s v="Closed"/>
    <n v="4"/>
    <n v="24"/>
    <n v="6.44"/>
    <n v="1"/>
  </r>
  <r>
    <s v="TCK-13763"/>
    <s v="2024-04-26 03:50:24"/>
    <s v="2024-04-26 06:38:00"/>
    <s v="P2"/>
    <x v="1"/>
    <s v="Application Support"/>
    <s v="Pam Beesly"/>
    <s v="Closed"/>
    <n v="5"/>
    <n v="8"/>
    <n v="2.79"/>
    <n v="1"/>
  </r>
  <r>
    <s v="TCK-13764"/>
    <s v="2024-07-29 17:06:56"/>
    <s v="2024-07-30 07:45:03"/>
    <s v="P3"/>
    <x v="3"/>
    <s v="Billing Operations"/>
    <s v="Carlos Mendez"/>
    <s v="Resolved"/>
    <n v="3"/>
    <n v="24"/>
    <n v="14.64"/>
    <n v="1"/>
  </r>
  <r>
    <s v="TCK-13765"/>
    <s v="2024-08-12 17:12:18"/>
    <s v="2024-08-13 03:13:52"/>
    <s v="P3"/>
    <x v="1"/>
    <s v="Infrastructure"/>
    <s v="Ravi Patel"/>
    <s v="Closed"/>
    <n v="5"/>
    <n v="24"/>
    <n v="10.029999999999999"/>
    <n v="1"/>
  </r>
  <r>
    <s v="TCK-13766"/>
    <s v="2024-10-15 18:24:52"/>
    <s v="2024-10-15 23:07:55"/>
    <s v="P2"/>
    <x v="2"/>
    <s v="L1 Support"/>
    <s v="Emily Watson"/>
    <s v="Closed"/>
    <n v="4"/>
    <n v="8"/>
    <n v="4.72"/>
    <n v="1"/>
  </r>
  <r>
    <s v="TCK-13767"/>
    <s v="2024-01-10 15:00:31"/>
    <s v="2024-01-11 16:01:46"/>
    <s v="P4"/>
    <x v="4"/>
    <s v="Billing Operations"/>
    <s v="John Doe"/>
    <s v="Closed"/>
    <n v="5"/>
    <n v="48"/>
    <n v="25.02"/>
    <n v="1"/>
  </r>
  <r>
    <s v="TCK-13768"/>
    <s v="2024-03-21 09:50:47"/>
    <s v="2024-03-22 07:41:04"/>
    <s v="P3"/>
    <x v="2"/>
    <s v="Application Support"/>
    <s v="Anita Sharma"/>
    <s v="Closed"/>
    <n v="5"/>
    <n v="24"/>
    <n v="21.84"/>
    <n v="1"/>
  </r>
  <r>
    <s v="TCK-13769"/>
    <s v="2024-01-13 23:18:33"/>
    <s v="2024-01-14 02:58:21"/>
    <s v="P2"/>
    <x v="2"/>
    <s v="Infrastructure"/>
    <s v="Dwight Schrute"/>
    <s v="Resolved"/>
    <n v="5"/>
    <n v="8"/>
    <n v="3.66"/>
    <n v="1"/>
  </r>
  <r>
    <s v="TCK-13770"/>
    <s v="2024-07-20 05:13:07"/>
    <s v="2024-07-20 09:25:14"/>
    <s v="P3"/>
    <x v="2"/>
    <s v="Infrastructure"/>
    <s v="Sarah Connor"/>
    <s v="Resolved"/>
    <n v="3"/>
    <n v="24"/>
    <n v="4.2"/>
    <n v="1"/>
  </r>
  <r>
    <s v="TCK-13771"/>
    <s v="2024-03-29 20:58:25"/>
    <s v="2024-03-29 22:36:07"/>
    <s v="P2"/>
    <x v="2"/>
    <s v="L2 Support"/>
    <s v="Anita Sharma"/>
    <s v="Resolved"/>
    <n v="4"/>
    <n v="8"/>
    <n v="1.63"/>
    <n v="1"/>
  </r>
  <r>
    <s v="TCK-13772"/>
    <s v="2024-04-27 14:00:07"/>
    <s v="2024-04-27 15:00:28"/>
    <s v="P1"/>
    <x v="1"/>
    <s v="Infrastructure"/>
    <s v="Michael Scott"/>
    <s v="Closed"/>
    <n v="4"/>
    <n v="4"/>
    <n v="1.01"/>
    <n v="1"/>
  </r>
  <r>
    <s v="TCK-13773"/>
    <s v="2024-05-01 08:22:37"/>
    <s v="2024-05-01 12:51:26"/>
    <s v="P3"/>
    <x v="0"/>
    <s v="L1 Support"/>
    <s v="Sarah Connor"/>
    <s v="Resolved"/>
    <n v="4"/>
    <n v="24"/>
    <n v="4.4800000000000004"/>
    <n v="1"/>
  </r>
  <r>
    <s v="TCK-13774"/>
    <s v="2024-01-13 09:23:07"/>
    <s v="2024-01-14 20:43:28"/>
    <s v="P4"/>
    <x v="1"/>
    <s v="L1 Support"/>
    <s v="Sarah Connor"/>
    <s v="Resolved"/>
    <n v="3"/>
    <n v="48"/>
    <n v="35.340000000000003"/>
    <n v="1"/>
  </r>
  <r>
    <s v="TCK-13775"/>
    <s v="2024-05-09 14:21:50"/>
    <m/>
    <s v="P2"/>
    <x v="3"/>
    <s v="Infrastructure"/>
    <s v="Jim Halpert"/>
    <s v="Escalated"/>
    <m/>
    <n v="8"/>
    <m/>
    <m/>
  </r>
  <r>
    <s v="TCK-13776"/>
    <s v="2024-12-19 15:38:31"/>
    <s v="2025-01-23 20:38:31"/>
    <s v="P2"/>
    <x v="0"/>
    <s v="Billing Operations"/>
    <s v="Emily Watson"/>
    <s v="Resolved"/>
    <n v="5"/>
    <n v="8"/>
    <n v="845"/>
    <n v="0"/>
  </r>
  <r>
    <s v="TCK-13777"/>
    <s v="2024-11-24 17:48:11"/>
    <s v="2024-11-26 10:23:46"/>
    <s v="P4"/>
    <x v="2"/>
    <s v="L1 Support"/>
    <s v="Michael Scott"/>
    <s v="Closed"/>
    <n v="5"/>
    <n v="48"/>
    <n v="40.590000000000003"/>
    <n v="1"/>
  </r>
  <r>
    <s v="TCK-13778"/>
    <s v="2024-09-02 17:34:46"/>
    <s v="2024-09-03 04:37:43"/>
    <s v="P3"/>
    <x v="2"/>
    <s v="Infrastructure"/>
    <s v="Anita Sharma"/>
    <s v="Resolved"/>
    <n v="3"/>
    <n v="24"/>
    <n v="11.05"/>
    <n v="1"/>
  </r>
  <r>
    <s v="TCK-13779"/>
    <s v="2024-01-04 00:44:05"/>
    <m/>
    <s v="P4"/>
    <x v="1"/>
    <s v="Application Support"/>
    <s v="Carlos Mendez"/>
    <s v="Escalated"/>
    <m/>
    <n v="48"/>
    <m/>
    <m/>
  </r>
  <r>
    <s v="TCK-13780"/>
    <s v="2024-02-29 10:29:33"/>
    <s v="2024-03-01 07:23:50"/>
    <s v="P3"/>
    <x v="1"/>
    <s v="L2 Support"/>
    <s v="Ravi Patel"/>
    <s v="Resolved"/>
    <n v="5"/>
    <n v="24"/>
    <n v="20.9"/>
    <n v="1"/>
  </r>
  <r>
    <s v="TCK-13781"/>
    <s v="2024-09-25 11:36:19"/>
    <s v="2024-09-25 14:43:04"/>
    <s v="P1"/>
    <x v="0"/>
    <s v="Application Support"/>
    <s v="Priya Nair"/>
    <s v="Closed"/>
    <n v="4"/>
    <n v="4"/>
    <n v="3.11"/>
    <n v="1"/>
  </r>
  <r>
    <s v="TCK-13782"/>
    <s v="2024-05-23 02:45:03"/>
    <s v="2024-05-23 05:35:20"/>
    <s v="P3"/>
    <x v="0"/>
    <s v="Billing Operations"/>
    <s v="Pam Beesly"/>
    <s v="Closed"/>
    <n v="5"/>
    <n v="24"/>
    <n v="2.84"/>
    <n v="1"/>
  </r>
  <r>
    <s v="TCK-13783"/>
    <s v="2024-03-16 13:12:58"/>
    <s v="2024-03-16 20:10:58"/>
    <s v="P2"/>
    <x v="0"/>
    <s v="Billing Operations"/>
    <s v="Anita Sharma"/>
    <s v="Resolved"/>
    <n v="3"/>
    <n v="8"/>
    <n v="6.97"/>
    <n v="1"/>
  </r>
  <r>
    <s v="TCK-13784"/>
    <s v="2024-02-14 09:54:54"/>
    <s v="2024-02-14 12:27:05"/>
    <s v="P1"/>
    <x v="2"/>
    <s v="Infrastructure"/>
    <s v="Alex Mercer"/>
    <s v="Resolved"/>
    <n v="5"/>
    <n v="4"/>
    <n v="2.54"/>
    <n v="1"/>
  </r>
  <r>
    <s v="TCK-13785"/>
    <s v="2024-03-14 15:55:28"/>
    <s v="2024-03-16 05:47:29"/>
    <s v="P4"/>
    <x v="4"/>
    <s v="Application Support"/>
    <s v="Alex Mercer"/>
    <s v="Resolved"/>
    <n v="5"/>
    <n v="48"/>
    <n v="37.869999999999997"/>
    <n v="1"/>
  </r>
  <r>
    <s v="TCK-13786"/>
    <s v="2024-05-08 18:31:47"/>
    <s v="2024-05-09 04:10:47"/>
    <s v="P3"/>
    <x v="3"/>
    <s v="L1 Support"/>
    <s v="Michael Scott"/>
    <s v="Closed"/>
    <n v="4"/>
    <n v="24"/>
    <n v="9.65"/>
    <n v="1"/>
  </r>
  <r>
    <s v="TCK-13787"/>
    <s v="2024-10-18 03:45:21"/>
    <s v="2024-10-20 16:07:46"/>
    <s v="P3"/>
    <x v="3"/>
    <s v="Infrastructure"/>
    <s v="John Doe"/>
    <s v="Closed"/>
    <n v="2"/>
    <n v="24"/>
    <n v="60.37"/>
    <n v="0"/>
  </r>
  <r>
    <s v="TCK-13788"/>
    <s v="2024-09-27 08:47:09"/>
    <s v="2024-09-27 11:20:38"/>
    <s v="P3"/>
    <x v="2"/>
    <s v="Application Support"/>
    <s v="John Doe"/>
    <s v="Resolved"/>
    <n v="3"/>
    <n v="24"/>
    <n v="2.56"/>
    <n v="1"/>
  </r>
  <r>
    <s v="TCK-13789"/>
    <s v="2024-06-10 11:12:15"/>
    <m/>
    <s v="P4"/>
    <x v="0"/>
    <s v="L1 Support"/>
    <s v="Carlos Mendez"/>
    <s v="Escalated"/>
    <m/>
    <n v="48"/>
    <m/>
    <m/>
  </r>
  <r>
    <s v="TCK-13790"/>
    <s v="2024-03-20 19:52:59"/>
    <s v="2024-03-20 22:16:33"/>
    <s v="P2"/>
    <x v="3"/>
    <s v="Infrastructure"/>
    <s v="Priya Nair"/>
    <s v="Closed"/>
    <n v="5"/>
    <n v="8"/>
    <n v="2.39"/>
    <n v="1"/>
  </r>
  <r>
    <s v="TCK-13791"/>
    <s v="2024-11-13 06:44:24"/>
    <s v="2024-11-15 08:00:47"/>
    <s v="P3"/>
    <x v="2"/>
    <s v="L2 Support"/>
    <s v="John Doe"/>
    <s v="Resolved"/>
    <n v="2"/>
    <n v="24"/>
    <n v="49.27"/>
    <n v="0"/>
  </r>
  <r>
    <s v="TCK-13792"/>
    <s v="2024-02-05 17:04:47"/>
    <s v="2024-02-06 06:49:33"/>
    <s v="P3"/>
    <x v="3"/>
    <s v="L1 Support"/>
    <s v="Alex Mercer"/>
    <s v="Resolved"/>
    <n v="5"/>
    <n v="24"/>
    <n v="13.75"/>
    <n v="1"/>
  </r>
  <r>
    <s v="TCK-13793"/>
    <s v="2024-02-19 01:16:41"/>
    <s v="2024-02-19 18:44:31"/>
    <s v="P3"/>
    <x v="3"/>
    <s v="Infrastructure"/>
    <s v="Dwight Schrute"/>
    <s v="Resolved"/>
    <n v="3"/>
    <n v="24"/>
    <n v="17.46"/>
    <n v="1"/>
  </r>
  <r>
    <s v="TCK-13794"/>
    <s v="2024-04-15 10:01:33"/>
    <s v="2024-04-17 04:24:09"/>
    <s v="P4"/>
    <x v="0"/>
    <s v="Billing Operations"/>
    <s v="Michael Scott"/>
    <s v="Closed"/>
    <n v="4"/>
    <n v="48"/>
    <n v="42.38"/>
    <n v="1"/>
  </r>
  <r>
    <s v="TCK-13795"/>
    <s v="2024-08-31 06:12:24"/>
    <s v="2024-09-01 00:39:54"/>
    <s v="P3"/>
    <x v="0"/>
    <s v="L2 Support"/>
    <s v="Pam Beesly"/>
    <s v="Closed"/>
    <n v="5"/>
    <n v="24"/>
    <n v="18.46"/>
    <n v="1"/>
  </r>
  <r>
    <s v="TCK-13796"/>
    <s v="2024-12-12 17:27:39"/>
    <s v="2024-12-13 10:24:17"/>
    <s v="P3"/>
    <x v="3"/>
    <s v="Application Support"/>
    <s v="John Doe"/>
    <s v="Closed"/>
    <n v="5"/>
    <n v="24"/>
    <n v="16.940000000000001"/>
    <n v="1"/>
  </r>
  <r>
    <s v="TCK-13797"/>
    <s v="2024-09-13 01:03:30"/>
    <s v="2024-09-14 21:39:34"/>
    <s v="P3"/>
    <x v="4"/>
    <s v="L1 Support"/>
    <s v="Carlos Mendez"/>
    <s v="Resolved"/>
    <n v="2"/>
    <n v="24"/>
    <n v="44.6"/>
    <n v="0"/>
  </r>
  <r>
    <s v="TCK-13798"/>
    <s v="2024-04-16 17:06:31"/>
    <s v="2024-04-17 06:56:24"/>
    <s v="P3"/>
    <x v="4"/>
    <s v="Application Support"/>
    <s v="Sarah Connor"/>
    <s v="Closed"/>
    <n v="5"/>
    <n v="24"/>
    <n v="13.83"/>
    <n v="1"/>
  </r>
  <r>
    <s v="TCK-13799"/>
    <s v="2024-10-10 10:17:24"/>
    <s v="2024-10-11 15:20:46"/>
    <s v="P4"/>
    <x v="0"/>
    <s v="Application Support"/>
    <s v="Alex Mercer"/>
    <s v="Closed"/>
    <n v="3"/>
    <n v="48"/>
    <n v="29.06"/>
    <n v="1"/>
  </r>
  <r>
    <s v="TCK-13800"/>
    <s v="2024-10-07 13:10:26"/>
    <s v="2024-10-07 21:04:38"/>
    <s v="P4"/>
    <x v="2"/>
    <s v="Billing Operations"/>
    <s v="Sarah Connor"/>
    <s v="Resolved"/>
    <n v="5"/>
    <n v="48"/>
    <n v="7.9"/>
    <n v="1"/>
  </r>
  <r>
    <s v="TCK-13801"/>
    <s v="2024-04-10 10:49:28"/>
    <m/>
    <s v="P2"/>
    <x v="1"/>
    <s v="L1 Support"/>
    <s v="Sarah Connor"/>
    <s v="Escalated"/>
    <m/>
    <n v="8"/>
    <m/>
    <m/>
  </r>
  <r>
    <s v="TCK-13802"/>
    <s v="2024-11-28 20:54:32"/>
    <s v="2024-11-29 14:13:50"/>
    <s v="P3"/>
    <x v="1"/>
    <s v="Billing Operations"/>
    <s v="Dwight Schrute"/>
    <s v="Resolved"/>
    <n v="4"/>
    <n v="24"/>
    <n v="17.32"/>
    <n v="1"/>
  </r>
  <r>
    <s v="TCK-13803"/>
    <s v="2024-12-22 23:17:40"/>
    <s v="2024-12-23 21:29:01"/>
    <s v="P3"/>
    <x v="4"/>
    <s v="Billing Operations"/>
    <s v="Ravi Patel"/>
    <s v="Closed"/>
    <n v="4"/>
    <n v="24"/>
    <n v="22.19"/>
    <n v="1"/>
  </r>
  <r>
    <s v="TCK-13804"/>
    <s v="2024-07-12 08:45:51"/>
    <s v="2024-07-16 09:33:00"/>
    <s v="P4"/>
    <x v="3"/>
    <s v="Infrastructure"/>
    <s v="Ravi Patel"/>
    <s v="Closed"/>
    <n v="1"/>
    <n v="48"/>
    <n v="96.79"/>
    <n v="0"/>
  </r>
  <r>
    <s v="TCK-13805"/>
    <s v="2024-07-01 09:07:27"/>
    <s v="2024-07-01 13:27:29"/>
    <s v="P3"/>
    <x v="0"/>
    <s v="L2 Support"/>
    <s v="Pam Beesly"/>
    <s v="Resolved"/>
    <n v="3"/>
    <n v="24"/>
    <n v="4.33"/>
    <n v="1"/>
  </r>
  <r>
    <s v="TCK-13806"/>
    <s v="2024-09-09 16:35:17"/>
    <m/>
    <s v="P3"/>
    <x v="3"/>
    <s v="L1 Support"/>
    <s v="Ravi Patel"/>
    <s v="Escalated"/>
    <m/>
    <n v="24"/>
    <m/>
    <m/>
  </r>
  <r>
    <s v="TCK-13807"/>
    <s v="2024-10-20 12:39:35"/>
    <s v="2024-10-20 16:15:39"/>
    <s v="P2"/>
    <x v="2"/>
    <s v="Billing Operations"/>
    <s v="Alex Mercer"/>
    <s v="Closed"/>
    <n v="3"/>
    <n v="8"/>
    <n v="3.6"/>
    <n v="1"/>
  </r>
  <r>
    <s v="TCK-13808"/>
    <s v="2024-07-29 11:48:52"/>
    <m/>
    <s v="P3"/>
    <x v="4"/>
    <s v="L2 Support"/>
    <s v="Ravi Patel"/>
    <s v="Escalated"/>
    <m/>
    <n v="24"/>
    <m/>
    <m/>
  </r>
  <r>
    <s v="TCK-13809"/>
    <s v="2024-11-18 06:19:30"/>
    <s v="2024-11-19 01:33:38"/>
    <s v="P3"/>
    <x v="4"/>
    <s v="Application Support"/>
    <s v="Sarah Connor"/>
    <s v="Resolved"/>
    <n v="5"/>
    <n v="24"/>
    <n v="19.239999999999998"/>
    <n v="1"/>
  </r>
  <r>
    <s v="TCK-13810"/>
    <s v="2024-02-12 10:31:22"/>
    <s v="2024-02-12 13:07:08"/>
    <s v="P3"/>
    <x v="1"/>
    <s v="L1 Support"/>
    <s v="Emily Watson"/>
    <s v="Closed"/>
    <n v="5"/>
    <n v="24"/>
    <n v="2.6"/>
    <n v="1"/>
  </r>
  <r>
    <s v="TCK-13811"/>
    <s v="2024-08-18 21:56:26"/>
    <s v="2024-08-20 00:16:18"/>
    <s v="P4"/>
    <x v="1"/>
    <s v="L1 Support"/>
    <s v="Emily Watson"/>
    <s v="Resolved"/>
    <n v="5"/>
    <n v="48"/>
    <n v="26.33"/>
    <n v="1"/>
  </r>
  <r>
    <s v="TCK-13812"/>
    <s v="2024-10-12 01:41:15"/>
    <s v="2024-10-12 20:25:07"/>
    <s v="P3"/>
    <x v="0"/>
    <s v="Application Support"/>
    <s v="Anita Sharma"/>
    <s v="Resolved"/>
    <n v="5"/>
    <n v="24"/>
    <n v="18.73"/>
    <n v="1"/>
  </r>
  <r>
    <s v="TCK-13813"/>
    <s v="2024-10-01 15:12:13"/>
    <s v="2024-10-01 16:07:44"/>
    <s v="P1"/>
    <x v="4"/>
    <s v="Billing Operations"/>
    <s v="Emily Watson"/>
    <s v="Resolved"/>
    <n v="5"/>
    <n v="4"/>
    <n v="0.93"/>
    <n v="1"/>
  </r>
  <r>
    <s v="TCK-13814"/>
    <s v="2024-06-18 08:18:08"/>
    <m/>
    <s v="P3"/>
    <x v="2"/>
    <s v="Application Support"/>
    <s v="Jim Halpert"/>
    <s v="Open"/>
    <m/>
    <n v="24"/>
    <m/>
    <m/>
  </r>
  <r>
    <s v="TCK-13815"/>
    <s v="2024-03-09 16:27:40"/>
    <s v="2024-03-10 01:48:12"/>
    <s v="P3"/>
    <x v="2"/>
    <s v="Application Support"/>
    <s v="Michael Scott"/>
    <s v="Closed"/>
    <n v="4"/>
    <n v="24"/>
    <n v="9.34"/>
    <n v="1"/>
  </r>
  <r>
    <s v="TCK-13816"/>
    <s v="2024-02-22 01:48:33"/>
    <s v="2024-02-22 14:27:10"/>
    <s v="P3"/>
    <x v="2"/>
    <s v="Infrastructure"/>
    <s v="Sarah Connor"/>
    <s v="Closed"/>
    <n v="4"/>
    <n v="24"/>
    <n v="12.64"/>
    <n v="1"/>
  </r>
  <r>
    <s v="TCK-13817"/>
    <s v="2024-08-15 21:43:19"/>
    <s v="2024-08-15 23:50:23"/>
    <s v="P2"/>
    <x v="2"/>
    <s v="Infrastructure"/>
    <s v="Alex Mercer"/>
    <s v="Closed"/>
    <n v="4"/>
    <n v="8"/>
    <n v="2.12"/>
    <n v="1"/>
  </r>
  <r>
    <s v="TCK-13818"/>
    <s v="2024-02-21 17:50:31"/>
    <s v="2024-02-23 05:36:28"/>
    <s v="P3"/>
    <x v="1"/>
    <s v="Application Support"/>
    <s v="John Doe"/>
    <s v="Resolved"/>
    <n v="1"/>
    <n v="24"/>
    <n v="35.770000000000003"/>
    <n v="0"/>
  </r>
  <r>
    <s v="TCK-13819"/>
    <s v="2024-11-24 13:25:51"/>
    <s v="2024-11-27 11:12:19"/>
    <s v="P3"/>
    <x v="3"/>
    <s v="Infrastructure"/>
    <s v="Pam Beesly"/>
    <s v="Resolved"/>
    <n v="1"/>
    <n v="24"/>
    <n v="69.77"/>
    <n v="0"/>
  </r>
  <r>
    <s v="TCK-13820"/>
    <s v="2024-01-05 06:13:25"/>
    <s v="2024-01-07 19:43:11"/>
    <s v="P3"/>
    <x v="0"/>
    <s v="L1 Support"/>
    <s v="Dwight Schrute"/>
    <s v="Closed"/>
    <n v="1"/>
    <n v="24"/>
    <n v="61.5"/>
    <n v="0"/>
  </r>
  <r>
    <s v="TCK-13821"/>
    <s v="2024-05-28 08:05:03"/>
    <s v="2024-05-28 12:02:45"/>
    <s v="P2"/>
    <x v="1"/>
    <s v="Billing Operations"/>
    <s v="Pam Beesly"/>
    <s v="Resolved"/>
    <n v="5"/>
    <n v="8"/>
    <n v="3.96"/>
    <n v="1"/>
  </r>
  <r>
    <s v="TCK-13822"/>
    <s v="2024-05-23 06:54:11"/>
    <s v="2024-05-23 11:44:21"/>
    <s v="P2"/>
    <x v="0"/>
    <s v="Billing Operations"/>
    <s v="Emily Watson"/>
    <s v="Resolved"/>
    <n v="3"/>
    <n v="8"/>
    <n v="4.84"/>
    <n v="1"/>
  </r>
  <r>
    <s v="TCK-13823"/>
    <s v="2024-10-07 00:01:20"/>
    <s v="2024-10-07 14:40:19"/>
    <s v="P3"/>
    <x v="0"/>
    <s v="L2 Support"/>
    <s v="Jim Halpert"/>
    <s v="Closed"/>
    <n v="4"/>
    <n v="24"/>
    <n v="14.65"/>
    <n v="1"/>
  </r>
  <r>
    <s v="TCK-13824"/>
    <s v="2024-02-23 03:38:23"/>
    <s v="2024-02-25 13:27:59"/>
    <s v="P3"/>
    <x v="2"/>
    <s v="Infrastructure"/>
    <s v="John Doe"/>
    <s v="Resolved"/>
    <n v="1"/>
    <n v="24"/>
    <n v="57.83"/>
    <n v="0"/>
  </r>
  <r>
    <s v="TCK-13825"/>
    <s v="2024-10-26 16:10:22"/>
    <s v="2024-10-27 09:53:29"/>
    <s v="P3"/>
    <x v="2"/>
    <s v="L2 Support"/>
    <s v="Dwight Schrute"/>
    <s v="Closed"/>
    <n v="4"/>
    <n v="24"/>
    <n v="17.72"/>
    <n v="1"/>
  </r>
  <r>
    <s v="TCK-13826"/>
    <s v="2024-01-15 01:26:23"/>
    <s v="2024-01-15 09:56:50"/>
    <s v="P2"/>
    <x v="1"/>
    <s v="Application Support"/>
    <s v="Priya Nair"/>
    <s v="Closed"/>
    <n v="2"/>
    <n v="8"/>
    <n v="8.51"/>
    <n v="0"/>
  </r>
  <r>
    <s v="TCK-13827"/>
    <s v="2024-05-01 13:51:34"/>
    <s v="2024-05-01 16:00:09"/>
    <s v="P2"/>
    <x v="2"/>
    <s v="L1 Support"/>
    <s v="Emily Watson"/>
    <s v="Closed"/>
    <n v="4"/>
    <n v="8"/>
    <n v="2.14"/>
    <n v="1"/>
  </r>
  <r>
    <s v="TCK-13828"/>
    <s v="2024-10-23 03:12:58"/>
    <s v="2024-10-23 06:43:36"/>
    <s v="P2"/>
    <x v="1"/>
    <s v="Billing Operations"/>
    <s v="Ravi Patel"/>
    <s v="Resolved"/>
    <n v="5"/>
    <n v="8"/>
    <n v="3.51"/>
    <n v="1"/>
  </r>
  <r>
    <s v="TCK-13829"/>
    <s v="2024-02-02 08:51:28"/>
    <m/>
    <s v="P2"/>
    <x v="3"/>
    <s v="Billing Operations"/>
    <s v="Carlos Mendez"/>
    <s v="Open"/>
    <m/>
    <n v="8"/>
    <m/>
    <m/>
  </r>
  <r>
    <s v="TCK-13830"/>
    <s v="2024-04-14 22:49:26"/>
    <s v="2024-04-15 08:48:22"/>
    <s v="P3"/>
    <x v="0"/>
    <s v="Billing Operations"/>
    <s v="Ravi Patel"/>
    <s v="Closed"/>
    <n v="5"/>
    <n v="24"/>
    <n v="9.98"/>
    <n v="1"/>
  </r>
  <r>
    <s v="TCK-13831"/>
    <s v="2024-09-20 11:03:08"/>
    <s v="2024-09-20 18:29:50"/>
    <s v="P2"/>
    <x v="4"/>
    <s v="Billing Operations"/>
    <s v="Carlos Mendez"/>
    <s v="Resolved"/>
    <n v="5"/>
    <n v="8"/>
    <n v="7.44"/>
    <n v="1"/>
  </r>
  <r>
    <s v="TCK-13832"/>
    <s v="2024-04-25 04:59:05"/>
    <s v="2024-04-25 09:20:24"/>
    <s v="P3"/>
    <x v="0"/>
    <s v="Infrastructure"/>
    <s v="Michael Scott"/>
    <s v="Closed"/>
    <n v="4"/>
    <n v="24"/>
    <n v="4.3600000000000003"/>
    <n v="1"/>
  </r>
  <r>
    <s v="TCK-13833"/>
    <s v="2024-09-27 21:58:41"/>
    <s v="2024-09-28 06:58:17"/>
    <s v="P3"/>
    <x v="2"/>
    <s v="Billing Operations"/>
    <s v="Carlos Mendez"/>
    <s v="Resolved"/>
    <n v="5"/>
    <n v="24"/>
    <n v="8.99"/>
    <n v="1"/>
  </r>
  <r>
    <s v="TCK-13834"/>
    <s v="2024-09-01 16:55:56"/>
    <s v="2024-09-02 06:03:45"/>
    <s v="P4"/>
    <x v="1"/>
    <s v="Billing Operations"/>
    <s v="Jim Halpert"/>
    <s v="Resolved"/>
    <n v="5"/>
    <n v="48"/>
    <n v="13.13"/>
    <n v="1"/>
  </r>
  <r>
    <s v="TCK-13835"/>
    <s v="2024-02-21 21:39:35"/>
    <s v="2024-02-22 18:37:38"/>
    <s v="P3"/>
    <x v="3"/>
    <s v="Billing Operations"/>
    <s v="Alex Mercer"/>
    <s v="Resolved"/>
    <n v="4"/>
    <n v="24"/>
    <n v="20.97"/>
    <n v="1"/>
  </r>
  <r>
    <s v="TCK-13836"/>
    <s v="2024-12-22 04:26:28"/>
    <s v="2024-12-22 07:18:26"/>
    <s v="P3"/>
    <x v="2"/>
    <s v="L2 Support"/>
    <s v="Carlos Mendez"/>
    <s v="Resolved"/>
    <n v="4"/>
    <n v="24"/>
    <n v="2.87"/>
    <n v="1"/>
  </r>
  <r>
    <s v="TCK-13837"/>
    <s v="2024-08-18 23:12:12"/>
    <s v="2024-08-19 15:29:39"/>
    <s v="P3"/>
    <x v="0"/>
    <s v="Application Support"/>
    <s v="Pam Beesly"/>
    <s v="Closed"/>
    <n v="5"/>
    <n v="24"/>
    <n v="16.29"/>
    <n v="1"/>
  </r>
  <r>
    <s v="TCK-13838"/>
    <s v="2024-02-19 22:52:21"/>
    <s v="2024-02-20 04:14:09"/>
    <s v="P2"/>
    <x v="2"/>
    <s v="Application Support"/>
    <s v="Priya Nair"/>
    <s v="Closed"/>
    <n v="3"/>
    <n v="8"/>
    <n v="5.36"/>
    <n v="1"/>
  </r>
  <r>
    <s v="TCK-13839"/>
    <s v="2024-09-08 07:19:19"/>
    <s v="2024-09-10 23:18:41"/>
    <s v="P3"/>
    <x v="4"/>
    <s v="Application Support"/>
    <s v="Jim Halpert"/>
    <s v="Resolved"/>
    <n v="2"/>
    <n v="24"/>
    <n v="63.99"/>
    <n v="0"/>
  </r>
  <r>
    <s v="TCK-13840"/>
    <s v="2024-07-25 21:35:43"/>
    <s v="2024-07-26 14:54:06"/>
    <s v="P3"/>
    <x v="1"/>
    <s v="Billing Operations"/>
    <s v="Pam Beesly"/>
    <s v="Closed"/>
    <n v="4"/>
    <n v="24"/>
    <n v="17.309999999999999"/>
    <n v="1"/>
  </r>
  <r>
    <s v="TCK-13841"/>
    <s v="2024-05-10 09:57:06"/>
    <s v="2024-05-10 13:08:54"/>
    <s v="P2"/>
    <x v="1"/>
    <s v="Application Support"/>
    <s v="Jim Halpert"/>
    <s v="Resolved"/>
    <n v="5"/>
    <n v="8"/>
    <n v="3.2"/>
    <n v="1"/>
  </r>
  <r>
    <s v="TCK-13842"/>
    <s v="2024-04-04 07:43:43"/>
    <s v="2024-04-05 12:52:07"/>
    <s v="P4"/>
    <x v="2"/>
    <s v="L2 Support"/>
    <s v="Anita Sharma"/>
    <s v="Closed"/>
    <n v="4"/>
    <n v="48"/>
    <n v="29.14"/>
    <n v="1"/>
  </r>
  <r>
    <s v="TCK-13843"/>
    <s v="2024-05-11 03:21:39"/>
    <s v="2024-05-12 14:31:12"/>
    <s v="P4"/>
    <x v="2"/>
    <s v="L2 Support"/>
    <s v="Ravi Patel"/>
    <s v="Closed"/>
    <n v="4"/>
    <n v="48"/>
    <n v="35.159999999999997"/>
    <n v="1"/>
  </r>
  <r>
    <s v="TCK-13844"/>
    <s v="2024-06-18 10:57:55"/>
    <s v="2024-06-18 17:47:46"/>
    <s v="P3"/>
    <x v="3"/>
    <s v="L2 Support"/>
    <s v="Sarah Connor"/>
    <s v="Resolved"/>
    <n v="3"/>
    <n v="24"/>
    <n v="6.83"/>
    <n v="1"/>
  </r>
  <r>
    <s v="TCK-13845"/>
    <s v="2024-10-14 01:44:31"/>
    <s v="2024-10-14 14:51:58"/>
    <s v="P4"/>
    <x v="1"/>
    <s v="L2 Support"/>
    <s v="Priya Nair"/>
    <s v="Closed"/>
    <n v="5"/>
    <n v="48"/>
    <n v="13.12"/>
    <n v="1"/>
  </r>
  <r>
    <s v="TCK-13846"/>
    <s v="2024-03-27 08:02:19"/>
    <s v="2024-03-27 14:37:05"/>
    <s v="P3"/>
    <x v="4"/>
    <s v="Infrastructure"/>
    <s v="Priya Nair"/>
    <s v="Resolved"/>
    <n v="5"/>
    <n v="24"/>
    <n v="6.58"/>
    <n v="1"/>
  </r>
  <r>
    <s v="TCK-13847"/>
    <s v="2024-03-13 12:35:50"/>
    <s v="2024-03-13 17:27:58"/>
    <s v="P2"/>
    <x v="0"/>
    <s v="Infrastructure"/>
    <s v="Ravi Patel"/>
    <s v="Resolved"/>
    <n v="3"/>
    <n v="8"/>
    <n v="4.87"/>
    <n v="1"/>
  </r>
  <r>
    <s v="TCK-13848"/>
    <s v="2024-09-16 13:50:49"/>
    <s v="2024-09-17 03:26:26"/>
    <s v="P3"/>
    <x v="0"/>
    <s v="Billing Operations"/>
    <s v="Sarah Connor"/>
    <s v="Resolved"/>
    <n v="4"/>
    <n v="24"/>
    <n v="13.59"/>
    <n v="1"/>
  </r>
  <r>
    <s v="TCK-13849"/>
    <s v="2024-10-06 22:51:46"/>
    <m/>
    <s v="P4"/>
    <x v="1"/>
    <s v="Application Support"/>
    <s v="Emily Watson"/>
    <s v="Escalated"/>
    <m/>
    <n v="48"/>
    <m/>
    <m/>
  </r>
  <r>
    <s v="TCK-13850"/>
    <s v="2024-10-17 00:08:58"/>
    <s v="2024-10-17 02:17:37"/>
    <s v="P2"/>
    <x v="2"/>
    <s v="Application Support"/>
    <s v="Ravi Patel"/>
    <s v="Closed"/>
    <n v="4"/>
    <n v="8"/>
    <n v="2.14"/>
    <n v="1"/>
  </r>
  <r>
    <s v="TCK-13851"/>
    <s v="2024-05-19 03:14:45"/>
    <s v="2024-05-19 06:50:05"/>
    <s v="P3"/>
    <x v="3"/>
    <s v="Infrastructure"/>
    <s v="Sarah Connor"/>
    <s v="Resolved"/>
    <n v="5"/>
    <n v="24"/>
    <n v="3.59"/>
    <n v="1"/>
  </r>
  <r>
    <s v="TCK-13852"/>
    <s v="2024-09-17 21:11:50"/>
    <s v="2024-09-18 06:54:49"/>
    <s v="P1"/>
    <x v="1"/>
    <s v="L1 Support"/>
    <s v="Jim Halpert"/>
    <s v="Resolved"/>
    <n v="2"/>
    <n v="4"/>
    <n v="9.7200000000000006"/>
    <n v="0"/>
  </r>
  <r>
    <s v="TCK-13853"/>
    <s v="2024-09-05 07:15:25"/>
    <s v="2024-09-06 17:15:37"/>
    <s v="P4"/>
    <x v="1"/>
    <s v="Infrastructure"/>
    <s v="Pam Beesly"/>
    <s v="Closed"/>
    <n v="4"/>
    <n v="48"/>
    <n v="34"/>
    <n v="1"/>
  </r>
  <r>
    <s v="TCK-13854"/>
    <s v="2024-08-11 12:06:40"/>
    <s v="2024-08-15 17:00:50"/>
    <s v="P4"/>
    <x v="2"/>
    <s v="Application Support"/>
    <s v="Emily Watson"/>
    <s v="Closed"/>
    <n v="3"/>
    <n v="48"/>
    <n v="100.9"/>
    <n v="0"/>
  </r>
  <r>
    <s v="TCK-13855"/>
    <s v="2024-12-08 22:32:32"/>
    <s v="2024-12-09 01:11:00"/>
    <s v="P1"/>
    <x v="0"/>
    <s v="Infrastructure"/>
    <s v="John Doe"/>
    <s v="Resolved"/>
    <n v="4"/>
    <n v="4"/>
    <n v="2.64"/>
    <n v="1"/>
  </r>
  <r>
    <s v="TCK-13856"/>
    <s v="2024-05-14 05:29:38"/>
    <s v="2024-05-19 05:10:18"/>
    <s v="P4"/>
    <x v="1"/>
    <s v="L2 Support"/>
    <s v="Dwight Schrute"/>
    <s v="Resolved"/>
    <n v="2"/>
    <n v="48"/>
    <n v="119.68"/>
    <n v="0"/>
  </r>
  <r>
    <s v="TCK-13857"/>
    <s v="2024-08-18 19:01:43"/>
    <m/>
    <s v="P3"/>
    <x v="0"/>
    <s v="Billing Operations"/>
    <s v="Emily Watson"/>
    <s v="Escalated"/>
    <m/>
    <n v="24"/>
    <m/>
    <m/>
  </r>
  <r>
    <s v="TCK-13858"/>
    <s v="2024-04-16 12:38:07"/>
    <s v="2024-04-16 17:38:39"/>
    <s v="P2"/>
    <x v="2"/>
    <s v="L1 Support"/>
    <s v="Anita Sharma"/>
    <s v="Closed"/>
    <n v="5"/>
    <n v="8"/>
    <n v="5.01"/>
    <n v="1"/>
  </r>
  <r>
    <s v="TCK-13859"/>
    <s v="2024-06-02 18:19:55"/>
    <s v="2024-06-03 12:47:33"/>
    <s v="P2"/>
    <x v="2"/>
    <s v="L2 Support"/>
    <s v="Emily Watson"/>
    <s v="Resolved"/>
    <n v="3"/>
    <n v="8"/>
    <n v="18.46"/>
    <n v="0"/>
  </r>
  <r>
    <s v="TCK-13860"/>
    <s v="2024-05-31 18:27:10"/>
    <m/>
    <s v="P2"/>
    <x v="0"/>
    <s v="L2 Support"/>
    <s v="Michael Scott"/>
    <s v="Open"/>
    <m/>
    <n v="8"/>
    <m/>
    <m/>
  </r>
  <r>
    <s v="TCK-13861"/>
    <s v="2024-04-26 03:08:53"/>
    <s v="2024-04-27 01:52:54"/>
    <s v="P3"/>
    <x v="2"/>
    <s v="Infrastructure"/>
    <s v="Ravi Patel"/>
    <s v="Resolved"/>
    <n v="4"/>
    <n v="24"/>
    <n v="22.73"/>
    <n v="1"/>
  </r>
  <r>
    <s v="TCK-13862"/>
    <s v="2024-02-09 23:51:17"/>
    <s v="2024-02-10 13:23:28"/>
    <s v="P3"/>
    <x v="2"/>
    <s v="L2 Support"/>
    <s v="Ravi Patel"/>
    <s v="Resolved"/>
    <n v="4"/>
    <n v="24"/>
    <n v="13.54"/>
    <n v="1"/>
  </r>
  <r>
    <s v="TCK-13863"/>
    <s v="2024-12-03 08:18:32"/>
    <s v="2024-12-03 14:33:54"/>
    <s v="P2"/>
    <x v="0"/>
    <s v="Application Support"/>
    <s v="Jim Halpert"/>
    <s v="Resolved"/>
    <n v="4"/>
    <n v="8"/>
    <n v="6.26"/>
    <n v="1"/>
  </r>
  <r>
    <s v="TCK-13864"/>
    <s v="2024-06-05 14:16:41"/>
    <m/>
    <s v="P2"/>
    <x v="2"/>
    <s v="Application Support"/>
    <s v="Priya Nair"/>
    <s v="Open"/>
    <m/>
    <n v="8"/>
    <m/>
    <m/>
  </r>
  <r>
    <s v="TCK-13865"/>
    <s v="2024-02-17 22:01:19"/>
    <s v="2024-02-18 07:19:03"/>
    <s v="P3"/>
    <x v="0"/>
    <s v="Application Support"/>
    <s v="Sarah Connor"/>
    <s v="Resolved"/>
    <n v="5"/>
    <n v="24"/>
    <n v="9.3000000000000007"/>
    <n v="1"/>
  </r>
  <r>
    <s v="TCK-13866"/>
    <s v="2024-04-02 15:53:42"/>
    <s v="2024-04-03 10:23:00"/>
    <s v="P3"/>
    <x v="0"/>
    <s v="Application Support"/>
    <s v="Priya Nair"/>
    <s v="Resolved"/>
    <n v="5"/>
    <n v="24"/>
    <n v="18.489999999999998"/>
    <n v="1"/>
  </r>
  <r>
    <s v="TCK-13867"/>
    <s v="2024-10-03 10:35:59"/>
    <s v="2024-10-04 03:44:59"/>
    <s v="P4"/>
    <x v="1"/>
    <s v="Billing Operations"/>
    <s v="Carlos Mendez"/>
    <s v="Resolved"/>
    <n v="4"/>
    <n v="48"/>
    <n v="17.149999999999999"/>
    <n v="1"/>
  </r>
  <r>
    <s v="TCK-13868"/>
    <s v="2024-08-22 04:42:15"/>
    <s v="2024-08-22 08:13:53"/>
    <s v="P2"/>
    <x v="2"/>
    <s v="L2 Support"/>
    <s v="Ravi Patel"/>
    <s v="Resolved"/>
    <n v="4"/>
    <n v="8"/>
    <n v="3.53"/>
    <n v="1"/>
  </r>
  <r>
    <s v="TCK-13869"/>
    <s v="2024-03-28 02:28:03"/>
    <s v="2024-03-28 22:18:03"/>
    <s v="P3"/>
    <x v="2"/>
    <s v="L1 Support"/>
    <s v="Alex Mercer"/>
    <s v="Resolved"/>
    <n v="4"/>
    <n v="24"/>
    <n v="19.829999999999998"/>
    <n v="1"/>
  </r>
  <r>
    <s v="TCK-13870"/>
    <s v="2024-07-20 18:14:43"/>
    <s v="2024-07-20 19:50:53"/>
    <s v="P1"/>
    <x v="4"/>
    <s v="L1 Support"/>
    <s v="Sarah Connor"/>
    <s v="Resolved"/>
    <n v="4"/>
    <n v="4"/>
    <n v="1.6"/>
    <n v="1"/>
  </r>
  <r>
    <s v="TCK-13871"/>
    <s v="2024-07-29 19:35:37"/>
    <s v="2024-07-29 20:18:06"/>
    <s v="P1"/>
    <x v="2"/>
    <s v="L1 Support"/>
    <s v="Jim Halpert"/>
    <s v="Closed"/>
    <n v="4"/>
    <n v="4"/>
    <n v="0.71"/>
    <n v="1"/>
  </r>
  <r>
    <s v="TCK-13872"/>
    <s v="2024-08-09 00:02:54"/>
    <s v="2024-08-09 20:20:27"/>
    <s v="P3"/>
    <x v="1"/>
    <s v="Application Support"/>
    <s v="Carlos Mendez"/>
    <s v="Closed"/>
    <n v="4"/>
    <n v="24"/>
    <n v="20.29"/>
    <n v="1"/>
  </r>
  <r>
    <s v="TCK-13873"/>
    <s v="2024-08-11 20:51:28"/>
    <s v="2024-08-11 23:04:02"/>
    <s v="P1"/>
    <x v="0"/>
    <s v="Billing Operations"/>
    <s v="Emily Watson"/>
    <s v="Closed"/>
    <n v="3"/>
    <n v="4"/>
    <n v="2.21"/>
    <n v="1"/>
  </r>
  <r>
    <s v="TCK-13874"/>
    <s v="2024-06-17 12:46:47"/>
    <s v="2024-06-18 03:37:48"/>
    <s v="P3"/>
    <x v="2"/>
    <s v="Application Support"/>
    <s v="Alex Mercer"/>
    <s v="Resolved"/>
    <n v="4"/>
    <n v="24"/>
    <n v="14.85"/>
    <n v="1"/>
  </r>
  <r>
    <s v="TCK-13875"/>
    <s v="2024-11-26 17:00:12"/>
    <m/>
    <s v="P2"/>
    <x v="1"/>
    <s v="Billing Operations"/>
    <s v="Priya Nair"/>
    <s v="Open"/>
    <m/>
    <n v="8"/>
    <m/>
    <m/>
  </r>
  <r>
    <s v="TCK-13876"/>
    <s v="2024-11-25 11:01:02"/>
    <s v="2024-11-25 22:05:17"/>
    <s v="P4"/>
    <x v="2"/>
    <s v="Application Support"/>
    <s v="Priya Nair"/>
    <s v="Resolved"/>
    <n v="5"/>
    <n v="48"/>
    <n v="11.07"/>
    <n v="1"/>
  </r>
  <r>
    <s v="TCK-13877"/>
    <s v="2024-03-21 22:22:22"/>
    <s v="2024-03-22 08:40:16"/>
    <s v="P4"/>
    <x v="1"/>
    <s v="L2 Support"/>
    <s v="Michael Scott"/>
    <s v="Closed"/>
    <n v="5"/>
    <n v="48"/>
    <n v="10.3"/>
    <n v="1"/>
  </r>
  <r>
    <s v="TCK-13878"/>
    <s v="2024-11-30 04:05:53"/>
    <s v="2024-12-01 01:35:05"/>
    <s v="P3"/>
    <x v="2"/>
    <s v="L1 Support"/>
    <s v="Emily Watson"/>
    <s v="Resolved"/>
    <n v="4"/>
    <n v="24"/>
    <n v="21.49"/>
    <n v="1"/>
  </r>
  <r>
    <s v="TCK-13879"/>
    <s v="2024-05-21 09:24:48"/>
    <s v="2024-05-21 19:44:31"/>
    <s v="P3"/>
    <x v="2"/>
    <s v="L2 Support"/>
    <s v="Priya Nair"/>
    <s v="Resolved"/>
    <n v="4"/>
    <n v="24"/>
    <n v="10.33"/>
    <n v="1"/>
  </r>
  <r>
    <s v="TCK-13880"/>
    <s v="2024-09-25 11:58:54"/>
    <s v="2024-09-26 22:11:27"/>
    <s v="P4"/>
    <x v="4"/>
    <s v="L2 Support"/>
    <s v="Jim Halpert"/>
    <s v="Closed"/>
    <n v="5"/>
    <n v="48"/>
    <n v="34.21"/>
    <n v="1"/>
  </r>
  <r>
    <s v="TCK-13881"/>
    <s v="2024-12-22 09:39:42"/>
    <s v="2024-12-22 10:22:44"/>
    <s v="P1"/>
    <x v="2"/>
    <s v="Infrastructure"/>
    <s v="Sarah Connor"/>
    <s v="Resolved"/>
    <n v="4"/>
    <n v="4"/>
    <n v="0.72"/>
    <n v="1"/>
  </r>
  <r>
    <s v="TCK-13882"/>
    <s v="2024-08-03 15:04:40"/>
    <s v="2024-08-04 08:22:01"/>
    <s v="P3"/>
    <x v="0"/>
    <s v="L1 Support"/>
    <s v="Ravi Patel"/>
    <s v="Resolved"/>
    <n v="5"/>
    <n v="24"/>
    <n v="17.29"/>
    <n v="1"/>
  </r>
  <r>
    <s v="TCK-13883"/>
    <s v="2024-10-03 05:55:34"/>
    <m/>
    <s v="P3"/>
    <x v="2"/>
    <s v="Billing Operations"/>
    <s v="Anita Sharma"/>
    <s v="Open"/>
    <m/>
    <n v="24"/>
    <m/>
    <m/>
  </r>
  <r>
    <s v="TCK-13884"/>
    <s v="2024-03-17 07:44:57"/>
    <s v="2024-03-17 10:35:57"/>
    <s v="P1"/>
    <x v="2"/>
    <s v="Billing Operations"/>
    <s v="Priya Nair"/>
    <s v="Resolved"/>
    <n v="4"/>
    <n v="4"/>
    <n v="2.85"/>
    <n v="1"/>
  </r>
  <r>
    <s v="TCK-13885"/>
    <s v="2024-06-16 00:21:01"/>
    <s v="2024-06-16 16:10:32"/>
    <s v="P3"/>
    <x v="2"/>
    <s v="Infrastructure"/>
    <s v="Carlos Mendez"/>
    <s v="Resolved"/>
    <n v="5"/>
    <n v="24"/>
    <n v="15.83"/>
    <n v="1"/>
  </r>
  <r>
    <s v="TCK-13886"/>
    <s v="2024-08-23 09:48:53"/>
    <s v="2024-08-24 13:54:00"/>
    <s v="P4"/>
    <x v="0"/>
    <s v="L1 Support"/>
    <s v="Anita Sharma"/>
    <s v="Closed"/>
    <n v="4"/>
    <n v="48"/>
    <n v="28.09"/>
    <n v="1"/>
  </r>
  <r>
    <s v="TCK-13887"/>
    <s v="2024-07-31 23:44:58"/>
    <s v="2024-08-01 02:42:53"/>
    <s v="P1"/>
    <x v="2"/>
    <s v="L1 Support"/>
    <s v="Pam Beesly"/>
    <s v="Resolved"/>
    <n v="5"/>
    <n v="4"/>
    <n v="2.97"/>
    <n v="1"/>
  </r>
  <r>
    <s v="TCK-13888"/>
    <s v="2024-11-04 03:37:41"/>
    <s v="2024-11-06 22:28:40"/>
    <s v="P3"/>
    <x v="2"/>
    <s v="Application Support"/>
    <s v="Michael Scott"/>
    <s v="Closed"/>
    <n v="3"/>
    <n v="24"/>
    <n v="66.849999999999994"/>
    <n v="0"/>
  </r>
  <r>
    <s v="TCK-13889"/>
    <s v="2024-04-08 15:44:22"/>
    <s v="2024-04-08 21:14:37"/>
    <s v="P2"/>
    <x v="0"/>
    <s v="Application Support"/>
    <s v="Alex Mercer"/>
    <s v="Closed"/>
    <n v="4"/>
    <n v="8"/>
    <n v="5.5"/>
    <n v="1"/>
  </r>
  <r>
    <s v="TCK-13890"/>
    <s v="2024-02-10 00:38:13"/>
    <s v="2024-02-10 03:13:46"/>
    <s v="P2"/>
    <x v="0"/>
    <s v="Billing Operations"/>
    <s v="Emily Watson"/>
    <s v="Resolved"/>
    <n v="5"/>
    <n v="8"/>
    <n v="2.59"/>
    <n v="1"/>
  </r>
  <r>
    <s v="TCK-13891"/>
    <s v="2024-05-17 04:34:38"/>
    <s v="2024-05-17 07:47:40"/>
    <s v="P1"/>
    <x v="2"/>
    <s v="Billing Operations"/>
    <s v="Carlos Mendez"/>
    <s v="Closed"/>
    <n v="5"/>
    <n v="4"/>
    <n v="3.22"/>
    <n v="1"/>
  </r>
  <r>
    <s v="TCK-13892"/>
    <s v="2024-01-14 19:43:16"/>
    <s v="2024-01-15 09:29:38"/>
    <s v="P3"/>
    <x v="2"/>
    <s v="Application Support"/>
    <s v="Michael Scott"/>
    <s v="Resolved"/>
    <n v="5"/>
    <n v="24"/>
    <n v="13.77"/>
    <n v="1"/>
  </r>
  <r>
    <s v="TCK-13893"/>
    <s v="2024-09-04 23:35:27"/>
    <s v="2024-09-05 14:24:07"/>
    <s v="P3"/>
    <x v="0"/>
    <s v="Billing Operations"/>
    <s v="Carlos Mendez"/>
    <s v="Resolved"/>
    <n v="4"/>
    <n v="24"/>
    <n v="14.81"/>
    <n v="1"/>
  </r>
  <r>
    <s v="TCK-13894"/>
    <s v="2024-04-28 19:15:49"/>
    <s v="2024-04-29 01:54:26"/>
    <s v="P2"/>
    <x v="3"/>
    <s v="L1 Support"/>
    <s v="Michael Scott"/>
    <s v="Closed"/>
    <n v="5"/>
    <n v="8"/>
    <n v="6.64"/>
    <n v="1"/>
  </r>
  <r>
    <s v="TCK-13895"/>
    <s v="2024-12-18 20:23:13"/>
    <s v="2024-12-19 08:03:04"/>
    <s v="P3"/>
    <x v="2"/>
    <s v="L2 Support"/>
    <s v="Carlos Mendez"/>
    <s v="Closed"/>
    <n v="5"/>
    <n v="24"/>
    <n v="11.66"/>
    <n v="1"/>
  </r>
  <r>
    <s v="TCK-13896"/>
    <s v="2024-08-23 05:19:41"/>
    <s v="2024-08-23 08:38:26"/>
    <s v="P1"/>
    <x v="3"/>
    <s v="Infrastructure"/>
    <s v="Emily Watson"/>
    <s v="Resolved"/>
    <n v="4"/>
    <n v="4"/>
    <n v="3.31"/>
    <n v="1"/>
  </r>
  <r>
    <s v="TCK-13897"/>
    <s v="2024-02-24 07:25:27"/>
    <m/>
    <s v="P3"/>
    <x v="3"/>
    <s v="L1 Support"/>
    <s v="Dwight Schrute"/>
    <s v="Escalated"/>
    <m/>
    <n v="24"/>
    <m/>
    <m/>
  </r>
  <r>
    <s v="TCK-13898"/>
    <s v="2024-09-18 10:15:12"/>
    <m/>
    <s v="P3"/>
    <x v="0"/>
    <s v="Infrastructure"/>
    <s v="Anita Sharma"/>
    <s v="Open"/>
    <m/>
    <n v="24"/>
    <m/>
    <m/>
  </r>
  <r>
    <s v="TCK-13899"/>
    <s v="2024-02-22 15:58:02"/>
    <s v="2024-02-23 12:36:03"/>
    <s v="P4"/>
    <x v="4"/>
    <s v="Application Support"/>
    <s v="John Doe"/>
    <s v="Closed"/>
    <n v="4"/>
    <n v="48"/>
    <n v="20.63"/>
    <n v="1"/>
  </r>
  <r>
    <s v="TCK-13900"/>
    <s v="2024-05-31 21:12:15"/>
    <s v="2024-06-01 05:53:46"/>
    <s v="P3"/>
    <x v="2"/>
    <s v="Billing Operations"/>
    <s v="Jim Halpert"/>
    <s v="Resolved"/>
    <n v="5"/>
    <n v="24"/>
    <n v="8.69"/>
    <n v="1"/>
  </r>
  <r>
    <s v="TCK-13901"/>
    <s v="2024-04-15 05:13:08"/>
    <m/>
    <s v="P4"/>
    <x v="2"/>
    <s v="Billing Operations"/>
    <s v="Anita Sharma"/>
    <s v="Open"/>
    <m/>
    <n v="48"/>
    <m/>
    <m/>
  </r>
  <r>
    <s v="TCK-13902"/>
    <s v="2024-11-01 14:59:15"/>
    <s v="2024-11-02 10:30:24"/>
    <s v="P3"/>
    <x v="2"/>
    <s v="L1 Support"/>
    <s v="Sarah Connor"/>
    <s v="Resolved"/>
    <n v="5"/>
    <n v="24"/>
    <n v="19.52"/>
    <n v="1"/>
  </r>
  <r>
    <s v="TCK-13903"/>
    <s v="2024-11-15 09:07:18"/>
    <s v="2024-11-15 14:13:02"/>
    <s v="P3"/>
    <x v="1"/>
    <s v="L1 Support"/>
    <s v="Pam Beesly"/>
    <s v="Closed"/>
    <n v="3"/>
    <n v="24"/>
    <n v="5.0999999999999996"/>
    <n v="1"/>
  </r>
  <r>
    <s v="TCK-13904"/>
    <s v="2024-12-30 13:02:14"/>
    <s v="2024-12-30 18:53:17"/>
    <s v="P2"/>
    <x v="1"/>
    <s v="L2 Support"/>
    <s v="Emily Watson"/>
    <s v="Resolved"/>
    <n v="5"/>
    <n v="8"/>
    <n v="5.85"/>
    <n v="1"/>
  </r>
  <r>
    <s v="TCK-13905"/>
    <s v="2024-01-01 14:24:34"/>
    <s v="2024-01-01 18:05:05"/>
    <s v="P3"/>
    <x v="0"/>
    <s v="Billing Operations"/>
    <s v="Anita Sharma"/>
    <s v="Resolved"/>
    <n v="4"/>
    <n v="24"/>
    <n v="3.68"/>
    <n v="1"/>
  </r>
  <r>
    <s v="TCK-13906"/>
    <s v="2024-05-20 21:45:47"/>
    <s v="2024-05-26 12:07:51"/>
    <s v="P4"/>
    <x v="1"/>
    <s v="L2 Support"/>
    <s v="Alex Mercer"/>
    <s v="Closed"/>
    <n v="2"/>
    <n v="48"/>
    <n v="134.37"/>
    <n v="0"/>
  </r>
  <r>
    <s v="TCK-13907"/>
    <s v="2024-10-25 10:00:37"/>
    <s v="2024-10-25 11:31:48"/>
    <s v="P1"/>
    <x v="4"/>
    <s v="Billing Operations"/>
    <s v="Michael Scott"/>
    <s v="Resolved"/>
    <n v="5"/>
    <n v="4"/>
    <n v="1.52"/>
    <n v="1"/>
  </r>
  <r>
    <s v="TCK-13908"/>
    <s v="2024-08-30 13:05:03"/>
    <s v="2024-08-30 14:43:28"/>
    <s v="P2"/>
    <x v="1"/>
    <s v="L2 Support"/>
    <s v="John Doe"/>
    <s v="Resolved"/>
    <n v="5"/>
    <n v="8"/>
    <n v="1.64"/>
    <n v="1"/>
  </r>
  <r>
    <s v="TCK-13909"/>
    <s v="2024-12-09 07:56:31"/>
    <s v="2024-12-09 09:28:59"/>
    <s v="P2"/>
    <x v="0"/>
    <s v="Infrastructure"/>
    <s v="Michael Scott"/>
    <s v="Closed"/>
    <n v="5"/>
    <n v="8"/>
    <n v="1.54"/>
    <n v="1"/>
  </r>
  <r>
    <s v="TCK-13910"/>
    <s v="2024-12-19 06:22:55"/>
    <s v="2024-12-20 00:53:53"/>
    <s v="P3"/>
    <x v="0"/>
    <s v="Infrastructure"/>
    <s v="Alex Mercer"/>
    <s v="Closed"/>
    <n v="5"/>
    <n v="24"/>
    <n v="18.52"/>
    <n v="1"/>
  </r>
  <r>
    <s v="TCK-13911"/>
    <s v="2024-04-13 08:12:30"/>
    <s v="2024-04-14 03:37:53"/>
    <s v="P3"/>
    <x v="0"/>
    <s v="L2 Support"/>
    <s v="Carlos Mendez"/>
    <s v="Closed"/>
    <n v="5"/>
    <n v="24"/>
    <n v="19.420000000000002"/>
    <n v="1"/>
  </r>
  <r>
    <s v="TCK-13912"/>
    <s v="2024-07-30 14:22:06"/>
    <s v="2024-07-30 21:29:46"/>
    <s v="P2"/>
    <x v="0"/>
    <s v="L1 Support"/>
    <s v="John Doe"/>
    <s v="Resolved"/>
    <n v="4"/>
    <n v="8"/>
    <n v="7.13"/>
    <n v="1"/>
  </r>
  <r>
    <s v="TCK-13913"/>
    <s v="2024-02-06 08:18:06"/>
    <m/>
    <s v="P2"/>
    <x v="3"/>
    <s v="Billing Operations"/>
    <s v="Carlos Mendez"/>
    <s v="Open"/>
    <m/>
    <n v="8"/>
    <m/>
    <m/>
  </r>
  <r>
    <s v="TCK-13914"/>
    <s v="2024-07-20 03:12:30"/>
    <s v="2024-07-20 04:07:13"/>
    <s v="P1"/>
    <x v="1"/>
    <s v="L1 Support"/>
    <s v="Alex Mercer"/>
    <s v="Closed"/>
    <n v="4"/>
    <n v="4"/>
    <n v="0.91"/>
    <n v="1"/>
  </r>
  <r>
    <s v="TCK-13915"/>
    <s v="2024-06-07 22:33:46"/>
    <s v="2024-06-08 01:49:18"/>
    <s v="P2"/>
    <x v="2"/>
    <s v="Billing Operations"/>
    <s v="Jim Halpert"/>
    <s v="Closed"/>
    <n v="4"/>
    <n v="8"/>
    <n v="3.26"/>
    <n v="1"/>
  </r>
  <r>
    <s v="TCK-13916"/>
    <s v="2024-04-19 22:40:28"/>
    <s v="2024-04-20 11:19:14"/>
    <s v="P3"/>
    <x v="0"/>
    <s v="L2 Support"/>
    <s v="Jim Halpert"/>
    <s v="Resolved"/>
    <n v="5"/>
    <n v="24"/>
    <n v="12.65"/>
    <n v="1"/>
  </r>
  <r>
    <s v="TCK-13917"/>
    <s v="2024-02-26 03:26:16"/>
    <s v="2024-02-26 09:19:23"/>
    <s v="P2"/>
    <x v="0"/>
    <s v="Application Support"/>
    <s v="Carlos Mendez"/>
    <s v="Resolved"/>
    <n v="4"/>
    <n v="8"/>
    <n v="5.89"/>
    <n v="1"/>
  </r>
  <r>
    <s v="TCK-13918"/>
    <s v="2024-05-05 08:36:10"/>
    <s v="2024-05-05 13:10:00"/>
    <s v="P2"/>
    <x v="1"/>
    <s v="Application Support"/>
    <s v="Ravi Patel"/>
    <s v="Closed"/>
    <n v="4"/>
    <n v="8"/>
    <n v="4.5599999999999996"/>
    <n v="1"/>
  </r>
  <r>
    <s v="TCK-13919"/>
    <s v="2024-04-07 05:46:10"/>
    <s v="2024-04-07 09:46:37"/>
    <s v="P2"/>
    <x v="3"/>
    <s v="Billing Operations"/>
    <s v="Priya Nair"/>
    <s v="Resolved"/>
    <n v="3"/>
    <n v="8"/>
    <n v="4.01"/>
    <n v="1"/>
  </r>
  <r>
    <s v="TCK-13920"/>
    <s v="2024-04-12 01:58:39"/>
    <s v="2024-04-12 15:24:01"/>
    <s v="P3"/>
    <x v="2"/>
    <s v="Application Support"/>
    <s v="Jim Halpert"/>
    <s v="Closed"/>
    <n v="5"/>
    <n v="24"/>
    <n v="13.42"/>
    <n v="1"/>
  </r>
  <r>
    <s v="TCK-13921"/>
    <s v="2024-04-26 13:00:28"/>
    <s v="2024-04-26 14:11:09"/>
    <s v="P2"/>
    <x v="3"/>
    <s v="Billing Operations"/>
    <s v="Dwight Schrute"/>
    <s v="Resolved"/>
    <n v="4"/>
    <n v="8"/>
    <n v="1.18"/>
    <n v="1"/>
  </r>
  <r>
    <s v="TCK-13922"/>
    <s v="2024-03-21 23:02:21"/>
    <m/>
    <s v="P1"/>
    <x v="0"/>
    <s v="L2 Support"/>
    <s v="Priya Nair"/>
    <s v="Open"/>
    <m/>
    <n v="4"/>
    <m/>
    <m/>
  </r>
  <r>
    <s v="TCK-13923"/>
    <s v="2024-08-04 01:07:32"/>
    <s v="2024-08-04 16:55:17"/>
    <s v="P3"/>
    <x v="1"/>
    <s v="Infrastructure"/>
    <s v="Priya Nair"/>
    <s v="Resolved"/>
    <n v="3"/>
    <n v="24"/>
    <n v="15.8"/>
    <n v="1"/>
  </r>
  <r>
    <s v="TCK-13924"/>
    <s v="2024-11-23 02:23:19"/>
    <s v="2024-11-23 03:12:51"/>
    <s v="P2"/>
    <x v="0"/>
    <s v="L1 Support"/>
    <s v="Michael Scott"/>
    <s v="Closed"/>
    <n v="5"/>
    <n v="8"/>
    <n v="0.83"/>
    <n v="1"/>
  </r>
  <r>
    <s v="TCK-13925"/>
    <s v="2024-01-07 05:54:34"/>
    <s v="2024-01-08 11:05:15"/>
    <s v="P4"/>
    <x v="1"/>
    <s v="Infrastructure"/>
    <s v="Pam Beesly"/>
    <s v="Resolved"/>
    <n v="5"/>
    <n v="48"/>
    <n v="29.18"/>
    <n v="1"/>
  </r>
  <r>
    <s v="TCK-13926"/>
    <s v="2024-05-17 05:47:30"/>
    <s v="2024-05-18 01:32:08"/>
    <s v="P3"/>
    <x v="2"/>
    <s v="L2 Support"/>
    <s v="Emily Watson"/>
    <s v="Resolved"/>
    <n v="3"/>
    <n v="24"/>
    <n v="19.739999999999998"/>
    <n v="1"/>
  </r>
  <r>
    <s v="TCK-13927"/>
    <s v="2024-02-17 21:36:49"/>
    <s v="2024-02-18 19:02:36"/>
    <s v="P3"/>
    <x v="2"/>
    <s v="L2 Support"/>
    <s v="Emily Watson"/>
    <s v="Closed"/>
    <n v="4"/>
    <n v="24"/>
    <n v="21.43"/>
    <n v="1"/>
  </r>
  <r>
    <s v="TCK-13928"/>
    <s v="2024-06-17 03:47:59"/>
    <s v="2024-06-18 16:54:22"/>
    <s v="P4"/>
    <x v="2"/>
    <s v="L1 Support"/>
    <s v="Alex Mercer"/>
    <s v="Closed"/>
    <n v="4"/>
    <n v="48"/>
    <n v="37.11"/>
    <n v="1"/>
  </r>
  <r>
    <s v="TCK-13929"/>
    <s v="2024-04-24 16:52:19"/>
    <s v="2024-04-24 23:12:18"/>
    <s v="P2"/>
    <x v="3"/>
    <s v="Infrastructure"/>
    <s v="Priya Nair"/>
    <s v="Closed"/>
    <n v="5"/>
    <n v="8"/>
    <n v="6.33"/>
    <n v="1"/>
  </r>
  <r>
    <s v="TCK-13930"/>
    <s v="2024-08-31 19:07:16"/>
    <s v="2024-08-31 20:53:34"/>
    <s v="P1"/>
    <x v="2"/>
    <s v="Billing Operations"/>
    <s v="Sarah Connor"/>
    <s v="Closed"/>
    <n v="5"/>
    <n v="4"/>
    <n v="1.77"/>
    <n v="1"/>
  </r>
  <r>
    <s v="TCK-13931"/>
    <s v="2024-12-27 15:49:25"/>
    <s v="2024-12-28 07:01:58"/>
    <s v="P4"/>
    <x v="1"/>
    <s v="Infrastructure"/>
    <s v="Anita Sharma"/>
    <s v="Closed"/>
    <n v="4"/>
    <n v="48"/>
    <n v="15.21"/>
    <n v="1"/>
  </r>
  <r>
    <s v="TCK-13932"/>
    <s v="2024-12-22 23:17:07"/>
    <s v="2024-12-23 10:58:17"/>
    <s v="P2"/>
    <x v="1"/>
    <s v="Infrastructure"/>
    <s v="Anita Sharma"/>
    <s v="Closed"/>
    <n v="1"/>
    <n v="8"/>
    <n v="11.69"/>
    <n v="0"/>
  </r>
  <r>
    <s v="TCK-13933"/>
    <s v="2024-03-06 08:05:11"/>
    <s v="2024-03-06 23:20:03"/>
    <s v="P2"/>
    <x v="0"/>
    <s v="Infrastructure"/>
    <s v="Michael Scott"/>
    <s v="Closed"/>
    <n v="1"/>
    <n v="8"/>
    <n v="15.25"/>
    <n v="0"/>
  </r>
  <r>
    <s v="TCK-13934"/>
    <s v="2024-03-21 14:57:06"/>
    <s v="2024-03-21 23:40:06"/>
    <s v="P3"/>
    <x v="4"/>
    <s v="Billing Operations"/>
    <s v="Emily Watson"/>
    <s v="Closed"/>
    <n v="4"/>
    <n v="24"/>
    <n v="8.7200000000000006"/>
    <n v="1"/>
  </r>
  <r>
    <s v="TCK-13935"/>
    <s v="2024-11-29 17:49:29"/>
    <s v="2024-11-30 16:35:03"/>
    <s v="P3"/>
    <x v="1"/>
    <s v="L1 Support"/>
    <s v="Emily Watson"/>
    <s v="Resolved"/>
    <n v="5"/>
    <n v="24"/>
    <n v="22.76"/>
    <n v="1"/>
  </r>
  <r>
    <s v="TCK-13936"/>
    <s v="2024-06-05 12:55:53"/>
    <m/>
    <s v="P1"/>
    <x v="3"/>
    <s v="Application Support"/>
    <s v="Jim Halpert"/>
    <s v="Escalated"/>
    <m/>
    <n v="4"/>
    <m/>
    <m/>
  </r>
  <r>
    <s v="TCK-13937"/>
    <s v="2024-02-24 09:54:07"/>
    <s v="2024-02-24 15:22:35"/>
    <s v="P2"/>
    <x v="2"/>
    <s v="L2 Support"/>
    <s v="Sarah Connor"/>
    <s v="Closed"/>
    <n v="5"/>
    <n v="8"/>
    <n v="5.47"/>
    <n v="1"/>
  </r>
  <r>
    <s v="TCK-13938"/>
    <s v="2024-02-17 07:04:37"/>
    <s v="2024-02-17 19:17:04"/>
    <s v="P3"/>
    <x v="4"/>
    <s v="Billing Operations"/>
    <s v="Jim Halpert"/>
    <s v="Closed"/>
    <n v="5"/>
    <n v="24"/>
    <n v="12.21"/>
    <n v="1"/>
  </r>
  <r>
    <s v="TCK-13939"/>
    <s v="2024-10-23 11:33:05"/>
    <s v="2024-10-26 07:10:00"/>
    <s v="P3"/>
    <x v="2"/>
    <s v="L2 Support"/>
    <s v="Anita Sharma"/>
    <s v="Resolved"/>
    <n v="3"/>
    <n v="24"/>
    <n v="67.62"/>
    <n v="0"/>
  </r>
  <r>
    <s v="TCK-13940"/>
    <s v="2024-05-20 04:52:15"/>
    <s v="2024-05-21 01:38:00"/>
    <s v="P3"/>
    <x v="4"/>
    <s v="Application Support"/>
    <s v="Anita Sharma"/>
    <s v="Resolved"/>
    <n v="4"/>
    <n v="24"/>
    <n v="20.76"/>
    <n v="1"/>
  </r>
  <r>
    <s v="TCK-13941"/>
    <s v="2024-06-03 13:10:16"/>
    <s v="2024-06-03 15:47:34"/>
    <s v="P1"/>
    <x v="2"/>
    <s v="Infrastructure"/>
    <s v="Emily Watson"/>
    <s v="Resolved"/>
    <n v="4"/>
    <n v="4"/>
    <n v="2.62"/>
    <n v="1"/>
  </r>
  <r>
    <s v="TCK-13942"/>
    <s v="2024-05-12 09:30:42"/>
    <s v="2024-05-14 17:29:52"/>
    <s v="P3"/>
    <x v="1"/>
    <s v="Billing Operations"/>
    <s v="Ravi Patel"/>
    <s v="Resolved"/>
    <n v="4"/>
    <n v="24"/>
    <n v="55.99"/>
    <n v="0"/>
  </r>
  <r>
    <s v="TCK-13943"/>
    <s v="2024-11-06 09:02:41"/>
    <s v="2024-11-08 21:18:53"/>
    <s v="P3"/>
    <x v="1"/>
    <s v="Infrastructure"/>
    <s v="John Doe"/>
    <s v="Resolved"/>
    <n v="2"/>
    <n v="24"/>
    <n v="60.27"/>
    <n v="0"/>
  </r>
  <r>
    <s v="TCK-13944"/>
    <s v="2024-09-22 06:39:06"/>
    <s v="2024-09-22 07:49:06"/>
    <s v="P1"/>
    <x v="0"/>
    <s v="L1 Support"/>
    <s v="Michael Scott"/>
    <s v="Closed"/>
    <n v="4"/>
    <n v="4"/>
    <n v="1.17"/>
    <n v="1"/>
  </r>
  <r>
    <s v="TCK-13945"/>
    <s v="2024-08-31 09:59:18"/>
    <s v="2024-09-01 05:32:04"/>
    <s v="P4"/>
    <x v="0"/>
    <s v="Application Support"/>
    <s v="Priya Nair"/>
    <s v="Resolved"/>
    <n v="5"/>
    <n v="48"/>
    <n v="19.55"/>
    <n v="1"/>
  </r>
  <r>
    <s v="TCK-13946"/>
    <s v="2024-08-02 21:31:55"/>
    <s v="2024-08-03 22:43:02"/>
    <s v="P4"/>
    <x v="0"/>
    <s v="Billing Operations"/>
    <s v="Michael Scott"/>
    <s v="Resolved"/>
    <n v="5"/>
    <n v="48"/>
    <n v="25.19"/>
    <n v="1"/>
  </r>
  <r>
    <s v="TCK-13947"/>
    <s v="2024-12-24 04:02:02"/>
    <m/>
    <s v="P2"/>
    <x v="0"/>
    <s v="Application Support"/>
    <s v="Emily Watson"/>
    <s v="Open"/>
    <m/>
    <n v="8"/>
    <m/>
    <m/>
  </r>
  <r>
    <s v="TCK-13948"/>
    <s v="2024-06-02 07:12:00"/>
    <s v="2024-06-02 11:14:18"/>
    <s v="P2"/>
    <x v="2"/>
    <s v="Application Support"/>
    <s v="Jim Halpert"/>
    <s v="Resolved"/>
    <n v="4"/>
    <n v="8"/>
    <n v="4.04"/>
    <n v="1"/>
  </r>
  <r>
    <s v="TCK-13949"/>
    <s v="2024-03-22 17:36:39"/>
    <s v="2024-03-23 05:54:56"/>
    <s v="P3"/>
    <x v="3"/>
    <s v="L1 Support"/>
    <s v="Emily Watson"/>
    <s v="Closed"/>
    <n v="5"/>
    <n v="24"/>
    <n v="12.3"/>
    <n v="1"/>
  </r>
  <r>
    <s v="TCK-13950"/>
    <s v="2024-01-29 16:09:52"/>
    <m/>
    <s v="P3"/>
    <x v="2"/>
    <s v="Billing Operations"/>
    <s v="Alex Mercer"/>
    <s v="Open"/>
    <m/>
    <n v="24"/>
    <m/>
    <m/>
  </r>
  <r>
    <s v="TCK-13951"/>
    <s v="2024-09-10 16:24:36"/>
    <s v="2024-09-11 07:12:33"/>
    <s v="P3"/>
    <x v="2"/>
    <s v="Application Support"/>
    <s v="Dwight Schrute"/>
    <s v="Closed"/>
    <n v="3"/>
    <n v="24"/>
    <n v="14.8"/>
    <n v="1"/>
  </r>
  <r>
    <s v="TCK-13952"/>
    <s v="2024-11-11 10:54:02"/>
    <s v="2024-11-11 17:52:08"/>
    <s v="P3"/>
    <x v="2"/>
    <s v="Infrastructure"/>
    <s v="Alex Mercer"/>
    <s v="Resolved"/>
    <n v="4"/>
    <n v="24"/>
    <n v="6.97"/>
    <n v="1"/>
  </r>
  <r>
    <s v="TCK-13953"/>
    <s v="2024-04-29 22:17:08"/>
    <s v="2024-04-30 05:48:29"/>
    <s v="P3"/>
    <x v="1"/>
    <s v="Infrastructure"/>
    <s v="John Doe"/>
    <s v="Closed"/>
    <n v="5"/>
    <n v="24"/>
    <n v="7.52"/>
    <n v="1"/>
  </r>
  <r>
    <s v="TCK-13954"/>
    <s v="2024-10-21 18:23:00"/>
    <s v="2024-10-22 02:40:30"/>
    <s v="P1"/>
    <x v="4"/>
    <s v="Billing Operations"/>
    <s v="Alex Mercer"/>
    <s v="Resolved"/>
    <n v="2"/>
    <n v="4"/>
    <n v="8.2899999999999991"/>
    <n v="0"/>
  </r>
  <r>
    <s v="TCK-13955"/>
    <s v="2024-11-07 02:39:55"/>
    <s v="2024-11-08 17:42:23"/>
    <s v="P4"/>
    <x v="0"/>
    <s v="Infrastructure"/>
    <s v="Dwight Schrute"/>
    <s v="Closed"/>
    <n v="5"/>
    <n v="48"/>
    <n v="39.04"/>
    <n v="1"/>
  </r>
  <r>
    <s v="TCK-13956"/>
    <s v="2024-09-13 03:17:02"/>
    <s v="2024-09-13 06:13:47"/>
    <s v="P3"/>
    <x v="4"/>
    <s v="Infrastructure"/>
    <s v="Dwight Schrute"/>
    <s v="Resolved"/>
    <n v="4"/>
    <n v="24"/>
    <n v="2.95"/>
    <n v="1"/>
  </r>
  <r>
    <s v="TCK-13957"/>
    <s v="2024-12-30 20:26:39"/>
    <s v="2025-01-02 00:58:36"/>
    <s v="P3"/>
    <x v="2"/>
    <s v="L2 Support"/>
    <s v="Jim Halpert"/>
    <s v="Resolved"/>
    <n v="2"/>
    <n v="24"/>
    <n v="52.53"/>
    <n v="0"/>
  </r>
  <r>
    <s v="TCK-13958"/>
    <s v="2024-01-18 19:56:18"/>
    <s v="2024-01-19 07:48:54"/>
    <s v="P4"/>
    <x v="0"/>
    <s v="Application Support"/>
    <s v="John Doe"/>
    <s v="Resolved"/>
    <n v="4"/>
    <n v="48"/>
    <n v="11.88"/>
    <n v="1"/>
  </r>
  <r>
    <s v="TCK-13959"/>
    <s v="2024-11-06 09:59:15"/>
    <m/>
    <s v="P3"/>
    <x v="3"/>
    <s v="L2 Support"/>
    <s v="Michael Scott"/>
    <s v="Open"/>
    <m/>
    <n v="24"/>
    <m/>
    <m/>
  </r>
  <r>
    <s v="TCK-13960"/>
    <s v="2024-08-29 07:00:43"/>
    <m/>
    <s v="P4"/>
    <x v="1"/>
    <s v="Infrastructure"/>
    <s v="Pam Beesly"/>
    <s v="Open"/>
    <m/>
    <n v="48"/>
    <m/>
    <m/>
  </r>
  <r>
    <s v="TCK-13961"/>
    <s v="2024-06-21 17:44:26"/>
    <s v="2024-06-22 02:59:15"/>
    <s v="P3"/>
    <x v="1"/>
    <s v="Application Support"/>
    <s v="Dwight Schrute"/>
    <s v="Resolved"/>
    <n v="5"/>
    <n v="24"/>
    <n v="9.25"/>
    <n v="1"/>
  </r>
  <r>
    <s v="TCK-13962"/>
    <s v="2024-02-07 13:37:08"/>
    <s v="2024-02-09 04:33:21"/>
    <s v="P4"/>
    <x v="2"/>
    <s v="Application Support"/>
    <s v="Emily Watson"/>
    <s v="Closed"/>
    <n v="4"/>
    <n v="48"/>
    <n v="38.94"/>
    <n v="1"/>
  </r>
  <r>
    <s v="TCK-13963"/>
    <s v="2024-11-13 16:26:54"/>
    <s v="2024-11-15 08:38:30"/>
    <s v="P4"/>
    <x v="2"/>
    <s v="Infrastructure"/>
    <s v="Jim Halpert"/>
    <s v="Resolved"/>
    <n v="5"/>
    <n v="48"/>
    <n v="40.19"/>
    <n v="1"/>
  </r>
  <r>
    <s v="TCK-13964"/>
    <s v="2024-06-12 11:37:30"/>
    <s v="2024-06-13 09:14:13"/>
    <s v="P3"/>
    <x v="1"/>
    <s v="Billing Operations"/>
    <s v="Pam Beesly"/>
    <s v="Closed"/>
    <n v="5"/>
    <n v="24"/>
    <n v="21.61"/>
    <n v="1"/>
  </r>
  <r>
    <s v="TCK-13965"/>
    <s v="2024-07-05 07:11:59"/>
    <s v="2024-07-10 23:19:08"/>
    <s v="P4"/>
    <x v="0"/>
    <s v="Billing Operations"/>
    <s v="Michael Scott"/>
    <s v="Closed"/>
    <n v="4"/>
    <n v="48"/>
    <n v="136.12"/>
    <n v="0"/>
  </r>
  <r>
    <s v="TCK-13966"/>
    <s v="2024-06-08 20:12:24"/>
    <s v="2024-06-08 23:41:48"/>
    <s v="P2"/>
    <x v="0"/>
    <s v="L1 Support"/>
    <s v="John Doe"/>
    <s v="Resolved"/>
    <n v="4"/>
    <n v="8"/>
    <n v="3.49"/>
    <n v="1"/>
  </r>
  <r>
    <s v="TCK-13967"/>
    <s v="2024-06-14 02:44:07"/>
    <s v="2024-06-17 05:49:49"/>
    <s v="P4"/>
    <x v="0"/>
    <s v="Infrastructure"/>
    <s v="Anita Sharma"/>
    <s v="Resolved"/>
    <n v="2"/>
    <n v="48"/>
    <n v="75.099999999999994"/>
    <n v="0"/>
  </r>
  <r>
    <s v="TCK-13968"/>
    <s v="2024-06-21 22:34:21"/>
    <s v="2024-06-22 20:48:37"/>
    <s v="P3"/>
    <x v="2"/>
    <s v="Billing Operations"/>
    <s v="Michael Scott"/>
    <s v="Closed"/>
    <n v="5"/>
    <n v="24"/>
    <n v="22.24"/>
    <n v="1"/>
  </r>
  <r>
    <s v="TCK-13969"/>
    <s v="2024-05-15 19:42:30"/>
    <s v="2024-05-18 13:19:18"/>
    <s v="P3"/>
    <x v="3"/>
    <s v="L2 Support"/>
    <s v="Michael Scott"/>
    <s v="Closed"/>
    <n v="2"/>
    <n v="24"/>
    <n v="65.61"/>
    <n v="0"/>
  </r>
  <r>
    <s v="TCK-13970"/>
    <s v="2024-10-05 18:00:09"/>
    <s v="2024-10-06 09:36:37"/>
    <s v="P3"/>
    <x v="2"/>
    <s v="Infrastructure"/>
    <s v="Emily Watson"/>
    <s v="Resolved"/>
    <n v="5"/>
    <n v="24"/>
    <n v="15.61"/>
    <n v="1"/>
  </r>
  <r>
    <s v="TCK-13971"/>
    <s v="2024-04-16 07:33:11"/>
    <s v="2024-04-16 22:40:38"/>
    <s v="P3"/>
    <x v="0"/>
    <s v="Billing Operations"/>
    <s v="Jim Halpert"/>
    <s v="Resolved"/>
    <n v="4"/>
    <n v="24"/>
    <n v="15.12"/>
    <n v="1"/>
  </r>
  <r>
    <s v="TCK-13972"/>
    <s v="2024-01-11 19:31:25"/>
    <s v="2024-01-12 15:58:48"/>
    <s v="P2"/>
    <x v="0"/>
    <s v="Infrastructure"/>
    <s v="Michael Scott"/>
    <s v="Closed"/>
    <n v="2"/>
    <n v="8"/>
    <n v="20.46"/>
    <n v="0"/>
  </r>
  <r>
    <s v="TCK-13973"/>
    <s v="2024-01-04 03:57:38"/>
    <s v="2024-01-06 08:19:14"/>
    <s v="P3"/>
    <x v="2"/>
    <s v="L2 Support"/>
    <s v="Priya Nair"/>
    <s v="Resolved"/>
    <n v="1"/>
    <n v="24"/>
    <n v="52.36"/>
    <n v="0"/>
  </r>
  <r>
    <s v="TCK-13974"/>
    <s v="2024-08-24 03:09:55"/>
    <m/>
    <s v="P2"/>
    <x v="2"/>
    <s v="Application Support"/>
    <s v="Michael Scott"/>
    <s v="Escalated"/>
    <m/>
    <n v="8"/>
    <m/>
    <m/>
  </r>
  <r>
    <s v="TCK-13975"/>
    <s v="2024-07-23 04:03:55"/>
    <s v="2024-07-23 07:45:18"/>
    <s v="P1"/>
    <x v="4"/>
    <s v="L1 Support"/>
    <s v="Dwight Schrute"/>
    <s v="Resolved"/>
    <n v="5"/>
    <n v="4"/>
    <n v="3.69"/>
    <n v="1"/>
  </r>
  <r>
    <s v="TCK-13976"/>
    <s v="2024-02-04 06:15:52"/>
    <s v="2024-02-05 19:31:07"/>
    <s v="P3"/>
    <x v="0"/>
    <s v="Application Support"/>
    <s v="Emily Watson"/>
    <s v="Resolved"/>
    <n v="1"/>
    <n v="24"/>
    <n v="37.25"/>
    <n v="0"/>
  </r>
  <r>
    <s v="TCK-13977"/>
    <s v="2024-02-10 11:22:58"/>
    <s v="2024-02-10 13:35:41"/>
    <s v="P1"/>
    <x v="0"/>
    <s v="L2 Support"/>
    <s v="Jim Halpert"/>
    <s v="Resolved"/>
    <n v="5"/>
    <n v="4"/>
    <n v="2.21"/>
    <n v="1"/>
  </r>
  <r>
    <s v="TCK-13978"/>
    <s v="2024-06-17 01:25:30"/>
    <s v="2024-06-17 06:55:41"/>
    <s v="P2"/>
    <x v="0"/>
    <s v="Application Support"/>
    <s v="Dwight Schrute"/>
    <s v="Resolved"/>
    <n v="5"/>
    <n v="8"/>
    <n v="5.5"/>
    <n v="1"/>
  </r>
  <r>
    <s v="TCK-13979"/>
    <s v="2024-12-16 04:06:56"/>
    <s v="2024-12-17 11:42:11"/>
    <s v="P3"/>
    <x v="2"/>
    <s v="L1 Support"/>
    <s v="Emily Watson"/>
    <s v="Resolved"/>
    <n v="2"/>
    <n v="24"/>
    <n v="31.59"/>
    <n v="0"/>
  </r>
  <r>
    <s v="TCK-13980"/>
    <s v="2024-11-15 15:47:44"/>
    <s v="2024-11-15 19:17:26"/>
    <s v="P3"/>
    <x v="2"/>
    <s v="Infrastructure"/>
    <s v="Sarah Connor"/>
    <s v="Resolved"/>
    <n v="5"/>
    <n v="24"/>
    <n v="3.5"/>
    <n v="1"/>
  </r>
  <r>
    <s v="TCK-13981"/>
    <s v="2024-08-11 20:39:52"/>
    <s v="2024-08-12 00:25:50"/>
    <s v="P2"/>
    <x v="0"/>
    <s v="L1 Support"/>
    <s v="Sarah Connor"/>
    <s v="Resolved"/>
    <n v="4"/>
    <n v="8"/>
    <n v="3.77"/>
    <n v="1"/>
  </r>
  <r>
    <s v="TCK-13982"/>
    <s v="2024-07-26 10:54:07"/>
    <s v="2024-07-26 23:23:41"/>
    <s v="P2"/>
    <x v="0"/>
    <s v="Infrastructure"/>
    <s v="Sarah Connor"/>
    <s v="Resolved"/>
    <n v="3"/>
    <n v="8"/>
    <n v="12.49"/>
    <n v="0"/>
  </r>
  <r>
    <s v="TCK-13983"/>
    <s v="2024-07-04 02:33:32"/>
    <m/>
    <s v="P3"/>
    <x v="2"/>
    <s v="Billing Operations"/>
    <s v="Emily Watson"/>
    <s v="Escalated"/>
    <m/>
    <n v="24"/>
    <m/>
    <m/>
  </r>
  <r>
    <s v="TCK-13984"/>
    <s v="2024-12-01 12:08:06"/>
    <s v="2024-12-03 04:06:47"/>
    <s v="P4"/>
    <x v="2"/>
    <s v="Infrastructure"/>
    <s v="Michael Scott"/>
    <s v="Resolved"/>
    <n v="4"/>
    <n v="48"/>
    <n v="39.979999999999997"/>
    <n v="1"/>
  </r>
  <r>
    <s v="TCK-13985"/>
    <s v="2024-10-01 10:40:04"/>
    <s v="2024-10-02 05:30:01"/>
    <s v="P4"/>
    <x v="2"/>
    <s v="L2 Support"/>
    <s v="Pam Beesly"/>
    <s v="Resolved"/>
    <n v="5"/>
    <n v="48"/>
    <n v="18.829999999999998"/>
    <n v="1"/>
  </r>
  <r>
    <s v="TCK-13986"/>
    <s v="2024-09-06 09:36:04"/>
    <s v="2024-09-06 22:46:09"/>
    <s v="P3"/>
    <x v="2"/>
    <s v="L2 Support"/>
    <s v="Dwight Schrute"/>
    <s v="Resolved"/>
    <n v="4"/>
    <n v="24"/>
    <n v="13.17"/>
    <n v="1"/>
  </r>
  <r>
    <s v="TCK-13987"/>
    <s v="2024-10-21 00:27:22"/>
    <m/>
    <s v="P3"/>
    <x v="2"/>
    <s v="Billing Operations"/>
    <s v="Carlos Mendez"/>
    <s v="Open"/>
    <m/>
    <n v="24"/>
    <m/>
    <m/>
  </r>
  <r>
    <s v="TCK-13988"/>
    <s v="2024-03-03 10:34:04"/>
    <s v="2024-03-03 15:33:58"/>
    <s v="P3"/>
    <x v="2"/>
    <s v="Application Support"/>
    <s v="Sarah Connor"/>
    <s v="Closed"/>
    <n v="4"/>
    <n v="24"/>
    <n v="5"/>
    <n v="1"/>
  </r>
  <r>
    <s v="TCK-13989"/>
    <s v="2024-04-08 19:17:27"/>
    <m/>
    <s v="P3"/>
    <x v="3"/>
    <s v="Billing Operations"/>
    <s v="Michael Scott"/>
    <s v="Open"/>
    <m/>
    <n v="24"/>
    <m/>
    <m/>
  </r>
  <r>
    <s v="TCK-13990"/>
    <s v="2024-02-10 02:56:27"/>
    <s v="2024-02-10 05:31:26"/>
    <s v="P3"/>
    <x v="4"/>
    <s v="L2 Support"/>
    <s v="Dwight Schrute"/>
    <s v="Resolved"/>
    <n v="5"/>
    <n v="24"/>
    <n v="2.58"/>
    <n v="1"/>
  </r>
  <r>
    <s v="TCK-13991"/>
    <s v="2024-07-15 11:10:03"/>
    <s v="2024-07-16 04:56:44"/>
    <s v="P3"/>
    <x v="1"/>
    <s v="Billing Operations"/>
    <s v="Sarah Connor"/>
    <s v="Closed"/>
    <n v="5"/>
    <n v="24"/>
    <n v="17.78"/>
    <n v="1"/>
  </r>
  <r>
    <s v="TCK-13992"/>
    <s v="2024-05-21 10:48:32"/>
    <s v="2024-05-21 14:42:12"/>
    <s v="P2"/>
    <x v="1"/>
    <s v="Application Support"/>
    <s v="Michael Scott"/>
    <s v="Resolved"/>
    <n v="4"/>
    <n v="8"/>
    <n v="3.89"/>
    <n v="1"/>
  </r>
  <r>
    <s v="TCK-13993"/>
    <s v="2024-07-28 05:03:00"/>
    <s v="2024-07-30 19:56:55"/>
    <s v="P3"/>
    <x v="2"/>
    <s v="Billing Operations"/>
    <s v="Priya Nair"/>
    <s v="Resolved"/>
    <n v="1"/>
    <n v="24"/>
    <n v="62.9"/>
    <n v="0"/>
  </r>
  <r>
    <s v="TCK-13994"/>
    <s v="2024-07-20 07:51:55"/>
    <m/>
    <s v="P4"/>
    <x v="2"/>
    <s v="L2 Support"/>
    <s v="Jim Halpert"/>
    <s v="Open"/>
    <m/>
    <n v="48"/>
    <m/>
    <m/>
  </r>
  <r>
    <s v="TCK-13995"/>
    <s v="2024-05-07 22:25:53"/>
    <s v="2024-05-08 10:36:26"/>
    <s v="P3"/>
    <x v="3"/>
    <s v="L1 Support"/>
    <s v="Michael Scott"/>
    <s v="Closed"/>
    <n v="5"/>
    <n v="24"/>
    <n v="12.18"/>
    <n v="1"/>
  </r>
  <r>
    <s v="TCK-13996"/>
    <s v="2024-08-26 22:03:20"/>
    <s v="2024-08-27 01:08:52"/>
    <s v="P1"/>
    <x v="1"/>
    <s v="Application Support"/>
    <s v="Ravi Patel"/>
    <s v="Closed"/>
    <n v="5"/>
    <n v="4"/>
    <n v="3.09"/>
    <n v="1"/>
  </r>
  <r>
    <s v="TCK-13997"/>
    <s v="2024-11-08 09:59:19"/>
    <s v="2024-11-09 21:13:48"/>
    <s v="P4"/>
    <x v="2"/>
    <s v="L1 Support"/>
    <s v="Jim Halpert"/>
    <s v="Resolved"/>
    <n v="5"/>
    <n v="48"/>
    <n v="35.24"/>
    <n v="1"/>
  </r>
  <r>
    <s v="TCK-13998"/>
    <s v="2024-04-14 00:26:01"/>
    <s v="2024-04-14 18:06:14"/>
    <s v="P4"/>
    <x v="4"/>
    <s v="L1 Support"/>
    <s v="Ravi Patel"/>
    <s v="Closed"/>
    <n v="5"/>
    <n v="48"/>
    <n v="17.670000000000002"/>
    <n v="1"/>
  </r>
  <r>
    <s v="TCK-13999"/>
    <s v="2024-03-25 01:39:00"/>
    <s v="2024-03-25 02:04:02"/>
    <s v="P1"/>
    <x v="4"/>
    <s v="L1 Support"/>
    <s v="Dwight Schrute"/>
    <s v="Closed"/>
    <n v="5"/>
    <n v="4"/>
    <n v="0.42"/>
    <n v="1"/>
  </r>
  <r>
    <s v="TCK-14000"/>
    <s v="2024-05-13 06:15:42"/>
    <s v="2024-05-13 12:43:43"/>
    <s v="P2"/>
    <x v="3"/>
    <s v="L1 Support"/>
    <s v="Sarah Connor"/>
    <s v="Closed"/>
    <n v="5"/>
    <n v="8"/>
    <n v="6.47"/>
    <n v="1"/>
  </r>
  <r>
    <s v="TCK-14001"/>
    <s v="2024-12-15 10:39:43"/>
    <s v="2024-12-15 17:59:08"/>
    <s v="P2"/>
    <x v="4"/>
    <s v="Billing Operations"/>
    <s v="Jim Halpert"/>
    <s v="Resolved"/>
    <n v="5"/>
    <n v="8"/>
    <n v="7.32"/>
    <n v="1"/>
  </r>
  <r>
    <s v="TCK-14002"/>
    <s v="2024-03-05 11:08:46"/>
    <s v="2024-03-06 01:56:05"/>
    <s v="P4"/>
    <x v="2"/>
    <s v="Application Support"/>
    <s v="Pam Beesly"/>
    <s v="Resolved"/>
    <n v="4"/>
    <n v="48"/>
    <n v="14.79"/>
    <n v="1"/>
  </r>
  <r>
    <s v="TCK-14003"/>
    <s v="2024-09-06 22:05:28"/>
    <s v="2024-09-07 04:44:38"/>
    <s v="P3"/>
    <x v="0"/>
    <s v="Infrastructure"/>
    <s v="Alex Mercer"/>
    <s v="Closed"/>
    <n v="4"/>
    <n v="24"/>
    <n v="6.65"/>
    <n v="1"/>
  </r>
  <r>
    <s v="TCK-14004"/>
    <s v="2024-02-15 22:56:47"/>
    <s v="2024-02-16 06:00:42"/>
    <s v="P2"/>
    <x v="4"/>
    <s v="Billing Operations"/>
    <s v="Pam Beesly"/>
    <s v="Resolved"/>
    <n v="3"/>
    <n v="8"/>
    <n v="7.07"/>
    <n v="1"/>
  </r>
  <r>
    <s v="TCK-14005"/>
    <s v="2024-04-23 19:33:33"/>
    <s v="2024-04-24 01:04:14"/>
    <s v="P2"/>
    <x v="1"/>
    <s v="Billing Operations"/>
    <s v="John Doe"/>
    <s v="Closed"/>
    <n v="4"/>
    <n v="8"/>
    <n v="5.51"/>
    <n v="1"/>
  </r>
  <r>
    <s v="TCK-14006"/>
    <s v="2024-07-20 04:27:22"/>
    <s v="2024-07-20 05:28:38"/>
    <s v="P2"/>
    <x v="4"/>
    <s v="Infrastructure"/>
    <s v="Ravi Patel"/>
    <s v="Closed"/>
    <n v="4"/>
    <n v="8"/>
    <n v="1.02"/>
    <n v="1"/>
  </r>
  <r>
    <s v="TCK-14007"/>
    <s v="2024-01-23 01:10:20"/>
    <s v="2024-01-24 03:02:00"/>
    <s v="P4"/>
    <x v="2"/>
    <s v="Billing Operations"/>
    <s v="Michael Scott"/>
    <s v="Closed"/>
    <n v="4"/>
    <n v="48"/>
    <n v="25.86"/>
    <n v="1"/>
  </r>
  <r>
    <s v="TCK-14008"/>
    <s v="2024-11-16 13:24:21"/>
    <s v="2024-11-17 21:38:33"/>
    <s v="P3"/>
    <x v="2"/>
    <s v="L2 Support"/>
    <s v="Anita Sharma"/>
    <s v="Closed"/>
    <n v="3"/>
    <n v="24"/>
    <n v="32.24"/>
    <n v="0"/>
  </r>
  <r>
    <s v="TCK-14009"/>
    <s v="2024-05-08 07:14:20"/>
    <s v="2024-05-08 12:50:16"/>
    <s v="P3"/>
    <x v="2"/>
    <s v="Billing Operations"/>
    <s v="Sarah Connor"/>
    <s v="Resolved"/>
    <n v="4"/>
    <n v="24"/>
    <n v="5.6"/>
    <n v="1"/>
  </r>
  <r>
    <s v="TCK-14010"/>
    <s v="2024-09-20 19:59:49"/>
    <m/>
    <s v="P2"/>
    <x v="2"/>
    <s v="L2 Support"/>
    <s v="Jim Halpert"/>
    <s v="Open"/>
    <m/>
    <n v="8"/>
    <m/>
    <m/>
  </r>
  <r>
    <s v="TCK-14011"/>
    <s v="2024-11-27 04:45:59"/>
    <s v="2024-11-27 18:51:44"/>
    <s v="P2"/>
    <x v="2"/>
    <s v="L1 Support"/>
    <s v="Ravi Patel"/>
    <s v="Resolved"/>
    <n v="2"/>
    <n v="8"/>
    <n v="14.1"/>
    <n v="0"/>
  </r>
  <r>
    <s v="TCK-14012"/>
    <s v="2024-06-11 23:31:27"/>
    <m/>
    <s v="P3"/>
    <x v="0"/>
    <s v="L1 Support"/>
    <s v="Pam Beesly"/>
    <s v="Open"/>
    <m/>
    <n v="24"/>
    <m/>
    <m/>
  </r>
  <r>
    <s v="TCK-14013"/>
    <s v="2024-08-18 03:29:49"/>
    <s v="2024-08-18 06:47:42"/>
    <s v="P1"/>
    <x v="1"/>
    <s v="Billing Operations"/>
    <s v="Sarah Connor"/>
    <s v="Closed"/>
    <n v="5"/>
    <n v="4"/>
    <n v="3.3"/>
    <n v="1"/>
  </r>
  <r>
    <s v="TCK-14014"/>
    <s v="2024-11-24 11:39:15"/>
    <s v="2024-11-24 12:33:19"/>
    <s v="P2"/>
    <x v="0"/>
    <s v="Application Support"/>
    <s v="Jim Halpert"/>
    <s v="Resolved"/>
    <n v="5"/>
    <n v="8"/>
    <n v="0.9"/>
    <n v="1"/>
  </r>
  <r>
    <s v="TCK-14015"/>
    <s v="2024-04-24 13:52:27"/>
    <s v="2024-04-25 02:41:12"/>
    <s v="P3"/>
    <x v="2"/>
    <s v="L1 Support"/>
    <s v="Priya Nair"/>
    <s v="Closed"/>
    <n v="4"/>
    <n v="24"/>
    <n v="12.81"/>
    <n v="1"/>
  </r>
  <r>
    <s v="TCK-14016"/>
    <s v="2024-04-09 11:38:23"/>
    <m/>
    <s v="P2"/>
    <x v="0"/>
    <s v="L1 Support"/>
    <s v="Emily Watson"/>
    <s v="Open"/>
    <m/>
    <n v="8"/>
    <m/>
    <m/>
  </r>
  <r>
    <s v="TCK-14017"/>
    <s v="2024-01-11 17:26:29"/>
    <s v="2024-01-12 10:04:33"/>
    <s v="P3"/>
    <x v="0"/>
    <s v="Billing Operations"/>
    <s v="Pam Beesly"/>
    <s v="Resolved"/>
    <n v="5"/>
    <n v="24"/>
    <n v="16.63"/>
    <n v="1"/>
  </r>
  <r>
    <s v="TCK-14018"/>
    <s v="2024-03-23 00:25:06"/>
    <s v="2024-03-23 17:20:21"/>
    <s v="P3"/>
    <x v="2"/>
    <s v="Billing Operations"/>
    <s v="Sarah Connor"/>
    <s v="Closed"/>
    <n v="5"/>
    <n v="24"/>
    <n v="16.920000000000002"/>
    <n v="1"/>
  </r>
  <r>
    <s v="TCK-14019"/>
    <s v="2024-06-22 18:57:20"/>
    <s v="2024-06-24 08:51:43"/>
    <s v="P3"/>
    <x v="2"/>
    <s v="Application Support"/>
    <s v="Dwight Schrute"/>
    <s v="Closed"/>
    <n v="2"/>
    <n v="24"/>
    <n v="37.909999999999997"/>
    <n v="0"/>
  </r>
  <r>
    <s v="TCK-14020"/>
    <s v="2024-03-11 04:58:22"/>
    <s v="2024-03-12 00:44:38"/>
    <s v="P3"/>
    <x v="0"/>
    <s v="L1 Support"/>
    <s v="John Doe"/>
    <s v="Resolved"/>
    <n v="5"/>
    <n v="24"/>
    <n v="19.77"/>
    <n v="1"/>
  </r>
  <r>
    <s v="TCK-14021"/>
    <s v="2024-11-11 18:34:07"/>
    <s v="2024-11-13 04:21:53"/>
    <s v="P4"/>
    <x v="2"/>
    <s v="Application Support"/>
    <s v="Anita Sharma"/>
    <s v="Resolved"/>
    <n v="5"/>
    <n v="48"/>
    <n v="33.799999999999997"/>
    <n v="1"/>
  </r>
  <r>
    <s v="TCK-14022"/>
    <s v="2024-12-13 00:38:06"/>
    <s v="2024-12-13 12:27:23"/>
    <s v="P3"/>
    <x v="4"/>
    <s v="Billing Operations"/>
    <s v="Michael Scott"/>
    <s v="Closed"/>
    <n v="4"/>
    <n v="24"/>
    <n v="11.82"/>
    <n v="1"/>
  </r>
  <r>
    <s v="TCK-14023"/>
    <s v="2024-10-06 19:25:02"/>
    <s v="2024-10-08 08:22:16"/>
    <s v="P4"/>
    <x v="1"/>
    <s v="Application Support"/>
    <s v="John Doe"/>
    <s v="Resolved"/>
    <n v="5"/>
    <n v="48"/>
    <n v="36.950000000000003"/>
    <n v="1"/>
  </r>
  <r>
    <s v="TCK-14024"/>
    <s v="2024-07-09 01:53:09"/>
    <s v="2024-07-09 03:50:00"/>
    <s v="P2"/>
    <x v="2"/>
    <s v="Billing Operations"/>
    <s v="Emily Watson"/>
    <s v="Resolved"/>
    <n v="4"/>
    <n v="8"/>
    <n v="1.95"/>
    <n v="1"/>
  </r>
  <r>
    <s v="TCK-14025"/>
    <s v="2024-06-22 20:01:32"/>
    <s v="2024-06-23 03:01:19"/>
    <s v="P2"/>
    <x v="0"/>
    <s v="L1 Support"/>
    <s v="Jim Halpert"/>
    <s v="Resolved"/>
    <n v="5"/>
    <n v="8"/>
    <n v="7"/>
    <n v="1"/>
  </r>
  <r>
    <s v="TCK-14026"/>
    <s v="2024-07-09 22:45:55"/>
    <s v="2024-07-10 19:54:39"/>
    <s v="P2"/>
    <x v="2"/>
    <s v="Infrastructure"/>
    <s v="Emily Watson"/>
    <s v="Closed"/>
    <n v="4"/>
    <n v="8"/>
    <n v="21.15"/>
    <n v="0"/>
  </r>
  <r>
    <s v="TCK-14027"/>
    <s v="2024-09-26 15:14:35"/>
    <s v="2024-09-26 23:24:52"/>
    <s v="P3"/>
    <x v="2"/>
    <s v="Application Support"/>
    <s v="Carlos Mendez"/>
    <s v="Closed"/>
    <n v="4"/>
    <n v="24"/>
    <n v="8.17"/>
    <n v="1"/>
  </r>
  <r>
    <s v="TCK-14028"/>
    <s v="2024-08-04 03:21:13"/>
    <m/>
    <s v="P2"/>
    <x v="2"/>
    <s v="Infrastructure"/>
    <s v="Anita Sharma"/>
    <s v="Escalated"/>
    <m/>
    <n v="8"/>
    <m/>
    <m/>
  </r>
  <r>
    <s v="TCK-14029"/>
    <s v="2024-12-11 02:14:41"/>
    <s v="2024-12-12 22:36:54"/>
    <s v="P4"/>
    <x v="4"/>
    <s v="L2 Support"/>
    <s v="Sarah Connor"/>
    <s v="Resolved"/>
    <n v="4"/>
    <n v="48"/>
    <n v="44.37"/>
    <n v="1"/>
  </r>
  <r>
    <s v="TCK-14030"/>
    <s v="2024-05-25 04:43:18"/>
    <m/>
    <s v="P3"/>
    <x v="4"/>
    <s v="Application Support"/>
    <s v="Priya Nair"/>
    <s v="Escalated"/>
    <m/>
    <n v="24"/>
    <m/>
    <m/>
  </r>
  <r>
    <s v="TCK-14031"/>
    <s v="2024-10-24 03:41:51"/>
    <s v="2024-10-25 02:15:47"/>
    <s v="P3"/>
    <x v="2"/>
    <s v="Billing Operations"/>
    <s v="Anita Sharma"/>
    <s v="Resolved"/>
    <n v="5"/>
    <n v="24"/>
    <n v="22.57"/>
    <n v="1"/>
  </r>
  <r>
    <s v="TCK-14032"/>
    <s v="2024-02-05 22:18:45"/>
    <s v="2024-02-05 23:58:20"/>
    <s v="P1"/>
    <x v="2"/>
    <s v="L1 Support"/>
    <s v="Michael Scott"/>
    <s v="Resolved"/>
    <n v="4"/>
    <n v="4"/>
    <n v="1.66"/>
    <n v="1"/>
  </r>
  <r>
    <s v="TCK-14033"/>
    <s v="2024-07-02 11:09:24"/>
    <s v="2024-07-02 18:16:46"/>
    <s v="P3"/>
    <x v="0"/>
    <s v="L1 Support"/>
    <s v="Carlos Mendez"/>
    <s v="Closed"/>
    <n v="4"/>
    <n v="24"/>
    <n v="7.12"/>
    <n v="1"/>
  </r>
  <r>
    <s v="TCK-14034"/>
    <s v="2024-05-29 08:29:16"/>
    <m/>
    <s v="P4"/>
    <x v="0"/>
    <s v="Billing Operations"/>
    <s v="Carlos Mendez"/>
    <s v="Escalated"/>
    <m/>
    <n v="48"/>
    <m/>
    <m/>
  </r>
  <r>
    <s v="TCK-14035"/>
    <s v="2024-12-04 08:09:39"/>
    <s v="2024-12-04 16:23:54"/>
    <s v="P1"/>
    <x v="3"/>
    <s v="L1 Support"/>
    <s v="Ravi Patel"/>
    <s v="Closed"/>
    <n v="2"/>
    <n v="4"/>
    <n v="8.24"/>
    <n v="0"/>
  </r>
  <r>
    <s v="TCK-14036"/>
    <s v="2024-05-16 08:39:56"/>
    <s v="2024-05-16 22:19:25"/>
    <s v="P3"/>
    <x v="1"/>
    <s v="L1 Support"/>
    <s v="Alex Mercer"/>
    <s v="Resolved"/>
    <n v="5"/>
    <n v="24"/>
    <n v="13.66"/>
    <n v="1"/>
  </r>
  <r>
    <s v="TCK-14037"/>
    <s v="2024-02-06 09:16:53"/>
    <s v="2024-02-06 10:18:20"/>
    <s v="P2"/>
    <x v="0"/>
    <s v="L2 Support"/>
    <s v="Alex Mercer"/>
    <s v="Resolved"/>
    <n v="5"/>
    <n v="8"/>
    <n v="1.02"/>
    <n v="1"/>
  </r>
  <r>
    <s v="TCK-14038"/>
    <s v="2024-09-23 17:43:34"/>
    <s v="2024-09-23 20:59:39"/>
    <s v="P3"/>
    <x v="2"/>
    <s v="L2 Support"/>
    <s v="Anita Sharma"/>
    <s v="Resolved"/>
    <n v="5"/>
    <n v="24"/>
    <n v="3.27"/>
    <n v="1"/>
  </r>
  <r>
    <s v="TCK-14039"/>
    <s v="2024-09-15 20:40:30"/>
    <s v="2024-09-16 12:26:04"/>
    <s v="P3"/>
    <x v="2"/>
    <s v="Billing Operations"/>
    <s v="Carlos Mendez"/>
    <s v="Resolved"/>
    <n v="5"/>
    <n v="24"/>
    <n v="15.76"/>
    <n v="1"/>
  </r>
  <r>
    <s v="TCK-14040"/>
    <s v="2024-08-05 15:49:42"/>
    <m/>
    <s v="P3"/>
    <x v="2"/>
    <s v="Infrastructure"/>
    <s v="Michael Scott"/>
    <s v="Open"/>
    <m/>
    <n v="24"/>
    <m/>
    <m/>
  </r>
  <r>
    <s v="TCK-14041"/>
    <s v="2024-06-24 00:23:25"/>
    <s v="2024-06-24 20:46:56"/>
    <s v="P3"/>
    <x v="0"/>
    <s v="Application Support"/>
    <s v="Dwight Schrute"/>
    <s v="Resolved"/>
    <n v="5"/>
    <n v="24"/>
    <n v="20.39"/>
    <n v="1"/>
  </r>
  <r>
    <s v="TCK-14042"/>
    <s v="2024-11-08 17:24:33"/>
    <s v="2024-11-08 20:12:28"/>
    <s v="P2"/>
    <x v="1"/>
    <s v="L2 Support"/>
    <s v="Michael Scott"/>
    <s v="Resolved"/>
    <n v="5"/>
    <n v="8"/>
    <n v="2.8"/>
    <n v="1"/>
  </r>
  <r>
    <s v="TCK-14043"/>
    <s v="2024-06-06 12:36:50"/>
    <s v="2024-06-07 08:19:03"/>
    <s v="P3"/>
    <x v="2"/>
    <s v="L2 Support"/>
    <s v="Priya Nair"/>
    <s v="Closed"/>
    <n v="4"/>
    <n v="24"/>
    <n v="19.7"/>
    <n v="1"/>
  </r>
  <r>
    <s v="TCK-14044"/>
    <s v="2024-09-09 02:04:24"/>
    <s v="2024-09-09 09:21:41"/>
    <s v="P3"/>
    <x v="0"/>
    <s v="L2 Support"/>
    <s v="Dwight Schrute"/>
    <s v="Closed"/>
    <n v="5"/>
    <n v="24"/>
    <n v="7.29"/>
    <n v="1"/>
  </r>
  <r>
    <s v="TCK-14045"/>
    <s v="2024-09-10 05:40:10"/>
    <s v="2024-09-10 18:19:20"/>
    <s v="P2"/>
    <x v="1"/>
    <s v="Billing Operations"/>
    <s v="Dwight Schrute"/>
    <s v="Resolved"/>
    <n v="2"/>
    <n v="8"/>
    <n v="12.65"/>
    <n v="0"/>
  </r>
  <r>
    <s v="TCK-14046"/>
    <s v="2024-05-01 03:39:46"/>
    <m/>
    <s v="P3"/>
    <x v="2"/>
    <s v="L1 Support"/>
    <s v="Michael Scott"/>
    <s v="Open"/>
    <m/>
    <n v="24"/>
    <m/>
    <m/>
  </r>
  <r>
    <s v="TCK-14047"/>
    <s v="2024-04-10 05:41:11"/>
    <s v="2024-04-11 00:37:04"/>
    <s v="P3"/>
    <x v="3"/>
    <s v="Billing Operations"/>
    <s v="Anita Sharma"/>
    <s v="Closed"/>
    <n v="4"/>
    <n v="24"/>
    <n v="18.93"/>
    <n v="1"/>
  </r>
  <r>
    <s v="TCK-14048"/>
    <s v="2024-06-19 02:38:55"/>
    <s v="2024-06-21 09:10:25"/>
    <s v="P3"/>
    <x v="3"/>
    <s v="L2 Support"/>
    <s v="Anita Sharma"/>
    <s v="Resolved"/>
    <n v="3"/>
    <n v="24"/>
    <n v="54.52"/>
    <n v="0"/>
  </r>
  <r>
    <s v="TCK-14049"/>
    <s v="2024-08-14 21:05:08"/>
    <s v="2024-08-16 16:28:19"/>
    <s v="P3"/>
    <x v="0"/>
    <s v="Billing Operations"/>
    <s v="Jim Halpert"/>
    <s v="Resolved"/>
    <n v="2"/>
    <n v="24"/>
    <n v="43.39"/>
    <n v="0"/>
  </r>
  <r>
    <s v="TCK-14050"/>
    <s v="2024-11-10 01:26:16"/>
    <m/>
    <s v="P3"/>
    <x v="4"/>
    <s v="L1 Support"/>
    <s v="Carlos Mendez"/>
    <s v="Escalated"/>
    <m/>
    <n v="24"/>
    <m/>
    <m/>
  </r>
  <r>
    <s v="TCK-14051"/>
    <s v="2024-03-12 00:56:17"/>
    <s v="2024-03-13 21:30:31"/>
    <s v="P4"/>
    <x v="3"/>
    <s v="L2 Support"/>
    <s v="Emily Watson"/>
    <s v="Closed"/>
    <n v="5"/>
    <n v="48"/>
    <n v="44.57"/>
    <n v="1"/>
  </r>
  <r>
    <s v="TCK-14052"/>
    <s v="2024-04-13 17:59:58"/>
    <s v="2024-04-14 06:18:47"/>
    <s v="P3"/>
    <x v="2"/>
    <s v="L2 Support"/>
    <s v="Alex Mercer"/>
    <s v="Resolved"/>
    <n v="5"/>
    <n v="24"/>
    <n v="12.31"/>
    <n v="1"/>
  </r>
  <r>
    <s v="TCK-14053"/>
    <s v="2024-04-15 03:06:15"/>
    <s v="2024-04-15 04:31:36"/>
    <s v="P1"/>
    <x v="2"/>
    <s v="L1 Support"/>
    <s v="Emily Watson"/>
    <s v="Resolved"/>
    <n v="5"/>
    <n v="4"/>
    <n v="1.42"/>
    <n v="1"/>
  </r>
  <r>
    <s v="TCK-14054"/>
    <s v="2024-07-21 14:27:20"/>
    <m/>
    <s v="P4"/>
    <x v="2"/>
    <s v="L2 Support"/>
    <s v="Alex Mercer"/>
    <s v="Open"/>
    <m/>
    <n v="48"/>
    <m/>
    <m/>
  </r>
  <r>
    <s v="TCK-14055"/>
    <s v="2024-11-02 01:27:20"/>
    <s v="2024-11-02 06:41:14"/>
    <s v="P2"/>
    <x v="3"/>
    <s v="Infrastructure"/>
    <s v="Carlos Mendez"/>
    <s v="Closed"/>
    <n v="5"/>
    <n v="8"/>
    <n v="5.23"/>
    <n v="1"/>
  </r>
  <r>
    <s v="TCK-14056"/>
    <s v="2024-11-03 10:49:52"/>
    <s v="2024-11-03 17:50:19"/>
    <s v="P4"/>
    <x v="0"/>
    <s v="Application Support"/>
    <s v="Ravi Patel"/>
    <s v="Resolved"/>
    <n v="4"/>
    <n v="48"/>
    <n v="7.01"/>
    <n v="1"/>
  </r>
  <r>
    <s v="TCK-14057"/>
    <s v="2024-01-27 09:27:11"/>
    <s v="2024-01-28 00:54:26"/>
    <s v="P4"/>
    <x v="1"/>
    <s v="Application Support"/>
    <s v="Carlos Mendez"/>
    <s v="Closed"/>
    <n v="4"/>
    <n v="48"/>
    <n v="15.45"/>
    <n v="1"/>
  </r>
  <r>
    <s v="TCK-14058"/>
    <s v="2024-08-21 23:49:30"/>
    <s v="2024-08-22 01:21:18"/>
    <s v="P2"/>
    <x v="4"/>
    <s v="L2 Support"/>
    <s v="John Doe"/>
    <s v="Resolved"/>
    <n v="5"/>
    <n v="8"/>
    <n v="1.53"/>
    <n v="1"/>
  </r>
  <r>
    <s v="TCK-14059"/>
    <s v="2024-05-18 06:04:01"/>
    <s v="2024-05-18 07:27:49"/>
    <s v="P2"/>
    <x v="0"/>
    <s v="Infrastructure"/>
    <s v="John Doe"/>
    <s v="Resolved"/>
    <n v="5"/>
    <n v="8"/>
    <n v="1.4"/>
    <n v="1"/>
  </r>
  <r>
    <s v="TCK-14060"/>
    <s v="2024-06-16 19:56:57"/>
    <s v="2024-06-17 00:02:19"/>
    <s v="P3"/>
    <x v="2"/>
    <s v="L1 Support"/>
    <s v="Pam Beesly"/>
    <s v="Resolved"/>
    <n v="5"/>
    <n v="24"/>
    <n v="4.09"/>
    <n v="1"/>
  </r>
  <r>
    <s v="TCK-14061"/>
    <s v="2024-08-10 08:09:22"/>
    <s v="2024-08-10 22:33:42"/>
    <s v="P4"/>
    <x v="2"/>
    <s v="L1 Support"/>
    <s v="Pam Beesly"/>
    <s v="Resolved"/>
    <n v="4"/>
    <n v="48"/>
    <n v="14.41"/>
    <n v="1"/>
  </r>
  <r>
    <s v="TCK-14062"/>
    <s v="2024-11-27 07:14:36"/>
    <s v="2024-11-27 13:25:48"/>
    <s v="P3"/>
    <x v="1"/>
    <s v="L1 Support"/>
    <s v="Carlos Mendez"/>
    <s v="Resolved"/>
    <n v="4"/>
    <n v="24"/>
    <n v="6.19"/>
    <n v="1"/>
  </r>
  <r>
    <s v="TCK-14063"/>
    <s v="2024-08-06 20:19:16"/>
    <s v="2024-08-07 16:08:49"/>
    <s v="P3"/>
    <x v="3"/>
    <s v="Application Support"/>
    <s v="Jim Halpert"/>
    <s v="Closed"/>
    <n v="5"/>
    <n v="24"/>
    <n v="19.829999999999998"/>
    <n v="1"/>
  </r>
  <r>
    <s v="TCK-14064"/>
    <s v="2024-09-26 00:24:30"/>
    <s v="2024-09-26 11:00:48"/>
    <s v="P3"/>
    <x v="0"/>
    <s v="L2 Support"/>
    <s v="Emily Watson"/>
    <s v="Resolved"/>
    <n v="5"/>
    <n v="24"/>
    <n v="10.6"/>
    <n v="1"/>
  </r>
  <r>
    <s v="TCK-14065"/>
    <s v="2024-10-16 06:26:29"/>
    <s v="2024-10-17 02:04:39"/>
    <s v="P4"/>
    <x v="3"/>
    <s v="L1 Support"/>
    <s v="Priya Nair"/>
    <s v="Closed"/>
    <n v="4"/>
    <n v="48"/>
    <n v="19.64"/>
    <n v="1"/>
  </r>
  <r>
    <s v="TCK-14066"/>
    <s v="2024-02-01 23:50:09"/>
    <s v="2024-02-02 14:50:44"/>
    <s v="P3"/>
    <x v="2"/>
    <s v="Infrastructure"/>
    <s v="Anita Sharma"/>
    <s v="Closed"/>
    <n v="3"/>
    <n v="24"/>
    <n v="15.01"/>
    <n v="1"/>
  </r>
  <r>
    <s v="TCK-14067"/>
    <s v="2024-11-25 08:53:34"/>
    <s v="2024-11-25 16:12:13"/>
    <s v="P2"/>
    <x v="1"/>
    <s v="L2 Support"/>
    <s v="Pam Beesly"/>
    <s v="Closed"/>
    <n v="5"/>
    <n v="8"/>
    <n v="7.31"/>
    <n v="1"/>
  </r>
  <r>
    <s v="TCK-14068"/>
    <s v="2024-03-25 01:14:48"/>
    <s v="2024-03-25 19:26:09"/>
    <s v="P2"/>
    <x v="4"/>
    <s v="L2 Support"/>
    <s v="Alex Mercer"/>
    <s v="Resolved"/>
    <n v="2"/>
    <n v="8"/>
    <n v="18.190000000000001"/>
    <n v="0"/>
  </r>
  <r>
    <s v="TCK-14069"/>
    <s v="2024-12-14 15:14:48"/>
    <s v="2024-12-15 08:58:13"/>
    <s v="P3"/>
    <x v="2"/>
    <s v="L2 Support"/>
    <s v="Alex Mercer"/>
    <s v="Resolved"/>
    <n v="5"/>
    <n v="24"/>
    <n v="17.72"/>
    <n v="1"/>
  </r>
  <r>
    <s v="TCK-14070"/>
    <s v="2024-02-24 16:16:34"/>
    <s v="2024-02-25 13:30:59"/>
    <s v="P2"/>
    <x v="2"/>
    <s v="Application Support"/>
    <s v="Michael Scott"/>
    <s v="Resolved"/>
    <n v="1"/>
    <n v="8"/>
    <n v="21.24"/>
    <n v="0"/>
  </r>
  <r>
    <s v="TCK-14071"/>
    <s v="2024-06-22 22:26:51"/>
    <s v="2024-07-20 06:26:51"/>
    <s v="P2"/>
    <x v="0"/>
    <s v="L1 Support"/>
    <s v="Michael Scott"/>
    <s v="Resolved"/>
    <n v="4"/>
    <n v="8"/>
    <n v="656"/>
    <n v="0"/>
  </r>
  <r>
    <s v="TCK-14072"/>
    <s v="2024-02-04 02:47:33"/>
    <s v="2024-02-04 04:57:39"/>
    <s v="P2"/>
    <x v="2"/>
    <s v="Infrastructure"/>
    <s v="Jim Halpert"/>
    <s v="Closed"/>
    <n v="3"/>
    <n v="8"/>
    <n v="2.17"/>
    <n v="1"/>
  </r>
  <r>
    <s v="TCK-14073"/>
    <s v="2024-06-10 01:06:07"/>
    <s v="2024-06-10 19:11:49"/>
    <s v="P4"/>
    <x v="2"/>
    <s v="L1 Support"/>
    <s v="Jim Halpert"/>
    <s v="Closed"/>
    <n v="4"/>
    <n v="48"/>
    <n v="18.100000000000001"/>
    <n v="1"/>
  </r>
  <r>
    <s v="TCK-14074"/>
    <s v="2024-06-12 19:52:39"/>
    <s v="2024-06-13 07:55:41"/>
    <s v="P3"/>
    <x v="1"/>
    <s v="L1 Support"/>
    <s v="Carlos Mendez"/>
    <s v="Resolved"/>
    <n v="3"/>
    <n v="24"/>
    <n v="12.05"/>
    <n v="1"/>
  </r>
  <r>
    <s v="TCK-14075"/>
    <s v="2024-06-25 22:03:39"/>
    <m/>
    <s v="P3"/>
    <x v="4"/>
    <s v="L1 Support"/>
    <s v="Pam Beesly"/>
    <s v="Open"/>
    <m/>
    <n v="24"/>
    <m/>
    <m/>
  </r>
  <r>
    <s v="TCK-14076"/>
    <s v="2024-11-24 16:14:47"/>
    <s v="2024-11-24 21:09:29"/>
    <s v="P4"/>
    <x v="3"/>
    <s v="Application Support"/>
    <s v="Ravi Patel"/>
    <s v="Resolved"/>
    <n v="4"/>
    <n v="48"/>
    <n v="4.91"/>
    <n v="1"/>
  </r>
  <r>
    <s v="TCK-14077"/>
    <s v="2024-01-30 20:30:51"/>
    <s v="2024-02-01 18:56:40"/>
    <s v="P3"/>
    <x v="4"/>
    <s v="L1 Support"/>
    <s v="Priya Nair"/>
    <s v="Resolved"/>
    <n v="2"/>
    <n v="24"/>
    <n v="46.43"/>
    <n v="0"/>
  </r>
  <r>
    <s v="TCK-14078"/>
    <s v="2024-03-20 00:27:24"/>
    <s v="2024-03-21 09:39:50"/>
    <s v="P4"/>
    <x v="2"/>
    <s v="Infrastructure"/>
    <s v="Emily Watson"/>
    <s v="Closed"/>
    <n v="4"/>
    <n v="48"/>
    <n v="33.21"/>
    <n v="1"/>
  </r>
  <r>
    <s v="TCK-14079"/>
    <s v="2024-09-01 20:42:21"/>
    <s v="2024-09-02 04:50:50"/>
    <s v="P4"/>
    <x v="2"/>
    <s v="Infrastructure"/>
    <s v="Priya Nair"/>
    <s v="Closed"/>
    <n v="5"/>
    <n v="48"/>
    <n v="8.14"/>
    <n v="1"/>
  </r>
  <r>
    <s v="TCK-14080"/>
    <s v="2024-05-08 19:43:05"/>
    <s v="2024-05-09 00:19:36"/>
    <s v="P3"/>
    <x v="1"/>
    <s v="Application Support"/>
    <s v="Anita Sharma"/>
    <s v="Resolved"/>
    <n v="5"/>
    <n v="24"/>
    <n v="4.6100000000000003"/>
    <n v="1"/>
  </r>
  <r>
    <s v="TCK-14081"/>
    <s v="2024-01-13 18:53:17"/>
    <s v="2024-01-13 23:57:32"/>
    <s v="P2"/>
    <x v="1"/>
    <s v="Infrastructure"/>
    <s v="Jim Halpert"/>
    <s v="Closed"/>
    <n v="5"/>
    <n v="8"/>
    <n v="5.07"/>
    <n v="1"/>
  </r>
  <r>
    <s v="TCK-14082"/>
    <s v="2024-10-14 09:59:18"/>
    <s v="2024-10-14 16:56:54"/>
    <s v="P2"/>
    <x v="1"/>
    <s v="L1 Support"/>
    <s v="Michael Scott"/>
    <s v="Resolved"/>
    <n v="4"/>
    <n v="8"/>
    <n v="6.96"/>
    <n v="1"/>
  </r>
  <r>
    <s v="TCK-14083"/>
    <s v="2024-04-28 16:46:11"/>
    <s v="2024-04-29 00:58:19"/>
    <s v="P3"/>
    <x v="1"/>
    <s v="Infrastructure"/>
    <s v="Sarah Connor"/>
    <s v="Resolved"/>
    <n v="5"/>
    <n v="24"/>
    <n v="8.1999999999999993"/>
    <n v="1"/>
  </r>
  <r>
    <s v="TCK-14084"/>
    <s v="2024-10-08 06:37:23"/>
    <m/>
    <s v="P2"/>
    <x v="4"/>
    <s v="L2 Support"/>
    <s v="Emily Watson"/>
    <s v="Open"/>
    <m/>
    <n v="8"/>
    <m/>
    <m/>
  </r>
  <r>
    <s v="TCK-14085"/>
    <s v="2024-03-16 11:37:23"/>
    <s v="2024-03-17 18:24:59"/>
    <s v="P3"/>
    <x v="0"/>
    <s v="L1 Support"/>
    <s v="Anita Sharma"/>
    <s v="Closed"/>
    <n v="3"/>
    <n v="24"/>
    <n v="30.79"/>
    <n v="0"/>
  </r>
  <r>
    <s v="TCK-14086"/>
    <s v="2024-04-12 16:26:07"/>
    <s v="2024-04-12 20:22:47"/>
    <s v="P2"/>
    <x v="4"/>
    <s v="L1 Support"/>
    <s v="Carlos Mendez"/>
    <s v="Closed"/>
    <n v="5"/>
    <n v="8"/>
    <n v="3.94"/>
    <n v="1"/>
  </r>
  <r>
    <s v="TCK-14087"/>
    <s v="2024-10-17 07:39:49"/>
    <s v="2024-10-17 18:42:34"/>
    <s v="P2"/>
    <x v="1"/>
    <s v="L2 Support"/>
    <s v="Pam Beesly"/>
    <s v="Closed"/>
    <n v="3"/>
    <n v="8"/>
    <n v="11.05"/>
    <n v="0"/>
  </r>
  <r>
    <s v="TCK-14088"/>
    <s v="2024-11-20 11:43:39"/>
    <s v="2024-11-22 02:49:21"/>
    <s v="P4"/>
    <x v="0"/>
    <s v="Billing Operations"/>
    <s v="Priya Nair"/>
    <s v="Resolved"/>
    <n v="5"/>
    <n v="48"/>
    <n v="39.1"/>
    <n v="1"/>
  </r>
  <r>
    <s v="TCK-14089"/>
    <s v="2024-05-28 04:12:56"/>
    <s v="2024-05-28 08:32:28"/>
    <s v="P3"/>
    <x v="2"/>
    <s v="Billing Operations"/>
    <s v="Dwight Schrute"/>
    <s v="Resolved"/>
    <n v="5"/>
    <n v="24"/>
    <n v="4.33"/>
    <n v="1"/>
  </r>
  <r>
    <s v="TCK-14090"/>
    <s v="2024-04-02 06:42:48"/>
    <s v="2024-04-02 13:50:50"/>
    <s v="P4"/>
    <x v="0"/>
    <s v="L2 Support"/>
    <s v="Alex Mercer"/>
    <s v="Closed"/>
    <n v="4"/>
    <n v="48"/>
    <n v="7.13"/>
    <n v="1"/>
  </r>
  <r>
    <s v="TCK-14091"/>
    <s v="2024-05-21 08:11:06"/>
    <s v="2024-05-22 18:15:28"/>
    <s v="P4"/>
    <x v="3"/>
    <s v="Application Support"/>
    <s v="Anita Sharma"/>
    <s v="Closed"/>
    <n v="3"/>
    <n v="48"/>
    <n v="34.07"/>
    <n v="1"/>
  </r>
  <r>
    <s v="TCK-14092"/>
    <s v="2024-08-17 00:33:16"/>
    <s v="2024-08-17 06:12:19"/>
    <s v="P2"/>
    <x v="0"/>
    <s v="Infrastructure"/>
    <s v="Carlos Mendez"/>
    <s v="Resolved"/>
    <n v="4"/>
    <n v="8"/>
    <n v="5.65"/>
    <n v="1"/>
  </r>
  <r>
    <s v="TCK-14093"/>
    <s v="2024-04-26 19:59:34"/>
    <s v="2024-04-27 02:47:54"/>
    <s v="P1"/>
    <x v="1"/>
    <s v="Infrastructure"/>
    <s v="Pam Beesly"/>
    <s v="Closed"/>
    <n v="1"/>
    <n v="4"/>
    <n v="6.81"/>
    <n v="0"/>
  </r>
  <r>
    <s v="TCK-14094"/>
    <s v="2024-11-22 22:05:59"/>
    <s v="2024-11-23 05:49:23"/>
    <s v="P3"/>
    <x v="1"/>
    <s v="Application Support"/>
    <s v="Jim Halpert"/>
    <s v="Closed"/>
    <n v="4"/>
    <n v="24"/>
    <n v="7.72"/>
    <n v="1"/>
  </r>
  <r>
    <s v="TCK-14095"/>
    <s v="2024-01-06 03:06:36"/>
    <s v="2024-01-07 12:50:27"/>
    <s v="P3"/>
    <x v="0"/>
    <s v="Infrastructure"/>
    <s v="Jim Halpert"/>
    <s v="Resolved"/>
    <n v="1"/>
    <n v="24"/>
    <n v="33.729999999999997"/>
    <n v="0"/>
  </r>
  <r>
    <s v="TCK-14096"/>
    <s v="2024-09-14 06:54:48"/>
    <s v="2024-09-15 21:07:54"/>
    <s v="P4"/>
    <x v="2"/>
    <s v="L2 Support"/>
    <s v="Carlos Mendez"/>
    <s v="Closed"/>
    <n v="3"/>
    <n v="48"/>
    <n v="38.22"/>
    <n v="1"/>
  </r>
  <r>
    <s v="TCK-14097"/>
    <s v="2024-08-06 05:57:08"/>
    <s v="2024-08-09 00:37:26"/>
    <s v="P3"/>
    <x v="0"/>
    <s v="L1 Support"/>
    <s v="Priya Nair"/>
    <s v="Resolved"/>
    <n v="3"/>
    <n v="24"/>
    <n v="66.67"/>
    <n v="0"/>
  </r>
  <r>
    <s v="TCK-14098"/>
    <s v="2024-06-18 15:51:50"/>
    <m/>
    <s v="P4"/>
    <x v="3"/>
    <s v="L1 Support"/>
    <s v="Anita Sharma"/>
    <s v="Open"/>
    <m/>
    <n v="48"/>
    <m/>
    <m/>
  </r>
  <r>
    <s v="TCK-14099"/>
    <s v="2024-06-30 20:02:57"/>
    <s v="2024-06-30 22:14:32"/>
    <s v="P1"/>
    <x v="0"/>
    <s v="L2 Support"/>
    <s v="Dwight Schrute"/>
    <s v="Closed"/>
    <n v="4"/>
    <n v="4"/>
    <n v="2.19"/>
    <n v="1"/>
  </r>
  <r>
    <s v="TCK-14100"/>
    <s v="2024-11-24 02:43:55"/>
    <s v="2024-11-25 03:45:32"/>
    <s v="P4"/>
    <x v="3"/>
    <s v="Billing Operations"/>
    <s v="Dwight Schrute"/>
    <s v="Resolved"/>
    <n v="3"/>
    <n v="48"/>
    <n v="25.03"/>
    <n v="1"/>
  </r>
  <r>
    <s v="TCK-14101"/>
    <s v="2024-04-18 02:46:08"/>
    <s v="2024-04-19 08:53:28"/>
    <s v="P3"/>
    <x v="2"/>
    <s v="Application Support"/>
    <s v="Ravi Patel"/>
    <s v="Resolved"/>
    <n v="2"/>
    <n v="24"/>
    <n v="30.12"/>
    <n v="0"/>
  </r>
  <r>
    <s v="TCK-14102"/>
    <s v="2024-09-08 18:56:48"/>
    <s v="2024-09-10 17:11:16"/>
    <s v="P3"/>
    <x v="0"/>
    <s v="Application Support"/>
    <s v="Michael Scott"/>
    <s v="Resolved"/>
    <n v="2"/>
    <n v="24"/>
    <n v="46.24"/>
    <n v="0"/>
  </r>
  <r>
    <s v="TCK-14103"/>
    <s v="2024-08-19 06:19:01"/>
    <s v="2024-08-19 12:07:43"/>
    <s v="P3"/>
    <x v="3"/>
    <s v="Billing Operations"/>
    <s v="Carlos Mendez"/>
    <s v="Resolved"/>
    <n v="3"/>
    <n v="24"/>
    <n v="5.81"/>
    <n v="1"/>
  </r>
  <r>
    <s v="TCK-14104"/>
    <s v="2024-12-02 09:22:24"/>
    <s v="2024-12-07 08:02:20"/>
    <s v="P4"/>
    <x v="0"/>
    <s v="L2 Support"/>
    <s v="Pam Beesly"/>
    <s v="Resolved"/>
    <n v="2"/>
    <n v="48"/>
    <n v="118.67"/>
    <n v="0"/>
  </r>
  <r>
    <s v="TCK-14105"/>
    <s v="2024-10-14 03:34:26"/>
    <s v="2024-10-14 06:58:03"/>
    <s v="P3"/>
    <x v="0"/>
    <s v="Billing Operations"/>
    <s v="Carlos Mendez"/>
    <s v="Closed"/>
    <n v="4"/>
    <n v="24"/>
    <n v="3.39"/>
    <n v="1"/>
  </r>
  <r>
    <s v="TCK-14106"/>
    <s v="2024-06-14 03:50:28"/>
    <s v="2024-06-14 17:17:04"/>
    <s v="P3"/>
    <x v="2"/>
    <s v="Billing Operations"/>
    <s v="Jim Halpert"/>
    <s v="Closed"/>
    <n v="5"/>
    <n v="24"/>
    <n v="13.44"/>
    <n v="1"/>
  </r>
  <r>
    <s v="TCK-14107"/>
    <s v="2024-10-11 03:45:46"/>
    <s v="2024-10-11 19:56:56"/>
    <s v="P2"/>
    <x v="0"/>
    <s v="Infrastructure"/>
    <s v="Ravi Patel"/>
    <s v="Resolved"/>
    <n v="2"/>
    <n v="8"/>
    <n v="16.190000000000001"/>
    <n v="0"/>
  </r>
  <r>
    <s v="TCK-14108"/>
    <s v="2024-05-25 12:13:00"/>
    <s v="2024-05-26 15:27:33"/>
    <s v="P4"/>
    <x v="3"/>
    <s v="Billing Operations"/>
    <s v="Carlos Mendez"/>
    <s v="Closed"/>
    <n v="4"/>
    <n v="48"/>
    <n v="27.24"/>
    <n v="1"/>
  </r>
  <r>
    <s v="TCK-14109"/>
    <s v="2024-04-01 16:11:27"/>
    <s v="2024-04-01 21:32:26"/>
    <s v="P3"/>
    <x v="3"/>
    <s v="Billing Operations"/>
    <s v="Dwight Schrute"/>
    <s v="Closed"/>
    <n v="3"/>
    <n v="24"/>
    <n v="5.35"/>
    <n v="1"/>
  </r>
  <r>
    <s v="TCK-14110"/>
    <s v="2024-02-01 12:01:08"/>
    <s v="2024-02-01 17:27:08"/>
    <s v="P3"/>
    <x v="1"/>
    <s v="Application Support"/>
    <s v="Michael Scott"/>
    <s v="Resolved"/>
    <n v="5"/>
    <n v="24"/>
    <n v="5.43"/>
    <n v="1"/>
  </r>
  <r>
    <s v="TCK-14111"/>
    <s v="2024-02-13 19:19:06"/>
    <s v="2024-02-14 11:33:16"/>
    <s v="P3"/>
    <x v="3"/>
    <s v="Billing Operations"/>
    <s v="Anita Sharma"/>
    <s v="Resolved"/>
    <n v="4"/>
    <n v="24"/>
    <n v="16.239999999999998"/>
    <n v="1"/>
  </r>
  <r>
    <s v="TCK-14112"/>
    <s v="2024-01-30 23:11:02"/>
    <s v="2024-01-31 03:35:25"/>
    <s v="P2"/>
    <x v="3"/>
    <s v="Billing Operations"/>
    <s v="Emily Watson"/>
    <s v="Resolved"/>
    <n v="5"/>
    <n v="8"/>
    <n v="4.41"/>
    <n v="1"/>
  </r>
  <r>
    <s v="TCK-14113"/>
    <s v="2024-10-13 23:03:57"/>
    <s v="2024-10-14 10:06:20"/>
    <s v="P3"/>
    <x v="2"/>
    <s v="L2 Support"/>
    <s v="Emily Watson"/>
    <s v="Resolved"/>
    <n v="4"/>
    <n v="24"/>
    <n v="11.04"/>
    <n v="1"/>
  </r>
  <r>
    <s v="TCK-14114"/>
    <s v="2024-02-23 01:17:42"/>
    <s v="2024-02-23 06:00:54"/>
    <s v="P3"/>
    <x v="2"/>
    <s v="Billing Operations"/>
    <s v="Dwight Schrute"/>
    <s v="Resolved"/>
    <n v="5"/>
    <n v="24"/>
    <n v="4.72"/>
    <n v="1"/>
  </r>
  <r>
    <s v="TCK-14115"/>
    <s v="2024-06-05 22:23:05"/>
    <s v="2024-06-06 05:29:31"/>
    <s v="P3"/>
    <x v="3"/>
    <s v="L2 Support"/>
    <s v="Michael Scott"/>
    <s v="Closed"/>
    <n v="5"/>
    <n v="24"/>
    <n v="7.11"/>
    <n v="1"/>
  </r>
  <r>
    <s v="TCK-14116"/>
    <s v="2024-11-07 06:32:19"/>
    <s v="2024-11-07 09:37:15"/>
    <s v="P2"/>
    <x v="3"/>
    <s v="L1 Support"/>
    <s v="Dwight Schrute"/>
    <s v="Closed"/>
    <n v="5"/>
    <n v="8"/>
    <n v="3.08"/>
    <n v="1"/>
  </r>
  <r>
    <s v="TCK-14117"/>
    <s v="2024-11-04 09:18:25"/>
    <s v="2024-11-04 10:29:03"/>
    <s v="P2"/>
    <x v="3"/>
    <s v="Application Support"/>
    <s v="Pam Beesly"/>
    <s v="Closed"/>
    <n v="4"/>
    <n v="8"/>
    <n v="1.18"/>
    <n v="1"/>
  </r>
  <r>
    <s v="TCK-14118"/>
    <s v="2024-07-06 15:52:45"/>
    <s v="2024-07-06 19:47:31"/>
    <s v="P3"/>
    <x v="2"/>
    <s v="Application Support"/>
    <s v="Anita Sharma"/>
    <s v="Resolved"/>
    <n v="4"/>
    <n v="24"/>
    <n v="3.91"/>
    <n v="1"/>
  </r>
  <r>
    <s v="TCK-14119"/>
    <s v="2024-04-27 08:01:20"/>
    <s v="2024-04-27 17:36:55"/>
    <s v="P2"/>
    <x v="1"/>
    <s v="L2 Support"/>
    <s v="Pam Beesly"/>
    <s v="Resolved"/>
    <n v="2"/>
    <n v="8"/>
    <n v="9.59"/>
    <n v="0"/>
  </r>
  <r>
    <s v="TCK-14120"/>
    <s v="2024-07-11 13:18:10"/>
    <s v="2024-07-12 02:13:13"/>
    <s v="P3"/>
    <x v="0"/>
    <s v="L2 Support"/>
    <s v="Dwight Schrute"/>
    <s v="Resolved"/>
    <n v="5"/>
    <n v="24"/>
    <n v="12.92"/>
    <n v="1"/>
  </r>
  <r>
    <s v="TCK-14121"/>
    <s v="2024-03-14 09:10:26"/>
    <s v="2024-03-15 19:05:59"/>
    <s v="P3"/>
    <x v="2"/>
    <s v="Infrastructure"/>
    <s v="Dwight Schrute"/>
    <s v="Closed"/>
    <n v="2"/>
    <n v="24"/>
    <n v="33.93"/>
    <n v="0"/>
  </r>
  <r>
    <s v="TCK-14122"/>
    <s v="2024-03-17 20:54:38"/>
    <s v="2024-03-18 04:21:02"/>
    <s v="P2"/>
    <x v="2"/>
    <s v="Billing Operations"/>
    <s v="Jim Halpert"/>
    <s v="Closed"/>
    <n v="5"/>
    <n v="8"/>
    <n v="7.44"/>
    <n v="1"/>
  </r>
  <r>
    <s v="TCK-14123"/>
    <s v="2024-07-27 22:12:04"/>
    <s v="2024-07-28 16:38:07"/>
    <s v="P2"/>
    <x v="1"/>
    <s v="Billing Operations"/>
    <s v="Michael Scott"/>
    <s v="Resolved"/>
    <n v="1"/>
    <n v="8"/>
    <n v="18.43"/>
    <n v="0"/>
  </r>
  <r>
    <s v="TCK-14124"/>
    <s v="2024-11-07 17:55:40"/>
    <s v="2024-11-08 14:29:17"/>
    <s v="P2"/>
    <x v="0"/>
    <s v="L1 Support"/>
    <s v="Alex Mercer"/>
    <s v="Resolved"/>
    <n v="2"/>
    <n v="8"/>
    <n v="20.56"/>
    <n v="0"/>
  </r>
  <r>
    <s v="TCK-14125"/>
    <s v="2024-04-11 11:30:01"/>
    <s v="2024-04-12 17:41:55"/>
    <s v="P3"/>
    <x v="2"/>
    <s v="Billing Operations"/>
    <s v="John Doe"/>
    <s v="Resolved"/>
    <n v="2"/>
    <n v="24"/>
    <n v="30.2"/>
    <n v="0"/>
  </r>
  <r>
    <s v="TCK-14126"/>
    <s v="2024-01-28 21:48:05"/>
    <s v="2024-01-31 05:01:25"/>
    <s v="P3"/>
    <x v="0"/>
    <s v="Billing Operations"/>
    <s v="Jim Halpert"/>
    <s v="Closed"/>
    <n v="1"/>
    <n v="24"/>
    <n v="55.22"/>
    <n v="0"/>
  </r>
  <r>
    <s v="TCK-14127"/>
    <s v="2024-03-01 18:30:59"/>
    <s v="2024-03-03 10:44:14"/>
    <s v="P3"/>
    <x v="0"/>
    <s v="Billing Operations"/>
    <s v="Emily Watson"/>
    <s v="Resolved"/>
    <n v="2"/>
    <n v="24"/>
    <n v="40.22"/>
    <n v="0"/>
  </r>
  <r>
    <s v="TCK-14128"/>
    <s v="2024-11-05 16:36:48"/>
    <s v="2024-11-06 12:27:25"/>
    <s v="P3"/>
    <x v="3"/>
    <s v="L1 Support"/>
    <s v="Sarah Connor"/>
    <s v="Resolved"/>
    <n v="4"/>
    <n v="24"/>
    <n v="19.84"/>
    <n v="1"/>
  </r>
  <r>
    <s v="TCK-14129"/>
    <s v="2024-05-23 19:20:57"/>
    <s v="2024-05-25 04:06:04"/>
    <s v="P3"/>
    <x v="3"/>
    <s v="Application Support"/>
    <s v="Michael Scott"/>
    <s v="Closed"/>
    <n v="1"/>
    <n v="24"/>
    <n v="32.75"/>
    <n v="0"/>
  </r>
  <r>
    <s v="TCK-14130"/>
    <s v="2024-11-19 12:23:03"/>
    <m/>
    <s v="P4"/>
    <x v="4"/>
    <s v="Infrastructure"/>
    <s v="Jim Halpert"/>
    <s v="Escalated"/>
    <m/>
    <n v="48"/>
    <m/>
    <m/>
  </r>
  <r>
    <s v="TCK-14131"/>
    <s v="2024-01-02 14:15:34"/>
    <s v="2024-01-03 20:28:37"/>
    <s v="P4"/>
    <x v="4"/>
    <s v="L2 Support"/>
    <s v="Pam Beesly"/>
    <s v="Closed"/>
    <n v="5"/>
    <n v="48"/>
    <n v="30.22"/>
    <n v="1"/>
  </r>
  <r>
    <s v="TCK-14132"/>
    <s v="2024-02-26 06:58:44"/>
    <s v="2024-02-26 18:27:11"/>
    <s v="P3"/>
    <x v="3"/>
    <s v="L1 Support"/>
    <s v="Dwight Schrute"/>
    <s v="Closed"/>
    <n v="5"/>
    <n v="24"/>
    <n v="11.47"/>
    <n v="1"/>
  </r>
  <r>
    <s v="TCK-14133"/>
    <s v="2024-03-30 07:07:24"/>
    <m/>
    <s v="P2"/>
    <x v="2"/>
    <s v="L1 Support"/>
    <s v="Anita Sharma"/>
    <s v="Open"/>
    <m/>
    <n v="8"/>
    <m/>
    <m/>
  </r>
  <r>
    <s v="TCK-14134"/>
    <s v="2024-11-19 21:59:19"/>
    <s v="2024-11-21 11:16:11"/>
    <s v="P4"/>
    <x v="2"/>
    <s v="L1 Support"/>
    <s v="Priya Nair"/>
    <s v="Closed"/>
    <n v="4"/>
    <n v="48"/>
    <n v="37.28"/>
    <n v="1"/>
  </r>
  <r>
    <s v="TCK-14135"/>
    <s v="2024-08-09 23:07:38"/>
    <s v="2024-08-10 03:44:15"/>
    <s v="P3"/>
    <x v="4"/>
    <s v="L1 Support"/>
    <s v="Dwight Schrute"/>
    <s v="Closed"/>
    <n v="4"/>
    <n v="24"/>
    <n v="4.6100000000000003"/>
    <n v="1"/>
  </r>
  <r>
    <s v="TCK-14136"/>
    <s v="2024-02-22 03:57:10"/>
    <s v="2024-02-22 09:26:36"/>
    <s v="P1"/>
    <x v="3"/>
    <s v="L1 Support"/>
    <s v="Priya Nair"/>
    <s v="Resolved"/>
    <n v="2"/>
    <n v="4"/>
    <n v="5.49"/>
    <n v="0"/>
  </r>
  <r>
    <s v="TCK-14137"/>
    <s v="2024-07-08 16:48:12"/>
    <m/>
    <s v="P2"/>
    <x v="1"/>
    <s v="Billing Operations"/>
    <s v="Alex Mercer"/>
    <s v="Open"/>
    <m/>
    <n v="8"/>
    <m/>
    <m/>
  </r>
  <r>
    <s v="TCK-14138"/>
    <s v="2024-05-11 09:07:18"/>
    <s v="2024-05-12 22:56:56"/>
    <s v="P3"/>
    <x v="3"/>
    <s v="L1 Support"/>
    <s v="Ravi Patel"/>
    <s v="Closed"/>
    <n v="1"/>
    <n v="24"/>
    <n v="37.83"/>
    <n v="0"/>
  </r>
  <r>
    <s v="TCK-14139"/>
    <s v="2024-09-19 03:10:24"/>
    <s v="2024-09-19 20:53:27"/>
    <s v="P2"/>
    <x v="2"/>
    <s v="L1 Support"/>
    <s v="John Doe"/>
    <s v="Resolved"/>
    <n v="4"/>
    <n v="8"/>
    <n v="17.72"/>
    <n v="0"/>
  </r>
  <r>
    <s v="TCK-14140"/>
    <s v="2024-05-08 00:04:16"/>
    <s v="2024-05-08 08:54:23"/>
    <s v="P4"/>
    <x v="3"/>
    <s v="Infrastructure"/>
    <s v="Ravi Patel"/>
    <s v="Resolved"/>
    <n v="4"/>
    <n v="48"/>
    <n v="8.84"/>
    <n v="1"/>
  </r>
  <r>
    <s v="TCK-14141"/>
    <s v="2024-07-03 04:49:03"/>
    <s v="2024-07-03 10:51:15"/>
    <s v="P3"/>
    <x v="3"/>
    <s v="Infrastructure"/>
    <s v="John Doe"/>
    <s v="Closed"/>
    <n v="3"/>
    <n v="24"/>
    <n v="6.04"/>
    <n v="1"/>
  </r>
  <r>
    <s v="TCK-14142"/>
    <s v="2024-08-15 11:37:44"/>
    <s v="2024-08-17 05:34:36"/>
    <s v="P4"/>
    <x v="3"/>
    <s v="L1 Support"/>
    <s v="Carlos Mendez"/>
    <s v="Resolved"/>
    <n v="4"/>
    <n v="48"/>
    <n v="41.95"/>
    <n v="1"/>
  </r>
  <r>
    <s v="TCK-14143"/>
    <s v="2024-02-14 04:19:57"/>
    <s v="2024-02-14 23:32:56"/>
    <s v="P2"/>
    <x v="2"/>
    <s v="L1 Support"/>
    <s v="Emily Watson"/>
    <s v="Closed"/>
    <n v="2"/>
    <n v="8"/>
    <n v="19.22"/>
    <n v="0"/>
  </r>
  <r>
    <s v="TCK-14144"/>
    <s v="2024-08-12 12:19:35"/>
    <s v="2024-08-13 09:12:14"/>
    <s v="P3"/>
    <x v="3"/>
    <s v="Infrastructure"/>
    <s v="John Doe"/>
    <s v="Resolved"/>
    <n v="5"/>
    <n v="24"/>
    <n v="20.88"/>
    <n v="1"/>
  </r>
  <r>
    <s v="TCK-14145"/>
    <s v="2024-11-15 02:19:33"/>
    <s v="2024-11-15 15:03:00"/>
    <s v="P3"/>
    <x v="1"/>
    <s v="Infrastructure"/>
    <s v="Alex Mercer"/>
    <s v="Resolved"/>
    <n v="4"/>
    <n v="24"/>
    <n v="12.72"/>
    <n v="1"/>
  </r>
  <r>
    <s v="TCK-14146"/>
    <s v="2024-04-29 15:31:55"/>
    <s v="2024-04-29 23:59:48"/>
    <s v="P3"/>
    <x v="4"/>
    <s v="Billing Operations"/>
    <s v="Ravi Patel"/>
    <s v="Resolved"/>
    <n v="3"/>
    <n v="24"/>
    <n v="8.4600000000000009"/>
    <n v="1"/>
  </r>
  <r>
    <s v="TCK-14147"/>
    <s v="2024-07-30 00:07:03"/>
    <s v="2024-07-30 06:56:54"/>
    <s v="P2"/>
    <x v="1"/>
    <s v="Billing Operations"/>
    <s v="Sarah Connor"/>
    <s v="Resolved"/>
    <n v="4"/>
    <n v="8"/>
    <n v="6.83"/>
    <n v="1"/>
  </r>
  <r>
    <s v="TCK-14148"/>
    <s v="2024-08-23 22:35:00"/>
    <s v="2024-08-25 20:01:33"/>
    <s v="P4"/>
    <x v="4"/>
    <s v="Infrastructure"/>
    <s v="Michael Scott"/>
    <s v="Closed"/>
    <n v="5"/>
    <n v="48"/>
    <n v="45.44"/>
    <n v="1"/>
  </r>
  <r>
    <s v="TCK-14149"/>
    <s v="2024-03-15 15:52:20"/>
    <s v="2024-03-15 22:09:44"/>
    <s v="P3"/>
    <x v="2"/>
    <s v="Billing Operations"/>
    <s v="Carlos Mendez"/>
    <s v="Resolved"/>
    <n v="5"/>
    <n v="24"/>
    <n v="6.29"/>
    <n v="1"/>
  </r>
  <r>
    <s v="TCK-14150"/>
    <s v="2024-12-09 03:04:16"/>
    <s v="2024-12-09 15:08:59"/>
    <s v="P2"/>
    <x v="1"/>
    <s v="Application Support"/>
    <s v="Ravi Patel"/>
    <s v="Closed"/>
    <n v="1"/>
    <n v="8"/>
    <n v="12.08"/>
    <n v="0"/>
  </r>
  <r>
    <s v="TCK-14151"/>
    <s v="2024-04-07 16:44:45"/>
    <s v="2024-04-13 09:21:50"/>
    <s v="P4"/>
    <x v="4"/>
    <s v="L2 Support"/>
    <s v="John Doe"/>
    <s v="Closed"/>
    <n v="2"/>
    <n v="48"/>
    <n v="136.62"/>
    <n v="0"/>
  </r>
  <r>
    <s v="TCK-14152"/>
    <s v="2024-06-01 23:38:15"/>
    <s v="2024-06-02 07:04:27"/>
    <s v="P3"/>
    <x v="1"/>
    <s v="L2 Support"/>
    <s v="John Doe"/>
    <s v="Resolved"/>
    <n v="5"/>
    <n v="24"/>
    <n v="7.44"/>
    <n v="1"/>
  </r>
  <r>
    <s v="TCK-14153"/>
    <s v="2024-10-21 13:05:32"/>
    <s v="2024-10-22 12:10:41"/>
    <s v="P4"/>
    <x v="3"/>
    <s v="Billing Operations"/>
    <s v="Jim Halpert"/>
    <s v="Resolved"/>
    <n v="4"/>
    <n v="48"/>
    <n v="23.09"/>
    <n v="1"/>
  </r>
  <r>
    <s v="TCK-14154"/>
    <s v="2024-05-01 02:08:26"/>
    <m/>
    <s v="P3"/>
    <x v="3"/>
    <s v="L2 Support"/>
    <s v="Carlos Mendez"/>
    <s v="Escalated"/>
    <m/>
    <n v="24"/>
    <m/>
    <m/>
  </r>
  <r>
    <s v="TCK-14155"/>
    <s v="2024-12-28 22:17:56"/>
    <s v="2024-12-30 19:27:50"/>
    <s v="P3"/>
    <x v="3"/>
    <s v="Billing Operations"/>
    <s v="Dwight Schrute"/>
    <s v="Closed"/>
    <n v="2"/>
    <n v="24"/>
    <n v="45.16"/>
    <n v="0"/>
  </r>
  <r>
    <s v="TCK-14156"/>
    <s v="2024-07-01 18:32:06"/>
    <s v="2024-07-01 22:23:13"/>
    <s v="P2"/>
    <x v="4"/>
    <s v="Application Support"/>
    <s v="Dwight Schrute"/>
    <s v="Closed"/>
    <n v="4"/>
    <n v="8"/>
    <n v="3.85"/>
    <n v="1"/>
  </r>
  <r>
    <s v="TCK-14157"/>
    <s v="2024-11-04 11:52:43"/>
    <s v="2024-11-04 18:40:45"/>
    <s v="P2"/>
    <x v="3"/>
    <s v="L1 Support"/>
    <s v="Emily Watson"/>
    <s v="Closed"/>
    <n v="4"/>
    <n v="8"/>
    <n v="6.8"/>
    <n v="1"/>
  </r>
  <r>
    <s v="TCK-14158"/>
    <s v="2024-01-29 16:48:22"/>
    <s v="2024-01-29 22:08:03"/>
    <s v="P1"/>
    <x v="3"/>
    <s v="Billing Operations"/>
    <s v="Priya Nair"/>
    <s v="Closed"/>
    <n v="3"/>
    <n v="4"/>
    <n v="5.33"/>
    <n v="0"/>
  </r>
  <r>
    <s v="TCK-14159"/>
    <s v="2024-11-08 16:52:12"/>
    <s v="2024-11-12 12:09:39"/>
    <s v="P4"/>
    <x v="2"/>
    <s v="L2 Support"/>
    <s v="Jim Halpert"/>
    <s v="Resolved"/>
    <n v="3"/>
    <n v="48"/>
    <n v="91.29"/>
    <n v="0"/>
  </r>
  <r>
    <s v="TCK-14160"/>
    <s v="2024-07-25 21:11:48"/>
    <m/>
    <s v="P3"/>
    <x v="2"/>
    <s v="L2 Support"/>
    <s v="Dwight Schrute"/>
    <s v="Escalated"/>
    <m/>
    <n v="24"/>
    <m/>
    <m/>
  </r>
  <r>
    <s v="TCK-14161"/>
    <s v="2024-06-18 00:55:10"/>
    <s v="2024-06-18 07:47:52"/>
    <s v="P3"/>
    <x v="4"/>
    <s v="L2 Support"/>
    <s v="Anita Sharma"/>
    <s v="Closed"/>
    <n v="5"/>
    <n v="24"/>
    <n v="6.88"/>
    <n v="1"/>
  </r>
  <r>
    <s v="TCK-14162"/>
    <s v="2024-11-08 22:33:52"/>
    <s v="2024-11-09 04:52:30"/>
    <s v="P3"/>
    <x v="0"/>
    <s v="Billing Operations"/>
    <s v="Anita Sharma"/>
    <s v="Resolved"/>
    <n v="5"/>
    <n v="24"/>
    <n v="6.31"/>
    <n v="1"/>
  </r>
  <r>
    <s v="TCK-14163"/>
    <s v="2024-03-05 23:04:21"/>
    <s v="2024-03-08 10:47:30"/>
    <s v="P3"/>
    <x v="2"/>
    <s v="Application Support"/>
    <s v="Ravi Patel"/>
    <s v="Resolved"/>
    <n v="1"/>
    <n v="24"/>
    <n v="59.72"/>
    <n v="0"/>
  </r>
  <r>
    <s v="TCK-14164"/>
    <s v="2024-03-11 11:44:21"/>
    <s v="2024-03-12 02:25:18"/>
    <s v="P3"/>
    <x v="2"/>
    <s v="Application Support"/>
    <s v="Carlos Mendez"/>
    <s v="Resolved"/>
    <n v="5"/>
    <n v="24"/>
    <n v="14.68"/>
    <n v="1"/>
  </r>
  <r>
    <s v="TCK-14165"/>
    <s v="2024-01-28 19:41:05"/>
    <s v="2024-01-29 08:17:03"/>
    <s v="P4"/>
    <x v="0"/>
    <s v="Billing Operations"/>
    <s v="Anita Sharma"/>
    <s v="Resolved"/>
    <n v="4"/>
    <n v="48"/>
    <n v="12.6"/>
    <n v="1"/>
  </r>
  <r>
    <s v="TCK-14166"/>
    <s v="2024-10-01 22:43:57"/>
    <m/>
    <s v="P3"/>
    <x v="1"/>
    <s v="L1 Support"/>
    <s v="Dwight Schrute"/>
    <s v="Escalated"/>
    <m/>
    <n v="24"/>
    <m/>
    <m/>
  </r>
  <r>
    <s v="TCK-14167"/>
    <s v="2024-09-11 21:09:23"/>
    <s v="2024-09-12 08:23:42"/>
    <s v="P1"/>
    <x v="2"/>
    <s v="L1 Support"/>
    <s v="Priya Nair"/>
    <s v="Closed"/>
    <n v="2"/>
    <n v="4"/>
    <n v="11.24"/>
    <n v="0"/>
  </r>
  <r>
    <s v="TCK-14168"/>
    <s v="2024-09-13 02:48:25"/>
    <s v="2024-09-13 15:30:00"/>
    <s v="P3"/>
    <x v="3"/>
    <s v="Application Support"/>
    <s v="Emily Watson"/>
    <s v="Closed"/>
    <n v="5"/>
    <n v="24"/>
    <n v="12.69"/>
    <n v="1"/>
  </r>
  <r>
    <s v="TCK-14169"/>
    <s v="2024-06-10 08:23:02"/>
    <s v="2024-06-10 22:22:29"/>
    <s v="P2"/>
    <x v="1"/>
    <s v="Billing Operations"/>
    <s v="Alex Mercer"/>
    <s v="Closed"/>
    <n v="2"/>
    <n v="8"/>
    <n v="13.99"/>
    <n v="0"/>
  </r>
  <r>
    <s v="TCK-14170"/>
    <s v="2024-11-16 00:50:10"/>
    <s v="2024-11-16 04:09:26"/>
    <s v="P2"/>
    <x v="2"/>
    <s v="Infrastructure"/>
    <s v="Michael Scott"/>
    <s v="Closed"/>
    <n v="4"/>
    <n v="8"/>
    <n v="3.32"/>
    <n v="1"/>
  </r>
  <r>
    <s v="TCK-14171"/>
    <s v="2024-02-09 11:43:32"/>
    <s v="2024-02-09 12:59:00"/>
    <s v="P2"/>
    <x v="0"/>
    <s v="L2 Support"/>
    <s v="Priya Nair"/>
    <s v="Resolved"/>
    <n v="4"/>
    <n v="8"/>
    <n v="1.26"/>
    <n v="1"/>
  </r>
  <r>
    <s v="TCK-14172"/>
    <s v="2024-08-14 07:05:44"/>
    <m/>
    <s v="P3"/>
    <x v="3"/>
    <s v="Infrastructure"/>
    <s v="Sarah Connor"/>
    <s v="Open"/>
    <m/>
    <n v="24"/>
    <m/>
    <m/>
  </r>
  <r>
    <s v="TCK-14173"/>
    <s v="2024-09-30 17:44:57"/>
    <s v="2024-10-02 01:59:17"/>
    <s v="P4"/>
    <x v="1"/>
    <s v="Billing Operations"/>
    <s v="Jim Halpert"/>
    <s v="Resolved"/>
    <n v="5"/>
    <n v="48"/>
    <n v="32.24"/>
    <n v="1"/>
  </r>
  <r>
    <s v="TCK-14174"/>
    <s v="2024-11-09 14:52:02"/>
    <s v="2024-11-13 00:38:22"/>
    <s v="P4"/>
    <x v="2"/>
    <s v="Infrastructure"/>
    <s v="Priya Nair"/>
    <s v="Closed"/>
    <n v="1"/>
    <n v="48"/>
    <n v="81.77"/>
    <n v="0"/>
  </r>
  <r>
    <s v="TCK-14175"/>
    <s v="2024-01-26 12:46:36"/>
    <s v="2024-01-27 08:50:47"/>
    <s v="P3"/>
    <x v="2"/>
    <s v="L2 Support"/>
    <s v="John Doe"/>
    <s v="Resolved"/>
    <n v="4"/>
    <n v="24"/>
    <n v="20.07"/>
    <n v="1"/>
  </r>
  <r>
    <s v="TCK-14176"/>
    <s v="2024-07-14 10:02:17"/>
    <s v="2024-07-16 18:59:18"/>
    <s v="P3"/>
    <x v="2"/>
    <s v="L1 Support"/>
    <s v="Priya Nair"/>
    <s v="Resolved"/>
    <n v="1"/>
    <n v="24"/>
    <n v="56.95"/>
    <n v="0"/>
  </r>
  <r>
    <s v="TCK-14177"/>
    <s v="2024-11-16 22:33:27"/>
    <s v="2024-11-17 11:41:40"/>
    <s v="P3"/>
    <x v="1"/>
    <s v="L1 Support"/>
    <s v="Dwight Schrute"/>
    <s v="Resolved"/>
    <n v="5"/>
    <n v="24"/>
    <n v="13.14"/>
    <n v="1"/>
  </r>
  <r>
    <s v="TCK-14178"/>
    <s v="2024-10-09 01:57:43"/>
    <s v="2024-10-09 19:38:38"/>
    <s v="P3"/>
    <x v="2"/>
    <s v="Infrastructure"/>
    <s v="Carlos Mendez"/>
    <s v="Resolved"/>
    <n v="5"/>
    <n v="24"/>
    <n v="17.68"/>
    <n v="1"/>
  </r>
  <r>
    <s v="TCK-14179"/>
    <s v="2024-11-15 05:14:08"/>
    <s v="2024-11-15 07:41:45"/>
    <s v="P2"/>
    <x v="4"/>
    <s v="Application Support"/>
    <s v="Priya Nair"/>
    <s v="Resolved"/>
    <n v="5"/>
    <n v="8"/>
    <n v="2.46"/>
    <n v="1"/>
  </r>
  <r>
    <s v="TCK-14180"/>
    <s v="2024-12-12 10:05:57"/>
    <s v="2024-12-14 07:18:46"/>
    <s v="P4"/>
    <x v="1"/>
    <s v="Infrastructure"/>
    <s v="Anita Sharma"/>
    <s v="Closed"/>
    <n v="4"/>
    <n v="48"/>
    <n v="45.21"/>
    <n v="1"/>
  </r>
  <r>
    <s v="TCK-14181"/>
    <s v="2024-01-07 14:31:06"/>
    <s v="2024-01-09 02:36:20"/>
    <s v="P4"/>
    <x v="2"/>
    <s v="L2 Support"/>
    <s v="Emily Watson"/>
    <s v="Resolved"/>
    <n v="5"/>
    <n v="48"/>
    <n v="36.090000000000003"/>
    <n v="1"/>
  </r>
  <r>
    <s v="TCK-14182"/>
    <s v="2024-08-14 03:38:58"/>
    <s v="2024-08-16 14:59:26"/>
    <s v="P4"/>
    <x v="3"/>
    <s v="L1 Support"/>
    <s v="Alex Mercer"/>
    <s v="Resolved"/>
    <n v="3"/>
    <n v="48"/>
    <n v="59.34"/>
    <n v="0"/>
  </r>
  <r>
    <s v="TCK-14183"/>
    <s v="2024-04-04 21:09:28"/>
    <s v="2024-04-05 00:27:58"/>
    <s v="P3"/>
    <x v="2"/>
    <s v="Infrastructure"/>
    <s v="Priya Nair"/>
    <s v="Resolved"/>
    <n v="3"/>
    <n v="24"/>
    <n v="3.31"/>
    <n v="1"/>
  </r>
  <r>
    <s v="TCK-14184"/>
    <s v="2024-02-29 18:40:40"/>
    <s v="2024-02-29 22:59:55"/>
    <s v="P2"/>
    <x v="2"/>
    <s v="L1 Support"/>
    <s v="Ravi Patel"/>
    <s v="Resolved"/>
    <n v="5"/>
    <n v="8"/>
    <n v="4.32"/>
    <n v="1"/>
  </r>
  <r>
    <s v="TCK-14185"/>
    <s v="2024-01-25 16:13:50"/>
    <s v="2024-01-25 22:22:42"/>
    <s v="P3"/>
    <x v="3"/>
    <s v="Billing Operations"/>
    <s v="Dwight Schrute"/>
    <s v="Closed"/>
    <n v="3"/>
    <n v="24"/>
    <n v="6.15"/>
    <n v="1"/>
  </r>
  <r>
    <s v="TCK-14186"/>
    <s v="2024-08-08 20:57:02"/>
    <s v="2024-08-10 11:15:33"/>
    <s v="P3"/>
    <x v="2"/>
    <s v="L1 Support"/>
    <s v="Emily Watson"/>
    <s v="Closed"/>
    <n v="2"/>
    <n v="24"/>
    <n v="38.31"/>
    <n v="0"/>
  </r>
  <r>
    <s v="TCK-14187"/>
    <s v="2024-09-15 07:38:46"/>
    <s v="2024-09-15 18:26:16"/>
    <s v="P3"/>
    <x v="2"/>
    <s v="L2 Support"/>
    <s v="Michael Scott"/>
    <s v="Resolved"/>
    <n v="3"/>
    <n v="24"/>
    <n v="10.79"/>
    <n v="1"/>
  </r>
  <r>
    <s v="TCK-14188"/>
    <s v="2024-01-18 19:17:08"/>
    <s v="2024-01-19 04:35:41"/>
    <s v="P4"/>
    <x v="2"/>
    <s v="Application Support"/>
    <s v="Alex Mercer"/>
    <s v="Resolved"/>
    <n v="4"/>
    <n v="48"/>
    <n v="9.31"/>
    <n v="1"/>
  </r>
  <r>
    <s v="TCK-14189"/>
    <s v="2024-05-10 21:52:24"/>
    <s v="2024-05-11 09:54:33"/>
    <s v="P3"/>
    <x v="4"/>
    <s v="Application Support"/>
    <s v="Anita Sharma"/>
    <s v="Resolved"/>
    <n v="5"/>
    <n v="24"/>
    <n v="12.04"/>
    <n v="1"/>
  </r>
  <r>
    <s v="TCK-14190"/>
    <s v="2024-02-27 07:43:37"/>
    <m/>
    <s v="P3"/>
    <x v="1"/>
    <s v="L2 Support"/>
    <s v="Anita Sharma"/>
    <s v="Escalated"/>
    <m/>
    <n v="24"/>
    <m/>
    <m/>
  </r>
  <r>
    <s v="TCK-14191"/>
    <s v="2024-06-13 17:05:57"/>
    <s v="2024-06-14 11:42:55"/>
    <s v="P3"/>
    <x v="4"/>
    <s v="Application Support"/>
    <s v="John Doe"/>
    <s v="Closed"/>
    <n v="3"/>
    <n v="24"/>
    <n v="18.62"/>
    <n v="1"/>
  </r>
  <r>
    <s v="TCK-14192"/>
    <s v="2024-07-22 08:14:23"/>
    <s v="2024-07-24 02:00:49"/>
    <s v="P4"/>
    <x v="3"/>
    <s v="Billing Operations"/>
    <s v="Anita Sharma"/>
    <s v="Closed"/>
    <n v="5"/>
    <n v="48"/>
    <n v="41.77"/>
    <n v="1"/>
  </r>
  <r>
    <s v="TCK-14193"/>
    <s v="2024-07-10 01:26:40"/>
    <s v="2024-07-10 17:13:57"/>
    <s v="P3"/>
    <x v="0"/>
    <s v="Infrastructure"/>
    <s v="Sarah Connor"/>
    <s v="Resolved"/>
    <n v="4"/>
    <n v="24"/>
    <n v="15.79"/>
    <n v="1"/>
  </r>
  <r>
    <s v="TCK-14194"/>
    <s v="2024-03-24 02:04:43"/>
    <s v="2024-03-24 20:47:46"/>
    <s v="P3"/>
    <x v="1"/>
    <s v="Billing Operations"/>
    <s v="Emily Watson"/>
    <s v="Closed"/>
    <n v="3"/>
    <n v="24"/>
    <n v="18.72"/>
    <n v="1"/>
  </r>
  <r>
    <s v="TCK-14195"/>
    <s v="2024-07-16 02:35:21"/>
    <s v="2024-07-16 20:04:12"/>
    <s v="P3"/>
    <x v="1"/>
    <s v="Infrastructure"/>
    <s v="Sarah Connor"/>
    <s v="Closed"/>
    <n v="4"/>
    <n v="24"/>
    <n v="17.48"/>
    <n v="1"/>
  </r>
  <r>
    <s v="TCK-14196"/>
    <s v="2024-07-17 07:44:08"/>
    <s v="2024-07-18 11:12:02"/>
    <s v="P4"/>
    <x v="1"/>
    <s v="Application Support"/>
    <s v="Priya Nair"/>
    <s v="Resolved"/>
    <n v="5"/>
    <n v="48"/>
    <n v="27.46"/>
    <n v="1"/>
  </r>
  <r>
    <s v="TCK-14197"/>
    <s v="2024-07-12 23:34:46"/>
    <s v="2024-07-14 05:56:08"/>
    <s v="P4"/>
    <x v="3"/>
    <s v="Application Support"/>
    <s v="Michael Scott"/>
    <s v="Closed"/>
    <n v="5"/>
    <n v="48"/>
    <n v="30.36"/>
    <n v="1"/>
  </r>
  <r>
    <s v="TCK-14198"/>
    <s v="2024-05-15 10:03:58"/>
    <s v="2024-05-17 22:23:30"/>
    <s v="P4"/>
    <x v="0"/>
    <s v="Billing Operations"/>
    <s v="Pam Beesly"/>
    <s v="Closed"/>
    <n v="4"/>
    <n v="48"/>
    <n v="60.33"/>
    <n v="0"/>
  </r>
  <r>
    <s v="TCK-14199"/>
    <s v="2024-09-04 22:29:25"/>
    <s v="2024-09-05 01:22:07"/>
    <s v="P2"/>
    <x v="3"/>
    <s v="L2 Support"/>
    <s v="Alex Mercer"/>
    <s v="Resolved"/>
    <n v="4"/>
    <n v="8"/>
    <n v="2.88"/>
    <n v="1"/>
  </r>
  <r>
    <s v="TCK-14200"/>
    <s v="2024-04-01 19:22:32"/>
    <s v="2024-04-03 07:14:29"/>
    <s v="P3"/>
    <x v="2"/>
    <s v="Billing Operations"/>
    <s v="Pam Beesly"/>
    <s v="Resolved"/>
    <n v="2"/>
    <n v="24"/>
    <n v="35.869999999999997"/>
    <n v="0"/>
  </r>
  <r>
    <s v="TCK-14201"/>
    <s v="2024-06-12 15:07:32"/>
    <s v="2024-06-14 03:14:55"/>
    <s v="P4"/>
    <x v="1"/>
    <s v="L1 Support"/>
    <s v="Priya Nair"/>
    <s v="Resolved"/>
    <n v="4"/>
    <n v="48"/>
    <n v="36.119999999999997"/>
    <n v="1"/>
  </r>
  <r>
    <s v="TCK-14202"/>
    <s v="2024-08-05 09:31:53"/>
    <s v="2024-08-05 18:47:51"/>
    <s v="P3"/>
    <x v="1"/>
    <s v="Infrastructure"/>
    <s v="Pam Beesly"/>
    <s v="Closed"/>
    <n v="4"/>
    <n v="24"/>
    <n v="9.27"/>
    <n v="1"/>
  </r>
  <r>
    <s v="TCK-14203"/>
    <s v="2024-05-04 10:59:09"/>
    <s v="2024-05-05 06:26:01"/>
    <s v="P2"/>
    <x v="4"/>
    <s v="L1 Support"/>
    <s v="Dwight Schrute"/>
    <s v="Closed"/>
    <n v="2"/>
    <n v="8"/>
    <n v="19.45"/>
    <n v="0"/>
  </r>
  <r>
    <s v="TCK-14204"/>
    <s v="2024-06-26 10:31:52"/>
    <m/>
    <s v="P3"/>
    <x v="4"/>
    <s v="Billing Operations"/>
    <s v="Ravi Patel"/>
    <s v="Escalated"/>
    <m/>
    <n v="24"/>
    <m/>
    <m/>
  </r>
  <r>
    <s v="TCK-14205"/>
    <s v="2024-08-16 14:51:23"/>
    <s v="2024-08-16 21:14:07"/>
    <s v="P4"/>
    <x v="1"/>
    <s v="L2 Support"/>
    <s v="Sarah Connor"/>
    <s v="Closed"/>
    <n v="5"/>
    <n v="48"/>
    <n v="6.38"/>
    <n v="1"/>
  </r>
  <r>
    <s v="TCK-14206"/>
    <s v="2024-09-21 02:00:33"/>
    <s v="2024-09-21 05:47:50"/>
    <s v="P3"/>
    <x v="4"/>
    <s v="L1 Support"/>
    <s v="Anita Sharma"/>
    <s v="Resolved"/>
    <n v="4"/>
    <n v="24"/>
    <n v="3.79"/>
    <n v="1"/>
  </r>
  <r>
    <s v="TCK-14207"/>
    <s v="2024-03-08 19:49:10"/>
    <s v="2024-03-08 20:43:32"/>
    <s v="P2"/>
    <x v="1"/>
    <s v="Application Support"/>
    <s v="Pam Beesly"/>
    <s v="Closed"/>
    <n v="5"/>
    <n v="8"/>
    <n v="0.91"/>
    <n v="1"/>
  </r>
  <r>
    <s v="TCK-14208"/>
    <s v="2024-02-07 03:23:53"/>
    <s v="2024-02-08 05:29:17"/>
    <s v="P4"/>
    <x v="1"/>
    <s v="Infrastructure"/>
    <s v="Ravi Patel"/>
    <s v="Resolved"/>
    <n v="4"/>
    <n v="48"/>
    <n v="26.09"/>
    <n v="1"/>
  </r>
  <r>
    <s v="TCK-14209"/>
    <s v="2024-04-16 12:28:20"/>
    <s v="2024-04-16 21:47:49"/>
    <s v="P2"/>
    <x v="2"/>
    <s v="Infrastructure"/>
    <s v="Michael Scott"/>
    <s v="Closed"/>
    <n v="1"/>
    <n v="8"/>
    <n v="9.32"/>
    <n v="0"/>
  </r>
  <r>
    <s v="TCK-14210"/>
    <s v="2024-08-01 09:27:11"/>
    <s v="2024-08-01 12:08:02"/>
    <s v="P3"/>
    <x v="4"/>
    <s v="L1 Support"/>
    <s v="Sarah Connor"/>
    <s v="Resolved"/>
    <n v="4"/>
    <n v="24"/>
    <n v="2.68"/>
    <n v="1"/>
  </r>
  <r>
    <s v="TCK-14211"/>
    <s v="2024-05-07 01:19:58"/>
    <s v="2024-05-07 04:19:38"/>
    <s v="P3"/>
    <x v="1"/>
    <s v="Infrastructure"/>
    <s v="Carlos Mendez"/>
    <s v="Resolved"/>
    <n v="4"/>
    <n v="24"/>
    <n v="2.99"/>
    <n v="1"/>
  </r>
  <r>
    <s v="TCK-14212"/>
    <s v="2024-04-29 22:22:26"/>
    <m/>
    <s v="P4"/>
    <x v="3"/>
    <s v="Billing Operations"/>
    <s v="Anita Sharma"/>
    <s v="Escalated"/>
    <m/>
    <n v="48"/>
    <m/>
    <m/>
  </r>
  <r>
    <s v="TCK-14213"/>
    <s v="2024-12-06 02:18:24"/>
    <s v="2024-12-06 20:31:58"/>
    <s v="P3"/>
    <x v="0"/>
    <s v="Billing Operations"/>
    <s v="Carlos Mendez"/>
    <s v="Resolved"/>
    <n v="4"/>
    <n v="24"/>
    <n v="18.23"/>
    <n v="1"/>
  </r>
  <r>
    <s v="TCK-14214"/>
    <s v="2024-03-29 17:11:47"/>
    <s v="2024-03-31 17:48:22"/>
    <s v="P3"/>
    <x v="1"/>
    <s v="Application Support"/>
    <s v="Dwight Schrute"/>
    <s v="Closed"/>
    <n v="2"/>
    <n v="24"/>
    <n v="48.61"/>
    <n v="0"/>
  </r>
  <r>
    <s v="TCK-14215"/>
    <s v="2024-02-25 18:21:37"/>
    <s v="2024-02-25 22:44:47"/>
    <s v="P2"/>
    <x v="0"/>
    <s v="L2 Support"/>
    <s v="Michael Scott"/>
    <s v="Resolved"/>
    <n v="4"/>
    <n v="8"/>
    <n v="4.3899999999999997"/>
    <n v="1"/>
  </r>
  <r>
    <s v="TCK-14216"/>
    <s v="2024-12-29 09:51:19"/>
    <s v="2024-12-29 15:01:39"/>
    <s v="P3"/>
    <x v="1"/>
    <s v="Billing Operations"/>
    <s v="Jim Halpert"/>
    <s v="Closed"/>
    <n v="3"/>
    <n v="24"/>
    <n v="5.17"/>
    <n v="1"/>
  </r>
  <r>
    <s v="TCK-14217"/>
    <s v="2024-04-12 23:20:30"/>
    <s v="2024-04-13 23:03:40"/>
    <s v="P4"/>
    <x v="3"/>
    <s v="Infrastructure"/>
    <s v="Sarah Connor"/>
    <s v="Resolved"/>
    <n v="5"/>
    <n v="48"/>
    <n v="23.72"/>
    <n v="1"/>
  </r>
  <r>
    <s v="TCK-14218"/>
    <s v="2024-12-14 21:38:52"/>
    <s v="2024-12-15 13:29:48"/>
    <s v="P4"/>
    <x v="1"/>
    <s v="L2 Support"/>
    <s v="Michael Scott"/>
    <s v="Resolved"/>
    <n v="5"/>
    <n v="48"/>
    <n v="15.85"/>
    <n v="1"/>
  </r>
  <r>
    <s v="TCK-14219"/>
    <s v="2024-03-01 08:34:33"/>
    <s v="2024-03-02 06:42:46"/>
    <s v="P3"/>
    <x v="2"/>
    <s v="Application Support"/>
    <s v="Michael Scott"/>
    <s v="Resolved"/>
    <n v="5"/>
    <n v="24"/>
    <n v="22.14"/>
    <n v="1"/>
  </r>
  <r>
    <s v="TCK-14220"/>
    <s v="2024-03-22 21:12:05"/>
    <s v="2024-03-24 10:28:04"/>
    <s v="P3"/>
    <x v="2"/>
    <s v="L2 Support"/>
    <s v="Emily Watson"/>
    <s v="Resolved"/>
    <n v="2"/>
    <n v="24"/>
    <n v="37.270000000000003"/>
    <n v="0"/>
  </r>
  <r>
    <s v="TCK-14221"/>
    <s v="2024-02-14 10:17:38"/>
    <s v="2024-02-14 22:39:55"/>
    <s v="P3"/>
    <x v="4"/>
    <s v="L1 Support"/>
    <s v="Carlos Mendez"/>
    <s v="Resolved"/>
    <n v="4"/>
    <n v="24"/>
    <n v="12.37"/>
    <n v="1"/>
  </r>
  <r>
    <s v="TCK-14222"/>
    <s v="2024-06-05 11:00:59"/>
    <s v="2024-06-06 09:21:46"/>
    <s v="P3"/>
    <x v="2"/>
    <s v="L1 Support"/>
    <s v="Pam Beesly"/>
    <s v="Closed"/>
    <n v="4"/>
    <n v="24"/>
    <n v="22.35"/>
    <n v="1"/>
  </r>
  <r>
    <s v="TCK-14223"/>
    <s v="2024-03-05 00:07:35"/>
    <m/>
    <s v="P3"/>
    <x v="2"/>
    <s v="Application Support"/>
    <s v="Carlos Mendez"/>
    <s v="Escalated"/>
    <m/>
    <n v="24"/>
    <m/>
    <m/>
  </r>
  <r>
    <s v="TCK-14224"/>
    <s v="2024-04-05 05:27:04"/>
    <s v="2024-04-05 23:39:36"/>
    <s v="P3"/>
    <x v="2"/>
    <s v="L2 Support"/>
    <s v="Ravi Patel"/>
    <s v="Resolved"/>
    <n v="4"/>
    <n v="24"/>
    <n v="18.21"/>
    <n v="1"/>
  </r>
  <r>
    <s v="TCK-14225"/>
    <s v="2024-11-19 15:38:31"/>
    <s v="2024-11-20 06:30:30"/>
    <s v="P3"/>
    <x v="4"/>
    <s v="Infrastructure"/>
    <s v="Carlos Mendez"/>
    <s v="Closed"/>
    <n v="4"/>
    <n v="24"/>
    <n v="14.87"/>
    <n v="1"/>
  </r>
  <r>
    <s v="TCK-14226"/>
    <s v="2024-02-25 08:27:05"/>
    <s v="2024-02-25 15:07:42"/>
    <s v="P3"/>
    <x v="0"/>
    <s v="Billing Operations"/>
    <s v="Michael Scott"/>
    <s v="Closed"/>
    <n v="5"/>
    <n v="24"/>
    <n v="6.68"/>
    <n v="1"/>
  </r>
  <r>
    <s v="TCK-14227"/>
    <s v="2024-12-07 06:33:36"/>
    <s v="2024-12-07 09:52:02"/>
    <s v="P2"/>
    <x v="4"/>
    <s v="Application Support"/>
    <s v="Ravi Patel"/>
    <s v="Resolved"/>
    <n v="5"/>
    <n v="8"/>
    <n v="3.31"/>
    <n v="1"/>
  </r>
  <r>
    <s v="TCK-14228"/>
    <s v="2024-04-15 01:53:36"/>
    <s v="2024-04-15 14:38:36"/>
    <s v="P4"/>
    <x v="3"/>
    <s v="Infrastructure"/>
    <s v="Alex Mercer"/>
    <s v="Resolved"/>
    <n v="5"/>
    <n v="48"/>
    <n v="12.75"/>
    <n v="1"/>
  </r>
  <r>
    <s v="TCK-14229"/>
    <s v="2024-08-18 16:40:09"/>
    <s v="2024-08-18 23:48:47"/>
    <s v="P2"/>
    <x v="2"/>
    <s v="L1 Support"/>
    <s v="Priya Nair"/>
    <s v="Resolved"/>
    <n v="4"/>
    <n v="8"/>
    <n v="7.14"/>
    <n v="1"/>
  </r>
  <r>
    <s v="TCK-14230"/>
    <s v="2024-09-07 18:20:21"/>
    <m/>
    <s v="P2"/>
    <x v="2"/>
    <s v="Infrastructure"/>
    <s v="Alex Mercer"/>
    <s v="Open"/>
    <m/>
    <n v="8"/>
    <m/>
    <m/>
  </r>
  <r>
    <s v="TCK-14231"/>
    <s v="2024-07-11 21:32:20"/>
    <s v="2024-07-12 15:46:26"/>
    <s v="P2"/>
    <x v="0"/>
    <s v="Billing Operations"/>
    <s v="Sarah Connor"/>
    <s v="Closed"/>
    <n v="2"/>
    <n v="8"/>
    <n v="18.239999999999998"/>
    <n v="0"/>
  </r>
  <r>
    <s v="TCK-14232"/>
    <s v="2024-03-23 14:17:32"/>
    <s v="2024-03-24 06:59:50"/>
    <s v="P3"/>
    <x v="0"/>
    <s v="Infrastructure"/>
    <s v="John Doe"/>
    <s v="Resolved"/>
    <n v="4"/>
    <n v="24"/>
    <n v="16.7"/>
    <n v="1"/>
  </r>
  <r>
    <s v="TCK-14233"/>
    <s v="2024-07-06 16:30:52"/>
    <s v="2024-07-06 18:58:56"/>
    <s v="P2"/>
    <x v="0"/>
    <s v="Infrastructure"/>
    <s v="Anita Sharma"/>
    <s v="Resolved"/>
    <n v="4"/>
    <n v="8"/>
    <n v="2.4700000000000002"/>
    <n v="1"/>
  </r>
  <r>
    <s v="TCK-14234"/>
    <s v="2024-04-19 23:20:08"/>
    <s v="2024-04-25 16:12:54"/>
    <s v="P4"/>
    <x v="1"/>
    <s v="L1 Support"/>
    <s v="Jim Halpert"/>
    <s v="Closed"/>
    <n v="2"/>
    <n v="48"/>
    <n v="136.88"/>
    <n v="0"/>
  </r>
  <r>
    <s v="TCK-14235"/>
    <s v="2024-07-31 12:13:37"/>
    <s v="2024-08-01 00:45:44"/>
    <s v="P3"/>
    <x v="4"/>
    <s v="Application Support"/>
    <s v="Pam Beesly"/>
    <s v="Closed"/>
    <n v="5"/>
    <n v="24"/>
    <n v="12.54"/>
    <n v="1"/>
  </r>
  <r>
    <s v="TCK-14236"/>
    <s v="2024-11-01 06:11:48"/>
    <s v="2024-11-02 02:29:38"/>
    <s v="P4"/>
    <x v="4"/>
    <s v="Infrastructure"/>
    <s v="Carlos Mendez"/>
    <s v="Closed"/>
    <n v="5"/>
    <n v="48"/>
    <n v="20.3"/>
    <n v="1"/>
  </r>
  <r>
    <s v="TCK-14237"/>
    <s v="2024-02-24 14:13:29"/>
    <s v="2024-02-25 02:34:33"/>
    <s v="P2"/>
    <x v="0"/>
    <s v="Infrastructure"/>
    <s v="Alex Mercer"/>
    <s v="Resolved"/>
    <n v="4"/>
    <n v="8"/>
    <n v="12.35"/>
    <n v="0"/>
  </r>
  <r>
    <s v="TCK-14238"/>
    <s v="2024-10-11 06:42:32"/>
    <s v="2024-10-12 00:41:42"/>
    <s v="P2"/>
    <x v="2"/>
    <s v="L1 Support"/>
    <s v="Jim Halpert"/>
    <s v="Resolved"/>
    <n v="4"/>
    <n v="8"/>
    <n v="17.989999999999998"/>
    <n v="0"/>
  </r>
  <r>
    <s v="TCK-14239"/>
    <s v="2024-03-27 18:20:31"/>
    <s v="2024-03-27 21:50:32"/>
    <s v="P2"/>
    <x v="3"/>
    <s v="Infrastructure"/>
    <s v="Dwight Schrute"/>
    <s v="Resolved"/>
    <n v="4"/>
    <n v="8"/>
    <n v="3.5"/>
    <n v="1"/>
  </r>
  <r>
    <s v="TCK-14240"/>
    <s v="2024-09-16 22:12:29"/>
    <s v="2024-09-18 10:34:52"/>
    <s v="P4"/>
    <x v="0"/>
    <s v="Application Support"/>
    <s v="Michael Scott"/>
    <s v="Resolved"/>
    <n v="4"/>
    <n v="48"/>
    <n v="36.369999999999997"/>
    <n v="1"/>
  </r>
  <r>
    <s v="TCK-14241"/>
    <s v="2024-05-24 16:48:08"/>
    <s v="2024-05-24 18:55:52"/>
    <s v="P1"/>
    <x v="0"/>
    <s v="Billing Operations"/>
    <s v="Michael Scott"/>
    <s v="Resolved"/>
    <n v="5"/>
    <n v="4"/>
    <n v="2.13"/>
    <n v="1"/>
  </r>
  <r>
    <s v="TCK-14242"/>
    <s v="2024-04-14 04:41:55"/>
    <s v="2024-04-17 23:06:04"/>
    <s v="P4"/>
    <x v="2"/>
    <s v="Billing Operations"/>
    <s v="Pam Beesly"/>
    <s v="Resolved"/>
    <n v="3"/>
    <n v="48"/>
    <n v="90.4"/>
    <n v="0"/>
  </r>
  <r>
    <s v="TCK-14243"/>
    <s v="2024-07-13 06:31:00"/>
    <s v="2024-07-14 22:03:04"/>
    <s v="P3"/>
    <x v="2"/>
    <s v="Application Support"/>
    <s v="Priya Nair"/>
    <s v="Resolved"/>
    <n v="2"/>
    <n v="24"/>
    <n v="39.53"/>
    <n v="0"/>
  </r>
  <r>
    <s v="TCK-14244"/>
    <s v="2024-12-14 05:56:11"/>
    <s v="2024-12-14 17:29:18"/>
    <s v="P3"/>
    <x v="3"/>
    <s v="Application Support"/>
    <s v="Priya Nair"/>
    <s v="Resolved"/>
    <n v="4"/>
    <n v="24"/>
    <n v="11.55"/>
    <n v="1"/>
  </r>
  <r>
    <s v="TCK-14245"/>
    <s v="2024-02-12 17:46:03"/>
    <m/>
    <s v="P3"/>
    <x v="0"/>
    <s v="L2 Support"/>
    <s v="Dwight Schrute"/>
    <s v="Open"/>
    <m/>
    <n v="24"/>
    <m/>
    <m/>
  </r>
  <r>
    <s v="TCK-14246"/>
    <s v="2024-09-22 11:55:31"/>
    <m/>
    <s v="P2"/>
    <x v="1"/>
    <s v="L2 Support"/>
    <s v="Anita Sharma"/>
    <s v="Escalated"/>
    <m/>
    <n v="8"/>
    <m/>
    <m/>
  </r>
  <r>
    <s v="TCK-14247"/>
    <s v="2024-06-02 09:38:06"/>
    <s v="2024-06-03 23:42:56"/>
    <s v="P4"/>
    <x v="4"/>
    <s v="Application Support"/>
    <s v="Jim Halpert"/>
    <s v="Resolved"/>
    <n v="5"/>
    <n v="48"/>
    <n v="38.08"/>
    <n v="1"/>
  </r>
  <r>
    <s v="TCK-14248"/>
    <s v="2024-10-24 23:47:25"/>
    <m/>
    <s v="P3"/>
    <x v="4"/>
    <s v="Infrastructure"/>
    <s v="Priya Nair"/>
    <s v="Open"/>
    <m/>
    <n v="24"/>
    <m/>
    <m/>
  </r>
  <r>
    <s v="TCK-14249"/>
    <s v="2024-05-10 23:04:08"/>
    <s v="2024-05-11 20:59:30"/>
    <s v="P3"/>
    <x v="1"/>
    <s v="L2 Support"/>
    <s v="Ravi Patel"/>
    <s v="Resolved"/>
    <n v="5"/>
    <n v="24"/>
    <n v="21.92"/>
    <n v="1"/>
  </r>
  <r>
    <s v="TCK-14250"/>
    <s v="2024-05-16 08:14:26"/>
    <s v="2024-05-16 10:15:42"/>
    <s v="P1"/>
    <x v="1"/>
    <s v="L2 Support"/>
    <s v="Ravi Patel"/>
    <s v="Closed"/>
    <n v="5"/>
    <n v="4"/>
    <n v="2.02"/>
    <n v="1"/>
  </r>
  <r>
    <s v="TCK-14251"/>
    <s v="2024-09-21 02:19:55"/>
    <m/>
    <s v="P3"/>
    <x v="3"/>
    <s v="L2 Support"/>
    <s v="Ravi Patel"/>
    <s v="Escalated"/>
    <m/>
    <n v="24"/>
    <m/>
    <m/>
  </r>
  <r>
    <s v="TCK-14252"/>
    <s v="2024-02-22 16:43:26"/>
    <s v="2024-02-22 23:19:55"/>
    <s v="P3"/>
    <x v="4"/>
    <s v="Application Support"/>
    <s v="Dwight Schrute"/>
    <s v="Resolved"/>
    <n v="4"/>
    <n v="24"/>
    <n v="6.61"/>
    <n v="1"/>
  </r>
  <r>
    <s v="TCK-14253"/>
    <s v="2024-09-28 21:07:38"/>
    <m/>
    <s v="P2"/>
    <x v="4"/>
    <s v="L2 Support"/>
    <s v="Carlos Mendez"/>
    <s v="Escalated"/>
    <m/>
    <n v="8"/>
    <m/>
    <m/>
  </r>
  <r>
    <s v="TCK-14254"/>
    <s v="2024-06-26 17:44:45"/>
    <m/>
    <s v="P2"/>
    <x v="4"/>
    <s v="Application Support"/>
    <s v="Ravi Patel"/>
    <s v="Escalated"/>
    <m/>
    <n v="8"/>
    <m/>
    <m/>
  </r>
  <r>
    <s v="TCK-14255"/>
    <s v="2024-08-24 10:08:35"/>
    <s v="2024-08-24 13:22:50"/>
    <s v="P3"/>
    <x v="0"/>
    <s v="L2 Support"/>
    <s v="Sarah Connor"/>
    <s v="Closed"/>
    <n v="4"/>
    <n v="24"/>
    <n v="3.24"/>
    <n v="1"/>
  </r>
  <r>
    <s v="TCK-14256"/>
    <s v="2024-01-01 21:11:25"/>
    <s v="2024-01-02 04:43:06"/>
    <s v="P3"/>
    <x v="1"/>
    <s v="L1 Support"/>
    <s v="Michael Scott"/>
    <s v="Resolved"/>
    <n v="5"/>
    <n v="24"/>
    <n v="7.53"/>
    <n v="1"/>
  </r>
  <r>
    <s v="TCK-14257"/>
    <s v="2024-07-22 00:41:38"/>
    <s v="2024-07-22 10:27:43"/>
    <s v="P3"/>
    <x v="3"/>
    <s v="Application Support"/>
    <s v="Pam Beesly"/>
    <s v="Resolved"/>
    <n v="4"/>
    <n v="24"/>
    <n v="9.77"/>
    <n v="1"/>
  </r>
  <r>
    <s v="TCK-14258"/>
    <s v="2024-04-06 21:21:56"/>
    <s v="2024-04-06 22:36:39"/>
    <s v="P2"/>
    <x v="1"/>
    <s v="L2 Support"/>
    <s v="Alex Mercer"/>
    <s v="Closed"/>
    <n v="4"/>
    <n v="8"/>
    <n v="1.25"/>
    <n v="1"/>
  </r>
  <r>
    <s v="TCK-14259"/>
    <s v="2024-01-13 02:36:50"/>
    <s v="2024-01-13 09:45:57"/>
    <s v="P3"/>
    <x v="3"/>
    <s v="Infrastructure"/>
    <s v="Alex Mercer"/>
    <s v="Resolved"/>
    <n v="4"/>
    <n v="24"/>
    <n v="7.15"/>
    <n v="1"/>
  </r>
  <r>
    <s v="TCK-14260"/>
    <s v="2024-11-18 12:26:50"/>
    <s v="2024-11-20 07:51:52"/>
    <s v="P4"/>
    <x v="1"/>
    <s v="L2 Support"/>
    <s v="Anita Sharma"/>
    <s v="Resolved"/>
    <n v="5"/>
    <n v="48"/>
    <n v="43.42"/>
    <n v="1"/>
  </r>
  <r>
    <s v="TCK-14261"/>
    <s v="2024-10-15 12:39:26"/>
    <s v="2024-10-15 20:14:29"/>
    <s v="P2"/>
    <x v="2"/>
    <s v="L2 Support"/>
    <s v="Carlos Mendez"/>
    <s v="Closed"/>
    <n v="5"/>
    <n v="8"/>
    <n v="7.58"/>
    <n v="1"/>
  </r>
  <r>
    <s v="TCK-14262"/>
    <s v="2024-11-18 11:05:40"/>
    <s v="2024-11-19 16:40:48"/>
    <s v="P4"/>
    <x v="1"/>
    <s v="L2 Support"/>
    <s v="Jim Halpert"/>
    <s v="Resolved"/>
    <n v="4"/>
    <n v="48"/>
    <n v="29.59"/>
    <n v="1"/>
  </r>
  <r>
    <s v="TCK-14263"/>
    <s v="2024-03-08 10:48:48"/>
    <s v="2024-03-08 15:57:32"/>
    <s v="P1"/>
    <x v="3"/>
    <s v="Application Support"/>
    <s v="Sarah Connor"/>
    <s v="Closed"/>
    <n v="2"/>
    <n v="4"/>
    <n v="5.15"/>
    <n v="0"/>
  </r>
  <r>
    <s v="TCK-14264"/>
    <s v="2024-10-19 14:35:46"/>
    <m/>
    <s v="P4"/>
    <x v="2"/>
    <s v="L2 Support"/>
    <s v="Anita Sharma"/>
    <s v="Escalated"/>
    <m/>
    <n v="48"/>
    <m/>
    <m/>
  </r>
  <r>
    <s v="TCK-14265"/>
    <s v="2024-09-29 01:27:20"/>
    <s v="2024-09-29 04:29:05"/>
    <s v="P2"/>
    <x v="0"/>
    <s v="L1 Support"/>
    <s v="John Doe"/>
    <s v="Resolved"/>
    <n v="5"/>
    <n v="8"/>
    <n v="3.03"/>
    <n v="1"/>
  </r>
  <r>
    <s v="TCK-14266"/>
    <s v="2024-10-30 03:56:16"/>
    <s v="2024-10-31 16:57:06"/>
    <s v="P4"/>
    <x v="2"/>
    <s v="Application Support"/>
    <s v="Pam Beesly"/>
    <s v="Resolved"/>
    <n v="3"/>
    <n v="48"/>
    <n v="37.01"/>
    <n v="1"/>
  </r>
  <r>
    <s v="TCK-14267"/>
    <s v="2024-03-06 07:48:51"/>
    <s v="2024-03-06 14:29:14"/>
    <s v="P2"/>
    <x v="0"/>
    <s v="Billing Operations"/>
    <s v="Ravi Patel"/>
    <s v="Resolved"/>
    <n v="5"/>
    <n v="8"/>
    <n v="6.67"/>
    <n v="1"/>
  </r>
  <r>
    <s v="TCK-14268"/>
    <s v="2024-04-20 05:50:19"/>
    <m/>
    <s v="P4"/>
    <x v="2"/>
    <s v="L1 Support"/>
    <s v="John Doe"/>
    <s v="Open"/>
    <m/>
    <n v="48"/>
    <m/>
    <m/>
  </r>
  <r>
    <s v="TCK-14269"/>
    <s v="2024-10-12 11:39:38"/>
    <s v="2024-10-12 15:20:17"/>
    <s v="P2"/>
    <x v="4"/>
    <s v="L1 Support"/>
    <s v="Alex Mercer"/>
    <s v="Resolved"/>
    <n v="5"/>
    <n v="8"/>
    <n v="3.68"/>
    <n v="1"/>
  </r>
  <r>
    <s v="TCK-14270"/>
    <s v="2024-07-19 14:25:59"/>
    <s v="2024-07-20 15:51:42"/>
    <s v="P3"/>
    <x v="2"/>
    <s v="Infrastructure"/>
    <s v="Carlos Mendez"/>
    <s v="Resolved"/>
    <n v="2"/>
    <n v="24"/>
    <n v="25.43"/>
    <n v="0"/>
  </r>
  <r>
    <s v="TCK-14271"/>
    <s v="2024-10-19 18:59:56"/>
    <s v="2024-10-19 22:27:47"/>
    <s v="P1"/>
    <x v="2"/>
    <s v="Infrastructure"/>
    <s v="Anita Sharma"/>
    <s v="Closed"/>
    <n v="4"/>
    <n v="4"/>
    <n v="3.46"/>
    <n v="1"/>
  </r>
  <r>
    <s v="TCK-14272"/>
    <s v="2024-08-29 21:41:20"/>
    <s v="2024-08-30 07:43:02"/>
    <s v="P2"/>
    <x v="2"/>
    <s v="Application Support"/>
    <s v="John Doe"/>
    <s v="Resolved"/>
    <n v="4"/>
    <n v="8"/>
    <n v="10.029999999999999"/>
    <n v="0"/>
  </r>
  <r>
    <s v="TCK-14273"/>
    <s v="2024-04-22 04:39:30"/>
    <s v="2024-04-22 20:33:56"/>
    <s v="P3"/>
    <x v="1"/>
    <s v="Infrastructure"/>
    <s v="Emily Watson"/>
    <s v="Closed"/>
    <n v="5"/>
    <n v="24"/>
    <n v="15.91"/>
    <n v="1"/>
  </r>
  <r>
    <s v="TCK-14274"/>
    <s v="2024-09-22 04:30:18"/>
    <s v="2024-09-25 07:18:53"/>
    <s v="P4"/>
    <x v="2"/>
    <s v="Application Support"/>
    <s v="John Doe"/>
    <s v="Resolved"/>
    <n v="1"/>
    <n v="48"/>
    <n v="74.81"/>
    <n v="0"/>
  </r>
  <r>
    <s v="TCK-14275"/>
    <s v="2024-04-25 05:55:59"/>
    <s v="2024-04-26 03:07:50"/>
    <s v="P3"/>
    <x v="2"/>
    <s v="Billing Operations"/>
    <s v="Michael Scott"/>
    <s v="Resolved"/>
    <n v="5"/>
    <n v="24"/>
    <n v="21.2"/>
    <n v="1"/>
  </r>
  <r>
    <s v="TCK-14276"/>
    <s v="2024-12-10 16:11:53"/>
    <s v="2024-12-11 08:18:25"/>
    <s v="P3"/>
    <x v="2"/>
    <s v="L1 Support"/>
    <s v="Dwight Schrute"/>
    <s v="Closed"/>
    <n v="5"/>
    <n v="24"/>
    <n v="16.11"/>
    <n v="1"/>
  </r>
  <r>
    <s v="TCK-14277"/>
    <s v="2024-08-07 05:30:14"/>
    <s v="2024-08-07 09:26:29"/>
    <s v="P3"/>
    <x v="0"/>
    <s v="Infrastructure"/>
    <s v="Ravi Patel"/>
    <s v="Resolved"/>
    <n v="5"/>
    <n v="24"/>
    <n v="3.94"/>
    <n v="1"/>
  </r>
  <r>
    <s v="TCK-14278"/>
    <s v="2024-01-22 12:55:18"/>
    <s v="2024-01-24 03:40:46"/>
    <s v="P3"/>
    <x v="0"/>
    <s v="Application Support"/>
    <s v="Dwight Schrute"/>
    <s v="Closed"/>
    <n v="1"/>
    <n v="24"/>
    <n v="38.76"/>
    <n v="0"/>
  </r>
  <r>
    <s v="TCK-14279"/>
    <s v="2024-06-23 03:55:38"/>
    <s v="2024-06-23 15:35:57"/>
    <s v="P3"/>
    <x v="3"/>
    <s v="Application Support"/>
    <s v="Ravi Patel"/>
    <s v="Closed"/>
    <n v="3"/>
    <n v="24"/>
    <n v="11.67"/>
    <n v="1"/>
  </r>
  <r>
    <s v="TCK-14280"/>
    <s v="2024-03-03 12:18:41"/>
    <s v="2024-03-03 17:40:02"/>
    <s v="P2"/>
    <x v="2"/>
    <s v="L1 Support"/>
    <s v="Jim Halpert"/>
    <s v="Closed"/>
    <n v="5"/>
    <n v="8"/>
    <n v="5.36"/>
    <n v="1"/>
  </r>
  <r>
    <s v="TCK-14281"/>
    <s v="2024-02-27 12:11:16"/>
    <s v="2024-02-27 17:05:58"/>
    <s v="P4"/>
    <x v="2"/>
    <s v="L2 Support"/>
    <s v="Dwight Schrute"/>
    <s v="Resolved"/>
    <n v="3"/>
    <n v="48"/>
    <n v="4.91"/>
    <n v="1"/>
  </r>
  <r>
    <s v="TCK-14282"/>
    <s v="2024-09-01 07:51:54"/>
    <s v="2024-09-02 02:18:24"/>
    <s v="P3"/>
    <x v="2"/>
    <s v="L1 Support"/>
    <s v="Ravi Patel"/>
    <s v="Closed"/>
    <n v="4"/>
    <n v="24"/>
    <n v="18.440000000000001"/>
    <n v="1"/>
  </r>
  <r>
    <s v="TCK-14283"/>
    <s v="2024-06-17 03:33:08"/>
    <s v="2024-06-18 22:43:24"/>
    <s v="P4"/>
    <x v="4"/>
    <s v="L2 Support"/>
    <s v="Alex Mercer"/>
    <s v="Closed"/>
    <n v="4"/>
    <n v="48"/>
    <n v="43.17"/>
    <n v="1"/>
  </r>
  <r>
    <s v="TCK-14284"/>
    <s v="2024-10-08 23:57:13"/>
    <s v="2024-10-09 06:48:45"/>
    <s v="P2"/>
    <x v="4"/>
    <s v="Infrastructure"/>
    <s v="Dwight Schrute"/>
    <s v="Resolved"/>
    <n v="5"/>
    <n v="8"/>
    <n v="6.86"/>
    <n v="1"/>
  </r>
  <r>
    <s v="TCK-14285"/>
    <s v="2024-01-29 10:29:39"/>
    <s v="2024-01-29 14:44:04"/>
    <s v="P2"/>
    <x v="2"/>
    <s v="L1 Support"/>
    <s v="Ravi Patel"/>
    <s v="Closed"/>
    <n v="5"/>
    <n v="8"/>
    <n v="4.24"/>
    <n v="1"/>
  </r>
  <r>
    <s v="TCK-14286"/>
    <s v="2024-11-02 05:37:54"/>
    <s v="2024-11-02 15:57:15"/>
    <s v="P3"/>
    <x v="2"/>
    <s v="L2 Support"/>
    <s v="Priya Nair"/>
    <s v="Resolved"/>
    <n v="3"/>
    <n v="24"/>
    <n v="10.32"/>
    <n v="1"/>
  </r>
  <r>
    <s v="TCK-14287"/>
    <s v="2024-08-13 17:06:11"/>
    <m/>
    <s v="P3"/>
    <x v="0"/>
    <s v="L1 Support"/>
    <s v="Pam Beesly"/>
    <s v="Open"/>
    <m/>
    <n v="24"/>
    <m/>
    <m/>
  </r>
  <r>
    <s v="TCK-14288"/>
    <s v="2024-11-11 08:54:35"/>
    <s v="2024-11-11 15:26:03"/>
    <s v="P3"/>
    <x v="2"/>
    <s v="Billing Operations"/>
    <s v="Alex Mercer"/>
    <s v="Closed"/>
    <n v="5"/>
    <n v="24"/>
    <n v="6.52"/>
    <n v="1"/>
  </r>
  <r>
    <s v="TCK-14289"/>
    <s v="2024-01-29 18:02:18"/>
    <s v="2024-01-30 19:52:26"/>
    <s v="P4"/>
    <x v="4"/>
    <s v="Application Support"/>
    <s v="Pam Beesly"/>
    <s v="Closed"/>
    <n v="4"/>
    <n v="48"/>
    <n v="25.84"/>
    <n v="1"/>
  </r>
  <r>
    <s v="TCK-14290"/>
    <s v="2024-12-29 22:07:13"/>
    <s v="2024-12-30 17:10:26"/>
    <s v="P3"/>
    <x v="3"/>
    <s v="Billing Operations"/>
    <s v="Dwight Schrute"/>
    <s v="Closed"/>
    <n v="3"/>
    <n v="24"/>
    <n v="19.05"/>
    <n v="1"/>
  </r>
  <r>
    <s v="TCK-14291"/>
    <s v="2024-07-12 20:49:08"/>
    <s v="2024-07-14 11:32:48"/>
    <s v="P4"/>
    <x v="2"/>
    <s v="L1 Support"/>
    <s v="Dwight Schrute"/>
    <s v="Resolved"/>
    <n v="5"/>
    <n v="48"/>
    <n v="38.729999999999997"/>
    <n v="1"/>
  </r>
  <r>
    <s v="TCK-14292"/>
    <s v="2024-04-06 11:03:31"/>
    <s v="2024-04-08 03:15:36"/>
    <s v="P4"/>
    <x v="1"/>
    <s v="L1 Support"/>
    <s v="Michael Scott"/>
    <s v="Closed"/>
    <n v="4"/>
    <n v="48"/>
    <n v="40.200000000000003"/>
    <n v="1"/>
  </r>
  <r>
    <s v="TCK-14293"/>
    <s v="2024-04-30 06:53:49"/>
    <s v="2024-05-01 13:41:01"/>
    <s v="P4"/>
    <x v="2"/>
    <s v="Application Support"/>
    <s v="Ravi Patel"/>
    <s v="Resolved"/>
    <n v="5"/>
    <n v="48"/>
    <n v="30.79"/>
    <n v="1"/>
  </r>
  <r>
    <s v="TCK-14294"/>
    <s v="2024-05-28 12:33:05"/>
    <s v="2024-05-28 15:47:03"/>
    <s v="P2"/>
    <x v="4"/>
    <s v="Application Support"/>
    <s v="Jim Halpert"/>
    <s v="Resolved"/>
    <n v="4"/>
    <n v="8"/>
    <n v="3.23"/>
    <n v="1"/>
  </r>
  <r>
    <s v="TCK-14295"/>
    <s v="2024-07-09 13:11:57"/>
    <m/>
    <s v="P3"/>
    <x v="0"/>
    <s v="Infrastructure"/>
    <s v="Michael Scott"/>
    <s v="Escalated"/>
    <m/>
    <n v="24"/>
    <m/>
    <m/>
  </r>
  <r>
    <s v="TCK-14296"/>
    <s v="2024-11-19 23:17:32"/>
    <s v="2024-11-20 11:52:53"/>
    <s v="P3"/>
    <x v="2"/>
    <s v="Billing Operations"/>
    <s v="John Doe"/>
    <s v="Resolved"/>
    <n v="3"/>
    <n v="24"/>
    <n v="12.59"/>
    <n v="1"/>
  </r>
  <r>
    <s v="TCK-14297"/>
    <s v="2024-03-07 11:40:59"/>
    <s v="2024-03-08 05:03:24"/>
    <s v="P3"/>
    <x v="2"/>
    <s v="L2 Support"/>
    <s v="Carlos Mendez"/>
    <s v="Resolved"/>
    <n v="5"/>
    <n v="24"/>
    <n v="17.37"/>
    <n v="1"/>
  </r>
  <r>
    <s v="TCK-14298"/>
    <s v="2024-07-01 21:53:29"/>
    <s v="2024-07-01 23:47:11"/>
    <s v="P2"/>
    <x v="2"/>
    <s v="Infrastructure"/>
    <s v="Carlos Mendez"/>
    <s v="Closed"/>
    <n v="4"/>
    <n v="8"/>
    <n v="1.9"/>
    <n v="1"/>
  </r>
  <r>
    <s v="TCK-14299"/>
    <s v="2024-03-26 07:23:22"/>
    <s v="2024-03-26 10:16:30"/>
    <s v="P3"/>
    <x v="3"/>
    <s v="Billing Operations"/>
    <s v="John Doe"/>
    <s v="Resolved"/>
    <n v="4"/>
    <n v="24"/>
    <n v="2.89"/>
    <n v="1"/>
  </r>
  <r>
    <s v="TCK-14300"/>
    <s v="2024-11-15 15:28:01"/>
    <s v="2024-11-15 18:07:26"/>
    <s v="P2"/>
    <x v="0"/>
    <s v="L2 Support"/>
    <s v="Carlos Mendez"/>
    <s v="Closed"/>
    <n v="5"/>
    <n v="8"/>
    <n v="2.66"/>
    <n v="1"/>
  </r>
  <r>
    <s v="TCK-14301"/>
    <s v="2024-12-24 18:56:30"/>
    <s v="2024-12-26 08:35:11"/>
    <s v="P3"/>
    <x v="2"/>
    <s v="Application Support"/>
    <s v="Sarah Connor"/>
    <s v="Resolved"/>
    <n v="3"/>
    <n v="24"/>
    <n v="37.64"/>
    <n v="0"/>
  </r>
  <r>
    <s v="TCK-14302"/>
    <s v="2024-06-29 18:56:21"/>
    <s v="2024-06-30 14:25:50"/>
    <s v="P3"/>
    <x v="2"/>
    <s v="L1 Support"/>
    <s v="Michael Scott"/>
    <s v="Resolved"/>
    <n v="5"/>
    <n v="24"/>
    <n v="19.489999999999998"/>
    <n v="1"/>
  </r>
  <r>
    <s v="TCK-14303"/>
    <s v="2024-12-12 17:30:43"/>
    <s v="2024-12-12 21:02:31"/>
    <s v="P1"/>
    <x v="3"/>
    <s v="Infrastructure"/>
    <s v="Pam Beesly"/>
    <s v="Resolved"/>
    <n v="5"/>
    <n v="4"/>
    <n v="3.53"/>
    <n v="1"/>
  </r>
  <r>
    <s v="TCK-14304"/>
    <s v="2024-06-24 03:25:05"/>
    <s v="2024-06-24 23:23:20"/>
    <s v="P3"/>
    <x v="2"/>
    <s v="Infrastructure"/>
    <s v="Dwight Schrute"/>
    <s v="Closed"/>
    <n v="4"/>
    <n v="24"/>
    <n v="19.97"/>
    <n v="1"/>
  </r>
  <r>
    <s v="TCK-14305"/>
    <s v="2024-06-02 08:48:07"/>
    <s v="2024-06-02 19:37:51"/>
    <s v="P1"/>
    <x v="2"/>
    <s v="L1 Support"/>
    <s v="Ravi Patel"/>
    <s v="Closed"/>
    <n v="1"/>
    <n v="4"/>
    <n v="10.83"/>
    <n v="0"/>
  </r>
  <r>
    <s v="TCK-14306"/>
    <s v="2024-06-18 13:51:37"/>
    <s v="2024-06-18 18:33:29"/>
    <s v="P2"/>
    <x v="0"/>
    <s v="L2 Support"/>
    <s v="Sarah Connor"/>
    <s v="Resolved"/>
    <n v="5"/>
    <n v="8"/>
    <n v="4.7"/>
    <n v="1"/>
  </r>
  <r>
    <s v="TCK-14307"/>
    <s v="2024-07-11 14:44:24"/>
    <m/>
    <s v="P3"/>
    <x v="3"/>
    <s v="Billing Operations"/>
    <s v="Dwight Schrute"/>
    <s v="Escalated"/>
    <m/>
    <n v="24"/>
    <m/>
    <m/>
  </r>
  <r>
    <s v="TCK-14308"/>
    <s v="2024-07-01 02:15:34"/>
    <s v="2024-07-01 18:56:09"/>
    <s v="P3"/>
    <x v="0"/>
    <s v="L2 Support"/>
    <s v="John Doe"/>
    <s v="Resolved"/>
    <n v="4"/>
    <n v="24"/>
    <n v="16.68"/>
    <n v="1"/>
  </r>
  <r>
    <s v="TCK-14309"/>
    <s v="2024-01-17 02:20:51"/>
    <s v="2024-01-17 17:54:45"/>
    <s v="P3"/>
    <x v="3"/>
    <s v="Billing Operations"/>
    <s v="Ravi Patel"/>
    <s v="Resolved"/>
    <n v="4"/>
    <n v="24"/>
    <n v="15.56"/>
    <n v="1"/>
  </r>
  <r>
    <s v="TCK-14310"/>
    <s v="2024-09-23 13:59:09"/>
    <s v="2024-09-24 05:07:18"/>
    <s v="P2"/>
    <x v="1"/>
    <s v="Application Support"/>
    <s v="John Doe"/>
    <s v="Resolved"/>
    <n v="2"/>
    <n v="8"/>
    <n v="15.14"/>
    <n v="0"/>
  </r>
  <r>
    <s v="TCK-14311"/>
    <s v="2024-04-05 18:35:34"/>
    <s v="2024-04-06 00:07:39"/>
    <s v="P2"/>
    <x v="2"/>
    <s v="Infrastructure"/>
    <s v="Emily Watson"/>
    <s v="Resolved"/>
    <n v="5"/>
    <n v="8"/>
    <n v="5.53"/>
    <n v="1"/>
  </r>
  <r>
    <s v="TCK-14312"/>
    <s v="2024-11-15 02:02:53"/>
    <s v="2024-11-16 18:17:50"/>
    <s v="P4"/>
    <x v="2"/>
    <s v="L1 Support"/>
    <s v="Sarah Connor"/>
    <s v="Resolved"/>
    <n v="4"/>
    <n v="48"/>
    <n v="40.25"/>
    <n v="1"/>
  </r>
  <r>
    <s v="TCK-14313"/>
    <s v="2024-01-09 15:56:57"/>
    <s v="2024-01-10 01:55:42"/>
    <s v="P3"/>
    <x v="2"/>
    <s v="Billing Operations"/>
    <s v="Pam Beesly"/>
    <s v="Resolved"/>
    <n v="5"/>
    <n v="24"/>
    <n v="9.98"/>
    <n v="1"/>
  </r>
  <r>
    <s v="TCK-14314"/>
    <s v="2024-05-18 09:18:21"/>
    <s v="2024-05-18 13:12:59"/>
    <s v="P2"/>
    <x v="2"/>
    <s v="Infrastructure"/>
    <s v="Sarah Connor"/>
    <s v="Resolved"/>
    <n v="4"/>
    <n v="8"/>
    <n v="3.91"/>
    <n v="1"/>
  </r>
  <r>
    <s v="TCK-14315"/>
    <s v="2024-06-25 23:15:18"/>
    <m/>
    <s v="P3"/>
    <x v="2"/>
    <s v="Infrastructure"/>
    <s v="Sarah Connor"/>
    <s v="Open"/>
    <m/>
    <n v="24"/>
    <m/>
    <m/>
  </r>
  <r>
    <s v="TCK-14316"/>
    <s v="2024-08-10 10:12:57"/>
    <s v="2024-08-11 00:52:13"/>
    <s v="P4"/>
    <x v="0"/>
    <s v="Billing Operations"/>
    <s v="Dwight Schrute"/>
    <s v="Closed"/>
    <n v="4"/>
    <n v="48"/>
    <n v="14.65"/>
    <n v="1"/>
  </r>
  <r>
    <s v="TCK-14317"/>
    <s v="2024-06-03 16:11:31"/>
    <s v="2024-06-05 07:18:12"/>
    <s v="P4"/>
    <x v="4"/>
    <s v="Application Support"/>
    <s v="Emily Watson"/>
    <s v="Closed"/>
    <n v="5"/>
    <n v="48"/>
    <n v="39.11"/>
    <n v="1"/>
  </r>
  <r>
    <s v="TCK-14318"/>
    <s v="2024-08-11 16:57:07"/>
    <s v="2024-08-12 08:40:47"/>
    <s v="P3"/>
    <x v="0"/>
    <s v="Billing Operations"/>
    <s v="Jim Halpert"/>
    <s v="Closed"/>
    <n v="5"/>
    <n v="24"/>
    <n v="15.73"/>
    <n v="1"/>
  </r>
  <r>
    <s v="TCK-14319"/>
    <s v="2024-05-07 08:03:15"/>
    <s v="2024-05-08 12:38:48"/>
    <s v="P4"/>
    <x v="2"/>
    <s v="L1 Support"/>
    <s v="Priya Nair"/>
    <s v="Resolved"/>
    <n v="4"/>
    <n v="48"/>
    <n v="28.59"/>
    <n v="1"/>
  </r>
  <r>
    <s v="TCK-14320"/>
    <s v="2024-11-15 15:44:07"/>
    <m/>
    <s v="P4"/>
    <x v="2"/>
    <s v="Infrastructure"/>
    <s v="Jim Halpert"/>
    <s v="Open"/>
    <m/>
    <n v="48"/>
    <m/>
    <m/>
  </r>
  <r>
    <s v="TCK-14321"/>
    <s v="2024-04-29 08:57:45"/>
    <s v="2024-04-30 01:18:58"/>
    <s v="P3"/>
    <x v="2"/>
    <s v="L2 Support"/>
    <s v="Anita Sharma"/>
    <s v="Resolved"/>
    <n v="5"/>
    <n v="24"/>
    <n v="16.350000000000001"/>
    <n v="1"/>
  </r>
  <r>
    <s v="TCK-14322"/>
    <s v="2024-02-23 16:33:02"/>
    <m/>
    <s v="P3"/>
    <x v="0"/>
    <s v="L1 Support"/>
    <s v="Dwight Schrute"/>
    <s v="Escalated"/>
    <m/>
    <n v="24"/>
    <m/>
    <m/>
  </r>
  <r>
    <s v="TCK-14323"/>
    <s v="2024-06-27 00:54:05"/>
    <s v="2024-06-27 11:20:48"/>
    <s v="P2"/>
    <x v="2"/>
    <s v="Billing Operations"/>
    <s v="Alex Mercer"/>
    <s v="Resolved"/>
    <n v="4"/>
    <n v="8"/>
    <n v="10.45"/>
    <n v="0"/>
  </r>
  <r>
    <s v="TCK-14324"/>
    <s v="2024-11-13 12:36:42"/>
    <s v="2024-11-16 20:17:25"/>
    <s v="P4"/>
    <x v="0"/>
    <s v="Billing Operations"/>
    <s v="Alex Mercer"/>
    <s v="Closed"/>
    <n v="3"/>
    <n v="48"/>
    <n v="79.680000000000007"/>
    <n v="0"/>
  </r>
  <r>
    <s v="TCK-14325"/>
    <s v="2024-09-19 21:40:54"/>
    <m/>
    <s v="P4"/>
    <x v="0"/>
    <s v="L2 Support"/>
    <s v="Ravi Patel"/>
    <s v="Open"/>
    <m/>
    <n v="48"/>
    <m/>
    <m/>
  </r>
  <r>
    <s v="TCK-14326"/>
    <s v="2024-06-25 17:25:07"/>
    <s v="2024-06-25 22:31:45"/>
    <s v="P2"/>
    <x v="4"/>
    <s v="L1 Support"/>
    <s v="Pam Beesly"/>
    <s v="Closed"/>
    <n v="5"/>
    <n v="8"/>
    <n v="5.1100000000000003"/>
    <n v="1"/>
  </r>
  <r>
    <s v="TCK-14327"/>
    <s v="2024-10-11 05:30:14"/>
    <s v="2024-10-11 10:58:27"/>
    <s v="P3"/>
    <x v="1"/>
    <s v="Infrastructure"/>
    <s v="Priya Nair"/>
    <s v="Resolved"/>
    <n v="3"/>
    <n v="24"/>
    <n v="5.47"/>
    <n v="1"/>
  </r>
  <r>
    <s v="TCK-14328"/>
    <s v="2024-05-11 01:10:07"/>
    <s v="2024-05-11 04:18:45"/>
    <s v="P3"/>
    <x v="2"/>
    <s v="L2 Support"/>
    <s v="Anita Sharma"/>
    <s v="Resolved"/>
    <n v="4"/>
    <n v="24"/>
    <n v="3.14"/>
    <n v="1"/>
  </r>
  <r>
    <s v="TCK-14329"/>
    <s v="2024-03-14 13:58:40"/>
    <s v="2024-03-14 22:01:07"/>
    <s v="P3"/>
    <x v="4"/>
    <s v="Infrastructure"/>
    <s v="Emily Watson"/>
    <s v="Closed"/>
    <n v="4"/>
    <n v="24"/>
    <n v="8.0399999999999991"/>
    <n v="1"/>
  </r>
  <r>
    <s v="TCK-14330"/>
    <s v="2024-09-07 03:06:18"/>
    <s v="2024-09-07 11:05:15"/>
    <s v="P3"/>
    <x v="2"/>
    <s v="Billing Operations"/>
    <s v="Ravi Patel"/>
    <s v="Closed"/>
    <n v="4"/>
    <n v="24"/>
    <n v="7.98"/>
    <n v="1"/>
  </r>
  <r>
    <s v="TCK-14331"/>
    <s v="2024-02-25 03:33:04"/>
    <s v="2024-02-25 08:56:31"/>
    <s v="P4"/>
    <x v="2"/>
    <s v="L2 Support"/>
    <s v="Pam Beesly"/>
    <s v="Resolved"/>
    <n v="5"/>
    <n v="48"/>
    <n v="5.39"/>
    <n v="1"/>
  </r>
  <r>
    <s v="TCK-14332"/>
    <s v="2024-08-21 10:43:31"/>
    <s v="2024-08-21 17:55:08"/>
    <s v="P2"/>
    <x v="0"/>
    <s v="L2 Support"/>
    <s v="Ravi Patel"/>
    <s v="Resolved"/>
    <n v="5"/>
    <n v="8"/>
    <n v="7.19"/>
    <n v="1"/>
  </r>
  <r>
    <s v="TCK-14333"/>
    <s v="2024-11-03 14:40:46"/>
    <s v="2024-11-03 18:50:04"/>
    <s v="P3"/>
    <x v="1"/>
    <s v="Infrastructure"/>
    <s v="Alex Mercer"/>
    <s v="Resolved"/>
    <n v="5"/>
    <n v="24"/>
    <n v="4.16"/>
    <n v="1"/>
  </r>
  <r>
    <s v="TCK-14334"/>
    <s v="2024-01-06 00:04:39"/>
    <s v="2024-01-06 16:32:32"/>
    <s v="P3"/>
    <x v="1"/>
    <s v="Billing Operations"/>
    <s v="John Doe"/>
    <s v="Resolved"/>
    <n v="5"/>
    <n v="24"/>
    <n v="16.46"/>
    <n v="1"/>
  </r>
  <r>
    <s v="TCK-14335"/>
    <s v="2024-02-20 12:24:18"/>
    <s v="2024-02-20 23:47:52"/>
    <s v="P3"/>
    <x v="2"/>
    <s v="L2 Support"/>
    <s v="Dwight Schrute"/>
    <s v="Resolved"/>
    <n v="3"/>
    <n v="24"/>
    <n v="11.39"/>
    <n v="1"/>
  </r>
  <r>
    <s v="TCK-14336"/>
    <s v="2024-02-19 18:16:39"/>
    <s v="2024-02-19 22:51:17"/>
    <s v="P3"/>
    <x v="2"/>
    <s v="L2 Support"/>
    <s v="Pam Beesly"/>
    <s v="Resolved"/>
    <n v="4"/>
    <n v="24"/>
    <n v="4.58"/>
    <n v="1"/>
  </r>
  <r>
    <s v="TCK-14337"/>
    <s v="2024-02-08 03:07:35"/>
    <s v="2024-02-08 07:52:15"/>
    <s v="P2"/>
    <x v="2"/>
    <s v="Application Support"/>
    <s v="Sarah Connor"/>
    <s v="Resolved"/>
    <n v="5"/>
    <n v="8"/>
    <n v="4.74"/>
    <n v="1"/>
  </r>
  <r>
    <s v="TCK-14338"/>
    <s v="2024-08-12 10:58:07"/>
    <s v="2024-08-12 16:12:03"/>
    <s v="P3"/>
    <x v="1"/>
    <s v="Infrastructure"/>
    <s v="John Doe"/>
    <s v="Resolved"/>
    <n v="3"/>
    <n v="24"/>
    <n v="5.23"/>
    <n v="1"/>
  </r>
  <r>
    <s v="TCK-14339"/>
    <s v="2024-01-24 04:42:00"/>
    <s v="2024-01-25 03:18:57"/>
    <s v="P4"/>
    <x v="1"/>
    <s v="Infrastructure"/>
    <s v="Emily Watson"/>
    <s v="Closed"/>
    <n v="4"/>
    <n v="48"/>
    <n v="22.62"/>
    <n v="1"/>
  </r>
  <r>
    <s v="TCK-14340"/>
    <s v="2024-11-28 06:10:34"/>
    <s v="2024-11-28 17:41:02"/>
    <s v="P3"/>
    <x v="4"/>
    <s v="Infrastructure"/>
    <s v="Ravi Patel"/>
    <s v="Resolved"/>
    <n v="4"/>
    <n v="24"/>
    <n v="11.51"/>
    <n v="1"/>
  </r>
  <r>
    <s v="TCK-14341"/>
    <s v="2024-10-01 01:43:58"/>
    <s v="2024-10-04 00:49:22"/>
    <s v="P4"/>
    <x v="3"/>
    <s v="L2 Support"/>
    <s v="Anita Sharma"/>
    <s v="Closed"/>
    <n v="4"/>
    <n v="48"/>
    <n v="71.09"/>
    <n v="0"/>
  </r>
  <r>
    <s v="TCK-14342"/>
    <s v="2024-09-24 18:44:17"/>
    <s v="2024-09-25 13:12:11"/>
    <s v="P3"/>
    <x v="1"/>
    <s v="Application Support"/>
    <s v="Pam Beesly"/>
    <s v="Closed"/>
    <n v="4"/>
    <n v="24"/>
    <n v="18.46"/>
    <n v="1"/>
  </r>
  <r>
    <s v="TCK-14343"/>
    <s v="2024-09-16 17:48:55"/>
    <s v="2024-09-18 12:59:02"/>
    <s v="P4"/>
    <x v="4"/>
    <s v="L2 Support"/>
    <s v="Sarah Connor"/>
    <s v="Closed"/>
    <n v="4"/>
    <n v="48"/>
    <n v="43.17"/>
    <n v="1"/>
  </r>
  <r>
    <s v="TCK-14344"/>
    <s v="2024-03-10 04:19:33"/>
    <s v="2024-03-10 05:01:40"/>
    <s v="P1"/>
    <x v="4"/>
    <s v="Application Support"/>
    <s v="Carlos Mendez"/>
    <s v="Closed"/>
    <n v="3"/>
    <n v="4"/>
    <n v="0.7"/>
    <n v="1"/>
  </r>
  <r>
    <s v="TCK-14345"/>
    <s v="2024-04-17 13:29:44"/>
    <s v="2024-04-18 02:52:27"/>
    <s v="P4"/>
    <x v="1"/>
    <s v="Infrastructure"/>
    <s v="Emily Watson"/>
    <s v="Resolved"/>
    <n v="4"/>
    <n v="48"/>
    <n v="13.38"/>
    <n v="1"/>
  </r>
  <r>
    <s v="TCK-14346"/>
    <s v="2024-10-29 12:45:53"/>
    <s v="2024-10-30 06:40:18"/>
    <s v="P3"/>
    <x v="0"/>
    <s v="Billing Operations"/>
    <s v="Sarah Connor"/>
    <s v="Resolved"/>
    <n v="5"/>
    <n v="24"/>
    <n v="17.91"/>
    <n v="1"/>
  </r>
  <r>
    <s v="TCK-14347"/>
    <s v="2024-01-04 05:29:25"/>
    <m/>
    <s v="P3"/>
    <x v="2"/>
    <s v="L2 Support"/>
    <s v="John Doe"/>
    <s v="Open"/>
    <m/>
    <n v="24"/>
    <m/>
    <m/>
  </r>
  <r>
    <s v="TCK-14348"/>
    <s v="2024-06-20 18:29:17"/>
    <s v="2024-06-21 09:40:58"/>
    <s v="P3"/>
    <x v="2"/>
    <s v="Infrastructure"/>
    <s v="John Doe"/>
    <s v="Resolved"/>
    <n v="5"/>
    <n v="24"/>
    <n v="15.19"/>
    <n v="1"/>
  </r>
  <r>
    <s v="TCK-14349"/>
    <s v="2024-12-23 15:48:29"/>
    <s v="2024-12-25 01:49:23"/>
    <s v="P3"/>
    <x v="2"/>
    <s v="Application Support"/>
    <s v="Sarah Connor"/>
    <s v="Resolved"/>
    <n v="3"/>
    <n v="24"/>
    <n v="34.020000000000003"/>
    <n v="0"/>
  </r>
  <r>
    <s v="TCK-14350"/>
    <s v="2024-03-26 00:20:54"/>
    <s v="2024-03-26 04:03:53"/>
    <s v="P1"/>
    <x v="1"/>
    <s v="L1 Support"/>
    <s v="Alex Mercer"/>
    <s v="Closed"/>
    <n v="4"/>
    <n v="4"/>
    <n v="3.72"/>
    <n v="1"/>
  </r>
  <r>
    <s v="TCK-14351"/>
    <s v="2024-10-11 04:20:06"/>
    <s v="2024-10-12 00:13:04"/>
    <s v="P4"/>
    <x v="3"/>
    <s v="Application Support"/>
    <s v="Dwight Schrute"/>
    <s v="Closed"/>
    <n v="4"/>
    <n v="48"/>
    <n v="19.88"/>
    <n v="1"/>
  </r>
  <r>
    <s v="TCK-14352"/>
    <s v="2024-07-05 12:39:02"/>
    <s v="2024-07-05 18:54:49"/>
    <s v="P2"/>
    <x v="3"/>
    <s v="Application Support"/>
    <s v="Carlos Mendez"/>
    <s v="Resolved"/>
    <n v="5"/>
    <n v="8"/>
    <n v="6.26"/>
    <n v="1"/>
  </r>
  <r>
    <s v="TCK-14353"/>
    <s v="2024-03-26 20:35:34"/>
    <s v="2024-03-27 15:26:49"/>
    <s v="P2"/>
    <x v="2"/>
    <s v="Application Support"/>
    <s v="Pam Beesly"/>
    <s v="Closed"/>
    <n v="3"/>
    <n v="8"/>
    <n v="18.850000000000001"/>
    <n v="0"/>
  </r>
  <r>
    <s v="TCK-14354"/>
    <s v="2024-07-24 12:41:24"/>
    <s v="2024-07-24 14:51:17"/>
    <s v="P2"/>
    <x v="0"/>
    <s v="L1 Support"/>
    <s v="Pam Beesly"/>
    <s v="Resolved"/>
    <n v="4"/>
    <n v="8"/>
    <n v="2.16"/>
    <n v="1"/>
  </r>
  <r>
    <s v="TCK-14355"/>
    <s v="2024-05-01 17:43:25"/>
    <s v="2024-05-02 13:19:24"/>
    <s v="P3"/>
    <x v="2"/>
    <s v="L1 Support"/>
    <s v="Ravi Patel"/>
    <s v="Resolved"/>
    <n v="4"/>
    <n v="24"/>
    <n v="19.600000000000001"/>
    <n v="1"/>
  </r>
  <r>
    <s v="TCK-14356"/>
    <s v="2024-08-09 06:21:32"/>
    <m/>
    <s v="P3"/>
    <x v="2"/>
    <s v="Billing Operations"/>
    <s v="Pam Beesly"/>
    <s v="Open"/>
    <m/>
    <n v="24"/>
    <m/>
    <m/>
  </r>
  <r>
    <s v="TCK-14357"/>
    <s v="2024-06-07 22:27:10"/>
    <m/>
    <s v="P2"/>
    <x v="2"/>
    <s v="L1 Support"/>
    <s v="Carlos Mendez"/>
    <s v="Open"/>
    <m/>
    <n v="8"/>
    <m/>
    <m/>
  </r>
  <r>
    <s v="TCK-14358"/>
    <s v="2024-12-22 23:53:52"/>
    <s v="2024-12-24 15:05:32"/>
    <s v="P4"/>
    <x v="0"/>
    <s v="Application Support"/>
    <s v="Priya Nair"/>
    <s v="Resolved"/>
    <n v="5"/>
    <n v="48"/>
    <n v="39.19"/>
    <n v="1"/>
  </r>
  <r>
    <s v="TCK-14359"/>
    <s v="2024-07-19 15:57:00"/>
    <s v="2024-07-20 02:20:41"/>
    <s v="P2"/>
    <x v="1"/>
    <s v="L1 Support"/>
    <s v="Anita Sharma"/>
    <s v="Resolved"/>
    <n v="1"/>
    <n v="8"/>
    <n v="10.39"/>
    <n v="0"/>
  </r>
  <r>
    <s v="TCK-14360"/>
    <s v="2024-04-13 11:14:50"/>
    <s v="2024-04-13 15:07:43"/>
    <s v="P2"/>
    <x v="2"/>
    <s v="Billing Operations"/>
    <s v="Carlos Mendez"/>
    <s v="Resolved"/>
    <n v="4"/>
    <n v="8"/>
    <n v="3.88"/>
    <n v="1"/>
  </r>
  <r>
    <s v="TCK-14361"/>
    <s v="2024-07-07 13:28:43"/>
    <s v="2024-07-07 20:14:39"/>
    <s v="P3"/>
    <x v="1"/>
    <s v="L1 Support"/>
    <s v="Michael Scott"/>
    <s v="Resolved"/>
    <n v="4"/>
    <n v="24"/>
    <n v="6.77"/>
    <n v="1"/>
  </r>
  <r>
    <s v="TCK-14362"/>
    <s v="2024-11-24 23:39:32"/>
    <s v="2024-11-25 04:58:15"/>
    <s v="P3"/>
    <x v="2"/>
    <s v="L2 Support"/>
    <s v="Dwight Schrute"/>
    <s v="Resolved"/>
    <n v="3"/>
    <n v="24"/>
    <n v="5.31"/>
    <n v="1"/>
  </r>
  <r>
    <s v="TCK-14363"/>
    <s v="2024-10-29 22:19:39"/>
    <s v="2024-10-30 03:14:56"/>
    <s v="P2"/>
    <x v="3"/>
    <s v="L2 Support"/>
    <s v="Michael Scott"/>
    <s v="Closed"/>
    <n v="4"/>
    <n v="8"/>
    <n v="4.92"/>
    <n v="1"/>
  </r>
  <r>
    <s v="TCK-14364"/>
    <s v="2024-09-05 02:13:51"/>
    <s v="2024-09-05 09:56:27"/>
    <s v="P3"/>
    <x v="1"/>
    <s v="Infrastructure"/>
    <s v="Anita Sharma"/>
    <s v="Resolved"/>
    <n v="4"/>
    <n v="24"/>
    <n v="7.71"/>
    <n v="1"/>
  </r>
  <r>
    <s v="TCK-14365"/>
    <s v="2024-06-17 07:21:32"/>
    <s v="2024-06-19 06:27:13"/>
    <s v="P3"/>
    <x v="3"/>
    <s v="Infrastructure"/>
    <s v="Emily Watson"/>
    <s v="Closed"/>
    <n v="4"/>
    <n v="24"/>
    <n v="47.09"/>
    <n v="0"/>
  </r>
  <r>
    <s v="TCK-14366"/>
    <s v="2024-09-13 08:28:36"/>
    <s v="2024-09-13 15:19:43"/>
    <s v="P4"/>
    <x v="2"/>
    <s v="Application Support"/>
    <s v="Jim Halpert"/>
    <s v="Resolved"/>
    <n v="5"/>
    <n v="48"/>
    <n v="6.85"/>
    <n v="1"/>
  </r>
  <r>
    <s v="TCK-14367"/>
    <s v="2024-07-15 18:12:36"/>
    <s v="2024-07-15 22:49:53"/>
    <s v="P2"/>
    <x v="2"/>
    <s v="Application Support"/>
    <s v="Jim Halpert"/>
    <s v="Resolved"/>
    <n v="4"/>
    <n v="8"/>
    <n v="4.62"/>
    <n v="1"/>
  </r>
  <r>
    <s v="TCK-14368"/>
    <s v="2024-09-23 01:59:16"/>
    <s v="2024-09-24 03:24:52"/>
    <s v="P4"/>
    <x v="3"/>
    <s v="Billing Operations"/>
    <s v="Carlos Mendez"/>
    <s v="Resolved"/>
    <n v="5"/>
    <n v="48"/>
    <n v="25.43"/>
    <n v="1"/>
  </r>
  <r>
    <s v="TCK-14369"/>
    <s v="2024-10-16 01:01:08"/>
    <s v="2024-10-16 19:28:34"/>
    <s v="P3"/>
    <x v="0"/>
    <s v="Billing Operations"/>
    <s v="Pam Beesly"/>
    <s v="Resolved"/>
    <n v="4"/>
    <n v="24"/>
    <n v="18.46"/>
    <n v="1"/>
  </r>
  <r>
    <s v="TCK-14370"/>
    <s v="2024-08-10 00:50:20"/>
    <s v="2024-08-10 19:42:20"/>
    <s v="P3"/>
    <x v="1"/>
    <s v="Application Support"/>
    <s v="Anita Sharma"/>
    <s v="Closed"/>
    <n v="5"/>
    <n v="24"/>
    <n v="18.87"/>
    <n v="1"/>
  </r>
  <r>
    <s v="TCK-14371"/>
    <s v="2024-05-07 11:32:13"/>
    <s v="2024-05-08 06:49:34"/>
    <s v="P3"/>
    <x v="0"/>
    <s v="Application Support"/>
    <s v="Emily Watson"/>
    <s v="Closed"/>
    <n v="4"/>
    <n v="24"/>
    <n v="19.29"/>
    <n v="1"/>
  </r>
  <r>
    <s v="TCK-14372"/>
    <s v="2024-07-29 03:56:06"/>
    <m/>
    <s v="P4"/>
    <x v="3"/>
    <s v="L2 Support"/>
    <s v="Dwight Schrute"/>
    <s v="Escalated"/>
    <m/>
    <n v="48"/>
    <m/>
    <m/>
  </r>
  <r>
    <s v="TCK-14373"/>
    <s v="2024-10-09 22:14:29"/>
    <s v="2024-10-10 05:46:12"/>
    <s v="P3"/>
    <x v="2"/>
    <s v="L2 Support"/>
    <s v="Carlos Mendez"/>
    <s v="Closed"/>
    <n v="5"/>
    <n v="24"/>
    <n v="7.53"/>
    <n v="1"/>
  </r>
  <r>
    <s v="TCK-14374"/>
    <s v="2024-06-16 11:50:20"/>
    <m/>
    <s v="P3"/>
    <x v="1"/>
    <s v="Infrastructure"/>
    <s v="Sarah Connor"/>
    <s v="Open"/>
    <m/>
    <n v="24"/>
    <m/>
    <m/>
  </r>
  <r>
    <s v="TCK-14375"/>
    <s v="2024-04-26 04:00:17"/>
    <s v="2024-04-26 16:52:26"/>
    <s v="P3"/>
    <x v="0"/>
    <s v="L1 Support"/>
    <s v="Ravi Patel"/>
    <s v="Resolved"/>
    <n v="4"/>
    <n v="24"/>
    <n v="12.87"/>
    <n v="1"/>
  </r>
  <r>
    <s v="TCK-14376"/>
    <s v="2024-11-12 08:45:03"/>
    <s v="2024-11-13 07:08:22"/>
    <s v="P3"/>
    <x v="0"/>
    <s v="Billing Operations"/>
    <s v="Priya Nair"/>
    <s v="Resolved"/>
    <n v="5"/>
    <n v="24"/>
    <n v="22.39"/>
    <n v="1"/>
  </r>
  <r>
    <s v="TCK-14377"/>
    <s v="2024-04-15 21:43:27"/>
    <s v="2024-04-17 11:00:49"/>
    <s v="P4"/>
    <x v="3"/>
    <s v="Infrastructure"/>
    <s v="Alex Mercer"/>
    <s v="Closed"/>
    <n v="5"/>
    <n v="48"/>
    <n v="37.29"/>
    <n v="1"/>
  </r>
  <r>
    <s v="TCK-14378"/>
    <s v="2024-12-19 09:13:00"/>
    <s v="2024-12-19 13:23:05"/>
    <s v="P3"/>
    <x v="1"/>
    <s v="Application Support"/>
    <s v="Anita Sharma"/>
    <s v="Closed"/>
    <n v="5"/>
    <n v="24"/>
    <n v="4.17"/>
    <n v="1"/>
  </r>
  <r>
    <s v="TCK-14379"/>
    <s v="2024-04-16 09:13:18"/>
    <s v="2024-04-16 09:58:00"/>
    <s v="P1"/>
    <x v="3"/>
    <s v="Billing Operations"/>
    <s v="Emily Watson"/>
    <s v="Closed"/>
    <n v="4"/>
    <n v="4"/>
    <n v="0.74"/>
    <n v="1"/>
  </r>
  <r>
    <s v="TCK-14380"/>
    <s v="2024-01-12 01:48:12"/>
    <s v="2024-01-12 08:04:26"/>
    <s v="P2"/>
    <x v="3"/>
    <s v="L2 Support"/>
    <s v="Michael Scott"/>
    <s v="Resolved"/>
    <n v="5"/>
    <n v="8"/>
    <n v="6.27"/>
    <n v="1"/>
  </r>
  <r>
    <s v="TCK-14381"/>
    <s v="2024-11-03 03:12:00"/>
    <m/>
    <s v="P4"/>
    <x v="2"/>
    <s v="Application Support"/>
    <s v="Anita Sharma"/>
    <s v="Escalated"/>
    <m/>
    <n v="48"/>
    <m/>
    <m/>
  </r>
  <r>
    <s v="TCK-14382"/>
    <s v="2024-04-06 12:45:09"/>
    <s v="2024-04-07 21:26:16"/>
    <s v="P3"/>
    <x v="0"/>
    <s v="L1 Support"/>
    <s v="Sarah Connor"/>
    <s v="Closed"/>
    <n v="3"/>
    <n v="24"/>
    <n v="32.69"/>
    <n v="0"/>
  </r>
  <r>
    <s v="TCK-14383"/>
    <s v="2024-01-31 03:37:51"/>
    <s v="2024-01-31 10:56:10"/>
    <s v="P3"/>
    <x v="1"/>
    <s v="Infrastructure"/>
    <s v="John Doe"/>
    <s v="Resolved"/>
    <n v="3"/>
    <n v="24"/>
    <n v="7.31"/>
    <n v="1"/>
  </r>
  <r>
    <s v="TCK-14384"/>
    <s v="2024-02-29 07:50:02"/>
    <s v="2024-02-29 13:15:01"/>
    <s v="P2"/>
    <x v="4"/>
    <s v="L2 Support"/>
    <s v="Jim Halpert"/>
    <s v="Closed"/>
    <n v="4"/>
    <n v="8"/>
    <n v="5.42"/>
    <n v="1"/>
  </r>
  <r>
    <s v="TCK-14385"/>
    <s v="2024-01-03 05:23:53"/>
    <s v="2024-01-03 19:00:10"/>
    <s v="P3"/>
    <x v="1"/>
    <s v="L2 Support"/>
    <s v="Dwight Schrute"/>
    <s v="Resolved"/>
    <n v="5"/>
    <n v="24"/>
    <n v="13.6"/>
    <n v="1"/>
  </r>
  <r>
    <s v="TCK-14386"/>
    <s v="2024-07-07 06:20:08"/>
    <s v="2024-07-07 12:54:11"/>
    <s v="P2"/>
    <x v="0"/>
    <s v="L2 Support"/>
    <s v="Anita Sharma"/>
    <s v="Resolved"/>
    <n v="4"/>
    <n v="8"/>
    <n v="6.57"/>
    <n v="1"/>
  </r>
  <r>
    <s v="TCK-14387"/>
    <s v="2024-09-14 20:24:55"/>
    <m/>
    <s v="P3"/>
    <x v="2"/>
    <s v="Infrastructure"/>
    <s v="Jim Halpert"/>
    <s v="Open"/>
    <m/>
    <n v="24"/>
    <m/>
    <m/>
  </r>
  <r>
    <s v="TCK-14388"/>
    <s v="2024-09-28 05:03:29"/>
    <s v="2024-09-29 03:48:38"/>
    <s v="P3"/>
    <x v="1"/>
    <s v="L1 Support"/>
    <s v="Priya Nair"/>
    <s v="Resolved"/>
    <n v="5"/>
    <n v="24"/>
    <n v="22.75"/>
    <n v="1"/>
  </r>
  <r>
    <s v="TCK-14389"/>
    <s v="2024-06-29 02:40:01"/>
    <m/>
    <s v="P3"/>
    <x v="2"/>
    <s v="L2 Support"/>
    <s v="John Doe"/>
    <s v="Open"/>
    <m/>
    <n v="24"/>
    <m/>
    <m/>
  </r>
  <r>
    <s v="TCK-14390"/>
    <s v="2024-11-26 09:58:39"/>
    <m/>
    <s v="P2"/>
    <x v="2"/>
    <s v="L2 Support"/>
    <s v="Ravi Patel"/>
    <s v="Open"/>
    <m/>
    <n v="8"/>
    <m/>
    <m/>
  </r>
  <r>
    <s v="TCK-14391"/>
    <s v="2024-07-06 02:52:03"/>
    <s v="2024-07-06 07:52:31"/>
    <s v="P2"/>
    <x v="4"/>
    <s v="Infrastructure"/>
    <s v="Michael Scott"/>
    <s v="Closed"/>
    <n v="4"/>
    <n v="8"/>
    <n v="5.01"/>
    <n v="1"/>
  </r>
  <r>
    <s v="TCK-14392"/>
    <s v="2024-08-31 14:03:43"/>
    <s v="2024-08-31 16:16:27"/>
    <s v="P1"/>
    <x v="0"/>
    <s v="Billing Operations"/>
    <s v="Dwight Schrute"/>
    <s v="Resolved"/>
    <n v="4"/>
    <n v="4"/>
    <n v="2.21"/>
    <n v="1"/>
  </r>
  <r>
    <s v="TCK-14393"/>
    <s v="2024-01-14 05:14:53"/>
    <s v="2024-01-15 07:15:02"/>
    <s v="P4"/>
    <x v="2"/>
    <s v="Billing Operations"/>
    <s v="Emily Watson"/>
    <s v="Closed"/>
    <n v="5"/>
    <n v="48"/>
    <n v="26"/>
    <n v="1"/>
  </r>
  <r>
    <s v="TCK-14394"/>
    <s v="2024-07-31 02:42:48"/>
    <s v="2024-08-02 20:48:46"/>
    <s v="P4"/>
    <x v="2"/>
    <s v="Billing Operations"/>
    <s v="Carlos Mendez"/>
    <s v="Resolved"/>
    <n v="2"/>
    <n v="48"/>
    <n v="66.099999999999994"/>
    <n v="0"/>
  </r>
  <r>
    <s v="TCK-14395"/>
    <s v="2024-09-21 21:50:01"/>
    <s v="2024-09-21 22:29:32"/>
    <s v="P1"/>
    <x v="2"/>
    <s v="Billing Operations"/>
    <s v="Priya Nair"/>
    <s v="Resolved"/>
    <n v="4"/>
    <n v="4"/>
    <n v="0.66"/>
    <n v="1"/>
  </r>
  <r>
    <s v="TCK-14396"/>
    <s v="2024-09-22 16:16:06"/>
    <s v="2024-09-23 12:23:41"/>
    <s v="P3"/>
    <x v="2"/>
    <s v="Application Support"/>
    <s v="Jim Halpert"/>
    <s v="Resolved"/>
    <n v="5"/>
    <n v="24"/>
    <n v="20.13"/>
    <n v="1"/>
  </r>
  <r>
    <s v="TCK-14397"/>
    <s v="2024-02-04 14:37:21"/>
    <s v="2024-02-04 19:01:14"/>
    <s v="P2"/>
    <x v="1"/>
    <s v="Application Support"/>
    <s v="Anita Sharma"/>
    <s v="Resolved"/>
    <n v="5"/>
    <n v="8"/>
    <n v="4.4000000000000004"/>
    <n v="1"/>
  </r>
  <r>
    <s v="TCK-14398"/>
    <s v="2024-03-24 20:55:30"/>
    <s v="2024-03-25 00:45:26"/>
    <s v="P2"/>
    <x v="2"/>
    <s v="L1 Support"/>
    <s v="Sarah Connor"/>
    <s v="Closed"/>
    <n v="4"/>
    <n v="8"/>
    <n v="3.83"/>
    <n v="1"/>
  </r>
  <r>
    <s v="TCK-14399"/>
    <s v="2024-11-08 06:24:38"/>
    <s v="2024-11-09 07:56:27"/>
    <s v="P3"/>
    <x v="4"/>
    <s v="Billing Operations"/>
    <s v="Jim Halpert"/>
    <s v="Closed"/>
    <n v="2"/>
    <n v="24"/>
    <n v="25.53"/>
    <n v="0"/>
  </r>
  <r>
    <s v="TCK-14400"/>
    <s v="2024-05-09 16:38:58"/>
    <s v="2024-05-09 17:33:23"/>
    <s v="P2"/>
    <x v="2"/>
    <s v="Infrastructure"/>
    <s v="John Doe"/>
    <s v="Resolved"/>
    <n v="4"/>
    <n v="8"/>
    <n v="0.91"/>
    <n v="1"/>
  </r>
  <r>
    <s v="TCK-14401"/>
    <s v="2024-08-27 02:16:27"/>
    <s v="2024-08-27 23:57:38"/>
    <s v="P3"/>
    <x v="1"/>
    <s v="Infrastructure"/>
    <s v="Emily Watson"/>
    <s v="Closed"/>
    <n v="3"/>
    <n v="24"/>
    <n v="21.69"/>
    <n v="1"/>
  </r>
  <r>
    <s v="TCK-14402"/>
    <s v="2024-11-03 21:25:26"/>
    <s v="2024-11-04 01:15:57"/>
    <s v="P2"/>
    <x v="3"/>
    <s v="Infrastructure"/>
    <s v="Sarah Connor"/>
    <s v="Resolved"/>
    <n v="5"/>
    <n v="8"/>
    <n v="3.84"/>
    <n v="1"/>
  </r>
  <r>
    <s v="TCK-14403"/>
    <s v="2024-01-02 08:30:07"/>
    <s v="2024-01-04 06:36:06"/>
    <s v="P3"/>
    <x v="2"/>
    <s v="L2 Support"/>
    <s v="Ravi Patel"/>
    <s v="Resolved"/>
    <n v="1"/>
    <n v="24"/>
    <n v="46.1"/>
    <n v="0"/>
  </r>
  <r>
    <s v="TCK-14404"/>
    <s v="2024-07-12 04:23:56"/>
    <s v="2024-07-12 20:09:42"/>
    <s v="P3"/>
    <x v="2"/>
    <s v="Billing Operations"/>
    <s v="Dwight Schrute"/>
    <s v="Resolved"/>
    <n v="4"/>
    <n v="24"/>
    <n v="15.76"/>
    <n v="1"/>
  </r>
  <r>
    <s v="TCK-14405"/>
    <s v="2024-01-10 12:52:01"/>
    <s v="2024-01-10 21:50:03"/>
    <s v="P3"/>
    <x v="2"/>
    <s v="Infrastructure"/>
    <s v="Alex Mercer"/>
    <s v="Resolved"/>
    <n v="5"/>
    <n v="24"/>
    <n v="8.9700000000000006"/>
    <n v="1"/>
  </r>
  <r>
    <s v="TCK-14406"/>
    <s v="2024-01-04 08:30:03"/>
    <s v="2024-01-04 10:24:21"/>
    <s v="P1"/>
    <x v="4"/>
    <s v="Application Support"/>
    <s v="John Doe"/>
    <s v="Resolved"/>
    <n v="5"/>
    <n v="4"/>
    <n v="1.9"/>
    <n v="1"/>
  </r>
  <r>
    <s v="TCK-14407"/>
    <s v="2024-02-23 18:00:56"/>
    <s v="2024-02-23 20:38:15"/>
    <s v="P3"/>
    <x v="3"/>
    <s v="L1 Support"/>
    <s v="Priya Nair"/>
    <s v="Resolved"/>
    <n v="4"/>
    <n v="24"/>
    <n v="2.62"/>
    <n v="1"/>
  </r>
  <r>
    <s v="TCK-14408"/>
    <s v="2024-10-19 03:36:57"/>
    <s v="2024-10-19 07:01:21"/>
    <s v="P2"/>
    <x v="0"/>
    <s v="Infrastructure"/>
    <s v="Alex Mercer"/>
    <s v="Resolved"/>
    <n v="3"/>
    <n v="8"/>
    <n v="3.41"/>
    <n v="1"/>
  </r>
  <r>
    <s v="TCK-14409"/>
    <s v="2024-12-10 08:12:26"/>
    <s v="2024-12-10 11:55:02"/>
    <s v="P3"/>
    <x v="1"/>
    <s v="L1 Support"/>
    <s v="John Doe"/>
    <s v="Resolved"/>
    <n v="5"/>
    <n v="24"/>
    <n v="3.71"/>
    <n v="1"/>
  </r>
  <r>
    <s v="TCK-14410"/>
    <s v="2024-09-05 02:56:03"/>
    <s v="2024-09-05 18:58:02"/>
    <s v="P3"/>
    <x v="2"/>
    <s v="Application Support"/>
    <s v="Sarah Connor"/>
    <s v="Closed"/>
    <n v="4"/>
    <n v="24"/>
    <n v="16.03"/>
    <n v="1"/>
  </r>
  <r>
    <s v="TCK-14411"/>
    <s v="2024-05-16 21:33:25"/>
    <m/>
    <s v="P4"/>
    <x v="0"/>
    <s v="Billing Operations"/>
    <s v="Jim Halpert"/>
    <s v="Open"/>
    <m/>
    <n v="48"/>
    <m/>
    <m/>
  </r>
  <r>
    <s v="TCK-14412"/>
    <s v="2024-08-04 07:41:59"/>
    <s v="2024-08-04 15:17:38"/>
    <s v="P3"/>
    <x v="1"/>
    <s v="L1 Support"/>
    <s v="John Doe"/>
    <s v="Closed"/>
    <n v="3"/>
    <n v="24"/>
    <n v="7.59"/>
    <n v="1"/>
  </r>
  <r>
    <s v="TCK-14413"/>
    <s v="2024-10-14 01:13:54"/>
    <s v="2024-10-16 03:48:59"/>
    <s v="P3"/>
    <x v="1"/>
    <s v="Infrastructure"/>
    <s v="Ravi Patel"/>
    <s v="Closed"/>
    <n v="2"/>
    <n v="24"/>
    <n v="50.58"/>
    <n v="0"/>
  </r>
  <r>
    <s v="TCK-14414"/>
    <s v="2024-02-17 02:51:53"/>
    <s v="2024-02-17 13:33:53"/>
    <s v="P3"/>
    <x v="4"/>
    <s v="L1 Support"/>
    <s v="Michael Scott"/>
    <s v="Closed"/>
    <n v="5"/>
    <n v="24"/>
    <n v="10.7"/>
    <n v="1"/>
  </r>
  <r>
    <s v="TCK-14415"/>
    <s v="2024-06-05 12:00:11"/>
    <s v="2024-06-06 01:55:07"/>
    <s v="P3"/>
    <x v="2"/>
    <s v="L1 Support"/>
    <s v="Anita Sharma"/>
    <s v="Closed"/>
    <n v="5"/>
    <n v="24"/>
    <n v="13.92"/>
    <n v="1"/>
  </r>
  <r>
    <s v="TCK-14416"/>
    <s v="2024-02-07 18:49:24"/>
    <s v="2024-02-08 16:14:09"/>
    <s v="P3"/>
    <x v="3"/>
    <s v="L1 Support"/>
    <s v="Dwight Schrute"/>
    <s v="Resolved"/>
    <n v="4"/>
    <n v="24"/>
    <n v="21.41"/>
    <n v="1"/>
  </r>
  <r>
    <s v="TCK-14417"/>
    <s v="2024-06-30 13:58:14"/>
    <s v="2024-07-01 06:43:53"/>
    <s v="P3"/>
    <x v="1"/>
    <s v="L2 Support"/>
    <s v="Carlos Mendez"/>
    <s v="Resolved"/>
    <n v="4"/>
    <n v="24"/>
    <n v="16.760000000000002"/>
    <n v="1"/>
  </r>
  <r>
    <s v="TCK-14418"/>
    <s v="2024-03-30 15:46:59"/>
    <s v="2024-03-30 22:26:41"/>
    <s v="P2"/>
    <x v="2"/>
    <s v="L2 Support"/>
    <s v="Dwight Schrute"/>
    <s v="Resolved"/>
    <n v="5"/>
    <n v="8"/>
    <n v="6.66"/>
    <n v="1"/>
  </r>
  <r>
    <s v="TCK-14419"/>
    <s v="2024-01-24 08:53:25"/>
    <s v="2024-01-24 21:58:57"/>
    <s v="P3"/>
    <x v="2"/>
    <s v="Billing Operations"/>
    <s v="Carlos Mendez"/>
    <s v="Closed"/>
    <n v="5"/>
    <n v="24"/>
    <n v="13.09"/>
    <n v="1"/>
  </r>
  <r>
    <s v="TCK-14420"/>
    <s v="2024-10-31 17:55:14"/>
    <m/>
    <s v="P2"/>
    <x v="0"/>
    <s v="Application Support"/>
    <s v="John Doe"/>
    <s v="Escalated"/>
    <m/>
    <n v="8"/>
    <m/>
    <m/>
  </r>
  <r>
    <s v="TCK-14421"/>
    <s v="2024-03-07 21:32:17"/>
    <s v="2024-03-08 09:34:44"/>
    <s v="P3"/>
    <x v="0"/>
    <s v="L2 Support"/>
    <s v="Emily Watson"/>
    <s v="Closed"/>
    <n v="5"/>
    <n v="24"/>
    <n v="12.04"/>
    <n v="1"/>
  </r>
  <r>
    <s v="TCK-14422"/>
    <s v="2024-01-07 12:09:50"/>
    <s v="2024-01-07 17:29:33"/>
    <s v="P2"/>
    <x v="4"/>
    <s v="L1 Support"/>
    <s v="Anita Sharma"/>
    <s v="Resolved"/>
    <n v="4"/>
    <n v="8"/>
    <n v="5.33"/>
    <n v="1"/>
  </r>
  <r>
    <s v="TCK-14423"/>
    <s v="2024-08-23 20:18:23"/>
    <s v="2024-08-24 12:31:26"/>
    <s v="P3"/>
    <x v="2"/>
    <s v="Application Support"/>
    <s v="Michael Scott"/>
    <s v="Resolved"/>
    <n v="4"/>
    <n v="24"/>
    <n v="16.22"/>
    <n v="1"/>
  </r>
  <r>
    <s v="TCK-14424"/>
    <s v="2024-08-04 17:49:22"/>
    <s v="2024-08-04 22:43:18"/>
    <s v="P2"/>
    <x v="0"/>
    <s v="Application Support"/>
    <s v="Carlos Mendez"/>
    <s v="Resolved"/>
    <n v="5"/>
    <n v="8"/>
    <n v="4.9000000000000004"/>
    <n v="1"/>
  </r>
  <r>
    <s v="TCK-14425"/>
    <s v="2024-08-03 01:00:03"/>
    <s v="2024-08-03 23:24:20"/>
    <s v="P3"/>
    <x v="2"/>
    <s v="L2 Support"/>
    <s v="John Doe"/>
    <s v="Resolved"/>
    <n v="4"/>
    <n v="24"/>
    <n v="22.4"/>
    <n v="1"/>
  </r>
  <r>
    <s v="TCK-14426"/>
    <s v="2024-04-01 11:19:23"/>
    <s v="2024-04-05 04:11:37"/>
    <s v="P4"/>
    <x v="0"/>
    <s v="Application Support"/>
    <s v="Carlos Mendez"/>
    <s v="Resolved"/>
    <n v="1"/>
    <n v="48"/>
    <n v="88.87"/>
    <n v="0"/>
  </r>
  <r>
    <s v="TCK-14427"/>
    <s v="2024-04-15 06:09:50"/>
    <s v="2024-04-15 13:46:28"/>
    <s v="P3"/>
    <x v="1"/>
    <s v="L2 Support"/>
    <s v="Sarah Connor"/>
    <s v="Resolved"/>
    <n v="5"/>
    <n v="24"/>
    <n v="7.61"/>
    <n v="1"/>
  </r>
  <r>
    <s v="TCK-14428"/>
    <s v="2024-05-13 16:25:37"/>
    <s v="2024-05-14 09:30:35"/>
    <s v="P2"/>
    <x v="0"/>
    <s v="L2 Support"/>
    <s v="Jim Halpert"/>
    <s v="Resolved"/>
    <n v="1"/>
    <n v="8"/>
    <n v="17.079999999999998"/>
    <n v="0"/>
  </r>
  <r>
    <s v="TCK-14429"/>
    <s v="2024-03-25 15:58:41"/>
    <s v="2024-03-25 21:39:03"/>
    <s v="P2"/>
    <x v="2"/>
    <s v="Infrastructure"/>
    <s v="Michael Scott"/>
    <s v="Resolved"/>
    <n v="5"/>
    <n v="8"/>
    <n v="5.67"/>
    <n v="1"/>
  </r>
  <r>
    <s v="TCK-14430"/>
    <s v="2024-12-09 15:44:43"/>
    <m/>
    <s v="P3"/>
    <x v="2"/>
    <s v="Infrastructure"/>
    <s v="Michael Scott"/>
    <s v="Open"/>
    <m/>
    <n v="24"/>
    <m/>
    <m/>
  </r>
  <r>
    <s v="TCK-14431"/>
    <s v="2024-02-02 23:25:41"/>
    <s v="2024-02-03 06:13:16"/>
    <s v="P1"/>
    <x v="2"/>
    <s v="Infrastructure"/>
    <s v="Anita Sharma"/>
    <s v="Resolved"/>
    <n v="2"/>
    <n v="4"/>
    <n v="6.79"/>
    <n v="0"/>
  </r>
  <r>
    <s v="TCK-14432"/>
    <s v="2024-03-06 01:45:42"/>
    <s v="2024-03-06 16:55:15"/>
    <s v="P3"/>
    <x v="1"/>
    <s v="Billing Operations"/>
    <s v="Ravi Patel"/>
    <s v="Closed"/>
    <n v="4"/>
    <n v="24"/>
    <n v="15.16"/>
    <n v="1"/>
  </r>
  <r>
    <s v="TCK-14433"/>
    <s v="2024-04-02 14:56:15"/>
    <s v="2024-04-03 11:53:54"/>
    <s v="P3"/>
    <x v="0"/>
    <s v="L1 Support"/>
    <s v="John Doe"/>
    <s v="Closed"/>
    <n v="4"/>
    <n v="24"/>
    <n v="20.96"/>
    <n v="1"/>
  </r>
  <r>
    <s v="TCK-14434"/>
    <s v="2024-07-10 01:33:45"/>
    <s v="2024-07-10 16:07:32"/>
    <s v="P3"/>
    <x v="1"/>
    <s v="Infrastructure"/>
    <s v="Carlos Mendez"/>
    <s v="Resolved"/>
    <n v="5"/>
    <n v="24"/>
    <n v="14.56"/>
    <n v="1"/>
  </r>
  <r>
    <s v="TCK-14435"/>
    <s v="2024-06-21 01:13:29"/>
    <s v="2024-06-21 19:16:13"/>
    <s v="P2"/>
    <x v="2"/>
    <s v="L2 Support"/>
    <s v="Pam Beesly"/>
    <s v="Resolved"/>
    <n v="3"/>
    <n v="8"/>
    <n v="18.05"/>
    <n v="0"/>
  </r>
  <r>
    <s v="TCK-14436"/>
    <s v="2024-05-25 20:03:29"/>
    <s v="2024-05-26 07:56:17"/>
    <s v="P3"/>
    <x v="3"/>
    <s v="L1 Support"/>
    <s v="Pam Beesly"/>
    <s v="Resolved"/>
    <n v="5"/>
    <n v="24"/>
    <n v="11.88"/>
    <n v="1"/>
  </r>
  <r>
    <s v="TCK-14437"/>
    <s v="2024-04-11 17:32:25"/>
    <s v="2024-04-12 13:57:45"/>
    <s v="P3"/>
    <x v="4"/>
    <s v="L1 Support"/>
    <s v="Ravi Patel"/>
    <s v="Resolved"/>
    <n v="4"/>
    <n v="24"/>
    <n v="20.420000000000002"/>
    <n v="1"/>
  </r>
  <r>
    <s v="TCK-14438"/>
    <s v="2024-09-24 06:41:53"/>
    <s v="2024-09-24 19:31:05"/>
    <s v="P4"/>
    <x v="1"/>
    <s v="Application Support"/>
    <s v="Ravi Patel"/>
    <s v="Resolved"/>
    <n v="3"/>
    <n v="48"/>
    <n v="12.82"/>
    <n v="1"/>
  </r>
  <r>
    <s v="TCK-14439"/>
    <s v="2024-10-08 14:12:06"/>
    <m/>
    <s v="P3"/>
    <x v="1"/>
    <s v="Application Support"/>
    <s v="Michael Scott"/>
    <s v="Open"/>
    <m/>
    <n v="24"/>
    <m/>
    <m/>
  </r>
  <r>
    <s v="TCK-14440"/>
    <s v="2024-04-03 00:01:28"/>
    <s v="2024-04-03 22:34:31"/>
    <s v="P3"/>
    <x v="3"/>
    <s v="Application Support"/>
    <s v="John Doe"/>
    <s v="Resolved"/>
    <n v="5"/>
    <n v="24"/>
    <n v="22.55"/>
    <n v="1"/>
  </r>
  <r>
    <s v="TCK-14441"/>
    <s v="2024-12-23 23:33:39"/>
    <s v="2024-12-24 01:08:15"/>
    <s v="P2"/>
    <x v="2"/>
    <s v="Application Support"/>
    <s v="Jim Halpert"/>
    <s v="Closed"/>
    <n v="3"/>
    <n v="8"/>
    <n v="1.58"/>
    <n v="1"/>
  </r>
  <r>
    <s v="TCK-14442"/>
    <s v="2024-11-10 12:27:02"/>
    <s v="2024-11-10 21:25:48"/>
    <s v="P4"/>
    <x v="3"/>
    <s v="L2 Support"/>
    <s v="Priya Nair"/>
    <s v="Resolved"/>
    <n v="5"/>
    <n v="48"/>
    <n v="8.98"/>
    <n v="1"/>
  </r>
  <r>
    <s v="TCK-14443"/>
    <s v="2024-11-06 15:01:47"/>
    <m/>
    <s v="P4"/>
    <x v="1"/>
    <s v="Application Support"/>
    <s v="Anita Sharma"/>
    <s v="Open"/>
    <m/>
    <n v="48"/>
    <m/>
    <m/>
  </r>
  <r>
    <s v="TCK-14444"/>
    <s v="2024-09-01 13:04:58"/>
    <s v="2024-09-01 13:46:00"/>
    <s v="P1"/>
    <x v="2"/>
    <s v="Application Support"/>
    <s v="Sarah Connor"/>
    <s v="Closed"/>
    <n v="5"/>
    <n v="4"/>
    <n v="0.68"/>
    <n v="1"/>
  </r>
  <r>
    <s v="TCK-14445"/>
    <s v="2024-02-10 02:12:23"/>
    <s v="2024-02-10 05:49:49"/>
    <s v="P2"/>
    <x v="1"/>
    <s v="L1 Support"/>
    <s v="John Doe"/>
    <s v="Closed"/>
    <n v="3"/>
    <n v="8"/>
    <n v="3.62"/>
    <n v="1"/>
  </r>
  <r>
    <s v="TCK-14446"/>
    <s v="2024-04-09 02:25:43"/>
    <s v="2024-04-09 15:52:03"/>
    <s v="P3"/>
    <x v="2"/>
    <s v="Application Support"/>
    <s v="John Doe"/>
    <s v="Closed"/>
    <n v="5"/>
    <n v="24"/>
    <n v="13.44"/>
    <n v="1"/>
  </r>
  <r>
    <s v="TCK-14447"/>
    <s v="2024-11-30 08:15:43"/>
    <m/>
    <s v="P3"/>
    <x v="2"/>
    <s v="L2 Support"/>
    <s v="Sarah Connor"/>
    <s v="Open"/>
    <m/>
    <n v="24"/>
    <m/>
    <m/>
  </r>
  <r>
    <s v="TCK-14448"/>
    <s v="2024-01-24 15:58:00"/>
    <s v="2024-01-24 21:14:35"/>
    <s v="P3"/>
    <x v="0"/>
    <s v="Infrastructure"/>
    <s v="Priya Nair"/>
    <s v="Closed"/>
    <n v="3"/>
    <n v="24"/>
    <n v="5.28"/>
    <n v="1"/>
  </r>
  <r>
    <s v="TCK-14449"/>
    <s v="2024-06-28 19:01:20"/>
    <s v="2024-06-29 06:39:23"/>
    <s v="P3"/>
    <x v="0"/>
    <s v="Billing Operations"/>
    <s v="Anita Sharma"/>
    <s v="Closed"/>
    <n v="5"/>
    <n v="24"/>
    <n v="11.63"/>
    <n v="1"/>
  </r>
  <r>
    <s v="TCK-14450"/>
    <s v="2024-03-04 23:54:26"/>
    <s v="2024-03-05 05:10:16"/>
    <s v="P1"/>
    <x v="1"/>
    <s v="L1 Support"/>
    <s v="Michael Scott"/>
    <s v="Resolved"/>
    <n v="2"/>
    <n v="4"/>
    <n v="5.26"/>
    <n v="0"/>
  </r>
  <r>
    <s v="TCK-14451"/>
    <s v="2024-09-06 12:30:18"/>
    <s v="2024-09-06 23:32:13"/>
    <s v="P3"/>
    <x v="0"/>
    <s v="L2 Support"/>
    <s v="Emily Watson"/>
    <s v="Closed"/>
    <n v="5"/>
    <n v="24"/>
    <n v="11.03"/>
    <n v="1"/>
  </r>
  <r>
    <s v="TCK-14452"/>
    <s v="2024-05-17 19:11:28"/>
    <s v="2024-05-19 09:10:46"/>
    <s v="P3"/>
    <x v="1"/>
    <s v="Infrastructure"/>
    <s v="Priya Nair"/>
    <s v="Closed"/>
    <n v="4"/>
    <n v="24"/>
    <n v="37.99"/>
    <n v="0"/>
  </r>
  <r>
    <s v="TCK-14453"/>
    <s v="2024-09-13 12:49:55"/>
    <s v="2024-09-14 03:19:47"/>
    <s v="P3"/>
    <x v="2"/>
    <s v="Application Support"/>
    <s v="Priya Nair"/>
    <s v="Closed"/>
    <n v="3"/>
    <n v="24"/>
    <n v="14.5"/>
    <n v="1"/>
  </r>
  <r>
    <s v="TCK-14454"/>
    <s v="2024-05-02 10:20:31"/>
    <s v="2024-05-04 05:47:30"/>
    <s v="P3"/>
    <x v="3"/>
    <s v="Billing Operations"/>
    <s v="Carlos Mendez"/>
    <s v="Resolved"/>
    <n v="2"/>
    <n v="24"/>
    <n v="43.45"/>
    <n v="0"/>
  </r>
  <r>
    <s v="TCK-14455"/>
    <s v="2024-07-01 11:49:46"/>
    <s v="2024-07-01 17:35:30"/>
    <s v="P2"/>
    <x v="3"/>
    <s v="L1 Support"/>
    <s v="Pam Beesly"/>
    <s v="Closed"/>
    <n v="5"/>
    <n v="8"/>
    <n v="5.76"/>
    <n v="1"/>
  </r>
  <r>
    <s v="TCK-14456"/>
    <s v="2024-05-03 05:36:42"/>
    <s v="2024-05-03 09:19:12"/>
    <s v="P1"/>
    <x v="2"/>
    <s v="L2 Support"/>
    <s v="Anita Sharma"/>
    <s v="Resolved"/>
    <n v="4"/>
    <n v="4"/>
    <n v="3.71"/>
    <n v="1"/>
  </r>
  <r>
    <s v="TCK-14457"/>
    <s v="2024-01-11 04:54:00"/>
    <s v="2024-01-12 01:19:44"/>
    <s v="P4"/>
    <x v="2"/>
    <s v="Billing Operations"/>
    <s v="Carlos Mendez"/>
    <s v="Resolved"/>
    <n v="5"/>
    <n v="48"/>
    <n v="20.43"/>
    <n v="1"/>
  </r>
  <r>
    <s v="TCK-14458"/>
    <s v="2024-11-28 05:23:58"/>
    <s v="2024-11-29 07:23:57"/>
    <s v="P3"/>
    <x v="2"/>
    <s v="Infrastructure"/>
    <s v="Carlos Mendez"/>
    <s v="Resolved"/>
    <n v="2"/>
    <n v="24"/>
    <n v="26"/>
    <n v="0"/>
  </r>
  <r>
    <s v="TCK-14459"/>
    <s v="2024-11-24 14:23:56"/>
    <s v="2024-11-24 15:21:37"/>
    <s v="P1"/>
    <x v="1"/>
    <s v="L1 Support"/>
    <s v="Sarah Connor"/>
    <s v="Resolved"/>
    <n v="4"/>
    <n v="4"/>
    <n v="0.96"/>
    <n v="1"/>
  </r>
  <r>
    <s v="TCK-14460"/>
    <s v="2024-05-01 00:52:46"/>
    <s v="2024-05-02 16:32:50"/>
    <s v="P4"/>
    <x v="2"/>
    <s v="L1 Support"/>
    <s v="Ravi Patel"/>
    <s v="Resolved"/>
    <n v="4"/>
    <n v="48"/>
    <n v="39.67"/>
    <n v="1"/>
  </r>
  <r>
    <s v="TCK-14461"/>
    <s v="2024-04-24 06:38:06"/>
    <s v="2024-04-24 07:51:08"/>
    <s v="P1"/>
    <x v="2"/>
    <s v="Billing Operations"/>
    <s v="Carlos Mendez"/>
    <s v="Resolved"/>
    <n v="4"/>
    <n v="4"/>
    <n v="1.22"/>
    <n v="1"/>
  </r>
  <r>
    <s v="TCK-14462"/>
    <s v="2024-04-17 16:25:09"/>
    <m/>
    <s v="P3"/>
    <x v="2"/>
    <s v="Application Support"/>
    <s v="Priya Nair"/>
    <s v="Open"/>
    <m/>
    <n v="24"/>
    <m/>
    <m/>
  </r>
  <r>
    <s v="TCK-14463"/>
    <s v="2024-05-08 19:45:47"/>
    <m/>
    <s v="P1"/>
    <x v="2"/>
    <s v="Application Support"/>
    <s v="Carlos Mendez"/>
    <s v="Open"/>
    <m/>
    <n v="4"/>
    <m/>
    <m/>
  </r>
  <r>
    <s v="TCK-14464"/>
    <s v="2024-10-27 16:59:36"/>
    <s v="2024-10-28 11:57:59"/>
    <s v="P3"/>
    <x v="2"/>
    <s v="L2 Support"/>
    <s v="Dwight Schrute"/>
    <s v="Closed"/>
    <n v="5"/>
    <n v="24"/>
    <n v="18.97"/>
    <n v="1"/>
  </r>
  <r>
    <s v="TCK-14465"/>
    <s v="2024-05-17 06:39:16"/>
    <s v="2024-05-20 03:45:45"/>
    <s v="P3"/>
    <x v="0"/>
    <s v="Infrastructure"/>
    <s v="Sarah Connor"/>
    <s v="Resolved"/>
    <n v="3"/>
    <n v="24"/>
    <n v="69.11"/>
    <n v="0"/>
  </r>
  <r>
    <s v="TCK-14466"/>
    <s v="2024-11-18 11:01:55"/>
    <s v="2024-11-18 17:18:32"/>
    <s v="P2"/>
    <x v="2"/>
    <s v="Billing Operations"/>
    <s v="Carlos Mendez"/>
    <s v="Resolved"/>
    <n v="5"/>
    <n v="8"/>
    <n v="6.28"/>
    <n v="1"/>
  </r>
  <r>
    <s v="TCK-14467"/>
    <s v="2024-11-27 06:08:56"/>
    <s v="2024-11-27 12:42:42"/>
    <s v="P2"/>
    <x v="2"/>
    <s v="L2 Support"/>
    <s v="Anita Sharma"/>
    <s v="Resolved"/>
    <n v="4"/>
    <n v="8"/>
    <n v="6.56"/>
    <n v="1"/>
  </r>
  <r>
    <s v="TCK-14468"/>
    <s v="2024-12-07 01:41:00"/>
    <s v="2024-12-08 00:54:23"/>
    <s v="P2"/>
    <x v="0"/>
    <s v="Application Support"/>
    <s v="Dwight Schrute"/>
    <s v="Resolved"/>
    <n v="2"/>
    <n v="8"/>
    <n v="23.22"/>
    <n v="0"/>
  </r>
  <r>
    <s v="TCK-14469"/>
    <s v="2024-01-21 19:31:44"/>
    <s v="2024-01-21 20:43:44"/>
    <s v="P2"/>
    <x v="0"/>
    <s v="Billing Operations"/>
    <s v="Pam Beesly"/>
    <s v="Resolved"/>
    <n v="4"/>
    <n v="8"/>
    <n v="1.2"/>
    <n v="1"/>
  </r>
  <r>
    <s v="TCK-14470"/>
    <s v="2024-02-05 03:50:35"/>
    <s v="2024-02-05 06:49:05"/>
    <s v="P2"/>
    <x v="0"/>
    <s v="L2 Support"/>
    <s v="Michael Scott"/>
    <s v="Resolved"/>
    <n v="5"/>
    <n v="8"/>
    <n v="2.98"/>
    <n v="1"/>
  </r>
  <r>
    <s v="TCK-14471"/>
    <s v="2024-03-27 07:22:31"/>
    <m/>
    <s v="P4"/>
    <x v="2"/>
    <s v="L1 Support"/>
    <s v="Priya Nair"/>
    <s v="Escalated"/>
    <m/>
    <n v="48"/>
    <m/>
    <m/>
  </r>
  <r>
    <s v="TCK-14472"/>
    <s v="2024-09-19 18:07:10"/>
    <s v="2024-09-20 10:31:10"/>
    <s v="P4"/>
    <x v="0"/>
    <s v="Application Support"/>
    <s v="Priya Nair"/>
    <s v="Resolved"/>
    <n v="3"/>
    <n v="48"/>
    <n v="16.399999999999999"/>
    <n v="1"/>
  </r>
  <r>
    <s v="TCK-14473"/>
    <s v="2024-02-21 03:31:35"/>
    <s v="2024-02-21 06:23:01"/>
    <s v="P3"/>
    <x v="0"/>
    <s v="L1 Support"/>
    <s v="Michael Scott"/>
    <s v="Resolved"/>
    <n v="5"/>
    <n v="24"/>
    <n v="2.86"/>
    <n v="1"/>
  </r>
  <r>
    <s v="TCK-14474"/>
    <s v="2024-03-20 18:00:50"/>
    <s v="2024-03-20 20:05:53"/>
    <s v="P2"/>
    <x v="2"/>
    <s v="L1 Support"/>
    <s v="Ravi Patel"/>
    <s v="Closed"/>
    <n v="4"/>
    <n v="8"/>
    <n v="2.08"/>
    <n v="1"/>
  </r>
  <r>
    <s v="TCK-14475"/>
    <s v="2024-03-11 01:36:10"/>
    <s v="2024-03-11 04:50:25"/>
    <s v="P3"/>
    <x v="4"/>
    <s v="Billing Operations"/>
    <s v="Emily Watson"/>
    <s v="Closed"/>
    <n v="4"/>
    <n v="24"/>
    <n v="3.24"/>
    <n v="1"/>
  </r>
  <r>
    <s v="TCK-14476"/>
    <s v="2024-08-26 09:18:16"/>
    <m/>
    <s v="P1"/>
    <x v="1"/>
    <s v="Application Support"/>
    <s v="Alex Mercer"/>
    <s v="Escalated"/>
    <m/>
    <n v="4"/>
    <m/>
    <m/>
  </r>
  <r>
    <s v="TCK-14477"/>
    <s v="2024-03-19 21:52:29"/>
    <s v="2024-03-20 14:09:16"/>
    <s v="P4"/>
    <x v="0"/>
    <s v="L2 Support"/>
    <s v="Alex Mercer"/>
    <s v="Resolved"/>
    <n v="5"/>
    <n v="48"/>
    <n v="16.28"/>
    <n v="1"/>
  </r>
  <r>
    <s v="TCK-14478"/>
    <s v="2024-04-27 08:53:45"/>
    <s v="2024-04-27 13:58:58"/>
    <s v="P2"/>
    <x v="3"/>
    <s v="Application Support"/>
    <s v="Alex Mercer"/>
    <s v="Closed"/>
    <n v="5"/>
    <n v="8"/>
    <n v="5.09"/>
    <n v="1"/>
  </r>
  <r>
    <s v="TCK-14479"/>
    <s v="2024-02-04 04:24:25"/>
    <s v="2024-02-04 05:39:40"/>
    <s v="P2"/>
    <x v="4"/>
    <s v="Billing Operations"/>
    <s v="Alex Mercer"/>
    <s v="Closed"/>
    <n v="5"/>
    <n v="8"/>
    <n v="1.25"/>
    <n v="1"/>
  </r>
  <r>
    <s v="TCK-14480"/>
    <s v="2024-12-27 10:21:40"/>
    <m/>
    <s v="P3"/>
    <x v="0"/>
    <s v="Application Support"/>
    <s v="Dwight Schrute"/>
    <s v="Open"/>
    <m/>
    <n v="24"/>
    <m/>
    <m/>
  </r>
  <r>
    <s v="TCK-14481"/>
    <s v="2024-10-31 11:13:48"/>
    <s v="2024-10-31 19:58:38"/>
    <s v="P3"/>
    <x v="2"/>
    <s v="Application Support"/>
    <s v="Pam Beesly"/>
    <s v="Closed"/>
    <n v="4"/>
    <n v="24"/>
    <n v="8.75"/>
    <n v="1"/>
  </r>
  <r>
    <s v="TCK-14482"/>
    <s v="2024-05-08 19:30:17"/>
    <s v="2024-05-09 15:27:59"/>
    <s v="P3"/>
    <x v="1"/>
    <s v="Infrastructure"/>
    <s v="Ravi Patel"/>
    <s v="Resolved"/>
    <n v="4"/>
    <n v="24"/>
    <n v="19.96"/>
    <n v="1"/>
  </r>
  <r>
    <s v="TCK-14483"/>
    <s v="2024-05-19 10:55:43"/>
    <s v="2024-05-20 01:02:32"/>
    <s v="P3"/>
    <x v="0"/>
    <s v="L1 Support"/>
    <s v="Alex Mercer"/>
    <s v="Resolved"/>
    <n v="4"/>
    <n v="24"/>
    <n v="14.11"/>
    <n v="1"/>
  </r>
  <r>
    <s v="TCK-14484"/>
    <s v="2024-04-01 14:43:30"/>
    <s v="2024-04-03 10:07:47"/>
    <s v="P4"/>
    <x v="4"/>
    <s v="L2 Support"/>
    <s v="Emily Watson"/>
    <s v="Closed"/>
    <n v="3"/>
    <n v="48"/>
    <n v="43.4"/>
    <n v="1"/>
  </r>
  <r>
    <s v="TCK-14485"/>
    <s v="2024-05-22 04:07:45"/>
    <s v="2024-05-22 22:33:09"/>
    <s v="P3"/>
    <x v="4"/>
    <s v="Infrastructure"/>
    <s v="Carlos Mendez"/>
    <s v="Resolved"/>
    <n v="4"/>
    <n v="24"/>
    <n v="18.420000000000002"/>
    <n v="1"/>
  </r>
  <r>
    <s v="TCK-14486"/>
    <s v="2024-02-25 23:14:39"/>
    <s v="2024-02-26 16:16:37"/>
    <s v="P3"/>
    <x v="1"/>
    <s v="L2 Support"/>
    <s v="Jim Halpert"/>
    <s v="Resolved"/>
    <n v="4"/>
    <n v="24"/>
    <n v="17.03"/>
    <n v="1"/>
  </r>
  <r>
    <s v="TCK-14487"/>
    <s v="2024-02-18 05:12:09"/>
    <s v="2024-02-19 02:42:08"/>
    <s v="P3"/>
    <x v="2"/>
    <s v="Billing Operations"/>
    <s v="Dwight Schrute"/>
    <s v="Resolved"/>
    <n v="5"/>
    <n v="24"/>
    <n v="21.5"/>
    <n v="1"/>
  </r>
  <r>
    <s v="TCK-14488"/>
    <s v="2024-04-21 06:26:36"/>
    <s v="2024-04-22 01:52:58"/>
    <s v="P3"/>
    <x v="0"/>
    <s v="Infrastructure"/>
    <s v="Carlos Mendez"/>
    <s v="Resolved"/>
    <n v="5"/>
    <n v="24"/>
    <n v="19.440000000000001"/>
    <n v="1"/>
  </r>
  <r>
    <s v="TCK-14489"/>
    <s v="2024-04-07 03:09:41"/>
    <s v="2024-04-07 14:31:24"/>
    <s v="P1"/>
    <x v="3"/>
    <s v="L1 Support"/>
    <s v="Jim Halpert"/>
    <s v="Closed"/>
    <n v="2"/>
    <n v="4"/>
    <n v="11.36"/>
    <n v="0"/>
  </r>
  <r>
    <s v="TCK-14490"/>
    <s v="2024-09-16 06:03:35"/>
    <s v="2024-09-16 09:04:20"/>
    <s v="P1"/>
    <x v="2"/>
    <s v="Infrastructure"/>
    <s v="Ravi Patel"/>
    <s v="Closed"/>
    <n v="4"/>
    <n v="4"/>
    <n v="3.01"/>
    <n v="1"/>
  </r>
  <r>
    <s v="TCK-14491"/>
    <s v="2024-07-31 10:56:03"/>
    <s v="2024-07-31 17:47:18"/>
    <s v="P2"/>
    <x v="2"/>
    <s v="Billing Operations"/>
    <s v="Anita Sharma"/>
    <s v="Closed"/>
    <n v="5"/>
    <n v="8"/>
    <n v="6.85"/>
    <n v="1"/>
  </r>
  <r>
    <s v="TCK-14492"/>
    <s v="2024-04-26 21:39:21"/>
    <s v="2024-04-28 02:13:00"/>
    <s v="P4"/>
    <x v="2"/>
    <s v="L1 Support"/>
    <s v="Jim Halpert"/>
    <s v="Closed"/>
    <n v="5"/>
    <n v="48"/>
    <n v="28.56"/>
    <n v="1"/>
  </r>
  <r>
    <s v="TCK-14493"/>
    <s v="2024-09-29 08:07:00"/>
    <m/>
    <s v="P3"/>
    <x v="2"/>
    <s v="Application Support"/>
    <s v="Carlos Mendez"/>
    <s v="Escalated"/>
    <m/>
    <n v="24"/>
    <m/>
    <m/>
  </r>
  <r>
    <s v="TCK-14494"/>
    <s v="2024-04-26 06:28:29"/>
    <s v="2024-04-26 14:08:03"/>
    <s v="P3"/>
    <x v="0"/>
    <s v="L2 Support"/>
    <s v="Emily Watson"/>
    <s v="Closed"/>
    <n v="5"/>
    <n v="24"/>
    <n v="7.66"/>
    <n v="1"/>
  </r>
  <r>
    <s v="TCK-14495"/>
    <s v="2024-03-07 07:20:59"/>
    <s v="2024-03-07 09:53:17"/>
    <s v="P2"/>
    <x v="1"/>
    <s v="Billing Operations"/>
    <s v="Jim Halpert"/>
    <s v="Resolved"/>
    <n v="5"/>
    <n v="8"/>
    <n v="2.54"/>
    <n v="1"/>
  </r>
  <r>
    <s v="TCK-14496"/>
    <s v="2024-11-02 03:41:13"/>
    <s v="2024-11-02 04:30:42"/>
    <s v="P1"/>
    <x v="3"/>
    <s v="Application Support"/>
    <s v="Anita Sharma"/>
    <s v="Closed"/>
    <n v="5"/>
    <n v="4"/>
    <n v="0.82"/>
    <n v="1"/>
  </r>
  <r>
    <s v="TCK-14497"/>
    <s v="2024-05-26 06:14:55"/>
    <s v="2024-05-26 11:34:15"/>
    <s v="P3"/>
    <x v="1"/>
    <s v="Billing Operations"/>
    <s v="Carlos Mendez"/>
    <s v="Closed"/>
    <n v="5"/>
    <n v="24"/>
    <n v="5.32"/>
    <n v="1"/>
  </r>
  <r>
    <s v="TCK-14498"/>
    <s v="2024-05-13 19:37:45"/>
    <s v="2024-05-14 13:03:37"/>
    <s v="P4"/>
    <x v="0"/>
    <s v="Billing Operations"/>
    <s v="Priya Nair"/>
    <s v="Resolved"/>
    <n v="3"/>
    <n v="48"/>
    <n v="17.43"/>
    <n v="1"/>
  </r>
  <r>
    <s v="TCK-14499"/>
    <s v="2024-07-07 03:05:07"/>
    <s v="2024-07-09 09:30:00"/>
    <s v="P4"/>
    <x v="1"/>
    <s v="Application Support"/>
    <s v="Emily Watson"/>
    <s v="Resolved"/>
    <n v="1"/>
    <n v="48"/>
    <n v="54.41"/>
    <n v="0"/>
  </r>
  <r>
    <s v="TCK-14500"/>
    <s v="2024-06-09 23:04:54"/>
    <m/>
    <s v="P1"/>
    <x v="3"/>
    <s v="L1 Support"/>
    <s v="Priya Nair"/>
    <s v="Open"/>
    <m/>
    <n v="4"/>
    <m/>
    <m/>
  </r>
  <r>
    <s v="TCK-14501"/>
    <s v="2024-05-29 23:38:24"/>
    <s v="2024-05-30 11:45:02"/>
    <s v="P4"/>
    <x v="2"/>
    <s v="Infrastructure"/>
    <s v="John Doe"/>
    <s v="Resolved"/>
    <n v="5"/>
    <n v="48"/>
    <n v="12.11"/>
    <n v="1"/>
  </r>
  <r>
    <s v="TCK-14502"/>
    <s v="2024-12-24 05:50:06"/>
    <s v="2024-12-25 02:34:36"/>
    <s v="P3"/>
    <x v="2"/>
    <s v="L2 Support"/>
    <s v="Ravi Patel"/>
    <s v="Closed"/>
    <n v="4"/>
    <n v="24"/>
    <n v="20.74"/>
    <n v="1"/>
  </r>
  <r>
    <s v="TCK-14503"/>
    <s v="2024-02-05 09:44:52"/>
    <s v="2024-02-06 04:43:36"/>
    <s v="P4"/>
    <x v="3"/>
    <s v="Application Support"/>
    <s v="Jim Halpert"/>
    <s v="Resolved"/>
    <n v="5"/>
    <n v="48"/>
    <n v="18.98"/>
    <n v="1"/>
  </r>
  <r>
    <s v="TCK-14504"/>
    <s v="2024-02-12 23:31:06"/>
    <s v="2024-02-14 20:07:14"/>
    <s v="P3"/>
    <x v="2"/>
    <s v="Application Support"/>
    <s v="Carlos Mendez"/>
    <s v="Resolved"/>
    <n v="4"/>
    <n v="24"/>
    <n v="44.6"/>
    <n v="0"/>
  </r>
  <r>
    <s v="TCK-14505"/>
    <s v="2024-12-12 13:15:24"/>
    <m/>
    <s v="P2"/>
    <x v="1"/>
    <s v="L2 Support"/>
    <s v="Jim Halpert"/>
    <s v="Open"/>
    <m/>
    <n v="8"/>
    <m/>
    <m/>
  </r>
  <r>
    <s v="TCK-14506"/>
    <s v="2024-04-03 03:29:09"/>
    <s v="2024-04-03 08:19:19"/>
    <s v="P3"/>
    <x v="2"/>
    <s v="L1 Support"/>
    <s v="Pam Beesly"/>
    <s v="Closed"/>
    <n v="4"/>
    <n v="24"/>
    <n v="4.84"/>
    <n v="1"/>
  </r>
  <r>
    <s v="TCK-14507"/>
    <s v="2024-12-01 17:30:32"/>
    <s v="2024-12-02 03:40:55"/>
    <s v="P4"/>
    <x v="2"/>
    <s v="Billing Operations"/>
    <s v="Pam Beesly"/>
    <s v="Resolved"/>
    <n v="5"/>
    <n v="48"/>
    <n v="10.17"/>
    <n v="1"/>
  </r>
  <r>
    <s v="TCK-14508"/>
    <s v="2024-12-27 22:32:23"/>
    <s v="2024-12-27 23:13:00"/>
    <s v="P1"/>
    <x v="1"/>
    <s v="Application Support"/>
    <s v="Anita Sharma"/>
    <s v="Resolved"/>
    <n v="4"/>
    <n v="4"/>
    <n v="0.68"/>
    <n v="1"/>
  </r>
  <r>
    <s v="TCK-14509"/>
    <s v="2024-10-02 16:34:14"/>
    <s v="2024-10-03 02:52:56"/>
    <s v="P3"/>
    <x v="3"/>
    <s v="Infrastructure"/>
    <s v="Ravi Patel"/>
    <s v="Closed"/>
    <n v="4"/>
    <n v="24"/>
    <n v="10.31"/>
    <n v="1"/>
  </r>
  <r>
    <s v="TCK-14510"/>
    <s v="2024-04-28 11:05:36"/>
    <s v="2024-04-28 17:32:11"/>
    <s v="P3"/>
    <x v="3"/>
    <s v="Billing Operations"/>
    <s v="Carlos Mendez"/>
    <s v="Closed"/>
    <n v="5"/>
    <n v="24"/>
    <n v="6.44"/>
    <n v="1"/>
  </r>
  <r>
    <s v="TCK-14511"/>
    <s v="2024-12-27 09:33:52"/>
    <s v="2024-12-27 13:00:26"/>
    <s v="P2"/>
    <x v="2"/>
    <s v="Application Support"/>
    <s v="Carlos Mendez"/>
    <s v="Resolved"/>
    <n v="5"/>
    <n v="8"/>
    <n v="3.44"/>
    <n v="1"/>
  </r>
  <r>
    <s v="TCK-14512"/>
    <s v="2024-03-12 11:34:14"/>
    <s v="2024-03-12 13:58:08"/>
    <s v="P2"/>
    <x v="2"/>
    <s v="Billing Operations"/>
    <s v="Priya Nair"/>
    <s v="Resolved"/>
    <n v="5"/>
    <n v="8"/>
    <n v="2.4"/>
    <n v="1"/>
  </r>
  <r>
    <s v="TCK-14513"/>
    <s v="2024-02-22 10:18:15"/>
    <s v="2024-02-22 14:54:20"/>
    <s v="P3"/>
    <x v="2"/>
    <s v="L1 Support"/>
    <s v="Sarah Connor"/>
    <s v="Resolved"/>
    <n v="5"/>
    <n v="24"/>
    <n v="4.5999999999999996"/>
    <n v="1"/>
  </r>
  <r>
    <s v="TCK-14514"/>
    <s v="2024-08-09 23:00:42"/>
    <m/>
    <s v="P4"/>
    <x v="0"/>
    <s v="L2 Support"/>
    <s v="Dwight Schrute"/>
    <s v="Escalated"/>
    <m/>
    <n v="48"/>
    <m/>
    <m/>
  </r>
  <r>
    <s v="TCK-14515"/>
    <s v="2024-09-10 09:13:04"/>
    <s v="2024-09-10 12:17:50"/>
    <s v="P1"/>
    <x v="2"/>
    <s v="Infrastructure"/>
    <s v="Emily Watson"/>
    <s v="Closed"/>
    <n v="4"/>
    <n v="4"/>
    <n v="3.08"/>
    <n v="1"/>
  </r>
  <r>
    <s v="TCK-14516"/>
    <s v="2024-01-06 00:30:30"/>
    <s v="2024-01-06 12:11:08"/>
    <s v="P3"/>
    <x v="2"/>
    <s v="Application Support"/>
    <s v="Emily Watson"/>
    <s v="Closed"/>
    <n v="4"/>
    <n v="24"/>
    <n v="11.68"/>
    <n v="1"/>
  </r>
  <r>
    <s v="TCK-14517"/>
    <s v="2024-10-11 09:14:26"/>
    <s v="2024-10-11 12:04:00"/>
    <s v="P2"/>
    <x v="0"/>
    <s v="Billing Operations"/>
    <s v="Michael Scott"/>
    <s v="Closed"/>
    <n v="3"/>
    <n v="8"/>
    <n v="2.83"/>
    <n v="1"/>
  </r>
  <r>
    <s v="TCK-14518"/>
    <s v="2024-10-03 01:04:35"/>
    <s v="2024-10-03 01:54:35"/>
    <s v="P1"/>
    <x v="0"/>
    <s v="L2 Support"/>
    <s v="Dwight Schrute"/>
    <s v="Resolved"/>
    <n v="5"/>
    <n v="4"/>
    <n v="0.83"/>
    <n v="1"/>
  </r>
  <r>
    <s v="TCK-14519"/>
    <s v="2024-03-08 22:52:00"/>
    <s v="2024-03-09 15:12:37"/>
    <s v="P3"/>
    <x v="2"/>
    <s v="Application Support"/>
    <s v="Emily Watson"/>
    <s v="Closed"/>
    <n v="4"/>
    <n v="24"/>
    <n v="16.34"/>
    <n v="1"/>
  </r>
  <r>
    <s v="TCK-14520"/>
    <s v="2024-05-12 23:23:22"/>
    <s v="2024-05-14 19:34:31"/>
    <s v="P4"/>
    <x v="1"/>
    <s v="Billing Operations"/>
    <s v="Ravi Patel"/>
    <s v="Closed"/>
    <n v="5"/>
    <n v="48"/>
    <n v="44.19"/>
    <n v="1"/>
  </r>
  <r>
    <s v="TCK-14521"/>
    <s v="2024-07-29 01:33:48"/>
    <s v="2024-07-29 13:18:09"/>
    <s v="P1"/>
    <x v="1"/>
    <s v="Billing Operations"/>
    <s v="Pam Beesly"/>
    <s v="Resolved"/>
    <n v="2"/>
    <n v="4"/>
    <n v="11.74"/>
    <n v="0"/>
  </r>
  <r>
    <s v="TCK-14522"/>
    <s v="2024-08-06 15:54:57"/>
    <s v="2024-08-06 17:49:41"/>
    <s v="P2"/>
    <x v="4"/>
    <s v="L1 Support"/>
    <s v="Priya Nair"/>
    <s v="Resolved"/>
    <n v="5"/>
    <n v="8"/>
    <n v="1.91"/>
    <n v="1"/>
  </r>
  <r>
    <s v="TCK-14523"/>
    <s v="2024-06-30 13:19:56"/>
    <s v="2024-06-30 20:23:39"/>
    <s v="P3"/>
    <x v="3"/>
    <s v="L2 Support"/>
    <s v="Carlos Mendez"/>
    <s v="Resolved"/>
    <n v="5"/>
    <n v="24"/>
    <n v="7.06"/>
    <n v="1"/>
  </r>
  <r>
    <s v="TCK-14524"/>
    <s v="2024-12-30 19:34:11"/>
    <s v="2024-12-31 17:23:00"/>
    <s v="P3"/>
    <x v="2"/>
    <s v="Billing Operations"/>
    <s v="Sarah Connor"/>
    <s v="Closed"/>
    <n v="4"/>
    <n v="24"/>
    <n v="21.81"/>
    <n v="1"/>
  </r>
  <r>
    <s v="TCK-14525"/>
    <s v="2024-07-19 12:04:38"/>
    <s v="2024-07-19 14:03:13"/>
    <s v="P2"/>
    <x v="3"/>
    <s v="L2 Support"/>
    <s v="Carlos Mendez"/>
    <s v="Resolved"/>
    <n v="5"/>
    <n v="8"/>
    <n v="1.98"/>
    <n v="1"/>
  </r>
  <r>
    <s v="TCK-14526"/>
    <s v="2024-04-18 07:53:14"/>
    <s v="2024-04-19 16:46:40"/>
    <s v="P4"/>
    <x v="1"/>
    <s v="L2 Support"/>
    <s v="Dwight Schrute"/>
    <s v="Resolved"/>
    <n v="5"/>
    <n v="48"/>
    <n v="32.89"/>
    <n v="1"/>
  </r>
  <r>
    <s v="TCK-14527"/>
    <s v="2024-02-12 03:25:30"/>
    <s v="2024-02-14 01:36:05"/>
    <s v="P3"/>
    <x v="1"/>
    <s v="Infrastructure"/>
    <s v="Priya Nair"/>
    <s v="Resolved"/>
    <n v="2"/>
    <n v="24"/>
    <n v="46.18"/>
    <n v="0"/>
  </r>
  <r>
    <s v="TCK-14528"/>
    <s v="2024-06-10 07:53:40"/>
    <s v="2024-06-12 19:19:56"/>
    <s v="P3"/>
    <x v="1"/>
    <s v="Infrastructure"/>
    <s v="Alex Mercer"/>
    <s v="Closed"/>
    <n v="1"/>
    <n v="24"/>
    <n v="59.44"/>
    <n v="0"/>
  </r>
  <r>
    <s v="TCK-14529"/>
    <s v="2024-06-05 18:26:45"/>
    <s v="2024-06-07 14:16:22"/>
    <s v="P3"/>
    <x v="3"/>
    <s v="Application Support"/>
    <s v="Sarah Connor"/>
    <s v="Resolved"/>
    <n v="1"/>
    <n v="24"/>
    <n v="43.83"/>
    <n v="0"/>
  </r>
  <r>
    <s v="TCK-14530"/>
    <s v="2024-11-26 03:15:35"/>
    <s v="2024-11-27 16:40:19"/>
    <s v="P4"/>
    <x v="2"/>
    <s v="Billing Operations"/>
    <s v="Anita Sharma"/>
    <s v="Resolved"/>
    <n v="5"/>
    <n v="48"/>
    <n v="37.409999999999997"/>
    <n v="1"/>
  </r>
  <r>
    <s v="TCK-14531"/>
    <s v="2024-07-15 14:01:59"/>
    <m/>
    <s v="P2"/>
    <x v="2"/>
    <s v="L2 Support"/>
    <s v="Alex Mercer"/>
    <s v="Open"/>
    <m/>
    <n v="8"/>
    <m/>
    <m/>
  </r>
  <r>
    <s v="TCK-14532"/>
    <s v="2024-01-30 00:12:39"/>
    <s v="2024-01-30 01:37:03"/>
    <s v="P2"/>
    <x v="2"/>
    <s v="Application Support"/>
    <s v="Dwight Schrute"/>
    <s v="Resolved"/>
    <n v="4"/>
    <n v="8"/>
    <n v="1.41"/>
    <n v="1"/>
  </r>
  <r>
    <s v="TCK-14533"/>
    <s v="2024-02-03 07:18:32"/>
    <s v="2024-02-04 16:18:07"/>
    <s v="P3"/>
    <x v="2"/>
    <s v="Application Support"/>
    <s v="Pam Beesly"/>
    <s v="Resolved"/>
    <n v="1"/>
    <n v="24"/>
    <n v="32.99"/>
    <n v="0"/>
  </r>
  <r>
    <s v="TCK-14534"/>
    <s v="2024-11-08 22:44:15"/>
    <s v="2024-11-09 20:05:18"/>
    <s v="P3"/>
    <x v="1"/>
    <s v="Billing Operations"/>
    <s v="Carlos Mendez"/>
    <s v="Resolved"/>
    <n v="5"/>
    <n v="24"/>
    <n v="21.35"/>
    <n v="1"/>
  </r>
  <r>
    <s v="TCK-14535"/>
    <s v="2024-01-10 12:52:50"/>
    <s v="2024-01-12 01:27:04"/>
    <s v="P4"/>
    <x v="4"/>
    <s v="Billing Operations"/>
    <s v="Michael Scott"/>
    <s v="Closed"/>
    <n v="4"/>
    <n v="48"/>
    <n v="36.57"/>
    <n v="1"/>
  </r>
  <r>
    <s v="TCK-14536"/>
    <s v="2024-11-27 09:28:36"/>
    <s v="2024-11-27 20:13:33"/>
    <s v="P3"/>
    <x v="2"/>
    <s v="Infrastructure"/>
    <s v="Dwight Schrute"/>
    <s v="Resolved"/>
    <n v="4"/>
    <n v="24"/>
    <n v="10.75"/>
    <n v="1"/>
  </r>
  <r>
    <s v="TCK-14537"/>
    <s v="2024-10-07 15:56:28"/>
    <s v="2024-10-09 04:26:25"/>
    <s v="P4"/>
    <x v="4"/>
    <s v="Billing Operations"/>
    <s v="Jim Halpert"/>
    <s v="Resolved"/>
    <n v="5"/>
    <n v="48"/>
    <n v="36.5"/>
    <n v="1"/>
  </r>
  <r>
    <s v="TCK-14538"/>
    <s v="2024-12-21 22:18:20"/>
    <s v="2024-12-22 00:03:59"/>
    <s v="P1"/>
    <x v="0"/>
    <s v="L1 Support"/>
    <s v="Priya Nair"/>
    <s v="Resolved"/>
    <n v="4"/>
    <n v="4"/>
    <n v="1.76"/>
    <n v="1"/>
  </r>
  <r>
    <s v="TCK-14539"/>
    <s v="2024-03-14 03:42:07"/>
    <s v="2024-03-14 04:36:20"/>
    <s v="P2"/>
    <x v="2"/>
    <s v="Infrastructure"/>
    <s v="Anita Sharma"/>
    <s v="Closed"/>
    <n v="4"/>
    <n v="8"/>
    <n v="0.9"/>
    <n v="1"/>
  </r>
  <r>
    <s v="TCK-14540"/>
    <s v="2024-10-30 07:57:56"/>
    <s v="2024-10-30 14:02:08"/>
    <s v="P2"/>
    <x v="1"/>
    <s v="Application Support"/>
    <s v="Alex Mercer"/>
    <s v="Resolved"/>
    <n v="5"/>
    <n v="8"/>
    <n v="6.07"/>
    <n v="1"/>
  </r>
  <r>
    <s v="TCK-14541"/>
    <s v="2024-06-08 11:15:51"/>
    <m/>
    <s v="P1"/>
    <x v="2"/>
    <s v="Billing Operations"/>
    <s v="Alex Mercer"/>
    <s v="Escalated"/>
    <m/>
    <n v="4"/>
    <m/>
    <m/>
  </r>
  <r>
    <s v="TCK-14542"/>
    <s v="2024-06-19 13:38:00"/>
    <m/>
    <s v="P2"/>
    <x v="3"/>
    <s v="L1 Support"/>
    <s v="Emily Watson"/>
    <s v="Open"/>
    <m/>
    <n v="8"/>
    <m/>
    <m/>
  </r>
  <r>
    <s v="TCK-14543"/>
    <s v="2024-10-03 19:54:46"/>
    <s v="2024-10-04 00:38:31"/>
    <s v="P2"/>
    <x v="4"/>
    <s v="L1 Support"/>
    <s v="Sarah Connor"/>
    <s v="Resolved"/>
    <n v="4"/>
    <n v="8"/>
    <n v="4.7300000000000004"/>
    <n v="1"/>
  </r>
  <r>
    <s v="TCK-14544"/>
    <s v="2024-11-27 09:11:49"/>
    <m/>
    <s v="P3"/>
    <x v="4"/>
    <s v="Application Support"/>
    <s v="John Doe"/>
    <s v="Open"/>
    <m/>
    <n v="24"/>
    <m/>
    <m/>
  </r>
  <r>
    <s v="TCK-14545"/>
    <s v="2024-03-18 17:59:36"/>
    <s v="2024-03-20 12:06:57"/>
    <s v="P3"/>
    <x v="2"/>
    <s v="Infrastructure"/>
    <s v="Ravi Patel"/>
    <s v="Resolved"/>
    <n v="2"/>
    <n v="24"/>
    <n v="42.12"/>
    <n v="0"/>
  </r>
  <r>
    <s v="TCK-14546"/>
    <s v="2024-06-27 23:30:59"/>
    <s v="2024-06-29 23:39:58"/>
    <s v="P3"/>
    <x v="3"/>
    <s v="L1 Support"/>
    <s v="Pam Beesly"/>
    <s v="Resolved"/>
    <n v="1"/>
    <n v="24"/>
    <n v="48.15"/>
    <n v="0"/>
  </r>
  <r>
    <s v="TCK-14547"/>
    <s v="2024-12-01 02:16:31"/>
    <s v="2024-12-02 16:28:41"/>
    <s v="P4"/>
    <x v="3"/>
    <s v="Application Support"/>
    <s v="Dwight Schrute"/>
    <s v="Resolved"/>
    <n v="4"/>
    <n v="48"/>
    <n v="38.200000000000003"/>
    <n v="1"/>
  </r>
  <r>
    <s v="TCK-14548"/>
    <s v="2024-04-05 02:08:23"/>
    <s v="2024-04-05 03:42:05"/>
    <s v="P1"/>
    <x v="2"/>
    <s v="Billing Operations"/>
    <s v="Alex Mercer"/>
    <s v="Closed"/>
    <n v="5"/>
    <n v="4"/>
    <n v="1.56"/>
    <n v="1"/>
  </r>
  <r>
    <s v="TCK-14549"/>
    <s v="2024-12-13 15:09:32"/>
    <m/>
    <s v="P3"/>
    <x v="2"/>
    <s v="L2 Support"/>
    <s v="Priya Nair"/>
    <s v="Open"/>
    <m/>
    <n v="24"/>
    <m/>
    <m/>
  </r>
  <r>
    <s v="TCK-14550"/>
    <s v="2024-07-26 15:22:30"/>
    <m/>
    <s v="P2"/>
    <x v="0"/>
    <s v="Infrastructure"/>
    <s v="Emily Watson"/>
    <s v="Escalated"/>
    <m/>
    <n v="8"/>
    <m/>
    <m/>
  </r>
  <r>
    <s v="TCK-14551"/>
    <s v="2024-02-23 09:11:22"/>
    <s v="2024-02-24 10:11:57"/>
    <s v="P4"/>
    <x v="0"/>
    <s v="Application Support"/>
    <s v="Jim Halpert"/>
    <s v="Resolved"/>
    <n v="5"/>
    <n v="48"/>
    <n v="25.01"/>
    <n v="1"/>
  </r>
  <r>
    <s v="TCK-14552"/>
    <s v="2024-01-20 05:57:03"/>
    <s v="2024-01-22 19:38:06"/>
    <s v="P3"/>
    <x v="3"/>
    <s v="Billing Operations"/>
    <s v="Alex Mercer"/>
    <s v="Resolved"/>
    <n v="2"/>
    <n v="24"/>
    <n v="61.68"/>
    <n v="0"/>
  </r>
  <r>
    <s v="TCK-14553"/>
    <s v="2024-11-19 10:38:30"/>
    <s v="2024-11-20 05:31:02"/>
    <s v="P2"/>
    <x v="0"/>
    <s v="L1 Support"/>
    <s v="Alex Mercer"/>
    <s v="Resolved"/>
    <n v="4"/>
    <n v="8"/>
    <n v="18.88"/>
    <n v="0"/>
  </r>
  <r>
    <s v="TCK-14554"/>
    <s v="2024-12-25 15:38:29"/>
    <s v="2024-12-25 18:37:10"/>
    <s v="P1"/>
    <x v="2"/>
    <s v="Billing Operations"/>
    <s v="Pam Beesly"/>
    <s v="Resolved"/>
    <n v="4"/>
    <n v="4"/>
    <n v="2.98"/>
    <n v="1"/>
  </r>
  <r>
    <s v="TCK-14555"/>
    <s v="2024-04-30 08:22:12"/>
    <s v="2024-05-01 06:32:45"/>
    <s v="P3"/>
    <x v="2"/>
    <s v="Application Support"/>
    <s v="Anita Sharma"/>
    <s v="Resolved"/>
    <n v="5"/>
    <n v="24"/>
    <n v="22.18"/>
    <n v="1"/>
  </r>
  <r>
    <s v="TCK-14556"/>
    <s v="2024-04-17 15:15:01"/>
    <m/>
    <s v="P2"/>
    <x v="1"/>
    <s v="Billing Operations"/>
    <s v="Pam Beesly"/>
    <s v="Open"/>
    <m/>
    <n v="8"/>
    <m/>
    <m/>
  </r>
  <r>
    <s v="TCK-14557"/>
    <s v="2024-05-27 02:52:16"/>
    <s v="2024-05-27 11:15:52"/>
    <s v="P3"/>
    <x v="2"/>
    <s v="L2 Support"/>
    <s v="Sarah Connor"/>
    <s v="Resolved"/>
    <n v="5"/>
    <n v="24"/>
    <n v="8.39"/>
    <n v="1"/>
  </r>
  <r>
    <s v="TCK-14558"/>
    <s v="2024-07-29 15:44:34"/>
    <s v="2024-07-30 13:51:31"/>
    <s v="P3"/>
    <x v="3"/>
    <s v="L2 Support"/>
    <s v="Pam Beesly"/>
    <s v="Closed"/>
    <n v="5"/>
    <n v="24"/>
    <n v="22.12"/>
    <n v="1"/>
  </r>
  <r>
    <s v="TCK-14559"/>
    <s v="2024-01-17 14:03:59"/>
    <s v="2024-01-17 19:22:00"/>
    <s v="P2"/>
    <x v="2"/>
    <s v="Infrastructure"/>
    <s v="Priya Nair"/>
    <s v="Resolved"/>
    <n v="4"/>
    <n v="8"/>
    <n v="5.3"/>
    <n v="1"/>
  </r>
  <r>
    <s v="TCK-14560"/>
    <s v="2024-11-17 00:00:11"/>
    <s v="2024-11-17 05:45:29"/>
    <s v="P2"/>
    <x v="3"/>
    <s v="Billing Operations"/>
    <s v="Anita Sharma"/>
    <s v="Closed"/>
    <n v="4"/>
    <n v="8"/>
    <n v="5.76"/>
    <n v="1"/>
  </r>
  <r>
    <s v="TCK-14561"/>
    <s v="2024-10-26 23:49:58"/>
    <s v="2024-10-27 06:25:49"/>
    <s v="P2"/>
    <x v="3"/>
    <s v="Application Support"/>
    <s v="Carlos Mendez"/>
    <s v="Resolved"/>
    <n v="3"/>
    <n v="8"/>
    <n v="6.6"/>
    <n v="1"/>
  </r>
  <r>
    <s v="TCK-14562"/>
    <s v="2024-09-03 01:43:03"/>
    <m/>
    <s v="P3"/>
    <x v="1"/>
    <s v="Billing Operations"/>
    <s v="Anita Sharma"/>
    <s v="Open"/>
    <m/>
    <n v="24"/>
    <m/>
    <m/>
  </r>
  <r>
    <s v="TCK-14563"/>
    <s v="2024-12-14 09:52:02"/>
    <s v="2024-12-15 15:37:56"/>
    <s v="P4"/>
    <x v="1"/>
    <s v="L2 Support"/>
    <s v="Michael Scott"/>
    <s v="Resolved"/>
    <n v="5"/>
    <n v="48"/>
    <n v="29.76"/>
    <n v="1"/>
  </r>
  <r>
    <s v="TCK-14564"/>
    <s v="2024-08-01 23:25:39"/>
    <s v="2024-08-02 03:49:05"/>
    <s v="P2"/>
    <x v="2"/>
    <s v="Infrastructure"/>
    <s v="Carlos Mendez"/>
    <s v="Closed"/>
    <n v="5"/>
    <n v="8"/>
    <n v="4.3899999999999997"/>
    <n v="1"/>
  </r>
  <r>
    <s v="TCK-14565"/>
    <s v="2024-06-07 13:52:05"/>
    <s v="2024-06-07 19:19:11"/>
    <s v="P2"/>
    <x v="3"/>
    <s v="Billing Operations"/>
    <s v="Carlos Mendez"/>
    <s v="Resolved"/>
    <n v="4"/>
    <n v="8"/>
    <n v="5.45"/>
    <n v="1"/>
  </r>
  <r>
    <s v="TCK-14566"/>
    <s v="2024-01-04 15:26:40"/>
    <s v="2024-01-04 17:04:36"/>
    <s v="P2"/>
    <x v="0"/>
    <s v="L2 Support"/>
    <s v="Ravi Patel"/>
    <s v="Resolved"/>
    <n v="5"/>
    <n v="8"/>
    <n v="1.63"/>
    <n v="1"/>
  </r>
  <r>
    <s v="TCK-14567"/>
    <s v="2024-08-05 12:29:55"/>
    <s v="2024-08-05 15:39:42"/>
    <s v="P1"/>
    <x v="2"/>
    <s v="L2 Support"/>
    <s v="Emily Watson"/>
    <s v="Closed"/>
    <n v="5"/>
    <n v="4"/>
    <n v="3.16"/>
    <n v="1"/>
  </r>
  <r>
    <s v="TCK-14568"/>
    <s v="2024-01-23 06:26:07"/>
    <s v="2024-01-23 13:57:01"/>
    <s v="P2"/>
    <x v="0"/>
    <s v="Application Support"/>
    <s v="Dwight Schrute"/>
    <s v="Resolved"/>
    <n v="5"/>
    <n v="8"/>
    <n v="7.52"/>
    <n v="1"/>
  </r>
  <r>
    <s v="TCK-14569"/>
    <s v="2024-11-11 23:47:40"/>
    <s v="2024-11-12 05:22:42"/>
    <s v="P3"/>
    <x v="3"/>
    <s v="L2 Support"/>
    <s v="Alex Mercer"/>
    <s v="Closed"/>
    <n v="5"/>
    <n v="24"/>
    <n v="5.58"/>
    <n v="1"/>
  </r>
  <r>
    <s v="TCK-14570"/>
    <s v="2024-06-21 17:33:01"/>
    <s v="2024-06-21 19:36:46"/>
    <s v="P2"/>
    <x v="2"/>
    <s v="L1 Support"/>
    <s v="Pam Beesly"/>
    <s v="Resolved"/>
    <n v="5"/>
    <n v="8"/>
    <n v="2.06"/>
    <n v="1"/>
  </r>
  <r>
    <s v="TCK-14571"/>
    <s v="2024-01-06 08:36:09"/>
    <s v="2024-01-06 15:19:53"/>
    <s v="P2"/>
    <x v="1"/>
    <s v="Application Support"/>
    <s v="Dwight Schrute"/>
    <s v="Resolved"/>
    <n v="4"/>
    <n v="8"/>
    <n v="6.73"/>
    <n v="1"/>
  </r>
  <r>
    <s v="TCK-14572"/>
    <s v="2024-10-22 08:11:51"/>
    <s v="2024-10-22 20:05:25"/>
    <s v="P3"/>
    <x v="3"/>
    <s v="L2 Support"/>
    <s v="Jim Halpert"/>
    <s v="Resolved"/>
    <n v="4"/>
    <n v="24"/>
    <n v="11.89"/>
    <n v="1"/>
  </r>
  <r>
    <s v="TCK-14573"/>
    <s v="2024-06-06 13:42:40"/>
    <s v="2024-06-06 19:34:40"/>
    <s v="P2"/>
    <x v="0"/>
    <s v="Application Support"/>
    <s v="Michael Scott"/>
    <s v="Closed"/>
    <n v="4"/>
    <n v="8"/>
    <n v="5.87"/>
    <n v="1"/>
  </r>
  <r>
    <s v="TCK-14574"/>
    <s v="2024-06-25 02:36:29"/>
    <s v="2024-06-25 18:50:15"/>
    <s v="P3"/>
    <x v="1"/>
    <s v="Application Support"/>
    <s v="Priya Nair"/>
    <s v="Resolved"/>
    <n v="5"/>
    <n v="24"/>
    <n v="16.23"/>
    <n v="1"/>
  </r>
  <r>
    <s v="TCK-14575"/>
    <s v="2024-07-20 14:02:55"/>
    <s v="2024-07-21 11:47:26"/>
    <s v="P3"/>
    <x v="4"/>
    <s v="Infrastructure"/>
    <s v="John Doe"/>
    <s v="Closed"/>
    <n v="5"/>
    <n v="24"/>
    <n v="21.74"/>
    <n v="1"/>
  </r>
  <r>
    <s v="TCK-14576"/>
    <s v="2024-01-20 04:20:18"/>
    <s v="2024-01-20 09:01:39"/>
    <s v="P3"/>
    <x v="0"/>
    <s v="Infrastructure"/>
    <s v="Sarah Connor"/>
    <s v="Closed"/>
    <n v="5"/>
    <n v="24"/>
    <n v="4.6900000000000004"/>
    <n v="1"/>
  </r>
  <r>
    <s v="TCK-14577"/>
    <s v="2024-07-04 07:39:15"/>
    <s v="2024-07-05 00:09:27"/>
    <s v="P4"/>
    <x v="0"/>
    <s v="Billing Operations"/>
    <s v="Pam Beesly"/>
    <s v="Resolved"/>
    <n v="4"/>
    <n v="48"/>
    <n v="16.5"/>
    <n v="1"/>
  </r>
  <r>
    <s v="TCK-14578"/>
    <s v="2024-01-15 17:35:04"/>
    <s v="2024-01-16 00:06:38"/>
    <s v="P3"/>
    <x v="1"/>
    <s v="Application Support"/>
    <s v="Ravi Patel"/>
    <s v="Resolved"/>
    <n v="5"/>
    <n v="24"/>
    <n v="6.53"/>
    <n v="1"/>
  </r>
  <r>
    <s v="TCK-14579"/>
    <s v="2024-01-27 15:06:40"/>
    <s v="2024-01-28 15:41:37"/>
    <s v="P4"/>
    <x v="2"/>
    <s v="Application Support"/>
    <s v="Pam Beesly"/>
    <s v="Closed"/>
    <n v="5"/>
    <n v="48"/>
    <n v="24.58"/>
    <n v="1"/>
  </r>
  <r>
    <s v="TCK-14580"/>
    <s v="2024-06-15 16:17:18"/>
    <s v="2024-06-15 17:22:39"/>
    <s v="P1"/>
    <x v="4"/>
    <s v="Infrastructure"/>
    <s v="Priya Nair"/>
    <s v="Closed"/>
    <n v="4"/>
    <n v="4"/>
    <n v="1.0900000000000001"/>
    <n v="1"/>
  </r>
  <r>
    <s v="TCK-14581"/>
    <s v="2024-03-21 13:21:36"/>
    <s v="2024-03-22 21:02:14"/>
    <s v="P3"/>
    <x v="3"/>
    <s v="L2 Support"/>
    <s v="Michael Scott"/>
    <s v="Closed"/>
    <n v="3"/>
    <n v="24"/>
    <n v="31.68"/>
    <n v="0"/>
  </r>
  <r>
    <s v="TCK-14582"/>
    <s v="2024-06-24 21:36:02"/>
    <s v="2024-06-25 01:14:22"/>
    <s v="P1"/>
    <x v="1"/>
    <s v="Infrastructure"/>
    <s v="Priya Nair"/>
    <s v="Resolved"/>
    <n v="4"/>
    <n v="4"/>
    <n v="3.64"/>
    <n v="1"/>
  </r>
  <r>
    <s v="TCK-14583"/>
    <s v="2024-03-16 01:05:50"/>
    <m/>
    <s v="P3"/>
    <x v="0"/>
    <s v="L2 Support"/>
    <s v="John Doe"/>
    <s v="Escalated"/>
    <m/>
    <n v="24"/>
    <m/>
    <m/>
  </r>
  <r>
    <s v="TCK-14584"/>
    <s v="2024-09-20 08:16:12"/>
    <s v="2024-09-21 01:55:04"/>
    <s v="P3"/>
    <x v="4"/>
    <s v="Application Support"/>
    <s v="Sarah Connor"/>
    <s v="Resolved"/>
    <n v="4"/>
    <n v="24"/>
    <n v="17.649999999999999"/>
    <n v="1"/>
  </r>
  <r>
    <s v="TCK-14585"/>
    <s v="2024-03-03 17:52:37"/>
    <m/>
    <s v="P3"/>
    <x v="3"/>
    <s v="Application Support"/>
    <s v="Anita Sharma"/>
    <s v="Open"/>
    <m/>
    <n v="24"/>
    <m/>
    <m/>
  </r>
  <r>
    <s v="TCK-14586"/>
    <s v="2024-10-13 02:29:36"/>
    <s v="2024-10-13 07:56:53"/>
    <s v="P2"/>
    <x v="2"/>
    <s v="L2 Support"/>
    <s v="Emily Watson"/>
    <s v="Closed"/>
    <n v="4"/>
    <n v="8"/>
    <n v="5.45"/>
    <n v="1"/>
  </r>
  <r>
    <s v="TCK-14587"/>
    <s v="2024-04-18 17:29:10"/>
    <s v="2024-04-19 13:35:22"/>
    <s v="P3"/>
    <x v="0"/>
    <s v="L2 Support"/>
    <s v="Jim Halpert"/>
    <s v="Resolved"/>
    <n v="5"/>
    <n v="24"/>
    <n v="20.100000000000001"/>
    <n v="1"/>
  </r>
  <r>
    <s v="TCK-14588"/>
    <s v="2024-11-05 16:09:20"/>
    <s v="2024-11-06 14:12:03"/>
    <s v="P3"/>
    <x v="1"/>
    <s v="Billing Operations"/>
    <s v="Michael Scott"/>
    <s v="Resolved"/>
    <n v="5"/>
    <n v="24"/>
    <n v="22.05"/>
    <n v="1"/>
  </r>
  <r>
    <s v="TCK-14589"/>
    <s v="2024-09-29 20:17:50"/>
    <s v="2024-09-30 01:02:22"/>
    <s v="P2"/>
    <x v="2"/>
    <s v="L1 Support"/>
    <s v="Jim Halpert"/>
    <s v="Resolved"/>
    <n v="5"/>
    <n v="8"/>
    <n v="4.74"/>
    <n v="1"/>
  </r>
  <r>
    <s v="TCK-14590"/>
    <s v="2024-02-07 03:32:10"/>
    <s v="2024-02-11 15:18:18"/>
    <s v="P4"/>
    <x v="2"/>
    <s v="Infrastructure"/>
    <s v="Pam Beesly"/>
    <s v="Resolved"/>
    <n v="2"/>
    <n v="48"/>
    <n v="107.77"/>
    <n v="0"/>
  </r>
  <r>
    <s v="TCK-14591"/>
    <s v="2024-12-14 21:41:17"/>
    <s v="2024-12-15 18:15:18"/>
    <s v="P3"/>
    <x v="4"/>
    <s v="L2 Support"/>
    <s v="Sarah Connor"/>
    <s v="Resolved"/>
    <n v="4"/>
    <n v="24"/>
    <n v="20.57"/>
    <n v="1"/>
  </r>
  <r>
    <s v="TCK-14592"/>
    <s v="2024-03-28 13:57:51"/>
    <s v="2024-03-28 15:28:25"/>
    <s v="P1"/>
    <x v="4"/>
    <s v="L2 Support"/>
    <s v="Ravi Patel"/>
    <s v="Resolved"/>
    <n v="4"/>
    <n v="4"/>
    <n v="1.51"/>
    <n v="1"/>
  </r>
  <r>
    <s v="TCK-14593"/>
    <s v="2024-08-26 03:43:55"/>
    <m/>
    <s v="P1"/>
    <x v="4"/>
    <s v="Billing Operations"/>
    <s v="Ravi Patel"/>
    <s v="Open"/>
    <m/>
    <n v="4"/>
    <m/>
    <m/>
  </r>
  <r>
    <s v="TCK-14594"/>
    <s v="2024-05-20 06:08:29"/>
    <s v="2024-05-20 10:25:33"/>
    <s v="P3"/>
    <x v="2"/>
    <s v="Billing Operations"/>
    <s v="Anita Sharma"/>
    <s v="Closed"/>
    <n v="4"/>
    <n v="24"/>
    <n v="4.28"/>
    <n v="1"/>
  </r>
  <r>
    <s v="TCK-14595"/>
    <s v="2024-10-14 09:19:43"/>
    <s v="2024-10-14 22:40:04"/>
    <s v="P3"/>
    <x v="1"/>
    <s v="Application Support"/>
    <s v="John Doe"/>
    <s v="Closed"/>
    <n v="4"/>
    <n v="24"/>
    <n v="13.34"/>
    <n v="1"/>
  </r>
  <r>
    <s v="TCK-14596"/>
    <s v="2024-08-31 02:25:04"/>
    <s v="2024-09-01 01:31:51"/>
    <s v="P2"/>
    <x v="2"/>
    <s v="L1 Support"/>
    <s v="Carlos Mendez"/>
    <s v="Closed"/>
    <n v="1"/>
    <n v="8"/>
    <n v="23.11"/>
    <n v="0"/>
  </r>
  <r>
    <s v="TCK-14597"/>
    <s v="2024-01-09 05:04:02"/>
    <s v="2024-01-09 20:44:56"/>
    <s v="P3"/>
    <x v="0"/>
    <s v="Billing Operations"/>
    <s v="Dwight Schrute"/>
    <s v="Resolved"/>
    <n v="4"/>
    <n v="24"/>
    <n v="15.68"/>
    <n v="1"/>
  </r>
  <r>
    <s v="TCK-14598"/>
    <s v="2024-06-30 15:10:39"/>
    <s v="2024-06-30 20:38:54"/>
    <s v="P4"/>
    <x v="3"/>
    <s v="Application Support"/>
    <s v="Emily Watson"/>
    <s v="Resolved"/>
    <n v="5"/>
    <n v="48"/>
    <n v="5.47"/>
    <n v="1"/>
  </r>
  <r>
    <s v="TCK-14599"/>
    <s v="2024-05-30 19:14:53"/>
    <s v="2024-05-30 22:51:35"/>
    <s v="P1"/>
    <x v="2"/>
    <s v="Application Support"/>
    <s v="John Doe"/>
    <s v="Resolved"/>
    <n v="5"/>
    <n v="4"/>
    <n v="3.61"/>
    <n v="1"/>
  </r>
  <r>
    <s v="TCK-14600"/>
    <s v="2024-06-06 16:58:36"/>
    <s v="2024-06-06 22:04:19"/>
    <s v="P2"/>
    <x v="1"/>
    <s v="Infrastructure"/>
    <s v="Carlos Mendez"/>
    <s v="Resolved"/>
    <n v="4"/>
    <n v="8"/>
    <n v="5.0999999999999996"/>
    <n v="1"/>
  </r>
  <r>
    <s v="TCK-14601"/>
    <s v="2024-04-03 08:41:45"/>
    <s v="2024-04-03 18:02:54"/>
    <s v="P2"/>
    <x v="3"/>
    <s v="L2 Support"/>
    <s v="Carlos Mendez"/>
    <s v="Resolved"/>
    <n v="4"/>
    <n v="8"/>
    <n v="9.35"/>
    <n v="0"/>
  </r>
  <r>
    <s v="TCK-14602"/>
    <s v="2024-02-08 08:41:34"/>
    <s v="2024-02-08 14:01:25"/>
    <s v="P3"/>
    <x v="2"/>
    <s v="Application Support"/>
    <s v="Jim Halpert"/>
    <s v="Resolved"/>
    <n v="4"/>
    <n v="24"/>
    <n v="5.33"/>
    <n v="1"/>
  </r>
  <r>
    <s v="TCK-14603"/>
    <s v="2024-11-21 10:12:17"/>
    <s v="2024-11-21 17:13:06"/>
    <s v="P2"/>
    <x v="1"/>
    <s v="L1 Support"/>
    <s v="Ravi Patel"/>
    <s v="Closed"/>
    <n v="5"/>
    <n v="8"/>
    <n v="7.01"/>
    <n v="1"/>
  </r>
  <r>
    <s v="TCK-14604"/>
    <s v="2024-05-27 06:35:37"/>
    <s v="2024-05-27 07:24:21"/>
    <s v="P2"/>
    <x v="0"/>
    <s v="Infrastructure"/>
    <s v="Sarah Connor"/>
    <s v="Closed"/>
    <n v="4"/>
    <n v="8"/>
    <n v="0.81"/>
    <n v="1"/>
  </r>
  <r>
    <s v="TCK-14605"/>
    <s v="2024-06-15 03:49:50"/>
    <s v="2024-06-15 04:26:06"/>
    <s v="P1"/>
    <x v="2"/>
    <s v="Application Support"/>
    <s v="Priya Nair"/>
    <s v="Resolved"/>
    <n v="5"/>
    <n v="4"/>
    <n v="0.6"/>
    <n v="1"/>
  </r>
  <r>
    <s v="TCK-14606"/>
    <s v="2024-12-12 08:49:00"/>
    <s v="2024-12-12 11:27:39"/>
    <s v="P1"/>
    <x v="2"/>
    <s v="L1 Support"/>
    <s v="Carlos Mendez"/>
    <s v="Resolved"/>
    <n v="4"/>
    <n v="4"/>
    <n v="2.64"/>
    <n v="1"/>
  </r>
  <r>
    <s v="TCK-14607"/>
    <s v="2024-11-18 09:44:29"/>
    <m/>
    <s v="P3"/>
    <x v="1"/>
    <s v="Application Support"/>
    <s v="John Doe"/>
    <s v="Open"/>
    <m/>
    <n v="24"/>
    <m/>
    <m/>
  </r>
  <r>
    <s v="TCK-14608"/>
    <s v="2024-04-18 02:04:47"/>
    <s v="2024-04-18 03:33:57"/>
    <s v="P1"/>
    <x v="1"/>
    <s v="Application Support"/>
    <s v="Carlos Mendez"/>
    <s v="Resolved"/>
    <n v="4"/>
    <n v="4"/>
    <n v="1.49"/>
    <n v="1"/>
  </r>
  <r>
    <s v="TCK-14609"/>
    <s v="2024-12-27 11:19:40"/>
    <s v="2024-12-28 09:56:31"/>
    <s v="P2"/>
    <x v="0"/>
    <s v="L1 Support"/>
    <s v="Jim Halpert"/>
    <s v="Resolved"/>
    <n v="1"/>
    <n v="8"/>
    <n v="22.61"/>
    <n v="0"/>
  </r>
  <r>
    <s v="TCK-14610"/>
    <s v="2024-12-14 15:48:19"/>
    <s v="2024-12-14 22:17:11"/>
    <s v="P2"/>
    <x v="2"/>
    <s v="L2 Support"/>
    <s v="Pam Beesly"/>
    <s v="Resolved"/>
    <n v="4"/>
    <n v="8"/>
    <n v="6.48"/>
    <n v="1"/>
  </r>
  <r>
    <s v="TCK-14611"/>
    <s v="2024-11-07 02:53:51"/>
    <s v="2024-11-07 03:52:18"/>
    <s v="P1"/>
    <x v="4"/>
    <s v="Application Support"/>
    <s v="John Doe"/>
    <s v="Closed"/>
    <n v="5"/>
    <n v="4"/>
    <n v="0.97"/>
    <n v="1"/>
  </r>
  <r>
    <s v="TCK-14612"/>
    <s v="2024-01-11 05:59:53"/>
    <s v="2024-01-12 08:51:58"/>
    <s v="P4"/>
    <x v="3"/>
    <s v="L1 Support"/>
    <s v="Jim Halpert"/>
    <s v="Resolved"/>
    <n v="4"/>
    <n v="48"/>
    <n v="26.87"/>
    <n v="1"/>
  </r>
  <r>
    <s v="TCK-14613"/>
    <s v="2024-03-27 16:41:17"/>
    <s v="2024-03-28 01:33:02"/>
    <s v="P3"/>
    <x v="0"/>
    <s v="Application Support"/>
    <s v="Sarah Connor"/>
    <s v="Resolved"/>
    <n v="4"/>
    <n v="24"/>
    <n v="8.86"/>
    <n v="1"/>
  </r>
  <r>
    <s v="TCK-14614"/>
    <s v="2024-11-11 01:16:24"/>
    <s v="2024-11-11 03:38:30"/>
    <s v="P1"/>
    <x v="3"/>
    <s v="Billing Operations"/>
    <s v="Priya Nair"/>
    <s v="Resolved"/>
    <n v="4"/>
    <n v="4"/>
    <n v="2.37"/>
    <n v="1"/>
  </r>
  <r>
    <s v="TCK-14615"/>
    <s v="2024-11-15 01:22:56"/>
    <s v="2024-11-15 04:45:08"/>
    <s v="P3"/>
    <x v="2"/>
    <s v="Billing Operations"/>
    <s v="Sarah Connor"/>
    <s v="Resolved"/>
    <n v="5"/>
    <n v="24"/>
    <n v="3.37"/>
    <n v="1"/>
  </r>
  <r>
    <s v="TCK-14616"/>
    <s v="2024-09-21 10:40:02"/>
    <s v="2024-09-22 05:42:01"/>
    <s v="P3"/>
    <x v="2"/>
    <s v="Application Support"/>
    <s v="Jim Halpert"/>
    <s v="Resolved"/>
    <n v="4"/>
    <n v="24"/>
    <n v="19.03"/>
    <n v="1"/>
  </r>
  <r>
    <s v="TCK-14617"/>
    <s v="2024-06-16 08:55:38"/>
    <s v="2024-06-16 14:34:18"/>
    <s v="P2"/>
    <x v="4"/>
    <s v="Infrastructure"/>
    <s v="Alex Mercer"/>
    <s v="Resolved"/>
    <n v="4"/>
    <n v="8"/>
    <n v="5.64"/>
    <n v="1"/>
  </r>
  <r>
    <s v="TCK-14618"/>
    <s v="2024-12-22 20:44:27"/>
    <s v="2024-12-23 18:48:38"/>
    <s v="P3"/>
    <x v="2"/>
    <s v="Billing Operations"/>
    <s v="Michael Scott"/>
    <s v="Resolved"/>
    <n v="5"/>
    <n v="24"/>
    <n v="22.07"/>
    <n v="1"/>
  </r>
  <r>
    <s v="TCK-14619"/>
    <s v="2024-05-22 05:32:22"/>
    <s v="2024-05-22 08:37:11"/>
    <s v="P1"/>
    <x v="0"/>
    <s v="Application Support"/>
    <s v="Michael Scott"/>
    <s v="Closed"/>
    <n v="4"/>
    <n v="4"/>
    <n v="3.08"/>
    <n v="1"/>
  </r>
  <r>
    <s v="TCK-14620"/>
    <s v="2024-03-30 19:03:11"/>
    <s v="2024-03-31 05:28:11"/>
    <s v="P3"/>
    <x v="2"/>
    <s v="L1 Support"/>
    <s v="Carlos Mendez"/>
    <s v="Closed"/>
    <n v="4"/>
    <n v="24"/>
    <n v="10.42"/>
    <n v="1"/>
  </r>
  <r>
    <s v="TCK-14621"/>
    <s v="2024-08-19 20:16:48"/>
    <s v="2024-08-20 03:15:54"/>
    <s v="P3"/>
    <x v="2"/>
    <s v="Billing Operations"/>
    <s v="Pam Beesly"/>
    <s v="Closed"/>
    <n v="3"/>
    <n v="24"/>
    <n v="6.98"/>
    <n v="1"/>
  </r>
  <r>
    <s v="TCK-14622"/>
    <s v="2024-06-08 21:44:36"/>
    <s v="2024-06-09 02:45:19"/>
    <s v="P3"/>
    <x v="0"/>
    <s v="Infrastructure"/>
    <s v="Ravi Patel"/>
    <s v="Resolved"/>
    <n v="5"/>
    <n v="24"/>
    <n v="5.01"/>
    <n v="1"/>
  </r>
  <r>
    <s v="TCK-14623"/>
    <s v="2024-07-19 11:20:19"/>
    <m/>
    <s v="P2"/>
    <x v="1"/>
    <s v="L1 Support"/>
    <s v="Michael Scott"/>
    <s v="Open"/>
    <m/>
    <n v="8"/>
    <m/>
    <m/>
  </r>
  <r>
    <s v="TCK-14624"/>
    <s v="2024-07-17 20:20:01"/>
    <s v="2024-07-18 23:51:46"/>
    <s v="P4"/>
    <x v="3"/>
    <s v="Infrastructure"/>
    <s v="Anita Sharma"/>
    <s v="Resolved"/>
    <n v="5"/>
    <n v="48"/>
    <n v="27.53"/>
    <n v="1"/>
  </r>
  <r>
    <s v="TCK-14625"/>
    <s v="2024-06-30 13:15:18"/>
    <s v="2024-07-01 01:15:13"/>
    <s v="P3"/>
    <x v="2"/>
    <s v="Billing Operations"/>
    <s v="Alex Mercer"/>
    <s v="Resolved"/>
    <n v="5"/>
    <n v="24"/>
    <n v="12"/>
    <n v="1"/>
  </r>
  <r>
    <s v="TCK-14626"/>
    <s v="2024-08-08 22:08:40"/>
    <m/>
    <s v="P2"/>
    <x v="1"/>
    <s v="L1 Support"/>
    <s v="Dwight Schrute"/>
    <s v="Open"/>
    <m/>
    <n v="8"/>
    <m/>
    <m/>
  </r>
  <r>
    <s v="TCK-14627"/>
    <s v="2024-11-28 00:52:57"/>
    <s v="2024-11-28 13:33:59"/>
    <s v="P3"/>
    <x v="1"/>
    <s v="Infrastructure"/>
    <s v="Pam Beesly"/>
    <s v="Resolved"/>
    <n v="4"/>
    <n v="24"/>
    <n v="12.68"/>
    <n v="1"/>
  </r>
  <r>
    <s v="TCK-14628"/>
    <s v="2024-07-25 03:33:35"/>
    <s v="2024-07-25 18:10:36"/>
    <s v="P3"/>
    <x v="3"/>
    <s v="Application Support"/>
    <s v="Emily Watson"/>
    <s v="Resolved"/>
    <n v="4"/>
    <n v="24"/>
    <n v="14.62"/>
    <n v="1"/>
  </r>
  <r>
    <s v="TCK-14629"/>
    <s v="2024-01-03 05:47:01"/>
    <s v="2024-01-04 02:10:09"/>
    <s v="P3"/>
    <x v="3"/>
    <s v="Application Support"/>
    <s v="Priya Nair"/>
    <s v="Resolved"/>
    <n v="4"/>
    <n v="24"/>
    <n v="20.39"/>
    <n v="1"/>
  </r>
  <r>
    <s v="TCK-14630"/>
    <s v="2024-02-10 13:02:02"/>
    <s v="2024-02-10 15:16:00"/>
    <s v="P2"/>
    <x v="3"/>
    <s v="Billing Operations"/>
    <s v="Alex Mercer"/>
    <s v="Resolved"/>
    <n v="5"/>
    <n v="8"/>
    <n v="2.23"/>
    <n v="1"/>
  </r>
  <r>
    <s v="TCK-14631"/>
    <s v="2024-05-18 10:20:26"/>
    <m/>
    <s v="P4"/>
    <x v="1"/>
    <s v="Billing Operations"/>
    <s v="Carlos Mendez"/>
    <s v="Open"/>
    <m/>
    <n v="48"/>
    <m/>
    <m/>
  </r>
  <r>
    <s v="TCK-14632"/>
    <s v="2024-08-31 02:49:09"/>
    <s v="2024-08-31 03:44:34"/>
    <s v="P2"/>
    <x v="2"/>
    <s v="Billing Operations"/>
    <s v="Emily Watson"/>
    <s v="Closed"/>
    <n v="4"/>
    <n v="8"/>
    <n v="0.92"/>
    <n v="1"/>
  </r>
  <r>
    <s v="TCK-14633"/>
    <s v="2024-10-27 23:38:53"/>
    <s v="2024-10-29 20:26:41"/>
    <s v="P3"/>
    <x v="2"/>
    <s v="Application Support"/>
    <s v="Pam Beesly"/>
    <s v="Resolved"/>
    <n v="1"/>
    <n v="24"/>
    <n v="44.8"/>
    <n v="0"/>
  </r>
  <r>
    <s v="TCK-14634"/>
    <s v="2024-08-05 09:30:28"/>
    <s v="2024-08-05 17:08:35"/>
    <s v="P4"/>
    <x v="2"/>
    <s v="L1 Support"/>
    <s v="Jim Halpert"/>
    <s v="Resolved"/>
    <n v="4"/>
    <n v="48"/>
    <n v="7.64"/>
    <n v="1"/>
  </r>
  <r>
    <s v="TCK-14635"/>
    <s v="2024-04-11 22:31:12"/>
    <s v="2024-04-12 14:14:21"/>
    <s v="P4"/>
    <x v="3"/>
    <s v="L2 Support"/>
    <s v="Pam Beesly"/>
    <s v="Resolved"/>
    <n v="5"/>
    <n v="48"/>
    <n v="15.72"/>
    <n v="1"/>
  </r>
  <r>
    <s v="TCK-14636"/>
    <s v="2024-12-07 18:37:12"/>
    <s v="2024-12-12 20:25:29"/>
    <s v="P4"/>
    <x v="4"/>
    <s v="Billing Operations"/>
    <s v="Emily Watson"/>
    <s v="Resolved"/>
    <n v="2"/>
    <n v="48"/>
    <n v="121.8"/>
    <n v="0"/>
  </r>
  <r>
    <s v="TCK-14637"/>
    <s v="2024-08-21 02:57:29"/>
    <s v="2024-08-21 12:24:39"/>
    <s v="P3"/>
    <x v="0"/>
    <s v="Application Support"/>
    <s v="Alex Mercer"/>
    <s v="Resolved"/>
    <n v="4"/>
    <n v="24"/>
    <n v="9.4499999999999993"/>
    <n v="1"/>
  </r>
  <r>
    <s v="TCK-14638"/>
    <s v="2024-11-09 06:32:47"/>
    <s v="2024-11-09 10:39:42"/>
    <s v="P3"/>
    <x v="2"/>
    <s v="L2 Support"/>
    <s v="Michael Scott"/>
    <s v="Closed"/>
    <n v="5"/>
    <n v="24"/>
    <n v="4.12"/>
    <n v="1"/>
  </r>
  <r>
    <s v="TCK-14639"/>
    <s v="2024-08-22 06:52:24"/>
    <s v="2024-08-22 22:58:52"/>
    <s v="P3"/>
    <x v="0"/>
    <s v="Application Support"/>
    <s v="Pam Beesly"/>
    <s v="Resolved"/>
    <n v="5"/>
    <n v="24"/>
    <n v="16.11"/>
    <n v="1"/>
  </r>
  <r>
    <s v="TCK-14640"/>
    <s v="2024-11-28 20:29:28"/>
    <s v="2024-11-30 19:09:50"/>
    <s v="P3"/>
    <x v="2"/>
    <s v="Billing Operations"/>
    <s v="Anita Sharma"/>
    <s v="Resolved"/>
    <n v="1"/>
    <n v="24"/>
    <n v="46.67"/>
    <n v="0"/>
  </r>
  <r>
    <s v="TCK-14641"/>
    <s v="2024-04-30 17:41:25"/>
    <s v="2024-05-01 08:31:33"/>
    <s v="P3"/>
    <x v="0"/>
    <s v="Infrastructure"/>
    <s v="Anita Sharma"/>
    <s v="Resolved"/>
    <n v="3"/>
    <n v="24"/>
    <n v="14.84"/>
    <n v="1"/>
  </r>
  <r>
    <s v="TCK-14642"/>
    <s v="2024-12-27 07:13:39"/>
    <s v="2024-12-27 10:40:38"/>
    <s v="P1"/>
    <x v="2"/>
    <s v="Infrastructure"/>
    <s v="Alex Mercer"/>
    <s v="Resolved"/>
    <n v="5"/>
    <n v="4"/>
    <n v="3.45"/>
    <n v="1"/>
  </r>
  <r>
    <s v="TCK-14643"/>
    <s v="2024-11-26 00:29:31"/>
    <s v="2024-11-26 19:25:23"/>
    <s v="P3"/>
    <x v="1"/>
    <s v="L1 Support"/>
    <s v="Ravi Patel"/>
    <s v="Closed"/>
    <n v="5"/>
    <n v="24"/>
    <n v="18.93"/>
    <n v="1"/>
  </r>
  <r>
    <s v="TCK-14644"/>
    <s v="2024-07-12 07:33:47"/>
    <s v="2024-07-13 07:41:38"/>
    <s v="P4"/>
    <x v="2"/>
    <s v="Billing Operations"/>
    <s v="Carlos Mendez"/>
    <s v="Resolved"/>
    <n v="5"/>
    <n v="48"/>
    <n v="24.13"/>
    <n v="1"/>
  </r>
  <r>
    <s v="TCK-14645"/>
    <s v="2024-03-04 01:43:40"/>
    <s v="2024-03-05 01:02:52"/>
    <s v="P4"/>
    <x v="0"/>
    <s v="Billing Operations"/>
    <s v="Carlos Mendez"/>
    <s v="Closed"/>
    <n v="3"/>
    <n v="48"/>
    <n v="23.32"/>
    <n v="1"/>
  </r>
  <r>
    <s v="TCK-14646"/>
    <s v="2024-10-06 12:43:00"/>
    <s v="2024-10-06 18:48:35"/>
    <s v="P3"/>
    <x v="4"/>
    <s v="Billing Operations"/>
    <s v="Sarah Connor"/>
    <s v="Resolved"/>
    <n v="4"/>
    <n v="24"/>
    <n v="6.09"/>
    <n v="1"/>
  </r>
  <r>
    <s v="TCK-14647"/>
    <s v="2024-04-30 00:39:29"/>
    <s v="2024-04-30 14:23:56"/>
    <s v="P3"/>
    <x v="1"/>
    <s v="Infrastructure"/>
    <s v="Ravi Patel"/>
    <s v="Closed"/>
    <n v="5"/>
    <n v="24"/>
    <n v="13.74"/>
    <n v="1"/>
  </r>
  <r>
    <s v="TCK-14648"/>
    <s v="2024-06-23 19:20:54"/>
    <s v="2024-06-24 06:40:07"/>
    <s v="P4"/>
    <x v="2"/>
    <s v="L2 Support"/>
    <s v="Jim Halpert"/>
    <s v="Resolved"/>
    <n v="5"/>
    <n v="48"/>
    <n v="11.32"/>
    <n v="1"/>
  </r>
  <r>
    <s v="TCK-14649"/>
    <s v="2024-08-03 04:27:01"/>
    <s v="2024-08-04 08:11:18"/>
    <s v="P4"/>
    <x v="0"/>
    <s v="Billing Operations"/>
    <s v="Sarah Connor"/>
    <s v="Resolved"/>
    <n v="5"/>
    <n v="48"/>
    <n v="27.74"/>
    <n v="1"/>
  </r>
  <r>
    <s v="TCK-14650"/>
    <s v="2024-07-26 17:30:06"/>
    <s v="2024-07-26 21:12:24"/>
    <s v="P3"/>
    <x v="4"/>
    <s v="L2 Support"/>
    <s v="Michael Scott"/>
    <s v="Closed"/>
    <n v="5"/>
    <n v="24"/>
    <n v="3.7"/>
    <n v="1"/>
  </r>
  <r>
    <s v="TCK-14651"/>
    <s v="2024-01-11 08:46:51"/>
    <m/>
    <s v="P3"/>
    <x v="2"/>
    <s v="Infrastructure"/>
    <s v="Carlos Mendez"/>
    <s v="Escalated"/>
    <m/>
    <n v="24"/>
    <m/>
    <m/>
  </r>
  <r>
    <s v="TCK-14652"/>
    <s v="2024-10-29 15:05:27"/>
    <s v="2024-10-29 17:46:54"/>
    <s v="P2"/>
    <x v="2"/>
    <s v="Application Support"/>
    <s v="Priya Nair"/>
    <s v="Resolved"/>
    <n v="4"/>
    <n v="8"/>
    <n v="2.69"/>
    <n v="1"/>
  </r>
  <r>
    <s v="TCK-14653"/>
    <s v="2024-06-11 00:27:03"/>
    <s v="2024-06-11 04:36:12"/>
    <s v="P2"/>
    <x v="2"/>
    <s v="Infrastructure"/>
    <s v="Anita Sharma"/>
    <s v="Resolved"/>
    <n v="4"/>
    <n v="8"/>
    <n v="4.1500000000000004"/>
    <n v="1"/>
  </r>
  <r>
    <s v="TCK-14654"/>
    <s v="2024-10-19 03:19:56"/>
    <m/>
    <s v="P3"/>
    <x v="2"/>
    <s v="Billing Operations"/>
    <s v="Priya Nair"/>
    <s v="Open"/>
    <m/>
    <n v="24"/>
    <m/>
    <m/>
  </r>
  <r>
    <s v="TCK-14655"/>
    <s v="2024-02-07 09:55:13"/>
    <s v="2024-02-07 16:03:13"/>
    <s v="P2"/>
    <x v="2"/>
    <s v="L1 Support"/>
    <s v="Alex Mercer"/>
    <s v="Closed"/>
    <n v="4"/>
    <n v="8"/>
    <n v="6.13"/>
    <n v="1"/>
  </r>
  <r>
    <s v="TCK-14656"/>
    <s v="2024-01-18 20:41:43"/>
    <s v="2024-01-19 02:46:07"/>
    <s v="P2"/>
    <x v="0"/>
    <s v="L1 Support"/>
    <s v="Alex Mercer"/>
    <s v="Closed"/>
    <n v="4"/>
    <n v="8"/>
    <n v="6.07"/>
    <n v="1"/>
  </r>
  <r>
    <s v="TCK-14657"/>
    <s v="2024-08-24 04:08:24"/>
    <s v="2024-08-24 16:48:26"/>
    <s v="P3"/>
    <x v="3"/>
    <s v="Billing Operations"/>
    <s v="Priya Nair"/>
    <s v="Resolved"/>
    <n v="5"/>
    <n v="24"/>
    <n v="12.67"/>
    <n v="1"/>
  </r>
  <r>
    <s v="TCK-14658"/>
    <s v="2024-10-18 06:39:35"/>
    <s v="2024-10-20 17:08:34"/>
    <s v="P3"/>
    <x v="1"/>
    <s v="L2 Support"/>
    <s v="Priya Nair"/>
    <s v="Resolved"/>
    <n v="2"/>
    <n v="24"/>
    <n v="58.48"/>
    <n v="0"/>
  </r>
  <r>
    <s v="TCK-14659"/>
    <s v="2024-10-15 01:14:12"/>
    <s v="2024-10-15 15:48:23"/>
    <s v="P3"/>
    <x v="0"/>
    <s v="Infrastructure"/>
    <s v="Sarah Connor"/>
    <s v="Closed"/>
    <n v="5"/>
    <n v="24"/>
    <n v="14.57"/>
    <n v="1"/>
  </r>
  <r>
    <s v="TCK-14660"/>
    <s v="2024-11-11 20:33:44"/>
    <s v="2024-11-13 21:34:14"/>
    <s v="P3"/>
    <x v="3"/>
    <s v="Infrastructure"/>
    <s v="Michael Scott"/>
    <s v="Resolved"/>
    <n v="3"/>
    <n v="24"/>
    <n v="49.01"/>
    <n v="0"/>
  </r>
  <r>
    <s v="TCK-14661"/>
    <s v="2024-11-21 03:01:24"/>
    <s v="2024-11-21 06:38:38"/>
    <s v="P3"/>
    <x v="4"/>
    <s v="L2 Support"/>
    <s v="Carlos Mendez"/>
    <s v="Resolved"/>
    <n v="5"/>
    <n v="24"/>
    <n v="3.62"/>
    <n v="1"/>
  </r>
  <r>
    <s v="TCK-14662"/>
    <s v="2024-03-14 03:45:33"/>
    <s v="2024-03-15 17:02:23"/>
    <s v="P4"/>
    <x v="0"/>
    <s v="L2 Support"/>
    <s v="Pam Beesly"/>
    <s v="Closed"/>
    <n v="5"/>
    <n v="48"/>
    <n v="37.28"/>
    <n v="1"/>
  </r>
  <r>
    <s v="TCK-14663"/>
    <s v="2024-07-11 19:00:09"/>
    <s v="2024-07-11 23:34:53"/>
    <s v="P3"/>
    <x v="3"/>
    <s v="L2 Support"/>
    <s v="Priya Nair"/>
    <s v="Resolved"/>
    <n v="4"/>
    <n v="24"/>
    <n v="4.58"/>
    <n v="1"/>
  </r>
  <r>
    <s v="TCK-14664"/>
    <s v="2024-03-28 11:33:07"/>
    <s v="2024-03-28 14:54:19"/>
    <s v="P3"/>
    <x v="2"/>
    <s v="L2 Support"/>
    <s v="Pam Beesly"/>
    <s v="Resolved"/>
    <n v="4"/>
    <n v="24"/>
    <n v="3.35"/>
    <n v="1"/>
  </r>
  <r>
    <s v="TCK-14665"/>
    <s v="2024-12-16 00:08:55"/>
    <s v="2024-12-16 03:56:50"/>
    <s v="P1"/>
    <x v="3"/>
    <s v="Application Support"/>
    <s v="Dwight Schrute"/>
    <s v="Resolved"/>
    <n v="4"/>
    <n v="4"/>
    <n v="3.8"/>
    <n v="1"/>
  </r>
  <r>
    <s v="TCK-14666"/>
    <s v="2024-03-01 19:41:27"/>
    <s v="2024-03-03 15:33:22"/>
    <s v="P4"/>
    <x v="3"/>
    <s v="Application Support"/>
    <s v="Sarah Connor"/>
    <s v="Resolved"/>
    <n v="3"/>
    <n v="48"/>
    <n v="43.87"/>
    <n v="1"/>
  </r>
  <r>
    <s v="TCK-14667"/>
    <s v="2024-12-05 12:10:27"/>
    <s v="2024-12-05 15:03:13"/>
    <s v="P3"/>
    <x v="4"/>
    <s v="Application Support"/>
    <s v="John Doe"/>
    <s v="Closed"/>
    <n v="4"/>
    <n v="24"/>
    <n v="2.88"/>
    <n v="1"/>
  </r>
  <r>
    <s v="TCK-14668"/>
    <s v="2024-07-18 01:35:01"/>
    <s v="2024-07-19 10:38:37"/>
    <s v="P3"/>
    <x v="1"/>
    <s v="Application Support"/>
    <s v="Dwight Schrute"/>
    <s v="Resolved"/>
    <n v="3"/>
    <n v="24"/>
    <n v="33.06"/>
    <n v="0"/>
  </r>
  <r>
    <s v="TCK-14669"/>
    <s v="2024-01-14 18:55:12"/>
    <s v="2024-01-15 06:56:28"/>
    <s v="P2"/>
    <x v="2"/>
    <s v="L2 Support"/>
    <s v="Sarah Connor"/>
    <s v="Resolved"/>
    <n v="1"/>
    <n v="8"/>
    <n v="12.02"/>
    <n v="0"/>
  </r>
  <r>
    <s v="TCK-14670"/>
    <s v="2024-07-17 12:06:31"/>
    <s v="2024-07-17 14:49:52"/>
    <s v="P2"/>
    <x v="2"/>
    <s v="Application Support"/>
    <s v="John Doe"/>
    <s v="Resolved"/>
    <n v="5"/>
    <n v="8"/>
    <n v="2.72"/>
    <n v="1"/>
  </r>
  <r>
    <s v="TCK-14671"/>
    <s v="2024-12-12 11:47:52"/>
    <s v="2024-12-12 22:10:10"/>
    <s v="P3"/>
    <x v="4"/>
    <s v="L1 Support"/>
    <s v="Carlos Mendez"/>
    <s v="Resolved"/>
    <n v="5"/>
    <n v="24"/>
    <n v="10.37"/>
    <n v="1"/>
  </r>
  <r>
    <s v="TCK-14672"/>
    <s v="2024-05-04 17:09:20"/>
    <s v="2024-05-04 20:52:29"/>
    <s v="P3"/>
    <x v="0"/>
    <s v="L1 Support"/>
    <s v="Carlos Mendez"/>
    <s v="Closed"/>
    <n v="4"/>
    <n v="24"/>
    <n v="3.72"/>
    <n v="1"/>
  </r>
  <r>
    <s v="TCK-14673"/>
    <s v="2024-09-29 19:07:17"/>
    <s v="2024-09-30 13:14:44"/>
    <s v="P3"/>
    <x v="4"/>
    <s v="L2 Support"/>
    <s v="Sarah Connor"/>
    <s v="Closed"/>
    <n v="3"/>
    <n v="24"/>
    <n v="18.12"/>
    <n v="1"/>
  </r>
  <r>
    <s v="TCK-14674"/>
    <s v="2024-11-12 10:28:47"/>
    <m/>
    <s v="P3"/>
    <x v="2"/>
    <s v="Application Support"/>
    <s v="Jim Halpert"/>
    <s v="Escalated"/>
    <m/>
    <n v="24"/>
    <m/>
    <m/>
  </r>
  <r>
    <s v="TCK-14675"/>
    <s v="2024-04-21 14:15:08"/>
    <s v="2024-04-22 20:47:01"/>
    <s v="P3"/>
    <x v="2"/>
    <s v="L2 Support"/>
    <s v="Michael Scott"/>
    <s v="Resolved"/>
    <n v="3"/>
    <n v="24"/>
    <n v="30.53"/>
    <n v="0"/>
  </r>
  <r>
    <s v="TCK-14676"/>
    <s v="2024-08-07 20:00:56"/>
    <s v="2024-08-08 11:41:26"/>
    <s v="P2"/>
    <x v="2"/>
    <s v="L2 Support"/>
    <s v="Ravi Patel"/>
    <s v="Closed"/>
    <n v="2"/>
    <n v="8"/>
    <n v="15.68"/>
    <n v="0"/>
  </r>
  <r>
    <s v="TCK-14677"/>
    <s v="2024-05-22 08:30:21"/>
    <m/>
    <s v="P3"/>
    <x v="1"/>
    <s v="Billing Operations"/>
    <s v="Alex Mercer"/>
    <s v="Open"/>
    <m/>
    <n v="24"/>
    <m/>
    <m/>
  </r>
  <r>
    <s v="TCK-14678"/>
    <s v="2024-06-25 07:02:56"/>
    <s v="2024-06-25 14:03:16"/>
    <s v="P2"/>
    <x v="1"/>
    <s v="Application Support"/>
    <s v="Dwight Schrute"/>
    <s v="Closed"/>
    <n v="5"/>
    <n v="8"/>
    <n v="7.01"/>
    <n v="1"/>
  </r>
  <r>
    <s v="TCK-14679"/>
    <s v="2024-04-25 12:37:44"/>
    <s v="2024-04-26 00:00:51"/>
    <s v="P3"/>
    <x v="0"/>
    <s v="L2 Support"/>
    <s v="Jim Halpert"/>
    <s v="Resolved"/>
    <n v="5"/>
    <n v="24"/>
    <n v="11.39"/>
    <n v="1"/>
  </r>
  <r>
    <s v="TCK-14680"/>
    <s v="2024-05-15 09:33:00"/>
    <m/>
    <s v="P3"/>
    <x v="4"/>
    <s v="L1 Support"/>
    <s v="Pam Beesly"/>
    <s v="Escalated"/>
    <m/>
    <n v="24"/>
    <m/>
    <m/>
  </r>
  <r>
    <s v="TCK-14681"/>
    <s v="2024-03-02 02:07:19"/>
    <s v="2024-03-03 15:48:52"/>
    <s v="P3"/>
    <x v="2"/>
    <s v="Billing Operations"/>
    <s v="Jim Halpert"/>
    <s v="Resolved"/>
    <n v="1"/>
    <n v="24"/>
    <n v="37.69"/>
    <n v="0"/>
  </r>
  <r>
    <s v="TCK-14682"/>
    <s v="2024-10-27 07:39:52"/>
    <s v="2024-10-28 00:35:04"/>
    <s v="P2"/>
    <x v="4"/>
    <s v="Billing Operations"/>
    <s v="Anita Sharma"/>
    <s v="Closed"/>
    <n v="2"/>
    <n v="8"/>
    <n v="16.920000000000002"/>
    <n v="0"/>
  </r>
  <r>
    <s v="TCK-14683"/>
    <s v="2024-03-08 15:35:53"/>
    <s v="2024-03-09 09:11:40"/>
    <s v="P4"/>
    <x v="2"/>
    <s v="Application Support"/>
    <s v="Anita Sharma"/>
    <s v="Resolved"/>
    <n v="3"/>
    <n v="48"/>
    <n v="17.600000000000001"/>
    <n v="1"/>
  </r>
  <r>
    <s v="TCK-14684"/>
    <s v="2024-05-29 00:39:35"/>
    <s v="2024-05-29 18:35:29"/>
    <s v="P3"/>
    <x v="2"/>
    <s v="Infrastructure"/>
    <s v="Sarah Connor"/>
    <s v="Resolved"/>
    <n v="5"/>
    <n v="24"/>
    <n v="17.93"/>
    <n v="1"/>
  </r>
  <r>
    <s v="TCK-14685"/>
    <s v="2024-10-20 15:48:32"/>
    <s v="2024-10-22 04:43:50"/>
    <s v="P3"/>
    <x v="0"/>
    <s v="L1 Support"/>
    <s v="Anita Sharma"/>
    <s v="Resolved"/>
    <n v="2"/>
    <n v="24"/>
    <n v="36.92"/>
    <n v="0"/>
  </r>
  <r>
    <s v="TCK-14686"/>
    <s v="2024-01-27 07:42:42"/>
    <s v="2024-01-28 23:55:51"/>
    <s v="P4"/>
    <x v="1"/>
    <s v="L2 Support"/>
    <s v="Michael Scott"/>
    <s v="Closed"/>
    <n v="5"/>
    <n v="48"/>
    <n v="40.22"/>
    <n v="1"/>
  </r>
  <r>
    <s v="TCK-14687"/>
    <s v="2024-01-09 01:25:29"/>
    <s v="2024-01-09 22:57:29"/>
    <s v="P3"/>
    <x v="3"/>
    <s v="Application Support"/>
    <s v="Jim Halpert"/>
    <s v="Closed"/>
    <n v="4"/>
    <n v="24"/>
    <n v="21.53"/>
    <n v="1"/>
  </r>
  <r>
    <s v="TCK-14688"/>
    <s v="2024-02-04 23:12:52"/>
    <s v="2024-02-05 20:17:58"/>
    <s v="P3"/>
    <x v="3"/>
    <s v="L1 Support"/>
    <s v="Pam Beesly"/>
    <s v="Resolved"/>
    <n v="5"/>
    <n v="24"/>
    <n v="21.08"/>
    <n v="1"/>
  </r>
  <r>
    <s v="TCK-14689"/>
    <s v="2024-04-06 17:57:39"/>
    <s v="2024-04-06 19:24:19"/>
    <s v="P2"/>
    <x v="1"/>
    <s v="Infrastructure"/>
    <s v="Dwight Schrute"/>
    <s v="Resolved"/>
    <n v="5"/>
    <n v="8"/>
    <n v="1.44"/>
    <n v="1"/>
  </r>
  <r>
    <s v="TCK-14690"/>
    <s v="2024-02-11 23:16:47"/>
    <s v="2024-02-12 03:52:35"/>
    <s v="P2"/>
    <x v="3"/>
    <s v="L2 Support"/>
    <s v="Anita Sharma"/>
    <s v="Closed"/>
    <n v="4"/>
    <n v="8"/>
    <n v="4.5999999999999996"/>
    <n v="1"/>
  </r>
  <r>
    <s v="TCK-14691"/>
    <s v="2024-10-28 01:52:26"/>
    <s v="2024-10-28 18:59:49"/>
    <s v="P4"/>
    <x v="3"/>
    <s v="Infrastructure"/>
    <s v="Emily Watson"/>
    <s v="Resolved"/>
    <n v="5"/>
    <n v="48"/>
    <n v="17.12"/>
    <n v="1"/>
  </r>
  <r>
    <s v="TCK-14692"/>
    <s v="2024-12-22 13:59:16"/>
    <s v="2024-12-23 14:40:44"/>
    <s v="P4"/>
    <x v="0"/>
    <s v="L1 Support"/>
    <s v="John Doe"/>
    <s v="Closed"/>
    <n v="5"/>
    <n v="48"/>
    <n v="24.69"/>
    <n v="1"/>
  </r>
  <r>
    <s v="TCK-14693"/>
    <s v="2024-04-07 07:44:12"/>
    <s v="2024-04-07 10:12:14"/>
    <s v="P1"/>
    <x v="1"/>
    <s v="L1 Support"/>
    <s v="Pam Beesly"/>
    <s v="Resolved"/>
    <n v="3"/>
    <n v="4"/>
    <n v="2.4700000000000002"/>
    <n v="1"/>
  </r>
  <r>
    <s v="TCK-14694"/>
    <s v="2024-11-27 12:20:01"/>
    <s v="2024-11-27 19:09:10"/>
    <s v="P3"/>
    <x v="4"/>
    <s v="L1 Support"/>
    <s v="Ravi Patel"/>
    <s v="Resolved"/>
    <n v="5"/>
    <n v="24"/>
    <n v="6.82"/>
    <n v="1"/>
  </r>
  <r>
    <s v="TCK-14695"/>
    <s v="2024-01-11 02:31:42"/>
    <s v="2024-01-11 05:53:22"/>
    <s v="P2"/>
    <x v="1"/>
    <s v="L1 Support"/>
    <s v="Priya Nair"/>
    <s v="Closed"/>
    <n v="5"/>
    <n v="8"/>
    <n v="3.36"/>
    <n v="1"/>
  </r>
  <r>
    <s v="TCK-14696"/>
    <s v="2024-03-27 07:11:19"/>
    <s v="2024-03-27 14:31:34"/>
    <s v="P2"/>
    <x v="3"/>
    <s v="Application Support"/>
    <s v="Anita Sharma"/>
    <s v="Closed"/>
    <n v="5"/>
    <n v="8"/>
    <n v="7.34"/>
    <n v="1"/>
  </r>
  <r>
    <s v="TCK-14697"/>
    <s v="2024-01-27 22:20:49"/>
    <s v="2024-01-28 10:02:28"/>
    <s v="P1"/>
    <x v="0"/>
    <s v="Billing Operations"/>
    <s v="Michael Scott"/>
    <s v="Resolved"/>
    <n v="1"/>
    <n v="4"/>
    <n v="11.69"/>
    <n v="0"/>
  </r>
  <r>
    <s v="TCK-14698"/>
    <s v="2024-12-20 17:57:22"/>
    <s v="2024-12-21 04:38:20"/>
    <s v="P4"/>
    <x v="2"/>
    <s v="Application Support"/>
    <s v="Dwight Schrute"/>
    <s v="Closed"/>
    <n v="4"/>
    <n v="48"/>
    <n v="10.68"/>
    <n v="1"/>
  </r>
  <r>
    <s v="TCK-14699"/>
    <s v="2024-10-01 09:09:36"/>
    <s v="2024-10-01 14:47:50"/>
    <s v="P3"/>
    <x v="0"/>
    <s v="Billing Operations"/>
    <s v="Ravi Patel"/>
    <s v="Closed"/>
    <n v="4"/>
    <n v="24"/>
    <n v="5.64"/>
    <n v="1"/>
  </r>
  <r>
    <s v="TCK-14700"/>
    <s v="2024-11-10 09:52:13"/>
    <s v="2024-11-10 12:51:11"/>
    <s v="P2"/>
    <x v="2"/>
    <s v="Billing Operations"/>
    <s v="Michael Scott"/>
    <s v="Closed"/>
    <n v="3"/>
    <n v="8"/>
    <n v="2.98"/>
    <n v="1"/>
  </r>
  <r>
    <s v="TCK-14701"/>
    <s v="2024-03-08 04:40:37"/>
    <s v="2024-03-09 00:16:58"/>
    <s v="P3"/>
    <x v="0"/>
    <s v="L2 Support"/>
    <s v="Alex Mercer"/>
    <s v="Resolved"/>
    <n v="5"/>
    <n v="24"/>
    <n v="19.61"/>
    <n v="1"/>
  </r>
  <r>
    <s v="TCK-14702"/>
    <s v="2024-05-23 19:28:10"/>
    <m/>
    <s v="P3"/>
    <x v="1"/>
    <s v="Application Support"/>
    <s v="Priya Nair"/>
    <s v="Open"/>
    <m/>
    <n v="24"/>
    <m/>
    <m/>
  </r>
  <r>
    <s v="TCK-14703"/>
    <s v="2024-02-16 22:19:29"/>
    <s v="2024-02-17 06:32:49"/>
    <s v="P3"/>
    <x v="2"/>
    <s v="Application Support"/>
    <s v="Ravi Patel"/>
    <s v="Closed"/>
    <n v="5"/>
    <n v="24"/>
    <n v="8.2200000000000006"/>
    <n v="1"/>
  </r>
  <r>
    <s v="TCK-14704"/>
    <s v="2024-05-14 11:01:19"/>
    <s v="2024-05-15 18:18:40"/>
    <s v="P4"/>
    <x v="2"/>
    <s v="Billing Operations"/>
    <s v="Anita Sharma"/>
    <s v="Closed"/>
    <n v="4"/>
    <n v="48"/>
    <n v="31.29"/>
    <n v="1"/>
  </r>
  <r>
    <s v="TCK-14705"/>
    <s v="2024-05-16 22:10:16"/>
    <s v="2024-05-17 08:22:05"/>
    <s v="P1"/>
    <x v="2"/>
    <s v="Billing Operations"/>
    <s v="Pam Beesly"/>
    <s v="Resolved"/>
    <n v="3"/>
    <n v="4"/>
    <n v="10.199999999999999"/>
    <n v="0"/>
  </r>
  <r>
    <s v="TCK-14706"/>
    <s v="2024-01-10 06:04:02"/>
    <m/>
    <s v="P3"/>
    <x v="1"/>
    <s v="Infrastructure"/>
    <s v="Priya Nair"/>
    <s v="Escalated"/>
    <m/>
    <n v="24"/>
    <m/>
    <m/>
  </r>
  <r>
    <s v="TCK-14707"/>
    <s v="2024-08-02 22:27:21"/>
    <s v="2024-08-07 15:31:16"/>
    <s v="P4"/>
    <x v="2"/>
    <s v="L1 Support"/>
    <s v="John Doe"/>
    <s v="Resolved"/>
    <n v="2"/>
    <n v="48"/>
    <n v="113.07"/>
    <n v="0"/>
  </r>
  <r>
    <s v="TCK-14708"/>
    <s v="2024-11-12 17:57:26"/>
    <s v="2024-11-13 19:19:11"/>
    <s v="P4"/>
    <x v="0"/>
    <s v="Application Support"/>
    <s v="Michael Scott"/>
    <s v="Resolved"/>
    <n v="3"/>
    <n v="48"/>
    <n v="25.36"/>
    <n v="1"/>
  </r>
  <r>
    <s v="TCK-14709"/>
    <s v="2024-05-05 17:45:29"/>
    <s v="2024-05-06 07:30:12"/>
    <s v="P4"/>
    <x v="2"/>
    <s v="L2 Support"/>
    <s v="Michael Scott"/>
    <s v="Closed"/>
    <n v="4"/>
    <n v="48"/>
    <n v="13.75"/>
    <n v="1"/>
  </r>
  <r>
    <s v="TCK-14710"/>
    <s v="2024-11-13 01:44:48"/>
    <s v="2024-11-14 20:24:14"/>
    <s v="P4"/>
    <x v="0"/>
    <s v="Application Support"/>
    <s v="Ravi Patel"/>
    <s v="Resolved"/>
    <n v="4"/>
    <n v="48"/>
    <n v="42.66"/>
    <n v="1"/>
  </r>
  <r>
    <s v="TCK-14711"/>
    <s v="2024-03-08 03:00:46"/>
    <s v="2024-03-08 05:40:17"/>
    <s v="P1"/>
    <x v="3"/>
    <s v="Infrastructure"/>
    <s v="Jim Halpert"/>
    <s v="Closed"/>
    <n v="5"/>
    <n v="4"/>
    <n v="2.66"/>
    <n v="1"/>
  </r>
  <r>
    <s v="TCK-14712"/>
    <s v="2024-11-10 23:56:26"/>
    <s v="2024-11-11 01:18:15"/>
    <s v="P2"/>
    <x v="2"/>
    <s v="L2 Support"/>
    <s v="John Doe"/>
    <s v="Resolved"/>
    <n v="4"/>
    <n v="8"/>
    <n v="1.36"/>
    <n v="1"/>
  </r>
  <r>
    <s v="TCK-14713"/>
    <s v="2024-05-12 13:16:54"/>
    <s v="2024-05-12 19:11:57"/>
    <s v="P2"/>
    <x v="2"/>
    <s v="Billing Operations"/>
    <s v="Emily Watson"/>
    <s v="Closed"/>
    <n v="4"/>
    <n v="8"/>
    <n v="5.92"/>
    <n v="1"/>
  </r>
  <r>
    <s v="TCK-14714"/>
    <s v="2024-05-12 01:42:27"/>
    <s v="2024-05-12 22:34:16"/>
    <s v="P3"/>
    <x v="2"/>
    <s v="Billing Operations"/>
    <s v="Priya Nair"/>
    <s v="Closed"/>
    <n v="5"/>
    <n v="24"/>
    <n v="20.86"/>
    <n v="1"/>
  </r>
  <r>
    <s v="TCK-14715"/>
    <s v="2024-11-15 12:41:11"/>
    <s v="2024-11-15 20:46:39"/>
    <s v="P4"/>
    <x v="1"/>
    <s v="Billing Operations"/>
    <s v="Alex Mercer"/>
    <s v="Resolved"/>
    <n v="5"/>
    <n v="48"/>
    <n v="8.09"/>
    <n v="1"/>
  </r>
  <r>
    <s v="TCK-14716"/>
    <s v="2024-06-12 15:17:43"/>
    <s v="2024-06-12 19:58:50"/>
    <s v="P2"/>
    <x v="3"/>
    <s v="L1 Support"/>
    <s v="John Doe"/>
    <s v="Closed"/>
    <n v="4"/>
    <n v="8"/>
    <n v="4.6900000000000004"/>
    <n v="1"/>
  </r>
  <r>
    <s v="TCK-14717"/>
    <s v="2024-03-28 00:27:58"/>
    <m/>
    <s v="P3"/>
    <x v="3"/>
    <s v="Infrastructure"/>
    <s v="Sarah Connor"/>
    <s v="Escalated"/>
    <m/>
    <n v="24"/>
    <m/>
    <m/>
  </r>
  <r>
    <s v="TCK-14718"/>
    <s v="2024-11-22 03:28:58"/>
    <s v="2024-11-23 01:15:29"/>
    <s v="P3"/>
    <x v="3"/>
    <s v="Billing Operations"/>
    <s v="Sarah Connor"/>
    <s v="Resolved"/>
    <n v="5"/>
    <n v="24"/>
    <n v="21.78"/>
    <n v="1"/>
  </r>
  <r>
    <s v="TCK-14719"/>
    <s v="2024-02-18 08:55:58"/>
    <s v="2024-02-20 01:58:51"/>
    <s v="P4"/>
    <x v="2"/>
    <s v="Application Support"/>
    <s v="Dwight Schrute"/>
    <s v="Closed"/>
    <n v="4"/>
    <n v="48"/>
    <n v="41.05"/>
    <n v="1"/>
  </r>
  <r>
    <s v="TCK-14720"/>
    <s v="2024-07-08 05:07:57"/>
    <s v="2024-07-09 14:59:58"/>
    <s v="P4"/>
    <x v="2"/>
    <s v="Application Support"/>
    <s v="Carlos Mendez"/>
    <s v="Closed"/>
    <n v="3"/>
    <n v="48"/>
    <n v="33.869999999999997"/>
    <n v="1"/>
  </r>
  <r>
    <s v="TCK-14721"/>
    <s v="2024-09-14 09:03:07"/>
    <s v="2024-09-15 08:57:27"/>
    <s v="P4"/>
    <x v="2"/>
    <s v="Billing Operations"/>
    <s v="Emily Watson"/>
    <s v="Resolved"/>
    <n v="5"/>
    <n v="48"/>
    <n v="23.91"/>
    <n v="1"/>
  </r>
  <r>
    <s v="TCK-14722"/>
    <s v="2024-06-02 10:57:42"/>
    <s v="2024-06-02 13:28:21"/>
    <s v="P1"/>
    <x v="1"/>
    <s v="Billing Operations"/>
    <s v="Dwight Schrute"/>
    <s v="Resolved"/>
    <n v="4"/>
    <n v="4"/>
    <n v="2.5099999999999998"/>
    <n v="1"/>
  </r>
  <r>
    <s v="TCK-14723"/>
    <s v="2024-03-27 10:17:20"/>
    <s v="2024-03-27 12:37:31"/>
    <s v="P2"/>
    <x v="4"/>
    <s v="Infrastructure"/>
    <s v="John Doe"/>
    <s v="Resolved"/>
    <n v="5"/>
    <n v="8"/>
    <n v="2.34"/>
    <n v="1"/>
  </r>
  <r>
    <s v="TCK-14724"/>
    <s v="2024-02-22 08:20:26"/>
    <s v="2024-02-22 12:14:33"/>
    <s v="P2"/>
    <x v="2"/>
    <s v="Application Support"/>
    <s v="Dwight Schrute"/>
    <s v="Resolved"/>
    <n v="4"/>
    <n v="8"/>
    <n v="3.9"/>
    <n v="1"/>
  </r>
  <r>
    <s v="TCK-14725"/>
    <s v="2024-09-19 06:21:20"/>
    <s v="2024-09-19 09:29:47"/>
    <s v="P2"/>
    <x v="3"/>
    <s v="L1 Support"/>
    <s v="Carlos Mendez"/>
    <s v="Closed"/>
    <n v="3"/>
    <n v="8"/>
    <n v="3.14"/>
    <n v="1"/>
  </r>
  <r>
    <s v="TCK-14726"/>
    <s v="2024-12-29 17:12:49"/>
    <s v="2024-12-30 19:41:18"/>
    <s v="P4"/>
    <x v="2"/>
    <s v="Application Support"/>
    <s v="Alex Mercer"/>
    <s v="Resolved"/>
    <n v="5"/>
    <n v="48"/>
    <n v="26.47"/>
    <n v="1"/>
  </r>
  <r>
    <s v="TCK-14727"/>
    <s v="2024-06-03 05:11:16"/>
    <s v="2024-06-03 23:34:36"/>
    <s v="P3"/>
    <x v="2"/>
    <s v="Billing Operations"/>
    <s v="Ravi Patel"/>
    <s v="Closed"/>
    <n v="5"/>
    <n v="24"/>
    <n v="18.39"/>
    <n v="1"/>
  </r>
  <r>
    <s v="TCK-14728"/>
    <s v="2024-11-05 09:35:40"/>
    <s v="2024-11-06 04:08:34"/>
    <s v="P3"/>
    <x v="2"/>
    <s v="Billing Operations"/>
    <s v="Ravi Patel"/>
    <s v="Resolved"/>
    <n v="4"/>
    <n v="24"/>
    <n v="18.55"/>
    <n v="1"/>
  </r>
  <r>
    <s v="TCK-14729"/>
    <s v="2024-10-19 16:45:27"/>
    <m/>
    <s v="P3"/>
    <x v="0"/>
    <s v="Billing Operations"/>
    <s v="Priya Nair"/>
    <s v="Open"/>
    <m/>
    <n v="24"/>
    <m/>
    <m/>
  </r>
  <r>
    <s v="TCK-14730"/>
    <s v="2024-11-18 10:29:36"/>
    <s v="2024-11-18 11:39:51"/>
    <s v="P2"/>
    <x v="3"/>
    <s v="Billing Operations"/>
    <s v="Pam Beesly"/>
    <s v="Resolved"/>
    <n v="5"/>
    <n v="8"/>
    <n v="1.17"/>
    <n v="1"/>
  </r>
  <r>
    <s v="TCK-14731"/>
    <s v="2024-12-28 22:48:40"/>
    <s v="2024-12-29 03:38:13"/>
    <s v="P2"/>
    <x v="2"/>
    <s v="Application Support"/>
    <s v="Priya Nair"/>
    <s v="Closed"/>
    <n v="4"/>
    <n v="8"/>
    <n v="4.83"/>
    <n v="1"/>
  </r>
  <r>
    <s v="TCK-14732"/>
    <s v="2024-10-17 02:26:22"/>
    <s v="2024-10-18 14:19:02"/>
    <s v="P4"/>
    <x v="3"/>
    <s v="Billing Operations"/>
    <s v="Carlos Mendez"/>
    <s v="Closed"/>
    <n v="5"/>
    <n v="48"/>
    <n v="35.880000000000003"/>
    <n v="1"/>
  </r>
  <r>
    <s v="TCK-14733"/>
    <s v="2024-06-18 02:00:14"/>
    <s v="2024-06-18 07:41:26"/>
    <s v="P2"/>
    <x v="2"/>
    <s v="L1 Support"/>
    <s v="Emily Watson"/>
    <s v="Closed"/>
    <n v="5"/>
    <n v="8"/>
    <n v="5.69"/>
    <n v="1"/>
  </r>
  <r>
    <s v="TCK-14734"/>
    <s v="2024-05-07 17:27:25"/>
    <s v="2024-05-08 16:08:11"/>
    <s v="P4"/>
    <x v="3"/>
    <s v="L1 Support"/>
    <s v="Sarah Connor"/>
    <s v="Closed"/>
    <n v="4"/>
    <n v="48"/>
    <n v="22.68"/>
    <n v="1"/>
  </r>
  <r>
    <s v="TCK-14735"/>
    <s v="2024-09-02 23:51:36"/>
    <s v="2024-09-03 03:58:27"/>
    <s v="P2"/>
    <x v="3"/>
    <s v="L1 Support"/>
    <s v="Anita Sharma"/>
    <s v="Resolved"/>
    <n v="4"/>
    <n v="8"/>
    <n v="4.1100000000000003"/>
    <n v="1"/>
  </r>
  <r>
    <s v="TCK-14736"/>
    <s v="2024-06-05 01:51:19"/>
    <s v="2024-06-05 19:52:38"/>
    <s v="P3"/>
    <x v="2"/>
    <s v="Billing Operations"/>
    <s v="Jim Halpert"/>
    <s v="Closed"/>
    <n v="5"/>
    <n v="24"/>
    <n v="18.02"/>
    <n v="1"/>
  </r>
  <r>
    <s v="TCK-14737"/>
    <s v="2024-08-30 00:05:23"/>
    <s v="2024-08-31 06:39:41"/>
    <s v="P4"/>
    <x v="3"/>
    <s v="Billing Operations"/>
    <s v="Sarah Connor"/>
    <s v="Closed"/>
    <n v="5"/>
    <n v="48"/>
    <n v="30.57"/>
    <n v="1"/>
  </r>
  <r>
    <s v="TCK-14738"/>
    <s v="2024-11-04 19:23:29"/>
    <s v="2024-11-04 21:55:44"/>
    <s v="P2"/>
    <x v="1"/>
    <s v="L1 Support"/>
    <s v="Alex Mercer"/>
    <s v="Closed"/>
    <n v="5"/>
    <n v="8"/>
    <n v="2.54"/>
    <n v="1"/>
  </r>
  <r>
    <s v="TCK-14739"/>
    <s v="2024-06-07 16:58:15"/>
    <s v="2024-06-08 01:58:02"/>
    <s v="P3"/>
    <x v="3"/>
    <s v="Application Support"/>
    <s v="John Doe"/>
    <s v="Resolved"/>
    <n v="4"/>
    <n v="24"/>
    <n v="9"/>
    <n v="1"/>
  </r>
  <r>
    <s v="TCK-14740"/>
    <s v="2024-04-08 17:28:07"/>
    <s v="2024-04-10 00:04:23"/>
    <s v="P4"/>
    <x v="0"/>
    <s v="L1 Support"/>
    <s v="Anita Sharma"/>
    <s v="Closed"/>
    <n v="5"/>
    <n v="48"/>
    <n v="30.6"/>
    <n v="1"/>
  </r>
  <r>
    <s v="TCK-14741"/>
    <s v="2024-11-08 19:06:01"/>
    <s v="2024-11-09 03:18:57"/>
    <s v="P1"/>
    <x v="1"/>
    <s v="L1 Support"/>
    <s v="Priya Nair"/>
    <s v="Resolved"/>
    <n v="2"/>
    <n v="4"/>
    <n v="8.2200000000000006"/>
    <n v="0"/>
  </r>
  <r>
    <s v="TCK-14742"/>
    <s v="2024-03-12 13:20:38"/>
    <s v="2024-03-12 20:46:49"/>
    <s v="P2"/>
    <x v="3"/>
    <s v="Application Support"/>
    <s v="Carlos Mendez"/>
    <s v="Closed"/>
    <n v="5"/>
    <n v="8"/>
    <n v="7.44"/>
    <n v="1"/>
  </r>
  <r>
    <s v="TCK-14743"/>
    <s v="2024-06-02 09:04:05"/>
    <s v="2024-06-03 04:52:44"/>
    <s v="P3"/>
    <x v="0"/>
    <s v="L2 Support"/>
    <s v="Anita Sharma"/>
    <s v="Resolved"/>
    <n v="5"/>
    <n v="24"/>
    <n v="19.809999999999999"/>
    <n v="1"/>
  </r>
  <r>
    <s v="TCK-14744"/>
    <s v="2024-05-14 10:43:12"/>
    <s v="2024-05-14 15:57:26"/>
    <s v="P2"/>
    <x v="1"/>
    <s v="Application Support"/>
    <s v="John Doe"/>
    <s v="Closed"/>
    <n v="5"/>
    <n v="8"/>
    <n v="5.24"/>
    <n v="1"/>
  </r>
  <r>
    <s v="TCK-14745"/>
    <s v="2024-04-09 18:16:14"/>
    <m/>
    <s v="P2"/>
    <x v="4"/>
    <s v="Infrastructure"/>
    <s v="Emily Watson"/>
    <s v="Open"/>
    <m/>
    <n v="8"/>
    <m/>
    <m/>
  </r>
  <r>
    <s v="TCK-14746"/>
    <s v="2024-06-29 06:13:46"/>
    <s v="2024-06-29 23:21:43"/>
    <s v="P3"/>
    <x v="2"/>
    <s v="Application Support"/>
    <s v="Dwight Schrute"/>
    <s v="Resolved"/>
    <n v="5"/>
    <n v="24"/>
    <n v="17.13"/>
    <n v="1"/>
  </r>
  <r>
    <s v="TCK-14747"/>
    <s v="2024-05-31 00:26:49"/>
    <s v="2024-05-31 04:16:00"/>
    <s v="P3"/>
    <x v="0"/>
    <s v="Billing Operations"/>
    <s v="Dwight Schrute"/>
    <s v="Resolved"/>
    <n v="4"/>
    <n v="24"/>
    <n v="3.82"/>
    <n v="1"/>
  </r>
  <r>
    <s v="TCK-14748"/>
    <s v="2024-09-08 14:59:50"/>
    <s v="2024-09-09 06:14:24"/>
    <s v="P3"/>
    <x v="3"/>
    <s v="Infrastructure"/>
    <s v="Alex Mercer"/>
    <s v="Resolved"/>
    <n v="5"/>
    <n v="24"/>
    <n v="15.24"/>
    <n v="1"/>
  </r>
  <r>
    <s v="TCK-14749"/>
    <s v="2024-03-12 03:25:11"/>
    <m/>
    <s v="P4"/>
    <x v="1"/>
    <s v="Application Support"/>
    <s v="Sarah Connor"/>
    <s v="Open"/>
    <m/>
    <n v="48"/>
    <m/>
    <m/>
  </r>
  <r>
    <s v="TCK-14750"/>
    <s v="2024-08-12 04:38:05"/>
    <s v="2024-08-12 15:26:44"/>
    <s v="P3"/>
    <x v="0"/>
    <s v="Infrastructure"/>
    <s v="Jim Halpert"/>
    <s v="Resolved"/>
    <n v="5"/>
    <n v="24"/>
    <n v="10.81"/>
    <n v="1"/>
  </r>
  <r>
    <s v="TCK-14751"/>
    <s v="2024-11-19 15:41:43"/>
    <s v="2024-11-21 06:27:33"/>
    <s v="P3"/>
    <x v="2"/>
    <s v="L1 Support"/>
    <s v="Dwight Schrute"/>
    <s v="Resolved"/>
    <n v="1"/>
    <n v="24"/>
    <n v="38.76"/>
    <n v="0"/>
  </r>
  <r>
    <s v="TCK-14752"/>
    <s v="2024-05-31 19:30:45"/>
    <s v="2024-06-01 13:21:31"/>
    <s v="P3"/>
    <x v="3"/>
    <s v="L2 Support"/>
    <s v="Priya Nair"/>
    <s v="Resolved"/>
    <n v="4"/>
    <n v="24"/>
    <n v="17.850000000000001"/>
    <n v="1"/>
  </r>
  <r>
    <s v="TCK-14753"/>
    <s v="2024-11-25 11:53:35"/>
    <s v="2024-11-26 22:43:07"/>
    <s v="P4"/>
    <x v="2"/>
    <s v="L2 Support"/>
    <s v="Pam Beesly"/>
    <s v="Resolved"/>
    <n v="4"/>
    <n v="48"/>
    <n v="34.83"/>
    <n v="1"/>
  </r>
  <r>
    <s v="TCK-14754"/>
    <s v="2024-03-21 16:15:50"/>
    <s v="2024-03-21 18:15:34"/>
    <s v="P2"/>
    <x v="1"/>
    <s v="Billing Operations"/>
    <s v="Sarah Connor"/>
    <s v="Closed"/>
    <n v="5"/>
    <n v="8"/>
    <n v="2"/>
    <n v="1"/>
  </r>
  <r>
    <s v="TCK-14755"/>
    <s v="2024-09-10 17:21:18"/>
    <m/>
    <s v="P3"/>
    <x v="0"/>
    <s v="Application Support"/>
    <s v="Michael Scott"/>
    <s v="Open"/>
    <m/>
    <n v="24"/>
    <m/>
    <m/>
  </r>
  <r>
    <s v="TCK-14756"/>
    <s v="2024-06-10 13:56:01"/>
    <s v="2024-07-16 02:56:01"/>
    <s v="P3"/>
    <x v="4"/>
    <s v="L1 Support"/>
    <s v="John Doe"/>
    <s v="Closed"/>
    <n v="5"/>
    <n v="24"/>
    <n v="853"/>
    <n v="0"/>
  </r>
  <r>
    <s v="TCK-14757"/>
    <s v="2024-08-24 06:15:17"/>
    <s v="2024-08-24 12:54:25"/>
    <s v="P2"/>
    <x v="2"/>
    <s v="L2 Support"/>
    <s v="Sarah Connor"/>
    <s v="Closed"/>
    <n v="5"/>
    <n v="8"/>
    <n v="6.65"/>
    <n v="1"/>
  </r>
  <r>
    <s v="TCK-14758"/>
    <s v="2024-05-09 22:44:10"/>
    <s v="2024-05-10 07:37:50"/>
    <s v="P3"/>
    <x v="2"/>
    <s v="L2 Support"/>
    <s v="Anita Sharma"/>
    <s v="Closed"/>
    <n v="5"/>
    <n v="24"/>
    <n v="8.89"/>
    <n v="1"/>
  </r>
  <r>
    <s v="TCK-14759"/>
    <s v="2024-11-21 07:54:35"/>
    <m/>
    <s v="P2"/>
    <x v="4"/>
    <s v="Application Support"/>
    <s v="Emily Watson"/>
    <s v="Escalated"/>
    <m/>
    <n v="8"/>
    <m/>
    <m/>
  </r>
  <r>
    <s v="TCK-14760"/>
    <s v="2024-01-25 06:45:10"/>
    <m/>
    <s v="P3"/>
    <x v="2"/>
    <s v="L2 Support"/>
    <s v="Priya Nair"/>
    <s v="Open"/>
    <m/>
    <n v="24"/>
    <m/>
    <m/>
  </r>
  <r>
    <s v="TCK-14761"/>
    <s v="2024-11-04 03:01:43"/>
    <s v="2024-11-05 02:41:28"/>
    <s v="P4"/>
    <x v="2"/>
    <s v="L1 Support"/>
    <s v="Jim Halpert"/>
    <s v="Resolved"/>
    <n v="5"/>
    <n v="48"/>
    <n v="23.66"/>
    <n v="1"/>
  </r>
  <r>
    <s v="TCK-14762"/>
    <s v="2024-11-10 20:01:29"/>
    <s v="2024-11-11 11:46:01"/>
    <s v="P3"/>
    <x v="3"/>
    <s v="Infrastructure"/>
    <s v="Ravi Patel"/>
    <s v="Resolved"/>
    <n v="5"/>
    <n v="24"/>
    <n v="15.74"/>
    <n v="1"/>
  </r>
  <r>
    <s v="TCK-14763"/>
    <s v="2024-12-12 17:59:50"/>
    <s v="2024-12-13 01:25:21"/>
    <s v="P3"/>
    <x v="0"/>
    <s v="Application Support"/>
    <s v="Priya Nair"/>
    <s v="Closed"/>
    <n v="4"/>
    <n v="24"/>
    <n v="7.43"/>
    <n v="1"/>
  </r>
  <r>
    <s v="TCK-14764"/>
    <s v="2024-12-27 21:38:20"/>
    <s v="2024-12-28 01:06:30"/>
    <s v="P2"/>
    <x v="4"/>
    <s v="L2 Support"/>
    <s v="Anita Sharma"/>
    <s v="Resolved"/>
    <n v="4"/>
    <n v="8"/>
    <n v="3.47"/>
    <n v="1"/>
  </r>
  <r>
    <s v="TCK-14765"/>
    <s v="2024-09-28 00:15:35"/>
    <s v="2024-09-28 02:16:19"/>
    <s v="P1"/>
    <x v="2"/>
    <s v="Billing Operations"/>
    <s v="Anita Sharma"/>
    <s v="Closed"/>
    <n v="5"/>
    <n v="4"/>
    <n v="2.0099999999999998"/>
    <n v="1"/>
  </r>
  <r>
    <s v="TCK-14766"/>
    <s v="2024-09-26 14:54:37"/>
    <m/>
    <s v="P3"/>
    <x v="3"/>
    <s v="Billing Operations"/>
    <s v="Anita Sharma"/>
    <s v="Open"/>
    <m/>
    <n v="24"/>
    <m/>
    <m/>
  </r>
  <r>
    <s v="TCK-14767"/>
    <s v="2024-05-06 19:21:10"/>
    <s v="2024-05-06 21:50:03"/>
    <s v="P2"/>
    <x v="2"/>
    <s v="Application Support"/>
    <s v="Alex Mercer"/>
    <s v="Resolved"/>
    <n v="5"/>
    <n v="8"/>
    <n v="2.48"/>
    <n v="1"/>
  </r>
  <r>
    <s v="TCK-14768"/>
    <s v="2024-11-16 21:03:08"/>
    <s v="2024-11-17 03:03:08"/>
    <s v="P2"/>
    <x v="1"/>
    <s v="Application Support"/>
    <s v="Ravi Patel"/>
    <s v="Closed"/>
    <n v="3"/>
    <n v="8"/>
    <n v="6"/>
    <n v="1"/>
  </r>
  <r>
    <s v="TCK-14769"/>
    <s v="2024-01-26 07:40:43"/>
    <s v="2024-01-26 09:02:49"/>
    <s v="P2"/>
    <x v="0"/>
    <s v="Billing Operations"/>
    <s v="Michael Scott"/>
    <s v="Resolved"/>
    <n v="4"/>
    <n v="8"/>
    <n v="1.37"/>
    <n v="1"/>
  </r>
  <r>
    <s v="TCK-14770"/>
    <s v="2024-08-24 06:34:22"/>
    <s v="2024-08-25 16:50:52"/>
    <s v="P4"/>
    <x v="2"/>
    <s v="L2 Support"/>
    <s v="Priya Nair"/>
    <s v="Closed"/>
    <n v="4"/>
    <n v="48"/>
    <n v="34.28"/>
    <n v="1"/>
  </r>
  <r>
    <s v="TCK-14771"/>
    <s v="2024-06-09 23:44:27"/>
    <s v="2024-06-10 06:37:52"/>
    <s v="P3"/>
    <x v="2"/>
    <s v="Infrastructure"/>
    <s v="Pam Beesly"/>
    <s v="Closed"/>
    <n v="4"/>
    <n v="24"/>
    <n v="6.89"/>
    <n v="1"/>
  </r>
  <r>
    <s v="TCK-14772"/>
    <s v="2024-12-09 05:19:01"/>
    <s v="2024-12-10 03:43:46"/>
    <s v="P2"/>
    <x v="2"/>
    <s v="Billing Operations"/>
    <s v="Dwight Schrute"/>
    <s v="Closed"/>
    <n v="1"/>
    <n v="8"/>
    <n v="22.41"/>
    <n v="0"/>
  </r>
  <r>
    <s v="TCK-14773"/>
    <s v="2024-10-31 17:52:13"/>
    <s v="2024-11-03 08:23:15"/>
    <s v="P3"/>
    <x v="0"/>
    <s v="Billing Operations"/>
    <s v="Priya Nair"/>
    <s v="Resolved"/>
    <n v="2"/>
    <n v="24"/>
    <n v="62.52"/>
    <n v="0"/>
  </r>
  <r>
    <s v="TCK-14774"/>
    <s v="2024-02-26 03:33:49"/>
    <s v="2024-02-26 09:55:08"/>
    <s v="P3"/>
    <x v="2"/>
    <s v="Billing Operations"/>
    <s v="Dwight Schrute"/>
    <s v="Resolved"/>
    <n v="5"/>
    <n v="24"/>
    <n v="6.36"/>
    <n v="1"/>
  </r>
  <r>
    <s v="TCK-14775"/>
    <s v="2024-08-20 19:36:22"/>
    <s v="2024-08-21 13:03:05"/>
    <s v="P3"/>
    <x v="2"/>
    <s v="L2 Support"/>
    <s v="Jim Halpert"/>
    <s v="Resolved"/>
    <n v="4"/>
    <n v="24"/>
    <n v="17.45"/>
    <n v="1"/>
  </r>
  <r>
    <s v="TCK-14776"/>
    <s v="2024-04-17 21:38:43"/>
    <s v="2024-04-18 02:08:25"/>
    <s v="P3"/>
    <x v="2"/>
    <s v="Application Support"/>
    <s v="Carlos Mendez"/>
    <s v="Resolved"/>
    <n v="3"/>
    <n v="24"/>
    <n v="4.5"/>
    <n v="1"/>
  </r>
  <r>
    <s v="TCK-14777"/>
    <s v="2024-02-18 01:32:46"/>
    <s v="2024-02-22 00:53:28"/>
    <s v="P4"/>
    <x v="4"/>
    <s v="L1 Support"/>
    <s v="Ravi Patel"/>
    <s v="Resolved"/>
    <n v="2"/>
    <n v="48"/>
    <n v="95.34"/>
    <n v="0"/>
  </r>
  <r>
    <s v="TCK-14778"/>
    <s v="2024-04-30 22:03:39"/>
    <s v="2024-05-02 05:24:05"/>
    <s v="P4"/>
    <x v="4"/>
    <s v="L1 Support"/>
    <s v="Priya Nair"/>
    <s v="Closed"/>
    <n v="4"/>
    <n v="48"/>
    <n v="31.34"/>
    <n v="1"/>
  </r>
  <r>
    <s v="TCK-14779"/>
    <s v="2024-01-05 10:12:57"/>
    <s v="2024-01-05 14:21:36"/>
    <s v="P2"/>
    <x v="3"/>
    <s v="Billing Operations"/>
    <s v="Carlos Mendez"/>
    <s v="Closed"/>
    <n v="5"/>
    <n v="8"/>
    <n v="4.1399999999999997"/>
    <n v="1"/>
  </r>
  <r>
    <s v="TCK-14780"/>
    <s v="2024-04-08 20:05:03"/>
    <s v="2024-04-09 09:39:52"/>
    <s v="P3"/>
    <x v="1"/>
    <s v="L2 Support"/>
    <s v="Dwight Schrute"/>
    <s v="Resolved"/>
    <n v="4"/>
    <n v="24"/>
    <n v="13.58"/>
    <n v="1"/>
  </r>
  <r>
    <s v="TCK-14781"/>
    <s v="2024-03-16 14:55:10"/>
    <s v="2024-03-17 04:39:54"/>
    <s v="P4"/>
    <x v="0"/>
    <s v="Infrastructure"/>
    <s v="Jim Halpert"/>
    <s v="Closed"/>
    <n v="4"/>
    <n v="48"/>
    <n v="13.75"/>
    <n v="1"/>
  </r>
  <r>
    <s v="TCK-14782"/>
    <s v="2024-06-21 20:22:23"/>
    <s v="2024-06-22 17:00:50"/>
    <s v="P3"/>
    <x v="0"/>
    <s v="Application Support"/>
    <s v="Emily Watson"/>
    <s v="Resolved"/>
    <n v="4"/>
    <n v="24"/>
    <n v="20.64"/>
    <n v="1"/>
  </r>
  <r>
    <s v="TCK-14783"/>
    <s v="2024-11-04 09:17:16"/>
    <s v="2024-11-07 19:58:22"/>
    <s v="P4"/>
    <x v="3"/>
    <s v="L2 Support"/>
    <s v="Ravi Patel"/>
    <s v="Resolved"/>
    <n v="1"/>
    <n v="48"/>
    <n v="82.68"/>
    <n v="0"/>
  </r>
  <r>
    <s v="TCK-14784"/>
    <s v="2024-07-07 15:48:45"/>
    <s v="2024-07-07 18:48:35"/>
    <s v="P2"/>
    <x v="2"/>
    <s v="Application Support"/>
    <s v="Emily Watson"/>
    <s v="Resolved"/>
    <n v="4"/>
    <n v="8"/>
    <n v="3"/>
    <n v="1"/>
  </r>
  <r>
    <s v="TCK-14785"/>
    <s v="2024-08-21 11:04:31"/>
    <s v="2024-08-21 12:03:17"/>
    <s v="P2"/>
    <x v="2"/>
    <s v="L1 Support"/>
    <s v="Michael Scott"/>
    <s v="Resolved"/>
    <n v="4"/>
    <n v="8"/>
    <n v="0.98"/>
    <n v="1"/>
  </r>
  <r>
    <s v="TCK-14786"/>
    <s v="2024-12-19 09:48:42"/>
    <s v="2024-12-21 09:47:40"/>
    <s v="P3"/>
    <x v="2"/>
    <s v="Billing Operations"/>
    <s v="Sarah Connor"/>
    <s v="Resolved"/>
    <n v="1"/>
    <n v="24"/>
    <n v="47.98"/>
    <n v="0"/>
  </r>
  <r>
    <s v="TCK-14787"/>
    <s v="2024-06-08 10:35:08"/>
    <s v="2024-06-08 21:56:34"/>
    <s v="P3"/>
    <x v="3"/>
    <s v="Infrastructure"/>
    <s v="Anita Sharma"/>
    <s v="Resolved"/>
    <n v="4"/>
    <n v="24"/>
    <n v="11.36"/>
    <n v="1"/>
  </r>
  <r>
    <s v="TCK-14788"/>
    <s v="2024-10-07 05:22:32"/>
    <s v="2024-10-07 08:33:21"/>
    <s v="P2"/>
    <x v="2"/>
    <s v="L2 Support"/>
    <s v="Anita Sharma"/>
    <s v="Resolved"/>
    <n v="4"/>
    <n v="8"/>
    <n v="3.18"/>
    <n v="1"/>
  </r>
  <r>
    <s v="TCK-14789"/>
    <s v="2024-04-26 14:58:20"/>
    <s v="2024-04-26 22:21:53"/>
    <s v="P3"/>
    <x v="3"/>
    <s v="Infrastructure"/>
    <s v="Carlos Mendez"/>
    <s v="Closed"/>
    <n v="5"/>
    <n v="24"/>
    <n v="7.39"/>
    <n v="1"/>
  </r>
  <r>
    <s v="TCK-14790"/>
    <s v="2024-08-26 00:56:38"/>
    <s v="2024-08-26 22:05:16"/>
    <s v="P3"/>
    <x v="4"/>
    <s v="Infrastructure"/>
    <s v="Priya Nair"/>
    <s v="Closed"/>
    <n v="4"/>
    <n v="24"/>
    <n v="21.14"/>
    <n v="1"/>
  </r>
  <r>
    <s v="TCK-14791"/>
    <s v="2024-08-07 13:24:00"/>
    <s v="2024-08-07 17:10:56"/>
    <s v="P2"/>
    <x v="2"/>
    <s v="Infrastructure"/>
    <s v="Dwight Schrute"/>
    <s v="Resolved"/>
    <n v="4"/>
    <n v="8"/>
    <n v="3.78"/>
    <n v="1"/>
  </r>
  <r>
    <s v="TCK-14792"/>
    <s v="2024-02-25 07:50:15"/>
    <s v="2024-02-25 17:22:18"/>
    <s v="P2"/>
    <x v="2"/>
    <s v="Application Support"/>
    <s v="Dwight Schrute"/>
    <s v="Resolved"/>
    <n v="3"/>
    <n v="8"/>
    <n v="9.5299999999999994"/>
    <n v="0"/>
  </r>
  <r>
    <s v="TCK-14793"/>
    <s v="2024-08-29 10:40:36"/>
    <s v="2024-08-29 13:05:29"/>
    <s v="P1"/>
    <x v="2"/>
    <s v="Billing Operations"/>
    <s v="Ravi Patel"/>
    <s v="Resolved"/>
    <n v="5"/>
    <n v="4"/>
    <n v="2.41"/>
    <n v="1"/>
  </r>
  <r>
    <s v="TCK-14794"/>
    <s v="2024-11-25 19:08:12"/>
    <s v="2024-11-27 13:23:49"/>
    <s v="P4"/>
    <x v="1"/>
    <s v="L2 Support"/>
    <s v="Anita Sharma"/>
    <s v="Resolved"/>
    <n v="4"/>
    <n v="48"/>
    <n v="42.26"/>
    <n v="1"/>
  </r>
  <r>
    <s v="TCK-14795"/>
    <s v="2024-01-06 02:36:01"/>
    <s v="2024-01-06 05:52:39"/>
    <s v="P2"/>
    <x v="2"/>
    <s v="L1 Support"/>
    <s v="Dwight Schrute"/>
    <s v="Resolved"/>
    <n v="3"/>
    <n v="8"/>
    <n v="3.28"/>
    <n v="1"/>
  </r>
  <r>
    <s v="TCK-14796"/>
    <s v="2024-10-10 14:05:58"/>
    <m/>
    <s v="P3"/>
    <x v="3"/>
    <s v="Infrastructure"/>
    <s v="Michael Scott"/>
    <s v="Open"/>
    <m/>
    <n v="24"/>
    <m/>
    <m/>
  </r>
  <r>
    <s v="TCK-14797"/>
    <s v="2024-04-23 03:11:20"/>
    <m/>
    <s v="P3"/>
    <x v="0"/>
    <s v="Application Support"/>
    <s v="Sarah Connor"/>
    <s v="Escalated"/>
    <m/>
    <n v="24"/>
    <m/>
    <m/>
  </r>
  <r>
    <s v="TCK-14798"/>
    <s v="2024-03-14 12:25:25"/>
    <s v="2024-03-15 08:43:12"/>
    <s v="P3"/>
    <x v="1"/>
    <s v="L1 Support"/>
    <s v="Jim Halpert"/>
    <s v="Resolved"/>
    <n v="4"/>
    <n v="24"/>
    <n v="20.3"/>
    <n v="1"/>
  </r>
  <r>
    <s v="TCK-14799"/>
    <s v="2024-10-04 11:59:14"/>
    <s v="2024-10-04 22:27:52"/>
    <s v="P3"/>
    <x v="4"/>
    <s v="Infrastructure"/>
    <s v="Anita Sharma"/>
    <s v="Closed"/>
    <n v="5"/>
    <n v="24"/>
    <n v="10.48"/>
    <n v="1"/>
  </r>
  <r>
    <s v="TCK-14800"/>
    <s v="2024-07-14 23:28:07"/>
    <m/>
    <s v="P2"/>
    <x v="0"/>
    <s v="Billing Operations"/>
    <s v="Jim Halpert"/>
    <s v="Open"/>
    <m/>
    <n v="8"/>
    <m/>
    <m/>
  </r>
  <r>
    <s v="TCK-14801"/>
    <s v="2024-07-23 08:35:29"/>
    <s v="2024-07-23 22:15:10"/>
    <s v="P3"/>
    <x v="2"/>
    <s v="Infrastructure"/>
    <s v="Carlos Mendez"/>
    <s v="Resolved"/>
    <n v="5"/>
    <n v="24"/>
    <n v="13.66"/>
    <n v="1"/>
  </r>
  <r>
    <s v="TCK-14802"/>
    <s v="2024-11-01 21:13:08"/>
    <s v="2024-11-03 19:44:36"/>
    <s v="P3"/>
    <x v="1"/>
    <s v="Application Support"/>
    <s v="Emily Watson"/>
    <s v="Resolved"/>
    <n v="2"/>
    <n v="24"/>
    <n v="46.52"/>
    <n v="0"/>
  </r>
  <r>
    <s v="TCK-14803"/>
    <s v="2024-11-12 01:17:12"/>
    <s v="2024-11-12 17:05:47"/>
    <s v="P3"/>
    <x v="4"/>
    <s v="Application Support"/>
    <s v="Jim Halpert"/>
    <s v="Resolved"/>
    <n v="5"/>
    <n v="24"/>
    <n v="15.81"/>
    <n v="1"/>
  </r>
  <r>
    <s v="TCK-14804"/>
    <s v="2024-07-14 18:34:53"/>
    <s v="2024-07-16 16:00:58"/>
    <s v="P4"/>
    <x v="4"/>
    <s v="L1 Support"/>
    <s v="Alex Mercer"/>
    <s v="Closed"/>
    <n v="5"/>
    <n v="48"/>
    <n v="45.43"/>
    <n v="1"/>
  </r>
  <r>
    <s v="TCK-14805"/>
    <s v="2024-06-21 15:29:39"/>
    <s v="2024-06-22 13:41:52"/>
    <s v="P3"/>
    <x v="3"/>
    <s v="L2 Support"/>
    <s v="Anita Sharma"/>
    <s v="Closed"/>
    <n v="5"/>
    <n v="24"/>
    <n v="22.2"/>
    <n v="1"/>
  </r>
  <r>
    <s v="TCK-14806"/>
    <s v="2024-09-23 20:29:15"/>
    <s v="2024-09-23 21:23:21"/>
    <s v="P1"/>
    <x v="4"/>
    <s v="Billing Operations"/>
    <s v="Emily Watson"/>
    <s v="Closed"/>
    <n v="4"/>
    <n v="4"/>
    <n v="0.9"/>
    <n v="1"/>
  </r>
  <r>
    <s v="TCK-14807"/>
    <s v="2024-06-23 13:37:09"/>
    <s v="2024-06-24 05:42:06"/>
    <s v="P3"/>
    <x v="2"/>
    <s v="Application Support"/>
    <s v="Emily Watson"/>
    <s v="Resolved"/>
    <n v="5"/>
    <n v="24"/>
    <n v="16.079999999999998"/>
    <n v="1"/>
  </r>
  <r>
    <s v="TCK-14808"/>
    <s v="2024-06-14 12:35:46"/>
    <s v="2024-06-15 06:43:02"/>
    <s v="P3"/>
    <x v="1"/>
    <s v="Application Support"/>
    <s v="Pam Beesly"/>
    <s v="Resolved"/>
    <n v="5"/>
    <n v="24"/>
    <n v="18.12"/>
    <n v="1"/>
  </r>
  <r>
    <s v="TCK-14809"/>
    <s v="2024-11-02 12:45:15"/>
    <s v="2024-11-05 02:45:48"/>
    <s v="P3"/>
    <x v="2"/>
    <s v="Infrastructure"/>
    <s v="Ravi Patel"/>
    <s v="Resolved"/>
    <n v="3"/>
    <n v="24"/>
    <n v="62.01"/>
    <n v="0"/>
  </r>
  <r>
    <s v="TCK-14810"/>
    <s v="2024-06-28 02:48:08"/>
    <s v="2024-06-28 11:38:12"/>
    <s v="P3"/>
    <x v="4"/>
    <s v="Billing Operations"/>
    <s v="Michael Scott"/>
    <s v="Resolved"/>
    <n v="4"/>
    <n v="24"/>
    <n v="8.83"/>
    <n v="1"/>
  </r>
  <r>
    <s v="TCK-14811"/>
    <s v="2024-08-02 04:09:12"/>
    <s v="2024-08-03 02:47:54"/>
    <s v="P4"/>
    <x v="2"/>
    <s v="Application Support"/>
    <s v="Pam Beesly"/>
    <s v="Closed"/>
    <n v="4"/>
    <n v="48"/>
    <n v="22.64"/>
    <n v="1"/>
  </r>
  <r>
    <s v="TCK-14812"/>
    <s v="2024-08-28 19:29:22"/>
    <s v="2024-08-29 03:38:16"/>
    <s v="P4"/>
    <x v="1"/>
    <s v="Application Support"/>
    <s v="Priya Nair"/>
    <s v="Closed"/>
    <n v="4"/>
    <n v="48"/>
    <n v="8.15"/>
    <n v="1"/>
  </r>
  <r>
    <s v="TCK-14813"/>
    <s v="2024-01-18 23:32:57"/>
    <s v="2024-01-19 08:25:39"/>
    <s v="P3"/>
    <x v="2"/>
    <s v="L2 Support"/>
    <s v="Sarah Connor"/>
    <s v="Closed"/>
    <n v="5"/>
    <n v="24"/>
    <n v="8.8800000000000008"/>
    <n v="1"/>
  </r>
  <r>
    <s v="TCK-14814"/>
    <s v="2024-08-03 00:22:56"/>
    <s v="2024-08-03 09:35:15"/>
    <s v="P3"/>
    <x v="1"/>
    <s v="L2 Support"/>
    <s v="Dwight Schrute"/>
    <s v="Closed"/>
    <n v="4"/>
    <n v="24"/>
    <n v="9.2100000000000009"/>
    <n v="1"/>
  </r>
  <r>
    <s v="TCK-14815"/>
    <s v="2024-12-07 02:09:13"/>
    <m/>
    <s v="P4"/>
    <x v="0"/>
    <s v="L1 Support"/>
    <s v="Michael Scott"/>
    <s v="Escalated"/>
    <m/>
    <n v="48"/>
    <m/>
    <m/>
  </r>
  <r>
    <s v="TCK-14816"/>
    <s v="2024-10-08 21:54:45"/>
    <s v="2024-10-09 18:04:36"/>
    <s v="P3"/>
    <x v="2"/>
    <s v="L2 Support"/>
    <s v="Dwight Schrute"/>
    <s v="Resolved"/>
    <n v="4"/>
    <n v="24"/>
    <n v="20.16"/>
    <n v="1"/>
  </r>
  <r>
    <s v="TCK-14817"/>
    <s v="2024-03-15 23:35:03"/>
    <s v="2024-03-16 13:23:35"/>
    <s v="P3"/>
    <x v="3"/>
    <s v="Billing Operations"/>
    <s v="Pam Beesly"/>
    <s v="Resolved"/>
    <n v="5"/>
    <n v="24"/>
    <n v="13.81"/>
    <n v="1"/>
  </r>
  <r>
    <s v="TCK-14818"/>
    <s v="2024-07-14 05:40:21"/>
    <s v="2024-07-14 10:06:55"/>
    <s v="P2"/>
    <x v="0"/>
    <s v="Billing Operations"/>
    <s v="Sarah Connor"/>
    <s v="Resolved"/>
    <n v="4"/>
    <n v="8"/>
    <n v="4.4400000000000004"/>
    <n v="1"/>
  </r>
  <r>
    <s v="TCK-14819"/>
    <s v="2024-09-16 06:10:23"/>
    <s v="2024-09-18 09:46:26"/>
    <s v="P3"/>
    <x v="4"/>
    <s v="Application Support"/>
    <s v="Dwight Schrute"/>
    <s v="Resolved"/>
    <n v="2"/>
    <n v="24"/>
    <n v="51.6"/>
    <n v="0"/>
  </r>
  <r>
    <s v="TCK-14820"/>
    <s v="2024-04-04 21:42:44"/>
    <s v="2024-04-05 19:21:30"/>
    <s v="P3"/>
    <x v="0"/>
    <s v="Infrastructure"/>
    <s v="Michael Scott"/>
    <s v="Resolved"/>
    <n v="5"/>
    <n v="24"/>
    <n v="21.65"/>
    <n v="1"/>
  </r>
  <r>
    <s v="TCK-14821"/>
    <s v="2024-09-17 04:21:39"/>
    <m/>
    <s v="P4"/>
    <x v="2"/>
    <s v="L2 Support"/>
    <s v="Pam Beesly"/>
    <s v="Escalated"/>
    <m/>
    <n v="48"/>
    <m/>
    <m/>
  </r>
  <r>
    <s v="TCK-14822"/>
    <s v="2024-04-24 09:08:51"/>
    <s v="2024-04-24 09:46:02"/>
    <s v="P1"/>
    <x v="2"/>
    <s v="Billing Operations"/>
    <s v="Carlos Mendez"/>
    <s v="Closed"/>
    <n v="5"/>
    <n v="4"/>
    <n v="0.62"/>
    <n v="1"/>
  </r>
  <r>
    <s v="TCK-14823"/>
    <s v="2024-12-20 11:56:39"/>
    <s v="2024-12-20 14:43:46"/>
    <s v="P2"/>
    <x v="2"/>
    <s v="Application Support"/>
    <s v="John Doe"/>
    <s v="Resolved"/>
    <n v="4"/>
    <n v="8"/>
    <n v="2.79"/>
    <n v="1"/>
  </r>
  <r>
    <s v="TCK-14824"/>
    <s v="2024-07-02 21:14:20"/>
    <s v="2024-07-03 15:48:55"/>
    <s v="P3"/>
    <x v="1"/>
    <s v="L1 Support"/>
    <s v="John Doe"/>
    <s v="Resolved"/>
    <n v="3"/>
    <n v="24"/>
    <n v="18.579999999999998"/>
    <n v="1"/>
  </r>
  <r>
    <s v="TCK-14825"/>
    <s v="2024-01-24 08:24:37"/>
    <s v="2024-01-24 11:05:28"/>
    <s v="P3"/>
    <x v="0"/>
    <s v="Infrastructure"/>
    <s v="Anita Sharma"/>
    <s v="Resolved"/>
    <n v="5"/>
    <n v="24"/>
    <n v="2.68"/>
    <n v="1"/>
  </r>
  <r>
    <s v="TCK-14826"/>
    <s v="2024-06-15 14:23:18"/>
    <s v="2024-06-16 12:33:36"/>
    <s v="P3"/>
    <x v="0"/>
    <s v="L1 Support"/>
    <s v="Pam Beesly"/>
    <s v="Closed"/>
    <n v="3"/>
    <n v="24"/>
    <n v="22.17"/>
    <n v="1"/>
  </r>
  <r>
    <s v="TCK-14827"/>
    <s v="2024-09-08 22:54:02"/>
    <s v="2024-09-08 23:58:56"/>
    <s v="P2"/>
    <x v="0"/>
    <s v="Application Support"/>
    <s v="Carlos Mendez"/>
    <s v="Closed"/>
    <n v="5"/>
    <n v="8"/>
    <n v="1.08"/>
    <n v="1"/>
  </r>
  <r>
    <s v="TCK-14828"/>
    <s v="2024-05-10 17:05:31"/>
    <s v="2024-05-10 19:57:47"/>
    <s v="P3"/>
    <x v="2"/>
    <s v="Billing Operations"/>
    <s v="Anita Sharma"/>
    <s v="Resolved"/>
    <n v="5"/>
    <n v="24"/>
    <n v="2.87"/>
    <n v="1"/>
  </r>
  <r>
    <s v="TCK-14829"/>
    <s v="2024-08-09 23:06:59"/>
    <s v="2024-08-10 06:27:11"/>
    <s v="P3"/>
    <x v="1"/>
    <s v="Application Support"/>
    <s v="Michael Scott"/>
    <s v="Closed"/>
    <n v="4"/>
    <n v="24"/>
    <n v="7.34"/>
    <n v="1"/>
  </r>
  <r>
    <s v="TCK-14830"/>
    <s v="2024-05-15 14:14:38"/>
    <m/>
    <s v="P3"/>
    <x v="0"/>
    <s v="Billing Operations"/>
    <s v="Alex Mercer"/>
    <s v="Open"/>
    <m/>
    <n v="24"/>
    <m/>
    <m/>
  </r>
  <r>
    <s v="TCK-14831"/>
    <s v="2024-03-28 19:36:55"/>
    <s v="2024-03-29 15:46:48"/>
    <s v="P3"/>
    <x v="2"/>
    <s v="Billing Operations"/>
    <s v="Emily Watson"/>
    <s v="Resolved"/>
    <n v="4"/>
    <n v="24"/>
    <n v="20.16"/>
    <n v="1"/>
  </r>
  <r>
    <s v="TCK-14832"/>
    <s v="2024-05-06 15:09:11"/>
    <s v="2024-05-06 22:21:41"/>
    <s v="P3"/>
    <x v="4"/>
    <s v="L1 Support"/>
    <s v="Dwight Schrute"/>
    <s v="Resolved"/>
    <n v="3"/>
    <n v="24"/>
    <n v="7.21"/>
    <n v="1"/>
  </r>
  <r>
    <s v="TCK-14833"/>
    <s v="2024-10-23 17:19:40"/>
    <s v="2024-10-24 11:42:34"/>
    <s v="P3"/>
    <x v="0"/>
    <s v="L2 Support"/>
    <s v="Michael Scott"/>
    <s v="Resolved"/>
    <n v="5"/>
    <n v="24"/>
    <n v="18.38"/>
    <n v="1"/>
  </r>
  <r>
    <s v="TCK-14834"/>
    <s v="2024-10-03 03:29:01"/>
    <s v="2024-10-03 11:11:04"/>
    <s v="P3"/>
    <x v="0"/>
    <s v="Billing Operations"/>
    <s v="Alex Mercer"/>
    <s v="Closed"/>
    <n v="4"/>
    <n v="24"/>
    <n v="7.7"/>
    <n v="1"/>
  </r>
  <r>
    <s v="TCK-14835"/>
    <s v="2024-12-18 15:32:44"/>
    <m/>
    <s v="P4"/>
    <x v="2"/>
    <s v="Infrastructure"/>
    <s v="Priya Nair"/>
    <s v="Escalated"/>
    <m/>
    <n v="48"/>
    <m/>
    <m/>
  </r>
  <r>
    <s v="TCK-14836"/>
    <s v="2024-12-16 17:06:04"/>
    <s v="2024-12-17 12:40:52"/>
    <s v="P3"/>
    <x v="0"/>
    <s v="Billing Operations"/>
    <s v="Priya Nair"/>
    <s v="Resolved"/>
    <n v="4"/>
    <n v="24"/>
    <n v="19.579999999999998"/>
    <n v="1"/>
  </r>
  <r>
    <s v="TCK-14837"/>
    <s v="2024-01-05 07:29:44"/>
    <s v="2024-01-05 19:01:51"/>
    <s v="P3"/>
    <x v="2"/>
    <s v="Application Support"/>
    <s v="Alex Mercer"/>
    <s v="Closed"/>
    <n v="3"/>
    <n v="24"/>
    <n v="11.54"/>
    <n v="1"/>
  </r>
  <r>
    <s v="TCK-14838"/>
    <s v="2024-11-16 14:09:13"/>
    <m/>
    <s v="P1"/>
    <x v="3"/>
    <s v="L1 Support"/>
    <s v="Jim Halpert"/>
    <s v="Escalated"/>
    <m/>
    <n v="4"/>
    <m/>
    <m/>
  </r>
  <r>
    <s v="TCK-14839"/>
    <s v="2024-07-26 10:45:17"/>
    <s v="2024-07-27 07:02:51"/>
    <s v="P4"/>
    <x v="1"/>
    <s v="L1 Support"/>
    <s v="Emily Watson"/>
    <s v="Closed"/>
    <n v="4"/>
    <n v="48"/>
    <n v="20.29"/>
    <n v="1"/>
  </r>
  <r>
    <s v="TCK-14840"/>
    <s v="2024-03-11 11:37:21"/>
    <s v="2024-03-11 22:21:47"/>
    <s v="P3"/>
    <x v="2"/>
    <s v="L1 Support"/>
    <s v="Jim Halpert"/>
    <s v="Resolved"/>
    <n v="5"/>
    <n v="24"/>
    <n v="10.74"/>
    <n v="1"/>
  </r>
  <r>
    <s v="TCK-14841"/>
    <s v="2024-05-23 21:46:59"/>
    <s v="2024-05-24 08:23:33"/>
    <s v="P3"/>
    <x v="1"/>
    <s v="Infrastructure"/>
    <s v="Emily Watson"/>
    <s v="Resolved"/>
    <n v="5"/>
    <n v="24"/>
    <n v="10.61"/>
    <n v="1"/>
  </r>
  <r>
    <s v="TCK-14842"/>
    <s v="2024-06-02 14:31:04"/>
    <m/>
    <s v="P2"/>
    <x v="0"/>
    <s v="Billing Operations"/>
    <s v="Pam Beesly"/>
    <s v="Open"/>
    <m/>
    <n v="8"/>
    <m/>
    <m/>
  </r>
  <r>
    <s v="TCK-14843"/>
    <s v="2024-11-03 19:55:34"/>
    <s v="2024-11-03 23:32:55"/>
    <s v="P3"/>
    <x v="4"/>
    <s v="Infrastructure"/>
    <s v="Dwight Schrute"/>
    <s v="Resolved"/>
    <n v="5"/>
    <n v="24"/>
    <n v="3.62"/>
    <n v="1"/>
  </r>
  <r>
    <s v="TCK-14844"/>
    <s v="2024-07-15 16:38:36"/>
    <s v="2024-07-16 01:54:54"/>
    <s v="P3"/>
    <x v="2"/>
    <s v="Application Support"/>
    <s v="Emily Watson"/>
    <s v="Closed"/>
    <n v="4"/>
    <n v="24"/>
    <n v="9.27"/>
    <n v="1"/>
  </r>
  <r>
    <s v="TCK-14845"/>
    <s v="2024-12-28 14:40:03"/>
    <m/>
    <s v="P3"/>
    <x v="0"/>
    <s v="L2 Support"/>
    <s v="Jim Halpert"/>
    <s v="Open"/>
    <m/>
    <n v="24"/>
    <m/>
    <m/>
  </r>
  <r>
    <s v="TCK-14846"/>
    <s v="2024-11-17 11:59:59"/>
    <s v="2024-11-17 12:31:30"/>
    <s v="P1"/>
    <x v="0"/>
    <s v="Infrastructure"/>
    <s v="Dwight Schrute"/>
    <s v="Resolved"/>
    <n v="4"/>
    <n v="4"/>
    <n v="0.53"/>
    <n v="1"/>
  </r>
  <r>
    <s v="TCK-14847"/>
    <s v="2024-10-24 20:12:31"/>
    <m/>
    <s v="P2"/>
    <x v="1"/>
    <s v="Infrastructure"/>
    <s v="Michael Scott"/>
    <s v="Escalated"/>
    <m/>
    <n v="8"/>
    <m/>
    <m/>
  </r>
  <r>
    <s v="TCK-14848"/>
    <s v="2024-09-22 06:26:42"/>
    <m/>
    <s v="P3"/>
    <x v="0"/>
    <s v="L2 Support"/>
    <s v="Anita Sharma"/>
    <s v="Open"/>
    <m/>
    <n v="24"/>
    <m/>
    <m/>
  </r>
  <r>
    <s v="TCK-14849"/>
    <s v="2024-06-10 03:34:28"/>
    <s v="2024-06-10 17:40:15"/>
    <s v="P3"/>
    <x v="2"/>
    <s v="Infrastructure"/>
    <s v="Michael Scott"/>
    <s v="Resolved"/>
    <n v="5"/>
    <n v="24"/>
    <n v="14.1"/>
    <n v="1"/>
  </r>
  <r>
    <s v="TCK-14850"/>
    <s v="2024-11-20 16:51:11"/>
    <s v="2024-11-20 20:57:06"/>
    <s v="P2"/>
    <x v="0"/>
    <s v="Application Support"/>
    <s v="Ravi Patel"/>
    <s v="Resolved"/>
    <n v="4"/>
    <n v="8"/>
    <n v="4.0999999999999996"/>
    <n v="1"/>
  </r>
  <r>
    <s v="TCK-14851"/>
    <s v="2024-01-09 10:58:11"/>
    <s v="2024-01-09 20:00:18"/>
    <s v="P3"/>
    <x v="0"/>
    <s v="L2 Support"/>
    <s v="Dwight Schrute"/>
    <s v="Resolved"/>
    <n v="4"/>
    <n v="24"/>
    <n v="9.0399999999999991"/>
    <n v="1"/>
  </r>
  <r>
    <s v="TCK-14852"/>
    <s v="2024-12-15 10:51:41"/>
    <s v="2024-12-15 16:08:55"/>
    <s v="P2"/>
    <x v="2"/>
    <s v="Application Support"/>
    <s v="Alex Mercer"/>
    <s v="Closed"/>
    <n v="4"/>
    <n v="8"/>
    <n v="5.29"/>
    <n v="1"/>
  </r>
  <r>
    <s v="TCK-14853"/>
    <s v="2024-06-18 21:01:03"/>
    <s v="2024-06-18 22:39:37"/>
    <s v="P2"/>
    <x v="0"/>
    <s v="Infrastructure"/>
    <s v="Alex Mercer"/>
    <s v="Closed"/>
    <n v="4"/>
    <n v="8"/>
    <n v="1.64"/>
    <n v="1"/>
  </r>
  <r>
    <s v="TCK-14854"/>
    <s v="2024-04-20 00:17:51"/>
    <s v="2024-04-20 07:31:16"/>
    <s v="P2"/>
    <x v="2"/>
    <s v="Application Support"/>
    <s v="Sarah Connor"/>
    <s v="Closed"/>
    <n v="5"/>
    <n v="8"/>
    <n v="7.22"/>
    <n v="1"/>
  </r>
  <r>
    <s v="TCK-14855"/>
    <s v="2024-11-19 02:37:01"/>
    <s v="2024-11-19 03:02:49"/>
    <s v="P1"/>
    <x v="2"/>
    <s v="L1 Support"/>
    <s v="Priya Nair"/>
    <s v="Resolved"/>
    <n v="5"/>
    <n v="4"/>
    <n v="0.43"/>
    <n v="1"/>
  </r>
  <r>
    <s v="TCK-14856"/>
    <s v="2024-04-16 10:07:58"/>
    <s v="2024-04-17 05:56:19"/>
    <s v="P4"/>
    <x v="0"/>
    <s v="Infrastructure"/>
    <s v="John Doe"/>
    <s v="Closed"/>
    <n v="5"/>
    <n v="48"/>
    <n v="19.809999999999999"/>
    <n v="1"/>
  </r>
  <r>
    <s v="TCK-14857"/>
    <s v="2024-07-14 19:15:44"/>
    <s v="2024-07-17 05:05:15"/>
    <s v="P3"/>
    <x v="2"/>
    <s v="Infrastructure"/>
    <s v="Carlos Mendez"/>
    <s v="Closed"/>
    <n v="2"/>
    <n v="24"/>
    <n v="57.83"/>
    <n v="0"/>
  </r>
  <r>
    <s v="TCK-14858"/>
    <s v="2024-07-02 04:17:44"/>
    <s v="2024-07-02 06:55:40"/>
    <s v="P1"/>
    <x v="2"/>
    <s v="L2 Support"/>
    <s v="Michael Scott"/>
    <s v="Resolved"/>
    <n v="4"/>
    <n v="4"/>
    <n v="2.63"/>
    <n v="1"/>
  </r>
  <r>
    <s v="TCK-14859"/>
    <s v="2024-07-24 23:16:41"/>
    <s v="2024-07-25 14:10:27"/>
    <s v="P4"/>
    <x v="0"/>
    <s v="L2 Support"/>
    <s v="John Doe"/>
    <s v="Resolved"/>
    <n v="4"/>
    <n v="48"/>
    <n v="14.9"/>
    <n v="1"/>
  </r>
  <r>
    <s v="TCK-14860"/>
    <s v="2024-06-08 08:07:48"/>
    <s v="2024-06-08 21:46:03"/>
    <s v="P2"/>
    <x v="2"/>
    <s v="Application Support"/>
    <s v="Dwight Schrute"/>
    <s v="Resolved"/>
    <n v="2"/>
    <n v="8"/>
    <n v="13.64"/>
    <n v="0"/>
  </r>
  <r>
    <s v="TCK-14861"/>
    <s v="2024-07-16 21:24:19"/>
    <s v="2024-07-18 07:01:32"/>
    <s v="P4"/>
    <x v="3"/>
    <s v="Infrastructure"/>
    <s v="Jim Halpert"/>
    <s v="Resolved"/>
    <n v="5"/>
    <n v="48"/>
    <n v="33.619999999999997"/>
    <n v="1"/>
  </r>
  <r>
    <s v="TCK-14862"/>
    <s v="2024-08-14 23:15:54"/>
    <s v="2024-08-15 03:09:09"/>
    <s v="P3"/>
    <x v="4"/>
    <s v="Infrastructure"/>
    <s v="Michael Scott"/>
    <s v="Closed"/>
    <n v="4"/>
    <n v="24"/>
    <n v="3.89"/>
    <n v="1"/>
  </r>
  <r>
    <s v="TCK-14863"/>
    <s v="2024-05-14 22:20:28"/>
    <s v="2024-05-15 13:03:11"/>
    <s v="P3"/>
    <x v="2"/>
    <s v="Application Support"/>
    <s v="Jim Halpert"/>
    <s v="Resolved"/>
    <n v="5"/>
    <n v="24"/>
    <n v="14.71"/>
    <n v="1"/>
  </r>
  <r>
    <s v="TCK-14864"/>
    <s v="2024-12-19 16:10:54"/>
    <s v="2024-12-19 22:23:27"/>
    <s v="P3"/>
    <x v="0"/>
    <s v="Application Support"/>
    <s v="Dwight Schrute"/>
    <s v="Closed"/>
    <n v="4"/>
    <n v="24"/>
    <n v="6.21"/>
    <n v="1"/>
  </r>
  <r>
    <s v="TCK-14865"/>
    <s v="2024-06-03 10:44:48"/>
    <s v="2024-06-03 13:52:08"/>
    <s v="P2"/>
    <x v="0"/>
    <s v="L2 Support"/>
    <s v="Sarah Connor"/>
    <s v="Resolved"/>
    <n v="4"/>
    <n v="8"/>
    <n v="3.12"/>
    <n v="1"/>
  </r>
  <r>
    <s v="TCK-14866"/>
    <s v="2024-12-21 17:42:49"/>
    <s v="2024-12-21 23:55:22"/>
    <s v="P2"/>
    <x v="3"/>
    <s v="L2 Support"/>
    <s v="Emily Watson"/>
    <s v="Resolved"/>
    <n v="5"/>
    <n v="8"/>
    <n v="6.21"/>
    <n v="1"/>
  </r>
  <r>
    <s v="TCK-14867"/>
    <s v="2024-12-10 19:47:05"/>
    <s v="2024-12-10 22:24:57"/>
    <s v="P3"/>
    <x v="4"/>
    <s v="L1 Support"/>
    <s v="Jim Halpert"/>
    <s v="Resolved"/>
    <n v="4"/>
    <n v="24"/>
    <n v="2.63"/>
    <n v="1"/>
  </r>
  <r>
    <s v="TCK-14868"/>
    <s v="2024-02-22 19:53:38"/>
    <s v="2024-02-25 07:36:49"/>
    <s v="P3"/>
    <x v="0"/>
    <s v="Billing Operations"/>
    <s v="Emily Watson"/>
    <s v="Resolved"/>
    <n v="2"/>
    <n v="24"/>
    <n v="59.72"/>
    <n v="0"/>
  </r>
  <r>
    <s v="TCK-14869"/>
    <s v="2024-12-05 12:15:21"/>
    <s v="2024-12-08 07:17:57"/>
    <s v="P3"/>
    <x v="1"/>
    <s v="L1 Support"/>
    <s v="Pam Beesly"/>
    <s v="Resolved"/>
    <n v="2"/>
    <n v="24"/>
    <n v="67.040000000000006"/>
    <n v="0"/>
  </r>
  <r>
    <s v="TCK-14870"/>
    <s v="2024-07-30 16:06:05"/>
    <s v="2024-08-04 00:46:15"/>
    <s v="P4"/>
    <x v="2"/>
    <s v="L2 Support"/>
    <s v="Michael Scott"/>
    <s v="Closed"/>
    <n v="1"/>
    <n v="48"/>
    <n v="104.67"/>
    <n v="0"/>
  </r>
  <r>
    <s v="TCK-14871"/>
    <s v="2024-09-18 23:48:19"/>
    <s v="2024-09-19 09:57:30"/>
    <s v="P3"/>
    <x v="2"/>
    <s v="Billing Operations"/>
    <s v="Jim Halpert"/>
    <s v="Closed"/>
    <n v="3"/>
    <n v="24"/>
    <n v="10.15"/>
    <n v="1"/>
  </r>
  <r>
    <s v="TCK-14872"/>
    <s v="2024-06-03 13:58:04"/>
    <s v="2024-06-03 22:28:29"/>
    <s v="P1"/>
    <x v="1"/>
    <s v="L2 Support"/>
    <s v="John Doe"/>
    <s v="Resolved"/>
    <n v="2"/>
    <n v="4"/>
    <n v="8.51"/>
    <n v="0"/>
  </r>
  <r>
    <s v="TCK-14873"/>
    <s v="2024-02-26 11:50:19"/>
    <s v="2024-02-29 03:56:35"/>
    <s v="P4"/>
    <x v="4"/>
    <s v="L1 Support"/>
    <s v="Carlos Mendez"/>
    <s v="Closed"/>
    <n v="4"/>
    <n v="48"/>
    <n v="64.099999999999994"/>
    <n v="0"/>
  </r>
  <r>
    <s v="TCK-14874"/>
    <s v="2024-06-14 21:02:44"/>
    <s v="2024-06-15 04:29:59"/>
    <s v="P4"/>
    <x v="1"/>
    <s v="L2 Support"/>
    <s v="Pam Beesly"/>
    <s v="Resolved"/>
    <n v="5"/>
    <n v="48"/>
    <n v="7.45"/>
    <n v="1"/>
  </r>
  <r>
    <s v="TCK-14875"/>
    <s v="2024-01-14 05:07:40"/>
    <s v="2024-01-14 06:52:10"/>
    <s v="P1"/>
    <x v="0"/>
    <s v="Billing Operations"/>
    <s v="Anita Sharma"/>
    <s v="Resolved"/>
    <n v="5"/>
    <n v="4"/>
    <n v="1.74"/>
    <n v="1"/>
  </r>
  <r>
    <s v="TCK-14876"/>
    <s v="2024-12-09 18:02:20"/>
    <s v="2024-12-10 15:56:29"/>
    <s v="P3"/>
    <x v="1"/>
    <s v="Billing Operations"/>
    <s v="Dwight Schrute"/>
    <s v="Closed"/>
    <n v="5"/>
    <n v="24"/>
    <n v="21.9"/>
    <n v="1"/>
  </r>
  <r>
    <s v="TCK-14877"/>
    <s v="2024-06-11 19:45:55"/>
    <s v="2024-06-12 16:31:54"/>
    <s v="P4"/>
    <x v="1"/>
    <s v="Billing Operations"/>
    <s v="Emily Watson"/>
    <s v="Resolved"/>
    <n v="5"/>
    <n v="48"/>
    <n v="20.77"/>
    <n v="1"/>
  </r>
  <r>
    <s v="TCK-14878"/>
    <s v="2024-09-18 22:34:05"/>
    <m/>
    <s v="P4"/>
    <x v="1"/>
    <s v="L1 Support"/>
    <s v="Dwight Schrute"/>
    <s v="Open"/>
    <m/>
    <n v="48"/>
    <m/>
    <m/>
  </r>
  <r>
    <s v="TCK-14879"/>
    <s v="2024-07-02 06:27:04"/>
    <m/>
    <s v="P4"/>
    <x v="0"/>
    <s v="Application Support"/>
    <s v="Sarah Connor"/>
    <s v="Open"/>
    <m/>
    <n v="48"/>
    <m/>
    <m/>
  </r>
  <r>
    <s v="TCK-14880"/>
    <s v="2024-10-20 07:46:42"/>
    <s v="2024-10-20 16:35:11"/>
    <s v="P2"/>
    <x v="1"/>
    <s v="Billing Operations"/>
    <s v="Alex Mercer"/>
    <s v="Closed"/>
    <n v="1"/>
    <n v="8"/>
    <n v="8.81"/>
    <n v="0"/>
  </r>
  <r>
    <s v="TCK-14881"/>
    <s v="2024-11-24 16:48:30"/>
    <s v="2024-11-25 08:06:40"/>
    <s v="P3"/>
    <x v="3"/>
    <s v="L2 Support"/>
    <s v="Jim Halpert"/>
    <s v="Closed"/>
    <n v="5"/>
    <n v="24"/>
    <n v="15.3"/>
    <n v="1"/>
  </r>
  <r>
    <s v="TCK-14882"/>
    <s v="2024-12-29 17:48:00"/>
    <s v="2024-12-29 22:13:58"/>
    <s v="P2"/>
    <x v="2"/>
    <s v="Infrastructure"/>
    <s v="Carlos Mendez"/>
    <s v="Resolved"/>
    <n v="5"/>
    <n v="8"/>
    <n v="4.43"/>
    <n v="1"/>
  </r>
  <r>
    <s v="TCK-14883"/>
    <s v="2024-03-08 01:08:23"/>
    <s v="2024-03-08 02:07:54"/>
    <s v="P1"/>
    <x v="1"/>
    <s v="L2 Support"/>
    <s v="Ravi Patel"/>
    <s v="Resolved"/>
    <n v="5"/>
    <n v="4"/>
    <n v="0.99"/>
    <n v="1"/>
  </r>
  <r>
    <s v="TCK-14884"/>
    <s v="2024-11-17 04:32:55"/>
    <s v="2024-11-17 18:03:54"/>
    <s v="P2"/>
    <x v="1"/>
    <s v="Application Support"/>
    <s v="Carlos Mendez"/>
    <s v="Closed"/>
    <n v="1"/>
    <n v="8"/>
    <n v="13.52"/>
    <n v="0"/>
  </r>
  <r>
    <s v="TCK-14885"/>
    <s v="2024-04-25 13:35:04"/>
    <s v="2024-04-27 04:37:30"/>
    <s v="P3"/>
    <x v="0"/>
    <s v="L2 Support"/>
    <s v="Ravi Patel"/>
    <s v="Closed"/>
    <n v="3"/>
    <n v="24"/>
    <n v="39.04"/>
    <n v="0"/>
  </r>
  <r>
    <s v="TCK-14886"/>
    <s v="2024-05-23 04:24:21"/>
    <s v="2024-05-23 09:17:12"/>
    <s v="P2"/>
    <x v="3"/>
    <s v="Billing Operations"/>
    <s v="Ravi Patel"/>
    <s v="Resolved"/>
    <n v="4"/>
    <n v="8"/>
    <n v="4.88"/>
    <n v="1"/>
  </r>
  <r>
    <s v="TCK-14887"/>
    <s v="2024-01-21 13:43:10"/>
    <s v="2024-01-21 15:34:34"/>
    <s v="P1"/>
    <x v="0"/>
    <s v="Billing Operations"/>
    <s v="John Doe"/>
    <s v="Closed"/>
    <n v="4"/>
    <n v="4"/>
    <n v="1.86"/>
    <n v="1"/>
  </r>
  <r>
    <s v="TCK-14888"/>
    <s v="2024-08-20 19:51:04"/>
    <m/>
    <s v="P4"/>
    <x v="2"/>
    <s v="Infrastructure"/>
    <s v="Pam Beesly"/>
    <s v="Escalated"/>
    <m/>
    <n v="48"/>
    <m/>
    <m/>
  </r>
  <r>
    <s v="TCK-14889"/>
    <s v="2024-09-09 14:24:25"/>
    <s v="2024-09-09 17:35:46"/>
    <s v="P3"/>
    <x v="1"/>
    <s v="Infrastructure"/>
    <s v="Ravi Patel"/>
    <s v="Resolved"/>
    <n v="5"/>
    <n v="24"/>
    <n v="3.19"/>
    <n v="1"/>
  </r>
  <r>
    <s v="TCK-14890"/>
    <s v="2024-07-13 10:29:15"/>
    <s v="2024-07-13 21:56:27"/>
    <s v="P3"/>
    <x v="4"/>
    <s v="Billing Operations"/>
    <s v="Anita Sharma"/>
    <s v="Resolved"/>
    <n v="4"/>
    <n v="24"/>
    <n v="11.45"/>
    <n v="1"/>
  </r>
  <r>
    <s v="TCK-14891"/>
    <s v="2024-09-02 01:25:01"/>
    <s v="2024-09-02 14:05:20"/>
    <s v="P4"/>
    <x v="0"/>
    <s v="Infrastructure"/>
    <s v="Anita Sharma"/>
    <s v="Closed"/>
    <n v="4"/>
    <n v="48"/>
    <n v="12.67"/>
    <n v="1"/>
  </r>
  <r>
    <s v="TCK-14892"/>
    <s v="2024-11-09 10:11:16"/>
    <s v="2024-11-09 14:17:20"/>
    <s v="P3"/>
    <x v="3"/>
    <s v="Billing Operations"/>
    <s v="Jim Halpert"/>
    <s v="Resolved"/>
    <n v="4"/>
    <n v="24"/>
    <n v="4.0999999999999996"/>
    <n v="1"/>
  </r>
  <r>
    <s v="TCK-14893"/>
    <s v="2024-02-05 12:46:49"/>
    <s v="2024-02-09 07:52:32"/>
    <s v="P4"/>
    <x v="3"/>
    <s v="L2 Support"/>
    <s v="Pam Beesly"/>
    <s v="Resolved"/>
    <n v="4"/>
    <n v="48"/>
    <n v="91.1"/>
    <n v="0"/>
  </r>
  <r>
    <s v="TCK-14894"/>
    <s v="2024-11-10 16:38:33"/>
    <s v="2024-11-11 08:42:59"/>
    <s v="P4"/>
    <x v="1"/>
    <s v="Billing Operations"/>
    <s v="Emily Watson"/>
    <s v="Resolved"/>
    <n v="5"/>
    <n v="48"/>
    <n v="16.07"/>
    <n v="1"/>
  </r>
  <r>
    <s v="TCK-14895"/>
    <s v="2024-06-04 03:17:39"/>
    <s v="2024-06-05 06:31:24"/>
    <s v="P4"/>
    <x v="2"/>
    <s v="L1 Support"/>
    <s v="Jim Halpert"/>
    <s v="Resolved"/>
    <n v="4"/>
    <n v="48"/>
    <n v="27.23"/>
    <n v="1"/>
  </r>
  <r>
    <s v="TCK-14896"/>
    <s v="2024-02-11 06:26:04"/>
    <s v="2024-02-11 07:54:37"/>
    <s v="P1"/>
    <x v="2"/>
    <s v="Application Support"/>
    <s v="Sarah Connor"/>
    <s v="Closed"/>
    <n v="5"/>
    <n v="4"/>
    <n v="1.48"/>
    <n v="1"/>
  </r>
  <r>
    <s v="TCK-14897"/>
    <s v="2024-04-07 10:37:21"/>
    <s v="2024-04-07 12:54:22"/>
    <s v="P1"/>
    <x v="0"/>
    <s v="Billing Operations"/>
    <s v="Carlos Mendez"/>
    <s v="Closed"/>
    <n v="5"/>
    <n v="4"/>
    <n v="2.2799999999999998"/>
    <n v="1"/>
  </r>
  <r>
    <s v="TCK-14898"/>
    <s v="2024-10-02 23:21:44"/>
    <s v="2024-10-03 00:33:12"/>
    <s v="P1"/>
    <x v="0"/>
    <s v="Infrastructure"/>
    <s v="Jim Halpert"/>
    <s v="Closed"/>
    <n v="4"/>
    <n v="4"/>
    <n v="1.19"/>
    <n v="1"/>
  </r>
  <r>
    <s v="TCK-14899"/>
    <s v="2024-11-08 00:29:09"/>
    <s v="2024-11-08 07:45:14"/>
    <s v="P3"/>
    <x v="2"/>
    <s v="Billing Operations"/>
    <s v="Pam Beesly"/>
    <s v="Resolved"/>
    <n v="4"/>
    <n v="24"/>
    <n v="7.27"/>
    <n v="1"/>
  </r>
  <r>
    <s v="TCK-14900"/>
    <s v="2024-02-12 19:56:13"/>
    <s v="2024-02-13 12:33:43"/>
    <s v="P2"/>
    <x v="4"/>
    <s v="L2 Support"/>
    <s v="Priya Nair"/>
    <s v="Resolved"/>
    <n v="3"/>
    <n v="8"/>
    <n v="16.62"/>
    <n v="0"/>
  </r>
  <r>
    <s v="TCK-14901"/>
    <s v="2024-07-05 08:01:03"/>
    <s v="2024-07-06 00:50:50"/>
    <s v="P4"/>
    <x v="1"/>
    <s v="Application Support"/>
    <s v="Pam Beesly"/>
    <s v="Closed"/>
    <n v="4"/>
    <n v="48"/>
    <n v="16.829999999999998"/>
    <n v="1"/>
  </r>
  <r>
    <s v="TCK-14902"/>
    <s v="2024-03-16 09:24:09"/>
    <s v="2024-03-16 12:41:48"/>
    <s v="P3"/>
    <x v="2"/>
    <s v="Application Support"/>
    <s v="Michael Scott"/>
    <s v="Resolved"/>
    <n v="4"/>
    <n v="24"/>
    <n v="3.29"/>
    <n v="1"/>
  </r>
  <r>
    <s v="TCK-14903"/>
    <s v="2024-07-12 21:11:53"/>
    <s v="2024-07-13 03:40:56"/>
    <s v="P2"/>
    <x v="3"/>
    <s v="Application Support"/>
    <s v="Carlos Mendez"/>
    <s v="Closed"/>
    <n v="5"/>
    <n v="8"/>
    <n v="6.48"/>
    <n v="1"/>
  </r>
  <r>
    <s v="TCK-14904"/>
    <s v="2024-09-20 12:31:29"/>
    <s v="2024-09-22 14:11:03"/>
    <s v="P3"/>
    <x v="1"/>
    <s v="L1 Support"/>
    <s v="Pam Beesly"/>
    <s v="Resolved"/>
    <n v="3"/>
    <n v="24"/>
    <n v="49.66"/>
    <n v="0"/>
  </r>
  <r>
    <s v="TCK-14905"/>
    <s v="2024-11-24 02:15:27"/>
    <s v="2024-11-24 17:13:40"/>
    <s v="P4"/>
    <x v="3"/>
    <s v="L1 Support"/>
    <s v="Jim Halpert"/>
    <s v="Closed"/>
    <n v="4"/>
    <n v="48"/>
    <n v="14.97"/>
    <n v="1"/>
  </r>
  <r>
    <s v="TCK-14906"/>
    <s v="2024-02-11 10:57:52"/>
    <s v="2024-02-11 12:33:11"/>
    <s v="P2"/>
    <x v="4"/>
    <s v="L1 Support"/>
    <s v="Sarah Connor"/>
    <s v="Resolved"/>
    <n v="4"/>
    <n v="8"/>
    <n v="1.59"/>
    <n v="1"/>
  </r>
  <r>
    <s v="TCK-14907"/>
    <s v="2024-11-09 08:08:57"/>
    <s v="2024-11-10 00:16:27"/>
    <s v="P3"/>
    <x v="4"/>
    <s v="Infrastructure"/>
    <s v="Jim Halpert"/>
    <s v="Resolved"/>
    <n v="4"/>
    <n v="24"/>
    <n v="16.12"/>
    <n v="1"/>
  </r>
  <r>
    <s v="TCK-14908"/>
    <s v="2024-01-30 05:02:20"/>
    <s v="2024-02-03 23:18:39"/>
    <s v="P4"/>
    <x v="2"/>
    <s v="Infrastructure"/>
    <s v="Sarah Connor"/>
    <s v="Closed"/>
    <n v="2"/>
    <n v="48"/>
    <n v="114.27"/>
    <n v="0"/>
  </r>
  <r>
    <s v="TCK-14909"/>
    <s v="2024-05-05 01:34:53"/>
    <s v="2024-05-05 02:24:53"/>
    <s v="P2"/>
    <x v="4"/>
    <s v="L1 Support"/>
    <s v="Ravi Patel"/>
    <s v="Resolved"/>
    <n v="4"/>
    <n v="8"/>
    <n v="0.83"/>
    <n v="1"/>
  </r>
  <r>
    <s v="TCK-14910"/>
    <s v="2024-12-13 01:19:14"/>
    <s v="2024-12-13 16:55:12"/>
    <s v="P2"/>
    <x v="4"/>
    <s v="L1 Support"/>
    <s v="Dwight Schrute"/>
    <s v="Resolved"/>
    <n v="2"/>
    <n v="8"/>
    <n v="15.6"/>
    <n v="0"/>
  </r>
  <r>
    <s v="TCK-14911"/>
    <s v="2024-03-21 10:49:19"/>
    <s v="2024-03-21 17:44:37"/>
    <s v="P3"/>
    <x v="1"/>
    <s v="L1 Support"/>
    <s v="Carlos Mendez"/>
    <s v="Resolved"/>
    <n v="3"/>
    <n v="24"/>
    <n v="6.92"/>
    <n v="1"/>
  </r>
  <r>
    <s v="TCK-14912"/>
    <s v="2024-07-22 04:37:49"/>
    <s v="2024-07-22 13:30:55"/>
    <s v="P3"/>
    <x v="3"/>
    <s v="Application Support"/>
    <s v="John Doe"/>
    <s v="Resolved"/>
    <n v="5"/>
    <n v="24"/>
    <n v="8.8800000000000008"/>
    <n v="1"/>
  </r>
  <r>
    <s v="TCK-14913"/>
    <s v="2024-05-19 05:35:46"/>
    <s v="2024-05-20 17:59:58"/>
    <s v="P4"/>
    <x v="2"/>
    <s v="L1 Support"/>
    <s v="Alex Mercer"/>
    <s v="Resolved"/>
    <n v="5"/>
    <n v="48"/>
    <n v="36.4"/>
    <n v="1"/>
  </r>
  <r>
    <s v="TCK-14914"/>
    <s v="2024-10-13 02:27:32"/>
    <s v="2024-10-14 18:53:00"/>
    <s v="P4"/>
    <x v="2"/>
    <s v="L2 Support"/>
    <s v="Jim Halpert"/>
    <s v="Closed"/>
    <n v="5"/>
    <n v="48"/>
    <n v="40.42"/>
    <n v="1"/>
  </r>
  <r>
    <s v="TCK-14915"/>
    <s v="2024-02-28 00:36:32"/>
    <s v="2024-02-28 12:26:52"/>
    <s v="P4"/>
    <x v="1"/>
    <s v="Application Support"/>
    <s v="Michael Scott"/>
    <s v="Resolved"/>
    <n v="5"/>
    <n v="48"/>
    <n v="11.84"/>
    <n v="1"/>
  </r>
  <r>
    <s v="TCK-14916"/>
    <s v="2024-10-02 01:06:34"/>
    <s v="2024-10-03 17:43:03"/>
    <s v="P4"/>
    <x v="1"/>
    <s v="L1 Support"/>
    <s v="Michael Scott"/>
    <s v="Closed"/>
    <n v="5"/>
    <n v="48"/>
    <n v="40.61"/>
    <n v="1"/>
  </r>
  <r>
    <s v="TCK-14917"/>
    <s v="2024-06-18 20:27:25"/>
    <s v="2024-06-19 05:49:52"/>
    <s v="P2"/>
    <x v="4"/>
    <s v="Billing Operations"/>
    <s v="John Doe"/>
    <s v="Resolved"/>
    <n v="2"/>
    <n v="8"/>
    <n v="9.3699999999999992"/>
    <n v="0"/>
  </r>
  <r>
    <s v="TCK-14918"/>
    <s v="2024-12-08 23:42:10"/>
    <m/>
    <s v="P2"/>
    <x v="1"/>
    <s v="L1 Support"/>
    <s v="Jim Halpert"/>
    <s v="Open"/>
    <m/>
    <n v="8"/>
    <m/>
    <m/>
  </r>
  <r>
    <s v="TCK-14919"/>
    <s v="2024-04-11 23:19:41"/>
    <s v="2024-04-12 14:14:27"/>
    <s v="P3"/>
    <x v="2"/>
    <s v="Billing Operations"/>
    <s v="Pam Beesly"/>
    <s v="Resolved"/>
    <n v="4"/>
    <n v="24"/>
    <n v="14.91"/>
    <n v="1"/>
  </r>
  <r>
    <s v="TCK-14920"/>
    <s v="2024-12-23 08:57:43"/>
    <s v="2024-12-23 20:01:32"/>
    <s v="P3"/>
    <x v="2"/>
    <s v="L2 Support"/>
    <s v="Sarah Connor"/>
    <s v="Closed"/>
    <n v="4"/>
    <n v="24"/>
    <n v="11.06"/>
    <n v="1"/>
  </r>
  <r>
    <s v="TCK-14921"/>
    <s v="2024-10-22 23:21:46"/>
    <s v="2024-10-23 21:42:46"/>
    <s v="P4"/>
    <x v="1"/>
    <s v="Application Support"/>
    <s v="Michael Scott"/>
    <s v="Closed"/>
    <n v="5"/>
    <n v="48"/>
    <n v="22.35"/>
    <n v="1"/>
  </r>
  <r>
    <s v="TCK-14922"/>
    <s v="2024-09-08 01:11:16"/>
    <m/>
    <s v="P4"/>
    <x v="1"/>
    <s v="L2 Support"/>
    <s v="Dwight Schrute"/>
    <s v="Escalated"/>
    <m/>
    <n v="48"/>
    <m/>
    <m/>
  </r>
  <r>
    <s v="TCK-14923"/>
    <s v="2024-12-26 21:46:41"/>
    <m/>
    <s v="P3"/>
    <x v="4"/>
    <s v="Infrastructure"/>
    <s v="Carlos Mendez"/>
    <s v="Open"/>
    <m/>
    <n v="24"/>
    <m/>
    <m/>
  </r>
  <r>
    <s v="TCK-14924"/>
    <s v="2024-09-22 19:34:42"/>
    <s v="2024-09-22 21:26:03"/>
    <s v="P1"/>
    <x v="3"/>
    <s v="Billing Operations"/>
    <s v="Carlos Mendez"/>
    <s v="Resolved"/>
    <n v="5"/>
    <n v="4"/>
    <n v="1.86"/>
    <n v="1"/>
  </r>
  <r>
    <s v="TCK-14925"/>
    <s v="2024-10-18 09:00:22"/>
    <s v="2024-10-18 11:21:09"/>
    <s v="P2"/>
    <x v="0"/>
    <s v="L1 Support"/>
    <s v="Sarah Connor"/>
    <s v="Closed"/>
    <n v="3"/>
    <n v="8"/>
    <n v="2.35"/>
    <n v="1"/>
  </r>
  <r>
    <s v="TCK-14926"/>
    <s v="2024-02-11 16:26:40"/>
    <s v="2024-02-12 05:00:35"/>
    <s v="P3"/>
    <x v="2"/>
    <s v="Infrastructure"/>
    <s v="Carlos Mendez"/>
    <s v="Resolved"/>
    <n v="4"/>
    <n v="24"/>
    <n v="12.57"/>
    <n v="1"/>
  </r>
  <r>
    <s v="TCK-14927"/>
    <s v="2024-09-30 00:22:00"/>
    <s v="2024-09-30 04:24:56"/>
    <s v="P2"/>
    <x v="4"/>
    <s v="Billing Operations"/>
    <s v="Dwight Schrute"/>
    <s v="Resolved"/>
    <n v="3"/>
    <n v="8"/>
    <n v="4.05"/>
    <n v="1"/>
  </r>
  <r>
    <s v="TCK-14928"/>
    <s v="2024-06-14 23:55:56"/>
    <s v="2024-06-15 16:39:39"/>
    <s v="P3"/>
    <x v="2"/>
    <s v="Infrastructure"/>
    <s v="Emily Watson"/>
    <s v="Resolved"/>
    <n v="5"/>
    <n v="24"/>
    <n v="16.73"/>
    <n v="1"/>
  </r>
  <r>
    <s v="TCK-14929"/>
    <s v="2024-05-04 12:28:17"/>
    <s v="2024-05-04 15:24:48"/>
    <s v="P1"/>
    <x v="4"/>
    <s v="Billing Operations"/>
    <s v="Emily Watson"/>
    <s v="Resolved"/>
    <n v="5"/>
    <n v="4"/>
    <n v="2.94"/>
    <n v="1"/>
  </r>
  <r>
    <s v="TCK-14930"/>
    <s v="2024-08-29 15:40:06"/>
    <s v="2024-08-30 01:22:51"/>
    <s v="P3"/>
    <x v="3"/>
    <s v="Application Support"/>
    <s v="Michael Scott"/>
    <s v="Closed"/>
    <n v="5"/>
    <n v="24"/>
    <n v="9.7100000000000009"/>
    <n v="1"/>
  </r>
  <r>
    <s v="TCK-14931"/>
    <s v="2024-05-07 12:59:24"/>
    <s v="2024-05-08 03:01:42"/>
    <s v="P3"/>
    <x v="3"/>
    <s v="Infrastructure"/>
    <s v="Alex Mercer"/>
    <s v="Closed"/>
    <n v="5"/>
    <n v="24"/>
    <n v="14.04"/>
    <n v="1"/>
  </r>
  <r>
    <s v="TCK-14932"/>
    <s v="2024-07-25 09:54:03"/>
    <s v="2024-07-25 12:05:53"/>
    <s v="P2"/>
    <x v="0"/>
    <s v="Application Support"/>
    <s v="Jim Halpert"/>
    <s v="Resolved"/>
    <n v="5"/>
    <n v="8"/>
    <n v="2.2000000000000002"/>
    <n v="1"/>
  </r>
  <r>
    <s v="TCK-14933"/>
    <s v="2024-08-23 12:38:02"/>
    <m/>
    <s v="P3"/>
    <x v="1"/>
    <s v="L1 Support"/>
    <s v="Jim Halpert"/>
    <s v="Open"/>
    <m/>
    <n v="24"/>
    <m/>
    <m/>
  </r>
  <r>
    <s v="TCK-14934"/>
    <s v="2024-02-07 04:03:33"/>
    <s v="2024-02-07 07:35:41"/>
    <s v="P1"/>
    <x v="2"/>
    <s v="Infrastructure"/>
    <s v="Alex Mercer"/>
    <s v="Closed"/>
    <n v="5"/>
    <n v="4"/>
    <n v="3.54"/>
    <n v="1"/>
  </r>
  <r>
    <s v="TCK-14935"/>
    <s v="2024-12-27 14:58:21"/>
    <s v="2024-12-28 17:23:09"/>
    <s v="P3"/>
    <x v="1"/>
    <s v="Application Support"/>
    <s v="Ravi Patel"/>
    <s v="Closed"/>
    <n v="4"/>
    <n v="24"/>
    <n v="26.41"/>
    <n v="0"/>
  </r>
  <r>
    <s v="TCK-14936"/>
    <s v="2024-10-13 01:17:18"/>
    <s v="2024-10-13 23:16:22"/>
    <s v="P3"/>
    <x v="1"/>
    <s v="Billing Operations"/>
    <s v="Emily Watson"/>
    <s v="Resolved"/>
    <n v="5"/>
    <n v="24"/>
    <n v="21.98"/>
    <n v="1"/>
  </r>
  <r>
    <s v="TCK-14937"/>
    <s v="2024-06-28 02:46:20"/>
    <s v="2024-06-30 20:09:57"/>
    <s v="P4"/>
    <x v="2"/>
    <s v="L2 Support"/>
    <s v="Ravi Patel"/>
    <s v="Resolved"/>
    <n v="1"/>
    <n v="48"/>
    <n v="65.39"/>
    <n v="0"/>
  </r>
  <r>
    <s v="TCK-14938"/>
    <s v="2024-02-01 21:52:17"/>
    <s v="2024-02-02 17:19:23"/>
    <s v="P2"/>
    <x v="2"/>
    <s v="Application Support"/>
    <s v="John Doe"/>
    <s v="Resolved"/>
    <n v="1"/>
    <n v="8"/>
    <n v="19.45"/>
    <n v="0"/>
  </r>
  <r>
    <s v="TCK-14939"/>
    <s v="2024-11-26 22:48:31"/>
    <s v="2024-11-27 04:21:49"/>
    <s v="P2"/>
    <x v="0"/>
    <s v="Application Support"/>
    <s v="Sarah Connor"/>
    <s v="Resolved"/>
    <n v="5"/>
    <n v="8"/>
    <n v="5.56"/>
    <n v="1"/>
  </r>
  <r>
    <s v="TCK-14940"/>
    <s v="2024-04-11 18:36:47"/>
    <s v="2024-04-11 19:30:09"/>
    <s v="P1"/>
    <x v="2"/>
    <s v="L2 Support"/>
    <s v="Dwight Schrute"/>
    <s v="Closed"/>
    <n v="4"/>
    <n v="4"/>
    <n v="0.89"/>
    <n v="1"/>
  </r>
  <r>
    <s v="TCK-14941"/>
    <s v="2024-07-10 08:49:10"/>
    <m/>
    <s v="P2"/>
    <x v="2"/>
    <s v="Infrastructure"/>
    <s v="John Doe"/>
    <s v="Open"/>
    <m/>
    <n v="8"/>
    <m/>
    <m/>
  </r>
  <r>
    <s v="TCK-14942"/>
    <s v="2024-02-09 15:32:45"/>
    <s v="2024-02-10 02:54:26"/>
    <s v="P3"/>
    <x v="2"/>
    <s v="L2 Support"/>
    <s v="Alex Mercer"/>
    <s v="Closed"/>
    <n v="4"/>
    <n v="24"/>
    <n v="11.36"/>
    <n v="1"/>
  </r>
  <r>
    <s v="TCK-14943"/>
    <s v="2024-07-06 04:37:37"/>
    <s v="2024-07-06 07:22:54"/>
    <s v="P2"/>
    <x v="2"/>
    <s v="Billing Operations"/>
    <s v="Dwight Schrute"/>
    <s v="Resolved"/>
    <n v="4"/>
    <n v="8"/>
    <n v="2.75"/>
    <n v="1"/>
  </r>
  <r>
    <s v="TCK-14944"/>
    <s v="2024-11-30 02:27:59"/>
    <m/>
    <s v="P3"/>
    <x v="4"/>
    <s v="L2 Support"/>
    <s v="Carlos Mendez"/>
    <s v="Open"/>
    <m/>
    <n v="24"/>
    <m/>
    <m/>
  </r>
  <r>
    <s v="TCK-14945"/>
    <s v="2024-11-04 12:46:35"/>
    <s v="2024-11-04 18:36:10"/>
    <s v="P2"/>
    <x v="4"/>
    <s v="L1 Support"/>
    <s v="Anita Sharma"/>
    <s v="Resolved"/>
    <n v="5"/>
    <n v="8"/>
    <n v="5.83"/>
    <n v="1"/>
  </r>
  <r>
    <s v="TCK-14946"/>
    <s v="2024-07-11 07:51:53"/>
    <s v="2024-07-11 13:58:48"/>
    <s v="P3"/>
    <x v="4"/>
    <s v="Billing Operations"/>
    <s v="Emily Watson"/>
    <s v="Resolved"/>
    <n v="4"/>
    <n v="24"/>
    <n v="6.12"/>
    <n v="1"/>
  </r>
  <r>
    <s v="TCK-14947"/>
    <s v="2024-08-15 12:19:35"/>
    <s v="2024-08-15 17:45:26"/>
    <s v="P2"/>
    <x v="1"/>
    <s v="Billing Operations"/>
    <s v="Priya Nair"/>
    <s v="Closed"/>
    <n v="5"/>
    <n v="8"/>
    <n v="5.43"/>
    <n v="1"/>
  </r>
  <r>
    <s v="TCK-14948"/>
    <s v="2024-02-19 21:52:27"/>
    <s v="2024-02-21 02:31:15"/>
    <s v="P3"/>
    <x v="1"/>
    <s v="Infrastructure"/>
    <s v="Sarah Connor"/>
    <s v="Resolved"/>
    <n v="2"/>
    <n v="24"/>
    <n v="28.65"/>
    <n v="0"/>
  </r>
  <r>
    <s v="TCK-14949"/>
    <s v="2024-01-21 00:47:24"/>
    <m/>
    <s v="P2"/>
    <x v="2"/>
    <s v="L2 Support"/>
    <s v="Pam Beesly"/>
    <s v="Open"/>
    <m/>
    <n v="8"/>
    <m/>
    <m/>
  </r>
  <r>
    <s v="TCK-14950"/>
    <s v="2024-09-20 00:28:30"/>
    <s v="2024-09-20 03:30:50"/>
    <s v="P1"/>
    <x v="0"/>
    <s v="Application Support"/>
    <s v="Anita Sharma"/>
    <s v="Resolved"/>
    <n v="4"/>
    <n v="4"/>
    <n v="3.04"/>
    <n v="1"/>
  </r>
  <r>
    <s v="TCK-14951"/>
    <s v="2024-10-11 11:56:21"/>
    <s v="2024-10-11 23:40:49"/>
    <s v="P4"/>
    <x v="1"/>
    <s v="L2 Support"/>
    <s v="Priya Nair"/>
    <s v="Resolved"/>
    <n v="3"/>
    <n v="48"/>
    <n v="11.74"/>
    <n v="1"/>
  </r>
  <r>
    <s v="TCK-14952"/>
    <s v="2024-07-07 08:06:01"/>
    <s v="2024-07-08 05:41:57"/>
    <s v="P3"/>
    <x v="2"/>
    <s v="Infrastructure"/>
    <s v="Priya Nair"/>
    <s v="Closed"/>
    <n v="5"/>
    <n v="24"/>
    <n v="21.6"/>
    <n v="1"/>
  </r>
  <r>
    <s v="TCK-14953"/>
    <s v="2024-10-06 18:35:24"/>
    <s v="2024-10-09 17:25:02"/>
    <s v="P3"/>
    <x v="2"/>
    <s v="L1 Support"/>
    <s v="Emily Watson"/>
    <s v="Resolved"/>
    <n v="2"/>
    <n v="24"/>
    <n v="70.83"/>
    <n v="0"/>
  </r>
  <r>
    <s v="TCK-14954"/>
    <s v="2024-06-20 01:25:46"/>
    <s v="2024-06-22 14:16:32"/>
    <s v="P4"/>
    <x v="2"/>
    <s v="Billing Operations"/>
    <s v="John Doe"/>
    <s v="Resolved"/>
    <n v="3"/>
    <n v="48"/>
    <n v="60.85"/>
    <n v="0"/>
  </r>
  <r>
    <s v="TCK-14955"/>
    <s v="2024-10-14 22:55:24"/>
    <s v="2024-10-17 04:01:07"/>
    <s v="P3"/>
    <x v="1"/>
    <s v="L1 Support"/>
    <s v="Ravi Patel"/>
    <s v="Resolved"/>
    <n v="2"/>
    <n v="24"/>
    <n v="53.1"/>
    <n v="0"/>
  </r>
  <r>
    <s v="TCK-14956"/>
    <s v="2024-05-24 22:47:59"/>
    <s v="2024-05-25 03:18:07"/>
    <s v="P2"/>
    <x v="2"/>
    <s v="Application Support"/>
    <s v="Ravi Patel"/>
    <s v="Resolved"/>
    <n v="5"/>
    <n v="8"/>
    <n v="4.5"/>
    <n v="1"/>
  </r>
  <r>
    <s v="TCK-14957"/>
    <s v="2024-11-08 14:35:26"/>
    <s v="2024-11-08 21:25:41"/>
    <s v="P2"/>
    <x v="1"/>
    <s v="Application Support"/>
    <s v="Carlos Mendez"/>
    <s v="Resolved"/>
    <n v="5"/>
    <n v="8"/>
    <n v="6.84"/>
    <n v="1"/>
  </r>
  <r>
    <s v="TCK-14958"/>
    <s v="2024-07-30 11:55:41"/>
    <s v="2024-07-30 14:32:26"/>
    <s v="P2"/>
    <x v="2"/>
    <s v="L2 Support"/>
    <s v="Dwight Schrute"/>
    <s v="Resolved"/>
    <n v="4"/>
    <n v="8"/>
    <n v="2.61"/>
    <n v="1"/>
  </r>
  <r>
    <s v="TCK-14959"/>
    <s v="2024-11-23 10:56:07"/>
    <s v="2024-11-23 19:52:51"/>
    <s v="P3"/>
    <x v="2"/>
    <s v="Application Support"/>
    <s v="Dwight Schrute"/>
    <s v="Closed"/>
    <n v="4"/>
    <n v="24"/>
    <n v="8.9499999999999993"/>
    <n v="1"/>
  </r>
  <r>
    <s v="TCK-14960"/>
    <s v="2024-05-18 14:52:38"/>
    <s v="2024-05-19 07:53:05"/>
    <s v="P2"/>
    <x v="4"/>
    <s v="Billing Operations"/>
    <s v="John Doe"/>
    <s v="Closed"/>
    <n v="1"/>
    <n v="8"/>
    <n v="17.010000000000002"/>
    <n v="0"/>
  </r>
  <r>
    <s v="TCK-14961"/>
    <s v="2024-02-18 14:44:08"/>
    <s v="2024-02-19 03:41:31"/>
    <s v="P3"/>
    <x v="1"/>
    <s v="Billing Operations"/>
    <s v="John Doe"/>
    <s v="Closed"/>
    <n v="4"/>
    <n v="24"/>
    <n v="12.96"/>
    <n v="1"/>
  </r>
  <r>
    <s v="TCK-14962"/>
    <s v="2024-11-09 08:12:15"/>
    <s v="2024-11-10 11:34:48"/>
    <s v="P4"/>
    <x v="0"/>
    <s v="Billing Operations"/>
    <s v="Michael Scott"/>
    <s v="Resolved"/>
    <n v="4"/>
    <n v="48"/>
    <n v="27.38"/>
    <n v="1"/>
  </r>
  <r>
    <s v="TCK-14963"/>
    <s v="2024-05-12 14:43:34"/>
    <s v="2024-05-13 08:50:13"/>
    <s v="P3"/>
    <x v="0"/>
    <s v="L2 Support"/>
    <s v="Dwight Schrute"/>
    <s v="Resolved"/>
    <n v="4"/>
    <n v="24"/>
    <n v="18.11"/>
    <n v="1"/>
  </r>
  <r>
    <s v="TCK-14964"/>
    <s v="2024-12-09 17:49:29"/>
    <s v="2024-12-10 14:10:58"/>
    <s v="P4"/>
    <x v="4"/>
    <s v="L2 Support"/>
    <s v="Priya Nair"/>
    <s v="Resolved"/>
    <n v="4"/>
    <n v="48"/>
    <n v="20.36"/>
    <n v="1"/>
  </r>
  <r>
    <s v="TCK-14965"/>
    <s v="2024-12-12 15:15:45"/>
    <s v="2024-12-12 19:41:59"/>
    <s v="P3"/>
    <x v="3"/>
    <s v="Application Support"/>
    <s v="Emily Watson"/>
    <s v="Closed"/>
    <n v="5"/>
    <n v="24"/>
    <n v="4.4400000000000004"/>
    <n v="1"/>
  </r>
  <r>
    <s v="TCK-14966"/>
    <s v="2024-01-28 03:56:49"/>
    <s v="2024-01-28 06:52:06"/>
    <s v="P3"/>
    <x v="3"/>
    <s v="L1 Support"/>
    <s v="Anita Sharma"/>
    <s v="Resolved"/>
    <n v="4"/>
    <n v="24"/>
    <n v="2.92"/>
    <n v="1"/>
  </r>
  <r>
    <s v="TCK-14967"/>
    <s v="2024-03-21 03:58:23"/>
    <s v="2024-03-21 19:04:39"/>
    <s v="P3"/>
    <x v="0"/>
    <s v="Infrastructure"/>
    <s v="Carlos Mendez"/>
    <s v="Resolved"/>
    <n v="5"/>
    <n v="24"/>
    <n v="15.1"/>
    <n v="1"/>
  </r>
  <r>
    <s v="TCK-14968"/>
    <s v="2024-01-04 14:29:31"/>
    <s v="2024-01-04 18:52:53"/>
    <s v="P3"/>
    <x v="2"/>
    <s v="Billing Operations"/>
    <s v="Carlos Mendez"/>
    <s v="Closed"/>
    <n v="5"/>
    <n v="24"/>
    <n v="4.3899999999999997"/>
    <n v="1"/>
  </r>
  <r>
    <s v="TCK-14969"/>
    <s v="2024-02-23 14:06:37"/>
    <s v="2024-02-24 00:46:50"/>
    <s v="P4"/>
    <x v="0"/>
    <s v="Infrastructure"/>
    <s v="Pam Beesly"/>
    <s v="Resolved"/>
    <n v="3"/>
    <n v="48"/>
    <n v="10.67"/>
    <n v="1"/>
  </r>
  <r>
    <s v="TCK-14970"/>
    <s v="2024-03-12 05:08:01"/>
    <s v="2024-03-13 23:56:45"/>
    <s v="P4"/>
    <x v="2"/>
    <s v="Infrastructure"/>
    <s v="John Doe"/>
    <s v="Resolved"/>
    <n v="4"/>
    <n v="48"/>
    <n v="42.81"/>
    <n v="1"/>
  </r>
  <r>
    <s v="TCK-14971"/>
    <s v="2024-05-20 05:10:27"/>
    <m/>
    <s v="P4"/>
    <x v="4"/>
    <s v="L1 Support"/>
    <s v="Jim Halpert"/>
    <s v="Open"/>
    <m/>
    <n v="48"/>
    <m/>
    <m/>
  </r>
  <r>
    <s v="TCK-14972"/>
    <s v="2024-11-20 09:53:55"/>
    <s v="2024-11-20 16:11:12"/>
    <s v="P2"/>
    <x v="3"/>
    <s v="L1 Support"/>
    <s v="Pam Beesly"/>
    <s v="Closed"/>
    <n v="5"/>
    <n v="8"/>
    <n v="6.29"/>
    <n v="1"/>
  </r>
  <r>
    <s v="TCK-14973"/>
    <s v="2024-08-30 18:38:01"/>
    <m/>
    <s v="P3"/>
    <x v="1"/>
    <s v="Application Support"/>
    <s v="John Doe"/>
    <s v="Open"/>
    <m/>
    <n v="24"/>
    <m/>
    <m/>
  </r>
  <r>
    <s v="TCK-14974"/>
    <s v="2024-10-17 20:13:09"/>
    <s v="2024-10-18 22:28:52"/>
    <s v="P3"/>
    <x v="3"/>
    <s v="Application Support"/>
    <s v="Ravi Patel"/>
    <s v="Closed"/>
    <n v="1"/>
    <n v="24"/>
    <n v="26.26"/>
    <n v="0"/>
  </r>
  <r>
    <s v="TCK-14975"/>
    <s v="2024-09-27 08:53:01"/>
    <s v="2024-09-28 21:54:01"/>
    <s v="P4"/>
    <x v="2"/>
    <s v="Billing Operations"/>
    <s v="Sarah Connor"/>
    <s v="Closed"/>
    <n v="5"/>
    <n v="48"/>
    <n v="37.020000000000003"/>
    <n v="1"/>
  </r>
  <r>
    <s v="TCK-14976"/>
    <s v="2024-07-28 21:30:06"/>
    <s v="2024-07-30 07:01:35"/>
    <s v="P4"/>
    <x v="4"/>
    <s v="Infrastructure"/>
    <s v="Michael Scott"/>
    <s v="Resolved"/>
    <n v="5"/>
    <n v="48"/>
    <n v="33.520000000000003"/>
    <n v="1"/>
  </r>
  <r>
    <s v="TCK-14977"/>
    <s v="2024-10-16 07:40:32"/>
    <s v="2024-10-16 13:51:31"/>
    <s v="P3"/>
    <x v="2"/>
    <s v="L1 Support"/>
    <s v="Priya Nair"/>
    <s v="Resolved"/>
    <n v="5"/>
    <n v="24"/>
    <n v="6.18"/>
    <n v="1"/>
  </r>
  <r>
    <s v="TCK-14978"/>
    <s v="2024-04-11 10:10:18"/>
    <m/>
    <s v="P1"/>
    <x v="4"/>
    <s v="Infrastructure"/>
    <s v="Sarah Connor"/>
    <s v="Escalated"/>
    <m/>
    <n v="4"/>
    <m/>
    <m/>
  </r>
  <r>
    <s v="TCK-14979"/>
    <s v="2024-12-24 02:22:11"/>
    <s v="2024-12-25 04:01:11"/>
    <s v="P3"/>
    <x v="3"/>
    <s v="Infrastructure"/>
    <s v="Jim Halpert"/>
    <s v="Resolved"/>
    <n v="3"/>
    <n v="24"/>
    <n v="25.65"/>
    <n v="0"/>
  </r>
  <r>
    <s v="TCK-14980"/>
    <s v="2024-01-20 04:04:58"/>
    <s v="2024-01-20 06:32:00"/>
    <s v="P2"/>
    <x v="2"/>
    <s v="Application Support"/>
    <s v="Pam Beesly"/>
    <s v="Closed"/>
    <n v="5"/>
    <n v="8"/>
    <n v="2.4500000000000002"/>
    <n v="1"/>
  </r>
  <r>
    <s v="TCK-14981"/>
    <s v="2024-01-10 16:02:17"/>
    <s v="2024-01-10 18:34:37"/>
    <s v="P1"/>
    <x v="0"/>
    <s v="L1 Support"/>
    <s v="Michael Scott"/>
    <s v="Closed"/>
    <n v="3"/>
    <n v="4"/>
    <n v="2.54"/>
    <n v="1"/>
  </r>
  <r>
    <s v="TCK-14982"/>
    <s v="2024-09-02 00:45:21"/>
    <m/>
    <s v="P3"/>
    <x v="3"/>
    <s v="Infrastructure"/>
    <s v="Michael Scott"/>
    <s v="Open"/>
    <m/>
    <n v="24"/>
    <m/>
    <m/>
  </r>
  <r>
    <s v="TCK-14983"/>
    <s v="2024-05-19 21:23:23"/>
    <s v="2024-05-19 22:20:33"/>
    <s v="P2"/>
    <x v="2"/>
    <s v="L1 Support"/>
    <s v="Alex Mercer"/>
    <s v="Resolved"/>
    <n v="5"/>
    <n v="8"/>
    <n v="0.95"/>
    <n v="1"/>
  </r>
  <r>
    <s v="TCK-14984"/>
    <s v="2024-04-09 07:33:38"/>
    <s v="2024-04-10 18:13:04"/>
    <s v="P4"/>
    <x v="2"/>
    <s v="Application Support"/>
    <s v="Jim Halpert"/>
    <s v="Resolved"/>
    <n v="5"/>
    <n v="48"/>
    <n v="34.659999999999997"/>
    <n v="1"/>
  </r>
  <r>
    <s v="TCK-14985"/>
    <s v="2024-06-20 11:48:23"/>
    <m/>
    <s v="P3"/>
    <x v="2"/>
    <s v="L1 Support"/>
    <s v="Michael Scott"/>
    <s v="Escalated"/>
    <m/>
    <n v="24"/>
    <m/>
    <m/>
  </r>
  <r>
    <s v="TCK-14986"/>
    <s v="2024-08-02 13:15:13"/>
    <s v="2024-08-03 00:15:48"/>
    <s v="P3"/>
    <x v="1"/>
    <s v="Infrastructure"/>
    <s v="Jim Halpert"/>
    <s v="Resolved"/>
    <n v="3"/>
    <n v="24"/>
    <n v="11.01"/>
    <n v="1"/>
  </r>
  <r>
    <s v="TCK-14987"/>
    <s v="2024-03-16 01:26:53"/>
    <s v="2024-03-16 14:11:37"/>
    <s v="P3"/>
    <x v="3"/>
    <s v="Billing Operations"/>
    <s v="Pam Beesly"/>
    <s v="Closed"/>
    <n v="4"/>
    <n v="24"/>
    <n v="12.75"/>
    <n v="1"/>
  </r>
  <r>
    <s v="TCK-14988"/>
    <s v="2024-12-12 22:14:56"/>
    <s v="2024-12-13 02:50:08"/>
    <s v="P2"/>
    <x v="0"/>
    <s v="Infrastructure"/>
    <s v="John Doe"/>
    <s v="Closed"/>
    <n v="4"/>
    <n v="8"/>
    <n v="4.59"/>
    <n v="1"/>
  </r>
  <r>
    <s v="TCK-14989"/>
    <s v="2024-08-08 04:50:45"/>
    <s v="2024-08-08 11:32:54"/>
    <s v="P2"/>
    <x v="1"/>
    <s v="L2 Support"/>
    <s v="Sarah Connor"/>
    <s v="Resolved"/>
    <n v="5"/>
    <n v="8"/>
    <n v="6.7"/>
    <n v="1"/>
  </r>
  <r>
    <s v="TCK-14990"/>
    <s v="2024-01-28 18:23:44"/>
    <s v="2024-01-30 18:15:20"/>
    <s v="P3"/>
    <x v="2"/>
    <s v="Application Support"/>
    <s v="Carlos Mendez"/>
    <s v="Resolved"/>
    <n v="3"/>
    <n v="24"/>
    <n v="47.86"/>
    <n v="0"/>
  </r>
  <r>
    <s v="TCK-14991"/>
    <s v="2024-10-07 15:00:28"/>
    <s v="2024-10-09 02:54:39"/>
    <s v="P3"/>
    <x v="0"/>
    <s v="L1 Support"/>
    <s v="Carlos Mendez"/>
    <s v="Resolved"/>
    <n v="3"/>
    <n v="24"/>
    <n v="35.9"/>
    <n v="0"/>
  </r>
  <r>
    <s v="TCK-14992"/>
    <s v="2024-09-29 09:57:31"/>
    <s v="2024-09-29 17:18:35"/>
    <s v="P2"/>
    <x v="3"/>
    <s v="Application Support"/>
    <s v="Dwight Schrute"/>
    <s v="Resolved"/>
    <n v="3"/>
    <n v="8"/>
    <n v="7.35"/>
    <n v="1"/>
  </r>
  <r>
    <s v="TCK-14993"/>
    <s v="2024-07-17 08:34:22"/>
    <s v="2024-07-17 15:49:17"/>
    <s v="P2"/>
    <x v="2"/>
    <s v="Application Support"/>
    <s v="Anita Sharma"/>
    <s v="Resolved"/>
    <n v="5"/>
    <n v="8"/>
    <n v="7.25"/>
    <n v="1"/>
  </r>
  <r>
    <s v="TCK-14994"/>
    <s v="2024-12-16 20:30:10"/>
    <m/>
    <s v="P3"/>
    <x v="2"/>
    <s v="Infrastructure"/>
    <s v="Sarah Connor"/>
    <s v="Open"/>
    <m/>
    <n v="24"/>
    <m/>
    <m/>
  </r>
  <r>
    <s v="TCK-14995"/>
    <s v="2024-07-29 22:03:54"/>
    <s v="2024-07-30 04:44:23"/>
    <s v="P2"/>
    <x v="2"/>
    <s v="L1 Support"/>
    <s v="Sarah Connor"/>
    <s v="Closed"/>
    <n v="5"/>
    <n v="8"/>
    <n v="6.67"/>
    <n v="1"/>
  </r>
  <r>
    <s v="TCK-14996"/>
    <s v="2024-04-15 21:53:01"/>
    <m/>
    <s v="P4"/>
    <x v="3"/>
    <s v="Infrastructure"/>
    <s v="Dwight Schrute"/>
    <s v="Open"/>
    <m/>
    <n v="48"/>
    <m/>
    <m/>
  </r>
  <r>
    <s v="TCK-14997"/>
    <s v="2024-08-19 16:17:45"/>
    <s v="2024-08-20 20:32:36"/>
    <s v="P4"/>
    <x v="1"/>
    <s v="Billing Operations"/>
    <s v="Dwight Schrute"/>
    <s v="Closed"/>
    <n v="5"/>
    <n v="48"/>
    <n v="28.25"/>
    <n v="1"/>
  </r>
  <r>
    <s v="TCK-14998"/>
    <s v="2024-04-13 16:44:30"/>
    <m/>
    <s v="P4"/>
    <x v="2"/>
    <s v="Billing Operations"/>
    <s v="Anita Sharma"/>
    <s v="Escalated"/>
    <m/>
    <n v="48"/>
    <m/>
    <m/>
  </r>
  <r>
    <s v="TCK-14999"/>
    <s v="2024-01-09 02:33:17"/>
    <s v="2024-01-10 05:34:00"/>
    <s v="P4"/>
    <x v="3"/>
    <s v="Infrastructure"/>
    <s v="Jim Halpert"/>
    <s v="Resolved"/>
    <n v="5"/>
    <n v="48"/>
    <n v="27.01"/>
    <n v="1"/>
  </r>
  <r>
    <s v="TCK-15000"/>
    <s v="2024-04-01 10:53:13"/>
    <s v="2024-04-03 02:04:52"/>
    <s v="P4"/>
    <x v="0"/>
    <s v="L2 Support"/>
    <s v="Carlos Mendez"/>
    <s v="Closed"/>
    <n v="5"/>
    <n v="48"/>
    <n v="39.19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A9" firstHeaderRow="1" firstDataRow="1" firstDataCol="1"/>
  <pivotFields count="12">
    <pivotField showAll="0"/>
    <pivotField showAll="0"/>
    <pivotField showAll="0"/>
    <pivotField showAll="0"/>
    <pivotField axis="axisRow" showAll="0">
      <items count="6">
        <item x="0"/>
        <item x="4"/>
        <item x="3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9"/>
  <sheetViews>
    <sheetView tabSelected="1" workbookViewId="0">
      <selection activeCell="A3" sqref="A3"/>
    </sheetView>
  </sheetViews>
  <sheetFormatPr defaultRowHeight="14.4"/>
  <cols>
    <col min="1" max="1" width="12.5546875" bestFit="1" customWidth="1"/>
  </cols>
  <sheetData>
    <row r="3" spans="1:1">
      <c r="A3" s="20" t="s">
        <v>14546</v>
      </c>
    </row>
    <row r="4" spans="1:1">
      <c r="A4" s="21" t="s">
        <v>16</v>
      </c>
    </row>
    <row r="5" spans="1:1">
      <c r="A5" s="21" t="s">
        <v>59</v>
      </c>
    </row>
    <row r="6" spans="1:1">
      <c r="A6" s="21" t="s">
        <v>54</v>
      </c>
    </row>
    <row r="7" spans="1:1">
      <c r="A7" s="21" t="s">
        <v>24</v>
      </c>
    </row>
    <row r="8" spans="1:1">
      <c r="A8" s="21" t="s">
        <v>28</v>
      </c>
    </row>
    <row r="9" spans="1:1">
      <c r="A9" s="21" t="s">
        <v>14547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01"/>
  <sheetViews>
    <sheetView workbookViewId="0">
      <pane ySplit="1" topLeftCell="A4977" activePane="bottomLeft" state="frozen"/>
      <selection pane="bottomLeft" activeCell="A2" sqref="A2"/>
    </sheetView>
  </sheetViews>
  <sheetFormatPr defaultRowHeight="14.4"/>
  <cols>
    <col min="1" max="1" width="12" customWidth="1"/>
    <col min="2" max="3" width="22" customWidth="1"/>
    <col min="4" max="5" width="12" customWidth="1"/>
    <col min="6" max="6" width="22" customWidth="1"/>
    <col min="7" max="7" width="17" customWidth="1"/>
    <col min="8" max="8" width="12" customWidth="1"/>
    <col min="9" max="9" width="24" customWidth="1"/>
    <col min="10" max="11" width="19" customWidth="1"/>
    <col min="12" max="12" width="12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5</v>
      </c>
      <c r="J2">
        <v>8</v>
      </c>
      <c r="K2">
        <v>5.84</v>
      </c>
      <c r="L2">
        <v>1</v>
      </c>
    </row>
    <row r="3" spans="1:12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17</v>
      </c>
      <c r="G3" t="s">
        <v>18</v>
      </c>
      <c r="H3" t="s">
        <v>19</v>
      </c>
      <c r="I3">
        <v>5</v>
      </c>
      <c r="J3">
        <v>24</v>
      </c>
      <c r="K3">
        <v>6.46</v>
      </c>
      <c r="L3">
        <v>1</v>
      </c>
    </row>
    <row r="4" spans="1:12">
      <c r="A4" t="s">
        <v>25</v>
      </c>
      <c r="B4" t="s">
        <v>26</v>
      </c>
      <c r="C4" t="s">
        <v>27</v>
      </c>
      <c r="D4" t="s">
        <v>23</v>
      </c>
      <c r="E4" t="s">
        <v>28</v>
      </c>
      <c r="F4" t="s">
        <v>29</v>
      </c>
      <c r="G4" t="s">
        <v>30</v>
      </c>
      <c r="H4" t="s">
        <v>31</v>
      </c>
      <c r="I4">
        <v>4</v>
      </c>
      <c r="J4">
        <v>24</v>
      </c>
      <c r="K4">
        <v>11.02</v>
      </c>
      <c r="L4">
        <v>1</v>
      </c>
    </row>
    <row r="5" spans="1:12">
      <c r="A5" t="s">
        <v>32</v>
      </c>
      <c r="B5" t="s">
        <v>33</v>
      </c>
      <c r="C5" t="s">
        <v>34</v>
      </c>
      <c r="D5" t="s">
        <v>35</v>
      </c>
      <c r="E5" t="s">
        <v>28</v>
      </c>
      <c r="F5" t="s">
        <v>36</v>
      </c>
      <c r="G5" t="s">
        <v>37</v>
      </c>
      <c r="H5" t="s">
        <v>19</v>
      </c>
      <c r="I5">
        <v>3</v>
      </c>
      <c r="J5">
        <v>48</v>
      </c>
      <c r="K5">
        <v>106.91</v>
      </c>
      <c r="L5">
        <v>0</v>
      </c>
    </row>
    <row r="6" spans="1:12">
      <c r="A6" t="s">
        <v>38</v>
      </c>
      <c r="B6" t="s">
        <v>39</v>
      </c>
      <c r="C6" t="s">
        <v>40</v>
      </c>
      <c r="D6" t="s">
        <v>23</v>
      </c>
      <c r="E6" t="s">
        <v>24</v>
      </c>
      <c r="F6" t="s">
        <v>41</v>
      </c>
      <c r="G6" t="s">
        <v>42</v>
      </c>
      <c r="H6" t="s">
        <v>31</v>
      </c>
      <c r="I6">
        <v>3</v>
      </c>
      <c r="J6">
        <v>24</v>
      </c>
      <c r="K6">
        <v>54.15</v>
      </c>
      <c r="L6">
        <v>0</v>
      </c>
    </row>
    <row r="7" spans="1:12">
      <c r="A7" t="s">
        <v>43</v>
      </c>
      <c r="B7" t="s">
        <v>44</v>
      </c>
      <c r="D7" t="s">
        <v>15</v>
      </c>
      <c r="E7" t="s">
        <v>24</v>
      </c>
      <c r="F7" t="s">
        <v>17</v>
      </c>
      <c r="G7" t="s">
        <v>45</v>
      </c>
      <c r="H7" t="s">
        <v>46</v>
      </c>
      <c r="J7">
        <v>8</v>
      </c>
    </row>
    <row r="8" spans="1:12">
      <c r="A8" t="s">
        <v>47</v>
      </c>
      <c r="B8" t="s">
        <v>48</v>
      </c>
      <c r="C8" t="s">
        <v>49</v>
      </c>
      <c r="D8" t="s">
        <v>15</v>
      </c>
      <c r="E8" t="s">
        <v>24</v>
      </c>
      <c r="F8" t="s">
        <v>29</v>
      </c>
      <c r="G8" t="s">
        <v>50</v>
      </c>
      <c r="H8" t="s">
        <v>31</v>
      </c>
      <c r="I8">
        <v>4</v>
      </c>
      <c r="J8">
        <v>8</v>
      </c>
      <c r="K8">
        <v>3.32</v>
      </c>
      <c r="L8">
        <v>1</v>
      </c>
    </row>
    <row r="9" spans="1:12">
      <c r="A9" t="s">
        <v>51</v>
      </c>
      <c r="B9" t="s">
        <v>52</v>
      </c>
      <c r="C9" t="s">
        <v>53</v>
      </c>
      <c r="D9" t="s">
        <v>23</v>
      </c>
      <c r="E9" t="s">
        <v>54</v>
      </c>
      <c r="F9" t="s">
        <v>36</v>
      </c>
      <c r="G9" t="s">
        <v>55</v>
      </c>
      <c r="H9" t="s">
        <v>31</v>
      </c>
      <c r="I9">
        <v>4</v>
      </c>
      <c r="J9">
        <v>24</v>
      </c>
      <c r="K9">
        <v>7.39</v>
      </c>
      <c r="L9">
        <v>1</v>
      </c>
    </row>
    <row r="10" spans="1:12">
      <c r="A10" t="s">
        <v>56</v>
      </c>
      <c r="B10" t="s">
        <v>57</v>
      </c>
      <c r="C10" t="s">
        <v>58</v>
      </c>
      <c r="D10" t="s">
        <v>35</v>
      </c>
      <c r="E10" t="s">
        <v>59</v>
      </c>
      <c r="F10" t="s">
        <v>60</v>
      </c>
      <c r="G10" t="s">
        <v>18</v>
      </c>
      <c r="H10" t="s">
        <v>31</v>
      </c>
      <c r="I10">
        <v>1</v>
      </c>
      <c r="J10">
        <v>48</v>
      </c>
      <c r="K10">
        <v>123.03</v>
      </c>
      <c r="L10">
        <v>0</v>
      </c>
    </row>
    <row r="11" spans="1:12">
      <c r="A11" t="s">
        <v>61</v>
      </c>
      <c r="B11" t="s">
        <v>62</v>
      </c>
      <c r="D11" t="s">
        <v>35</v>
      </c>
      <c r="E11" t="s">
        <v>28</v>
      </c>
      <c r="F11" t="s">
        <v>36</v>
      </c>
      <c r="G11" t="s">
        <v>18</v>
      </c>
      <c r="H11" t="s">
        <v>63</v>
      </c>
      <c r="J11">
        <v>48</v>
      </c>
    </row>
    <row r="12" spans="1:12">
      <c r="A12" t="s">
        <v>64</v>
      </c>
      <c r="B12" t="s">
        <v>65</v>
      </c>
      <c r="C12" t="s">
        <v>66</v>
      </c>
      <c r="D12" t="s">
        <v>35</v>
      </c>
      <c r="E12" t="s">
        <v>28</v>
      </c>
      <c r="F12" t="s">
        <v>41</v>
      </c>
      <c r="G12" t="s">
        <v>37</v>
      </c>
      <c r="H12" t="s">
        <v>31</v>
      </c>
      <c r="I12">
        <v>4</v>
      </c>
      <c r="J12">
        <v>48</v>
      </c>
      <c r="K12">
        <v>10.63</v>
      </c>
      <c r="L12">
        <v>1</v>
      </c>
    </row>
    <row r="13" spans="1:12">
      <c r="A13" t="s">
        <v>67</v>
      </c>
      <c r="B13" t="s">
        <v>68</v>
      </c>
      <c r="C13" t="s">
        <v>69</v>
      </c>
      <c r="D13" t="s">
        <v>23</v>
      </c>
      <c r="E13" t="s">
        <v>28</v>
      </c>
      <c r="F13" t="s">
        <v>60</v>
      </c>
      <c r="G13" t="s">
        <v>37</v>
      </c>
      <c r="H13" t="s">
        <v>31</v>
      </c>
      <c r="I13">
        <v>5</v>
      </c>
      <c r="J13">
        <v>24</v>
      </c>
      <c r="K13">
        <v>6.87</v>
      </c>
      <c r="L13">
        <v>1</v>
      </c>
    </row>
    <row r="14" spans="1:12">
      <c r="A14" t="s">
        <v>70</v>
      </c>
      <c r="B14" t="s">
        <v>71</v>
      </c>
      <c r="C14" t="s">
        <v>72</v>
      </c>
      <c r="D14" t="s">
        <v>23</v>
      </c>
      <c r="E14" t="s">
        <v>28</v>
      </c>
      <c r="F14" t="s">
        <v>36</v>
      </c>
      <c r="G14" t="s">
        <v>73</v>
      </c>
      <c r="H14" t="s">
        <v>31</v>
      </c>
      <c r="I14">
        <v>3</v>
      </c>
      <c r="J14">
        <v>24</v>
      </c>
      <c r="K14">
        <v>11.01</v>
      </c>
      <c r="L14">
        <v>1</v>
      </c>
    </row>
    <row r="15" spans="1:12">
      <c r="A15" t="s">
        <v>74</v>
      </c>
      <c r="B15" t="s">
        <v>75</v>
      </c>
      <c r="C15" t="s">
        <v>76</v>
      </c>
      <c r="D15" t="s">
        <v>23</v>
      </c>
      <c r="E15" t="s">
        <v>28</v>
      </c>
      <c r="F15" t="s">
        <v>29</v>
      </c>
      <c r="G15" t="s">
        <v>77</v>
      </c>
      <c r="H15" t="s">
        <v>31</v>
      </c>
      <c r="I15">
        <v>5</v>
      </c>
      <c r="J15">
        <v>24</v>
      </c>
      <c r="K15">
        <v>17.100000000000001</v>
      </c>
      <c r="L15">
        <v>1</v>
      </c>
    </row>
    <row r="16" spans="1:12">
      <c r="A16" t="s">
        <v>78</v>
      </c>
      <c r="B16" t="s">
        <v>79</v>
      </c>
      <c r="C16" t="s">
        <v>80</v>
      </c>
      <c r="D16" t="s">
        <v>23</v>
      </c>
      <c r="E16" t="s">
        <v>16</v>
      </c>
      <c r="F16" t="s">
        <v>29</v>
      </c>
      <c r="G16" t="s">
        <v>42</v>
      </c>
      <c r="H16" t="s">
        <v>19</v>
      </c>
      <c r="I16">
        <v>5</v>
      </c>
      <c r="J16">
        <v>24</v>
      </c>
      <c r="K16">
        <v>2.4700000000000002</v>
      </c>
      <c r="L16">
        <v>1</v>
      </c>
    </row>
    <row r="17" spans="1:12">
      <c r="A17" t="s">
        <v>81</v>
      </c>
      <c r="B17" t="s">
        <v>82</v>
      </c>
      <c r="D17" t="s">
        <v>15</v>
      </c>
      <c r="E17" t="s">
        <v>28</v>
      </c>
      <c r="F17" t="s">
        <v>17</v>
      </c>
      <c r="G17" t="s">
        <v>77</v>
      </c>
      <c r="H17" t="s">
        <v>63</v>
      </c>
      <c r="J17">
        <v>8</v>
      </c>
    </row>
    <row r="18" spans="1:12">
      <c r="A18" t="s">
        <v>83</v>
      </c>
      <c r="B18" t="s">
        <v>84</v>
      </c>
      <c r="C18" t="s">
        <v>85</v>
      </c>
      <c r="D18" t="s">
        <v>23</v>
      </c>
      <c r="E18" t="s">
        <v>16</v>
      </c>
      <c r="F18" t="s">
        <v>60</v>
      </c>
      <c r="G18" t="s">
        <v>55</v>
      </c>
      <c r="H18" t="s">
        <v>19</v>
      </c>
      <c r="I18">
        <v>5</v>
      </c>
      <c r="J18">
        <v>24</v>
      </c>
      <c r="K18">
        <v>5.7</v>
      </c>
      <c r="L18">
        <v>1</v>
      </c>
    </row>
    <row r="19" spans="1:12">
      <c r="A19" t="s">
        <v>86</v>
      </c>
      <c r="B19" t="s">
        <v>87</v>
      </c>
      <c r="C19" t="s">
        <v>88</v>
      </c>
      <c r="D19" t="s">
        <v>23</v>
      </c>
      <c r="E19" t="s">
        <v>24</v>
      </c>
      <c r="F19" t="s">
        <v>29</v>
      </c>
      <c r="G19" t="s">
        <v>50</v>
      </c>
      <c r="H19" t="s">
        <v>19</v>
      </c>
      <c r="I19">
        <v>3</v>
      </c>
      <c r="J19">
        <v>24</v>
      </c>
      <c r="K19">
        <v>66.319999999999993</v>
      </c>
      <c r="L19">
        <v>0</v>
      </c>
    </row>
    <row r="20" spans="1:12">
      <c r="A20" t="s">
        <v>89</v>
      </c>
      <c r="B20" t="s">
        <v>90</v>
      </c>
      <c r="C20" t="s">
        <v>91</v>
      </c>
      <c r="D20" t="s">
        <v>15</v>
      </c>
      <c r="E20" t="s">
        <v>28</v>
      </c>
      <c r="F20" t="s">
        <v>60</v>
      </c>
      <c r="G20" t="s">
        <v>42</v>
      </c>
      <c r="H20" t="s">
        <v>19</v>
      </c>
      <c r="I20">
        <v>5</v>
      </c>
      <c r="J20">
        <v>8</v>
      </c>
      <c r="K20">
        <v>1.27</v>
      </c>
      <c r="L20">
        <v>1</v>
      </c>
    </row>
    <row r="21" spans="1:12">
      <c r="A21" t="s">
        <v>92</v>
      </c>
      <c r="B21" t="s">
        <v>93</v>
      </c>
      <c r="C21" t="s">
        <v>94</v>
      </c>
      <c r="D21" t="s">
        <v>15</v>
      </c>
      <c r="E21" t="s">
        <v>54</v>
      </c>
      <c r="F21" t="s">
        <v>60</v>
      </c>
      <c r="G21" t="s">
        <v>73</v>
      </c>
      <c r="H21" t="s">
        <v>19</v>
      </c>
      <c r="I21">
        <v>1</v>
      </c>
      <c r="J21">
        <v>8</v>
      </c>
      <c r="K21">
        <v>15</v>
      </c>
      <c r="L21">
        <v>0</v>
      </c>
    </row>
    <row r="22" spans="1:12">
      <c r="A22" t="s">
        <v>95</v>
      </c>
      <c r="B22" t="s">
        <v>96</v>
      </c>
      <c r="D22" t="s">
        <v>23</v>
      </c>
      <c r="E22" t="s">
        <v>54</v>
      </c>
      <c r="F22" t="s">
        <v>29</v>
      </c>
      <c r="G22" t="s">
        <v>37</v>
      </c>
      <c r="H22" t="s">
        <v>46</v>
      </c>
      <c r="J22">
        <v>24</v>
      </c>
    </row>
    <row r="23" spans="1:12">
      <c r="A23" t="s">
        <v>97</v>
      </c>
      <c r="B23" t="s">
        <v>98</v>
      </c>
      <c r="C23" t="s">
        <v>99</v>
      </c>
      <c r="D23" t="s">
        <v>23</v>
      </c>
      <c r="E23" t="s">
        <v>16</v>
      </c>
      <c r="F23" t="s">
        <v>41</v>
      </c>
      <c r="G23" t="s">
        <v>42</v>
      </c>
      <c r="H23" t="s">
        <v>19</v>
      </c>
      <c r="I23">
        <v>5</v>
      </c>
      <c r="J23">
        <v>24</v>
      </c>
      <c r="K23">
        <v>2.83</v>
      </c>
      <c r="L23">
        <v>1</v>
      </c>
    </row>
    <row r="24" spans="1:12">
      <c r="A24" t="s">
        <v>100</v>
      </c>
      <c r="B24" t="s">
        <v>101</v>
      </c>
      <c r="C24" t="s">
        <v>102</v>
      </c>
      <c r="D24" t="s">
        <v>15</v>
      </c>
      <c r="E24" t="s">
        <v>24</v>
      </c>
      <c r="F24" t="s">
        <v>36</v>
      </c>
      <c r="G24" t="s">
        <v>18</v>
      </c>
      <c r="H24" t="s">
        <v>19</v>
      </c>
      <c r="I24">
        <v>5</v>
      </c>
      <c r="J24">
        <v>8</v>
      </c>
      <c r="K24">
        <v>3.05</v>
      </c>
      <c r="L24">
        <v>1</v>
      </c>
    </row>
    <row r="25" spans="1:12">
      <c r="A25" t="s">
        <v>103</v>
      </c>
      <c r="B25" t="s">
        <v>104</v>
      </c>
      <c r="D25" t="s">
        <v>23</v>
      </c>
      <c r="E25" t="s">
        <v>16</v>
      </c>
      <c r="F25" t="s">
        <v>17</v>
      </c>
      <c r="G25" t="s">
        <v>105</v>
      </c>
      <c r="H25" t="s">
        <v>63</v>
      </c>
      <c r="J25">
        <v>24</v>
      </c>
    </row>
    <row r="26" spans="1:12">
      <c r="A26" t="s">
        <v>106</v>
      </c>
      <c r="B26" t="s">
        <v>107</v>
      </c>
      <c r="C26" t="s">
        <v>108</v>
      </c>
      <c r="D26" t="s">
        <v>23</v>
      </c>
      <c r="E26" t="s">
        <v>28</v>
      </c>
      <c r="F26" t="s">
        <v>41</v>
      </c>
      <c r="G26" t="s">
        <v>37</v>
      </c>
      <c r="H26" t="s">
        <v>19</v>
      </c>
      <c r="I26">
        <v>4</v>
      </c>
      <c r="J26">
        <v>24</v>
      </c>
      <c r="K26">
        <v>11.19</v>
      </c>
      <c r="L26">
        <v>1</v>
      </c>
    </row>
    <row r="27" spans="1:12">
      <c r="A27" t="s">
        <v>109</v>
      </c>
      <c r="B27" t="s">
        <v>110</v>
      </c>
      <c r="C27" t="s">
        <v>111</v>
      </c>
      <c r="D27" t="s">
        <v>35</v>
      </c>
      <c r="E27" t="s">
        <v>24</v>
      </c>
      <c r="F27" t="s">
        <v>36</v>
      </c>
      <c r="G27" t="s">
        <v>30</v>
      </c>
      <c r="H27" t="s">
        <v>19</v>
      </c>
      <c r="I27">
        <v>4</v>
      </c>
      <c r="J27">
        <v>48</v>
      </c>
      <c r="K27">
        <v>39.96</v>
      </c>
      <c r="L27">
        <v>1</v>
      </c>
    </row>
    <row r="28" spans="1:12">
      <c r="A28" t="s">
        <v>112</v>
      </c>
      <c r="B28" t="s">
        <v>113</v>
      </c>
      <c r="C28" t="s">
        <v>114</v>
      </c>
      <c r="D28" t="s">
        <v>23</v>
      </c>
      <c r="E28" t="s">
        <v>16</v>
      </c>
      <c r="F28" t="s">
        <v>17</v>
      </c>
      <c r="G28" t="s">
        <v>45</v>
      </c>
      <c r="H28" t="s">
        <v>19</v>
      </c>
      <c r="I28">
        <v>3</v>
      </c>
      <c r="J28">
        <v>24</v>
      </c>
      <c r="K28">
        <v>28.73</v>
      </c>
      <c r="L28">
        <v>0</v>
      </c>
    </row>
    <row r="29" spans="1:12">
      <c r="A29" t="s">
        <v>115</v>
      </c>
      <c r="B29" t="s">
        <v>116</v>
      </c>
      <c r="D29" t="s">
        <v>23</v>
      </c>
      <c r="E29" t="s">
        <v>24</v>
      </c>
      <c r="F29" t="s">
        <v>60</v>
      </c>
      <c r="G29" t="s">
        <v>30</v>
      </c>
      <c r="H29" t="s">
        <v>46</v>
      </c>
      <c r="J29">
        <v>24</v>
      </c>
    </row>
    <row r="30" spans="1:12">
      <c r="A30" t="s">
        <v>117</v>
      </c>
      <c r="B30" t="s">
        <v>118</v>
      </c>
      <c r="C30" t="s">
        <v>119</v>
      </c>
      <c r="D30" t="s">
        <v>23</v>
      </c>
      <c r="E30" t="s">
        <v>28</v>
      </c>
      <c r="F30" t="s">
        <v>41</v>
      </c>
      <c r="G30" t="s">
        <v>50</v>
      </c>
      <c r="H30" t="s">
        <v>19</v>
      </c>
      <c r="I30">
        <v>1</v>
      </c>
      <c r="J30">
        <v>24</v>
      </c>
      <c r="K30">
        <v>67.430000000000007</v>
      </c>
      <c r="L30">
        <v>0</v>
      </c>
    </row>
    <row r="31" spans="1:12">
      <c r="A31" t="s">
        <v>120</v>
      </c>
      <c r="B31" t="s">
        <v>121</v>
      </c>
      <c r="D31" t="s">
        <v>35</v>
      </c>
      <c r="E31" t="s">
        <v>16</v>
      </c>
      <c r="F31" t="s">
        <v>41</v>
      </c>
      <c r="G31" t="s">
        <v>45</v>
      </c>
      <c r="H31" t="s">
        <v>63</v>
      </c>
      <c r="J31">
        <v>48</v>
      </c>
    </row>
    <row r="32" spans="1:12">
      <c r="A32" t="s">
        <v>122</v>
      </c>
      <c r="B32" t="s">
        <v>123</v>
      </c>
      <c r="C32" t="s">
        <v>124</v>
      </c>
      <c r="D32" t="s">
        <v>23</v>
      </c>
      <c r="E32" t="s">
        <v>24</v>
      </c>
      <c r="F32" t="s">
        <v>17</v>
      </c>
      <c r="G32" t="s">
        <v>30</v>
      </c>
      <c r="H32" t="s">
        <v>31</v>
      </c>
      <c r="I32">
        <v>3</v>
      </c>
      <c r="J32">
        <v>24</v>
      </c>
      <c r="K32">
        <v>17.66</v>
      </c>
      <c r="L32">
        <v>1</v>
      </c>
    </row>
    <row r="33" spans="1:12">
      <c r="A33" t="s">
        <v>125</v>
      </c>
      <c r="B33" t="s">
        <v>126</v>
      </c>
      <c r="C33" t="s">
        <v>127</v>
      </c>
      <c r="D33" t="s">
        <v>23</v>
      </c>
      <c r="E33" t="s">
        <v>59</v>
      </c>
      <c r="F33" t="s">
        <v>60</v>
      </c>
      <c r="G33" t="s">
        <v>73</v>
      </c>
      <c r="H33" t="s">
        <v>19</v>
      </c>
      <c r="I33">
        <v>3</v>
      </c>
      <c r="J33">
        <v>24</v>
      </c>
      <c r="K33">
        <v>19.77</v>
      </c>
      <c r="L33">
        <v>1</v>
      </c>
    </row>
    <row r="34" spans="1:12">
      <c r="A34" t="s">
        <v>128</v>
      </c>
      <c r="B34" t="s">
        <v>129</v>
      </c>
      <c r="C34" t="s">
        <v>130</v>
      </c>
      <c r="D34" t="s">
        <v>23</v>
      </c>
      <c r="E34" t="s">
        <v>28</v>
      </c>
      <c r="F34" t="s">
        <v>36</v>
      </c>
      <c r="G34" t="s">
        <v>55</v>
      </c>
      <c r="H34" t="s">
        <v>19</v>
      </c>
      <c r="I34">
        <v>4</v>
      </c>
      <c r="J34">
        <v>24</v>
      </c>
      <c r="K34">
        <v>15.04</v>
      </c>
      <c r="L34">
        <v>1</v>
      </c>
    </row>
    <row r="35" spans="1:12">
      <c r="A35" t="s">
        <v>131</v>
      </c>
      <c r="B35" t="s">
        <v>132</v>
      </c>
      <c r="C35" t="s">
        <v>133</v>
      </c>
      <c r="D35" t="s">
        <v>23</v>
      </c>
      <c r="E35" t="s">
        <v>16</v>
      </c>
      <c r="F35" t="s">
        <v>29</v>
      </c>
      <c r="G35" t="s">
        <v>18</v>
      </c>
      <c r="H35" t="s">
        <v>31</v>
      </c>
      <c r="I35">
        <v>4</v>
      </c>
      <c r="J35">
        <v>24</v>
      </c>
      <c r="K35">
        <v>7.82</v>
      </c>
      <c r="L35">
        <v>1</v>
      </c>
    </row>
    <row r="36" spans="1:12">
      <c r="A36" t="s">
        <v>134</v>
      </c>
      <c r="B36" t="s">
        <v>135</v>
      </c>
      <c r="C36" t="s">
        <v>136</v>
      </c>
      <c r="D36" t="s">
        <v>15</v>
      </c>
      <c r="E36" t="s">
        <v>28</v>
      </c>
      <c r="F36" t="s">
        <v>36</v>
      </c>
      <c r="G36" t="s">
        <v>30</v>
      </c>
      <c r="H36" t="s">
        <v>19</v>
      </c>
      <c r="I36">
        <v>1</v>
      </c>
      <c r="J36">
        <v>8</v>
      </c>
      <c r="K36">
        <v>23.94</v>
      </c>
      <c r="L36">
        <v>0</v>
      </c>
    </row>
    <row r="37" spans="1:12">
      <c r="A37" t="s">
        <v>137</v>
      </c>
      <c r="B37" t="s">
        <v>138</v>
      </c>
      <c r="C37" t="s">
        <v>139</v>
      </c>
      <c r="D37" t="s">
        <v>23</v>
      </c>
      <c r="E37" t="s">
        <v>24</v>
      </c>
      <c r="F37" t="s">
        <v>29</v>
      </c>
      <c r="G37" t="s">
        <v>42</v>
      </c>
      <c r="H37" t="s">
        <v>31</v>
      </c>
      <c r="I37">
        <v>5</v>
      </c>
      <c r="J37">
        <v>24</v>
      </c>
      <c r="K37">
        <v>5.62</v>
      </c>
      <c r="L37">
        <v>1</v>
      </c>
    </row>
    <row r="38" spans="1:12">
      <c r="A38" t="s">
        <v>140</v>
      </c>
      <c r="B38" t="s">
        <v>141</v>
      </c>
      <c r="C38" t="s">
        <v>142</v>
      </c>
      <c r="D38" t="s">
        <v>15</v>
      </c>
      <c r="E38" t="s">
        <v>59</v>
      </c>
      <c r="F38" t="s">
        <v>60</v>
      </c>
      <c r="G38" t="s">
        <v>30</v>
      </c>
      <c r="H38" t="s">
        <v>31</v>
      </c>
      <c r="I38">
        <v>4</v>
      </c>
      <c r="J38">
        <v>8</v>
      </c>
      <c r="K38">
        <v>7.14</v>
      </c>
      <c r="L38">
        <v>1</v>
      </c>
    </row>
    <row r="39" spans="1:12">
      <c r="A39" t="s">
        <v>143</v>
      </c>
      <c r="B39" t="s">
        <v>144</v>
      </c>
      <c r="C39" t="s">
        <v>145</v>
      </c>
      <c r="D39" t="s">
        <v>15</v>
      </c>
      <c r="E39" t="s">
        <v>24</v>
      </c>
      <c r="F39" t="s">
        <v>36</v>
      </c>
      <c r="G39" t="s">
        <v>105</v>
      </c>
      <c r="H39" t="s">
        <v>31</v>
      </c>
      <c r="I39">
        <v>5</v>
      </c>
      <c r="J39">
        <v>8</v>
      </c>
      <c r="K39">
        <v>4.91</v>
      </c>
      <c r="L39">
        <v>1</v>
      </c>
    </row>
    <row r="40" spans="1:12">
      <c r="A40" t="s">
        <v>146</v>
      </c>
      <c r="B40" t="s">
        <v>147</v>
      </c>
      <c r="C40" t="s">
        <v>148</v>
      </c>
      <c r="D40" t="s">
        <v>23</v>
      </c>
      <c r="E40" t="s">
        <v>16</v>
      </c>
      <c r="F40" t="s">
        <v>60</v>
      </c>
      <c r="G40" t="s">
        <v>50</v>
      </c>
      <c r="H40" t="s">
        <v>19</v>
      </c>
      <c r="I40">
        <v>2</v>
      </c>
      <c r="J40">
        <v>24</v>
      </c>
      <c r="K40">
        <v>27.58</v>
      </c>
      <c r="L40">
        <v>0</v>
      </c>
    </row>
    <row r="41" spans="1:12">
      <c r="A41" t="s">
        <v>149</v>
      </c>
      <c r="B41" t="s">
        <v>150</v>
      </c>
      <c r="D41" t="s">
        <v>15</v>
      </c>
      <c r="E41" t="s">
        <v>24</v>
      </c>
      <c r="F41" t="s">
        <v>17</v>
      </c>
      <c r="G41" t="s">
        <v>151</v>
      </c>
      <c r="H41" t="s">
        <v>46</v>
      </c>
      <c r="J41">
        <v>8</v>
      </c>
    </row>
    <row r="42" spans="1:12">
      <c r="A42" t="s">
        <v>152</v>
      </c>
      <c r="B42" t="s">
        <v>153</v>
      </c>
      <c r="C42" t="s">
        <v>154</v>
      </c>
      <c r="D42" t="s">
        <v>23</v>
      </c>
      <c r="E42" t="s">
        <v>54</v>
      </c>
      <c r="F42" t="s">
        <v>41</v>
      </c>
      <c r="G42" t="s">
        <v>77</v>
      </c>
      <c r="H42" t="s">
        <v>19</v>
      </c>
      <c r="I42">
        <v>5</v>
      </c>
      <c r="J42">
        <v>24</v>
      </c>
      <c r="K42">
        <v>20.420000000000002</v>
      </c>
      <c r="L42">
        <v>1</v>
      </c>
    </row>
    <row r="43" spans="1:12">
      <c r="A43" t="s">
        <v>155</v>
      </c>
      <c r="B43" t="s">
        <v>156</v>
      </c>
      <c r="C43" t="s">
        <v>157</v>
      </c>
      <c r="D43" t="s">
        <v>158</v>
      </c>
      <c r="E43" t="s">
        <v>28</v>
      </c>
      <c r="F43" t="s">
        <v>60</v>
      </c>
      <c r="G43" t="s">
        <v>73</v>
      </c>
      <c r="H43" t="s">
        <v>19</v>
      </c>
      <c r="I43">
        <v>5</v>
      </c>
      <c r="J43">
        <v>4</v>
      </c>
      <c r="K43">
        <v>1.64</v>
      </c>
      <c r="L43">
        <v>1</v>
      </c>
    </row>
    <row r="44" spans="1:12">
      <c r="A44" t="s">
        <v>159</v>
      </c>
      <c r="B44" t="s">
        <v>160</v>
      </c>
      <c r="C44" t="s">
        <v>161</v>
      </c>
      <c r="D44" t="s">
        <v>158</v>
      </c>
      <c r="E44" t="s">
        <v>28</v>
      </c>
      <c r="F44" t="s">
        <v>17</v>
      </c>
      <c r="G44" t="s">
        <v>151</v>
      </c>
      <c r="H44" t="s">
        <v>19</v>
      </c>
      <c r="I44">
        <v>4</v>
      </c>
      <c r="J44">
        <v>4</v>
      </c>
      <c r="K44">
        <v>3.41</v>
      </c>
      <c r="L44">
        <v>1</v>
      </c>
    </row>
    <row r="45" spans="1:12">
      <c r="A45" t="s">
        <v>162</v>
      </c>
      <c r="B45" t="s">
        <v>163</v>
      </c>
      <c r="D45" t="s">
        <v>23</v>
      </c>
      <c r="E45" t="s">
        <v>59</v>
      </c>
      <c r="F45" t="s">
        <v>17</v>
      </c>
      <c r="G45" t="s">
        <v>73</v>
      </c>
      <c r="H45" t="s">
        <v>46</v>
      </c>
      <c r="J45">
        <v>24</v>
      </c>
    </row>
    <row r="46" spans="1:12">
      <c r="A46" t="s">
        <v>164</v>
      </c>
      <c r="B46" t="s">
        <v>165</v>
      </c>
      <c r="D46" t="s">
        <v>15</v>
      </c>
      <c r="E46" t="s">
        <v>28</v>
      </c>
      <c r="F46" t="s">
        <v>17</v>
      </c>
      <c r="G46" t="s">
        <v>105</v>
      </c>
      <c r="H46" t="s">
        <v>63</v>
      </c>
      <c r="J46">
        <v>8</v>
      </c>
    </row>
    <row r="47" spans="1:12">
      <c r="A47" t="s">
        <v>166</v>
      </c>
      <c r="B47" t="s">
        <v>167</v>
      </c>
      <c r="C47" t="s">
        <v>168</v>
      </c>
      <c r="D47" t="s">
        <v>35</v>
      </c>
      <c r="E47" t="s">
        <v>16</v>
      </c>
      <c r="F47" t="s">
        <v>17</v>
      </c>
      <c r="G47" t="s">
        <v>45</v>
      </c>
      <c r="H47" t="s">
        <v>19</v>
      </c>
      <c r="I47">
        <v>3</v>
      </c>
      <c r="J47">
        <v>48</v>
      </c>
      <c r="K47">
        <v>20.41</v>
      </c>
      <c r="L47">
        <v>1</v>
      </c>
    </row>
    <row r="48" spans="1:12">
      <c r="A48" t="s">
        <v>169</v>
      </c>
      <c r="B48" t="s">
        <v>170</v>
      </c>
      <c r="C48" t="s">
        <v>171</v>
      </c>
      <c r="D48" t="s">
        <v>15</v>
      </c>
      <c r="E48" t="s">
        <v>16</v>
      </c>
      <c r="F48" t="s">
        <v>41</v>
      </c>
      <c r="G48" t="s">
        <v>172</v>
      </c>
      <c r="H48" t="s">
        <v>19</v>
      </c>
      <c r="I48">
        <v>3</v>
      </c>
      <c r="J48">
        <v>8</v>
      </c>
      <c r="K48">
        <v>2.35</v>
      </c>
      <c r="L48">
        <v>1</v>
      </c>
    </row>
    <row r="49" spans="1:12">
      <c r="A49" t="s">
        <v>173</v>
      </c>
      <c r="B49" t="s">
        <v>174</v>
      </c>
      <c r="C49" t="s">
        <v>175</v>
      </c>
      <c r="D49" t="s">
        <v>23</v>
      </c>
      <c r="E49" t="s">
        <v>28</v>
      </c>
      <c r="F49" t="s">
        <v>36</v>
      </c>
      <c r="G49" t="s">
        <v>45</v>
      </c>
      <c r="H49" t="s">
        <v>19</v>
      </c>
      <c r="I49">
        <v>5</v>
      </c>
      <c r="J49">
        <v>24</v>
      </c>
      <c r="K49">
        <v>16.260000000000002</v>
      </c>
      <c r="L49">
        <v>1</v>
      </c>
    </row>
    <row r="50" spans="1:12">
      <c r="A50" t="s">
        <v>176</v>
      </c>
      <c r="B50" t="s">
        <v>177</v>
      </c>
      <c r="C50" t="s">
        <v>178</v>
      </c>
      <c r="D50" t="s">
        <v>35</v>
      </c>
      <c r="E50" t="s">
        <v>24</v>
      </c>
      <c r="F50" t="s">
        <v>29</v>
      </c>
      <c r="G50" t="s">
        <v>73</v>
      </c>
      <c r="H50" t="s">
        <v>31</v>
      </c>
      <c r="I50">
        <v>2</v>
      </c>
      <c r="J50">
        <v>48</v>
      </c>
      <c r="K50">
        <v>53.98</v>
      </c>
      <c r="L50">
        <v>0</v>
      </c>
    </row>
    <row r="51" spans="1:12">
      <c r="A51" t="s">
        <v>179</v>
      </c>
      <c r="B51" t="s">
        <v>180</v>
      </c>
      <c r="C51" t="s">
        <v>181</v>
      </c>
      <c r="D51" t="s">
        <v>23</v>
      </c>
      <c r="E51" t="s">
        <v>28</v>
      </c>
      <c r="F51" t="s">
        <v>60</v>
      </c>
      <c r="G51" t="s">
        <v>77</v>
      </c>
      <c r="H51" t="s">
        <v>19</v>
      </c>
      <c r="I51">
        <v>1</v>
      </c>
      <c r="J51">
        <v>24</v>
      </c>
      <c r="K51">
        <v>34.1</v>
      </c>
      <c r="L51">
        <v>0</v>
      </c>
    </row>
    <row r="52" spans="1:12">
      <c r="A52" t="s">
        <v>182</v>
      </c>
      <c r="B52" t="s">
        <v>183</v>
      </c>
      <c r="C52" t="s">
        <v>184</v>
      </c>
      <c r="D52" t="s">
        <v>158</v>
      </c>
      <c r="E52" t="s">
        <v>59</v>
      </c>
      <c r="F52" t="s">
        <v>60</v>
      </c>
      <c r="G52" t="s">
        <v>151</v>
      </c>
      <c r="H52" t="s">
        <v>31</v>
      </c>
      <c r="I52">
        <v>4</v>
      </c>
      <c r="J52">
        <v>4</v>
      </c>
      <c r="K52">
        <v>2.68</v>
      </c>
      <c r="L52">
        <v>1</v>
      </c>
    </row>
    <row r="53" spans="1:12">
      <c r="A53" t="s">
        <v>185</v>
      </c>
      <c r="B53" t="s">
        <v>186</v>
      </c>
      <c r="C53" t="s">
        <v>187</v>
      </c>
      <c r="D53" t="s">
        <v>35</v>
      </c>
      <c r="E53" t="s">
        <v>59</v>
      </c>
      <c r="F53" t="s">
        <v>60</v>
      </c>
      <c r="G53" t="s">
        <v>172</v>
      </c>
      <c r="H53" t="s">
        <v>31</v>
      </c>
      <c r="I53">
        <v>5</v>
      </c>
      <c r="J53">
        <v>48</v>
      </c>
      <c r="K53">
        <v>41.52</v>
      </c>
      <c r="L53">
        <v>1</v>
      </c>
    </row>
    <row r="54" spans="1:12">
      <c r="A54" t="s">
        <v>188</v>
      </c>
      <c r="B54" t="s">
        <v>189</v>
      </c>
      <c r="C54" t="s">
        <v>190</v>
      </c>
      <c r="D54" t="s">
        <v>23</v>
      </c>
      <c r="E54" t="s">
        <v>28</v>
      </c>
      <c r="F54" t="s">
        <v>29</v>
      </c>
      <c r="G54" t="s">
        <v>77</v>
      </c>
      <c r="H54" t="s">
        <v>19</v>
      </c>
      <c r="I54">
        <v>5</v>
      </c>
      <c r="J54">
        <v>24</v>
      </c>
      <c r="K54">
        <v>21.58</v>
      </c>
      <c r="L54">
        <v>1</v>
      </c>
    </row>
    <row r="55" spans="1:12">
      <c r="A55" t="s">
        <v>191</v>
      </c>
      <c r="B55" t="s">
        <v>192</v>
      </c>
      <c r="C55" t="s">
        <v>193</v>
      </c>
      <c r="D55" t="s">
        <v>15</v>
      </c>
      <c r="E55" t="s">
        <v>54</v>
      </c>
      <c r="F55" t="s">
        <v>41</v>
      </c>
      <c r="G55" t="s">
        <v>77</v>
      </c>
      <c r="H55" t="s">
        <v>31</v>
      </c>
      <c r="I55">
        <v>5</v>
      </c>
      <c r="J55">
        <v>8</v>
      </c>
      <c r="K55">
        <v>2.23</v>
      </c>
      <c r="L55">
        <v>1</v>
      </c>
    </row>
    <row r="56" spans="1:12">
      <c r="A56" t="s">
        <v>194</v>
      </c>
      <c r="B56" t="s">
        <v>195</v>
      </c>
      <c r="C56" t="s">
        <v>196</v>
      </c>
      <c r="D56" t="s">
        <v>23</v>
      </c>
      <c r="E56" t="s">
        <v>28</v>
      </c>
      <c r="F56" t="s">
        <v>41</v>
      </c>
      <c r="G56" t="s">
        <v>151</v>
      </c>
      <c r="H56" t="s">
        <v>19</v>
      </c>
      <c r="I56">
        <v>5</v>
      </c>
      <c r="J56">
        <v>24</v>
      </c>
      <c r="K56">
        <v>20.78</v>
      </c>
      <c r="L56">
        <v>1</v>
      </c>
    </row>
    <row r="57" spans="1:12">
      <c r="A57" t="s">
        <v>197</v>
      </c>
      <c r="B57" t="s">
        <v>198</v>
      </c>
      <c r="C57" t="s">
        <v>199</v>
      </c>
      <c r="D57" t="s">
        <v>23</v>
      </c>
      <c r="E57" t="s">
        <v>28</v>
      </c>
      <c r="F57" t="s">
        <v>60</v>
      </c>
      <c r="G57" t="s">
        <v>172</v>
      </c>
      <c r="H57" t="s">
        <v>19</v>
      </c>
      <c r="I57">
        <v>2</v>
      </c>
      <c r="J57">
        <v>24</v>
      </c>
      <c r="K57">
        <v>36.19</v>
      </c>
      <c r="L57">
        <v>0</v>
      </c>
    </row>
    <row r="58" spans="1:12">
      <c r="A58" t="s">
        <v>200</v>
      </c>
      <c r="B58" t="s">
        <v>201</v>
      </c>
      <c r="C58" t="s">
        <v>202</v>
      </c>
      <c r="D58" t="s">
        <v>15</v>
      </c>
      <c r="E58" t="s">
        <v>24</v>
      </c>
      <c r="F58" t="s">
        <v>17</v>
      </c>
      <c r="G58" t="s">
        <v>50</v>
      </c>
      <c r="H58" t="s">
        <v>31</v>
      </c>
      <c r="I58">
        <v>5</v>
      </c>
      <c r="J58">
        <v>8</v>
      </c>
      <c r="K58">
        <v>3.9</v>
      </c>
      <c r="L58">
        <v>1</v>
      </c>
    </row>
    <row r="59" spans="1:12">
      <c r="A59" t="s">
        <v>203</v>
      </c>
      <c r="B59" t="s">
        <v>204</v>
      </c>
      <c r="C59" t="s">
        <v>205</v>
      </c>
      <c r="D59" t="s">
        <v>15</v>
      </c>
      <c r="E59" t="s">
        <v>54</v>
      </c>
      <c r="F59" t="s">
        <v>41</v>
      </c>
      <c r="G59" t="s">
        <v>37</v>
      </c>
      <c r="H59" t="s">
        <v>19</v>
      </c>
      <c r="I59">
        <v>5</v>
      </c>
      <c r="J59">
        <v>8</v>
      </c>
      <c r="K59">
        <v>0.84</v>
      </c>
      <c r="L59">
        <v>1</v>
      </c>
    </row>
    <row r="60" spans="1:12">
      <c r="A60" t="s">
        <v>206</v>
      </c>
      <c r="B60" t="s">
        <v>207</v>
      </c>
      <c r="C60" t="s">
        <v>208</v>
      </c>
      <c r="D60" t="s">
        <v>35</v>
      </c>
      <c r="E60" t="s">
        <v>16</v>
      </c>
      <c r="F60" t="s">
        <v>17</v>
      </c>
      <c r="G60" t="s">
        <v>73</v>
      </c>
      <c r="H60" t="s">
        <v>31</v>
      </c>
      <c r="I60">
        <v>5</v>
      </c>
      <c r="J60">
        <v>48</v>
      </c>
      <c r="K60">
        <v>23.75</v>
      </c>
      <c r="L60">
        <v>1</v>
      </c>
    </row>
    <row r="61" spans="1:12">
      <c r="A61" t="s">
        <v>209</v>
      </c>
      <c r="B61" t="s">
        <v>210</v>
      </c>
      <c r="C61" t="s">
        <v>211</v>
      </c>
      <c r="D61" t="s">
        <v>35</v>
      </c>
      <c r="E61" t="s">
        <v>28</v>
      </c>
      <c r="F61" t="s">
        <v>41</v>
      </c>
      <c r="G61" t="s">
        <v>151</v>
      </c>
      <c r="H61" t="s">
        <v>19</v>
      </c>
      <c r="I61">
        <v>5</v>
      </c>
      <c r="J61">
        <v>48</v>
      </c>
      <c r="K61">
        <v>17.75</v>
      </c>
      <c r="L61">
        <v>1</v>
      </c>
    </row>
    <row r="62" spans="1:12">
      <c r="A62" t="s">
        <v>212</v>
      </c>
      <c r="B62" t="s">
        <v>213</v>
      </c>
      <c r="C62" t="s">
        <v>214</v>
      </c>
      <c r="D62" t="s">
        <v>23</v>
      </c>
      <c r="E62" t="s">
        <v>16</v>
      </c>
      <c r="F62" t="s">
        <v>60</v>
      </c>
      <c r="G62" t="s">
        <v>37</v>
      </c>
      <c r="H62" t="s">
        <v>31</v>
      </c>
      <c r="I62">
        <v>5</v>
      </c>
      <c r="J62">
        <v>24</v>
      </c>
      <c r="K62">
        <v>20.7</v>
      </c>
      <c r="L62">
        <v>1</v>
      </c>
    </row>
    <row r="63" spans="1:12">
      <c r="A63" t="s">
        <v>215</v>
      </c>
      <c r="B63" t="s">
        <v>216</v>
      </c>
      <c r="C63" t="s">
        <v>217</v>
      </c>
      <c r="D63" t="s">
        <v>23</v>
      </c>
      <c r="E63" t="s">
        <v>16</v>
      </c>
      <c r="F63" t="s">
        <v>29</v>
      </c>
      <c r="G63" t="s">
        <v>77</v>
      </c>
      <c r="H63" t="s">
        <v>19</v>
      </c>
      <c r="I63">
        <v>5</v>
      </c>
      <c r="J63">
        <v>24</v>
      </c>
      <c r="K63">
        <v>11.37</v>
      </c>
      <c r="L63">
        <v>1</v>
      </c>
    </row>
    <row r="64" spans="1:12">
      <c r="A64" t="s">
        <v>218</v>
      </c>
      <c r="B64" t="s">
        <v>219</v>
      </c>
      <c r="C64" t="s">
        <v>220</v>
      </c>
      <c r="D64" t="s">
        <v>15</v>
      </c>
      <c r="E64" t="s">
        <v>28</v>
      </c>
      <c r="F64" t="s">
        <v>60</v>
      </c>
      <c r="G64" t="s">
        <v>42</v>
      </c>
      <c r="H64" t="s">
        <v>19</v>
      </c>
      <c r="I64">
        <v>5</v>
      </c>
      <c r="J64">
        <v>8</v>
      </c>
      <c r="K64">
        <v>5.52</v>
      </c>
      <c r="L64">
        <v>1</v>
      </c>
    </row>
    <row r="65" spans="1:12">
      <c r="A65" t="s">
        <v>221</v>
      </c>
      <c r="B65" t="s">
        <v>222</v>
      </c>
      <c r="C65" t="s">
        <v>223</v>
      </c>
      <c r="D65" t="s">
        <v>23</v>
      </c>
      <c r="E65" t="s">
        <v>28</v>
      </c>
      <c r="F65" t="s">
        <v>41</v>
      </c>
      <c r="G65" t="s">
        <v>37</v>
      </c>
      <c r="H65" t="s">
        <v>19</v>
      </c>
      <c r="I65">
        <v>3</v>
      </c>
      <c r="J65">
        <v>24</v>
      </c>
      <c r="K65">
        <v>43.43</v>
      </c>
      <c r="L65">
        <v>0</v>
      </c>
    </row>
    <row r="66" spans="1:12">
      <c r="A66" t="s">
        <v>224</v>
      </c>
      <c r="B66" t="s">
        <v>225</v>
      </c>
      <c r="C66" t="s">
        <v>226</v>
      </c>
      <c r="D66" t="s">
        <v>158</v>
      </c>
      <c r="E66" t="s">
        <v>16</v>
      </c>
      <c r="F66" t="s">
        <v>60</v>
      </c>
      <c r="G66" t="s">
        <v>37</v>
      </c>
      <c r="H66" t="s">
        <v>19</v>
      </c>
      <c r="I66">
        <v>2</v>
      </c>
      <c r="J66">
        <v>4</v>
      </c>
      <c r="K66">
        <v>6.53</v>
      </c>
      <c r="L66">
        <v>0</v>
      </c>
    </row>
    <row r="67" spans="1:12">
      <c r="A67" t="s">
        <v>227</v>
      </c>
      <c r="B67" t="s">
        <v>228</v>
      </c>
      <c r="C67" t="s">
        <v>229</v>
      </c>
      <c r="D67" t="s">
        <v>35</v>
      </c>
      <c r="E67" t="s">
        <v>24</v>
      </c>
      <c r="F67" t="s">
        <v>60</v>
      </c>
      <c r="G67" t="s">
        <v>55</v>
      </c>
      <c r="H67" t="s">
        <v>31</v>
      </c>
      <c r="I67">
        <v>4</v>
      </c>
      <c r="J67">
        <v>48</v>
      </c>
      <c r="K67">
        <v>15.94</v>
      </c>
      <c r="L67">
        <v>1</v>
      </c>
    </row>
    <row r="68" spans="1:12">
      <c r="A68" t="s">
        <v>230</v>
      </c>
      <c r="B68" t="s">
        <v>231</v>
      </c>
      <c r="C68" t="s">
        <v>232</v>
      </c>
      <c r="D68" t="s">
        <v>15</v>
      </c>
      <c r="E68" t="s">
        <v>54</v>
      </c>
      <c r="F68" t="s">
        <v>41</v>
      </c>
      <c r="G68" t="s">
        <v>105</v>
      </c>
      <c r="H68" t="s">
        <v>19</v>
      </c>
      <c r="I68">
        <v>5</v>
      </c>
      <c r="J68">
        <v>8</v>
      </c>
      <c r="K68">
        <v>1.67</v>
      </c>
      <c r="L68">
        <v>1</v>
      </c>
    </row>
    <row r="69" spans="1:12">
      <c r="A69" t="s">
        <v>233</v>
      </c>
      <c r="B69" t="s">
        <v>234</v>
      </c>
      <c r="C69" t="s">
        <v>235</v>
      </c>
      <c r="D69" t="s">
        <v>35</v>
      </c>
      <c r="E69" t="s">
        <v>54</v>
      </c>
      <c r="F69" t="s">
        <v>36</v>
      </c>
      <c r="G69" t="s">
        <v>42</v>
      </c>
      <c r="H69" t="s">
        <v>31</v>
      </c>
      <c r="I69">
        <v>3</v>
      </c>
      <c r="J69">
        <v>48</v>
      </c>
      <c r="K69">
        <v>23.64</v>
      </c>
      <c r="L69">
        <v>1</v>
      </c>
    </row>
    <row r="70" spans="1:12">
      <c r="A70" t="s">
        <v>236</v>
      </c>
      <c r="B70" t="s">
        <v>237</v>
      </c>
      <c r="C70" t="s">
        <v>238</v>
      </c>
      <c r="D70" t="s">
        <v>15</v>
      </c>
      <c r="E70" t="s">
        <v>28</v>
      </c>
      <c r="F70" t="s">
        <v>29</v>
      </c>
      <c r="G70" t="s">
        <v>37</v>
      </c>
      <c r="H70" t="s">
        <v>19</v>
      </c>
      <c r="I70">
        <v>3</v>
      </c>
      <c r="J70">
        <v>8</v>
      </c>
      <c r="K70">
        <v>14.98</v>
      </c>
      <c r="L70">
        <v>0</v>
      </c>
    </row>
    <row r="71" spans="1:12">
      <c r="A71" t="s">
        <v>239</v>
      </c>
      <c r="B71" t="s">
        <v>240</v>
      </c>
      <c r="C71" t="s">
        <v>241</v>
      </c>
      <c r="D71" t="s">
        <v>158</v>
      </c>
      <c r="E71" t="s">
        <v>28</v>
      </c>
      <c r="F71" t="s">
        <v>29</v>
      </c>
      <c r="G71" t="s">
        <v>18</v>
      </c>
      <c r="H71" t="s">
        <v>31</v>
      </c>
      <c r="I71">
        <v>5</v>
      </c>
      <c r="J71">
        <v>4</v>
      </c>
      <c r="K71">
        <v>2.62</v>
      </c>
      <c r="L71">
        <v>1</v>
      </c>
    </row>
    <row r="72" spans="1:12">
      <c r="A72" t="s">
        <v>242</v>
      </c>
      <c r="B72" t="s">
        <v>243</v>
      </c>
      <c r="C72" t="s">
        <v>244</v>
      </c>
      <c r="D72" t="s">
        <v>15</v>
      </c>
      <c r="E72" t="s">
        <v>24</v>
      </c>
      <c r="F72" t="s">
        <v>17</v>
      </c>
      <c r="G72" t="s">
        <v>18</v>
      </c>
      <c r="H72" t="s">
        <v>19</v>
      </c>
      <c r="I72">
        <v>4</v>
      </c>
      <c r="J72">
        <v>8</v>
      </c>
      <c r="K72">
        <v>4.63</v>
      </c>
      <c r="L72">
        <v>1</v>
      </c>
    </row>
    <row r="73" spans="1:12">
      <c r="A73" t="s">
        <v>245</v>
      </c>
      <c r="B73" t="s">
        <v>246</v>
      </c>
      <c r="D73" t="s">
        <v>15</v>
      </c>
      <c r="E73" t="s">
        <v>28</v>
      </c>
      <c r="F73" t="s">
        <v>60</v>
      </c>
      <c r="G73" t="s">
        <v>55</v>
      </c>
      <c r="H73" t="s">
        <v>46</v>
      </c>
      <c r="J73">
        <v>8</v>
      </c>
    </row>
    <row r="74" spans="1:12">
      <c r="A74" t="s">
        <v>247</v>
      </c>
      <c r="B74" t="s">
        <v>248</v>
      </c>
      <c r="C74" t="s">
        <v>249</v>
      </c>
      <c r="D74" t="s">
        <v>15</v>
      </c>
      <c r="E74" t="s">
        <v>16</v>
      </c>
      <c r="F74" t="s">
        <v>29</v>
      </c>
      <c r="G74" t="s">
        <v>42</v>
      </c>
      <c r="H74" t="s">
        <v>31</v>
      </c>
      <c r="I74">
        <v>4</v>
      </c>
      <c r="J74">
        <v>8</v>
      </c>
      <c r="K74">
        <v>17.38</v>
      </c>
      <c r="L74">
        <v>0</v>
      </c>
    </row>
    <row r="75" spans="1:12">
      <c r="A75" t="s">
        <v>250</v>
      </c>
      <c r="B75" t="s">
        <v>251</v>
      </c>
      <c r="C75" t="s">
        <v>252</v>
      </c>
      <c r="D75" t="s">
        <v>23</v>
      </c>
      <c r="E75" t="s">
        <v>16</v>
      </c>
      <c r="F75" t="s">
        <v>36</v>
      </c>
      <c r="G75" t="s">
        <v>55</v>
      </c>
      <c r="H75" t="s">
        <v>31</v>
      </c>
      <c r="I75">
        <v>5</v>
      </c>
      <c r="J75">
        <v>24</v>
      </c>
      <c r="K75">
        <v>4.4800000000000004</v>
      </c>
      <c r="L75">
        <v>1</v>
      </c>
    </row>
    <row r="76" spans="1:12">
      <c r="A76" t="s">
        <v>253</v>
      </c>
      <c r="B76" t="s">
        <v>254</v>
      </c>
      <c r="C76" t="s">
        <v>255</v>
      </c>
      <c r="D76" t="s">
        <v>23</v>
      </c>
      <c r="E76" t="s">
        <v>16</v>
      </c>
      <c r="F76" t="s">
        <v>60</v>
      </c>
      <c r="G76" t="s">
        <v>30</v>
      </c>
      <c r="H76" t="s">
        <v>19</v>
      </c>
      <c r="I76">
        <v>5</v>
      </c>
      <c r="J76">
        <v>24</v>
      </c>
      <c r="K76">
        <v>9.9600000000000009</v>
      </c>
      <c r="L76">
        <v>1</v>
      </c>
    </row>
    <row r="77" spans="1:12">
      <c r="A77" t="s">
        <v>256</v>
      </c>
      <c r="B77" t="s">
        <v>257</v>
      </c>
      <c r="C77" t="s">
        <v>258</v>
      </c>
      <c r="D77" t="s">
        <v>158</v>
      </c>
      <c r="E77" t="s">
        <v>28</v>
      </c>
      <c r="F77" t="s">
        <v>41</v>
      </c>
      <c r="G77" t="s">
        <v>42</v>
      </c>
      <c r="H77" t="s">
        <v>19</v>
      </c>
      <c r="I77">
        <v>4</v>
      </c>
      <c r="J77">
        <v>4</v>
      </c>
      <c r="K77">
        <v>3.43</v>
      </c>
      <c r="L77">
        <v>1</v>
      </c>
    </row>
    <row r="78" spans="1:12">
      <c r="A78" t="s">
        <v>259</v>
      </c>
      <c r="B78" t="s">
        <v>260</v>
      </c>
      <c r="C78" t="s">
        <v>261</v>
      </c>
      <c r="D78" t="s">
        <v>23</v>
      </c>
      <c r="E78" t="s">
        <v>16</v>
      </c>
      <c r="F78" t="s">
        <v>29</v>
      </c>
      <c r="G78" t="s">
        <v>55</v>
      </c>
      <c r="H78" t="s">
        <v>31</v>
      </c>
      <c r="I78">
        <v>4</v>
      </c>
      <c r="J78">
        <v>24</v>
      </c>
      <c r="K78">
        <v>12.26</v>
      </c>
      <c r="L78">
        <v>1</v>
      </c>
    </row>
    <row r="79" spans="1:12">
      <c r="A79" t="s">
        <v>262</v>
      </c>
      <c r="B79" t="s">
        <v>263</v>
      </c>
      <c r="C79" t="s">
        <v>264</v>
      </c>
      <c r="D79" t="s">
        <v>23</v>
      </c>
      <c r="E79" t="s">
        <v>28</v>
      </c>
      <c r="F79" t="s">
        <v>17</v>
      </c>
      <c r="G79" t="s">
        <v>42</v>
      </c>
      <c r="H79" t="s">
        <v>19</v>
      </c>
      <c r="I79">
        <v>5</v>
      </c>
      <c r="J79">
        <v>24</v>
      </c>
      <c r="K79">
        <v>17.71</v>
      </c>
      <c r="L79">
        <v>1</v>
      </c>
    </row>
    <row r="80" spans="1:12">
      <c r="A80" t="s">
        <v>265</v>
      </c>
      <c r="B80" t="s">
        <v>266</v>
      </c>
      <c r="C80" t="s">
        <v>267</v>
      </c>
      <c r="D80" t="s">
        <v>23</v>
      </c>
      <c r="E80" t="s">
        <v>24</v>
      </c>
      <c r="F80" t="s">
        <v>29</v>
      </c>
      <c r="G80" t="s">
        <v>73</v>
      </c>
      <c r="H80" t="s">
        <v>19</v>
      </c>
      <c r="I80">
        <v>4</v>
      </c>
      <c r="J80">
        <v>24</v>
      </c>
      <c r="K80">
        <v>7.67</v>
      </c>
      <c r="L80">
        <v>1</v>
      </c>
    </row>
    <row r="81" spans="1:12">
      <c r="A81" t="s">
        <v>268</v>
      </c>
      <c r="B81" t="s">
        <v>269</v>
      </c>
      <c r="D81" t="s">
        <v>23</v>
      </c>
      <c r="E81" t="s">
        <v>16</v>
      </c>
      <c r="F81" t="s">
        <v>36</v>
      </c>
      <c r="G81" t="s">
        <v>77</v>
      </c>
      <c r="H81" t="s">
        <v>63</v>
      </c>
      <c r="J81">
        <v>24</v>
      </c>
    </row>
    <row r="82" spans="1:12">
      <c r="A82" t="s">
        <v>270</v>
      </c>
      <c r="B82" t="s">
        <v>271</v>
      </c>
      <c r="C82" t="s">
        <v>272</v>
      </c>
      <c r="D82" t="s">
        <v>15</v>
      </c>
      <c r="E82" t="s">
        <v>28</v>
      </c>
      <c r="F82" t="s">
        <v>60</v>
      </c>
      <c r="G82" t="s">
        <v>18</v>
      </c>
      <c r="H82" t="s">
        <v>31</v>
      </c>
      <c r="I82">
        <v>5</v>
      </c>
      <c r="J82">
        <v>8</v>
      </c>
      <c r="K82">
        <v>4.1399999999999997</v>
      </c>
      <c r="L82">
        <v>1</v>
      </c>
    </row>
    <row r="83" spans="1:12">
      <c r="A83" t="s">
        <v>273</v>
      </c>
      <c r="B83" t="s">
        <v>274</v>
      </c>
      <c r="C83" t="s">
        <v>275</v>
      </c>
      <c r="D83" t="s">
        <v>15</v>
      </c>
      <c r="E83" t="s">
        <v>28</v>
      </c>
      <c r="F83" t="s">
        <v>17</v>
      </c>
      <c r="G83" t="s">
        <v>45</v>
      </c>
      <c r="H83" t="s">
        <v>31</v>
      </c>
      <c r="I83">
        <v>4</v>
      </c>
      <c r="J83">
        <v>8</v>
      </c>
      <c r="K83">
        <v>4.5599999999999996</v>
      </c>
      <c r="L83">
        <v>1</v>
      </c>
    </row>
    <row r="84" spans="1:12">
      <c r="A84" t="s">
        <v>276</v>
      </c>
      <c r="B84" t="s">
        <v>277</v>
      </c>
      <c r="C84" t="s">
        <v>278</v>
      </c>
      <c r="D84" t="s">
        <v>23</v>
      </c>
      <c r="E84" t="s">
        <v>28</v>
      </c>
      <c r="F84" t="s">
        <v>41</v>
      </c>
      <c r="G84" t="s">
        <v>45</v>
      </c>
      <c r="H84" t="s">
        <v>19</v>
      </c>
      <c r="I84">
        <v>4</v>
      </c>
      <c r="J84">
        <v>24</v>
      </c>
      <c r="K84">
        <v>17.11</v>
      </c>
      <c r="L84">
        <v>1</v>
      </c>
    </row>
    <row r="85" spans="1:12">
      <c r="A85" t="s">
        <v>279</v>
      </c>
      <c r="B85" t="s">
        <v>280</v>
      </c>
      <c r="C85" t="s">
        <v>281</v>
      </c>
      <c r="D85" t="s">
        <v>23</v>
      </c>
      <c r="E85" t="s">
        <v>16</v>
      </c>
      <c r="F85" t="s">
        <v>17</v>
      </c>
      <c r="G85" t="s">
        <v>18</v>
      </c>
      <c r="H85" t="s">
        <v>19</v>
      </c>
      <c r="I85">
        <v>5</v>
      </c>
      <c r="J85">
        <v>24</v>
      </c>
      <c r="K85">
        <v>17.18</v>
      </c>
      <c r="L85">
        <v>1</v>
      </c>
    </row>
    <row r="86" spans="1:12">
      <c r="A86" t="s">
        <v>282</v>
      </c>
      <c r="B86" t="s">
        <v>283</v>
      </c>
      <c r="C86" t="s">
        <v>284</v>
      </c>
      <c r="D86" t="s">
        <v>23</v>
      </c>
      <c r="E86" t="s">
        <v>16</v>
      </c>
      <c r="F86" t="s">
        <v>17</v>
      </c>
      <c r="G86" t="s">
        <v>45</v>
      </c>
      <c r="H86" t="s">
        <v>19</v>
      </c>
      <c r="I86">
        <v>5</v>
      </c>
      <c r="J86">
        <v>24</v>
      </c>
      <c r="K86">
        <v>2.69</v>
      </c>
      <c r="L86">
        <v>1</v>
      </c>
    </row>
    <row r="87" spans="1:12">
      <c r="A87" t="s">
        <v>285</v>
      </c>
      <c r="B87" t="s">
        <v>286</v>
      </c>
      <c r="D87" t="s">
        <v>158</v>
      </c>
      <c r="E87" t="s">
        <v>24</v>
      </c>
      <c r="F87" t="s">
        <v>29</v>
      </c>
      <c r="G87" t="s">
        <v>105</v>
      </c>
      <c r="H87" t="s">
        <v>63</v>
      </c>
      <c r="J87">
        <v>4</v>
      </c>
    </row>
    <row r="88" spans="1:12">
      <c r="A88" t="s">
        <v>287</v>
      </c>
      <c r="B88" t="s">
        <v>288</v>
      </c>
      <c r="C88" t="s">
        <v>289</v>
      </c>
      <c r="D88" t="s">
        <v>35</v>
      </c>
      <c r="E88" t="s">
        <v>28</v>
      </c>
      <c r="F88" t="s">
        <v>36</v>
      </c>
      <c r="G88" t="s">
        <v>55</v>
      </c>
      <c r="H88" t="s">
        <v>19</v>
      </c>
      <c r="I88">
        <v>5</v>
      </c>
      <c r="J88">
        <v>48</v>
      </c>
      <c r="K88">
        <v>18.7</v>
      </c>
      <c r="L88">
        <v>1</v>
      </c>
    </row>
    <row r="89" spans="1:12">
      <c r="A89" t="s">
        <v>290</v>
      </c>
      <c r="B89" t="s">
        <v>291</v>
      </c>
      <c r="C89" t="s">
        <v>292</v>
      </c>
      <c r="D89" t="s">
        <v>35</v>
      </c>
      <c r="E89" t="s">
        <v>28</v>
      </c>
      <c r="F89" t="s">
        <v>36</v>
      </c>
      <c r="G89" t="s">
        <v>37</v>
      </c>
      <c r="H89" t="s">
        <v>19</v>
      </c>
      <c r="I89">
        <v>4</v>
      </c>
      <c r="J89">
        <v>48</v>
      </c>
      <c r="K89">
        <v>32.81</v>
      </c>
      <c r="L89">
        <v>1</v>
      </c>
    </row>
    <row r="90" spans="1:12">
      <c r="A90" t="s">
        <v>293</v>
      </c>
      <c r="B90" t="s">
        <v>294</v>
      </c>
      <c r="C90" t="s">
        <v>295</v>
      </c>
      <c r="D90" t="s">
        <v>23</v>
      </c>
      <c r="E90" t="s">
        <v>28</v>
      </c>
      <c r="F90" t="s">
        <v>17</v>
      </c>
      <c r="G90" t="s">
        <v>42</v>
      </c>
      <c r="H90" t="s">
        <v>31</v>
      </c>
      <c r="I90">
        <v>5</v>
      </c>
      <c r="J90">
        <v>24</v>
      </c>
      <c r="K90">
        <v>14.56</v>
      </c>
      <c r="L90">
        <v>1</v>
      </c>
    </row>
    <row r="91" spans="1:12">
      <c r="A91" t="s">
        <v>296</v>
      </c>
      <c r="B91" t="s">
        <v>297</v>
      </c>
      <c r="C91" t="s">
        <v>298</v>
      </c>
      <c r="D91" t="s">
        <v>23</v>
      </c>
      <c r="E91" t="s">
        <v>28</v>
      </c>
      <c r="F91" t="s">
        <v>41</v>
      </c>
      <c r="G91" t="s">
        <v>45</v>
      </c>
      <c r="H91" t="s">
        <v>31</v>
      </c>
      <c r="I91">
        <v>2</v>
      </c>
      <c r="J91">
        <v>24</v>
      </c>
      <c r="K91">
        <v>39.49</v>
      </c>
      <c r="L91">
        <v>0</v>
      </c>
    </row>
    <row r="92" spans="1:12">
      <c r="A92" t="s">
        <v>299</v>
      </c>
      <c r="B92" t="s">
        <v>300</v>
      </c>
      <c r="C92" t="s">
        <v>301</v>
      </c>
      <c r="D92" t="s">
        <v>35</v>
      </c>
      <c r="E92" t="s">
        <v>54</v>
      </c>
      <c r="F92" t="s">
        <v>17</v>
      </c>
      <c r="G92" t="s">
        <v>151</v>
      </c>
      <c r="H92" t="s">
        <v>19</v>
      </c>
      <c r="I92">
        <v>4</v>
      </c>
      <c r="J92">
        <v>48</v>
      </c>
      <c r="K92">
        <v>11.21</v>
      </c>
      <c r="L92">
        <v>1</v>
      </c>
    </row>
    <row r="93" spans="1:12">
      <c r="A93" t="s">
        <v>302</v>
      </c>
      <c r="B93" t="s">
        <v>303</v>
      </c>
      <c r="C93" t="s">
        <v>304</v>
      </c>
      <c r="D93" t="s">
        <v>15</v>
      </c>
      <c r="E93" t="s">
        <v>28</v>
      </c>
      <c r="F93" t="s">
        <v>60</v>
      </c>
      <c r="G93" t="s">
        <v>50</v>
      </c>
      <c r="H93" t="s">
        <v>19</v>
      </c>
      <c r="I93">
        <v>5</v>
      </c>
      <c r="J93">
        <v>8</v>
      </c>
      <c r="K93">
        <v>5.61</v>
      </c>
      <c r="L93">
        <v>1</v>
      </c>
    </row>
    <row r="94" spans="1:12">
      <c r="A94" t="s">
        <v>305</v>
      </c>
      <c r="B94" t="s">
        <v>306</v>
      </c>
      <c r="C94" t="s">
        <v>307</v>
      </c>
      <c r="D94" t="s">
        <v>158</v>
      </c>
      <c r="E94" t="s">
        <v>28</v>
      </c>
      <c r="F94" t="s">
        <v>29</v>
      </c>
      <c r="G94" t="s">
        <v>151</v>
      </c>
      <c r="H94" t="s">
        <v>31</v>
      </c>
      <c r="I94">
        <v>4</v>
      </c>
      <c r="J94">
        <v>4</v>
      </c>
      <c r="K94">
        <v>1.07</v>
      </c>
      <c r="L94">
        <v>1</v>
      </c>
    </row>
    <row r="95" spans="1:12">
      <c r="A95" t="s">
        <v>308</v>
      </c>
      <c r="B95" t="s">
        <v>309</v>
      </c>
      <c r="C95" t="s">
        <v>310</v>
      </c>
      <c r="D95" t="s">
        <v>23</v>
      </c>
      <c r="E95" t="s">
        <v>59</v>
      </c>
      <c r="F95" t="s">
        <v>17</v>
      </c>
      <c r="G95" t="s">
        <v>42</v>
      </c>
      <c r="H95" t="s">
        <v>19</v>
      </c>
      <c r="I95">
        <v>5</v>
      </c>
      <c r="J95">
        <v>24</v>
      </c>
      <c r="K95">
        <v>14.54</v>
      </c>
      <c r="L95">
        <v>1</v>
      </c>
    </row>
    <row r="96" spans="1:12">
      <c r="A96" t="s">
        <v>311</v>
      </c>
      <c r="B96" t="s">
        <v>312</v>
      </c>
      <c r="C96" t="s">
        <v>313</v>
      </c>
      <c r="D96" t="s">
        <v>15</v>
      </c>
      <c r="E96" t="s">
        <v>24</v>
      </c>
      <c r="F96" t="s">
        <v>29</v>
      </c>
      <c r="G96" t="s">
        <v>105</v>
      </c>
      <c r="H96" t="s">
        <v>19</v>
      </c>
      <c r="I96">
        <v>4</v>
      </c>
      <c r="J96">
        <v>8</v>
      </c>
      <c r="K96">
        <v>4.47</v>
      </c>
      <c r="L96">
        <v>1</v>
      </c>
    </row>
    <row r="97" spans="1:12">
      <c r="A97" t="s">
        <v>314</v>
      </c>
      <c r="B97" t="s">
        <v>315</v>
      </c>
      <c r="C97" t="s">
        <v>316</v>
      </c>
      <c r="D97" t="s">
        <v>158</v>
      </c>
      <c r="E97" t="s">
        <v>28</v>
      </c>
      <c r="F97" t="s">
        <v>29</v>
      </c>
      <c r="G97" t="s">
        <v>55</v>
      </c>
      <c r="H97" t="s">
        <v>19</v>
      </c>
      <c r="I97">
        <v>5</v>
      </c>
      <c r="J97">
        <v>4</v>
      </c>
      <c r="K97">
        <v>3.67</v>
      </c>
      <c r="L97">
        <v>1</v>
      </c>
    </row>
    <row r="98" spans="1:12">
      <c r="A98" t="s">
        <v>317</v>
      </c>
      <c r="B98" t="s">
        <v>318</v>
      </c>
      <c r="C98" t="s">
        <v>319</v>
      </c>
      <c r="D98" t="s">
        <v>23</v>
      </c>
      <c r="E98" t="s">
        <v>24</v>
      </c>
      <c r="F98" t="s">
        <v>29</v>
      </c>
      <c r="G98" t="s">
        <v>55</v>
      </c>
      <c r="H98" t="s">
        <v>19</v>
      </c>
      <c r="I98">
        <v>5</v>
      </c>
      <c r="J98">
        <v>24</v>
      </c>
      <c r="K98">
        <v>12</v>
      </c>
      <c r="L98">
        <v>1</v>
      </c>
    </row>
    <row r="99" spans="1:12">
      <c r="A99" t="s">
        <v>320</v>
      </c>
      <c r="B99" t="s">
        <v>321</v>
      </c>
      <c r="C99" t="s">
        <v>322</v>
      </c>
      <c r="D99" t="s">
        <v>15</v>
      </c>
      <c r="E99" t="s">
        <v>59</v>
      </c>
      <c r="F99" t="s">
        <v>41</v>
      </c>
      <c r="G99" t="s">
        <v>151</v>
      </c>
      <c r="H99" t="s">
        <v>31</v>
      </c>
      <c r="I99">
        <v>2</v>
      </c>
      <c r="J99">
        <v>8</v>
      </c>
      <c r="K99">
        <v>15.73</v>
      </c>
      <c r="L99">
        <v>0</v>
      </c>
    </row>
    <row r="100" spans="1:12">
      <c r="A100" t="s">
        <v>323</v>
      </c>
      <c r="B100" t="s">
        <v>324</v>
      </c>
      <c r="C100" t="s">
        <v>325</v>
      </c>
      <c r="D100" t="s">
        <v>23</v>
      </c>
      <c r="E100" t="s">
        <v>16</v>
      </c>
      <c r="F100" t="s">
        <v>29</v>
      </c>
      <c r="G100" t="s">
        <v>37</v>
      </c>
      <c r="H100" t="s">
        <v>31</v>
      </c>
      <c r="I100">
        <v>5</v>
      </c>
      <c r="J100">
        <v>24</v>
      </c>
      <c r="K100">
        <v>21.68</v>
      </c>
      <c r="L100">
        <v>1</v>
      </c>
    </row>
    <row r="101" spans="1:12">
      <c r="A101" t="s">
        <v>326</v>
      </c>
      <c r="B101" t="s">
        <v>327</v>
      </c>
      <c r="C101" t="s">
        <v>328</v>
      </c>
      <c r="D101" t="s">
        <v>158</v>
      </c>
      <c r="E101" t="s">
        <v>24</v>
      </c>
      <c r="F101" t="s">
        <v>29</v>
      </c>
      <c r="G101" t="s">
        <v>172</v>
      </c>
      <c r="H101" t="s">
        <v>19</v>
      </c>
      <c r="I101">
        <v>5</v>
      </c>
      <c r="J101">
        <v>4</v>
      </c>
      <c r="K101">
        <v>3.34</v>
      </c>
      <c r="L101">
        <v>1</v>
      </c>
    </row>
    <row r="102" spans="1:12">
      <c r="A102" t="s">
        <v>329</v>
      </c>
      <c r="B102" t="s">
        <v>330</v>
      </c>
      <c r="C102" t="s">
        <v>331</v>
      </c>
      <c r="D102" t="s">
        <v>23</v>
      </c>
      <c r="E102" t="s">
        <v>54</v>
      </c>
      <c r="F102" t="s">
        <v>41</v>
      </c>
      <c r="G102" t="s">
        <v>30</v>
      </c>
      <c r="H102" t="s">
        <v>19</v>
      </c>
      <c r="I102">
        <v>5</v>
      </c>
      <c r="J102">
        <v>24</v>
      </c>
      <c r="K102">
        <v>17.829999999999998</v>
      </c>
      <c r="L102">
        <v>1</v>
      </c>
    </row>
    <row r="103" spans="1:12">
      <c r="A103" t="s">
        <v>332</v>
      </c>
      <c r="B103" t="s">
        <v>333</v>
      </c>
      <c r="C103" t="s">
        <v>334</v>
      </c>
      <c r="D103" t="s">
        <v>158</v>
      </c>
      <c r="E103" t="s">
        <v>28</v>
      </c>
      <c r="F103" t="s">
        <v>17</v>
      </c>
      <c r="G103" t="s">
        <v>45</v>
      </c>
      <c r="H103" t="s">
        <v>19</v>
      </c>
      <c r="I103">
        <v>5</v>
      </c>
      <c r="J103">
        <v>4</v>
      </c>
      <c r="K103">
        <v>0.81</v>
      </c>
      <c r="L103">
        <v>1</v>
      </c>
    </row>
    <row r="104" spans="1:12">
      <c r="A104" t="s">
        <v>335</v>
      </c>
      <c r="B104" t="s">
        <v>336</v>
      </c>
      <c r="C104" t="s">
        <v>337</v>
      </c>
      <c r="D104" t="s">
        <v>23</v>
      </c>
      <c r="E104" t="s">
        <v>16</v>
      </c>
      <c r="F104" t="s">
        <v>29</v>
      </c>
      <c r="G104" t="s">
        <v>77</v>
      </c>
      <c r="H104" t="s">
        <v>19</v>
      </c>
      <c r="I104">
        <v>5</v>
      </c>
      <c r="J104">
        <v>24</v>
      </c>
      <c r="K104">
        <v>6.98</v>
      </c>
      <c r="L104">
        <v>1</v>
      </c>
    </row>
    <row r="105" spans="1:12">
      <c r="A105" t="s">
        <v>338</v>
      </c>
      <c r="B105" t="s">
        <v>339</v>
      </c>
      <c r="D105" t="s">
        <v>23</v>
      </c>
      <c r="E105" t="s">
        <v>24</v>
      </c>
      <c r="F105" t="s">
        <v>17</v>
      </c>
      <c r="G105" t="s">
        <v>50</v>
      </c>
      <c r="H105" t="s">
        <v>63</v>
      </c>
      <c r="J105">
        <v>24</v>
      </c>
    </row>
    <row r="106" spans="1:12">
      <c r="A106" t="s">
        <v>340</v>
      </c>
      <c r="B106" t="s">
        <v>341</v>
      </c>
      <c r="C106" t="s">
        <v>342</v>
      </c>
      <c r="D106" t="s">
        <v>23</v>
      </c>
      <c r="E106" t="s">
        <v>28</v>
      </c>
      <c r="F106" t="s">
        <v>41</v>
      </c>
      <c r="G106" t="s">
        <v>50</v>
      </c>
      <c r="H106" t="s">
        <v>19</v>
      </c>
      <c r="I106">
        <v>5</v>
      </c>
      <c r="J106">
        <v>24</v>
      </c>
      <c r="K106">
        <v>10.220000000000001</v>
      </c>
      <c r="L106">
        <v>1</v>
      </c>
    </row>
    <row r="107" spans="1:12">
      <c r="A107" t="s">
        <v>343</v>
      </c>
      <c r="B107" t="s">
        <v>344</v>
      </c>
      <c r="C107" t="s">
        <v>345</v>
      </c>
      <c r="D107" t="s">
        <v>23</v>
      </c>
      <c r="E107" t="s">
        <v>24</v>
      </c>
      <c r="F107" t="s">
        <v>36</v>
      </c>
      <c r="G107" t="s">
        <v>45</v>
      </c>
      <c r="H107" t="s">
        <v>31</v>
      </c>
      <c r="I107">
        <v>3</v>
      </c>
      <c r="J107">
        <v>24</v>
      </c>
      <c r="K107">
        <v>41.11</v>
      </c>
      <c r="L107">
        <v>0</v>
      </c>
    </row>
    <row r="108" spans="1:12">
      <c r="A108" t="s">
        <v>346</v>
      </c>
      <c r="B108" t="s">
        <v>347</v>
      </c>
      <c r="C108" t="s">
        <v>348</v>
      </c>
      <c r="D108" t="s">
        <v>35</v>
      </c>
      <c r="E108" t="s">
        <v>16</v>
      </c>
      <c r="F108" t="s">
        <v>29</v>
      </c>
      <c r="G108" t="s">
        <v>55</v>
      </c>
      <c r="H108" t="s">
        <v>31</v>
      </c>
      <c r="I108">
        <v>4</v>
      </c>
      <c r="J108">
        <v>48</v>
      </c>
      <c r="K108">
        <v>36</v>
      </c>
      <c r="L108">
        <v>1</v>
      </c>
    </row>
    <row r="109" spans="1:12">
      <c r="A109" t="s">
        <v>349</v>
      </c>
      <c r="B109" t="s">
        <v>350</v>
      </c>
      <c r="C109" t="s">
        <v>351</v>
      </c>
      <c r="D109" t="s">
        <v>15</v>
      </c>
      <c r="E109" t="s">
        <v>54</v>
      </c>
      <c r="F109" t="s">
        <v>60</v>
      </c>
      <c r="G109" t="s">
        <v>37</v>
      </c>
      <c r="H109" t="s">
        <v>19</v>
      </c>
      <c r="I109">
        <v>5</v>
      </c>
      <c r="J109">
        <v>8</v>
      </c>
      <c r="K109">
        <v>2.08</v>
      </c>
      <c r="L109">
        <v>1</v>
      </c>
    </row>
    <row r="110" spans="1:12">
      <c r="A110" t="s">
        <v>352</v>
      </c>
      <c r="B110" t="s">
        <v>353</v>
      </c>
      <c r="C110" t="s">
        <v>354</v>
      </c>
      <c r="D110" t="s">
        <v>23</v>
      </c>
      <c r="E110" t="s">
        <v>16</v>
      </c>
      <c r="F110" t="s">
        <v>41</v>
      </c>
      <c r="G110" t="s">
        <v>30</v>
      </c>
      <c r="H110" t="s">
        <v>19</v>
      </c>
      <c r="I110">
        <v>4</v>
      </c>
      <c r="J110">
        <v>24</v>
      </c>
      <c r="K110">
        <v>21.03</v>
      </c>
      <c r="L110">
        <v>1</v>
      </c>
    </row>
    <row r="111" spans="1:12">
      <c r="A111" t="s">
        <v>355</v>
      </c>
      <c r="B111" t="s">
        <v>356</v>
      </c>
      <c r="D111" t="s">
        <v>23</v>
      </c>
      <c r="E111" t="s">
        <v>54</v>
      </c>
      <c r="F111" t="s">
        <v>17</v>
      </c>
      <c r="G111" t="s">
        <v>50</v>
      </c>
      <c r="H111" t="s">
        <v>46</v>
      </c>
      <c r="J111">
        <v>24</v>
      </c>
    </row>
    <row r="112" spans="1:12">
      <c r="A112" t="s">
        <v>357</v>
      </c>
      <c r="B112" t="s">
        <v>358</v>
      </c>
      <c r="C112" t="s">
        <v>359</v>
      </c>
      <c r="D112" t="s">
        <v>23</v>
      </c>
      <c r="E112" t="s">
        <v>54</v>
      </c>
      <c r="F112" t="s">
        <v>36</v>
      </c>
      <c r="G112" t="s">
        <v>50</v>
      </c>
      <c r="H112" t="s">
        <v>19</v>
      </c>
      <c r="I112">
        <v>1</v>
      </c>
      <c r="J112">
        <v>24</v>
      </c>
      <c r="K112">
        <v>25.92</v>
      </c>
      <c r="L112">
        <v>0</v>
      </c>
    </row>
    <row r="113" spans="1:12">
      <c r="A113" t="s">
        <v>360</v>
      </c>
      <c r="B113" t="s">
        <v>361</v>
      </c>
      <c r="C113" t="s">
        <v>362</v>
      </c>
      <c r="D113" t="s">
        <v>23</v>
      </c>
      <c r="E113" t="s">
        <v>24</v>
      </c>
      <c r="F113" t="s">
        <v>41</v>
      </c>
      <c r="G113" t="s">
        <v>45</v>
      </c>
      <c r="H113" t="s">
        <v>19</v>
      </c>
      <c r="I113">
        <v>5</v>
      </c>
      <c r="J113">
        <v>24</v>
      </c>
      <c r="K113">
        <v>15.66</v>
      </c>
      <c r="L113">
        <v>1</v>
      </c>
    </row>
    <row r="114" spans="1:12">
      <c r="A114" t="s">
        <v>363</v>
      </c>
      <c r="B114" t="s">
        <v>364</v>
      </c>
      <c r="C114" t="s">
        <v>365</v>
      </c>
      <c r="D114" t="s">
        <v>23</v>
      </c>
      <c r="E114" t="s">
        <v>28</v>
      </c>
      <c r="F114" t="s">
        <v>29</v>
      </c>
      <c r="G114" t="s">
        <v>151</v>
      </c>
      <c r="H114" t="s">
        <v>31</v>
      </c>
      <c r="I114">
        <v>3</v>
      </c>
      <c r="J114">
        <v>24</v>
      </c>
      <c r="K114">
        <v>20.2</v>
      </c>
      <c r="L114">
        <v>1</v>
      </c>
    </row>
    <row r="115" spans="1:12">
      <c r="A115" t="s">
        <v>366</v>
      </c>
      <c r="B115" t="s">
        <v>367</v>
      </c>
      <c r="C115" t="s">
        <v>368</v>
      </c>
      <c r="D115" t="s">
        <v>15</v>
      </c>
      <c r="E115" t="s">
        <v>54</v>
      </c>
      <c r="F115" t="s">
        <v>29</v>
      </c>
      <c r="G115" t="s">
        <v>18</v>
      </c>
      <c r="H115" t="s">
        <v>31</v>
      </c>
      <c r="I115">
        <v>5</v>
      </c>
      <c r="J115">
        <v>8</v>
      </c>
      <c r="K115">
        <v>1.47</v>
      </c>
      <c r="L115">
        <v>1</v>
      </c>
    </row>
    <row r="116" spans="1:12">
      <c r="A116" t="s">
        <v>369</v>
      </c>
      <c r="B116" t="s">
        <v>370</v>
      </c>
      <c r="C116" t="s">
        <v>371</v>
      </c>
      <c r="D116" t="s">
        <v>15</v>
      </c>
      <c r="E116" t="s">
        <v>24</v>
      </c>
      <c r="F116" t="s">
        <v>29</v>
      </c>
      <c r="G116" t="s">
        <v>30</v>
      </c>
      <c r="H116" t="s">
        <v>19</v>
      </c>
      <c r="I116">
        <v>4</v>
      </c>
      <c r="J116">
        <v>8</v>
      </c>
      <c r="K116">
        <v>2.79</v>
      </c>
      <c r="L116">
        <v>1</v>
      </c>
    </row>
    <row r="117" spans="1:12">
      <c r="A117" t="s">
        <v>372</v>
      </c>
      <c r="B117" t="s">
        <v>373</v>
      </c>
      <c r="C117" t="s">
        <v>374</v>
      </c>
      <c r="D117" t="s">
        <v>15</v>
      </c>
      <c r="E117" t="s">
        <v>28</v>
      </c>
      <c r="F117" t="s">
        <v>17</v>
      </c>
      <c r="G117" t="s">
        <v>73</v>
      </c>
      <c r="H117" t="s">
        <v>19</v>
      </c>
      <c r="I117">
        <v>5</v>
      </c>
      <c r="J117">
        <v>8</v>
      </c>
      <c r="K117">
        <v>3.4</v>
      </c>
      <c r="L117">
        <v>1</v>
      </c>
    </row>
    <row r="118" spans="1:12">
      <c r="A118" t="s">
        <v>375</v>
      </c>
      <c r="B118" t="s">
        <v>376</v>
      </c>
      <c r="C118" t="s">
        <v>377</v>
      </c>
      <c r="D118" t="s">
        <v>35</v>
      </c>
      <c r="E118" t="s">
        <v>24</v>
      </c>
      <c r="F118" t="s">
        <v>41</v>
      </c>
      <c r="G118" t="s">
        <v>151</v>
      </c>
      <c r="H118" t="s">
        <v>19</v>
      </c>
      <c r="I118">
        <v>5</v>
      </c>
      <c r="J118">
        <v>48</v>
      </c>
      <c r="K118">
        <v>5.18</v>
      </c>
      <c r="L118">
        <v>1</v>
      </c>
    </row>
    <row r="119" spans="1:12">
      <c r="A119" t="s">
        <v>378</v>
      </c>
      <c r="B119" t="s">
        <v>379</v>
      </c>
      <c r="D119" t="s">
        <v>15</v>
      </c>
      <c r="E119" t="s">
        <v>28</v>
      </c>
      <c r="F119" t="s">
        <v>36</v>
      </c>
      <c r="G119" t="s">
        <v>50</v>
      </c>
      <c r="H119" t="s">
        <v>63</v>
      </c>
      <c r="J119">
        <v>8</v>
      </c>
    </row>
    <row r="120" spans="1:12">
      <c r="A120" t="s">
        <v>380</v>
      </c>
      <c r="B120" t="s">
        <v>381</v>
      </c>
      <c r="C120" t="s">
        <v>382</v>
      </c>
      <c r="D120" t="s">
        <v>15</v>
      </c>
      <c r="E120" t="s">
        <v>59</v>
      </c>
      <c r="F120" t="s">
        <v>29</v>
      </c>
      <c r="G120" t="s">
        <v>50</v>
      </c>
      <c r="H120" t="s">
        <v>31</v>
      </c>
      <c r="I120">
        <v>4</v>
      </c>
      <c r="J120">
        <v>8</v>
      </c>
      <c r="K120">
        <v>3.42</v>
      </c>
      <c r="L120">
        <v>1</v>
      </c>
    </row>
    <row r="121" spans="1:12">
      <c r="A121" t="s">
        <v>383</v>
      </c>
      <c r="B121" t="s">
        <v>384</v>
      </c>
      <c r="C121" t="s">
        <v>385</v>
      </c>
      <c r="D121" t="s">
        <v>23</v>
      </c>
      <c r="E121" t="s">
        <v>28</v>
      </c>
      <c r="F121" t="s">
        <v>29</v>
      </c>
      <c r="G121" t="s">
        <v>105</v>
      </c>
      <c r="H121" t="s">
        <v>19</v>
      </c>
      <c r="I121">
        <v>1</v>
      </c>
      <c r="J121">
        <v>24</v>
      </c>
      <c r="K121">
        <v>56</v>
      </c>
      <c r="L121">
        <v>0</v>
      </c>
    </row>
    <row r="122" spans="1:12">
      <c r="A122" t="s">
        <v>386</v>
      </c>
      <c r="B122" t="s">
        <v>387</v>
      </c>
      <c r="C122" t="s">
        <v>388</v>
      </c>
      <c r="D122" t="s">
        <v>35</v>
      </c>
      <c r="E122" t="s">
        <v>16</v>
      </c>
      <c r="F122" t="s">
        <v>36</v>
      </c>
      <c r="G122" t="s">
        <v>55</v>
      </c>
      <c r="H122" t="s">
        <v>31</v>
      </c>
      <c r="I122">
        <v>3</v>
      </c>
      <c r="J122">
        <v>48</v>
      </c>
      <c r="K122">
        <v>134.91</v>
      </c>
      <c r="L122">
        <v>0</v>
      </c>
    </row>
    <row r="123" spans="1:12">
      <c r="A123" t="s">
        <v>389</v>
      </c>
      <c r="B123" t="s">
        <v>390</v>
      </c>
      <c r="C123" t="s">
        <v>391</v>
      </c>
      <c r="D123" t="s">
        <v>23</v>
      </c>
      <c r="E123" t="s">
        <v>28</v>
      </c>
      <c r="F123" t="s">
        <v>17</v>
      </c>
      <c r="G123" t="s">
        <v>55</v>
      </c>
      <c r="H123" t="s">
        <v>19</v>
      </c>
      <c r="I123">
        <v>5</v>
      </c>
      <c r="J123">
        <v>24</v>
      </c>
      <c r="K123">
        <v>18.059999999999999</v>
      </c>
      <c r="L123">
        <v>1</v>
      </c>
    </row>
    <row r="124" spans="1:12">
      <c r="A124" t="s">
        <v>392</v>
      </c>
      <c r="B124" t="s">
        <v>393</v>
      </c>
      <c r="C124" t="s">
        <v>394</v>
      </c>
      <c r="D124" t="s">
        <v>23</v>
      </c>
      <c r="E124" t="s">
        <v>59</v>
      </c>
      <c r="F124" t="s">
        <v>36</v>
      </c>
      <c r="G124" t="s">
        <v>45</v>
      </c>
      <c r="H124" t="s">
        <v>31</v>
      </c>
      <c r="I124">
        <v>4</v>
      </c>
      <c r="J124">
        <v>24</v>
      </c>
      <c r="K124">
        <v>9.84</v>
      </c>
      <c r="L124">
        <v>1</v>
      </c>
    </row>
    <row r="125" spans="1:12">
      <c r="A125" t="s">
        <v>395</v>
      </c>
      <c r="B125" t="s">
        <v>396</v>
      </c>
      <c r="C125" t="s">
        <v>397</v>
      </c>
      <c r="D125" t="s">
        <v>15</v>
      </c>
      <c r="E125" t="s">
        <v>16</v>
      </c>
      <c r="F125" t="s">
        <v>17</v>
      </c>
      <c r="G125" t="s">
        <v>18</v>
      </c>
      <c r="H125" t="s">
        <v>19</v>
      </c>
      <c r="I125">
        <v>5</v>
      </c>
      <c r="J125">
        <v>8</v>
      </c>
      <c r="K125">
        <v>7.41</v>
      </c>
      <c r="L125">
        <v>1</v>
      </c>
    </row>
    <row r="126" spans="1:12">
      <c r="A126" t="s">
        <v>398</v>
      </c>
      <c r="B126" t="s">
        <v>399</v>
      </c>
      <c r="C126" t="s">
        <v>400</v>
      </c>
      <c r="D126" t="s">
        <v>15</v>
      </c>
      <c r="E126" t="s">
        <v>24</v>
      </c>
      <c r="F126" t="s">
        <v>41</v>
      </c>
      <c r="G126" t="s">
        <v>45</v>
      </c>
      <c r="H126" t="s">
        <v>31</v>
      </c>
      <c r="I126">
        <v>5</v>
      </c>
      <c r="J126">
        <v>8</v>
      </c>
      <c r="K126">
        <v>1.58</v>
      </c>
      <c r="L126">
        <v>1</v>
      </c>
    </row>
    <row r="127" spans="1:12">
      <c r="A127" t="s">
        <v>401</v>
      </c>
      <c r="B127" t="s">
        <v>402</v>
      </c>
      <c r="C127" t="s">
        <v>403</v>
      </c>
      <c r="D127" t="s">
        <v>23</v>
      </c>
      <c r="E127" t="s">
        <v>28</v>
      </c>
      <c r="F127" t="s">
        <v>41</v>
      </c>
      <c r="G127" t="s">
        <v>77</v>
      </c>
      <c r="H127" t="s">
        <v>19</v>
      </c>
      <c r="I127">
        <v>5</v>
      </c>
      <c r="J127">
        <v>24</v>
      </c>
      <c r="K127">
        <v>2.68</v>
      </c>
      <c r="L127">
        <v>1</v>
      </c>
    </row>
    <row r="128" spans="1:12">
      <c r="A128" t="s">
        <v>404</v>
      </c>
      <c r="B128" t="s">
        <v>405</v>
      </c>
      <c r="C128" t="s">
        <v>406</v>
      </c>
      <c r="D128" t="s">
        <v>23</v>
      </c>
      <c r="E128" t="s">
        <v>16</v>
      </c>
      <c r="F128" t="s">
        <v>29</v>
      </c>
      <c r="G128" t="s">
        <v>55</v>
      </c>
      <c r="H128" t="s">
        <v>19</v>
      </c>
      <c r="I128">
        <v>5</v>
      </c>
      <c r="J128">
        <v>24</v>
      </c>
      <c r="K128">
        <v>9.98</v>
      </c>
      <c r="L128">
        <v>1</v>
      </c>
    </row>
    <row r="129" spans="1:12">
      <c r="A129" t="s">
        <v>407</v>
      </c>
      <c r="B129" t="s">
        <v>408</v>
      </c>
      <c r="D129" t="s">
        <v>158</v>
      </c>
      <c r="E129" t="s">
        <v>16</v>
      </c>
      <c r="F129" t="s">
        <v>60</v>
      </c>
      <c r="G129" t="s">
        <v>172</v>
      </c>
      <c r="H129" t="s">
        <v>63</v>
      </c>
      <c r="J129">
        <v>4</v>
      </c>
    </row>
    <row r="130" spans="1:12">
      <c r="A130" t="s">
        <v>409</v>
      </c>
      <c r="B130" t="s">
        <v>410</v>
      </c>
      <c r="C130" t="s">
        <v>411</v>
      </c>
      <c r="D130" t="s">
        <v>23</v>
      </c>
      <c r="E130" t="s">
        <v>54</v>
      </c>
      <c r="F130" t="s">
        <v>41</v>
      </c>
      <c r="G130" t="s">
        <v>105</v>
      </c>
      <c r="H130" t="s">
        <v>19</v>
      </c>
      <c r="I130">
        <v>5</v>
      </c>
      <c r="J130">
        <v>24</v>
      </c>
      <c r="K130">
        <v>5.25</v>
      </c>
      <c r="L130">
        <v>1</v>
      </c>
    </row>
    <row r="131" spans="1:12">
      <c r="A131" t="s">
        <v>412</v>
      </c>
      <c r="B131" t="s">
        <v>413</v>
      </c>
      <c r="C131" t="s">
        <v>414</v>
      </c>
      <c r="D131" t="s">
        <v>35</v>
      </c>
      <c r="E131" t="s">
        <v>24</v>
      </c>
      <c r="F131" t="s">
        <v>17</v>
      </c>
      <c r="G131" t="s">
        <v>77</v>
      </c>
      <c r="H131" t="s">
        <v>19</v>
      </c>
      <c r="I131">
        <v>5</v>
      </c>
      <c r="J131">
        <v>48</v>
      </c>
      <c r="K131">
        <v>32.159999999999997</v>
      </c>
      <c r="L131">
        <v>1</v>
      </c>
    </row>
    <row r="132" spans="1:12">
      <c r="A132" t="s">
        <v>415</v>
      </c>
      <c r="B132" t="s">
        <v>416</v>
      </c>
      <c r="C132" t="s">
        <v>417</v>
      </c>
      <c r="D132" t="s">
        <v>23</v>
      </c>
      <c r="E132" t="s">
        <v>16</v>
      </c>
      <c r="F132" t="s">
        <v>17</v>
      </c>
      <c r="G132" t="s">
        <v>37</v>
      </c>
      <c r="H132" t="s">
        <v>31</v>
      </c>
      <c r="I132">
        <v>4</v>
      </c>
      <c r="J132">
        <v>24</v>
      </c>
      <c r="K132">
        <v>54.01</v>
      </c>
      <c r="L132">
        <v>0</v>
      </c>
    </row>
    <row r="133" spans="1:12">
      <c r="A133" t="s">
        <v>418</v>
      </c>
      <c r="B133" t="s">
        <v>419</v>
      </c>
      <c r="D133" t="s">
        <v>158</v>
      </c>
      <c r="E133" t="s">
        <v>28</v>
      </c>
      <c r="F133" t="s">
        <v>41</v>
      </c>
      <c r="G133" t="s">
        <v>50</v>
      </c>
      <c r="H133" t="s">
        <v>63</v>
      </c>
      <c r="J133">
        <v>4</v>
      </c>
    </row>
    <row r="134" spans="1:12">
      <c r="A134" t="s">
        <v>420</v>
      </c>
      <c r="B134" t="s">
        <v>421</v>
      </c>
      <c r="D134" t="s">
        <v>23</v>
      </c>
      <c r="E134" t="s">
        <v>59</v>
      </c>
      <c r="F134" t="s">
        <v>29</v>
      </c>
      <c r="G134" t="s">
        <v>77</v>
      </c>
      <c r="H134" t="s">
        <v>63</v>
      </c>
      <c r="J134">
        <v>24</v>
      </c>
    </row>
    <row r="135" spans="1:12">
      <c r="A135" t="s">
        <v>422</v>
      </c>
      <c r="B135" t="s">
        <v>423</v>
      </c>
      <c r="D135" t="s">
        <v>23</v>
      </c>
      <c r="E135" t="s">
        <v>28</v>
      </c>
      <c r="F135" t="s">
        <v>17</v>
      </c>
      <c r="G135" t="s">
        <v>42</v>
      </c>
      <c r="H135" t="s">
        <v>63</v>
      </c>
      <c r="J135">
        <v>24</v>
      </c>
    </row>
    <row r="136" spans="1:12">
      <c r="A136" t="s">
        <v>424</v>
      </c>
      <c r="B136" t="s">
        <v>425</v>
      </c>
      <c r="C136" t="s">
        <v>426</v>
      </c>
      <c r="D136" t="s">
        <v>23</v>
      </c>
      <c r="E136" t="s">
        <v>54</v>
      </c>
      <c r="F136" t="s">
        <v>60</v>
      </c>
      <c r="G136" t="s">
        <v>30</v>
      </c>
      <c r="H136" t="s">
        <v>19</v>
      </c>
      <c r="I136">
        <v>5</v>
      </c>
      <c r="J136">
        <v>24</v>
      </c>
      <c r="K136">
        <v>22.57</v>
      </c>
      <c r="L136">
        <v>1</v>
      </c>
    </row>
    <row r="137" spans="1:12">
      <c r="A137" t="s">
        <v>427</v>
      </c>
      <c r="B137" t="s">
        <v>428</v>
      </c>
      <c r="C137" t="s">
        <v>429</v>
      </c>
      <c r="D137" t="s">
        <v>158</v>
      </c>
      <c r="E137" t="s">
        <v>16</v>
      </c>
      <c r="F137" t="s">
        <v>17</v>
      </c>
      <c r="G137" t="s">
        <v>55</v>
      </c>
      <c r="H137" t="s">
        <v>19</v>
      </c>
      <c r="I137">
        <v>1</v>
      </c>
      <c r="J137">
        <v>4</v>
      </c>
      <c r="K137">
        <v>6.76</v>
      </c>
      <c r="L137">
        <v>0</v>
      </c>
    </row>
    <row r="138" spans="1:12">
      <c r="A138" t="s">
        <v>430</v>
      </c>
      <c r="B138" t="s">
        <v>431</v>
      </c>
      <c r="C138" t="s">
        <v>432</v>
      </c>
      <c r="D138" t="s">
        <v>23</v>
      </c>
      <c r="E138" t="s">
        <v>28</v>
      </c>
      <c r="F138" t="s">
        <v>17</v>
      </c>
      <c r="G138" t="s">
        <v>73</v>
      </c>
      <c r="H138" t="s">
        <v>19</v>
      </c>
      <c r="I138">
        <v>5</v>
      </c>
      <c r="J138">
        <v>24</v>
      </c>
      <c r="K138">
        <v>4.6399999999999997</v>
      </c>
      <c r="L138">
        <v>1</v>
      </c>
    </row>
    <row r="139" spans="1:12">
      <c r="A139" t="s">
        <v>433</v>
      </c>
      <c r="B139" t="s">
        <v>434</v>
      </c>
      <c r="C139" t="s">
        <v>435</v>
      </c>
      <c r="D139" t="s">
        <v>158</v>
      </c>
      <c r="E139" t="s">
        <v>16</v>
      </c>
      <c r="F139" t="s">
        <v>17</v>
      </c>
      <c r="G139" t="s">
        <v>55</v>
      </c>
      <c r="H139" t="s">
        <v>19</v>
      </c>
      <c r="I139">
        <v>5</v>
      </c>
      <c r="J139">
        <v>4</v>
      </c>
      <c r="K139">
        <v>0.57999999999999996</v>
      </c>
      <c r="L139">
        <v>1</v>
      </c>
    </row>
    <row r="140" spans="1:12">
      <c r="A140" t="s">
        <v>436</v>
      </c>
      <c r="B140" t="s">
        <v>437</v>
      </c>
      <c r="C140" t="s">
        <v>438</v>
      </c>
      <c r="D140" t="s">
        <v>15</v>
      </c>
      <c r="E140" t="s">
        <v>24</v>
      </c>
      <c r="F140" t="s">
        <v>41</v>
      </c>
      <c r="G140" t="s">
        <v>172</v>
      </c>
      <c r="H140" t="s">
        <v>19</v>
      </c>
      <c r="I140">
        <v>5</v>
      </c>
      <c r="J140">
        <v>8</v>
      </c>
      <c r="K140">
        <v>4.2300000000000004</v>
      </c>
      <c r="L140">
        <v>1</v>
      </c>
    </row>
    <row r="141" spans="1:12">
      <c r="A141" t="s">
        <v>439</v>
      </c>
      <c r="B141" t="s">
        <v>440</v>
      </c>
      <c r="C141" t="s">
        <v>441</v>
      </c>
      <c r="D141" t="s">
        <v>23</v>
      </c>
      <c r="E141" t="s">
        <v>59</v>
      </c>
      <c r="F141" t="s">
        <v>60</v>
      </c>
      <c r="G141" t="s">
        <v>45</v>
      </c>
      <c r="H141" t="s">
        <v>19</v>
      </c>
      <c r="I141">
        <v>2</v>
      </c>
      <c r="J141">
        <v>24</v>
      </c>
      <c r="K141">
        <v>28.05</v>
      </c>
      <c r="L141">
        <v>0</v>
      </c>
    </row>
    <row r="142" spans="1:12">
      <c r="A142" t="s">
        <v>442</v>
      </c>
      <c r="B142" t="s">
        <v>443</v>
      </c>
      <c r="C142" t="s">
        <v>444</v>
      </c>
      <c r="D142" t="s">
        <v>23</v>
      </c>
      <c r="E142" t="s">
        <v>24</v>
      </c>
      <c r="F142" t="s">
        <v>41</v>
      </c>
      <c r="G142" t="s">
        <v>42</v>
      </c>
      <c r="H142" t="s">
        <v>31</v>
      </c>
      <c r="I142">
        <v>4</v>
      </c>
      <c r="J142">
        <v>24</v>
      </c>
      <c r="K142">
        <v>5.43</v>
      </c>
      <c r="L142">
        <v>1</v>
      </c>
    </row>
    <row r="143" spans="1:12">
      <c r="A143" t="s">
        <v>445</v>
      </c>
      <c r="B143" t="s">
        <v>446</v>
      </c>
      <c r="D143" t="s">
        <v>23</v>
      </c>
      <c r="E143" t="s">
        <v>28</v>
      </c>
      <c r="F143" t="s">
        <v>29</v>
      </c>
      <c r="G143" t="s">
        <v>37</v>
      </c>
      <c r="H143" t="s">
        <v>46</v>
      </c>
      <c r="J143">
        <v>24</v>
      </c>
    </row>
    <row r="144" spans="1:12">
      <c r="A144" t="s">
        <v>447</v>
      </c>
      <c r="B144" t="s">
        <v>448</v>
      </c>
      <c r="C144" t="s">
        <v>449</v>
      </c>
      <c r="D144" t="s">
        <v>15</v>
      </c>
      <c r="E144" t="s">
        <v>28</v>
      </c>
      <c r="F144" t="s">
        <v>41</v>
      </c>
      <c r="G144" t="s">
        <v>42</v>
      </c>
      <c r="H144" t="s">
        <v>31</v>
      </c>
      <c r="I144">
        <v>5</v>
      </c>
      <c r="J144">
        <v>8</v>
      </c>
      <c r="K144">
        <v>5.25</v>
      </c>
      <c r="L144">
        <v>1</v>
      </c>
    </row>
    <row r="145" spans="1:12">
      <c r="A145" t="s">
        <v>450</v>
      </c>
      <c r="B145" t="s">
        <v>451</v>
      </c>
      <c r="C145" t="s">
        <v>452</v>
      </c>
      <c r="D145" t="s">
        <v>23</v>
      </c>
      <c r="E145" t="s">
        <v>28</v>
      </c>
      <c r="F145" t="s">
        <v>41</v>
      </c>
      <c r="G145" t="s">
        <v>18</v>
      </c>
      <c r="H145" t="s">
        <v>19</v>
      </c>
      <c r="I145">
        <v>3</v>
      </c>
      <c r="J145">
        <v>24</v>
      </c>
      <c r="K145">
        <v>43.86</v>
      </c>
      <c r="L145">
        <v>0</v>
      </c>
    </row>
    <row r="146" spans="1:12">
      <c r="A146" t="s">
        <v>453</v>
      </c>
      <c r="B146" t="s">
        <v>454</v>
      </c>
      <c r="C146" t="s">
        <v>455</v>
      </c>
      <c r="D146" t="s">
        <v>23</v>
      </c>
      <c r="E146" t="s">
        <v>28</v>
      </c>
      <c r="F146" t="s">
        <v>29</v>
      </c>
      <c r="G146" t="s">
        <v>73</v>
      </c>
      <c r="H146" t="s">
        <v>31</v>
      </c>
      <c r="I146">
        <v>3</v>
      </c>
      <c r="J146">
        <v>24</v>
      </c>
      <c r="K146">
        <v>4.26</v>
      </c>
      <c r="L146">
        <v>1</v>
      </c>
    </row>
    <row r="147" spans="1:12">
      <c r="A147" t="s">
        <v>456</v>
      </c>
      <c r="B147" t="s">
        <v>457</v>
      </c>
      <c r="C147" t="s">
        <v>458</v>
      </c>
      <c r="D147" t="s">
        <v>158</v>
      </c>
      <c r="E147" t="s">
        <v>16</v>
      </c>
      <c r="F147" t="s">
        <v>17</v>
      </c>
      <c r="G147" t="s">
        <v>77</v>
      </c>
      <c r="H147" t="s">
        <v>19</v>
      </c>
      <c r="I147">
        <v>2</v>
      </c>
      <c r="J147">
        <v>4</v>
      </c>
      <c r="K147">
        <v>8.58</v>
      </c>
      <c r="L147">
        <v>0</v>
      </c>
    </row>
    <row r="148" spans="1:12">
      <c r="A148" t="s">
        <v>459</v>
      </c>
      <c r="B148" t="s">
        <v>460</v>
      </c>
      <c r="C148" t="s">
        <v>461</v>
      </c>
      <c r="D148" t="s">
        <v>23</v>
      </c>
      <c r="E148" t="s">
        <v>54</v>
      </c>
      <c r="F148" t="s">
        <v>41</v>
      </c>
      <c r="G148" t="s">
        <v>105</v>
      </c>
      <c r="H148" t="s">
        <v>19</v>
      </c>
      <c r="I148">
        <v>4</v>
      </c>
      <c r="J148">
        <v>24</v>
      </c>
      <c r="K148">
        <v>8.77</v>
      </c>
      <c r="L148">
        <v>1</v>
      </c>
    </row>
    <row r="149" spans="1:12">
      <c r="A149" t="s">
        <v>462</v>
      </c>
      <c r="B149" t="s">
        <v>463</v>
      </c>
      <c r="C149" t="s">
        <v>464</v>
      </c>
      <c r="D149" t="s">
        <v>15</v>
      </c>
      <c r="E149" t="s">
        <v>54</v>
      </c>
      <c r="F149" t="s">
        <v>17</v>
      </c>
      <c r="G149" t="s">
        <v>42</v>
      </c>
      <c r="H149" t="s">
        <v>19</v>
      </c>
      <c r="I149">
        <v>4</v>
      </c>
      <c r="J149">
        <v>8</v>
      </c>
      <c r="K149">
        <v>1.58</v>
      </c>
      <c r="L149">
        <v>1</v>
      </c>
    </row>
    <row r="150" spans="1:12">
      <c r="A150" t="s">
        <v>465</v>
      </c>
      <c r="B150" t="s">
        <v>466</v>
      </c>
      <c r="C150" t="s">
        <v>467</v>
      </c>
      <c r="D150" t="s">
        <v>35</v>
      </c>
      <c r="E150" t="s">
        <v>16</v>
      </c>
      <c r="F150" t="s">
        <v>60</v>
      </c>
      <c r="G150" t="s">
        <v>55</v>
      </c>
      <c r="H150" t="s">
        <v>31</v>
      </c>
      <c r="I150">
        <v>5</v>
      </c>
      <c r="J150">
        <v>48</v>
      </c>
      <c r="K150">
        <v>29.65</v>
      </c>
      <c r="L150">
        <v>1</v>
      </c>
    </row>
    <row r="151" spans="1:12">
      <c r="A151" t="s">
        <v>468</v>
      </c>
      <c r="B151" t="s">
        <v>469</v>
      </c>
      <c r="C151" t="s">
        <v>470</v>
      </c>
      <c r="D151" t="s">
        <v>15</v>
      </c>
      <c r="E151" t="s">
        <v>24</v>
      </c>
      <c r="F151" t="s">
        <v>29</v>
      </c>
      <c r="G151" t="s">
        <v>172</v>
      </c>
      <c r="H151" t="s">
        <v>19</v>
      </c>
      <c r="I151">
        <v>5</v>
      </c>
      <c r="J151">
        <v>8</v>
      </c>
      <c r="K151">
        <v>1.77</v>
      </c>
      <c r="L151">
        <v>1</v>
      </c>
    </row>
    <row r="152" spans="1:12">
      <c r="A152" t="s">
        <v>471</v>
      </c>
      <c r="B152" t="s">
        <v>472</v>
      </c>
      <c r="C152" t="s">
        <v>473</v>
      </c>
      <c r="D152" t="s">
        <v>15</v>
      </c>
      <c r="E152" t="s">
        <v>54</v>
      </c>
      <c r="F152" t="s">
        <v>36</v>
      </c>
      <c r="G152" t="s">
        <v>42</v>
      </c>
      <c r="H152" t="s">
        <v>31</v>
      </c>
      <c r="I152">
        <v>4</v>
      </c>
      <c r="J152">
        <v>8</v>
      </c>
      <c r="K152">
        <v>3.65</v>
      </c>
      <c r="L152">
        <v>1</v>
      </c>
    </row>
    <row r="153" spans="1:12">
      <c r="A153" t="s">
        <v>474</v>
      </c>
      <c r="B153" t="s">
        <v>475</v>
      </c>
      <c r="C153" t="s">
        <v>476</v>
      </c>
      <c r="D153" t="s">
        <v>15</v>
      </c>
      <c r="E153" t="s">
        <v>16</v>
      </c>
      <c r="F153" t="s">
        <v>60</v>
      </c>
      <c r="G153" t="s">
        <v>55</v>
      </c>
      <c r="H153" t="s">
        <v>19</v>
      </c>
      <c r="I153">
        <v>5</v>
      </c>
      <c r="J153">
        <v>8</v>
      </c>
      <c r="K153">
        <v>1.87</v>
      </c>
      <c r="L153">
        <v>1</v>
      </c>
    </row>
    <row r="154" spans="1:12">
      <c r="A154" t="s">
        <v>477</v>
      </c>
      <c r="B154" t="s">
        <v>478</v>
      </c>
      <c r="C154" t="s">
        <v>479</v>
      </c>
      <c r="D154" t="s">
        <v>158</v>
      </c>
      <c r="E154" t="s">
        <v>28</v>
      </c>
      <c r="F154" t="s">
        <v>41</v>
      </c>
      <c r="G154" t="s">
        <v>50</v>
      </c>
      <c r="H154" t="s">
        <v>31</v>
      </c>
      <c r="I154">
        <v>5</v>
      </c>
      <c r="J154">
        <v>4</v>
      </c>
      <c r="K154">
        <v>1.1299999999999999</v>
      </c>
      <c r="L154">
        <v>1</v>
      </c>
    </row>
    <row r="155" spans="1:12">
      <c r="A155" t="s">
        <v>480</v>
      </c>
      <c r="B155" t="s">
        <v>481</v>
      </c>
      <c r="C155" t="s">
        <v>482</v>
      </c>
      <c r="D155" t="s">
        <v>23</v>
      </c>
      <c r="E155" t="s">
        <v>28</v>
      </c>
      <c r="F155" t="s">
        <v>60</v>
      </c>
      <c r="G155" t="s">
        <v>50</v>
      </c>
      <c r="H155" t="s">
        <v>19</v>
      </c>
      <c r="I155">
        <v>5</v>
      </c>
      <c r="J155">
        <v>24</v>
      </c>
      <c r="K155">
        <v>6.9</v>
      </c>
      <c r="L155">
        <v>1</v>
      </c>
    </row>
    <row r="156" spans="1:12">
      <c r="A156" t="s">
        <v>483</v>
      </c>
      <c r="B156" t="s">
        <v>484</v>
      </c>
      <c r="C156" t="s">
        <v>485</v>
      </c>
      <c r="D156" t="s">
        <v>158</v>
      </c>
      <c r="E156" t="s">
        <v>28</v>
      </c>
      <c r="F156" t="s">
        <v>17</v>
      </c>
      <c r="G156" t="s">
        <v>73</v>
      </c>
      <c r="H156" t="s">
        <v>31</v>
      </c>
      <c r="I156">
        <v>4</v>
      </c>
      <c r="J156">
        <v>4</v>
      </c>
      <c r="K156">
        <v>0.81</v>
      </c>
      <c r="L156">
        <v>1</v>
      </c>
    </row>
    <row r="157" spans="1:12">
      <c r="A157" t="s">
        <v>486</v>
      </c>
      <c r="B157" t="s">
        <v>487</v>
      </c>
      <c r="C157" t="s">
        <v>488</v>
      </c>
      <c r="D157" t="s">
        <v>15</v>
      </c>
      <c r="E157" t="s">
        <v>28</v>
      </c>
      <c r="F157" t="s">
        <v>17</v>
      </c>
      <c r="G157" t="s">
        <v>77</v>
      </c>
      <c r="H157" t="s">
        <v>31</v>
      </c>
      <c r="I157">
        <v>4</v>
      </c>
      <c r="J157">
        <v>8</v>
      </c>
      <c r="K157">
        <v>3.21</v>
      </c>
      <c r="L157">
        <v>1</v>
      </c>
    </row>
    <row r="158" spans="1:12">
      <c r="A158" t="s">
        <v>489</v>
      </c>
      <c r="B158" t="s">
        <v>490</v>
      </c>
      <c r="C158" t="s">
        <v>491</v>
      </c>
      <c r="D158" t="s">
        <v>158</v>
      </c>
      <c r="E158" t="s">
        <v>24</v>
      </c>
      <c r="F158" t="s">
        <v>36</v>
      </c>
      <c r="G158" t="s">
        <v>172</v>
      </c>
      <c r="H158" t="s">
        <v>31</v>
      </c>
      <c r="I158">
        <v>4</v>
      </c>
      <c r="J158">
        <v>4</v>
      </c>
      <c r="K158">
        <v>2.81</v>
      </c>
      <c r="L158">
        <v>1</v>
      </c>
    </row>
    <row r="159" spans="1:12">
      <c r="A159" t="s">
        <v>492</v>
      </c>
      <c r="B159" t="s">
        <v>493</v>
      </c>
      <c r="C159" t="s">
        <v>494</v>
      </c>
      <c r="D159" t="s">
        <v>23</v>
      </c>
      <c r="E159" t="s">
        <v>16</v>
      </c>
      <c r="F159" t="s">
        <v>17</v>
      </c>
      <c r="G159" t="s">
        <v>55</v>
      </c>
      <c r="H159" t="s">
        <v>19</v>
      </c>
      <c r="I159">
        <v>4</v>
      </c>
      <c r="J159">
        <v>24</v>
      </c>
      <c r="K159">
        <v>9.7799999999999994</v>
      </c>
      <c r="L159">
        <v>1</v>
      </c>
    </row>
    <row r="160" spans="1:12">
      <c r="A160" t="s">
        <v>495</v>
      </c>
      <c r="B160" t="s">
        <v>496</v>
      </c>
      <c r="C160" t="s">
        <v>497</v>
      </c>
      <c r="D160" t="s">
        <v>15</v>
      </c>
      <c r="E160" t="s">
        <v>54</v>
      </c>
      <c r="F160" t="s">
        <v>60</v>
      </c>
      <c r="G160" t="s">
        <v>42</v>
      </c>
      <c r="H160" t="s">
        <v>19</v>
      </c>
      <c r="I160">
        <v>4</v>
      </c>
      <c r="J160">
        <v>8</v>
      </c>
      <c r="K160">
        <v>3.11</v>
      </c>
      <c r="L160">
        <v>1</v>
      </c>
    </row>
    <row r="161" spans="1:12">
      <c r="A161" t="s">
        <v>498</v>
      </c>
      <c r="B161" t="s">
        <v>499</v>
      </c>
      <c r="C161" t="s">
        <v>500</v>
      </c>
      <c r="D161" t="s">
        <v>158</v>
      </c>
      <c r="E161" t="s">
        <v>54</v>
      </c>
      <c r="F161" t="s">
        <v>60</v>
      </c>
      <c r="G161" t="s">
        <v>77</v>
      </c>
      <c r="H161" t="s">
        <v>19</v>
      </c>
      <c r="I161">
        <v>5</v>
      </c>
      <c r="J161">
        <v>4</v>
      </c>
      <c r="K161">
        <v>1.59</v>
      </c>
      <c r="L161">
        <v>1</v>
      </c>
    </row>
    <row r="162" spans="1:12">
      <c r="A162" t="s">
        <v>501</v>
      </c>
      <c r="B162" t="s">
        <v>502</v>
      </c>
      <c r="C162" t="s">
        <v>503</v>
      </c>
      <c r="D162" t="s">
        <v>35</v>
      </c>
      <c r="E162" t="s">
        <v>28</v>
      </c>
      <c r="F162" t="s">
        <v>17</v>
      </c>
      <c r="G162" t="s">
        <v>45</v>
      </c>
      <c r="H162" t="s">
        <v>19</v>
      </c>
      <c r="I162">
        <v>5</v>
      </c>
      <c r="J162">
        <v>48</v>
      </c>
      <c r="K162">
        <v>35.82</v>
      </c>
      <c r="L162">
        <v>1</v>
      </c>
    </row>
    <row r="163" spans="1:12">
      <c r="A163" t="s">
        <v>504</v>
      </c>
      <c r="B163" t="s">
        <v>505</v>
      </c>
      <c r="C163" t="s">
        <v>506</v>
      </c>
      <c r="D163" t="s">
        <v>35</v>
      </c>
      <c r="E163" t="s">
        <v>54</v>
      </c>
      <c r="F163" t="s">
        <v>41</v>
      </c>
      <c r="G163" t="s">
        <v>55</v>
      </c>
      <c r="H163" t="s">
        <v>31</v>
      </c>
      <c r="I163">
        <v>5</v>
      </c>
      <c r="J163">
        <v>48</v>
      </c>
      <c r="K163">
        <v>42.51</v>
      </c>
      <c r="L163">
        <v>1</v>
      </c>
    </row>
    <row r="164" spans="1:12">
      <c r="A164" t="s">
        <v>507</v>
      </c>
      <c r="B164" t="s">
        <v>508</v>
      </c>
      <c r="C164" t="s">
        <v>509</v>
      </c>
      <c r="D164" t="s">
        <v>35</v>
      </c>
      <c r="E164" t="s">
        <v>28</v>
      </c>
      <c r="F164" t="s">
        <v>29</v>
      </c>
      <c r="G164" t="s">
        <v>73</v>
      </c>
      <c r="H164" t="s">
        <v>19</v>
      </c>
      <c r="I164">
        <v>5</v>
      </c>
      <c r="J164">
        <v>48</v>
      </c>
      <c r="K164">
        <v>30.56</v>
      </c>
      <c r="L164">
        <v>1</v>
      </c>
    </row>
    <row r="165" spans="1:12">
      <c r="A165" t="s">
        <v>510</v>
      </c>
      <c r="B165" t="s">
        <v>511</v>
      </c>
      <c r="C165" t="s">
        <v>512</v>
      </c>
      <c r="D165" t="s">
        <v>158</v>
      </c>
      <c r="E165" t="s">
        <v>28</v>
      </c>
      <c r="F165" t="s">
        <v>29</v>
      </c>
      <c r="G165" t="s">
        <v>50</v>
      </c>
      <c r="H165" t="s">
        <v>19</v>
      </c>
      <c r="I165">
        <v>3</v>
      </c>
      <c r="J165">
        <v>4</v>
      </c>
      <c r="K165">
        <v>3.23</v>
      </c>
      <c r="L165">
        <v>1</v>
      </c>
    </row>
    <row r="166" spans="1:12">
      <c r="A166" t="s">
        <v>513</v>
      </c>
      <c r="B166" t="s">
        <v>514</v>
      </c>
      <c r="C166" t="s">
        <v>515</v>
      </c>
      <c r="D166" t="s">
        <v>35</v>
      </c>
      <c r="E166" t="s">
        <v>24</v>
      </c>
      <c r="F166" t="s">
        <v>60</v>
      </c>
      <c r="G166" t="s">
        <v>77</v>
      </c>
      <c r="H166" t="s">
        <v>19</v>
      </c>
      <c r="I166">
        <v>5</v>
      </c>
      <c r="J166">
        <v>48</v>
      </c>
      <c r="K166">
        <v>43.73</v>
      </c>
      <c r="L166">
        <v>1</v>
      </c>
    </row>
    <row r="167" spans="1:12">
      <c r="A167" t="s">
        <v>516</v>
      </c>
      <c r="B167" t="s">
        <v>517</v>
      </c>
      <c r="C167" t="s">
        <v>518</v>
      </c>
      <c r="D167" t="s">
        <v>23</v>
      </c>
      <c r="E167" t="s">
        <v>16</v>
      </c>
      <c r="F167" t="s">
        <v>17</v>
      </c>
      <c r="G167" t="s">
        <v>172</v>
      </c>
      <c r="H167" t="s">
        <v>31</v>
      </c>
      <c r="I167">
        <v>4</v>
      </c>
      <c r="J167">
        <v>24</v>
      </c>
      <c r="K167">
        <v>21.94</v>
      </c>
      <c r="L167">
        <v>1</v>
      </c>
    </row>
    <row r="168" spans="1:12">
      <c r="A168" t="s">
        <v>519</v>
      </c>
      <c r="B168" t="s">
        <v>520</v>
      </c>
      <c r="C168" t="s">
        <v>521</v>
      </c>
      <c r="D168" t="s">
        <v>35</v>
      </c>
      <c r="E168" t="s">
        <v>28</v>
      </c>
      <c r="F168" t="s">
        <v>36</v>
      </c>
      <c r="G168" t="s">
        <v>77</v>
      </c>
      <c r="H168" t="s">
        <v>31</v>
      </c>
      <c r="I168">
        <v>5</v>
      </c>
      <c r="J168">
        <v>48</v>
      </c>
      <c r="K168">
        <v>33.67</v>
      </c>
      <c r="L168">
        <v>1</v>
      </c>
    </row>
    <row r="169" spans="1:12">
      <c r="A169" t="s">
        <v>522</v>
      </c>
      <c r="B169" t="s">
        <v>523</v>
      </c>
      <c r="C169" t="s">
        <v>524</v>
      </c>
      <c r="D169" t="s">
        <v>23</v>
      </c>
      <c r="E169" t="s">
        <v>24</v>
      </c>
      <c r="F169" t="s">
        <v>29</v>
      </c>
      <c r="G169" t="s">
        <v>45</v>
      </c>
      <c r="H169" t="s">
        <v>19</v>
      </c>
      <c r="I169">
        <v>3</v>
      </c>
      <c r="J169">
        <v>24</v>
      </c>
      <c r="K169">
        <v>16.25</v>
      </c>
      <c r="L169">
        <v>1</v>
      </c>
    </row>
    <row r="170" spans="1:12">
      <c r="A170" t="s">
        <v>525</v>
      </c>
      <c r="B170" t="s">
        <v>526</v>
      </c>
      <c r="C170" t="s">
        <v>527</v>
      </c>
      <c r="D170" t="s">
        <v>23</v>
      </c>
      <c r="E170" t="s">
        <v>59</v>
      </c>
      <c r="F170" t="s">
        <v>36</v>
      </c>
      <c r="G170" t="s">
        <v>77</v>
      </c>
      <c r="H170" t="s">
        <v>31</v>
      </c>
      <c r="I170">
        <v>5</v>
      </c>
      <c r="J170">
        <v>24</v>
      </c>
      <c r="K170">
        <v>17.16</v>
      </c>
      <c r="L170">
        <v>1</v>
      </c>
    </row>
    <row r="171" spans="1:12">
      <c r="A171" t="s">
        <v>528</v>
      </c>
      <c r="B171" t="s">
        <v>529</v>
      </c>
      <c r="C171" t="s">
        <v>530</v>
      </c>
      <c r="D171" t="s">
        <v>23</v>
      </c>
      <c r="E171" t="s">
        <v>24</v>
      </c>
      <c r="F171" t="s">
        <v>36</v>
      </c>
      <c r="G171" t="s">
        <v>55</v>
      </c>
      <c r="H171" t="s">
        <v>31</v>
      </c>
      <c r="I171">
        <v>2</v>
      </c>
      <c r="J171">
        <v>24</v>
      </c>
      <c r="K171">
        <v>39.72</v>
      </c>
      <c r="L171">
        <v>0</v>
      </c>
    </row>
    <row r="172" spans="1:12">
      <c r="A172" t="s">
        <v>531</v>
      </c>
      <c r="B172" t="s">
        <v>532</v>
      </c>
      <c r="C172" t="s">
        <v>533</v>
      </c>
      <c r="D172" t="s">
        <v>23</v>
      </c>
      <c r="E172" t="s">
        <v>54</v>
      </c>
      <c r="F172" t="s">
        <v>36</v>
      </c>
      <c r="G172" t="s">
        <v>45</v>
      </c>
      <c r="H172" t="s">
        <v>31</v>
      </c>
      <c r="I172">
        <v>4</v>
      </c>
      <c r="J172">
        <v>24</v>
      </c>
      <c r="K172">
        <v>9.1</v>
      </c>
      <c r="L172">
        <v>1</v>
      </c>
    </row>
    <row r="173" spans="1:12">
      <c r="A173" t="s">
        <v>534</v>
      </c>
      <c r="B173" t="s">
        <v>535</v>
      </c>
      <c r="D173" t="s">
        <v>35</v>
      </c>
      <c r="E173" t="s">
        <v>16</v>
      </c>
      <c r="F173" t="s">
        <v>60</v>
      </c>
      <c r="G173" t="s">
        <v>42</v>
      </c>
      <c r="H173" t="s">
        <v>63</v>
      </c>
      <c r="J173">
        <v>48</v>
      </c>
    </row>
    <row r="174" spans="1:12">
      <c r="A174" t="s">
        <v>536</v>
      </c>
      <c r="B174" t="s">
        <v>537</v>
      </c>
      <c r="C174" t="s">
        <v>538</v>
      </c>
      <c r="D174" t="s">
        <v>35</v>
      </c>
      <c r="E174" t="s">
        <v>28</v>
      </c>
      <c r="F174" t="s">
        <v>41</v>
      </c>
      <c r="G174" t="s">
        <v>18</v>
      </c>
      <c r="H174" t="s">
        <v>19</v>
      </c>
      <c r="I174">
        <v>5</v>
      </c>
      <c r="J174">
        <v>48</v>
      </c>
      <c r="K174">
        <v>7.95</v>
      </c>
      <c r="L174">
        <v>1</v>
      </c>
    </row>
    <row r="175" spans="1:12">
      <c r="A175" t="s">
        <v>539</v>
      </c>
      <c r="B175" t="s">
        <v>540</v>
      </c>
      <c r="C175" t="s">
        <v>541</v>
      </c>
      <c r="D175" t="s">
        <v>23</v>
      </c>
      <c r="E175" t="s">
        <v>28</v>
      </c>
      <c r="F175" t="s">
        <v>60</v>
      </c>
      <c r="G175" t="s">
        <v>30</v>
      </c>
      <c r="H175" t="s">
        <v>31</v>
      </c>
      <c r="I175">
        <v>2</v>
      </c>
      <c r="J175">
        <v>24</v>
      </c>
      <c r="K175">
        <v>54.12</v>
      </c>
      <c r="L175">
        <v>0</v>
      </c>
    </row>
    <row r="176" spans="1:12">
      <c r="A176" t="s">
        <v>542</v>
      </c>
      <c r="B176" t="s">
        <v>543</v>
      </c>
      <c r="C176" t="s">
        <v>544</v>
      </c>
      <c r="D176" t="s">
        <v>15</v>
      </c>
      <c r="E176" t="s">
        <v>16</v>
      </c>
      <c r="F176" t="s">
        <v>60</v>
      </c>
      <c r="G176" t="s">
        <v>73</v>
      </c>
      <c r="H176" t="s">
        <v>31</v>
      </c>
      <c r="I176">
        <v>5</v>
      </c>
      <c r="J176">
        <v>8</v>
      </c>
      <c r="K176">
        <v>3.28</v>
      </c>
      <c r="L176">
        <v>1</v>
      </c>
    </row>
    <row r="177" spans="1:12">
      <c r="A177" t="s">
        <v>545</v>
      </c>
      <c r="B177" t="s">
        <v>546</v>
      </c>
      <c r="C177" t="s">
        <v>547</v>
      </c>
      <c r="D177" t="s">
        <v>23</v>
      </c>
      <c r="E177" t="s">
        <v>16</v>
      </c>
      <c r="F177" t="s">
        <v>41</v>
      </c>
      <c r="G177" t="s">
        <v>18</v>
      </c>
      <c r="H177" t="s">
        <v>19</v>
      </c>
      <c r="I177">
        <v>4</v>
      </c>
      <c r="J177">
        <v>24</v>
      </c>
      <c r="K177">
        <v>18.899999999999999</v>
      </c>
      <c r="L177">
        <v>1</v>
      </c>
    </row>
    <row r="178" spans="1:12">
      <c r="A178" t="s">
        <v>548</v>
      </c>
      <c r="B178" t="s">
        <v>549</v>
      </c>
      <c r="C178" t="s">
        <v>550</v>
      </c>
      <c r="D178" t="s">
        <v>15</v>
      </c>
      <c r="E178" t="s">
        <v>54</v>
      </c>
      <c r="F178" t="s">
        <v>60</v>
      </c>
      <c r="G178" t="s">
        <v>50</v>
      </c>
      <c r="H178" t="s">
        <v>19</v>
      </c>
      <c r="I178">
        <v>5</v>
      </c>
      <c r="J178">
        <v>8</v>
      </c>
      <c r="K178">
        <v>3.4</v>
      </c>
      <c r="L178">
        <v>1</v>
      </c>
    </row>
    <row r="179" spans="1:12">
      <c r="A179" t="s">
        <v>551</v>
      </c>
      <c r="B179" t="s">
        <v>552</v>
      </c>
      <c r="C179" t="s">
        <v>553</v>
      </c>
      <c r="D179" t="s">
        <v>35</v>
      </c>
      <c r="E179" t="s">
        <v>16</v>
      </c>
      <c r="F179" t="s">
        <v>17</v>
      </c>
      <c r="G179" t="s">
        <v>45</v>
      </c>
      <c r="H179" t="s">
        <v>19</v>
      </c>
      <c r="I179">
        <v>5</v>
      </c>
      <c r="J179">
        <v>48</v>
      </c>
      <c r="K179">
        <v>717</v>
      </c>
      <c r="L179">
        <v>0</v>
      </c>
    </row>
    <row r="180" spans="1:12">
      <c r="A180" t="s">
        <v>554</v>
      </c>
      <c r="B180" t="s">
        <v>555</v>
      </c>
      <c r="C180" t="s">
        <v>556</v>
      </c>
      <c r="D180" t="s">
        <v>35</v>
      </c>
      <c r="E180" t="s">
        <v>16</v>
      </c>
      <c r="F180" t="s">
        <v>29</v>
      </c>
      <c r="G180" t="s">
        <v>42</v>
      </c>
      <c r="H180" t="s">
        <v>31</v>
      </c>
      <c r="I180">
        <v>4</v>
      </c>
      <c r="J180">
        <v>48</v>
      </c>
      <c r="K180">
        <v>41.74</v>
      </c>
      <c r="L180">
        <v>1</v>
      </c>
    </row>
    <row r="181" spans="1:12">
      <c r="A181" t="s">
        <v>557</v>
      </c>
      <c r="B181" t="s">
        <v>558</v>
      </c>
      <c r="D181" t="s">
        <v>158</v>
      </c>
      <c r="E181" t="s">
        <v>28</v>
      </c>
      <c r="F181" t="s">
        <v>41</v>
      </c>
      <c r="G181" t="s">
        <v>172</v>
      </c>
      <c r="H181" t="s">
        <v>63</v>
      </c>
      <c r="J181">
        <v>4</v>
      </c>
    </row>
    <row r="182" spans="1:12">
      <c r="A182" t="s">
        <v>559</v>
      </c>
      <c r="B182" t="s">
        <v>560</v>
      </c>
      <c r="D182" t="s">
        <v>158</v>
      </c>
      <c r="E182" t="s">
        <v>28</v>
      </c>
      <c r="F182" t="s">
        <v>17</v>
      </c>
      <c r="G182" t="s">
        <v>37</v>
      </c>
      <c r="H182" t="s">
        <v>46</v>
      </c>
      <c r="J182">
        <v>4</v>
      </c>
    </row>
    <row r="183" spans="1:12">
      <c r="A183" t="s">
        <v>561</v>
      </c>
      <c r="B183" t="s">
        <v>562</v>
      </c>
      <c r="C183" t="s">
        <v>563</v>
      </c>
      <c r="D183" t="s">
        <v>15</v>
      </c>
      <c r="E183" t="s">
        <v>28</v>
      </c>
      <c r="F183" t="s">
        <v>36</v>
      </c>
      <c r="G183" t="s">
        <v>105</v>
      </c>
      <c r="H183" t="s">
        <v>31</v>
      </c>
      <c r="I183">
        <v>4</v>
      </c>
      <c r="J183">
        <v>8</v>
      </c>
      <c r="K183">
        <v>1.74</v>
      </c>
      <c r="L183">
        <v>1</v>
      </c>
    </row>
    <row r="184" spans="1:12">
      <c r="A184" t="s">
        <v>564</v>
      </c>
      <c r="B184" t="s">
        <v>565</v>
      </c>
      <c r="C184" t="s">
        <v>566</v>
      </c>
      <c r="D184" t="s">
        <v>23</v>
      </c>
      <c r="E184" t="s">
        <v>16</v>
      </c>
      <c r="F184" t="s">
        <v>41</v>
      </c>
      <c r="G184" t="s">
        <v>50</v>
      </c>
      <c r="H184" t="s">
        <v>31</v>
      </c>
      <c r="I184">
        <v>1</v>
      </c>
      <c r="J184">
        <v>24</v>
      </c>
      <c r="K184">
        <v>26.09</v>
      </c>
      <c r="L184">
        <v>0</v>
      </c>
    </row>
    <row r="185" spans="1:12">
      <c r="A185" t="s">
        <v>567</v>
      </c>
      <c r="B185" t="s">
        <v>568</v>
      </c>
      <c r="C185" t="s">
        <v>569</v>
      </c>
      <c r="D185" t="s">
        <v>23</v>
      </c>
      <c r="E185" t="s">
        <v>16</v>
      </c>
      <c r="F185" t="s">
        <v>60</v>
      </c>
      <c r="G185" t="s">
        <v>37</v>
      </c>
      <c r="H185" t="s">
        <v>19</v>
      </c>
      <c r="I185">
        <v>3</v>
      </c>
      <c r="J185">
        <v>24</v>
      </c>
      <c r="K185">
        <v>8.5399999999999991</v>
      </c>
      <c r="L185">
        <v>1</v>
      </c>
    </row>
    <row r="186" spans="1:12">
      <c r="A186" t="s">
        <v>570</v>
      </c>
      <c r="B186" t="s">
        <v>571</v>
      </c>
      <c r="C186" t="s">
        <v>572</v>
      </c>
      <c r="D186" t="s">
        <v>23</v>
      </c>
      <c r="E186" t="s">
        <v>54</v>
      </c>
      <c r="F186" t="s">
        <v>36</v>
      </c>
      <c r="G186" t="s">
        <v>42</v>
      </c>
      <c r="H186" t="s">
        <v>31</v>
      </c>
      <c r="I186">
        <v>5</v>
      </c>
      <c r="J186">
        <v>24</v>
      </c>
      <c r="K186">
        <v>13.34</v>
      </c>
      <c r="L186">
        <v>1</v>
      </c>
    </row>
    <row r="187" spans="1:12">
      <c r="A187" t="s">
        <v>573</v>
      </c>
      <c r="B187" t="s">
        <v>574</v>
      </c>
      <c r="C187" t="s">
        <v>575</v>
      </c>
      <c r="D187" t="s">
        <v>15</v>
      </c>
      <c r="E187" t="s">
        <v>24</v>
      </c>
      <c r="F187" t="s">
        <v>41</v>
      </c>
      <c r="G187" t="s">
        <v>30</v>
      </c>
      <c r="H187" t="s">
        <v>31</v>
      </c>
      <c r="I187">
        <v>5</v>
      </c>
      <c r="J187">
        <v>8</v>
      </c>
      <c r="K187">
        <v>3.63</v>
      </c>
      <c r="L187">
        <v>1</v>
      </c>
    </row>
    <row r="188" spans="1:12">
      <c r="A188" t="s">
        <v>576</v>
      </c>
      <c r="B188" t="s">
        <v>577</v>
      </c>
      <c r="C188" t="s">
        <v>578</v>
      </c>
      <c r="D188" t="s">
        <v>23</v>
      </c>
      <c r="E188" t="s">
        <v>28</v>
      </c>
      <c r="F188" t="s">
        <v>60</v>
      </c>
      <c r="G188" t="s">
        <v>77</v>
      </c>
      <c r="H188" t="s">
        <v>19</v>
      </c>
      <c r="I188">
        <v>2</v>
      </c>
      <c r="J188">
        <v>24</v>
      </c>
      <c r="K188">
        <v>51.13</v>
      </c>
      <c r="L188">
        <v>0</v>
      </c>
    </row>
    <row r="189" spans="1:12">
      <c r="A189" t="s">
        <v>579</v>
      </c>
      <c r="B189" t="s">
        <v>580</v>
      </c>
      <c r="C189" t="s">
        <v>581</v>
      </c>
      <c r="D189" t="s">
        <v>158</v>
      </c>
      <c r="E189" t="s">
        <v>28</v>
      </c>
      <c r="F189" t="s">
        <v>29</v>
      </c>
      <c r="G189" t="s">
        <v>45</v>
      </c>
      <c r="H189" t="s">
        <v>31</v>
      </c>
      <c r="I189">
        <v>4</v>
      </c>
      <c r="J189">
        <v>4</v>
      </c>
      <c r="K189">
        <v>0.63</v>
      </c>
      <c r="L189">
        <v>1</v>
      </c>
    </row>
    <row r="190" spans="1:12">
      <c r="A190" t="s">
        <v>582</v>
      </c>
      <c r="B190" t="s">
        <v>583</v>
      </c>
      <c r="C190" t="s">
        <v>584</v>
      </c>
      <c r="D190" t="s">
        <v>23</v>
      </c>
      <c r="E190" t="s">
        <v>16</v>
      </c>
      <c r="F190" t="s">
        <v>29</v>
      </c>
      <c r="G190" t="s">
        <v>73</v>
      </c>
      <c r="H190" t="s">
        <v>19</v>
      </c>
      <c r="I190">
        <v>4</v>
      </c>
      <c r="J190">
        <v>24</v>
      </c>
      <c r="K190">
        <v>19</v>
      </c>
      <c r="L190">
        <v>1</v>
      </c>
    </row>
    <row r="191" spans="1:12">
      <c r="A191" t="s">
        <v>585</v>
      </c>
      <c r="B191" t="s">
        <v>586</v>
      </c>
      <c r="C191" t="s">
        <v>587</v>
      </c>
      <c r="D191" t="s">
        <v>23</v>
      </c>
      <c r="E191" t="s">
        <v>59</v>
      </c>
      <c r="F191" t="s">
        <v>41</v>
      </c>
      <c r="G191" t="s">
        <v>151</v>
      </c>
      <c r="H191" t="s">
        <v>19</v>
      </c>
      <c r="I191">
        <v>5</v>
      </c>
      <c r="J191">
        <v>24</v>
      </c>
      <c r="K191">
        <v>17.010000000000002</v>
      </c>
      <c r="L191">
        <v>1</v>
      </c>
    </row>
    <row r="192" spans="1:12">
      <c r="A192" t="s">
        <v>588</v>
      </c>
      <c r="B192" t="s">
        <v>589</v>
      </c>
      <c r="C192" t="s">
        <v>590</v>
      </c>
      <c r="D192" t="s">
        <v>15</v>
      </c>
      <c r="E192" t="s">
        <v>24</v>
      </c>
      <c r="F192" t="s">
        <v>17</v>
      </c>
      <c r="G192" t="s">
        <v>30</v>
      </c>
      <c r="H192" t="s">
        <v>19</v>
      </c>
      <c r="I192">
        <v>5</v>
      </c>
      <c r="J192">
        <v>8</v>
      </c>
      <c r="K192">
        <v>3.51</v>
      </c>
      <c r="L192">
        <v>1</v>
      </c>
    </row>
    <row r="193" spans="1:12">
      <c r="A193" t="s">
        <v>591</v>
      </c>
      <c r="B193" t="s">
        <v>592</v>
      </c>
      <c r="C193" t="s">
        <v>593</v>
      </c>
      <c r="D193" t="s">
        <v>15</v>
      </c>
      <c r="E193" t="s">
        <v>16</v>
      </c>
      <c r="F193" t="s">
        <v>17</v>
      </c>
      <c r="G193" t="s">
        <v>45</v>
      </c>
      <c r="H193" t="s">
        <v>19</v>
      </c>
      <c r="I193">
        <v>4</v>
      </c>
      <c r="J193">
        <v>8</v>
      </c>
      <c r="K193">
        <v>6.69</v>
      </c>
      <c r="L193">
        <v>1</v>
      </c>
    </row>
    <row r="194" spans="1:12">
      <c r="A194" t="s">
        <v>594</v>
      </c>
      <c r="B194" t="s">
        <v>595</v>
      </c>
      <c r="C194" t="s">
        <v>596</v>
      </c>
      <c r="D194" t="s">
        <v>23</v>
      </c>
      <c r="E194" t="s">
        <v>28</v>
      </c>
      <c r="F194" t="s">
        <v>41</v>
      </c>
      <c r="G194" t="s">
        <v>105</v>
      </c>
      <c r="H194" t="s">
        <v>19</v>
      </c>
      <c r="I194">
        <v>1</v>
      </c>
      <c r="J194">
        <v>24</v>
      </c>
      <c r="K194">
        <v>41.07</v>
      </c>
      <c r="L194">
        <v>0</v>
      </c>
    </row>
    <row r="195" spans="1:12">
      <c r="A195" t="s">
        <v>597</v>
      </c>
      <c r="B195" t="s">
        <v>598</v>
      </c>
      <c r="C195" t="s">
        <v>599</v>
      </c>
      <c r="D195" t="s">
        <v>23</v>
      </c>
      <c r="E195" t="s">
        <v>59</v>
      </c>
      <c r="F195" t="s">
        <v>60</v>
      </c>
      <c r="G195" t="s">
        <v>45</v>
      </c>
      <c r="H195" t="s">
        <v>31</v>
      </c>
      <c r="I195">
        <v>5</v>
      </c>
      <c r="J195">
        <v>24</v>
      </c>
      <c r="K195">
        <v>4.01</v>
      </c>
      <c r="L195">
        <v>1</v>
      </c>
    </row>
    <row r="196" spans="1:12">
      <c r="A196" t="s">
        <v>600</v>
      </c>
      <c r="B196" t="s">
        <v>601</v>
      </c>
      <c r="C196" t="s">
        <v>602</v>
      </c>
      <c r="D196" t="s">
        <v>15</v>
      </c>
      <c r="E196" t="s">
        <v>28</v>
      </c>
      <c r="F196" t="s">
        <v>36</v>
      </c>
      <c r="G196" t="s">
        <v>42</v>
      </c>
      <c r="H196" t="s">
        <v>19</v>
      </c>
      <c r="I196">
        <v>5</v>
      </c>
      <c r="J196">
        <v>8</v>
      </c>
      <c r="K196">
        <v>3.83</v>
      </c>
      <c r="L196">
        <v>1</v>
      </c>
    </row>
    <row r="197" spans="1:12">
      <c r="A197" t="s">
        <v>603</v>
      </c>
      <c r="B197" t="s">
        <v>604</v>
      </c>
      <c r="C197" t="s">
        <v>605</v>
      </c>
      <c r="D197" t="s">
        <v>23</v>
      </c>
      <c r="E197" t="s">
        <v>28</v>
      </c>
      <c r="F197" t="s">
        <v>36</v>
      </c>
      <c r="G197" t="s">
        <v>105</v>
      </c>
      <c r="H197" t="s">
        <v>31</v>
      </c>
      <c r="I197">
        <v>4</v>
      </c>
      <c r="J197">
        <v>24</v>
      </c>
      <c r="K197">
        <v>22.76</v>
      </c>
      <c r="L197">
        <v>1</v>
      </c>
    </row>
    <row r="198" spans="1:12">
      <c r="A198" t="s">
        <v>606</v>
      </c>
      <c r="B198" t="s">
        <v>607</v>
      </c>
      <c r="C198" t="s">
        <v>608</v>
      </c>
      <c r="D198" t="s">
        <v>35</v>
      </c>
      <c r="E198" t="s">
        <v>24</v>
      </c>
      <c r="F198" t="s">
        <v>41</v>
      </c>
      <c r="G198" t="s">
        <v>172</v>
      </c>
      <c r="H198" t="s">
        <v>19</v>
      </c>
      <c r="I198">
        <v>3</v>
      </c>
      <c r="J198">
        <v>48</v>
      </c>
      <c r="K198">
        <v>11.33</v>
      </c>
      <c r="L198">
        <v>1</v>
      </c>
    </row>
    <row r="199" spans="1:12">
      <c r="A199" t="s">
        <v>609</v>
      </c>
      <c r="B199" t="s">
        <v>610</v>
      </c>
      <c r="C199" t="s">
        <v>611</v>
      </c>
      <c r="D199" t="s">
        <v>23</v>
      </c>
      <c r="E199" t="s">
        <v>16</v>
      </c>
      <c r="F199" t="s">
        <v>36</v>
      </c>
      <c r="G199" t="s">
        <v>73</v>
      </c>
      <c r="H199" t="s">
        <v>19</v>
      </c>
      <c r="I199">
        <v>4</v>
      </c>
      <c r="J199">
        <v>24</v>
      </c>
      <c r="K199">
        <v>9.8699999999999992</v>
      </c>
      <c r="L199">
        <v>1</v>
      </c>
    </row>
    <row r="200" spans="1:12">
      <c r="A200" t="s">
        <v>612</v>
      </c>
      <c r="B200" t="s">
        <v>613</v>
      </c>
      <c r="C200" t="s">
        <v>614</v>
      </c>
      <c r="D200" t="s">
        <v>158</v>
      </c>
      <c r="E200" t="s">
        <v>24</v>
      </c>
      <c r="F200" t="s">
        <v>41</v>
      </c>
      <c r="G200" t="s">
        <v>172</v>
      </c>
      <c r="H200" t="s">
        <v>19</v>
      </c>
      <c r="I200">
        <v>5</v>
      </c>
      <c r="J200">
        <v>4</v>
      </c>
      <c r="K200">
        <v>2.35</v>
      </c>
      <c r="L200">
        <v>1</v>
      </c>
    </row>
    <row r="201" spans="1:12">
      <c r="A201" t="s">
        <v>615</v>
      </c>
      <c r="B201" t="s">
        <v>616</v>
      </c>
      <c r="C201" t="s">
        <v>617</v>
      </c>
      <c r="D201" t="s">
        <v>15</v>
      </c>
      <c r="E201" t="s">
        <v>28</v>
      </c>
      <c r="F201" t="s">
        <v>36</v>
      </c>
      <c r="G201" t="s">
        <v>30</v>
      </c>
      <c r="H201" t="s">
        <v>31</v>
      </c>
      <c r="I201">
        <v>5</v>
      </c>
      <c r="J201">
        <v>8</v>
      </c>
      <c r="K201">
        <v>3.43</v>
      </c>
      <c r="L201">
        <v>1</v>
      </c>
    </row>
    <row r="202" spans="1:12">
      <c r="A202" t="s">
        <v>618</v>
      </c>
      <c r="B202" t="s">
        <v>619</v>
      </c>
      <c r="C202" t="s">
        <v>620</v>
      </c>
      <c r="D202" t="s">
        <v>23</v>
      </c>
      <c r="E202" t="s">
        <v>16</v>
      </c>
      <c r="F202" t="s">
        <v>17</v>
      </c>
      <c r="G202" t="s">
        <v>55</v>
      </c>
      <c r="H202" t="s">
        <v>19</v>
      </c>
      <c r="I202">
        <v>1</v>
      </c>
      <c r="J202">
        <v>24</v>
      </c>
      <c r="K202">
        <v>48.19</v>
      </c>
      <c r="L202">
        <v>0</v>
      </c>
    </row>
    <row r="203" spans="1:12">
      <c r="A203" t="s">
        <v>621</v>
      </c>
      <c r="B203" t="s">
        <v>622</v>
      </c>
      <c r="C203" t="s">
        <v>623</v>
      </c>
      <c r="D203" t="s">
        <v>158</v>
      </c>
      <c r="E203" t="s">
        <v>24</v>
      </c>
      <c r="F203" t="s">
        <v>41</v>
      </c>
      <c r="G203" t="s">
        <v>42</v>
      </c>
      <c r="H203" t="s">
        <v>31</v>
      </c>
      <c r="I203">
        <v>2</v>
      </c>
      <c r="J203">
        <v>4</v>
      </c>
      <c r="K203">
        <v>11.9</v>
      </c>
      <c r="L203">
        <v>0</v>
      </c>
    </row>
    <row r="204" spans="1:12">
      <c r="A204" t="s">
        <v>624</v>
      </c>
      <c r="B204" t="s">
        <v>625</v>
      </c>
      <c r="C204" t="s">
        <v>626</v>
      </c>
      <c r="D204" t="s">
        <v>158</v>
      </c>
      <c r="E204" t="s">
        <v>28</v>
      </c>
      <c r="F204" t="s">
        <v>29</v>
      </c>
      <c r="G204" t="s">
        <v>73</v>
      </c>
      <c r="H204" t="s">
        <v>31</v>
      </c>
      <c r="I204">
        <v>3</v>
      </c>
      <c r="J204">
        <v>4</v>
      </c>
      <c r="K204">
        <v>9.17</v>
      </c>
      <c r="L204">
        <v>0</v>
      </c>
    </row>
    <row r="205" spans="1:12">
      <c r="A205" t="s">
        <v>627</v>
      </c>
      <c r="B205" t="s">
        <v>628</v>
      </c>
      <c r="C205" t="s">
        <v>629</v>
      </c>
      <c r="D205" t="s">
        <v>15</v>
      </c>
      <c r="E205" t="s">
        <v>59</v>
      </c>
      <c r="F205" t="s">
        <v>17</v>
      </c>
      <c r="G205" t="s">
        <v>18</v>
      </c>
      <c r="H205" t="s">
        <v>31</v>
      </c>
      <c r="I205">
        <v>4</v>
      </c>
      <c r="J205">
        <v>8</v>
      </c>
      <c r="K205">
        <v>4.57</v>
      </c>
      <c r="L205">
        <v>1</v>
      </c>
    </row>
    <row r="206" spans="1:12">
      <c r="A206" t="s">
        <v>630</v>
      </c>
      <c r="B206" t="s">
        <v>631</v>
      </c>
      <c r="C206" t="s">
        <v>632</v>
      </c>
      <c r="D206" t="s">
        <v>35</v>
      </c>
      <c r="E206" t="s">
        <v>24</v>
      </c>
      <c r="F206" t="s">
        <v>36</v>
      </c>
      <c r="G206" t="s">
        <v>42</v>
      </c>
      <c r="H206" t="s">
        <v>19</v>
      </c>
      <c r="I206">
        <v>2</v>
      </c>
      <c r="J206">
        <v>48</v>
      </c>
      <c r="K206">
        <v>117.69</v>
      </c>
      <c r="L206">
        <v>0</v>
      </c>
    </row>
    <row r="207" spans="1:12">
      <c r="A207" t="s">
        <v>633</v>
      </c>
      <c r="B207" t="s">
        <v>634</v>
      </c>
      <c r="C207" t="s">
        <v>635</v>
      </c>
      <c r="D207" t="s">
        <v>23</v>
      </c>
      <c r="E207" t="s">
        <v>54</v>
      </c>
      <c r="F207" t="s">
        <v>17</v>
      </c>
      <c r="G207" t="s">
        <v>172</v>
      </c>
      <c r="H207" t="s">
        <v>31</v>
      </c>
      <c r="I207">
        <v>4</v>
      </c>
      <c r="J207">
        <v>24</v>
      </c>
      <c r="K207">
        <v>16.27</v>
      </c>
      <c r="L207">
        <v>1</v>
      </c>
    </row>
    <row r="208" spans="1:12">
      <c r="A208" t="s">
        <v>636</v>
      </c>
      <c r="B208" t="s">
        <v>637</v>
      </c>
      <c r="C208" t="s">
        <v>638</v>
      </c>
      <c r="D208" t="s">
        <v>35</v>
      </c>
      <c r="E208" t="s">
        <v>54</v>
      </c>
      <c r="F208" t="s">
        <v>60</v>
      </c>
      <c r="G208" t="s">
        <v>73</v>
      </c>
      <c r="H208" t="s">
        <v>31</v>
      </c>
      <c r="I208">
        <v>5</v>
      </c>
      <c r="J208">
        <v>48</v>
      </c>
      <c r="K208">
        <v>25.32</v>
      </c>
      <c r="L208">
        <v>1</v>
      </c>
    </row>
    <row r="209" spans="1:12">
      <c r="A209" t="s">
        <v>639</v>
      </c>
      <c r="B209" t="s">
        <v>640</v>
      </c>
      <c r="C209" t="s">
        <v>641</v>
      </c>
      <c r="D209" t="s">
        <v>15</v>
      </c>
      <c r="E209" t="s">
        <v>24</v>
      </c>
      <c r="F209" t="s">
        <v>17</v>
      </c>
      <c r="G209" t="s">
        <v>73</v>
      </c>
      <c r="H209" t="s">
        <v>19</v>
      </c>
      <c r="I209">
        <v>5</v>
      </c>
      <c r="J209">
        <v>8</v>
      </c>
      <c r="K209">
        <v>3.15</v>
      </c>
      <c r="L209">
        <v>1</v>
      </c>
    </row>
    <row r="210" spans="1:12">
      <c r="A210" t="s">
        <v>642</v>
      </c>
      <c r="B210" t="s">
        <v>643</v>
      </c>
      <c r="D210" t="s">
        <v>15</v>
      </c>
      <c r="E210" t="s">
        <v>24</v>
      </c>
      <c r="F210" t="s">
        <v>17</v>
      </c>
      <c r="G210" t="s">
        <v>151</v>
      </c>
      <c r="H210" t="s">
        <v>63</v>
      </c>
      <c r="J210">
        <v>8</v>
      </c>
    </row>
    <row r="211" spans="1:12">
      <c r="A211" t="s">
        <v>644</v>
      </c>
      <c r="B211" t="s">
        <v>645</v>
      </c>
      <c r="C211" t="s">
        <v>646</v>
      </c>
      <c r="D211" t="s">
        <v>15</v>
      </c>
      <c r="E211" t="s">
        <v>28</v>
      </c>
      <c r="F211" t="s">
        <v>60</v>
      </c>
      <c r="G211" t="s">
        <v>42</v>
      </c>
      <c r="H211" t="s">
        <v>19</v>
      </c>
      <c r="I211">
        <v>4</v>
      </c>
      <c r="J211">
        <v>8</v>
      </c>
      <c r="K211">
        <v>7.2</v>
      </c>
      <c r="L211">
        <v>1</v>
      </c>
    </row>
    <row r="212" spans="1:12">
      <c r="A212" t="s">
        <v>647</v>
      </c>
      <c r="B212" t="s">
        <v>648</v>
      </c>
      <c r="C212" t="s">
        <v>649</v>
      </c>
      <c r="D212" t="s">
        <v>23</v>
      </c>
      <c r="E212" t="s">
        <v>59</v>
      </c>
      <c r="F212" t="s">
        <v>29</v>
      </c>
      <c r="G212" t="s">
        <v>55</v>
      </c>
      <c r="H212" t="s">
        <v>19</v>
      </c>
      <c r="I212">
        <v>4</v>
      </c>
      <c r="J212">
        <v>24</v>
      </c>
      <c r="K212">
        <v>29</v>
      </c>
      <c r="L212">
        <v>0</v>
      </c>
    </row>
    <row r="213" spans="1:12">
      <c r="A213" t="s">
        <v>650</v>
      </c>
      <c r="B213" t="s">
        <v>651</v>
      </c>
      <c r="C213" t="s">
        <v>652</v>
      </c>
      <c r="D213" t="s">
        <v>23</v>
      </c>
      <c r="E213" t="s">
        <v>54</v>
      </c>
      <c r="F213" t="s">
        <v>60</v>
      </c>
      <c r="G213" t="s">
        <v>37</v>
      </c>
      <c r="H213" t="s">
        <v>31</v>
      </c>
      <c r="I213">
        <v>5</v>
      </c>
      <c r="J213">
        <v>24</v>
      </c>
      <c r="K213">
        <v>20.54</v>
      </c>
      <c r="L213">
        <v>1</v>
      </c>
    </row>
    <row r="214" spans="1:12">
      <c r="A214" t="s">
        <v>653</v>
      </c>
      <c r="B214" t="s">
        <v>654</v>
      </c>
      <c r="C214" t="s">
        <v>655</v>
      </c>
      <c r="D214" t="s">
        <v>35</v>
      </c>
      <c r="E214" t="s">
        <v>28</v>
      </c>
      <c r="F214" t="s">
        <v>41</v>
      </c>
      <c r="G214" t="s">
        <v>45</v>
      </c>
      <c r="H214" t="s">
        <v>19</v>
      </c>
      <c r="I214">
        <v>4</v>
      </c>
      <c r="J214">
        <v>48</v>
      </c>
      <c r="K214">
        <v>11.25</v>
      </c>
      <c r="L214">
        <v>1</v>
      </c>
    </row>
    <row r="215" spans="1:12">
      <c r="A215" t="s">
        <v>656</v>
      </c>
      <c r="B215" t="s">
        <v>657</v>
      </c>
      <c r="C215" t="s">
        <v>658</v>
      </c>
      <c r="D215" t="s">
        <v>15</v>
      </c>
      <c r="E215" t="s">
        <v>54</v>
      </c>
      <c r="F215" t="s">
        <v>29</v>
      </c>
      <c r="G215" t="s">
        <v>105</v>
      </c>
      <c r="H215" t="s">
        <v>19</v>
      </c>
      <c r="I215">
        <v>2</v>
      </c>
      <c r="J215">
        <v>8</v>
      </c>
      <c r="K215">
        <v>13.79</v>
      </c>
      <c r="L215">
        <v>0</v>
      </c>
    </row>
    <row r="216" spans="1:12">
      <c r="A216" t="s">
        <v>659</v>
      </c>
      <c r="B216" t="s">
        <v>660</v>
      </c>
      <c r="C216" t="s">
        <v>661</v>
      </c>
      <c r="D216" t="s">
        <v>23</v>
      </c>
      <c r="E216" t="s">
        <v>54</v>
      </c>
      <c r="F216" t="s">
        <v>29</v>
      </c>
      <c r="G216" t="s">
        <v>18</v>
      </c>
      <c r="H216" t="s">
        <v>19</v>
      </c>
      <c r="I216">
        <v>3</v>
      </c>
      <c r="J216">
        <v>24</v>
      </c>
      <c r="K216">
        <v>7.46</v>
      </c>
      <c r="L216">
        <v>1</v>
      </c>
    </row>
    <row r="217" spans="1:12">
      <c r="A217" t="s">
        <v>662</v>
      </c>
      <c r="B217" t="s">
        <v>663</v>
      </c>
      <c r="D217" t="s">
        <v>35</v>
      </c>
      <c r="E217" t="s">
        <v>16</v>
      </c>
      <c r="F217" t="s">
        <v>41</v>
      </c>
      <c r="G217" t="s">
        <v>18</v>
      </c>
      <c r="H217" t="s">
        <v>46</v>
      </c>
      <c r="J217">
        <v>48</v>
      </c>
    </row>
    <row r="218" spans="1:12">
      <c r="A218" t="s">
        <v>664</v>
      </c>
      <c r="B218" t="s">
        <v>665</v>
      </c>
      <c r="C218" t="s">
        <v>666</v>
      </c>
      <c r="D218" t="s">
        <v>15</v>
      </c>
      <c r="E218" t="s">
        <v>28</v>
      </c>
      <c r="F218" t="s">
        <v>60</v>
      </c>
      <c r="G218" t="s">
        <v>105</v>
      </c>
      <c r="H218" t="s">
        <v>19</v>
      </c>
      <c r="I218">
        <v>5</v>
      </c>
      <c r="J218">
        <v>8</v>
      </c>
      <c r="K218">
        <v>4.1900000000000004</v>
      </c>
      <c r="L218">
        <v>1</v>
      </c>
    </row>
    <row r="219" spans="1:12">
      <c r="A219" t="s">
        <v>667</v>
      </c>
      <c r="B219" t="s">
        <v>668</v>
      </c>
      <c r="C219" t="s">
        <v>669</v>
      </c>
      <c r="D219" t="s">
        <v>35</v>
      </c>
      <c r="E219" t="s">
        <v>28</v>
      </c>
      <c r="F219" t="s">
        <v>36</v>
      </c>
      <c r="G219" t="s">
        <v>37</v>
      </c>
      <c r="H219" t="s">
        <v>19</v>
      </c>
      <c r="I219">
        <v>2</v>
      </c>
      <c r="J219">
        <v>48</v>
      </c>
      <c r="K219">
        <v>70.540000000000006</v>
      </c>
      <c r="L219">
        <v>0</v>
      </c>
    </row>
    <row r="220" spans="1:12">
      <c r="A220" t="s">
        <v>670</v>
      </c>
      <c r="B220" t="s">
        <v>671</v>
      </c>
      <c r="C220" t="s">
        <v>672</v>
      </c>
      <c r="D220" t="s">
        <v>15</v>
      </c>
      <c r="E220" t="s">
        <v>54</v>
      </c>
      <c r="F220" t="s">
        <v>41</v>
      </c>
      <c r="G220" t="s">
        <v>45</v>
      </c>
      <c r="H220" t="s">
        <v>19</v>
      </c>
      <c r="I220">
        <v>3</v>
      </c>
      <c r="J220">
        <v>8</v>
      </c>
      <c r="K220">
        <v>15.12</v>
      </c>
      <c r="L220">
        <v>0</v>
      </c>
    </row>
    <row r="221" spans="1:12">
      <c r="A221" t="s">
        <v>673</v>
      </c>
      <c r="B221" t="s">
        <v>674</v>
      </c>
      <c r="C221" t="s">
        <v>675</v>
      </c>
      <c r="D221" t="s">
        <v>23</v>
      </c>
      <c r="E221" t="s">
        <v>28</v>
      </c>
      <c r="F221" t="s">
        <v>36</v>
      </c>
      <c r="G221" t="s">
        <v>37</v>
      </c>
      <c r="H221" t="s">
        <v>19</v>
      </c>
      <c r="I221">
        <v>4</v>
      </c>
      <c r="J221">
        <v>24</v>
      </c>
      <c r="K221">
        <v>9.8000000000000007</v>
      </c>
      <c r="L221">
        <v>1</v>
      </c>
    </row>
    <row r="222" spans="1:12">
      <c r="A222" t="s">
        <v>676</v>
      </c>
      <c r="B222" t="s">
        <v>677</v>
      </c>
      <c r="C222" t="s">
        <v>678</v>
      </c>
      <c r="D222" t="s">
        <v>23</v>
      </c>
      <c r="E222" t="s">
        <v>16</v>
      </c>
      <c r="F222" t="s">
        <v>29</v>
      </c>
      <c r="G222" t="s">
        <v>55</v>
      </c>
      <c r="H222" t="s">
        <v>31</v>
      </c>
      <c r="I222">
        <v>4</v>
      </c>
      <c r="J222">
        <v>24</v>
      </c>
      <c r="K222">
        <v>22.29</v>
      </c>
      <c r="L222">
        <v>1</v>
      </c>
    </row>
    <row r="223" spans="1:12">
      <c r="A223" t="s">
        <v>679</v>
      </c>
      <c r="B223" t="s">
        <v>680</v>
      </c>
      <c r="C223" t="s">
        <v>681</v>
      </c>
      <c r="D223" t="s">
        <v>35</v>
      </c>
      <c r="E223" t="s">
        <v>54</v>
      </c>
      <c r="F223" t="s">
        <v>29</v>
      </c>
      <c r="G223" t="s">
        <v>73</v>
      </c>
      <c r="H223" t="s">
        <v>19</v>
      </c>
      <c r="I223">
        <v>3</v>
      </c>
      <c r="J223">
        <v>48</v>
      </c>
      <c r="K223">
        <v>25.2</v>
      </c>
      <c r="L223">
        <v>1</v>
      </c>
    </row>
    <row r="224" spans="1:12">
      <c r="A224" t="s">
        <v>682</v>
      </c>
      <c r="B224" t="s">
        <v>683</v>
      </c>
      <c r="C224" t="s">
        <v>684</v>
      </c>
      <c r="D224" t="s">
        <v>23</v>
      </c>
      <c r="E224" t="s">
        <v>16</v>
      </c>
      <c r="F224" t="s">
        <v>60</v>
      </c>
      <c r="G224" t="s">
        <v>50</v>
      </c>
      <c r="H224" t="s">
        <v>19</v>
      </c>
      <c r="I224">
        <v>4</v>
      </c>
      <c r="J224">
        <v>24</v>
      </c>
      <c r="K224">
        <v>31.74</v>
      </c>
      <c r="L224">
        <v>0</v>
      </c>
    </row>
    <row r="225" spans="1:12">
      <c r="A225" t="s">
        <v>685</v>
      </c>
      <c r="B225" t="s">
        <v>686</v>
      </c>
      <c r="D225" t="s">
        <v>15</v>
      </c>
      <c r="E225" t="s">
        <v>59</v>
      </c>
      <c r="F225" t="s">
        <v>29</v>
      </c>
      <c r="G225" t="s">
        <v>55</v>
      </c>
      <c r="H225" t="s">
        <v>63</v>
      </c>
      <c r="J225">
        <v>8</v>
      </c>
    </row>
    <row r="226" spans="1:12">
      <c r="A226" t="s">
        <v>687</v>
      </c>
      <c r="B226" t="s">
        <v>688</v>
      </c>
      <c r="C226" t="s">
        <v>689</v>
      </c>
      <c r="D226" t="s">
        <v>23</v>
      </c>
      <c r="E226" t="s">
        <v>24</v>
      </c>
      <c r="F226" t="s">
        <v>29</v>
      </c>
      <c r="G226" t="s">
        <v>151</v>
      </c>
      <c r="H226" t="s">
        <v>19</v>
      </c>
      <c r="I226">
        <v>5</v>
      </c>
      <c r="J226">
        <v>24</v>
      </c>
      <c r="K226">
        <v>8.68</v>
      </c>
      <c r="L226">
        <v>1</v>
      </c>
    </row>
    <row r="227" spans="1:12">
      <c r="A227" t="s">
        <v>690</v>
      </c>
      <c r="B227" t="s">
        <v>691</v>
      </c>
      <c r="D227" t="s">
        <v>23</v>
      </c>
      <c r="E227" t="s">
        <v>24</v>
      </c>
      <c r="F227" t="s">
        <v>41</v>
      </c>
      <c r="G227" t="s">
        <v>45</v>
      </c>
      <c r="H227" t="s">
        <v>46</v>
      </c>
      <c r="J227">
        <v>24</v>
      </c>
    </row>
    <row r="228" spans="1:12">
      <c r="A228" t="s">
        <v>692</v>
      </c>
      <c r="B228" t="s">
        <v>693</v>
      </c>
      <c r="C228" t="s">
        <v>694</v>
      </c>
      <c r="D228" t="s">
        <v>35</v>
      </c>
      <c r="E228" t="s">
        <v>54</v>
      </c>
      <c r="F228" t="s">
        <v>17</v>
      </c>
      <c r="G228" t="s">
        <v>105</v>
      </c>
      <c r="H228" t="s">
        <v>19</v>
      </c>
      <c r="I228">
        <v>5</v>
      </c>
      <c r="J228">
        <v>48</v>
      </c>
      <c r="K228">
        <v>26.19</v>
      </c>
      <c r="L228">
        <v>1</v>
      </c>
    </row>
    <row r="229" spans="1:12">
      <c r="A229" t="s">
        <v>695</v>
      </c>
      <c r="B229" t="s">
        <v>696</v>
      </c>
      <c r="C229" t="s">
        <v>697</v>
      </c>
      <c r="D229" t="s">
        <v>35</v>
      </c>
      <c r="E229" t="s">
        <v>54</v>
      </c>
      <c r="F229" t="s">
        <v>17</v>
      </c>
      <c r="G229" t="s">
        <v>30</v>
      </c>
      <c r="H229" t="s">
        <v>31</v>
      </c>
      <c r="I229">
        <v>4</v>
      </c>
      <c r="J229">
        <v>48</v>
      </c>
      <c r="K229">
        <v>12.58</v>
      </c>
      <c r="L229">
        <v>1</v>
      </c>
    </row>
    <row r="230" spans="1:12">
      <c r="A230" t="s">
        <v>698</v>
      </c>
      <c r="B230" t="s">
        <v>699</v>
      </c>
      <c r="C230" t="s">
        <v>700</v>
      </c>
      <c r="D230" t="s">
        <v>15</v>
      </c>
      <c r="E230" t="s">
        <v>16</v>
      </c>
      <c r="F230" t="s">
        <v>41</v>
      </c>
      <c r="G230" t="s">
        <v>77</v>
      </c>
      <c r="H230" t="s">
        <v>31</v>
      </c>
      <c r="I230">
        <v>3</v>
      </c>
      <c r="J230">
        <v>8</v>
      </c>
      <c r="K230">
        <v>6</v>
      </c>
      <c r="L230">
        <v>1</v>
      </c>
    </row>
    <row r="231" spans="1:12">
      <c r="A231" t="s">
        <v>701</v>
      </c>
      <c r="B231" t="s">
        <v>702</v>
      </c>
      <c r="D231" t="s">
        <v>23</v>
      </c>
      <c r="E231" t="s">
        <v>28</v>
      </c>
      <c r="F231" t="s">
        <v>60</v>
      </c>
      <c r="G231" t="s">
        <v>172</v>
      </c>
      <c r="H231" t="s">
        <v>46</v>
      </c>
      <c r="J231">
        <v>24</v>
      </c>
    </row>
    <row r="232" spans="1:12">
      <c r="A232" t="s">
        <v>703</v>
      </c>
      <c r="B232" t="s">
        <v>704</v>
      </c>
      <c r="D232" t="s">
        <v>23</v>
      </c>
      <c r="E232" t="s">
        <v>59</v>
      </c>
      <c r="F232" t="s">
        <v>17</v>
      </c>
      <c r="G232" t="s">
        <v>50</v>
      </c>
      <c r="H232" t="s">
        <v>63</v>
      </c>
      <c r="J232">
        <v>24</v>
      </c>
    </row>
    <row r="233" spans="1:12">
      <c r="A233" t="s">
        <v>705</v>
      </c>
      <c r="B233" t="s">
        <v>706</v>
      </c>
      <c r="C233" t="s">
        <v>707</v>
      </c>
      <c r="D233" t="s">
        <v>23</v>
      </c>
      <c r="E233" t="s">
        <v>54</v>
      </c>
      <c r="F233" t="s">
        <v>29</v>
      </c>
      <c r="G233" t="s">
        <v>55</v>
      </c>
      <c r="H233" t="s">
        <v>19</v>
      </c>
      <c r="I233">
        <v>1</v>
      </c>
      <c r="J233">
        <v>24</v>
      </c>
      <c r="K233">
        <v>38.26</v>
      </c>
      <c r="L233">
        <v>0</v>
      </c>
    </row>
    <row r="234" spans="1:12">
      <c r="A234" t="s">
        <v>708</v>
      </c>
      <c r="B234" t="s">
        <v>709</v>
      </c>
      <c r="C234" t="s">
        <v>710</v>
      </c>
      <c r="D234" t="s">
        <v>23</v>
      </c>
      <c r="E234" t="s">
        <v>16</v>
      </c>
      <c r="F234" t="s">
        <v>41</v>
      </c>
      <c r="G234" t="s">
        <v>172</v>
      </c>
      <c r="H234" t="s">
        <v>19</v>
      </c>
      <c r="I234">
        <v>5</v>
      </c>
      <c r="J234">
        <v>24</v>
      </c>
      <c r="K234">
        <v>21.46</v>
      </c>
      <c r="L234">
        <v>1</v>
      </c>
    </row>
    <row r="235" spans="1:12">
      <c r="A235" t="s">
        <v>711</v>
      </c>
      <c r="B235" t="s">
        <v>712</v>
      </c>
      <c r="C235" t="s">
        <v>713</v>
      </c>
      <c r="D235" t="s">
        <v>15</v>
      </c>
      <c r="E235" t="s">
        <v>54</v>
      </c>
      <c r="F235" t="s">
        <v>41</v>
      </c>
      <c r="G235" t="s">
        <v>37</v>
      </c>
      <c r="H235" t="s">
        <v>31</v>
      </c>
      <c r="I235">
        <v>1</v>
      </c>
      <c r="J235">
        <v>8</v>
      </c>
      <c r="K235">
        <v>20.95</v>
      </c>
      <c r="L235">
        <v>0</v>
      </c>
    </row>
    <row r="236" spans="1:12">
      <c r="A236" t="s">
        <v>714</v>
      </c>
      <c r="B236" t="s">
        <v>715</v>
      </c>
      <c r="C236" t="s">
        <v>716</v>
      </c>
      <c r="D236" t="s">
        <v>35</v>
      </c>
      <c r="E236" t="s">
        <v>24</v>
      </c>
      <c r="F236" t="s">
        <v>41</v>
      </c>
      <c r="G236" t="s">
        <v>151</v>
      </c>
      <c r="H236" t="s">
        <v>19</v>
      </c>
      <c r="I236">
        <v>5</v>
      </c>
      <c r="J236">
        <v>48</v>
      </c>
      <c r="K236">
        <v>13.04</v>
      </c>
      <c r="L236">
        <v>1</v>
      </c>
    </row>
    <row r="237" spans="1:12">
      <c r="A237" t="s">
        <v>717</v>
      </c>
      <c r="B237" t="s">
        <v>718</v>
      </c>
      <c r="C237" t="s">
        <v>719</v>
      </c>
      <c r="D237" t="s">
        <v>23</v>
      </c>
      <c r="E237" t="s">
        <v>28</v>
      </c>
      <c r="F237" t="s">
        <v>36</v>
      </c>
      <c r="G237" t="s">
        <v>55</v>
      </c>
      <c r="H237" t="s">
        <v>31</v>
      </c>
      <c r="I237">
        <v>5</v>
      </c>
      <c r="J237">
        <v>24</v>
      </c>
      <c r="K237">
        <v>3.44</v>
      </c>
      <c r="L237">
        <v>1</v>
      </c>
    </row>
    <row r="238" spans="1:12">
      <c r="A238" t="s">
        <v>720</v>
      </c>
      <c r="B238" t="s">
        <v>721</v>
      </c>
      <c r="C238" t="s">
        <v>722</v>
      </c>
      <c r="D238" t="s">
        <v>23</v>
      </c>
      <c r="E238" t="s">
        <v>24</v>
      </c>
      <c r="F238" t="s">
        <v>41</v>
      </c>
      <c r="G238" t="s">
        <v>172</v>
      </c>
      <c r="H238" t="s">
        <v>31</v>
      </c>
      <c r="I238">
        <v>3</v>
      </c>
      <c r="J238">
        <v>24</v>
      </c>
      <c r="K238">
        <v>18.12</v>
      </c>
      <c r="L238">
        <v>1</v>
      </c>
    </row>
    <row r="239" spans="1:12">
      <c r="A239" t="s">
        <v>723</v>
      </c>
      <c r="B239" t="s">
        <v>724</v>
      </c>
      <c r="C239" t="s">
        <v>725</v>
      </c>
      <c r="D239" t="s">
        <v>35</v>
      </c>
      <c r="E239" t="s">
        <v>24</v>
      </c>
      <c r="F239" t="s">
        <v>41</v>
      </c>
      <c r="G239" t="s">
        <v>50</v>
      </c>
      <c r="H239" t="s">
        <v>31</v>
      </c>
      <c r="I239">
        <v>4</v>
      </c>
      <c r="J239">
        <v>48</v>
      </c>
      <c r="K239">
        <v>16.52</v>
      </c>
      <c r="L239">
        <v>1</v>
      </c>
    </row>
    <row r="240" spans="1:12">
      <c r="A240" t="s">
        <v>726</v>
      </c>
      <c r="B240" t="s">
        <v>727</v>
      </c>
      <c r="C240" t="s">
        <v>728</v>
      </c>
      <c r="D240" t="s">
        <v>35</v>
      </c>
      <c r="E240" t="s">
        <v>24</v>
      </c>
      <c r="F240" t="s">
        <v>60</v>
      </c>
      <c r="G240" t="s">
        <v>18</v>
      </c>
      <c r="H240" t="s">
        <v>19</v>
      </c>
      <c r="I240">
        <v>5</v>
      </c>
      <c r="J240">
        <v>48</v>
      </c>
      <c r="K240">
        <v>43.02</v>
      </c>
      <c r="L240">
        <v>1</v>
      </c>
    </row>
    <row r="241" spans="1:12">
      <c r="A241" t="s">
        <v>729</v>
      </c>
      <c r="B241" t="s">
        <v>730</v>
      </c>
      <c r="C241" t="s">
        <v>731</v>
      </c>
      <c r="D241" t="s">
        <v>23</v>
      </c>
      <c r="E241" t="s">
        <v>16</v>
      </c>
      <c r="F241" t="s">
        <v>36</v>
      </c>
      <c r="G241" t="s">
        <v>37</v>
      </c>
      <c r="H241" t="s">
        <v>31</v>
      </c>
      <c r="I241">
        <v>5</v>
      </c>
      <c r="J241">
        <v>24</v>
      </c>
      <c r="K241">
        <v>17.68</v>
      </c>
      <c r="L241">
        <v>1</v>
      </c>
    </row>
    <row r="242" spans="1:12">
      <c r="A242" t="s">
        <v>732</v>
      </c>
      <c r="B242" t="s">
        <v>733</v>
      </c>
      <c r="C242" t="s">
        <v>734</v>
      </c>
      <c r="D242" t="s">
        <v>35</v>
      </c>
      <c r="E242" t="s">
        <v>59</v>
      </c>
      <c r="F242" t="s">
        <v>60</v>
      </c>
      <c r="G242" t="s">
        <v>55</v>
      </c>
      <c r="H242" t="s">
        <v>19</v>
      </c>
      <c r="I242">
        <v>4</v>
      </c>
      <c r="J242">
        <v>48</v>
      </c>
      <c r="K242">
        <v>77.03</v>
      </c>
      <c r="L242">
        <v>0</v>
      </c>
    </row>
    <row r="243" spans="1:12">
      <c r="A243" t="s">
        <v>735</v>
      </c>
      <c r="B243" t="s">
        <v>736</v>
      </c>
      <c r="C243" t="s">
        <v>737</v>
      </c>
      <c r="D243" t="s">
        <v>23</v>
      </c>
      <c r="E243" t="s">
        <v>16</v>
      </c>
      <c r="F243" t="s">
        <v>17</v>
      </c>
      <c r="G243" t="s">
        <v>77</v>
      </c>
      <c r="H243" t="s">
        <v>19</v>
      </c>
      <c r="I243">
        <v>4</v>
      </c>
      <c r="J243">
        <v>24</v>
      </c>
      <c r="K243">
        <v>4.7</v>
      </c>
      <c r="L243">
        <v>1</v>
      </c>
    </row>
    <row r="244" spans="1:12">
      <c r="A244" t="s">
        <v>738</v>
      </c>
      <c r="B244" t="s">
        <v>739</v>
      </c>
      <c r="C244" t="s">
        <v>740</v>
      </c>
      <c r="D244" t="s">
        <v>23</v>
      </c>
      <c r="E244" t="s">
        <v>16</v>
      </c>
      <c r="F244" t="s">
        <v>36</v>
      </c>
      <c r="G244" t="s">
        <v>105</v>
      </c>
      <c r="H244" t="s">
        <v>19</v>
      </c>
      <c r="I244">
        <v>4</v>
      </c>
      <c r="J244">
        <v>24</v>
      </c>
      <c r="K244">
        <v>16.16</v>
      </c>
      <c r="L244">
        <v>1</v>
      </c>
    </row>
    <row r="245" spans="1:12">
      <c r="A245" t="s">
        <v>741</v>
      </c>
      <c r="B245" t="s">
        <v>742</v>
      </c>
      <c r="C245" t="s">
        <v>743</v>
      </c>
      <c r="D245" t="s">
        <v>35</v>
      </c>
      <c r="E245" t="s">
        <v>16</v>
      </c>
      <c r="F245" t="s">
        <v>41</v>
      </c>
      <c r="G245" t="s">
        <v>77</v>
      </c>
      <c r="H245" t="s">
        <v>19</v>
      </c>
      <c r="I245">
        <v>5</v>
      </c>
      <c r="J245">
        <v>48</v>
      </c>
      <c r="K245">
        <v>8.69</v>
      </c>
      <c r="L245">
        <v>1</v>
      </c>
    </row>
    <row r="246" spans="1:12">
      <c r="A246" t="s">
        <v>744</v>
      </c>
      <c r="B246" t="s">
        <v>745</v>
      </c>
      <c r="C246" t="s">
        <v>746</v>
      </c>
      <c r="D246" t="s">
        <v>15</v>
      </c>
      <c r="E246" t="s">
        <v>28</v>
      </c>
      <c r="F246" t="s">
        <v>29</v>
      </c>
      <c r="G246" t="s">
        <v>37</v>
      </c>
      <c r="H246" t="s">
        <v>19</v>
      </c>
      <c r="I246">
        <v>4</v>
      </c>
      <c r="J246">
        <v>8</v>
      </c>
      <c r="K246">
        <v>7.29</v>
      </c>
      <c r="L246">
        <v>1</v>
      </c>
    </row>
    <row r="247" spans="1:12">
      <c r="A247" t="s">
        <v>747</v>
      </c>
      <c r="B247" t="s">
        <v>748</v>
      </c>
      <c r="C247" t="s">
        <v>749</v>
      </c>
      <c r="D247" t="s">
        <v>23</v>
      </c>
      <c r="E247" t="s">
        <v>28</v>
      </c>
      <c r="F247" t="s">
        <v>29</v>
      </c>
      <c r="G247" t="s">
        <v>105</v>
      </c>
      <c r="H247" t="s">
        <v>19</v>
      </c>
      <c r="I247">
        <v>4</v>
      </c>
      <c r="J247">
        <v>24</v>
      </c>
      <c r="K247">
        <v>11.89</v>
      </c>
      <c r="L247">
        <v>1</v>
      </c>
    </row>
    <row r="248" spans="1:12">
      <c r="A248" t="s">
        <v>750</v>
      </c>
      <c r="B248" t="s">
        <v>751</v>
      </c>
      <c r="C248" t="s">
        <v>752</v>
      </c>
      <c r="D248" t="s">
        <v>23</v>
      </c>
      <c r="E248" t="s">
        <v>16</v>
      </c>
      <c r="F248" t="s">
        <v>29</v>
      </c>
      <c r="G248" t="s">
        <v>105</v>
      </c>
      <c r="H248" t="s">
        <v>19</v>
      </c>
      <c r="I248">
        <v>2</v>
      </c>
      <c r="J248">
        <v>24</v>
      </c>
      <c r="K248">
        <v>39.01</v>
      </c>
      <c r="L248">
        <v>0</v>
      </c>
    </row>
    <row r="249" spans="1:12">
      <c r="A249" t="s">
        <v>753</v>
      </c>
      <c r="B249" t="s">
        <v>754</v>
      </c>
      <c r="D249" t="s">
        <v>35</v>
      </c>
      <c r="E249" t="s">
        <v>28</v>
      </c>
      <c r="F249" t="s">
        <v>41</v>
      </c>
      <c r="G249" t="s">
        <v>105</v>
      </c>
      <c r="H249" t="s">
        <v>46</v>
      </c>
      <c r="J249">
        <v>48</v>
      </c>
    </row>
    <row r="250" spans="1:12">
      <c r="A250" t="s">
        <v>755</v>
      </c>
      <c r="B250" t="s">
        <v>756</v>
      </c>
      <c r="C250" t="s">
        <v>757</v>
      </c>
      <c r="D250" t="s">
        <v>23</v>
      </c>
      <c r="E250" t="s">
        <v>24</v>
      </c>
      <c r="F250" t="s">
        <v>41</v>
      </c>
      <c r="G250" t="s">
        <v>77</v>
      </c>
      <c r="H250" t="s">
        <v>31</v>
      </c>
      <c r="I250">
        <v>2</v>
      </c>
      <c r="J250">
        <v>24</v>
      </c>
      <c r="K250">
        <v>60.86</v>
      </c>
      <c r="L250">
        <v>0</v>
      </c>
    </row>
    <row r="251" spans="1:12">
      <c r="A251" t="s">
        <v>758</v>
      </c>
      <c r="B251" t="s">
        <v>759</v>
      </c>
      <c r="C251" t="s">
        <v>760</v>
      </c>
      <c r="D251" t="s">
        <v>35</v>
      </c>
      <c r="E251" t="s">
        <v>24</v>
      </c>
      <c r="F251" t="s">
        <v>41</v>
      </c>
      <c r="G251" t="s">
        <v>77</v>
      </c>
      <c r="H251" t="s">
        <v>31</v>
      </c>
      <c r="I251">
        <v>3</v>
      </c>
      <c r="J251">
        <v>48</v>
      </c>
      <c r="K251">
        <v>27.82</v>
      </c>
      <c r="L251">
        <v>1</v>
      </c>
    </row>
    <row r="252" spans="1:12">
      <c r="A252" t="s">
        <v>761</v>
      </c>
      <c r="B252" t="s">
        <v>762</v>
      </c>
      <c r="C252" t="s">
        <v>763</v>
      </c>
      <c r="D252" t="s">
        <v>35</v>
      </c>
      <c r="E252" t="s">
        <v>28</v>
      </c>
      <c r="F252" t="s">
        <v>60</v>
      </c>
      <c r="G252" t="s">
        <v>73</v>
      </c>
      <c r="H252" t="s">
        <v>19</v>
      </c>
      <c r="I252">
        <v>2</v>
      </c>
      <c r="J252">
        <v>48</v>
      </c>
      <c r="K252">
        <v>91.76</v>
      </c>
      <c r="L252">
        <v>0</v>
      </c>
    </row>
    <row r="253" spans="1:12">
      <c r="A253" t="s">
        <v>764</v>
      </c>
      <c r="B253" t="s">
        <v>765</v>
      </c>
      <c r="C253" t="s">
        <v>766</v>
      </c>
      <c r="D253" t="s">
        <v>23</v>
      </c>
      <c r="E253" t="s">
        <v>24</v>
      </c>
      <c r="F253" t="s">
        <v>60</v>
      </c>
      <c r="G253" t="s">
        <v>50</v>
      </c>
      <c r="H253" t="s">
        <v>31</v>
      </c>
      <c r="I253">
        <v>4</v>
      </c>
      <c r="J253">
        <v>24</v>
      </c>
      <c r="K253">
        <v>12.87</v>
      </c>
      <c r="L253">
        <v>1</v>
      </c>
    </row>
    <row r="254" spans="1:12">
      <c r="A254" t="s">
        <v>767</v>
      </c>
      <c r="B254" t="s">
        <v>768</v>
      </c>
      <c r="C254" t="s">
        <v>769</v>
      </c>
      <c r="D254" t="s">
        <v>23</v>
      </c>
      <c r="E254" t="s">
        <v>28</v>
      </c>
      <c r="F254" t="s">
        <v>29</v>
      </c>
      <c r="G254" t="s">
        <v>105</v>
      </c>
      <c r="H254" t="s">
        <v>19</v>
      </c>
      <c r="I254">
        <v>4</v>
      </c>
      <c r="J254">
        <v>24</v>
      </c>
      <c r="K254">
        <v>2.46</v>
      </c>
      <c r="L254">
        <v>1</v>
      </c>
    </row>
    <row r="255" spans="1:12">
      <c r="A255" t="s">
        <v>770</v>
      </c>
      <c r="B255" t="s">
        <v>771</v>
      </c>
      <c r="D255" t="s">
        <v>158</v>
      </c>
      <c r="E255" t="s">
        <v>28</v>
      </c>
      <c r="F255" t="s">
        <v>36</v>
      </c>
      <c r="G255" t="s">
        <v>77</v>
      </c>
      <c r="H255" t="s">
        <v>46</v>
      </c>
      <c r="J255">
        <v>4</v>
      </c>
    </row>
    <row r="256" spans="1:12">
      <c r="A256" t="s">
        <v>772</v>
      </c>
      <c r="B256" t="s">
        <v>773</v>
      </c>
      <c r="C256" t="s">
        <v>774</v>
      </c>
      <c r="D256" t="s">
        <v>35</v>
      </c>
      <c r="E256" t="s">
        <v>24</v>
      </c>
      <c r="F256" t="s">
        <v>41</v>
      </c>
      <c r="G256" t="s">
        <v>30</v>
      </c>
      <c r="H256" t="s">
        <v>19</v>
      </c>
      <c r="I256">
        <v>5</v>
      </c>
      <c r="J256">
        <v>48</v>
      </c>
      <c r="K256">
        <v>10.33</v>
      </c>
      <c r="L256">
        <v>1</v>
      </c>
    </row>
    <row r="257" spans="1:12">
      <c r="A257" t="s">
        <v>775</v>
      </c>
      <c r="B257" t="s">
        <v>776</v>
      </c>
      <c r="C257" t="s">
        <v>777</v>
      </c>
      <c r="D257" t="s">
        <v>23</v>
      </c>
      <c r="E257" t="s">
        <v>28</v>
      </c>
      <c r="F257" t="s">
        <v>41</v>
      </c>
      <c r="G257" t="s">
        <v>50</v>
      </c>
      <c r="H257" t="s">
        <v>31</v>
      </c>
      <c r="I257">
        <v>2</v>
      </c>
      <c r="J257">
        <v>24</v>
      </c>
      <c r="K257">
        <v>42.78</v>
      </c>
      <c r="L257">
        <v>0</v>
      </c>
    </row>
    <row r="258" spans="1:12">
      <c r="A258" t="s">
        <v>778</v>
      </c>
      <c r="B258" t="s">
        <v>779</v>
      </c>
      <c r="C258" t="s">
        <v>780</v>
      </c>
      <c r="D258" t="s">
        <v>35</v>
      </c>
      <c r="E258" t="s">
        <v>24</v>
      </c>
      <c r="F258" t="s">
        <v>29</v>
      </c>
      <c r="G258" t="s">
        <v>42</v>
      </c>
      <c r="H258" t="s">
        <v>19</v>
      </c>
      <c r="I258">
        <v>5</v>
      </c>
      <c r="J258">
        <v>48</v>
      </c>
      <c r="K258">
        <v>26.38</v>
      </c>
      <c r="L258">
        <v>1</v>
      </c>
    </row>
    <row r="259" spans="1:12">
      <c r="A259" t="s">
        <v>781</v>
      </c>
      <c r="B259" t="s">
        <v>782</v>
      </c>
      <c r="C259" t="s">
        <v>783</v>
      </c>
      <c r="D259" t="s">
        <v>35</v>
      </c>
      <c r="E259" t="s">
        <v>16</v>
      </c>
      <c r="F259" t="s">
        <v>29</v>
      </c>
      <c r="G259" t="s">
        <v>50</v>
      </c>
      <c r="H259" t="s">
        <v>31</v>
      </c>
      <c r="I259">
        <v>5</v>
      </c>
      <c r="J259">
        <v>48</v>
      </c>
      <c r="K259">
        <v>26.5</v>
      </c>
      <c r="L259">
        <v>1</v>
      </c>
    </row>
    <row r="260" spans="1:12">
      <c r="A260" t="s">
        <v>784</v>
      </c>
      <c r="B260" t="s">
        <v>785</v>
      </c>
      <c r="C260" t="s">
        <v>786</v>
      </c>
      <c r="D260" t="s">
        <v>23</v>
      </c>
      <c r="E260" t="s">
        <v>24</v>
      </c>
      <c r="F260" t="s">
        <v>17</v>
      </c>
      <c r="G260" t="s">
        <v>105</v>
      </c>
      <c r="H260" t="s">
        <v>31</v>
      </c>
      <c r="I260">
        <v>5</v>
      </c>
      <c r="J260">
        <v>24</v>
      </c>
      <c r="K260">
        <v>15.87</v>
      </c>
      <c r="L260">
        <v>1</v>
      </c>
    </row>
    <row r="261" spans="1:12">
      <c r="A261" t="s">
        <v>787</v>
      </c>
      <c r="B261" t="s">
        <v>788</v>
      </c>
      <c r="C261" t="s">
        <v>789</v>
      </c>
      <c r="D261" t="s">
        <v>35</v>
      </c>
      <c r="E261" t="s">
        <v>24</v>
      </c>
      <c r="F261" t="s">
        <v>17</v>
      </c>
      <c r="G261" t="s">
        <v>42</v>
      </c>
      <c r="H261" t="s">
        <v>19</v>
      </c>
      <c r="I261">
        <v>5</v>
      </c>
      <c r="J261">
        <v>48</v>
      </c>
      <c r="K261">
        <v>29.19</v>
      </c>
      <c r="L261">
        <v>1</v>
      </c>
    </row>
    <row r="262" spans="1:12">
      <c r="A262" t="s">
        <v>790</v>
      </c>
      <c r="B262" t="s">
        <v>791</v>
      </c>
      <c r="C262" t="s">
        <v>792</v>
      </c>
      <c r="D262" t="s">
        <v>15</v>
      </c>
      <c r="E262" t="s">
        <v>24</v>
      </c>
      <c r="F262" t="s">
        <v>41</v>
      </c>
      <c r="G262" t="s">
        <v>18</v>
      </c>
      <c r="H262" t="s">
        <v>19</v>
      </c>
      <c r="I262">
        <v>4</v>
      </c>
      <c r="J262">
        <v>8</v>
      </c>
      <c r="K262">
        <v>6.08</v>
      </c>
      <c r="L262">
        <v>1</v>
      </c>
    </row>
    <row r="263" spans="1:12">
      <c r="A263" t="s">
        <v>793</v>
      </c>
      <c r="B263" t="s">
        <v>794</v>
      </c>
      <c r="C263" t="s">
        <v>795</v>
      </c>
      <c r="D263" t="s">
        <v>15</v>
      </c>
      <c r="E263" t="s">
        <v>59</v>
      </c>
      <c r="F263" t="s">
        <v>60</v>
      </c>
      <c r="G263" t="s">
        <v>172</v>
      </c>
      <c r="H263" t="s">
        <v>31</v>
      </c>
      <c r="I263">
        <v>4</v>
      </c>
      <c r="J263">
        <v>8</v>
      </c>
      <c r="K263">
        <v>6.36</v>
      </c>
      <c r="L263">
        <v>1</v>
      </c>
    </row>
    <row r="264" spans="1:12">
      <c r="A264" t="s">
        <v>796</v>
      </c>
      <c r="B264" t="s">
        <v>797</v>
      </c>
      <c r="C264" t="s">
        <v>798</v>
      </c>
      <c r="D264" t="s">
        <v>15</v>
      </c>
      <c r="E264" t="s">
        <v>54</v>
      </c>
      <c r="F264" t="s">
        <v>17</v>
      </c>
      <c r="G264" t="s">
        <v>37</v>
      </c>
      <c r="H264" t="s">
        <v>19</v>
      </c>
      <c r="I264">
        <v>5</v>
      </c>
      <c r="J264">
        <v>8</v>
      </c>
      <c r="K264">
        <v>7.25</v>
      </c>
      <c r="L264">
        <v>1</v>
      </c>
    </row>
    <row r="265" spans="1:12">
      <c r="A265" t="s">
        <v>799</v>
      </c>
      <c r="B265" t="s">
        <v>800</v>
      </c>
      <c r="C265" t="s">
        <v>801</v>
      </c>
      <c r="D265" t="s">
        <v>15</v>
      </c>
      <c r="E265" t="s">
        <v>54</v>
      </c>
      <c r="F265" t="s">
        <v>60</v>
      </c>
      <c r="G265" t="s">
        <v>50</v>
      </c>
      <c r="H265" t="s">
        <v>19</v>
      </c>
      <c r="I265">
        <v>4</v>
      </c>
      <c r="J265">
        <v>8</v>
      </c>
      <c r="K265">
        <v>5.17</v>
      </c>
      <c r="L265">
        <v>1</v>
      </c>
    </row>
    <row r="266" spans="1:12">
      <c r="A266" t="s">
        <v>802</v>
      </c>
      <c r="B266" t="s">
        <v>803</v>
      </c>
      <c r="C266" t="s">
        <v>804</v>
      </c>
      <c r="D266" t="s">
        <v>15</v>
      </c>
      <c r="E266" t="s">
        <v>28</v>
      </c>
      <c r="F266" t="s">
        <v>17</v>
      </c>
      <c r="G266" t="s">
        <v>45</v>
      </c>
      <c r="H266" t="s">
        <v>19</v>
      </c>
      <c r="I266">
        <v>5</v>
      </c>
      <c r="J266">
        <v>8</v>
      </c>
      <c r="K266">
        <v>4.0199999999999996</v>
      </c>
      <c r="L266">
        <v>1</v>
      </c>
    </row>
    <row r="267" spans="1:12">
      <c r="A267" t="s">
        <v>805</v>
      </c>
      <c r="B267" t="s">
        <v>806</v>
      </c>
      <c r="C267" t="s">
        <v>807</v>
      </c>
      <c r="D267" t="s">
        <v>35</v>
      </c>
      <c r="E267" t="s">
        <v>24</v>
      </c>
      <c r="F267" t="s">
        <v>41</v>
      </c>
      <c r="G267" t="s">
        <v>30</v>
      </c>
      <c r="H267" t="s">
        <v>31</v>
      </c>
      <c r="I267">
        <v>1</v>
      </c>
      <c r="J267">
        <v>48</v>
      </c>
      <c r="K267">
        <v>102.56</v>
      </c>
      <c r="L267">
        <v>0</v>
      </c>
    </row>
    <row r="268" spans="1:12">
      <c r="A268" t="s">
        <v>808</v>
      </c>
      <c r="B268" t="s">
        <v>809</v>
      </c>
      <c r="C268" t="s">
        <v>810</v>
      </c>
      <c r="D268" t="s">
        <v>15</v>
      </c>
      <c r="E268" t="s">
        <v>28</v>
      </c>
      <c r="F268" t="s">
        <v>36</v>
      </c>
      <c r="G268" t="s">
        <v>50</v>
      </c>
      <c r="H268" t="s">
        <v>31</v>
      </c>
      <c r="I268">
        <v>4</v>
      </c>
      <c r="J268">
        <v>8</v>
      </c>
      <c r="K268">
        <v>5.73</v>
      </c>
      <c r="L268">
        <v>1</v>
      </c>
    </row>
    <row r="269" spans="1:12">
      <c r="A269" t="s">
        <v>811</v>
      </c>
      <c r="B269" t="s">
        <v>812</v>
      </c>
      <c r="C269" t="s">
        <v>813</v>
      </c>
      <c r="D269" t="s">
        <v>23</v>
      </c>
      <c r="E269" t="s">
        <v>54</v>
      </c>
      <c r="F269" t="s">
        <v>36</v>
      </c>
      <c r="G269" t="s">
        <v>42</v>
      </c>
      <c r="H269" t="s">
        <v>19</v>
      </c>
      <c r="I269">
        <v>5</v>
      </c>
      <c r="J269">
        <v>24</v>
      </c>
      <c r="K269">
        <v>17.18</v>
      </c>
      <c r="L269">
        <v>1</v>
      </c>
    </row>
    <row r="270" spans="1:12">
      <c r="A270" t="s">
        <v>814</v>
      </c>
      <c r="B270" t="s">
        <v>815</v>
      </c>
      <c r="C270" t="s">
        <v>816</v>
      </c>
      <c r="D270" t="s">
        <v>15</v>
      </c>
      <c r="E270" t="s">
        <v>59</v>
      </c>
      <c r="F270" t="s">
        <v>29</v>
      </c>
      <c r="G270" t="s">
        <v>30</v>
      </c>
      <c r="H270" t="s">
        <v>19</v>
      </c>
      <c r="I270">
        <v>5</v>
      </c>
      <c r="J270">
        <v>8</v>
      </c>
      <c r="K270">
        <v>5.84</v>
      </c>
      <c r="L270">
        <v>1</v>
      </c>
    </row>
    <row r="271" spans="1:12">
      <c r="A271" t="s">
        <v>817</v>
      </c>
      <c r="B271" t="s">
        <v>818</v>
      </c>
      <c r="C271" t="s">
        <v>819</v>
      </c>
      <c r="D271" t="s">
        <v>23</v>
      </c>
      <c r="E271" t="s">
        <v>28</v>
      </c>
      <c r="F271" t="s">
        <v>60</v>
      </c>
      <c r="G271" t="s">
        <v>105</v>
      </c>
      <c r="H271" t="s">
        <v>19</v>
      </c>
      <c r="I271">
        <v>3</v>
      </c>
      <c r="J271">
        <v>24</v>
      </c>
      <c r="K271">
        <v>51.04</v>
      </c>
      <c r="L271">
        <v>0</v>
      </c>
    </row>
    <row r="272" spans="1:12">
      <c r="A272" t="s">
        <v>820</v>
      </c>
      <c r="B272" t="s">
        <v>821</v>
      </c>
      <c r="C272" t="s">
        <v>822</v>
      </c>
      <c r="D272" t="s">
        <v>23</v>
      </c>
      <c r="E272" t="s">
        <v>54</v>
      </c>
      <c r="F272" t="s">
        <v>29</v>
      </c>
      <c r="G272" t="s">
        <v>45</v>
      </c>
      <c r="H272" t="s">
        <v>19</v>
      </c>
      <c r="I272">
        <v>3</v>
      </c>
      <c r="J272">
        <v>24</v>
      </c>
      <c r="K272">
        <v>47.01</v>
      </c>
      <c r="L272">
        <v>0</v>
      </c>
    </row>
    <row r="273" spans="1:12">
      <c r="A273" t="s">
        <v>823</v>
      </c>
      <c r="B273" t="s">
        <v>824</v>
      </c>
      <c r="C273" t="s">
        <v>825</v>
      </c>
      <c r="D273" t="s">
        <v>23</v>
      </c>
      <c r="E273" t="s">
        <v>16</v>
      </c>
      <c r="F273" t="s">
        <v>17</v>
      </c>
      <c r="G273" t="s">
        <v>172</v>
      </c>
      <c r="H273" t="s">
        <v>19</v>
      </c>
      <c r="I273">
        <v>5</v>
      </c>
      <c r="J273">
        <v>24</v>
      </c>
      <c r="K273">
        <v>20.03</v>
      </c>
      <c r="L273">
        <v>1</v>
      </c>
    </row>
    <row r="274" spans="1:12">
      <c r="A274" t="s">
        <v>826</v>
      </c>
      <c r="B274" t="s">
        <v>827</v>
      </c>
      <c r="C274" t="s">
        <v>828</v>
      </c>
      <c r="D274" t="s">
        <v>15</v>
      </c>
      <c r="E274" t="s">
        <v>59</v>
      </c>
      <c r="F274" t="s">
        <v>60</v>
      </c>
      <c r="G274" t="s">
        <v>105</v>
      </c>
      <c r="H274" t="s">
        <v>19</v>
      </c>
      <c r="I274">
        <v>4</v>
      </c>
      <c r="J274">
        <v>8</v>
      </c>
      <c r="K274">
        <v>3.04</v>
      </c>
      <c r="L274">
        <v>1</v>
      </c>
    </row>
    <row r="275" spans="1:12">
      <c r="A275" t="s">
        <v>829</v>
      </c>
      <c r="B275" t="s">
        <v>830</v>
      </c>
      <c r="C275" t="s">
        <v>831</v>
      </c>
      <c r="D275" t="s">
        <v>15</v>
      </c>
      <c r="E275" t="s">
        <v>54</v>
      </c>
      <c r="F275" t="s">
        <v>29</v>
      </c>
      <c r="G275" t="s">
        <v>45</v>
      </c>
      <c r="H275" t="s">
        <v>31</v>
      </c>
      <c r="I275">
        <v>5</v>
      </c>
      <c r="J275">
        <v>8</v>
      </c>
      <c r="K275">
        <v>5.72</v>
      </c>
      <c r="L275">
        <v>1</v>
      </c>
    </row>
    <row r="276" spans="1:12">
      <c r="A276" t="s">
        <v>832</v>
      </c>
      <c r="B276" t="s">
        <v>833</v>
      </c>
      <c r="C276" t="s">
        <v>834</v>
      </c>
      <c r="D276" t="s">
        <v>15</v>
      </c>
      <c r="E276" t="s">
        <v>16</v>
      </c>
      <c r="F276" t="s">
        <v>17</v>
      </c>
      <c r="G276" t="s">
        <v>73</v>
      </c>
      <c r="H276" t="s">
        <v>31</v>
      </c>
      <c r="I276">
        <v>5</v>
      </c>
      <c r="J276">
        <v>8</v>
      </c>
      <c r="K276">
        <v>7.03</v>
      </c>
      <c r="L276">
        <v>1</v>
      </c>
    </row>
    <row r="277" spans="1:12">
      <c r="A277" t="s">
        <v>835</v>
      </c>
      <c r="B277" t="s">
        <v>836</v>
      </c>
      <c r="C277" t="s">
        <v>837</v>
      </c>
      <c r="D277" t="s">
        <v>35</v>
      </c>
      <c r="E277" t="s">
        <v>28</v>
      </c>
      <c r="F277" t="s">
        <v>36</v>
      </c>
      <c r="G277" t="s">
        <v>151</v>
      </c>
      <c r="H277" t="s">
        <v>19</v>
      </c>
      <c r="I277">
        <v>5</v>
      </c>
      <c r="J277">
        <v>48</v>
      </c>
      <c r="K277">
        <v>10.41</v>
      </c>
      <c r="L277">
        <v>1</v>
      </c>
    </row>
    <row r="278" spans="1:12">
      <c r="A278" t="s">
        <v>838</v>
      </c>
      <c r="B278" t="s">
        <v>839</v>
      </c>
      <c r="C278" t="s">
        <v>840</v>
      </c>
      <c r="D278" t="s">
        <v>23</v>
      </c>
      <c r="E278" t="s">
        <v>24</v>
      </c>
      <c r="F278" t="s">
        <v>60</v>
      </c>
      <c r="G278" t="s">
        <v>50</v>
      </c>
      <c r="H278" t="s">
        <v>19</v>
      </c>
      <c r="I278">
        <v>5</v>
      </c>
      <c r="J278">
        <v>24</v>
      </c>
      <c r="K278">
        <v>16</v>
      </c>
      <c r="L278">
        <v>1</v>
      </c>
    </row>
    <row r="279" spans="1:12">
      <c r="A279" t="s">
        <v>841</v>
      </c>
      <c r="B279" t="s">
        <v>842</v>
      </c>
      <c r="C279" t="s">
        <v>843</v>
      </c>
      <c r="D279" t="s">
        <v>23</v>
      </c>
      <c r="E279" t="s">
        <v>24</v>
      </c>
      <c r="F279" t="s">
        <v>60</v>
      </c>
      <c r="G279" t="s">
        <v>77</v>
      </c>
      <c r="H279" t="s">
        <v>19</v>
      </c>
      <c r="I279">
        <v>5</v>
      </c>
      <c r="J279">
        <v>24</v>
      </c>
      <c r="K279">
        <v>17.13</v>
      </c>
      <c r="L279">
        <v>1</v>
      </c>
    </row>
    <row r="280" spans="1:12">
      <c r="A280" t="s">
        <v>844</v>
      </c>
      <c r="B280" t="s">
        <v>845</v>
      </c>
      <c r="C280" t="s">
        <v>846</v>
      </c>
      <c r="D280" t="s">
        <v>158</v>
      </c>
      <c r="E280" t="s">
        <v>16</v>
      </c>
      <c r="F280" t="s">
        <v>41</v>
      </c>
      <c r="G280" t="s">
        <v>73</v>
      </c>
      <c r="H280" t="s">
        <v>19</v>
      </c>
      <c r="I280">
        <v>4</v>
      </c>
      <c r="J280">
        <v>4</v>
      </c>
      <c r="K280">
        <v>0.91</v>
      </c>
      <c r="L280">
        <v>1</v>
      </c>
    </row>
    <row r="281" spans="1:12">
      <c r="A281" t="s">
        <v>847</v>
      </c>
      <c r="B281" t="s">
        <v>848</v>
      </c>
      <c r="C281" t="s">
        <v>849</v>
      </c>
      <c r="D281" t="s">
        <v>15</v>
      </c>
      <c r="E281" t="s">
        <v>16</v>
      </c>
      <c r="F281" t="s">
        <v>41</v>
      </c>
      <c r="G281" t="s">
        <v>42</v>
      </c>
      <c r="H281" t="s">
        <v>19</v>
      </c>
      <c r="I281">
        <v>5</v>
      </c>
      <c r="J281">
        <v>8</v>
      </c>
      <c r="K281">
        <v>4.6399999999999997</v>
      </c>
      <c r="L281">
        <v>1</v>
      </c>
    </row>
    <row r="282" spans="1:12">
      <c r="A282" t="s">
        <v>850</v>
      </c>
      <c r="B282" t="s">
        <v>851</v>
      </c>
      <c r="D282" t="s">
        <v>15</v>
      </c>
      <c r="E282" t="s">
        <v>16</v>
      </c>
      <c r="F282" t="s">
        <v>36</v>
      </c>
      <c r="G282" t="s">
        <v>151</v>
      </c>
      <c r="H282" t="s">
        <v>46</v>
      </c>
      <c r="J282">
        <v>8</v>
      </c>
    </row>
    <row r="283" spans="1:12">
      <c r="A283" t="s">
        <v>852</v>
      </c>
      <c r="B283" t="s">
        <v>853</v>
      </c>
      <c r="C283" t="s">
        <v>854</v>
      </c>
      <c r="D283" t="s">
        <v>23</v>
      </c>
      <c r="E283" t="s">
        <v>24</v>
      </c>
      <c r="F283" t="s">
        <v>41</v>
      </c>
      <c r="G283" t="s">
        <v>37</v>
      </c>
      <c r="H283" t="s">
        <v>31</v>
      </c>
      <c r="I283">
        <v>4</v>
      </c>
      <c r="J283">
        <v>24</v>
      </c>
      <c r="K283">
        <v>2.59</v>
      </c>
      <c r="L283">
        <v>1</v>
      </c>
    </row>
    <row r="284" spans="1:12">
      <c r="A284" t="s">
        <v>855</v>
      </c>
      <c r="B284" t="s">
        <v>856</v>
      </c>
      <c r="D284" t="s">
        <v>35</v>
      </c>
      <c r="E284" t="s">
        <v>54</v>
      </c>
      <c r="F284" t="s">
        <v>29</v>
      </c>
      <c r="G284" t="s">
        <v>55</v>
      </c>
      <c r="H284" t="s">
        <v>46</v>
      </c>
      <c r="J284">
        <v>48</v>
      </c>
    </row>
    <row r="285" spans="1:12">
      <c r="A285" t="s">
        <v>857</v>
      </c>
      <c r="B285" t="s">
        <v>858</v>
      </c>
      <c r="D285" t="s">
        <v>35</v>
      </c>
      <c r="E285" t="s">
        <v>59</v>
      </c>
      <c r="F285" t="s">
        <v>17</v>
      </c>
      <c r="G285" t="s">
        <v>18</v>
      </c>
      <c r="H285" t="s">
        <v>63</v>
      </c>
      <c r="J285">
        <v>48</v>
      </c>
    </row>
    <row r="286" spans="1:12">
      <c r="A286" t="s">
        <v>859</v>
      </c>
      <c r="B286" t="s">
        <v>860</v>
      </c>
      <c r="C286" t="s">
        <v>861</v>
      </c>
      <c r="D286" t="s">
        <v>35</v>
      </c>
      <c r="E286" t="s">
        <v>28</v>
      </c>
      <c r="F286" t="s">
        <v>36</v>
      </c>
      <c r="G286" t="s">
        <v>42</v>
      </c>
      <c r="H286" t="s">
        <v>31</v>
      </c>
      <c r="I286">
        <v>5</v>
      </c>
      <c r="J286">
        <v>48</v>
      </c>
      <c r="K286">
        <v>26.96</v>
      </c>
      <c r="L286">
        <v>1</v>
      </c>
    </row>
    <row r="287" spans="1:12">
      <c r="A287" t="s">
        <v>862</v>
      </c>
      <c r="B287" t="s">
        <v>863</v>
      </c>
      <c r="C287" t="s">
        <v>864</v>
      </c>
      <c r="D287" t="s">
        <v>35</v>
      </c>
      <c r="E287" t="s">
        <v>28</v>
      </c>
      <c r="F287" t="s">
        <v>17</v>
      </c>
      <c r="G287" t="s">
        <v>55</v>
      </c>
      <c r="H287" t="s">
        <v>19</v>
      </c>
      <c r="I287">
        <v>4</v>
      </c>
      <c r="J287">
        <v>48</v>
      </c>
      <c r="K287">
        <v>127.24</v>
      </c>
      <c r="L287">
        <v>0</v>
      </c>
    </row>
    <row r="288" spans="1:12">
      <c r="A288" t="s">
        <v>865</v>
      </c>
      <c r="B288" t="s">
        <v>866</v>
      </c>
      <c r="C288" t="s">
        <v>867</v>
      </c>
      <c r="D288" t="s">
        <v>15</v>
      </c>
      <c r="E288" t="s">
        <v>28</v>
      </c>
      <c r="F288" t="s">
        <v>41</v>
      </c>
      <c r="G288" t="s">
        <v>151</v>
      </c>
      <c r="H288" t="s">
        <v>31</v>
      </c>
      <c r="I288">
        <v>4</v>
      </c>
      <c r="J288">
        <v>8</v>
      </c>
      <c r="K288">
        <v>5.94</v>
      </c>
      <c r="L288">
        <v>1</v>
      </c>
    </row>
    <row r="289" spans="1:12">
      <c r="A289" t="s">
        <v>868</v>
      </c>
      <c r="B289" t="s">
        <v>869</v>
      </c>
      <c r="C289" t="s">
        <v>870</v>
      </c>
      <c r="D289" t="s">
        <v>23</v>
      </c>
      <c r="E289" t="s">
        <v>28</v>
      </c>
      <c r="F289" t="s">
        <v>29</v>
      </c>
      <c r="G289" t="s">
        <v>30</v>
      </c>
      <c r="H289" t="s">
        <v>19</v>
      </c>
      <c r="I289">
        <v>5</v>
      </c>
      <c r="J289">
        <v>24</v>
      </c>
      <c r="K289">
        <v>3.95</v>
      </c>
      <c r="L289">
        <v>1</v>
      </c>
    </row>
    <row r="290" spans="1:12">
      <c r="A290" t="s">
        <v>871</v>
      </c>
      <c r="B290" t="s">
        <v>872</v>
      </c>
      <c r="C290" t="s">
        <v>873</v>
      </c>
      <c r="D290" t="s">
        <v>35</v>
      </c>
      <c r="E290" t="s">
        <v>28</v>
      </c>
      <c r="F290" t="s">
        <v>29</v>
      </c>
      <c r="G290" t="s">
        <v>30</v>
      </c>
      <c r="H290" t="s">
        <v>31</v>
      </c>
      <c r="I290">
        <v>4</v>
      </c>
      <c r="J290">
        <v>48</v>
      </c>
      <c r="K290">
        <v>23.18</v>
      </c>
      <c r="L290">
        <v>1</v>
      </c>
    </row>
    <row r="291" spans="1:12">
      <c r="A291" t="s">
        <v>874</v>
      </c>
      <c r="B291" t="s">
        <v>875</v>
      </c>
      <c r="C291" t="s">
        <v>876</v>
      </c>
      <c r="D291" t="s">
        <v>35</v>
      </c>
      <c r="E291" t="s">
        <v>28</v>
      </c>
      <c r="F291" t="s">
        <v>60</v>
      </c>
      <c r="G291" t="s">
        <v>151</v>
      </c>
      <c r="H291" t="s">
        <v>19</v>
      </c>
      <c r="I291">
        <v>4</v>
      </c>
      <c r="J291">
        <v>48</v>
      </c>
      <c r="K291">
        <v>16.850000000000001</v>
      </c>
      <c r="L291">
        <v>1</v>
      </c>
    </row>
    <row r="292" spans="1:12">
      <c r="A292" t="s">
        <v>877</v>
      </c>
      <c r="B292" t="s">
        <v>878</v>
      </c>
      <c r="C292" t="s">
        <v>879</v>
      </c>
      <c r="D292" t="s">
        <v>158</v>
      </c>
      <c r="E292" t="s">
        <v>59</v>
      </c>
      <c r="F292" t="s">
        <v>17</v>
      </c>
      <c r="G292" t="s">
        <v>105</v>
      </c>
      <c r="H292" t="s">
        <v>19</v>
      </c>
      <c r="I292">
        <v>5</v>
      </c>
      <c r="J292">
        <v>4</v>
      </c>
      <c r="K292">
        <v>0.71</v>
      </c>
      <c r="L292">
        <v>1</v>
      </c>
    </row>
    <row r="293" spans="1:12">
      <c r="A293" t="s">
        <v>880</v>
      </c>
      <c r="B293" t="s">
        <v>881</v>
      </c>
      <c r="C293" t="s">
        <v>882</v>
      </c>
      <c r="D293" t="s">
        <v>23</v>
      </c>
      <c r="E293" t="s">
        <v>28</v>
      </c>
      <c r="F293" t="s">
        <v>17</v>
      </c>
      <c r="G293" t="s">
        <v>42</v>
      </c>
      <c r="H293" t="s">
        <v>19</v>
      </c>
      <c r="I293">
        <v>4</v>
      </c>
      <c r="J293">
        <v>24</v>
      </c>
      <c r="K293">
        <v>13.72</v>
      </c>
      <c r="L293">
        <v>1</v>
      </c>
    </row>
    <row r="294" spans="1:12">
      <c r="A294" t="s">
        <v>883</v>
      </c>
      <c r="B294" t="s">
        <v>884</v>
      </c>
      <c r="C294" t="s">
        <v>885</v>
      </c>
      <c r="D294" t="s">
        <v>158</v>
      </c>
      <c r="E294" t="s">
        <v>54</v>
      </c>
      <c r="F294" t="s">
        <v>60</v>
      </c>
      <c r="G294" t="s">
        <v>55</v>
      </c>
      <c r="H294" t="s">
        <v>31</v>
      </c>
      <c r="I294">
        <v>2</v>
      </c>
      <c r="J294">
        <v>4</v>
      </c>
      <c r="K294">
        <v>4.3</v>
      </c>
      <c r="L294">
        <v>0</v>
      </c>
    </row>
    <row r="295" spans="1:12">
      <c r="A295" t="s">
        <v>886</v>
      </c>
      <c r="B295" t="s">
        <v>887</v>
      </c>
      <c r="C295" t="s">
        <v>888</v>
      </c>
      <c r="D295" t="s">
        <v>158</v>
      </c>
      <c r="E295" t="s">
        <v>59</v>
      </c>
      <c r="F295" t="s">
        <v>17</v>
      </c>
      <c r="G295" t="s">
        <v>55</v>
      </c>
      <c r="H295" t="s">
        <v>19</v>
      </c>
      <c r="I295">
        <v>4</v>
      </c>
      <c r="J295">
        <v>4</v>
      </c>
      <c r="K295">
        <v>0.98</v>
      </c>
      <c r="L295">
        <v>1</v>
      </c>
    </row>
    <row r="296" spans="1:12">
      <c r="A296" t="s">
        <v>889</v>
      </c>
      <c r="B296" t="s">
        <v>890</v>
      </c>
      <c r="C296" t="s">
        <v>891</v>
      </c>
      <c r="D296" t="s">
        <v>23</v>
      </c>
      <c r="E296" t="s">
        <v>24</v>
      </c>
      <c r="F296" t="s">
        <v>41</v>
      </c>
      <c r="G296" t="s">
        <v>45</v>
      </c>
      <c r="H296" t="s">
        <v>19</v>
      </c>
      <c r="I296">
        <v>4</v>
      </c>
      <c r="J296">
        <v>24</v>
      </c>
      <c r="K296">
        <v>3.97</v>
      </c>
      <c r="L296">
        <v>1</v>
      </c>
    </row>
    <row r="297" spans="1:12">
      <c r="A297" t="s">
        <v>892</v>
      </c>
      <c r="B297" t="s">
        <v>893</v>
      </c>
      <c r="C297" t="s">
        <v>894</v>
      </c>
      <c r="D297" t="s">
        <v>23</v>
      </c>
      <c r="E297" t="s">
        <v>28</v>
      </c>
      <c r="F297" t="s">
        <v>60</v>
      </c>
      <c r="G297" t="s">
        <v>18</v>
      </c>
      <c r="H297" t="s">
        <v>19</v>
      </c>
      <c r="I297">
        <v>4</v>
      </c>
      <c r="J297">
        <v>24</v>
      </c>
      <c r="K297">
        <v>2.54</v>
      </c>
      <c r="L297">
        <v>1</v>
      </c>
    </row>
    <row r="298" spans="1:12">
      <c r="A298" t="s">
        <v>895</v>
      </c>
      <c r="B298" t="s">
        <v>896</v>
      </c>
      <c r="C298" t="s">
        <v>897</v>
      </c>
      <c r="D298" t="s">
        <v>23</v>
      </c>
      <c r="E298" t="s">
        <v>59</v>
      </c>
      <c r="F298" t="s">
        <v>29</v>
      </c>
      <c r="G298" t="s">
        <v>50</v>
      </c>
      <c r="H298" t="s">
        <v>19</v>
      </c>
      <c r="I298">
        <v>5</v>
      </c>
      <c r="J298">
        <v>24</v>
      </c>
      <c r="K298">
        <v>19.93</v>
      </c>
      <c r="L298">
        <v>1</v>
      </c>
    </row>
    <row r="299" spans="1:12">
      <c r="A299" t="s">
        <v>898</v>
      </c>
      <c r="B299" t="s">
        <v>899</v>
      </c>
      <c r="C299" t="s">
        <v>900</v>
      </c>
      <c r="D299" t="s">
        <v>15</v>
      </c>
      <c r="E299" t="s">
        <v>16</v>
      </c>
      <c r="F299" t="s">
        <v>17</v>
      </c>
      <c r="G299" t="s">
        <v>50</v>
      </c>
      <c r="H299" t="s">
        <v>19</v>
      </c>
      <c r="I299">
        <v>1</v>
      </c>
      <c r="J299">
        <v>8</v>
      </c>
      <c r="K299">
        <v>23.51</v>
      </c>
      <c r="L299">
        <v>0</v>
      </c>
    </row>
    <row r="300" spans="1:12">
      <c r="A300" t="s">
        <v>901</v>
      </c>
      <c r="B300" t="s">
        <v>902</v>
      </c>
      <c r="C300" t="s">
        <v>903</v>
      </c>
      <c r="D300" t="s">
        <v>23</v>
      </c>
      <c r="E300" t="s">
        <v>59</v>
      </c>
      <c r="F300" t="s">
        <v>17</v>
      </c>
      <c r="G300" t="s">
        <v>172</v>
      </c>
      <c r="H300" t="s">
        <v>19</v>
      </c>
      <c r="I300">
        <v>4</v>
      </c>
      <c r="J300">
        <v>24</v>
      </c>
      <c r="K300">
        <v>10.42</v>
      </c>
      <c r="L300">
        <v>1</v>
      </c>
    </row>
    <row r="301" spans="1:12">
      <c r="A301" t="s">
        <v>904</v>
      </c>
      <c r="B301" t="s">
        <v>905</v>
      </c>
      <c r="C301" t="s">
        <v>906</v>
      </c>
      <c r="D301" t="s">
        <v>15</v>
      </c>
      <c r="E301" t="s">
        <v>59</v>
      </c>
      <c r="F301" t="s">
        <v>17</v>
      </c>
      <c r="G301" t="s">
        <v>151</v>
      </c>
      <c r="H301" t="s">
        <v>31</v>
      </c>
      <c r="I301">
        <v>5</v>
      </c>
      <c r="J301">
        <v>8</v>
      </c>
      <c r="K301">
        <v>5.74</v>
      </c>
      <c r="L301">
        <v>1</v>
      </c>
    </row>
    <row r="302" spans="1:12">
      <c r="A302" t="s">
        <v>907</v>
      </c>
      <c r="B302" t="s">
        <v>908</v>
      </c>
      <c r="C302" t="s">
        <v>909</v>
      </c>
      <c r="D302" t="s">
        <v>23</v>
      </c>
      <c r="E302" t="s">
        <v>28</v>
      </c>
      <c r="F302" t="s">
        <v>36</v>
      </c>
      <c r="G302" t="s">
        <v>37</v>
      </c>
      <c r="H302" t="s">
        <v>31</v>
      </c>
      <c r="I302">
        <v>4</v>
      </c>
      <c r="J302">
        <v>24</v>
      </c>
      <c r="K302">
        <v>8.58</v>
      </c>
      <c r="L302">
        <v>1</v>
      </c>
    </row>
    <row r="303" spans="1:12">
      <c r="A303" t="s">
        <v>910</v>
      </c>
      <c r="B303" t="s">
        <v>911</v>
      </c>
      <c r="D303" t="s">
        <v>23</v>
      </c>
      <c r="E303" t="s">
        <v>16</v>
      </c>
      <c r="F303" t="s">
        <v>36</v>
      </c>
      <c r="G303" t="s">
        <v>50</v>
      </c>
      <c r="H303" t="s">
        <v>46</v>
      </c>
      <c r="J303">
        <v>24</v>
      </c>
    </row>
    <row r="304" spans="1:12">
      <c r="A304" t="s">
        <v>912</v>
      </c>
      <c r="B304" t="s">
        <v>913</v>
      </c>
      <c r="C304" t="s">
        <v>914</v>
      </c>
      <c r="D304" t="s">
        <v>23</v>
      </c>
      <c r="E304" t="s">
        <v>28</v>
      </c>
      <c r="F304" t="s">
        <v>41</v>
      </c>
      <c r="G304" t="s">
        <v>77</v>
      </c>
      <c r="H304" t="s">
        <v>19</v>
      </c>
      <c r="I304">
        <v>3</v>
      </c>
      <c r="J304">
        <v>24</v>
      </c>
      <c r="K304">
        <v>58.04</v>
      </c>
      <c r="L304">
        <v>0</v>
      </c>
    </row>
    <row r="305" spans="1:12">
      <c r="A305" t="s">
        <v>915</v>
      </c>
      <c r="B305" t="s">
        <v>916</v>
      </c>
      <c r="C305" t="s">
        <v>917</v>
      </c>
      <c r="D305" t="s">
        <v>23</v>
      </c>
      <c r="E305" t="s">
        <v>24</v>
      </c>
      <c r="F305" t="s">
        <v>17</v>
      </c>
      <c r="G305" t="s">
        <v>151</v>
      </c>
      <c r="H305" t="s">
        <v>31</v>
      </c>
      <c r="I305">
        <v>5</v>
      </c>
      <c r="J305">
        <v>24</v>
      </c>
      <c r="K305">
        <v>14.9</v>
      </c>
      <c r="L305">
        <v>1</v>
      </c>
    </row>
    <row r="306" spans="1:12">
      <c r="A306" t="s">
        <v>918</v>
      </c>
      <c r="B306" t="s">
        <v>919</v>
      </c>
      <c r="C306" t="s">
        <v>920</v>
      </c>
      <c r="D306" t="s">
        <v>23</v>
      </c>
      <c r="E306" t="s">
        <v>28</v>
      </c>
      <c r="F306" t="s">
        <v>29</v>
      </c>
      <c r="G306" t="s">
        <v>37</v>
      </c>
      <c r="H306" t="s">
        <v>19</v>
      </c>
      <c r="I306">
        <v>5</v>
      </c>
      <c r="J306">
        <v>24</v>
      </c>
      <c r="K306">
        <v>6.93</v>
      </c>
      <c r="L306">
        <v>1</v>
      </c>
    </row>
    <row r="307" spans="1:12">
      <c r="A307" t="s">
        <v>921</v>
      </c>
      <c r="B307" t="s">
        <v>922</v>
      </c>
      <c r="C307" t="s">
        <v>923</v>
      </c>
      <c r="D307" t="s">
        <v>23</v>
      </c>
      <c r="E307" t="s">
        <v>54</v>
      </c>
      <c r="F307" t="s">
        <v>41</v>
      </c>
      <c r="G307" t="s">
        <v>172</v>
      </c>
      <c r="H307" t="s">
        <v>19</v>
      </c>
      <c r="I307">
        <v>5</v>
      </c>
      <c r="J307">
        <v>24</v>
      </c>
      <c r="K307">
        <v>14.41</v>
      </c>
      <c r="L307">
        <v>1</v>
      </c>
    </row>
    <row r="308" spans="1:12">
      <c r="A308" t="s">
        <v>924</v>
      </c>
      <c r="B308" t="s">
        <v>925</v>
      </c>
      <c r="D308" t="s">
        <v>35</v>
      </c>
      <c r="E308" t="s">
        <v>28</v>
      </c>
      <c r="F308" t="s">
        <v>29</v>
      </c>
      <c r="G308" t="s">
        <v>37</v>
      </c>
      <c r="H308" t="s">
        <v>63</v>
      </c>
      <c r="J308">
        <v>48</v>
      </c>
    </row>
    <row r="309" spans="1:12">
      <c r="A309" t="s">
        <v>926</v>
      </c>
      <c r="B309" t="s">
        <v>927</v>
      </c>
      <c r="C309" t="s">
        <v>928</v>
      </c>
      <c r="D309" t="s">
        <v>15</v>
      </c>
      <c r="E309" t="s">
        <v>59</v>
      </c>
      <c r="F309" t="s">
        <v>17</v>
      </c>
      <c r="G309" t="s">
        <v>172</v>
      </c>
      <c r="H309" t="s">
        <v>19</v>
      </c>
      <c r="I309">
        <v>4</v>
      </c>
      <c r="J309">
        <v>8</v>
      </c>
      <c r="K309">
        <v>2.21</v>
      </c>
      <c r="L309">
        <v>1</v>
      </c>
    </row>
    <row r="310" spans="1:12">
      <c r="A310" t="s">
        <v>929</v>
      </c>
      <c r="B310" t="s">
        <v>930</v>
      </c>
      <c r="C310" t="s">
        <v>931</v>
      </c>
      <c r="D310" t="s">
        <v>158</v>
      </c>
      <c r="E310" t="s">
        <v>16</v>
      </c>
      <c r="F310" t="s">
        <v>41</v>
      </c>
      <c r="G310" t="s">
        <v>172</v>
      </c>
      <c r="H310" t="s">
        <v>19</v>
      </c>
      <c r="I310">
        <v>3</v>
      </c>
      <c r="J310">
        <v>4</v>
      </c>
      <c r="K310">
        <v>2.82</v>
      </c>
      <c r="L310">
        <v>1</v>
      </c>
    </row>
    <row r="311" spans="1:12">
      <c r="A311" t="s">
        <v>932</v>
      </c>
      <c r="B311" t="s">
        <v>933</v>
      </c>
      <c r="C311" t="s">
        <v>934</v>
      </c>
      <c r="D311" t="s">
        <v>23</v>
      </c>
      <c r="E311" t="s">
        <v>54</v>
      </c>
      <c r="F311" t="s">
        <v>17</v>
      </c>
      <c r="G311" t="s">
        <v>105</v>
      </c>
      <c r="H311" t="s">
        <v>19</v>
      </c>
      <c r="I311">
        <v>5</v>
      </c>
      <c r="J311">
        <v>24</v>
      </c>
      <c r="K311">
        <v>5.67</v>
      </c>
      <c r="L311">
        <v>1</v>
      </c>
    </row>
    <row r="312" spans="1:12">
      <c r="A312" t="s">
        <v>935</v>
      </c>
      <c r="B312" t="s">
        <v>936</v>
      </c>
      <c r="C312" t="s">
        <v>937</v>
      </c>
      <c r="D312" t="s">
        <v>15</v>
      </c>
      <c r="E312" t="s">
        <v>28</v>
      </c>
      <c r="F312" t="s">
        <v>17</v>
      </c>
      <c r="G312" t="s">
        <v>73</v>
      </c>
      <c r="H312" t="s">
        <v>31</v>
      </c>
      <c r="I312">
        <v>5</v>
      </c>
      <c r="J312">
        <v>8</v>
      </c>
      <c r="K312">
        <v>1</v>
      </c>
      <c r="L312">
        <v>1</v>
      </c>
    </row>
    <row r="313" spans="1:12">
      <c r="A313" t="s">
        <v>938</v>
      </c>
      <c r="B313" t="s">
        <v>939</v>
      </c>
      <c r="C313" t="s">
        <v>940</v>
      </c>
      <c r="D313" t="s">
        <v>23</v>
      </c>
      <c r="E313" t="s">
        <v>28</v>
      </c>
      <c r="F313" t="s">
        <v>36</v>
      </c>
      <c r="G313" t="s">
        <v>105</v>
      </c>
      <c r="H313" t="s">
        <v>19</v>
      </c>
      <c r="I313">
        <v>5</v>
      </c>
      <c r="J313">
        <v>24</v>
      </c>
      <c r="K313">
        <v>16.760000000000002</v>
      </c>
      <c r="L313">
        <v>1</v>
      </c>
    </row>
    <row r="314" spans="1:12">
      <c r="A314" t="s">
        <v>941</v>
      </c>
      <c r="B314" t="s">
        <v>942</v>
      </c>
      <c r="C314" t="s">
        <v>943</v>
      </c>
      <c r="D314" t="s">
        <v>15</v>
      </c>
      <c r="E314" t="s">
        <v>16</v>
      </c>
      <c r="F314" t="s">
        <v>17</v>
      </c>
      <c r="G314" t="s">
        <v>172</v>
      </c>
      <c r="H314" t="s">
        <v>19</v>
      </c>
      <c r="I314">
        <v>5</v>
      </c>
      <c r="J314">
        <v>8</v>
      </c>
      <c r="K314">
        <v>2.58</v>
      </c>
      <c r="L314">
        <v>1</v>
      </c>
    </row>
    <row r="315" spans="1:12">
      <c r="A315" t="s">
        <v>944</v>
      </c>
      <c r="B315" t="s">
        <v>945</v>
      </c>
      <c r="C315" t="s">
        <v>946</v>
      </c>
      <c r="D315" t="s">
        <v>35</v>
      </c>
      <c r="E315" t="s">
        <v>28</v>
      </c>
      <c r="F315" t="s">
        <v>41</v>
      </c>
      <c r="G315" t="s">
        <v>55</v>
      </c>
      <c r="H315" t="s">
        <v>19</v>
      </c>
      <c r="I315">
        <v>4</v>
      </c>
      <c r="J315">
        <v>48</v>
      </c>
      <c r="K315">
        <v>19.16</v>
      </c>
      <c r="L315">
        <v>1</v>
      </c>
    </row>
    <row r="316" spans="1:12">
      <c r="A316" t="s">
        <v>947</v>
      </c>
      <c r="B316" t="s">
        <v>948</v>
      </c>
      <c r="C316" t="s">
        <v>949</v>
      </c>
      <c r="D316" t="s">
        <v>35</v>
      </c>
      <c r="E316" t="s">
        <v>16</v>
      </c>
      <c r="F316" t="s">
        <v>29</v>
      </c>
      <c r="G316" t="s">
        <v>55</v>
      </c>
      <c r="H316" t="s">
        <v>31</v>
      </c>
      <c r="I316">
        <v>4</v>
      </c>
      <c r="J316">
        <v>48</v>
      </c>
      <c r="K316">
        <v>17.579999999999998</v>
      </c>
      <c r="L316">
        <v>1</v>
      </c>
    </row>
    <row r="317" spans="1:12">
      <c r="A317" t="s">
        <v>950</v>
      </c>
      <c r="B317" t="s">
        <v>951</v>
      </c>
      <c r="C317" t="s">
        <v>952</v>
      </c>
      <c r="D317" t="s">
        <v>15</v>
      </c>
      <c r="E317" t="s">
        <v>24</v>
      </c>
      <c r="F317" t="s">
        <v>60</v>
      </c>
      <c r="G317" t="s">
        <v>37</v>
      </c>
      <c r="H317" t="s">
        <v>19</v>
      </c>
      <c r="I317">
        <v>4</v>
      </c>
      <c r="J317">
        <v>8</v>
      </c>
      <c r="K317">
        <v>3.41</v>
      </c>
      <c r="L317">
        <v>1</v>
      </c>
    </row>
    <row r="318" spans="1:12">
      <c r="A318" t="s">
        <v>953</v>
      </c>
      <c r="B318" t="s">
        <v>954</v>
      </c>
      <c r="C318" t="s">
        <v>955</v>
      </c>
      <c r="D318" t="s">
        <v>23</v>
      </c>
      <c r="E318" t="s">
        <v>59</v>
      </c>
      <c r="F318" t="s">
        <v>17</v>
      </c>
      <c r="G318" t="s">
        <v>77</v>
      </c>
      <c r="H318" t="s">
        <v>19</v>
      </c>
      <c r="I318">
        <v>5</v>
      </c>
      <c r="J318">
        <v>24</v>
      </c>
      <c r="K318">
        <v>6.22</v>
      </c>
      <c r="L318">
        <v>1</v>
      </c>
    </row>
    <row r="319" spans="1:12">
      <c r="A319" t="s">
        <v>956</v>
      </c>
      <c r="B319" t="s">
        <v>957</v>
      </c>
      <c r="C319" t="s">
        <v>958</v>
      </c>
      <c r="D319" t="s">
        <v>158</v>
      </c>
      <c r="E319" t="s">
        <v>28</v>
      </c>
      <c r="F319" t="s">
        <v>36</v>
      </c>
      <c r="G319" t="s">
        <v>50</v>
      </c>
      <c r="H319" t="s">
        <v>19</v>
      </c>
      <c r="I319">
        <v>5</v>
      </c>
      <c r="J319">
        <v>4</v>
      </c>
      <c r="K319">
        <v>3.68</v>
      </c>
      <c r="L319">
        <v>1</v>
      </c>
    </row>
    <row r="320" spans="1:12">
      <c r="A320" t="s">
        <v>959</v>
      </c>
      <c r="B320" t="s">
        <v>960</v>
      </c>
      <c r="C320" t="s">
        <v>961</v>
      </c>
      <c r="D320" t="s">
        <v>23</v>
      </c>
      <c r="E320" t="s">
        <v>28</v>
      </c>
      <c r="F320" t="s">
        <v>41</v>
      </c>
      <c r="G320" t="s">
        <v>50</v>
      </c>
      <c r="H320" t="s">
        <v>19</v>
      </c>
      <c r="I320">
        <v>4</v>
      </c>
      <c r="J320">
        <v>24</v>
      </c>
      <c r="K320">
        <v>18.64</v>
      </c>
      <c r="L320">
        <v>1</v>
      </c>
    </row>
    <row r="321" spans="1:12">
      <c r="A321" t="s">
        <v>962</v>
      </c>
      <c r="B321" t="s">
        <v>963</v>
      </c>
      <c r="C321" t="s">
        <v>964</v>
      </c>
      <c r="D321" t="s">
        <v>15</v>
      </c>
      <c r="E321" t="s">
        <v>28</v>
      </c>
      <c r="F321" t="s">
        <v>17</v>
      </c>
      <c r="G321" t="s">
        <v>50</v>
      </c>
      <c r="H321" t="s">
        <v>31</v>
      </c>
      <c r="I321">
        <v>5</v>
      </c>
      <c r="J321">
        <v>8</v>
      </c>
      <c r="K321">
        <v>4.17</v>
      </c>
      <c r="L321">
        <v>1</v>
      </c>
    </row>
    <row r="322" spans="1:12">
      <c r="A322" t="s">
        <v>965</v>
      </c>
      <c r="B322" t="s">
        <v>966</v>
      </c>
      <c r="C322" t="s">
        <v>967</v>
      </c>
      <c r="D322" t="s">
        <v>15</v>
      </c>
      <c r="E322" t="s">
        <v>16</v>
      </c>
      <c r="F322" t="s">
        <v>29</v>
      </c>
      <c r="G322" t="s">
        <v>77</v>
      </c>
      <c r="H322" t="s">
        <v>31</v>
      </c>
      <c r="I322">
        <v>5</v>
      </c>
      <c r="J322">
        <v>8</v>
      </c>
      <c r="K322">
        <v>5.69</v>
      </c>
      <c r="L322">
        <v>1</v>
      </c>
    </row>
    <row r="323" spans="1:12">
      <c r="A323" t="s">
        <v>968</v>
      </c>
      <c r="B323" t="s">
        <v>969</v>
      </c>
      <c r="D323" t="s">
        <v>15</v>
      </c>
      <c r="E323" t="s">
        <v>16</v>
      </c>
      <c r="F323" t="s">
        <v>17</v>
      </c>
      <c r="G323" t="s">
        <v>45</v>
      </c>
      <c r="H323" t="s">
        <v>63</v>
      </c>
      <c r="J323">
        <v>8</v>
      </c>
    </row>
    <row r="324" spans="1:12">
      <c r="A324" t="s">
        <v>970</v>
      </c>
      <c r="B324" t="s">
        <v>971</v>
      </c>
      <c r="C324" t="s">
        <v>972</v>
      </c>
      <c r="D324" t="s">
        <v>23</v>
      </c>
      <c r="E324" t="s">
        <v>59</v>
      </c>
      <c r="F324" t="s">
        <v>17</v>
      </c>
      <c r="G324" t="s">
        <v>18</v>
      </c>
      <c r="H324" t="s">
        <v>31</v>
      </c>
      <c r="I324">
        <v>5</v>
      </c>
      <c r="J324">
        <v>24</v>
      </c>
      <c r="K324">
        <v>9.5500000000000007</v>
      </c>
      <c r="L324">
        <v>1</v>
      </c>
    </row>
    <row r="325" spans="1:12">
      <c r="A325" t="s">
        <v>973</v>
      </c>
      <c r="B325" t="s">
        <v>974</v>
      </c>
      <c r="C325" t="s">
        <v>975</v>
      </c>
      <c r="D325" t="s">
        <v>23</v>
      </c>
      <c r="E325" t="s">
        <v>54</v>
      </c>
      <c r="F325" t="s">
        <v>17</v>
      </c>
      <c r="G325" t="s">
        <v>18</v>
      </c>
      <c r="H325" t="s">
        <v>31</v>
      </c>
      <c r="I325">
        <v>5</v>
      </c>
      <c r="J325">
        <v>24</v>
      </c>
      <c r="K325">
        <v>13.26</v>
      </c>
      <c r="L325">
        <v>1</v>
      </c>
    </row>
    <row r="326" spans="1:12">
      <c r="A326" t="s">
        <v>976</v>
      </c>
      <c r="B326" t="s">
        <v>977</v>
      </c>
      <c r="C326" t="s">
        <v>978</v>
      </c>
      <c r="D326" t="s">
        <v>15</v>
      </c>
      <c r="E326" t="s">
        <v>16</v>
      </c>
      <c r="F326" t="s">
        <v>29</v>
      </c>
      <c r="G326" t="s">
        <v>55</v>
      </c>
      <c r="H326" t="s">
        <v>19</v>
      </c>
      <c r="I326">
        <v>2</v>
      </c>
      <c r="J326">
        <v>8</v>
      </c>
      <c r="K326">
        <v>23.77</v>
      </c>
      <c r="L326">
        <v>0</v>
      </c>
    </row>
    <row r="327" spans="1:12">
      <c r="A327" t="s">
        <v>979</v>
      </c>
      <c r="B327" t="s">
        <v>980</v>
      </c>
      <c r="D327" t="s">
        <v>15</v>
      </c>
      <c r="E327" t="s">
        <v>16</v>
      </c>
      <c r="F327" t="s">
        <v>41</v>
      </c>
      <c r="G327" t="s">
        <v>30</v>
      </c>
      <c r="H327" t="s">
        <v>46</v>
      </c>
      <c r="J327">
        <v>8</v>
      </c>
    </row>
    <row r="328" spans="1:12">
      <c r="A328" t="s">
        <v>981</v>
      </c>
      <c r="B328" t="s">
        <v>982</v>
      </c>
      <c r="C328" t="s">
        <v>983</v>
      </c>
      <c r="D328" t="s">
        <v>23</v>
      </c>
      <c r="E328" t="s">
        <v>16</v>
      </c>
      <c r="F328" t="s">
        <v>17</v>
      </c>
      <c r="G328" t="s">
        <v>18</v>
      </c>
      <c r="H328" t="s">
        <v>19</v>
      </c>
      <c r="I328">
        <v>5</v>
      </c>
      <c r="J328">
        <v>24</v>
      </c>
      <c r="K328">
        <v>7.45</v>
      </c>
      <c r="L328">
        <v>1</v>
      </c>
    </row>
    <row r="329" spans="1:12">
      <c r="A329" t="s">
        <v>984</v>
      </c>
      <c r="B329" t="s">
        <v>985</v>
      </c>
      <c r="C329" t="s">
        <v>986</v>
      </c>
      <c r="D329" t="s">
        <v>23</v>
      </c>
      <c r="E329" t="s">
        <v>54</v>
      </c>
      <c r="F329" t="s">
        <v>29</v>
      </c>
      <c r="G329" t="s">
        <v>151</v>
      </c>
      <c r="H329" t="s">
        <v>19</v>
      </c>
      <c r="I329">
        <v>5</v>
      </c>
      <c r="J329">
        <v>24</v>
      </c>
      <c r="K329">
        <v>15.33</v>
      </c>
      <c r="L329">
        <v>1</v>
      </c>
    </row>
    <row r="330" spans="1:12">
      <c r="A330" t="s">
        <v>987</v>
      </c>
      <c r="B330" t="s">
        <v>988</v>
      </c>
      <c r="D330" t="s">
        <v>23</v>
      </c>
      <c r="E330" t="s">
        <v>16</v>
      </c>
      <c r="F330" t="s">
        <v>29</v>
      </c>
      <c r="G330" t="s">
        <v>50</v>
      </c>
      <c r="H330" t="s">
        <v>63</v>
      </c>
      <c r="J330">
        <v>24</v>
      </c>
    </row>
    <row r="331" spans="1:12">
      <c r="A331" t="s">
        <v>989</v>
      </c>
      <c r="B331" t="s">
        <v>990</v>
      </c>
      <c r="D331" t="s">
        <v>23</v>
      </c>
      <c r="E331" t="s">
        <v>16</v>
      </c>
      <c r="F331" t="s">
        <v>36</v>
      </c>
      <c r="G331" t="s">
        <v>105</v>
      </c>
      <c r="H331" t="s">
        <v>46</v>
      </c>
      <c r="J331">
        <v>24</v>
      </c>
    </row>
    <row r="332" spans="1:12">
      <c r="A332" t="s">
        <v>991</v>
      </c>
      <c r="B332" t="s">
        <v>992</v>
      </c>
      <c r="C332" t="s">
        <v>993</v>
      </c>
      <c r="D332" t="s">
        <v>23</v>
      </c>
      <c r="E332" t="s">
        <v>28</v>
      </c>
      <c r="F332" t="s">
        <v>36</v>
      </c>
      <c r="G332" t="s">
        <v>77</v>
      </c>
      <c r="H332" t="s">
        <v>19</v>
      </c>
      <c r="I332">
        <v>2</v>
      </c>
      <c r="J332">
        <v>24</v>
      </c>
      <c r="K332">
        <v>63.8</v>
      </c>
      <c r="L332">
        <v>0</v>
      </c>
    </row>
    <row r="333" spans="1:12">
      <c r="A333" t="s">
        <v>994</v>
      </c>
      <c r="B333" t="s">
        <v>995</v>
      </c>
      <c r="C333" t="s">
        <v>996</v>
      </c>
      <c r="D333" t="s">
        <v>35</v>
      </c>
      <c r="E333" t="s">
        <v>28</v>
      </c>
      <c r="F333" t="s">
        <v>60</v>
      </c>
      <c r="G333" t="s">
        <v>73</v>
      </c>
      <c r="H333" t="s">
        <v>31</v>
      </c>
      <c r="I333">
        <v>5</v>
      </c>
      <c r="J333">
        <v>48</v>
      </c>
      <c r="K333">
        <v>18.82</v>
      </c>
      <c r="L333">
        <v>1</v>
      </c>
    </row>
    <row r="334" spans="1:12">
      <c r="A334" t="s">
        <v>997</v>
      </c>
      <c r="B334" t="s">
        <v>998</v>
      </c>
      <c r="C334" t="s">
        <v>999</v>
      </c>
      <c r="D334" t="s">
        <v>158</v>
      </c>
      <c r="E334" t="s">
        <v>54</v>
      </c>
      <c r="F334" t="s">
        <v>41</v>
      </c>
      <c r="G334" t="s">
        <v>30</v>
      </c>
      <c r="H334" t="s">
        <v>19</v>
      </c>
      <c r="I334">
        <v>1</v>
      </c>
      <c r="J334">
        <v>4</v>
      </c>
      <c r="K334">
        <v>7.64</v>
      </c>
      <c r="L334">
        <v>0</v>
      </c>
    </row>
    <row r="335" spans="1:12">
      <c r="A335" t="s">
        <v>1000</v>
      </c>
      <c r="B335" t="s">
        <v>1001</v>
      </c>
      <c r="C335" t="s">
        <v>1002</v>
      </c>
      <c r="D335" t="s">
        <v>15</v>
      </c>
      <c r="E335" t="s">
        <v>59</v>
      </c>
      <c r="F335" t="s">
        <v>17</v>
      </c>
      <c r="G335" t="s">
        <v>151</v>
      </c>
      <c r="H335" t="s">
        <v>19</v>
      </c>
      <c r="I335">
        <v>1</v>
      </c>
      <c r="J335">
        <v>8</v>
      </c>
      <c r="K335">
        <v>22.07</v>
      </c>
      <c r="L335">
        <v>0</v>
      </c>
    </row>
    <row r="336" spans="1:12">
      <c r="A336" t="s">
        <v>1003</v>
      </c>
      <c r="B336" t="s">
        <v>1004</v>
      </c>
      <c r="D336" t="s">
        <v>15</v>
      </c>
      <c r="E336" t="s">
        <v>28</v>
      </c>
      <c r="F336" t="s">
        <v>17</v>
      </c>
      <c r="G336" t="s">
        <v>30</v>
      </c>
      <c r="H336" t="s">
        <v>63</v>
      </c>
      <c r="J336">
        <v>8</v>
      </c>
    </row>
    <row r="337" spans="1:12">
      <c r="A337" t="s">
        <v>1005</v>
      </c>
      <c r="B337" t="s">
        <v>1006</v>
      </c>
      <c r="C337" t="s">
        <v>1007</v>
      </c>
      <c r="D337" t="s">
        <v>158</v>
      </c>
      <c r="E337" t="s">
        <v>24</v>
      </c>
      <c r="F337" t="s">
        <v>17</v>
      </c>
      <c r="G337" t="s">
        <v>50</v>
      </c>
      <c r="H337" t="s">
        <v>19</v>
      </c>
      <c r="I337">
        <v>4</v>
      </c>
      <c r="J337">
        <v>4</v>
      </c>
      <c r="K337">
        <v>2.17</v>
      </c>
      <c r="L337">
        <v>1</v>
      </c>
    </row>
    <row r="338" spans="1:12">
      <c r="A338" t="s">
        <v>1008</v>
      </c>
      <c r="B338" t="s">
        <v>1009</v>
      </c>
      <c r="C338" t="s">
        <v>1010</v>
      </c>
      <c r="D338" t="s">
        <v>23</v>
      </c>
      <c r="E338" t="s">
        <v>16</v>
      </c>
      <c r="F338" t="s">
        <v>41</v>
      </c>
      <c r="G338" t="s">
        <v>105</v>
      </c>
      <c r="H338" t="s">
        <v>19</v>
      </c>
      <c r="I338">
        <v>5</v>
      </c>
      <c r="J338">
        <v>24</v>
      </c>
      <c r="K338">
        <v>10.210000000000001</v>
      </c>
      <c r="L338">
        <v>1</v>
      </c>
    </row>
    <row r="339" spans="1:12">
      <c r="A339" t="s">
        <v>1011</v>
      </c>
      <c r="B339" t="s">
        <v>1012</v>
      </c>
      <c r="C339" t="s">
        <v>1013</v>
      </c>
      <c r="D339" t="s">
        <v>15</v>
      </c>
      <c r="E339" t="s">
        <v>28</v>
      </c>
      <c r="F339" t="s">
        <v>29</v>
      </c>
      <c r="G339" t="s">
        <v>73</v>
      </c>
      <c r="H339" t="s">
        <v>19</v>
      </c>
      <c r="I339">
        <v>5</v>
      </c>
      <c r="J339">
        <v>8</v>
      </c>
      <c r="K339">
        <v>6.75</v>
      </c>
      <c r="L339">
        <v>1</v>
      </c>
    </row>
    <row r="340" spans="1:12">
      <c r="A340" t="s">
        <v>1014</v>
      </c>
      <c r="B340" t="s">
        <v>1015</v>
      </c>
      <c r="C340" t="s">
        <v>1016</v>
      </c>
      <c r="D340" t="s">
        <v>15</v>
      </c>
      <c r="E340" t="s">
        <v>28</v>
      </c>
      <c r="F340" t="s">
        <v>36</v>
      </c>
      <c r="G340" t="s">
        <v>55</v>
      </c>
      <c r="H340" t="s">
        <v>31</v>
      </c>
      <c r="I340">
        <v>5</v>
      </c>
      <c r="J340">
        <v>8</v>
      </c>
      <c r="K340">
        <v>5.71</v>
      </c>
      <c r="L340">
        <v>1</v>
      </c>
    </row>
    <row r="341" spans="1:12">
      <c r="A341" t="s">
        <v>1017</v>
      </c>
      <c r="B341" t="s">
        <v>1018</v>
      </c>
      <c r="C341" t="s">
        <v>1019</v>
      </c>
      <c r="D341" t="s">
        <v>35</v>
      </c>
      <c r="E341" t="s">
        <v>54</v>
      </c>
      <c r="F341" t="s">
        <v>41</v>
      </c>
      <c r="G341" t="s">
        <v>18</v>
      </c>
      <c r="H341" t="s">
        <v>19</v>
      </c>
      <c r="I341">
        <v>5</v>
      </c>
      <c r="J341">
        <v>48</v>
      </c>
      <c r="K341">
        <v>35.5</v>
      </c>
      <c r="L341">
        <v>1</v>
      </c>
    </row>
    <row r="342" spans="1:12">
      <c r="A342" t="s">
        <v>1020</v>
      </c>
      <c r="B342" t="s">
        <v>1021</v>
      </c>
      <c r="C342" t="s">
        <v>1022</v>
      </c>
      <c r="D342" t="s">
        <v>23</v>
      </c>
      <c r="E342" t="s">
        <v>28</v>
      </c>
      <c r="F342" t="s">
        <v>17</v>
      </c>
      <c r="G342" t="s">
        <v>18</v>
      </c>
      <c r="H342" t="s">
        <v>19</v>
      </c>
      <c r="I342">
        <v>5</v>
      </c>
      <c r="J342">
        <v>24</v>
      </c>
      <c r="K342">
        <v>13.69</v>
      </c>
      <c r="L342">
        <v>1</v>
      </c>
    </row>
    <row r="343" spans="1:12">
      <c r="A343" t="s">
        <v>1023</v>
      </c>
      <c r="B343" t="s">
        <v>1024</v>
      </c>
      <c r="C343" t="s">
        <v>1025</v>
      </c>
      <c r="D343" t="s">
        <v>15</v>
      </c>
      <c r="E343" t="s">
        <v>59</v>
      </c>
      <c r="F343" t="s">
        <v>36</v>
      </c>
      <c r="G343" t="s">
        <v>151</v>
      </c>
      <c r="H343" t="s">
        <v>31</v>
      </c>
      <c r="I343">
        <v>4</v>
      </c>
      <c r="J343">
        <v>8</v>
      </c>
      <c r="K343">
        <v>4.93</v>
      </c>
      <c r="L343">
        <v>1</v>
      </c>
    </row>
    <row r="344" spans="1:12">
      <c r="A344" t="s">
        <v>1026</v>
      </c>
      <c r="B344" t="s">
        <v>1027</v>
      </c>
      <c r="C344" t="s">
        <v>1028</v>
      </c>
      <c r="D344" t="s">
        <v>15</v>
      </c>
      <c r="E344" t="s">
        <v>24</v>
      </c>
      <c r="F344" t="s">
        <v>17</v>
      </c>
      <c r="G344" t="s">
        <v>50</v>
      </c>
      <c r="H344" t="s">
        <v>19</v>
      </c>
      <c r="I344">
        <v>3</v>
      </c>
      <c r="J344">
        <v>8</v>
      </c>
      <c r="K344">
        <v>5.14</v>
      </c>
      <c r="L344">
        <v>1</v>
      </c>
    </row>
    <row r="345" spans="1:12">
      <c r="A345" t="s">
        <v>1029</v>
      </c>
      <c r="B345" t="s">
        <v>1030</v>
      </c>
      <c r="C345" t="s">
        <v>1031</v>
      </c>
      <c r="D345" t="s">
        <v>35</v>
      </c>
      <c r="E345" t="s">
        <v>59</v>
      </c>
      <c r="F345" t="s">
        <v>29</v>
      </c>
      <c r="G345" t="s">
        <v>73</v>
      </c>
      <c r="H345" t="s">
        <v>19</v>
      </c>
      <c r="I345">
        <v>2</v>
      </c>
      <c r="J345">
        <v>48</v>
      </c>
      <c r="K345">
        <v>89.79</v>
      </c>
      <c r="L345">
        <v>0</v>
      </c>
    </row>
    <row r="346" spans="1:12">
      <c r="A346" t="s">
        <v>1032</v>
      </c>
      <c r="B346" t="s">
        <v>1033</v>
      </c>
      <c r="C346" t="s">
        <v>1034</v>
      </c>
      <c r="D346" t="s">
        <v>23</v>
      </c>
      <c r="E346" t="s">
        <v>59</v>
      </c>
      <c r="F346" t="s">
        <v>36</v>
      </c>
      <c r="G346" t="s">
        <v>30</v>
      </c>
      <c r="H346" t="s">
        <v>31</v>
      </c>
      <c r="I346">
        <v>5</v>
      </c>
      <c r="J346">
        <v>24</v>
      </c>
      <c r="K346">
        <v>6.8</v>
      </c>
      <c r="L346">
        <v>1</v>
      </c>
    </row>
    <row r="347" spans="1:12">
      <c r="A347" t="s">
        <v>1035</v>
      </c>
      <c r="B347" t="s">
        <v>1036</v>
      </c>
      <c r="C347" t="s">
        <v>1037</v>
      </c>
      <c r="D347" t="s">
        <v>23</v>
      </c>
      <c r="E347" t="s">
        <v>28</v>
      </c>
      <c r="F347" t="s">
        <v>60</v>
      </c>
      <c r="G347" t="s">
        <v>37</v>
      </c>
      <c r="H347" t="s">
        <v>19</v>
      </c>
      <c r="I347">
        <v>5</v>
      </c>
      <c r="J347">
        <v>24</v>
      </c>
      <c r="K347">
        <v>15.47</v>
      </c>
      <c r="L347">
        <v>1</v>
      </c>
    </row>
    <row r="348" spans="1:12">
      <c r="A348" t="s">
        <v>1038</v>
      </c>
      <c r="B348" t="s">
        <v>1039</v>
      </c>
      <c r="D348" t="s">
        <v>15</v>
      </c>
      <c r="E348" t="s">
        <v>28</v>
      </c>
      <c r="F348" t="s">
        <v>60</v>
      </c>
      <c r="G348" t="s">
        <v>18</v>
      </c>
      <c r="H348" t="s">
        <v>46</v>
      </c>
      <c r="J348">
        <v>8</v>
      </c>
    </row>
    <row r="349" spans="1:12">
      <c r="A349" t="s">
        <v>1040</v>
      </c>
      <c r="B349" t="s">
        <v>1041</v>
      </c>
      <c r="C349" t="s">
        <v>1042</v>
      </c>
      <c r="D349" t="s">
        <v>23</v>
      </c>
      <c r="E349" t="s">
        <v>28</v>
      </c>
      <c r="F349" t="s">
        <v>36</v>
      </c>
      <c r="G349" t="s">
        <v>45</v>
      </c>
      <c r="H349" t="s">
        <v>31</v>
      </c>
      <c r="I349">
        <v>3</v>
      </c>
      <c r="J349">
        <v>24</v>
      </c>
      <c r="K349">
        <v>19.670000000000002</v>
      </c>
      <c r="L349">
        <v>1</v>
      </c>
    </row>
    <row r="350" spans="1:12">
      <c r="A350" t="s">
        <v>1043</v>
      </c>
      <c r="B350" t="s">
        <v>1044</v>
      </c>
      <c r="C350" t="s">
        <v>1045</v>
      </c>
      <c r="D350" t="s">
        <v>35</v>
      </c>
      <c r="E350" t="s">
        <v>24</v>
      </c>
      <c r="F350" t="s">
        <v>60</v>
      </c>
      <c r="G350" t="s">
        <v>55</v>
      </c>
      <c r="H350" t="s">
        <v>19</v>
      </c>
      <c r="I350">
        <v>4</v>
      </c>
      <c r="J350">
        <v>48</v>
      </c>
      <c r="K350">
        <v>31.65</v>
      </c>
      <c r="L350">
        <v>1</v>
      </c>
    </row>
    <row r="351" spans="1:12">
      <c r="A351" t="s">
        <v>1046</v>
      </c>
      <c r="B351" t="s">
        <v>1047</v>
      </c>
      <c r="D351" t="s">
        <v>23</v>
      </c>
      <c r="E351" t="s">
        <v>16</v>
      </c>
      <c r="F351" t="s">
        <v>17</v>
      </c>
      <c r="G351" t="s">
        <v>50</v>
      </c>
      <c r="H351" t="s">
        <v>63</v>
      </c>
      <c r="J351">
        <v>24</v>
      </c>
    </row>
    <row r="352" spans="1:12">
      <c r="A352" t="s">
        <v>1048</v>
      </c>
      <c r="B352" t="s">
        <v>1049</v>
      </c>
      <c r="C352" t="s">
        <v>1050</v>
      </c>
      <c r="D352" t="s">
        <v>23</v>
      </c>
      <c r="E352" t="s">
        <v>16</v>
      </c>
      <c r="F352" t="s">
        <v>29</v>
      </c>
      <c r="G352" t="s">
        <v>73</v>
      </c>
      <c r="H352" t="s">
        <v>19</v>
      </c>
      <c r="I352">
        <v>5</v>
      </c>
      <c r="J352">
        <v>24</v>
      </c>
      <c r="K352">
        <v>20.22</v>
      </c>
      <c r="L352">
        <v>1</v>
      </c>
    </row>
    <row r="353" spans="1:12">
      <c r="A353" t="s">
        <v>1051</v>
      </c>
      <c r="B353" t="s">
        <v>1052</v>
      </c>
      <c r="C353" t="s">
        <v>1053</v>
      </c>
      <c r="D353" t="s">
        <v>23</v>
      </c>
      <c r="E353" t="s">
        <v>24</v>
      </c>
      <c r="F353" t="s">
        <v>41</v>
      </c>
      <c r="G353" t="s">
        <v>45</v>
      </c>
      <c r="H353" t="s">
        <v>19</v>
      </c>
      <c r="I353">
        <v>5</v>
      </c>
      <c r="J353">
        <v>24</v>
      </c>
      <c r="K353">
        <v>22.29</v>
      </c>
      <c r="L353">
        <v>1</v>
      </c>
    </row>
    <row r="354" spans="1:12">
      <c r="A354" t="s">
        <v>1054</v>
      </c>
      <c r="B354" t="s">
        <v>1055</v>
      </c>
      <c r="C354" t="s">
        <v>1056</v>
      </c>
      <c r="D354" t="s">
        <v>23</v>
      </c>
      <c r="E354" t="s">
        <v>28</v>
      </c>
      <c r="F354" t="s">
        <v>41</v>
      </c>
      <c r="G354" t="s">
        <v>55</v>
      </c>
      <c r="H354" t="s">
        <v>19</v>
      </c>
      <c r="I354">
        <v>5</v>
      </c>
      <c r="J354">
        <v>24</v>
      </c>
      <c r="K354">
        <v>18.18</v>
      </c>
      <c r="L354">
        <v>1</v>
      </c>
    </row>
    <row r="355" spans="1:12">
      <c r="A355" t="s">
        <v>1057</v>
      </c>
      <c r="B355" t="s">
        <v>1058</v>
      </c>
      <c r="C355" t="s">
        <v>1059</v>
      </c>
      <c r="D355" t="s">
        <v>23</v>
      </c>
      <c r="E355" t="s">
        <v>28</v>
      </c>
      <c r="F355" t="s">
        <v>60</v>
      </c>
      <c r="G355" t="s">
        <v>30</v>
      </c>
      <c r="H355" t="s">
        <v>19</v>
      </c>
      <c r="I355">
        <v>2</v>
      </c>
      <c r="J355">
        <v>24</v>
      </c>
      <c r="K355">
        <v>36.65</v>
      </c>
      <c r="L355">
        <v>0</v>
      </c>
    </row>
    <row r="356" spans="1:12">
      <c r="A356" t="s">
        <v>1060</v>
      </c>
      <c r="B356" t="s">
        <v>1061</v>
      </c>
      <c r="C356" t="s">
        <v>1062</v>
      </c>
      <c r="D356" t="s">
        <v>35</v>
      </c>
      <c r="E356" t="s">
        <v>24</v>
      </c>
      <c r="F356" t="s">
        <v>36</v>
      </c>
      <c r="G356" t="s">
        <v>77</v>
      </c>
      <c r="H356" t="s">
        <v>31</v>
      </c>
      <c r="I356">
        <v>4</v>
      </c>
      <c r="J356">
        <v>48</v>
      </c>
      <c r="K356">
        <v>31.55</v>
      </c>
      <c r="L356">
        <v>1</v>
      </c>
    </row>
    <row r="357" spans="1:12">
      <c r="A357" t="s">
        <v>1063</v>
      </c>
      <c r="B357" t="s">
        <v>1064</v>
      </c>
      <c r="C357" t="s">
        <v>1065</v>
      </c>
      <c r="D357" t="s">
        <v>23</v>
      </c>
      <c r="E357" t="s">
        <v>16</v>
      </c>
      <c r="F357" t="s">
        <v>29</v>
      </c>
      <c r="G357" t="s">
        <v>42</v>
      </c>
      <c r="H357" t="s">
        <v>31</v>
      </c>
      <c r="I357">
        <v>3</v>
      </c>
      <c r="J357">
        <v>24</v>
      </c>
      <c r="K357">
        <v>16.14</v>
      </c>
      <c r="L357">
        <v>1</v>
      </c>
    </row>
    <row r="358" spans="1:12">
      <c r="A358" t="s">
        <v>1066</v>
      </c>
      <c r="B358" t="s">
        <v>1067</v>
      </c>
      <c r="C358" t="s">
        <v>1068</v>
      </c>
      <c r="D358" t="s">
        <v>35</v>
      </c>
      <c r="E358" t="s">
        <v>59</v>
      </c>
      <c r="F358" t="s">
        <v>41</v>
      </c>
      <c r="G358" t="s">
        <v>42</v>
      </c>
      <c r="H358" t="s">
        <v>31</v>
      </c>
      <c r="I358">
        <v>2</v>
      </c>
      <c r="J358">
        <v>48</v>
      </c>
      <c r="K358">
        <v>122.8</v>
      </c>
      <c r="L358">
        <v>0</v>
      </c>
    </row>
    <row r="359" spans="1:12">
      <c r="A359" t="s">
        <v>1069</v>
      </c>
      <c r="B359" t="s">
        <v>1070</v>
      </c>
      <c r="C359" t="s">
        <v>1071</v>
      </c>
      <c r="D359" t="s">
        <v>23</v>
      </c>
      <c r="E359" t="s">
        <v>24</v>
      </c>
      <c r="F359" t="s">
        <v>17</v>
      </c>
      <c r="G359" t="s">
        <v>45</v>
      </c>
      <c r="H359" t="s">
        <v>31</v>
      </c>
      <c r="I359">
        <v>4</v>
      </c>
      <c r="J359">
        <v>24</v>
      </c>
      <c r="K359">
        <v>15.1</v>
      </c>
      <c r="L359">
        <v>1</v>
      </c>
    </row>
    <row r="360" spans="1:12">
      <c r="A360" t="s">
        <v>1072</v>
      </c>
      <c r="B360" t="s">
        <v>1073</v>
      </c>
      <c r="D360" t="s">
        <v>35</v>
      </c>
      <c r="E360" t="s">
        <v>59</v>
      </c>
      <c r="F360" t="s">
        <v>17</v>
      </c>
      <c r="G360" t="s">
        <v>105</v>
      </c>
      <c r="H360" t="s">
        <v>63</v>
      </c>
      <c r="J360">
        <v>48</v>
      </c>
    </row>
    <row r="361" spans="1:12">
      <c r="A361" t="s">
        <v>1074</v>
      </c>
      <c r="B361" t="s">
        <v>1075</v>
      </c>
      <c r="C361" t="s">
        <v>1076</v>
      </c>
      <c r="D361" t="s">
        <v>23</v>
      </c>
      <c r="E361" t="s">
        <v>24</v>
      </c>
      <c r="F361" t="s">
        <v>41</v>
      </c>
      <c r="G361" t="s">
        <v>30</v>
      </c>
      <c r="H361" t="s">
        <v>19</v>
      </c>
      <c r="I361">
        <v>5</v>
      </c>
      <c r="J361">
        <v>24</v>
      </c>
      <c r="K361">
        <v>19.53</v>
      </c>
      <c r="L361">
        <v>1</v>
      </c>
    </row>
    <row r="362" spans="1:12">
      <c r="A362" t="s">
        <v>1077</v>
      </c>
      <c r="B362" t="s">
        <v>1078</v>
      </c>
      <c r="C362" t="s">
        <v>1079</v>
      </c>
      <c r="D362" t="s">
        <v>158</v>
      </c>
      <c r="E362" t="s">
        <v>54</v>
      </c>
      <c r="F362" t="s">
        <v>29</v>
      </c>
      <c r="G362" t="s">
        <v>42</v>
      </c>
      <c r="H362" t="s">
        <v>19</v>
      </c>
      <c r="I362">
        <v>4</v>
      </c>
      <c r="J362">
        <v>4</v>
      </c>
      <c r="K362">
        <v>7.47</v>
      </c>
      <c r="L362">
        <v>0</v>
      </c>
    </row>
    <row r="363" spans="1:12">
      <c r="A363" t="s">
        <v>1080</v>
      </c>
      <c r="B363" t="s">
        <v>1081</v>
      </c>
      <c r="C363" t="s">
        <v>1082</v>
      </c>
      <c r="D363" t="s">
        <v>23</v>
      </c>
      <c r="E363" t="s">
        <v>24</v>
      </c>
      <c r="F363" t="s">
        <v>17</v>
      </c>
      <c r="G363" t="s">
        <v>77</v>
      </c>
      <c r="H363" t="s">
        <v>19</v>
      </c>
      <c r="I363">
        <v>3</v>
      </c>
      <c r="J363">
        <v>24</v>
      </c>
      <c r="K363">
        <v>46.66</v>
      </c>
      <c r="L363">
        <v>0</v>
      </c>
    </row>
    <row r="364" spans="1:12">
      <c r="A364" t="s">
        <v>1083</v>
      </c>
      <c r="B364" t="s">
        <v>1084</v>
      </c>
      <c r="C364" t="s">
        <v>1085</v>
      </c>
      <c r="D364" t="s">
        <v>158</v>
      </c>
      <c r="E364" t="s">
        <v>24</v>
      </c>
      <c r="F364" t="s">
        <v>41</v>
      </c>
      <c r="G364" t="s">
        <v>42</v>
      </c>
      <c r="H364" t="s">
        <v>31</v>
      </c>
      <c r="I364">
        <v>4</v>
      </c>
      <c r="J364">
        <v>4</v>
      </c>
      <c r="K364">
        <v>2.65</v>
      </c>
      <c r="L364">
        <v>1</v>
      </c>
    </row>
    <row r="365" spans="1:12">
      <c r="A365" t="s">
        <v>1086</v>
      </c>
      <c r="B365" t="s">
        <v>1087</v>
      </c>
      <c r="C365" t="s">
        <v>1088</v>
      </c>
      <c r="D365" t="s">
        <v>15</v>
      </c>
      <c r="E365" t="s">
        <v>28</v>
      </c>
      <c r="F365" t="s">
        <v>41</v>
      </c>
      <c r="G365" t="s">
        <v>105</v>
      </c>
      <c r="H365" t="s">
        <v>31</v>
      </c>
      <c r="I365">
        <v>4</v>
      </c>
      <c r="J365">
        <v>8</v>
      </c>
      <c r="K365">
        <v>3.88</v>
      </c>
      <c r="L365">
        <v>1</v>
      </c>
    </row>
    <row r="366" spans="1:12">
      <c r="A366" t="s">
        <v>1089</v>
      </c>
      <c r="B366" t="s">
        <v>1090</v>
      </c>
      <c r="C366" t="s">
        <v>1091</v>
      </c>
      <c r="D366" t="s">
        <v>15</v>
      </c>
      <c r="E366" t="s">
        <v>16</v>
      </c>
      <c r="F366" t="s">
        <v>36</v>
      </c>
      <c r="G366" t="s">
        <v>73</v>
      </c>
      <c r="H366" t="s">
        <v>19</v>
      </c>
      <c r="I366">
        <v>4</v>
      </c>
      <c r="J366">
        <v>8</v>
      </c>
      <c r="K366">
        <v>2.94</v>
      </c>
      <c r="L366">
        <v>1</v>
      </c>
    </row>
    <row r="367" spans="1:12">
      <c r="A367" t="s">
        <v>1092</v>
      </c>
      <c r="B367" t="s">
        <v>1093</v>
      </c>
      <c r="C367" t="s">
        <v>1094</v>
      </c>
      <c r="D367" t="s">
        <v>35</v>
      </c>
      <c r="E367" t="s">
        <v>28</v>
      </c>
      <c r="F367" t="s">
        <v>29</v>
      </c>
      <c r="G367" t="s">
        <v>50</v>
      </c>
      <c r="H367" t="s">
        <v>19</v>
      </c>
      <c r="I367">
        <v>5</v>
      </c>
      <c r="J367">
        <v>48</v>
      </c>
      <c r="K367">
        <v>11.23</v>
      </c>
      <c r="L367">
        <v>1</v>
      </c>
    </row>
    <row r="368" spans="1:12">
      <c r="A368" t="s">
        <v>1095</v>
      </c>
      <c r="B368" t="s">
        <v>1096</v>
      </c>
      <c r="C368" t="s">
        <v>1097</v>
      </c>
      <c r="D368" t="s">
        <v>23</v>
      </c>
      <c r="E368" t="s">
        <v>54</v>
      </c>
      <c r="F368" t="s">
        <v>17</v>
      </c>
      <c r="G368" t="s">
        <v>172</v>
      </c>
      <c r="H368" t="s">
        <v>19</v>
      </c>
      <c r="I368">
        <v>4</v>
      </c>
      <c r="J368">
        <v>24</v>
      </c>
      <c r="K368">
        <v>22.16</v>
      </c>
      <c r="L368">
        <v>1</v>
      </c>
    </row>
    <row r="369" spans="1:12">
      <c r="A369" t="s">
        <v>1098</v>
      </c>
      <c r="B369" t="s">
        <v>1099</v>
      </c>
      <c r="D369" t="s">
        <v>23</v>
      </c>
      <c r="E369" t="s">
        <v>28</v>
      </c>
      <c r="F369" t="s">
        <v>17</v>
      </c>
      <c r="G369" t="s">
        <v>30</v>
      </c>
      <c r="H369" t="s">
        <v>63</v>
      </c>
      <c r="J369">
        <v>24</v>
      </c>
    </row>
    <row r="370" spans="1:12">
      <c r="A370" t="s">
        <v>1100</v>
      </c>
      <c r="B370" t="s">
        <v>1101</v>
      </c>
      <c r="C370" t="s">
        <v>1102</v>
      </c>
      <c r="D370" t="s">
        <v>23</v>
      </c>
      <c r="E370" t="s">
        <v>16</v>
      </c>
      <c r="F370" t="s">
        <v>17</v>
      </c>
      <c r="G370" t="s">
        <v>42</v>
      </c>
      <c r="H370" t="s">
        <v>19</v>
      </c>
      <c r="I370">
        <v>3</v>
      </c>
      <c r="J370">
        <v>24</v>
      </c>
      <c r="K370">
        <v>5.25</v>
      </c>
      <c r="L370">
        <v>1</v>
      </c>
    </row>
    <row r="371" spans="1:12">
      <c r="A371" t="s">
        <v>1103</v>
      </c>
      <c r="B371" t="s">
        <v>1104</v>
      </c>
      <c r="C371" t="s">
        <v>1105</v>
      </c>
      <c r="D371" t="s">
        <v>23</v>
      </c>
      <c r="E371" t="s">
        <v>28</v>
      </c>
      <c r="F371" t="s">
        <v>17</v>
      </c>
      <c r="G371" t="s">
        <v>37</v>
      </c>
      <c r="H371" t="s">
        <v>19</v>
      </c>
      <c r="I371">
        <v>5</v>
      </c>
      <c r="J371">
        <v>24</v>
      </c>
      <c r="K371">
        <v>15.55</v>
      </c>
      <c r="L371">
        <v>1</v>
      </c>
    </row>
    <row r="372" spans="1:12">
      <c r="A372" t="s">
        <v>1106</v>
      </c>
      <c r="B372" t="s">
        <v>1107</v>
      </c>
      <c r="D372" t="s">
        <v>35</v>
      </c>
      <c r="E372" t="s">
        <v>24</v>
      </c>
      <c r="F372" t="s">
        <v>36</v>
      </c>
      <c r="G372" t="s">
        <v>18</v>
      </c>
      <c r="H372" t="s">
        <v>63</v>
      </c>
      <c r="J372">
        <v>48</v>
      </c>
    </row>
    <row r="373" spans="1:12">
      <c r="A373" t="s">
        <v>1108</v>
      </c>
      <c r="B373" t="s">
        <v>1109</v>
      </c>
      <c r="C373" t="s">
        <v>1110</v>
      </c>
      <c r="D373" t="s">
        <v>35</v>
      </c>
      <c r="E373" t="s">
        <v>24</v>
      </c>
      <c r="F373" t="s">
        <v>29</v>
      </c>
      <c r="G373" t="s">
        <v>42</v>
      </c>
      <c r="H373" t="s">
        <v>19</v>
      </c>
      <c r="I373">
        <v>5</v>
      </c>
      <c r="J373">
        <v>48</v>
      </c>
      <c r="K373">
        <v>11.65</v>
      </c>
      <c r="L373">
        <v>1</v>
      </c>
    </row>
    <row r="374" spans="1:12">
      <c r="A374" t="s">
        <v>1111</v>
      </c>
      <c r="B374" t="s">
        <v>1112</v>
      </c>
      <c r="C374" t="s">
        <v>1113</v>
      </c>
      <c r="D374" t="s">
        <v>23</v>
      </c>
      <c r="E374" t="s">
        <v>28</v>
      </c>
      <c r="F374" t="s">
        <v>41</v>
      </c>
      <c r="G374" t="s">
        <v>151</v>
      </c>
      <c r="H374" t="s">
        <v>19</v>
      </c>
      <c r="I374">
        <v>4</v>
      </c>
      <c r="J374">
        <v>24</v>
      </c>
      <c r="K374">
        <v>20.93</v>
      </c>
      <c r="L374">
        <v>1</v>
      </c>
    </row>
    <row r="375" spans="1:12">
      <c r="A375" t="s">
        <v>1114</v>
      </c>
      <c r="B375" t="s">
        <v>1115</v>
      </c>
      <c r="C375" t="s">
        <v>1116</v>
      </c>
      <c r="D375" t="s">
        <v>35</v>
      </c>
      <c r="E375" t="s">
        <v>54</v>
      </c>
      <c r="F375" t="s">
        <v>60</v>
      </c>
      <c r="G375" t="s">
        <v>55</v>
      </c>
      <c r="H375" t="s">
        <v>19</v>
      </c>
      <c r="I375">
        <v>5</v>
      </c>
      <c r="J375">
        <v>48</v>
      </c>
      <c r="K375">
        <v>21.61</v>
      </c>
      <c r="L375">
        <v>1</v>
      </c>
    </row>
    <row r="376" spans="1:12">
      <c r="A376" t="s">
        <v>1117</v>
      </c>
      <c r="B376" t="s">
        <v>1118</v>
      </c>
      <c r="C376" t="s">
        <v>1119</v>
      </c>
      <c r="D376" t="s">
        <v>158</v>
      </c>
      <c r="E376" t="s">
        <v>28</v>
      </c>
      <c r="F376" t="s">
        <v>41</v>
      </c>
      <c r="G376" t="s">
        <v>18</v>
      </c>
      <c r="H376" t="s">
        <v>31</v>
      </c>
      <c r="I376">
        <v>5</v>
      </c>
      <c r="J376">
        <v>4</v>
      </c>
      <c r="K376">
        <v>1.25</v>
      </c>
      <c r="L376">
        <v>1</v>
      </c>
    </row>
    <row r="377" spans="1:12">
      <c r="A377" t="s">
        <v>1120</v>
      </c>
      <c r="B377" t="s">
        <v>1121</v>
      </c>
      <c r="C377" t="s">
        <v>1122</v>
      </c>
      <c r="D377" t="s">
        <v>23</v>
      </c>
      <c r="E377" t="s">
        <v>59</v>
      </c>
      <c r="F377" t="s">
        <v>29</v>
      </c>
      <c r="G377" t="s">
        <v>50</v>
      </c>
      <c r="H377" t="s">
        <v>19</v>
      </c>
      <c r="I377">
        <v>5</v>
      </c>
      <c r="J377">
        <v>24</v>
      </c>
      <c r="K377">
        <v>21.02</v>
      </c>
      <c r="L377">
        <v>1</v>
      </c>
    </row>
    <row r="378" spans="1:12">
      <c r="A378" t="s">
        <v>1123</v>
      </c>
      <c r="B378" t="s">
        <v>1124</v>
      </c>
      <c r="C378" t="s">
        <v>1125</v>
      </c>
      <c r="D378" t="s">
        <v>15</v>
      </c>
      <c r="E378" t="s">
        <v>24</v>
      </c>
      <c r="F378" t="s">
        <v>60</v>
      </c>
      <c r="G378" t="s">
        <v>18</v>
      </c>
      <c r="H378" t="s">
        <v>19</v>
      </c>
      <c r="I378">
        <v>5</v>
      </c>
      <c r="J378">
        <v>8</v>
      </c>
      <c r="K378">
        <v>2.71</v>
      </c>
      <c r="L378">
        <v>1</v>
      </c>
    </row>
    <row r="379" spans="1:12">
      <c r="A379" t="s">
        <v>1126</v>
      </c>
      <c r="B379" t="s">
        <v>1127</v>
      </c>
      <c r="C379" t="s">
        <v>1128</v>
      </c>
      <c r="D379" t="s">
        <v>23</v>
      </c>
      <c r="E379" t="s">
        <v>16</v>
      </c>
      <c r="F379" t="s">
        <v>17</v>
      </c>
      <c r="G379" t="s">
        <v>73</v>
      </c>
      <c r="H379" t="s">
        <v>19</v>
      </c>
      <c r="I379">
        <v>5</v>
      </c>
      <c r="J379">
        <v>24</v>
      </c>
      <c r="K379">
        <v>7.84</v>
      </c>
      <c r="L379">
        <v>1</v>
      </c>
    </row>
    <row r="380" spans="1:12">
      <c r="A380" t="s">
        <v>1129</v>
      </c>
      <c r="B380" t="s">
        <v>1130</v>
      </c>
      <c r="C380" t="s">
        <v>1131</v>
      </c>
      <c r="D380" t="s">
        <v>23</v>
      </c>
      <c r="E380" t="s">
        <v>16</v>
      </c>
      <c r="F380" t="s">
        <v>17</v>
      </c>
      <c r="G380" t="s">
        <v>55</v>
      </c>
      <c r="H380" t="s">
        <v>31</v>
      </c>
      <c r="I380">
        <v>5</v>
      </c>
      <c r="J380">
        <v>24</v>
      </c>
      <c r="K380">
        <v>9.64</v>
      </c>
      <c r="L380">
        <v>1</v>
      </c>
    </row>
    <row r="381" spans="1:12">
      <c r="A381" t="s">
        <v>1132</v>
      </c>
      <c r="B381" t="s">
        <v>1133</v>
      </c>
      <c r="C381" t="s">
        <v>1134</v>
      </c>
      <c r="D381" t="s">
        <v>15</v>
      </c>
      <c r="E381" t="s">
        <v>28</v>
      </c>
      <c r="F381" t="s">
        <v>29</v>
      </c>
      <c r="G381" t="s">
        <v>105</v>
      </c>
      <c r="H381" t="s">
        <v>31</v>
      </c>
      <c r="I381">
        <v>3</v>
      </c>
      <c r="J381">
        <v>8</v>
      </c>
      <c r="K381">
        <v>8.84</v>
      </c>
      <c r="L381">
        <v>0</v>
      </c>
    </row>
    <row r="382" spans="1:12">
      <c r="A382" t="s">
        <v>1135</v>
      </c>
      <c r="B382" t="s">
        <v>1136</v>
      </c>
      <c r="C382" t="s">
        <v>1137</v>
      </c>
      <c r="D382" t="s">
        <v>23</v>
      </c>
      <c r="E382" t="s">
        <v>54</v>
      </c>
      <c r="F382" t="s">
        <v>17</v>
      </c>
      <c r="G382" t="s">
        <v>50</v>
      </c>
      <c r="H382" t="s">
        <v>19</v>
      </c>
      <c r="I382">
        <v>3</v>
      </c>
      <c r="J382">
        <v>24</v>
      </c>
      <c r="K382">
        <v>3.17</v>
      </c>
      <c r="L382">
        <v>1</v>
      </c>
    </row>
    <row r="383" spans="1:12">
      <c r="A383" t="s">
        <v>1138</v>
      </c>
      <c r="B383" t="s">
        <v>1139</v>
      </c>
      <c r="D383" t="s">
        <v>15</v>
      </c>
      <c r="E383" t="s">
        <v>28</v>
      </c>
      <c r="F383" t="s">
        <v>36</v>
      </c>
      <c r="G383" t="s">
        <v>172</v>
      </c>
      <c r="H383" t="s">
        <v>63</v>
      </c>
      <c r="J383">
        <v>8</v>
      </c>
    </row>
    <row r="384" spans="1:12">
      <c r="A384" t="s">
        <v>1140</v>
      </c>
      <c r="B384" t="s">
        <v>1141</v>
      </c>
      <c r="C384" t="s">
        <v>1142</v>
      </c>
      <c r="D384" t="s">
        <v>35</v>
      </c>
      <c r="E384" t="s">
        <v>28</v>
      </c>
      <c r="F384" t="s">
        <v>17</v>
      </c>
      <c r="G384" t="s">
        <v>172</v>
      </c>
      <c r="H384" t="s">
        <v>19</v>
      </c>
      <c r="I384">
        <v>4</v>
      </c>
      <c r="J384">
        <v>48</v>
      </c>
      <c r="K384">
        <v>33.549999999999997</v>
      </c>
      <c r="L384">
        <v>1</v>
      </c>
    </row>
    <row r="385" spans="1:12">
      <c r="A385" t="s">
        <v>1143</v>
      </c>
      <c r="B385" t="s">
        <v>1144</v>
      </c>
      <c r="C385" t="s">
        <v>1145</v>
      </c>
      <c r="D385" t="s">
        <v>35</v>
      </c>
      <c r="E385" t="s">
        <v>16</v>
      </c>
      <c r="F385" t="s">
        <v>36</v>
      </c>
      <c r="G385" t="s">
        <v>172</v>
      </c>
      <c r="H385" t="s">
        <v>31</v>
      </c>
      <c r="I385">
        <v>4</v>
      </c>
      <c r="J385">
        <v>48</v>
      </c>
      <c r="K385">
        <v>28.71</v>
      </c>
      <c r="L385">
        <v>1</v>
      </c>
    </row>
    <row r="386" spans="1:12">
      <c r="A386" t="s">
        <v>1146</v>
      </c>
      <c r="B386" t="s">
        <v>1147</v>
      </c>
      <c r="D386" t="s">
        <v>15</v>
      </c>
      <c r="E386" t="s">
        <v>24</v>
      </c>
      <c r="F386" t="s">
        <v>41</v>
      </c>
      <c r="G386" t="s">
        <v>151</v>
      </c>
      <c r="H386" t="s">
        <v>46</v>
      </c>
      <c r="J386">
        <v>8</v>
      </c>
    </row>
    <row r="387" spans="1:12">
      <c r="A387" t="s">
        <v>1148</v>
      </c>
      <c r="B387" t="s">
        <v>1149</v>
      </c>
      <c r="C387" t="s">
        <v>1150</v>
      </c>
      <c r="D387" t="s">
        <v>15</v>
      </c>
      <c r="E387" t="s">
        <v>16</v>
      </c>
      <c r="F387" t="s">
        <v>60</v>
      </c>
      <c r="G387" t="s">
        <v>105</v>
      </c>
      <c r="H387" t="s">
        <v>31</v>
      </c>
      <c r="I387">
        <v>5</v>
      </c>
      <c r="J387">
        <v>8</v>
      </c>
      <c r="K387">
        <v>3.23</v>
      </c>
      <c r="L387">
        <v>1</v>
      </c>
    </row>
    <row r="388" spans="1:12">
      <c r="A388" t="s">
        <v>1151</v>
      </c>
      <c r="B388" t="s">
        <v>1152</v>
      </c>
      <c r="C388" t="s">
        <v>1153</v>
      </c>
      <c r="D388" t="s">
        <v>15</v>
      </c>
      <c r="E388" t="s">
        <v>28</v>
      </c>
      <c r="F388" t="s">
        <v>29</v>
      </c>
      <c r="G388" t="s">
        <v>73</v>
      </c>
      <c r="H388" t="s">
        <v>19</v>
      </c>
      <c r="I388">
        <v>5</v>
      </c>
      <c r="J388">
        <v>8</v>
      </c>
      <c r="K388">
        <v>5.57</v>
      </c>
      <c r="L388">
        <v>1</v>
      </c>
    </row>
    <row r="389" spans="1:12">
      <c r="A389" t="s">
        <v>1154</v>
      </c>
      <c r="B389" t="s">
        <v>1155</v>
      </c>
      <c r="C389" t="s">
        <v>1156</v>
      </c>
      <c r="D389" t="s">
        <v>35</v>
      </c>
      <c r="E389" t="s">
        <v>59</v>
      </c>
      <c r="F389" t="s">
        <v>36</v>
      </c>
      <c r="G389" t="s">
        <v>73</v>
      </c>
      <c r="H389" t="s">
        <v>31</v>
      </c>
      <c r="I389">
        <v>1</v>
      </c>
      <c r="J389">
        <v>48</v>
      </c>
      <c r="K389">
        <v>140.96</v>
      </c>
      <c r="L389">
        <v>0</v>
      </c>
    </row>
    <row r="390" spans="1:12">
      <c r="A390" t="s">
        <v>1157</v>
      </c>
      <c r="B390" t="s">
        <v>1158</v>
      </c>
      <c r="C390" t="s">
        <v>1159</v>
      </c>
      <c r="D390" t="s">
        <v>15</v>
      </c>
      <c r="E390" t="s">
        <v>28</v>
      </c>
      <c r="F390" t="s">
        <v>29</v>
      </c>
      <c r="G390" t="s">
        <v>105</v>
      </c>
      <c r="H390" t="s">
        <v>19</v>
      </c>
      <c r="I390">
        <v>5</v>
      </c>
      <c r="J390">
        <v>8</v>
      </c>
      <c r="K390">
        <v>2.97</v>
      </c>
      <c r="L390">
        <v>1</v>
      </c>
    </row>
    <row r="391" spans="1:12">
      <c r="A391" t="s">
        <v>1160</v>
      </c>
      <c r="B391" t="s">
        <v>1161</v>
      </c>
      <c r="C391" t="s">
        <v>1162</v>
      </c>
      <c r="D391" t="s">
        <v>35</v>
      </c>
      <c r="E391" t="s">
        <v>54</v>
      </c>
      <c r="F391" t="s">
        <v>29</v>
      </c>
      <c r="G391" t="s">
        <v>50</v>
      </c>
      <c r="H391" t="s">
        <v>19</v>
      </c>
      <c r="I391">
        <v>4</v>
      </c>
      <c r="J391">
        <v>48</v>
      </c>
      <c r="K391">
        <v>33.08</v>
      </c>
      <c r="L391">
        <v>1</v>
      </c>
    </row>
    <row r="392" spans="1:12">
      <c r="A392" t="s">
        <v>1163</v>
      </c>
      <c r="B392" t="s">
        <v>1164</v>
      </c>
      <c r="C392" t="s">
        <v>1165</v>
      </c>
      <c r="D392" t="s">
        <v>15</v>
      </c>
      <c r="E392" t="s">
        <v>24</v>
      </c>
      <c r="F392" t="s">
        <v>41</v>
      </c>
      <c r="G392" t="s">
        <v>50</v>
      </c>
      <c r="H392" t="s">
        <v>31</v>
      </c>
      <c r="I392">
        <v>2</v>
      </c>
      <c r="J392">
        <v>8</v>
      </c>
      <c r="K392">
        <v>22.2</v>
      </c>
      <c r="L392">
        <v>0</v>
      </c>
    </row>
    <row r="393" spans="1:12">
      <c r="A393" t="s">
        <v>1166</v>
      </c>
      <c r="B393" t="s">
        <v>1167</v>
      </c>
      <c r="C393" t="s">
        <v>1168</v>
      </c>
      <c r="D393" t="s">
        <v>23</v>
      </c>
      <c r="E393" t="s">
        <v>28</v>
      </c>
      <c r="F393" t="s">
        <v>41</v>
      </c>
      <c r="G393" t="s">
        <v>55</v>
      </c>
      <c r="H393" t="s">
        <v>31</v>
      </c>
      <c r="I393">
        <v>3</v>
      </c>
      <c r="J393">
        <v>24</v>
      </c>
      <c r="K393">
        <v>5.72</v>
      </c>
      <c r="L393">
        <v>1</v>
      </c>
    </row>
    <row r="394" spans="1:12">
      <c r="A394" t="s">
        <v>1169</v>
      </c>
      <c r="B394" t="s">
        <v>1170</v>
      </c>
      <c r="C394" t="s">
        <v>1171</v>
      </c>
      <c r="D394" t="s">
        <v>158</v>
      </c>
      <c r="E394" t="s">
        <v>24</v>
      </c>
      <c r="F394" t="s">
        <v>29</v>
      </c>
      <c r="G394" t="s">
        <v>42</v>
      </c>
      <c r="H394" t="s">
        <v>19</v>
      </c>
      <c r="I394">
        <v>5</v>
      </c>
      <c r="J394">
        <v>4</v>
      </c>
      <c r="K394">
        <v>1.68</v>
      </c>
      <c r="L394">
        <v>1</v>
      </c>
    </row>
    <row r="395" spans="1:12">
      <c r="A395" t="s">
        <v>1172</v>
      </c>
      <c r="B395" t="s">
        <v>1173</v>
      </c>
      <c r="D395" t="s">
        <v>35</v>
      </c>
      <c r="E395" t="s">
        <v>28</v>
      </c>
      <c r="F395" t="s">
        <v>29</v>
      </c>
      <c r="G395" t="s">
        <v>55</v>
      </c>
      <c r="H395" t="s">
        <v>46</v>
      </c>
      <c r="J395">
        <v>48</v>
      </c>
    </row>
    <row r="396" spans="1:12">
      <c r="A396" t="s">
        <v>1174</v>
      </c>
      <c r="B396" t="s">
        <v>1175</v>
      </c>
      <c r="C396" t="s">
        <v>1176</v>
      </c>
      <c r="D396" t="s">
        <v>23</v>
      </c>
      <c r="E396" t="s">
        <v>24</v>
      </c>
      <c r="F396" t="s">
        <v>17</v>
      </c>
      <c r="G396" t="s">
        <v>55</v>
      </c>
      <c r="H396" t="s">
        <v>31</v>
      </c>
      <c r="I396">
        <v>4</v>
      </c>
      <c r="J396">
        <v>24</v>
      </c>
      <c r="K396">
        <v>4.47</v>
      </c>
      <c r="L396">
        <v>1</v>
      </c>
    </row>
    <row r="397" spans="1:12">
      <c r="A397" t="s">
        <v>1177</v>
      </c>
      <c r="B397" t="s">
        <v>1178</v>
      </c>
      <c r="C397" t="s">
        <v>1179</v>
      </c>
      <c r="D397" t="s">
        <v>23</v>
      </c>
      <c r="E397" t="s">
        <v>54</v>
      </c>
      <c r="F397" t="s">
        <v>60</v>
      </c>
      <c r="G397" t="s">
        <v>45</v>
      </c>
      <c r="H397" t="s">
        <v>31</v>
      </c>
      <c r="I397">
        <v>4</v>
      </c>
      <c r="J397">
        <v>24</v>
      </c>
      <c r="K397">
        <v>4.3600000000000003</v>
      </c>
      <c r="L397">
        <v>1</v>
      </c>
    </row>
    <row r="398" spans="1:12">
      <c r="A398" t="s">
        <v>1180</v>
      </c>
      <c r="B398" t="s">
        <v>1181</v>
      </c>
      <c r="C398" t="s">
        <v>1182</v>
      </c>
      <c r="D398" t="s">
        <v>35</v>
      </c>
      <c r="E398" t="s">
        <v>24</v>
      </c>
      <c r="F398" t="s">
        <v>29</v>
      </c>
      <c r="G398" t="s">
        <v>30</v>
      </c>
      <c r="H398" t="s">
        <v>19</v>
      </c>
      <c r="I398">
        <v>5</v>
      </c>
      <c r="J398">
        <v>48</v>
      </c>
      <c r="K398">
        <v>31.81</v>
      </c>
      <c r="L398">
        <v>1</v>
      </c>
    </row>
    <row r="399" spans="1:12">
      <c r="A399" t="s">
        <v>1183</v>
      </c>
      <c r="B399" t="s">
        <v>1184</v>
      </c>
      <c r="C399" t="s">
        <v>1185</v>
      </c>
      <c r="D399" t="s">
        <v>158</v>
      </c>
      <c r="E399" t="s">
        <v>28</v>
      </c>
      <c r="F399" t="s">
        <v>29</v>
      </c>
      <c r="G399" t="s">
        <v>42</v>
      </c>
      <c r="H399" t="s">
        <v>19</v>
      </c>
      <c r="I399">
        <v>4</v>
      </c>
      <c r="J399">
        <v>4</v>
      </c>
      <c r="K399">
        <v>3.07</v>
      </c>
      <c r="L399">
        <v>1</v>
      </c>
    </row>
    <row r="400" spans="1:12">
      <c r="A400" t="s">
        <v>1186</v>
      </c>
      <c r="B400" t="s">
        <v>1187</v>
      </c>
      <c r="C400" t="s">
        <v>1188</v>
      </c>
      <c r="D400" t="s">
        <v>23</v>
      </c>
      <c r="E400" t="s">
        <v>24</v>
      </c>
      <c r="F400" t="s">
        <v>60</v>
      </c>
      <c r="G400" t="s">
        <v>37</v>
      </c>
      <c r="H400" t="s">
        <v>19</v>
      </c>
      <c r="I400">
        <v>2</v>
      </c>
      <c r="J400">
        <v>24</v>
      </c>
      <c r="K400">
        <v>42.49</v>
      </c>
      <c r="L400">
        <v>0</v>
      </c>
    </row>
    <row r="401" spans="1:12">
      <c r="A401" t="s">
        <v>1189</v>
      </c>
      <c r="B401" t="s">
        <v>1190</v>
      </c>
      <c r="C401" t="s">
        <v>1191</v>
      </c>
      <c r="D401" t="s">
        <v>23</v>
      </c>
      <c r="E401" t="s">
        <v>28</v>
      </c>
      <c r="F401" t="s">
        <v>29</v>
      </c>
      <c r="G401" t="s">
        <v>55</v>
      </c>
      <c r="H401" t="s">
        <v>19</v>
      </c>
      <c r="I401">
        <v>3</v>
      </c>
      <c r="J401">
        <v>24</v>
      </c>
      <c r="K401">
        <v>16.02</v>
      </c>
      <c r="L401">
        <v>1</v>
      </c>
    </row>
    <row r="402" spans="1:12">
      <c r="A402" t="s">
        <v>1192</v>
      </c>
      <c r="B402" t="s">
        <v>1193</v>
      </c>
      <c r="C402" t="s">
        <v>1194</v>
      </c>
      <c r="D402" t="s">
        <v>35</v>
      </c>
      <c r="E402" t="s">
        <v>28</v>
      </c>
      <c r="F402" t="s">
        <v>60</v>
      </c>
      <c r="G402" t="s">
        <v>18</v>
      </c>
      <c r="H402" t="s">
        <v>31</v>
      </c>
      <c r="I402">
        <v>2</v>
      </c>
      <c r="J402">
        <v>48</v>
      </c>
      <c r="K402">
        <v>127</v>
      </c>
      <c r="L402">
        <v>0</v>
      </c>
    </row>
    <row r="403" spans="1:12">
      <c r="A403" t="s">
        <v>1195</v>
      </c>
      <c r="B403" t="s">
        <v>1196</v>
      </c>
      <c r="C403" t="s">
        <v>1197</v>
      </c>
      <c r="D403" t="s">
        <v>23</v>
      </c>
      <c r="E403" t="s">
        <v>59</v>
      </c>
      <c r="F403" t="s">
        <v>60</v>
      </c>
      <c r="G403" t="s">
        <v>18</v>
      </c>
      <c r="H403" t="s">
        <v>19</v>
      </c>
      <c r="I403">
        <v>5</v>
      </c>
      <c r="J403">
        <v>24</v>
      </c>
      <c r="K403">
        <v>20.82</v>
      </c>
      <c r="L403">
        <v>1</v>
      </c>
    </row>
    <row r="404" spans="1:12">
      <c r="A404" t="s">
        <v>1198</v>
      </c>
      <c r="B404" t="s">
        <v>1199</v>
      </c>
      <c r="D404" t="s">
        <v>23</v>
      </c>
      <c r="E404" t="s">
        <v>28</v>
      </c>
      <c r="F404" t="s">
        <v>60</v>
      </c>
      <c r="G404" t="s">
        <v>151</v>
      </c>
      <c r="H404" t="s">
        <v>46</v>
      </c>
      <c r="J404">
        <v>24</v>
      </c>
    </row>
    <row r="405" spans="1:12">
      <c r="A405" t="s">
        <v>1200</v>
      </c>
      <c r="B405" t="s">
        <v>1201</v>
      </c>
      <c r="D405" t="s">
        <v>15</v>
      </c>
      <c r="E405" t="s">
        <v>16</v>
      </c>
      <c r="F405" t="s">
        <v>17</v>
      </c>
      <c r="G405" t="s">
        <v>73</v>
      </c>
      <c r="H405" t="s">
        <v>46</v>
      </c>
      <c r="J405">
        <v>8</v>
      </c>
    </row>
    <row r="406" spans="1:12">
      <c r="A406" t="s">
        <v>1202</v>
      </c>
      <c r="B406" t="s">
        <v>1203</v>
      </c>
      <c r="C406" t="s">
        <v>1204</v>
      </c>
      <c r="D406" t="s">
        <v>15</v>
      </c>
      <c r="E406" t="s">
        <v>24</v>
      </c>
      <c r="F406" t="s">
        <v>36</v>
      </c>
      <c r="G406" t="s">
        <v>151</v>
      </c>
      <c r="H406" t="s">
        <v>19</v>
      </c>
      <c r="I406">
        <v>3</v>
      </c>
      <c r="J406">
        <v>8</v>
      </c>
      <c r="K406">
        <v>18.18</v>
      </c>
      <c r="L406">
        <v>0</v>
      </c>
    </row>
    <row r="407" spans="1:12">
      <c r="A407" t="s">
        <v>1205</v>
      </c>
      <c r="B407" t="s">
        <v>1206</v>
      </c>
      <c r="C407" t="s">
        <v>1207</v>
      </c>
      <c r="D407" t="s">
        <v>15</v>
      </c>
      <c r="E407" t="s">
        <v>16</v>
      </c>
      <c r="F407" t="s">
        <v>36</v>
      </c>
      <c r="G407" t="s">
        <v>42</v>
      </c>
      <c r="H407" t="s">
        <v>19</v>
      </c>
      <c r="I407">
        <v>4</v>
      </c>
      <c r="J407">
        <v>8</v>
      </c>
      <c r="K407">
        <v>3.02</v>
      </c>
      <c r="L407">
        <v>1</v>
      </c>
    </row>
    <row r="408" spans="1:12">
      <c r="A408" t="s">
        <v>1208</v>
      </c>
      <c r="B408" t="s">
        <v>1209</v>
      </c>
      <c r="C408" t="s">
        <v>1210</v>
      </c>
      <c r="D408" t="s">
        <v>35</v>
      </c>
      <c r="E408" t="s">
        <v>24</v>
      </c>
      <c r="F408" t="s">
        <v>60</v>
      </c>
      <c r="G408" t="s">
        <v>55</v>
      </c>
      <c r="H408" t="s">
        <v>19</v>
      </c>
      <c r="I408">
        <v>4</v>
      </c>
      <c r="J408">
        <v>48</v>
      </c>
      <c r="K408">
        <v>21.71</v>
      </c>
      <c r="L408">
        <v>1</v>
      </c>
    </row>
    <row r="409" spans="1:12">
      <c r="A409" t="s">
        <v>1211</v>
      </c>
      <c r="B409" t="s">
        <v>1212</v>
      </c>
      <c r="C409" t="s">
        <v>1213</v>
      </c>
      <c r="D409" t="s">
        <v>23</v>
      </c>
      <c r="E409" t="s">
        <v>59</v>
      </c>
      <c r="F409" t="s">
        <v>36</v>
      </c>
      <c r="G409" t="s">
        <v>42</v>
      </c>
      <c r="H409" t="s">
        <v>31</v>
      </c>
      <c r="I409">
        <v>5</v>
      </c>
      <c r="J409">
        <v>24</v>
      </c>
      <c r="K409">
        <v>8.24</v>
      </c>
      <c r="L409">
        <v>1</v>
      </c>
    </row>
    <row r="410" spans="1:12">
      <c r="A410" t="s">
        <v>1214</v>
      </c>
      <c r="B410" t="s">
        <v>1215</v>
      </c>
      <c r="C410" t="s">
        <v>1216</v>
      </c>
      <c r="D410" t="s">
        <v>35</v>
      </c>
      <c r="E410" t="s">
        <v>28</v>
      </c>
      <c r="F410" t="s">
        <v>41</v>
      </c>
      <c r="G410" t="s">
        <v>55</v>
      </c>
      <c r="H410" t="s">
        <v>31</v>
      </c>
      <c r="I410">
        <v>4</v>
      </c>
      <c r="J410">
        <v>48</v>
      </c>
      <c r="K410">
        <v>16.04</v>
      </c>
      <c r="L410">
        <v>1</v>
      </c>
    </row>
    <row r="411" spans="1:12">
      <c r="A411" t="s">
        <v>1217</v>
      </c>
      <c r="B411" t="s">
        <v>1218</v>
      </c>
      <c r="C411" t="s">
        <v>1219</v>
      </c>
      <c r="D411" t="s">
        <v>23</v>
      </c>
      <c r="E411" t="s">
        <v>28</v>
      </c>
      <c r="F411" t="s">
        <v>41</v>
      </c>
      <c r="G411" t="s">
        <v>172</v>
      </c>
      <c r="H411" t="s">
        <v>31</v>
      </c>
      <c r="I411">
        <v>4</v>
      </c>
      <c r="J411">
        <v>24</v>
      </c>
      <c r="K411">
        <v>12.09</v>
      </c>
      <c r="L411">
        <v>1</v>
      </c>
    </row>
    <row r="412" spans="1:12">
      <c r="A412" t="s">
        <v>1220</v>
      </c>
      <c r="B412" t="s">
        <v>1221</v>
      </c>
      <c r="C412" t="s">
        <v>1222</v>
      </c>
      <c r="D412" t="s">
        <v>158</v>
      </c>
      <c r="E412" t="s">
        <v>16</v>
      </c>
      <c r="F412" t="s">
        <v>29</v>
      </c>
      <c r="G412" t="s">
        <v>45</v>
      </c>
      <c r="H412" t="s">
        <v>19</v>
      </c>
      <c r="I412">
        <v>3</v>
      </c>
      <c r="J412">
        <v>4</v>
      </c>
      <c r="K412">
        <v>2.77</v>
      </c>
      <c r="L412">
        <v>1</v>
      </c>
    </row>
    <row r="413" spans="1:12">
      <c r="A413" t="s">
        <v>1223</v>
      </c>
      <c r="B413" t="s">
        <v>1224</v>
      </c>
      <c r="C413" t="s">
        <v>1225</v>
      </c>
      <c r="D413" t="s">
        <v>15</v>
      </c>
      <c r="E413" t="s">
        <v>28</v>
      </c>
      <c r="F413" t="s">
        <v>41</v>
      </c>
      <c r="G413" t="s">
        <v>172</v>
      </c>
      <c r="H413" t="s">
        <v>19</v>
      </c>
      <c r="I413">
        <v>4</v>
      </c>
      <c r="J413">
        <v>8</v>
      </c>
      <c r="K413">
        <v>5.19</v>
      </c>
      <c r="L413">
        <v>1</v>
      </c>
    </row>
    <row r="414" spans="1:12">
      <c r="A414" t="s">
        <v>1226</v>
      </c>
      <c r="B414" t="s">
        <v>1227</v>
      </c>
      <c r="C414" t="s">
        <v>1228</v>
      </c>
      <c r="D414" t="s">
        <v>35</v>
      </c>
      <c r="E414" t="s">
        <v>28</v>
      </c>
      <c r="F414" t="s">
        <v>41</v>
      </c>
      <c r="G414" t="s">
        <v>77</v>
      </c>
      <c r="H414" t="s">
        <v>31</v>
      </c>
      <c r="I414">
        <v>1</v>
      </c>
      <c r="J414">
        <v>48</v>
      </c>
      <c r="K414">
        <v>98.63</v>
      </c>
      <c r="L414">
        <v>0</v>
      </c>
    </row>
    <row r="415" spans="1:12">
      <c r="A415" t="s">
        <v>1229</v>
      </c>
      <c r="B415" t="s">
        <v>1230</v>
      </c>
      <c r="C415" t="s">
        <v>1231</v>
      </c>
      <c r="D415" t="s">
        <v>23</v>
      </c>
      <c r="E415" t="s">
        <v>28</v>
      </c>
      <c r="F415" t="s">
        <v>60</v>
      </c>
      <c r="G415" t="s">
        <v>55</v>
      </c>
      <c r="H415" t="s">
        <v>19</v>
      </c>
      <c r="I415">
        <v>5</v>
      </c>
      <c r="J415">
        <v>24</v>
      </c>
      <c r="K415">
        <v>19.39</v>
      </c>
      <c r="L415">
        <v>1</v>
      </c>
    </row>
    <row r="416" spans="1:12">
      <c r="A416" t="s">
        <v>1232</v>
      </c>
      <c r="B416" t="s">
        <v>1233</v>
      </c>
      <c r="C416" t="s">
        <v>1234</v>
      </c>
      <c r="D416" t="s">
        <v>158</v>
      </c>
      <c r="E416" t="s">
        <v>28</v>
      </c>
      <c r="F416" t="s">
        <v>29</v>
      </c>
      <c r="G416" t="s">
        <v>105</v>
      </c>
      <c r="H416" t="s">
        <v>19</v>
      </c>
      <c r="I416">
        <v>4</v>
      </c>
      <c r="J416">
        <v>4</v>
      </c>
      <c r="K416">
        <v>1.98</v>
      </c>
      <c r="L416">
        <v>1</v>
      </c>
    </row>
    <row r="417" spans="1:12">
      <c r="A417" t="s">
        <v>1235</v>
      </c>
      <c r="B417" t="s">
        <v>1236</v>
      </c>
      <c r="C417" t="s">
        <v>1237</v>
      </c>
      <c r="D417" t="s">
        <v>15</v>
      </c>
      <c r="E417" t="s">
        <v>24</v>
      </c>
      <c r="F417" t="s">
        <v>29</v>
      </c>
      <c r="G417" t="s">
        <v>50</v>
      </c>
      <c r="H417" t="s">
        <v>31</v>
      </c>
      <c r="I417">
        <v>5</v>
      </c>
      <c r="J417">
        <v>8</v>
      </c>
      <c r="K417">
        <v>6.72</v>
      </c>
      <c r="L417">
        <v>1</v>
      </c>
    </row>
    <row r="418" spans="1:12">
      <c r="A418" t="s">
        <v>1238</v>
      </c>
      <c r="B418" t="s">
        <v>1239</v>
      </c>
      <c r="C418" t="s">
        <v>1240</v>
      </c>
      <c r="D418" t="s">
        <v>15</v>
      </c>
      <c r="E418" t="s">
        <v>54</v>
      </c>
      <c r="F418" t="s">
        <v>29</v>
      </c>
      <c r="G418" t="s">
        <v>105</v>
      </c>
      <c r="H418" t="s">
        <v>31</v>
      </c>
      <c r="I418">
        <v>3</v>
      </c>
      <c r="J418">
        <v>8</v>
      </c>
      <c r="K418">
        <v>0.99</v>
      </c>
      <c r="L418">
        <v>1</v>
      </c>
    </row>
    <row r="419" spans="1:12">
      <c r="A419" t="s">
        <v>1241</v>
      </c>
      <c r="B419" t="s">
        <v>1242</v>
      </c>
      <c r="C419" t="s">
        <v>1243</v>
      </c>
      <c r="D419" t="s">
        <v>23</v>
      </c>
      <c r="E419" t="s">
        <v>59</v>
      </c>
      <c r="F419" t="s">
        <v>17</v>
      </c>
      <c r="G419" t="s">
        <v>151</v>
      </c>
      <c r="H419" t="s">
        <v>19</v>
      </c>
      <c r="I419">
        <v>5</v>
      </c>
      <c r="J419">
        <v>24</v>
      </c>
      <c r="K419">
        <v>15.69</v>
      </c>
      <c r="L419">
        <v>1</v>
      </c>
    </row>
    <row r="420" spans="1:12">
      <c r="A420" t="s">
        <v>1244</v>
      </c>
      <c r="B420" t="s">
        <v>1245</v>
      </c>
      <c r="D420" t="s">
        <v>23</v>
      </c>
      <c r="E420" t="s">
        <v>16</v>
      </c>
      <c r="F420" t="s">
        <v>36</v>
      </c>
      <c r="G420" t="s">
        <v>50</v>
      </c>
      <c r="H420" t="s">
        <v>63</v>
      </c>
      <c r="J420">
        <v>24</v>
      </c>
    </row>
    <row r="421" spans="1:12">
      <c r="A421" t="s">
        <v>1246</v>
      </c>
      <c r="B421" t="s">
        <v>1247</v>
      </c>
      <c r="C421" t="s">
        <v>1248</v>
      </c>
      <c r="D421" t="s">
        <v>15</v>
      </c>
      <c r="E421" t="s">
        <v>16</v>
      </c>
      <c r="F421" t="s">
        <v>17</v>
      </c>
      <c r="G421" t="s">
        <v>45</v>
      </c>
      <c r="H421" t="s">
        <v>31</v>
      </c>
      <c r="I421">
        <v>3</v>
      </c>
      <c r="J421">
        <v>8</v>
      </c>
      <c r="K421">
        <v>19.52</v>
      </c>
      <c r="L421">
        <v>0</v>
      </c>
    </row>
    <row r="422" spans="1:12">
      <c r="A422" t="s">
        <v>1249</v>
      </c>
      <c r="B422" t="s">
        <v>1250</v>
      </c>
      <c r="C422" t="s">
        <v>1251</v>
      </c>
      <c r="D422" t="s">
        <v>23</v>
      </c>
      <c r="E422" t="s">
        <v>28</v>
      </c>
      <c r="F422" t="s">
        <v>29</v>
      </c>
      <c r="G422" t="s">
        <v>50</v>
      </c>
      <c r="H422" t="s">
        <v>19</v>
      </c>
      <c r="I422">
        <v>5</v>
      </c>
      <c r="J422">
        <v>24</v>
      </c>
      <c r="K422">
        <v>16.21</v>
      </c>
      <c r="L422">
        <v>1</v>
      </c>
    </row>
    <row r="423" spans="1:12">
      <c r="A423" t="s">
        <v>1252</v>
      </c>
      <c r="B423" t="s">
        <v>1253</v>
      </c>
      <c r="C423" t="s">
        <v>1254</v>
      </c>
      <c r="D423" t="s">
        <v>23</v>
      </c>
      <c r="E423" t="s">
        <v>24</v>
      </c>
      <c r="F423" t="s">
        <v>29</v>
      </c>
      <c r="G423" t="s">
        <v>77</v>
      </c>
      <c r="H423" t="s">
        <v>31</v>
      </c>
      <c r="I423">
        <v>4</v>
      </c>
      <c r="J423">
        <v>24</v>
      </c>
      <c r="K423">
        <v>8.49</v>
      </c>
      <c r="L423">
        <v>1</v>
      </c>
    </row>
    <row r="424" spans="1:12">
      <c r="A424" t="s">
        <v>1255</v>
      </c>
      <c r="B424" t="s">
        <v>1256</v>
      </c>
      <c r="C424" t="s">
        <v>1257</v>
      </c>
      <c r="D424" t="s">
        <v>15</v>
      </c>
      <c r="E424" t="s">
        <v>28</v>
      </c>
      <c r="F424" t="s">
        <v>29</v>
      </c>
      <c r="G424" t="s">
        <v>45</v>
      </c>
      <c r="H424" t="s">
        <v>19</v>
      </c>
      <c r="I424">
        <v>4</v>
      </c>
      <c r="J424">
        <v>8</v>
      </c>
      <c r="K424">
        <v>6.87</v>
      </c>
      <c r="L424">
        <v>1</v>
      </c>
    </row>
    <row r="425" spans="1:12">
      <c r="A425" t="s">
        <v>1258</v>
      </c>
      <c r="B425" t="s">
        <v>1259</v>
      </c>
      <c r="C425" t="s">
        <v>1260</v>
      </c>
      <c r="D425" t="s">
        <v>23</v>
      </c>
      <c r="E425" t="s">
        <v>28</v>
      </c>
      <c r="F425" t="s">
        <v>36</v>
      </c>
      <c r="G425" t="s">
        <v>55</v>
      </c>
      <c r="H425" t="s">
        <v>19</v>
      </c>
      <c r="I425">
        <v>3</v>
      </c>
      <c r="J425">
        <v>24</v>
      </c>
      <c r="K425">
        <v>5.25</v>
      </c>
      <c r="L425">
        <v>1</v>
      </c>
    </row>
    <row r="426" spans="1:12">
      <c r="A426" t="s">
        <v>1261</v>
      </c>
      <c r="B426" t="s">
        <v>1262</v>
      </c>
      <c r="C426" t="s">
        <v>1263</v>
      </c>
      <c r="D426" t="s">
        <v>35</v>
      </c>
      <c r="E426" t="s">
        <v>28</v>
      </c>
      <c r="F426" t="s">
        <v>41</v>
      </c>
      <c r="G426" t="s">
        <v>37</v>
      </c>
      <c r="H426" t="s">
        <v>19</v>
      </c>
      <c r="I426">
        <v>5</v>
      </c>
      <c r="J426">
        <v>48</v>
      </c>
      <c r="K426">
        <v>33.69</v>
      </c>
      <c r="L426">
        <v>1</v>
      </c>
    </row>
    <row r="427" spans="1:12">
      <c r="A427" t="s">
        <v>1264</v>
      </c>
      <c r="B427" t="s">
        <v>1265</v>
      </c>
      <c r="C427" t="s">
        <v>1266</v>
      </c>
      <c r="D427" t="s">
        <v>15</v>
      </c>
      <c r="E427" t="s">
        <v>16</v>
      </c>
      <c r="F427" t="s">
        <v>60</v>
      </c>
      <c r="G427" t="s">
        <v>151</v>
      </c>
      <c r="H427" t="s">
        <v>31</v>
      </c>
      <c r="I427">
        <v>2</v>
      </c>
      <c r="J427">
        <v>8</v>
      </c>
      <c r="K427">
        <v>18.88</v>
      </c>
      <c r="L427">
        <v>0</v>
      </c>
    </row>
    <row r="428" spans="1:12">
      <c r="A428" t="s">
        <v>1267</v>
      </c>
      <c r="B428" t="s">
        <v>1268</v>
      </c>
      <c r="C428" t="s">
        <v>1269</v>
      </c>
      <c r="D428" t="s">
        <v>15</v>
      </c>
      <c r="E428" t="s">
        <v>16</v>
      </c>
      <c r="F428" t="s">
        <v>60</v>
      </c>
      <c r="G428" t="s">
        <v>73</v>
      </c>
      <c r="H428" t="s">
        <v>19</v>
      </c>
      <c r="I428">
        <v>5</v>
      </c>
      <c r="J428">
        <v>8</v>
      </c>
      <c r="K428">
        <v>5.84</v>
      </c>
      <c r="L428">
        <v>1</v>
      </c>
    </row>
    <row r="429" spans="1:12">
      <c r="A429" t="s">
        <v>1270</v>
      </c>
      <c r="B429" t="s">
        <v>1271</v>
      </c>
      <c r="C429" t="s">
        <v>1272</v>
      </c>
      <c r="D429" t="s">
        <v>23</v>
      </c>
      <c r="E429" t="s">
        <v>24</v>
      </c>
      <c r="F429" t="s">
        <v>29</v>
      </c>
      <c r="G429" t="s">
        <v>151</v>
      </c>
      <c r="H429" t="s">
        <v>19</v>
      </c>
      <c r="I429">
        <v>4</v>
      </c>
      <c r="J429">
        <v>24</v>
      </c>
      <c r="K429">
        <v>17.579999999999998</v>
      </c>
      <c r="L429">
        <v>1</v>
      </c>
    </row>
    <row r="430" spans="1:12">
      <c r="A430" t="s">
        <v>1273</v>
      </c>
      <c r="B430" t="s">
        <v>1274</v>
      </c>
      <c r="C430" t="s">
        <v>1275</v>
      </c>
      <c r="D430" t="s">
        <v>35</v>
      </c>
      <c r="E430" t="s">
        <v>28</v>
      </c>
      <c r="F430" t="s">
        <v>60</v>
      </c>
      <c r="G430" t="s">
        <v>45</v>
      </c>
      <c r="H430" t="s">
        <v>19</v>
      </c>
      <c r="I430">
        <v>5</v>
      </c>
      <c r="J430">
        <v>48</v>
      </c>
      <c r="K430">
        <v>6.99</v>
      </c>
      <c r="L430">
        <v>1</v>
      </c>
    </row>
    <row r="431" spans="1:12">
      <c r="A431" t="s">
        <v>1276</v>
      </c>
      <c r="B431" t="s">
        <v>1277</v>
      </c>
      <c r="C431" t="s">
        <v>1278</v>
      </c>
      <c r="D431" t="s">
        <v>35</v>
      </c>
      <c r="E431" t="s">
        <v>28</v>
      </c>
      <c r="F431" t="s">
        <v>17</v>
      </c>
      <c r="G431" t="s">
        <v>77</v>
      </c>
      <c r="H431" t="s">
        <v>19</v>
      </c>
      <c r="I431">
        <v>4</v>
      </c>
      <c r="J431">
        <v>48</v>
      </c>
      <c r="K431">
        <v>26.42</v>
      </c>
      <c r="L431">
        <v>1</v>
      </c>
    </row>
    <row r="432" spans="1:12">
      <c r="A432" t="s">
        <v>1279</v>
      </c>
      <c r="B432" t="s">
        <v>1280</v>
      </c>
      <c r="C432" t="s">
        <v>1281</v>
      </c>
      <c r="D432" t="s">
        <v>35</v>
      </c>
      <c r="E432" t="s">
        <v>24</v>
      </c>
      <c r="F432" t="s">
        <v>17</v>
      </c>
      <c r="G432" t="s">
        <v>172</v>
      </c>
      <c r="H432" t="s">
        <v>19</v>
      </c>
      <c r="I432">
        <v>4</v>
      </c>
      <c r="J432">
        <v>48</v>
      </c>
      <c r="K432">
        <v>41.79</v>
      </c>
      <c r="L432">
        <v>1</v>
      </c>
    </row>
    <row r="433" spans="1:12">
      <c r="A433" t="s">
        <v>1282</v>
      </c>
      <c r="B433" t="s">
        <v>1283</v>
      </c>
      <c r="C433" t="s">
        <v>1284</v>
      </c>
      <c r="D433" t="s">
        <v>35</v>
      </c>
      <c r="E433" t="s">
        <v>24</v>
      </c>
      <c r="F433" t="s">
        <v>36</v>
      </c>
      <c r="G433" t="s">
        <v>50</v>
      </c>
      <c r="H433" t="s">
        <v>19</v>
      </c>
      <c r="I433">
        <v>1</v>
      </c>
      <c r="J433">
        <v>48</v>
      </c>
      <c r="K433">
        <v>79.739999999999995</v>
      </c>
      <c r="L433">
        <v>0</v>
      </c>
    </row>
    <row r="434" spans="1:12">
      <c r="A434" t="s">
        <v>1285</v>
      </c>
      <c r="B434" t="s">
        <v>1286</v>
      </c>
      <c r="C434" t="s">
        <v>1287</v>
      </c>
      <c r="D434" t="s">
        <v>15</v>
      </c>
      <c r="E434" t="s">
        <v>16</v>
      </c>
      <c r="F434" t="s">
        <v>17</v>
      </c>
      <c r="G434" t="s">
        <v>55</v>
      </c>
      <c r="H434" t="s">
        <v>31</v>
      </c>
      <c r="I434">
        <v>3</v>
      </c>
      <c r="J434">
        <v>8</v>
      </c>
      <c r="K434">
        <v>5.99</v>
      </c>
      <c r="L434">
        <v>1</v>
      </c>
    </row>
    <row r="435" spans="1:12">
      <c r="A435" t="s">
        <v>1288</v>
      </c>
      <c r="B435" t="s">
        <v>1289</v>
      </c>
      <c r="C435" t="s">
        <v>1290</v>
      </c>
      <c r="D435" t="s">
        <v>23</v>
      </c>
      <c r="E435" t="s">
        <v>28</v>
      </c>
      <c r="F435" t="s">
        <v>41</v>
      </c>
      <c r="G435" t="s">
        <v>50</v>
      </c>
      <c r="H435" t="s">
        <v>19</v>
      </c>
      <c r="I435">
        <v>4</v>
      </c>
      <c r="J435">
        <v>24</v>
      </c>
      <c r="K435">
        <v>6.47</v>
      </c>
      <c r="L435">
        <v>1</v>
      </c>
    </row>
    <row r="436" spans="1:12">
      <c r="A436" t="s">
        <v>1291</v>
      </c>
      <c r="B436" t="s">
        <v>1292</v>
      </c>
      <c r="C436" t="s">
        <v>1293</v>
      </c>
      <c r="D436" t="s">
        <v>35</v>
      </c>
      <c r="E436" t="s">
        <v>16</v>
      </c>
      <c r="F436" t="s">
        <v>60</v>
      </c>
      <c r="G436" t="s">
        <v>18</v>
      </c>
      <c r="H436" t="s">
        <v>19</v>
      </c>
      <c r="I436">
        <v>4</v>
      </c>
      <c r="J436">
        <v>48</v>
      </c>
      <c r="K436">
        <v>34.729999999999997</v>
      </c>
      <c r="L436">
        <v>1</v>
      </c>
    </row>
    <row r="437" spans="1:12">
      <c r="A437" t="s">
        <v>1294</v>
      </c>
      <c r="B437" t="s">
        <v>1295</v>
      </c>
      <c r="C437" t="s">
        <v>1296</v>
      </c>
      <c r="D437" t="s">
        <v>15</v>
      </c>
      <c r="E437" t="s">
        <v>24</v>
      </c>
      <c r="F437" t="s">
        <v>41</v>
      </c>
      <c r="G437" t="s">
        <v>77</v>
      </c>
      <c r="H437" t="s">
        <v>31</v>
      </c>
      <c r="I437">
        <v>4</v>
      </c>
      <c r="J437">
        <v>8</v>
      </c>
      <c r="K437">
        <v>6.4</v>
      </c>
      <c r="L437">
        <v>1</v>
      </c>
    </row>
    <row r="438" spans="1:12">
      <c r="A438" t="s">
        <v>1297</v>
      </c>
      <c r="B438" t="s">
        <v>1298</v>
      </c>
      <c r="C438" t="s">
        <v>1299</v>
      </c>
      <c r="D438" t="s">
        <v>23</v>
      </c>
      <c r="E438" t="s">
        <v>28</v>
      </c>
      <c r="F438" t="s">
        <v>60</v>
      </c>
      <c r="G438" t="s">
        <v>172</v>
      </c>
      <c r="H438" t="s">
        <v>19</v>
      </c>
      <c r="I438">
        <v>5</v>
      </c>
      <c r="J438">
        <v>24</v>
      </c>
      <c r="K438">
        <v>5.13</v>
      </c>
      <c r="L438">
        <v>1</v>
      </c>
    </row>
    <row r="439" spans="1:12">
      <c r="A439" t="s">
        <v>1300</v>
      </c>
      <c r="B439" t="s">
        <v>1301</v>
      </c>
      <c r="C439" t="s">
        <v>1302</v>
      </c>
      <c r="D439" t="s">
        <v>23</v>
      </c>
      <c r="E439" t="s">
        <v>24</v>
      </c>
      <c r="F439" t="s">
        <v>41</v>
      </c>
      <c r="G439" t="s">
        <v>30</v>
      </c>
      <c r="H439" t="s">
        <v>19</v>
      </c>
      <c r="I439">
        <v>5</v>
      </c>
      <c r="J439">
        <v>24</v>
      </c>
      <c r="K439">
        <v>5.08</v>
      </c>
      <c r="L439">
        <v>1</v>
      </c>
    </row>
    <row r="440" spans="1:12">
      <c r="A440" t="s">
        <v>1303</v>
      </c>
      <c r="B440" t="s">
        <v>1304</v>
      </c>
      <c r="C440" t="s">
        <v>1305</v>
      </c>
      <c r="D440" t="s">
        <v>23</v>
      </c>
      <c r="E440" t="s">
        <v>24</v>
      </c>
      <c r="F440" t="s">
        <v>36</v>
      </c>
      <c r="G440" t="s">
        <v>37</v>
      </c>
      <c r="H440" t="s">
        <v>31</v>
      </c>
      <c r="I440">
        <v>3</v>
      </c>
      <c r="J440">
        <v>24</v>
      </c>
      <c r="K440">
        <v>13.31</v>
      </c>
      <c r="L440">
        <v>1</v>
      </c>
    </row>
    <row r="441" spans="1:12">
      <c r="A441" t="s">
        <v>1306</v>
      </c>
      <c r="B441" t="s">
        <v>1307</v>
      </c>
      <c r="C441" t="s">
        <v>1308</v>
      </c>
      <c r="D441" t="s">
        <v>23</v>
      </c>
      <c r="E441" t="s">
        <v>54</v>
      </c>
      <c r="F441" t="s">
        <v>36</v>
      </c>
      <c r="G441" t="s">
        <v>30</v>
      </c>
      <c r="H441" t="s">
        <v>31</v>
      </c>
      <c r="I441">
        <v>5</v>
      </c>
      <c r="J441">
        <v>24</v>
      </c>
      <c r="K441">
        <v>10.16</v>
      </c>
      <c r="L441">
        <v>1</v>
      </c>
    </row>
    <row r="442" spans="1:12">
      <c r="A442" t="s">
        <v>1309</v>
      </c>
      <c r="B442" t="s">
        <v>1310</v>
      </c>
      <c r="C442" t="s">
        <v>1311</v>
      </c>
      <c r="D442" t="s">
        <v>23</v>
      </c>
      <c r="E442" t="s">
        <v>28</v>
      </c>
      <c r="F442" t="s">
        <v>36</v>
      </c>
      <c r="G442" t="s">
        <v>45</v>
      </c>
      <c r="H442" t="s">
        <v>19</v>
      </c>
      <c r="I442">
        <v>5</v>
      </c>
      <c r="J442">
        <v>24</v>
      </c>
      <c r="K442">
        <v>13.01</v>
      </c>
      <c r="L442">
        <v>1</v>
      </c>
    </row>
    <row r="443" spans="1:12">
      <c r="A443" t="s">
        <v>1312</v>
      </c>
      <c r="B443" t="s">
        <v>1313</v>
      </c>
      <c r="C443" t="s">
        <v>1314</v>
      </c>
      <c r="D443" t="s">
        <v>15</v>
      </c>
      <c r="E443" t="s">
        <v>16</v>
      </c>
      <c r="F443" t="s">
        <v>36</v>
      </c>
      <c r="G443" t="s">
        <v>77</v>
      </c>
      <c r="H443" t="s">
        <v>31</v>
      </c>
      <c r="I443">
        <v>4</v>
      </c>
      <c r="J443">
        <v>8</v>
      </c>
      <c r="K443">
        <v>1.58</v>
      </c>
      <c r="L443">
        <v>1</v>
      </c>
    </row>
    <row r="444" spans="1:12">
      <c r="A444" t="s">
        <v>1315</v>
      </c>
      <c r="B444" t="s">
        <v>1316</v>
      </c>
      <c r="C444" t="s">
        <v>1317</v>
      </c>
      <c r="D444" t="s">
        <v>23</v>
      </c>
      <c r="E444" t="s">
        <v>16</v>
      </c>
      <c r="F444" t="s">
        <v>60</v>
      </c>
      <c r="G444" t="s">
        <v>18</v>
      </c>
      <c r="H444" t="s">
        <v>19</v>
      </c>
      <c r="I444">
        <v>5</v>
      </c>
      <c r="J444">
        <v>24</v>
      </c>
      <c r="K444">
        <v>5.67</v>
      </c>
      <c r="L444">
        <v>1</v>
      </c>
    </row>
    <row r="445" spans="1:12">
      <c r="A445" t="s">
        <v>1318</v>
      </c>
      <c r="B445" t="s">
        <v>1319</v>
      </c>
      <c r="C445" t="s">
        <v>1320</v>
      </c>
      <c r="D445" t="s">
        <v>15</v>
      </c>
      <c r="E445" t="s">
        <v>59</v>
      </c>
      <c r="F445" t="s">
        <v>29</v>
      </c>
      <c r="G445" t="s">
        <v>18</v>
      </c>
      <c r="H445" t="s">
        <v>19</v>
      </c>
      <c r="I445">
        <v>5</v>
      </c>
      <c r="J445">
        <v>8</v>
      </c>
      <c r="K445">
        <v>6.97</v>
      </c>
      <c r="L445">
        <v>1</v>
      </c>
    </row>
    <row r="446" spans="1:12">
      <c r="A446" t="s">
        <v>1321</v>
      </c>
      <c r="B446" t="s">
        <v>1322</v>
      </c>
      <c r="C446" t="s">
        <v>1323</v>
      </c>
      <c r="D446" t="s">
        <v>23</v>
      </c>
      <c r="E446" t="s">
        <v>59</v>
      </c>
      <c r="F446" t="s">
        <v>60</v>
      </c>
      <c r="G446" t="s">
        <v>42</v>
      </c>
      <c r="H446" t="s">
        <v>31</v>
      </c>
      <c r="I446">
        <v>4</v>
      </c>
      <c r="J446">
        <v>24</v>
      </c>
      <c r="K446">
        <v>7.62</v>
      </c>
      <c r="L446">
        <v>1</v>
      </c>
    </row>
    <row r="447" spans="1:12">
      <c r="A447" t="s">
        <v>1324</v>
      </c>
      <c r="B447" t="s">
        <v>1325</v>
      </c>
      <c r="C447" t="s">
        <v>1326</v>
      </c>
      <c r="D447" t="s">
        <v>15</v>
      </c>
      <c r="E447" t="s">
        <v>24</v>
      </c>
      <c r="F447" t="s">
        <v>17</v>
      </c>
      <c r="G447" t="s">
        <v>30</v>
      </c>
      <c r="H447" t="s">
        <v>31</v>
      </c>
      <c r="I447">
        <v>4</v>
      </c>
      <c r="J447">
        <v>8</v>
      </c>
      <c r="K447">
        <v>5.4</v>
      </c>
      <c r="L447">
        <v>1</v>
      </c>
    </row>
    <row r="448" spans="1:12">
      <c r="A448" t="s">
        <v>1327</v>
      </c>
      <c r="B448" t="s">
        <v>1328</v>
      </c>
      <c r="C448" t="s">
        <v>1329</v>
      </c>
      <c r="D448" t="s">
        <v>158</v>
      </c>
      <c r="E448" t="s">
        <v>16</v>
      </c>
      <c r="F448" t="s">
        <v>36</v>
      </c>
      <c r="G448" t="s">
        <v>30</v>
      </c>
      <c r="H448" t="s">
        <v>31</v>
      </c>
      <c r="I448">
        <v>4</v>
      </c>
      <c r="J448">
        <v>4</v>
      </c>
      <c r="K448">
        <v>0.98</v>
      </c>
      <c r="L448">
        <v>1</v>
      </c>
    </row>
    <row r="449" spans="1:12">
      <c r="A449" t="s">
        <v>1330</v>
      </c>
      <c r="B449" t="s">
        <v>1331</v>
      </c>
      <c r="C449" t="s">
        <v>1332</v>
      </c>
      <c r="D449" t="s">
        <v>35</v>
      </c>
      <c r="E449" t="s">
        <v>28</v>
      </c>
      <c r="F449" t="s">
        <v>36</v>
      </c>
      <c r="G449" t="s">
        <v>172</v>
      </c>
      <c r="H449" t="s">
        <v>31</v>
      </c>
      <c r="I449">
        <v>5</v>
      </c>
      <c r="J449">
        <v>48</v>
      </c>
      <c r="K449">
        <v>21.15</v>
      </c>
      <c r="L449">
        <v>1</v>
      </c>
    </row>
    <row r="450" spans="1:12">
      <c r="A450" t="s">
        <v>1333</v>
      </c>
      <c r="B450" t="s">
        <v>1334</v>
      </c>
      <c r="C450" t="s">
        <v>1335</v>
      </c>
      <c r="D450" t="s">
        <v>35</v>
      </c>
      <c r="E450" t="s">
        <v>54</v>
      </c>
      <c r="F450" t="s">
        <v>41</v>
      </c>
      <c r="G450" t="s">
        <v>37</v>
      </c>
      <c r="H450" t="s">
        <v>31</v>
      </c>
      <c r="I450">
        <v>5</v>
      </c>
      <c r="J450">
        <v>48</v>
      </c>
      <c r="K450">
        <v>9.41</v>
      </c>
      <c r="L450">
        <v>1</v>
      </c>
    </row>
    <row r="451" spans="1:12">
      <c r="A451" t="s">
        <v>1336</v>
      </c>
      <c r="B451" t="s">
        <v>1337</v>
      </c>
      <c r="D451" t="s">
        <v>35</v>
      </c>
      <c r="E451" t="s">
        <v>16</v>
      </c>
      <c r="F451" t="s">
        <v>36</v>
      </c>
      <c r="G451" t="s">
        <v>37</v>
      </c>
      <c r="H451" t="s">
        <v>63</v>
      </c>
      <c r="J451">
        <v>48</v>
      </c>
    </row>
    <row r="452" spans="1:12">
      <c r="A452" t="s">
        <v>1338</v>
      </c>
      <c r="B452" t="s">
        <v>1339</v>
      </c>
      <c r="C452" t="s">
        <v>1340</v>
      </c>
      <c r="D452" t="s">
        <v>35</v>
      </c>
      <c r="E452" t="s">
        <v>54</v>
      </c>
      <c r="F452" t="s">
        <v>17</v>
      </c>
      <c r="G452" t="s">
        <v>55</v>
      </c>
      <c r="H452" t="s">
        <v>19</v>
      </c>
      <c r="I452">
        <v>5</v>
      </c>
      <c r="J452">
        <v>48</v>
      </c>
      <c r="K452">
        <v>5.98</v>
      </c>
      <c r="L452">
        <v>1</v>
      </c>
    </row>
    <row r="453" spans="1:12">
      <c r="A453" t="s">
        <v>1341</v>
      </c>
      <c r="B453" t="s">
        <v>1342</v>
      </c>
      <c r="C453" t="s">
        <v>1343</v>
      </c>
      <c r="D453" t="s">
        <v>23</v>
      </c>
      <c r="E453" t="s">
        <v>16</v>
      </c>
      <c r="F453" t="s">
        <v>41</v>
      </c>
      <c r="G453" t="s">
        <v>50</v>
      </c>
      <c r="H453" t="s">
        <v>19</v>
      </c>
      <c r="I453">
        <v>4</v>
      </c>
      <c r="J453">
        <v>24</v>
      </c>
      <c r="K453">
        <v>3.34</v>
      </c>
      <c r="L453">
        <v>1</v>
      </c>
    </row>
    <row r="454" spans="1:12">
      <c r="A454" t="s">
        <v>1344</v>
      </c>
      <c r="B454" t="s">
        <v>1345</v>
      </c>
      <c r="C454" t="s">
        <v>1346</v>
      </c>
      <c r="D454" t="s">
        <v>158</v>
      </c>
      <c r="E454" t="s">
        <v>16</v>
      </c>
      <c r="F454" t="s">
        <v>60</v>
      </c>
      <c r="G454" t="s">
        <v>105</v>
      </c>
      <c r="H454" t="s">
        <v>31</v>
      </c>
      <c r="I454">
        <v>5</v>
      </c>
      <c r="J454">
        <v>4</v>
      </c>
      <c r="K454">
        <v>3.72</v>
      </c>
      <c r="L454">
        <v>1</v>
      </c>
    </row>
    <row r="455" spans="1:12">
      <c r="A455" t="s">
        <v>1347</v>
      </c>
      <c r="B455" t="s">
        <v>1348</v>
      </c>
      <c r="C455" t="s">
        <v>1349</v>
      </c>
      <c r="D455" t="s">
        <v>23</v>
      </c>
      <c r="E455" t="s">
        <v>54</v>
      </c>
      <c r="F455" t="s">
        <v>60</v>
      </c>
      <c r="G455" t="s">
        <v>42</v>
      </c>
      <c r="H455" t="s">
        <v>19</v>
      </c>
      <c r="I455">
        <v>5</v>
      </c>
      <c r="J455">
        <v>24</v>
      </c>
      <c r="K455">
        <v>12.23</v>
      </c>
      <c r="L455">
        <v>1</v>
      </c>
    </row>
    <row r="456" spans="1:12">
      <c r="A456" t="s">
        <v>1350</v>
      </c>
      <c r="B456" t="s">
        <v>1351</v>
      </c>
      <c r="C456" t="s">
        <v>1352</v>
      </c>
      <c r="D456" t="s">
        <v>23</v>
      </c>
      <c r="E456" t="s">
        <v>16</v>
      </c>
      <c r="F456" t="s">
        <v>60</v>
      </c>
      <c r="G456" t="s">
        <v>55</v>
      </c>
      <c r="H456" t="s">
        <v>19</v>
      </c>
      <c r="I456">
        <v>5</v>
      </c>
      <c r="J456">
        <v>24</v>
      </c>
      <c r="K456">
        <v>5.6</v>
      </c>
      <c r="L456">
        <v>1</v>
      </c>
    </row>
    <row r="457" spans="1:12">
      <c r="A457" t="s">
        <v>1353</v>
      </c>
      <c r="B457" t="s">
        <v>1354</v>
      </c>
      <c r="C457" t="s">
        <v>1355</v>
      </c>
      <c r="D457" t="s">
        <v>23</v>
      </c>
      <c r="E457" t="s">
        <v>24</v>
      </c>
      <c r="F457" t="s">
        <v>41</v>
      </c>
      <c r="G457" t="s">
        <v>172</v>
      </c>
      <c r="H457" t="s">
        <v>19</v>
      </c>
      <c r="I457">
        <v>1</v>
      </c>
      <c r="J457">
        <v>24</v>
      </c>
      <c r="K457">
        <v>27.56</v>
      </c>
      <c r="L457">
        <v>0</v>
      </c>
    </row>
    <row r="458" spans="1:12">
      <c r="A458" t="s">
        <v>1356</v>
      </c>
      <c r="B458" t="s">
        <v>1357</v>
      </c>
      <c r="C458" t="s">
        <v>1358</v>
      </c>
      <c r="D458" t="s">
        <v>23</v>
      </c>
      <c r="E458" t="s">
        <v>16</v>
      </c>
      <c r="F458" t="s">
        <v>36</v>
      </c>
      <c r="G458" t="s">
        <v>50</v>
      </c>
      <c r="H458" t="s">
        <v>19</v>
      </c>
      <c r="I458">
        <v>4</v>
      </c>
      <c r="J458">
        <v>24</v>
      </c>
      <c r="K458">
        <v>4.2</v>
      </c>
      <c r="L458">
        <v>1</v>
      </c>
    </row>
    <row r="459" spans="1:12">
      <c r="A459" t="s">
        <v>1359</v>
      </c>
      <c r="B459" t="s">
        <v>1360</v>
      </c>
      <c r="C459" t="s">
        <v>1361</v>
      </c>
      <c r="D459" t="s">
        <v>15</v>
      </c>
      <c r="E459" t="s">
        <v>28</v>
      </c>
      <c r="F459" t="s">
        <v>36</v>
      </c>
      <c r="G459" t="s">
        <v>42</v>
      </c>
      <c r="H459" t="s">
        <v>19</v>
      </c>
      <c r="I459">
        <v>5</v>
      </c>
      <c r="J459">
        <v>8</v>
      </c>
      <c r="K459">
        <v>4.53</v>
      </c>
      <c r="L459">
        <v>1</v>
      </c>
    </row>
    <row r="460" spans="1:12">
      <c r="A460" t="s">
        <v>1362</v>
      </c>
      <c r="B460" t="s">
        <v>1363</v>
      </c>
      <c r="C460" t="s">
        <v>1364</v>
      </c>
      <c r="D460" t="s">
        <v>23</v>
      </c>
      <c r="E460" t="s">
        <v>54</v>
      </c>
      <c r="F460" t="s">
        <v>29</v>
      </c>
      <c r="G460" t="s">
        <v>77</v>
      </c>
      <c r="H460" t="s">
        <v>31</v>
      </c>
      <c r="I460">
        <v>4</v>
      </c>
      <c r="J460">
        <v>24</v>
      </c>
      <c r="K460">
        <v>11.71</v>
      </c>
      <c r="L460">
        <v>1</v>
      </c>
    </row>
    <row r="461" spans="1:12">
      <c r="A461" t="s">
        <v>1365</v>
      </c>
      <c r="B461" t="s">
        <v>1366</v>
      </c>
      <c r="C461" t="s">
        <v>1367</v>
      </c>
      <c r="D461" t="s">
        <v>158</v>
      </c>
      <c r="E461" t="s">
        <v>28</v>
      </c>
      <c r="F461" t="s">
        <v>41</v>
      </c>
      <c r="G461" t="s">
        <v>172</v>
      </c>
      <c r="H461" t="s">
        <v>31</v>
      </c>
      <c r="I461">
        <v>5</v>
      </c>
      <c r="J461">
        <v>4</v>
      </c>
      <c r="K461">
        <v>2.0099999999999998</v>
      </c>
      <c r="L461">
        <v>1</v>
      </c>
    </row>
    <row r="462" spans="1:12">
      <c r="A462" t="s">
        <v>1368</v>
      </c>
      <c r="B462" t="s">
        <v>1369</v>
      </c>
      <c r="C462" t="s">
        <v>1370</v>
      </c>
      <c r="D462" t="s">
        <v>23</v>
      </c>
      <c r="E462" t="s">
        <v>24</v>
      </c>
      <c r="F462" t="s">
        <v>17</v>
      </c>
      <c r="G462" t="s">
        <v>30</v>
      </c>
      <c r="H462" t="s">
        <v>19</v>
      </c>
      <c r="I462">
        <v>1</v>
      </c>
      <c r="J462">
        <v>24</v>
      </c>
      <c r="K462">
        <v>70.34</v>
      </c>
      <c r="L462">
        <v>0</v>
      </c>
    </row>
    <row r="463" spans="1:12">
      <c r="A463" t="s">
        <v>1371</v>
      </c>
      <c r="B463" t="s">
        <v>1372</v>
      </c>
      <c r="C463" t="s">
        <v>1373</v>
      </c>
      <c r="D463" t="s">
        <v>23</v>
      </c>
      <c r="E463" t="s">
        <v>24</v>
      </c>
      <c r="F463" t="s">
        <v>17</v>
      </c>
      <c r="G463" t="s">
        <v>50</v>
      </c>
      <c r="H463" t="s">
        <v>19</v>
      </c>
      <c r="I463">
        <v>4</v>
      </c>
      <c r="J463">
        <v>24</v>
      </c>
      <c r="K463">
        <v>17.12</v>
      </c>
      <c r="L463">
        <v>1</v>
      </c>
    </row>
    <row r="464" spans="1:12">
      <c r="A464" t="s">
        <v>1374</v>
      </c>
      <c r="B464" t="s">
        <v>1375</v>
      </c>
      <c r="C464" t="s">
        <v>1376</v>
      </c>
      <c r="D464" t="s">
        <v>15</v>
      </c>
      <c r="E464" t="s">
        <v>24</v>
      </c>
      <c r="F464" t="s">
        <v>41</v>
      </c>
      <c r="G464" t="s">
        <v>18</v>
      </c>
      <c r="H464" t="s">
        <v>19</v>
      </c>
      <c r="I464">
        <v>4</v>
      </c>
      <c r="J464">
        <v>8</v>
      </c>
      <c r="K464">
        <v>5.67</v>
      </c>
      <c r="L464">
        <v>1</v>
      </c>
    </row>
    <row r="465" spans="1:12">
      <c r="A465" t="s">
        <v>1377</v>
      </c>
      <c r="B465" t="s">
        <v>1378</v>
      </c>
      <c r="C465" t="s">
        <v>1379</v>
      </c>
      <c r="D465" t="s">
        <v>158</v>
      </c>
      <c r="E465" t="s">
        <v>54</v>
      </c>
      <c r="F465" t="s">
        <v>60</v>
      </c>
      <c r="G465" t="s">
        <v>42</v>
      </c>
      <c r="H465" t="s">
        <v>31</v>
      </c>
      <c r="I465">
        <v>5</v>
      </c>
      <c r="J465">
        <v>4</v>
      </c>
      <c r="K465">
        <v>2.64</v>
      </c>
      <c r="L465">
        <v>1</v>
      </c>
    </row>
    <row r="466" spans="1:12">
      <c r="A466" t="s">
        <v>1380</v>
      </c>
      <c r="B466" t="s">
        <v>1381</v>
      </c>
      <c r="D466" t="s">
        <v>35</v>
      </c>
      <c r="E466" t="s">
        <v>24</v>
      </c>
      <c r="F466" t="s">
        <v>36</v>
      </c>
      <c r="G466" t="s">
        <v>77</v>
      </c>
      <c r="H466" t="s">
        <v>63</v>
      </c>
      <c r="J466">
        <v>48</v>
      </c>
    </row>
    <row r="467" spans="1:12">
      <c r="A467" t="s">
        <v>1382</v>
      </c>
      <c r="B467" t="s">
        <v>1383</v>
      </c>
      <c r="C467" t="s">
        <v>1384</v>
      </c>
      <c r="D467" t="s">
        <v>23</v>
      </c>
      <c r="E467" t="s">
        <v>28</v>
      </c>
      <c r="F467" t="s">
        <v>17</v>
      </c>
      <c r="G467" t="s">
        <v>105</v>
      </c>
      <c r="H467" t="s">
        <v>31</v>
      </c>
      <c r="I467">
        <v>4</v>
      </c>
      <c r="J467">
        <v>24</v>
      </c>
      <c r="K467">
        <v>5.0199999999999996</v>
      </c>
      <c r="L467">
        <v>1</v>
      </c>
    </row>
    <row r="468" spans="1:12">
      <c r="A468" t="s">
        <v>1385</v>
      </c>
      <c r="B468" t="s">
        <v>1386</v>
      </c>
      <c r="D468" t="s">
        <v>23</v>
      </c>
      <c r="E468" t="s">
        <v>28</v>
      </c>
      <c r="F468" t="s">
        <v>41</v>
      </c>
      <c r="G468" t="s">
        <v>37</v>
      </c>
      <c r="H468" t="s">
        <v>46</v>
      </c>
      <c r="J468">
        <v>24</v>
      </c>
    </row>
    <row r="469" spans="1:12">
      <c r="A469" t="s">
        <v>1387</v>
      </c>
      <c r="B469" t="s">
        <v>1388</v>
      </c>
      <c r="D469" t="s">
        <v>23</v>
      </c>
      <c r="E469" t="s">
        <v>28</v>
      </c>
      <c r="F469" t="s">
        <v>41</v>
      </c>
      <c r="G469" t="s">
        <v>172</v>
      </c>
      <c r="H469" t="s">
        <v>46</v>
      </c>
      <c r="J469">
        <v>24</v>
      </c>
    </row>
    <row r="470" spans="1:12">
      <c r="A470" t="s">
        <v>1389</v>
      </c>
      <c r="B470" t="s">
        <v>1390</v>
      </c>
      <c r="C470" t="s">
        <v>1391</v>
      </c>
      <c r="D470" t="s">
        <v>35</v>
      </c>
      <c r="E470" t="s">
        <v>54</v>
      </c>
      <c r="F470" t="s">
        <v>60</v>
      </c>
      <c r="G470" t="s">
        <v>105</v>
      </c>
      <c r="H470" t="s">
        <v>31</v>
      </c>
      <c r="I470">
        <v>5</v>
      </c>
      <c r="J470">
        <v>48</v>
      </c>
      <c r="K470">
        <v>39.200000000000003</v>
      </c>
      <c r="L470">
        <v>1</v>
      </c>
    </row>
    <row r="471" spans="1:12">
      <c r="A471" t="s">
        <v>1392</v>
      </c>
      <c r="B471" t="s">
        <v>1393</v>
      </c>
      <c r="C471" t="s">
        <v>1394</v>
      </c>
      <c r="D471" t="s">
        <v>23</v>
      </c>
      <c r="E471" t="s">
        <v>59</v>
      </c>
      <c r="F471" t="s">
        <v>17</v>
      </c>
      <c r="G471" t="s">
        <v>18</v>
      </c>
      <c r="H471" t="s">
        <v>19</v>
      </c>
      <c r="I471">
        <v>5</v>
      </c>
      <c r="J471">
        <v>24</v>
      </c>
      <c r="K471">
        <v>16.41</v>
      </c>
      <c r="L471">
        <v>1</v>
      </c>
    </row>
    <row r="472" spans="1:12">
      <c r="A472" t="s">
        <v>1395</v>
      </c>
      <c r="B472" t="s">
        <v>1396</v>
      </c>
      <c r="C472" t="s">
        <v>1397</v>
      </c>
      <c r="D472" t="s">
        <v>35</v>
      </c>
      <c r="E472" t="s">
        <v>54</v>
      </c>
      <c r="F472" t="s">
        <v>17</v>
      </c>
      <c r="G472" t="s">
        <v>77</v>
      </c>
      <c r="H472" t="s">
        <v>19</v>
      </c>
      <c r="I472">
        <v>5</v>
      </c>
      <c r="J472">
        <v>48</v>
      </c>
      <c r="K472">
        <v>33.78</v>
      </c>
      <c r="L472">
        <v>1</v>
      </c>
    </row>
    <row r="473" spans="1:12">
      <c r="A473" t="s">
        <v>1398</v>
      </c>
      <c r="B473" t="s">
        <v>1399</v>
      </c>
      <c r="C473" t="s">
        <v>1400</v>
      </c>
      <c r="D473" t="s">
        <v>23</v>
      </c>
      <c r="E473" t="s">
        <v>28</v>
      </c>
      <c r="F473" t="s">
        <v>41</v>
      </c>
      <c r="G473" t="s">
        <v>151</v>
      </c>
      <c r="H473" t="s">
        <v>31</v>
      </c>
      <c r="I473">
        <v>3</v>
      </c>
      <c r="J473">
        <v>24</v>
      </c>
      <c r="K473">
        <v>38.58</v>
      </c>
      <c r="L473">
        <v>0</v>
      </c>
    </row>
    <row r="474" spans="1:12">
      <c r="A474" t="s">
        <v>1401</v>
      </c>
      <c r="B474" t="s">
        <v>1402</v>
      </c>
      <c r="C474" t="s">
        <v>1403</v>
      </c>
      <c r="D474" t="s">
        <v>158</v>
      </c>
      <c r="E474" t="s">
        <v>54</v>
      </c>
      <c r="F474" t="s">
        <v>41</v>
      </c>
      <c r="G474" t="s">
        <v>73</v>
      </c>
      <c r="H474" t="s">
        <v>19</v>
      </c>
      <c r="I474">
        <v>5</v>
      </c>
      <c r="J474">
        <v>4</v>
      </c>
      <c r="K474">
        <v>1.31</v>
      </c>
      <c r="L474">
        <v>1</v>
      </c>
    </row>
    <row r="475" spans="1:12">
      <c r="A475" t="s">
        <v>1404</v>
      </c>
      <c r="B475" t="s">
        <v>1405</v>
      </c>
      <c r="C475" t="s">
        <v>1406</v>
      </c>
      <c r="D475" t="s">
        <v>23</v>
      </c>
      <c r="E475" t="s">
        <v>24</v>
      </c>
      <c r="F475" t="s">
        <v>36</v>
      </c>
      <c r="G475" t="s">
        <v>105</v>
      </c>
      <c r="H475" t="s">
        <v>31</v>
      </c>
      <c r="I475">
        <v>4</v>
      </c>
      <c r="J475">
        <v>24</v>
      </c>
      <c r="K475">
        <v>13.44</v>
      </c>
      <c r="L475">
        <v>1</v>
      </c>
    </row>
    <row r="476" spans="1:12">
      <c r="A476" t="s">
        <v>1407</v>
      </c>
      <c r="B476" t="s">
        <v>1408</v>
      </c>
      <c r="C476" t="s">
        <v>1409</v>
      </c>
      <c r="D476" t="s">
        <v>15</v>
      </c>
      <c r="E476" t="s">
        <v>16</v>
      </c>
      <c r="F476" t="s">
        <v>60</v>
      </c>
      <c r="G476" t="s">
        <v>18</v>
      </c>
      <c r="H476" t="s">
        <v>31</v>
      </c>
      <c r="I476">
        <v>5</v>
      </c>
      <c r="J476">
        <v>8</v>
      </c>
      <c r="K476">
        <v>2.42</v>
      </c>
      <c r="L476">
        <v>1</v>
      </c>
    </row>
    <row r="477" spans="1:12">
      <c r="A477" t="s">
        <v>1410</v>
      </c>
      <c r="B477" t="s">
        <v>1411</v>
      </c>
      <c r="C477" t="s">
        <v>1412</v>
      </c>
      <c r="D477" t="s">
        <v>23</v>
      </c>
      <c r="E477" t="s">
        <v>54</v>
      </c>
      <c r="F477" t="s">
        <v>36</v>
      </c>
      <c r="G477" t="s">
        <v>37</v>
      </c>
      <c r="H477" t="s">
        <v>19</v>
      </c>
      <c r="I477">
        <v>2</v>
      </c>
      <c r="J477">
        <v>24</v>
      </c>
      <c r="K477">
        <v>70.87</v>
      </c>
      <c r="L477">
        <v>0</v>
      </c>
    </row>
    <row r="478" spans="1:12">
      <c r="A478" t="s">
        <v>1413</v>
      </c>
      <c r="B478" t="s">
        <v>1414</v>
      </c>
      <c r="C478" t="s">
        <v>1415</v>
      </c>
      <c r="D478" t="s">
        <v>158</v>
      </c>
      <c r="E478" t="s">
        <v>16</v>
      </c>
      <c r="F478" t="s">
        <v>17</v>
      </c>
      <c r="G478" t="s">
        <v>55</v>
      </c>
      <c r="H478" t="s">
        <v>31</v>
      </c>
      <c r="I478">
        <v>1</v>
      </c>
      <c r="J478">
        <v>4</v>
      </c>
      <c r="K478">
        <v>7.66</v>
      </c>
      <c r="L478">
        <v>0</v>
      </c>
    </row>
    <row r="479" spans="1:12">
      <c r="A479" t="s">
        <v>1416</v>
      </c>
      <c r="B479" t="s">
        <v>1417</v>
      </c>
      <c r="C479" t="s">
        <v>1418</v>
      </c>
      <c r="D479" t="s">
        <v>23</v>
      </c>
      <c r="E479" t="s">
        <v>54</v>
      </c>
      <c r="F479" t="s">
        <v>60</v>
      </c>
      <c r="G479" t="s">
        <v>77</v>
      </c>
      <c r="H479" t="s">
        <v>31</v>
      </c>
      <c r="I479">
        <v>4</v>
      </c>
      <c r="J479">
        <v>24</v>
      </c>
      <c r="K479">
        <v>17.190000000000001</v>
      </c>
      <c r="L479">
        <v>1</v>
      </c>
    </row>
    <row r="480" spans="1:12">
      <c r="A480" t="s">
        <v>1419</v>
      </c>
      <c r="B480" t="s">
        <v>1420</v>
      </c>
      <c r="C480" t="s">
        <v>1421</v>
      </c>
      <c r="D480" t="s">
        <v>15</v>
      </c>
      <c r="E480" t="s">
        <v>54</v>
      </c>
      <c r="F480" t="s">
        <v>17</v>
      </c>
      <c r="G480" t="s">
        <v>73</v>
      </c>
      <c r="H480" t="s">
        <v>31</v>
      </c>
      <c r="I480">
        <v>4</v>
      </c>
      <c r="J480">
        <v>8</v>
      </c>
      <c r="K480">
        <v>1.08</v>
      </c>
      <c r="L480">
        <v>1</v>
      </c>
    </row>
    <row r="481" spans="1:12">
      <c r="A481" t="s">
        <v>1422</v>
      </c>
      <c r="B481" t="s">
        <v>1423</v>
      </c>
      <c r="C481" t="s">
        <v>1424</v>
      </c>
      <c r="D481" t="s">
        <v>15</v>
      </c>
      <c r="E481" t="s">
        <v>54</v>
      </c>
      <c r="F481" t="s">
        <v>29</v>
      </c>
      <c r="G481" t="s">
        <v>30</v>
      </c>
      <c r="H481" t="s">
        <v>19</v>
      </c>
      <c r="I481">
        <v>4</v>
      </c>
      <c r="J481">
        <v>8</v>
      </c>
      <c r="K481">
        <v>1.85</v>
      </c>
      <c r="L481">
        <v>1</v>
      </c>
    </row>
    <row r="482" spans="1:12">
      <c r="A482" t="s">
        <v>1425</v>
      </c>
      <c r="B482" t="s">
        <v>1426</v>
      </c>
      <c r="C482" t="s">
        <v>1427</v>
      </c>
      <c r="D482" t="s">
        <v>23</v>
      </c>
      <c r="E482" t="s">
        <v>16</v>
      </c>
      <c r="F482" t="s">
        <v>60</v>
      </c>
      <c r="G482" t="s">
        <v>151</v>
      </c>
      <c r="H482" t="s">
        <v>19</v>
      </c>
      <c r="I482">
        <v>3</v>
      </c>
      <c r="J482">
        <v>24</v>
      </c>
      <c r="K482">
        <v>13.62</v>
      </c>
      <c r="L482">
        <v>1</v>
      </c>
    </row>
    <row r="483" spans="1:12">
      <c r="A483" t="s">
        <v>1428</v>
      </c>
      <c r="B483" t="s">
        <v>1429</v>
      </c>
      <c r="D483" t="s">
        <v>15</v>
      </c>
      <c r="E483" t="s">
        <v>28</v>
      </c>
      <c r="F483" t="s">
        <v>17</v>
      </c>
      <c r="G483" t="s">
        <v>77</v>
      </c>
      <c r="H483" t="s">
        <v>63</v>
      </c>
      <c r="J483">
        <v>8</v>
      </c>
    </row>
    <row r="484" spans="1:12">
      <c r="A484" t="s">
        <v>1430</v>
      </c>
      <c r="B484" t="s">
        <v>1431</v>
      </c>
      <c r="C484" t="s">
        <v>1432</v>
      </c>
      <c r="D484" t="s">
        <v>15</v>
      </c>
      <c r="E484" t="s">
        <v>16</v>
      </c>
      <c r="F484" t="s">
        <v>29</v>
      </c>
      <c r="G484" t="s">
        <v>172</v>
      </c>
      <c r="H484" t="s">
        <v>19</v>
      </c>
      <c r="I484">
        <v>5</v>
      </c>
      <c r="J484">
        <v>8</v>
      </c>
      <c r="K484">
        <v>5.92</v>
      </c>
      <c r="L484">
        <v>1</v>
      </c>
    </row>
    <row r="485" spans="1:12">
      <c r="A485" t="s">
        <v>1433</v>
      </c>
      <c r="B485" t="s">
        <v>1434</v>
      </c>
      <c r="C485" t="s">
        <v>1435</v>
      </c>
      <c r="D485" t="s">
        <v>35</v>
      </c>
      <c r="E485" t="s">
        <v>59</v>
      </c>
      <c r="F485" t="s">
        <v>36</v>
      </c>
      <c r="G485" t="s">
        <v>42</v>
      </c>
      <c r="H485" t="s">
        <v>31</v>
      </c>
      <c r="I485">
        <v>5</v>
      </c>
      <c r="J485">
        <v>48</v>
      </c>
      <c r="K485">
        <v>41.7</v>
      </c>
      <c r="L485">
        <v>1</v>
      </c>
    </row>
    <row r="486" spans="1:12">
      <c r="A486" t="s">
        <v>1436</v>
      </c>
      <c r="B486" t="s">
        <v>1437</v>
      </c>
      <c r="D486" t="s">
        <v>15</v>
      </c>
      <c r="E486" t="s">
        <v>24</v>
      </c>
      <c r="F486" t="s">
        <v>29</v>
      </c>
      <c r="G486" t="s">
        <v>37</v>
      </c>
      <c r="H486" t="s">
        <v>63</v>
      </c>
      <c r="J486">
        <v>8</v>
      </c>
    </row>
    <row r="487" spans="1:12">
      <c r="A487" t="s">
        <v>1438</v>
      </c>
      <c r="B487" t="s">
        <v>1439</v>
      </c>
      <c r="D487" t="s">
        <v>23</v>
      </c>
      <c r="E487" t="s">
        <v>28</v>
      </c>
      <c r="F487" t="s">
        <v>29</v>
      </c>
      <c r="G487" t="s">
        <v>30</v>
      </c>
      <c r="H487" t="s">
        <v>63</v>
      </c>
      <c r="J487">
        <v>24</v>
      </c>
    </row>
    <row r="488" spans="1:12">
      <c r="A488" t="s">
        <v>1440</v>
      </c>
      <c r="B488" t="s">
        <v>1441</v>
      </c>
      <c r="C488" t="s">
        <v>1442</v>
      </c>
      <c r="D488" t="s">
        <v>23</v>
      </c>
      <c r="E488" t="s">
        <v>24</v>
      </c>
      <c r="F488" t="s">
        <v>60</v>
      </c>
      <c r="G488" t="s">
        <v>50</v>
      </c>
      <c r="H488" t="s">
        <v>19</v>
      </c>
      <c r="I488">
        <v>4</v>
      </c>
      <c r="J488">
        <v>24</v>
      </c>
      <c r="K488">
        <v>15.69</v>
      </c>
      <c r="L488">
        <v>1</v>
      </c>
    </row>
    <row r="489" spans="1:12">
      <c r="A489" t="s">
        <v>1443</v>
      </c>
      <c r="B489" t="s">
        <v>1444</v>
      </c>
      <c r="C489" t="s">
        <v>1445</v>
      </c>
      <c r="D489" t="s">
        <v>35</v>
      </c>
      <c r="E489" t="s">
        <v>24</v>
      </c>
      <c r="F489" t="s">
        <v>60</v>
      </c>
      <c r="G489" t="s">
        <v>77</v>
      </c>
      <c r="H489" t="s">
        <v>19</v>
      </c>
      <c r="I489">
        <v>5</v>
      </c>
      <c r="J489">
        <v>48</v>
      </c>
      <c r="K489">
        <v>32.15</v>
      </c>
      <c r="L489">
        <v>1</v>
      </c>
    </row>
    <row r="490" spans="1:12">
      <c r="A490" t="s">
        <v>1446</v>
      </c>
      <c r="B490" t="s">
        <v>1447</v>
      </c>
      <c r="C490" t="s">
        <v>1448</v>
      </c>
      <c r="D490" t="s">
        <v>23</v>
      </c>
      <c r="E490" t="s">
        <v>16</v>
      </c>
      <c r="F490" t="s">
        <v>17</v>
      </c>
      <c r="G490" t="s">
        <v>77</v>
      </c>
      <c r="H490" t="s">
        <v>31</v>
      </c>
      <c r="I490">
        <v>2</v>
      </c>
      <c r="J490">
        <v>24</v>
      </c>
      <c r="K490">
        <v>59.9</v>
      </c>
      <c r="L490">
        <v>0</v>
      </c>
    </row>
    <row r="491" spans="1:12">
      <c r="A491" t="s">
        <v>1449</v>
      </c>
      <c r="B491" t="s">
        <v>1450</v>
      </c>
      <c r="C491" t="s">
        <v>1451</v>
      </c>
      <c r="D491" t="s">
        <v>35</v>
      </c>
      <c r="E491" t="s">
        <v>16</v>
      </c>
      <c r="F491" t="s">
        <v>17</v>
      </c>
      <c r="G491" t="s">
        <v>30</v>
      </c>
      <c r="H491" t="s">
        <v>19</v>
      </c>
      <c r="I491">
        <v>3</v>
      </c>
      <c r="J491">
        <v>48</v>
      </c>
      <c r="K491">
        <v>8.3699999999999992</v>
      </c>
      <c r="L491">
        <v>1</v>
      </c>
    </row>
    <row r="492" spans="1:12">
      <c r="A492" t="s">
        <v>1452</v>
      </c>
      <c r="B492" t="s">
        <v>1453</v>
      </c>
      <c r="C492" t="s">
        <v>1454</v>
      </c>
      <c r="D492" t="s">
        <v>15</v>
      </c>
      <c r="E492" t="s">
        <v>24</v>
      </c>
      <c r="F492" t="s">
        <v>17</v>
      </c>
      <c r="G492" t="s">
        <v>45</v>
      </c>
      <c r="H492" t="s">
        <v>19</v>
      </c>
      <c r="I492">
        <v>4</v>
      </c>
      <c r="J492">
        <v>8</v>
      </c>
      <c r="K492">
        <v>3.55</v>
      </c>
      <c r="L492">
        <v>1</v>
      </c>
    </row>
    <row r="493" spans="1:12">
      <c r="A493" t="s">
        <v>1455</v>
      </c>
      <c r="B493" t="s">
        <v>1456</v>
      </c>
      <c r="C493" t="s">
        <v>1457</v>
      </c>
      <c r="D493" t="s">
        <v>23</v>
      </c>
      <c r="E493" t="s">
        <v>54</v>
      </c>
      <c r="F493" t="s">
        <v>60</v>
      </c>
      <c r="G493" t="s">
        <v>42</v>
      </c>
      <c r="H493" t="s">
        <v>31</v>
      </c>
      <c r="I493">
        <v>3</v>
      </c>
      <c r="J493">
        <v>24</v>
      </c>
      <c r="K493">
        <v>16.7</v>
      </c>
      <c r="L493">
        <v>1</v>
      </c>
    </row>
    <row r="494" spans="1:12">
      <c r="A494" t="s">
        <v>1458</v>
      </c>
      <c r="B494" t="s">
        <v>1459</v>
      </c>
      <c r="C494" t="s">
        <v>1460</v>
      </c>
      <c r="D494" t="s">
        <v>23</v>
      </c>
      <c r="E494" t="s">
        <v>28</v>
      </c>
      <c r="F494" t="s">
        <v>29</v>
      </c>
      <c r="G494" t="s">
        <v>55</v>
      </c>
      <c r="H494" t="s">
        <v>19</v>
      </c>
      <c r="I494">
        <v>4</v>
      </c>
      <c r="J494">
        <v>24</v>
      </c>
      <c r="K494">
        <v>761</v>
      </c>
      <c r="L494">
        <v>0</v>
      </c>
    </row>
    <row r="495" spans="1:12">
      <c r="A495" t="s">
        <v>1461</v>
      </c>
      <c r="B495" t="s">
        <v>1462</v>
      </c>
      <c r="C495" t="s">
        <v>1463</v>
      </c>
      <c r="D495" t="s">
        <v>158</v>
      </c>
      <c r="E495" t="s">
        <v>24</v>
      </c>
      <c r="F495" t="s">
        <v>17</v>
      </c>
      <c r="G495" t="s">
        <v>73</v>
      </c>
      <c r="H495" t="s">
        <v>31</v>
      </c>
      <c r="I495">
        <v>4</v>
      </c>
      <c r="J495">
        <v>4</v>
      </c>
      <c r="K495">
        <v>3.29</v>
      </c>
      <c r="L495">
        <v>1</v>
      </c>
    </row>
    <row r="496" spans="1:12">
      <c r="A496" t="s">
        <v>1464</v>
      </c>
      <c r="B496" t="s">
        <v>1465</v>
      </c>
      <c r="C496" t="s">
        <v>1466</v>
      </c>
      <c r="D496" t="s">
        <v>15</v>
      </c>
      <c r="E496" t="s">
        <v>54</v>
      </c>
      <c r="F496" t="s">
        <v>29</v>
      </c>
      <c r="G496" t="s">
        <v>30</v>
      </c>
      <c r="H496" t="s">
        <v>31</v>
      </c>
      <c r="I496">
        <v>3</v>
      </c>
      <c r="J496">
        <v>8</v>
      </c>
      <c r="K496">
        <v>1.64</v>
      </c>
      <c r="L496">
        <v>1</v>
      </c>
    </row>
    <row r="497" spans="1:12">
      <c r="A497" t="s">
        <v>1467</v>
      </c>
      <c r="B497" t="s">
        <v>1468</v>
      </c>
      <c r="C497" t="s">
        <v>1469</v>
      </c>
      <c r="D497" t="s">
        <v>23</v>
      </c>
      <c r="E497" t="s">
        <v>28</v>
      </c>
      <c r="F497" t="s">
        <v>36</v>
      </c>
      <c r="G497" t="s">
        <v>45</v>
      </c>
      <c r="H497" t="s">
        <v>19</v>
      </c>
      <c r="I497">
        <v>4</v>
      </c>
      <c r="J497">
        <v>24</v>
      </c>
      <c r="K497">
        <v>17.21</v>
      </c>
      <c r="L497">
        <v>1</v>
      </c>
    </row>
    <row r="498" spans="1:12">
      <c r="A498" t="s">
        <v>1470</v>
      </c>
      <c r="B498" t="s">
        <v>1471</v>
      </c>
      <c r="C498" t="s">
        <v>1472</v>
      </c>
      <c r="D498" t="s">
        <v>23</v>
      </c>
      <c r="E498" t="s">
        <v>28</v>
      </c>
      <c r="F498" t="s">
        <v>17</v>
      </c>
      <c r="G498" t="s">
        <v>73</v>
      </c>
      <c r="H498" t="s">
        <v>19</v>
      </c>
      <c r="I498">
        <v>1</v>
      </c>
      <c r="J498">
        <v>24</v>
      </c>
      <c r="K498">
        <v>34.29</v>
      </c>
      <c r="L498">
        <v>0</v>
      </c>
    </row>
    <row r="499" spans="1:12">
      <c r="A499" t="s">
        <v>1473</v>
      </c>
      <c r="B499" t="s">
        <v>1474</v>
      </c>
      <c r="C499" t="s">
        <v>1475</v>
      </c>
      <c r="D499" t="s">
        <v>23</v>
      </c>
      <c r="E499" t="s">
        <v>16</v>
      </c>
      <c r="F499" t="s">
        <v>60</v>
      </c>
      <c r="G499" t="s">
        <v>50</v>
      </c>
      <c r="H499" t="s">
        <v>31</v>
      </c>
      <c r="I499">
        <v>4</v>
      </c>
      <c r="J499">
        <v>24</v>
      </c>
      <c r="K499">
        <v>16.100000000000001</v>
      </c>
      <c r="L499">
        <v>1</v>
      </c>
    </row>
    <row r="500" spans="1:12">
      <c r="A500" t="s">
        <v>1476</v>
      </c>
      <c r="B500" t="s">
        <v>1477</v>
      </c>
      <c r="C500" t="s">
        <v>1478</v>
      </c>
      <c r="D500" t="s">
        <v>23</v>
      </c>
      <c r="E500" t="s">
        <v>28</v>
      </c>
      <c r="F500" t="s">
        <v>29</v>
      </c>
      <c r="G500" t="s">
        <v>172</v>
      </c>
      <c r="H500" t="s">
        <v>19</v>
      </c>
      <c r="I500">
        <v>5</v>
      </c>
      <c r="J500">
        <v>24</v>
      </c>
      <c r="K500">
        <v>4.4400000000000004</v>
      </c>
      <c r="L500">
        <v>1</v>
      </c>
    </row>
    <row r="501" spans="1:12">
      <c r="A501" t="s">
        <v>1479</v>
      </c>
      <c r="B501" t="s">
        <v>1480</v>
      </c>
      <c r="C501" t="s">
        <v>1481</v>
      </c>
      <c r="D501" t="s">
        <v>15</v>
      </c>
      <c r="E501" t="s">
        <v>28</v>
      </c>
      <c r="F501" t="s">
        <v>29</v>
      </c>
      <c r="G501" t="s">
        <v>55</v>
      </c>
      <c r="H501" t="s">
        <v>31</v>
      </c>
      <c r="I501">
        <v>5</v>
      </c>
      <c r="J501">
        <v>8</v>
      </c>
      <c r="K501">
        <v>1.84</v>
      </c>
      <c r="L501">
        <v>1</v>
      </c>
    </row>
    <row r="502" spans="1:12">
      <c r="A502" t="s">
        <v>1482</v>
      </c>
      <c r="B502" t="s">
        <v>1483</v>
      </c>
      <c r="C502" t="s">
        <v>1484</v>
      </c>
      <c r="D502" t="s">
        <v>15</v>
      </c>
      <c r="E502" t="s">
        <v>28</v>
      </c>
      <c r="F502" t="s">
        <v>36</v>
      </c>
      <c r="G502" t="s">
        <v>172</v>
      </c>
      <c r="H502" t="s">
        <v>19</v>
      </c>
      <c r="I502">
        <v>4</v>
      </c>
      <c r="J502">
        <v>8</v>
      </c>
      <c r="K502">
        <v>5.83</v>
      </c>
      <c r="L502">
        <v>1</v>
      </c>
    </row>
    <row r="503" spans="1:12">
      <c r="A503" t="s">
        <v>1485</v>
      </c>
      <c r="B503" t="s">
        <v>1486</v>
      </c>
      <c r="C503" t="s">
        <v>1487</v>
      </c>
      <c r="D503" t="s">
        <v>23</v>
      </c>
      <c r="E503" t="s">
        <v>59</v>
      </c>
      <c r="F503" t="s">
        <v>29</v>
      </c>
      <c r="G503" t="s">
        <v>50</v>
      </c>
      <c r="H503" t="s">
        <v>19</v>
      </c>
      <c r="I503">
        <v>5</v>
      </c>
      <c r="J503">
        <v>24</v>
      </c>
      <c r="K503">
        <v>8.6300000000000008</v>
      </c>
      <c r="L503">
        <v>1</v>
      </c>
    </row>
    <row r="504" spans="1:12">
      <c r="A504" t="s">
        <v>1488</v>
      </c>
      <c r="B504" t="s">
        <v>1489</v>
      </c>
      <c r="C504" t="s">
        <v>1490</v>
      </c>
      <c r="D504" t="s">
        <v>23</v>
      </c>
      <c r="E504" t="s">
        <v>24</v>
      </c>
      <c r="F504" t="s">
        <v>29</v>
      </c>
      <c r="G504" t="s">
        <v>73</v>
      </c>
      <c r="H504" t="s">
        <v>31</v>
      </c>
      <c r="I504">
        <v>5</v>
      </c>
      <c r="J504">
        <v>24</v>
      </c>
      <c r="K504">
        <v>17.36</v>
      </c>
      <c r="L504">
        <v>1</v>
      </c>
    </row>
    <row r="505" spans="1:12">
      <c r="A505" t="s">
        <v>1491</v>
      </c>
      <c r="B505" t="s">
        <v>1492</v>
      </c>
      <c r="C505" t="s">
        <v>1493</v>
      </c>
      <c r="D505" t="s">
        <v>158</v>
      </c>
      <c r="E505" t="s">
        <v>24</v>
      </c>
      <c r="F505" t="s">
        <v>60</v>
      </c>
      <c r="G505" t="s">
        <v>151</v>
      </c>
      <c r="H505" t="s">
        <v>19</v>
      </c>
      <c r="I505">
        <v>5</v>
      </c>
      <c r="J505">
        <v>4</v>
      </c>
      <c r="K505">
        <v>1.78</v>
      </c>
      <c r="L505">
        <v>1</v>
      </c>
    </row>
    <row r="506" spans="1:12">
      <c r="A506" t="s">
        <v>1494</v>
      </c>
      <c r="B506" t="s">
        <v>1495</v>
      </c>
      <c r="C506" t="s">
        <v>1496</v>
      </c>
      <c r="D506" t="s">
        <v>158</v>
      </c>
      <c r="E506" t="s">
        <v>28</v>
      </c>
      <c r="F506" t="s">
        <v>60</v>
      </c>
      <c r="G506" t="s">
        <v>50</v>
      </c>
      <c r="H506" t="s">
        <v>31</v>
      </c>
      <c r="I506">
        <v>5</v>
      </c>
      <c r="J506">
        <v>4</v>
      </c>
      <c r="K506">
        <v>1.73</v>
      </c>
      <c r="L506">
        <v>1</v>
      </c>
    </row>
    <row r="507" spans="1:12">
      <c r="A507" t="s">
        <v>1497</v>
      </c>
      <c r="B507" t="s">
        <v>1498</v>
      </c>
      <c r="C507" t="s">
        <v>1499</v>
      </c>
      <c r="D507" t="s">
        <v>23</v>
      </c>
      <c r="E507" t="s">
        <v>59</v>
      </c>
      <c r="F507" t="s">
        <v>41</v>
      </c>
      <c r="G507" t="s">
        <v>77</v>
      </c>
      <c r="H507" t="s">
        <v>19</v>
      </c>
      <c r="I507">
        <v>5</v>
      </c>
      <c r="J507">
        <v>24</v>
      </c>
      <c r="K507">
        <v>12.64</v>
      </c>
      <c r="L507">
        <v>1</v>
      </c>
    </row>
    <row r="508" spans="1:12">
      <c r="A508" t="s">
        <v>1500</v>
      </c>
      <c r="B508" t="s">
        <v>1501</v>
      </c>
      <c r="C508" t="s">
        <v>1502</v>
      </c>
      <c r="D508" t="s">
        <v>35</v>
      </c>
      <c r="E508" t="s">
        <v>59</v>
      </c>
      <c r="F508" t="s">
        <v>17</v>
      </c>
      <c r="G508" t="s">
        <v>77</v>
      </c>
      <c r="H508" t="s">
        <v>19</v>
      </c>
      <c r="I508">
        <v>5</v>
      </c>
      <c r="J508">
        <v>48</v>
      </c>
      <c r="K508">
        <v>27.91</v>
      </c>
      <c r="L508">
        <v>1</v>
      </c>
    </row>
    <row r="509" spans="1:12">
      <c r="A509" t="s">
        <v>1503</v>
      </c>
      <c r="B509" t="s">
        <v>1504</v>
      </c>
      <c r="C509" t="s">
        <v>1505</v>
      </c>
      <c r="D509" t="s">
        <v>35</v>
      </c>
      <c r="E509" t="s">
        <v>16</v>
      </c>
      <c r="F509" t="s">
        <v>41</v>
      </c>
      <c r="G509" t="s">
        <v>172</v>
      </c>
      <c r="H509" t="s">
        <v>19</v>
      </c>
      <c r="I509">
        <v>4</v>
      </c>
      <c r="J509">
        <v>48</v>
      </c>
      <c r="K509">
        <v>14.26</v>
      </c>
      <c r="L509">
        <v>1</v>
      </c>
    </row>
    <row r="510" spans="1:12">
      <c r="A510" t="s">
        <v>1506</v>
      </c>
      <c r="B510" t="s">
        <v>1507</v>
      </c>
      <c r="C510" t="s">
        <v>1508</v>
      </c>
      <c r="D510" t="s">
        <v>158</v>
      </c>
      <c r="E510" t="s">
        <v>28</v>
      </c>
      <c r="F510" t="s">
        <v>29</v>
      </c>
      <c r="G510" t="s">
        <v>37</v>
      </c>
      <c r="H510" t="s">
        <v>19</v>
      </c>
      <c r="I510">
        <v>5</v>
      </c>
      <c r="J510">
        <v>4</v>
      </c>
      <c r="K510">
        <v>0.56000000000000005</v>
      </c>
      <c r="L510">
        <v>1</v>
      </c>
    </row>
    <row r="511" spans="1:12">
      <c r="A511" t="s">
        <v>1509</v>
      </c>
      <c r="B511" t="s">
        <v>1510</v>
      </c>
      <c r="C511" t="s">
        <v>1511</v>
      </c>
      <c r="D511" t="s">
        <v>15</v>
      </c>
      <c r="E511" t="s">
        <v>59</v>
      </c>
      <c r="F511" t="s">
        <v>29</v>
      </c>
      <c r="G511" t="s">
        <v>105</v>
      </c>
      <c r="H511" t="s">
        <v>19</v>
      </c>
      <c r="I511">
        <v>5</v>
      </c>
      <c r="J511">
        <v>8</v>
      </c>
      <c r="K511">
        <v>1.98</v>
      </c>
      <c r="L511">
        <v>1</v>
      </c>
    </row>
    <row r="512" spans="1:12">
      <c r="A512" t="s">
        <v>1512</v>
      </c>
      <c r="B512" t="s">
        <v>1513</v>
      </c>
      <c r="C512" t="s">
        <v>1514</v>
      </c>
      <c r="D512" t="s">
        <v>23</v>
      </c>
      <c r="E512" t="s">
        <v>16</v>
      </c>
      <c r="F512" t="s">
        <v>36</v>
      </c>
      <c r="G512" t="s">
        <v>77</v>
      </c>
      <c r="H512" t="s">
        <v>19</v>
      </c>
      <c r="I512">
        <v>2</v>
      </c>
      <c r="J512">
        <v>24</v>
      </c>
      <c r="K512">
        <v>35.630000000000003</v>
      </c>
      <c r="L512">
        <v>0</v>
      </c>
    </row>
    <row r="513" spans="1:12">
      <c r="A513" t="s">
        <v>1515</v>
      </c>
      <c r="B513" t="s">
        <v>1516</v>
      </c>
      <c r="C513" t="s">
        <v>1517</v>
      </c>
      <c r="D513" t="s">
        <v>35</v>
      </c>
      <c r="E513" t="s">
        <v>28</v>
      </c>
      <c r="F513" t="s">
        <v>41</v>
      </c>
      <c r="G513" t="s">
        <v>55</v>
      </c>
      <c r="H513" t="s">
        <v>19</v>
      </c>
      <c r="I513">
        <v>1</v>
      </c>
      <c r="J513">
        <v>48</v>
      </c>
      <c r="K513">
        <v>625</v>
      </c>
      <c r="L513">
        <v>0</v>
      </c>
    </row>
    <row r="514" spans="1:12">
      <c r="A514" t="s">
        <v>1518</v>
      </c>
      <c r="B514" t="s">
        <v>1519</v>
      </c>
      <c r="C514" t="s">
        <v>1520</v>
      </c>
      <c r="D514" t="s">
        <v>23</v>
      </c>
      <c r="E514" t="s">
        <v>28</v>
      </c>
      <c r="F514" t="s">
        <v>17</v>
      </c>
      <c r="G514" t="s">
        <v>73</v>
      </c>
      <c r="H514" t="s">
        <v>19</v>
      </c>
      <c r="I514">
        <v>4</v>
      </c>
      <c r="J514">
        <v>24</v>
      </c>
      <c r="K514">
        <v>4.8099999999999996</v>
      </c>
      <c r="L514">
        <v>1</v>
      </c>
    </row>
    <row r="515" spans="1:12">
      <c r="A515" t="s">
        <v>1521</v>
      </c>
      <c r="B515" t="s">
        <v>1522</v>
      </c>
      <c r="C515" t="s">
        <v>1523</v>
      </c>
      <c r="D515" t="s">
        <v>15</v>
      </c>
      <c r="E515" t="s">
        <v>24</v>
      </c>
      <c r="F515" t="s">
        <v>41</v>
      </c>
      <c r="G515" t="s">
        <v>50</v>
      </c>
      <c r="H515" t="s">
        <v>19</v>
      </c>
      <c r="I515">
        <v>3</v>
      </c>
      <c r="J515">
        <v>8</v>
      </c>
      <c r="K515">
        <v>6.47</v>
      </c>
      <c r="L515">
        <v>1</v>
      </c>
    </row>
    <row r="516" spans="1:12">
      <c r="A516" t="s">
        <v>1524</v>
      </c>
      <c r="B516" t="s">
        <v>1525</v>
      </c>
      <c r="C516" t="s">
        <v>1526</v>
      </c>
      <c r="D516" t="s">
        <v>15</v>
      </c>
      <c r="E516" t="s">
        <v>54</v>
      </c>
      <c r="F516" t="s">
        <v>17</v>
      </c>
      <c r="G516" t="s">
        <v>151</v>
      </c>
      <c r="H516" t="s">
        <v>19</v>
      </c>
      <c r="I516">
        <v>1</v>
      </c>
      <c r="J516">
        <v>8</v>
      </c>
      <c r="K516">
        <v>10.69</v>
      </c>
      <c r="L516">
        <v>0</v>
      </c>
    </row>
    <row r="517" spans="1:12">
      <c r="A517" t="s">
        <v>1527</v>
      </c>
      <c r="B517" t="s">
        <v>1528</v>
      </c>
      <c r="C517" t="s">
        <v>1529</v>
      </c>
      <c r="D517" t="s">
        <v>15</v>
      </c>
      <c r="E517" t="s">
        <v>59</v>
      </c>
      <c r="F517" t="s">
        <v>60</v>
      </c>
      <c r="G517" t="s">
        <v>55</v>
      </c>
      <c r="H517" t="s">
        <v>31</v>
      </c>
      <c r="I517">
        <v>3</v>
      </c>
      <c r="J517">
        <v>8</v>
      </c>
      <c r="K517">
        <v>19.760000000000002</v>
      </c>
      <c r="L517">
        <v>0</v>
      </c>
    </row>
    <row r="518" spans="1:12">
      <c r="A518" t="s">
        <v>1530</v>
      </c>
      <c r="B518" t="s">
        <v>1531</v>
      </c>
      <c r="C518" t="s">
        <v>1532</v>
      </c>
      <c r="D518" t="s">
        <v>15</v>
      </c>
      <c r="E518" t="s">
        <v>54</v>
      </c>
      <c r="F518" t="s">
        <v>41</v>
      </c>
      <c r="G518" t="s">
        <v>50</v>
      </c>
      <c r="H518" t="s">
        <v>19</v>
      </c>
      <c r="I518">
        <v>3</v>
      </c>
      <c r="J518">
        <v>8</v>
      </c>
      <c r="K518">
        <v>17.77</v>
      </c>
      <c r="L518">
        <v>0</v>
      </c>
    </row>
    <row r="519" spans="1:12">
      <c r="A519" t="s">
        <v>1533</v>
      </c>
      <c r="B519" t="s">
        <v>1534</v>
      </c>
      <c r="C519" t="s">
        <v>1535</v>
      </c>
      <c r="D519" t="s">
        <v>23</v>
      </c>
      <c r="E519" t="s">
        <v>54</v>
      </c>
      <c r="F519" t="s">
        <v>60</v>
      </c>
      <c r="G519" t="s">
        <v>45</v>
      </c>
      <c r="H519" t="s">
        <v>19</v>
      </c>
      <c r="I519">
        <v>5</v>
      </c>
      <c r="J519">
        <v>24</v>
      </c>
      <c r="K519">
        <v>21.22</v>
      </c>
      <c r="L519">
        <v>1</v>
      </c>
    </row>
    <row r="520" spans="1:12">
      <c r="A520" t="s">
        <v>1536</v>
      </c>
      <c r="B520" t="s">
        <v>1537</v>
      </c>
      <c r="C520" t="s">
        <v>1538</v>
      </c>
      <c r="D520" t="s">
        <v>15</v>
      </c>
      <c r="E520" t="s">
        <v>28</v>
      </c>
      <c r="F520" t="s">
        <v>36</v>
      </c>
      <c r="G520" t="s">
        <v>30</v>
      </c>
      <c r="H520" t="s">
        <v>19</v>
      </c>
      <c r="I520">
        <v>2</v>
      </c>
      <c r="J520">
        <v>8</v>
      </c>
      <c r="K520">
        <v>16.27</v>
      </c>
      <c r="L520">
        <v>0</v>
      </c>
    </row>
    <row r="521" spans="1:12">
      <c r="A521" t="s">
        <v>1539</v>
      </c>
      <c r="B521" t="s">
        <v>1540</v>
      </c>
      <c r="C521" t="s">
        <v>1541</v>
      </c>
      <c r="D521" t="s">
        <v>23</v>
      </c>
      <c r="E521" t="s">
        <v>24</v>
      </c>
      <c r="F521" t="s">
        <v>60</v>
      </c>
      <c r="G521" t="s">
        <v>55</v>
      </c>
      <c r="H521" t="s">
        <v>19</v>
      </c>
      <c r="I521">
        <v>4</v>
      </c>
      <c r="J521">
        <v>24</v>
      </c>
      <c r="K521">
        <v>12.67</v>
      </c>
      <c r="L521">
        <v>1</v>
      </c>
    </row>
    <row r="522" spans="1:12">
      <c r="A522" t="s">
        <v>1542</v>
      </c>
      <c r="B522" t="s">
        <v>1543</v>
      </c>
      <c r="C522" t="s">
        <v>1544</v>
      </c>
      <c r="D522" t="s">
        <v>23</v>
      </c>
      <c r="E522" t="s">
        <v>59</v>
      </c>
      <c r="F522" t="s">
        <v>60</v>
      </c>
      <c r="G522" t="s">
        <v>30</v>
      </c>
      <c r="H522" t="s">
        <v>31</v>
      </c>
      <c r="I522">
        <v>5</v>
      </c>
      <c r="J522">
        <v>24</v>
      </c>
      <c r="K522">
        <v>15.64</v>
      </c>
      <c r="L522">
        <v>1</v>
      </c>
    </row>
    <row r="523" spans="1:12">
      <c r="A523" t="s">
        <v>1545</v>
      </c>
      <c r="B523" t="s">
        <v>1546</v>
      </c>
      <c r="D523" t="s">
        <v>35</v>
      </c>
      <c r="E523" t="s">
        <v>54</v>
      </c>
      <c r="F523" t="s">
        <v>41</v>
      </c>
      <c r="G523" t="s">
        <v>18</v>
      </c>
      <c r="H523" t="s">
        <v>63</v>
      </c>
      <c r="J523">
        <v>48</v>
      </c>
    </row>
    <row r="524" spans="1:12">
      <c r="A524" t="s">
        <v>1547</v>
      </c>
      <c r="B524" t="s">
        <v>1548</v>
      </c>
      <c r="D524" t="s">
        <v>23</v>
      </c>
      <c r="E524" t="s">
        <v>28</v>
      </c>
      <c r="F524" t="s">
        <v>60</v>
      </c>
      <c r="G524" t="s">
        <v>105</v>
      </c>
      <c r="H524" t="s">
        <v>63</v>
      </c>
      <c r="J524">
        <v>24</v>
      </c>
    </row>
    <row r="525" spans="1:12">
      <c r="A525" t="s">
        <v>1549</v>
      </c>
      <c r="B525" t="s">
        <v>1550</v>
      </c>
      <c r="C525" t="s">
        <v>1551</v>
      </c>
      <c r="D525" t="s">
        <v>23</v>
      </c>
      <c r="E525" t="s">
        <v>24</v>
      </c>
      <c r="F525" t="s">
        <v>17</v>
      </c>
      <c r="G525" t="s">
        <v>45</v>
      </c>
      <c r="H525" t="s">
        <v>19</v>
      </c>
      <c r="I525">
        <v>4</v>
      </c>
      <c r="J525">
        <v>24</v>
      </c>
      <c r="K525">
        <v>19.920000000000002</v>
      </c>
      <c r="L525">
        <v>1</v>
      </c>
    </row>
    <row r="526" spans="1:12">
      <c r="A526" t="s">
        <v>1552</v>
      </c>
      <c r="B526" t="s">
        <v>1553</v>
      </c>
      <c r="C526" t="s">
        <v>1554</v>
      </c>
      <c r="D526" t="s">
        <v>23</v>
      </c>
      <c r="E526" t="s">
        <v>28</v>
      </c>
      <c r="F526" t="s">
        <v>36</v>
      </c>
      <c r="G526" t="s">
        <v>105</v>
      </c>
      <c r="H526" t="s">
        <v>31</v>
      </c>
      <c r="I526">
        <v>5</v>
      </c>
      <c r="J526">
        <v>24</v>
      </c>
      <c r="K526">
        <v>13.06</v>
      </c>
      <c r="L526">
        <v>1</v>
      </c>
    </row>
    <row r="527" spans="1:12">
      <c r="A527" t="s">
        <v>1555</v>
      </c>
      <c r="B527" t="s">
        <v>1556</v>
      </c>
      <c r="C527" t="s">
        <v>1557</v>
      </c>
      <c r="D527" t="s">
        <v>23</v>
      </c>
      <c r="E527" t="s">
        <v>54</v>
      </c>
      <c r="F527" t="s">
        <v>29</v>
      </c>
      <c r="G527" t="s">
        <v>37</v>
      </c>
      <c r="H527" t="s">
        <v>19</v>
      </c>
      <c r="I527">
        <v>4</v>
      </c>
      <c r="J527">
        <v>24</v>
      </c>
      <c r="K527">
        <v>15.69</v>
      </c>
      <c r="L527">
        <v>1</v>
      </c>
    </row>
    <row r="528" spans="1:12">
      <c r="A528" t="s">
        <v>1558</v>
      </c>
      <c r="B528" t="s">
        <v>1559</v>
      </c>
      <c r="D528" t="s">
        <v>23</v>
      </c>
      <c r="E528" t="s">
        <v>54</v>
      </c>
      <c r="F528" t="s">
        <v>60</v>
      </c>
      <c r="G528" t="s">
        <v>45</v>
      </c>
      <c r="H528" t="s">
        <v>46</v>
      </c>
      <c r="J528">
        <v>24</v>
      </c>
    </row>
    <row r="529" spans="1:12">
      <c r="A529" t="s">
        <v>1560</v>
      </c>
      <c r="B529" t="s">
        <v>1561</v>
      </c>
      <c r="C529" t="s">
        <v>1562</v>
      </c>
      <c r="D529" t="s">
        <v>23</v>
      </c>
      <c r="E529" t="s">
        <v>28</v>
      </c>
      <c r="F529" t="s">
        <v>60</v>
      </c>
      <c r="G529" t="s">
        <v>50</v>
      </c>
      <c r="H529" t="s">
        <v>19</v>
      </c>
      <c r="I529">
        <v>5</v>
      </c>
      <c r="J529">
        <v>24</v>
      </c>
      <c r="K529">
        <v>12.27</v>
      </c>
      <c r="L529">
        <v>1</v>
      </c>
    </row>
    <row r="530" spans="1:12">
      <c r="A530" t="s">
        <v>1563</v>
      </c>
      <c r="B530" t="s">
        <v>1564</v>
      </c>
      <c r="C530" t="s">
        <v>1565</v>
      </c>
      <c r="D530" t="s">
        <v>15</v>
      </c>
      <c r="E530" t="s">
        <v>16</v>
      </c>
      <c r="F530" t="s">
        <v>17</v>
      </c>
      <c r="G530" t="s">
        <v>151</v>
      </c>
      <c r="H530" t="s">
        <v>19</v>
      </c>
      <c r="I530">
        <v>5</v>
      </c>
      <c r="J530">
        <v>8</v>
      </c>
      <c r="K530">
        <v>6.12</v>
      </c>
      <c r="L530">
        <v>1</v>
      </c>
    </row>
    <row r="531" spans="1:12">
      <c r="A531" t="s">
        <v>1566</v>
      </c>
      <c r="B531" t="s">
        <v>1567</v>
      </c>
      <c r="C531" t="s">
        <v>1568</v>
      </c>
      <c r="D531" t="s">
        <v>15</v>
      </c>
      <c r="E531" t="s">
        <v>28</v>
      </c>
      <c r="F531" t="s">
        <v>29</v>
      </c>
      <c r="G531" t="s">
        <v>77</v>
      </c>
      <c r="H531" t="s">
        <v>31</v>
      </c>
      <c r="I531">
        <v>4</v>
      </c>
      <c r="J531">
        <v>8</v>
      </c>
      <c r="K531">
        <v>1.1499999999999999</v>
      </c>
      <c r="L531">
        <v>1</v>
      </c>
    </row>
    <row r="532" spans="1:12">
      <c r="A532" t="s">
        <v>1569</v>
      </c>
      <c r="B532" t="s">
        <v>1570</v>
      </c>
      <c r="D532" t="s">
        <v>158</v>
      </c>
      <c r="E532" t="s">
        <v>16</v>
      </c>
      <c r="F532" t="s">
        <v>17</v>
      </c>
      <c r="G532" t="s">
        <v>50</v>
      </c>
      <c r="H532" t="s">
        <v>63</v>
      </c>
      <c r="J532">
        <v>4</v>
      </c>
    </row>
    <row r="533" spans="1:12">
      <c r="A533" t="s">
        <v>1571</v>
      </c>
      <c r="B533" t="s">
        <v>1572</v>
      </c>
      <c r="C533" t="s">
        <v>1573</v>
      </c>
      <c r="D533" t="s">
        <v>158</v>
      </c>
      <c r="E533" t="s">
        <v>28</v>
      </c>
      <c r="F533" t="s">
        <v>29</v>
      </c>
      <c r="G533" t="s">
        <v>42</v>
      </c>
      <c r="H533" t="s">
        <v>31</v>
      </c>
      <c r="I533">
        <v>4</v>
      </c>
      <c r="J533">
        <v>4</v>
      </c>
      <c r="K533">
        <v>3.56</v>
      </c>
      <c r="L533">
        <v>1</v>
      </c>
    </row>
    <row r="534" spans="1:12">
      <c r="A534" t="s">
        <v>1574</v>
      </c>
      <c r="B534" t="s">
        <v>1575</v>
      </c>
      <c r="D534" t="s">
        <v>23</v>
      </c>
      <c r="E534" t="s">
        <v>16</v>
      </c>
      <c r="F534" t="s">
        <v>60</v>
      </c>
      <c r="G534" t="s">
        <v>30</v>
      </c>
      <c r="H534" t="s">
        <v>63</v>
      </c>
      <c r="J534">
        <v>24</v>
      </c>
    </row>
    <row r="535" spans="1:12">
      <c r="A535" t="s">
        <v>1576</v>
      </c>
      <c r="B535" t="s">
        <v>1577</v>
      </c>
      <c r="C535" t="s">
        <v>1578</v>
      </c>
      <c r="D535" t="s">
        <v>15</v>
      </c>
      <c r="E535" t="s">
        <v>28</v>
      </c>
      <c r="F535" t="s">
        <v>36</v>
      </c>
      <c r="G535" t="s">
        <v>18</v>
      </c>
      <c r="H535" t="s">
        <v>31</v>
      </c>
      <c r="I535">
        <v>1</v>
      </c>
      <c r="J535">
        <v>8</v>
      </c>
      <c r="K535">
        <v>16.48</v>
      </c>
      <c r="L535">
        <v>0</v>
      </c>
    </row>
    <row r="536" spans="1:12">
      <c r="A536" t="s">
        <v>1579</v>
      </c>
      <c r="B536" t="s">
        <v>1580</v>
      </c>
      <c r="C536" t="s">
        <v>1581</v>
      </c>
      <c r="D536" t="s">
        <v>23</v>
      </c>
      <c r="E536" t="s">
        <v>28</v>
      </c>
      <c r="F536" t="s">
        <v>17</v>
      </c>
      <c r="G536" t="s">
        <v>55</v>
      </c>
      <c r="H536" t="s">
        <v>19</v>
      </c>
      <c r="I536">
        <v>3</v>
      </c>
      <c r="J536">
        <v>24</v>
      </c>
      <c r="K536">
        <v>7.28</v>
      </c>
      <c r="L536">
        <v>1</v>
      </c>
    </row>
    <row r="537" spans="1:12">
      <c r="A537" t="s">
        <v>1582</v>
      </c>
      <c r="B537" t="s">
        <v>1583</v>
      </c>
      <c r="C537" t="s">
        <v>1584</v>
      </c>
      <c r="D537" t="s">
        <v>158</v>
      </c>
      <c r="E537" t="s">
        <v>28</v>
      </c>
      <c r="F537" t="s">
        <v>41</v>
      </c>
      <c r="G537" t="s">
        <v>172</v>
      </c>
      <c r="H537" t="s">
        <v>31</v>
      </c>
      <c r="I537">
        <v>3</v>
      </c>
      <c r="J537">
        <v>4</v>
      </c>
      <c r="K537">
        <v>1.08</v>
      </c>
      <c r="L537">
        <v>1</v>
      </c>
    </row>
    <row r="538" spans="1:12">
      <c r="A538" t="s">
        <v>1585</v>
      </c>
      <c r="B538" t="s">
        <v>1586</v>
      </c>
      <c r="C538" t="s">
        <v>1587</v>
      </c>
      <c r="D538" t="s">
        <v>158</v>
      </c>
      <c r="E538" t="s">
        <v>24</v>
      </c>
      <c r="F538" t="s">
        <v>29</v>
      </c>
      <c r="G538" t="s">
        <v>105</v>
      </c>
      <c r="H538" t="s">
        <v>31</v>
      </c>
      <c r="I538">
        <v>4</v>
      </c>
      <c r="J538">
        <v>4</v>
      </c>
      <c r="K538">
        <v>6.92</v>
      </c>
      <c r="L538">
        <v>0</v>
      </c>
    </row>
    <row r="539" spans="1:12">
      <c r="A539" t="s">
        <v>1588</v>
      </c>
      <c r="B539" t="s">
        <v>1589</v>
      </c>
      <c r="C539" t="s">
        <v>1590</v>
      </c>
      <c r="D539" t="s">
        <v>15</v>
      </c>
      <c r="E539" t="s">
        <v>59</v>
      </c>
      <c r="F539" t="s">
        <v>41</v>
      </c>
      <c r="G539" t="s">
        <v>37</v>
      </c>
      <c r="H539" t="s">
        <v>31</v>
      </c>
      <c r="I539">
        <v>4</v>
      </c>
      <c r="J539">
        <v>8</v>
      </c>
      <c r="K539">
        <v>3.57</v>
      </c>
      <c r="L539">
        <v>1</v>
      </c>
    </row>
    <row r="540" spans="1:12">
      <c r="A540" t="s">
        <v>1591</v>
      </c>
      <c r="B540" t="s">
        <v>1592</v>
      </c>
      <c r="D540" t="s">
        <v>23</v>
      </c>
      <c r="E540" t="s">
        <v>28</v>
      </c>
      <c r="F540" t="s">
        <v>36</v>
      </c>
      <c r="G540" t="s">
        <v>77</v>
      </c>
      <c r="H540" t="s">
        <v>63</v>
      </c>
      <c r="J540">
        <v>24</v>
      </c>
    </row>
    <row r="541" spans="1:12">
      <c r="A541" t="s">
        <v>1593</v>
      </c>
      <c r="B541" t="s">
        <v>1594</v>
      </c>
      <c r="C541" t="s">
        <v>1595</v>
      </c>
      <c r="D541" t="s">
        <v>23</v>
      </c>
      <c r="E541" t="s">
        <v>16</v>
      </c>
      <c r="F541" t="s">
        <v>29</v>
      </c>
      <c r="G541" t="s">
        <v>105</v>
      </c>
      <c r="H541" t="s">
        <v>19</v>
      </c>
      <c r="I541">
        <v>4</v>
      </c>
      <c r="J541">
        <v>24</v>
      </c>
      <c r="K541">
        <v>12.27</v>
      </c>
      <c r="L541">
        <v>1</v>
      </c>
    </row>
    <row r="542" spans="1:12">
      <c r="A542" t="s">
        <v>1596</v>
      </c>
      <c r="B542" t="s">
        <v>1597</v>
      </c>
      <c r="C542" t="s">
        <v>1598</v>
      </c>
      <c r="D542" t="s">
        <v>35</v>
      </c>
      <c r="E542" t="s">
        <v>28</v>
      </c>
      <c r="F542" t="s">
        <v>41</v>
      </c>
      <c r="G542" t="s">
        <v>55</v>
      </c>
      <c r="H542" t="s">
        <v>31</v>
      </c>
      <c r="I542">
        <v>4</v>
      </c>
      <c r="J542">
        <v>48</v>
      </c>
      <c r="K542">
        <v>15.32</v>
      </c>
      <c r="L542">
        <v>1</v>
      </c>
    </row>
    <row r="543" spans="1:12">
      <c r="A543" t="s">
        <v>1599</v>
      </c>
      <c r="B543" t="s">
        <v>1600</v>
      </c>
      <c r="C543" t="s">
        <v>1601</v>
      </c>
      <c r="D543" t="s">
        <v>35</v>
      </c>
      <c r="E543" t="s">
        <v>54</v>
      </c>
      <c r="F543" t="s">
        <v>17</v>
      </c>
      <c r="G543" t="s">
        <v>172</v>
      </c>
      <c r="H543" t="s">
        <v>19</v>
      </c>
      <c r="I543">
        <v>5</v>
      </c>
      <c r="J543">
        <v>48</v>
      </c>
      <c r="K543">
        <v>26.65</v>
      </c>
      <c r="L543">
        <v>1</v>
      </c>
    </row>
    <row r="544" spans="1:12">
      <c r="A544" t="s">
        <v>1602</v>
      </c>
      <c r="B544" t="s">
        <v>1603</v>
      </c>
      <c r="C544" t="s">
        <v>1604</v>
      </c>
      <c r="D544" t="s">
        <v>15</v>
      </c>
      <c r="E544" t="s">
        <v>24</v>
      </c>
      <c r="F544" t="s">
        <v>29</v>
      </c>
      <c r="G544" t="s">
        <v>42</v>
      </c>
      <c r="H544" t="s">
        <v>31</v>
      </c>
      <c r="I544">
        <v>4</v>
      </c>
      <c r="J544">
        <v>8</v>
      </c>
      <c r="K544">
        <v>2.93</v>
      </c>
      <c r="L544">
        <v>1</v>
      </c>
    </row>
    <row r="545" spans="1:12">
      <c r="A545" t="s">
        <v>1605</v>
      </c>
      <c r="B545" t="s">
        <v>1606</v>
      </c>
      <c r="C545" t="s">
        <v>1607</v>
      </c>
      <c r="D545" t="s">
        <v>15</v>
      </c>
      <c r="E545" t="s">
        <v>59</v>
      </c>
      <c r="F545" t="s">
        <v>17</v>
      </c>
      <c r="G545" t="s">
        <v>50</v>
      </c>
      <c r="H545" t="s">
        <v>31</v>
      </c>
      <c r="I545">
        <v>4</v>
      </c>
      <c r="J545">
        <v>8</v>
      </c>
      <c r="K545">
        <v>2.4500000000000002</v>
      </c>
      <c r="L545">
        <v>1</v>
      </c>
    </row>
    <row r="546" spans="1:12">
      <c r="A546" t="s">
        <v>1608</v>
      </c>
      <c r="B546" t="s">
        <v>1609</v>
      </c>
      <c r="C546" t="s">
        <v>1610</v>
      </c>
      <c r="D546" t="s">
        <v>15</v>
      </c>
      <c r="E546" t="s">
        <v>28</v>
      </c>
      <c r="F546" t="s">
        <v>60</v>
      </c>
      <c r="G546" t="s">
        <v>172</v>
      </c>
      <c r="H546" t="s">
        <v>19</v>
      </c>
      <c r="I546">
        <v>5</v>
      </c>
      <c r="J546">
        <v>8</v>
      </c>
      <c r="K546">
        <v>7.06</v>
      </c>
      <c r="L546">
        <v>1</v>
      </c>
    </row>
    <row r="547" spans="1:12">
      <c r="A547" t="s">
        <v>1611</v>
      </c>
      <c r="B547" t="s">
        <v>1612</v>
      </c>
      <c r="C547" t="s">
        <v>1613</v>
      </c>
      <c r="D547" t="s">
        <v>23</v>
      </c>
      <c r="E547" t="s">
        <v>24</v>
      </c>
      <c r="F547" t="s">
        <v>60</v>
      </c>
      <c r="G547" t="s">
        <v>30</v>
      </c>
      <c r="H547" t="s">
        <v>31</v>
      </c>
      <c r="I547">
        <v>5</v>
      </c>
      <c r="J547">
        <v>24</v>
      </c>
      <c r="K547">
        <v>8.83</v>
      </c>
      <c r="L547">
        <v>1</v>
      </c>
    </row>
    <row r="548" spans="1:12">
      <c r="A548" t="s">
        <v>1614</v>
      </c>
      <c r="B548" t="s">
        <v>1615</v>
      </c>
      <c r="D548" t="s">
        <v>35</v>
      </c>
      <c r="E548" t="s">
        <v>16</v>
      </c>
      <c r="F548" t="s">
        <v>41</v>
      </c>
      <c r="G548" t="s">
        <v>73</v>
      </c>
      <c r="H548" t="s">
        <v>46</v>
      </c>
      <c r="J548">
        <v>48</v>
      </c>
    </row>
    <row r="549" spans="1:12">
      <c r="A549" t="s">
        <v>1616</v>
      </c>
      <c r="B549" t="s">
        <v>1617</v>
      </c>
      <c r="C549" t="s">
        <v>1618</v>
      </c>
      <c r="D549" t="s">
        <v>23</v>
      </c>
      <c r="E549" t="s">
        <v>28</v>
      </c>
      <c r="F549" t="s">
        <v>60</v>
      </c>
      <c r="G549" t="s">
        <v>73</v>
      </c>
      <c r="H549" t="s">
        <v>19</v>
      </c>
      <c r="I549">
        <v>5</v>
      </c>
      <c r="J549">
        <v>24</v>
      </c>
      <c r="K549">
        <v>12.16</v>
      </c>
      <c r="L549">
        <v>1</v>
      </c>
    </row>
    <row r="550" spans="1:12">
      <c r="A550" t="s">
        <v>1619</v>
      </c>
      <c r="B550" t="s">
        <v>1620</v>
      </c>
      <c r="D550" t="s">
        <v>15</v>
      </c>
      <c r="E550" t="s">
        <v>16</v>
      </c>
      <c r="F550" t="s">
        <v>17</v>
      </c>
      <c r="G550" t="s">
        <v>50</v>
      </c>
      <c r="H550" t="s">
        <v>46</v>
      </c>
      <c r="J550">
        <v>8</v>
      </c>
    </row>
    <row r="551" spans="1:12">
      <c r="A551" t="s">
        <v>1621</v>
      </c>
      <c r="B551" t="s">
        <v>1622</v>
      </c>
      <c r="C551" t="s">
        <v>1623</v>
      </c>
      <c r="D551" t="s">
        <v>23</v>
      </c>
      <c r="E551" t="s">
        <v>28</v>
      </c>
      <c r="F551" t="s">
        <v>36</v>
      </c>
      <c r="G551" t="s">
        <v>30</v>
      </c>
      <c r="H551" t="s">
        <v>31</v>
      </c>
      <c r="I551">
        <v>4</v>
      </c>
      <c r="J551">
        <v>24</v>
      </c>
      <c r="K551">
        <v>4.46</v>
      </c>
      <c r="L551">
        <v>1</v>
      </c>
    </row>
    <row r="552" spans="1:12">
      <c r="A552" t="s">
        <v>1624</v>
      </c>
      <c r="B552" t="s">
        <v>1625</v>
      </c>
      <c r="C552" t="s">
        <v>1626</v>
      </c>
      <c r="D552" t="s">
        <v>15</v>
      </c>
      <c r="E552" t="s">
        <v>28</v>
      </c>
      <c r="F552" t="s">
        <v>17</v>
      </c>
      <c r="G552" t="s">
        <v>45</v>
      </c>
      <c r="H552" t="s">
        <v>19</v>
      </c>
      <c r="I552">
        <v>4</v>
      </c>
      <c r="J552">
        <v>8</v>
      </c>
      <c r="K552">
        <v>3.29</v>
      </c>
      <c r="L552">
        <v>1</v>
      </c>
    </row>
    <row r="553" spans="1:12">
      <c r="A553" t="s">
        <v>1627</v>
      </c>
      <c r="B553" t="s">
        <v>1628</v>
      </c>
      <c r="C553" t="s">
        <v>1629</v>
      </c>
      <c r="D553" t="s">
        <v>23</v>
      </c>
      <c r="E553" t="s">
        <v>16</v>
      </c>
      <c r="F553" t="s">
        <v>29</v>
      </c>
      <c r="G553" t="s">
        <v>37</v>
      </c>
      <c r="H553" t="s">
        <v>19</v>
      </c>
      <c r="I553">
        <v>5</v>
      </c>
      <c r="J553">
        <v>24</v>
      </c>
      <c r="K553">
        <v>5.08</v>
      </c>
      <c r="L553">
        <v>1</v>
      </c>
    </row>
    <row r="554" spans="1:12">
      <c r="A554" t="s">
        <v>1630</v>
      </c>
      <c r="B554" t="s">
        <v>1631</v>
      </c>
      <c r="C554" t="s">
        <v>1632</v>
      </c>
      <c r="D554" t="s">
        <v>35</v>
      </c>
      <c r="E554" t="s">
        <v>16</v>
      </c>
      <c r="F554" t="s">
        <v>17</v>
      </c>
      <c r="G554" t="s">
        <v>77</v>
      </c>
      <c r="H554" t="s">
        <v>19</v>
      </c>
      <c r="I554">
        <v>5</v>
      </c>
      <c r="J554">
        <v>48</v>
      </c>
      <c r="K554">
        <v>10.75</v>
      </c>
      <c r="L554">
        <v>1</v>
      </c>
    </row>
    <row r="555" spans="1:12">
      <c r="A555" t="s">
        <v>1633</v>
      </c>
      <c r="B555" t="s">
        <v>1634</v>
      </c>
      <c r="C555" t="s">
        <v>1635</v>
      </c>
      <c r="D555" t="s">
        <v>23</v>
      </c>
      <c r="E555" t="s">
        <v>28</v>
      </c>
      <c r="F555" t="s">
        <v>41</v>
      </c>
      <c r="G555" t="s">
        <v>50</v>
      </c>
      <c r="H555" t="s">
        <v>19</v>
      </c>
      <c r="I555">
        <v>2</v>
      </c>
      <c r="J555">
        <v>24</v>
      </c>
      <c r="K555">
        <v>54.71</v>
      </c>
      <c r="L555">
        <v>0</v>
      </c>
    </row>
    <row r="556" spans="1:12">
      <c r="A556" t="s">
        <v>1636</v>
      </c>
      <c r="B556" t="s">
        <v>1637</v>
      </c>
      <c r="C556" t="s">
        <v>1638</v>
      </c>
      <c r="D556" t="s">
        <v>23</v>
      </c>
      <c r="E556" t="s">
        <v>28</v>
      </c>
      <c r="F556" t="s">
        <v>60</v>
      </c>
      <c r="G556" t="s">
        <v>55</v>
      </c>
      <c r="H556" t="s">
        <v>19</v>
      </c>
      <c r="I556">
        <v>4</v>
      </c>
      <c r="J556">
        <v>24</v>
      </c>
      <c r="K556">
        <v>5.73</v>
      </c>
      <c r="L556">
        <v>1</v>
      </c>
    </row>
    <row r="557" spans="1:12">
      <c r="A557" t="s">
        <v>1639</v>
      </c>
      <c r="B557" t="s">
        <v>1640</v>
      </c>
      <c r="C557" t="s">
        <v>1641</v>
      </c>
      <c r="D557" t="s">
        <v>23</v>
      </c>
      <c r="E557" t="s">
        <v>28</v>
      </c>
      <c r="F557" t="s">
        <v>41</v>
      </c>
      <c r="G557" t="s">
        <v>105</v>
      </c>
      <c r="H557" t="s">
        <v>19</v>
      </c>
      <c r="I557">
        <v>5</v>
      </c>
      <c r="J557">
        <v>24</v>
      </c>
      <c r="K557">
        <v>13.83</v>
      </c>
      <c r="L557">
        <v>1</v>
      </c>
    </row>
    <row r="558" spans="1:12">
      <c r="A558" t="s">
        <v>1642</v>
      </c>
      <c r="B558" t="s">
        <v>1643</v>
      </c>
      <c r="D558" t="s">
        <v>15</v>
      </c>
      <c r="E558" t="s">
        <v>28</v>
      </c>
      <c r="F558" t="s">
        <v>29</v>
      </c>
      <c r="G558" t="s">
        <v>151</v>
      </c>
      <c r="H558" t="s">
        <v>46</v>
      </c>
      <c r="J558">
        <v>8</v>
      </c>
    </row>
    <row r="559" spans="1:12">
      <c r="A559" t="s">
        <v>1644</v>
      </c>
      <c r="B559" t="s">
        <v>1645</v>
      </c>
      <c r="D559" t="s">
        <v>23</v>
      </c>
      <c r="E559" t="s">
        <v>54</v>
      </c>
      <c r="F559" t="s">
        <v>60</v>
      </c>
      <c r="G559" t="s">
        <v>73</v>
      </c>
      <c r="H559" t="s">
        <v>46</v>
      </c>
      <c r="J559">
        <v>24</v>
      </c>
    </row>
    <row r="560" spans="1:12">
      <c r="A560" t="s">
        <v>1646</v>
      </c>
      <c r="B560" t="s">
        <v>1647</v>
      </c>
      <c r="C560" t="s">
        <v>1648</v>
      </c>
      <c r="D560" t="s">
        <v>23</v>
      </c>
      <c r="E560" t="s">
        <v>54</v>
      </c>
      <c r="F560" t="s">
        <v>41</v>
      </c>
      <c r="G560" t="s">
        <v>105</v>
      </c>
      <c r="H560" t="s">
        <v>19</v>
      </c>
      <c r="I560">
        <v>4</v>
      </c>
      <c r="J560">
        <v>24</v>
      </c>
      <c r="K560">
        <v>14.92</v>
      </c>
      <c r="L560">
        <v>1</v>
      </c>
    </row>
    <row r="561" spans="1:12">
      <c r="A561" t="s">
        <v>1649</v>
      </c>
      <c r="B561" t="s">
        <v>1650</v>
      </c>
      <c r="C561" t="s">
        <v>1651</v>
      </c>
      <c r="D561" t="s">
        <v>35</v>
      </c>
      <c r="E561" t="s">
        <v>54</v>
      </c>
      <c r="F561" t="s">
        <v>29</v>
      </c>
      <c r="G561" t="s">
        <v>37</v>
      </c>
      <c r="H561" t="s">
        <v>31</v>
      </c>
      <c r="I561">
        <v>3</v>
      </c>
      <c r="J561">
        <v>48</v>
      </c>
      <c r="K561">
        <v>39.44</v>
      </c>
      <c r="L561">
        <v>1</v>
      </c>
    </row>
    <row r="562" spans="1:12">
      <c r="A562" t="s">
        <v>1652</v>
      </c>
      <c r="B562" t="s">
        <v>1653</v>
      </c>
      <c r="C562" t="s">
        <v>1654</v>
      </c>
      <c r="D562" t="s">
        <v>15</v>
      </c>
      <c r="E562" t="s">
        <v>28</v>
      </c>
      <c r="F562" t="s">
        <v>29</v>
      </c>
      <c r="G562" t="s">
        <v>105</v>
      </c>
      <c r="H562" t="s">
        <v>19</v>
      </c>
      <c r="I562">
        <v>4</v>
      </c>
      <c r="J562">
        <v>8</v>
      </c>
      <c r="K562">
        <v>2.64</v>
      </c>
      <c r="L562">
        <v>1</v>
      </c>
    </row>
    <row r="563" spans="1:12">
      <c r="A563" t="s">
        <v>1655</v>
      </c>
      <c r="B563" t="s">
        <v>1656</v>
      </c>
      <c r="C563" t="s">
        <v>1657</v>
      </c>
      <c r="D563" t="s">
        <v>35</v>
      </c>
      <c r="E563" t="s">
        <v>16</v>
      </c>
      <c r="F563" t="s">
        <v>60</v>
      </c>
      <c r="G563" t="s">
        <v>50</v>
      </c>
      <c r="H563" t="s">
        <v>19</v>
      </c>
      <c r="I563">
        <v>5</v>
      </c>
      <c r="J563">
        <v>48</v>
      </c>
      <c r="K563">
        <v>5.74</v>
      </c>
      <c r="L563">
        <v>1</v>
      </c>
    </row>
    <row r="564" spans="1:12">
      <c r="A564" t="s">
        <v>1658</v>
      </c>
      <c r="B564" t="s">
        <v>1659</v>
      </c>
      <c r="C564" t="s">
        <v>1660</v>
      </c>
      <c r="D564" t="s">
        <v>15</v>
      </c>
      <c r="E564" t="s">
        <v>16</v>
      </c>
      <c r="F564" t="s">
        <v>36</v>
      </c>
      <c r="G564" t="s">
        <v>18</v>
      </c>
      <c r="H564" t="s">
        <v>19</v>
      </c>
      <c r="I564">
        <v>5</v>
      </c>
      <c r="J564">
        <v>8</v>
      </c>
      <c r="K564">
        <v>1.23</v>
      </c>
      <c r="L564">
        <v>1</v>
      </c>
    </row>
    <row r="565" spans="1:12">
      <c r="A565" t="s">
        <v>1661</v>
      </c>
      <c r="B565" t="s">
        <v>1662</v>
      </c>
      <c r="C565" t="s">
        <v>1663</v>
      </c>
      <c r="D565" t="s">
        <v>158</v>
      </c>
      <c r="E565" t="s">
        <v>16</v>
      </c>
      <c r="F565" t="s">
        <v>60</v>
      </c>
      <c r="G565" t="s">
        <v>42</v>
      </c>
      <c r="H565" t="s">
        <v>19</v>
      </c>
      <c r="I565">
        <v>5</v>
      </c>
      <c r="J565">
        <v>4</v>
      </c>
      <c r="K565">
        <v>0.69</v>
      </c>
      <c r="L565">
        <v>1</v>
      </c>
    </row>
    <row r="566" spans="1:12">
      <c r="A566" t="s">
        <v>1664</v>
      </c>
      <c r="B566" t="s">
        <v>1665</v>
      </c>
      <c r="C566" t="s">
        <v>1666</v>
      </c>
      <c r="D566" t="s">
        <v>15</v>
      </c>
      <c r="E566" t="s">
        <v>28</v>
      </c>
      <c r="F566" t="s">
        <v>29</v>
      </c>
      <c r="G566" t="s">
        <v>50</v>
      </c>
      <c r="H566" t="s">
        <v>31</v>
      </c>
      <c r="I566">
        <v>3</v>
      </c>
      <c r="J566">
        <v>8</v>
      </c>
      <c r="K566">
        <v>6.5</v>
      </c>
      <c r="L566">
        <v>1</v>
      </c>
    </row>
    <row r="567" spans="1:12">
      <c r="A567" t="s">
        <v>1667</v>
      </c>
      <c r="B567" t="s">
        <v>1668</v>
      </c>
      <c r="D567" t="s">
        <v>23</v>
      </c>
      <c r="E567" t="s">
        <v>59</v>
      </c>
      <c r="F567" t="s">
        <v>41</v>
      </c>
      <c r="G567" t="s">
        <v>50</v>
      </c>
      <c r="H567" t="s">
        <v>46</v>
      </c>
      <c r="J567">
        <v>24</v>
      </c>
    </row>
    <row r="568" spans="1:12">
      <c r="A568" t="s">
        <v>1669</v>
      </c>
      <c r="B568" t="s">
        <v>1670</v>
      </c>
      <c r="C568" t="s">
        <v>1671</v>
      </c>
      <c r="D568" t="s">
        <v>35</v>
      </c>
      <c r="E568" t="s">
        <v>28</v>
      </c>
      <c r="F568" t="s">
        <v>17</v>
      </c>
      <c r="G568" t="s">
        <v>105</v>
      </c>
      <c r="H568" t="s">
        <v>19</v>
      </c>
      <c r="I568">
        <v>5</v>
      </c>
      <c r="J568">
        <v>48</v>
      </c>
      <c r="K568">
        <v>23.43</v>
      </c>
      <c r="L568">
        <v>1</v>
      </c>
    </row>
    <row r="569" spans="1:12">
      <c r="A569" t="s">
        <v>1672</v>
      </c>
      <c r="B569" t="s">
        <v>1673</v>
      </c>
      <c r="D569" t="s">
        <v>23</v>
      </c>
      <c r="E569" t="s">
        <v>28</v>
      </c>
      <c r="F569" t="s">
        <v>60</v>
      </c>
      <c r="G569" t="s">
        <v>45</v>
      </c>
      <c r="H569" t="s">
        <v>63</v>
      </c>
      <c r="J569">
        <v>24</v>
      </c>
    </row>
    <row r="570" spans="1:12">
      <c r="A570" t="s">
        <v>1674</v>
      </c>
      <c r="B570" t="s">
        <v>1675</v>
      </c>
      <c r="C570" t="s">
        <v>1676</v>
      </c>
      <c r="D570" t="s">
        <v>23</v>
      </c>
      <c r="E570" t="s">
        <v>16</v>
      </c>
      <c r="F570" t="s">
        <v>41</v>
      </c>
      <c r="G570" t="s">
        <v>45</v>
      </c>
      <c r="H570" t="s">
        <v>19</v>
      </c>
      <c r="I570">
        <v>3</v>
      </c>
      <c r="J570">
        <v>24</v>
      </c>
      <c r="K570">
        <v>8.59</v>
      </c>
      <c r="L570">
        <v>1</v>
      </c>
    </row>
    <row r="571" spans="1:12">
      <c r="A571" t="s">
        <v>1677</v>
      </c>
      <c r="B571" t="s">
        <v>1678</v>
      </c>
      <c r="C571" t="s">
        <v>1679</v>
      </c>
      <c r="D571" t="s">
        <v>23</v>
      </c>
      <c r="E571" t="s">
        <v>24</v>
      </c>
      <c r="F571" t="s">
        <v>29</v>
      </c>
      <c r="G571" t="s">
        <v>50</v>
      </c>
      <c r="H571" t="s">
        <v>19</v>
      </c>
      <c r="I571">
        <v>5</v>
      </c>
      <c r="J571">
        <v>24</v>
      </c>
      <c r="K571">
        <v>12.44</v>
      </c>
      <c r="L571">
        <v>1</v>
      </c>
    </row>
    <row r="572" spans="1:12">
      <c r="A572" t="s">
        <v>1680</v>
      </c>
      <c r="B572" t="s">
        <v>1681</v>
      </c>
      <c r="C572" t="s">
        <v>1682</v>
      </c>
      <c r="D572" t="s">
        <v>158</v>
      </c>
      <c r="E572" t="s">
        <v>28</v>
      </c>
      <c r="F572" t="s">
        <v>29</v>
      </c>
      <c r="G572" t="s">
        <v>55</v>
      </c>
      <c r="H572" t="s">
        <v>19</v>
      </c>
      <c r="I572">
        <v>4</v>
      </c>
      <c r="J572">
        <v>4</v>
      </c>
      <c r="K572">
        <v>1.67</v>
      </c>
      <c r="L572">
        <v>1</v>
      </c>
    </row>
    <row r="573" spans="1:12">
      <c r="A573" t="s">
        <v>1683</v>
      </c>
      <c r="B573" t="s">
        <v>1684</v>
      </c>
      <c r="D573" t="s">
        <v>23</v>
      </c>
      <c r="E573" t="s">
        <v>28</v>
      </c>
      <c r="F573" t="s">
        <v>41</v>
      </c>
      <c r="G573" t="s">
        <v>37</v>
      </c>
      <c r="H573" t="s">
        <v>63</v>
      </c>
      <c r="J573">
        <v>24</v>
      </c>
    </row>
    <row r="574" spans="1:12">
      <c r="A574" t="s">
        <v>1685</v>
      </c>
      <c r="B574" t="s">
        <v>1686</v>
      </c>
      <c r="C574" t="s">
        <v>1687</v>
      </c>
      <c r="D574" t="s">
        <v>35</v>
      </c>
      <c r="E574" t="s">
        <v>16</v>
      </c>
      <c r="F574" t="s">
        <v>29</v>
      </c>
      <c r="G574" t="s">
        <v>45</v>
      </c>
      <c r="H574" t="s">
        <v>31</v>
      </c>
      <c r="I574">
        <v>4</v>
      </c>
      <c r="J574">
        <v>48</v>
      </c>
      <c r="K574">
        <v>15.77</v>
      </c>
      <c r="L574">
        <v>1</v>
      </c>
    </row>
    <row r="575" spans="1:12">
      <c r="A575" t="s">
        <v>1688</v>
      </c>
      <c r="B575" t="s">
        <v>1689</v>
      </c>
      <c r="C575" t="s">
        <v>1690</v>
      </c>
      <c r="D575" t="s">
        <v>15</v>
      </c>
      <c r="E575" t="s">
        <v>28</v>
      </c>
      <c r="F575" t="s">
        <v>41</v>
      </c>
      <c r="G575" t="s">
        <v>55</v>
      </c>
      <c r="H575" t="s">
        <v>19</v>
      </c>
      <c r="I575">
        <v>4</v>
      </c>
      <c r="J575">
        <v>8</v>
      </c>
      <c r="K575">
        <v>4.1500000000000004</v>
      </c>
      <c r="L575">
        <v>1</v>
      </c>
    </row>
    <row r="576" spans="1:12">
      <c r="A576" t="s">
        <v>1691</v>
      </c>
      <c r="B576" t="s">
        <v>1692</v>
      </c>
      <c r="C576" t="s">
        <v>1693</v>
      </c>
      <c r="D576" t="s">
        <v>158</v>
      </c>
      <c r="E576" t="s">
        <v>28</v>
      </c>
      <c r="F576" t="s">
        <v>17</v>
      </c>
      <c r="G576" t="s">
        <v>42</v>
      </c>
      <c r="H576" t="s">
        <v>19</v>
      </c>
      <c r="I576">
        <v>3</v>
      </c>
      <c r="J576">
        <v>4</v>
      </c>
      <c r="K576">
        <v>1.89</v>
      </c>
      <c r="L576">
        <v>1</v>
      </c>
    </row>
    <row r="577" spans="1:12">
      <c r="A577" t="s">
        <v>1694</v>
      </c>
      <c r="B577" t="s">
        <v>1695</v>
      </c>
      <c r="C577" t="s">
        <v>1696</v>
      </c>
      <c r="D577" t="s">
        <v>15</v>
      </c>
      <c r="E577" t="s">
        <v>28</v>
      </c>
      <c r="F577" t="s">
        <v>29</v>
      </c>
      <c r="G577" t="s">
        <v>37</v>
      </c>
      <c r="H577" t="s">
        <v>19</v>
      </c>
      <c r="I577">
        <v>4</v>
      </c>
      <c r="J577">
        <v>8</v>
      </c>
      <c r="K577">
        <v>7.59</v>
      </c>
      <c r="L577">
        <v>1</v>
      </c>
    </row>
    <row r="578" spans="1:12">
      <c r="A578" t="s">
        <v>1697</v>
      </c>
      <c r="B578" t="s">
        <v>1698</v>
      </c>
      <c r="C578" t="s">
        <v>1699</v>
      </c>
      <c r="D578" t="s">
        <v>158</v>
      </c>
      <c r="E578" t="s">
        <v>24</v>
      </c>
      <c r="F578" t="s">
        <v>17</v>
      </c>
      <c r="G578" t="s">
        <v>30</v>
      </c>
      <c r="H578" t="s">
        <v>19</v>
      </c>
      <c r="I578">
        <v>4</v>
      </c>
      <c r="J578">
        <v>4</v>
      </c>
      <c r="K578">
        <v>2.25</v>
      </c>
      <c r="L578">
        <v>1</v>
      </c>
    </row>
    <row r="579" spans="1:12">
      <c r="A579" t="s">
        <v>1700</v>
      </c>
      <c r="B579" t="s">
        <v>1701</v>
      </c>
      <c r="D579" t="s">
        <v>35</v>
      </c>
      <c r="E579" t="s">
        <v>16</v>
      </c>
      <c r="F579" t="s">
        <v>36</v>
      </c>
      <c r="G579" t="s">
        <v>42</v>
      </c>
      <c r="H579" t="s">
        <v>46</v>
      </c>
      <c r="J579">
        <v>48</v>
      </c>
    </row>
    <row r="580" spans="1:12">
      <c r="A580" t="s">
        <v>1702</v>
      </c>
      <c r="B580" t="s">
        <v>1703</v>
      </c>
      <c r="C580" t="s">
        <v>1704</v>
      </c>
      <c r="D580" t="s">
        <v>15</v>
      </c>
      <c r="E580" t="s">
        <v>16</v>
      </c>
      <c r="F580" t="s">
        <v>41</v>
      </c>
      <c r="G580" t="s">
        <v>18</v>
      </c>
      <c r="H580" t="s">
        <v>31</v>
      </c>
      <c r="I580">
        <v>5</v>
      </c>
      <c r="J580">
        <v>8</v>
      </c>
      <c r="K580">
        <v>3.93</v>
      </c>
      <c r="L580">
        <v>1</v>
      </c>
    </row>
    <row r="581" spans="1:12">
      <c r="A581" t="s">
        <v>1705</v>
      </c>
      <c r="B581" t="s">
        <v>1706</v>
      </c>
      <c r="D581" t="s">
        <v>23</v>
      </c>
      <c r="E581" t="s">
        <v>28</v>
      </c>
      <c r="F581" t="s">
        <v>41</v>
      </c>
      <c r="G581" t="s">
        <v>151</v>
      </c>
      <c r="H581" t="s">
        <v>46</v>
      </c>
      <c r="J581">
        <v>24</v>
      </c>
    </row>
    <row r="582" spans="1:12">
      <c r="A582" t="s">
        <v>1707</v>
      </c>
      <c r="B582" t="s">
        <v>1708</v>
      </c>
      <c r="D582" t="s">
        <v>15</v>
      </c>
      <c r="E582" t="s">
        <v>54</v>
      </c>
      <c r="F582" t="s">
        <v>36</v>
      </c>
      <c r="G582" t="s">
        <v>105</v>
      </c>
      <c r="H582" t="s">
        <v>63</v>
      </c>
      <c r="J582">
        <v>8</v>
      </c>
    </row>
    <row r="583" spans="1:12">
      <c r="A583" t="s">
        <v>1709</v>
      </c>
      <c r="B583" t="s">
        <v>1710</v>
      </c>
      <c r="C583" t="s">
        <v>1711</v>
      </c>
      <c r="D583" t="s">
        <v>15</v>
      </c>
      <c r="E583" t="s">
        <v>28</v>
      </c>
      <c r="F583" t="s">
        <v>29</v>
      </c>
      <c r="G583" t="s">
        <v>18</v>
      </c>
      <c r="H583" t="s">
        <v>19</v>
      </c>
      <c r="I583">
        <v>5</v>
      </c>
      <c r="J583">
        <v>8</v>
      </c>
      <c r="K583">
        <v>5.33</v>
      </c>
      <c r="L583">
        <v>1</v>
      </c>
    </row>
    <row r="584" spans="1:12">
      <c r="A584" t="s">
        <v>1712</v>
      </c>
      <c r="B584" t="s">
        <v>1713</v>
      </c>
      <c r="C584" t="s">
        <v>1714</v>
      </c>
      <c r="D584" t="s">
        <v>23</v>
      </c>
      <c r="E584" t="s">
        <v>28</v>
      </c>
      <c r="F584" t="s">
        <v>17</v>
      </c>
      <c r="G584" t="s">
        <v>45</v>
      </c>
      <c r="H584" t="s">
        <v>31</v>
      </c>
      <c r="I584">
        <v>5</v>
      </c>
      <c r="J584">
        <v>24</v>
      </c>
      <c r="K584">
        <v>7.36</v>
      </c>
      <c r="L584">
        <v>1</v>
      </c>
    </row>
    <row r="585" spans="1:12">
      <c r="A585" t="s">
        <v>1715</v>
      </c>
      <c r="B585" t="s">
        <v>1716</v>
      </c>
      <c r="C585" t="s">
        <v>1717</v>
      </c>
      <c r="D585" t="s">
        <v>23</v>
      </c>
      <c r="E585" t="s">
        <v>28</v>
      </c>
      <c r="F585" t="s">
        <v>60</v>
      </c>
      <c r="G585" t="s">
        <v>73</v>
      </c>
      <c r="H585" t="s">
        <v>19</v>
      </c>
      <c r="I585">
        <v>3</v>
      </c>
      <c r="J585">
        <v>24</v>
      </c>
      <c r="K585">
        <v>5.62</v>
      </c>
      <c r="L585">
        <v>1</v>
      </c>
    </row>
    <row r="586" spans="1:12">
      <c r="A586" t="s">
        <v>1718</v>
      </c>
      <c r="B586" t="s">
        <v>1719</v>
      </c>
      <c r="C586" t="s">
        <v>1720</v>
      </c>
      <c r="D586" t="s">
        <v>15</v>
      </c>
      <c r="E586" t="s">
        <v>59</v>
      </c>
      <c r="F586" t="s">
        <v>36</v>
      </c>
      <c r="G586" t="s">
        <v>30</v>
      </c>
      <c r="H586" t="s">
        <v>19</v>
      </c>
      <c r="I586">
        <v>4</v>
      </c>
      <c r="J586">
        <v>8</v>
      </c>
      <c r="K586">
        <v>4.45</v>
      </c>
      <c r="L586">
        <v>1</v>
      </c>
    </row>
    <row r="587" spans="1:12">
      <c r="A587" t="s">
        <v>1721</v>
      </c>
      <c r="B587" t="s">
        <v>1722</v>
      </c>
      <c r="C587" t="s">
        <v>1723</v>
      </c>
      <c r="D587" t="s">
        <v>15</v>
      </c>
      <c r="E587" t="s">
        <v>59</v>
      </c>
      <c r="F587" t="s">
        <v>29</v>
      </c>
      <c r="G587" t="s">
        <v>50</v>
      </c>
      <c r="H587" t="s">
        <v>31</v>
      </c>
      <c r="I587">
        <v>5</v>
      </c>
      <c r="J587">
        <v>8</v>
      </c>
      <c r="K587">
        <v>3.37</v>
      </c>
      <c r="L587">
        <v>1</v>
      </c>
    </row>
    <row r="588" spans="1:12">
      <c r="A588" t="s">
        <v>1724</v>
      </c>
      <c r="B588" t="s">
        <v>1725</v>
      </c>
      <c r="C588" t="s">
        <v>1726</v>
      </c>
      <c r="D588" t="s">
        <v>35</v>
      </c>
      <c r="E588" t="s">
        <v>28</v>
      </c>
      <c r="F588" t="s">
        <v>41</v>
      </c>
      <c r="G588" t="s">
        <v>77</v>
      </c>
      <c r="H588" t="s">
        <v>19</v>
      </c>
      <c r="I588">
        <v>4</v>
      </c>
      <c r="J588">
        <v>48</v>
      </c>
      <c r="K588">
        <v>12.54</v>
      </c>
      <c r="L588">
        <v>1</v>
      </c>
    </row>
    <row r="589" spans="1:12">
      <c r="A589" t="s">
        <v>1727</v>
      </c>
      <c r="B589" t="s">
        <v>1728</v>
      </c>
      <c r="C589" t="s">
        <v>1729</v>
      </c>
      <c r="D589" t="s">
        <v>15</v>
      </c>
      <c r="E589" t="s">
        <v>28</v>
      </c>
      <c r="F589" t="s">
        <v>60</v>
      </c>
      <c r="G589" t="s">
        <v>77</v>
      </c>
      <c r="H589" t="s">
        <v>19</v>
      </c>
      <c r="I589">
        <v>5</v>
      </c>
      <c r="J589">
        <v>8</v>
      </c>
      <c r="K589">
        <v>3.86</v>
      </c>
      <c r="L589">
        <v>1</v>
      </c>
    </row>
    <row r="590" spans="1:12">
      <c r="A590" t="s">
        <v>1730</v>
      </c>
      <c r="B590" t="s">
        <v>1731</v>
      </c>
      <c r="C590" t="s">
        <v>1732</v>
      </c>
      <c r="D590" t="s">
        <v>23</v>
      </c>
      <c r="E590" t="s">
        <v>24</v>
      </c>
      <c r="F590" t="s">
        <v>60</v>
      </c>
      <c r="G590" t="s">
        <v>37</v>
      </c>
      <c r="H590" t="s">
        <v>31</v>
      </c>
      <c r="I590">
        <v>2</v>
      </c>
      <c r="J590">
        <v>24</v>
      </c>
      <c r="K590">
        <v>54.2</v>
      </c>
      <c r="L590">
        <v>0</v>
      </c>
    </row>
    <row r="591" spans="1:12">
      <c r="A591" t="s">
        <v>1733</v>
      </c>
      <c r="B591" t="s">
        <v>1734</v>
      </c>
      <c r="C591" t="s">
        <v>1735</v>
      </c>
      <c r="D591" t="s">
        <v>15</v>
      </c>
      <c r="E591" t="s">
        <v>16</v>
      </c>
      <c r="F591" t="s">
        <v>60</v>
      </c>
      <c r="G591" t="s">
        <v>37</v>
      </c>
      <c r="H591" t="s">
        <v>19</v>
      </c>
      <c r="I591">
        <v>4</v>
      </c>
      <c r="J591">
        <v>8</v>
      </c>
      <c r="K591">
        <v>6</v>
      </c>
      <c r="L591">
        <v>1</v>
      </c>
    </row>
    <row r="592" spans="1:12">
      <c r="A592" t="s">
        <v>1736</v>
      </c>
      <c r="B592" t="s">
        <v>1737</v>
      </c>
      <c r="C592" t="s">
        <v>1738</v>
      </c>
      <c r="D592" t="s">
        <v>15</v>
      </c>
      <c r="E592" t="s">
        <v>54</v>
      </c>
      <c r="F592" t="s">
        <v>36</v>
      </c>
      <c r="G592" t="s">
        <v>42</v>
      </c>
      <c r="H592" t="s">
        <v>19</v>
      </c>
      <c r="I592">
        <v>4</v>
      </c>
      <c r="J592">
        <v>8</v>
      </c>
      <c r="K592">
        <v>6.48</v>
      </c>
      <c r="L592">
        <v>1</v>
      </c>
    </row>
    <row r="593" spans="1:12">
      <c r="A593" t="s">
        <v>1739</v>
      </c>
      <c r="B593" t="s">
        <v>1740</v>
      </c>
      <c r="C593" t="s">
        <v>1741</v>
      </c>
      <c r="D593" t="s">
        <v>158</v>
      </c>
      <c r="E593" t="s">
        <v>24</v>
      </c>
      <c r="F593" t="s">
        <v>17</v>
      </c>
      <c r="G593" t="s">
        <v>42</v>
      </c>
      <c r="H593" t="s">
        <v>19</v>
      </c>
      <c r="I593">
        <v>4</v>
      </c>
      <c r="J593">
        <v>4</v>
      </c>
      <c r="K593">
        <v>1.72</v>
      </c>
      <c r="L593">
        <v>1</v>
      </c>
    </row>
    <row r="594" spans="1:12">
      <c r="A594" t="s">
        <v>1742</v>
      </c>
      <c r="B594" t="s">
        <v>1743</v>
      </c>
      <c r="C594" t="s">
        <v>1744</v>
      </c>
      <c r="D594" t="s">
        <v>23</v>
      </c>
      <c r="E594" t="s">
        <v>28</v>
      </c>
      <c r="F594" t="s">
        <v>29</v>
      </c>
      <c r="G594" t="s">
        <v>18</v>
      </c>
      <c r="H594" t="s">
        <v>31</v>
      </c>
      <c r="I594">
        <v>4</v>
      </c>
      <c r="J594">
        <v>24</v>
      </c>
      <c r="K594">
        <v>21.38</v>
      </c>
      <c r="L594">
        <v>1</v>
      </c>
    </row>
    <row r="595" spans="1:12">
      <c r="A595" t="s">
        <v>1745</v>
      </c>
      <c r="B595" t="s">
        <v>1746</v>
      </c>
      <c r="C595" t="s">
        <v>1747</v>
      </c>
      <c r="D595" t="s">
        <v>35</v>
      </c>
      <c r="E595" t="s">
        <v>16</v>
      </c>
      <c r="F595" t="s">
        <v>41</v>
      </c>
      <c r="G595" t="s">
        <v>151</v>
      </c>
      <c r="H595" t="s">
        <v>19</v>
      </c>
      <c r="I595">
        <v>4</v>
      </c>
      <c r="J595">
        <v>48</v>
      </c>
      <c r="K595">
        <v>43.08</v>
      </c>
      <c r="L595">
        <v>1</v>
      </c>
    </row>
    <row r="596" spans="1:12">
      <c r="A596" t="s">
        <v>1748</v>
      </c>
      <c r="B596" t="s">
        <v>1749</v>
      </c>
      <c r="C596" t="s">
        <v>1750</v>
      </c>
      <c r="D596" t="s">
        <v>23</v>
      </c>
      <c r="E596" t="s">
        <v>24</v>
      </c>
      <c r="F596" t="s">
        <v>60</v>
      </c>
      <c r="G596" t="s">
        <v>45</v>
      </c>
      <c r="H596" t="s">
        <v>19</v>
      </c>
      <c r="I596">
        <v>3</v>
      </c>
      <c r="J596">
        <v>24</v>
      </c>
      <c r="K596">
        <v>19.420000000000002</v>
      </c>
      <c r="L596">
        <v>1</v>
      </c>
    </row>
    <row r="597" spans="1:12">
      <c r="A597" t="s">
        <v>1751</v>
      </c>
      <c r="B597" t="s">
        <v>1752</v>
      </c>
      <c r="C597" t="s">
        <v>1753</v>
      </c>
      <c r="D597" t="s">
        <v>35</v>
      </c>
      <c r="E597" t="s">
        <v>24</v>
      </c>
      <c r="F597" t="s">
        <v>17</v>
      </c>
      <c r="G597" t="s">
        <v>77</v>
      </c>
      <c r="H597" t="s">
        <v>19</v>
      </c>
      <c r="I597">
        <v>5</v>
      </c>
      <c r="J597">
        <v>48</v>
      </c>
      <c r="K597">
        <v>31.6</v>
      </c>
      <c r="L597">
        <v>1</v>
      </c>
    </row>
    <row r="598" spans="1:12">
      <c r="A598" t="s">
        <v>1754</v>
      </c>
      <c r="B598" t="s">
        <v>1755</v>
      </c>
      <c r="C598" t="s">
        <v>1756</v>
      </c>
      <c r="D598" t="s">
        <v>23</v>
      </c>
      <c r="E598" t="s">
        <v>54</v>
      </c>
      <c r="F598" t="s">
        <v>36</v>
      </c>
      <c r="G598" t="s">
        <v>151</v>
      </c>
      <c r="H598" t="s">
        <v>31</v>
      </c>
      <c r="I598">
        <v>4</v>
      </c>
      <c r="J598">
        <v>24</v>
      </c>
      <c r="K598">
        <v>16.73</v>
      </c>
      <c r="L598">
        <v>1</v>
      </c>
    </row>
    <row r="599" spans="1:12">
      <c r="A599" t="s">
        <v>1757</v>
      </c>
      <c r="B599" t="s">
        <v>1758</v>
      </c>
      <c r="C599" t="s">
        <v>1759</v>
      </c>
      <c r="D599" t="s">
        <v>15</v>
      </c>
      <c r="E599" t="s">
        <v>24</v>
      </c>
      <c r="F599" t="s">
        <v>41</v>
      </c>
      <c r="G599" t="s">
        <v>77</v>
      </c>
      <c r="H599" t="s">
        <v>19</v>
      </c>
      <c r="I599">
        <v>4</v>
      </c>
      <c r="J599">
        <v>8</v>
      </c>
      <c r="K599">
        <v>7.59</v>
      </c>
      <c r="L599">
        <v>1</v>
      </c>
    </row>
    <row r="600" spans="1:12">
      <c r="A600" t="s">
        <v>1760</v>
      </c>
      <c r="B600" t="s">
        <v>1761</v>
      </c>
      <c r="C600" t="s">
        <v>1762</v>
      </c>
      <c r="D600" t="s">
        <v>35</v>
      </c>
      <c r="E600" t="s">
        <v>54</v>
      </c>
      <c r="F600" t="s">
        <v>29</v>
      </c>
      <c r="G600" t="s">
        <v>172</v>
      </c>
      <c r="H600" t="s">
        <v>19</v>
      </c>
      <c r="I600">
        <v>4</v>
      </c>
      <c r="J600">
        <v>48</v>
      </c>
      <c r="K600">
        <v>38.51</v>
      </c>
      <c r="L600">
        <v>1</v>
      </c>
    </row>
    <row r="601" spans="1:12">
      <c r="A601" t="s">
        <v>1763</v>
      </c>
      <c r="B601" t="s">
        <v>1764</v>
      </c>
      <c r="C601" t="s">
        <v>1765</v>
      </c>
      <c r="D601" t="s">
        <v>23</v>
      </c>
      <c r="E601" t="s">
        <v>28</v>
      </c>
      <c r="F601" t="s">
        <v>60</v>
      </c>
      <c r="G601" t="s">
        <v>105</v>
      </c>
      <c r="H601" t="s">
        <v>19</v>
      </c>
      <c r="I601">
        <v>2</v>
      </c>
      <c r="J601">
        <v>24</v>
      </c>
      <c r="K601">
        <v>46.14</v>
      </c>
      <c r="L601">
        <v>0</v>
      </c>
    </row>
    <row r="602" spans="1:12">
      <c r="A602" t="s">
        <v>1766</v>
      </c>
      <c r="B602" t="s">
        <v>1767</v>
      </c>
      <c r="C602" t="s">
        <v>1768</v>
      </c>
      <c r="D602" t="s">
        <v>158</v>
      </c>
      <c r="E602" t="s">
        <v>28</v>
      </c>
      <c r="F602" t="s">
        <v>36</v>
      </c>
      <c r="G602" t="s">
        <v>77</v>
      </c>
      <c r="H602" t="s">
        <v>19</v>
      </c>
      <c r="I602">
        <v>4</v>
      </c>
      <c r="J602">
        <v>4</v>
      </c>
      <c r="K602">
        <v>4.25</v>
      </c>
      <c r="L602">
        <v>0</v>
      </c>
    </row>
    <row r="603" spans="1:12">
      <c r="A603" t="s">
        <v>1769</v>
      </c>
      <c r="B603" t="s">
        <v>1770</v>
      </c>
      <c r="C603" t="s">
        <v>1771</v>
      </c>
      <c r="D603" t="s">
        <v>35</v>
      </c>
      <c r="E603" t="s">
        <v>24</v>
      </c>
      <c r="F603" t="s">
        <v>29</v>
      </c>
      <c r="G603" t="s">
        <v>77</v>
      </c>
      <c r="H603" t="s">
        <v>19</v>
      </c>
      <c r="I603">
        <v>3</v>
      </c>
      <c r="J603">
        <v>48</v>
      </c>
      <c r="K603">
        <v>28.12</v>
      </c>
      <c r="L603">
        <v>1</v>
      </c>
    </row>
    <row r="604" spans="1:12">
      <c r="A604" t="s">
        <v>1772</v>
      </c>
      <c r="B604" t="s">
        <v>1773</v>
      </c>
      <c r="C604" t="s">
        <v>1774</v>
      </c>
      <c r="D604" t="s">
        <v>23</v>
      </c>
      <c r="E604" t="s">
        <v>24</v>
      </c>
      <c r="F604" t="s">
        <v>29</v>
      </c>
      <c r="G604" t="s">
        <v>55</v>
      </c>
      <c r="H604" t="s">
        <v>19</v>
      </c>
      <c r="I604">
        <v>5</v>
      </c>
      <c r="J604">
        <v>24</v>
      </c>
      <c r="K604">
        <v>8.5299999999999994</v>
      </c>
      <c r="L604">
        <v>1</v>
      </c>
    </row>
    <row r="605" spans="1:12">
      <c r="A605" t="s">
        <v>1775</v>
      </c>
      <c r="B605" t="s">
        <v>1776</v>
      </c>
      <c r="C605" t="s">
        <v>1777</v>
      </c>
      <c r="D605" t="s">
        <v>35</v>
      </c>
      <c r="E605" t="s">
        <v>16</v>
      </c>
      <c r="F605" t="s">
        <v>29</v>
      </c>
      <c r="G605" t="s">
        <v>50</v>
      </c>
      <c r="H605" t="s">
        <v>19</v>
      </c>
      <c r="I605">
        <v>2</v>
      </c>
      <c r="J605">
        <v>48</v>
      </c>
      <c r="K605">
        <v>114.95</v>
      </c>
      <c r="L605">
        <v>0</v>
      </c>
    </row>
    <row r="606" spans="1:12">
      <c r="A606" t="s">
        <v>1778</v>
      </c>
      <c r="B606" t="s">
        <v>1779</v>
      </c>
      <c r="C606" t="s">
        <v>1780</v>
      </c>
      <c r="D606" t="s">
        <v>158</v>
      </c>
      <c r="E606" t="s">
        <v>54</v>
      </c>
      <c r="F606" t="s">
        <v>36</v>
      </c>
      <c r="G606" t="s">
        <v>105</v>
      </c>
      <c r="H606" t="s">
        <v>31</v>
      </c>
      <c r="I606">
        <v>5</v>
      </c>
      <c r="J606">
        <v>4</v>
      </c>
      <c r="K606">
        <v>3.05</v>
      </c>
      <c r="L606">
        <v>1</v>
      </c>
    </row>
    <row r="607" spans="1:12">
      <c r="A607" t="s">
        <v>1781</v>
      </c>
      <c r="B607" t="s">
        <v>1782</v>
      </c>
      <c r="C607" t="s">
        <v>1783</v>
      </c>
      <c r="D607" t="s">
        <v>15</v>
      </c>
      <c r="E607" t="s">
        <v>16</v>
      </c>
      <c r="F607" t="s">
        <v>41</v>
      </c>
      <c r="G607" t="s">
        <v>42</v>
      </c>
      <c r="H607" t="s">
        <v>31</v>
      </c>
      <c r="I607">
        <v>5</v>
      </c>
      <c r="J607">
        <v>8</v>
      </c>
      <c r="K607">
        <v>5.24</v>
      </c>
      <c r="L607">
        <v>1</v>
      </c>
    </row>
    <row r="608" spans="1:12">
      <c r="A608" t="s">
        <v>1784</v>
      </c>
      <c r="B608" t="s">
        <v>1785</v>
      </c>
      <c r="C608" t="s">
        <v>1786</v>
      </c>
      <c r="D608" t="s">
        <v>23</v>
      </c>
      <c r="E608" t="s">
        <v>54</v>
      </c>
      <c r="F608" t="s">
        <v>36</v>
      </c>
      <c r="G608" t="s">
        <v>45</v>
      </c>
      <c r="H608" t="s">
        <v>19</v>
      </c>
      <c r="I608">
        <v>4</v>
      </c>
      <c r="J608">
        <v>24</v>
      </c>
      <c r="K608">
        <v>13.92</v>
      </c>
      <c r="L608">
        <v>1</v>
      </c>
    </row>
    <row r="609" spans="1:12">
      <c r="A609" t="s">
        <v>1787</v>
      </c>
      <c r="B609" t="s">
        <v>1788</v>
      </c>
      <c r="C609" t="s">
        <v>1789</v>
      </c>
      <c r="D609" t="s">
        <v>15</v>
      </c>
      <c r="E609" t="s">
        <v>24</v>
      </c>
      <c r="F609" t="s">
        <v>41</v>
      </c>
      <c r="G609" t="s">
        <v>50</v>
      </c>
      <c r="H609" t="s">
        <v>31</v>
      </c>
      <c r="I609">
        <v>4</v>
      </c>
      <c r="J609">
        <v>8</v>
      </c>
      <c r="K609">
        <v>1.41</v>
      </c>
      <c r="L609">
        <v>1</v>
      </c>
    </row>
    <row r="610" spans="1:12">
      <c r="A610" t="s">
        <v>1790</v>
      </c>
      <c r="B610" t="s">
        <v>1791</v>
      </c>
      <c r="C610" t="s">
        <v>1792</v>
      </c>
      <c r="D610" t="s">
        <v>23</v>
      </c>
      <c r="E610" t="s">
        <v>24</v>
      </c>
      <c r="F610" t="s">
        <v>36</v>
      </c>
      <c r="G610" t="s">
        <v>50</v>
      </c>
      <c r="H610" t="s">
        <v>31</v>
      </c>
      <c r="I610">
        <v>3</v>
      </c>
      <c r="J610">
        <v>24</v>
      </c>
      <c r="K610">
        <v>10.54</v>
      </c>
      <c r="L610">
        <v>1</v>
      </c>
    </row>
    <row r="611" spans="1:12">
      <c r="A611" t="s">
        <v>1793</v>
      </c>
      <c r="B611" t="s">
        <v>1794</v>
      </c>
      <c r="C611" t="s">
        <v>1795</v>
      </c>
      <c r="D611" t="s">
        <v>23</v>
      </c>
      <c r="E611" t="s">
        <v>54</v>
      </c>
      <c r="F611" t="s">
        <v>17</v>
      </c>
      <c r="G611" t="s">
        <v>50</v>
      </c>
      <c r="H611" t="s">
        <v>31</v>
      </c>
      <c r="I611">
        <v>4</v>
      </c>
      <c r="J611">
        <v>24</v>
      </c>
      <c r="K611">
        <v>15.71</v>
      </c>
      <c r="L611">
        <v>1</v>
      </c>
    </row>
    <row r="612" spans="1:12">
      <c r="A612" t="s">
        <v>1796</v>
      </c>
      <c r="B612" t="s">
        <v>1797</v>
      </c>
      <c r="C612" t="s">
        <v>1798</v>
      </c>
      <c r="D612" t="s">
        <v>35</v>
      </c>
      <c r="E612" t="s">
        <v>28</v>
      </c>
      <c r="F612" t="s">
        <v>17</v>
      </c>
      <c r="G612" t="s">
        <v>42</v>
      </c>
      <c r="H612" t="s">
        <v>19</v>
      </c>
      <c r="I612">
        <v>5</v>
      </c>
      <c r="J612">
        <v>48</v>
      </c>
      <c r="K612">
        <v>32.74</v>
      </c>
      <c r="L612">
        <v>1</v>
      </c>
    </row>
    <row r="613" spans="1:12">
      <c r="A613" t="s">
        <v>1799</v>
      </c>
      <c r="B613" t="s">
        <v>1800</v>
      </c>
      <c r="C613" t="s">
        <v>1801</v>
      </c>
      <c r="D613" t="s">
        <v>23</v>
      </c>
      <c r="E613" t="s">
        <v>28</v>
      </c>
      <c r="F613" t="s">
        <v>29</v>
      </c>
      <c r="G613" t="s">
        <v>18</v>
      </c>
      <c r="H613" t="s">
        <v>19</v>
      </c>
      <c r="I613">
        <v>4</v>
      </c>
      <c r="J613">
        <v>24</v>
      </c>
      <c r="K613">
        <v>2.89</v>
      </c>
      <c r="L613">
        <v>1</v>
      </c>
    </row>
    <row r="614" spans="1:12">
      <c r="A614" t="s">
        <v>1802</v>
      </c>
      <c r="B614" t="s">
        <v>1803</v>
      </c>
      <c r="C614" t="s">
        <v>1804</v>
      </c>
      <c r="D614" t="s">
        <v>23</v>
      </c>
      <c r="E614" t="s">
        <v>59</v>
      </c>
      <c r="F614" t="s">
        <v>41</v>
      </c>
      <c r="G614" t="s">
        <v>55</v>
      </c>
      <c r="H614" t="s">
        <v>19</v>
      </c>
      <c r="I614">
        <v>4</v>
      </c>
      <c r="J614">
        <v>24</v>
      </c>
      <c r="K614">
        <v>19.09</v>
      </c>
      <c r="L614">
        <v>1</v>
      </c>
    </row>
    <row r="615" spans="1:12">
      <c r="A615" t="s">
        <v>1805</v>
      </c>
      <c r="B615" t="s">
        <v>1806</v>
      </c>
      <c r="C615" t="s">
        <v>1807</v>
      </c>
      <c r="D615" t="s">
        <v>15</v>
      </c>
      <c r="E615" t="s">
        <v>16</v>
      </c>
      <c r="F615" t="s">
        <v>36</v>
      </c>
      <c r="G615" t="s">
        <v>42</v>
      </c>
      <c r="H615" t="s">
        <v>31</v>
      </c>
      <c r="I615">
        <v>4</v>
      </c>
      <c r="J615">
        <v>8</v>
      </c>
      <c r="K615">
        <v>5.0199999999999996</v>
      </c>
      <c r="L615">
        <v>1</v>
      </c>
    </row>
    <row r="616" spans="1:12">
      <c r="A616" t="s">
        <v>1808</v>
      </c>
      <c r="B616" t="s">
        <v>1809</v>
      </c>
      <c r="C616" t="s">
        <v>1810</v>
      </c>
      <c r="D616" t="s">
        <v>35</v>
      </c>
      <c r="E616" t="s">
        <v>24</v>
      </c>
      <c r="F616" t="s">
        <v>36</v>
      </c>
      <c r="G616" t="s">
        <v>45</v>
      </c>
      <c r="H616" t="s">
        <v>19</v>
      </c>
      <c r="I616">
        <v>5</v>
      </c>
      <c r="J616">
        <v>48</v>
      </c>
      <c r="K616">
        <v>13.33</v>
      </c>
      <c r="L616">
        <v>1</v>
      </c>
    </row>
    <row r="617" spans="1:12">
      <c r="A617" t="s">
        <v>1811</v>
      </c>
      <c r="B617" t="s">
        <v>1812</v>
      </c>
      <c r="C617" t="s">
        <v>1813</v>
      </c>
      <c r="D617" t="s">
        <v>23</v>
      </c>
      <c r="E617" t="s">
        <v>16</v>
      </c>
      <c r="F617" t="s">
        <v>60</v>
      </c>
      <c r="G617" t="s">
        <v>50</v>
      </c>
      <c r="H617" t="s">
        <v>31</v>
      </c>
      <c r="I617">
        <v>2</v>
      </c>
      <c r="J617">
        <v>24</v>
      </c>
      <c r="K617">
        <v>57.73</v>
      </c>
      <c r="L617">
        <v>0</v>
      </c>
    </row>
    <row r="618" spans="1:12">
      <c r="A618" t="s">
        <v>1814</v>
      </c>
      <c r="B618" t="s">
        <v>1815</v>
      </c>
      <c r="C618" t="s">
        <v>1816</v>
      </c>
      <c r="D618" t="s">
        <v>23</v>
      </c>
      <c r="E618" t="s">
        <v>54</v>
      </c>
      <c r="F618" t="s">
        <v>36</v>
      </c>
      <c r="G618" t="s">
        <v>45</v>
      </c>
      <c r="H618" t="s">
        <v>19</v>
      </c>
      <c r="I618">
        <v>5</v>
      </c>
      <c r="J618">
        <v>24</v>
      </c>
      <c r="K618">
        <v>18.5</v>
      </c>
      <c r="L618">
        <v>1</v>
      </c>
    </row>
    <row r="619" spans="1:12">
      <c r="A619" t="s">
        <v>1817</v>
      </c>
      <c r="B619" t="s">
        <v>1818</v>
      </c>
      <c r="C619" t="s">
        <v>1819</v>
      </c>
      <c r="D619" t="s">
        <v>23</v>
      </c>
      <c r="E619" t="s">
        <v>59</v>
      </c>
      <c r="F619" t="s">
        <v>36</v>
      </c>
      <c r="G619" t="s">
        <v>37</v>
      </c>
      <c r="H619" t="s">
        <v>31</v>
      </c>
      <c r="I619">
        <v>4</v>
      </c>
      <c r="J619">
        <v>24</v>
      </c>
      <c r="K619">
        <v>21.02</v>
      </c>
      <c r="L619">
        <v>1</v>
      </c>
    </row>
    <row r="620" spans="1:12">
      <c r="A620" t="s">
        <v>1820</v>
      </c>
      <c r="B620" t="s">
        <v>1821</v>
      </c>
      <c r="D620" t="s">
        <v>158</v>
      </c>
      <c r="E620" t="s">
        <v>16</v>
      </c>
      <c r="F620" t="s">
        <v>41</v>
      </c>
      <c r="G620" t="s">
        <v>18</v>
      </c>
      <c r="H620" t="s">
        <v>46</v>
      </c>
      <c r="J620">
        <v>4</v>
      </c>
    </row>
    <row r="621" spans="1:12">
      <c r="A621" t="s">
        <v>1822</v>
      </c>
      <c r="B621" t="s">
        <v>1823</v>
      </c>
      <c r="C621" t="s">
        <v>1824</v>
      </c>
      <c r="D621" t="s">
        <v>35</v>
      </c>
      <c r="E621" t="s">
        <v>24</v>
      </c>
      <c r="F621" t="s">
        <v>29</v>
      </c>
      <c r="G621" t="s">
        <v>50</v>
      </c>
      <c r="H621" t="s">
        <v>31</v>
      </c>
      <c r="I621">
        <v>5</v>
      </c>
      <c r="J621">
        <v>48</v>
      </c>
      <c r="K621">
        <v>12.41</v>
      </c>
      <c r="L621">
        <v>1</v>
      </c>
    </row>
    <row r="622" spans="1:12">
      <c r="A622" t="s">
        <v>1825</v>
      </c>
      <c r="B622" t="s">
        <v>1826</v>
      </c>
      <c r="D622" t="s">
        <v>23</v>
      </c>
      <c r="E622" t="s">
        <v>16</v>
      </c>
      <c r="F622" t="s">
        <v>36</v>
      </c>
      <c r="G622" t="s">
        <v>18</v>
      </c>
      <c r="H622" t="s">
        <v>63</v>
      </c>
      <c r="J622">
        <v>24</v>
      </c>
    </row>
    <row r="623" spans="1:12">
      <c r="A623" t="s">
        <v>1827</v>
      </c>
      <c r="B623" t="s">
        <v>1828</v>
      </c>
      <c r="C623" t="s">
        <v>1829</v>
      </c>
      <c r="D623" t="s">
        <v>15</v>
      </c>
      <c r="E623" t="s">
        <v>28</v>
      </c>
      <c r="F623" t="s">
        <v>17</v>
      </c>
      <c r="G623" t="s">
        <v>30</v>
      </c>
      <c r="H623" t="s">
        <v>19</v>
      </c>
      <c r="I623">
        <v>4</v>
      </c>
      <c r="J623">
        <v>8</v>
      </c>
      <c r="K623">
        <v>5.05</v>
      </c>
      <c r="L623">
        <v>1</v>
      </c>
    </row>
    <row r="624" spans="1:12">
      <c r="A624" t="s">
        <v>1830</v>
      </c>
      <c r="B624" t="s">
        <v>1831</v>
      </c>
      <c r="C624" t="s">
        <v>1832</v>
      </c>
      <c r="D624" t="s">
        <v>15</v>
      </c>
      <c r="E624" t="s">
        <v>24</v>
      </c>
      <c r="F624" t="s">
        <v>29</v>
      </c>
      <c r="G624" t="s">
        <v>37</v>
      </c>
      <c r="H624" t="s">
        <v>31</v>
      </c>
      <c r="I624">
        <v>5</v>
      </c>
      <c r="J624">
        <v>8</v>
      </c>
      <c r="K624">
        <v>1</v>
      </c>
      <c r="L624">
        <v>1</v>
      </c>
    </row>
    <row r="625" spans="1:12">
      <c r="A625" t="s">
        <v>1833</v>
      </c>
      <c r="B625" t="s">
        <v>1834</v>
      </c>
      <c r="C625" t="s">
        <v>1835</v>
      </c>
      <c r="D625" t="s">
        <v>15</v>
      </c>
      <c r="E625" t="s">
        <v>28</v>
      </c>
      <c r="F625" t="s">
        <v>41</v>
      </c>
      <c r="G625" t="s">
        <v>151</v>
      </c>
      <c r="H625" t="s">
        <v>19</v>
      </c>
      <c r="I625">
        <v>5</v>
      </c>
      <c r="J625">
        <v>8</v>
      </c>
      <c r="K625">
        <v>4.34</v>
      </c>
      <c r="L625">
        <v>1</v>
      </c>
    </row>
    <row r="626" spans="1:12">
      <c r="A626" t="s">
        <v>1836</v>
      </c>
      <c r="B626" t="s">
        <v>1837</v>
      </c>
      <c r="C626" t="s">
        <v>1838</v>
      </c>
      <c r="D626" t="s">
        <v>23</v>
      </c>
      <c r="E626" t="s">
        <v>28</v>
      </c>
      <c r="F626" t="s">
        <v>17</v>
      </c>
      <c r="G626" t="s">
        <v>55</v>
      </c>
      <c r="H626" t="s">
        <v>19</v>
      </c>
      <c r="I626">
        <v>2</v>
      </c>
      <c r="J626">
        <v>24</v>
      </c>
      <c r="K626">
        <v>67.78</v>
      </c>
      <c r="L626">
        <v>0</v>
      </c>
    </row>
    <row r="627" spans="1:12">
      <c r="A627" t="s">
        <v>1839</v>
      </c>
      <c r="B627" t="s">
        <v>1840</v>
      </c>
      <c r="C627" t="s">
        <v>1841</v>
      </c>
      <c r="D627" t="s">
        <v>15</v>
      </c>
      <c r="E627" t="s">
        <v>54</v>
      </c>
      <c r="F627" t="s">
        <v>60</v>
      </c>
      <c r="G627" t="s">
        <v>77</v>
      </c>
      <c r="H627" t="s">
        <v>31</v>
      </c>
      <c r="I627">
        <v>5</v>
      </c>
      <c r="J627">
        <v>8</v>
      </c>
      <c r="K627">
        <v>1.74</v>
      </c>
      <c r="L627">
        <v>1</v>
      </c>
    </row>
    <row r="628" spans="1:12">
      <c r="A628" t="s">
        <v>1842</v>
      </c>
      <c r="B628" t="s">
        <v>1843</v>
      </c>
      <c r="D628" t="s">
        <v>23</v>
      </c>
      <c r="E628" t="s">
        <v>59</v>
      </c>
      <c r="F628" t="s">
        <v>17</v>
      </c>
      <c r="G628" t="s">
        <v>151</v>
      </c>
      <c r="H628" t="s">
        <v>63</v>
      </c>
      <c r="J628">
        <v>24</v>
      </c>
    </row>
    <row r="629" spans="1:12">
      <c r="A629" t="s">
        <v>1844</v>
      </c>
      <c r="B629" t="s">
        <v>1845</v>
      </c>
      <c r="C629" t="s">
        <v>1846</v>
      </c>
      <c r="D629" t="s">
        <v>15</v>
      </c>
      <c r="E629" t="s">
        <v>24</v>
      </c>
      <c r="F629" t="s">
        <v>60</v>
      </c>
      <c r="G629" t="s">
        <v>105</v>
      </c>
      <c r="H629" t="s">
        <v>19</v>
      </c>
      <c r="I629">
        <v>5</v>
      </c>
      <c r="J629">
        <v>8</v>
      </c>
      <c r="K629">
        <v>6.78</v>
      </c>
      <c r="L629">
        <v>1</v>
      </c>
    </row>
    <row r="630" spans="1:12">
      <c r="A630" t="s">
        <v>1847</v>
      </c>
      <c r="B630" t="s">
        <v>1848</v>
      </c>
      <c r="C630" t="s">
        <v>1849</v>
      </c>
      <c r="D630" t="s">
        <v>15</v>
      </c>
      <c r="E630" t="s">
        <v>59</v>
      </c>
      <c r="F630" t="s">
        <v>41</v>
      </c>
      <c r="G630" t="s">
        <v>45</v>
      </c>
      <c r="H630" t="s">
        <v>19</v>
      </c>
      <c r="I630">
        <v>4</v>
      </c>
      <c r="J630">
        <v>8</v>
      </c>
      <c r="K630">
        <v>22.35</v>
      </c>
      <c r="L630">
        <v>0</v>
      </c>
    </row>
    <row r="631" spans="1:12">
      <c r="A631" t="s">
        <v>1850</v>
      </c>
      <c r="B631" t="s">
        <v>1851</v>
      </c>
      <c r="C631" t="s">
        <v>1852</v>
      </c>
      <c r="D631" t="s">
        <v>15</v>
      </c>
      <c r="E631" t="s">
        <v>24</v>
      </c>
      <c r="F631" t="s">
        <v>17</v>
      </c>
      <c r="G631" t="s">
        <v>73</v>
      </c>
      <c r="H631" t="s">
        <v>19</v>
      </c>
      <c r="I631">
        <v>2</v>
      </c>
      <c r="J631">
        <v>8</v>
      </c>
      <c r="K631">
        <v>18.02</v>
      </c>
      <c r="L631">
        <v>0</v>
      </c>
    </row>
    <row r="632" spans="1:12">
      <c r="A632" t="s">
        <v>1853</v>
      </c>
      <c r="B632" t="s">
        <v>1854</v>
      </c>
      <c r="C632" t="s">
        <v>1855</v>
      </c>
      <c r="D632" t="s">
        <v>15</v>
      </c>
      <c r="E632" t="s">
        <v>28</v>
      </c>
      <c r="F632" t="s">
        <v>36</v>
      </c>
      <c r="G632" t="s">
        <v>172</v>
      </c>
      <c r="H632" t="s">
        <v>19</v>
      </c>
      <c r="I632">
        <v>5</v>
      </c>
      <c r="J632">
        <v>8</v>
      </c>
      <c r="K632">
        <v>1.71</v>
      </c>
      <c r="L632">
        <v>1</v>
      </c>
    </row>
    <row r="633" spans="1:12">
      <c r="A633" t="s">
        <v>1856</v>
      </c>
      <c r="B633" t="s">
        <v>1857</v>
      </c>
      <c r="C633" t="s">
        <v>1858</v>
      </c>
      <c r="D633" t="s">
        <v>23</v>
      </c>
      <c r="E633" t="s">
        <v>28</v>
      </c>
      <c r="F633" t="s">
        <v>41</v>
      </c>
      <c r="G633" t="s">
        <v>50</v>
      </c>
      <c r="H633" t="s">
        <v>19</v>
      </c>
      <c r="I633">
        <v>4</v>
      </c>
      <c r="J633">
        <v>24</v>
      </c>
      <c r="K633">
        <v>7.02</v>
      </c>
      <c r="L633">
        <v>1</v>
      </c>
    </row>
    <row r="634" spans="1:12">
      <c r="A634" t="s">
        <v>1859</v>
      </c>
      <c r="B634" t="s">
        <v>1860</v>
      </c>
      <c r="C634" t="s">
        <v>1861</v>
      </c>
      <c r="D634" t="s">
        <v>35</v>
      </c>
      <c r="E634" t="s">
        <v>59</v>
      </c>
      <c r="F634" t="s">
        <v>17</v>
      </c>
      <c r="G634" t="s">
        <v>105</v>
      </c>
      <c r="H634" t="s">
        <v>31</v>
      </c>
      <c r="I634">
        <v>4</v>
      </c>
      <c r="J634">
        <v>48</v>
      </c>
      <c r="K634">
        <v>13.15</v>
      </c>
      <c r="L634">
        <v>1</v>
      </c>
    </row>
    <row r="635" spans="1:12">
      <c r="A635" t="s">
        <v>1862</v>
      </c>
      <c r="B635" t="s">
        <v>1863</v>
      </c>
      <c r="C635" t="s">
        <v>1864</v>
      </c>
      <c r="D635" t="s">
        <v>35</v>
      </c>
      <c r="E635" t="s">
        <v>54</v>
      </c>
      <c r="F635" t="s">
        <v>29</v>
      </c>
      <c r="G635" t="s">
        <v>50</v>
      </c>
      <c r="H635" t="s">
        <v>31</v>
      </c>
      <c r="I635">
        <v>5</v>
      </c>
      <c r="J635">
        <v>48</v>
      </c>
      <c r="K635">
        <v>36.47</v>
      </c>
      <c r="L635">
        <v>1</v>
      </c>
    </row>
    <row r="636" spans="1:12">
      <c r="A636" t="s">
        <v>1865</v>
      </c>
      <c r="B636" t="s">
        <v>1866</v>
      </c>
      <c r="C636" t="s">
        <v>1867</v>
      </c>
      <c r="D636" t="s">
        <v>23</v>
      </c>
      <c r="E636" t="s">
        <v>28</v>
      </c>
      <c r="F636" t="s">
        <v>60</v>
      </c>
      <c r="G636" t="s">
        <v>105</v>
      </c>
      <c r="H636" t="s">
        <v>31</v>
      </c>
      <c r="I636">
        <v>5</v>
      </c>
      <c r="J636">
        <v>24</v>
      </c>
      <c r="K636">
        <v>15.48</v>
      </c>
      <c r="L636">
        <v>1</v>
      </c>
    </row>
    <row r="637" spans="1:12">
      <c r="A637" t="s">
        <v>1868</v>
      </c>
      <c r="B637" t="s">
        <v>1869</v>
      </c>
      <c r="C637" t="s">
        <v>1870</v>
      </c>
      <c r="D637" t="s">
        <v>23</v>
      </c>
      <c r="E637" t="s">
        <v>28</v>
      </c>
      <c r="F637" t="s">
        <v>36</v>
      </c>
      <c r="G637" t="s">
        <v>18</v>
      </c>
      <c r="H637" t="s">
        <v>19</v>
      </c>
      <c r="I637">
        <v>5</v>
      </c>
      <c r="J637">
        <v>24</v>
      </c>
      <c r="K637">
        <v>17.399999999999999</v>
      </c>
      <c r="L637">
        <v>1</v>
      </c>
    </row>
    <row r="638" spans="1:12">
      <c r="A638" t="s">
        <v>1871</v>
      </c>
      <c r="B638" t="s">
        <v>1872</v>
      </c>
      <c r="C638" t="s">
        <v>1873</v>
      </c>
      <c r="D638" t="s">
        <v>23</v>
      </c>
      <c r="E638" t="s">
        <v>59</v>
      </c>
      <c r="F638" t="s">
        <v>17</v>
      </c>
      <c r="G638" t="s">
        <v>45</v>
      </c>
      <c r="H638" t="s">
        <v>19</v>
      </c>
      <c r="I638">
        <v>1</v>
      </c>
      <c r="J638">
        <v>24</v>
      </c>
      <c r="K638">
        <v>61.41</v>
      </c>
      <c r="L638">
        <v>0</v>
      </c>
    </row>
    <row r="639" spans="1:12">
      <c r="A639" t="s">
        <v>1874</v>
      </c>
      <c r="B639" t="s">
        <v>1875</v>
      </c>
      <c r="C639" t="s">
        <v>1876</v>
      </c>
      <c r="D639" t="s">
        <v>23</v>
      </c>
      <c r="E639" t="s">
        <v>54</v>
      </c>
      <c r="F639" t="s">
        <v>36</v>
      </c>
      <c r="G639" t="s">
        <v>105</v>
      </c>
      <c r="H639" t="s">
        <v>19</v>
      </c>
      <c r="I639">
        <v>4</v>
      </c>
      <c r="J639">
        <v>24</v>
      </c>
      <c r="K639">
        <v>19.329999999999998</v>
      </c>
      <c r="L639">
        <v>1</v>
      </c>
    </row>
    <row r="640" spans="1:12">
      <c r="A640" t="s">
        <v>1877</v>
      </c>
      <c r="B640" t="s">
        <v>1878</v>
      </c>
      <c r="C640" t="s">
        <v>1879</v>
      </c>
      <c r="D640" t="s">
        <v>23</v>
      </c>
      <c r="E640" t="s">
        <v>24</v>
      </c>
      <c r="F640" t="s">
        <v>60</v>
      </c>
      <c r="G640" t="s">
        <v>105</v>
      </c>
      <c r="H640" t="s">
        <v>19</v>
      </c>
      <c r="I640">
        <v>3</v>
      </c>
      <c r="J640">
        <v>24</v>
      </c>
      <c r="K640">
        <v>9</v>
      </c>
      <c r="L640">
        <v>1</v>
      </c>
    </row>
    <row r="641" spans="1:12">
      <c r="A641" t="s">
        <v>1880</v>
      </c>
      <c r="B641" t="s">
        <v>1881</v>
      </c>
      <c r="C641" t="s">
        <v>1882</v>
      </c>
      <c r="D641" t="s">
        <v>23</v>
      </c>
      <c r="E641" t="s">
        <v>16</v>
      </c>
      <c r="F641" t="s">
        <v>17</v>
      </c>
      <c r="G641" t="s">
        <v>50</v>
      </c>
      <c r="H641" t="s">
        <v>19</v>
      </c>
      <c r="I641">
        <v>5</v>
      </c>
      <c r="J641">
        <v>24</v>
      </c>
      <c r="K641">
        <v>15.63</v>
      </c>
      <c r="L641">
        <v>1</v>
      </c>
    </row>
    <row r="642" spans="1:12">
      <c r="A642" t="s">
        <v>1883</v>
      </c>
      <c r="B642" t="s">
        <v>1884</v>
      </c>
      <c r="C642" t="s">
        <v>1885</v>
      </c>
      <c r="D642" t="s">
        <v>23</v>
      </c>
      <c r="E642" t="s">
        <v>24</v>
      </c>
      <c r="F642" t="s">
        <v>36</v>
      </c>
      <c r="G642" t="s">
        <v>105</v>
      </c>
      <c r="H642" t="s">
        <v>19</v>
      </c>
      <c r="I642">
        <v>4</v>
      </c>
      <c r="J642">
        <v>24</v>
      </c>
      <c r="K642">
        <v>13.09</v>
      </c>
      <c r="L642">
        <v>1</v>
      </c>
    </row>
    <row r="643" spans="1:12">
      <c r="A643" t="s">
        <v>1886</v>
      </c>
      <c r="B643" t="s">
        <v>1887</v>
      </c>
      <c r="C643" t="s">
        <v>1888</v>
      </c>
      <c r="D643" t="s">
        <v>35</v>
      </c>
      <c r="E643" t="s">
        <v>54</v>
      </c>
      <c r="F643" t="s">
        <v>17</v>
      </c>
      <c r="G643" t="s">
        <v>37</v>
      </c>
      <c r="H643" t="s">
        <v>31</v>
      </c>
      <c r="I643">
        <v>4</v>
      </c>
      <c r="J643">
        <v>48</v>
      </c>
      <c r="K643">
        <v>11.77</v>
      </c>
      <c r="L643">
        <v>1</v>
      </c>
    </row>
    <row r="644" spans="1:12">
      <c r="A644" t="s">
        <v>1889</v>
      </c>
      <c r="B644" t="s">
        <v>1890</v>
      </c>
      <c r="C644" t="s">
        <v>1891</v>
      </c>
      <c r="D644" t="s">
        <v>23</v>
      </c>
      <c r="E644" t="s">
        <v>54</v>
      </c>
      <c r="F644" t="s">
        <v>17</v>
      </c>
      <c r="G644" t="s">
        <v>73</v>
      </c>
      <c r="H644" t="s">
        <v>31</v>
      </c>
      <c r="I644">
        <v>5</v>
      </c>
      <c r="J644">
        <v>24</v>
      </c>
      <c r="K644">
        <v>18</v>
      </c>
      <c r="L644">
        <v>1</v>
      </c>
    </row>
    <row r="645" spans="1:12">
      <c r="A645" t="s">
        <v>1892</v>
      </c>
      <c r="B645" t="s">
        <v>1893</v>
      </c>
      <c r="C645" t="s">
        <v>1894</v>
      </c>
      <c r="D645" t="s">
        <v>15</v>
      </c>
      <c r="E645" t="s">
        <v>24</v>
      </c>
      <c r="F645" t="s">
        <v>17</v>
      </c>
      <c r="G645" t="s">
        <v>18</v>
      </c>
      <c r="H645" t="s">
        <v>19</v>
      </c>
      <c r="I645">
        <v>4</v>
      </c>
      <c r="J645">
        <v>8</v>
      </c>
      <c r="K645">
        <v>0.88</v>
      </c>
      <c r="L645">
        <v>1</v>
      </c>
    </row>
    <row r="646" spans="1:12">
      <c r="A646" t="s">
        <v>1895</v>
      </c>
      <c r="B646" t="s">
        <v>1896</v>
      </c>
      <c r="C646" t="s">
        <v>1897</v>
      </c>
      <c r="D646" t="s">
        <v>23</v>
      </c>
      <c r="E646" t="s">
        <v>24</v>
      </c>
      <c r="F646" t="s">
        <v>41</v>
      </c>
      <c r="G646" t="s">
        <v>18</v>
      </c>
      <c r="H646" t="s">
        <v>19</v>
      </c>
      <c r="I646">
        <v>4</v>
      </c>
      <c r="J646">
        <v>24</v>
      </c>
      <c r="K646">
        <v>11.66</v>
      </c>
      <c r="L646">
        <v>1</v>
      </c>
    </row>
    <row r="647" spans="1:12">
      <c r="A647" t="s">
        <v>1898</v>
      </c>
      <c r="B647" t="s">
        <v>1899</v>
      </c>
      <c r="C647" t="s">
        <v>1900</v>
      </c>
      <c r="D647" t="s">
        <v>23</v>
      </c>
      <c r="E647" t="s">
        <v>28</v>
      </c>
      <c r="F647" t="s">
        <v>60</v>
      </c>
      <c r="G647" t="s">
        <v>45</v>
      </c>
      <c r="H647" t="s">
        <v>31</v>
      </c>
      <c r="I647">
        <v>3</v>
      </c>
      <c r="J647">
        <v>24</v>
      </c>
      <c r="K647">
        <v>19.239999999999998</v>
      </c>
      <c r="L647">
        <v>1</v>
      </c>
    </row>
    <row r="648" spans="1:12">
      <c r="A648" t="s">
        <v>1901</v>
      </c>
      <c r="B648" t="s">
        <v>1902</v>
      </c>
      <c r="C648" t="s">
        <v>1903</v>
      </c>
      <c r="D648" t="s">
        <v>158</v>
      </c>
      <c r="E648" t="s">
        <v>28</v>
      </c>
      <c r="F648" t="s">
        <v>17</v>
      </c>
      <c r="G648" t="s">
        <v>30</v>
      </c>
      <c r="H648" t="s">
        <v>31</v>
      </c>
      <c r="I648">
        <v>4</v>
      </c>
      <c r="J648">
        <v>4</v>
      </c>
      <c r="K648">
        <v>6.53</v>
      </c>
      <c r="L648">
        <v>0</v>
      </c>
    </row>
    <row r="649" spans="1:12">
      <c r="A649" t="s">
        <v>1904</v>
      </c>
      <c r="B649" t="s">
        <v>1905</v>
      </c>
      <c r="C649" t="s">
        <v>1906</v>
      </c>
      <c r="D649" t="s">
        <v>15</v>
      </c>
      <c r="E649" t="s">
        <v>59</v>
      </c>
      <c r="F649" t="s">
        <v>17</v>
      </c>
      <c r="G649" t="s">
        <v>151</v>
      </c>
      <c r="H649" t="s">
        <v>19</v>
      </c>
      <c r="I649">
        <v>5</v>
      </c>
      <c r="J649">
        <v>8</v>
      </c>
      <c r="K649">
        <v>5.56</v>
      </c>
      <c r="L649">
        <v>1</v>
      </c>
    </row>
    <row r="650" spans="1:12">
      <c r="A650" t="s">
        <v>1907</v>
      </c>
      <c r="B650" t="s">
        <v>1908</v>
      </c>
      <c r="D650" t="s">
        <v>15</v>
      </c>
      <c r="E650" t="s">
        <v>28</v>
      </c>
      <c r="F650" t="s">
        <v>60</v>
      </c>
      <c r="G650" t="s">
        <v>172</v>
      </c>
      <c r="H650" t="s">
        <v>63</v>
      </c>
      <c r="J650">
        <v>8</v>
      </c>
    </row>
    <row r="651" spans="1:12">
      <c r="A651" t="s">
        <v>1909</v>
      </c>
      <c r="B651" t="s">
        <v>1910</v>
      </c>
      <c r="C651" t="s">
        <v>1911</v>
      </c>
      <c r="D651" t="s">
        <v>23</v>
      </c>
      <c r="E651" t="s">
        <v>28</v>
      </c>
      <c r="F651" t="s">
        <v>41</v>
      </c>
      <c r="G651" t="s">
        <v>42</v>
      </c>
      <c r="H651" t="s">
        <v>31</v>
      </c>
      <c r="I651">
        <v>2</v>
      </c>
      <c r="J651">
        <v>24</v>
      </c>
      <c r="K651">
        <v>28.24</v>
      </c>
      <c r="L651">
        <v>0</v>
      </c>
    </row>
    <row r="652" spans="1:12">
      <c r="A652" t="s">
        <v>1912</v>
      </c>
      <c r="B652" t="s">
        <v>1913</v>
      </c>
      <c r="C652" t="s">
        <v>1914</v>
      </c>
      <c r="D652" t="s">
        <v>23</v>
      </c>
      <c r="E652" t="s">
        <v>28</v>
      </c>
      <c r="F652" t="s">
        <v>60</v>
      </c>
      <c r="G652" t="s">
        <v>37</v>
      </c>
      <c r="H652" t="s">
        <v>19</v>
      </c>
      <c r="I652">
        <v>4</v>
      </c>
      <c r="J652">
        <v>24</v>
      </c>
      <c r="K652">
        <v>14.89</v>
      </c>
      <c r="L652">
        <v>1</v>
      </c>
    </row>
    <row r="653" spans="1:12">
      <c r="A653" t="s">
        <v>1915</v>
      </c>
      <c r="B653" t="s">
        <v>1916</v>
      </c>
      <c r="C653" t="s">
        <v>1917</v>
      </c>
      <c r="D653" t="s">
        <v>35</v>
      </c>
      <c r="E653" t="s">
        <v>28</v>
      </c>
      <c r="F653" t="s">
        <v>36</v>
      </c>
      <c r="G653" t="s">
        <v>50</v>
      </c>
      <c r="H653" t="s">
        <v>31</v>
      </c>
      <c r="I653">
        <v>5</v>
      </c>
      <c r="J653">
        <v>48</v>
      </c>
      <c r="K653">
        <v>36.96</v>
      </c>
      <c r="L653">
        <v>1</v>
      </c>
    </row>
    <row r="654" spans="1:12">
      <c r="A654" t="s">
        <v>1918</v>
      </c>
      <c r="B654" t="s">
        <v>1919</v>
      </c>
      <c r="D654" t="s">
        <v>23</v>
      </c>
      <c r="E654" t="s">
        <v>28</v>
      </c>
      <c r="F654" t="s">
        <v>60</v>
      </c>
      <c r="G654" t="s">
        <v>55</v>
      </c>
      <c r="H654" t="s">
        <v>46</v>
      </c>
      <c r="J654">
        <v>24</v>
      </c>
    </row>
    <row r="655" spans="1:12">
      <c r="A655" t="s">
        <v>1920</v>
      </c>
      <c r="B655" t="s">
        <v>1921</v>
      </c>
      <c r="C655" t="s">
        <v>1922</v>
      </c>
      <c r="D655" t="s">
        <v>35</v>
      </c>
      <c r="E655" t="s">
        <v>16</v>
      </c>
      <c r="F655" t="s">
        <v>41</v>
      </c>
      <c r="G655" t="s">
        <v>77</v>
      </c>
      <c r="H655" t="s">
        <v>31</v>
      </c>
      <c r="I655">
        <v>5</v>
      </c>
      <c r="J655">
        <v>48</v>
      </c>
      <c r="K655">
        <v>37.770000000000003</v>
      </c>
      <c r="L655">
        <v>1</v>
      </c>
    </row>
    <row r="656" spans="1:12">
      <c r="A656" t="s">
        <v>1923</v>
      </c>
      <c r="B656" t="s">
        <v>1924</v>
      </c>
      <c r="C656" t="s">
        <v>1925</v>
      </c>
      <c r="D656" t="s">
        <v>23</v>
      </c>
      <c r="E656" t="s">
        <v>59</v>
      </c>
      <c r="F656" t="s">
        <v>36</v>
      </c>
      <c r="G656" t="s">
        <v>42</v>
      </c>
      <c r="H656" t="s">
        <v>19</v>
      </c>
      <c r="I656">
        <v>5</v>
      </c>
      <c r="J656">
        <v>24</v>
      </c>
      <c r="K656">
        <v>4.8099999999999996</v>
      </c>
      <c r="L656">
        <v>1</v>
      </c>
    </row>
    <row r="657" spans="1:12">
      <c r="A657" t="s">
        <v>1926</v>
      </c>
      <c r="B657" t="s">
        <v>1927</v>
      </c>
      <c r="C657" t="s">
        <v>1928</v>
      </c>
      <c r="D657" t="s">
        <v>23</v>
      </c>
      <c r="E657" t="s">
        <v>16</v>
      </c>
      <c r="F657" t="s">
        <v>36</v>
      </c>
      <c r="G657" t="s">
        <v>172</v>
      </c>
      <c r="H657" t="s">
        <v>19</v>
      </c>
      <c r="I657">
        <v>5</v>
      </c>
      <c r="J657">
        <v>24</v>
      </c>
      <c r="K657">
        <v>6.73</v>
      </c>
      <c r="L657">
        <v>1</v>
      </c>
    </row>
    <row r="658" spans="1:12">
      <c r="A658" t="s">
        <v>1929</v>
      </c>
      <c r="B658" t="s">
        <v>1930</v>
      </c>
      <c r="C658" t="s">
        <v>1931</v>
      </c>
      <c r="D658" t="s">
        <v>15</v>
      </c>
      <c r="E658" t="s">
        <v>16</v>
      </c>
      <c r="F658" t="s">
        <v>29</v>
      </c>
      <c r="G658" t="s">
        <v>45</v>
      </c>
      <c r="H658" t="s">
        <v>19</v>
      </c>
      <c r="I658">
        <v>5</v>
      </c>
      <c r="J658">
        <v>8</v>
      </c>
      <c r="K658">
        <v>0.84</v>
      </c>
      <c r="L658">
        <v>1</v>
      </c>
    </row>
    <row r="659" spans="1:12">
      <c r="A659" t="s">
        <v>1932</v>
      </c>
      <c r="B659" t="s">
        <v>1933</v>
      </c>
      <c r="C659" t="s">
        <v>1934</v>
      </c>
      <c r="D659" t="s">
        <v>23</v>
      </c>
      <c r="E659" t="s">
        <v>24</v>
      </c>
      <c r="F659" t="s">
        <v>36</v>
      </c>
      <c r="G659" t="s">
        <v>73</v>
      </c>
      <c r="H659" t="s">
        <v>19</v>
      </c>
      <c r="I659">
        <v>2</v>
      </c>
      <c r="J659">
        <v>24</v>
      </c>
      <c r="K659">
        <v>68.36</v>
      </c>
      <c r="L659">
        <v>0</v>
      </c>
    </row>
    <row r="660" spans="1:12">
      <c r="A660" t="s">
        <v>1935</v>
      </c>
      <c r="B660" t="s">
        <v>1936</v>
      </c>
      <c r="C660" t="s">
        <v>1937</v>
      </c>
      <c r="D660" t="s">
        <v>23</v>
      </c>
      <c r="E660" t="s">
        <v>54</v>
      </c>
      <c r="F660" t="s">
        <v>41</v>
      </c>
      <c r="G660" t="s">
        <v>73</v>
      </c>
      <c r="H660" t="s">
        <v>31</v>
      </c>
      <c r="I660">
        <v>2</v>
      </c>
      <c r="J660">
        <v>24</v>
      </c>
      <c r="K660">
        <v>50.33</v>
      </c>
      <c r="L660">
        <v>0</v>
      </c>
    </row>
    <row r="661" spans="1:12">
      <c r="A661" t="s">
        <v>1938</v>
      </c>
      <c r="B661" t="s">
        <v>1939</v>
      </c>
      <c r="C661" t="s">
        <v>1940</v>
      </c>
      <c r="D661" t="s">
        <v>35</v>
      </c>
      <c r="E661" t="s">
        <v>59</v>
      </c>
      <c r="F661" t="s">
        <v>36</v>
      </c>
      <c r="G661" t="s">
        <v>77</v>
      </c>
      <c r="H661" t="s">
        <v>19</v>
      </c>
      <c r="I661">
        <v>5</v>
      </c>
      <c r="J661">
        <v>48</v>
      </c>
      <c r="K661">
        <v>17.670000000000002</v>
      </c>
      <c r="L661">
        <v>1</v>
      </c>
    </row>
    <row r="662" spans="1:12">
      <c r="A662" t="s">
        <v>1941</v>
      </c>
      <c r="B662" t="s">
        <v>1942</v>
      </c>
      <c r="D662" t="s">
        <v>23</v>
      </c>
      <c r="E662" t="s">
        <v>28</v>
      </c>
      <c r="F662" t="s">
        <v>29</v>
      </c>
      <c r="G662" t="s">
        <v>42</v>
      </c>
      <c r="H662" t="s">
        <v>46</v>
      </c>
      <c r="J662">
        <v>24</v>
      </c>
    </row>
    <row r="663" spans="1:12">
      <c r="A663" t="s">
        <v>1943</v>
      </c>
      <c r="B663" t="s">
        <v>1944</v>
      </c>
      <c r="C663" t="s">
        <v>1945</v>
      </c>
      <c r="D663" t="s">
        <v>35</v>
      </c>
      <c r="E663" t="s">
        <v>28</v>
      </c>
      <c r="F663" t="s">
        <v>41</v>
      </c>
      <c r="G663" t="s">
        <v>151</v>
      </c>
      <c r="H663" t="s">
        <v>19</v>
      </c>
      <c r="I663">
        <v>4</v>
      </c>
      <c r="J663">
        <v>48</v>
      </c>
      <c r="K663">
        <v>29.51</v>
      </c>
      <c r="L663">
        <v>1</v>
      </c>
    </row>
    <row r="664" spans="1:12">
      <c r="A664" t="s">
        <v>1946</v>
      </c>
      <c r="B664" t="s">
        <v>1947</v>
      </c>
      <c r="C664" t="s">
        <v>1948</v>
      </c>
      <c r="D664" t="s">
        <v>35</v>
      </c>
      <c r="E664" t="s">
        <v>16</v>
      </c>
      <c r="F664" t="s">
        <v>29</v>
      </c>
      <c r="G664" t="s">
        <v>105</v>
      </c>
      <c r="H664" t="s">
        <v>19</v>
      </c>
      <c r="I664">
        <v>4</v>
      </c>
      <c r="J664">
        <v>48</v>
      </c>
      <c r="K664">
        <v>25.08</v>
      </c>
      <c r="L664">
        <v>1</v>
      </c>
    </row>
    <row r="665" spans="1:12">
      <c r="A665" t="s">
        <v>1949</v>
      </c>
      <c r="B665" t="s">
        <v>1950</v>
      </c>
      <c r="C665" t="s">
        <v>1951</v>
      </c>
      <c r="D665" t="s">
        <v>35</v>
      </c>
      <c r="E665" t="s">
        <v>28</v>
      </c>
      <c r="F665" t="s">
        <v>60</v>
      </c>
      <c r="G665" t="s">
        <v>45</v>
      </c>
      <c r="H665" t="s">
        <v>19</v>
      </c>
      <c r="I665">
        <v>4</v>
      </c>
      <c r="J665">
        <v>48</v>
      </c>
      <c r="K665">
        <v>6.33</v>
      </c>
      <c r="L665">
        <v>1</v>
      </c>
    </row>
    <row r="666" spans="1:12">
      <c r="A666" t="s">
        <v>1952</v>
      </c>
      <c r="B666" t="s">
        <v>1953</v>
      </c>
      <c r="C666" t="s">
        <v>1954</v>
      </c>
      <c r="D666" t="s">
        <v>23</v>
      </c>
      <c r="E666" t="s">
        <v>24</v>
      </c>
      <c r="F666" t="s">
        <v>41</v>
      </c>
      <c r="G666" t="s">
        <v>77</v>
      </c>
      <c r="H666" t="s">
        <v>19</v>
      </c>
      <c r="I666">
        <v>5</v>
      </c>
      <c r="J666">
        <v>24</v>
      </c>
      <c r="K666">
        <v>12.26</v>
      </c>
      <c r="L666">
        <v>1</v>
      </c>
    </row>
    <row r="667" spans="1:12">
      <c r="A667" t="s">
        <v>1955</v>
      </c>
      <c r="B667" t="s">
        <v>1956</v>
      </c>
      <c r="C667" t="s">
        <v>1957</v>
      </c>
      <c r="D667" t="s">
        <v>23</v>
      </c>
      <c r="E667" t="s">
        <v>24</v>
      </c>
      <c r="F667" t="s">
        <v>36</v>
      </c>
      <c r="G667" t="s">
        <v>77</v>
      </c>
      <c r="H667" t="s">
        <v>31</v>
      </c>
      <c r="I667">
        <v>4</v>
      </c>
      <c r="J667">
        <v>24</v>
      </c>
      <c r="K667">
        <v>17.18</v>
      </c>
      <c r="L667">
        <v>1</v>
      </c>
    </row>
    <row r="668" spans="1:12">
      <c r="A668" t="s">
        <v>1958</v>
      </c>
      <c r="B668" t="s">
        <v>1959</v>
      </c>
      <c r="C668" t="s">
        <v>1960</v>
      </c>
      <c r="D668" t="s">
        <v>35</v>
      </c>
      <c r="E668" t="s">
        <v>24</v>
      </c>
      <c r="F668" t="s">
        <v>29</v>
      </c>
      <c r="G668" t="s">
        <v>30</v>
      </c>
      <c r="H668" t="s">
        <v>31</v>
      </c>
      <c r="I668">
        <v>4</v>
      </c>
      <c r="J668">
        <v>48</v>
      </c>
      <c r="K668">
        <v>8.35</v>
      </c>
      <c r="L668">
        <v>1</v>
      </c>
    </row>
    <row r="669" spans="1:12">
      <c r="A669" t="s">
        <v>1961</v>
      </c>
      <c r="B669" t="s">
        <v>1962</v>
      </c>
      <c r="C669" t="s">
        <v>1963</v>
      </c>
      <c r="D669" t="s">
        <v>15</v>
      </c>
      <c r="E669" t="s">
        <v>16</v>
      </c>
      <c r="F669" t="s">
        <v>29</v>
      </c>
      <c r="G669" t="s">
        <v>30</v>
      </c>
      <c r="H669" t="s">
        <v>31</v>
      </c>
      <c r="I669">
        <v>4</v>
      </c>
      <c r="J669">
        <v>8</v>
      </c>
      <c r="K669">
        <v>6.87</v>
      </c>
      <c r="L669">
        <v>1</v>
      </c>
    </row>
    <row r="670" spans="1:12">
      <c r="A670" t="s">
        <v>1964</v>
      </c>
      <c r="B670" t="s">
        <v>1965</v>
      </c>
      <c r="C670" t="s">
        <v>1966</v>
      </c>
      <c r="D670" t="s">
        <v>15</v>
      </c>
      <c r="E670" t="s">
        <v>28</v>
      </c>
      <c r="F670" t="s">
        <v>41</v>
      </c>
      <c r="G670" t="s">
        <v>151</v>
      </c>
      <c r="H670" t="s">
        <v>19</v>
      </c>
      <c r="I670">
        <v>3</v>
      </c>
      <c r="J670">
        <v>8</v>
      </c>
      <c r="K670">
        <v>2.66</v>
      </c>
      <c r="L670">
        <v>1</v>
      </c>
    </row>
    <row r="671" spans="1:12">
      <c r="A671" t="s">
        <v>1967</v>
      </c>
      <c r="B671" t="s">
        <v>1968</v>
      </c>
      <c r="C671" t="s">
        <v>1969</v>
      </c>
      <c r="D671" t="s">
        <v>23</v>
      </c>
      <c r="E671" t="s">
        <v>24</v>
      </c>
      <c r="F671" t="s">
        <v>60</v>
      </c>
      <c r="G671" t="s">
        <v>172</v>
      </c>
      <c r="H671" t="s">
        <v>19</v>
      </c>
      <c r="I671">
        <v>5</v>
      </c>
      <c r="J671">
        <v>24</v>
      </c>
      <c r="K671">
        <v>21.64</v>
      </c>
      <c r="L671">
        <v>1</v>
      </c>
    </row>
    <row r="672" spans="1:12">
      <c r="A672" t="s">
        <v>1970</v>
      </c>
      <c r="B672" t="s">
        <v>1971</v>
      </c>
      <c r="C672" t="s">
        <v>1972</v>
      </c>
      <c r="D672" t="s">
        <v>15</v>
      </c>
      <c r="E672" t="s">
        <v>59</v>
      </c>
      <c r="F672" t="s">
        <v>60</v>
      </c>
      <c r="G672" t="s">
        <v>172</v>
      </c>
      <c r="H672" t="s">
        <v>19</v>
      </c>
      <c r="I672">
        <v>5</v>
      </c>
      <c r="J672">
        <v>8</v>
      </c>
      <c r="K672">
        <v>1</v>
      </c>
      <c r="L672">
        <v>1</v>
      </c>
    </row>
    <row r="673" spans="1:12">
      <c r="A673" t="s">
        <v>1973</v>
      </c>
      <c r="B673" t="s">
        <v>1974</v>
      </c>
      <c r="C673" t="s">
        <v>1975</v>
      </c>
      <c r="D673" t="s">
        <v>15</v>
      </c>
      <c r="E673" t="s">
        <v>24</v>
      </c>
      <c r="F673" t="s">
        <v>41</v>
      </c>
      <c r="G673" t="s">
        <v>37</v>
      </c>
      <c r="H673" t="s">
        <v>19</v>
      </c>
      <c r="I673">
        <v>5</v>
      </c>
      <c r="J673">
        <v>8</v>
      </c>
      <c r="K673">
        <v>4.83</v>
      </c>
      <c r="L673">
        <v>1</v>
      </c>
    </row>
    <row r="674" spans="1:12">
      <c r="A674" t="s">
        <v>1976</v>
      </c>
      <c r="B674" t="s">
        <v>1977</v>
      </c>
      <c r="C674" t="s">
        <v>1978</v>
      </c>
      <c r="D674" t="s">
        <v>23</v>
      </c>
      <c r="E674" t="s">
        <v>28</v>
      </c>
      <c r="F674" t="s">
        <v>29</v>
      </c>
      <c r="G674" t="s">
        <v>18</v>
      </c>
      <c r="H674" t="s">
        <v>31</v>
      </c>
      <c r="I674">
        <v>5</v>
      </c>
      <c r="J674">
        <v>24</v>
      </c>
      <c r="K674">
        <v>13.28</v>
      </c>
      <c r="L674">
        <v>1</v>
      </c>
    </row>
    <row r="675" spans="1:12">
      <c r="A675" t="s">
        <v>1979</v>
      </c>
      <c r="B675" t="s">
        <v>1980</v>
      </c>
      <c r="C675" t="s">
        <v>1981</v>
      </c>
      <c r="D675" t="s">
        <v>23</v>
      </c>
      <c r="E675" t="s">
        <v>54</v>
      </c>
      <c r="F675" t="s">
        <v>36</v>
      </c>
      <c r="G675" t="s">
        <v>105</v>
      </c>
      <c r="H675" t="s">
        <v>19</v>
      </c>
      <c r="I675">
        <v>5</v>
      </c>
      <c r="J675">
        <v>24</v>
      </c>
      <c r="K675">
        <v>16.36</v>
      </c>
      <c r="L675">
        <v>1</v>
      </c>
    </row>
    <row r="676" spans="1:12">
      <c r="A676" t="s">
        <v>1982</v>
      </c>
      <c r="B676" t="s">
        <v>1983</v>
      </c>
      <c r="C676" t="s">
        <v>1984</v>
      </c>
      <c r="D676" t="s">
        <v>23</v>
      </c>
      <c r="E676" t="s">
        <v>59</v>
      </c>
      <c r="F676" t="s">
        <v>17</v>
      </c>
      <c r="G676" t="s">
        <v>55</v>
      </c>
      <c r="H676" t="s">
        <v>19</v>
      </c>
      <c r="I676">
        <v>5</v>
      </c>
      <c r="J676">
        <v>24</v>
      </c>
      <c r="K676">
        <v>6.14</v>
      </c>
      <c r="L676">
        <v>1</v>
      </c>
    </row>
    <row r="677" spans="1:12">
      <c r="A677" t="s">
        <v>1985</v>
      </c>
      <c r="B677" t="s">
        <v>1986</v>
      </c>
      <c r="C677" t="s">
        <v>1987</v>
      </c>
      <c r="D677" t="s">
        <v>23</v>
      </c>
      <c r="E677" t="s">
        <v>16</v>
      </c>
      <c r="F677" t="s">
        <v>41</v>
      </c>
      <c r="G677" t="s">
        <v>50</v>
      </c>
      <c r="H677" t="s">
        <v>19</v>
      </c>
      <c r="I677">
        <v>4</v>
      </c>
      <c r="J677">
        <v>24</v>
      </c>
      <c r="K677">
        <v>9.57</v>
      </c>
      <c r="L677">
        <v>1</v>
      </c>
    </row>
    <row r="678" spans="1:12">
      <c r="A678" t="s">
        <v>1988</v>
      </c>
      <c r="B678" t="s">
        <v>1989</v>
      </c>
      <c r="C678" t="s">
        <v>1990</v>
      </c>
      <c r="D678" t="s">
        <v>15</v>
      </c>
      <c r="E678" t="s">
        <v>24</v>
      </c>
      <c r="F678" t="s">
        <v>60</v>
      </c>
      <c r="G678" t="s">
        <v>73</v>
      </c>
      <c r="H678" t="s">
        <v>19</v>
      </c>
      <c r="I678">
        <v>4</v>
      </c>
      <c r="J678">
        <v>8</v>
      </c>
      <c r="K678">
        <v>5.66</v>
      </c>
      <c r="L678">
        <v>1</v>
      </c>
    </row>
    <row r="679" spans="1:12">
      <c r="A679" t="s">
        <v>1991</v>
      </c>
      <c r="B679" t="s">
        <v>1992</v>
      </c>
      <c r="D679" t="s">
        <v>23</v>
      </c>
      <c r="E679" t="s">
        <v>16</v>
      </c>
      <c r="F679" t="s">
        <v>60</v>
      </c>
      <c r="G679" t="s">
        <v>50</v>
      </c>
      <c r="H679" t="s">
        <v>63</v>
      </c>
      <c r="J679">
        <v>24</v>
      </c>
    </row>
    <row r="680" spans="1:12">
      <c r="A680" t="s">
        <v>1993</v>
      </c>
      <c r="B680" t="s">
        <v>1994</v>
      </c>
      <c r="C680" t="s">
        <v>1995</v>
      </c>
      <c r="D680" t="s">
        <v>23</v>
      </c>
      <c r="E680" t="s">
        <v>28</v>
      </c>
      <c r="F680" t="s">
        <v>60</v>
      </c>
      <c r="G680" t="s">
        <v>37</v>
      </c>
      <c r="H680" t="s">
        <v>31</v>
      </c>
      <c r="I680">
        <v>5</v>
      </c>
      <c r="J680">
        <v>24</v>
      </c>
      <c r="K680">
        <v>18.46</v>
      </c>
      <c r="L680">
        <v>1</v>
      </c>
    </row>
    <row r="681" spans="1:12">
      <c r="A681" t="s">
        <v>1996</v>
      </c>
      <c r="B681" t="s">
        <v>1997</v>
      </c>
      <c r="C681" t="s">
        <v>1998</v>
      </c>
      <c r="D681" t="s">
        <v>15</v>
      </c>
      <c r="E681" t="s">
        <v>54</v>
      </c>
      <c r="F681" t="s">
        <v>60</v>
      </c>
      <c r="G681" t="s">
        <v>50</v>
      </c>
      <c r="H681" t="s">
        <v>19</v>
      </c>
      <c r="I681">
        <v>3</v>
      </c>
      <c r="J681">
        <v>8</v>
      </c>
      <c r="K681">
        <v>3.01</v>
      </c>
      <c r="L681">
        <v>1</v>
      </c>
    </row>
    <row r="682" spans="1:12">
      <c r="A682" t="s">
        <v>1999</v>
      </c>
      <c r="B682" t="s">
        <v>2000</v>
      </c>
      <c r="C682" t="s">
        <v>2001</v>
      </c>
      <c r="D682" t="s">
        <v>15</v>
      </c>
      <c r="E682" t="s">
        <v>59</v>
      </c>
      <c r="F682" t="s">
        <v>36</v>
      </c>
      <c r="G682" t="s">
        <v>55</v>
      </c>
      <c r="H682" t="s">
        <v>19</v>
      </c>
      <c r="I682">
        <v>4</v>
      </c>
      <c r="J682">
        <v>8</v>
      </c>
      <c r="K682">
        <v>6.04</v>
      </c>
      <c r="L682">
        <v>1</v>
      </c>
    </row>
    <row r="683" spans="1:12">
      <c r="A683" t="s">
        <v>2002</v>
      </c>
      <c r="B683" t="s">
        <v>2003</v>
      </c>
      <c r="C683" t="s">
        <v>2004</v>
      </c>
      <c r="D683" t="s">
        <v>23</v>
      </c>
      <c r="E683" t="s">
        <v>28</v>
      </c>
      <c r="F683" t="s">
        <v>17</v>
      </c>
      <c r="G683" t="s">
        <v>73</v>
      </c>
      <c r="H683" t="s">
        <v>31</v>
      </c>
      <c r="I683">
        <v>1</v>
      </c>
      <c r="J683">
        <v>24</v>
      </c>
      <c r="K683">
        <v>54.97</v>
      </c>
      <c r="L683">
        <v>0</v>
      </c>
    </row>
    <row r="684" spans="1:12">
      <c r="A684" t="s">
        <v>2005</v>
      </c>
      <c r="B684" t="s">
        <v>2006</v>
      </c>
      <c r="C684" t="s">
        <v>2007</v>
      </c>
      <c r="D684" t="s">
        <v>23</v>
      </c>
      <c r="E684" t="s">
        <v>28</v>
      </c>
      <c r="F684" t="s">
        <v>29</v>
      </c>
      <c r="G684" t="s">
        <v>37</v>
      </c>
      <c r="H684" t="s">
        <v>31</v>
      </c>
      <c r="I684">
        <v>5</v>
      </c>
      <c r="J684">
        <v>24</v>
      </c>
      <c r="K684">
        <v>6.6</v>
      </c>
      <c r="L684">
        <v>1</v>
      </c>
    </row>
    <row r="685" spans="1:12">
      <c r="A685" t="s">
        <v>2008</v>
      </c>
      <c r="B685" t="s">
        <v>2009</v>
      </c>
      <c r="C685" t="s">
        <v>2010</v>
      </c>
      <c r="D685" t="s">
        <v>23</v>
      </c>
      <c r="E685" t="s">
        <v>16</v>
      </c>
      <c r="F685" t="s">
        <v>29</v>
      </c>
      <c r="G685" t="s">
        <v>37</v>
      </c>
      <c r="H685" t="s">
        <v>31</v>
      </c>
      <c r="I685">
        <v>2</v>
      </c>
      <c r="J685">
        <v>24</v>
      </c>
      <c r="K685">
        <v>71.55</v>
      </c>
      <c r="L685">
        <v>0</v>
      </c>
    </row>
    <row r="686" spans="1:12">
      <c r="A686" t="s">
        <v>2011</v>
      </c>
      <c r="B686" t="s">
        <v>2012</v>
      </c>
      <c r="C686" t="s">
        <v>2013</v>
      </c>
      <c r="D686" t="s">
        <v>35</v>
      </c>
      <c r="E686" t="s">
        <v>28</v>
      </c>
      <c r="F686" t="s">
        <v>17</v>
      </c>
      <c r="G686" t="s">
        <v>45</v>
      </c>
      <c r="H686" t="s">
        <v>19</v>
      </c>
      <c r="I686">
        <v>1</v>
      </c>
      <c r="J686">
        <v>48</v>
      </c>
      <c r="K686">
        <v>141</v>
      </c>
      <c r="L686">
        <v>0</v>
      </c>
    </row>
    <row r="687" spans="1:12">
      <c r="A687" t="s">
        <v>2014</v>
      </c>
      <c r="B687" t="s">
        <v>2015</v>
      </c>
      <c r="C687" t="s">
        <v>2016</v>
      </c>
      <c r="D687" t="s">
        <v>35</v>
      </c>
      <c r="E687" t="s">
        <v>28</v>
      </c>
      <c r="F687" t="s">
        <v>29</v>
      </c>
      <c r="G687" t="s">
        <v>30</v>
      </c>
      <c r="H687" t="s">
        <v>19</v>
      </c>
      <c r="I687">
        <v>4</v>
      </c>
      <c r="J687">
        <v>48</v>
      </c>
      <c r="K687">
        <v>20.89</v>
      </c>
      <c r="L687">
        <v>1</v>
      </c>
    </row>
    <row r="688" spans="1:12">
      <c r="A688" t="s">
        <v>2017</v>
      </c>
      <c r="B688" t="s">
        <v>2018</v>
      </c>
      <c r="C688" t="s">
        <v>2019</v>
      </c>
      <c r="D688" t="s">
        <v>23</v>
      </c>
      <c r="E688" t="s">
        <v>28</v>
      </c>
      <c r="F688" t="s">
        <v>17</v>
      </c>
      <c r="G688" t="s">
        <v>151</v>
      </c>
      <c r="H688" t="s">
        <v>19</v>
      </c>
      <c r="I688">
        <v>5</v>
      </c>
      <c r="J688">
        <v>24</v>
      </c>
      <c r="K688">
        <v>13.73</v>
      </c>
      <c r="L688">
        <v>1</v>
      </c>
    </row>
    <row r="689" spans="1:12">
      <c r="A689" t="s">
        <v>2020</v>
      </c>
      <c r="B689" t="s">
        <v>2021</v>
      </c>
      <c r="C689" t="s">
        <v>2022</v>
      </c>
      <c r="D689" t="s">
        <v>35</v>
      </c>
      <c r="E689" t="s">
        <v>24</v>
      </c>
      <c r="F689" t="s">
        <v>17</v>
      </c>
      <c r="G689" t="s">
        <v>73</v>
      </c>
      <c r="H689" t="s">
        <v>19</v>
      </c>
      <c r="I689">
        <v>5</v>
      </c>
      <c r="J689">
        <v>48</v>
      </c>
      <c r="K689">
        <v>10.68</v>
      </c>
      <c r="L689">
        <v>1</v>
      </c>
    </row>
    <row r="690" spans="1:12">
      <c r="A690" t="s">
        <v>2023</v>
      </c>
      <c r="B690" t="s">
        <v>2024</v>
      </c>
      <c r="C690" t="s">
        <v>2025</v>
      </c>
      <c r="D690" t="s">
        <v>23</v>
      </c>
      <c r="E690" t="s">
        <v>59</v>
      </c>
      <c r="F690" t="s">
        <v>36</v>
      </c>
      <c r="G690" t="s">
        <v>73</v>
      </c>
      <c r="H690" t="s">
        <v>31</v>
      </c>
      <c r="I690">
        <v>5</v>
      </c>
      <c r="J690">
        <v>24</v>
      </c>
      <c r="K690">
        <v>11.7</v>
      </c>
      <c r="L690">
        <v>1</v>
      </c>
    </row>
    <row r="691" spans="1:12">
      <c r="A691" t="s">
        <v>2026</v>
      </c>
      <c r="B691" t="s">
        <v>2027</v>
      </c>
      <c r="C691" t="s">
        <v>2028</v>
      </c>
      <c r="D691" t="s">
        <v>35</v>
      </c>
      <c r="E691" t="s">
        <v>54</v>
      </c>
      <c r="F691" t="s">
        <v>41</v>
      </c>
      <c r="G691" t="s">
        <v>77</v>
      </c>
      <c r="H691" t="s">
        <v>19</v>
      </c>
      <c r="I691">
        <v>1</v>
      </c>
      <c r="J691">
        <v>48</v>
      </c>
      <c r="K691">
        <v>86.41</v>
      </c>
      <c r="L691">
        <v>0</v>
      </c>
    </row>
    <row r="692" spans="1:12">
      <c r="A692" t="s">
        <v>2029</v>
      </c>
      <c r="B692" t="s">
        <v>2030</v>
      </c>
      <c r="C692" t="s">
        <v>2031</v>
      </c>
      <c r="D692" t="s">
        <v>23</v>
      </c>
      <c r="E692" t="s">
        <v>54</v>
      </c>
      <c r="F692" t="s">
        <v>17</v>
      </c>
      <c r="G692" t="s">
        <v>105</v>
      </c>
      <c r="H692" t="s">
        <v>19</v>
      </c>
      <c r="I692">
        <v>4</v>
      </c>
      <c r="J692">
        <v>24</v>
      </c>
      <c r="K692">
        <v>13.54</v>
      </c>
      <c r="L692">
        <v>1</v>
      </c>
    </row>
    <row r="693" spans="1:12">
      <c r="A693" t="s">
        <v>2032</v>
      </c>
      <c r="B693" t="s">
        <v>2033</v>
      </c>
      <c r="C693" t="s">
        <v>2034</v>
      </c>
      <c r="D693" t="s">
        <v>23</v>
      </c>
      <c r="E693" t="s">
        <v>28</v>
      </c>
      <c r="F693" t="s">
        <v>36</v>
      </c>
      <c r="G693" t="s">
        <v>55</v>
      </c>
      <c r="H693" t="s">
        <v>19</v>
      </c>
      <c r="I693">
        <v>5</v>
      </c>
      <c r="J693">
        <v>24</v>
      </c>
      <c r="K693">
        <v>5.3</v>
      </c>
      <c r="L693">
        <v>1</v>
      </c>
    </row>
    <row r="694" spans="1:12">
      <c r="A694" t="s">
        <v>2035</v>
      </c>
      <c r="B694" t="s">
        <v>2036</v>
      </c>
      <c r="C694" t="s">
        <v>2037</v>
      </c>
      <c r="D694" t="s">
        <v>35</v>
      </c>
      <c r="E694" t="s">
        <v>16</v>
      </c>
      <c r="F694" t="s">
        <v>41</v>
      </c>
      <c r="G694" t="s">
        <v>77</v>
      </c>
      <c r="H694" t="s">
        <v>19</v>
      </c>
      <c r="I694">
        <v>2</v>
      </c>
      <c r="J694">
        <v>48</v>
      </c>
      <c r="K694">
        <v>58.68</v>
      </c>
      <c r="L694">
        <v>0</v>
      </c>
    </row>
    <row r="695" spans="1:12">
      <c r="A695" t="s">
        <v>2038</v>
      </c>
      <c r="B695" t="s">
        <v>2039</v>
      </c>
      <c r="C695" t="s">
        <v>2040</v>
      </c>
      <c r="D695" t="s">
        <v>23</v>
      </c>
      <c r="E695" t="s">
        <v>54</v>
      </c>
      <c r="F695" t="s">
        <v>60</v>
      </c>
      <c r="G695" t="s">
        <v>55</v>
      </c>
      <c r="H695" t="s">
        <v>19</v>
      </c>
      <c r="I695">
        <v>5</v>
      </c>
      <c r="J695">
        <v>24</v>
      </c>
      <c r="K695">
        <v>9.41</v>
      </c>
      <c r="L695">
        <v>1</v>
      </c>
    </row>
    <row r="696" spans="1:12">
      <c r="A696" t="s">
        <v>2041</v>
      </c>
      <c r="B696" t="s">
        <v>2042</v>
      </c>
      <c r="C696" t="s">
        <v>2043</v>
      </c>
      <c r="D696" t="s">
        <v>23</v>
      </c>
      <c r="E696" t="s">
        <v>59</v>
      </c>
      <c r="F696" t="s">
        <v>60</v>
      </c>
      <c r="G696" t="s">
        <v>105</v>
      </c>
      <c r="H696" t="s">
        <v>19</v>
      </c>
      <c r="I696">
        <v>4</v>
      </c>
      <c r="J696">
        <v>24</v>
      </c>
      <c r="K696">
        <v>22.35</v>
      </c>
      <c r="L696">
        <v>1</v>
      </c>
    </row>
    <row r="697" spans="1:12">
      <c r="A697" t="s">
        <v>2044</v>
      </c>
      <c r="B697" t="s">
        <v>2045</v>
      </c>
      <c r="C697" t="s">
        <v>2046</v>
      </c>
      <c r="D697" t="s">
        <v>158</v>
      </c>
      <c r="E697" t="s">
        <v>59</v>
      </c>
      <c r="F697" t="s">
        <v>29</v>
      </c>
      <c r="G697" t="s">
        <v>105</v>
      </c>
      <c r="H697" t="s">
        <v>31</v>
      </c>
      <c r="I697">
        <v>5</v>
      </c>
      <c r="J697">
        <v>4</v>
      </c>
      <c r="K697">
        <v>2.54</v>
      </c>
      <c r="L697">
        <v>1</v>
      </c>
    </row>
    <row r="698" spans="1:12">
      <c r="A698" t="s">
        <v>2047</v>
      </c>
      <c r="B698" t="s">
        <v>2048</v>
      </c>
      <c r="C698" t="s">
        <v>2049</v>
      </c>
      <c r="D698" t="s">
        <v>158</v>
      </c>
      <c r="E698" t="s">
        <v>59</v>
      </c>
      <c r="F698" t="s">
        <v>60</v>
      </c>
      <c r="G698" t="s">
        <v>30</v>
      </c>
      <c r="H698" t="s">
        <v>19</v>
      </c>
      <c r="I698">
        <v>5</v>
      </c>
      <c r="J698">
        <v>4</v>
      </c>
      <c r="K698">
        <v>2.12</v>
      </c>
      <c r="L698">
        <v>1</v>
      </c>
    </row>
    <row r="699" spans="1:12">
      <c r="A699" t="s">
        <v>2050</v>
      </c>
      <c r="B699" t="s">
        <v>2051</v>
      </c>
      <c r="C699" t="s">
        <v>2052</v>
      </c>
      <c r="D699" t="s">
        <v>15</v>
      </c>
      <c r="E699" t="s">
        <v>54</v>
      </c>
      <c r="F699" t="s">
        <v>29</v>
      </c>
      <c r="G699" t="s">
        <v>45</v>
      </c>
      <c r="H699" t="s">
        <v>19</v>
      </c>
      <c r="I699">
        <v>5</v>
      </c>
      <c r="J699">
        <v>8</v>
      </c>
      <c r="K699">
        <v>1.99</v>
      </c>
      <c r="L699">
        <v>1</v>
      </c>
    </row>
    <row r="700" spans="1:12">
      <c r="A700" t="s">
        <v>2053</v>
      </c>
      <c r="B700" t="s">
        <v>2054</v>
      </c>
      <c r="C700" t="s">
        <v>2055</v>
      </c>
      <c r="D700" t="s">
        <v>23</v>
      </c>
      <c r="E700" t="s">
        <v>28</v>
      </c>
      <c r="F700" t="s">
        <v>17</v>
      </c>
      <c r="G700" t="s">
        <v>45</v>
      </c>
      <c r="H700" t="s">
        <v>31</v>
      </c>
      <c r="I700">
        <v>5</v>
      </c>
      <c r="J700">
        <v>24</v>
      </c>
      <c r="K700">
        <v>6.09</v>
      </c>
      <c r="L700">
        <v>1</v>
      </c>
    </row>
    <row r="701" spans="1:12">
      <c r="A701" t="s">
        <v>2056</v>
      </c>
      <c r="B701" t="s">
        <v>2057</v>
      </c>
      <c r="D701" t="s">
        <v>15</v>
      </c>
      <c r="E701" t="s">
        <v>24</v>
      </c>
      <c r="F701" t="s">
        <v>17</v>
      </c>
      <c r="G701" t="s">
        <v>55</v>
      </c>
      <c r="H701" t="s">
        <v>63</v>
      </c>
      <c r="J701">
        <v>8</v>
      </c>
    </row>
    <row r="702" spans="1:12">
      <c r="A702" t="s">
        <v>2058</v>
      </c>
      <c r="B702" t="s">
        <v>2059</v>
      </c>
      <c r="C702" t="s">
        <v>2060</v>
      </c>
      <c r="D702" t="s">
        <v>35</v>
      </c>
      <c r="E702" t="s">
        <v>16</v>
      </c>
      <c r="F702" t="s">
        <v>41</v>
      </c>
      <c r="G702" t="s">
        <v>37</v>
      </c>
      <c r="H702" t="s">
        <v>19</v>
      </c>
      <c r="I702">
        <v>4</v>
      </c>
      <c r="J702">
        <v>48</v>
      </c>
      <c r="K702">
        <v>30.81</v>
      </c>
      <c r="L702">
        <v>1</v>
      </c>
    </row>
    <row r="703" spans="1:12">
      <c r="A703" t="s">
        <v>2061</v>
      </c>
      <c r="B703" t="s">
        <v>2062</v>
      </c>
      <c r="C703" t="s">
        <v>2063</v>
      </c>
      <c r="D703" t="s">
        <v>35</v>
      </c>
      <c r="E703" t="s">
        <v>24</v>
      </c>
      <c r="F703" t="s">
        <v>29</v>
      </c>
      <c r="G703" t="s">
        <v>42</v>
      </c>
      <c r="H703" t="s">
        <v>19</v>
      </c>
      <c r="I703">
        <v>4</v>
      </c>
      <c r="J703">
        <v>48</v>
      </c>
      <c r="K703">
        <v>24.23</v>
      </c>
      <c r="L703">
        <v>1</v>
      </c>
    </row>
    <row r="704" spans="1:12">
      <c r="A704" t="s">
        <v>2064</v>
      </c>
      <c r="B704" t="s">
        <v>2065</v>
      </c>
      <c r="C704" t="s">
        <v>2066</v>
      </c>
      <c r="D704" t="s">
        <v>35</v>
      </c>
      <c r="E704" t="s">
        <v>28</v>
      </c>
      <c r="F704" t="s">
        <v>41</v>
      </c>
      <c r="G704" t="s">
        <v>50</v>
      </c>
      <c r="H704" t="s">
        <v>19</v>
      </c>
      <c r="I704">
        <v>4</v>
      </c>
      <c r="J704">
        <v>48</v>
      </c>
      <c r="K704">
        <v>22.54</v>
      </c>
      <c r="L704">
        <v>1</v>
      </c>
    </row>
    <row r="705" spans="1:12">
      <c r="A705" t="s">
        <v>2067</v>
      </c>
      <c r="B705" t="s">
        <v>2068</v>
      </c>
      <c r="D705" t="s">
        <v>23</v>
      </c>
      <c r="E705" t="s">
        <v>54</v>
      </c>
      <c r="F705" t="s">
        <v>60</v>
      </c>
      <c r="G705" t="s">
        <v>151</v>
      </c>
      <c r="H705" t="s">
        <v>63</v>
      </c>
      <c r="J705">
        <v>24</v>
      </c>
    </row>
    <row r="706" spans="1:12">
      <c r="A706" t="s">
        <v>2069</v>
      </c>
      <c r="B706" t="s">
        <v>2070</v>
      </c>
      <c r="D706" t="s">
        <v>35</v>
      </c>
      <c r="E706" t="s">
        <v>54</v>
      </c>
      <c r="F706" t="s">
        <v>41</v>
      </c>
      <c r="G706" t="s">
        <v>55</v>
      </c>
      <c r="H706" t="s">
        <v>63</v>
      </c>
      <c r="J706">
        <v>48</v>
      </c>
    </row>
    <row r="707" spans="1:12">
      <c r="A707" t="s">
        <v>2071</v>
      </c>
      <c r="B707" t="s">
        <v>2072</v>
      </c>
      <c r="C707" t="s">
        <v>2073</v>
      </c>
      <c r="D707" t="s">
        <v>15</v>
      </c>
      <c r="E707" t="s">
        <v>28</v>
      </c>
      <c r="F707" t="s">
        <v>36</v>
      </c>
      <c r="G707" t="s">
        <v>45</v>
      </c>
      <c r="H707" t="s">
        <v>31</v>
      </c>
      <c r="I707">
        <v>5</v>
      </c>
      <c r="J707">
        <v>8</v>
      </c>
      <c r="K707">
        <v>6</v>
      </c>
      <c r="L707">
        <v>1</v>
      </c>
    </row>
    <row r="708" spans="1:12">
      <c r="A708" t="s">
        <v>2074</v>
      </c>
      <c r="B708" t="s">
        <v>2075</v>
      </c>
      <c r="C708" t="s">
        <v>2076</v>
      </c>
      <c r="D708" t="s">
        <v>23</v>
      </c>
      <c r="E708" t="s">
        <v>16</v>
      </c>
      <c r="F708" t="s">
        <v>60</v>
      </c>
      <c r="G708" t="s">
        <v>172</v>
      </c>
      <c r="H708" t="s">
        <v>31</v>
      </c>
      <c r="I708">
        <v>1</v>
      </c>
      <c r="J708">
        <v>24</v>
      </c>
      <c r="K708">
        <v>39.86</v>
      </c>
      <c r="L708">
        <v>0</v>
      </c>
    </row>
    <row r="709" spans="1:12">
      <c r="A709" t="s">
        <v>2077</v>
      </c>
      <c r="B709" t="s">
        <v>2078</v>
      </c>
      <c r="C709" t="s">
        <v>2079</v>
      </c>
      <c r="D709" t="s">
        <v>35</v>
      </c>
      <c r="E709" t="s">
        <v>24</v>
      </c>
      <c r="F709" t="s">
        <v>36</v>
      </c>
      <c r="G709" t="s">
        <v>77</v>
      </c>
      <c r="H709" t="s">
        <v>19</v>
      </c>
      <c r="I709">
        <v>4</v>
      </c>
      <c r="J709">
        <v>48</v>
      </c>
      <c r="K709">
        <v>13.75</v>
      </c>
      <c r="L709">
        <v>1</v>
      </c>
    </row>
    <row r="710" spans="1:12">
      <c r="A710" t="s">
        <v>2080</v>
      </c>
      <c r="B710" t="s">
        <v>2081</v>
      </c>
      <c r="C710" t="s">
        <v>2082</v>
      </c>
      <c r="D710" t="s">
        <v>158</v>
      </c>
      <c r="E710" t="s">
        <v>54</v>
      </c>
      <c r="F710" t="s">
        <v>36</v>
      </c>
      <c r="G710" t="s">
        <v>55</v>
      </c>
      <c r="H710" t="s">
        <v>31</v>
      </c>
      <c r="I710">
        <v>2</v>
      </c>
      <c r="J710">
        <v>4</v>
      </c>
      <c r="K710">
        <v>11.61</v>
      </c>
      <c r="L710">
        <v>0</v>
      </c>
    </row>
    <row r="711" spans="1:12">
      <c r="A711" t="s">
        <v>2083</v>
      </c>
      <c r="B711" t="s">
        <v>2084</v>
      </c>
      <c r="C711" t="s">
        <v>2085</v>
      </c>
      <c r="D711" t="s">
        <v>35</v>
      </c>
      <c r="E711" t="s">
        <v>24</v>
      </c>
      <c r="F711" t="s">
        <v>60</v>
      </c>
      <c r="G711" t="s">
        <v>73</v>
      </c>
      <c r="H711" t="s">
        <v>19</v>
      </c>
      <c r="I711">
        <v>5</v>
      </c>
      <c r="J711">
        <v>48</v>
      </c>
      <c r="K711">
        <v>31.23</v>
      </c>
      <c r="L711">
        <v>1</v>
      </c>
    </row>
    <row r="712" spans="1:12">
      <c r="A712" t="s">
        <v>2086</v>
      </c>
      <c r="B712" t="s">
        <v>2087</v>
      </c>
      <c r="C712" t="s">
        <v>2088</v>
      </c>
      <c r="D712" t="s">
        <v>35</v>
      </c>
      <c r="E712" t="s">
        <v>54</v>
      </c>
      <c r="F712" t="s">
        <v>29</v>
      </c>
      <c r="G712" t="s">
        <v>45</v>
      </c>
      <c r="H712" t="s">
        <v>19</v>
      </c>
      <c r="I712">
        <v>4</v>
      </c>
      <c r="J712">
        <v>48</v>
      </c>
      <c r="K712">
        <v>110.19</v>
      </c>
      <c r="L712">
        <v>0</v>
      </c>
    </row>
    <row r="713" spans="1:12">
      <c r="A713" t="s">
        <v>2089</v>
      </c>
      <c r="B713" t="s">
        <v>2090</v>
      </c>
      <c r="C713" t="s">
        <v>2091</v>
      </c>
      <c r="D713" t="s">
        <v>23</v>
      </c>
      <c r="E713" t="s">
        <v>28</v>
      </c>
      <c r="F713" t="s">
        <v>29</v>
      </c>
      <c r="G713" t="s">
        <v>45</v>
      </c>
      <c r="H713" t="s">
        <v>19</v>
      </c>
      <c r="I713">
        <v>4</v>
      </c>
      <c r="J713">
        <v>24</v>
      </c>
      <c r="K713">
        <v>18.25</v>
      </c>
      <c r="L713">
        <v>1</v>
      </c>
    </row>
    <row r="714" spans="1:12">
      <c r="A714" t="s">
        <v>2092</v>
      </c>
      <c r="B714" t="s">
        <v>2093</v>
      </c>
      <c r="C714" t="s">
        <v>2094</v>
      </c>
      <c r="D714" t="s">
        <v>35</v>
      </c>
      <c r="E714" t="s">
        <v>28</v>
      </c>
      <c r="F714" t="s">
        <v>29</v>
      </c>
      <c r="G714" t="s">
        <v>73</v>
      </c>
      <c r="H714" t="s">
        <v>19</v>
      </c>
      <c r="I714">
        <v>5</v>
      </c>
      <c r="J714">
        <v>48</v>
      </c>
      <c r="K714">
        <v>42.69</v>
      </c>
      <c r="L714">
        <v>1</v>
      </c>
    </row>
    <row r="715" spans="1:12">
      <c r="A715" t="s">
        <v>2095</v>
      </c>
      <c r="B715" t="s">
        <v>2096</v>
      </c>
      <c r="C715" t="s">
        <v>2097</v>
      </c>
      <c r="D715" t="s">
        <v>23</v>
      </c>
      <c r="E715" t="s">
        <v>24</v>
      </c>
      <c r="F715" t="s">
        <v>60</v>
      </c>
      <c r="G715" t="s">
        <v>37</v>
      </c>
      <c r="H715" t="s">
        <v>19</v>
      </c>
      <c r="I715">
        <v>5</v>
      </c>
      <c r="J715">
        <v>24</v>
      </c>
      <c r="K715">
        <v>21.02</v>
      </c>
      <c r="L715">
        <v>1</v>
      </c>
    </row>
    <row r="716" spans="1:12">
      <c r="A716" t="s">
        <v>2098</v>
      </c>
      <c r="B716" t="s">
        <v>2099</v>
      </c>
      <c r="C716" t="s">
        <v>2100</v>
      </c>
      <c r="D716" t="s">
        <v>158</v>
      </c>
      <c r="E716" t="s">
        <v>24</v>
      </c>
      <c r="F716" t="s">
        <v>29</v>
      </c>
      <c r="G716" t="s">
        <v>50</v>
      </c>
      <c r="H716" t="s">
        <v>19</v>
      </c>
      <c r="I716">
        <v>3</v>
      </c>
      <c r="J716">
        <v>4</v>
      </c>
      <c r="K716">
        <v>2.62</v>
      </c>
      <c r="L716">
        <v>1</v>
      </c>
    </row>
    <row r="717" spans="1:12">
      <c r="A717" t="s">
        <v>2101</v>
      </c>
      <c r="B717" t="s">
        <v>2102</v>
      </c>
      <c r="C717" t="s">
        <v>2103</v>
      </c>
      <c r="D717" t="s">
        <v>23</v>
      </c>
      <c r="E717" t="s">
        <v>28</v>
      </c>
      <c r="F717" t="s">
        <v>29</v>
      </c>
      <c r="G717" t="s">
        <v>37</v>
      </c>
      <c r="H717" t="s">
        <v>31</v>
      </c>
      <c r="I717">
        <v>4</v>
      </c>
      <c r="J717">
        <v>24</v>
      </c>
      <c r="K717">
        <v>21.57</v>
      </c>
      <c r="L717">
        <v>1</v>
      </c>
    </row>
    <row r="718" spans="1:12">
      <c r="A718" t="s">
        <v>2104</v>
      </c>
      <c r="B718" t="s">
        <v>2105</v>
      </c>
      <c r="C718" t="s">
        <v>2106</v>
      </c>
      <c r="D718" t="s">
        <v>23</v>
      </c>
      <c r="E718" t="s">
        <v>16</v>
      </c>
      <c r="F718" t="s">
        <v>36</v>
      </c>
      <c r="G718" t="s">
        <v>77</v>
      </c>
      <c r="H718" t="s">
        <v>19</v>
      </c>
      <c r="I718">
        <v>5</v>
      </c>
      <c r="J718">
        <v>24</v>
      </c>
      <c r="K718">
        <v>16.46</v>
      </c>
      <c r="L718">
        <v>1</v>
      </c>
    </row>
    <row r="719" spans="1:12">
      <c r="A719" t="s">
        <v>2107</v>
      </c>
      <c r="B719" t="s">
        <v>2108</v>
      </c>
      <c r="C719" t="s">
        <v>2109</v>
      </c>
      <c r="D719" t="s">
        <v>23</v>
      </c>
      <c r="E719" t="s">
        <v>59</v>
      </c>
      <c r="F719" t="s">
        <v>29</v>
      </c>
      <c r="G719" t="s">
        <v>172</v>
      </c>
      <c r="H719" t="s">
        <v>31</v>
      </c>
      <c r="I719">
        <v>5</v>
      </c>
      <c r="J719">
        <v>24</v>
      </c>
      <c r="K719">
        <v>15.3</v>
      </c>
      <c r="L719">
        <v>1</v>
      </c>
    </row>
    <row r="720" spans="1:12">
      <c r="A720" t="s">
        <v>2110</v>
      </c>
      <c r="B720" t="s">
        <v>2111</v>
      </c>
      <c r="C720" t="s">
        <v>2112</v>
      </c>
      <c r="D720" t="s">
        <v>23</v>
      </c>
      <c r="E720" t="s">
        <v>16</v>
      </c>
      <c r="F720" t="s">
        <v>29</v>
      </c>
      <c r="G720" t="s">
        <v>42</v>
      </c>
      <c r="H720" t="s">
        <v>31</v>
      </c>
      <c r="I720">
        <v>4</v>
      </c>
      <c r="J720">
        <v>24</v>
      </c>
      <c r="K720">
        <v>8.32</v>
      </c>
      <c r="L720">
        <v>1</v>
      </c>
    </row>
    <row r="721" spans="1:12">
      <c r="A721" t="s">
        <v>2113</v>
      </c>
      <c r="B721" t="s">
        <v>2114</v>
      </c>
      <c r="C721" t="s">
        <v>2115</v>
      </c>
      <c r="D721" t="s">
        <v>158</v>
      </c>
      <c r="E721" t="s">
        <v>28</v>
      </c>
      <c r="F721" t="s">
        <v>17</v>
      </c>
      <c r="G721" t="s">
        <v>45</v>
      </c>
      <c r="H721" t="s">
        <v>31</v>
      </c>
      <c r="I721">
        <v>2</v>
      </c>
      <c r="J721">
        <v>4</v>
      </c>
      <c r="K721">
        <v>9.1199999999999992</v>
      </c>
      <c r="L721">
        <v>0</v>
      </c>
    </row>
    <row r="722" spans="1:12">
      <c r="A722" t="s">
        <v>2116</v>
      </c>
      <c r="B722" t="s">
        <v>2117</v>
      </c>
      <c r="C722" t="s">
        <v>2118</v>
      </c>
      <c r="D722" t="s">
        <v>35</v>
      </c>
      <c r="E722" t="s">
        <v>28</v>
      </c>
      <c r="F722" t="s">
        <v>17</v>
      </c>
      <c r="G722" t="s">
        <v>73</v>
      </c>
      <c r="H722" t="s">
        <v>19</v>
      </c>
      <c r="I722">
        <v>4</v>
      </c>
      <c r="J722">
        <v>48</v>
      </c>
      <c r="K722">
        <v>45.45</v>
      </c>
      <c r="L722">
        <v>1</v>
      </c>
    </row>
    <row r="723" spans="1:12">
      <c r="A723" t="s">
        <v>2119</v>
      </c>
      <c r="B723" t="s">
        <v>2120</v>
      </c>
      <c r="C723" t="s">
        <v>2121</v>
      </c>
      <c r="D723" t="s">
        <v>158</v>
      </c>
      <c r="E723" t="s">
        <v>28</v>
      </c>
      <c r="F723" t="s">
        <v>29</v>
      </c>
      <c r="G723" t="s">
        <v>50</v>
      </c>
      <c r="H723" t="s">
        <v>19</v>
      </c>
      <c r="I723">
        <v>4</v>
      </c>
      <c r="J723">
        <v>4</v>
      </c>
      <c r="K723">
        <v>7.7</v>
      </c>
      <c r="L723">
        <v>0</v>
      </c>
    </row>
    <row r="724" spans="1:12">
      <c r="A724" t="s">
        <v>2122</v>
      </c>
      <c r="B724" t="s">
        <v>2123</v>
      </c>
      <c r="C724" t="s">
        <v>2124</v>
      </c>
      <c r="D724" t="s">
        <v>15</v>
      </c>
      <c r="E724" t="s">
        <v>28</v>
      </c>
      <c r="F724" t="s">
        <v>36</v>
      </c>
      <c r="G724" t="s">
        <v>37</v>
      </c>
      <c r="H724" t="s">
        <v>19</v>
      </c>
      <c r="I724">
        <v>4</v>
      </c>
      <c r="J724">
        <v>8</v>
      </c>
      <c r="K724">
        <v>5.34</v>
      </c>
      <c r="L724">
        <v>1</v>
      </c>
    </row>
    <row r="725" spans="1:12">
      <c r="A725" t="s">
        <v>2125</v>
      </c>
      <c r="B725" t="s">
        <v>2126</v>
      </c>
      <c r="D725" t="s">
        <v>35</v>
      </c>
      <c r="E725" t="s">
        <v>28</v>
      </c>
      <c r="F725" t="s">
        <v>60</v>
      </c>
      <c r="G725" t="s">
        <v>18</v>
      </c>
      <c r="H725" t="s">
        <v>63</v>
      </c>
      <c r="J725">
        <v>48</v>
      </c>
    </row>
    <row r="726" spans="1:12">
      <c r="A726" t="s">
        <v>2127</v>
      </c>
      <c r="B726" t="s">
        <v>2128</v>
      </c>
      <c r="D726" t="s">
        <v>23</v>
      </c>
      <c r="E726" t="s">
        <v>28</v>
      </c>
      <c r="F726" t="s">
        <v>36</v>
      </c>
      <c r="G726" t="s">
        <v>50</v>
      </c>
      <c r="H726" t="s">
        <v>63</v>
      </c>
      <c r="J726">
        <v>24</v>
      </c>
    </row>
    <row r="727" spans="1:12">
      <c r="A727" t="s">
        <v>2129</v>
      </c>
      <c r="B727" t="s">
        <v>2130</v>
      </c>
      <c r="C727" t="s">
        <v>2131</v>
      </c>
      <c r="D727" t="s">
        <v>158</v>
      </c>
      <c r="E727" t="s">
        <v>16</v>
      </c>
      <c r="F727" t="s">
        <v>17</v>
      </c>
      <c r="G727" t="s">
        <v>30</v>
      </c>
      <c r="H727" t="s">
        <v>19</v>
      </c>
      <c r="I727">
        <v>5</v>
      </c>
      <c r="J727">
        <v>4</v>
      </c>
      <c r="K727">
        <v>1.44</v>
      </c>
      <c r="L727">
        <v>1</v>
      </c>
    </row>
    <row r="728" spans="1:12">
      <c r="A728" t="s">
        <v>2132</v>
      </c>
      <c r="B728" t="s">
        <v>2133</v>
      </c>
      <c r="C728" t="s">
        <v>2134</v>
      </c>
      <c r="D728" t="s">
        <v>23</v>
      </c>
      <c r="E728" t="s">
        <v>16</v>
      </c>
      <c r="F728" t="s">
        <v>36</v>
      </c>
      <c r="G728" t="s">
        <v>42</v>
      </c>
      <c r="H728" t="s">
        <v>19</v>
      </c>
      <c r="I728">
        <v>3</v>
      </c>
      <c r="J728">
        <v>24</v>
      </c>
      <c r="K728">
        <v>14.96</v>
      </c>
      <c r="L728">
        <v>1</v>
      </c>
    </row>
    <row r="729" spans="1:12">
      <c r="A729" t="s">
        <v>2135</v>
      </c>
      <c r="B729" t="s">
        <v>2136</v>
      </c>
      <c r="C729" t="s">
        <v>2137</v>
      </c>
      <c r="D729" t="s">
        <v>23</v>
      </c>
      <c r="E729" t="s">
        <v>16</v>
      </c>
      <c r="F729" t="s">
        <v>41</v>
      </c>
      <c r="G729" t="s">
        <v>172</v>
      </c>
      <c r="H729" t="s">
        <v>19</v>
      </c>
      <c r="I729">
        <v>4</v>
      </c>
      <c r="J729">
        <v>24</v>
      </c>
      <c r="K729">
        <v>13.54</v>
      </c>
      <c r="L729">
        <v>1</v>
      </c>
    </row>
    <row r="730" spans="1:12">
      <c r="A730" t="s">
        <v>2138</v>
      </c>
      <c r="B730" t="s">
        <v>2139</v>
      </c>
      <c r="C730" t="s">
        <v>2140</v>
      </c>
      <c r="D730" t="s">
        <v>15</v>
      </c>
      <c r="E730" t="s">
        <v>24</v>
      </c>
      <c r="F730" t="s">
        <v>17</v>
      </c>
      <c r="G730" t="s">
        <v>172</v>
      </c>
      <c r="H730" t="s">
        <v>19</v>
      </c>
      <c r="I730">
        <v>4</v>
      </c>
      <c r="J730">
        <v>8</v>
      </c>
      <c r="K730">
        <v>5.95</v>
      </c>
      <c r="L730">
        <v>1</v>
      </c>
    </row>
    <row r="731" spans="1:12">
      <c r="A731" t="s">
        <v>2141</v>
      </c>
      <c r="B731" t="s">
        <v>2142</v>
      </c>
      <c r="C731" t="s">
        <v>2143</v>
      </c>
      <c r="D731" t="s">
        <v>23</v>
      </c>
      <c r="E731" t="s">
        <v>28</v>
      </c>
      <c r="F731" t="s">
        <v>60</v>
      </c>
      <c r="G731" t="s">
        <v>30</v>
      </c>
      <c r="H731" t="s">
        <v>19</v>
      </c>
      <c r="I731">
        <v>4</v>
      </c>
      <c r="J731">
        <v>24</v>
      </c>
      <c r="K731">
        <v>15.3</v>
      </c>
      <c r="L731">
        <v>1</v>
      </c>
    </row>
    <row r="732" spans="1:12">
      <c r="A732" t="s">
        <v>2144</v>
      </c>
      <c r="B732" t="s">
        <v>2145</v>
      </c>
      <c r="C732" t="s">
        <v>2146</v>
      </c>
      <c r="D732" t="s">
        <v>158</v>
      </c>
      <c r="E732" t="s">
        <v>28</v>
      </c>
      <c r="F732" t="s">
        <v>36</v>
      </c>
      <c r="G732" t="s">
        <v>30</v>
      </c>
      <c r="H732" t="s">
        <v>19</v>
      </c>
      <c r="I732">
        <v>5</v>
      </c>
      <c r="J732">
        <v>4</v>
      </c>
      <c r="K732">
        <v>2.62</v>
      </c>
      <c r="L732">
        <v>1</v>
      </c>
    </row>
    <row r="733" spans="1:12">
      <c r="A733" t="s">
        <v>2147</v>
      </c>
      <c r="B733" t="s">
        <v>2148</v>
      </c>
      <c r="C733" t="s">
        <v>2149</v>
      </c>
      <c r="D733" t="s">
        <v>23</v>
      </c>
      <c r="E733" t="s">
        <v>16</v>
      </c>
      <c r="F733" t="s">
        <v>41</v>
      </c>
      <c r="G733" t="s">
        <v>105</v>
      </c>
      <c r="H733" t="s">
        <v>19</v>
      </c>
      <c r="I733">
        <v>4</v>
      </c>
      <c r="J733">
        <v>24</v>
      </c>
      <c r="K733">
        <v>7.93</v>
      </c>
      <c r="L733">
        <v>1</v>
      </c>
    </row>
    <row r="734" spans="1:12">
      <c r="A734" t="s">
        <v>2150</v>
      </c>
      <c r="B734" t="s">
        <v>2151</v>
      </c>
      <c r="C734" t="s">
        <v>2152</v>
      </c>
      <c r="D734" t="s">
        <v>35</v>
      </c>
      <c r="E734" t="s">
        <v>54</v>
      </c>
      <c r="F734" t="s">
        <v>36</v>
      </c>
      <c r="G734" t="s">
        <v>55</v>
      </c>
      <c r="H734" t="s">
        <v>19</v>
      </c>
      <c r="I734">
        <v>5</v>
      </c>
      <c r="J734">
        <v>48</v>
      </c>
      <c r="K734">
        <v>43.57</v>
      </c>
      <c r="L734">
        <v>1</v>
      </c>
    </row>
    <row r="735" spans="1:12">
      <c r="A735" t="s">
        <v>2153</v>
      </c>
      <c r="B735" t="s">
        <v>2154</v>
      </c>
      <c r="C735" t="s">
        <v>2155</v>
      </c>
      <c r="D735" t="s">
        <v>15</v>
      </c>
      <c r="E735" t="s">
        <v>16</v>
      </c>
      <c r="F735" t="s">
        <v>60</v>
      </c>
      <c r="G735" t="s">
        <v>18</v>
      </c>
      <c r="H735" t="s">
        <v>19</v>
      </c>
      <c r="I735">
        <v>2</v>
      </c>
      <c r="J735">
        <v>8</v>
      </c>
      <c r="K735">
        <v>23.64</v>
      </c>
      <c r="L735">
        <v>0</v>
      </c>
    </row>
    <row r="736" spans="1:12">
      <c r="A736" t="s">
        <v>2156</v>
      </c>
      <c r="B736" t="s">
        <v>2157</v>
      </c>
      <c r="C736" t="s">
        <v>2158</v>
      </c>
      <c r="D736" t="s">
        <v>23</v>
      </c>
      <c r="E736" t="s">
        <v>28</v>
      </c>
      <c r="F736" t="s">
        <v>17</v>
      </c>
      <c r="G736" t="s">
        <v>50</v>
      </c>
      <c r="H736" t="s">
        <v>31</v>
      </c>
      <c r="I736">
        <v>4</v>
      </c>
      <c r="J736">
        <v>24</v>
      </c>
      <c r="K736">
        <v>8.0399999999999991</v>
      </c>
      <c r="L736">
        <v>1</v>
      </c>
    </row>
    <row r="737" spans="1:12">
      <c r="A737" t="s">
        <v>2159</v>
      </c>
      <c r="B737" t="s">
        <v>2160</v>
      </c>
      <c r="C737" t="s">
        <v>2161</v>
      </c>
      <c r="D737" t="s">
        <v>15</v>
      </c>
      <c r="E737" t="s">
        <v>16</v>
      </c>
      <c r="F737" t="s">
        <v>41</v>
      </c>
      <c r="G737" t="s">
        <v>50</v>
      </c>
      <c r="H737" t="s">
        <v>19</v>
      </c>
      <c r="I737">
        <v>5</v>
      </c>
      <c r="J737">
        <v>8</v>
      </c>
      <c r="K737">
        <v>1.0900000000000001</v>
      </c>
      <c r="L737">
        <v>1</v>
      </c>
    </row>
    <row r="738" spans="1:12">
      <c r="A738" t="s">
        <v>2162</v>
      </c>
      <c r="B738" t="s">
        <v>2163</v>
      </c>
      <c r="C738" t="s">
        <v>2164</v>
      </c>
      <c r="D738" t="s">
        <v>15</v>
      </c>
      <c r="E738" t="s">
        <v>28</v>
      </c>
      <c r="F738" t="s">
        <v>60</v>
      </c>
      <c r="G738" t="s">
        <v>50</v>
      </c>
      <c r="H738" t="s">
        <v>19</v>
      </c>
      <c r="I738">
        <v>4</v>
      </c>
      <c r="J738">
        <v>8</v>
      </c>
      <c r="K738">
        <v>7.09</v>
      </c>
      <c r="L738">
        <v>1</v>
      </c>
    </row>
    <row r="739" spans="1:12">
      <c r="A739" t="s">
        <v>2165</v>
      </c>
      <c r="B739" t="s">
        <v>2166</v>
      </c>
      <c r="C739" t="s">
        <v>2167</v>
      </c>
      <c r="D739" t="s">
        <v>158</v>
      </c>
      <c r="E739" t="s">
        <v>28</v>
      </c>
      <c r="F739" t="s">
        <v>36</v>
      </c>
      <c r="G739" t="s">
        <v>18</v>
      </c>
      <c r="H739" t="s">
        <v>31</v>
      </c>
      <c r="I739">
        <v>4</v>
      </c>
      <c r="J739">
        <v>4</v>
      </c>
      <c r="K739">
        <v>1.51</v>
      </c>
      <c r="L739">
        <v>1</v>
      </c>
    </row>
    <row r="740" spans="1:12">
      <c r="A740" t="s">
        <v>2168</v>
      </c>
      <c r="B740" t="s">
        <v>2169</v>
      </c>
      <c r="C740" t="s">
        <v>2170</v>
      </c>
      <c r="D740" t="s">
        <v>35</v>
      </c>
      <c r="E740" t="s">
        <v>28</v>
      </c>
      <c r="F740" t="s">
        <v>36</v>
      </c>
      <c r="G740" t="s">
        <v>172</v>
      </c>
      <c r="H740" t="s">
        <v>19</v>
      </c>
      <c r="I740">
        <v>4</v>
      </c>
      <c r="J740">
        <v>48</v>
      </c>
      <c r="K740">
        <v>21.63</v>
      </c>
      <c r="L740">
        <v>1</v>
      </c>
    </row>
    <row r="741" spans="1:12">
      <c r="A741" t="s">
        <v>2171</v>
      </c>
      <c r="B741" t="s">
        <v>2172</v>
      </c>
      <c r="C741" t="s">
        <v>2173</v>
      </c>
      <c r="D741" t="s">
        <v>15</v>
      </c>
      <c r="E741" t="s">
        <v>28</v>
      </c>
      <c r="F741" t="s">
        <v>41</v>
      </c>
      <c r="G741" t="s">
        <v>30</v>
      </c>
      <c r="H741" t="s">
        <v>31</v>
      </c>
      <c r="I741">
        <v>4</v>
      </c>
      <c r="J741">
        <v>8</v>
      </c>
      <c r="K741">
        <v>7.11</v>
      </c>
      <c r="L741">
        <v>1</v>
      </c>
    </row>
    <row r="742" spans="1:12">
      <c r="A742" t="s">
        <v>2174</v>
      </c>
      <c r="B742" t="s">
        <v>2175</v>
      </c>
      <c r="C742" t="s">
        <v>2176</v>
      </c>
      <c r="D742" t="s">
        <v>23</v>
      </c>
      <c r="E742" t="s">
        <v>28</v>
      </c>
      <c r="F742" t="s">
        <v>17</v>
      </c>
      <c r="G742" t="s">
        <v>151</v>
      </c>
      <c r="H742" t="s">
        <v>19</v>
      </c>
      <c r="I742">
        <v>3</v>
      </c>
      <c r="J742">
        <v>24</v>
      </c>
      <c r="K742">
        <v>9.25</v>
      </c>
      <c r="L742">
        <v>1</v>
      </c>
    </row>
    <row r="743" spans="1:12">
      <c r="A743" t="s">
        <v>2177</v>
      </c>
      <c r="B743" t="s">
        <v>2178</v>
      </c>
      <c r="C743" t="s">
        <v>2179</v>
      </c>
      <c r="D743" t="s">
        <v>158</v>
      </c>
      <c r="E743" t="s">
        <v>24</v>
      </c>
      <c r="F743" t="s">
        <v>41</v>
      </c>
      <c r="G743" t="s">
        <v>50</v>
      </c>
      <c r="H743" t="s">
        <v>19</v>
      </c>
      <c r="I743">
        <v>4</v>
      </c>
      <c r="J743">
        <v>4</v>
      </c>
      <c r="K743">
        <v>1.1499999999999999</v>
      </c>
      <c r="L743">
        <v>1</v>
      </c>
    </row>
    <row r="744" spans="1:12">
      <c r="A744" t="s">
        <v>2180</v>
      </c>
      <c r="B744" t="s">
        <v>2181</v>
      </c>
      <c r="C744" t="s">
        <v>2182</v>
      </c>
      <c r="D744" t="s">
        <v>23</v>
      </c>
      <c r="E744" t="s">
        <v>54</v>
      </c>
      <c r="F744" t="s">
        <v>60</v>
      </c>
      <c r="G744" t="s">
        <v>73</v>
      </c>
      <c r="H744" t="s">
        <v>31</v>
      </c>
      <c r="I744">
        <v>4</v>
      </c>
      <c r="J744">
        <v>24</v>
      </c>
      <c r="K744">
        <v>7.09</v>
      </c>
      <c r="L744">
        <v>1</v>
      </c>
    </row>
    <row r="745" spans="1:12">
      <c r="A745" t="s">
        <v>2183</v>
      </c>
      <c r="B745" t="s">
        <v>2184</v>
      </c>
      <c r="C745" t="s">
        <v>2185</v>
      </c>
      <c r="D745" t="s">
        <v>23</v>
      </c>
      <c r="E745" t="s">
        <v>59</v>
      </c>
      <c r="F745" t="s">
        <v>60</v>
      </c>
      <c r="G745" t="s">
        <v>50</v>
      </c>
      <c r="H745" t="s">
        <v>31</v>
      </c>
      <c r="I745">
        <v>5</v>
      </c>
      <c r="J745">
        <v>24</v>
      </c>
      <c r="K745">
        <v>17.29</v>
      </c>
      <c r="L745">
        <v>1</v>
      </c>
    </row>
    <row r="746" spans="1:12">
      <c r="A746" t="s">
        <v>2186</v>
      </c>
      <c r="B746" t="s">
        <v>2187</v>
      </c>
      <c r="D746" t="s">
        <v>15</v>
      </c>
      <c r="E746" t="s">
        <v>28</v>
      </c>
      <c r="F746" t="s">
        <v>17</v>
      </c>
      <c r="G746" t="s">
        <v>55</v>
      </c>
      <c r="H746" t="s">
        <v>63</v>
      </c>
      <c r="J746">
        <v>8</v>
      </c>
    </row>
    <row r="747" spans="1:12">
      <c r="A747" t="s">
        <v>2188</v>
      </c>
      <c r="B747" t="s">
        <v>2189</v>
      </c>
      <c r="D747" t="s">
        <v>23</v>
      </c>
      <c r="E747" t="s">
        <v>24</v>
      </c>
      <c r="F747" t="s">
        <v>36</v>
      </c>
      <c r="G747" t="s">
        <v>30</v>
      </c>
      <c r="H747" t="s">
        <v>46</v>
      </c>
      <c r="J747">
        <v>24</v>
      </c>
    </row>
    <row r="748" spans="1:12">
      <c r="A748" t="s">
        <v>2190</v>
      </c>
      <c r="B748" t="s">
        <v>2191</v>
      </c>
      <c r="C748" t="s">
        <v>2192</v>
      </c>
      <c r="D748" t="s">
        <v>23</v>
      </c>
      <c r="E748" t="s">
        <v>24</v>
      </c>
      <c r="F748" t="s">
        <v>60</v>
      </c>
      <c r="G748" t="s">
        <v>37</v>
      </c>
      <c r="H748" t="s">
        <v>19</v>
      </c>
      <c r="I748">
        <v>4</v>
      </c>
      <c r="J748">
        <v>24</v>
      </c>
      <c r="K748">
        <v>19.149999999999999</v>
      </c>
      <c r="L748">
        <v>1</v>
      </c>
    </row>
    <row r="749" spans="1:12">
      <c r="A749" t="s">
        <v>2193</v>
      </c>
      <c r="B749" t="s">
        <v>2194</v>
      </c>
      <c r="C749" t="s">
        <v>2195</v>
      </c>
      <c r="D749" t="s">
        <v>158</v>
      </c>
      <c r="E749" t="s">
        <v>16</v>
      </c>
      <c r="F749" t="s">
        <v>41</v>
      </c>
      <c r="G749" t="s">
        <v>18</v>
      </c>
      <c r="H749" t="s">
        <v>19</v>
      </c>
      <c r="I749">
        <v>3</v>
      </c>
      <c r="J749">
        <v>4</v>
      </c>
      <c r="K749">
        <v>2.6</v>
      </c>
      <c r="L749">
        <v>1</v>
      </c>
    </row>
    <row r="750" spans="1:12">
      <c r="A750" t="s">
        <v>2196</v>
      </c>
      <c r="B750" t="s">
        <v>2197</v>
      </c>
      <c r="C750" t="s">
        <v>2198</v>
      </c>
      <c r="D750" t="s">
        <v>23</v>
      </c>
      <c r="E750" t="s">
        <v>24</v>
      </c>
      <c r="F750" t="s">
        <v>41</v>
      </c>
      <c r="G750" t="s">
        <v>55</v>
      </c>
      <c r="H750" t="s">
        <v>31</v>
      </c>
      <c r="I750">
        <v>5</v>
      </c>
      <c r="J750">
        <v>24</v>
      </c>
      <c r="K750">
        <v>11.68</v>
      </c>
      <c r="L750">
        <v>1</v>
      </c>
    </row>
    <row r="751" spans="1:12">
      <c r="A751" t="s">
        <v>2199</v>
      </c>
      <c r="B751" t="s">
        <v>2200</v>
      </c>
      <c r="C751" t="s">
        <v>2201</v>
      </c>
      <c r="D751" t="s">
        <v>23</v>
      </c>
      <c r="E751" t="s">
        <v>24</v>
      </c>
      <c r="F751" t="s">
        <v>29</v>
      </c>
      <c r="G751" t="s">
        <v>151</v>
      </c>
      <c r="H751" t="s">
        <v>19</v>
      </c>
      <c r="I751">
        <v>3</v>
      </c>
      <c r="J751">
        <v>24</v>
      </c>
      <c r="K751">
        <v>19.95</v>
      </c>
      <c r="L751">
        <v>1</v>
      </c>
    </row>
    <row r="752" spans="1:12">
      <c r="A752" t="s">
        <v>2202</v>
      </c>
      <c r="B752" t="s">
        <v>2203</v>
      </c>
      <c r="C752" t="s">
        <v>2204</v>
      </c>
      <c r="D752" t="s">
        <v>23</v>
      </c>
      <c r="E752" t="s">
        <v>28</v>
      </c>
      <c r="F752" t="s">
        <v>29</v>
      </c>
      <c r="G752" t="s">
        <v>37</v>
      </c>
      <c r="H752" t="s">
        <v>31</v>
      </c>
      <c r="I752">
        <v>5</v>
      </c>
      <c r="J752">
        <v>24</v>
      </c>
      <c r="K752">
        <v>14.9</v>
      </c>
      <c r="L752">
        <v>1</v>
      </c>
    </row>
    <row r="753" spans="1:12">
      <c r="A753" t="s">
        <v>2205</v>
      </c>
      <c r="B753" t="s">
        <v>2206</v>
      </c>
      <c r="D753" t="s">
        <v>23</v>
      </c>
      <c r="E753" t="s">
        <v>24</v>
      </c>
      <c r="F753" t="s">
        <v>29</v>
      </c>
      <c r="G753" t="s">
        <v>105</v>
      </c>
      <c r="H753" t="s">
        <v>63</v>
      </c>
      <c r="J753">
        <v>24</v>
      </c>
    </row>
    <row r="754" spans="1:12">
      <c r="A754" t="s">
        <v>2207</v>
      </c>
      <c r="B754" t="s">
        <v>2208</v>
      </c>
      <c r="C754" t="s">
        <v>2209</v>
      </c>
      <c r="D754" t="s">
        <v>35</v>
      </c>
      <c r="E754" t="s">
        <v>54</v>
      </c>
      <c r="F754" t="s">
        <v>36</v>
      </c>
      <c r="G754" t="s">
        <v>42</v>
      </c>
      <c r="H754" t="s">
        <v>19</v>
      </c>
      <c r="I754">
        <v>4</v>
      </c>
      <c r="J754">
        <v>48</v>
      </c>
      <c r="K754">
        <v>6.47</v>
      </c>
      <c r="L754">
        <v>1</v>
      </c>
    </row>
    <row r="755" spans="1:12">
      <c r="A755" t="s">
        <v>2210</v>
      </c>
      <c r="B755" t="s">
        <v>2211</v>
      </c>
      <c r="D755" t="s">
        <v>23</v>
      </c>
      <c r="E755" t="s">
        <v>24</v>
      </c>
      <c r="F755" t="s">
        <v>17</v>
      </c>
      <c r="G755" t="s">
        <v>73</v>
      </c>
      <c r="H755" t="s">
        <v>46</v>
      </c>
      <c r="J755">
        <v>24</v>
      </c>
    </row>
    <row r="756" spans="1:12">
      <c r="A756" t="s">
        <v>2212</v>
      </c>
      <c r="B756" t="s">
        <v>2213</v>
      </c>
      <c r="C756" t="s">
        <v>2214</v>
      </c>
      <c r="D756" t="s">
        <v>23</v>
      </c>
      <c r="E756" t="s">
        <v>54</v>
      </c>
      <c r="F756" t="s">
        <v>60</v>
      </c>
      <c r="G756" t="s">
        <v>105</v>
      </c>
      <c r="H756" t="s">
        <v>19</v>
      </c>
      <c r="I756">
        <v>4</v>
      </c>
      <c r="J756">
        <v>24</v>
      </c>
      <c r="K756">
        <v>7</v>
      </c>
      <c r="L756">
        <v>1</v>
      </c>
    </row>
    <row r="757" spans="1:12">
      <c r="A757" t="s">
        <v>2215</v>
      </c>
      <c r="B757" t="s">
        <v>2216</v>
      </c>
      <c r="C757" t="s">
        <v>2217</v>
      </c>
      <c r="D757" t="s">
        <v>23</v>
      </c>
      <c r="E757" t="s">
        <v>28</v>
      </c>
      <c r="F757" t="s">
        <v>36</v>
      </c>
      <c r="G757" t="s">
        <v>42</v>
      </c>
      <c r="H757" t="s">
        <v>19</v>
      </c>
      <c r="I757">
        <v>5</v>
      </c>
      <c r="J757">
        <v>24</v>
      </c>
      <c r="K757">
        <v>12.63</v>
      </c>
      <c r="L757">
        <v>1</v>
      </c>
    </row>
    <row r="758" spans="1:12">
      <c r="A758" t="s">
        <v>2218</v>
      </c>
      <c r="B758" t="s">
        <v>2219</v>
      </c>
      <c r="C758" t="s">
        <v>2220</v>
      </c>
      <c r="D758" t="s">
        <v>23</v>
      </c>
      <c r="E758" t="s">
        <v>54</v>
      </c>
      <c r="F758" t="s">
        <v>60</v>
      </c>
      <c r="G758" t="s">
        <v>45</v>
      </c>
      <c r="H758" t="s">
        <v>19</v>
      </c>
      <c r="I758">
        <v>5</v>
      </c>
      <c r="J758">
        <v>24</v>
      </c>
      <c r="K758">
        <v>16.14</v>
      </c>
      <c r="L758">
        <v>1</v>
      </c>
    </row>
    <row r="759" spans="1:12">
      <c r="A759" t="s">
        <v>2221</v>
      </c>
      <c r="B759" t="s">
        <v>2222</v>
      </c>
      <c r="C759" t="s">
        <v>2223</v>
      </c>
      <c r="D759" t="s">
        <v>35</v>
      </c>
      <c r="E759" t="s">
        <v>24</v>
      </c>
      <c r="F759" t="s">
        <v>41</v>
      </c>
      <c r="G759" t="s">
        <v>42</v>
      </c>
      <c r="H759" t="s">
        <v>19</v>
      </c>
      <c r="I759">
        <v>4</v>
      </c>
      <c r="J759">
        <v>48</v>
      </c>
      <c r="K759">
        <v>77.39</v>
      </c>
      <c r="L759">
        <v>0</v>
      </c>
    </row>
    <row r="760" spans="1:12">
      <c r="A760" t="s">
        <v>2224</v>
      </c>
      <c r="B760" t="s">
        <v>2225</v>
      </c>
      <c r="C760" t="s">
        <v>2226</v>
      </c>
      <c r="D760" t="s">
        <v>15</v>
      </c>
      <c r="E760" t="s">
        <v>24</v>
      </c>
      <c r="F760" t="s">
        <v>17</v>
      </c>
      <c r="G760" t="s">
        <v>50</v>
      </c>
      <c r="H760" t="s">
        <v>19</v>
      </c>
      <c r="I760">
        <v>3</v>
      </c>
      <c r="J760">
        <v>8</v>
      </c>
      <c r="K760">
        <v>7.27</v>
      </c>
      <c r="L760">
        <v>1</v>
      </c>
    </row>
    <row r="761" spans="1:12">
      <c r="A761" t="s">
        <v>2227</v>
      </c>
      <c r="B761" t="s">
        <v>2228</v>
      </c>
      <c r="C761" t="s">
        <v>2229</v>
      </c>
      <c r="D761" t="s">
        <v>35</v>
      </c>
      <c r="E761" t="s">
        <v>28</v>
      </c>
      <c r="F761" t="s">
        <v>17</v>
      </c>
      <c r="G761" t="s">
        <v>50</v>
      </c>
      <c r="H761" t="s">
        <v>19</v>
      </c>
      <c r="I761">
        <v>4</v>
      </c>
      <c r="J761">
        <v>48</v>
      </c>
      <c r="K761">
        <v>31.1</v>
      </c>
      <c r="L761">
        <v>1</v>
      </c>
    </row>
    <row r="762" spans="1:12">
      <c r="A762" t="s">
        <v>2230</v>
      </c>
      <c r="B762" t="s">
        <v>2231</v>
      </c>
      <c r="C762" t="s">
        <v>2232</v>
      </c>
      <c r="D762" t="s">
        <v>158</v>
      </c>
      <c r="E762" t="s">
        <v>16</v>
      </c>
      <c r="F762" t="s">
        <v>60</v>
      </c>
      <c r="G762" t="s">
        <v>151</v>
      </c>
      <c r="H762" t="s">
        <v>19</v>
      </c>
      <c r="I762">
        <v>5</v>
      </c>
      <c r="J762">
        <v>4</v>
      </c>
      <c r="K762">
        <v>2.63</v>
      </c>
      <c r="L762">
        <v>1</v>
      </c>
    </row>
    <row r="763" spans="1:12">
      <c r="A763" t="s">
        <v>2233</v>
      </c>
      <c r="B763" t="s">
        <v>2234</v>
      </c>
      <c r="C763" t="s">
        <v>2235</v>
      </c>
      <c r="D763" t="s">
        <v>23</v>
      </c>
      <c r="E763" t="s">
        <v>54</v>
      </c>
      <c r="F763" t="s">
        <v>60</v>
      </c>
      <c r="G763" t="s">
        <v>50</v>
      </c>
      <c r="H763" t="s">
        <v>19</v>
      </c>
      <c r="I763">
        <v>4</v>
      </c>
      <c r="J763">
        <v>24</v>
      </c>
      <c r="K763">
        <v>20.72</v>
      </c>
      <c r="L763">
        <v>1</v>
      </c>
    </row>
    <row r="764" spans="1:12">
      <c r="A764" t="s">
        <v>2236</v>
      </c>
      <c r="B764" t="s">
        <v>2237</v>
      </c>
      <c r="C764" t="s">
        <v>2238</v>
      </c>
      <c r="D764" t="s">
        <v>15</v>
      </c>
      <c r="E764" t="s">
        <v>28</v>
      </c>
      <c r="F764" t="s">
        <v>29</v>
      </c>
      <c r="G764" t="s">
        <v>30</v>
      </c>
      <c r="H764" t="s">
        <v>19</v>
      </c>
      <c r="I764">
        <v>5</v>
      </c>
      <c r="J764">
        <v>8</v>
      </c>
      <c r="K764">
        <v>7.3</v>
      </c>
      <c r="L764">
        <v>1</v>
      </c>
    </row>
    <row r="765" spans="1:12">
      <c r="A765" t="s">
        <v>2239</v>
      </c>
      <c r="B765" t="s">
        <v>2240</v>
      </c>
      <c r="C765" t="s">
        <v>2241</v>
      </c>
      <c r="D765" t="s">
        <v>23</v>
      </c>
      <c r="E765" t="s">
        <v>16</v>
      </c>
      <c r="F765" t="s">
        <v>17</v>
      </c>
      <c r="G765" t="s">
        <v>105</v>
      </c>
      <c r="H765" t="s">
        <v>31</v>
      </c>
      <c r="I765">
        <v>4</v>
      </c>
      <c r="J765">
        <v>24</v>
      </c>
      <c r="K765">
        <v>5.53</v>
      </c>
      <c r="L765">
        <v>1</v>
      </c>
    </row>
    <row r="766" spans="1:12">
      <c r="A766" t="s">
        <v>2242</v>
      </c>
      <c r="B766" t="s">
        <v>2243</v>
      </c>
      <c r="D766" t="s">
        <v>35</v>
      </c>
      <c r="E766" t="s">
        <v>54</v>
      </c>
      <c r="F766" t="s">
        <v>41</v>
      </c>
      <c r="G766" t="s">
        <v>45</v>
      </c>
      <c r="H766" t="s">
        <v>63</v>
      </c>
      <c r="J766">
        <v>48</v>
      </c>
    </row>
    <row r="767" spans="1:12">
      <c r="A767" t="s">
        <v>2244</v>
      </c>
      <c r="B767" t="s">
        <v>2245</v>
      </c>
      <c r="C767" t="s">
        <v>2246</v>
      </c>
      <c r="D767" t="s">
        <v>15</v>
      </c>
      <c r="E767" t="s">
        <v>28</v>
      </c>
      <c r="F767" t="s">
        <v>17</v>
      </c>
      <c r="G767" t="s">
        <v>77</v>
      </c>
      <c r="H767" t="s">
        <v>19</v>
      </c>
      <c r="I767">
        <v>2</v>
      </c>
      <c r="J767">
        <v>8</v>
      </c>
      <c r="K767">
        <v>14.71</v>
      </c>
      <c r="L767">
        <v>0</v>
      </c>
    </row>
    <row r="768" spans="1:12">
      <c r="A768" t="s">
        <v>2247</v>
      </c>
      <c r="B768" t="s">
        <v>2248</v>
      </c>
      <c r="D768" t="s">
        <v>35</v>
      </c>
      <c r="E768" t="s">
        <v>59</v>
      </c>
      <c r="F768" t="s">
        <v>17</v>
      </c>
      <c r="G768" t="s">
        <v>30</v>
      </c>
      <c r="H768" t="s">
        <v>46</v>
      </c>
      <c r="J768">
        <v>48</v>
      </c>
    </row>
    <row r="769" spans="1:12">
      <c r="A769" t="s">
        <v>2249</v>
      </c>
      <c r="B769" t="s">
        <v>2250</v>
      </c>
      <c r="C769" t="s">
        <v>2251</v>
      </c>
      <c r="D769" t="s">
        <v>35</v>
      </c>
      <c r="E769" t="s">
        <v>28</v>
      </c>
      <c r="F769" t="s">
        <v>29</v>
      </c>
      <c r="G769" t="s">
        <v>50</v>
      </c>
      <c r="H769" t="s">
        <v>31</v>
      </c>
      <c r="I769">
        <v>4</v>
      </c>
      <c r="J769">
        <v>48</v>
      </c>
      <c r="K769">
        <v>120.99</v>
      </c>
      <c r="L769">
        <v>0</v>
      </c>
    </row>
    <row r="770" spans="1:12">
      <c r="A770" t="s">
        <v>2252</v>
      </c>
      <c r="B770" t="s">
        <v>2253</v>
      </c>
      <c r="C770" t="s">
        <v>2254</v>
      </c>
      <c r="D770" t="s">
        <v>15</v>
      </c>
      <c r="E770" t="s">
        <v>54</v>
      </c>
      <c r="F770" t="s">
        <v>41</v>
      </c>
      <c r="G770" t="s">
        <v>172</v>
      </c>
      <c r="H770" t="s">
        <v>31</v>
      </c>
      <c r="I770">
        <v>4</v>
      </c>
      <c r="J770">
        <v>8</v>
      </c>
      <c r="K770">
        <v>6.92</v>
      </c>
      <c r="L770">
        <v>1</v>
      </c>
    </row>
    <row r="771" spans="1:12">
      <c r="A771" t="s">
        <v>2255</v>
      </c>
      <c r="B771" t="s">
        <v>2256</v>
      </c>
      <c r="C771" t="s">
        <v>2257</v>
      </c>
      <c r="D771" t="s">
        <v>15</v>
      </c>
      <c r="E771" t="s">
        <v>24</v>
      </c>
      <c r="F771" t="s">
        <v>60</v>
      </c>
      <c r="G771" t="s">
        <v>18</v>
      </c>
      <c r="H771" t="s">
        <v>19</v>
      </c>
      <c r="I771">
        <v>5</v>
      </c>
      <c r="J771">
        <v>8</v>
      </c>
      <c r="K771">
        <v>1.17</v>
      </c>
      <c r="L771">
        <v>1</v>
      </c>
    </row>
    <row r="772" spans="1:12">
      <c r="A772" t="s">
        <v>2258</v>
      </c>
      <c r="B772" t="s">
        <v>2259</v>
      </c>
      <c r="C772" t="s">
        <v>2260</v>
      </c>
      <c r="D772" t="s">
        <v>23</v>
      </c>
      <c r="E772" t="s">
        <v>16</v>
      </c>
      <c r="F772" t="s">
        <v>29</v>
      </c>
      <c r="G772" t="s">
        <v>18</v>
      </c>
      <c r="H772" t="s">
        <v>19</v>
      </c>
      <c r="I772">
        <v>5</v>
      </c>
      <c r="J772">
        <v>24</v>
      </c>
      <c r="K772">
        <v>11.49</v>
      </c>
      <c r="L772">
        <v>1</v>
      </c>
    </row>
    <row r="773" spans="1:12">
      <c r="A773" t="s">
        <v>2261</v>
      </c>
      <c r="B773" t="s">
        <v>2262</v>
      </c>
      <c r="C773" t="s">
        <v>2263</v>
      </c>
      <c r="D773" t="s">
        <v>35</v>
      </c>
      <c r="E773" t="s">
        <v>28</v>
      </c>
      <c r="F773" t="s">
        <v>41</v>
      </c>
      <c r="G773" t="s">
        <v>172</v>
      </c>
      <c r="H773" t="s">
        <v>31</v>
      </c>
      <c r="I773">
        <v>5</v>
      </c>
      <c r="J773">
        <v>48</v>
      </c>
      <c r="K773">
        <v>7.09</v>
      </c>
      <c r="L773">
        <v>1</v>
      </c>
    </row>
    <row r="774" spans="1:12">
      <c r="A774" t="s">
        <v>2264</v>
      </c>
      <c r="B774" t="s">
        <v>2265</v>
      </c>
      <c r="C774" t="s">
        <v>2266</v>
      </c>
      <c r="D774" t="s">
        <v>15</v>
      </c>
      <c r="E774" t="s">
        <v>16</v>
      </c>
      <c r="F774" t="s">
        <v>29</v>
      </c>
      <c r="G774" t="s">
        <v>37</v>
      </c>
      <c r="H774" t="s">
        <v>19</v>
      </c>
      <c r="I774">
        <v>5</v>
      </c>
      <c r="J774">
        <v>8</v>
      </c>
      <c r="K774">
        <v>3.19</v>
      </c>
      <c r="L774">
        <v>1</v>
      </c>
    </row>
    <row r="775" spans="1:12">
      <c r="A775" t="s">
        <v>2267</v>
      </c>
      <c r="B775" t="s">
        <v>2268</v>
      </c>
      <c r="D775" t="s">
        <v>23</v>
      </c>
      <c r="E775" t="s">
        <v>28</v>
      </c>
      <c r="F775" t="s">
        <v>41</v>
      </c>
      <c r="G775" t="s">
        <v>105</v>
      </c>
      <c r="H775" t="s">
        <v>46</v>
      </c>
      <c r="J775">
        <v>24</v>
      </c>
    </row>
    <row r="776" spans="1:12">
      <c r="A776" t="s">
        <v>2269</v>
      </c>
      <c r="B776" t="s">
        <v>2270</v>
      </c>
      <c r="C776" t="s">
        <v>2271</v>
      </c>
      <c r="D776" t="s">
        <v>23</v>
      </c>
      <c r="E776" t="s">
        <v>24</v>
      </c>
      <c r="F776" t="s">
        <v>41</v>
      </c>
      <c r="G776" t="s">
        <v>105</v>
      </c>
      <c r="H776" t="s">
        <v>31</v>
      </c>
      <c r="I776">
        <v>3</v>
      </c>
      <c r="J776">
        <v>24</v>
      </c>
      <c r="K776">
        <v>14.38</v>
      </c>
      <c r="L776">
        <v>1</v>
      </c>
    </row>
    <row r="777" spans="1:12">
      <c r="A777" t="s">
        <v>2272</v>
      </c>
      <c r="B777" t="s">
        <v>2273</v>
      </c>
      <c r="C777" t="s">
        <v>2274</v>
      </c>
      <c r="D777" t="s">
        <v>15</v>
      </c>
      <c r="E777" t="s">
        <v>59</v>
      </c>
      <c r="F777" t="s">
        <v>60</v>
      </c>
      <c r="G777" t="s">
        <v>172</v>
      </c>
      <c r="H777" t="s">
        <v>19</v>
      </c>
      <c r="I777">
        <v>1</v>
      </c>
      <c r="J777">
        <v>8</v>
      </c>
      <c r="K777">
        <v>20.2</v>
      </c>
      <c r="L777">
        <v>0</v>
      </c>
    </row>
    <row r="778" spans="1:12">
      <c r="A778" t="s">
        <v>2275</v>
      </c>
      <c r="B778" t="s">
        <v>2276</v>
      </c>
      <c r="C778" t="s">
        <v>2277</v>
      </c>
      <c r="D778" t="s">
        <v>23</v>
      </c>
      <c r="E778" t="s">
        <v>28</v>
      </c>
      <c r="F778" t="s">
        <v>17</v>
      </c>
      <c r="G778" t="s">
        <v>77</v>
      </c>
      <c r="H778" t="s">
        <v>19</v>
      </c>
      <c r="I778">
        <v>4</v>
      </c>
      <c r="J778">
        <v>24</v>
      </c>
      <c r="K778">
        <v>21.06</v>
      </c>
      <c r="L778">
        <v>1</v>
      </c>
    </row>
    <row r="779" spans="1:12">
      <c r="A779" t="s">
        <v>2278</v>
      </c>
      <c r="B779" t="s">
        <v>2279</v>
      </c>
      <c r="C779" t="s">
        <v>2280</v>
      </c>
      <c r="D779" t="s">
        <v>23</v>
      </c>
      <c r="E779" t="s">
        <v>54</v>
      </c>
      <c r="F779" t="s">
        <v>36</v>
      </c>
      <c r="G779" t="s">
        <v>45</v>
      </c>
      <c r="H779" t="s">
        <v>31</v>
      </c>
      <c r="I779">
        <v>4</v>
      </c>
      <c r="J779">
        <v>24</v>
      </c>
      <c r="K779">
        <v>13.81</v>
      </c>
      <c r="L779">
        <v>1</v>
      </c>
    </row>
    <row r="780" spans="1:12">
      <c r="A780" t="s">
        <v>2281</v>
      </c>
      <c r="B780" t="s">
        <v>2282</v>
      </c>
      <c r="C780" t="s">
        <v>2283</v>
      </c>
      <c r="D780" t="s">
        <v>23</v>
      </c>
      <c r="E780" t="s">
        <v>24</v>
      </c>
      <c r="F780" t="s">
        <v>29</v>
      </c>
      <c r="G780" t="s">
        <v>151</v>
      </c>
      <c r="H780" t="s">
        <v>31</v>
      </c>
      <c r="I780">
        <v>5</v>
      </c>
      <c r="J780">
        <v>24</v>
      </c>
      <c r="K780">
        <v>15.74</v>
      </c>
      <c r="L780">
        <v>1</v>
      </c>
    </row>
    <row r="781" spans="1:12">
      <c r="A781" t="s">
        <v>2284</v>
      </c>
      <c r="B781" t="s">
        <v>2285</v>
      </c>
      <c r="D781" t="s">
        <v>15</v>
      </c>
      <c r="E781" t="s">
        <v>59</v>
      </c>
      <c r="F781" t="s">
        <v>17</v>
      </c>
      <c r="G781" t="s">
        <v>30</v>
      </c>
      <c r="H781" t="s">
        <v>63</v>
      </c>
      <c r="J781">
        <v>8</v>
      </c>
    </row>
    <row r="782" spans="1:12">
      <c r="A782" t="s">
        <v>2286</v>
      </c>
      <c r="B782" t="s">
        <v>2287</v>
      </c>
      <c r="C782" t="s">
        <v>2288</v>
      </c>
      <c r="D782" t="s">
        <v>23</v>
      </c>
      <c r="E782" t="s">
        <v>28</v>
      </c>
      <c r="F782" t="s">
        <v>41</v>
      </c>
      <c r="G782" t="s">
        <v>45</v>
      </c>
      <c r="H782" t="s">
        <v>31</v>
      </c>
      <c r="I782">
        <v>4</v>
      </c>
      <c r="J782">
        <v>24</v>
      </c>
      <c r="K782">
        <v>16.559999999999999</v>
      </c>
      <c r="L782">
        <v>1</v>
      </c>
    </row>
    <row r="783" spans="1:12">
      <c r="A783" t="s">
        <v>2289</v>
      </c>
      <c r="B783" t="s">
        <v>2290</v>
      </c>
      <c r="C783" t="s">
        <v>2291</v>
      </c>
      <c r="D783" t="s">
        <v>23</v>
      </c>
      <c r="E783" t="s">
        <v>24</v>
      </c>
      <c r="F783" t="s">
        <v>29</v>
      </c>
      <c r="G783" t="s">
        <v>73</v>
      </c>
      <c r="H783" t="s">
        <v>31</v>
      </c>
      <c r="I783">
        <v>5</v>
      </c>
      <c r="J783">
        <v>24</v>
      </c>
      <c r="K783">
        <v>11.81</v>
      </c>
      <c r="L783">
        <v>1</v>
      </c>
    </row>
    <row r="784" spans="1:12">
      <c r="A784" t="s">
        <v>2292</v>
      </c>
      <c r="B784" t="s">
        <v>2293</v>
      </c>
      <c r="D784" t="s">
        <v>15</v>
      </c>
      <c r="E784" t="s">
        <v>28</v>
      </c>
      <c r="F784" t="s">
        <v>41</v>
      </c>
      <c r="G784" t="s">
        <v>151</v>
      </c>
      <c r="H784" t="s">
        <v>63</v>
      </c>
      <c r="J784">
        <v>8</v>
      </c>
    </row>
    <row r="785" spans="1:12">
      <c r="A785" t="s">
        <v>2294</v>
      </c>
      <c r="B785" t="s">
        <v>2295</v>
      </c>
      <c r="C785" t="s">
        <v>2296</v>
      </c>
      <c r="D785" t="s">
        <v>158</v>
      </c>
      <c r="E785" t="s">
        <v>28</v>
      </c>
      <c r="F785" t="s">
        <v>36</v>
      </c>
      <c r="G785" t="s">
        <v>77</v>
      </c>
      <c r="H785" t="s">
        <v>19</v>
      </c>
      <c r="I785">
        <v>5</v>
      </c>
      <c r="J785">
        <v>4</v>
      </c>
      <c r="K785">
        <v>3</v>
      </c>
      <c r="L785">
        <v>1</v>
      </c>
    </row>
    <row r="786" spans="1:12">
      <c r="A786" t="s">
        <v>2297</v>
      </c>
      <c r="B786" t="s">
        <v>2298</v>
      </c>
      <c r="C786" t="s">
        <v>2299</v>
      </c>
      <c r="D786" t="s">
        <v>23</v>
      </c>
      <c r="E786" t="s">
        <v>16</v>
      </c>
      <c r="F786" t="s">
        <v>29</v>
      </c>
      <c r="G786" t="s">
        <v>45</v>
      </c>
      <c r="H786" t="s">
        <v>31</v>
      </c>
      <c r="I786">
        <v>5</v>
      </c>
      <c r="J786">
        <v>24</v>
      </c>
      <c r="K786">
        <v>4.3600000000000003</v>
      </c>
      <c r="L786">
        <v>1</v>
      </c>
    </row>
    <row r="787" spans="1:12">
      <c r="A787" t="s">
        <v>2300</v>
      </c>
      <c r="B787" t="s">
        <v>2301</v>
      </c>
      <c r="C787" t="s">
        <v>2302</v>
      </c>
      <c r="D787" t="s">
        <v>15</v>
      </c>
      <c r="E787" t="s">
        <v>24</v>
      </c>
      <c r="F787" t="s">
        <v>29</v>
      </c>
      <c r="G787" t="s">
        <v>172</v>
      </c>
      <c r="H787" t="s">
        <v>31</v>
      </c>
      <c r="I787">
        <v>4</v>
      </c>
      <c r="J787">
        <v>8</v>
      </c>
      <c r="K787">
        <v>7.06</v>
      </c>
      <c r="L787">
        <v>1</v>
      </c>
    </row>
    <row r="788" spans="1:12">
      <c r="A788" t="s">
        <v>2303</v>
      </c>
      <c r="B788" t="s">
        <v>2304</v>
      </c>
      <c r="C788" t="s">
        <v>2305</v>
      </c>
      <c r="D788" t="s">
        <v>15</v>
      </c>
      <c r="E788" t="s">
        <v>28</v>
      </c>
      <c r="F788" t="s">
        <v>17</v>
      </c>
      <c r="G788" t="s">
        <v>77</v>
      </c>
      <c r="H788" t="s">
        <v>31</v>
      </c>
      <c r="I788">
        <v>2</v>
      </c>
      <c r="J788">
        <v>8</v>
      </c>
      <c r="K788">
        <v>16.600000000000001</v>
      </c>
      <c r="L788">
        <v>0</v>
      </c>
    </row>
    <row r="789" spans="1:12">
      <c r="A789" t="s">
        <v>2306</v>
      </c>
      <c r="B789" t="s">
        <v>2307</v>
      </c>
      <c r="D789" t="s">
        <v>23</v>
      </c>
      <c r="E789" t="s">
        <v>16</v>
      </c>
      <c r="F789" t="s">
        <v>41</v>
      </c>
      <c r="G789" t="s">
        <v>50</v>
      </c>
      <c r="H789" t="s">
        <v>63</v>
      </c>
      <c r="J789">
        <v>24</v>
      </c>
    </row>
    <row r="790" spans="1:12">
      <c r="A790" t="s">
        <v>2308</v>
      </c>
      <c r="B790" t="s">
        <v>2309</v>
      </c>
      <c r="C790" t="s">
        <v>2310</v>
      </c>
      <c r="D790" t="s">
        <v>35</v>
      </c>
      <c r="E790" t="s">
        <v>59</v>
      </c>
      <c r="F790" t="s">
        <v>41</v>
      </c>
      <c r="G790" t="s">
        <v>172</v>
      </c>
      <c r="H790" t="s">
        <v>19</v>
      </c>
      <c r="I790">
        <v>5</v>
      </c>
      <c r="J790">
        <v>48</v>
      </c>
      <c r="K790">
        <v>38.14</v>
      </c>
      <c r="L790">
        <v>1</v>
      </c>
    </row>
    <row r="791" spans="1:12">
      <c r="A791" t="s">
        <v>2311</v>
      </c>
      <c r="B791" t="s">
        <v>2312</v>
      </c>
      <c r="C791" t="s">
        <v>2313</v>
      </c>
      <c r="D791" t="s">
        <v>23</v>
      </c>
      <c r="E791" t="s">
        <v>59</v>
      </c>
      <c r="F791" t="s">
        <v>17</v>
      </c>
      <c r="G791" t="s">
        <v>105</v>
      </c>
      <c r="H791" t="s">
        <v>19</v>
      </c>
      <c r="I791">
        <v>4</v>
      </c>
      <c r="J791">
        <v>24</v>
      </c>
      <c r="K791">
        <v>4.82</v>
      </c>
      <c r="L791">
        <v>1</v>
      </c>
    </row>
    <row r="792" spans="1:12">
      <c r="A792" t="s">
        <v>2314</v>
      </c>
      <c r="B792" t="s">
        <v>2315</v>
      </c>
      <c r="C792" t="s">
        <v>2316</v>
      </c>
      <c r="D792" t="s">
        <v>15</v>
      </c>
      <c r="E792" t="s">
        <v>28</v>
      </c>
      <c r="F792" t="s">
        <v>17</v>
      </c>
      <c r="G792" t="s">
        <v>18</v>
      </c>
      <c r="H792" t="s">
        <v>19</v>
      </c>
      <c r="I792">
        <v>5</v>
      </c>
      <c r="J792">
        <v>8</v>
      </c>
      <c r="K792">
        <v>5.5</v>
      </c>
      <c r="L792">
        <v>1</v>
      </c>
    </row>
    <row r="793" spans="1:12">
      <c r="A793" t="s">
        <v>2317</v>
      </c>
      <c r="B793" t="s">
        <v>2318</v>
      </c>
      <c r="C793" t="s">
        <v>2319</v>
      </c>
      <c r="D793" t="s">
        <v>158</v>
      </c>
      <c r="E793" t="s">
        <v>28</v>
      </c>
      <c r="F793" t="s">
        <v>41</v>
      </c>
      <c r="G793" t="s">
        <v>30</v>
      </c>
      <c r="H793" t="s">
        <v>19</v>
      </c>
      <c r="I793">
        <v>5</v>
      </c>
      <c r="J793">
        <v>4</v>
      </c>
      <c r="K793">
        <v>2.64</v>
      </c>
      <c r="L793">
        <v>1</v>
      </c>
    </row>
    <row r="794" spans="1:12">
      <c r="A794" t="s">
        <v>2320</v>
      </c>
      <c r="B794" t="s">
        <v>2321</v>
      </c>
      <c r="C794" t="s">
        <v>2322</v>
      </c>
      <c r="D794" t="s">
        <v>15</v>
      </c>
      <c r="E794" t="s">
        <v>28</v>
      </c>
      <c r="F794" t="s">
        <v>36</v>
      </c>
      <c r="G794" t="s">
        <v>45</v>
      </c>
      <c r="H794" t="s">
        <v>31</v>
      </c>
      <c r="I794">
        <v>5</v>
      </c>
      <c r="J794">
        <v>8</v>
      </c>
      <c r="K794">
        <v>6.12</v>
      </c>
      <c r="L794">
        <v>1</v>
      </c>
    </row>
    <row r="795" spans="1:12">
      <c r="A795" t="s">
        <v>2323</v>
      </c>
      <c r="B795" t="s">
        <v>2324</v>
      </c>
      <c r="C795" t="s">
        <v>2325</v>
      </c>
      <c r="D795" t="s">
        <v>23</v>
      </c>
      <c r="E795" t="s">
        <v>28</v>
      </c>
      <c r="F795" t="s">
        <v>29</v>
      </c>
      <c r="G795" t="s">
        <v>30</v>
      </c>
      <c r="H795" t="s">
        <v>19</v>
      </c>
      <c r="I795">
        <v>4</v>
      </c>
      <c r="J795">
        <v>24</v>
      </c>
      <c r="K795">
        <v>69.28</v>
      </c>
      <c r="L795">
        <v>0</v>
      </c>
    </row>
    <row r="796" spans="1:12">
      <c r="A796" t="s">
        <v>2326</v>
      </c>
      <c r="B796" t="s">
        <v>2327</v>
      </c>
      <c r="C796" t="s">
        <v>2328</v>
      </c>
      <c r="D796" t="s">
        <v>23</v>
      </c>
      <c r="E796" t="s">
        <v>59</v>
      </c>
      <c r="F796" t="s">
        <v>60</v>
      </c>
      <c r="G796" t="s">
        <v>18</v>
      </c>
      <c r="H796" t="s">
        <v>19</v>
      </c>
      <c r="I796">
        <v>5</v>
      </c>
      <c r="J796">
        <v>24</v>
      </c>
      <c r="K796">
        <v>18</v>
      </c>
      <c r="L796">
        <v>1</v>
      </c>
    </row>
    <row r="797" spans="1:12">
      <c r="A797" t="s">
        <v>2329</v>
      </c>
      <c r="B797" t="s">
        <v>2330</v>
      </c>
      <c r="D797" t="s">
        <v>15</v>
      </c>
      <c r="E797" t="s">
        <v>24</v>
      </c>
      <c r="F797" t="s">
        <v>29</v>
      </c>
      <c r="G797" t="s">
        <v>73</v>
      </c>
      <c r="H797" t="s">
        <v>63</v>
      </c>
      <c r="J797">
        <v>8</v>
      </c>
    </row>
    <row r="798" spans="1:12">
      <c r="A798" t="s">
        <v>2331</v>
      </c>
      <c r="B798" t="s">
        <v>2332</v>
      </c>
      <c r="C798" t="s">
        <v>2333</v>
      </c>
      <c r="D798" t="s">
        <v>158</v>
      </c>
      <c r="E798" t="s">
        <v>16</v>
      </c>
      <c r="F798" t="s">
        <v>17</v>
      </c>
      <c r="G798" t="s">
        <v>77</v>
      </c>
      <c r="H798" t="s">
        <v>31</v>
      </c>
      <c r="I798">
        <v>4</v>
      </c>
      <c r="J798">
        <v>4</v>
      </c>
      <c r="K798">
        <v>2.77</v>
      </c>
      <c r="L798">
        <v>1</v>
      </c>
    </row>
    <row r="799" spans="1:12">
      <c r="A799" t="s">
        <v>2334</v>
      </c>
      <c r="B799" t="s">
        <v>2335</v>
      </c>
      <c r="C799" t="s">
        <v>2336</v>
      </c>
      <c r="D799" t="s">
        <v>35</v>
      </c>
      <c r="E799" t="s">
        <v>24</v>
      </c>
      <c r="F799" t="s">
        <v>29</v>
      </c>
      <c r="G799" t="s">
        <v>37</v>
      </c>
      <c r="H799" t="s">
        <v>19</v>
      </c>
      <c r="I799">
        <v>5</v>
      </c>
      <c r="J799">
        <v>48</v>
      </c>
      <c r="K799">
        <v>21.43</v>
      </c>
      <c r="L799">
        <v>1</v>
      </c>
    </row>
    <row r="800" spans="1:12">
      <c r="A800" t="s">
        <v>2337</v>
      </c>
      <c r="B800" t="s">
        <v>2338</v>
      </c>
      <c r="C800" t="s">
        <v>2339</v>
      </c>
      <c r="D800" t="s">
        <v>15</v>
      </c>
      <c r="E800" t="s">
        <v>24</v>
      </c>
      <c r="F800" t="s">
        <v>17</v>
      </c>
      <c r="G800" t="s">
        <v>50</v>
      </c>
      <c r="H800" t="s">
        <v>31</v>
      </c>
      <c r="I800">
        <v>3</v>
      </c>
      <c r="J800">
        <v>8</v>
      </c>
      <c r="K800">
        <v>4.59</v>
      </c>
      <c r="L800">
        <v>1</v>
      </c>
    </row>
    <row r="801" spans="1:12">
      <c r="A801" t="s">
        <v>2340</v>
      </c>
      <c r="B801" t="s">
        <v>2341</v>
      </c>
      <c r="C801" t="s">
        <v>2342</v>
      </c>
      <c r="D801" t="s">
        <v>23</v>
      </c>
      <c r="E801" t="s">
        <v>28</v>
      </c>
      <c r="F801" t="s">
        <v>41</v>
      </c>
      <c r="G801" t="s">
        <v>55</v>
      </c>
      <c r="H801" t="s">
        <v>31</v>
      </c>
      <c r="I801">
        <v>4</v>
      </c>
      <c r="J801">
        <v>24</v>
      </c>
      <c r="K801">
        <v>19.559999999999999</v>
      </c>
      <c r="L801">
        <v>1</v>
      </c>
    </row>
    <row r="802" spans="1:12">
      <c r="A802" t="s">
        <v>2343</v>
      </c>
      <c r="B802" t="s">
        <v>2344</v>
      </c>
      <c r="C802" t="s">
        <v>2345</v>
      </c>
      <c r="D802" t="s">
        <v>15</v>
      </c>
      <c r="E802" t="s">
        <v>16</v>
      </c>
      <c r="F802" t="s">
        <v>17</v>
      </c>
      <c r="G802" t="s">
        <v>42</v>
      </c>
      <c r="H802" t="s">
        <v>31</v>
      </c>
      <c r="I802">
        <v>4</v>
      </c>
      <c r="J802">
        <v>8</v>
      </c>
      <c r="K802">
        <v>7.19</v>
      </c>
      <c r="L802">
        <v>1</v>
      </c>
    </row>
    <row r="803" spans="1:12">
      <c r="A803" t="s">
        <v>2346</v>
      </c>
      <c r="B803" t="s">
        <v>2347</v>
      </c>
      <c r="C803" t="s">
        <v>2348</v>
      </c>
      <c r="D803" t="s">
        <v>35</v>
      </c>
      <c r="E803" t="s">
        <v>28</v>
      </c>
      <c r="F803" t="s">
        <v>36</v>
      </c>
      <c r="G803" t="s">
        <v>37</v>
      </c>
      <c r="H803" t="s">
        <v>19</v>
      </c>
      <c r="I803">
        <v>4</v>
      </c>
      <c r="J803">
        <v>48</v>
      </c>
      <c r="K803">
        <v>8.27</v>
      </c>
      <c r="L803">
        <v>1</v>
      </c>
    </row>
    <row r="804" spans="1:12">
      <c r="A804" t="s">
        <v>2349</v>
      </c>
      <c r="B804" t="s">
        <v>2350</v>
      </c>
      <c r="C804" t="s">
        <v>2351</v>
      </c>
      <c r="D804" t="s">
        <v>23</v>
      </c>
      <c r="E804" t="s">
        <v>59</v>
      </c>
      <c r="F804" t="s">
        <v>17</v>
      </c>
      <c r="G804" t="s">
        <v>42</v>
      </c>
      <c r="H804" t="s">
        <v>19</v>
      </c>
      <c r="I804">
        <v>5</v>
      </c>
      <c r="J804">
        <v>24</v>
      </c>
      <c r="K804">
        <v>6.49</v>
      </c>
      <c r="L804">
        <v>1</v>
      </c>
    </row>
    <row r="805" spans="1:12">
      <c r="A805" t="s">
        <v>2352</v>
      </c>
      <c r="B805" t="s">
        <v>2353</v>
      </c>
      <c r="C805" t="s">
        <v>2354</v>
      </c>
      <c r="D805" t="s">
        <v>15</v>
      </c>
      <c r="E805" t="s">
        <v>16</v>
      </c>
      <c r="F805" t="s">
        <v>41</v>
      </c>
      <c r="G805" t="s">
        <v>45</v>
      </c>
      <c r="H805" t="s">
        <v>31</v>
      </c>
      <c r="I805">
        <v>5</v>
      </c>
      <c r="J805">
        <v>8</v>
      </c>
      <c r="K805">
        <v>4.84</v>
      </c>
      <c r="L805">
        <v>1</v>
      </c>
    </row>
    <row r="806" spans="1:12">
      <c r="A806" t="s">
        <v>2355</v>
      </c>
      <c r="B806" t="s">
        <v>2356</v>
      </c>
      <c r="C806" t="s">
        <v>2357</v>
      </c>
      <c r="D806" t="s">
        <v>23</v>
      </c>
      <c r="E806" t="s">
        <v>28</v>
      </c>
      <c r="F806" t="s">
        <v>41</v>
      </c>
      <c r="G806" t="s">
        <v>151</v>
      </c>
      <c r="H806" t="s">
        <v>31</v>
      </c>
      <c r="I806">
        <v>4</v>
      </c>
      <c r="J806">
        <v>24</v>
      </c>
      <c r="K806">
        <v>12.28</v>
      </c>
      <c r="L806">
        <v>1</v>
      </c>
    </row>
    <row r="807" spans="1:12">
      <c r="A807" t="s">
        <v>2358</v>
      </c>
      <c r="B807" t="s">
        <v>2359</v>
      </c>
      <c r="C807" t="s">
        <v>2360</v>
      </c>
      <c r="D807" t="s">
        <v>23</v>
      </c>
      <c r="E807" t="s">
        <v>59</v>
      </c>
      <c r="F807" t="s">
        <v>41</v>
      </c>
      <c r="G807" t="s">
        <v>50</v>
      </c>
      <c r="H807" t="s">
        <v>19</v>
      </c>
      <c r="I807">
        <v>3</v>
      </c>
      <c r="J807">
        <v>24</v>
      </c>
      <c r="K807">
        <v>26.59</v>
      </c>
      <c r="L807">
        <v>0</v>
      </c>
    </row>
    <row r="808" spans="1:12">
      <c r="A808" t="s">
        <v>2361</v>
      </c>
      <c r="B808" t="s">
        <v>2362</v>
      </c>
      <c r="C808" t="s">
        <v>2363</v>
      </c>
      <c r="D808" t="s">
        <v>158</v>
      </c>
      <c r="E808" t="s">
        <v>54</v>
      </c>
      <c r="F808" t="s">
        <v>17</v>
      </c>
      <c r="G808" t="s">
        <v>37</v>
      </c>
      <c r="H808" t="s">
        <v>31</v>
      </c>
      <c r="I808">
        <v>5</v>
      </c>
      <c r="J808">
        <v>4</v>
      </c>
      <c r="K808">
        <v>1.43</v>
      </c>
      <c r="L808">
        <v>1</v>
      </c>
    </row>
    <row r="809" spans="1:12">
      <c r="A809" t="s">
        <v>2364</v>
      </c>
      <c r="B809" t="s">
        <v>2365</v>
      </c>
      <c r="D809" t="s">
        <v>158</v>
      </c>
      <c r="E809" t="s">
        <v>16</v>
      </c>
      <c r="F809" t="s">
        <v>41</v>
      </c>
      <c r="G809" t="s">
        <v>50</v>
      </c>
      <c r="H809" t="s">
        <v>63</v>
      </c>
      <c r="J809">
        <v>4</v>
      </c>
    </row>
    <row r="810" spans="1:12">
      <c r="A810" t="s">
        <v>2366</v>
      </c>
      <c r="B810" t="s">
        <v>2367</v>
      </c>
      <c r="D810" t="s">
        <v>35</v>
      </c>
      <c r="E810" t="s">
        <v>28</v>
      </c>
      <c r="F810" t="s">
        <v>36</v>
      </c>
      <c r="G810" t="s">
        <v>30</v>
      </c>
      <c r="H810" t="s">
        <v>46</v>
      </c>
      <c r="J810">
        <v>48</v>
      </c>
    </row>
    <row r="811" spans="1:12">
      <c r="A811" t="s">
        <v>2368</v>
      </c>
      <c r="B811" t="s">
        <v>2369</v>
      </c>
      <c r="C811" t="s">
        <v>2370</v>
      </c>
      <c r="D811" t="s">
        <v>35</v>
      </c>
      <c r="E811" t="s">
        <v>28</v>
      </c>
      <c r="F811" t="s">
        <v>29</v>
      </c>
      <c r="G811" t="s">
        <v>37</v>
      </c>
      <c r="H811" t="s">
        <v>19</v>
      </c>
      <c r="I811">
        <v>5</v>
      </c>
      <c r="J811">
        <v>48</v>
      </c>
      <c r="K811">
        <v>12.02</v>
      </c>
      <c r="L811">
        <v>1</v>
      </c>
    </row>
    <row r="812" spans="1:12">
      <c r="A812" t="s">
        <v>2371</v>
      </c>
      <c r="B812" t="s">
        <v>2372</v>
      </c>
      <c r="C812" t="s">
        <v>2373</v>
      </c>
      <c r="D812" t="s">
        <v>15</v>
      </c>
      <c r="E812" t="s">
        <v>16</v>
      </c>
      <c r="F812" t="s">
        <v>41</v>
      </c>
      <c r="G812" t="s">
        <v>37</v>
      </c>
      <c r="H812" t="s">
        <v>19</v>
      </c>
      <c r="I812">
        <v>4</v>
      </c>
      <c r="J812">
        <v>8</v>
      </c>
      <c r="K812">
        <v>4.1100000000000003</v>
      </c>
      <c r="L812">
        <v>1</v>
      </c>
    </row>
    <row r="813" spans="1:12">
      <c r="A813" t="s">
        <v>2374</v>
      </c>
      <c r="B813" t="s">
        <v>2375</v>
      </c>
      <c r="C813" t="s">
        <v>2376</v>
      </c>
      <c r="D813" t="s">
        <v>23</v>
      </c>
      <c r="E813" t="s">
        <v>54</v>
      </c>
      <c r="F813" t="s">
        <v>60</v>
      </c>
      <c r="G813" t="s">
        <v>55</v>
      </c>
      <c r="H813" t="s">
        <v>19</v>
      </c>
      <c r="I813">
        <v>3</v>
      </c>
      <c r="J813">
        <v>24</v>
      </c>
      <c r="K813">
        <v>5.59</v>
      </c>
      <c r="L813">
        <v>1</v>
      </c>
    </row>
    <row r="814" spans="1:12">
      <c r="A814" t="s">
        <v>2377</v>
      </c>
      <c r="B814" t="s">
        <v>2378</v>
      </c>
      <c r="C814" t="s">
        <v>2379</v>
      </c>
      <c r="D814" t="s">
        <v>23</v>
      </c>
      <c r="E814" t="s">
        <v>59</v>
      </c>
      <c r="F814" t="s">
        <v>60</v>
      </c>
      <c r="G814" t="s">
        <v>151</v>
      </c>
      <c r="H814" t="s">
        <v>19</v>
      </c>
      <c r="I814">
        <v>1</v>
      </c>
      <c r="J814">
        <v>24</v>
      </c>
      <c r="K814">
        <v>40.200000000000003</v>
      </c>
      <c r="L814">
        <v>0</v>
      </c>
    </row>
    <row r="815" spans="1:12">
      <c r="A815" t="s">
        <v>2380</v>
      </c>
      <c r="B815" t="s">
        <v>2381</v>
      </c>
      <c r="C815" t="s">
        <v>2382</v>
      </c>
      <c r="D815" t="s">
        <v>15</v>
      </c>
      <c r="E815" t="s">
        <v>28</v>
      </c>
      <c r="F815" t="s">
        <v>60</v>
      </c>
      <c r="G815" t="s">
        <v>30</v>
      </c>
      <c r="H815" t="s">
        <v>31</v>
      </c>
      <c r="I815">
        <v>4</v>
      </c>
      <c r="J815">
        <v>8</v>
      </c>
      <c r="K815">
        <v>3.39</v>
      </c>
      <c r="L815">
        <v>1</v>
      </c>
    </row>
    <row r="816" spans="1:12">
      <c r="A816" t="s">
        <v>2383</v>
      </c>
      <c r="B816" t="s">
        <v>2384</v>
      </c>
      <c r="C816" t="s">
        <v>2385</v>
      </c>
      <c r="D816" t="s">
        <v>23</v>
      </c>
      <c r="E816" t="s">
        <v>24</v>
      </c>
      <c r="F816" t="s">
        <v>17</v>
      </c>
      <c r="G816" t="s">
        <v>18</v>
      </c>
      <c r="H816" t="s">
        <v>19</v>
      </c>
      <c r="I816">
        <v>5</v>
      </c>
      <c r="J816">
        <v>24</v>
      </c>
      <c r="K816">
        <v>4.13</v>
      </c>
      <c r="L816">
        <v>1</v>
      </c>
    </row>
    <row r="817" spans="1:12">
      <c r="A817" t="s">
        <v>2386</v>
      </c>
      <c r="B817" t="s">
        <v>2387</v>
      </c>
      <c r="C817" t="s">
        <v>2388</v>
      </c>
      <c r="D817" t="s">
        <v>15</v>
      </c>
      <c r="E817" t="s">
        <v>28</v>
      </c>
      <c r="F817" t="s">
        <v>36</v>
      </c>
      <c r="G817" t="s">
        <v>77</v>
      </c>
      <c r="H817" t="s">
        <v>19</v>
      </c>
      <c r="I817">
        <v>5</v>
      </c>
      <c r="J817">
        <v>8</v>
      </c>
      <c r="K817">
        <v>6.67</v>
      </c>
      <c r="L817">
        <v>1</v>
      </c>
    </row>
    <row r="818" spans="1:12">
      <c r="A818" t="s">
        <v>2389</v>
      </c>
      <c r="B818" t="s">
        <v>2390</v>
      </c>
      <c r="C818" t="s">
        <v>2391</v>
      </c>
      <c r="D818" t="s">
        <v>23</v>
      </c>
      <c r="E818" t="s">
        <v>24</v>
      </c>
      <c r="F818" t="s">
        <v>41</v>
      </c>
      <c r="G818" t="s">
        <v>55</v>
      </c>
      <c r="H818" t="s">
        <v>19</v>
      </c>
      <c r="I818">
        <v>4</v>
      </c>
      <c r="J818">
        <v>24</v>
      </c>
      <c r="K818">
        <v>14.04</v>
      </c>
      <c r="L818">
        <v>1</v>
      </c>
    </row>
    <row r="819" spans="1:12">
      <c r="A819" t="s">
        <v>2392</v>
      </c>
      <c r="B819" t="s">
        <v>2393</v>
      </c>
      <c r="C819" t="s">
        <v>2394</v>
      </c>
      <c r="D819" t="s">
        <v>35</v>
      </c>
      <c r="E819" t="s">
        <v>24</v>
      </c>
      <c r="F819" t="s">
        <v>17</v>
      </c>
      <c r="G819" t="s">
        <v>172</v>
      </c>
      <c r="H819" t="s">
        <v>19</v>
      </c>
      <c r="I819">
        <v>4</v>
      </c>
      <c r="J819">
        <v>48</v>
      </c>
      <c r="K819">
        <v>32.03</v>
      </c>
      <c r="L819">
        <v>1</v>
      </c>
    </row>
    <row r="820" spans="1:12">
      <c r="A820" t="s">
        <v>2395</v>
      </c>
      <c r="B820" t="s">
        <v>2396</v>
      </c>
      <c r="C820" t="s">
        <v>2397</v>
      </c>
      <c r="D820" t="s">
        <v>23</v>
      </c>
      <c r="E820" t="s">
        <v>28</v>
      </c>
      <c r="F820" t="s">
        <v>41</v>
      </c>
      <c r="G820" t="s">
        <v>151</v>
      </c>
      <c r="H820" t="s">
        <v>31</v>
      </c>
      <c r="I820">
        <v>5</v>
      </c>
      <c r="J820">
        <v>24</v>
      </c>
      <c r="K820">
        <v>19.54</v>
      </c>
      <c r="L820">
        <v>1</v>
      </c>
    </row>
    <row r="821" spans="1:12">
      <c r="A821" t="s">
        <v>2398</v>
      </c>
      <c r="B821" t="s">
        <v>2399</v>
      </c>
      <c r="C821" t="s">
        <v>2400</v>
      </c>
      <c r="D821" t="s">
        <v>15</v>
      </c>
      <c r="E821" t="s">
        <v>28</v>
      </c>
      <c r="F821" t="s">
        <v>60</v>
      </c>
      <c r="G821" t="s">
        <v>37</v>
      </c>
      <c r="H821" t="s">
        <v>31</v>
      </c>
      <c r="I821">
        <v>5</v>
      </c>
      <c r="J821">
        <v>8</v>
      </c>
      <c r="K821">
        <v>7.31</v>
      </c>
      <c r="L821">
        <v>1</v>
      </c>
    </row>
    <row r="822" spans="1:12">
      <c r="A822" t="s">
        <v>2401</v>
      </c>
      <c r="B822" t="s">
        <v>2402</v>
      </c>
      <c r="C822" t="s">
        <v>2403</v>
      </c>
      <c r="D822" t="s">
        <v>158</v>
      </c>
      <c r="E822" t="s">
        <v>28</v>
      </c>
      <c r="F822" t="s">
        <v>36</v>
      </c>
      <c r="G822" t="s">
        <v>55</v>
      </c>
      <c r="H822" t="s">
        <v>31</v>
      </c>
      <c r="I822">
        <v>5</v>
      </c>
      <c r="J822">
        <v>4</v>
      </c>
      <c r="K822">
        <v>1.1100000000000001</v>
      </c>
      <c r="L822">
        <v>1</v>
      </c>
    </row>
    <row r="823" spans="1:12">
      <c r="A823" t="s">
        <v>2404</v>
      </c>
      <c r="B823" t="s">
        <v>2405</v>
      </c>
      <c r="C823" t="s">
        <v>2406</v>
      </c>
      <c r="D823" t="s">
        <v>35</v>
      </c>
      <c r="E823" t="s">
        <v>28</v>
      </c>
      <c r="F823" t="s">
        <v>29</v>
      </c>
      <c r="G823" t="s">
        <v>37</v>
      </c>
      <c r="H823" t="s">
        <v>31</v>
      </c>
      <c r="I823">
        <v>4</v>
      </c>
      <c r="J823">
        <v>48</v>
      </c>
      <c r="K823">
        <v>574</v>
      </c>
      <c r="L823">
        <v>0</v>
      </c>
    </row>
    <row r="824" spans="1:12">
      <c r="A824" t="s">
        <v>2407</v>
      </c>
      <c r="B824" t="s">
        <v>2408</v>
      </c>
      <c r="C824" t="s">
        <v>2409</v>
      </c>
      <c r="D824" t="s">
        <v>23</v>
      </c>
      <c r="E824" t="s">
        <v>16</v>
      </c>
      <c r="F824" t="s">
        <v>17</v>
      </c>
      <c r="G824" t="s">
        <v>30</v>
      </c>
      <c r="H824" t="s">
        <v>31</v>
      </c>
      <c r="I824">
        <v>4</v>
      </c>
      <c r="J824">
        <v>24</v>
      </c>
      <c r="K824">
        <v>6.21</v>
      </c>
      <c r="L824">
        <v>1</v>
      </c>
    </row>
    <row r="825" spans="1:12">
      <c r="A825" t="s">
        <v>2410</v>
      </c>
      <c r="B825" t="s">
        <v>2411</v>
      </c>
      <c r="D825" t="s">
        <v>35</v>
      </c>
      <c r="E825" t="s">
        <v>16</v>
      </c>
      <c r="F825" t="s">
        <v>41</v>
      </c>
      <c r="G825" t="s">
        <v>45</v>
      </c>
      <c r="H825" t="s">
        <v>63</v>
      </c>
      <c r="J825">
        <v>48</v>
      </c>
    </row>
    <row r="826" spans="1:12">
      <c r="A826" t="s">
        <v>2412</v>
      </c>
      <c r="B826" t="s">
        <v>2413</v>
      </c>
      <c r="C826" t="s">
        <v>2414</v>
      </c>
      <c r="D826" t="s">
        <v>35</v>
      </c>
      <c r="E826" t="s">
        <v>16</v>
      </c>
      <c r="F826" t="s">
        <v>41</v>
      </c>
      <c r="G826" t="s">
        <v>55</v>
      </c>
      <c r="H826" t="s">
        <v>31</v>
      </c>
      <c r="I826">
        <v>4</v>
      </c>
      <c r="J826">
        <v>48</v>
      </c>
      <c r="K826">
        <v>12.99</v>
      </c>
      <c r="L826">
        <v>1</v>
      </c>
    </row>
    <row r="827" spans="1:12">
      <c r="A827" t="s">
        <v>2415</v>
      </c>
      <c r="B827" t="s">
        <v>2416</v>
      </c>
      <c r="C827" t="s">
        <v>2417</v>
      </c>
      <c r="D827" t="s">
        <v>15</v>
      </c>
      <c r="E827" t="s">
        <v>54</v>
      </c>
      <c r="F827" t="s">
        <v>29</v>
      </c>
      <c r="G827" t="s">
        <v>37</v>
      </c>
      <c r="H827" t="s">
        <v>19</v>
      </c>
      <c r="I827">
        <v>2</v>
      </c>
      <c r="J827">
        <v>8</v>
      </c>
      <c r="K827">
        <v>22.61</v>
      </c>
      <c r="L827">
        <v>0</v>
      </c>
    </row>
    <row r="828" spans="1:12">
      <c r="A828" t="s">
        <v>2418</v>
      </c>
      <c r="B828" t="s">
        <v>2419</v>
      </c>
      <c r="C828" t="s">
        <v>2420</v>
      </c>
      <c r="D828" t="s">
        <v>23</v>
      </c>
      <c r="E828" t="s">
        <v>16</v>
      </c>
      <c r="F828" t="s">
        <v>17</v>
      </c>
      <c r="G828" t="s">
        <v>45</v>
      </c>
      <c r="H828" t="s">
        <v>31</v>
      </c>
      <c r="I828">
        <v>4</v>
      </c>
      <c r="J828">
        <v>24</v>
      </c>
      <c r="K828">
        <v>7.26</v>
      </c>
      <c r="L828">
        <v>1</v>
      </c>
    </row>
    <row r="829" spans="1:12">
      <c r="A829" t="s">
        <v>2421</v>
      </c>
      <c r="B829" t="s">
        <v>2422</v>
      </c>
      <c r="C829" t="s">
        <v>2423</v>
      </c>
      <c r="D829" t="s">
        <v>15</v>
      </c>
      <c r="E829" t="s">
        <v>16</v>
      </c>
      <c r="F829" t="s">
        <v>41</v>
      </c>
      <c r="G829" t="s">
        <v>50</v>
      </c>
      <c r="H829" t="s">
        <v>31</v>
      </c>
      <c r="I829">
        <v>3</v>
      </c>
      <c r="J829">
        <v>8</v>
      </c>
      <c r="K829">
        <v>5.2</v>
      </c>
      <c r="L829">
        <v>1</v>
      </c>
    </row>
    <row r="830" spans="1:12">
      <c r="A830" t="s">
        <v>2424</v>
      </c>
      <c r="B830" t="s">
        <v>2425</v>
      </c>
      <c r="C830" t="s">
        <v>2426</v>
      </c>
      <c r="D830" t="s">
        <v>15</v>
      </c>
      <c r="E830" t="s">
        <v>24</v>
      </c>
      <c r="F830" t="s">
        <v>29</v>
      </c>
      <c r="G830" t="s">
        <v>151</v>
      </c>
      <c r="H830" t="s">
        <v>31</v>
      </c>
      <c r="I830">
        <v>5</v>
      </c>
      <c r="J830">
        <v>8</v>
      </c>
      <c r="K830">
        <v>1.0900000000000001</v>
      </c>
      <c r="L830">
        <v>1</v>
      </c>
    </row>
    <row r="831" spans="1:12">
      <c r="A831" t="s">
        <v>2427</v>
      </c>
      <c r="B831" t="s">
        <v>2428</v>
      </c>
      <c r="C831" t="s">
        <v>2429</v>
      </c>
      <c r="D831" t="s">
        <v>158</v>
      </c>
      <c r="E831" t="s">
        <v>28</v>
      </c>
      <c r="F831" t="s">
        <v>36</v>
      </c>
      <c r="G831" t="s">
        <v>172</v>
      </c>
      <c r="H831" t="s">
        <v>31</v>
      </c>
      <c r="I831">
        <v>2</v>
      </c>
      <c r="J831">
        <v>4</v>
      </c>
      <c r="K831">
        <v>11.22</v>
      </c>
      <c r="L831">
        <v>0</v>
      </c>
    </row>
    <row r="832" spans="1:12">
      <c r="A832" t="s">
        <v>2430</v>
      </c>
      <c r="B832" t="s">
        <v>2431</v>
      </c>
      <c r="C832" t="s">
        <v>2432</v>
      </c>
      <c r="D832" t="s">
        <v>23</v>
      </c>
      <c r="E832" t="s">
        <v>16</v>
      </c>
      <c r="F832" t="s">
        <v>41</v>
      </c>
      <c r="G832" t="s">
        <v>105</v>
      </c>
      <c r="H832" t="s">
        <v>31</v>
      </c>
      <c r="I832">
        <v>5</v>
      </c>
      <c r="J832">
        <v>24</v>
      </c>
      <c r="K832">
        <v>14.05</v>
      </c>
      <c r="L832">
        <v>1</v>
      </c>
    </row>
    <row r="833" spans="1:12">
      <c r="A833" t="s">
        <v>2433</v>
      </c>
      <c r="B833" t="s">
        <v>2434</v>
      </c>
      <c r="C833" t="s">
        <v>2435</v>
      </c>
      <c r="D833" t="s">
        <v>23</v>
      </c>
      <c r="E833" t="s">
        <v>16</v>
      </c>
      <c r="F833" t="s">
        <v>60</v>
      </c>
      <c r="G833" t="s">
        <v>45</v>
      </c>
      <c r="H833" t="s">
        <v>19</v>
      </c>
      <c r="I833">
        <v>5</v>
      </c>
      <c r="J833">
        <v>24</v>
      </c>
      <c r="K833">
        <v>14.64</v>
      </c>
      <c r="L833">
        <v>1</v>
      </c>
    </row>
    <row r="834" spans="1:12">
      <c r="A834" t="s">
        <v>2436</v>
      </c>
      <c r="B834" t="s">
        <v>2437</v>
      </c>
      <c r="C834" t="s">
        <v>2438</v>
      </c>
      <c r="D834" t="s">
        <v>15</v>
      </c>
      <c r="E834" t="s">
        <v>54</v>
      </c>
      <c r="F834" t="s">
        <v>41</v>
      </c>
      <c r="G834" t="s">
        <v>105</v>
      </c>
      <c r="H834" t="s">
        <v>31</v>
      </c>
      <c r="I834">
        <v>1</v>
      </c>
      <c r="J834">
        <v>8</v>
      </c>
      <c r="K834">
        <v>11.8</v>
      </c>
      <c r="L834">
        <v>0</v>
      </c>
    </row>
    <row r="835" spans="1:12">
      <c r="A835" t="s">
        <v>2439</v>
      </c>
      <c r="B835" t="s">
        <v>2440</v>
      </c>
      <c r="C835" t="s">
        <v>2441</v>
      </c>
      <c r="D835" t="s">
        <v>35</v>
      </c>
      <c r="E835" t="s">
        <v>28</v>
      </c>
      <c r="F835" t="s">
        <v>29</v>
      </c>
      <c r="G835" t="s">
        <v>55</v>
      </c>
      <c r="H835" t="s">
        <v>19</v>
      </c>
      <c r="I835">
        <v>4</v>
      </c>
      <c r="J835">
        <v>48</v>
      </c>
      <c r="K835">
        <v>33.340000000000003</v>
      </c>
      <c r="L835">
        <v>1</v>
      </c>
    </row>
    <row r="836" spans="1:12">
      <c r="A836" t="s">
        <v>2442</v>
      </c>
      <c r="B836" t="s">
        <v>2443</v>
      </c>
      <c r="C836" t="s">
        <v>2444</v>
      </c>
      <c r="D836" t="s">
        <v>23</v>
      </c>
      <c r="E836" t="s">
        <v>54</v>
      </c>
      <c r="F836" t="s">
        <v>29</v>
      </c>
      <c r="G836" t="s">
        <v>73</v>
      </c>
      <c r="H836" t="s">
        <v>19</v>
      </c>
      <c r="I836">
        <v>3</v>
      </c>
      <c r="J836">
        <v>24</v>
      </c>
      <c r="K836">
        <v>19.16</v>
      </c>
      <c r="L836">
        <v>1</v>
      </c>
    </row>
    <row r="837" spans="1:12">
      <c r="A837" t="s">
        <v>2445</v>
      </c>
      <c r="B837" t="s">
        <v>2446</v>
      </c>
      <c r="D837" t="s">
        <v>23</v>
      </c>
      <c r="E837" t="s">
        <v>16</v>
      </c>
      <c r="F837" t="s">
        <v>36</v>
      </c>
      <c r="G837" t="s">
        <v>105</v>
      </c>
      <c r="H837" t="s">
        <v>63</v>
      </c>
      <c r="J837">
        <v>24</v>
      </c>
    </row>
    <row r="838" spans="1:12">
      <c r="A838" t="s">
        <v>2447</v>
      </c>
      <c r="B838" t="s">
        <v>2448</v>
      </c>
      <c r="D838" t="s">
        <v>15</v>
      </c>
      <c r="E838" t="s">
        <v>54</v>
      </c>
      <c r="F838" t="s">
        <v>29</v>
      </c>
      <c r="G838" t="s">
        <v>151</v>
      </c>
      <c r="H838" t="s">
        <v>63</v>
      </c>
      <c r="J838">
        <v>8</v>
      </c>
    </row>
    <row r="839" spans="1:12">
      <c r="A839" t="s">
        <v>2449</v>
      </c>
      <c r="B839" t="s">
        <v>2450</v>
      </c>
      <c r="C839" t="s">
        <v>2451</v>
      </c>
      <c r="D839" t="s">
        <v>35</v>
      </c>
      <c r="E839" t="s">
        <v>54</v>
      </c>
      <c r="F839" t="s">
        <v>60</v>
      </c>
      <c r="G839" t="s">
        <v>18</v>
      </c>
      <c r="H839" t="s">
        <v>31</v>
      </c>
      <c r="I839">
        <v>4</v>
      </c>
      <c r="J839">
        <v>48</v>
      </c>
      <c r="K839">
        <v>41.92</v>
      </c>
      <c r="L839">
        <v>1</v>
      </c>
    </row>
    <row r="840" spans="1:12">
      <c r="A840" t="s">
        <v>2452</v>
      </c>
      <c r="B840" t="s">
        <v>2453</v>
      </c>
      <c r="C840" t="s">
        <v>2454</v>
      </c>
      <c r="D840" t="s">
        <v>15</v>
      </c>
      <c r="E840" t="s">
        <v>28</v>
      </c>
      <c r="F840" t="s">
        <v>17</v>
      </c>
      <c r="G840" t="s">
        <v>45</v>
      </c>
      <c r="H840" t="s">
        <v>19</v>
      </c>
      <c r="I840">
        <v>2</v>
      </c>
      <c r="J840">
        <v>8</v>
      </c>
      <c r="K840">
        <v>22.69</v>
      </c>
      <c r="L840">
        <v>0</v>
      </c>
    </row>
    <row r="841" spans="1:12">
      <c r="A841" t="s">
        <v>2455</v>
      </c>
      <c r="B841" t="s">
        <v>2456</v>
      </c>
      <c r="C841" t="s">
        <v>2457</v>
      </c>
      <c r="D841" t="s">
        <v>35</v>
      </c>
      <c r="E841" t="s">
        <v>54</v>
      </c>
      <c r="F841" t="s">
        <v>36</v>
      </c>
      <c r="G841" t="s">
        <v>45</v>
      </c>
      <c r="H841" t="s">
        <v>31</v>
      </c>
      <c r="I841">
        <v>2</v>
      </c>
      <c r="J841">
        <v>48</v>
      </c>
      <c r="K841">
        <v>138.43</v>
      </c>
      <c r="L841">
        <v>0</v>
      </c>
    </row>
    <row r="842" spans="1:12">
      <c r="A842" t="s">
        <v>2458</v>
      </c>
      <c r="B842" t="s">
        <v>2459</v>
      </c>
      <c r="C842" t="s">
        <v>2460</v>
      </c>
      <c r="D842" t="s">
        <v>35</v>
      </c>
      <c r="E842" t="s">
        <v>28</v>
      </c>
      <c r="F842" t="s">
        <v>41</v>
      </c>
      <c r="G842" t="s">
        <v>42</v>
      </c>
      <c r="H842" t="s">
        <v>31</v>
      </c>
      <c r="I842">
        <v>4</v>
      </c>
      <c r="J842">
        <v>48</v>
      </c>
      <c r="K842">
        <v>25.46</v>
      </c>
      <c r="L842">
        <v>1</v>
      </c>
    </row>
    <row r="843" spans="1:12">
      <c r="A843" t="s">
        <v>2461</v>
      </c>
      <c r="B843" t="s">
        <v>2462</v>
      </c>
      <c r="C843" t="s">
        <v>2463</v>
      </c>
      <c r="D843" t="s">
        <v>23</v>
      </c>
      <c r="E843" t="s">
        <v>16</v>
      </c>
      <c r="F843" t="s">
        <v>29</v>
      </c>
      <c r="G843" t="s">
        <v>50</v>
      </c>
      <c r="H843" t="s">
        <v>31</v>
      </c>
      <c r="I843">
        <v>4</v>
      </c>
      <c r="J843">
        <v>24</v>
      </c>
      <c r="K843">
        <v>15.48</v>
      </c>
      <c r="L843">
        <v>1</v>
      </c>
    </row>
    <row r="844" spans="1:12">
      <c r="A844" t="s">
        <v>2464</v>
      </c>
      <c r="B844" t="s">
        <v>2465</v>
      </c>
      <c r="C844" t="s">
        <v>2466</v>
      </c>
      <c r="D844" t="s">
        <v>23</v>
      </c>
      <c r="E844" t="s">
        <v>24</v>
      </c>
      <c r="F844" t="s">
        <v>41</v>
      </c>
      <c r="G844" t="s">
        <v>18</v>
      </c>
      <c r="H844" t="s">
        <v>31</v>
      </c>
      <c r="I844">
        <v>4</v>
      </c>
      <c r="J844">
        <v>24</v>
      </c>
      <c r="K844">
        <v>4.08</v>
      </c>
      <c r="L844">
        <v>1</v>
      </c>
    </row>
    <row r="845" spans="1:12">
      <c r="A845" t="s">
        <v>2467</v>
      </c>
      <c r="B845" t="s">
        <v>2468</v>
      </c>
      <c r="C845" t="s">
        <v>2469</v>
      </c>
      <c r="D845" t="s">
        <v>23</v>
      </c>
      <c r="E845" t="s">
        <v>16</v>
      </c>
      <c r="F845" t="s">
        <v>17</v>
      </c>
      <c r="G845" t="s">
        <v>55</v>
      </c>
      <c r="H845" t="s">
        <v>31</v>
      </c>
      <c r="I845">
        <v>4</v>
      </c>
      <c r="J845">
        <v>24</v>
      </c>
      <c r="K845">
        <v>8.92</v>
      </c>
      <c r="L845">
        <v>1</v>
      </c>
    </row>
    <row r="846" spans="1:12">
      <c r="A846" t="s">
        <v>2470</v>
      </c>
      <c r="B846" t="s">
        <v>2471</v>
      </c>
      <c r="C846" t="s">
        <v>2472</v>
      </c>
      <c r="D846" t="s">
        <v>15</v>
      </c>
      <c r="E846" t="s">
        <v>24</v>
      </c>
      <c r="F846" t="s">
        <v>60</v>
      </c>
      <c r="G846" t="s">
        <v>172</v>
      </c>
      <c r="H846" t="s">
        <v>31</v>
      </c>
      <c r="I846">
        <v>4</v>
      </c>
      <c r="J846">
        <v>8</v>
      </c>
      <c r="K846">
        <v>3.62</v>
      </c>
      <c r="L846">
        <v>1</v>
      </c>
    </row>
    <row r="847" spans="1:12">
      <c r="A847" t="s">
        <v>2473</v>
      </c>
      <c r="B847" t="s">
        <v>2474</v>
      </c>
      <c r="C847" t="s">
        <v>2475</v>
      </c>
      <c r="D847" t="s">
        <v>23</v>
      </c>
      <c r="E847" t="s">
        <v>16</v>
      </c>
      <c r="F847" t="s">
        <v>60</v>
      </c>
      <c r="G847" t="s">
        <v>18</v>
      </c>
      <c r="H847" t="s">
        <v>19</v>
      </c>
      <c r="I847">
        <v>5</v>
      </c>
      <c r="J847">
        <v>24</v>
      </c>
      <c r="K847">
        <v>13.79</v>
      </c>
      <c r="L847">
        <v>1</v>
      </c>
    </row>
    <row r="848" spans="1:12">
      <c r="A848" t="s">
        <v>2476</v>
      </c>
      <c r="B848" t="s">
        <v>2477</v>
      </c>
      <c r="C848" t="s">
        <v>2478</v>
      </c>
      <c r="D848" t="s">
        <v>35</v>
      </c>
      <c r="E848" t="s">
        <v>59</v>
      </c>
      <c r="F848" t="s">
        <v>17</v>
      </c>
      <c r="G848" t="s">
        <v>45</v>
      </c>
      <c r="H848" t="s">
        <v>31</v>
      </c>
      <c r="I848">
        <v>4</v>
      </c>
      <c r="J848">
        <v>48</v>
      </c>
      <c r="K848">
        <v>21.16</v>
      </c>
      <c r="L848">
        <v>1</v>
      </c>
    </row>
    <row r="849" spans="1:12">
      <c r="A849" t="s">
        <v>2479</v>
      </c>
      <c r="B849" t="s">
        <v>2480</v>
      </c>
      <c r="C849" t="s">
        <v>2481</v>
      </c>
      <c r="D849" t="s">
        <v>15</v>
      </c>
      <c r="E849" t="s">
        <v>59</v>
      </c>
      <c r="F849" t="s">
        <v>17</v>
      </c>
      <c r="G849" t="s">
        <v>55</v>
      </c>
      <c r="H849" t="s">
        <v>19</v>
      </c>
      <c r="I849">
        <v>5</v>
      </c>
      <c r="J849">
        <v>8</v>
      </c>
      <c r="K849">
        <v>3.76</v>
      </c>
      <c r="L849">
        <v>1</v>
      </c>
    </row>
    <row r="850" spans="1:12">
      <c r="A850" t="s">
        <v>2482</v>
      </c>
      <c r="B850" t="s">
        <v>2483</v>
      </c>
      <c r="C850" t="s">
        <v>2484</v>
      </c>
      <c r="D850" t="s">
        <v>35</v>
      </c>
      <c r="E850" t="s">
        <v>28</v>
      </c>
      <c r="F850" t="s">
        <v>17</v>
      </c>
      <c r="G850" t="s">
        <v>105</v>
      </c>
      <c r="H850" t="s">
        <v>19</v>
      </c>
      <c r="I850">
        <v>1</v>
      </c>
      <c r="J850">
        <v>48</v>
      </c>
      <c r="K850">
        <v>126.54</v>
      </c>
      <c r="L850">
        <v>0</v>
      </c>
    </row>
    <row r="851" spans="1:12">
      <c r="A851" t="s">
        <v>2485</v>
      </c>
      <c r="B851" t="s">
        <v>2486</v>
      </c>
      <c r="C851" t="s">
        <v>2487</v>
      </c>
      <c r="D851" t="s">
        <v>23</v>
      </c>
      <c r="E851" t="s">
        <v>24</v>
      </c>
      <c r="F851" t="s">
        <v>17</v>
      </c>
      <c r="G851" t="s">
        <v>55</v>
      </c>
      <c r="H851" t="s">
        <v>19</v>
      </c>
      <c r="I851">
        <v>1</v>
      </c>
      <c r="J851">
        <v>24</v>
      </c>
      <c r="K851">
        <v>59.21</v>
      </c>
      <c r="L851">
        <v>0</v>
      </c>
    </row>
    <row r="852" spans="1:12">
      <c r="A852" t="s">
        <v>2488</v>
      </c>
      <c r="B852" t="s">
        <v>2489</v>
      </c>
      <c r="C852" t="s">
        <v>2490</v>
      </c>
      <c r="D852" t="s">
        <v>23</v>
      </c>
      <c r="E852" t="s">
        <v>24</v>
      </c>
      <c r="F852" t="s">
        <v>29</v>
      </c>
      <c r="G852" t="s">
        <v>45</v>
      </c>
      <c r="H852" t="s">
        <v>19</v>
      </c>
      <c r="I852">
        <v>5</v>
      </c>
      <c r="J852">
        <v>24</v>
      </c>
      <c r="K852">
        <v>7.47</v>
      </c>
      <c r="L852">
        <v>1</v>
      </c>
    </row>
    <row r="853" spans="1:12">
      <c r="A853" t="s">
        <v>2491</v>
      </c>
      <c r="B853" t="s">
        <v>2492</v>
      </c>
      <c r="D853" t="s">
        <v>23</v>
      </c>
      <c r="E853" t="s">
        <v>24</v>
      </c>
      <c r="F853" t="s">
        <v>17</v>
      </c>
      <c r="G853" t="s">
        <v>172</v>
      </c>
      <c r="H853" t="s">
        <v>46</v>
      </c>
      <c r="J853">
        <v>24</v>
      </c>
    </row>
    <row r="854" spans="1:12">
      <c r="A854" t="s">
        <v>2493</v>
      </c>
      <c r="B854" t="s">
        <v>2494</v>
      </c>
      <c r="C854" t="s">
        <v>2495</v>
      </c>
      <c r="D854" t="s">
        <v>23</v>
      </c>
      <c r="E854" t="s">
        <v>16</v>
      </c>
      <c r="F854" t="s">
        <v>41</v>
      </c>
      <c r="G854" t="s">
        <v>105</v>
      </c>
      <c r="H854" t="s">
        <v>31</v>
      </c>
      <c r="I854">
        <v>3</v>
      </c>
      <c r="J854">
        <v>24</v>
      </c>
      <c r="K854">
        <v>13.76</v>
      </c>
      <c r="L854">
        <v>1</v>
      </c>
    </row>
    <row r="855" spans="1:12">
      <c r="A855" t="s">
        <v>2496</v>
      </c>
      <c r="B855" t="s">
        <v>2497</v>
      </c>
      <c r="D855" t="s">
        <v>15</v>
      </c>
      <c r="E855" t="s">
        <v>59</v>
      </c>
      <c r="F855" t="s">
        <v>60</v>
      </c>
      <c r="G855" t="s">
        <v>151</v>
      </c>
      <c r="H855" t="s">
        <v>46</v>
      </c>
      <c r="J855">
        <v>8</v>
      </c>
    </row>
    <row r="856" spans="1:12">
      <c r="A856" t="s">
        <v>2498</v>
      </c>
      <c r="B856" t="s">
        <v>2499</v>
      </c>
      <c r="C856" t="s">
        <v>2500</v>
      </c>
      <c r="D856" t="s">
        <v>23</v>
      </c>
      <c r="E856" t="s">
        <v>16</v>
      </c>
      <c r="F856" t="s">
        <v>36</v>
      </c>
      <c r="G856" t="s">
        <v>45</v>
      </c>
      <c r="H856" t="s">
        <v>19</v>
      </c>
      <c r="I856">
        <v>5</v>
      </c>
      <c r="J856">
        <v>24</v>
      </c>
      <c r="K856">
        <v>22.34</v>
      </c>
      <c r="L856">
        <v>1</v>
      </c>
    </row>
    <row r="857" spans="1:12">
      <c r="A857" t="s">
        <v>2501</v>
      </c>
      <c r="B857" t="s">
        <v>2502</v>
      </c>
      <c r="C857" t="s">
        <v>2503</v>
      </c>
      <c r="D857" t="s">
        <v>35</v>
      </c>
      <c r="E857" t="s">
        <v>54</v>
      </c>
      <c r="F857" t="s">
        <v>60</v>
      </c>
      <c r="G857" t="s">
        <v>73</v>
      </c>
      <c r="H857" t="s">
        <v>19</v>
      </c>
      <c r="I857">
        <v>5</v>
      </c>
      <c r="J857">
        <v>48</v>
      </c>
      <c r="K857">
        <v>42.76</v>
      </c>
      <c r="L857">
        <v>1</v>
      </c>
    </row>
    <row r="858" spans="1:12">
      <c r="A858" t="s">
        <v>2504</v>
      </c>
      <c r="B858" t="s">
        <v>2505</v>
      </c>
      <c r="C858" t="s">
        <v>2506</v>
      </c>
      <c r="D858" t="s">
        <v>158</v>
      </c>
      <c r="E858" t="s">
        <v>16</v>
      </c>
      <c r="F858" t="s">
        <v>41</v>
      </c>
      <c r="G858" t="s">
        <v>73</v>
      </c>
      <c r="H858" t="s">
        <v>19</v>
      </c>
      <c r="I858">
        <v>4</v>
      </c>
      <c r="J858">
        <v>4</v>
      </c>
      <c r="K858">
        <v>3.73</v>
      </c>
      <c r="L858">
        <v>1</v>
      </c>
    </row>
    <row r="859" spans="1:12">
      <c r="A859" t="s">
        <v>2507</v>
      </c>
      <c r="B859" t="s">
        <v>2508</v>
      </c>
      <c r="D859" t="s">
        <v>15</v>
      </c>
      <c r="E859" t="s">
        <v>28</v>
      </c>
      <c r="F859" t="s">
        <v>41</v>
      </c>
      <c r="G859" t="s">
        <v>45</v>
      </c>
      <c r="H859" t="s">
        <v>63</v>
      </c>
      <c r="J859">
        <v>8</v>
      </c>
    </row>
    <row r="860" spans="1:12">
      <c r="A860" t="s">
        <v>2509</v>
      </c>
      <c r="B860" t="s">
        <v>2510</v>
      </c>
      <c r="C860" t="s">
        <v>2511</v>
      </c>
      <c r="D860" t="s">
        <v>23</v>
      </c>
      <c r="E860" t="s">
        <v>16</v>
      </c>
      <c r="F860" t="s">
        <v>29</v>
      </c>
      <c r="G860" t="s">
        <v>77</v>
      </c>
      <c r="H860" t="s">
        <v>19</v>
      </c>
      <c r="I860">
        <v>4</v>
      </c>
      <c r="J860">
        <v>24</v>
      </c>
      <c r="K860">
        <v>39.97</v>
      </c>
      <c r="L860">
        <v>0</v>
      </c>
    </row>
    <row r="861" spans="1:12">
      <c r="A861" t="s">
        <v>2512</v>
      </c>
      <c r="B861" t="s">
        <v>2513</v>
      </c>
      <c r="C861" t="s">
        <v>2514</v>
      </c>
      <c r="D861" t="s">
        <v>35</v>
      </c>
      <c r="E861" t="s">
        <v>54</v>
      </c>
      <c r="F861" t="s">
        <v>41</v>
      </c>
      <c r="G861" t="s">
        <v>30</v>
      </c>
      <c r="H861" t="s">
        <v>19</v>
      </c>
      <c r="I861">
        <v>4</v>
      </c>
      <c r="J861">
        <v>48</v>
      </c>
      <c r="K861">
        <v>12.27</v>
      </c>
      <c r="L861">
        <v>1</v>
      </c>
    </row>
    <row r="862" spans="1:12">
      <c r="A862" t="s">
        <v>2515</v>
      </c>
      <c r="B862" t="s">
        <v>2516</v>
      </c>
      <c r="C862" t="s">
        <v>2517</v>
      </c>
      <c r="D862" t="s">
        <v>23</v>
      </c>
      <c r="E862" t="s">
        <v>28</v>
      </c>
      <c r="F862" t="s">
        <v>41</v>
      </c>
      <c r="G862" t="s">
        <v>30</v>
      </c>
      <c r="H862" t="s">
        <v>19</v>
      </c>
      <c r="I862">
        <v>2</v>
      </c>
      <c r="J862">
        <v>24</v>
      </c>
      <c r="K862">
        <v>51.45</v>
      </c>
      <c r="L862">
        <v>0</v>
      </c>
    </row>
    <row r="863" spans="1:12">
      <c r="A863" t="s">
        <v>2518</v>
      </c>
      <c r="B863" t="s">
        <v>2519</v>
      </c>
      <c r="C863" t="s">
        <v>2520</v>
      </c>
      <c r="D863" t="s">
        <v>35</v>
      </c>
      <c r="E863" t="s">
        <v>16</v>
      </c>
      <c r="F863" t="s">
        <v>36</v>
      </c>
      <c r="G863" t="s">
        <v>172</v>
      </c>
      <c r="H863" t="s">
        <v>19</v>
      </c>
      <c r="I863">
        <v>1</v>
      </c>
      <c r="J863">
        <v>48</v>
      </c>
      <c r="K863">
        <v>67.31</v>
      </c>
      <c r="L863">
        <v>0</v>
      </c>
    </row>
    <row r="864" spans="1:12">
      <c r="A864" t="s">
        <v>2521</v>
      </c>
      <c r="B864" t="s">
        <v>2522</v>
      </c>
      <c r="C864" t="s">
        <v>2523</v>
      </c>
      <c r="D864" t="s">
        <v>35</v>
      </c>
      <c r="E864" t="s">
        <v>54</v>
      </c>
      <c r="F864" t="s">
        <v>60</v>
      </c>
      <c r="G864" t="s">
        <v>18</v>
      </c>
      <c r="H864" t="s">
        <v>31</v>
      </c>
      <c r="I864">
        <v>2</v>
      </c>
      <c r="J864">
        <v>48</v>
      </c>
      <c r="K864">
        <v>99.64</v>
      </c>
      <c r="L864">
        <v>0</v>
      </c>
    </row>
    <row r="865" spans="1:12">
      <c r="A865" t="s">
        <v>2524</v>
      </c>
      <c r="B865" t="s">
        <v>2525</v>
      </c>
      <c r="C865" t="s">
        <v>2526</v>
      </c>
      <c r="D865" t="s">
        <v>35</v>
      </c>
      <c r="E865" t="s">
        <v>28</v>
      </c>
      <c r="F865" t="s">
        <v>41</v>
      </c>
      <c r="G865" t="s">
        <v>151</v>
      </c>
      <c r="H865" t="s">
        <v>19</v>
      </c>
      <c r="I865">
        <v>5</v>
      </c>
      <c r="J865">
        <v>48</v>
      </c>
      <c r="K865">
        <v>16.399999999999999</v>
      </c>
      <c r="L865">
        <v>1</v>
      </c>
    </row>
    <row r="866" spans="1:12">
      <c r="A866" t="s">
        <v>2527</v>
      </c>
      <c r="B866" t="s">
        <v>2528</v>
      </c>
      <c r="C866" t="s">
        <v>2529</v>
      </c>
      <c r="D866" t="s">
        <v>23</v>
      </c>
      <c r="E866" t="s">
        <v>54</v>
      </c>
      <c r="F866" t="s">
        <v>36</v>
      </c>
      <c r="G866" t="s">
        <v>172</v>
      </c>
      <c r="H866" t="s">
        <v>19</v>
      </c>
      <c r="I866">
        <v>5</v>
      </c>
      <c r="J866">
        <v>24</v>
      </c>
      <c r="K866">
        <v>19.350000000000001</v>
      </c>
      <c r="L866">
        <v>1</v>
      </c>
    </row>
    <row r="867" spans="1:12">
      <c r="A867" t="s">
        <v>2530</v>
      </c>
      <c r="B867" t="s">
        <v>2531</v>
      </c>
      <c r="D867" t="s">
        <v>23</v>
      </c>
      <c r="E867" t="s">
        <v>28</v>
      </c>
      <c r="F867" t="s">
        <v>36</v>
      </c>
      <c r="G867" t="s">
        <v>172</v>
      </c>
      <c r="H867" t="s">
        <v>46</v>
      </c>
      <c r="J867">
        <v>24</v>
      </c>
    </row>
    <row r="868" spans="1:12">
      <c r="A868" t="s">
        <v>2532</v>
      </c>
      <c r="B868" t="s">
        <v>2533</v>
      </c>
      <c r="C868" t="s">
        <v>2534</v>
      </c>
      <c r="D868" t="s">
        <v>23</v>
      </c>
      <c r="E868" t="s">
        <v>28</v>
      </c>
      <c r="F868" t="s">
        <v>60</v>
      </c>
      <c r="G868" t="s">
        <v>73</v>
      </c>
      <c r="H868" t="s">
        <v>19</v>
      </c>
      <c r="I868">
        <v>4</v>
      </c>
      <c r="J868">
        <v>24</v>
      </c>
      <c r="K868">
        <v>15.53</v>
      </c>
      <c r="L868">
        <v>1</v>
      </c>
    </row>
    <row r="869" spans="1:12">
      <c r="A869" t="s">
        <v>2535</v>
      </c>
      <c r="B869" t="s">
        <v>2536</v>
      </c>
      <c r="C869" t="s">
        <v>2537</v>
      </c>
      <c r="D869" t="s">
        <v>23</v>
      </c>
      <c r="E869" t="s">
        <v>28</v>
      </c>
      <c r="F869" t="s">
        <v>60</v>
      </c>
      <c r="G869" t="s">
        <v>37</v>
      </c>
      <c r="H869" t="s">
        <v>19</v>
      </c>
      <c r="I869">
        <v>5</v>
      </c>
      <c r="J869">
        <v>24</v>
      </c>
      <c r="K869">
        <v>7.3</v>
      </c>
      <c r="L869">
        <v>1</v>
      </c>
    </row>
    <row r="870" spans="1:12">
      <c r="A870" t="s">
        <v>2538</v>
      </c>
      <c r="B870" t="s">
        <v>2539</v>
      </c>
      <c r="C870" t="s">
        <v>2540</v>
      </c>
      <c r="D870" t="s">
        <v>158</v>
      </c>
      <c r="E870" t="s">
        <v>16</v>
      </c>
      <c r="F870" t="s">
        <v>17</v>
      </c>
      <c r="G870" t="s">
        <v>37</v>
      </c>
      <c r="H870" t="s">
        <v>31</v>
      </c>
      <c r="I870">
        <v>5</v>
      </c>
      <c r="J870">
        <v>4</v>
      </c>
      <c r="K870">
        <v>2.96</v>
      </c>
      <c r="L870">
        <v>1</v>
      </c>
    </row>
    <row r="871" spans="1:12">
      <c r="A871" t="s">
        <v>2541</v>
      </c>
      <c r="B871" t="s">
        <v>2542</v>
      </c>
      <c r="C871" t="s">
        <v>2543</v>
      </c>
      <c r="D871" t="s">
        <v>15</v>
      </c>
      <c r="E871" t="s">
        <v>16</v>
      </c>
      <c r="F871" t="s">
        <v>29</v>
      </c>
      <c r="G871" t="s">
        <v>151</v>
      </c>
      <c r="H871" t="s">
        <v>31</v>
      </c>
      <c r="I871">
        <v>4</v>
      </c>
      <c r="J871">
        <v>8</v>
      </c>
      <c r="K871">
        <v>1.45</v>
      </c>
      <c r="L871">
        <v>1</v>
      </c>
    </row>
    <row r="872" spans="1:12">
      <c r="A872" t="s">
        <v>2544</v>
      </c>
      <c r="B872" t="s">
        <v>2545</v>
      </c>
      <c r="C872" t="s">
        <v>2546</v>
      </c>
      <c r="D872" t="s">
        <v>23</v>
      </c>
      <c r="E872" t="s">
        <v>16</v>
      </c>
      <c r="F872" t="s">
        <v>41</v>
      </c>
      <c r="G872" t="s">
        <v>45</v>
      </c>
      <c r="H872" t="s">
        <v>31</v>
      </c>
      <c r="I872">
        <v>5</v>
      </c>
      <c r="J872">
        <v>24</v>
      </c>
      <c r="K872">
        <v>17.829999999999998</v>
      </c>
      <c r="L872">
        <v>1</v>
      </c>
    </row>
    <row r="873" spans="1:12">
      <c r="A873" t="s">
        <v>2547</v>
      </c>
      <c r="B873" t="s">
        <v>2548</v>
      </c>
      <c r="C873" t="s">
        <v>2549</v>
      </c>
      <c r="D873" t="s">
        <v>15</v>
      </c>
      <c r="E873" t="s">
        <v>54</v>
      </c>
      <c r="F873" t="s">
        <v>36</v>
      </c>
      <c r="G873" t="s">
        <v>30</v>
      </c>
      <c r="H873" t="s">
        <v>19</v>
      </c>
      <c r="I873">
        <v>2</v>
      </c>
      <c r="J873">
        <v>8</v>
      </c>
      <c r="K873">
        <v>18.95</v>
      </c>
      <c r="L873">
        <v>0</v>
      </c>
    </row>
    <row r="874" spans="1:12">
      <c r="A874" t="s">
        <v>2550</v>
      </c>
      <c r="B874" t="s">
        <v>2551</v>
      </c>
      <c r="C874" t="s">
        <v>2552</v>
      </c>
      <c r="D874" t="s">
        <v>15</v>
      </c>
      <c r="E874" t="s">
        <v>28</v>
      </c>
      <c r="F874" t="s">
        <v>60</v>
      </c>
      <c r="G874" t="s">
        <v>42</v>
      </c>
      <c r="H874" t="s">
        <v>19</v>
      </c>
      <c r="I874">
        <v>4</v>
      </c>
      <c r="J874">
        <v>8</v>
      </c>
      <c r="K874">
        <v>6.97</v>
      </c>
      <c r="L874">
        <v>1</v>
      </c>
    </row>
    <row r="875" spans="1:12">
      <c r="A875" t="s">
        <v>2553</v>
      </c>
      <c r="B875" t="s">
        <v>2554</v>
      </c>
      <c r="C875" t="s">
        <v>2555</v>
      </c>
      <c r="D875" t="s">
        <v>35</v>
      </c>
      <c r="E875" t="s">
        <v>54</v>
      </c>
      <c r="F875" t="s">
        <v>29</v>
      </c>
      <c r="G875" t="s">
        <v>18</v>
      </c>
      <c r="H875" t="s">
        <v>19</v>
      </c>
      <c r="I875">
        <v>3</v>
      </c>
      <c r="J875">
        <v>48</v>
      </c>
      <c r="K875">
        <v>6.75</v>
      </c>
      <c r="L875">
        <v>1</v>
      </c>
    </row>
    <row r="876" spans="1:12">
      <c r="A876" t="s">
        <v>2556</v>
      </c>
      <c r="B876" t="s">
        <v>2557</v>
      </c>
      <c r="C876" t="s">
        <v>2558</v>
      </c>
      <c r="D876" t="s">
        <v>23</v>
      </c>
      <c r="E876" t="s">
        <v>28</v>
      </c>
      <c r="F876" t="s">
        <v>41</v>
      </c>
      <c r="G876" t="s">
        <v>42</v>
      </c>
      <c r="H876" t="s">
        <v>19</v>
      </c>
      <c r="I876">
        <v>4</v>
      </c>
      <c r="J876">
        <v>24</v>
      </c>
      <c r="K876">
        <v>18.98</v>
      </c>
      <c r="L876">
        <v>1</v>
      </c>
    </row>
    <row r="877" spans="1:12">
      <c r="A877" t="s">
        <v>2559</v>
      </c>
      <c r="B877" t="s">
        <v>2560</v>
      </c>
      <c r="C877" t="s">
        <v>2561</v>
      </c>
      <c r="D877" t="s">
        <v>158</v>
      </c>
      <c r="E877" t="s">
        <v>28</v>
      </c>
      <c r="F877" t="s">
        <v>36</v>
      </c>
      <c r="G877" t="s">
        <v>105</v>
      </c>
      <c r="H877" t="s">
        <v>31</v>
      </c>
      <c r="I877">
        <v>4</v>
      </c>
      <c r="J877">
        <v>4</v>
      </c>
      <c r="K877">
        <v>1.02</v>
      </c>
      <c r="L877">
        <v>1</v>
      </c>
    </row>
    <row r="878" spans="1:12">
      <c r="A878" t="s">
        <v>2562</v>
      </c>
      <c r="B878" t="s">
        <v>2563</v>
      </c>
      <c r="C878" t="s">
        <v>2564</v>
      </c>
      <c r="D878" t="s">
        <v>23</v>
      </c>
      <c r="E878" t="s">
        <v>16</v>
      </c>
      <c r="F878" t="s">
        <v>29</v>
      </c>
      <c r="G878" t="s">
        <v>55</v>
      </c>
      <c r="H878" t="s">
        <v>31</v>
      </c>
      <c r="I878">
        <v>5</v>
      </c>
      <c r="J878">
        <v>24</v>
      </c>
      <c r="K878">
        <v>11.58</v>
      </c>
      <c r="L878">
        <v>1</v>
      </c>
    </row>
    <row r="879" spans="1:12">
      <c r="A879" t="s">
        <v>2565</v>
      </c>
      <c r="B879" t="s">
        <v>2566</v>
      </c>
      <c r="C879" t="s">
        <v>2567</v>
      </c>
      <c r="D879" t="s">
        <v>35</v>
      </c>
      <c r="E879" t="s">
        <v>54</v>
      </c>
      <c r="F879" t="s">
        <v>17</v>
      </c>
      <c r="G879" t="s">
        <v>18</v>
      </c>
      <c r="H879" t="s">
        <v>19</v>
      </c>
      <c r="I879">
        <v>5</v>
      </c>
      <c r="J879">
        <v>48</v>
      </c>
      <c r="K879">
        <v>29.45</v>
      </c>
      <c r="L879">
        <v>1</v>
      </c>
    </row>
    <row r="880" spans="1:12">
      <c r="A880" t="s">
        <v>2568</v>
      </c>
      <c r="B880" t="s">
        <v>2569</v>
      </c>
      <c r="C880" t="s">
        <v>2570</v>
      </c>
      <c r="D880" t="s">
        <v>23</v>
      </c>
      <c r="E880" t="s">
        <v>24</v>
      </c>
      <c r="F880" t="s">
        <v>41</v>
      </c>
      <c r="G880" t="s">
        <v>42</v>
      </c>
      <c r="H880" t="s">
        <v>19</v>
      </c>
      <c r="I880">
        <v>4</v>
      </c>
      <c r="J880">
        <v>24</v>
      </c>
      <c r="K880">
        <v>11.79</v>
      </c>
      <c r="L880">
        <v>1</v>
      </c>
    </row>
    <row r="881" spans="1:12">
      <c r="A881" t="s">
        <v>2571</v>
      </c>
      <c r="B881" t="s">
        <v>2572</v>
      </c>
      <c r="C881" t="s">
        <v>2573</v>
      </c>
      <c r="D881" t="s">
        <v>35</v>
      </c>
      <c r="E881" t="s">
        <v>54</v>
      </c>
      <c r="F881" t="s">
        <v>41</v>
      </c>
      <c r="G881" t="s">
        <v>45</v>
      </c>
      <c r="H881" t="s">
        <v>31</v>
      </c>
      <c r="I881">
        <v>2</v>
      </c>
      <c r="J881">
        <v>48</v>
      </c>
      <c r="K881">
        <v>84.16</v>
      </c>
      <c r="L881">
        <v>0</v>
      </c>
    </row>
    <row r="882" spans="1:12">
      <c r="A882" t="s">
        <v>2574</v>
      </c>
      <c r="B882" t="s">
        <v>2575</v>
      </c>
      <c r="C882" t="s">
        <v>2576</v>
      </c>
      <c r="D882" t="s">
        <v>23</v>
      </c>
      <c r="E882" t="s">
        <v>16</v>
      </c>
      <c r="F882" t="s">
        <v>36</v>
      </c>
      <c r="G882" t="s">
        <v>73</v>
      </c>
      <c r="H882" t="s">
        <v>19</v>
      </c>
      <c r="I882">
        <v>5</v>
      </c>
      <c r="J882">
        <v>24</v>
      </c>
      <c r="K882">
        <v>19.05</v>
      </c>
      <c r="L882">
        <v>1</v>
      </c>
    </row>
    <row r="883" spans="1:12">
      <c r="A883" t="s">
        <v>2577</v>
      </c>
      <c r="B883" t="s">
        <v>2578</v>
      </c>
      <c r="C883" t="s">
        <v>2579</v>
      </c>
      <c r="D883" t="s">
        <v>35</v>
      </c>
      <c r="E883" t="s">
        <v>28</v>
      </c>
      <c r="F883" t="s">
        <v>17</v>
      </c>
      <c r="G883" t="s">
        <v>151</v>
      </c>
      <c r="H883" t="s">
        <v>19</v>
      </c>
      <c r="I883">
        <v>2</v>
      </c>
      <c r="J883">
        <v>48</v>
      </c>
      <c r="K883">
        <v>130.72999999999999</v>
      </c>
      <c r="L883">
        <v>0</v>
      </c>
    </row>
    <row r="884" spans="1:12">
      <c r="A884" t="s">
        <v>2580</v>
      </c>
      <c r="B884" t="s">
        <v>2581</v>
      </c>
      <c r="C884" t="s">
        <v>2582</v>
      </c>
      <c r="D884" t="s">
        <v>15</v>
      </c>
      <c r="E884" t="s">
        <v>28</v>
      </c>
      <c r="F884" t="s">
        <v>41</v>
      </c>
      <c r="G884" t="s">
        <v>37</v>
      </c>
      <c r="H884" t="s">
        <v>19</v>
      </c>
      <c r="I884">
        <v>5</v>
      </c>
      <c r="J884">
        <v>8</v>
      </c>
      <c r="K884">
        <v>1.84</v>
      </c>
      <c r="L884">
        <v>1</v>
      </c>
    </row>
    <row r="885" spans="1:12">
      <c r="A885" t="s">
        <v>2583</v>
      </c>
      <c r="B885" t="s">
        <v>2584</v>
      </c>
      <c r="C885" t="s">
        <v>2585</v>
      </c>
      <c r="D885" t="s">
        <v>23</v>
      </c>
      <c r="E885" t="s">
        <v>16</v>
      </c>
      <c r="F885" t="s">
        <v>60</v>
      </c>
      <c r="G885" t="s">
        <v>18</v>
      </c>
      <c r="H885" t="s">
        <v>19</v>
      </c>
      <c r="I885">
        <v>3</v>
      </c>
      <c r="J885">
        <v>24</v>
      </c>
      <c r="K885">
        <v>19.41</v>
      </c>
      <c r="L885">
        <v>1</v>
      </c>
    </row>
    <row r="886" spans="1:12">
      <c r="A886" t="s">
        <v>2586</v>
      </c>
      <c r="B886" t="s">
        <v>2587</v>
      </c>
      <c r="C886" t="s">
        <v>2588</v>
      </c>
      <c r="D886" t="s">
        <v>15</v>
      </c>
      <c r="E886" t="s">
        <v>16</v>
      </c>
      <c r="F886" t="s">
        <v>41</v>
      </c>
      <c r="G886" t="s">
        <v>37</v>
      </c>
      <c r="H886" t="s">
        <v>31</v>
      </c>
      <c r="I886">
        <v>5</v>
      </c>
      <c r="J886">
        <v>8</v>
      </c>
      <c r="K886">
        <v>4.8499999999999996</v>
      </c>
      <c r="L886">
        <v>1</v>
      </c>
    </row>
    <row r="887" spans="1:12">
      <c r="A887" t="s">
        <v>2589</v>
      </c>
      <c r="B887" t="s">
        <v>2590</v>
      </c>
      <c r="C887" t="s">
        <v>2591</v>
      </c>
      <c r="D887" t="s">
        <v>158</v>
      </c>
      <c r="E887" t="s">
        <v>28</v>
      </c>
      <c r="F887" t="s">
        <v>60</v>
      </c>
      <c r="G887" t="s">
        <v>55</v>
      </c>
      <c r="H887" t="s">
        <v>31</v>
      </c>
      <c r="I887">
        <v>3</v>
      </c>
      <c r="J887">
        <v>4</v>
      </c>
      <c r="K887">
        <v>11.26</v>
      </c>
      <c r="L887">
        <v>0</v>
      </c>
    </row>
    <row r="888" spans="1:12">
      <c r="A888" t="s">
        <v>2592</v>
      </c>
      <c r="B888" t="s">
        <v>2593</v>
      </c>
      <c r="C888" t="s">
        <v>2594</v>
      </c>
      <c r="D888" t="s">
        <v>23</v>
      </c>
      <c r="E888" t="s">
        <v>28</v>
      </c>
      <c r="F888" t="s">
        <v>41</v>
      </c>
      <c r="G888" t="s">
        <v>55</v>
      </c>
      <c r="H888" t="s">
        <v>19</v>
      </c>
      <c r="I888">
        <v>4</v>
      </c>
      <c r="J888">
        <v>24</v>
      </c>
      <c r="K888">
        <v>20.61</v>
      </c>
      <c r="L888">
        <v>1</v>
      </c>
    </row>
    <row r="889" spans="1:12">
      <c r="A889" t="s">
        <v>2595</v>
      </c>
      <c r="B889" t="s">
        <v>2596</v>
      </c>
      <c r="C889" t="s">
        <v>2597</v>
      </c>
      <c r="D889" t="s">
        <v>15</v>
      </c>
      <c r="E889" t="s">
        <v>54</v>
      </c>
      <c r="F889" t="s">
        <v>29</v>
      </c>
      <c r="G889" t="s">
        <v>50</v>
      </c>
      <c r="H889" t="s">
        <v>31</v>
      </c>
      <c r="I889">
        <v>4</v>
      </c>
      <c r="J889">
        <v>8</v>
      </c>
      <c r="K889">
        <v>2.76</v>
      </c>
      <c r="L889">
        <v>1</v>
      </c>
    </row>
    <row r="890" spans="1:12">
      <c r="A890" t="s">
        <v>2598</v>
      </c>
      <c r="B890" t="s">
        <v>2599</v>
      </c>
      <c r="C890" t="s">
        <v>2600</v>
      </c>
      <c r="D890" t="s">
        <v>23</v>
      </c>
      <c r="E890" t="s">
        <v>28</v>
      </c>
      <c r="F890" t="s">
        <v>60</v>
      </c>
      <c r="G890" t="s">
        <v>151</v>
      </c>
      <c r="H890" t="s">
        <v>19</v>
      </c>
      <c r="I890">
        <v>5</v>
      </c>
      <c r="J890">
        <v>24</v>
      </c>
      <c r="K890">
        <v>19.59</v>
      </c>
      <c r="L890">
        <v>1</v>
      </c>
    </row>
    <row r="891" spans="1:12">
      <c r="A891" t="s">
        <v>2601</v>
      </c>
      <c r="B891" t="s">
        <v>2602</v>
      </c>
      <c r="C891" t="s">
        <v>2603</v>
      </c>
      <c r="D891" t="s">
        <v>35</v>
      </c>
      <c r="E891" t="s">
        <v>16</v>
      </c>
      <c r="F891" t="s">
        <v>41</v>
      </c>
      <c r="G891" t="s">
        <v>37</v>
      </c>
      <c r="H891" t="s">
        <v>31</v>
      </c>
      <c r="I891">
        <v>5</v>
      </c>
      <c r="J891">
        <v>48</v>
      </c>
      <c r="K891">
        <v>34.770000000000003</v>
      </c>
      <c r="L891">
        <v>1</v>
      </c>
    </row>
    <row r="892" spans="1:12">
      <c r="A892" t="s">
        <v>2604</v>
      </c>
      <c r="B892" t="s">
        <v>2605</v>
      </c>
      <c r="C892" t="s">
        <v>2606</v>
      </c>
      <c r="D892" t="s">
        <v>35</v>
      </c>
      <c r="E892" t="s">
        <v>24</v>
      </c>
      <c r="F892" t="s">
        <v>17</v>
      </c>
      <c r="G892" t="s">
        <v>45</v>
      </c>
      <c r="H892" t="s">
        <v>31</v>
      </c>
      <c r="I892">
        <v>4</v>
      </c>
      <c r="J892">
        <v>48</v>
      </c>
      <c r="K892">
        <v>24.5</v>
      </c>
      <c r="L892">
        <v>1</v>
      </c>
    </row>
    <row r="893" spans="1:12">
      <c r="A893" t="s">
        <v>2607</v>
      </c>
      <c r="B893" t="s">
        <v>2608</v>
      </c>
      <c r="C893" t="s">
        <v>2609</v>
      </c>
      <c r="D893" t="s">
        <v>23</v>
      </c>
      <c r="E893" t="s">
        <v>24</v>
      </c>
      <c r="F893" t="s">
        <v>41</v>
      </c>
      <c r="G893" t="s">
        <v>50</v>
      </c>
      <c r="H893" t="s">
        <v>19</v>
      </c>
      <c r="I893">
        <v>3</v>
      </c>
      <c r="J893">
        <v>24</v>
      </c>
      <c r="K893">
        <v>3.36</v>
      </c>
      <c r="L893">
        <v>1</v>
      </c>
    </row>
    <row r="894" spans="1:12">
      <c r="A894" t="s">
        <v>2610</v>
      </c>
      <c r="B894" t="s">
        <v>2611</v>
      </c>
      <c r="C894" t="s">
        <v>2612</v>
      </c>
      <c r="D894" t="s">
        <v>15</v>
      </c>
      <c r="E894" t="s">
        <v>54</v>
      </c>
      <c r="F894" t="s">
        <v>17</v>
      </c>
      <c r="G894" t="s">
        <v>77</v>
      </c>
      <c r="H894" t="s">
        <v>19</v>
      </c>
      <c r="I894">
        <v>5</v>
      </c>
      <c r="J894">
        <v>8</v>
      </c>
      <c r="K894">
        <v>3.73</v>
      </c>
      <c r="L894">
        <v>1</v>
      </c>
    </row>
    <row r="895" spans="1:12">
      <c r="A895" t="s">
        <v>2613</v>
      </c>
      <c r="B895" t="s">
        <v>2614</v>
      </c>
      <c r="C895" t="s">
        <v>2615</v>
      </c>
      <c r="D895" t="s">
        <v>23</v>
      </c>
      <c r="E895" t="s">
        <v>28</v>
      </c>
      <c r="F895" t="s">
        <v>29</v>
      </c>
      <c r="G895" t="s">
        <v>172</v>
      </c>
      <c r="H895" t="s">
        <v>31</v>
      </c>
      <c r="I895">
        <v>5</v>
      </c>
      <c r="J895">
        <v>24</v>
      </c>
      <c r="K895">
        <v>13.76</v>
      </c>
      <c r="L895">
        <v>1</v>
      </c>
    </row>
    <row r="896" spans="1:12">
      <c r="A896" t="s">
        <v>2616</v>
      </c>
      <c r="B896" t="s">
        <v>2617</v>
      </c>
      <c r="C896" t="s">
        <v>2618</v>
      </c>
      <c r="D896" t="s">
        <v>23</v>
      </c>
      <c r="E896" t="s">
        <v>28</v>
      </c>
      <c r="F896" t="s">
        <v>36</v>
      </c>
      <c r="G896" t="s">
        <v>105</v>
      </c>
      <c r="H896" t="s">
        <v>19</v>
      </c>
      <c r="I896">
        <v>4</v>
      </c>
      <c r="J896">
        <v>24</v>
      </c>
      <c r="K896">
        <v>62.59</v>
      </c>
      <c r="L896">
        <v>0</v>
      </c>
    </row>
    <row r="897" spans="1:12">
      <c r="A897" t="s">
        <v>2619</v>
      </c>
      <c r="B897" t="s">
        <v>2620</v>
      </c>
      <c r="C897" t="s">
        <v>2621</v>
      </c>
      <c r="D897" t="s">
        <v>15</v>
      </c>
      <c r="E897" t="s">
        <v>24</v>
      </c>
      <c r="F897" t="s">
        <v>60</v>
      </c>
      <c r="G897" t="s">
        <v>55</v>
      </c>
      <c r="H897" t="s">
        <v>31</v>
      </c>
      <c r="I897">
        <v>1</v>
      </c>
      <c r="J897">
        <v>8</v>
      </c>
      <c r="K897">
        <v>896</v>
      </c>
      <c r="L897">
        <v>0</v>
      </c>
    </row>
    <row r="898" spans="1:12">
      <c r="A898" t="s">
        <v>2622</v>
      </c>
      <c r="B898" t="s">
        <v>2623</v>
      </c>
      <c r="C898" t="s">
        <v>2624</v>
      </c>
      <c r="D898" t="s">
        <v>15</v>
      </c>
      <c r="E898" t="s">
        <v>24</v>
      </c>
      <c r="F898" t="s">
        <v>17</v>
      </c>
      <c r="G898" t="s">
        <v>172</v>
      </c>
      <c r="H898" t="s">
        <v>19</v>
      </c>
      <c r="I898">
        <v>5</v>
      </c>
      <c r="J898">
        <v>8</v>
      </c>
      <c r="K898">
        <v>3.8</v>
      </c>
      <c r="L898">
        <v>1</v>
      </c>
    </row>
    <row r="899" spans="1:12">
      <c r="A899" t="s">
        <v>2625</v>
      </c>
      <c r="B899" t="s">
        <v>2626</v>
      </c>
      <c r="C899" t="s">
        <v>2627</v>
      </c>
      <c r="D899" t="s">
        <v>35</v>
      </c>
      <c r="E899" t="s">
        <v>24</v>
      </c>
      <c r="F899" t="s">
        <v>29</v>
      </c>
      <c r="G899" t="s">
        <v>172</v>
      </c>
      <c r="H899" t="s">
        <v>31</v>
      </c>
      <c r="I899">
        <v>5</v>
      </c>
      <c r="J899">
        <v>48</v>
      </c>
      <c r="K899">
        <v>13.04</v>
      </c>
      <c r="L899">
        <v>1</v>
      </c>
    </row>
    <row r="900" spans="1:12">
      <c r="A900" t="s">
        <v>2628</v>
      </c>
      <c r="B900" t="s">
        <v>2629</v>
      </c>
      <c r="C900" t="s">
        <v>2630</v>
      </c>
      <c r="D900" t="s">
        <v>23</v>
      </c>
      <c r="E900" t="s">
        <v>28</v>
      </c>
      <c r="F900" t="s">
        <v>41</v>
      </c>
      <c r="G900" t="s">
        <v>172</v>
      </c>
      <c r="H900" t="s">
        <v>19</v>
      </c>
      <c r="I900">
        <v>5</v>
      </c>
      <c r="J900">
        <v>24</v>
      </c>
      <c r="K900">
        <v>7.83</v>
      </c>
      <c r="L900">
        <v>1</v>
      </c>
    </row>
    <row r="901" spans="1:12">
      <c r="A901" t="s">
        <v>2631</v>
      </c>
      <c r="B901" t="s">
        <v>2632</v>
      </c>
      <c r="C901" t="s">
        <v>2633</v>
      </c>
      <c r="D901" t="s">
        <v>23</v>
      </c>
      <c r="E901" t="s">
        <v>54</v>
      </c>
      <c r="F901" t="s">
        <v>17</v>
      </c>
      <c r="G901" t="s">
        <v>77</v>
      </c>
      <c r="H901" t="s">
        <v>19</v>
      </c>
      <c r="I901">
        <v>4</v>
      </c>
      <c r="J901">
        <v>24</v>
      </c>
      <c r="K901">
        <v>18.760000000000002</v>
      </c>
      <c r="L901">
        <v>1</v>
      </c>
    </row>
    <row r="902" spans="1:12">
      <c r="A902" t="s">
        <v>2634</v>
      </c>
      <c r="B902" t="s">
        <v>2635</v>
      </c>
      <c r="C902" t="s">
        <v>2636</v>
      </c>
      <c r="D902" t="s">
        <v>35</v>
      </c>
      <c r="E902" t="s">
        <v>59</v>
      </c>
      <c r="F902" t="s">
        <v>60</v>
      </c>
      <c r="G902" t="s">
        <v>151</v>
      </c>
      <c r="H902" t="s">
        <v>19</v>
      </c>
      <c r="I902">
        <v>3</v>
      </c>
      <c r="J902">
        <v>48</v>
      </c>
      <c r="K902">
        <v>10.74</v>
      </c>
      <c r="L902">
        <v>1</v>
      </c>
    </row>
    <row r="903" spans="1:12">
      <c r="A903" t="s">
        <v>2637</v>
      </c>
      <c r="B903" t="s">
        <v>2638</v>
      </c>
      <c r="C903" t="s">
        <v>2639</v>
      </c>
      <c r="D903" t="s">
        <v>23</v>
      </c>
      <c r="E903" t="s">
        <v>24</v>
      </c>
      <c r="F903" t="s">
        <v>29</v>
      </c>
      <c r="G903" t="s">
        <v>172</v>
      </c>
      <c r="H903" t="s">
        <v>19</v>
      </c>
      <c r="I903">
        <v>4</v>
      </c>
      <c r="J903">
        <v>24</v>
      </c>
      <c r="K903">
        <v>11.26</v>
      </c>
      <c r="L903">
        <v>1</v>
      </c>
    </row>
    <row r="904" spans="1:12">
      <c r="A904" t="s">
        <v>2640</v>
      </c>
      <c r="B904" t="s">
        <v>2641</v>
      </c>
      <c r="D904" t="s">
        <v>23</v>
      </c>
      <c r="E904" t="s">
        <v>54</v>
      </c>
      <c r="F904" t="s">
        <v>60</v>
      </c>
      <c r="G904" t="s">
        <v>30</v>
      </c>
      <c r="H904" t="s">
        <v>46</v>
      </c>
      <c r="J904">
        <v>24</v>
      </c>
    </row>
    <row r="905" spans="1:12">
      <c r="A905" t="s">
        <v>2642</v>
      </c>
      <c r="B905" t="s">
        <v>2643</v>
      </c>
      <c r="C905" t="s">
        <v>2644</v>
      </c>
      <c r="D905" t="s">
        <v>23</v>
      </c>
      <c r="E905" t="s">
        <v>16</v>
      </c>
      <c r="F905" t="s">
        <v>29</v>
      </c>
      <c r="G905" t="s">
        <v>37</v>
      </c>
      <c r="H905" t="s">
        <v>19</v>
      </c>
      <c r="I905">
        <v>4</v>
      </c>
      <c r="J905">
        <v>24</v>
      </c>
      <c r="K905">
        <v>13.69</v>
      </c>
      <c r="L905">
        <v>1</v>
      </c>
    </row>
    <row r="906" spans="1:12">
      <c r="A906" t="s">
        <v>2645</v>
      </c>
      <c r="B906" t="s">
        <v>2646</v>
      </c>
      <c r="C906" t="s">
        <v>2647</v>
      </c>
      <c r="D906" t="s">
        <v>15</v>
      </c>
      <c r="E906" t="s">
        <v>28</v>
      </c>
      <c r="F906" t="s">
        <v>29</v>
      </c>
      <c r="G906" t="s">
        <v>77</v>
      </c>
      <c r="H906" t="s">
        <v>31</v>
      </c>
      <c r="I906">
        <v>5</v>
      </c>
      <c r="J906">
        <v>8</v>
      </c>
      <c r="K906">
        <v>3.55</v>
      </c>
      <c r="L906">
        <v>1</v>
      </c>
    </row>
    <row r="907" spans="1:12">
      <c r="A907" t="s">
        <v>2648</v>
      </c>
      <c r="B907" t="s">
        <v>2649</v>
      </c>
      <c r="C907" t="s">
        <v>2650</v>
      </c>
      <c r="D907" t="s">
        <v>23</v>
      </c>
      <c r="E907" t="s">
        <v>16</v>
      </c>
      <c r="F907" t="s">
        <v>41</v>
      </c>
      <c r="G907" t="s">
        <v>105</v>
      </c>
      <c r="H907" t="s">
        <v>19</v>
      </c>
      <c r="I907">
        <v>5</v>
      </c>
      <c r="J907">
        <v>24</v>
      </c>
      <c r="K907">
        <v>15.63</v>
      </c>
      <c r="L907">
        <v>1</v>
      </c>
    </row>
    <row r="908" spans="1:12">
      <c r="A908" t="s">
        <v>2651</v>
      </c>
      <c r="B908" t="s">
        <v>2652</v>
      </c>
      <c r="C908" t="s">
        <v>2653</v>
      </c>
      <c r="D908" t="s">
        <v>15</v>
      </c>
      <c r="E908" t="s">
        <v>24</v>
      </c>
      <c r="F908" t="s">
        <v>29</v>
      </c>
      <c r="G908" t="s">
        <v>37</v>
      </c>
      <c r="H908" t="s">
        <v>31</v>
      </c>
      <c r="I908">
        <v>5</v>
      </c>
      <c r="J908">
        <v>8</v>
      </c>
      <c r="K908">
        <v>1.66</v>
      </c>
      <c r="L908">
        <v>1</v>
      </c>
    </row>
    <row r="909" spans="1:12">
      <c r="A909" t="s">
        <v>2654</v>
      </c>
      <c r="B909" t="s">
        <v>2655</v>
      </c>
      <c r="C909" t="s">
        <v>2656</v>
      </c>
      <c r="D909" t="s">
        <v>15</v>
      </c>
      <c r="E909" t="s">
        <v>28</v>
      </c>
      <c r="F909" t="s">
        <v>29</v>
      </c>
      <c r="G909" t="s">
        <v>77</v>
      </c>
      <c r="H909" t="s">
        <v>19</v>
      </c>
      <c r="I909">
        <v>5</v>
      </c>
      <c r="J909">
        <v>8</v>
      </c>
      <c r="K909">
        <v>0.96</v>
      </c>
      <c r="L909">
        <v>1</v>
      </c>
    </row>
    <row r="910" spans="1:12">
      <c r="A910" t="s">
        <v>2657</v>
      </c>
      <c r="B910" t="s">
        <v>2658</v>
      </c>
      <c r="D910" t="s">
        <v>23</v>
      </c>
      <c r="E910" t="s">
        <v>28</v>
      </c>
      <c r="F910" t="s">
        <v>29</v>
      </c>
      <c r="G910" t="s">
        <v>105</v>
      </c>
      <c r="H910" t="s">
        <v>63</v>
      </c>
      <c r="J910">
        <v>24</v>
      </c>
    </row>
    <row r="911" spans="1:12">
      <c r="A911" t="s">
        <v>2659</v>
      </c>
      <c r="B911" t="s">
        <v>2660</v>
      </c>
      <c r="D911" t="s">
        <v>23</v>
      </c>
      <c r="E911" t="s">
        <v>28</v>
      </c>
      <c r="F911" t="s">
        <v>36</v>
      </c>
      <c r="G911" t="s">
        <v>151</v>
      </c>
      <c r="H911" t="s">
        <v>63</v>
      </c>
      <c r="J911">
        <v>24</v>
      </c>
    </row>
    <row r="912" spans="1:12">
      <c r="A912" t="s">
        <v>2661</v>
      </c>
      <c r="B912" t="s">
        <v>2662</v>
      </c>
      <c r="D912" t="s">
        <v>15</v>
      </c>
      <c r="E912" t="s">
        <v>16</v>
      </c>
      <c r="F912" t="s">
        <v>41</v>
      </c>
      <c r="G912" t="s">
        <v>172</v>
      </c>
      <c r="H912" t="s">
        <v>46</v>
      </c>
      <c r="J912">
        <v>8</v>
      </c>
    </row>
    <row r="913" spans="1:12">
      <c r="A913" t="s">
        <v>2663</v>
      </c>
      <c r="B913" t="s">
        <v>2664</v>
      </c>
      <c r="C913" t="s">
        <v>2665</v>
      </c>
      <c r="D913" t="s">
        <v>23</v>
      </c>
      <c r="E913" t="s">
        <v>28</v>
      </c>
      <c r="F913" t="s">
        <v>60</v>
      </c>
      <c r="G913" t="s">
        <v>55</v>
      </c>
      <c r="H913" t="s">
        <v>19</v>
      </c>
      <c r="I913">
        <v>5</v>
      </c>
      <c r="J913">
        <v>24</v>
      </c>
      <c r="K913">
        <v>16</v>
      </c>
      <c r="L913">
        <v>1</v>
      </c>
    </row>
    <row r="914" spans="1:12">
      <c r="A914" t="s">
        <v>2666</v>
      </c>
      <c r="B914" t="s">
        <v>2667</v>
      </c>
      <c r="C914" t="s">
        <v>2668</v>
      </c>
      <c r="D914" t="s">
        <v>23</v>
      </c>
      <c r="E914" t="s">
        <v>16</v>
      </c>
      <c r="F914" t="s">
        <v>60</v>
      </c>
      <c r="G914" t="s">
        <v>105</v>
      </c>
      <c r="H914" t="s">
        <v>19</v>
      </c>
      <c r="I914">
        <v>5</v>
      </c>
      <c r="J914">
        <v>24</v>
      </c>
      <c r="K914">
        <v>14.28</v>
      </c>
      <c r="L914">
        <v>1</v>
      </c>
    </row>
    <row r="915" spans="1:12">
      <c r="A915" t="s">
        <v>2669</v>
      </c>
      <c r="B915" t="s">
        <v>2670</v>
      </c>
      <c r="C915" t="s">
        <v>2671</v>
      </c>
      <c r="D915" t="s">
        <v>23</v>
      </c>
      <c r="E915" t="s">
        <v>24</v>
      </c>
      <c r="F915" t="s">
        <v>41</v>
      </c>
      <c r="G915" t="s">
        <v>37</v>
      </c>
      <c r="H915" t="s">
        <v>19</v>
      </c>
      <c r="I915">
        <v>4</v>
      </c>
      <c r="J915">
        <v>24</v>
      </c>
      <c r="K915">
        <v>20.53</v>
      </c>
      <c r="L915">
        <v>1</v>
      </c>
    </row>
    <row r="916" spans="1:12">
      <c r="A916" t="s">
        <v>2672</v>
      </c>
      <c r="B916" t="s">
        <v>2673</v>
      </c>
      <c r="C916" t="s">
        <v>2674</v>
      </c>
      <c r="D916" t="s">
        <v>158</v>
      </c>
      <c r="E916" t="s">
        <v>54</v>
      </c>
      <c r="F916" t="s">
        <v>41</v>
      </c>
      <c r="G916" t="s">
        <v>55</v>
      </c>
      <c r="H916" t="s">
        <v>31</v>
      </c>
      <c r="I916">
        <v>5</v>
      </c>
      <c r="J916">
        <v>4</v>
      </c>
      <c r="K916">
        <v>3.36</v>
      </c>
      <c r="L916">
        <v>1</v>
      </c>
    </row>
    <row r="917" spans="1:12">
      <c r="A917" t="s">
        <v>2675</v>
      </c>
      <c r="B917" t="s">
        <v>2676</v>
      </c>
      <c r="D917" t="s">
        <v>23</v>
      </c>
      <c r="E917" t="s">
        <v>54</v>
      </c>
      <c r="F917" t="s">
        <v>41</v>
      </c>
      <c r="G917" t="s">
        <v>105</v>
      </c>
      <c r="H917" t="s">
        <v>46</v>
      </c>
      <c r="J917">
        <v>24</v>
      </c>
    </row>
    <row r="918" spans="1:12">
      <c r="A918" t="s">
        <v>2677</v>
      </c>
      <c r="B918" t="s">
        <v>2678</v>
      </c>
      <c r="C918" t="s">
        <v>2679</v>
      </c>
      <c r="D918" t="s">
        <v>15</v>
      </c>
      <c r="E918" t="s">
        <v>28</v>
      </c>
      <c r="F918" t="s">
        <v>41</v>
      </c>
      <c r="G918" t="s">
        <v>105</v>
      </c>
      <c r="H918" t="s">
        <v>19</v>
      </c>
      <c r="I918">
        <v>2</v>
      </c>
      <c r="J918">
        <v>8</v>
      </c>
      <c r="K918">
        <v>16.41</v>
      </c>
      <c r="L918">
        <v>0</v>
      </c>
    </row>
    <row r="919" spans="1:12">
      <c r="A919" t="s">
        <v>2680</v>
      </c>
      <c r="B919" t="s">
        <v>2681</v>
      </c>
      <c r="C919" t="s">
        <v>2682</v>
      </c>
      <c r="D919" t="s">
        <v>15</v>
      </c>
      <c r="E919" t="s">
        <v>28</v>
      </c>
      <c r="F919" t="s">
        <v>17</v>
      </c>
      <c r="G919" t="s">
        <v>77</v>
      </c>
      <c r="H919" t="s">
        <v>19</v>
      </c>
      <c r="I919">
        <v>2</v>
      </c>
      <c r="J919">
        <v>8</v>
      </c>
      <c r="K919">
        <v>17.78</v>
      </c>
      <c r="L919">
        <v>0</v>
      </c>
    </row>
    <row r="920" spans="1:12">
      <c r="A920" t="s">
        <v>2683</v>
      </c>
      <c r="B920" t="s">
        <v>2684</v>
      </c>
      <c r="C920" t="s">
        <v>2685</v>
      </c>
      <c r="D920" t="s">
        <v>23</v>
      </c>
      <c r="E920" t="s">
        <v>28</v>
      </c>
      <c r="F920" t="s">
        <v>60</v>
      </c>
      <c r="G920" t="s">
        <v>73</v>
      </c>
      <c r="H920" t="s">
        <v>19</v>
      </c>
      <c r="I920">
        <v>4</v>
      </c>
      <c r="J920">
        <v>24</v>
      </c>
      <c r="K920">
        <v>10.039999999999999</v>
      </c>
      <c r="L920">
        <v>1</v>
      </c>
    </row>
    <row r="921" spans="1:12">
      <c r="A921" t="s">
        <v>2686</v>
      </c>
      <c r="B921" t="s">
        <v>2687</v>
      </c>
      <c r="C921" t="s">
        <v>2688</v>
      </c>
      <c r="D921" t="s">
        <v>23</v>
      </c>
      <c r="E921" t="s">
        <v>24</v>
      </c>
      <c r="F921" t="s">
        <v>60</v>
      </c>
      <c r="G921" t="s">
        <v>37</v>
      </c>
      <c r="H921" t="s">
        <v>19</v>
      </c>
      <c r="I921">
        <v>1</v>
      </c>
      <c r="J921">
        <v>24</v>
      </c>
      <c r="K921">
        <v>66.81</v>
      </c>
      <c r="L921">
        <v>0</v>
      </c>
    </row>
    <row r="922" spans="1:12">
      <c r="A922" t="s">
        <v>2689</v>
      </c>
      <c r="B922" t="s">
        <v>2690</v>
      </c>
      <c r="C922" t="s">
        <v>2691</v>
      </c>
      <c r="D922" t="s">
        <v>23</v>
      </c>
      <c r="E922" t="s">
        <v>24</v>
      </c>
      <c r="F922" t="s">
        <v>60</v>
      </c>
      <c r="G922" t="s">
        <v>172</v>
      </c>
      <c r="H922" t="s">
        <v>19</v>
      </c>
      <c r="I922">
        <v>4</v>
      </c>
      <c r="J922">
        <v>24</v>
      </c>
      <c r="K922">
        <v>12.22</v>
      </c>
      <c r="L922">
        <v>1</v>
      </c>
    </row>
    <row r="923" spans="1:12">
      <c r="A923" t="s">
        <v>2692</v>
      </c>
      <c r="B923" t="s">
        <v>2693</v>
      </c>
      <c r="C923" t="s">
        <v>2694</v>
      </c>
      <c r="D923" t="s">
        <v>35</v>
      </c>
      <c r="E923" t="s">
        <v>16</v>
      </c>
      <c r="F923" t="s">
        <v>41</v>
      </c>
      <c r="G923" t="s">
        <v>105</v>
      </c>
      <c r="H923" t="s">
        <v>31</v>
      </c>
      <c r="I923">
        <v>5</v>
      </c>
      <c r="J923">
        <v>48</v>
      </c>
      <c r="K923">
        <v>10.45</v>
      </c>
      <c r="L923">
        <v>1</v>
      </c>
    </row>
    <row r="924" spans="1:12">
      <c r="A924" t="s">
        <v>2695</v>
      </c>
      <c r="B924" t="s">
        <v>2696</v>
      </c>
      <c r="C924" t="s">
        <v>2697</v>
      </c>
      <c r="D924" t="s">
        <v>23</v>
      </c>
      <c r="E924" t="s">
        <v>28</v>
      </c>
      <c r="F924" t="s">
        <v>29</v>
      </c>
      <c r="G924" t="s">
        <v>42</v>
      </c>
      <c r="H924" t="s">
        <v>31</v>
      </c>
      <c r="I924">
        <v>4</v>
      </c>
      <c r="J924">
        <v>24</v>
      </c>
      <c r="K924">
        <v>10.76</v>
      </c>
      <c r="L924">
        <v>1</v>
      </c>
    </row>
    <row r="925" spans="1:12">
      <c r="A925" t="s">
        <v>2698</v>
      </c>
      <c r="B925" t="s">
        <v>2699</v>
      </c>
      <c r="C925" t="s">
        <v>2700</v>
      </c>
      <c r="D925" t="s">
        <v>15</v>
      </c>
      <c r="E925" t="s">
        <v>24</v>
      </c>
      <c r="F925" t="s">
        <v>41</v>
      </c>
      <c r="G925" t="s">
        <v>105</v>
      </c>
      <c r="H925" t="s">
        <v>19</v>
      </c>
      <c r="I925">
        <v>3</v>
      </c>
      <c r="J925">
        <v>8</v>
      </c>
      <c r="K925">
        <v>1.93</v>
      </c>
      <c r="L925">
        <v>1</v>
      </c>
    </row>
    <row r="926" spans="1:12">
      <c r="A926" t="s">
        <v>2701</v>
      </c>
      <c r="B926" t="s">
        <v>2702</v>
      </c>
      <c r="C926" t="s">
        <v>2703</v>
      </c>
      <c r="D926" t="s">
        <v>23</v>
      </c>
      <c r="E926" t="s">
        <v>16</v>
      </c>
      <c r="F926" t="s">
        <v>60</v>
      </c>
      <c r="G926" t="s">
        <v>151</v>
      </c>
      <c r="H926" t="s">
        <v>19</v>
      </c>
      <c r="I926">
        <v>5</v>
      </c>
      <c r="J926">
        <v>24</v>
      </c>
      <c r="K926">
        <v>6.33</v>
      </c>
      <c r="L926">
        <v>1</v>
      </c>
    </row>
    <row r="927" spans="1:12">
      <c r="A927" t="s">
        <v>2704</v>
      </c>
      <c r="B927" t="s">
        <v>2705</v>
      </c>
      <c r="C927" t="s">
        <v>2706</v>
      </c>
      <c r="D927" t="s">
        <v>23</v>
      </c>
      <c r="E927" t="s">
        <v>59</v>
      </c>
      <c r="F927" t="s">
        <v>60</v>
      </c>
      <c r="G927" t="s">
        <v>18</v>
      </c>
      <c r="H927" t="s">
        <v>31</v>
      </c>
      <c r="I927">
        <v>5</v>
      </c>
      <c r="J927">
        <v>24</v>
      </c>
      <c r="K927">
        <v>2.78</v>
      </c>
      <c r="L927">
        <v>1</v>
      </c>
    </row>
    <row r="928" spans="1:12">
      <c r="A928" t="s">
        <v>2707</v>
      </c>
      <c r="B928" t="s">
        <v>2708</v>
      </c>
      <c r="C928" t="s">
        <v>2709</v>
      </c>
      <c r="D928" t="s">
        <v>15</v>
      </c>
      <c r="E928" t="s">
        <v>28</v>
      </c>
      <c r="F928" t="s">
        <v>17</v>
      </c>
      <c r="G928" t="s">
        <v>18</v>
      </c>
      <c r="H928" t="s">
        <v>31</v>
      </c>
      <c r="I928">
        <v>1</v>
      </c>
      <c r="J928">
        <v>8</v>
      </c>
      <c r="K928">
        <v>6</v>
      </c>
      <c r="L928">
        <v>1</v>
      </c>
    </row>
    <row r="929" spans="1:12">
      <c r="A929" t="s">
        <v>2710</v>
      </c>
      <c r="B929" t="s">
        <v>2711</v>
      </c>
      <c r="C929" t="s">
        <v>2712</v>
      </c>
      <c r="D929" t="s">
        <v>23</v>
      </c>
      <c r="E929" t="s">
        <v>28</v>
      </c>
      <c r="F929" t="s">
        <v>36</v>
      </c>
      <c r="G929" t="s">
        <v>50</v>
      </c>
      <c r="H929" t="s">
        <v>31</v>
      </c>
      <c r="I929">
        <v>4</v>
      </c>
      <c r="J929">
        <v>24</v>
      </c>
      <c r="K929">
        <v>11.32</v>
      </c>
      <c r="L929">
        <v>1</v>
      </c>
    </row>
    <row r="930" spans="1:12">
      <c r="A930" t="s">
        <v>2713</v>
      </c>
      <c r="B930" t="s">
        <v>2714</v>
      </c>
      <c r="D930" t="s">
        <v>23</v>
      </c>
      <c r="E930" t="s">
        <v>28</v>
      </c>
      <c r="F930" t="s">
        <v>36</v>
      </c>
      <c r="G930" t="s">
        <v>42</v>
      </c>
      <c r="H930" t="s">
        <v>46</v>
      </c>
      <c r="J930">
        <v>24</v>
      </c>
    </row>
    <row r="931" spans="1:12">
      <c r="A931" t="s">
        <v>2715</v>
      </c>
      <c r="B931" t="s">
        <v>2716</v>
      </c>
      <c r="C931" t="s">
        <v>2717</v>
      </c>
      <c r="D931" t="s">
        <v>15</v>
      </c>
      <c r="E931" t="s">
        <v>24</v>
      </c>
      <c r="F931" t="s">
        <v>29</v>
      </c>
      <c r="G931" t="s">
        <v>42</v>
      </c>
      <c r="H931" t="s">
        <v>19</v>
      </c>
      <c r="I931">
        <v>1</v>
      </c>
      <c r="J931">
        <v>8</v>
      </c>
      <c r="K931">
        <v>18.989999999999998</v>
      </c>
      <c r="L931">
        <v>0</v>
      </c>
    </row>
    <row r="932" spans="1:12">
      <c r="A932" t="s">
        <v>2718</v>
      </c>
      <c r="B932" t="s">
        <v>2719</v>
      </c>
      <c r="C932" t="s">
        <v>2720</v>
      </c>
      <c r="D932" t="s">
        <v>15</v>
      </c>
      <c r="E932" t="s">
        <v>16</v>
      </c>
      <c r="F932" t="s">
        <v>29</v>
      </c>
      <c r="G932" t="s">
        <v>37</v>
      </c>
      <c r="H932" t="s">
        <v>19</v>
      </c>
      <c r="I932">
        <v>4</v>
      </c>
      <c r="J932">
        <v>8</v>
      </c>
      <c r="K932">
        <v>6.87</v>
      </c>
      <c r="L932">
        <v>1</v>
      </c>
    </row>
    <row r="933" spans="1:12">
      <c r="A933" t="s">
        <v>2721</v>
      </c>
      <c r="B933" t="s">
        <v>2722</v>
      </c>
      <c r="C933" t="s">
        <v>2723</v>
      </c>
      <c r="D933" t="s">
        <v>35</v>
      </c>
      <c r="E933" t="s">
        <v>28</v>
      </c>
      <c r="F933" t="s">
        <v>17</v>
      </c>
      <c r="G933" t="s">
        <v>55</v>
      </c>
      <c r="H933" t="s">
        <v>31</v>
      </c>
      <c r="I933">
        <v>4</v>
      </c>
      <c r="J933">
        <v>48</v>
      </c>
      <c r="K933">
        <v>35.5</v>
      </c>
      <c r="L933">
        <v>1</v>
      </c>
    </row>
    <row r="934" spans="1:12">
      <c r="A934" t="s">
        <v>2724</v>
      </c>
      <c r="B934" t="s">
        <v>2725</v>
      </c>
      <c r="C934" t="s">
        <v>2726</v>
      </c>
      <c r="D934" t="s">
        <v>15</v>
      </c>
      <c r="E934" t="s">
        <v>28</v>
      </c>
      <c r="F934" t="s">
        <v>60</v>
      </c>
      <c r="G934" t="s">
        <v>37</v>
      </c>
      <c r="H934" t="s">
        <v>19</v>
      </c>
      <c r="I934">
        <v>5</v>
      </c>
      <c r="J934">
        <v>8</v>
      </c>
      <c r="K934">
        <v>5.1100000000000003</v>
      </c>
      <c r="L934">
        <v>1</v>
      </c>
    </row>
    <row r="935" spans="1:12">
      <c r="A935" t="s">
        <v>2727</v>
      </c>
      <c r="B935" t="s">
        <v>2728</v>
      </c>
      <c r="C935" t="s">
        <v>2729</v>
      </c>
      <c r="D935" t="s">
        <v>15</v>
      </c>
      <c r="E935" t="s">
        <v>59</v>
      </c>
      <c r="F935" t="s">
        <v>36</v>
      </c>
      <c r="G935" t="s">
        <v>18</v>
      </c>
      <c r="H935" t="s">
        <v>31</v>
      </c>
      <c r="I935">
        <v>5</v>
      </c>
      <c r="J935">
        <v>8</v>
      </c>
      <c r="K935">
        <v>1.65</v>
      </c>
      <c r="L935">
        <v>1</v>
      </c>
    </row>
    <row r="936" spans="1:12">
      <c r="A936" t="s">
        <v>2730</v>
      </c>
      <c r="B936" t="s">
        <v>2731</v>
      </c>
      <c r="C936" t="s">
        <v>2732</v>
      </c>
      <c r="D936" t="s">
        <v>158</v>
      </c>
      <c r="E936" t="s">
        <v>54</v>
      </c>
      <c r="F936" t="s">
        <v>17</v>
      </c>
      <c r="G936" t="s">
        <v>73</v>
      </c>
      <c r="H936" t="s">
        <v>19</v>
      </c>
      <c r="I936">
        <v>2</v>
      </c>
      <c r="J936">
        <v>4</v>
      </c>
      <c r="K936">
        <v>10.3</v>
      </c>
      <c r="L936">
        <v>0</v>
      </c>
    </row>
    <row r="937" spans="1:12">
      <c r="A937" t="s">
        <v>2733</v>
      </c>
      <c r="B937" t="s">
        <v>2734</v>
      </c>
      <c r="D937" t="s">
        <v>35</v>
      </c>
      <c r="E937" t="s">
        <v>54</v>
      </c>
      <c r="F937" t="s">
        <v>36</v>
      </c>
      <c r="G937" t="s">
        <v>30</v>
      </c>
      <c r="H937" t="s">
        <v>63</v>
      </c>
      <c r="J937">
        <v>48</v>
      </c>
    </row>
    <row r="938" spans="1:12">
      <c r="A938" t="s">
        <v>2735</v>
      </c>
      <c r="B938" t="s">
        <v>2736</v>
      </c>
      <c r="C938" t="s">
        <v>2737</v>
      </c>
      <c r="D938" t="s">
        <v>158</v>
      </c>
      <c r="E938" t="s">
        <v>59</v>
      </c>
      <c r="F938" t="s">
        <v>41</v>
      </c>
      <c r="G938" t="s">
        <v>45</v>
      </c>
      <c r="H938" t="s">
        <v>31</v>
      </c>
      <c r="I938">
        <v>2</v>
      </c>
      <c r="J938">
        <v>4</v>
      </c>
      <c r="K938">
        <v>7.16</v>
      </c>
      <c r="L938">
        <v>0</v>
      </c>
    </row>
    <row r="939" spans="1:12">
      <c r="A939" t="s">
        <v>2738</v>
      </c>
      <c r="B939" t="s">
        <v>2739</v>
      </c>
      <c r="C939" t="s">
        <v>2740</v>
      </c>
      <c r="D939" t="s">
        <v>15</v>
      </c>
      <c r="E939" t="s">
        <v>16</v>
      </c>
      <c r="F939" t="s">
        <v>29</v>
      </c>
      <c r="G939" t="s">
        <v>30</v>
      </c>
      <c r="H939" t="s">
        <v>19</v>
      </c>
      <c r="I939">
        <v>3</v>
      </c>
      <c r="J939">
        <v>8</v>
      </c>
      <c r="K939">
        <v>1.28</v>
      </c>
      <c r="L939">
        <v>1</v>
      </c>
    </row>
    <row r="940" spans="1:12">
      <c r="A940" t="s">
        <v>2741</v>
      </c>
      <c r="B940" t="s">
        <v>2742</v>
      </c>
      <c r="C940" t="s">
        <v>2743</v>
      </c>
      <c r="D940" t="s">
        <v>15</v>
      </c>
      <c r="E940" t="s">
        <v>24</v>
      </c>
      <c r="F940" t="s">
        <v>60</v>
      </c>
      <c r="G940" t="s">
        <v>45</v>
      </c>
      <c r="H940" t="s">
        <v>31</v>
      </c>
      <c r="I940">
        <v>5</v>
      </c>
      <c r="J940">
        <v>8</v>
      </c>
      <c r="K940">
        <v>4.2300000000000004</v>
      </c>
      <c r="L940">
        <v>1</v>
      </c>
    </row>
    <row r="941" spans="1:12">
      <c r="A941" t="s">
        <v>2744</v>
      </c>
      <c r="B941" t="s">
        <v>2745</v>
      </c>
      <c r="C941" t="s">
        <v>2746</v>
      </c>
      <c r="D941" t="s">
        <v>23</v>
      </c>
      <c r="E941" t="s">
        <v>28</v>
      </c>
      <c r="F941" t="s">
        <v>29</v>
      </c>
      <c r="G941" t="s">
        <v>105</v>
      </c>
      <c r="H941" t="s">
        <v>19</v>
      </c>
      <c r="I941">
        <v>4</v>
      </c>
      <c r="J941">
        <v>24</v>
      </c>
      <c r="K941">
        <v>22.45</v>
      </c>
      <c r="L941">
        <v>1</v>
      </c>
    </row>
    <row r="942" spans="1:12">
      <c r="A942" t="s">
        <v>2747</v>
      </c>
      <c r="B942" t="s">
        <v>2748</v>
      </c>
      <c r="D942" t="s">
        <v>35</v>
      </c>
      <c r="E942" t="s">
        <v>28</v>
      </c>
      <c r="F942" t="s">
        <v>17</v>
      </c>
      <c r="G942" t="s">
        <v>151</v>
      </c>
      <c r="H942" t="s">
        <v>63</v>
      </c>
      <c r="J942">
        <v>48</v>
      </c>
    </row>
    <row r="943" spans="1:12">
      <c r="A943" t="s">
        <v>2749</v>
      </c>
      <c r="B943" t="s">
        <v>2750</v>
      </c>
      <c r="C943" t="s">
        <v>2751</v>
      </c>
      <c r="D943" t="s">
        <v>23</v>
      </c>
      <c r="E943" t="s">
        <v>59</v>
      </c>
      <c r="F943" t="s">
        <v>17</v>
      </c>
      <c r="G943" t="s">
        <v>37</v>
      </c>
      <c r="H943" t="s">
        <v>31</v>
      </c>
      <c r="I943">
        <v>4</v>
      </c>
      <c r="J943">
        <v>24</v>
      </c>
      <c r="K943">
        <v>12.38</v>
      </c>
      <c r="L943">
        <v>1</v>
      </c>
    </row>
    <row r="944" spans="1:12">
      <c r="A944" t="s">
        <v>2752</v>
      </c>
      <c r="B944" t="s">
        <v>2753</v>
      </c>
      <c r="C944" t="s">
        <v>2754</v>
      </c>
      <c r="D944" t="s">
        <v>23</v>
      </c>
      <c r="E944" t="s">
        <v>54</v>
      </c>
      <c r="F944" t="s">
        <v>36</v>
      </c>
      <c r="G944" t="s">
        <v>77</v>
      </c>
      <c r="H944" t="s">
        <v>19</v>
      </c>
      <c r="I944">
        <v>2</v>
      </c>
      <c r="J944">
        <v>24</v>
      </c>
      <c r="K944">
        <v>56.63</v>
      </c>
      <c r="L944">
        <v>0</v>
      </c>
    </row>
    <row r="945" spans="1:12">
      <c r="A945" t="s">
        <v>2755</v>
      </c>
      <c r="B945" t="s">
        <v>2756</v>
      </c>
      <c r="C945" t="s">
        <v>2757</v>
      </c>
      <c r="D945" t="s">
        <v>35</v>
      </c>
      <c r="E945" t="s">
        <v>28</v>
      </c>
      <c r="F945" t="s">
        <v>60</v>
      </c>
      <c r="G945" t="s">
        <v>172</v>
      </c>
      <c r="H945" t="s">
        <v>19</v>
      </c>
      <c r="I945">
        <v>4</v>
      </c>
      <c r="J945">
        <v>48</v>
      </c>
      <c r="K945">
        <v>126.39</v>
      </c>
      <c r="L945">
        <v>0</v>
      </c>
    </row>
    <row r="946" spans="1:12">
      <c r="A946" t="s">
        <v>2758</v>
      </c>
      <c r="B946" t="s">
        <v>2759</v>
      </c>
      <c r="C946" t="s">
        <v>2760</v>
      </c>
      <c r="D946" t="s">
        <v>23</v>
      </c>
      <c r="E946" t="s">
        <v>59</v>
      </c>
      <c r="F946" t="s">
        <v>41</v>
      </c>
      <c r="G946" t="s">
        <v>30</v>
      </c>
      <c r="H946" t="s">
        <v>19</v>
      </c>
      <c r="I946">
        <v>5</v>
      </c>
      <c r="J946">
        <v>24</v>
      </c>
      <c r="K946">
        <v>8.14</v>
      </c>
      <c r="L946">
        <v>1</v>
      </c>
    </row>
    <row r="947" spans="1:12">
      <c r="A947" t="s">
        <v>2761</v>
      </c>
      <c r="B947" t="s">
        <v>2762</v>
      </c>
      <c r="C947" t="s">
        <v>2763</v>
      </c>
      <c r="D947" t="s">
        <v>15</v>
      </c>
      <c r="E947" t="s">
        <v>16</v>
      </c>
      <c r="F947" t="s">
        <v>29</v>
      </c>
      <c r="G947" t="s">
        <v>105</v>
      </c>
      <c r="H947" t="s">
        <v>19</v>
      </c>
      <c r="I947">
        <v>1</v>
      </c>
      <c r="J947">
        <v>8</v>
      </c>
      <c r="K947">
        <v>23.49</v>
      </c>
      <c r="L947">
        <v>0</v>
      </c>
    </row>
    <row r="948" spans="1:12">
      <c r="A948" t="s">
        <v>2764</v>
      </c>
      <c r="B948" t="s">
        <v>2765</v>
      </c>
      <c r="C948" t="s">
        <v>2766</v>
      </c>
      <c r="D948" t="s">
        <v>35</v>
      </c>
      <c r="E948" t="s">
        <v>16</v>
      </c>
      <c r="F948" t="s">
        <v>17</v>
      </c>
      <c r="G948" t="s">
        <v>30</v>
      </c>
      <c r="H948" t="s">
        <v>19</v>
      </c>
      <c r="I948">
        <v>3</v>
      </c>
      <c r="J948">
        <v>48</v>
      </c>
      <c r="K948">
        <v>87.47</v>
      </c>
      <c r="L948">
        <v>0</v>
      </c>
    </row>
    <row r="949" spans="1:12">
      <c r="A949" t="s">
        <v>2767</v>
      </c>
      <c r="B949" t="s">
        <v>2768</v>
      </c>
      <c r="C949" t="s">
        <v>2769</v>
      </c>
      <c r="D949" t="s">
        <v>23</v>
      </c>
      <c r="E949" t="s">
        <v>24</v>
      </c>
      <c r="F949" t="s">
        <v>17</v>
      </c>
      <c r="G949" t="s">
        <v>151</v>
      </c>
      <c r="H949" t="s">
        <v>31</v>
      </c>
      <c r="I949">
        <v>4</v>
      </c>
      <c r="J949">
        <v>24</v>
      </c>
      <c r="K949">
        <v>14.7</v>
      </c>
      <c r="L949">
        <v>1</v>
      </c>
    </row>
    <row r="950" spans="1:12">
      <c r="A950" t="s">
        <v>2770</v>
      </c>
      <c r="B950" t="s">
        <v>2771</v>
      </c>
      <c r="C950" t="s">
        <v>2772</v>
      </c>
      <c r="D950" t="s">
        <v>15</v>
      </c>
      <c r="E950" t="s">
        <v>24</v>
      </c>
      <c r="F950" t="s">
        <v>29</v>
      </c>
      <c r="G950" t="s">
        <v>55</v>
      </c>
      <c r="H950" t="s">
        <v>31</v>
      </c>
      <c r="I950">
        <v>1</v>
      </c>
      <c r="J950">
        <v>8</v>
      </c>
      <c r="K950">
        <v>19.77</v>
      </c>
      <c r="L950">
        <v>0</v>
      </c>
    </row>
    <row r="951" spans="1:12">
      <c r="A951" t="s">
        <v>2773</v>
      </c>
      <c r="B951" t="s">
        <v>2774</v>
      </c>
      <c r="C951" t="s">
        <v>2775</v>
      </c>
      <c r="D951" t="s">
        <v>23</v>
      </c>
      <c r="E951" t="s">
        <v>59</v>
      </c>
      <c r="F951" t="s">
        <v>60</v>
      </c>
      <c r="G951" t="s">
        <v>55</v>
      </c>
      <c r="H951" t="s">
        <v>19</v>
      </c>
      <c r="I951">
        <v>5</v>
      </c>
      <c r="J951">
        <v>24</v>
      </c>
      <c r="K951">
        <v>11.66</v>
      </c>
      <c r="L951">
        <v>1</v>
      </c>
    </row>
    <row r="952" spans="1:12">
      <c r="A952" t="s">
        <v>2776</v>
      </c>
      <c r="B952" t="s">
        <v>2777</v>
      </c>
      <c r="C952" t="s">
        <v>2778</v>
      </c>
      <c r="D952" t="s">
        <v>23</v>
      </c>
      <c r="E952" t="s">
        <v>54</v>
      </c>
      <c r="F952" t="s">
        <v>29</v>
      </c>
      <c r="G952" t="s">
        <v>37</v>
      </c>
      <c r="H952" t="s">
        <v>31</v>
      </c>
      <c r="I952">
        <v>5</v>
      </c>
      <c r="J952">
        <v>24</v>
      </c>
      <c r="K952">
        <v>4.88</v>
      </c>
      <c r="L952">
        <v>1</v>
      </c>
    </row>
    <row r="953" spans="1:12">
      <c r="A953" t="s">
        <v>2779</v>
      </c>
      <c r="B953" t="s">
        <v>2780</v>
      </c>
      <c r="C953" t="s">
        <v>2781</v>
      </c>
      <c r="D953" t="s">
        <v>23</v>
      </c>
      <c r="E953" t="s">
        <v>16</v>
      </c>
      <c r="F953" t="s">
        <v>17</v>
      </c>
      <c r="G953" t="s">
        <v>30</v>
      </c>
      <c r="H953" t="s">
        <v>19</v>
      </c>
      <c r="I953">
        <v>3</v>
      </c>
      <c r="J953">
        <v>24</v>
      </c>
      <c r="K953">
        <v>11.56</v>
      </c>
      <c r="L953">
        <v>1</v>
      </c>
    </row>
    <row r="954" spans="1:12">
      <c r="A954" t="s">
        <v>2782</v>
      </c>
      <c r="B954" t="s">
        <v>2783</v>
      </c>
      <c r="C954" t="s">
        <v>2784</v>
      </c>
      <c r="D954" t="s">
        <v>15</v>
      </c>
      <c r="E954" t="s">
        <v>16</v>
      </c>
      <c r="F954" t="s">
        <v>36</v>
      </c>
      <c r="G954" t="s">
        <v>105</v>
      </c>
      <c r="H954" t="s">
        <v>19</v>
      </c>
      <c r="I954">
        <v>5</v>
      </c>
      <c r="J954">
        <v>8</v>
      </c>
      <c r="K954">
        <v>7.31</v>
      </c>
      <c r="L954">
        <v>1</v>
      </c>
    </row>
    <row r="955" spans="1:12">
      <c r="A955" t="s">
        <v>2785</v>
      </c>
      <c r="B955" t="s">
        <v>2786</v>
      </c>
      <c r="C955" t="s">
        <v>2787</v>
      </c>
      <c r="D955" t="s">
        <v>15</v>
      </c>
      <c r="E955" t="s">
        <v>28</v>
      </c>
      <c r="F955" t="s">
        <v>36</v>
      </c>
      <c r="G955" t="s">
        <v>30</v>
      </c>
      <c r="H955" t="s">
        <v>19</v>
      </c>
      <c r="I955">
        <v>5</v>
      </c>
      <c r="J955">
        <v>8</v>
      </c>
      <c r="K955">
        <v>4.83</v>
      </c>
      <c r="L955">
        <v>1</v>
      </c>
    </row>
    <row r="956" spans="1:12">
      <c r="A956" t="s">
        <v>2788</v>
      </c>
      <c r="B956" t="s">
        <v>2789</v>
      </c>
      <c r="D956" t="s">
        <v>35</v>
      </c>
      <c r="E956" t="s">
        <v>28</v>
      </c>
      <c r="F956" t="s">
        <v>41</v>
      </c>
      <c r="G956" t="s">
        <v>18</v>
      </c>
      <c r="H956" t="s">
        <v>63</v>
      </c>
      <c r="J956">
        <v>48</v>
      </c>
    </row>
    <row r="957" spans="1:12">
      <c r="A957" t="s">
        <v>2790</v>
      </c>
      <c r="B957" t="s">
        <v>2791</v>
      </c>
      <c r="C957" t="s">
        <v>2792</v>
      </c>
      <c r="D957" t="s">
        <v>158</v>
      </c>
      <c r="E957" t="s">
        <v>28</v>
      </c>
      <c r="F957" t="s">
        <v>17</v>
      </c>
      <c r="G957" t="s">
        <v>42</v>
      </c>
      <c r="H957" t="s">
        <v>31</v>
      </c>
      <c r="I957">
        <v>5</v>
      </c>
      <c r="J957">
        <v>4</v>
      </c>
      <c r="K957">
        <v>3</v>
      </c>
      <c r="L957">
        <v>1</v>
      </c>
    </row>
    <row r="958" spans="1:12">
      <c r="A958" t="s">
        <v>2793</v>
      </c>
      <c r="B958" t="s">
        <v>2794</v>
      </c>
      <c r="C958" t="s">
        <v>2795</v>
      </c>
      <c r="D958" t="s">
        <v>15</v>
      </c>
      <c r="E958" t="s">
        <v>59</v>
      </c>
      <c r="F958" t="s">
        <v>36</v>
      </c>
      <c r="G958" t="s">
        <v>37</v>
      </c>
      <c r="H958" t="s">
        <v>19</v>
      </c>
      <c r="I958">
        <v>1</v>
      </c>
      <c r="J958">
        <v>8</v>
      </c>
      <c r="K958">
        <v>9.41</v>
      </c>
      <c r="L958">
        <v>0</v>
      </c>
    </row>
    <row r="959" spans="1:12">
      <c r="A959" t="s">
        <v>2796</v>
      </c>
      <c r="B959" t="s">
        <v>2797</v>
      </c>
      <c r="C959" t="s">
        <v>2798</v>
      </c>
      <c r="D959" t="s">
        <v>35</v>
      </c>
      <c r="E959" t="s">
        <v>24</v>
      </c>
      <c r="F959" t="s">
        <v>60</v>
      </c>
      <c r="G959" t="s">
        <v>151</v>
      </c>
      <c r="H959" t="s">
        <v>19</v>
      </c>
      <c r="I959">
        <v>3</v>
      </c>
      <c r="J959">
        <v>48</v>
      </c>
      <c r="K959">
        <v>7.08</v>
      </c>
      <c r="L959">
        <v>1</v>
      </c>
    </row>
    <row r="960" spans="1:12">
      <c r="A960" t="s">
        <v>2799</v>
      </c>
      <c r="B960" t="s">
        <v>2800</v>
      </c>
      <c r="C960" t="s">
        <v>2801</v>
      </c>
      <c r="D960" t="s">
        <v>23</v>
      </c>
      <c r="E960" t="s">
        <v>24</v>
      </c>
      <c r="F960" t="s">
        <v>41</v>
      </c>
      <c r="G960" t="s">
        <v>18</v>
      </c>
      <c r="H960" t="s">
        <v>31</v>
      </c>
      <c r="I960">
        <v>4</v>
      </c>
      <c r="J960">
        <v>24</v>
      </c>
      <c r="K960">
        <v>15.13</v>
      </c>
      <c r="L960">
        <v>1</v>
      </c>
    </row>
    <row r="961" spans="1:12">
      <c r="A961" t="s">
        <v>2802</v>
      </c>
      <c r="B961" t="s">
        <v>2803</v>
      </c>
      <c r="C961" t="s">
        <v>2804</v>
      </c>
      <c r="D961" t="s">
        <v>23</v>
      </c>
      <c r="E961" t="s">
        <v>16</v>
      </c>
      <c r="F961" t="s">
        <v>60</v>
      </c>
      <c r="G961" t="s">
        <v>42</v>
      </c>
      <c r="H961" t="s">
        <v>19</v>
      </c>
      <c r="I961">
        <v>2</v>
      </c>
      <c r="J961">
        <v>24</v>
      </c>
      <c r="K961">
        <v>61.84</v>
      </c>
      <c r="L961">
        <v>0</v>
      </c>
    </row>
    <row r="962" spans="1:12">
      <c r="A962" t="s">
        <v>2805</v>
      </c>
      <c r="B962" t="s">
        <v>2806</v>
      </c>
      <c r="C962" t="s">
        <v>2807</v>
      </c>
      <c r="D962" t="s">
        <v>23</v>
      </c>
      <c r="E962" t="s">
        <v>24</v>
      </c>
      <c r="F962" t="s">
        <v>36</v>
      </c>
      <c r="G962" t="s">
        <v>55</v>
      </c>
      <c r="H962" t="s">
        <v>31</v>
      </c>
      <c r="I962">
        <v>5</v>
      </c>
      <c r="J962">
        <v>24</v>
      </c>
      <c r="K962">
        <v>19.55</v>
      </c>
      <c r="L962">
        <v>1</v>
      </c>
    </row>
    <row r="963" spans="1:12">
      <c r="A963" t="s">
        <v>2808</v>
      </c>
      <c r="B963" t="s">
        <v>2809</v>
      </c>
      <c r="C963" t="s">
        <v>2810</v>
      </c>
      <c r="D963" t="s">
        <v>23</v>
      </c>
      <c r="E963" t="s">
        <v>28</v>
      </c>
      <c r="F963" t="s">
        <v>41</v>
      </c>
      <c r="G963" t="s">
        <v>50</v>
      </c>
      <c r="H963" t="s">
        <v>31</v>
      </c>
      <c r="I963">
        <v>5</v>
      </c>
      <c r="J963">
        <v>24</v>
      </c>
      <c r="K963">
        <v>7.36</v>
      </c>
      <c r="L963">
        <v>1</v>
      </c>
    </row>
    <row r="964" spans="1:12">
      <c r="A964" t="s">
        <v>2811</v>
      </c>
      <c r="B964" t="s">
        <v>2812</v>
      </c>
      <c r="C964" t="s">
        <v>2813</v>
      </c>
      <c r="D964" t="s">
        <v>15</v>
      </c>
      <c r="E964" t="s">
        <v>54</v>
      </c>
      <c r="F964" t="s">
        <v>60</v>
      </c>
      <c r="G964" t="s">
        <v>151</v>
      </c>
      <c r="H964" t="s">
        <v>31</v>
      </c>
      <c r="I964">
        <v>5</v>
      </c>
      <c r="J964">
        <v>8</v>
      </c>
      <c r="K964">
        <v>6.82</v>
      </c>
      <c r="L964">
        <v>1</v>
      </c>
    </row>
    <row r="965" spans="1:12">
      <c r="A965" t="s">
        <v>2814</v>
      </c>
      <c r="B965" t="s">
        <v>2815</v>
      </c>
      <c r="D965" t="s">
        <v>23</v>
      </c>
      <c r="E965" t="s">
        <v>54</v>
      </c>
      <c r="F965" t="s">
        <v>29</v>
      </c>
      <c r="G965" t="s">
        <v>172</v>
      </c>
      <c r="H965" t="s">
        <v>46</v>
      </c>
      <c r="J965">
        <v>24</v>
      </c>
    </row>
    <row r="966" spans="1:12">
      <c r="A966" t="s">
        <v>2816</v>
      </c>
      <c r="B966" t="s">
        <v>2817</v>
      </c>
      <c r="C966" t="s">
        <v>2818</v>
      </c>
      <c r="D966" t="s">
        <v>23</v>
      </c>
      <c r="E966" t="s">
        <v>28</v>
      </c>
      <c r="F966" t="s">
        <v>36</v>
      </c>
      <c r="G966" t="s">
        <v>18</v>
      </c>
      <c r="H966" t="s">
        <v>19</v>
      </c>
      <c r="I966">
        <v>2</v>
      </c>
      <c r="J966">
        <v>24</v>
      </c>
      <c r="K966">
        <v>65.39</v>
      </c>
      <c r="L966">
        <v>0</v>
      </c>
    </row>
    <row r="967" spans="1:12">
      <c r="A967" t="s">
        <v>2819</v>
      </c>
      <c r="B967" t="s">
        <v>2820</v>
      </c>
      <c r="C967" t="s">
        <v>2821</v>
      </c>
      <c r="D967" t="s">
        <v>35</v>
      </c>
      <c r="E967" t="s">
        <v>54</v>
      </c>
      <c r="F967" t="s">
        <v>17</v>
      </c>
      <c r="G967" t="s">
        <v>42</v>
      </c>
      <c r="H967" t="s">
        <v>19</v>
      </c>
      <c r="I967">
        <v>5</v>
      </c>
      <c r="J967">
        <v>48</v>
      </c>
      <c r="K967">
        <v>33.15</v>
      </c>
      <c r="L967">
        <v>1</v>
      </c>
    </row>
    <row r="968" spans="1:12">
      <c r="A968" t="s">
        <v>2822</v>
      </c>
      <c r="B968" t="s">
        <v>2823</v>
      </c>
      <c r="C968" t="s">
        <v>2824</v>
      </c>
      <c r="D968" t="s">
        <v>23</v>
      </c>
      <c r="E968" t="s">
        <v>16</v>
      </c>
      <c r="F968" t="s">
        <v>60</v>
      </c>
      <c r="G968" t="s">
        <v>172</v>
      </c>
      <c r="H968" t="s">
        <v>31</v>
      </c>
      <c r="I968">
        <v>4</v>
      </c>
      <c r="J968">
        <v>24</v>
      </c>
      <c r="K968">
        <v>5.71</v>
      </c>
      <c r="L968">
        <v>1</v>
      </c>
    </row>
    <row r="969" spans="1:12">
      <c r="A969" t="s">
        <v>2825</v>
      </c>
      <c r="B969" t="s">
        <v>2826</v>
      </c>
      <c r="D969" t="s">
        <v>35</v>
      </c>
      <c r="E969" t="s">
        <v>28</v>
      </c>
      <c r="F969" t="s">
        <v>36</v>
      </c>
      <c r="G969" t="s">
        <v>151</v>
      </c>
      <c r="H969" t="s">
        <v>63</v>
      </c>
      <c r="J969">
        <v>48</v>
      </c>
    </row>
    <row r="970" spans="1:12">
      <c r="A970" t="s">
        <v>2827</v>
      </c>
      <c r="B970" t="s">
        <v>2828</v>
      </c>
      <c r="C970" t="s">
        <v>2829</v>
      </c>
      <c r="D970" t="s">
        <v>23</v>
      </c>
      <c r="E970" t="s">
        <v>16</v>
      </c>
      <c r="F970" t="s">
        <v>41</v>
      </c>
      <c r="G970" t="s">
        <v>18</v>
      </c>
      <c r="H970" t="s">
        <v>19</v>
      </c>
      <c r="I970">
        <v>1</v>
      </c>
      <c r="J970">
        <v>24</v>
      </c>
      <c r="K970">
        <v>25.51</v>
      </c>
      <c r="L970">
        <v>0</v>
      </c>
    </row>
    <row r="971" spans="1:12">
      <c r="A971" t="s">
        <v>2830</v>
      </c>
      <c r="B971" t="s">
        <v>2831</v>
      </c>
      <c r="C971" t="s">
        <v>2832</v>
      </c>
      <c r="D971" t="s">
        <v>158</v>
      </c>
      <c r="E971" t="s">
        <v>59</v>
      </c>
      <c r="F971" t="s">
        <v>29</v>
      </c>
      <c r="G971" t="s">
        <v>50</v>
      </c>
      <c r="H971" t="s">
        <v>19</v>
      </c>
      <c r="I971">
        <v>3</v>
      </c>
      <c r="J971">
        <v>4</v>
      </c>
      <c r="K971">
        <v>3</v>
      </c>
      <c r="L971">
        <v>1</v>
      </c>
    </row>
    <row r="972" spans="1:12">
      <c r="A972" t="s">
        <v>2833</v>
      </c>
      <c r="B972" t="s">
        <v>2834</v>
      </c>
      <c r="C972" t="s">
        <v>2835</v>
      </c>
      <c r="D972" t="s">
        <v>15</v>
      </c>
      <c r="E972" t="s">
        <v>28</v>
      </c>
      <c r="F972" t="s">
        <v>17</v>
      </c>
      <c r="G972" t="s">
        <v>45</v>
      </c>
      <c r="H972" t="s">
        <v>31</v>
      </c>
      <c r="I972">
        <v>4</v>
      </c>
      <c r="J972">
        <v>8</v>
      </c>
      <c r="K972">
        <v>4.57</v>
      </c>
      <c r="L972">
        <v>1</v>
      </c>
    </row>
    <row r="973" spans="1:12">
      <c r="A973" t="s">
        <v>2836</v>
      </c>
      <c r="B973" t="s">
        <v>2837</v>
      </c>
      <c r="C973" t="s">
        <v>2838</v>
      </c>
      <c r="D973" t="s">
        <v>15</v>
      </c>
      <c r="E973" t="s">
        <v>28</v>
      </c>
      <c r="F973" t="s">
        <v>36</v>
      </c>
      <c r="G973" t="s">
        <v>30</v>
      </c>
      <c r="H973" t="s">
        <v>31</v>
      </c>
      <c r="I973">
        <v>5</v>
      </c>
      <c r="J973">
        <v>8</v>
      </c>
      <c r="K973">
        <v>5.25</v>
      </c>
      <c r="L973">
        <v>1</v>
      </c>
    </row>
    <row r="974" spans="1:12">
      <c r="A974" t="s">
        <v>2839</v>
      </c>
      <c r="B974" t="s">
        <v>2840</v>
      </c>
      <c r="C974" t="s">
        <v>2841</v>
      </c>
      <c r="D974" t="s">
        <v>35</v>
      </c>
      <c r="E974" t="s">
        <v>28</v>
      </c>
      <c r="F974" t="s">
        <v>17</v>
      </c>
      <c r="G974" t="s">
        <v>172</v>
      </c>
      <c r="H974" t="s">
        <v>31</v>
      </c>
      <c r="I974">
        <v>5</v>
      </c>
      <c r="J974">
        <v>48</v>
      </c>
      <c r="K974">
        <v>43.2</v>
      </c>
      <c r="L974">
        <v>1</v>
      </c>
    </row>
    <row r="975" spans="1:12">
      <c r="A975" t="s">
        <v>2842</v>
      </c>
      <c r="B975" t="s">
        <v>2843</v>
      </c>
      <c r="C975" t="s">
        <v>2844</v>
      </c>
      <c r="D975" t="s">
        <v>35</v>
      </c>
      <c r="E975" t="s">
        <v>16</v>
      </c>
      <c r="F975" t="s">
        <v>36</v>
      </c>
      <c r="G975" t="s">
        <v>42</v>
      </c>
      <c r="H975" t="s">
        <v>19</v>
      </c>
      <c r="I975">
        <v>1</v>
      </c>
      <c r="J975">
        <v>48</v>
      </c>
      <c r="K975">
        <v>124.8</v>
      </c>
      <c r="L975">
        <v>0</v>
      </c>
    </row>
    <row r="976" spans="1:12">
      <c r="A976" t="s">
        <v>2845</v>
      </c>
      <c r="B976" t="s">
        <v>2846</v>
      </c>
      <c r="C976" t="s">
        <v>2847</v>
      </c>
      <c r="D976" t="s">
        <v>23</v>
      </c>
      <c r="E976" t="s">
        <v>28</v>
      </c>
      <c r="F976" t="s">
        <v>41</v>
      </c>
      <c r="G976" t="s">
        <v>151</v>
      </c>
      <c r="H976" t="s">
        <v>19</v>
      </c>
      <c r="I976">
        <v>4</v>
      </c>
      <c r="J976">
        <v>24</v>
      </c>
      <c r="K976">
        <v>14.97</v>
      </c>
      <c r="L976">
        <v>1</v>
      </c>
    </row>
    <row r="977" spans="1:12">
      <c r="A977" t="s">
        <v>2848</v>
      </c>
      <c r="B977" t="s">
        <v>2849</v>
      </c>
      <c r="C977" t="s">
        <v>2850</v>
      </c>
      <c r="D977" t="s">
        <v>15</v>
      </c>
      <c r="E977" t="s">
        <v>24</v>
      </c>
      <c r="F977" t="s">
        <v>17</v>
      </c>
      <c r="G977" t="s">
        <v>30</v>
      </c>
      <c r="H977" t="s">
        <v>31</v>
      </c>
      <c r="I977">
        <v>5</v>
      </c>
      <c r="J977">
        <v>8</v>
      </c>
      <c r="K977">
        <v>1.66</v>
      </c>
      <c r="L977">
        <v>1</v>
      </c>
    </row>
    <row r="978" spans="1:12">
      <c r="A978" t="s">
        <v>2851</v>
      </c>
      <c r="B978" t="s">
        <v>2852</v>
      </c>
      <c r="C978" t="s">
        <v>2853</v>
      </c>
      <c r="D978" t="s">
        <v>35</v>
      </c>
      <c r="E978" t="s">
        <v>28</v>
      </c>
      <c r="F978" t="s">
        <v>36</v>
      </c>
      <c r="G978" t="s">
        <v>50</v>
      </c>
      <c r="H978" t="s">
        <v>31</v>
      </c>
      <c r="I978">
        <v>4</v>
      </c>
      <c r="J978">
        <v>48</v>
      </c>
      <c r="K978">
        <v>11.63</v>
      </c>
      <c r="L978">
        <v>1</v>
      </c>
    </row>
    <row r="979" spans="1:12">
      <c r="A979" t="s">
        <v>2854</v>
      </c>
      <c r="B979" t="s">
        <v>2855</v>
      </c>
      <c r="C979" t="s">
        <v>2856</v>
      </c>
      <c r="D979" t="s">
        <v>23</v>
      </c>
      <c r="E979" t="s">
        <v>16</v>
      </c>
      <c r="F979" t="s">
        <v>41</v>
      </c>
      <c r="G979" t="s">
        <v>77</v>
      </c>
      <c r="H979" t="s">
        <v>19</v>
      </c>
      <c r="I979">
        <v>5</v>
      </c>
      <c r="J979">
        <v>24</v>
      </c>
      <c r="K979">
        <v>10.029999999999999</v>
      </c>
      <c r="L979">
        <v>1</v>
      </c>
    </row>
    <row r="980" spans="1:12">
      <c r="A980" t="s">
        <v>2857</v>
      </c>
      <c r="B980" t="s">
        <v>2858</v>
      </c>
      <c r="C980" t="s">
        <v>2859</v>
      </c>
      <c r="D980" t="s">
        <v>35</v>
      </c>
      <c r="E980" t="s">
        <v>28</v>
      </c>
      <c r="F980" t="s">
        <v>60</v>
      </c>
      <c r="G980" t="s">
        <v>37</v>
      </c>
      <c r="H980" t="s">
        <v>31</v>
      </c>
      <c r="I980">
        <v>4</v>
      </c>
      <c r="J980">
        <v>48</v>
      </c>
      <c r="K980">
        <v>31.31</v>
      </c>
      <c r="L980">
        <v>1</v>
      </c>
    </row>
    <row r="981" spans="1:12">
      <c r="A981" t="s">
        <v>2860</v>
      </c>
      <c r="B981" t="s">
        <v>2861</v>
      </c>
      <c r="C981" t="s">
        <v>2862</v>
      </c>
      <c r="D981" t="s">
        <v>15</v>
      </c>
      <c r="E981" t="s">
        <v>16</v>
      </c>
      <c r="F981" t="s">
        <v>41</v>
      </c>
      <c r="G981" t="s">
        <v>18</v>
      </c>
      <c r="H981" t="s">
        <v>19</v>
      </c>
      <c r="I981">
        <v>4</v>
      </c>
      <c r="J981">
        <v>8</v>
      </c>
      <c r="K981">
        <v>17.309999999999999</v>
      </c>
      <c r="L981">
        <v>0</v>
      </c>
    </row>
    <row r="982" spans="1:12">
      <c r="A982" t="s">
        <v>2863</v>
      </c>
      <c r="B982" t="s">
        <v>2864</v>
      </c>
      <c r="C982" t="s">
        <v>2865</v>
      </c>
      <c r="D982" t="s">
        <v>15</v>
      </c>
      <c r="E982" t="s">
        <v>24</v>
      </c>
      <c r="F982" t="s">
        <v>36</v>
      </c>
      <c r="G982" t="s">
        <v>45</v>
      </c>
      <c r="H982" t="s">
        <v>19</v>
      </c>
      <c r="I982">
        <v>4</v>
      </c>
      <c r="J982">
        <v>8</v>
      </c>
      <c r="K982">
        <v>4.7699999999999996</v>
      </c>
      <c r="L982">
        <v>1</v>
      </c>
    </row>
    <row r="983" spans="1:12">
      <c r="A983" t="s">
        <v>2866</v>
      </c>
      <c r="B983" t="s">
        <v>2867</v>
      </c>
      <c r="C983" t="s">
        <v>2868</v>
      </c>
      <c r="D983" t="s">
        <v>15</v>
      </c>
      <c r="E983" t="s">
        <v>28</v>
      </c>
      <c r="F983" t="s">
        <v>41</v>
      </c>
      <c r="G983" t="s">
        <v>37</v>
      </c>
      <c r="H983" t="s">
        <v>19</v>
      </c>
      <c r="I983">
        <v>3</v>
      </c>
      <c r="J983">
        <v>8</v>
      </c>
      <c r="K983">
        <v>2.66</v>
      </c>
      <c r="L983">
        <v>1</v>
      </c>
    </row>
    <row r="984" spans="1:12">
      <c r="A984" t="s">
        <v>2869</v>
      </c>
      <c r="B984" t="s">
        <v>2870</v>
      </c>
      <c r="C984" t="s">
        <v>2871</v>
      </c>
      <c r="D984" t="s">
        <v>15</v>
      </c>
      <c r="E984" t="s">
        <v>54</v>
      </c>
      <c r="F984" t="s">
        <v>29</v>
      </c>
      <c r="G984" t="s">
        <v>42</v>
      </c>
      <c r="H984" t="s">
        <v>19</v>
      </c>
      <c r="I984">
        <v>3</v>
      </c>
      <c r="J984">
        <v>8</v>
      </c>
      <c r="K984">
        <v>4.5199999999999996</v>
      </c>
      <c r="L984">
        <v>1</v>
      </c>
    </row>
    <row r="985" spans="1:12">
      <c r="A985" t="s">
        <v>2872</v>
      </c>
      <c r="B985" t="s">
        <v>2873</v>
      </c>
      <c r="C985" t="s">
        <v>2874</v>
      </c>
      <c r="D985" t="s">
        <v>35</v>
      </c>
      <c r="E985" t="s">
        <v>24</v>
      </c>
      <c r="F985" t="s">
        <v>36</v>
      </c>
      <c r="G985" t="s">
        <v>172</v>
      </c>
      <c r="H985" t="s">
        <v>19</v>
      </c>
      <c r="I985">
        <v>4</v>
      </c>
      <c r="J985">
        <v>48</v>
      </c>
      <c r="K985">
        <v>12.82</v>
      </c>
      <c r="L985">
        <v>1</v>
      </c>
    </row>
    <row r="986" spans="1:12">
      <c r="A986" t="s">
        <v>2875</v>
      </c>
      <c r="B986" t="s">
        <v>2876</v>
      </c>
      <c r="C986" t="s">
        <v>2877</v>
      </c>
      <c r="D986" t="s">
        <v>23</v>
      </c>
      <c r="E986" t="s">
        <v>16</v>
      </c>
      <c r="F986" t="s">
        <v>29</v>
      </c>
      <c r="G986" t="s">
        <v>18</v>
      </c>
      <c r="H986" t="s">
        <v>31</v>
      </c>
      <c r="I986">
        <v>3</v>
      </c>
      <c r="J986">
        <v>24</v>
      </c>
      <c r="K986">
        <v>71.930000000000007</v>
      </c>
      <c r="L986">
        <v>0</v>
      </c>
    </row>
    <row r="987" spans="1:12">
      <c r="A987" t="s">
        <v>2878</v>
      </c>
      <c r="B987" t="s">
        <v>2879</v>
      </c>
      <c r="C987" t="s">
        <v>2880</v>
      </c>
      <c r="D987" t="s">
        <v>23</v>
      </c>
      <c r="E987" t="s">
        <v>28</v>
      </c>
      <c r="F987" t="s">
        <v>29</v>
      </c>
      <c r="G987" t="s">
        <v>45</v>
      </c>
      <c r="H987" t="s">
        <v>31</v>
      </c>
      <c r="I987">
        <v>4</v>
      </c>
      <c r="J987">
        <v>24</v>
      </c>
      <c r="K987">
        <v>10.64</v>
      </c>
      <c r="L987">
        <v>1</v>
      </c>
    </row>
    <row r="988" spans="1:12">
      <c r="A988" t="s">
        <v>2881</v>
      </c>
      <c r="B988" t="s">
        <v>2882</v>
      </c>
      <c r="C988" t="s">
        <v>2883</v>
      </c>
      <c r="D988" t="s">
        <v>23</v>
      </c>
      <c r="E988" t="s">
        <v>24</v>
      </c>
      <c r="F988" t="s">
        <v>60</v>
      </c>
      <c r="G988" t="s">
        <v>73</v>
      </c>
      <c r="H988" t="s">
        <v>31</v>
      </c>
      <c r="I988">
        <v>4</v>
      </c>
      <c r="J988">
        <v>24</v>
      </c>
      <c r="K988">
        <v>17.16</v>
      </c>
      <c r="L988">
        <v>1</v>
      </c>
    </row>
    <row r="989" spans="1:12">
      <c r="A989" t="s">
        <v>2884</v>
      </c>
      <c r="B989" t="s">
        <v>2885</v>
      </c>
      <c r="C989" t="s">
        <v>2886</v>
      </c>
      <c r="D989" t="s">
        <v>23</v>
      </c>
      <c r="E989" t="s">
        <v>16</v>
      </c>
      <c r="F989" t="s">
        <v>41</v>
      </c>
      <c r="G989" t="s">
        <v>105</v>
      </c>
      <c r="H989" t="s">
        <v>31</v>
      </c>
      <c r="I989">
        <v>5</v>
      </c>
      <c r="J989">
        <v>24</v>
      </c>
      <c r="K989">
        <v>4.1500000000000004</v>
      </c>
      <c r="L989">
        <v>1</v>
      </c>
    </row>
    <row r="990" spans="1:12">
      <c r="A990" t="s">
        <v>2887</v>
      </c>
      <c r="B990" t="s">
        <v>2888</v>
      </c>
      <c r="C990" t="s">
        <v>2889</v>
      </c>
      <c r="D990" t="s">
        <v>23</v>
      </c>
      <c r="E990" t="s">
        <v>54</v>
      </c>
      <c r="F990" t="s">
        <v>17</v>
      </c>
      <c r="G990" t="s">
        <v>50</v>
      </c>
      <c r="H990" t="s">
        <v>19</v>
      </c>
      <c r="I990">
        <v>5</v>
      </c>
      <c r="J990">
        <v>24</v>
      </c>
      <c r="K990">
        <v>10.039999999999999</v>
      </c>
      <c r="L990">
        <v>1</v>
      </c>
    </row>
    <row r="991" spans="1:12">
      <c r="A991" t="s">
        <v>2890</v>
      </c>
      <c r="B991" t="s">
        <v>2891</v>
      </c>
      <c r="C991" t="s">
        <v>2892</v>
      </c>
      <c r="D991" t="s">
        <v>15</v>
      </c>
      <c r="E991" t="s">
        <v>16</v>
      </c>
      <c r="F991" t="s">
        <v>41</v>
      </c>
      <c r="G991" t="s">
        <v>151</v>
      </c>
      <c r="H991" t="s">
        <v>31</v>
      </c>
      <c r="I991">
        <v>5</v>
      </c>
      <c r="J991">
        <v>8</v>
      </c>
      <c r="K991">
        <v>3.65</v>
      </c>
      <c r="L991">
        <v>1</v>
      </c>
    </row>
    <row r="992" spans="1:12">
      <c r="A992" t="s">
        <v>2893</v>
      </c>
      <c r="B992" t="s">
        <v>2894</v>
      </c>
      <c r="C992" t="s">
        <v>2895</v>
      </c>
      <c r="D992" t="s">
        <v>23</v>
      </c>
      <c r="E992" t="s">
        <v>54</v>
      </c>
      <c r="F992" t="s">
        <v>29</v>
      </c>
      <c r="G992" t="s">
        <v>172</v>
      </c>
      <c r="H992" t="s">
        <v>31</v>
      </c>
      <c r="I992">
        <v>4</v>
      </c>
      <c r="J992">
        <v>24</v>
      </c>
      <c r="K992">
        <v>3.06</v>
      </c>
      <c r="L992">
        <v>1</v>
      </c>
    </row>
    <row r="993" spans="1:12">
      <c r="A993" t="s">
        <v>2896</v>
      </c>
      <c r="B993" t="s">
        <v>2897</v>
      </c>
      <c r="C993" t="s">
        <v>2898</v>
      </c>
      <c r="D993" t="s">
        <v>23</v>
      </c>
      <c r="E993" t="s">
        <v>16</v>
      </c>
      <c r="F993" t="s">
        <v>60</v>
      </c>
      <c r="G993" t="s">
        <v>55</v>
      </c>
      <c r="H993" t="s">
        <v>31</v>
      </c>
      <c r="I993">
        <v>2</v>
      </c>
      <c r="J993">
        <v>24</v>
      </c>
      <c r="K993">
        <v>34.76</v>
      </c>
      <c r="L993">
        <v>0</v>
      </c>
    </row>
    <row r="994" spans="1:12">
      <c r="A994" t="s">
        <v>2899</v>
      </c>
      <c r="B994" t="s">
        <v>2900</v>
      </c>
      <c r="D994" t="s">
        <v>23</v>
      </c>
      <c r="E994" t="s">
        <v>28</v>
      </c>
      <c r="F994" t="s">
        <v>29</v>
      </c>
      <c r="G994" t="s">
        <v>55</v>
      </c>
      <c r="H994" t="s">
        <v>46</v>
      </c>
      <c r="J994">
        <v>24</v>
      </c>
    </row>
    <row r="995" spans="1:12">
      <c r="A995" t="s">
        <v>2901</v>
      </c>
      <c r="B995" t="s">
        <v>2902</v>
      </c>
      <c r="C995" t="s">
        <v>2903</v>
      </c>
      <c r="D995" t="s">
        <v>35</v>
      </c>
      <c r="E995" t="s">
        <v>24</v>
      </c>
      <c r="F995" t="s">
        <v>36</v>
      </c>
      <c r="G995" t="s">
        <v>151</v>
      </c>
      <c r="H995" t="s">
        <v>31</v>
      </c>
      <c r="I995">
        <v>4</v>
      </c>
      <c r="J995">
        <v>48</v>
      </c>
      <c r="K995">
        <v>32.909999999999997</v>
      </c>
      <c r="L995">
        <v>1</v>
      </c>
    </row>
    <row r="996" spans="1:12">
      <c r="A996" t="s">
        <v>2904</v>
      </c>
      <c r="B996" t="s">
        <v>2905</v>
      </c>
      <c r="C996" t="s">
        <v>2906</v>
      </c>
      <c r="D996" t="s">
        <v>15</v>
      </c>
      <c r="E996" t="s">
        <v>28</v>
      </c>
      <c r="F996" t="s">
        <v>41</v>
      </c>
      <c r="G996" t="s">
        <v>45</v>
      </c>
      <c r="H996" t="s">
        <v>19</v>
      </c>
      <c r="I996">
        <v>4</v>
      </c>
      <c r="J996">
        <v>8</v>
      </c>
      <c r="K996">
        <v>4.37</v>
      </c>
      <c r="L996">
        <v>1</v>
      </c>
    </row>
    <row r="997" spans="1:12">
      <c r="A997" t="s">
        <v>2907</v>
      </c>
      <c r="B997" t="s">
        <v>2908</v>
      </c>
      <c r="C997" t="s">
        <v>2909</v>
      </c>
      <c r="D997" t="s">
        <v>23</v>
      </c>
      <c r="E997" t="s">
        <v>24</v>
      </c>
      <c r="F997" t="s">
        <v>41</v>
      </c>
      <c r="G997" t="s">
        <v>37</v>
      </c>
      <c r="H997" t="s">
        <v>19</v>
      </c>
      <c r="I997">
        <v>4</v>
      </c>
      <c r="J997">
        <v>24</v>
      </c>
      <c r="K997">
        <v>13.34</v>
      </c>
      <c r="L997">
        <v>1</v>
      </c>
    </row>
    <row r="998" spans="1:12">
      <c r="A998" t="s">
        <v>2910</v>
      </c>
      <c r="B998" t="s">
        <v>2911</v>
      </c>
      <c r="C998" t="s">
        <v>2912</v>
      </c>
      <c r="D998" t="s">
        <v>23</v>
      </c>
      <c r="E998" t="s">
        <v>59</v>
      </c>
      <c r="F998" t="s">
        <v>17</v>
      </c>
      <c r="G998" t="s">
        <v>73</v>
      </c>
      <c r="H998" t="s">
        <v>31</v>
      </c>
      <c r="I998">
        <v>5</v>
      </c>
      <c r="J998">
        <v>24</v>
      </c>
      <c r="K998">
        <v>19.079999999999998</v>
      </c>
      <c r="L998">
        <v>1</v>
      </c>
    </row>
    <row r="999" spans="1:12">
      <c r="A999" t="s">
        <v>2913</v>
      </c>
      <c r="B999" t="s">
        <v>2914</v>
      </c>
      <c r="C999" t="s">
        <v>2915</v>
      </c>
      <c r="D999" t="s">
        <v>23</v>
      </c>
      <c r="E999" t="s">
        <v>59</v>
      </c>
      <c r="F999" t="s">
        <v>60</v>
      </c>
      <c r="G999" t="s">
        <v>18</v>
      </c>
      <c r="H999" t="s">
        <v>19</v>
      </c>
      <c r="I999">
        <v>3</v>
      </c>
      <c r="J999">
        <v>24</v>
      </c>
      <c r="K999">
        <v>8.02</v>
      </c>
      <c r="L999">
        <v>1</v>
      </c>
    </row>
    <row r="1000" spans="1:12">
      <c r="A1000" t="s">
        <v>2916</v>
      </c>
      <c r="B1000" t="s">
        <v>2917</v>
      </c>
      <c r="C1000" t="s">
        <v>2918</v>
      </c>
      <c r="D1000" t="s">
        <v>23</v>
      </c>
      <c r="E1000" t="s">
        <v>16</v>
      </c>
      <c r="F1000" t="s">
        <v>60</v>
      </c>
      <c r="G1000" t="s">
        <v>18</v>
      </c>
      <c r="H1000" t="s">
        <v>19</v>
      </c>
      <c r="I1000">
        <v>2</v>
      </c>
      <c r="J1000">
        <v>24</v>
      </c>
      <c r="K1000">
        <v>66.349999999999994</v>
      </c>
      <c r="L1000">
        <v>0</v>
      </c>
    </row>
    <row r="1001" spans="1:12">
      <c r="A1001" t="s">
        <v>2919</v>
      </c>
      <c r="B1001" t="s">
        <v>2920</v>
      </c>
      <c r="C1001" t="s">
        <v>2921</v>
      </c>
      <c r="D1001" t="s">
        <v>158</v>
      </c>
      <c r="E1001" t="s">
        <v>24</v>
      </c>
      <c r="F1001" t="s">
        <v>41</v>
      </c>
      <c r="G1001" t="s">
        <v>172</v>
      </c>
      <c r="H1001" t="s">
        <v>31</v>
      </c>
      <c r="I1001">
        <v>5</v>
      </c>
      <c r="J1001">
        <v>4</v>
      </c>
      <c r="K1001">
        <v>1.41</v>
      </c>
      <c r="L1001">
        <v>1</v>
      </c>
    </row>
    <row r="1002" spans="1:12">
      <c r="A1002" t="s">
        <v>2922</v>
      </c>
      <c r="B1002" t="s">
        <v>2923</v>
      </c>
      <c r="C1002" t="s">
        <v>2924</v>
      </c>
      <c r="D1002" t="s">
        <v>35</v>
      </c>
      <c r="E1002" t="s">
        <v>28</v>
      </c>
      <c r="F1002" t="s">
        <v>17</v>
      </c>
      <c r="G1002" t="s">
        <v>55</v>
      </c>
      <c r="H1002" t="s">
        <v>31</v>
      </c>
      <c r="I1002">
        <v>4</v>
      </c>
      <c r="J1002">
        <v>48</v>
      </c>
      <c r="K1002">
        <v>41.96</v>
      </c>
      <c r="L1002">
        <v>1</v>
      </c>
    </row>
    <row r="1003" spans="1:12">
      <c r="A1003" t="s">
        <v>2925</v>
      </c>
      <c r="B1003" t="s">
        <v>2926</v>
      </c>
      <c r="C1003" t="s">
        <v>2927</v>
      </c>
      <c r="D1003" t="s">
        <v>158</v>
      </c>
      <c r="E1003" t="s">
        <v>24</v>
      </c>
      <c r="F1003" t="s">
        <v>36</v>
      </c>
      <c r="G1003" t="s">
        <v>18</v>
      </c>
      <c r="H1003" t="s">
        <v>31</v>
      </c>
      <c r="I1003">
        <v>5</v>
      </c>
      <c r="J1003">
        <v>4</v>
      </c>
      <c r="K1003">
        <v>3.4</v>
      </c>
      <c r="L1003">
        <v>1</v>
      </c>
    </row>
    <row r="1004" spans="1:12">
      <c r="A1004" t="s">
        <v>2928</v>
      </c>
      <c r="B1004" t="s">
        <v>2929</v>
      </c>
      <c r="C1004" t="s">
        <v>2930</v>
      </c>
      <c r="D1004" t="s">
        <v>35</v>
      </c>
      <c r="E1004" t="s">
        <v>54</v>
      </c>
      <c r="F1004" t="s">
        <v>17</v>
      </c>
      <c r="G1004" t="s">
        <v>50</v>
      </c>
      <c r="H1004" t="s">
        <v>19</v>
      </c>
      <c r="I1004">
        <v>4</v>
      </c>
      <c r="J1004">
        <v>48</v>
      </c>
      <c r="K1004">
        <v>9.75</v>
      </c>
      <c r="L1004">
        <v>1</v>
      </c>
    </row>
    <row r="1005" spans="1:12">
      <c r="A1005" t="s">
        <v>2931</v>
      </c>
      <c r="B1005" t="s">
        <v>2932</v>
      </c>
      <c r="C1005" t="s">
        <v>2933</v>
      </c>
      <c r="D1005" t="s">
        <v>15</v>
      </c>
      <c r="E1005" t="s">
        <v>16</v>
      </c>
      <c r="F1005" t="s">
        <v>29</v>
      </c>
      <c r="G1005" t="s">
        <v>37</v>
      </c>
      <c r="H1005" t="s">
        <v>19</v>
      </c>
      <c r="I1005">
        <v>4</v>
      </c>
      <c r="J1005">
        <v>8</v>
      </c>
      <c r="K1005">
        <v>4.24</v>
      </c>
      <c r="L1005">
        <v>1</v>
      </c>
    </row>
    <row r="1006" spans="1:12">
      <c r="A1006" t="s">
        <v>2934</v>
      </c>
      <c r="B1006" t="s">
        <v>2935</v>
      </c>
      <c r="C1006" t="s">
        <v>2936</v>
      </c>
      <c r="D1006" t="s">
        <v>23</v>
      </c>
      <c r="E1006" t="s">
        <v>54</v>
      </c>
      <c r="F1006" t="s">
        <v>41</v>
      </c>
      <c r="G1006" t="s">
        <v>37</v>
      </c>
      <c r="H1006" t="s">
        <v>19</v>
      </c>
      <c r="I1006">
        <v>3</v>
      </c>
      <c r="J1006">
        <v>24</v>
      </c>
      <c r="K1006">
        <v>6.37</v>
      </c>
      <c r="L1006">
        <v>1</v>
      </c>
    </row>
    <row r="1007" spans="1:12">
      <c r="A1007" t="s">
        <v>2937</v>
      </c>
      <c r="B1007" t="s">
        <v>2938</v>
      </c>
      <c r="C1007" t="s">
        <v>2939</v>
      </c>
      <c r="D1007" t="s">
        <v>15</v>
      </c>
      <c r="E1007" t="s">
        <v>59</v>
      </c>
      <c r="F1007" t="s">
        <v>29</v>
      </c>
      <c r="G1007" t="s">
        <v>151</v>
      </c>
      <c r="H1007" t="s">
        <v>31</v>
      </c>
      <c r="I1007">
        <v>5</v>
      </c>
      <c r="J1007">
        <v>8</v>
      </c>
      <c r="K1007">
        <v>1.26</v>
      </c>
      <c r="L1007">
        <v>1</v>
      </c>
    </row>
    <row r="1008" spans="1:12">
      <c r="A1008" t="s">
        <v>2940</v>
      </c>
      <c r="B1008" t="s">
        <v>2941</v>
      </c>
      <c r="C1008" t="s">
        <v>2942</v>
      </c>
      <c r="D1008" t="s">
        <v>23</v>
      </c>
      <c r="E1008" t="s">
        <v>28</v>
      </c>
      <c r="F1008" t="s">
        <v>41</v>
      </c>
      <c r="G1008" t="s">
        <v>45</v>
      </c>
      <c r="H1008" t="s">
        <v>31</v>
      </c>
      <c r="I1008">
        <v>4</v>
      </c>
      <c r="J1008">
        <v>24</v>
      </c>
      <c r="K1008">
        <v>2.77</v>
      </c>
      <c r="L1008">
        <v>1</v>
      </c>
    </row>
    <row r="1009" spans="1:12">
      <c r="A1009" t="s">
        <v>2943</v>
      </c>
      <c r="B1009" t="s">
        <v>2944</v>
      </c>
      <c r="C1009" t="s">
        <v>2945</v>
      </c>
      <c r="D1009" t="s">
        <v>15</v>
      </c>
      <c r="E1009" t="s">
        <v>16</v>
      </c>
      <c r="F1009" t="s">
        <v>17</v>
      </c>
      <c r="G1009" t="s">
        <v>42</v>
      </c>
      <c r="H1009" t="s">
        <v>31</v>
      </c>
      <c r="I1009">
        <v>4</v>
      </c>
      <c r="J1009">
        <v>8</v>
      </c>
      <c r="K1009">
        <v>2.66</v>
      </c>
      <c r="L1009">
        <v>1</v>
      </c>
    </row>
    <row r="1010" spans="1:12">
      <c r="A1010" t="s">
        <v>2946</v>
      </c>
      <c r="B1010" t="s">
        <v>2947</v>
      </c>
      <c r="C1010" t="s">
        <v>2948</v>
      </c>
      <c r="D1010" t="s">
        <v>15</v>
      </c>
      <c r="E1010" t="s">
        <v>24</v>
      </c>
      <c r="F1010" t="s">
        <v>60</v>
      </c>
      <c r="G1010" t="s">
        <v>18</v>
      </c>
      <c r="H1010" t="s">
        <v>19</v>
      </c>
      <c r="I1010">
        <v>5</v>
      </c>
      <c r="J1010">
        <v>8</v>
      </c>
      <c r="K1010">
        <v>5.12</v>
      </c>
      <c r="L1010">
        <v>1</v>
      </c>
    </row>
    <row r="1011" spans="1:12">
      <c r="A1011" t="s">
        <v>2949</v>
      </c>
      <c r="B1011" t="s">
        <v>2950</v>
      </c>
      <c r="C1011" t="s">
        <v>2951</v>
      </c>
      <c r="D1011" t="s">
        <v>23</v>
      </c>
      <c r="E1011" t="s">
        <v>16</v>
      </c>
      <c r="F1011" t="s">
        <v>41</v>
      </c>
      <c r="G1011" t="s">
        <v>105</v>
      </c>
      <c r="H1011" t="s">
        <v>19</v>
      </c>
      <c r="I1011">
        <v>5</v>
      </c>
      <c r="J1011">
        <v>24</v>
      </c>
      <c r="K1011">
        <v>2.5</v>
      </c>
      <c r="L1011">
        <v>1</v>
      </c>
    </row>
    <row r="1012" spans="1:12">
      <c r="A1012" t="s">
        <v>2952</v>
      </c>
      <c r="B1012" t="s">
        <v>2953</v>
      </c>
      <c r="C1012" t="s">
        <v>2954</v>
      </c>
      <c r="D1012" t="s">
        <v>15</v>
      </c>
      <c r="E1012" t="s">
        <v>28</v>
      </c>
      <c r="F1012" t="s">
        <v>17</v>
      </c>
      <c r="G1012" t="s">
        <v>18</v>
      </c>
      <c r="H1012" t="s">
        <v>19</v>
      </c>
      <c r="I1012">
        <v>4</v>
      </c>
      <c r="J1012">
        <v>8</v>
      </c>
      <c r="K1012">
        <v>7.53</v>
      </c>
      <c r="L1012">
        <v>1</v>
      </c>
    </row>
    <row r="1013" spans="1:12">
      <c r="A1013" t="s">
        <v>2955</v>
      </c>
      <c r="B1013" t="s">
        <v>2956</v>
      </c>
      <c r="C1013" t="s">
        <v>2957</v>
      </c>
      <c r="D1013" t="s">
        <v>23</v>
      </c>
      <c r="E1013" t="s">
        <v>24</v>
      </c>
      <c r="F1013" t="s">
        <v>36</v>
      </c>
      <c r="G1013" t="s">
        <v>151</v>
      </c>
      <c r="H1013" t="s">
        <v>19</v>
      </c>
      <c r="I1013">
        <v>4</v>
      </c>
      <c r="J1013">
        <v>24</v>
      </c>
      <c r="K1013">
        <v>10.88</v>
      </c>
      <c r="L1013">
        <v>1</v>
      </c>
    </row>
    <row r="1014" spans="1:12">
      <c r="A1014" t="s">
        <v>2958</v>
      </c>
      <c r="B1014" t="s">
        <v>2959</v>
      </c>
      <c r="D1014" t="s">
        <v>15</v>
      </c>
      <c r="E1014" t="s">
        <v>54</v>
      </c>
      <c r="F1014" t="s">
        <v>60</v>
      </c>
      <c r="G1014" t="s">
        <v>18</v>
      </c>
      <c r="H1014" t="s">
        <v>63</v>
      </c>
      <c r="J1014">
        <v>8</v>
      </c>
    </row>
    <row r="1015" spans="1:12">
      <c r="A1015" t="s">
        <v>2960</v>
      </c>
      <c r="B1015" t="s">
        <v>2961</v>
      </c>
      <c r="C1015" t="s">
        <v>2962</v>
      </c>
      <c r="D1015" t="s">
        <v>35</v>
      </c>
      <c r="E1015" t="s">
        <v>24</v>
      </c>
      <c r="F1015" t="s">
        <v>17</v>
      </c>
      <c r="G1015" t="s">
        <v>42</v>
      </c>
      <c r="H1015" t="s">
        <v>19</v>
      </c>
      <c r="I1015">
        <v>4</v>
      </c>
      <c r="J1015">
        <v>48</v>
      </c>
      <c r="K1015">
        <v>21.21</v>
      </c>
      <c r="L1015">
        <v>1</v>
      </c>
    </row>
    <row r="1016" spans="1:12">
      <c r="A1016" t="s">
        <v>2963</v>
      </c>
      <c r="B1016" t="s">
        <v>2964</v>
      </c>
      <c r="C1016" t="s">
        <v>2965</v>
      </c>
      <c r="D1016" t="s">
        <v>15</v>
      </c>
      <c r="E1016" t="s">
        <v>28</v>
      </c>
      <c r="F1016" t="s">
        <v>29</v>
      </c>
      <c r="G1016" t="s">
        <v>151</v>
      </c>
      <c r="H1016" t="s">
        <v>31</v>
      </c>
      <c r="I1016">
        <v>4</v>
      </c>
      <c r="J1016">
        <v>8</v>
      </c>
      <c r="K1016">
        <v>6.82</v>
      </c>
      <c r="L1016">
        <v>1</v>
      </c>
    </row>
    <row r="1017" spans="1:12">
      <c r="A1017" t="s">
        <v>2966</v>
      </c>
      <c r="B1017" t="s">
        <v>2967</v>
      </c>
      <c r="C1017" t="s">
        <v>2968</v>
      </c>
      <c r="D1017" t="s">
        <v>23</v>
      </c>
      <c r="E1017" t="s">
        <v>59</v>
      </c>
      <c r="F1017" t="s">
        <v>36</v>
      </c>
      <c r="G1017" t="s">
        <v>105</v>
      </c>
      <c r="H1017" t="s">
        <v>19</v>
      </c>
      <c r="I1017">
        <v>1</v>
      </c>
      <c r="J1017">
        <v>24</v>
      </c>
      <c r="K1017">
        <v>65</v>
      </c>
      <c r="L1017">
        <v>0</v>
      </c>
    </row>
    <row r="1018" spans="1:12">
      <c r="A1018" t="s">
        <v>2969</v>
      </c>
      <c r="B1018" t="s">
        <v>2970</v>
      </c>
      <c r="D1018" t="s">
        <v>23</v>
      </c>
      <c r="E1018" t="s">
        <v>59</v>
      </c>
      <c r="F1018" t="s">
        <v>41</v>
      </c>
      <c r="G1018" t="s">
        <v>151</v>
      </c>
      <c r="H1018" t="s">
        <v>63</v>
      </c>
      <c r="J1018">
        <v>24</v>
      </c>
    </row>
    <row r="1019" spans="1:12">
      <c r="A1019" t="s">
        <v>2971</v>
      </c>
      <c r="B1019" t="s">
        <v>2972</v>
      </c>
      <c r="C1019" t="s">
        <v>2973</v>
      </c>
      <c r="D1019" t="s">
        <v>23</v>
      </c>
      <c r="E1019" t="s">
        <v>28</v>
      </c>
      <c r="F1019" t="s">
        <v>29</v>
      </c>
      <c r="G1019" t="s">
        <v>151</v>
      </c>
      <c r="H1019" t="s">
        <v>19</v>
      </c>
      <c r="I1019">
        <v>5</v>
      </c>
      <c r="J1019">
        <v>24</v>
      </c>
      <c r="K1019">
        <v>14.81</v>
      </c>
      <c r="L1019">
        <v>1</v>
      </c>
    </row>
    <row r="1020" spans="1:12">
      <c r="A1020" t="s">
        <v>2974</v>
      </c>
      <c r="B1020" t="s">
        <v>2975</v>
      </c>
      <c r="C1020" t="s">
        <v>2976</v>
      </c>
      <c r="D1020" t="s">
        <v>23</v>
      </c>
      <c r="E1020" t="s">
        <v>16</v>
      </c>
      <c r="F1020" t="s">
        <v>60</v>
      </c>
      <c r="G1020" t="s">
        <v>55</v>
      </c>
      <c r="H1020" t="s">
        <v>31</v>
      </c>
      <c r="I1020">
        <v>5</v>
      </c>
      <c r="J1020">
        <v>24</v>
      </c>
      <c r="K1020">
        <v>2.83</v>
      </c>
      <c r="L1020">
        <v>1</v>
      </c>
    </row>
    <row r="1021" spans="1:12">
      <c r="A1021" t="s">
        <v>2977</v>
      </c>
      <c r="B1021" t="s">
        <v>2978</v>
      </c>
      <c r="C1021" t="s">
        <v>2979</v>
      </c>
      <c r="D1021" t="s">
        <v>15</v>
      </c>
      <c r="E1021" t="s">
        <v>16</v>
      </c>
      <c r="F1021" t="s">
        <v>17</v>
      </c>
      <c r="G1021" t="s">
        <v>55</v>
      </c>
      <c r="H1021" t="s">
        <v>19</v>
      </c>
      <c r="I1021">
        <v>4</v>
      </c>
      <c r="J1021">
        <v>8</v>
      </c>
      <c r="K1021">
        <v>4.1900000000000004</v>
      </c>
      <c r="L1021">
        <v>1</v>
      </c>
    </row>
    <row r="1022" spans="1:12">
      <c r="A1022" t="s">
        <v>2980</v>
      </c>
      <c r="B1022" t="s">
        <v>2981</v>
      </c>
      <c r="C1022" t="s">
        <v>2982</v>
      </c>
      <c r="D1022" t="s">
        <v>15</v>
      </c>
      <c r="E1022" t="s">
        <v>28</v>
      </c>
      <c r="F1022" t="s">
        <v>60</v>
      </c>
      <c r="G1022" t="s">
        <v>50</v>
      </c>
      <c r="H1022" t="s">
        <v>31</v>
      </c>
      <c r="I1022">
        <v>5</v>
      </c>
      <c r="J1022">
        <v>8</v>
      </c>
      <c r="K1022">
        <v>2.69</v>
      </c>
      <c r="L1022">
        <v>1</v>
      </c>
    </row>
    <row r="1023" spans="1:12">
      <c r="A1023" t="s">
        <v>2983</v>
      </c>
      <c r="B1023" t="s">
        <v>2984</v>
      </c>
      <c r="C1023" t="s">
        <v>2985</v>
      </c>
      <c r="D1023" t="s">
        <v>158</v>
      </c>
      <c r="E1023" t="s">
        <v>16</v>
      </c>
      <c r="F1023" t="s">
        <v>41</v>
      </c>
      <c r="G1023" t="s">
        <v>151</v>
      </c>
      <c r="H1023" t="s">
        <v>31</v>
      </c>
      <c r="I1023">
        <v>5</v>
      </c>
      <c r="J1023">
        <v>4</v>
      </c>
      <c r="K1023">
        <v>1.18</v>
      </c>
      <c r="L1023">
        <v>1</v>
      </c>
    </row>
    <row r="1024" spans="1:12">
      <c r="A1024" t="s">
        <v>2986</v>
      </c>
      <c r="B1024" t="s">
        <v>2987</v>
      </c>
      <c r="C1024" t="s">
        <v>2988</v>
      </c>
      <c r="D1024" t="s">
        <v>15</v>
      </c>
      <c r="E1024" t="s">
        <v>28</v>
      </c>
      <c r="F1024" t="s">
        <v>17</v>
      </c>
      <c r="G1024" t="s">
        <v>151</v>
      </c>
      <c r="H1024" t="s">
        <v>31</v>
      </c>
      <c r="I1024">
        <v>5</v>
      </c>
      <c r="J1024">
        <v>8</v>
      </c>
      <c r="K1024">
        <v>6.73</v>
      </c>
      <c r="L1024">
        <v>1</v>
      </c>
    </row>
    <row r="1025" spans="1:12">
      <c r="A1025" t="s">
        <v>2989</v>
      </c>
      <c r="B1025" t="s">
        <v>2990</v>
      </c>
      <c r="D1025" t="s">
        <v>23</v>
      </c>
      <c r="E1025" t="s">
        <v>24</v>
      </c>
      <c r="F1025" t="s">
        <v>41</v>
      </c>
      <c r="G1025" t="s">
        <v>42</v>
      </c>
      <c r="H1025" t="s">
        <v>63</v>
      </c>
      <c r="J1025">
        <v>24</v>
      </c>
    </row>
    <row r="1026" spans="1:12">
      <c r="A1026" t="s">
        <v>2991</v>
      </c>
      <c r="B1026" t="s">
        <v>2992</v>
      </c>
      <c r="D1026" t="s">
        <v>23</v>
      </c>
      <c r="E1026" t="s">
        <v>24</v>
      </c>
      <c r="F1026" t="s">
        <v>17</v>
      </c>
      <c r="G1026" t="s">
        <v>73</v>
      </c>
      <c r="H1026" t="s">
        <v>63</v>
      </c>
      <c r="J1026">
        <v>24</v>
      </c>
    </row>
    <row r="1027" spans="1:12">
      <c r="A1027" t="s">
        <v>2993</v>
      </c>
      <c r="B1027" t="s">
        <v>2994</v>
      </c>
      <c r="C1027" t="s">
        <v>2995</v>
      </c>
      <c r="D1027" t="s">
        <v>23</v>
      </c>
      <c r="E1027" t="s">
        <v>28</v>
      </c>
      <c r="F1027" t="s">
        <v>41</v>
      </c>
      <c r="G1027" t="s">
        <v>45</v>
      </c>
      <c r="H1027" t="s">
        <v>19</v>
      </c>
      <c r="I1027">
        <v>5</v>
      </c>
      <c r="J1027">
        <v>24</v>
      </c>
      <c r="K1027">
        <v>11.05</v>
      </c>
      <c r="L1027">
        <v>1</v>
      </c>
    </row>
    <row r="1028" spans="1:12">
      <c r="A1028" t="s">
        <v>2996</v>
      </c>
      <c r="B1028" t="s">
        <v>2997</v>
      </c>
      <c r="C1028" t="s">
        <v>2998</v>
      </c>
      <c r="D1028" t="s">
        <v>15</v>
      </c>
      <c r="E1028" t="s">
        <v>28</v>
      </c>
      <c r="F1028" t="s">
        <v>17</v>
      </c>
      <c r="G1028" t="s">
        <v>45</v>
      </c>
      <c r="H1028" t="s">
        <v>31</v>
      </c>
      <c r="I1028">
        <v>4</v>
      </c>
      <c r="J1028">
        <v>8</v>
      </c>
      <c r="K1028">
        <v>7.27</v>
      </c>
      <c r="L1028">
        <v>1</v>
      </c>
    </row>
    <row r="1029" spans="1:12">
      <c r="A1029" t="s">
        <v>2999</v>
      </c>
      <c r="B1029" t="s">
        <v>3000</v>
      </c>
      <c r="C1029" t="s">
        <v>3001</v>
      </c>
      <c r="D1029" t="s">
        <v>15</v>
      </c>
      <c r="E1029" t="s">
        <v>28</v>
      </c>
      <c r="F1029" t="s">
        <v>60</v>
      </c>
      <c r="G1029" t="s">
        <v>55</v>
      </c>
      <c r="H1029" t="s">
        <v>31</v>
      </c>
      <c r="I1029">
        <v>5</v>
      </c>
      <c r="J1029">
        <v>8</v>
      </c>
      <c r="K1029">
        <v>6.37</v>
      </c>
      <c r="L1029">
        <v>1</v>
      </c>
    </row>
    <row r="1030" spans="1:12">
      <c r="A1030" t="s">
        <v>3002</v>
      </c>
      <c r="B1030" t="s">
        <v>3003</v>
      </c>
      <c r="C1030" t="s">
        <v>3004</v>
      </c>
      <c r="D1030" t="s">
        <v>23</v>
      </c>
      <c r="E1030" t="s">
        <v>28</v>
      </c>
      <c r="F1030" t="s">
        <v>36</v>
      </c>
      <c r="G1030" t="s">
        <v>45</v>
      </c>
      <c r="H1030" t="s">
        <v>31</v>
      </c>
      <c r="I1030">
        <v>4</v>
      </c>
      <c r="J1030">
        <v>24</v>
      </c>
      <c r="K1030">
        <v>17.22</v>
      </c>
      <c r="L1030">
        <v>1</v>
      </c>
    </row>
    <row r="1031" spans="1:12">
      <c r="A1031" t="s">
        <v>3005</v>
      </c>
      <c r="B1031" t="s">
        <v>3006</v>
      </c>
      <c r="C1031" t="s">
        <v>3007</v>
      </c>
      <c r="D1031" t="s">
        <v>15</v>
      </c>
      <c r="E1031" t="s">
        <v>28</v>
      </c>
      <c r="F1031" t="s">
        <v>60</v>
      </c>
      <c r="G1031" t="s">
        <v>55</v>
      </c>
      <c r="H1031" t="s">
        <v>19</v>
      </c>
      <c r="I1031">
        <v>4</v>
      </c>
      <c r="J1031">
        <v>8</v>
      </c>
      <c r="K1031">
        <v>5.66</v>
      </c>
      <c r="L1031">
        <v>1</v>
      </c>
    </row>
    <row r="1032" spans="1:12">
      <c r="A1032" t="s">
        <v>3008</v>
      </c>
      <c r="B1032" t="s">
        <v>3009</v>
      </c>
      <c r="C1032" t="s">
        <v>3010</v>
      </c>
      <c r="D1032" t="s">
        <v>15</v>
      </c>
      <c r="E1032" t="s">
        <v>24</v>
      </c>
      <c r="F1032" t="s">
        <v>60</v>
      </c>
      <c r="G1032" t="s">
        <v>105</v>
      </c>
      <c r="H1032" t="s">
        <v>31</v>
      </c>
      <c r="I1032">
        <v>5</v>
      </c>
      <c r="J1032">
        <v>8</v>
      </c>
      <c r="K1032">
        <v>7.09</v>
      </c>
      <c r="L1032">
        <v>1</v>
      </c>
    </row>
    <row r="1033" spans="1:12">
      <c r="A1033" t="s">
        <v>3011</v>
      </c>
      <c r="B1033" t="s">
        <v>3012</v>
      </c>
      <c r="C1033" t="s">
        <v>3013</v>
      </c>
      <c r="D1033" t="s">
        <v>23</v>
      </c>
      <c r="E1033" t="s">
        <v>28</v>
      </c>
      <c r="F1033" t="s">
        <v>60</v>
      </c>
      <c r="G1033" t="s">
        <v>42</v>
      </c>
      <c r="H1033" t="s">
        <v>19</v>
      </c>
      <c r="I1033">
        <v>4</v>
      </c>
      <c r="J1033">
        <v>24</v>
      </c>
      <c r="K1033">
        <v>21.2</v>
      </c>
      <c r="L1033">
        <v>1</v>
      </c>
    </row>
    <row r="1034" spans="1:12">
      <c r="A1034" t="s">
        <v>3014</v>
      </c>
      <c r="B1034" t="s">
        <v>3015</v>
      </c>
      <c r="C1034" t="s">
        <v>3016</v>
      </c>
      <c r="D1034" t="s">
        <v>15</v>
      </c>
      <c r="E1034" t="s">
        <v>16</v>
      </c>
      <c r="F1034" t="s">
        <v>29</v>
      </c>
      <c r="G1034" t="s">
        <v>105</v>
      </c>
      <c r="H1034" t="s">
        <v>19</v>
      </c>
      <c r="I1034">
        <v>4</v>
      </c>
      <c r="J1034">
        <v>8</v>
      </c>
      <c r="K1034">
        <v>5.12</v>
      </c>
      <c r="L1034">
        <v>1</v>
      </c>
    </row>
    <row r="1035" spans="1:12">
      <c r="A1035" t="s">
        <v>3017</v>
      </c>
      <c r="B1035" t="s">
        <v>3018</v>
      </c>
      <c r="C1035" t="s">
        <v>3019</v>
      </c>
      <c r="D1035" t="s">
        <v>23</v>
      </c>
      <c r="E1035" t="s">
        <v>59</v>
      </c>
      <c r="F1035" t="s">
        <v>17</v>
      </c>
      <c r="G1035" t="s">
        <v>18</v>
      </c>
      <c r="H1035" t="s">
        <v>19</v>
      </c>
      <c r="I1035">
        <v>3</v>
      </c>
      <c r="J1035">
        <v>24</v>
      </c>
      <c r="K1035">
        <v>42.11</v>
      </c>
      <c r="L1035">
        <v>0</v>
      </c>
    </row>
    <row r="1036" spans="1:12">
      <c r="A1036" t="s">
        <v>3020</v>
      </c>
      <c r="B1036" t="s">
        <v>3021</v>
      </c>
      <c r="C1036" t="s">
        <v>3022</v>
      </c>
      <c r="D1036" t="s">
        <v>23</v>
      </c>
      <c r="E1036" t="s">
        <v>54</v>
      </c>
      <c r="F1036" t="s">
        <v>29</v>
      </c>
      <c r="G1036" t="s">
        <v>55</v>
      </c>
      <c r="H1036" t="s">
        <v>19</v>
      </c>
      <c r="I1036">
        <v>5</v>
      </c>
      <c r="J1036">
        <v>24</v>
      </c>
      <c r="K1036">
        <v>7.59</v>
      </c>
      <c r="L1036">
        <v>1</v>
      </c>
    </row>
    <row r="1037" spans="1:12">
      <c r="A1037" t="s">
        <v>3023</v>
      </c>
      <c r="B1037" t="s">
        <v>3024</v>
      </c>
      <c r="C1037" t="s">
        <v>3025</v>
      </c>
      <c r="D1037" t="s">
        <v>35</v>
      </c>
      <c r="E1037" t="s">
        <v>24</v>
      </c>
      <c r="F1037" t="s">
        <v>36</v>
      </c>
      <c r="G1037" t="s">
        <v>151</v>
      </c>
      <c r="H1037" t="s">
        <v>31</v>
      </c>
      <c r="I1037">
        <v>5</v>
      </c>
      <c r="J1037">
        <v>48</v>
      </c>
      <c r="K1037">
        <v>33.61</v>
      </c>
      <c r="L1037">
        <v>1</v>
      </c>
    </row>
    <row r="1038" spans="1:12">
      <c r="A1038" t="s">
        <v>3026</v>
      </c>
      <c r="B1038" t="s">
        <v>3027</v>
      </c>
      <c r="C1038" t="s">
        <v>3028</v>
      </c>
      <c r="D1038" t="s">
        <v>23</v>
      </c>
      <c r="E1038" t="s">
        <v>24</v>
      </c>
      <c r="F1038" t="s">
        <v>41</v>
      </c>
      <c r="G1038" t="s">
        <v>73</v>
      </c>
      <c r="H1038" t="s">
        <v>31</v>
      </c>
      <c r="I1038">
        <v>5</v>
      </c>
      <c r="J1038">
        <v>24</v>
      </c>
      <c r="K1038">
        <v>8.57</v>
      </c>
      <c r="L1038">
        <v>1</v>
      </c>
    </row>
    <row r="1039" spans="1:12">
      <c r="A1039" t="s">
        <v>3029</v>
      </c>
      <c r="B1039" t="s">
        <v>3030</v>
      </c>
      <c r="C1039" t="s">
        <v>3031</v>
      </c>
      <c r="D1039" t="s">
        <v>35</v>
      </c>
      <c r="E1039" t="s">
        <v>54</v>
      </c>
      <c r="F1039" t="s">
        <v>41</v>
      </c>
      <c r="G1039" t="s">
        <v>105</v>
      </c>
      <c r="H1039" t="s">
        <v>31</v>
      </c>
      <c r="I1039">
        <v>5</v>
      </c>
      <c r="J1039">
        <v>48</v>
      </c>
      <c r="K1039">
        <v>28.16</v>
      </c>
      <c r="L1039">
        <v>1</v>
      </c>
    </row>
    <row r="1040" spans="1:12">
      <c r="A1040" t="s">
        <v>3032</v>
      </c>
      <c r="B1040" t="s">
        <v>3033</v>
      </c>
      <c r="C1040" t="s">
        <v>3034</v>
      </c>
      <c r="D1040" t="s">
        <v>15</v>
      </c>
      <c r="E1040" t="s">
        <v>16</v>
      </c>
      <c r="F1040" t="s">
        <v>41</v>
      </c>
      <c r="G1040" t="s">
        <v>105</v>
      </c>
      <c r="H1040" t="s">
        <v>19</v>
      </c>
      <c r="I1040">
        <v>1</v>
      </c>
      <c r="J1040">
        <v>8</v>
      </c>
      <c r="K1040">
        <v>21.14</v>
      </c>
      <c r="L1040">
        <v>0</v>
      </c>
    </row>
    <row r="1041" spans="1:12">
      <c r="A1041" t="s">
        <v>3035</v>
      </c>
      <c r="B1041" t="s">
        <v>3036</v>
      </c>
      <c r="C1041" t="s">
        <v>3037</v>
      </c>
      <c r="D1041" t="s">
        <v>23</v>
      </c>
      <c r="E1041" t="s">
        <v>28</v>
      </c>
      <c r="F1041" t="s">
        <v>41</v>
      </c>
      <c r="G1041" t="s">
        <v>151</v>
      </c>
      <c r="H1041" t="s">
        <v>19</v>
      </c>
      <c r="I1041">
        <v>4</v>
      </c>
      <c r="J1041">
        <v>24</v>
      </c>
      <c r="K1041">
        <v>6</v>
      </c>
      <c r="L1041">
        <v>1</v>
      </c>
    </row>
    <row r="1042" spans="1:12">
      <c r="A1042" t="s">
        <v>3038</v>
      </c>
      <c r="B1042" t="s">
        <v>3039</v>
      </c>
      <c r="C1042" t="s">
        <v>3040</v>
      </c>
      <c r="D1042" t="s">
        <v>15</v>
      </c>
      <c r="E1042" t="s">
        <v>24</v>
      </c>
      <c r="F1042" t="s">
        <v>36</v>
      </c>
      <c r="G1042" t="s">
        <v>50</v>
      </c>
      <c r="H1042" t="s">
        <v>31</v>
      </c>
      <c r="I1042">
        <v>5</v>
      </c>
      <c r="J1042">
        <v>8</v>
      </c>
      <c r="K1042">
        <v>2.17</v>
      </c>
      <c r="L1042">
        <v>1</v>
      </c>
    </row>
    <row r="1043" spans="1:12">
      <c r="A1043" t="s">
        <v>3041</v>
      </c>
      <c r="B1043" t="s">
        <v>3042</v>
      </c>
      <c r="C1043" t="s">
        <v>3043</v>
      </c>
      <c r="D1043" t="s">
        <v>23</v>
      </c>
      <c r="E1043" t="s">
        <v>28</v>
      </c>
      <c r="F1043" t="s">
        <v>41</v>
      </c>
      <c r="G1043" t="s">
        <v>50</v>
      </c>
      <c r="H1043" t="s">
        <v>31</v>
      </c>
      <c r="I1043">
        <v>4</v>
      </c>
      <c r="J1043">
        <v>24</v>
      </c>
      <c r="K1043">
        <v>20.11</v>
      </c>
      <c r="L1043">
        <v>1</v>
      </c>
    </row>
    <row r="1044" spans="1:12">
      <c r="A1044" t="s">
        <v>3044</v>
      </c>
      <c r="B1044" t="s">
        <v>3045</v>
      </c>
      <c r="C1044" t="s">
        <v>3046</v>
      </c>
      <c r="D1044" t="s">
        <v>158</v>
      </c>
      <c r="E1044" t="s">
        <v>24</v>
      </c>
      <c r="F1044" t="s">
        <v>36</v>
      </c>
      <c r="G1044" t="s">
        <v>172</v>
      </c>
      <c r="H1044" t="s">
        <v>19</v>
      </c>
      <c r="I1044">
        <v>5</v>
      </c>
      <c r="J1044">
        <v>4</v>
      </c>
      <c r="K1044">
        <v>2.0499999999999998</v>
      </c>
      <c r="L1044">
        <v>1</v>
      </c>
    </row>
    <row r="1045" spans="1:12">
      <c r="A1045" t="s">
        <v>3047</v>
      </c>
      <c r="B1045" t="s">
        <v>3048</v>
      </c>
      <c r="C1045" t="s">
        <v>3049</v>
      </c>
      <c r="D1045" t="s">
        <v>158</v>
      </c>
      <c r="E1045" t="s">
        <v>16</v>
      </c>
      <c r="F1045" t="s">
        <v>36</v>
      </c>
      <c r="G1045" t="s">
        <v>151</v>
      </c>
      <c r="H1045" t="s">
        <v>31</v>
      </c>
      <c r="I1045">
        <v>2</v>
      </c>
      <c r="J1045">
        <v>4</v>
      </c>
      <c r="K1045">
        <v>4.96</v>
      </c>
      <c r="L1045">
        <v>0</v>
      </c>
    </row>
    <row r="1046" spans="1:12">
      <c r="A1046" t="s">
        <v>3050</v>
      </c>
      <c r="B1046" t="s">
        <v>3051</v>
      </c>
      <c r="C1046" t="s">
        <v>3052</v>
      </c>
      <c r="D1046" t="s">
        <v>23</v>
      </c>
      <c r="E1046" t="s">
        <v>28</v>
      </c>
      <c r="F1046" t="s">
        <v>29</v>
      </c>
      <c r="G1046" t="s">
        <v>50</v>
      </c>
      <c r="H1046" t="s">
        <v>19</v>
      </c>
      <c r="I1046">
        <v>4</v>
      </c>
      <c r="J1046">
        <v>24</v>
      </c>
      <c r="K1046">
        <v>11.16</v>
      </c>
      <c r="L1046">
        <v>1</v>
      </c>
    </row>
    <row r="1047" spans="1:12">
      <c r="A1047" t="s">
        <v>3053</v>
      </c>
      <c r="B1047" t="s">
        <v>3054</v>
      </c>
      <c r="C1047" t="s">
        <v>3055</v>
      </c>
      <c r="D1047" t="s">
        <v>15</v>
      </c>
      <c r="E1047" t="s">
        <v>28</v>
      </c>
      <c r="F1047" t="s">
        <v>17</v>
      </c>
      <c r="G1047" t="s">
        <v>172</v>
      </c>
      <c r="H1047" t="s">
        <v>31</v>
      </c>
      <c r="I1047">
        <v>4</v>
      </c>
      <c r="J1047">
        <v>8</v>
      </c>
      <c r="K1047">
        <v>1.19</v>
      </c>
      <c r="L1047">
        <v>1</v>
      </c>
    </row>
    <row r="1048" spans="1:12">
      <c r="A1048" t="s">
        <v>3056</v>
      </c>
      <c r="B1048" t="s">
        <v>3057</v>
      </c>
      <c r="C1048" t="s">
        <v>3058</v>
      </c>
      <c r="D1048" t="s">
        <v>35</v>
      </c>
      <c r="E1048" t="s">
        <v>24</v>
      </c>
      <c r="F1048" t="s">
        <v>41</v>
      </c>
      <c r="G1048" t="s">
        <v>105</v>
      </c>
      <c r="H1048" t="s">
        <v>31</v>
      </c>
      <c r="I1048">
        <v>1</v>
      </c>
      <c r="J1048">
        <v>48</v>
      </c>
      <c r="K1048">
        <v>52.8</v>
      </c>
      <c r="L1048">
        <v>0</v>
      </c>
    </row>
    <row r="1049" spans="1:12">
      <c r="A1049" t="s">
        <v>3059</v>
      </c>
      <c r="B1049" t="s">
        <v>3060</v>
      </c>
      <c r="C1049" t="s">
        <v>3061</v>
      </c>
      <c r="D1049" t="s">
        <v>15</v>
      </c>
      <c r="E1049" t="s">
        <v>54</v>
      </c>
      <c r="F1049" t="s">
        <v>17</v>
      </c>
      <c r="G1049" t="s">
        <v>172</v>
      </c>
      <c r="H1049" t="s">
        <v>19</v>
      </c>
      <c r="I1049">
        <v>5</v>
      </c>
      <c r="J1049">
        <v>8</v>
      </c>
      <c r="K1049">
        <v>6.72</v>
      </c>
      <c r="L1049">
        <v>1</v>
      </c>
    </row>
    <row r="1050" spans="1:12">
      <c r="A1050" t="s">
        <v>3062</v>
      </c>
      <c r="B1050" t="s">
        <v>3063</v>
      </c>
      <c r="C1050" t="s">
        <v>3064</v>
      </c>
      <c r="D1050" t="s">
        <v>15</v>
      </c>
      <c r="E1050" t="s">
        <v>59</v>
      </c>
      <c r="F1050" t="s">
        <v>29</v>
      </c>
      <c r="G1050" t="s">
        <v>30</v>
      </c>
      <c r="H1050" t="s">
        <v>31</v>
      </c>
      <c r="I1050">
        <v>3</v>
      </c>
      <c r="J1050">
        <v>8</v>
      </c>
      <c r="K1050">
        <v>23.53</v>
      </c>
      <c r="L1050">
        <v>0</v>
      </c>
    </row>
    <row r="1051" spans="1:12">
      <c r="A1051" t="s">
        <v>3065</v>
      </c>
      <c r="B1051" t="s">
        <v>3066</v>
      </c>
      <c r="C1051" t="s">
        <v>3067</v>
      </c>
      <c r="D1051" t="s">
        <v>23</v>
      </c>
      <c r="E1051" t="s">
        <v>54</v>
      </c>
      <c r="F1051" t="s">
        <v>41</v>
      </c>
      <c r="G1051" t="s">
        <v>105</v>
      </c>
      <c r="H1051" t="s">
        <v>31</v>
      </c>
      <c r="I1051">
        <v>5</v>
      </c>
      <c r="J1051">
        <v>24</v>
      </c>
      <c r="K1051">
        <v>11.13</v>
      </c>
      <c r="L1051">
        <v>1</v>
      </c>
    </row>
    <row r="1052" spans="1:12">
      <c r="A1052" t="s">
        <v>3068</v>
      </c>
      <c r="B1052" t="s">
        <v>3069</v>
      </c>
      <c r="C1052" t="s">
        <v>3070</v>
      </c>
      <c r="D1052" t="s">
        <v>23</v>
      </c>
      <c r="E1052" t="s">
        <v>54</v>
      </c>
      <c r="F1052" t="s">
        <v>36</v>
      </c>
      <c r="G1052" t="s">
        <v>105</v>
      </c>
      <c r="H1052" t="s">
        <v>19</v>
      </c>
      <c r="I1052">
        <v>5</v>
      </c>
      <c r="J1052">
        <v>24</v>
      </c>
      <c r="K1052">
        <v>16.920000000000002</v>
      </c>
      <c r="L1052">
        <v>1</v>
      </c>
    </row>
    <row r="1053" spans="1:12">
      <c r="A1053" t="s">
        <v>3071</v>
      </c>
      <c r="B1053" t="s">
        <v>3072</v>
      </c>
      <c r="C1053" t="s">
        <v>3073</v>
      </c>
      <c r="D1053" t="s">
        <v>23</v>
      </c>
      <c r="E1053" t="s">
        <v>16</v>
      </c>
      <c r="F1053" t="s">
        <v>60</v>
      </c>
      <c r="G1053" t="s">
        <v>30</v>
      </c>
      <c r="H1053" t="s">
        <v>19</v>
      </c>
      <c r="I1053">
        <v>5</v>
      </c>
      <c r="J1053">
        <v>24</v>
      </c>
      <c r="K1053">
        <v>8.5500000000000007</v>
      </c>
      <c r="L1053">
        <v>1</v>
      </c>
    </row>
    <row r="1054" spans="1:12">
      <c r="A1054" t="s">
        <v>3074</v>
      </c>
      <c r="B1054" t="s">
        <v>3075</v>
      </c>
      <c r="C1054" t="s">
        <v>3076</v>
      </c>
      <c r="D1054" t="s">
        <v>35</v>
      </c>
      <c r="E1054" t="s">
        <v>59</v>
      </c>
      <c r="F1054" t="s">
        <v>41</v>
      </c>
      <c r="G1054" t="s">
        <v>42</v>
      </c>
      <c r="H1054" t="s">
        <v>19</v>
      </c>
      <c r="I1054">
        <v>4</v>
      </c>
      <c r="J1054">
        <v>48</v>
      </c>
      <c r="K1054">
        <v>14.73</v>
      </c>
      <c r="L1054">
        <v>1</v>
      </c>
    </row>
    <row r="1055" spans="1:12">
      <c r="A1055" t="s">
        <v>3077</v>
      </c>
      <c r="B1055" t="s">
        <v>3078</v>
      </c>
      <c r="D1055" t="s">
        <v>23</v>
      </c>
      <c r="E1055" t="s">
        <v>24</v>
      </c>
      <c r="F1055" t="s">
        <v>36</v>
      </c>
      <c r="G1055" t="s">
        <v>73</v>
      </c>
      <c r="H1055" t="s">
        <v>63</v>
      </c>
      <c r="J1055">
        <v>24</v>
      </c>
    </row>
    <row r="1056" spans="1:12">
      <c r="A1056" t="s">
        <v>3079</v>
      </c>
      <c r="B1056" t="s">
        <v>3080</v>
      </c>
      <c r="C1056" t="s">
        <v>3081</v>
      </c>
      <c r="D1056" t="s">
        <v>35</v>
      </c>
      <c r="E1056" t="s">
        <v>16</v>
      </c>
      <c r="F1056" t="s">
        <v>17</v>
      </c>
      <c r="G1056" t="s">
        <v>105</v>
      </c>
      <c r="H1056" t="s">
        <v>19</v>
      </c>
      <c r="I1056">
        <v>4</v>
      </c>
      <c r="J1056">
        <v>48</v>
      </c>
      <c r="K1056">
        <v>41.42</v>
      </c>
      <c r="L1056">
        <v>1</v>
      </c>
    </row>
    <row r="1057" spans="1:12">
      <c r="A1057" t="s">
        <v>3082</v>
      </c>
      <c r="B1057" t="s">
        <v>3083</v>
      </c>
      <c r="C1057" t="s">
        <v>3084</v>
      </c>
      <c r="D1057" t="s">
        <v>35</v>
      </c>
      <c r="E1057" t="s">
        <v>16</v>
      </c>
      <c r="F1057" t="s">
        <v>41</v>
      </c>
      <c r="G1057" t="s">
        <v>42</v>
      </c>
      <c r="H1057" t="s">
        <v>31</v>
      </c>
      <c r="I1057">
        <v>5</v>
      </c>
      <c r="J1057">
        <v>48</v>
      </c>
      <c r="K1057">
        <v>36</v>
      </c>
      <c r="L1057">
        <v>1</v>
      </c>
    </row>
    <row r="1058" spans="1:12">
      <c r="A1058" t="s">
        <v>3085</v>
      </c>
      <c r="B1058" t="s">
        <v>3086</v>
      </c>
      <c r="C1058" t="s">
        <v>3087</v>
      </c>
      <c r="D1058" t="s">
        <v>23</v>
      </c>
      <c r="E1058" t="s">
        <v>54</v>
      </c>
      <c r="F1058" t="s">
        <v>41</v>
      </c>
      <c r="G1058" t="s">
        <v>105</v>
      </c>
      <c r="H1058" t="s">
        <v>31</v>
      </c>
      <c r="I1058">
        <v>5</v>
      </c>
      <c r="J1058">
        <v>24</v>
      </c>
      <c r="K1058">
        <v>15.74</v>
      </c>
      <c r="L1058">
        <v>1</v>
      </c>
    </row>
    <row r="1059" spans="1:12">
      <c r="A1059" t="s">
        <v>3088</v>
      </c>
      <c r="B1059" t="s">
        <v>3089</v>
      </c>
      <c r="C1059" t="s">
        <v>3090</v>
      </c>
      <c r="D1059" t="s">
        <v>23</v>
      </c>
      <c r="E1059" t="s">
        <v>16</v>
      </c>
      <c r="F1059" t="s">
        <v>29</v>
      </c>
      <c r="G1059" t="s">
        <v>42</v>
      </c>
      <c r="H1059" t="s">
        <v>19</v>
      </c>
      <c r="I1059">
        <v>5</v>
      </c>
      <c r="J1059">
        <v>24</v>
      </c>
      <c r="K1059">
        <v>9.34</v>
      </c>
      <c r="L1059">
        <v>1</v>
      </c>
    </row>
    <row r="1060" spans="1:12">
      <c r="A1060" t="s">
        <v>3091</v>
      </c>
      <c r="B1060" t="s">
        <v>3092</v>
      </c>
      <c r="C1060" t="s">
        <v>3093</v>
      </c>
      <c r="D1060" t="s">
        <v>23</v>
      </c>
      <c r="E1060" t="s">
        <v>24</v>
      </c>
      <c r="F1060" t="s">
        <v>29</v>
      </c>
      <c r="G1060" t="s">
        <v>73</v>
      </c>
      <c r="H1060" t="s">
        <v>31</v>
      </c>
      <c r="I1060">
        <v>1</v>
      </c>
      <c r="J1060">
        <v>24</v>
      </c>
      <c r="K1060">
        <v>52.2</v>
      </c>
      <c r="L1060">
        <v>0</v>
      </c>
    </row>
    <row r="1061" spans="1:12">
      <c r="A1061" t="s">
        <v>3094</v>
      </c>
      <c r="B1061" t="s">
        <v>3095</v>
      </c>
      <c r="C1061" t="s">
        <v>3096</v>
      </c>
      <c r="D1061" t="s">
        <v>23</v>
      </c>
      <c r="E1061" t="s">
        <v>24</v>
      </c>
      <c r="F1061" t="s">
        <v>41</v>
      </c>
      <c r="G1061" t="s">
        <v>37</v>
      </c>
      <c r="H1061" t="s">
        <v>19</v>
      </c>
      <c r="I1061">
        <v>5</v>
      </c>
      <c r="J1061">
        <v>24</v>
      </c>
      <c r="K1061">
        <v>16.260000000000002</v>
      </c>
      <c r="L1061">
        <v>1</v>
      </c>
    </row>
    <row r="1062" spans="1:12">
      <c r="A1062" t="s">
        <v>3097</v>
      </c>
      <c r="B1062" t="s">
        <v>3098</v>
      </c>
      <c r="C1062" t="s">
        <v>3099</v>
      </c>
      <c r="D1062" t="s">
        <v>23</v>
      </c>
      <c r="E1062" t="s">
        <v>54</v>
      </c>
      <c r="F1062" t="s">
        <v>36</v>
      </c>
      <c r="G1062" t="s">
        <v>37</v>
      </c>
      <c r="H1062" t="s">
        <v>19</v>
      </c>
      <c r="I1062">
        <v>3</v>
      </c>
      <c r="J1062">
        <v>24</v>
      </c>
      <c r="K1062">
        <v>39.99</v>
      </c>
      <c r="L1062">
        <v>0</v>
      </c>
    </row>
    <row r="1063" spans="1:12">
      <c r="A1063" t="s">
        <v>3100</v>
      </c>
      <c r="B1063" t="s">
        <v>3101</v>
      </c>
      <c r="C1063" t="s">
        <v>3102</v>
      </c>
      <c r="D1063" t="s">
        <v>35</v>
      </c>
      <c r="E1063" t="s">
        <v>28</v>
      </c>
      <c r="F1063" t="s">
        <v>41</v>
      </c>
      <c r="G1063" t="s">
        <v>73</v>
      </c>
      <c r="H1063" t="s">
        <v>31</v>
      </c>
      <c r="I1063">
        <v>5</v>
      </c>
      <c r="J1063">
        <v>48</v>
      </c>
      <c r="K1063">
        <v>31.95</v>
      </c>
      <c r="L1063">
        <v>1</v>
      </c>
    </row>
    <row r="1064" spans="1:12">
      <c r="A1064" t="s">
        <v>3103</v>
      </c>
      <c r="B1064" t="s">
        <v>3104</v>
      </c>
      <c r="C1064" t="s">
        <v>3105</v>
      </c>
      <c r="D1064" t="s">
        <v>158</v>
      </c>
      <c r="E1064" t="s">
        <v>28</v>
      </c>
      <c r="F1064" t="s">
        <v>60</v>
      </c>
      <c r="G1064" t="s">
        <v>105</v>
      </c>
      <c r="H1064" t="s">
        <v>19</v>
      </c>
      <c r="I1064">
        <v>2</v>
      </c>
      <c r="J1064">
        <v>4</v>
      </c>
      <c r="K1064">
        <v>9.7100000000000009</v>
      </c>
      <c r="L1064">
        <v>0</v>
      </c>
    </row>
    <row r="1065" spans="1:12">
      <c r="A1065" t="s">
        <v>3106</v>
      </c>
      <c r="B1065" t="s">
        <v>3107</v>
      </c>
      <c r="D1065" t="s">
        <v>15</v>
      </c>
      <c r="E1065" t="s">
        <v>28</v>
      </c>
      <c r="F1065" t="s">
        <v>41</v>
      </c>
      <c r="G1065" t="s">
        <v>30</v>
      </c>
      <c r="H1065" t="s">
        <v>46</v>
      </c>
      <c r="J1065">
        <v>8</v>
      </c>
    </row>
    <row r="1066" spans="1:12">
      <c r="A1066" t="s">
        <v>3108</v>
      </c>
      <c r="B1066" t="s">
        <v>3109</v>
      </c>
      <c r="C1066" t="s">
        <v>3110</v>
      </c>
      <c r="D1066" t="s">
        <v>15</v>
      </c>
      <c r="E1066" t="s">
        <v>16</v>
      </c>
      <c r="F1066" t="s">
        <v>17</v>
      </c>
      <c r="G1066" t="s">
        <v>105</v>
      </c>
      <c r="H1066" t="s">
        <v>31</v>
      </c>
      <c r="I1066">
        <v>3</v>
      </c>
      <c r="J1066">
        <v>8</v>
      </c>
      <c r="K1066">
        <v>20.51</v>
      </c>
      <c r="L1066">
        <v>0</v>
      </c>
    </row>
    <row r="1067" spans="1:12">
      <c r="A1067" t="s">
        <v>3111</v>
      </c>
      <c r="B1067" t="s">
        <v>3112</v>
      </c>
      <c r="C1067" t="s">
        <v>3113</v>
      </c>
      <c r="D1067" t="s">
        <v>23</v>
      </c>
      <c r="E1067" t="s">
        <v>59</v>
      </c>
      <c r="F1067" t="s">
        <v>17</v>
      </c>
      <c r="G1067" t="s">
        <v>30</v>
      </c>
      <c r="H1067" t="s">
        <v>19</v>
      </c>
      <c r="I1067">
        <v>5</v>
      </c>
      <c r="J1067">
        <v>24</v>
      </c>
      <c r="K1067">
        <v>16.23</v>
      </c>
      <c r="L1067">
        <v>1</v>
      </c>
    </row>
    <row r="1068" spans="1:12">
      <c r="A1068" t="s">
        <v>3114</v>
      </c>
      <c r="B1068" t="s">
        <v>3115</v>
      </c>
      <c r="C1068" t="s">
        <v>3116</v>
      </c>
      <c r="D1068" t="s">
        <v>23</v>
      </c>
      <c r="E1068" t="s">
        <v>24</v>
      </c>
      <c r="F1068" t="s">
        <v>29</v>
      </c>
      <c r="G1068" t="s">
        <v>45</v>
      </c>
      <c r="H1068" t="s">
        <v>31</v>
      </c>
      <c r="I1068">
        <v>4</v>
      </c>
      <c r="J1068">
        <v>24</v>
      </c>
      <c r="K1068">
        <v>19.87</v>
      </c>
      <c r="L1068">
        <v>1</v>
      </c>
    </row>
    <row r="1069" spans="1:12">
      <c r="A1069" t="s">
        <v>3117</v>
      </c>
      <c r="B1069" t="s">
        <v>3118</v>
      </c>
      <c r="C1069" t="s">
        <v>3119</v>
      </c>
      <c r="D1069" t="s">
        <v>15</v>
      </c>
      <c r="E1069" t="s">
        <v>16</v>
      </c>
      <c r="F1069" t="s">
        <v>36</v>
      </c>
      <c r="G1069" t="s">
        <v>105</v>
      </c>
      <c r="H1069" t="s">
        <v>19</v>
      </c>
      <c r="I1069">
        <v>4</v>
      </c>
      <c r="J1069">
        <v>8</v>
      </c>
      <c r="K1069">
        <v>4.72</v>
      </c>
      <c r="L1069">
        <v>1</v>
      </c>
    </row>
    <row r="1070" spans="1:12">
      <c r="A1070" t="s">
        <v>3120</v>
      </c>
      <c r="B1070" t="s">
        <v>3121</v>
      </c>
      <c r="C1070" t="s">
        <v>3122</v>
      </c>
      <c r="D1070" t="s">
        <v>15</v>
      </c>
      <c r="E1070" t="s">
        <v>24</v>
      </c>
      <c r="F1070" t="s">
        <v>17</v>
      </c>
      <c r="G1070" t="s">
        <v>105</v>
      </c>
      <c r="H1070" t="s">
        <v>19</v>
      </c>
      <c r="I1070">
        <v>5</v>
      </c>
      <c r="J1070">
        <v>8</v>
      </c>
      <c r="K1070">
        <v>3.26</v>
      </c>
      <c r="L1070">
        <v>1</v>
      </c>
    </row>
    <row r="1071" spans="1:12">
      <c r="A1071" t="s">
        <v>3123</v>
      </c>
      <c r="B1071" t="s">
        <v>3124</v>
      </c>
      <c r="D1071" t="s">
        <v>23</v>
      </c>
      <c r="E1071" t="s">
        <v>59</v>
      </c>
      <c r="F1071" t="s">
        <v>17</v>
      </c>
      <c r="G1071" t="s">
        <v>37</v>
      </c>
      <c r="H1071" t="s">
        <v>63</v>
      </c>
      <c r="J1071">
        <v>24</v>
      </c>
    </row>
    <row r="1072" spans="1:12">
      <c r="A1072" t="s">
        <v>3125</v>
      </c>
      <c r="B1072" t="s">
        <v>3126</v>
      </c>
      <c r="C1072" t="s">
        <v>3127</v>
      </c>
      <c r="D1072" t="s">
        <v>23</v>
      </c>
      <c r="E1072" t="s">
        <v>24</v>
      </c>
      <c r="F1072" t="s">
        <v>36</v>
      </c>
      <c r="G1072" t="s">
        <v>42</v>
      </c>
      <c r="H1072" t="s">
        <v>19</v>
      </c>
      <c r="I1072">
        <v>4</v>
      </c>
      <c r="J1072">
        <v>24</v>
      </c>
      <c r="K1072">
        <v>21.68</v>
      </c>
      <c r="L1072">
        <v>1</v>
      </c>
    </row>
    <row r="1073" spans="1:12">
      <c r="A1073" t="s">
        <v>3128</v>
      </c>
      <c r="B1073" t="s">
        <v>3129</v>
      </c>
      <c r="C1073" t="s">
        <v>3130</v>
      </c>
      <c r="D1073" t="s">
        <v>23</v>
      </c>
      <c r="E1073" t="s">
        <v>54</v>
      </c>
      <c r="F1073" t="s">
        <v>17</v>
      </c>
      <c r="G1073" t="s">
        <v>151</v>
      </c>
      <c r="H1073" t="s">
        <v>31</v>
      </c>
      <c r="I1073">
        <v>4</v>
      </c>
      <c r="J1073">
        <v>24</v>
      </c>
      <c r="K1073">
        <v>4.82</v>
      </c>
      <c r="L1073">
        <v>1</v>
      </c>
    </row>
    <row r="1074" spans="1:12">
      <c r="A1074" t="s">
        <v>3131</v>
      </c>
      <c r="B1074" t="s">
        <v>3132</v>
      </c>
      <c r="D1074" t="s">
        <v>23</v>
      </c>
      <c r="E1074" t="s">
        <v>59</v>
      </c>
      <c r="F1074" t="s">
        <v>41</v>
      </c>
      <c r="G1074" t="s">
        <v>105</v>
      </c>
      <c r="H1074" t="s">
        <v>46</v>
      </c>
      <c r="J1074">
        <v>24</v>
      </c>
    </row>
    <row r="1075" spans="1:12">
      <c r="A1075" t="s">
        <v>3133</v>
      </c>
      <c r="B1075" t="s">
        <v>3134</v>
      </c>
      <c r="C1075" t="s">
        <v>3135</v>
      </c>
      <c r="D1075" t="s">
        <v>23</v>
      </c>
      <c r="E1075" t="s">
        <v>16</v>
      </c>
      <c r="F1075" t="s">
        <v>41</v>
      </c>
      <c r="G1075" t="s">
        <v>45</v>
      </c>
      <c r="H1075" t="s">
        <v>31</v>
      </c>
      <c r="I1075">
        <v>4</v>
      </c>
      <c r="J1075">
        <v>24</v>
      </c>
      <c r="K1075">
        <v>18</v>
      </c>
      <c r="L1075">
        <v>1</v>
      </c>
    </row>
    <row r="1076" spans="1:12">
      <c r="A1076" t="s">
        <v>3136</v>
      </c>
      <c r="B1076" t="s">
        <v>3137</v>
      </c>
      <c r="C1076" t="s">
        <v>3138</v>
      </c>
      <c r="D1076" t="s">
        <v>23</v>
      </c>
      <c r="E1076" t="s">
        <v>54</v>
      </c>
      <c r="F1076" t="s">
        <v>60</v>
      </c>
      <c r="G1076" t="s">
        <v>18</v>
      </c>
      <c r="H1076" t="s">
        <v>19</v>
      </c>
      <c r="I1076">
        <v>4</v>
      </c>
      <c r="J1076">
        <v>24</v>
      </c>
      <c r="K1076">
        <v>14.08</v>
      </c>
      <c r="L1076">
        <v>1</v>
      </c>
    </row>
    <row r="1077" spans="1:12">
      <c r="A1077" t="s">
        <v>3139</v>
      </c>
      <c r="B1077" t="s">
        <v>3140</v>
      </c>
      <c r="D1077" t="s">
        <v>158</v>
      </c>
      <c r="E1077" t="s">
        <v>54</v>
      </c>
      <c r="F1077" t="s">
        <v>41</v>
      </c>
      <c r="G1077" t="s">
        <v>50</v>
      </c>
      <c r="H1077" t="s">
        <v>46</v>
      </c>
      <c r="J1077">
        <v>4</v>
      </c>
    </row>
    <row r="1078" spans="1:12">
      <c r="A1078" t="s">
        <v>3141</v>
      </c>
      <c r="B1078" t="s">
        <v>3142</v>
      </c>
      <c r="C1078" t="s">
        <v>3143</v>
      </c>
      <c r="D1078" t="s">
        <v>23</v>
      </c>
      <c r="E1078" t="s">
        <v>54</v>
      </c>
      <c r="F1078" t="s">
        <v>36</v>
      </c>
      <c r="G1078" t="s">
        <v>172</v>
      </c>
      <c r="H1078" t="s">
        <v>19</v>
      </c>
      <c r="I1078">
        <v>1</v>
      </c>
      <c r="J1078">
        <v>24</v>
      </c>
      <c r="K1078">
        <v>62.42</v>
      </c>
      <c r="L1078">
        <v>0</v>
      </c>
    </row>
    <row r="1079" spans="1:12">
      <c r="A1079" t="s">
        <v>3144</v>
      </c>
      <c r="B1079" t="s">
        <v>3145</v>
      </c>
      <c r="C1079" t="s">
        <v>3146</v>
      </c>
      <c r="D1079" t="s">
        <v>23</v>
      </c>
      <c r="E1079" t="s">
        <v>28</v>
      </c>
      <c r="F1079" t="s">
        <v>60</v>
      </c>
      <c r="G1079" t="s">
        <v>77</v>
      </c>
      <c r="H1079" t="s">
        <v>19</v>
      </c>
      <c r="I1079">
        <v>5</v>
      </c>
      <c r="J1079">
        <v>24</v>
      </c>
      <c r="K1079">
        <v>14.33</v>
      </c>
      <c r="L1079">
        <v>1</v>
      </c>
    </row>
    <row r="1080" spans="1:12">
      <c r="A1080" t="s">
        <v>3147</v>
      </c>
      <c r="B1080" t="s">
        <v>3148</v>
      </c>
      <c r="C1080" t="s">
        <v>3149</v>
      </c>
      <c r="D1080" t="s">
        <v>23</v>
      </c>
      <c r="E1080" t="s">
        <v>16</v>
      </c>
      <c r="F1080" t="s">
        <v>17</v>
      </c>
      <c r="G1080" t="s">
        <v>151</v>
      </c>
      <c r="H1080" t="s">
        <v>31</v>
      </c>
      <c r="I1080">
        <v>4</v>
      </c>
      <c r="J1080">
        <v>24</v>
      </c>
      <c r="K1080">
        <v>14.62</v>
      </c>
      <c r="L1080">
        <v>1</v>
      </c>
    </row>
    <row r="1081" spans="1:12">
      <c r="A1081" t="s">
        <v>3150</v>
      </c>
      <c r="B1081" t="s">
        <v>3151</v>
      </c>
      <c r="C1081" t="s">
        <v>3152</v>
      </c>
      <c r="D1081" t="s">
        <v>23</v>
      </c>
      <c r="E1081" t="s">
        <v>28</v>
      </c>
      <c r="F1081" t="s">
        <v>36</v>
      </c>
      <c r="G1081" t="s">
        <v>73</v>
      </c>
      <c r="H1081" t="s">
        <v>31</v>
      </c>
      <c r="I1081">
        <v>4</v>
      </c>
      <c r="J1081">
        <v>24</v>
      </c>
      <c r="K1081">
        <v>4.1900000000000004</v>
      </c>
      <c r="L1081">
        <v>1</v>
      </c>
    </row>
    <row r="1082" spans="1:12">
      <c r="A1082" t="s">
        <v>3153</v>
      </c>
      <c r="B1082" t="s">
        <v>3154</v>
      </c>
      <c r="C1082" t="s">
        <v>3155</v>
      </c>
      <c r="D1082" t="s">
        <v>158</v>
      </c>
      <c r="E1082" t="s">
        <v>59</v>
      </c>
      <c r="F1082" t="s">
        <v>60</v>
      </c>
      <c r="G1082" t="s">
        <v>45</v>
      </c>
      <c r="H1082" t="s">
        <v>19</v>
      </c>
      <c r="I1082">
        <v>5</v>
      </c>
      <c r="J1082">
        <v>4</v>
      </c>
      <c r="K1082">
        <v>1.84</v>
      </c>
      <c r="L1082">
        <v>1</v>
      </c>
    </row>
    <row r="1083" spans="1:12">
      <c r="A1083" t="s">
        <v>3156</v>
      </c>
      <c r="B1083" t="s">
        <v>3157</v>
      </c>
      <c r="C1083" t="s">
        <v>3158</v>
      </c>
      <c r="D1083" t="s">
        <v>15</v>
      </c>
      <c r="E1083" t="s">
        <v>24</v>
      </c>
      <c r="F1083" t="s">
        <v>60</v>
      </c>
      <c r="G1083" t="s">
        <v>45</v>
      </c>
      <c r="H1083" t="s">
        <v>31</v>
      </c>
      <c r="I1083">
        <v>5</v>
      </c>
      <c r="J1083">
        <v>8</v>
      </c>
      <c r="K1083">
        <v>4.72</v>
      </c>
      <c r="L1083">
        <v>1</v>
      </c>
    </row>
    <row r="1084" spans="1:12">
      <c r="A1084" t="s">
        <v>3159</v>
      </c>
      <c r="B1084" t="s">
        <v>3160</v>
      </c>
      <c r="C1084" t="s">
        <v>3161</v>
      </c>
      <c r="D1084" t="s">
        <v>35</v>
      </c>
      <c r="E1084" t="s">
        <v>59</v>
      </c>
      <c r="F1084" t="s">
        <v>60</v>
      </c>
      <c r="G1084" t="s">
        <v>77</v>
      </c>
      <c r="H1084" t="s">
        <v>19</v>
      </c>
      <c r="I1084">
        <v>3</v>
      </c>
      <c r="J1084">
        <v>48</v>
      </c>
      <c r="K1084">
        <v>31.83</v>
      </c>
      <c r="L1084">
        <v>1</v>
      </c>
    </row>
    <row r="1085" spans="1:12">
      <c r="A1085" t="s">
        <v>3162</v>
      </c>
      <c r="B1085" t="s">
        <v>3163</v>
      </c>
      <c r="C1085" t="s">
        <v>3164</v>
      </c>
      <c r="D1085" t="s">
        <v>15</v>
      </c>
      <c r="E1085" t="s">
        <v>28</v>
      </c>
      <c r="F1085" t="s">
        <v>17</v>
      </c>
      <c r="G1085" t="s">
        <v>73</v>
      </c>
      <c r="H1085" t="s">
        <v>31</v>
      </c>
      <c r="I1085">
        <v>4</v>
      </c>
      <c r="J1085">
        <v>8</v>
      </c>
      <c r="K1085">
        <v>3.24</v>
      </c>
      <c r="L1085">
        <v>1</v>
      </c>
    </row>
    <row r="1086" spans="1:12">
      <c r="A1086" t="s">
        <v>3165</v>
      </c>
      <c r="B1086" t="s">
        <v>3166</v>
      </c>
      <c r="C1086" t="s">
        <v>3167</v>
      </c>
      <c r="D1086" t="s">
        <v>23</v>
      </c>
      <c r="E1086" t="s">
        <v>54</v>
      </c>
      <c r="F1086" t="s">
        <v>29</v>
      </c>
      <c r="G1086" t="s">
        <v>37</v>
      </c>
      <c r="H1086" t="s">
        <v>31</v>
      </c>
      <c r="I1086">
        <v>5</v>
      </c>
      <c r="J1086">
        <v>24</v>
      </c>
      <c r="K1086">
        <v>18</v>
      </c>
      <c r="L1086">
        <v>1</v>
      </c>
    </row>
    <row r="1087" spans="1:12">
      <c r="A1087" t="s">
        <v>3168</v>
      </c>
      <c r="B1087" t="s">
        <v>3169</v>
      </c>
      <c r="C1087" t="s">
        <v>3170</v>
      </c>
      <c r="D1087" t="s">
        <v>23</v>
      </c>
      <c r="E1087" t="s">
        <v>54</v>
      </c>
      <c r="F1087" t="s">
        <v>60</v>
      </c>
      <c r="G1087" t="s">
        <v>18</v>
      </c>
      <c r="H1087" t="s">
        <v>19</v>
      </c>
      <c r="I1087">
        <v>5</v>
      </c>
      <c r="J1087">
        <v>24</v>
      </c>
      <c r="K1087">
        <v>22.71</v>
      </c>
      <c r="L1087">
        <v>1</v>
      </c>
    </row>
    <row r="1088" spans="1:12">
      <c r="A1088" t="s">
        <v>3171</v>
      </c>
      <c r="B1088" t="s">
        <v>3172</v>
      </c>
      <c r="C1088" t="s">
        <v>3173</v>
      </c>
      <c r="D1088" t="s">
        <v>23</v>
      </c>
      <c r="E1088" t="s">
        <v>54</v>
      </c>
      <c r="F1088" t="s">
        <v>60</v>
      </c>
      <c r="G1088" t="s">
        <v>55</v>
      </c>
      <c r="H1088" t="s">
        <v>19</v>
      </c>
      <c r="I1088">
        <v>3</v>
      </c>
      <c r="J1088">
        <v>24</v>
      </c>
      <c r="K1088">
        <v>40.01</v>
      </c>
      <c r="L1088">
        <v>0</v>
      </c>
    </row>
    <row r="1089" spans="1:12">
      <c r="A1089" t="s">
        <v>3174</v>
      </c>
      <c r="B1089" t="s">
        <v>3175</v>
      </c>
      <c r="C1089" t="s">
        <v>3176</v>
      </c>
      <c r="D1089" t="s">
        <v>158</v>
      </c>
      <c r="E1089" t="s">
        <v>54</v>
      </c>
      <c r="F1089" t="s">
        <v>36</v>
      </c>
      <c r="G1089" t="s">
        <v>45</v>
      </c>
      <c r="H1089" t="s">
        <v>19</v>
      </c>
      <c r="I1089">
        <v>3</v>
      </c>
      <c r="J1089">
        <v>4</v>
      </c>
      <c r="K1089">
        <v>2.2599999999999998</v>
      </c>
      <c r="L1089">
        <v>1</v>
      </c>
    </row>
    <row r="1090" spans="1:12">
      <c r="A1090" t="s">
        <v>3177</v>
      </c>
      <c r="B1090" t="s">
        <v>3178</v>
      </c>
      <c r="C1090" t="s">
        <v>3179</v>
      </c>
      <c r="D1090" t="s">
        <v>158</v>
      </c>
      <c r="E1090" t="s">
        <v>59</v>
      </c>
      <c r="F1090" t="s">
        <v>29</v>
      </c>
      <c r="G1090" t="s">
        <v>73</v>
      </c>
      <c r="H1090" t="s">
        <v>31</v>
      </c>
      <c r="I1090">
        <v>4</v>
      </c>
      <c r="J1090">
        <v>4</v>
      </c>
      <c r="K1090">
        <v>0.43</v>
      </c>
      <c r="L1090">
        <v>1</v>
      </c>
    </row>
    <row r="1091" spans="1:12">
      <c r="A1091" t="s">
        <v>3180</v>
      </c>
      <c r="B1091" t="s">
        <v>3181</v>
      </c>
      <c r="C1091" t="s">
        <v>3182</v>
      </c>
      <c r="D1091" t="s">
        <v>23</v>
      </c>
      <c r="E1091" t="s">
        <v>24</v>
      </c>
      <c r="F1091" t="s">
        <v>36</v>
      </c>
      <c r="G1091" t="s">
        <v>73</v>
      </c>
      <c r="H1091" t="s">
        <v>19</v>
      </c>
      <c r="I1091">
        <v>3</v>
      </c>
      <c r="J1091">
        <v>24</v>
      </c>
      <c r="K1091">
        <v>52.76</v>
      </c>
      <c r="L1091">
        <v>0</v>
      </c>
    </row>
    <row r="1092" spans="1:12">
      <c r="A1092" t="s">
        <v>3183</v>
      </c>
      <c r="B1092" t="s">
        <v>3184</v>
      </c>
      <c r="C1092" t="s">
        <v>3185</v>
      </c>
      <c r="D1092" t="s">
        <v>23</v>
      </c>
      <c r="E1092" t="s">
        <v>54</v>
      </c>
      <c r="F1092" t="s">
        <v>29</v>
      </c>
      <c r="G1092" t="s">
        <v>77</v>
      </c>
      <c r="H1092" t="s">
        <v>19</v>
      </c>
      <c r="I1092">
        <v>4</v>
      </c>
      <c r="J1092">
        <v>24</v>
      </c>
      <c r="K1092">
        <v>3.38</v>
      </c>
      <c r="L1092">
        <v>1</v>
      </c>
    </row>
    <row r="1093" spans="1:12">
      <c r="A1093" t="s">
        <v>3186</v>
      </c>
      <c r="B1093" t="s">
        <v>3187</v>
      </c>
      <c r="C1093" t="s">
        <v>3188</v>
      </c>
      <c r="D1093" t="s">
        <v>23</v>
      </c>
      <c r="E1093" t="s">
        <v>28</v>
      </c>
      <c r="F1093" t="s">
        <v>60</v>
      </c>
      <c r="G1093" t="s">
        <v>77</v>
      </c>
      <c r="H1093" t="s">
        <v>31</v>
      </c>
      <c r="I1093">
        <v>1</v>
      </c>
      <c r="J1093">
        <v>24</v>
      </c>
      <c r="K1093">
        <v>47.52</v>
      </c>
      <c r="L1093">
        <v>0</v>
      </c>
    </row>
    <row r="1094" spans="1:12">
      <c r="A1094" t="s">
        <v>3189</v>
      </c>
      <c r="B1094" t="s">
        <v>3190</v>
      </c>
      <c r="C1094" t="s">
        <v>3191</v>
      </c>
      <c r="D1094" t="s">
        <v>23</v>
      </c>
      <c r="E1094" t="s">
        <v>16</v>
      </c>
      <c r="F1094" t="s">
        <v>17</v>
      </c>
      <c r="G1094" t="s">
        <v>73</v>
      </c>
      <c r="H1094" t="s">
        <v>19</v>
      </c>
      <c r="I1094">
        <v>5</v>
      </c>
      <c r="J1094">
        <v>24</v>
      </c>
      <c r="K1094">
        <v>3.48</v>
      </c>
      <c r="L1094">
        <v>1</v>
      </c>
    </row>
    <row r="1095" spans="1:12">
      <c r="A1095" t="s">
        <v>3192</v>
      </c>
      <c r="B1095" t="s">
        <v>3193</v>
      </c>
      <c r="C1095" t="s">
        <v>3194</v>
      </c>
      <c r="D1095" t="s">
        <v>23</v>
      </c>
      <c r="E1095" t="s">
        <v>28</v>
      </c>
      <c r="F1095" t="s">
        <v>60</v>
      </c>
      <c r="G1095" t="s">
        <v>37</v>
      </c>
      <c r="H1095" t="s">
        <v>31</v>
      </c>
      <c r="I1095">
        <v>5</v>
      </c>
      <c r="J1095">
        <v>24</v>
      </c>
      <c r="K1095">
        <v>22.52</v>
      </c>
      <c r="L1095">
        <v>1</v>
      </c>
    </row>
    <row r="1096" spans="1:12">
      <c r="A1096" t="s">
        <v>3195</v>
      </c>
      <c r="B1096" t="s">
        <v>3196</v>
      </c>
      <c r="C1096" t="s">
        <v>3197</v>
      </c>
      <c r="D1096" t="s">
        <v>15</v>
      </c>
      <c r="E1096" t="s">
        <v>59</v>
      </c>
      <c r="F1096" t="s">
        <v>60</v>
      </c>
      <c r="G1096" t="s">
        <v>105</v>
      </c>
      <c r="H1096" t="s">
        <v>31</v>
      </c>
      <c r="I1096">
        <v>5</v>
      </c>
      <c r="J1096">
        <v>8</v>
      </c>
      <c r="K1096">
        <v>2.88</v>
      </c>
      <c r="L1096">
        <v>1</v>
      </c>
    </row>
    <row r="1097" spans="1:12">
      <c r="A1097" t="s">
        <v>3198</v>
      </c>
      <c r="B1097" t="s">
        <v>3199</v>
      </c>
      <c r="C1097" t="s">
        <v>3200</v>
      </c>
      <c r="D1097" t="s">
        <v>23</v>
      </c>
      <c r="E1097" t="s">
        <v>28</v>
      </c>
      <c r="F1097" t="s">
        <v>36</v>
      </c>
      <c r="G1097" t="s">
        <v>151</v>
      </c>
      <c r="H1097" t="s">
        <v>19</v>
      </c>
      <c r="I1097">
        <v>4</v>
      </c>
      <c r="J1097">
        <v>24</v>
      </c>
      <c r="K1097">
        <v>21.68</v>
      </c>
      <c r="L1097">
        <v>1</v>
      </c>
    </row>
    <row r="1098" spans="1:12">
      <c r="A1098" t="s">
        <v>3201</v>
      </c>
      <c r="B1098" t="s">
        <v>3202</v>
      </c>
      <c r="D1098" t="s">
        <v>158</v>
      </c>
      <c r="E1098" t="s">
        <v>24</v>
      </c>
      <c r="F1098" t="s">
        <v>41</v>
      </c>
      <c r="G1098" t="s">
        <v>30</v>
      </c>
      <c r="H1098" t="s">
        <v>46</v>
      </c>
      <c r="J1098">
        <v>4</v>
      </c>
    </row>
    <row r="1099" spans="1:12">
      <c r="A1099" t="s">
        <v>3203</v>
      </c>
      <c r="B1099" t="s">
        <v>3204</v>
      </c>
      <c r="C1099" t="s">
        <v>3205</v>
      </c>
      <c r="D1099" t="s">
        <v>23</v>
      </c>
      <c r="E1099" t="s">
        <v>59</v>
      </c>
      <c r="F1099" t="s">
        <v>17</v>
      </c>
      <c r="G1099" t="s">
        <v>50</v>
      </c>
      <c r="H1099" t="s">
        <v>19</v>
      </c>
      <c r="I1099">
        <v>5</v>
      </c>
      <c r="J1099">
        <v>24</v>
      </c>
      <c r="K1099">
        <v>16.21</v>
      </c>
      <c r="L1099">
        <v>1</v>
      </c>
    </row>
    <row r="1100" spans="1:12">
      <c r="A1100" t="s">
        <v>3206</v>
      </c>
      <c r="B1100" t="s">
        <v>3207</v>
      </c>
      <c r="C1100" t="s">
        <v>3208</v>
      </c>
      <c r="D1100" t="s">
        <v>23</v>
      </c>
      <c r="E1100" t="s">
        <v>54</v>
      </c>
      <c r="F1100" t="s">
        <v>36</v>
      </c>
      <c r="G1100" t="s">
        <v>105</v>
      </c>
      <c r="H1100" t="s">
        <v>19</v>
      </c>
      <c r="I1100">
        <v>5</v>
      </c>
      <c r="J1100">
        <v>24</v>
      </c>
      <c r="K1100">
        <v>9.44</v>
      </c>
      <c r="L1100">
        <v>1</v>
      </c>
    </row>
    <row r="1101" spans="1:12">
      <c r="A1101" t="s">
        <v>3209</v>
      </c>
      <c r="B1101" t="s">
        <v>3210</v>
      </c>
      <c r="C1101" t="s">
        <v>3211</v>
      </c>
      <c r="D1101" t="s">
        <v>35</v>
      </c>
      <c r="E1101" t="s">
        <v>16</v>
      </c>
      <c r="F1101" t="s">
        <v>60</v>
      </c>
      <c r="G1101" t="s">
        <v>151</v>
      </c>
      <c r="H1101" t="s">
        <v>31</v>
      </c>
      <c r="I1101">
        <v>5</v>
      </c>
      <c r="J1101">
        <v>48</v>
      </c>
      <c r="K1101">
        <v>44.16</v>
      </c>
      <c r="L1101">
        <v>1</v>
      </c>
    </row>
    <row r="1102" spans="1:12">
      <c r="A1102" t="s">
        <v>3212</v>
      </c>
      <c r="B1102" t="s">
        <v>3213</v>
      </c>
      <c r="C1102" t="s">
        <v>3214</v>
      </c>
      <c r="D1102" t="s">
        <v>23</v>
      </c>
      <c r="E1102" t="s">
        <v>59</v>
      </c>
      <c r="F1102" t="s">
        <v>17</v>
      </c>
      <c r="G1102" t="s">
        <v>42</v>
      </c>
      <c r="H1102" t="s">
        <v>19</v>
      </c>
      <c r="I1102">
        <v>3</v>
      </c>
      <c r="J1102">
        <v>24</v>
      </c>
      <c r="K1102">
        <v>9.61</v>
      </c>
      <c r="L1102">
        <v>1</v>
      </c>
    </row>
    <row r="1103" spans="1:12">
      <c r="A1103" t="s">
        <v>3215</v>
      </c>
      <c r="B1103" t="s">
        <v>3216</v>
      </c>
      <c r="D1103" t="s">
        <v>23</v>
      </c>
      <c r="E1103" t="s">
        <v>28</v>
      </c>
      <c r="F1103" t="s">
        <v>36</v>
      </c>
      <c r="G1103" t="s">
        <v>172</v>
      </c>
      <c r="H1103" t="s">
        <v>63</v>
      </c>
      <c r="J1103">
        <v>24</v>
      </c>
    </row>
    <row r="1104" spans="1:12">
      <c r="A1104" t="s">
        <v>3217</v>
      </c>
      <c r="B1104" t="s">
        <v>3218</v>
      </c>
      <c r="C1104" t="s">
        <v>3219</v>
      </c>
      <c r="D1104" t="s">
        <v>35</v>
      </c>
      <c r="E1104" t="s">
        <v>16</v>
      </c>
      <c r="F1104" t="s">
        <v>36</v>
      </c>
      <c r="G1104" t="s">
        <v>45</v>
      </c>
      <c r="H1104" t="s">
        <v>19</v>
      </c>
      <c r="I1104">
        <v>5</v>
      </c>
      <c r="J1104">
        <v>48</v>
      </c>
      <c r="K1104">
        <v>13.49</v>
      </c>
      <c r="L1104">
        <v>1</v>
      </c>
    </row>
    <row r="1105" spans="1:12">
      <c r="A1105" t="s">
        <v>3220</v>
      </c>
      <c r="B1105" t="s">
        <v>3221</v>
      </c>
      <c r="D1105" t="s">
        <v>23</v>
      </c>
      <c r="E1105" t="s">
        <v>54</v>
      </c>
      <c r="F1105" t="s">
        <v>60</v>
      </c>
      <c r="G1105" t="s">
        <v>30</v>
      </c>
      <c r="H1105" t="s">
        <v>63</v>
      </c>
      <c r="J1105">
        <v>24</v>
      </c>
    </row>
    <row r="1106" spans="1:12">
      <c r="A1106" t="s">
        <v>3222</v>
      </c>
      <c r="B1106" t="s">
        <v>3223</v>
      </c>
      <c r="C1106" t="s">
        <v>3224</v>
      </c>
      <c r="D1106" t="s">
        <v>23</v>
      </c>
      <c r="E1106" t="s">
        <v>28</v>
      </c>
      <c r="F1106" t="s">
        <v>29</v>
      </c>
      <c r="G1106" t="s">
        <v>30</v>
      </c>
      <c r="H1106" t="s">
        <v>31</v>
      </c>
      <c r="I1106">
        <v>3</v>
      </c>
      <c r="J1106">
        <v>24</v>
      </c>
      <c r="K1106">
        <v>9.6199999999999992</v>
      </c>
      <c r="L1106">
        <v>1</v>
      </c>
    </row>
    <row r="1107" spans="1:12">
      <c r="A1107" t="s">
        <v>3225</v>
      </c>
      <c r="B1107" t="s">
        <v>3226</v>
      </c>
      <c r="C1107" t="s">
        <v>3227</v>
      </c>
      <c r="D1107" t="s">
        <v>23</v>
      </c>
      <c r="E1107" t="s">
        <v>28</v>
      </c>
      <c r="F1107" t="s">
        <v>36</v>
      </c>
      <c r="G1107" t="s">
        <v>42</v>
      </c>
      <c r="H1107" t="s">
        <v>19</v>
      </c>
      <c r="I1107">
        <v>5</v>
      </c>
      <c r="J1107">
        <v>24</v>
      </c>
      <c r="K1107">
        <v>13.19</v>
      </c>
      <c r="L1107">
        <v>1</v>
      </c>
    </row>
    <row r="1108" spans="1:12">
      <c r="A1108" t="s">
        <v>3228</v>
      </c>
      <c r="B1108" t="s">
        <v>3229</v>
      </c>
      <c r="C1108" t="s">
        <v>3230</v>
      </c>
      <c r="D1108" t="s">
        <v>15</v>
      </c>
      <c r="E1108" t="s">
        <v>28</v>
      </c>
      <c r="F1108" t="s">
        <v>17</v>
      </c>
      <c r="G1108" t="s">
        <v>151</v>
      </c>
      <c r="H1108" t="s">
        <v>19</v>
      </c>
      <c r="I1108">
        <v>4</v>
      </c>
      <c r="J1108">
        <v>8</v>
      </c>
      <c r="K1108">
        <v>3.35</v>
      </c>
      <c r="L1108">
        <v>1</v>
      </c>
    </row>
    <row r="1109" spans="1:12">
      <c r="A1109" t="s">
        <v>3231</v>
      </c>
      <c r="B1109" t="s">
        <v>3232</v>
      </c>
      <c r="C1109" t="s">
        <v>3233</v>
      </c>
      <c r="D1109" t="s">
        <v>15</v>
      </c>
      <c r="E1109" t="s">
        <v>16</v>
      </c>
      <c r="F1109" t="s">
        <v>36</v>
      </c>
      <c r="G1109" t="s">
        <v>50</v>
      </c>
      <c r="H1109" t="s">
        <v>31</v>
      </c>
      <c r="I1109">
        <v>5</v>
      </c>
      <c r="J1109">
        <v>8</v>
      </c>
      <c r="K1109">
        <v>1.75</v>
      </c>
      <c r="L1109">
        <v>1</v>
      </c>
    </row>
    <row r="1110" spans="1:12">
      <c r="A1110" t="s">
        <v>3234</v>
      </c>
      <c r="B1110" t="s">
        <v>3235</v>
      </c>
      <c r="C1110" t="s">
        <v>3236</v>
      </c>
      <c r="D1110" t="s">
        <v>23</v>
      </c>
      <c r="E1110" t="s">
        <v>16</v>
      </c>
      <c r="F1110" t="s">
        <v>17</v>
      </c>
      <c r="G1110" t="s">
        <v>42</v>
      </c>
      <c r="H1110" t="s">
        <v>19</v>
      </c>
      <c r="I1110">
        <v>5</v>
      </c>
      <c r="J1110">
        <v>24</v>
      </c>
      <c r="K1110">
        <v>10.45</v>
      </c>
      <c r="L1110">
        <v>1</v>
      </c>
    </row>
    <row r="1111" spans="1:12">
      <c r="A1111" t="s">
        <v>3237</v>
      </c>
      <c r="B1111" t="s">
        <v>3238</v>
      </c>
      <c r="D1111" t="s">
        <v>158</v>
      </c>
      <c r="E1111" t="s">
        <v>54</v>
      </c>
      <c r="F1111" t="s">
        <v>41</v>
      </c>
      <c r="G1111" t="s">
        <v>151</v>
      </c>
      <c r="H1111" t="s">
        <v>46</v>
      </c>
      <c r="J1111">
        <v>4</v>
      </c>
    </row>
    <row r="1112" spans="1:12">
      <c r="A1112" t="s">
        <v>3239</v>
      </c>
      <c r="B1112" t="s">
        <v>3240</v>
      </c>
      <c r="C1112" t="s">
        <v>3241</v>
      </c>
      <c r="D1112" t="s">
        <v>23</v>
      </c>
      <c r="E1112" t="s">
        <v>54</v>
      </c>
      <c r="F1112" t="s">
        <v>17</v>
      </c>
      <c r="G1112" t="s">
        <v>172</v>
      </c>
      <c r="H1112" t="s">
        <v>31</v>
      </c>
      <c r="I1112">
        <v>5</v>
      </c>
      <c r="J1112">
        <v>24</v>
      </c>
      <c r="K1112">
        <v>10.56</v>
      </c>
      <c r="L1112">
        <v>1</v>
      </c>
    </row>
    <row r="1113" spans="1:12">
      <c r="A1113" t="s">
        <v>3242</v>
      </c>
      <c r="B1113" t="s">
        <v>3243</v>
      </c>
      <c r="C1113" t="s">
        <v>3244</v>
      </c>
      <c r="D1113" t="s">
        <v>35</v>
      </c>
      <c r="E1113" t="s">
        <v>28</v>
      </c>
      <c r="F1113" t="s">
        <v>36</v>
      </c>
      <c r="G1113" t="s">
        <v>42</v>
      </c>
      <c r="H1113" t="s">
        <v>31</v>
      </c>
      <c r="I1113">
        <v>3</v>
      </c>
      <c r="J1113">
        <v>48</v>
      </c>
      <c r="K1113">
        <v>18.84</v>
      </c>
      <c r="L1113">
        <v>1</v>
      </c>
    </row>
    <row r="1114" spans="1:12">
      <c r="A1114" t="s">
        <v>3245</v>
      </c>
      <c r="B1114" t="s">
        <v>3246</v>
      </c>
      <c r="D1114" t="s">
        <v>15</v>
      </c>
      <c r="E1114" t="s">
        <v>54</v>
      </c>
      <c r="F1114" t="s">
        <v>29</v>
      </c>
      <c r="G1114" t="s">
        <v>37</v>
      </c>
      <c r="H1114" t="s">
        <v>46</v>
      </c>
      <c r="J1114">
        <v>8</v>
      </c>
    </row>
    <row r="1115" spans="1:12">
      <c r="A1115" t="s">
        <v>3247</v>
      </c>
      <c r="B1115" t="s">
        <v>3248</v>
      </c>
      <c r="C1115" t="s">
        <v>3249</v>
      </c>
      <c r="D1115" t="s">
        <v>158</v>
      </c>
      <c r="E1115" t="s">
        <v>28</v>
      </c>
      <c r="F1115" t="s">
        <v>29</v>
      </c>
      <c r="G1115" t="s">
        <v>50</v>
      </c>
      <c r="H1115" t="s">
        <v>19</v>
      </c>
      <c r="I1115">
        <v>5</v>
      </c>
      <c r="J1115">
        <v>4</v>
      </c>
      <c r="K1115">
        <v>2.5</v>
      </c>
      <c r="L1115">
        <v>1</v>
      </c>
    </row>
    <row r="1116" spans="1:12">
      <c r="A1116" t="s">
        <v>3250</v>
      </c>
      <c r="B1116" t="s">
        <v>3251</v>
      </c>
      <c r="C1116" t="s">
        <v>3252</v>
      </c>
      <c r="D1116" t="s">
        <v>15</v>
      </c>
      <c r="E1116" t="s">
        <v>16</v>
      </c>
      <c r="F1116" t="s">
        <v>29</v>
      </c>
      <c r="G1116" t="s">
        <v>105</v>
      </c>
      <c r="H1116" t="s">
        <v>19</v>
      </c>
      <c r="I1116">
        <v>3</v>
      </c>
      <c r="J1116">
        <v>8</v>
      </c>
      <c r="K1116">
        <v>11.5</v>
      </c>
      <c r="L1116">
        <v>0</v>
      </c>
    </row>
    <row r="1117" spans="1:12">
      <c r="A1117" t="s">
        <v>3253</v>
      </c>
      <c r="B1117" t="s">
        <v>3254</v>
      </c>
      <c r="C1117" t="s">
        <v>3255</v>
      </c>
      <c r="D1117" t="s">
        <v>15</v>
      </c>
      <c r="E1117" t="s">
        <v>16</v>
      </c>
      <c r="F1117" t="s">
        <v>60</v>
      </c>
      <c r="G1117" t="s">
        <v>73</v>
      </c>
      <c r="H1117" t="s">
        <v>19</v>
      </c>
      <c r="I1117">
        <v>1</v>
      </c>
      <c r="J1117">
        <v>8</v>
      </c>
      <c r="K1117">
        <v>18.21</v>
      </c>
      <c r="L1117">
        <v>0</v>
      </c>
    </row>
    <row r="1118" spans="1:12">
      <c r="A1118" t="s">
        <v>3256</v>
      </c>
      <c r="B1118" t="s">
        <v>3257</v>
      </c>
      <c r="C1118" t="s">
        <v>3258</v>
      </c>
      <c r="D1118" t="s">
        <v>15</v>
      </c>
      <c r="E1118" t="s">
        <v>24</v>
      </c>
      <c r="F1118" t="s">
        <v>17</v>
      </c>
      <c r="G1118" t="s">
        <v>73</v>
      </c>
      <c r="H1118" t="s">
        <v>19</v>
      </c>
      <c r="I1118">
        <v>3</v>
      </c>
      <c r="J1118">
        <v>8</v>
      </c>
      <c r="K1118">
        <v>1.42</v>
      </c>
      <c r="L1118">
        <v>1</v>
      </c>
    </row>
    <row r="1119" spans="1:12">
      <c r="A1119" t="s">
        <v>3259</v>
      </c>
      <c r="B1119" t="s">
        <v>3260</v>
      </c>
      <c r="C1119" t="s">
        <v>3261</v>
      </c>
      <c r="D1119" t="s">
        <v>23</v>
      </c>
      <c r="E1119" t="s">
        <v>28</v>
      </c>
      <c r="F1119" t="s">
        <v>17</v>
      </c>
      <c r="G1119" t="s">
        <v>18</v>
      </c>
      <c r="H1119" t="s">
        <v>19</v>
      </c>
      <c r="I1119">
        <v>5</v>
      </c>
      <c r="J1119">
        <v>24</v>
      </c>
      <c r="K1119">
        <v>18</v>
      </c>
      <c r="L1119">
        <v>1</v>
      </c>
    </row>
    <row r="1120" spans="1:12">
      <c r="A1120" t="s">
        <v>3262</v>
      </c>
      <c r="B1120" t="s">
        <v>3263</v>
      </c>
      <c r="C1120" t="s">
        <v>3264</v>
      </c>
      <c r="D1120" t="s">
        <v>15</v>
      </c>
      <c r="E1120" t="s">
        <v>28</v>
      </c>
      <c r="F1120" t="s">
        <v>29</v>
      </c>
      <c r="G1120" t="s">
        <v>105</v>
      </c>
      <c r="H1120" t="s">
        <v>19</v>
      </c>
      <c r="I1120">
        <v>3</v>
      </c>
      <c r="J1120">
        <v>8</v>
      </c>
      <c r="K1120">
        <v>1.1200000000000001</v>
      </c>
      <c r="L1120">
        <v>1</v>
      </c>
    </row>
    <row r="1121" spans="1:12">
      <c r="A1121" t="s">
        <v>3265</v>
      </c>
      <c r="B1121" t="s">
        <v>3266</v>
      </c>
      <c r="C1121" t="s">
        <v>3267</v>
      </c>
      <c r="D1121" t="s">
        <v>23</v>
      </c>
      <c r="E1121" t="s">
        <v>28</v>
      </c>
      <c r="F1121" t="s">
        <v>29</v>
      </c>
      <c r="G1121" t="s">
        <v>50</v>
      </c>
      <c r="H1121" t="s">
        <v>19</v>
      </c>
      <c r="I1121">
        <v>4</v>
      </c>
      <c r="J1121">
        <v>24</v>
      </c>
      <c r="K1121">
        <v>11.19</v>
      </c>
      <c r="L1121">
        <v>1</v>
      </c>
    </row>
    <row r="1122" spans="1:12">
      <c r="A1122" t="s">
        <v>3268</v>
      </c>
      <c r="B1122" t="s">
        <v>3269</v>
      </c>
      <c r="D1122" t="s">
        <v>23</v>
      </c>
      <c r="E1122" t="s">
        <v>28</v>
      </c>
      <c r="F1122" t="s">
        <v>36</v>
      </c>
      <c r="G1122" t="s">
        <v>151</v>
      </c>
      <c r="H1122" t="s">
        <v>63</v>
      </c>
      <c r="J1122">
        <v>24</v>
      </c>
    </row>
    <row r="1123" spans="1:12">
      <c r="A1123" t="s">
        <v>3270</v>
      </c>
      <c r="B1123" t="s">
        <v>3271</v>
      </c>
      <c r="C1123" t="s">
        <v>3272</v>
      </c>
      <c r="D1123" t="s">
        <v>35</v>
      </c>
      <c r="E1123" t="s">
        <v>16</v>
      </c>
      <c r="F1123" t="s">
        <v>60</v>
      </c>
      <c r="G1123" t="s">
        <v>77</v>
      </c>
      <c r="H1123" t="s">
        <v>31</v>
      </c>
      <c r="I1123">
        <v>5</v>
      </c>
      <c r="J1123">
        <v>48</v>
      </c>
      <c r="K1123">
        <v>16.059999999999999</v>
      </c>
      <c r="L1123">
        <v>1</v>
      </c>
    </row>
    <row r="1124" spans="1:12">
      <c r="A1124" t="s">
        <v>3273</v>
      </c>
      <c r="B1124" t="s">
        <v>3274</v>
      </c>
      <c r="C1124" t="s">
        <v>3275</v>
      </c>
      <c r="D1124" t="s">
        <v>35</v>
      </c>
      <c r="E1124" t="s">
        <v>24</v>
      </c>
      <c r="F1124" t="s">
        <v>60</v>
      </c>
      <c r="G1124" t="s">
        <v>42</v>
      </c>
      <c r="H1124" t="s">
        <v>19</v>
      </c>
      <c r="I1124">
        <v>3</v>
      </c>
      <c r="J1124">
        <v>48</v>
      </c>
      <c r="K1124">
        <v>133.15</v>
      </c>
      <c r="L1124">
        <v>0</v>
      </c>
    </row>
    <row r="1125" spans="1:12">
      <c r="A1125" t="s">
        <v>3276</v>
      </c>
      <c r="B1125" t="s">
        <v>3277</v>
      </c>
      <c r="C1125" t="s">
        <v>3278</v>
      </c>
      <c r="D1125" t="s">
        <v>23</v>
      </c>
      <c r="E1125" t="s">
        <v>59</v>
      </c>
      <c r="F1125" t="s">
        <v>36</v>
      </c>
      <c r="G1125" t="s">
        <v>77</v>
      </c>
      <c r="H1125" t="s">
        <v>31</v>
      </c>
      <c r="I1125">
        <v>5</v>
      </c>
      <c r="J1125">
        <v>24</v>
      </c>
      <c r="K1125">
        <v>12.07</v>
      </c>
      <c r="L1125">
        <v>1</v>
      </c>
    </row>
    <row r="1126" spans="1:12">
      <c r="A1126" t="s">
        <v>3279</v>
      </c>
      <c r="B1126" t="s">
        <v>3280</v>
      </c>
      <c r="C1126" t="s">
        <v>3281</v>
      </c>
      <c r="D1126" t="s">
        <v>23</v>
      </c>
      <c r="E1126" t="s">
        <v>24</v>
      </c>
      <c r="F1126" t="s">
        <v>17</v>
      </c>
      <c r="G1126" t="s">
        <v>37</v>
      </c>
      <c r="H1126" t="s">
        <v>31</v>
      </c>
      <c r="I1126">
        <v>5</v>
      </c>
      <c r="J1126">
        <v>24</v>
      </c>
      <c r="K1126">
        <v>20.29</v>
      </c>
      <c r="L1126">
        <v>1</v>
      </c>
    </row>
    <row r="1127" spans="1:12">
      <c r="A1127" t="s">
        <v>3282</v>
      </c>
      <c r="B1127" t="s">
        <v>3283</v>
      </c>
      <c r="C1127" t="s">
        <v>3284</v>
      </c>
      <c r="D1127" t="s">
        <v>23</v>
      </c>
      <c r="E1127" t="s">
        <v>28</v>
      </c>
      <c r="F1127" t="s">
        <v>29</v>
      </c>
      <c r="G1127" t="s">
        <v>50</v>
      </c>
      <c r="H1127" t="s">
        <v>31</v>
      </c>
      <c r="I1127">
        <v>4</v>
      </c>
      <c r="J1127">
        <v>24</v>
      </c>
      <c r="K1127">
        <v>11.3</v>
      </c>
      <c r="L1127">
        <v>1</v>
      </c>
    </row>
    <row r="1128" spans="1:12">
      <c r="A1128" t="s">
        <v>3285</v>
      </c>
      <c r="B1128" t="s">
        <v>3286</v>
      </c>
      <c r="C1128" t="s">
        <v>3287</v>
      </c>
      <c r="D1128" t="s">
        <v>35</v>
      </c>
      <c r="E1128" t="s">
        <v>28</v>
      </c>
      <c r="F1128" t="s">
        <v>36</v>
      </c>
      <c r="G1128" t="s">
        <v>73</v>
      </c>
      <c r="H1128" t="s">
        <v>31</v>
      </c>
      <c r="I1128">
        <v>3</v>
      </c>
      <c r="J1128">
        <v>48</v>
      </c>
      <c r="K1128">
        <v>10.06</v>
      </c>
      <c r="L1128">
        <v>1</v>
      </c>
    </row>
    <row r="1129" spans="1:12">
      <c r="A1129" t="s">
        <v>3288</v>
      </c>
      <c r="B1129" t="s">
        <v>3289</v>
      </c>
      <c r="C1129" t="s">
        <v>3290</v>
      </c>
      <c r="D1129" t="s">
        <v>158</v>
      </c>
      <c r="E1129" t="s">
        <v>59</v>
      </c>
      <c r="F1129" t="s">
        <v>17</v>
      </c>
      <c r="G1129" t="s">
        <v>105</v>
      </c>
      <c r="H1129" t="s">
        <v>31</v>
      </c>
      <c r="I1129">
        <v>5</v>
      </c>
      <c r="J1129">
        <v>4</v>
      </c>
      <c r="K1129">
        <v>2.21</v>
      </c>
      <c r="L1129">
        <v>1</v>
      </c>
    </row>
    <row r="1130" spans="1:12">
      <c r="A1130" t="s">
        <v>3291</v>
      </c>
      <c r="B1130" t="s">
        <v>3292</v>
      </c>
      <c r="C1130" t="s">
        <v>3293</v>
      </c>
      <c r="D1130" t="s">
        <v>15</v>
      </c>
      <c r="E1130" t="s">
        <v>28</v>
      </c>
      <c r="F1130" t="s">
        <v>41</v>
      </c>
      <c r="G1130" t="s">
        <v>77</v>
      </c>
      <c r="H1130" t="s">
        <v>31</v>
      </c>
      <c r="I1130">
        <v>4</v>
      </c>
      <c r="J1130">
        <v>8</v>
      </c>
      <c r="K1130">
        <v>2.65</v>
      </c>
      <c r="L1130">
        <v>1</v>
      </c>
    </row>
    <row r="1131" spans="1:12">
      <c r="A1131" t="s">
        <v>3294</v>
      </c>
      <c r="B1131" t="s">
        <v>3295</v>
      </c>
      <c r="C1131" t="s">
        <v>3296</v>
      </c>
      <c r="D1131" t="s">
        <v>23</v>
      </c>
      <c r="E1131" t="s">
        <v>54</v>
      </c>
      <c r="F1131" t="s">
        <v>36</v>
      </c>
      <c r="G1131" t="s">
        <v>77</v>
      </c>
      <c r="H1131" t="s">
        <v>19</v>
      </c>
      <c r="I1131">
        <v>4</v>
      </c>
      <c r="J1131">
        <v>24</v>
      </c>
      <c r="K1131">
        <v>13.11</v>
      </c>
      <c r="L1131">
        <v>1</v>
      </c>
    </row>
    <row r="1132" spans="1:12">
      <c r="A1132" t="s">
        <v>3297</v>
      </c>
      <c r="B1132" t="s">
        <v>3298</v>
      </c>
      <c r="C1132" t="s">
        <v>3299</v>
      </c>
      <c r="D1132" t="s">
        <v>15</v>
      </c>
      <c r="E1132" t="s">
        <v>28</v>
      </c>
      <c r="F1132" t="s">
        <v>36</v>
      </c>
      <c r="G1132" t="s">
        <v>73</v>
      </c>
      <c r="H1132" t="s">
        <v>19</v>
      </c>
      <c r="I1132">
        <v>5</v>
      </c>
      <c r="J1132">
        <v>8</v>
      </c>
      <c r="K1132">
        <v>2.78</v>
      </c>
      <c r="L1132">
        <v>1</v>
      </c>
    </row>
    <row r="1133" spans="1:12">
      <c r="A1133" t="s">
        <v>3300</v>
      </c>
      <c r="B1133" t="s">
        <v>3301</v>
      </c>
      <c r="D1133" t="s">
        <v>15</v>
      </c>
      <c r="E1133" t="s">
        <v>24</v>
      </c>
      <c r="F1133" t="s">
        <v>36</v>
      </c>
      <c r="G1133" t="s">
        <v>151</v>
      </c>
      <c r="H1133" t="s">
        <v>46</v>
      </c>
      <c r="J1133">
        <v>8</v>
      </c>
    </row>
    <row r="1134" spans="1:12">
      <c r="A1134" t="s">
        <v>3302</v>
      </c>
      <c r="B1134" t="s">
        <v>3303</v>
      </c>
      <c r="C1134" t="s">
        <v>3304</v>
      </c>
      <c r="D1134" t="s">
        <v>15</v>
      </c>
      <c r="E1134" t="s">
        <v>24</v>
      </c>
      <c r="F1134" t="s">
        <v>29</v>
      </c>
      <c r="G1134" t="s">
        <v>151</v>
      </c>
      <c r="H1134" t="s">
        <v>31</v>
      </c>
      <c r="I1134">
        <v>5</v>
      </c>
      <c r="J1134">
        <v>8</v>
      </c>
      <c r="K1134">
        <v>1.37</v>
      </c>
      <c r="L1134">
        <v>1</v>
      </c>
    </row>
    <row r="1135" spans="1:12">
      <c r="A1135" t="s">
        <v>3305</v>
      </c>
      <c r="B1135" t="s">
        <v>3306</v>
      </c>
      <c r="C1135" t="s">
        <v>3307</v>
      </c>
      <c r="D1135" t="s">
        <v>15</v>
      </c>
      <c r="E1135" t="s">
        <v>24</v>
      </c>
      <c r="F1135" t="s">
        <v>60</v>
      </c>
      <c r="G1135" t="s">
        <v>45</v>
      </c>
      <c r="H1135" t="s">
        <v>19</v>
      </c>
      <c r="I1135">
        <v>5</v>
      </c>
      <c r="J1135">
        <v>8</v>
      </c>
      <c r="K1135">
        <v>6.35</v>
      </c>
      <c r="L1135">
        <v>1</v>
      </c>
    </row>
    <row r="1136" spans="1:12">
      <c r="A1136" t="s">
        <v>3308</v>
      </c>
      <c r="B1136" t="s">
        <v>3309</v>
      </c>
      <c r="C1136" t="s">
        <v>3310</v>
      </c>
      <c r="D1136" t="s">
        <v>23</v>
      </c>
      <c r="E1136" t="s">
        <v>28</v>
      </c>
      <c r="F1136" t="s">
        <v>29</v>
      </c>
      <c r="G1136" t="s">
        <v>30</v>
      </c>
      <c r="H1136" t="s">
        <v>19</v>
      </c>
      <c r="I1136">
        <v>3</v>
      </c>
      <c r="J1136">
        <v>24</v>
      </c>
      <c r="K1136">
        <v>61.62</v>
      </c>
      <c r="L1136">
        <v>0</v>
      </c>
    </row>
    <row r="1137" spans="1:12">
      <c r="A1137" t="s">
        <v>3311</v>
      </c>
      <c r="B1137" t="s">
        <v>3312</v>
      </c>
      <c r="C1137" t="s">
        <v>3313</v>
      </c>
      <c r="D1137" t="s">
        <v>23</v>
      </c>
      <c r="E1137" t="s">
        <v>54</v>
      </c>
      <c r="F1137" t="s">
        <v>29</v>
      </c>
      <c r="G1137" t="s">
        <v>151</v>
      </c>
      <c r="H1137" t="s">
        <v>31</v>
      </c>
      <c r="I1137">
        <v>4</v>
      </c>
      <c r="J1137">
        <v>24</v>
      </c>
      <c r="K1137">
        <v>19.059999999999999</v>
      </c>
      <c r="L1137">
        <v>1</v>
      </c>
    </row>
    <row r="1138" spans="1:12">
      <c r="A1138" t="s">
        <v>3314</v>
      </c>
      <c r="B1138" t="s">
        <v>3315</v>
      </c>
      <c r="C1138" t="s">
        <v>3316</v>
      </c>
      <c r="D1138" t="s">
        <v>15</v>
      </c>
      <c r="E1138" t="s">
        <v>54</v>
      </c>
      <c r="F1138" t="s">
        <v>41</v>
      </c>
      <c r="G1138" t="s">
        <v>73</v>
      </c>
      <c r="H1138" t="s">
        <v>19</v>
      </c>
      <c r="I1138">
        <v>4</v>
      </c>
      <c r="J1138">
        <v>8</v>
      </c>
      <c r="K1138">
        <v>3.75</v>
      </c>
      <c r="L1138">
        <v>1</v>
      </c>
    </row>
    <row r="1139" spans="1:12">
      <c r="A1139" t="s">
        <v>3317</v>
      </c>
      <c r="B1139" t="s">
        <v>3318</v>
      </c>
      <c r="C1139" t="s">
        <v>3319</v>
      </c>
      <c r="D1139" t="s">
        <v>158</v>
      </c>
      <c r="E1139" t="s">
        <v>24</v>
      </c>
      <c r="F1139" t="s">
        <v>17</v>
      </c>
      <c r="G1139" t="s">
        <v>73</v>
      </c>
      <c r="H1139" t="s">
        <v>19</v>
      </c>
      <c r="I1139">
        <v>5</v>
      </c>
      <c r="J1139">
        <v>4</v>
      </c>
      <c r="K1139">
        <v>2.88</v>
      </c>
      <c r="L1139">
        <v>1</v>
      </c>
    </row>
    <row r="1140" spans="1:12">
      <c r="A1140" t="s">
        <v>3320</v>
      </c>
      <c r="B1140" t="s">
        <v>3321</v>
      </c>
      <c r="C1140" t="s">
        <v>3322</v>
      </c>
      <c r="D1140" t="s">
        <v>15</v>
      </c>
      <c r="E1140" t="s">
        <v>16</v>
      </c>
      <c r="F1140" t="s">
        <v>41</v>
      </c>
      <c r="G1140" t="s">
        <v>151</v>
      </c>
      <c r="H1140" t="s">
        <v>31</v>
      </c>
      <c r="I1140">
        <v>4</v>
      </c>
      <c r="J1140">
        <v>8</v>
      </c>
      <c r="K1140">
        <v>1.29</v>
      </c>
      <c r="L1140">
        <v>1</v>
      </c>
    </row>
    <row r="1141" spans="1:12">
      <c r="A1141" t="s">
        <v>3323</v>
      </c>
      <c r="B1141" t="s">
        <v>3324</v>
      </c>
      <c r="C1141" t="s">
        <v>3325</v>
      </c>
      <c r="D1141" t="s">
        <v>23</v>
      </c>
      <c r="E1141" t="s">
        <v>28</v>
      </c>
      <c r="F1141" t="s">
        <v>60</v>
      </c>
      <c r="G1141" t="s">
        <v>73</v>
      </c>
      <c r="H1141" t="s">
        <v>31</v>
      </c>
      <c r="I1141">
        <v>4</v>
      </c>
      <c r="J1141">
        <v>24</v>
      </c>
      <c r="K1141">
        <v>14.71</v>
      </c>
      <c r="L1141">
        <v>1</v>
      </c>
    </row>
    <row r="1142" spans="1:12">
      <c r="A1142" t="s">
        <v>3326</v>
      </c>
      <c r="B1142" t="s">
        <v>3327</v>
      </c>
      <c r="C1142" t="s">
        <v>3328</v>
      </c>
      <c r="D1142" t="s">
        <v>15</v>
      </c>
      <c r="E1142" t="s">
        <v>24</v>
      </c>
      <c r="F1142" t="s">
        <v>36</v>
      </c>
      <c r="G1142" t="s">
        <v>73</v>
      </c>
      <c r="H1142" t="s">
        <v>19</v>
      </c>
      <c r="I1142">
        <v>5</v>
      </c>
      <c r="J1142">
        <v>8</v>
      </c>
      <c r="K1142">
        <v>816</v>
      </c>
      <c r="L1142">
        <v>0</v>
      </c>
    </row>
    <row r="1143" spans="1:12">
      <c r="A1143" t="s">
        <v>3329</v>
      </c>
      <c r="B1143" t="s">
        <v>3330</v>
      </c>
      <c r="C1143" t="s">
        <v>3331</v>
      </c>
      <c r="D1143" t="s">
        <v>23</v>
      </c>
      <c r="E1143" t="s">
        <v>24</v>
      </c>
      <c r="F1143" t="s">
        <v>36</v>
      </c>
      <c r="G1143" t="s">
        <v>77</v>
      </c>
      <c r="H1143" t="s">
        <v>31</v>
      </c>
      <c r="I1143">
        <v>4</v>
      </c>
      <c r="J1143">
        <v>24</v>
      </c>
      <c r="K1143">
        <v>16.829999999999998</v>
      </c>
      <c r="L1143">
        <v>1</v>
      </c>
    </row>
    <row r="1144" spans="1:12">
      <c r="A1144" t="s">
        <v>3332</v>
      </c>
      <c r="B1144" t="s">
        <v>3333</v>
      </c>
      <c r="C1144" t="s">
        <v>3334</v>
      </c>
      <c r="D1144" t="s">
        <v>23</v>
      </c>
      <c r="E1144" t="s">
        <v>16</v>
      </c>
      <c r="F1144" t="s">
        <v>17</v>
      </c>
      <c r="G1144" t="s">
        <v>45</v>
      </c>
      <c r="H1144" t="s">
        <v>19</v>
      </c>
      <c r="I1144">
        <v>5</v>
      </c>
      <c r="J1144">
        <v>24</v>
      </c>
      <c r="K1144">
        <v>3.54</v>
      </c>
      <c r="L1144">
        <v>1</v>
      </c>
    </row>
    <row r="1145" spans="1:12">
      <c r="A1145" t="s">
        <v>3335</v>
      </c>
      <c r="B1145" t="s">
        <v>3336</v>
      </c>
      <c r="C1145" t="s">
        <v>3337</v>
      </c>
      <c r="D1145" t="s">
        <v>23</v>
      </c>
      <c r="E1145" t="s">
        <v>24</v>
      </c>
      <c r="F1145" t="s">
        <v>36</v>
      </c>
      <c r="G1145" t="s">
        <v>42</v>
      </c>
      <c r="H1145" t="s">
        <v>19</v>
      </c>
      <c r="I1145">
        <v>4</v>
      </c>
      <c r="J1145">
        <v>24</v>
      </c>
      <c r="K1145">
        <v>20.48</v>
      </c>
      <c r="L1145">
        <v>1</v>
      </c>
    </row>
    <row r="1146" spans="1:12">
      <c r="A1146" t="s">
        <v>3338</v>
      </c>
      <c r="B1146" t="s">
        <v>3339</v>
      </c>
      <c r="C1146" t="s">
        <v>3340</v>
      </c>
      <c r="D1146" t="s">
        <v>35</v>
      </c>
      <c r="E1146" t="s">
        <v>54</v>
      </c>
      <c r="F1146" t="s">
        <v>41</v>
      </c>
      <c r="G1146" t="s">
        <v>37</v>
      </c>
      <c r="H1146" t="s">
        <v>19</v>
      </c>
      <c r="I1146">
        <v>5</v>
      </c>
      <c r="J1146">
        <v>48</v>
      </c>
      <c r="K1146">
        <v>14.02</v>
      </c>
      <c r="L1146">
        <v>1</v>
      </c>
    </row>
    <row r="1147" spans="1:12">
      <c r="A1147" t="s">
        <v>3341</v>
      </c>
      <c r="B1147" t="s">
        <v>3342</v>
      </c>
      <c r="C1147" t="s">
        <v>3343</v>
      </c>
      <c r="D1147" t="s">
        <v>23</v>
      </c>
      <c r="E1147" t="s">
        <v>16</v>
      </c>
      <c r="F1147" t="s">
        <v>36</v>
      </c>
      <c r="G1147" t="s">
        <v>50</v>
      </c>
      <c r="H1147" t="s">
        <v>19</v>
      </c>
      <c r="I1147">
        <v>5</v>
      </c>
      <c r="J1147">
        <v>24</v>
      </c>
      <c r="K1147">
        <v>4.4800000000000004</v>
      </c>
      <c r="L1147">
        <v>1</v>
      </c>
    </row>
    <row r="1148" spans="1:12">
      <c r="A1148" t="s">
        <v>3344</v>
      </c>
      <c r="B1148" t="s">
        <v>3345</v>
      </c>
      <c r="C1148" t="s">
        <v>3346</v>
      </c>
      <c r="D1148" t="s">
        <v>158</v>
      </c>
      <c r="E1148" t="s">
        <v>28</v>
      </c>
      <c r="F1148" t="s">
        <v>29</v>
      </c>
      <c r="G1148" t="s">
        <v>42</v>
      </c>
      <c r="H1148" t="s">
        <v>31</v>
      </c>
      <c r="I1148">
        <v>5</v>
      </c>
      <c r="J1148">
        <v>4</v>
      </c>
      <c r="K1148">
        <v>1.01</v>
      </c>
      <c r="L1148">
        <v>1</v>
      </c>
    </row>
    <row r="1149" spans="1:12">
      <c r="A1149" t="s">
        <v>3347</v>
      </c>
      <c r="B1149" t="s">
        <v>3348</v>
      </c>
      <c r="C1149" t="s">
        <v>3349</v>
      </c>
      <c r="D1149" t="s">
        <v>15</v>
      </c>
      <c r="E1149" t="s">
        <v>28</v>
      </c>
      <c r="F1149" t="s">
        <v>29</v>
      </c>
      <c r="G1149" t="s">
        <v>55</v>
      </c>
      <c r="H1149" t="s">
        <v>31</v>
      </c>
      <c r="I1149">
        <v>5</v>
      </c>
      <c r="J1149">
        <v>8</v>
      </c>
      <c r="K1149">
        <v>1.51</v>
      </c>
      <c r="L1149">
        <v>1</v>
      </c>
    </row>
    <row r="1150" spans="1:12">
      <c r="A1150" t="s">
        <v>3350</v>
      </c>
      <c r="B1150" t="s">
        <v>3351</v>
      </c>
      <c r="C1150" t="s">
        <v>3352</v>
      </c>
      <c r="D1150" t="s">
        <v>23</v>
      </c>
      <c r="E1150" t="s">
        <v>28</v>
      </c>
      <c r="F1150" t="s">
        <v>36</v>
      </c>
      <c r="G1150" t="s">
        <v>30</v>
      </c>
      <c r="H1150" t="s">
        <v>31</v>
      </c>
      <c r="I1150">
        <v>1</v>
      </c>
      <c r="J1150">
        <v>24</v>
      </c>
      <c r="K1150">
        <v>61.6</v>
      </c>
      <c r="L1150">
        <v>0</v>
      </c>
    </row>
    <row r="1151" spans="1:12">
      <c r="A1151" t="s">
        <v>3353</v>
      </c>
      <c r="B1151" t="s">
        <v>3354</v>
      </c>
      <c r="C1151" t="s">
        <v>3355</v>
      </c>
      <c r="D1151" t="s">
        <v>23</v>
      </c>
      <c r="E1151" t="s">
        <v>16</v>
      </c>
      <c r="F1151" t="s">
        <v>41</v>
      </c>
      <c r="G1151" t="s">
        <v>42</v>
      </c>
      <c r="H1151" t="s">
        <v>19</v>
      </c>
      <c r="I1151">
        <v>4</v>
      </c>
      <c r="J1151">
        <v>24</v>
      </c>
      <c r="K1151">
        <v>17.22</v>
      </c>
      <c r="L1151">
        <v>1</v>
      </c>
    </row>
    <row r="1152" spans="1:12">
      <c r="A1152" t="s">
        <v>3356</v>
      </c>
      <c r="B1152" t="s">
        <v>3357</v>
      </c>
      <c r="C1152" t="s">
        <v>3358</v>
      </c>
      <c r="D1152" t="s">
        <v>35</v>
      </c>
      <c r="E1152" t="s">
        <v>24</v>
      </c>
      <c r="F1152" t="s">
        <v>41</v>
      </c>
      <c r="G1152" t="s">
        <v>172</v>
      </c>
      <c r="H1152" t="s">
        <v>19</v>
      </c>
      <c r="I1152">
        <v>4</v>
      </c>
      <c r="J1152">
        <v>48</v>
      </c>
      <c r="K1152">
        <v>33.090000000000003</v>
      </c>
      <c r="L1152">
        <v>1</v>
      </c>
    </row>
    <row r="1153" spans="1:12">
      <c r="A1153" t="s">
        <v>3359</v>
      </c>
      <c r="B1153" t="s">
        <v>3360</v>
      </c>
      <c r="C1153" t="s">
        <v>3361</v>
      </c>
      <c r="D1153" t="s">
        <v>23</v>
      </c>
      <c r="E1153" t="s">
        <v>24</v>
      </c>
      <c r="F1153" t="s">
        <v>17</v>
      </c>
      <c r="G1153" t="s">
        <v>37</v>
      </c>
      <c r="H1153" t="s">
        <v>19</v>
      </c>
      <c r="I1153">
        <v>5</v>
      </c>
      <c r="J1153">
        <v>24</v>
      </c>
      <c r="K1153">
        <v>13.29</v>
      </c>
      <c r="L1153">
        <v>1</v>
      </c>
    </row>
    <row r="1154" spans="1:12">
      <c r="A1154" t="s">
        <v>3362</v>
      </c>
      <c r="B1154" t="s">
        <v>3363</v>
      </c>
      <c r="C1154" t="s">
        <v>3364</v>
      </c>
      <c r="D1154" t="s">
        <v>15</v>
      </c>
      <c r="E1154" t="s">
        <v>24</v>
      </c>
      <c r="F1154" t="s">
        <v>41</v>
      </c>
      <c r="G1154" t="s">
        <v>77</v>
      </c>
      <c r="H1154" t="s">
        <v>31</v>
      </c>
      <c r="I1154">
        <v>5</v>
      </c>
      <c r="J1154">
        <v>8</v>
      </c>
      <c r="K1154">
        <v>5.89</v>
      </c>
      <c r="L1154">
        <v>1</v>
      </c>
    </row>
    <row r="1155" spans="1:12">
      <c r="A1155" t="s">
        <v>3365</v>
      </c>
      <c r="B1155" t="s">
        <v>3366</v>
      </c>
      <c r="C1155" t="s">
        <v>3367</v>
      </c>
      <c r="D1155" t="s">
        <v>23</v>
      </c>
      <c r="E1155" t="s">
        <v>28</v>
      </c>
      <c r="F1155" t="s">
        <v>36</v>
      </c>
      <c r="G1155" t="s">
        <v>172</v>
      </c>
      <c r="H1155" t="s">
        <v>31</v>
      </c>
      <c r="I1155">
        <v>1</v>
      </c>
      <c r="J1155">
        <v>24</v>
      </c>
      <c r="K1155">
        <v>68.3</v>
      </c>
      <c r="L1155">
        <v>0</v>
      </c>
    </row>
    <row r="1156" spans="1:12">
      <c r="A1156" t="s">
        <v>3368</v>
      </c>
      <c r="B1156" t="s">
        <v>3369</v>
      </c>
      <c r="C1156" t="s">
        <v>3370</v>
      </c>
      <c r="D1156" t="s">
        <v>23</v>
      </c>
      <c r="E1156" t="s">
        <v>16</v>
      </c>
      <c r="F1156" t="s">
        <v>17</v>
      </c>
      <c r="G1156" t="s">
        <v>45</v>
      </c>
      <c r="H1156" t="s">
        <v>19</v>
      </c>
      <c r="I1156">
        <v>4</v>
      </c>
      <c r="J1156">
        <v>24</v>
      </c>
      <c r="K1156">
        <v>51.01</v>
      </c>
      <c r="L1156">
        <v>0</v>
      </c>
    </row>
    <row r="1157" spans="1:12">
      <c r="A1157" t="s">
        <v>3371</v>
      </c>
      <c r="B1157" t="s">
        <v>3372</v>
      </c>
      <c r="C1157" t="s">
        <v>3373</v>
      </c>
      <c r="D1157" t="s">
        <v>15</v>
      </c>
      <c r="E1157" t="s">
        <v>16</v>
      </c>
      <c r="F1157" t="s">
        <v>36</v>
      </c>
      <c r="G1157" t="s">
        <v>105</v>
      </c>
      <c r="H1157" t="s">
        <v>19</v>
      </c>
      <c r="I1157">
        <v>2</v>
      </c>
      <c r="J1157">
        <v>8</v>
      </c>
      <c r="K1157">
        <v>19.38</v>
      </c>
      <c r="L1157">
        <v>0</v>
      </c>
    </row>
    <row r="1158" spans="1:12">
      <c r="A1158" t="s">
        <v>3374</v>
      </c>
      <c r="B1158" t="s">
        <v>3375</v>
      </c>
      <c r="C1158" t="s">
        <v>3376</v>
      </c>
      <c r="D1158" t="s">
        <v>23</v>
      </c>
      <c r="E1158" t="s">
        <v>28</v>
      </c>
      <c r="F1158" t="s">
        <v>36</v>
      </c>
      <c r="G1158" t="s">
        <v>105</v>
      </c>
      <c r="H1158" t="s">
        <v>19</v>
      </c>
      <c r="I1158">
        <v>5</v>
      </c>
      <c r="J1158">
        <v>24</v>
      </c>
      <c r="K1158">
        <v>12.13</v>
      </c>
      <c r="L1158">
        <v>1</v>
      </c>
    </row>
    <row r="1159" spans="1:12">
      <c r="A1159" t="s">
        <v>3377</v>
      </c>
      <c r="B1159" t="s">
        <v>3378</v>
      </c>
      <c r="C1159" t="s">
        <v>3379</v>
      </c>
      <c r="D1159" t="s">
        <v>158</v>
      </c>
      <c r="E1159" t="s">
        <v>28</v>
      </c>
      <c r="F1159" t="s">
        <v>36</v>
      </c>
      <c r="G1159" t="s">
        <v>18</v>
      </c>
      <c r="H1159" t="s">
        <v>19</v>
      </c>
      <c r="I1159">
        <v>4</v>
      </c>
      <c r="J1159">
        <v>4</v>
      </c>
      <c r="K1159">
        <v>3.17</v>
      </c>
      <c r="L1159">
        <v>1</v>
      </c>
    </row>
    <row r="1160" spans="1:12">
      <c r="A1160" t="s">
        <v>3380</v>
      </c>
      <c r="B1160" t="s">
        <v>3381</v>
      </c>
      <c r="D1160" t="s">
        <v>23</v>
      </c>
      <c r="E1160" t="s">
        <v>24</v>
      </c>
      <c r="F1160" t="s">
        <v>60</v>
      </c>
      <c r="G1160" t="s">
        <v>105</v>
      </c>
      <c r="H1160" t="s">
        <v>63</v>
      </c>
      <c r="J1160">
        <v>24</v>
      </c>
    </row>
    <row r="1161" spans="1:12">
      <c r="A1161" t="s">
        <v>3382</v>
      </c>
      <c r="B1161" t="s">
        <v>3383</v>
      </c>
      <c r="C1161" t="s">
        <v>3384</v>
      </c>
      <c r="D1161" t="s">
        <v>23</v>
      </c>
      <c r="E1161" t="s">
        <v>28</v>
      </c>
      <c r="F1161" t="s">
        <v>36</v>
      </c>
      <c r="G1161" t="s">
        <v>45</v>
      </c>
      <c r="H1161" t="s">
        <v>19</v>
      </c>
      <c r="I1161">
        <v>5</v>
      </c>
      <c r="J1161">
        <v>24</v>
      </c>
      <c r="K1161">
        <v>15.51</v>
      </c>
      <c r="L1161">
        <v>1</v>
      </c>
    </row>
    <row r="1162" spans="1:12">
      <c r="A1162" t="s">
        <v>3385</v>
      </c>
      <c r="B1162" t="s">
        <v>3386</v>
      </c>
      <c r="D1162" t="s">
        <v>23</v>
      </c>
      <c r="E1162" t="s">
        <v>24</v>
      </c>
      <c r="F1162" t="s">
        <v>41</v>
      </c>
      <c r="G1162" t="s">
        <v>151</v>
      </c>
      <c r="H1162" t="s">
        <v>63</v>
      </c>
      <c r="J1162">
        <v>24</v>
      </c>
    </row>
    <row r="1163" spans="1:12">
      <c r="A1163" t="s">
        <v>3387</v>
      </c>
      <c r="B1163" t="s">
        <v>3388</v>
      </c>
      <c r="C1163" t="s">
        <v>3389</v>
      </c>
      <c r="D1163" t="s">
        <v>23</v>
      </c>
      <c r="E1163" t="s">
        <v>16</v>
      </c>
      <c r="F1163" t="s">
        <v>60</v>
      </c>
      <c r="G1163" t="s">
        <v>77</v>
      </c>
      <c r="H1163" t="s">
        <v>19</v>
      </c>
      <c r="I1163">
        <v>4</v>
      </c>
      <c r="J1163">
        <v>24</v>
      </c>
      <c r="K1163">
        <v>21.4</v>
      </c>
      <c r="L1163">
        <v>1</v>
      </c>
    </row>
    <row r="1164" spans="1:12">
      <c r="A1164" t="s">
        <v>3390</v>
      </c>
      <c r="B1164" t="s">
        <v>3391</v>
      </c>
      <c r="C1164" t="s">
        <v>3392</v>
      </c>
      <c r="D1164" t="s">
        <v>23</v>
      </c>
      <c r="E1164" t="s">
        <v>59</v>
      </c>
      <c r="F1164" t="s">
        <v>17</v>
      </c>
      <c r="G1164" t="s">
        <v>105</v>
      </c>
      <c r="H1164" t="s">
        <v>19</v>
      </c>
      <c r="I1164">
        <v>4</v>
      </c>
      <c r="J1164">
        <v>24</v>
      </c>
      <c r="K1164">
        <v>6.87</v>
      </c>
      <c r="L1164">
        <v>1</v>
      </c>
    </row>
    <row r="1165" spans="1:12">
      <c r="A1165" t="s">
        <v>3393</v>
      </c>
      <c r="B1165" t="s">
        <v>3394</v>
      </c>
      <c r="C1165" t="s">
        <v>3395</v>
      </c>
      <c r="D1165" t="s">
        <v>35</v>
      </c>
      <c r="E1165" t="s">
        <v>54</v>
      </c>
      <c r="F1165" t="s">
        <v>36</v>
      </c>
      <c r="G1165" t="s">
        <v>105</v>
      </c>
      <c r="H1165" t="s">
        <v>19</v>
      </c>
      <c r="I1165">
        <v>5</v>
      </c>
      <c r="J1165">
        <v>48</v>
      </c>
      <c r="K1165">
        <v>30.99</v>
      </c>
      <c r="L1165">
        <v>1</v>
      </c>
    </row>
    <row r="1166" spans="1:12">
      <c r="A1166" t="s">
        <v>3396</v>
      </c>
      <c r="B1166" t="s">
        <v>3397</v>
      </c>
      <c r="C1166" t="s">
        <v>3398</v>
      </c>
      <c r="D1166" t="s">
        <v>158</v>
      </c>
      <c r="E1166" t="s">
        <v>28</v>
      </c>
      <c r="F1166" t="s">
        <v>41</v>
      </c>
      <c r="G1166" t="s">
        <v>18</v>
      </c>
      <c r="H1166" t="s">
        <v>19</v>
      </c>
      <c r="I1166">
        <v>5</v>
      </c>
      <c r="J1166">
        <v>4</v>
      </c>
      <c r="K1166">
        <v>1.63</v>
      </c>
      <c r="L1166">
        <v>1</v>
      </c>
    </row>
    <row r="1167" spans="1:12">
      <c r="A1167" t="s">
        <v>3399</v>
      </c>
      <c r="B1167" t="s">
        <v>3400</v>
      </c>
      <c r="C1167" t="s">
        <v>3401</v>
      </c>
      <c r="D1167" t="s">
        <v>158</v>
      </c>
      <c r="E1167" t="s">
        <v>28</v>
      </c>
      <c r="F1167" t="s">
        <v>60</v>
      </c>
      <c r="G1167" t="s">
        <v>42</v>
      </c>
      <c r="H1167" t="s">
        <v>19</v>
      </c>
      <c r="I1167">
        <v>4</v>
      </c>
      <c r="J1167">
        <v>4</v>
      </c>
      <c r="K1167">
        <v>2.97</v>
      </c>
      <c r="L1167">
        <v>1</v>
      </c>
    </row>
    <row r="1168" spans="1:12">
      <c r="A1168" t="s">
        <v>3402</v>
      </c>
      <c r="B1168" t="s">
        <v>3403</v>
      </c>
      <c r="C1168" t="s">
        <v>3404</v>
      </c>
      <c r="D1168" t="s">
        <v>15</v>
      </c>
      <c r="E1168" t="s">
        <v>59</v>
      </c>
      <c r="F1168" t="s">
        <v>17</v>
      </c>
      <c r="G1168" t="s">
        <v>45</v>
      </c>
      <c r="H1168" t="s">
        <v>19</v>
      </c>
      <c r="I1168">
        <v>5</v>
      </c>
      <c r="J1168">
        <v>8</v>
      </c>
      <c r="K1168">
        <v>1.1000000000000001</v>
      </c>
      <c r="L1168">
        <v>1</v>
      </c>
    </row>
    <row r="1169" spans="1:12">
      <c r="A1169" t="s">
        <v>3405</v>
      </c>
      <c r="B1169" t="s">
        <v>3406</v>
      </c>
      <c r="D1169" t="s">
        <v>158</v>
      </c>
      <c r="E1169" t="s">
        <v>28</v>
      </c>
      <c r="F1169" t="s">
        <v>29</v>
      </c>
      <c r="G1169" t="s">
        <v>30</v>
      </c>
      <c r="H1169" t="s">
        <v>46</v>
      </c>
      <c r="J1169">
        <v>4</v>
      </c>
    </row>
    <row r="1170" spans="1:12">
      <c r="A1170" t="s">
        <v>3407</v>
      </c>
      <c r="B1170" t="s">
        <v>3408</v>
      </c>
      <c r="C1170" t="s">
        <v>3409</v>
      </c>
      <c r="D1170" t="s">
        <v>15</v>
      </c>
      <c r="E1170" t="s">
        <v>28</v>
      </c>
      <c r="F1170" t="s">
        <v>17</v>
      </c>
      <c r="G1170" t="s">
        <v>172</v>
      </c>
      <c r="H1170" t="s">
        <v>31</v>
      </c>
      <c r="I1170">
        <v>5</v>
      </c>
      <c r="J1170">
        <v>8</v>
      </c>
      <c r="K1170">
        <v>7.42</v>
      </c>
      <c r="L1170">
        <v>1</v>
      </c>
    </row>
    <row r="1171" spans="1:12">
      <c r="A1171" t="s">
        <v>3410</v>
      </c>
      <c r="B1171" t="s">
        <v>3411</v>
      </c>
      <c r="C1171" t="s">
        <v>3412</v>
      </c>
      <c r="D1171" t="s">
        <v>15</v>
      </c>
      <c r="E1171" t="s">
        <v>16</v>
      </c>
      <c r="F1171" t="s">
        <v>60</v>
      </c>
      <c r="G1171" t="s">
        <v>42</v>
      </c>
      <c r="H1171" t="s">
        <v>19</v>
      </c>
      <c r="I1171">
        <v>5</v>
      </c>
      <c r="J1171">
        <v>8</v>
      </c>
      <c r="K1171">
        <v>0.96</v>
      </c>
      <c r="L1171">
        <v>1</v>
      </c>
    </row>
    <row r="1172" spans="1:12">
      <c r="A1172" t="s">
        <v>3413</v>
      </c>
      <c r="B1172" t="s">
        <v>3414</v>
      </c>
      <c r="C1172" t="s">
        <v>3415</v>
      </c>
      <c r="D1172" t="s">
        <v>23</v>
      </c>
      <c r="E1172" t="s">
        <v>28</v>
      </c>
      <c r="F1172" t="s">
        <v>29</v>
      </c>
      <c r="G1172" t="s">
        <v>73</v>
      </c>
      <c r="H1172" t="s">
        <v>19</v>
      </c>
      <c r="I1172">
        <v>3</v>
      </c>
      <c r="J1172">
        <v>24</v>
      </c>
      <c r="K1172">
        <v>20.46</v>
      </c>
      <c r="L1172">
        <v>1</v>
      </c>
    </row>
    <row r="1173" spans="1:12">
      <c r="A1173" t="s">
        <v>3416</v>
      </c>
      <c r="B1173" t="s">
        <v>3417</v>
      </c>
      <c r="C1173" t="s">
        <v>3418</v>
      </c>
      <c r="D1173" t="s">
        <v>15</v>
      </c>
      <c r="E1173" t="s">
        <v>28</v>
      </c>
      <c r="F1173" t="s">
        <v>17</v>
      </c>
      <c r="G1173" t="s">
        <v>105</v>
      </c>
      <c r="H1173" t="s">
        <v>19</v>
      </c>
      <c r="I1173">
        <v>3</v>
      </c>
      <c r="J1173">
        <v>8</v>
      </c>
      <c r="K1173">
        <v>16.45</v>
      </c>
      <c r="L1173">
        <v>0</v>
      </c>
    </row>
    <row r="1174" spans="1:12">
      <c r="A1174" t="s">
        <v>3419</v>
      </c>
      <c r="B1174" t="s">
        <v>3420</v>
      </c>
      <c r="C1174" t="s">
        <v>3421</v>
      </c>
      <c r="D1174" t="s">
        <v>23</v>
      </c>
      <c r="E1174" t="s">
        <v>16</v>
      </c>
      <c r="F1174" t="s">
        <v>41</v>
      </c>
      <c r="G1174" t="s">
        <v>73</v>
      </c>
      <c r="H1174" t="s">
        <v>19</v>
      </c>
      <c r="I1174">
        <v>4</v>
      </c>
      <c r="J1174">
        <v>24</v>
      </c>
      <c r="K1174">
        <v>19.86</v>
      </c>
      <c r="L1174">
        <v>1</v>
      </c>
    </row>
    <row r="1175" spans="1:12">
      <c r="A1175" t="s">
        <v>3422</v>
      </c>
      <c r="B1175" t="s">
        <v>3423</v>
      </c>
      <c r="D1175" t="s">
        <v>23</v>
      </c>
      <c r="E1175" t="s">
        <v>54</v>
      </c>
      <c r="F1175" t="s">
        <v>17</v>
      </c>
      <c r="G1175" t="s">
        <v>18</v>
      </c>
      <c r="H1175" t="s">
        <v>46</v>
      </c>
      <c r="J1175">
        <v>24</v>
      </c>
    </row>
    <row r="1176" spans="1:12">
      <c r="A1176" t="s">
        <v>3424</v>
      </c>
      <c r="B1176" t="s">
        <v>3425</v>
      </c>
      <c r="C1176" t="s">
        <v>3426</v>
      </c>
      <c r="D1176" t="s">
        <v>158</v>
      </c>
      <c r="E1176" t="s">
        <v>24</v>
      </c>
      <c r="F1176" t="s">
        <v>41</v>
      </c>
      <c r="G1176" t="s">
        <v>42</v>
      </c>
      <c r="H1176" t="s">
        <v>31</v>
      </c>
      <c r="I1176">
        <v>5</v>
      </c>
      <c r="J1176">
        <v>4</v>
      </c>
      <c r="K1176">
        <v>3.36</v>
      </c>
      <c r="L1176">
        <v>1</v>
      </c>
    </row>
    <row r="1177" spans="1:12">
      <c r="A1177" t="s">
        <v>3427</v>
      </c>
      <c r="B1177" t="s">
        <v>3428</v>
      </c>
      <c r="C1177" t="s">
        <v>3429</v>
      </c>
      <c r="D1177" t="s">
        <v>23</v>
      </c>
      <c r="E1177" t="s">
        <v>24</v>
      </c>
      <c r="F1177" t="s">
        <v>36</v>
      </c>
      <c r="G1177" t="s">
        <v>50</v>
      </c>
      <c r="H1177" t="s">
        <v>19</v>
      </c>
      <c r="I1177">
        <v>1</v>
      </c>
      <c r="J1177">
        <v>24</v>
      </c>
      <c r="K1177">
        <v>32.76</v>
      </c>
      <c r="L1177">
        <v>0</v>
      </c>
    </row>
    <row r="1178" spans="1:12">
      <c r="A1178" t="s">
        <v>3430</v>
      </c>
      <c r="B1178" t="s">
        <v>3431</v>
      </c>
      <c r="D1178" t="s">
        <v>23</v>
      </c>
      <c r="E1178" t="s">
        <v>24</v>
      </c>
      <c r="F1178" t="s">
        <v>41</v>
      </c>
      <c r="G1178" t="s">
        <v>45</v>
      </c>
      <c r="H1178" t="s">
        <v>46</v>
      </c>
      <c r="J1178">
        <v>24</v>
      </c>
    </row>
    <row r="1179" spans="1:12">
      <c r="A1179" t="s">
        <v>3432</v>
      </c>
      <c r="B1179" t="s">
        <v>3433</v>
      </c>
      <c r="D1179" t="s">
        <v>23</v>
      </c>
      <c r="E1179" t="s">
        <v>28</v>
      </c>
      <c r="F1179" t="s">
        <v>17</v>
      </c>
      <c r="G1179" t="s">
        <v>42</v>
      </c>
      <c r="H1179" t="s">
        <v>46</v>
      </c>
      <c r="J1179">
        <v>24</v>
      </c>
    </row>
    <row r="1180" spans="1:12">
      <c r="A1180" t="s">
        <v>3434</v>
      </c>
      <c r="B1180" t="s">
        <v>3435</v>
      </c>
      <c r="C1180" t="s">
        <v>3436</v>
      </c>
      <c r="D1180" t="s">
        <v>158</v>
      </c>
      <c r="E1180" t="s">
        <v>16</v>
      </c>
      <c r="F1180" t="s">
        <v>41</v>
      </c>
      <c r="G1180" t="s">
        <v>37</v>
      </c>
      <c r="H1180" t="s">
        <v>31</v>
      </c>
      <c r="I1180">
        <v>2</v>
      </c>
      <c r="J1180">
        <v>4</v>
      </c>
      <c r="K1180">
        <v>5.21</v>
      </c>
      <c r="L1180">
        <v>0</v>
      </c>
    </row>
    <row r="1181" spans="1:12">
      <c r="A1181" t="s">
        <v>3437</v>
      </c>
      <c r="B1181" t="s">
        <v>3438</v>
      </c>
      <c r="C1181" t="s">
        <v>3439</v>
      </c>
      <c r="D1181" t="s">
        <v>23</v>
      </c>
      <c r="E1181" t="s">
        <v>28</v>
      </c>
      <c r="F1181" t="s">
        <v>36</v>
      </c>
      <c r="G1181" t="s">
        <v>151</v>
      </c>
      <c r="H1181" t="s">
        <v>19</v>
      </c>
      <c r="I1181">
        <v>5</v>
      </c>
      <c r="J1181">
        <v>24</v>
      </c>
      <c r="K1181">
        <v>20.3</v>
      </c>
      <c r="L1181">
        <v>1</v>
      </c>
    </row>
    <row r="1182" spans="1:12">
      <c r="A1182" t="s">
        <v>3440</v>
      </c>
      <c r="B1182" t="s">
        <v>3441</v>
      </c>
      <c r="C1182" t="s">
        <v>3442</v>
      </c>
      <c r="D1182" t="s">
        <v>23</v>
      </c>
      <c r="E1182" t="s">
        <v>54</v>
      </c>
      <c r="F1182" t="s">
        <v>17</v>
      </c>
      <c r="G1182" t="s">
        <v>105</v>
      </c>
      <c r="H1182" t="s">
        <v>31</v>
      </c>
      <c r="I1182">
        <v>4</v>
      </c>
      <c r="J1182">
        <v>24</v>
      </c>
      <c r="K1182">
        <v>19.8</v>
      </c>
      <c r="L1182">
        <v>1</v>
      </c>
    </row>
    <row r="1183" spans="1:12">
      <c r="A1183" t="s">
        <v>3443</v>
      </c>
      <c r="B1183" t="s">
        <v>3444</v>
      </c>
      <c r="C1183" t="s">
        <v>3445</v>
      </c>
      <c r="D1183" t="s">
        <v>23</v>
      </c>
      <c r="E1183" t="s">
        <v>16</v>
      </c>
      <c r="F1183" t="s">
        <v>17</v>
      </c>
      <c r="G1183" t="s">
        <v>37</v>
      </c>
      <c r="H1183" t="s">
        <v>31</v>
      </c>
      <c r="I1183">
        <v>4</v>
      </c>
      <c r="J1183">
        <v>24</v>
      </c>
      <c r="K1183">
        <v>9.52</v>
      </c>
      <c r="L1183">
        <v>1</v>
      </c>
    </row>
    <row r="1184" spans="1:12">
      <c r="A1184" t="s">
        <v>3446</v>
      </c>
      <c r="B1184" t="s">
        <v>3447</v>
      </c>
      <c r="C1184" t="s">
        <v>3448</v>
      </c>
      <c r="D1184" t="s">
        <v>35</v>
      </c>
      <c r="E1184" t="s">
        <v>28</v>
      </c>
      <c r="F1184" t="s">
        <v>36</v>
      </c>
      <c r="G1184" t="s">
        <v>73</v>
      </c>
      <c r="H1184" t="s">
        <v>31</v>
      </c>
      <c r="I1184">
        <v>3</v>
      </c>
      <c r="J1184">
        <v>48</v>
      </c>
      <c r="K1184">
        <v>136.74</v>
      </c>
      <c r="L1184">
        <v>0</v>
      </c>
    </row>
    <row r="1185" spans="1:12">
      <c r="A1185" t="s">
        <v>3449</v>
      </c>
      <c r="B1185" t="s">
        <v>3450</v>
      </c>
      <c r="C1185" t="s">
        <v>3451</v>
      </c>
      <c r="D1185" t="s">
        <v>23</v>
      </c>
      <c r="E1185" t="s">
        <v>24</v>
      </c>
      <c r="F1185" t="s">
        <v>29</v>
      </c>
      <c r="G1185" t="s">
        <v>55</v>
      </c>
      <c r="H1185" t="s">
        <v>19</v>
      </c>
      <c r="I1185">
        <v>4</v>
      </c>
      <c r="J1185">
        <v>24</v>
      </c>
      <c r="K1185">
        <v>12.11</v>
      </c>
      <c r="L1185">
        <v>1</v>
      </c>
    </row>
    <row r="1186" spans="1:12">
      <c r="A1186" t="s">
        <v>3452</v>
      </c>
      <c r="B1186" t="s">
        <v>3453</v>
      </c>
      <c r="C1186" t="s">
        <v>3454</v>
      </c>
      <c r="D1186" t="s">
        <v>23</v>
      </c>
      <c r="E1186" t="s">
        <v>59</v>
      </c>
      <c r="F1186" t="s">
        <v>17</v>
      </c>
      <c r="G1186" t="s">
        <v>151</v>
      </c>
      <c r="H1186" t="s">
        <v>19</v>
      </c>
      <c r="I1186">
        <v>5</v>
      </c>
      <c r="J1186">
        <v>24</v>
      </c>
      <c r="K1186">
        <v>22.55</v>
      </c>
      <c r="L1186">
        <v>1</v>
      </c>
    </row>
    <row r="1187" spans="1:12">
      <c r="A1187" t="s">
        <v>3455</v>
      </c>
      <c r="B1187" t="s">
        <v>3456</v>
      </c>
      <c r="C1187" t="s">
        <v>3457</v>
      </c>
      <c r="D1187" t="s">
        <v>35</v>
      </c>
      <c r="E1187" t="s">
        <v>28</v>
      </c>
      <c r="F1187" t="s">
        <v>41</v>
      </c>
      <c r="G1187" t="s">
        <v>50</v>
      </c>
      <c r="H1187" t="s">
        <v>19</v>
      </c>
      <c r="I1187">
        <v>5</v>
      </c>
      <c r="J1187">
        <v>48</v>
      </c>
      <c r="K1187">
        <v>5.74</v>
      </c>
      <c r="L1187">
        <v>1</v>
      </c>
    </row>
    <row r="1188" spans="1:12">
      <c r="A1188" t="s">
        <v>3458</v>
      </c>
      <c r="B1188" t="s">
        <v>3459</v>
      </c>
      <c r="C1188" t="s">
        <v>3460</v>
      </c>
      <c r="D1188" t="s">
        <v>15</v>
      </c>
      <c r="E1188" t="s">
        <v>54</v>
      </c>
      <c r="F1188" t="s">
        <v>36</v>
      </c>
      <c r="G1188" t="s">
        <v>73</v>
      </c>
      <c r="H1188" t="s">
        <v>19</v>
      </c>
      <c r="I1188">
        <v>5</v>
      </c>
      <c r="J1188">
        <v>8</v>
      </c>
      <c r="K1188">
        <v>2.83</v>
      </c>
      <c r="L1188">
        <v>1</v>
      </c>
    </row>
    <row r="1189" spans="1:12">
      <c r="A1189" t="s">
        <v>3461</v>
      </c>
      <c r="B1189" t="s">
        <v>3462</v>
      </c>
      <c r="C1189" t="s">
        <v>3463</v>
      </c>
      <c r="D1189" t="s">
        <v>23</v>
      </c>
      <c r="E1189" t="s">
        <v>54</v>
      </c>
      <c r="F1189" t="s">
        <v>29</v>
      </c>
      <c r="G1189" t="s">
        <v>73</v>
      </c>
      <c r="H1189" t="s">
        <v>31</v>
      </c>
      <c r="I1189">
        <v>4</v>
      </c>
      <c r="J1189">
        <v>24</v>
      </c>
      <c r="K1189">
        <v>20.79</v>
      </c>
      <c r="L1189">
        <v>1</v>
      </c>
    </row>
    <row r="1190" spans="1:12">
      <c r="A1190" t="s">
        <v>3464</v>
      </c>
      <c r="B1190" t="s">
        <v>3465</v>
      </c>
      <c r="C1190" t="s">
        <v>3466</v>
      </c>
      <c r="D1190" t="s">
        <v>15</v>
      </c>
      <c r="E1190" t="s">
        <v>24</v>
      </c>
      <c r="F1190" t="s">
        <v>41</v>
      </c>
      <c r="G1190" t="s">
        <v>50</v>
      </c>
      <c r="H1190" t="s">
        <v>19</v>
      </c>
      <c r="I1190">
        <v>5</v>
      </c>
      <c r="J1190">
        <v>8</v>
      </c>
      <c r="K1190">
        <v>1.89</v>
      </c>
      <c r="L1190">
        <v>1</v>
      </c>
    </row>
    <row r="1191" spans="1:12">
      <c r="A1191" t="s">
        <v>3467</v>
      </c>
      <c r="B1191" t="s">
        <v>3468</v>
      </c>
      <c r="C1191" t="s">
        <v>3469</v>
      </c>
      <c r="D1191" t="s">
        <v>35</v>
      </c>
      <c r="E1191" t="s">
        <v>54</v>
      </c>
      <c r="F1191" t="s">
        <v>36</v>
      </c>
      <c r="G1191" t="s">
        <v>77</v>
      </c>
      <c r="H1191" t="s">
        <v>31</v>
      </c>
      <c r="I1191">
        <v>5</v>
      </c>
      <c r="J1191">
        <v>48</v>
      </c>
      <c r="K1191">
        <v>7.97</v>
      </c>
      <c r="L1191">
        <v>1</v>
      </c>
    </row>
    <row r="1192" spans="1:12">
      <c r="A1192" t="s">
        <v>3470</v>
      </c>
      <c r="B1192" t="s">
        <v>3471</v>
      </c>
      <c r="C1192" t="s">
        <v>3472</v>
      </c>
      <c r="D1192" t="s">
        <v>15</v>
      </c>
      <c r="E1192" t="s">
        <v>54</v>
      </c>
      <c r="F1192" t="s">
        <v>29</v>
      </c>
      <c r="G1192" t="s">
        <v>30</v>
      </c>
      <c r="H1192" t="s">
        <v>19</v>
      </c>
      <c r="I1192">
        <v>5</v>
      </c>
      <c r="J1192">
        <v>8</v>
      </c>
      <c r="K1192">
        <v>1.8</v>
      </c>
      <c r="L1192">
        <v>1</v>
      </c>
    </row>
    <row r="1193" spans="1:12">
      <c r="A1193" t="s">
        <v>3473</v>
      </c>
      <c r="B1193" t="s">
        <v>3474</v>
      </c>
      <c r="C1193" t="s">
        <v>3475</v>
      </c>
      <c r="D1193" t="s">
        <v>23</v>
      </c>
      <c r="E1193" t="s">
        <v>54</v>
      </c>
      <c r="F1193" t="s">
        <v>29</v>
      </c>
      <c r="G1193" t="s">
        <v>77</v>
      </c>
      <c r="H1193" t="s">
        <v>31</v>
      </c>
      <c r="I1193">
        <v>3</v>
      </c>
      <c r="J1193">
        <v>24</v>
      </c>
      <c r="K1193">
        <v>69.349999999999994</v>
      </c>
      <c r="L1193">
        <v>0</v>
      </c>
    </row>
    <row r="1194" spans="1:12">
      <c r="A1194" t="s">
        <v>3476</v>
      </c>
      <c r="B1194" t="s">
        <v>3477</v>
      </c>
      <c r="C1194" t="s">
        <v>3478</v>
      </c>
      <c r="D1194" t="s">
        <v>23</v>
      </c>
      <c r="E1194" t="s">
        <v>59</v>
      </c>
      <c r="F1194" t="s">
        <v>36</v>
      </c>
      <c r="G1194" t="s">
        <v>30</v>
      </c>
      <c r="H1194" t="s">
        <v>19</v>
      </c>
      <c r="I1194">
        <v>2</v>
      </c>
      <c r="J1194">
        <v>24</v>
      </c>
      <c r="K1194">
        <v>44.86</v>
      </c>
      <c r="L1194">
        <v>0</v>
      </c>
    </row>
    <row r="1195" spans="1:12">
      <c r="A1195" t="s">
        <v>3479</v>
      </c>
      <c r="B1195" t="s">
        <v>3480</v>
      </c>
      <c r="D1195" t="s">
        <v>23</v>
      </c>
      <c r="E1195" t="s">
        <v>28</v>
      </c>
      <c r="F1195" t="s">
        <v>17</v>
      </c>
      <c r="G1195" t="s">
        <v>18</v>
      </c>
      <c r="H1195" t="s">
        <v>46</v>
      </c>
      <c r="J1195">
        <v>24</v>
      </c>
    </row>
    <row r="1196" spans="1:12">
      <c r="A1196" t="s">
        <v>3481</v>
      </c>
      <c r="B1196" t="s">
        <v>3482</v>
      </c>
      <c r="C1196" t="s">
        <v>3483</v>
      </c>
      <c r="D1196" t="s">
        <v>35</v>
      </c>
      <c r="E1196" t="s">
        <v>28</v>
      </c>
      <c r="F1196" t="s">
        <v>29</v>
      </c>
      <c r="G1196" t="s">
        <v>30</v>
      </c>
      <c r="H1196" t="s">
        <v>19</v>
      </c>
      <c r="I1196">
        <v>4</v>
      </c>
      <c r="J1196">
        <v>48</v>
      </c>
      <c r="K1196">
        <v>38.22</v>
      </c>
      <c r="L1196">
        <v>1</v>
      </c>
    </row>
    <row r="1197" spans="1:12">
      <c r="A1197" t="s">
        <v>3484</v>
      </c>
      <c r="B1197" t="s">
        <v>3485</v>
      </c>
      <c r="C1197" t="s">
        <v>3486</v>
      </c>
      <c r="D1197" t="s">
        <v>23</v>
      </c>
      <c r="E1197" t="s">
        <v>28</v>
      </c>
      <c r="F1197" t="s">
        <v>41</v>
      </c>
      <c r="G1197" t="s">
        <v>172</v>
      </c>
      <c r="H1197" t="s">
        <v>19</v>
      </c>
      <c r="I1197">
        <v>5</v>
      </c>
      <c r="J1197">
        <v>24</v>
      </c>
      <c r="K1197">
        <v>13.07</v>
      </c>
      <c r="L1197">
        <v>1</v>
      </c>
    </row>
    <row r="1198" spans="1:12">
      <c r="A1198" t="s">
        <v>3487</v>
      </c>
      <c r="B1198" t="s">
        <v>3488</v>
      </c>
      <c r="C1198" t="s">
        <v>3489</v>
      </c>
      <c r="D1198" t="s">
        <v>35</v>
      </c>
      <c r="E1198" t="s">
        <v>28</v>
      </c>
      <c r="F1198" t="s">
        <v>29</v>
      </c>
      <c r="G1198" t="s">
        <v>73</v>
      </c>
      <c r="H1198" t="s">
        <v>31</v>
      </c>
      <c r="I1198">
        <v>4</v>
      </c>
      <c r="J1198">
        <v>48</v>
      </c>
      <c r="K1198">
        <v>22.58</v>
      </c>
      <c r="L1198">
        <v>1</v>
      </c>
    </row>
    <row r="1199" spans="1:12">
      <c r="A1199" t="s">
        <v>3490</v>
      </c>
      <c r="B1199" t="s">
        <v>3491</v>
      </c>
      <c r="C1199" t="s">
        <v>3492</v>
      </c>
      <c r="D1199" t="s">
        <v>23</v>
      </c>
      <c r="E1199" t="s">
        <v>54</v>
      </c>
      <c r="F1199" t="s">
        <v>29</v>
      </c>
      <c r="G1199" t="s">
        <v>105</v>
      </c>
      <c r="H1199" t="s">
        <v>31</v>
      </c>
      <c r="I1199">
        <v>4</v>
      </c>
      <c r="J1199">
        <v>24</v>
      </c>
      <c r="K1199">
        <v>65.31</v>
      </c>
      <c r="L1199">
        <v>0</v>
      </c>
    </row>
    <row r="1200" spans="1:12">
      <c r="A1200" t="s">
        <v>3493</v>
      </c>
      <c r="B1200" t="s">
        <v>3494</v>
      </c>
      <c r="D1200" t="s">
        <v>35</v>
      </c>
      <c r="E1200" t="s">
        <v>24</v>
      </c>
      <c r="F1200" t="s">
        <v>36</v>
      </c>
      <c r="G1200" t="s">
        <v>55</v>
      </c>
      <c r="H1200" t="s">
        <v>63</v>
      </c>
      <c r="J1200">
        <v>48</v>
      </c>
    </row>
    <row r="1201" spans="1:12">
      <c r="A1201" t="s">
        <v>3495</v>
      </c>
      <c r="B1201" t="s">
        <v>3496</v>
      </c>
      <c r="C1201" t="s">
        <v>3497</v>
      </c>
      <c r="D1201" t="s">
        <v>23</v>
      </c>
      <c r="E1201" t="s">
        <v>16</v>
      </c>
      <c r="F1201" t="s">
        <v>60</v>
      </c>
      <c r="G1201" t="s">
        <v>42</v>
      </c>
      <c r="H1201" t="s">
        <v>31</v>
      </c>
      <c r="I1201">
        <v>5</v>
      </c>
      <c r="J1201">
        <v>24</v>
      </c>
      <c r="K1201">
        <v>18.84</v>
      </c>
      <c r="L1201">
        <v>1</v>
      </c>
    </row>
    <row r="1202" spans="1:12">
      <c r="A1202" t="s">
        <v>3498</v>
      </c>
      <c r="B1202" t="s">
        <v>3499</v>
      </c>
      <c r="C1202" t="s">
        <v>3500</v>
      </c>
      <c r="D1202" t="s">
        <v>23</v>
      </c>
      <c r="E1202" t="s">
        <v>28</v>
      </c>
      <c r="F1202" t="s">
        <v>41</v>
      </c>
      <c r="G1202" t="s">
        <v>77</v>
      </c>
      <c r="H1202" t="s">
        <v>19</v>
      </c>
      <c r="I1202">
        <v>4</v>
      </c>
      <c r="J1202">
        <v>24</v>
      </c>
      <c r="K1202">
        <v>11.98</v>
      </c>
      <c r="L1202">
        <v>1</v>
      </c>
    </row>
    <row r="1203" spans="1:12">
      <c r="A1203" t="s">
        <v>3501</v>
      </c>
      <c r="B1203" t="s">
        <v>3502</v>
      </c>
      <c r="D1203" t="s">
        <v>35</v>
      </c>
      <c r="E1203" t="s">
        <v>28</v>
      </c>
      <c r="F1203" t="s">
        <v>41</v>
      </c>
      <c r="G1203" t="s">
        <v>30</v>
      </c>
      <c r="H1203" t="s">
        <v>63</v>
      </c>
      <c r="J1203">
        <v>48</v>
      </c>
    </row>
    <row r="1204" spans="1:12">
      <c r="A1204" t="s">
        <v>3503</v>
      </c>
      <c r="B1204" t="s">
        <v>3504</v>
      </c>
      <c r="C1204" t="s">
        <v>3505</v>
      </c>
      <c r="D1204" t="s">
        <v>15</v>
      </c>
      <c r="E1204" t="s">
        <v>28</v>
      </c>
      <c r="F1204" t="s">
        <v>29</v>
      </c>
      <c r="G1204" t="s">
        <v>45</v>
      </c>
      <c r="H1204" t="s">
        <v>31</v>
      </c>
      <c r="I1204">
        <v>4</v>
      </c>
      <c r="J1204">
        <v>8</v>
      </c>
      <c r="K1204">
        <v>3.62</v>
      </c>
      <c r="L1204">
        <v>1</v>
      </c>
    </row>
    <row r="1205" spans="1:12">
      <c r="A1205" t="s">
        <v>3506</v>
      </c>
      <c r="B1205" t="s">
        <v>3507</v>
      </c>
      <c r="C1205" t="s">
        <v>3508</v>
      </c>
      <c r="D1205" t="s">
        <v>35</v>
      </c>
      <c r="E1205" t="s">
        <v>24</v>
      </c>
      <c r="F1205" t="s">
        <v>36</v>
      </c>
      <c r="G1205" t="s">
        <v>73</v>
      </c>
      <c r="H1205" t="s">
        <v>31</v>
      </c>
      <c r="I1205">
        <v>3</v>
      </c>
      <c r="J1205">
        <v>48</v>
      </c>
      <c r="K1205">
        <v>98.97</v>
      </c>
      <c r="L1205">
        <v>0</v>
      </c>
    </row>
    <row r="1206" spans="1:12">
      <c r="A1206" t="s">
        <v>3509</v>
      </c>
      <c r="B1206" t="s">
        <v>3510</v>
      </c>
      <c r="C1206" t="s">
        <v>3511</v>
      </c>
      <c r="D1206" t="s">
        <v>15</v>
      </c>
      <c r="E1206" t="s">
        <v>59</v>
      </c>
      <c r="F1206" t="s">
        <v>41</v>
      </c>
      <c r="G1206" t="s">
        <v>18</v>
      </c>
      <c r="H1206" t="s">
        <v>31</v>
      </c>
      <c r="I1206">
        <v>4</v>
      </c>
      <c r="J1206">
        <v>8</v>
      </c>
      <c r="K1206">
        <v>4.99</v>
      </c>
      <c r="L1206">
        <v>1</v>
      </c>
    </row>
    <row r="1207" spans="1:12">
      <c r="A1207" t="s">
        <v>3512</v>
      </c>
      <c r="B1207" t="s">
        <v>3513</v>
      </c>
      <c r="C1207" t="s">
        <v>3514</v>
      </c>
      <c r="D1207" t="s">
        <v>35</v>
      </c>
      <c r="E1207" t="s">
        <v>54</v>
      </c>
      <c r="F1207" t="s">
        <v>17</v>
      </c>
      <c r="G1207" t="s">
        <v>151</v>
      </c>
      <c r="H1207" t="s">
        <v>19</v>
      </c>
      <c r="I1207">
        <v>4</v>
      </c>
      <c r="J1207">
        <v>48</v>
      </c>
      <c r="K1207">
        <v>21.25</v>
      </c>
      <c r="L1207">
        <v>1</v>
      </c>
    </row>
    <row r="1208" spans="1:12">
      <c r="A1208" t="s">
        <v>3515</v>
      </c>
      <c r="B1208" t="s">
        <v>3516</v>
      </c>
      <c r="C1208" t="s">
        <v>3517</v>
      </c>
      <c r="D1208" t="s">
        <v>23</v>
      </c>
      <c r="E1208" t="s">
        <v>24</v>
      </c>
      <c r="F1208" t="s">
        <v>17</v>
      </c>
      <c r="G1208" t="s">
        <v>77</v>
      </c>
      <c r="H1208" t="s">
        <v>19</v>
      </c>
      <c r="I1208">
        <v>5</v>
      </c>
      <c r="J1208">
        <v>24</v>
      </c>
      <c r="K1208">
        <v>10.4</v>
      </c>
      <c r="L1208">
        <v>1</v>
      </c>
    </row>
    <row r="1209" spans="1:12">
      <c r="A1209" t="s">
        <v>3518</v>
      </c>
      <c r="B1209" t="s">
        <v>3519</v>
      </c>
      <c r="C1209" t="s">
        <v>3520</v>
      </c>
      <c r="D1209" t="s">
        <v>15</v>
      </c>
      <c r="E1209" t="s">
        <v>54</v>
      </c>
      <c r="F1209" t="s">
        <v>29</v>
      </c>
      <c r="G1209" t="s">
        <v>18</v>
      </c>
      <c r="H1209" t="s">
        <v>19</v>
      </c>
      <c r="I1209">
        <v>5</v>
      </c>
      <c r="J1209">
        <v>8</v>
      </c>
      <c r="K1209">
        <v>0.88</v>
      </c>
      <c r="L1209">
        <v>1</v>
      </c>
    </row>
    <row r="1210" spans="1:12">
      <c r="A1210" t="s">
        <v>3521</v>
      </c>
      <c r="B1210" t="s">
        <v>3522</v>
      </c>
      <c r="C1210" t="s">
        <v>3523</v>
      </c>
      <c r="D1210" t="s">
        <v>158</v>
      </c>
      <c r="E1210" t="s">
        <v>16</v>
      </c>
      <c r="F1210" t="s">
        <v>36</v>
      </c>
      <c r="G1210" t="s">
        <v>55</v>
      </c>
      <c r="H1210" t="s">
        <v>19</v>
      </c>
      <c r="I1210">
        <v>4</v>
      </c>
      <c r="J1210">
        <v>4</v>
      </c>
      <c r="K1210">
        <v>0.84</v>
      </c>
      <c r="L1210">
        <v>1</v>
      </c>
    </row>
    <row r="1211" spans="1:12">
      <c r="A1211" t="s">
        <v>3524</v>
      </c>
      <c r="B1211" t="s">
        <v>3525</v>
      </c>
      <c r="C1211" t="s">
        <v>3526</v>
      </c>
      <c r="D1211" t="s">
        <v>23</v>
      </c>
      <c r="E1211" t="s">
        <v>24</v>
      </c>
      <c r="F1211" t="s">
        <v>17</v>
      </c>
      <c r="G1211" t="s">
        <v>45</v>
      </c>
      <c r="H1211" t="s">
        <v>19</v>
      </c>
      <c r="I1211">
        <v>3</v>
      </c>
      <c r="J1211">
        <v>24</v>
      </c>
      <c r="K1211">
        <v>59.19</v>
      </c>
      <c r="L1211">
        <v>0</v>
      </c>
    </row>
    <row r="1212" spans="1:12">
      <c r="A1212" t="s">
        <v>3527</v>
      </c>
      <c r="B1212" t="s">
        <v>3528</v>
      </c>
      <c r="D1212" t="s">
        <v>23</v>
      </c>
      <c r="E1212" t="s">
        <v>16</v>
      </c>
      <c r="F1212" t="s">
        <v>29</v>
      </c>
      <c r="G1212" t="s">
        <v>42</v>
      </c>
      <c r="H1212" t="s">
        <v>63</v>
      </c>
      <c r="J1212">
        <v>24</v>
      </c>
    </row>
    <row r="1213" spans="1:12">
      <c r="A1213" t="s">
        <v>3529</v>
      </c>
      <c r="B1213" t="s">
        <v>3530</v>
      </c>
      <c r="C1213" t="s">
        <v>3531</v>
      </c>
      <c r="D1213" t="s">
        <v>158</v>
      </c>
      <c r="E1213" t="s">
        <v>59</v>
      </c>
      <c r="F1213" t="s">
        <v>36</v>
      </c>
      <c r="G1213" t="s">
        <v>42</v>
      </c>
      <c r="H1213" t="s">
        <v>19</v>
      </c>
      <c r="I1213">
        <v>4</v>
      </c>
      <c r="J1213">
        <v>4</v>
      </c>
      <c r="K1213">
        <v>0.76</v>
      </c>
      <c r="L1213">
        <v>1</v>
      </c>
    </row>
    <row r="1214" spans="1:12">
      <c r="A1214" t="s">
        <v>3532</v>
      </c>
      <c r="B1214" t="s">
        <v>3533</v>
      </c>
      <c r="C1214" t="s">
        <v>3534</v>
      </c>
      <c r="D1214" t="s">
        <v>15</v>
      </c>
      <c r="E1214" t="s">
        <v>24</v>
      </c>
      <c r="F1214" t="s">
        <v>29</v>
      </c>
      <c r="G1214" t="s">
        <v>18</v>
      </c>
      <c r="H1214" t="s">
        <v>19</v>
      </c>
      <c r="I1214">
        <v>3</v>
      </c>
      <c r="J1214">
        <v>8</v>
      </c>
      <c r="K1214">
        <v>0.95</v>
      </c>
      <c r="L1214">
        <v>1</v>
      </c>
    </row>
    <row r="1215" spans="1:12">
      <c r="A1215" t="s">
        <v>3535</v>
      </c>
      <c r="B1215" t="s">
        <v>3536</v>
      </c>
      <c r="C1215" t="s">
        <v>3537</v>
      </c>
      <c r="D1215" t="s">
        <v>158</v>
      </c>
      <c r="E1215" t="s">
        <v>54</v>
      </c>
      <c r="F1215" t="s">
        <v>41</v>
      </c>
      <c r="G1215" t="s">
        <v>172</v>
      </c>
      <c r="H1215" t="s">
        <v>31</v>
      </c>
      <c r="I1215">
        <v>4</v>
      </c>
      <c r="J1215">
        <v>4</v>
      </c>
      <c r="K1215">
        <v>0.95</v>
      </c>
      <c r="L1215">
        <v>1</v>
      </c>
    </row>
    <row r="1216" spans="1:12">
      <c r="A1216" t="s">
        <v>3538</v>
      </c>
      <c r="B1216" t="s">
        <v>3539</v>
      </c>
      <c r="C1216" t="s">
        <v>3540</v>
      </c>
      <c r="D1216" t="s">
        <v>15</v>
      </c>
      <c r="E1216" t="s">
        <v>54</v>
      </c>
      <c r="F1216" t="s">
        <v>60</v>
      </c>
      <c r="G1216" t="s">
        <v>30</v>
      </c>
      <c r="H1216" t="s">
        <v>19</v>
      </c>
      <c r="I1216">
        <v>5</v>
      </c>
      <c r="J1216">
        <v>8</v>
      </c>
      <c r="K1216">
        <v>3.16</v>
      </c>
      <c r="L1216">
        <v>1</v>
      </c>
    </row>
    <row r="1217" spans="1:12">
      <c r="A1217" t="s">
        <v>3541</v>
      </c>
      <c r="B1217" t="s">
        <v>3542</v>
      </c>
      <c r="C1217" t="s">
        <v>3543</v>
      </c>
      <c r="D1217" t="s">
        <v>23</v>
      </c>
      <c r="E1217" t="s">
        <v>24</v>
      </c>
      <c r="F1217" t="s">
        <v>29</v>
      </c>
      <c r="G1217" t="s">
        <v>42</v>
      </c>
      <c r="H1217" t="s">
        <v>19</v>
      </c>
      <c r="I1217">
        <v>5</v>
      </c>
      <c r="J1217">
        <v>24</v>
      </c>
      <c r="K1217">
        <v>2.87</v>
      </c>
      <c r="L1217">
        <v>1</v>
      </c>
    </row>
    <row r="1218" spans="1:12">
      <c r="A1218" t="s">
        <v>3544</v>
      </c>
      <c r="B1218" t="s">
        <v>3545</v>
      </c>
      <c r="C1218" t="s">
        <v>3546</v>
      </c>
      <c r="D1218" t="s">
        <v>15</v>
      </c>
      <c r="E1218" t="s">
        <v>28</v>
      </c>
      <c r="F1218" t="s">
        <v>17</v>
      </c>
      <c r="G1218" t="s">
        <v>30</v>
      </c>
      <c r="H1218" t="s">
        <v>19</v>
      </c>
      <c r="I1218">
        <v>5</v>
      </c>
      <c r="J1218">
        <v>8</v>
      </c>
      <c r="K1218">
        <v>5.75</v>
      </c>
      <c r="L1218">
        <v>1</v>
      </c>
    </row>
    <row r="1219" spans="1:12">
      <c r="A1219" t="s">
        <v>3547</v>
      </c>
      <c r="B1219" t="s">
        <v>3548</v>
      </c>
      <c r="C1219" t="s">
        <v>3549</v>
      </c>
      <c r="D1219" t="s">
        <v>15</v>
      </c>
      <c r="E1219" t="s">
        <v>24</v>
      </c>
      <c r="F1219" t="s">
        <v>36</v>
      </c>
      <c r="G1219" t="s">
        <v>172</v>
      </c>
      <c r="H1219" t="s">
        <v>31</v>
      </c>
      <c r="I1219">
        <v>5</v>
      </c>
      <c r="J1219">
        <v>8</v>
      </c>
      <c r="K1219">
        <v>3.98</v>
      </c>
      <c r="L1219">
        <v>1</v>
      </c>
    </row>
    <row r="1220" spans="1:12">
      <c r="A1220" t="s">
        <v>3550</v>
      </c>
      <c r="B1220" t="s">
        <v>3551</v>
      </c>
      <c r="C1220" t="s">
        <v>3552</v>
      </c>
      <c r="D1220" t="s">
        <v>23</v>
      </c>
      <c r="E1220" t="s">
        <v>28</v>
      </c>
      <c r="F1220" t="s">
        <v>17</v>
      </c>
      <c r="G1220" t="s">
        <v>45</v>
      </c>
      <c r="H1220" t="s">
        <v>19</v>
      </c>
      <c r="I1220">
        <v>4</v>
      </c>
      <c r="J1220">
        <v>24</v>
      </c>
      <c r="K1220">
        <v>20.5</v>
      </c>
      <c r="L1220">
        <v>1</v>
      </c>
    </row>
    <row r="1221" spans="1:12">
      <c r="A1221" t="s">
        <v>3553</v>
      </c>
      <c r="B1221" t="s">
        <v>3554</v>
      </c>
      <c r="C1221" t="s">
        <v>3555</v>
      </c>
      <c r="D1221" t="s">
        <v>15</v>
      </c>
      <c r="E1221" t="s">
        <v>16</v>
      </c>
      <c r="F1221" t="s">
        <v>60</v>
      </c>
      <c r="G1221" t="s">
        <v>45</v>
      </c>
      <c r="H1221" t="s">
        <v>19</v>
      </c>
      <c r="I1221">
        <v>4</v>
      </c>
      <c r="J1221">
        <v>8</v>
      </c>
      <c r="K1221">
        <v>5.71</v>
      </c>
      <c r="L1221">
        <v>1</v>
      </c>
    </row>
    <row r="1222" spans="1:12">
      <c r="A1222" t="s">
        <v>3556</v>
      </c>
      <c r="B1222" t="s">
        <v>3557</v>
      </c>
      <c r="C1222" t="s">
        <v>3558</v>
      </c>
      <c r="D1222" t="s">
        <v>23</v>
      </c>
      <c r="E1222" t="s">
        <v>16</v>
      </c>
      <c r="F1222" t="s">
        <v>29</v>
      </c>
      <c r="G1222" t="s">
        <v>55</v>
      </c>
      <c r="H1222" t="s">
        <v>19</v>
      </c>
      <c r="I1222">
        <v>4</v>
      </c>
      <c r="J1222">
        <v>24</v>
      </c>
      <c r="K1222">
        <v>6.47</v>
      </c>
      <c r="L1222">
        <v>1</v>
      </c>
    </row>
    <row r="1223" spans="1:12">
      <c r="A1223" t="s">
        <v>3559</v>
      </c>
      <c r="B1223" t="s">
        <v>3560</v>
      </c>
      <c r="D1223" t="s">
        <v>23</v>
      </c>
      <c r="E1223" t="s">
        <v>24</v>
      </c>
      <c r="F1223" t="s">
        <v>17</v>
      </c>
      <c r="G1223" t="s">
        <v>30</v>
      </c>
      <c r="H1223" t="s">
        <v>63</v>
      </c>
      <c r="J1223">
        <v>24</v>
      </c>
    </row>
    <row r="1224" spans="1:12">
      <c r="A1224" t="s">
        <v>3561</v>
      </c>
      <c r="B1224" t="s">
        <v>3562</v>
      </c>
      <c r="C1224" t="s">
        <v>3563</v>
      </c>
      <c r="D1224" t="s">
        <v>23</v>
      </c>
      <c r="E1224" t="s">
        <v>28</v>
      </c>
      <c r="F1224" t="s">
        <v>60</v>
      </c>
      <c r="G1224" t="s">
        <v>172</v>
      </c>
      <c r="H1224" t="s">
        <v>19</v>
      </c>
      <c r="I1224">
        <v>4</v>
      </c>
      <c r="J1224">
        <v>24</v>
      </c>
      <c r="K1224">
        <v>18.899999999999999</v>
      </c>
      <c r="L1224">
        <v>1</v>
      </c>
    </row>
    <row r="1225" spans="1:12">
      <c r="A1225" t="s">
        <v>3564</v>
      </c>
      <c r="B1225" t="s">
        <v>3565</v>
      </c>
      <c r="C1225" t="s">
        <v>3566</v>
      </c>
      <c r="D1225" t="s">
        <v>23</v>
      </c>
      <c r="E1225" t="s">
        <v>24</v>
      </c>
      <c r="F1225" t="s">
        <v>29</v>
      </c>
      <c r="G1225" t="s">
        <v>172</v>
      </c>
      <c r="H1225" t="s">
        <v>19</v>
      </c>
      <c r="I1225">
        <v>5</v>
      </c>
      <c r="J1225">
        <v>24</v>
      </c>
      <c r="K1225">
        <v>2.6</v>
      </c>
      <c r="L1225">
        <v>1</v>
      </c>
    </row>
    <row r="1226" spans="1:12">
      <c r="A1226" t="s">
        <v>3567</v>
      </c>
      <c r="B1226" t="s">
        <v>3568</v>
      </c>
      <c r="C1226" t="s">
        <v>3569</v>
      </c>
      <c r="D1226" t="s">
        <v>15</v>
      </c>
      <c r="E1226" t="s">
        <v>28</v>
      </c>
      <c r="F1226" t="s">
        <v>29</v>
      </c>
      <c r="G1226" t="s">
        <v>18</v>
      </c>
      <c r="H1226" t="s">
        <v>31</v>
      </c>
      <c r="I1226">
        <v>5</v>
      </c>
      <c r="J1226">
        <v>8</v>
      </c>
      <c r="K1226">
        <v>4.8899999999999997</v>
      </c>
      <c r="L1226">
        <v>1</v>
      </c>
    </row>
    <row r="1227" spans="1:12">
      <c r="A1227" t="s">
        <v>3570</v>
      </c>
      <c r="B1227" t="s">
        <v>3571</v>
      </c>
      <c r="C1227" t="s">
        <v>3572</v>
      </c>
      <c r="D1227" t="s">
        <v>23</v>
      </c>
      <c r="E1227" t="s">
        <v>16</v>
      </c>
      <c r="F1227" t="s">
        <v>36</v>
      </c>
      <c r="G1227" t="s">
        <v>55</v>
      </c>
      <c r="H1227" t="s">
        <v>31</v>
      </c>
      <c r="I1227">
        <v>4</v>
      </c>
      <c r="J1227">
        <v>24</v>
      </c>
      <c r="K1227">
        <v>17.829999999999998</v>
      </c>
      <c r="L1227">
        <v>1</v>
      </c>
    </row>
    <row r="1228" spans="1:12">
      <c r="A1228" t="s">
        <v>3573</v>
      </c>
      <c r="B1228" t="s">
        <v>3574</v>
      </c>
      <c r="C1228" t="s">
        <v>3575</v>
      </c>
      <c r="D1228" t="s">
        <v>15</v>
      </c>
      <c r="E1228" t="s">
        <v>24</v>
      </c>
      <c r="F1228" t="s">
        <v>41</v>
      </c>
      <c r="G1228" t="s">
        <v>50</v>
      </c>
      <c r="H1228" t="s">
        <v>19</v>
      </c>
      <c r="I1228">
        <v>4</v>
      </c>
      <c r="J1228">
        <v>8</v>
      </c>
      <c r="K1228">
        <v>1.61</v>
      </c>
      <c r="L1228">
        <v>1</v>
      </c>
    </row>
    <row r="1229" spans="1:12">
      <c r="A1229" t="s">
        <v>3576</v>
      </c>
      <c r="B1229" t="s">
        <v>3577</v>
      </c>
      <c r="C1229" t="s">
        <v>3578</v>
      </c>
      <c r="D1229" t="s">
        <v>15</v>
      </c>
      <c r="E1229" t="s">
        <v>28</v>
      </c>
      <c r="F1229" t="s">
        <v>60</v>
      </c>
      <c r="G1229" t="s">
        <v>30</v>
      </c>
      <c r="H1229" t="s">
        <v>19</v>
      </c>
      <c r="I1229">
        <v>5</v>
      </c>
      <c r="J1229">
        <v>8</v>
      </c>
      <c r="K1229">
        <v>6.62</v>
      </c>
      <c r="L1229">
        <v>1</v>
      </c>
    </row>
    <row r="1230" spans="1:12">
      <c r="A1230" t="s">
        <v>3579</v>
      </c>
      <c r="B1230" t="s">
        <v>3580</v>
      </c>
      <c r="C1230" t="s">
        <v>3581</v>
      </c>
      <c r="D1230" t="s">
        <v>23</v>
      </c>
      <c r="E1230" t="s">
        <v>24</v>
      </c>
      <c r="F1230" t="s">
        <v>41</v>
      </c>
      <c r="G1230" t="s">
        <v>30</v>
      </c>
      <c r="H1230" t="s">
        <v>31</v>
      </c>
      <c r="I1230">
        <v>2</v>
      </c>
      <c r="J1230">
        <v>24</v>
      </c>
      <c r="K1230">
        <v>27.03</v>
      </c>
      <c r="L1230">
        <v>0</v>
      </c>
    </row>
    <row r="1231" spans="1:12">
      <c r="A1231" t="s">
        <v>3582</v>
      </c>
      <c r="B1231" t="s">
        <v>3583</v>
      </c>
      <c r="C1231" t="s">
        <v>3584</v>
      </c>
      <c r="D1231" t="s">
        <v>23</v>
      </c>
      <c r="E1231" t="s">
        <v>16</v>
      </c>
      <c r="F1231" t="s">
        <v>41</v>
      </c>
      <c r="G1231" t="s">
        <v>105</v>
      </c>
      <c r="H1231" t="s">
        <v>19</v>
      </c>
      <c r="I1231">
        <v>3</v>
      </c>
      <c r="J1231">
        <v>24</v>
      </c>
      <c r="K1231">
        <v>9.4499999999999993</v>
      </c>
      <c r="L1231">
        <v>1</v>
      </c>
    </row>
    <row r="1232" spans="1:12">
      <c r="A1232" t="s">
        <v>3585</v>
      </c>
      <c r="B1232" t="s">
        <v>3586</v>
      </c>
      <c r="C1232" t="s">
        <v>3587</v>
      </c>
      <c r="D1232" t="s">
        <v>15</v>
      </c>
      <c r="E1232" t="s">
        <v>54</v>
      </c>
      <c r="F1232" t="s">
        <v>41</v>
      </c>
      <c r="G1232" t="s">
        <v>45</v>
      </c>
      <c r="H1232" t="s">
        <v>31</v>
      </c>
      <c r="I1232">
        <v>5</v>
      </c>
      <c r="J1232">
        <v>8</v>
      </c>
      <c r="K1232">
        <v>6.57</v>
      </c>
      <c r="L1232">
        <v>1</v>
      </c>
    </row>
    <row r="1233" spans="1:12">
      <c r="A1233" t="s">
        <v>3588</v>
      </c>
      <c r="B1233" t="s">
        <v>3589</v>
      </c>
      <c r="C1233" t="s">
        <v>3590</v>
      </c>
      <c r="D1233" t="s">
        <v>35</v>
      </c>
      <c r="E1233" t="s">
        <v>54</v>
      </c>
      <c r="F1233" t="s">
        <v>36</v>
      </c>
      <c r="G1233" t="s">
        <v>30</v>
      </c>
      <c r="H1233" t="s">
        <v>19</v>
      </c>
      <c r="I1233">
        <v>4</v>
      </c>
      <c r="J1233">
        <v>48</v>
      </c>
      <c r="K1233">
        <v>63.39</v>
      </c>
      <c r="L1233">
        <v>0</v>
      </c>
    </row>
    <row r="1234" spans="1:12">
      <c r="A1234" t="s">
        <v>3591</v>
      </c>
      <c r="B1234" t="s">
        <v>3592</v>
      </c>
      <c r="C1234" t="s">
        <v>3593</v>
      </c>
      <c r="D1234" t="s">
        <v>23</v>
      </c>
      <c r="E1234" t="s">
        <v>28</v>
      </c>
      <c r="F1234" t="s">
        <v>17</v>
      </c>
      <c r="G1234" t="s">
        <v>42</v>
      </c>
      <c r="H1234" t="s">
        <v>19</v>
      </c>
      <c r="I1234">
        <v>4</v>
      </c>
      <c r="J1234">
        <v>24</v>
      </c>
      <c r="K1234">
        <v>42.46</v>
      </c>
      <c r="L1234">
        <v>0</v>
      </c>
    </row>
    <row r="1235" spans="1:12">
      <c r="A1235" t="s">
        <v>3594</v>
      </c>
      <c r="B1235" t="s">
        <v>3595</v>
      </c>
      <c r="D1235" t="s">
        <v>35</v>
      </c>
      <c r="E1235" t="s">
        <v>16</v>
      </c>
      <c r="F1235" t="s">
        <v>29</v>
      </c>
      <c r="G1235" t="s">
        <v>30</v>
      </c>
      <c r="H1235" t="s">
        <v>63</v>
      </c>
      <c r="J1235">
        <v>48</v>
      </c>
    </row>
    <row r="1236" spans="1:12">
      <c r="A1236" t="s">
        <v>3596</v>
      </c>
      <c r="B1236" t="s">
        <v>3597</v>
      </c>
      <c r="C1236" t="s">
        <v>3598</v>
      </c>
      <c r="D1236" t="s">
        <v>23</v>
      </c>
      <c r="E1236" t="s">
        <v>28</v>
      </c>
      <c r="F1236" t="s">
        <v>17</v>
      </c>
      <c r="G1236" t="s">
        <v>73</v>
      </c>
      <c r="H1236" t="s">
        <v>31</v>
      </c>
      <c r="I1236">
        <v>4</v>
      </c>
      <c r="J1236">
        <v>24</v>
      </c>
      <c r="K1236">
        <v>8.91</v>
      </c>
      <c r="L1236">
        <v>1</v>
      </c>
    </row>
    <row r="1237" spans="1:12">
      <c r="A1237" t="s">
        <v>3599</v>
      </c>
      <c r="B1237" t="s">
        <v>3600</v>
      </c>
      <c r="C1237" t="s">
        <v>3601</v>
      </c>
      <c r="D1237" t="s">
        <v>35</v>
      </c>
      <c r="E1237" t="s">
        <v>59</v>
      </c>
      <c r="F1237" t="s">
        <v>41</v>
      </c>
      <c r="G1237" t="s">
        <v>151</v>
      </c>
      <c r="H1237" t="s">
        <v>19</v>
      </c>
      <c r="I1237">
        <v>5</v>
      </c>
      <c r="J1237">
        <v>48</v>
      </c>
      <c r="K1237">
        <v>26.33</v>
      </c>
      <c r="L1237">
        <v>1</v>
      </c>
    </row>
    <row r="1238" spans="1:12">
      <c r="A1238" t="s">
        <v>3602</v>
      </c>
      <c r="B1238" t="s">
        <v>3603</v>
      </c>
      <c r="C1238" t="s">
        <v>3604</v>
      </c>
      <c r="D1238" t="s">
        <v>23</v>
      </c>
      <c r="E1238" t="s">
        <v>28</v>
      </c>
      <c r="F1238" t="s">
        <v>41</v>
      </c>
      <c r="G1238" t="s">
        <v>18</v>
      </c>
      <c r="H1238" t="s">
        <v>19</v>
      </c>
      <c r="I1238">
        <v>4</v>
      </c>
      <c r="J1238">
        <v>24</v>
      </c>
      <c r="K1238">
        <v>16.91</v>
      </c>
      <c r="L1238">
        <v>1</v>
      </c>
    </row>
    <row r="1239" spans="1:12">
      <c r="A1239" t="s">
        <v>3605</v>
      </c>
      <c r="B1239" t="s">
        <v>3606</v>
      </c>
      <c r="C1239" t="s">
        <v>3607</v>
      </c>
      <c r="D1239" t="s">
        <v>35</v>
      </c>
      <c r="E1239" t="s">
        <v>54</v>
      </c>
      <c r="F1239" t="s">
        <v>17</v>
      </c>
      <c r="G1239" t="s">
        <v>105</v>
      </c>
      <c r="H1239" t="s">
        <v>19</v>
      </c>
      <c r="I1239">
        <v>1</v>
      </c>
      <c r="J1239">
        <v>48</v>
      </c>
      <c r="K1239">
        <v>56.04</v>
      </c>
      <c r="L1239">
        <v>0</v>
      </c>
    </row>
    <row r="1240" spans="1:12">
      <c r="A1240" t="s">
        <v>3608</v>
      </c>
      <c r="B1240" t="s">
        <v>3609</v>
      </c>
      <c r="C1240" t="s">
        <v>3610</v>
      </c>
      <c r="D1240" t="s">
        <v>23</v>
      </c>
      <c r="E1240" t="s">
        <v>28</v>
      </c>
      <c r="F1240" t="s">
        <v>41</v>
      </c>
      <c r="G1240" t="s">
        <v>42</v>
      </c>
      <c r="H1240" t="s">
        <v>19</v>
      </c>
      <c r="I1240">
        <v>5</v>
      </c>
      <c r="J1240">
        <v>24</v>
      </c>
      <c r="K1240">
        <v>17.940000000000001</v>
      </c>
      <c r="L1240">
        <v>1</v>
      </c>
    </row>
    <row r="1241" spans="1:12">
      <c r="A1241" t="s">
        <v>3611</v>
      </c>
      <c r="B1241" t="s">
        <v>3612</v>
      </c>
      <c r="C1241" t="s">
        <v>3613</v>
      </c>
      <c r="D1241" t="s">
        <v>23</v>
      </c>
      <c r="E1241" t="s">
        <v>28</v>
      </c>
      <c r="F1241" t="s">
        <v>41</v>
      </c>
      <c r="G1241" t="s">
        <v>151</v>
      </c>
      <c r="H1241" t="s">
        <v>19</v>
      </c>
      <c r="I1241">
        <v>4</v>
      </c>
      <c r="J1241">
        <v>24</v>
      </c>
      <c r="K1241">
        <v>21.05</v>
      </c>
      <c r="L1241">
        <v>1</v>
      </c>
    </row>
    <row r="1242" spans="1:12">
      <c r="A1242" t="s">
        <v>3614</v>
      </c>
      <c r="B1242" t="s">
        <v>3615</v>
      </c>
      <c r="C1242" t="s">
        <v>3616</v>
      </c>
      <c r="D1242" t="s">
        <v>23</v>
      </c>
      <c r="E1242" t="s">
        <v>28</v>
      </c>
      <c r="F1242" t="s">
        <v>60</v>
      </c>
      <c r="G1242" t="s">
        <v>77</v>
      </c>
      <c r="H1242" t="s">
        <v>19</v>
      </c>
      <c r="I1242">
        <v>4</v>
      </c>
      <c r="J1242">
        <v>24</v>
      </c>
      <c r="K1242">
        <v>3.8</v>
      </c>
      <c r="L1242">
        <v>1</v>
      </c>
    </row>
    <row r="1243" spans="1:12">
      <c r="A1243" t="s">
        <v>3617</v>
      </c>
      <c r="B1243" t="s">
        <v>3618</v>
      </c>
      <c r="C1243" t="s">
        <v>3619</v>
      </c>
      <c r="D1243" t="s">
        <v>15</v>
      </c>
      <c r="E1243" t="s">
        <v>16</v>
      </c>
      <c r="F1243" t="s">
        <v>36</v>
      </c>
      <c r="G1243" t="s">
        <v>73</v>
      </c>
      <c r="H1243" t="s">
        <v>19</v>
      </c>
      <c r="I1243">
        <v>3</v>
      </c>
      <c r="J1243">
        <v>8</v>
      </c>
      <c r="K1243">
        <v>1.55</v>
      </c>
      <c r="L1243">
        <v>1</v>
      </c>
    </row>
    <row r="1244" spans="1:12">
      <c r="A1244" t="s">
        <v>3620</v>
      </c>
      <c r="B1244" t="s">
        <v>3621</v>
      </c>
      <c r="C1244" t="s">
        <v>3622</v>
      </c>
      <c r="D1244" t="s">
        <v>15</v>
      </c>
      <c r="E1244" t="s">
        <v>16</v>
      </c>
      <c r="F1244" t="s">
        <v>60</v>
      </c>
      <c r="G1244" t="s">
        <v>50</v>
      </c>
      <c r="H1244" t="s">
        <v>19</v>
      </c>
      <c r="I1244">
        <v>4</v>
      </c>
      <c r="J1244">
        <v>8</v>
      </c>
      <c r="K1244">
        <v>4.54</v>
      </c>
      <c r="L1244">
        <v>1</v>
      </c>
    </row>
    <row r="1245" spans="1:12">
      <c r="A1245" t="s">
        <v>3623</v>
      </c>
      <c r="B1245" t="s">
        <v>3624</v>
      </c>
      <c r="C1245" t="s">
        <v>3625</v>
      </c>
      <c r="D1245" t="s">
        <v>15</v>
      </c>
      <c r="E1245" t="s">
        <v>28</v>
      </c>
      <c r="F1245" t="s">
        <v>60</v>
      </c>
      <c r="G1245" t="s">
        <v>172</v>
      </c>
      <c r="H1245" t="s">
        <v>19</v>
      </c>
      <c r="I1245">
        <v>5</v>
      </c>
      <c r="J1245">
        <v>8</v>
      </c>
      <c r="K1245">
        <v>1.46</v>
      </c>
      <c r="L1245">
        <v>1</v>
      </c>
    </row>
    <row r="1246" spans="1:12">
      <c r="A1246" t="s">
        <v>3626</v>
      </c>
      <c r="B1246" t="s">
        <v>3627</v>
      </c>
      <c r="D1246" t="s">
        <v>35</v>
      </c>
      <c r="E1246" t="s">
        <v>24</v>
      </c>
      <c r="F1246" t="s">
        <v>17</v>
      </c>
      <c r="G1246" t="s">
        <v>37</v>
      </c>
      <c r="H1246" t="s">
        <v>63</v>
      </c>
      <c r="J1246">
        <v>48</v>
      </c>
    </row>
    <row r="1247" spans="1:12">
      <c r="A1247" t="s">
        <v>3628</v>
      </c>
      <c r="B1247" t="s">
        <v>3629</v>
      </c>
      <c r="C1247" t="s">
        <v>3630</v>
      </c>
      <c r="D1247" t="s">
        <v>23</v>
      </c>
      <c r="E1247" t="s">
        <v>54</v>
      </c>
      <c r="F1247" t="s">
        <v>36</v>
      </c>
      <c r="G1247" t="s">
        <v>18</v>
      </c>
      <c r="H1247" t="s">
        <v>19</v>
      </c>
      <c r="I1247">
        <v>1</v>
      </c>
      <c r="J1247">
        <v>24</v>
      </c>
      <c r="K1247">
        <v>52.12</v>
      </c>
      <c r="L1247">
        <v>0</v>
      </c>
    </row>
    <row r="1248" spans="1:12">
      <c r="A1248" t="s">
        <v>3631</v>
      </c>
      <c r="B1248" t="s">
        <v>3632</v>
      </c>
      <c r="C1248" t="s">
        <v>3633</v>
      </c>
      <c r="D1248" t="s">
        <v>15</v>
      </c>
      <c r="E1248" t="s">
        <v>28</v>
      </c>
      <c r="F1248" t="s">
        <v>60</v>
      </c>
      <c r="G1248" t="s">
        <v>105</v>
      </c>
      <c r="H1248" t="s">
        <v>31</v>
      </c>
      <c r="I1248">
        <v>5</v>
      </c>
      <c r="J1248">
        <v>8</v>
      </c>
      <c r="K1248">
        <v>1.49</v>
      </c>
      <c r="L1248">
        <v>1</v>
      </c>
    </row>
    <row r="1249" spans="1:12">
      <c r="A1249" t="s">
        <v>3634</v>
      </c>
      <c r="B1249" t="s">
        <v>3635</v>
      </c>
      <c r="D1249" t="s">
        <v>23</v>
      </c>
      <c r="E1249" t="s">
        <v>28</v>
      </c>
      <c r="F1249" t="s">
        <v>17</v>
      </c>
      <c r="G1249" t="s">
        <v>18</v>
      </c>
      <c r="H1249" t="s">
        <v>63</v>
      </c>
      <c r="J1249">
        <v>24</v>
      </c>
    </row>
    <row r="1250" spans="1:12">
      <c r="A1250" t="s">
        <v>3636</v>
      </c>
      <c r="B1250" t="s">
        <v>3637</v>
      </c>
      <c r="C1250" t="s">
        <v>3638</v>
      </c>
      <c r="D1250" t="s">
        <v>15</v>
      </c>
      <c r="E1250" t="s">
        <v>59</v>
      </c>
      <c r="F1250" t="s">
        <v>60</v>
      </c>
      <c r="G1250" t="s">
        <v>50</v>
      </c>
      <c r="H1250" t="s">
        <v>31</v>
      </c>
      <c r="I1250">
        <v>1</v>
      </c>
      <c r="J1250">
        <v>8</v>
      </c>
      <c r="K1250">
        <v>19.13</v>
      </c>
      <c r="L1250">
        <v>0</v>
      </c>
    </row>
    <row r="1251" spans="1:12">
      <c r="A1251" t="s">
        <v>3639</v>
      </c>
      <c r="B1251" t="s">
        <v>3640</v>
      </c>
      <c r="D1251" t="s">
        <v>158</v>
      </c>
      <c r="E1251" t="s">
        <v>24</v>
      </c>
      <c r="F1251" t="s">
        <v>41</v>
      </c>
      <c r="G1251" t="s">
        <v>73</v>
      </c>
      <c r="H1251" t="s">
        <v>46</v>
      </c>
      <c r="J1251">
        <v>4</v>
      </c>
    </row>
    <row r="1252" spans="1:12">
      <c r="A1252" t="s">
        <v>3641</v>
      </c>
      <c r="B1252" t="s">
        <v>3642</v>
      </c>
      <c r="C1252" t="s">
        <v>3643</v>
      </c>
      <c r="D1252" t="s">
        <v>23</v>
      </c>
      <c r="E1252" t="s">
        <v>28</v>
      </c>
      <c r="F1252" t="s">
        <v>17</v>
      </c>
      <c r="G1252" t="s">
        <v>45</v>
      </c>
      <c r="H1252" t="s">
        <v>31</v>
      </c>
      <c r="I1252">
        <v>3</v>
      </c>
      <c r="J1252">
        <v>24</v>
      </c>
      <c r="K1252">
        <v>17.91</v>
      </c>
      <c r="L1252">
        <v>1</v>
      </c>
    </row>
    <row r="1253" spans="1:12">
      <c r="A1253" t="s">
        <v>3644</v>
      </c>
      <c r="B1253" t="s">
        <v>3645</v>
      </c>
      <c r="C1253" t="s">
        <v>3646</v>
      </c>
      <c r="D1253" t="s">
        <v>35</v>
      </c>
      <c r="E1253" t="s">
        <v>54</v>
      </c>
      <c r="F1253" t="s">
        <v>41</v>
      </c>
      <c r="G1253" t="s">
        <v>18</v>
      </c>
      <c r="H1253" t="s">
        <v>19</v>
      </c>
      <c r="I1253">
        <v>5</v>
      </c>
      <c r="J1253">
        <v>48</v>
      </c>
      <c r="K1253">
        <v>810</v>
      </c>
      <c r="L1253">
        <v>0</v>
      </c>
    </row>
    <row r="1254" spans="1:12">
      <c r="A1254" t="s">
        <v>3647</v>
      </c>
      <c r="B1254" t="s">
        <v>3648</v>
      </c>
      <c r="C1254" t="s">
        <v>3649</v>
      </c>
      <c r="D1254" t="s">
        <v>35</v>
      </c>
      <c r="E1254" t="s">
        <v>28</v>
      </c>
      <c r="F1254" t="s">
        <v>17</v>
      </c>
      <c r="G1254" t="s">
        <v>73</v>
      </c>
      <c r="H1254" t="s">
        <v>31</v>
      </c>
      <c r="I1254">
        <v>4</v>
      </c>
      <c r="J1254">
        <v>48</v>
      </c>
      <c r="K1254">
        <v>37.6</v>
      </c>
      <c r="L1254">
        <v>1</v>
      </c>
    </row>
    <row r="1255" spans="1:12">
      <c r="A1255" t="s">
        <v>3650</v>
      </c>
      <c r="B1255" t="s">
        <v>3651</v>
      </c>
      <c r="C1255" t="s">
        <v>3652</v>
      </c>
      <c r="D1255" t="s">
        <v>23</v>
      </c>
      <c r="E1255" t="s">
        <v>59</v>
      </c>
      <c r="F1255" t="s">
        <v>29</v>
      </c>
      <c r="G1255" t="s">
        <v>151</v>
      </c>
      <c r="H1255" t="s">
        <v>19</v>
      </c>
      <c r="I1255">
        <v>4</v>
      </c>
      <c r="J1255">
        <v>24</v>
      </c>
      <c r="K1255">
        <v>2.68</v>
      </c>
      <c r="L1255">
        <v>1</v>
      </c>
    </row>
    <row r="1256" spans="1:12">
      <c r="A1256" t="s">
        <v>3653</v>
      </c>
      <c r="B1256" t="s">
        <v>3654</v>
      </c>
      <c r="C1256" t="s">
        <v>3655</v>
      </c>
      <c r="D1256" t="s">
        <v>15</v>
      </c>
      <c r="E1256" t="s">
        <v>28</v>
      </c>
      <c r="F1256" t="s">
        <v>60</v>
      </c>
      <c r="G1256" t="s">
        <v>50</v>
      </c>
      <c r="H1256" t="s">
        <v>19</v>
      </c>
      <c r="I1256">
        <v>3</v>
      </c>
      <c r="J1256">
        <v>8</v>
      </c>
      <c r="K1256">
        <v>5.75</v>
      </c>
      <c r="L1256">
        <v>1</v>
      </c>
    </row>
    <row r="1257" spans="1:12">
      <c r="A1257" t="s">
        <v>3656</v>
      </c>
      <c r="B1257" t="s">
        <v>3657</v>
      </c>
      <c r="D1257" t="s">
        <v>35</v>
      </c>
      <c r="E1257" t="s">
        <v>59</v>
      </c>
      <c r="F1257" t="s">
        <v>17</v>
      </c>
      <c r="G1257" t="s">
        <v>172</v>
      </c>
      <c r="H1257" t="s">
        <v>63</v>
      </c>
      <c r="J1257">
        <v>48</v>
      </c>
    </row>
    <row r="1258" spans="1:12">
      <c r="A1258" t="s">
        <v>3658</v>
      </c>
      <c r="B1258" t="s">
        <v>3659</v>
      </c>
      <c r="C1258" t="s">
        <v>3660</v>
      </c>
      <c r="D1258" t="s">
        <v>15</v>
      </c>
      <c r="E1258" t="s">
        <v>24</v>
      </c>
      <c r="F1258" t="s">
        <v>41</v>
      </c>
      <c r="G1258" t="s">
        <v>151</v>
      </c>
      <c r="H1258" t="s">
        <v>19</v>
      </c>
      <c r="I1258">
        <v>5</v>
      </c>
      <c r="J1258">
        <v>8</v>
      </c>
      <c r="K1258">
        <v>5.0599999999999996</v>
      </c>
      <c r="L1258">
        <v>1</v>
      </c>
    </row>
    <row r="1259" spans="1:12">
      <c r="A1259" t="s">
        <v>3661</v>
      </c>
      <c r="B1259" t="s">
        <v>3662</v>
      </c>
      <c r="C1259" t="s">
        <v>3663</v>
      </c>
      <c r="D1259" t="s">
        <v>23</v>
      </c>
      <c r="E1259" t="s">
        <v>59</v>
      </c>
      <c r="F1259" t="s">
        <v>60</v>
      </c>
      <c r="G1259" t="s">
        <v>73</v>
      </c>
      <c r="H1259" t="s">
        <v>19</v>
      </c>
      <c r="I1259">
        <v>4</v>
      </c>
      <c r="J1259">
        <v>24</v>
      </c>
      <c r="K1259">
        <v>20.52</v>
      </c>
      <c r="L1259">
        <v>1</v>
      </c>
    </row>
    <row r="1260" spans="1:12">
      <c r="A1260" t="s">
        <v>3664</v>
      </c>
      <c r="B1260" t="s">
        <v>3665</v>
      </c>
      <c r="C1260" t="s">
        <v>3666</v>
      </c>
      <c r="D1260" t="s">
        <v>35</v>
      </c>
      <c r="E1260" t="s">
        <v>28</v>
      </c>
      <c r="F1260" t="s">
        <v>17</v>
      </c>
      <c r="G1260" t="s">
        <v>30</v>
      </c>
      <c r="H1260" t="s">
        <v>31</v>
      </c>
      <c r="I1260">
        <v>4</v>
      </c>
      <c r="J1260">
        <v>48</v>
      </c>
      <c r="K1260">
        <v>38.83</v>
      </c>
      <c r="L1260">
        <v>1</v>
      </c>
    </row>
    <row r="1261" spans="1:12">
      <c r="A1261" t="s">
        <v>3667</v>
      </c>
      <c r="B1261" t="s">
        <v>3668</v>
      </c>
      <c r="C1261" t="s">
        <v>3669</v>
      </c>
      <c r="D1261" t="s">
        <v>23</v>
      </c>
      <c r="E1261" t="s">
        <v>59</v>
      </c>
      <c r="F1261" t="s">
        <v>29</v>
      </c>
      <c r="G1261" t="s">
        <v>45</v>
      </c>
      <c r="H1261" t="s">
        <v>19</v>
      </c>
      <c r="I1261">
        <v>4</v>
      </c>
      <c r="J1261">
        <v>24</v>
      </c>
      <c r="K1261">
        <v>21.32</v>
      </c>
      <c r="L1261">
        <v>1</v>
      </c>
    </row>
    <row r="1262" spans="1:12">
      <c r="A1262" t="s">
        <v>3670</v>
      </c>
      <c r="B1262" t="s">
        <v>3671</v>
      </c>
      <c r="C1262" t="s">
        <v>3672</v>
      </c>
      <c r="D1262" t="s">
        <v>15</v>
      </c>
      <c r="E1262" t="s">
        <v>59</v>
      </c>
      <c r="F1262" t="s">
        <v>60</v>
      </c>
      <c r="G1262" t="s">
        <v>77</v>
      </c>
      <c r="H1262" t="s">
        <v>31</v>
      </c>
      <c r="I1262">
        <v>5</v>
      </c>
      <c r="J1262">
        <v>8</v>
      </c>
      <c r="K1262">
        <v>2.76</v>
      </c>
      <c r="L1262">
        <v>1</v>
      </c>
    </row>
    <row r="1263" spans="1:12">
      <c r="A1263" t="s">
        <v>3673</v>
      </c>
      <c r="B1263" t="s">
        <v>3674</v>
      </c>
      <c r="C1263" t="s">
        <v>3675</v>
      </c>
      <c r="D1263" t="s">
        <v>23</v>
      </c>
      <c r="E1263" t="s">
        <v>59</v>
      </c>
      <c r="F1263" t="s">
        <v>60</v>
      </c>
      <c r="G1263" t="s">
        <v>42</v>
      </c>
      <c r="H1263" t="s">
        <v>19</v>
      </c>
      <c r="I1263">
        <v>5</v>
      </c>
      <c r="J1263">
        <v>24</v>
      </c>
      <c r="K1263">
        <v>11.18</v>
      </c>
      <c r="L1263">
        <v>1</v>
      </c>
    </row>
    <row r="1264" spans="1:12">
      <c r="A1264" t="s">
        <v>3676</v>
      </c>
      <c r="B1264" t="s">
        <v>3677</v>
      </c>
      <c r="C1264" t="s">
        <v>3678</v>
      </c>
      <c r="D1264" t="s">
        <v>158</v>
      </c>
      <c r="E1264" t="s">
        <v>24</v>
      </c>
      <c r="F1264" t="s">
        <v>29</v>
      </c>
      <c r="G1264" t="s">
        <v>77</v>
      </c>
      <c r="H1264" t="s">
        <v>31</v>
      </c>
      <c r="I1264">
        <v>3</v>
      </c>
      <c r="J1264">
        <v>4</v>
      </c>
      <c r="K1264">
        <v>0.93</v>
      </c>
      <c r="L1264">
        <v>1</v>
      </c>
    </row>
    <row r="1265" spans="1:12">
      <c r="A1265" t="s">
        <v>3679</v>
      </c>
      <c r="B1265" t="s">
        <v>3680</v>
      </c>
      <c r="D1265" t="s">
        <v>15</v>
      </c>
      <c r="E1265" t="s">
        <v>16</v>
      </c>
      <c r="F1265" t="s">
        <v>41</v>
      </c>
      <c r="G1265" t="s">
        <v>55</v>
      </c>
      <c r="H1265" t="s">
        <v>63</v>
      </c>
      <c r="J1265">
        <v>8</v>
      </c>
    </row>
    <row r="1266" spans="1:12">
      <c r="A1266" t="s">
        <v>3681</v>
      </c>
      <c r="B1266" t="s">
        <v>3682</v>
      </c>
      <c r="C1266" t="s">
        <v>3683</v>
      </c>
      <c r="D1266" t="s">
        <v>15</v>
      </c>
      <c r="E1266" t="s">
        <v>28</v>
      </c>
      <c r="F1266" t="s">
        <v>29</v>
      </c>
      <c r="G1266" t="s">
        <v>18</v>
      </c>
      <c r="H1266" t="s">
        <v>31</v>
      </c>
      <c r="I1266">
        <v>5</v>
      </c>
      <c r="J1266">
        <v>8</v>
      </c>
      <c r="K1266">
        <v>3.67</v>
      </c>
      <c r="L1266">
        <v>1</v>
      </c>
    </row>
    <row r="1267" spans="1:12">
      <c r="A1267" t="s">
        <v>3684</v>
      </c>
      <c r="B1267" t="s">
        <v>3685</v>
      </c>
      <c r="C1267" t="s">
        <v>3686</v>
      </c>
      <c r="D1267" t="s">
        <v>35</v>
      </c>
      <c r="E1267" t="s">
        <v>59</v>
      </c>
      <c r="F1267" t="s">
        <v>60</v>
      </c>
      <c r="G1267" t="s">
        <v>45</v>
      </c>
      <c r="H1267" t="s">
        <v>19</v>
      </c>
      <c r="I1267">
        <v>5</v>
      </c>
      <c r="J1267">
        <v>48</v>
      </c>
      <c r="K1267">
        <v>40.54</v>
      </c>
      <c r="L1267">
        <v>1</v>
      </c>
    </row>
    <row r="1268" spans="1:12">
      <c r="A1268" t="s">
        <v>3687</v>
      </c>
      <c r="B1268" t="s">
        <v>3688</v>
      </c>
      <c r="C1268" t="s">
        <v>3689</v>
      </c>
      <c r="D1268" t="s">
        <v>23</v>
      </c>
      <c r="E1268" t="s">
        <v>24</v>
      </c>
      <c r="F1268" t="s">
        <v>17</v>
      </c>
      <c r="G1268" t="s">
        <v>37</v>
      </c>
      <c r="H1268" t="s">
        <v>31</v>
      </c>
      <c r="I1268">
        <v>5</v>
      </c>
      <c r="J1268">
        <v>24</v>
      </c>
      <c r="K1268">
        <v>4.1500000000000004</v>
      </c>
      <c r="L1268">
        <v>1</v>
      </c>
    </row>
    <row r="1269" spans="1:12">
      <c r="A1269" t="s">
        <v>3690</v>
      </c>
      <c r="B1269" t="s">
        <v>3691</v>
      </c>
      <c r="C1269" t="s">
        <v>3692</v>
      </c>
      <c r="D1269" t="s">
        <v>23</v>
      </c>
      <c r="E1269" t="s">
        <v>24</v>
      </c>
      <c r="F1269" t="s">
        <v>41</v>
      </c>
      <c r="G1269" t="s">
        <v>42</v>
      </c>
      <c r="H1269" t="s">
        <v>19</v>
      </c>
      <c r="I1269">
        <v>5</v>
      </c>
      <c r="J1269">
        <v>24</v>
      </c>
      <c r="K1269">
        <v>8.7899999999999991</v>
      </c>
      <c r="L1269">
        <v>1</v>
      </c>
    </row>
    <row r="1270" spans="1:12">
      <c r="A1270" t="s">
        <v>3693</v>
      </c>
      <c r="B1270" t="s">
        <v>3694</v>
      </c>
      <c r="D1270" t="s">
        <v>23</v>
      </c>
      <c r="E1270" t="s">
        <v>28</v>
      </c>
      <c r="F1270" t="s">
        <v>41</v>
      </c>
      <c r="G1270" t="s">
        <v>37</v>
      </c>
      <c r="H1270" t="s">
        <v>46</v>
      </c>
      <c r="J1270">
        <v>24</v>
      </c>
    </row>
    <row r="1271" spans="1:12">
      <c r="A1271" t="s">
        <v>3695</v>
      </c>
      <c r="B1271" t="s">
        <v>3696</v>
      </c>
      <c r="C1271" t="s">
        <v>3697</v>
      </c>
      <c r="D1271" t="s">
        <v>158</v>
      </c>
      <c r="E1271" t="s">
        <v>54</v>
      </c>
      <c r="F1271" t="s">
        <v>41</v>
      </c>
      <c r="G1271" t="s">
        <v>42</v>
      </c>
      <c r="H1271" t="s">
        <v>31</v>
      </c>
      <c r="I1271">
        <v>4</v>
      </c>
      <c r="J1271">
        <v>4</v>
      </c>
      <c r="K1271">
        <v>1.43</v>
      </c>
      <c r="L1271">
        <v>1</v>
      </c>
    </row>
    <row r="1272" spans="1:12">
      <c r="A1272" t="s">
        <v>3698</v>
      </c>
      <c r="B1272" t="s">
        <v>3699</v>
      </c>
      <c r="C1272" t="s">
        <v>3700</v>
      </c>
      <c r="D1272" t="s">
        <v>23</v>
      </c>
      <c r="E1272" t="s">
        <v>54</v>
      </c>
      <c r="F1272" t="s">
        <v>60</v>
      </c>
      <c r="G1272" t="s">
        <v>45</v>
      </c>
      <c r="H1272" t="s">
        <v>19</v>
      </c>
      <c r="I1272">
        <v>2</v>
      </c>
      <c r="J1272">
        <v>24</v>
      </c>
      <c r="K1272">
        <v>31.09</v>
      </c>
      <c r="L1272">
        <v>0</v>
      </c>
    </row>
    <row r="1273" spans="1:12">
      <c r="A1273" t="s">
        <v>3701</v>
      </c>
      <c r="B1273" t="s">
        <v>3702</v>
      </c>
      <c r="C1273" t="s">
        <v>3703</v>
      </c>
      <c r="D1273" t="s">
        <v>35</v>
      </c>
      <c r="E1273" t="s">
        <v>16</v>
      </c>
      <c r="F1273" t="s">
        <v>41</v>
      </c>
      <c r="G1273" t="s">
        <v>30</v>
      </c>
      <c r="H1273" t="s">
        <v>19</v>
      </c>
      <c r="I1273">
        <v>4</v>
      </c>
      <c r="J1273">
        <v>48</v>
      </c>
      <c r="K1273">
        <v>45.04</v>
      </c>
      <c r="L1273">
        <v>1</v>
      </c>
    </row>
    <row r="1274" spans="1:12">
      <c r="A1274" t="s">
        <v>3704</v>
      </c>
      <c r="B1274" t="s">
        <v>3705</v>
      </c>
      <c r="C1274" t="s">
        <v>3706</v>
      </c>
      <c r="D1274" t="s">
        <v>158</v>
      </c>
      <c r="E1274" t="s">
        <v>28</v>
      </c>
      <c r="F1274" t="s">
        <v>41</v>
      </c>
      <c r="G1274" t="s">
        <v>105</v>
      </c>
      <c r="H1274" t="s">
        <v>19</v>
      </c>
      <c r="I1274">
        <v>5</v>
      </c>
      <c r="J1274">
        <v>4</v>
      </c>
      <c r="K1274">
        <v>2.92</v>
      </c>
      <c r="L1274">
        <v>1</v>
      </c>
    </row>
    <row r="1275" spans="1:12">
      <c r="A1275" t="s">
        <v>3707</v>
      </c>
      <c r="B1275" t="s">
        <v>3708</v>
      </c>
      <c r="C1275" t="s">
        <v>3709</v>
      </c>
      <c r="D1275" t="s">
        <v>23</v>
      </c>
      <c r="E1275" t="s">
        <v>16</v>
      </c>
      <c r="F1275" t="s">
        <v>60</v>
      </c>
      <c r="G1275" t="s">
        <v>73</v>
      </c>
      <c r="H1275" t="s">
        <v>31</v>
      </c>
      <c r="I1275">
        <v>3</v>
      </c>
      <c r="J1275">
        <v>24</v>
      </c>
      <c r="K1275">
        <v>31.58</v>
      </c>
      <c r="L1275">
        <v>0</v>
      </c>
    </row>
    <row r="1276" spans="1:12">
      <c r="A1276" t="s">
        <v>3710</v>
      </c>
      <c r="B1276" t="s">
        <v>3711</v>
      </c>
      <c r="D1276" t="s">
        <v>35</v>
      </c>
      <c r="E1276" t="s">
        <v>28</v>
      </c>
      <c r="F1276" t="s">
        <v>29</v>
      </c>
      <c r="G1276" t="s">
        <v>105</v>
      </c>
      <c r="H1276" t="s">
        <v>46</v>
      </c>
      <c r="J1276">
        <v>48</v>
      </c>
    </row>
    <row r="1277" spans="1:12">
      <c r="A1277" t="s">
        <v>3712</v>
      </c>
      <c r="B1277" t="s">
        <v>3713</v>
      </c>
      <c r="C1277" t="s">
        <v>3714</v>
      </c>
      <c r="D1277" t="s">
        <v>35</v>
      </c>
      <c r="E1277" t="s">
        <v>54</v>
      </c>
      <c r="F1277" t="s">
        <v>17</v>
      </c>
      <c r="G1277" t="s">
        <v>42</v>
      </c>
      <c r="H1277" t="s">
        <v>19</v>
      </c>
      <c r="I1277">
        <v>5</v>
      </c>
      <c r="J1277">
        <v>48</v>
      </c>
      <c r="K1277">
        <v>40.700000000000003</v>
      </c>
      <c r="L1277">
        <v>1</v>
      </c>
    </row>
    <row r="1278" spans="1:12">
      <c r="A1278" t="s">
        <v>3715</v>
      </c>
      <c r="B1278" t="s">
        <v>3716</v>
      </c>
      <c r="C1278" t="s">
        <v>3717</v>
      </c>
      <c r="D1278" t="s">
        <v>15</v>
      </c>
      <c r="E1278" t="s">
        <v>28</v>
      </c>
      <c r="F1278" t="s">
        <v>60</v>
      </c>
      <c r="G1278" t="s">
        <v>50</v>
      </c>
      <c r="H1278" t="s">
        <v>19</v>
      </c>
      <c r="I1278">
        <v>2</v>
      </c>
      <c r="J1278">
        <v>8</v>
      </c>
      <c r="K1278">
        <v>13.08</v>
      </c>
      <c r="L1278">
        <v>0</v>
      </c>
    </row>
    <row r="1279" spans="1:12">
      <c r="A1279" t="s">
        <v>3718</v>
      </c>
      <c r="B1279" t="s">
        <v>3719</v>
      </c>
      <c r="C1279" t="s">
        <v>3720</v>
      </c>
      <c r="D1279" t="s">
        <v>35</v>
      </c>
      <c r="E1279" t="s">
        <v>16</v>
      </c>
      <c r="F1279" t="s">
        <v>60</v>
      </c>
      <c r="G1279" t="s">
        <v>45</v>
      </c>
      <c r="H1279" t="s">
        <v>31</v>
      </c>
      <c r="I1279">
        <v>5</v>
      </c>
      <c r="J1279">
        <v>48</v>
      </c>
      <c r="K1279">
        <v>39.86</v>
      </c>
      <c r="L1279">
        <v>1</v>
      </c>
    </row>
    <row r="1280" spans="1:12">
      <c r="A1280" t="s">
        <v>3721</v>
      </c>
      <c r="B1280" t="s">
        <v>3722</v>
      </c>
      <c r="C1280" t="s">
        <v>3723</v>
      </c>
      <c r="D1280" t="s">
        <v>15</v>
      </c>
      <c r="E1280" t="s">
        <v>24</v>
      </c>
      <c r="F1280" t="s">
        <v>17</v>
      </c>
      <c r="G1280" t="s">
        <v>105</v>
      </c>
      <c r="H1280" t="s">
        <v>31</v>
      </c>
      <c r="I1280">
        <v>5</v>
      </c>
      <c r="J1280">
        <v>8</v>
      </c>
      <c r="K1280">
        <v>5.84</v>
      </c>
      <c r="L1280">
        <v>1</v>
      </c>
    </row>
    <row r="1281" spans="1:12">
      <c r="A1281" t="s">
        <v>3724</v>
      </c>
      <c r="B1281" t="s">
        <v>3725</v>
      </c>
      <c r="C1281" t="s">
        <v>3726</v>
      </c>
      <c r="D1281" t="s">
        <v>23</v>
      </c>
      <c r="E1281" t="s">
        <v>28</v>
      </c>
      <c r="F1281" t="s">
        <v>36</v>
      </c>
      <c r="G1281" t="s">
        <v>55</v>
      </c>
      <c r="H1281" t="s">
        <v>19</v>
      </c>
      <c r="I1281">
        <v>5</v>
      </c>
      <c r="J1281">
        <v>24</v>
      </c>
      <c r="K1281">
        <v>10.38</v>
      </c>
      <c r="L1281">
        <v>1</v>
      </c>
    </row>
    <row r="1282" spans="1:12">
      <c r="A1282" t="s">
        <v>3727</v>
      </c>
      <c r="B1282" t="s">
        <v>3728</v>
      </c>
      <c r="C1282" t="s">
        <v>3729</v>
      </c>
      <c r="D1282" t="s">
        <v>23</v>
      </c>
      <c r="E1282" t="s">
        <v>16</v>
      </c>
      <c r="F1282" t="s">
        <v>17</v>
      </c>
      <c r="G1282" t="s">
        <v>30</v>
      </c>
      <c r="H1282" t="s">
        <v>19</v>
      </c>
      <c r="I1282">
        <v>5</v>
      </c>
      <c r="J1282">
        <v>24</v>
      </c>
      <c r="K1282">
        <v>10.34</v>
      </c>
      <c r="L1282">
        <v>1</v>
      </c>
    </row>
    <row r="1283" spans="1:12">
      <c r="A1283" t="s">
        <v>3730</v>
      </c>
      <c r="B1283" t="s">
        <v>3731</v>
      </c>
      <c r="C1283" t="s">
        <v>3732</v>
      </c>
      <c r="D1283" t="s">
        <v>23</v>
      </c>
      <c r="E1283" t="s">
        <v>16</v>
      </c>
      <c r="F1283" t="s">
        <v>60</v>
      </c>
      <c r="G1283" t="s">
        <v>50</v>
      </c>
      <c r="H1283" t="s">
        <v>19</v>
      </c>
      <c r="I1283">
        <v>2</v>
      </c>
      <c r="J1283">
        <v>24</v>
      </c>
      <c r="K1283">
        <v>70.260000000000005</v>
      </c>
      <c r="L1283">
        <v>0</v>
      </c>
    </row>
    <row r="1284" spans="1:12">
      <c r="A1284" t="s">
        <v>3733</v>
      </c>
      <c r="B1284" t="s">
        <v>3734</v>
      </c>
      <c r="C1284" t="s">
        <v>3735</v>
      </c>
      <c r="D1284" t="s">
        <v>23</v>
      </c>
      <c r="E1284" t="s">
        <v>24</v>
      </c>
      <c r="F1284" t="s">
        <v>17</v>
      </c>
      <c r="G1284" t="s">
        <v>172</v>
      </c>
      <c r="H1284" t="s">
        <v>19</v>
      </c>
      <c r="I1284">
        <v>4</v>
      </c>
      <c r="J1284">
        <v>24</v>
      </c>
      <c r="K1284">
        <v>35.06</v>
      </c>
      <c r="L1284">
        <v>0</v>
      </c>
    </row>
    <row r="1285" spans="1:12">
      <c r="A1285" t="s">
        <v>3736</v>
      </c>
      <c r="B1285" t="s">
        <v>3737</v>
      </c>
      <c r="C1285" t="s">
        <v>3738</v>
      </c>
      <c r="D1285" t="s">
        <v>23</v>
      </c>
      <c r="E1285" t="s">
        <v>24</v>
      </c>
      <c r="F1285" t="s">
        <v>17</v>
      </c>
      <c r="G1285" t="s">
        <v>172</v>
      </c>
      <c r="H1285" t="s">
        <v>31</v>
      </c>
      <c r="I1285">
        <v>5</v>
      </c>
      <c r="J1285">
        <v>24</v>
      </c>
      <c r="K1285">
        <v>11.77</v>
      </c>
      <c r="L1285">
        <v>1</v>
      </c>
    </row>
    <row r="1286" spans="1:12">
      <c r="A1286" t="s">
        <v>3739</v>
      </c>
      <c r="B1286" t="s">
        <v>3740</v>
      </c>
      <c r="C1286" t="s">
        <v>3741</v>
      </c>
      <c r="D1286" t="s">
        <v>15</v>
      </c>
      <c r="E1286" t="s">
        <v>16</v>
      </c>
      <c r="F1286" t="s">
        <v>29</v>
      </c>
      <c r="G1286" t="s">
        <v>37</v>
      </c>
      <c r="H1286" t="s">
        <v>19</v>
      </c>
      <c r="I1286">
        <v>4</v>
      </c>
      <c r="J1286">
        <v>8</v>
      </c>
      <c r="K1286">
        <v>15.95</v>
      </c>
      <c r="L1286">
        <v>0</v>
      </c>
    </row>
    <row r="1287" spans="1:12">
      <c r="A1287" t="s">
        <v>3742</v>
      </c>
      <c r="B1287" t="s">
        <v>3743</v>
      </c>
      <c r="C1287" t="s">
        <v>3744</v>
      </c>
      <c r="D1287" t="s">
        <v>23</v>
      </c>
      <c r="E1287" t="s">
        <v>54</v>
      </c>
      <c r="F1287" t="s">
        <v>60</v>
      </c>
      <c r="G1287" t="s">
        <v>151</v>
      </c>
      <c r="H1287" t="s">
        <v>19</v>
      </c>
      <c r="I1287">
        <v>5</v>
      </c>
      <c r="J1287">
        <v>24</v>
      </c>
      <c r="K1287">
        <v>9.01</v>
      </c>
      <c r="L1287">
        <v>1</v>
      </c>
    </row>
    <row r="1288" spans="1:12">
      <c r="A1288" t="s">
        <v>3745</v>
      </c>
      <c r="B1288" t="s">
        <v>3746</v>
      </c>
      <c r="C1288" t="s">
        <v>3747</v>
      </c>
      <c r="D1288" t="s">
        <v>23</v>
      </c>
      <c r="E1288" t="s">
        <v>16</v>
      </c>
      <c r="F1288" t="s">
        <v>36</v>
      </c>
      <c r="G1288" t="s">
        <v>30</v>
      </c>
      <c r="H1288" t="s">
        <v>19</v>
      </c>
      <c r="I1288">
        <v>5</v>
      </c>
      <c r="J1288">
        <v>24</v>
      </c>
      <c r="K1288">
        <v>7.13</v>
      </c>
      <c r="L1288">
        <v>1</v>
      </c>
    </row>
    <row r="1289" spans="1:12">
      <c r="A1289" t="s">
        <v>3748</v>
      </c>
      <c r="B1289" t="s">
        <v>3749</v>
      </c>
      <c r="C1289" t="s">
        <v>3750</v>
      </c>
      <c r="D1289" t="s">
        <v>35</v>
      </c>
      <c r="E1289" t="s">
        <v>28</v>
      </c>
      <c r="F1289" t="s">
        <v>17</v>
      </c>
      <c r="G1289" t="s">
        <v>105</v>
      </c>
      <c r="H1289" t="s">
        <v>31</v>
      </c>
      <c r="I1289">
        <v>5</v>
      </c>
      <c r="J1289">
        <v>48</v>
      </c>
      <c r="K1289">
        <v>40.729999999999997</v>
      </c>
      <c r="L1289">
        <v>1</v>
      </c>
    </row>
    <row r="1290" spans="1:12">
      <c r="A1290" t="s">
        <v>3751</v>
      </c>
      <c r="B1290" t="s">
        <v>3752</v>
      </c>
      <c r="C1290" t="s">
        <v>3753</v>
      </c>
      <c r="D1290" t="s">
        <v>23</v>
      </c>
      <c r="E1290" t="s">
        <v>28</v>
      </c>
      <c r="F1290" t="s">
        <v>36</v>
      </c>
      <c r="G1290" t="s">
        <v>30</v>
      </c>
      <c r="H1290" t="s">
        <v>31</v>
      </c>
      <c r="I1290">
        <v>3</v>
      </c>
      <c r="J1290">
        <v>24</v>
      </c>
      <c r="K1290">
        <v>19.670000000000002</v>
      </c>
      <c r="L1290">
        <v>1</v>
      </c>
    </row>
    <row r="1291" spans="1:12">
      <c r="A1291" t="s">
        <v>3754</v>
      </c>
      <c r="B1291" t="s">
        <v>3755</v>
      </c>
      <c r="C1291" t="s">
        <v>3756</v>
      </c>
      <c r="D1291" t="s">
        <v>23</v>
      </c>
      <c r="E1291" t="s">
        <v>54</v>
      </c>
      <c r="F1291" t="s">
        <v>36</v>
      </c>
      <c r="G1291" t="s">
        <v>73</v>
      </c>
      <c r="H1291" t="s">
        <v>19</v>
      </c>
      <c r="I1291">
        <v>5</v>
      </c>
      <c r="J1291">
        <v>24</v>
      </c>
      <c r="K1291">
        <v>10.1</v>
      </c>
      <c r="L1291">
        <v>1</v>
      </c>
    </row>
    <row r="1292" spans="1:12">
      <c r="A1292" t="s">
        <v>3757</v>
      </c>
      <c r="B1292" t="s">
        <v>3758</v>
      </c>
      <c r="C1292" t="s">
        <v>3759</v>
      </c>
      <c r="D1292" t="s">
        <v>23</v>
      </c>
      <c r="E1292" t="s">
        <v>24</v>
      </c>
      <c r="F1292" t="s">
        <v>41</v>
      </c>
      <c r="G1292" t="s">
        <v>50</v>
      </c>
      <c r="H1292" t="s">
        <v>31</v>
      </c>
      <c r="I1292">
        <v>4</v>
      </c>
      <c r="J1292">
        <v>24</v>
      </c>
      <c r="K1292">
        <v>17.54</v>
      </c>
      <c r="L1292">
        <v>1</v>
      </c>
    </row>
    <row r="1293" spans="1:12">
      <c r="A1293" t="s">
        <v>3760</v>
      </c>
      <c r="B1293" t="s">
        <v>3761</v>
      </c>
      <c r="C1293" t="s">
        <v>3762</v>
      </c>
      <c r="D1293" t="s">
        <v>35</v>
      </c>
      <c r="E1293" t="s">
        <v>24</v>
      </c>
      <c r="F1293" t="s">
        <v>60</v>
      </c>
      <c r="G1293" t="s">
        <v>30</v>
      </c>
      <c r="H1293" t="s">
        <v>31</v>
      </c>
      <c r="I1293">
        <v>5</v>
      </c>
      <c r="J1293">
        <v>48</v>
      </c>
      <c r="K1293">
        <v>13.1</v>
      </c>
      <c r="L1293">
        <v>1</v>
      </c>
    </row>
    <row r="1294" spans="1:12">
      <c r="A1294" t="s">
        <v>3763</v>
      </c>
      <c r="B1294" t="s">
        <v>3764</v>
      </c>
      <c r="C1294" t="s">
        <v>3765</v>
      </c>
      <c r="D1294" t="s">
        <v>158</v>
      </c>
      <c r="E1294" t="s">
        <v>16</v>
      </c>
      <c r="F1294" t="s">
        <v>60</v>
      </c>
      <c r="G1294" t="s">
        <v>77</v>
      </c>
      <c r="H1294" t="s">
        <v>31</v>
      </c>
      <c r="I1294">
        <v>5</v>
      </c>
      <c r="J1294">
        <v>4</v>
      </c>
      <c r="K1294">
        <v>2.72</v>
      </c>
      <c r="L1294">
        <v>1</v>
      </c>
    </row>
    <row r="1295" spans="1:12">
      <c r="A1295" t="s">
        <v>3766</v>
      </c>
      <c r="B1295" t="s">
        <v>3767</v>
      </c>
      <c r="C1295" t="s">
        <v>3768</v>
      </c>
      <c r="D1295" t="s">
        <v>23</v>
      </c>
      <c r="E1295" t="s">
        <v>16</v>
      </c>
      <c r="F1295" t="s">
        <v>17</v>
      </c>
      <c r="G1295" t="s">
        <v>55</v>
      </c>
      <c r="H1295" t="s">
        <v>31</v>
      </c>
      <c r="I1295">
        <v>5</v>
      </c>
      <c r="J1295">
        <v>24</v>
      </c>
      <c r="K1295">
        <v>9.67</v>
      </c>
      <c r="L1295">
        <v>1</v>
      </c>
    </row>
    <row r="1296" spans="1:12">
      <c r="A1296" t="s">
        <v>3769</v>
      </c>
      <c r="B1296" t="s">
        <v>3770</v>
      </c>
      <c r="C1296" t="s">
        <v>3771</v>
      </c>
      <c r="D1296" t="s">
        <v>15</v>
      </c>
      <c r="E1296" t="s">
        <v>24</v>
      </c>
      <c r="F1296" t="s">
        <v>41</v>
      </c>
      <c r="G1296" t="s">
        <v>151</v>
      </c>
      <c r="H1296" t="s">
        <v>19</v>
      </c>
      <c r="I1296">
        <v>5</v>
      </c>
      <c r="J1296">
        <v>8</v>
      </c>
      <c r="K1296">
        <v>1.33</v>
      </c>
      <c r="L1296">
        <v>1</v>
      </c>
    </row>
    <row r="1297" spans="1:12">
      <c r="A1297" t="s">
        <v>3772</v>
      </c>
      <c r="B1297" t="s">
        <v>3773</v>
      </c>
      <c r="C1297" t="s">
        <v>3774</v>
      </c>
      <c r="D1297" t="s">
        <v>15</v>
      </c>
      <c r="E1297" t="s">
        <v>16</v>
      </c>
      <c r="F1297" t="s">
        <v>36</v>
      </c>
      <c r="G1297" t="s">
        <v>55</v>
      </c>
      <c r="H1297" t="s">
        <v>19</v>
      </c>
      <c r="I1297">
        <v>4</v>
      </c>
      <c r="J1297">
        <v>8</v>
      </c>
      <c r="K1297">
        <v>6.38</v>
      </c>
      <c r="L1297">
        <v>1</v>
      </c>
    </row>
    <row r="1298" spans="1:12">
      <c r="A1298" t="s">
        <v>3775</v>
      </c>
      <c r="B1298" t="s">
        <v>3776</v>
      </c>
      <c r="D1298" t="s">
        <v>15</v>
      </c>
      <c r="E1298" t="s">
        <v>16</v>
      </c>
      <c r="F1298" t="s">
        <v>36</v>
      </c>
      <c r="G1298" t="s">
        <v>73</v>
      </c>
      <c r="H1298" t="s">
        <v>46</v>
      </c>
      <c r="J1298">
        <v>8</v>
      </c>
    </row>
    <row r="1299" spans="1:12">
      <c r="A1299" t="s">
        <v>3777</v>
      </c>
      <c r="B1299" t="s">
        <v>3778</v>
      </c>
      <c r="C1299" t="s">
        <v>3779</v>
      </c>
      <c r="D1299" t="s">
        <v>23</v>
      </c>
      <c r="E1299" t="s">
        <v>28</v>
      </c>
      <c r="F1299" t="s">
        <v>60</v>
      </c>
      <c r="G1299" t="s">
        <v>55</v>
      </c>
      <c r="H1299" t="s">
        <v>19</v>
      </c>
      <c r="I1299">
        <v>5</v>
      </c>
      <c r="J1299">
        <v>24</v>
      </c>
      <c r="K1299">
        <v>3.56</v>
      </c>
      <c r="L1299">
        <v>1</v>
      </c>
    </row>
    <row r="1300" spans="1:12">
      <c r="A1300" t="s">
        <v>3780</v>
      </c>
      <c r="B1300" t="s">
        <v>3781</v>
      </c>
      <c r="C1300" t="s">
        <v>3782</v>
      </c>
      <c r="D1300" t="s">
        <v>23</v>
      </c>
      <c r="E1300" t="s">
        <v>59</v>
      </c>
      <c r="F1300" t="s">
        <v>29</v>
      </c>
      <c r="G1300" t="s">
        <v>151</v>
      </c>
      <c r="H1300" t="s">
        <v>19</v>
      </c>
      <c r="I1300">
        <v>4</v>
      </c>
      <c r="J1300">
        <v>24</v>
      </c>
      <c r="K1300">
        <v>7.72</v>
      </c>
      <c r="L1300">
        <v>1</v>
      </c>
    </row>
    <row r="1301" spans="1:12">
      <c r="A1301" t="s">
        <v>3783</v>
      </c>
      <c r="B1301" t="s">
        <v>3784</v>
      </c>
      <c r="D1301" t="s">
        <v>158</v>
      </c>
      <c r="E1301" t="s">
        <v>28</v>
      </c>
      <c r="F1301" t="s">
        <v>29</v>
      </c>
      <c r="G1301" t="s">
        <v>151</v>
      </c>
      <c r="H1301" t="s">
        <v>63</v>
      </c>
      <c r="J1301">
        <v>4</v>
      </c>
    </row>
    <row r="1302" spans="1:12">
      <c r="A1302" t="s">
        <v>3785</v>
      </c>
      <c r="B1302" t="s">
        <v>3786</v>
      </c>
      <c r="C1302" t="s">
        <v>3787</v>
      </c>
      <c r="D1302" t="s">
        <v>15</v>
      </c>
      <c r="E1302" t="s">
        <v>24</v>
      </c>
      <c r="F1302" t="s">
        <v>60</v>
      </c>
      <c r="G1302" t="s">
        <v>55</v>
      </c>
      <c r="H1302" t="s">
        <v>31</v>
      </c>
      <c r="I1302">
        <v>5</v>
      </c>
      <c r="J1302">
        <v>8</v>
      </c>
      <c r="K1302">
        <v>1.04</v>
      </c>
      <c r="L1302">
        <v>1</v>
      </c>
    </row>
    <row r="1303" spans="1:12">
      <c r="A1303" t="s">
        <v>3788</v>
      </c>
      <c r="B1303" t="s">
        <v>3789</v>
      </c>
      <c r="C1303" t="s">
        <v>3790</v>
      </c>
      <c r="D1303" t="s">
        <v>23</v>
      </c>
      <c r="E1303" t="s">
        <v>54</v>
      </c>
      <c r="F1303" t="s">
        <v>36</v>
      </c>
      <c r="G1303" t="s">
        <v>77</v>
      </c>
      <c r="H1303" t="s">
        <v>19</v>
      </c>
      <c r="I1303">
        <v>4</v>
      </c>
      <c r="J1303">
        <v>24</v>
      </c>
      <c r="K1303">
        <v>17.16</v>
      </c>
      <c r="L1303">
        <v>1</v>
      </c>
    </row>
    <row r="1304" spans="1:12">
      <c r="A1304" t="s">
        <v>3791</v>
      </c>
      <c r="B1304" t="s">
        <v>3792</v>
      </c>
      <c r="C1304" t="s">
        <v>3793</v>
      </c>
      <c r="D1304" t="s">
        <v>23</v>
      </c>
      <c r="E1304" t="s">
        <v>54</v>
      </c>
      <c r="F1304" t="s">
        <v>41</v>
      </c>
      <c r="G1304" t="s">
        <v>50</v>
      </c>
      <c r="H1304" t="s">
        <v>19</v>
      </c>
      <c r="I1304">
        <v>1</v>
      </c>
      <c r="J1304">
        <v>24</v>
      </c>
      <c r="K1304">
        <v>70.66</v>
      </c>
      <c r="L1304">
        <v>0</v>
      </c>
    </row>
    <row r="1305" spans="1:12">
      <c r="A1305" t="s">
        <v>3794</v>
      </c>
      <c r="B1305" t="s">
        <v>3795</v>
      </c>
      <c r="C1305" t="s">
        <v>3796</v>
      </c>
      <c r="D1305" t="s">
        <v>158</v>
      </c>
      <c r="E1305" t="s">
        <v>16</v>
      </c>
      <c r="F1305" t="s">
        <v>17</v>
      </c>
      <c r="G1305" t="s">
        <v>77</v>
      </c>
      <c r="H1305" t="s">
        <v>31</v>
      </c>
      <c r="I1305">
        <v>3</v>
      </c>
      <c r="J1305">
        <v>4</v>
      </c>
      <c r="K1305">
        <v>2.72</v>
      </c>
      <c r="L1305">
        <v>1</v>
      </c>
    </row>
    <row r="1306" spans="1:12">
      <c r="A1306" t="s">
        <v>3797</v>
      </c>
      <c r="B1306" t="s">
        <v>3798</v>
      </c>
      <c r="C1306" t="s">
        <v>3799</v>
      </c>
      <c r="D1306" t="s">
        <v>158</v>
      </c>
      <c r="E1306" t="s">
        <v>16</v>
      </c>
      <c r="F1306" t="s">
        <v>17</v>
      </c>
      <c r="G1306" t="s">
        <v>37</v>
      </c>
      <c r="H1306" t="s">
        <v>31</v>
      </c>
      <c r="I1306">
        <v>4</v>
      </c>
      <c r="J1306">
        <v>4</v>
      </c>
      <c r="K1306">
        <v>0.79</v>
      </c>
      <c r="L1306">
        <v>1</v>
      </c>
    </row>
    <row r="1307" spans="1:12">
      <c r="A1307" t="s">
        <v>3800</v>
      </c>
      <c r="B1307" t="s">
        <v>3801</v>
      </c>
      <c r="C1307" t="s">
        <v>3802</v>
      </c>
      <c r="D1307" t="s">
        <v>35</v>
      </c>
      <c r="E1307" t="s">
        <v>28</v>
      </c>
      <c r="F1307" t="s">
        <v>17</v>
      </c>
      <c r="G1307" t="s">
        <v>172</v>
      </c>
      <c r="H1307" t="s">
        <v>19</v>
      </c>
      <c r="I1307">
        <v>5</v>
      </c>
      <c r="J1307">
        <v>48</v>
      </c>
      <c r="K1307">
        <v>14.27</v>
      </c>
      <c r="L1307">
        <v>1</v>
      </c>
    </row>
    <row r="1308" spans="1:12">
      <c r="A1308" t="s">
        <v>3803</v>
      </c>
      <c r="B1308" t="s">
        <v>3804</v>
      </c>
      <c r="C1308" t="s">
        <v>3805</v>
      </c>
      <c r="D1308" t="s">
        <v>23</v>
      </c>
      <c r="E1308" t="s">
        <v>16</v>
      </c>
      <c r="F1308" t="s">
        <v>60</v>
      </c>
      <c r="G1308" t="s">
        <v>55</v>
      </c>
      <c r="H1308" t="s">
        <v>19</v>
      </c>
      <c r="I1308">
        <v>4</v>
      </c>
      <c r="J1308">
        <v>24</v>
      </c>
      <c r="K1308">
        <v>20.21</v>
      </c>
      <c r="L1308">
        <v>1</v>
      </c>
    </row>
    <row r="1309" spans="1:12">
      <c r="A1309" t="s">
        <v>3806</v>
      </c>
      <c r="B1309" t="s">
        <v>3807</v>
      </c>
      <c r="C1309" t="s">
        <v>3808</v>
      </c>
      <c r="D1309" t="s">
        <v>158</v>
      </c>
      <c r="E1309" t="s">
        <v>24</v>
      </c>
      <c r="F1309" t="s">
        <v>17</v>
      </c>
      <c r="G1309" t="s">
        <v>45</v>
      </c>
      <c r="H1309" t="s">
        <v>19</v>
      </c>
      <c r="I1309">
        <v>4</v>
      </c>
      <c r="J1309">
        <v>4</v>
      </c>
      <c r="K1309">
        <v>2.63</v>
      </c>
      <c r="L1309">
        <v>1</v>
      </c>
    </row>
    <row r="1310" spans="1:12">
      <c r="A1310" t="s">
        <v>3809</v>
      </c>
      <c r="B1310" t="s">
        <v>3810</v>
      </c>
      <c r="C1310" t="s">
        <v>3811</v>
      </c>
      <c r="D1310" t="s">
        <v>15</v>
      </c>
      <c r="E1310" t="s">
        <v>28</v>
      </c>
      <c r="F1310" t="s">
        <v>36</v>
      </c>
      <c r="G1310" t="s">
        <v>151</v>
      </c>
      <c r="H1310" t="s">
        <v>19</v>
      </c>
      <c r="I1310">
        <v>4</v>
      </c>
      <c r="J1310">
        <v>8</v>
      </c>
      <c r="K1310">
        <v>4.5</v>
      </c>
      <c r="L1310">
        <v>1</v>
      </c>
    </row>
    <row r="1311" spans="1:12">
      <c r="A1311" t="s">
        <v>3812</v>
      </c>
      <c r="B1311" t="s">
        <v>3813</v>
      </c>
      <c r="C1311" t="s">
        <v>3814</v>
      </c>
      <c r="D1311" t="s">
        <v>35</v>
      </c>
      <c r="E1311" t="s">
        <v>16</v>
      </c>
      <c r="F1311" t="s">
        <v>17</v>
      </c>
      <c r="G1311" t="s">
        <v>50</v>
      </c>
      <c r="H1311" t="s">
        <v>31</v>
      </c>
      <c r="I1311">
        <v>1</v>
      </c>
      <c r="J1311">
        <v>48</v>
      </c>
      <c r="K1311">
        <v>123.43</v>
      </c>
      <c r="L1311">
        <v>0</v>
      </c>
    </row>
    <row r="1312" spans="1:12">
      <c r="A1312" t="s">
        <v>3815</v>
      </c>
      <c r="B1312" t="s">
        <v>3816</v>
      </c>
      <c r="C1312" t="s">
        <v>3817</v>
      </c>
      <c r="D1312" t="s">
        <v>15</v>
      </c>
      <c r="E1312" t="s">
        <v>16</v>
      </c>
      <c r="F1312" t="s">
        <v>29</v>
      </c>
      <c r="G1312" t="s">
        <v>105</v>
      </c>
      <c r="H1312" t="s">
        <v>19</v>
      </c>
      <c r="I1312">
        <v>4</v>
      </c>
      <c r="J1312">
        <v>8</v>
      </c>
      <c r="K1312">
        <v>3.16</v>
      </c>
      <c r="L1312">
        <v>1</v>
      </c>
    </row>
    <row r="1313" spans="1:12">
      <c r="A1313" t="s">
        <v>3818</v>
      </c>
      <c r="B1313" t="s">
        <v>3819</v>
      </c>
      <c r="C1313" t="s">
        <v>3820</v>
      </c>
      <c r="D1313" t="s">
        <v>23</v>
      </c>
      <c r="E1313" t="s">
        <v>24</v>
      </c>
      <c r="F1313" t="s">
        <v>17</v>
      </c>
      <c r="G1313" t="s">
        <v>77</v>
      </c>
      <c r="H1313" t="s">
        <v>19</v>
      </c>
      <c r="I1313">
        <v>4</v>
      </c>
      <c r="J1313">
        <v>24</v>
      </c>
      <c r="K1313">
        <v>6.7</v>
      </c>
      <c r="L1313">
        <v>1</v>
      </c>
    </row>
    <row r="1314" spans="1:12">
      <c r="A1314" t="s">
        <v>3821</v>
      </c>
      <c r="B1314" t="s">
        <v>3822</v>
      </c>
      <c r="C1314" t="s">
        <v>3823</v>
      </c>
      <c r="D1314" t="s">
        <v>23</v>
      </c>
      <c r="E1314" t="s">
        <v>24</v>
      </c>
      <c r="F1314" t="s">
        <v>17</v>
      </c>
      <c r="G1314" t="s">
        <v>105</v>
      </c>
      <c r="H1314" t="s">
        <v>19</v>
      </c>
      <c r="I1314">
        <v>3</v>
      </c>
      <c r="J1314">
        <v>24</v>
      </c>
      <c r="K1314">
        <v>21.84</v>
      </c>
      <c r="L1314">
        <v>1</v>
      </c>
    </row>
    <row r="1315" spans="1:12">
      <c r="A1315" t="s">
        <v>3824</v>
      </c>
      <c r="B1315" t="s">
        <v>3825</v>
      </c>
      <c r="C1315" t="s">
        <v>3826</v>
      </c>
      <c r="D1315" t="s">
        <v>158</v>
      </c>
      <c r="E1315" t="s">
        <v>28</v>
      </c>
      <c r="F1315" t="s">
        <v>41</v>
      </c>
      <c r="G1315" t="s">
        <v>45</v>
      </c>
      <c r="H1315" t="s">
        <v>31</v>
      </c>
      <c r="I1315">
        <v>5</v>
      </c>
      <c r="J1315">
        <v>4</v>
      </c>
      <c r="K1315">
        <v>1.35</v>
      </c>
      <c r="L1315">
        <v>1</v>
      </c>
    </row>
    <row r="1316" spans="1:12">
      <c r="A1316" t="s">
        <v>3827</v>
      </c>
      <c r="B1316" t="s">
        <v>3828</v>
      </c>
      <c r="C1316" t="s">
        <v>3829</v>
      </c>
      <c r="D1316" t="s">
        <v>158</v>
      </c>
      <c r="E1316" t="s">
        <v>28</v>
      </c>
      <c r="F1316" t="s">
        <v>41</v>
      </c>
      <c r="G1316" t="s">
        <v>30</v>
      </c>
      <c r="H1316" t="s">
        <v>19</v>
      </c>
      <c r="I1316">
        <v>5</v>
      </c>
      <c r="J1316">
        <v>4</v>
      </c>
      <c r="K1316">
        <v>2.64</v>
      </c>
      <c r="L1316">
        <v>1</v>
      </c>
    </row>
    <row r="1317" spans="1:12">
      <c r="A1317" t="s">
        <v>3830</v>
      </c>
      <c r="B1317" t="s">
        <v>3831</v>
      </c>
      <c r="D1317" t="s">
        <v>15</v>
      </c>
      <c r="E1317" t="s">
        <v>28</v>
      </c>
      <c r="F1317" t="s">
        <v>29</v>
      </c>
      <c r="G1317" t="s">
        <v>30</v>
      </c>
      <c r="H1317" t="s">
        <v>63</v>
      </c>
      <c r="J1317">
        <v>8</v>
      </c>
    </row>
    <row r="1318" spans="1:12">
      <c r="A1318" t="s">
        <v>3832</v>
      </c>
      <c r="B1318" t="s">
        <v>3833</v>
      </c>
      <c r="C1318" t="s">
        <v>3834</v>
      </c>
      <c r="D1318" t="s">
        <v>35</v>
      </c>
      <c r="E1318" t="s">
        <v>59</v>
      </c>
      <c r="F1318" t="s">
        <v>29</v>
      </c>
      <c r="G1318" t="s">
        <v>55</v>
      </c>
      <c r="H1318" t="s">
        <v>19</v>
      </c>
      <c r="I1318">
        <v>5</v>
      </c>
      <c r="J1318">
        <v>48</v>
      </c>
      <c r="K1318">
        <v>34.409999999999997</v>
      </c>
      <c r="L1318">
        <v>1</v>
      </c>
    </row>
    <row r="1319" spans="1:12">
      <c r="A1319" t="s">
        <v>3835</v>
      </c>
      <c r="B1319" t="s">
        <v>3836</v>
      </c>
      <c r="C1319" t="s">
        <v>3837</v>
      </c>
      <c r="D1319" t="s">
        <v>23</v>
      </c>
      <c r="E1319" t="s">
        <v>16</v>
      </c>
      <c r="F1319" t="s">
        <v>36</v>
      </c>
      <c r="G1319" t="s">
        <v>42</v>
      </c>
      <c r="H1319" t="s">
        <v>31</v>
      </c>
      <c r="I1319">
        <v>1</v>
      </c>
      <c r="J1319">
        <v>24</v>
      </c>
      <c r="K1319">
        <v>68.84</v>
      </c>
      <c r="L1319">
        <v>0</v>
      </c>
    </row>
    <row r="1320" spans="1:12">
      <c r="A1320" t="s">
        <v>3838</v>
      </c>
      <c r="B1320" t="s">
        <v>3839</v>
      </c>
      <c r="C1320" t="s">
        <v>3840</v>
      </c>
      <c r="D1320" t="s">
        <v>23</v>
      </c>
      <c r="E1320" t="s">
        <v>28</v>
      </c>
      <c r="F1320" t="s">
        <v>60</v>
      </c>
      <c r="G1320" t="s">
        <v>77</v>
      </c>
      <c r="H1320" t="s">
        <v>19</v>
      </c>
      <c r="I1320">
        <v>4</v>
      </c>
      <c r="J1320">
        <v>24</v>
      </c>
      <c r="K1320">
        <v>47.07</v>
      </c>
      <c r="L1320">
        <v>0</v>
      </c>
    </row>
    <row r="1321" spans="1:12">
      <c r="A1321" t="s">
        <v>3841</v>
      </c>
      <c r="B1321" t="s">
        <v>3842</v>
      </c>
      <c r="D1321" t="s">
        <v>15</v>
      </c>
      <c r="E1321" t="s">
        <v>24</v>
      </c>
      <c r="F1321" t="s">
        <v>29</v>
      </c>
      <c r="G1321" t="s">
        <v>42</v>
      </c>
      <c r="H1321" t="s">
        <v>46</v>
      </c>
      <c r="J1321">
        <v>8</v>
      </c>
    </row>
    <row r="1322" spans="1:12">
      <c r="A1322" t="s">
        <v>3843</v>
      </c>
      <c r="B1322" t="s">
        <v>3844</v>
      </c>
      <c r="C1322" t="s">
        <v>3845</v>
      </c>
      <c r="D1322" t="s">
        <v>23</v>
      </c>
      <c r="E1322" t="s">
        <v>28</v>
      </c>
      <c r="F1322" t="s">
        <v>41</v>
      </c>
      <c r="G1322" t="s">
        <v>30</v>
      </c>
      <c r="H1322" t="s">
        <v>31</v>
      </c>
      <c r="I1322">
        <v>5</v>
      </c>
      <c r="J1322">
        <v>24</v>
      </c>
      <c r="K1322">
        <v>15.85</v>
      </c>
      <c r="L1322">
        <v>1</v>
      </c>
    </row>
    <row r="1323" spans="1:12">
      <c r="A1323" t="s">
        <v>3846</v>
      </c>
      <c r="B1323" t="s">
        <v>3847</v>
      </c>
      <c r="C1323" t="s">
        <v>3848</v>
      </c>
      <c r="D1323" t="s">
        <v>23</v>
      </c>
      <c r="E1323" t="s">
        <v>16</v>
      </c>
      <c r="F1323" t="s">
        <v>29</v>
      </c>
      <c r="G1323" t="s">
        <v>55</v>
      </c>
      <c r="H1323" t="s">
        <v>31</v>
      </c>
      <c r="I1323">
        <v>2</v>
      </c>
      <c r="J1323">
        <v>24</v>
      </c>
      <c r="K1323">
        <v>64.87</v>
      </c>
      <c r="L1323">
        <v>0</v>
      </c>
    </row>
    <row r="1324" spans="1:12">
      <c r="A1324" t="s">
        <v>3849</v>
      </c>
      <c r="B1324" t="s">
        <v>3850</v>
      </c>
      <c r="C1324" t="s">
        <v>3851</v>
      </c>
      <c r="D1324" t="s">
        <v>23</v>
      </c>
      <c r="E1324" t="s">
        <v>28</v>
      </c>
      <c r="F1324" t="s">
        <v>29</v>
      </c>
      <c r="G1324" t="s">
        <v>50</v>
      </c>
      <c r="H1324" t="s">
        <v>31</v>
      </c>
      <c r="I1324">
        <v>5</v>
      </c>
      <c r="J1324">
        <v>24</v>
      </c>
      <c r="K1324">
        <v>10.74</v>
      </c>
      <c r="L1324">
        <v>1</v>
      </c>
    </row>
    <row r="1325" spans="1:12">
      <c r="A1325" t="s">
        <v>3852</v>
      </c>
      <c r="B1325" t="s">
        <v>3853</v>
      </c>
      <c r="C1325" t="s">
        <v>3854</v>
      </c>
      <c r="D1325" t="s">
        <v>15</v>
      </c>
      <c r="E1325" t="s">
        <v>16</v>
      </c>
      <c r="F1325" t="s">
        <v>29</v>
      </c>
      <c r="G1325" t="s">
        <v>42</v>
      </c>
      <c r="H1325" t="s">
        <v>19</v>
      </c>
      <c r="I1325">
        <v>4</v>
      </c>
      <c r="J1325">
        <v>8</v>
      </c>
      <c r="K1325">
        <v>6.15</v>
      </c>
      <c r="L1325">
        <v>1</v>
      </c>
    </row>
    <row r="1326" spans="1:12">
      <c r="A1326" t="s">
        <v>3855</v>
      </c>
      <c r="B1326" t="s">
        <v>3856</v>
      </c>
      <c r="C1326" t="s">
        <v>3857</v>
      </c>
      <c r="D1326" t="s">
        <v>15</v>
      </c>
      <c r="E1326" t="s">
        <v>54</v>
      </c>
      <c r="F1326" t="s">
        <v>17</v>
      </c>
      <c r="G1326" t="s">
        <v>55</v>
      </c>
      <c r="H1326" t="s">
        <v>31</v>
      </c>
      <c r="I1326">
        <v>4</v>
      </c>
      <c r="J1326">
        <v>8</v>
      </c>
      <c r="K1326">
        <v>5.25</v>
      </c>
      <c r="L1326">
        <v>1</v>
      </c>
    </row>
    <row r="1327" spans="1:12">
      <c r="A1327" t="s">
        <v>3858</v>
      </c>
      <c r="B1327" t="s">
        <v>3859</v>
      </c>
      <c r="C1327" t="s">
        <v>3860</v>
      </c>
      <c r="D1327" t="s">
        <v>35</v>
      </c>
      <c r="E1327" t="s">
        <v>54</v>
      </c>
      <c r="F1327" t="s">
        <v>36</v>
      </c>
      <c r="G1327" t="s">
        <v>77</v>
      </c>
      <c r="H1327" t="s">
        <v>31</v>
      </c>
      <c r="I1327">
        <v>4</v>
      </c>
      <c r="J1327">
        <v>48</v>
      </c>
      <c r="K1327">
        <v>33.950000000000003</v>
      </c>
      <c r="L1327">
        <v>1</v>
      </c>
    </row>
    <row r="1328" spans="1:12">
      <c r="A1328" t="s">
        <v>3861</v>
      </c>
      <c r="B1328" t="s">
        <v>3862</v>
      </c>
      <c r="C1328" t="s">
        <v>3863</v>
      </c>
      <c r="D1328" t="s">
        <v>158</v>
      </c>
      <c r="E1328" t="s">
        <v>16</v>
      </c>
      <c r="F1328" t="s">
        <v>29</v>
      </c>
      <c r="G1328" t="s">
        <v>77</v>
      </c>
      <c r="H1328" t="s">
        <v>31</v>
      </c>
      <c r="I1328">
        <v>3</v>
      </c>
      <c r="J1328">
        <v>4</v>
      </c>
      <c r="K1328">
        <v>1.59</v>
      </c>
      <c r="L1328">
        <v>1</v>
      </c>
    </row>
    <row r="1329" spans="1:12">
      <c r="A1329" t="s">
        <v>3864</v>
      </c>
      <c r="B1329" t="s">
        <v>3865</v>
      </c>
      <c r="C1329" t="s">
        <v>3866</v>
      </c>
      <c r="D1329" t="s">
        <v>15</v>
      </c>
      <c r="E1329" t="s">
        <v>24</v>
      </c>
      <c r="F1329" t="s">
        <v>17</v>
      </c>
      <c r="G1329" t="s">
        <v>172</v>
      </c>
      <c r="H1329" t="s">
        <v>31</v>
      </c>
      <c r="I1329">
        <v>1</v>
      </c>
      <c r="J1329">
        <v>8</v>
      </c>
      <c r="K1329">
        <v>19.02</v>
      </c>
      <c r="L1329">
        <v>0</v>
      </c>
    </row>
    <row r="1330" spans="1:12">
      <c r="A1330" t="s">
        <v>3867</v>
      </c>
      <c r="B1330" t="s">
        <v>3868</v>
      </c>
      <c r="C1330" t="s">
        <v>3869</v>
      </c>
      <c r="D1330" t="s">
        <v>35</v>
      </c>
      <c r="E1330" t="s">
        <v>24</v>
      </c>
      <c r="F1330" t="s">
        <v>29</v>
      </c>
      <c r="G1330" t="s">
        <v>55</v>
      </c>
      <c r="H1330" t="s">
        <v>31</v>
      </c>
      <c r="I1330">
        <v>5</v>
      </c>
      <c r="J1330">
        <v>48</v>
      </c>
      <c r="K1330">
        <v>21.45</v>
      </c>
      <c r="L1330">
        <v>1</v>
      </c>
    </row>
    <row r="1331" spans="1:12">
      <c r="A1331" t="s">
        <v>3870</v>
      </c>
      <c r="B1331" t="s">
        <v>3871</v>
      </c>
      <c r="C1331" t="s">
        <v>3872</v>
      </c>
      <c r="D1331" t="s">
        <v>35</v>
      </c>
      <c r="E1331" t="s">
        <v>28</v>
      </c>
      <c r="F1331" t="s">
        <v>36</v>
      </c>
      <c r="G1331" t="s">
        <v>73</v>
      </c>
      <c r="H1331" t="s">
        <v>19</v>
      </c>
      <c r="I1331">
        <v>5</v>
      </c>
      <c r="J1331">
        <v>48</v>
      </c>
      <c r="K1331">
        <v>10.92</v>
      </c>
      <c r="L1331">
        <v>1</v>
      </c>
    </row>
    <row r="1332" spans="1:12">
      <c r="A1332" t="s">
        <v>3873</v>
      </c>
      <c r="B1332" t="s">
        <v>3874</v>
      </c>
      <c r="C1332" t="s">
        <v>3875</v>
      </c>
      <c r="D1332" t="s">
        <v>23</v>
      </c>
      <c r="E1332" t="s">
        <v>16</v>
      </c>
      <c r="F1332" t="s">
        <v>60</v>
      </c>
      <c r="G1332" t="s">
        <v>105</v>
      </c>
      <c r="H1332" t="s">
        <v>31</v>
      </c>
      <c r="I1332">
        <v>4</v>
      </c>
      <c r="J1332">
        <v>24</v>
      </c>
      <c r="K1332">
        <v>14.26</v>
      </c>
      <c r="L1332">
        <v>1</v>
      </c>
    </row>
    <row r="1333" spans="1:12">
      <c r="A1333" t="s">
        <v>3876</v>
      </c>
      <c r="B1333" t="s">
        <v>3877</v>
      </c>
      <c r="C1333" t="s">
        <v>3878</v>
      </c>
      <c r="D1333" t="s">
        <v>23</v>
      </c>
      <c r="E1333" t="s">
        <v>54</v>
      </c>
      <c r="F1333" t="s">
        <v>17</v>
      </c>
      <c r="G1333" t="s">
        <v>37</v>
      </c>
      <c r="H1333" t="s">
        <v>31</v>
      </c>
      <c r="I1333">
        <v>5</v>
      </c>
      <c r="J1333">
        <v>24</v>
      </c>
      <c r="K1333">
        <v>21.89</v>
      </c>
      <c r="L1333">
        <v>1</v>
      </c>
    </row>
    <row r="1334" spans="1:12">
      <c r="A1334" t="s">
        <v>3879</v>
      </c>
      <c r="B1334" t="s">
        <v>3880</v>
      </c>
      <c r="C1334" t="s">
        <v>3881</v>
      </c>
      <c r="D1334" t="s">
        <v>23</v>
      </c>
      <c r="E1334" t="s">
        <v>59</v>
      </c>
      <c r="F1334" t="s">
        <v>60</v>
      </c>
      <c r="G1334" t="s">
        <v>105</v>
      </c>
      <c r="H1334" t="s">
        <v>19</v>
      </c>
      <c r="I1334">
        <v>5</v>
      </c>
      <c r="J1334">
        <v>24</v>
      </c>
      <c r="K1334">
        <v>19.690000000000001</v>
      </c>
      <c r="L1334">
        <v>1</v>
      </c>
    </row>
    <row r="1335" spans="1:12">
      <c r="A1335" t="s">
        <v>3882</v>
      </c>
      <c r="B1335" t="s">
        <v>3883</v>
      </c>
      <c r="C1335" t="s">
        <v>3884</v>
      </c>
      <c r="D1335" t="s">
        <v>23</v>
      </c>
      <c r="E1335" t="s">
        <v>54</v>
      </c>
      <c r="F1335" t="s">
        <v>60</v>
      </c>
      <c r="G1335" t="s">
        <v>50</v>
      </c>
      <c r="H1335" t="s">
        <v>19</v>
      </c>
      <c r="I1335">
        <v>5</v>
      </c>
      <c r="J1335">
        <v>24</v>
      </c>
      <c r="K1335">
        <v>14.13</v>
      </c>
      <c r="L1335">
        <v>1</v>
      </c>
    </row>
    <row r="1336" spans="1:12">
      <c r="A1336" t="s">
        <v>3885</v>
      </c>
      <c r="B1336" t="s">
        <v>3886</v>
      </c>
      <c r="C1336" t="s">
        <v>3887</v>
      </c>
      <c r="D1336" t="s">
        <v>15</v>
      </c>
      <c r="E1336" t="s">
        <v>16</v>
      </c>
      <c r="F1336" t="s">
        <v>29</v>
      </c>
      <c r="G1336" t="s">
        <v>18</v>
      </c>
      <c r="H1336" t="s">
        <v>19</v>
      </c>
      <c r="I1336">
        <v>4</v>
      </c>
      <c r="J1336">
        <v>8</v>
      </c>
      <c r="K1336">
        <v>1.58</v>
      </c>
      <c r="L1336">
        <v>1</v>
      </c>
    </row>
    <row r="1337" spans="1:12">
      <c r="A1337" t="s">
        <v>3888</v>
      </c>
      <c r="B1337" t="s">
        <v>3889</v>
      </c>
      <c r="C1337" t="s">
        <v>3890</v>
      </c>
      <c r="D1337" t="s">
        <v>35</v>
      </c>
      <c r="E1337" t="s">
        <v>24</v>
      </c>
      <c r="F1337" t="s">
        <v>36</v>
      </c>
      <c r="G1337" t="s">
        <v>172</v>
      </c>
      <c r="H1337" t="s">
        <v>31</v>
      </c>
      <c r="I1337">
        <v>4</v>
      </c>
      <c r="J1337">
        <v>48</v>
      </c>
      <c r="K1337">
        <v>19.579999999999998</v>
      </c>
      <c r="L1337">
        <v>1</v>
      </c>
    </row>
    <row r="1338" spans="1:12">
      <c r="A1338" t="s">
        <v>3891</v>
      </c>
      <c r="B1338" t="s">
        <v>3892</v>
      </c>
      <c r="D1338" t="s">
        <v>23</v>
      </c>
      <c r="E1338" t="s">
        <v>28</v>
      </c>
      <c r="F1338" t="s">
        <v>60</v>
      </c>
      <c r="G1338" t="s">
        <v>73</v>
      </c>
      <c r="H1338" t="s">
        <v>63</v>
      </c>
      <c r="J1338">
        <v>24</v>
      </c>
    </row>
    <row r="1339" spans="1:12">
      <c r="A1339" t="s">
        <v>3893</v>
      </c>
      <c r="B1339" t="s">
        <v>3894</v>
      </c>
      <c r="C1339" t="s">
        <v>3895</v>
      </c>
      <c r="D1339" t="s">
        <v>23</v>
      </c>
      <c r="E1339" t="s">
        <v>28</v>
      </c>
      <c r="F1339" t="s">
        <v>60</v>
      </c>
      <c r="G1339" t="s">
        <v>151</v>
      </c>
      <c r="H1339" t="s">
        <v>19</v>
      </c>
      <c r="I1339">
        <v>4</v>
      </c>
      <c r="J1339">
        <v>24</v>
      </c>
      <c r="K1339">
        <v>8.25</v>
      </c>
      <c r="L1339">
        <v>1</v>
      </c>
    </row>
    <row r="1340" spans="1:12">
      <c r="A1340" t="s">
        <v>3896</v>
      </c>
      <c r="B1340" t="s">
        <v>3897</v>
      </c>
      <c r="C1340" t="s">
        <v>3898</v>
      </c>
      <c r="D1340" t="s">
        <v>23</v>
      </c>
      <c r="E1340" t="s">
        <v>54</v>
      </c>
      <c r="F1340" t="s">
        <v>17</v>
      </c>
      <c r="G1340" t="s">
        <v>55</v>
      </c>
      <c r="H1340" t="s">
        <v>19</v>
      </c>
      <c r="I1340">
        <v>1</v>
      </c>
      <c r="J1340">
        <v>24</v>
      </c>
      <c r="K1340">
        <v>34.47</v>
      </c>
      <c r="L1340">
        <v>0</v>
      </c>
    </row>
    <row r="1341" spans="1:12">
      <c r="A1341" t="s">
        <v>3899</v>
      </c>
      <c r="B1341" t="s">
        <v>3900</v>
      </c>
      <c r="C1341" t="s">
        <v>3901</v>
      </c>
      <c r="D1341" t="s">
        <v>158</v>
      </c>
      <c r="E1341" t="s">
        <v>24</v>
      </c>
      <c r="F1341" t="s">
        <v>29</v>
      </c>
      <c r="G1341" t="s">
        <v>77</v>
      </c>
      <c r="H1341" t="s">
        <v>31</v>
      </c>
      <c r="I1341">
        <v>5</v>
      </c>
      <c r="J1341">
        <v>4</v>
      </c>
      <c r="K1341">
        <v>0.74</v>
      </c>
      <c r="L1341">
        <v>1</v>
      </c>
    </row>
    <row r="1342" spans="1:12">
      <c r="A1342" t="s">
        <v>3902</v>
      </c>
      <c r="B1342" t="s">
        <v>3903</v>
      </c>
      <c r="C1342" t="s">
        <v>3904</v>
      </c>
      <c r="D1342" t="s">
        <v>23</v>
      </c>
      <c r="E1342" t="s">
        <v>54</v>
      </c>
      <c r="F1342" t="s">
        <v>36</v>
      </c>
      <c r="G1342" t="s">
        <v>73</v>
      </c>
      <c r="H1342" t="s">
        <v>19</v>
      </c>
      <c r="I1342">
        <v>4</v>
      </c>
      <c r="J1342">
        <v>24</v>
      </c>
      <c r="K1342">
        <v>10.32</v>
      </c>
      <c r="L1342">
        <v>1</v>
      </c>
    </row>
    <row r="1343" spans="1:12">
      <c r="A1343" t="s">
        <v>3905</v>
      </c>
      <c r="B1343" t="s">
        <v>3906</v>
      </c>
      <c r="C1343" t="s">
        <v>3907</v>
      </c>
      <c r="D1343" t="s">
        <v>23</v>
      </c>
      <c r="E1343" t="s">
        <v>54</v>
      </c>
      <c r="F1343" t="s">
        <v>29</v>
      </c>
      <c r="G1343" t="s">
        <v>42</v>
      </c>
      <c r="H1343" t="s">
        <v>19</v>
      </c>
      <c r="I1343">
        <v>2</v>
      </c>
      <c r="J1343">
        <v>24</v>
      </c>
      <c r="K1343">
        <v>40.950000000000003</v>
      </c>
      <c r="L1343">
        <v>0</v>
      </c>
    </row>
    <row r="1344" spans="1:12">
      <c r="A1344" t="s">
        <v>3908</v>
      </c>
      <c r="B1344" t="s">
        <v>3909</v>
      </c>
      <c r="D1344" t="s">
        <v>35</v>
      </c>
      <c r="E1344" t="s">
        <v>24</v>
      </c>
      <c r="F1344" t="s">
        <v>29</v>
      </c>
      <c r="G1344" t="s">
        <v>50</v>
      </c>
      <c r="H1344" t="s">
        <v>63</v>
      </c>
      <c r="J1344">
        <v>48</v>
      </c>
    </row>
    <row r="1345" spans="1:12">
      <c r="A1345" t="s">
        <v>3910</v>
      </c>
      <c r="B1345" t="s">
        <v>3911</v>
      </c>
      <c r="C1345" t="s">
        <v>3912</v>
      </c>
      <c r="D1345" t="s">
        <v>23</v>
      </c>
      <c r="E1345" t="s">
        <v>16</v>
      </c>
      <c r="F1345" t="s">
        <v>29</v>
      </c>
      <c r="G1345" t="s">
        <v>50</v>
      </c>
      <c r="H1345" t="s">
        <v>31</v>
      </c>
      <c r="I1345">
        <v>5</v>
      </c>
      <c r="J1345">
        <v>24</v>
      </c>
      <c r="K1345">
        <v>17.16</v>
      </c>
      <c r="L1345">
        <v>1</v>
      </c>
    </row>
    <row r="1346" spans="1:12">
      <c r="A1346" t="s">
        <v>3913</v>
      </c>
      <c r="B1346" t="s">
        <v>3914</v>
      </c>
      <c r="C1346" t="s">
        <v>3915</v>
      </c>
      <c r="D1346" t="s">
        <v>35</v>
      </c>
      <c r="E1346" t="s">
        <v>24</v>
      </c>
      <c r="F1346" t="s">
        <v>36</v>
      </c>
      <c r="G1346" t="s">
        <v>55</v>
      </c>
      <c r="H1346" t="s">
        <v>31</v>
      </c>
      <c r="I1346">
        <v>4</v>
      </c>
      <c r="J1346">
        <v>48</v>
      </c>
      <c r="K1346">
        <v>23.3</v>
      </c>
      <c r="L1346">
        <v>1</v>
      </c>
    </row>
    <row r="1347" spans="1:12">
      <c r="A1347" t="s">
        <v>3916</v>
      </c>
      <c r="B1347" t="s">
        <v>3917</v>
      </c>
      <c r="C1347" t="s">
        <v>3918</v>
      </c>
      <c r="D1347" t="s">
        <v>23</v>
      </c>
      <c r="E1347" t="s">
        <v>54</v>
      </c>
      <c r="F1347" t="s">
        <v>36</v>
      </c>
      <c r="G1347" t="s">
        <v>18</v>
      </c>
      <c r="H1347" t="s">
        <v>19</v>
      </c>
      <c r="I1347">
        <v>5</v>
      </c>
      <c r="J1347">
        <v>24</v>
      </c>
      <c r="K1347">
        <v>13.91</v>
      </c>
      <c r="L1347">
        <v>1</v>
      </c>
    </row>
    <row r="1348" spans="1:12">
      <c r="A1348" t="s">
        <v>3919</v>
      </c>
      <c r="B1348" t="s">
        <v>3920</v>
      </c>
      <c r="C1348" t="s">
        <v>3921</v>
      </c>
      <c r="D1348" t="s">
        <v>23</v>
      </c>
      <c r="E1348" t="s">
        <v>59</v>
      </c>
      <c r="F1348" t="s">
        <v>29</v>
      </c>
      <c r="G1348" t="s">
        <v>172</v>
      </c>
      <c r="H1348" t="s">
        <v>19</v>
      </c>
      <c r="I1348">
        <v>3</v>
      </c>
      <c r="J1348">
        <v>24</v>
      </c>
      <c r="K1348">
        <v>21.85</v>
      </c>
      <c r="L1348">
        <v>1</v>
      </c>
    </row>
    <row r="1349" spans="1:12">
      <c r="A1349" t="s">
        <v>3922</v>
      </c>
      <c r="B1349" t="s">
        <v>3923</v>
      </c>
      <c r="C1349" t="s">
        <v>3924</v>
      </c>
      <c r="D1349" t="s">
        <v>35</v>
      </c>
      <c r="E1349" t="s">
        <v>16</v>
      </c>
      <c r="F1349" t="s">
        <v>41</v>
      </c>
      <c r="G1349" t="s">
        <v>77</v>
      </c>
      <c r="H1349" t="s">
        <v>19</v>
      </c>
      <c r="I1349">
        <v>2</v>
      </c>
      <c r="J1349">
        <v>48</v>
      </c>
      <c r="K1349">
        <v>79.819999999999993</v>
      </c>
      <c r="L1349">
        <v>0</v>
      </c>
    </row>
    <row r="1350" spans="1:12">
      <c r="A1350" t="s">
        <v>3925</v>
      </c>
      <c r="B1350" t="s">
        <v>3926</v>
      </c>
      <c r="C1350" t="s">
        <v>3927</v>
      </c>
      <c r="D1350" t="s">
        <v>15</v>
      </c>
      <c r="E1350" t="s">
        <v>28</v>
      </c>
      <c r="F1350" t="s">
        <v>41</v>
      </c>
      <c r="G1350" t="s">
        <v>18</v>
      </c>
      <c r="H1350" t="s">
        <v>31</v>
      </c>
      <c r="I1350">
        <v>5</v>
      </c>
      <c r="J1350">
        <v>8</v>
      </c>
      <c r="K1350">
        <v>7.04</v>
      </c>
      <c r="L1350">
        <v>1</v>
      </c>
    </row>
    <row r="1351" spans="1:12">
      <c r="A1351" t="s">
        <v>3928</v>
      </c>
      <c r="B1351" t="s">
        <v>3929</v>
      </c>
      <c r="C1351" t="s">
        <v>3930</v>
      </c>
      <c r="D1351" t="s">
        <v>15</v>
      </c>
      <c r="E1351" t="s">
        <v>28</v>
      </c>
      <c r="F1351" t="s">
        <v>29</v>
      </c>
      <c r="G1351" t="s">
        <v>73</v>
      </c>
      <c r="H1351" t="s">
        <v>19</v>
      </c>
      <c r="I1351">
        <v>4</v>
      </c>
      <c r="J1351">
        <v>8</v>
      </c>
      <c r="K1351">
        <v>4.26</v>
      </c>
      <c r="L1351">
        <v>1</v>
      </c>
    </row>
    <row r="1352" spans="1:12">
      <c r="A1352" t="s">
        <v>3931</v>
      </c>
      <c r="B1352" t="s">
        <v>3932</v>
      </c>
      <c r="C1352" t="s">
        <v>3933</v>
      </c>
      <c r="D1352" t="s">
        <v>35</v>
      </c>
      <c r="E1352" t="s">
        <v>59</v>
      </c>
      <c r="F1352" t="s">
        <v>60</v>
      </c>
      <c r="G1352" t="s">
        <v>77</v>
      </c>
      <c r="H1352" t="s">
        <v>31</v>
      </c>
      <c r="I1352">
        <v>3</v>
      </c>
      <c r="J1352">
        <v>48</v>
      </c>
      <c r="K1352">
        <v>38.770000000000003</v>
      </c>
      <c r="L1352">
        <v>1</v>
      </c>
    </row>
    <row r="1353" spans="1:12">
      <c r="A1353" t="s">
        <v>3934</v>
      </c>
      <c r="B1353" t="s">
        <v>3935</v>
      </c>
      <c r="C1353" t="s">
        <v>3936</v>
      </c>
      <c r="D1353" t="s">
        <v>15</v>
      </c>
      <c r="E1353" t="s">
        <v>59</v>
      </c>
      <c r="F1353" t="s">
        <v>41</v>
      </c>
      <c r="G1353" t="s">
        <v>105</v>
      </c>
      <c r="H1353" t="s">
        <v>19</v>
      </c>
      <c r="I1353">
        <v>5</v>
      </c>
      <c r="J1353">
        <v>8</v>
      </c>
      <c r="K1353">
        <v>3.89</v>
      </c>
      <c r="L1353">
        <v>1</v>
      </c>
    </row>
    <row r="1354" spans="1:12">
      <c r="A1354" t="s">
        <v>3937</v>
      </c>
      <c r="B1354" t="s">
        <v>3938</v>
      </c>
      <c r="C1354" t="s">
        <v>3939</v>
      </c>
      <c r="D1354" t="s">
        <v>23</v>
      </c>
      <c r="E1354" t="s">
        <v>16</v>
      </c>
      <c r="F1354" t="s">
        <v>41</v>
      </c>
      <c r="G1354" t="s">
        <v>37</v>
      </c>
      <c r="H1354" t="s">
        <v>19</v>
      </c>
      <c r="I1354">
        <v>4</v>
      </c>
      <c r="J1354">
        <v>24</v>
      </c>
      <c r="K1354">
        <v>5.19</v>
      </c>
      <c r="L1354">
        <v>1</v>
      </c>
    </row>
    <row r="1355" spans="1:12">
      <c r="A1355" t="s">
        <v>3940</v>
      </c>
      <c r="B1355" t="s">
        <v>3941</v>
      </c>
      <c r="C1355" t="s">
        <v>3942</v>
      </c>
      <c r="D1355" t="s">
        <v>15</v>
      </c>
      <c r="E1355" t="s">
        <v>28</v>
      </c>
      <c r="F1355" t="s">
        <v>36</v>
      </c>
      <c r="G1355" t="s">
        <v>105</v>
      </c>
      <c r="H1355" t="s">
        <v>31</v>
      </c>
      <c r="I1355">
        <v>5</v>
      </c>
      <c r="J1355">
        <v>8</v>
      </c>
      <c r="K1355">
        <v>3.02</v>
      </c>
      <c r="L1355">
        <v>1</v>
      </c>
    </row>
    <row r="1356" spans="1:12">
      <c r="A1356" t="s">
        <v>3943</v>
      </c>
      <c r="B1356" t="s">
        <v>3944</v>
      </c>
      <c r="C1356" t="s">
        <v>3945</v>
      </c>
      <c r="D1356" t="s">
        <v>23</v>
      </c>
      <c r="E1356" t="s">
        <v>16</v>
      </c>
      <c r="F1356" t="s">
        <v>36</v>
      </c>
      <c r="G1356" t="s">
        <v>105</v>
      </c>
      <c r="H1356" t="s">
        <v>31</v>
      </c>
      <c r="I1356">
        <v>1</v>
      </c>
      <c r="J1356">
        <v>24</v>
      </c>
      <c r="K1356">
        <v>27</v>
      </c>
      <c r="L1356">
        <v>0</v>
      </c>
    </row>
    <row r="1357" spans="1:12">
      <c r="A1357" t="s">
        <v>3946</v>
      </c>
      <c r="B1357" t="s">
        <v>3947</v>
      </c>
      <c r="C1357" t="s">
        <v>3948</v>
      </c>
      <c r="D1357" t="s">
        <v>23</v>
      </c>
      <c r="E1357" t="s">
        <v>28</v>
      </c>
      <c r="F1357" t="s">
        <v>60</v>
      </c>
      <c r="G1357" t="s">
        <v>151</v>
      </c>
      <c r="H1357" t="s">
        <v>31</v>
      </c>
      <c r="I1357">
        <v>5</v>
      </c>
      <c r="J1357">
        <v>24</v>
      </c>
      <c r="K1357">
        <v>21.76</v>
      </c>
      <c r="L1357">
        <v>1</v>
      </c>
    </row>
    <row r="1358" spans="1:12">
      <c r="A1358" t="s">
        <v>3949</v>
      </c>
      <c r="B1358" t="s">
        <v>3950</v>
      </c>
      <c r="C1358" t="s">
        <v>3951</v>
      </c>
      <c r="D1358" t="s">
        <v>15</v>
      </c>
      <c r="E1358" t="s">
        <v>28</v>
      </c>
      <c r="F1358" t="s">
        <v>17</v>
      </c>
      <c r="G1358" t="s">
        <v>151</v>
      </c>
      <c r="H1358" t="s">
        <v>19</v>
      </c>
      <c r="I1358">
        <v>4</v>
      </c>
      <c r="J1358">
        <v>8</v>
      </c>
      <c r="K1358">
        <v>4.09</v>
      </c>
      <c r="L1358">
        <v>1</v>
      </c>
    </row>
    <row r="1359" spans="1:12">
      <c r="A1359" t="s">
        <v>3952</v>
      </c>
      <c r="B1359" t="s">
        <v>3953</v>
      </c>
      <c r="C1359" t="s">
        <v>3954</v>
      </c>
      <c r="D1359" t="s">
        <v>15</v>
      </c>
      <c r="E1359" t="s">
        <v>24</v>
      </c>
      <c r="F1359" t="s">
        <v>36</v>
      </c>
      <c r="G1359" t="s">
        <v>77</v>
      </c>
      <c r="H1359" t="s">
        <v>31</v>
      </c>
      <c r="I1359">
        <v>3</v>
      </c>
      <c r="J1359">
        <v>8</v>
      </c>
      <c r="K1359">
        <v>0.82</v>
      </c>
      <c r="L1359">
        <v>1</v>
      </c>
    </row>
    <row r="1360" spans="1:12">
      <c r="A1360" t="s">
        <v>3955</v>
      </c>
      <c r="B1360" t="s">
        <v>3956</v>
      </c>
      <c r="C1360" t="s">
        <v>3957</v>
      </c>
      <c r="D1360" t="s">
        <v>23</v>
      </c>
      <c r="E1360" t="s">
        <v>16</v>
      </c>
      <c r="F1360" t="s">
        <v>36</v>
      </c>
      <c r="G1360" t="s">
        <v>37</v>
      </c>
      <c r="H1360" t="s">
        <v>31</v>
      </c>
      <c r="I1360">
        <v>4</v>
      </c>
      <c r="J1360">
        <v>24</v>
      </c>
      <c r="K1360">
        <v>15.27</v>
      </c>
      <c r="L1360">
        <v>1</v>
      </c>
    </row>
    <row r="1361" spans="1:12">
      <c r="A1361" t="s">
        <v>3958</v>
      </c>
      <c r="B1361" t="s">
        <v>3959</v>
      </c>
      <c r="C1361" t="s">
        <v>3960</v>
      </c>
      <c r="D1361" t="s">
        <v>23</v>
      </c>
      <c r="E1361" t="s">
        <v>54</v>
      </c>
      <c r="F1361" t="s">
        <v>17</v>
      </c>
      <c r="G1361" t="s">
        <v>45</v>
      </c>
      <c r="H1361" t="s">
        <v>31</v>
      </c>
      <c r="I1361">
        <v>2</v>
      </c>
      <c r="J1361">
        <v>24</v>
      </c>
      <c r="K1361">
        <v>56.46</v>
      </c>
      <c r="L1361">
        <v>0</v>
      </c>
    </row>
    <row r="1362" spans="1:12">
      <c r="A1362" t="s">
        <v>3961</v>
      </c>
      <c r="B1362" t="s">
        <v>3962</v>
      </c>
      <c r="C1362" t="s">
        <v>3963</v>
      </c>
      <c r="D1362" t="s">
        <v>23</v>
      </c>
      <c r="E1362" t="s">
        <v>28</v>
      </c>
      <c r="F1362" t="s">
        <v>41</v>
      </c>
      <c r="G1362" t="s">
        <v>45</v>
      </c>
      <c r="H1362" t="s">
        <v>19</v>
      </c>
      <c r="I1362">
        <v>5</v>
      </c>
      <c r="J1362">
        <v>24</v>
      </c>
      <c r="K1362">
        <v>20.37</v>
      </c>
      <c r="L1362">
        <v>1</v>
      </c>
    </row>
    <row r="1363" spans="1:12">
      <c r="A1363" t="s">
        <v>3964</v>
      </c>
      <c r="B1363" t="s">
        <v>3965</v>
      </c>
      <c r="C1363" t="s">
        <v>3966</v>
      </c>
      <c r="D1363" t="s">
        <v>23</v>
      </c>
      <c r="E1363" t="s">
        <v>28</v>
      </c>
      <c r="F1363" t="s">
        <v>17</v>
      </c>
      <c r="G1363" t="s">
        <v>151</v>
      </c>
      <c r="H1363" t="s">
        <v>19</v>
      </c>
      <c r="I1363">
        <v>5</v>
      </c>
      <c r="J1363">
        <v>24</v>
      </c>
      <c r="K1363">
        <v>21.91</v>
      </c>
      <c r="L1363">
        <v>1</v>
      </c>
    </row>
    <row r="1364" spans="1:12">
      <c r="A1364" t="s">
        <v>3967</v>
      </c>
      <c r="B1364" t="s">
        <v>3968</v>
      </c>
      <c r="C1364" t="s">
        <v>3969</v>
      </c>
      <c r="D1364" t="s">
        <v>23</v>
      </c>
      <c r="E1364" t="s">
        <v>16</v>
      </c>
      <c r="F1364" t="s">
        <v>41</v>
      </c>
      <c r="G1364" t="s">
        <v>50</v>
      </c>
      <c r="H1364" t="s">
        <v>31</v>
      </c>
      <c r="I1364">
        <v>4</v>
      </c>
      <c r="J1364">
        <v>24</v>
      </c>
      <c r="K1364">
        <v>2.99</v>
      </c>
      <c r="L1364">
        <v>1</v>
      </c>
    </row>
    <row r="1365" spans="1:12">
      <c r="A1365" t="s">
        <v>3970</v>
      </c>
      <c r="B1365" t="s">
        <v>3971</v>
      </c>
      <c r="C1365" t="s">
        <v>3972</v>
      </c>
      <c r="D1365" t="s">
        <v>35</v>
      </c>
      <c r="E1365" t="s">
        <v>16</v>
      </c>
      <c r="F1365" t="s">
        <v>36</v>
      </c>
      <c r="G1365" t="s">
        <v>77</v>
      </c>
      <c r="H1365" t="s">
        <v>31</v>
      </c>
      <c r="I1365">
        <v>4</v>
      </c>
      <c r="J1365">
        <v>48</v>
      </c>
      <c r="K1365">
        <v>17.760000000000002</v>
      </c>
      <c r="L1365">
        <v>1</v>
      </c>
    </row>
    <row r="1366" spans="1:12">
      <c r="A1366" t="s">
        <v>3973</v>
      </c>
      <c r="B1366" t="s">
        <v>3974</v>
      </c>
      <c r="C1366" t="s">
        <v>3975</v>
      </c>
      <c r="D1366" t="s">
        <v>23</v>
      </c>
      <c r="E1366" t="s">
        <v>28</v>
      </c>
      <c r="F1366" t="s">
        <v>36</v>
      </c>
      <c r="G1366" t="s">
        <v>45</v>
      </c>
      <c r="H1366" t="s">
        <v>19</v>
      </c>
      <c r="I1366">
        <v>3</v>
      </c>
      <c r="J1366">
        <v>24</v>
      </c>
      <c r="K1366">
        <v>15.38</v>
      </c>
      <c r="L1366">
        <v>1</v>
      </c>
    </row>
    <row r="1367" spans="1:12">
      <c r="A1367" t="s">
        <v>3976</v>
      </c>
      <c r="B1367" t="s">
        <v>3977</v>
      </c>
      <c r="C1367" t="s">
        <v>3978</v>
      </c>
      <c r="D1367" t="s">
        <v>23</v>
      </c>
      <c r="E1367" t="s">
        <v>54</v>
      </c>
      <c r="F1367" t="s">
        <v>17</v>
      </c>
      <c r="G1367" t="s">
        <v>77</v>
      </c>
      <c r="H1367" t="s">
        <v>19</v>
      </c>
      <c r="I1367">
        <v>5</v>
      </c>
      <c r="J1367">
        <v>24</v>
      </c>
      <c r="K1367">
        <v>21.74</v>
      </c>
      <c r="L1367">
        <v>1</v>
      </c>
    </row>
    <row r="1368" spans="1:12">
      <c r="A1368" t="s">
        <v>3979</v>
      </c>
      <c r="B1368" t="s">
        <v>3980</v>
      </c>
      <c r="C1368" t="s">
        <v>3981</v>
      </c>
      <c r="D1368" t="s">
        <v>15</v>
      </c>
      <c r="E1368" t="s">
        <v>28</v>
      </c>
      <c r="F1368" t="s">
        <v>36</v>
      </c>
      <c r="G1368" t="s">
        <v>37</v>
      </c>
      <c r="H1368" t="s">
        <v>19</v>
      </c>
      <c r="I1368">
        <v>5</v>
      </c>
      <c r="J1368">
        <v>8</v>
      </c>
      <c r="K1368">
        <v>7</v>
      </c>
      <c r="L1368">
        <v>1</v>
      </c>
    </row>
    <row r="1369" spans="1:12">
      <c r="A1369" t="s">
        <v>3982</v>
      </c>
      <c r="B1369" t="s">
        <v>3983</v>
      </c>
      <c r="C1369" t="s">
        <v>3984</v>
      </c>
      <c r="D1369" t="s">
        <v>158</v>
      </c>
      <c r="E1369" t="s">
        <v>24</v>
      </c>
      <c r="F1369" t="s">
        <v>17</v>
      </c>
      <c r="G1369" t="s">
        <v>172</v>
      </c>
      <c r="H1369" t="s">
        <v>19</v>
      </c>
      <c r="I1369">
        <v>2</v>
      </c>
      <c r="J1369">
        <v>4</v>
      </c>
      <c r="K1369">
        <v>10.74</v>
      </c>
      <c r="L1369">
        <v>0</v>
      </c>
    </row>
    <row r="1370" spans="1:12">
      <c r="A1370" t="s">
        <v>3985</v>
      </c>
      <c r="B1370" t="s">
        <v>3986</v>
      </c>
      <c r="C1370" t="s">
        <v>3987</v>
      </c>
      <c r="D1370" t="s">
        <v>15</v>
      </c>
      <c r="E1370" t="s">
        <v>16</v>
      </c>
      <c r="F1370" t="s">
        <v>29</v>
      </c>
      <c r="G1370" t="s">
        <v>172</v>
      </c>
      <c r="H1370" t="s">
        <v>19</v>
      </c>
      <c r="I1370">
        <v>3</v>
      </c>
      <c r="J1370">
        <v>8</v>
      </c>
      <c r="K1370">
        <v>2.4900000000000002</v>
      </c>
      <c r="L1370">
        <v>1</v>
      </c>
    </row>
    <row r="1371" spans="1:12">
      <c r="A1371" t="s">
        <v>3988</v>
      </c>
      <c r="B1371" t="s">
        <v>3989</v>
      </c>
      <c r="C1371" t="s">
        <v>3990</v>
      </c>
      <c r="D1371" t="s">
        <v>158</v>
      </c>
      <c r="E1371" t="s">
        <v>59</v>
      </c>
      <c r="F1371" t="s">
        <v>36</v>
      </c>
      <c r="G1371" t="s">
        <v>77</v>
      </c>
      <c r="H1371" t="s">
        <v>19</v>
      </c>
      <c r="I1371">
        <v>4</v>
      </c>
      <c r="J1371">
        <v>4</v>
      </c>
      <c r="K1371">
        <v>0.93</v>
      </c>
      <c r="L1371">
        <v>1</v>
      </c>
    </row>
    <row r="1372" spans="1:12">
      <c r="A1372" t="s">
        <v>3991</v>
      </c>
      <c r="B1372" t="s">
        <v>3992</v>
      </c>
      <c r="C1372" t="s">
        <v>3993</v>
      </c>
      <c r="D1372" t="s">
        <v>23</v>
      </c>
      <c r="E1372" t="s">
        <v>54</v>
      </c>
      <c r="F1372" t="s">
        <v>36</v>
      </c>
      <c r="G1372" t="s">
        <v>45</v>
      </c>
      <c r="H1372" t="s">
        <v>31</v>
      </c>
      <c r="I1372">
        <v>4</v>
      </c>
      <c r="J1372">
        <v>24</v>
      </c>
      <c r="K1372">
        <v>10.11</v>
      </c>
      <c r="L1372">
        <v>1</v>
      </c>
    </row>
    <row r="1373" spans="1:12">
      <c r="A1373" t="s">
        <v>3994</v>
      </c>
      <c r="B1373" t="s">
        <v>3995</v>
      </c>
      <c r="C1373" t="s">
        <v>3996</v>
      </c>
      <c r="D1373" t="s">
        <v>23</v>
      </c>
      <c r="E1373" t="s">
        <v>28</v>
      </c>
      <c r="F1373" t="s">
        <v>36</v>
      </c>
      <c r="G1373" t="s">
        <v>42</v>
      </c>
      <c r="H1373" t="s">
        <v>19</v>
      </c>
      <c r="I1373">
        <v>4</v>
      </c>
      <c r="J1373">
        <v>24</v>
      </c>
      <c r="K1373">
        <v>17.95</v>
      </c>
      <c r="L1373">
        <v>1</v>
      </c>
    </row>
    <row r="1374" spans="1:12">
      <c r="A1374" t="s">
        <v>3997</v>
      </c>
      <c r="B1374" t="s">
        <v>3998</v>
      </c>
      <c r="D1374" t="s">
        <v>23</v>
      </c>
      <c r="E1374" t="s">
        <v>28</v>
      </c>
      <c r="F1374" t="s">
        <v>17</v>
      </c>
      <c r="G1374" t="s">
        <v>42</v>
      </c>
      <c r="H1374" t="s">
        <v>63</v>
      </c>
      <c r="J1374">
        <v>24</v>
      </c>
    </row>
    <row r="1375" spans="1:12">
      <c r="A1375" t="s">
        <v>3999</v>
      </c>
      <c r="B1375" t="s">
        <v>4000</v>
      </c>
      <c r="C1375" t="s">
        <v>4001</v>
      </c>
      <c r="D1375" t="s">
        <v>23</v>
      </c>
      <c r="E1375" t="s">
        <v>28</v>
      </c>
      <c r="F1375" t="s">
        <v>36</v>
      </c>
      <c r="G1375" t="s">
        <v>45</v>
      </c>
      <c r="H1375" t="s">
        <v>19</v>
      </c>
      <c r="I1375">
        <v>5</v>
      </c>
      <c r="J1375">
        <v>24</v>
      </c>
      <c r="K1375">
        <v>7.79</v>
      </c>
      <c r="L1375">
        <v>1</v>
      </c>
    </row>
    <row r="1376" spans="1:12">
      <c r="A1376" t="s">
        <v>4002</v>
      </c>
      <c r="B1376" t="s">
        <v>4003</v>
      </c>
      <c r="C1376" t="s">
        <v>4004</v>
      </c>
      <c r="D1376" t="s">
        <v>23</v>
      </c>
      <c r="E1376" t="s">
        <v>28</v>
      </c>
      <c r="F1376" t="s">
        <v>17</v>
      </c>
      <c r="G1376" t="s">
        <v>37</v>
      </c>
      <c r="H1376" t="s">
        <v>31</v>
      </c>
      <c r="I1376">
        <v>5</v>
      </c>
      <c r="J1376">
        <v>24</v>
      </c>
      <c r="K1376">
        <v>20.92</v>
      </c>
      <c r="L1376">
        <v>1</v>
      </c>
    </row>
    <row r="1377" spans="1:12">
      <c r="A1377" t="s">
        <v>4005</v>
      </c>
      <c r="B1377" t="s">
        <v>4006</v>
      </c>
      <c r="C1377" t="s">
        <v>4007</v>
      </c>
      <c r="D1377" t="s">
        <v>23</v>
      </c>
      <c r="E1377" t="s">
        <v>54</v>
      </c>
      <c r="F1377" t="s">
        <v>41</v>
      </c>
      <c r="G1377" t="s">
        <v>172</v>
      </c>
      <c r="H1377" t="s">
        <v>31</v>
      </c>
      <c r="I1377">
        <v>5</v>
      </c>
      <c r="J1377">
        <v>24</v>
      </c>
      <c r="K1377">
        <v>11.63</v>
      </c>
      <c r="L1377">
        <v>1</v>
      </c>
    </row>
    <row r="1378" spans="1:12">
      <c r="A1378" t="s">
        <v>4008</v>
      </c>
      <c r="B1378" t="s">
        <v>4009</v>
      </c>
      <c r="C1378" t="s">
        <v>4010</v>
      </c>
      <c r="D1378" t="s">
        <v>23</v>
      </c>
      <c r="E1378" t="s">
        <v>28</v>
      </c>
      <c r="F1378" t="s">
        <v>29</v>
      </c>
      <c r="G1378" t="s">
        <v>50</v>
      </c>
      <c r="H1378" t="s">
        <v>31</v>
      </c>
      <c r="I1378">
        <v>5</v>
      </c>
      <c r="J1378">
        <v>24</v>
      </c>
      <c r="K1378">
        <v>9.18</v>
      </c>
      <c r="L1378">
        <v>1</v>
      </c>
    </row>
    <row r="1379" spans="1:12">
      <c r="A1379" t="s">
        <v>4011</v>
      </c>
      <c r="B1379" t="s">
        <v>4012</v>
      </c>
      <c r="C1379" t="s">
        <v>4013</v>
      </c>
      <c r="D1379" t="s">
        <v>158</v>
      </c>
      <c r="E1379" t="s">
        <v>24</v>
      </c>
      <c r="F1379" t="s">
        <v>41</v>
      </c>
      <c r="G1379" t="s">
        <v>55</v>
      </c>
      <c r="H1379" t="s">
        <v>19</v>
      </c>
      <c r="I1379">
        <v>4</v>
      </c>
      <c r="J1379">
        <v>4</v>
      </c>
      <c r="K1379">
        <v>2.5</v>
      </c>
      <c r="L1379">
        <v>1</v>
      </c>
    </row>
    <row r="1380" spans="1:12">
      <c r="A1380" t="s">
        <v>4014</v>
      </c>
      <c r="B1380" t="s">
        <v>4015</v>
      </c>
      <c r="C1380" t="s">
        <v>4016</v>
      </c>
      <c r="D1380" t="s">
        <v>35</v>
      </c>
      <c r="E1380" t="s">
        <v>16</v>
      </c>
      <c r="F1380" t="s">
        <v>36</v>
      </c>
      <c r="G1380" t="s">
        <v>50</v>
      </c>
      <c r="H1380" t="s">
        <v>19</v>
      </c>
      <c r="I1380">
        <v>4</v>
      </c>
      <c r="J1380">
        <v>48</v>
      </c>
      <c r="K1380">
        <v>642</v>
      </c>
      <c r="L1380">
        <v>0</v>
      </c>
    </row>
    <row r="1381" spans="1:12">
      <c r="A1381" t="s">
        <v>4017</v>
      </c>
      <c r="B1381" t="s">
        <v>4018</v>
      </c>
      <c r="C1381" t="s">
        <v>4019</v>
      </c>
      <c r="D1381" t="s">
        <v>23</v>
      </c>
      <c r="E1381" t="s">
        <v>54</v>
      </c>
      <c r="F1381" t="s">
        <v>36</v>
      </c>
      <c r="G1381" t="s">
        <v>45</v>
      </c>
      <c r="H1381" t="s">
        <v>31</v>
      </c>
      <c r="I1381">
        <v>5</v>
      </c>
      <c r="J1381">
        <v>24</v>
      </c>
      <c r="K1381">
        <v>18.61</v>
      </c>
      <c r="L1381">
        <v>1</v>
      </c>
    </row>
    <row r="1382" spans="1:12">
      <c r="A1382" t="s">
        <v>4020</v>
      </c>
      <c r="B1382" t="s">
        <v>4021</v>
      </c>
      <c r="C1382" t="s">
        <v>4022</v>
      </c>
      <c r="D1382" t="s">
        <v>35</v>
      </c>
      <c r="E1382" t="s">
        <v>28</v>
      </c>
      <c r="F1382" t="s">
        <v>41</v>
      </c>
      <c r="G1382" t="s">
        <v>105</v>
      </c>
      <c r="H1382" t="s">
        <v>19</v>
      </c>
      <c r="I1382">
        <v>5</v>
      </c>
      <c r="J1382">
        <v>48</v>
      </c>
      <c r="K1382">
        <v>34.979999999999997</v>
      </c>
      <c r="L1382">
        <v>1</v>
      </c>
    </row>
    <row r="1383" spans="1:12">
      <c r="A1383" t="s">
        <v>4023</v>
      </c>
      <c r="B1383" t="s">
        <v>4024</v>
      </c>
      <c r="C1383" t="s">
        <v>4025</v>
      </c>
      <c r="D1383" t="s">
        <v>15</v>
      </c>
      <c r="E1383" t="s">
        <v>54</v>
      </c>
      <c r="F1383" t="s">
        <v>41</v>
      </c>
      <c r="G1383" t="s">
        <v>73</v>
      </c>
      <c r="H1383" t="s">
        <v>31</v>
      </c>
      <c r="I1383">
        <v>4</v>
      </c>
      <c r="J1383">
        <v>8</v>
      </c>
      <c r="K1383">
        <v>5.89</v>
      </c>
      <c r="L1383">
        <v>1</v>
      </c>
    </row>
    <row r="1384" spans="1:12">
      <c r="A1384" t="s">
        <v>4026</v>
      </c>
      <c r="B1384" t="s">
        <v>4027</v>
      </c>
      <c r="C1384" t="s">
        <v>4028</v>
      </c>
      <c r="D1384" t="s">
        <v>35</v>
      </c>
      <c r="E1384" t="s">
        <v>24</v>
      </c>
      <c r="F1384" t="s">
        <v>41</v>
      </c>
      <c r="G1384" t="s">
        <v>50</v>
      </c>
      <c r="H1384" t="s">
        <v>19</v>
      </c>
      <c r="I1384">
        <v>5</v>
      </c>
      <c r="J1384">
        <v>48</v>
      </c>
      <c r="K1384">
        <v>24.68</v>
      </c>
      <c r="L1384">
        <v>1</v>
      </c>
    </row>
    <row r="1385" spans="1:12">
      <c r="A1385" t="s">
        <v>4029</v>
      </c>
      <c r="B1385" t="s">
        <v>4030</v>
      </c>
      <c r="D1385" t="s">
        <v>23</v>
      </c>
      <c r="E1385" t="s">
        <v>24</v>
      </c>
      <c r="F1385" t="s">
        <v>36</v>
      </c>
      <c r="G1385" t="s">
        <v>37</v>
      </c>
      <c r="H1385" t="s">
        <v>46</v>
      </c>
      <c r="J1385">
        <v>24</v>
      </c>
    </row>
    <row r="1386" spans="1:12">
      <c r="A1386" t="s">
        <v>4031</v>
      </c>
      <c r="B1386" t="s">
        <v>4032</v>
      </c>
      <c r="D1386" t="s">
        <v>35</v>
      </c>
      <c r="E1386" t="s">
        <v>54</v>
      </c>
      <c r="F1386" t="s">
        <v>60</v>
      </c>
      <c r="G1386" t="s">
        <v>172</v>
      </c>
      <c r="H1386" t="s">
        <v>63</v>
      </c>
      <c r="J1386">
        <v>48</v>
      </c>
    </row>
    <row r="1387" spans="1:12">
      <c r="A1387" t="s">
        <v>4033</v>
      </c>
      <c r="B1387" t="s">
        <v>4034</v>
      </c>
      <c r="C1387" t="s">
        <v>4035</v>
      </c>
      <c r="D1387" t="s">
        <v>23</v>
      </c>
      <c r="E1387" t="s">
        <v>16</v>
      </c>
      <c r="F1387" t="s">
        <v>29</v>
      </c>
      <c r="G1387" t="s">
        <v>77</v>
      </c>
      <c r="H1387" t="s">
        <v>31</v>
      </c>
      <c r="I1387">
        <v>4</v>
      </c>
      <c r="J1387">
        <v>24</v>
      </c>
      <c r="K1387">
        <v>6.7</v>
      </c>
      <c r="L1387">
        <v>1</v>
      </c>
    </row>
    <row r="1388" spans="1:12">
      <c r="A1388" t="s">
        <v>4036</v>
      </c>
      <c r="B1388" t="s">
        <v>4037</v>
      </c>
      <c r="C1388" t="s">
        <v>4038</v>
      </c>
      <c r="D1388" t="s">
        <v>23</v>
      </c>
      <c r="E1388" t="s">
        <v>16</v>
      </c>
      <c r="F1388" t="s">
        <v>17</v>
      </c>
      <c r="G1388" t="s">
        <v>73</v>
      </c>
      <c r="H1388" t="s">
        <v>19</v>
      </c>
      <c r="I1388">
        <v>2</v>
      </c>
      <c r="J1388">
        <v>24</v>
      </c>
      <c r="K1388">
        <v>25.66</v>
      </c>
      <c r="L1388">
        <v>0</v>
      </c>
    </row>
    <row r="1389" spans="1:12">
      <c r="A1389" t="s">
        <v>4039</v>
      </c>
      <c r="B1389" t="s">
        <v>4040</v>
      </c>
      <c r="C1389" t="s">
        <v>4041</v>
      </c>
      <c r="D1389" t="s">
        <v>23</v>
      </c>
      <c r="E1389" t="s">
        <v>59</v>
      </c>
      <c r="F1389" t="s">
        <v>36</v>
      </c>
      <c r="G1389" t="s">
        <v>45</v>
      </c>
      <c r="H1389" t="s">
        <v>31</v>
      </c>
      <c r="I1389">
        <v>4</v>
      </c>
      <c r="J1389">
        <v>24</v>
      </c>
      <c r="K1389">
        <v>4.3099999999999996</v>
      </c>
      <c r="L1389">
        <v>1</v>
      </c>
    </row>
    <row r="1390" spans="1:12">
      <c r="A1390" t="s">
        <v>4042</v>
      </c>
      <c r="B1390" t="s">
        <v>4043</v>
      </c>
      <c r="C1390" t="s">
        <v>4044</v>
      </c>
      <c r="D1390" t="s">
        <v>158</v>
      </c>
      <c r="E1390" t="s">
        <v>28</v>
      </c>
      <c r="F1390" t="s">
        <v>17</v>
      </c>
      <c r="G1390" t="s">
        <v>42</v>
      </c>
      <c r="H1390" t="s">
        <v>19</v>
      </c>
      <c r="I1390">
        <v>5</v>
      </c>
      <c r="J1390">
        <v>4</v>
      </c>
      <c r="K1390">
        <v>1.17</v>
      </c>
      <c r="L1390">
        <v>1</v>
      </c>
    </row>
    <row r="1391" spans="1:12">
      <c r="A1391" t="s">
        <v>4045</v>
      </c>
      <c r="B1391" t="s">
        <v>4046</v>
      </c>
      <c r="C1391" t="s">
        <v>4047</v>
      </c>
      <c r="D1391" t="s">
        <v>15</v>
      </c>
      <c r="E1391" t="s">
        <v>28</v>
      </c>
      <c r="F1391" t="s">
        <v>41</v>
      </c>
      <c r="G1391" t="s">
        <v>55</v>
      </c>
      <c r="H1391" t="s">
        <v>31</v>
      </c>
      <c r="I1391">
        <v>5</v>
      </c>
      <c r="J1391">
        <v>8</v>
      </c>
      <c r="K1391">
        <v>6.02</v>
      </c>
      <c r="L1391">
        <v>1</v>
      </c>
    </row>
    <row r="1392" spans="1:12">
      <c r="A1392" t="s">
        <v>4048</v>
      </c>
      <c r="B1392" t="s">
        <v>4049</v>
      </c>
      <c r="C1392" t="s">
        <v>4050</v>
      </c>
      <c r="D1392" t="s">
        <v>23</v>
      </c>
      <c r="E1392" t="s">
        <v>54</v>
      </c>
      <c r="F1392" t="s">
        <v>36</v>
      </c>
      <c r="G1392" t="s">
        <v>55</v>
      </c>
      <c r="H1392" t="s">
        <v>19</v>
      </c>
      <c r="I1392">
        <v>4</v>
      </c>
      <c r="J1392">
        <v>24</v>
      </c>
      <c r="K1392">
        <v>8.11</v>
      </c>
      <c r="L1392">
        <v>1</v>
      </c>
    </row>
    <row r="1393" spans="1:12">
      <c r="A1393" t="s">
        <v>4051</v>
      </c>
      <c r="B1393" t="s">
        <v>4052</v>
      </c>
      <c r="C1393" t="s">
        <v>4053</v>
      </c>
      <c r="D1393" t="s">
        <v>15</v>
      </c>
      <c r="E1393" t="s">
        <v>28</v>
      </c>
      <c r="F1393" t="s">
        <v>41</v>
      </c>
      <c r="G1393" t="s">
        <v>172</v>
      </c>
      <c r="H1393" t="s">
        <v>31</v>
      </c>
      <c r="I1393">
        <v>4</v>
      </c>
      <c r="J1393">
        <v>8</v>
      </c>
      <c r="K1393">
        <v>17.829999999999998</v>
      </c>
      <c r="L1393">
        <v>0</v>
      </c>
    </row>
    <row r="1394" spans="1:12">
      <c r="A1394" t="s">
        <v>4054</v>
      </c>
      <c r="B1394" t="s">
        <v>4055</v>
      </c>
      <c r="C1394" t="s">
        <v>4056</v>
      </c>
      <c r="D1394" t="s">
        <v>35</v>
      </c>
      <c r="E1394" t="s">
        <v>54</v>
      </c>
      <c r="F1394" t="s">
        <v>41</v>
      </c>
      <c r="G1394" t="s">
        <v>18</v>
      </c>
      <c r="H1394" t="s">
        <v>19</v>
      </c>
      <c r="I1394">
        <v>3</v>
      </c>
      <c r="J1394">
        <v>48</v>
      </c>
      <c r="K1394">
        <v>45.15</v>
      </c>
      <c r="L1394">
        <v>1</v>
      </c>
    </row>
    <row r="1395" spans="1:12">
      <c r="A1395" t="s">
        <v>4057</v>
      </c>
      <c r="B1395" t="s">
        <v>4058</v>
      </c>
      <c r="C1395" t="s">
        <v>4059</v>
      </c>
      <c r="D1395" t="s">
        <v>23</v>
      </c>
      <c r="E1395" t="s">
        <v>24</v>
      </c>
      <c r="F1395" t="s">
        <v>41</v>
      </c>
      <c r="G1395" t="s">
        <v>30</v>
      </c>
      <c r="H1395" t="s">
        <v>19</v>
      </c>
      <c r="I1395">
        <v>2</v>
      </c>
      <c r="J1395">
        <v>24</v>
      </c>
      <c r="K1395">
        <v>27.64</v>
      </c>
      <c r="L1395">
        <v>0</v>
      </c>
    </row>
    <row r="1396" spans="1:12">
      <c r="A1396" t="s">
        <v>4060</v>
      </c>
      <c r="B1396" t="s">
        <v>4061</v>
      </c>
      <c r="C1396" t="s">
        <v>4062</v>
      </c>
      <c r="D1396" t="s">
        <v>23</v>
      </c>
      <c r="E1396" t="s">
        <v>28</v>
      </c>
      <c r="F1396" t="s">
        <v>29</v>
      </c>
      <c r="G1396" t="s">
        <v>77</v>
      </c>
      <c r="H1396" t="s">
        <v>31</v>
      </c>
      <c r="I1396">
        <v>5</v>
      </c>
      <c r="J1396">
        <v>24</v>
      </c>
      <c r="K1396">
        <v>10.42</v>
      </c>
      <c r="L1396">
        <v>1</v>
      </c>
    </row>
    <row r="1397" spans="1:12">
      <c r="A1397" t="s">
        <v>4063</v>
      </c>
      <c r="B1397" t="s">
        <v>4064</v>
      </c>
      <c r="C1397" t="s">
        <v>4065</v>
      </c>
      <c r="D1397" t="s">
        <v>23</v>
      </c>
      <c r="E1397" t="s">
        <v>28</v>
      </c>
      <c r="F1397" t="s">
        <v>60</v>
      </c>
      <c r="G1397" t="s">
        <v>172</v>
      </c>
      <c r="H1397" t="s">
        <v>19</v>
      </c>
      <c r="I1397">
        <v>4</v>
      </c>
      <c r="J1397">
        <v>24</v>
      </c>
      <c r="K1397">
        <v>64.61</v>
      </c>
      <c r="L1397">
        <v>0</v>
      </c>
    </row>
    <row r="1398" spans="1:12">
      <c r="A1398" t="s">
        <v>4066</v>
      </c>
      <c r="B1398" t="s">
        <v>4067</v>
      </c>
      <c r="C1398" t="s">
        <v>4068</v>
      </c>
      <c r="D1398" t="s">
        <v>35</v>
      </c>
      <c r="E1398" t="s">
        <v>16</v>
      </c>
      <c r="F1398" t="s">
        <v>41</v>
      </c>
      <c r="G1398" t="s">
        <v>77</v>
      </c>
      <c r="H1398" t="s">
        <v>19</v>
      </c>
      <c r="I1398">
        <v>4</v>
      </c>
      <c r="J1398">
        <v>48</v>
      </c>
      <c r="K1398">
        <v>15.02</v>
      </c>
      <c r="L1398">
        <v>1</v>
      </c>
    </row>
    <row r="1399" spans="1:12">
      <c r="A1399" t="s">
        <v>4069</v>
      </c>
      <c r="B1399" t="s">
        <v>4070</v>
      </c>
      <c r="C1399" t="s">
        <v>4071</v>
      </c>
      <c r="D1399" t="s">
        <v>23</v>
      </c>
      <c r="E1399" t="s">
        <v>28</v>
      </c>
      <c r="F1399" t="s">
        <v>36</v>
      </c>
      <c r="G1399" t="s">
        <v>172</v>
      </c>
      <c r="H1399" t="s">
        <v>31</v>
      </c>
      <c r="I1399">
        <v>4</v>
      </c>
      <c r="J1399">
        <v>24</v>
      </c>
      <c r="K1399">
        <v>9.4600000000000009</v>
      </c>
      <c r="L1399">
        <v>1</v>
      </c>
    </row>
    <row r="1400" spans="1:12">
      <c r="A1400" t="s">
        <v>4072</v>
      </c>
      <c r="B1400" t="s">
        <v>4073</v>
      </c>
      <c r="C1400" t="s">
        <v>4074</v>
      </c>
      <c r="D1400" t="s">
        <v>23</v>
      </c>
      <c r="E1400" t="s">
        <v>59</v>
      </c>
      <c r="F1400" t="s">
        <v>17</v>
      </c>
      <c r="G1400" t="s">
        <v>37</v>
      </c>
      <c r="H1400" t="s">
        <v>19</v>
      </c>
      <c r="I1400">
        <v>1</v>
      </c>
      <c r="J1400">
        <v>24</v>
      </c>
      <c r="K1400">
        <v>71.790000000000006</v>
      </c>
      <c r="L1400">
        <v>0</v>
      </c>
    </row>
    <row r="1401" spans="1:12">
      <c r="A1401" t="s">
        <v>4075</v>
      </c>
      <c r="B1401" t="s">
        <v>4076</v>
      </c>
      <c r="C1401" t="s">
        <v>4077</v>
      </c>
      <c r="D1401" t="s">
        <v>23</v>
      </c>
      <c r="E1401" t="s">
        <v>24</v>
      </c>
      <c r="F1401" t="s">
        <v>29</v>
      </c>
      <c r="G1401" t="s">
        <v>172</v>
      </c>
      <c r="H1401" t="s">
        <v>19</v>
      </c>
      <c r="I1401">
        <v>5</v>
      </c>
      <c r="J1401">
        <v>24</v>
      </c>
      <c r="K1401">
        <v>7.58</v>
      </c>
      <c r="L1401">
        <v>1</v>
      </c>
    </row>
    <row r="1402" spans="1:12">
      <c r="A1402" t="s">
        <v>4078</v>
      </c>
      <c r="B1402" t="s">
        <v>4079</v>
      </c>
      <c r="C1402" t="s">
        <v>4080</v>
      </c>
      <c r="D1402" t="s">
        <v>15</v>
      </c>
      <c r="E1402" t="s">
        <v>54</v>
      </c>
      <c r="F1402" t="s">
        <v>41</v>
      </c>
      <c r="G1402" t="s">
        <v>37</v>
      </c>
      <c r="H1402" t="s">
        <v>19</v>
      </c>
      <c r="I1402">
        <v>5</v>
      </c>
      <c r="J1402">
        <v>8</v>
      </c>
      <c r="K1402">
        <v>2.52</v>
      </c>
      <c r="L1402">
        <v>1</v>
      </c>
    </row>
    <row r="1403" spans="1:12">
      <c r="A1403" t="s">
        <v>4081</v>
      </c>
      <c r="B1403" t="s">
        <v>4082</v>
      </c>
      <c r="C1403" t="s">
        <v>4083</v>
      </c>
      <c r="D1403" t="s">
        <v>35</v>
      </c>
      <c r="E1403" t="s">
        <v>16</v>
      </c>
      <c r="F1403" t="s">
        <v>41</v>
      </c>
      <c r="G1403" t="s">
        <v>55</v>
      </c>
      <c r="H1403" t="s">
        <v>31</v>
      </c>
      <c r="I1403">
        <v>5</v>
      </c>
      <c r="J1403">
        <v>48</v>
      </c>
      <c r="K1403">
        <v>24.12</v>
      </c>
      <c r="L1403">
        <v>1</v>
      </c>
    </row>
    <row r="1404" spans="1:12">
      <c r="A1404" t="s">
        <v>4084</v>
      </c>
      <c r="B1404" t="s">
        <v>4085</v>
      </c>
      <c r="C1404" t="s">
        <v>4086</v>
      </c>
      <c r="D1404" t="s">
        <v>23</v>
      </c>
      <c r="E1404" t="s">
        <v>24</v>
      </c>
      <c r="F1404" t="s">
        <v>29</v>
      </c>
      <c r="G1404" t="s">
        <v>30</v>
      </c>
      <c r="H1404" t="s">
        <v>31</v>
      </c>
      <c r="I1404">
        <v>4</v>
      </c>
      <c r="J1404">
        <v>24</v>
      </c>
      <c r="K1404">
        <v>16.8</v>
      </c>
      <c r="L1404">
        <v>1</v>
      </c>
    </row>
    <row r="1405" spans="1:12">
      <c r="A1405" t="s">
        <v>4087</v>
      </c>
      <c r="B1405" t="s">
        <v>4088</v>
      </c>
      <c r="C1405" t="s">
        <v>4089</v>
      </c>
      <c r="D1405" t="s">
        <v>15</v>
      </c>
      <c r="E1405" t="s">
        <v>28</v>
      </c>
      <c r="F1405" t="s">
        <v>36</v>
      </c>
      <c r="G1405" t="s">
        <v>30</v>
      </c>
      <c r="H1405" t="s">
        <v>19</v>
      </c>
      <c r="I1405">
        <v>5</v>
      </c>
      <c r="J1405">
        <v>8</v>
      </c>
      <c r="K1405">
        <v>2.94</v>
      </c>
      <c r="L1405">
        <v>1</v>
      </c>
    </row>
    <row r="1406" spans="1:12">
      <c r="A1406" t="s">
        <v>4090</v>
      </c>
      <c r="B1406" t="s">
        <v>4091</v>
      </c>
      <c r="C1406" t="s">
        <v>4092</v>
      </c>
      <c r="D1406" t="s">
        <v>35</v>
      </c>
      <c r="E1406" t="s">
        <v>24</v>
      </c>
      <c r="F1406" t="s">
        <v>60</v>
      </c>
      <c r="G1406" t="s">
        <v>105</v>
      </c>
      <c r="H1406" t="s">
        <v>19</v>
      </c>
      <c r="I1406">
        <v>2</v>
      </c>
      <c r="J1406">
        <v>48</v>
      </c>
      <c r="K1406">
        <v>129.79</v>
      </c>
      <c r="L1406">
        <v>0</v>
      </c>
    </row>
    <row r="1407" spans="1:12">
      <c r="A1407" t="s">
        <v>4093</v>
      </c>
      <c r="B1407" t="s">
        <v>4094</v>
      </c>
      <c r="C1407" t="s">
        <v>4095</v>
      </c>
      <c r="D1407" t="s">
        <v>15</v>
      </c>
      <c r="E1407" t="s">
        <v>59</v>
      </c>
      <c r="F1407" t="s">
        <v>29</v>
      </c>
      <c r="G1407" t="s">
        <v>77</v>
      </c>
      <c r="H1407" t="s">
        <v>19</v>
      </c>
      <c r="I1407">
        <v>5</v>
      </c>
      <c r="J1407">
        <v>8</v>
      </c>
      <c r="K1407">
        <v>3.63</v>
      </c>
      <c r="L1407">
        <v>1</v>
      </c>
    </row>
    <row r="1408" spans="1:12">
      <c r="A1408" t="s">
        <v>4096</v>
      </c>
      <c r="B1408" t="s">
        <v>4097</v>
      </c>
      <c r="C1408" t="s">
        <v>4098</v>
      </c>
      <c r="D1408" t="s">
        <v>158</v>
      </c>
      <c r="E1408" t="s">
        <v>54</v>
      </c>
      <c r="F1408" t="s">
        <v>60</v>
      </c>
      <c r="G1408" t="s">
        <v>73</v>
      </c>
      <c r="H1408" t="s">
        <v>31</v>
      </c>
      <c r="I1408">
        <v>4</v>
      </c>
      <c r="J1408">
        <v>4</v>
      </c>
      <c r="K1408">
        <v>1.91</v>
      </c>
      <c r="L1408">
        <v>1</v>
      </c>
    </row>
    <row r="1409" spans="1:12">
      <c r="A1409" t="s">
        <v>4099</v>
      </c>
      <c r="B1409" t="s">
        <v>4100</v>
      </c>
      <c r="C1409" t="s">
        <v>4101</v>
      </c>
      <c r="D1409" t="s">
        <v>23</v>
      </c>
      <c r="E1409" t="s">
        <v>28</v>
      </c>
      <c r="F1409" t="s">
        <v>36</v>
      </c>
      <c r="G1409" t="s">
        <v>45</v>
      </c>
      <c r="H1409" t="s">
        <v>19</v>
      </c>
      <c r="I1409">
        <v>5</v>
      </c>
      <c r="J1409">
        <v>24</v>
      </c>
      <c r="K1409">
        <v>9.3699999999999992</v>
      </c>
      <c r="L1409">
        <v>1</v>
      </c>
    </row>
    <row r="1410" spans="1:12">
      <c r="A1410" t="s">
        <v>4102</v>
      </c>
      <c r="B1410" t="s">
        <v>4103</v>
      </c>
      <c r="D1410" t="s">
        <v>158</v>
      </c>
      <c r="E1410" t="s">
        <v>59</v>
      </c>
      <c r="F1410" t="s">
        <v>36</v>
      </c>
      <c r="G1410" t="s">
        <v>42</v>
      </c>
      <c r="H1410" t="s">
        <v>63</v>
      </c>
      <c r="J1410">
        <v>4</v>
      </c>
    </row>
    <row r="1411" spans="1:12">
      <c r="A1411" t="s">
        <v>4104</v>
      </c>
      <c r="B1411" t="s">
        <v>4105</v>
      </c>
      <c r="D1411" t="s">
        <v>23</v>
      </c>
      <c r="E1411" t="s">
        <v>24</v>
      </c>
      <c r="F1411" t="s">
        <v>60</v>
      </c>
      <c r="G1411" t="s">
        <v>151</v>
      </c>
      <c r="H1411" t="s">
        <v>46</v>
      </c>
      <c r="J1411">
        <v>24</v>
      </c>
    </row>
    <row r="1412" spans="1:12">
      <c r="A1412" t="s">
        <v>4106</v>
      </c>
      <c r="B1412" t="s">
        <v>4107</v>
      </c>
      <c r="C1412" t="s">
        <v>4108</v>
      </c>
      <c r="D1412" t="s">
        <v>15</v>
      </c>
      <c r="E1412" t="s">
        <v>24</v>
      </c>
      <c r="F1412" t="s">
        <v>29</v>
      </c>
      <c r="G1412" t="s">
        <v>50</v>
      </c>
      <c r="H1412" t="s">
        <v>19</v>
      </c>
      <c r="I1412">
        <v>5</v>
      </c>
      <c r="J1412">
        <v>8</v>
      </c>
      <c r="K1412">
        <v>2.48</v>
      </c>
      <c r="L1412">
        <v>1</v>
      </c>
    </row>
    <row r="1413" spans="1:12">
      <c r="A1413" t="s">
        <v>4109</v>
      </c>
      <c r="B1413" t="s">
        <v>4110</v>
      </c>
      <c r="C1413" t="s">
        <v>4111</v>
      </c>
      <c r="D1413" t="s">
        <v>35</v>
      </c>
      <c r="E1413" t="s">
        <v>16</v>
      </c>
      <c r="F1413" t="s">
        <v>17</v>
      </c>
      <c r="G1413" t="s">
        <v>45</v>
      </c>
      <c r="H1413" t="s">
        <v>19</v>
      </c>
      <c r="I1413">
        <v>4</v>
      </c>
      <c r="J1413">
        <v>48</v>
      </c>
      <c r="K1413">
        <v>12.06</v>
      </c>
      <c r="L1413">
        <v>1</v>
      </c>
    </row>
    <row r="1414" spans="1:12">
      <c r="A1414" t="s">
        <v>4112</v>
      </c>
      <c r="B1414" t="s">
        <v>4113</v>
      </c>
      <c r="C1414" t="s">
        <v>4114</v>
      </c>
      <c r="D1414" t="s">
        <v>23</v>
      </c>
      <c r="E1414" t="s">
        <v>16</v>
      </c>
      <c r="F1414" t="s">
        <v>29</v>
      </c>
      <c r="G1414" t="s">
        <v>18</v>
      </c>
      <c r="H1414" t="s">
        <v>19</v>
      </c>
      <c r="I1414">
        <v>4</v>
      </c>
      <c r="J1414">
        <v>24</v>
      </c>
      <c r="K1414">
        <v>16.63</v>
      </c>
      <c r="L1414">
        <v>1</v>
      </c>
    </row>
    <row r="1415" spans="1:12">
      <c r="A1415" t="s">
        <v>4115</v>
      </c>
      <c r="B1415" t="s">
        <v>4116</v>
      </c>
      <c r="C1415" t="s">
        <v>4117</v>
      </c>
      <c r="D1415" t="s">
        <v>23</v>
      </c>
      <c r="E1415" t="s">
        <v>28</v>
      </c>
      <c r="F1415" t="s">
        <v>60</v>
      </c>
      <c r="G1415" t="s">
        <v>50</v>
      </c>
      <c r="H1415" t="s">
        <v>31</v>
      </c>
      <c r="I1415">
        <v>5</v>
      </c>
      <c r="J1415">
        <v>24</v>
      </c>
      <c r="K1415">
        <v>5.88</v>
      </c>
      <c r="L1415">
        <v>1</v>
      </c>
    </row>
    <row r="1416" spans="1:12">
      <c r="A1416" t="s">
        <v>4118</v>
      </c>
      <c r="B1416" t="s">
        <v>4119</v>
      </c>
      <c r="C1416" t="s">
        <v>4120</v>
      </c>
      <c r="D1416" t="s">
        <v>23</v>
      </c>
      <c r="E1416" t="s">
        <v>28</v>
      </c>
      <c r="F1416" t="s">
        <v>17</v>
      </c>
      <c r="G1416" t="s">
        <v>105</v>
      </c>
      <c r="H1416" t="s">
        <v>19</v>
      </c>
      <c r="I1416">
        <v>4</v>
      </c>
      <c r="J1416">
        <v>24</v>
      </c>
      <c r="K1416">
        <v>16.309999999999999</v>
      </c>
      <c r="L1416">
        <v>1</v>
      </c>
    </row>
    <row r="1417" spans="1:12">
      <c r="A1417" t="s">
        <v>4121</v>
      </c>
      <c r="B1417" t="s">
        <v>4122</v>
      </c>
      <c r="C1417" t="s">
        <v>4123</v>
      </c>
      <c r="D1417" t="s">
        <v>23</v>
      </c>
      <c r="E1417" t="s">
        <v>28</v>
      </c>
      <c r="F1417" t="s">
        <v>29</v>
      </c>
      <c r="G1417" t="s">
        <v>42</v>
      </c>
      <c r="H1417" t="s">
        <v>19</v>
      </c>
      <c r="I1417">
        <v>4</v>
      </c>
      <c r="J1417">
        <v>24</v>
      </c>
      <c r="K1417">
        <v>6.85</v>
      </c>
      <c r="L1417">
        <v>1</v>
      </c>
    </row>
    <row r="1418" spans="1:12">
      <c r="A1418" t="s">
        <v>4124</v>
      </c>
      <c r="B1418" t="s">
        <v>4125</v>
      </c>
      <c r="C1418" t="s">
        <v>4126</v>
      </c>
      <c r="D1418" t="s">
        <v>15</v>
      </c>
      <c r="E1418" t="s">
        <v>54</v>
      </c>
      <c r="F1418" t="s">
        <v>17</v>
      </c>
      <c r="G1418" t="s">
        <v>50</v>
      </c>
      <c r="H1418" t="s">
        <v>19</v>
      </c>
      <c r="I1418">
        <v>4</v>
      </c>
      <c r="J1418">
        <v>8</v>
      </c>
      <c r="K1418">
        <v>3.33</v>
      </c>
      <c r="L1418">
        <v>1</v>
      </c>
    </row>
    <row r="1419" spans="1:12">
      <c r="A1419" t="s">
        <v>4127</v>
      </c>
      <c r="B1419" t="s">
        <v>4128</v>
      </c>
      <c r="C1419" t="s">
        <v>4129</v>
      </c>
      <c r="D1419" t="s">
        <v>35</v>
      </c>
      <c r="E1419" t="s">
        <v>59</v>
      </c>
      <c r="F1419" t="s">
        <v>36</v>
      </c>
      <c r="G1419" t="s">
        <v>151</v>
      </c>
      <c r="H1419" t="s">
        <v>19</v>
      </c>
      <c r="I1419">
        <v>2</v>
      </c>
      <c r="J1419">
        <v>48</v>
      </c>
      <c r="K1419">
        <v>65.260000000000005</v>
      </c>
      <c r="L1419">
        <v>0</v>
      </c>
    </row>
    <row r="1420" spans="1:12">
      <c r="A1420" t="s">
        <v>4130</v>
      </c>
      <c r="B1420" t="s">
        <v>4131</v>
      </c>
      <c r="C1420" t="s">
        <v>4132</v>
      </c>
      <c r="D1420" t="s">
        <v>23</v>
      </c>
      <c r="E1420" t="s">
        <v>24</v>
      </c>
      <c r="F1420" t="s">
        <v>29</v>
      </c>
      <c r="G1420" t="s">
        <v>45</v>
      </c>
      <c r="H1420" t="s">
        <v>19</v>
      </c>
      <c r="I1420">
        <v>4</v>
      </c>
      <c r="J1420">
        <v>24</v>
      </c>
      <c r="K1420">
        <v>17.739999999999998</v>
      </c>
      <c r="L1420">
        <v>1</v>
      </c>
    </row>
    <row r="1421" spans="1:12">
      <c r="A1421" t="s">
        <v>4133</v>
      </c>
      <c r="B1421" t="s">
        <v>4134</v>
      </c>
      <c r="C1421" t="s">
        <v>4135</v>
      </c>
      <c r="D1421" t="s">
        <v>23</v>
      </c>
      <c r="E1421" t="s">
        <v>28</v>
      </c>
      <c r="F1421" t="s">
        <v>41</v>
      </c>
      <c r="G1421" t="s">
        <v>105</v>
      </c>
      <c r="H1421" t="s">
        <v>19</v>
      </c>
      <c r="I1421">
        <v>2</v>
      </c>
      <c r="J1421">
        <v>24</v>
      </c>
      <c r="K1421">
        <v>37.020000000000003</v>
      </c>
      <c r="L1421">
        <v>0</v>
      </c>
    </row>
    <row r="1422" spans="1:12">
      <c r="A1422" t="s">
        <v>4136</v>
      </c>
      <c r="B1422" t="s">
        <v>4137</v>
      </c>
      <c r="C1422" t="s">
        <v>4138</v>
      </c>
      <c r="D1422" t="s">
        <v>23</v>
      </c>
      <c r="E1422" t="s">
        <v>28</v>
      </c>
      <c r="F1422" t="s">
        <v>36</v>
      </c>
      <c r="G1422" t="s">
        <v>18</v>
      </c>
      <c r="H1422" t="s">
        <v>31</v>
      </c>
      <c r="I1422">
        <v>2</v>
      </c>
      <c r="J1422">
        <v>24</v>
      </c>
      <c r="K1422">
        <v>48.93</v>
      </c>
      <c r="L1422">
        <v>0</v>
      </c>
    </row>
    <row r="1423" spans="1:12">
      <c r="A1423" t="s">
        <v>4139</v>
      </c>
      <c r="B1423" t="s">
        <v>4140</v>
      </c>
      <c r="C1423" t="s">
        <v>4141</v>
      </c>
      <c r="D1423" t="s">
        <v>15</v>
      </c>
      <c r="E1423" t="s">
        <v>54</v>
      </c>
      <c r="F1423" t="s">
        <v>60</v>
      </c>
      <c r="G1423" t="s">
        <v>30</v>
      </c>
      <c r="H1423" t="s">
        <v>19</v>
      </c>
      <c r="I1423">
        <v>5</v>
      </c>
      <c r="J1423">
        <v>8</v>
      </c>
      <c r="K1423">
        <v>2.84</v>
      </c>
      <c r="L1423">
        <v>1</v>
      </c>
    </row>
    <row r="1424" spans="1:12">
      <c r="A1424" t="s">
        <v>4142</v>
      </c>
      <c r="B1424" t="s">
        <v>4143</v>
      </c>
      <c r="C1424" t="s">
        <v>4144</v>
      </c>
      <c r="D1424" t="s">
        <v>35</v>
      </c>
      <c r="E1424" t="s">
        <v>24</v>
      </c>
      <c r="F1424" t="s">
        <v>60</v>
      </c>
      <c r="G1424" t="s">
        <v>73</v>
      </c>
      <c r="H1424" t="s">
        <v>19</v>
      </c>
      <c r="I1424">
        <v>5</v>
      </c>
      <c r="J1424">
        <v>48</v>
      </c>
      <c r="K1424">
        <v>43.96</v>
      </c>
      <c r="L1424">
        <v>1</v>
      </c>
    </row>
    <row r="1425" spans="1:12">
      <c r="A1425" t="s">
        <v>4145</v>
      </c>
      <c r="B1425" t="s">
        <v>4146</v>
      </c>
      <c r="C1425" t="s">
        <v>4147</v>
      </c>
      <c r="D1425" t="s">
        <v>23</v>
      </c>
      <c r="E1425" t="s">
        <v>24</v>
      </c>
      <c r="F1425" t="s">
        <v>29</v>
      </c>
      <c r="G1425" t="s">
        <v>50</v>
      </c>
      <c r="H1425" t="s">
        <v>19</v>
      </c>
      <c r="I1425">
        <v>4</v>
      </c>
      <c r="J1425">
        <v>24</v>
      </c>
      <c r="K1425">
        <v>15.84</v>
      </c>
      <c r="L1425">
        <v>1</v>
      </c>
    </row>
    <row r="1426" spans="1:12">
      <c r="A1426" t="s">
        <v>4148</v>
      </c>
      <c r="B1426" t="s">
        <v>4149</v>
      </c>
      <c r="C1426" t="s">
        <v>4150</v>
      </c>
      <c r="D1426" t="s">
        <v>15</v>
      </c>
      <c r="E1426" t="s">
        <v>24</v>
      </c>
      <c r="F1426" t="s">
        <v>17</v>
      </c>
      <c r="G1426" t="s">
        <v>18</v>
      </c>
      <c r="H1426" t="s">
        <v>19</v>
      </c>
      <c r="I1426">
        <v>5</v>
      </c>
      <c r="J1426">
        <v>8</v>
      </c>
      <c r="K1426">
        <v>1.85</v>
      </c>
      <c r="L1426">
        <v>1</v>
      </c>
    </row>
    <row r="1427" spans="1:12">
      <c r="A1427" t="s">
        <v>4151</v>
      </c>
      <c r="B1427" t="s">
        <v>4152</v>
      </c>
      <c r="C1427" t="s">
        <v>4153</v>
      </c>
      <c r="D1427" t="s">
        <v>23</v>
      </c>
      <c r="E1427" t="s">
        <v>28</v>
      </c>
      <c r="F1427" t="s">
        <v>29</v>
      </c>
      <c r="G1427" t="s">
        <v>42</v>
      </c>
      <c r="H1427" t="s">
        <v>19</v>
      </c>
      <c r="I1427">
        <v>5</v>
      </c>
      <c r="J1427">
        <v>24</v>
      </c>
      <c r="K1427">
        <v>16.66</v>
      </c>
      <c r="L1427">
        <v>1</v>
      </c>
    </row>
    <row r="1428" spans="1:12">
      <c r="A1428" t="s">
        <v>4154</v>
      </c>
      <c r="B1428" t="s">
        <v>4155</v>
      </c>
      <c r="C1428" t="s">
        <v>4156</v>
      </c>
      <c r="D1428" t="s">
        <v>23</v>
      </c>
      <c r="E1428" t="s">
        <v>28</v>
      </c>
      <c r="F1428" t="s">
        <v>17</v>
      </c>
      <c r="G1428" t="s">
        <v>42</v>
      </c>
      <c r="H1428" t="s">
        <v>19</v>
      </c>
      <c r="I1428">
        <v>4</v>
      </c>
      <c r="J1428">
        <v>24</v>
      </c>
      <c r="K1428">
        <v>21.48</v>
      </c>
      <c r="L1428">
        <v>1</v>
      </c>
    </row>
    <row r="1429" spans="1:12">
      <c r="A1429" t="s">
        <v>4157</v>
      </c>
      <c r="B1429" t="s">
        <v>4158</v>
      </c>
      <c r="C1429" t="s">
        <v>4159</v>
      </c>
      <c r="D1429" t="s">
        <v>35</v>
      </c>
      <c r="E1429" t="s">
        <v>16</v>
      </c>
      <c r="F1429" t="s">
        <v>41</v>
      </c>
      <c r="G1429" t="s">
        <v>55</v>
      </c>
      <c r="H1429" t="s">
        <v>19</v>
      </c>
      <c r="I1429">
        <v>5</v>
      </c>
      <c r="J1429">
        <v>48</v>
      </c>
      <c r="K1429">
        <v>24.72</v>
      </c>
      <c r="L1429">
        <v>1</v>
      </c>
    </row>
    <row r="1430" spans="1:12">
      <c r="A1430" t="s">
        <v>4160</v>
      </c>
      <c r="B1430" t="s">
        <v>4161</v>
      </c>
      <c r="C1430" t="s">
        <v>4162</v>
      </c>
      <c r="D1430" t="s">
        <v>158</v>
      </c>
      <c r="E1430" t="s">
        <v>16</v>
      </c>
      <c r="F1430" t="s">
        <v>17</v>
      </c>
      <c r="G1430" t="s">
        <v>18</v>
      </c>
      <c r="H1430" t="s">
        <v>19</v>
      </c>
      <c r="I1430">
        <v>5</v>
      </c>
      <c r="J1430">
        <v>4</v>
      </c>
      <c r="K1430">
        <v>3.2</v>
      </c>
      <c r="L1430">
        <v>1</v>
      </c>
    </row>
    <row r="1431" spans="1:12">
      <c r="A1431" t="s">
        <v>4163</v>
      </c>
      <c r="B1431" t="s">
        <v>4164</v>
      </c>
      <c r="C1431" t="s">
        <v>4165</v>
      </c>
      <c r="D1431" t="s">
        <v>23</v>
      </c>
      <c r="E1431" t="s">
        <v>24</v>
      </c>
      <c r="F1431" t="s">
        <v>17</v>
      </c>
      <c r="G1431" t="s">
        <v>73</v>
      </c>
      <c r="H1431" t="s">
        <v>19</v>
      </c>
      <c r="I1431">
        <v>3</v>
      </c>
      <c r="J1431">
        <v>24</v>
      </c>
      <c r="K1431">
        <v>8.56</v>
      </c>
      <c r="L1431">
        <v>1</v>
      </c>
    </row>
    <row r="1432" spans="1:12">
      <c r="A1432" t="s">
        <v>4166</v>
      </c>
      <c r="B1432" t="s">
        <v>4167</v>
      </c>
      <c r="C1432" t="s">
        <v>4168</v>
      </c>
      <c r="D1432" t="s">
        <v>23</v>
      </c>
      <c r="E1432" t="s">
        <v>28</v>
      </c>
      <c r="F1432" t="s">
        <v>29</v>
      </c>
      <c r="G1432" t="s">
        <v>45</v>
      </c>
      <c r="H1432" t="s">
        <v>19</v>
      </c>
      <c r="I1432">
        <v>4</v>
      </c>
      <c r="J1432">
        <v>24</v>
      </c>
      <c r="K1432">
        <v>26.83</v>
      </c>
      <c r="L1432">
        <v>0</v>
      </c>
    </row>
    <row r="1433" spans="1:12">
      <c r="A1433" t="s">
        <v>4169</v>
      </c>
      <c r="B1433" t="s">
        <v>4170</v>
      </c>
      <c r="C1433" t="s">
        <v>4171</v>
      </c>
      <c r="D1433" t="s">
        <v>15</v>
      </c>
      <c r="E1433" t="s">
        <v>28</v>
      </c>
      <c r="F1433" t="s">
        <v>60</v>
      </c>
      <c r="G1433" t="s">
        <v>42</v>
      </c>
      <c r="H1433" t="s">
        <v>19</v>
      </c>
      <c r="I1433">
        <v>4</v>
      </c>
      <c r="J1433">
        <v>8</v>
      </c>
      <c r="K1433">
        <v>5.46</v>
      </c>
      <c r="L1433">
        <v>1</v>
      </c>
    </row>
    <row r="1434" spans="1:12">
      <c r="A1434" t="s">
        <v>4172</v>
      </c>
      <c r="B1434" t="s">
        <v>4173</v>
      </c>
      <c r="C1434" t="s">
        <v>4174</v>
      </c>
      <c r="D1434" t="s">
        <v>23</v>
      </c>
      <c r="E1434" t="s">
        <v>16</v>
      </c>
      <c r="F1434" t="s">
        <v>17</v>
      </c>
      <c r="G1434" t="s">
        <v>172</v>
      </c>
      <c r="H1434" t="s">
        <v>19</v>
      </c>
      <c r="I1434">
        <v>3</v>
      </c>
      <c r="J1434">
        <v>24</v>
      </c>
      <c r="K1434">
        <v>16.399999999999999</v>
      </c>
      <c r="L1434">
        <v>1</v>
      </c>
    </row>
    <row r="1435" spans="1:12">
      <c r="A1435" t="s">
        <v>4175</v>
      </c>
      <c r="B1435" t="s">
        <v>4176</v>
      </c>
      <c r="C1435" t="s">
        <v>4177</v>
      </c>
      <c r="D1435" t="s">
        <v>35</v>
      </c>
      <c r="E1435" t="s">
        <v>28</v>
      </c>
      <c r="F1435" t="s">
        <v>36</v>
      </c>
      <c r="G1435" t="s">
        <v>45</v>
      </c>
      <c r="H1435" t="s">
        <v>19</v>
      </c>
      <c r="I1435">
        <v>5</v>
      </c>
      <c r="J1435">
        <v>48</v>
      </c>
      <c r="K1435">
        <v>9.5299999999999994</v>
      </c>
      <c r="L1435">
        <v>1</v>
      </c>
    </row>
    <row r="1436" spans="1:12">
      <c r="A1436" t="s">
        <v>4178</v>
      </c>
      <c r="B1436" t="s">
        <v>4179</v>
      </c>
      <c r="C1436" t="s">
        <v>4180</v>
      </c>
      <c r="D1436" t="s">
        <v>23</v>
      </c>
      <c r="E1436" t="s">
        <v>28</v>
      </c>
      <c r="F1436" t="s">
        <v>41</v>
      </c>
      <c r="G1436" t="s">
        <v>105</v>
      </c>
      <c r="H1436" t="s">
        <v>19</v>
      </c>
      <c r="I1436">
        <v>5</v>
      </c>
      <c r="J1436">
        <v>24</v>
      </c>
      <c r="K1436">
        <v>9.84</v>
      </c>
      <c r="L1436">
        <v>1</v>
      </c>
    </row>
    <row r="1437" spans="1:12">
      <c r="A1437" t="s">
        <v>4181</v>
      </c>
      <c r="B1437" t="s">
        <v>4182</v>
      </c>
      <c r="C1437" t="s">
        <v>4183</v>
      </c>
      <c r="D1437" t="s">
        <v>23</v>
      </c>
      <c r="E1437" t="s">
        <v>28</v>
      </c>
      <c r="F1437" t="s">
        <v>36</v>
      </c>
      <c r="G1437" t="s">
        <v>73</v>
      </c>
      <c r="H1437" t="s">
        <v>19</v>
      </c>
      <c r="I1437">
        <v>1</v>
      </c>
      <c r="J1437">
        <v>24</v>
      </c>
      <c r="K1437">
        <v>58.31</v>
      </c>
      <c r="L1437">
        <v>0</v>
      </c>
    </row>
    <row r="1438" spans="1:12">
      <c r="A1438" t="s">
        <v>4184</v>
      </c>
      <c r="B1438" t="s">
        <v>4185</v>
      </c>
      <c r="C1438" t="s">
        <v>4186</v>
      </c>
      <c r="D1438" t="s">
        <v>35</v>
      </c>
      <c r="E1438" t="s">
        <v>16</v>
      </c>
      <c r="F1438" t="s">
        <v>41</v>
      </c>
      <c r="G1438" t="s">
        <v>37</v>
      </c>
      <c r="H1438" t="s">
        <v>19</v>
      </c>
      <c r="I1438">
        <v>4</v>
      </c>
      <c r="J1438">
        <v>48</v>
      </c>
      <c r="K1438">
        <v>9.76</v>
      </c>
      <c r="L1438">
        <v>1</v>
      </c>
    </row>
    <row r="1439" spans="1:12">
      <c r="A1439" t="s">
        <v>4187</v>
      </c>
      <c r="B1439" t="s">
        <v>4188</v>
      </c>
      <c r="C1439" t="s">
        <v>4189</v>
      </c>
      <c r="D1439" t="s">
        <v>158</v>
      </c>
      <c r="E1439" t="s">
        <v>54</v>
      </c>
      <c r="F1439" t="s">
        <v>29</v>
      </c>
      <c r="G1439" t="s">
        <v>45</v>
      </c>
      <c r="H1439" t="s">
        <v>19</v>
      </c>
      <c r="I1439">
        <v>3</v>
      </c>
      <c r="J1439">
        <v>4</v>
      </c>
      <c r="K1439">
        <v>3.01</v>
      </c>
      <c r="L1439">
        <v>1</v>
      </c>
    </row>
    <row r="1440" spans="1:12">
      <c r="A1440" t="s">
        <v>4190</v>
      </c>
      <c r="B1440" t="s">
        <v>4191</v>
      </c>
      <c r="C1440" t="s">
        <v>4192</v>
      </c>
      <c r="D1440" t="s">
        <v>15</v>
      </c>
      <c r="E1440" t="s">
        <v>28</v>
      </c>
      <c r="F1440" t="s">
        <v>36</v>
      </c>
      <c r="G1440" t="s">
        <v>50</v>
      </c>
      <c r="H1440" t="s">
        <v>19</v>
      </c>
      <c r="I1440">
        <v>4</v>
      </c>
      <c r="J1440">
        <v>8</v>
      </c>
      <c r="K1440">
        <v>4.8499999999999996</v>
      </c>
      <c r="L1440">
        <v>1</v>
      </c>
    </row>
    <row r="1441" spans="1:12">
      <c r="A1441" t="s">
        <v>4193</v>
      </c>
      <c r="B1441" t="s">
        <v>4194</v>
      </c>
      <c r="C1441" t="s">
        <v>4195</v>
      </c>
      <c r="D1441" t="s">
        <v>23</v>
      </c>
      <c r="E1441" t="s">
        <v>28</v>
      </c>
      <c r="F1441" t="s">
        <v>17</v>
      </c>
      <c r="G1441" t="s">
        <v>42</v>
      </c>
      <c r="H1441" t="s">
        <v>19</v>
      </c>
      <c r="I1441">
        <v>4</v>
      </c>
      <c r="J1441">
        <v>24</v>
      </c>
      <c r="K1441">
        <v>5.35</v>
      </c>
      <c r="L1441">
        <v>1</v>
      </c>
    </row>
    <row r="1442" spans="1:12">
      <c r="A1442" t="s">
        <v>4196</v>
      </c>
      <c r="B1442" t="s">
        <v>4197</v>
      </c>
      <c r="D1442" t="s">
        <v>15</v>
      </c>
      <c r="E1442" t="s">
        <v>59</v>
      </c>
      <c r="F1442" t="s">
        <v>60</v>
      </c>
      <c r="G1442" t="s">
        <v>18</v>
      </c>
      <c r="H1442" t="s">
        <v>63</v>
      </c>
      <c r="J1442">
        <v>8</v>
      </c>
    </row>
    <row r="1443" spans="1:12">
      <c r="A1443" t="s">
        <v>4198</v>
      </c>
      <c r="B1443" t="s">
        <v>4199</v>
      </c>
      <c r="C1443" t="s">
        <v>4200</v>
      </c>
      <c r="D1443" t="s">
        <v>35</v>
      </c>
      <c r="E1443" t="s">
        <v>16</v>
      </c>
      <c r="F1443" t="s">
        <v>60</v>
      </c>
      <c r="G1443" t="s">
        <v>55</v>
      </c>
      <c r="H1443" t="s">
        <v>19</v>
      </c>
      <c r="I1443">
        <v>4</v>
      </c>
      <c r="J1443">
        <v>48</v>
      </c>
      <c r="K1443">
        <v>20.010000000000002</v>
      </c>
      <c r="L1443">
        <v>1</v>
      </c>
    </row>
    <row r="1444" spans="1:12">
      <c r="A1444" t="s">
        <v>4201</v>
      </c>
      <c r="B1444" t="s">
        <v>4202</v>
      </c>
      <c r="D1444" t="s">
        <v>23</v>
      </c>
      <c r="E1444" t="s">
        <v>16</v>
      </c>
      <c r="F1444" t="s">
        <v>41</v>
      </c>
      <c r="G1444" t="s">
        <v>77</v>
      </c>
      <c r="H1444" t="s">
        <v>46</v>
      </c>
      <c r="J1444">
        <v>24</v>
      </c>
    </row>
    <row r="1445" spans="1:12">
      <c r="A1445" t="s">
        <v>4203</v>
      </c>
      <c r="B1445" t="s">
        <v>4204</v>
      </c>
      <c r="C1445" t="s">
        <v>4205</v>
      </c>
      <c r="D1445" t="s">
        <v>15</v>
      </c>
      <c r="E1445" t="s">
        <v>54</v>
      </c>
      <c r="F1445" t="s">
        <v>29</v>
      </c>
      <c r="G1445" t="s">
        <v>37</v>
      </c>
      <c r="H1445" t="s">
        <v>19</v>
      </c>
      <c r="I1445">
        <v>5</v>
      </c>
      <c r="J1445">
        <v>8</v>
      </c>
      <c r="K1445">
        <v>5.88</v>
      </c>
      <c r="L1445">
        <v>1</v>
      </c>
    </row>
    <row r="1446" spans="1:12">
      <c r="A1446" t="s">
        <v>4206</v>
      </c>
      <c r="B1446" t="s">
        <v>4207</v>
      </c>
      <c r="C1446" t="s">
        <v>4208</v>
      </c>
      <c r="D1446" t="s">
        <v>35</v>
      </c>
      <c r="E1446" t="s">
        <v>16</v>
      </c>
      <c r="F1446" t="s">
        <v>41</v>
      </c>
      <c r="G1446" t="s">
        <v>42</v>
      </c>
      <c r="H1446" t="s">
        <v>31</v>
      </c>
      <c r="I1446">
        <v>5</v>
      </c>
      <c r="J1446">
        <v>48</v>
      </c>
      <c r="K1446">
        <v>45.39</v>
      </c>
      <c r="L1446">
        <v>1</v>
      </c>
    </row>
    <row r="1447" spans="1:12">
      <c r="A1447" t="s">
        <v>4209</v>
      </c>
      <c r="B1447" t="s">
        <v>4210</v>
      </c>
      <c r="C1447" t="s">
        <v>4211</v>
      </c>
      <c r="D1447" t="s">
        <v>35</v>
      </c>
      <c r="E1447" t="s">
        <v>28</v>
      </c>
      <c r="F1447" t="s">
        <v>36</v>
      </c>
      <c r="G1447" t="s">
        <v>172</v>
      </c>
      <c r="H1447" t="s">
        <v>31</v>
      </c>
      <c r="I1447">
        <v>4</v>
      </c>
      <c r="J1447">
        <v>48</v>
      </c>
      <c r="K1447">
        <v>42.97</v>
      </c>
      <c r="L1447">
        <v>1</v>
      </c>
    </row>
    <row r="1448" spans="1:12">
      <c r="A1448" t="s">
        <v>4212</v>
      </c>
      <c r="B1448" t="s">
        <v>4213</v>
      </c>
      <c r="C1448" t="s">
        <v>4214</v>
      </c>
      <c r="D1448" t="s">
        <v>23</v>
      </c>
      <c r="E1448" t="s">
        <v>28</v>
      </c>
      <c r="F1448" t="s">
        <v>36</v>
      </c>
      <c r="G1448" t="s">
        <v>55</v>
      </c>
      <c r="H1448" t="s">
        <v>19</v>
      </c>
      <c r="I1448">
        <v>3</v>
      </c>
      <c r="J1448">
        <v>24</v>
      </c>
      <c r="K1448">
        <v>8.2100000000000009</v>
      </c>
      <c r="L1448">
        <v>1</v>
      </c>
    </row>
    <row r="1449" spans="1:12">
      <c r="A1449" t="s">
        <v>4215</v>
      </c>
      <c r="B1449" t="s">
        <v>4216</v>
      </c>
      <c r="C1449" t="s">
        <v>4217</v>
      </c>
      <c r="D1449" t="s">
        <v>158</v>
      </c>
      <c r="E1449" t="s">
        <v>28</v>
      </c>
      <c r="F1449" t="s">
        <v>17</v>
      </c>
      <c r="G1449" t="s">
        <v>45</v>
      </c>
      <c r="H1449" t="s">
        <v>19</v>
      </c>
      <c r="I1449">
        <v>4</v>
      </c>
      <c r="J1449">
        <v>4</v>
      </c>
      <c r="K1449">
        <v>3.72</v>
      </c>
      <c r="L1449">
        <v>1</v>
      </c>
    </row>
    <row r="1450" spans="1:12">
      <c r="A1450" t="s">
        <v>4218</v>
      </c>
      <c r="B1450" t="s">
        <v>4219</v>
      </c>
      <c r="C1450" t="s">
        <v>4220</v>
      </c>
      <c r="D1450" t="s">
        <v>15</v>
      </c>
      <c r="E1450" t="s">
        <v>16</v>
      </c>
      <c r="F1450" t="s">
        <v>17</v>
      </c>
      <c r="G1450" t="s">
        <v>42</v>
      </c>
      <c r="H1450" t="s">
        <v>31</v>
      </c>
      <c r="I1450">
        <v>4</v>
      </c>
      <c r="J1450">
        <v>8</v>
      </c>
      <c r="K1450">
        <v>4.9400000000000004</v>
      </c>
      <c r="L1450">
        <v>1</v>
      </c>
    </row>
    <row r="1451" spans="1:12">
      <c r="A1451" t="s">
        <v>4221</v>
      </c>
      <c r="B1451" t="s">
        <v>4222</v>
      </c>
      <c r="D1451" t="s">
        <v>23</v>
      </c>
      <c r="E1451" t="s">
        <v>28</v>
      </c>
      <c r="F1451" t="s">
        <v>41</v>
      </c>
      <c r="G1451" t="s">
        <v>50</v>
      </c>
      <c r="H1451" t="s">
        <v>63</v>
      </c>
      <c r="J1451">
        <v>24</v>
      </c>
    </row>
    <row r="1452" spans="1:12">
      <c r="A1452" t="s">
        <v>4223</v>
      </c>
      <c r="B1452" t="s">
        <v>4224</v>
      </c>
      <c r="C1452" t="s">
        <v>4225</v>
      </c>
      <c r="D1452" t="s">
        <v>15</v>
      </c>
      <c r="E1452" t="s">
        <v>28</v>
      </c>
      <c r="F1452" t="s">
        <v>41</v>
      </c>
      <c r="G1452" t="s">
        <v>73</v>
      </c>
      <c r="H1452" t="s">
        <v>19</v>
      </c>
      <c r="I1452">
        <v>5</v>
      </c>
      <c r="J1452">
        <v>8</v>
      </c>
      <c r="K1452">
        <v>2.23</v>
      </c>
      <c r="L1452">
        <v>1</v>
      </c>
    </row>
    <row r="1453" spans="1:12">
      <c r="A1453" t="s">
        <v>4226</v>
      </c>
      <c r="B1453" t="s">
        <v>4227</v>
      </c>
      <c r="C1453" t="s">
        <v>4228</v>
      </c>
      <c r="D1453" t="s">
        <v>23</v>
      </c>
      <c r="E1453" t="s">
        <v>28</v>
      </c>
      <c r="F1453" t="s">
        <v>60</v>
      </c>
      <c r="G1453" t="s">
        <v>42</v>
      </c>
      <c r="H1453" t="s">
        <v>31</v>
      </c>
      <c r="I1453">
        <v>4</v>
      </c>
      <c r="J1453">
        <v>24</v>
      </c>
      <c r="K1453">
        <v>9.44</v>
      </c>
      <c r="L1453">
        <v>1</v>
      </c>
    </row>
    <row r="1454" spans="1:12">
      <c r="A1454" t="s">
        <v>4229</v>
      </c>
      <c r="B1454" t="s">
        <v>4230</v>
      </c>
      <c r="C1454" t="s">
        <v>4231</v>
      </c>
      <c r="D1454" t="s">
        <v>23</v>
      </c>
      <c r="E1454" t="s">
        <v>28</v>
      </c>
      <c r="F1454" t="s">
        <v>29</v>
      </c>
      <c r="G1454" t="s">
        <v>50</v>
      </c>
      <c r="H1454" t="s">
        <v>31</v>
      </c>
      <c r="I1454">
        <v>4</v>
      </c>
      <c r="J1454">
        <v>24</v>
      </c>
      <c r="K1454">
        <v>15.15</v>
      </c>
      <c r="L1454">
        <v>1</v>
      </c>
    </row>
    <row r="1455" spans="1:12">
      <c r="A1455" t="s">
        <v>4232</v>
      </c>
      <c r="B1455" t="s">
        <v>4233</v>
      </c>
      <c r="C1455" t="s">
        <v>4234</v>
      </c>
      <c r="D1455" t="s">
        <v>23</v>
      </c>
      <c r="E1455" t="s">
        <v>28</v>
      </c>
      <c r="F1455" t="s">
        <v>36</v>
      </c>
      <c r="G1455" t="s">
        <v>45</v>
      </c>
      <c r="H1455" t="s">
        <v>31</v>
      </c>
      <c r="I1455">
        <v>5</v>
      </c>
      <c r="J1455">
        <v>24</v>
      </c>
      <c r="K1455">
        <v>7.19</v>
      </c>
      <c r="L1455">
        <v>1</v>
      </c>
    </row>
    <row r="1456" spans="1:12">
      <c r="A1456" t="s">
        <v>4235</v>
      </c>
      <c r="B1456" t="s">
        <v>4236</v>
      </c>
      <c r="C1456" t="s">
        <v>4237</v>
      </c>
      <c r="D1456" t="s">
        <v>23</v>
      </c>
      <c r="E1456" t="s">
        <v>59</v>
      </c>
      <c r="F1456" t="s">
        <v>36</v>
      </c>
      <c r="G1456" t="s">
        <v>42</v>
      </c>
      <c r="H1456" t="s">
        <v>19</v>
      </c>
      <c r="I1456">
        <v>4</v>
      </c>
      <c r="J1456">
        <v>24</v>
      </c>
      <c r="K1456">
        <v>4.66</v>
      </c>
      <c r="L1456">
        <v>1</v>
      </c>
    </row>
    <row r="1457" spans="1:12">
      <c r="A1457" t="s">
        <v>4238</v>
      </c>
      <c r="B1457" t="s">
        <v>4239</v>
      </c>
      <c r="C1457" t="s">
        <v>4240</v>
      </c>
      <c r="D1457" t="s">
        <v>15</v>
      </c>
      <c r="E1457" t="s">
        <v>16</v>
      </c>
      <c r="F1457" t="s">
        <v>41</v>
      </c>
      <c r="G1457" t="s">
        <v>77</v>
      </c>
      <c r="H1457" t="s">
        <v>19</v>
      </c>
      <c r="I1457">
        <v>5</v>
      </c>
      <c r="J1457">
        <v>8</v>
      </c>
      <c r="K1457">
        <v>3.64</v>
      </c>
      <c r="L1457">
        <v>1</v>
      </c>
    </row>
    <row r="1458" spans="1:12">
      <c r="A1458" t="s">
        <v>4241</v>
      </c>
      <c r="B1458" t="s">
        <v>4242</v>
      </c>
      <c r="C1458" t="s">
        <v>4243</v>
      </c>
      <c r="D1458" t="s">
        <v>23</v>
      </c>
      <c r="E1458" t="s">
        <v>54</v>
      </c>
      <c r="F1458" t="s">
        <v>29</v>
      </c>
      <c r="G1458" t="s">
        <v>77</v>
      </c>
      <c r="H1458" t="s">
        <v>19</v>
      </c>
      <c r="I1458">
        <v>4</v>
      </c>
      <c r="J1458">
        <v>24</v>
      </c>
      <c r="K1458">
        <v>19.920000000000002</v>
      </c>
      <c r="L1458">
        <v>1</v>
      </c>
    </row>
    <row r="1459" spans="1:12">
      <c r="A1459" t="s">
        <v>4244</v>
      </c>
      <c r="B1459" t="s">
        <v>4245</v>
      </c>
      <c r="C1459" t="s">
        <v>4246</v>
      </c>
      <c r="D1459" t="s">
        <v>15</v>
      </c>
      <c r="E1459" t="s">
        <v>59</v>
      </c>
      <c r="F1459" t="s">
        <v>17</v>
      </c>
      <c r="G1459" t="s">
        <v>73</v>
      </c>
      <c r="H1459" t="s">
        <v>19</v>
      </c>
      <c r="I1459">
        <v>5</v>
      </c>
      <c r="J1459">
        <v>8</v>
      </c>
      <c r="K1459">
        <v>6.44</v>
      </c>
      <c r="L1459">
        <v>1</v>
      </c>
    </row>
    <row r="1460" spans="1:12">
      <c r="A1460" t="s">
        <v>4247</v>
      </c>
      <c r="B1460" t="s">
        <v>4248</v>
      </c>
      <c r="C1460" t="s">
        <v>4249</v>
      </c>
      <c r="D1460" t="s">
        <v>15</v>
      </c>
      <c r="E1460" t="s">
        <v>59</v>
      </c>
      <c r="F1460" t="s">
        <v>41</v>
      </c>
      <c r="G1460" t="s">
        <v>55</v>
      </c>
      <c r="H1460" t="s">
        <v>31</v>
      </c>
      <c r="I1460">
        <v>2</v>
      </c>
      <c r="J1460">
        <v>8</v>
      </c>
      <c r="K1460">
        <v>14.8</v>
      </c>
      <c r="L1460">
        <v>0</v>
      </c>
    </row>
    <row r="1461" spans="1:12">
      <c r="A1461" t="s">
        <v>4250</v>
      </c>
      <c r="B1461" t="s">
        <v>4251</v>
      </c>
      <c r="C1461" t="s">
        <v>4252</v>
      </c>
      <c r="D1461" t="s">
        <v>15</v>
      </c>
      <c r="E1461" t="s">
        <v>54</v>
      </c>
      <c r="F1461" t="s">
        <v>60</v>
      </c>
      <c r="G1461" t="s">
        <v>42</v>
      </c>
      <c r="H1461" t="s">
        <v>31</v>
      </c>
      <c r="I1461">
        <v>4</v>
      </c>
      <c r="J1461">
        <v>8</v>
      </c>
      <c r="K1461">
        <v>7.23</v>
      </c>
      <c r="L1461">
        <v>1</v>
      </c>
    </row>
    <row r="1462" spans="1:12">
      <c r="A1462" t="s">
        <v>4253</v>
      </c>
      <c r="B1462" t="s">
        <v>4254</v>
      </c>
      <c r="C1462" t="s">
        <v>4255</v>
      </c>
      <c r="D1462" t="s">
        <v>15</v>
      </c>
      <c r="E1462" t="s">
        <v>54</v>
      </c>
      <c r="F1462" t="s">
        <v>36</v>
      </c>
      <c r="G1462" t="s">
        <v>172</v>
      </c>
      <c r="H1462" t="s">
        <v>19</v>
      </c>
      <c r="I1462">
        <v>4</v>
      </c>
      <c r="J1462">
        <v>8</v>
      </c>
      <c r="K1462">
        <v>6.17</v>
      </c>
      <c r="L1462">
        <v>1</v>
      </c>
    </row>
    <row r="1463" spans="1:12">
      <c r="A1463" t="s">
        <v>4256</v>
      </c>
      <c r="B1463" t="s">
        <v>4257</v>
      </c>
      <c r="C1463" t="s">
        <v>4258</v>
      </c>
      <c r="D1463" t="s">
        <v>35</v>
      </c>
      <c r="E1463" t="s">
        <v>16</v>
      </c>
      <c r="F1463" t="s">
        <v>17</v>
      </c>
      <c r="G1463" t="s">
        <v>50</v>
      </c>
      <c r="H1463" t="s">
        <v>19</v>
      </c>
      <c r="I1463">
        <v>4</v>
      </c>
      <c r="J1463">
        <v>48</v>
      </c>
      <c r="K1463">
        <v>66.8</v>
      </c>
      <c r="L1463">
        <v>0</v>
      </c>
    </row>
    <row r="1464" spans="1:12">
      <c r="A1464" t="s">
        <v>4259</v>
      </c>
      <c r="B1464" t="s">
        <v>4260</v>
      </c>
      <c r="C1464" t="s">
        <v>4261</v>
      </c>
      <c r="D1464" t="s">
        <v>15</v>
      </c>
      <c r="E1464" t="s">
        <v>24</v>
      </c>
      <c r="F1464" t="s">
        <v>36</v>
      </c>
      <c r="G1464" t="s">
        <v>30</v>
      </c>
      <c r="H1464" t="s">
        <v>19</v>
      </c>
      <c r="I1464">
        <v>5</v>
      </c>
      <c r="J1464">
        <v>8</v>
      </c>
      <c r="K1464">
        <v>2.4700000000000002</v>
      </c>
      <c r="L1464">
        <v>1</v>
      </c>
    </row>
    <row r="1465" spans="1:12">
      <c r="A1465" t="s">
        <v>4262</v>
      </c>
      <c r="B1465" t="s">
        <v>4263</v>
      </c>
      <c r="C1465" t="s">
        <v>4264</v>
      </c>
      <c r="D1465" t="s">
        <v>23</v>
      </c>
      <c r="E1465" t="s">
        <v>59</v>
      </c>
      <c r="F1465" t="s">
        <v>60</v>
      </c>
      <c r="G1465" t="s">
        <v>151</v>
      </c>
      <c r="H1465" t="s">
        <v>19</v>
      </c>
      <c r="I1465">
        <v>5</v>
      </c>
      <c r="J1465">
        <v>24</v>
      </c>
      <c r="K1465">
        <v>9.16</v>
      </c>
      <c r="L1465">
        <v>1</v>
      </c>
    </row>
    <row r="1466" spans="1:12">
      <c r="A1466" t="s">
        <v>4265</v>
      </c>
      <c r="B1466" t="s">
        <v>4266</v>
      </c>
      <c r="C1466" t="s">
        <v>4267</v>
      </c>
      <c r="D1466" t="s">
        <v>15</v>
      </c>
      <c r="E1466" t="s">
        <v>16</v>
      </c>
      <c r="F1466" t="s">
        <v>36</v>
      </c>
      <c r="G1466" t="s">
        <v>30</v>
      </c>
      <c r="H1466" t="s">
        <v>31</v>
      </c>
      <c r="I1466">
        <v>5</v>
      </c>
      <c r="J1466">
        <v>8</v>
      </c>
      <c r="K1466">
        <v>3.56</v>
      </c>
      <c r="L1466">
        <v>1</v>
      </c>
    </row>
    <row r="1467" spans="1:12">
      <c r="A1467" t="s">
        <v>4268</v>
      </c>
      <c r="B1467" t="s">
        <v>4269</v>
      </c>
      <c r="C1467" t="s">
        <v>4270</v>
      </c>
      <c r="D1467" t="s">
        <v>35</v>
      </c>
      <c r="E1467" t="s">
        <v>24</v>
      </c>
      <c r="F1467" t="s">
        <v>41</v>
      </c>
      <c r="G1467" t="s">
        <v>45</v>
      </c>
      <c r="H1467" t="s">
        <v>31</v>
      </c>
      <c r="I1467">
        <v>5</v>
      </c>
      <c r="J1467">
        <v>48</v>
      </c>
      <c r="K1467">
        <v>34</v>
      </c>
      <c r="L1467">
        <v>1</v>
      </c>
    </row>
    <row r="1468" spans="1:12">
      <c r="A1468" t="s">
        <v>4271</v>
      </c>
      <c r="B1468" t="s">
        <v>4272</v>
      </c>
      <c r="C1468" t="s">
        <v>4273</v>
      </c>
      <c r="D1468" t="s">
        <v>23</v>
      </c>
      <c r="E1468" t="s">
        <v>28</v>
      </c>
      <c r="F1468" t="s">
        <v>36</v>
      </c>
      <c r="G1468" t="s">
        <v>45</v>
      </c>
      <c r="H1468" t="s">
        <v>31</v>
      </c>
      <c r="I1468">
        <v>1</v>
      </c>
      <c r="J1468">
        <v>24</v>
      </c>
      <c r="K1468">
        <v>59.14</v>
      </c>
      <c r="L1468">
        <v>0</v>
      </c>
    </row>
    <row r="1469" spans="1:12">
      <c r="A1469" t="s">
        <v>4274</v>
      </c>
      <c r="B1469" t="s">
        <v>4275</v>
      </c>
      <c r="C1469" t="s">
        <v>4276</v>
      </c>
      <c r="D1469" t="s">
        <v>23</v>
      </c>
      <c r="E1469" t="s">
        <v>28</v>
      </c>
      <c r="F1469" t="s">
        <v>41</v>
      </c>
      <c r="G1469" t="s">
        <v>37</v>
      </c>
      <c r="H1469" t="s">
        <v>31</v>
      </c>
      <c r="I1469">
        <v>5</v>
      </c>
      <c r="J1469">
        <v>24</v>
      </c>
      <c r="K1469">
        <v>19.68</v>
      </c>
      <c r="L1469">
        <v>1</v>
      </c>
    </row>
    <row r="1470" spans="1:12">
      <c r="A1470" t="s">
        <v>4277</v>
      </c>
      <c r="B1470" t="s">
        <v>4278</v>
      </c>
      <c r="C1470" t="s">
        <v>4279</v>
      </c>
      <c r="D1470" t="s">
        <v>23</v>
      </c>
      <c r="E1470" t="s">
        <v>24</v>
      </c>
      <c r="F1470" t="s">
        <v>17</v>
      </c>
      <c r="G1470" t="s">
        <v>172</v>
      </c>
      <c r="H1470" t="s">
        <v>19</v>
      </c>
      <c r="I1470">
        <v>5</v>
      </c>
      <c r="J1470">
        <v>24</v>
      </c>
      <c r="K1470">
        <v>21.02</v>
      </c>
      <c r="L1470">
        <v>1</v>
      </c>
    </row>
    <row r="1471" spans="1:12">
      <c r="A1471" t="s">
        <v>4280</v>
      </c>
      <c r="B1471" t="s">
        <v>4281</v>
      </c>
      <c r="C1471" t="s">
        <v>4282</v>
      </c>
      <c r="D1471" t="s">
        <v>15</v>
      </c>
      <c r="E1471" t="s">
        <v>28</v>
      </c>
      <c r="F1471" t="s">
        <v>36</v>
      </c>
      <c r="G1471" t="s">
        <v>50</v>
      </c>
      <c r="H1471" t="s">
        <v>31</v>
      </c>
      <c r="I1471">
        <v>4</v>
      </c>
      <c r="J1471">
        <v>8</v>
      </c>
      <c r="K1471">
        <v>2.46</v>
      </c>
      <c r="L1471">
        <v>1</v>
      </c>
    </row>
    <row r="1472" spans="1:12">
      <c r="A1472" t="s">
        <v>4283</v>
      </c>
      <c r="B1472" t="s">
        <v>4284</v>
      </c>
      <c r="D1472" t="s">
        <v>23</v>
      </c>
      <c r="E1472" t="s">
        <v>28</v>
      </c>
      <c r="F1472" t="s">
        <v>41</v>
      </c>
      <c r="G1472" t="s">
        <v>105</v>
      </c>
      <c r="H1472" t="s">
        <v>63</v>
      </c>
      <c r="J1472">
        <v>24</v>
      </c>
    </row>
    <row r="1473" spans="1:12">
      <c r="A1473" t="s">
        <v>4285</v>
      </c>
      <c r="B1473" t="s">
        <v>4286</v>
      </c>
      <c r="C1473" t="s">
        <v>4287</v>
      </c>
      <c r="D1473" t="s">
        <v>15</v>
      </c>
      <c r="E1473" t="s">
        <v>28</v>
      </c>
      <c r="F1473" t="s">
        <v>29</v>
      </c>
      <c r="G1473" t="s">
        <v>55</v>
      </c>
      <c r="H1473" t="s">
        <v>19</v>
      </c>
      <c r="I1473">
        <v>4</v>
      </c>
      <c r="J1473">
        <v>8</v>
      </c>
      <c r="K1473">
        <v>7.22</v>
      </c>
      <c r="L1473">
        <v>1</v>
      </c>
    </row>
    <row r="1474" spans="1:12">
      <c r="A1474" t="s">
        <v>4288</v>
      </c>
      <c r="B1474" t="s">
        <v>4289</v>
      </c>
      <c r="C1474" t="s">
        <v>4290</v>
      </c>
      <c r="D1474" t="s">
        <v>15</v>
      </c>
      <c r="E1474" t="s">
        <v>16</v>
      </c>
      <c r="F1474" t="s">
        <v>29</v>
      </c>
      <c r="G1474" t="s">
        <v>73</v>
      </c>
      <c r="H1474" t="s">
        <v>31</v>
      </c>
      <c r="I1474">
        <v>4</v>
      </c>
      <c r="J1474">
        <v>8</v>
      </c>
      <c r="K1474">
        <v>1.8</v>
      </c>
      <c r="L1474">
        <v>1</v>
      </c>
    </row>
    <row r="1475" spans="1:12">
      <c r="A1475" t="s">
        <v>4291</v>
      </c>
      <c r="B1475" t="s">
        <v>4292</v>
      </c>
      <c r="C1475" t="s">
        <v>4293</v>
      </c>
      <c r="D1475" t="s">
        <v>15</v>
      </c>
      <c r="E1475" t="s">
        <v>28</v>
      </c>
      <c r="F1475" t="s">
        <v>17</v>
      </c>
      <c r="G1475" t="s">
        <v>55</v>
      </c>
      <c r="H1475" t="s">
        <v>19</v>
      </c>
      <c r="I1475">
        <v>5</v>
      </c>
      <c r="J1475">
        <v>8</v>
      </c>
      <c r="K1475">
        <v>2.56</v>
      </c>
      <c r="L1475">
        <v>1</v>
      </c>
    </row>
    <row r="1476" spans="1:12">
      <c r="A1476" t="s">
        <v>4294</v>
      </c>
      <c r="B1476" t="s">
        <v>4295</v>
      </c>
      <c r="D1476" t="s">
        <v>35</v>
      </c>
      <c r="E1476" t="s">
        <v>28</v>
      </c>
      <c r="F1476" t="s">
        <v>41</v>
      </c>
      <c r="G1476" t="s">
        <v>55</v>
      </c>
      <c r="H1476" t="s">
        <v>63</v>
      </c>
      <c r="J1476">
        <v>48</v>
      </c>
    </row>
    <row r="1477" spans="1:12">
      <c r="A1477" t="s">
        <v>4296</v>
      </c>
      <c r="B1477" t="s">
        <v>4297</v>
      </c>
      <c r="C1477" t="s">
        <v>4298</v>
      </c>
      <c r="D1477" t="s">
        <v>23</v>
      </c>
      <c r="E1477" t="s">
        <v>54</v>
      </c>
      <c r="F1477" t="s">
        <v>60</v>
      </c>
      <c r="G1477" t="s">
        <v>172</v>
      </c>
      <c r="H1477" t="s">
        <v>19</v>
      </c>
      <c r="I1477">
        <v>5</v>
      </c>
      <c r="J1477">
        <v>24</v>
      </c>
      <c r="K1477">
        <v>21.29</v>
      </c>
      <c r="L1477">
        <v>1</v>
      </c>
    </row>
    <row r="1478" spans="1:12">
      <c r="A1478" t="s">
        <v>4299</v>
      </c>
      <c r="B1478" t="s">
        <v>4300</v>
      </c>
      <c r="C1478" t="s">
        <v>4301</v>
      </c>
      <c r="D1478" t="s">
        <v>23</v>
      </c>
      <c r="E1478" t="s">
        <v>24</v>
      </c>
      <c r="F1478" t="s">
        <v>41</v>
      </c>
      <c r="G1478" t="s">
        <v>30</v>
      </c>
      <c r="H1478" t="s">
        <v>31</v>
      </c>
      <c r="I1478">
        <v>4</v>
      </c>
      <c r="J1478">
        <v>24</v>
      </c>
      <c r="K1478">
        <v>6.99</v>
      </c>
      <c r="L1478">
        <v>1</v>
      </c>
    </row>
    <row r="1479" spans="1:12">
      <c r="A1479" t="s">
        <v>4302</v>
      </c>
      <c r="B1479" t="s">
        <v>4303</v>
      </c>
      <c r="C1479" t="s">
        <v>4304</v>
      </c>
      <c r="D1479" t="s">
        <v>15</v>
      </c>
      <c r="E1479" t="s">
        <v>16</v>
      </c>
      <c r="F1479" t="s">
        <v>36</v>
      </c>
      <c r="G1479" t="s">
        <v>151</v>
      </c>
      <c r="H1479" t="s">
        <v>19</v>
      </c>
      <c r="I1479">
        <v>5</v>
      </c>
      <c r="J1479">
        <v>8</v>
      </c>
      <c r="K1479">
        <v>4.67</v>
      </c>
      <c r="L1479">
        <v>1</v>
      </c>
    </row>
    <row r="1480" spans="1:12">
      <c r="A1480" t="s">
        <v>4305</v>
      </c>
      <c r="B1480" t="s">
        <v>4306</v>
      </c>
      <c r="C1480" t="s">
        <v>4307</v>
      </c>
      <c r="D1480" t="s">
        <v>35</v>
      </c>
      <c r="E1480" t="s">
        <v>16</v>
      </c>
      <c r="F1480" t="s">
        <v>60</v>
      </c>
      <c r="G1480" t="s">
        <v>18</v>
      </c>
      <c r="H1480" t="s">
        <v>31</v>
      </c>
      <c r="I1480">
        <v>5</v>
      </c>
      <c r="J1480">
        <v>48</v>
      </c>
      <c r="K1480">
        <v>6.14</v>
      </c>
      <c r="L1480">
        <v>1</v>
      </c>
    </row>
    <row r="1481" spans="1:12">
      <c r="A1481" t="s">
        <v>4308</v>
      </c>
      <c r="B1481" t="s">
        <v>4309</v>
      </c>
      <c r="C1481" t="s">
        <v>4310</v>
      </c>
      <c r="D1481" t="s">
        <v>23</v>
      </c>
      <c r="E1481" t="s">
        <v>28</v>
      </c>
      <c r="F1481" t="s">
        <v>60</v>
      </c>
      <c r="G1481" t="s">
        <v>105</v>
      </c>
      <c r="H1481" t="s">
        <v>19</v>
      </c>
      <c r="I1481">
        <v>4</v>
      </c>
      <c r="J1481">
        <v>24</v>
      </c>
      <c r="K1481">
        <v>18.68</v>
      </c>
      <c r="L1481">
        <v>1</v>
      </c>
    </row>
    <row r="1482" spans="1:12">
      <c r="A1482" t="s">
        <v>4311</v>
      </c>
      <c r="B1482" t="s">
        <v>4312</v>
      </c>
      <c r="D1482" t="s">
        <v>15</v>
      </c>
      <c r="E1482" t="s">
        <v>28</v>
      </c>
      <c r="F1482" t="s">
        <v>17</v>
      </c>
      <c r="G1482" t="s">
        <v>105</v>
      </c>
      <c r="H1482" t="s">
        <v>63</v>
      </c>
      <c r="J1482">
        <v>8</v>
      </c>
    </row>
    <row r="1483" spans="1:12">
      <c r="A1483" t="s">
        <v>4313</v>
      </c>
      <c r="B1483" t="s">
        <v>4314</v>
      </c>
      <c r="C1483" t="s">
        <v>4315</v>
      </c>
      <c r="D1483" t="s">
        <v>15</v>
      </c>
      <c r="E1483" t="s">
        <v>54</v>
      </c>
      <c r="F1483" t="s">
        <v>41</v>
      </c>
      <c r="G1483" t="s">
        <v>73</v>
      </c>
      <c r="H1483" t="s">
        <v>19</v>
      </c>
      <c r="I1483">
        <v>3</v>
      </c>
      <c r="J1483">
        <v>8</v>
      </c>
      <c r="K1483">
        <v>4.55</v>
      </c>
      <c r="L1483">
        <v>1</v>
      </c>
    </row>
    <row r="1484" spans="1:12">
      <c r="A1484" t="s">
        <v>4316</v>
      </c>
      <c r="B1484" t="s">
        <v>4317</v>
      </c>
      <c r="C1484" t="s">
        <v>4318</v>
      </c>
      <c r="D1484" t="s">
        <v>23</v>
      </c>
      <c r="E1484" t="s">
        <v>59</v>
      </c>
      <c r="F1484" t="s">
        <v>17</v>
      </c>
      <c r="G1484" t="s">
        <v>77</v>
      </c>
      <c r="H1484" t="s">
        <v>19</v>
      </c>
      <c r="I1484">
        <v>5</v>
      </c>
      <c r="J1484">
        <v>24</v>
      </c>
      <c r="K1484">
        <v>7.38</v>
      </c>
      <c r="L1484">
        <v>1</v>
      </c>
    </row>
    <row r="1485" spans="1:12">
      <c r="A1485" t="s">
        <v>4319</v>
      </c>
      <c r="B1485" t="s">
        <v>4320</v>
      </c>
      <c r="C1485" t="s">
        <v>4321</v>
      </c>
      <c r="D1485" t="s">
        <v>23</v>
      </c>
      <c r="E1485" t="s">
        <v>59</v>
      </c>
      <c r="F1485" t="s">
        <v>36</v>
      </c>
      <c r="G1485" t="s">
        <v>172</v>
      </c>
      <c r="H1485" t="s">
        <v>31</v>
      </c>
      <c r="I1485">
        <v>4</v>
      </c>
      <c r="J1485">
        <v>24</v>
      </c>
      <c r="K1485">
        <v>12.16</v>
      </c>
      <c r="L1485">
        <v>1</v>
      </c>
    </row>
    <row r="1486" spans="1:12">
      <c r="A1486" t="s">
        <v>4322</v>
      </c>
      <c r="B1486" t="s">
        <v>4323</v>
      </c>
      <c r="C1486" t="s">
        <v>4324</v>
      </c>
      <c r="D1486" t="s">
        <v>15</v>
      </c>
      <c r="E1486" t="s">
        <v>28</v>
      </c>
      <c r="F1486" t="s">
        <v>17</v>
      </c>
      <c r="G1486" t="s">
        <v>55</v>
      </c>
      <c r="H1486" t="s">
        <v>19</v>
      </c>
      <c r="I1486">
        <v>5</v>
      </c>
      <c r="J1486">
        <v>8</v>
      </c>
      <c r="K1486">
        <v>4.76</v>
      </c>
      <c r="L1486">
        <v>1</v>
      </c>
    </row>
    <row r="1487" spans="1:12">
      <c r="A1487" t="s">
        <v>4325</v>
      </c>
      <c r="B1487" t="s">
        <v>4326</v>
      </c>
      <c r="C1487" t="s">
        <v>4327</v>
      </c>
      <c r="D1487" t="s">
        <v>23</v>
      </c>
      <c r="E1487" t="s">
        <v>28</v>
      </c>
      <c r="F1487" t="s">
        <v>17</v>
      </c>
      <c r="G1487" t="s">
        <v>55</v>
      </c>
      <c r="H1487" t="s">
        <v>31</v>
      </c>
      <c r="I1487">
        <v>3</v>
      </c>
      <c r="J1487">
        <v>24</v>
      </c>
      <c r="K1487">
        <v>11.71</v>
      </c>
      <c r="L1487">
        <v>1</v>
      </c>
    </row>
    <row r="1488" spans="1:12">
      <c r="A1488" t="s">
        <v>4328</v>
      </c>
      <c r="B1488" t="s">
        <v>4329</v>
      </c>
      <c r="C1488" t="s">
        <v>4330</v>
      </c>
      <c r="D1488" t="s">
        <v>23</v>
      </c>
      <c r="E1488" t="s">
        <v>28</v>
      </c>
      <c r="F1488" t="s">
        <v>17</v>
      </c>
      <c r="G1488" t="s">
        <v>172</v>
      </c>
      <c r="H1488" t="s">
        <v>19</v>
      </c>
      <c r="I1488">
        <v>4</v>
      </c>
      <c r="J1488">
        <v>24</v>
      </c>
      <c r="K1488">
        <v>21.81</v>
      </c>
      <c r="L1488">
        <v>1</v>
      </c>
    </row>
    <row r="1489" spans="1:12">
      <c r="A1489" t="s">
        <v>4331</v>
      </c>
      <c r="B1489" t="s">
        <v>4332</v>
      </c>
      <c r="C1489" t="s">
        <v>4333</v>
      </c>
      <c r="D1489" t="s">
        <v>23</v>
      </c>
      <c r="E1489" t="s">
        <v>28</v>
      </c>
      <c r="F1489" t="s">
        <v>60</v>
      </c>
      <c r="G1489" t="s">
        <v>77</v>
      </c>
      <c r="H1489" t="s">
        <v>19</v>
      </c>
      <c r="I1489">
        <v>5</v>
      </c>
      <c r="J1489">
        <v>24</v>
      </c>
      <c r="K1489">
        <v>22.34</v>
      </c>
      <c r="L1489">
        <v>1</v>
      </c>
    </row>
    <row r="1490" spans="1:12">
      <c r="A1490" t="s">
        <v>4334</v>
      </c>
      <c r="B1490" t="s">
        <v>4335</v>
      </c>
      <c r="C1490" t="s">
        <v>4336</v>
      </c>
      <c r="D1490" t="s">
        <v>158</v>
      </c>
      <c r="E1490" t="s">
        <v>16</v>
      </c>
      <c r="F1490" t="s">
        <v>60</v>
      </c>
      <c r="G1490" t="s">
        <v>50</v>
      </c>
      <c r="H1490" t="s">
        <v>19</v>
      </c>
      <c r="I1490">
        <v>5</v>
      </c>
      <c r="J1490">
        <v>4</v>
      </c>
      <c r="K1490">
        <v>2.99</v>
      </c>
      <c r="L1490">
        <v>1</v>
      </c>
    </row>
    <row r="1491" spans="1:12">
      <c r="A1491" t="s">
        <v>4337</v>
      </c>
      <c r="B1491" t="s">
        <v>4338</v>
      </c>
      <c r="C1491" t="s">
        <v>4339</v>
      </c>
      <c r="D1491" t="s">
        <v>35</v>
      </c>
      <c r="E1491" t="s">
        <v>28</v>
      </c>
      <c r="F1491" t="s">
        <v>60</v>
      </c>
      <c r="G1491" t="s">
        <v>73</v>
      </c>
      <c r="H1491" t="s">
        <v>19</v>
      </c>
      <c r="I1491">
        <v>4</v>
      </c>
      <c r="J1491">
        <v>48</v>
      </c>
      <c r="K1491">
        <v>14.26</v>
      </c>
      <c r="L1491">
        <v>1</v>
      </c>
    </row>
    <row r="1492" spans="1:12">
      <c r="A1492" t="s">
        <v>4340</v>
      </c>
      <c r="B1492" t="s">
        <v>4341</v>
      </c>
      <c r="C1492" t="s">
        <v>4342</v>
      </c>
      <c r="D1492" t="s">
        <v>15</v>
      </c>
      <c r="E1492" t="s">
        <v>28</v>
      </c>
      <c r="F1492" t="s">
        <v>36</v>
      </c>
      <c r="G1492" t="s">
        <v>151</v>
      </c>
      <c r="H1492" t="s">
        <v>19</v>
      </c>
      <c r="I1492">
        <v>4</v>
      </c>
      <c r="J1492">
        <v>8</v>
      </c>
      <c r="K1492">
        <v>4.68</v>
      </c>
      <c r="L1492">
        <v>1</v>
      </c>
    </row>
    <row r="1493" spans="1:12">
      <c r="A1493" t="s">
        <v>4343</v>
      </c>
      <c r="B1493" t="s">
        <v>4344</v>
      </c>
      <c r="C1493" t="s">
        <v>4345</v>
      </c>
      <c r="D1493" t="s">
        <v>15</v>
      </c>
      <c r="E1493" t="s">
        <v>54</v>
      </c>
      <c r="F1493" t="s">
        <v>17</v>
      </c>
      <c r="G1493" t="s">
        <v>73</v>
      </c>
      <c r="H1493" t="s">
        <v>31</v>
      </c>
      <c r="I1493">
        <v>5</v>
      </c>
      <c r="J1493">
        <v>8</v>
      </c>
      <c r="K1493">
        <v>7.31</v>
      </c>
      <c r="L1493">
        <v>1</v>
      </c>
    </row>
    <row r="1494" spans="1:12">
      <c r="A1494" t="s">
        <v>4346</v>
      </c>
      <c r="B1494" t="s">
        <v>4347</v>
      </c>
      <c r="D1494" t="s">
        <v>23</v>
      </c>
      <c r="E1494" t="s">
        <v>28</v>
      </c>
      <c r="F1494" t="s">
        <v>29</v>
      </c>
      <c r="G1494" t="s">
        <v>18</v>
      </c>
      <c r="H1494" t="s">
        <v>63</v>
      </c>
      <c r="J1494">
        <v>24</v>
      </c>
    </row>
    <row r="1495" spans="1:12">
      <c r="A1495" t="s">
        <v>4348</v>
      </c>
      <c r="B1495" t="s">
        <v>4349</v>
      </c>
      <c r="C1495" t="s">
        <v>4350</v>
      </c>
      <c r="D1495" t="s">
        <v>35</v>
      </c>
      <c r="E1495" t="s">
        <v>16</v>
      </c>
      <c r="F1495" t="s">
        <v>29</v>
      </c>
      <c r="G1495" t="s">
        <v>73</v>
      </c>
      <c r="H1495" t="s">
        <v>19</v>
      </c>
      <c r="I1495">
        <v>4</v>
      </c>
      <c r="J1495">
        <v>48</v>
      </c>
      <c r="K1495">
        <v>38.630000000000003</v>
      </c>
      <c r="L1495">
        <v>1</v>
      </c>
    </row>
    <row r="1496" spans="1:12">
      <c r="A1496" t="s">
        <v>4351</v>
      </c>
      <c r="B1496" t="s">
        <v>4352</v>
      </c>
      <c r="D1496" t="s">
        <v>23</v>
      </c>
      <c r="E1496" t="s">
        <v>28</v>
      </c>
      <c r="F1496" t="s">
        <v>41</v>
      </c>
      <c r="G1496" t="s">
        <v>30</v>
      </c>
      <c r="H1496" t="s">
        <v>63</v>
      </c>
      <c r="J1496">
        <v>24</v>
      </c>
    </row>
    <row r="1497" spans="1:12">
      <c r="A1497" t="s">
        <v>4353</v>
      </c>
      <c r="B1497" t="s">
        <v>4354</v>
      </c>
      <c r="D1497" t="s">
        <v>15</v>
      </c>
      <c r="E1497" t="s">
        <v>28</v>
      </c>
      <c r="F1497" t="s">
        <v>29</v>
      </c>
      <c r="G1497" t="s">
        <v>30</v>
      </c>
      <c r="H1497" t="s">
        <v>63</v>
      </c>
      <c r="J1497">
        <v>8</v>
      </c>
    </row>
    <row r="1498" spans="1:12">
      <c r="A1498" t="s">
        <v>4355</v>
      </c>
      <c r="B1498" t="s">
        <v>4356</v>
      </c>
      <c r="C1498" t="s">
        <v>4357</v>
      </c>
      <c r="D1498" t="s">
        <v>23</v>
      </c>
      <c r="E1498" t="s">
        <v>28</v>
      </c>
      <c r="F1498" t="s">
        <v>41</v>
      </c>
      <c r="G1498" t="s">
        <v>172</v>
      </c>
      <c r="H1498" t="s">
        <v>31</v>
      </c>
      <c r="I1498">
        <v>5</v>
      </c>
      <c r="J1498">
        <v>24</v>
      </c>
      <c r="K1498">
        <v>18.670000000000002</v>
      </c>
      <c r="L1498">
        <v>1</v>
      </c>
    </row>
    <row r="1499" spans="1:12">
      <c r="A1499" t="s">
        <v>4358</v>
      </c>
      <c r="B1499" t="s">
        <v>4359</v>
      </c>
      <c r="C1499" t="s">
        <v>4360</v>
      </c>
      <c r="D1499" t="s">
        <v>35</v>
      </c>
      <c r="E1499" t="s">
        <v>24</v>
      </c>
      <c r="F1499" t="s">
        <v>17</v>
      </c>
      <c r="G1499" t="s">
        <v>73</v>
      </c>
      <c r="H1499" t="s">
        <v>19</v>
      </c>
      <c r="I1499">
        <v>4</v>
      </c>
      <c r="J1499">
        <v>48</v>
      </c>
      <c r="K1499">
        <v>34.229999999999997</v>
      </c>
      <c r="L1499">
        <v>1</v>
      </c>
    </row>
    <row r="1500" spans="1:12">
      <c r="A1500" t="s">
        <v>4361</v>
      </c>
      <c r="B1500" t="s">
        <v>4362</v>
      </c>
      <c r="C1500" t="s">
        <v>4363</v>
      </c>
      <c r="D1500" t="s">
        <v>23</v>
      </c>
      <c r="E1500" t="s">
        <v>28</v>
      </c>
      <c r="F1500" t="s">
        <v>41</v>
      </c>
      <c r="G1500" t="s">
        <v>18</v>
      </c>
      <c r="H1500" t="s">
        <v>19</v>
      </c>
      <c r="I1500">
        <v>4</v>
      </c>
      <c r="J1500">
        <v>24</v>
      </c>
      <c r="K1500">
        <v>10.050000000000001</v>
      </c>
      <c r="L1500">
        <v>1</v>
      </c>
    </row>
    <row r="1501" spans="1:12">
      <c r="A1501" t="s">
        <v>4364</v>
      </c>
      <c r="B1501" t="s">
        <v>4365</v>
      </c>
      <c r="C1501" t="s">
        <v>4366</v>
      </c>
      <c r="D1501" t="s">
        <v>15</v>
      </c>
      <c r="E1501" t="s">
        <v>28</v>
      </c>
      <c r="F1501" t="s">
        <v>41</v>
      </c>
      <c r="G1501" t="s">
        <v>45</v>
      </c>
      <c r="H1501" t="s">
        <v>19</v>
      </c>
      <c r="I1501">
        <v>4</v>
      </c>
      <c r="J1501">
        <v>8</v>
      </c>
      <c r="K1501">
        <v>5.9</v>
      </c>
      <c r="L1501">
        <v>1</v>
      </c>
    </row>
    <row r="1502" spans="1:12">
      <c r="A1502" t="s">
        <v>4367</v>
      </c>
      <c r="B1502" t="s">
        <v>4368</v>
      </c>
      <c r="C1502" t="s">
        <v>4369</v>
      </c>
      <c r="D1502" t="s">
        <v>23</v>
      </c>
      <c r="E1502" t="s">
        <v>16</v>
      </c>
      <c r="F1502" t="s">
        <v>17</v>
      </c>
      <c r="G1502" t="s">
        <v>55</v>
      </c>
      <c r="H1502" t="s">
        <v>19</v>
      </c>
      <c r="I1502">
        <v>4</v>
      </c>
      <c r="J1502">
        <v>24</v>
      </c>
      <c r="K1502">
        <v>4.2</v>
      </c>
      <c r="L1502">
        <v>1</v>
      </c>
    </row>
    <row r="1503" spans="1:12">
      <c r="A1503" t="s">
        <v>4370</v>
      </c>
      <c r="B1503" t="s">
        <v>4371</v>
      </c>
      <c r="C1503" t="s">
        <v>4372</v>
      </c>
      <c r="D1503" t="s">
        <v>23</v>
      </c>
      <c r="E1503" t="s">
        <v>59</v>
      </c>
      <c r="F1503" t="s">
        <v>60</v>
      </c>
      <c r="G1503" t="s">
        <v>77</v>
      </c>
      <c r="H1503" t="s">
        <v>31</v>
      </c>
      <c r="I1503">
        <v>5</v>
      </c>
      <c r="J1503">
        <v>24</v>
      </c>
      <c r="K1503">
        <v>18</v>
      </c>
      <c r="L1503">
        <v>1</v>
      </c>
    </row>
    <row r="1504" spans="1:12">
      <c r="A1504" t="s">
        <v>4373</v>
      </c>
      <c r="B1504" t="s">
        <v>4374</v>
      </c>
      <c r="D1504" t="s">
        <v>23</v>
      </c>
      <c r="E1504" t="s">
        <v>16</v>
      </c>
      <c r="F1504" t="s">
        <v>29</v>
      </c>
      <c r="G1504" t="s">
        <v>172</v>
      </c>
      <c r="H1504" t="s">
        <v>63</v>
      </c>
      <c r="J1504">
        <v>24</v>
      </c>
    </row>
    <row r="1505" spans="1:12">
      <c r="A1505" t="s">
        <v>4375</v>
      </c>
      <c r="B1505" t="s">
        <v>4376</v>
      </c>
      <c r="C1505" t="s">
        <v>4377</v>
      </c>
      <c r="D1505" t="s">
        <v>23</v>
      </c>
      <c r="E1505" t="s">
        <v>28</v>
      </c>
      <c r="F1505" t="s">
        <v>29</v>
      </c>
      <c r="G1505" t="s">
        <v>50</v>
      </c>
      <c r="H1505" t="s">
        <v>19</v>
      </c>
      <c r="I1505">
        <v>5</v>
      </c>
      <c r="J1505">
        <v>24</v>
      </c>
      <c r="K1505">
        <v>6.46</v>
      </c>
      <c r="L1505">
        <v>1</v>
      </c>
    </row>
    <row r="1506" spans="1:12">
      <c r="A1506" t="s">
        <v>4378</v>
      </c>
      <c r="B1506" t="s">
        <v>4379</v>
      </c>
      <c r="C1506" t="s">
        <v>4380</v>
      </c>
      <c r="D1506" t="s">
        <v>15</v>
      </c>
      <c r="E1506" t="s">
        <v>16</v>
      </c>
      <c r="F1506" t="s">
        <v>36</v>
      </c>
      <c r="G1506" t="s">
        <v>73</v>
      </c>
      <c r="H1506" t="s">
        <v>19</v>
      </c>
      <c r="I1506">
        <v>4</v>
      </c>
      <c r="J1506">
        <v>8</v>
      </c>
      <c r="K1506">
        <v>3.49</v>
      </c>
      <c r="L1506">
        <v>1</v>
      </c>
    </row>
    <row r="1507" spans="1:12">
      <c r="A1507" t="s">
        <v>4381</v>
      </c>
      <c r="B1507" t="s">
        <v>4382</v>
      </c>
      <c r="C1507" t="s">
        <v>4383</v>
      </c>
      <c r="D1507" t="s">
        <v>35</v>
      </c>
      <c r="E1507" t="s">
        <v>24</v>
      </c>
      <c r="F1507" t="s">
        <v>60</v>
      </c>
      <c r="G1507" t="s">
        <v>172</v>
      </c>
      <c r="H1507" t="s">
        <v>19</v>
      </c>
      <c r="I1507">
        <v>5</v>
      </c>
      <c r="J1507">
        <v>48</v>
      </c>
      <c r="K1507">
        <v>6.11</v>
      </c>
      <c r="L1507">
        <v>1</v>
      </c>
    </row>
    <row r="1508" spans="1:12">
      <c r="A1508" t="s">
        <v>4384</v>
      </c>
      <c r="B1508" t="s">
        <v>4385</v>
      </c>
      <c r="C1508" t="s">
        <v>4386</v>
      </c>
      <c r="D1508" t="s">
        <v>15</v>
      </c>
      <c r="E1508" t="s">
        <v>28</v>
      </c>
      <c r="F1508" t="s">
        <v>29</v>
      </c>
      <c r="G1508" t="s">
        <v>55</v>
      </c>
      <c r="H1508" t="s">
        <v>19</v>
      </c>
      <c r="I1508">
        <v>3</v>
      </c>
      <c r="J1508">
        <v>8</v>
      </c>
      <c r="K1508">
        <v>1.31</v>
      </c>
      <c r="L1508">
        <v>1</v>
      </c>
    </row>
    <row r="1509" spans="1:12">
      <c r="A1509" t="s">
        <v>4387</v>
      </c>
      <c r="B1509" t="s">
        <v>4388</v>
      </c>
      <c r="C1509" t="s">
        <v>4389</v>
      </c>
      <c r="D1509" t="s">
        <v>23</v>
      </c>
      <c r="E1509" t="s">
        <v>28</v>
      </c>
      <c r="F1509" t="s">
        <v>60</v>
      </c>
      <c r="G1509" t="s">
        <v>42</v>
      </c>
      <c r="H1509" t="s">
        <v>31</v>
      </c>
      <c r="I1509">
        <v>4</v>
      </c>
      <c r="J1509">
        <v>24</v>
      </c>
      <c r="K1509">
        <v>15.66</v>
      </c>
      <c r="L1509">
        <v>1</v>
      </c>
    </row>
    <row r="1510" spans="1:12">
      <c r="A1510" t="s">
        <v>4390</v>
      </c>
      <c r="B1510" t="s">
        <v>4391</v>
      </c>
      <c r="C1510" t="s">
        <v>4392</v>
      </c>
      <c r="D1510" t="s">
        <v>23</v>
      </c>
      <c r="E1510" t="s">
        <v>28</v>
      </c>
      <c r="F1510" t="s">
        <v>29</v>
      </c>
      <c r="G1510" t="s">
        <v>50</v>
      </c>
      <c r="H1510" t="s">
        <v>19</v>
      </c>
      <c r="I1510">
        <v>2</v>
      </c>
      <c r="J1510">
        <v>24</v>
      </c>
      <c r="K1510">
        <v>59.78</v>
      </c>
      <c r="L1510">
        <v>0</v>
      </c>
    </row>
    <row r="1511" spans="1:12">
      <c r="A1511" t="s">
        <v>4393</v>
      </c>
      <c r="B1511" t="s">
        <v>4394</v>
      </c>
      <c r="C1511" t="s">
        <v>4395</v>
      </c>
      <c r="D1511" t="s">
        <v>15</v>
      </c>
      <c r="E1511" t="s">
        <v>54</v>
      </c>
      <c r="F1511" t="s">
        <v>41</v>
      </c>
      <c r="G1511" t="s">
        <v>77</v>
      </c>
      <c r="H1511" t="s">
        <v>31</v>
      </c>
      <c r="I1511">
        <v>5</v>
      </c>
      <c r="J1511">
        <v>8</v>
      </c>
      <c r="K1511">
        <v>7.25</v>
      </c>
      <c r="L1511">
        <v>1</v>
      </c>
    </row>
    <row r="1512" spans="1:12">
      <c r="A1512" t="s">
        <v>4396</v>
      </c>
      <c r="B1512" t="s">
        <v>4397</v>
      </c>
      <c r="C1512" t="s">
        <v>4398</v>
      </c>
      <c r="D1512" t="s">
        <v>23</v>
      </c>
      <c r="E1512" t="s">
        <v>24</v>
      </c>
      <c r="F1512" t="s">
        <v>41</v>
      </c>
      <c r="G1512" t="s">
        <v>30</v>
      </c>
      <c r="H1512" t="s">
        <v>19</v>
      </c>
      <c r="I1512">
        <v>5</v>
      </c>
      <c r="J1512">
        <v>24</v>
      </c>
      <c r="K1512">
        <v>5.47</v>
      </c>
      <c r="L1512">
        <v>1</v>
      </c>
    </row>
    <row r="1513" spans="1:12">
      <c r="A1513" t="s">
        <v>4399</v>
      </c>
      <c r="B1513" t="s">
        <v>4400</v>
      </c>
      <c r="C1513" t="s">
        <v>4401</v>
      </c>
      <c r="D1513" t="s">
        <v>23</v>
      </c>
      <c r="E1513" t="s">
        <v>28</v>
      </c>
      <c r="F1513" t="s">
        <v>41</v>
      </c>
      <c r="G1513" t="s">
        <v>151</v>
      </c>
      <c r="H1513" t="s">
        <v>31</v>
      </c>
      <c r="I1513">
        <v>4</v>
      </c>
      <c r="J1513">
        <v>24</v>
      </c>
      <c r="K1513">
        <v>14.12</v>
      </c>
      <c r="L1513">
        <v>1</v>
      </c>
    </row>
    <row r="1514" spans="1:12">
      <c r="A1514" t="s">
        <v>4402</v>
      </c>
      <c r="B1514" t="s">
        <v>4403</v>
      </c>
      <c r="C1514" t="s">
        <v>4404</v>
      </c>
      <c r="D1514" t="s">
        <v>23</v>
      </c>
      <c r="E1514" t="s">
        <v>54</v>
      </c>
      <c r="F1514" t="s">
        <v>17</v>
      </c>
      <c r="G1514" t="s">
        <v>73</v>
      </c>
      <c r="H1514" t="s">
        <v>19</v>
      </c>
      <c r="I1514">
        <v>5</v>
      </c>
      <c r="J1514">
        <v>24</v>
      </c>
      <c r="K1514">
        <v>2.93</v>
      </c>
      <c r="L1514">
        <v>1</v>
      </c>
    </row>
    <row r="1515" spans="1:12">
      <c r="A1515" t="s">
        <v>4405</v>
      </c>
      <c r="B1515" t="s">
        <v>4406</v>
      </c>
      <c r="C1515" t="s">
        <v>4407</v>
      </c>
      <c r="D1515" t="s">
        <v>158</v>
      </c>
      <c r="E1515" t="s">
        <v>24</v>
      </c>
      <c r="F1515" t="s">
        <v>29</v>
      </c>
      <c r="G1515" t="s">
        <v>42</v>
      </c>
      <c r="H1515" t="s">
        <v>19</v>
      </c>
      <c r="I1515">
        <v>4</v>
      </c>
      <c r="J1515">
        <v>4</v>
      </c>
      <c r="K1515">
        <v>1.18</v>
      </c>
      <c r="L1515">
        <v>1</v>
      </c>
    </row>
    <row r="1516" spans="1:12">
      <c r="A1516" t="s">
        <v>4408</v>
      </c>
      <c r="B1516" t="s">
        <v>4409</v>
      </c>
      <c r="C1516" t="s">
        <v>4410</v>
      </c>
      <c r="D1516" t="s">
        <v>15</v>
      </c>
      <c r="E1516" t="s">
        <v>59</v>
      </c>
      <c r="F1516" t="s">
        <v>17</v>
      </c>
      <c r="G1516" t="s">
        <v>18</v>
      </c>
      <c r="H1516" t="s">
        <v>31</v>
      </c>
      <c r="I1516">
        <v>5</v>
      </c>
      <c r="J1516">
        <v>8</v>
      </c>
      <c r="K1516">
        <v>6.77</v>
      </c>
      <c r="L1516">
        <v>1</v>
      </c>
    </row>
    <row r="1517" spans="1:12">
      <c r="A1517" t="s">
        <v>4411</v>
      </c>
      <c r="B1517" t="s">
        <v>4412</v>
      </c>
      <c r="C1517" t="s">
        <v>4413</v>
      </c>
      <c r="D1517" t="s">
        <v>35</v>
      </c>
      <c r="E1517" t="s">
        <v>28</v>
      </c>
      <c r="F1517" t="s">
        <v>41</v>
      </c>
      <c r="G1517" t="s">
        <v>105</v>
      </c>
      <c r="H1517" t="s">
        <v>31</v>
      </c>
      <c r="I1517">
        <v>4</v>
      </c>
      <c r="J1517">
        <v>48</v>
      </c>
      <c r="K1517">
        <v>6.81</v>
      </c>
      <c r="L1517">
        <v>1</v>
      </c>
    </row>
    <row r="1518" spans="1:12">
      <c r="A1518" t="s">
        <v>4414</v>
      </c>
      <c r="B1518" t="s">
        <v>4415</v>
      </c>
      <c r="D1518" t="s">
        <v>15</v>
      </c>
      <c r="E1518" t="s">
        <v>28</v>
      </c>
      <c r="F1518" t="s">
        <v>36</v>
      </c>
      <c r="G1518" t="s">
        <v>42</v>
      </c>
      <c r="H1518" t="s">
        <v>46</v>
      </c>
      <c r="J1518">
        <v>8</v>
      </c>
    </row>
    <row r="1519" spans="1:12">
      <c r="A1519" t="s">
        <v>4416</v>
      </c>
      <c r="B1519" t="s">
        <v>4417</v>
      </c>
      <c r="C1519" t="s">
        <v>4418</v>
      </c>
      <c r="D1519" t="s">
        <v>35</v>
      </c>
      <c r="E1519" t="s">
        <v>16</v>
      </c>
      <c r="F1519" t="s">
        <v>36</v>
      </c>
      <c r="G1519" t="s">
        <v>73</v>
      </c>
      <c r="H1519" t="s">
        <v>31</v>
      </c>
      <c r="I1519">
        <v>5</v>
      </c>
      <c r="J1519">
        <v>48</v>
      </c>
      <c r="K1519">
        <v>24.76</v>
      </c>
      <c r="L1519">
        <v>1</v>
      </c>
    </row>
    <row r="1520" spans="1:12">
      <c r="A1520" t="s">
        <v>4419</v>
      </c>
      <c r="B1520" t="s">
        <v>4420</v>
      </c>
      <c r="C1520" t="s">
        <v>4421</v>
      </c>
      <c r="D1520" t="s">
        <v>35</v>
      </c>
      <c r="E1520" t="s">
        <v>28</v>
      </c>
      <c r="F1520" t="s">
        <v>17</v>
      </c>
      <c r="G1520" t="s">
        <v>42</v>
      </c>
      <c r="H1520" t="s">
        <v>31</v>
      </c>
      <c r="I1520">
        <v>4</v>
      </c>
      <c r="J1520">
        <v>48</v>
      </c>
      <c r="K1520">
        <v>15.22</v>
      </c>
      <c r="L1520">
        <v>1</v>
      </c>
    </row>
    <row r="1521" spans="1:12">
      <c r="A1521" t="s">
        <v>4422</v>
      </c>
      <c r="B1521" t="s">
        <v>4423</v>
      </c>
      <c r="D1521" t="s">
        <v>158</v>
      </c>
      <c r="E1521" t="s">
        <v>28</v>
      </c>
      <c r="F1521" t="s">
        <v>41</v>
      </c>
      <c r="G1521" t="s">
        <v>37</v>
      </c>
      <c r="H1521" t="s">
        <v>46</v>
      </c>
      <c r="J1521">
        <v>4</v>
      </c>
    </row>
    <row r="1522" spans="1:12">
      <c r="A1522" t="s">
        <v>4424</v>
      </c>
      <c r="B1522" t="s">
        <v>4425</v>
      </c>
      <c r="D1522" t="s">
        <v>23</v>
      </c>
      <c r="E1522" t="s">
        <v>59</v>
      </c>
      <c r="F1522" t="s">
        <v>36</v>
      </c>
      <c r="G1522" t="s">
        <v>37</v>
      </c>
      <c r="H1522" t="s">
        <v>63</v>
      </c>
      <c r="J1522">
        <v>24</v>
      </c>
    </row>
    <row r="1523" spans="1:12">
      <c r="A1523" t="s">
        <v>4426</v>
      </c>
      <c r="B1523" t="s">
        <v>4427</v>
      </c>
      <c r="C1523" t="s">
        <v>4428</v>
      </c>
      <c r="D1523" t="s">
        <v>15</v>
      </c>
      <c r="E1523" t="s">
        <v>59</v>
      </c>
      <c r="F1523" t="s">
        <v>36</v>
      </c>
      <c r="G1523" t="s">
        <v>151</v>
      </c>
      <c r="H1523" t="s">
        <v>31</v>
      </c>
      <c r="I1523">
        <v>5</v>
      </c>
      <c r="J1523">
        <v>8</v>
      </c>
      <c r="K1523">
        <v>4</v>
      </c>
      <c r="L1523">
        <v>1</v>
      </c>
    </row>
    <row r="1524" spans="1:12">
      <c r="A1524" t="s">
        <v>4429</v>
      </c>
      <c r="B1524" t="s">
        <v>4430</v>
      </c>
      <c r="C1524" t="s">
        <v>4431</v>
      </c>
      <c r="D1524" t="s">
        <v>23</v>
      </c>
      <c r="E1524" t="s">
        <v>16</v>
      </c>
      <c r="F1524" t="s">
        <v>36</v>
      </c>
      <c r="G1524" t="s">
        <v>73</v>
      </c>
      <c r="H1524" t="s">
        <v>31</v>
      </c>
      <c r="I1524">
        <v>5</v>
      </c>
      <c r="J1524">
        <v>24</v>
      </c>
      <c r="K1524">
        <v>2.59</v>
      </c>
      <c r="L1524">
        <v>1</v>
      </c>
    </row>
    <row r="1525" spans="1:12">
      <c r="A1525" t="s">
        <v>4432</v>
      </c>
      <c r="B1525" t="s">
        <v>4433</v>
      </c>
      <c r="C1525" t="s">
        <v>4434</v>
      </c>
      <c r="D1525" t="s">
        <v>23</v>
      </c>
      <c r="E1525" t="s">
        <v>16</v>
      </c>
      <c r="F1525" t="s">
        <v>36</v>
      </c>
      <c r="G1525" t="s">
        <v>55</v>
      </c>
      <c r="H1525" t="s">
        <v>31</v>
      </c>
      <c r="I1525">
        <v>2</v>
      </c>
      <c r="J1525">
        <v>24</v>
      </c>
      <c r="K1525">
        <v>56.13</v>
      </c>
      <c r="L1525">
        <v>0</v>
      </c>
    </row>
    <row r="1526" spans="1:12">
      <c r="A1526" t="s">
        <v>4435</v>
      </c>
      <c r="B1526" t="s">
        <v>4436</v>
      </c>
      <c r="D1526" t="s">
        <v>35</v>
      </c>
      <c r="E1526" t="s">
        <v>28</v>
      </c>
      <c r="F1526" t="s">
        <v>17</v>
      </c>
      <c r="G1526" t="s">
        <v>77</v>
      </c>
      <c r="H1526" t="s">
        <v>46</v>
      </c>
      <c r="J1526">
        <v>48</v>
      </c>
    </row>
    <row r="1527" spans="1:12">
      <c r="A1527" t="s">
        <v>4437</v>
      </c>
      <c r="B1527" t="s">
        <v>4438</v>
      </c>
      <c r="C1527" t="s">
        <v>4439</v>
      </c>
      <c r="D1527" t="s">
        <v>35</v>
      </c>
      <c r="E1527" t="s">
        <v>54</v>
      </c>
      <c r="F1527" t="s">
        <v>29</v>
      </c>
      <c r="G1527" t="s">
        <v>42</v>
      </c>
      <c r="H1527" t="s">
        <v>31</v>
      </c>
      <c r="I1527">
        <v>4</v>
      </c>
      <c r="J1527">
        <v>48</v>
      </c>
      <c r="K1527">
        <v>13.13</v>
      </c>
      <c r="L1527">
        <v>1</v>
      </c>
    </row>
    <row r="1528" spans="1:12">
      <c r="A1528" t="s">
        <v>4440</v>
      </c>
      <c r="B1528" t="s">
        <v>4441</v>
      </c>
      <c r="C1528" t="s">
        <v>4442</v>
      </c>
      <c r="D1528" t="s">
        <v>35</v>
      </c>
      <c r="E1528" t="s">
        <v>28</v>
      </c>
      <c r="F1528" t="s">
        <v>29</v>
      </c>
      <c r="G1528" t="s">
        <v>30</v>
      </c>
      <c r="H1528" t="s">
        <v>31</v>
      </c>
      <c r="I1528">
        <v>3</v>
      </c>
      <c r="J1528">
        <v>48</v>
      </c>
      <c r="K1528">
        <v>41.06</v>
      </c>
      <c r="L1528">
        <v>1</v>
      </c>
    </row>
    <row r="1529" spans="1:12">
      <c r="A1529" t="s">
        <v>4443</v>
      </c>
      <c r="B1529" t="s">
        <v>4444</v>
      </c>
      <c r="C1529" t="s">
        <v>4445</v>
      </c>
      <c r="D1529" t="s">
        <v>15</v>
      </c>
      <c r="E1529" t="s">
        <v>28</v>
      </c>
      <c r="F1529" t="s">
        <v>60</v>
      </c>
      <c r="G1529" t="s">
        <v>37</v>
      </c>
      <c r="H1529" t="s">
        <v>31</v>
      </c>
      <c r="I1529">
        <v>4</v>
      </c>
      <c r="J1529">
        <v>8</v>
      </c>
      <c r="K1529">
        <v>1.95</v>
      </c>
      <c r="L1529">
        <v>1</v>
      </c>
    </row>
    <row r="1530" spans="1:12">
      <c r="A1530" t="s">
        <v>4446</v>
      </c>
      <c r="B1530" t="s">
        <v>4447</v>
      </c>
      <c r="D1530" t="s">
        <v>35</v>
      </c>
      <c r="E1530" t="s">
        <v>24</v>
      </c>
      <c r="F1530" t="s">
        <v>36</v>
      </c>
      <c r="G1530" t="s">
        <v>42</v>
      </c>
      <c r="H1530" t="s">
        <v>46</v>
      </c>
      <c r="J1530">
        <v>48</v>
      </c>
    </row>
    <row r="1531" spans="1:12">
      <c r="A1531" t="s">
        <v>4448</v>
      </c>
      <c r="B1531" t="s">
        <v>4449</v>
      </c>
      <c r="C1531" t="s">
        <v>4450</v>
      </c>
      <c r="D1531" t="s">
        <v>35</v>
      </c>
      <c r="E1531" t="s">
        <v>16</v>
      </c>
      <c r="F1531" t="s">
        <v>60</v>
      </c>
      <c r="G1531" t="s">
        <v>50</v>
      </c>
      <c r="H1531" t="s">
        <v>19</v>
      </c>
      <c r="I1531">
        <v>4</v>
      </c>
      <c r="J1531">
        <v>48</v>
      </c>
      <c r="K1531">
        <v>30.78</v>
      </c>
      <c r="L1531">
        <v>1</v>
      </c>
    </row>
    <row r="1532" spans="1:12">
      <c r="A1532" t="s">
        <v>4451</v>
      </c>
      <c r="B1532" t="s">
        <v>4452</v>
      </c>
      <c r="C1532" t="s">
        <v>4453</v>
      </c>
      <c r="D1532" t="s">
        <v>35</v>
      </c>
      <c r="E1532" t="s">
        <v>28</v>
      </c>
      <c r="F1532" t="s">
        <v>29</v>
      </c>
      <c r="G1532" t="s">
        <v>151</v>
      </c>
      <c r="H1532" t="s">
        <v>19</v>
      </c>
      <c r="I1532">
        <v>1</v>
      </c>
      <c r="J1532">
        <v>48</v>
      </c>
      <c r="K1532">
        <v>112.96</v>
      </c>
      <c r="L1532">
        <v>0</v>
      </c>
    </row>
    <row r="1533" spans="1:12">
      <c r="A1533" t="s">
        <v>4454</v>
      </c>
      <c r="B1533" t="s">
        <v>4455</v>
      </c>
      <c r="C1533" t="s">
        <v>4456</v>
      </c>
      <c r="D1533" t="s">
        <v>23</v>
      </c>
      <c r="E1533" t="s">
        <v>16</v>
      </c>
      <c r="F1533" t="s">
        <v>17</v>
      </c>
      <c r="G1533" t="s">
        <v>73</v>
      </c>
      <c r="H1533" t="s">
        <v>19</v>
      </c>
      <c r="I1533">
        <v>4</v>
      </c>
      <c r="J1533">
        <v>24</v>
      </c>
      <c r="K1533">
        <v>21.62</v>
      </c>
      <c r="L1533">
        <v>1</v>
      </c>
    </row>
    <row r="1534" spans="1:12">
      <c r="A1534" t="s">
        <v>4457</v>
      </c>
      <c r="B1534" t="s">
        <v>4458</v>
      </c>
      <c r="C1534" t="s">
        <v>4459</v>
      </c>
      <c r="D1534" t="s">
        <v>23</v>
      </c>
      <c r="E1534" t="s">
        <v>16</v>
      </c>
      <c r="F1534" t="s">
        <v>29</v>
      </c>
      <c r="G1534" t="s">
        <v>55</v>
      </c>
      <c r="H1534" t="s">
        <v>19</v>
      </c>
      <c r="I1534">
        <v>5</v>
      </c>
      <c r="J1534">
        <v>24</v>
      </c>
      <c r="K1534">
        <v>6.17</v>
      </c>
      <c r="L1534">
        <v>1</v>
      </c>
    </row>
    <row r="1535" spans="1:12">
      <c r="A1535" t="s">
        <v>4460</v>
      </c>
      <c r="B1535" t="s">
        <v>4461</v>
      </c>
      <c r="C1535" t="s">
        <v>4462</v>
      </c>
      <c r="D1535" t="s">
        <v>23</v>
      </c>
      <c r="E1535" t="s">
        <v>28</v>
      </c>
      <c r="F1535" t="s">
        <v>60</v>
      </c>
      <c r="G1535" t="s">
        <v>77</v>
      </c>
      <c r="H1535" t="s">
        <v>19</v>
      </c>
      <c r="I1535">
        <v>3</v>
      </c>
      <c r="J1535">
        <v>24</v>
      </c>
      <c r="K1535">
        <v>37.68</v>
      </c>
      <c r="L1535">
        <v>0</v>
      </c>
    </row>
    <row r="1536" spans="1:12">
      <c r="A1536" t="s">
        <v>4463</v>
      </c>
      <c r="B1536" t="s">
        <v>4464</v>
      </c>
      <c r="D1536" t="s">
        <v>23</v>
      </c>
      <c r="E1536" t="s">
        <v>54</v>
      </c>
      <c r="F1536" t="s">
        <v>60</v>
      </c>
      <c r="G1536" t="s">
        <v>105</v>
      </c>
      <c r="H1536" t="s">
        <v>63</v>
      </c>
      <c r="J1536">
        <v>24</v>
      </c>
    </row>
    <row r="1537" spans="1:12">
      <c r="A1537" t="s">
        <v>4465</v>
      </c>
      <c r="B1537" t="s">
        <v>4466</v>
      </c>
      <c r="D1537" t="s">
        <v>23</v>
      </c>
      <c r="E1537" t="s">
        <v>16</v>
      </c>
      <c r="F1537" t="s">
        <v>36</v>
      </c>
      <c r="G1537" t="s">
        <v>18</v>
      </c>
      <c r="H1537" t="s">
        <v>46</v>
      </c>
      <c r="J1537">
        <v>24</v>
      </c>
    </row>
    <row r="1538" spans="1:12">
      <c r="A1538" t="s">
        <v>4467</v>
      </c>
      <c r="B1538" t="s">
        <v>4468</v>
      </c>
      <c r="C1538" t="s">
        <v>4469</v>
      </c>
      <c r="D1538" t="s">
        <v>15</v>
      </c>
      <c r="E1538" t="s">
        <v>24</v>
      </c>
      <c r="F1538" t="s">
        <v>17</v>
      </c>
      <c r="G1538" t="s">
        <v>73</v>
      </c>
      <c r="H1538" t="s">
        <v>19</v>
      </c>
      <c r="I1538">
        <v>5</v>
      </c>
      <c r="J1538">
        <v>8</v>
      </c>
      <c r="K1538">
        <v>4.07</v>
      </c>
      <c r="L1538">
        <v>1</v>
      </c>
    </row>
    <row r="1539" spans="1:12">
      <c r="A1539" t="s">
        <v>4470</v>
      </c>
      <c r="B1539" t="s">
        <v>4471</v>
      </c>
      <c r="C1539" t="s">
        <v>4472</v>
      </c>
      <c r="D1539" t="s">
        <v>23</v>
      </c>
      <c r="E1539" t="s">
        <v>16</v>
      </c>
      <c r="F1539" t="s">
        <v>60</v>
      </c>
      <c r="G1539" t="s">
        <v>37</v>
      </c>
      <c r="H1539" t="s">
        <v>19</v>
      </c>
      <c r="I1539">
        <v>5</v>
      </c>
      <c r="J1539">
        <v>24</v>
      </c>
      <c r="K1539">
        <v>15.07</v>
      </c>
      <c r="L1539">
        <v>1</v>
      </c>
    </row>
    <row r="1540" spans="1:12">
      <c r="A1540" t="s">
        <v>4473</v>
      </c>
      <c r="B1540" t="s">
        <v>4474</v>
      </c>
      <c r="C1540" t="s">
        <v>4475</v>
      </c>
      <c r="D1540" t="s">
        <v>23</v>
      </c>
      <c r="E1540" t="s">
        <v>54</v>
      </c>
      <c r="F1540" t="s">
        <v>60</v>
      </c>
      <c r="G1540" t="s">
        <v>172</v>
      </c>
      <c r="H1540" t="s">
        <v>19</v>
      </c>
      <c r="I1540">
        <v>3</v>
      </c>
      <c r="J1540">
        <v>24</v>
      </c>
      <c r="K1540">
        <v>37.15</v>
      </c>
      <c r="L1540">
        <v>0</v>
      </c>
    </row>
    <row r="1541" spans="1:12">
      <c r="A1541" t="s">
        <v>4476</v>
      </c>
      <c r="B1541" t="s">
        <v>4477</v>
      </c>
      <c r="C1541" t="s">
        <v>4478</v>
      </c>
      <c r="D1541" t="s">
        <v>23</v>
      </c>
      <c r="E1541" t="s">
        <v>28</v>
      </c>
      <c r="F1541" t="s">
        <v>36</v>
      </c>
      <c r="G1541" t="s">
        <v>151</v>
      </c>
      <c r="H1541" t="s">
        <v>31</v>
      </c>
      <c r="I1541">
        <v>5</v>
      </c>
      <c r="J1541">
        <v>24</v>
      </c>
      <c r="K1541">
        <v>7.76</v>
      </c>
      <c r="L1541">
        <v>1</v>
      </c>
    </row>
    <row r="1542" spans="1:12">
      <c r="A1542" t="s">
        <v>4479</v>
      </c>
      <c r="B1542" t="s">
        <v>4480</v>
      </c>
      <c r="C1542" t="s">
        <v>4481</v>
      </c>
      <c r="D1542" t="s">
        <v>23</v>
      </c>
      <c r="E1542" t="s">
        <v>59</v>
      </c>
      <c r="F1542" t="s">
        <v>17</v>
      </c>
      <c r="G1542" t="s">
        <v>42</v>
      </c>
      <c r="H1542" t="s">
        <v>19</v>
      </c>
      <c r="I1542">
        <v>5</v>
      </c>
      <c r="J1542">
        <v>24</v>
      </c>
      <c r="K1542">
        <v>4.67</v>
      </c>
      <c r="L1542">
        <v>1</v>
      </c>
    </row>
    <row r="1543" spans="1:12">
      <c r="A1543" t="s">
        <v>4482</v>
      </c>
      <c r="B1543" t="s">
        <v>4483</v>
      </c>
      <c r="C1543" t="s">
        <v>4484</v>
      </c>
      <c r="D1543" t="s">
        <v>15</v>
      </c>
      <c r="E1543" t="s">
        <v>54</v>
      </c>
      <c r="F1543" t="s">
        <v>41</v>
      </c>
      <c r="G1543" t="s">
        <v>37</v>
      </c>
      <c r="H1543" t="s">
        <v>31</v>
      </c>
      <c r="I1543">
        <v>4</v>
      </c>
      <c r="J1543">
        <v>8</v>
      </c>
      <c r="K1543">
        <v>23.47</v>
      </c>
      <c r="L1543">
        <v>0</v>
      </c>
    </row>
    <row r="1544" spans="1:12">
      <c r="A1544" t="s">
        <v>4485</v>
      </c>
      <c r="B1544" t="s">
        <v>4486</v>
      </c>
      <c r="C1544" t="s">
        <v>4487</v>
      </c>
      <c r="D1544" t="s">
        <v>23</v>
      </c>
      <c r="E1544" t="s">
        <v>59</v>
      </c>
      <c r="F1544" t="s">
        <v>60</v>
      </c>
      <c r="G1544" t="s">
        <v>18</v>
      </c>
      <c r="H1544" t="s">
        <v>19</v>
      </c>
      <c r="I1544">
        <v>4</v>
      </c>
      <c r="J1544">
        <v>24</v>
      </c>
      <c r="K1544">
        <v>18.23</v>
      </c>
      <c r="L1544">
        <v>1</v>
      </c>
    </row>
    <row r="1545" spans="1:12">
      <c r="A1545" t="s">
        <v>4488</v>
      </c>
      <c r="B1545" t="s">
        <v>4489</v>
      </c>
      <c r="C1545" t="s">
        <v>4490</v>
      </c>
      <c r="D1545" t="s">
        <v>23</v>
      </c>
      <c r="E1545" t="s">
        <v>54</v>
      </c>
      <c r="F1545" t="s">
        <v>17</v>
      </c>
      <c r="G1545" t="s">
        <v>55</v>
      </c>
      <c r="H1545" t="s">
        <v>31</v>
      </c>
      <c r="I1545">
        <v>4</v>
      </c>
      <c r="J1545">
        <v>24</v>
      </c>
      <c r="K1545">
        <v>18.73</v>
      </c>
      <c r="L1545">
        <v>1</v>
      </c>
    </row>
    <row r="1546" spans="1:12">
      <c r="A1546" t="s">
        <v>4491</v>
      </c>
      <c r="B1546" t="s">
        <v>4492</v>
      </c>
      <c r="C1546" t="s">
        <v>4493</v>
      </c>
      <c r="D1546" t="s">
        <v>23</v>
      </c>
      <c r="E1546" t="s">
        <v>59</v>
      </c>
      <c r="F1546" t="s">
        <v>17</v>
      </c>
      <c r="G1546" t="s">
        <v>172</v>
      </c>
      <c r="H1546" t="s">
        <v>19</v>
      </c>
      <c r="I1546">
        <v>5</v>
      </c>
      <c r="J1546">
        <v>24</v>
      </c>
      <c r="K1546">
        <v>15.35</v>
      </c>
      <c r="L1546">
        <v>1</v>
      </c>
    </row>
    <row r="1547" spans="1:12">
      <c r="A1547" t="s">
        <v>4494</v>
      </c>
      <c r="B1547" t="s">
        <v>4495</v>
      </c>
      <c r="D1547" t="s">
        <v>35</v>
      </c>
      <c r="E1547" t="s">
        <v>16</v>
      </c>
      <c r="F1547" t="s">
        <v>17</v>
      </c>
      <c r="G1547" t="s">
        <v>77</v>
      </c>
      <c r="H1547" t="s">
        <v>63</v>
      </c>
      <c r="J1547">
        <v>48</v>
      </c>
    </row>
    <row r="1548" spans="1:12">
      <c r="A1548" t="s">
        <v>4496</v>
      </c>
      <c r="B1548" t="s">
        <v>4497</v>
      </c>
      <c r="C1548" t="s">
        <v>4498</v>
      </c>
      <c r="D1548" t="s">
        <v>23</v>
      </c>
      <c r="E1548" t="s">
        <v>28</v>
      </c>
      <c r="F1548" t="s">
        <v>36</v>
      </c>
      <c r="G1548" t="s">
        <v>37</v>
      </c>
      <c r="H1548" t="s">
        <v>19</v>
      </c>
      <c r="I1548">
        <v>3</v>
      </c>
      <c r="J1548">
        <v>24</v>
      </c>
      <c r="K1548">
        <v>70.69</v>
      </c>
      <c r="L1548">
        <v>0</v>
      </c>
    </row>
    <row r="1549" spans="1:12">
      <c r="A1549" t="s">
        <v>4499</v>
      </c>
      <c r="B1549" t="s">
        <v>4500</v>
      </c>
      <c r="C1549" t="s">
        <v>4501</v>
      </c>
      <c r="D1549" t="s">
        <v>15</v>
      </c>
      <c r="E1549" t="s">
        <v>16</v>
      </c>
      <c r="F1549" t="s">
        <v>29</v>
      </c>
      <c r="G1549" t="s">
        <v>30</v>
      </c>
      <c r="H1549" t="s">
        <v>19</v>
      </c>
      <c r="I1549">
        <v>4</v>
      </c>
      <c r="J1549">
        <v>8</v>
      </c>
      <c r="K1549">
        <v>5.34</v>
      </c>
      <c r="L1549">
        <v>1</v>
      </c>
    </row>
    <row r="1550" spans="1:12">
      <c r="A1550" t="s">
        <v>4502</v>
      </c>
      <c r="B1550" t="s">
        <v>4503</v>
      </c>
      <c r="C1550" t="s">
        <v>4504</v>
      </c>
      <c r="D1550" t="s">
        <v>23</v>
      </c>
      <c r="E1550" t="s">
        <v>59</v>
      </c>
      <c r="F1550" t="s">
        <v>36</v>
      </c>
      <c r="G1550" t="s">
        <v>37</v>
      </c>
      <c r="H1550" t="s">
        <v>19</v>
      </c>
      <c r="I1550">
        <v>5</v>
      </c>
      <c r="J1550">
        <v>24</v>
      </c>
      <c r="K1550">
        <v>5.67</v>
      </c>
      <c r="L1550">
        <v>1</v>
      </c>
    </row>
    <row r="1551" spans="1:12">
      <c r="A1551" t="s">
        <v>4505</v>
      </c>
      <c r="B1551" t="s">
        <v>4506</v>
      </c>
      <c r="C1551" t="s">
        <v>4507</v>
      </c>
      <c r="D1551" t="s">
        <v>23</v>
      </c>
      <c r="E1551" t="s">
        <v>24</v>
      </c>
      <c r="F1551" t="s">
        <v>41</v>
      </c>
      <c r="G1551" t="s">
        <v>37</v>
      </c>
      <c r="H1551" t="s">
        <v>31</v>
      </c>
      <c r="I1551">
        <v>4</v>
      </c>
      <c r="J1551">
        <v>24</v>
      </c>
      <c r="K1551">
        <v>9.5500000000000007</v>
      </c>
      <c r="L1551">
        <v>1</v>
      </c>
    </row>
    <row r="1552" spans="1:12">
      <c r="A1552" t="s">
        <v>4508</v>
      </c>
      <c r="B1552" t="s">
        <v>4509</v>
      </c>
      <c r="C1552" t="s">
        <v>4510</v>
      </c>
      <c r="D1552" t="s">
        <v>15</v>
      </c>
      <c r="E1552" t="s">
        <v>28</v>
      </c>
      <c r="F1552" t="s">
        <v>60</v>
      </c>
      <c r="G1552" t="s">
        <v>151</v>
      </c>
      <c r="H1552" t="s">
        <v>19</v>
      </c>
      <c r="I1552">
        <v>5</v>
      </c>
      <c r="J1552">
        <v>8</v>
      </c>
      <c r="K1552">
        <v>5.37</v>
      </c>
      <c r="L1552">
        <v>1</v>
      </c>
    </row>
    <row r="1553" spans="1:12">
      <c r="A1553" t="s">
        <v>4511</v>
      </c>
      <c r="B1553" t="s">
        <v>4512</v>
      </c>
      <c r="C1553" t="s">
        <v>4513</v>
      </c>
      <c r="D1553" t="s">
        <v>23</v>
      </c>
      <c r="E1553" t="s">
        <v>28</v>
      </c>
      <c r="F1553" t="s">
        <v>60</v>
      </c>
      <c r="G1553" t="s">
        <v>42</v>
      </c>
      <c r="H1553" t="s">
        <v>31</v>
      </c>
      <c r="I1553">
        <v>4</v>
      </c>
      <c r="J1553">
        <v>24</v>
      </c>
      <c r="K1553">
        <v>7.14</v>
      </c>
      <c r="L1553">
        <v>1</v>
      </c>
    </row>
    <row r="1554" spans="1:12">
      <c r="A1554" t="s">
        <v>4514</v>
      </c>
      <c r="B1554" t="s">
        <v>4515</v>
      </c>
      <c r="C1554" t="s">
        <v>4516</v>
      </c>
      <c r="D1554" t="s">
        <v>15</v>
      </c>
      <c r="E1554" t="s">
        <v>16</v>
      </c>
      <c r="F1554" t="s">
        <v>41</v>
      </c>
      <c r="G1554" t="s">
        <v>73</v>
      </c>
      <c r="H1554" t="s">
        <v>19</v>
      </c>
      <c r="I1554">
        <v>2</v>
      </c>
      <c r="J1554">
        <v>8</v>
      </c>
      <c r="K1554">
        <v>22.6</v>
      </c>
      <c r="L1554">
        <v>0</v>
      </c>
    </row>
    <row r="1555" spans="1:12">
      <c r="A1555" t="s">
        <v>4517</v>
      </c>
      <c r="B1555" t="s">
        <v>4518</v>
      </c>
      <c r="C1555" t="s">
        <v>4519</v>
      </c>
      <c r="D1555" t="s">
        <v>35</v>
      </c>
      <c r="E1555" t="s">
        <v>16</v>
      </c>
      <c r="F1555" t="s">
        <v>29</v>
      </c>
      <c r="G1555" t="s">
        <v>42</v>
      </c>
      <c r="H1555" t="s">
        <v>31</v>
      </c>
      <c r="I1555">
        <v>5</v>
      </c>
      <c r="J1555">
        <v>48</v>
      </c>
      <c r="K1555">
        <v>11.67</v>
      </c>
      <c r="L1555">
        <v>1</v>
      </c>
    </row>
    <row r="1556" spans="1:12">
      <c r="A1556" t="s">
        <v>4520</v>
      </c>
      <c r="B1556" t="s">
        <v>4521</v>
      </c>
      <c r="C1556" t="s">
        <v>4522</v>
      </c>
      <c r="D1556" t="s">
        <v>23</v>
      </c>
      <c r="E1556" t="s">
        <v>16</v>
      </c>
      <c r="F1556" t="s">
        <v>17</v>
      </c>
      <c r="G1556" t="s">
        <v>77</v>
      </c>
      <c r="H1556" t="s">
        <v>19</v>
      </c>
      <c r="I1556">
        <v>2</v>
      </c>
      <c r="J1556">
        <v>24</v>
      </c>
      <c r="K1556">
        <v>53.44</v>
      </c>
      <c r="L1556">
        <v>0</v>
      </c>
    </row>
    <row r="1557" spans="1:12">
      <c r="A1557" t="s">
        <v>4523</v>
      </c>
      <c r="B1557" t="s">
        <v>4524</v>
      </c>
      <c r="D1557" t="s">
        <v>15</v>
      </c>
      <c r="E1557" t="s">
        <v>16</v>
      </c>
      <c r="F1557" t="s">
        <v>41</v>
      </c>
      <c r="G1557" t="s">
        <v>105</v>
      </c>
      <c r="H1557" t="s">
        <v>46</v>
      </c>
      <c r="J1557">
        <v>8</v>
      </c>
    </row>
    <row r="1558" spans="1:12">
      <c r="A1558" t="s">
        <v>4525</v>
      </c>
      <c r="B1558" t="s">
        <v>4526</v>
      </c>
      <c r="C1558" t="s">
        <v>4527</v>
      </c>
      <c r="D1558" t="s">
        <v>158</v>
      </c>
      <c r="E1558" t="s">
        <v>24</v>
      </c>
      <c r="F1558" t="s">
        <v>29</v>
      </c>
      <c r="G1558" t="s">
        <v>105</v>
      </c>
      <c r="H1558" t="s">
        <v>31</v>
      </c>
      <c r="I1558">
        <v>2</v>
      </c>
      <c r="J1558">
        <v>4</v>
      </c>
      <c r="K1558">
        <v>9.19</v>
      </c>
      <c r="L1558">
        <v>0</v>
      </c>
    </row>
    <row r="1559" spans="1:12">
      <c r="A1559" t="s">
        <v>4528</v>
      </c>
      <c r="B1559" t="s">
        <v>4529</v>
      </c>
      <c r="C1559" t="s">
        <v>4530</v>
      </c>
      <c r="D1559" t="s">
        <v>35</v>
      </c>
      <c r="E1559" t="s">
        <v>59</v>
      </c>
      <c r="F1559" t="s">
        <v>36</v>
      </c>
      <c r="G1559" t="s">
        <v>30</v>
      </c>
      <c r="H1559" t="s">
        <v>19</v>
      </c>
      <c r="I1559">
        <v>4</v>
      </c>
      <c r="J1559">
        <v>48</v>
      </c>
      <c r="K1559">
        <v>14.7</v>
      </c>
      <c r="L1559">
        <v>1</v>
      </c>
    </row>
    <row r="1560" spans="1:12">
      <c r="A1560" t="s">
        <v>4531</v>
      </c>
      <c r="B1560" t="s">
        <v>4532</v>
      </c>
      <c r="C1560" t="s">
        <v>4533</v>
      </c>
      <c r="D1560" t="s">
        <v>23</v>
      </c>
      <c r="E1560" t="s">
        <v>28</v>
      </c>
      <c r="F1560" t="s">
        <v>41</v>
      </c>
      <c r="G1560" t="s">
        <v>77</v>
      </c>
      <c r="H1560" t="s">
        <v>31</v>
      </c>
      <c r="I1560">
        <v>5</v>
      </c>
      <c r="J1560">
        <v>24</v>
      </c>
      <c r="K1560">
        <v>14.78</v>
      </c>
      <c r="L1560">
        <v>1</v>
      </c>
    </row>
    <row r="1561" spans="1:12">
      <c r="A1561" t="s">
        <v>4534</v>
      </c>
      <c r="B1561" t="s">
        <v>4535</v>
      </c>
      <c r="D1561" t="s">
        <v>23</v>
      </c>
      <c r="E1561" t="s">
        <v>54</v>
      </c>
      <c r="F1561" t="s">
        <v>60</v>
      </c>
      <c r="G1561" t="s">
        <v>151</v>
      </c>
      <c r="H1561" t="s">
        <v>63</v>
      </c>
      <c r="J1561">
        <v>24</v>
      </c>
    </row>
    <row r="1562" spans="1:12">
      <c r="A1562" t="s">
        <v>4536</v>
      </c>
      <c r="B1562" t="s">
        <v>4537</v>
      </c>
      <c r="C1562" t="s">
        <v>4538</v>
      </c>
      <c r="D1562" t="s">
        <v>158</v>
      </c>
      <c r="E1562" t="s">
        <v>59</v>
      </c>
      <c r="F1562" t="s">
        <v>17</v>
      </c>
      <c r="G1562" t="s">
        <v>172</v>
      </c>
      <c r="H1562" t="s">
        <v>31</v>
      </c>
      <c r="I1562">
        <v>5</v>
      </c>
      <c r="J1562">
        <v>4</v>
      </c>
      <c r="K1562">
        <v>2.4500000000000002</v>
      </c>
      <c r="L1562">
        <v>1</v>
      </c>
    </row>
    <row r="1563" spans="1:12">
      <c r="A1563" t="s">
        <v>4539</v>
      </c>
      <c r="B1563" t="s">
        <v>4540</v>
      </c>
      <c r="C1563" t="s">
        <v>4541</v>
      </c>
      <c r="D1563" t="s">
        <v>23</v>
      </c>
      <c r="E1563" t="s">
        <v>28</v>
      </c>
      <c r="F1563" t="s">
        <v>41</v>
      </c>
      <c r="G1563" t="s">
        <v>50</v>
      </c>
      <c r="H1563" t="s">
        <v>31</v>
      </c>
      <c r="I1563">
        <v>5</v>
      </c>
      <c r="J1563">
        <v>24</v>
      </c>
      <c r="K1563">
        <v>21.58</v>
      </c>
      <c r="L1563">
        <v>1</v>
      </c>
    </row>
    <row r="1564" spans="1:12">
      <c r="A1564" t="s">
        <v>4542</v>
      </c>
      <c r="B1564" t="s">
        <v>4543</v>
      </c>
      <c r="C1564" t="s">
        <v>4544</v>
      </c>
      <c r="D1564" t="s">
        <v>23</v>
      </c>
      <c r="E1564" t="s">
        <v>28</v>
      </c>
      <c r="F1564" t="s">
        <v>36</v>
      </c>
      <c r="G1564" t="s">
        <v>18</v>
      </c>
      <c r="H1564" t="s">
        <v>31</v>
      </c>
      <c r="I1564">
        <v>3</v>
      </c>
      <c r="J1564">
        <v>24</v>
      </c>
      <c r="K1564">
        <v>21.7</v>
      </c>
      <c r="L1564">
        <v>1</v>
      </c>
    </row>
    <row r="1565" spans="1:12">
      <c r="A1565" t="s">
        <v>4545</v>
      </c>
      <c r="B1565" t="s">
        <v>4546</v>
      </c>
      <c r="C1565" t="s">
        <v>4547</v>
      </c>
      <c r="D1565" t="s">
        <v>23</v>
      </c>
      <c r="E1565" t="s">
        <v>24</v>
      </c>
      <c r="F1565" t="s">
        <v>41</v>
      </c>
      <c r="G1565" t="s">
        <v>45</v>
      </c>
      <c r="H1565" t="s">
        <v>19</v>
      </c>
      <c r="I1565">
        <v>5</v>
      </c>
      <c r="J1565">
        <v>24</v>
      </c>
      <c r="K1565">
        <v>9.59</v>
      </c>
      <c r="L1565">
        <v>1</v>
      </c>
    </row>
    <row r="1566" spans="1:12">
      <c r="A1566" t="s">
        <v>4548</v>
      </c>
      <c r="B1566" t="s">
        <v>4549</v>
      </c>
      <c r="D1566" t="s">
        <v>23</v>
      </c>
      <c r="E1566" t="s">
        <v>24</v>
      </c>
      <c r="F1566" t="s">
        <v>41</v>
      </c>
      <c r="G1566" t="s">
        <v>105</v>
      </c>
      <c r="H1566" t="s">
        <v>46</v>
      </c>
      <c r="J1566">
        <v>24</v>
      </c>
    </row>
    <row r="1567" spans="1:12">
      <c r="A1567" t="s">
        <v>4550</v>
      </c>
      <c r="B1567" t="s">
        <v>4551</v>
      </c>
      <c r="C1567" t="s">
        <v>4552</v>
      </c>
      <c r="D1567" t="s">
        <v>23</v>
      </c>
      <c r="E1567" t="s">
        <v>24</v>
      </c>
      <c r="F1567" t="s">
        <v>60</v>
      </c>
      <c r="G1567" t="s">
        <v>77</v>
      </c>
      <c r="H1567" t="s">
        <v>31</v>
      </c>
      <c r="I1567">
        <v>5</v>
      </c>
      <c r="J1567">
        <v>24</v>
      </c>
      <c r="K1567">
        <v>17.77</v>
      </c>
      <c r="L1567">
        <v>1</v>
      </c>
    </row>
    <row r="1568" spans="1:12">
      <c r="A1568" t="s">
        <v>4553</v>
      </c>
      <c r="B1568" t="s">
        <v>4554</v>
      </c>
      <c r="C1568" t="s">
        <v>4555</v>
      </c>
      <c r="D1568" t="s">
        <v>35</v>
      </c>
      <c r="E1568" t="s">
        <v>16</v>
      </c>
      <c r="F1568" t="s">
        <v>29</v>
      </c>
      <c r="G1568" t="s">
        <v>172</v>
      </c>
      <c r="H1568" t="s">
        <v>31</v>
      </c>
      <c r="I1568">
        <v>4</v>
      </c>
      <c r="J1568">
        <v>48</v>
      </c>
      <c r="K1568">
        <v>38.92</v>
      </c>
      <c r="L1568">
        <v>1</v>
      </c>
    </row>
    <row r="1569" spans="1:12">
      <c r="A1569" t="s">
        <v>4556</v>
      </c>
      <c r="B1569" t="s">
        <v>4557</v>
      </c>
      <c r="C1569" t="s">
        <v>4558</v>
      </c>
      <c r="D1569" t="s">
        <v>15</v>
      </c>
      <c r="E1569" t="s">
        <v>59</v>
      </c>
      <c r="F1569" t="s">
        <v>36</v>
      </c>
      <c r="G1569" t="s">
        <v>151</v>
      </c>
      <c r="H1569" t="s">
        <v>19</v>
      </c>
      <c r="I1569">
        <v>5</v>
      </c>
      <c r="J1569">
        <v>8</v>
      </c>
      <c r="K1569">
        <v>5.15</v>
      </c>
      <c r="L1569">
        <v>1</v>
      </c>
    </row>
    <row r="1570" spans="1:12">
      <c r="A1570" t="s">
        <v>4559</v>
      </c>
      <c r="B1570" t="s">
        <v>4560</v>
      </c>
      <c r="C1570" t="s">
        <v>4561</v>
      </c>
      <c r="D1570" t="s">
        <v>15</v>
      </c>
      <c r="E1570" t="s">
        <v>16</v>
      </c>
      <c r="F1570" t="s">
        <v>29</v>
      </c>
      <c r="G1570" t="s">
        <v>172</v>
      </c>
      <c r="H1570" t="s">
        <v>31</v>
      </c>
      <c r="I1570">
        <v>4</v>
      </c>
      <c r="J1570">
        <v>8</v>
      </c>
      <c r="K1570">
        <v>20.170000000000002</v>
      </c>
      <c r="L1570">
        <v>0</v>
      </c>
    </row>
    <row r="1571" spans="1:12">
      <c r="A1571" t="s">
        <v>4562</v>
      </c>
      <c r="B1571" t="s">
        <v>4563</v>
      </c>
      <c r="C1571" t="s">
        <v>4564</v>
      </c>
      <c r="D1571" t="s">
        <v>158</v>
      </c>
      <c r="E1571" t="s">
        <v>24</v>
      </c>
      <c r="F1571" t="s">
        <v>29</v>
      </c>
      <c r="G1571" t="s">
        <v>77</v>
      </c>
      <c r="H1571" t="s">
        <v>31</v>
      </c>
      <c r="I1571">
        <v>5</v>
      </c>
      <c r="J1571">
        <v>4</v>
      </c>
      <c r="K1571">
        <v>2.97</v>
      </c>
      <c r="L1571">
        <v>1</v>
      </c>
    </row>
    <row r="1572" spans="1:12">
      <c r="A1572" t="s">
        <v>4565</v>
      </c>
      <c r="B1572" t="s">
        <v>4566</v>
      </c>
      <c r="C1572" t="s">
        <v>4567</v>
      </c>
      <c r="D1572" t="s">
        <v>23</v>
      </c>
      <c r="E1572" t="s">
        <v>24</v>
      </c>
      <c r="F1572" t="s">
        <v>36</v>
      </c>
      <c r="G1572" t="s">
        <v>42</v>
      </c>
      <c r="H1572" t="s">
        <v>31</v>
      </c>
      <c r="I1572">
        <v>3</v>
      </c>
      <c r="J1572">
        <v>24</v>
      </c>
      <c r="K1572">
        <v>56.24</v>
      </c>
      <c r="L1572">
        <v>0</v>
      </c>
    </row>
    <row r="1573" spans="1:12">
      <c r="A1573" t="s">
        <v>4568</v>
      </c>
      <c r="B1573" t="s">
        <v>4569</v>
      </c>
      <c r="D1573" t="s">
        <v>23</v>
      </c>
      <c r="E1573" t="s">
        <v>28</v>
      </c>
      <c r="F1573" t="s">
        <v>41</v>
      </c>
      <c r="G1573" t="s">
        <v>73</v>
      </c>
      <c r="H1573" t="s">
        <v>63</v>
      </c>
      <c r="J1573">
        <v>24</v>
      </c>
    </row>
    <row r="1574" spans="1:12">
      <c r="A1574" t="s">
        <v>4570</v>
      </c>
      <c r="B1574" t="s">
        <v>4571</v>
      </c>
      <c r="C1574" t="s">
        <v>4572</v>
      </c>
      <c r="D1574" t="s">
        <v>35</v>
      </c>
      <c r="E1574" t="s">
        <v>16</v>
      </c>
      <c r="F1574" t="s">
        <v>29</v>
      </c>
      <c r="G1574" t="s">
        <v>55</v>
      </c>
      <c r="H1574" t="s">
        <v>31</v>
      </c>
      <c r="I1574">
        <v>4</v>
      </c>
      <c r="J1574">
        <v>48</v>
      </c>
      <c r="K1574">
        <v>45.58</v>
      </c>
      <c r="L1574">
        <v>1</v>
      </c>
    </row>
    <row r="1575" spans="1:12">
      <c r="A1575" t="s">
        <v>4573</v>
      </c>
      <c r="B1575" t="s">
        <v>4574</v>
      </c>
      <c r="C1575" t="s">
        <v>4575</v>
      </c>
      <c r="D1575" t="s">
        <v>15</v>
      </c>
      <c r="E1575" t="s">
        <v>24</v>
      </c>
      <c r="F1575" t="s">
        <v>29</v>
      </c>
      <c r="G1575" t="s">
        <v>30</v>
      </c>
      <c r="H1575" t="s">
        <v>19</v>
      </c>
      <c r="I1575">
        <v>1</v>
      </c>
      <c r="J1575">
        <v>8</v>
      </c>
      <c r="K1575">
        <v>23.74</v>
      </c>
      <c r="L1575">
        <v>0</v>
      </c>
    </row>
    <row r="1576" spans="1:12">
      <c r="A1576" t="s">
        <v>4576</v>
      </c>
      <c r="B1576" t="s">
        <v>4577</v>
      </c>
      <c r="C1576" t="s">
        <v>4578</v>
      </c>
      <c r="D1576" t="s">
        <v>23</v>
      </c>
      <c r="E1576" t="s">
        <v>16</v>
      </c>
      <c r="F1576" t="s">
        <v>17</v>
      </c>
      <c r="G1576" t="s">
        <v>30</v>
      </c>
      <c r="H1576" t="s">
        <v>19</v>
      </c>
      <c r="I1576">
        <v>2</v>
      </c>
      <c r="J1576">
        <v>24</v>
      </c>
      <c r="K1576">
        <v>65.33</v>
      </c>
      <c r="L1576">
        <v>0</v>
      </c>
    </row>
    <row r="1577" spans="1:12">
      <c r="A1577" t="s">
        <v>4579</v>
      </c>
      <c r="B1577" t="s">
        <v>4580</v>
      </c>
      <c r="C1577" t="s">
        <v>4581</v>
      </c>
      <c r="D1577" t="s">
        <v>23</v>
      </c>
      <c r="E1577" t="s">
        <v>54</v>
      </c>
      <c r="F1577" t="s">
        <v>60</v>
      </c>
      <c r="G1577" t="s">
        <v>18</v>
      </c>
      <c r="H1577" t="s">
        <v>19</v>
      </c>
      <c r="I1577">
        <v>2</v>
      </c>
      <c r="J1577">
        <v>24</v>
      </c>
      <c r="K1577">
        <v>52.39</v>
      </c>
      <c r="L1577">
        <v>0</v>
      </c>
    </row>
    <row r="1578" spans="1:12">
      <c r="A1578" t="s">
        <v>4582</v>
      </c>
      <c r="B1578" t="s">
        <v>4583</v>
      </c>
      <c r="C1578" t="s">
        <v>4584</v>
      </c>
      <c r="D1578" t="s">
        <v>35</v>
      </c>
      <c r="E1578" t="s">
        <v>28</v>
      </c>
      <c r="F1578" t="s">
        <v>29</v>
      </c>
      <c r="G1578" t="s">
        <v>105</v>
      </c>
      <c r="H1578" t="s">
        <v>31</v>
      </c>
      <c r="I1578">
        <v>4</v>
      </c>
      <c r="J1578">
        <v>48</v>
      </c>
      <c r="K1578">
        <v>37.51</v>
      </c>
      <c r="L1578">
        <v>1</v>
      </c>
    </row>
    <row r="1579" spans="1:12">
      <c r="A1579" t="s">
        <v>4585</v>
      </c>
      <c r="B1579" t="s">
        <v>4586</v>
      </c>
      <c r="C1579" t="s">
        <v>4587</v>
      </c>
      <c r="D1579" t="s">
        <v>35</v>
      </c>
      <c r="E1579" t="s">
        <v>59</v>
      </c>
      <c r="F1579" t="s">
        <v>29</v>
      </c>
      <c r="G1579" t="s">
        <v>77</v>
      </c>
      <c r="H1579" t="s">
        <v>19</v>
      </c>
      <c r="I1579">
        <v>3</v>
      </c>
      <c r="J1579">
        <v>48</v>
      </c>
      <c r="K1579">
        <v>62.99</v>
      </c>
      <c r="L1579">
        <v>0</v>
      </c>
    </row>
    <row r="1580" spans="1:12">
      <c r="A1580" t="s">
        <v>4588</v>
      </c>
      <c r="B1580" t="s">
        <v>4589</v>
      </c>
      <c r="D1580" t="s">
        <v>15</v>
      </c>
      <c r="E1580" t="s">
        <v>28</v>
      </c>
      <c r="F1580" t="s">
        <v>17</v>
      </c>
      <c r="G1580" t="s">
        <v>42</v>
      </c>
      <c r="H1580" t="s">
        <v>46</v>
      </c>
      <c r="J1580">
        <v>8</v>
      </c>
    </row>
    <row r="1581" spans="1:12">
      <c r="A1581" t="s">
        <v>4590</v>
      </c>
      <c r="B1581" t="s">
        <v>4591</v>
      </c>
      <c r="C1581" t="s">
        <v>4592</v>
      </c>
      <c r="D1581" t="s">
        <v>35</v>
      </c>
      <c r="E1581" t="s">
        <v>16</v>
      </c>
      <c r="F1581" t="s">
        <v>60</v>
      </c>
      <c r="G1581" t="s">
        <v>172</v>
      </c>
      <c r="H1581" t="s">
        <v>19</v>
      </c>
      <c r="I1581">
        <v>2</v>
      </c>
      <c r="J1581">
        <v>48</v>
      </c>
      <c r="K1581">
        <v>71.72</v>
      </c>
      <c r="L1581">
        <v>0</v>
      </c>
    </row>
    <row r="1582" spans="1:12">
      <c r="A1582" t="s">
        <v>4593</v>
      </c>
      <c r="B1582" t="s">
        <v>4594</v>
      </c>
      <c r="C1582" t="s">
        <v>4595</v>
      </c>
      <c r="D1582" t="s">
        <v>23</v>
      </c>
      <c r="E1582" t="s">
        <v>54</v>
      </c>
      <c r="F1582" t="s">
        <v>17</v>
      </c>
      <c r="G1582" t="s">
        <v>50</v>
      </c>
      <c r="H1582" t="s">
        <v>19</v>
      </c>
      <c r="I1582">
        <v>2</v>
      </c>
      <c r="J1582">
        <v>24</v>
      </c>
      <c r="K1582">
        <v>46.74</v>
      </c>
      <c r="L1582">
        <v>0</v>
      </c>
    </row>
    <row r="1583" spans="1:12">
      <c r="A1583" t="s">
        <v>4596</v>
      </c>
      <c r="B1583" t="s">
        <v>4597</v>
      </c>
      <c r="C1583" t="s">
        <v>4598</v>
      </c>
      <c r="D1583" t="s">
        <v>23</v>
      </c>
      <c r="E1583" t="s">
        <v>59</v>
      </c>
      <c r="F1583" t="s">
        <v>17</v>
      </c>
      <c r="G1583" t="s">
        <v>30</v>
      </c>
      <c r="H1583" t="s">
        <v>31</v>
      </c>
      <c r="I1583">
        <v>4</v>
      </c>
      <c r="J1583">
        <v>24</v>
      </c>
      <c r="K1583">
        <v>3.57</v>
      </c>
      <c r="L1583">
        <v>1</v>
      </c>
    </row>
    <row r="1584" spans="1:12">
      <c r="A1584" t="s">
        <v>4599</v>
      </c>
      <c r="B1584" t="s">
        <v>4600</v>
      </c>
      <c r="D1584" t="s">
        <v>23</v>
      </c>
      <c r="E1584" t="s">
        <v>24</v>
      </c>
      <c r="F1584" t="s">
        <v>29</v>
      </c>
      <c r="G1584" t="s">
        <v>42</v>
      </c>
      <c r="H1584" t="s">
        <v>63</v>
      </c>
      <c r="J1584">
        <v>24</v>
      </c>
    </row>
    <row r="1585" spans="1:12">
      <c r="A1585" t="s">
        <v>4601</v>
      </c>
      <c r="B1585" t="s">
        <v>4602</v>
      </c>
      <c r="C1585" t="s">
        <v>4603</v>
      </c>
      <c r="D1585" t="s">
        <v>23</v>
      </c>
      <c r="E1585" t="s">
        <v>59</v>
      </c>
      <c r="F1585" t="s">
        <v>36</v>
      </c>
      <c r="G1585" t="s">
        <v>105</v>
      </c>
      <c r="H1585" t="s">
        <v>31</v>
      </c>
      <c r="I1585">
        <v>4</v>
      </c>
      <c r="J1585">
        <v>24</v>
      </c>
      <c r="K1585">
        <v>17.989999999999998</v>
      </c>
      <c r="L1585">
        <v>1</v>
      </c>
    </row>
    <row r="1586" spans="1:12">
      <c r="A1586" t="s">
        <v>4604</v>
      </c>
      <c r="B1586" t="s">
        <v>4605</v>
      </c>
      <c r="C1586" t="s">
        <v>4606</v>
      </c>
      <c r="D1586" t="s">
        <v>15</v>
      </c>
      <c r="E1586" t="s">
        <v>28</v>
      </c>
      <c r="F1586" t="s">
        <v>60</v>
      </c>
      <c r="G1586" t="s">
        <v>105</v>
      </c>
      <c r="H1586" t="s">
        <v>31</v>
      </c>
      <c r="I1586">
        <v>5</v>
      </c>
      <c r="J1586">
        <v>8</v>
      </c>
      <c r="K1586">
        <v>4.68</v>
      </c>
      <c r="L1586">
        <v>1</v>
      </c>
    </row>
    <row r="1587" spans="1:12">
      <c r="A1587" t="s">
        <v>4607</v>
      </c>
      <c r="B1587" t="s">
        <v>4608</v>
      </c>
      <c r="C1587" t="s">
        <v>4609</v>
      </c>
      <c r="D1587" t="s">
        <v>15</v>
      </c>
      <c r="E1587" t="s">
        <v>28</v>
      </c>
      <c r="F1587" t="s">
        <v>60</v>
      </c>
      <c r="G1587" t="s">
        <v>172</v>
      </c>
      <c r="H1587" t="s">
        <v>31</v>
      </c>
      <c r="I1587">
        <v>3</v>
      </c>
      <c r="J1587">
        <v>8</v>
      </c>
      <c r="K1587">
        <v>9.23</v>
      </c>
      <c r="L1587">
        <v>0</v>
      </c>
    </row>
    <row r="1588" spans="1:12">
      <c r="A1588" t="s">
        <v>4610</v>
      </c>
      <c r="B1588" t="s">
        <v>4611</v>
      </c>
      <c r="C1588" t="s">
        <v>4612</v>
      </c>
      <c r="D1588" t="s">
        <v>15</v>
      </c>
      <c r="E1588" t="s">
        <v>59</v>
      </c>
      <c r="F1588" t="s">
        <v>60</v>
      </c>
      <c r="G1588" t="s">
        <v>42</v>
      </c>
      <c r="H1588" t="s">
        <v>19</v>
      </c>
      <c r="I1588">
        <v>4</v>
      </c>
      <c r="J1588">
        <v>8</v>
      </c>
      <c r="K1588">
        <v>5.78</v>
      </c>
      <c r="L1588">
        <v>1</v>
      </c>
    </row>
    <row r="1589" spans="1:12">
      <c r="A1589" t="s">
        <v>4613</v>
      </c>
      <c r="B1589" t="s">
        <v>4614</v>
      </c>
      <c r="C1589" t="s">
        <v>4615</v>
      </c>
      <c r="D1589" t="s">
        <v>23</v>
      </c>
      <c r="E1589" t="s">
        <v>59</v>
      </c>
      <c r="F1589" t="s">
        <v>17</v>
      </c>
      <c r="G1589" t="s">
        <v>30</v>
      </c>
      <c r="H1589" t="s">
        <v>31</v>
      </c>
      <c r="I1589">
        <v>3</v>
      </c>
      <c r="J1589">
        <v>24</v>
      </c>
      <c r="K1589">
        <v>4.84</v>
      </c>
      <c r="L1589">
        <v>1</v>
      </c>
    </row>
    <row r="1590" spans="1:12">
      <c r="A1590" t="s">
        <v>4616</v>
      </c>
      <c r="B1590" t="s">
        <v>4617</v>
      </c>
      <c r="C1590" t="s">
        <v>4618</v>
      </c>
      <c r="D1590" t="s">
        <v>23</v>
      </c>
      <c r="E1590" t="s">
        <v>59</v>
      </c>
      <c r="F1590" t="s">
        <v>41</v>
      </c>
      <c r="G1590" t="s">
        <v>37</v>
      </c>
      <c r="H1590" t="s">
        <v>19</v>
      </c>
      <c r="I1590">
        <v>4</v>
      </c>
      <c r="J1590">
        <v>24</v>
      </c>
      <c r="K1590">
        <v>19.68</v>
      </c>
      <c r="L1590">
        <v>1</v>
      </c>
    </row>
    <row r="1591" spans="1:12">
      <c r="A1591" t="s">
        <v>4619</v>
      </c>
      <c r="B1591" t="s">
        <v>4620</v>
      </c>
      <c r="C1591" t="s">
        <v>4621</v>
      </c>
      <c r="D1591" t="s">
        <v>23</v>
      </c>
      <c r="E1591" t="s">
        <v>24</v>
      </c>
      <c r="F1591" t="s">
        <v>29</v>
      </c>
      <c r="G1591" t="s">
        <v>50</v>
      </c>
      <c r="H1591" t="s">
        <v>19</v>
      </c>
      <c r="I1591">
        <v>4</v>
      </c>
      <c r="J1591">
        <v>24</v>
      </c>
      <c r="K1591">
        <v>6.49</v>
      </c>
      <c r="L1591">
        <v>1</v>
      </c>
    </row>
    <row r="1592" spans="1:12">
      <c r="A1592" t="s">
        <v>4622</v>
      </c>
      <c r="B1592" t="s">
        <v>4623</v>
      </c>
      <c r="C1592" t="s">
        <v>4624</v>
      </c>
      <c r="D1592" t="s">
        <v>23</v>
      </c>
      <c r="E1592" t="s">
        <v>28</v>
      </c>
      <c r="F1592" t="s">
        <v>36</v>
      </c>
      <c r="G1592" t="s">
        <v>77</v>
      </c>
      <c r="H1592" t="s">
        <v>19</v>
      </c>
      <c r="I1592">
        <v>2</v>
      </c>
      <c r="J1592">
        <v>24</v>
      </c>
      <c r="K1592">
        <v>28.05</v>
      </c>
      <c r="L1592">
        <v>0</v>
      </c>
    </row>
    <row r="1593" spans="1:12">
      <c r="A1593" t="s">
        <v>4625</v>
      </c>
      <c r="B1593" t="s">
        <v>4626</v>
      </c>
      <c r="C1593" t="s">
        <v>4627</v>
      </c>
      <c r="D1593" t="s">
        <v>23</v>
      </c>
      <c r="E1593" t="s">
        <v>24</v>
      </c>
      <c r="F1593" t="s">
        <v>60</v>
      </c>
      <c r="G1593" t="s">
        <v>30</v>
      </c>
      <c r="H1593" t="s">
        <v>19</v>
      </c>
      <c r="I1593">
        <v>5</v>
      </c>
      <c r="J1593">
        <v>24</v>
      </c>
      <c r="K1593">
        <v>2.96</v>
      </c>
      <c r="L1593">
        <v>1</v>
      </c>
    </row>
    <row r="1594" spans="1:12">
      <c r="A1594" t="s">
        <v>4628</v>
      </c>
      <c r="B1594" t="s">
        <v>4629</v>
      </c>
      <c r="C1594" t="s">
        <v>4630</v>
      </c>
      <c r="D1594" t="s">
        <v>23</v>
      </c>
      <c r="E1594" t="s">
        <v>24</v>
      </c>
      <c r="F1594" t="s">
        <v>17</v>
      </c>
      <c r="G1594" t="s">
        <v>18</v>
      </c>
      <c r="H1594" t="s">
        <v>31</v>
      </c>
      <c r="I1594">
        <v>5</v>
      </c>
      <c r="J1594">
        <v>24</v>
      </c>
      <c r="K1594">
        <v>13.32</v>
      </c>
      <c r="L1594">
        <v>1</v>
      </c>
    </row>
    <row r="1595" spans="1:12">
      <c r="A1595" t="s">
        <v>4631</v>
      </c>
      <c r="B1595" t="s">
        <v>4632</v>
      </c>
      <c r="C1595" t="s">
        <v>4633</v>
      </c>
      <c r="D1595" t="s">
        <v>35</v>
      </c>
      <c r="E1595" t="s">
        <v>59</v>
      </c>
      <c r="F1595" t="s">
        <v>60</v>
      </c>
      <c r="G1595" t="s">
        <v>172</v>
      </c>
      <c r="H1595" t="s">
        <v>31</v>
      </c>
      <c r="I1595">
        <v>3</v>
      </c>
      <c r="J1595">
        <v>48</v>
      </c>
      <c r="K1595">
        <v>116.52</v>
      </c>
      <c r="L1595">
        <v>0</v>
      </c>
    </row>
    <row r="1596" spans="1:12">
      <c r="A1596" t="s">
        <v>4634</v>
      </c>
      <c r="B1596" t="s">
        <v>4635</v>
      </c>
      <c r="C1596" t="s">
        <v>4636</v>
      </c>
      <c r="D1596" t="s">
        <v>23</v>
      </c>
      <c r="E1596" t="s">
        <v>16</v>
      </c>
      <c r="F1596" t="s">
        <v>41</v>
      </c>
      <c r="G1596" t="s">
        <v>30</v>
      </c>
      <c r="H1596" t="s">
        <v>31</v>
      </c>
      <c r="I1596">
        <v>3</v>
      </c>
      <c r="J1596">
        <v>24</v>
      </c>
      <c r="K1596">
        <v>66.77</v>
      </c>
      <c r="L1596">
        <v>0</v>
      </c>
    </row>
    <row r="1597" spans="1:12">
      <c r="A1597" t="s">
        <v>4637</v>
      </c>
      <c r="B1597" t="s">
        <v>4638</v>
      </c>
      <c r="C1597" t="s">
        <v>4639</v>
      </c>
      <c r="D1597" t="s">
        <v>35</v>
      </c>
      <c r="E1597" t="s">
        <v>28</v>
      </c>
      <c r="F1597" t="s">
        <v>29</v>
      </c>
      <c r="G1597" t="s">
        <v>42</v>
      </c>
      <c r="H1597" t="s">
        <v>19</v>
      </c>
      <c r="I1597">
        <v>5</v>
      </c>
      <c r="J1597">
        <v>48</v>
      </c>
      <c r="K1597">
        <v>25.95</v>
      </c>
      <c r="L1597">
        <v>1</v>
      </c>
    </row>
    <row r="1598" spans="1:12">
      <c r="A1598" t="s">
        <v>4640</v>
      </c>
      <c r="B1598" t="s">
        <v>4641</v>
      </c>
      <c r="D1598" t="s">
        <v>15</v>
      </c>
      <c r="E1598" t="s">
        <v>24</v>
      </c>
      <c r="F1598" t="s">
        <v>60</v>
      </c>
      <c r="G1598" t="s">
        <v>172</v>
      </c>
      <c r="H1598" t="s">
        <v>63</v>
      </c>
      <c r="J1598">
        <v>8</v>
      </c>
    </row>
    <row r="1599" spans="1:12">
      <c r="A1599" t="s">
        <v>4642</v>
      </c>
      <c r="B1599" t="s">
        <v>4643</v>
      </c>
      <c r="C1599" t="s">
        <v>4644</v>
      </c>
      <c r="D1599" t="s">
        <v>23</v>
      </c>
      <c r="E1599" t="s">
        <v>16</v>
      </c>
      <c r="F1599" t="s">
        <v>41</v>
      </c>
      <c r="G1599" t="s">
        <v>42</v>
      </c>
      <c r="H1599" t="s">
        <v>31</v>
      </c>
      <c r="I1599">
        <v>4</v>
      </c>
      <c r="J1599">
        <v>24</v>
      </c>
      <c r="K1599">
        <v>7.42</v>
      </c>
      <c r="L1599">
        <v>1</v>
      </c>
    </row>
    <row r="1600" spans="1:12">
      <c r="A1600" t="s">
        <v>4645</v>
      </c>
      <c r="B1600" t="s">
        <v>4646</v>
      </c>
      <c r="C1600" t="s">
        <v>4647</v>
      </c>
      <c r="D1600" t="s">
        <v>23</v>
      </c>
      <c r="E1600" t="s">
        <v>16</v>
      </c>
      <c r="F1600" t="s">
        <v>36</v>
      </c>
      <c r="G1600" t="s">
        <v>172</v>
      </c>
      <c r="H1600" t="s">
        <v>19</v>
      </c>
      <c r="I1600">
        <v>3</v>
      </c>
      <c r="J1600">
        <v>24</v>
      </c>
      <c r="K1600">
        <v>47.68</v>
      </c>
      <c r="L1600">
        <v>0</v>
      </c>
    </row>
    <row r="1601" spans="1:12">
      <c r="A1601" t="s">
        <v>4648</v>
      </c>
      <c r="B1601" t="s">
        <v>4649</v>
      </c>
      <c r="C1601" t="s">
        <v>4650</v>
      </c>
      <c r="D1601" t="s">
        <v>23</v>
      </c>
      <c r="E1601" t="s">
        <v>16</v>
      </c>
      <c r="F1601" t="s">
        <v>36</v>
      </c>
      <c r="G1601" t="s">
        <v>77</v>
      </c>
      <c r="H1601" t="s">
        <v>19</v>
      </c>
      <c r="I1601">
        <v>5</v>
      </c>
      <c r="J1601">
        <v>24</v>
      </c>
      <c r="K1601">
        <v>21</v>
      </c>
      <c r="L1601">
        <v>1</v>
      </c>
    </row>
    <row r="1602" spans="1:12">
      <c r="A1602" t="s">
        <v>4651</v>
      </c>
      <c r="B1602" t="s">
        <v>4652</v>
      </c>
      <c r="C1602" t="s">
        <v>4653</v>
      </c>
      <c r="D1602" t="s">
        <v>23</v>
      </c>
      <c r="E1602" t="s">
        <v>28</v>
      </c>
      <c r="F1602" t="s">
        <v>60</v>
      </c>
      <c r="G1602" t="s">
        <v>151</v>
      </c>
      <c r="H1602" t="s">
        <v>19</v>
      </c>
      <c r="I1602">
        <v>4</v>
      </c>
      <c r="J1602">
        <v>24</v>
      </c>
      <c r="K1602">
        <v>18</v>
      </c>
      <c r="L1602">
        <v>1</v>
      </c>
    </row>
    <row r="1603" spans="1:12">
      <c r="A1603" t="s">
        <v>4654</v>
      </c>
      <c r="B1603" t="s">
        <v>4655</v>
      </c>
      <c r="C1603" t="s">
        <v>4656</v>
      </c>
      <c r="D1603" t="s">
        <v>23</v>
      </c>
      <c r="E1603" t="s">
        <v>28</v>
      </c>
      <c r="F1603" t="s">
        <v>36</v>
      </c>
      <c r="G1603" t="s">
        <v>50</v>
      </c>
      <c r="H1603" t="s">
        <v>19</v>
      </c>
      <c r="I1603">
        <v>5</v>
      </c>
      <c r="J1603">
        <v>24</v>
      </c>
      <c r="K1603">
        <v>13.85</v>
      </c>
      <c r="L1603">
        <v>1</v>
      </c>
    </row>
    <row r="1604" spans="1:12">
      <c r="A1604" t="s">
        <v>4657</v>
      </c>
      <c r="B1604" t="s">
        <v>4658</v>
      </c>
      <c r="C1604" t="s">
        <v>4659</v>
      </c>
      <c r="D1604" t="s">
        <v>23</v>
      </c>
      <c r="E1604" t="s">
        <v>16</v>
      </c>
      <c r="F1604" t="s">
        <v>29</v>
      </c>
      <c r="G1604" t="s">
        <v>151</v>
      </c>
      <c r="H1604" t="s">
        <v>31</v>
      </c>
      <c r="I1604">
        <v>5</v>
      </c>
      <c r="J1604">
        <v>24</v>
      </c>
      <c r="K1604">
        <v>3.25</v>
      </c>
      <c r="L1604">
        <v>1</v>
      </c>
    </row>
    <row r="1605" spans="1:12">
      <c r="A1605" t="s">
        <v>4660</v>
      </c>
      <c r="B1605" t="s">
        <v>4661</v>
      </c>
      <c r="C1605" t="s">
        <v>4662</v>
      </c>
      <c r="D1605" t="s">
        <v>35</v>
      </c>
      <c r="E1605" t="s">
        <v>16</v>
      </c>
      <c r="F1605" t="s">
        <v>60</v>
      </c>
      <c r="G1605" t="s">
        <v>77</v>
      </c>
      <c r="H1605" t="s">
        <v>19</v>
      </c>
      <c r="I1605">
        <v>3</v>
      </c>
      <c r="J1605">
        <v>48</v>
      </c>
      <c r="K1605">
        <v>6.76</v>
      </c>
      <c r="L1605">
        <v>1</v>
      </c>
    </row>
    <row r="1606" spans="1:12">
      <c r="A1606" t="s">
        <v>4663</v>
      </c>
      <c r="B1606" t="s">
        <v>4664</v>
      </c>
      <c r="C1606" t="s">
        <v>4665</v>
      </c>
      <c r="D1606" t="s">
        <v>23</v>
      </c>
      <c r="E1606" t="s">
        <v>28</v>
      </c>
      <c r="F1606" t="s">
        <v>60</v>
      </c>
      <c r="G1606" t="s">
        <v>30</v>
      </c>
      <c r="H1606" t="s">
        <v>31</v>
      </c>
      <c r="I1606">
        <v>5</v>
      </c>
      <c r="J1606">
        <v>24</v>
      </c>
      <c r="K1606">
        <v>11.25</v>
      </c>
      <c r="L1606">
        <v>1</v>
      </c>
    </row>
    <row r="1607" spans="1:12">
      <c r="A1607" t="s">
        <v>4666</v>
      </c>
      <c r="B1607" t="s">
        <v>4667</v>
      </c>
      <c r="C1607" t="s">
        <v>4668</v>
      </c>
      <c r="D1607" t="s">
        <v>15</v>
      </c>
      <c r="E1607" t="s">
        <v>28</v>
      </c>
      <c r="F1607" t="s">
        <v>36</v>
      </c>
      <c r="G1607" t="s">
        <v>18</v>
      </c>
      <c r="H1607" t="s">
        <v>19</v>
      </c>
      <c r="I1607">
        <v>3</v>
      </c>
      <c r="J1607">
        <v>8</v>
      </c>
      <c r="K1607">
        <v>22.32</v>
      </c>
      <c r="L1607">
        <v>0</v>
      </c>
    </row>
    <row r="1608" spans="1:12">
      <c r="A1608" t="s">
        <v>4669</v>
      </c>
      <c r="B1608" t="s">
        <v>4670</v>
      </c>
      <c r="C1608" t="s">
        <v>4671</v>
      </c>
      <c r="D1608" t="s">
        <v>23</v>
      </c>
      <c r="E1608" t="s">
        <v>28</v>
      </c>
      <c r="F1608" t="s">
        <v>60</v>
      </c>
      <c r="G1608" t="s">
        <v>151</v>
      </c>
      <c r="H1608" t="s">
        <v>31</v>
      </c>
      <c r="I1608">
        <v>5</v>
      </c>
      <c r="J1608">
        <v>24</v>
      </c>
      <c r="K1608">
        <v>10.18</v>
      </c>
      <c r="L1608">
        <v>1</v>
      </c>
    </row>
    <row r="1609" spans="1:12">
      <c r="A1609" t="s">
        <v>4672</v>
      </c>
      <c r="B1609" t="s">
        <v>4673</v>
      </c>
      <c r="C1609" t="s">
        <v>4674</v>
      </c>
      <c r="D1609" t="s">
        <v>35</v>
      </c>
      <c r="E1609" t="s">
        <v>24</v>
      </c>
      <c r="F1609" t="s">
        <v>17</v>
      </c>
      <c r="G1609" t="s">
        <v>151</v>
      </c>
      <c r="H1609" t="s">
        <v>31</v>
      </c>
      <c r="I1609">
        <v>4</v>
      </c>
      <c r="J1609">
        <v>48</v>
      </c>
      <c r="K1609">
        <v>142.54</v>
      </c>
      <c r="L1609">
        <v>0</v>
      </c>
    </row>
    <row r="1610" spans="1:12">
      <c r="A1610" t="s">
        <v>4675</v>
      </c>
      <c r="B1610" t="s">
        <v>4676</v>
      </c>
      <c r="C1610" t="s">
        <v>4677</v>
      </c>
      <c r="D1610" t="s">
        <v>15</v>
      </c>
      <c r="E1610" t="s">
        <v>59</v>
      </c>
      <c r="F1610" t="s">
        <v>41</v>
      </c>
      <c r="G1610" t="s">
        <v>30</v>
      </c>
      <c r="H1610" t="s">
        <v>19</v>
      </c>
      <c r="I1610">
        <v>4</v>
      </c>
      <c r="J1610">
        <v>8</v>
      </c>
      <c r="K1610">
        <v>5.03</v>
      </c>
      <c r="L1610">
        <v>1</v>
      </c>
    </row>
    <row r="1611" spans="1:12">
      <c r="A1611" t="s">
        <v>4678</v>
      </c>
      <c r="B1611" t="s">
        <v>4679</v>
      </c>
      <c r="D1611" t="s">
        <v>23</v>
      </c>
      <c r="E1611" t="s">
        <v>54</v>
      </c>
      <c r="F1611" t="s">
        <v>29</v>
      </c>
      <c r="G1611" t="s">
        <v>18</v>
      </c>
      <c r="H1611" t="s">
        <v>63</v>
      </c>
      <c r="J1611">
        <v>24</v>
      </c>
    </row>
    <row r="1612" spans="1:12">
      <c r="A1612" t="s">
        <v>4680</v>
      </c>
      <c r="B1612" t="s">
        <v>4681</v>
      </c>
      <c r="C1612" t="s">
        <v>4682</v>
      </c>
      <c r="D1612" t="s">
        <v>23</v>
      </c>
      <c r="E1612" t="s">
        <v>28</v>
      </c>
      <c r="F1612" t="s">
        <v>36</v>
      </c>
      <c r="G1612" t="s">
        <v>37</v>
      </c>
      <c r="H1612" t="s">
        <v>31</v>
      </c>
      <c r="I1612">
        <v>4</v>
      </c>
      <c r="J1612">
        <v>24</v>
      </c>
      <c r="K1612">
        <v>19.59</v>
      </c>
      <c r="L1612">
        <v>1</v>
      </c>
    </row>
    <row r="1613" spans="1:12">
      <c r="A1613" t="s">
        <v>4683</v>
      </c>
      <c r="B1613" t="s">
        <v>4684</v>
      </c>
      <c r="C1613" t="s">
        <v>4685</v>
      </c>
      <c r="D1613" t="s">
        <v>23</v>
      </c>
      <c r="E1613" t="s">
        <v>54</v>
      </c>
      <c r="F1613" t="s">
        <v>41</v>
      </c>
      <c r="G1613" t="s">
        <v>30</v>
      </c>
      <c r="H1613" t="s">
        <v>31</v>
      </c>
      <c r="I1613">
        <v>4</v>
      </c>
      <c r="J1613">
        <v>24</v>
      </c>
      <c r="K1613">
        <v>15.92</v>
      </c>
      <c r="L1613">
        <v>1</v>
      </c>
    </row>
    <row r="1614" spans="1:12">
      <c r="A1614" t="s">
        <v>4686</v>
      </c>
      <c r="B1614" t="s">
        <v>4687</v>
      </c>
      <c r="C1614" t="s">
        <v>4688</v>
      </c>
      <c r="D1614" t="s">
        <v>15</v>
      </c>
      <c r="E1614" t="s">
        <v>24</v>
      </c>
      <c r="F1614" t="s">
        <v>41</v>
      </c>
      <c r="G1614" t="s">
        <v>42</v>
      </c>
      <c r="H1614" t="s">
        <v>19</v>
      </c>
      <c r="I1614">
        <v>4</v>
      </c>
      <c r="J1614">
        <v>8</v>
      </c>
      <c r="K1614">
        <v>7.22</v>
      </c>
      <c r="L1614">
        <v>1</v>
      </c>
    </row>
    <row r="1615" spans="1:12">
      <c r="A1615" t="s">
        <v>4689</v>
      </c>
      <c r="B1615" t="s">
        <v>4690</v>
      </c>
      <c r="C1615" t="s">
        <v>4691</v>
      </c>
      <c r="D1615" t="s">
        <v>23</v>
      </c>
      <c r="E1615" t="s">
        <v>54</v>
      </c>
      <c r="F1615" t="s">
        <v>29</v>
      </c>
      <c r="G1615" t="s">
        <v>77</v>
      </c>
      <c r="H1615" t="s">
        <v>19</v>
      </c>
      <c r="I1615">
        <v>3</v>
      </c>
      <c r="J1615">
        <v>24</v>
      </c>
      <c r="K1615">
        <v>37.44</v>
      </c>
      <c r="L1615">
        <v>0</v>
      </c>
    </row>
    <row r="1616" spans="1:12">
      <c r="A1616" t="s">
        <v>4692</v>
      </c>
      <c r="B1616" t="s">
        <v>4693</v>
      </c>
      <c r="C1616" t="s">
        <v>4694</v>
      </c>
      <c r="D1616" t="s">
        <v>35</v>
      </c>
      <c r="E1616" t="s">
        <v>16</v>
      </c>
      <c r="F1616" t="s">
        <v>36</v>
      </c>
      <c r="G1616" t="s">
        <v>77</v>
      </c>
      <c r="H1616" t="s">
        <v>31</v>
      </c>
      <c r="I1616">
        <v>3</v>
      </c>
      <c r="J1616">
        <v>48</v>
      </c>
      <c r="K1616">
        <v>25.94</v>
      </c>
      <c r="L1616">
        <v>1</v>
      </c>
    </row>
    <row r="1617" spans="1:12">
      <c r="A1617" t="s">
        <v>4695</v>
      </c>
      <c r="B1617" t="s">
        <v>4696</v>
      </c>
      <c r="C1617" t="s">
        <v>4697</v>
      </c>
      <c r="D1617" t="s">
        <v>15</v>
      </c>
      <c r="E1617" t="s">
        <v>59</v>
      </c>
      <c r="F1617" t="s">
        <v>41</v>
      </c>
      <c r="G1617" t="s">
        <v>73</v>
      </c>
      <c r="H1617" t="s">
        <v>19</v>
      </c>
      <c r="I1617">
        <v>4</v>
      </c>
      <c r="J1617">
        <v>8</v>
      </c>
      <c r="K1617">
        <v>1.26</v>
      </c>
      <c r="L1617">
        <v>1</v>
      </c>
    </row>
    <row r="1618" spans="1:12">
      <c r="A1618" t="s">
        <v>4698</v>
      </c>
      <c r="B1618" t="s">
        <v>4699</v>
      </c>
      <c r="C1618" t="s">
        <v>4700</v>
      </c>
      <c r="D1618" t="s">
        <v>23</v>
      </c>
      <c r="E1618" t="s">
        <v>24</v>
      </c>
      <c r="F1618" t="s">
        <v>60</v>
      </c>
      <c r="G1618" t="s">
        <v>30</v>
      </c>
      <c r="H1618" t="s">
        <v>31</v>
      </c>
      <c r="I1618">
        <v>5</v>
      </c>
      <c r="J1618">
        <v>24</v>
      </c>
      <c r="K1618">
        <v>22.28</v>
      </c>
      <c r="L1618">
        <v>1</v>
      </c>
    </row>
    <row r="1619" spans="1:12">
      <c r="A1619" t="s">
        <v>4701</v>
      </c>
      <c r="B1619" t="s">
        <v>4702</v>
      </c>
      <c r="C1619" t="s">
        <v>4703</v>
      </c>
      <c r="D1619" t="s">
        <v>15</v>
      </c>
      <c r="E1619" t="s">
        <v>54</v>
      </c>
      <c r="F1619" t="s">
        <v>17</v>
      </c>
      <c r="G1619" t="s">
        <v>172</v>
      </c>
      <c r="H1619" t="s">
        <v>31</v>
      </c>
      <c r="I1619">
        <v>4</v>
      </c>
      <c r="J1619">
        <v>8</v>
      </c>
      <c r="K1619">
        <v>1.99</v>
      </c>
      <c r="L1619">
        <v>1</v>
      </c>
    </row>
    <row r="1620" spans="1:12">
      <c r="A1620" t="s">
        <v>4704</v>
      </c>
      <c r="B1620" t="s">
        <v>4705</v>
      </c>
      <c r="C1620" t="s">
        <v>4706</v>
      </c>
      <c r="D1620" t="s">
        <v>23</v>
      </c>
      <c r="E1620" t="s">
        <v>24</v>
      </c>
      <c r="F1620" t="s">
        <v>17</v>
      </c>
      <c r="G1620" t="s">
        <v>45</v>
      </c>
      <c r="H1620" t="s">
        <v>19</v>
      </c>
      <c r="I1620">
        <v>4</v>
      </c>
      <c r="J1620">
        <v>24</v>
      </c>
      <c r="K1620">
        <v>15.2</v>
      </c>
      <c r="L1620">
        <v>1</v>
      </c>
    </row>
    <row r="1621" spans="1:12">
      <c r="A1621" t="s">
        <v>4707</v>
      </c>
      <c r="B1621" t="s">
        <v>4708</v>
      </c>
      <c r="C1621" t="s">
        <v>4709</v>
      </c>
      <c r="D1621" t="s">
        <v>23</v>
      </c>
      <c r="E1621" t="s">
        <v>16</v>
      </c>
      <c r="F1621" t="s">
        <v>36</v>
      </c>
      <c r="G1621" t="s">
        <v>18</v>
      </c>
      <c r="H1621" t="s">
        <v>31</v>
      </c>
      <c r="I1621">
        <v>5</v>
      </c>
      <c r="J1621">
        <v>24</v>
      </c>
      <c r="K1621">
        <v>5.69</v>
      </c>
      <c r="L1621">
        <v>1</v>
      </c>
    </row>
    <row r="1622" spans="1:12">
      <c r="A1622" t="s">
        <v>4710</v>
      </c>
      <c r="B1622" t="s">
        <v>4711</v>
      </c>
      <c r="C1622" t="s">
        <v>4712</v>
      </c>
      <c r="D1622" t="s">
        <v>158</v>
      </c>
      <c r="E1622" t="s">
        <v>59</v>
      </c>
      <c r="F1622" t="s">
        <v>41</v>
      </c>
      <c r="G1622" t="s">
        <v>77</v>
      </c>
      <c r="H1622" t="s">
        <v>19</v>
      </c>
      <c r="I1622">
        <v>5</v>
      </c>
      <c r="J1622">
        <v>4</v>
      </c>
      <c r="K1622">
        <v>0.98</v>
      </c>
      <c r="L1622">
        <v>1</v>
      </c>
    </row>
    <row r="1623" spans="1:12">
      <c r="A1623" t="s">
        <v>4713</v>
      </c>
      <c r="B1623" t="s">
        <v>4714</v>
      </c>
      <c r="C1623" t="s">
        <v>4715</v>
      </c>
      <c r="D1623" t="s">
        <v>158</v>
      </c>
      <c r="E1623" t="s">
        <v>59</v>
      </c>
      <c r="F1623" t="s">
        <v>17</v>
      </c>
      <c r="G1623" t="s">
        <v>30</v>
      </c>
      <c r="H1623" t="s">
        <v>19</v>
      </c>
      <c r="I1623">
        <v>5</v>
      </c>
      <c r="J1623">
        <v>4</v>
      </c>
      <c r="K1623">
        <v>3.17</v>
      </c>
      <c r="L1623">
        <v>1</v>
      </c>
    </row>
    <row r="1624" spans="1:12">
      <c r="A1624" t="s">
        <v>4716</v>
      </c>
      <c r="B1624" t="s">
        <v>4717</v>
      </c>
      <c r="C1624" t="s">
        <v>4718</v>
      </c>
      <c r="D1624" t="s">
        <v>35</v>
      </c>
      <c r="E1624" t="s">
        <v>16</v>
      </c>
      <c r="F1624" t="s">
        <v>36</v>
      </c>
      <c r="G1624" t="s">
        <v>55</v>
      </c>
      <c r="H1624" t="s">
        <v>19</v>
      </c>
      <c r="I1624">
        <v>4</v>
      </c>
      <c r="J1624">
        <v>48</v>
      </c>
      <c r="K1624">
        <v>38.42</v>
      </c>
      <c r="L1624">
        <v>1</v>
      </c>
    </row>
    <row r="1625" spans="1:12">
      <c r="A1625" t="s">
        <v>4719</v>
      </c>
      <c r="B1625" t="s">
        <v>4720</v>
      </c>
      <c r="C1625" t="s">
        <v>4721</v>
      </c>
      <c r="D1625" t="s">
        <v>23</v>
      </c>
      <c r="E1625" t="s">
        <v>28</v>
      </c>
      <c r="F1625" t="s">
        <v>60</v>
      </c>
      <c r="G1625" t="s">
        <v>37</v>
      </c>
      <c r="H1625" t="s">
        <v>19</v>
      </c>
      <c r="I1625">
        <v>5</v>
      </c>
      <c r="J1625">
        <v>24</v>
      </c>
      <c r="K1625">
        <v>16.329999999999998</v>
      </c>
      <c r="L1625">
        <v>1</v>
      </c>
    </row>
    <row r="1626" spans="1:12">
      <c r="A1626" t="s">
        <v>4722</v>
      </c>
      <c r="B1626" t="s">
        <v>4723</v>
      </c>
      <c r="C1626" t="s">
        <v>4724</v>
      </c>
      <c r="D1626" t="s">
        <v>35</v>
      </c>
      <c r="E1626" t="s">
        <v>54</v>
      </c>
      <c r="F1626" t="s">
        <v>41</v>
      </c>
      <c r="G1626" t="s">
        <v>73</v>
      </c>
      <c r="H1626" t="s">
        <v>19</v>
      </c>
      <c r="I1626">
        <v>1</v>
      </c>
      <c r="J1626">
        <v>48</v>
      </c>
      <c r="K1626">
        <v>71.349999999999994</v>
      </c>
      <c r="L1626">
        <v>0</v>
      </c>
    </row>
    <row r="1627" spans="1:12">
      <c r="A1627" t="s">
        <v>4725</v>
      </c>
      <c r="B1627" t="s">
        <v>4726</v>
      </c>
      <c r="C1627" t="s">
        <v>4727</v>
      </c>
      <c r="D1627" t="s">
        <v>15</v>
      </c>
      <c r="E1627" t="s">
        <v>59</v>
      </c>
      <c r="F1627" t="s">
        <v>29</v>
      </c>
      <c r="G1627" t="s">
        <v>73</v>
      </c>
      <c r="H1627" t="s">
        <v>19</v>
      </c>
      <c r="I1627">
        <v>4</v>
      </c>
      <c r="J1627">
        <v>8</v>
      </c>
      <c r="K1627">
        <v>6.28</v>
      </c>
      <c r="L1627">
        <v>1</v>
      </c>
    </row>
    <row r="1628" spans="1:12">
      <c r="A1628" t="s">
        <v>4728</v>
      </c>
      <c r="B1628" t="s">
        <v>4729</v>
      </c>
      <c r="C1628" t="s">
        <v>4730</v>
      </c>
      <c r="D1628" t="s">
        <v>23</v>
      </c>
      <c r="E1628" t="s">
        <v>16</v>
      </c>
      <c r="F1628" t="s">
        <v>17</v>
      </c>
      <c r="G1628" t="s">
        <v>37</v>
      </c>
      <c r="H1628" t="s">
        <v>19</v>
      </c>
      <c r="I1628">
        <v>4</v>
      </c>
      <c r="J1628">
        <v>24</v>
      </c>
      <c r="K1628">
        <v>6.64</v>
      </c>
      <c r="L1628">
        <v>1</v>
      </c>
    </row>
    <row r="1629" spans="1:12">
      <c r="A1629" t="s">
        <v>4731</v>
      </c>
      <c r="B1629" t="s">
        <v>4732</v>
      </c>
      <c r="C1629" t="s">
        <v>4733</v>
      </c>
      <c r="D1629" t="s">
        <v>23</v>
      </c>
      <c r="E1629" t="s">
        <v>16</v>
      </c>
      <c r="F1629" t="s">
        <v>41</v>
      </c>
      <c r="G1629" t="s">
        <v>37</v>
      </c>
      <c r="H1629" t="s">
        <v>19</v>
      </c>
      <c r="I1629">
        <v>4</v>
      </c>
      <c r="J1629">
        <v>24</v>
      </c>
      <c r="K1629">
        <v>15.97</v>
      </c>
      <c r="L1629">
        <v>1</v>
      </c>
    </row>
    <row r="1630" spans="1:12">
      <c r="A1630" t="s">
        <v>4734</v>
      </c>
      <c r="B1630" t="s">
        <v>4735</v>
      </c>
      <c r="C1630" t="s">
        <v>4736</v>
      </c>
      <c r="D1630" t="s">
        <v>15</v>
      </c>
      <c r="E1630" t="s">
        <v>28</v>
      </c>
      <c r="F1630" t="s">
        <v>17</v>
      </c>
      <c r="G1630" t="s">
        <v>55</v>
      </c>
      <c r="H1630" t="s">
        <v>19</v>
      </c>
      <c r="I1630">
        <v>2</v>
      </c>
      <c r="J1630">
        <v>8</v>
      </c>
      <c r="K1630">
        <v>18.690000000000001</v>
      </c>
      <c r="L1630">
        <v>0</v>
      </c>
    </row>
    <row r="1631" spans="1:12">
      <c r="A1631" t="s">
        <v>4737</v>
      </c>
      <c r="B1631" t="s">
        <v>4738</v>
      </c>
      <c r="C1631" t="s">
        <v>4739</v>
      </c>
      <c r="D1631" t="s">
        <v>23</v>
      </c>
      <c r="E1631" t="s">
        <v>16</v>
      </c>
      <c r="F1631" t="s">
        <v>41</v>
      </c>
      <c r="G1631" t="s">
        <v>172</v>
      </c>
      <c r="H1631" t="s">
        <v>31</v>
      </c>
      <c r="I1631">
        <v>4</v>
      </c>
      <c r="J1631">
        <v>24</v>
      </c>
      <c r="K1631">
        <v>5.28</v>
      </c>
      <c r="L1631">
        <v>1</v>
      </c>
    </row>
    <row r="1632" spans="1:12">
      <c r="A1632" t="s">
        <v>4740</v>
      </c>
      <c r="B1632" t="s">
        <v>4741</v>
      </c>
      <c r="C1632" t="s">
        <v>4742</v>
      </c>
      <c r="D1632" t="s">
        <v>23</v>
      </c>
      <c r="E1632" t="s">
        <v>59</v>
      </c>
      <c r="F1632" t="s">
        <v>60</v>
      </c>
      <c r="G1632" t="s">
        <v>37</v>
      </c>
      <c r="H1632" t="s">
        <v>19</v>
      </c>
      <c r="I1632">
        <v>4</v>
      </c>
      <c r="J1632">
        <v>24</v>
      </c>
      <c r="K1632">
        <v>13.65</v>
      </c>
      <c r="L1632">
        <v>1</v>
      </c>
    </row>
    <row r="1633" spans="1:12">
      <c r="A1633" t="s">
        <v>4743</v>
      </c>
      <c r="B1633" t="s">
        <v>4744</v>
      </c>
      <c r="C1633" t="s">
        <v>4745</v>
      </c>
      <c r="D1633" t="s">
        <v>35</v>
      </c>
      <c r="E1633" t="s">
        <v>28</v>
      </c>
      <c r="F1633" t="s">
        <v>41</v>
      </c>
      <c r="G1633" t="s">
        <v>30</v>
      </c>
      <c r="H1633" t="s">
        <v>31</v>
      </c>
      <c r="I1633">
        <v>4</v>
      </c>
      <c r="J1633">
        <v>48</v>
      </c>
      <c r="K1633">
        <v>32.01</v>
      </c>
      <c r="L1633">
        <v>1</v>
      </c>
    </row>
    <row r="1634" spans="1:12">
      <c r="A1634" t="s">
        <v>4746</v>
      </c>
      <c r="B1634" t="s">
        <v>4747</v>
      </c>
      <c r="C1634" t="s">
        <v>4748</v>
      </c>
      <c r="D1634" t="s">
        <v>23</v>
      </c>
      <c r="E1634" t="s">
        <v>54</v>
      </c>
      <c r="F1634" t="s">
        <v>41</v>
      </c>
      <c r="G1634" t="s">
        <v>55</v>
      </c>
      <c r="H1634" t="s">
        <v>31</v>
      </c>
      <c r="I1634">
        <v>4</v>
      </c>
      <c r="J1634">
        <v>24</v>
      </c>
      <c r="K1634">
        <v>10.79</v>
      </c>
      <c r="L1634">
        <v>1</v>
      </c>
    </row>
    <row r="1635" spans="1:12">
      <c r="A1635" t="s">
        <v>4749</v>
      </c>
      <c r="B1635" t="s">
        <v>4750</v>
      </c>
      <c r="C1635" t="s">
        <v>4751</v>
      </c>
      <c r="D1635" t="s">
        <v>23</v>
      </c>
      <c r="E1635" t="s">
        <v>16</v>
      </c>
      <c r="F1635" t="s">
        <v>41</v>
      </c>
      <c r="G1635" t="s">
        <v>172</v>
      </c>
      <c r="H1635" t="s">
        <v>31</v>
      </c>
      <c r="I1635">
        <v>5</v>
      </c>
      <c r="J1635">
        <v>24</v>
      </c>
      <c r="K1635">
        <v>13.22</v>
      </c>
      <c r="L1635">
        <v>1</v>
      </c>
    </row>
    <row r="1636" spans="1:12">
      <c r="A1636" t="s">
        <v>4752</v>
      </c>
      <c r="B1636" t="s">
        <v>4753</v>
      </c>
      <c r="C1636" t="s">
        <v>4754</v>
      </c>
      <c r="D1636" t="s">
        <v>23</v>
      </c>
      <c r="E1636" t="s">
        <v>28</v>
      </c>
      <c r="F1636" t="s">
        <v>36</v>
      </c>
      <c r="G1636" t="s">
        <v>30</v>
      </c>
      <c r="H1636" t="s">
        <v>19</v>
      </c>
      <c r="I1636">
        <v>3</v>
      </c>
      <c r="J1636">
        <v>24</v>
      </c>
      <c r="K1636">
        <v>27.67</v>
      </c>
      <c r="L1636">
        <v>0</v>
      </c>
    </row>
    <row r="1637" spans="1:12">
      <c r="A1637" t="s">
        <v>4755</v>
      </c>
      <c r="B1637" t="s">
        <v>4756</v>
      </c>
      <c r="C1637" t="s">
        <v>4757</v>
      </c>
      <c r="D1637" t="s">
        <v>35</v>
      </c>
      <c r="E1637" t="s">
        <v>28</v>
      </c>
      <c r="F1637" t="s">
        <v>17</v>
      </c>
      <c r="G1637" t="s">
        <v>18</v>
      </c>
      <c r="H1637" t="s">
        <v>19</v>
      </c>
      <c r="I1637">
        <v>4</v>
      </c>
      <c r="J1637">
        <v>48</v>
      </c>
      <c r="K1637">
        <v>30.23</v>
      </c>
      <c r="L1637">
        <v>1</v>
      </c>
    </row>
    <row r="1638" spans="1:12">
      <c r="A1638" t="s">
        <v>4758</v>
      </c>
      <c r="B1638" t="s">
        <v>4759</v>
      </c>
      <c r="C1638" t="s">
        <v>4760</v>
      </c>
      <c r="D1638" t="s">
        <v>35</v>
      </c>
      <c r="E1638" t="s">
        <v>28</v>
      </c>
      <c r="F1638" t="s">
        <v>17</v>
      </c>
      <c r="G1638" t="s">
        <v>45</v>
      </c>
      <c r="H1638" t="s">
        <v>19</v>
      </c>
      <c r="I1638">
        <v>5</v>
      </c>
      <c r="J1638">
        <v>48</v>
      </c>
      <c r="K1638">
        <v>11.32</v>
      </c>
      <c r="L1638">
        <v>1</v>
      </c>
    </row>
    <row r="1639" spans="1:12">
      <c r="A1639" t="s">
        <v>4761</v>
      </c>
      <c r="B1639" t="s">
        <v>4762</v>
      </c>
      <c r="C1639" t="s">
        <v>4763</v>
      </c>
      <c r="D1639" t="s">
        <v>23</v>
      </c>
      <c r="E1639" t="s">
        <v>28</v>
      </c>
      <c r="F1639" t="s">
        <v>60</v>
      </c>
      <c r="G1639" t="s">
        <v>37</v>
      </c>
      <c r="H1639" t="s">
        <v>19</v>
      </c>
      <c r="I1639">
        <v>5</v>
      </c>
      <c r="J1639">
        <v>24</v>
      </c>
      <c r="K1639">
        <v>11.98</v>
      </c>
      <c r="L1639">
        <v>1</v>
      </c>
    </row>
    <row r="1640" spans="1:12">
      <c r="A1640" t="s">
        <v>4764</v>
      </c>
      <c r="B1640" t="s">
        <v>4765</v>
      </c>
      <c r="D1640" t="s">
        <v>35</v>
      </c>
      <c r="E1640" t="s">
        <v>28</v>
      </c>
      <c r="F1640" t="s">
        <v>36</v>
      </c>
      <c r="G1640" t="s">
        <v>151</v>
      </c>
      <c r="H1640" t="s">
        <v>63</v>
      </c>
      <c r="J1640">
        <v>48</v>
      </c>
    </row>
    <row r="1641" spans="1:12">
      <c r="A1641" t="s">
        <v>4766</v>
      </c>
      <c r="B1641" t="s">
        <v>4767</v>
      </c>
      <c r="C1641" t="s">
        <v>4768</v>
      </c>
      <c r="D1641" t="s">
        <v>23</v>
      </c>
      <c r="E1641" t="s">
        <v>16</v>
      </c>
      <c r="F1641" t="s">
        <v>17</v>
      </c>
      <c r="G1641" t="s">
        <v>37</v>
      </c>
      <c r="H1641" t="s">
        <v>19</v>
      </c>
      <c r="I1641">
        <v>5</v>
      </c>
      <c r="J1641">
        <v>24</v>
      </c>
      <c r="K1641">
        <v>18.05</v>
      </c>
      <c r="L1641">
        <v>1</v>
      </c>
    </row>
    <row r="1642" spans="1:12">
      <c r="A1642" t="s">
        <v>4769</v>
      </c>
      <c r="B1642" t="s">
        <v>4770</v>
      </c>
      <c r="C1642" t="s">
        <v>4771</v>
      </c>
      <c r="D1642" t="s">
        <v>23</v>
      </c>
      <c r="E1642" t="s">
        <v>28</v>
      </c>
      <c r="F1642" t="s">
        <v>60</v>
      </c>
      <c r="G1642" t="s">
        <v>73</v>
      </c>
      <c r="H1642" t="s">
        <v>19</v>
      </c>
      <c r="I1642">
        <v>5</v>
      </c>
      <c r="J1642">
        <v>24</v>
      </c>
      <c r="K1642">
        <v>12.43</v>
      </c>
      <c r="L1642">
        <v>1</v>
      </c>
    </row>
    <row r="1643" spans="1:12">
      <c r="A1643" t="s">
        <v>4772</v>
      </c>
      <c r="B1643" t="s">
        <v>4773</v>
      </c>
      <c r="C1643" t="s">
        <v>4774</v>
      </c>
      <c r="D1643" t="s">
        <v>35</v>
      </c>
      <c r="E1643" t="s">
        <v>59</v>
      </c>
      <c r="F1643" t="s">
        <v>29</v>
      </c>
      <c r="G1643" t="s">
        <v>42</v>
      </c>
      <c r="H1643" t="s">
        <v>19</v>
      </c>
      <c r="I1643">
        <v>5</v>
      </c>
      <c r="J1643">
        <v>48</v>
      </c>
      <c r="K1643">
        <v>32.44</v>
      </c>
      <c r="L1643">
        <v>1</v>
      </c>
    </row>
    <row r="1644" spans="1:12">
      <c r="A1644" t="s">
        <v>4775</v>
      </c>
      <c r="B1644" t="s">
        <v>4776</v>
      </c>
      <c r="C1644" t="s">
        <v>4777</v>
      </c>
      <c r="D1644" t="s">
        <v>35</v>
      </c>
      <c r="E1644" t="s">
        <v>16</v>
      </c>
      <c r="F1644" t="s">
        <v>17</v>
      </c>
      <c r="G1644" t="s">
        <v>151</v>
      </c>
      <c r="H1644" t="s">
        <v>19</v>
      </c>
      <c r="I1644">
        <v>3</v>
      </c>
      <c r="J1644">
        <v>48</v>
      </c>
      <c r="K1644">
        <v>43.51</v>
      </c>
      <c r="L1644">
        <v>1</v>
      </c>
    </row>
    <row r="1645" spans="1:12">
      <c r="A1645" t="s">
        <v>4778</v>
      </c>
      <c r="B1645" t="s">
        <v>4779</v>
      </c>
      <c r="C1645" t="s">
        <v>4780</v>
      </c>
      <c r="D1645" t="s">
        <v>35</v>
      </c>
      <c r="E1645" t="s">
        <v>28</v>
      </c>
      <c r="F1645" t="s">
        <v>60</v>
      </c>
      <c r="G1645" t="s">
        <v>55</v>
      </c>
      <c r="H1645" t="s">
        <v>19</v>
      </c>
      <c r="I1645">
        <v>4</v>
      </c>
      <c r="J1645">
        <v>48</v>
      </c>
      <c r="K1645">
        <v>39.53</v>
      </c>
      <c r="L1645">
        <v>1</v>
      </c>
    </row>
    <row r="1646" spans="1:12">
      <c r="A1646" t="s">
        <v>4781</v>
      </c>
      <c r="B1646" t="s">
        <v>4782</v>
      </c>
      <c r="C1646" t="s">
        <v>4783</v>
      </c>
      <c r="D1646" t="s">
        <v>35</v>
      </c>
      <c r="E1646" t="s">
        <v>59</v>
      </c>
      <c r="F1646" t="s">
        <v>36</v>
      </c>
      <c r="G1646" t="s">
        <v>50</v>
      </c>
      <c r="H1646" t="s">
        <v>19</v>
      </c>
      <c r="I1646">
        <v>5</v>
      </c>
      <c r="J1646">
        <v>48</v>
      </c>
      <c r="K1646">
        <v>31.3</v>
      </c>
      <c r="L1646">
        <v>1</v>
      </c>
    </row>
    <row r="1647" spans="1:12">
      <c r="A1647" t="s">
        <v>4784</v>
      </c>
      <c r="B1647" t="s">
        <v>4785</v>
      </c>
      <c r="C1647" t="s">
        <v>4786</v>
      </c>
      <c r="D1647" t="s">
        <v>23</v>
      </c>
      <c r="E1647" t="s">
        <v>28</v>
      </c>
      <c r="F1647" t="s">
        <v>36</v>
      </c>
      <c r="G1647" t="s">
        <v>45</v>
      </c>
      <c r="H1647" t="s">
        <v>31</v>
      </c>
      <c r="I1647">
        <v>3</v>
      </c>
      <c r="J1647">
        <v>24</v>
      </c>
      <c r="K1647">
        <v>11.74</v>
      </c>
      <c r="L1647">
        <v>1</v>
      </c>
    </row>
    <row r="1648" spans="1:12">
      <c r="A1648" t="s">
        <v>4787</v>
      </c>
      <c r="B1648" t="s">
        <v>4788</v>
      </c>
      <c r="C1648" t="s">
        <v>4789</v>
      </c>
      <c r="D1648" t="s">
        <v>158</v>
      </c>
      <c r="E1648" t="s">
        <v>16</v>
      </c>
      <c r="F1648" t="s">
        <v>60</v>
      </c>
      <c r="G1648" t="s">
        <v>30</v>
      </c>
      <c r="H1648" t="s">
        <v>31</v>
      </c>
      <c r="I1648">
        <v>5</v>
      </c>
      <c r="J1648">
        <v>4</v>
      </c>
      <c r="K1648">
        <v>1.69</v>
      </c>
      <c r="L1648">
        <v>1</v>
      </c>
    </row>
    <row r="1649" spans="1:12">
      <c r="A1649" t="s">
        <v>4790</v>
      </c>
      <c r="B1649" t="s">
        <v>4791</v>
      </c>
      <c r="C1649" t="s">
        <v>4792</v>
      </c>
      <c r="D1649" t="s">
        <v>23</v>
      </c>
      <c r="E1649" t="s">
        <v>16</v>
      </c>
      <c r="F1649" t="s">
        <v>29</v>
      </c>
      <c r="G1649" t="s">
        <v>105</v>
      </c>
      <c r="H1649" t="s">
        <v>19</v>
      </c>
      <c r="I1649">
        <v>5</v>
      </c>
      <c r="J1649">
        <v>24</v>
      </c>
      <c r="K1649">
        <v>12.86</v>
      </c>
      <c r="L1649">
        <v>1</v>
      </c>
    </row>
    <row r="1650" spans="1:12">
      <c r="A1650" t="s">
        <v>4793</v>
      </c>
      <c r="B1650" t="s">
        <v>4794</v>
      </c>
      <c r="C1650" t="s">
        <v>4795</v>
      </c>
      <c r="D1650" t="s">
        <v>23</v>
      </c>
      <c r="E1650" t="s">
        <v>28</v>
      </c>
      <c r="F1650" t="s">
        <v>29</v>
      </c>
      <c r="G1650" t="s">
        <v>105</v>
      </c>
      <c r="H1650" t="s">
        <v>19</v>
      </c>
      <c r="I1650">
        <v>3</v>
      </c>
      <c r="J1650">
        <v>24</v>
      </c>
      <c r="K1650">
        <v>8.15</v>
      </c>
      <c r="L1650">
        <v>1</v>
      </c>
    </row>
    <row r="1651" spans="1:12">
      <c r="A1651" t="s">
        <v>4796</v>
      </c>
      <c r="B1651" t="s">
        <v>4797</v>
      </c>
      <c r="C1651" t="s">
        <v>4798</v>
      </c>
      <c r="D1651" t="s">
        <v>35</v>
      </c>
      <c r="E1651" t="s">
        <v>24</v>
      </c>
      <c r="F1651" t="s">
        <v>29</v>
      </c>
      <c r="G1651" t="s">
        <v>77</v>
      </c>
      <c r="H1651" t="s">
        <v>31</v>
      </c>
      <c r="I1651">
        <v>5</v>
      </c>
      <c r="J1651">
        <v>48</v>
      </c>
      <c r="K1651">
        <v>10.039999999999999</v>
      </c>
      <c r="L1651">
        <v>1</v>
      </c>
    </row>
    <row r="1652" spans="1:12">
      <c r="A1652" t="s">
        <v>4799</v>
      </c>
      <c r="B1652" t="s">
        <v>4800</v>
      </c>
      <c r="C1652" t="s">
        <v>4801</v>
      </c>
      <c r="D1652" t="s">
        <v>158</v>
      </c>
      <c r="E1652" t="s">
        <v>54</v>
      </c>
      <c r="F1652" t="s">
        <v>17</v>
      </c>
      <c r="G1652" t="s">
        <v>55</v>
      </c>
      <c r="H1652" t="s">
        <v>31</v>
      </c>
      <c r="I1652">
        <v>3</v>
      </c>
      <c r="J1652">
        <v>4</v>
      </c>
      <c r="K1652">
        <v>3.34</v>
      </c>
      <c r="L1652">
        <v>1</v>
      </c>
    </row>
    <row r="1653" spans="1:12">
      <c r="A1653" t="s">
        <v>4802</v>
      </c>
      <c r="B1653" t="s">
        <v>4803</v>
      </c>
      <c r="C1653" t="s">
        <v>4804</v>
      </c>
      <c r="D1653" t="s">
        <v>23</v>
      </c>
      <c r="E1653" t="s">
        <v>28</v>
      </c>
      <c r="F1653" t="s">
        <v>60</v>
      </c>
      <c r="G1653" t="s">
        <v>42</v>
      </c>
      <c r="H1653" t="s">
        <v>19</v>
      </c>
      <c r="I1653">
        <v>4</v>
      </c>
      <c r="J1653">
        <v>24</v>
      </c>
      <c r="K1653">
        <v>20.18</v>
      </c>
      <c r="L1653">
        <v>1</v>
      </c>
    </row>
    <row r="1654" spans="1:12">
      <c r="A1654" t="s">
        <v>4805</v>
      </c>
      <c r="B1654" t="s">
        <v>4806</v>
      </c>
      <c r="C1654" t="s">
        <v>4807</v>
      </c>
      <c r="D1654" t="s">
        <v>15</v>
      </c>
      <c r="E1654" t="s">
        <v>16</v>
      </c>
      <c r="F1654" t="s">
        <v>60</v>
      </c>
      <c r="G1654" t="s">
        <v>42</v>
      </c>
      <c r="H1654" t="s">
        <v>19</v>
      </c>
      <c r="I1654">
        <v>5</v>
      </c>
      <c r="J1654">
        <v>8</v>
      </c>
      <c r="K1654">
        <v>7.04</v>
      </c>
      <c r="L1654">
        <v>1</v>
      </c>
    </row>
    <row r="1655" spans="1:12">
      <c r="A1655" t="s">
        <v>4808</v>
      </c>
      <c r="B1655" t="s">
        <v>4809</v>
      </c>
      <c r="C1655" t="s">
        <v>4810</v>
      </c>
      <c r="D1655" t="s">
        <v>158</v>
      </c>
      <c r="E1655" t="s">
        <v>59</v>
      </c>
      <c r="F1655" t="s">
        <v>36</v>
      </c>
      <c r="G1655" t="s">
        <v>37</v>
      </c>
      <c r="H1655" t="s">
        <v>31</v>
      </c>
      <c r="I1655">
        <v>3</v>
      </c>
      <c r="J1655">
        <v>4</v>
      </c>
      <c r="K1655">
        <v>0.56999999999999995</v>
      </c>
      <c r="L1655">
        <v>1</v>
      </c>
    </row>
    <row r="1656" spans="1:12">
      <c r="A1656" t="s">
        <v>4811</v>
      </c>
      <c r="B1656" t="s">
        <v>4812</v>
      </c>
      <c r="D1656" t="s">
        <v>23</v>
      </c>
      <c r="E1656" t="s">
        <v>24</v>
      </c>
      <c r="F1656" t="s">
        <v>17</v>
      </c>
      <c r="G1656" t="s">
        <v>105</v>
      </c>
      <c r="H1656" t="s">
        <v>46</v>
      </c>
      <c r="J1656">
        <v>24</v>
      </c>
    </row>
    <row r="1657" spans="1:12">
      <c r="A1657" t="s">
        <v>4813</v>
      </c>
      <c r="B1657" t="s">
        <v>4814</v>
      </c>
      <c r="C1657" t="s">
        <v>4815</v>
      </c>
      <c r="D1657" t="s">
        <v>23</v>
      </c>
      <c r="E1657" t="s">
        <v>28</v>
      </c>
      <c r="F1657" t="s">
        <v>60</v>
      </c>
      <c r="G1657" t="s">
        <v>30</v>
      </c>
      <c r="H1657" t="s">
        <v>19</v>
      </c>
      <c r="I1657">
        <v>5</v>
      </c>
      <c r="J1657">
        <v>24</v>
      </c>
      <c r="K1657">
        <v>4.0199999999999996</v>
      </c>
      <c r="L1657">
        <v>1</v>
      </c>
    </row>
    <row r="1658" spans="1:12">
      <c r="A1658" t="s">
        <v>4816</v>
      </c>
      <c r="B1658" t="s">
        <v>4817</v>
      </c>
      <c r="C1658" t="s">
        <v>4818</v>
      </c>
      <c r="D1658" t="s">
        <v>15</v>
      </c>
      <c r="E1658" t="s">
        <v>28</v>
      </c>
      <c r="F1658" t="s">
        <v>17</v>
      </c>
      <c r="G1658" t="s">
        <v>105</v>
      </c>
      <c r="H1658" t="s">
        <v>19</v>
      </c>
      <c r="I1658">
        <v>5</v>
      </c>
      <c r="J1658">
        <v>8</v>
      </c>
      <c r="K1658">
        <v>2.08</v>
      </c>
      <c r="L1658">
        <v>1</v>
      </c>
    </row>
    <row r="1659" spans="1:12">
      <c r="A1659" t="s">
        <v>4819</v>
      </c>
      <c r="B1659" t="s">
        <v>4820</v>
      </c>
      <c r="C1659" t="s">
        <v>4821</v>
      </c>
      <c r="D1659" t="s">
        <v>35</v>
      </c>
      <c r="E1659" t="s">
        <v>24</v>
      </c>
      <c r="F1659" t="s">
        <v>60</v>
      </c>
      <c r="G1659" t="s">
        <v>45</v>
      </c>
      <c r="H1659" t="s">
        <v>31</v>
      </c>
      <c r="I1659">
        <v>4</v>
      </c>
      <c r="J1659">
        <v>48</v>
      </c>
      <c r="K1659">
        <v>16.440000000000001</v>
      </c>
      <c r="L1659">
        <v>1</v>
      </c>
    </row>
    <row r="1660" spans="1:12">
      <c r="A1660" t="s">
        <v>4822</v>
      </c>
      <c r="B1660" t="s">
        <v>4823</v>
      </c>
      <c r="C1660" t="s">
        <v>4824</v>
      </c>
      <c r="D1660" t="s">
        <v>15</v>
      </c>
      <c r="E1660" t="s">
        <v>28</v>
      </c>
      <c r="F1660" t="s">
        <v>36</v>
      </c>
      <c r="G1660" t="s">
        <v>151</v>
      </c>
      <c r="H1660" t="s">
        <v>31</v>
      </c>
      <c r="I1660">
        <v>4</v>
      </c>
      <c r="J1660">
        <v>8</v>
      </c>
      <c r="K1660">
        <v>2.71</v>
      </c>
      <c r="L1660">
        <v>1</v>
      </c>
    </row>
    <row r="1661" spans="1:12">
      <c r="A1661" t="s">
        <v>4825</v>
      </c>
      <c r="B1661" t="s">
        <v>4826</v>
      </c>
      <c r="C1661" t="s">
        <v>4827</v>
      </c>
      <c r="D1661" t="s">
        <v>158</v>
      </c>
      <c r="E1661" t="s">
        <v>28</v>
      </c>
      <c r="F1661" t="s">
        <v>36</v>
      </c>
      <c r="G1661" t="s">
        <v>55</v>
      </c>
      <c r="H1661" t="s">
        <v>31</v>
      </c>
      <c r="I1661">
        <v>5</v>
      </c>
      <c r="J1661">
        <v>4</v>
      </c>
      <c r="K1661">
        <v>2.69</v>
      </c>
      <c r="L1661">
        <v>1</v>
      </c>
    </row>
    <row r="1662" spans="1:12">
      <c r="A1662" t="s">
        <v>4828</v>
      </c>
      <c r="B1662" t="s">
        <v>4829</v>
      </c>
      <c r="C1662" t="s">
        <v>4830</v>
      </c>
      <c r="D1662" t="s">
        <v>158</v>
      </c>
      <c r="E1662" t="s">
        <v>16</v>
      </c>
      <c r="F1662" t="s">
        <v>36</v>
      </c>
      <c r="G1662" t="s">
        <v>172</v>
      </c>
      <c r="H1662" t="s">
        <v>31</v>
      </c>
      <c r="I1662">
        <v>2</v>
      </c>
      <c r="J1662">
        <v>4</v>
      </c>
      <c r="K1662">
        <v>7.02</v>
      </c>
      <c r="L1662">
        <v>0</v>
      </c>
    </row>
    <row r="1663" spans="1:12">
      <c r="A1663" t="s">
        <v>4831</v>
      </c>
      <c r="B1663" t="s">
        <v>4832</v>
      </c>
      <c r="C1663" t="s">
        <v>4833</v>
      </c>
      <c r="D1663" t="s">
        <v>35</v>
      </c>
      <c r="E1663" t="s">
        <v>54</v>
      </c>
      <c r="F1663" t="s">
        <v>29</v>
      </c>
      <c r="G1663" t="s">
        <v>50</v>
      </c>
      <c r="H1663" t="s">
        <v>19</v>
      </c>
      <c r="I1663">
        <v>4</v>
      </c>
      <c r="J1663">
        <v>48</v>
      </c>
      <c r="K1663">
        <v>19.91</v>
      </c>
      <c r="L1663">
        <v>1</v>
      </c>
    </row>
    <row r="1664" spans="1:12">
      <c r="A1664" t="s">
        <v>4834</v>
      </c>
      <c r="B1664" t="s">
        <v>4835</v>
      </c>
      <c r="C1664" t="s">
        <v>4836</v>
      </c>
      <c r="D1664" t="s">
        <v>15</v>
      </c>
      <c r="E1664" t="s">
        <v>59</v>
      </c>
      <c r="F1664" t="s">
        <v>17</v>
      </c>
      <c r="G1664" t="s">
        <v>18</v>
      </c>
      <c r="H1664" t="s">
        <v>31</v>
      </c>
      <c r="I1664">
        <v>4</v>
      </c>
      <c r="J1664">
        <v>8</v>
      </c>
      <c r="K1664">
        <v>3.2</v>
      </c>
      <c r="L1664">
        <v>1</v>
      </c>
    </row>
    <row r="1665" spans="1:12">
      <c r="A1665" t="s">
        <v>4837</v>
      </c>
      <c r="B1665" t="s">
        <v>4838</v>
      </c>
      <c r="C1665" t="s">
        <v>4839</v>
      </c>
      <c r="D1665" t="s">
        <v>15</v>
      </c>
      <c r="E1665" t="s">
        <v>16</v>
      </c>
      <c r="F1665" t="s">
        <v>41</v>
      </c>
      <c r="G1665" t="s">
        <v>50</v>
      </c>
      <c r="H1665" t="s">
        <v>31</v>
      </c>
      <c r="I1665">
        <v>5</v>
      </c>
      <c r="J1665">
        <v>8</v>
      </c>
      <c r="K1665">
        <v>1.84</v>
      </c>
      <c r="L1665">
        <v>1</v>
      </c>
    </row>
    <row r="1666" spans="1:12">
      <c r="A1666" t="s">
        <v>4840</v>
      </c>
      <c r="B1666" t="s">
        <v>4841</v>
      </c>
      <c r="C1666" t="s">
        <v>4842</v>
      </c>
      <c r="D1666" t="s">
        <v>23</v>
      </c>
      <c r="E1666" t="s">
        <v>24</v>
      </c>
      <c r="F1666" t="s">
        <v>17</v>
      </c>
      <c r="G1666" t="s">
        <v>172</v>
      </c>
      <c r="H1666" t="s">
        <v>19</v>
      </c>
      <c r="I1666">
        <v>2</v>
      </c>
      <c r="J1666">
        <v>24</v>
      </c>
      <c r="K1666">
        <v>32.19</v>
      </c>
      <c r="L1666">
        <v>0</v>
      </c>
    </row>
    <row r="1667" spans="1:12">
      <c r="A1667" t="s">
        <v>4843</v>
      </c>
      <c r="B1667" t="s">
        <v>4844</v>
      </c>
      <c r="C1667" t="s">
        <v>4845</v>
      </c>
      <c r="D1667" t="s">
        <v>23</v>
      </c>
      <c r="E1667" t="s">
        <v>54</v>
      </c>
      <c r="F1667" t="s">
        <v>17</v>
      </c>
      <c r="G1667" t="s">
        <v>73</v>
      </c>
      <c r="H1667" t="s">
        <v>31</v>
      </c>
      <c r="I1667">
        <v>4</v>
      </c>
      <c r="J1667">
        <v>24</v>
      </c>
      <c r="K1667">
        <v>4.33</v>
      </c>
      <c r="L1667">
        <v>1</v>
      </c>
    </row>
    <row r="1668" spans="1:12">
      <c r="A1668" t="s">
        <v>4846</v>
      </c>
      <c r="B1668" t="s">
        <v>4847</v>
      </c>
      <c r="C1668" t="s">
        <v>4848</v>
      </c>
      <c r="D1668" t="s">
        <v>15</v>
      </c>
      <c r="E1668" t="s">
        <v>24</v>
      </c>
      <c r="F1668" t="s">
        <v>41</v>
      </c>
      <c r="G1668" t="s">
        <v>37</v>
      </c>
      <c r="H1668" t="s">
        <v>19</v>
      </c>
      <c r="I1668">
        <v>1</v>
      </c>
      <c r="J1668">
        <v>8</v>
      </c>
      <c r="K1668">
        <v>21.72</v>
      </c>
      <c r="L1668">
        <v>0</v>
      </c>
    </row>
    <row r="1669" spans="1:12">
      <c r="A1669" t="s">
        <v>4849</v>
      </c>
      <c r="B1669" t="s">
        <v>4850</v>
      </c>
      <c r="D1669" t="s">
        <v>23</v>
      </c>
      <c r="E1669" t="s">
        <v>16</v>
      </c>
      <c r="F1669" t="s">
        <v>41</v>
      </c>
      <c r="G1669" t="s">
        <v>37</v>
      </c>
      <c r="H1669" t="s">
        <v>63</v>
      </c>
      <c r="J1669">
        <v>24</v>
      </c>
    </row>
    <row r="1670" spans="1:12">
      <c r="A1670" t="s">
        <v>4851</v>
      </c>
      <c r="B1670" t="s">
        <v>4852</v>
      </c>
      <c r="C1670" t="s">
        <v>4853</v>
      </c>
      <c r="D1670" t="s">
        <v>23</v>
      </c>
      <c r="E1670" t="s">
        <v>54</v>
      </c>
      <c r="F1670" t="s">
        <v>29</v>
      </c>
      <c r="G1670" t="s">
        <v>42</v>
      </c>
      <c r="H1670" t="s">
        <v>19</v>
      </c>
      <c r="I1670">
        <v>4</v>
      </c>
      <c r="J1670">
        <v>24</v>
      </c>
      <c r="K1670">
        <v>12.12</v>
      </c>
      <c r="L1670">
        <v>1</v>
      </c>
    </row>
    <row r="1671" spans="1:12">
      <c r="A1671" t="s">
        <v>4854</v>
      </c>
      <c r="B1671" t="s">
        <v>4855</v>
      </c>
      <c r="C1671" t="s">
        <v>4856</v>
      </c>
      <c r="D1671" t="s">
        <v>23</v>
      </c>
      <c r="E1671" t="s">
        <v>24</v>
      </c>
      <c r="F1671" t="s">
        <v>17</v>
      </c>
      <c r="G1671" t="s">
        <v>37</v>
      </c>
      <c r="H1671" t="s">
        <v>19</v>
      </c>
      <c r="I1671">
        <v>2</v>
      </c>
      <c r="J1671">
        <v>24</v>
      </c>
      <c r="K1671">
        <v>54.75</v>
      </c>
      <c r="L1671">
        <v>0</v>
      </c>
    </row>
    <row r="1672" spans="1:12">
      <c r="A1672" t="s">
        <v>4857</v>
      </c>
      <c r="B1672" t="s">
        <v>4858</v>
      </c>
      <c r="C1672" t="s">
        <v>4859</v>
      </c>
      <c r="D1672" t="s">
        <v>23</v>
      </c>
      <c r="E1672" t="s">
        <v>28</v>
      </c>
      <c r="F1672" t="s">
        <v>36</v>
      </c>
      <c r="G1672" t="s">
        <v>55</v>
      </c>
      <c r="H1672" t="s">
        <v>19</v>
      </c>
      <c r="I1672">
        <v>5</v>
      </c>
      <c r="J1672">
        <v>24</v>
      </c>
      <c r="K1672">
        <v>17.18</v>
      </c>
      <c r="L1672">
        <v>1</v>
      </c>
    </row>
    <row r="1673" spans="1:12">
      <c r="A1673" t="s">
        <v>4860</v>
      </c>
      <c r="B1673" t="s">
        <v>4861</v>
      </c>
      <c r="C1673" t="s">
        <v>4862</v>
      </c>
      <c r="D1673" t="s">
        <v>15</v>
      </c>
      <c r="E1673" t="s">
        <v>54</v>
      </c>
      <c r="F1673" t="s">
        <v>41</v>
      </c>
      <c r="G1673" t="s">
        <v>42</v>
      </c>
      <c r="H1673" t="s">
        <v>19</v>
      </c>
      <c r="I1673">
        <v>5</v>
      </c>
      <c r="J1673">
        <v>8</v>
      </c>
      <c r="K1673">
        <v>2.4700000000000002</v>
      </c>
      <c r="L1673">
        <v>1</v>
      </c>
    </row>
    <row r="1674" spans="1:12">
      <c r="A1674" t="s">
        <v>4863</v>
      </c>
      <c r="B1674" t="s">
        <v>4864</v>
      </c>
      <c r="D1674" t="s">
        <v>15</v>
      </c>
      <c r="E1674" t="s">
        <v>16</v>
      </c>
      <c r="F1674" t="s">
        <v>29</v>
      </c>
      <c r="G1674" t="s">
        <v>151</v>
      </c>
      <c r="H1674" t="s">
        <v>63</v>
      </c>
      <c r="J1674">
        <v>8</v>
      </c>
    </row>
    <row r="1675" spans="1:12">
      <c r="A1675" t="s">
        <v>4865</v>
      </c>
      <c r="B1675" t="s">
        <v>4866</v>
      </c>
      <c r="C1675" t="s">
        <v>4867</v>
      </c>
      <c r="D1675" t="s">
        <v>23</v>
      </c>
      <c r="E1675" t="s">
        <v>54</v>
      </c>
      <c r="F1675" t="s">
        <v>60</v>
      </c>
      <c r="G1675" t="s">
        <v>172</v>
      </c>
      <c r="H1675" t="s">
        <v>31</v>
      </c>
      <c r="I1675">
        <v>3</v>
      </c>
      <c r="J1675">
        <v>24</v>
      </c>
      <c r="K1675">
        <v>70.38</v>
      </c>
      <c r="L1675">
        <v>0</v>
      </c>
    </row>
    <row r="1676" spans="1:12">
      <c r="A1676" t="s">
        <v>4868</v>
      </c>
      <c r="B1676" t="s">
        <v>4869</v>
      </c>
      <c r="C1676" t="s">
        <v>4870</v>
      </c>
      <c r="D1676" t="s">
        <v>35</v>
      </c>
      <c r="E1676" t="s">
        <v>28</v>
      </c>
      <c r="F1676" t="s">
        <v>60</v>
      </c>
      <c r="G1676" t="s">
        <v>55</v>
      </c>
      <c r="H1676" t="s">
        <v>19</v>
      </c>
      <c r="I1676">
        <v>4</v>
      </c>
      <c r="J1676">
        <v>48</v>
      </c>
      <c r="K1676">
        <v>24.73</v>
      </c>
      <c r="L1676">
        <v>1</v>
      </c>
    </row>
    <row r="1677" spans="1:12">
      <c r="A1677" t="s">
        <v>4871</v>
      </c>
      <c r="B1677" t="s">
        <v>4872</v>
      </c>
      <c r="C1677" t="s">
        <v>4873</v>
      </c>
      <c r="D1677" t="s">
        <v>15</v>
      </c>
      <c r="E1677" t="s">
        <v>16</v>
      </c>
      <c r="F1677" t="s">
        <v>41</v>
      </c>
      <c r="G1677" t="s">
        <v>73</v>
      </c>
      <c r="H1677" t="s">
        <v>31</v>
      </c>
      <c r="I1677">
        <v>5</v>
      </c>
      <c r="J1677">
        <v>8</v>
      </c>
      <c r="K1677">
        <v>4.1399999999999997</v>
      </c>
      <c r="L1677">
        <v>1</v>
      </c>
    </row>
    <row r="1678" spans="1:12">
      <c r="A1678" t="s">
        <v>4874</v>
      </c>
      <c r="B1678" t="s">
        <v>4875</v>
      </c>
      <c r="C1678" t="s">
        <v>4876</v>
      </c>
      <c r="D1678" t="s">
        <v>35</v>
      </c>
      <c r="E1678" t="s">
        <v>16</v>
      </c>
      <c r="F1678" t="s">
        <v>36</v>
      </c>
      <c r="G1678" t="s">
        <v>50</v>
      </c>
      <c r="H1678" t="s">
        <v>19</v>
      </c>
      <c r="I1678">
        <v>5</v>
      </c>
      <c r="J1678">
        <v>48</v>
      </c>
      <c r="K1678">
        <v>36.21</v>
      </c>
      <c r="L1678">
        <v>1</v>
      </c>
    </row>
    <row r="1679" spans="1:12">
      <c r="A1679" t="s">
        <v>4877</v>
      </c>
      <c r="B1679" t="s">
        <v>4878</v>
      </c>
      <c r="C1679" t="s">
        <v>4879</v>
      </c>
      <c r="D1679" t="s">
        <v>35</v>
      </c>
      <c r="E1679" t="s">
        <v>24</v>
      </c>
      <c r="F1679" t="s">
        <v>17</v>
      </c>
      <c r="G1679" t="s">
        <v>18</v>
      </c>
      <c r="H1679" t="s">
        <v>31</v>
      </c>
      <c r="I1679">
        <v>4</v>
      </c>
      <c r="J1679">
        <v>48</v>
      </c>
      <c r="K1679">
        <v>38.450000000000003</v>
      </c>
      <c r="L1679">
        <v>1</v>
      </c>
    </row>
    <row r="1680" spans="1:12">
      <c r="A1680" t="s">
        <v>4880</v>
      </c>
      <c r="B1680" t="s">
        <v>4881</v>
      </c>
      <c r="C1680" t="s">
        <v>4882</v>
      </c>
      <c r="D1680" t="s">
        <v>23</v>
      </c>
      <c r="E1680" t="s">
        <v>59</v>
      </c>
      <c r="F1680" t="s">
        <v>41</v>
      </c>
      <c r="G1680" t="s">
        <v>172</v>
      </c>
      <c r="H1680" t="s">
        <v>31</v>
      </c>
      <c r="I1680">
        <v>5</v>
      </c>
      <c r="J1680">
        <v>24</v>
      </c>
      <c r="K1680">
        <v>19.21</v>
      </c>
      <c r="L1680">
        <v>1</v>
      </c>
    </row>
    <row r="1681" spans="1:12">
      <c r="A1681" t="s">
        <v>4883</v>
      </c>
      <c r="B1681" t="s">
        <v>4884</v>
      </c>
      <c r="C1681" t="s">
        <v>4885</v>
      </c>
      <c r="D1681" t="s">
        <v>23</v>
      </c>
      <c r="E1681" t="s">
        <v>24</v>
      </c>
      <c r="F1681" t="s">
        <v>36</v>
      </c>
      <c r="G1681" t="s">
        <v>105</v>
      </c>
      <c r="H1681" t="s">
        <v>31</v>
      </c>
      <c r="I1681">
        <v>4</v>
      </c>
      <c r="J1681">
        <v>24</v>
      </c>
      <c r="K1681">
        <v>12.68</v>
      </c>
      <c r="L1681">
        <v>1</v>
      </c>
    </row>
    <row r="1682" spans="1:12">
      <c r="A1682" t="s">
        <v>4886</v>
      </c>
      <c r="B1682" t="s">
        <v>4887</v>
      </c>
      <c r="C1682" t="s">
        <v>4888</v>
      </c>
      <c r="D1682" t="s">
        <v>23</v>
      </c>
      <c r="E1682" t="s">
        <v>16</v>
      </c>
      <c r="F1682" t="s">
        <v>36</v>
      </c>
      <c r="G1682" t="s">
        <v>45</v>
      </c>
      <c r="H1682" t="s">
        <v>19</v>
      </c>
      <c r="I1682">
        <v>5</v>
      </c>
      <c r="J1682">
        <v>24</v>
      </c>
      <c r="K1682">
        <v>2.92</v>
      </c>
      <c r="L1682">
        <v>1</v>
      </c>
    </row>
    <row r="1683" spans="1:12">
      <c r="A1683" t="s">
        <v>4889</v>
      </c>
      <c r="B1683" t="s">
        <v>4890</v>
      </c>
      <c r="C1683" t="s">
        <v>4891</v>
      </c>
      <c r="D1683" t="s">
        <v>23</v>
      </c>
      <c r="E1683" t="s">
        <v>28</v>
      </c>
      <c r="F1683" t="s">
        <v>17</v>
      </c>
      <c r="G1683" t="s">
        <v>50</v>
      </c>
      <c r="H1683" t="s">
        <v>31</v>
      </c>
      <c r="I1683">
        <v>5</v>
      </c>
      <c r="J1683">
        <v>24</v>
      </c>
      <c r="K1683">
        <v>14.51</v>
      </c>
      <c r="L1683">
        <v>1</v>
      </c>
    </row>
    <row r="1684" spans="1:12">
      <c r="A1684" t="s">
        <v>4892</v>
      </c>
      <c r="B1684" t="s">
        <v>4893</v>
      </c>
      <c r="C1684" t="s">
        <v>4894</v>
      </c>
      <c r="D1684" t="s">
        <v>35</v>
      </c>
      <c r="E1684" t="s">
        <v>28</v>
      </c>
      <c r="F1684" t="s">
        <v>17</v>
      </c>
      <c r="G1684" t="s">
        <v>105</v>
      </c>
      <c r="H1684" t="s">
        <v>31</v>
      </c>
      <c r="I1684">
        <v>4</v>
      </c>
      <c r="J1684">
        <v>48</v>
      </c>
      <c r="K1684">
        <v>28.73</v>
      </c>
      <c r="L1684">
        <v>1</v>
      </c>
    </row>
    <row r="1685" spans="1:12">
      <c r="A1685" t="s">
        <v>4895</v>
      </c>
      <c r="B1685" t="s">
        <v>4896</v>
      </c>
      <c r="C1685" t="s">
        <v>4897</v>
      </c>
      <c r="D1685" t="s">
        <v>15</v>
      </c>
      <c r="E1685" t="s">
        <v>16</v>
      </c>
      <c r="F1685" t="s">
        <v>60</v>
      </c>
      <c r="G1685" t="s">
        <v>50</v>
      </c>
      <c r="H1685" t="s">
        <v>19</v>
      </c>
      <c r="I1685">
        <v>5</v>
      </c>
      <c r="J1685">
        <v>8</v>
      </c>
      <c r="K1685">
        <v>5.7</v>
      </c>
      <c r="L1685">
        <v>1</v>
      </c>
    </row>
    <row r="1686" spans="1:12">
      <c r="A1686" t="s">
        <v>4898</v>
      </c>
      <c r="B1686" t="s">
        <v>4899</v>
      </c>
      <c r="C1686" t="s">
        <v>4900</v>
      </c>
      <c r="D1686" t="s">
        <v>23</v>
      </c>
      <c r="E1686" t="s">
        <v>28</v>
      </c>
      <c r="F1686" t="s">
        <v>17</v>
      </c>
      <c r="G1686" t="s">
        <v>172</v>
      </c>
      <c r="H1686" t="s">
        <v>31</v>
      </c>
      <c r="I1686">
        <v>4</v>
      </c>
      <c r="J1686">
        <v>24</v>
      </c>
      <c r="K1686">
        <v>15.53</v>
      </c>
      <c r="L1686">
        <v>1</v>
      </c>
    </row>
    <row r="1687" spans="1:12">
      <c r="A1687" t="s">
        <v>4901</v>
      </c>
      <c r="B1687" t="s">
        <v>4902</v>
      </c>
      <c r="C1687" t="s">
        <v>4903</v>
      </c>
      <c r="D1687" t="s">
        <v>23</v>
      </c>
      <c r="E1687" t="s">
        <v>16</v>
      </c>
      <c r="F1687" t="s">
        <v>36</v>
      </c>
      <c r="G1687" t="s">
        <v>105</v>
      </c>
      <c r="H1687" t="s">
        <v>31</v>
      </c>
      <c r="I1687">
        <v>3</v>
      </c>
      <c r="J1687">
        <v>24</v>
      </c>
      <c r="K1687">
        <v>3.7</v>
      </c>
      <c r="L1687">
        <v>1</v>
      </c>
    </row>
    <row r="1688" spans="1:12">
      <c r="A1688" t="s">
        <v>4904</v>
      </c>
      <c r="B1688" t="s">
        <v>4905</v>
      </c>
      <c r="C1688" t="s">
        <v>4906</v>
      </c>
      <c r="D1688" t="s">
        <v>15</v>
      </c>
      <c r="E1688" t="s">
        <v>24</v>
      </c>
      <c r="F1688" t="s">
        <v>17</v>
      </c>
      <c r="G1688" t="s">
        <v>42</v>
      </c>
      <c r="H1688" t="s">
        <v>31</v>
      </c>
      <c r="I1688">
        <v>2</v>
      </c>
      <c r="J1688">
        <v>8</v>
      </c>
      <c r="K1688">
        <v>13.68</v>
      </c>
      <c r="L1688">
        <v>0</v>
      </c>
    </row>
    <row r="1689" spans="1:12">
      <c r="A1689" t="s">
        <v>4907</v>
      </c>
      <c r="B1689" t="s">
        <v>4908</v>
      </c>
      <c r="C1689" t="s">
        <v>4909</v>
      </c>
      <c r="D1689" t="s">
        <v>158</v>
      </c>
      <c r="E1689" t="s">
        <v>28</v>
      </c>
      <c r="F1689" t="s">
        <v>36</v>
      </c>
      <c r="G1689" t="s">
        <v>77</v>
      </c>
      <c r="H1689" t="s">
        <v>19</v>
      </c>
      <c r="I1689">
        <v>5</v>
      </c>
      <c r="J1689">
        <v>4</v>
      </c>
      <c r="K1689">
        <v>2.76</v>
      </c>
      <c r="L1689">
        <v>1</v>
      </c>
    </row>
    <row r="1690" spans="1:12">
      <c r="A1690" t="s">
        <v>4910</v>
      </c>
      <c r="B1690" t="s">
        <v>4911</v>
      </c>
      <c r="C1690" t="s">
        <v>4912</v>
      </c>
      <c r="D1690" t="s">
        <v>35</v>
      </c>
      <c r="E1690" t="s">
        <v>28</v>
      </c>
      <c r="F1690" t="s">
        <v>36</v>
      </c>
      <c r="G1690" t="s">
        <v>45</v>
      </c>
      <c r="H1690" t="s">
        <v>19</v>
      </c>
      <c r="I1690">
        <v>3</v>
      </c>
      <c r="J1690">
        <v>48</v>
      </c>
      <c r="K1690">
        <v>32.69</v>
      </c>
      <c r="L1690">
        <v>1</v>
      </c>
    </row>
    <row r="1691" spans="1:12">
      <c r="A1691" t="s">
        <v>4913</v>
      </c>
      <c r="B1691" t="s">
        <v>4914</v>
      </c>
      <c r="C1691" t="s">
        <v>4915</v>
      </c>
      <c r="D1691" t="s">
        <v>35</v>
      </c>
      <c r="E1691" t="s">
        <v>28</v>
      </c>
      <c r="F1691" t="s">
        <v>36</v>
      </c>
      <c r="G1691" t="s">
        <v>30</v>
      </c>
      <c r="H1691" t="s">
        <v>19</v>
      </c>
      <c r="I1691">
        <v>5</v>
      </c>
      <c r="J1691">
        <v>48</v>
      </c>
      <c r="K1691">
        <v>11.03</v>
      </c>
      <c r="L1691">
        <v>1</v>
      </c>
    </row>
    <row r="1692" spans="1:12">
      <c r="A1692" t="s">
        <v>4916</v>
      </c>
      <c r="B1692" t="s">
        <v>4917</v>
      </c>
      <c r="C1692" t="s">
        <v>4918</v>
      </c>
      <c r="D1692" t="s">
        <v>15</v>
      </c>
      <c r="E1692" t="s">
        <v>28</v>
      </c>
      <c r="F1692" t="s">
        <v>41</v>
      </c>
      <c r="G1692" t="s">
        <v>30</v>
      </c>
      <c r="H1692" t="s">
        <v>19</v>
      </c>
      <c r="I1692">
        <v>5</v>
      </c>
      <c r="J1692">
        <v>8</v>
      </c>
      <c r="K1692">
        <v>0.96</v>
      </c>
      <c r="L1692">
        <v>1</v>
      </c>
    </row>
    <row r="1693" spans="1:12">
      <c r="A1693" t="s">
        <v>4919</v>
      </c>
      <c r="B1693" t="s">
        <v>4920</v>
      </c>
      <c r="C1693" t="s">
        <v>4921</v>
      </c>
      <c r="D1693" t="s">
        <v>23</v>
      </c>
      <c r="E1693" t="s">
        <v>24</v>
      </c>
      <c r="F1693" t="s">
        <v>60</v>
      </c>
      <c r="G1693" t="s">
        <v>30</v>
      </c>
      <c r="H1693" t="s">
        <v>19</v>
      </c>
      <c r="I1693">
        <v>5</v>
      </c>
      <c r="J1693">
        <v>24</v>
      </c>
      <c r="K1693">
        <v>2.5499999999999998</v>
      </c>
      <c r="L1693">
        <v>1</v>
      </c>
    </row>
    <row r="1694" spans="1:12">
      <c r="A1694" t="s">
        <v>4922</v>
      </c>
      <c r="B1694" t="s">
        <v>4923</v>
      </c>
      <c r="C1694" t="s">
        <v>4924</v>
      </c>
      <c r="D1694" t="s">
        <v>35</v>
      </c>
      <c r="E1694" t="s">
        <v>28</v>
      </c>
      <c r="F1694" t="s">
        <v>17</v>
      </c>
      <c r="G1694" t="s">
        <v>37</v>
      </c>
      <c r="H1694" t="s">
        <v>19</v>
      </c>
      <c r="I1694">
        <v>5</v>
      </c>
      <c r="J1694">
        <v>48</v>
      </c>
      <c r="K1694">
        <v>42.14</v>
      </c>
      <c r="L1694">
        <v>1</v>
      </c>
    </row>
    <row r="1695" spans="1:12">
      <c r="A1695" t="s">
        <v>4925</v>
      </c>
      <c r="B1695" t="s">
        <v>4926</v>
      </c>
      <c r="C1695" t="s">
        <v>4927</v>
      </c>
      <c r="D1695" t="s">
        <v>15</v>
      </c>
      <c r="E1695" t="s">
        <v>28</v>
      </c>
      <c r="F1695" t="s">
        <v>41</v>
      </c>
      <c r="G1695" t="s">
        <v>73</v>
      </c>
      <c r="H1695" t="s">
        <v>31</v>
      </c>
      <c r="I1695">
        <v>4</v>
      </c>
      <c r="J1695">
        <v>8</v>
      </c>
      <c r="K1695">
        <v>2.54</v>
      </c>
      <c r="L1695">
        <v>1</v>
      </c>
    </row>
    <row r="1696" spans="1:12">
      <c r="A1696" t="s">
        <v>4928</v>
      </c>
      <c r="B1696" t="s">
        <v>4929</v>
      </c>
      <c r="C1696" t="s">
        <v>4930</v>
      </c>
      <c r="D1696" t="s">
        <v>15</v>
      </c>
      <c r="E1696" t="s">
        <v>24</v>
      </c>
      <c r="F1696" t="s">
        <v>29</v>
      </c>
      <c r="G1696" t="s">
        <v>50</v>
      </c>
      <c r="H1696" t="s">
        <v>19</v>
      </c>
      <c r="I1696">
        <v>5</v>
      </c>
      <c r="J1696">
        <v>8</v>
      </c>
      <c r="K1696">
        <v>5.23</v>
      </c>
      <c r="L1696">
        <v>1</v>
      </c>
    </row>
    <row r="1697" spans="1:12">
      <c r="A1697" t="s">
        <v>4931</v>
      </c>
      <c r="B1697" t="s">
        <v>4932</v>
      </c>
      <c r="C1697" t="s">
        <v>4933</v>
      </c>
      <c r="D1697" t="s">
        <v>15</v>
      </c>
      <c r="E1697" t="s">
        <v>24</v>
      </c>
      <c r="F1697" t="s">
        <v>41</v>
      </c>
      <c r="G1697" t="s">
        <v>42</v>
      </c>
      <c r="H1697" t="s">
        <v>31</v>
      </c>
      <c r="I1697">
        <v>2</v>
      </c>
      <c r="J1697">
        <v>8</v>
      </c>
      <c r="K1697">
        <v>11.52</v>
      </c>
      <c r="L1697">
        <v>0</v>
      </c>
    </row>
    <row r="1698" spans="1:12">
      <c r="A1698" t="s">
        <v>4934</v>
      </c>
      <c r="B1698" t="s">
        <v>4935</v>
      </c>
      <c r="C1698" t="s">
        <v>4936</v>
      </c>
      <c r="D1698" t="s">
        <v>15</v>
      </c>
      <c r="E1698" t="s">
        <v>54</v>
      </c>
      <c r="F1698" t="s">
        <v>17</v>
      </c>
      <c r="G1698" t="s">
        <v>55</v>
      </c>
      <c r="H1698" t="s">
        <v>31</v>
      </c>
      <c r="I1698">
        <v>5</v>
      </c>
      <c r="J1698">
        <v>8</v>
      </c>
      <c r="K1698">
        <v>1.17</v>
      </c>
      <c r="L1698">
        <v>1</v>
      </c>
    </row>
    <row r="1699" spans="1:12">
      <c r="A1699" t="s">
        <v>4937</v>
      </c>
      <c r="B1699" t="s">
        <v>4938</v>
      </c>
      <c r="C1699" t="s">
        <v>4939</v>
      </c>
      <c r="D1699" t="s">
        <v>35</v>
      </c>
      <c r="E1699" t="s">
        <v>16</v>
      </c>
      <c r="F1699" t="s">
        <v>17</v>
      </c>
      <c r="G1699" t="s">
        <v>77</v>
      </c>
      <c r="H1699" t="s">
        <v>19</v>
      </c>
      <c r="I1699">
        <v>5</v>
      </c>
      <c r="J1699">
        <v>48</v>
      </c>
      <c r="K1699">
        <v>38.65</v>
      </c>
      <c r="L1699">
        <v>1</v>
      </c>
    </row>
    <row r="1700" spans="1:12">
      <c r="A1700" t="s">
        <v>4940</v>
      </c>
      <c r="B1700" t="s">
        <v>4941</v>
      </c>
      <c r="D1700" t="s">
        <v>23</v>
      </c>
      <c r="E1700" t="s">
        <v>16</v>
      </c>
      <c r="F1700" t="s">
        <v>29</v>
      </c>
      <c r="G1700" t="s">
        <v>50</v>
      </c>
      <c r="H1700" t="s">
        <v>46</v>
      </c>
      <c r="J1700">
        <v>24</v>
      </c>
    </row>
    <row r="1701" spans="1:12">
      <c r="A1701" t="s">
        <v>4942</v>
      </c>
      <c r="B1701" t="s">
        <v>4943</v>
      </c>
      <c r="C1701" t="s">
        <v>4944</v>
      </c>
      <c r="D1701" t="s">
        <v>23</v>
      </c>
      <c r="E1701" t="s">
        <v>59</v>
      </c>
      <c r="F1701" t="s">
        <v>41</v>
      </c>
      <c r="G1701" t="s">
        <v>77</v>
      </c>
      <c r="H1701" t="s">
        <v>31</v>
      </c>
      <c r="I1701">
        <v>5</v>
      </c>
      <c r="J1701">
        <v>24</v>
      </c>
      <c r="K1701">
        <v>16.010000000000002</v>
      </c>
      <c r="L1701">
        <v>1</v>
      </c>
    </row>
    <row r="1702" spans="1:12">
      <c r="A1702" t="s">
        <v>4945</v>
      </c>
      <c r="B1702" t="s">
        <v>4946</v>
      </c>
      <c r="C1702" t="s">
        <v>4947</v>
      </c>
      <c r="D1702" t="s">
        <v>23</v>
      </c>
      <c r="E1702" t="s">
        <v>16</v>
      </c>
      <c r="F1702" t="s">
        <v>36</v>
      </c>
      <c r="G1702" t="s">
        <v>55</v>
      </c>
      <c r="H1702" t="s">
        <v>19</v>
      </c>
      <c r="I1702">
        <v>3</v>
      </c>
      <c r="J1702">
        <v>24</v>
      </c>
      <c r="K1702">
        <v>7.99</v>
      </c>
      <c r="L1702">
        <v>1</v>
      </c>
    </row>
    <row r="1703" spans="1:12">
      <c r="A1703" t="s">
        <v>4948</v>
      </c>
      <c r="B1703" t="s">
        <v>4949</v>
      </c>
      <c r="C1703" t="s">
        <v>4950</v>
      </c>
      <c r="D1703" t="s">
        <v>23</v>
      </c>
      <c r="E1703" t="s">
        <v>54</v>
      </c>
      <c r="F1703" t="s">
        <v>17</v>
      </c>
      <c r="G1703" t="s">
        <v>42</v>
      </c>
      <c r="H1703" t="s">
        <v>19</v>
      </c>
      <c r="I1703">
        <v>4</v>
      </c>
      <c r="J1703">
        <v>24</v>
      </c>
      <c r="K1703">
        <v>6.29</v>
      </c>
      <c r="L1703">
        <v>1</v>
      </c>
    </row>
    <row r="1704" spans="1:12">
      <c r="A1704" t="s">
        <v>4951</v>
      </c>
      <c r="B1704" t="s">
        <v>4952</v>
      </c>
      <c r="C1704" t="s">
        <v>4953</v>
      </c>
      <c r="D1704" t="s">
        <v>23</v>
      </c>
      <c r="E1704" t="s">
        <v>28</v>
      </c>
      <c r="F1704" t="s">
        <v>36</v>
      </c>
      <c r="G1704" t="s">
        <v>45</v>
      </c>
      <c r="H1704" t="s">
        <v>31</v>
      </c>
      <c r="I1704">
        <v>1</v>
      </c>
      <c r="J1704">
        <v>24</v>
      </c>
      <c r="K1704">
        <v>39.340000000000003</v>
      </c>
      <c r="L1704">
        <v>0</v>
      </c>
    </row>
    <row r="1705" spans="1:12">
      <c r="A1705" t="s">
        <v>4954</v>
      </c>
      <c r="B1705" t="s">
        <v>4955</v>
      </c>
      <c r="D1705" t="s">
        <v>35</v>
      </c>
      <c r="E1705" t="s">
        <v>59</v>
      </c>
      <c r="F1705" t="s">
        <v>17</v>
      </c>
      <c r="G1705" t="s">
        <v>42</v>
      </c>
      <c r="H1705" t="s">
        <v>63</v>
      </c>
      <c r="J1705">
        <v>48</v>
      </c>
    </row>
    <row r="1706" spans="1:12">
      <c r="A1706" t="s">
        <v>4956</v>
      </c>
      <c r="B1706" t="s">
        <v>4957</v>
      </c>
      <c r="C1706" t="s">
        <v>4958</v>
      </c>
      <c r="D1706" t="s">
        <v>35</v>
      </c>
      <c r="E1706" t="s">
        <v>16</v>
      </c>
      <c r="F1706" t="s">
        <v>41</v>
      </c>
      <c r="G1706" t="s">
        <v>73</v>
      </c>
      <c r="H1706" t="s">
        <v>19</v>
      </c>
      <c r="I1706">
        <v>5</v>
      </c>
      <c r="J1706">
        <v>48</v>
      </c>
      <c r="K1706">
        <v>14.38</v>
      </c>
      <c r="L1706">
        <v>1</v>
      </c>
    </row>
    <row r="1707" spans="1:12">
      <c r="A1707" t="s">
        <v>4959</v>
      </c>
      <c r="B1707" t="s">
        <v>4960</v>
      </c>
      <c r="C1707" t="s">
        <v>4961</v>
      </c>
      <c r="D1707" t="s">
        <v>23</v>
      </c>
      <c r="E1707" t="s">
        <v>28</v>
      </c>
      <c r="F1707" t="s">
        <v>36</v>
      </c>
      <c r="G1707" t="s">
        <v>105</v>
      </c>
      <c r="H1707" t="s">
        <v>31</v>
      </c>
      <c r="I1707">
        <v>4</v>
      </c>
      <c r="J1707">
        <v>24</v>
      </c>
      <c r="K1707">
        <v>16.510000000000002</v>
      </c>
      <c r="L1707">
        <v>1</v>
      </c>
    </row>
    <row r="1708" spans="1:12">
      <c r="A1708" t="s">
        <v>4962</v>
      </c>
      <c r="B1708" t="s">
        <v>4963</v>
      </c>
      <c r="D1708" t="s">
        <v>23</v>
      </c>
      <c r="E1708" t="s">
        <v>24</v>
      </c>
      <c r="F1708" t="s">
        <v>41</v>
      </c>
      <c r="G1708" t="s">
        <v>37</v>
      </c>
      <c r="H1708" t="s">
        <v>63</v>
      </c>
      <c r="J1708">
        <v>24</v>
      </c>
    </row>
    <row r="1709" spans="1:12">
      <c r="A1709" t="s">
        <v>4964</v>
      </c>
      <c r="B1709" t="s">
        <v>4965</v>
      </c>
      <c r="C1709" t="s">
        <v>4966</v>
      </c>
      <c r="D1709" t="s">
        <v>23</v>
      </c>
      <c r="E1709" t="s">
        <v>59</v>
      </c>
      <c r="F1709" t="s">
        <v>29</v>
      </c>
      <c r="G1709" t="s">
        <v>105</v>
      </c>
      <c r="H1709" t="s">
        <v>19</v>
      </c>
      <c r="I1709">
        <v>3</v>
      </c>
      <c r="J1709">
        <v>24</v>
      </c>
      <c r="K1709">
        <v>18.760000000000002</v>
      </c>
      <c r="L1709">
        <v>1</v>
      </c>
    </row>
    <row r="1710" spans="1:12">
      <c r="A1710" t="s">
        <v>4967</v>
      </c>
      <c r="B1710" t="s">
        <v>4968</v>
      </c>
      <c r="D1710" t="s">
        <v>35</v>
      </c>
      <c r="E1710" t="s">
        <v>24</v>
      </c>
      <c r="F1710" t="s">
        <v>41</v>
      </c>
      <c r="G1710" t="s">
        <v>30</v>
      </c>
      <c r="H1710" t="s">
        <v>46</v>
      </c>
      <c r="J1710">
        <v>48</v>
      </c>
    </row>
    <row r="1711" spans="1:12">
      <c r="A1711" t="s">
        <v>4969</v>
      </c>
      <c r="B1711" t="s">
        <v>4970</v>
      </c>
      <c r="D1711" t="s">
        <v>35</v>
      </c>
      <c r="E1711" t="s">
        <v>16</v>
      </c>
      <c r="F1711" t="s">
        <v>41</v>
      </c>
      <c r="G1711" t="s">
        <v>77</v>
      </c>
      <c r="H1711" t="s">
        <v>63</v>
      </c>
      <c r="J1711">
        <v>48</v>
      </c>
    </row>
    <row r="1712" spans="1:12">
      <c r="A1712" t="s">
        <v>4971</v>
      </c>
      <c r="B1712" t="s">
        <v>4972</v>
      </c>
      <c r="C1712" t="s">
        <v>4973</v>
      </c>
      <c r="D1712" t="s">
        <v>23</v>
      </c>
      <c r="E1712" t="s">
        <v>16</v>
      </c>
      <c r="F1712" t="s">
        <v>36</v>
      </c>
      <c r="G1712" t="s">
        <v>45</v>
      </c>
      <c r="H1712" t="s">
        <v>19</v>
      </c>
      <c r="I1712">
        <v>4</v>
      </c>
      <c r="J1712">
        <v>24</v>
      </c>
      <c r="K1712">
        <v>11.71</v>
      </c>
      <c r="L1712">
        <v>1</v>
      </c>
    </row>
    <row r="1713" spans="1:12">
      <c r="A1713" t="s">
        <v>4974</v>
      </c>
      <c r="B1713" t="s">
        <v>4975</v>
      </c>
      <c r="C1713" t="s">
        <v>4976</v>
      </c>
      <c r="D1713" t="s">
        <v>23</v>
      </c>
      <c r="E1713" t="s">
        <v>59</v>
      </c>
      <c r="F1713" t="s">
        <v>60</v>
      </c>
      <c r="G1713" t="s">
        <v>77</v>
      </c>
      <c r="H1713" t="s">
        <v>19</v>
      </c>
      <c r="I1713">
        <v>4</v>
      </c>
      <c r="J1713">
        <v>24</v>
      </c>
      <c r="K1713">
        <v>9.4700000000000006</v>
      </c>
      <c r="L1713">
        <v>1</v>
      </c>
    </row>
    <row r="1714" spans="1:12">
      <c r="A1714" t="s">
        <v>4977</v>
      </c>
      <c r="B1714" t="s">
        <v>4978</v>
      </c>
      <c r="C1714" t="s">
        <v>4979</v>
      </c>
      <c r="D1714" t="s">
        <v>23</v>
      </c>
      <c r="E1714" t="s">
        <v>59</v>
      </c>
      <c r="F1714" t="s">
        <v>29</v>
      </c>
      <c r="G1714" t="s">
        <v>73</v>
      </c>
      <c r="H1714" t="s">
        <v>31</v>
      </c>
      <c r="I1714">
        <v>5</v>
      </c>
      <c r="J1714">
        <v>24</v>
      </c>
      <c r="K1714">
        <v>12.49</v>
      </c>
      <c r="L1714">
        <v>1</v>
      </c>
    </row>
    <row r="1715" spans="1:12">
      <c r="A1715" t="s">
        <v>4980</v>
      </c>
      <c r="B1715" t="s">
        <v>4981</v>
      </c>
      <c r="C1715" t="s">
        <v>4982</v>
      </c>
      <c r="D1715" t="s">
        <v>35</v>
      </c>
      <c r="E1715" t="s">
        <v>24</v>
      </c>
      <c r="F1715" t="s">
        <v>29</v>
      </c>
      <c r="G1715" t="s">
        <v>73</v>
      </c>
      <c r="H1715" t="s">
        <v>19</v>
      </c>
      <c r="I1715">
        <v>5</v>
      </c>
      <c r="J1715">
        <v>48</v>
      </c>
      <c r="K1715">
        <v>23.84</v>
      </c>
      <c r="L1715">
        <v>1</v>
      </c>
    </row>
    <row r="1716" spans="1:12">
      <c r="A1716" t="s">
        <v>4983</v>
      </c>
      <c r="B1716" t="s">
        <v>4984</v>
      </c>
      <c r="D1716" t="s">
        <v>23</v>
      </c>
      <c r="E1716" t="s">
        <v>16</v>
      </c>
      <c r="F1716" t="s">
        <v>29</v>
      </c>
      <c r="G1716" t="s">
        <v>77</v>
      </c>
      <c r="H1716" t="s">
        <v>63</v>
      </c>
      <c r="J1716">
        <v>24</v>
      </c>
    </row>
    <row r="1717" spans="1:12">
      <c r="A1717" t="s">
        <v>4985</v>
      </c>
      <c r="B1717" t="s">
        <v>4986</v>
      </c>
      <c r="C1717" t="s">
        <v>4987</v>
      </c>
      <c r="D1717" t="s">
        <v>15</v>
      </c>
      <c r="E1717" t="s">
        <v>28</v>
      </c>
      <c r="F1717" t="s">
        <v>17</v>
      </c>
      <c r="G1717" t="s">
        <v>55</v>
      </c>
      <c r="H1717" t="s">
        <v>19</v>
      </c>
      <c r="I1717">
        <v>5</v>
      </c>
      <c r="J1717">
        <v>8</v>
      </c>
      <c r="K1717">
        <v>2.2000000000000002</v>
      </c>
      <c r="L1717">
        <v>1</v>
      </c>
    </row>
    <row r="1718" spans="1:12">
      <c r="A1718" t="s">
        <v>4988</v>
      </c>
      <c r="B1718" t="s">
        <v>4989</v>
      </c>
      <c r="C1718" t="s">
        <v>4990</v>
      </c>
      <c r="D1718" t="s">
        <v>35</v>
      </c>
      <c r="E1718" t="s">
        <v>16</v>
      </c>
      <c r="F1718" t="s">
        <v>60</v>
      </c>
      <c r="G1718" t="s">
        <v>77</v>
      </c>
      <c r="H1718" t="s">
        <v>19</v>
      </c>
      <c r="I1718">
        <v>5</v>
      </c>
      <c r="J1718">
        <v>48</v>
      </c>
      <c r="K1718">
        <v>4.96</v>
      </c>
      <c r="L1718">
        <v>1</v>
      </c>
    </row>
    <row r="1719" spans="1:12">
      <c r="A1719" t="s">
        <v>4991</v>
      </c>
      <c r="B1719" t="s">
        <v>4992</v>
      </c>
      <c r="C1719" t="s">
        <v>4993</v>
      </c>
      <c r="D1719" t="s">
        <v>35</v>
      </c>
      <c r="E1719" t="s">
        <v>16</v>
      </c>
      <c r="F1719" t="s">
        <v>29</v>
      </c>
      <c r="G1719" t="s">
        <v>50</v>
      </c>
      <c r="H1719" t="s">
        <v>19</v>
      </c>
      <c r="I1719">
        <v>5</v>
      </c>
      <c r="J1719">
        <v>48</v>
      </c>
      <c r="K1719">
        <v>37.31</v>
      </c>
      <c r="L1719">
        <v>1</v>
      </c>
    </row>
    <row r="1720" spans="1:12">
      <c r="A1720" t="s">
        <v>4994</v>
      </c>
      <c r="B1720" t="s">
        <v>4995</v>
      </c>
      <c r="C1720" t="s">
        <v>4996</v>
      </c>
      <c r="D1720" t="s">
        <v>23</v>
      </c>
      <c r="E1720" t="s">
        <v>16</v>
      </c>
      <c r="F1720" t="s">
        <v>17</v>
      </c>
      <c r="G1720" t="s">
        <v>55</v>
      </c>
      <c r="H1720" t="s">
        <v>19</v>
      </c>
      <c r="I1720">
        <v>4</v>
      </c>
      <c r="J1720">
        <v>24</v>
      </c>
      <c r="K1720">
        <v>17.73</v>
      </c>
      <c r="L1720">
        <v>1</v>
      </c>
    </row>
    <row r="1721" spans="1:12">
      <c r="A1721" t="s">
        <v>4997</v>
      </c>
      <c r="B1721" t="s">
        <v>4998</v>
      </c>
      <c r="C1721" t="s">
        <v>4999</v>
      </c>
      <c r="D1721" t="s">
        <v>23</v>
      </c>
      <c r="E1721" t="s">
        <v>24</v>
      </c>
      <c r="F1721" t="s">
        <v>17</v>
      </c>
      <c r="G1721" t="s">
        <v>105</v>
      </c>
      <c r="H1721" t="s">
        <v>19</v>
      </c>
      <c r="I1721">
        <v>4</v>
      </c>
      <c r="J1721">
        <v>24</v>
      </c>
      <c r="K1721">
        <v>12.69</v>
      </c>
      <c r="L1721">
        <v>1</v>
      </c>
    </row>
    <row r="1722" spans="1:12">
      <c r="A1722" t="s">
        <v>5000</v>
      </c>
      <c r="B1722" t="s">
        <v>5001</v>
      </c>
      <c r="C1722" t="s">
        <v>5002</v>
      </c>
      <c r="D1722" t="s">
        <v>35</v>
      </c>
      <c r="E1722" t="s">
        <v>54</v>
      </c>
      <c r="F1722" t="s">
        <v>29</v>
      </c>
      <c r="G1722" t="s">
        <v>18</v>
      </c>
      <c r="H1722" t="s">
        <v>31</v>
      </c>
      <c r="I1722">
        <v>5</v>
      </c>
      <c r="J1722">
        <v>48</v>
      </c>
      <c r="K1722">
        <v>13.34</v>
      </c>
      <c r="L1722">
        <v>1</v>
      </c>
    </row>
    <row r="1723" spans="1:12">
      <c r="A1723" t="s">
        <v>5003</v>
      </c>
      <c r="B1723" t="s">
        <v>5004</v>
      </c>
      <c r="C1723" t="s">
        <v>5005</v>
      </c>
      <c r="D1723" t="s">
        <v>15</v>
      </c>
      <c r="E1723" t="s">
        <v>24</v>
      </c>
      <c r="F1723" t="s">
        <v>29</v>
      </c>
      <c r="G1723" t="s">
        <v>42</v>
      </c>
      <c r="H1723" t="s">
        <v>19</v>
      </c>
      <c r="I1723">
        <v>1</v>
      </c>
      <c r="J1723">
        <v>8</v>
      </c>
      <c r="K1723">
        <v>19.02</v>
      </c>
      <c r="L1723">
        <v>0</v>
      </c>
    </row>
    <row r="1724" spans="1:12">
      <c r="A1724" t="s">
        <v>5006</v>
      </c>
      <c r="B1724" t="s">
        <v>5007</v>
      </c>
      <c r="C1724" t="s">
        <v>5008</v>
      </c>
      <c r="D1724" t="s">
        <v>35</v>
      </c>
      <c r="E1724" t="s">
        <v>28</v>
      </c>
      <c r="F1724" t="s">
        <v>29</v>
      </c>
      <c r="G1724" t="s">
        <v>151</v>
      </c>
      <c r="H1724" t="s">
        <v>19</v>
      </c>
      <c r="I1724">
        <v>4</v>
      </c>
      <c r="J1724">
        <v>48</v>
      </c>
      <c r="K1724">
        <v>17.05</v>
      </c>
      <c r="L1724">
        <v>1</v>
      </c>
    </row>
    <row r="1725" spans="1:12">
      <c r="A1725" t="s">
        <v>5009</v>
      </c>
      <c r="B1725" t="s">
        <v>5010</v>
      </c>
      <c r="C1725" t="s">
        <v>5011</v>
      </c>
      <c r="D1725" t="s">
        <v>15</v>
      </c>
      <c r="E1725" t="s">
        <v>54</v>
      </c>
      <c r="F1725" t="s">
        <v>41</v>
      </c>
      <c r="G1725" t="s">
        <v>151</v>
      </c>
      <c r="H1725" t="s">
        <v>31</v>
      </c>
      <c r="I1725">
        <v>3</v>
      </c>
      <c r="J1725">
        <v>8</v>
      </c>
      <c r="K1725">
        <v>4.1399999999999997</v>
      </c>
      <c r="L1725">
        <v>1</v>
      </c>
    </row>
    <row r="1726" spans="1:12">
      <c r="A1726" t="s">
        <v>5012</v>
      </c>
      <c r="B1726" t="s">
        <v>5013</v>
      </c>
      <c r="C1726" t="s">
        <v>5014</v>
      </c>
      <c r="D1726" t="s">
        <v>23</v>
      </c>
      <c r="E1726" t="s">
        <v>28</v>
      </c>
      <c r="F1726" t="s">
        <v>41</v>
      </c>
      <c r="G1726" t="s">
        <v>37</v>
      </c>
      <c r="H1726" t="s">
        <v>31</v>
      </c>
      <c r="I1726">
        <v>5</v>
      </c>
      <c r="J1726">
        <v>24</v>
      </c>
      <c r="K1726">
        <v>11.02</v>
      </c>
      <c r="L1726">
        <v>1</v>
      </c>
    </row>
    <row r="1727" spans="1:12">
      <c r="A1727" t="s">
        <v>5015</v>
      </c>
      <c r="B1727" t="s">
        <v>5016</v>
      </c>
      <c r="C1727" t="s">
        <v>5017</v>
      </c>
      <c r="D1727" t="s">
        <v>23</v>
      </c>
      <c r="E1727" t="s">
        <v>59</v>
      </c>
      <c r="F1727" t="s">
        <v>41</v>
      </c>
      <c r="G1727" t="s">
        <v>30</v>
      </c>
      <c r="H1727" t="s">
        <v>19</v>
      </c>
      <c r="I1727">
        <v>1</v>
      </c>
      <c r="J1727">
        <v>24</v>
      </c>
      <c r="K1727">
        <v>60.72</v>
      </c>
      <c r="L1727">
        <v>0</v>
      </c>
    </row>
    <row r="1728" spans="1:12">
      <c r="A1728" t="s">
        <v>5018</v>
      </c>
      <c r="B1728" t="s">
        <v>5019</v>
      </c>
      <c r="C1728" t="s">
        <v>5020</v>
      </c>
      <c r="D1728" t="s">
        <v>23</v>
      </c>
      <c r="E1728" t="s">
        <v>24</v>
      </c>
      <c r="F1728" t="s">
        <v>36</v>
      </c>
      <c r="G1728" t="s">
        <v>50</v>
      </c>
      <c r="H1728" t="s">
        <v>19</v>
      </c>
      <c r="I1728">
        <v>4</v>
      </c>
      <c r="J1728">
        <v>24</v>
      </c>
      <c r="K1728">
        <v>14.71</v>
      </c>
      <c r="L1728">
        <v>1</v>
      </c>
    </row>
    <row r="1729" spans="1:12">
      <c r="A1729" t="s">
        <v>5021</v>
      </c>
      <c r="B1729" t="s">
        <v>5022</v>
      </c>
      <c r="C1729" t="s">
        <v>5023</v>
      </c>
      <c r="D1729" t="s">
        <v>15</v>
      </c>
      <c r="E1729" t="s">
        <v>16</v>
      </c>
      <c r="F1729" t="s">
        <v>41</v>
      </c>
      <c r="G1729" t="s">
        <v>18</v>
      </c>
      <c r="H1729" t="s">
        <v>31</v>
      </c>
      <c r="I1729">
        <v>5</v>
      </c>
      <c r="J1729">
        <v>8</v>
      </c>
      <c r="K1729">
        <v>5.45</v>
      </c>
      <c r="L1729">
        <v>1</v>
      </c>
    </row>
    <row r="1730" spans="1:12">
      <c r="A1730" t="s">
        <v>5024</v>
      </c>
      <c r="B1730" t="s">
        <v>5025</v>
      </c>
      <c r="C1730" t="s">
        <v>5026</v>
      </c>
      <c r="D1730" t="s">
        <v>23</v>
      </c>
      <c r="E1730" t="s">
        <v>59</v>
      </c>
      <c r="F1730" t="s">
        <v>41</v>
      </c>
      <c r="G1730" t="s">
        <v>42</v>
      </c>
      <c r="H1730" t="s">
        <v>19</v>
      </c>
      <c r="I1730">
        <v>4</v>
      </c>
      <c r="J1730">
        <v>24</v>
      </c>
      <c r="K1730">
        <v>16.62</v>
      </c>
      <c r="L1730">
        <v>1</v>
      </c>
    </row>
    <row r="1731" spans="1:12">
      <c r="A1731" t="s">
        <v>5027</v>
      </c>
      <c r="B1731" t="s">
        <v>5028</v>
      </c>
      <c r="C1731" t="s">
        <v>5029</v>
      </c>
      <c r="D1731" t="s">
        <v>23</v>
      </c>
      <c r="E1731" t="s">
        <v>16</v>
      </c>
      <c r="F1731" t="s">
        <v>29</v>
      </c>
      <c r="G1731" t="s">
        <v>55</v>
      </c>
      <c r="H1731" t="s">
        <v>19</v>
      </c>
      <c r="I1731">
        <v>4</v>
      </c>
      <c r="J1731">
        <v>24</v>
      </c>
      <c r="K1731">
        <v>5.95</v>
      </c>
      <c r="L1731">
        <v>1</v>
      </c>
    </row>
    <row r="1732" spans="1:12">
      <c r="A1732" t="s">
        <v>5030</v>
      </c>
      <c r="B1732" t="s">
        <v>5031</v>
      </c>
      <c r="C1732" t="s">
        <v>5032</v>
      </c>
      <c r="D1732" t="s">
        <v>15</v>
      </c>
      <c r="E1732" t="s">
        <v>28</v>
      </c>
      <c r="F1732" t="s">
        <v>29</v>
      </c>
      <c r="G1732" t="s">
        <v>37</v>
      </c>
      <c r="H1732" t="s">
        <v>19</v>
      </c>
      <c r="I1732">
        <v>4</v>
      </c>
      <c r="J1732">
        <v>8</v>
      </c>
      <c r="K1732">
        <v>6.49</v>
      </c>
      <c r="L1732">
        <v>1</v>
      </c>
    </row>
    <row r="1733" spans="1:12">
      <c r="A1733" t="s">
        <v>5033</v>
      </c>
      <c r="B1733" t="s">
        <v>5034</v>
      </c>
      <c r="C1733" t="s">
        <v>5035</v>
      </c>
      <c r="D1733" t="s">
        <v>15</v>
      </c>
      <c r="E1733" t="s">
        <v>28</v>
      </c>
      <c r="F1733" t="s">
        <v>17</v>
      </c>
      <c r="G1733" t="s">
        <v>37</v>
      </c>
      <c r="H1733" t="s">
        <v>19</v>
      </c>
      <c r="I1733">
        <v>5</v>
      </c>
      <c r="J1733">
        <v>8</v>
      </c>
      <c r="K1733">
        <v>3.11</v>
      </c>
      <c r="L1733">
        <v>1</v>
      </c>
    </row>
    <row r="1734" spans="1:12">
      <c r="A1734" t="s">
        <v>5036</v>
      </c>
      <c r="B1734" t="s">
        <v>5037</v>
      </c>
      <c r="C1734" t="s">
        <v>5038</v>
      </c>
      <c r="D1734" t="s">
        <v>23</v>
      </c>
      <c r="E1734" t="s">
        <v>16</v>
      </c>
      <c r="F1734" t="s">
        <v>36</v>
      </c>
      <c r="G1734" t="s">
        <v>42</v>
      </c>
      <c r="H1734" t="s">
        <v>19</v>
      </c>
      <c r="I1734">
        <v>5</v>
      </c>
      <c r="J1734">
        <v>24</v>
      </c>
      <c r="K1734">
        <v>22.37</v>
      </c>
      <c r="L1734">
        <v>1</v>
      </c>
    </row>
    <row r="1735" spans="1:12">
      <c r="A1735" t="s">
        <v>5039</v>
      </c>
      <c r="B1735" t="s">
        <v>5040</v>
      </c>
      <c r="C1735" t="s">
        <v>5041</v>
      </c>
      <c r="D1735" t="s">
        <v>23</v>
      </c>
      <c r="E1735" t="s">
        <v>28</v>
      </c>
      <c r="F1735" t="s">
        <v>41</v>
      </c>
      <c r="G1735" t="s">
        <v>30</v>
      </c>
      <c r="H1735" t="s">
        <v>31</v>
      </c>
      <c r="I1735">
        <v>2</v>
      </c>
      <c r="J1735">
        <v>24</v>
      </c>
      <c r="K1735">
        <v>42.44</v>
      </c>
      <c r="L1735">
        <v>0</v>
      </c>
    </row>
    <row r="1736" spans="1:12">
      <c r="A1736" t="s">
        <v>5042</v>
      </c>
      <c r="B1736" t="s">
        <v>5043</v>
      </c>
      <c r="C1736" t="s">
        <v>5044</v>
      </c>
      <c r="D1736" t="s">
        <v>23</v>
      </c>
      <c r="E1736" t="s">
        <v>28</v>
      </c>
      <c r="F1736" t="s">
        <v>60</v>
      </c>
      <c r="G1736" t="s">
        <v>105</v>
      </c>
      <c r="H1736" t="s">
        <v>19</v>
      </c>
      <c r="I1736">
        <v>5</v>
      </c>
      <c r="J1736">
        <v>24</v>
      </c>
      <c r="K1736">
        <v>7.76</v>
      </c>
      <c r="L1736">
        <v>1</v>
      </c>
    </row>
    <row r="1737" spans="1:12">
      <c r="A1737" t="s">
        <v>5045</v>
      </c>
      <c r="B1737" t="s">
        <v>5046</v>
      </c>
      <c r="C1737" t="s">
        <v>5047</v>
      </c>
      <c r="D1737" t="s">
        <v>23</v>
      </c>
      <c r="E1737" t="s">
        <v>28</v>
      </c>
      <c r="F1737" t="s">
        <v>17</v>
      </c>
      <c r="G1737" t="s">
        <v>73</v>
      </c>
      <c r="H1737" t="s">
        <v>19</v>
      </c>
      <c r="I1737">
        <v>5</v>
      </c>
      <c r="J1737">
        <v>24</v>
      </c>
      <c r="K1737">
        <v>14.04</v>
      </c>
      <c r="L1737">
        <v>1</v>
      </c>
    </row>
    <row r="1738" spans="1:12">
      <c r="A1738" t="s">
        <v>5048</v>
      </c>
      <c r="B1738" t="s">
        <v>5049</v>
      </c>
      <c r="C1738" t="s">
        <v>5050</v>
      </c>
      <c r="D1738" t="s">
        <v>23</v>
      </c>
      <c r="E1738" t="s">
        <v>28</v>
      </c>
      <c r="F1738" t="s">
        <v>60</v>
      </c>
      <c r="G1738" t="s">
        <v>45</v>
      </c>
      <c r="H1738" t="s">
        <v>19</v>
      </c>
      <c r="I1738">
        <v>2</v>
      </c>
      <c r="J1738">
        <v>24</v>
      </c>
      <c r="K1738">
        <v>55.91</v>
      </c>
      <c r="L1738">
        <v>0</v>
      </c>
    </row>
    <row r="1739" spans="1:12">
      <c r="A1739" t="s">
        <v>5051</v>
      </c>
      <c r="B1739" t="s">
        <v>5052</v>
      </c>
      <c r="C1739" t="s">
        <v>5053</v>
      </c>
      <c r="D1739" t="s">
        <v>23</v>
      </c>
      <c r="E1739" t="s">
        <v>28</v>
      </c>
      <c r="F1739" t="s">
        <v>17</v>
      </c>
      <c r="G1739" t="s">
        <v>45</v>
      </c>
      <c r="H1739" t="s">
        <v>19</v>
      </c>
      <c r="I1739">
        <v>3</v>
      </c>
      <c r="J1739">
        <v>24</v>
      </c>
      <c r="K1739">
        <v>2.63</v>
      </c>
      <c r="L1739">
        <v>1</v>
      </c>
    </row>
    <row r="1740" spans="1:12">
      <c r="A1740" t="s">
        <v>5054</v>
      </c>
      <c r="B1740" t="s">
        <v>5055</v>
      </c>
      <c r="C1740" t="s">
        <v>5056</v>
      </c>
      <c r="D1740" t="s">
        <v>158</v>
      </c>
      <c r="E1740" t="s">
        <v>28</v>
      </c>
      <c r="F1740" t="s">
        <v>29</v>
      </c>
      <c r="G1740" t="s">
        <v>55</v>
      </c>
      <c r="H1740" t="s">
        <v>19</v>
      </c>
      <c r="I1740">
        <v>4</v>
      </c>
      <c r="J1740">
        <v>4</v>
      </c>
      <c r="K1740">
        <v>3.16</v>
      </c>
      <c r="L1740">
        <v>1</v>
      </c>
    </row>
    <row r="1741" spans="1:12">
      <c r="A1741" t="s">
        <v>5057</v>
      </c>
      <c r="B1741" t="s">
        <v>5058</v>
      </c>
      <c r="C1741" t="s">
        <v>5059</v>
      </c>
      <c r="D1741" t="s">
        <v>35</v>
      </c>
      <c r="E1741" t="s">
        <v>28</v>
      </c>
      <c r="F1741" t="s">
        <v>17</v>
      </c>
      <c r="G1741" t="s">
        <v>151</v>
      </c>
      <c r="H1741" t="s">
        <v>19</v>
      </c>
      <c r="I1741">
        <v>4</v>
      </c>
      <c r="J1741">
        <v>48</v>
      </c>
      <c r="K1741">
        <v>8.84</v>
      </c>
      <c r="L1741">
        <v>1</v>
      </c>
    </row>
    <row r="1742" spans="1:12">
      <c r="A1742" t="s">
        <v>5060</v>
      </c>
      <c r="B1742" t="s">
        <v>5061</v>
      </c>
      <c r="C1742" t="s">
        <v>5062</v>
      </c>
      <c r="D1742" t="s">
        <v>23</v>
      </c>
      <c r="E1742" t="s">
        <v>16</v>
      </c>
      <c r="F1742" t="s">
        <v>36</v>
      </c>
      <c r="G1742" t="s">
        <v>73</v>
      </c>
      <c r="H1742" t="s">
        <v>31</v>
      </c>
      <c r="I1742">
        <v>3</v>
      </c>
      <c r="J1742">
        <v>24</v>
      </c>
      <c r="K1742">
        <v>32</v>
      </c>
      <c r="L1742">
        <v>0</v>
      </c>
    </row>
    <row r="1743" spans="1:12">
      <c r="A1743" t="s">
        <v>5063</v>
      </c>
      <c r="B1743" t="s">
        <v>5064</v>
      </c>
      <c r="C1743" t="s">
        <v>5065</v>
      </c>
      <c r="D1743" t="s">
        <v>23</v>
      </c>
      <c r="E1743" t="s">
        <v>24</v>
      </c>
      <c r="F1743" t="s">
        <v>60</v>
      </c>
      <c r="G1743" t="s">
        <v>73</v>
      </c>
      <c r="H1743" t="s">
        <v>19</v>
      </c>
      <c r="I1743">
        <v>4</v>
      </c>
      <c r="J1743">
        <v>24</v>
      </c>
      <c r="K1743">
        <v>19.53</v>
      </c>
      <c r="L1743">
        <v>1</v>
      </c>
    </row>
    <row r="1744" spans="1:12">
      <c r="A1744" t="s">
        <v>5066</v>
      </c>
      <c r="B1744" t="s">
        <v>5067</v>
      </c>
      <c r="C1744" t="s">
        <v>5068</v>
      </c>
      <c r="D1744" t="s">
        <v>35</v>
      </c>
      <c r="E1744" t="s">
        <v>28</v>
      </c>
      <c r="F1744" t="s">
        <v>41</v>
      </c>
      <c r="G1744" t="s">
        <v>30</v>
      </c>
      <c r="H1744" t="s">
        <v>31</v>
      </c>
      <c r="I1744">
        <v>5</v>
      </c>
      <c r="J1744">
        <v>48</v>
      </c>
      <c r="K1744">
        <v>5.93</v>
      </c>
      <c r="L1744">
        <v>1</v>
      </c>
    </row>
    <row r="1745" spans="1:12">
      <c r="A1745" t="s">
        <v>5069</v>
      </c>
      <c r="B1745" t="s">
        <v>5070</v>
      </c>
      <c r="D1745" t="s">
        <v>23</v>
      </c>
      <c r="E1745" t="s">
        <v>28</v>
      </c>
      <c r="F1745" t="s">
        <v>17</v>
      </c>
      <c r="G1745" t="s">
        <v>105</v>
      </c>
      <c r="H1745" t="s">
        <v>63</v>
      </c>
      <c r="J1745">
        <v>24</v>
      </c>
    </row>
    <row r="1746" spans="1:12">
      <c r="A1746" t="s">
        <v>5071</v>
      </c>
      <c r="B1746" t="s">
        <v>5072</v>
      </c>
      <c r="C1746" t="s">
        <v>5073</v>
      </c>
      <c r="D1746" t="s">
        <v>23</v>
      </c>
      <c r="E1746" t="s">
        <v>24</v>
      </c>
      <c r="F1746" t="s">
        <v>41</v>
      </c>
      <c r="G1746" t="s">
        <v>151</v>
      </c>
      <c r="H1746" t="s">
        <v>31</v>
      </c>
      <c r="I1746">
        <v>5</v>
      </c>
      <c r="J1746">
        <v>24</v>
      </c>
      <c r="K1746">
        <v>18</v>
      </c>
      <c r="L1746">
        <v>1</v>
      </c>
    </row>
    <row r="1747" spans="1:12">
      <c r="A1747" t="s">
        <v>5074</v>
      </c>
      <c r="B1747" t="s">
        <v>5075</v>
      </c>
      <c r="C1747" t="s">
        <v>5076</v>
      </c>
      <c r="D1747" t="s">
        <v>23</v>
      </c>
      <c r="E1747" t="s">
        <v>28</v>
      </c>
      <c r="F1747" t="s">
        <v>36</v>
      </c>
      <c r="G1747" t="s">
        <v>37</v>
      </c>
      <c r="H1747" t="s">
        <v>19</v>
      </c>
      <c r="I1747">
        <v>4</v>
      </c>
      <c r="J1747">
        <v>24</v>
      </c>
      <c r="K1747">
        <v>20.59</v>
      </c>
      <c r="L1747">
        <v>1</v>
      </c>
    </row>
    <row r="1748" spans="1:12">
      <c r="A1748" t="s">
        <v>5077</v>
      </c>
      <c r="B1748" t="s">
        <v>5078</v>
      </c>
      <c r="C1748" t="s">
        <v>5079</v>
      </c>
      <c r="D1748" t="s">
        <v>158</v>
      </c>
      <c r="E1748" t="s">
        <v>28</v>
      </c>
      <c r="F1748" t="s">
        <v>29</v>
      </c>
      <c r="G1748" t="s">
        <v>50</v>
      </c>
      <c r="H1748" t="s">
        <v>31</v>
      </c>
      <c r="I1748">
        <v>3</v>
      </c>
      <c r="J1748">
        <v>4</v>
      </c>
      <c r="K1748">
        <v>6.86</v>
      </c>
      <c r="L1748">
        <v>0</v>
      </c>
    </row>
    <row r="1749" spans="1:12">
      <c r="A1749" t="s">
        <v>5080</v>
      </c>
      <c r="B1749" t="s">
        <v>5081</v>
      </c>
      <c r="C1749" t="s">
        <v>5082</v>
      </c>
      <c r="D1749" t="s">
        <v>15</v>
      </c>
      <c r="E1749" t="s">
        <v>28</v>
      </c>
      <c r="F1749" t="s">
        <v>41</v>
      </c>
      <c r="G1749" t="s">
        <v>77</v>
      </c>
      <c r="H1749" t="s">
        <v>19</v>
      </c>
      <c r="I1749">
        <v>5</v>
      </c>
      <c r="J1749">
        <v>8</v>
      </c>
      <c r="K1749">
        <v>6.51</v>
      </c>
      <c r="L1749">
        <v>1</v>
      </c>
    </row>
    <row r="1750" spans="1:12">
      <c r="A1750" t="s">
        <v>5083</v>
      </c>
      <c r="B1750" t="s">
        <v>5084</v>
      </c>
      <c r="C1750" t="s">
        <v>5085</v>
      </c>
      <c r="D1750" t="s">
        <v>35</v>
      </c>
      <c r="E1750" t="s">
        <v>54</v>
      </c>
      <c r="F1750" t="s">
        <v>60</v>
      </c>
      <c r="G1750" t="s">
        <v>73</v>
      </c>
      <c r="H1750" t="s">
        <v>19</v>
      </c>
      <c r="I1750">
        <v>4</v>
      </c>
      <c r="J1750">
        <v>48</v>
      </c>
      <c r="K1750">
        <v>24.78</v>
      </c>
      <c r="L1750">
        <v>1</v>
      </c>
    </row>
    <row r="1751" spans="1:12">
      <c r="A1751" t="s">
        <v>5086</v>
      </c>
      <c r="B1751" t="s">
        <v>5087</v>
      </c>
      <c r="C1751" t="s">
        <v>5088</v>
      </c>
      <c r="D1751" t="s">
        <v>23</v>
      </c>
      <c r="E1751" t="s">
        <v>24</v>
      </c>
      <c r="F1751" t="s">
        <v>29</v>
      </c>
      <c r="G1751" t="s">
        <v>45</v>
      </c>
      <c r="H1751" t="s">
        <v>31</v>
      </c>
      <c r="I1751">
        <v>5</v>
      </c>
      <c r="J1751">
        <v>24</v>
      </c>
      <c r="K1751">
        <v>7.05</v>
      </c>
      <c r="L1751">
        <v>1</v>
      </c>
    </row>
    <row r="1752" spans="1:12">
      <c r="A1752" t="s">
        <v>5089</v>
      </c>
      <c r="B1752" t="s">
        <v>5090</v>
      </c>
      <c r="C1752" t="s">
        <v>5091</v>
      </c>
      <c r="D1752" t="s">
        <v>35</v>
      </c>
      <c r="E1752" t="s">
        <v>54</v>
      </c>
      <c r="F1752" t="s">
        <v>29</v>
      </c>
      <c r="G1752" t="s">
        <v>45</v>
      </c>
      <c r="H1752" t="s">
        <v>19</v>
      </c>
      <c r="I1752">
        <v>4</v>
      </c>
      <c r="J1752">
        <v>48</v>
      </c>
      <c r="K1752">
        <v>32.380000000000003</v>
      </c>
      <c r="L1752">
        <v>1</v>
      </c>
    </row>
    <row r="1753" spans="1:12">
      <c r="A1753" t="s">
        <v>5092</v>
      </c>
      <c r="B1753" t="s">
        <v>5093</v>
      </c>
      <c r="C1753" t="s">
        <v>5094</v>
      </c>
      <c r="D1753" t="s">
        <v>23</v>
      </c>
      <c r="E1753" t="s">
        <v>54</v>
      </c>
      <c r="F1753" t="s">
        <v>60</v>
      </c>
      <c r="G1753" t="s">
        <v>73</v>
      </c>
      <c r="H1753" t="s">
        <v>31</v>
      </c>
      <c r="I1753">
        <v>5</v>
      </c>
      <c r="J1753">
        <v>24</v>
      </c>
      <c r="K1753">
        <v>6.28</v>
      </c>
      <c r="L1753">
        <v>1</v>
      </c>
    </row>
    <row r="1754" spans="1:12">
      <c r="A1754" t="s">
        <v>5095</v>
      </c>
      <c r="B1754" t="s">
        <v>5096</v>
      </c>
      <c r="C1754" t="s">
        <v>5097</v>
      </c>
      <c r="D1754" t="s">
        <v>23</v>
      </c>
      <c r="E1754" t="s">
        <v>28</v>
      </c>
      <c r="F1754" t="s">
        <v>41</v>
      </c>
      <c r="G1754" t="s">
        <v>55</v>
      </c>
      <c r="H1754" t="s">
        <v>19</v>
      </c>
      <c r="I1754">
        <v>4</v>
      </c>
      <c r="J1754">
        <v>24</v>
      </c>
      <c r="K1754">
        <v>17.14</v>
      </c>
      <c r="L1754">
        <v>1</v>
      </c>
    </row>
    <row r="1755" spans="1:12">
      <c r="A1755" t="s">
        <v>5098</v>
      </c>
      <c r="B1755" t="s">
        <v>5099</v>
      </c>
      <c r="C1755" t="s">
        <v>5100</v>
      </c>
      <c r="D1755" t="s">
        <v>15</v>
      </c>
      <c r="E1755" t="s">
        <v>16</v>
      </c>
      <c r="F1755" t="s">
        <v>29</v>
      </c>
      <c r="G1755" t="s">
        <v>73</v>
      </c>
      <c r="H1755" t="s">
        <v>31</v>
      </c>
      <c r="I1755">
        <v>4</v>
      </c>
      <c r="J1755">
        <v>8</v>
      </c>
      <c r="K1755">
        <v>3.35</v>
      </c>
      <c r="L1755">
        <v>1</v>
      </c>
    </row>
    <row r="1756" spans="1:12">
      <c r="A1756" t="s">
        <v>5101</v>
      </c>
      <c r="B1756" t="s">
        <v>5102</v>
      </c>
      <c r="C1756" t="s">
        <v>5103</v>
      </c>
      <c r="D1756" t="s">
        <v>15</v>
      </c>
      <c r="E1756" t="s">
        <v>54</v>
      </c>
      <c r="F1756" t="s">
        <v>60</v>
      </c>
      <c r="G1756" t="s">
        <v>172</v>
      </c>
      <c r="H1756" t="s">
        <v>19</v>
      </c>
      <c r="I1756">
        <v>5</v>
      </c>
      <c r="J1756">
        <v>8</v>
      </c>
      <c r="K1756">
        <v>2.52</v>
      </c>
      <c r="L1756">
        <v>1</v>
      </c>
    </row>
    <row r="1757" spans="1:12">
      <c r="A1757" t="s">
        <v>5104</v>
      </c>
      <c r="B1757" t="s">
        <v>5105</v>
      </c>
      <c r="C1757" t="s">
        <v>5106</v>
      </c>
      <c r="D1757" t="s">
        <v>23</v>
      </c>
      <c r="E1757" t="s">
        <v>16</v>
      </c>
      <c r="F1757" t="s">
        <v>36</v>
      </c>
      <c r="G1757" t="s">
        <v>18</v>
      </c>
      <c r="H1757" t="s">
        <v>31</v>
      </c>
      <c r="I1757">
        <v>5</v>
      </c>
      <c r="J1757">
        <v>24</v>
      </c>
      <c r="K1757">
        <v>12.5</v>
      </c>
      <c r="L1757">
        <v>1</v>
      </c>
    </row>
    <row r="1758" spans="1:12">
      <c r="A1758" t="s">
        <v>5107</v>
      </c>
      <c r="B1758" t="s">
        <v>5108</v>
      </c>
      <c r="C1758" t="s">
        <v>5109</v>
      </c>
      <c r="D1758" t="s">
        <v>23</v>
      </c>
      <c r="E1758" t="s">
        <v>28</v>
      </c>
      <c r="F1758" t="s">
        <v>60</v>
      </c>
      <c r="G1758" t="s">
        <v>37</v>
      </c>
      <c r="H1758" t="s">
        <v>19</v>
      </c>
      <c r="I1758">
        <v>5</v>
      </c>
      <c r="J1758">
        <v>24</v>
      </c>
      <c r="K1758">
        <v>11.12</v>
      </c>
      <c r="L1758">
        <v>1</v>
      </c>
    </row>
    <row r="1759" spans="1:12">
      <c r="A1759" t="s">
        <v>5110</v>
      </c>
      <c r="B1759" t="s">
        <v>5111</v>
      </c>
      <c r="C1759" t="s">
        <v>5112</v>
      </c>
      <c r="D1759" t="s">
        <v>15</v>
      </c>
      <c r="E1759" t="s">
        <v>28</v>
      </c>
      <c r="F1759" t="s">
        <v>29</v>
      </c>
      <c r="G1759" t="s">
        <v>42</v>
      </c>
      <c r="H1759" t="s">
        <v>19</v>
      </c>
      <c r="I1759">
        <v>5</v>
      </c>
      <c r="J1759">
        <v>8</v>
      </c>
      <c r="K1759">
        <v>5.97</v>
      </c>
      <c r="L1759">
        <v>1</v>
      </c>
    </row>
    <row r="1760" spans="1:12">
      <c r="A1760" t="s">
        <v>5113</v>
      </c>
      <c r="B1760" t="s">
        <v>5114</v>
      </c>
      <c r="C1760" t="s">
        <v>5115</v>
      </c>
      <c r="D1760" t="s">
        <v>35</v>
      </c>
      <c r="E1760" t="s">
        <v>28</v>
      </c>
      <c r="F1760" t="s">
        <v>60</v>
      </c>
      <c r="G1760" t="s">
        <v>77</v>
      </c>
      <c r="H1760" t="s">
        <v>19</v>
      </c>
      <c r="I1760">
        <v>5</v>
      </c>
      <c r="J1760">
        <v>48</v>
      </c>
      <c r="K1760">
        <v>42.57</v>
      </c>
      <c r="L1760">
        <v>1</v>
      </c>
    </row>
    <row r="1761" spans="1:12">
      <c r="A1761" t="s">
        <v>5116</v>
      </c>
      <c r="B1761" t="s">
        <v>5117</v>
      </c>
      <c r="C1761" t="s">
        <v>5118</v>
      </c>
      <c r="D1761" t="s">
        <v>158</v>
      </c>
      <c r="E1761" t="s">
        <v>54</v>
      </c>
      <c r="F1761" t="s">
        <v>36</v>
      </c>
      <c r="G1761" t="s">
        <v>30</v>
      </c>
      <c r="H1761" t="s">
        <v>19</v>
      </c>
      <c r="I1761">
        <v>1</v>
      </c>
      <c r="J1761">
        <v>4</v>
      </c>
      <c r="K1761">
        <v>9.81</v>
      </c>
      <c r="L1761">
        <v>0</v>
      </c>
    </row>
    <row r="1762" spans="1:12">
      <c r="A1762" t="s">
        <v>5119</v>
      </c>
      <c r="B1762" t="s">
        <v>5120</v>
      </c>
      <c r="D1762" t="s">
        <v>15</v>
      </c>
      <c r="E1762" t="s">
        <v>54</v>
      </c>
      <c r="F1762" t="s">
        <v>60</v>
      </c>
      <c r="G1762" t="s">
        <v>45</v>
      </c>
      <c r="H1762" t="s">
        <v>63</v>
      </c>
      <c r="J1762">
        <v>8</v>
      </c>
    </row>
    <row r="1763" spans="1:12">
      <c r="A1763" t="s">
        <v>5121</v>
      </c>
      <c r="B1763" t="s">
        <v>5122</v>
      </c>
      <c r="C1763" t="s">
        <v>5123</v>
      </c>
      <c r="D1763" t="s">
        <v>35</v>
      </c>
      <c r="E1763" t="s">
        <v>24</v>
      </c>
      <c r="F1763" t="s">
        <v>60</v>
      </c>
      <c r="G1763" t="s">
        <v>55</v>
      </c>
      <c r="H1763" t="s">
        <v>19</v>
      </c>
      <c r="I1763">
        <v>5</v>
      </c>
      <c r="J1763">
        <v>48</v>
      </c>
      <c r="K1763">
        <v>37.67</v>
      </c>
      <c r="L1763">
        <v>1</v>
      </c>
    </row>
    <row r="1764" spans="1:12">
      <c r="A1764" t="s">
        <v>5124</v>
      </c>
      <c r="B1764" t="s">
        <v>5125</v>
      </c>
      <c r="C1764" t="s">
        <v>5126</v>
      </c>
      <c r="D1764" t="s">
        <v>23</v>
      </c>
      <c r="E1764" t="s">
        <v>24</v>
      </c>
      <c r="F1764" t="s">
        <v>17</v>
      </c>
      <c r="G1764" t="s">
        <v>42</v>
      </c>
      <c r="H1764" t="s">
        <v>31</v>
      </c>
      <c r="I1764">
        <v>5</v>
      </c>
      <c r="J1764">
        <v>24</v>
      </c>
      <c r="K1764">
        <v>22.27</v>
      </c>
      <c r="L1764">
        <v>1</v>
      </c>
    </row>
    <row r="1765" spans="1:12">
      <c r="A1765" t="s">
        <v>5127</v>
      </c>
      <c r="B1765" t="s">
        <v>5128</v>
      </c>
      <c r="C1765" t="s">
        <v>5129</v>
      </c>
      <c r="D1765" t="s">
        <v>158</v>
      </c>
      <c r="E1765" t="s">
        <v>16</v>
      </c>
      <c r="F1765" t="s">
        <v>17</v>
      </c>
      <c r="G1765" t="s">
        <v>18</v>
      </c>
      <c r="H1765" t="s">
        <v>19</v>
      </c>
      <c r="I1765">
        <v>4</v>
      </c>
      <c r="J1765">
        <v>4</v>
      </c>
      <c r="K1765">
        <v>0.99</v>
      </c>
      <c r="L1765">
        <v>1</v>
      </c>
    </row>
    <row r="1766" spans="1:12">
      <c r="A1766" t="s">
        <v>5130</v>
      </c>
      <c r="B1766" t="s">
        <v>5131</v>
      </c>
      <c r="C1766" t="s">
        <v>5132</v>
      </c>
      <c r="D1766" t="s">
        <v>158</v>
      </c>
      <c r="E1766" t="s">
        <v>54</v>
      </c>
      <c r="F1766" t="s">
        <v>41</v>
      </c>
      <c r="G1766" t="s">
        <v>55</v>
      </c>
      <c r="H1766" t="s">
        <v>31</v>
      </c>
      <c r="I1766">
        <v>1</v>
      </c>
      <c r="J1766">
        <v>4</v>
      </c>
      <c r="K1766">
        <v>7.68</v>
      </c>
      <c r="L1766">
        <v>0</v>
      </c>
    </row>
    <row r="1767" spans="1:12">
      <c r="A1767" t="s">
        <v>5133</v>
      </c>
      <c r="B1767" t="s">
        <v>5134</v>
      </c>
      <c r="C1767" t="s">
        <v>5135</v>
      </c>
      <c r="D1767" t="s">
        <v>158</v>
      </c>
      <c r="E1767" t="s">
        <v>16</v>
      </c>
      <c r="F1767" t="s">
        <v>41</v>
      </c>
      <c r="G1767" t="s">
        <v>73</v>
      </c>
      <c r="H1767" t="s">
        <v>31</v>
      </c>
      <c r="I1767">
        <v>4</v>
      </c>
      <c r="J1767">
        <v>4</v>
      </c>
      <c r="K1767">
        <v>2.4900000000000002</v>
      </c>
      <c r="L1767">
        <v>1</v>
      </c>
    </row>
    <row r="1768" spans="1:12">
      <c r="A1768" t="s">
        <v>5136</v>
      </c>
      <c r="B1768" t="s">
        <v>5137</v>
      </c>
      <c r="D1768" t="s">
        <v>23</v>
      </c>
      <c r="E1768" t="s">
        <v>28</v>
      </c>
      <c r="F1768" t="s">
        <v>41</v>
      </c>
      <c r="G1768" t="s">
        <v>37</v>
      </c>
      <c r="H1768" t="s">
        <v>63</v>
      </c>
      <c r="J1768">
        <v>24</v>
      </c>
    </row>
    <row r="1769" spans="1:12">
      <c r="A1769" t="s">
        <v>5138</v>
      </c>
      <c r="B1769" t="s">
        <v>5139</v>
      </c>
      <c r="C1769" t="s">
        <v>5140</v>
      </c>
      <c r="D1769" t="s">
        <v>23</v>
      </c>
      <c r="E1769" t="s">
        <v>28</v>
      </c>
      <c r="F1769" t="s">
        <v>17</v>
      </c>
      <c r="G1769" t="s">
        <v>172</v>
      </c>
      <c r="H1769" t="s">
        <v>19</v>
      </c>
      <c r="I1769">
        <v>5</v>
      </c>
      <c r="J1769">
        <v>24</v>
      </c>
      <c r="K1769">
        <v>19.47</v>
      </c>
      <c r="L1769">
        <v>1</v>
      </c>
    </row>
    <row r="1770" spans="1:12">
      <c r="A1770" t="s">
        <v>5141</v>
      </c>
      <c r="B1770" t="s">
        <v>5142</v>
      </c>
      <c r="C1770" t="s">
        <v>5143</v>
      </c>
      <c r="D1770" t="s">
        <v>23</v>
      </c>
      <c r="E1770" t="s">
        <v>28</v>
      </c>
      <c r="F1770" t="s">
        <v>29</v>
      </c>
      <c r="G1770" t="s">
        <v>172</v>
      </c>
      <c r="H1770" t="s">
        <v>19</v>
      </c>
      <c r="I1770">
        <v>4</v>
      </c>
      <c r="J1770">
        <v>24</v>
      </c>
      <c r="K1770">
        <v>8.33</v>
      </c>
      <c r="L1770">
        <v>1</v>
      </c>
    </row>
    <row r="1771" spans="1:12">
      <c r="A1771" t="s">
        <v>5144</v>
      </c>
      <c r="B1771" t="s">
        <v>5145</v>
      </c>
      <c r="C1771" t="s">
        <v>5146</v>
      </c>
      <c r="D1771" t="s">
        <v>35</v>
      </c>
      <c r="E1771" t="s">
        <v>59</v>
      </c>
      <c r="F1771" t="s">
        <v>60</v>
      </c>
      <c r="G1771" t="s">
        <v>18</v>
      </c>
      <c r="H1771" t="s">
        <v>31</v>
      </c>
      <c r="I1771">
        <v>3</v>
      </c>
      <c r="J1771">
        <v>48</v>
      </c>
      <c r="K1771">
        <v>33.89</v>
      </c>
      <c r="L1771">
        <v>1</v>
      </c>
    </row>
    <row r="1772" spans="1:12">
      <c r="A1772" t="s">
        <v>5147</v>
      </c>
      <c r="B1772" t="s">
        <v>5148</v>
      </c>
      <c r="C1772" t="s">
        <v>5149</v>
      </c>
      <c r="D1772" t="s">
        <v>15</v>
      </c>
      <c r="E1772" t="s">
        <v>28</v>
      </c>
      <c r="F1772" t="s">
        <v>41</v>
      </c>
      <c r="G1772" t="s">
        <v>37</v>
      </c>
      <c r="H1772" t="s">
        <v>31</v>
      </c>
      <c r="I1772">
        <v>1</v>
      </c>
      <c r="J1772">
        <v>8</v>
      </c>
      <c r="K1772">
        <v>9.8000000000000007</v>
      </c>
      <c r="L1772">
        <v>0</v>
      </c>
    </row>
    <row r="1773" spans="1:12">
      <c r="A1773" t="s">
        <v>5150</v>
      </c>
      <c r="B1773" t="s">
        <v>5151</v>
      </c>
      <c r="C1773" t="s">
        <v>5152</v>
      </c>
      <c r="D1773" t="s">
        <v>15</v>
      </c>
      <c r="E1773" t="s">
        <v>59</v>
      </c>
      <c r="F1773" t="s">
        <v>29</v>
      </c>
      <c r="G1773" t="s">
        <v>50</v>
      </c>
      <c r="H1773" t="s">
        <v>19</v>
      </c>
      <c r="I1773">
        <v>5</v>
      </c>
      <c r="J1773">
        <v>8</v>
      </c>
      <c r="K1773">
        <v>4.78</v>
      </c>
      <c r="L1773">
        <v>1</v>
      </c>
    </row>
    <row r="1774" spans="1:12">
      <c r="A1774" t="s">
        <v>5153</v>
      </c>
      <c r="B1774" t="s">
        <v>5154</v>
      </c>
      <c r="C1774" t="s">
        <v>5155</v>
      </c>
      <c r="D1774" t="s">
        <v>35</v>
      </c>
      <c r="E1774" t="s">
        <v>16</v>
      </c>
      <c r="F1774" t="s">
        <v>41</v>
      </c>
      <c r="G1774" t="s">
        <v>172</v>
      </c>
      <c r="H1774" t="s">
        <v>19</v>
      </c>
      <c r="I1774">
        <v>4</v>
      </c>
      <c r="J1774">
        <v>48</v>
      </c>
      <c r="K1774">
        <v>33.65</v>
      </c>
      <c r="L1774">
        <v>1</v>
      </c>
    </row>
    <row r="1775" spans="1:12">
      <c r="A1775" t="s">
        <v>5156</v>
      </c>
      <c r="B1775" t="s">
        <v>5157</v>
      </c>
      <c r="D1775" t="s">
        <v>23</v>
      </c>
      <c r="E1775" t="s">
        <v>24</v>
      </c>
      <c r="F1775" t="s">
        <v>36</v>
      </c>
      <c r="G1775" t="s">
        <v>77</v>
      </c>
      <c r="H1775" t="s">
        <v>63</v>
      </c>
      <c r="J1775">
        <v>24</v>
      </c>
    </row>
    <row r="1776" spans="1:12">
      <c r="A1776" t="s">
        <v>5158</v>
      </c>
      <c r="B1776" t="s">
        <v>5159</v>
      </c>
      <c r="C1776" t="s">
        <v>5160</v>
      </c>
      <c r="D1776" t="s">
        <v>15</v>
      </c>
      <c r="E1776" t="s">
        <v>24</v>
      </c>
      <c r="F1776" t="s">
        <v>41</v>
      </c>
      <c r="G1776" t="s">
        <v>45</v>
      </c>
      <c r="H1776" t="s">
        <v>31</v>
      </c>
      <c r="I1776">
        <v>4</v>
      </c>
      <c r="J1776">
        <v>8</v>
      </c>
      <c r="K1776">
        <v>3.58</v>
      </c>
      <c r="L1776">
        <v>1</v>
      </c>
    </row>
    <row r="1777" spans="1:12">
      <c r="A1777" t="s">
        <v>5161</v>
      </c>
      <c r="B1777" t="s">
        <v>5162</v>
      </c>
      <c r="C1777" t="s">
        <v>5163</v>
      </c>
      <c r="D1777" t="s">
        <v>15</v>
      </c>
      <c r="E1777" t="s">
        <v>24</v>
      </c>
      <c r="F1777" t="s">
        <v>36</v>
      </c>
      <c r="G1777" t="s">
        <v>55</v>
      </c>
      <c r="H1777" t="s">
        <v>31</v>
      </c>
      <c r="I1777">
        <v>5</v>
      </c>
      <c r="J1777">
        <v>8</v>
      </c>
      <c r="K1777">
        <v>7.29</v>
      </c>
      <c r="L1777">
        <v>1</v>
      </c>
    </row>
    <row r="1778" spans="1:12">
      <c r="A1778" t="s">
        <v>5164</v>
      </c>
      <c r="B1778" t="s">
        <v>5165</v>
      </c>
      <c r="C1778" t="s">
        <v>5166</v>
      </c>
      <c r="D1778" t="s">
        <v>15</v>
      </c>
      <c r="E1778" t="s">
        <v>28</v>
      </c>
      <c r="F1778" t="s">
        <v>41</v>
      </c>
      <c r="G1778" t="s">
        <v>73</v>
      </c>
      <c r="H1778" t="s">
        <v>19</v>
      </c>
      <c r="I1778">
        <v>5</v>
      </c>
      <c r="J1778">
        <v>8</v>
      </c>
      <c r="K1778">
        <v>2.13</v>
      </c>
      <c r="L1778">
        <v>1</v>
      </c>
    </row>
    <row r="1779" spans="1:12">
      <c r="A1779" t="s">
        <v>5167</v>
      </c>
      <c r="B1779" t="s">
        <v>5168</v>
      </c>
      <c r="C1779" t="s">
        <v>5169</v>
      </c>
      <c r="D1779" t="s">
        <v>23</v>
      </c>
      <c r="E1779" t="s">
        <v>28</v>
      </c>
      <c r="F1779" t="s">
        <v>17</v>
      </c>
      <c r="G1779" t="s">
        <v>77</v>
      </c>
      <c r="H1779" t="s">
        <v>19</v>
      </c>
      <c r="I1779">
        <v>5</v>
      </c>
      <c r="J1779">
        <v>24</v>
      </c>
      <c r="K1779">
        <v>17.920000000000002</v>
      </c>
      <c r="L1779">
        <v>1</v>
      </c>
    </row>
    <row r="1780" spans="1:12">
      <c r="A1780" t="s">
        <v>5170</v>
      </c>
      <c r="B1780" t="s">
        <v>5171</v>
      </c>
      <c r="C1780" t="s">
        <v>5172</v>
      </c>
      <c r="D1780" t="s">
        <v>23</v>
      </c>
      <c r="E1780" t="s">
        <v>24</v>
      </c>
      <c r="F1780" t="s">
        <v>36</v>
      </c>
      <c r="G1780" t="s">
        <v>172</v>
      </c>
      <c r="H1780" t="s">
        <v>31</v>
      </c>
      <c r="I1780">
        <v>3</v>
      </c>
      <c r="J1780">
        <v>24</v>
      </c>
      <c r="K1780">
        <v>12.87</v>
      </c>
      <c r="L1780">
        <v>1</v>
      </c>
    </row>
    <row r="1781" spans="1:12">
      <c r="A1781" t="s">
        <v>5173</v>
      </c>
      <c r="B1781" t="s">
        <v>5174</v>
      </c>
      <c r="C1781" t="s">
        <v>5175</v>
      </c>
      <c r="D1781" t="s">
        <v>35</v>
      </c>
      <c r="E1781" t="s">
        <v>28</v>
      </c>
      <c r="F1781" t="s">
        <v>17</v>
      </c>
      <c r="G1781" t="s">
        <v>30</v>
      </c>
      <c r="H1781" t="s">
        <v>19</v>
      </c>
      <c r="I1781">
        <v>2</v>
      </c>
      <c r="J1781">
        <v>48</v>
      </c>
      <c r="K1781">
        <v>73.040000000000006</v>
      </c>
      <c r="L1781">
        <v>0</v>
      </c>
    </row>
    <row r="1782" spans="1:12">
      <c r="A1782" t="s">
        <v>5176</v>
      </c>
      <c r="B1782" t="s">
        <v>5177</v>
      </c>
      <c r="C1782" t="s">
        <v>5178</v>
      </c>
      <c r="D1782" t="s">
        <v>23</v>
      </c>
      <c r="E1782" t="s">
        <v>28</v>
      </c>
      <c r="F1782" t="s">
        <v>17</v>
      </c>
      <c r="G1782" t="s">
        <v>50</v>
      </c>
      <c r="H1782" t="s">
        <v>19</v>
      </c>
      <c r="I1782">
        <v>5</v>
      </c>
      <c r="J1782">
        <v>24</v>
      </c>
      <c r="K1782">
        <v>7.46</v>
      </c>
      <c r="L1782">
        <v>1</v>
      </c>
    </row>
    <row r="1783" spans="1:12">
      <c r="A1783" t="s">
        <v>5179</v>
      </c>
      <c r="B1783" t="s">
        <v>5180</v>
      </c>
      <c r="C1783" t="s">
        <v>5181</v>
      </c>
      <c r="D1783" t="s">
        <v>158</v>
      </c>
      <c r="E1783" t="s">
        <v>59</v>
      </c>
      <c r="F1783" t="s">
        <v>17</v>
      </c>
      <c r="G1783" t="s">
        <v>30</v>
      </c>
      <c r="H1783" t="s">
        <v>19</v>
      </c>
      <c r="I1783">
        <v>5</v>
      </c>
      <c r="J1783">
        <v>4</v>
      </c>
      <c r="K1783">
        <v>2.0699999999999998</v>
      </c>
      <c r="L1783">
        <v>1</v>
      </c>
    </row>
    <row r="1784" spans="1:12">
      <c r="A1784" t="s">
        <v>5182</v>
      </c>
      <c r="B1784" t="s">
        <v>5183</v>
      </c>
      <c r="D1784" t="s">
        <v>23</v>
      </c>
      <c r="E1784" t="s">
        <v>28</v>
      </c>
      <c r="F1784" t="s">
        <v>60</v>
      </c>
      <c r="G1784" t="s">
        <v>50</v>
      </c>
      <c r="H1784" t="s">
        <v>46</v>
      </c>
      <c r="J1784">
        <v>24</v>
      </c>
    </row>
    <row r="1785" spans="1:12">
      <c r="A1785" t="s">
        <v>5184</v>
      </c>
      <c r="B1785" t="s">
        <v>5185</v>
      </c>
      <c r="C1785" t="s">
        <v>5186</v>
      </c>
      <c r="D1785" t="s">
        <v>23</v>
      </c>
      <c r="E1785" t="s">
        <v>54</v>
      </c>
      <c r="F1785" t="s">
        <v>41</v>
      </c>
      <c r="G1785" t="s">
        <v>45</v>
      </c>
      <c r="H1785" t="s">
        <v>19</v>
      </c>
      <c r="I1785">
        <v>4</v>
      </c>
      <c r="J1785">
        <v>24</v>
      </c>
      <c r="K1785">
        <v>12.66</v>
      </c>
      <c r="L1785">
        <v>1</v>
      </c>
    </row>
    <row r="1786" spans="1:12">
      <c r="A1786" t="s">
        <v>5187</v>
      </c>
      <c r="B1786" t="s">
        <v>5188</v>
      </c>
      <c r="C1786" t="s">
        <v>5189</v>
      </c>
      <c r="D1786" t="s">
        <v>158</v>
      </c>
      <c r="E1786" t="s">
        <v>24</v>
      </c>
      <c r="F1786" t="s">
        <v>29</v>
      </c>
      <c r="G1786" t="s">
        <v>45</v>
      </c>
      <c r="H1786" t="s">
        <v>19</v>
      </c>
      <c r="I1786">
        <v>1</v>
      </c>
      <c r="J1786">
        <v>4</v>
      </c>
      <c r="K1786">
        <v>7.18</v>
      </c>
      <c r="L1786">
        <v>0</v>
      </c>
    </row>
    <row r="1787" spans="1:12">
      <c r="A1787" t="s">
        <v>5190</v>
      </c>
      <c r="B1787" t="s">
        <v>5191</v>
      </c>
      <c r="C1787" t="s">
        <v>5192</v>
      </c>
      <c r="D1787" t="s">
        <v>15</v>
      </c>
      <c r="E1787" t="s">
        <v>24</v>
      </c>
      <c r="F1787" t="s">
        <v>36</v>
      </c>
      <c r="G1787" t="s">
        <v>18</v>
      </c>
      <c r="H1787" t="s">
        <v>19</v>
      </c>
      <c r="I1787">
        <v>5</v>
      </c>
      <c r="J1787">
        <v>8</v>
      </c>
      <c r="K1787">
        <v>1.8</v>
      </c>
      <c r="L1787">
        <v>1</v>
      </c>
    </row>
    <row r="1788" spans="1:12">
      <c r="A1788" t="s">
        <v>5193</v>
      </c>
      <c r="B1788" t="s">
        <v>5194</v>
      </c>
      <c r="C1788" t="s">
        <v>5195</v>
      </c>
      <c r="D1788" t="s">
        <v>23</v>
      </c>
      <c r="E1788" t="s">
        <v>24</v>
      </c>
      <c r="F1788" t="s">
        <v>29</v>
      </c>
      <c r="G1788" t="s">
        <v>37</v>
      </c>
      <c r="H1788" t="s">
        <v>19</v>
      </c>
      <c r="I1788">
        <v>4</v>
      </c>
      <c r="J1788">
        <v>24</v>
      </c>
      <c r="K1788">
        <v>7.03</v>
      </c>
      <c r="L1788">
        <v>1</v>
      </c>
    </row>
    <row r="1789" spans="1:12">
      <c r="A1789" t="s">
        <v>5196</v>
      </c>
      <c r="B1789" t="s">
        <v>5197</v>
      </c>
      <c r="C1789" t="s">
        <v>5198</v>
      </c>
      <c r="D1789" t="s">
        <v>23</v>
      </c>
      <c r="E1789" t="s">
        <v>16</v>
      </c>
      <c r="F1789" t="s">
        <v>29</v>
      </c>
      <c r="G1789" t="s">
        <v>18</v>
      </c>
      <c r="H1789" t="s">
        <v>19</v>
      </c>
      <c r="I1789">
        <v>5</v>
      </c>
      <c r="J1789">
        <v>24</v>
      </c>
      <c r="K1789">
        <v>3.45</v>
      </c>
      <c r="L1789">
        <v>1</v>
      </c>
    </row>
    <row r="1790" spans="1:12">
      <c r="A1790" t="s">
        <v>5199</v>
      </c>
      <c r="B1790" t="s">
        <v>5200</v>
      </c>
      <c r="C1790" t="s">
        <v>5201</v>
      </c>
      <c r="D1790" t="s">
        <v>23</v>
      </c>
      <c r="E1790" t="s">
        <v>24</v>
      </c>
      <c r="F1790" t="s">
        <v>29</v>
      </c>
      <c r="G1790" t="s">
        <v>30</v>
      </c>
      <c r="H1790" t="s">
        <v>19</v>
      </c>
      <c r="I1790">
        <v>3</v>
      </c>
      <c r="J1790">
        <v>24</v>
      </c>
      <c r="K1790">
        <v>66.709999999999994</v>
      </c>
      <c r="L1790">
        <v>0</v>
      </c>
    </row>
    <row r="1791" spans="1:12">
      <c r="A1791" t="s">
        <v>5202</v>
      </c>
      <c r="B1791" t="s">
        <v>5203</v>
      </c>
      <c r="C1791" t="s">
        <v>5204</v>
      </c>
      <c r="D1791" t="s">
        <v>23</v>
      </c>
      <c r="E1791" t="s">
        <v>28</v>
      </c>
      <c r="F1791" t="s">
        <v>60</v>
      </c>
      <c r="G1791" t="s">
        <v>77</v>
      </c>
      <c r="H1791" t="s">
        <v>19</v>
      </c>
      <c r="I1791">
        <v>2</v>
      </c>
      <c r="J1791">
        <v>24</v>
      </c>
      <c r="K1791">
        <v>65.849999999999994</v>
      </c>
      <c r="L1791">
        <v>0</v>
      </c>
    </row>
    <row r="1792" spans="1:12">
      <c r="A1792" t="s">
        <v>5205</v>
      </c>
      <c r="B1792" t="s">
        <v>5206</v>
      </c>
      <c r="C1792" t="s">
        <v>5207</v>
      </c>
      <c r="D1792" t="s">
        <v>15</v>
      </c>
      <c r="E1792" t="s">
        <v>28</v>
      </c>
      <c r="F1792" t="s">
        <v>60</v>
      </c>
      <c r="G1792" t="s">
        <v>73</v>
      </c>
      <c r="H1792" t="s">
        <v>19</v>
      </c>
      <c r="I1792">
        <v>5</v>
      </c>
      <c r="J1792">
        <v>8</v>
      </c>
      <c r="K1792">
        <v>5.86</v>
      </c>
      <c r="L1792">
        <v>1</v>
      </c>
    </row>
    <row r="1793" spans="1:12">
      <c r="A1793" t="s">
        <v>5208</v>
      </c>
      <c r="B1793" t="s">
        <v>5209</v>
      </c>
      <c r="C1793" t="s">
        <v>5210</v>
      </c>
      <c r="D1793" t="s">
        <v>158</v>
      </c>
      <c r="E1793" t="s">
        <v>28</v>
      </c>
      <c r="F1793" t="s">
        <v>60</v>
      </c>
      <c r="G1793" t="s">
        <v>172</v>
      </c>
      <c r="H1793" t="s">
        <v>19</v>
      </c>
      <c r="I1793">
        <v>4</v>
      </c>
      <c r="J1793">
        <v>4</v>
      </c>
      <c r="K1793">
        <v>3.11</v>
      </c>
      <c r="L1793">
        <v>1</v>
      </c>
    </row>
    <row r="1794" spans="1:12">
      <c r="A1794" t="s">
        <v>5211</v>
      </c>
      <c r="B1794" t="s">
        <v>5212</v>
      </c>
      <c r="C1794" t="s">
        <v>5213</v>
      </c>
      <c r="D1794" t="s">
        <v>15</v>
      </c>
      <c r="E1794" t="s">
        <v>28</v>
      </c>
      <c r="F1794" t="s">
        <v>60</v>
      </c>
      <c r="G1794" t="s">
        <v>55</v>
      </c>
      <c r="H1794" t="s">
        <v>19</v>
      </c>
      <c r="I1794">
        <v>5</v>
      </c>
      <c r="J1794">
        <v>8</v>
      </c>
      <c r="K1794">
        <v>4.12</v>
      </c>
      <c r="L1794">
        <v>1</v>
      </c>
    </row>
    <row r="1795" spans="1:12">
      <c r="A1795" t="s">
        <v>5214</v>
      </c>
      <c r="B1795" t="s">
        <v>5215</v>
      </c>
      <c r="C1795" t="s">
        <v>5216</v>
      </c>
      <c r="D1795" t="s">
        <v>23</v>
      </c>
      <c r="E1795" t="s">
        <v>28</v>
      </c>
      <c r="F1795" t="s">
        <v>60</v>
      </c>
      <c r="G1795" t="s">
        <v>77</v>
      </c>
      <c r="H1795" t="s">
        <v>19</v>
      </c>
      <c r="I1795">
        <v>2</v>
      </c>
      <c r="J1795">
        <v>24</v>
      </c>
      <c r="K1795">
        <v>68.86</v>
      </c>
      <c r="L1795">
        <v>0</v>
      </c>
    </row>
    <row r="1796" spans="1:12">
      <c r="A1796" t="s">
        <v>5217</v>
      </c>
      <c r="B1796" t="s">
        <v>5218</v>
      </c>
      <c r="C1796" t="s">
        <v>5219</v>
      </c>
      <c r="D1796" t="s">
        <v>23</v>
      </c>
      <c r="E1796" t="s">
        <v>16</v>
      </c>
      <c r="F1796" t="s">
        <v>29</v>
      </c>
      <c r="G1796" t="s">
        <v>73</v>
      </c>
      <c r="H1796" t="s">
        <v>19</v>
      </c>
      <c r="I1796">
        <v>2</v>
      </c>
      <c r="J1796">
        <v>24</v>
      </c>
      <c r="K1796">
        <v>29.56</v>
      </c>
      <c r="L1796">
        <v>0</v>
      </c>
    </row>
    <row r="1797" spans="1:12">
      <c r="A1797" t="s">
        <v>5220</v>
      </c>
      <c r="B1797" t="s">
        <v>5221</v>
      </c>
      <c r="D1797" t="s">
        <v>15</v>
      </c>
      <c r="E1797" t="s">
        <v>24</v>
      </c>
      <c r="F1797" t="s">
        <v>36</v>
      </c>
      <c r="G1797" t="s">
        <v>73</v>
      </c>
      <c r="H1797" t="s">
        <v>63</v>
      </c>
      <c r="J1797">
        <v>8</v>
      </c>
    </row>
    <row r="1798" spans="1:12">
      <c r="A1798" t="s">
        <v>5222</v>
      </c>
      <c r="B1798" t="s">
        <v>5223</v>
      </c>
      <c r="D1798" t="s">
        <v>23</v>
      </c>
      <c r="E1798" t="s">
        <v>54</v>
      </c>
      <c r="F1798" t="s">
        <v>17</v>
      </c>
      <c r="G1798" t="s">
        <v>30</v>
      </c>
      <c r="H1798" t="s">
        <v>46</v>
      </c>
      <c r="J1798">
        <v>24</v>
      </c>
    </row>
    <row r="1799" spans="1:12">
      <c r="A1799" t="s">
        <v>5224</v>
      </c>
      <c r="B1799" t="s">
        <v>5225</v>
      </c>
      <c r="C1799" t="s">
        <v>5226</v>
      </c>
      <c r="D1799" t="s">
        <v>35</v>
      </c>
      <c r="E1799" t="s">
        <v>28</v>
      </c>
      <c r="F1799" t="s">
        <v>41</v>
      </c>
      <c r="G1799" t="s">
        <v>42</v>
      </c>
      <c r="H1799" t="s">
        <v>19</v>
      </c>
      <c r="I1799">
        <v>2</v>
      </c>
      <c r="J1799">
        <v>48</v>
      </c>
      <c r="K1799">
        <v>65.900000000000006</v>
      </c>
      <c r="L1799">
        <v>0</v>
      </c>
    </row>
    <row r="1800" spans="1:12">
      <c r="A1800" t="s">
        <v>5227</v>
      </c>
      <c r="B1800" t="s">
        <v>5228</v>
      </c>
      <c r="C1800" t="s">
        <v>5229</v>
      </c>
      <c r="D1800" t="s">
        <v>158</v>
      </c>
      <c r="E1800" t="s">
        <v>28</v>
      </c>
      <c r="F1800" t="s">
        <v>29</v>
      </c>
      <c r="G1800" t="s">
        <v>55</v>
      </c>
      <c r="H1800" t="s">
        <v>31</v>
      </c>
      <c r="I1800">
        <v>5</v>
      </c>
      <c r="J1800">
        <v>4</v>
      </c>
      <c r="K1800">
        <v>1.99</v>
      </c>
      <c r="L1800">
        <v>1</v>
      </c>
    </row>
    <row r="1801" spans="1:12">
      <c r="A1801" t="s">
        <v>5230</v>
      </c>
      <c r="B1801" t="s">
        <v>5231</v>
      </c>
      <c r="C1801" t="s">
        <v>5232</v>
      </c>
      <c r="D1801" t="s">
        <v>23</v>
      </c>
      <c r="E1801" t="s">
        <v>16</v>
      </c>
      <c r="F1801" t="s">
        <v>29</v>
      </c>
      <c r="G1801" t="s">
        <v>151</v>
      </c>
      <c r="H1801" t="s">
        <v>31</v>
      </c>
      <c r="I1801">
        <v>5</v>
      </c>
      <c r="J1801">
        <v>24</v>
      </c>
      <c r="K1801">
        <v>16.02</v>
      </c>
      <c r="L1801">
        <v>1</v>
      </c>
    </row>
    <row r="1802" spans="1:12">
      <c r="A1802" t="s">
        <v>5233</v>
      </c>
      <c r="B1802" t="s">
        <v>5234</v>
      </c>
      <c r="C1802" t="s">
        <v>5235</v>
      </c>
      <c r="D1802" t="s">
        <v>23</v>
      </c>
      <c r="E1802" t="s">
        <v>28</v>
      </c>
      <c r="F1802" t="s">
        <v>60</v>
      </c>
      <c r="G1802" t="s">
        <v>18</v>
      </c>
      <c r="H1802" t="s">
        <v>19</v>
      </c>
      <c r="I1802">
        <v>4</v>
      </c>
      <c r="J1802">
        <v>24</v>
      </c>
      <c r="K1802">
        <v>12.26</v>
      </c>
      <c r="L1802">
        <v>1</v>
      </c>
    </row>
    <row r="1803" spans="1:12">
      <c r="A1803" t="s">
        <v>5236</v>
      </c>
      <c r="B1803" t="s">
        <v>5237</v>
      </c>
      <c r="D1803" t="s">
        <v>15</v>
      </c>
      <c r="E1803" t="s">
        <v>59</v>
      </c>
      <c r="F1803" t="s">
        <v>41</v>
      </c>
      <c r="G1803" t="s">
        <v>30</v>
      </c>
      <c r="H1803" t="s">
        <v>63</v>
      </c>
      <c r="J1803">
        <v>8</v>
      </c>
    </row>
    <row r="1804" spans="1:12">
      <c r="A1804" t="s">
        <v>5238</v>
      </c>
      <c r="B1804" t="s">
        <v>5239</v>
      </c>
      <c r="C1804" t="s">
        <v>5240</v>
      </c>
      <c r="D1804" t="s">
        <v>35</v>
      </c>
      <c r="E1804" t="s">
        <v>28</v>
      </c>
      <c r="F1804" t="s">
        <v>17</v>
      </c>
      <c r="G1804" t="s">
        <v>77</v>
      </c>
      <c r="H1804" t="s">
        <v>19</v>
      </c>
      <c r="I1804">
        <v>4</v>
      </c>
      <c r="J1804">
        <v>48</v>
      </c>
      <c r="K1804">
        <v>40.729999999999997</v>
      </c>
      <c r="L1804">
        <v>1</v>
      </c>
    </row>
    <row r="1805" spans="1:12">
      <c r="A1805" t="s">
        <v>5241</v>
      </c>
      <c r="B1805" t="s">
        <v>5242</v>
      </c>
      <c r="C1805" t="s">
        <v>5243</v>
      </c>
      <c r="D1805" t="s">
        <v>15</v>
      </c>
      <c r="E1805" t="s">
        <v>24</v>
      </c>
      <c r="F1805" t="s">
        <v>60</v>
      </c>
      <c r="G1805" t="s">
        <v>77</v>
      </c>
      <c r="H1805" t="s">
        <v>19</v>
      </c>
      <c r="I1805">
        <v>4</v>
      </c>
      <c r="J1805">
        <v>8</v>
      </c>
      <c r="K1805">
        <v>3.65</v>
      </c>
      <c r="L1805">
        <v>1</v>
      </c>
    </row>
    <row r="1806" spans="1:12">
      <c r="A1806" t="s">
        <v>5244</v>
      </c>
      <c r="B1806" t="s">
        <v>5245</v>
      </c>
      <c r="D1806" t="s">
        <v>15</v>
      </c>
      <c r="E1806" t="s">
        <v>54</v>
      </c>
      <c r="F1806" t="s">
        <v>36</v>
      </c>
      <c r="G1806" t="s">
        <v>172</v>
      </c>
      <c r="H1806" t="s">
        <v>63</v>
      </c>
      <c r="J1806">
        <v>8</v>
      </c>
    </row>
    <row r="1807" spans="1:12">
      <c r="A1807" t="s">
        <v>5246</v>
      </c>
      <c r="B1807" t="s">
        <v>5247</v>
      </c>
      <c r="C1807" t="s">
        <v>5248</v>
      </c>
      <c r="D1807" t="s">
        <v>23</v>
      </c>
      <c r="E1807" t="s">
        <v>16</v>
      </c>
      <c r="F1807" t="s">
        <v>17</v>
      </c>
      <c r="G1807" t="s">
        <v>37</v>
      </c>
      <c r="H1807" t="s">
        <v>19</v>
      </c>
      <c r="I1807">
        <v>4</v>
      </c>
      <c r="J1807">
        <v>24</v>
      </c>
      <c r="K1807">
        <v>21.53</v>
      </c>
      <c r="L1807">
        <v>1</v>
      </c>
    </row>
    <row r="1808" spans="1:12">
      <c r="A1808" t="s">
        <v>5249</v>
      </c>
      <c r="B1808" t="s">
        <v>5250</v>
      </c>
      <c r="C1808" t="s">
        <v>5251</v>
      </c>
      <c r="D1808" t="s">
        <v>23</v>
      </c>
      <c r="E1808" t="s">
        <v>59</v>
      </c>
      <c r="F1808" t="s">
        <v>41</v>
      </c>
      <c r="G1808" t="s">
        <v>55</v>
      </c>
      <c r="H1808" t="s">
        <v>19</v>
      </c>
      <c r="I1808">
        <v>4</v>
      </c>
      <c r="J1808">
        <v>24</v>
      </c>
      <c r="K1808">
        <v>7.2</v>
      </c>
      <c r="L1808">
        <v>1</v>
      </c>
    </row>
    <row r="1809" spans="1:12">
      <c r="A1809" t="s">
        <v>5252</v>
      </c>
      <c r="B1809" t="s">
        <v>5253</v>
      </c>
      <c r="C1809" t="s">
        <v>5254</v>
      </c>
      <c r="D1809" t="s">
        <v>15</v>
      </c>
      <c r="E1809" t="s">
        <v>16</v>
      </c>
      <c r="F1809" t="s">
        <v>29</v>
      </c>
      <c r="G1809" t="s">
        <v>55</v>
      </c>
      <c r="H1809" t="s">
        <v>19</v>
      </c>
      <c r="I1809">
        <v>5</v>
      </c>
      <c r="J1809">
        <v>8</v>
      </c>
      <c r="K1809">
        <v>1.36</v>
      </c>
      <c r="L1809">
        <v>1</v>
      </c>
    </row>
    <row r="1810" spans="1:12">
      <c r="A1810" t="s">
        <v>5255</v>
      </c>
      <c r="B1810" t="s">
        <v>5256</v>
      </c>
      <c r="C1810" t="s">
        <v>5257</v>
      </c>
      <c r="D1810" t="s">
        <v>15</v>
      </c>
      <c r="E1810" t="s">
        <v>28</v>
      </c>
      <c r="F1810" t="s">
        <v>36</v>
      </c>
      <c r="G1810" t="s">
        <v>105</v>
      </c>
      <c r="H1810" t="s">
        <v>31</v>
      </c>
      <c r="I1810">
        <v>1</v>
      </c>
      <c r="J1810">
        <v>8</v>
      </c>
      <c r="K1810">
        <v>8.43</v>
      </c>
      <c r="L1810">
        <v>0</v>
      </c>
    </row>
    <row r="1811" spans="1:12">
      <c r="A1811" t="s">
        <v>5258</v>
      </c>
      <c r="B1811" t="s">
        <v>5259</v>
      </c>
      <c r="C1811" t="s">
        <v>5260</v>
      </c>
      <c r="D1811" t="s">
        <v>15</v>
      </c>
      <c r="E1811" t="s">
        <v>16</v>
      </c>
      <c r="F1811" t="s">
        <v>29</v>
      </c>
      <c r="G1811" t="s">
        <v>151</v>
      </c>
      <c r="H1811" t="s">
        <v>31</v>
      </c>
      <c r="I1811">
        <v>4</v>
      </c>
      <c r="J1811">
        <v>8</v>
      </c>
      <c r="K1811">
        <v>6.87</v>
      </c>
      <c r="L1811">
        <v>1</v>
      </c>
    </row>
    <row r="1812" spans="1:12">
      <c r="A1812" t="s">
        <v>5261</v>
      </c>
      <c r="B1812" t="s">
        <v>5262</v>
      </c>
      <c r="C1812" t="s">
        <v>5263</v>
      </c>
      <c r="D1812" t="s">
        <v>35</v>
      </c>
      <c r="E1812" t="s">
        <v>24</v>
      </c>
      <c r="F1812" t="s">
        <v>36</v>
      </c>
      <c r="G1812" t="s">
        <v>55</v>
      </c>
      <c r="H1812" t="s">
        <v>19</v>
      </c>
      <c r="I1812">
        <v>3</v>
      </c>
      <c r="J1812">
        <v>48</v>
      </c>
      <c r="K1812">
        <v>124.3</v>
      </c>
      <c r="L1812">
        <v>0</v>
      </c>
    </row>
    <row r="1813" spans="1:12">
      <c r="A1813" t="s">
        <v>5264</v>
      </c>
      <c r="B1813" t="s">
        <v>5265</v>
      </c>
      <c r="C1813" t="s">
        <v>5266</v>
      </c>
      <c r="D1813" t="s">
        <v>35</v>
      </c>
      <c r="E1813" t="s">
        <v>24</v>
      </c>
      <c r="F1813" t="s">
        <v>60</v>
      </c>
      <c r="G1813" t="s">
        <v>45</v>
      </c>
      <c r="H1813" t="s">
        <v>31</v>
      </c>
      <c r="I1813">
        <v>4</v>
      </c>
      <c r="J1813">
        <v>48</v>
      </c>
      <c r="K1813">
        <v>38.74</v>
      </c>
      <c r="L1813">
        <v>1</v>
      </c>
    </row>
    <row r="1814" spans="1:12">
      <c r="A1814" t="s">
        <v>5267</v>
      </c>
      <c r="B1814" t="s">
        <v>5268</v>
      </c>
      <c r="C1814" t="s">
        <v>5269</v>
      </c>
      <c r="D1814" t="s">
        <v>23</v>
      </c>
      <c r="E1814" t="s">
        <v>16</v>
      </c>
      <c r="F1814" t="s">
        <v>17</v>
      </c>
      <c r="G1814" t="s">
        <v>151</v>
      </c>
      <c r="H1814" t="s">
        <v>31</v>
      </c>
      <c r="I1814">
        <v>4</v>
      </c>
      <c r="J1814">
        <v>24</v>
      </c>
      <c r="K1814">
        <v>12.53</v>
      </c>
      <c r="L1814">
        <v>1</v>
      </c>
    </row>
    <row r="1815" spans="1:12">
      <c r="A1815" t="s">
        <v>5270</v>
      </c>
      <c r="B1815" t="s">
        <v>5271</v>
      </c>
      <c r="C1815" t="s">
        <v>5272</v>
      </c>
      <c r="D1815" t="s">
        <v>158</v>
      </c>
      <c r="E1815" t="s">
        <v>16</v>
      </c>
      <c r="F1815" t="s">
        <v>17</v>
      </c>
      <c r="G1815" t="s">
        <v>105</v>
      </c>
      <c r="H1815" t="s">
        <v>19</v>
      </c>
      <c r="I1815">
        <v>4</v>
      </c>
      <c r="J1815">
        <v>4</v>
      </c>
      <c r="K1815">
        <v>3.64</v>
      </c>
      <c r="L1815">
        <v>1</v>
      </c>
    </row>
    <row r="1816" spans="1:12">
      <c r="A1816" t="s">
        <v>5273</v>
      </c>
      <c r="B1816" t="s">
        <v>5274</v>
      </c>
      <c r="C1816" t="s">
        <v>5275</v>
      </c>
      <c r="D1816" t="s">
        <v>23</v>
      </c>
      <c r="E1816" t="s">
        <v>28</v>
      </c>
      <c r="F1816" t="s">
        <v>17</v>
      </c>
      <c r="G1816" t="s">
        <v>45</v>
      </c>
      <c r="H1816" t="s">
        <v>31</v>
      </c>
      <c r="I1816">
        <v>5</v>
      </c>
      <c r="J1816">
        <v>24</v>
      </c>
      <c r="K1816">
        <v>11.81</v>
      </c>
      <c r="L1816">
        <v>1</v>
      </c>
    </row>
    <row r="1817" spans="1:12">
      <c r="A1817" t="s">
        <v>5276</v>
      </c>
      <c r="B1817" t="s">
        <v>5277</v>
      </c>
      <c r="D1817" t="s">
        <v>158</v>
      </c>
      <c r="E1817" t="s">
        <v>54</v>
      </c>
      <c r="F1817" t="s">
        <v>36</v>
      </c>
      <c r="G1817" t="s">
        <v>73</v>
      </c>
      <c r="H1817" t="s">
        <v>63</v>
      </c>
      <c r="J1817">
        <v>4</v>
      </c>
    </row>
    <row r="1818" spans="1:12">
      <c r="A1818" t="s">
        <v>5278</v>
      </c>
      <c r="B1818" t="s">
        <v>5279</v>
      </c>
      <c r="C1818" t="s">
        <v>5280</v>
      </c>
      <c r="D1818" t="s">
        <v>15</v>
      </c>
      <c r="E1818" t="s">
        <v>28</v>
      </c>
      <c r="F1818" t="s">
        <v>17</v>
      </c>
      <c r="G1818" t="s">
        <v>105</v>
      </c>
      <c r="H1818" t="s">
        <v>19</v>
      </c>
      <c r="I1818">
        <v>5</v>
      </c>
      <c r="J1818">
        <v>8</v>
      </c>
      <c r="K1818">
        <v>7.12</v>
      </c>
      <c r="L1818">
        <v>1</v>
      </c>
    </row>
    <row r="1819" spans="1:12">
      <c r="A1819" t="s">
        <v>5281</v>
      </c>
      <c r="B1819" t="s">
        <v>5282</v>
      </c>
      <c r="C1819" t="s">
        <v>5283</v>
      </c>
      <c r="D1819" t="s">
        <v>23</v>
      </c>
      <c r="E1819" t="s">
        <v>54</v>
      </c>
      <c r="F1819" t="s">
        <v>17</v>
      </c>
      <c r="G1819" t="s">
        <v>50</v>
      </c>
      <c r="H1819" t="s">
        <v>31</v>
      </c>
      <c r="I1819">
        <v>4</v>
      </c>
      <c r="J1819">
        <v>24</v>
      </c>
      <c r="K1819">
        <v>10.37</v>
      </c>
      <c r="L1819">
        <v>1</v>
      </c>
    </row>
    <row r="1820" spans="1:12">
      <c r="A1820" t="s">
        <v>5284</v>
      </c>
      <c r="B1820" t="s">
        <v>5285</v>
      </c>
      <c r="C1820" t="s">
        <v>5286</v>
      </c>
      <c r="D1820" t="s">
        <v>158</v>
      </c>
      <c r="E1820" t="s">
        <v>16</v>
      </c>
      <c r="F1820" t="s">
        <v>29</v>
      </c>
      <c r="G1820" t="s">
        <v>37</v>
      </c>
      <c r="H1820" t="s">
        <v>19</v>
      </c>
      <c r="I1820">
        <v>4</v>
      </c>
      <c r="J1820">
        <v>4</v>
      </c>
      <c r="K1820">
        <v>2.64</v>
      </c>
      <c r="L1820">
        <v>1</v>
      </c>
    </row>
    <row r="1821" spans="1:12">
      <c r="A1821" t="s">
        <v>5287</v>
      </c>
      <c r="B1821" t="s">
        <v>5288</v>
      </c>
      <c r="D1821" t="s">
        <v>35</v>
      </c>
      <c r="E1821" t="s">
        <v>28</v>
      </c>
      <c r="F1821" t="s">
        <v>29</v>
      </c>
      <c r="G1821" t="s">
        <v>105</v>
      </c>
      <c r="H1821" t="s">
        <v>46</v>
      </c>
      <c r="J1821">
        <v>48</v>
      </c>
    </row>
    <row r="1822" spans="1:12">
      <c r="A1822" t="s">
        <v>5289</v>
      </c>
      <c r="B1822" t="s">
        <v>5290</v>
      </c>
      <c r="C1822" t="s">
        <v>5291</v>
      </c>
      <c r="D1822" t="s">
        <v>23</v>
      </c>
      <c r="E1822" t="s">
        <v>59</v>
      </c>
      <c r="F1822" t="s">
        <v>60</v>
      </c>
      <c r="G1822" t="s">
        <v>105</v>
      </c>
      <c r="H1822" t="s">
        <v>19</v>
      </c>
      <c r="I1822">
        <v>1</v>
      </c>
      <c r="J1822">
        <v>24</v>
      </c>
      <c r="K1822">
        <v>32.880000000000003</v>
      </c>
      <c r="L1822">
        <v>0</v>
      </c>
    </row>
    <row r="1823" spans="1:12">
      <c r="A1823" t="s">
        <v>5292</v>
      </c>
      <c r="B1823" t="s">
        <v>5293</v>
      </c>
      <c r="C1823" t="s">
        <v>5294</v>
      </c>
      <c r="D1823" t="s">
        <v>23</v>
      </c>
      <c r="E1823" t="s">
        <v>59</v>
      </c>
      <c r="F1823" t="s">
        <v>17</v>
      </c>
      <c r="G1823" t="s">
        <v>30</v>
      </c>
      <c r="H1823" t="s">
        <v>31</v>
      </c>
      <c r="I1823">
        <v>5</v>
      </c>
      <c r="J1823">
        <v>24</v>
      </c>
      <c r="K1823">
        <v>14.72</v>
      </c>
      <c r="L1823">
        <v>1</v>
      </c>
    </row>
    <row r="1824" spans="1:12">
      <c r="A1824" t="s">
        <v>5295</v>
      </c>
      <c r="B1824" t="s">
        <v>5296</v>
      </c>
      <c r="C1824" t="s">
        <v>5297</v>
      </c>
      <c r="D1824" t="s">
        <v>15</v>
      </c>
      <c r="E1824" t="s">
        <v>24</v>
      </c>
      <c r="F1824" t="s">
        <v>36</v>
      </c>
      <c r="G1824" t="s">
        <v>30</v>
      </c>
      <c r="H1824" t="s">
        <v>31</v>
      </c>
      <c r="I1824">
        <v>4</v>
      </c>
      <c r="J1824">
        <v>8</v>
      </c>
      <c r="K1824">
        <v>6.24</v>
      </c>
      <c r="L1824">
        <v>1</v>
      </c>
    </row>
    <row r="1825" spans="1:12">
      <c r="A1825" t="s">
        <v>5298</v>
      </c>
      <c r="B1825" t="s">
        <v>5299</v>
      </c>
      <c r="C1825" t="s">
        <v>5300</v>
      </c>
      <c r="D1825" t="s">
        <v>15</v>
      </c>
      <c r="E1825" t="s">
        <v>16</v>
      </c>
      <c r="F1825" t="s">
        <v>60</v>
      </c>
      <c r="G1825" t="s">
        <v>18</v>
      </c>
      <c r="H1825" t="s">
        <v>19</v>
      </c>
      <c r="I1825">
        <v>5</v>
      </c>
      <c r="J1825">
        <v>8</v>
      </c>
      <c r="K1825">
        <v>5.28</v>
      </c>
      <c r="L1825">
        <v>1</v>
      </c>
    </row>
    <row r="1826" spans="1:12">
      <c r="A1826" t="s">
        <v>5301</v>
      </c>
      <c r="B1826" t="s">
        <v>5302</v>
      </c>
      <c r="C1826" t="s">
        <v>5303</v>
      </c>
      <c r="D1826" t="s">
        <v>15</v>
      </c>
      <c r="E1826" t="s">
        <v>28</v>
      </c>
      <c r="F1826" t="s">
        <v>60</v>
      </c>
      <c r="G1826" t="s">
        <v>55</v>
      </c>
      <c r="H1826" t="s">
        <v>31</v>
      </c>
      <c r="I1826">
        <v>5</v>
      </c>
      <c r="J1826">
        <v>8</v>
      </c>
      <c r="K1826">
        <v>3.76</v>
      </c>
      <c r="L1826">
        <v>1</v>
      </c>
    </row>
    <row r="1827" spans="1:12">
      <c r="A1827" t="s">
        <v>5304</v>
      </c>
      <c r="B1827" t="s">
        <v>5305</v>
      </c>
      <c r="C1827" t="s">
        <v>5306</v>
      </c>
      <c r="D1827" t="s">
        <v>158</v>
      </c>
      <c r="E1827" t="s">
        <v>59</v>
      </c>
      <c r="F1827" t="s">
        <v>60</v>
      </c>
      <c r="G1827" t="s">
        <v>77</v>
      </c>
      <c r="H1827" t="s">
        <v>19</v>
      </c>
      <c r="I1827">
        <v>1</v>
      </c>
      <c r="J1827">
        <v>4</v>
      </c>
      <c r="K1827">
        <v>7.76</v>
      </c>
      <c r="L1827">
        <v>0</v>
      </c>
    </row>
    <row r="1828" spans="1:12">
      <c r="A1828" t="s">
        <v>5307</v>
      </c>
      <c r="B1828" t="s">
        <v>5308</v>
      </c>
      <c r="C1828" t="s">
        <v>5309</v>
      </c>
      <c r="D1828" t="s">
        <v>23</v>
      </c>
      <c r="E1828" t="s">
        <v>54</v>
      </c>
      <c r="F1828" t="s">
        <v>36</v>
      </c>
      <c r="G1828" t="s">
        <v>50</v>
      </c>
      <c r="H1828" t="s">
        <v>31</v>
      </c>
      <c r="I1828">
        <v>5</v>
      </c>
      <c r="J1828">
        <v>24</v>
      </c>
      <c r="K1828">
        <v>11.86</v>
      </c>
      <c r="L1828">
        <v>1</v>
      </c>
    </row>
    <row r="1829" spans="1:12">
      <c r="A1829" t="s">
        <v>5310</v>
      </c>
      <c r="B1829" t="s">
        <v>5311</v>
      </c>
      <c r="C1829" t="s">
        <v>5312</v>
      </c>
      <c r="D1829" t="s">
        <v>15</v>
      </c>
      <c r="E1829" t="s">
        <v>28</v>
      </c>
      <c r="F1829" t="s">
        <v>60</v>
      </c>
      <c r="G1829" t="s">
        <v>18</v>
      </c>
      <c r="H1829" t="s">
        <v>19</v>
      </c>
      <c r="I1829">
        <v>3</v>
      </c>
      <c r="J1829">
        <v>8</v>
      </c>
      <c r="K1829">
        <v>5.23</v>
      </c>
      <c r="L1829">
        <v>1</v>
      </c>
    </row>
    <row r="1830" spans="1:12">
      <c r="A1830" t="s">
        <v>5313</v>
      </c>
      <c r="B1830" t="s">
        <v>5314</v>
      </c>
      <c r="C1830" t="s">
        <v>5315</v>
      </c>
      <c r="D1830" t="s">
        <v>23</v>
      </c>
      <c r="E1830" t="s">
        <v>54</v>
      </c>
      <c r="F1830" t="s">
        <v>41</v>
      </c>
      <c r="G1830" t="s">
        <v>45</v>
      </c>
      <c r="H1830" t="s">
        <v>19</v>
      </c>
      <c r="I1830">
        <v>5</v>
      </c>
      <c r="J1830">
        <v>24</v>
      </c>
      <c r="K1830">
        <v>6.92</v>
      </c>
      <c r="L1830">
        <v>1</v>
      </c>
    </row>
    <row r="1831" spans="1:12">
      <c r="A1831" t="s">
        <v>5316</v>
      </c>
      <c r="B1831" t="s">
        <v>5317</v>
      </c>
      <c r="C1831" t="s">
        <v>5318</v>
      </c>
      <c r="D1831" t="s">
        <v>23</v>
      </c>
      <c r="E1831" t="s">
        <v>28</v>
      </c>
      <c r="F1831" t="s">
        <v>36</v>
      </c>
      <c r="G1831" t="s">
        <v>45</v>
      </c>
      <c r="H1831" t="s">
        <v>19</v>
      </c>
      <c r="I1831">
        <v>1</v>
      </c>
      <c r="J1831">
        <v>24</v>
      </c>
      <c r="K1831">
        <v>69.19</v>
      </c>
      <c r="L1831">
        <v>0</v>
      </c>
    </row>
    <row r="1832" spans="1:12">
      <c r="A1832" t="s">
        <v>5319</v>
      </c>
      <c r="B1832" t="s">
        <v>5320</v>
      </c>
      <c r="C1832" t="s">
        <v>5321</v>
      </c>
      <c r="D1832" t="s">
        <v>35</v>
      </c>
      <c r="E1832" t="s">
        <v>16</v>
      </c>
      <c r="F1832" t="s">
        <v>29</v>
      </c>
      <c r="G1832" t="s">
        <v>55</v>
      </c>
      <c r="H1832" t="s">
        <v>31</v>
      </c>
      <c r="I1832">
        <v>5</v>
      </c>
      <c r="J1832">
        <v>48</v>
      </c>
      <c r="K1832">
        <v>28.47</v>
      </c>
      <c r="L1832">
        <v>1</v>
      </c>
    </row>
    <row r="1833" spans="1:12">
      <c r="A1833" t="s">
        <v>5322</v>
      </c>
      <c r="B1833" t="s">
        <v>5323</v>
      </c>
      <c r="C1833" t="s">
        <v>5324</v>
      </c>
      <c r="D1833" t="s">
        <v>15</v>
      </c>
      <c r="E1833" t="s">
        <v>28</v>
      </c>
      <c r="F1833" t="s">
        <v>17</v>
      </c>
      <c r="G1833" t="s">
        <v>37</v>
      </c>
      <c r="H1833" t="s">
        <v>31</v>
      </c>
      <c r="I1833">
        <v>4</v>
      </c>
      <c r="J1833">
        <v>8</v>
      </c>
      <c r="K1833">
        <v>4.51</v>
      </c>
      <c r="L1833">
        <v>1</v>
      </c>
    </row>
    <row r="1834" spans="1:12">
      <c r="A1834" t="s">
        <v>5325</v>
      </c>
      <c r="B1834" t="s">
        <v>5326</v>
      </c>
      <c r="C1834" t="s">
        <v>5327</v>
      </c>
      <c r="D1834" t="s">
        <v>23</v>
      </c>
      <c r="E1834" t="s">
        <v>28</v>
      </c>
      <c r="F1834" t="s">
        <v>17</v>
      </c>
      <c r="G1834" t="s">
        <v>50</v>
      </c>
      <c r="H1834" t="s">
        <v>19</v>
      </c>
      <c r="I1834">
        <v>4</v>
      </c>
      <c r="J1834">
        <v>24</v>
      </c>
      <c r="K1834">
        <v>17.690000000000001</v>
      </c>
      <c r="L1834">
        <v>1</v>
      </c>
    </row>
    <row r="1835" spans="1:12">
      <c r="A1835" t="s">
        <v>5328</v>
      </c>
      <c r="B1835" t="s">
        <v>5329</v>
      </c>
      <c r="C1835" t="s">
        <v>5330</v>
      </c>
      <c r="D1835" t="s">
        <v>15</v>
      </c>
      <c r="E1835" t="s">
        <v>28</v>
      </c>
      <c r="F1835" t="s">
        <v>17</v>
      </c>
      <c r="G1835" t="s">
        <v>37</v>
      </c>
      <c r="H1835" t="s">
        <v>19</v>
      </c>
      <c r="I1835">
        <v>5</v>
      </c>
      <c r="J1835">
        <v>8</v>
      </c>
      <c r="K1835">
        <v>1.46</v>
      </c>
      <c r="L1835">
        <v>1</v>
      </c>
    </row>
    <row r="1836" spans="1:12">
      <c r="A1836" t="s">
        <v>5331</v>
      </c>
      <c r="B1836" t="s">
        <v>5332</v>
      </c>
      <c r="D1836" t="s">
        <v>35</v>
      </c>
      <c r="E1836" t="s">
        <v>54</v>
      </c>
      <c r="F1836" t="s">
        <v>36</v>
      </c>
      <c r="G1836" t="s">
        <v>42</v>
      </c>
      <c r="H1836" t="s">
        <v>46</v>
      </c>
      <c r="J1836">
        <v>48</v>
      </c>
    </row>
    <row r="1837" spans="1:12">
      <c r="A1837" t="s">
        <v>5333</v>
      </c>
      <c r="B1837" t="s">
        <v>5334</v>
      </c>
      <c r="C1837" t="s">
        <v>5335</v>
      </c>
      <c r="D1837" t="s">
        <v>15</v>
      </c>
      <c r="E1837" t="s">
        <v>59</v>
      </c>
      <c r="F1837" t="s">
        <v>17</v>
      </c>
      <c r="G1837" t="s">
        <v>42</v>
      </c>
      <c r="H1837" t="s">
        <v>31</v>
      </c>
      <c r="I1837">
        <v>5</v>
      </c>
      <c r="J1837">
        <v>8</v>
      </c>
      <c r="K1837">
        <v>7.22</v>
      </c>
      <c r="L1837">
        <v>1</v>
      </c>
    </row>
    <row r="1838" spans="1:12">
      <c r="A1838" t="s">
        <v>5336</v>
      </c>
      <c r="B1838" t="s">
        <v>5337</v>
      </c>
      <c r="C1838" t="s">
        <v>5338</v>
      </c>
      <c r="D1838" t="s">
        <v>23</v>
      </c>
      <c r="E1838" t="s">
        <v>28</v>
      </c>
      <c r="F1838" t="s">
        <v>60</v>
      </c>
      <c r="G1838" t="s">
        <v>77</v>
      </c>
      <c r="H1838" t="s">
        <v>19</v>
      </c>
      <c r="I1838">
        <v>4</v>
      </c>
      <c r="J1838">
        <v>24</v>
      </c>
      <c r="K1838">
        <v>16.03</v>
      </c>
      <c r="L1838">
        <v>1</v>
      </c>
    </row>
    <row r="1839" spans="1:12">
      <c r="A1839" t="s">
        <v>5339</v>
      </c>
      <c r="B1839" t="s">
        <v>5340</v>
      </c>
      <c r="C1839" t="s">
        <v>5341</v>
      </c>
      <c r="D1839" t="s">
        <v>23</v>
      </c>
      <c r="E1839" t="s">
        <v>24</v>
      </c>
      <c r="F1839" t="s">
        <v>17</v>
      </c>
      <c r="G1839" t="s">
        <v>37</v>
      </c>
      <c r="H1839" t="s">
        <v>31</v>
      </c>
      <c r="I1839">
        <v>3</v>
      </c>
      <c r="J1839">
        <v>24</v>
      </c>
      <c r="K1839">
        <v>7.51</v>
      </c>
      <c r="L1839">
        <v>1</v>
      </c>
    </row>
    <row r="1840" spans="1:12">
      <c r="A1840" t="s">
        <v>5342</v>
      </c>
      <c r="B1840" t="s">
        <v>5343</v>
      </c>
      <c r="C1840" t="s">
        <v>5344</v>
      </c>
      <c r="D1840" t="s">
        <v>23</v>
      </c>
      <c r="E1840" t="s">
        <v>59</v>
      </c>
      <c r="F1840" t="s">
        <v>36</v>
      </c>
      <c r="G1840" t="s">
        <v>42</v>
      </c>
      <c r="H1840" t="s">
        <v>19</v>
      </c>
      <c r="I1840">
        <v>5</v>
      </c>
      <c r="J1840">
        <v>24</v>
      </c>
      <c r="K1840">
        <v>13.05</v>
      </c>
      <c r="L1840">
        <v>1</v>
      </c>
    </row>
    <row r="1841" spans="1:12">
      <c r="A1841" t="s">
        <v>5345</v>
      </c>
      <c r="B1841" t="s">
        <v>5346</v>
      </c>
      <c r="C1841" t="s">
        <v>5347</v>
      </c>
      <c r="D1841" t="s">
        <v>23</v>
      </c>
      <c r="E1841" t="s">
        <v>59</v>
      </c>
      <c r="F1841" t="s">
        <v>29</v>
      </c>
      <c r="G1841" t="s">
        <v>30</v>
      </c>
      <c r="H1841" t="s">
        <v>19</v>
      </c>
      <c r="I1841">
        <v>4</v>
      </c>
      <c r="J1841">
        <v>24</v>
      </c>
      <c r="K1841">
        <v>17.84</v>
      </c>
      <c r="L1841">
        <v>1</v>
      </c>
    </row>
    <row r="1842" spans="1:12">
      <c r="A1842" t="s">
        <v>5348</v>
      </c>
      <c r="B1842" t="s">
        <v>5349</v>
      </c>
      <c r="C1842" t="s">
        <v>5350</v>
      </c>
      <c r="D1842" t="s">
        <v>23</v>
      </c>
      <c r="E1842" t="s">
        <v>28</v>
      </c>
      <c r="F1842" t="s">
        <v>17</v>
      </c>
      <c r="G1842" t="s">
        <v>18</v>
      </c>
      <c r="H1842" t="s">
        <v>31</v>
      </c>
      <c r="I1842">
        <v>5</v>
      </c>
      <c r="J1842">
        <v>24</v>
      </c>
      <c r="K1842">
        <v>14.36</v>
      </c>
      <c r="L1842">
        <v>1</v>
      </c>
    </row>
    <row r="1843" spans="1:12">
      <c r="A1843" t="s">
        <v>5351</v>
      </c>
      <c r="B1843" t="s">
        <v>5352</v>
      </c>
      <c r="C1843" t="s">
        <v>5353</v>
      </c>
      <c r="D1843" t="s">
        <v>15</v>
      </c>
      <c r="E1843" t="s">
        <v>54</v>
      </c>
      <c r="F1843" t="s">
        <v>41</v>
      </c>
      <c r="G1843" t="s">
        <v>77</v>
      </c>
      <c r="H1843" t="s">
        <v>31</v>
      </c>
      <c r="I1843">
        <v>4</v>
      </c>
      <c r="J1843">
        <v>8</v>
      </c>
      <c r="K1843">
        <v>5.17</v>
      </c>
      <c r="L1843">
        <v>1</v>
      </c>
    </row>
    <row r="1844" spans="1:12">
      <c r="A1844" t="s">
        <v>5354</v>
      </c>
      <c r="B1844" t="s">
        <v>5355</v>
      </c>
      <c r="C1844" t="s">
        <v>5356</v>
      </c>
      <c r="D1844" t="s">
        <v>158</v>
      </c>
      <c r="E1844" t="s">
        <v>24</v>
      </c>
      <c r="F1844" t="s">
        <v>60</v>
      </c>
      <c r="G1844" t="s">
        <v>172</v>
      </c>
      <c r="H1844" t="s">
        <v>19</v>
      </c>
      <c r="I1844">
        <v>4</v>
      </c>
      <c r="J1844">
        <v>4</v>
      </c>
      <c r="K1844">
        <v>1.67</v>
      </c>
      <c r="L1844">
        <v>1</v>
      </c>
    </row>
    <row r="1845" spans="1:12">
      <c r="A1845" t="s">
        <v>5357</v>
      </c>
      <c r="B1845" t="s">
        <v>5358</v>
      </c>
      <c r="C1845" t="s">
        <v>5359</v>
      </c>
      <c r="D1845" t="s">
        <v>35</v>
      </c>
      <c r="E1845" t="s">
        <v>59</v>
      </c>
      <c r="F1845" t="s">
        <v>41</v>
      </c>
      <c r="G1845" t="s">
        <v>42</v>
      </c>
      <c r="H1845" t="s">
        <v>19</v>
      </c>
      <c r="I1845">
        <v>5</v>
      </c>
      <c r="J1845">
        <v>48</v>
      </c>
      <c r="K1845">
        <v>26.04</v>
      </c>
      <c r="L1845">
        <v>1</v>
      </c>
    </row>
    <row r="1846" spans="1:12">
      <c r="A1846" t="s">
        <v>5360</v>
      </c>
      <c r="B1846" t="s">
        <v>5361</v>
      </c>
      <c r="C1846" t="s">
        <v>5362</v>
      </c>
      <c r="D1846" t="s">
        <v>15</v>
      </c>
      <c r="E1846" t="s">
        <v>28</v>
      </c>
      <c r="F1846" t="s">
        <v>60</v>
      </c>
      <c r="G1846" t="s">
        <v>105</v>
      </c>
      <c r="H1846" t="s">
        <v>31</v>
      </c>
      <c r="I1846">
        <v>5</v>
      </c>
      <c r="J1846">
        <v>8</v>
      </c>
      <c r="K1846">
        <v>6.31</v>
      </c>
      <c r="L1846">
        <v>1</v>
      </c>
    </row>
    <row r="1847" spans="1:12">
      <c r="A1847" t="s">
        <v>5363</v>
      </c>
      <c r="B1847" t="s">
        <v>5364</v>
      </c>
      <c r="C1847" t="s">
        <v>5365</v>
      </c>
      <c r="D1847" t="s">
        <v>15</v>
      </c>
      <c r="E1847" t="s">
        <v>28</v>
      </c>
      <c r="F1847" t="s">
        <v>41</v>
      </c>
      <c r="G1847" t="s">
        <v>45</v>
      </c>
      <c r="H1847" t="s">
        <v>19</v>
      </c>
      <c r="I1847">
        <v>5</v>
      </c>
      <c r="J1847">
        <v>8</v>
      </c>
      <c r="K1847">
        <v>7.19</v>
      </c>
      <c r="L1847">
        <v>1</v>
      </c>
    </row>
    <row r="1848" spans="1:12">
      <c r="A1848" t="s">
        <v>5366</v>
      </c>
      <c r="B1848" t="s">
        <v>5367</v>
      </c>
      <c r="C1848" t="s">
        <v>5368</v>
      </c>
      <c r="D1848" t="s">
        <v>23</v>
      </c>
      <c r="E1848" t="s">
        <v>16</v>
      </c>
      <c r="F1848" t="s">
        <v>17</v>
      </c>
      <c r="G1848" t="s">
        <v>45</v>
      </c>
      <c r="H1848" t="s">
        <v>19</v>
      </c>
      <c r="I1848">
        <v>5</v>
      </c>
      <c r="J1848">
        <v>24</v>
      </c>
      <c r="K1848">
        <v>3.92</v>
      </c>
      <c r="L1848">
        <v>1</v>
      </c>
    </row>
    <row r="1849" spans="1:12">
      <c r="A1849" t="s">
        <v>5369</v>
      </c>
      <c r="B1849" t="s">
        <v>5370</v>
      </c>
      <c r="C1849" t="s">
        <v>5371</v>
      </c>
      <c r="D1849" t="s">
        <v>23</v>
      </c>
      <c r="E1849" t="s">
        <v>16</v>
      </c>
      <c r="F1849" t="s">
        <v>41</v>
      </c>
      <c r="G1849" t="s">
        <v>30</v>
      </c>
      <c r="H1849" t="s">
        <v>19</v>
      </c>
      <c r="I1849">
        <v>3</v>
      </c>
      <c r="J1849">
        <v>24</v>
      </c>
      <c r="K1849">
        <v>6.17</v>
      </c>
      <c r="L1849">
        <v>1</v>
      </c>
    </row>
    <row r="1850" spans="1:12">
      <c r="A1850" t="s">
        <v>5372</v>
      </c>
      <c r="B1850" t="s">
        <v>5373</v>
      </c>
      <c r="C1850" t="s">
        <v>5374</v>
      </c>
      <c r="D1850" t="s">
        <v>35</v>
      </c>
      <c r="E1850" t="s">
        <v>54</v>
      </c>
      <c r="F1850" t="s">
        <v>36</v>
      </c>
      <c r="G1850" t="s">
        <v>172</v>
      </c>
      <c r="H1850" t="s">
        <v>19</v>
      </c>
      <c r="I1850">
        <v>2</v>
      </c>
      <c r="J1850">
        <v>48</v>
      </c>
      <c r="K1850">
        <v>122.28</v>
      </c>
      <c r="L1850">
        <v>0</v>
      </c>
    </row>
    <row r="1851" spans="1:12">
      <c r="A1851" t="s">
        <v>5375</v>
      </c>
      <c r="B1851" t="s">
        <v>5376</v>
      </c>
      <c r="C1851" t="s">
        <v>5377</v>
      </c>
      <c r="D1851" t="s">
        <v>15</v>
      </c>
      <c r="E1851" t="s">
        <v>28</v>
      </c>
      <c r="F1851" t="s">
        <v>36</v>
      </c>
      <c r="G1851" t="s">
        <v>18</v>
      </c>
      <c r="H1851" t="s">
        <v>19</v>
      </c>
      <c r="I1851">
        <v>5</v>
      </c>
      <c r="J1851">
        <v>8</v>
      </c>
      <c r="K1851">
        <v>5.97</v>
      </c>
      <c r="L1851">
        <v>1</v>
      </c>
    </row>
    <row r="1852" spans="1:12">
      <c r="A1852" t="s">
        <v>5378</v>
      </c>
      <c r="B1852" t="s">
        <v>5379</v>
      </c>
      <c r="C1852" t="s">
        <v>5380</v>
      </c>
      <c r="D1852" t="s">
        <v>35</v>
      </c>
      <c r="E1852" t="s">
        <v>16</v>
      </c>
      <c r="F1852" t="s">
        <v>60</v>
      </c>
      <c r="G1852" t="s">
        <v>55</v>
      </c>
      <c r="H1852" t="s">
        <v>31</v>
      </c>
      <c r="I1852">
        <v>5</v>
      </c>
      <c r="J1852">
        <v>48</v>
      </c>
      <c r="K1852">
        <v>41.78</v>
      </c>
      <c r="L1852">
        <v>1</v>
      </c>
    </row>
    <row r="1853" spans="1:12">
      <c r="A1853" t="s">
        <v>5381</v>
      </c>
      <c r="B1853" t="s">
        <v>5382</v>
      </c>
      <c r="D1853" t="s">
        <v>35</v>
      </c>
      <c r="E1853" t="s">
        <v>16</v>
      </c>
      <c r="F1853" t="s">
        <v>36</v>
      </c>
      <c r="G1853" t="s">
        <v>45</v>
      </c>
      <c r="H1853" t="s">
        <v>63</v>
      </c>
      <c r="J1853">
        <v>48</v>
      </c>
    </row>
    <row r="1854" spans="1:12">
      <c r="A1854" t="s">
        <v>5383</v>
      </c>
      <c r="B1854" t="s">
        <v>5384</v>
      </c>
      <c r="C1854" t="s">
        <v>5385</v>
      </c>
      <c r="D1854" t="s">
        <v>158</v>
      </c>
      <c r="E1854" t="s">
        <v>28</v>
      </c>
      <c r="F1854" t="s">
        <v>36</v>
      </c>
      <c r="G1854" t="s">
        <v>73</v>
      </c>
      <c r="H1854" t="s">
        <v>19</v>
      </c>
      <c r="I1854">
        <v>1</v>
      </c>
      <c r="J1854">
        <v>4</v>
      </c>
      <c r="K1854">
        <v>8.7899999999999991</v>
      </c>
      <c r="L1854">
        <v>0</v>
      </c>
    </row>
    <row r="1855" spans="1:12">
      <c r="A1855" t="s">
        <v>5386</v>
      </c>
      <c r="B1855" t="s">
        <v>5387</v>
      </c>
      <c r="C1855" t="s">
        <v>5388</v>
      </c>
      <c r="D1855" t="s">
        <v>158</v>
      </c>
      <c r="E1855" t="s">
        <v>16</v>
      </c>
      <c r="F1855" t="s">
        <v>41</v>
      </c>
      <c r="G1855" t="s">
        <v>77</v>
      </c>
      <c r="H1855" t="s">
        <v>19</v>
      </c>
      <c r="I1855">
        <v>5</v>
      </c>
      <c r="J1855">
        <v>4</v>
      </c>
      <c r="K1855">
        <v>3.59</v>
      </c>
      <c r="L1855">
        <v>1</v>
      </c>
    </row>
    <row r="1856" spans="1:12">
      <c r="A1856" t="s">
        <v>5389</v>
      </c>
      <c r="B1856" t="s">
        <v>5390</v>
      </c>
      <c r="C1856" t="s">
        <v>5391</v>
      </c>
      <c r="D1856" t="s">
        <v>158</v>
      </c>
      <c r="E1856" t="s">
        <v>24</v>
      </c>
      <c r="F1856" t="s">
        <v>60</v>
      </c>
      <c r="G1856" t="s">
        <v>105</v>
      </c>
      <c r="H1856" t="s">
        <v>31</v>
      </c>
      <c r="I1856">
        <v>4</v>
      </c>
      <c r="J1856">
        <v>4</v>
      </c>
      <c r="K1856">
        <v>0.46</v>
      </c>
      <c r="L1856">
        <v>1</v>
      </c>
    </row>
    <row r="1857" spans="1:12">
      <c r="A1857" t="s">
        <v>5392</v>
      </c>
      <c r="B1857" t="s">
        <v>5393</v>
      </c>
      <c r="D1857" t="s">
        <v>15</v>
      </c>
      <c r="E1857" t="s">
        <v>16</v>
      </c>
      <c r="F1857" t="s">
        <v>60</v>
      </c>
      <c r="G1857" t="s">
        <v>18</v>
      </c>
      <c r="H1857" t="s">
        <v>46</v>
      </c>
      <c r="J1857">
        <v>8</v>
      </c>
    </row>
    <row r="1858" spans="1:12">
      <c r="A1858" t="s">
        <v>5394</v>
      </c>
      <c r="B1858" t="s">
        <v>5395</v>
      </c>
      <c r="C1858" t="s">
        <v>5396</v>
      </c>
      <c r="D1858" t="s">
        <v>23</v>
      </c>
      <c r="E1858" t="s">
        <v>16</v>
      </c>
      <c r="F1858" t="s">
        <v>60</v>
      </c>
      <c r="G1858" t="s">
        <v>105</v>
      </c>
      <c r="H1858" t="s">
        <v>31</v>
      </c>
      <c r="I1858">
        <v>3</v>
      </c>
      <c r="J1858">
        <v>24</v>
      </c>
      <c r="K1858">
        <v>13.57</v>
      </c>
      <c r="L1858">
        <v>1</v>
      </c>
    </row>
    <row r="1859" spans="1:12">
      <c r="A1859" t="s">
        <v>5397</v>
      </c>
      <c r="B1859" t="s">
        <v>5398</v>
      </c>
      <c r="D1859" t="s">
        <v>23</v>
      </c>
      <c r="E1859" t="s">
        <v>28</v>
      </c>
      <c r="F1859" t="s">
        <v>60</v>
      </c>
      <c r="G1859" t="s">
        <v>45</v>
      </c>
      <c r="H1859" t="s">
        <v>63</v>
      </c>
      <c r="J1859">
        <v>24</v>
      </c>
    </row>
    <row r="1860" spans="1:12">
      <c r="A1860" t="s">
        <v>5399</v>
      </c>
      <c r="B1860" t="s">
        <v>5400</v>
      </c>
      <c r="C1860" t="s">
        <v>5401</v>
      </c>
      <c r="D1860" t="s">
        <v>15</v>
      </c>
      <c r="E1860" t="s">
        <v>54</v>
      </c>
      <c r="F1860" t="s">
        <v>36</v>
      </c>
      <c r="G1860" t="s">
        <v>105</v>
      </c>
      <c r="H1860" t="s">
        <v>19</v>
      </c>
      <c r="I1860">
        <v>5</v>
      </c>
      <c r="J1860">
        <v>8</v>
      </c>
      <c r="K1860">
        <v>4.18</v>
      </c>
      <c r="L1860">
        <v>1</v>
      </c>
    </row>
    <row r="1861" spans="1:12">
      <c r="A1861" t="s">
        <v>5402</v>
      </c>
      <c r="B1861" t="s">
        <v>5403</v>
      </c>
      <c r="C1861" t="s">
        <v>5404</v>
      </c>
      <c r="D1861" t="s">
        <v>23</v>
      </c>
      <c r="E1861" t="s">
        <v>16</v>
      </c>
      <c r="F1861" t="s">
        <v>17</v>
      </c>
      <c r="G1861" t="s">
        <v>55</v>
      </c>
      <c r="H1861" t="s">
        <v>19</v>
      </c>
      <c r="I1861">
        <v>5</v>
      </c>
      <c r="J1861">
        <v>24</v>
      </c>
      <c r="K1861">
        <v>4.8499999999999996</v>
      </c>
      <c r="L1861">
        <v>1</v>
      </c>
    </row>
    <row r="1862" spans="1:12">
      <c r="A1862" t="s">
        <v>5405</v>
      </c>
      <c r="B1862" t="s">
        <v>5406</v>
      </c>
      <c r="C1862" t="s">
        <v>5407</v>
      </c>
      <c r="D1862" t="s">
        <v>23</v>
      </c>
      <c r="E1862" t="s">
        <v>24</v>
      </c>
      <c r="F1862" t="s">
        <v>17</v>
      </c>
      <c r="G1862" t="s">
        <v>105</v>
      </c>
      <c r="H1862" t="s">
        <v>19</v>
      </c>
      <c r="I1862">
        <v>5</v>
      </c>
      <c r="J1862">
        <v>24</v>
      </c>
      <c r="K1862">
        <v>10.45</v>
      </c>
      <c r="L1862">
        <v>1</v>
      </c>
    </row>
    <row r="1863" spans="1:12">
      <c r="A1863" t="s">
        <v>5408</v>
      </c>
      <c r="B1863" t="s">
        <v>5409</v>
      </c>
      <c r="C1863" t="s">
        <v>5410</v>
      </c>
      <c r="D1863" t="s">
        <v>35</v>
      </c>
      <c r="E1863" t="s">
        <v>54</v>
      </c>
      <c r="F1863" t="s">
        <v>17</v>
      </c>
      <c r="G1863" t="s">
        <v>105</v>
      </c>
      <c r="H1863" t="s">
        <v>19</v>
      </c>
      <c r="I1863">
        <v>4</v>
      </c>
      <c r="J1863">
        <v>48</v>
      </c>
      <c r="K1863">
        <v>21.66</v>
      </c>
      <c r="L1863">
        <v>1</v>
      </c>
    </row>
    <row r="1864" spans="1:12">
      <c r="A1864" t="s">
        <v>5411</v>
      </c>
      <c r="B1864" t="s">
        <v>5412</v>
      </c>
      <c r="C1864" t="s">
        <v>5413</v>
      </c>
      <c r="D1864" t="s">
        <v>15</v>
      </c>
      <c r="E1864" t="s">
        <v>16</v>
      </c>
      <c r="F1864" t="s">
        <v>36</v>
      </c>
      <c r="G1864" t="s">
        <v>172</v>
      </c>
      <c r="H1864" t="s">
        <v>19</v>
      </c>
      <c r="I1864">
        <v>5</v>
      </c>
      <c r="J1864">
        <v>8</v>
      </c>
      <c r="K1864">
        <v>5.28</v>
      </c>
      <c r="L1864">
        <v>1</v>
      </c>
    </row>
    <row r="1865" spans="1:12">
      <c r="A1865" t="s">
        <v>5414</v>
      </c>
      <c r="B1865" t="s">
        <v>5415</v>
      </c>
      <c r="C1865" t="s">
        <v>5416</v>
      </c>
      <c r="D1865" t="s">
        <v>23</v>
      </c>
      <c r="E1865" t="s">
        <v>16</v>
      </c>
      <c r="F1865" t="s">
        <v>17</v>
      </c>
      <c r="G1865" t="s">
        <v>18</v>
      </c>
      <c r="H1865" t="s">
        <v>19</v>
      </c>
      <c r="I1865">
        <v>5</v>
      </c>
      <c r="J1865">
        <v>24</v>
      </c>
      <c r="K1865">
        <v>15.98</v>
      </c>
      <c r="L1865">
        <v>1</v>
      </c>
    </row>
    <row r="1866" spans="1:12">
      <c r="A1866" t="s">
        <v>5417</v>
      </c>
      <c r="B1866" t="s">
        <v>5418</v>
      </c>
      <c r="C1866" t="s">
        <v>5419</v>
      </c>
      <c r="D1866" t="s">
        <v>23</v>
      </c>
      <c r="E1866" t="s">
        <v>59</v>
      </c>
      <c r="F1866" t="s">
        <v>41</v>
      </c>
      <c r="G1866" t="s">
        <v>30</v>
      </c>
      <c r="H1866" t="s">
        <v>19</v>
      </c>
      <c r="I1866">
        <v>5</v>
      </c>
      <c r="J1866">
        <v>24</v>
      </c>
      <c r="K1866">
        <v>5.64</v>
      </c>
      <c r="L1866">
        <v>1</v>
      </c>
    </row>
    <row r="1867" spans="1:12">
      <c r="A1867" t="s">
        <v>5420</v>
      </c>
      <c r="B1867" t="s">
        <v>5421</v>
      </c>
      <c r="C1867" t="s">
        <v>5422</v>
      </c>
      <c r="D1867" t="s">
        <v>158</v>
      </c>
      <c r="E1867" t="s">
        <v>28</v>
      </c>
      <c r="F1867" t="s">
        <v>29</v>
      </c>
      <c r="G1867" t="s">
        <v>18</v>
      </c>
      <c r="H1867" t="s">
        <v>19</v>
      </c>
      <c r="I1867">
        <v>1</v>
      </c>
      <c r="J1867">
        <v>4</v>
      </c>
      <c r="K1867">
        <v>5.3</v>
      </c>
      <c r="L1867">
        <v>0</v>
      </c>
    </row>
    <row r="1868" spans="1:12">
      <c r="A1868" t="s">
        <v>5423</v>
      </c>
      <c r="B1868" t="s">
        <v>5424</v>
      </c>
      <c r="C1868" t="s">
        <v>5425</v>
      </c>
      <c r="D1868" t="s">
        <v>23</v>
      </c>
      <c r="E1868" t="s">
        <v>28</v>
      </c>
      <c r="F1868" t="s">
        <v>60</v>
      </c>
      <c r="G1868" t="s">
        <v>42</v>
      </c>
      <c r="H1868" t="s">
        <v>31</v>
      </c>
      <c r="I1868">
        <v>4</v>
      </c>
      <c r="J1868">
        <v>24</v>
      </c>
      <c r="K1868">
        <v>15.54</v>
      </c>
      <c r="L1868">
        <v>1</v>
      </c>
    </row>
    <row r="1869" spans="1:12">
      <c r="A1869" t="s">
        <v>5426</v>
      </c>
      <c r="B1869" t="s">
        <v>5427</v>
      </c>
      <c r="C1869" t="s">
        <v>5428</v>
      </c>
      <c r="D1869" t="s">
        <v>35</v>
      </c>
      <c r="E1869" t="s">
        <v>16</v>
      </c>
      <c r="F1869" t="s">
        <v>41</v>
      </c>
      <c r="G1869" t="s">
        <v>45</v>
      </c>
      <c r="H1869" t="s">
        <v>19</v>
      </c>
      <c r="I1869">
        <v>3</v>
      </c>
      <c r="J1869">
        <v>48</v>
      </c>
      <c r="K1869">
        <v>41.72</v>
      </c>
      <c r="L1869">
        <v>1</v>
      </c>
    </row>
    <row r="1870" spans="1:12">
      <c r="A1870" t="s">
        <v>5429</v>
      </c>
      <c r="B1870" t="s">
        <v>5430</v>
      </c>
      <c r="C1870" t="s">
        <v>5431</v>
      </c>
      <c r="D1870" t="s">
        <v>23</v>
      </c>
      <c r="E1870" t="s">
        <v>28</v>
      </c>
      <c r="F1870" t="s">
        <v>60</v>
      </c>
      <c r="G1870" t="s">
        <v>77</v>
      </c>
      <c r="H1870" t="s">
        <v>31</v>
      </c>
      <c r="I1870">
        <v>4</v>
      </c>
      <c r="J1870">
        <v>24</v>
      </c>
      <c r="K1870">
        <v>7.86</v>
      </c>
      <c r="L1870">
        <v>1</v>
      </c>
    </row>
    <row r="1871" spans="1:12">
      <c r="A1871" t="s">
        <v>5432</v>
      </c>
      <c r="B1871" t="s">
        <v>5433</v>
      </c>
      <c r="C1871" t="s">
        <v>5434</v>
      </c>
      <c r="D1871" t="s">
        <v>23</v>
      </c>
      <c r="E1871" t="s">
        <v>28</v>
      </c>
      <c r="F1871" t="s">
        <v>60</v>
      </c>
      <c r="G1871" t="s">
        <v>45</v>
      </c>
      <c r="H1871" t="s">
        <v>31</v>
      </c>
      <c r="I1871">
        <v>5</v>
      </c>
      <c r="J1871">
        <v>24</v>
      </c>
      <c r="K1871">
        <v>13.97</v>
      </c>
      <c r="L1871">
        <v>1</v>
      </c>
    </row>
    <row r="1872" spans="1:12">
      <c r="A1872" t="s">
        <v>5435</v>
      </c>
      <c r="B1872" t="s">
        <v>5436</v>
      </c>
      <c r="D1872" t="s">
        <v>35</v>
      </c>
      <c r="E1872" t="s">
        <v>28</v>
      </c>
      <c r="F1872" t="s">
        <v>17</v>
      </c>
      <c r="G1872" t="s">
        <v>151</v>
      </c>
      <c r="H1872" t="s">
        <v>63</v>
      </c>
      <c r="J1872">
        <v>48</v>
      </c>
    </row>
    <row r="1873" spans="1:12">
      <c r="A1873" t="s">
        <v>5437</v>
      </c>
      <c r="B1873" t="s">
        <v>5438</v>
      </c>
      <c r="C1873" t="s">
        <v>5439</v>
      </c>
      <c r="D1873" t="s">
        <v>23</v>
      </c>
      <c r="E1873" t="s">
        <v>16</v>
      </c>
      <c r="F1873" t="s">
        <v>60</v>
      </c>
      <c r="G1873" t="s">
        <v>73</v>
      </c>
      <c r="H1873" t="s">
        <v>31</v>
      </c>
      <c r="I1873">
        <v>4</v>
      </c>
      <c r="J1873">
        <v>24</v>
      </c>
      <c r="K1873">
        <v>25.36</v>
      </c>
      <c r="L1873">
        <v>0</v>
      </c>
    </row>
    <row r="1874" spans="1:12">
      <c r="A1874" t="s">
        <v>5440</v>
      </c>
      <c r="B1874" t="s">
        <v>5441</v>
      </c>
      <c r="C1874" t="s">
        <v>5442</v>
      </c>
      <c r="D1874" t="s">
        <v>23</v>
      </c>
      <c r="E1874" t="s">
        <v>16</v>
      </c>
      <c r="F1874" t="s">
        <v>41</v>
      </c>
      <c r="G1874" t="s">
        <v>55</v>
      </c>
      <c r="H1874" t="s">
        <v>19</v>
      </c>
      <c r="I1874">
        <v>5</v>
      </c>
      <c r="J1874">
        <v>24</v>
      </c>
      <c r="K1874">
        <v>6.22</v>
      </c>
      <c r="L1874">
        <v>1</v>
      </c>
    </row>
    <row r="1875" spans="1:12">
      <c r="A1875" t="s">
        <v>5443</v>
      </c>
      <c r="B1875" t="s">
        <v>5444</v>
      </c>
      <c r="C1875" t="s">
        <v>5445</v>
      </c>
      <c r="D1875" t="s">
        <v>23</v>
      </c>
      <c r="E1875" t="s">
        <v>28</v>
      </c>
      <c r="F1875" t="s">
        <v>29</v>
      </c>
      <c r="G1875" t="s">
        <v>55</v>
      </c>
      <c r="H1875" t="s">
        <v>19</v>
      </c>
      <c r="I1875">
        <v>5</v>
      </c>
      <c r="J1875">
        <v>24</v>
      </c>
      <c r="K1875">
        <v>19.57</v>
      </c>
      <c r="L1875">
        <v>1</v>
      </c>
    </row>
    <row r="1876" spans="1:12">
      <c r="A1876" t="s">
        <v>5446</v>
      </c>
      <c r="B1876" t="s">
        <v>5447</v>
      </c>
      <c r="C1876" t="s">
        <v>5448</v>
      </c>
      <c r="D1876" t="s">
        <v>23</v>
      </c>
      <c r="E1876" t="s">
        <v>28</v>
      </c>
      <c r="F1876" t="s">
        <v>60</v>
      </c>
      <c r="G1876" t="s">
        <v>18</v>
      </c>
      <c r="H1876" t="s">
        <v>31</v>
      </c>
      <c r="I1876">
        <v>4</v>
      </c>
      <c r="J1876">
        <v>24</v>
      </c>
      <c r="K1876">
        <v>19.899999999999999</v>
      </c>
      <c r="L1876">
        <v>1</v>
      </c>
    </row>
    <row r="1877" spans="1:12">
      <c r="A1877" t="s">
        <v>5449</v>
      </c>
      <c r="B1877" t="s">
        <v>5450</v>
      </c>
      <c r="D1877" t="s">
        <v>15</v>
      </c>
      <c r="E1877" t="s">
        <v>28</v>
      </c>
      <c r="F1877" t="s">
        <v>17</v>
      </c>
      <c r="G1877" t="s">
        <v>37</v>
      </c>
      <c r="H1877" t="s">
        <v>63</v>
      </c>
      <c r="J1877">
        <v>8</v>
      </c>
    </row>
    <row r="1878" spans="1:12">
      <c r="A1878" t="s">
        <v>5451</v>
      </c>
      <c r="B1878" t="s">
        <v>5452</v>
      </c>
      <c r="C1878" t="s">
        <v>5453</v>
      </c>
      <c r="D1878" t="s">
        <v>23</v>
      </c>
      <c r="E1878" t="s">
        <v>24</v>
      </c>
      <c r="F1878" t="s">
        <v>17</v>
      </c>
      <c r="G1878" t="s">
        <v>18</v>
      </c>
      <c r="H1878" t="s">
        <v>19</v>
      </c>
      <c r="I1878">
        <v>5</v>
      </c>
      <c r="J1878">
        <v>24</v>
      </c>
      <c r="K1878">
        <v>11.93</v>
      </c>
      <c r="L1878">
        <v>1</v>
      </c>
    </row>
    <row r="1879" spans="1:12">
      <c r="A1879" t="s">
        <v>5454</v>
      </c>
      <c r="B1879" t="s">
        <v>5455</v>
      </c>
      <c r="C1879" t="s">
        <v>5456</v>
      </c>
      <c r="D1879" t="s">
        <v>158</v>
      </c>
      <c r="E1879" t="s">
        <v>54</v>
      </c>
      <c r="F1879" t="s">
        <v>60</v>
      </c>
      <c r="G1879" t="s">
        <v>50</v>
      </c>
      <c r="H1879" t="s">
        <v>31</v>
      </c>
      <c r="I1879">
        <v>4</v>
      </c>
      <c r="J1879">
        <v>4</v>
      </c>
      <c r="K1879">
        <v>1.1299999999999999</v>
      </c>
      <c r="L1879">
        <v>1</v>
      </c>
    </row>
    <row r="1880" spans="1:12">
      <c r="A1880" t="s">
        <v>5457</v>
      </c>
      <c r="B1880" t="s">
        <v>5458</v>
      </c>
      <c r="D1880" t="s">
        <v>15</v>
      </c>
      <c r="E1880" t="s">
        <v>59</v>
      </c>
      <c r="F1880" t="s">
        <v>41</v>
      </c>
      <c r="G1880" t="s">
        <v>42</v>
      </c>
      <c r="H1880" t="s">
        <v>46</v>
      </c>
      <c r="J1880">
        <v>8</v>
      </c>
    </row>
    <row r="1881" spans="1:12">
      <c r="A1881" t="s">
        <v>5459</v>
      </c>
      <c r="B1881" t="s">
        <v>5460</v>
      </c>
      <c r="C1881" t="s">
        <v>5461</v>
      </c>
      <c r="D1881" t="s">
        <v>23</v>
      </c>
      <c r="E1881" t="s">
        <v>28</v>
      </c>
      <c r="F1881" t="s">
        <v>17</v>
      </c>
      <c r="G1881" t="s">
        <v>42</v>
      </c>
      <c r="H1881" t="s">
        <v>19</v>
      </c>
      <c r="I1881">
        <v>5</v>
      </c>
      <c r="J1881">
        <v>24</v>
      </c>
      <c r="K1881">
        <v>4.82</v>
      </c>
      <c r="L1881">
        <v>1</v>
      </c>
    </row>
    <row r="1882" spans="1:12">
      <c r="A1882" t="s">
        <v>5462</v>
      </c>
      <c r="B1882" t="s">
        <v>5463</v>
      </c>
      <c r="C1882" t="s">
        <v>5464</v>
      </c>
      <c r="D1882" t="s">
        <v>23</v>
      </c>
      <c r="E1882" t="s">
        <v>16</v>
      </c>
      <c r="F1882" t="s">
        <v>17</v>
      </c>
      <c r="G1882" t="s">
        <v>30</v>
      </c>
      <c r="H1882" t="s">
        <v>19</v>
      </c>
      <c r="I1882">
        <v>5</v>
      </c>
      <c r="J1882">
        <v>24</v>
      </c>
      <c r="K1882">
        <v>5.81</v>
      </c>
      <c r="L1882">
        <v>1</v>
      </c>
    </row>
    <row r="1883" spans="1:12">
      <c r="A1883" t="s">
        <v>5465</v>
      </c>
      <c r="B1883" t="s">
        <v>5466</v>
      </c>
      <c r="C1883" t="s">
        <v>5467</v>
      </c>
      <c r="D1883" t="s">
        <v>158</v>
      </c>
      <c r="E1883" t="s">
        <v>16</v>
      </c>
      <c r="F1883" t="s">
        <v>17</v>
      </c>
      <c r="G1883" t="s">
        <v>37</v>
      </c>
      <c r="H1883" t="s">
        <v>31</v>
      </c>
      <c r="I1883">
        <v>4</v>
      </c>
      <c r="J1883">
        <v>4</v>
      </c>
      <c r="K1883">
        <v>2.11</v>
      </c>
      <c r="L1883">
        <v>1</v>
      </c>
    </row>
    <row r="1884" spans="1:12">
      <c r="A1884" t="s">
        <v>5468</v>
      </c>
      <c r="B1884" t="s">
        <v>5469</v>
      </c>
      <c r="C1884" t="s">
        <v>5470</v>
      </c>
      <c r="D1884" t="s">
        <v>15</v>
      </c>
      <c r="E1884" t="s">
        <v>28</v>
      </c>
      <c r="F1884" t="s">
        <v>29</v>
      </c>
      <c r="G1884" t="s">
        <v>172</v>
      </c>
      <c r="H1884" t="s">
        <v>31</v>
      </c>
      <c r="I1884">
        <v>5</v>
      </c>
      <c r="J1884">
        <v>8</v>
      </c>
      <c r="K1884">
        <v>1.92</v>
      </c>
      <c r="L1884">
        <v>1</v>
      </c>
    </row>
    <row r="1885" spans="1:12">
      <c r="A1885" t="s">
        <v>5471</v>
      </c>
      <c r="B1885" t="s">
        <v>5472</v>
      </c>
      <c r="C1885" t="s">
        <v>5473</v>
      </c>
      <c r="D1885" t="s">
        <v>23</v>
      </c>
      <c r="E1885" t="s">
        <v>54</v>
      </c>
      <c r="F1885" t="s">
        <v>17</v>
      </c>
      <c r="G1885" t="s">
        <v>73</v>
      </c>
      <c r="H1885" t="s">
        <v>31</v>
      </c>
      <c r="I1885">
        <v>4</v>
      </c>
      <c r="J1885">
        <v>24</v>
      </c>
      <c r="K1885">
        <v>3.32</v>
      </c>
      <c r="L1885">
        <v>1</v>
      </c>
    </row>
    <row r="1886" spans="1:12">
      <c r="A1886" t="s">
        <v>5474</v>
      </c>
      <c r="B1886" t="s">
        <v>5475</v>
      </c>
      <c r="C1886" t="s">
        <v>5476</v>
      </c>
      <c r="D1886" t="s">
        <v>15</v>
      </c>
      <c r="E1886" t="s">
        <v>24</v>
      </c>
      <c r="F1886" t="s">
        <v>41</v>
      </c>
      <c r="G1886" t="s">
        <v>30</v>
      </c>
      <c r="H1886" t="s">
        <v>31</v>
      </c>
      <c r="I1886">
        <v>4</v>
      </c>
      <c r="J1886">
        <v>8</v>
      </c>
      <c r="K1886">
        <v>1.71</v>
      </c>
      <c r="L1886">
        <v>1</v>
      </c>
    </row>
    <row r="1887" spans="1:12">
      <c r="A1887" t="s">
        <v>5477</v>
      </c>
      <c r="B1887" t="s">
        <v>5478</v>
      </c>
      <c r="C1887" t="s">
        <v>5479</v>
      </c>
      <c r="D1887" t="s">
        <v>23</v>
      </c>
      <c r="E1887" t="s">
        <v>28</v>
      </c>
      <c r="F1887" t="s">
        <v>29</v>
      </c>
      <c r="G1887" t="s">
        <v>151</v>
      </c>
      <c r="H1887" t="s">
        <v>19</v>
      </c>
      <c r="I1887">
        <v>4</v>
      </c>
      <c r="J1887">
        <v>24</v>
      </c>
      <c r="K1887">
        <v>19.41</v>
      </c>
      <c r="L1887">
        <v>1</v>
      </c>
    </row>
    <row r="1888" spans="1:12">
      <c r="A1888" t="s">
        <v>5480</v>
      </c>
      <c r="B1888" t="s">
        <v>5481</v>
      </c>
      <c r="C1888" t="s">
        <v>5482</v>
      </c>
      <c r="D1888" t="s">
        <v>158</v>
      </c>
      <c r="E1888" t="s">
        <v>24</v>
      </c>
      <c r="F1888" t="s">
        <v>60</v>
      </c>
      <c r="G1888" t="s">
        <v>73</v>
      </c>
      <c r="H1888" t="s">
        <v>31</v>
      </c>
      <c r="I1888">
        <v>3</v>
      </c>
      <c r="J1888">
        <v>4</v>
      </c>
      <c r="K1888">
        <v>5.05</v>
      </c>
      <c r="L1888">
        <v>0</v>
      </c>
    </row>
    <row r="1889" spans="1:12">
      <c r="A1889" t="s">
        <v>5483</v>
      </c>
      <c r="B1889" t="s">
        <v>5484</v>
      </c>
      <c r="C1889" t="s">
        <v>5485</v>
      </c>
      <c r="D1889" t="s">
        <v>158</v>
      </c>
      <c r="E1889" t="s">
        <v>28</v>
      </c>
      <c r="F1889" t="s">
        <v>41</v>
      </c>
      <c r="G1889" t="s">
        <v>18</v>
      </c>
      <c r="H1889" t="s">
        <v>31</v>
      </c>
      <c r="I1889">
        <v>5</v>
      </c>
      <c r="J1889">
        <v>4</v>
      </c>
      <c r="K1889">
        <v>2.83</v>
      </c>
      <c r="L1889">
        <v>1</v>
      </c>
    </row>
    <row r="1890" spans="1:12">
      <c r="A1890" t="s">
        <v>5486</v>
      </c>
      <c r="B1890" t="s">
        <v>5487</v>
      </c>
      <c r="D1890" t="s">
        <v>23</v>
      </c>
      <c r="E1890" t="s">
        <v>59</v>
      </c>
      <c r="F1890" t="s">
        <v>60</v>
      </c>
      <c r="G1890" t="s">
        <v>55</v>
      </c>
      <c r="H1890" t="s">
        <v>46</v>
      </c>
      <c r="J1890">
        <v>24</v>
      </c>
    </row>
    <row r="1891" spans="1:12">
      <c r="A1891" t="s">
        <v>5488</v>
      </c>
      <c r="B1891" t="s">
        <v>5489</v>
      </c>
      <c r="C1891" t="s">
        <v>5490</v>
      </c>
      <c r="D1891" t="s">
        <v>23</v>
      </c>
      <c r="E1891" t="s">
        <v>16</v>
      </c>
      <c r="F1891" t="s">
        <v>60</v>
      </c>
      <c r="G1891" t="s">
        <v>77</v>
      </c>
      <c r="H1891" t="s">
        <v>31</v>
      </c>
      <c r="I1891">
        <v>4</v>
      </c>
      <c r="J1891">
        <v>24</v>
      </c>
      <c r="K1891">
        <v>11.56</v>
      </c>
      <c r="L1891">
        <v>1</v>
      </c>
    </row>
    <row r="1892" spans="1:12">
      <c r="A1892" t="s">
        <v>5491</v>
      </c>
      <c r="B1892" t="s">
        <v>5492</v>
      </c>
      <c r="C1892" t="s">
        <v>5493</v>
      </c>
      <c r="D1892" t="s">
        <v>23</v>
      </c>
      <c r="E1892" t="s">
        <v>28</v>
      </c>
      <c r="F1892" t="s">
        <v>29</v>
      </c>
      <c r="G1892" t="s">
        <v>55</v>
      </c>
      <c r="H1892" t="s">
        <v>19</v>
      </c>
      <c r="I1892">
        <v>3</v>
      </c>
      <c r="J1892">
        <v>24</v>
      </c>
      <c r="K1892">
        <v>18.14</v>
      </c>
      <c r="L1892">
        <v>1</v>
      </c>
    </row>
    <row r="1893" spans="1:12">
      <c r="A1893" t="s">
        <v>5494</v>
      </c>
      <c r="B1893" t="s">
        <v>5495</v>
      </c>
      <c r="C1893" t="s">
        <v>5496</v>
      </c>
      <c r="D1893" t="s">
        <v>15</v>
      </c>
      <c r="E1893" t="s">
        <v>16</v>
      </c>
      <c r="F1893" t="s">
        <v>41</v>
      </c>
      <c r="G1893" t="s">
        <v>42</v>
      </c>
      <c r="H1893" t="s">
        <v>31</v>
      </c>
      <c r="I1893">
        <v>5</v>
      </c>
      <c r="J1893">
        <v>8</v>
      </c>
      <c r="K1893">
        <v>5.52</v>
      </c>
      <c r="L1893">
        <v>1</v>
      </c>
    </row>
    <row r="1894" spans="1:12">
      <c r="A1894" t="s">
        <v>5497</v>
      </c>
      <c r="B1894" t="s">
        <v>5498</v>
      </c>
      <c r="C1894" t="s">
        <v>5499</v>
      </c>
      <c r="D1894" t="s">
        <v>23</v>
      </c>
      <c r="E1894" t="s">
        <v>28</v>
      </c>
      <c r="F1894" t="s">
        <v>36</v>
      </c>
      <c r="G1894" t="s">
        <v>77</v>
      </c>
      <c r="H1894" t="s">
        <v>19</v>
      </c>
      <c r="I1894">
        <v>3</v>
      </c>
      <c r="J1894">
        <v>24</v>
      </c>
      <c r="K1894">
        <v>52.37</v>
      </c>
      <c r="L1894">
        <v>0</v>
      </c>
    </row>
    <row r="1895" spans="1:12">
      <c r="A1895" t="s">
        <v>5500</v>
      </c>
      <c r="B1895" t="s">
        <v>5501</v>
      </c>
      <c r="C1895" t="s">
        <v>5502</v>
      </c>
      <c r="D1895" t="s">
        <v>158</v>
      </c>
      <c r="E1895" t="s">
        <v>24</v>
      </c>
      <c r="F1895" t="s">
        <v>17</v>
      </c>
      <c r="G1895" t="s">
        <v>73</v>
      </c>
      <c r="H1895" t="s">
        <v>19</v>
      </c>
      <c r="I1895">
        <v>5</v>
      </c>
      <c r="J1895">
        <v>4</v>
      </c>
      <c r="K1895">
        <v>3.32</v>
      </c>
      <c r="L1895">
        <v>1</v>
      </c>
    </row>
    <row r="1896" spans="1:12">
      <c r="A1896" t="s">
        <v>5503</v>
      </c>
      <c r="B1896" t="s">
        <v>5504</v>
      </c>
      <c r="C1896" t="s">
        <v>5505</v>
      </c>
      <c r="D1896" t="s">
        <v>15</v>
      </c>
      <c r="E1896" t="s">
        <v>54</v>
      </c>
      <c r="F1896" t="s">
        <v>29</v>
      </c>
      <c r="G1896" t="s">
        <v>77</v>
      </c>
      <c r="H1896" t="s">
        <v>19</v>
      </c>
      <c r="I1896">
        <v>4</v>
      </c>
      <c r="J1896">
        <v>8</v>
      </c>
      <c r="K1896">
        <v>3.06</v>
      </c>
      <c r="L1896">
        <v>1</v>
      </c>
    </row>
    <row r="1897" spans="1:12">
      <c r="A1897" t="s">
        <v>5506</v>
      </c>
      <c r="B1897" t="s">
        <v>5507</v>
      </c>
      <c r="C1897" t="s">
        <v>5508</v>
      </c>
      <c r="D1897" t="s">
        <v>158</v>
      </c>
      <c r="E1897" t="s">
        <v>28</v>
      </c>
      <c r="F1897" t="s">
        <v>17</v>
      </c>
      <c r="G1897" t="s">
        <v>73</v>
      </c>
      <c r="H1897" t="s">
        <v>31</v>
      </c>
      <c r="I1897">
        <v>5</v>
      </c>
      <c r="J1897">
        <v>4</v>
      </c>
      <c r="K1897">
        <v>2.56</v>
      </c>
      <c r="L1897">
        <v>1</v>
      </c>
    </row>
    <row r="1898" spans="1:12">
      <c r="A1898" t="s">
        <v>5509</v>
      </c>
      <c r="B1898" t="s">
        <v>5510</v>
      </c>
      <c r="C1898" t="s">
        <v>5511</v>
      </c>
      <c r="D1898" t="s">
        <v>23</v>
      </c>
      <c r="E1898" t="s">
        <v>28</v>
      </c>
      <c r="F1898" t="s">
        <v>60</v>
      </c>
      <c r="G1898" t="s">
        <v>42</v>
      </c>
      <c r="H1898" t="s">
        <v>31</v>
      </c>
      <c r="I1898">
        <v>4</v>
      </c>
      <c r="J1898">
        <v>24</v>
      </c>
      <c r="K1898">
        <v>5.76</v>
      </c>
      <c r="L1898">
        <v>1</v>
      </c>
    </row>
    <row r="1899" spans="1:12">
      <c r="A1899" t="s">
        <v>5512</v>
      </c>
      <c r="B1899" t="s">
        <v>5513</v>
      </c>
      <c r="C1899" t="s">
        <v>5514</v>
      </c>
      <c r="D1899" t="s">
        <v>15</v>
      </c>
      <c r="E1899" t="s">
        <v>24</v>
      </c>
      <c r="F1899" t="s">
        <v>36</v>
      </c>
      <c r="G1899" t="s">
        <v>30</v>
      </c>
      <c r="H1899" t="s">
        <v>31</v>
      </c>
      <c r="I1899">
        <v>5</v>
      </c>
      <c r="J1899">
        <v>8</v>
      </c>
      <c r="K1899">
        <v>6.67</v>
      </c>
      <c r="L1899">
        <v>1</v>
      </c>
    </row>
    <row r="1900" spans="1:12">
      <c r="A1900" t="s">
        <v>5515</v>
      </c>
      <c r="B1900" t="s">
        <v>5516</v>
      </c>
      <c r="C1900" t="s">
        <v>5517</v>
      </c>
      <c r="D1900" t="s">
        <v>15</v>
      </c>
      <c r="E1900" t="s">
        <v>16</v>
      </c>
      <c r="F1900" t="s">
        <v>60</v>
      </c>
      <c r="G1900" t="s">
        <v>42</v>
      </c>
      <c r="H1900" t="s">
        <v>19</v>
      </c>
      <c r="I1900">
        <v>3</v>
      </c>
      <c r="J1900">
        <v>8</v>
      </c>
      <c r="K1900">
        <v>7.28</v>
      </c>
      <c r="L1900">
        <v>1</v>
      </c>
    </row>
    <row r="1901" spans="1:12">
      <c r="A1901" t="s">
        <v>5518</v>
      </c>
      <c r="B1901" t="s">
        <v>5519</v>
      </c>
      <c r="C1901" t="s">
        <v>5520</v>
      </c>
      <c r="D1901" t="s">
        <v>35</v>
      </c>
      <c r="E1901" t="s">
        <v>54</v>
      </c>
      <c r="F1901" t="s">
        <v>36</v>
      </c>
      <c r="G1901" t="s">
        <v>151</v>
      </c>
      <c r="H1901" t="s">
        <v>31</v>
      </c>
      <c r="I1901">
        <v>5</v>
      </c>
      <c r="J1901">
        <v>48</v>
      </c>
      <c r="K1901">
        <v>34.14</v>
      </c>
      <c r="L1901">
        <v>1</v>
      </c>
    </row>
    <row r="1902" spans="1:12">
      <c r="A1902" t="s">
        <v>5521</v>
      </c>
      <c r="B1902" t="s">
        <v>5522</v>
      </c>
      <c r="C1902" t="s">
        <v>5523</v>
      </c>
      <c r="D1902" t="s">
        <v>23</v>
      </c>
      <c r="E1902" t="s">
        <v>24</v>
      </c>
      <c r="F1902" t="s">
        <v>60</v>
      </c>
      <c r="G1902" t="s">
        <v>151</v>
      </c>
      <c r="H1902" t="s">
        <v>19</v>
      </c>
      <c r="I1902">
        <v>5</v>
      </c>
      <c r="J1902">
        <v>24</v>
      </c>
      <c r="K1902">
        <v>5.65</v>
      </c>
      <c r="L1902">
        <v>1</v>
      </c>
    </row>
    <row r="1903" spans="1:12">
      <c r="A1903" t="s">
        <v>5524</v>
      </c>
      <c r="B1903" t="s">
        <v>5525</v>
      </c>
      <c r="C1903" t="s">
        <v>5526</v>
      </c>
      <c r="D1903" t="s">
        <v>23</v>
      </c>
      <c r="E1903" t="s">
        <v>54</v>
      </c>
      <c r="F1903" t="s">
        <v>41</v>
      </c>
      <c r="G1903" t="s">
        <v>45</v>
      </c>
      <c r="H1903" t="s">
        <v>19</v>
      </c>
      <c r="I1903">
        <v>1</v>
      </c>
      <c r="J1903">
        <v>24</v>
      </c>
      <c r="K1903">
        <v>28.78</v>
      </c>
      <c r="L1903">
        <v>0</v>
      </c>
    </row>
    <row r="1904" spans="1:12">
      <c r="A1904" t="s">
        <v>5527</v>
      </c>
      <c r="B1904" t="s">
        <v>5528</v>
      </c>
      <c r="C1904" t="s">
        <v>5529</v>
      </c>
      <c r="D1904" t="s">
        <v>15</v>
      </c>
      <c r="E1904" t="s">
        <v>54</v>
      </c>
      <c r="F1904" t="s">
        <v>36</v>
      </c>
      <c r="G1904" t="s">
        <v>172</v>
      </c>
      <c r="H1904" t="s">
        <v>19</v>
      </c>
      <c r="I1904">
        <v>3</v>
      </c>
      <c r="J1904">
        <v>8</v>
      </c>
      <c r="K1904">
        <v>3.76</v>
      </c>
      <c r="L1904">
        <v>1</v>
      </c>
    </row>
    <row r="1905" spans="1:12">
      <c r="A1905" t="s">
        <v>5530</v>
      </c>
      <c r="B1905" t="s">
        <v>5531</v>
      </c>
      <c r="C1905" t="s">
        <v>5532</v>
      </c>
      <c r="D1905" t="s">
        <v>158</v>
      </c>
      <c r="E1905" t="s">
        <v>54</v>
      </c>
      <c r="F1905" t="s">
        <v>17</v>
      </c>
      <c r="G1905" t="s">
        <v>37</v>
      </c>
      <c r="H1905" t="s">
        <v>19</v>
      </c>
      <c r="I1905">
        <v>5</v>
      </c>
      <c r="J1905">
        <v>4</v>
      </c>
      <c r="K1905">
        <v>1.63</v>
      </c>
      <c r="L1905">
        <v>1</v>
      </c>
    </row>
    <row r="1906" spans="1:12">
      <c r="A1906" t="s">
        <v>5533</v>
      </c>
      <c r="B1906" t="s">
        <v>5534</v>
      </c>
      <c r="C1906" t="s">
        <v>5535</v>
      </c>
      <c r="D1906" t="s">
        <v>15</v>
      </c>
      <c r="E1906" t="s">
        <v>28</v>
      </c>
      <c r="F1906" t="s">
        <v>36</v>
      </c>
      <c r="G1906" t="s">
        <v>18</v>
      </c>
      <c r="H1906" t="s">
        <v>19</v>
      </c>
      <c r="I1906">
        <v>5</v>
      </c>
      <c r="J1906">
        <v>8</v>
      </c>
      <c r="K1906">
        <v>4.28</v>
      </c>
      <c r="L1906">
        <v>1</v>
      </c>
    </row>
    <row r="1907" spans="1:12">
      <c r="A1907" t="s">
        <v>5536</v>
      </c>
      <c r="B1907" t="s">
        <v>5537</v>
      </c>
      <c r="C1907" t="s">
        <v>5538</v>
      </c>
      <c r="D1907" t="s">
        <v>23</v>
      </c>
      <c r="E1907" t="s">
        <v>28</v>
      </c>
      <c r="F1907" t="s">
        <v>17</v>
      </c>
      <c r="G1907" t="s">
        <v>55</v>
      </c>
      <c r="H1907" t="s">
        <v>19</v>
      </c>
      <c r="I1907">
        <v>5</v>
      </c>
      <c r="J1907">
        <v>24</v>
      </c>
      <c r="K1907">
        <v>16.97</v>
      </c>
      <c r="L1907">
        <v>1</v>
      </c>
    </row>
    <row r="1908" spans="1:12">
      <c r="A1908" t="s">
        <v>5539</v>
      </c>
      <c r="B1908" t="s">
        <v>5540</v>
      </c>
      <c r="C1908" t="s">
        <v>5541</v>
      </c>
      <c r="D1908" t="s">
        <v>23</v>
      </c>
      <c r="E1908" t="s">
        <v>28</v>
      </c>
      <c r="F1908" t="s">
        <v>60</v>
      </c>
      <c r="G1908" t="s">
        <v>55</v>
      </c>
      <c r="H1908" t="s">
        <v>31</v>
      </c>
      <c r="I1908">
        <v>3</v>
      </c>
      <c r="J1908">
        <v>24</v>
      </c>
      <c r="K1908">
        <v>18.440000000000001</v>
      </c>
      <c r="L1908">
        <v>1</v>
      </c>
    </row>
    <row r="1909" spans="1:12">
      <c r="A1909" t="s">
        <v>5542</v>
      </c>
      <c r="B1909" t="s">
        <v>5543</v>
      </c>
      <c r="C1909" t="s">
        <v>5544</v>
      </c>
      <c r="D1909" t="s">
        <v>23</v>
      </c>
      <c r="E1909" t="s">
        <v>16</v>
      </c>
      <c r="F1909" t="s">
        <v>60</v>
      </c>
      <c r="G1909" t="s">
        <v>73</v>
      </c>
      <c r="H1909" t="s">
        <v>19</v>
      </c>
      <c r="I1909">
        <v>5</v>
      </c>
      <c r="J1909">
        <v>24</v>
      </c>
      <c r="K1909">
        <v>18.760000000000002</v>
      </c>
      <c r="L1909">
        <v>1</v>
      </c>
    </row>
    <row r="1910" spans="1:12">
      <c r="A1910" t="s">
        <v>5545</v>
      </c>
      <c r="B1910" t="s">
        <v>5546</v>
      </c>
      <c r="D1910" t="s">
        <v>23</v>
      </c>
      <c r="E1910" t="s">
        <v>16</v>
      </c>
      <c r="F1910" t="s">
        <v>36</v>
      </c>
      <c r="G1910" t="s">
        <v>77</v>
      </c>
      <c r="H1910" t="s">
        <v>63</v>
      </c>
      <c r="J1910">
        <v>24</v>
      </c>
    </row>
    <row r="1911" spans="1:12">
      <c r="A1911" t="s">
        <v>5547</v>
      </c>
      <c r="B1911" t="s">
        <v>5548</v>
      </c>
      <c r="C1911" t="s">
        <v>5549</v>
      </c>
      <c r="D1911" t="s">
        <v>158</v>
      </c>
      <c r="E1911" t="s">
        <v>54</v>
      </c>
      <c r="F1911" t="s">
        <v>29</v>
      </c>
      <c r="G1911" t="s">
        <v>151</v>
      </c>
      <c r="H1911" t="s">
        <v>19</v>
      </c>
      <c r="I1911">
        <v>4</v>
      </c>
      <c r="J1911">
        <v>4</v>
      </c>
      <c r="K1911">
        <v>8.09</v>
      </c>
      <c r="L1911">
        <v>0</v>
      </c>
    </row>
    <row r="1912" spans="1:12">
      <c r="A1912" t="s">
        <v>5550</v>
      </c>
      <c r="B1912" t="s">
        <v>5551</v>
      </c>
      <c r="C1912" t="s">
        <v>5552</v>
      </c>
      <c r="D1912" t="s">
        <v>15</v>
      </c>
      <c r="E1912" t="s">
        <v>16</v>
      </c>
      <c r="F1912" t="s">
        <v>17</v>
      </c>
      <c r="G1912" t="s">
        <v>77</v>
      </c>
      <c r="H1912" t="s">
        <v>31</v>
      </c>
      <c r="I1912">
        <v>5</v>
      </c>
      <c r="J1912">
        <v>8</v>
      </c>
      <c r="K1912">
        <v>2.4500000000000002</v>
      </c>
      <c r="L1912">
        <v>1</v>
      </c>
    </row>
    <row r="1913" spans="1:12">
      <c r="A1913" t="s">
        <v>5553</v>
      </c>
      <c r="B1913" t="s">
        <v>5554</v>
      </c>
      <c r="C1913" t="s">
        <v>5555</v>
      </c>
      <c r="D1913" t="s">
        <v>23</v>
      </c>
      <c r="E1913" t="s">
        <v>54</v>
      </c>
      <c r="F1913" t="s">
        <v>29</v>
      </c>
      <c r="G1913" t="s">
        <v>105</v>
      </c>
      <c r="H1913" t="s">
        <v>19</v>
      </c>
      <c r="I1913">
        <v>5</v>
      </c>
      <c r="J1913">
        <v>24</v>
      </c>
      <c r="K1913">
        <v>16.059999999999999</v>
      </c>
      <c r="L1913">
        <v>1</v>
      </c>
    </row>
    <row r="1914" spans="1:12">
      <c r="A1914" t="s">
        <v>5556</v>
      </c>
      <c r="B1914" t="s">
        <v>5557</v>
      </c>
      <c r="C1914" t="s">
        <v>5558</v>
      </c>
      <c r="D1914" t="s">
        <v>15</v>
      </c>
      <c r="E1914" t="s">
        <v>24</v>
      </c>
      <c r="F1914" t="s">
        <v>41</v>
      </c>
      <c r="G1914" t="s">
        <v>105</v>
      </c>
      <c r="H1914" t="s">
        <v>19</v>
      </c>
      <c r="I1914">
        <v>4</v>
      </c>
      <c r="J1914">
        <v>8</v>
      </c>
      <c r="K1914">
        <v>6.55</v>
      </c>
      <c r="L1914">
        <v>1</v>
      </c>
    </row>
    <row r="1915" spans="1:12">
      <c r="A1915" t="s">
        <v>5559</v>
      </c>
      <c r="B1915" t="s">
        <v>5560</v>
      </c>
      <c r="C1915" t="s">
        <v>5561</v>
      </c>
      <c r="D1915" t="s">
        <v>15</v>
      </c>
      <c r="E1915" t="s">
        <v>16</v>
      </c>
      <c r="F1915" t="s">
        <v>36</v>
      </c>
      <c r="G1915" t="s">
        <v>50</v>
      </c>
      <c r="H1915" t="s">
        <v>31</v>
      </c>
      <c r="I1915">
        <v>4</v>
      </c>
      <c r="J1915">
        <v>8</v>
      </c>
      <c r="K1915">
        <v>12.95</v>
      </c>
      <c r="L1915">
        <v>0</v>
      </c>
    </row>
    <row r="1916" spans="1:12">
      <c r="A1916" t="s">
        <v>5562</v>
      </c>
      <c r="B1916" t="s">
        <v>5563</v>
      </c>
      <c r="C1916" t="s">
        <v>5564</v>
      </c>
      <c r="D1916" t="s">
        <v>15</v>
      </c>
      <c r="E1916" t="s">
        <v>59</v>
      </c>
      <c r="F1916" t="s">
        <v>29</v>
      </c>
      <c r="G1916" t="s">
        <v>45</v>
      </c>
      <c r="H1916" t="s">
        <v>31</v>
      </c>
      <c r="I1916">
        <v>4</v>
      </c>
      <c r="J1916">
        <v>8</v>
      </c>
      <c r="K1916">
        <v>3.54</v>
      </c>
      <c r="L1916">
        <v>1</v>
      </c>
    </row>
    <row r="1917" spans="1:12">
      <c r="A1917" t="s">
        <v>5565</v>
      </c>
      <c r="B1917" t="s">
        <v>5566</v>
      </c>
      <c r="C1917" t="s">
        <v>5567</v>
      </c>
      <c r="D1917" t="s">
        <v>23</v>
      </c>
      <c r="E1917" t="s">
        <v>28</v>
      </c>
      <c r="F1917" t="s">
        <v>17</v>
      </c>
      <c r="G1917" t="s">
        <v>45</v>
      </c>
      <c r="H1917" t="s">
        <v>19</v>
      </c>
      <c r="I1917">
        <v>2</v>
      </c>
      <c r="J1917">
        <v>24</v>
      </c>
      <c r="K1917">
        <v>59.33</v>
      </c>
      <c r="L1917">
        <v>0</v>
      </c>
    </row>
    <row r="1918" spans="1:12">
      <c r="A1918" t="s">
        <v>5568</v>
      </c>
      <c r="B1918" t="s">
        <v>5569</v>
      </c>
      <c r="C1918" t="s">
        <v>5570</v>
      </c>
      <c r="D1918" t="s">
        <v>23</v>
      </c>
      <c r="E1918" t="s">
        <v>28</v>
      </c>
      <c r="F1918" t="s">
        <v>29</v>
      </c>
      <c r="G1918" t="s">
        <v>45</v>
      </c>
      <c r="H1918" t="s">
        <v>19</v>
      </c>
      <c r="I1918">
        <v>4</v>
      </c>
      <c r="J1918">
        <v>24</v>
      </c>
      <c r="K1918">
        <v>50.02</v>
      </c>
      <c r="L1918">
        <v>0</v>
      </c>
    </row>
    <row r="1919" spans="1:12">
      <c r="A1919" t="s">
        <v>5571</v>
      </c>
      <c r="B1919" t="s">
        <v>5572</v>
      </c>
      <c r="C1919" t="s">
        <v>5573</v>
      </c>
      <c r="D1919" t="s">
        <v>23</v>
      </c>
      <c r="E1919" t="s">
        <v>16</v>
      </c>
      <c r="F1919" t="s">
        <v>29</v>
      </c>
      <c r="G1919" t="s">
        <v>18</v>
      </c>
      <c r="H1919" t="s">
        <v>31</v>
      </c>
      <c r="I1919">
        <v>5</v>
      </c>
      <c r="J1919">
        <v>24</v>
      </c>
      <c r="K1919">
        <v>6.04</v>
      </c>
      <c r="L1919">
        <v>1</v>
      </c>
    </row>
    <row r="1920" spans="1:12">
      <c r="A1920" t="s">
        <v>5574</v>
      </c>
      <c r="B1920" t="s">
        <v>5575</v>
      </c>
      <c r="C1920" t="s">
        <v>5576</v>
      </c>
      <c r="D1920" t="s">
        <v>23</v>
      </c>
      <c r="E1920" t="s">
        <v>24</v>
      </c>
      <c r="F1920" t="s">
        <v>60</v>
      </c>
      <c r="G1920" t="s">
        <v>105</v>
      </c>
      <c r="H1920" t="s">
        <v>19</v>
      </c>
      <c r="I1920">
        <v>5</v>
      </c>
      <c r="J1920">
        <v>24</v>
      </c>
      <c r="K1920">
        <v>3.17</v>
      </c>
      <c r="L1920">
        <v>1</v>
      </c>
    </row>
    <row r="1921" spans="1:12">
      <c r="A1921" t="s">
        <v>5577</v>
      </c>
      <c r="B1921" t="s">
        <v>5578</v>
      </c>
      <c r="C1921" t="s">
        <v>5579</v>
      </c>
      <c r="D1921" t="s">
        <v>35</v>
      </c>
      <c r="E1921" t="s">
        <v>28</v>
      </c>
      <c r="F1921" t="s">
        <v>17</v>
      </c>
      <c r="G1921" t="s">
        <v>18</v>
      </c>
      <c r="H1921" t="s">
        <v>19</v>
      </c>
      <c r="I1921">
        <v>5</v>
      </c>
      <c r="J1921">
        <v>48</v>
      </c>
      <c r="K1921">
        <v>19.29</v>
      </c>
      <c r="L1921">
        <v>1</v>
      </c>
    </row>
    <row r="1922" spans="1:12">
      <c r="A1922" t="s">
        <v>5580</v>
      </c>
      <c r="B1922" t="s">
        <v>5581</v>
      </c>
      <c r="C1922" t="s">
        <v>5582</v>
      </c>
      <c r="D1922" t="s">
        <v>23</v>
      </c>
      <c r="E1922" t="s">
        <v>16</v>
      </c>
      <c r="F1922" t="s">
        <v>36</v>
      </c>
      <c r="G1922" t="s">
        <v>37</v>
      </c>
      <c r="H1922" t="s">
        <v>31</v>
      </c>
      <c r="I1922">
        <v>3</v>
      </c>
      <c r="J1922">
        <v>24</v>
      </c>
      <c r="K1922">
        <v>18.84</v>
      </c>
      <c r="L1922">
        <v>1</v>
      </c>
    </row>
    <row r="1923" spans="1:12">
      <c r="A1923" t="s">
        <v>5583</v>
      </c>
      <c r="B1923" t="s">
        <v>5584</v>
      </c>
      <c r="C1923" t="s">
        <v>5585</v>
      </c>
      <c r="D1923" t="s">
        <v>23</v>
      </c>
      <c r="E1923" t="s">
        <v>28</v>
      </c>
      <c r="F1923" t="s">
        <v>36</v>
      </c>
      <c r="G1923" t="s">
        <v>77</v>
      </c>
      <c r="H1923" t="s">
        <v>19</v>
      </c>
      <c r="I1923">
        <v>1</v>
      </c>
      <c r="J1923">
        <v>24</v>
      </c>
      <c r="K1923">
        <v>36.479999999999997</v>
      </c>
      <c r="L1923">
        <v>0</v>
      </c>
    </row>
    <row r="1924" spans="1:12">
      <c r="A1924" t="s">
        <v>5586</v>
      </c>
      <c r="B1924" t="s">
        <v>5587</v>
      </c>
      <c r="C1924" t="s">
        <v>5588</v>
      </c>
      <c r="D1924" t="s">
        <v>15</v>
      </c>
      <c r="E1924" t="s">
        <v>28</v>
      </c>
      <c r="F1924" t="s">
        <v>41</v>
      </c>
      <c r="G1924" t="s">
        <v>151</v>
      </c>
      <c r="H1924" t="s">
        <v>19</v>
      </c>
      <c r="I1924">
        <v>5</v>
      </c>
      <c r="J1924">
        <v>8</v>
      </c>
      <c r="K1924">
        <v>6.8</v>
      </c>
      <c r="L1924">
        <v>1</v>
      </c>
    </row>
    <row r="1925" spans="1:12">
      <c r="A1925" t="s">
        <v>5589</v>
      </c>
      <c r="B1925" t="s">
        <v>5590</v>
      </c>
      <c r="C1925" t="s">
        <v>5591</v>
      </c>
      <c r="D1925" t="s">
        <v>158</v>
      </c>
      <c r="E1925" t="s">
        <v>24</v>
      </c>
      <c r="F1925" t="s">
        <v>60</v>
      </c>
      <c r="G1925" t="s">
        <v>77</v>
      </c>
      <c r="H1925" t="s">
        <v>19</v>
      </c>
      <c r="I1925">
        <v>1</v>
      </c>
      <c r="J1925">
        <v>4</v>
      </c>
      <c r="K1925">
        <v>11.93</v>
      </c>
      <c r="L1925">
        <v>0</v>
      </c>
    </row>
    <row r="1926" spans="1:12">
      <c r="A1926" t="s">
        <v>5592</v>
      </c>
      <c r="B1926" t="s">
        <v>5593</v>
      </c>
      <c r="C1926" t="s">
        <v>5594</v>
      </c>
      <c r="D1926" t="s">
        <v>35</v>
      </c>
      <c r="E1926" t="s">
        <v>16</v>
      </c>
      <c r="F1926" t="s">
        <v>60</v>
      </c>
      <c r="G1926" t="s">
        <v>30</v>
      </c>
      <c r="H1926" t="s">
        <v>19</v>
      </c>
      <c r="I1926">
        <v>5</v>
      </c>
      <c r="J1926">
        <v>48</v>
      </c>
      <c r="K1926">
        <v>38.270000000000003</v>
      </c>
      <c r="L1926">
        <v>1</v>
      </c>
    </row>
    <row r="1927" spans="1:12">
      <c r="A1927" t="s">
        <v>5595</v>
      </c>
      <c r="B1927" t="s">
        <v>5596</v>
      </c>
      <c r="C1927" t="s">
        <v>5597</v>
      </c>
      <c r="D1927" t="s">
        <v>23</v>
      </c>
      <c r="E1927" t="s">
        <v>28</v>
      </c>
      <c r="F1927" t="s">
        <v>41</v>
      </c>
      <c r="G1927" t="s">
        <v>42</v>
      </c>
      <c r="H1927" t="s">
        <v>19</v>
      </c>
      <c r="I1927">
        <v>1</v>
      </c>
      <c r="J1927">
        <v>24</v>
      </c>
      <c r="K1927">
        <v>49.72</v>
      </c>
      <c r="L1927">
        <v>0</v>
      </c>
    </row>
    <row r="1928" spans="1:12">
      <c r="A1928" t="s">
        <v>5598</v>
      </c>
      <c r="B1928" t="s">
        <v>5599</v>
      </c>
      <c r="C1928" t="s">
        <v>5600</v>
      </c>
      <c r="D1928" t="s">
        <v>23</v>
      </c>
      <c r="E1928" t="s">
        <v>28</v>
      </c>
      <c r="F1928" t="s">
        <v>41</v>
      </c>
      <c r="G1928" t="s">
        <v>45</v>
      </c>
      <c r="H1928" t="s">
        <v>31</v>
      </c>
      <c r="I1928">
        <v>4</v>
      </c>
      <c r="J1928">
        <v>24</v>
      </c>
      <c r="K1928">
        <v>53.1</v>
      </c>
      <c r="L1928">
        <v>0</v>
      </c>
    </row>
    <row r="1929" spans="1:12">
      <c r="A1929" t="s">
        <v>5601</v>
      </c>
      <c r="B1929" t="s">
        <v>5602</v>
      </c>
      <c r="C1929" t="s">
        <v>5603</v>
      </c>
      <c r="D1929" t="s">
        <v>23</v>
      </c>
      <c r="E1929" t="s">
        <v>24</v>
      </c>
      <c r="F1929" t="s">
        <v>60</v>
      </c>
      <c r="G1929" t="s">
        <v>151</v>
      </c>
      <c r="H1929" t="s">
        <v>19</v>
      </c>
      <c r="I1929">
        <v>4</v>
      </c>
      <c r="J1929">
        <v>24</v>
      </c>
      <c r="K1929">
        <v>18.559999999999999</v>
      </c>
      <c r="L1929">
        <v>1</v>
      </c>
    </row>
    <row r="1930" spans="1:12">
      <c r="A1930" t="s">
        <v>5604</v>
      </c>
      <c r="B1930" t="s">
        <v>5605</v>
      </c>
      <c r="C1930" t="s">
        <v>5606</v>
      </c>
      <c r="D1930" t="s">
        <v>158</v>
      </c>
      <c r="E1930" t="s">
        <v>54</v>
      </c>
      <c r="F1930" t="s">
        <v>36</v>
      </c>
      <c r="G1930" t="s">
        <v>77</v>
      </c>
      <c r="H1930" t="s">
        <v>31</v>
      </c>
      <c r="I1930">
        <v>4</v>
      </c>
      <c r="J1930">
        <v>4</v>
      </c>
      <c r="K1930">
        <v>0.77</v>
      </c>
      <c r="L1930">
        <v>1</v>
      </c>
    </row>
    <row r="1931" spans="1:12">
      <c r="A1931" t="s">
        <v>5607</v>
      </c>
      <c r="B1931" t="s">
        <v>5608</v>
      </c>
      <c r="C1931" t="s">
        <v>5609</v>
      </c>
      <c r="D1931" t="s">
        <v>23</v>
      </c>
      <c r="E1931" t="s">
        <v>28</v>
      </c>
      <c r="F1931" t="s">
        <v>36</v>
      </c>
      <c r="G1931" t="s">
        <v>55</v>
      </c>
      <c r="H1931" t="s">
        <v>19</v>
      </c>
      <c r="I1931">
        <v>3</v>
      </c>
      <c r="J1931">
        <v>24</v>
      </c>
      <c r="K1931">
        <v>34.31</v>
      </c>
      <c r="L1931">
        <v>0</v>
      </c>
    </row>
    <row r="1932" spans="1:12">
      <c r="A1932" t="s">
        <v>5610</v>
      </c>
      <c r="B1932" t="s">
        <v>5611</v>
      </c>
      <c r="C1932" t="s">
        <v>5612</v>
      </c>
      <c r="D1932" t="s">
        <v>35</v>
      </c>
      <c r="E1932" t="s">
        <v>54</v>
      </c>
      <c r="F1932" t="s">
        <v>60</v>
      </c>
      <c r="G1932" t="s">
        <v>73</v>
      </c>
      <c r="H1932" t="s">
        <v>19</v>
      </c>
      <c r="I1932">
        <v>4</v>
      </c>
      <c r="J1932">
        <v>48</v>
      </c>
      <c r="K1932">
        <v>18.48</v>
      </c>
      <c r="L1932">
        <v>1</v>
      </c>
    </row>
    <row r="1933" spans="1:12">
      <c r="A1933" t="s">
        <v>5613</v>
      </c>
      <c r="B1933" t="s">
        <v>5614</v>
      </c>
      <c r="C1933" t="s">
        <v>5615</v>
      </c>
      <c r="D1933" t="s">
        <v>15</v>
      </c>
      <c r="E1933" t="s">
        <v>24</v>
      </c>
      <c r="F1933" t="s">
        <v>29</v>
      </c>
      <c r="G1933" t="s">
        <v>73</v>
      </c>
      <c r="H1933" t="s">
        <v>19</v>
      </c>
      <c r="I1933">
        <v>5</v>
      </c>
      <c r="J1933">
        <v>8</v>
      </c>
      <c r="K1933">
        <v>5.88</v>
      </c>
      <c r="L1933">
        <v>1</v>
      </c>
    </row>
    <row r="1934" spans="1:12">
      <c r="A1934" t="s">
        <v>5616</v>
      </c>
      <c r="B1934" t="s">
        <v>5617</v>
      </c>
      <c r="D1934" t="s">
        <v>158</v>
      </c>
      <c r="E1934" t="s">
        <v>16</v>
      </c>
      <c r="F1934" t="s">
        <v>17</v>
      </c>
      <c r="G1934" t="s">
        <v>50</v>
      </c>
      <c r="H1934" t="s">
        <v>63</v>
      </c>
      <c r="J1934">
        <v>4</v>
      </c>
    </row>
    <row r="1935" spans="1:12">
      <c r="A1935" t="s">
        <v>5618</v>
      </c>
      <c r="B1935" t="s">
        <v>5619</v>
      </c>
      <c r="C1935" t="s">
        <v>5620</v>
      </c>
      <c r="D1935" t="s">
        <v>23</v>
      </c>
      <c r="E1935" t="s">
        <v>16</v>
      </c>
      <c r="F1935" t="s">
        <v>36</v>
      </c>
      <c r="G1935" t="s">
        <v>77</v>
      </c>
      <c r="H1935" t="s">
        <v>31</v>
      </c>
      <c r="I1935">
        <v>5</v>
      </c>
      <c r="J1935">
        <v>24</v>
      </c>
      <c r="K1935">
        <v>5.03</v>
      </c>
      <c r="L1935">
        <v>1</v>
      </c>
    </row>
    <row r="1936" spans="1:12">
      <c r="A1936" t="s">
        <v>5621</v>
      </c>
      <c r="B1936" t="s">
        <v>5622</v>
      </c>
      <c r="C1936" t="s">
        <v>5623</v>
      </c>
      <c r="D1936" t="s">
        <v>35</v>
      </c>
      <c r="E1936" t="s">
        <v>28</v>
      </c>
      <c r="F1936" t="s">
        <v>36</v>
      </c>
      <c r="G1936" t="s">
        <v>77</v>
      </c>
      <c r="H1936" t="s">
        <v>31</v>
      </c>
      <c r="I1936">
        <v>5</v>
      </c>
      <c r="J1936">
        <v>48</v>
      </c>
      <c r="K1936">
        <v>21.03</v>
      </c>
      <c r="L1936">
        <v>1</v>
      </c>
    </row>
    <row r="1937" spans="1:12">
      <c r="A1937" t="s">
        <v>5624</v>
      </c>
      <c r="B1937" t="s">
        <v>5625</v>
      </c>
      <c r="C1937" t="s">
        <v>5626</v>
      </c>
      <c r="D1937" t="s">
        <v>35</v>
      </c>
      <c r="E1937" t="s">
        <v>24</v>
      </c>
      <c r="F1937" t="s">
        <v>17</v>
      </c>
      <c r="G1937" t="s">
        <v>151</v>
      </c>
      <c r="H1937" t="s">
        <v>19</v>
      </c>
      <c r="I1937">
        <v>3</v>
      </c>
      <c r="J1937">
        <v>48</v>
      </c>
      <c r="K1937">
        <v>35.200000000000003</v>
      </c>
      <c r="L1937">
        <v>1</v>
      </c>
    </row>
    <row r="1938" spans="1:12">
      <c r="A1938" t="s">
        <v>5627</v>
      </c>
      <c r="B1938" t="s">
        <v>5628</v>
      </c>
      <c r="C1938" t="s">
        <v>5629</v>
      </c>
      <c r="D1938" t="s">
        <v>23</v>
      </c>
      <c r="E1938" t="s">
        <v>28</v>
      </c>
      <c r="F1938" t="s">
        <v>29</v>
      </c>
      <c r="G1938" t="s">
        <v>172</v>
      </c>
      <c r="H1938" t="s">
        <v>19</v>
      </c>
      <c r="I1938">
        <v>4</v>
      </c>
      <c r="J1938">
        <v>24</v>
      </c>
      <c r="K1938">
        <v>13.63</v>
      </c>
      <c r="L1938">
        <v>1</v>
      </c>
    </row>
    <row r="1939" spans="1:12">
      <c r="A1939" t="s">
        <v>5630</v>
      </c>
      <c r="B1939" t="s">
        <v>5631</v>
      </c>
      <c r="C1939" t="s">
        <v>5632</v>
      </c>
      <c r="D1939" t="s">
        <v>23</v>
      </c>
      <c r="E1939" t="s">
        <v>16</v>
      </c>
      <c r="F1939" t="s">
        <v>41</v>
      </c>
      <c r="G1939" t="s">
        <v>77</v>
      </c>
      <c r="H1939" t="s">
        <v>31</v>
      </c>
      <c r="I1939">
        <v>5</v>
      </c>
      <c r="J1939">
        <v>24</v>
      </c>
      <c r="K1939">
        <v>6.7</v>
      </c>
      <c r="L1939">
        <v>1</v>
      </c>
    </row>
    <row r="1940" spans="1:12">
      <c r="A1940" t="s">
        <v>5633</v>
      </c>
      <c r="B1940" t="s">
        <v>5634</v>
      </c>
      <c r="C1940" t="s">
        <v>5635</v>
      </c>
      <c r="D1940" t="s">
        <v>15</v>
      </c>
      <c r="E1940" t="s">
        <v>59</v>
      </c>
      <c r="F1940" t="s">
        <v>36</v>
      </c>
      <c r="G1940" t="s">
        <v>18</v>
      </c>
      <c r="H1940" t="s">
        <v>19</v>
      </c>
      <c r="I1940">
        <v>5</v>
      </c>
      <c r="J1940">
        <v>8</v>
      </c>
      <c r="K1940">
        <v>6.2</v>
      </c>
      <c r="L1940">
        <v>1</v>
      </c>
    </row>
    <row r="1941" spans="1:12">
      <c r="A1941" t="s">
        <v>5636</v>
      </c>
      <c r="B1941" t="s">
        <v>5637</v>
      </c>
      <c r="D1941" t="s">
        <v>15</v>
      </c>
      <c r="E1941" t="s">
        <v>28</v>
      </c>
      <c r="F1941" t="s">
        <v>41</v>
      </c>
      <c r="G1941" t="s">
        <v>151</v>
      </c>
      <c r="H1941" t="s">
        <v>63</v>
      </c>
      <c r="J1941">
        <v>8</v>
      </c>
    </row>
    <row r="1942" spans="1:12">
      <c r="A1942" t="s">
        <v>5638</v>
      </c>
      <c r="B1942" t="s">
        <v>5639</v>
      </c>
      <c r="C1942" t="s">
        <v>5640</v>
      </c>
      <c r="D1942" t="s">
        <v>35</v>
      </c>
      <c r="E1942" t="s">
        <v>24</v>
      </c>
      <c r="F1942" t="s">
        <v>36</v>
      </c>
      <c r="G1942" t="s">
        <v>18</v>
      </c>
      <c r="H1942" t="s">
        <v>19</v>
      </c>
      <c r="I1942">
        <v>3</v>
      </c>
      <c r="J1942">
        <v>48</v>
      </c>
      <c r="K1942">
        <v>34.33</v>
      </c>
      <c r="L1942">
        <v>1</v>
      </c>
    </row>
    <row r="1943" spans="1:12">
      <c r="A1943" t="s">
        <v>5641</v>
      </c>
      <c r="B1943" t="s">
        <v>5642</v>
      </c>
      <c r="C1943" t="s">
        <v>5643</v>
      </c>
      <c r="D1943" t="s">
        <v>23</v>
      </c>
      <c r="E1943" t="s">
        <v>59</v>
      </c>
      <c r="F1943" t="s">
        <v>36</v>
      </c>
      <c r="G1943" t="s">
        <v>55</v>
      </c>
      <c r="H1943" t="s">
        <v>31</v>
      </c>
      <c r="I1943">
        <v>5</v>
      </c>
      <c r="J1943">
        <v>24</v>
      </c>
      <c r="K1943">
        <v>22.66</v>
      </c>
      <c r="L1943">
        <v>1</v>
      </c>
    </row>
    <row r="1944" spans="1:12">
      <c r="A1944" t="s">
        <v>5644</v>
      </c>
      <c r="B1944" t="s">
        <v>5645</v>
      </c>
      <c r="C1944" t="s">
        <v>5646</v>
      </c>
      <c r="D1944" t="s">
        <v>35</v>
      </c>
      <c r="E1944" t="s">
        <v>28</v>
      </c>
      <c r="F1944" t="s">
        <v>17</v>
      </c>
      <c r="G1944" t="s">
        <v>30</v>
      </c>
      <c r="H1944" t="s">
        <v>31</v>
      </c>
      <c r="I1944">
        <v>5</v>
      </c>
      <c r="J1944">
        <v>48</v>
      </c>
      <c r="K1944">
        <v>15.21</v>
      </c>
      <c r="L1944">
        <v>1</v>
      </c>
    </row>
    <row r="1945" spans="1:12">
      <c r="A1945" t="s">
        <v>5647</v>
      </c>
      <c r="B1945" t="s">
        <v>5648</v>
      </c>
      <c r="C1945" t="s">
        <v>5649</v>
      </c>
      <c r="D1945" t="s">
        <v>23</v>
      </c>
      <c r="E1945" t="s">
        <v>16</v>
      </c>
      <c r="F1945" t="s">
        <v>60</v>
      </c>
      <c r="G1945" t="s">
        <v>151</v>
      </c>
      <c r="H1945" t="s">
        <v>19</v>
      </c>
      <c r="I1945">
        <v>5</v>
      </c>
      <c r="J1945">
        <v>24</v>
      </c>
      <c r="K1945">
        <v>18.88</v>
      </c>
      <c r="L1945">
        <v>1</v>
      </c>
    </row>
    <row r="1946" spans="1:12">
      <c r="A1946" t="s">
        <v>5650</v>
      </c>
      <c r="B1946" t="s">
        <v>5651</v>
      </c>
      <c r="C1946" t="s">
        <v>5652</v>
      </c>
      <c r="D1946" t="s">
        <v>15</v>
      </c>
      <c r="E1946" t="s">
        <v>54</v>
      </c>
      <c r="F1946" t="s">
        <v>60</v>
      </c>
      <c r="G1946" t="s">
        <v>55</v>
      </c>
      <c r="H1946" t="s">
        <v>31</v>
      </c>
      <c r="I1946">
        <v>5</v>
      </c>
      <c r="J1946">
        <v>8</v>
      </c>
      <c r="K1946">
        <v>5.98</v>
      </c>
      <c r="L1946">
        <v>1</v>
      </c>
    </row>
    <row r="1947" spans="1:12">
      <c r="A1947" t="s">
        <v>5653</v>
      </c>
      <c r="B1947" t="s">
        <v>5654</v>
      </c>
      <c r="C1947" t="s">
        <v>5655</v>
      </c>
      <c r="D1947" t="s">
        <v>35</v>
      </c>
      <c r="E1947" t="s">
        <v>28</v>
      </c>
      <c r="F1947" t="s">
        <v>60</v>
      </c>
      <c r="G1947" t="s">
        <v>172</v>
      </c>
      <c r="H1947" t="s">
        <v>31</v>
      </c>
      <c r="I1947">
        <v>4</v>
      </c>
      <c r="J1947">
        <v>48</v>
      </c>
      <c r="K1947">
        <v>28.01</v>
      </c>
      <c r="L1947">
        <v>1</v>
      </c>
    </row>
    <row r="1948" spans="1:12">
      <c r="A1948" t="s">
        <v>5656</v>
      </c>
      <c r="B1948" t="s">
        <v>5657</v>
      </c>
      <c r="C1948" t="s">
        <v>5658</v>
      </c>
      <c r="D1948" t="s">
        <v>15</v>
      </c>
      <c r="E1948" t="s">
        <v>24</v>
      </c>
      <c r="F1948" t="s">
        <v>60</v>
      </c>
      <c r="G1948" t="s">
        <v>45</v>
      </c>
      <c r="H1948" t="s">
        <v>31</v>
      </c>
      <c r="I1948">
        <v>5</v>
      </c>
      <c r="J1948">
        <v>8</v>
      </c>
      <c r="K1948">
        <v>6.63</v>
      </c>
      <c r="L1948">
        <v>1</v>
      </c>
    </row>
    <row r="1949" spans="1:12">
      <c r="A1949" t="s">
        <v>5659</v>
      </c>
      <c r="B1949" t="s">
        <v>5660</v>
      </c>
      <c r="C1949" t="s">
        <v>5661</v>
      </c>
      <c r="D1949" t="s">
        <v>15</v>
      </c>
      <c r="E1949" t="s">
        <v>24</v>
      </c>
      <c r="F1949" t="s">
        <v>17</v>
      </c>
      <c r="G1949" t="s">
        <v>45</v>
      </c>
      <c r="H1949" t="s">
        <v>31</v>
      </c>
      <c r="I1949">
        <v>5</v>
      </c>
      <c r="J1949">
        <v>8</v>
      </c>
      <c r="K1949">
        <v>3.72</v>
      </c>
      <c r="L1949">
        <v>1</v>
      </c>
    </row>
    <row r="1950" spans="1:12">
      <c r="A1950" t="s">
        <v>5662</v>
      </c>
      <c r="B1950" t="s">
        <v>5663</v>
      </c>
      <c r="C1950" t="s">
        <v>5664</v>
      </c>
      <c r="D1950" t="s">
        <v>158</v>
      </c>
      <c r="E1950" t="s">
        <v>54</v>
      </c>
      <c r="F1950" t="s">
        <v>36</v>
      </c>
      <c r="G1950" t="s">
        <v>77</v>
      </c>
      <c r="H1950" t="s">
        <v>19</v>
      </c>
      <c r="I1950">
        <v>5</v>
      </c>
      <c r="J1950">
        <v>4</v>
      </c>
      <c r="K1950">
        <v>0.8</v>
      </c>
      <c r="L1950">
        <v>1</v>
      </c>
    </row>
    <row r="1951" spans="1:12">
      <c r="A1951" t="s">
        <v>5665</v>
      </c>
      <c r="B1951" t="s">
        <v>5666</v>
      </c>
      <c r="C1951" t="s">
        <v>5667</v>
      </c>
      <c r="D1951" t="s">
        <v>158</v>
      </c>
      <c r="E1951" t="s">
        <v>28</v>
      </c>
      <c r="F1951" t="s">
        <v>17</v>
      </c>
      <c r="G1951" t="s">
        <v>45</v>
      </c>
      <c r="H1951" t="s">
        <v>31</v>
      </c>
      <c r="I1951">
        <v>2</v>
      </c>
      <c r="J1951">
        <v>4</v>
      </c>
      <c r="K1951">
        <v>5.98</v>
      </c>
      <c r="L1951">
        <v>0</v>
      </c>
    </row>
    <row r="1952" spans="1:12">
      <c r="A1952" t="s">
        <v>5668</v>
      </c>
      <c r="B1952" t="s">
        <v>5669</v>
      </c>
      <c r="C1952" t="s">
        <v>5670</v>
      </c>
      <c r="D1952" t="s">
        <v>23</v>
      </c>
      <c r="E1952" t="s">
        <v>54</v>
      </c>
      <c r="F1952" t="s">
        <v>29</v>
      </c>
      <c r="G1952" t="s">
        <v>151</v>
      </c>
      <c r="H1952" t="s">
        <v>19</v>
      </c>
      <c r="I1952">
        <v>3</v>
      </c>
      <c r="J1952">
        <v>24</v>
      </c>
      <c r="K1952">
        <v>31.68</v>
      </c>
      <c r="L1952">
        <v>0</v>
      </c>
    </row>
    <row r="1953" spans="1:12">
      <c r="A1953" t="s">
        <v>5671</v>
      </c>
      <c r="B1953" t="s">
        <v>5672</v>
      </c>
      <c r="C1953" t="s">
        <v>5673</v>
      </c>
      <c r="D1953" t="s">
        <v>158</v>
      </c>
      <c r="E1953" t="s">
        <v>16</v>
      </c>
      <c r="F1953" t="s">
        <v>29</v>
      </c>
      <c r="G1953" t="s">
        <v>30</v>
      </c>
      <c r="H1953" t="s">
        <v>31</v>
      </c>
      <c r="I1953">
        <v>1</v>
      </c>
      <c r="J1953">
        <v>4</v>
      </c>
      <c r="K1953">
        <v>11.12</v>
      </c>
      <c r="L1953">
        <v>0</v>
      </c>
    </row>
    <row r="1954" spans="1:12">
      <c r="A1954" t="s">
        <v>5674</v>
      </c>
      <c r="B1954" t="s">
        <v>5675</v>
      </c>
      <c r="C1954" t="s">
        <v>5676</v>
      </c>
      <c r="D1954" t="s">
        <v>35</v>
      </c>
      <c r="E1954" t="s">
        <v>54</v>
      </c>
      <c r="F1954" t="s">
        <v>41</v>
      </c>
      <c r="G1954" t="s">
        <v>172</v>
      </c>
      <c r="H1954" t="s">
        <v>19</v>
      </c>
      <c r="I1954">
        <v>4</v>
      </c>
      <c r="J1954">
        <v>48</v>
      </c>
      <c r="K1954">
        <v>36.79</v>
      </c>
      <c r="L1954">
        <v>1</v>
      </c>
    </row>
    <row r="1955" spans="1:12">
      <c r="A1955" t="s">
        <v>5677</v>
      </c>
      <c r="B1955" t="s">
        <v>5678</v>
      </c>
      <c r="C1955" t="s">
        <v>5679</v>
      </c>
      <c r="D1955" t="s">
        <v>23</v>
      </c>
      <c r="E1955" t="s">
        <v>54</v>
      </c>
      <c r="F1955" t="s">
        <v>41</v>
      </c>
      <c r="G1955" t="s">
        <v>151</v>
      </c>
      <c r="H1955" t="s">
        <v>19</v>
      </c>
      <c r="I1955">
        <v>4</v>
      </c>
      <c r="J1955">
        <v>24</v>
      </c>
      <c r="K1955">
        <v>10.199999999999999</v>
      </c>
      <c r="L1955">
        <v>1</v>
      </c>
    </row>
    <row r="1956" spans="1:12">
      <c r="A1956" t="s">
        <v>5680</v>
      </c>
      <c r="B1956" t="s">
        <v>5681</v>
      </c>
      <c r="C1956" t="s">
        <v>5682</v>
      </c>
      <c r="D1956" t="s">
        <v>23</v>
      </c>
      <c r="E1956" t="s">
        <v>59</v>
      </c>
      <c r="F1956" t="s">
        <v>17</v>
      </c>
      <c r="G1956" t="s">
        <v>30</v>
      </c>
      <c r="H1956" t="s">
        <v>31</v>
      </c>
      <c r="I1956">
        <v>5</v>
      </c>
      <c r="J1956">
        <v>24</v>
      </c>
      <c r="K1956">
        <v>4.4000000000000004</v>
      </c>
      <c r="L1956">
        <v>1</v>
      </c>
    </row>
    <row r="1957" spans="1:12">
      <c r="A1957" t="s">
        <v>5683</v>
      </c>
      <c r="B1957" t="s">
        <v>5684</v>
      </c>
      <c r="C1957" t="s">
        <v>5685</v>
      </c>
      <c r="D1957" t="s">
        <v>15</v>
      </c>
      <c r="E1957" t="s">
        <v>24</v>
      </c>
      <c r="F1957" t="s">
        <v>60</v>
      </c>
      <c r="G1957" t="s">
        <v>172</v>
      </c>
      <c r="H1957" t="s">
        <v>31</v>
      </c>
      <c r="I1957">
        <v>1</v>
      </c>
      <c r="J1957">
        <v>8</v>
      </c>
      <c r="K1957">
        <v>20.11</v>
      </c>
      <c r="L1957">
        <v>0</v>
      </c>
    </row>
    <row r="1958" spans="1:12">
      <c r="A1958" t="s">
        <v>5686</v>
      </c>
      <c r="B1958" t="s">
        <v>5687</v>
      </c>
      <c r="C1958" t="s">
        <v>5688</v>
      </c>
      <c r="D1958" t="s">
        <v>23</v>
      </c>
      <c r="E1958" t="s">
        <v>28</v>
      </c>
      <c r="F1958" t="s">
        <v>17</v>
      </c>
      <c r="G1958" t="s">
        <v>18</v>
      </c>
      <c r="H1958" t="s">
        <v>31</v>
      </c>
      <c r="I1958">
        <v>4</v>
      </c>
      <c r="J1958">
        <v>24</v>
      </c>
      <c r="K1958">
        <v>19.739999999999998</v>
      </c>
      <c r="L1958">
        <v>1</v>
      </c>
    </row>
    <row r="1959" spans="1:12">
      <c r="A1959" t="s">
        <v>5689</v>
      </c>
      <c r="B1959" t="s">
        <v>5690</v>
      </c>
      <c r="C1959" t="s">
        <v>5691</v>
      </c>
      <c r="D1959" t="s">
        <v>158</v>
      </c>
      <c r="E1959" t="s">
        <v>24</v>
      </c>
      <c r="F1959" t="s">
        <v>17</v>
      </c>
      <c r="G1959" t="s">
        <v>50</v>
      </c>
      <c r="H1959" t="s">
        <v>31</v>
      </c>
      <c r="I1959">
        <v>5</v>
      </c>
      <c r="J1959">
        <v>4</v>
      </c>
      <c r="K1959">
        <v>2.67</v>
      </c>
      <c r="L1959">
        <v>1</v>
      </c>
    </row>
    <row r="1960" spans="1:12">
      <c r="A1960" t="s">
        <v>5692</v>
      </c>
      <c r="B1960" t="s">
        <v>5693</v>
      </c>
      <c r="C1960" t="s">
        <v>5694</v>
      </c>
      <c r="D1960" t="s">
        <v>23</v>
      </c>
      <c r="E1960" t="s">
        <v>16</v>
      </c>
      <c r="F1960" t="s">
        <v>36</v>
      </c>
      <c r="G1960" t="s">
        <v>30</v>
      </c>
      <c r="H1960" t="s">
        <v>19</v>
      </c>
      <c r="I1960">
        <v>1</v>
      </c>
      <c r="J1960">
        <v>24</v>
      </c>
      <c r="K1960">
        <v>43.32</v>
      </c>
      <c r="L1960">
        <v>0</v>
      </c>
    </row>
    <row r="1961" spans="1:12">
      <c r="A1961" t="s">
        <v>5695</v>
      </c>
      <c r="B1961" t="s">
        <v>5696</v>
      </c>
      <c r="C1961" t="s">
        <v>5697</v>
      </c>
      <c r="D1961" t="s">
        <v>23</v>
      </c>
      <c r="E1961" t="s">
        <v>16</v>
      </c>
      <c r="F1961" t="s">
        <v>29</v>
      </c>
      <c r="G1961" t="s">
        <v>30</v>
      </c>
      <c r="H1961" t="s">
        <v>19</v>
      </c>
      <c r="I1961">
        <v>5</v>
      </c>
      <c r="J1961">
        <v>24</v>
      </c>
      <c r="K1961">
        <v>13.17</v>
      </c>
      <c r="L1961">
        <v>1</v>
      </c>
    </row>
    <row r="1962" spans="1:12">
      <c r="A1962" t="s">
        <v>5698</v>
      </c>
      <c r="B1962" t="s">
        <v>5699</v>
      </c>
      <c r="C1962" t="s">
        <v>5700</v>
      </c>
      <c r="D1962" t="s">
        <v>158</v>
      </c>
      <c r="E1962" t="s">
        <v>54</v>
      </c>
      <c r="F1962" t="s">
        <v>36</v>
      </c>
      <c r="G1962" t="s">
        <v>105</v>
      </c>
      <c r="H1962" t="s">
        <v>19</v>
      </c>
      <c r="I1962">
        <v>5</v>
      </c>
      <c r="J1962">
        <v>4</v>
      </c>
      <c r="K1962">
        <v>3.03</v>
      </c>
      <c r="L1962">
        <v>1</v>
      </c>
    </row>
    <row r="1963" spans="1:12">
      <c r="A1963" t="s">
        <v>5701</v>
      </c>
      <c r="B1963" t="s">
        <v>5702</v>
      </c>
      <c r="C1963" t="s">
        <v>5703</v>
      </c>
      <c r="D1963" t="s">
        <v>15</v>
      </c>
      <c r="E1963" t="s">
        <v>28</v>
      </c>
      <c r="F1963" t="s">
        <v>41</v>
      </c>
      <c r="G1963" t="s">
        <v>151</v>
      </c>
      <c r="H1963" t="s">
        <v>19</v>
      </c>
      <c r="I1963">
        <v>4</v>
      </c>
      <c r="J1963">
        <v>8</v>
      </c>
      <c r="K1963">
        <v>5.76</v>
      </c>
      <c r="L1963">
        <v>1</v>
      </c>
    </row>
    <row r="1964" spans="1:12">
      <c r="A1964" t="s">
        <v>5704</v>
      </c>
      <c r="B1964" t="s">
        <v>5705</v>
      </c>
      <c r="C1964" t="s">
        <v>5706</v>
      </c>
      <c r="D1964" t="s">
        <v>15</v>
      </c>
      <c r="E1964" t="s">
        <v>16</v>
      </c>
      <c r="F1964" t="s">
        <v>41</v>
      </c>
      <c r="G1964" t="s">
        <v>50</v>
      </c>
      <c r="H1964" t="s">
        <v>31</v>
      </c>
      <c r="I1964">
        <v>5</v>
      </c>
      <c r="J1964">
        <v>8</v>
      </c>
      <c r="K1964">
        <v>1.2</v>
      </c>
      <c r="L1964">
        <v>1</v>
      </c>
    </row>
    <row r="1965" spans="1:12">
      <c r="A1965" t="s">
        <v>5707</v>
      </c>
      <c r="B1965" t="s">
        <v>5708</v>
      </c>
      <c r="C1965" t="s">
        <v>5709</v>
      </c>
      <c r="D1965" t="s">
        <v>15</v>
      </c>
      <c r="E1965" t="s">
        <v>28</v>
      </c>
      <c r="F1965" t="s">
        <v>41</v>
      </c>
      <c r="G1965" t="s">
        <v>151</v>
      </c>
      <c r="H1965" t="s">
        <v>19</v>
      </c>
      <c r="I1965">
        <v>5</v>
      </c>
      <c r="J1965">
        <v>8</v>
      </c>
      <c r="K1965">
        <v>0.93</v>
      </c>
      <c r="L1965">
        <v>1</v>
      </c>
    </row>
    <row r="1966" spans="1:12">
      <c r="A1966" t="s">
        <v>5710</v>
      </c>
      <c r="B1966" t="s">
        <v>5711</v>
      </c>
      <c r="D1966" t="s">
        <v>35</v>
      </c>
      <c r="E1966" t="s">
        <v>16</v>
      </c>
      <c r="F1966" t="s">
        <v>41</v>
      </c>
      <c r="G1966" t="s">
        <v>37</v>
      </c>
      <c r="H1966" t="s">
        <v>63</v>
      </c>
      <c r="J1966">
        <v>48</v>
      </c>
    </row>
    <row r="1967" spans="1:12">
      <c r="A1967" t="s">
        <v>5712</v>
      </c>
      <c r="B1967" t="s">
        <v>5713</v>
      </c>
      <c r="C1967" t="s">
        <v>5714</v>
      </c>
      <c r="D1967" t="s">
        <v>23</v>
      </c>
      <c r="E1967" t="s">
        <v>59</v>
      </c>
      <c r="F1967" t="s">
        <v>36</v>
      </c>
      <c r="G1967" t="s">
        <v>45</v>
      </c>
      <c r="H1967" t="s">
        <v>19</v>
      </c>
      <c r="I1967">
        <v>1</v>
      </c>
      <c r="J1967">
        <v>24</v>
      </c>
      <c r="K1967">
        <v>56.77</v>
      </c>
      <c r="L1967">
        <v>0</v>
      </c>
    </row>
    <row r="1968" spans="1:12">
      <c r="A1968" t="s">
        <v>5715</v>
      </c>
      <c r="B1968" t="s">
        <v>5716</v>
      </c>
      <c r="D1968" t="s">
        <v>15</v>
      </c>
      <c r="E1968" t="s">
        <v>28</v>
      </c>
      <c r="F1968" t="s">
        <v>36</v>
      </c>
      <c r="G1968" t="s">
        <v>73</v>
      </c>
      <c r="H1968" t="s">
        <v>63</v>
      </c>
      <c r="J1968">
        <v>8</v>
      </c>
    </row>
    <row r="1969" spans="1:12">
      <c r="A1969" t="s">
        <v>5717</v>
      </c>
      <c r="B1969" t="s">
        <v>5718</v>
      </c>
      <c r="D1969" t="s">
        <v>23</v>
      </c>
      <c r="E1969" t="s">
        <v>59</v>
      </c>
      <c r="F1969" t="s">
        <v>17</v>
      </c>
      <c r="G1969" t="s">
        <v>172</v>
      </c>
      <c r="H1969" t="s">
        <v>63</v>
      </c>
      <c r="J1969">
        <v>24</v>
      </c>
    </row>
    <row r="1970" spans="1:12">
      <c r="A1970" t="s">
        <v>5719</v>
      </c>
      <c r="B1970" t="s">
        <v>5720</v>
      </c>
      <c r="C1970" t="s">
        <v>5721</v>
      </c>
      <c r="D1970" t="s">
        <v>15</v>
      </c>
      <c r="E1970" t="s">
        <v>28</v>
      </c>
      <c r="F1970" t="s">
        <v>36</v>
      </c>
      <c r="G1970" t="s">
        <v>50</v>
      </c>
      <c r="H1970" t="s">
        <v>19</v>
      </c>
      <c r="I1970">
        <v>1</v>
      </c>
      <c r="J1970">
        <v>8</v>
      </c>
      <c r="K1970">
        <v>22.43</v>
      </c>
      <c r="L1970">
        <v>0</v>
      </c>
    </row>
    <row r="1971" spans="1:12">
      <c r="A1971" t="s">
        <v>5722</v>
      </c>
      <c r="B1971" t="s">
        <v>5723</v>
      </c>
      <c r="C1971" t="s">
        <v>5724</v>
      </c>
      <c r="D1971" t="s">
        <v>158</v>
      </c>
      <c r="E1971" t="s">
        <v>24</v>
      </c>
      <c r="F1971" t="s">
        <v>41</v>
      </c>
      <c r="G1971" t="s">
        <v>42</v>
      </c>
      <c r="H1971" t="s">
        <v>19</v>
      </c>
      <c r="I1971">
        <v>5</v>
      </c>
      <c r="J1971">
        <v>4</v>
      </c>
      <c r="K1971">
        <v>3.21</v>
      </c>
      <c r="L1971">
        <v>1</v>
      </c>
    </row>
    <row r="1972" spans="1:12">
      <c r="A1972" t="s">
        <v>5725</v>
      </c>
      <c r="B1972" t="s">
        <v>5726</v>
      </c>
      <c r="C1972" t="s">
        <v>5727</v>
      </c>
      <c r="D1972" t="s">
        <v>15</v>
      </c>
      <c r="E1972" t="s">
        <v>28</v>
      </c>
      <c r="F1972" t="s">
        <v>60</v>
      </c>
      <c r="G1972" t="s">
        <v>172</v>
      </c>
      <c r="H1972" t="s">
        <v>19</v>
      </c>
      <c r="I1972">
        <v>5</v>
      </c>
      <c r="J1972">
        <v>8</v>
      </c>
      <c r="K1972">
        <v>3.84</v>
      </c>
      <c r="L1972">
        <v>1</v>
      </c>
    </row>
    <row r="1973" spans="1:12">
      <c r="A1973" t="s">
        <v>5728</v>
      </c>
      <c r="B1973" t="s">
        <v>5729</v>
      </c>
      <c r="D1973" t="s">
        <v>15</v>
      </c>
      <c r="E1973" t="s">
        <v>28</v>
      </c>
      <c r="F1973" t="s">
        <v>36</v>
      </c>
      <c r="G1973" t="s">
        <v>105</v>
      </c>
      <c r="H1973" t="s">
        <v>46</v>
      </c>
      <c r="J1973">
        <v>8</v>
      </c>
    </row>
    <row r="1974" spans="1:12">
      <c r="A1974" t="s">
        <v>5730</v>
      </c>
      <c r="B1974" t="s">
        <v>5731</v>
      </c>
      <c r="C1974" t="s">
        <v>5732</v>
      </c>
      <c r="D1974" t="s">
        <v>23</v>
      </c>
      <c r="E1974" t="s">
        <v>24</v>
      </c>
      <c r="F1974" t="s">
        <v>41</v>
      </c>
      <c r="G1974" t="s">
        <v>45</v>
      </c>
      <c r="H1974" t="s">
        <v>19</v>
      </c>
      <c r="I1974">
        <v>1</v>
      </c>
      <c r="J1974">
        <v>24</v>
      </c>
      <c r="K1974">
        <v>29.62</v>
      </c>
      <c r="L1974">
        <v>0</v>
      </c>
    </row>
    <row r="1975" spans="1:12">
      <c r="A1975" t="s">
        <v>5733</v>
      </c>
      <c r="B1975" t="s">
        <v>5734</v>
      </c>
      <c r="C1975" t="s">
        <v>5735</v>
      </c>
      <c r="D1975" t="s">
        <v>15</v>
      </c>
      <c r="E1975" t="s">
        <v>59</v>
      </c>
      <c r="F1975" t="s">
        <v>29</v>
      </c>
      <c r="G1975" t="s">
        <v>42</v>
      </c>
      <c r="H1975" t="s">
        <v>19</v>
      </c>
      <c r="I1975">
        <v>5</v>
      </c>
      <c r="J1975">
        <v>8</v>
      </c>
      <c r="K1975">
        <v>7.11</v>
      </c>
      <c r="L1975">
        <v>1</v>
      </c>
    </row>
    <row r="1976" spans="1:12">
      <c r="A1976" t="s">
        <v>5736</v>
      </c>
      <c r="B1976" t="s">
        <v>5737</v>
      </c>
      <c r="C1976" t="s">
        <v>5738</v>
      </c>
      <c r="D1976" t="s">
        <v>23</v>
      </c>
      <c r="E1976" t="s">
        <v>54</v>
      </c>
      <c r="F1976" t="s">
        <v>17</v>
      </c>
      <c r="G1976" t="s">
        <v>73</v>
      </c>
      <c r="H1976" t="s">
        <v>19</v>
      </c>
      <c r="I1976">
        <v>3</v>
      </c>
      <c r="J1976">
        <v>24</v>
      </c>
      <c r="K1976">
        <v>55.11</v>
      </c>
      <c r="L1976">
        <v>0</v>
      </c>
    </row>
    <row r="1977" spans="1:12">
      <c r="A1977" t="s">
        <v>5739</v>
      </c>
      <c r="B1977" t="s">
        <v>5740</v>
      </c>
      <c r="C1977" t="s">
        <v>5741</v>
      </c>
      <c r="D1977" t="s">
        <v>35</v>
      </c>
      <c r="E1977" t="s">
        <v>28</v>
      </c>
      <c r="F1977" t="s">
        <v>17</v>
      </c>
      <c r="G1977" t="s">
        <v>42</v>
      </c>
      <c r="H1977" t="s">
        <v>31</v>
      </c>
      <c r="I1977">
        <v>4</v>
      </c>
      <c r="J1977">
        <v>48</v>
      </c>
      <c r="K1977">
        <v>42.77</v>
      </c>
      <c r="L1977">
        <v>1</v>
      </c>
    </row>
    <row r="1978" spans="1:12">
      <c r="A1978" t="s">
        <v>5742</v>
      </c>
      <c r="B1978" t="s">
        <v>5743</v>
      </c>
      <c r="C1978" t="s">
        <v>5744</v>
      </c>
      <c r="D1978" t="s">
        <v>23</v>
      </c>
      <c r="E1978" t="s">
        <v>16</v>
      </c>
      <c r="F1978" t="s">
        <v>41</v>
      </c>
      <c r="G1978" t="s">
        <v>105</v>
      </c>
      <c r="H1978" t="s">
        <v>31</v>
      </c>
      <c r="I1978">
        <v>5</v>
      </c>
      <c r="J1978">
        <v>24</v>
      </c>
      <c r="K1978">
        <v>17.86</v>
      </c>
      <c r="L1978">
        <v>1</v>
      </c>
    </row>
    <row r="1979" spans="1:12">
      <c r="A1979" t="s">
        <v>5745</v>
      </c>
      <c r="B1979" t="s">
        <v>5746</v>
      </c>
      <c r="C1979" t="s">
        <v>5747</v>
      </c>
      <c r="D1979" t="s">
        <v>35</v>
      </c>
      <c r="E1979" t="s">
        <v>28</v>
      </c>
      <c r="F1979" t="s">
        <v>36</v>
      </c>
      <c r="G1979" t="s">
        <v>77</v>
      </c>
      <c r="H1979" t="s">
        <v>19</v>
      </c>
      <c r="I1979">
        <v>3</v>
      </c>
      <c r="J1979">
        <v>48</v>
      </c>
      <c r="K1979">
        <v>17.79</v>
      </c>
      <c r="L1979">
        <v>1</v>
      </c>
    </row>
    <row r="1980" spans="1:12">
      <c r="A1980" t="s">
        <v>5748</v>
      </c>
      <c r="B1980" t="s">
        <v>5749</v>
      </c>
      <c r="C1980" t="s">
        <v>5750</v>
      </c>
      <c r="D1980" t="s">
        <v>23</v>
      </c>
      <c r="E1980" t="s">
        <v>28</v>
      </c>
      <c r="F1980" t="s">
        <v>36</v>
      </c>
      <c r="G1980" t="s">
        <v>50</v>
      </c>
      <c r="H1980" t="s">
        <v>31</v>
      </c>
      <c r="I1980">
        <v>4</v>
      </c>
      <c r="J1980">
        <v>24</v>
      </c>
      <c r="K1980">
        <v>17.07</v>
      </c>
      <c r="L1980">
        <v>1</v>
      </c>
    </row>
    <row r="1981" spans="1:12">
      <c r="A1981" t="s">
        <v>5751</v>
      </c>
      <c r="B1981" t="s">
        <v>5752</v>
      </c>
      <c r="C1981" t="s">
        <v>5753</v>
      </c>
      <c r="D1981" t="s">
        <v>35</v>
      </c>
      <c r="E1981" t="s">
        <v>24</v>
      </c>
      <c r="F1981" t="s">
        <v>41</v>
      </c>
      <c r="G1981" t="s">
        <v>105</v>
      </c>
      <c r="H1981" t="s">
        <v>19</v>
      </c>
      <c r="I1981">
        <v>4</v>
      </c>
      <c r="J1981">
        <v>48</v>
      </c>
      <c r="K1981">
        <v>96.87</v>
      </c>
      <c r="L1981">
        <v>0</v>
      </c>
    </row>
    <row r="1982" spans="1:12">
      <c r="A1982" t="s">
        <v>5754</v>
      </c>
      <c r="B1982" t="s">
        <v>5755</v>
      </c>
      <c r="C1982" t="s">
        <v>5756</v>
      </c>
      <c r="D1982" t="s">
        <v>23</v>
      </c>
      <c r="E1982" t="s">
        <v>24</v>
      </c>
      <c r="F1982" t="s">
        <v>36</v>
      </c>
      <c r="G1982" t="s">
        <v>172</v>
      </c>
      <c r="H1982" t="s">
        <v>31</v>
      </c>
      <c r="I1982">
        <v>5</v>
      </c>
      <c r="J1982">
        <v>24</v>
      </c>
      <c r="K1982">
        <v>5.33</v>
      </c>
      <c r="L1982">
        <v>1</v>
      </c>
    </row>
    <row r="1983" spans="1:12">
      <c r="A1983" t="s">
        <v>5757</v>
      </c>
      <c r="B1983" t="s">
        <v>5758</v>
      </c>
      <c r="C1983" t="s">
        <v>5759</v>
      </c>
      <c r="D1983" t="s">
        <v>15</v>
      </c>
      <c r="E1983" t="s">
        <v>54</v>
      </c>
      <c r="F1983" t="s">
        <v>29</v>
      </c>
      <c r="G1983" t="s">
        <v>151</v>
      </c>
      <c r="H1983" t="s">
        <v>19</v>
      </c>
      <c r="I1983">
        <v>2</v>
      </c>
      <c r="J1983">
        <v>8</v>
      </c>
      <c r="K1983">
        <v>18.989999999999998</v>
      </c>
      <c r="L1983">
        <v>0</v>
      </c>
    </row>
    <row r="1984" spans="1:12">
      <c r="A1984" t="s">
        <v>5760</v>
      </c>
      <c r="B1984" t="s">
        <v>5761</v>
      </c>
      <c r="C1984" t="s">
        <v>5762</v>
      </c>
      <c r="D1984" t="s">
        <v>23</v>
      </c>
      <c r="E1984" t="s">
        <v>28</v>
      </c>
      <c r="F1984" t="s">
        <v>41</v>
      </c>
      <c r="G1984" t="s">
        <v>42</v>
      </c>
      <c r="H1984" t="s">
        <v>31</v>
      </c>
      <c r="I1984">
        <v>3</v>
      </c>
      <c r="J1984">
        <v>24</v>
      </c>
      <c r="K1984">
        <v>5.47</v>
      </c>
      <c r="L1984">
        <v>1</v>
      </c>
    </row>
    <row r="1985" spans="1:12">
      <c r="A1985" t="s">
        <v>5763</v>
      </c>
      <c r="B1985" t="s">
        <v>5764</v>
      </c>
      <c r="C1985" t="s">
        <v>5765</v>
      </c>
      <c r="D1985" t="s">
        <v>23</v>
      </c>
      <c r="E1985" t="s">
        <v>24</v>
      </c>
      <c r="F1985" t="s">
        <v>60</v>
      </c>
      <c r="G1985" t="s">
        <v>73</v>
      </c>
      <c r="H1985" t="s">
        <v>19</v>
      </c>
      <c r="I1985">
        <v>5</v>
      </c>
      <c r="J1985">
        <v>24</v>
      </c>
      <c r="K1985">
        <v>11.72</v>
      </c>
      <c r="L1985">
        <v>1</v>
      </c>
    </row>
    <row r="1986" spans="1:12">
      <c r="A1986" t="s">
        <v>5766</v>
      </c>
      <c r="B1986" t="s">
        <v>5767</v>
      </c>
      <c r="C1986" t="s">
        <v>5768</v>
      </c>
      <c r="D1986" t="s">
        <v>23</v>
      </c>
      <c r="E1986" t="s">
        <v>28</v>
      </c>
      <c r="F1986" t="s">
        <v>29</v>
      </c>
      <c r="G1986" t="s">
        <v>18</v>
      </c>
      <c r="H1986" t="s">
        <v>19</v>
      </c>
      <c r="I1986">
        <v>5</v>
      </c>
      <c r="J1986">
        <v>24</v>
      </c>
      <c r="K1986">
        <v>8.2899999999999991</v>
      </c>
      <c r="L1986">
        <v>1</v>
      </c>
    </row>
    <row r="1987" spans="1:12">
      <c r="A1987" t="s">
        <v>5769</v>
      </c>
      <c r="B1987" t="s">
        <v>5770</v>
      </c>
      <c r="C1987" t="s">
        <v>5771</v>
      </c>
      <c r="D1987" t="s">
        <v>35</v>
      </c>
      <c r="E1987" t="s">
        <v>24</v>
      </c>
      <c r="F1987" t="s">
        <v>36</v>
      </c>
      <c r="G1987" t="s">
        <v>172</v>
      </c>
      <c r="H1987" t="s">
        <v>31</v>
      </c>
      <c r="I1987">
        <v>1</v>
      </c>
      <c r="J1987">
        <v>48</v>
      </c>
      <c r="K1987">
        <v>115.15</v>
      </c>
      <c r="L1987">
        <v>0</v>
      </c>
    </row>
    <row r="1988" spans="1:12">
      <c r="A1988" t="s">
        <v>5772</v>
      </c>
      <c r="B1988" t="s">
        <v>5773</v>
      </c>
      <c r="C1988" t="s">
        <v>5774</v>
      </c>
      <c r="D1988" t="s">
        <v>23</v>
      </c>
      <c r="E1988" t="s">
        <v>59</v>
      </c>
      <c r="F1988" t="s">
        <v>60</v>
      </c>
      <c r="G1988" t="s">
        <v>105</v>
      </c>
      <c r="H1988" t="s">
        <v>31</v>
      </c>
      <c r="I1988">
        <v>4</v>
      </c>
      <c r="J1988">
        <v>24</v>
      </c>
      <c r="K1988">
        <v>8.35</v>
      </c>
      <c r="L1988">
        <v>1</v>
      </c>
    </row>
    <row r="1989" spans="1:12">
      <c r="A1989" t="s">
        <v>5775</v>
      </c>
      <c r="B1989" t="s">
        <v>5776</v>
      </c>
      <c r="C1989" t="s">
        <v>5777</v>
      </c>
      <c r="D1989" t="s">
        <v>23</v>
      </c>
      <c r="E1989" t="s">
        <v>16</v>
      </c>
      <c r="F1989" t="s">
        <v>60</v>
      </c>
      <c r="G1989" t="s">
        <v>77</v>
      </c>
      <c r="H1989" t="s">
        <v>31</v>
      </c>
      <c r="I1989">
        <v>4</v>
      </c>
      <c r="J1989">
        <v>24</v>
      </c>
      <c r="K1989">
        <v>4.1100000000000003</v>
      </c>
      <c r="L1989">
        <v>1</v>
      </c>
    </row>
    <row r="1990" spans="1:12">
      <c r="A1990" t="s">
        <v>5778</v>
      </c>
      <c r="B1990" t="s">
        <v>5779</v>
      </c>
      <c r="C1990" t="s">
        <v>5780</v>
      </c>
      <c r="D1990" t="s">
        <v>23</v>
      </c>
      <c r="E1990" t="s">
        <v>28</v>
      </c>
      <c r="F1990" t="s">
        <v>36</v>
      </c>
      <c r="G1990" t="s">
        <v>105</v>
      </c>
      <c r="H1990" t="s">
        <v>31</v>
      </c>
      <c r="I1990">
        <v>4</v>
      </c>
      <c r="J1990">
        <v>24</v>
      </c>
      <c r="K1990">
        <v>21.24</v>
      </c>
      <c r="L1990">
        <v>1</v>
      </c>
    </row>
    <row r="1991" spans="1:12">
      <c r="A1991" t="s">
        <v>5781</v>
      </c>
      <c r="B1991" t="s">
        <v>5782</v>
      </c>
      <c r="C1991" t="s">
        <v>5783</v>
      </c>
      <c r="D1991" t="s">
        <v>23</v>
      </c>
      <c r="E1991" t="s">
        <v>28</v>
      </c>
      <c r="F1991" t="s">
        <v>17</v>
      </c>
      <c r="G1991" t="s">
        <v>77</v>
      </c>
      <c r="H1991" t="s">
        <v>31</v>
      </c>
      <c r="I1991">
        <v>5</v>
      </c>
      <c r="J1991">
        <v>24</v>
      </c>
      <c r="K1991">
        <v>2.93</v>
      </c>
      <c r="L1991">
        <v>1</v>
      </c>
    </row>
    <row r="1992" spans="1:12">
      <c r="A1992" t="s">
        <v>5784</v>
      </c>
      <c r="B1992" t="s">
        <v>5785</v>
      </c>
      <c r="C1992" t="s">
        <v>5786</v>
      </c>
      <c r="D1992" t="s">
        <v>23</v>
      </c>
      <c r="E1992" t="s">
        <v>24</v>
      </c>
      <c r="F1992" t="s">
        <v>60</v>
      </c>
      <c r="G1992" t="s">
        <v>42</v>
      </c>
      <c r="H1992" t="s">
        <v>31</v>
      </c>
      <c r="I1992">
        <v>5</v>
      </c>
      <c r="J1992">
        <v>24</v>
      </c>
      <c r="K1992">
        <v>11.81</v>
      </c>
      <c r="L1992">
        <v>1</v>
      </c>
    </row>
    <row r="1993" spans="1:12">
      <c r="A1993" t="s">
        <v>5787</v>
      </c>
      <c r="B1993" t="s">
        <v>5788</v>
      </c>
      <c r="D1993" t="s">
        <v>23</v>
      </c>
      <c r="E1993" t="s">
        <v>24</v>
      </c>
      <c r="F1993" t="s">
        <v>60</v>
      </c>
      <c r="G1993" t="s">
        <v>55</v>
      </c>
      <c r="H1993" t="s">
        <v>63</v>
      </c>
      <c r="J1993">
        <v>24</v>
      </c>
    </row>
    <row r="1994" spans="1:12">
      <c r="A1994" t="s">
        <v>5789</v>
      </c>
      <c r="B1994" t="s">
        <v>5790</v>
      </c>
      <c r="C1994" t="s">
        <v>5791</v>
      </c>
      <c r="D1994" t="s">
        <v>23</v>
      </c>
      <c r="E1994" t="s">
        <v>16</v>
      </c>
      <c r="F1994" t="s">
        <v>17</v>
      </c>
      <c r="G1994" t="s">
        <v>172</v>
      </c>
      <c r="H1994" t="s">
        <v>19</v>
      </c>
      <c r="I1994">
        <v>3</v>
      </c>
      <c r="J1994">
        <v>24</v>
      </c>
      <c r="K1994">
        <v>22.68</v>
      </c>
      <c r="L1994">
        <v>1</v>
      </c>
    </row>
    <row r="1995" spans="1:12">
      <c r="A1995" t="s">
        <v>5792</v>
      </c>
      <c r="B1995" t="s">
        <v>5793</v>
      </c>
      <c r="C1995" t="s">
        <v>5794</v>
      </c>
      <c r="D1995" t="s">
        <v>23</v>
      </c>
      <c r="E1995" t="s">
        <v>54</v>
      </c>
      <c r="F1995" t="s">
        <v>36</v>
      </c>
      <c r="G1995" t="s">
        <v>37</v>
      </c>
      <c r="H1995" t="s">
        <v>31</v>
      </c>
      <c r="I1995">
        <v>4</v>
      </c>
      <c r="J1995">
        <v>24</v>
      </c>
      <c r="K1995">
        <v>18.57</v>
      </c>
      <c r="L1995">
        <v>1</v>
      </c>
    </row>
    <row r="1996" spans="1:12">
      <c r="A1996" t="s">
        <v>5795</v>
      </c>
      <c r="B1996" t="s">
        <v>5796</v>
      </c>
      <c r="C1996" t="s">
        <v>5797</v>
      </c>
      <c r="D1996" t="s">
        <v>15</v>
      </c>
      <c r="E1996" t="s">
        <v>24</v>
      </c>
      <c r="F1996" t="s">
        <v>29</v>
      </c>
      <c r="G1996" t="s">
        <v>37</v>
      </c>
      <c r="H1996" t="s">
        <v>19</v>
      </c>
      <c r="I1996">
        <v>5</v>
      </c>
      <c r="J1996">
        <v>8</v>
      </c>
      <c r="K1996">
        <v>5.46</v>
      </c>
      <c r="L1996">
        <v>1</v>
      </c>
    </row>
    <row r="1997" spans="1:12">
      <c r="A1997" t="s">
        <v>5798</v>
      </c>
      <c r="B1997" t="s">
        <v>5799</v>
      </c>
      <c r="C1997" t="s">
        <v>5800</v>
      </c>
      <c r="D1997" t="s">
        <v>23</v>
      </c>
      <c r="E1997" t="s">
        <v>24</v>
      </c>
      <c r="F1997" t="s">
        <v>60</v>
      </c>
      <c r="G1997" t="s">
        <v>73</v>
      </c>
      <c r="H1997" t="s">
        <v>31</v>
      </c>
      <c r="I1997">
        <v>4</v>
      </c>
      <c r="J1997">
        <v>24</v>
      </c>
      <c r="K1997">
        <v>10.039999999999999</v>
      </c>
      <c r="L1997">
        <v>1</v>
      </c>
    </row>
    <row r="1998" spans="1:12">
      <c r="A1998" t="s">
        <v>5801</v>
      </c>
      <c r="B1998" t="s">
        <v>5802</v>
      </c>
      <c r="C1998" t="s">
        <v>5803</v>
      </c>
      <c r="D1998" t="s">
        <v>23</v>
      </c>
      <c r="E1998" t="s">
        <v>28</v>
      </c>
      <c r="F1998" t="s">
        <v>41</v>
      </c>
      <c r="G1998" t="s">
        <v>18</v>
      </c>
      <c r="H1998" t="s">
        <v>19</v>
      </c>
      <c r="I1998">
        <v>1</v>
      </c>
      <c r="J1998">
        <v>24</v>
      </c>
      <c r="K1998">
        <v>53.81</v>
      </c>
      <c r="L1998">
        <v>0</v>
      </c>
    </row>
    <row r="1999" spans="1:12">
      <c r="A1999" t="s">
        <v>5804</v>
      </c>
      <c r="B1999" t="s">
        <v>5805</v>
      </c>
      <c r="C1999" t="s">
        <v>5806</v>
      </c>
      <c r="D1999" t="s">
        <v>23</v>
      </c>
      <c r="E1999" t="s">
        <v>24</v>
      </c>
      <c r="F1999" t="s">
        <v>60</v>
      </c>
      <c r="G1999" t="s">
        <v>105</v>
      </c>
      <c r="H1999" t="s">
        <v>31</v>
      </c>
      <c r="I1999">
        <v>5</v>
      </c>
      <c r="J1999">
        <v>24</v>
      </c>
      <c r="K1999">
        <v>10.38</v>
      </c>
      <c r="L1999">
        <v>1</v>
      </c>
    </row>
    <row r="2000" spans="1:12">
      <c r="A2000" t="s">
        <v>5807</v>
      </c>
      <c r="B2000" t="s">
        <v>5808</v>
      </c>
      <c r="C2000" t="s">
        <v>5809</v>
      </c>
      <c r="D2000" t="s">
        <v>35</v>
      </c>
      <c r="E2000" t="s">
        <v>28</v>
      </c>
      <c r="F2000" t="s">
        <v>60</v>
      </c>
      <c r="G2000" t="s">
        <v>42</v>
      </c>
      <c r="H2000" t="s">
        <v>19</v>
      </c>
      <c r="I2000">
        <v>5</v>
      </c>
      <c r="J2000">
        <v>48</v>
      </c>
      <c r="K2000">
        <v>8.0500000000000007</v>
      </c>
      <c r="L2000">
        <v>1</v>
      </c>
    </row>
    <row r="2001" spans="1:12">
      <c r="A2001" t="s">
        <v>5810</v>
      </c>
      <c r="B2001" t="s">
        <v>5811</v>
      </c>
      <c r="D2001" t="s">
        <v>15</v>
      </c>
      <c r="E2001" t="s">
        <v>16</v>
      </c>
      <c r="F2001" t="s">
        <v>41</v>
      </c>
      <c r="G2001" t="s">
        <v>73</v>
      </c>
      <c r="H2001" t="s">
        <v>63</v>
      </c>
      <c r="J2001">
        <v>8</v>
      </c>
    </row>
    <row r="2002" spans="1:12">
      <c r="A2002" t="s">
        <v>5812</v>
      </c>
      <c r="B2002" t="s">
        <v>5813</v>
      </c>
      <c r="D2002" t="s">
        <v>23</v>
      </c>
      <c r="E2002" t="s">
        <v>59</v>
      </c>
      <c r="F2002" t="s">
        <v>17</v>
      </c>
      <c r="G2002" t="s">
        <v>37</v>
      </c>
      <c r="H2002" t="s">
        <v>63</v>
      </c>
      <c r="J2002">
        <v>24</v>
      </c>
    </row>
    <row r="2003" spans="1:12">
      <c r="A2003" t="s">
        <v>5814</v>
      </c>
      <c r="B2003" t="s">
        <v>5815</v>
      </c>
      <c r="C2003" t="s">
        <v>5816</v>
      </c>
      <c r="D2003" t="s">
        <v>35</v>
      </c>
      <c r="E2003" t="s">
        <v>28</v>
      </c>
      <c r="F2003" t="s">
        <v>60</v>
      </c>
      <c r="G2003" t="s">
        <v>55</v>
      </c>
      <c r="H2003" t="s">
        <v>31</v>
      </c>
      <c r="I2003">
        <v>5</v>
      </c>
      <c r="J2003">
        <v>48</v>
      </c>
      <c r="K2003">
        <v>13.92</v>
      </c>
      <c r="L2003">
        <v>1</v>
      </c>
    </row>
    <row r="2004" spans="1:12">
      <c r="A2004" t="s">
        <v>5817</v>
      </c>
      <c r="B2004" t="s">
        <v>5818</v>
      </c>
      <c r="C2004" t="s">
        <v>5819</v>
      </c>
      <c r="D2004" t="s">
        <v>15</v>
      </c>
      <c r="E2004" t="s">
        <v>16</v>
      </c>
      <c r="F2004" t="s">
        <v>29</v>
      </c>
      <c r="G2004" t="s">
        <v>172</v>
      </c>
      <c r="H2004" t="s">
        <v>19</v>
      </c>
      <c r="I2004">
        <v>5</v>
      </c>
      <c r="J2004">
        <v>8</v>
      </c>
      <c r="K2004">
        <v>4.33</v>
      </c>
      <c r="L2004">
        <v>1</v>
      </c>
    </row>
    <row r="2005" spans="1:12">
      <c r="A2005" t="s">
        <v>5820</v>
      </c>
      <c r="B2005" t="s">
        <v>5821</v>
      </c>
      <c r="C2005" t="s">
        <v>5822</v>
      </c>
      <c r="D2005" t="s">
        <v>23</v>
      </c>
      <c r="E2005" t="s">
        <v>24</v>
      </c>
      <c r="F2005" t="s">
        <v>29</v>
      </c>
      <c r="G2005" t="s">
        <v>50</v>
      </c>
      <c r="H2005" t="s">
        <v>31</v>
      </c>
      <c r="I2005">
        <v>3</v>
      </c>
      <c r="J2005">
        <v>24</v>
      </c>
      <c r="K2005">
        <v>7.74</v>
      </c>
      <c r="L2005">
        <v>1</v>
      </c>
    </row>
    <row r="2006" spans="1:12">
      <c r="A2006" t="s">
        <v>5823</v>
      </c>
      <c r="B2006" t="s">
        <v>5824</v>
      </c>
      <c r="C2006" t="s">
        <v>5825</v>
      </c>
      <c r="D2006" t="s">
        <v>23</v>
      </c>
      <c r="E2006" t="s">
        <v>24</v>
      </c>
      <c r="F2006" t="s">
        <v>60</v>
      </c>
      <c r="G2006" t="s">
        <v>55</v>
      </c>
      <c r="H2006" t="s">
        <v>19</v>
      </c>
      <c r="I2006">
        <v>2</v>
      </c>
      <c r="J2006">
        <v>24</v>
      </c>
      <c r="K2006">
        <v>67.97</v>
      </c>
      <c r="L2006">
        <v>0</v>
      </c>
    </row>
    <row r="2007" spans="1:12">
      <c r="A2007" t="s">
        <v>5826</v>
      </c>
      <c r="B2007" t="s">
        <v>5827</v>
      </c>
      <c r="C2007" t="s">
        <v>5828</v>
      </c>
      <c r="D2007" t="s">
        <v>158</v>
      </c>
      <c r="E2007" t="s">
        <v>28</v>
      </c>
      <c r="F2007" t="s">
        <v>29</v>
      </c>
      <c r="G2007" t="s">
        <v>55</v>
      </c>
      <c r="H2007" t="s">
        <v>19</v>
      </c>
      <c r="I2007">
        <v>4</v>
      </c>
      <c r="J2007">
        <v>4</v>
      </c>
      <c r="K2007">
        <v>0.69</v>
      </c>
      <c r="L2007">
        <v>1</v>
      </c>
    </row>
    <row r="2008" spans="1:12">
      <c r="A2008" t="s">
        <v>5829</v>
      </c>
      <c r="B2008" t="s">
        <v>5830</v>
      </c>
      <c r="C2008" t="s">
        <v>5831</v>
      </c>
      <c r="D2008" t="s">
        <v>15</v>
      </c>
      <c r="E2008" t="s">
        <v>28</v>
      </c>
      <c r="F2008" t="s">
        <v>41</v>
      </c>
      <c r="G2008" t="s">
        <v>42</v>
      </c>
      <c r="H2008" t="s">
        <v>19</v>
      </c>
      <c r="I2008">
        <v>5</v>
      </c>
      <c r="J2008">
        <v>8</v>
      </c>
      <c r="K2008">
        <v>1.53</v>
      </c>
      <c r="L2008">
        <v>1</v>
      </c>
    </row>
    <row r="2009" spans="1:12">
      <c r="A2009" t="s">
        <v>5832</v>
      </c>
      <c r="B2009" t="s">
        <v>5833</v>
      </c>
      <c r="C2009" t="s">
        <v>5834</v>
      </c>
      <c r="D2009" t="s">
        <v>23</v>
      </c>
      <c r="E2009" t="s">
        <v>28</v>
      </c>
      <c r="F2009" t="s">
        <v>41</v>
      </c>
      <c r="G2009" t="s">
        <v>50</v>
      </c>
      <c r="H2009" t="s">
        <v>31</v>
      </c>
      <c r="I2009">
        <v>3</v>
      </c>
      <c r="J2009">
        <v>24</v>
      </c>
      <c r="K2009">
        <v>29.76</v>
      </c>
      <c r="L2009">
        <v>0</v>
      </c>
    </row>
    <row r="2010" spans="1:12">
      <c r="A2010" t="s">
        <v>5835</v>
      </c>
      <c r="B2010" t="s">
        <v>5836</v>
      </c>
      <c r="D2010" t="s">
        <v>35</v>
      </c>
      <c r="E2010" t="s">
        <v>24</v>
      </c>
      <c r="F2010" t="s">
        <v>60</v>
      </c>
      <c r="G2010" t="s">
        <v>45</v>
      </c>
      <c r="H2010" t="s">
        <v>63</v>
      </c>
      <c r="J2010">
        <v>48</v>
      </c>
    </row>
    <row r="2011" spans="1:12">
      <c r="A2011" t="s">
        <v>5837</v>
      </c>
      <c r="B2011" t="s">
        <v>5838</v>
      </c>
      <c r="D2011" t="s">
        <v>23</v>
      </c>
      <c r="E2011" t="s">
        <v>54</v>
      </c>
      <c r="F2011" t="s">
        <v>36</v>
      </c>
      <c r="G2011" t="s">
        <v>45</v>
      </c>
      <c r="H2011" t="s">
        <v>63</v>
      </c>
      <c r="J2011">
        <v>24</v>
      </c>
    </row>
    <row r="2012" spans="1:12">
      <c r="A2012" t="s">
        <v>5839</v>
      </c>
      <c r="B2012" t="s">
        <v>5840</v>
      </c>
      <c r="C2012" t="s">
        <v>5841</v>
      </c>
      <c r="D2012" t="s">
        <v>158</v>
      </c>
      <c r="E2012" t="s">
        <v>16</v>
      </c>
      <c r="F2012" t="s">
        <v>17</v>
      </c>
      <c r="G2012" t="s">
        <v>50</v>
      </c>
      <c r="H2012" t="s">
        <v>19</v>
      </c>
      <c r="I2012">
        <v>5</v>
      </c>
      <c r="J2012">
        <v>4</v>
      </c>
      <c r="K2012">
        <v>3.79</v>
      </c>
      <c r="L2012">
        <v>1</v>
      </c>
    </row>
    <row r="2013" spans="1:12">
      <c r="A2013" t="s">
        <v>5842</v>
      </c>
      <c r="B2013" t="s">
        <v>5843</v>
      </c>
      <c r="C2013" t="s">
        <v>5844</v>
      </c>
      <c r="D2013" t="s">
        <v>23</v>
      </c>
      <c r="E2013" t="s">
        <v>24</v>
      </c>
      <c r="F2013" t="s">
        <v>17</v>
      </c>
      <c r="G2013" t="s">
        <v>50</v>
      </c>
      <c r="H2013" t="s">
        <v>19</v>
      </c>
      <c r="I2013">
        <v>5</v>
      </c>
      <c r="J2013">
        <v>24</v>
      </c>
      <c r="K2013">
        <v>7.19</v>
      </c>
      <c r="L2013">
        <v>1</v>
      </c>
    </row>
    <row r="2014" spans="1:12">
      <c r="A2014" t="s">
        <v>5845</v>
      </c>
      <c r="B2014" t="s">
        <v>5846</v>
      </c>
      <c r="D2014" t="s">
        <v>35</v>
      </c>
      <c r="E2014" t="s">
        <v>28</v>
      </c>
      <c r="F2014" t="s">
        <v>17</v>
      </c>
      <c r="G2014" t="s">
        <v>73</v>
      </c>
      <c r="H2014" t="s">
        <v>63</v>
      </c>
      <c r="J2014">
        <v>48</v>
      </c>
    </row>
    <row r="2015" spans="1:12">
      <c r="A2015" t="s">
        <v>5847</v>
      </c>
      <c r="B2015" t="s">
        <v>5848</v>
      </c>
      <c r="C2015" t="s">
        <v>5849</v>
      </c>
      <c r="D2015" t="s">
        <v>35</v>
      </c>
      <c r="E2015" t="s">
        <v>16</v>
      </c>
      <c r="F2015" t="s">
        <v>41</v>
      </c>
      <c r="G2015" t="s">
        <v>37</v>
      </c>
      <c r="H2015" t="s">
        <v>19</v>
      </c>
      <c r="I2015">
        <v>5</v>
      </c>
      <c r="J2015">
        <v>48</v>
      </c>
      <c r="K2015">
        <v>36.340000000000003</v>
      </c>
      <c r="L2015">
        <v>1</v>
      </c>
    </row>
    <row r="2016" spans="1:12">
      <c r="A2016" t="s">
        <v>5850</v>
      </c>
      <c r="B2016" t="s">
        <v>5851</v>
      </c>
      <c r="C2016" t="s">
        <v>5852</v>
      </c>
      <c r="D2016" t="s">
        <v>23</v>
      </c>
      <c r="E2016" t="s">
        <v>28</v>
      </c>
      <c r="F2016" t="s">
        <v>29</v>
      </c>
      <c r="G2016" t="s">
        <v>45</v>
      </c>
      <c r="H2016" t="s">
        <v>31</v>
      </c>
      <c r="I2016">
        <v>5</v>
      </c>
      <c r="J2016">
        <v>24</v>
      </c>
      <c r="K2016">
        <v>16.8</v>
      </c>
      <c r="L2016">
        <v>1</v>
      </c>
    </row>
    <row r="2017" spans="1:12">
      <c r="A2017" t="s">
        <v>5853</v>
      </c>
      <c r="B2017" t="s">
        <v>5854</v>
      </c>
      <c r="C2017" t="s">
        <v>5855</v>
      </c>
      <c r="D2017" t="s">
        <v>35</v>
      </c>
      <c r="E2017" t="s">
        <v>28</v>
      </c>
      <c r="F2017" t="s">
        <v>29</v>
      </c>
      <c r="G2017" t="s">
        <v>105</v>
      </c>
      <c r="H2017" t="s">
        <v>31</v>
      </c>
      <c r="I2017">
        <v>2</v>
      </c>
      <c r="J2017">
        <v>48</v>
      </c>
      <c r="K2017">
        <v>124.96</v>
      </c>
      <c r="L2017">
        <v>0</v>
      </c>
    </row>
    <row r="2018" spans="1:12">
      <c r="A2018" t="s">
        <v>5856</v>
      </c>
      <c r="B2018" t="s">
        <v>5857</v>
      </c>
      <c r="C2018" t="s">
        <v>5858</v>
      </c>
      <c r="D2018" t="s">
        <v>35</v>
      </c>
      <c r="E2018" t="s">
        <v>59</v>
      </c>
      <c r="F2018" t="s">
        <v>60</v>
      </c>
      <c r="G2018" t="s">
        <v>73</v>
      </c>
      <c r="H2018" t="s">
        <v>19</v>
      </c>
      <c r="I2018">
        <v>3</v>
      </c>
      <c r="J2018">
        <v>48</v>
      </c>
      <c r="K2018">
        <v>9.64</v>
      </c>
      <c r="L2018">
        <v>1</v>
      </c>
    </row>
    <row r="2019" spans="1:12">
      <c r="A2019" t="s">
        <v>5859</v>
      </c>
      <c r="B2019" t="s">
        <v>5860</v>
      </c>
      <c r="C2019" t="s">
        <v>5861</v>
      </c>
      <c r="D2019" t="s">
        <v>23</v>
      </c>
      <c r="E2019" t="s">
        <v>28</v>
      </c>
      <c r="F2019" t="s">
        <v>17</v>
      </c>
      <c r="G2019" t="s">
        <v>30</v>
      </c>
      <c r="H2019" t="s">
        <v>31</v>
      </c>
      <c r="I2019">
        <v>4</v>
      </c>
      <c r="J2019">
        <v>24</v>
      </c>
      <c r="K2019">
        <v>18.75</v>
      </c>
      <c r="L2019">
        <v>1</v>
      </c>
    </row>
    <row r="2020" spans="1:12">
      <c r="A2020" t="s">
        <v>5862</v>
      </c>
      <c r="B2020" t="s">
        <v>5863</v>
      </c>
      <c r="C2020" t="s">
        <v>5864</v>
      </c>
      <c r="D2020" t="s">
        <v>23</v>
      </c>
      <c r="E2020" t="s">
        <v>59</v>
      </c>
      <c r="F2020" t="s">
        <v>36</v>
      </c>
      <c r="G2020" t="s">
        <v>18</v>
      </c>
      <c r="H2020" t="s">
        <v>19</v>
      </c>
      <c r="I2020">
        <v>3</v>
      </c>
      <c r="J2020">
        <v>24</v>
      </c>
      <c r="K2020">
        <v>66.53</v>
      </c>
      <c r="L2020">
        <v>0</v>
      </c>
    </row>
    <row r="2021" spans="1:12">
      <c r="A2021" t="s">
        <v>5865</v>
      </c>
      <c r="B2021" t="s">
        <v>5866</v>
      </c>
      <c r="C2021" t="s">
        <v>5867</v>
      </c>
      <c r="D2021" t="s">
        <v>15</v>
      </c>
      <c r="E2021" t="s">
        <v>28</v>
      </c>
      <c r="F2021" t="s">
        <v>17</v>
      </c>
      <c r="G2021" t="s">
        <v>30</v>
      </c>
      <c r="H2021" t="s">
        <v>19</v>
      </c>
      <c r="I2021">
        <v>5</v>
      </c>
      <c r="J2021">
        <v>8</v>
      </c>
      <c r="K2021">
        <v>4.3499999999999996</v>
      </c>
      <c r="L2021">
        <v>1</v>
      </c>
    </row>
    <row r="2022" spans="1:12">
      <c r="A2022" t="s">
        <v>5868</v>
      </c>
      <c r="B2022" t="s">
        <v>5869</v>
      </c>
      <c r="C2022" t="s">
        <v>5870</v>
      </c>
      <c r="D2022" t="s">
        <v>23</v>
      </c>
      <c r="E2022" t="s">
        <v>24</v>
      </c>
      <c r="F2022" t="s">
        <v>36</v>
      </c>
      <c r="G2022" t="s">
        <v>45</v>
      </c>
      <c r="H2022" t="s">
        <v>19</v>
      </c>
      <c r="I2022">
        <v>2</v>
      </c>
      <c r="J2022">
        <v>24</v>
      </c>
      <c r="K2022">
        <v>49.76</v>
      </c>
      <c r="L2022">
        <v>0</v>
      </c>
    </row>
    <row r="2023" spans="1:12">
      <c r="A2023" t="s">
        <v>5871</v>
      </c>
      <c r="B2023" t="s">
        <v>5872</v>
      </c>
      <c r="D2023" t="s">
        <v>23</v>
      </c>
      <c r="E2023" t="s">
        <v>16</v>
      </c>
      <c r="F2023" t="s">
        <v>17</v>
      </c>
      <c r="G2023" t="s">
        <v>50</v>
      </c>
      <c r="H2023" t="s">
        <v>46</v>
      </c>
      <c r="J2023">
        <v>24</v>
      </c>
    </row>
    <row r="2024" spans="1:12">
      <c r="A2024" t="s">
        <v>5873</v>
      </c>
      <c r="B2024" t="s">
        <v>5874</v>
      </c>
      <c r="C2024" t="s">
        <v>5875</v>
      </c>
      <c r="D2024" t="s">
        <v>35</v>
      </c>
      <c r="E2024" t="s">
        <v>28</v>
      </c>
      <c r="F2024" t="s">
        <v>41</v>
      </c>
      <c r="G2024" t="s">
        <v>151</v>
      </c>
      <c r="H2024" t="s">
        <v>31</v>
      </c>
      <c r="I2024">
        <v>4</v>
      </c>
      <c r="J2024">
        <v>48</v>
      </c>
      <c r="K2024">
        <v>16.739999999999998</v>
      </c>
      <c r="L2024">
        <v>1</v>
      </c>
    </row>
    <row r="2025" spans="1:12">
      <c r="A2025" t="s">
        <v>5876</v>
      </c>
      <c r="B2025" t="s">
        <v>5877</v>
      </c>
      <c r="C2025" t="s">
        <v>5878</v>
      </c>
      <c r="D2025" t="s">
        <v>158</v>
      </c>
      <c r="E2025" t="s">
        <v>28</v>
      </c>
      <c r="F2025" t="s">
        <v>60</v>
      </c>
      <c r="G2025" t="s">
        <v>105</v>
      </c>
      <c r="H2025" t="s">
        <v>31</v>
      </c>
      <c r="I2025">
        <v>4</v>
      </c>
      <c r="J2025">
        <v>4</v>
      </c>
      <c r="K2025">
        <v>6.45</v>
      </c>
      <c r="L2025">
        <v>0</v>
      </c>
    </row>
    <row r="2026" spans="1:12">
      <c r="A2026" t="s">
        <v>5879</v>
      </c>
      <c r="B2026" t="s">
        <v>5880</v>
      </c>
      <c r="C2026" t="s">
        <v>5881</v>
      </c>
      <c r="D2026" t="s">
        <v>23</v>
      </c>
      <c r="E2026" t="s">
        <v>16</v>
      </c>
      <c r="F2026" t="s">
        <v>17</v>
      </c>
      <c r="G2026" t="s">
        <v>105</v>
      </c>
      <c r="H2026" t="s">
        <v>19</v>
      </c>
      <c r="I2026">
        <v>4</v>
      </c>
      <c r="J2026">
        <v>24</v>
      </c>
      <c r="K2026">
        <v>17.440000000000001</v>
      </c>
      <c r="L2026">
        <v>1</v>
      </c>
    </row>
    <row r="2027" spans="1:12">
      <c r="A2027" t="s">
        <v>5882</v>
      </c>
      <c r="B2027" t="s">
        <v>5883</v>
      </c>
      <c r="C2027" t="s">
        <v>5884</v>
      </c>
      <c r="D2027" t="s">
        <v>15</v>
      </c>
      <c r="E2027" t="s">
        <v>54</v>
      </c>
      <c r="F2027" t="s">
        <v>36</v>
      </c>
      <c r="G2027" t="s">
        <v>151</v>
      </c>
      <c r="H2027" t="s">
        <v>19</v>
      </c>
      <c r="I2027">
        <v>3</v>
      </c>
      <c r="J2027">
        <v>8</v>
      </c>
      <c r="K2027">
        <v>3.36</v>
      </c>
      <c r="L2027">
        <v>1</v>
      </c>
    </row>
    <row r="2028" spans="1:12">
      <c r="A2028" t="s">
        <v>5885</v>
      </c>
      <c r="B2028" t="s">
        <v>5886</v>
      </c>
      <c r="C2028" t="s">
        <v>5887</v>
      </c>
      <c r="D2028" t="s">
        <v>23</v>
      </c>
      <c r="E2028" t="s">
        <v>28</v>
      </c>
      <c r="F2028" t="s">
        <v>41</v>
      </c>
      <c r="G2028" t="s">
        <v>73</v>
      </c>
      <c r="H2028" t="s">
        <v>19</v>
      </c>
      <c r="I2028">
        <v>5</v>
      </c>
      <c r="J2028">
        <v>24</v>
      </c>
      <c r="K2028">
        <v>9.44</v>
      </c>
      <c r="L2028">
        <v>1</v>
      </c>
    </row>
    <row r="2029" spans="1:12">
      <c r="A2029" t="s">
        <v>5888</v>
      </c>
      <c r="B2029" t="s">
        <v>5889</v>
      </c>
      <c r="C2029" t="s">
        <v>5890</v>
      </c>
      <c r="D2029" t="s">
        <v>23</v>
      </c>
      <c r="E2029" t="s">
        <v>28</v>
      </c>
      <c r="F2029" t="s">
        <v>36</v>
      </c>
      <c r="G2029" t="s">
        <v>151</v>
      </c>
      <c r="H2029" t="s">
        <v>19</v>
      </c>
      <c r="I2029">
        <v>4</v>
      </c>
      <c r="J2029">
        <v>24</v>
      </c>
      <c r="K2029">
        <v>20.76</v>
      </c>
      <c r="L2029">
        <v>1</v>
      </c>
    </row>
    <row r="2030" spans="1:12">
      <c r="A2030" t="s">
        <v>5891</v>
      </c>
      <c r="B2030" t="s">
        <v>5892</v>
      </c>
      <c r="C2030" t="s">
        <v>5893</v>
      </c>
      <c r="D2030" t="s">
        <v>15</v>
      </c>
      <c r="E2030" t="s">
        <v>59</v>
      </c>
      <c r="F2030" t="s">
        <v>60</v>
      </c>
      <c r="G2030" t="s">
        <v>151</v>
      </c>
      <c r="H2030" t="s">
        <v>19</v>
      </c>
      <c r="I2030">
        <v>5</v>
      </c>
      <c r="J2030">
        <v>8</v>
      </c>
      <c r="K2030">
        <v>1.85</v>
      </c>
      <c r="L2030">
        <v>1</v>
      </c>
    </row>
    <row r="2031" spans="1:12">
      <c r="A2031" t="s">
        <v>5894</v>
      </c>
      <c r="B2031" t="s">
        <v>5895</v>
      </c>
      <c r="C2031" t="s">
        <v>5896</v>
      </c>
      <c r="D2031" t="s">
        <v>15</v>
      </c>
      <c r="E2031" t="s">
        <v>28</v>
      </c>
      <c r="F2031" t="s">
        <v>60</v>
      </c>
      <c r="G2031" t="s">
        <v>151</v>
      </c>
      <c r="H2031" t="s">
        <v>31</v>
      </c>
      <c r="I2031">
        <v>4</v>
      </c>
      <c r="J2031">
        <v>8</v>
      </c>
      <c r="K2031">
        <v>5.27</v>
      </c>
      <c r="L2031">
        <v>1</v>
      </c>
    </row>
    <row r="2032" spans="1:12">
      <c r="A2032" t="s">
        <v>5897</v>
      </c>
      <c r="B2032" t="s">
        <v>5898</v>
      </c>
      <c r="C2032" t="s">
        <v>5899</v>
      </c>
      <c r="D2032" t="s">
        <v>23</v>
      </c>
      <c r="E2032" t="s">
        <v>28</v>
      </c>
      <c r="F2032" t="s">
        <v>17</v>
      </c>
      <c r="G2032" t="s">
        <v>105</v>
      </c>
      <c r="H2032" t="s">
        <v>19</v>
      </c>
      <c r="I2032">
        <v>3</v>
      </c>
      <c r="J2032">
        <v>24</v>
      </c>
      <c r="K2032">
        <v>11.96</v>
      </c>
      <c r="L2032">
        <v>1</v>
      </c>
    </row>
    <row r="2033" spans="1:12">
      <c r="A2033" t="s">
        <v>5900</v>
      </c>
      <c r="B2033" t="s">
        <v>5901</v>
      </c>
      <c r="C2033" t="s">
        <v>5902</v>
      </c>
      <c r="D2033" t="s">
        <v>15</v>
      </c>
      <c r="E2033" t="s">
        <v>28</v>
      </c>
      <c r="F2033" t="s">
        <v>17</v>
      </c>
      <c r="G2033" t="s">
        <v>55</v>
      </c>
      <c r="H2033" t="s">
        <v>31</v>
      </c>
      <c r="I2033">
        <v>4</v>
      </c>
      <c r="J2033">
        <v>8</v>
      </c>
      <c r="K2033">
        <v>23.32</v>
      </c>
      <c r="L2033">
        <v>0</v>
      </c>
    </row>
    <row r="2034" spans="1:12">
      <c r="A2034" t="s">
        <v>5903</v>
      </c>
      <c r="B2034" t="s">
        <v>5904</v>
      </c>
      <c r="C2034" t="s">
        <v>5905</v>
      </c>
      <c r="D2034" t="s">
        <v>15</v>
      </c>
      <c r="E2034" t="s">
        <v>24</v>
      </c>
      <c r="F2034" t="s">
        <v>60</v>
      </c>
      <c r="G2034" t="s">
        <v>55</v>
      </c>
      <c r="H2034" t="s">
        <v>19</v>
      </c>
      <c r="I2034">
        <v>4</v>
      </c>
      <c r="J2034">
        <v>8</v>
      </c>
      <c r="K2034">
        <v>1.96</v>
      </c>
      <c r="L2034">
        <v>1</v>
      </c>
    </row>
    <row r="2035" spans="1:12">
      <c r="A2035" t="s">
        <v>5906</v>
      </c>
      <c r="B2035" t="s">
        <v>5907</v>
      </c>
      <c r="C2035" t="s">
        <v>5908</v>
      </c>
      <c r="D2035" t="s">
        <v>23</v>
      </c>
      <c r="E2035" t="s">
        <v>54</v>
      </c>
      <c r="F2035" t="s">
        <v>60</v>
      </c>
      <c r="G2035" t="s">
        <v>42</v>
      </c>
      <c r="H2035" t="s">
        <v>31</v>
      </c>
      <c r="I2035">
        <v>4</v>
      </c>
      <c r="J2035">
        <v>24</v>
      </c>
      <c r="K2035">
        <v>13.63</v>
      </c>
      <c r="L2035">
        <v>1</v>
      </c>
    </row>
    <row r="2036" spans="1:12">
      <c r="A2036" t="s">
        <v>5909</v>
      </c>
      <c r="B2036" t="s">
        <v>5910</v>
      </c>
      <c r="C2036" t="s">
        <v>5911</v>
      </c>
      <c r="D2036" t="s">
        <v>15</v>
      </c>
      <c r="E2036" t="s">
        <v>28</v>
      </c>
      <c r="F2036" t="s">
        <v>17</v>
      </c>
      <c r="G2036" t="s">
        <v>55</v>
      </c>
      <c r="H2036" t="s">
        <v>31</v>
      </c>
      <c r="I2036">
        <v>5</v>
      </c>
      <c r="J2036">
        <v>8</v>
      </c>
      <c r="K2036">
        <v>2.98</v>
      </c>
      <c r="L2036">
        <v>1</v>
      </c>
    </row>
    <row r="2037" spans="1:12">
      <c r="A2037" t="s">
        <v>5912</v>
      </c>
      <c r="B2037" t="s">
        <v>5913</v>
      </c>
      <c r="C2037" t="s">
        <v>5914</v>
      </c>
      <c r="D2037" t="s">
        <v>23</v>
      </c>
      <c r="E2037" t="s">
        <v>28</v>
      </c>
      <c r="F2037" t="s">
        <v>41</v>
      </c>
      <c r="G2037" t="s">
        <v>105</v>
      </c>
      <c r="H2037" t="s">
        <v>31</v>
      </c>
      <c r="I2037">
        <v>4</v>
      </c>
      <c r="J2037">
        <v>24</v>
      </c>
      <c r="K2037">
        <v>5.7</v>
      </c>
      <c r="L2037">
        <v>1</v>
      </c>
    </row>
    <row r="2038" spans="1:12">
      <c r="A2038" t="s">
        <v>5915</v>
      </c>
      <c r="B2038" t="s">
        <v>5916</v>
      </c>
      <c r="C2038" t="s">
        <v>5917</v>
      </c>
      <c r="D2038" t="s">
        <v>35</v>
      </c>
      <c r="E2038" t="s">
        <v>54</v>
      </c>
      <c r="F2038" t="s">
        <v>29</v>
      </c>
      <c r="G2038" t="s">
        <v>45</v>
      </c>
      <c r="H2038" t="s">
        <v>31</v>
      </c>
      <c r="I2038">
        <v>3</v>
      </c>
      <c r="J2038">
        <v>48</v>
      </c>
      <c r="K2038">
        <v>97.02</v>
      </c>
      <c r="L2038">
        <v>0</v>
      </c>
    </row>
    <row r="2039" spans="1:12">
      <c r="A2039" t="s">
        <v>5918</v>
      </c>
      <c r="B2039" t="s">
        <v>5919</v>
      </c>
      <c r="C2039" t="s">
        <v>5920</v>
      </c>
      <c r="D2039" t="s">
        <v>15</v>
      </c>
      <c r="E2039" t="s">
        <v>28</v>
      </c>
      <c r="F2039" t="s">
        <v>60</v>
      </c>
      <c r="G2039" t="s">
        <v>50</v>
      </c>
      <c r="H2039" t="s">
        <v>19</v>
      </c>
      <c r="I2039">
        <v>4</v>
      </c>
      <c r="J2039">
        <v>8</v>
      </c>
      <c r="K2039">
        <v>3.79</v>
      </c>
      <c r="L2039">
        <v>1</v>
      </c>
    </row>
    <row r="2040" spans="1:12">
      <c r="A2040" t="s">
        <v>5921</v>
      </c>
      <c r="B2040" t="s">
        <v>5922</v>
      </c>
      <c r="D2040" t="s">
        <v>15</v>
      </c>
      <c r="E2040" t="s">
        <v>59</v>
      </c>
      <c r="F2040" t="s">
        <v>41</v>
      </c>
      <c r="G2040" t="s">
        <v>77</v>
      </c>
      <c r="H2040" t="s">
        <v>63</v>
      </c>
      <c r="J2040">
        <v>8</v>
      </c>
    </row>
    <row r="2041" spans="1:12">
      <c r="A2041" t="s">
        <v>5923</v>
      </c>
      <c r="B2041" t="s">
        <v>5924</v>
      </c>
      <c r="C2041" t="s">
        <v>5925</v>
      </c>
      <c r="D2041" t="s">
        <v>15</v>
      </c>
      <c r="E2041" t="s">
        <v>28</v>
      </c>
      <c r="F2041" t="s">
        <v>29</v>
      </c>
      <c r="G2041" t="s">
        <v>73</v>
      </c>
      <c r="H2041" t="s">
        <v>31</v>
      </c>
      <c r="I2041">
        <v>4</v>
      </c>
      <c r="J2041">
        <v>8</v>
      </c>
      <c r="K2041">
        <v>7.02</v>
      </c>
      <c r="L2041">
        <v>1</v>
      </c>
    </row>
    <row r="2042" spans="1:12">
      <c r="A2042" t="s">
        <v>5926</v>
      </c>
      <c r="B2042" t="s">
        <v>5927</v>
      </c>
      <c r="C2042" t="s">
        <v>5928</v>
      </c>
      <c r="D2042" t="s">
        <v>158</v>
      </c>
      <c r="E2042" t="s">
        <v>54</v>
      </c>
      <c r="F2042" t="s">
        <v>36</v>
      </c>
      <c r="G2042" t="s">
        <v>73</v>
      </c>
      <c r="H2042" t="s">
        <v>31</v>
      </c>
      <c r="I2042">
        <v>5</v>
      </c>
      <c r="J2042">
        <v>4</v>
      </c>
      <c r="K2042">
        <v>3.09</v>
      </c>
      <c r="L2042">
        <v>1</v>
      </c>
    </row>
    <row r="2043" spans="1:12">
      <c r="A2043" t="s">
        <v>5929</v>
      </c>
      <c r="B2043" t="s">
        <v>5930</v>
      </c>
      <c r="D2043" t="s">
        <v>15</v>
      </c>
      <c r="E2043" t="s">
        <v>24</v>
      </c>
      <c r="F2043" t="s">
        <v>36</v>
      </c>
      <c r="G2043" t="s">
        <v>45</v>
      </c>
      <c r="H2043" t="s">
        <v>63</v>
      </c>
      <c r="J2043">
        <v>8</v>
      </c>
    </row>
    <row r="2044" spans="1:12">
      <c r="A2044" t="s">
        <v>5931</v>
      </c>
      <c r="B2044" t="s">
        <v>5932</v>
      </c>
      <c r="C2044" t="s">
        <v>5933</v>
      </c>
      <c r="D2044" t="s">
        <v>23</v>
      </c>
      <c r="E2044" t="s">
        <v>28</v>
      </c>
      <c r="F2044" t="s">
        <v>60</v>
      </c>
      <c r="G2044" t="s">
        <v>50</v>
      </c>
      <c r="H2044" t="s">
        <v>19</v>
      </c>
      <c r="I2044">
        <v>5</v>
      </c>
      <c r="J2044">
        <v>24</v>
      </c>
      <c r="K2044">
        <v>17.5</v>
      </c>
      <c r="L2044">
        <v>1</v>
      </c>
    </row>
    <row r="2045" spans="1:12">
      <c r="A2045" t="s">
        <v>5934</v>
      </c>
      <c r="B2045" t="s">
        <v>5935</v>
      </c>
      <c r="C2045" t="s">
        <v>5936</v>
      </c>
      <c r="D2045" t="s">
        <v>23</v>
      </c>
      <c r="E2045" t="s">
        <v>28</v>
      </c>
      <c r="F2045" t="s">
        <v>17</v>
      </c>
      <c r="G2045" t="s">
        <v>151</v>
      </c>
      <c r="H2045" t="s">
        <v>19</v>
      </c>
      <c r="I2045">
        <v>4</v>
      </c>
      <c r="J2045">
        <v>24</v>
      </c>
      <c r="K2045">
        <v>62.58</v>
      </c>
      <c r="L2045">
        <v>0</v>
      </c>
    </row>
    <row r="2046" spans="1:12">
      <c r="A2046" t="s">
        <v>5937</v>
      </c>
      <c r="B2046" t="s">
        <v>5938</v>
      </c>
      <c r="C2046" t="s">
        <v>5939</v>
      </c>
      <c r="D2046" t="s">
        <v>35</v>
      </c>
      <c r="E2046" t="s">
        <v>16</v>
      </c>
      <c r="F2046" t="s">
        <v>17</v>
      </c>
      <c r="G2046" t="s">
        <v>30</v>
      </c>
      <c r="H2046" t="s">
        <v>19</v>
      </c>
      <c r="I2046">
        <v>5</v>
      </c>
      <c r="J2046">
        <v>48</v>
      </c>
      <c r="K2046">
        <v>42.44</v>
      </c>
      <c r="L2046">
        <v>1</v>
      </c>
    </row>
    <row r="2047" spans="1:12">
      <c r="A2047" t="s">
        <v>5940</v>
      </c>
      <c r="B2047" t="s">
        <v>5941</v>
      </c>
      <c r="C2047" t="s">
        <v>5942</v>
      </c>
      <c r="D2047" t="s">
        <v>23</v>
      </c>
      <c r="E2047" t="s">
        <v>16</v>
      </c>
      <c r="F2047" t="s">
        <v>29</v>
      </c>
      <c r="G2047" t="s">
        <v>42</v>
      </c>
      <c r="H2047" t="s">
        <v>19</v>
      </c>
      <c r="I2047">
        <v>5</v>
      </c>
      <c r="J2047">
        <v>24</v>
      </c>
      <c r="K2047">
        <v>20.18</v>
      </c>
      <c r="L2047">
        <v>1</v>
      </c>
    </row>
    <row r="2048" spans="1:12">
      <c r="A2048" t="s">
        <v>5943</v>
      </c>
      <c r="B2048" t="s">
        <v>5944</v>
      </c>
      <c r="C2048" t="s">
        <v>5945</v>
      </c>
      <c r="D2048" t="s">
        <v>23</v>
      </c>
      <c r="E2048" t="s">
        <v>16</v>
      </c>
      <c r="F2048" t="s">
        <v>36</v>
      </c>
      <c r="G2048" t="s">
        <v>30</v>
      </c>
      <c r="H2048" t="s">
        <v>31</v>
      </c>
      <c r="I2048">
        <v>5</v>
      </c>
      <c r="J2048">
        <v>24</v>
      </c>
      <c r="K2048">
        <v>5.82</v>
      </c>
      <c r="L2048">
        <v>1</v>
      </c>
    </row>
    <row r="2049" spans="1:12">
      <c r="A2049" t="s">
        <v>5946</v>
      </c>
      <c r="B2049" t="s">
        <v>5947</v>
      </c>
      <c r="C2049" t="s">
        <v>5948</v>
      </c>
      <c r="D2049" t="s">
        <v>23</v>
      </c>
      <c r="E2049" t="s">
        <v>54</v>
      </c>
      <c r="F2049" t="s">
        <v>36</v>
      </c>
      <c r="G2049" t="s">
        <v>45</v>
      </c>
      <c r="H2049" t="s">
        <v>19</v>
      </c>
      <c r="I2049">
        <v>5</v>
      </c>
      <c r="J2049">
        <v>24</v>
      </c>
      <c r="K2049">
        <v>20.100000000000001</v>
      </c>
      <c r="L2049">
        <v>1</v>
      </c>
    </row>
    <row r="2050" spans="1:12">
      <c r="A2050" t="s">
        <v>5949</v>
      </c>
      <c r="B2050" t="s">
        <v>5950</v>
      </c>
      <c r="C2050" t="s">
        <v>5951</v>
      </c>
      <c r="D2050" t="s">
        <v>23</v>
      </c>
      <c r="E2050" t="s">
        <v>24</v>
      </c>
      <c r="F2050" t="s">
        <v>36</v>
      </c>
      <c r="G2050" t="s">
        <v>55</v>
      </c>
      <c r="H2050" t="s">
        <v>19</v>
      </c>
      <c r="I2050">
        <v>5</v>
      </c>
      <c r="J2050">
        <v>24</v>
      </c>
      <c r="K2050">
        <v>6.69</v>
      </c>
      <c r="L2050">
        <v>1</v>
      </c>
    </row>
    <row r="2051" spans="1:12">
      <c r="A2051" t="s">
        <v>5952</v>
      </c>
      <c r="B2051" t="s">
        <v>5953</v>
      </c>
      <c r="C2051" t="s">
        <v>5954</v>
      </c>
      <c r="D2051" t="s">
        <v>23</v>
      </c>
      <c r="E2051" t="s">
        <v>24</v>
      </c>
      <c r="F2051" t="s">
        <v>41</v>
      </c>
      <c r="G2051" t="s">
        <v>30</v>
      </c>
      <c r="H2051" t="s">
        <v>31</v>
      </c>
      <c r="I2051">
        <v>4</v>
      </c>
      <c r="J2051">
        <v>24</v>
      </c>
      <c r="K2051">
        <v>4.76</v>
      </c>
      <c r="L2051">
        <v>1</v>
      </c>
    </row>
    <row r="2052" spans="1:12">
      <c r="A2052" t="s">
        <v>5955</v>
      </c>
      <c r="B2052" t="s">
        <v>5956</v>
      </c>
      <c r="C2052" t="s">
        <v>5957</v>
      </c>
      <c r="D2052" t="s">
        <v>23</v>
      </c>
      <c r="E2052" t="s">
        <v>16</v>
      </c>
      <c r="F2052" t="s">
        <v>41</v>
      </c>
      <c r="G2052" t="s">
        <v>37</v>
      </c>
      <c r="H2052" t="s">
        <v>19</v>
      </c>
      <c r="I2052">
        <v>5</v>
      </c>
      <c r="J2052">
        <v>24</v>
      </c>
      <c r="K2052">
        <v>3.49</v>
      </c>
      <c r="L2052">
        <v>1</v>
      </c>
    </row>
    <row r="2053" spans="1:12">
      <c r="A2053" t="s">
        <v>5958</v>
      </c>
      <c r="B2053" t="s">
        <v>5959</v>
      </c>
      <c r="C2053" t="s">
        <v>5960</v>
      </c>
      <c r="D2053" t="s">
        <v>23</v>
      </c>
      <c r="E2053" t="s">
        <v>24</v>
      </c>
      <c r="F2053" t="s">
        <v>41</v>
      </c>
      <c r="G2053" t="s">
        <v>37</v>
      </c>
      <c r="H2053" t="s">
        <v>19</v>
      </c>
      <c r="I2053">
        <v>2</v>
      </c>
      <c r="J2053">
        <v>24</v>
      </c>
      <c r="K2053">
        <v>27.16</v>
      </c>
      <c r="L2053">
        <v>0</v>
      </c>
    </row>
    <row r="2054" spans="1:12">
      <c r="A2054" t="s">
        <v>5961</v>
      </c>
      <c r="B2054" t="s">
        <v>5962</v>
      </c>
      <c r="D2054" t="s">
        <v>23</v>
      </c>
      <c r="E2054" t="s">
        <v>16</v>
      </c>
      <c r="F2054" t="s">
        <v>60</v>
      </c>
      <c r="G2054" t="s">
        <v>50</v>
      </c>
      <c r="H2054" t="s">
        <v>63</v>
      </c>
      <c r="J2054">
        <v>24</v>
      </c>
    </row>
    <row r="2055" spans="1:12">
      <c r="A2055" t="s">
        <v>5963</v>
      </c>
      <c r="B2055" t="s">
        <v>5964</v>
      </c>
      <c r="C2055" t="s">
        <v>5965</v>
      </c>
      <c r="D2055" t="s">
        <v>35</v>
      </c>
      <c r="E2055" t="s">
        <v>16</v>
      </c>
      <c r="F2055" t="s">
        <v>17</v>
      </c>
      <c r="G2055" t="s">
        <v>30</v>
      </c>
      <c r="H2055" t="s">
        <v>19</v>
      </c>
      <c r="I2055">
        <v>4</v>
      </c>
      <c r="J2055">
        <v>48</v>
      </c>
      <c r="K2055">
        <v>20.32</v>
      </c>
      <c r="L2055">
        <v>1</v>
      </c>
    </row>
    <row r="2056" spans="1:12">
      <c r="A2056" t="s">
        <v>5966</v>
      </c>
      <c r="B2056" t="s">
        <v>5967</v>
      </c>
      <c r="C2056" t="s">
        <v>5968</v>
      </c>
      <c r="D2056" t="s">
        <v>23</v>
      </c>
      <c r="E2056" t="s">
        <v>28</v>
      </c>
      <c r="F2056" t="s">
        <v>29</v>
      </c>
      <c r="G2056" t="s">
        <v>77</v>
      </c>
      <c r="H2056" t="s">
        <v>19</v>
      </c>
      <c r="I2056">
        <v>4</v>
      </c>
      <c r="J2056">
        <v>24</v>
      </c>
      <c r="K2056">
        <v>8.15</v>
      </c>
      <c r="L2056">
        <v>1</v>
      </c>
    </row>
    <row r="2057" spans="1:12">
      <c r="A2057" t="s">
        <v>5969</v>
      </c>
      <c r="B2057" t="s">
        <v>5970</v>
      </c>
      <c r="C2057" t="s">
        <v>5971</v>
      </c>
      <c r="D2057" t="s">
        <v>158</v>
      </c>
      <c r="E2057" t="s">
        <v>54</v>
      </c>
      <c r="F2057" t="s">
        <v>41</v>
      </c>
      <c r="G2057" t="s">
        <v>151</v>
      </c>
      <c r="H2057" t="s">
        <v>19</v>
      </c>
      <c r="I2057">
        <v>2</v>
      </c>
      <c r="J2057">
        <v>4</v>
      </c>
      <c r="K2057">
        <v>10.91</v>
      </c>
      <c r="L2057">
        <v>0</v>
      </c>
    </row>
    <row r="2058" spans="1:12">
      <c r="A2058" t="s">
        <v>5972</v>
      </c>
      <c r="B2058" t="s">
        <v>5973</v>
      </c>
      <c r="C2058" t="s">
        <v>5974</v>
      </c>
      <c r="D2058" t="s">
        <v>35</v>
      </c>
      <c r="E2058" t="s">
        <v>24</v>
      </c>
      <c r="F2058" t="s">
        <v>29</v>
      </c>
      <c r="G2058" t="s">
        <v>37</v>
      </c>
      <c r="H2058" t="s">
        <v>19</v>
      </c>
      <c r="I2058">
        <v>3</v>
      </c>
      <c r="J2058">
        <v>48</v>
      </c>
      <c r="K2058">
        <v>105.76</v>
      </c>
      <c r="L2058">
        <v>0</v>
      </c>
    </row>
    <row r="2059" spans="1:12">
      <c r="A2059" t="s">
        <v>5975</v>
      </c>
      <c r="B2059" t="s">
        <v>5976</v>
      </c>
      <c r="C2059" t="s">
        <v>5977</v>
      </c>
      <c r="D2059" t="s">
        <v>35</v>
      </c>
      <c r="E2059" t="s">
        <v>28</v>
      </c>
      <c r="F2059" t="s">
        <v>41</v>
      </c>
      <c r="G2059" t="s">
        <v>42</v>
      </c>
      <c r="H2059" t="s">
        <v>31</v>
      </c>
      <c r="I2059">
        <v>5</v>
      </c>
      <c r="J2059">
        <v>48</v>
      </c>
      <c r="K2059">
        <v>4.8499999999999996</v>
      </c>
      <c r="L2059">
        <v>1</v>
      </c>
    </row>
    <row r="2060" spans="1:12">
      <c r="A2060" t="s">
        <v>5978</v>
      </c>
      <c r="B2060" t="s">
        <v>5979</v>
      </c>
      <c r="C2060" t="s">
        <v>5980</v>
      </c>
      <c r="D2060" t="s">
        <v>23</v>
      </c>
      <c r="E2060" t="s">
        <v>54</v>
      </c>
      <c r="F2060" t="s">
        <v>17</v>
      </c>
      <c r="G2060" t="s">
        <v>105</v>
      </c>
      <c r="H2060" t="s">
        <v>31</v>
      </c>
      <c r="I2060">
        <v>1</v>
      </c>
      <c r="J2060">
        <v>24</v>
      </c>
      <c r="K2060">
        <v>61.53</v>
      </c>
      <c r="L2060">
        <v>0</v>
      </c>
    </row>
    <row r="2061" spans="1:12">
      <c r="A2061" t="s">
        <v>5981</v>
      </c>
      <c r="B2061" t="s">
        <v>5982</v>
      </c>
      <c r="C2061" t="s">
        <v>5983</v>
      </c>
      <c r="D2061" t="s">
        <v>15</v>
      </c>
      <c r="E2061" t="s">
        <v>28</v>
      </c>
      <c r="F2061" t="s">
        <v>41</v>
      </c>
      <c r="G2061" t="s">
        <v>172</v>
      </c>
      <c r="H2061" t="s">
        <v>19</v>
      </c>
      <c r="I2061">
        <v>5</v>
      </c>
      <c r="J2061">
        <v>8</v>
      </c>
      <c r="K2061">
        <v>3.43</v>
      </c>
      <c r="L2061">
        <v>1</v>
      </c>
    </row>
    <row r="2062" spans="1:12">
      <c r="A2062" t="s">
        <v>5984</v>
      </c>
      <c r="B2062" t="s">
        <v>5985</v>
      </c>
      <c r="C2062" t="s">
        <v>5986</v>
      </c>
      <c r="D2062" t="s">
        <v>15</v>
      </c>
      <c r="E2062" t="s">
        <v>24</v>
      </c>
      <c r="F2062" t="s">
        <v>36</v>
      </c>
      <c r="G2062" t="s">
        <v>105</v>
      </c>
      <c r="H2062" t="s">
        <v>31</v>
      </c>
      <c r="I2062">
        <v>5</v>
      </c>
      <c r="J2062">
        <v>8</v>
      </c>
      <c r="K2062">
        <v>7.53</v>
      </c>
      <c r="L2062">
        <v>1</v>
      </c>
    </row>
    <row r="2063" spans="1:12">
      <c r="A2063" t="s">
        <v>5987</v>
      </c>
      <c r="B2063" t="s">
        <v>5988</v>
      </c>
      <c r="C2063" t="s">
        <v>5989</v>
      </c>
      <c r="D2063" t="s">
        <v>15</v>
      </c>
      <c r="E2063" t="s">
        <v>54</v>
      </c>
      <c r="F2063" t="s">
        <v>41</v>
      </c>
      <c r="G2063" t="s">
        <v>18</v>
      </c>
      <c r="H2063" t="s">
        <v>31</v>
      </c>
      <c r="I2063">
        <v>5</v>
      </c>
      <c r="J2063">
        <v>8</v>
      </c>
      <c r="K2063">
        <v>1.93</v>
      </c>
      <c r="L2063">
        <v>1</v>
      </c>
    </row>
    <row r="2064" spans="1:12">
      <c r="A2064" t="s">
        <v>5990</v>
      </c>
      <c r="B2064" t="s">
        <v>5991</v>
      </c>
      <c r="C2064" t="s">
        <v>5992</v>
      </c>
      <c r="D2064" t="s">
        <v>23</v>
      </c>
      <c r="E2064" t="s">
        <v>59</v>
      </c>
      <c r="F2064" t="s">
        <v>41</v>
      </c>
      <c r="G2064" t="s">
        <v>37</v>
      </c>
      <c r="H2064" t="s">
        <v>31</v>
      </c>
      <c r="I2064">
        <v>4</v>
      </c>
      <c r="J2064">
        <v>24</v>
      </c>
      <c r="K2064">
        <v>7.06</v>
      </c>
      <c r="L2064">
        <v>1</v>
      </c>
    </row>
    <row r="2065" spans="1:12">
      <c r="A2065" t="s">
        <v>5993</v>
      </c>
      <c r="B2065" t="s">
        <v>5994</v>
      </c>
      <c r="C2065" t="s">
        <v>5995</v>
      </c>
      <c r="D2065" t="s">
        <v>23</v>
      </c>
      <c r="E2065" t="s">
        <v>59</v>
      </c>
      <c r="F2065" t="s">
        <v>36</v>
      </c>
      <c r="G2065" t="s">
        <v>172</v>
      </c>
      <c r="H2065" t="s">
        <v>19</v>
      </c>
      <c r="I2065">
        <v>3</v>
      </c>
      <c r="J2065">
        <v>24</v>
      </c>
      <c r="K2065">
        <v>32.619999999999997</v>
      </c>
      <c r="L2065">
        <v>0</v>
      </c>
    </row>
    <row r="2066" spans="1:12">
      <c r="A2066" t="s">
        <v>5996</v>
      </c>
      <c r="B2066" t="s">
        <v>5997</v>
      </c>
      <c r="C2066" t="s">
        <v>5998</v>
      </c>
      <c r="D2066" t="s">
        <v>23</v>
      </c>
      <c r="E2066" t="s">
        <v>28</v>
      </c>
      <c r="F2066" t="s">
        <v>29</v>
      </c>
      <c r="G2066" t="s">
        <v>30</v>
      </c>
      <c r="H2066" t="s">
        <v>19</v>
      </c>
      <c r="I2066">
        <v>5</v>
      </c>
      <c r="J2066">
        <v>24</v>
      </c>
      <c r="K2066">
        <v>14.97</v>
      </c>
      <c r="L2066">
        <v>1</v>
      </c>
    </row>
    <row r="2067" spans="1:12">
      <c r="A2067" t="s">
        <v>5999</v>
      </c>
      <c r="B2067" t="s">
        <v>6000</v>
      </c>
      <c r="C2067" t="s">
        <v>6001</v>
      </c>
      <c r="D2067" t="s">
        <v>35</v>
      </c>
      <c r="E2067" t="s">
        <v>54</v>
      </c>
      <c r="F2067" t="s">
        <v>41</v>
      </c>
      <c r="G2067" t="s">
        <v>172</v>
      </c>
      <c r="H2067" t="s">
        <v>19</v>
      </c>
      <c r="I2067">
        <v>4</v>
      </c>
      <c r="J2067">
        <v>48</v>
      </c>
      <c r="K2067">
        <v>30.21</v>
      </c>
      <c r="L2067">
        <v>1</v>
      </c>
    </row>
    <row r="2068" spans="1:12">
      <c r="A2068" t="s">
        <v>6002</v>
      </c>
      <c r="B2068" t="s">
        <v>6003</v>
      </c>
      <c r="C2068" t="s">
        <v>6004</v>
      </c>
      <c r="D2068" t="s">
        <v>23</v>
      </c>
      <c r="E2068" t="s">
        <v>59</v>
      </c>
      <c r="F2068" t="s">
        <v>29</v>
      </c>
      <c r="G2068" t="s">
        <v>45</v>
      </c>
      <c r="H2068" t="s">
        <v>19</v>
      </c>
      <c r="I2068">
        <v>4</v>
      </c>
      <c r="J2068">
        <v>24</v>
      </c>
      <c r="K2068">
        <v>7.42</v>
      </c>
      <c r="L2068">
        <v>1</v>
      </c>
    </row>
    <row r="2069" spans="1:12">
      <c r="A2069" t="s">
        <v>6005</v>
      </c>
      <c r="B2069" t="s">
        <v>6006</v>
      </c>
      <c r="C2069" t="s">
        <v>6007</v>
      </c>
      <c r="D2069" t="s">
        <v>15</v>
      </c>
      <c r="E2069" t="s">
        <v>16</v>
      </c>
      <c r="F2069" t="s">
        <v>41</v>
      </c>
      <c r="G2069" t="s">
        <v>37</v>
      </c>
      <c r="H2069" t="s">
        <v>19</v>
      </c>
      <c r="I2069">
        <v>4</v>
      </c>
      <c r="J2069">
        <v>8</v>
      </c>
      <c r="K2069">
        <v>1.2</v>
      </c>
      <c r="L2069">
        <v>1</v>
      </c>
    </row>
    <row r="2070" spans="1:12">
      <c r="A2070" t="s">
        <v>6008</v>
      </c>
      <c r="B2070" t="s">
        <v>6009</v>
      </c>
      <c r="C2070" t="s">
        <v>6010</v>
      </c>
      <c r="D2070" t="s">
        <v>23</v>
      </c>
      <c r="E2070" t="s">
        <v>24</v>
      </c>
      <c r="F2070" t="s">
        <v>36</v>
      </c>
      <c r="G2070" t="s">
        <v>105</v>
      </c>
      <c r="H2070" t="s">
        <v>31</v>
      </c>
      <c r="I2070">
        <v>4</v>
      </c>
      <c r="J2070">
        <v>24</v>
      </c>
      <c r="K2070">
        <v>4.45</v>
      </c>
      <c r="L2070">
        <v>1</v>
      </c>
    </row>
    <row r="2071" spans="1:12">
      <c r="A2071" t="s">
        <v>6011</v>
      </c>
      <c r="B2071" t="s">
        <v>6012</v>
      </c>
      <c r="C2071" t="s">
        <v>6013</v>
      </c>
      <c r="D2071" t="s">
        <v>35</v>
      </c>
      <c r="E2071" t="s">
        <v>28</v>
      </c>
      <c r="F2071" t="s">
        <v>41</v>
      </c>
      <c r="G2071" t="s">
        <v>77</v>
      </c>
      <c r="H2071" t="s">
        <v>19</v>
      </c>
      <c r="I2071">
        <v>5</v>
      </c>
      <c r="J2071">
        <v>48</v>
      </c>
      <c r="K2071">
        <v>8.7799999999999994</v>
      </c>
      <c r="L2071">
        <v>1</v>
      </c>
    </row>
    <row r="2072" spans="1:12">
      <c r="A2072" t="s">
        <v>6014</v>
      </c>
      <c r="B2072" t="s">
        <v>6015</v>
      </c>
      <c r="C2072" t="s">
        <v>6016</v>
      </c>
      <c r="D2072" t="s">
        <v>23</v>
      </c>
      <c r="E2072" t="s">
        <v>24</v>
      </c>
      <c r="F2072" t="s">
        <v>36</v>
      </c>
      <c r="G2072" t="s">
        <v>105</v>
      </c>
      <c r="H2072" t="s">
        <v>19</v>
      </c>
      <c r="I2072">
        <v>3</v>
      </c>
      <c r="J2072">
        <v>24</v>
      </c>
      <c r="K2072">
        <v>3.64</v>
      </c>
      <c r="L2072">
        <v>1</v>
      </c>
    </row>
    <row r="2073" spans="1:12">
      <c r="A2073" t="s">
        <v>6017</v>
      </c>
      <c r="B2073" t="s">
        <v>6018</v>
      </c>
      <c r="C2073" t="s">
        <v>6019</v>
      </c>
      <c r="D2073" t="s">
        <v>158</v>
      </c>
      <c r="E2073" t="s">
        <v>28</v>
      </c>
      <c r="F2073" t="s">
        <v>17</v>
      </c>
      <c r="G2073" t="s">
        <v>30</v>
      </c>
      <c r="H2073" t="s">
        <v>19</v>
      </c>
      <c r="I2073">
        <v>3</v>
      </c>
      <c r="J2073">
        <v>4</v>
      </c>
      <c r="K2073">
        <v>0.67</v>
      </c>
      <c r="L2073">
        <v>1</v>
      </c>
    </row>
    <row r="2074" spans="1:12">
      <c r="A2074" t="s">
        <v>6020</v>
      </c>
      <c r="B2074" t="s">
        <v>6021</v>
      </c>
      <c r="C2074" t="s">
        <v>6022</v>
      </c>
      <c r="D2074" t="s">
        <v>15</v>
      </c>
      <c r="E2074" t="s">
        <v>59</v>
      </c>
      <c r="F2074" t="s">
        <v>29</v>
      </c>
      <c r="G2074" t="s">
        <v>50</v>
      </c>
      <c r="H2074" t="s">
        <v>19</v>
      </c>
      <c r="I2074">
        <v>5</v>
      </c>
      <c r="J2074">
        <v>8</v>
      </c>
      <c r="K2074">
        <v>1.99</v>
      </c>
      <c r="L2074">
        <v>1</v>
      </c>
    </row>
    <row r="2075" spans="1:12">
      <c r="A2075" t="s">
        <v>6023</v>
      </c>
      <c r="B2075" t="s">
        <v>6024</v>
      </c>
      <c r="C2075" t="s">
        <v>6025</v>
      </c>
      <c r="D2075" t="s">
        <v>158</v>
      </c>
      <c r="E2075" t="s">
        <v>28</v>
      </c>
      <c r="F2075" t="s">
        <v>29</v>
      </c>
      <c r="G2075" t="s">
        <v>77</v>
      </c>
      <c r="H2075" t="s">
        <v>31</v>
      </c>
      <c r="I2075">
        <v>5</v>
      </c>
      <c r="J2075">
        <v>4</v>
      </c>
      <c r="K2075">
        <v>1.92</v>
      </c>
      <c r="L2075">
        <v>1</v>
      </c>
    </row>
    <row r="2076" spans="1:12">
      <c r="A2076" t="s">
        <v>6026</v>
      </c>
      <c r="B2076" t="s">
        <v>6027</v>
      </c>
      <c r="C2076" t="s">
        <v>6028</v>
      </c>
      <c r="D2076" t="s">
        <v>15</v>
      </c>
      <c r="E2076" t="s">
        <v>24</v>
      </c>
      <c r="F2076" t="s">
        <v>36</v>
      </c>
      <c r="G2076" t="s">
        <v>77</v>
      </c>
      <c r="H2076" t="s">
        <v>19</v>
      </c>
      <c r="I2076">
        <v>5</v>
      </c>
      <c r="J2076">
        <v>8</v>
      </c>
      <c r="K2076">
        <v>5.36</v>
      </c>
      <c r="L2076">
        <v>1</v>
      </c>
    </row>
    <row r="2077" spans="1:12">
      <c r="A2077" t="s">
        <v>6029</v>
      </c>
      <c r="B2077" t="s">
        <v>6030</v>
      </c>
      <c r="C2077" t="s">
        <v>6031</v>
      </c>
      <c r="D2077" t="s">
        <v>23</v>
      </c>
      <c r="E2077" t="s">
        <v>24</v>
      </c>
      <c r="F2077" t="s">
        <v>41</v>
      </c>
      <c r="G2077" t="s">
        <v>45</v>
      </c>
      <c r="H2077" t="s">
        <v>31</v>
      </c>
      <c r="I2077">
        <v>1</v>
      </c>
      <c r="J2077">
        <v>24</v>
      </c>
      <c r="K2077">
        <v>45.64</v>
      </c>
      <c r="L2077">
        <v>0</v>
      </c>
    </row>
    <row r="2078" spans="1:12">
      <c r="A2078" t="s">
        <v>6032</v>
      </c>
      <c r="B2078" t="s">
        <v>6033</v>
      </c>
      <c r="C2078" t="s">
        <v>6034</v>
      </c>
      <c r="D2078" t="s">
        <v>23</v>
      </c>
      <c r="E2078" t="s">
        <v>28</v>
      </c>
      <c r="F2078" t="s">
        <v>17</v>
      </c>
      <c r="G2078" t="s">
        <v>105</v>
      </c>
      <c r="H2078" t="s">
        <v>31</v>
      </c>
      <c r="I2078">
        <v>4</v>
      </c>
      <c r="J2078">
        <v>24</v>
      </c>
      <c r="K2078">
        <v>3.57</v>
      </c>
      <c r="L2078">
        <v>1</v>
      </c>
    </row>
    <row r="2079" spans="1:12">
      <c r="A2079" t="s">
        <v>6035</v>
      </c>
      <c r="B2079" t="s">
        <v>6036</v>
      </c>
      <c r="C2079" t="s">
        <v>6037</v>
      </c>
      <c r="D2079" t="s">
        <v>23</v>
      </c>
      <c r="E2079" t="s">
        <v>28</v>
      </c>
      <c r="F2079" t="s">
        <v>29</v>
      </c>
      <c r="G2079" t="s">
        <v>151</v>
      </c>
      <c r="H2079" t="s">
        <v>31</v>
      </c>
      <c r="I2079">
        <v>3</v>
      </c>
      <c r="J2079">
        <v>24</v>
      </c>
      <c r="K2079">
        <v>18.62</v>
      </c>
      <c r="L2079">
        <v>1</v>
      </c>
    </row>
    <row r="2080" spans="1:12">
      <c r="A2080" t="s">
        <v>6038</v>
      </c>
      <c r="B2080" t="s">
        <v>6039</v>
      </c>
      <c r="C2080" t="s">
        <v>6040</v>
      </c>
      <c r="D2080" t="s">
        <v>23</v>
      </c>
      <c r="E2080" t="s">
        <v>28</v>
      </c>
      <c r="F2080" t="s">
        <v>29</v>
      </c>
      <c r="G2080" t="s">
        <v>30</v>
      </c>
      <c r="H2080" t="s">
        <v>19</v>
      </c>
      <c r="I2080">
        <v>5</v>
      </c>
      <c r="J2080">
        <v>24</v>
      </c>
      <c r="K2080">
        <v>14.35</v>
      </c>
      <c r="L2080">
        <v>1</v>
      </c>
    </row>
    <row r="2081" spans="1:12">
      <c r="A2081" t="s">
        <v>6041</v>
      </c>
      <c r="B2081" t="s">
        <v>6042</v>
      </c>
      <c r="C2081" t="s">
        <v>6043</v>
      </c>
      <c r="D2081" t="s">
        <v>158</v>
      </c>
      <c r="E2081" t="s">
        <v>16</v>
      </c>
      <c r="F2081" t="s">
        <v>29</v>
      </c>
      <c r="G2081" t="s">
        <v>55</v>
      </c>
      <c r="H2081" t="s">
        <v>19</v>
      </c>
      <c r="I2081">
        <v>3</v>
      </c>
      <c r="J2081">
        <v>4</v>
      </c>
      <c r="K2081">
        <v>3.79</v>
      </c>
      <c r="L2081">
        <v>1</v>
      </c>
    </row>
    <row r="2082" spans="1:12">
      <c r="A2082" t="s">
        <v>6044</v>
      </c>
      <c r="B2082" t="s">
        <v>6045</v>
      </c>
      <c r="C2082" t="s">
        <v>6046</v>
      </c>
      <c r="D2082" t="s">
        <v>15</v>
      </c>
      <c r="E2082" t="s">
        <v>28</v>
      </c>
      <c r="F2082" t="s">
        <v>60</v>
      </c>
      <c r="G2082" t="s">
        <v>77</v>
      </c>
      <c r="H2082" t="s">
        <v>19</v>
      </c>
      <c r="I2082">
        <v>5</v>
      </c>
      <c r="J2082">
        <v>8</v>
      </c>
      <c r="K2082">
        <v>5.2</v>
      </c>
      <c r="L2082">
        <v>1</v>
      </c>
    </row>
    <row r="2083" spans="1:12">
      <c r="A2083" t="s">
        <v>6047</v>
      </c>
      <c r="B2083" t="s">
        <v>6048</v>
      </c>
      <c r="D2083" t="s">
        <v>35</v>
      </c>
      <c r="E2083" t="s">
        <v>28</v>
      </c>
      <c r="F2083" t="s">
        <v>60</v>
      </c>
      <c r="G2083" t="s">
        <v>77</v>
      </c>
      <c r="H2083" t="s">
        <v>46</v>
      </c>
      <c r="J2083">
        <v>48</v>
      </c>
    </row>
    <row r="2084" spans="1:12">
      <c r="A2084" t="s">
        <v>6049</v>
      </c>
      <c r="B2084" t="s">
        <v>6050</v>
      </c>
      <c r="C2084" t="s">
        <v>6051</v>
      </c>
      <c r="D2084" t="s">
        <v>15</v>
      </c>
      <c r="E2084" t="s">
        <v>24</v>
      </c>
      <c r="F2084" t="s">
        <v>41</v>
      </c>
      <c r="G2084" t="s">
        <v>55</v>
      </c>
      <c r="H2084" t="s">
        <v>19</v>
      </c>
      <c r="I2084">
        <v>5</v>
      </c>
      <c r="J2084">
        <v>8</v>
      </c>
      <c r="K2084">
        <v>3.62</v>
      </c>
      <c r="L2084">
        <v>1</v>
      </c>
    </row>
    <row r="2085" spans="1:12">
      <c r="A2085" t="s">
        <v>6052</v>
      </c>
      <c r="B2085" t="s">
        <v>6053</v>
      </c>
      <c r="C2085" t="s">
        <v>6054</v>
      </c>
      <c r="D2085" t="s">
        <v>15</v>
      </c>
      <c r="E2085" t="s">
        <v>28</v>
      </c>
      <c r="F2085" t="s">
        <v>41</v>
      </c>
      <c r="G2085" t="s">
        <v>42</v>
      </c>
      <c r="H2085" t="s">
        <v>19</v>
      </c>
      <c r="I2085">
        <v>4</v>
      </c>
      <c r="J2085">
        <v>8</v>
      </c>
      <c r="K2085">
        <v>7.28</v>
      </c>
      <c r="L2085">
        <v>1</v>
      </c>
    </row>
    <row r="2086" spans="1:12">
      <c r="A2086" t="s">
        <v>6055</v>
      </c>
      <c r="B2086" t="s">
        <v>6056</v>
      </c>
      <c r="C2086" t="s">
        <v>6057</v>
      </c>
      <c r="D2086" t="s">
        <v>15</v>
      </c>
      <c r="E2086" t="s">
        <v>28</v>
      </c>
      <c r="F2086" t="s">
        <v>17</v>
      </c>
      <c r="G2086" t="s">
        <v>172</v>
      </c>
      <c r="H2086" t="s">
        <v>19</v>
      </c>
      <c r="I2086">
        <v>5</v>
      </c>
      <c r="J2086">
        <v>8</v>
      </c>
      <c r="K2086">
        <v>5.48</v>
      </c>
      <c r="L2086">
        <v>1</v>
      </c>
    </row>
    <row r="2087" spans="1:12">
      <c r="A2087" t="s">
        <v>6058</v>
      </c>
      <c r="B2087" t="s">
        <v>6059</v>
      </c>
      <c r="C2087" t="s">
        <v>6060</v>
      </c>
      <c r="D2087" t="s">
        <v>23</v>
      </c>
      <c r="E2087" t="s">
        <v>54</v>
      </c>
      <c r="F2087" t="s">
        <v>36</v>
      </c>
      <c r="G2087" t="s">
        <v>55</v>
      </c>
      <c r="H2087" t="s">
        <v>19</v>
      </c>
      <c r="I2087">
        <v>5</v>
      </c>
      <c r="J2087">
        <v>24</v>
      </c>
      <c r="K2087">
        <v>16.91</v>
      </c>
      <c r="L2087">
        <v>1</v>
      </c>
    </row>
    <row r="2088" spans="1:12">
      <c r="A2088" t="s">
        <v>6061</v>
      </c>
      <c r="B2088" t="s">
        <v>6062</v>
      </c>
      <c r="C2088" t="s">
        <v>6063</v>
      </c>
      <c r="D2088" t="s">
        <v>35</v>
      </c>
      <c r="E2088" t="s">
        <v>16</v>
      </c>
      <c r="F2088" t="s">
        <v>17</v>
      </c>
      <c r="G2088" t="s">
        <v>30</v>
      </c>
      <c r="H2088" t="s">
        <v>19</v>
      </c>
      <c r="I2088">
        <v>5</v>
      </c>
      <c r="J2088">
        <v>48</v>
      </c>
      <c r="K2088">
        <v>23.6</v>
      </c>
      <c r="L2088">
        <v>1</v>
      </c>
    </row>
    <row r="2089" spans="1:12">
      <c r="A2089" t="s">
        <v>6064</v>
      </c>
      <c r="B2089" t="s">
        <v>6065</v>
      </c>
      <c r="C2089" t="s">
        <v>6066</v>
      </c>
      <c r="D2089" t="s">
        <v>15</v>
      </c>
      <c r="E2089" t="s">
        <v>24</v>
      </c>
      <c r="F2089" t="s">
        <v>36</v>
      </c>
      <c r="G2089" t="s">
        <v>73</v>
      </c>
      <c r="H2089" t="s">
        <v>31</v>
      </c>
      <c r="I2089">
        <v>5</v>
      </c>
      <c r="J2089">
        <v>8</v>
      </c>
      <c r="K2089">
        <v>5.09</v>
      </c>
      <c r="L2089">
        <v>1</v>
      </c>
    </row>
    <row r="2090" spans="1:12">
      <c r="A2090" t="s">
        <v>6067</v>
      </c>
      <c r="B2090" t="s">
        <v>6068</v>
      </c>
      <c r="C2090" t="s">
        <v>6069</v>
      </c>
      <c r="D2090" t="s">
        <v>158</v>
      </c>
      <c r="E2090" t="s">
        <v>59</v>
      </c>
      <c r="F2090" t="s">
        <v>60</v>
      </c>
      <c r="G2090" t="s">
        <v>42</v>
      </c>
      <c r="H2090" t="s">
        <v>19</v>
      </c>
      <c r="I2090">
        <v>5</v>
      </c>
      <c r="J2090">
        <v>4</v>
      </c>
      <c r="K2090">
        <v>2.95</v>
      </c>
      <c r="L2090">
        <v>1</v>
      </c>
    </row>
    <row r="2091" spans="1:12">
      <c r="A2091" t="s">
        <v>6070</v>
      </c>
      <c r="B2091" t="s">
        <v>6071</v>
      </c>
      <c r="D2091" t="s">
        <v>23</v>
      </c>
      <c r="E2091" t="s">
        <v>59</v>
      </c>
      <c r="F2091" t="s">
        <v>60</v>
      </c>
      <c r="G2091" t="s">
        <v>50</v>
      </c>
      <c r="H2091" t="s">
        <v>63</v>
      </c>
      <c r="J2091">
        <v>24</v>
      </c>
    </row>
    <row r="2092" spans="1:12">
      <c r="A2092" t="s">
        <v>6072</v>
      </c>
      <c r="B2092" t="s">
        <v>6073</v>
      </c>
      <c r="C2092" t="s">
        <v>6074</v>
      </c>
      <c r="D2092" t="s">
        <v>15</v>
      </c>
      <c r="E2092" t="s">
        <v>59</v>
      </c>
      <c r="F2092" t="s">
        <v>36</v>
      </c>
      <c r="G2092" t="s">
        <v>105</v>
      </c>
      <c r="H2092" t="s">
        <v>31</v>
      </c>
      <c r="I2092">
        <v>4</v>
      </c>
      <c r="J2092">
        <v>8</v>
      </c>
      <c r="K2092">
        <v>4.8</v>
      </c>
      <c r="L2092">
        <v>1</v>
      </c>
    </row>
    <row r="2093" spans="1:12">
      <c r="A2093" t="s">
        <v>6075</v>
      </c>
      <c r="B2093" t="s">
        <v>6076</v>
      </c>
      <c r="D2093" t="s">
        <v>23</v>
      </c>
      <c r="E2093" t="s">
        <v>16</v>
      </c>
      <c r="F2093" t="s">
        <v>36</v>
      </c>
      <c r="G2093" t="s">
        <v>77</v>
      </c>
      <c r="H2093" t="s">
        <v>63</v>
      </c>
      <c r="J2093">
        <v>24</v>
      </c>
    </row>
    <row r="2094" spans="1:12">
      <c r="A2094" t="s">
        <v>6077</v>
      </c>
      <c r="B2094" t="s">
        <v>6078</v>
      </c>
      <c r="C2094" t="s">
        <v>6079</v>
      </c>
      <c r="D2094" t="s">
        <v>15</v>
      </c>
      <c r="E2094" t="s">
        <v>28</v>
      </c>
      <c r="F2094" t="s">
        <v>17</v>
      </c>
      <c r="G2094" t="s">
        <v>42</v>
      </c>
      <c r="H2094" t="s">
        <v>19</v>
      </c>
      <c r="I2094">
        <v>2</v>
      </c>
      <c r="J2094">
        <v>8</v>
      </c>
      <c r="K2094">
        <v>13.95</v>
      </c>
      <c r="L2094">
        <v>0</v>
      </c>
    </row>
    <row r="2095" spans="1:12">
      <c r="A2095" t="s">
        <v>6080</v>
      </c>
      <c r="B2095" t="s">
        <v>6081</v>
      </c>
      <c r="C2095" t="s">
        <v>6082</v>
      </c>
      <c r="D2095" t="s">
        <v>15</v>
      </c>
      <c r="E2095" t="s">
        <v>28</v>
      </c>
      <c r="F2095" t="s">
        <v>60</v>
      </c>
      <c r="G2095" t="s">
        <v>172</v>
      </c>
      <c r="H2095" t="s">
        <v>19</v>
      </c>
      <c r="I2095">
        <v>5</v>
      </c>
      <c r="J2095">
        <v>8</v>
      </c>
      <c r="K2095">
        <v>1.97</v>
      </c>
      <c r="L2095">
        <v>1</v>
      </c>
    </row>
    <row r="2096" spans="1:12">
      <c r="A2096" t="s">
        <v>6083</v>
      </c>
      <c r="B2096" t="s">
        <v>6084</v>
      </c>
      <c r="C2096" t="s">
        <v>6085</v>
      </c>
      <c r="D2096" t="s">
        <v>23</v>
      </c>
      <c r="E2096" t="s">
        <v>28</v>
      </c>
      <c r="F2096" t="s">
        <v>29</v>
      </c>
      <c r="G2096" t="s">
        <v>50</v>
      </c>
      <c r="H2096" t="s">
        <v>31</v>
      </c>
      <c r="I2096">
        <v>1</v>
      </c>
      <c r="J2096">
        <v>24</v>
      </c>
      <c r="K2096">
        <v>33.619999999999997</v>
      </c>
      <c r="L2096">
        <v>0</v>
      </c>
    </row>
    <row r="2097" spans="1:12">
      <c r="A2097" t="s">
        <v>6086</v>
      </c>
      <c r="B2097" t="s">
        <v>6087</v>
      </c>
      <c r="C2097" t="s">
        <v>6088</v>
      </c>
      <c r="D2097" t="s">
        <v>158</v>
      </c>
      <c r="E2097" t="s">
        <v>54</v>
      </c>
      <c r="F2097" t="s">
        <v>36</v>
      </c>
      <c r="G2097" t="s">
        <v>151</v>
      </c>
      <c r="H2097" t="s">
        <v>31</v>
      </c>
      <c r="I2097">
        <v>2</v>
      </c>
      <c r="J2097">
        <v>4</v>
      </c>
      <c r="K2097">
        <v>8.18</v>
      </c>
      <c r="L2097">
        <v>0</v>
      </c>
    </row>
    <row r="2098" spans="1:12">
      <c r="A2098" t="s">
        <v>6089</v>
      </c>
      <c r="B2098" t="s">
        <v>6090</v>
      </c>
      <c r="C2098" t="s">
        <v>6091</v>
      </c>
      <c r="D2098" t="s">
        <v>23</v>
      </c>
      <c r="E2098" t="s">
        <v>16</v>
      </c>
      <c r="F2098" t="s">
        <v>60</v>
      </c>
      <c r="G2098" t="s">
        <v>151</v>
      </c>
      <c r="H2098" t="s">
        <v>19</v>
      </c>
      <c r="I2098">
        <v>3</v>
      </c>
      <c r="J2098">
        <v>24</v>
      </c>
      <c r="K2098">
        <v>32.24</v>
      </c>
      <c r="L2098">
        <v>0</v>
      </c>
    </row>
    <row r="2099" spans="1:12">
      <c r="A2099" t="s">
        <v>6092</v>
      </c>
      <c r="B2099" t="s">
        <v>6093</v>
      </c>
      <c r="C2099" t="s">
        <v>6094</v>
      </c>
      <c r="D2099" t="s">
        <v>23</v>
      </c>
      <c r="E2099" t="s">
        <v>59</v>
      </c>
      <c r="F2099" t="s">
        <v>41</v>
      </c>
      <c r="G2099" t="s">
        <v>151</v>
      </c>
      <c r="H2099" t="s">
        <v>31</v>
      </c>
      <c r="I2099">
        <v>4</v>
      </c>
      <c r="J2099">
        <v>24</v>
      </c>
      <c r="K2099">
        <v>14.41</v>
      </c>
      <c r="L2099">
        <v>1</v>
      </c>
    </row>
    <row r="2100" spans="1:12">
      <c r="A2100" t="s">
        <v>6095</v>
      </c>
      <c r="B2100" t="s">
        <v>6096</v>
      </c>
      <c r="C2100" t="s">
        <v>6097</v>
      </c>
      <c r="D2100" t="s">
        <v>15</v>
      </c>
      <c r="E2100" t="s">
        <v>16</v>
      </c>
      <c r="F2100" t="s">
        <v>60</v>
      </c>
      <c r="G2100" t="s">
        <v>37</v>
      </c>
      <c r="H2100" t="s">
        <v>19</v>
      </c>
      <c r="I2100">
        <v>5</v>
      </c>
      <c r="J2100">
        <v>8</v>
      </c>
      <c r="K2100">
        <v>4.16</v>
      </c>
      <c r="L2100">
        <v>1</v>
      </c>
    </row>
    <row r="2101" spans="1:12">
      <c r="A2101" t="s">
        <v>6098</v>
      </c>
      <c r="B2101" t="s">
        <v>6099</v>
      </c>
      <c r="C2101" t="s">
        <v>6100</v>
      </c>
      <c r="D2101" t="s">
        <v>15</v>
      </c>
      <c r="E2101" t="s">
        <v>16</v>
      </c>
      <c r="F2101" t="s">
        <v>60</v>
      </c>
      <c r="G2101" t="s">
        <v>77</v>
      </c>
      <c r="H2101" t="s">
        <v>19</v>
      </c>
      <c r="I2101">
        <v>5</v>
      </c>
      <c r="J2101">
        <v>8</v>
      </c>
      <c r="K2101">
        <v>3.21</v>
      </c>
      <c r="L2101">
        <v>1</v>
      </c>
    </row>
    <row r="2102" spans="1:12">
      <c r="A2102" t="s">
        <v>6101</v>
      </c>
      <c r="B2102" t="s">
        <v>6102</v>
      </c>
      <c r="C2102" t="s">
        <v>6103</v>
      </c>
      <c r="D2102" t="s">
        <v>23</v>
      </c>
      <c r="E2102" t="s">
        <v>16</v>
      </c>
      <c r="F2102" t="s">
        <v>41</v>
      </c>
      <c r="G2102" t="s">
        <v>73</v>
      </c>
      <c r="H2102" t="s">
        <v>19</v>
      </c>
      <c r="I2102">
        <v>4</v>
      </c>
      <c r="J2102">
        <v>24</v>
      </c>
      <c r="K2102">
        <v>14.74</v>
      </c>
      <c r="L2102">
        <v>1</v>
      </c>
    </row>
    <row r="2103" spans="1:12">
      <c r="A2103" t="s">
        <v>6104</v>
      </c>
      <c r="B2103" t="s">
        <v>6105</v>
      </c>
      <c r="C2103" t="s">
        <v>6106</v>
      </c>
      <c r="D2103" t="s">
        <v>15</v>
      </c>
      <c r="E2103" t="s">
        <v>54</v>
      </c>
      <c r="F2103" t="s">
        <v>41</v>
      </c>
      <c r="G2103" t="s">
        <v>77</v>
      </c>
      <c r="H2103" t="s">
        <v>19</v>
      </c>
      <c r="I2103">
        <v>3</v>
      </c>
      <c r="J2103">
        <v>8</v>
      </c>
      <c r="K2103">
        <v>4.96</v>
      </c>
      <c r="L2103">
        <v>1</v>
      </c>
    </row>
    <row r="2104" spans="1:12">
      <c r="A2104" t="s">
        <v>6107</v>
      </c>
      <c r="B2104" t="s">
        <v>6108</v>
      </c>
      <c r="C2104" t="s">
        <v>6109</v>
      </c>
      <c r="D2104" t="s">
        <v>23</v>
      </c>
      <c r="E2104" t="s">
        <v>24</v>
      </c>
      <c r="F2104" t="s">
        <v>41</v>
      </c>
      <c r="G2104" t="s">
        <v>30</v>
      </c>
      <c r="H2104" t="s">
        <v>19</v>
      </c>
      <c r="I2104">
        <v>4</v>
      </c>
      <c r="J2104">
        <v>24</v>
      </c>
      <c r="K2104">
        <v>10.27</v>
      </c>
      <c r="L2104">
        <v>1</v>
      </c>
    </row>
    <row r="2105" spans="1:12">
      <c r="A2105" t="s">
        <v>6110</v>
      </c>
      <c r="B2105" t="s">
        <v>6111</v>
      </c>
      <c r="C2105" t="s">
        <v>6112</v>
      </c>
      <c r="D2105" t="s">
        <v>23</v>
      </c>
      <c r="E2105" t="s">
        <v>16</v>
      </c>
      <c r="F2105" t="s">
        <v>41</v>
      </c>
      <c r="G2105" t="s">
        <v>45</v>
      </c>
      <c r="H2105" t="s">
        <v>19</v>
      </c>
      <c r="I2105">
        <v>5</v>
      </c>
      <c r="J2105">
        <v>24</v>
      </c>
      <c r="K2105">
        <v>12.65</v>
      </c>
      <c r="L2105">
        <v>1</v>
      </c>
    </row>
    <row r="2106" spans="1:12">
      <c r="A2106" t="s">
        <v>6113</v>
      </c>
      <c r="B2106" t="s">
        <v>6114</v>
      </c>
      <c r="C2106" t="s">
        <v>6115</v>
      </c>
      <c r="D2106" t="s">
        <v>23</v>
      </c>
      <c r="E2106" t="s">
        <v>16</v>
      </c>
      <c r="F2106" t="s">
        <v>41</v>
      </c>
      <c r="G2106" t="s">
        <v>77</v>
      </c>
      <c r="H2106" t="s">
        <v>31</v>
      </c>
      <c r="I2106">
        <v>4</v>
      </c>
      <c r="J2106">
        <v>24</v>
      </c>
      <c r="K2106">
        <v>3.24</v>
      </c>
      <c r="L2106">
        <v>1</v>
      </c>
    </row>
    <row r="2107" spans="1:12">
      <c r="A2107" t="s">
        <v>6116</v>
      </c>
      <c r="B2107" t="s">
        <v>6117</v>
      </c>
      <c r="C2107" t="s">
        <v>6118</v>
      </c>
      <c r="D2107" t="s">
        <v>23</v>
      </c>
      <c r="E2107" t="s">
        <v>24</v>
      </c>
      <c r="F2107" t="s">
        <v>60</v>
      </c>
      <c r="G2107" t="s">
        <v>50</v>
      </c>
      <c r="H2107" t="s">
        <v>31</v>
      </c>
      <c r="I2107">
        <v>5</v>
      </c>
      <c r="J2107">
        <v>24</v>
      </c>
      <c r="K2107">
        <v>2.85</v>
      </c>
      <c r="L2107">
        <v>1</v>
      </c>
    </row>
    <row r="2108" spans="1:12">
      <c r="A2108" t="s">
        <v>6119</v>
      </c>
      <c r="B2108" t="s">
        <v>6120</v>
      </c>
      <c r="C2108" t="s">
        <v>6121</v>
      </c>
      <c r="D2108" t="s">
        <v>15</v>
      </c>
      <c r="E2108" t="s">
        <v>28</v>
      </c>
      <c r="F2108" t="s">
        <v>36</v>
      </c>
      <c r="G2108" t="s">
        <v>55</v>
      </c>
      <c r="H2108" t="s">
        <v>31</v>
      </c>
      <c r="I2108">
        <v>2</v>
      </c>
      <c r="J2108">
        <v>8</v>
      </c>
      <c r="K2108">
        <v>12.27</v>
      </c>
      <c r="L2108">
        <v>0</v>
      </c>
    </row>
    <row r="2109" spans="1:12">
      <c r="A2109" t="s">
        <v>6122</v>
      </c>
      <c r="B2109" t="s">
        <v>6123</v>
      </c>
      <c r="C2109" t="s">
        <v>6124</v>
      </c>
      <c r="D2109" t="s">
        <v>23</v>
      </c>
      <c r="E2109" t="s">
        <v>59</v>
      </c>
      <c r="F2109" t="s">
        <v>17</v>
      </c>
      <c r="G2109" t="s">
        <v>105</v>
      </c>
      <c r="H2109" t="s">
        <v>19</v>
      </c>
      <c r="I2109">
        <v>4</v>
      </c>
      <c r="J2109">
        <v>24</v>
      </c>
      <c r="K2109">
        <v>12.09</v>
      </c>
      <c r="L2109">
        <v>1</v>
      </c>
    </row>
    <row r="2110" spans="1:12">
      <c r="A2110" t="s">
        <v>6125</v>
      </c>
      <c r="B2110" t="s">
        <v>6126</v>
      </c>
      <c r="C2110" t="s">
        <v>6127</v>
      </c>
      <c r="D2110" t="s">
        <v>15</v>
      </c>
      <c r="E2110" t="s">
        <v>59</v>
      </c>
      <c r="F2110" t="s">
        <v>36</v>
      </c>
      <c r="G2110" t="s">
        <v>45</v>
      </c>
      <c r="H2110" t="s">
        <v>19</v>
      </c>
      <c r="I2110">
        <v>5</v>
      </c>
      <c r="J2110">
        <v>8</v>
      </c>
      <c r="K2110">
        <v>3.52</v>
      </c>
      <c r="L2110">
        <v>1</v>
      </c>
    </row>
    <row r="2111" spans="1:12">
      <c r="A2111" t="s">
        <v>6128</v>
      </c>
      <c r="B2111" t="s">
        <v>6129</v>
      </c>
      <c r="C2111" t="s">
        <v>6130</v>
      </c>
      <c r="D2111" t="s">
        <v>158</v>
      </c>
      <c r="E2111" t="s">
        <v>24</v>
      </c>
      <c r="F2111" t="s">
        <v>29</v>
      </c>
      <c r="G2111" t="s">
        <v>45</v>
      </c>
      <c r="H2111" t="s">
        <v>19</v>
      </c>
      <c r="I2111">
        <v>4</v>
      </c>
      <c r="J2111">
        <v>4</v>
      </c>
      <c r="K2111">
        <v>2.5</v>
      </c>
      <c r="L2111">
        <v>1</v>
      </c>
    </row>
    <row r="2112" spans="1:12">
      <c r="A2112" t="s">
        <v>6131</v>
      </c>
      <c r="B2112" t="s">
        <v>6132</v>
      </c>
      <c r="C2112" t="s">
        <v>6133</v>
      </c>
      <c r="D2112" t="s">
        <v>158</v>
      </c>
      <c r="E2112" t="s">
        <v>24</v>
      </c>
      <c r="F2112" t="s">
        <v>29</v>
      </c>
      <c r="G2112" t="s">
        <v>45</v>
      </c>
      <c r="H2112" t="s">
        <v>19</v>
      </c>
      <c r="I2112">
        <v>3</v>
      </c>
      <c r="J2112">
        <v>4</v>
      </c>
      <c r="K2112">
        <v>1.77</v>
      </c>
      <c r="L2112">
        <v>1</v>
      </c>
    </row>
    <row r="2113" spans="1:12">
      <c r="A2113" t="s">
        <v>6134</v>
      </c>
      <c r="B2113" t="s">
        <v>6135</v>
      </c>
      <c r="C2113" t="s">
        <v>6136</v>
      </c>
      <c r="D2113" t="s">
        <v>23</v>
      </c>
      <c r="E2113" t="s">
        <v>16</v>
      </c>
      <c r="F2113" t="s">
        <v>36</v>
      </c>
      <c r="G2113" t="s">
        <v>77</v>
      </c>
      <c r="H2113" t="s">
        <v>19</v>
      </c>
      <c r="I2113">
        <v>5</v>
      </c>
      <c r="J2113">
        <v>24</v>
      </c>
      <c r="K2113">
        <v>13.38</v>
      </c>
      <c r="L2113">
        <v>1</v>
      </c>
    </row>
    <row r="2114" spans="1:12">
      <c r="A2114" t="s">
        <v>6137</v>
      </c>
      <c r="B2114" t="s">
        <v>6138</v>
      </c>
      <c r="C2114" t="s">
        <v>6139</v>
      </c>
      <c r="D2114" t="s">
        <v>158</v>
      </c>
      <c r="E2114" t="s">
        <v>28</v>
      </c>
      <c r="F2114" t="s">
        <v>36</v>
      </c>
      <c r="G2114" t="s">
        <v>37</v>
      </c>
      <c r="H2114" t="s">
        <v>19</v>
      </c>
      <c r="I2114">
        <v>3</v>
      </c>
      <c r="J2114">
        <v>4</v>
      </c>
      <c r="K2114">
        <v>0.73</v>
      </c>
      <c r="L2114">
        <v>1</v>
      </c>
    </row>
    <row r="2115" spans="1:12">
      <c r="A2115" t="s">
        <v>6140</v>
      </c>
      <c r="B2115" t="s">
        <v>6141</v>
      </c>
      <c r="C2115" t="s">
        <v>6142</v>
      </c>
      <c r="D2115" t="s">
        <v>23</v>
      </c>
      <c r="E2115" t="s">
        <v>16</v>
      </c>
      <c r="F2115" t="s">
        <v>36</v>
      </c>
      <c r="G2115" t="s">
        <v>18</v>
      </c>
      <c r="H2115" t="s">
        <v>31</v>
      </c>
      <c r="I2115">
        <v>5</v>
      </c>
      <c r="J2115">
        <v>24</v>
      </c>
      <c r="K2115">
        <v>21.15</v>
      </c>
      <c r="L2115">
        <v>1</v>
      </c>
    </row>
    <row r="2116" spans="1:12">
      <c r="A2116" t="s">
        <v>6143</v>
      </c>
      <c r="B2116" t="s">
        <v>6144</v>
      </c>
      <c r="C2116" t="s">
        <v>6145</v>
      </c>
      <c r="D2116" t="s">
        <v>23</v>
      </c>
      <c r="E2116" t="s">
        <v>54</v>
      </c>
      <c r="F2116" t="s">
        <v>60</v>
      </c>
      <c r="G2116" t="s">
        <v>55</v>
      </c>
      <c r="H2116" t="s">
        <v>31</v>
      </c>
      <c r="I2116">
        <v>4</v>
      </c>
      <c r="J2116">
        <v>24</v>
      </c>
      <c r="K2116">
        <v>22.3</v>
      </c>
      <c r="L2116">
        <v>1</v>
      </c>
    </row>
    <row r="2117" spans="1:12">
      <c r="A2117" t="s">
        <v>6146</v>
      </c>
      <c r="B2117" t="s">
        <v>6147</v>
      </c>
      <c r="C2117" t="s">
        <v>6148</v>
      </c>
      <c r="D2117" t="s">
        <v>23</v>
      </c>
      <c r="E2117" t="s">
        <v>28</v>
      </c>
      <c r="F2117" t="s">
        <v>60</v>
      </c>
      <c r="G2117" t="s">
        <v>37</v>
      </c>
      <c r="H2117" t="s">
        <v>31</v>
      </c>
      <c r="I2117">
        <v>4</v>
      </c>
      <c r="J2117">
        <v>24</v>
      </c>
      <c r="K2117">
        <v>20.079999999999998</v>
      </c>
      <c r="L2117">
        <v>1</v>
      </c>
    </row>
    <row r="2118" spans="1:12">
      <c r="A2118" t="s">
        <v>6149</v>
      </c>
      <c r="B2118" t="s">
        <v>6150</v>
      </c>
      <c r="C2118" t="s">
        <v>6151</v>
      </c>
      <c r="D2118" t="s">
        <v>15</v>
      </c>
      <c r="E2118" t="s">
        <v>28</v>
      </c>
      <c r="F2118" t="s">
        <v>36</v>
      </c>
      <c r="G2118" t="s">
        <v>42</v>
      </c>
      <c r="H2118" t="s">
        <v>19</v>
      </c>
      <c r="I2118">
        <v>4</v>
      </c>
      <c r="J2118">
        <v>8</v>
      </c>
      <c r="K2118">
        <v>4.87</v>
      </c>
      <c r="L2118">
        <v>1</v>
      </c>
    </row>
    <row r="2119" spans="1:12">
      <c r="A2119" t="s">
        <v>6152</v>
      </c>
      <c r="B2119" t="s">
        <v>6153</v>
      </c>
      <c r="C2119" t="s">
        <v>6154</v>
      </c>
      <c r="D2119" t="s">
        <v>23</v>
      </c>
      <c r="E2119" t="s">
        <v>28</v>
      </c>
      <c r="F2119" t="s">
        <v>29</v>
      </c>
      <c r="G2119" t="s">
        <v>18</v>
      </c>
      <c r="H2119" t="s">
        <v>31</v>
      </c>
      <c r="I2119">
        <v>4</v>
      </c>
      <c r="J2119">
        <v>24</v>
      </c>
      <c r="K2119">
        <v>16.57</v>
      </c>
      <c r="L2119">
        <v>1</v>
      </c>
    </row>
    <row r="2120" spans="1:12">
      <c r="A2120" t="s">
        <v>6155</v>
      </c>
      <c r="B2120" t="s">
        <v>6156</v>
      </c>
      <c r="C2120" t="s">
        <v>6157</v>
      </c>
      <c r="D2120" t="s">
        <v>23</v>
      </c>
      <c r="E2120" t="s">
        <v>28</v>
      </c>
      <c r="F2120" t="s">
        <v>36</v>
      </c>
      <c r="G2120" t="s">
        <v>18</v>
      </c>
      <c r="H2120" t="s">
        <v>31</v>
      </c>
      <c r="I2120">
        <v>5</v>
      </c>
      <c r="J2120">
        <v>24</v>
      </c>
      <c r="K2120">
        <v>18.13</v>
      </c>
      <c r="L2120">
        <v>1</v>
      </c>
    </row>
    <row r="2121" spans="1:12">
      <c r="A2121" t="s">
        <v>6158</v>
      </c>
      <c r="B2121" t="s">
        <v>6159</v>
      </c>
      <c r="C2121" t="s">
        <v>6160</v>
      </c>
      <c r="D2121" t="s">
        <v>23</v>
      </c>
      <c r="E2121" t="s">
        <v>28</v>
      </c>
      <c r="F2121" t="s">
        <v>17</v>
      </c>
      <c r="G2121" t="s">
        <v>42</v>
      </c>
      <c r="H2121" t="s">
        <v>19</v>
      </c>
      <c r="I2121">
        <v>3</v>
      </c>
      <c r="J2121">
        <v>24</v>
      </c>
      <c r="K2121">
        <v>10</v>
      </c>
      <c r="L2121">
        <v>1</v>
      </c>
    </row>
    <row r="2122" spans="1:12">
      <c r="A2122" t="s">
        <v>6161</v>
      </c>
      <c r="B2122" t="s">
        <v>6162</v>
      </c>
      <c r="C2122" t="s">
        <v>6163</v>
      </c>
      <c r="D2122" t="s">
        <v>158</v>
      </c>
      <c r="E2122" t="s">
        <v>24</v>
      </c>
      <c r="F2122" t="s">
        <v>60</v>
      </c>
      <c r="G2122" t="s">
        <v>45</v>
      </c>
      <c r="H2122" t="s">
        <v>31</v>
      </c>
      <c r="I2122">
        <v>4</v>
      </c>
      <c r="J2122">
        <v>4</v>
      </c>
      <c r="K2122">
        <v>3.7</v>
      </c>
      <c r="L2122">
        <v>1</v>
      </c>
    </row>
    <row r="2123" spans="1:12">
      <c r="A2123" t="s">
        <v>6164</v>
      </c>
      <c r="B2123" t="s">
        <v>6165</v>
      </c>
      <c r="C2123" t="s">
        <v>6166</v>
      </c>
      <c r="D2123" t="s">
        <v>15</v>
      </c>
      <c r="E2123" t="s">
        <v>28</v>
      </c>
      <c r="F2123" t="s">
        <v>41</v>
      </c>
      <c r="G2123" t="s">
        <v>151</v>
      </c>
      <c r="H2123" t="s">
        <v>31</v>
      </c>
      <c r="I2123">
        <v>5</v>
      </c>
      <c r="J2123">
        <v>8</v>
      </c>
      <c r="K2123">
        <v>5.84</v>
      </c>
      <c r="L2123">
        <v>1</v>
      </c>
    </row>
    <row r="2124" spans="1:12">
      <c r="A2124" t="s">
        <v>6167</v>
      </c>
      <c r="B2124" t="s">
        <v>6168</v>
      </c>
      <c r="C2124" t="s">
        <v>6169</v>
      </c>
      <c r="D2124" t="s">
        <v>23</v>
      </c>
      <c r="E2124" t="s">
        <v>28</v>
      </c>
      <c r="F2124" t="s">
        <v>29</v>
      </c>
      <c r="G2124" t="s">
        <v>37</v>
      </c>
      <c r="H2124" t="s">
        <v>19</v>
      </c>
      <c r="I2124">
        <v>4</v>
      </c>
      <c r="J2124">
        <v>24</v>
      </c>
      <c r="K2124">
        <v>18.53</v>
      </c>
      <c r="L2124">
        <v>1</v>
      </c>
    </row>
    <row r="2125" spans="1:12">
      <c r="A2125" t="s">
        <v>6170</v>
      </c>
      <c r="B2125" t="s">
        <v>6171</v>
      </c>
      <c r="C2125" t="s">
        <v>6172</v>
      </c>
      <c r="D2125" t="s">
        <v>35</v>
      </c>
      <c r="E2125" t="s">
        <v>59</v>
      </c>
      <c r="F2125" t="s">
        <v>41</v>
      </c>
      <c r="G2125" t="s">
        <v>172</v>
      </c>
      <c r="H2125" t="s">
        <v>19</v>
      </c>
      <c r="I2125">
        <v>5</v>
      </c>
      <c r="J2125">
        <v>48</v>
      </c>
      <c r="K2125">
        <v>23.19</v>
      </c>
      <c r="L2125">
        <v>1</v>
      </c>
    </row>
    <row r="2126" spans="1:12">
      <c r="A2126" t="s">
        <v>6173</v>
      </c>
      <c r="B2126" t="s">
        <v>6174</v>
      </c>
      <c r="C2126" t="s">
        <v>6175</v>
      </c>
      <c r="D2126" t="s">
        <v>15</v>
      </c>
      <c r="E2126" t="s">
        <v>28</v>
      </c>
      <c r="F2126" t="s">
        <v>60</v>
      </c>
      <c r="G2126" t="s">
        <v>55</v>
      </c>
      <c r="H2126" t="s">
        <v>19</v>
      </c>
      <c r="I2126">
        <v>4</v>
      </c>
      <c r="J2126">
        <v>8</v>
      </c>
      <c r="K2126">
        <v>6.63</v>
      </c>
      <c r="L2126">
        <v>1</v>
      </c>
    </row>
    <row r="2127" spans="1:12">
      <c r="A2127" t="s">
        <v>6176</v>
      </c>
      <c r="B2127" t="s">
        <v>6177</v>
      </c>
      <c r="C2127" t="s">
        <v>6178</v>
      </c>
      <c r="D2127" t="s">
        <v>23</v>
      </c>
      <c r="E2127" t="s">
        <v>28</v>
      </c>
      <c r="F2127" t="s">
        <v>17</v>
      </c>
      <c r="G2127" t="s">
        <v>151</v>
      </c>
      <c r="H2127" t="s">
        <v>19</v>
      </c>
      <c r="I2127">
        <v>3</v>
      </c>
      <c r="J2127">
        <v>24</v>
      </c>
      <c r="K2127">
        <v>16.690000000000001</v>
      </c>
      <c r="L2127">
        <v>1</v>
      </c>
    </row>
    <row r="2128" spans="1:12">
      <c r="A2128" t="s">
        <v>6179</v>
      </c>
      <c r="B2128" t="s">
        <v>6180</v>
      </c>
      <c r="D2128" t="s">
        <v>23</v>
      </c>
      <c r="E2128" t="s">
        <v>54</v>
      </c>
      <c r="F2128" t="s">
        <v>29</v>
      </c>
      <c r="G2128" t="s">
        <v>18</v>
      </c>
      <c r="H2128" t="s">
        <v>63</v>
      </c>
      <c r="J2128">
        <v>24</v>
      </c>
    </row>
    <row r="2129" spans="1:12">
      <c r="A2129" t="s">
        <v>6181</v>
      </c>
      <c r="B2129" t="s">
        <v>6182</v>
      </c>
      <c r="C2129" t="s">
        <v>6183</v>
      </c>
      <c r="D2129" t="s">
        <v>23</v>
      </c>
      <c r="E2129" t="s">
        <v>54</v>
      </c>
      <c r="F2129" t="s">
        <v>17</v>
      </c>
      <c r="G2129" t="s">
        <v>73</v>
      </c>
      <c r="H2129" t="s">
        <v>19</v>
      </c>
      <c r="I2129">
        <v>5</v>
      </c>
      <c r="J2129">
        <v>24</v>
      </c>
      <c r="K2129">
        <v>6.09</v>
      </c>
      <c r="L2129">
        <v>1</v>
      </c>
    </row>
    <row r="2130" spans="1:12">
      <c r="A2130" t="s">
        <v>6184</v>
      </c>
      <c r="B2130" t="s">
        <v>6185</v>
      </c>
      <c r="C2130" t="s">
        <v>6186</v>
      </c>
      <c r="D2130" t="s">
        <v>23</v>
      </c>
      <c r="E2130" t="s">
        <v>16</v>
      </c>
      <c r="F2130" t="s">
        <v>41</v>
      </c>
      <c r="G2130" t="s">
        <v>45</v>
      </c>
      <c r="H2130" t="s">
        <v>19</v>
      </c>
      <c r="I2130">
        <v>4</v>
      </c>
      <c r="J2130">
        <v>24</v>
      </c>
      <c r="K2130">
        <v>14.91</v>
      </c>
      <c r="L2130">
        <v>1</v>
      </c>
    </row>
    <row r="2131" spans="1:12">
      <c r="A2131" t="s">
        <v>6187</v>
      </c>
      <c r="B2131" t="s">
        <v>6188</v>
      </c>
      <c r="C2131" t="s">
        <v>6189</v>
      </c>
      <c r="D2131" t="s">
        <v>158</v>
      </c>
      <c r="E2131" t="s">
        <v>28</v>
      </c>
      <c r="F2131" t="s">
        <v>36</v>
      </c>
      <c r="G2131" t="s">
        <v>42</v>
      </c>
      <c r="H2131" t="s">
        <v>19</v>
      </c>
      <c r="I2131">
        <v>4</v>
      </c>
      <c r="J2131">
        <v>4</v>
      </c>
      <c r="K2131">
        <v>8.1300000000000008</v>
      </c>
      <c r="L2131">
        <v>0</v>
      </c>
    </row>
    <row r="2132" spans="1:12">
      <c r="A2132" t="s">
        <v>6190</v>
      </c>
      <c r="B2132" t="s">
        <v>6191</v>
      </c>
      <c r="C2132" t="s">
        <v>6192</v>
      </c>
      <c r="D2132" t="s">
        <v>23</v>
      </c>
      <c r="E2132" t="s">
        <v>54</v>
      </c>
      <c r="F2132" t="s">
        <v>36</v>
      </c>
      <c r="G2132" t="s">
        <v>30</v>
      </c>
      <c r="H2132" t="s">
        <v>31</v>
      </c>
      <c r="I2132">
        <v>2</v>
      </c>
      <c r="J2132">
        <v>24</v>
      </c>
      <c r="K2132">
        <v>25.9</v>
      </c>
      <c r="L2132">
        <v>0</v>
      </c>
    </row>
    <row r="2133" spans="1:12">
      <c r="A2133" t="s">
        <v>6193</v>
      </c>
      <c r="B2133" t="s">
        <v>6194</v>
      </c>
      <c r="C2133" t="s">
        <v>6195</v>
      </c>
      <c r="D2133" t="s">
        <v>35</v>
      </c>
      <c r="E2133" t="s">
        <v>28</v>
      </c>
      <c r="F2133" t="s">
        <v>41</v>
      </c>
      <c r="G2133" t="s">
        <v>77</v>
      </c>
      <c r="H2133" t="s">
        <v>19</v>
      </c>
      <c r="I2133">
        <v>2</v>
      </c>
      <c r="J2133">
        <v>48</v>
      </c>
      <c r="K2133">
        <v>66.58</v>
      </c>
      <c r="L2133">
        <v>0</v>
      </c>
    </row>
    <row r="2134" spans="1:12">
      <c r="A2134" t="s">
        <v>6196</v>
      </c>
      <c r="B2134" t="s">
        <v>6197</v>
      </c>
      <c r="C2134" t="s">
        <v>6198</v>
      </c>
      <c r="D2134" t="s">
        <v>23</v>
      </c>
      <c r="E2134" t="s">
        <v>16</v>
      </c>
      <c r="F2134" t="s">
        <v>36</v>
      </c>
      <c r="G2134" t="s">
        <v>45</v>
      </c>
      <c r="H2134" t="s">
        <v>19</v>
      </c>
      <c r="I2134">
        <v>1</v>
      </c>
      <c r="J2134">
        <v>24</v>
      </c>
      <c r="K2134">
        <v>44.32</v>
      </c>
      <c r="L2134">
        <v>0</v>
      </c>
    </row>
    <row r="2135" spans="1:12">
      <c r="A2135" t="s">
        <v>6199</v>
      </c>
      <c r="B2135" t="s">
        <v>6200</v>
      </c>
      <c r="C2135" t="s">
        <v>6201</v>
      </c>
      <c r="D2135" t="s">
        <v>23</v>
      </c>
      <c r="E2135" t="s">
        <v>28</v>
      </c>
      <c r="F2135" t="s">
        <v>17</v>
      </c>
      <c r="G2135" t="s">
        <v>105</v>
      </c>
      <c r="H2135" t="s">
        <v>19</v>
      </c>
      <c r="I2135">
        <v>4</v>
      </c>
      <c r="J2135">
        <v>24</v>
      </c>
      <c r="K2135">
        <v>6.56</v>
      </c>
      <c r="L2135">
        <v>1</v>
      </c>
    </row>
    <row r="2136" spans="1:12">
      <c r="A2136" t="s">
        <v>6202</v>
      </c>
      <c r="B2136" t="s">
        <v>6203</v>
      </c>
      <c r="C2136" t="s">
        <v>6204</v>
      </c>
      <c r="D2136" t="s">
        <v>23</v>
      </c>
      <c r="E2136" t="s">
        <v>28</v>
      </c>
      <c r="F2136" t="s">
        <v>17</v>
      </c>
      <c r="G2136" t="s">
        <v>37</v>
      </c>
      <c r="H2136" t="s">
        <v>19</v>
      </c>
      <c r="I2136">
        <v>5</v>
      </c>
      <c r="J2136">
        <v>24</v>
      </c>
      <c r="K2136">
        <v>10.27</v>
      </c>
      <c r="L2136">
        <v>1</v>
      </c>
    </row>
    <row r="2137" spans="1:12">
      <c r="A2137" t="s">
        <v>6205</v>
      </c>
      <c r="B2137" t="s">
        <v>6206</v>
      </c>
      <c r="D2137" t="s">
        <v>23</v>
      </c>
      <c r="E2137" t="s">
        <v>28</v>
      </c>
      <c r="F2137" t="s">
        <v>17</v>
      </c>
      <c r="G2137" t="s">
        <v>172</v>
      </c>
      <c r="H2137" t="s">
        <v>46</v>
      </c>
      <c r="J2137">
        <v>24</v>
      </c>
    </row>
    <row r="2138" spans="1:12">
      <c r="A2138" t="s">
        <v>6207</v>
      </c>
      <c r="B2138" t="s">
        <v>6208</v>
      </c>
      <c r="C2138" t="s">
        <v>6209</v>
      </c>
      <c r="D2138" t="s">
        <v>15</v>
      </c>
      <c r="E2138" t="s">
        <v>24</v>
      </c>
      <c r="F2138" t="s">
        <v>60</v>
      </c>
      <c r="G2138" t="s">
        <v>105</v>
      </c>
      <c r="H2138" t="s">
        <v>31</v>
      </c>
      <c r="I2138">
        <v>4</v>
      </c>
      <c r="J2138">
        <v>8</v>
      </c>
      <c r="K2138">
        <v>6.77</v>
      </c>
      <c r="L2138">
        <v>1</v>
      </c>
    </row>
    <row r="2139" spans="1:12">
      <c r="A2139" t="s">
        <v>6210</v>
      </c>
      <c r="B2139" t="s">
        <v>6211</v>
      </c>
      <c r="D2139" t="s">
        <v>35</v>
      </c>
      <c r="E2139" t="s">
        <v>28</v>
      </c>
      <c r="F2139" t="s">
        <v>36</v>
      </c>
      <c r="G2139" t="s">
        <v>151</v>
      </c>
      <c r="H2139" t="s">
        <v>63</v>
      </c>
      <c r="J2139">
        <v>48</v>
      </c>
    </row>
    <row r="2140" spans="1:12">
      <c r="A2140" t="s">
        <v>6212</v>
      </c>
      <c r="B2140" t="s">
        <v>6213</v>
      </c>
      <c r="C2140" t="s">
        <v>6214</v>
      </c>
      <c r="D2140" t="s">
        <v>15</v>
      </c>
      <c r="E2140" t="s">
        <v>24</v>
      </c>
      <c r="F2140" t="s">
        <v>41</v>
      </c>
      <c r="G2140" t="s">
        <v>172</v>
      </c>
      <c r="H2140" t="s">
        <v>31</v>
      </c>
      <c r="I2140">
        <v>1</v>
      </c>
      <c r="J2140">
        <v>8</v>
      </c>
      <c r="K2140">
        <v>21.59</v>
      </c>
      <c r="L2140">
        <v>0</v>
      </c>
    </row>
    <row r="2141" spans="1:12">
      <c r="A2141" t="s">
        <v>6215</v>
      </c>
      <c r="B2141" t="s">
        <v>6216</v>
      </c>
      <c r="C2141" t="s">
        <v>6217</v>
      </c>
      <c r="D2141" t="s">
        <v>35</v>
      </c>
      <c r="E2141" t="s">
        <v>24</v>
      </c>
      <c r="F2141" t="s">
        <v>41</v>
      </c>
      <c r="G2141" t="s">
        <v>45</v>
      </c>
      <c r="H2141" t="s">
        <v>31</v>
      </c>
      <c r="I2141">
        <v>5</v>
      </c>
      <c r="J2141">
        <v>48</v>
      </c>
      <c r="K2141">
        <v>34.85</v>
      </c>
      <c r="L2141">
        <v>1</v>
      </c>
    </row>
    <row r="2142" spans="1:12">
      <c r="A2142" t="s">
        <v>6218</v>
      </c>
      <c r="B2142" t="s">
        <v>6219</v>
      </c>
      <c r="C2142" t="s">
        <v>6220</v>
      </c>
      <c r="D2142" t="s">
        <v>35</v>
      </c>
      <c r="E2142" t="s">
        <v>16</v>
      </c>
      <c r="F2142" t="s">
        <v>36</v>
      </c>
      <c r="G2142" t="s">
        <v>50</v>
      </c>
      <c r="H2142" t="s">
        <v>19</v>
      </c>
      <c r="I2142">
        <v>4</v>
      </c>
      <c r="J2142">
        <v>48</v>
      </c>
      <c r="K2142">
        <v>35.979999999999997</v>
      </c>
      <c r="L2142">
        <v>1</v>
      </c>
    </row>
    <row r="2143" spans="1:12">
      <c r="A2143" t="s">
        <v>6221</v>
      </c>
      <c r="B2143" t="s">
        <v>6222</v>
      </c>
      <c r="C2143" t="s">
        <v>6223</v>
      </c>
      <c r="D2143" t="s">
        <v>23</v>
      </c>
      <c r="E2143" t="s">
        <v>54</v>
      </c>
      <c r="F2143" t="s">
        <v>17</v>
      </c>
      <c r="G2143" t="s">
        <v>50</v>
      </c>
      <c r="H2143" t="s">
        <v>19</v>
      </c>
      <c r="I2143">
        <v>5</v>
      </c>
      <c r="J2143">
        <v>24</v>
      </c>
      <c r="K2143">
        <v>19.39</v>
      </c>
      <c r="L2143">
        <v>1</v>
      </c>
    </row>
    <row r="2144" spans="1:12">
      <c r="A2144" t="s">
        <v>6224</v>
      </c>
      <c r="B2144" t="s">
        <v>6225</v>
      </c>
      <c r="C2144" t="s">
        <v>6226</v>
      </c>
      <c r="D2144" t="s">
        <v>15</v>
      </c>
      <c r="E2144" t="s">
        <v>24</v>
      </c>
      <c r="F2144" t="s">
        <v>41</v>
      </c>
      <c r="G2144" t="s">
        <v>172</v>
      </c>
      <c r="H2144" t="s">
        <v>31</v>
      </c>
      <c r="I2144">
        <v>5</v>
      </c>
      <c r="J2144">
        <v>8</v>
      </c>
      <c r="K2144">
        <v>1.21</v>
      </c>
      <c r="L2144">
        <v>1</v>
      </c>
    </row>
    <row r="2145" spans="1:12">
      <c r="A2145" t="s">
        <v>6227</v>
      </c>
      <c r="B2145" t="s">
        <v>6228</v>
      </c>
      <c r="C2145" t="s">
        <v>6229</v>
      </c>
      <c r="D2145" t="s">
        <v>23</v>
      </c>
      <c r="E2145" t="s">
        <v>59</v>
      </c>
      <c r="F2145" t="s">
        <v>36</v>
      </c>
      <c r="G2145" t="s">
        <v>45</v>
      </c>
      <c r="H2145" t="s">
        <v>19</v>
      </c>
      <c r="I2145">
        <v>5</v>
      </c>
      <c r="J2145">
        <v>24</v>
      </c>
      <c r="K2145">
        <v>3.08</v>
      </c>
      <c r="L2145">
        <v>1</v>
      </c>
    </row>
    <row r="2146" spans="1:12">
      <c r="A2146" t="s">
        <v>6230</v>
      </c>
      <c r="B2146" t="s">
        <v>6231</v>
      </c>
      <c r="C2146" t="s">
        <v>6232</v>
      </c>
      <c r="D2146" t="s">
        <v>35</v>
      </c>
      <c r="E2146" t="s">
        <v>28</v>
      </c>
      <c r="F2146" t="s">
        <v>60</v>
      </c>
      <c r="G2146" t="s">
        <v>77</v>
      </c>
      <c r="H2146" t="s">
        <v>31</v>
      </c>
      <c r="I2146">
        <v>4</v>
      </c>
      <c r="J2146">
        <v>48</v>
      </c>
      <c r="K2146">
        <v>41.27</v>
      </c>
      <c r="L2146">
        <v>1</v>
      </c>
    </row>
    <row r="2147" spans="1:12">
      <c r="A2147" t="s">
        <v>6233</v>
      </c>
      <c r="B2147" t="s">
        <v>6234</v>
      </c>
      <c r="C2147" t="s">
        <v>6235</v>
      </c>
      <c r="D2147" t="s">
        <v>35</v>
      </c>
      <c r="E2147" t="s">
        <v>24</v>
      </c>
      <c r="F2147" t="s">
        <v>36</v>
      </c>
      <c r="G2147" t="s">
        <v>77</v>
      </c>
      <c r="H2147" t="s">
        <v>19</v>
      </c>
      <c r="I2147">
        <v>2</v>
      </c>
      <c r="J2147">
        <v>48</v>
      </c>
      <c r="K2147">
        <v>91.63</v>
      </c>
      <c r="L2147">
        <v>0</v>
      </c>
    </row>
    <row r="2148" spans="1:12">
      <c r="A2148" t="s">
        <v>6236</v>
      </c>
      <c r="B2148" t="s">
        <v>6237</v>
      </c>
      <c r="C2148" t="s">
        <v>6238</v>
      </c>
      <c r="D2148" t="s">
        <v>35</v>
      </c>
      <c r="E2148" t="s">
        <v>16</v>
      </c>
      <c r="F2148" t="s">
        <v>29</v>
      </c>
      <c r="G2148" t="s">
        <v>73</v>
      </c>
      <c r="H2148" t="s">
        <v>19</v>
      </c>
      <c r="I2148">
        <v>4</v>
      </c>
      <c r="J2148">
        <v>48</v>
      </c>
      <c r="K2148">
        <v>32.14</v>
      </c>
      <c r="L2148">
        <v>1</v>
      </c>
    </row>
    <row r="2149" spans="1:12">
      <c r="A2149" t="s">
        <v>6239</v>
      </c>
      <c r="B2149" t="s">
        <v>6240</v>
      </c>
      <c r="C2149" t="s">
        <v>6241</v>
      </c>
      <c r="D2149" t="s">
        <v>23</v>
      </c>
      <c r="E2149" t="s">
        <v>16</v>
      </c>
      <c r="F2149" t="s">
        <v>17</v>
      </c>
      <c r="G2149" t="s">
        <v>77</v>
      </c>
      <c r="H2149" t="s">
        <v>31</v>
      </c>
      <c r="I2149">
        <v>5</v>
      </c>
      <c r="J2149">
        <v>24</v>
      </c>
      <c r="K2149">
        <v>12.09</v>
      </c>
      <c r="L2149">
        <v>1</v>
      </c>
    </row>
    <row r="2150" spans="1:12">
      <c r="A2150" t="s">
        <v>6242</v>
      </c>
      <c r="B2150" t="s">
        <v>6243</v>
      </c>
      <c r="C2150" t="s">
        <v>6244</v>
      </c>
      <c r="D2150" t="s">
        <v>23</v>
      </c>
      <c r="E2150" t="s">
        <v>54</v>
      </c>
      <c r="F2150" t="s">
        <v>36</v>
      </c>
      <c r="G2150" t="s">
        <v>151</v>
      </c>
      <c r="H2150" t="s">
        <v>31</v>
      </c>
      <c r="I2150">
        <v>5</v>
      </c>
      <c r="J2150">
        <v>24</v>
      </c>
      <c r="K2150">
        <v>18.73</v>
      </c>
      <c r="L2150">
        <v>1</v>
      </c>
    </row>
    <row r="2151" spans="1:12">
      <c r="A2151" t="s">
        <v>6245</v>
      </c>
      <c r="B2151" t="s">
        <v>6246</v>
      </c>
      <c r="D2151" t="s">
        <v>23</v>
      </c>
      <c r="E2151" t="s">
        <v>24</v>
      </c>
      <c r="F2151" t="s">
        <v>60</v>
      </c>
      <c r="G2151" t="s">
        <v>50</v>
      </c>
      <c r="H2151" t="s">
        <v>46</v>
      </c>
      <c r="J2151">
        <v>24</v>
      </c>
    </row>
    <row r="2152" spans="1:12">
      <c r="A2152" t="s">
        <v>6247</v>
      </c>
      <c r="B2152" t="s">
        <v>6248</v>
      </c>
      <c r="C2152" t="s">
        <v>6249</v>
      </c>
      <c r="D2152" t="s">
        <v>23</v>
      </c>
      <c r="E2152" t="s">
        <v>16</v>
      </c>
      <c r="F2152" t="s">
        <v>41</v>
      </c>
      <c r="G2152" t="s">
        <v>55</v>
      </c>
      <c r="H2152" t="s">
        <v>31</v>
      </c>
      <c r="I2152">
        <v>5</v>
      </c>
      <c r="J2152">
        <v>24</v>
      </c>
      <c r="K2152">
        <v>14.36</v>
      </c>
      <c r="L2152">
        <v>1</v>
      </c>
    </row>
    <row r="2153" spans="1:12">
      <c r="A2153" t="s">
        <v>6250</v>
      </c>
      <c r="B2153" t="s">
        <v>6251</v>
      </c>
      <c r="C2153" t="s">
        <v>6252</v>
      </c>
      <c r="D2153" t="s">
        <v>35</v>
      </c>
      <c r="E2153" t="s">
        <v>16</v>
      </c>
      <c r="F2153" t="s">
        <v>60</v>
      </c>
      <c r="G2153" t="s">
        <v>30</v>
      </c>
      <c r="H2153" t="s">
        <v>19</v>
      </c>
      <c r="I2153">
        <v>3</v>
      </c>
      <c r="J2153">
        <v>48</v>
      </c>
      <c r="K2153">
        <v>95.44</v>
      </c>
      <c r="L2153">
        <v>0</v>
      </c>
    </row>
    <row r="2154" spans="1:12">
      <c r="A2154" t="s">
        <v>6253</v>
      </c>
      <c r="B2154" t="s">
        <v>6254</v>
      </c>
      <c r="C2154" t="s">
        <v>6255</v>
      </c>
      <c r="D2154" t="s">
        <v>23</v>
      </c>
      <c r="E2154" t="s">
        <v>28</v>
      </c>
      <c r="F2154" t="s">
        <v>41</v>
      </c>
      <c r="G2154" t="s">
        <v>151</v>
      </c>
      <c r="H2154" t="s">
        <v>19</v>
      </c>
      <c r="I2154">
        <v>3</v>
      </c>
      <c r="J2154">
        <v>24</v>
      </c>
      <c r="K2154">
        <v>3.14</v>
      </c>
      <c r="L2154">
        <v>1</v>
      </c>
    </row>
    <row r="2155" spans="1:12">
      <c r="A2155" t="s">
        <v>6256</v>
      </c>
      <c r="B2155" t="s">
        <v>6257</v>
      </c>
      <c r="C2155" t="s">
        <v>6258</v>
      </c>
      <c r="D2155" t="s">
        <v>35</v>
      </c>
      <c r="E2155" t="s">
        <v>28</v>
      </c>
      <c r="F2155" t="s">
        <v>41</v>
      </c>
      <c r="G2155" t="s">
        <v>105</v>
      </c>
      <c r="H2155" t="s">
        <v>19</v>
      </c>
      <c r="I2155">
        <v>5</v>
      </c>
      <c r="J2155">
        <v>48</v>
      </c>
      <c r="K2155">
        <v>41.71</v>
      </c>
      <c r="L2155">
        <v>1</v>
      </c>
    </row>
    <row r="2156" spans="1:12">
      <c r="A2156" t="s">
        <v>6259</v>
      </c>
      <c r="B2156" t="s">
        <v>6260</v>
      </c>
      <c r="C2156" t="s">
        <v>6261</v>
      </c>
      <c r="D2156" t="s">
        <v>15</v>
      </c>
      <c r="E2156" t="s">
        <v>28</v>
      </c>
      <c r="F2156" t="s">
        <v>60</v>
      </c>
      <c r="G2156" t="s">
        <v>18</v>
      </c>
      <c r="H2156" t="s">
        <v>19</v>
      </c>
      <c r="I2156">
        <v>4</v>
      </c>
      <c r="J2156">
        <v>8</v>
      </c>
      <c r="K2156">
        <v>1.83</v>
      </c>
      <c r="L2156">
        <v>1</v>
      </c>
    </row>
    <row r="2157" spans="1:12">
      <c r="A2157" t="s">
        <v>6262</v>
      </c>
      <c r="B2157" t="s">
        <v>6263</v>
      </c>
      <c r="D2157" t="s">
        <v>23</v>
      </c>
      <c r="E2157" t="s">
        <v>28</v>
      </c>
      <c r="F2157" t="s">
        <v>41</v>
      </c>
      <c r="G2157" t="s">
        <v>73</v>
      </c>
      <c r="H2157" t="s">
        <v>63</v>
      </c>
      <c r="J2157">
        <v>24</v>
      </c>
    </row>
    <row r="2158" spans="1:12">
      <c r="A2158" t="s">
        <v>6264</v>
      </c>
      <c r="B2158" t="s">
        <v>6265</v>
      </c>
      <c r="C2158" t="s">
        <v>6266</v>
      </c>
      <c r="D2158" t="s">
        <v>15</v>
      </c>
      <c r="E2158" t="s">
        <v>24</v>
      </c>
      <c r="F2158" t="s">
        <v>60</v>
      </c>
      <c r="G2158" t="s">
        <v>30</v>
      </c>
      <c r="H2158" t="s">
        <v>31</v>
      </c>
      <c r="I2158">
        <v>4</v>
      </c>
      <c r="J2158">
        <v>8</v>
      </c>
      <c r="K2158">
        <v>2.2400000000000002</v>
      </c>
      <c r="L2158">
        <v>1</v>
      </c>
    </row>
    <row r="2159" spans="1:12">
      <c r="A2159" t="s">
        <v>6267</v>
      </c>
      <c r="B2159" t="s">
        <v>6268</v>
      </c>
      <c r="C2159" t="s">
        <v>6269</v>
      </c>
      <c r="D2159" t="s">
        <v>35</v>
      </c>
      <c r="E2159" t="s">
        <v>24</v>
      </c>
      <c r="F2159" t="s">
        <v>17</v>
      </c>
      <c r="G2159" t="s">
        <v>73</v>
      </c>
      <c r="H2159" t="s">
        <v>31</v>
      </c>
      <c r="I2159">
        <v>4</v>
      </c>
      <c r="J2159">
        <v>48</v>
      </c>
      <c r="K2159">
        <v>33.020000000000003</v>
      </c>
      <c r="L2159">
        <v>1</v>
      </c>
    </row>
    <row r="2160" spans="1:12">
      <c r="A2160" t="s">
        <v>6270</v>
      </c>
      <c r="B2160" t="s">
        <v>6271</v>
      </c>
      <c r="C2160" t="s">
        <v>6272</v>
      </c>
      <c r="D2160" t="s">
        <v>23</v>
      </c>
      <c r="E2160" t="s">
        <v>24</v>
      </c>
      <c r="F2160" t="s">
        <v>36</v>
      </c>
      <c r="G2160" t="s">
        <v>77</v>
      </c>
      <c r="H2160" t="s">
        <v>31</v>
      </c>
      <c r="I2160">
        <v>5</v>
      </c>
      <c r="J2160">
        <v>24</v>
      </c>
      <c r="K2160">
        <v>20.100000000000001</v>
      </c>
      <c r="L2160">
        <v>1</v>
      </c>
    </row>
    <row r="2161" spans="1:12">
      <c r="A2161" t="s">
        <v>6273</v>
      </c>
      <c r="B2161" t="s">
        <v>6274</v>
      </c>
      <c r="C2161" t="s">
        <v>6275</v>
      </c>
      <c r="D2161" t="s">
        <v>23</v>
      </c>
      <c r="E2161" t="s">
        <v>28</v>
      </c>
      <c r="F2161" t="s">
        <v>36</v>
      </c>
      <c r="G2161" t="s">
        <v>77</v>
      </c>
      <c r="H2161" t="s">
        <v>19</v>
      </c>
      <c r="I2161">
        <v>5</v>
      </c>
      <c r="J2161">
        <v>24</v>
      </c>
      <c r="K2161">
        <v>10</v>
      </c>
      <c r="L2161">
        <v>1</v>
      </c>
    </row>
    <row r="2162" spans="1:12">
      <c r="A2162" t="s">
        <v>6276</v>
      </c>
      <c r="B2162" t="s">
        <v>6277</v>
      </c>
      <c r="D2162" t="s">
        <v>158</v>
      </c>
      <c r="E2162" t="s">
        <v>16</v>
      </c>
      <c r="F2162" t="s">
        <v>60</v>
      </c>
      <c r="G2162" t="s">
        <v>45</v>
      </c>
      <c r="H2162" t="s">
        <v>63</v>
      </c>
      <c r="J2162">
        <v>4</v>
      </c>
    </row>
    <row r="2163" spans="1:12">
      <c r="A2163" t="s">
        <v>6278</v>
      </c>
      <c r="B2163" t="s">
        <v>6279</v>
      </c>
      <c r="C2163" t="s">
        <v>6280</v>
      </c>
      <c r="D2163" t="s">
        <v>15</v>
      </c>
      <c r="E2163" t="s">
        <v>59</v>
      </c>
      <c r="F2163" t="s">
        <v>60</v>
      </c>
      <c r="G2163" t="s">
        <v>77</v>
      </c>
      <c r="H2163" t="s">
        <v>31</v>
      </c>
      <c r="I2163">
        <v>5</v>
      </c>
      <c r="J2163">
        <v>8</v>
      </c>
      <c r="K2163">
        <v>2.68</v>
      </c>
      <c r="L2163">
        <v>1</v>
      </c>
    </row>
    <row r="2164" spans="1:12">
      <c r="A2164" t="s">
        <v>6281</v>
      </c>
      <c r="B2164" t="s">
        <v>6282</v>
      </c>
      <c r="C2164" t="s">
        <v>6283</v>
      </c>
      <c r="D2164" t="s">
        <v>35</v>
      </c>
      <c r="E2164" t="s">
        <v>54</v>
      </c>
      <c r="F2164" t="s">
        <v>17</v>
      </c>
      <c r="G2164" t="s">
        <v>172</v>
      </c>
      <c r="H2164" t="s">
        <v>19</v>
      </c>
      <c r="I2164">
        <v>3</v>
      </c>
      <c r="J2164">
        <v>48</v>
      </c>
      <c r="K2164">
        <v>105.5</v>
      </c>
      <c r="L2164">
        <v>0</v>
      </c>
    </row>
    <row r="2165" spans="1:12">
      <c r="A2165" t="s">
        <v>6284</v>
      </c>
      <c r="B2165" t="s">
        <v>6285</v>
      </c>
      <c r="C2165" t="s">
        <v>6286</v>
      </c>
      <c r="D2165" t="s">
        <v>158</v>
      </c>
      <c r="E2165" t="s">
        <v>24</v>
      </c>
      <c r="F2165" t="s">
        <v>36</v>
      </c>
      <c r="G2165" t="s">
        <v>50</v>
      </c>
      <c r="H2165" t="s">
        <v>31</v>
      </c>
      <c r="I2165">
        <v>4</v>
      </c>
      <c r="J2165">
        <v>4</v>
      </c>
      <c r="K2165">
        <v>1.02</v>
      </c>
      <c r="L2165">
        <v>1</v>
      </c>
    </row>
    <row r="2166" spans="1:12">
      <c r="A2166" t="s">
        <v>6287</v>
      </c>
      <c r="B2166" t="s">
        <v>6288</v>
      </c>
      <c r="C2166" t="s">
        <v>6289</v>
      </c>
      <c r="D2166" t="s">
        <v>15</v>
      </c>
      <c r="E2166" t="s">
        <v>28</v>
      </c>
      <c r="F2166" t="s">
        <v>60</v>
      </c>
      <c r="G2166" t="s">
        <v>37</v>
      </c>
      <c r="H2166" t="s">
        <v>19</v>
      </c>
      <c r="I2166">
        <v>5</v>
      </c>
      <c r="J2166">
        <v>8</v>
      </c>
      <c r="K2166">
        <v>0.93</v>
      </c>
      <c r="L2166">
        <v>1</v>
      </c>
    </row>
    <row r="2167" spans="1:12">
      <c r="A2167" t="s">
        <v>6290</v>
      </c>
      <c r="B2167" t="s">
        <v>6291</v>
      </c>
      <c r="C2167" t="s">
        <v>6292</v>
      </c>
      <c r="D2167" t="s">
        <v>23</v>
      </c>
      <c r="E2167" t="s">
        <v>16</v>
      </c>
      <c r="F2167" t="s">
        <v>41</v>
      </c>
      <c r="G2167" t="s">
        <v>37</v>
      </c>
      <c r="H2167" t="s">
        <v>19</v>
      </c>
      <c r="I2167">
        <v>4</v>
      </c>
      <c r="J2167">
        <v>24</v>
      </c>
      <c r="K2167">
        <v>20.86</v>
      </c>
      <c r="L2167">
        <v>1</v>
      </c>
    </row>
    <row r="2168" spans="1:12">
      <c r="A2168" t="s">
        <v>6293</v>
      </c>
      <c r="B2168" t="s">
        <v>6294</v>
      </c>
      <c r="C2168" t="s">
        <v>6295</v>
      </c>
      <c r="D2168" t="s">
        <v>15</v>
      </c>
      <c r="E2168" t="s">
        <v>24</v>
      </c>
      <c r="F2168" t="s">
        <v>36</v>
      </c>
      <c r="G2168" t="s">
        <v>105</v>
      </c>
      <c r="H2168" t="s">
        <v>31</v>
      </c>
      <c r="I2168">
        <v>1</v>
      </c>
      <c r="J2168">
        <v>8</v>
      </c>
      <c r="K2168">
        <v>11.91</v>
      </c>
      <c r="L2168">
        <v>0</v>
      </c>
    </row>
    <row r="2169" spans="1:12">
      <c r="A2169" t="s">
        <v>6296</v>
      </c>
      <c r="B2169" t="s">
        <v>6297</v>
      </c>
      <c r="C2169" t="s">
        <v>6298</v>
      </c>
      <c r="D2169" t="s">
        <v>23</v>
      </c>
      <c r="E2169" t="s">
        <v>28</v>
      </c>
      <c r="F2169" t="s">
        <v>41</v>
      </c>
      <c r="G2169" t="s">
        <v>55</v>
      </c>
      <c r="H2169" t="s">
        <v>31</v>
      </c>
      <c r="I2169">
        <v>2</v>
      </c>
      <c r="J2169">
        <v>24</v>
      </c>
      <c r="K2169">
        <v>37.78</v>
      </c>
      <c r="L2169">
        <v>0</v>
      </c>
    </row>
    <row r="2170" spans="1:12">
      <c r="A2170" t="s">
        <v>6299</v>
      </c>
      <c r="B2170" t="s">
        <v>6300</v>
      </c>
      <c r="D2170" t="s">
        <v>23</v>
      </c>
      <c r="E2170" t="s">
        <v>24</v>
      </c>
      <c r="F2170" t="s">
        <v>60</v>
      </c>
      <c r="G2170" t="s">
        <v>18</v>
      </c>
      <c r="H2170" t="s">
        <v>63</v>
      </c>
      <c r="J2170">
        <v>24</v>
      </c>
    </row>
    <row r="2171" spans="1:12">
      <c r="A2171" t="s">
        <v>6301</v>
      </c>
      <c r="B2171" t="s">
        <v>6302</v>
      </c>
      <c r="C2171" t="s">
        <v>6303</v>
      </c>
      <c r="D2171" t="s">
        <v>23</v>
      </c>
      <c r="E2171" t="s">
        <v>54</v>
      </c>
      <c r="F2171" t="s">
        <v>41</v>
      </c>
      <c r="G2171" t="s">
        <v>73</v>
      </c>
      <c r="H2171" t="s">
        <v>19</v>
      </c>
      <c r="I2171">
        <v>4</v>
      </c>
      <c r="J2171">
        <v>24</v>
      </c>
      <c r="K2171">
        <v>2.71</v>
      </c>
      <c r="L2171">
        <v>1</v>
      </c>
    </row>
    <row r="2172" spans="1:12">
      <c r="A2172" t="s">
        <v>6304</v>
      </c>
      <c r="B2172" t="s">
        <v>6305</v>
      </c>
      <c r="C2172" t="s">
        <v>6306</v>
      </c>
      <c r="D2172" t="s">
        <v>23</v>
      </c>
      <c r="E2172" t="s">
        <v>28</v>
      </c>
      <c r="F2172" t="s">
        <v>60</v>
      </c>
      <c r="G2172" t="s">
        <v>42</v>
      </c>
      <c r="H2172" t="s">
        <v>19</v>
      </c>
      <c r="I2172">
        <v>2</v>
      </c>
      <c r="J2172">
        <v>24</v>
      </c>
      <c r="K2172">
        <v>56.11</v>
      </c>
      <c r="L2172">
        <v>0</v>
      </c>
    </row>
    <row r="2173" spans="1:12">
      <c r="A2173" t="s">
        <v>6307</v>
      </c>
      <c r="B2173" t="s">
        <v>6308</v>
      </c>
      <c r="C2173" t="s">
        <v>6309</v>
      </c>
      <c r="D2173" t="s">
        <v>158</v>
      </c>
      <c r="E2173" t="s">
        <v>24</v>
      </c>
      <c r="F2173" t="s">
        <v>60</v>
      </c>
      <c r="G2173" t="s">
        <v>37</v>
      </c>
      <c r="H2173" t="s">
        <v>19</v>
      </c>
      <c r="I2173">
        <v>4</v>
      </c>
      <c r="J2173">
        <v>4</v>
      </c>
      <c r="K2173">
        <v>0.66</v>
      </c>
      <c r="L2173">
        <v>1</v>
      </c>
    </row>
    <row r="2174" spans="1:12">
      <c r="A2174" t="s">
        <v>6310</v>
      </c>
      <c r="B2174" t="s">
        <v>6311</v>
      </c>
      <c r="D2174" t="s">
        <v>158</v>
      </c>
      <c r="E2174" t="s">
        <v>54</v>
      </c>
      <c r="F2174" t="s">
        <v>17</v>
      </c>
      <c r="G2174" t="s">
        <v>30</v>
      </c>
      <c r="H2174" t="s">
        <v>63</v>
      </c>
      <c r="J2174">
        <v>4</v>
      </c>
    </row>
    <row r="2175" spans="1:12">
      <c r="A2175" t="s">
        <v>6312</v>
      </c>
      <c r="B2175" t="s">
        <v>6313</v>
      </c>
      <c r="C2175" t="s">
        <v>6314</v>
      </c>
      <c r="D2175" t="s">
        <v>23</v>
      </c>
      <c r="E2175" t="s">
        <v>16</v>
      </c>
      <c r="F2175" t="s">
        <v>29</v>
      </c>
      <c r="G2175" t="s">
        <v>50</v>
      </c>
      <c r="H2175" t="s">
        <v>31</v>
      </c>
      <c r="I2175">
        <v>5</v>
      </c>
      <c r="J2175">
        <v>24</v>
      </c>
      <c r="K2175">
        <v>14.18</v>
      </c>
      <c r="L2175">
        <v>1</v>
      </c>
    </row>
    <row r="2176" spans="1:12">
      <c r="A2176" t="s">
        <v>6315</v>
      </c>
      <c r="B2176" t="s">
        <v>6316</v>
      </c>
      <c r="C2176" t="s">
        <v>6317</v>
      </c>
      <c r="D2176" t="s">
        <v>23</v>
      </c>
      <c r="E2176" t="s">
        <v>28</v>
      </c>
      <c r="F2176" t="s">
        <v>36</v>
      </c>
      <c r="G2176" t="s">
        <v>77</v>
      </c>
      <c r="H2176" t="s">
        <v>31</v>
      </c>
      <c r="I2176">
        <v>5</v>
      </c>
      <c r="J2176">
        <v>24</v>
      </c>
      <c r="K2176">
        <v>22.4</v>
      </c>
      <c r="L2176">
        <v>1</v>
      </c>
    </row>
    <row r="2177" spans="1:12">
      <c r="A2177" t="s">
        <v>6318</v>
      </c>
      <c r="B2177" t="s">
        <v>6319</v>
      </c>
      <c r="C2177" t="s">
        <v>6320</v>
      </c>
      <c r="D2177" t="s">
        <v>15</v>
      </c>
      <c r="E2177" t="s">
        <v>24</v>
      </c>
      <c r="F2177" t="s">
        <v>41</v>
      </c>
      <c r="G2177" t="s">
        <v>172</v>
      </c>
      <c r="H2177" t="s">
        <v>19</v>
      </c>
      <c r="I2177">
        <v>4</v>
      </c>
      <c r="J2177">
        <v>8</v>
      </c>
      <c r="K2177">
        <v>7.31</v>
      </c>
      <c r="L2177">
        <v>1</v>
      </c>
    </row>
    <row r="2178" spans="1:12">
      <c r="A2178" t="s">
        <v>6321</v>
      </c>
      <c r="B2178" t="s">
        <v>6322</v>
      </c>
      <c r="C2178" t="s">
        <v>6323</v>
      </c>
      <c r="D2178" t="s">
        <v>15</v>
      </c>
      <c r="E2178" t="s">
        <v>24</v>
      </c>
      <c r="F2178" t="s">
        <v>17</v>
      </c>
      <c r="G2178" t="s">
        <v>50</v>
      </c>
      <c r="H2178" t="s">
        <v>19</v>
      </c>
      <c r="I2178">
        <v>3</v>
      </c>
      <c r="J2178">
        <v>8</v>
      </c>
      <c r="K2178">
        <v>6.13</v>
      </c>
      <c r="L2178">
        <v>1</v>
      </c>
    </row>
    <row r="2179" spans="1:12">
      <c r="A2179" t="s">
        <v>6324</v>
      </c>
      <c r="B2179" t="s">
        <v>6325</v>
      </c>
      <c r="C2179" t="s">
        <v>6326</v>
      </c>
      <c r="D2179" t="s">
        <v>23</v>
      </c>
      <c r="E2179" t="s">
        <v>54</v>
      </c>
      <c r="F2179" t="s">
        <v>17</v>
      </c>
      <c r="G2179" t="s">
        <v>45</v>
      </c>
      <c r="H2179" t="s">
        <v>19</v>
      </c>
      <c r="I2179">
        <v>4</v>
      </c>
      <c r="J2179">
        <v>24</v>
      </c>
      <c r="K2179">
        <v>10.62</v>
      </c>
      <c r="L2179">
        <v>1</v>
      </c>
    </row>
    <row r="2180" spans="1:12">
      <c r="A2180" t="s">
        <v>6327</v>
      </c>
      <c r="B2180" t="s">
        <v>6328</v>
      </c>
      <c r="C2180" t="s">
        <v>6329</v>
      </c>
      <c r="D2180" t="s">
        <v>15</v>
      </c>
      <c r="E2180" t="s">
        <v>54</v>
      </c>
      <c r="F2180" t="s">
        <v>41</v>
      </c>
      <c r="G2180" t="s">
        <v>172</v>
      </c>
      <c r="H2180" t="s">
        <v>19</v>
      </c>
      <c r="I2180">
        <v>5</v>
      </c>
      <c r="J2180">
        <v>8</v>
      </c>
      <c r="K2180">
        <v>1.1599999999999999</v>
      </c>
      <c r="L2180">
        <v>1</v>
      </c>
    </row>
    <row r="2181" spans="1:12">
      <c r="A2181" t="s">
        <v>6330</v>
      </c>
      <c r="B2181" t="s">
        <v>6331</v>
      </c>
      <c r="D2181" t="s">
        <v>35</v>
      </c>
      <c r="E2181" t="s">
        <v>16</v>
      </c>
      <c r="F2181" t="s">
        <v>29</v>
      </c>
      <c r="G2181" t="s">
        <v>45</v>
      </c>
      <c r="H2181" t="s">
        <v>63</v>
      </c>
      <c r="J2181">
        <v>48</v>
      </c>
    </row>
    <row r="2182" spans="1:12">
      <c r="A2182" t="s">
        <v>6332</v>
      </c>
      <c r="B2182" t="s">
        <v>6333</v>
      </c>
      <c r="C2182" t="s">
        <v>6334</v>
      </c>
      <c r="D2182" t="s">
        <v>35</v>
      </c>
      <c r="E2182" t="s">
        <v>28</v>
      </c>
      <c r="F2182" t="s">
        <v>29</v>
      </c>
      <c r="G2182" t="s">
        <v>172</v>
      </c>
      <c r="H2182" t="s">
        <v>19</v>
      </c>
      <c r="I2182">
        <v>3</v>
      </c>
      <c r="J2182">
        <v>48</v>
      </c>
      <c r="K2182">
        <v>80.25</v>
      </c>
      <c r="L2182">
        <v>0</v>
      </c>
    </row>
    <row r="2183" spans="1:12">
      <c r="A2183" t="s">
        <v>6335</v>
      </c>
      <c r="B2183" t="s">
        <v>6336</v>
      </c>
      <c r="C2183" t="s">
        <v>6337</v>
      </c>
      <c r="D2183" t="s">
        <v>158</v>
      </c>
      <c r="E2183" t="s">
        <v>54</v>
      </c>
      <c r="F2183" t="s">
        <v>17</v>
      </c>
      <c r="G2183" t="s">
        <v>172</v>
      </c>
      <c r="H2183" t="s">
        <v>19</v>
      </c>
      <c r="I2183">
        <v>5</v>
      </c>
      <c r="J2183">
        <v>4</v>
      </c>
      <c r="K2183">
        <v>2.35</v>
      </c>
      <c r="L2183">
        <v>1</v>
      </c>
    </row>
    <row r="2184" spans="1:12">
      <c r="A2184" t="s">
        <v>6338</v>
      </c>
      <c r="B2184" t="s">
        <v>6339</v>
      </c>
      <c r="C2184" t="s">
        <v>6340</v>
      </c>
      <c r="D2184" t="s">
        <v>158</v>
      </c>
      <c r="E2184" t="s">
        <v>28</v>
      </c>
      <c r="F2184" t="s">
        <v>29</v>
      </c>
      <c r="G2184" t="s">
        <v>37</v>
      </c>
      <c r="H2184" t="s">
        <v>19</v>
      </c>
      <c r="I2184">
        <v>5</v>
      </c>
      <c r="J2184">
        <v>4</v>
      </c>
      <c r="K2184">
        <v>0.98</v>
      </c>
      <c r="L2184">
        <v>1</v>
      </c>
    </row>
    <row r="2185" spans="1:12">
      <c r="A2185" t="s">
        <v>6341</v>
      </c>
      <c r="B2185" t="s">
        <v>6342</v>
      </c>
      <c r="C2185" t="s">
        <v>6343</v>
      </c>
      <c r="D2185" t="s">
        <v>35</v>
      </c>
      <c r="E2185" t="s">
        <v>28</v>
      </c>
      <c r="F2185" t="s">
        <v>17</v>
      </c>
      <c r="G2185" t="s">
        <v>77</v>
      </c>
      <c r="H2185" t="s">
        <v>19</v>
      </c>
      <c r="I2185">
        <v>5</v>
      </c>
      <c r="J2185">
        <v>48</v>
      </c>
      <c r="K2185">
        <v>18.190000000000001</v>
      </c>
      <c r="L2185">
        <v>1</v>
      </c>
    </row>
    <row r="2186" spans="1:12">
      <c r="A2186" t="s">
        <v>6344</v>
      </c>
      <c r="B2186" t="s">
        <v>6345</v>
      </c>
      <c r="C2186" t="s">
        <v>6346</v>
      </c>
      <c r="D2186" t="s">
        <v>15</v>
      </c>
      <c r="E2186" t="s">
        <v>24</v>
      </c>
      <c r="F2186" t="s">
        <v>41</v>
      </c>
      <c r="G2186" t="s">
        <v>77</v>
      </c>
      <c r="H2186" t="s">
        <v>31</v>
      </c>
      <c r="I2186">
        <v>1</v>
      </c>
      <c r="J2186">
        <v>8</v>
      </c>
      <c r="K2186">
        <v>16.46</v>
      </c>
      <c r="L2186">
        <v>0</v>
      </c>
    </row>
    <row r="2187" spans="1:12">
      <c r="A2187" t="s">
        <v>6347</v>
      </c>
      <c r="B2187" t="s">
        <v>6348</v>
      </c>
      <c r="C2187" t="s">
        <v>6349</v>
      </c>
      <c r="D2187" t="s">
        <v>23</v>
      </c>
      <c r="E2187" t="s">
        <v>28</v>
      </c>
      <c r="F2187" t="s">
        <v>17</v>
      </c>
      <c r="G2187" t="s">
        <v>37</v>
      </c>
      <c r="H2187" t="s">
        <v>19</v>
      </c>
      <c r="I2187">
        <v>4</v>
      </c>
      <c r="J2187">
        <v>24</v>
      </c>
      <c r="K2187">
        <v>50.58</v>
      </c>
      <c r="L2187">
        <v>0</v>
      </c>
    </row>
    <row r="2188" spans="1:12">
      <c r="A2188" t="s">
        <v>6350</v>
      </c>
      <c r="B2188" t="s">
        <v>6351</v>
      </c>
      <c r="D2188" t="s">
        <v>23</v>
      </c>
      <c r="E2188" t="s">
        <v>28</v>
      </c>
      <c r="F2188" t="s">
        <v>36</v>
      </c>
      <c r="G2188" t="s">
        <v>172</v>
      </c>
      <c r="H2188" t="s">
        <v>63</v>
      </c>
      <c r="J2188">
        <v>24</v>
      </c>
    </row>
    <row r="2189" spans="1:12">
      <c r="A2189" t="s">
        <v>6352</v>
      </c>
      <c r="B2189" t="s">
        <v>6353</v>
      </c>
      <c r="C2189" t="s">
        <v>6354</v>
      </c>
      <c r="D2189" t="s">
        <v>23</v>
      </c>
      <c r="E2189" t="s">
        <v>28</v>
      </c>
      <c r="F2189" t="s">
        <v>36</v>
      </c>
      <c r="G2189" t="s">
        <v>42</v>
      </c>
      <c r="H2189" t="s">
        <v>31</v>
      </c>
      <c r="I2189">
        <v>3</v>
      </c>
      <c r="J2189">
        <v>24</v>
      </c>
      <c r="K2189">
        <v>53.77</v>
      </c>
      <c r="L2189">
        <v>0</v>
      </c>
    </row>
    <row r="2190" spans="1:12">
      <c r="A2190" t="s">
        <v>6355</v>
      </c>
      <c r="B2190" t="s">
        <v>6356</v>
      </c>
      <c r="C2190" t="s">
        <v>6357</v>
      </c>
      <c r="D2190" t="s">
        <v>35</v>
      </c>
      <c r="E2190" t="s">
        <v>59</v>
      </c>
      <c r="F2190" t="s">
        <v>36</v>
      </c>
      <c r="G2190" t="s">
        <v>172</v>
      </c>
      <c r="H2190" t="s">
        <v>19</v>
      </c>
      <c r="I2190">
        <v>5</v>
      </c>
      <c r="J2190">
        <v>48</v>
      </c>
      <c r="K2190">
        <v>40.71</v>
      </c>
      <c r="L2190">
        <v>1</v>
      </c>
    </row>
    <row r="2191" spans="1:12">
      <c r="A2191" t="s">
        <v>6358</v>
      </c>
      <c r="B2191" t="s">
        <v>6359</v>
      </c>
      <c r="C2191" t="s">
        <v>6360</v>
      </c>
      <c r="D2191" t="s">
        <v>35</v>
      </c>
      <c r="E2191" t="s">
        <v>16</v>
      </c>
      <c r="F2191" t="s">
        <v>41</v>
      </c>
      <c r="G2191" t="s">
        <v>30</v>
      </c>
      <c r="H2191" t="s">
        <v>31</v>
      </c>
      <c r="I2191">
        <v>4</v>
      </c>
      <c r="J2191">
        <v>48</v>
      </c>
      <c r="K2191">
        <v>6.59</v>
      </c>
      <c r="L2191">
        <v>1</v>
      </c>
    </row>
    <row r="2192" spans="1:12">
      <c r="A2192" t="s">
        <v>6361</v>
      </c>
      <c r="B2192" t="s">
        <v>6362</v>
      </c>
      <c r="D2192" t="s">
        <v>23</v>
      </c>
      <c r="E2192" t="s">
        <v>28</v>
      </c>
      <c r="F2192" t="s">
        <v>36</v>
      </c>
      <c r="G2192" t="s">
        <v>30</v>
      </c>
      <c r="H2192" t="s">
        <v>63</v>
      </c>
      <c r="J2192">
        <v>24</v>
      </c>
    </row>
    <row r="2193" spans="1:12">
      <c r="A2193" t="s">
        <v>6363</v>
      </c>
      <c r="B2193" t="s">
        <v>6364</v>
      </c>
      <c r="C2193" t="s">
        <v>6365</v>
      </c>
      <c r="D2193" t="s">
        <v>35</v>
      </c>
      <c r="E2193" t="s">
        <v>16</v>
      </c>
      <c r="F2193" t="s">
        <v>36</v>
      </c>
      <c r="G2193" t="s">
        <v>77</v>
      </c>
      <c r="H2193" t="s">
        <v>31</v>
      </c>
      <c r="I2193">
        <v>5</v>
      </c>
      <c r="J2193">
        <v>48</v>
      </c>
      <c r="K2193">
        <v>33.82</v>
      </c>
      <c r="L2193">
        <v>1</v>
      </c>
    </row>
    <row r="2194" spans="1:12">
      <c r="A2194" t="s">
        <v>6366</v>
      </c>
      <c r="B2194" t="s">
        <v>6367</v>
      </c>
      <c r="C2194" t="s">
        <v>6368</v>
      </c>
      <c r="D2194" t="s">
        <v>35</v>
      </c>
      <c r="E2194" t="s">
        <v>24</v>
      </c>
      <c r="F2194" t="s">
        <v>60</v>
      </c>
      <c r="G2194" t="s">
        <v>77</v>
      </c>
      <c r="H2194" t="s">
        <v>19</v>
      </c>
      <c r="I2194">
        <v>5</v>
      </c>
      <c r="J2194">
        <v>48</v>
      </c>
      <c r="K2194">
        <v>28.18</v>
      </c>
      <c r="L2194">
        <v>1</v>
      </c>
    </row>
    <row r="2195" spans="1:12">
      <c r="A2195" t="s">
        <v>6369</v>
      </c>
      <c r="B2195" t="s">
        <v>6370</v>
      </c>
      <c r="C2195" t="s">
        <v>6371</v>
      </c>
      <c r="D2195" t="s">
        <v>15</v>
      </c>
      <c r="E2195" t="s">
        <v>54</v>
      </c>
      <c r="F2195" t="s">
        <v>29</v>
      </c>
      <c r="G2195" t="s">
        <v>50</v>
      </c>
      <c r="H2195" t="s">
        <v>31</v>
      </c>
      <c r="I2195">
        <v>5</v>
      </c>
      <c r="J2195">
        <v>8</v>
      </c>
      <c r="K2195">
        <v>5.78</v>
      </c>
      <c r="L2195">
        <v>1</v>
      </c>
    </row>
    <row r="2196" spans="1:12">
      <c r="A2196" t="s">
        <v>6372</v>
      </c>
      <c r="B2196" t="s">
        <v>6373</v>
      </c>
      <c r="C2196" t="s">
        <v>6374</v>
      </c>
      <c r="D2196" t="s">
        <v>23</v>
      </c>
      <c r="E2196" t="s">
        <v>28</v>
      </c>
      <c r="F2196" t="s">
        <v>41</v>
      </c>
      <c r="G2196" t="s">
        <v>18</v>
      </c>
      <c r="H2196" t="s">
        <v>31</v>
      </c>
      <c r="I2196">
        <v>5</v>
      </c>
      <c r="J2196">
        <v>24</v>
      </c>
      <c r="K2196">
        <v>4.09</v>
      </c>
      <c r="L2196">
        <v>1</v>
      </c>
    </row>
    <row r="2197" spans="1:12">
      <c r="A2197" t="s">
        <v>6375</v>
      </c>
      <c r="B2197" t="s">
        <v>6376</v>
      </c>
      <c r="C2197" t="s">
        <v>6377</v>
      </c>
      <c r="D2197" t="s">
        <v>23</v>
      </c>
      <c r="E2197" t="s">
        <v>24</v>
      </c>
      <c r="F2197" t="s">
        <v>29</v>
      </c>
      <c r="G2197" t="s">
        <v>30</v>
      </c>
      <c r="H2197" t="s">
        <v>19</v>
      </c>
      <c r="I2197">
        <v>4</v>
      </c>
      <c r="J2197">
        <v>24</v>
      </c>
      <c r="K2197">
        <v>15.95</v>
      </c>
      <c r="L2197">
        <v>1</v>
      </c>
    </row>
    <row r="2198" spans="1:12">
      <c r="A2198" t="s">
        <v>6378</v>
      </c>
      <c r="B2198" t="s">
        <v>6379</v>
      </c>
      <c r="D2198" t="s">
        <v>15</v>
      </c>
      <c r="E2198" t="s">
        <v>28</v>
      </c>
      <c r="F2198" t="s">
        <v>29</v>
      </c>
      <c r="G2198" t="s">
        <v>18</v>
      </c>
      <c r="H2198" t="s">
        <v>46</v>
      </c>
      <c r="J2198">
        <v>8</v>
      </c>
    </row>
    <row r="2199" spans="1:12">
      <c r="A2199" t="s">
        <v>6380</v>
      </c>
      <c r="B2199" t="s">
        <v>6381</v>
      </c>
      <c r="C2199" t="s">
        <v>6382</v>
      </c>
      <c r="D2199" t="s">
        <v>23</v>
      </c>
      <c r="E2199" t="s">
        <v>28</v>
      </c>
      <c r="F2199" t="s">
        <v>29</v>
      </c>
      <c r="G2199" t="s">
        <v>77</v>
      </c>
      <c r="H2199" t="s">
        <v>31</v>
      </c>
      <c r="I2199">
        <v>4</v>
      </c>
      <c r="J2199">
        <v>24</v>
      </c>
      <c r="K2199">
        <v>40.99</v>
      </c>
      <c r="L2199">
        <v>0</v>
      </c>
    </row>
    <row r="2200" spans="1:12">
      <c r="A2200" t="s">
        <v>6383</v>
      </c>
      <c r="B2200" t="s">
        <v>6384</v>
      </c>
      <c r="C2200" t="s">
        <v>6385</v>
      </c>
      <c r="D2200" t="s">
        <v>23</v>
      </c>
      <c r="E2200" t="s">
        <v>28</v>
      </c>
      <c r="F2200" t="s">
        <v>29</v>
      </c>
      <c r="G2200" t="s">
        <v>77</v>
      </c>
      <c r="H2200" t="s">
        <v>19</v>
      </c>
      <c r="I2200">
        <v>5</v>
      </c>
      <c r="J2200">
        <v>24</v>
      </c>
      <c r="K2200">
        <v>11.54</v>
      </c>
      <c r="L2200">
        <v>1</v>
      </c>
    </row>
    <row r="2201" spans="1:12">
      <c r="A2201" t="s">
        <v>6386</v>
      </c>
      <c r="B2201" t="s">
        <v>6387</v>
      </c>
      <c r="C2201" t="s">
        <v>6388</v>
      </c>
      <c r="D2201" t="s">
        <v>35</v>
      </c>
      <c r="E2201" t="s">
        <v>59</v>
      </c>
      <c r="F2201" t="s">
        <v>29</v>
      </c>
      <c r="G2201" t="s">
        <v>77</v>
      </c>
      <c r="H2201" t="s">
        <v>19</v>
      </c>
      <c r="I2201">
        <v>4</v>
      </c>
      <c r="J2201">
        <v>48</v>
      </c>
      <c r="K2201">
        <v>44.28</v>
      </c>
      <c r="L2201">
        <v>1</v>
      </c>
    </row>
    <row r="2202" spans="1:12">
      <c r="A2202" t="s">
        <v>6389</v>
      </c>
      <c r="B2202" t="s">
        <v>6390</v>
      </c>
      <c r="D2202" t="s">
        <v>23</v>
      </c>
      <c r="E2202" t="s">
        <v>59</v>
      </c>
      <c r="F2202" t="s">
        <v>29</v>
      </c>
      <c r="G2202" t="s">
        <v>37</v>
      </c>
      <c r="H2202" t="s">
        <v>63</v>
      </c>
      <c r="J2202">
        <v>24</v>
      </c>
    </row>
    <row r="2203" spans="1:12">
      <c r="A2203" t="s">
        <v>6391</v>
      </c>
      <c r="B2203" t="s">
        <v>6392</v>
      </c>
      <c r="D2203" t="s">
        <v>158</v>
      </c>
      <c r="E2203" t="s">
        <v>28</v>
      </c>
      <c r="F2203" t="s">
        <v>41</v>
      </c>
      <c r="G2203" t="s">
        <v>50</v>
      </c>
      <c r="H2203" t="s">
        <v>63</v>
      </c>
      <c r="J2203">
        <v>4</v>
      </c>
    </row>
    <row r="2204" spans="1:12">
      <c r="A2204" t="s">
        <v>6393</v>
      </c>
      <c r="B2204" t="s">
        <v>6394</v>
      </c>
      <c r="C2204" t="s">
        <v>6395</v>
      </c>
      <c r="D2204" t="s">
        <v>158</v>
      </c>
      <c r="E2204" t="s">
        <v>28</v>
      </c>
      <c r="F2204" t="s">
        <v>60</v>
      </c>
      <c r="G2204" t="s">
        <v>172</v>
      </c>
      <c r="H2204" t="s">
        <v>19</v>
      </c>
      <c r="I2204">
        <v>4</v>
      </c>
      <c r="J2204">
        <v>4</v>
      </c>
      <c r="K2204">
        <v>1.75</v>
      </c>
      <c r="L2204">
        <v>1</v>
      </c>
    </row>
    <row r="2205" spans="1:12">
      <c r="A2205" t="s">
        <v>6396</v>
      </c>
      <c r="B2205" t="s">
        <v>6397</v>
      </c>
      <c r="D2205" t="s">
        <v>23</v>
      </c>
      <c r="E2205" t="s">
        <v>24</v>
      </c>
      <c r="F2205" t="s">
        <v>36</v>
      </c>
      <c r="G2205" t="s">
        <v>77</v>
      </c>
      <c r="H2205" t="s">
        <v>63</v>
      </c>
      <c r="J2205">
        <v>24</v>
      </c>
    </row>
    <row r="2206" spans="1:12">
      <c r="A2206" t="s">
        <v>6398</v>
      </c>
      <c r="B2206" t="s">
        <v>6399</v>
      </c>
      <c r="C2206" t="s">
        <v>6400</v>
      </c>
      <c r="D2206" t="s">
        <v>23</v>
      </c>
      <c r="E2206" t="s">
        <v>24</v>
      </c>
      <c r="F2206" t="s">
        <v>41</v>
      </c>
      <c r="G2206" t="s">
        <v>151</v>
      </c>
      <c r="H2206" t="s">
        <v>31</v>
      </c>
      <c r="I2206">
        <v>5</v>
      </c>
      <c r="J2206">
        <v>24</v>
      </c>
      <c r="K2206">
        <v>15.99</v>
      </c>
      <c r="L2206">
        <v>1</v>
      </c>
    </row>
    <row r="2207" spans="1:12">
      <c r="A2207" t="s">
        <v>6401</v>
      </c>
      <c r="B2207" t="s">
        <v>6402</v>
      </c>
      <c r="C2207" t="s">
        <v>6403</v>
      </c>
      <c r="D2207" t="s">
        <v>15</v>
      </c>
      <c r="E2207" t="s">
        <v>59</v>
      </c>
      <c r="F2207" t="s">
        <v>36</v>
      </c>
      <c r="G2207" t="s">
        <v>50</v>
      </c>
      <c r="H2207" t="s">
        <v>31</v>
      </c>
      <c r="I2207">
        <v>4</v>
      </c>
      <c r="J2207">
        <v>8</v>
      </c>
      <c r="K2207">
        <v>9.8800000000000008</v>
      </c>
      <c r="L2207">
        <v>0</v>
      </c>
    </row>
    <row r="2208" spans="1:12">
      <c r="A2208" t="s">
        <v>6404</v>
      </c>
      <c r="B2208" t="s">
        <v>6405</v>
      </c>
      <c r="C2208" t="s">
        <v>6406</v>
      </c>
      <c r="D2208" t="s">
        <v>15</v>
      </c>
      <c r="E2208" t="s">
        <v>16</v>
      </c>
      <c r="F2208" t="s">
        <v>41</v>
      </c>
      <c r="G2208" t="s">
        <v>151</v>
      </c>
      <c r="H2208" t="s">
        <v>19</v>
      </c>
      <c r="I2208">
        <v>5</v>
      </c>
      <c r="J2208">
        <v>8</v>
      </c>
      <c r="K2208">
        <v>2</v>
      </c>
      <c r="L2208">
        <v>1</v>
      </c>
    </row>
    <row r="2209" spans="1:12">
      <c r="A2209" t="s">
        <v>6407</v>
      </c>
      <c r="B2209" t="s">
        <v>6408</v>
      </c>
      <c r="C2209" t="s">
        <v>6409</v>
      </c>
      <c r="D2209" t="s">
        <v>23</v>
      </c>
      <c r="E2209" t="s">
        <v>28</v>
      </c>
      <c r="F2209" t="s">
        <v>17</v>
      </c>
      <c r="G2209" t="s">
        <v>172</v>
      </c>
      <c r="H2209" t="s">
        <v>31</v>
      </c>
      <c r="I2209">
        <v>1</v>
      </c>
      <c r="J2209">
        <v>24</v>
      </c>
      <c r="K2209">
        <v>57.9</v>
      </c>
      <c r="L2209">
        <v>0</v>
      </c>
    </row>
    <row r="2210" spans="1:12">
      <c r="A2210" t="s">
        <v>6410</v>
      </c>
      <c r="B2210" t="s">
        <v>6411</v>
      </c>
      <c r="C2210" t="s">
        <v>6412</v>
      </c>
      <c r="D2210" t="s">
        <v>35</v>
      </c>
      <c r="E2210" t="s">
        <v>16</v>
      </c>
      <c r="F2210" t="s">
        <v>17</v>
      </c>
      <c r="G2210" t="s">
        <v>73</v>
      </c>
      <c r="H2210" t="s">
        <v>19</v>
      </c>
      <c r="I2210">
        <v>5</v>
      </c>
      <c r="J2210">
        <v>48</v>
      </c>
      <c r="K2210">
        <v>37.19</v>
      </c>
      <c r="L2210">
        <v>1</v>
      </c>
    </row>
    <row r="2211" spans="1:12">
      <c r="A2211" t="s">
        <v>6413</v>
      </c>
      <c r="B2211" t="s">
        <v>6414</v>
      </c>
      <c r="D2211" t="s">
        <v>35</v>
      </c>
      <c r="E2211" t="s">
        <v>24</v>
      </c>
      <c r="F2211" t="s">
        <v>41</v>
      </c>
      <c r="G2211" t="s">
        <v>105</v>
      </c>
      <c r="H2211" t="s">
        <v>63</v>
      </c>
      <c r="J2211">
        <v>48</v>
      </c>
    </row>
    <row r="2212" spans="1:12">
      <c r="A2212" t="s">
        <v>6415</v>
      </c>
      <c r="B2212" t="s">
        <v>6416</v>
      </c>
      <c r="D2212" t="s">
        <v>15</v>
      </c>
      <c r="E2212" t="s">
        <v>28</v>
      </c>
      <c r="F2212" t="s">
        <v>17</v>
      </c>
      <c r="G2212" t="s">
        <v>172</v>
      </c>
      <c r="H2212" t="s">
        <v>46</v>
      </c>
      <c r="J2212">
        <v>8</v>
      </c>
    </row>
    <row r="2213" spans="1:12">
      <c r="A2213" t="s">
        <v>6417</v>
      </c>
      <c r="B2213" t="s">
        <v>6418</v>
      </c>
      <c r="C2213" t="s">
        <v>6419</v>
      </c>
      <c r="D2213" t="s">
        <v>23</v>
      </c>
      <c r="E2213" t="s">
        <v>54</v>
      </c>
      <c r="F2213" t="s">
        <v>41</v>
      </c>
      <c r="G2213" t="s">
        <v>151</v>
      </c>
      <c r="H2213" t="s">
        <v>31</v>
      </c>
      <c r="I2213">
        <v>3</v>
      </c>
      <c r="J2213">
        <v>24</v>
      </c>
      <c r="K2213">
        <v>11.34</v>
      </c>
      <c r="L2213">
        <v>1</v>
      </c>
    </row>
    <row r="2214" spans="1:12">
      <c r="A2214" t="s">
        <v>6420</v>
      </c>
      <c r="B2214" t="s">
        <v>6421</v>
      </c>
      <c r="C2214" t="s">
        <v>6422</v>
      </c>
      <c r="D2214" t="s">
        <v>23</v>
      </c>
      <c r="E2214" t="s">
        <v>16</v>
      </c>
      <c r="F2214" t="s">
        <v>17</v>
      </c>
      <c r="G2214" t="s">
        <v>73</v>
      </c>
      <c r="H2214" t="s">
        <v>19</v>
      </c>
      <c r="I2214">
        <v>5</v>
      </c>
      <c r="J2214">
        <v>24</v>
      </c>
      <c r="K2214">
        <v>21.39</v>
      </c>
      <c r="L2214">
        <v>1</v>
      </c>
    </row>
    <row r="2215" spans="1:12">
      <c r="A2215" t="s">
        <v>6423</v>
      </c>
      <c r="B2215" t="s">
        <v>6424</v>
      </c>
      <c r="C2215" t="s">
        <v>6425</v>
      </c>
      <c r="D2215" t="s">
        <v>23</v>
      </c>
      <c r="E2215" t="s">
        <v>54</v>
      </c>
      <c r="F2215" t="s">
        <v>17</v>
      </c>
      <c r="G2215" t="s">
        <v>151</v>
      </c>
      <c r="H2215" t="s">
        <v>31</v>
      </c>
      <c r="I2215">
        <v>4</v>
      </c>
      <c r="J2215">
        <v>24</v>
      </c>
      <c r="K2215">
        <v>2.6</v>
      </c>
      <c r="L2215">
        <v>1</v>
      </c>
    </row>
    <row r="2216" spans="1:12">
      <c r="A2216" t="s">
        <v>6426</v>
      </c>
      <c r="B2216" t="s">
        <v>6427</v>
      </c>
      <c r="C2216" t="s">
        <v>6428</v>
      </c>
      <c r="D2216" t="s">
        <v>23</v>
      </c>
      <c r="E2216" t="s">
        <v>59</v>
      </c>
      <c r="F2216" t="s">
        <v>36</v>
      </c>
      <c r="G2216" t="s">
        <v>18</v>
      </c>
      <c r="H2216" t="s">
        <v>31</v>
      </c>
      <c r="I2216">
        <v>4</v>
      </c>
      <c r="J2216">
        <v>24</v>
      </c>
      <c r="K2216">
        <v>2.46</v>
      </c>
      <c r="L2216">
        <v>1</v>
      </c>
    </row>
    <row r="2217" spans="1:12">
      <c r="A2217" t="s">
        <v>6429</v>
      </c>
      <c r="B2217" t="s">
        <v>6430</v>
      </c>
      <c r="C2217" t="s">
        <v>6431</v>
      </c>
      <c r="D2217" t="s">
        <v>158</v>
      </c>
      <c r="E2217" t="s">
        <v>24</v>
      </c>
      <c r="F2217" t="s">
        <v>36</v>
      </c>
      <c r="G2217" t="s">
        <v>77</v>
      </c>
      <c r="H2217" t="s">
        <v>31</v>
      </c>
      <c r="I2217">
        <v>1</v>
      </c>
      <c r="J2217">
        <v>4</v>
      </c>
      <c r="K2217">
        <v>6.42</v>
      </c>
      <c r="L2217">
        <v>0</v>
      </c>
    </row>
    <row r="2218" spans="1:12">
      <c r="A2218" t="s">
        <v>6432</v>
      </c>
      <c r="B2218" t="s">
        <v>6433</v>
      </c>
      <c r="C2218" t="s">
        <v>6434</v>
      </c>
      <c r="D2218" t="s">
        <v>23</v>
      </c>
      <c r="E2218" t="s">
        <v>59</v>
      </c>
      <c r="F2218" t="s">
        <v>17</v>
      </c>
      <c r="G2218" t="s">
        <v>151</v>
      </c>
      <c r="H2218" t="s">
        <v>19</v>
      </c>
      <c r="I2218">
        <v>5</v>
      </c>
      <c r="J2218">
        <v>24</v>
      </c>
      <c r="K2218">
        <v>20.59</v>
      </c>
      <c r="L2218">
        <v>1</v>
      </c>
    </row>
    <row r="2219" spans="1:12">
      <c r="A2219" t="s">
        <v>6435</v>
      </c>
      <c r="B2219" t="s">
        <v>6436</v>
      </c>
      <c r="C2219" t="s">
        <v>6437</v>
      </c>
      <c r="D2219" t="s">
        <v>15</v>
      </c>
      <c r="E2219" t="s">
        <v>59</v>
      </c>
      <c r="F2219" t="s">
        <v>29</v>
      </c>
      <c r="G2219" t="s">
        <v>151</v>
      </c>
      <c r="H2219" t="s">
        <v>31</v>
      </c>
      <c r="I2219">
        <v>3</v>
      </c>
      <c r="J2219">
        <v>8</v>
      </c>
      <c r="K2219">
        <v>3.26</v>
      </c>
      <c r="L2219">
        <v>1</v>
      </c>
    </row>
    <row r="2220" spans="1:12">
      <c r="A2220" t="s">
        <v>6438</v>
      </c>
      <c r="B2220" t="s">
        <v>6439</v>
      </c>
      <c r="C2220" t="s">
        <v>6440</v>
      </c>
      <c r="D2220" t="s">
        <v>23</v>
      </c>
      <c r="E2220" t="s">
        <v>28</v>
      </c>
      <c r="F2220" t="s">
        <v>60</v>
      </c>
      <c r="G2220" t="s">
        <v>30</v>
      </c>
      <c r="H2220" t="s">
        <v>31</v>
      </c>
      <c r="I2220">
        <v>5</v>
      </c>
      <c r="J2220">
        <v>24</v>
      </c>
      <c r="K2220">
        <v>11.14</v>
      </c>
      <c r="L2220">
        <v>1</v>
      </c>
    </row>
    <row r="2221" spans="1:12">
      <c r="A2221" t="s">
        <v>6441</v>
      </c>
      <c r="B2221" t="s">
        <v>6442</v>
      </c>
      <c r="C2221" t="s">
        <v>6443</v>
      </c>
      <c r="D2221" t="s">
        <v>23</v>
      </c>
      <c r="E2221" t="s">
        <v>24</v>
      </c>
      <c r="F2221" t="s">
        <v>41</v>
      </c>
      <c r="G2221" t="s">
        <v>105</v>
      </c>
      <c r="H2221" t="s">
        <v>19</v>
      </c>
      <c r="I2221">
        <v>5</v>
      </c>
      <c r="J2221">
        <v>24</v>
      </c>
      <c r="K2221">
        <v>18.28</v>
      </c>
      <c r="L2221">
        <v>1</v>
      </c>
    </row>
    <row r="2222" spans="1:12">
      <c r="A2222" t="s">
        <v>6444</v>
      </c>
      <c r="B2222" t="s">
        <v>6445</v>
      </c>
      <c r="C2222" t="s">
        <v>6446</v>
      </c>
      <c r="D2222" t="s">
        <v>23</v>
      </c>
      <c r="E2222" t="s">
        <v>28</v>
      </c>
      <c r="F2222" t="s">
        <v>17</v>
      </c>
      <c r="G2222" t="s">
        <v>105</v>
      </c>
      <c r="H2222" t="s">
        <v>31</v>
      </c>
      <c r="I2222">
        <v>5</v>
      </c>
      <c r="J2222">
        <v>24</v>
      </c>
      <c r="K2222">
        <v>6.35</v>
      </c>
      <c r="L2222">
        <v>1</v>
      </c>
    </row>
    <row r="2223" spans="1:12">
      <c r="A2223" t="s">
        <v>6447</v>
      </c>
      <c r="B2223" t="s">
        <v>6448</v>
      </c>
      <c r="C2223" t="s">
        <v>6449</v>
      </c>
      <c r="D2223" t="s">
        <v>23</v>
      </c>
      <c r="E2223" t="s">
        <v>28</v>
      </c>
      <c r="F2223" t="s">
        <v>29</v>
      </c>
      <c r="G2223" t="s">
        <v>18</v>
      </c>
      <c r="H2223" t="s">
        <v>19</v>
      </c>
      <c r="I2223">
        <v>5</v>
      </c>
      <c r="J2223">
        <v>24</v>
      </c>
      <c r="K2223">
        <v>11.75</v>
      </c>
      <c r="L2223">
        <v>1</v>
      </c>
    </row>
    <row r="2224" spans="1:12">
      <c r="A2224" t="s">
        <v>6450</v>
      </c>
      <c r="B2224" t="s">
        <v>6451</v>
      </c>
      <c r="C2224" t="s">
        <v>6452</v>
      </c>
      <c r="D2224" t="s">
        <v>15</v>
      </c>
      <c r="E2224" t="s">
        <v>28</v>
      </c>
      <c r="F2224" t="s">
        <v>17</v>
      </c>
      <c r="G2224" t="s">
        <v>73</v>
      </c>
      <c r="H2224" t="s">
        <v>31</v>
      </c>
      <c r="I2224">
        <v>1</v>
      </c>
      <c r="J2224">
        <v>8</v>
      </c>
      <c r="K2224">
        <v>9.5399999999999991</v>
      </c>
      <c r="L2224">
        <v>0</v>
      </c>
    </row>
    <row r="2225" spans="1:12">
      <c r="A2225" t="s">
        <v>6453</v>
      </c>
      <c r="B2225" t="s">
        <v>6454</v>
      </c>
      <c r="C2225" t="s">
        <v>6455</v>
      </c>
      <c r="D2225" t="s">
        <v>15</v>
      </c>
      <c r="E2225" t="s">
        <v>16</v>
      </c>
      <c r="F2225" t="s">
        <v>41</v>
      </c>
      <c r="G2225" t="s">
        <v>73</v>
      </c>
      <c r="H2225" t="s">
        <v>19</v>
      </c>
      <c r="I2225">
        <v>5</v>
      </c>
      <c r="J2225">
        <v>8</v>
      </c>
      <c r="K2225">
        <v>2.5299999999999998</v>
      </c>
      <c r="L2225">
        <v>1</v>
      </c>
    </row>
    <row r="2226" spans="1:12">
      <c r="A2226" t="s">
        <v>6456</v>
      </c>
      <c r="B2226" t="s">
        <v>6457</v>
      </c>
      <c r="C2226" t="s">
        <v>6458</v>
      </c>
      <c r="D2226" t="s">
        <v>15</v>
      </c>
      <c r="E2226" t="s">
        <v>59</v>
      </c>
      <c r="F2226" t="s">
        <v>17</v>
      </c>
      <c r="G2226" t="s">
        <v>18</v>
      </c>
      <c r="H2226" t="s">
        <v>31</v>
      </c>
      <c r="I2226">
        <v>3</v>
      </c>
      <c r="J2226">
        <v>8</v>
      </c>
      <c r="K2226">
        <v>6.62</v>
      </c>
      <c r="L2226">
        <v>1</v>
      </c>
    </row>
    <row r="2227" spans="1:12">
      <c r="A2227" t="s">
        <v>6459</v>
      </c>
      <c r="B2227" t="s">
        <v>6460</v>
      </c>
      <c r="C2227" t="s">
        <v>6461</v>
      </c>
      <c r="D2227" t="s">
        <v>23</v>
      </c>
      <c r="E2227" t="s">
        <v>28</v>
      </c>
      <c r="F2227" t="s">
        <v>41</v>
      </c>
      <c r="G2227" t="s">
        <v>151</v>
      </c>
      <c r="H2227" t="s">
        <v>19</v>
      </c>
      <c r="I2227">
        <v>5</v>
      </c>
      <c r="J2227">
        <v>24</v>
      </c>
      <c r="K2227">
        <v>15.4</v>
      </c>
      <c r="L2227">
        <v>1</v>
      </c>
    </row>
    <row r="2228" spans="1:12">
      <c r="A2228" t="s">
        <v>6462</v>
      </c>
      <c r="B2228" t="s">
        <v>6463</v>
      </c>
      <c r="C2228" t="s">
        <v>6464</v>
      </c>
      <c r="D2228" t="s">
        <v>35</v>
      </c>
      <c r="E2228" t="s">
        <v>28</v>
      </c>
      <c r="F2228" t="s">
        <v>17</v>
      </c>
      <c r="G2228" t="s">
        <v>30</v>
      </c>
      <c r="H2228" t="s">
        <v>19</v>
      </c>
      <c r="I2228">
        <v>2</v>
      </c>
      <c r="J2228">
        <v>48</v>
      </c>
      <c r="K2228">
        <v>58.67</v>
      </c>
      <c r="L2228">
        <v>0</v>
      </c>
    </row>
    <row r="2229" spans="1:12">
      <c r="A2229" t="s">
        <v>6465</v>
      </c>
      <c r="B2229" t="s">
        <v>6466</v>
      </c>
      <c r="C2229" t="s">
        <v>6467</v>
      </c>
      <c r="D2229" t="s">
        <v>23</v>
      </c>
      <c r="E2229" t="s">
        <v>54</v>
      </c>
      <c r="F2229" t="s">
        <v>36</v>
      </c>
      <c r="G2229" t="s">
        <v>45</v>
      </c>
      <c r="H2229" t="s">
        <v>31</v>
      </c>
      <c r="I2229">
        <v>5</v>
      </c>
      <c r="J2229">
        <v>24</v>
      </c>
      <c r="K2229">
        <v>22.3</v>
      </c>
      <c r="L2229">
        <v>1</v>
      </c>
    </row>
    <row r="2230" spans="1:12">
      <c r="A2230" t="s">
        <v>6468</v>
      </c>
      <c r="B2230" t="s">
        <v>6469</v>
      </c>
      <c r="C2230" t="s">
        <v>6470</v>
      </c>
      <c r="D2230" t="s">
        <v>23</v>
      </c>
      <c r="E2230" t="s">
        <v>59</v>
      </c>
      <c r="F2230" t="s">
        <v>60</v>
      </c>
      <c r="G2230" t="s">
        <v>77</v>
      </c>
      <c r="H2230" t="s">
        <v>19</v>
      </c>
      <c r="I2230">
        <v>1</v>
      </c>
      <c r="J2230">
        <v>24</v>
      </c>
      <c r="K2230">
        <v>65.48</v>
      </c>
      <c r="L2230">
        <v>0</v>
      </c>
    </row>
    <row r="2231" spans="1:12">
      <c r="A2231" t="s">
        <v>6471</v>
      </c>
      <c r="B2231" t="s">
        <v>6472</v>
      </c>
      <c r="C2231" t="s">
        <v>6473</v>
      </c>
      <c r="D2231" t="s">
        <v>23</v>
      </c>
      <c r="E2231" t="s">
        <v>16</v>
      </c>
      <c r="F2231" t="s">
        <v>29</v>
      </c>
      <c r="G2231" t="s">
        <v>73</v>
      </c>
      <c r="H2231" t="s">
        <v>19</v>
      </c>
      <c r="I2231">
        <v>4</v>
      </c>
      <c r="J2231">
        <v>24</v>
      </c>
      <c r="K2231">
        <v>19.600000000000001</v>
      </c>
      <c r="L2231">
        <v>1</v>
      </c>
    </row>
    <row r="2232" spans="1:12">
      <c r="A2232" t="s">
        <v>6474</v>
      </c>
      <c r="B2232" t="s">
        <v>6475</v>
      </c>
      <c r="C2232" t="s">
        <v>6476</v>
      </c>
      <c r="D2232" t="s">
        <v>35</v>
      </c>
      <c r="E2232" t="s">
        <v>16</v>
      </c>
      <c r="F2232" t="s">
        <v>17</v>
      </c>
      <c r="G2232" t="s">
        <v>50</v>
      </c>
      <c r="H2232" t="s">
        <v>19</v>
      </c>
      <c r="I2232">
        <v>4</v>
      </c>
      <c r="J2232">
        <v>48</v>
      </c>
      <c r="K2232">
        <v>7.97</v>
      </c>
      <c r="L2232">
        <v>1</v>
      </c>
    </row>
    <row r="2233" spans="1:12">
      <c r="A2233" t="s">
        <v>6477</v>
      </c>
      <c r="B2233" t="s">
        <v>6478</v>
      </c>
      <c r="D2233" t="s">
        <v>35</v>
      </c>
      <c r="E2233" t="s">
        <v>54</v>
      </c>
      <c r="F2233" t="s">
        <v>17</v>
      </c>
      <c r="G2233" t="s">
        <v>30</v>
      </c>
      <c r="H2233" t="s">
        <v>63</v>
      </c>
      <c r="J2233">
        <v>48</v>
      </c>
    </row>
    <row r="2234" spans="1:12">
      <c r="A2234" t="s">
        <v>6479</v>
      </c>
      <c r="B2234" t="s">
        <v>6480</v>
      </c>
      <c r="C2234" t="s">
        <v>6481</v>
      </c>
      <c r="D2234" t="s">
        <v>158</v>
      </c>
      <c r="E2234" t="s">
        <v>59</v>
      </c>
      <c r="F2234" t="s">
        <v>17</v>
      </c>
      <c r="G2234" t="s">
        <v>18</v>
      </c>
      <c r="H2234" t="s">
        <v>31</v>
      </c>
      <c r="I2234">
        <v>4</v>
      </c>
      <c r="J2234">
        <v>4</v>
      </c>
      <c r="K2234">
        <v>1.01</v>
      </c>
      <c r="L2234">
        <v>1</v>
      </c>
    </row>
    <row r="2235" spans="1:12">
      <c r="A2235" t="s">
        <v>6482</v>
      </c>
      <c r="B2235" t="s">
        <v>6483</v>
      </c>
      <c r="C2235" t="s">
        <v>6484</v>
      </c>
      <c r="D2235" t="s">
        <v>158</v>
      </c>
      <c r="E2235" t="s">
        <v>16</v>
      </c>
      <c r="F2235" t="s">
        <v>17</v>
      </c>
      <c r="G2235" t="s">
        <v>42</v>
      </c>
      <c r="H2235" t="s">
        <v>19</v>
      </c>
      <c r="I2235">
        <v>2</v>
      </c>
      <c r="J2235">
        <v>4</v>
      </c>
      <c r="K2235">
        <v>10.33</v>
      </c>
      <c r="L2235">
        <v>0</v>
      </c>
    </row>
    <row r="2236" spans="1:12">
      <c r="A2236" t="s">
        <v>6485</v>
      </c>
      <c r="B2236" t="s">
        <v>6486</v>
      </c>
      <c r="C2236" t="s">
        <v>6487</v>
      </c>
      <c r="D2236" t="s">
        <v>23</v>
      </c>
      <c r="E2236" t="s">
        <v>24</v>
      </c>
      <c r="F2236" t="s">
        <v>29</v>
      </c>
      <c r="G2236" t="s">
        <v>55</v>
      </c>
      <c r="H2236" t="s">
        <v>19</v>
      </c>
      <c r="I2236">
        <v>4</v>
      </c>
      <c r="J2236">
        <v>24</v>
      </c>
      <c r="K2236">
        <v>4.6900000000000004</v>
      </c>
      <c r="L2236">
        <v>1</v>
      </c>
    </row>
    <row r="2237" spans="1:12">
      <c r="A2237" t="s">
        <v>6488</v>
      </c>
      <c r="B2237" t="s">
        <v>6489</v>
      </c>
      <c r="C2237" t="s">
        <v>6490</v>
      </c>
      <c r="D2237" t="s">
        <v>23</v>
      </c>
      <c r="E2237" t="s">
        <v>54</v>
      </c>
      <c r="F2237" t="s">
        <v>36</v>
      </c>
      <c r="G2237" t="s">
        <v>105</v>
      </c>
      <c r="H2237" t="s">
        <v>31</v>
      </c>
      <c r="I2237">
        <v>5</v>
      </c>
      <c r="J2237">
        <v>24</v>
      </c>
      <c r="K2237">
        <v>17.690000000000001</v>
      </c>
      <c r="L2237">
        <v>1</v>
      </c>
    </row>
    <row r="2238" spans="1:12">
      <c r="A2238" t="s">
        <v>6491</v>
      </c>
      <c r="B2238" t="s">
        <v>6492</v>
      </c>
      <c r="C2238" t="s">
        <v>6493</v>
      </c>
      <c r="D2238" t="s">
        <v>15</v>
      </c>
      <c r="E2238" t="s">
        <v>59</v>
      </c>
      <c r="F2238" t="s">
        <v>41</v>
      </c>
      <c r="G2238" t="s">
        <v>77</v>
      </c>
      <c r="H2238" t="s">
        <v>19</v>
      </c>
      <c r="I2238">
        <v>5</v>
      </c>
      <c r="J2238">
        <v>8</v>
      </c>
      <c r="K2238">
        <v>5.9</v>
      </c>
      <c r="L2238">
        <v>1</v>
      </c>
    </row>
    <row r="2239" spans="1:12">
      <c r="A2239" t="s">
        <v>6494</v>
      </c>
      <c r="B2239" t="s">
        <v>6495</v>
      </c>
      <c r="C2239" t="s">
        <v>6496</v>
      </c>
      <c r="D2239" t="s">
        <v>15</v>
      </c>
      <c r="E2239" t="s">
        <v>28</v>
      </c>
      <c r="F2239" t="s">
        <v>60</v>
      </c>
      <c r="G2239" t="s">
        <v>18</v>
      </c>
      <c r="H2239" t="s">
        <v>19</v>
      </c>
      <c r="I2239">
        <v>1</v>
      </c>
      <c r="J2239">
        <v>8</v>
      </c>
      <c r="K2239">
        <v>17.899999999999999</v>
      </c>
      <c r="L2239">
        <v>0</v>
      </c>
    </row>
    <row r="2240" spans="1:12">
      <c r="A2240" t="s">
        <v>6497</v>
      </c>
      <c r="B2240" t="s">
        <v>6498</v>
      </c>
      <c r="C2240" t="s">
        <v>6499</v>
      </c>
      <c r="D2240" t="s">
        <v>23</v>
      </c>
      <c r="E2240" t="s">
        <v>16</v>
      </c>
      <c r="F2240" t="s">
        <v>60</v>
      </c>
      <c r="G2240" t="s">
        <v>45</v>
      </c>
      <c r="H2240" t="s">
        <v>19</v>
      </c>
      <c r="I2240">
        <v>2</v>
      </c>
      <c r="J2240">
        <v>24</v>
      </c>
      <c r="K2240">
        <v>65.739999999999995</v>
      </c>
      <c r="L2240">
        <v>0</v>
      </c>
    </row>
    <row r="2241" spans="1:12">
      <c r="A2241" t="s">
        <v>6500</v>
      </c>
      <c r="B2241" t="s">
        <v>6501</v>
      </c>
      <c r="C2241" t="s">
        <v>6502</v>
      </c>
      <c r="D2241" t="s">
        <v>15</v>
      </c>
      <c r="E2241" t="s">
        <v>16</v>
      </c>
      <c r="F2241" t="s">
        <v>41</v>
      </c>
      <c r="G2241" t="s">
        <v>73</v>
      </c>
      <c r="H2241" t="s">
        <v>19</v>
      </c>
      <c r="I2241">
        <v>4</v>
      </c>
      <c r="J2241">
        <v>8</v>
      </c>
      <c r="K2241">
        <v>2.25</v>
      </c>
      <c r="L2241">
        <v>1</v>
      </c>
    </row>
    <row r="2242" spans="1:12">
      <c r="A2242" t="s">
        <v>6503</v>
      </c>
      <c r="B2242" t="s">
        <v>6504</v>
      </c>
      <c r="C2242" t="s">
        <v>6505</v>
      </c>
      <c r="D2242" t="s">
        <v>23</v>
      </c>
      <c r="E2242" t="s">
        <v>16</v>
      </c>
      <c r="F2242" t="s">
        <v>17</v>
      </c>
      <c r="G2242" t="s">
        <v>73</v>
      </c>
      <c r="H2242" t="s">
        <v>31</v>
      </c>
      <c r="I2242">
        <v>4</v>
      </c>
      <c r="J2242">
        <v>24</v>
      </c>
      <c r="K2242">
        <v>7.54</v>
      </c>
      <c r="L2242">
        <v>1</v>
      </c>
    </row>
    <row r="2243" spans="1:12">
      <c r="A2243" t="s">
        <v>6506</v>
      </c>
      <c r="B2243" t="s">
        <v>6507</v>
      </c>
      <c r="C2243" t="s">
        <v>6508</v>
      </c>
      <c r="D2243" t="s">
        <v>35</v>
      </c>
      <c r="E2243" t="s">
        <v>54</v>
      </c>
      <c r="F2243" t="s">
        <v>17</v>
      </c>
      <c r="G2243" t="s">
        <v>105</v>
      </c>
      <c r="H2243" t="s">
        <v>31</v>
      </c>
      <c r="I2243">
        <v>5</v>
      </c>
      <c r="J2243">
        <v>48</v>
      </c>
      <c r="K2243">
        <v>7.49</v>
      </c>
      <c r="L2243">
        <v>1</v>
      </c>
    </row>
    <row r="2244" spans="1:12">
      <c r="A2244" t="s">
        <v>6509</v>
      </c>
      <c r="B2244" t="s">
        <v>6510</v>
      </c>
      <c r="C2244" t="s">
        <v>6511</v>
      </c>
      <c r="D2244" t="s">
        <v>23</v>
      </c>
      <c r="E2244" t="s">
        <v>16</v>
      </c>
      <c r="F2244" t="s">
        <v>36</v>
      </c>
      <c r="G2244" t="s">
        <v>151</v>
      </c>
      <c r="H2244" t="s">
        <v>19</v>
      </c>
      <c r="I2244">
        <v>3</v>
      </c>
      <c r="J2244">
        <v>24</v>
      </c>
      <c r="K2244">
        <v>2.67</v>
      </c>
      <c r="L2244">
        <v>1</v>
      </c>
    </row>
    <row r="2245" spans="1:12">
      <c r="A2245" t="s">
        <v>6512</v>
      </c>
      <c r="B2245" t="s">
        <v>6513</v>
      </c>
      <c r="C2245" t="s">
        <v>6514</v>
      </c>
      <c r="D2245" t="s">
        <v>35</v>
      </c>
      <c r="E2245" t="s">
        <v>28</v>
      </c>
      <c r="F2245" t="s">
        <v>17</v>
      </c>
      <c r="G2245" t="s">
        <v>18</v>
      </c>
      <c r="H2245" t="s">
        <v>31</v>
      </c>
      <c r="I2245">
        <v>4</v>
      </c>
      <c r="J2245">
        <v>48</v>
      </c>
      <c r="K2245">
        <v>22.71</v>
      </c>
      <c r="L2245">
        <v>1</v>
      </c>
    </row>
    <row r="2246" spans="1:12">
      <c r="A2246" t="s">
        <v>6515</v>
      </c>
      <c r="B2246" t="s">
        <v>6516</v>
      </c>
      <c r="C2246" t="s">
        <v>6517</v>
      </c>
      <c r="D2246" t="s">
        <v>15</v>
      </c>
      <c r="E2246" t="s">
        <v>16</v>
      </c>
      <c r="F2246" t="s">
        <v>17</v>
      </c>
      <c r="G2246" t="s">
        <v>172</v>
      </c>
      <c r="H2246" t="s">
        <v>31</v>
      </c>
      <c r="I2246">
        <v>4</v>
      </c>
      <c r="J2246">
        <v>8</v>
      </c>
      <c r="K2246">
        <v>6.08</v>
      </c>
      <c r="L2246">
        <v>1</v>
      </c>
    </row>
    <row r="2247" spans="1:12">
      <c r="A2247" t="s">
        <v>6518</v>
      </c>
      <c r="B2247" t="s">
        <v>6519</v>
      </c>
      <c r="C2247" t="s">
        <v>6520</v>
      </c>
      <c r="D2247" t="s">
        <v>23</v>
      </c>
      <c r="E2247" t="s">
        <v>16</v>
      </c>
      <c r="F2247" t="s">
        <v>41</v>
      </c>
      <c r="G2247" t="s">
        <v>45</v>
      </c>
      <c r="H2247" t="s">
        <v>19</v>
      </c>
      <c r="I2247">
        <v>3</v>
      </c>
      <c r="J2247">
        <v>24</v>
      </c>
      <c r="K2247">
        <v>22.48</v>
      </c>
      <c r="L2247">
        <v>1</v>
      </c>
    </row>
    <row r="2248" spans="1:12">
      <c r="A2248" t="s">
        <v>6521</v>
      </c>
      <c r="B2248" t="s">
        <v>6522</v>
      </c>
      <c r="C2248" t="s">
        <v>6523</v>
      </c>
      <c r="D2248" t="s">
        <v>23</v>
      </c>
      <c r="E2248" t="s">
        <v>28</v>
      </c>
      <c r="F2248" t="s">
        <v>41</v>
      </c>
      <c r="G2248" t="s">
        <v>50</v>
      </c>
      <c r="H2248" t="s">
        <v>19</v>
      </c>
      <c r="I2248">
        <v>5</v>
      </c>
      <c r="J2248">
        <v>24</v>
      </c>
      <c r="K2248">
        <v>14.32</v>
      </c>
      <c r="L2248">
        <v>1</v>
      </c>
    </row>
    <row r="2249" spans="1:12">
      <c r="A2249" t="s">
        <v>6524</v>
      </c>
      <c r="B2249" t="s">
        <v>6525</v>
      </c>
      <c r="C2249" t="s">
        <v>6526</v>
      </c>
      <c r="D2249" t="s">
        <v>15</v>
      </c>
      <c r="E2249" t="s">
        <v>24</v>
      </c>
      <c r="F2249" t="s">
        <v>36</v>
      </c>
      <c r="G2249" t="s">
        <v>151</v>
      </c>
      <c r="H2249" t="s">
        <v>19</v>
      </c>
      <c r="I2249">
        <v>5</v>
      </c>
      <c r="J2249">
        <v>8</v>
      </c>
      <c r="K2249">
        <v>3.63</v>
      </c>
      <c r="L2249">
        <v>1</v>
      </c>
    </row>
    <row r="2250" spans="1:12">
      <c r="A2250" t="s">
        <v>6527</v>
      </c>
      <c r="B2250" t="s">
        <v>6528</v>
      </c>
      <c r="C2250" t="s">
        <v>6529</v>
      </c>
      <c r="D2250" t="s">
        <v>35</v>
      </c>
      <c r="E2250" t="s">
        <v>24</v>
      </c>
      <c r="F2250" t="s">
        <v>29</v>
      </c>
      <c r="G2250" t="s">
        <v>37</v>
      </c>
      <c r="H2250" t="s">
        <v>31</v>
      </c>
      <c r="I2250">
        <v>5</v>
      </c>
      <c r="J2250">
        <v>48</v>
      </c>
      <c r="K2250">
        <v>43.35</v>
      </c>
      <c r="L2250">
        <v>1</v>
      </c>
    </row>
    <row r="2251" spans="1:12">
      <c r="A2251" t="s">
        <v>6530</v>
      </c>
      <c r="B2251" t="s">
        <v>6531</v>
      </c>
      <c r="C2251" t="s">
        <v>6532</v>
      </c>
      <c r="D2251" t="s">
        <v>15</v>
      </c>
      <c r="E2251" t="s">
        <v>59</v>
      </c>
      <c r="F2251" t="s">
        <v>36</v>
      </c>
      <c r="G2251" t="s">
        <v>45</v>
      </c>
      <c r="H2251" t="s">
        <v>19</v>
      </c>
      <c r="I2251">
        <v>1</v>
      </c>
      <c r="J2251">
        <v>8</v>
      </c>
      <c r="K2251">
        <v>16.84</v>
      </c>
      <c r="L2251">
        <v>0</v>
      </c>
    </row>
    <row r="2252" spans="1:12">
      <c r="A2252" t="s">
        <v>6533</v>
      </c>
      <c r="B2252" t="s">
        <v>6534</v>
      </c>
      <c r="C2252" t="s">
        <v>6535</v>
      </c>
      <c r="D2252" t="s">
        <v>23</v>
      </c>
      <c r="E2252" t="s">
        <v>24</v>
      </c>
      <c r="F2252" t="s">
        <v>60</v>
      </c>
      <c r="G2252" t="s">
        <v>42</v>
      </c>
      <c r="H2252" t="s">
        <v>31</v>
      </c>
      <c r="I2252">
        <v>4</v>
      </c>
      <c r="J2252">
        <v>24</v>
      </c>
      <c r="K2252">
        <v>4.82</v>
      </c>
      <c r="L2252">
        <v>1</v>
      </c>
    </row>
    <row r="2253" spans="1:12">
      <c r="A2253" t="s">
        <v>6536</v>
      </c>
      <c r="B2253" t="s">
        <v>6537</v>
      </c>
      <c r="C2253" t="s">
        <v>6538</v>
      </c>
      <c r="D2253" t="s">
        <v>158</v>
      </c>
      <c r="E2253" t="s">
        <v>28</v>
      </c>
      <c r="F2253" t="s">
        <v>29</v>
      </c>
      <c r="G2253" t="s">
        <v>37</v>
      </c>
      <c r="H2253" t="s">
        <v>31</v>
      </c>
      <c r="I2253">
        <v>3</v>
      </c>
      <c r="J2253">
        <v>4</v>
      </c>
      <c r="K2253">
        <v>7.79</v>
      </c>
      <c r="L2253">
        <v>0</v>
      </c>
    </row>
    <row r="2254" spans="1:12">
      <c r="A2254" t="s">
        <v>6539</v>
      </c>
      <c r="B2254" t="s">
        <v>6540</v>
      </c>
      <c r="C2254" t="s">
        <v>6541</v>
      </c>
      <c r="D2254" t="s">
        <v>158</v>
      </c>
      <c r="E2254" t="s">
        <v>28</v>
      </c>
      <c r="F2254" t="s">
        <v>41</v>
      </c>
      <c r="G2254" t="s">
        <v>73</v>
      </c>
      <c r="H2254" t="s">
        <v>19</v>
      </c>
      <c r="I2254">
        <v>4</v>
      </c>
      <c r="J2254">
        <v>4</v>
      </c>
      <c r="K2254">
        <v>1.74</v>
      </c>
      <c r="L2254">
        <v>1</v>
      </c>
    </row>
    <row r="2255" spans="1:12">
      <c r="A2255" t="s">
        <v>6542</v>
      </c>
      <c r="B2255" t="s">
        <v>6543</v>
      </c>
      <c r="C2255" t="s">
        <v>6544</v>
      </c>
      <c r="D2255" t="s">
        <v>23</v>
      </c>
      <c r="E2255" t="s">
        <v>16</v>
      </c>
      <c r="F2255" t="s">
        <v>29</v>
      </c>
      <c r="G2255" t="s">
        <v>45</v>
      </c>
      <c r="H2255" t="s">
        <v>31</v>
      </c>
      <c r="I2255">
        <v>5</v>
      </c>
      <c r="J2255">
        <v>24</v>
      </c>
      <c r="K2255">
        <v>11.2</v>
      </c>
      <c r="L2255">
        <v>1</v>
      </c>
    </row>
    <row r="2256" spans="1:12">
      <c r="A2256" t="s">
        <v>6545</v>
      </c>
      <c r="B2256" t="s">
        <v>6546</v>
      </c>
      <c r="C2256" t="s">
        <v>6547</v>
      </c>
      <c r="D2256" t="s">
        <v>15</v>
      </c>
      <c r="E2256" t="s">
        <v>16</v>
      </c>
      <c r="F2256" t="s">
        <v>17</v>
      </c>
      <c r="G2256" t="s">
        <v>55</v>
      </c>
      <c r="H2256" t="s">
        <v>19</v>
      </c>
      <c r="I2256">
        <v>4</v>
      </c>
      <c r="J2256">
        <v>8</v>
      </c>
      <c r="K2256">
        <v>5.2</v>
      </c>
      <c r="L2256">
        <v>1</v>
      </c>
    </row>
    <row r="2257" spans="1:12">
      <c r="A2257" t="s">
        <v>6548</v>
      </c>
      <c r="B2257" t="s">
        <v>6549</v>
      </c>
      <c r="C2257" t="s">
        <v>6550</v>
      </c>
      <c r="D2257" t="s">
        <v>15</v>
      </c>
      <c r="E2257" t="s">
        <v>16</v>
      </c>
      <c r="F2257" t="s">
        <v>41</v>
      </c>
      <c r="G2257" t="s">
        <v>73</v>
      </c>
      <c r="H2257" t="s">
        <v>19</v>
      </c>
      <c r="I2257">
        <v>4</v>
      </c>
      <c r="J2257">
        <v>8</v>
      </c>
      <c r="K2257">
        <v>9.7799999999999994</v>
      </c>
      <c r="L2257">
        <v>0</v>
      </c>
    </row>
    <row r="2258" spans="1:12">
      <c r="A2258" t="s">
        <v>6551</v>
      </c>
      <c r="B2258" t="s">
        <v>6552</v>
      </c>
      <c r="C2258" t="s">
        <v>6553</v>
      </c>
      <c r="D2258" t="s">
        <v>15</v>
      </c>
      <c r="E2258" t="s">
        <v>28</v>
      </c>
      <c r="F2258" t="s">
        <v>17</v>
      </c>
      <c r="G2258" t="s">
        <v>105</v>
      </c>
      <c r="H2258" t="s">
        <v>19</v>
      </c>
      <c r="I2258">
        <v>4</v>
      </c>
      <c r="J2258">
        <v>8</v>
      </c>
      <c r="K2258">
        <v>5.53</v>
      </c>
      <c r="L2258">
        <v>1</v>
      </c>
    </row>
    <row r="2259" spans="1:12">
      <c r="A2259" t="s">
        <v>6554</v>
      </c>
      <c r="B2259" t="s">
        <v>6555</v>
      </c>
      <c r="C2259" t="s">
        <v>6556</v>
      </c>
      <c r="D2259" t="s">
        <v>15</v>
      </c>
      <c r="E2259" t="s">
        <v>28</v>
      </c>
      <c r="F2259" t="s">
        <v>60</v>
      </c>
      <c r="G2259" t="s">
        <v>151</v>
      </c>
      <c r="H2259" t="s">
        <v>31</v>
      </c>
      <c r="I2259">
        <v>5</v>
      </c>
      <c r="J2259">
        <v>8</v>
      </c>
      <c r="K2259">
        <v>5.8</v>
      </c>
      <c r="L2259">
        <v>1</v>
      </c>
    </row>
    <row r="2260" spans="1:12">
      <c r="A2260" t="s">
        <v>6557</v>
      </c>
      <c r="B2260" t="s">
        <v>6558</v>
      </c>
      <c r="C2260" t="s">
        <v>6559</v>
      </c>
      <c r="D2260" t="s">
        <v>35</v>
      </c>
      <c r="E2260" t="s">
        <v>54</v>
      </c>
      <c r="F2260" t="s">
        <v>60</v>
      </c>
      <c r="G2260" t="s">
        <v>37</v>
      </c>
      <c r="H2260" t="s">
        <v>19</v>
      </c>
      <c r="I2260">
        <v>5</v>
      </c>
      <c r="J2260">
        <v>48</v>
      </c>
      <c r="K2260">
        <v>17.489999999999998</v>
      </c>
      <c r="L2260">
        <v>1</v>
      </c>
    </row>
    <row r="2261" spans="1:12">
      <c r="A2261" t="s">
        <v>6560</v>
      </c>
      <c r="B2261" t="s">
        <v>6561</v>
      </c>
      <c r="C2261" t="s">
        <v>6562</v>
      </c>
      <c r="D2261" t="s">
        <v>23</v>
      </c>
      <c r="E2261" t="s">
        <v>54</v>
      </c>
      <c r="F2261" t="s">
        <v>41</v>
      </c>
      <c r="G2261" t="s">
        <v>45</v>
      </c>
      <c r="H2261" t="s">
        <v>19</v>
      </c>
      <c r="I2261">
        <v>5</v>
      </c>
      <c r="J2261">
        <v>24</v>
      </c>
      <c r="K2261">
        <v>18.82</v>
      </c>
      <c r="L2261">
        <v>1</v>
      </c>
    </row>
    <row r="2262" spans="1:12">
      <c r="A2262" t="s">
        <v>6563</v>
      </c>
      <c r="B2262" t="s">
        <v>6564</v>
      </c>
      <c r="C2262" t="s">
        <v>6565</v>
      </c>
      <c r="D2262" t="s">
        <v>35</v>
      </c>
      <c r="E2262" t="s">
        <v>59</v>
      </c>
      <c r="F2262" t="s">
        <v>41</v>
      </c>
      <c r="G2262" t="s">
        <v>73</v>
      </c>
      <c r="H2262" t="s">
        <v>31</v>
      </c>
      <c r="I2262">
        <v>4</v>
      </c>
      <c r="J2262">
        <v>48</v>
      </c>
      <c r="K2262">
        <v>19.68</v>
      </c>
      <c r="L2262">
        <v>1</v>
      </c>
    </row>
    <row r="2263" spans="1:12">
      <c r="A2263" t="s">
        <v>6566</v>
      </c>
      <c r="B2263" t="s">
        <v>6567</v>
      </c>
      <c r="C2263" t="s">
        <v>6568</v>
      </c>
      <c r="D2263" t="s">
        <v>15</v>
      </c>
      <c r="E2263" t="s">
        <v>28</v>
      </c>
      <c r="F2263" t="s">
        <v>36</v>
      </c>
      <c r="G2263" t="s">
        <v>105</v>
      </c>
      <c r="H2263" t="s">
        <v>19</v>
      </c>
      <c r="I2263">
        <v>5</v>
      </c>
      <c r="J2263">
        <v>8</v>
      </c>
      <c r="K2263">
        <v>6.47</v>
      </c>
      <c r="L2263">
        <v>1</v>
      </c>
    </row>
    <row r="2264" spans="1:12">
      <c r="A2264" t="s">
        <v>6569</v>
      </c>
      <c r="B2264" t="s">
        <v>6570</v>
      </c>
      <c r="C2264" t="s">
        <v>6571</v>
      </c>
      <c r="D2264" t="s">
        <v>23</v>
      </c>
      <c r="E2264" t="s">
        <v>24</v>
      </c>
      <c r="F2264" t="s">
        <v>29</v>
      </c>
      <c r="G2264" t="s">
        <v>172</v>
      </c>
      <c r="H2264" t="s">
        <v>31</v>
      </c>
      <c r="I2264">
        <v>5</v>
      </c>
      <c r="J2264">
        <v>24</v>
      </c>
      <c r="K2264">
        <v>10.36</v>
      </c>
      <c r="L2264">
        <v>1</v>
      </c>
    </row>
    <row r="2265" spans="1:12">
      <c r="A2265" t="s">
        <v>6572</v>
      </c>
      <c r="B2265" t="s">
        <v>6573</v>
      </c>
      <c r="C2265" t="s">
        <v>6574</v>
      </c>
      <c r="D2265" t="s">
        <v>15</v>
      </c>
      <c r="E2265" t="s">
        <v>28</v>
      </c>
      <c r="F2265" t="s">
        <v>41</v>
      </c>
      <c r="G2265" t="s">
        <v>37</v>
      </c>
      <c r="H2265" t="s">
        <v>31</v>
      </c>
      <c r="I2265">
        <v>1</v>
      </c>
      <c r="J2265">
        <v>8</v>
      </c>
      <c r="K2265">
        <v>20.84</v>
      </c>
      <c r="L2265">
        <v>0</v>
      </c>
    </row>
    <row r="2266" spans="1:12">
      <c r="A2266" t="s">
        <v>6575</v>
      </c>
      <c r="B2266" t="s">
        <v>6576</v>
      </c>
      <c r="C2266" t="s">
        <v>6577</v>
      </c>
      <c r="D2266" t="s">
        <v>35</v>
      </c>
      <c r="E2266" t="s">
        <v>59</v>
      </c>
      <c r="F2266" t="s">
        <v>29</v>
      </c>
      <c r="G2266" t="s">
        <v>18</v>
      </c>
      <c r="H2266" t="s">
        <v>19</v>
      </c>
      <c r="I2266">
        <v>4</v>
      </c>
      <c r="J2266">
        <v>48</v>
      </c>
      <c r="K2266">
        <v>19.93</v>
      </c>
      <c r="L2266">
        <v>1</v>
      </c>
    </row>
    <row r="2267" spans="1:12">
      <c r="A2267" t="s">
        <v>6578</v>
      </c>
      <c r="B2267" t="s">
        <v>6579</v>
      </c>
      <c r="C2267" t="s">
        <v>6580</v>
      </c>
      <c r="D2267" t="s">
        <v>15</v>
      </c>
      <c r="E2267" t="s">
        <v>28</v>
      </c>
      <c r="F2267" t="s">
        <v>60</v>
      </c>
      <c r="G2267" t="s">
        <v>77</v>
      </c>
      <c r="H2267" t="s">
        <v>19</v>
      </c>
      <c r="I2267">
        <v>5</v>
      </c>
      <c r="J2267">
        <v>8</v>
      </c>
      <c r="K2267">
        <v>3.73</v>
      </c>
      <c r="L2267">
        <v>1</v>
      </c>
    </row>
    <row r="2268" spans="1:12">
      <c r="A2268" t="s">
        <v>6581</v>
      </c>
      <c r="B2268" t="s">
        <v>6582</v>
      </c>
      <c r="C2268" t="s">
        <v>6583</v>
      </c>
      <c r="D2268" t="s">
        <v>158</v>
      </c>
      <c r="E2268" t="s">
        <v>28</v>
      </c>
      <c r="F2268" t="s">
        <v>29</v>
      </c>
      <c r="G2268" t="s">
        <v>30</v>
      </c>
      <c r="H2268" t="s">
        <v>19</v>
      </c>
      <c r="I2268">
        <v>4</v>
      </c>
      <c r="J2268">
        <v>4</v>
      </c>
      <c r="K2268">
        <v>8.67</v>
      </c>
      <c r="L2268">
        <v>0</v>
      </c>
    </row>
    <row r="2269" spans="1:12">
      <c r="A2269" t="s">
        <v>6584</v>
      </c>
      <c r="B2269" t="s">
        <v>6585</v>
      </c>
      <c r="C2269" t="s">
        <v>6586</v>
      </c>
      <c r="D2269" t="s">
        <v>23</v>
      </c>
      <c r="E2269" t="s">
        <v>59</v>
      </c>
      <c r="F2269" t="s">
        <v>60</v>
      </c>
      <c r="G2269" t="s">
        <v>42</v>
      </c>
      <c r="H2269" t="s">
        <v>31</v>
      </c>
      <c r="I2269">
        <v>4</v>
      </c>
      <c r="J2269">
        <v>24</v>
      </c>
      <c r="K2269">
        <v>10.54</v>
      </c>
      <c r="L2269">
        <v>1</v>
      </c>
    </row>
    <row r="2270" spans="1:12">
      <c r="A2270" t="s">
        <v>6587</v>
      </c>
      <c r="B2270" t="s">
        <v>6588</v>
      </c>
      <c r="C2270" t="s">
        <v>6589</v>
      </c>
      <c r="D2270" t="s">
        <v>35</v>
      </c>
      <c r="E2270" t="s">
        <v>54</v>
      </c>
      <c r="F2270" t="s">
        <v>41</v>
      </c>
      <c r="G2270" t="s">
        <v>45</v>
      </c>
      <c r="H2270" t="s">
        <v>31</v>
      </c>
      <c r="I2270">
        <v>4</v>
      </c>
      <c r="J2270">
        <v>48</v>
      </c>
      <c r="K2270">
        <v>39.619999999999997</v>
      </c>
      <c r="L2270">
        <v>1</v>
      </c>
    </row>
    <row r="2271" spans="1:12">
      <c r="A2271" t="s">
        <v>6590</v>
      </c>
      <c r="B2271" t="s">
        <v>6591</v>
      </c>
      <c r="C2271" t="s">
        <v>6592</v>
      </c>
      <c r="D2271" t="s">
        <v>35</v>
      </c>
      <c r="E2271" t="s">
        <v>28</v>
      </c>
      <c r="F2271" t="s">
        <v>17</v>
      </c>
      <c r="G2271" t="s">
        <v>172</v>
      </c>
      <c r="H2271" t="s">
        <v>31</v>
      </c>
      <c r="I2271">
        <v>4</v>
      </c>
      <c r="J2271">
        <v>48</v>
      </c>
      <c r="K2271">
        <v>9.64</v>
      </c>
      <c r="L2271">
        <v>1</v>
      </c>
    </row>
    <row r="2272" spans="1:12">
      <c r="A2272" t="s">
        <v>6593</v>
      </c>
      <c r="B2272" t="s">
        <v>6594</v>
      </c>
      <c r="C2272" t="s">
        <v>6595</v>
      </c>
      <c r="D2272" t="s">
        <v>35</v>
      </c>
      <c r="E2272" t="s">
        <v>28</v>
      </c>
      <c r="F2272" t="s">
        <v>29</v>
      </c>
      <c r="G2272" t="s">
        <v>151</v>
      </c>
      <c r="H2272" t="s">
        <v>19</v>
      </c>
      <c r="I2272">
        <v>4</v>
      </c>
      <c r="J2272">
        <v>48</v>
      </c>
      <c r="K2272">
        <v>37.14</v>
      </c>
      <c r="L2272">
        <v>1</v>
      </c>
    </row>
    <row r="2273" spans="1:12">
      <c r="A2273" t="s">
        <v>6596</v>
      </c>
      <c r="B2273" t="s">
        <v>6597</v>
      </c>
      <c r="C2273" t="s">
        <v>6598</v>
      </c>
      <c r="D2273" t="s">
        <v>35</v>
      </c>
      <c r="E2273" t="s">
        <v>28</v>
      </c>
      <c r="F2273" t="s">
        <v>29</v>
      </c>
      <c r="G2273" t="s">
        <v>45</v>
      </c>
      <c r="H2273" t="s">
        <v>19</v>
      </c>
      <c r="I2273">
        <v>4</v>
      </c>
      <c r="J2273">
        <v>48</v>
      </c>
      <c r="K2273">
        <v>23.27</v>
      </c>
      <c r="L2273">
        <v>1</v>
      </c>
    </row>
    <row r="2274" spans="1:12">
      <c r="A2274" t="s">
        <v>6599</v>
      </c>
      <c r="B2274" t="s">
        <v>6600</v>
      </c>
      <c r="C2274" t="s">
        <v>6601</v>
      </c>
      <c r="D2274" t="s">
        <v>23</v>
      </c>
      <c r="E2274" t="s">
        <v>28</v>
      </c>
      <c r="F2274" t="s">
        <v>36</v>
      </c>
      <c r="G2274" t="s">
        <v>30</v>
      </c>
      <c r="H2274" t="s">
        <v>19</v>
      </c>
      <c r="I2274">
        <v>5</v>
      </c>
      <c r="J2274">
        <v>24</v>
      </c>
      <c r="K2274">
        <v>4.8899999999999997</v>
      </c>
      <c r="L2274">
        <v>1</v>
      </c>
    </row>
    <row r="2275" spans="1:12">
      <c r="A2275" t="s">
        <v>6602</v>
      </c>
      <c r="B2275" t="s">
        <v>6603</v>
      </c>
      <c r="C2275" t="s">
        <v>6604</v>
      </c>
      <c r="D2275" t="s">
        <v>23</v>
      </c>
      <c r="E2275" t="s">
        <v>24</v>
      </c>
      <c r="F2275" t="s">
        <v>36</v>
      </c>
      <c r="G2275" t="s">
        <v>42</v>
      </c>
      <c r="H2275" t="s">
        <v>19</v>
      </c>
      <c r="I2275">
        <v>5</v>
      </c>
      <c r="J2275">
        <v>24</v>
      </c>
      <c r="K2275">
        <v>4.28</v>
      </c>
      <c r="L2275">
        <v>1</v>
      </c>
    </row>
    <row r="2276" spans="1:12">
      <c r="A2276" t="s">
        <v>6605</v>
      </c>
      <c r="B2276" t="s">
        <v>6606</v>
      </c>
      <c r="C2276" t="s">
        <v>6607</v>
      </c>
      <c r="D2276" t="s">
        <v>15</v>
      </c>
      <c r="E2276" t="s">
        <v>28</v>
      </c>
      <c r="F2276" t="s">
        <v>29</v>
      </c>
      <c r="G2276" t="s">
        <v>105</v>
      </c>
      <c r="H2276" t="s">
        <v>31</v>
      </c>
      <c r="I2276">
        <v>5</v>
      </c>
      <c r="J2276">
        <v>8</v>
      </c>
      <c r="K2276">
        <v>6.96</v>
      </c>
      <c r="L2276">
        <v>1</v>
      </c>
    </row>
    <row r="2277" spans="1:12">
      <c r="A2277" t="s">
        <v>6608</v>
      </c>
      <c r="B2277" t="s">
        <v>6609</v>
      </c>
      <c r="C2277" t="s">
        <v>6610</v>
      </c>
      <c r="D2277" t="s">
        <v>15</v>
      </c>
      <c r="E2277" t="s">
        <v>24</v>
      </c>
      <c r="F2277" t="s">
        <v>41</v>
      </c>
      <c r="G2277" t="s">
        <v>30</v>
      </c>
      <c r="H2277" t="s">
        <v>19</v>
      </c>
      <c r="I2277">
        <v>5</v>
      </c>
      <c r="J2277">
        <v>8</v>
      </c>
      <c r="K2277">
        <v>7.36</v>
      </c>
      <c r="L2277">
        <v>1</v>
      </c>
    </row>
    <row r="2278" spans="1:12">
      <c r="A2278" t="s">
        <v>6611</v>
      </c>
      <c r="B2278" t="s">
        <v>6612</v>
      </c>
      <c r="C2278" t="s">
        <v>6613</v>
      </c>
      <c r="D2278" t="s">
        <v>35</v>
      </c>
      <c r="E2278" t="s">
        <v>24</v>
      </c>
      <c r="F2278" t="s">
        <v>60</v>
      </c>
      <c r="G2278" t="s">
        <v>37</v>
      </c>
      <c r="H2278" t="s">
        <v>31</v>
      </c>
      <c r="I2278">
        <v>1</v>
      </c>
      <c r="J2278">
        <v>48</v>
      </c>
      <c r="K2278">
        <v>127.19</v>
      </c>
      <c r="L2278">
        <v>0</v>
      </c>
    </row>
    <row r="2279" spans="1:12">
      <c r="A2279" t="s">
        <v>6614</v>
      </c>
      <c r="B2279" t="s">
        <v>6615</v>
      </c>
      <c r="C2279" t="s">
        <v>6616</v>
      </c>
      <c r="D2279" t="s">
        <v>23</v>
      </c>
      <c r="E2279" t="s">
        <v>24</v>
      </c>
      <c r="F2279" t="s">
        <v>41</v>
      </c>
      <c r="G2279" t="s">
        <v>37</v>
      </c>
      <c r="H2279" t="s">
        <v>31</v>
      </c>
      <c r="I2279">
        <v>3</v>
      </c>
      <c r="J2279">
        <v>24</v>
      </c>
      <c r="K2279">
        <v>6.38</v>
      </c>
      <c r="L2279">
        <v>1</v>
      </c>
    </row>
    <row r="2280" spans="1:12">
      <c r="A2280" t="s">
        <v>6617</v>
      </c>
      <c r="B2280" t="s">
        <v>6618</v>
      </c>
      <c r="C2280" t="s">
        <v>6619</v>
      </c>
      <c r="D2280" t="s">
        <v>35</v>
      </c>
      <c r="E2280" t="s">
        <v>54</v>
      </c>
      <c r="F2280" t="s">
        <v>36</v>
      </c>
      <c r="G2280" t="s">
        <v>151</v>
      </c>
      <c r="H2280" t="s">
        <v>31</v>
      </c>
      <c r="I2280">
        <v>5</v>
      </c>
      <c r="J2280">
        <v>48</v>
      </c>
      <c r="K2280">
        <v>38</v>
      </c>
      <c r="L2280">
        <v>1</v>
      </c>
    </row>
    <row r="2281" spans="1:12">
      <c r="A2281" t="s">
        <v>6620</v>
      </c>
      <c r="B2281" t="s">
        <v>6621</v>
      </c>
      <c r="C2281" t="s">
        <v>6622</v>
      </c>
      <c r="D2281" t="s">
        <v>158</v>
      </c>
      <c r="E2281" t="s">
        <v>59</v>
      </c>
      <c r="F2281" t="s">
        <v>29</v>
      </c>
      <c r="G2281" t="s">
        <v>151</v>
      </c>
      <c r="H2281" t="s">
        <v>19</v>
      </c>
      <c r="I2281">
        <v>4</v>
      </c>
      <c r="J2281">
        <v>4</v>
      </c>
      <c r="K2281">
        <v>4.4800000000000004</v>
      </c>
      <c r="L2281">
        <v>0</v>
      </c>
    </row>
    <row r="2282" spans="1:12">
      <c r="A2282" t="s">
        <v>6623</v>
      </c>
      <c r="B2282" t="s">
        <v>6624</v>
      </c>
      <c r="C2282" t="s">
        <v>6625</v>
      </c>
      <c r="D2282" t="s">
        <v>35</v>
      </c>
      <c r="E2282" t="s">
        <v>54</v>
      </c>
      <c r="F2282" t="s">
        <v>17</v>
      </c>
      <c r="G2282" t="s">
        <v>42</v>
      </c>
      <c r="H2282" t="s">
        <v>19</v>
      </c>
      <c r="I2282">
        <v>5</v>
      </c>
      <c r="J2282">
        <v>48</v>
      </c>
      <c r="K2282">
        <v>31.83</v>
      </c>
      <c r="L2282">
        <v>1</v>
      </c>
    </row>
    <row r="2283" spans="1:12">
      <c r="A2283" t="s">
        <v>6626</v>
      </c>
      <c r="B2283" t="s">
        <v>6627</v>
      </c>
      <c r="C2283" t="s">
        <v>6628</v>
      </c>
      <c r="D2283" t="s">
        <v>23</v>
      </c>
      <c r="E2283" t="s">
        <v>54</v>
      </c>
      <c r="F2283" t="s">
        <v>17</v>
      </c>
      <c r="G2283" t="s">
        <v>55</v>
      </c>
      <c r="H2283" t="s">
        <v>31</v>
      </c>
      <c r="I2283">
        <v>5</v>
      </c>
      <c r="J2283">
        <v>24</v>
      </c>
      <c r="K2283">
        <v>21.14</v>
      </c>
      <c r="L2283">
        <v>1</v>
      </c>
    </row>
    <row r="2284" spans="1:12">
      <c r="A2284" t="s">
        <v>6629</v>
      </c>
      <c r="B2284" t="s">
        <v>6630</v>
      </c>
      <c r="D2284" t="s">
        <v>35</v>
      </c>
      <c r="E2284" t="s">
        <v>54</v>
      </c>
      <c r="F2284" t="s">
        <v>41</v>
      </c>
      <c r="G2284" t="s">
        <v>73</v>
      </c>
      <c r="H2284" t="s">
        <v>63</v>
      </c>
      <c r="J2284">
        <v>48</v>
      </c>
    </row>
    <row r="2285" spans="1:12">
      <c r="A2285" t="s">
        <v>6631</v>
      </c>
      <c r="B2285" t="s">
        <v>6632</v>
      </c>
      <c r="C2285" t="s">
        <v>6633</v>
      </c>
      <c r="D2285" t="s">
        <v>15</v>
      </c>
      <c r="E2285" t="s">
        <v>28</v>
      </c>
      <c r="F2285" t="s">
        <v>29</v>
      </c>
      <c r="G2285" t="s">
        <v>172</v>
      </c>
      <c r="H2285" t="s">
        <v>31</v>
      </c>
      <c r="I2285">
        <v>5</v>
      </c>
      <c r="J2285">
        <v>8</v>
      </c>
      <c r="K2285">
        <v>3.46</v>
      </c>
      <c r="L2285">
        <v>1</v>
      </c>
    </row>
    <row r="2286" spans="1:12">
      <c r="A2286" t="s">
        <v>6634</v>
      </c>
      <c r="B2286" t="s">
        <v>6635</v>
      </c>
      <c r="C2286" t="s">
        <v>6636</v>
      </c>
      <c r="D2286" t="s">
        <v>23</v>
      </c>
      <c r="E2286" t="s">
        <v>24</v>
      </c>
      <c r="F2286" t="s">
        <v>41</v>
      </c>
      <c r="G2286" t="s">
        <v>18</v>
      </c>
      <c r="H2286" t="s">
        <v>19</v>
      </c>
      <c r="I2286">
        <v>4</v>
      </c>
      <c r="J2286">
        <v>24</v>
      </c>
      <c r="K2286">
        <v>22.11</v>
      </c>
      <c r="L2286">
        <v>1</v>
      </c>
    </row>
    <row r="2287" spans="1:12">
      <c r="A2287" t="s">
        <v>6637</v>
      </c>
      <c r="B2287" t="s">
        <v>6638</v>
      </c>
      <c r="C2287" t="s">
        <v>6639</v>
      </c>
      <c r="D2287" t="s">
        <v>35</v>
      </c>
      <c r="E2287" t="s">
        <v>54</v>
      </c>
      <c r="F2287" t="s">
        <v>17</v>
      </c>
      <c r="G2287" t="s">
        <v>73</v>
      </c>
      <c r="H2287" t="s">
        <v>19</v>
      </c>
      <c r="I2287">
        <v>4</v>
      </c>
      <c r="J2287">
        <v>48</v>
      </c>
      <c r="K2287">
        <v>36.25</v>
      </c>
      <c r="L2287">
        <v>1</v>
      </c>
    </row>
    <row r="2288" spans="1:12">
      <c r="A2288" t="s">
        <v>6640</v>
      </c>
      <c r="B2288" t="s">
        <v>6641</v>
      </c>
      <c r="C2288" t="s">
        <v>6642</v>
      </c>
      <c r="D2288" t="s">
        <v>23</v>
      </c>
      <c r="E2288" t="s">
        <v>16</v>
      </c>
      <c r="F2288" t="s">
        <v>60</v>
      </c>
      <c r="G2288" t="s">
        <v>55</v>
      </c>
      <c r="H2288" t="s">
        <v>19</v>
      </c>
      <c r="I2288">
        <v>5</v>
      </c>
      <c r="J2288">
        <v>24</v>
      </c>
      <c r="K2288">
        <v>19.8</v>
      </c>
      <c r="L2288">
        <v>1</v>
      </c>
    </row>
    <row r="2289" spans="1:12">
      <c r="A2289" t="s">
        <v>6643</v>
      </c>
      <c r="B2289" t="s">
        <v>6644</v>
      </c>
      <c r="C2289" t="s">
        <v>6645</v>
      </c>
      <c r="D2289" t="s">
        <v>35</v>
      </c>
      <c r="E2289" t="s">
        <v>16</v>
      </c>
      <c r="F2289" t="s">
        <v>29</v>
      </c>
      <c r="G2289" t="s">
        <v>18</v>
      </c>
      <c r="H2289" t="s">
        <v>19</v>
      </c>
      <c r="I2289">
        <v>4</v>
      </c>
      <c r="J2289">
        <v>48</v>
      </c>
      <c r="K2289">
        <v>8.35</v>
      </c>
      <c r="L2289">
        <v>1</v>
      </c>
    </row>
    <row r="2290" spans="1:12">
      <c r="A2290" t="s">
        <v>6646</v>
      </c>
      <c r="B2290" t="s">
        <v>6647</v>
      </c>
      <c r="D2290" t="s">
        <v>23</v>
      </c>
      <c r="E2290" t="s">
        <v>24</v>
      </c>
      <c r="F2290" t="s">
        <v>36</v>
      </c>
      <c r="G2290" t="s">
        <v>77</v>
      </c>
      <c r="H2290" t="s">
        <v>46</v>
      </c>
      <c r="J2290">
        <v>24</v>
      </c>
    </row>
    <row r="2291" spans="1:12">
      <c r="A2291" t="s">
        <v>6648</v>
      </c>
      <c r="B2291" t="s">
        <v>6649</v>
      </c>
      <c r="C2291" t="s">
        <v>6650</v>
      </c>
      <c r="D2291" t="s">
        <v>23</v>
      </c>
      <c r="E2291" t="s">
        <v>28</v>
      </c>
      <c r="F2291" t="s">
        <v>41</v>
      </c>
      <c r="G2291" t="s">
        <v>42</v>
      </c>
      <c r="H2291" t="s">
        <v>31</v>
      </c>
      <c r="I2291">
        <v>4</v>
      </c>
      <c r="J2291">
        <v>24</v>
      </c>
      <c r="K2291">
        <v>19.329999999999998</v>
      </c>
      <c r="L2291">
        <v>1</v>
      </c>
    </row>
    <row r="2292" spans="1:12">
      <c r="A2292" t="s">
        <v>6651</v>
      </c>
      <c r="B2292" t="s">
        <v>6652</v>
      </c>
      <c r="C2292" t="s">
        <v>6653</v>
      </c>
      <c r="D2292" t="s">
        <v>158</v>
      </c>
      <c r="E2292" t="s">
        <v>28</v>
      </c>
      <c r="F2292" t="s">
        <v>17</v>
      </c>
      <c r="G2292" t="s">
        <v>37</v>
      </c>
      <c r="H2292" t="s">
        <v>19</v>
      </c>
      <c r="I2292">
        <v>5</v>
      </c>
      <c r="J2292">
        <v>4</v>
      </c>
      <c r="K2292">
        <v>3.64</v>
      </c>
      <c r="L2292">
        <v>1</v>
      </c>
    </row>
    <row r="2293" spans="1:12">
      <c r="A2293" t="s">
        <v>6654</v>
      </c>
      <c r="B2293" t="s">
        <v>6655</v>
      </c>
      <c r="D2293" t="s">
        <v>35</v>
      </c>
      <c r="E2293" t="s">
        <v>54</v>
      </c>
      <c r="F2293" t="s">
        <v>60</v>
      </c>
      <c r="G2293" t="s">
        <v>151</v>
      </c>
      <c r="H2293" t="s">
        <v>46</v>
      </c>
      <c r="J2293">
        <v>48</v>
      </c>
    </row>
    <row r="2294" spans="1:12">
      <c r="A2294" t="s">
        <v>6656</v>
      </c>
      <c r="B2294" t="s">
        <v>6657</v>
      </c>
      <c r="C2294" t="s">
        <v>6658</v>
      </c>
      <c r="D2294" t="s">
        <v>158</v>
      </c>
      <c r="E2294" t="s">
        <v>16</v>
      </c>
      <c r="F2294" t="s">
        <v>41</v>
      </c>
      <c r="G2294" t="s">
        <v>105</v>
      </c>
      <c r="H2294" t="s">
        <v>31</v>
      </c>
      <c r="I2294">
        <v>4</v>
      </c>
      <c r="J2294">
        <v>4</v>
      </c>
      <c r="K2294">
        <v>1.28</v>
      </c>
      <c r="L2294">
        <v>1</v>
      </c>
    </row>
    <row r="2295" spans="1:12">
      <c r="A2295" t="s">
        <v>6659</v>
      </c>
      <c r="B2295" t="s">
        <v>6660</v>
      </c>
      <c r="C2295" t="s">
        <v>6661</v>
      </c>
      <c r="D2295" t="s">
        <v>15</v>
      </c>
      <c r="E2295" t="s">
        <v>16</v>
      </c>
      <c r="F2295" t="s">
        <v>17</v>
      </c>
      <c r="G2295" t="s">
        <v>73</v>
      </c>
      <c r="H2295" t="s">
        <v>19</v>
      </c>
      <c r="I2295">
        <v>2</v>
      </c>
      <c r="J2295">
        <v>8</v>
      </c>
      <c r="K2295">
        <v>11.78</v>
      </c>
      <c r="L2295">
        <v>0</v>
      </c>
    </row>
    <row r="2296" spans="1:12">
      <c r="A2296" t="s">
        <v>6662</v>
      </c>
      <c r="B2296" t="s">
        <v>6663</v>
      </c>
      <c r="C2296" t="s">
        <v>6664</v>
      </c>
      <c r="D2296" t="s">
        <v>15</v>
      </c>
      <c r="E2296" t="s">
        <v>24</v>
      </c>
      <c r="F2296" t="s">
        <v>60</v>
      </c>
      <c r="G2296" t="s">
        <v>30</v>
      </c>
      <c r="H2296" t="s">
        <v>31</v>
      </c>
      <c r="I2296">
        <v>5</v>
      </c>
      <c r="J2296">
        <v>8</v>
      </c>
      <c r="K2296">
        <v>2.79</v>
      </c>
      <c r="L2296">
        <v>1</v>
      </c>
    </row>
    <row r="2297" spans="1:12">
      <c r="A2297" t="s">
        <v>6665</v>
      </c>
      <c r="B2297" t="s">
        <v>6666</v>
      </c>
      <c r="C2297" t="s">
        <v>6667</v>
      </c>
      <c r="D2297" t="s">
        <v>23</v>
      </c>
      <c r="E2297" t="s">
        <v>54</v>
      </c>
      <c r="F2297" t="s">
        <v>60</v>
      </c>
      <c r="G2297" t="s">
        <v>73</v>
      </c>
      <c r="H2297" t="s">
        <v>31</v>
      </c>
      <c r="I2297">
        <v>5</v>
      </c>
      <c r="J2297">
        <v>24</v>
      </c>
      <c r="K2297">
        <v>16.38</v>
      </c>
      <c r="L2297">
        <v>1</v>
      </c>
    </row>
    <row r="2298" spans="1:12">
      <c r="A2298" t="s">
        <v>6668</v>
      </c>
      <c r="B2298" t="s">
        <v>6669</v>
      </c>
      <c r="C2298" t="s">
        <v>6670</v>
      </c>
      <c r="D2298" t="s">
        <v>23</v>
      </c>
      <c r="E2298" t="s">
        <v>28</v>
      </c>
      <c r="F2298" t="s">
        <v>36</v>
      </c>
      <c r="G2298" t="s">
        <v>37</v>
      </c>
      <c r="H2298" t="s">
        <v>19</v>
      </c>
      <c r="I2298">
        <v>2</v>
      </c>
      <c r="J2298">
        <v>24</v>
      </c>
      <c r="K2298">
        <v>71.67</v>
      </c>
      <c r="L2298">
        <v>0</v>
      </c>
    </row>
    <row r="2299" spans="1:12">
      <c r="A2299" t="s">
        <v>6671</v>
      </c>
      <c r="B2299" t="s">
        <v>6672</v>
      </c>
      <c r="C2299" t="s">
        <v>6673</v>
      </c>
      <c r="D2299" t="s">
        <v>23</v>
      </c>
      <c r="E2299" t="s">
        <v>59</v>
      </c>
      <c r="F2299" t="s">
        <v>17</v>
      </c>
      <c r="G2299" t="s">
        <v>151</v>
      </c>
      <c r="H2299" t="s">
        <v>31</v>
      </c>
      <c r="I2299">
        <v>3</v>
      </c>
      <c r="J2299">
        <v>24</v>
      </c>
      <c r="K2299">
        <v>18.690000000000001</v>
      </c>
      <c r="L2299">
        <v>1</v>
      </c>
    </row>
    <row r="2300" spans="1:12">
      <c r="A2300" t="s">
        <v>6674</v>
      </c>
      <c r="B2300" t="s">
        <v>6675</v>
      </c>
      <c r="C2300" t="s">
        <v>6676</v>
      </c>
      <c r="D2300" t="s">
        <v>15</v>
      </c>
      <c r="E2300" t="s">
        <v>24</v>
      </c>
      <c r="F2300" t="s">
        <v>41</v>
      </c>
      <c r="G2300" t="s">
        <v>151</v>
      </c>
      <c r="H2300" t="s">
        <v>31</v>
      </c>
      <c r="I2300">
        <v>3</v>
      </c>
      <c r="J2300">
        <v>8</v>
      </c>
      <c r="K2300">
        <v>6.43</v>
      </c>
      <c r="L2300">
        <v>1</v>
      </c>
    </row>
    <row r="2301" spans="1:12">
      <c r="A2301" t="s">
        <v>6677</v>
      </c>
      <c r="B2301" t="s">
        <v>6678</v>
      </c>
      <c r="C2301" t="s">
        <v>6679</v>
      </c>
      <c r="D2301" t="s">
        <v>15</v>
      </c>
      <c r="E2301" t="s">
        <v>16</v>
      </c>
      <c r="F2301" t="s">
        <v>29</v>
      </c>
      <c r="G2301" t="s">
        <v>42</v>
      </c>
      <c r="H2301" t="s">
        <v>31</v>
      </c>
      <c r="I2301">
        <v>5</v>
      </c>
      <c r="J2301">
        <v>8</v>
      </c>
      <c r="K2301">
        <v>0.89</v>
      </c>
      <c r="L2301">
        <v>1</v>
      </c>
    </row>
    <row r="2302" spans="1:12">
      <c r="A2302" t="s">
        <v>6680</v>
      </c>
      <c r="B2302" t="s">
        <v>6681</v>
      </c>
      <c r="C2302" t="s">
        <v>6682</v>
      </c>
      <c r="D2302" t="s">
        <v>23</v>
      </c>
      <c r="E2302" t="s">
        <v>24</v>
      </c>
      <c r="F2302" t="s">
        <v>36</v>
      </c>
      <c r="G2302" t="s">
        <v>77</v>
      </c>
      <c r="H2302" t="s">
        <v>31</v>
      </c>
      <c r="I2302">
        <v>5</v>
      </c>
      <c r="J2302">
        <v>24</v>
      </c>
      <c r="K2302">
        <v>7.08</v>
      </c>
      <c r="L2302">
        <v>1</v>
      </c>
    </row>
    <row r="2303" spans="1:12">
      <c r="A2303" t="s">
        <v>6683</v>
      </c>
      <c r="B2303" t="s">
        <v>6684</v>
      </c>
      <c r="C2303" t="s">
        <v>6685</v>
      </c>
      <c r="D2303" t="s">
        <v>23</v>
      </c>
      <c r="E2303" t="s">
        <v>28</v>
      </c>
      <c r="F2303" t="s">
        <v>29</v>
      </c>
      <c r="G2303" t="s">
        <v>105</v>
      </c>
      <c r="H2303" t="s">
        <v>19</v>
      </c>
      <c r="I2303">
        <v>4</v>
      </c>
      <c r="J2303">
        <v>24</v>
      </c>
      <c r="K2303">
        <v>9.7799999999999994</v>
      </c>
      <c r="L2303">
        <v>1</v>
      </c>
    </row>
    <row r="2304" spans="1:12">
      <c r="A2304" t="s">
        <v>6686</v>
      </c>
      <c r="B2304" t="s">
        <v>6687</v>
      </c>
      <c r="C2304" t="s">
        <v>6688</v>
      </c>
      <c r="D2304" t="s">
        <v>23</v>
      </c>
      <c r="E2304" t="s">
        <v>59</v>
      </c>
      <c r="F2304" t="s">
        <v>36</v>
      </c>
      <c r="G2304" t="s">
        <v>172</v>
      </c>
      <c r="H2304" t="s">
        <v>19</v>
      </c>
      <c r="I2304">
        <v>1</v>
      </c>
      <c r="J2304">
        <v>24</v>
      </c>
      <c r="K2304">
        <v>37.729999999999997</v>
      </c>
      <c r="L2304">
        <v>0</v>
      </c>
    </row>
    <row r="2305" spans="1:12">
      <c r="A2305" t="s">
        <v>6689</v>
      </c>
      <c r="B2305" t="s">
        <v>6690</v>
      </c>
      <c r="C2305" t="s">
        <v>6691</v>
      </c>
      <c r="D2305" t="s">
        <v>35</v>
      </c>
      <c r="E2305" t="s">
        <v>28</v>
      </c>
      <c r="F2305" t="s">
        <v>41</v>
      </c>
      <c r="G2305" t="s">
        <v>45</v>
      </c>
      <c r="H2305" t="s">
        <v>19</v>
      </c>
      <c r="I2305">
        <v>3</v>
      </c>
      <c r="J2305">
        <v>48</v>
      </c>
      <c r="K2305">
        <v>58.95</v>
      </c>
      <c r="L2305">
        <v>0</v>
      </c>
    </row>
    <row r="2306" spans="1:12">
      <c r="A2306" t="s">
        <v>6692</v>
      </c>
      <c r="B2306" t="s">
        <v>6693</v>
      </c>
      <c r="C2306" t="s">
        <v>6694</v>
      </c>
      <c r="D2306" t="s">
        <v>35</v>
      </c>
      <c r="E2306" t="s">
        <v>54</v>
      </c>
      <c r="F2306" t="s">
        <v>41</v>
      </c>
      <c r="G2306" t="s">
        <v>77</v>
      </c>
      <c r="H2306" t="s">
        <v>19</v>
      </c>
      <c r="I2306">
        <v>5</v>
      </c>
      <c r="J2306">
        <v>48</v>
      </c>
      <c r="K2306">
        <v>7.26</v>
      </c>
      <c r="L2306">
        <v>1</v>
      </c>
    </row>
    <row r="2307" spans="1:12">
      <c r="A2307" t="s">
        <v>6695</v>
      </c>
      <c r="B2307" t="s">
        <v>6696</v>
      </c>
      <c r="C2307" t="s">
        <v>6697</v>
      </c>
      <c r="D2307" t="s">
        <v>15</v>
      </c>
      <c r="E2307" t="s">
        <v>28</v>
      </c>
      <c r="F2307" t="s">
        <v>41</v>
      </c>
      <c r="G2307" t="s">
        <v>73</v>
      </c>
      <c r="H2307" t="s">
        <v>31</v>
      </c>
      <c r="I2307">
        <v>4</v>
      </c>
      <c r="J2307">
        <v>8</v>
      </c>
      <c r="K2307">
        <v>6.69</v>
      </c>
      <c r="L2307">
        <v>1</v>
      </c>
    </row>
    <row r="2308" spans="1:12">
      <c r="A2308" t="s">
        <v>6698</v>
      </c>
      <c r="B2308" t="s">
        <v>6699</v>
      </c>
      <c r="D2308" t="s">
        <v>23</v>
      </c>
      <c r="E2308" t="s">
        <v>24</v>
      </c>
      <c r="F2308" t="s">
        <v>29</v>
      </c>
      <c r="G2308" t="s">
        <v>42</v>
      </c>
      <c r="H2308" t="s">
        <v>63</v>
      </c>
      <c r="J2308">
        <v>24</v>
      </c>
    </row>
    <row r="2309" spans="1:12">
      <c r="A2309" t="s">
        <v>6700</v>
      </c>
      <c r="B2309" t="s">
        <v>6701</v>
      </c>
      <c r="C2309" t="s">
        <v>6702</v>
      </c>
      <c r="D2309" t="s">
        <v>15</v>
      </c>
      <c r="E2309" t="s">
        <v>16</v>
      </c>
      <c r="F2309" t="s">
        <v>60</v>
      </c>
      <c r="G2309" t="s">
        <v>37</v>
      </c>
      <c r="H2309" t="s">
        <v>19</v>
      </c>
      <c r="I2309">
        <v>3</v>
      </c>
      <c r="J2309">
        <v>8</v>
      </c>
      <c r="K2309">
        <v>3.89</v>
      </c>
      <c r="L2309">
        <v>1</v>
      </c>
    </row>
    <row r="2310" spans="1:12">
      <c r="A2310" t="s">
        <v>6703</v>
      </c>
      <c r="B2310" t="s">
        <v>6704</v>
      </c>
      <c r="C2310" t="s">
        <v>6705</v>
      </c>
      <c r="D2310" t="s">
        <v>23</v>
      </c>
      <c r="E2310" t="s">
        <v>24</v>
      </c>
      <c r="F2310" t="s">
        <v>41</v>
      </c>
      <c r="G2310" t="s">
        <v>50</v>
      </c>
      <c r="H2310" t="s">
        <v>31</v>
      </c>
      <c r="I2310">
        <v>5</v>
      </c>
      <c r="J2310">
        <v>24</v>
      </c>
      <c r="K2310">
        <v>18.68</v>
      </c>
      <c r="L2310">
        <v>1</v>
      </c>
    </row>
    <row r="2311" spans="1:12">
      <c r="A2311" t="s">
        <v>6706</v>
      </c>
      <c r="B2311" t="s">
        <v>6707</v>
      </c>
      <c r="D2311" t="s">
        <v>15</v>
      </c>
      <c r="E2311" t="s">
        <v>54</v>
      </c>
      <c r="F2311" t="s">
        <v>36</v>
      </c>
      <c r="G2311" t="s">
        <v>50</v>
      </c>
      <c r="H2311" t="s">
        <v>63</v>
      </c>
      <c r="J2311">
        <v>8</v>
      </c>
    </row>
    <row r="2312" spans="1:12">
      <c r="A2312" t="s">
        <v>6708</v>
      </c>
      <c r="B2312" t="s">
        <v>6709</v>
      </c>
      <c r="C2312" t="s">
        <v>6710</v>
      </c>
      <c r="D2312" t="s">
        <v>23</v>
      </c>
      <c r="E2312" t="s">
        <v>28</v>
      </c>
      <c r="F2312" t="s">
        <v>60</v>
      </c>
      <c r="G2312" t="s">
        <v>50</v>
      </c>
      <c r="H2312" t="s">
        <v>31</v>
      </c>
      <c r="I2312">
        <v>5</v>
      </c>
      <c r="J2312">
        <v>24</v>
      </c>
      <c r="K2312">
        <v>7.24</v>
      </c>
      <c r="L2312">
        <v>1</v>
      </c>
    </row>
    <row r="2313" spans="1:12">
      <c r="A2313" t="s">
        <v>6711</v>
      </c>
      <c r="B2313" t="s">
        <v>6712</v>
      </c>
      <c r="C2313" t="s">
        <v>6713</v>
      </c>
      <c r="D2313" t="s">
        <v>35</v>
      </c>
      <c r="E2313" t="s">
        <v>54</v>
      </c>
      <c r="F2313" t="s">
        <v>29</v>
      </c>
      <c r="G2313" t="s">
        <v>18</v>
      </c>
      <c r="H2313" t="s">
        <v>19</v>
      </c>
      <c r="I2313">
        <v>4</v>
      </c>
      <c r="J2313">
        <v>48</v>
      </c>
      <c r="K2313">
        <v>36.21</v>
      </c>
      <c r="L2313">
        <v>1</v>
      </c>
    </row>
    <row r="2314" spans="1:12">
      <c r="A2314" t="s">
        <v>6714</v>
      </c>
      <c r="B2314" t="s">
        <v>6715</v>
      </c>
      <c r="C2314" t="s">
        <v>6716</v>
      </c>
      <c r="D2314" t="s">
        <v>158</v>
      </c>
      <c r="E2314" t="s">
        <v>16</v>
      </c>
      <c r="F2314" t="s">
        <v>60</v>
      </c>
      <c r="G2314" t="s">
        <v>151</v>
      </c>
      <c r="H2314" t="s">
        <v>19</v>
      </c>
      <c r="I2314">
        <v>4</v>
      </c>
      <c r="J2314">
        <v>4</v>
      </c>
      <c r="K2314">
        <v>0.89</v>
      </c>
      <c r="L2314">
        <v>1</v>
      </c>
    </row>
    <row r="2315" spans="1:12">
      <c r="A2315" t="s">
        <v>6717</v>
      </c>
      <c r="B2315" t="s">
        <v>6718</v>
      </c>
      <c r="C2315" t="s">
        <v>6719</v>
      </c>
      <c r="D2315" t="s">
        <v>158</v>
      </c>
      <c r="E2315" t="s">
        <v>16</v>
      </c>
      <c r="F2315" t="s">
        <v>29</v>
      </c>
      <c r="G2315" t="s">
        <v>50</v>
      </c>
      <c r="H2315" t="s">
        <v>31</v>
      </c>
      <c r="I2315">
        <v>5</v>
      </c>
      <c r="J2315">
        <v>4</v>
      </c>
      <c r="K2315">
        <v>1.36</v>
      </c>
      <c r="L2315">
        <v>1</v>
      </c>
    </row>
    <row r="2316" spans="1:12">
      <c r="A2316" t="s">
        <v>6720</v>
      </c>
      <c r="B2316" t="s">
        <v>6721</v>
      </c>
      <c r="C2316" t="s">
        <v>6722</v>
      </c>
      <c r="D2316" t="s">
        <v>35</v>
      </c>
      <c r="E2316" t="s">
        <v>28</v>
      </c>
      <c r="F2316" t="s">
        <v>36</v>
      </c>
      <c r="G2316" t="s">
        <v>30</v>
      </c>
      <c r="H2316" t="s">
        <v>19</v>
      </c>
      <c r="I2316">
        <v>2</v>
      </c>
      <c r="J2316">
        <v>48</v>
      </c>
      <c r="K2316">
        <v>93.86</v>
      </c>
      <c r="L2316">
        <v>0</v>
      </c>
    </row>
    <row r="2317" spans="1:12">
      <c r="A2317" t="s">
        <v>6723</v>
      </c>
      <c r="B2317" t="s">
        <v>6724</v>
      </c>
      <c r="C2317" t="s">
        <v>6725</v>
      </c>
      <c r="D2317" t="s">
        <v>23</v>
      </c>
      <c r="E2317" t="s">
        <v>28</v>
      </c>
      <c r="F2317" t="s">
        <v>41</v>
      </c>
      <c r="G2317" t="s">
        <v>45</v>
      </c>
      <c r="H2317" t="s">
        <v>31</v>
      </c>
      <c r="I2317">
        <v>5</v>
      </c>
      <c r="J2317">
        <v>24</v>
      </c>
      <c r="K2317">
        <v>21.24</v>
      </c>
      <c r="L2317">
        <v>1</v>
      </c>
    </row>
    <row r="2318" spans="1:12">
      <c r="A2318" t="s">
        <v>6726</v>
      </c>
      <c r="B2318" t="s">
        <v>6727</v>
      </c>
      <c r="C2318" t="s">
        <v>6728</v>
      </c>
      <c r="D2318" t="s">
        <v>23</v>
      </c>
      <c r="E2318" t="s">
        <v>28</v>
      </c>
      <c r="F2318" t="s">
        <v>29</v>
      </c>
      <c r="G2318" t="s">
        <v>37</v>
      </c>
      <c r="H2318" t="s">
        <v>31</v>
      </c>
      <c r="I2318">
        <v>3</v>
      </c>
      <c r="J2318">
        <v>24</v>
      </c>
      <c r="K2318">
        <v>19.899999999999999</v>
      </c>
      <c r="L2318">
        <v>1</v>
      </c>
    </row>
    <row r="2319" spans="1:12">
      <c r="A2319" t="s">
        <v>6729</v>
      </c>
      <c r="B2319" t="s">
        <v>6730</v>
      </c>
      <c r="C2319" t="s">
        <v>6731</v>
      </c>
      <c r="D2319" t="s">
        <v>15</v>
      </c>
      <c r="E2319" t="s">
        <v>28</v>
      </c>
      <c r="F2319" t="s">
        <v>17</v>
      </c>
      <c r="G2319" t="s">
        <v>50</v>
      </c>
      <c r="H2319" t="s">
        <v>19</v>
      </c>
      <c r="I2319">
        <v>4</v>
      </c>
      <c r="J2319">
        <v>8</v>
      </c>
      <c r="K2319">
        <v>3.43</v>
      </c>
      <c r="L2319">
        <v>1</v>
      </c>
    </row>
    <row r="2320" spans="1:12">
      <c r="A2320" t="s">
        <v>6732</v>
      </c>
      <c r="B2320" t="s">
        <v>6733</v>
      </c>
      <c r="C2320" t="s">
        <v>6734</v>
      </c>
      <c r="D2320" t="s">
        <v>23</v>
      </c>
      <c r="E2320" t="s">
        <v>59</v>
      </c>
      <c r="F2320" t="s">
        <v>41</v>
      </c>
      <c r="G2320" t="s">
        <v>42</v>
      </c>
      <c r="H2320" t="s">
        <v>19</v>
      </c>
      <c r="I2320">
        <v>4</v>
      </c>
      <c r="J2320">
        <v>24</v>
      </c>
      <c r="K2320">
        <v>15.66</v>
      </c>
      <c r="L2320">
        <v>1</v>
      </c>
    </row>
    <row r="2321" spans="1:12">
      <c r="A2321" t="s">
        <v>6735</v>
      </c>
      <c r="B2321" t="s">
        <v>6736</v>
      </c>
      <c r="C2321" t="s">
        <v>6737</v>
      </c>
      <c r="D2321" t="s">
        <v>23</v>
      </c>
      <c r="E2321" t="s">
        <v>28</v>
      </c>
      <c r="F2321" t="s">
        <v>36</v>
      </c>
      <c r="G2321" t="s">
        <v>105</v>
      </c>
      <c r="H2321" t="s">
        <v>19</v>
      </c>
      <c r="I2321">
        <v>4</v>
      </c>
      <c r="J2321">
        <v>24</v>
      </c>
      <c r="K2321">
        <v>2.56</v>
      </c>
      <c r="L2321">
        <v>1</v>
      </c>
    </row>
    <row r="2322" spans="1:12">
      <c r="A2322" t="s">
        <v>6738</v>
      </c>
      <c r="B2322" t="s">
        <v>6739</v>
      </c>
      <c r="D2322" t="s">
        <v>15</v>
      </c>
      <c r="E2322" t="s">
        <v>24</v>
      </c>
      <c r="F2322" t="s">
        <v>41</v>
      </c>
      <c r="G2322" t="s">
        <v>151</v>
      </c>
      <c r="H2322" t="s">
        <v>63</v>
      </c>
      <c r="J2322">
        <v>8</v>
      </c>
    </row>
    <row r="2323" spans="1:12">
      <c r="A2323" t="s">
        <v>6740</v>
      </c>
      <c r="B2323" t="s">
        <v>6741</v>
      </c>
      <c r="C2323" t="s">
        <v>6742</v>
      </c>
      <c r="D2323" t="s">
        <v>15</v>
      </c>
      <c r="E2323" t="s">
        <v>28</v>
      </c>
      <c r="F2323" t="s">
        <v>60</v>
      </c>
      <c r="G2323" t="s">
        <v>55</v>
      </c>
      <c r="H2323" t="s">
        <v>31</v>
      </c>
      <c r="I2323">
        <v>4</v>
      </c>
      <c r="J2323">
        <v>8</v>
      </c>
      <c r="K2323">
        <v>3.17</v>
      </c>
      <c r="L2323">
        <v>1</v>
      </c>
    </row>
    <row r="2324" spans="1:12">
      <c r="A2324" t="s">
        <v>6743</v>
      </c>
      <c r="B2324" t="s">
        <v>6744</v>
      </c>
      <c r="C2324" t="s">
        <v>6745</v>
      </c>
      <c r="D2324" t="s">
        <v>23</v>
      </c>
      <c r="E2324" t="s">
        <v>28</v>
      </c>
      <c r="F2324" t="s">
        <v>29</v>
      </c>
      <c r="G2324" t="s">
        <v>45</v>
      </c>
      <c r="H2324" t="s">
        <v>31</v>
      </c>
      <c r="I2324">
        <v>1</v>
      </c>
      <c r="J2324">
        <v>24</v>
      </c>
      <c r="K2324">
        <v>38.869999999999997</v>
      </c>
      <c r="L2324">
        <v>0</v>
      </c>
    </row>
    <row r="2325" spans="1:12">
      <c r="A2325" t="s">
        <v>6746</v>
      </c>
      <c r="B2325" t="s">
        <v>6747</v>
      </c>
      <c r="C2325" t="s">
        <v>6748</v>
      </c>
      <c r="D2325" t="s">
        <v>15</v>
      </c>
      <c r="E2325" t="s">
        <v>24</v>
      </c>
      <c r="F2325" t="s">
        <v>29</v>
      </c>
      <c r="G2325" t="s">
        <v>55</v>
      </c>
      <c r="H2325" t="s">
        <v>19</v>
      </c>
      <c r="I2325">
        <v>4</v>
      </c>
      <c r="J2325">
        <v>8</v>
      </c>
      <c r="K2325">
        <v>4.9000000000000004</v>
      </c>
      <c r="L2325">
        <v>1</v>
      </c>
    </row>
    <row r="2326" spans="1:12">
      <c r="A2326" t="s">
        <v>6749</v>
      </c>
      <c r="B2326" t="s">
        <v>6750</v>
      </c>
      <c r="C2326" t="s">
        <v>6751</v>
      </c>
      <c r="D2326" t="s">
        <v>15</v>
      </c>
      <c r="E2326" t="s">
        <v>16</v>
      </c>
      <c r="F2326" t="s">
        <v>29</v>
      </c>
      <c r="G2326" t="s">
        <v>45</v>
      </c>
      <c r="H2326" t="s">
        <v>31</v>
      </c>
      <c r="I2326">
        <v>4</v>
      </c>
      <c r="J2326">
        <v>8</v>
      </c>
      <c r="K2326">
        <v>4.71</v>
      </c>
      <c r="L2326">
        <v>1</v>
      </c>
    </row>
    <row r="2327" spans="1:12">
      <c r="A2327" t="s">
        <v>6752</v>
      </c>
      <c r="B2327" t="s">
        <v>6753</v>
      </c>
      <c r="C2327" t="s">
        <v>6754</v>
      </c>
      <c r="D2327" t="s">
        <v>15</v>
      </c>
      <c r="E2327" t="s">
        <v>28</v>
      </c>
      <c r="F2327" t="s">
        <v>60</v>
      </c>
      <c r="G2327" t="s">
        <v>73</v>
      </c>
      <c r="H2327" t="s">
        <v>19</v>
      </c>
      <c r="I2327">
        <v>4</v>
      </c>
      <c r="J2327">
        <v>8</v>
      </c>
      <c r="K2327">
        <v>3.03</v>
      </c>
      <c r="L2327">
        <v>1</v>
      </c>
    </row>
    <row r="2328" spans="1:12">
      <c r="A2328" t="s">
        <v>6755</v>
      </c>
      <c r="B2328" t="s">
        <v>6756</v>
      </c>
      <c r="C2328" t="s">
        <v>6757</v>
      </c>
      <c r="D2328" t="s">
        <v>23</v>
      </c>
      <c r="E2328" t="s">
        <v>16</v>
      </c>
      <c r="F2328" t="s">
        <v>17</v>
      </c>
      <c r="G2328" t="s">
        <v>55</v>
      </c>
      <c r="H2328" t="s">
        <v>31</v>
      </c>
      <c r="I2328">
        <v>5</v>
      </c>
      <c r="J2328">
        <v>24</v>
      </c>
      <c r="K2328">
        <v>18.12</v>
      </c>
      <c r="L2328">
        <v>1</v>
      </c>
    </row>
    <row r="2329" spans="1:12">
      <c r="A2329" t="s">
        <v>6758</v>
      </c>
      <c r="B2329" t="s">
        <v>6759</v>
      </c>
      <c r="D2329" t="s">
        <v>35</v>
      </c>
      <c r="E2329" t="s">
        <v>24</v>
      </c>
      <c r="F2329" t="s">
        <v>17</v>
      </c>
      <c r="G2329" t="s">
        <v>42</v>
      </c>
      <c r="H2329" t="s">
        <v>46</v>
      </c>
      <c r="J2329">
        <v>48</v>
      </c>
    </row>
    <row r="2330" spans="1:12">
      <c r="A2330" t="s">
        <v>6760</v>
      </c>
      <c r="B2330" t="s">
        <v>6761</v>
      </c>
      <c r="C2330" t="s">
        <v>6762</v>
      </c>
      <c r="D2330" t="s">
        <v>23</v>
      </c>
      <c r="E2330" t="s">
        <v>28</v>
      </c>
      <c r="F2330" t="s">
        <v>36</v>
      </c>
      <c r="G2330" t="s">
        <v>105</v>
      </c>
      <c r="H2330" t="s">
        <v>19</v>
      </c>
      <c r="I2330">
        <v>2</v>
      </c>
      <c r="J2330">
        <v>24</v>
      </c>
      <c r="K2330">
        <v>60.85</v>
      </c>
      <c r="L2330">
        <v>0</v>
      </c>
    </row>
    <row r="2331" spans="1:12">
      <c r="A2331" t="s">
        <v>6763</v>
      </c>
      <c r="B2331" t="s">
        <v>6764</v>
      </c>
      <c r="C2331" t="s">
        <v>6765</v>
      </c>
      <c r="D2331" t="s">
        <v>35</v>
      </c>
      <c r="E2331" t="s">
        <v>54</v>
      </c>
      <c r="F2331" t="s">
        <v>17</v>
      </c>
      <c r="G2331" t="s">
        <v>45</v>
      </c>
      <c r="H2331" t="s">
        <v>31</v>
      </c>
      <c r="I2331">
        <v>4</v>
      </c>
      <c r="J2331">
        <v>48</v>
      </c>
      <c r="K2331">
        <v>19.920000000000002</v>
      </c>
      <c r="L2331">
        <v>1</v>
      </c>
    </row>
    <row r="2332" spans="1:12">
      <c r="A2332" t="s">
        <v>6766</v>
      </c>
      <c r="B2332" t="s">
        <v>6767</v>
      </c>
      <c r="C2332" t="s">
        <v>6768</v>
      </c>
      <c r="D2332" t="s">
        <v>15</v>
      </c>
      <c r="E2332" t="s">
        <v>16</v>
      </c>
      <c r="F2332" t="s">
        <v>36</v>
      </c>
      <c r="G2332" t="s">
        <v>18</v>
      </c>
      <c r="H2332" t="s">
        <v>19</v>
      </c>
      <c r="I2332">
        <v>5</v>
      </c>
      <c r="J2332">
        <v>8</v>
      </c>
      <c r="K2332">
        <v>4.6500000000000004</v>
      </c>
      <c r="L2332">
        <v>1</v>
      </c>
    </row>
    <row r="2333" spans="1:12">
      <c r="A2333" t="s">
        <v>6769</v>
      </c>
      <c r="B2333" t="s">
        <v>6770</v>
      </c>
      <c r="C2333" t="s">
        <v>6771</v>
      </c>
      <c r="D2333" t="s">
        <v>35</v>
      </c>
      <c r="E2333" t="s">
        <v>24</v>
      </c>
      <c r="F2333" t="s">
        <v>60</v>
      </c>
      <c r="G2333" t="s">
        <v>18</v>
      </c>
      <c r="H2333" t="s">
        <v>31</v>
      </c>
      <c r="I2333">
        <v>3</v>
      </c>
      <c r="J2333">
        <v>48</v>
      </c>
      <c r="K2333">
        <v>63.64</v>
      </c>
      <c r="L2333">
        <v>0</v>
      </c>
    </row>
    <row r="2334" spans="1:12">
      <c r="A2334" t="s">
        <v>6772</v>
      </c>
      <c r="B2334" t="s">
        <v>6773</v>
      </c>
      <c r="C2334" t="s">
        <v>6774</v>
      </c>
      <c r="D2334" t="s">
        <v>15</v>
      </c>
      <c r="E2334" t="s">
        <v>16</v>
      </c>
      <c r="F2334" t="s">
        <v>17</v>
      </c>
      <c r="G2334" t="s">
        <v>105</v>
      </c>
      <c r="H2334" t="s">
        <v>31</v>
      </c>
      <c r="I2334">
        <v>4</v>
      </c>
      <c r="J2334">
        <v>8</v>
      </c>
      <c r="K2334">
        <v>3.48</v>
      </c>
      <c r="L2334">
        <v>1</v>
      </c>
    </row>
    <row r="2335" spans="1:12">
      <c r="A2335" t="s">
        <v>6775</v>
      </c>
      <c r="B2335" t="s">
        <v>6776</v>
      </c>
      <c r="C2335" t="s">
        <v>6777</v>
      </c>
      <c r="D2335" t="s">
        <v>23</v>
      </c>
      <c r="E2335" t="s">
        <v>24</v>
      </c>
      <c r="F2335" t="s">
        <v>60</v>
      </c>
      <c r="G2335" t="s">
        <v>172</v>
      </c>
      <c r="H2335" t="s">
        <v>31</v>
      </c>
      <c r="I2335">
        <v>2</v>
      </c>
      <c r="J2335">
        <v>24</v>
      </c>
      <c r="K2335">
        <v>70.31</v>
      </c>
      <c r="L2335">
        <v>0</v>
      </c>
    </row>
    <row r="2336" spans="1:12">
      <c r="A2336" t="s">
        <v>6778</v>
      </c>
      <c r="B2336" t="s">
        <v>6779</v>
      </c>
      <c r="C2336" t="s">
        <v>6780</v>
      </c>
      <c r="D2336" t="s">
        <v>35</v>
      </c>
      <c r="E2336" t="s">
        <v>24</v>
      </c>
      <c r="F2336" t="s">
        <v>60</v>
      </c>
      <c r="G2336" t="s">
        <v>55</v>
      </c>
      <c r="H2336" t="s">
        <v>19</v>
      </c>
      <c r="I2336">
        <v>5</v>
      </c>
      <c r="J2336">
        <v>48</v>
      </c>
      <c r="K2336">
        <v>33.6</v>
      </c>
      <c r="L2336">
        <v>1</v>
      </c>
    </row>
    <row r="2337" spans="1:12">
      <c r="A2337" t="s">
        <v>6781</v>
      </c>
      <c r="B2337" t="s">
        <v>6782</v>
      </c>
      <c r="C2337" t="s">
        <v>6783</v>
      </c>
      <c r="D2337" t="s">
        <v>15</v>
      </c>
      <c r="E2337" t="s">
        <v>28</v>
      </c>
      <c r="F2337" t="s">
        <v>41</v>
      </c>
      <c r="G2337" t="s">
        <v>18</v>
      </c>
      <c r="H2337" t="s">
        <v>19</v>
      </c>
      <c r="I2337">
        <v>4</v>
      </c>
      <c r="J2337">
        <v>8</v>
      </c>
      <c r="K2337">
        <v>4.49</v>
      </c>
      <c r="L2337">
        <v>1</v>
      </c>
    </row>
    <row r="2338" spans="1:12">
      <c r="A2338" t="s">
        <v>6784</v>
      </c>
      <c r="B2338" t="s">
        <v>6785</v>
      </c>
      <c r="C2338" t="s">
        <v>6786</v>
      </c>
      <c r="D2338" t="s">
        <v>15</v>
      </c>
      <c r="E2338" t="s">
        <v>16</v>
      </c>
      <c r="F2338" t="s">
        <v>17</v>
      </c>
      <c r="G2338" t="s">
        <v>37</v>
      </c>
      <c r="H2338" t="s">
        <v>19</v>
      </c>
      <c r="I2338">
        <v>5</v>
      </c>
      <c r="J2338">
        <v>8</v>
      </c>
      <c r="K2338">
        <v>1.72</v>
      </c>
      <c r="L2338">
        <v>1</v>
      </c>
    </row>
    <row r="2339" spans="1:12">
      <c r="A2339" t="s">
        <v>6787</v>
      </c>
      <c r="B2339" t="s">
        <v>6788</v>
      </c>
      <c r="C2339" t="s">
        <v>6789</v>
      </c>
      <c r="D2339" t="s">
        <v>15</v>
      </c>
      <c r="E2339" t="s">
        <v>28</v>
      </c>
      <c r="F2339" t="s">
        <v>29</v>
      </c>
      <c r="G2339" t="s">
        <v>37</v>
      </c>
      <c r="H2339" t="s">
        <v>19</v>
      </c>
      <c r="I2339">
        <v>5</v>
      </c>
      <c r="J2339">
        <v>8</v>
      </c>
      <c r="K2339">
        <v>2.85</v>
      </c>
      <c r="L2339">
        <v>1</v>
      </c>
    </row>
    <row r="2340" spans="1:12">
      <c r="A2340" t="s">
        <v>6790</v>
      </c>
      <c r="B2340" t="s">
        <v>6791</v>
      </c>
      <c r="C2340" t="s">
        <v>6792</v>
      </c>
      <c r="D2340" t="s">
        <v>23</v>
      </c>
      <c r="E2340" t="s">
        <v>28</v>
      </c>
      <c r="F2340" t="s">
        <v>41</v>
      </c>
      <c r="G2340" t="s">
        <v>77</v>
      </c>
      <c r="H2340" t="s">
        <v>31</v>
      </c>
      <c r="I2340">
        <v>5</v>
      </c>
      <c r="J2340">
        <v>24</v>
      </c>
      <c r="K2340">
        <v>18.55</v>
      </c>
      <c r="L2340">
        <v>1</v>
      </c>
    </row>
    <row r="2341" spans="1:12">
      <c r="A2341" t="s">
        <v>6793</v>
      </c>
      <c r="B2341" t="s">
        <v>6794</v>
      </c>
      <c r="C2341" t="s">
        <v>6795</v>
      </c>
      <c r="D2341" t="s">
        <v>15</v>
      </c>
      <c r="E2341" t="s">
        <v>24</v>
      </c>
      <c r="F2341" t="s">
        <v>17</v>
      </c>
      <c r="G2341" t="s">
        <v>55</v>
      </c>
      <c r="H2341" t="s">
        <v>31</v>
      </c>
      <c r="I2341">
        <v>3</v>
      </c>
      <c r="J2341">
        <v>8</v>
      </c>
      <c r="K2341">
        <v>4.76</v>
      </c>
      <c r="L2341">
        <v>1</v>
      </c>
    </row>
    <row r="2342" spans="1:12">
      <c r="A2342" t="s">
        <v>6796</v>
      </c>
      <c r="B2342" t="s">
        <v>6797</v>
      </c>
      <c r="C2342" t="s">
        <v>6798</v>
      </c>
      <c r="D2342" t="s">
        <v>35</v>
      </c>
      <c r="E2342" t="s">
        <v>24</v>
      </c>
      <c r="F2342" t="s">
        <v>41</v>
      </c>
      <c r="G2342" t="s">
        <v>50</v>
      </c>
      <c r="H2342" t="s">
        <v>31</v>
      </c>
      <c r="I2342">
        <v>5</v>
      </c>
      <c r="J2342">
        <v>48</v>
      </c>
      <c r="K2342">
        <v>15.55</v>
      </c>
      <c r="L2342">
        <v>1</v>
      </c>
    </row>
    <row r="2343" spans="1:12">
      <c r="A2343" t="s">
        <v>6799</v>
      </c>
      <c r="B2343" t="s">
        <v>6800</v>
      </c>
      <c r="C2343" t="s">
        <v>6801</v>
      </c>
      <c r="D2343" t="s">
        <v>15</v>
      </c>
      <c r="E2343" t="s">
        <v>28</v>
      </c>
      <c r="F2343" t="s">
        <v>17</v>
      </c>
      <c r="G2343" t="s">
        <v>18</v>
      </c>
      <c r="H2343" t="s">
        <v>19</v>
      </c>
      <c r="I2343">
        <v>3</v>
      </c>
      <c r="J2343">
        <v>8</v>
      </c>
      <c r="K2343">
        <v>3.29</v>
      </c>
      <c r="L2343">
        <v>1</v>
      </c>
    </row>
    <row r="2344" spans="1:12">
      <c r="A2344" t="s">
        <v>6802</v>
      </c>
      <c r="B2344" t="s">
        <v>6803</v>
      </c>
      <c r="C2344" t="s">
        <v>6804</v>
      </c>
      <c r="D2344" t="s">
        <v>35</v>
      </c>
      <c r="E2344" t="s">
        <v>54</v>
      </c>
      <c r="F2344" t="s">
        <v>29</v>
      </c>
      <c r="G2344" t="s">
        <v>37</v>
      </c>
      <c r="H2344" t="s">
        <v>19</v>
      </c>
      <c r="I2344">
        <v>5</v>
      </c>
      <c r="J2344">
        <v>48</v>
      </c>
      <c r="K2344">
        <v>35.47</v>
      </c>
      <c r="L2344">
        <v>1</v>
      </c>
    </row>
    <row r="2345" spans="1:12">
      <c r="A2345" t="s">
        <v>6805</v>
      </c>
      <c r="B2345" t="s">
        <v>6806</v>
      </c>
      <c r="C2345" t="s">
        <v>6807</v>
      </c>
      <c r="D2345" t="s">
        <v>35</v>
      </c>
      <c r="E2345" t="s">
        <v>24</v>
      </c>
      <c r="F2345" t="s">
        <v>17</v>
      </c>
      <c r="G2345" t="s">
        <v>73</v>
      </c>
      <c r="H2345" t="s">
        <v>19</v>
      </c>
      <c r="I2345">
        <v>3</v>
      </c>
      <c r="J2345">
        <v>48</v>
      </c>
      <c r="K2345">
        <v>37.159999999999997</v>
      </c>
      <c r="L2345">
        <v>1</v>
      </c>
    </row>
    <row r="2346" spans="1:12">
      <c r="A2346" t="s">
        <v>6808</v>
      </c>
      <c r="B2346" t="s">
        <v>6809</v>
      </c>
      <c r="C2346" t="s">
        <v>6810</v>
      </c>
      <c r="D2346" t="s">
        <v>15</v>
      </c>
      <c r="E2346" t="s">
        <v>28</v>
      </c>
      <c r="F2346" t="s">
        <v>36</v>
      </c>
      <c r="G2346" t="s">
        <v>18</v>
      </c>
      <c r="H2346" t="s">
        <v>19</v>
      </c>
      <c r="I2346">
        <v>4</v>
      </c>
      <c r="J2346">
        <v>8</v>
      </c>
      <c r="K2346">
        <v>0.95</v>
      </c>
      <c r="L2346">
        <v>1</v>
      </c>
    </row>
    <row r="2347" spans="1:12">
      <c r="A2347" t="s">
        <v>6811</v>
      </c>
      <c r="B2347" t="s">
        <v>6812</v>
      </c>
      <c r="D2347" t="s">
        <v>23</v>
      </c>
      <c r="E2347" t="s">
        <v>24</v>
      </c>
      <c r="F2347" t="s">
        <v>36</v>
      </c>
      <c r="G2347" t="s">
        <v>151</v>
      </c>
      <c r="H2347" t="s">
        <v>63</v>
      </c>
      <c r="J2347">
        <v>24</v>
      </c>
    </row>
    <row r="2348" spans="1:12">
      <c r="A2348" t="s">
        <v>6813</v>
      </c>
      <c r="B2348" t="s">
        <v>6814</v>
      </c>
      <c r="C2348" t="s">
        <v>6815</v>
      </c>
      <c r="D2348" t="s">
        <v>23</v>
      </c>
      <c r="E2348" t="s">
        <v>59</v>
      </c>
      <c r="F2348" t="s">
        <v>36</v>
      </c>
      <c r="G2348" t="s">
        <v>50</v>
      </c>
      <c r="H2348" t="s">
        <v>31</v>
      </c>
      <c r="I2348">
        <v>5</v>
      </c>
      <c r="J2348">
        <v>24</v>
      </c>
      <c r="K2348">
        <v>12.16</v>
      </c>
      <c r="L2348">
        <v>1</v>
      </c>
    </row>
    <row r="2349" spans="1:12">
      <c r="A2349" t="s">
        <v>6816</v>
      </c>
      <c r="B2349" t="s">
        <v>6817</v>
      </c>
      <c r="C2349" t="s">
        <v>6818</v>
      </c>
      <c r="D2349" t="s">
        <v>35</v>
      </c>
      <c r="E2349" t="s">
        <v>28</v>
      </c>
      <c r="F2349" t="s">
        <v>36</v>
      </c>
      <c r="G2349" t="s">
        <v>73</v>
      </c>
      <c r="H2349" t="s">
        <v>19</v>
      </c>
      <c r="I2349">
        <v>5</v>
      </c>
      <c r="J2349">
        <v>48</v>
      </c>
      <c r="K2349">
        <v>7.09</v>
      </c>
      <c r="L2349">
        <v>1</v>
      </c>
    </row>
    <row r="2350" spans="1:12">
      <c r="A2350" t="s">
        <v>6819</v>
      </c>
      <c r="B2350" t="s">
        <v>6820</v>
      </c>
      <c r="C2350" t="s">
        <v>6821</v>
      </c>
      <c r="D2350" t="s">
        <v>35</v>
      </c>
      <c r="E2350" t="s">
        <v>16</v>
      </c>
      <c r="F2350" t="s">
        <v>60</v>
      </c>
      <c r="G2350" t="s">
        <v>45</v>
      </c>
      <c r="H2350" t="s">
        <v>31</v>
      </c>
      <c r="I2350">
        <v>4</v>
      </c>
      <c r="J2350">
        <v>48</v>
      </c>
      <c r="K2350">
        <v>5.98</v>
      </c>
      <c r="L2350">
        <v>1</v>
      </c>
    </row>
    <row r="2351" spans="1:12">
      <c r="A2351" t="s">
        <v>6822</v>
      </c>
      <c r="B2351" t="s">
        <v>6823</v>
      </c>
      <c r="C2351" t="s">
        <v>6824</v>
      </c>
      <c r="D2351" t="s">
        <v>35</v>
      </c>
      <c r="E2351" t="s">
        <v>24</v>
      </c>
      <c r="F2351" t="s">
        <v>17</v>
      </c>
      <c r="G2351" t="s">
        <v>77</v>
      </c>
      <c r="H2351" t="s">
        <v>19</v>
      </c>
      <c r="I2351">
        <v>5</v>
      </c>
      <c r="J2351">
        <v>48</v>
      </c>
      <c r="K2351">
        <v>44.47</v>
      </c>
      <c r="L2351">
        <v>1</v>
      </c>
    </row>
    <row r="2352" spans="1:12">
      <c r="A2352" t="s">
        <v>6825</v>
      </c>
      <c r="B2352" t="s">
        <v>6826</v>
      </c>
      <c r="C2352" t="s">
        <v>6827</v>
      </c>
      <c r="D2352" t="s">
        <v>23</v>
      </c>
      <c r="E2352" t="s">
        <v>59</v>
      </c>
      <c r="F2352" t="s">
        <v>36</v>
      </c>
      <c r="G2352" t="s">
        <v>42</v>
      </c>
      <c r="H2352" t="s">
        <v>19</v>
      </c>
      <c r="I2352">
        <v>5</v>
      </c>
      <c r="J2352">
        <v>24</v>
      </c>
      <c r="K2352">
        <v>5.73</v>
      </c>
      <c r="L2352">
        <v>1</v>
      </c>
    </row>
    <row r="2353" spans="1:12">
      <c r="A2353" t="s">
        <v>6828</v>
      </c>
      <c r="B2353" t="s">
        <v>6829</v>
      </c>
      <c r="C2353" t="s">
        <v>6830</v>
      </c>
      <c r="D2353" t="s">
        <v>158</v>
      </c>
      <c r="E2353" t="s">
        <v>59</v>
      </c>
      <c r="F2353" t="s">
        <v>41</v>
      </c>
      <c r="G2353" t="s">
        <v>105</v>
      </c>
      <c r="H2353" t="s">
        <v>19</v>
      </c>
      <c r="I2353">
        <v>2</v>
      </c>
      <c r="J2353">
        <v>4</v>
      </c>
      <c r="K2353">
        <v>9.35</v>
      </c>
      <c r="L2353">
        <v>0</v>
      </c>
    </row>
    <row r="2354" spans="1:12">
      <c r="A2354" t="s">
        <v>6831</v>
      </c>
      <c r="B2354" t="s">
        <v>6832</v>
      </c>
      <c r="C2354" t="s">
        <v>6833</v>
      </c>
      <c r="D2354" t="s">
        <v>23</v>
      </c>
      <c r="E2354" t="s">
        <v>24</v>
      </c>
      <c r="F2354" t="s">
        <v>41</v>
      </c>
      <c r="G2354" t="s">
        <v>151</v>
      </c>
      <c r="H2354" t="s">
        <v>31</v>
      </c>
      <c r="I2354">
        <v>4</v>
      </c>
      <c r="J2354">
        <v>24</v>
      </c>
      <c r="K2354">
        <v>19.23</v>
      </c>
      <c r="L2354">
        <v>1</v>
      </c>
    </row>
    <row r="2355" spans="1:12">
      <c r="A2355" t="s">
        <v>6834</v>
      </c>
      <c r="B2355" t="s">
        <v>6835</v>
      </c>
      <c r="C2355" t="s">
        <v>6836</v>
      </c>
      <c r="D2355" t="s">
        <v>23</v>
      </c>
      <c r="E2355" t="s">
        <v>54</v>
      </c>
      <c r="F2355" t="s">
        <v>17</v>
      </c>
      <c r="G2355" t="s">
        <v>45</v>
      </c>
      <c r="H2355" t="s">
        <v>19</v>
      </c>
      <c r="I2355">
        <v>5</v>
      </c>
      <c r="J2355">
        <v>24</v>
      </c>
      <c r="K2355">
        <v>13.45</v>
      </c>
      <c r="L2355">
        <v>1</v>
      </c>
    </row>
    <row r="2356" spans="1:12">
      <c r="A2356" t="s">
        <v>6837</v>
      </c>
      <c r="B2356" t="s">
        <v>6838</v>
      </c>
      <c r="C2356" t="s">
        <v>6839</v>
      </c>
      <c r="D2356" t="s">
        <v>23</v>
      </c>
      <c r="E2356" t="s">
        <v>16</v>
      </c>
      <c r="F2356" t="s">
        <v>41</v>
      </c>
      <c r="G2356" t="s">
        <v>151</v>
      </c>
      <c r="H2356" t="s">
        <v>19</v>
      </c>
      <c r="I2356">
        <v>4</v>
      </c>
      <c r="J2356">
        <v>24</v>
      </c>
      <c r="K2356">
        <v>21.4</v>
      </c>
      <c r="L2356">
        <v>1</v>
      </c>
    </row>
    <row r="2357" spans="1:12">
      <c r="A2357" t="s">
        <v>6840</v>
      </c>
      <c r="B2357" t="s">
        <v>6841</v>
      </c>
      <c r="C2357" t="s">
        <v>6842</v>
      </c>
      <c r="D2357" t="s">
        <v>23</v>
      </c>
      <c r="E2357" t="s">
        <v>16</v>
      </c>
      <c r="F2357" t="s">
        <v>60</v>
      </c>
      <c r="G2357" t="s">
        <v>105</v>
      </c>
      <c r="H2357" t="s">
        <v>19</v>
      </c>
      <c r="I2357">
        <v>5</v>
      </c>
      <c r="J2357">
        <v>24</v>
      </c>
      <c r="K2357">
        <v>13.29</v>
      </c>
      <c r="L2357">
        <v>1</v>
      </c>
    </row>
    <row r="2358" spans="1:12">
      <c r="A2358" t="s">
        <v>6843</v>
      </c>
      <c r="B2358" t="s">
        <v>6844</v>
      </c>
      <c r="C2358" t="s">
        <v>6845</v>
      </c>
      <c r="D2358" t="s">
        <v>23</v>
      </c>
      <c r="E2358" t="s">
        <v>16</v>
      </c>
      <c r="F2358" t="s">
        <v>17</v>
      </c>
      <c r="G2358" t="s">
        <v>50</v>
      </c>
      <c r="H2358" t="s">
        <v>19</v>
      </c>
      <c r="I2358">
        <v>5</v>
      </c>
      <c r="J2358">
        <v>24</v>
      </c>
      <c r="K2358">
        <v>14.1</v>
      </c>
      <c r="L2358">
        <v>1</v>
      </c>
    </row>
    <row r="2359" spans="1:12">
      <c r="A2359" t="s">
        <v>6846</v>
      </c>
      <c r="B2359" t="s">
        <v>6847</v>
      </c>
      <c r="C2359" t="s">
        <v>6848</v>
      </c>
      <c r="D2359" t="s">
        <v>15</v>
      </c>
      <c r="E2359" t="s">
        <v>59</v>
      </c>
      <c r="F2359" t="s">
        <v>36</v>
      </c>
      <c r="G2359" t="s">
        <v>30</v>
      </c>
      <c r="H2359" t="s">
        <v>19</v>
      </c>
      <c r="I2359">
        <v>4</v>
      </c>
      <c r="J2359">
        <v>8</v>
      </c>
      <c r="K2359">
        <v>4.29</v>
      </c>
      <c r="L2359">
        <v>1</v>
      </c>
    </row>
    <row r="2360" spans="1:12">
      <c r="A2360" t="s">
        <v>6849</v>
      </c>
      <c r="B2360" t="s">
        <v>6850</v>
      </c>
      <c r="C2360" t="s">
        <v>6851</v>
      </c>
      <c r="D2360" t="s">
        <v>35</v>
      </c>
      <c r="E2360" t="s">
        <v>54</v>
      </c>
      <c r="F2360" t="s">
        <v>60</v>
      </c>
      <c r="G2360" t="s">
        <v>30</v>
      </c>
      <c r="H2360" t="s">
        <v>31</v>
      </c>
      <c r="I2360">
        <v>2</v>
      </c>
      <c r="J2360">
        <v>48</v>
      </c>
      <c r="K2360">
        <v>134.53</v>
      </c>
      <c r="L2360">
        <v>0</v>
      </c>
    </row>
    <row r="2361" spans="1:12">
      <c r="A2361" t="s">
        <v>6852</v>
      </c>
      <c r="B2361" t="s">
        <v>6853</v>
      </c>
      <c r="D2361" t="s">
        <v>35</v>
      </c>
      <c r="E2361" t="s">
        <v>28</v>
      </c>
      <c r="F2361" t="s">
        <v>36</v>
      </c>
      <c r="G2361" t="s">
        <v>151</v>
      </c>
      <c r="H2361" t="s">
        <v>63</v>
      </c>
      <c r="J2361">
        <v>48</v>
      </c>
    </row>
    <row r="2362" spans="1:12">
      <c r="A2362" t="s">
        <v>6854</v>
      </c>
      <c r="B2362" t="s">
        <v>6855</v>
      </c>
      <c r="C2362" t="s">
        <v>6856</v>
      </c>
      <c r="D2362" t="s">
        <v>15</v>
      </c>
      <c r="E2362" t="s">
        <v>24</v>
      </c>
      <c r="F2362" t="s">
        <v>60</v>
      </c>
      <c r="G2362" t="s">
        <v>55</v>
      </c>
      <c r="H2362" t="s">
        <v>19</v>
      </c>
      <c r="I2362">
        <v>5</v>
      </c>
      <c r="J2362">
        <v>8</v>
      </c>
      <c r="K2362">
        <v>4.87</v>
      </c>
      <c r="L2362">
        <v>1</v>
      </c>
    </row>
    <row r="2363" spans="1:12">
      <c r="A2363" t="s">
        <v>6857</v>
      </c>
      <c r="B2363" t="s">
        <v>6858</v>
      </c>
      <c r="C2363" t="s">
        <v>6859</v>
      </c>
      <c r="D2363" t="s">
        <v>23</v>
      </c>
      <c r="E2363" t="s">
        <v>28</v>
      </c>
      <c r="F2363" t="s">
        <v>17</v>
      </c>
      <c r="G2363" t="s">
        <v>73</v>
      </c>
      <c r="H2363" t="s">
        <v>19</v>
      </c>
      <c r="I2363">
        <v>4</v>
      </c>
      <c r="J2363">
        <v>24</v>
      </c>
      <c r="K2363">
        <v>10.31</v>
      </c>
      <c r="L2363">
        <v>1</v>
      </c>
    </row>
    <row r="2364" spans="1:12">
      <c r="A2364" t="s">
        <v>6860</v>
      </c>
      <c r="B2364" t="s">
        <v>6861</v>
      </c>
      <c r="C2364" t="s">
        <v>6862</v>
      </c>
      <c r="D2364" t="s">
        <v>23</v>
      </c>
      <c r="E2364" t="s">
        <v>24</v>
      </c>
      <c r="F2364" t="s">
        <v>36</v>
      </c>
      <c r="G2364" t="s">
        <v>172</v>
      </c>
      <c r="H2364" t="s">
        <v>31</v>
      </c>
      <c r="I2364">
        <v>4</v>
      </c>
      <c r="J2364">
        <v>24</v>
      </c>
      <c r="K2364">
        <v>4.7</v>
      </c>
      <c r="L2364">
        <v>1</v>
      </c>
    </row>
    <row r="2365" spans="1:12">
      <c r="A2365" t="s">
        <v>6863</v>
      </c>
      <c r="B2365" t="s">
        <v>6864</v>
      </c>
      <c r="C2365" t="s">
        <v>6865</v>
      </c>
      <c r="D2365" t="s">
        <v>15</v>
      </c>
      <c r="E2365" t="s">
        <v>16</v>
      </c>
      <c r="F2365" t="s">
        <v>60</v>
      </c>
      <c r="G2365" t="s">
        <v>151</v>
      </c>
      <c r="H2365" t="s">
        <v>19</v>
      </c>
      <c r="I2365">
        <v>3</v>
      </c>
      <c r="J2365">
        <v>8</v>
      </c>
      <c r="K2365">
        <v>22.58</v>
      </c>
      <c r="L2365">
        <v>0</v>
      </c>
    </row>
    <row r="2366" spans="1:12">
      <c r="A2366" t="s">
        <v>6866</v>
      </c>
      <c r="B2366" t="s">
        <v>6867</v>
      </c>
      <c r="C2366" t="s">
        <v>6868</v>
      </c>
      <c r="D2366" t="s">
        <v>23</v>
      </c>
      <c r="E2366" t="s">
        <v>16</v>
      </c>
      <c r="F2366" t="s">
        <v>17</v>
      </c>
      <c r="G2366" t="s">
        <v>45</v>
      </c>
      <c r="H2366" t="s">
        <v>19</v>
      </c>
      <c r="I2366">
        <v>3</v>
      </c>
      <c r="J2366">
        <v>24</v>
      </c>
      <c r="K2366">
        <v>20.86</v>
      </c>
      <c r="L2366">
        <v>1</v>
      </c>
    </row>
    <row r="2367" spans="1:12">
      <c r="A2367" t="s">
        <v>6869</v>
      </c>
      <c r="B2367" t="s">
        <v>6870</v>
      </c>
      <c r="D2367" t="s">
        <v>35</v>
      </c>
      <c r="E2367" t="s">
        <v>28</v>
      </c>
      <c r="F2367" t="s">
        <v>60</v>
      </c>
      <c r="G2367" t="s">
        <v>55</v>
      </c>
      <c r="H2367" t="s">
        <v>63</v>
      </c>
      <c r="J2367">
        <v>48</v>
      </c>
    </row>
    <row r="2368" spans="1:12">
      <c r="A2368" t="s">
        <v>6871</v>
      </c>
      <c r="B2368" t="s">
        <v>6872</v>
      </c>
      <c r="C2368" t="s">
        <v>6873</v>
      </c>
      <c r="D2368" t="s">
        <v>15</v>
      </c>
      <c r="E2368" t="s">
        <v>24</v>
      </c>
      <c r="F2368" t="s">
        <v>17</v>
      </c>
      <c r="G2368" t="s">
        <v>30</v>
      </c>
      <c r="H2368" t="s">
        <v>31</v>
      </c>
      <c r="I2368">
        <v>5</v>
      </c>
      <c r="J2368">
        <v>8</v>
      </c>
      <c r="K2368">
        <v>3.37</v>
      </c>
      <c r="L2368">
        <v>1</v>
      </c>
    </row>
    <row r="2369" spans="1:12">
      <c r="A2369" t="s">
        <v>6874</v>
      </c>
      <c r="B2369" t="s">
        <v>6875</v>
      </c>
      <c r="C2369" t="s">
        <v>6876</v>
      </c>
      <c r="D2369" t="s">
        <v>158</v>
      </c>
      <c r="E2369" t="s">
        <v>16</v>
      </c>
      <c r="F2369" t="s">
        <v>29</v>
      </c>
      <c r="G2369" t="s">
        <v>18</v>
      </c>
      <c r="H2369" t="s">
        <v>31</v>
      </c>
      <c r="I2369">
        <v>5</v>
      </c>
      <c r="J2369">
        <v>4</v>
      </c>
      <c r="K2369">
        <v>1.27</v>
      </c>
      <c r="L2369">
        <v>1</v>
      </c>
    </row>
    <row r="2370" spans="1:12">
      <c r="A2370" t="s">
        <v>6877</v>
      </c>
      <c r="B2370" t="s">
        <v>6878</v>
      </c>
      <c r="D2370" t="s">
        <v>23</v>
      </c>
      <c r="E2370" t="s">
        <v>54</v>
      </c>
      <c r="F2370" t="s">
        <v>17</v>
      </c>
      <c r="G2370" t="s">
        <v>73</v>
      </c>
      <c r="H2370" t="s">
        <v>63</v>
      </c>
      <c r="J2370">
        <v>24</v>
      </c>
    </row>
    <row r="2371" spans="1:12">
      <c r="A2371" t="s">
        <v>6879</v>
      </c>
      <c r="B2371" t="s">
        <v>6880</v>
      </c>
      <c r="C2371" t="s">
        <v>6881</v>
      </c>
      <c r="D2371" t="s">
        <v>23</v>
      </c>
      <c r="E2371" t="s">
        <v>28</v>
      </c>
      <c r="F2371" t="s">
        <v>29</v>
      </c>
      <c r="G2371" t="s">
        <v>73</v>
      </c>
      <c r="H2371" t="s">
        <v>19</v>
      </c>
      <c r="I2371">
        <v>4</v>
      </c>
      <c r="J2371">
        <v>24</v>
      </c>
      <c r="K2371">
        <v>8.91</v>
      </c>
      <c r="L2371">
        <v>1</v>
      </c>
    </row>
    <row r="2372" spans="1:12">
      <c r="A2372" t="s">
        <v>6882</v>
      </c>
      <c r="B2372" t="s">
        <v>6883</v>
      </c>
      <c r="C2372" t="s">
        <v>6884</v>
      </c>
      <c r="D2372" t="s">
        <v>23</v>
      </c>
      <c r="E2372" t="s">
        <v>16</v>
      </c>
      <c r="F2372" t="s">
        <v>41</v>
      </c>
      <c r="G2372" t="s">
        <v>42</v>
      </c>
      <c r="H2372" t="s">
        <v>31</v>
      </c>
      <c r="I2372">
        <v>5</v>
      </c>
      <c r="J2372">
        <v>24</v>
      </c>
      <c r="K2372">
        <v>4.1100000000000003</v>
      </c>
      <c r="L2372">
        <v>1</v>
      </c>
    </row>
    <row r="2373" spans="1:12">
      <c r="A2373" t="s">
        <v>6885</v>
      </c>
      <c r="B2373" t="s">
        <v>6886</v>
      </c>
      <c r="C2373" t="s">
        <v>6887</v>
      </c>
      <c r="D2373" t="s">
        <v>158</v>
      </c>
      <c r="E2373" t="s">
        <v>28</v>
      </c>
      <c r="F2373" t="s">
        <v>17</v>
      </c>
      <c r="G2373" t="s">
        <v>73</v>
      </c>
      <c r="H2373" t="s">
        <v>31</v>
      </c>
      <c r="I2373">
        <v>5</v>
      </c>
      <c r="J2373">
        <v>4</v>
      </c>
      <c r="K2373">
        <v>1.5</v>
      </c>
      <c r="L2373">
        <v>1</v>
      </c>
    </row>
    <row r="2374" spans="1:12">
      <c r="A2374" t="s">
        <v>6888</v>
      </c>
      <c r="B2374" t="s">
        <v>6889</v>
      </c>
      <c r="C2374" t="s">
        <v>6890</v>
      </c>
      <c r="D2374" t="s">
        <v>23</v>
      </c>
      <c r="E2374" t="s">
        <v>28</v>
      </c>
      <c r="F2374" t="s">
        <v>17</v>
      </c>
      <c r="G2374" t="s">
        <v>55</v>
      </c>
      <c r="H2374" t="s">
        <v>19</v>
      </c>
      <c r="I2374">
        <v>4</v>
      </c>
      <c r="J2374">
        <v>24</v>
      </c>
      <c r="K2374">
        <v>16.7</v>
      </c>
      <c r="L2374">
        <v>1</v>
      </c>
    </row>
    <row r="2375" spans="1:12">
      <c r="A2375" t="s">
        <v>6891</v>
      </c>
      <c r="B2375" t="s">
        <v>6892</v>
      </c>
      <c r="C2375" t="s">
        <v>6893</v>
      </c>
      <c r="D2375" t="s">
        <v>15</v>
      </c>
      <c r="E2375" t="s">
        <v>54</v>
      </c>
      <c r="F2375" t="s">
        <v>17</v>
      </c>
      <c r="G2375" t="s">
        <v>151</v>
      </c>
      <c r="H2375" t="s">
        <v>19</v>
      </c>
      <c r="I2375">
        <v>2</v>
      </c>
      <c r="J2375">
        <v>8</v>
      </c>
      <c r="K2375">
        <v>19.670000000000002</v>
      </c>
      <c r="L2375">
        <v>0</v>
      </c>
    </row>
    <row r="2376" spans="1:12">
      <c r="A2376" t="s">
        <v>6894</v>
      </c>
      <c r="B2376" t="s">
        <v>6895</v>
      </c>
      <c r="C2376" t="s">
        <v>6896</v>
      </c>
      <c r="D2376" t="s">
        <v>158</v>
      </c>
      <c r="E2376" t="s">
        <v>24</v>
      </c>
      <c r="F2376" t="s">
        <v>29</v>
      </c>
      <c r="G2376" t="s">
        <v>151</v>
      </c>
      <c r="H2376" t="s">
        <v>19</v>
      </c>
      <c r="I2376">
        <v>5</v>
      </c>
      <c r="J2376">
        <v>4</v>
      </c>
      <c r="K2376">
        <v>2.6</v>
      </c>
      <c r="L2376">
        <v>1</v>
      </c>
    </row>
    <row r="2377" spans="1:12">
      <c r="A2377" t="s">
        <v>6897</v>
      </c>
      <c r="B2377" t="s">
        <v>6898</v>
      </c>
      <c r="C2377" t="s">
        <v>6899</v>
      </c>
      <c r="D2377" t="s">
        <v>15</v>
      </c>
      <c r="E2377" t="s">
        <v>16</v>
      </c>
      <c r="F2377" t="s">
        <v>17</v>
      </c>
      <c r="G2377" t="s">
        <v>151</v>
      </c>
      <c r="H2377" t="s">
        <v>19</v>
      </c>
      <c r="I2377">
        <v>2</v>
      </c>
      <c r="J2377">
        <v>8</v>
      </c>
      <c r="K2377">
        <v>9.08</v>
      </c>
      <c r="L2377">
        <v>0</v>
      </c>
    </row>
    <row r="2378" spans="1:12">
      <c r="A2378" t="s">
        <v>6900</v>
      </c>
      <c r="B2378" t="s">
        <v>6901</v>
      </c>
      <c r="C2378" t="s">
        <v>6902</v>
      </c>
      <c r="D2378" t="s">
        <v>35</v>
      </c>
      <c r="E2378" t="s">
        <v>16</v>
      </c>
      <c r="F2378" t="s">
        <v>17</v>
      </c>
      <c r="G2378" t="s">
        <v>42</v>
      </c>
      <c r="H2378" t="s">
        <v>31</v>
      </c>
      <c r="I2378">
        <v>3</v>
      </c>
      <c r="J2378">
        <v>48</v>
      </c>
      <c r="K2378">
        <v>39.5</v>
      </c>
      <c r="L2378">
        <v>1</v>
      </c>
    </row>
    <row r="2379" spans="1:12">
      <c r="A2379" t="s">
        <v>6903</v>
      </c>
      <c r="B2379" t="s">
        <v>6904</v>
      </c>
      <c r="C2379" t="s">
        <v>6905</v>
      </c>
      <c r="D2379" t="s">
        <v>15</v>
      </c>
      <c r="E2379" t="s">
        <v>59</v>
      </c>
      <c r="F2379" t="s">
        <v>29</v>
      </c>
      <c r="G2379" t="s">
        <v>77</v>
      </c>
      <c r="H2379" t="s">
        <v>31</v>
      </c>
      <c r="I2379">
        <v>2</v>
      </c>
      <c r="J2379">
        <v>8</v>
      </c>
      <c r="K2379">
        <v>19.5</v>
      </c>
      <c r="L2379">
        <v>0</v>
      </c>
    </row>
    <row r="2380" spans="1:12">
      <c r="A2380" t="s">
        <v>6906</v>
      </c>
      <c r="B2380" t="s">
        <v>6907</v>
      </c>
      <c r="C2380" t="s">
        <v>6908</v>
      </c>
      <c r="D2380" t="s">
        <v>23</v>
      </c>
      <c r="E2380" t="s">
        <v>28</v>
      </c>
      <c r="F2380" t="s">
        <v>41</v>
      </c>
      <c r="G2380" t="s">
        <v>37</v>
      </c>
      <c r="H2380" t="s">
        <v>19</v>
      </c>
      <c r="I2380">
        <v>4</v>
      </c>
      <c r="J2380">
        <v>24</v>
      </c>
      <c r="K2380">
        <v>17.98</v>
      </c>
      <c r="L2380">
        <v>1</v>
      </c>
    </row>
    <row r="2381" spans="1:12">
      <c r="A2381" t="s">
        <v>6909</v>
      </c>
      <c r="B2381" t="s">
        <v>6910</v>
      </c>
      <c r="D2381" t="s">
        <v>15</v>
      </c>
      <c r="E2381" t="s">
        <v>28</v>
      </c>
      <c r="F2381" t="s">
        <v>41</v>
      </c>
      <c r="G2381" t="s">
        <v>45</v>
      </c>
      <c r="H2381" t="s">
        <v>46</v>
      </c>
      <c r="J2381">
        <v>8</v>
      </c>
    </row>
    <row r="2382" spans="1:12">
      <c r="A2382" t="s">
        <v>6911</v>
      </c>
      <c r="B2382" t="s">
        <v>6912</v>
      </c>
      <c r="C2382" t="s">
        <v>6913</v>
      </c>
      <c r="D2382" t="s">
        <v>15</v>
      </c>
      <c r="E2382" t="s">
        <v>16</v>
      </c>
      <c r="F2382" t="s">
        <v>36</v>
      </c>
      <c r="G2382" t="s">
        <v>30</v>
      </c>
      <c r="H2382" t="s">
        <v>31</v>
      </c>
      <c r="I2382">
        <v>5</v>
      </c>
      <c r="J2382">
        <v>8</v>
      </c>
      <c r="K2382">
        <v>7.11</v>
      </c>
      <c r="L2382">
        <v>1</v>
      </c>
    </row>
    <row r="2383" spans="1:12">
      <c r="A2383" t="s">
        <v>6914</v>
      </c>
      <c r="B2383" t="s">
        <v>6915</v>
      </c>
      <c r="C2383" t="s">
        <v>6916</v>
      </c>
      <c r="D2383" t="s">
        <v>23</v>
      </c>
      <c r="E2383" t="s">
        <v>28</v>
      </c>
      <c r="F2383" t="s">
        <v>17</v>
      </c>
      <c r="G2383" t="s">
        <v>172</v>
      </c>
      <c r="H2383" t="s">
        <v>19</v>
      </c>
      <c r="I2383">
        <v>5</v>
      </c>
      <c r="J2383">
        <v>24</v>
      </c>
      <c r="K2383">
        <v>21.98</v>
      </c>
      <c r="L2383">
        <v>1</v>
      </c>
    </row>
    <row r="2384" spans="1:12">
      <c r="A2384" t="s">
        <v>6917</v>
      </c>
      <c r="B2384" t="s">
        <v>6918</v>
      </c>
      <c r="C2384" t="s">
        <v>6919</v>
      </c>
      <c r="D2384" t="s">
        <v>35</v>
      </c>
      <c r="E2384" t="s">
        <v>28</v>
      </c>
      <c r="F2384" t="s">
        <v>29</v>
      </c>
      <c r="G2384" t="s">
        <v>105</v>
      </c>
      <c r="H2384" t="s">
        <v>19</v>
      </c>
      <c r="I2384">
        <v>4</v>
      </c>
      <c r="J2384">
        <v>48</v>
      </c>
      <c r="K2384">
        <v>10.08</v>
      </c>
      <c r="L2384">
        <v>1</v>
      </c>
    </row>
    <row r="2385" spans="1:12">
      <c r="A2385" t="s">
        <v>6920</v>
      </c>
      <c r="B2385" t="s">
        <v>6921</v>
      </c>
      <c r="C2385" t="s">
        <v>6922</v>
      </c>
      <c r="D2385" t="s">
        <v>15</v>
      </c>
      <c r="E2385" t="s">
        <v>24</v>
      </c>
      <c r="F2385" t="s">
        <v>41</v>
      </c>
      <c r="G2385" t="s">
        <v>73</v>
      </c>
      <c r="H2385" t="s">
        <v>19</v>
      </c>
      <c r="I2385">
        <v>5</v>
      </c>
      <c r="J2385">
        <v>8</v>
      </c>
      <c r="K2385">
        <v>0.92</v>
      </c>
      <c r="L2385">
        <v>1</v>
      </c>
    </row>
    <row r="2386" spans="1:12">
      <c r="A2386" t="s">
        <v>6923</v>
      </c>
      <c r="B2386" t="s">
        <v>6924</v>
      </c>
      <c r="C2386" t="s">
        <v>6925</v>
      </c>
      <c r="D2386" t="s">
        <v>15</v>
      </c>
      <c r="E2386" t="s">
        <v>54</v>
      </c>
      <c r="F2386" t="s">
        <v>60</v>
      </c>
      <c r="G2386" t="s">
        <v>18</v>
      </c>
      <c r="H2386" t="s">
        <v>31</v>
      </c>
      <c r="I2386">
        <v>5</v>
      </c>
      <c r="J2386">
        <v>8</v>
      </c>
      <c r="K2386">
        <v>5.78</v>
      </c>
      <c r="L2386">
        <v>1</v>
      </c>
    </row>
    <row r="2387" spans="1:12">
      <c r="A2387" t="s">
        <v>6926</v>
      </c>
      <c r="B2387" t="s">
        <v>6927</v>
      </c>
      <c r="C2387" t="s">
        <v>6928</v>
      </c>
      <c r="D2387" t="s">
        <v>35</v>
      </c>
      <c r="E2387" t="s">
        <v>16</v>
      </c>
      <c r="F2387" t="s">
        <v>36</v>
      </c>
      <c r="G2387" t="s">
        <v>42</v>
      </c>
      <c r="H2387" t="s">
        <v>19</v>
      </c>
      <c r="I2387">
        <v>5</v>
      </c>
      <c r="J2387">
        <v>48</v>
      </c>
      <c r="K2387">
        <v>11.06</v>
      </c>
      <c r="L2387">
        <v>1</v>
      </c>
    </row>
    <row r="2388" spans="1:12">
      <c r="A2388" t="s">
        <v>6929</v>
      </c>
      <c r="B2388" t="s">
        <v>6930</v>
      </c>
      <c r="C2388" t="s">
        <v>6931</v>
      </c>
      <c r="D2388" t="s">
        <v>23</v>
      </c>
      <c r="E2388" t="s">
        <v>59</v>
      </c>
      <c r="F2388" t="s">
        <v>29</v>
      </c>
      <c r="G2388" t="s">
        <v>55</v>
      </c>
      <c r="H2388" t="s">
        <v>31</v>
      </c>
      <c r="I2388">
        <v>5</v>
      </c>
      <c r="J2388">
        <v>24</v>
      </c>
      <c r="K2388">
        <v>5.68</v>
      </c>
      <c r="L2388">
        <v>1</v>
      </c>
    </row>
    <row r="2389" spans="1:12">
      <c r="A2389" t="s">
        <v>6932</v>
      </c>
      <c r="B2389" t="s">
        <v>6933</v>
      </c>
      <c r="C2389" t="s">
        <v>6934</v>
      </c>
      <c r="D2389" t="s">
        <v>23</v>
      </c>
      <c r="E2389" t="s">
        <v>24</v>
      </c>
      <c r="F2389" t="s">
        <v>17</v>
      </c>
      <c r="G2389" t="s">
        <v>37</v>
      </c>
      <c r="H2389" t="s">
        <v>19</v>
      </c>
      <c r="I2389">
        <v>4</v>
      </c>
      <c r="J2389">
        <v>24</v>
      </c>
      <c r="K2389">
        <v>16.440000000000001</v>
      </c>
      <c r="L2389">
        <v>1</v>
      </c>
    </row>
    <row r="2390" spans="1:12">
      <c r="A2390" t="s">
        <v>6935</v>
      </c>
      <c r="B2390" t="s">
        <v>6936</v>
      </c>
      <c r="C2390" t="s">
        <v>6937</v>
      </c>
      <c r="D2390" t="s">
        <v>158</v>
      </c>
      <c r="E2390" t="s">
        <v>28</v>
      </c>
      <c r="F2390" t="s">
        <v>17</v>
      </c>
      <c r="G2390" t="s">
        <v>105</v>
      </c>
      <c r="H2390" t="s">
        <v>19</v>
      </c>
      <c r="I2390">
        <v>4</v>
      </c>
      <c r="J2390">
        <v>4</v>
      </c>
      <c r="K2390">
        <v>2.25</v>
      </c>
      <c r="L2390">
        <v>1</v>
      </c>
    </row>
    <row r="2391" spans="1:12">
      <c r="A2391" t="s">
        <v>6938</v>
      </c>
      <c r="B2391" t="s">
        <v>6939</v>
      </c>
      <c r="C2391" t="s">
        <v>6940</v>
      </c>
      <c r="D2391" t="s">
        <v>158</v>
      </c>
      <c r="E2391" t="s">
        <v>54</v>
      </c>
      <c r="F2391" t="s">
        <v>29</v>
      </c>
      <c r="G2391" t="s">
        <v>73</v>
      </c>
      <c r="H2391" t="s">
        <v>19</v>
      </c>
      <c r="I2391">
        <v>2</v>
      </c>
      <c r="J2391">
        <v>4</v>
      </c>
      <c r="K2391">
        <v>11.21</v>
      </c>
      <c r="L2391">
        <v>0</v>
      </c>
    </row>
    <row r="2392" spans="1:12">
      <c r="A2392" t="s">
        <v>6941</v>
      </c>
      <c r="B2392" t="s">
        <v>6942</v>
      </c>
      <c r="C2392" t="s">
        <v>6943</v>
      </c>
      <c r="D2392" t="s">
        <v>35</v>
      </c>
      <c r="E2392" t="s">
        <v>54</v>
      </c>
      <c r="F2392" t="s">
        <v>17</v>
      </c>
      <c r="G2392" t="s">
        <v>37</v>
      </c>
      <c r="H2392" t="s">
        <v>31</v>
      </c>
      <c r="I2392">
        <v>5</v>
      </c>
      <c r="J2392">
        <v>48</v>
      </c>
      <c r="K2392">
        <v>31.73</v>
      </c>
      <c r="L2392">
        <v>1</v>
      </c>
    </row>
    <row r="2393" spans="1:12">
      <c r="A2393" t="s">
        <v>6944</v>
      </c>
      <c r="B2393" t="s">
        <v>6945</v>
      </c>
      <c r="C2393" t="s">
        <v>6946</v>
      </c>
      <c r="D2393" t="s">
        <v>158</v>
      </c>
      <c r="E2393" t="s">
        <v>28</v>
      </c>
      <c r="F2393" t="s">
        <v>60</v>
      </c>
      <c r="G2393" t="s">
        <v>105</v>
      </c>
      <c r="H2393" t="s">
        <v>19</v>
      </c>
      <c r="I2393">
        <v>4</v>
      </c>
      <c r="J2393">
        <v>4</v>
      </c>
      <c r="K2393">
        <v>10.1</v>
      </c>
      <c r="L2393">
        <v>0</v>
      </c>
    </row>
    <row r="2394" spans="1:12">
      <c r="A2394" t="s">
        <v>6947</v>
      </c>
      <c r="B2394" t="s">
        <v>6948</v>
      </c>
      <c r="C2394" t="s">
        <v>6949</v>
      </c>
      <c r="D2394" t="s">
        <v>15</v>
      </c>
      <c r="E2394" t="s">
        <v>16</v>
      </c>
      <c r="F2394" t="s">
        <v>17</v>
      </c>
      <c r="G2394" t="s">
        <v>77</v>
      </c>
      <c r="H2394" t="s">
        <v>31</v>
      </c>
      <c r="I2394">
        <v>5</v>
      </c>
      <c r="J2394">
        <v>8</v>
      </c>
      <c r="K2394">
        <v>6.17</v>
      </c>
      <c r="L2394">
        <v>1</v>
      </c>
    </row>
    <row r="2395" spans="1:12">
      <c r="A2395" t="s">
        <v>6950</v>
      </c>
      <c r="B2395" t="s">
        <v>6951</v>
      </c>
      <c r="C2395" t="s">
        <v>6952</v>
      </c>
      <c r="D2395" t="s">
        <v>35</v>
      </c>
      <c r="E2395" t="s">
        <v>28</v>
      </c>
      <c r="F2395" t="s">
        <v>36</v>
      </c>
      <c r="G2395" t="s">
        <v>77</v>
      </c>
      <c r="H2395" t="s">
        <v>19</v>
      </c>
      <c r="I2395">
        <v>5</v>
      </c>
      <c r="J2395">
        <v>48</v>
      </c>
      <c r="K2395">
        <v>835</v>
      </c>
      <c r="L2395">
        <v>0</v>
      </c>
    </row>
    <row r="2396" spans="1:12">
      <c r="A2396" t="s">
        <v>6953</v>
      </c>
      <c r="B2396" t="s">
        <v>6954</v>
      </c>
      <c r="C2396" t="s">
        <v>6955</v>
      </c>
      <c r="D2396" t="s">
        <v>23</v>
      </c>
      <c r="E2396" t="s">
        <v>16</v>
      </c>
      <c r="F2396" t="s">
        <v>17</v>
      </c>
      <c r="G2396" t="s">
        <v>37</v>
      </c>
      <c r="H2396" t="s">
        <v>19</v>
      </c>
      <c r="I2396">
        <v>5</v>
      </c>
      <c r="J2396">
        <v>24</v>
      </c>
      <c r="K2396">
        <v>13.66</v>
      </c>
      <c r="L2396">
        <v>1</v>
      </c>
    </row>
    <row r="2397" spans="1:12">
      <c r="A2397" t="s">
        <v>6956</v>
      </c>
      <c r="B2397" t="s">
        <v>6957</v>
      </c>
      <c r="C2397" t="s">
        <v>6958</v>
      </c>
      <c r="D2397" t="s">
        <v>158</v>
      </c>
      <c r="E2397" t="s">
        <v>24</v>
      </c>
      <c r="F2397" t="s">
        <v>17</v>
      </c>
      <c r="G2397" t="s">
        <v>151</v>
      </c>
      <c r="H2397" t="s">
        <v>19</v>
      </c>
      <c r="I2397">
        <v>5</v>
      </c>
      <c r="J2397">
        <v>4</v>
      </c>
      <c r="K2397">
        <v>3.46</v>
      </c>
      <c r="L2397">
        <v>1</v>
      </c>
    </row>
    <row r="2398" spans="1:12">
      <c r="A2398" t="s">
        <v>6959</v>
      </c>
      <c r="B2398" t="s">
        <v>6960</v>
      </c>
      <c r="D2398" t="s">
        <v>158</v>
      </c>
      <c r="E2398" t="s">
        <v>28</v>
      </c>
      <c r="F2398" t="s">
        <v>60</v>
      </c>
      <c r="G2398" t="s">
        <v>105</v>
      </c>
      <c r="H2398" t="s">
        <v>46</v>
      </c>
      <c r="J2398">
        <v>4</v>
      </c>
    </row>
    <row r="2399" spans="1:12">
      <c r="A2399" t="s">
        <v>6961</v>
      </c>
      <c r="B2399" t="s">
        <v>6962</v>
      </c>
      <c r="C2399" t="s">
        <v>6963</v>
      </c>
      <c r="D2399" t="s">
        <v>35</v>
      </c>
      <c r="E2399" t="s">
        <v>28</v>
      </c>
      <c r="F2399" t="s">
        <v>60</v>
      </c>
      <c r="G2399" t="s">
        <v>105</v>
      </c>
      <c r="H2399" t="s">
        <v>31</v>
      </c>
      <c r="I2399">
        <v>5</v>
      </c>
      <c r="J2399">
        <v>48</v>
      </c>
      <c r="K2399">
        <v>18.07</v>
      </c>
      <c r="L2399">
        <v>1</v>
      </c>
    </row>
    <row r="2400" spans="1:12">
      <c r="A2400" t="s">
        <v>6964</v>
      </c>
      <c r="B2400" t="s">
        <v>6965</v>
      </c>
      <c r="C2400" t="s">
        <v>6966</v>
      </c>
      <c r="D2400" t="s">
        <v>35</v>
      </c>
      <c r="E2400" t="s">
        <v>24</v>
      </c>
      <c r="F2400" t="s">
        <v>41</v>
      </c>
      <c r="G2400" t="s">
        <v>50</v>
      </c>
      <c r="H2400" t="s">
        <v>19</v>
      </c>
      <c r="I2400">
        <v>5</v>
      </c>
      <c r="J2400">
        <v>48</v>
      </c>
      <c r="K2400">
        <v>22.04</v>
      </c>
      <c r="L2400">
        <v>1</v>
      </c>
    </row>
    <row r="2401" spans="1:12">
      <c r="A2401" t="s">
        <v>6967</v>
      </c>
      <c r="B2401" t="s">
        <v>6968</v>
      </c>
      <c r="C2401" t="s">
        <v>6969</v>
      </c>
      <c r="D2401" t="s">
        <v>35</v>
      </c>
      <c r="E2401" t="s">
        <v>24</v>
      </c>
      <c r="F2401" t="s">
        <v>60</v>
      </c>
      <c r="G2401" t="s">
        <v>77</v>
      </c>
      <c r="H2401" t="s">
        <v>19</v>
      </c>
      <c r="I2401">
        <v>5</v>
      </c>
      <c r="J2401">
        <v>48</v>
      </c>
      <c r="K2401">
        <v>15.67</v>
      </c>
      <c r="L2401">
        <v>1</v>
      </c>
    </row>
    <row r="2402" spans="1:12">
      <c r="A2402" t="s">
        <v>6970</v>
      </c>
      <c r="B2402" t="s">
        <v>6971</v>
      </c>
      <c r="C2402" t="s">
        <v>6972</v>
      </c>
      <c r="D2402" t="s">
        <v>15</v>
      </c>
      <c r="E2402" t="s">
        <v>54</v>
      </c>
      <c r="F2402" t="s">
        <v>41</v>
      </c>
      <c r="G2402" t="s">
        <v>42</v>
      </c>
      <c r="H2402" t="s">
        <v>19</v>
      </c>
      <c r="I2402">
        <v>5</v>
      </c>
      <c r="J2402">
        <v>8</v>
      </c>
      <c r="K2402">
        <v>1.55</v>
      </c>
      <c r="L2402">
        <v>1</v>
      </c>
    </row>
    <row r="2403" spans="1:12">
      <c r="A2403" t="s">
        <v>6973</v>
      </c>
      <c r="B2403" t="s">
        <v>6974</v>
      </c>
      <c r="C2403" t="s">
        <v>6975</v>
      </c>
      <c r="D2403" t="s">
        <v>23</v>
      </c>
      <c r="E2403" t="s">
        <v>28</v>
      </c>
      <c r="F2403" t="s">
        <v>17</v>
      </c>
      <c r="G2403" t="s">
        <v>77</v>
      </c>
      <c r="H2403" t="s">
        <v>31</v>
      </c>
      <c r="I2403">
        <v>5</v>
      </c>
      <c r="J2403">
        <v>24</v>
      </c>
      <c r="K2403">
        <v>12.55</v>
      </c>
      <c r="L2403">
        <v>1</v>
      </c>
    </row>
    <row r="2404" spans="1:12">
      <c r="A2404" t="s">
        <v>6976</v>
      </c>
      <c r="B2404" t="s">
        <v>6977</v>
      </c>
      <c r="C2404" t="s">
        <v>6978</v>
      </c>
      <c r="D2404" t="s">
        <v>35</v>
      </c>
      <c r="E2404" t="s">
        <v>16</v>
      </c>
      <c r="F2404" t="s">
        <v>17</v>
      </c>
      <c r="G2404" t="s">
        <v>105</v>
      </c>
      <c r="H2404" t="s">
        <v>19</v>
      </c>
      <c r="I2404">
        <v>4</v>
      </c>
      <c r="J2404">
        <v>48</v>
      </c>
      <c r="K2404">
        <v>43.7</v>
      </c>
      <c r="L2404">
        <v>1</v>
      </c>
    </row>
    <row r="2405" spans="1:12">
      <c r="A2405" t="s">
        <v>6979</v>
      </c>
      <c r="B2405" t="s">
        <v>6980</v>
      </c>
      <c r="C2405" t="s">
        <v>6981</v>
      </c>
      <c r="D2405" t="s">
        <v>23</v>
      </c>
      <c r="E2405" t="s">
        <v>54</v>
      </c>
      <c r="F2405" t="s">
        <v>29</v>
      </c>
      <c r="G2405" t="s">
        <v>55</v>
      </c>
      <c r="H2405" t="s">
        <v>31</v>
      </c>
      <c r="I2405">
        <v>4</v>
      </c>
      <c r="J2405">
        <v>24</v>
      </c>
      <c r="K2405">
        <v>11.54</v>
      </c>
      <c r="L2405">
        <v>1</v>
      </c>
    </row>
    <row r="2406" spans="1:12">
      <c r="A2406" t="s">
        <v>6982</v>
      </c>
      <c r="B2406" t="s">
        <v>6983</v>
      </c>
      <c r="C2406" t="s">
        <v>6984</v>
      </c>
      <c r="D2406" t="s">
        <v>23</v>
      </c>
      <c r="E2406" t="s">
        <v>16</v>
      </c>
      <c r="F2406" t="s">
        <v>17</v>
      </c>
      <c r="G2406" t="s">
        <v>172</v>
      </c>
      <c r="H2406" t="s">
        <v>19</v>
      </c>
      <c r="I2406">
        <v>5</v>
      </c>
      <c r="J2406">
        <v>24</v>
      </c>
      <c r="K2406">
        <v>16.09</v>
      </c>
      <c r="L2406">
        <v>1</v>
      </c>
    </row>
    <row r="2407" spans="1:12">
      <c r="A2407" t="s">
        <v>6985</v>
      </c>
      <c r="B2407" t="s">
        <v>6986</v>
      </c>
      <c r="C2407" t="s">
        <v>6987</v>
      </c>
      <c r="D2407" t="s">
        <v>23</v>
      </c>
      <c r="E2407" t="s">
        <v>16</v>
      </c>
      <c r="F2407" t="s">
        <v>17</v>
      </c>
      <c r="G2407" t="s">
        <v>55</v>
      </c>
      <c r="H2407" t="s">
        <v>31</v>
      </c>
      <c r="I2407">
        <v>4</v>
      </c>
      <c r="J2407">
        <v>24</v>
      </c>
      <c r="K2407">
        <v>7.87</v>
      </c>
      <c r="L2407">
        <v>1</v>
      </c>
    </row>
    <row r="2408" spans="1:12">
      <c r="A2408" t="s">
        <v>6988</v>
      </c>
      <c r="B2408" t="s">
        <v>6989</v>
      </c>
      <c r="C2408" t="s">
        <v>6990</v>
      </c>
      <c r="D2408" t="s">
        <v>23</v>
      </c>
      <c r="E2408" t="s">
        <v>28</v>
      </c>
      <c r="F2408" t="s">
        <v>29</v>
      </c>
      <c r="G2408" t="s">
        <v>42</v>
      </c>
      <c r="H2408" t="s">
        <v>31</v>
      </c>
      <c r="I2408">
        <v>3</v>
      </c>
      <c r="J2408">
        <v>24</v>
      </c>
      <c r="K2408">
        <v>10.49</v>
      </c>
      <c r="L2408">
        <v>1</v>
      </c>
    </row>
    <row r="2409" spans="1:12">
      <c r="A2409" t="s">
        <v>6991</v>
      </c>
      <c r="B2409" t="s">
        <v>6992</v>
      </c>
      <c r="C2409" t="s">
        <v>6993</v>
      </c>
      <c r="D2409" t="s">
        <v>23</v>
      </c>
      <c r="E2409" t="s">
        <v>54</v>
      </c>
      <c r="F2409" t="s">
        <v>29</v>
      </c>
      <c r="G2409" t="s">
        <v>151</v>
      </c>
      <c r="H2409" t="s">
        <v>31</v>
      </c>
      <c r="I2409">
        <v>5</v>
      </c>
      <c r="J2409">
        <v>24</v>
      </c>
      <c r="K2409">
        <v>9.58</v>
      </c>
      <c r="L2409">
        <v>1</v>
      </c>
    </row>
    <row r="2410" spans="1:12">
      <c r="A2410" t="s">
        <v>6994</v>
      </c>
      <c r="B2410" t="s">
        <v>6995</v>
      </c>
      <c r="C2410" t="s">
        <v>6996</v>
      </c>
      <c r="D2410" t="s">
        <v>15</v>
      </c>
      <c r="E2410" t="s">
        <v>28</v>
      </c>
      <c r="F2410" t="s">
        <v>60</v>
      </c>
      <c r="G2410" t="s">
        <v>18</v>
      </c>
      <c r="H2410" t="s">
        <v>31</v>
      </c>
      <c r="I2410">
        <v>4</v>
      </c>
      <c r="J2410">
        <v>8</v>
      </c>
      <c r="K2410">
        <v>6.56</v>
      </c>
      <c r="L2410">
        <v>1</v>
      </c>
    </row>
    <row r="2411" spans="1:12">
      <c r="A2411" t="s">
        <v>6997</v>
      </c>
      <c r="B2411" t="s">
        <v>6998</v>
      </c>
      <c r="C2411" t="s">
        <v>6999</v>
      </c>
      <c r="D2411" t="s">
        <v>15</v>
      </c>
      <c r="E2411" t="s">
        <v>16</v>
      </c>
      <c r="F2411" t="s">
        <v>60</v>
      </c>
      <c r="G2411" t="s">
        <v>151</v>
      </c>
      <c r="H2411" t="s">
        <v>19</v>
      </c>
      <c r="I2411">
        <v>5</v>
      </c>
      <c r="J2411">
        <v>8</v>
      </c>
      <c r="K2411">
        <v>4.75</v>
      </c>
      <c r="L2411">
        <v>1</v>
      </c>
    </row>
    <row r="2412" spans="1:12">
      <c r="A2412" t="s">
        <v>7000</v>
      </c>
      <c r="B2412" t="s">
        <v>7001</v>
      </c>
      <c r="C2412" t="s">
        <v>7002</v>
      </c>
      <c r="D2412" t="s">
        <v>35</v>
      </c>
      <c r="E2412" t="s">
        <v>28</v>
      </c>
      <c r="F2412" t="s">
        <v>60</v>
      </c>
      <c r="G2412" t="s">
        <v>77</v>
      </c>
      <c r="H2412" t="s">
        <v>19</v>
      </c>
      <c r="I2412">
        <v>5</v>
      </c>
      <c r="J2412">
        <v>48</v>
      </c>
      <c r="K2412">
        <v>5.2</v>
      </c>
      <c r="L2412">
        <v>1</v>
      </c>
    </row>
    <row r="2413" spans="1:12">
      <c r="A2413" t="s">
        <v>7003</v>
      </c>
      <c r="B2413" t="s">
        <v>7004</v>
      </c>
      <c r="D2413" t="s">
        <v>23</v>
      </c>
      <c r="E2413" t="s">
        <v>16</v>
      </c>
      <c r="F2413" t="s">
        <v>36</v>
      </c>
      <c r="G2413" t="s">
        <v>172</v>
      </c>
      <c r="H2413" t="s">
        <v>46</v>
      </c>
      <c r="J2413">
        <v>24</v>
      </c>
    </row>
    <row r="2414" spans="1:12">
      <c r="A2414" t="s">
        <v>7005</v>
      </c>
      <c r="B2414" t="s">
        <v>7006</v>
      </c>
      <c r="C2414" t="s">
        <v>7007</v>
      </c>
      <c r="D2414" t="s">
        <v>35</v>
      </c>
      <c r="E2414" t="s">
        <v>59</v>
      </c>
      <c r="F2414" t="s">
        <v>17</v>
      </c>
      <c r="G2414" t="s">
        <v>37</v>
      </c>
      <c r="H2414" t="s">
        <v>19</v>
      </c>
      <c r="I2414">
        <v>4</v>
      </c>
      <c r="J2414">
        <v>48</v>
      </c>
      <c r="K2414">
        <v>20.99</v>
      </c>
      <c r="L2414">
        <v>1</v>
      </c>
    </row>
    <row r="2415" spans="1:12">
      <c r="A2415" t="s">
        <v>7008</v>
      </c>
      <c r="B2415" t="s">
        <v>7009</v>
      </c>
      <c r="C2415" t="s">
        <v>7010</v>
      </c>
      <c r="D2415" t="s">
        <v>35</v>
      </c>
      <c r="E2415" t="s">
        <v>28</v>
      </c>
      <c r="F2415" t="s">
        <v>60</v>
      </c>
      <c r="G2415" t="s">
        <v>73</v>
      </c>
      <c r="H2415" t="s">
        <v>19</v>
      </c>
      <c r="I2415">
        <v>1</v>
      </c>
      <c r="J2415">
        <v>48</v>
      </c>
      <c r="K2415">
        <v>36</v>
      </c>
      <c r="L2415">
        <v>1</v>
      </c>
    </row>
    <row r="2416" spans="1:12">
      <c r="A2416" t="s">
        <v>7011</v>
      </c>
      <c r="B2416" t="s">
        <v>7012</v>
      </c>
      <c r="C2416" t="s">
        <v>7013</v>
      </c>
      <c r="D2416" t="s">
        <v>158</v>
      </c>
      <c r="E2416" t="s">
        <v>16</v>
      </c>
      <c r="F2416" t="s">
        <v>60</v>
      </c>
      <c r="G2416" t="s">
        <v>77</v>
      </c>
      <c r="H2416" t="s">
        <v>19</v>
      </c>
      <c r="I2416">
        <v>4</v>
      </c>
      <c r="J2416">
        <v>4</v>
      </c>
      <c r="K2416">
        <v>0.54</v>
      </c>
      <c r="L2416">
        <v>1</v>
      </c>
    </row>
    <row r="2417" spans="1:12">
      <c r="A2417" t="s">
        <v>7014</v>
      </c>
      <c r="B2417" t="s">
        <v>7015</v>
      </c>
      <c r="C2417" t="s">
        <v>7016</v>
      </c>
      <c r="D2417" t="s">
        <v>35</v>
      </c>
      <c r="E2417" t="s">
        <v>54</v>
      </c>
      <c r="F2417" t="s">
        <v>60</v>
      </c>
      <c r="G2417" t="s">
        <v>55</v>
      </c>
      <c r="H2417" t="s">
        <v>31</v>
      </c>
      <c r="I2417">
        <v>5</v>
      </c>
      <c r="J2417">
        <v>48</v>
      </c>
      <c r="K2417">
        <v>39.67</v>
      </c>
      <c r="L2417">
        <v>1</v>
      </c>
    </row>
    <row r="2418" spans="1:12">
      <c r="A2418" t="s">
        <v>7017</v>
      </c>
      <c r="B2418" t="s">
        <v>7018</v>
      </c>
      <c r="C2418" t="s">
        <v>7019</v>
      </c>
      <c r="D2418" t="s">
        <v>15</v>
      </c>
      <c r="E2418" t="s">
        <v>59</v>
      </c>
      <c r="F2418" t="s">
        <v>17</v>
      </c>
      <c r="G2418" t="s">
        <v>30</v>
      </c>
      <c r="H2418" t="s">
        <v>19</v>
      </c>
      <c r="I2418">
        <v>4</v>
      </c>
      <c r="J2418">
        <v>8</v>
      </c>
      <c r="K2418">
        <v>20.7</v>
      </c>
      <c r="L2418">
        <v>0</v>
      </c>
    </row>
    <row r="2419" spans="1:12">
      <c r="A2419" t="s">
        <v>7020</v>
      </c>
      <c r="B2419" t="s">
        <v>7021</v>
      </c>
      <c r="C2419" t="s">
        <v>7022</v>
      </c>
      <c r="D2419" t="s">
        <v>158</v>
      </c>
      <c r="E2419" t="s">
        <v>54</v>
      </c>
      <c r="F2419" t="s">
        <v>29</v>
      </c>
      <c r="G2419" t="s">
        <v>105</v>
      </c>
      <c r="H2419" t="s">
        <v>19</v>
      </c>
      <c r="I2419">
        <v>5</v>
      </c>
      <c r="J2419">
        <v>4</v>
      </c>
      <c r="K2419">
        <v>0.75</v>
      </c>
      <c r="L2419">
        <v>1</v>
      </c>
    </row>
    <row r="2420" spans="1:12">
      <c r="A2420" t="s">
        <v>7023</v>
      </c>
      <c r="B2420" t="s">
        <v>7024</v>
      </c>
      <c r="C2420" t="s">
        <v>7025</v>
      </c>
      <c r="D2420" t="s">
        <v>23</v>
      </c>
      <c r="E2420" t="s">
        <v>54</v>
      </c>
      <c r="F2420" t="s">
        <v>36</v>
      </c>
      <c r="G2420" t="s">
        <v>172</v>
      </c>
      <c r="H2420" t="s">
        <v>19</v>
      </c>
      <c r="I2420">
        <v>5</v>
      </c>
      <c r="J2420">
        <v>24</v>
      </c>
      <c r="K2420">
        <v>7.73</v>
      </c>
      <c r="L2420">
        <v>1</v>
      </c>
    </row>
    <row r="2421" spans="1:12">
      <c r="A2421" t="s">
        <v>7026</v>
      </c>
      <c r="B2421" t="s">
        <v>7027</v>
      </c>
      <c r="C2421" t="s">
        <v>7028</v>
      </c>
      <c r="D2421" t="s">
        <v>23</v>
      </c>
      <c r="E2421" t="s">
        <v>28</v>
      </c>
      <c r="F2421" t="s">
        <v>29</v>
      </c>
      <c r="G2421" t="s">
        <v>37</v>
      </c>
      <c r="H2421" t="s">
        <v>19</v>
      </c>
      <c r="I2421">
        <v>5</v>
      </c>
      <c r="J2421">
        <v>24</v>
      </c>
      <c r="K2421">
        <v>17.93</v>
      </c>
      <c r="L2421">
        <v>1</v>
      </c>
    </row>
    <row r="2422" spans="1:12">
      <c r="A2422" t="s">
        <v>7029</v>
      </c>
      <c r="B2422" t="s">
        <v>7030</v>
      </c>
      <c r="C2422" t="s">
        <v>7031</v>
      </c>
      <c r="D2422" t="s">
        <v>158</v>
      </c>
      <c r="E2422" t="s">
        <v>24</v>
      </c>
      <c r="F2422" t="s">
        <v>41</v>
      </c>
      <c r="G2422" t="s">
        <v>73</v>
      </c>
      <c r="H2422" t="s">
        <v>19</v>
      </c>
      <c r="I2422">
        <v>4</v>
      </c>
      <c r="J2422">
        <v>4</v>
      </c>
      <c r="K2422">
        <v>0.52</v>
      </c>
      <c r="L2422">
        <v>1</v>
      </c>
    </row>
    <row r="2423" spans="1:12">
      <c r="A2423" t="s">
        <v>7032</v>
      </c>
      <c r="B2423" t="s">
        <v>7033</v>
      </c>
      <c r="C2423" t="s">
        <v>7034</v>
      </c>
      <c r="D2423" t="s">
        <v>15</v>
      </c>
      <c r="E2423" t="s">
        <v>28</v>
      </c>
      <c r="F2423" t="s">
        <v>36</v>
      </c>
      <c r="G2423" t="s">
        <v>30</v>
      </c>
      <c r="H2423" t="s">
        <v>19</v>
      </c>
      <c r="I2423">
        <v>4</v>
      </c>
      <c r="J2423">
        <v>8</v>
      </c>
      <c r="K2423">
        <v>13.13</v>
      </c>
      <c r="L2423">
        <v>0</v>
      </c>
    </row>
    <row r="2424" spans="1:12">
      <c r="A2424" t="s">
        <v>7035</v>
      </c>
      <c r="B2424" t="s">
        <v>7036</v>
      </c>
      <c r="C2424" t="s">
        <v>7037</v>
      </c>
      <c r="D2424" t="s">
        <v>23</v>
      </c>
      <c r="E2424" t="s">
        <v>59</v>
      </c>
      <c r="F2424" t="s">
        <v>41</v>
      </c>
      <c r="G2424" t="s">
        <v>50</v>
      </c>
      <c r="H2424" t="s">
        <v>19</v>
      </c>
      <c r="I2424">
        <v>5</v>
      </c>
      <c r="J2424">
        <v>24</v>
      </c>
      <c r="K2424">
        <v>11.01</v>
      </c>
      <c r="L2424">
        <v>1</v>
      </c>
    </row>
    <row r="2425" spans="1:12">
      <c r="A2425" t="s">
        <v>7038</v>
      </c>
      <c r="B2425" t="s">
        <v>7039</v>
      </c>
      <c r="C2425" t="s">
        <v>7040</v>
      </c>
      <c r="D2425" t="s">
        <v>35</v>
      </c>
      <c r="E2425" t="s">
        <v>28</v>
      </c>
      <c r="F2425" t="s">
        <v>29</v>
      </c>
      <c r="G2425" t="s">
        <v>30</v>
      </c>
      <c r="H2425" t="s">
        <v>19</v>
      </c>
      <c r="I2425">
        <v>4</v>
      </c>
      <c r="J2425">
        <v>48</v>
      </c>
      <c r="K2425">
        <v>9.94</v>
      </c>
      <c r="L2425">
        <v>1</v>
      </c>
    </row>
    <row r="2426" spans="1:12">
      <c r="A2426" t="s">
        <v>7041</v>
      </c>
      <c r="B2426" t="s">
        <v>7042</v>
      </c>
      <c r="C2426" t="s">
        <v>7043</v>
      </c>
      <c r="D2426" t="s">
        <v>23</v>
      </c>
      <c r="E2426" t="s">
        <v>28</v>
      </c>
      <c r="F2426" t="s">
        <v>41</v>
      </c>
      <c r="G2426" t="s">
        <v>73</v>
      </c>
      <c r="H2426" t="s">
        <v>19</v>
      </c>
      <c r="I2426">
        <v>5</v>
      </c>
      <c r="J2426">
        <v>24</v>
      </c>
      <c r="K2426">
        <v>6.04</v>
      </c>
      <c r="L2426">
        <v>1</v>
      </c>
    </row>
    <row r="2427" spans="1:12">
      <c r="A2427" t="s">
        <v>7044</v>
      </c>
      <c r="B2427" t="s">
        <v>7045</v>
      </c>
      <c r="D2427" t="s">
        <v>15</v>
      </c>
      <c r="E2427" t="s">
        <v>24</v>
      </c>
      <c r="F2427" t="s">
        <v>17</v>
      </c>
      <c r="G2427" t="s">
        <v>18</v>
      </c>
      <c r="H2427" t="s">
        <v>63</v>
      </c>
      <c r="J2427">
        <v>8</v>
      </c>
    </row>
    <row r="2428" spans="1:12">
      <c r="A2428" t="s">
        <v>7046</v>
      </c>
      <c r="B2428" t="s">
        <v>7047</v>
      </c>
      <c r="C2428" t="s">
        <v>7048</v>
      </c>
      <c r="D2428" t="s">
        <v>23</v>
      </c>
      <c r="E2428" t="s">
        <v>28</v>
      </c>
      <c r="F2428" t="s">
        <v>36</v>
      </c>
      <c r="G2428" t="s">
        <v>45</v>
      </c>
      <c r="H2428" t="s">
        <v>19</v>
      </c>
      <c r="I2428">
        <v>5</v>
      </c>
      <c r="J2428">
        <v>24</v>
      </c>
      <c r="K2428">
        <v>10.33</v>
      </c>
      <c r="L2428">
        <v>1</v>
      </c>
    </row>
    <row r="2429" spans="1:12">
      <c r="A2429" t="s">
        <v>7049</v>
      </c>
      <c r="B2429" t="s">
        <v>7050</v>
      </c>
      <c r="C2429" t="s">
        <v>7051</v>
      </c>
      <c r="D2429" t="s">
        <v>23</v>
      </c>
      <c r="E2429" t="s">
        <v>28</v>
      </c>
      <c r="F2429" t="s">
        <v>17</v>
      </c>
      <c r="G2429" t="s">
        <v>55</v>
      </c>
      <c r="H2429" t="s">
        <v>19</v>
      </c>
      <c r="I2429">
        <v>5</v>
      </c>
      <c r="J2429">
        <v>24</v>
      </c>
      <c r="K2429">
        <v>19.7</v>
      </c>
      <c r="L2429">
        <v>1</v>
      </c>
    </row>
    <row r="2430" spans="1:12">
      <c r="A2430" t="s">
        <v>7052</v>
      </c>
      <c r="B2430" t="s">
        <v>7053</v>
      </c>
      <c r="C2430" t="s">
        <v>7054</v>
      </c>
      <c r="D2430" t="s">
        <v>15</v>
      </c>
      <c r="E2430" t="s">
        <v>24</v>
      </c>
      <c r="F2430" t="s">
        <v>36</v>
      </c>
      <c r="G2430" t="s">
        <v>73</v>
      </c>
      <c r="H2430" t="s">
        <v>19</v>
      </c>
      <c r="I2430">
        <v>4</v>
      </c>
      <c r="J2430">
        <v>8</v>
      </c>
      <c r="K2430">
        <v>2.2799999999999998</v>
      </c>
      <c r="L2430">
        <v>1</v>
      </c>
    </row>
    <row r="2431" spans="1:12">
      <c r="A2431" t="s">
        <v>7055</v>
      </c>
      <c r="B2431" t="s">
        <v>7056</v>
      </c>
      <c r="C2431" t="s">
        <v>7057</v>
      </c>
      <c r="D2431" t="s">
        <v>35</v>
      </c>
      <c r="E2431" t="s">
        <v>54</v>
      </c>
      <c r="F2431" t="s">
        <v>36</v>
      </c>
      <c r="G2431" t="s">
        <v>105</v>
      </c>
      <c r="H2431" t="s">
        <v>19</v>
      </c>
      <c r="I2431">
        <v>3</v>
      </c>
      <c r="J2431">
        <v>48</v>
      </c>
      <c r="K2431">
        <v>12.34</v>
      </c>
      <c r="L2431">
        <v>1</v>
      </c>
    </row>
    <row r="2432" spans="1:12">
      <c r="A2432" t="s">
        <v>7058</v>
      </c>
      <c r="B2432" t="s">
        <v>7059</v>
      </c>
      <c r="D2432" t="s">
        <v>158</v>
      </c>
      <c r="E2432" t="s">
        <v>16</v>
      </c>
      <c r="F2432" t="s">
        <v>41</v>
      </c>
      <c r="G2432" t="s">
        <v>18</v>
      </c>
      <c r="H2432" t="s">
        <v>63</v>
      </c>
      <c r="J2432">
        <v>4</v>
      </c>
    </row>
    <row r="2433" spans="1:12">
      <c r="A2433" t="s">
        <v>7060</v>
      </c>
      <c r="B2433" t="s">
        <v>7061</v>
      </c>
      <c r="C2433" t="s">
        <v>7062</v>
      </c>
      <c r="D2433" t="s">
        <v>15</v>
      </c>
      <c r="E2433" t="s">
        <v>59</v>
      </c>
      <c r="F2433" t="s">
        <v>41</v>
      </c>
      <c r="G2433" t="s">
        <v>73</v>
      </c>
      <c r="H2433" t="s">
        <v>19</v>
      </c>
      <c r="I2433">
        <v>5</v>
      </c>
      <c r="J2433">
        <v>8</v>
      </c>
      <c r="K2433">
        <v>5.17</v>
      </c>
      <c r="L2433">
        <v>1</v>
      </c>
    </row>
    <row r="2434" spans="1:12">
      <c r="A2434" t="s">
        <v>7063</v>
      </c>
      <c r="B2434" t="s">
        <v>7064</v>
      </c>
      <c r="C2434" t="s">
        <v>7065</v>
      </c>
      <c r="D2434" t="s">
        <v>15</v>
      </c>
      <c r="E2434" t="s">
        <v>28</v>
      </c>
      <c r="F2434" t="s">
        <v>29</v>
      </c>
      <c r="G2434" t="s">
        <v>77</v>
      </c>
      <c r="H2434" t="s">
        <v>19</v>
      </c>
      <c r="I2434">
        <v>4</v>
      </c>
      <c r="J2434">
        <v>8</v>
      </c>
      <c r="K2434">
        <v>5.35</v>
      </c>
      <c r="L2434">
        <v>1</v>
      </c>
    </row>
    <row r="2435" spans="1:12">
      <c r="A2435" t="s">
        <v>7066</v>
      </c>
      <c r="B2435" t="s">
        <v>7067</v>
      </c>
      <c r="C2435" t="s">
        <v>7068</v>
      </c>
      <c r="D2435" t="s">
        <v>15</v>
      </c>
      <c r="E2435" t="s">
        <v>16</v>
      </c>
      <c r="F2435" t="s">
        <v>29</v>
      </c>
      <c r="G2435" t="s">
        <v>42</v>
      </c>
      <c r="H2435" t="s">
        <v>19</v>
      </c>
      <c r="I2435">
        <v>2</v>
      </c>
      <c r="J2435">
        <v>8</v>
      </c>
      <c r="K2435">
        <v>13.51</v>
      </c>
      <c r="L2435">
        <v>0</v>
      </c>
    </row>
    <row r="2436" spans="1:12">
      <c r="A2436" t="s">
        <v>7069</v>
      </c>
      <c r="B2436" t="s">
        <v>7070</v>
      </c>
      <c r="C2436" t="s">
        <v>7071</v>
      </c>
      <c r="D2436" t="s">
        <v>23</v>
      </c>
      <c r="E2436" t="s">
        <v>24</v>
      </c>
      <c r="F2436" t="s">
        <v>36</v>
      </c>
      <c r="G2436" t="s">
        <v>77</v>
      </c>
      <c r="H2436" t="s">
        <v>31</v>
      </c>
      <c r="I2436">
        <v>3</v>
      </c>
      <c r="J2436">
        <v>24</v>
      </c>
      <c r="K2436">
        <v>8.69</v>
      </c>
      <c r="L2436">
        <v>1</v>
      </c>
    </row>
    <row r="2437" spans="1:12">
      <c r="A2437" t="s">
        <v>7072</v>
      </c>
      <c r="B2437" t="s">
        <v>7073</v>
      </c>
      <c r="C2437" t="s">
        <v>7074</v>
      </c>
      <c r="D2437" t="s">
        <v>23</v>
      </c>
      <c r="E2437" t="s">
        <v>28</v>
      </c>
      <c r="F2437" t="s">
        <v>17</v>
      </c>
      <c r="G2437" t="s">
        <v>172</v>
      </c>
      <c r="H2437" t="s">
        <v>31</v>
      </c>
      <c r="I2437">
        <v>4</v>
      </c>
      <c r="J2437">
        <v>24</v>
      </c>
      <c r="K2437">
        <v>5.28</v>
      </c>
      <c r="L2437">
        <v>1</v>
      </c>
    </row>
    <row r="2438" spans="1:12">
      <c r="A2438" t="s">
        <v>7075</v>
      </c>
      <c r="B2438" t="s">
        <v>7076</v>
      </c>
      <c r="C2438" t="s">
        <v>7077</v>
      </c>
      <c r="D2438" t="s">
        <v>23</v>
      </c>
      <c r="E2438" t="s">
        <v>16</v>
      </c>
      <c r="F2438" t="s">
        <v>29</v>
      </c>
      <c r="G2438" t="s">
        <v>42</v>
      </c>
      <c r="H2438" t="s">
        <v>31</v>
      </c>
      <c r="I2438">
        <v>2</v>
      </c>
      <c r="J2438">
        <v>24</v>
      </c>
      <c r="K2438">
        <v>30.77</v>
      </c>
      <c r="L2438">
        <v>0</v>
      </c>
    </row>
    <row r="2439" spans="1:12">
      <c r="A2439" t="s">
        <v>7078</v>
      </c>
      <c r="B2439" t="s">
        <v>7079</v>
      </c>
      <c r="C2439" t="s">
        <v>7080</v>
      </c>
      <c r="D2439" t="s">
        <v>35</v>
      </c>
      <c r="E2439" t="s">
        <v>54</v>
      </c>
      <c r="F2439" t="s">
        <v>17</v>
      </c>
      <c r="G2439" t="s">
        <v>45</v>
      </c>
      <c r="H2439" t="s">
        <v>19</v>
      </c>
      <c r="I2439">
        <v>2</v>
      </c>
      <c r="J2439">
        <v>48</v>
      </c>
      <c r="K2439">
        <v>69.42</v>
      </c>
      <c r="L2439">
        <v>0</v>
      </c>
    </row>
    <row r="2440" spans="1:12">
      <c r="A2440" t="s">
        <v>7081</v>
      </c>
      <c r="B2440" t="s">
        <v>7082</v>
      </c>
      <c r="C2440" t="s">
        <v>7083</v>
      </c>
      <c r="D2440" t="s">
        <v>23</v>
      </c>
      <c r="E2440" t="s">
        <v>24</v>
      </c>
      <c r="F2440" t="s">
        <v>17</v>
      </c>
      <c r="G2440" t="s">
        <v>42</v>
      </c>
      <c r="H2440" t="s">
        <v>19</v>
      </c>
      <c r="I2440">
        <v>3</v>
      </c>
      <c r="J2440">
        <v>24</v>
      </c>
      <c r="K2440">
        <v>20.23</v>
      </c>
      <c r="L2440">
        <v>1</v>
      </c>
    </row>
    <row r="2441" spans="1:12">
      <c r="A2441" t="s">
        <v>7084</v>
      </c>
      <c r="B2441" t="s">
        <v>7085</v>
      </c>
      <c r="D2441" t="s">
        <v>15</v>
      </c>
      <c r="E2441" t="s">
        <v>54</v>
      </c>
      <c r="F2441" t="s">
        <v>60</v>
      </c>
      <c r="G2441" t="s">
        <v>73</v>
      </c>
      <c r="H2441" t="s">
        <v>63</v>
      </c>
      <c r="J2441">
        <v>8</v>
      </c>
    </row>
    <row r="2442" spans="1:12">
      <c r="A2442" t="s">
        <v>7086</v>
      </c>
      <c r="B2442" t="s">
        <v>7087</v>
      </c>
      <c r="C2442" t="s">
        <v>7088</v>
      </c>
      <c r="D2442" t="s">
        <v>35</v>
      </c>
      <c r="E2442" t="s">
        <v>54</v>
      </c>
      <c r="F2442" t="s">
        <v>29</v>
      </c>
      <c r="G2442" t="s">
        <v>73</v>
      </c>
      <c r="H2442" t="s">
        <v>19</v>
      </c>
      <c r="I2442">
        <v>5</v>
      </c>
      <c r="J2442">
        <v>48</v>
      </c>
      <c r="K2442">
        <v>5.19</v>
      </c>
      <c r="L2442">
        <v>1</v>
      </c>
    </row>
    <row r="2443" spans="1:12">
      <c r="A2443" t="s">
        <v>7089</v>
      </c>
      <c r="B2443" t="s">
        <v>7090</v>
      </c>
      <c r="C2443" t="s">
        <v>7091</v>
      </c>
      <c r="D2443" t="s">
        <v>15</v>
      </c>
      <c r="E2443" t="s">
        <v>54</v>
      </c>
      <c r="F2443" t="s">
        <v>29</v>
      </c>
      <c r="G2443" t="s">
        <v>73</v>
      </c>
      <c r="H2443" t="s">
        <v>19</v>
      </c>
      <c r="I2443">
        <v>5</v>
      </c>
      <c r="J2443">
        <v>8</v>
      </c>
      <c r="K2443">
        <v>3.58</v>
      </c>
      <c r="L2443">
        <v>1</v>
      </c>
    </row>
    <row r="2444" spans="1:12">
      <c r="A2444" t="s">
        <v>7092</v>
      </c>
      <c r="B2444" t="s">
        <v>7093</v>
      </c>
      <c r="C2444" t="s">
        <v>7094</v>
      </c>
      <c r="D2444" t="s">
        <v>35</v>
      </c>
      <c r="E2444" t="s">
        <v>16</v>
      </c>
      <c r="F2444" t="s">
        <v>41</v>
      </c>
      <c r="G2444" t="s">
        <v>77</v>
      </c>
      <c r="H2444" t="s">
        <v>19</v>
      </c>
      <c r="I2444">
        <v>4</v>
      </c>
      <c r="J2444">
        <v>48</v>
      </c>
      <c r="K2444">
        <v>40.03</v>
      </c>
      <c r="L2444">
        <v>1</v>
      </c>
    </row>
    <row r="2445" spans="1:12">
      <c r="A2445" t="s">
        <v>7095</v>
      </c>
      <c r="B2445" t="s">
        <v>7096</v>
      </c>
      <c r="C2445" t="s">
        <v>7097</v>
      </c>
      <c r="D2445" t="s">
        <v>23</v>
      </c>
      <c r="E2445" t="s">
        <v>28</v>
      </c>
      <c r="F2445" t="s">
        <v>41</v>
      </c>
      <c r="G2445" t="s">
        <v>50</v>
      </c>
      <c r="H2445" t="s">
        <v>19</v>
      </c>
      <c r="I2445">
        <v>5</v>
      </c>
      <c r="J2445">
        <v>24</v>
      </c>
      <c r="K2445">
        <v>17.54</v>
      </c>
      <c r="L2445">
        <v>1</v>
      </c>
    </row>
    <row r="2446" spans="1:12">
      <c r="A2446" t="s">
        <v>7098</v>
      </c>
      <c r="B2446" t="s">
        <v>7099</v>
      </c>
      <c r="C2446" t="s">
        <v>7100</v>
      </c>
      <c r="D2446" t="s">
        <v>35</v>
      </c>
      <c r="E2446" t="s">
        <v>54</v>
      </c>
      <c r="F2446" t="s">
        <v>36</v>
      </c>
      <c r="G2446" t="s">
        <v>45</v>
      </c>
      <c r="H2446" t="s">
        <v>19</v>
      </c>
      <c r="I2446">
        <v>5</v>
      </c>
      <c r="J2446">
        <v>48</v>
      </c>
      <c r="K2446">
        <v>10.37</v>
      </c>
      <c r="L2446">
        <v>1</v>
      </c>
    </row>
    <row r="2447" spans="1:12">
      <c r="A2447" t="s">
        <v>7101</v>
      </c>
      <c r="B2447" t="s">
        <v>7102</v>
      </c>
      <c r="D2447" t="s">
        <v>35</v>
      </c>
      <c r="E2447" t="s">
        <v>54</v>
      </c>
      <c r="F2447" t="s">
        <v>41</v>
      </c>
      <c r="G2447" t="s">
        <v>45</v>
      </c>
      <c r="H2447" t="s">
        <v>46</v>
      </c>
      <c r="J2447">
        <v>48</v>
      </c>
    </row>
    <row r="2448" spans="1:12">
      <c r="A2448" t="s">
        <v>7103</v>
      </c>
      <c r="B2448" t="s">
        <v>7104</v>
      </c>
      <c r="C2448" t="s">
        <v>7105</v>
      </c>
      <c r="D2448" t="s">
        <v>158</v>
      </c>
      <c r="E2448" t="s">
        <v>54</v>
      </c>
      <c r="F2448" t="s">
        <v>60</v>
      </c>
      <c r="G2448" t="s">
        <v>30</v>
      </c>
      <c r="H2448" t="s">
        <v>31</v>
      </c>
      <c r="I2448">
        <v>5</v>
      </c>
      <c r="J2448">
        <v>4</v>
      </c>
      <c r="K2448">
        <v>2.21</v>
      </c>
      <c r="L2448">
        <v>1</v>
      </c>
    </row>
    <row r="2449" spans="1:12">
      <c r="A2449" t="s">
        <v>7106</v>
      </c>
      <c r="B2449" t="s">
        <v>7107</v>
      </c>
      <c r="C2449" t="s">
        <v>7108</v>
      </c>
      <c r="D2449" t="s">
        <v>15</v>
      </c>
      <c r="E2449" t="s">
        <v>24</v>
      </c>
      <c r="F2449" t="s">
        <v>17</v>
      </c>
      <c r="G2449" t="s">
        <v>151</v>
      </c>
      <c r="H2449" t="s">
        <v>31</v>
      </c>
      <c r="I2449">
        <v>5</v>
      </c>
      <c r="J2449">
        <v>8</v>
      </c>
      <c r="K2449">
        <v>5.59</v>
      </c>
      <c r="L2449">
        <v>1</v>
      </c>
    </row>
    <row r="2450" spans="1:12">
      <c r="A2450" t="s">
        <v>7109</v>
      </c>
      <c r="B2450" t="s">
        <v>7110</v>
      </c>
      <c r="C2450" t="s">
        <v>7111</v>
      </c>
      <c r="D2450" t="s">
        <v>23</v>
      </c>
      <c r="E2450" t="s">
        <v>28</v>
      </c>
      <c r="F2450" t="s">
        <v>29</v>
      </c>
      <c r="G2450" t="s">
        <v>73</v>
      </c>
      <c r="H2450" t="s">
        <v>31</v>
      </c>
      <c r="I2450">
        <v>5</v>
      </c>
      <c r="J2450">
        <v>24</v>
      </c>
      <c r="K2450">
        <v>17.420000000000002</v>
      </c>
      <c r="L2450">
        <v>1</v>
      </c>
    </row>
    <row r="2451" spans="1:12">
      <c r="A2451" t="s">
        <v>7112</v>
      </c>
      <c r="B2451" t="s">
        <v>7113</v>
      </c>
      <c r="C2451" t="s">
        <v>7114</v>
      </c>
      <c r="D2451" t="s">
        <v>15</v>
      </c>
      <c r="E2451" t="s">
        <v>16</v>
      </c>
      <c r="F2451" t="s">
        <v>60</v>
      </c>
      <c r="G2451" t="s">
        <v>105</v>
      </c>
      <c r="H2451" t="s">
        <v>19</v>
      </c>
      <c r="I2451">
        <v>5</v>
      </c>
      <c r="J2451">
        <v>8</v>
      </c>
      <c r="K2451">
        <v>1.96</v>
      </c>
      <c r="L2451">
        <v>1</v>
      </c>
    </row>
    <row r="2452" spans="1:12">
      <c r="A2452" t="s">
        <v>7115</v>
      </c>
      <c r="B2452" t="s">
        <v>7116</v>
      </c>
      <c r="C2452" t="s">
        <v>7117</v>
      </c>
      <c r="D2452" t="s">
        <v>35</v>
      </c>
      <c r="E2452" t="s">
        <v>59</v>
      </c>
      <c r="F2452" t="s">
        <v>29</v>
      </c>
      <c r="G2452" t="s">
        <v>151</v>
      </c>
      <c r="H2452" t="s">
        <v>31</v>
      </c>
      <c r="I2452">
        <v>5</v>
      </c>
      <c r="J2452">
        <v>48</v>
      </c>
      <c r="K2452">
        <v>26.01</v>
      </c>
      <c r="L2452">
        <v>1</v>
      </c>
    </row>
    <row r="2453" spans="1:12">
      <c r="A2453" t="s">
        <v>7118</v>
      </c>
      <c r="B2453" t="s">
        <v>7119</v>
      </c>
      <c r="C2453" t="s">
        <v>7120</v>
      </c>
      <c r="D2453" t="s">
        <v>15</v>
      </c>
      <c r="E2453" t="s">
        <v>28</v>
      </c>
      <c r="F2453" t="s">
        <v>17</v>
      </c>
      <c r="G2453" t="s">
        <v>73</v>
      </c>
      <c r="H2453" t="s">
        <v>19</v>
      </c>
      <c r="I2453">
        <v>5</v>
      </c>
      <c r="J2453">
        <v>8</v>
      </c>
      <c r="K2453">
        <v>3.95</v>
      </c>
      <c r="L2453">
        <v>1</v>
      </c>
    </row>
    <row r="2454" spans="1:12">
      <c r="A2454" t="s">
        <v>7121</v>
      </c>
      <c r="B2454" t="s">
        <v>7122</v>
      </c>
      <c r="C2454" t="s">
        <v>7123</v>
      </c>
      <c r="D2454" t="s">
        <v>35</v>
      </c>
      <c r="E2454" t="s">
        <v>16</v>
      </c>
      <c r="F2454" t="s">
        <v>36</v>
      </c>
      <c r="G2454" t="s">
        <v>73</v>
      </c>
      <c r="H2454" t="s">
        <v>19</v>
      </c>
      <c r="I2454">
        <v>5</v>
      </c>
      <c r="J2454">
        <v>48</v>
      </c>
      <c r="K2454">
        <v>30.88</v>
      </c>
      <c r="L2454">
        <v>1</v>
      </c>
    </row>
    <row r="2455" spans="1:12">
      <c r="A2455" t="s">
        <v>7124</v>
      </c>
      <c r="B2455" t="s">
        <v>7125</v>
      </c>
      <c r="C2455" t="s">
        <v>7126</v>
      </c>
      <c r="D2455" t="s">
        <v>35</v>
      </c>
      <c r="E2455" t="s">
        <v>28</v>
      </c>
      <c r="F2455" t="s">
        <v>29</v>
      </c>
      <c r="G2455" t="s">
        <v>55</v>
      </c>
      <c r="H2455" t="s">
        <v>19</v>
      </c>
      <c r="I2455">
        <v>2</v>
      </c>
      <c r="J2455">
        <v>48</v>
      </c>
      <c r="K2455">
        <v>74.989999999999995</v>
      </c>
      <c r="L2455">
        <v>0</v>
      </c>
    </row>
    <row r="2456" spans="1:12">
      <c r="A2456" t="s">
        <v>7127</v>
      </c>
      <c r="B2456" t="s">
        <v>7128</v>
      </c>
      <c r="C2456" t="s">
        <v>7129</v>
      </c>
      <c r="D2456" t="s">
        <v>23</v>
      </c>
      <c r="E2456" t="s">
        <v>16</v>
      </c>
      <c r="F2456" t="s">
        <v>17</v>
      </c>
      <c r="G2456" t="s">
        <v>37</v>
      </c>
      <c r="H2456" t="s">
        <v>19</v>
      </c>
      <c r="I2456">
        <v>2</v>
      </c>
      <c r="J2456">
        <v>24</v>
      </c>
      <c r="K2456">
        <v>49.68</v>
      </c>
      <c r="L2456">
        <v>0</v>
      </c>
    </row>
    <row r="2457" spans="1:12">
      <c r="A2457" t="s">
        <v>7130</v>
      </c>
      <c r="B2457" t="s">
        <v>7131</v>
      </c>
      <c r="C2457" t="s">
        <v>7132</v>
      </c>
      <c r="D2457" t="s">
        <v>15</v>
      </c>
      <c r="E2457" t="s">
        <v>24</v>
      </c>
      <c r="F2457" t="s">
        <v>17</v>
      </c>
      <c r="G2457" t="s">
        <v>151</v>
      </c>
      <c r="H2457" t="s">
        <v>19</v>
      </c>
      <c r="I2457">
        <v>4</v>
      </c>
      <c r="J2457">
        <v>8</v>
      </c>
      <c r="K2457">
        <v>3.12</v>
      </c>
      <c r="L2457">
        <v>1</v>
      </c>
    </row>
    <row r="2458" spans="1:12">
      <c r="A2458" t="s">
        <v>7133</v>
      </c>
      <c r="B2458" t="s">
        <v>7134</v>
      </c>
      <c r="D2458" t="s">
        <v>15</v>
      </c>
      <c r="E2458" t="s">
        <v>24</v>
      </c>
      <c r="F2458" t="s">
        <v>17</v>
      </c>
      <c r="G2458" t="s">
        <v>55</v>
      </c>
      <c r="H2458" t="s">
        <v>46</v>
      </c>
      <c r="J2458">
        <v>8</v>
      </c>
    </row>
    <row r="2459" spans="1:12">
      <c r="A2459" t="s">
        <v>7135</v>
      </c>
      <c r="B2459" t="s">
        <v>7136</v>
      </c>
      <c r="C2459" t="s">
        <v>7137</v>
      </c>
      <c r="D2459" t="s">
        <v>35</v>
      </c>
      <c r="E2459" t="s">
        <v>24</v>
      </c>
      <c r="F2459" t="s">
        <v>29</v>
      </c>
      <c r="G2459" t="s">
        <v>55</v>
      </c>
      <c r="H2459" t="s">
        <v>19</v>
      </c>
      <c r="I2459">
        <v>2</v>
      </c>
      <c r="J2459">
        <v>48</v>
      </c>
      <c r="K2459">
        <v>119.47</v>
      </c>
      <c r="L2459">
        <v>0</v>
      </c>
    </row>
    <row r="2460" spans="1:12">
      <c r="A2460" t="s">
        <v>7138</v>
      </c>
      <c r="B2460" t="s">
        <v>7139</v>
      </c>
      <c r="C2460" t="s">
        <v>7140</v>
      </c>
      <c r="D2460" t="s">
        <v>35</v>
      </c>
      <c r="E2460" t="s">
        <v>16</v>
      </c>
      <c r="F2460" t="s">
        <v>60</v>
      </c>
      <c r="G2460" t="s">
        <v>151</v>
      </c>
      <c r="H2460" t="s">
        <v>31</v>
      </c>
      <c r="I2460">
        <v>2</v>
      </c>
      <c r="J2460">
        <v>48</v>
      </c>
      <c r="K2460">
        <v>92.08</v>
      </c>
      <c r="L2460">
        <v>0</v>
      </c>
    </row>
    <row r="2461" spans="1:12">
      <c r="A2461" t="s">
        <v>7141</v>
      </c>
      <c r="B2461" t="s">
        <v>7142</v>
      </c>
      <c r="C2461" t="s">
        <v>7143</v>
      </c>
      <c r="D2461" t="s">
        <v>15</v>
      </c>
      <c r="E2461" t="s">
        <v>54</v>
      </c>
      <c r="F2461" t="s">
        <v>41</v>
      </c>
      <c r="G2461" t="s">
        <v>37</v>
      </c>
      <c r="H2461" t="s">
        <v>31</v>
      </c>
      <c r="I2461">
        <v>3</v>
      </c>
      <c r="J2461">
        <v>8</v>
      </c>
      <c r="K2461">
        <v>6.17</v>
      </c>
      <c r="L2461">
        <v>1</v>
      </c>
    </row>
    <row r="2462" spans="1:12">
      <c r="A2462" t="s">
        <v>7144</v>
      </c>
      <c r="B2462" t="s">
        <v>7145</v>
      </c>
      <c r="C2462" t="s">
        <v>7146</v>
      </c>
      <c r="D2462" t="s">
        <v>23</v>
      </c>
      <c r="E2462" t="s">
        <v>16</v>
      </c>
      <c r="F2462" t="s">
        <v>60</v>
      </c>
      <c r="G2462" t="s">
        <v>30</v>
      </c>
      <c r="H2462" t="s">
        <v>31</v>
      </c>
      <c r="I2462">
        <v>5</v>
      </c>
      <c r="J2462">
        <v>24</v>
      </c>
      <c r="K2462">
        <v>17.68</v>
      </c>
      <c r="L2462">
        <v>1</v>
      </c>
    </row>
    <row r="2463" spans="1:12">
      <c r="A2463" t="s">
        <v>7147</v>
      </c>
      <c r="B2463" t="s">
        <v>7148</v>
      </c>
      <c r="C2463" t="s">
        <v>7149</v>
      </c>
      <c r="D2463" t="s">
        <v>15</v>
      </c>
      <c r="E2463" t="s">
        <v>24</v>
      </c>
      <c r="F2463" t="s">
        <v>41</v>
      </c>
      <c r="G2463" t="s">
        <v>30</v>
      </c>
      <c r="H2463" t="s">
        <v>31</v>
      </c>
      <c r="I2463">
        <v>5</v>
      </c>
      <c r="J2463">
        <v>8</v>
      </c>
      <c r="K2463">
        <v>4.71</v>
      </c>
      <c r="L2463">
        <v>1</v>
      </c>
    </row>
    <row r="2464" spans="1:12">
      <c r="A2464" t="s">
        <v>7150</v>
      </c>
      <c r="B2464" t="s">
        <v>7151</v>
      </c>
      <c r="C2464" t="s">
        <v>7152</v>
      </c>
      <c r="D2464" t="s">
        <v>158</v>
      </c>
      <c r="E2464" t="s">
        <v>59</v>
      </c>
      <c r="F2464" t="s">
        <v>60</v>
      </c>
      <c r="G2464" t="s">
        <v>73</v>
      </c>
      <c r="H2464" t="s">
        <v>31</v>
      </c>
      <c r="I2464">
        <v>2</v>
      </c>
      <c r="J2464">
        <v>4</v>
      </c>
      <c r="K2464">
        <v>6.6</v>
      </c>
      <c r="L2464">
        <v>0</v>
      </c>
    </row>
    <row r="2465" spans="1:12">
      <c r="A2465" t="s">
        <v>7153</v>
      </c>
      <c r="B2465" t="s">
        <v>7154</v>
      </c>
      <c r="C2465" t="s">
        <v>7155</v>
      </c>
      <c r="D2465" t="s">
        <v>15</v>
      </c>
      <c r="E2465" t="s">
        <v>28</v>
      </c>
      <c r="F2465" t="s">
        <v>41</v>
      </c>
      <c r="G2465" t="s">
        <v>30</v>
      </c>
      <c r="H2465" t="s">
        <v>31</v>
      </c>
      <c r="I2465">
        <v>5</v>
      </c>
      <c r="J2465">
        <v>8</v>
      </c>
      <c r="K2465">
        <v>3.03</v>
      </c>
      <c r="L2465">
        <v>1</v>
      </c>
    </row>
    <row r="2466" spans="1:12">
      <c r="A2466" t="s">
        <v>7156</v>
      </c>
      <c r="B2466" t="s">
        <v>7157</v>
      </c>
      <c r="C2466" t="s">
        <v>7158</v>
      </c>
      <c r="D2466" t="s">
        <v>35</v>
      </c>
      <c r="E2466" t="s">
        <v>16</v>
      </c>
      <c r="F2466" t="s">
        <v>36</v>
      </c>
      <c r="G2466" t="s">
        <v>45</v>
      </c>
      <c r="H2466" t="s">
        <v>19</v>
      </c>
      <c r="I2466">
        <v>3</v>
      </c>
      <c r="J2466">
        <v>48</v>
      </c>
      <c r="K2466">
        <v>36</v>
      </c>
      <c r="L2466">
        <v>1</v>
      </c>
    </row>
    <row r="2467" spans="1:12">
      <c r="A2467" t="s">
        <v>7159</v>
      </c>
      <c r="B2467" t="s">
        <v>7160</v>
      </c>
      <c r="C2467" t="s">
        <v>7161</v>
      </c>
      <c r="D2467" t="s">
        <v>23</v>
      </c>
      <c r="E2467" t="s">
        <v>59</v>
      </c>
      <c r="F2467" t="s">
        <v>60</v>
      </c>
      <c r="G2467" t="s">
        <v>50</v>
      </c>
      <c r="H2467" t="s">
        <v>19</v>
      </c>
      <c r="I2467">
        <v>4</v>
      </c>
      <c r="J2467">
        <v>24</v>
      </c>
      <c r="K2467">
        <v>5.25</v>
      </c>
      <c r="L2467">
        <v>1</v>
      </c>
    </row>
    <row r="2468" spans="1:12">
      <c r="A2468" t="s">
        <v>7162</v>
      </c>
      <c r="B2468" t="s">
        <v>7163</v>
      </c>
      <c r="C2468" t="s">
        <v>7164</v>
      </c>
      <c r="D2468" t="s">
        <v>23</v>
      </c>
      <c r="E2468" t="s">
        <v>28</v>
      </c>
      <c r="F2468" t="s">
        <v>60</v>
      </c>
      <c r="G2468" t="s">
        <v>37</v>
      </c>
      <c r="H2468" t="s">
        <v>31</v>
      </c>
      <c r="I2468">
        <v>5</v>
      </c>
      <c r="J2468">
        <v>24</v>
      </c>
      <c r="K2468">
        <v>7.34</v>
      </c>
      <c r="L2468">
        <v>1</v>
      </c>
    </row>
    <row r="2469" spans="1:12">
      <c r="A2469" t="s">
        <v>7165</v>
      </c>
      <c r="B2469" t="s">
        <v>7166</v>
      </c>
      <c r="C2469" t="s">
        <v>7167</v>
      </c>
      <c r="D2469" t="s">
        <v>158</v>
      </c>
      <c r="E2469" t="s">
        <v>28</v>
      </c>
      <c r="F2469" t="s">
        <v>29</v>
      </c>
      <c r="G2469" t="s">
        <v>37</v>
      </c>
      <c r="H2469" t="s">
        <v>19</v>
      </c>
      <c r="I2469">
        <v>5</v>
      </c>
      <c r="J2469">
        <v>4</v>
      </c>
      <c r="K2469">
        <v>1.39</v>
      </c>
      <c r="L2469">
        <v>1</v>
      </c>
    </row>
    <row r="2470" spans="1:12">
      <c r="A2470" t="s">
        <v>7168</v>
      </c>
      <c r="B2470" t="s">
        <v>7169</v>
      </c>
      <c r="C2470" t="s">
        <v>7170</v>
      </c>
      <c r="D2470" t="s">
        <v>23</v>
      </c>
      <c r="E2470" t="s">
        <v>28</v>
      </c>
      <c r="F2470" t="s">
        <v>41</v>
      </c>
      <c r="G2470" t="s">
        <v>18</v>
      </c>
      <c r="H2470" t="s">
        <v>31</v>
      </c>
      <c r="I2470">
        <v>5</v>
      </c>
      <c r="J2470">
        <v>24</v>
      </c>
      <c r="K2470">
        <v>18</v>
      </c>
      <c r="L2470">
        <v>1</v>
      </c>
    </row>
    <row r="2471" spans="1:12">
      <c r="A2471" t="s">
        <v>7171</v>
      </c>
      <c r="B2471" t="s">
        <v>7172</v>
      </c>
      <c r="C2471" t="s">
        <v>7173</v>
      </c>
      <c r="D2471" t="s">
        <v>15</v>
      </c>
      <c r="E2471" t="s">
        <v>28</v>
      </c>
      <c r="F2471" t="s">
        <v>41</v>
      </c>
      <c r="G2471" t="s">
        <v>151</v>
      </c>
      <c r="H2471" t="s">
        <v>31</v>
      </c>
      <c r="I2471">
        <v>5</v>
      </c>
      <c r="J2471">
        <v>8</v>
      </c>
      <c r="K2471">
        <v>6.5</v>
      </c>
      <c r="L2471">
        <v>1</v>
      </c>
    </row>
    <row r="2472" spans="1:12">
      <c r="A2472" t="s">
        <v>7174</v>
      </c>
      <c r="B2472" t="s">
        <v>7175</v>
      </c>
      <c r="C2472" t="s">
        <v>7176</v>
      </c>
      <c r="D2472" t="s">
        <v>23</v>
      </c>
      <c r="E2472" t="s">
        <v>28</v>
      </c>
      <c r="F2472" t="s">
        <v>17</v>
      </c>
      <c r="G2472" t="s">
        <v>77</v>
      </c>
      <c r="H2472" t="s">
        <v>31</v>
      </c>
      <c r="I2472">
        <v>2</v>
      </c>
      <c r="J2472">
        <v>24</v>
      </c>
      <c r="K2472">
        <v>55.63</v>
      </c>
      <c r="L2472">
        <v>0</v>
      </c>
    </row>
    <row r="2473" spans="1:12">
      <c r="A2473" t="s">
        <v>7177</v>
      </c>
      <c r="B2473" t="s">
        <v>7178</v>
      </c>
      <c r="C2473" t="s">
        <v>7179</v>
      </c>
      <c r="D2473" t="s">
        <v>35</v>
      </c>
      <c r="E2473" t="s">
        <v>28</v>
      </c>
      <c r="F2473" t="s">
        <v>60</v>
      </c>
      <c r="G2473" t="s">
        <v>42</v>
      </c>
      <c r="H2473" t="s">
        <v>19</v>
      </c>
      <c r="I2473">
        <v>5</v>
      </c>
      <c r="J2473">
        <v>48</v>
      </c>
      <c r="K2473">
        <v>7.6</v>
      </c>
      <c r="L2473">
        <v>1</v>
      </c>
    </row>
    <row r="2474" spans="1:12">
      <c r="A2474" t="s">
        <v>7180</v>
      </c>
      <c r="B2474" t="s">
        <v>7181</v>
      </c>
      <c r="C2474" t="s">
        <v>7182</v>
      </c>
      <c r="D2474" t="s">
        <v>158</v>
      </c>
      <c r="E2474" t="s">
        <v>16</v>
      </c>
      <c r="F2474" t="s">
        <v>60</v>
      </c>
      <c r="G2474" t="s">
        <v>105</v>
      </c>
      <c r="H2474" t="s">
        <v>19</v>
      </c>
      <c r="I2474">
        <v>1</v>
      </c>
      <c r="J2474">
        <v>4</v>
      </c>
      <c r="K2474">
        <v>9.15</v>
      </c>
      <c r="L2474">
        <v>0</v>
      </c>
    </row>
    <row r="2475" spans="1:12">
      <c r="A2475" t="s">
        <v>7183</v>
      </c>
      <c r="B2475" t="s">
        <v>7184</v>
      </c>
      <c r="C2475" t="s">
        <v>7185</v>
      </c>
      <c r="D2475" t="s">
        <v>35</v>
      </c>
      <c r="E2475" t="s">
        <v>54</v>
      </c>
      <c r="F2475" t="s">
        <v>29</v>
      </c>
      <c r="G2475" t="s">
        <v>37</v>
      </c>
      <c r="H2475" t="s">
        <v>31</v>
      </c>
      <c r="I2475">
        <v>4</v>
      </c>
      <c r="J2475">
        <v>48</v>
      </c>
      <c r="K2475">
        <v>20.03</v>
      </c>
      <c r="L2475">
        <v>1</v>
      </c>
    </row>
    <row r="2476" spans="1:12">
      <c r="A2476" t="s">
        <v>7186</v>
      </c>
      <c r="B2476" t="s">
        <v>7187</v>
      </c>
      <c r="D2476" t="s">
        <v>23</v>
      </c>
      <c r="E2476" t="s">
        <v>28</v>
      </c>
      <c r="F2476" t="s">
        <v>17</v>
      </c>
      <c r="G2476" t="s">
        <v>50</v>
      </c>
      <c r="H2476" t="s">
        <v>46</v>
      </c>
      <c r="J2476">
        <v>24</v>
      </c>
    </row>
    <row r="2477" spans="1:12">
      <c r="A2477" t="s">
        <v>7188</v>
      </c>
      <c r="B2477" t="s">
        <v>7189</v>
      </c>
      <c r="C2477" t="s">
        <v>7190</v>
      </c>
      <c r="D2477" t="s">
        <v>15</v>
      </c>
      <c r="E2477" t="s">
        <v>28</v>
      </c>
      <c r="F2477" t="s">
        <v>17</v>
      </c>
      <c r="G2477" t="s">
        <v>37</v>
      </c>
      <c r="H2477" t="s">
        <v>19</v>
      </c>
      <c r="I2477">
        <v>1</v>
      </c>
      <c r="J2477">
        <v>8</v>
      </c>
      <c r="K2477">
        <v>22.01</v>
      </c>
      <c r="L2477">
        <v>0</v>
      </c>
    </row>
    <row r="2478" spans="1:12">
      <c r="A2478" t="s">
        <v>7191</v>
      </c>
      <c r="B2478" t="s">
        <v>7192</v>
      </c>
      <c r="C2478" t="s">
        <v>7193</v>
      </c>
      <c r="D2478" t="s">
        <v>23</v>
      </c>
      <c r="E2478" t="s">
        <v>28</v>
      </c>
      <c r="F2478" t="s">
        <v>60</v>
      </c>
      <c r="G2478" t="s">
        <v>55</v>
      </c>
      <c r="H2478" t="s">
        <v>19</v>
      </c>
      <c r="I2478">
        <v>3</v>
      </c>
      <c r="J2478">
        <v>24</v>
      </c>
      <c r="K2478">
        <v>6.71</v>
      </c>
      <c r="L2478">
        <v>1</v>
      </c>
    </row>
    <row r="2479" spans="1:12">
      <c r="A2479" t="s">
        <v>7194</v>
      </c>
      <c r="B2479" t="s">
        <v>7195</v>
      </c>
      <c r="C2479" t="s">
        <v>7196</v>
      </c>
      <c r="D2479" t="s">
        <v>23</v>
      </c>
      <c r="E2479" t="s">
        <v>24</v>
      </c>
      <c r="F2479" t="s">
        <v>41</v>
      </c>
      <c r="G2479" t="s">
        <v>37</v>
      </c>
      <c r="H2479" t="s">
        <v>19</v>
      </c>
      <c r="I2479">
        <v>5</v>
      </c>
      <c r="J2479">
        <v>24</v>
      </c>
      <c r="K2479">
        <v>21.12</v>
      </c>
      <c r="L2479">
        <v>1</v>
      </c>
    </row>
    <row r="2480" spans="1:12">
      <c r="A2480" t="s">
        <v>7197</v>
      </c>
      <c r="B2480" t="s">
        <v>7198</v>
      </c>
      <c r="C2480" t="s">
        <v>7199</v>
      </c>
      <c r="D2480" t="s">
        <v>35</v>
      </c>
      <c r="E2480" t="s">
        <v>59</v>
      </c>
      <c r="F2480" t="s">
        <v>60</v>
      </c>
      <c r="G2480" t="s">
        <v>73</v>
      </c>
      <c r="H2480" t="s">
        <v>19</v>
      </c>
      <c r="I2480">
        <v>5</v>
      </c>
      <c r="J2480">
        <v>48</v>
      </c>
      <c r="K2480">
        <v>39.81</v>
      </c>
      <c r="L2480">
        <v>1</v>
      </c>
    </row>
    <row r="2481" spans="1:12">
      <c r="A2481" t="s">
        <v>7200</v>
      </c>
      <c r="B2481" t="s">
        <v>7201</v>
      </c>
      <c r="C2481" t="s">
        <v>7202</v>
      </c>
      <c r="D2481" t="s">
        <v>23</v>
      </c>
      <c r="E2481" t="s">
        <v>28</v>
      </c>
      <c r="F2481" t="s">
        <v>29</v>
      </c>
      <c r="G2481" t="s">
        <v>172</v>
      </c>
      <c r="H2481" t="s">
        <v>19</v>
      </c>
      <c r="I2481">
        <v>5</v>
      </c>
      <c r="J2481">
        <v>24</v>
      </c>
      <c r="K2481">
        <v>19.36</v>
      </c>
      <c r="L2481">
        <v>1</v>
      </c>
    </row>
    <row r="2482" spans="1:12">
      <c r="A2482" t="s">
        <v>7203</v>
      </c>
      <c r="B2482" t="s">
        <v>7204</v>
      </c>
      <c r="C2482" t="s">
        <v>7205</v>
      </c>
      <c r="D2482" t="s">
        <v>23</v>
      </c>
      <c r="E2482" t="s">
        <v>24</v>
      </c>
      <c r="F2482" t="s">
        <v>41</v>
      </c>
      <c r="G2482" t="s">
        <v>42</v>
      </c>
      <c r="H2482" t="s">
        <v>19</v>
      </c>
      <c r="I2482">
        <v>4</v>
      </c>
      <c r="J2482">
        <v>24</v>
      </c>
      <c r="K2482">
        <v>26.2</v>
      </c>
      <c r="L2482">
        <v>0</v>
      </c>
    </row>
    <row r="2483" spans="1:12">
      <c r="A2483" t="s">
        <v>7206</v>
      </c>
      <c r="B2483" t="s">
        <v>7207</v>
      </c>
      <c r="C2483" t="s">
        <v>7208</v>
      </c>
      <c r="D2483" t="s">
        <v>23</v>
      </c>
      <c r="E2483" t="s">
        <v>54</v>
      </c>
      <c r="F2483" t="s">
        <v>36</v>
      </c>
      <c r="G2483" t="s">
        <v>42</v>
      </c>
      <c r="H2483" t="s">
        <v>31</v>
      </c>
      <c r="I2483">
        <v>3</v>
      </c>
      <c r="J2483">
        <v>24</v>
      </c>
      <c r="K2483">
        <v>63.61</v>
      </c>
      <c r="L2483">
        <v>0</v>
      </c>
    </row>
    <row r="2484" spans="1:12">
      <c r="A2484" t="s">
        <v>7209</v>
      </c>
      <c r="B2484" t="s">
        <v>7210</v>
      </c>
      <c r="C2484" t="s">
        <v>7211</v>
      </c>
      <c r="D2484" t="s">
        <v>35</v>
      </c>
      <c r="E2484" t="s">
        <v>28</v>
      </c>
      <c r="F2484" t="s">
        <v>17</v>
      </c>
      <c r="G2484" t="s">
        <v>55</v>
      </c>
      <c r="H2484" t="s">
        <v>19</v>
      </c>
      <c r="I2484">
        <v>4</v>
      </c>
      <c r="J2484">
        <v>48</v>
      </c>
      <c r="K2484">
        <v>7.45</v>
      </c>
      <c r="L2484">
        <v>1</v>
      </c>
    </row>
    <row r="2485" spans="1:12">
      <c r="A2485" t="s">
        <v>7212</v>
      </c>
      <c r="B2485" t="s">
        <v>7213</v>
      </c>
      <c r="C2485" t="s">
        <v>7214</v>
      </c>
      <c r="D2485" t="s">
        <v>23</v>
      </c>
      <c r="E2485" t="s">
        <v>16</v>
      </c>
      <c r="F2485" t="s">
        <v>29</v>
      </c>
      <c r="G2485" t="s">
        <v>77</v>
      </c>
      <c r="H2485" t="s">
        <v>19</v>
      </c>
      <c r="I2485">
        <v>5</v>
      </c>
      <c r="J2485">
        <v>24</v>
      </c>
      <c r="K2485">
        <v>10.66</v>
      </c>
      <c r="L2485">
        <v>1</v>
      </c>
    </row>
    <row r="2486" spans="1:12">
      <c r="A2486" t="s">
        <v>7215</v>
      </c>
      <c r="B2486" t="s">
        <v>7216</v>
      </c>
      <c r="C2486" t="s">
        <v>7217</v>
      </c>
      <c r="D2486" t="s">
        <v>158</v>
      </c>
      <c r="E2486" t="s">
        <v>28</v>
      </c>
      <c r="F2486" t="s">
        <v>17</v>
      </c>
      <c r="G2486" t="s">
        <v>105</v>
      </c>
      <c r="H2486" t="s">
        <v>19</v>
      </c>
      <c r="I2486">
        <v>5</v>
      </c>
      <c r="J2486">
        <v>4</v>
      </c>
      <c r="K2486">
        <v>3.5</v>
      </c>
      <c r="L2486">
        <v>1</v>
      </c>
    </row>
    <row r="2487" spans="1:12">
      <c r="A2487" t="s">
        <v>7218</v>
      </c>
      <c r="B2487" t="s">
        <v>7219</v>
      </c>
      <c r="C2487" t="s">
        <v>7220</v>
      </c>
      <c r="D2487" t="s">
        <v>15</v>
      </c>
      <c r="E2487" t="s">
        <v>16</v>
      </c>
      <c r="F2487" t="s">
        <v>41</v>
      </c>
      <c r="G2487" t="s">
        <v>30</v>
      </c>
      <c r="H2487" t="s">
        <v>19</v>
      </c>
      <c r="I2487">
        <v>4</v>
      </c>
      <c r="J2487">
        <v>8</v>
      </c>
      <c r="K2487">
        <v>1.71</v>
      </c>
      <c r="L2487">
        <v>1</v>
      </c>
    </row>
    <row r="2488" spans="1:12">
      <c r="A2488" t="s">
        <v>7221</v>
      </c>
      <c r="B2488" t="s">
        <v>7222</v>
      </c>
      <c r="C2488" t="s">
        <v>7223</v>
      </c>
      <c r="D2488" t="s">
        <v>35</v>
      </c>
      <c r="E2488" t="s">
        <v>59</v>
      </c>
      <c r="F2488" t="s">
        <v>36</v>
      </c>
      <c r="G2488" t="s">
        <v>151</v>
      </c>
      <c r="H2488" t="s">
        <v>31</v>
      </c>
      <c r="I2488">
        <v>1</v>
      </c>
      <c r="J2488">
        <v>48</v>
      </c>
      <c r="K2488">
        <v>72.180000000000007</v>
      </c>
      <c r="L2488">
        <v>0</v>
      </c>
    </row>
    <row r="2489" spans="1:12">
      <c r="A2489" t="s">
        <v>7224</v>
      </c>
      <c r="B2489" t="s">
        <v>7225</v>
      </c>
      <c r="C2489" t="s">
        <v>7226</v>
      </c>
      <c r="D2489" t="s">
        <v>23</v>
      </c>
      <c r="E2489" t="s">
        <v>28</v>
      </c>
      <c r="F2489" t="s">
        <v>41</v>
      </c>
      <c r="G2489" t="s">
        <v>73</v>
      </c>
      <c r="H2489" t="s">
        <v>19</v>
      </c>
      <c r="I2489">
        <v>3</v>
      </c>
      <c r="J2489">
        <v>24</v>
      </c>
      <c r="K2489">
        <v>3.75</v>
      </c>
      <c r="L2489">
        <v>1</v>
      </c>
    </row>
    <row r="2490" spans="1:12">
      <c r="A2490" t="s">
        <v>7227</v>
      </c>
      <c r="B2490" t="s">
        <v>7228</v>
      </c>
      <c r="C2490" t="s">
        <v>7229</v>
      </c>
      <c r="D2490" t="s">
        <v>23</v>
      </c>
      <c r="E2490" t="s">
        <v>54</v>
      </c>
      <c r="F2490" t="s">
        <v>29</v>
      </c>
      <c r="G2490" t="s">
        <v>42</v>
      </c>
      <c r="H2490" t="s">
        <v>31</v>
      </c>
      <c r="I2490">
        <v>5</v>
      </c>
      <c r="J2490">
        <v>24</v>
      </c>
      <c r="K2490">
        <v>9.9700000000000006</v>
      </c>
      <c r="L2490">
        <v>1</v>
      </c>
    </row>
    <row r="2491" spans="1:12">
      <c r="A2491" t="s">
        <v>7230</v>
      </c>
      <c r="B2491" t="s">
        <v>7231</v>
      </c>
      <c r="C2491" t="s">
        <v>7232</v>
      </c>
      <c r="D2491" t="s">
        <v>23</v>
      </c>
      <c r="E2491" t="s">
        <v>24</v>
      </c>
      <c r="F2491" t="s">
        <v>60</v>
      </c>
      <c r="G2491" t="s">
        <v>50</v>
      </c>
      <c r="H2491" t="s">
        <v>31</v>
      </c>
      <c r="I2491">
        <v>5</v>
      </c>
      <c r="J2491">
        <v>24</v>
      </c>
      <c r="K2491">
        <v>21.88</v>
      </c>
      <c r="L2491">
        <v>1</v>
      </c>
    </row>
    <row r="2492" spans="1:12">
      <c r="A2492" t="s">
        <v>7233</v>
      </c>
      <c r="B2492" t="s">
        <v>7234</v>
      </c>
      <c r="C2492" t="s">
        <v>7235</v>
      </c>
      <c r="D2492" t="s">
        <v>23</v>
      </c>
      <c r="E2492" t="s">
        <v>28</v>
      </c>
      <c r="F2492" t="s">
        <v>41</v>
      </c>
      <c r="G2492" t="s">
        <v>30</v>
      </c>
      <c r="H2492" t="s">
        <v>31</v>
      </c>
      <c r="I2492">
        <v>5</v>
      </c>
      <c r="J2492">
        <v>24</v>
      </c>
      <c r="K2492">
        <v>12.08</v>
      </c>
      <c r="L2492">
        <v>1</v>
      </c>
    </row>
    <row r="2493" spans="1:12">
      <c r="A2493" t="s">
        <v>7236</v>
      </c>
      <c r="B2493" t="s">
        <v>7237</v>
      </c>
      <c r="C2493" t="s">
        <v>7238</v>
      </c>
      <c r="D2493" t="s">
        <v>35</v>
      </c>
      <c r="E2493" t="s">
        <v>54</v>
      </c>
      <c r="F2493" t="s">
        <v>17</v>
      </c>
      <c r="G2493" t="s">
        <v>73</v>
      </c>
      <c r="H2493" t="s">
        <v>19</v>
      </c>
      <c r="I2493">
        <v>4</v>
      </c>
      <c r="J2493">
        <v>48</v>
      </c>
      <c r="K2493">
        <v>25.04</v>
      </c>
      <c r="L2493">
        <v>1</v>
      </c>
    </row>
    <row r="2494" spans="1:12">
      <c r="A2494" t="s">
        <v>7239</v>
      </c>
      <c r="B2494" t="s">
        <v>7240</v>
      </c>
      <c r="C2494" t="s">
        <v>7241</v>
      </c>
      <c r="D2494" t="s">
        <v>15</v>
      </c>
      <c r="E2494" t="s">
        <v>24</v>
      </c>
      <c r="F2494" t="s">
        <v>17</v>
      </c>
      <c r="G2494" t="s">
        <v>73</v>
      </c>
      <c r="H2494" t="s">
        <v>19</v>
      </c>
      <c r="I2494">
        <v>3</v>
      </c>
      <c r="J2494">
        <v>8</v>
      </c>
      <c r="K2494">
        <v>6.43</v>
      </c>
      <c r="L2494">
        <v>1</v>
      </c>
    </row>
    <row r="2495" spans="1:12">
      <c r="A2495" t="s">
        <v>7242</v>
      </c>
      <c r="B2495" t="s">
        <v>7243</v>
      </c>
      <c r="C2495" t="s">
        <v>7244</v>
      </c>
      <c r="D2495" t="s">
        <v>15</v>
      </c>
      <c r="E2495" t="s">
        <v>28</v>
      </c>
      <c r="F2495" t="s">
        <v>36</v>
      </c>
      <c r="G2495" t="s">
        <v>105</v>
      </c>
      <c r="H2495" t="s">
        <v>19</v>
      </c>
      <c r="I2495">
        <v>5</v>
      </c>
      <c r="J2495">
        <v>8</v>
      </c>
      <c r="K2495">
        <v>0.88</v>
      </c>
      <c r="L2495">
        <v>1</v>
      </c>
    </row>
    <row r="2496" spans="1:12">
      <c r="A2496" t="s">
        <v>7245</v>
      </c>
      <c r="B2496" t="s">
        <v>7246</v>
      </c>
      <c r="C2496" t="s">
        <v>7247</v>
      </c>
      <c r="D2496" t="s">
        <v>23</v>
      </c>
      <c r="E2496" t="s">
        <v>24</v>
      </c>
      <c r="F2496" t="s">
        <v>17</v>
      </c>
      <c r="G2496" t="s">
        <v>30</v>
      </c>
      <c r="H2496" t="s">
        <v>19</v>
      </c>
      <c r="I2496">
        <v>4</v>
      </c>
      <c r="J2496">
        <v>24</v>
      </c>
      <c r="K2496">
        <v>18.57</v>
      </c>
      <c r="L2496">
        <v>1</v>
      </c>
    </row>
    <row r="2497" spans="1:12">
      <c r="A2497" t="s">
        <v>7248</v>
      </c>
      <c r="B2497" t="s">
        <v>7249</v>
      </c>
      <c r="C2497" t="s">
        <v>7250</v>
      </c>
      <c r="D2497" t="s">
        <v>23</v>
      </c>
      <c r="E2497" t="s">
        <v>24</v>
      </c>
      <c r="F2497" t="s">
        <v>60</v>
      </c>
      <c r="G2497" t="s">
        <v>172</v>
      </c>
      <c r="H2497" t="s">
        <v>19</v>
      </c>
      <c r="I2497">
        <v>1</v>
      </c>
      <c r="J2497">
        <v>24</v>
      </c>
      <c r="K2497">
        <v>52.5</v>
      </c>
      <c r="L2497">
        <v>0</v>
      </c>
    </row>
    <row r="2498" spans="1:12">
      <c r="A2498" t="s">
        <v>7251</v>
      </c>
      <c r="B2498" t="s">
        <v>7252</v>
      </c>
      <c r="C2498" t="s">
        <v>7253</v>
      </c>
      <c r="D2498" t="s">
        <v>23</v>
      </c>
      <c r="E2498" t="s">
        <v>28</v>
      </c>
      <c r="F2498" t="s">
        <v>36</v>
      </c>
      <c r="G2498" t="s">
        <v>42</v>
      </c>
      <c r="H2498" t="s">
        <v>19</v>
      </c>
      <c r="I2498">
        <v>5</v>
      </c>
      <c r="J2498">
        <v>24</v>
      </c>
      <c r="K2498">
        <v>21.89</v>
      </c>
      <c r="L2498">
        <v>1</v>
      </c>
    </row>
    <row r="2499" spans="1:12">
      <c r="A2499" t="s">
        <v>7254</v>
      </c>
      <c r="B2499" t="s">
        <v>7255</v>
      </c>
      <c r="C2499" t="s">
        <v>7256</v>
      </c>
      <c r="D2499" t="s">
        <v>158</v>
      </c>
      <c r="E2499" t="s">
        <v>28</v>
      </c>
      <c r="F2499" t="s">
        <v>60</v>
      </c>
      <c r="G2499" t="s">
        <v>50</v>
      </c>
      <c r="H2499" t="s">
        <v>19</v>
      </c>
      <c r="I2499">
        <v>4</v>
      </c>
      <c r="J2499">
        <v>4</v>
      </c>
      <c r="K2499">
        <v>0.52</v>
      </c>
      <c r="L2499">
        <v>1</v>
      </c>
    </row>
    <row r="2500" spans="1:12">
      <c r="A2500" t="s">
        <v>7257</v>
      </c>
      <c r="B2500" t="s">
        <v>7258</v>
      </c>
      <c r="C2500" t="s">
        <v>7259</v>
      </c>
      <c r="D2500" t="s">
        <v>158</v>
      </c>
      <c r="E2500" t="s">
        <v>28</v>
      </c>
      <c r="F2500" t="s">
        <v>41</v>
      </c>
      <c r="G2500" t="s">
        <v>55</v>
      </c>
      <c r="H2500" t="s">
        <v>19</v>
      </c>
      <c r="I2500">
        <v>5</v>
      </c>
      <c r="J2500">
        <v>4</v>
      </c>
      <c r="K2500">
        <v>3.41</v>
      </c>
      <c r="L2500">
        <v>1</v>
      </c>
    </row>
    <row r="2501" spans="1:12">
      <c r="A2501" t="s">
        <v>7260</v>
      </c>
      <c r="B2501" t="s">
        <v>7261</v>
      </c>
      <c r="C2501" t="s">
        <v>7262</v>
      </c>
      <c r="D2501" t="s">
        <v>15</v>
      </c>
      <c r="E2501" t="s">
        <v>24</v>
      </c>
      <c r="F2501" t="s">
        <v>29</v>
      </c>
      <c r="G2501" t="s">
        <v>172</v>
      </c>
      <c r="H2501" t="s">
        <v>31</v>
      </c>
      <c r="I2501">
        <v>4</v>
      </c>
      <c r="J2501">
        <v>8</v>
      </c>
      <c r="K2501">
        <v>2.7</v>
      </c>
      <c r="L2501">
        <v>1</v>
      </c>
    </row>
    <row r="2502" spans="1:12">
      <c r="A2502" t="s">
        <v>7263</v>
      </c>
      <c r="B2502" t="s">
        <v>7264</v>
      </c>
      <c r="C2502" t="s">
        <v>7265</v>
      </c>
      <c r="D2502" t="s">
        <v>35</v>
      </c>
      <c r="E2502" t="s">
        <v>24</v>
      </c>
      <c r="F2502" t="s">
        <v>17</v>
      </c>
      <c r="G2502" t="s">
        <v>77</v>
      </c>
      <c r="H2502" t="s">
        <v>31</v>
      </c>
      <c r="I2502">
        <v>1</v>
      </c>
      <c r="J2502">
        <v>48</v>
      </c>
      <c r="K2502">
        <v>94.76</v>
      </c>
      <c r="L2502">
        <v>0</v>
      </c>
    </row>
    <row r="2503" spans="1:12">
      <c r="A2503" t="s">
        <v>7266</v>
      </c>
      <c r="B2503" t="s">
        <v>7267</v>
      </c>
      <c r="C2503" t="s">
        <v>7268</v>
      </c>
      <c r="D2503" t="s">
        <v>15</v>
      </c>
      <c r="E2503" t="s">
        <v>28</v>
      </c>
      <c r="F2503" t="s">
        <v>17</v>
      </c>
      <c r="G2503" t="s">
        <v>18</v>
      </c>
      <c r="H2503" t="s">
        <v>31</v>
      </c>
      <c r="I2503">
        <v>5</v>
      </c>
      <c r="J2503">
        <v>8</v>
      </c>
      <c r="K2503">
        <v>6.15</v>
      </c>
      <c r="L2503">
        <v>1</v>
      </c>
    </row>
    <row r="2504" spans="1:12">
      <c r="A2504" t="s">
        <v>7269</v>
      </c>
      <c r="B2504" t="s">
        <v>7270</v>
      </c>
      <c r="C2504" t="s">
        <v>7271</v>
      </c>
      <c r="D2504" t="s">
        <v>23</v>
      </c>
      <c r="E2504" t="s">
        <v>24</v>
      </c>
      <c r="F2504" t="s">
        <v>41</v>
      </c>
      <c r="G2504" t="s">
        <v>30</v>
      </c>
      <c r="H2504" t="s">
        <v>19</v>
      </c>
      <c r="I2504">
        <v>4</v>
      </c>
      <c r="J2504">
        <v>24</v>
      </c>
      <c r="K2504">
        <v>20.99</v>
      </c>
      <c r="L2504">
        <v>1</v>
      </c>
    </row>
    <row r="2505" spans="1:12">
      <c r="A2505" t="s">
        <v>7272</v>
      </c>
      <c r="B2505" t="s">
        <v>7273</v>
      </c>
      <c r="C2505" t="s">
        <v>7274</v>
      </c>
      <c r="D2505" t="s">
        <v>15</v>
      </c>
      <c r="E2505" t="s">
        <v>16</v>
      </c>
      <c r="F2505" t="s">
        <v>36</v>
      </c>
      <c r="G2505" t="s">
        <v>55</v>
      </c>
      <c r="H2505" t="s">
        <v>19</v>
      </c>
      <c r="I2505">
        <v>5</v>
      </c>
      <c r="J2505">
        <v>8</v>
      </c>
      <c r="K2505">
        <v>3.83</v>
      </c>
      <c r="L2505">
        <v>1</v>
      </c>
    </row>
    <row r="2506" spans="1:12">
      <c r="A2506" t="s">
        <v>7275</v>
      </c>
      <c r="B2506" t="s">
        <v>7276</v>
      </c>
      <c r="C2506" t="s">
        <v>7277</v>
      </c>
      <c r="D2506" t="s">
        <v>15</v>
      </c>
      <c r="E2506" t="s">
        <v>54</v>
      </c>
      <c r="F2506" t="s">
        <v>17</v>
      </c>
      <c r="G2506" t="s">
        <v>151</v>
      </c>
      <c r="H2506" t="s">
        <v>19</v>
      </c>
      <c r="I2506">
        <v>3</v>
      </c>
      <c r="J2506">
        <v>8</v>
      </c>
      <c r="K2506">
        <v>3.2</v>
      </c>
      <c r="L2506">
        <v>1</v>
      </c>
    </row>
    <row r="2507" spans="1:12">
      <c r="A2507" t="s">
        <v>7278</v>
      </c>
      <c r="B2507" t="s">
        <v>7279</v>
      </c>
      <c r="C2507" t="s">
        <v>7280</v>
      </c>
      <c r="D2507" t="s">
        <v>15</v>
      </c>
      <c r="E2507" t="s">
        <v>28</v>
      </c>
      <c r="F2507" t="s">
        <v>41</v>
      </c>
      <c r="G2507" t="s">
        <v>55</v>
      </c>
      <c r="H2507" t="s">
        <v>31</v>
      </c>
      <c r="I2507">
        <v>5</v>
      </c>
      <c r="J2507">
        <v>8</v>
      </c>
      <c r="K2507">
        <v>0.96</v>
      </c>
      <c r="L2507">
        <v>1</v>
      </c>
    </row>
    <row r="2508" spans="1:12">
      <c r="A2508" t="s">
        <v>7281</v>
      </c>
      <c r="B2508" t="s">
        <v>7282</v>
      </c>
      <c r="C2508" t="s">
        <v>7283</v>
      </c>
      <c r="D2508" t="s">
        <v>15</v>
      </c>
      <c r="E2508" t="s">
        <v>28</v>
      </c>
      <c r="F2508" t="s">
        <v>29</v>
      </c>
      <c r="G2508" t="s">
        <v>55</v>
      </c>
      <c r="H2508" t="s">
        <v>19</v>
      </c>
      <c r="I2508">
        <v>4</v>
      </c>
      <c r="J2508">
        <v>8</v>
      </c>
      <c r="K2508">
        <v>1.05</v>
      </c>
      <c r="L2508">
        <v>1</v>
      </c>
    </row>
    <row r="2509" spans="1:12">
      <c r="A2509" t="s">
        <v>7284</v>
      </c>
      <c r="B2509" t="s">
        <v>7285</v>
      </c>
      <c r="D2509" t="s">
        <v>23</v>
      </c>
      <c r="E2509" t="s">
        <v>28</v>
      </c>
      <c r="F2509" t="s">
        <v>60</v>
      </c>
      <c r="G2509" t="s">
        <v>55</v>
      </c>
      <c r="H2509" t="s">
        <v>63</v>
      </c>
      <c r="J2509">
        <v>24</v>
      </c>
    </row>
    <row r="2510" spans="1:12">
      <c r="A2510" t="s">
        <v>7286</v>
      </c>
      <c r="B2510" t="s">
        <v>7287</v>
      </c>
      <c r="C2510" t="s">
        <v>7288</v>
      </c>
      <c r="D2510" t="s">
        <v>15</v>
      </c>
      <c r="E2510" t="s">
        <v>28</v>
      </c>
      <c r="F2510" t="s">
        <v>41</v>
      </c>
      <c r="G2510" t="s">
        <v>105</v>
      </c>
      <c r="H2510" t="s">
        <v>19</v>
      </c>
      <c r="I2510">
        <v>4</v>
      </c>
      <c r="J2510">
        <v>8</v>
      </c>
      <c r="K2510">
        <v>4.4400000000000004</v>
      </c>
      <c r="L2510">
        <v>1</v>
      </c>
    </row>
    <row r="2511" spans="1:12">
      <c r="A2511" t="s">
        <v>7289</v>
      </c>
      <c r="B2511" t="s">
        <v>7290</v>
      </c>
      <c r="C2511" t="s">
        <v>7291</v>
      </c>
      <c r="D2511" t="s">
        <v>23</v>
      </c>
      <c r="E2511" t="s">
        <v>28</v>
      </c>
      <c r="F2511" t="s">
        <v>60</v>
      </c>
      <c r="G2511" t="s">
        <v>151</v>
      </c>
      <c r="H2511" t="s">
        <v>19</v>
      </c>
      <c r="I2511">
        <v>3</v>
      </c>
      <c r="J2511">
        <v>24</v>
      </c>
      <c r="K2511">
        <v>10.14</v>
      </c>
      <c r="L2511">
        <v>1</v>
      </c>
    </row>
    <row r="2512" spans="1:12">
      <c r="A2512" t="s">
        <v>7292</v>
      </c>
      <c r="B2512" t="s">
        <v>7293</v>
      </c>
      <c r="C2512" t="s">
        <v>7294</v>
      </c>
      <c r="D2512" t="s">
        <v>23</v>
      </c>
      <c r="E2512" t="s">
        <v>28</v>
      </c>
      <c r="F2512" t="s">
        <v>41</v>
      </c>
      <c r="G2512" t="s">
        <v>45</v>
      </c>
      <c r="H2512" t="s">
        <v>19</v>
      </c>
      <c r="I2512">
        <v>5</v>
      </c>
      <c r="J2512">
        <v>24</v>
      </c>
      <c r="K2512">
        <v>11.34</v>
      </c>
      <c r="L2512">
        <v>1</v>
      </c>
    </row>
    <row r="2513" spans="1:12">
      <c r="A2513" t="s">
        <v>7295</v>
      </c>
      <c r="B2513" t="s">
        <v>7296</v>
      </c>
      <c r="C2513" t="s">
        <v>7297</v>
      </c>
      <c r="D2513" t="s">
        <v>35</v>
      </c>
      <c r="E2513" t="s">
        <v>24</v>
      </c>
      <c r="F2513" t="s">
        <v>36</v>
      </c>
      <c r="G2513" t="s">
        <v>50</v>
      </c>
      <c r="H2513" t="s">
        <v>19</v>
      </c>
      <c r="I2513">
        <v>2</v>
      </c>
      <c r="J2513">
        <v>48</v>
      </c>
      <c r="K2513">
        <v>62.63</v>
      </c>
      <c r="L2513">
        <v>0</v>
      </c>
    </row>
    <row r="2514" spans="1:12">
      <c r="A2514" t="s">
        <v>7298</v>
      </c>
      <c r="B2514" t="s">
        <v>7299</v>
      </c>
      <c r="C2514" t="s">
        <v>7300</v>
      </c>
      <c r="D2514" t="s">
        <v>158</v>
      </c>
      <c r="E2514" t="s">
        <v>54</v>
      </c>
      <c r="F2514" t="s">
        <v>60</v>
      </c>
      <c r="G2514" t="s">
        <v>18</v>
      </c>
      <c r="H2514" t="s">
        <v>19</v>
      </c>
      <c r="I2514">
        <v>3</v>
      </c>
      <c r="J2514">
        <v>4</v>
      </c>
      <c r="K2514">
        <v>9.08</v>
      </c>
      <c r="L2514">
        <v>0</v>
      </c>
    </row>
    <row r="2515" spans="1:12">
      <c r="A2515" t="s">
        <v>7301</v>
      </c>
      <c r="B2515" t="s">
        <v>7302</v>
      </c>
      <c r="C2515" t="s">
        <v>7303</v>
      </c>
      <c r="D2515" t="s">
        <v>15</v>
      </c>
      <c r="E2515" t="s">
        <v>28</v>
      </c>
      <c r="F2515" t="s">
        <v>60</v>
      </c>
      <c r="G2515" t="s">
        <v>45</v>
      </c>
      <c r="H2515" t="s">
        <v>19</v>
      </c>
      <c r="I2515">
        <v>3</v>
      </c>
      <c r="J2515">
        <v>8</v>
      </c>
      <c r="K2515">
        <v>7.22</v>
      </c>
      <c r="L2515">
        <v>1</v>
      </c>
    </row>
    <row r="2516" spans="1:12">
      <c r="A2516" t="s">
        <v>7304</v>
      </c>
      <c r="B2516" t="s">
        <v>7305</v>
      </c>
      <c r="C2516" t="s">
        <v>7306</v>
      </c>
      <c r="D2516" t="s">
        <v>15</v>
      </c>
      <c r="E2516" t="s">
        <v>54</v>
      </c>
      <c r="F2516" t="s">
        <v>60</v>
      </c>
      <c r="G2516" t="s">
        <v>37</v>
      </c>
      <c r="H2516" t="s">
        <v>19</v>
      </c>
      <c r="I2516">
        <v>5</v>
      </c>
      <c r="J2516">
        <v>8</v>
      </c>
      <c r="K2516">
        <v>1.81</v>
      </c>
      <c r="L2516">
        <v>1</v>
      </c>
    </row>
    <row r="2517" spans="1:12">
      <c r="A2517" t="s">
        <v>7307</v>
      </c>
      <c r="B2517" t="s">
        <v>7308</v>
      </c>
      <c r="D2517" t="s">
        <v>158</v>
      </c>
      <c r="E2517" t="s">
        <v>54</v>
      </c>
      <c r="F2517" t="s">
        <v>41</v>
      </c>
      <c r="G2517" t="s">
        <v>151</v>
      </c>
      <c r="H2517" t="s">
        <v>63</v>
      </c>
      <c r="J2517">
        <v>4</v>
      </c>
    </row>
    <row r="2518" spans="1:12">
      <c r="A2518" t="s">
        <v>7309</v>
      </c>
      <c r="B2518" t="s">
        <v>7310</v>
      </c>
      <c r="C2518" t="s">
        <v>7311</v>
      </c>
      <c r="D2518" t="s">
        <v>35</v>
      </c>
      <c r="E2518" t="s">
        <v>28</v>
      </c>
      <c r="F2518" t="s">
        <v>29</v>
      </c>
      <c r="G2518" t="s">
        <v>30</v>
      </c>
      <c r="H2518" t="s">
        <v>31</v>
      </c>
      <c r="I2518">
        <v>3</v>
      </c>
      <c r="J2518">
        <v>48</v>
      </c>
      <c r="K2518">
        <v>4.88</v>
      </c>
      <c r="L2518">
        <v>1</v>
      </c>
    </row>
    <row r="2519" spans="1:12">
      <c r="A2519" t="s">
        <v>7312</v>
      </c>
      <c r="B2519" t="s">
        <v>7313</v>
      </c>
      <c r="C2519" t="s">
        <v>7314</v>
      </c>
      <c r="D2519" t="s">
        <v>23</v>
      </c>
      <c r="E2519" t="s">
        <v>28</v>
      </c>
      <c r="F2519" t="s">
        <v>29</v>
      </c>
      <c r="G2519" t="s">
        <v>105</v>
      </c>
      <c r="H2519" t="s">
        <v>31</v>
      </c>
      <c r="I2519">
        <v>4</v>
      </c>
      <c r="J2519">
        <v>24</v>
      </c>
      <c r="K2519">
        <v>7.28</v>
      </c>
      <c r="L2519">
        <v>1</v>
      </c>
    </row>
    <row r="2520" spans="1:12">
      <c r="A2520" t="s">
        <v>7315</v>
      </c>
      <c r="B2520" t="s">
        <v>7316</v>
      </c>
      <c r="C2520" t="s">
        <v>7317</v>
      </c>
      <c r="D2520" t="s">
        <v>158</v>
      </c>
      <c r="E2520" t="s">
        <v>28</v>
      </c>
      <c r="F2520" t="s">
        <v>60</v>
      </c>
      <c r="G2520" t="s">
        <v>42</v>
      </c>
      <c r="H2520" t="s">
        <v>19</v>
      </c>
      <c r="I2520">
        <v>3</v>
      </c>
      <c r="J2520">
        <v>4</v>
      </c>
      <c r="K2520">
        <v>3.11</v>
      </c>
      <c r="L2520">
        <v>1</v>
      </c>
    </row>
    <row r="2521" spans="1:12">
      <c r="A2521" t="s">
        <v>7318</v>
      </c>
      <c r="B2521" t="s">
        <v>7319</v>
      </c>
      <c r="C2521" t="s">
        <v>7320</v>
      </c>
      <c r="D2521" t="s">
        <v>35</v>
      </c>
      <c r="E2521" t="s">
        <v>28</v>
      </c>
      <c r="F2521" t="s">
        <v>17</v>
      </c>
      <c r="G2521" t="s">
        <v>18</v>
      </c>
      <c r="H2521" t="s">
        <v>19</v>
      </c>
      <c r="I2521">
        <v>5</v>
      </c>
      <c r="J2521">
        <v>48</v>
      </c>
      <c r="K2521">
        <v>42.9</v>
      </c>
      <c r="L2521">
        <v>1</v>
      </c>
    </row>
    <row r="2522" spans="1:12">
      <c r="A2522" t="s">
        <v>7321</v>
      </c>
      <c r="B2522" t="s">
        <v>7322</v>
      </c>
      <c r="C2522" t="s">
        <v>7323</v>
      </c>
      <c r="D2522" t="s">
        <v>23</v>
      </c>
      <c r="E2522" t="s">
        <v>59</v>
      </c>
      <c r="F2522" t="s">
        <v>60</v>
      </c>
      <c r="G2522" t="s">
        <v>105</v>
      </c>
      <c r="H2522" t="s">
        <v>19</v>
      </c>
      <c r="I2522">
        <v>3</v>
      </c>
      <c r="J2522">
        <v>24</v>
      </c>
      <c r="K2522">
        <v>3.31</v>
      </c>
      <c r="L2522">
        <v>1</v>
      </c>
    </row>
    <row r="2523" spans="1:12">
      <c r="A2523" t="s">
        <v>7324</v>
      </c>
      <c r="B2523" t="s">
        <v>7325</v>
      </c>
      <c r="C2523" t="s">
        <v>7326</v>
      </c>
      <c r="D2523" t="s">
        <v>23</v>
      </c>
      <c r="E2523" t="s">
        <v>28</v>
      </c>
      <c r="F2523" t="s">
        <v>36</v>
      </c>
      <c r="G2523" t="s">
        <v>77</v>
      </c>
      <c r="H2523" t="s">
        <v>19</v>
      </c>
      <c r="I2523">
        <v>1</v>
      </c>
      <c r="J2523">
        <v>24</v>
      </c>
      <c r="K2523">
        <v>43.38</v>
      </c>
      <c r="L2523">
        <v>0</v>
      </c>
    </row>
    <row r="2524" spans="1:12">
      <c r="A2524" t="s">
        <v>7327</v>
      </c>
      <c r="B2524" t="s">
        <v>7328</v>
      </c>
      <c r="C2524" t="s">
        <v>7329</v>
      </c>
      <c r="D2524" t="s">
        <v>35</v>
      </c>
      <c r="E2524" t="s">
        <v>16</v>
      </c>
      <c r="F2524" t="s">
        <v>60</v>
      </c>
      <c r="G2524" t="s">
        <v>77</v>
      </c>
      <c r="H2524" t="s">
        <v>19</v>
      </c>
      <c r="I2524">
        <v>5</v>
      </c>
      <c r="J2524">
        <v>48</v>
      </c>
      <c r="K2524">
        <v>22.53</v>
      </c>
      <c r="L2524">
        <v>1</v>
      </c>
    </row>
    <row r="2525" spans="1:12">
      <c r="A2525" t="s">
        <v>7330</v>
      </c>
      <c r="B2525" t="s">
        <v>7331</v>
      </c>
      <c r="C2525" t="s">
        <v>7332</v>
      </c>
      <c r="D2525" t="s">
        <v>35</v>
      </c>
      <c r="E2525" t="s">
        <v>59</v>
      </c>
      <c r="F2525" t="s">
        <v>36</v>
      </c>
      <c r="G2525" t="s">
        <v>42</v>
      </c>
      <c r="H2525" t="s">
        <v>19</v>
      </c>
      <c r="I2525">
        <v>5</v>
      </c>
      <c r="J2525">
        <v>48</v>
      </c>
      <c r="K2525">
        <v>8.57</v>
      </c>
      <c r="L2525">
        <v>1</v>
      </c>
    </row>
    <row r="2526" spans="1:12">
      <c r="A2526" t="s">
        <v>7333</v>
      </c>
      <c r="B2526" t="s">
        <v>7334</v>
      </c>
      <c r="C2526" t="s">
        <v>7335</v>
      </c>
      <c r="D2526" t="s">
        <v>23</v>
      </c>
      <c r="E2526" t="s">
        <v>28</v>
      </c>
      <c r="F2526" t="s">
        <v>60</v>
      </c>
      <c r="G2526" t="s">
        <v>73</v>
      </c>
      <c r="H2526" t="s">
        <v>31</v>
      </c>
      <c r="I2526">
        <v>4</v>
      </c>
      <c r="J2526">
        <v>24</v>
      </c>
      <c r="K2526">
        <v>39.659999999999997</v>
      </c>
      <c r="L2526">
        <v>0</v>
      </c>
    </row>
    <row r="2527" spans="1:12">
      <c r="A2527" t="s">
        <v>7336</v>
      </c>
      <c r="B2527" t="s">
        <v>7337</v>
      </c>
      <c r="C2527" t="s">
        <v>7338</v>
      </c>
      <c r="D2527" t="s">
        <v>23</v>
      </c>
      <c r="E2527" t="s">
        <v>16</v>
      </c>
      <c r="F2527" t="s">
        <v>36</v>
      </c>
      <c r="G2527" t="s">
        <v>42</v>
      </c>
      <c r="H2527" t="s">
        <v>19</v>
      </c>
      <c r="I2527">
        <v>4</v>
      </c>
      <c r="J2527">
        <v>24</v>
      </c>
      <c r="K2527">
        <v>7.28</v>
      </c>
      <c r="L2527">
        <v>1</v>
      </c>
    </row>
    <row r="2528" spans="1:12">
      <c r="A2528" t="s">
        <v>7339</v>
      </c>
      <c r="B2528" t="s">
        <v>7340</v>
      </c>
      <c r="C2528" t="s">
        <v>7341</v>
      </c>
      <c r="D2528" t="s">
        <v>23</v>
      </c>
      <c r="E2528" t="s">
        <v>28</v>
      </c>
      <c r="F2528" t="s">
        <v>60</v>
      </c>
      <c r="G2528" t="s">
        <v>55</v>
      </c>
      <c r="H2528" t="s">
        <v>31</v>
      </c>
      <c r="I2528">
        <v>4</v>
      </c>
      <c r="J2528">
        <v>24</v>
      </c>
      <c r="K2528">
        <v>20.57</v>
      </c>
      <c r="L2528">
        <v>1</v>
      </c>
    </row>
    <row r="2529" spans="1:12">
      <c r="A2529" t="s">
        <v>7342</v>
      </c>
      <c r="B2529" t="s">
        <v>7343</v>
      </c>
      <c r="C2529" t="s">
        <v>7344</v>
      </c>
      <c r="D2529" t="s">
        <v>23</v>
      </c>
      <c r="E2529" t="s">
        <v>28</v>
      </c>
      <c r="F2529" t="s">
        <v>36</v>
      </c>
      <c r="G2529" t="s">
        <v>42</v>
      </c>
      <c r="H2529" t="s">
        <v>19</v>
      </c>
      <c r="I2529">
        <v>5</v>
      </c>
      <c r="J2529">
        <v>24</v>
      </c>
      <c r="K2529">
        <v>20.38</v>
      </c>
      <c r="L2529">
        <v>1</v>
      </c>
    </row>
    <row r="2530" spans="1:12">
      <c r="A2530" t="s">
        <v>7345</v>
      </c>
      <c r="B2530" t="s">
        <v>7346</v>
      </c>
      <c r="C2530" t="s">
        <v>7347</v>
      </c>
      <c r="D2530" t="s">
        <v>15</v>
      </c>
      <c r="E2530" t="s">
        <v>16</v>
      </c>
      <c r="F2530" t="s">
        <v>36</v>
      </c>
      <c r="G2530" t="s">
        <v>105</v>
      </c>
      <c r="H2530" t="s">
        <v>19</v>
      </c>
      <c r="I2530">
        <v>2</v>
      </c>
      <c r="J2530">
        <v>8</v>
      </c>
      <c r="K2530">
        <v>18.579999999999998</v>
      </c>
      <c r="L2530">
        <v>0</v>
      </c>
    </row>
    <row r="2531" spans="1:12">
      <c r="A2531" t="s">
        <v>7348</v>
      </c>
      <c r="B2531" t="s">
        <v>7349</v>
      </c>
      <c r="D2531" t="s">
        <v>35</v>
      </c>
      <c r="E2531" t="s">
        <v>28</v>
      </c>
      <c r="F2531" t="s">
        <v>36</v>
      </c>
      <c r="G2531" t="s">
        <v>73</v>
      </c>
      <c r="H2531" t="s">
        <v>46</v>
      </c>
      <c r="J2531">
        <v>48</v>
      </c>
    </row>
    <row r="2532" spans="1:12">
      <c r="A2532" t="s">
        <v>7350</v>
      </c>
      <c r="B2532" t="s">
        <v>7351</v>
      </c>
      <c r="C2532" t="s">
        <v>7352</v>
      </c>
      <c r="D2532" t="s">
        <v>15</v>
      </c>
      <c r="E2532" t="s">
        <v>28</v>
      </c>
      <c r="F2532" t="s">
        <v>60</v>
      </c>
      <c r="G2532" t="s">
        <v>42</v>
      </c>
      <c r="H2532" t="s">
        <v>19</v>
      </c>
      <c r="I2532">
        <v>4</v>
      </c>
      <c r="J2532">
        <v>8</v>
      </c>
      <c r="K2532">
        <v>6.95</v>
      </c>
      <c r="L2532">
        <v>1</v>
      </c>
    </row>
    <row r="2533" spans="1:12">
      <c r="A2533" t="s">
        <v>7353</v>
      </c>
      <c r="B2533" t="s">
        <v>7354</v>
      </c>
      <c r="C2533" t="s">
        <v>7355</v>
      </c>
      <c r="D2533" t="s">
        <v>35</v>
      </c>
      <c r="E2533" t="s">
        <v>54</v>
      </c>
      <c r="F2533" t="s">
        <v>17</v>
      </c>
      <c r="G2533" t="s">
        <v>37</v>
      </c>
      <c r="H2533" t="s">
        <v>19</v>
      </c>
      <c r="I2533">
        <v>4</v>
      </c>
      <c r="J2533">
        <v>48</v>
      </c>
      <c r="K2533">
        <v>71.2</v>
      </c>
      <c r="L2533">
        <v>0</v>
      </c>
    </row>
    <row r="2534" spans="1:12">
      <c r="A2534" t="s">
        <v>7356</v>
      </c>
      <c r="B2534" t="s">
        <v>7357</v>
      </c>
      <c r="D2534" t="s">
        <v>158</v>
      </c>
      <c r="E2534" t="s">
        <v>24</v>
      </c>
      <c r="F2534" t="s">
        <v>60</v>
      </c>
      <c r="G2534" t="s">
        <v>42</v>
      </c>
      <c r="H2534" t="s">
        <v>46</v>
      </c>
      <c r="J2534">
        <v>4</v>
      </c>
    </row>
    <row r="2535" spans="1:12">
      <c r="A2535" t="s">
        <v>7358</v>
      </c>
      <c r="B2535" t="s">
        <v>7359</v>
      </c>
      <c r="C2535" t="s">
        <v>7360</v>
      </c>
      <c r="D2535" t="s">
        <v>35</v>
      </c>
      <c r="E2535" t="s">
        <v>54</v>
      </c>
      <c r="F2535" t="s">
        <v>29</v>
      </c>
      <c r="G2535" t="s">
        <v>42</v>
      </c>
      <c r="H2535" t="s">
        <v>19</v>
      </c>
      <c r="I2535">
        <v>5</v>
      </c>
      <c r="J2535">
        <v>48</v>
      </c>
      <c r="K2535">
        <v>43.08</v>
      </c>
      <c r="L2535">
        <v>1</v>
      </c>
    </row>
    <row r="2536" spans="1:12">
      <c r="A2536" t="s">
        <v>7361</v>
      </c>
      <c r="B2536" t="s">
        <v>7362</v>
      </c>
      <c r="C2536" t="s">
        <v>7363</v>
      </c>
      <c r="D2536" t="s">
        <v>23</v>
      </c>
      <c r="E2536" t="s">
        <v>28</v>
      </c>
      <c r="F2536" t="s">
        <v>60</v>
      </c>
      <c r="G2536" t="s">
        <v>30</v>
      </c>
      <c r="H2536" t="s">
        <v>19</v>
      </c>
      <c r="I2536">
        <v>3</v>
      </c>
      <c r="J2536">
        <v>24</v>
      </c>
      <c r="K2536">
        <v>43.81</v>
      </c>
      <c r="L2536">
        <v>0</v>
      </c>
    </row>
    <row r="2537" spans="1:12">
      <c r="A2537" t="s">
        <v>7364</v>
      </c>
      <c r="B2537" t="s">
        <v>7365</v>
      </c>
      <c r="C2537" t="s">
        <v>7366</v>
      </c>
      <c r="D2537" t="s">
        <v>23</v>
      </c>
      <c r="E2537" t="s">
        <v>24</v>
      </c>
      <c r="F2537" t="s">
        <v>36</v>
      </c>
      <c r="G2537" t="s">
        <v>45</v>
      </c>
      <c r="H2537" t="s">
        <v>19</v>
      </c>
      <c r="I2537">
        <v>5</v>
      </c>
      <c r="J2537">
        <v>24</v>
      </c>
      <c r="K2537">
        <v>4.1399999999999997</v>
      </c>
      <c r="L2537">
        <v>1</v>
      </c>
    </row>
    <row r="2538" spans="1:12">
      <c r="A2538" t="s">
        <v>7367</v>
      </c>
      <c r="B2538" t="s">
        <v>7368</v>
      </c>
      <c r="C2538" t="s">
        <v>7369</v>
      </c>
      <c r="D2538" t="s">
        <v>15</v>
      </c>
      <c r="E2538" t="s">
        <v>24</v>
      </c>
      <c r="F2538" t="s">
        <v>36</v>
      </c>
      <c r="G2538" t="s">
        <v>105</v>
      </c>
      <c r="H2538" t="s">
        <v>31</v>
      </c>
      <c r="I2538">
        <v>4</v>
      </c>
      <c r="J2538">
        <v>8</v>
      </c>
      <c r="K2538">
        <v>11.53</v>
      </c>
      <c r="L2538">
        <v>0</v>
      </c>
    </row>
    <row r="2539" spans="1:12">
      <c r="A2539" t="s">
        <v>7370</v>
      </c>
      <c r="B2539" t="s">
        <v>7371</v>
      </c>
      <c r="C2539" t="s">
        <v>7372</v>
      </c>
      <c r="D2539" t="s">
        <v>23</v>
      </c>
      <c r="E2539" t="s">
        <v>59</v>
      </c>
      <c r="F2539" t="s">
        <v>41</v>
      </c>
      <c r="G2539" t="s">
        <v>42</v>
      </c>
      <c r="H2539" t="s">
        <v>19</v>
      </c>
      <c r="I2539">
        <v>4</v>
      </c>
      <c r="J2539">
        <v>24</v>
      </c>
      <c r="K2539">
        <v>15.76</v>
      </c>
      <c r="L2539">
        <v>1</v>
      </c>
    </row>
    <row r="2540" spans="1:12">
      <c r="A2540" t="s">
        <v>7373</v>
      </c>
      <c r="B2540" t="s">
        <v>7374</v>
      </c>
      <c r="C2540" t="s">
        <v>7375</v>
      </c>
      <c r="D2540" t="s">
        <v>23</v>
      </c>
      <c r="E2540" t="s">
        <v>24</v>
      </c>
      <c r="F2540" t="s">
        <v>41</v>
      </c>
      <c r="G2540" t="s">
        <v>37</v>
      </c>
      <c r="H2540" t="s">
        <v>31</v>
      </c>
      <c r="I2540">
        <v>5</v>
      </c>
      <c r="J2540">
        <v>24</v>
      </c>
      <c r="K2540">
        <v>19.02</v>
      </c>
      <c r="L2540">
        <v>1</v>
      </c>
    </row>
    <row r="2541" spans="1:12">
      <c r="A2541" t="s">
        <v>7376</v>
      </c>
      <c r="B2541" t="s">
        <v>7377</v>
      </c>
      <c r="C2541" t="s">
        <v>7378</v>
      </c>
      <c r="D2541" t="s">
        <v>35</v>
      </c>
      <c r="E2541" t="s">
        <v>28</v>
      </c>
      <c r="F2541" t="s">
        <v>41</v>
      </c>
      <c r="G2541" t="s">
        <v>105</v>
      </c>
      <c r="H2541" t="s">
        <v>19</v>
      </c>
      <c r="I2541">
        <v>3</v>
      </c>
      <c r="J2541">
        <v>48</v>
      </c>
      <c r="K2541">
        <v>111.72</v>
      </c>
      <c r="L2541">
        <v>0</v>
      </c>
    </row>
    <row r="2542" spans="1:12">
      <c r="A2542" t="s">
        <v>7379</v>
      </c>
      <c r="B2542" t="s">
        <v>7380</v>
      </c>
      <c r="C2542" t="s">
        <v>7381</v>
      </c>
      <c r="D2542" t="s">
        <v>23</v>
      </c>
      <c r="E2542" t="s">
        <v>28</v>
      </c>
      <c r="F2542" t="s">
        <v>29</v>
      </c>
      <c r="G2542" t="s">
        <v>37</v>
      </c>
      <c r="H2542" t="s">
        <v>31</v>
      </c>
      <c r="I2542">
        <v>4</v>
      </c>
      <c r="J2542">
        <v>24</v>
      </c>
      <c r="K2542">
        <v>15.09</v>
      </c>
      <c r="L2542">
        <v>1</v>
      </c>
    </row>
    <row r="2543" spans="1:12">
      <c r="A2543" t="s">
        <v>7382</v>
      </c>
      <c r="B2543" t="s">
        <v>7383</v>
      </c>
      <c r="C2543" t="s">
        <v>7384</v>
      </c>
      <c r="D2543" t="s">
        <v>23</v>
      </c>
      <c r="E2543" t="s">
        <v>16</v>
      </c>
      <c r="F2543" t="s">
        <v>17</v>
      </c>
      <c r="G2543" t="s">
        <v>105</v>
      </c>
      <c r="H2543" t="s">
        <v>19</v>
      </c>
      <c r="I2543">
        <v>2</v>
      </c>
      <c r="J2543">
        <v>24</v>
      </c>
      <c r="K2543">
        <v>37.340000000000003</v>
      </c>
      <c r="L2543">
        <v>0</v>
      </c>
    </row>
    <row r="2544" spans="1:12">
      <c r="A2544" t="s">
        <v>7385</v>
      </c>
      <c r="B2544" t="s">
        <v>7386</v>
      </c>
      <c r="C2544" t="s">
        <v>7387</v>
      </c>
      <c r="D2544" t="s">
        <v>158</v>
      </c>
      <c r="E2544" t="s">
        <v>59</v>
      </c>
      <c r="F2544" t="s">
        <v>60</v>
      </c>
      <c r="G2544" t="s">
        <v>73</v>
      </c>
      <c r="H2544" t="s">
        <v>19</v>
      </c>
      <c r="I2544">
        <v>5</v>
      </c>
      <c r="J2544">
        <v>4</v>
      </c>
      <c r="K2544">
        <v>0.75</v>
      </c>
      <c r="L2544">
        <v>1</v>
      </c>
    </row>
    <row r="2545" spans="1:12">
      <c r="A2545" t="s">
        <v>7388</v>
      </c>
      <c r="B2545" t="s">
        <v>7389</v>
      </c>
      <c r="D2545" t="s">
        <v>23</v>
      </c>
      <c r="E2545" t="s">
        <v>59</v>
      </c>
      <c r="F2545" t="s">
        <v>41</v>
      </c>
      <c r="G2545" t="s">
        <v>50</v>
      </c>
      <c r="H2545" t="s">
        <v>46</v>
      </c>
      <c r="J2545">
        <v>24</v>
      </c>
    </row>
    <row r="2546" spans="1:12">
      <c r="A2546" t="s">
        <v>7390</v>
      </c>
      <c r="B2546" t="s">
        <v>7391</v>
      </c>
      <c r="D2546" t="s">
        <v>23</v>
      </c>
      <c r="E2546" t="s">
        <v>28</v>
      </c>
      <c r="F2546" t="s">
        <v>41</v>
      </c>
      <c r="G2546" t="s">
        <v>172</v>
      </c>
      <c r="H2546" t="s">
        <v>63</v>
      </c>
      <c r="J2546">
        <v>24</v>
      </c>
    </row>
    <row r="2547" spans="1:12">
      <c r="A2547" t="s">
        <v>7392</v>
      </c>
      <c r="B2547" t="s">
        <v>7393</v>
      </c>
      <c r="D2547" t="s">
        <v>23</v>
      </c>
      <c r="E2547" t="s">
        <v>24</v>
      </c>
      <c r="F2547" t="s">
        <v>17</v>
      </c>
      <c r="G2547" t="s">
        <v>45</v>
      </c>
      <c r="H2547" t="s">
        <v>46</v>
      </c>
      <c r="J2547">
        <v>24</v>
      </c>
    </row>
    <row r="2548" spans="1:12">
      <c r="A2548" t="s">
        <v>7394</v>
      </c>
      <c r="B2548" t="s">
        <v>7395</v>
      </c>
      <c r="C2548" t="s">
        <v>7396</v>
      </c>
      <c r="D2548" t="s">
        <v>23</v>
      </c>
      <c r="E2548" t="s">
        <v>28</v>
      </c>
      <c r="F2548" t="s">
        <v>41</v>
      </c>
      <c r="G2548" t="s">
        <v>77</v>
      </c>
      <c r="H2548" t="s">
        <v>19</v>
      </c>
      <c r="I2548">
        <v>2</v>
      </c>
      <c r="J2548">
        <v>24</v>
      </c>
      <c r="K2548">
        <v>37.82</v>
      </c>
      <c r="L2548">
        <v>0</v>
      </c>
    </row>
    <row r="2549" spans="1:12">
      <c r="A2549" t="s">
        <v>7397</v>
      </c>
      <c r="B2549" t="s">
        <v>7398</v>
      </c>
      <c r="C2549" t="s">
        <v>7399</v>
      </c>
      <c r="D2549" t="s">
        <v>23</v>
      </c>
      <c r="E2549" t="s">
        <v>24</v>
      </c>
      <c r="F2549" t="s">
        <v>17</v>
      </c>
      <c r="G2549" t="s">
        <v>55</v>
      </c>
      <c r="H2549" t="s">
        <v>19</v>
      </c>
      <c r="I2549">
        <v>4</v>
      </c>
      <c r="J2549">
        <v>24</v>
      </c>
      <c r="K2549">
        <v>2.71</v>
      </c>
      <c r="L2549">
        <v>1</v>
      </c>
    </row>
    <row r="2550" spans="1:12">
      <c r="A2550" t="s">
        <v>7400</v>
      </c>
      <c r="B2550" t="s">
        <v>7401</v>
      </c>
      <c r="C2550" t="s">
        <v>7402</v>
      </c>
      <c r="D2550" t="s">
        <v>15</v>
      </c>
      <c r="E2550" t="s">
        <v>28</v>
      </c>
      <c r="F2550" t="s">
        <v>60</v>
      </c>
      <c r="G2550" t="s">
        <v>55</v>
      </c>
      <c r="H2550" t="s">
        <v>19</v>
      </c>
      <c r="I2550">
        <v>4</v>
      </c>
      <c r="J2550">
        <v>8</v>
      </c>
      <c r="K2550">
        <v>1.79</v>
      </c>
      <c r="L2550">
        <v>1</v>
      </c>
    </row>
    <row r="2551" spans="1:12">
      <c r="A2551" t="s">
        <v>7403</v>
      </c>
      <c r="B2551" t="s">
        <v>7404</v>
      </c>
      <c r="C2551" t="s">
        <v>7405</v>
      </c>
      <c r="D2551" t="s">
        <v>15</v>
      </c>
      <c r="E2551" t="s">
        <v>28</v>
      </c>
      <c r="F2551" t="s">
        <v>36</v>
      </c>
      <c r="G2551" t="s">
        <v>45</v>
      </c>
      <c r="H2551" t="s">
        <v>31</v>
      </c>
      <c r="I2551">
        <v>2</v>
      </c>
      <c r="J2551">
        <v>8</v>
      </c>
      <c r="K2551">
        <v>20.16</v>
      </c>
      <c r="L2551">
        <v>0</v>
      </c>
    </row>
    <row r="2552" spans="1:12">
      <c r="A2552" t="s">
        <v>7406</v>
      </c>
      <c r="B2552" t="s">
        <v>7407</v>
      </c>
      <c r="C2552" t="s">
        <v>7408</v>
      </c>
      <c r="D2552" t="s">
        <v>15</v>
      </c>
      <c r="E2552" t="s">
        <v>28</v>
      </c>
      <c r="F2552" t="s">
        <v>41</v>
      </c>
      <c r="G2552" t="s">
        <v>45</v>
      </c>
      <c r="H2552" t="s">
        <v>31</v>
      </c>
      <c r="I2552">
        <v>4</v>
      </c>
      <c r="J2552">
        <v>8</v>
      </c>
      <c r="K2552">
        <v>1.91</v>
      </c>
      <c r="L2552">
        <v>1</v>
      </c>
    </row>
    <row r="2553" spans="1:12">
      <c r="A2553" t="s">
        <v>7409</v>
      </c>
      <c r="B2553" t="s">
        <v>7410</v>
      </c>
      <c r="C2553" t="s">
        <v>7411</v>
      </c>
      <c r="D2553" t="s">
        <v>15</v>
      </c>
      <c r="E2553" t="s">
        <v>59</v>
      </c>
      <c r="F2553" t="s">
        <v>29</v>
      </c>
      <c r="G2553" t="s">
        <v>45</v>
      </c>
      <c r="H2553" t="s">
        <v>31</v>
      </c>
      <c r="I2553">
        <v>5</v>
      </c>
      <c r="J2553">
        <v>8</v>
      </c>
      <c r="K2553">
        <v>1.64</v>
      </c>
      <c r="L2553">
        <v>1</v>
      </c>
    </row>
    <row r="2554" spans="1:12">
      <c r="A2554" t="s">
        <v>7412</v>
      </c>
      <c r="B2554" t="s">
        <v>7413</v>
      </c>
      <c r="C2554" t="s">
        <v>7414</v>
      </c>
      <c r="D2554" t="s">
        <v>23</v>
      </c>
      <c r="E2554" t="s">
        <v>24</v>
      </c>
      <c r="F2554" t="s">
        <v>60</v>
      </c>
      <c r="G2554" t="s">
        <v>42</v>
      </c>
      <c r="H2554" t="s">
        <v>19</v>
      </c>
      <c r="I2554">
        <v>5</v>
      </c>
      <c r="J2554">
        <v>24</v>
      </c>
      <c r="K2554">
        <v>2.4500000000000002</v>
      </c>
      <c r="L2554">
        <v>1</v>
      </c>
    </row>
    <row r="2555" spans="1:12">
      <c r="A2555" t="s">
        <v>7415</v>
      </c>
      <c r="B2555" t="s">
        <v>7416</v>
      </c>
      <c r="C2555" t="s">
        <v>7417</v>
      </c>
      <c r="D2555" t="s">
        <v>15</v>
      </c>
      <c r="E2555" t="s">
        <v>28</v>
      </c>
      <c r="F2555" t="s">
        <v>60</v>
      </c>
      <c r="G2555" t="s">
        <v>45</v>
      </c>
      <c r="H2555" t="s">
        <v>19</v>
      </c>
      <c r="I2555">
        <v>3</v>
      </c>
      <c r="J2555">
        <v>8</v>
      </c>
      <c r="K2555">
        <v>20.98</v>
      </c>
      <c r="L2555">
        <v>0</v>
      </c>
    </row>
    <row r="2556" spans="1:12">
      <c r="A2556" t="s">
        <v>7418</v>
      </c>
      <c r="B2556" t="s">
        <v>7419</v>
      </c>
      <c r="C2556" t="s">
        <v>7420</v>
      </c>
      <c r="D2556" t="s">
        <v>23</v>
      </c>
      <c r="E2556" t="s">
        <v>54</v>
      </c>
      <c r="F2556" t="s">
        <v>41</v>
      </c>
      <c r="G2556" t="s">
        <v>77</v>
      </c>
      <c r="H2556" t="s">
        <v>19</v>
      </c>
      <c r="I2556">
        <v>5</v>
      </c>
      <c r="J2556">
        <v>24</v>
      </c>
      <c r="K2556">
        <v>7.7</v>
      </c>
      <c r="L2556">
        <v>1</v>
      </c>
    </row>
    <row r="2557" spans="1:12">
      <c r="A2557" t="s">
        <v>7421</v>
      </c>
      <c r="B2557" t="s">
        <v>7422</v>
      </c>
      <c r="C2557" t="s">
        <v>7423</v>
      </c>
      <c r="D2557" t="s">
        <v>35</v>
      </c>
      <c r="E2557" t="s">
        <v>16</v>
      </c>
      <c r="F2557" t="s">
        <v>36</v>
      </c>
      <c r="G2557" t="s">
        <v>73</v>
      </c>
      <c r="H2557" t="s">
        <v>19</v>
      </c>
      <c r="I2557">
        <v>4</v>
      </c>
      <c r="J2557">
        <v>48</v>
      </c>
      <c r="K2557">
        <v>19.940000000000001</v>
      </c>
      <c r="L2557">
        <v>1</v>
      </c>
    </row>
    <row r="2558" spans="1:12">
      <c r="A2558" t="s">
        <v>7424</v>
      </c>
      <c r="B2558" t="s">
        <v>7425</v>
      </c>
      <c r="C2558" t="s">
        <v>7426</v>
      </c>
      <c r="D2558" t="s">
        <v>15</v>
      </c>
      <c r="E2558" t="s">
        <v>16</v>
      </c>
      <c r="F2558" t="s">
        <v>17</v>
      </c>
      <c r="G2558" t="s">
        <v>18</v>
      </c>
      <c r="H2558" t="s">
        <v>31</v>
      </c>
      <c r="I2558">
        <v>4</v>
      </c>
      <c r="J2558">
        <v>8</v>
      </c>
      <c r="K2558">
        <v>3.53</v>
      </c>
      <c r="L2558">
        <v>1</v>
      </c>
    </row>
    <row r="2559" spans="1:12">
      <c r="A2559" t="s">
        <v>7427</v>
      </c>
      <c r="B2559" t="s">
        <v>7428</v>
      </c>
      <c r="C2559" t="s">
        <v>7429</v>
      </c>
      <c r="D2559" t="s">
        <v>35</v>
      </c>
      <c r="E2559" t="s">
        <v>28</v>
      </c>
      <c r="F2559" t="s">
        <v>17</v>
      </c>
      <c r="G2559" t="s">
        <v>50</v>
      </c>
      <c r="H2559" t="s">
        <v>19</v>
      </c>
      <c r="I2559">
        <v>5</v>
      </c>
      <c r="J2559">
        <v>48</v>
      </c>
      <c r="K2559">
        <v>30.99</v>
      </c>
      <c r="L2559">
        <v>1</v>
      </c>
    </row>
    <row r="2560" spans="1:12">
      <c r="A2560" t="s">
        <v>7430</v>
      </c>
      <c r="B2560" t="s">
        <v>7431</v>
      </c>
      <c r="C2560" t="s">
        <v>7432</v>
      </c>
      <c r="D2560" t="s">
        <v>35</v>
      </c>
      <c r="E2560" t="s">
        <v>28</v>
      </c>
      <c r="F2560" t="s">
        <v>36</v>
      </c>
      <c r="G2560" t="s">
        <v>105</v>
      </c>
      <c r="H2560" t="s">
        <v>19</v>
      </c>
      <c r="I2560">
        <v>5</v>
      </c>
      <c r="J2560">
        <v>48</v>
      </c>
      <c r="K2560">
        <v>27.27</v>
      </c>
      <c r="L2560">
        <v>1</v>
      </c>
    </row>
    <row r="2561" spans="1:12">
      <c r="A2561" t="s">
        <v>7433</v>
      </c>
      <c r="B2561" t="s">
        <v>7434</v>
      </c>
      <c r="C2561" t="s">
        <v>7435</v>
      </c>
      <c r="D2561" t="s">
        <v>35</v>
      </c>
      <c r="E2561" t="s">
        <v>24</v>
      </c>
      <c r="F2561" t="s">
        <v>36</v>
      </c>
      <c r="G2561" t="s">
        <v>45</v>
      </c>
      <c r="H2561" t="s">
        <v>19</v>
      </c>
      <c r="I2561">
        <v>5</v>
      </c>
      <c r="J2561">
        <v>48</v>
      </c>
      <c r="K2561">
        <v>16.95</v>
      </c>
      <c r="L2561">
        <v>1</v>
      </c>
    </row>
    <row r="2562" spans="1:12">
      <c r="A2562" t="s">
        <v>7436</v>
      </c>
      <c r="B2562" t="s">
        <v>7437</v>
      </c>
      <c r="C2562" t="s">
        <v>7438</v>
      </c>
      <c r="D2562" t="s">
        <v>15</v>
      </c>
      <c r="E2562" t="s">
        <v>24</v>
      </c>
      <c r="F2562" t="s">
        <v>41</v>
      </c>
      <c r="G2562" t="s">
        <v>105</v>
      </c>
      <c r="H2562" t="s">
        <v>19</v>
      </c>
      <c r="I2562">
        <v>2</v>
      </c>
      <c r="J2562">
        <v>8</v>
      </c>
      <c r="K2562">
        <v>20.29</v>
      </c>
      <c r="L2562">
        <v>0</v>
      </c>
    </row>
    <row r="2563" spans="1:12">
      <c r="A2563" t="s">
        <v>7439</v>
      </c>
      <c r="B2563" t="s">
        <v>7440</v>
      </c>
      <c r="C2563" t="s">
        <v>7441</v>
      </c>
      <c r="D2563" t="s">
        <v>23</v>
      </c>
      <c r="E2563" t="s">
        <v>24</v>
      </c>
      <c r="F2563" t="s">
        <v>41</v>
      </c>
      <c r="G2563" t="s">
        <v>73</v>
      </c>
      <c r="H2563" t="s">
        <v>31</v>
      </c>
      <c r="I2563">
        <v>2</v>
      </c>
      <c r="J2563">
        <v>24</v>
      </c>
      <c r="K2563">
        <v>57.2</v>
      </c>
      <c r="L2563">
        <v>0</v>
      </c>
    </row>
    <row r="2564" spans="1:12">
      <c r="A2564" t="s">
        <v>7442</v>
      </c>
      <c r="B2564" t="s">
        <v>7443</v>
      </c>
      <c r="C2564" t="s">
        <v>7444</v>
      </c>
      <c r="D2564" t="s">
        <v>35</v>
      </c>
      <c r="E2564" t="s">
        <v>16</v>
      </c>
      <c r="F2564" t="s">
        <v>29</v>
      </c>
      <c r="G2564" t="s">
        <v>42</v>
      </c>
      <c r="H2564" t="s">
        <v>31</v>
      </c>
      <c r="I2564">
        <v>4</v>
      </c>
      <c r="J2564">
        <v>48</v>
      </c>
      <c r="K2564">
        <v>44.71</v>
      </c>
      <c r="L2564">
        <v>1</v>
      </c>
    </row>
    <row r="2565" spans="1:12">
      <c r="A2565" t="s">
        <v>7445</v>
      </c>
      <c r="B2565" t="s">
        <v>7446</v>
      </c>
      <c r="D2565" t="s">
        <v>15</v>
      </c>
      <c r="E2565" t="s">
        <v>28</v>
      </c>
      <c r="F2565" t="s">
        <v>36</v>
      </c>
      <c r="G2565" t="s">
        <v>151</v>
      </c>
      <c r="H2565" t="s">
        <v>63</v>
      </c>
      <c r="J2565">
        <v>8</v>
      </c>
    </row>
    <row r="2566" spans="1:12">
      <c r="A2566" t="s">
        <v>7447</v>
      </c>
      <c r="B2566" t="s">
        <v>7448</v>
      </c>
      <c r="C2566" t="s">
        <v>7449</v>
      </c>
      <c r="D2566" t="s">
        <v>15</v>
      </c>
      <c r="E2566" t="s">
        <v>24</v>
      </c>
      <c r="F2566" t="s">
        <v>41</v>
      </c>
      <c r="G2566" t="s">
        <v>73</v>
      </c>
      <c r="H2566" t="s">
        <v>31</v>
      </c>
      <c r="I2566">
        <v>5</v>
      </c>
      <c r="J2566">
        <v>8</v>
      </c>
      <c r="K2566">
        <v>6.49</v>
      </c>
      <c r="L2566">
        <v>1</v>
      </c>
    </row>
    <row r="2567" spans="1:12">
      <c r="A2567" t="s">
        <v>7450</v>
      </c>
      <c r="B2567" t="s">
        <v>7451</v>
      </c>
      <c r="C2567" t="s">
        <v>7452</v>
      </c>
      <c r="D2567" t="s">
        <v>23</v>
      </c>
      <c r="E2567" t="s">
        <v>16</v>
      </c>
      <c r="F2567" t="s">
        <v>60</v>
      </c>
      <c r="G2567" t="s">
        <v>30</v>
      </c>
      <c r="H2567" t="s">
        <v>31</v>
      </c>
      <c r="I2567">
        <v>4</v>
      </c>
      <c r="J2567">
        <v>24</v>
      </c>
      <c r="K2567">
        <v>21.69</v>
      </c>
      <c r="L2567">
        <v>1</v>
      </c>
    </row>
    <row r="2568" spans="1:12">
      <c r="A2568" t="s">
        <v>7453</v>
      </c>
      <c r="B2568" t="s">
        <v>7454</v>
      </c>
      <c r="D2568" t="s">
        <v>23</v>
      </c>
      <c r="E2568" t="s">
        <v>28</v>
      </c>
      <c r="F2568" t="s">
        <v>60</v>
      </c>
      <c r="G2568" t="s">
        <v>50</v>
      </c>
      <c r="H2568" t="s">
        <v>46</v>
      </c>
      <c r="J2568">
        <v>24</v>
      </c>
    </row>
    <row r="2569" spans="1:12">
      <c r="A2569" t="s">
        <v>7455</v>
      </c>
      <c r="B2569" t="s">
        <v>7456</v>
      </c>
      <c r="C2569" t="s">
        <v>7457</v>
      </c>
      <c r="D2569" t="s">
        <v>15</v>
      </c>
      <c r="E2569" t="s">
        <v>28</v>
      </c>
      <c r="F2569" t="s">
        <v>60</v>
      </c>
      <c r="G2569" t="s">
        <v>55</v>
      </c>
      <c r="H2569" t="s">
        <v>31</v>
      </c>
      <c r="I2569">
        <v>5</v>
      </c>
      <c r="J2569">
        <v>8</v>
      </c>
      <c r="K2569">
        <v>4.07</v>
      </c>
      <c r="L2569">
        <v>1</v>
      </c>
    </row>
    <row r="2570" spans="1:12">
      <c r="A2570" t="s">
        <v>7458</v>
      </c>
      <c r="B2570" t="s">
        <v>7459</v>
      </c>
      <c r="C2570" t="s">
        <v>7460</v>
      </c>
      <c r="D2570" t="s">
        <v>15</v>
      </c>
      <c r="E2570" t="s">
        <v>28</v>
      </c>
      <c r="F2570" t="s">
        <v>17</v>
      </c>
      <c r="G2570" t="s">
        <v>30</v>
      </c>
      <c r="H2570" t="s">
        <v>19</v>
      </c>
      <c r="I2570">
        <v>5</v>
      </c>
      <c r="J2570">
        <v>8</v>
      </c>
      <c r="K2570">
        <v>6.67</v>
      </c>
      <c r="L2570">
        <v>1</v>
      </c>
    </row>
    <row r="2571" spans="1:12">
      <c r="A2571" t="s">
        <v>7461</v>
      </c>
      <c r="B2571" t="s">
        <v>7462</v>
      </c>
      <c r="C2571" t="s">
        <v>7463</v>
      </c>
      <c r="D2571" t="s">
        <v>15</v>
      </c>
      <c r="E2571" t="s">
        <v>28</v>
      </c>
      <c r="F2571" t="s">
        <v>36</v>
      </c>
      <c r="G2571" t="s">
        <v>151</v>
      </c>
      <c r="H2571" t="s">
        <v>31</v>
      </c>
      <c r="I2571">
        <v>4</v>
      </c>
      <c r="J2571">
        <v>8</v>
      </c>
      <c r="K2571">
        <v>6.13</v>
      </c>
      <c r="L2571">
        <v>1</v>
      </c>
    </row>
    <row r="2572" spans="1:12">
      <c r="A2572" t="s">
        <v>7464</v>
      </c>
      <c r="B2572" t="s">
        <v>7465</v>
      </c>
      <c r="C2572" t="s">
        <v>7466</v>
      </c>
      <c r="D2572" t="s">
        <v>158</v>
      </c>
      <c r="E2572" t="s">
        <v>28</v>
      </c>
      <c r="F2572" t="s">
        <v>29</v>
      </c>
      <c r="G2572" t="s">
        <v>151</v>
      </c>
      <c r="H2572" t="s">
        <v>31</v>
      </c>
      <c r="I2572">
        <v>4</v>
      </c>
      <c r="J2572">
        <v>4</v>
      </c>
      <c r="K2572">
        <v>3.01</v>
      </c>
      <c r="L2572">
        <v>1</v>
      </c>
    </row>
    <row r="2573" spans="1:12">
      <c r="A2573" t="s">
        <v>7467</v>
      </c>
      <c r="B2573" t="s">
        <v>7468</v>
      </c>
      <c r="C2573" t="s">
        <v>7469</v>
      </c>
      <c r="D2573" t="s">
        <v>35</v>
      </c>
      <c r="E2573" t="s">
        <v>24</v>
      </c>
      <c r="F2573" t="s">
        <v>36</v>
      </c>
      <c r="G2573" t="s">
        <v>37</v>
      </c>
      <c r="H2573" t="s">
        <v>31</v>
      </c>
      <c r="I2573">
        <v>5</v>
      </c>
      <c r="J2573">
        <v>48</v>
      </c>
      <c r="K2573">
        <v>20.49</v>
      </c>
      <c r="L2573">
        <v>1</v>
      </c>
    </row>
    <row r="2574" spans="1:12">
      <c r="A2574" t="s">
        <v>7470</v>
      </c>
      <c r="B2574" t="s">
        <v>7471</v>
      </c>
      <c r="C2574" t="s">
        <v>7472</v>
      </c>
      <c r="D2574" t="s">
        <v>23</v>
      </c>
      <c r="E2574" t="s">
        <v>16</v>
      </c>
      <c r="F2574" t="s">
        <v>29</v>
      </c>
      <c r="G2574" t="s">
        <v>37</v>
      </c>
      <c r="H2574" t="s">
        <v>31</v>
      </c>
      <c r="I2574">
        <v>5</v>
      </c>
      <c r="J2574">
        <v>24</v>
      </c>
      <c r="K2574">
        <v>18.739999999999998</v>
      </c>
      <c r="L2574">
        <v>1</v>
      </c>
    </row>
    <row r="2575" spans="1:12">
      <c r="A2575" t="s">
        <v>7473</v>
      </c>
      <c r="B2575" t="s">
        <v>7474</v>
      </c>
      <c r="C2575" t="s">
        <v>7475</v>
      </c>
      <c r="D2575" t="s">
        <v>158</v>
      </c>
      <c r="E2575" t="s">
        <v>54</v>
      </c>
      <c r="F2575" t="s">
        <v>36</v>
      </c>
      <c r="G2575" t="s">
        <v>18</v>
      </c>
      <c r="H2575" t="s">
        <v>31</v>
      </c>
      <c r="I2575">
        <v>2</v>
      </c>
      <c r="J2575">
        <v>4</v>
      </c>
      <c r="K2575">
        <v>11.47</v>
      </c>
      <c r="L2575">
        <v>0</v>
      </c>
    </row>
    <row r="2576" spans="1:12">
      <c r="A2576" t="s">
        <v>7476</v>
      </c>
      <c r="B2576" t="s">
        <v>7477</v>
      </c>
      <c r="C2576" t="s">
        <v>7478</v>
      </c>
      <c r="D2576" t="s">
        <v>35</v>
      </c>
      <c r="E2576" t="s">
        <v>24</v>
      </c>
      <c r="F2576" t="s">
        <v>29</v>
      </c>
      <c r="G2576" t="s">
        <v>30</v>
      </c>
      <c r="H2576" t="s">
        <v>31</v>
      </c>
      <c r="I2576">
        <v>3</v>
      </c>
      <c r="J2576">
        <v>48</v>
      </c>
      <c r="K2576">
        <v>134.13999999999999</v>
      </c>
      <c r="L2576">
        <v>0</v>
      </c>
    </row>
    <row r="2577" spans="1:12">
      <c r="A2577" t="s">
        <v>7479</v>
      </c>
      <c r="B2577" t="s">
        <v>7480</v>
      </c>
      <c r="C2577" t="s">
        <v>7481</v>
      </c>
      <c r="D2577" t="s">
        <v>158</v>
      </c>
      <c r="E2577" t="s">
        <v>54</v>
      </c>
      <c r="F2577" t="s">
        <v>36</v>
      </c>
      <c r="G2577" t="s">
        <v>18</v>
      </c>
      <c r="H2577" t="s">
        <v>19</v>
      </c>
      <c r="I2577">
        <v>5</v>
      </c>
      <c r="J2577">
        <v>4</v>
      </c>
      <c r="K2577">
        <v>3.6</v>
      </c>
      <c r="L2577">
        <v>1</v>
      </c>
    </row>
    <row r="2578" spans="1:12">
      <c r="A2578" t="s">
        <v>7482</v>
      </c>
      <c r="B2578" t="s">
        <v>7483</v>
      </c>
      <c r="C2578" t="s">
        <v>7484</v>
      </c>
      <c r="D2578" t="s">
        <v>23</v>
      </c>
      <c r="E2578" t="s">
        <v>16</v>
      </c>
      <c r="F2578" t="s">
        <v>17</v>
      </c>
      <c r="G2578" t="s">
        <v>45</v>
      </c>
      <c r="H2578" t="s">
        <v>31</v>
      </c>
      <c r="I2578">
        <v>5</v>
      </c>
      <c r="J2578">
        <v>24</v>
      </c>
      <c r="K2578">
        <v>16.57</v>
      </c>
      <c r="L2578">
        <v>1</v>
      </c>
    </row>
    <row r="2579" spans="1:12">
      <c r="A2579" t="s">
        <v>7485</v>
      </c>
      <c r="B2579" t="s">
        <v>7486</v>
      </c>
      <c r="C2579" t="s">
        <v>7487</v>
      </c>
      <c r="D2579" t="s">
        <v>15</v>
      </c>
      <c r="E2579" t="s">
        <v>24</v>
      </c>
      <c r="F2579" t="s">
        <v>60</v>
      </c>
      <c r="G2579" t="s">
        <v>45</v>
      </c>
      <c r="H2579" t="s">
        <v>19</v>
      </c>
      <c r="I2579">
        <v>5</v>
      </c>
      <c r="J2579">
        <v>8</v>
      </c>
      <c r="K2579">
        <v>0.87</v>
      </c>
      <c r="L2579">
        <v>1</v>
      </c>
    </row>
    <row r="2580" spans="1:12">
      <c r="A2580" t="s">
        <v>7488</v>
      </c>
      <c r="B2580" t="s">
        <v>7489</v>
      </c>
      <c r="C2580" t="s">
        <v>7490</v>
      </c>
      <c r="D2580" t="s">
        <v>23</v>
      </c>
      <c r="E2580" t="s">
        <v>16</v>
      </c>
      <c r="F2580" t="s">
        <v>36</v>
      </c>
      <c r="G2580" t="s">
        <v>30</v>
      </c>
      <c r="H2580" t="s">
        <v>19</v>
      </c>
      <c r="I2580">
        <v>4</v>
      </c>
      <c r="J2580">
        <v>24</v>
      </c>
      <c r="K2580">
        <v>5.41</v>
      </c>
      <c r="L2580">
        <v>1</v>
      </c>
    </row>
    <row r="2581" spans="1:12">
      <c r="A2581" t="s">
        <v>7491</v>
      </c>
      <c r="B2581" t="s">
        <v>7492</v>
      </c>
      <c r="C2581" t="s">
        <v>7493</v>
      </c>
      <c r="D2581" t="s">
        <v>23</v>
      </c>
      <c r="E2581" t="s">
        <v>16</v>
      </c>
      <c r="F2581" t="s">
        <v>60</v>
      </c>
      <c r="G2581" t="s">
        <v>37</v>
      </c>
      <c r="H2581" t="s">
        <v>31</v>
      </c>
      <c r="I2581">
        <v>4</v>
      </c>
      <c r="J2581">
        <v>24</v>
      </c>
      <c r="K2581">
        <v>18.600000000000001</v>
      </c>
      <c r="L2581">
        <v>1</v>
      </c>
    </row>
    <row r="2582" spans="1:12">
      <c r="A2582" t="s">
        <v>7494</v>
      </c>
      <c r="B2582" t="s">
        <v>7495</v>
      </c>
      <c r="C2582" t="s">
        <v>7496</v>
      </c>
      <c r="D2582" t="s">
        <v>35</v>
      </c>
      <c r="E2582" t="s">
        <v>16</v>
      </c>
      <c r="F2582" t="s">
        <v>17</v>
      </c>
      <c r="G2582" t="s">
        <v>45</v>
      </c>
      <c r="H2582" t="s">
        <v>19</v>
      </c>
      <c r="I2582">
        <v>5</v>
      </c>
      <c r="J2582">
        <v>48</v>
      </c>
      <c r="K2582">
        <v>18.09</v>
      </c>
      <c r="L2582">
        <v>1</v>
      </c>
    </row>
    <row r="2583" spans="1:12">
      <c r="A2583" t="s">
        <v>7497</v>
      </c>
      <c r="B2583" t="s">
        <v>7498</v>
      </c>
      <c r="C2583" t="s">
        <v>7499</v>
      </c>
      <c r="D2583" t="s">
        <v>23</v>
      </c>
      <c r="E2583" t="s">
        <v>59</v>
      </c>
      <c r="F2583" t="s">
        <v>41</v>
      </c>
      <c r="G2583" t="s">
        <v>45</v>
      </c>
      <c r="H2583" t="s">
        <v>31</v>
      </c>
      <c r="I2583">
        <v>5</v>
      </c>
      <c r="J2583">
        <v>24</v>
      </c>
      <c r="K2583">
        <v>12.71</v>
      </c>
      <c r="L2583">
        <v>1</v>
      </c>
    </row>
    <row r="2584" spans="1:12">
      <c r="A2584" t="s">
        <v>7500</v>
      </c>
      <c r="B2584" t="s">
        <v>7501</v>
      </c>
      <c r="C2584" t="s">
        <v>7502</v>
      </c>
      <c r="D2584" t="s">
        <v>23</v>
      </c>
      <c r="E2584" t="s">
        <v>59</v>
      </c>
      <c r="F2584" t="s">
        <v>29</v>
      </c>
      <c r="G2584" t="s">
        <v>50</v>
      </c>
      <c r="H2584" t="s">
        <v>19</v>
      </c>
      <c r="I2584">
        <v>5</v>
      </c>
      <c r="J2584">
        <v>24</v>
      </c>
      <c r="K2584">
        <v>17.59</v>
      </c>
      <c r="L2584">
        <v>1</v>
      </c>
    </row>
    <row r="2585" spans="1:12">
      <c r="A2585" t="s">
        <v>7503</v>
      </c>
      <c r="B2585" t="s">
        <v>7504</v>
      </c>
      <c r="C2585" t="s">
        <v>7505</v>
      </c>
      <c r="D2585" t="s">
        <v>15</v>
      </c>
      <c r="E2585" t="s">
        <v>16</v>
      </c>
      <c r="F2585" t="s">
        <v>41</v>
      </c>
      <c r="G2585" t="s">
        <v>50</v>
      </c>
      <c r="H2585" t="s">
        <v>19</v>
      </c>
      <c r="I2585">
        <v>4</v>
      </c>
      <c r="J2585">
        <v>8</v>
      </c>
      <c r="K2585">
        <v>2.39</v>
      </c>
      <c r="L2585">
        <v>1</v>
      </c>
    </row>
    <row r="2586" spans="1:12">
      <c r="A2586" t="s">
        <v>7506</v>
      </c>
      <c r="B2586" t="s">
        <v>7507</v>
      </c>
      <c r="C2586" t="s">
        <v>7508</v>
      </c>
      <c r="D2586" t="s">
        <v>23</v>
      </c>
      <c r="E2586" t="s">
        <v>16</v>
      </c>
      <c r="F2586" t="s">
        <v>29</v>
      </c>
      <c r="G2586" t="s">
        <v>45</v>
      </c>
      <c r="H2586" t="s">
        <v>19</v>
      </c>
      <c r="I2586">
        <v>3</v>
      </c>
      <c r="J2586">
        <v>24</v>
      </c>
      <c r="K2586">
        <v>55.13</v>
      </c>
      <c r="L2586">
        <v>0</v>
      </c>
    </row>
    <row r="2587" spans="1:12">
      <c r="A2587" t="s">
        <v>7509</v>
      </c>
      <c r="B2587" t="s">
        <v>7510</v>
      </c>
      <c r="C2587" t="s">
        <v>7511</v>
      </c>
      <c r="D2587" t="s">
        <v>23</v>
      </c>
      <c r="E2587" t="s">
        <v>24</v>
      </c>
      <c r="F2587" t="s">
        <v>41</v>
      </c>
      <c r="G2587" t="s">
        <v>30</v>
      </c>
      <c r="H2587" t="s">
        <v>19</v>
      </c>
      <c r="I2587">
        <v>5</v>
      </c>
      <c r="J2587">
        <v>24</v>
      </c>
      <c r="K2587">
        <v>11.28</v>
      </c>
      <c r="L2587">
        <v>1</v>
      </c>
    </row>
    <row r="2588" spans="1:12">
      <c r="A2588" t="s">
        <v>7512</v>
      </c>
      <c r="B2588" t="s">
        <v>7513</v>
      </c>
      <c r="C2588" t="s">
        <v>7514</v>
      </c>
      <c r="D2588" t="s">
        <v>23</v>
      </c>
      <c r="E2588" t="s">
        <v>24</v>
      </c>
      <c r="F2588" t="s">
        <v>41</v>
      </c>
      <c r="G2588" t="s">
        <v>50</v>
      </c>
      <c r="H2588" t="s">
        <v>19</v>
      </c>
      <c r="I2588">
        <v>3</v>
      </c>
      <c r="J2588">
        <v>24</v>
      </c>
      <c r="K2588">
        <v>18</v>
      </c>
      <c r="L2588">
        <v>1</v>
      </c>
    </row>
    <row r="2589" spans="1:12">
      <c r="A2589" t="s">
        <v>7515</v>
      </c>
      <c r="B2589" t="s">
        <v>7516</v>
      </c>
      <c r="C2589" t="s">
        <v>7517</v>
      </c>
      <c r="D2589" t="s">
        <v>158</v>
      </c>
      <c r="E2589" t="s">
        <v>28</v>
      </c>
      <c r="F2589" t="s">
        <v>36</v>
      </c>
      <c r="G2589" t="s">
        <v>172</v>
      </c>
      <c r="H2589" t="s">
        <v>19</v>
      </c>
      <c r="I2589">
        <v>5</v>
      </c>
      <c r="J2589">
        <v>4</v>
      </c>
      <c r="K2589">
        <v>2.62</v>
      </c>
      <c r="L2589">
        <v>1</v>
      </c>
    </row>
    <row r="2590" spans="1:12">
      <c r="A2590" t="s">
        <v>7518</v>
      </c>
      <c r="B2590" t="s">
        <v>7519</v>
      </c>
      <c r="C2590" t="s">
        <v>7520</v>
      </c>
      <c r="D2590" t="s">
        <v>23</v>
      </c>
      <c r="E2590" t="s">
        <v>28</v>
      </c>
      <c r="F2590" t="s">
        <v>36</v>
      </c>
      <c r="G2590" t="s">
        <v>18</v>
      </c>
      <c r="H2590" t="s">
        <v>19</v>
      </c>
      <c r="I2590">
        <v>5</v>
      </c>
      <c r="J2590">
        <v>24</v>
      </c>
      <c r="K2590">
        <v>22.37</v>
      </c>
      <c r="L2590">
        <v>1</v>
      </c>
    </row>
    <row r="2591" spans="1:12">
      <c r="A2591" t="s">
        <v>7521</v>
      </c>
      <c r="B2591" t="s">
        <v>7522</v>
      </c>
      <c r="C2591" t="s">
        <v>7523</v>
      </c>
      <c r="D2591" t="s">
        <v>15</v>
      </c>
      <c r="E2591" t="s">
        <v>28</v>
      </c>
      <c r="F2591" t="s">
        <v>36</v>
      </c>
      <c r="G2591" t="s">
        <v>45</v>
      </c>
      <c r="H2591" t="s">
        <v>19</v>
      </c>
      <c r="I2591">
        <v>4</v>
      </c>
      <c r="J2591">
        <v>8</v>
      </c>
      <c r="K2591">
        <v>3.92</v>
      </c>
      <c r="L2591">
        <v>1</v>
      </c>
    </row>
    <row r="2592" spans="1:12">
      <c r="A2592" t="s">
        <v>7524</v>
      </c>
      <c r="B2592" t="s">
        <v>7525</v>
      </c>
      <c r="C2592" t="s">
        <v>7526</v>
      </c>
      <c r="D2592" t="s">
        <v>15</v>
      </c>
      <c r="E2592" t="s">
        <v>24</v>
      </c>
      <c r="F2592" t="s">
        <v>29</v>
      </c>
      <c r="G2592" t="s">
        <v>37</v>
      </c>
      <c r="H2592" t="s">
        <v>31</v>
      </c>
      <c r="I2592">
        <v>4</v>
      </c>
      <c r="J2592">
        <v>8</v>
      </c>
      <c r="K2592">
        <v>1.8</v>
      </c>
      <c r="L2592">
        <v>1</v>
      </c>
    </row>
    <row r="2593" spans="1:12">
      <c r="A2593" t="s">
        <v>7527</v>
      </c>
      <c r="B2593" t="s">
        <v>7528</v>
      </c>
      <c r="C2593" t="s">
        <v>7529</v>
      </c>
      <c r="D2593" t="s">
        <v>23</v>
      </c>
      <c r="E2593" t="s">
        <v>28</v>
      </c>
      <c r="F2593" t="s">
        <v>36</v>
      </c>
      <c r="G2593" t="s">
        <v>50</v>
      </c>
      <c r="H2593" t="s">
        <v>19</v>
      </c>
      <c r="I2593">
        <v>5</v>
      </c>
      <c r="J2593">
        <v>24</v>
      </c>
      <c r="K2593">
        <v>2.61</v>
      </c>
      <c r="L2593">
        <v>1</v>
      </c>
    </row>
    <row r="2594" spans="1:12">
      <c r="A2594" t="s">
        <v>7530</v>
      </c>
      <c r="B2594" t="s">
        <v>7531</v>
      </c>
      <c r="C2594" t="s">
        <v>7532</v>
      </c>
      <c r="D2594" t="s">
        <v>23</v>
      </c>
      <c r="E2594" t="s">
        <v>24</v>
      </c>
      <c r="F2594" t="s">
        <v>36</v>
      </c>
      <c r="G2594" t="s">
        <v>105</v>
      </c>
      <c r="H2594" t="s">
        <v>19</v>
      </c>
      <c r="I2594">
        <v>5</v>
      </c>
      <c r="J2594">
        <v>24</v>
      </c>
      <c r="K2594">
        <v>17.22</v>
      </c>
      <c r="L2594">
        <v>1</v>
      </c>
    </row>
    <row r="2595" spans="1:12">
      <c r="A2595" t="s">
        <v>7533</v>
      </c>
      <c r="B2595" t="s">
        <v>7534</v>
      </c>
      <c r="C2595" t="s">
        <v>7535</v>
      </c>
      <c r="D2595" t="s">
        <v>23</v>
      </c>
      <c r="E2595" t="s">
        <v>54</v>
      </c>
      <c r="F2595" t="s">
        <v>29</v>
      </c>
      <c r="G2595" t="s">
        <v>55</v>
      </c>
      <c r="H2595" t="s">
        <v>19</v>
      </c>
      <c r="I2595">
        <v>2</v>
      </c>
      <c r="J2595">
        <v>24</v>
      </c>
      <c r="K2595">
        <v>45.38</v>
      </c>
      <c r="L2595">
        <v>0</v>
      </c>
    </row>
    <row r="2596" spans="1:12">
      <c r="A2596" t="s">
        <v>7536</v>
      </c>
      <c r="B2596" t="s">
        <v>7537</v>
      </c>
      <c r="C2596" t="s">
        <v>7538</v>
      </c>
      <c r="D2596" t="s">
        <v>23</v>
      </c>
      <c r="E2596" t="s">
        <v>28</v>
      </c>
      <c r="F2596" t="s">
        <v>36</v>
      </c>
      <c r="G2596" t="s">
        <v>45</v>
      </c>
      <c r="H2596" t="s">
        <v>19</v>
      </c>
      <c r="I2596">
        <v>2</v>
      </c>
      <c r="J2596">
        <v>24</v>
      </c>
      <c r="K2596">
        <v>71.7</v>
      </c>
      <c r="L2596">
        <v>0</v>
      </c>
    </row>
    <row r="2597" spans="1:12">
      <c r="A2597" t="s">
        <v>7539</v>
      </c>
      <c r="B2597" t="s">
        <v>7540</v>
      </c>
      <c r="C2597" t="s">
        <v>7541</v>
      </c>
      <c r="D2597" t="s">
        <v>15</v>
      </c>
      <c r="E2597" t="s">
        <v>54</v>
      </c>
      <c r="F2597" t="s">
        <v>29</v>
      </c>
      <c r="G2597" t="s">
        <v>18</v>
      </c>
      <c r="H2597" t="s">
        <v>19</v>
      </c>
      <c r="I2597">
        <v>5</v>
      </c>
      <c r="J2597">
        <v>8</v>
      </c>
      <c r="K2597">
        <v>0.97</v>
      </c>
      <c r="L2597">
        <v>1</v>
      </c>
    </row>
    <row r="2598" spans="1:12">
      <c r="A2598" t="s">
        <v>7542</v>
      </c>
      <c r="B2598" t="s">
        <v>7543</v>
      </c>
      <c r="C2598" t="s">
        <v>7544</v>
      </c>
      <c r="D2598" t="s">
        <v>23</v>
      </c>
      <c r="E2598" t="s">
        <v>24</v>
      </c>
      <c r="F2598" t="s">
        <v>17</v>
      </c>
      <c r="G2598" t="s">
        <v>55</v>
      </c>
      <c r="H2598" t="s">
        <v>19</v>
      </c>
      <c r="I2598">
        <v>5</v>
      </c>
      <c r="J2598">
        <v>24</v>
      </c>
      <c r="K2598">
        <v>20.86</v>
      </c>
      <c r="L2598">
        <v>1</v>
      </c>
    </row>
    <row r="2599" spans="1:12">
      <c r="A2599" t="s">
        <v>7545</v>
      </c>
      <c r="B2599" t="s">
        <v>7546</v>
      </c>
      <c r="C2599" t="s">
        <v>7547</v>
      </c>
      <c r="D2599" t="s">
        <v>23</v>
      </c>
      <c r="E2599" t="s">
        <v>28</v>
      </c>
      <c r="F2599" t="s">
        <v>36</v>
      </c>
      <c r="G2599" t="s">
        <v>172</v>
      </c>
      <c r="H2599" t="s">
        <v>19</v>
      </c>
      <c r="I2599">
        <v>4</v>
      </c>
      <c r="J2599">
        <v>24</v>
      </c>
      <c r="K2599">
        <v>8.9600000000000009</v>
      </c>
      <c r="L2599">
        <v>1</v>
      </c>
    </row>
    <row r="2600" spans="1:12">
      <c r="A2600" t="s">
        <v>7548</v>
      </c>
      <c r="B2600" t="s">
        <v>7549</v>
      </c>
      <c r="C2600" t="s">
        <v>7550</v>
      </c>
      <c r="D2600" t="s">
        <v>23</v>
      </c>
      <c r="E2600" t="s">
        <v>54</v>
      </c>
      <c r="F2600" t="s">
        <v>41</v>
      </c>
      <c r="G2600" t="s">
        <v>50</v>
      </c>
      <c r="H2600" t="s">
        <v>31</v>
      </c>
      <c r="I2600">
        <v>5</v>
      </c>
      <c r="J2600">
        <v>24</v>
      </c>
      <c r="K2600">
        <v>5.64</v>
      </c>
      <c r="L2600">
        <v>1</v>
      </c>
    </row>
    <row r="2601" spans="1:12">
      <c r="A2601" t="s">
        <v>7551</v>
      </c>
      <c r="B2601" t="s">
        <v>7552</v>
      </c>
      <c r="C2601" t="s">
        <v>7553</v>
      </c>
      <c r="D2601" t="s">
        <v>23</v>
      </c>
      <c r="E2601" t="s">
        <v>24</v>
      </c>
      <c r="F2601" t="s">
        <v>60</v>
      </c>
      <c r="G2601" t="s">
        <v>45</v>
      </c>
      <c r="H2601" t="s">
        <v>19</v>
      </c>
      <c r="I2601">
        <v>4</v>
      </c>
      <c r="J2601">
        <v>24</v>
      </c>
      <c r="K2601">
        <v>6.68</v>
      </c>
      <c r="L2601">
        <v>1</v>
      </c>
    </row>
    <row r="2602" spans="1:12">
      <c r="A2602" t="s">
        <v>7554</v>
      </c>
      <c r="B2602" t="s">
        <v>7555</v>
      </c>
      <c r="C2602" t="s">
        <v>7556</v>
      </c>
      <c r="D2602" t="s">
        <v>15</v>
      </c>
      <c r="E2602" t="s">
        <v>16</v>
      </c>
      <c r="F2602" t="s">
        <v>17</v>
      </c>
      <c r="G2602" t="s">
        <v>30</v>
      </c>
      <c r="H2602" t="s">
        <v>31</v>
      </c>
      <c r="I2602">
        <v>4</v>
      </c>
      <c r="J2602">
        <v>8</v>
      </c>
      <c r="K2602">
        <v>5.18</v>
      </c>
      <c r="L2602">
        <v>1</v>
      </c>
    </row>
    <row r="2603" spans="1:12">
      <c r="A2603" t="s">
        <v>7557</v>
      </c>
      <c r="B2603" t="s">
        <v>7558</v>
      </c>
      <c r="C2603" t="s">
        <v>7559</v>
      </c>
      <c r="D2603" t="s">
        <v>23</v>
      </c>
      <c r="E2603" t="s">
        <v>16</v>
      </c>
      <c r="F2603" t="s">
        <v>29</v>
      </c>
      <c r="G2603" t="s">
        <v>151</v>
      </c>
      <c r="H2603" t="s">
        <v>31</v>
      </c>
      <c r="I2603">
        <v>4</v>
      </c>
      <c r="J2603">
        <v>24</v>
      </c>
      <c r="K2603">
        <v>4.8600000000000003</v>
      </c>
      <c r="L2603">
        <v>1</v>
      </c>
    </row>
    <row r="2604" spans="1:12">
      <c r="A2604" t="s">
        <v>7560</v>
      </c>
      <c r="B2604" t="s">
        <v>7561</v>
      </c>
      <c r="C2604" t="s">
        <v>7562</v>
      </c>
      <c r="D2604" t="s">
        <v>15</v>
      </c>
      <c r="E2604" t="s">
        <v>16</v>
      </c>
      <c r="F2604" t="s">
        <v>17</v>
      </c>
      <c r="G2604" t="s">
        <v>55</v>
      </c>
      <c r="H2604" t="s">
        <v>31</v>
      </c>
      <c r="I2604">
        <v>5</v>
      </c>
      <c r="J2604">
        <v>8</v>
      </c>
      <c r="K2604">
        <v>2.76</v>
      </c>
      <c r="L2604">
        <v>1</v>
      </c>
    </row>
    <row r="2605" spans="1:12">
      <c r="A2605" t="s">
        <v>7563</v>
      </c>
      <c r="B2605" t="s">
        <v>7564</v>
      </c>
      <c r="D2605" t="s">
        <v>23</v>
      </c>
      <c r="E2605" t="s">
        <v>28</v>
      </c>
      <c r="F2605" t="s">
        <v>29</v>
      </c>
      <c r="G2605" t="s">
        <v>73</v>
      </c>
      <c r="H2605" t="s">
        <v>63</v>
      </c>
      <c r="J2605">
        <v>24</v>
      </c>
    </row>
    <row r="2606" spans="1:12">
      <c r="A2606" t="s">
        <v>7565</v>
      </c>
      <c r="B2606" t="s">
        <v>7566</v>
      </c>
      <c r="C2606" t="s">
        <v>7567</v>
      </c>
      <c r="D2606" t="s">
        <v>23</v>
      </c>
      <c r="E2606" t="s">
        <v>54</v>
      </c>
      <c r="F2606" t="s">
        <v>17</v>
      </c>
      <c r="G2606" t="s">
        <v>55</v>
      </c>
      <c r="H2606" t="s">
        <v>31</v>
      </c>
      <c r="I2606">
        <v>4</v>
      </c>
      <c r="J2606">
        <v>24</v>
      </c>
      <c r="K2606">
        <v>3</v>
      </c>
      <c r="L2606">
        <v>1</v>
      </c>
    </row>
    <row r="2607" spans="1:12">
      <c r="A2607" t="s">
        <v>7568</v>
      </c>
      <c r="B2607" t="s">
        <v>7569</v>
      </c>
      <c r="C2607" t="s">
        <v>7570</v>
      </c>
      <c r="D2607" t="s">
        <v>35</v>
      </c>
      <c r="E2607" t="s">
        <v>59</v>
      </c>
      <c r="F2607" t="s">
        <v>60</v>
      </c>
      <c r="G2607" t="s">
        <v>30</v>
      </c>
      <c r="H2607" t="s">
        <v>19</v>
      </c>
      <c r="I2607">
        <v>2</v>
      </c>
      <c r="J2607">
        <v>48</v>
      </c>
      <c r="K2607">
        <v>75.31</v>
      </c>
      <c r="L2607">
        <v>0</v>
      </c>
    </row>
    <row r="2608" spans="1:12">
      <c r="A2608" t="s">
        <v>7571</v>
      </c>
      <c r="B2608" t="s">
        <v>7572</v>
      </c>
      <c r="C2608" t="s">
        <v>7573</v>
      </c>
      <c r="D2608" t="s">
        <v>23</v>
      </c>
      <c r="E2608" t="s">
        <v>24</v>
      </c>
      <c r="F2608" t="s">
        <v>41</v>
      </c>
      <c r="G2608" t="s">
        <v>77</v>
      </c>
      <c r="H2608" t="s">
        <v>19</v>
      </c>
      <c r="I2608">
        <v>5</v>
      </c>
      <c r="J2608">
        <v>24</v>
      </c>
      <c r="K2608">
        <v>11.88</v>
      </c>
      <c r="L2608">
        <v>1</v>
      </c>
    </row>
    <row r="2609" spans="1:12">
      <c r="A2609" t="s">
        <v>7574</v>
      </c>
      <c r="B2609" t="s">
        <v>7575</v>
      </c>
      <c r="D2609" t="s">
        <v>35</v>
      </c>
      <c r="E2609" t="s">
        <v>16</v>
      </c>
      <c r="F2609" t="s">
        <v>36</v>
      </c>
      <c r="G2609" t="s">
        <v>37</v>
      </c>
      <c r="H2609" t="s">
        <v>63</v>
      </c>
      <c r="J2609">
        <v>48</v>
      </c>
    </row>
    <row r="2610" spans="1:12">
      <c r="A2610" t="s">
        <v>7576</v>
      </c>
      <c r="B2610" t="s">
        <v>7577</v>
      </c>
      <c r="C2610" t="s">
        <v>7578</v>
      </c>
      <c r="D2610" t="s">
        <v>35</v>
      </c>
      <c r="E2610" t="s">
        <v>24</v>
      </c>
      <c r="F2610" t="s">
        <v>29</v>
      </c>
      <c r="G2610" t="s">
        <v>151</v>
      </c>
      <c r="H2610" t="s">
        <v>19</v>
      </c>
      <c r="I2610">
        <v>4</v>
      </c>
      <c r="J2610">
        <v>48</v>
      </c>
      <c r="K2610">
        <v>28.6</v>
      </c>
      <c r="L2610">
        <v>1</v>
      </c>
    </row>
    <row r="2611" spans="1:12">
      <c r="A2611" t="s">
        <v>7579</v>
      </c>
      <c r="B2611" t="s">
        <v>7580</v>
      </c>
      <c r="C2611" t="s">
        <v>7581</v>
      </c>
      <c r="D2611" t="s">
        <v>35</v>
      </c>
      <c r="E2611" t="s">
        <v>24</v>
      </c>
      <c r="F2611" t="s">
        <v>29</v>
      </c>
      <c r="G2611" t="s">
        <v>37</v>
      </c>
      <c r="H2611" t="s">
        <v>31</v>
      </c>
      <c r="I2611">
        <v>2</v>
      </c>
      <c r="J2611">
        <v>48</v>
      </c>
      <c r="K2611">
        <v>131.18</v>
      </c>
      <c r="L2611">
        <v>0</v>
      </c>
    </row>
    <row r="2612" spans="1:12">
      <c r="A2612" t="s">
        <v>7582</v>
      </c>
      <c r="B2612" t="s">
        <v>7583</v>
      </c>
      <c r="C2612" t="s">
        <v>7584</v>
      </c>
      <c r="D2612" t="s">
        <v>15</v>
      </c>
      <c r="E2612" t="s">
        <v>28</v>
      </c>
      <c r="F2612" t="s">
        <v>17</v>
      </c>
      <c r="G2612" t="s">
        <v>77</v>
      </c>
      <c r="H2612" t="s">
        <v>19</v>
      </c>
      <c r="I2612">
        <v>5</v>
      </c>
      <c r="J2612">
        <v>8</v>
      </c>
      <c r="K2612">
        <v>4.63</v>
      </c>
      <c r="L2612">
        <v>1</v>
      </c>
    </row>
    <row r="2613" spans="1:12">
      <c r="A2613" t="s">
        <v>7585</v>
      </c>
      <c r="B2613" t="s">
        <v>7586</v>
      </c>
      <c r="C2613" t="s">
        <v>7587</v>
      </c>
      <c r="D2613" t="s">
        <v>35</v>
      </c>
      <c r="E2613" t="s">
        <v>28</v>
      </c>
      <c r="F2613" t="s">
        <v>17</v>
      </c>
      <c r="G2613" t="s">
        <v>172</v>
      </c>
      <c r="H2613" t="s">
        <v>31</v>
      </c>
      <c r="I2613">
        <v>4</v>
      </c>
      <c r="J2613">
        <v>48</v>
      </c>
      <c r="K2613">
        <v>45.05</v>
      </c>
      <c r="L2613">
        <v>1</v>
      </c>
    </row>
    <row r="2614" spans="1:12">
      <c r="A2614" t="s">
        <v>7588</v>
      </c>
      <c r="B2614" t="s">
        <v>7589</v>
      </c>
      <c r="C2614" t="s">
        <v>7590</v>
      </c>
      <c r="D2614" t="s">
        <v>23</v>
      </c>
      <c r="E2614" t="s">
        <v>16</v>
      </c>
      <c r="F2614" t="s">
        <v>17</v>
      </c>
      <c r="G2614" t="s">
        <v>73</v>
      </c>
      <c r="H2614" t="s">
        <v>19</v>
      </c>
      <c r="I2614">
        <v>4</v>
      </c>
      <c r="J2614">
        <v>24</v>
      </c>
      <c r="K2614">
        <v>17.87</v>
      </c>
      <c r="L2614">
        <v>1</v>
      </c>
    </row>
    <row r="2615" spans="1:12">
      <c r="A2615" t="s">
        <v>7591</v>
      </c>
      <c r="B2615" t="s">
        <v>7592</v>
      </c>
      <c r="C2615" t="s">
        <v>7593</v>
      </c>
      <c r="D2615" t="s">
        <v>158</v>
      </c>
      <c r="E2615" t="s">
        <v>16</v>
      </c>
      <c r="F2615" t="s">
        <v>36</v>
      </c>
      <c r="G2615" t="s">
        <v>37</v>
      </c>
      <c r="H2615" t="s">
        <v>19</v>
      </c>
      <c r="I2615">
        <v>5</v>
      </c>
      <c r="J2615">
        <v>4</v>
      </c>
      <c r="K2615">
        <v>1.41</v>
      </c>
      <c r="L2615">
        <v>1</v>
      </c>
    </row>
    <row r="2616" spans="1:12">
      <c r="A2616" t="s">
        <v>7594</v>
      </c>
      <c r="B2616" t="s">
        <v>7595</v>
      </c>
      <c r="C2616" t="s">
        <v>7596</v>
      </c>
      <c r="D2616" t="s">
        <v>23</v>
      </c>
      <c r="E2616" t="s">
        <v>24</v>
      </c>
      <c r="F2616" t="s">
        <v>41</v>
      </c>
      <c r="G2616" t="s">
        <v>105</v>
      </c>
      <c r="H2616" t="s">
        <v>19</v>
      </c>
      <c r="I2616">
        <v>4</v>
      </c>
      <c r="J2616">
        <v>24</v>
      </c>
      <c r="K2616">
        <v>9.15</v>
      </c>
      <c r="L2616">
        <v>1</v>
      </c>
    </row>
    <row r="2617" spans="1:12">
      <c r="A2617" t="s">
        <v>7597</v>
      </c>
      <c r="B2617" t="s">
        <v>7598</v>
      </c>
      <c r="C2617" t="s">
        <v>7599</v>
      </c>
      <c r="D2617" t="s">
        <v>15</v>
      </c>
      <c r="E2617" t="s">
        <v>54</v>
      </c>
      <c r="F2617" t="s">
        <v>29</v>
      </c>
      <c r="G2617" t="s">
        <v>18</v>
      </c>
      <c r="H2617" t="s">
        <v>31</v>
      </c>
      <c r="I2617">
        <v>5</v>
      </c>
      <c r="J2617">
        <v>8</v>
      </c>
      <c r="K2617">
        <v>5.89</v>
      </c>
      <c r="L2617">
        <v>1</v>
      </c>
    </row>
    <row r="2618" spans="1:12">
      <c r="A2618" t="s">
        <v>7600</v>
      </c>
      <c r="B2618" t="s">
        <v>7601</v>
      </c>
      <c r="C2618" t="s">
        <v>7602</v>
      </c>
      <c r="D2618" t="s">
        <v>23</v>
      </c>
      <c r="E2618" t="s">
        <v>24</v>
      </c>
      <c r="F2618" t="s">
        <v>60</v>
      </c>
      <c r="G2618" t="s">
        <v>37</v>
      </c>
      <c r="H2618" t="s">
        <v>19</v>
      </c>
      <c r="I2618">
        <v>5</v>
      </c>
      <c r="J2618">
        <v>24</v>
      </c>
      <c r="K2618">
        <v>17.66</v>
      </c>
      <c r="L2618">
        <v>1</v>
      </c>
    </row>
    <row r="2619" spans="1:12">
      <c r="A2619" t="s">
        <v>7603</v>
      </c>
      <c r="B2619" t="s">
        <v>7604</v>
      </c>
      <c r="C2619" t="s">
        <v>7605</v>
      </c>
      <c r="D2619" t="s">
        <v>23</v>
      </c>
      <c r="E2619" t="s">
        <v>16</v>
      </c>
      <c r="F2619" t="s">
        <v>17</v>
      </c>
      <c r="G2619" t="s">
        <v>30</v>
      </c>
      <c r="H2619" t="s">
        <v>19</v>
      </c>
      <c r="I2619">
        <v>5</v>
      </c>
      <c r="J2619">
        <v>24</v>
      </c>
      <c r="K2619">
        <v>21.22</v>
      </c>
      <c r="L2619">
        <v>1</v>
      </c>
    </row>
    <row r="2620" spans="1:12">
      <c r="A2620" t="s">
        <v>7606</v>
      </c>
      <c r="B2620" t="s">
        <v>7607</v>
      </c>
      <c r="C2620" t="s">
        <v>7608</v>
      </c>
      <c r="D2620" t="s">
        <v>35</v>
      </c>
      <c r="E2620" t="s">
        <v>54</v>
      </c>
      <c r="F2620" t="s">
        <v>17</v>
      </c>
      <c r="G2620" t="s">
        <v>73</v>
      </c>
      <c r="H2620" t="s">
        <v>31</v>
      </c>
      <c r="I2620">
        <v>4</v>
      </c>
      <c r="J2620">
        <v>48</v>
      </c>
      <c r="K2620">
        <v>123.09</v>
      </c>
      <c r="L2620">
        <v>0</v>
      </c>
    </row>
    <row r="2621" spans="1:12">
      <c r="A2621" t="s">
        <v>7609</v>
      </c>
      <c r="B2621" t="s">
        <v>7610</v>
      </c>
      <c r="C2621" t="s">
        <v>7611</v>
      </c>
      <c r="D2621" t="s">
        <v>35</v>
      </c>
      <c r="E2621" t="s">
        <v>54</v>
      </c>
      <c r="F2621" t="s">
        <v>29</v>
      </c>
      <c r="G2621" t="s">
        <v>45</v>
      </c>
      <c r="H2621" t="s">
        <v>19</v>
      </c>
      <c r="I2621">
        <v>1</v>
      </c>
      <c r="J2621">
        <v>48</v>
      </c>
      <c r="K2621">
        <v>105.14</v>
      </c>
      <c r="L2621">
        <v>0</v>
      </c>
    </row>
    <row r="2622" spans="1:12">
      <c r="A2622" t="s">
        <v>7612</v>
      </c>
      <c r="B2622" t="s">
        <v>7613</v>
      </c>
      <c r="C2622" t="s">
        <v>7614</v>
      </c>
      <c r="D2622" t="s">
        <v>15</v>
      </c>
      <c r="E2622" t="s">
        <v>24</v>
      </c>
      <c r="F2622" t="s">
        <v>17</v>
      </c>
      <c r="G2622" t="s">
        <v>73</v>
      </c>
      <c r="H2622" t="s">
        <v>19</v>
      </c>
      <c r="I2622">
        <v>3</v>
      </c>
      <c r="J2622">
        <v>8</v>
      </c>
      <c r="K2622">
        <v>3.23</v>
      </c>
      <c r="L2622">
        <v>1</v>
      </c>
    </row>
    <row r="2623" spans="1:12">
      <c r="A2623" t="s">
        <v>7615</v>
      </c>
      <c r="B2623" t="s">
        <v>7616</v>
      </c>
      <c r="C2623" t="s">
        <v>7617</v>
      </c>
      <c r="D2623" t="s">
        <v>23</v>
      </c>
      <c r="E2623" t="s">
        <v>54</v>
      </c>
      <c r="F2623" t="s">
        <v>29</v>
      </c>
      <c r="G2623" t="s">
        <v>172</v>
      </c>
      <c r="H2623" t="s">
        <v>31</v>
      </c>
      <c r="I2623">
        <v>5</v>
      </c>
      <c r="J2623">
        <v>24</v>
      </c>
      <c r="K2623">
        <v>15.01</v>
      </c>
      <c r="L2623">
        <v>1</v>
      </c>
    </row>
    <row r="2624" spans="1:12">
      <c r="A2624" t="s">
        <v>7618</v>
      </c>
      <c r="B2624" t="s">
        <v>7619</v>
      </c>
      <c r="C2624" t="s">
        <v>7620</v>
      </c>
      <c r="D2624" t="s">
        <v>15</v>
      </c>
      <c r="E2624" t="s">
        <v>16</v>
      </c>
      <c r="F2624" t="s">
        <v>36</v>
      </c>
      <c r="G2624" t="s">
        <v>18</v>
      </c>
      <c r="H2624" t="s">
        <v>31</v>
      </c>
      <c r="I2624">
        <v>5</v>
      </c>
      <c r="J2624">
        <v>8</v>
      </c>
      <c r="K2624">
        <v>6.33</v>
      </c>
      <c r="L2624">
        <v>1</v>
      </c>
    </row>
    <row r="2625" spans="1:12">
      <c r="A2625" t="s">
        <v>7621</v>
      </c>
      <c r="B2625" t="s">
        <v>7622</v>
      </c>
      <c r="C2625" t="s">
        <v>7623</v>
      </c>
      <c r="D2625" t="s">
        <v>23</v>
      </c>
      <c r="E2625" t="s">
        <v>28</v>
      </c>
      <c r="F2625" t="s">
        <v>17</v>
      </c>
      <c r="G2625" t="s">
        <v>18</v>
      </c>
      <c r="H2625" t="s">
        <v>19</v>
      </c>
      <c r="I2625">
        <v>4</v>
      </c>
      <c r="J2625">
        <v>24</v>
      </c>
      <c r="K2625">
        <v>19.739999999999998</v>
      </c>
      <c r="L2625">
        <v>1</v>
      </c>
    </row>
    <row r="2626" spans="1:12">
      <c r="A2626" t="s">
        <v>7624</v>
      </c>
      <c r="B2626" t="s">
        <v>7625</v>
      </c>
      <c r="C2626" t="s">
        <v>7626</v>
      </c>
      <c r="D2626" t="s">
        <v>23</v>
      </c>
      <c r="E2626" t="s">
        <v>24</v>
      </c>
      <c r="F2626" t="s">
        <v>60</v>
      </c>
      <c r="G2626" t="s">
        <v>30</v>
      </c>
      <c r="H2626" t="s">
        <v>19</v>
      </c>
      <c r="I2626">
        <v>5</v>
      </c>
      <c r="J2626">
        <v>24</v>
      </c>
      <c r="K2626">
        <v>13.38</v>
      </c>
      <c r="L2626">
        <v>1</v>
      </c>
    </row>
    <row r="2627" spans="1:12">
      <c r="A2627" t="s">
        <v>7627</v>
      </c>
      <c r="B2627" t="s">
        <v>7628</v>
      </c>
      <c r="C2627" t="s">
        <v>7629</v>
      </c>
      <c r="D2627" t="s">
        <v>15</v>
      </c>
      <c r="E2627" t="s">
        <v>59</v>
      </c>
      <c r="F2627" t="s">
        <v>29</v>
      </c>
      <c r="G2627" t="s">
        <v>45</v>
      </c>
      <c r="H2627" t="s">
        <v>19</v>
      </c>
      <c r="I2627">
        <v>3</v>
      </c>
      <c r="J2627">
        <v>8</v>
      </c>
      <c r="K2627">
        <v>9.3000000000000007</v>
      </c>
      <c r="L2627">
        <v>0</v>
      </c>
    </row>
    <row r="2628" spans="1:12">
      <c r="A2628" t="s">
        <v>7630</v>
      </c>
      <c r="B2628" t="s">
        <v>7631</v>
      </c>
      <c r="C2628" t="s">
        <v>7632</v>
      </c>
      <c r="D2628" t="s">
        <v>23</v>
      </c>
      <c r="E2628" t="s">
        <v>28</v>
      </c>
      <c r="F2628" t="s">
        <v>60</v>
      </c>
      <c r="G2628" t="s">
        <v>55</v>
      </c>
      <c r="H2628" t="s">
        <v>31</v>
      </c>
      <c r="I2628">
        <v>1</v>
      </c>
      <c r="J2628">
        <v>24</v>
      </c>
      <c r="K2628">
        <v>30.72</v>
      </c>
      <c r="L2628">
        <v>0</v>
      </c>
    </row>
    <row r="2629" spans="1:12">
      <c r="A2629" t="s">
        <v>7633</v>
      </c>
      <c r="B2629" t="s">
        <v>7634</v>
      </c>
      <c r="C2629" t="s">
        <v>7635</v>
      </c>
      <c r="D2629" t="s">
        <v>23</v>
      </c>
      <c r="E2629" t="s">
        <v>24</v>
      </c>
      <c r="F2629" t="s">
        <v>41</v>
      </c>
      <c r="G2629" t="s">
        <v>45</v>
      </c>
      <c r="H2629" t="s">
        <v>31</v>
      </c>
      <c r="I2629">
        <v>3</v>
      </c>
      <c r="J2629">
        <v>24</v>
      </c>
      <c r="K2629">
        <v>3.74</v>
      </c>
      <c r="L2629">
        <v>1</v>
      </c>
    </row>
    <row r="2630" spans="1:12">
      <c r="A2630" t="s">
        <v>7636</v>
      </c>
      <c r="B2630" t="s">
        <v>7637</v>
      </c>
      <c r="C2630" t="s">
        <v>7638</v>
      </c>
      <c r="D2630" t="s">
        <v>23</v>
      </c>
      <c r="E2630" t="s">
        <v>16</v>
      </c>
      <c r="F2630" t="s">
        <v>36</v>
      </c>
      <c r="G2630" t="s">
        <v>55</v>
      </c>
      <c r="H2630" t="s">
        <v>19</v>
      </c>
      <c r="I2630">
        <v>5</v>
      </c>
      <c r="J2630">
        <v>24</v>
      </c>
      <c r="K2630">
        <v>15.09</v>
      </c>
      <c r="L2630">
        <v>1</v>
      </c>
    </row>
    <row r="2631" spans="1:12">
      <c r="A2631" t="s">
        <v>7639</v>
      </c>
      <c r="B2631" t="s">
        <v>7640</v>
      </c>
      <c r="C2631" t="s">
        <v>7641</v>
      </c>
      <c r="D2631" t="s">
        <v>15</v>
      </c>
      <c r="E2631" t="s">
        <v>28</v>
      </c>
      <c r="F2631" t="s">
        <v>36</v>
      </c>
      <c r="G2631" t="s">
        <v>105</v>
      </c>
      <c r="H2631" t="s">
        <v>19</v>
      </c>
      <c r="I2631">
        <v>4</v>
      </c>
      <c r="J2631">
        <v>8</v>
      </c>
      <c r="K2631">
        <v>2.38</v>
      </c>
      <c r="L2631">
        <v>1</v>
      </c>
    </row>
    <row r="2632" spans="1:12">
      <c r="A2632" t="s">
        <v>7642</v>
      </c>
      <c r="B2632" t="s">
        <v>7643</v>
      </c>
      <c r="C2632" t="s">
        <v>7644</v>
      </c>
      <c r="D2632" t="s">
        <v>35</v>
      </c>
      <c r="E2632" t="s">
        <v>28</v>
      </c>
      <c r="F2632" t="s">
        <v>29</v>
      </c>
      <c r="G2632" t="s">
        <v>73</v>
      </c>
      <c r="H2632" t="s">
        <v>31</v>
      </c>
      <c r="I2632">
        <v>4</v>
      </c>
      <c r="J2632">
        <v>48</v>
      </c>
      <c r="K2632">
        <v>42.25</v>
      </c>
      <c r="L2632">
        <v>1</v>
      </c>
    </row>
    <row r="2633" spans="1:12">
      <c r="A2633" t="s">
        <v>7645</v>
      </c>
      <c r="B2633" t="s">
        <v>7646</v>
      </c>
      <c r="C2633" t="s">
        <v>7647</v>
      </c>
      <c r="D2633" t="s">
        <v>35</v>
      </c>
      <c r="E2633" t="s">
        <v>24</v>
      </c>
      <c r="F2633" t="s">
        <v>36</v>
      </c>
      <c r="G2633" t="s">
        <v>55</v>
      </c>
      <c r="H2633" t="s">
        <v>19</v>
      </c>
      <c r="I2633">
        <v>3</v>
      </c>
      <c r="J2633">
        <v>48</v>
      </c>
      <c r="K2633">
        <v>36.07</v>
      </c>
      <c r="L2633">
        <v>1</v>
      </c>
    </row>
    <row r="2634" spans="1:12">
      <c r="A2634" t="s">
        <v>7648</v>
      </c>
      <c r="B2634" t="s">
        <v>7649</v>
      </c>
      <c r="C2634" t="s">
        <v>7650</v>
      </c>
      <c r="D2634" t="s">
        <v>23</v>
      </c>
      <c r="E2634" t="s">
        <v>54</v>
      </c>
      <c r="F2634" t="s">
        <v>60</v>
      </c>
      <c r="G2634" t="s">
        <v>45</v>
      </c>
      <c r="H2634" t="s">
        <v>19</v>
      </c>
      <c r="I2634">
        <v>4</v>
      </c>
      <c r="J2634">
        <v>24</v>
      </c>
      <c r="K2634">
        <v>3.65</v>
      </c>
      <c r="L2634">
        <v>1</v>
      </c>
    </row>
    <row r="2635" spans="1:12">
      <c r="A2635" t="s">
        <v>7651</v>
      </c>
      <c r="B2635" t="s">
        <v>7652</v>
      </c>
      <c r="C2635" t="s">
        <v>7653</v>
      </c>
      <c r="D2635" t="s">
        <v>158</v>
      </c>
      <c r="E2635" t="s">
        <v>59</v>
      </c>
      <c r="F2635" t="s">
        <v>29</v>
      </c>
      <c r="G2635" t="s">
        <v>172</v>
      </c>
      <c r="H2635" t="s">
        <v>19</v>
      </c>
      <c r="I2635">
        <v>5</v>
      </c>
      <c r="J2635">
        <v>4</v>
      </c>
      <c r="K2635">
        <v>1.1100000000000001</v>
      </c>
      <c r="L2635">
        <v>1</v>
      </c>
    </row>
    <row r="2636" spans="1:12">
      <c r="A2636" t="s">
        <v>7654</v>
      </c>
      <c r="B2636" t="s">
        <v>7655</v>
      </c>
      <c r="C2636" t="s">
        <v>7656</v>
      </c>
      <c r="D2636" t="s">
        <v>23</v>
      </c>
      <c r="E2636" t="s">
        <v>24</v>
      </c>
      <c r="F2636" t="s">
        <v>17</v>
      </c>
      <c r="G2636" t="s">
        <v>151</v>
      </c>
      <c r="H2636" t="s">
        <v>31</v>
      </c>
      <c r="I2636">
        <v>5</v>
      </c>
      <c r="J2636">
        <v>24</v>
      </c>
      <c r="K2636">
        <v>11.41</v>
      </c>
      <c r="L2636">
        <v>1</v>
      </c>
    </row>
    <row r="2637" spans="1:12">
      <c r="A2637" t="s">
        <v>7657</v>
      </c>
      <c r="B2637" t="s">
        <v>7658</v>
      </c>
      <c r="C2637" t="s">
        <v>7659</v>
      </c>
      <c r="D2637" t="s">
        <v>23</v>
      </c>
      <c r="E2637" t="s">
        <v>28</v>
      </c>
      <c r="F2637" t="s">
        <v>60</v>
      </c>
      <c r="G2637" t="s">
        <v>73</v>
      </c>
      <c r="H2637" t="s">
        <v>19</v>
      </c>
      <c r="I2637">
        <v>4</v>
      </c>
      <c r="J2637">
        <v>24</v>
      </c>
      <c r="K2637">
        <v>19.940000000000001</v>
      </c>
      <c r="L2637">
        <v>1</v>
      </c>
    </row>
    <row r="2638" spans="1:12">
      <c r="A2638" t="s">
        <v>7660</v>
      </c>
      <c r="B2638" t="s">
        <v>7661</v>
      </c>
      <c r="C2638" t="s">
        <v>7662</v>
      </c>
      <c r="D2638" t="s">
        <v>23</v>
      </c>
      <c r="E2638" t="s">
        <v>28</v>
      </c>
      <c r="F2638" t="s">
        <v>29</v>
      </c>
      <c r="G2638" t="s">
        <v>151</v>
      </c>
      <c r="H2638" t="s">
        <v>31</v>
      </c>
      <c r="I2638">
        <v>5</v>
      </c>
      <c r="J2638">
        <v>24</v>
      </c>
      <c r="K2638">
        <v>21.41</v>
      </c>
      <c r="L2638">
        <v>1</v>
      </c>
    </row>
    <row r="2639" spans="1:12">
      <c r="A2639" t="s">
        <v>7663</v>
      </c>
      <c r="B2639" t="s">
        <v>7664</v>
      </c>
      <c r="C2639" t="s">
        <v>7665</v>
      </c>
      <c r="D2639" t="s">
        <v>15</v>
      </c>
      <c r="E2639" t="s">
        <v>59</v>
      </c>
      <c r="F2639" t="s">
        <v>36</v>
      </c>
      <c r="G2639" t="s">
        <v>45</v>
      </c>
      <c r="H2639" t="s">
        <v>31</v>
      </c>
      <c r="I2639">
        <v>4</v>
      </c>
      <c r="J2639">
        <v>8</v>
      </c>
      <c r="K2639">
        <v>1.08</v>
      </c>
      <c r="L2639">
        <v>1</v>
      </c>
    </row>
    <row r="2640" spans="1:12">
      <c r="A2640" t="s">
        <v>7666</v>
      </c>
      <c r="B2640" t="s">
        <v>7667</v>
      </c>
      <c r="C2640" t="s">
        <v>7668</v>
      </c>
      <c r="D2640" t="s">
        <v>35</v>
      </c>
      <c r="E2640" t="s">
        <v>24</v>
      </c>
      <c r="F2640" t="s">
        <v>17</v>
      </c>
      <c r="G2640" t="s">
        <v>18</v>
      </c>
      <c r="H2640" t="s">
        <v>31</v>
      </c>
      <c r="I2640">
        <v>4</v>
      </c>
      <c r="J2640">
        <v>48</v>
      </c>
      <c r="K2640">
        <v>45.04</v>
      </c>
      <c r="L2640">
        <v>1</v>
      </c>
    </row>
    <row r="2641" spans="1:12">
      <c r="A2641" t="s">
        <v>7669</v>
      </c>
      <c r="B2641" t="s">
        <v>7670</v>
      </c>
      <c r="C2641" t="s">
        <v>7671</v>
      </c>
      <c r="D2641" t="s">
        <v>23</v>
      </c>
      <c r="E2641" t="s">
        <v>54</v>
      </c>
      <c r="F2641" t="s">
        <v>36</v>
      </c>
      <c r="G2641" t="s">
        <v>73</v>
      </c>
      <c r="H2641" t="s">
        <v>19</v>
      </c>
      <c r="I2641">
        <v>5</v>
      </c>
      <c r="J2641">
        <v>24</v>
      </c>
      <c r="K2641">
        <v>15.98</v>
      </c>
      <c r="L2641">
        <v>1</v>
      </c>
    </row>
    <row r="2642" spans="1:12">
      <c r="A2642" t="s">
        <v>7672</v>
      </c>
      <c r="B2642" t="s">
        <v>7673</v>
      </c>
      <c r="C2642" t="s">
        <v>7674</v>
      </c>
      <c r="D2642" t="s">
        <v>158</v>
      </c>
      <c r="E2642" t="s">
        <v>28</v>
      </c>
      <c r="F2642" t="s">
        <v>60</v>
      </c>
      <c r="G2642" t="s">
        <v>172</v>
      </c>
      <c r="H2642" t="s">
        <v>31</v>
      </c>
      <c r="I2642">
        <v>5</v>
      </c>
      <c r="J2642">
        <v>4</v>
      </c>
      <c r="K2642">
        <v>3.22</v>
      </c>
      <c r="L2642">
        <v>1</v>
      </c>
    </row>
    <row r="2643" spans="1:12">
      <c r="A2643" t="s">
        <v>7675</v>
      </c>
      <c r="B2643" t="s">
        <v>7676</v>
      </c>
      <c r="C2643" t="s">
        <v>7677</v>
      </c>
      <c r="D2643" t="s">
        <v>15</v>
      </c>
      <c r="E2643" t="s">
        <v>28</v>
      </c>
      <c r="F2643" t="s">
        <v>41</v>
      </c>
      <c r="G2643" t="s">
        <v>73</v>
      </c>
      <c r="H2643" t="s">
        <v>19</v>
      </c>
      <c r="I2643">
        <v>4</v>
      </c>
      <c r="J2643">
        <v>8</v>
      </c>
      <c r="K2643">
        <v>5.83</v>
      </c>
      <c r="L2643">
        <v>1</v>
      </c>
    </row>
    <row r="2644" spans="1:12">
      <c r="A2644" t="s">
        <v>7678</v>
      </c>
      <c r="B2644" t="s">
        <v>7679</v>
      </c>
      <c r="C2644" t="s">
        <v>7680</v>
      </c>
      <c r="D2644" t="s">
        <v>15</v>
      </c>
      <c r="E2644" t="s">
        <v>24</v>
      </c>
      <c r="F2644" t="s">
        <v>17</v>
      </c>
      <c r="G2644" t="s">
        <v>172</v>
      </c>
      <c r="H2644" t="s">
        <v>19</v>
      </c>
      <c r="I2644">
        <v>5</v>
      </c>
      <c r="J2644">
        <v>8</v>
      </c>
      <c r="K2644">
        <v>6.1</v>
      </c>
      <c r="L2644">
        <v>1</v>
      </c>
    </row>
    <row r="2645" spans="1:12">
      <c r="A2645" t="s">
        <v>7681</v>
      </c>
      <c r="B2645" t="s">
        <v>7682</v>
      </c>
      <c r="C2645" t="s">
        <v>7683</v>
      </c>
      <c r="D2645" t="s">
        <v>23</v>
      </c>
      <c r="E2645" t="s">
        <v>16</v>
      </c>
      <c r="F2645" t="s">
        <v>41</v>
      </c>
      <c r="G2645" t="s">
        <v>73</v>
      </c>
      <c r="H2645" t="s">
        <v>31</v>
      </c>
      <c r="I2645">
        <v>3</v>
      </c>
      <c r="J2645">
        <v>24</v>
      </c>
      <c r="K2645">
        <v>20.14</v>
      </c>
      <c r="L2645">
        <v>1</v>
      </c>
    </row>
    <row r="2646" spans="1:12">
      <c r="A2646" t="s">
        <v>7684</v>
      </c>
      <c r="B2646" t="s">
        <v>7685</v>
      </c>
      <c r="C2646" t="s">
        <v>7686</v>
      </c>
      <c r="D2646" t="s">
        <v>23</v>
      </c>
      <c r="E2646" t="s">
        <v>28</v>
      </c>
      <c r="F2646" t="s">
        <v>41</v>
      </c>
      <c r="G2646" t="s">
        <v>73</v>
      </c>
      <c r="H2646" t="s">
        <v>31</v>
      </c>
      <c r="I2646">
        <v>2</v>
      </c>
      <c r="J2646">
        <v>24</v>
      </c>
      <c r="K2646">
        <v>46.13</v>
      </c>
      <c r="L2646">
        <v>0</v>
      </c>
    </row>
    <row r="2647" spans="1:12">
      <c r="A2647" t="s">
        <v>7687</v>
      </c>
      <c r="B2647" t="s">
        <v>7688</v>
      </c>
      <c r="C2647" t="s">
        <v>7689</v>
      </c>
      <c r="D2647" t="s">
        <v>23</v>
      </c>
      <c r="E2647" t="s">
        <v>28</v>
      </c>
      <c r="F2647" t="s">
        <v>17</v>
      </c>
      <c r="G2647" t="s">
        <v>151</v>
      </c>
      <c r="H2647" t="s">
        <v>19</v>
      </c>
      <c r="I2647">
        <v>1</v>
      </c>
      <c r="J2647">
        <v>24</v>
      </c>
      <c r="K2647">
        <v>33.130000000000003</v>
      </c>
      <c r="L2647">
        <v>0</v>
      </c>
    </row>
    <row r="2648" spans="1:12">
      <c r="A2648" t="s">
        <v>7690</v>
      </c>
      <c r="B2648" t="s">
        <v>7691</v>
      </c>
      <c r="C2648" t="s">
        <v>7692</v>
      </c>
      <c r="D2648" t="s">
        <v>15</v>
      </c>
      <c r="E2648" t="s">
        <v>28</v>
      </c>
      <c r="F2648" t="s">
        <v>60</v>
      </c>
      <c r="G2648" t="s">
        <v>73</v>
      </c>
      <c r="H2648" t="s">
        <v>31</v>
      </c>
      <c r="I2648">
        <v>5</v>
      </c>
      <c r="J2648">
        <v>8</v>
      </c>
      <c r="K2648">
        <v>4.92</v>
      </c>
      <c r="L2648">
        <v>1</v>
      </c>
    </row>
    <row r="2649" spans="1:12">
      <c r="A2649" t="s">
        <v>7693</v>
      </c>
      <c r="B2649" t="s">
        <v>7694</v>
      </c>
      <c r="C2649" t="s">
        <v>7695</v>
      </c>
      <c r="D2649" t="s">
        <v>15</v>
      </c>
      <c r="E2649" t="s">
        <v>54</v>
      </c>
      <c r="F2649" t="s">
        <v>36</v>
      </c>
      <c r="G2649" t="s">
        <v>73</v>
      </c>
      <c r="H2649" t="s">
        <v>19</v>
      </c>
      <c r="I2649">
        <v>5</v>
      </c>
      <c r="J2649">
        <v>8</v>
      </c>
      <c r="K2649">
        <v>7.05</v>
      </c>
      <c r="L2649">
        <v>1</v>
      </c>
    </row>
    <row r="2650" spans="1:12">
      <c r="A2650" t="s">
        <v>7696</v>
      </c>
      <c r="B2650" t="s">
        <v>7697</v>
      </c>
      <c r="C2650" t="s">
        <v>7698</v>
      </c>
      <c r="D2650" t="s">
        <v>35</v>
      </c>
      <c r="E2650" t="s">
        <v>59</v>
      </c>
      <c r="F2650" t="s">
        <v>29</v>
      </c>
      <c r="G2650" t="s">
        <v>37</v>
      </c>
      <c r="H2650" t="s">
        <v>19</v>
      </c>
      <c r="I2650">
        <v>5</v>
      </c>
      <c r="J2650">
        <v>48</v>
      </c>
      <c r="K2650">
        <v>38.909999999999997</v>
      </c>
      <c r="L2650">
        <v>1</v>
      </c>
    </row>
    <row r="2651" spans="1:12">
      <c r="A2651" t="s">
        <v>7699</v>
      </c>
      <c r="B2651" t="s">
        <v>7700</v>
      </c>
      <c r="C2651" t="s">
        <v>7701</v>
      </c>
      <c r="D2651" t="s">
        <v>23</v>
      </c>
      <c r="E2651" t="s">
        <v>54</v>
      </c>
      <c r="F2651" t="s">
        <v>36</v>
      </c>
      <c r="G2651" t="s">
        <v>105</v>
      </c>
      <c r="H2651" t="s">
        <v>31</v>
      </c>
      <c r="I2651">
        <v>5</v>
      </c>
      <c r="J2651">
        <v>24</v>
      </c>
      <c r="K2651">
        <v>7.41</v>
      </c>
      <c r="L2651">
        <v>1</v>
      </c>
    </row>
    <row r="2652" spans="1:12">
      <c r="A2652" t="s">
        <v>7702</v>
      </c>
      <c r="B2652" t="s">
        <v>7703</v>
      </c>
      <c r="C2652" t="s">
        <v>7704</v>
      </c>
      <c r="D2652" t="s">
        <v>23</v>
      </c>
      <c r="E2652" t="s">
        <v>24</v>
      </c>
      <c r="F2652" t="s">
        <v>29</v>
      </c>
      <c r="G2652" t="s">
        <v>50</v>
      </c>
      <c r="H2652" t="s">
        <v>19</v>
      </c>
      <c r="I2652">
        <v>3</v>
      </c>
      <c r="J2652">
        <v>24</v>
      </c>
      <c r="K2652">
        <v>35.6</v>
      </c>
      <c r="L2652">
        <v>0</v>
      </c>
    </row>
    <row r="2653" spans="1:12">
      <c r="A2653" t="s">
        <v>7705</v>
      </c>
      <c r="B2653" t="s">
        <v>7706</v>
      </c>
      <c r="C2653" t="s">
        <v>7707</v>
      </c>
      <c r="D2653" t="s">
        <v>158</v>
      </c>
      <c r="E2653" t="s">
        <v>59</v>
      </c>
      <c r="F2653" t="s">
        <v>60</v>
      </c>
      <c r="G2653" t="s">
        <v>73</v>
      </c>
      <c r="H2653" t="s">
        <v>19</v>
      </c>
      <c r="I2653">
        <v>4</v>
      </c>
      <c r="J2653">
        <v>4</v>
      </c>
      <c r="K2653">
        <v>1.49</v>
      </c>
      <c r="L2653">
        <v>1</v>
      </c>
    </row>
    <row r="2654" spans="1:12">
      <c r="A2654" t="s">
        <v>7708</v>
      </c>
      <c r="B2654" t="s">
        <v>7709</v>
      </c>
      <c r="D2654" t="s">
        <v>35</v>
      </c>
      <c r="E2654" t="s">
        <v>16</v>
      </c>
      <c r="F2654" t="s">
        <v>36</v>
      </c>
      <c r="G2654" t="s">
        <v>50</v>
      </c>
      <c r="H2654" t="s">
        <v>46</v>
      </c>
      <c r="J2654">
        <v>48</v>
      </c>
    </row>
    <row r="2655" spans="1:12">
      <c r="A2655" t="s">
        <v>7710</v>
      </c>
      <c r="B2655" t="s">
        <v>7711</v>
      </c>
      <c r="D2655" t="s">
        <v>15</v>
      </c>
      <c r="E2655" t="s">
        <v>28</v>
      </c>
      <c r="F2655" t="s">
        <v>60</v>
      </c>
      <c r="G2655" t="s">
        <v>105</v>
      </c>
      <c r="H2655" t="s">
        <v>63</v>
      </c>
      <c r="J2655">
        <v>8</v>
      </c>
    </row>
    <row r="2656" spans="1:12">
      <c r="A2656" t="s">
        <v>7712</v>
      </c>
      <c r="B2656" t="s">
        <v>7713</v>
      </c>
      <c r="C2656" t="s">
        <v>7714</v>
      </c>
      <c r="D2656" t="s">
        <v>158</v>
      </c>
      <c r="E2656" t="s">
        <v>28</v>
      </c>
      <c r="F2656" t="s">
        <v>41</v>
      </c>
      <c r="G2656" t="s">
        <v>73</v>
      </c>
      <c r="H2656" t="s">
        <v>19</v>
      </c>
      <c r="I2656">
        <v>4</v>
      </c>
      <c r="J2656">
        <v>4</v>
      </c>
      <c r="K2656">
        <v>1.91</v>
      </c>
      <c r="L2656">
        <v>1</v>
      </c>
    </row>
    <row r="2657" spans="1:12">
      <c r="A2657" t="s">
        <v>7715</v>
      </c>
      <c r="B2657" t="s">
        <v>7716</v>
      </c>
      <c r="C2657" t="s">
        <v>7717</v>
      </c>
      <c r="D2657" t="s">
        <v>35</v>
      </c>
      <c r="E2657" t="s">
        <v>54</v>
      </c>
      <c r="F2657" t="s">
        <v>17</v>
      </c>
      <c r="G2657" t="s">
        <v>18</v>
      </c>
      <c r="H2657" t="s">
        <v>31</v>
      </c>
      <c r="I2657">
        <v>5</v>
      </c>
      <c r="J2657">
        <v>48</v>
      </c>
      <c r="K2657">
        <v>31.03</v>
      </c>
      <c r="L2657">
        <v>1</v>
      </c>
    </row>
    <row r="2658" spans="1:12">
      <c r="A2658" t="s">
        <v>7718</v>
      </c>
      <c r="B2658" t="s">
        <v>7719</v>
      </c>
      <c r="C2658" t="s">
        <v>7720</v>
      </c>
      <c r="D2658" t="s">
        <v>15</v>
      </c>
      <c r="E2658" t="s">
        <v>24</v>
      </c>
      <c r="F2658" t="s">
        <v>41</v>
      </c>
      <c r="G2658" t="s">
        <v>45</v>
      </c>
      <c r="H2658" t="s">
        <v>19</v>
      </c>
      <c r="I2658">
        <v>4</v>
      </c>
      <c r="J2658">
        <v>8</v>
      </c>
      <c r="K2658">
        <v>1.47</v>
      </c>
      <c r="L2658">
        <v>1</v>
      </c>
    </row>
    <row r="2659" spans="1:12">
      <c r="A2659" t="s">
        <v>7721</v>
      </c>
      <c r="B2659" t="s">
        <v>7722</v>
      </c>
      <c r="C2659" t="s">
        <v>7723</v>
      </c>
      <c r="D2659" t="s">
        <v>35</v>
      </c>
      <c r="E2659" t="s">
        <v>24</v>
      </c>
      <c r="F2659" t="s">
        <v>17</v>
      </c>
      <c r="G2659" t="s">
        <v>50</v>
      </c>
      <c r="H2659" t="s">
        <v>19</v>
      </c>
      <c r="I2659">
        <v>5</v>
      </c>
      <c r="J2659">
        <v>48</v>
      </c>
      <c r="K2659">
        <v>41.31</v>
      </c>
      <c r="L2659">
        <v>1</v>
      </c>
    </row>
    <row r="2660" spans="1:12">
      <c r="A2660" t="s">
        <v>7724</v>
      </c>
      <c r="B2660" t="s">
        <v>7725</v>
      </c>
      <c r="C2660" t="s">
        <v>7726</v>
      </c>
      <c r="D2660" t="s">
        <v>35</v>
      </c>
      <c r="E2660" t="s">
        <v>16</v>
      </c>
      <c r="F2660" t="s">
        <v>36</v>
      </c>
      <c r="G2660" t="s">
        <v>37</v>
      </c>
      <c r="H2660" t="s">
        <v>31</v>
      </c>
      <c r="I2660">
        <v>4</v>
      </c>
      <c r="J2660">
        <v>48</v>
      </c>
      <c r="K2660">
        <v>15.04</v>
      </c>
      <c r="L2660">
        <v>1</v>
      </c>
    </row>
    <row r="2661" spans="1:12">
      <c r="A2661" t="s">
        <v>7727</v>
      </c>
      <c r="B2661" t="s">
        <v>7728</v>
      </c>
      <c r="C2661" t="s">
        <v>7729</v>
      </c>
      <c r="D2661" t="s">
        <v>35</v>
      </c>
      <c r="E2661" t="s">
        <v>59</v>
      </c>
      <c r="F2661" t="s">
        <v>41</v>
      </c>
      <c r="G2661" t="s">
        <v>42</v>
      </c>
      <c r="H2661" t="s">
        <v>19</v>
      </c>
      <c r="I2661">
        <v>2</v>
      </c>
      <c r="J2661">
        <v>48</v>
      </c>
      <c r="K2661">
        <v>59.77</v>
      </c>
      <c r="L2661">
        <v>0</v>
      </c>
    </row>
    <row r="2662" spans="1:12">
      <c r="A2662" t="s">
        <v>7730</v>
      </c>
      <c r="B2662" t="s">
        <v>7731</v>
      </c>
      <c r="C2662" t="s">
        <v>7732</v>
      </c>
      <c r="D2662" t="s">
        <v>35</v>
      </c>
      <c r="E2662" t="s">
        <v>16</v>
      </c>
      <c r="F2662" t="s">
        <v>41</v>
      </c>
      <c r="G2662" t="s">
        <v>55</v>
      </c>
      <c r="H2662" t="s">
        <v>31</v>
      </c>
      <c r="I2662">
        <v>4</v>
      </c>
      <c r="J2662">
        <v>48</v>
      </c>
      <c r="K2662">
        <v>17.03</v>
      </c>
      <c r="L2662">
        <v>1</v>
      </c>
    </row>
    <row r="2663" spans="1:12">
      <c r="A2663" t="s">
        <v>7733</v>
      </c>
      <c r="B2663" t="s">
        <v>7734</v>
      </c>
      <c r="C2663" t="s">
        <v>7735</v>
      </c>
      <c r="D2663" t="s">
        <v>15</v>
      </c>
      <c r="E2663" t="s">
        <v>54</v>
      </c>
      <c r="F2663" t="s">
        <v>41</v>
      </c>
      <c r="G2663" t="s">
        <v>45</v>
      </c>
      <c r="H2663" t="s">
        <v>19</v>
      </c>
      <c r="I2663">
        <v>4</v>
      </c>
      <c r="J2663">
        <v>8</v>
      </c>
      <c r="K2663">
        <v>6.03</v>
      </c>
      <c r="L2663">
        <v>1</v>
      </c>
    </row>
    <row r="2664" spans="1:12">
      <c r="A2664" t="s">
        <v>7736</v>
      </c>
      <c r="B2664" t="s">
        <v>7737</v>
      </c>
      <c r="C2664" t="s">
        <v>7738</v>
      </c>
      <c r="D2664" t="s">
        <v>15</v>
      </c>
      <c r="E2664" t="s">
        <v>16</v>
      </c>
      <c r="F2664" t="s">
        <v>17</v>
      </c>
      <c r="G2664" t="s">
        <v>77</v>
      </c>
      <c r="H2664" t="s">
        <v>31</v>
      </c>
      <c r="I2664">
        <v>5</v>
      </c>
      <c r="J2664">
        <v>8</v>
      </c>
      <c r="K2664">
        <v>3.85</v>
      </c>
      <c r="L2664">
        <v>1</v>
      </c>
    </row>
    <row r="2665" spans="1:12">
      <c r="A2665" t="s">
        <v>7739</v>
      </c>
      <c r="B2665" t="s">
        <v>7740</v>
      </c>
      <c r="C2665" t="s">
        <v>7741</v>
      </c>
      <c r="D2665" t="s">
        <v>15</v>
      </c>
      <c r="E2665" t="s">
        <v>16</v>
      </c>
      <c r="F2665" t="s">
        <v>60</v>
      </c>
      <c r="G2665" t="s">
        <v>172</v>
      </c>
      <c r="H2665" t="s">
        <v>31</v>
      </c>
      <c r="I2665">
        <v>4</v>
      </c>
      <c r="J2665">
        <v>8</v>
      </c>
      <c r="K2665">
        <v>5.98</v>
      </c>
      <c r="L2665">
        <v>1</v>
      </c>
    </row>
    <row r="2666" spans="1:12">
      <c r="A2666" t="s">
        <v>7742</v>
      </c>
      <c r="B2666" t="s">
        <v>7743</v>
      </c>
      <c r="C2666" t="s">
        <v>7744</v>
      </c>
      <c r="D2666" t="s">
        <v>158</v>
      </c>
      <c r="E2666" t="s">
        <v>54</v>
      </c>
      <c r="F2666" t="s">
        <v>17</v>
      </c>
      <c r="G2666" t="s">
        <v>18</v>
      </c>
      <c r="H2666" t="s">
        <v>19</v>
      </c>
      <c r="I2666">
        <v>5</v>
      </c>
      <c r="J2666">
        <v>4</v>
      </c>
      <c r="K2666">
        <v>1.3</v>
      </c>
      <c r="L2666">
        <v>1</v>
      </c>
    </row>
    <row r="2667" spans="1:12">
      <c r="A2667" t="s">
        <v>7745</v>
      </c>
      <c r="B2667" t="s">
        <v>7746</v>
      </c>
      <c r="C2667" t="s">
        <v>7747</v>
      </c>
      <c r="D2667" t="s">
        <v>23</v>
      </c>
      <c r="E2667" t="s">
        <v>28</v>
      </c>
      <c r="F2667" t="s">
        <v>29</v>
      </c>
      <c r="G2667" t="s">
        <v>151</v>
      </c>
      <c r="H2667" t="s">
        <v>31</v>
      </c>
      <c r="I2667">
        <v>4</v>
      </c>
      <c r="J2667">
        <v>24</v>
      </c>
      <c r="K2667">
        <v>21.65</v>
      </c>
      <c r="L2667">
        <v>1</v>
      </c>
    </row>
    <row r="2668" spans="1:12">
      <c r="A2668" t="s">
        <v>7748</v>
      </c>
      <c r="B2668" t="s">
        <v>7749</v>
      </c>
      <c r="C2668" t="s">
        <v>7750</v>
      </c>
      <c r="D2668" t="s">
        <v>23</v>
      </c>
      <c r="E2668" t="s">
        <v>28</v>
      </c>
      <c r="F2668" t="s">
        <v>60</v>
      </c>
      <c r="G2668" t="s">
        <v>55</v>
      </c>
      <c r="H2668" t="s">
        <v>19</v>
      </c>
      <c r="I2668">
        <v>4</v>
      </c>
      <c r="J2668">
        <v>24</v>
      </c>
      <c r="K2668">
        <v>14.26</v>
      </c>
      <c r="L2668">
        <v>1</v>
      </c>
    </row>
    <row r="2669" spans="1:12">
      <c r="A2669" t="s">
        <v>7751</v>
      </c>
      <c r="B2669" t="s">
        <v>7752</v>
      </c>
      <c r="C2669" t="s">
        <v>7753</v>
      </c>
      <c r="D2669" t="s">
        <v>158</v>
      </c>
      <c r="E2669" t="s">
        <v>54</v>
      </c>
      <c r="F2669" t="s">
        <v>36</v>
      </c>
      <c r="G2669" t="s">
        <v>45</v>
      </c>
      <c r="H2669" t="s">
        <v>19</v>
      </c>
      <c r="I2669">
        <v>3</v>
      </c>
      <c r="J2669">
        <v>4</v>
      </c>
      <c r="K2669">
        <v>1.8</v>
      </c>
      <c r="L2669">
        <v>1</v>
      </c>
    </row>
    <row r="2670" spans="1:12">
      <c r="A2670" t="s">
        <v>7754</v>
      </c>
      <c r="B2670" t="s">
        <v>7755</v>
      </c>
      <c r="C2670" t="s">
        <v>7756</v>
      </c>
      <c r="D2670" t="s">
        <v>23</v>
      </c>
      <c r="E2670" t="s">
        <v>59</v>
      </c>
      <c r="F2670" t="s">
        <v>60</v>
      </c>
      <c r="G2670" t="s">
        <v>45</v>
      </c>
      <c r="H2670" t="s">
        <v>19</v>
      </c>
      <c r="I2670">
        <v>4</v>
      </c>
      <c r="J2670">
        <v>24</v>
      </c>
      <c r="K2670">
        <v>10.48</v>
      </c>
      <c r="L2670">
        <v>1</v>
      </c>
    </row>
    <row r="2671" spans="1:12">
      <c r="A2671" t="s">
        <v>7757</v>
      </c>
      <c r="B2671" t="s">
        <v>7758</v>
      </c>
      <c r="C2671" t="s">
        <v>7759</v>
      </c>
      <c r="D2671" t="s">
        <v>23</v>
      </c>
      <c r="E2671" t="s">
        <v>16</v>
      </c>
      <c r="F2671" t="s">
        <v>29</v>
      </c>
      <c r="G2671" t="s">
        <v>37</v>
      </c>
      <c r="H2671" t="s">
        <v>19</v>
      </c>
      <c r="I2671">
        <v>5</v>
      </c>
      <c r="J2671">
        <v>24</v>
      </c>
      <c r="K2671">
        <v>11.93</v>
      </c>
      <c r="L2671">
        <v>1</v>
      </c>
    </row>
    <row r="2672" spans="1:12">
      <c r="A2672" t="s">
        <v>7760</v>
      </c>
      <c r="B2672" t="s">
        <v>7761</v>
      </c>
      <c r="C2672" t="s">
        <v>7762</v>
      </c>
      <c r="D2672" t="s">
        <v>23</v>
      </c>
      <c r="E2672" t="s">
        <v>28</v>
      </c>
      <c r="F2672" t="s">
        <v>36</v>
      </c>
      <c r="G2672" t="s">
        <v>172</v>
      </c>
      <c r="H2672" t="s">
        <v>31</v>
      </c>
      <c r="I2672">
        <v>2</v>
      </c>
      <c r="J2672">
        <v>24</v>
      </c>
      <c r="K2672">
        <v>29.28</v>
      </c>
      <c r="L2672">
        <v>0</v>
      </c>
    </row>
    <row r="2673" spans="1:12">
      <c r="A2673" t="s">
        <v>7763</v>
      </c>
      <c r="B2673" t="s">
        <v>7764</v>
      </c>
      <c r="C2673" t="s">
        <v>7765</v>
      </c>
      <c r="D2673" t="s">
        <v>23</v>
      </c>
      <c r="E2673" t="s">
        <v>54</v>
      </c>
      <c r="F2673" t="s">
        <v>36</v>
      </c>
      <c r="G2673" t="s">
        <v>73</v>
      </c>
      <c r="H2673" t="s">
        <v>19</v>
      </c>
      <c r="I2673">
        <v>3</v>
      </c>
      <c r="J2673">
        <v>24</v>
      </c>
      <c r="K2673">
        <v>33.01</v>
      </c>
      <c r="L2673">
        <v>0</v>
      </c>
    </row>
    <row r="2674" spans="1:12">
      <c r="A2674" t="s">
        <v>7766</v>
      </c>
      <c r="B2674" t="s">
        <v>7767</v>
      </c>
      <c r="C2674" t="s">
        <v>7768</v>
      </c>
      <c r="D2674" t="s">
        <v>23</v>
      </c>
      <c r="E2674" t="s">
        <v>28</v>
      </c>
      <c r="F2674" t="s">
        <v>36</v>
      </c>
      <c r="G2674" t="s">
        <v>105</v>
      </c>
      <c r="H2674" t="s">
        <v>19</v>
      </c>
      <c r="I2674">
        <v>1</v>
      </c>
      <c r="J2674">
        <v>24</v>
      </c>
      <c r="K2674">
        <v>51.51</v>
      </c>
      <c r="L2674">
        <v>0</v>
      </c>
    </row>
    <row r="2675" spans="1:12">
      <c r="A2675" t="s">
        <v>7769</v>
      </c>
      <c r="B2675" t="s">
        <v>7770</v>
      </c>
      <c r="C2675" t="s">
        <v>7771</v>
      </c>
      <c r="D2675" t="s">
        <v>23</v>
      </c>
      <c r="E2675" t="s">
        <v>16</v>
      </c>
      <c r="F2675" t="s">
        <v>41</v>
      </c>
      <c r="G2675" t="s">
        <v>30</v>
      </c>
      <c r="H2675" t="s">
        <v>19</v>
      </c>
      <c r="I2675">
        <v>4</v>
      </c>
      <c r="J2675">
        <v>24</v>
      </c>
      <c r="K2675">
        <v>16.8</v>
      </c>
      <c r="L2675">
        <v>1</v>
      </c>
    </row>
    <row r="2676" spans="1:12">
      <c r="A2676" t="s">
        <v>7772</v>
      </c>
      <c r="B2676" t="s">
        <v>7773</v>
      </c>
      <c r="C2676" t="s">
        <v>7774</v>
      </c>
      <c r="D2676" t="s">
        <v>23</v>
      </c>
      <c r="E2676" t="s">
        <v>28</v>
      </c>
      <c r="F2676" t="s">
        <v>17</v>
      </c>
      <c r="G2676" t="s">
        <v>30</v>
      </c>
      <c r="H2676" t="s">
        <v>19</v>
      </c>
      <c r="I2676">
        <v>3</v>
      </c>
      <c r="J2676">
        <v>24</v>
      </c>
      <c r="K2676">
        <v>15.98</v>
      </c>
      <c r="L2676">
        <v>1</v>
      </c>
    </row>
    <row r="2677" spans="1:12">
      <c r="A2677" t="s">
        <v>7775</v>
      </c>
      <c r="B2677" t="s">
        <v>7776</v>
      </c>
      <c r="D2677" t="s">
        <v>23</v>
      </c>
      <c r="E2677" t="s">
        <v>16</v>
      </c>
      <c r="F2677" t="s">
        <v>36</v>
      </c>
      <c r="G2677" t="s">
        <v>77</v>
      </c>
      <c r="H2677" t="s">
        <v>63</v>
      </c>
      <c r="J2677">
        <v>24</v>
      </c>
    </row>
    <row r="2678" spans="1:12">
      <c r="A2678" t="s">
        <v>7777</v>
      </c>
      <c r="B2678" t="s">
        <v>7778</v>
      </c>
      <c r="C2678" t="s">
        <v>7779</v>
      </c>
      <c r="D2678" t="s">
        <v>23</v>
      </c>
      <c r="E2678" t="s">
        <v>28</v>
      </c>
      <c r="F2678" t="s">
        <v>41</v>
      </c>
      <c r="G2678" t="s">
        <v>55</v>
      </c>
      <c r="H2678" t="s">
        <v>31</v>
      </c>
      <c r="I2678">
        <v>5</v>
      </c>
      <c r="J2678">
        <v>24</v>
      </c>
      <c r="K2678">
        <v>14.93</v>
      </c>
      <c r="L2678">
        <v>1</v>
      </c>
    </row>
    <row r="2679" spans="1:12">
      <c r="A2679" t="s">
        <v>7780</v>
      </c>
      <c r="B2679" t="s">
        <v>7781</v>
      </c>
      <c r="C2679" t="s">
        <v>7782</v>
      </c>
      <c r="D2679" t="s">
        <v>23</v>
      </c>
      <c r="E2679" t="s">
        <v>28</v>
      </c>
      <c r="F2679" t="s">
        <v>29</v>
      </c>
      <c r="G2679" t="s">
        <v>18</v>
      </c>
      <c r="H2679" t="s">
        <v>19</v>
      </c>
      <c r="I2679">
        <v>5</v>
      </c>
      <c r="J2679">
        <v>24</v>
      </c>
      <c r="K2679">
        <v>14.6</v>
      </c>
      <c r="L2679">
        <v>1</v>
      </c>
    </row>
    <row r="2680" spans="1:12">
      <c r="A2680" t="s">
        <v>7783</v>
      </c>
      <c r="B2680" t="s">
        <v>7784</v>
      </c>
      <c r="C2680" t="s">
        <v>7785</v>
      </c>
      <c r="D2680" t="s">
        <v>23</v>
      </c>
      <c r="E2680" t="s">
        <v>28</v>
      </c>
      <c r="F2680" t="s">
        <v>41</v>
      </c>
      <c r="G2680" t="s">
        <v>18</v>
      </c>
      <c r="H2680" t="s">
        <v>19</v>
      </c>
      <c r="I2680">
        <v>5</v>
      </c>
      <c r="J2680">
        <v>24</v>
      </c>
      <c r="K2680">
        <v>16.61</v>
      </c>
      <c r="L2680">
        <v>1</v>
      </c>
    </row>
    <row r="2681" spans="1:12">
      <c r="A2681" t="s">
        <v>7786</v>
      </c>
      <c r="B2681" t="s">
        <v>7787</v>
      </c>
      <c r="C2681" t="s">
        <v>7788</v>
      </c>
      <c r="D2681" t="s">
        <v>35</v>
      </c>
      <c r="E2681" t="s">
        <v>16</v>
      </c>
      <c r="F2681" t="s">
        <v>41</v>
      </c>
      <c r="G2681" t="s">
        <v>30</v>
      </c>
      <c r="H2681" t="s">
        <v>31</v>
      </c>
      <c r="I2681">
        <v>4</v>
      </c>
      <c r="J2681">
        <v>48</v>
      </c>
      <c r="K2681">
        <v>45.37</v>
      </c>
      <c r="L2681">
        <v>1</v>
      </c>
    </row>
    <row r="2682" spans="1:12">
      <c r="A2682" t="s">
        <v>7789</v>
      </c>
      <c r="B2682" t="s">
        <v>7790</v>
      </c>
      <c r="C2682" t="s">
        <v>7791</v>
      </c>
      <c r="D2682" t="s">
        <v>35</v>
      </c>
      <c r="E2682" t="s">
        <v>54</v>
      </c>
      <c r="F2682" t="s">
        <v>60</v>
      </c>
      <c r="G2682" t="s">
        <v>73</v>
      </c>
      <c r="H2682" t="s">
        <v>19</v>
      </c>
      <c r="I2682">
        <v>4</v>
      </c>
      <c r="J2682">
        <v>48</v>
      </c>
      <c r="K2682">
        <v>23.38</v>
      </c>
      <c r="L2682">
        <v>1</v>
      </c>
    </row>
    <row r="2683" spans="1:12">
      <c r="A2683" t="s">
        <v>7792</v>
      </c>
      <c r="B2683" t="s">
        <v>7793</v>
      </c>
      <c r="C2683" t="s">
        <v>7794</v>
      </c>
      <c r="D2683" t="s">
        <v>23</v>
      </c>
      <c r="E2683" t="s">
        <v>16</v>
      </c>
      <c r="F2683" t="s">
        <v>36</v>
      </c>
      <c r="G2683" t="s">
        <v>77</v>
      </c>
      <c r="H2683" t="s">
        <v>31</v>
      </c>
      <c r="I2683">
        <v>4</v>
      </c>
      <c r="J2683">
        <v>24</v>
      </c>
      <c r="K2683">
        <v>11.43</v>
      </c>
      <c r="L2683">
        <v>1</v>
      </c>
    </row>
    <row r="2684" spans="1:12">
      <c r="A2684" t="s">
        <v>7795</v>
      </c>
      <c r="B2684" t="s">
        <v>7796</v>
      </c>
      <c r="C2684" t="s">
        <v>7797</v>
      </c>
      <c r="D2684" t="s">
        <v>15</v>
      </c>
      <c r="E2684" t="s">
        <v>24</v>
      </c>
      <c r="F2684" t="s">
        <v>36</v>
      </c>
      <c r="G2684" t="s">
        <v>37</v>
      </c>
      <c r="H2684" t="s">
        <v>31</v>
      </c>
      <c r="I2684">
        <v>5</v>
      </c>
      <c r="J2684">
        <v>8</v>
      </c>
      <c r="K2684">
        <v>7.34</v>
      </c>
      <c r="L2684">
        <v>1</v>
      </c>
    </row>
    <row r="2685" spans="1:12">
      <c r="A2685" t="s">
        <v>7798</v>
      </c>
      <c r="B2685" t="s">
        <v>7799</v>
      </c>
      <c r="C2685" t="s">
        <v>7800</v>
      </c>
      <c r="D2685" t="s">
        <v>23</v>
      </c>
      <c r="E2685" t="s">
        <v>59</v>
      </c>
      <c r="F2685" t="s">
        <v>60</v>
      </c>
      <c r="G2685" t="s">
        <v>55</v>
      </c>
      <c r="H2685" t="s">
        <v>19</v>
      </c>
      <c r="I2685">
        <v>1</v>
      </c>
      <c r="J2685">
        <v>24</v>
      </c>
      <c r="K2685">
        <v>64.48</v>
      </c>
      <c r="L2685">
        <v>0</v>
      </c>
    </row>
    <row r="2686" spans="1:12">
      <c r="A2686" t="s">
        <v>7801</v>
      </c>
      <c r="B2686" t="s">
        <v>7802</v>
      </c>
      <c r="C2686" t="s">
        <v>7803</v>
      </c>
      <c r="D2686" t="s">
        <v>35</v>
      </c>
      <c r="E2686" t="s">
        <v>59</v>
      </c>
      <c r="F2686" t="s">
        <v>41</v>
      </c>
      <c r="G2686" t="s">
        <v>42</v>
      </c>
      <c r="H2686" t="s">
        <v>31</v>
      </c>
      <c r="I2686">
        <v>5</v>
      </c>
      <c r="J2686">
        <v>48</v>
      </c>
      <c r="K2686">
        <v>17.97</v>
      </c>
      <c r="L2686">
        <v>1</v>
      </c>
    </row>
    <row r="2687" spans="1:12">
      <c r="A2687" t="s">
        <v>7804</v>
      </c>
      <c r="B2687" t="s">
        <v>7805</v>
      </c>
      <c r="C2687" t="s">
        <v>7806</v>
      </c>
      <c r="D2687" t="s">
        <v>23</v>
      </c>
      <c r="E2687" t="s">
        <v>28</v>
      </c>
      <c r="F2687" t="s">
        <v>36</v>
      </c>
      <c r="G2687" t="s">
        <v>50</v>
      </c>
      <c r="H2687" t="s">
        <v>31</v>
      </c>
      <c r="I2687">
        <v>3</v>
      </c>
      <c r="J2687">
        <v>24</v>
      </c>
      <c r="K2687">
        <v>50.19</v>
      </c>
      <c r="L2687">
        <v>0</v>
      </c>
    </row>
    <row r="2688" spans="1:12">
      <c r="A2688" t="s">
        <v>7807</v>
      </c>
      <c r="B2688" t="s">
        <v>7808</v>
      </c>
      <c r="C2688" t="s">
        <v>7809</v>
      </c>
      <c r="D2688" t="s">
        <v>23</v>
      </c>
      <c r="E2688" t="s">
        <v>24</v>
      </c>
      <c r="F2688" t="s">
        <v>60</v>
      </c>
      <c r="G2688" t="s">
        <v>45</v>
      </c>
      <c r="H2688" t="s">
        <v>19</v>
      </c>
      <c r="I2688">
        <v>5</v>
      </c>
      <c r="J2688">
        <v>24</v>
      </c>
      <c r="K2688">
        <v>16.59</v>
      </c>
      <c r="L2688">
        <v>1</v>
      </c>
    </row>
    <row r="2689" spans="1:12">
      <c r="A2689" t="s">
        <v>7810</v>
      </c>
      <c r="B2689" t="s">
        <v>7811</v>
      </c>
      <c r="C2689" t="s">
        <v>7812</v>
      </c>
      <c r="D2689" t="s">
        <v>15</v>
      </c>
      <c r="E2689" t="s">
        <v>16</v>
      </c>
      <c r="F2689" t="s">
        <v>17</v>
      </c>
      <c r="G2689" t="s">
        <v>172</v>
      </c>
      <c r="H2689" t="s">
        <v>19</v>
      </c>
      <c r="I2689">
        <v>1</v>
      </c>
      <c r="J2689">
        <v>8</v>
      </c>
      <c r="K2689">
        <v>17.78</v>
      </c>
      <c r="L2689">
        <v>0</v>
      </c>
    </row>
    <row r="2690" spans="1:12">
      <c r="A2690" t="s">
        <v>7813</v>
      </c>
      <c r="B2690" t="s">
        <v>7814</v>
      </c>
      <c r="C2690" t="s">
        <v>7815</v>
      </c>
      <c r="D2690" t="s">
        <v>23</v>
      </c>
      <c r="E2690" t="s">
        <v>54</v>
      </c>
      <c r="F2690" t="s">
        <v>41</v>
      </c>
      <c r="G2690" t="s">
        <v>50</v>
      </c>
      <c r="H2690" t="s">
        <v>19</v>
      </c>
      <c r="I2690">
        <v>5</v>
      </c>
      <c r="J2690">
        <v>24</v>
      </c>
      <c r="K2690">
        <v>6.06</v>
      </c>
      <c r="L2690">
        <v>1</v>
      </c>
    </row>
    <row r="2691" spans="1:12">
      <c r="A2691" t="s">
        <v>7816</v>
      </c>
      <c r="B2691" t="s">
        <v>7817</v>
      </c>
      <c r="D2691" t="s">
        <v>23</v>
      </c>
      <c r="E2691" t="s">
        <v>28</v>
      </c>
      <c r="F2691" t="s">
        <v>29</v>
      </c>
      <c r="G2691" t="s">
        <v>45</v>
      </c>
      <c r="H2691" t="s">
        <v>46</v>
      </c>
      <c r="J2691">
        <v>24</v>
      </c>
    </row>
    <row r="2692" spans="1:12">
      <c r="A2692" t="s">
        <v>7818</v>
      </c>
      <c r="B2692" t="s">
        <v>7819</v>
      </c>
      <c r="D2692" t="s">
        <v>15</v>
      </c>
      <c r="E2692" t="s">
        <v>59</v>
      </c>
      <c r="F2692" t="s">
        <v>17</v>
      </c>
      <c r="G2692" t="s">
        <v>77</v>
      </c>
      <c r="H2692" t="s">
        <v>63</v>
      </c>
      <c r="J2692">
        <v>8</v>
      </c>
    </row>
    <row r="2693" spans="1:12">
      <c r="A2693" t="s">
        <v>7820</v>
      </c>
      <c r="B2693" t="s">
        <v>7821</v>
      </c>
      <c r="C2693" t="s">
        <v>7822</v>
      </c>
      <c r="D2693" t="s">
        <v>23</v>
      </c>
      <c r="E2693" t="s">
        <v>54</v>
      </c>
      <c r="F2693" t="s">
        <v>17</v>
      </c>
      <c r="G2693" t="s">
        <v>30</v>
      </c>
      <c r="H2693" t="s">
        <v>31</v>
      </c>
      <c r="I2693">
        <v>5</v>
      </c>
      <c r="J2693">
        <v>24</v>
      </c>
      <c r="K2693">
        <v>16.55</v>
      </c>
      <c r="L2693">
        <v>1</v>
      </c>
    </row>
    <row r="2694" spans="1:12">
      <c r="A2694" t="s">
        <v>7823</v>
      </c>
      <c r="B2694" t="s">
        <v>7824</v>
      </c>
      <c r="C2694" t="s">
        <v>7825</v>
      </c>
      <c r="D2694" t="s">
        <v>23</v>
      </c>
      <c r="E2694" t="s">
        <v>28</v>
      </c>
      <c r="F2694" t="s">
        <v>41</v>
      </c>
      <c r="G2694" t="s">
        <v>50</v>
      </c>
      <c r="H2694" t="s">
        <v>19</v>
      </c>
      <c r="I2694">
        <v>2</v>
      </c>
      <c r="J2694">
        <v>24</v>
      </c>
      <c r="K2694">
        <v>43.28</v>
      </c>
      <c r="L2694">
        <v>0</v>
      </c>
    </row>
    <row r="2695" spans="1:12">
      <c r="A2695" t="s">
        <v>7826</v>
      </c>
      <c r="B2695" t="s">
        <v>7827</v>
      </c>
      <c r="C2695" t="s">
        <v>7828</v>
      </c>
      <c r="D2695" t="s">
        <v>15</v>
      </c>
      <c r="E2695" t="s">
        <v>28</v>
      </c>
      <c r="F2695" t="s">
        <v>36</v>
      </c>
      <c r="G2695" t="s">
        <v>172</v>
      </c>
      <c r="H2695" t="s">
        <v>31</v>
      </c>
      <c r="I2695">
        <v>5</v>
      </c>
      <c r="J2695">
        <v>8</v>
      </c>
      <c r="K2695">
        <v>6.67</v>
      </c>
      <c r="L2695">
        <v>1</v>
      </c>
    </row>
    <row r="2696" spans="1:12">
      <c r="A2696" t="s">
        <v>7829</v>
      </c>
      <c r="B2696" t="s">
        <v>7830</v>
      </c>
      <c r="D2696" t="s">
        <v>158</v>
      </c>
      <c r="E2696" t="s">
        <v>28</v>
      </c>
      <c r="F2696" t="s">
        <v>29</v>
      </c>
      <c r="G2696" t="s">
        <v>55</v>
      </c>
      <c r="H2696" t="s">
        <v>63</v>
      </c>
      <c r="J2696">
        <v>4</v>
      </c>
    </row>
    <row r="2697" spans="1:12">
      <c r="A2697" t="s">
        <v>7831</v>
      </c>
      <c r="B2697" t="s">
        <v>7832</v>
      </c>
      <c r="C2697" t="s">
        <v>7833</v>
      </c>
      <c r="D2697" t="s">
        <v>15</v>
      </c>
      <c r="E2697" t="s">
        <v>16</v>
      </c>
      <c r="F2697" t="s">
        <v>60</v>
      </c>
      <c r="G2697" t="s">
        <v>42</v>
      </c>
      <c r="H2697" t="s">
        <v>19</v>
      </c>
      <c r="I2697">
        <v>3</v>
      </c>
      <c r="J2697">
        <v>8</v>
      </c>
      <c r="K2697">
        <v>3.85</v>
      </c>
      <c r="L2697">
        <v>1</v>
      </c>
    </row>
    <row r="2698" spans="1:12">
      <c r="A2698" t="s">
        <v>7834</v>
      </c>
      <c r="B2698" t="s">
        <v>7835</v>
      </c>
      <c r="C2698" t="s">
        <v>7836</v>
      </c>
      <c r="D2698" t="s">
        <v>158</v>
      </c>
      <c r="E2698" t="s">
        <v>16</v>
      </c>
      <c r="F2698" t="s">
        <v>17</v>
      </c>
      <c r="G2698" t="s">
        <v>37</v>
      </c>
      <c r="H2698" t="s">
        <v>31</v>
      </c>
      <c r="I2698">
        <v>4</v>
      </c>
      <c r="J2698">
        <v>4</v>
      </c>
      <c r="K2698">
        <v>3.39</v>
      </c>
      <c r="L2698">
        <v>1</v>
      </c>
    </row>
    <row r="2699" spans="1:12">
      <c r="A2699" t="s">
        <v>7837</v>
      </c>
      <c r="B2699" t="s">
        <v>7838</v>
      </c>
      <c r="C2699" t="s">
        <v>7839</v>
      </c>
      <c r="D2699" t="s">
        <v>23</v>
      </c>
      <c r="E2699" t="s">
        <v>24</v>
      </c>
      <c r="F2699" t="s">
        <v>36</v>
      </c>
      <c r="G2699" t="s">
        <v>50</v>
      </c>
      <c r="H2699" t="s">
        <v>19</v>
      </c>
      <c r="I2699">
        <v>5</v>
      </c>
      <c r="J2699">
        <v>24</v>
      </c>
      <c r="K2699">
        <v>5.78</v>
      </c>
      <c r="L2699">
        <v>1</v>
      </c>
    </row>
    <row r="2700" spans="1:12">
      <c r="A2700" t="s">
        <v>7840</v>
      </c>
      <c r="B2700" t="s">
        <v>7841</v>
      </c>
      <c r="C2700" t="s">
        <v>7842</v>
      </c>
      <c r="D2700" t="s">
        <v>15</v>
      </c>
      <c r="E2700" t="s">
        <v>16</v>
      </c>
      <c r="F2700" t="s">
        <v>29</v>
      </c>
      <c r="G2700" t="s">
        <v>45</v>
      </c>
      <c r="H2700" t="s">
        <v>31</v>
      </c>
      <c r="I2700">
        <v>5</v>
      </c>
      <c r="J2700">
        <v>8</v>
      </c>
      <c r="K2700">
        <v>7.24</v>
      </c>
      <c r="L2700">
        <v>1</v>
      </c>
    </row>
    <row r="2701" spans="1:12">
      <c r="A2701" t="s">
        <v>7843</v>
      </c>
      <c r="B2701" t="s">
        <v>7844</v>
      </c>
      <c r="D2701" t="s">
        <v>23</v>
      </c>
      <c r="E2701" t="s">
        <v>28</v>
      </c>
      <c r="F2701" t="s">
        <v>60</v>
      </c>
      <c r="G2701" t="s">
        <v>172</v>
      </c>
      <c r="H2701" t="s">
        <v>63</v>
      </c>
      <c r="J2701">
        <v>24</v>
      </c>
    </row>
    <row r="2702" spans="1:12">
      <c r="A2702" t="s">
        <v>7845</v>
      </c>
      <c r="B2702" t="s">
        <v>7846</v>
      </c>
      <c r="C2702" t="s">
        <v>7847</v>
      </c>
      <c r="D2702" t="s">
        <v>23</v>
      </c>
      <c r="E2702" t="s">
        <v>28</v>
      </c>
      <c r="F2702" t="s">
        <v>29</v>
      </c>
      <c r="G2702" t="s">
        <v>42</v>
      </c>
      <c r="H2702" t="s">
        <v>19</v>
      </c>
      <c r="I2702">
        <v>5</v>
      </c>
      <c r="J2702">
        <v>24</v>
      </c>
      <c r="K2702">
        <v>11.03</v>
      </c>
      <c r="L2702">
        <v>1</v>
      </c>
    </row>
    <row r="2703" spans="1:12">
      <c r="A2703" t="s">
        <v>7848</v>
      </c>
      <c r="B2703" t="s">
        <v>7849</v>
      </c>
      <c r="C2703" t="s">
        <v>7850</v>
      </c>
      <c r="D2703" t="s">
        <v>23</v>
      </c>
      <c r="E2703" t="s">
        <v>16</v>
      </c>
      <c r="F2703" t="s">
        <v>41</v>
      </c>
      <c r="G2703" t="s">
        <v>42</v>
      </c>
      <c r="H2703" t="s">
        <v>19</v>
      </c>
      <c r="I2703">
        <v>3</v>
      </c>
      <c r="J2703">
        <v>24</v>
      </c>
      <c r="K2703">
        <v>10.4</v>
      </c>
      <c r="L2703">
        <v>1</v>
      </c>
    </row>
    <row r="2704" spans="1:12">
      <c r="A2704" t="s">
        <v>7851</v>
      </c>
      <c r="B2704" t="s">
        <v>7852</v>
      </c>
      <c r="C2704" t="s">
        <v>7853</v>
      </c>
      <c r="D2704" t="s">
        <v>23</v>
      </c>
      <c r="E2704" t="s">
        <v>16</v>
      </c>
      <c r="F2704" t="s">
        <v>17</v>
      </c>
      <c r="G2704" t="s">
        <v>55</v>
      </c>
      <c r="H2704" t="s">
        <v>19</v>
      </c>
      <c r="I2704">
        <v>4</v>
      </c>
      <c r="J2704">
        <v>24</v>
      </c>
      <c r="K2704">
        <v>17.850000000000001</v>
      </c>
      <c r="L2704">
        <v>1</v>
      </c>
    </row>
    <row r="2705" spans="1:12">
      <c r="A2705" t="s">
        <v>7854</v>
      </c>
      <c r="B2705" t="s">
        <v>7855</v>
      </c>
      <c r="C2705" t="s">
        <v>7856</v>
      </c>
      <c r="D2705" t="s">
        <v>23</v>
      </c>
      <c r="E2705" t="s">
        <v>54</v>
      </c>
      <c r="F2705" t="s">
        <v>29</v>
      </c>
      <c r="G2705" t="s">
        <v>45</v>
      </c>
      <c r="H2705" t="s">
        <v>19</v>
      </c>
      <c r="I2705">
        <v>5</v>
      </c>
      <c r="J2705">
        <v>24</v>
      </c>
      <c r="K2705">
        <v>14.54</v>
      </c>
      <c r="L2705">
        <v>1</v>
      </c>
    </row>
    <row r="2706" spans="1:12">
      <c r="A2706" t="s">
        <v>7857</v>
      </c>
      <c r="B2706" t="s">
        <v>7858</v>
      </c>
      <c r="C2706" t="s">
        <v>7859</v>
      </c>
      <c r="D2706" t="s">
        <v>23</v>
      </c>
      <c r="E2706" t="s">
        <v>28</v>
      </c>
      <c r="F2706" t="s">
        <v>60</v>
      </c>
      <c r="G2706" t="s">
        <v>151</v>
      </c>
      <c r="H2706" t="s">
        <v>31</v>
      </c>
      <c r="I2706">
        <v>4</v>
      </c>
      <c r="J2706">
        <v>24</v>
      </c>
      <c r="K2706">
        <v>2.52</v>
      </c>
      <c r="L2706">
        <v>1</v>
      </c>
    </row>
    <row r="2707" spans="1:12">
      <c r="A2707" t="s">
        <v>7860</v>
      </c>
      <c r="B2707" t="s">
        <v>7861</v>
      </c>
      <c r="C2707" t="s">
        <v>7862</v>
      </c>
      <c r="D2707" t="s">
        <v>23</v>
      </c>
      <c r="E2707" t="s">
        <v>16</v>
      </c>
      <c r="F2707" t="s">
        <v>17</v>
      </c>
      <c r="G2707" t="s">
        <v>45</v>
      </c>
      <c r="H2707" t="s">
        <v>19</v>
      </c>
      <c r="I2707">
        <v>2</v>
      </c>
      <c r="J2707">
        <v>24</v>
      </c>
      <c r="K2707">
        <v>35.26</v>
      </c>
      <c r="L2707">
        <v>0</v>
      </c>
    </row>
    <row r="2708" spans="1:12">
      <c r="A2708" t="s">
        <v>7863</v>
      </c>
      <c r="B2708" t="s">
        <v>7864</v>
      </c>
      <c r="C2708" t="s">
        <v>7865</v>
      </c>
      <c r="D2708" t="s">
        <v>158</v>
      </c>
      <c r="E2708" t="s">
        <v>59</v>
      </c>
      <c r="F2708" t="s">
        <v>17</v>
      </c>
      <c r="G2708" t="s">
        <v>50</v>
      </c>
      <c r="H2708" t="s">
        <v>19</v>
      </c>
      <c r="I2708">
        <v>4</v>
      </c>
      <c r="J2708">
        <v>4</v>
      </c>
      <c r="K2708">
        <v>2.27</v>
      </c>
      <c r="L2708">
        <v>1</v>
      </c>
    </row>
    <row r="2709" spans="1:12">
      <c r="A2709" t="s">
        <v>7866</v>
      </c>
      <c r="B2709" t="s">
        <v>7867</v>
      </c>
      <c r="C2709" t="s">
        <v>7868</v>
      </c>
      <c r="D2709" t="s">
        <v>23</v>
      </c>
      <c r="E2709" t="s">
        <v>54</v>
      </c>
      <c r="F2709" t="s">
        <v>36</v>
      </c>
      <c r="G2709" t="s">
        <v>18</v>
      </c>
      <c r="H2709" t="s">
        <v>31</v>
      </c>
      <c r="I2709">
        <v>4</v>
      </c>
      <c r="J2709">
        <v>24</v>
      </c>
      <c r="K2709">
        <v>11.56</v>
      </c>
      <c r="L2709">
        <v>1</v>
      </c>
    </row>
    <row r="2710" spans="1:12">
      <c r="A2710" t="s">
        <v>7869</v>
      </c>
      <c r="B2710" t="s">
        <v>7870</v>
      </c>
      <c r="C2710" t="s">
        <v>7871</v>
      </c>
      <c r="D2710" t="s">
        <v>15</v>
      </c>
      <c r="E2710" t="s">
        <v>28</v>
      </c>
      <c r="F2710" t="s">
        <v>17</v>
      </c>
      <c r="G2710" t="s">
        <v>105</v>
      </c>
      <c r="H2710" t="s">
        <v>19</v>
      </c>
      <c r="I2710">
        <v>5</v>
      </c>
      <c r="J2710">
        <v>8</v>
      </c>
      <c r="K2710">
        <v>2.31</v>
      </c>
      <c r="L2710">
        <v>1</v>
      </c>
    </row>
    <row r="2711" spans="1:12">
      <c r="A2711" t="s">
        <v>7872</v>
      </c>
      <c r="B2711" t="s">
        <v>7873</v>
      </c>
      <c r="C2711" t="s">
        <v>7874</v>
      </c>
      <c r="D2711" t="s">
        <v>23</v>
      </c>
      <c r="E2711" t="s">
        <v>24</v>
      </c>
      <c r="F2711" t="s">
        <v>60</v>
      </c>
      <c r="G2711" t="s">
        <v>50</v>
      </c>
      <c r="H2711" t="s">
        <v>31</v>
      </c>
      <c r="I2711">
        <v>3</v>
      </c>
      <c r="J2711">
        <v>24</v>
      </c>
      <c r="K2711">
        <v>8.08</v>
      </c>
      <c r="L2711">
        <v>1</v>
      </c>
    </row>
    <row r="2712" spans="1:12">
      <c r="A2712" t="s">
        <v>7875</v>
      </c>
      <c r="B2712" t="s">
        <v>7876</v>
      </c>
      <c r="C2712" t="s">
        <v>7877</v>
      </c>
      <c r="D2712" t="s">
        <v>35</v>
      </c>
      <c r="E2712" t="s">
        <v>16</v>
      </c>
      <c r="F2712" t="s">
        <v>29</v>
      </c>
      <c r="G2712" t="s">
        <v>77</v>
      </c>
      <c r="H2712" t="s">
        <v>19</v>
      </c>
      <c r="I2712">
        <v>5</v>
      </c>
      <c r="J2712">
        <v>48</v>
      </c>
      <c r="K2712">
        <v>40.47</v>
      </c>
      <c r="L2712">
        <v>1</v>
      </c>
    </row>
    <row r="2713" spans="1:12">
      <c r="A2713" t="s">
        <v>7878</v>
      </c>
      <c r="B2713" t="s">
        <v>7879</v>
      </c>
      <c r="C2713" t="s">
        <v>7880</v>
      </c>
      <c r="D2713" t="s">
        <v>15</v>
      </c>
      <c r="E2713" t="s">
        <v>28</v>
      </c>
      <c r="F2713" t="s">
        <v>41</v>
      </c>
      <c r="G2713" t="s">
        <v>37</v>
      </c>
      <c r="H2713" t="s">
        <v>19</v>
      </c>
      <c r="I2713">
        <v>4</v>
      </c>
      <c r="J2713">
        <v>8</v>
      </c>
      <c r="K2713">
        <v>1.66</v>
      </c>
      <c r="L2713">
        <v>1</v>
      </c>
    </row>
    <row r="2714" spans="1:12">
      <c r="A2714" t="s">
        <v>7881</v>
      </c>
      <c r="B2714" t="s">
        <v>7882</v>
      </c>
      <c r="C2714" t="s">
        <v>7883</v>
      </c>
      <c r="D2714" t="s">
        <v>23</v>
      </c>
      <c r="E2714" t="s">
        <v>28</v>
      </c>
      <c r="F2714" t="s">
        <v>60</v>
      </c>
      <c r="G2714" t="s">
        <v>77</v>
      </c>
      <c r="H2714" t="s">
        <v>19</v>
      </c>
      <c r="I2714">
        <v>5</v>
      </c>
      <c r="J2714">
        <v>24</v>
      </c>
      <c r="K2714">
        <v>5.04</v>
      </c>
      <c r="L2714">
        <v>1</v>
      </c>
    </row>
    <row r="2715" spans="1:12">
      <c r="A2715" t="s">
        <v>7884</v>
      </c>
      <c r="B2715" t="s">
        <v>7885</v>
      </c>
      <c r="C2715" t="s">
        <v>7886</v>
      </c>
      <c r="D2715" t="s">
        <v>35</v>
      </c>
      <c r="E2715" t="s">
        <v>59</v>
      </c>
      <c r="F2715" t="s">
        <v>17</v>
      </c>
      <c r="G2715" t="s">
        <v>73</v>
      </c>
      <c r="H2715" t="s">
        <v>31</v>
      </c>
      <c r="I2715">
        <v>2</v>
      </c>
      <c r="J2715">
        <v>48</v>
      </c>
      <c r="K2715">
        <v>67.81</v>
      </c>
      <c r="L2715">
        <v>0</v>
      </c>
    </row>
    <row r="2716" spans="1:12">
      <c r="A2716" t="s">
        <v>7887</v>
      </c>
      <c r="B2716" t="s">
        <v>7888</v>
      </c>
      <c r="C2716" t="s">
        <v>7889</v>
      </c>
      <c r="D2716" t="s">
        <v>15</v>
      </c>
      <c r="E2716" t="s">
        <v>28</v>
      </c>
      <c r="F2716" t="s">
        <v>60</v>
      </c>
      <c r="G2716" t="s">
        <v>73</v>
      </c>
      <c r="H2716" t="s">
        <v>19</v>
      </c>
      <c r="I2716">
        <v>4</v>
      </c>
      <c r="J2716">
        <v>8</v>
      </c>
      <c r="K2716">
        <v>1.29</v>
      </c>
      <c r="L2716">
        <v>1</v>
      </c>
    </row>
    <row r="2717" spans="1:12">
      <c r="A2717" t="s">
        <v>7890</v>
      </c>
      <c r="B2717" t="s">
        <v>7891</v>
      </c>
      <c r="C2717" t="s">
        <v>7892</v>
      </c>
      <c r="D2717" t="s">
        <v>23</v>
      </c>
      <c r="E2717" t="s">
        <v>28</v>
      </c>
      <c r="F2717" t="s">
        <v>17</v>
      </c>
      <c r="G2717" t="s">
        <v>172</v>
      </c>
      <c r="H2717" t="s">
        <v>19</v>
      </c>
      <c r="I2717">
        <v>4</v>
      </c>
      <c r="J2717">
        <v>24</v>
      </c>
      <c r="K2717">
        <v>67.73</v>
      </c>
      <c r="L2717">
        <v>0</v>
      </c>
    </row>
    <row r="2718" spans="1:12">
      <c r="A2718" t="s">
        <v>7893</v>
      </c>
      <c r="B2718" t="s">
        <v>7894</v>
      </c>
      <c r="C2718" t="s">
        <v>7895</v>
      </c>
      <c r="D2718" t="s">
        <v>35</v>
      </c>
      <c r="E2718" t="s">
        <v>54</v>
      </c>
      <c r="F2718" t="s">
        <v>60</v>
      </c>
      <c r="G2718" t="s">
        <v>105</v>
      </c>
      <c r="H2718" t="s">
        <v>19</v>
      </c>
      <c r="I2718">
        <v>5</v>
      </c>
      <c r="J2718">
        <v>48</v>
      </c>
      <c r="K2718">
        <v>35.46</v>
      </c>
      <c r="L2718">
        <v>1</v>
      </c>
    </row>
    <row r="2719" spans="1:12">
      <c r="A2719" t="s">
        <v>7896</v>
      </c>
      <c r="B2719" t="s">
        <v>7897</v>
      </c>
      <c r="C2719" t="s">
        <v>7898</v>
      </c>
      <c r="D2719" t="s">
        <v>35</v>
      </c>
      <c r="E2719" t="s">
        <v>54</v>
      </c>
      <c r="F2719" t="s">
        <v>41</v>
      </c>
      <c r="G2719" t="s">
        <v>105</v>
      </c>
      <c r="H2719" t="s">
        <v>19</v>
      </c>
      <c r="I2719">
        <v>5</v>
      </c>
      <c r="J2719">
        <v>48</v>
      </c>
      <c r="K2719">
        <v>19.98</v>
      </c>
      <c r="L2719">
        <v>1</v>
      </c>
    </row>
    <row r="2720" spans="1:12">
      <c r="A2720" t="s">
        <v>7899</v>
      </c>
      <c r="B2720" t="s">
        <v>7900</v>
      </c>
      <c r="C2720" t="s">
        <v>7901</v>
      </c>
      <c r="D2720" t="s">
        <v>15</v>
      </c>
      <c r="E2720" t="s">
        <v>28</v>
      </c>
      <c r="F2720" t="s">
        <v>60</v>
      </c>
      <c r="G2720" t="s">
        <v>73</v>
      </c>
      <c r="H2720" t="s">
        <v>19</v>
      </c>
      <c r="I2720">
        <v>3</v>
      </c>
      <c r="J2720">
        <v>8</v>
      </c>
      <c r="K2720">
        <v>21</v>
      </c>
      <c r="L2720">
        <v>0</v>
      </c>
    </row>
    <row r="2721" spans="1:12">
      <c r="A2721" t="s">
        <v>7902</v>
      </c>
      <c r="B2721" t="s">
        <v>7903</v>
      </c>
      <c r="C2721" t="s">
        <v>7904</v>
      </c>
      <c r="D2721" t="s">
        <v>15</v>
      </c>
      <c r="E2721" t="s">
        <v>28</v>
      </c>
      <c r="F2721" t="s">
        <v>60</v>
      </c>
      <c r="G2721" t="s">
        <v>77</v>
      </c>
      <c r="H2721" t="s">
        <v>31</v>
      </c>
      <c r="I2721">
        <v>1</v>
      </c>
      <c r="J2721">
        <v>8</v>
      </c>
      <c r="K2721">
        <v>17.75</v>
      </c>
      <c r="L2721">
        <v>0</v>
      </c>
    </row>
    <row r="2722" spans="1:12">
      <c r="A2722" t="s">
        <v>7905</v>
      </c>
      <c r="B2722" t="s">
        <v>7906</v>
      </c>
      <c r="C2722" t="s">
        <v>7907</v>
      </c>
      <c r="D2722" t="s">
        <v>23</v>
      </c>
      <c r="E2722" t="s">
        <v>24</v>
      </c>
      <c r="F2722" t="s">
        <v>36</v>
      </c>
      <c r="G2722" t="s">
        <v>45</v>
      </c>
      <c r="H2722" t="s">
        <v>19</v>
      </c>
      <c r="I2722">
        <v>4</v>
      </c>
      <c r="J2722">
        <v>24</v>
      </c>
      <c r="K2722">
        <v>15.83</v>
      </c>
      <c r="L2722">
        <v>1</v>
      </c>
    </row>
    <row r="2723" spans="1:12">
      <c r="A2723" t="s">
        <v>7908</v>
      </c>
      <c r="B2723" t="s">
        <v>7909</v>
      </c>
      <c r="C2723" t="s">
        <v>7910</v>
      </c>
      <c r="D2723" t="s">
        <v>15</v>
      </c>
      <c r="E2723" t="s">
        <v>54</v>
      </c>
      <c r="F2723" t="s">
        <v>36</v>
      </c>
      <c r="G2723" t="s">
        <v>45</v>
      </c>
      <c r="H2723" t="s">
        <v>31</v>
      </c>
      <c r="I2723">
        <v>5</v>
      </c>
      <c r="J2723">
        <v>8</v>
      </c>
      <c r="K2723">
        <v>6.6</v>
      </c>
      <c r="L2723">
        <v>1</v>
      </c>
    </row>
    <row r="2724" spans="1:12">
      <c r="A2724" t="s">
        <v>7911</v>
      </c>
      <c r="B2724" t="s">
        <v>7912</v>
      </c>
      <c r="C2724" t="s">
        <v>7913</v>
      </c>
      <c r="D2724" t="s">
        <v>35</v>
      </c>
      <c r="E2724" t="s">
        <v>24</v>
      </c>
      <c r="F2724" t="s">
        <v>29</v>
      </c>
      <c r="G2724" t="s">
        <v>42</v>
      </c>
      <c r="H2724" t="s">
        <v>19</v>
      </c>
      <c r="I2724">
        <v>4</v>
      </c>
      <c r="J2724">
        <v>48</v>
      </c>
      <c r="K2724">
        <v>28.26</v>
      </c>
      <c r="L2724">
        <v>1</v>
      </c>
    </row>
    <row r="2725" spans="1:12">
      <c r="A2725" t="s">
        <v>7914</v>
      </c>
      <c r="B2725" t="s">
        <v>7915</v>
      </c>
      <c r="C2725" t="s">
        <v>7916</v>
      </c>
      <c r="D2725" t="s">
        <v>23</v>
      </c>
      <c r="E2725" t="s">
        <v>28</v>
      </c>
      <c r="F2725" t="s">
        <v>17</v>
      </c>
      <c r="G2725" t="s">
        <v>30</v>
      </c>
      <c r="H2725" t="s">
        <v>31</v>
      </c>
      <c r="I2725">
        <v>5</v>
      </c>
      <c r="J2725">
        <v>24</v>
      </c>
      <c r="K2725">
        <v>15.55</v>
      </c>
      <c r="L2725">
        <v>1</v>
      </c>
    </row>
    <row r="2726" spans="1:12">
      <c r="A2726" t="s">
        <v>7917</v>
      </c>
      <c r="B2726" t="s">
        <v>7918</v>
      </c>
      <c r="D2726" t="s">
        <v>15</v>
      </c>
      <c r="E2726" t="s">
        <v>16</v>
      </c>
      <c r="F2726" t="s">
        <v>17</v>
      </c>
      <c r="G2726" t="s">
        <v>45</v>
      </c>
      <c r="H2726" t="s">
        <v>63</v>
      </c>
      <c r="J2726">
        <v>8</v>
      </c>
    </row>
    <row r="2727" spans="1:12">
      <c r="A2727" t="s">
        <v>7919</v>
      </c>
      <c r="B2727" t="s">
        <v>7920</v>
      </c>
      <c r="C2727" t="s">
        <v>7921</v>
      </c>
      <c r="D2727" t="s">
        <v>23</v>
      </c>
      <c r="E2727" t="s">
        <v>16</v>
      </c>
      <c r="F2727" t="s">
        <v>17</v>
      </c>
      <c r="G2727" t="s">
        <v>30</v>
      </c>
      <c r="H2727" t="s">
        <v>19</v>
      </c>
      <c r="I2727">
        <v>3</v>
      </c>
      <c r="J2727">
        <v>24</v>
      </c>
      <c r="K2727">
        <v>19.37</v>
      </c>
      <c r="L2727">
        <v>1</v>
      </c>
    </row>
    <row r="2728" spans="1:12">
      <c r="A2728" t="s">
        <v>7922</v>
      </c>
      <c r="B2728" t="s">
        <v>7923</v>
      </c>
      <c r="C2728" t="s">
        <v>7924</v>
      </c>
      <c r="D2728" t="s">
        <v>23</v>
      </c>
      <c r="E2728" t="s">
        <v>28</v>
      </c>
      <c r="F2728" t="s">
        <v>60</v>
      </c>
      <c r="G2728" t="s">
        <v>42</v>
      </c>
      <c r="H2728" t="s">
        <v>31</v>
      </c>
      <c r="I2728">
        <v>4</v>
      </c>
      <c r="J2728">
        <v>24</v>
      </c>
      <c r="K2728">
        <v>20.88</v>
      </c>
      <c r="L2728">
        <v>1</v>
      </c>
    </row>
    <row r="2729" spans="1:12">
      <c r="A2729" t="s">
        <v>7925</v>
      </c>
      <c r="B2729" t="s">
        <v>7926</v>
      </c>
      <c r="C2729" t="s">
        <v>7927</v>
      </c>
      <c r="D2729" t="s">
        <v>35</v>
      </c>
      <c r="E2729" t="s">
        <v>28</v>
      </c>
      <c r="F2729" t="s">
        <v>60</v>
      </c>
      <c r="G2729" t="s">
        <v>30</v>
      </c>
      <c r="H2729" t="s">
        <v>31</v>
      </c>
      <c r="I2729">
        <v>1</v>
      </c>
      <c r="J2729">
        <v>48</v>
      </c>
      <c r="K2729">
        <v>88.06</v>
      </c>
      <c r="L2729">
        <v>0</v>
      </c>
    </row>
    <row r="2730" spans="1:12">
      <c r="A2730" t="s">
        <v>7928</v>
      </c>
      <c r="B2730" t="s">
        <v>7929</v>
      </c>
      <c r="D2730" t="s">
        <v>158</v>
      </c>
      <c r="E2730" t="s">
        <v>54</v>
      </c>
      <c r="F2730" t="s">
        <v>17</v>
      </c>
      <c r="G2730" t="s">
        <v>151</v>
      </c>
      <c r="H2730" t="s">
        <v>63</v>
      </c>
      <c r="J2730">
        <v>4</v>
      </c>
    </row>
    <row r="2731" spans="1:12">
      <c r="A2731" t="s">
        <v>7930</v>
      </c>
      <c r="B2731" t="s">
        <v>7931</v>
      </c>
      <c r="C2731" t="s">
        <v>7932</v>
      </c>
      <c r="D2731" t="s">
        <v>23</v>
      </c>
      <c r="E2731" t="s">
        <v>28</v>
      </c>
      <c r="F2731" t="s">
        <v>60</v>
      </c>
      <c r="G2731" t="s">
        <v>37</v>
      </c>
      <c r="H2731" t="s">
        <v>31</v>
      </c>
      <c r="I2731">
        <v>3</v>
      </c>
      <c r="J2731">
        <v>24</v>
      </c>
      <c r="K2731">
        <v>32.36</v>
      </c>
      <c r="L2731">
        <v>0</v>
      </c>
    </row>
    <row r="2732" spans="1:12">
      <c r="A2732" t="s">
        <v>7933</v>
      </c>
      <c r="B2732" t="s">
        <v>7934</v>
      </c>
      <c r="C2732" t="s">
        <v>7935</v>
      </c>
      <c r="D2732" t="s">
        <v>23</v>
      </c>
      <c r="E2732" t="s">
        <v>59</v>
      </c>
      <c r="F2732" t="s">
        <v>29</v>
      </c>
      <c r="G2732" t="s">
        <v>30</v>
      </c>
      <c r="H2732" t="s">
        <v>19</v>
      </c>
      <c r="I2732">
        <v>4</v>
      </c>
      <c r="J2732">
        <v>24</v>
      </c>
      <c r="K2732">
        <v>8.67</v>
      </c>
      <c r="L2732">
        <v>1</v>
      </c>
    </row>
    <row r="2733" spans="1:12">
      <c r="A2733" t="s">
        <v>7936</v>
      </c>
      <c r="B2733" t="s">
        <v>7937</v>
      </c>
      <c r="C2733" t="s">
        <v>7938</v>
      </c>
      <c r="D2733" t="s">
        <v>15</v>
      </c>
      <c r="E2733" t="s">
        <v>28</v>
      </c>
      <c r="F2733" t="s">
        <v>36</v>
      </c>
      <c r="G2733" t="s">
        <v>151</v>
      </c>
      <c r="H2733" t="s">
        <v>19</v>
      </c>
      <c r="I2733">
        <v>4</v>
      </c>
      <c r="J2733">
        <v>8</v>
      </c>
      <c r="K2733">
        <v>2.95</v>
      </c>
      <c r="L2733">
        <v>1</v>
      </c>
    </row>
    <row r="2734" spans="1:12">
      <c r="A2734" t="s">
        <v>7939</v>
      </c>
      <c r="B2734" t="s">
        <v>7940</v>
      </c>
      <c r="C2734" t="s">
        <v>7941</v>
      </c>
      <c r="D2734" t="s">
        <v>158</v>
      </c>
      <c r="E2734" t="s">
        <v>28</v>
      </c>
      <c r="F2734" t="s">
        <v>17</v>
      </c>
      <c r="G2734" t="s">
        <v>151</v>
      </c>
      <c r="H2734" t="s">
        <v>19</v>
      </c>
      <c r="I2734">
        <v>3</v>
      </c>
      <c r="J2734">
        <v>4</v>
      </c>
      <c r="K2734">
        <v>3.7</v>
      </c>
      <c r="L2734">
        <v>1</v>
      </c>
    </row>
    <row r="2735" spans="1:12">
      <c r="A2735" t="s">
        <v>7942</v>
      </c>
      <c r="B2735" t="s">
        <v>7943</v>
      </c>
      <c r="C2735" t="s">
        <v>7944</v>
      </c>
      <c r="D2735" t="s">
        <v>158</v>
      </c>
      <c r="E2735" t="s">
        <v>54</v>
      </c>
      <c r="F2735" t="s">
        <v>17</v>
      </c>
      <c r="G2735" t="s">
        <v>30</v>
      </c>
      <c r="H2735" t="s">
        <v>19</v>
      </c>
      <c r="I2735">
        <v>5</v>
      </c>
      <c r="J2735">
        <v>4</v>
      </c>
      <c r="K2735">
        <v>2.5099999999999998</v>
      </c>
      <c r="L2735">
        <v>1</v>
      </c>
    </row>
    <row r="2736" spans="1:12">
      <c r="A2736" t="s">
        <v>7945</v>
      </c>
      <c r="B2736" t="s">
        <v>7946</v>
      </c>
      <c r="C2736" t="s">
        <v>7947</v>
      </c>
      <c r="D2736" t="s">
        <v>23</v>
      </c>
      <c r="E2736" t="s">
        <v>54</v>
      </c>
      <c r="F2736" t="s">
        <v>60</v>
      </c>
      <c r="G2736" t="s">
        <v>50</v>
      </c>
      <c r="H2736" t="s">
        <v>19</v>
      </c>
      <c r="I2736">
        <v>5</v>
      </c>
      <c r="J2736">
        <v>24</v>
      </c>
      <c r="K2736">
        <v>6.27</v>
      </c>
      <c r="L2736">
        <v>1</v>
      </c>
    </row>
    <row r="2737" spans="1:12">
      <c r="A2737" t="s">
        <v>7948</v>
      </c>
      <c r="B2737" t="s">
        <v>7949</v>
      </c>
      <c r="C2737" t="s">
        <v>7950</v>
      </c>
      <c r="D2737" t="s">
        <v>15</v>
      </c>
      <c r="E2737" t="s">
        <v>59</v>
      </c>
      <c r="F2737" t="s">
        <v>29</v>
      </c>
      <c r="G2737" t="s">
        <v>50</v>
      </c>
      <c r="H2737" t="s">
        <v>19</v>
      </c>
      <c r="I2737">
        <v>4</v>
      </c>
      <c r="J2737">
        <v>8</v>
      </c>
      <c r="K2737">
        <v>6.1</v>
      </c>
      <c r="L2737">
        <v>1</v>
      </c>
    </row>
    <row r="2738" spans="1:12">
      <c r="A2738" t="s">
        <v>7951</v>
      </c>
      <c r="B2738" t="s">
        <v>7952</v>
      </c>
      <c r="C2738" t="s">
        <v>7953</v>
      </c>
      <c r="D2738" t="s">
        <v>23</v>
      </c>
      <c r="E2738" t="s">
        <v>59</v>
      </c>
      <c r="F2738" t="s">
        <v>41</v>
      </c>
      <c r="G2738" t="s">
        <v>73</v>
      </c>
      <c r="H2738" t="s">
        <v>31</v>
      </c>
      <c r="I2738">
        <v>5</v>
      </c>
      <c r="J2738">
        <v>24</v>
      </c>
      <c r="K2738">
        <v>3.74</v>
      </c>
      <c r="L2738">
        <v>1</v>
      </c>
    </row>
    <row r="2739" spans="1:12">
      <c r="A2739" t="s">
        <v>7954</v>
      </c>
      <c r="B2739" t="s">
        <v>7955</v>
      </c>
      <c r="C2739" t="s">
        <v>7956</v>
      </c>
      <c r="D2739" t="s">
        <v>23</v>
      </c>
      <c r="E2739" t="s">
        <v>28</v>
      </c>
      <c r="F2739" t="s">
        <v>29</v>
      </c>
      <c r="G2739" t="s">
        <v>42</v>
      </c>
      <c r="H2739" t="s">
        <v>31</v>
      </c>
      <c r="I2739">
        <v>5</v>
      </c>
      <c r="J2739">
        <v>24</v>
      </c>
      <c r="K2739">
        <v>18.440000000000001</v>
      </c>
      <c r="L2739">
        <v>1</v>
      </c>
    </row>
    <row r="2740" spans="1:12">
      <c r="A2740" t="s">
        <v>7957</v>
      </c>
      <c r="B2740" t="s">
        <v>7958</v>
      </c>
      <c r="C2740" t="s">
        <v>7959</v>
      </c>
      <c r="D2740" t="s">
        <v>23</v>
      </c>
      <c r="E2740" t="s">
        <v>16</v>
      </c>
      <c r="F2740" t="s">
        <v>29</v>
      </c>
      <c r="G2740" t="s">
        <v>42</v>
      </c>
      <c r="H2740" t="s">
        <v>19</v>
      </c>
      <c r="I2740">
        <v>5</v>
      </c>
      <c r="J2740">
        <v>24</v>
      </c>
      <c r="K2740">
        <v>15.81</v>
      </c>
      <c r="L2740">
        <v>1</v>
      </c>
    </row>
    <row r="2741" spans="1:12">
      <c r="A2741" t="s">
        <v>7960</v>
      </c>
      <c r="B2741" t="s">
        <v>7961</v>
      </c>
      <c r="D2741" t="s">
        <v>15</v>
      </c>
      <c r="E2741" t="s">
        <v>28</v>
      </c>
      <c r="F2741" t="s">
        <v>41</v>
      </c>
      <c r="G2741" t="s">
        <v>18</v>
      </c>
      <c r="H2741" t="s">
        <v>46</v>
      </c>
      <c r="J2741">
        <v>8</v>
      </c>
    </row>
    <row r="2742" spans="1:12">
      <c r="A2742" t="s">
        <v>7962</v>
      </c>
      <c r="B2742" t="s">
        <v>7963</v>
      </c>
      <c r="C2742" t="s">
        <v>7964</v>
      </c>
      <c r="D2742" t="s">
        <v>23</v>
      </c>
      <c r="E2742" t="s">
        <v>24</v>
      </c>
      <c r="F2742" t="s">
        <v>29</v>
      </c>
      <c r="G2742" t="s">
        <v>77</v>
      </c>
      <c r="H2742" t="s">
        <v>19</v>
      </c>
      <c r="I2742">
        <v>5</v>
      </c>
      <c r="J2742">
        <v>24</v>
      </c>
      <c r="K2742">
        <v>17.54</v>
      </c>
      <c r="L2742">
        <v>1</v>
      </c>
    </row>
    <row r="2743" spans="1:12">
      <c r="A2743" t="s">
        <v>7965</v>
      </c>
      <c r="B2743" t="s">
        <v>7966</v>
      </c>
      <c r="C2743" t="s">
        <v>7967</v>
      </c>
      <c r="D2743" t="s">
        <v>158</v>
      </c>
      <c r="E2743" t="s">
        <v>16</v>
      </c>
      <c r="F2743" t="s">
        <v>41</v>
      </c>
      <c r="G2743" t="s">
        <v>45</v>
      </c>
      <c r="H2743" t="s">
        <v>19</v>
      </c>
      <c r="I2743">
        <v>4</v>
      </c>
      <c r="J2743">
        <v>4</v>
      </c>
      <c r="K2743">
        <v>1.73</v>
      </c>
      <c r="L2743">
        <v>1</v>
      </c>
    </row>
    <row r="2744" spans="1:12">
      <c r="A2744" t="s">
        <v>7968</v>
      </c>
      <c r="B2744" t="s">
        <v>7969</v>
      </c>
      <c r="C2744" t="s">
        <v>7970</v>
      </c>
      <c r="D2744" t="s">
        <v>23</v>
      </c>
      <c r="E2744" t="s">
        <v>59</v>
      </c>
      <c r="F2744" t="s">
        <v>36</v>
      </c>
      <c r="G2744" t="s">
        <v>151</v>
      </c>
      <c r="H2744" t="s">
        <v>19</v>
      </c>
      <c r="I2744">
        <v>3</v>
      </c>
      <c r="J2744">
        <v>24</v>
      </c>
      <c r="K2744">
        <v>3.43</v>
      </c>
      <c r="L2744">
        <v>1</v>
      </c>
    </row>
    <row r="2745" spans="1:12">
      <c r="A2745" t="s">
        <v>7971</v>
      </c>
      <c r="B2745" t="s">
        <v>7972</v>
      </c>
      <c r="C2745" t="s">
        <v>7973</v>
      </c>
      <c r="D2745" t="s">
        <v>35</v>
      </c>
      <c r="E2745" t="s">
        <v>16</v>
      </c>
      <c r="F2745" t="s">
        <v>29</v>
      </c>
      <c r="G2745" t="s">
        <v>172</v>
      </c>
      <c r="H2745" t="s">
        <v>31</v>
      </c>
      <c r="I2745">
        <v>3</v>
      </c>
      <c r="J2745">
        <v>48</v>
      </c>
      <c r="K2745">
        <v>16.07</v>
      </c>
      <c r="L2745">
        <v>1</v>
      </c>
    </row>
    <row r="2746" spans="1:12">
      <c r="A2746" t="s">
        <v>7974</v>
      </c>
      <c r="B2746" t="s">
        <v>7975</v>
      </c>
      <c r="C2746" t="s">
        <v>7976</v>
      </c>
      <c r="D2746" t="s">
        <v>15</v>
      </c>
      <c r="E2746" t="s">
        <v>59</v>
      </c>
      <c r="F2746" t="s">
        <v>60</v>
      </c>
      <c r="G2746" t="s">
        <v>73</v>
      </c>
      <c r="H2746" t="s">
        <v>19</v>
      </c>
      <c r="I2746">
        <v>4</v>
      </c>
      <c r="J2746">
        <v>8</v>
      </c>
      <c r="K2746">
        <v>0.96</v>
      </c>
      <c r="L2746">
        <v>1</v>
      </c>
    </row>
    <row r="2747" spans="1:12">
      <c r="A2747" t="s">
        <v>7977</v>
      </c>
      <c r="B2747" t="s">
        <v>7978</v>
      </c>
      <c r="C2747" t="s">
        <v>7979</v>
      </c>
      <c r="D2747" t="s">
        <v>23</v>
      </c>
      <c r="E2747" t="s">
        <v>24</v>
      </c>
      <c r="F2747" t="s">
        <v>36</v>
      </c>
      <c r="G2747" t="s">
        <v>18</v>
      </c>
      <c r="H2747" t="s">
        <v>19</v>
      </c>
      <c r="I2747">
        <v>2</v>
      </c>
      <c r="J2747">
        <v>24</v>
      </c>
      <c r="K2747">
        <v>50.66</v>
      </c>
      <c r="L2747">
        <v>0</v>
      </c>
    </row>
    <row r="2748" spans="1:12">
      <c r="A2748" t="s">
        <v>7980</v>
      </c>
      <c r="B2748" t="s">
        <v>7981</v>
      </c>
      <c r="C2748" t="s">
        <v>7982</v>
      </c>
      <c r="D2748" t="s">
        <v>23</v>
      </c>
      <c r="E2748" t="s">
        <v>54</v>
      </c>
      <c r="F2748" t="s">
        <v>36</v>
      </c>
      <c r="G2748" t="s">
        <v>151</v>
      </c>
      <c r="H2748" t="s">
        <v>19</v>
      </c>
      <c r="I2748">
        <v>4</v>
      </c>
      <c r="J2748">
        <v>24</v>
      </c>
      <c r="K2748">
        <v>5.49</v>
      </c>
      <c r="L2748">
        <v>1</v>
      </c>
    </row>
    <row r="2749" spans="1:12">
      <c r="A2749" t="s">
        <v>7983</v>
      </c>
      <c r="B2749" t="s">
        <v>7984</v>
      </c>
      <c r="C2749" t="s">
        <v>7985</v>
      </c>
      <c r="D2749" t="s">
        <v>23</v>
      </c>
      <c r="E2749" t="s">
        <v>24</v>
      </c>
      <c r="F2749" t="s">
        <v>41</v>
      </c>
      <c r="G2749" t="s">
        <v>45</v>
      </c>
      <c r="H2749" t="s">
        <v>31</v>
      </c>
      <c r="I2749">
        <v>4</v>
      </c>
      <c r="J2749">
        <v>24</v>
      </c>
      <c r="K2749">
        <v>6.62</v>
      </c>
      <c r="L2749">
        <v>1</v>
      </c>
    </row>
    <row r="2750" spans="1:12">
      <c r="A2750" t="s">
        <v>7986</v>
      </c>
      <c r="B2750" t="s">
        <v>7987</v>
      </c>
      <c r="D2750" t="s">
        <v>15</v>
      </c>
      <c r="E2750" t="s">
        <v>28</v>
      </c>
      <c r="F2750" t="s">
        <v>17</v>
      </c>
      <c r="G2750" t="s">
        <v>30</v>
      </c>
      <c r="H2750" t="s">
        <v>63</v>
      </c>
      <c r="J2750">
        <v>8</v>
      </c>
    </row>
    <row r="2751" spans="1:12">
      <c r="A2751" t="s">
        <v>7988</v>
      </c>
      <c r="B2751" t="s">
        <v>7989</v>
      </c>
      <c r="D2751" t="s">
        <v>35</v>
      </c>
      <c r="E2751" t="s">
        <v>28</v>
      </c>
      <c r="F2751" t="s">
        <v>36</v>
      </c>
      <c r="G2751" t="s">
        <v>77</v>
      </c>
      <c r="H2751" t="s">
        <v>63</v>
      </c>
      <c r="J2751">
        <v>48</v>
      </c>
    </row>
    <row r="2752" spans="1:12">
      <c r="A2752" t="s">
        <v>7990</v>
      </c>
      <c r="B2752" t="s">
        <v>7991</v>
      </c>
      <c r="C2752" t="s">
        <v>7992</v>
      </c>
      <c r="D2752" t="s">
        <v>158</v>
      </c>
      <c r="E2752" t="s">
        <v>16</v>
      </c>
      <c r="F2752" t="s">
        <v>41</v>
      </c>
      <c r="G2752" t="s">
        <v>50</v>
      </c>
      <c r="H2752" t="s">
        <v>19</v>
      </c>
      <c r="I2752">
        <v>4</v>
      </c>
      <c r="J2752">
        <v>4</v>
      </c>
      <c r="K2752">
        <v>2.46</v>
      </c>
      <c r="L2752">
        <v>1</v>
      </c>
    </row>
    <row r="2753" spans="1:12">
      <c r="A2753" t="s">
        <v>7993</v>
      </c>
      <c r="B2753" t="s">
        <v>7994</v>
      </c>
      <c r="C2753" t="s">
        <v>7995</v>
      </c>
      <c r="D2753" t="s">
        <v>23</v>
      </c>
      <c r="E2753" t="s">
        <v>24</v>
      </c>
      <c r="F2753" t="s">
        <v>36</v>
      </c>
      <c r="G2753" t="s">
        <v>55</v>
      </c>
      <c r="H2753" t="s">
        <v>31</v>
      </c>
      <c r="I2753">
        <v>5</v>
      </c>
      <c r="J2753">
        <v>24</v>
      </c>
      <c r="K2753">
        <v>19.52</v>
      </c>
      <c r="L2753">
        <v>1</v>
      </c>
    </row>
    <row r="2754" spans="1:12">
      <c r="A2754" t="s">
        <v>7996</v>
      </c>
      <c r="B2754" t="s">
        <v>7997</v>
      </c>
      <c r="C2754" t="s">
        <v>7998</v>
      </c>
      <c r="D2754" t="s">
        <v>35</v>
      </c>
      <c r="E2754" t="s">
        <v>28</v>
      </c>
      <c r="F2754" t="s">
        <v>17</v>
      </c>
      <c r="G2754" t="s">
        <v>42</v>
      </c>
      <c r="H2754" t="s">
        <v>19</v>
      </c>
      <c r="I2754">
        <v>5</v>
      </c>
      <c r="J2754">
        <v>48</v>
      </c>
      <c r="K2754">
        <v>41.95</v>
      </c>
      <c r="L2754">
        <v>1</v>
      </c>
    </row>
    <row r="2755" spans="1:12">
      <c r="A2755" t="s">
        <v>7999</v>
      </c>
      <c r="B2755" t="s">
        <v>8000</v>
      </c>
      <c r="C2755" t="s">
        <v>8001</v>
      </c>
      <c r="D2755" t="s">
        <v>15</v>
      </c>
      <c r="E2755" t="s">
        <v>24</v>
      </c>
      <c r="F2755" t="s">
        <v>29</v>
      </c>
      <c r="G2755" t="s">
        <v>77</v>
      </c>
      <c r="H2755" t="s">
        <v>19</v>
      </c>
      <c r="I2755">
        <v>4</v>
      </c>
      <c r="J2755">
        <v>8</v>
      </c>
      <c r="K2755">
        <v>1.91</v>
      </c>
      <c r="L2755">
        <v>1</v>
      </c>
    </row>
    <row r="2756" spans="1:12">
      <c r="A2756" t="s">
        <v>8002</v>
      </c>
      <c r="B2756" t="s">
        <v>8003</v>
      </c>
      <c r="C2756" t="s">
        <v>8004</v>
      </c>
      <c r="D2756" t="s">
        <v>23</v>
      </c>
      <c r="E2756" t="s">
        <v>28</v>
      </c>
      <c r="F2756" t="s">
        <v>41</v>
      </c>
      <c r="G2756" t="s">
        <v>30</v>
      </c>
      <c r="H2756" t="s">
        <v>19</v>
      </c>
      <c r="I2756">
        <v>5</v>
      </c>
      <c r="J2756">
        <v>24</v>
      </c>
      <c r="K2756">
        <v>16.350000000000001</v>
      </c>
      <c r="L2756">
        <v>1</v>
      </c>
    </row>
    <row r="2757" spans="1:12">
      <c r="A2757" t="s">
        <v>8005</v>
      </c>
      <c r="B2757" t="s">
        <v>8006</v>
      </c>
      <c r="C2757" t="s">
        <v>8007</v>
      </c>
      <c r="D2757" t="s">
        <v>158</v>
      </c>
      <c r="E2757" t="s">
        <v>28</v>
      </c>
      <c r="F2757" t="s">
        <v>41</v>
      </c>
      <c r="G2757" t="s">
        <v>151</v>
      </c>
      <c r="H2757" t="s">
        <v>19</v>
      </c>
      <c r="I2757">
        <v>5</v>
      </c>
      <c r="J2757">
        <v>4</v>
      </c>
      <c r="K2757">
        <v>1.33</v>
      </c>
      <c r="L2757">
        <v>1</v>
      </c>
    </row>
    <row r="2758" spans="1:12">
      <c r="A2758" t="s">
        <v>8008</v>
      </c>
      <c r="B2758" t="s">
        <v>8009</v>
      </c>
      <c r="C2758" t="s">
        <v>8010</v>
      </c>
      <c r="D2758" t="s">
        <v>23</v>
      </c>
      <c r="E2758" t="s">
        <v>54</v>
      </c>
      <c r="F2758" t="s">
        <v>36</v>
      </c>
      <c r="G2758" t="s">
        <v>77</v>
      </c>
      <c r="H2758" t="s">
        <v>31</v>
      </c>
      <c r="I2758">
        <v>5</v>
      </c>
      <c r="J2758">
        <v>24</v>
      </c>
      <c r="K2758">
        <v>5.21</v>
      </c>
      <c r="L2758">
        <v>1</v>
      </c>
    </row>
    <row r="2759" spans="1:12">
      <c r="A2759" t="s">
        <v>8011</v>
      </c>
      <c r="B2759" t="s">
        <v>8012</v>
      </c>
      <c r="C2759" t="s">
        <v>8013</v>
      </c>
      <c r="D2759" t="s">
        <v>158</v>
      </c>
      <c r="E2759" t="s">
        <v>16</v>
      </c>
      <c r="F2759" t="s">
        <v>29</v>
      </c>
      <c r="G2759" t="s">
        <v>37</v>
      </c>
      <c r="H2759" t="s">
        <v>31</v>
      </c>
      <c r="I2759">
        <v>3</v>
      </c>
      <c r="J2759">
        <v>4</v>
      </c>
      <c r="K2759">
        <v>8.66</v>
      </c>
      <c r="L2759">
        <v>0</v>
      </c>
    </row>
    <row r="2760" spans="1:12">
      <c r="A2760" t="s">
        <v>8014</v>
      </c>
      <c r="B2760" t="s">
        <v>8015</v>
      </c>
      <c r="D2760" t="s">
        <v>15</v>
      </c>
      <c r="E2760" t="s">
        <v>16</v>
      </c>
      <c r="F2760" t="s">
        <v>41</v>
      </c>
      <c r="G2760" t="s">
        <v>37</v>
      </c>
      <c r="H2760" t="s">
        <v>46</v>
      </c>
      <c r="J2760">
        <v>8</v>
      </c>
    </row>
    <row r="2761" spans="1:12">
      <c r="A2761" t="s">
        <v>8016</v>
      </c>
      <c r="B2761" t="s">
        <v>8017</v>
      </c>
      <c r="C2761" t="s">
        <v>8018</v>
      </c>
      <c r="D2761" t="s">
        <v>35</v>
      </c>
      <c r="E2761" t="s">
        <v>24</v>
      </c>
      <c r="F2761" t="s">
        <v>29</v>
      </c>
      <c r="G2761" t="s">
        <v>105</v>
      </c>
      <c r="H2761" t="s">
        <v>31</v>
      </c>
      <c r="I2761">
        <v>4</v>
      </c>
      <c r="J2761">
        <v>48</v>
      </c>
      <c r="K2761">
        <v>4.91</v>
      </c>
      <c r="L2761">
        <v>1</v>
      </c>
    </row>
    <row r="2762" spans="1:12">
      <c r="A2762" t="s">
        <v>8019</v>
      </c>
      <c r="B2762" t="s">
        <v>8020</v>
      </c>
      <c r="C2762" t="s">
        <v>8021</v>
      </c>
      <c r="D2762" t="s">
        <v>15</v>
      </c>
      <c r="E2762" t="s">
        <v>28</v>
      </c>
      <c r="F2762" t="s">
        <v>60</v>
      </c>
      <c r="G2762" t="s">
        <v>45</v>
      </c>
      <c r="H2762" t="s">
        <v>19</v>
      </c>
      <c r="I2762">
        <v>5</v>
      </c>
      <c r="J2762">
        <v>8</v>
      </c>
      <c r="K2762">
        <v>6.33</v>
      </c>
      <c r="L2762">
        <v>1</v>
      </c>
    </row>
    <row r="2763" spans="1:12">
      <c r="A2763" t="s">
        <v>8022</v>
      </c>
      <c r="B2763" t="s">
        <v>8023</v>
      </c>
      <c r="C2763" t="s">
        <v>8024</v>
      </c>
      <c r="D2763" t="s">
        <v>15</v>
      </c>
      <c r="E2763" t="s">
        <v>28</v>
      </c>
      <c r="F2763" t="s">
        <v>41</v>
      </c>
      <c r="G2763" t="s">
        <v>30</v>
      </c>
      <c r="H2763" t="s">
        <v>19</v>
      </c>
      <c r="I2763">
        <v>3</v>
      </c>
      <c r="J2763">
        <v>8</v>
      </c>
      <c r="K2763">
        <v>3.47</v>
      </c>
      <c r="L2763">
        <v>1</v>
      </c>
    </row>
    <row r="2764" spans="1:12">
      <c r="A2764" t="s">
        <v>8025</v>
      </c>
      <c r="B2764" t="s">
        <v>8026</v>
      </c>
      <c r="C2764" t="s">
        <v>8027</v>
      </c>
      <c r="D2764" t="s">
        <v>15</v>
      </c>
      <c r="E2764" t="s">
        <v>16</v>
      </c>
      <c r="F2764" t="s">
        <v>29</v>
      </c>
      <c r="G2764" t="s">
        <v>30</v>
      </c>
      <c r="H2764" t="s">
        <v>19</v>
      </c>
      <c r="I2764">
        <v>5</v>
      </c>
      <c r="J2764">
        <v>8</v>
      </c>
      <c r="K2764">
        <v>5.16</v>
      </c>
      <c r="L2764">
        <v>1</v>
      </c>
    </row>
    <row r="2765" spans="1:12">
      <c r="A2765" t="s">
        <v>8028</v>
      </c>
      <c r="B2765" t="s">
        <v>8029</v>
      </c>
      <c r="C2765" t="s">
        <v>8030</v>
      </c>
      <c r="D2765" t="s">
        <v>15</v>
      </c>
      <c r="E2765" t="s">
        <v>24</v>
      </c>
      <c r="F2765" t="s">
        <v>60</v>
      </c>
      <c r="G2765" t="s">
        <v>55</v>
      </c>
      <c r="H2765" t="s">
        <v>19</v>
      </c>
      <c r="I2765">
        <v>2</v>
      </c>
      <c r="J2765">
        <v>8</v>
      </c>
      <c r="K2765">
        <v>17.55</v>
      </c>
      <c r="L2765">
        <v>0</v>
      </c>
    </row>
    <row r="2766" spans="1:12">
      <c r="A2766" t="s">
        <v>8031</v>
      </c>
      <c r="B2766" t="s">
        <v>8032</v>
      </c>
      <c r="C2766" t="s">
        <v>8033</v>
      </c>
      <c r="D2766" t="s">
        <v>158</v>
      </c>
      <c r="E2766" t="s">
        <v>16</v>
      </c>
      <c r="F2766" t="s">
        <v>36</v>
      </c>
      <c r="G2766" t="s">
        <v>73</v>
      </c>
      <c r="H2766" t="s">
        <v>19</v>
      </c>
      <c r="I2766">
        <v>4</v>
      </c>
      <c r="J2766">
        <v>4</v>
      </c>
      <c r="K2766">
        <v>1.29</v>
      </c>
      <c r="L2766">
        <v>1</v>
      </c>
    </row>
    <row r="2767" spans="1:12">
      <c r="A2767" t="s">
        <v>8034</v>
      </c>
      <c r="B2767" t="s">
        <v>8035</v>
      </c>
      <c r="C2767" t="s">
        <v>8036</v>
      </c>
      <c r="D2767" t="s">
        <v>23</v>
      </c>
      <c r="E2767" t="s">
        <v>28</v>
      </c>
      <c r="F2767" t="s">
        <v>29</v>
      </c>
      <c r="G2767" t="s">
        <v>55</v>
      </c>
      <c r="H2767" t="s">
        <v>19</v>
      </c>
      <c r="I2767">
        <v>4</v>
      </c>
      <c r="J2767">
        <v>24</v>
      </c>
      <c r="K2767">
        <v>7.12</v>
      </c>
      <c r="L2767">
        <v>1</v>
      </c>
    </row>
    <row r="2768" spans="1:12">
      <c r="A2768" t="s">
        <v>8037</v>
      </c>
      <c r="B2768" t="s">
        <v>8038</v>
      </c>
      <c r="C2768" t="s">
        <v>8039</v>
      </c>
      <c r="D2768" t="s">
        <v>35</v>
      </c>
      <c r="E2768" t="s">
        <v>59</v>
      </c>
      <c r="F2768" t="s">
        <v>36</v>
      </c>
      <c r="G2768" t="s">
        <v>30</v>
      </c>
      <c r="H2768" t="s">
        <v>31</v>
      </c>
      <c r="I2768">
        <v>5</v>
      </c>
      <c r="J2768">
        <v>48</v>
      </c>
      <c r="K2768">
        <v>6.55</v>
      </c>
      <c r="L2768">
        <v>1</v>
      </c>
    </row>
    <row r="2769" spans="1:12">
      <c r="A2769" t="s">
        <v>8040</v>
      </c>
      <c r="B2769" t="s">
        <v>8041</v>
      </c>
      <c r="C2769" t="s">
        <v>8042</v>
      </c>
      <c r="D2769" t="s">
        <v>15</v>
      </c>
      <c r="E2769" t="s">
        <v>54</v>
      </c>
      <c r="F2769" t="s">
        <v>41</v>
      </c>
      <c r="G2769" t="s">
        <v>45</v>
      </c>
      <c r="H2769" t="s">
        <v>31</v>
      </c>
      <c r="I2769">
        <v>5</v>
      </c>
      <c r="J2769">
        <v>8</v>
      </c>
      <c r="K2769">
        <v>2.66</v>
      </c>
      <c r="L2769">
        <v>1</v>
      </c>
    </row>
    <row r="2770" spans="1:12">
      <c r="A2770" t="s">
        <v>8043</v>
      </c>
      <c r="B2770" t="s">
        <v>8044</v>
      </c>
      <c r="C2770" t="s">
        <v>8045</v>
      </c>
      <c r="D2770" t="s">
        <v>158</v>
      </c>
      <c r="E2770" t="s">
        <v>28</v>
      </c>
      <c r="F2770" t="s">
        <v>60</v>
      </c>
      <c r="G2770" t="s">
        <v>55</v>
      </c>
      <c r="H2770" t="s">
        <v>19</v>
      </c>
      <c r="I2770">
        <v>5</v>
      </c>
      <c r="J2770">
        <v>4</v>
      </c>
      <c r="K2770">
        <v>1.52</v>
      </c>
      <c r="L2770">
        <v>1</v>
      </c>
    </row>
    <row r="2771" spans="1:12">
      <c r="A2771" t="s">
        <v>8046</v>
      </c>
      <c r="B2771" t="s">
        <v>8047</v>
      </c>
      <c r="C2771" t="s">
        <v>8048</v>
      </c>
      <c r="D2771" t="s">
        <v>23</v>
      </c>
      <c r="E2771" t="s">
        <v>54</v>
      </c>
      <c r="F2771" t="s">
        <v>36</v>
      </c>
      <c r="G2771" t="s">
        <v>105</v>
      </c>
      <c r="H2771" t="s">
        <v>19</v>
      </c>
      <c r="I2771">
        <v>5</v>
      </c>
      <c r="J2771">
        <v>24</v>
      </c>
      <c r="K2771">
        <v>15.24</v>
      </c>
      <c r="L2771">
        <v>1</v>
      </c>
    </row>
    <row r="2772" spans="1:12">
      <c r="A2772" t="s">
        <v>8049</v>
      </c>
      <c r="B2772" t="s">
        <v>8050</v>
      </c>
      <c r="D2772" t="s">
        <v>35</v>
      </c>
      <c r="E2772" t="s">
        <v>16</v>
      </c>
      <c r="F2772" t="s">
        <v>29</v>
      </c>
      <c r="G2772" t="s">
        <v>37</v>
      </c>
      <c r="H2772" t="s">
        <v>46</v>
      </c>
      <c r="J2772">
        <v>48</v>
      </c>
    </row>
    <row r="2773" spans="1:12">
      <c r="A2773" t="s">
        <v>8051</v>
      </c>
      <c r="B2773" t="s">
        <v>8052</v>
      </c>
      <c r="C2773" t="s">
        <v>8053</v>
      </c>
      <c r="D2773" t="s">
        <v>35</v>
      </c>
      <c r="E2773" t="s">
        <v>54</v>
      </c>
      <c r="F2773" t="s">
        <v>29</v>
      </c>
      <c r="G2773" t="s">
        <v>73</v>
      </c>
      <c r="H2773" t="s">
        <v>19</v>
      </c>
      <c r="I2773">
        <v>5</v>
      </c>
      <c r="J2773">
        <v>48</v>
      </c>
      <c r="K2773">
        <v>6.94</v>
      </c>
      <c r="L2773">
        <v>1</v>
      </c>
    </row>
    <row r="2774" spans="1:12">
      <c r="A2774" t="s">
        <v>8054</v>
      </c>
      <c r="B2774" t="s">
        <v>8055</v>
      </c>
      <c r="C2774" t="s">
        <v>8056</v>
      </c>
      <c r="D2774" t="s">
        <v>158</v>
      </c>
      <c r="E2774" t="s">
        <v>59</v>
      </c>
      <c r="F2774" t="s">
        <v>41</v>
      </c>
      <c r="G2774" t="s">
        <v>42</v>
      </c>
      <c r="H2774" t="s">
        <v>31</v>
      </c>
      <c r="I2774">
        <v>2</v>
      </c>
      <c r="J2774">
        <v>4</v>
      </c>
      <c r="K2774">
        <v>6.61</v>
      </c>
      <c r="L2774">
        <v>0</v>
      </c>
    </row>
    <row r="2775" spans="1:12">
      <c r="A2775" t="s">
        <v>8057</v>
      </c>
      <c r="B2775" t="s">
        <v>8058</v>
      </c>
      <c r="D2775" t="s">
        <v>158</v>
      </c>
      <c r="E2775" t="s">
        <v>28</v>
      </c>
      <c r="F2775" t="s">
        <v>17</v>
      </c>
      <c r="G2775" t="s">
        <v>37</v>
      </c>
      <c r="H2775" t="s">
        <v>63</v>
      </c>
      <c r="J2775">
        <v>4</v>
      </c>
    </row>
    <row r="2776" spans="1:12">
      <c r="A2776" t="s">
        <v>8059</v>
      </c>
      <c r="B2776" t="s">
        <v>8060</v>
      </c>
      <c r="C2776" t="s">
        <v>8061</v>
      </c>
      <c r="D2776" t="s">
        <v>158</v>
      </c>
      <c r="E2776" t="s">
        <v>24</v>
      </c>
      <c r="F2776" t="s">
        <v>36</v>
      </c>
      <c r="G2776" t="s">
        <v>172</v>
      </c>
      <c r="H2776" t="s">
        <v>19</v>
      </c>
      <c r="I2776">
        <v>4</v>
      </c>
      <c r="J2776">
        <v>4</v>
      </c>
      <c r="K2776">
        <v>1.67</v>
      </c>
      <c r="L2776">
        <v>1</v>
      </c>
    </row>
    <row r="2777" spans="1:12">
      <c r="A2777" t="s">
        <v>8062</v>
      </c>
      <c r="B2777" t="s">
        <v>8063</v>
      </c>
      <c r="C2777" t="s">
        <v>8064</v>
      </c>
      <c r="D2777" t="s">
        <v>158</v>
      </c>
      <c r="E2777" t="s">
        <v>28</v>
      </c>
      <c r="F2777" t="s">
        <v>36</v>
      </c>
      <c r="G2777" t="s">
        <v>37</v>
      </c>
      <c r="H2777" t="s">
        <v>19</v>
      </c>
      <c r="I2777">
        <v>4</v>
      </c>
      <c r="J2777">
        <v>4</v>
      </c>
      <c r="K2777">
        <v>1.84</v>
      </c>
      <c r="L2777">
        <v>1</v>
      </c>
    </row>
    <row r="2778" spans="1:12">
      <c r="A2778" t="s">
        <v>8065</v>
      </c>
      <c r="B2778" t="s">
        <v>8066</v>
      </c>
      <c r="C2778" t="s">
        <v>8067</v>
      </c>
      <c r="D2778" t="s">
        <v>23</v>
      </c>
      <c r="E2778" t="s">
        <v>28</v>
      </c>
      <c r="F2778" t="s">
        <v>17</v>
      </c>
      <c r="G2778" t="s">
        <v>45</v>
      </c>
      <c r="H2778" t="s">
        <v>19</v>
      </c>
      <c r="I2778">
        <v>4</v>
      </c>
      <c r="J2778">
        <v>24</v>
      </c>
      <c r="K2778">
        <v>14.45</v>
      </c>
      <c r="L2778">
        <v>1</v>
      </c>
    </row>
    <row r="2779" spans="1:12">
      <c r="A2779" t="s">
        <v>8068</v>
      </c>
      <c r="B2779" t="s">
        <v>8069</v>
      </c>
      <c r="C2779" t="s">
        <v>8070</v>
      </c>
      <c r="D2779" t="s">
        <v>15</v>
      </c>
      <c r="E2779" t="s">
        <v>16</v>
      </c>
      <c r="F2779" t="s">
        <v>29</v>
      </c>
      <c r="G2779" t="s">
        <v>105</v>
      </c>
      <c r="H2779" t="s">
        <v>31</v>
      </c>
      <c r="I2779">
        <v>4</v>
      </c>
      <c r="J2779">
        <v>8</v>
      </c>
      <c r="K2779">
        <v>5.42</v>
      </c>
      <c r="L2779">
        <v>1</v>
      </c>
    </row>
    <row r="2780" spans="1:12">
      <c r="A2780" t="s">
        <v>8071</v>
      </c>
      <c r="B2780" t="s">
        <v>8072</v>
      </c>
      <c r="C2780" t="s">
        <v>8073</v>
      </c>
      <c r="D2780" t="s">
        <v>35</v>
      </c>
      <c r="E2780" t="s">
        <v>28</v>
      </c>
      <c r="F2780" t="s">
        <v>36</v>
      </c>
      <c r="G2780" t="s">
        <v>172</v>
      </c>
      <c r="H2780" t="s">
        <v>31</v>
      </c>
      <c r="I2780">
        <v>3</v>
      </c>
      <c r="J2780">
        <v>48</v>
      </c>
      <c r="K2780">
        <v>42.89</v>
      </c>
      <c r="L2780">
        <v>1</v>
      </c>
    </row>
    <row r="2781" spans="1:12">
      <c r="A2781" t="s">
        <v>8074</v>
      </c>
      <c r="B2781" t="s">
        <v>8075</v>
      </c>
      <c r="C2781" t="s">
        <v>8076</v>
      </c>
      <c r="D2781" t="s">
        <v>35</v>
      </c>
      <c r="E2781" t="s">
        <v>54</v>
      </c>
      <c r="F2781" t="s">
        <v>60</v>
      </c>
      <c r="G2781" t="s">
        <v>37</v>
      </c>
      <c r="H2781" t="s">
        <v>19</v>
      </c>
      <c r="I2781">
        <v>5</v>
      </c>
      <c r="J2781">
        <v>48</v>
      </c>
      <c r="K2781">
        <v>17.05</v>
      </c>
      <c r="L2781">
        <v>1</v>
      </c>
    </row>
    <row r="2782" spans="1:12">
      <c r="A2782" t="s">
        <v>8077</v>
      </c>
      <c r="B2782" t="s">
        <v>8078</v>
      </c>
      <c r="C2782" t="s">
        <v>8079</v>
      </c>
      <c r="D2782" t="s">
        <v>15</v>
      </c>
      <c r="E2782" t="s">
        <v>28</v>
      </c>
      <c r="F2782" t="s">
        <v>36</v>
      </c>
      <c r="G2782" t="s">
        <v>77</v>
      </c>
      <c r="H2782" t="s">
        <v>19</v>
      </c>
      <c r="I2782">
        <v>2</v>
      </c>
      <c r="J2782">
        <v>8</v>
      </c>
      <c r="K2782">
        <v>19.53</v>
      </c>
      <c r="L2782">
        <v>0</v>
      </c>
    </row>
    <row r="2783" spans="1:12">
      <c r="A2783" t="s">
        <v>8080</v>
      </c>
      <c r="B2783" t="s">
        <v>8081</v>
      </c>
      <c r="C2783" t="s">
        <v>8082</v>
      </c>
      <c r="D2783" t="s">
        <v>23</v>
      </c>
      <c r="E2783" t="s">
        <v>28</v>
      </c>
      <c r="F2783" t="s">
        <v>60</v>
      </c>
      <c r="G2783" t="s">
        <v>30</v>
      </c>
      <c r="H2783" t="s">
        <v>19</v>
      </c>
      <c r="I2783">
        <v>5</v>
      </c>
      <c r="J2783">
        <v>24</v>
      </c>
      <c r="K2783">
        <v>18.149999999999999</v>
      </c>
      <c r="L2783">
        <v>1</v>
      </c>
    </row>
    <row r="2784" spans="1:12">
      <c r="A2784" t="s">
        <v>8083</v>
      </c>
      <c r="B2784" t="s">
        <v>8084</v>
      </c>
      <c r="C2784" t="s">
        <v>8085</v>
      </c>
      <c r="D2784" t="s">
        <v>23</v>
      </c>
      <c r="E2784" t="s">
        <v>16</v>
      </c>
      <c r="F2784" t="s">
        <v>36</v>
      </c>
      <c r="G2784" t="s">
        <v>77</v>
      </c>
      <c r="H2784" t="s">
        <v>19</v>
      </c>
      <c r="I2784">
        <v>1</v>
      </c>
      <c r="J2784">
        <v>24</v>
      </c>
      <c r="K2784">
        <v>62.91</v>
      </c>
      <c r="L2784">
        <v>0</v>
      </c>
    </row>
    <row r="2785" spans="1:12">
      <c r="A2785" t="s">
        <v>8086</v>
      </c>
      <c r="B2785" t="s">
        <v>8087</v>
      </c>
      <c r="C2785" t="s">
        <v>8088</v>
      </c>
      <c r="D2785" t="s">
        <v>15</v>
      </c>
      <c r="E2785" t="s">
        <v>54</v>
      </c>
      <c r="F2785" t="s">
        <v>41</v>
      </c>
      <c r="G2785" t="s">
        <v>50</v>
      </c>
      <c r="H2785" t="s">
        <v>19</v>
      </c>
      <c r="I2785">
        <v>5</v>
      </c>
      <c r="J2785">
        <v>8</v>
      </c>
      <c r="K2785">
        <v>6.36</v>
      </c>
      <c r="L2785">
        <v>1</v>
      </c>
    </row>
    <row r="2786" spans="1:12">
      <c r="A2786" t="s">
        <v>8089</v>
      </c>
      <c r="B2786" t="s">
        <v>8090</v>
      </c>
      <c r="C2786" t="s">
        <v>8091</v>
      </c>
      <c r="D2786" t="s">
        <v>23</v>
      </c>
      <c r="E2786" t="s">
        <v>28</v>
      </c>
      <c r="F2786" t="s">
        <v>17</v>
      </c>
      <c r="G2786" t="s">
        <v>18</v>
      </c>
      <c r="H2786" t="s">
        <v>31</v>
      </c>
      <c r="I2786">
        <v>1</v>
      </c>
      <c r="J2786">
        <v>24</v>
      </c>
      <c r="K2786">
        <v>38.729999999999997</v>
      </c>
      <c r="L2786">
        <v>0</v>
      </c>
    </row>
    <row r="2787" spans="1:12">
      <c r="A2787" t="s">
        <v>8092</v>
      </c>
      <c r="B2787" t="s">
        <v>8093</v>
      </c>
      <c r="C2787" t="s">
        <v>8094</v>
      </c>
      <c r="D2787" t="s">
        <v>23</v>
      </c>
      <c r="E2787" t="s">
        <v>24</v>
      </c>
      <c r="F2787" t="s">
        <v>17</v>
      </c>
      <c r="G2787" t="s">
        <v>73</v>
      </c>
      <c r="H2787" t="s">
        <v>31</v>
      </c>
      <c r="I2787">
        <v>2</v>
      </c>
      <c r="J2787">
        <v>24</v>
      </c>
      <c r="K2787">
        <v>67.12</v>
      </c>
      <c r="L2787">
        <v>0</v>
      </c>
    </row>
    <row r="2788" spans="1:12">
      <c r="A2788" t="s">
        <v>8095</v>
      </c>
      <c r="B2788" t="s">
        <v>8096</v>
      </c>
      <c r="C2788" t="s">
        <v>8097</v>
      </c>
      <c r="D2788" t="s">
        <v>35</v>
      </c>
      <c r="E2788" t="s">
        <v>54</v>
      </c>
      <c r="F2788" t="s">
        <v>29</v>
      </c>
      <c r="G2788" t="s">
        <v>73</v>
      </c>
      <c r="H2788" t="s">
        <v>19</v>
      </c>
      <c r="I2788">
        <v>3</v>
      </c>
      <c r="J2788">
        <v>48</v>
      </c>
      <c r="K2788">
        <v>108.61</v>
      </c>
      <c r="L2788">
        <v>0</v>
      </c>
    </row>
    <row r="2789" spans="1:12">
      <c r="A2789" t="s">
        <v>8098</v>
      </c>
      <c r="B2789" t="s">
        <v>8099</v>
      </c>
      <c r="C2789" t="s">
        <v>8100</v>
      </c>
      <c r="D2789" t="s">
        <v>23</v>
      </c>
      <c r="E2789" t="s">
        <v>16</v>
      </c>
      <c r="F2789" t="s">
        <v>17</v>
      </c>
      <c r="G2789" t="s">
        <v>30</v>
      </c>
      <c r="H2789" t="s">
        <v>19</v>
      </c>
      <c r="I2789">
        <v>3</v>
      </c>
      <c r="J2789">
        <v>24</v>
      </c>
      <c r="K2789">
        <v>2.84</v>
      </c>
      <c r="L2789">
        <v>1</v>
      </c>
    </row>
    <row r="2790" spans="1:12">
      <c r="A2790" t="s">
        <v>8101</v>
      </c>
      <c r="B2790" t="s">
        <v>8102</v>
      </c>
      <c r="C2790" t="s">
        <v>8103</v>
      </c>
      <c r="D2790" t="s">
        <v>35</v>
      </c>
      <c r="E2790" t="s">
        <v>24</v>
      </c>
      <c r="F2790" t="s">
        <v>60</v>
      </c>
      <c r="G2790" t="s">
        <v>18</v>
      </c>
      <c r="H2790" t="s">
        <v>19</v>
      </c>
      <c r="I2790">
        <v>4</v>
      </c>
      <c r="J2790">
        <v>48</v>
      </c>
      <c r="K2790">
        <v>25.86</v>
      </c>
      <c r="L2790">
        <v>1</v>
      </c>
    </row>
    <row r="2791" spans="1:12">
      <c r="A2791" t="s">
        <v>8104</v>
      </c>
      <c r="B2791" t="s">
        <v>8105</v>
      </c>
      <c r="C2791" t="s">
        <v>8106</v>
      </c>
      <c r="D2791" t="s">
        <v>35</v>
      </c>
      <c r="E2791" t="s">
        <v>28</v>
      </c>
      <c r="F2791" t="s">
        <v>36</v>
      </c>
      <c r="G2791" t="s">
        <v>55</v>
      </c>
      <c r="H2791" t="s">
        <v>31</v>
      </c>
      <c r="I2791">
        <v>5</v>
      </c>
      <c r="J2791">
        <v>48</v>
      </c>
      <c r="K2791">
        <v>29.61</v>
      </c>
      <c r="L2791">
        <v>1</v>
      </c>
    </row>
    <row r="2792" spans="1:12">
      <c r="A2792" t="s">
        <v>8107</v>
      </c>
      <c r="B2792" t="s">
        <v>8108</v>
      </c>
      <c r="C2792" t="s">
        <v>8109</v>
      </c>
      <c r="D2792" t="s">
        <v>15</v>
      </c>
      <c r="E2792" t="s">
        <v>28</v>
      </c>
      <c r="F2792" t="s">
        <v>36</v>
      </c>
      <c r="G2792" t="s">
        <v>172</v>
      </c>
      <c r="H2792" t="s">
        <v>31</v>
      </c>
      <c r="I2792">
        <v>4</v>
      </c>
      <c r="J2792">
        <v>8</v>
      </c>
      <c r="K2792">
        <v>1.66</v>
      </c>
      <c r="L2792">
        <v>1</v>
      </c>
    </row>
    <row r="2793" spans="1:12">
      <c r="A2793" t="s">
        <v>8110</v>
      </c>
      <c r="B2793" t="s">
        <v>8111</v>
      </c>
      <c r="C2793" t="s">
        <v>8112</v>
      </c>
      <c r="D2793" t="s">
        <v>35</v>
      </c>
      <c r="E2793" t="s">
        <v>28</v>
      </c>
      <c r="F2793" t="s">
        <v>60</v>
      </c>
      <c r="G2793" t="s">
        <v>105</v>
      </c>
      <c r="H2793" t="s">
        <v>31</v>
      </c>
      <c r="I2793">
        <v>4</v>
      </c>
      <c r="J2793">
        <v>48</v>
      </c>
      <c r="K2793">
        <v>27.29</v>
      </c>
      <c r="L2793">
        <v>1</v>
      </c>
    </row>
    <row r="2794" spans="1:12">
      <c r="A2794" t="s">
        <v>8113</v>
      </c>
      <c r="B2794" t="s">
        <v>8114</v>
      </c>
      <c r="C2794" t="s">
        <v>8115</v>
      </c>
      <c r="D2794" t="s">
        <v>158</v>
      </c>
      <c r="E2794" t="s">
        <v>16</v>
      </c>
      <c r="F2794" t="s">
        <v>29</v>
      </c>
      <c r="G2794" t="s">
        <v>18</v>
      </c>
      <c r="H2794" t="s">
        <v>19</v>
      </c>
      <c r="I2794">
        <v>4</v>
      </c>
      <c r="J2794">
        <v>4</v>
      </c>
      <c r="K2794">
        <v>3.03</v>
      </c>
      <c r="L2794">
        <v>1</v>
      </c>
    </row>
    <row r="2795" spans="1:12">
      <c r="A2795" t="s">
        <v>8116</v>
      </c>
      <c r="B2795" t="s">
        <v>8117</v>
      </c>
      <c r="C2795" t="s">
        <v>8118</v>
      </c>
      <c r="D2795" t="s">
        <v>23</v>
      </c>
      <c r="E2795" t="s">
        <v>24</v>
      </c>
      <c r="F2795" t="s">
        <v>17</v>
      </c>
      <c r="G2795" t="s">
        <v>50</v>
      </c>
      <c r="H2795" t="s">
        <v>19</v>
      </c>
      <c r="I2795">
        <v>3</v>
      </c>
      <c r="J2795">
        <v>24</v>
      </c>
      <c r="K2795">
        <v>6.56</v>
      </c>
      <c r="L2795">
        <v>1</v>
      </c>
    </row>
    <row r="2796" spans="1:12">
      <c r="A2796" t="s">
        <v>8119</v>
      </c>
      <c r="B2796" t="s">
        <v>8120</v>
      </c>
      <c r="C2796" t="s">
        <v>8121</v>
      </c>
      <c r="D2796" t="s">
        <v>23</v>
      </c>
      <c r="E2796" t="s">
        <v>54</v>
      </c>
      <c r="F2796" t="s">
        <v>36</v>
      </c>
      <c r="G2796" t="s">
        <v>37</v>
      </c>
      <c r="H2796" t="s">
        <v>19</v>
      </c>
      <c r="I2796">
        <v>5</v>
      </c>
      <c r="J2796">
        <v>24</v>
      </c>
      <c r="K2796">
        <v>12.15</v>
      </c>
      <c r="L2796">
        <v>1</v>
      </c>
    </row>
    <row r="2797" spans="1:12">
      <c r="A2797" t="s">
        <v>8122</v>
      </c>
      <c r="B2797" t="s">
        <v>8123</v>
      </c>
      <c r="C2797" t="s">
        <v>8124</v>
      </c>
      <c r="D2797" t="s">
        <v>158</v>
      </c>
      <c r="E2797" t="s">
        <v>54</v>
      </c>
      <c r="F2797" t="s">
        <v>36</v>
      </c>
      <c r="G2797" t="s">
        <v>18</v>
      </c>
      <c r="H2797" t="s">
        <v>19</v>
      </c>
      <c r="I2797">
        <v>4</v>
      </c>
      <c r="J2797">
        <v>4</v>
      </c>
      <c r="K2797">
        <v>727</v>
      </c>
      <c r="L2797">
        <v>0</v>
      </c>
    </row>
    <row r="2798" spans="1:12">
      <c r="A2798" t="s">
        <v>8125</v>
      </c>
      <c r="B2798" t="s">
        <v>8126</v>
      </c>
      <c r="C2798" t="s">
        <v>8127</v>
      </c>
      <c r="D2798" t="s">
        <v>23</v>
      </c>
      <c r="E2798" t="s">
        <v>24</v>
      </c>
      <c r="F2798" t="s">
        <v>29</v>
      </c>
      <c r="G2798" t="s">
        <v>42</v>
      </c>
      <c r="H2798" t="s">
        <v>31</v>
      </c>
      <c r="I2798">
        <v>5</v>
      </c>
      <c r="J2798">
        <v>24</v>
      </c>
      <c r="K2798">
        <v>12.05</v>
      </c>
      <c r="L2798">
        <v>1</v>
      </c>
    </row>
    <row r="2799" spans="1:12">
      <c r="A2799" t="s">
        <v>8128</v>
      </c>
      <c r="B2799" t="s">
        <v>8129</v>
      </c>
      <c r="C2799" t="s">
        <v>8130</v>
      </c>
      <c r="D2799" t="s">
        <v>158</v>
      </c>
      <c r="E2799" t="s">
        <v>16</v>
      </c>
      <c r="F2799" t="s">
        <v>29</v>
      </c>
      <c r="G2799" t="s">
        <v>30</v>
      </c>
      <c r="H2799" t="s">
        <v>31</v>
      </c>
      <c r="I2799">
        <v>3</v>
      </c>
      <c r="J2799">
        <v>4</v>
      </c>
      <c r="K2799">
        <v>7.89</v>
      </c>
      <c r="L2799">
        <v>0</v>
      </c>
    </row>
    <row r="2800" spans="1:12">
      <c r="A2800" t="s">
        <v>8131</v>
      </c>
      <c r="B2800" t="s">
        <v>8132</v>
      </c>
      <c r="D2800" t="s">
        <v>15</v>
      </c>
      <c r="E2800" t="s">
        <v>28</v>
      </c>
      <c r="F2800" t="s">
        <v>17</v>
      </c>
      <c r="G2800" t="s">
        <v>172</v>
      </c>
      <c r="H2800" t="s">
        <v>63</v>
      </c>
      <c r="J2800">
        <v>8</v>
      </c>
    </row>
    <row r="2801" spans="1:12">
      <c r="A2801" t="s">
        <v>8133</v>
      </c>
      <c r="B2801" t="s">
        <v>8134</v>
      </c>
      <c r="C2801" t="s">
        <v>8135</v>
      </c>
      <c r="D2801" t="s">
        <v>35</v>
      </c>
      <c r="E2801" t="s">
        <v>28</v>
      </c>
      <c r="F2801" t="s">
        <v>41</v>
      </c>
      <c r="G2801" t="s">
        <v>18</v>
      </c>
      <c r="H2801" t="s">
        <v>31</v>
      </c>
      <c r="I2801">
        <v>5</v>
      </c>
      <c r="J2801">
        <v>48</v>
      </c>
      <c r="K2801">
        <v>19.36</v>
      </c>
      <c r="L2801">
        <v>1</v>
      </c>
    </row>
    <row r="2802" spans="1:12">
      <c r="A2802" t="s">
        <v>8136</v>
      </c>
      <c r="B2802" t="s">
        <v>8137</v>
      </c>
      <c r="C2802" t="s">
        <v>8138</v>
      </c>
      <c r="D2802" t="s">
        <v>35</v>
      </c>
      <c r="E2802" t="s">
        <v>16</v>
      </c>
      <c r="F2802" t="s">
        <v>29</v>
      </c>
      <c r="G2802" t="s">
        <v>37</v>
      </c>
      <c r="H2802" t="s">
        <v>31</v>
      </c>
      <c r="I2802">
        <v>4</v>
      </c>
      <c r="J2802">
        <v>48</v>
      </c>
      <c r="K2802">
        <v>23.07</v>
      </c>
      <c r="L2802">
        <v>1</v>
      </c>
    </row>
    <row r="2803" spans="1:12">
      <c r="A2803" t="s">
        <v>8139</v>
      </c>
      <c r="B2803" t="s">
        <v>8140</v>
      </c>
      <c r="D2803" t="s">
        <v>23</v>
      </c>
      <c r="E2803" t="s">
        <v>54</v>
      </c>
      <c r="F2803" t="s">
        <v>60</v>
      </c>
      <c r="G2803" t="s">
        <v>18</v>
      </c>
      <c r="H2803" t="s">
        <v>46</v>
      </c>
      <c r="J2803">
        <v>24</v>
      </c>
    </row>
    <row r="2804" spans="1:12">
      <c r="A2804" t="s">
        <v>8141</v>
      </c>
      <c r="B2804" t="s">
        <v>8142</v>
      </c>
      <c r="C2804" t="s">
        <v>8143</v>
      </c>
      <c r="D2804" t="s">
        <v>23</v>
      </c>
      <c r="E2804" t="s">
        <v>54</v>
      </c>
      <c r="F2804" t="s">
        <v>60</v>
      </c>
      <c r="G2804" t="s">
        <v>77</v>
      </c>
      <c r="H2804" t="s">
        <v>31</v>
      </c>
      <c r="I2804">
        <v>1</v>
      </c>
      <c r="J2804">
        <v>24</v>
      </c>
      <c r="K2804">
        <v>53.19</v>
      </c>
      <c r="L2804">
        <v>0</v>
      </c>
    </row>
    <row r="2805" spans="1:12">
      <c r="A2805" t="s">
        <v>8144</v>
      </c>
      <c r="B2805" t="s">
        <v>8145</v>
      </c>
      <c r="C2805" t="s">
        <v>8146</v>
      </c>
      <c r="D2805" t="s">
        <v>35</v>
      </c>
      <c r="E2805" t="s">
        <v>28</v>
      </c>
      <c r="F2805" t="s">
        <v>36</v>
      </c>
      <c r="G2805" t="s">
        <v>55</v>
      </c>
      <c r="H2805" t="s">
        <v>31</v>
      </c>
      <c r="I2805">
        <v>1</v>
      </c>
      <c r="J2805">
        <v>48</v>
      </c>
      <c r="K2805">
        <v>126.58</v>
      </c>
      <c r="L2805">
        <v>0</v>
      </c>
    </row>
    <row r="2806" spans="1:12">
      <c r="A2806" t="s">
        <v>8147</v>
      </c>
      <c r="B2806" t="s">
        <v>8148</v>
      </c>
      <c r="C2806" t="s">
        <v>8149</v>
      </c>
      <c r="D2806" t="s">
        <v>23</v>
      </c>
      <c r="E2806" t="s">
        <v>28</v>
      </c>
      <c r="F2806" t="s">
        <v>17</v>
      </c>
      <c r="G2806" t="s">
        <v>73</v>
      </c>
      <c r="H2806" t="s">
        <v>31</v>
      </c>
      <c r="I2806">
        <v>4</v>
      </c>
      <c r="J2806">
        <v>24</v>
      </c>
      <c r="K2806">
        <v>11.3</v>
      </c>
      <c r="L2806">
        <v>1</v>
      </c>
    </row>
    <row r="2807" spans="1:12">
      <c r="A2807" t="s">
        <v>8150</v>
      </c>
      <c r="B2807" t="s">
        <v>8151</v>
      </c>
      <c r="C2807" t="s">
        <v>8152</v>
      </c>
      <c r="D2807" t="s">
        <v>23</v>
      </c>
      <c r="E2807" t="s">
        <v>28</v>
      </c>
      <c r="F2807" t="s">
        <v>29</v>
      </c>
      <c r="G2807" t="s">
        <v>37</v>
      </c>
      <c r="H2807" t="s">
        <v>19</v>
      </c>
      <c r="I2807">
        <v>5</v>
      </c>
      <c r="J2807">
        <v>24</v>
      </c>
      <c r="K2807">
        <v>17.059999999999999</v>
      </c>
      <c r="L2807">
        <v>1</v>
      </c>
    </row>
    <row r="2808" spans="1:12">
      <c r="A2808" t="s">
        <v>8153</v>
      </c>
      <c r="B2808" t="s">
        <v>8154</v>
      </c>
      <c r="C2808" t="s">
        <v>8155</v>
      </c>
      <c r="D2808" t="s">
        <v>35</v>
      </c>
      <c r="E2808" t="s">
        <v>16</v>
      </c>
      <c r="F2808" t="s">
        <v>36</v>
      </c>
      <c r="G2808" t="s">
        <v>151</v>
      </c>
      <c r="H2808" t="s">
        <v>31</v>
      </c>
      <c r="I2808">
        <v>5</v>
      </c>
      <c r="J2808">
        <v>48</v>
      </c>
      <c r="K2808">
        <v>29.93</v>
      </c>
      <c r="L2808">
        <v>1</v>
      </c>
    </row>
    <row r="2809" spans="1:12">
      <c r="A2809" t="s">
        <v>8156</v>
      </c>
      <c r="B2809" t="s">
        <v>8157</v>
      </c>
      <c r="C2809" t="s">
        <v>8158</v>
      </c>
      <c r="D2809" t="s">
        <v>15</v>
      </c>
      <c r="E2809" t="s">
        <v>24</v>
      </c>
      <c r="F2809" t="s">
        <v>36</v>
      </c>
      <c r="G2809" t="s">
        <v>73</v>
      </c>
      <c r="H2809" t="s">
        <v>31</v>
      </c>
      <c r="I2809">
        <v>5</v>
      </c>
      <c r="J2809">
        <v>8</v>
      </c>
      <c r="K2809">
        <v>5.55</v>
      </c>
      <c r="L2809">
        <v>1</v>
      </c>
    </row>
    <row r="2810" spans="1:12">
      <c r="A2810" t="s">
        <v>8159</v>
      </c>
      <c r="B2810" t="s">
        <v>8160</v>
      </c>
      <c r="C2810" t="s">
        <v>8161</v>
      </c>
      <c r="D2810" t="s">
        <v>15</v>
      </c>
      <c r="E2810" t="s">
        <v>24</v>
      </c>
      <c r="F2810" t="s">
        <v>60</v>
      </c>
      <c r="G2810" t="s">
        <v>77</v>
      </c>
      <c r="H2810" t="s">
        <v>31</v>
      </c>
      <c r="I2810">
        <v>4</v>
      </c>
      <c r="J2810">
        <v>8</v>
      </c>
      <c r="K2810">
        <v>4.18</v>
      </c>
      <c r="L2810">
        <v>1</v>
      </c>
    </row>
    <row r="2811" spans="1:12">
      <c r="A2811" t="s">
        <v>8162</v>
      </c>
      <c r="B2811" t="s">
        <v>8163</v>
      </c>
      <c r="C2811" t="s">
        <v>8164</v>
      </c>
      <c r="D2811" t="s">
        <v>35</v>
      </c>
      <c r="E2811" t="s">
        <v>24</v>
      </c>
      <c r="F2811" t="s">
        <v>41</v>
      </c>
      <c r="G2811" t="s">
        <v>105</v>
      </c>
      <c r="H2811" t="s">
        <v>19</v>
      </c>
      <c r="I2811">
        <v>5</v>
      </c>
      <c r="J2811">
        <v>48</v>
      </c>
      <c r="K2811">
        <v>24.86</v>
      </c>
      <c r="L2811">
        <v>1</v>
      </c>
    </row>
    <row r="2812" spans="1:12">
      <c r="A2812" t="s">
        <v>8165</v>
      </c>
      <c r="B2812" t="s">
        <v>8166</v>
      </c>
      <c r="C2812" t="s">
        <v>8167</v>
      </c>
      <c r="D2812" t="s">
        <v>23</v>
      </c>
      <c r="E2812" t="s">
        <v>24</v>
      </c>
      <c r="F2812" t="s">
        <v>17</v>
      </c>
      <c r="G2812" t="s">
        <v>18</v>
      </c>
      <c r="H2812" t="s">
        <v>19</v>
      </c>
      <c r="I2812">
        <v>3</v>
      </c>
      <c r="J2812">
        <v>24</v>
      </c>
      <c r="K2812">
        <v>15.64</v>
      </c>
      <c r="L2812">
        <v>1</v>
      </c>
    </row>
    <row r="2813" spans="1:12">
      <c r="A2813" t="s">
        <v>8168</v>
      </c>
      <c r="B2813" t="s">
        <v>8169</v>
      </c>
      <c r="C2813" t="s">
        <v>8170</v>
      </c>
      <c r="D2813" t="s">
        <v>23</v>
      </c>
      <c r="E2813" t="s">
        <v>16</v>
      </c>
      <c r="F2813" t="s">
        <v>36</v>
      </c>
      <c r="G2813" t="s">
        <v>37</v>
      </c>
      <c r="H2813" t="s">
        <v>19</v>
      </c>
      <c r="I2813">
        <v>5</v>
      </c>
      <c r="J2813">
        <v>24</v>
      </c>
      <c r="K2813">
        <v>3.97</v>
      </c>
      <c r="L2813">
        <v>1</v>
      </c>
    </row>
    <row r="2814" spans="1:12">
      <c r="A2814" t="s">
        <v>8171</v>
      </c>
      <c r="B2814" t="s">
        <v>8172</v>
      </c>
      <c r="C2814" t="s">
        <v>8173</v>
      </c>
      <c r="D2814" t="s">
        <v>23</v>
      </c>
      <c r="E2814" t="s">
        <v>54</v>
      </c>
      <c r="F2814" t="s">
        <v>29</v>
      </c>
      <c r="G2814" t="s">
        <v>37</v>
      </c>
      <c r="H2814" t="s">
        <v>19</v>
      </c>
      <c r="I2814">
        <v>5</v>
      </c>
      <c r="J2814">
        <v>24</v>
      </c>
      <c r="K2814">
        <v>14.13</v>
      </c>
      <c r="L2814">
        <v>1</v>
      </c>
    </row>
    <row r="2815" spans="1:12">
      <c r="A2815" t="s">
        <v>8174</v>
      </c>
      <c r="B2815" t="s">
        <v>8175</v>
      </c>
      <c r="C2815" t="s">
        <v>8176</v>
      </c>
      <c r="D2815" t="s">
        <v>35</v>
      </c>
      <c r="E2815" t="s">
        <v>28</v>
      </c>
      <c r="F2815" t="s">
        <v>29</v>
      </c>
      <c r="G2815" t="s">
        <v>77</v>
      </c>
      <c r="H2815" t="s">
        <v>19</v>
      </c>
      <c r="I2815">
        <v>5</v>
      </c>
      <c r="J2815">
        <v>48</v>
      </c>
      <c r="K2815">
        <v>15.79</v>
      </c>
      <c r="L2815">
        <v>1</v>
      </c>
    </row>
    <row r="2816" spans="1:12">
      <c r="A2816" t="s">
        <v>8177</v>
      </c>
      <c r="B2816" t="s">
        <v>8178</v>
      </c>
      <c r="C2816" t="s">
        <v>8179</v>
      </c>
      <c r="D2816" t="s">
        <v>15</v>
      </c>
      <c r="E2816" t="s">
        <v>54</v>
      </c>
      <c r="F2816" t="s">
        <v>17</v>
      </c>
      <c r="G2816" t="s">
        <v>30</v>
      </c>
      <c r="H2816" t="s">
        <v>31</v>
      </c>
      <c r="I2816">
        <v>1</v>
      </c>
      <c r="J2816">
        <v>8</v>
      </c>
      <c r="K2816">
        <v>15.34</v>
      </c>
      <c r="L2816">
        <v>0</v>
      </c>
    </row>
    <row r="2817" spans="1:12">
      <c r="A2817" t="s">
        <v>8180</v>
      </c>
      <c r="B2817" t="s">
        <v>8181</v>
      </c>
      <c r="C2817" t="s">
        <v>8182</v>
      </c>
      <c r="D2817" t="s">
        <v>15</v>
      </c>
      <c r="E2817" t="s">
        <v>16</v>
      </c>
      <c r="F2817" t="s">
        <v>36</v>
      </c>
      <c r="G2817" t="s">
        <v>55</v>
      </c>
      <c r="H2817" t="s">
        <v>31</v>
      </c>
      <c r="I2817">
        <v>4</v>
      </c>
      <c r="J2817">
        <v>8</v>
      </c>
      <c r="K2817">
        <v>3.41</v>
      </c>
      <c r="L2817">
        <v>1</v>
      </c>
    </row>
    <row r="2818" spans="1:12">
      <c r="A2818" t="s">
        <v>8183</v>
      </c>
      <c r="B2818" t="s">
        <v>8184</v>
      </c>
      <c r="C2818" t="s">
        <v>8185</v>
      </c>
      <c r="D2818" t="s">
        <v>23</v>
      </c>
      <c r="E2818" t="s">
        <v>28</v>
      </c>
      <c r="F2818" t="s">
        <v>29</v>
      </c>
      <c r="G2818" t="s">
        <v>105</v>
      </c>
      <c r="H2818" t="s">
        <v>19</v>
      </c>
      <c r="I2818">
        <v>4</v>
      </c>
      <c r="J2818">
        <v>24</v>
      </c>
      <c r="K2818">
        <v>21.8</v>
      </c>
      <c r="L2818">
        <v>1</v>
      </c>
    </row>
    <row r="2819" spans="1:12">
      <c r="A2819" t="s">
        <v>8186</v>
      </c>
      <c r="B2819" t="s">
        <v>8187</v>
      </c>
      <c r="C2819" t="s">
        <v>8188</v>
      </c>
      <c r="D2819" t="s">
        <v>35</v>
      </c>
      <c r="E2819" t="s">
        <v>59</v>
      </c>
      <c r="F2819" t="s">
        <v>29</v>
      </c>
      <c r="G2819" t="s">
        <v>172</v>
      </c>
      <c r="H2819" t="s">
        <v>31</v>
      </c>
      <c r="I2819">
        <v>3</v>
      </c>
      <c r="J2819">
        <v>48</v>
      </c>
      <c r="K2819">
        <v>24.94</v>
      </c>
      <c r="L2819">
        <v>1</v>
      </c>
    </row>
    <row r="2820" spans="1:12">
      <c r="A2820" t="s">
        <v>8189</v>
      </c>
      <c r="B2820" t="s">
        <v>8190</v>
      </c>
      <c r="C2820" t="s">
        <v>8191</v>
      </c>
      <c r="D2820" t="s">
        <v>15</v>
      </c>
      <c r="E2820" t="s">
        <v>28</v>
      </c>
      <c r="F2820" t="s">
        <v>36</v>
      </c>
      <c r="G2820" t="s">
        <v>30</v>
      </c>
      <c r="H2820" t="s">
        <v>19</v>
      </c>
      <c r="I2820">
        <v>5</v>
      </c>
      <c r="J2820">
        <v>8</v>
      </c>
      <c r="K2820">
        <v>3.1</v>
      </c>
      <c r="L2820">
        <v>1</v>
      </c>
    </row>
    <row r="2821" spans="1:12">
      <c r="A2821" t="s">
        <v>8192</v>
      </c>
      <c r="B2821" t="s">
        <v>8193</v>
      </c>
      <c r="C2821" t="s">
        <v>8194</v>
      </c>
      <c r="D2821" t="s">
        <v>35</v>
      </c>
      <c r="E2821" t="s">
        <v>16</v>
      </c>
      <c r="F2821" t="s">
        <v>29</v>
      </c>
      <c r="G2821" t="s">
        <v>151</v>
      </c>
      <c r="H2821" t="s">
        <v>19</v>
      </c>
      <c r="I2821">
        <v>4</v>
      </c>
      <c r="J2821">
        <v>48</v>
      </c>
      <c r="K2821">
        <v>20.41</v>
      </c>
      <c r="L2821">
        <v>1</v>
      </c>
    </row>
    <row r="2822" spans="1:12">
      <c r="A2822" t="s">
        <v>8195</v>
      </c>
      <c r="B2822" t="s">
        <v>8196</v>
      </c>
      <c r="C2822" t="s">
        <v>8197</v>
      </c>
      <c r="D2822" t="s">
        <v>15</v>
      </c>
      <c r="E2822" t="s">
        <v>16</v>
      </c>
      <c r="F2822" t="s">
        <v>29</v>
      </c>
      <c r="G2822" t="s">
        <v>45</v>
      </c>
      <c r="H2822" t="s">
        <v>19</v>
      </c>
      <c r="I2822">
        <v>5</v>
      </c>
      <c r="J2822">
        <v>8</v>
      </c>
      <c r="K2822">
        <v>4.96</v>
      </c>
      <c r="L2822">
        <v>1</v>
      </c>
    </row>
    <row r="2823" spans="1:12">
      <c r="A2823" t="s">
        <v>8198</v>
      </c>
      <c r="B2823" t="s">
        <v>8199</v>
      </c>
      <c r="C2823" t="s">
        <v>8200</v>
      </c>
      <c r="D2823" t="s">
        <v>15</v>
      </c>
      <c r="E2823" t="s">
        <v>16</v>
      </c>
      <c r="F2823" t="s">
        <v>17</v>
      </c>
      <c r="G2823" t="s">
        <v>18</v>
      </c>
      <c r="H2823" t="s">
        <v>19</v>
      </c>
      <c r="I2823">
        <v>1</v>
      </c>
      <c r="J2823">
        <v>8</v>
      </c>
      <c r="K2823">
        <v>23.97</v>
      </c>
      <c r="L2823">
        <v>0</v>
      </c>
    </row>
    <row r="2824" spans="1:12">
      <c r="A2824" t="s">
        <v>8201</v>
      </c>
      <c r="B2824" t="s">
        <v>8202</v>
      </c>
      <c r="C2824" t="s">
        <v>8203</v>
      </c>
      <c r="D2824" t="s">
        <v>15</v>
      </c>
      <c r="E2824" t="s">
        <v>28</v>
      </c>
      <c r="F2824" t="s">
        <v>41</v>
      </c>
      <c r="G2824" t="s">
        <v>30</v>
      </c>
      <c r="H2824" t="s">
        <v>31</v>
      </c>
      <c r="I2824">
        <v>4</v>
      </c>
      <c r="J2824">
        <v>8</v>
      </c>
      <c r="K2824">
        <v>7.32</v>
      </c>
      <c r="L2824">
        <v>1</v>
      </c>
    </row>
    <row r="2825" spans="1:12">
      <c r="A2825" t="s">
        <v>8204</v>
      </c>
      <c r="B2825" t="s">
        <v>8205</v>
      </c>
      <c r="D2825" t="s">
        <v>35</v>
      </c>
      <c r="E2825" t="s">
        <v>28</v>
      </c>
      <c r="F2825" t="s">
        <v>29</v>
      </c>
      <c r="G2825" t="s">
        <v>73</v>
      </c>
      <c r="H2825" t="s">
        <v>63</v>
      </c>
      <c r="J2825">
        <v>48</v>
      </c>
    </row>
    <row r="2826" spans="1:12">
      <c r="A2826" t="s">
        <v>8206</v>
      </c>
      <c r="B2826" t="s">
        <v>8207</v>
      </c>
      <c r="C2826" t="s">
        <v>8208</v>
      </c>
      <c r="D2826" t="s">
        <v>23</v>
      </c>
      <c r="E2826" t="s">
        <v>24</v>
      </c>
      <c r="F2826" t="s">
        <v>36</v>
      </c>
      <c r="G2826" t="s">
        <v>105</v>
      </c>
      <c r="H2826" t="s">
        <v>19</v>
      </c>
      <c r="I2826">
        <v>5</v>
      </c>
      <c r="J2826">
        <v>24</v>
      </c>
      <c r="K2826">
        <v>14.87</v>
      </c>
      <c r="L2826">
        <v>1</v>
      </c>
    </row>
    <row r="2827" spans="1:12">
      <c r="A2827" t="s">
        <v>8209</v>
      </c>
      <c r="B2827" t="s">
        <v>8210</v>
      </c>
      <c r="C2827" t="s">
        <v>8211</v>
      </c>
      <c r="D2827" t="s">
        <v>35</v>
      </c>
      <c r="E2827" t="s">
        <v>16</v>
      </c>
      <c r="F2827" t="s">
        <v>29</v>
      </c>
      <c r="G2827" t="s">
        <v>105</v>
      </c>
      <c r="H2827" t="s">
        <v>19</v>
      </c>
      <c r="I2827">
        <v>5</v>
      </c>
      <c r="J2827">
        <v>48</v>
      </c>
      <c r="K2827">
        <v>28.4</v>
      </c>
      <c r="L2827">
        <v>1</v>
      </c>
    </row>
    <row r="2828" spans="1:12">
      <c r="A2828" t="s">
        <v>8212</v>
      </c>
      <c r="B2828" t="s">
        <v>8213</v>
      </c>
      <c r="C2828" t="s">
        <v>8214</v>
      </c>
      <c r="D2828" t="s">
        <v>23</v>
      </c>
      <c r="E2828" t="s">
        <v>28</v>
      </c>
      <c r="F2828" t="s">
        <v>41</v>
      </c>
      <c r="G2828" t="s">
        <v>55</v>
      </c>
      <c r="H2828" t="s">
        <v>19</v>
      </c>
      <c r="I2828">
        <v>2</v>
      </c>
      <c r="J2828">
        <v>24</v>
      </c>
      <c r="K2828">
        <v>63.64</v>
      </c>
      <c r="L2828">
        <v>0</v>
      </c>
    </row>
    <row r="2829" spans="1:12">
      <c r="A2829" t="s">
        <v>8215</v>
      </c>
      <c r="B2829" t="s">
        <v>8216</v>
      </c>
      <c r="C2829" t="s">
        <v>8217</v>
      </c>
      <c r="D2829" t="s">
        <v>15</v>
      </c>
      <c r="E2829" t="s">
        <v>28</v>
      </c>
      <c r="F2829" t="s">
        <v>17</v>
      </c>
      <c r="G2829" t="s">
        <v>77</v>
      </c>
      <c r="H2829" t="s">
        <v>19</v>
      </c>
      <c r="I2829">
        <v>4</v>
      </c>
      <c r="J2829">
        <v>8</v>
      </c>
      <c r="K2829">
        <v>3.45</v>
      </c>
      <c r="L2829">
        <v>1</v>
      </c>
    </row>
    <row r="2830" spans="1:12">
      <c r="A2830" t="s">
        <v>8218</v>
      </c>
      <c r="B2830" t="s">
        <v>8219</v>
      </c>
      <c r="C2830" t="s">
        <v>8220</v>
      </c>
      <c r="D2830" t="s">
        <v>15</v>
      </c>
      <c r="E2830" t="s">
        <v>59</v>
      </c>
      <c r="F2830" t="s">
        <v>41</v>
      </c>
      <c r="G2830" t="s">
        <v>18</v>
      </c>
      <c r="H2830" t="s">
        <v>19</v>
      </c>
      <c r="I2830">
        <v>4</v>
      </c>
      <c r="J2830">
        <v>8</v>
      </c>
      <c r="K2830">
        <v>5.91</v>
      </c>
      <c r="L2830">
        <v>1</v>
      </c>
    </row>
    <row r="2831" spans="1:12">
      <c r="A2831" t="s">
        <v>8221</v>
      </c>
      <c r="B2831" t="s">
        <v>8222</v>
      </c>
      <c r="C2831" t="s">
        <v>8223</v>
      </c>
      <c r="D2831" t="s">
        <v>35</v>
      </c>
      <c r="E2831" t="s">
        <v>24</v>
      </c>
      <c r="F2831" t="s">
        <v>29</v>
      </c>
      <c r="G2831" t="s">
        <v>50</v>
      </c>
      <c r="H2831" t="s">
        <v>31</v>
      </c>
      <c r="I2831">
        <v>2</v>
      </c>
      <c r="J2831">
        <v>48</v>
      </c>
      <c r="K2831">
        <v>104.04</v>
      </c>
      <c r="L2831">
        <v>0</v>
      </c>
    </row>
    <row r="2832" spans="1:12">
      <c r="A2832" t="s">
        <v>8224</v>
      </c>
      <c r="B2832" t="s">
        <v>8225</v>
      </c>
      <c r="C2832" t="s">
        <v>8226</v>
      </c>
      <c r="D2832" t="s">
        <v>15</v>
      </c>
      <c r="E2832" t="s">
        <v>16</v>
      </c>
      <c r="F2832" t="s">
        <v>60</v>
      </c>
      <c r="G2832" t="s">
        <v>30</v>
      </c>
      <c r="H2832" t="s">
        <v>19</v>
      </c>
      <c r="I2832">
        <v>3</v>
      </c>
      <c r="J2832">
        <v>8</v>
      </c>
      <c r="K2832">
        <v>8.42</v>
      </c>
      <c r="L2832">
        <v>0</v>
      </c>
    </row>
    <row r="2833" spans="1:12">
      <c r="A2833" t="s">
        <v>8227</v>
      </c>
      <c r="B2833" t="s">
        <v>8228</v>
      </c>
      <c r="D2833" t="s">
        <v>15</v>
      </c>
      <c r="E2833" t="s">
        <v>54</v>
      </c>
      <c r="F2833" t="s">
        <v>36</v>
      </c>
      <c r="G2833" t="s">
        <v>18</v>
      </c>
      <c r="H2833" t="s">
        <v>46</v>
      </c>
      <c r="J2833">
        <v>8</v>
      </c>
    </row>
    <row r="2834" spans="1:12">
      <c r="A2834" t="s">
        <v>8229</v>
      </c>
      <c r="B2834" t="s">
        <v>8230</v>
      </c>
      <c r="C2834" t="s">
        <v>8231</v>
      </c>
      <c r="D2834" t="s">
        <v>35</v>
      </c>
      <c r="E2834" t="s">
        <v>54</v>
      </c>
      <c r="F2834" t="s">
        <v>17</v>
      </c>
      <c r="G2834" t="s">
        <v>172</v>
      </c>
      <c r="H2834" t="s">
        <v>19</v>
      </c>
      <c r="I2834">
        <v>4</v>
      </c>
      <c r="J2834">
        <v>48</v>
      </c>
      <c r="K2834">
        <v>40.340000000000003</v>
      </c>
      <c r="L2834">
        <v>1</v>
      </c>
    </row>
    <row r="2835" spans="1:12">
      <c r="A2835" t="s">
        <v>8232</v>
      </c>
      <c r="B2835" t="s">
        <v>8233</v>
      </c>
      <c r="C2835" t="s">
        <v>8234</v>
      </c>
      <c r="D2835" t="s">
        <v>15</v>
      </c>
      <c r="E2835" t="s">
        <v>24</v>
      </c>
      <c r="F2835" t="s">
        <v>36</v>
      </c>
      <c r="G2835" t="s">
        <v>55</v>
      </c>
      <c r="H2835" t="s">
        <v>31</v>
      </c>
      <c r="I2835">
        <v>5</v>
      </c>
      <c r="J2835">
        <v>8</v>
      </c>
      <c r="K2835">
        <v>4</v>
      </c>
      <c r="L2835">
        <v>1</v>
      </c>
    </row>
    <row r="2836" spans="1:12">
      <c r="A2836" t="s">
        <v>8235</v>
      </c>
      <c r="B2836" t="s">
        <v>8236</v>
      </c>
      <c r="C2836" t="s">
        <v>8237</v>
      </c>
      <c r="D2836" t="s">
        <v>23</v>
      </c>
      <c r="E2836" t="s">
        <v>28</v>
      </c>
      <c r="F2836" t="s">
        <v>36</v>
      </c>
      <c r="G2836" t="s">
        <v>151</v>
      </c>
      <c r="H2836" t="s">
        <v>19</v>
      </c>
      <c r="I2836">
        <v>4</v>
      </c>
      <c r="J2836">
        <v>24</v>
      </c>
      <c r="K2836">
        <v>11.08</v>
      </c>
      <c r="L2836">
        <v>1</v>
      </c>
    </row>
    <row r="2837" spans="1:12">
      <c r="A2837" t="s">
        <v>8238</v>
      </c>
      <c r="B2837" t="s">
        <v>8239</v>
      </c>
      <c r="C2837" t="s">
        <v>8240</v>
      </c>
      <c r="D2837" t="s">
        <v>23</v>
      </c>
      <c r="E2837" t="s">
        <v>16</v>
      </c>
      <c r="F2837" t="s">
        <v>17</v>
      </c>
      <c r="G2837" t="s">
        <v>30</v>
      </c>
      <c r="H2837" t="s">
        <v>19</v>
      </c>
      <c r="I2837">
        <v>5</v>
      </c>
      <c r="J2837">
        <v>24</v>
      </c>
      <c r="K2837">
        <v>5.03</v>
      </c>
      <c r="L2837">
        <v>1</v>
      </c>
    </row>
    <row r="2838" spans="1:12">
      <c r="A2838" t="s">
        <v>8241</v>
      </c>
      <c r="B2838" t="s">
        <v>8242</v>
      </c>
      <c r="C2838" t="s">
        <v>8243</v>
      </c>
      <c r="D2838" t="s">
        <v>23</v>
      </c>
      <c r="E2838" t="s">
        <v>16</v>
      </c>
      <c r="F2838" t="s">
        <v>60</v>
      </c>
      <c r="G2838" t="s">
        <v>45</v>
      </c>
      <c r="H2838" t="s">
        <v>19</v>
      </c>
      <c r="I2838">
        <v>5</v>
      </c>
      <c r="J2838">
        <v>24</v>
      </c>
      <c r="K2838">
        <v>7.39</v>
      </c>
      <c r="L2838">
        <v>1</v>
      </c>
    </row>
    <row r="2839" spans="1:12">
      <c r="A2839" t="s">
        <v>8244</v>
      </c>
      <c r="B2839" t="s">
        <v>8245</v>
      </c>
      <c r="C2839" t="s">
        <v>8246</v>
      </c>
      <c r="D2839" t="s">
        <v>35</v>
      </c>
      <c r="E2839" t="s">
        <v>28</v>
      </c>
      <c r="F2839" t="s">
        <v>29</v>
      </c>
      <c r="G2839" t="s">
        <v>105</v>
      </c>
      <c r="H2839" t="s">
        <v>19</v>
      </c>
      <c r="I2839">
        <v>4</v>
      </c>
      <c r="J2839">
        <v>48</v>
      </c>
      <c r="K2839">
        <v>35.67</v>
      </c>
      <c r="L2839">
        <v>1</v>
      </c>
    </row>
    <row r="2840" spans="1:12">
      <c r="A2840" t="s">
        <v>8247</v>
      </c>
      <c r="B2840" t="s">
        <v>8248</v>
      </c>
      <c r="C2840" t="s">
        <v>8249</v>
      </c>
      <c r="D2840" t="s">
        <v>35</v>
      </c>
      <c r="E2840" t="s">
        <v>28</v>
      </c>
      <c r="F2840" t="s">
        <v>60</v>
      </c>
      <c r="G2840" t="s">
        <v>18</v>
      </c>
      <c r="H2840" t="s">
        <v>19</v>
      </c>
      <c r="I2840">
        <v>1</v>
      </c>
      <c r="J2840">
        <v>48</v>
      </c>
      <c r="K2840">
        <v>68.42</v>
      </c>
      <c r="L2840">
        <v>0</v>
      </c>
    </row>
    <row r="2841" spans="1:12">
      <c r="A2841" t="s">
        <v>8250</v>
      </c>
      <c r="B2841" t="s">
        <v>8251</v>
      </c>
      <c r="C2841" t="s">
        <v>8252</v>
      </c>
      <c r="D2841" t="s">
        <v>15</v>
      </c>
      <c r="E2841" t="s">
        <v>54</v>
      </c>
      <c r="F2841" t="s">
        <v>36</v>
      </c>
      <c r="G2841" t="s">
        <v>172</v>
      </c>
      <c r="H2841" t="s">
        <v>19</v>
      </c>
      <c r="I2841">
        <v>5</v>
      </c>
      <c r="J2841">
        <v>8</v>
      </c>
      <c r="K2841">
        <v>7.08</v>
      </c>
      <c r="L2841">
        <v>1</v>
      </c>
    </row>
    <row r="2842" spans="1:12">
      <c r="A2842" t="s">
        <v>8253</v>
      </c>
      <c r="B2842" t="s">
        <v>8254</v>
      </c>
      <c r="C2842" t="s">
        <v>8255</v>
      </c>
      <c r="D2842" t="s">
        <v>23</v>
      </c>
      <c r="E2842" t="s">
        <v>28</v>
      </c>
      <c r="F2842" t="s">
        <v>29</v>
      </c>
      <c r="G2842" t="s">
        <v>73</v>
      </c>
      <c r="H2842" t="s">
        <v>31</v>
      </c>
      <c r="I2842">
        <v>2</v>
      </c>
      <c r="J2842">
        <v>24</v>
      </c>
      <c r="K2842">
        <v>63.66</v>
      </c>
      <c r="L2842">
        <v>0</v>
      </c>
    </row>
    <row r="2843" spans="1:12">
      <c r="A2843" t="s">
        <v>8256</v>
      </c>
      <c r="B2843" t="s">
        <v>8257</v>
      </c>
      <c r="D2843" t="s">
        <v>23</v>
      </c>
      <c r="E2843" t="s">
        <v>54</v>
      </c>
      <c r="F2843" t="s">
        <v>36</v>
      </c>
      <c r="G2843" t="s">
        <v>37</v>
      </c>
      <c r="H2843" t="s">
        <v>63</v>
      </c>
      <c r="J2843">
        <v>24</v>
      </c>
    </row>
    <row r="2844" spans="1:12">
      <c r="A2844" t="s">
        <v>8258</v>
      </c>
      <c r="B2844" t="s">
        <v>8259</v>
      </c>
      <c r="C2844" t="s">
        <v>8260</v>
      </c>
      <c r="D2844" t="s">
        <v>15</v>
      </c>
      <c r="E2844" t="s">
        <v>16</v>
      </c>
      <c r="F2844" t="s">
        <v>17</v>
      </c>
      <c r="G2844" t="s">
        <v>151</v>
      </c>
      <c r="H2844" t="s">
        <v>19</v>
      </c>
      <c r="I2844">
        <v>5</v>
      </c>
      <c r="J2844">
        <v>8</v>
      </c>
      <c r="K2844">
        <v>4.22</v>
      </c>
      <c r="L2844">
        <v>1</v>
      </c>
    </row>
    <row r="2845" spans="1:12">
      <c r="A2845" t="s">
        <v>8261</v>
      </c>
      <c r="B2845" t="s">
        <v>8262</v>
      </c>
      <c r="C2845" t="s">
        <v>8263</v>
      </c>
      <c r="D2845" t="s">
        <v>35</v>
      </c>
      <c r="E2845" t="s">
        <v>28</v>
      </c>
      <c r="F2845" t="s">
        <v>60</v>
      </c>
      <c r="G2845" t="s">
        <v>30</v>
      </c>
      <c r="H2845" t="s">
        <v>19</v>
      </c>
      <c r="I2845">
        <v>4</v>
      </c>
      <c r="J2845">
        <v>48</v>
      </c>
      <c r="K2845">
        <v>35.93</v>
      </c>
      <c r="L2845">
        <v>1</v>
      </c>
    </row>
    <row r="2846" spans="1:12">
      <c r="A2846" t="s">
        <v>8264</v>
      </c>
      <c r="B2846" t="s">
        <v>8265</v>
      </c>
      <c r="C2846" t="s">
        <v>8266</v>
      </c>
      <c r="D2846" t="s">
        <v>15</v>
      </c>
      <c r="E2846" t="s">
        <v>16</v>
      </c>
      <c r="F2846" t="s">
        <v>60</v>
      </c>
      <c r="G2846" t="s">
        <v>151</v>
      </c>
      <c r="H2846" t="s">
        <v>31</v>
      </c>
      <c r="I2846">
        <v>4</v>
      </c>
      <c r="J2846">
        <v>8</v>
      </c>
      <c r="K2846">
        <v>6.84</v>
      </c>
      <c r="L2846">
        <v>1</v>
      </c>
    </row>
    <row r="2847" spans="1:12">
      <c r="A2847" t="s">
        <v>8267</v>
      </c>
      <c r="B2847" t="s">
        <v>8268</v>
      </c>
      <c r="C2847" t="s">
        <v>8269</v>
      </c>
      <c r="D2847" t="s">
        <v>35</v>
      </c>
      <c r="E2847" t="s">
        <v>54</v>
      </c>
      <c r="F2847" t="s">
        <v>29</v>
      </c>
      <c r="G2847" t="s">
        <v>42</v>
      </c>
      <c r="H2847" t="s">
        <v>31</v>
      </c>
      <c r="I2847">
        <v>4</v>
      </c>
      <c r="J2847">
        <v>48</v>
      </c>
      <c r="K2847">
        <v>25.05</v>
      </c>
      <c r="L2847">
        <v>1</v>
      </c>
    </row>
    <row r="2848" spans="1:12">
      <c r="A2848" t="s">
        <v>8270</v>
      </c>
      <c r="B2848" t="s">
        <v>8271</v>
      </c>
      <c r="C2848" t="s">
        <v>8272</v>
      </c>
      <c r="D2848" t="s">
        <v>23</v>
      </c>
      <c r="E2848" t="s">
        <v>16</v>
      </c>
      <c r="F2848" t="s">
        <v>60</v>
      </c>
      <c r="G2848" t="s">
        <v>77</v>
      </c>
      <c r="H2848" t="s">
        <v>31</v>
      </c>
      <c r="I2848">
        <v>4</v>
      </c>
      <c r="J2848">
        <v>24</v>
      </c>
      <c r="K2848">
        <v>11.63</v>
      </c>
      <c r="L2848">
        <v>1</v>
      </c>
    </row>
    <row r="2849" spans="1:12">
      <c r="A2849" t="s">
        <v>8273</v>
      </c>
      <c r="B2849" t="s">
        <v>8274</v>
      </c>
      <c r="C2849" t="s">
        <v>8275</v>
      </c>
      <c r="D2849" t="s">
        <v>158</v>
      </c>
      <c r="E2849" t="s">
        <v>28</v>
      </c>
      <c r="F2849" t="s">
        <v>29</v>
      </c>
      <c r="G2849" t="s">
        <v>50</v>
      </c>
      <c r="H2849" t="s">
        <v>31</v>
      </c>
      <c r="I2849">
        <v>5</v>
      </c>
      <c r="J2849">
        <v>4</v>
      </c>
      <c r="K2849">
        <v>1.43</v>
      </c>
      <c r="L2849">
        <v>1</v>
      </c>
    </row>
    <row r="2850" spans="1:12">
      <c r="A2850" t="s">
        <v>8276</v>
      </c>
      <c r="B2850" t="s">
        <v>8277</v>
      </c>
      <c r="C2850" t="s">
        <v>8278</v>
      </c>
      <c r="D2850" t="s">
        <v>23</v>
      </c>
      <c r="E2850" t="s">
        <v>54</v>
      </c>
      <c r="F2850" t="s">
        <v>17</v>
      </c>
      <c r="G2850" t="s">
        <v>37</v>
      </c>
      <c r="H2850" t="s">
        <v>31</v>
      </c>
      <c r="I2850">
        <v>5</v>
      </c>
      <c r="J2850">
        <v>24</v>
      </c>
      <c r="K2850">
        <v>7.78</v>
      </c>
      <c r="L2850">
        <v>1</v>
      </c>
    </row>
    <row r="2851" spans="1:12">
      <c r="A2851" t="s">
        <v>8279</v>
      </c>
      <c r="B2851" t="s">
        <v>8280</v>
      </c>
      <c r="C2851" t="s">
        <v>8281</v>
      </c>
      <c r="D2851" t="s">
        <v>15</v>
      </c>
      <c r="E2851" t="s">
        <v>24</v>
      </c>
      <c r="F2851" t="s">
        <v>17</v>
      </c>
      <c r="G2851" t="s">
        <v>30</v>
      </c>
      <c r="H2851" t="s">
        <v>31</v>
      </c>
      <c r="I2851">
        <v>5</v>
      </c>
      <c r="J2851">
        <v>8</v>
      </c>
      <c r="K2851">
        <v>1.83</v>
      </c>
      <c r="L2851">
        <v>1</v>
      </c>
    </row>
    <row r="2852" spans="1:12">
      <c r="A2852" t="s">
        <v>8282</v>
      </c>
      <c r="B2852" t="s">
        <v>8283</v>
      </c>
      <c r="D2852" t="s">
        <v>15</v>
      </c>
      <c r="E2852" t="s">
        <v>24</v>
      </c>
      <c r="F2852" t="s">
        <v>60</v>
      </c>
      <c r="G2852" t="s">
        <v>30</v>
      </c>
      <c r="H2852" t="s">
        <v>63</v>
      </c>
      <c r="J2852">
        <v>8</v>
      </c>
    </row>
    <row r="2853" spans="1:12">
      <c r="A2853" t="s">
        <v>8284</v>
      </c>
      <c r="B2853" t="s">
        <v>8285</v>
      </c>
      <c r="C2853" t="s">
        <v>8286</v>
      </c>
      <c r="D2853" t="s">
        <v>158</v>
      </c>
      <c r="E2853" t="s">
        <v>59</v>
      </c>
      <c r="F2853" t="s">
        <v>60</v>
      </c>
      <c r="G2853" t="s">
        <v>77</v>
      </c>
      <c r="H2853" t="s">
        <v>31</v>
      </c>
      <c r="I2853">
        <v>1</v>
      </c>
      <c r="J2853">
        <v>4</v>
      </c>
      <c r="K2853">
        <v>10.32</v>
      </c>
      <c r="L2853">
        <v>0</v>
      </c>
    </row>
    <row r="2854" spans="1:12">
      <c r="A2854" t="s">
        <v>8287</v>
      </c>
      <c r="B2854" t="s">
        <v>8288</v>
      </c>
      <c r="D2854" t="s">
        <v>15</v>
      </c>
      <c r="E2854" t="s">
        <v>16</v>
      </c>
      <c r="F2854" t="s">
        <v>41</v>
      </c>
      <c r="G2854" t="s">
        <v>30</v>
      </c>
      <c r="H2854" t="s">
        <v>63</v>
      </c>
      <c r="J2854">
        <v>8</v>
      </c>
    </row>
    <row r="2855" spans="1:12">
      <c r="A2855" t="s">
        <v>8289</v>
      </c>
      <c r="B2855" t="s">
        <v>8290</v>
      </c>
      <c r="C2855" t="s">
        <v>8291</v>
      </c>
      <c r="D2855" t="s">
        <v>23</v>
      </c>
      <c r="E2855" t="s">
        <v>16</v>
      </c>
      <c r="F2855" t="s">
        <v>60</v>
      </c>
      <c r="G2855" t="s">
        <v>30</v>
      </c>
      <c r="H2855" t="s">
        <v>31</v>
      </c>
      <c r="I2855">
        <v>4</v>
      </c>
      <c r="J2855">
        <v>24</v>
      </c>
      <c r="K2855">
        <v>14.36</v>
      </c>
      <c r="L2855">
        <v>1</v>
      </c>
    </row>
    <row r="2856" spans="1:12">
      <c r="A2856" t="s">
        <v>8292</v>
      </c>
      <c r="B2856" t="s">
        <v>8293</v>
      </c>
      <c r="C2856" t="s">
        <v>8294</v>
      </c>
      <c r="D2856" t="s">
        <v>15</v>
      </c>
      <c r="E2856" t="s">
        <v>54</v>
      </c>
      <c r="F2856" t="s">
        <v>41</v>
      </c>
      <c r="G2856" t="s">
        <v>77</v>
      </c>
      <c r="H2856" t="s">
        <v>31</v>
      </c>
      <c r="I2856">
        <v>5</v>
      </c>
      <c r="J2856">
        <v>8</v>
      </c>
      <c r="K2856">
        <v>2.67</v>
      </c>
      <c r="L2856">
        <v>1</v>
      </c>
    </row>
    <row r="2857" spans="1:12">
      <c r="A2857" t="s">
        <v>8295</v>
      </c>
      <c r="B2857" t="s">
        <v>8296</v>
      </c>
      <c r="D2857" t="s">
        <v>35</v>
      </c>
      <c r="E2857" t="s">
        <v>28</v>
      </c>
      <c r="F2857" t="s">
        <v>29</v>
      </c>
      <c r="G2857" t="s">
        <v>55</v>
      </c>
      <c r="H2857" t="s">
        <v>63</v>
      </c>
      <c r="J2857">
        <v>48</v>
      </c>
    </row>
    <row r="2858" spans="1:12">
      <c r="A2858" t="s">
        <v>8297</v>
      </c>
      <c r="B2858" t="s">
        <v>8298</v>
      </c>
      <c r="C2858" t="s">
        <v>8299</v>
      </c>
      <c r="D2858" t="s">
        <v>158</v>
      </c>
      <c r="E2858" t="s">
        <v>16</v>
      </c>
      <c r="F2858" t="s">
        <v>36</v>
      </c>
      <c r="G2858" t="s">
        <v>37</v>
      </c>
      <c r="H2858" t="s">
        <v>19</v>
      </c>
      <c r="I2858">
        <v>5</v>
      </c>
      <c r="J2858">
        <v>4</v>
      </c>
      <c r="K2858">
        <v>2.4900000000000002</v>
      </c>
      <c r="L2858">
        <v>1</v>
      </c>
    </row>
    <row r="2859" spans="1:12">
      <c r="A2859" t="s">
        <v>8300</v>
      </c>
      <c r="B2859" t="s">
        <v>8301</v>
      </c>
      <c r="C2859" t="s">
        <v>8302</v>
      </c>
      <c r="D2859" t="s">
        <v>23</v>
      </c>
      <c r="E2859" t="s">
        <v>28</v>
      </c>
      <c r="F2859" t="s">
        <v>17</v>
      </c>
      <c r="G2859" t="s">
        <v>172</v>
      </c>
      <c r="H2859" t="s">
        <v>19</v>
      </c>
      <c r="I2859">
        <v>4</v>
      </c>
      <c r="J2859">
        <v>24</v>
      </c>
      <c r="K2859">
        <v>18.73</v>
      </c>
      <c r="L2859">
        <v>1</v>
      </c>
    </row>
    <row r="2860" spans="1:12">
      <c r="A2860" t="s">
        <v>8303</v>
      </c>
      <c r="B2860" t="s">
        <v>8304</v>
      </c>
      <c r="C2860" t="s">
        <v>8305</v>
      </c>
      <c r="D2860" t="s">
        <v>15</v>
      </c>
      <c r="E2860" t="s">
        <v>24</v>
      </c>
      <c r="F2860" t="s">
        <v>17</v>
      </c>
      <c r="G2860" t="s">
        <v>42</v>
      </c>
      <c r="H2860" t="s">
        <v>19</v>
      </c>
      <c r="I2860">
        <v>5</v>
      </c>
      <c r="J2860">
        <v>8</v>
      </c>
      <c r="K2860">
        <v>1.0900000000000001</v>
      </c>
      <c r="L2860">
        <v>1</v>
      </c>
    </row>
    <row r="2861" spans="1:12">
      <c r="A2861" t="s">
        <v>8306</v>
      </c>
      <c r="B2861" t="s">
        <v>8307</v>
      </c>
      <c r="C2861" t="s">
        <v>8308</v>
      </c>
      <c r="D2861" t="s">
        <v>23</v>
      </c>
      <c r="E2861" t="s">
        <v>59</v>
      </c>
      <c r="F2861" t="s">
        <v>29</v>
      </c>
      <c r="G2861" t="s">
        <v>73</v>
      </c>
      <c r="H2861" t="s">
        <v>31</v>
      </c>
      <c r="I2861">
        <v>5</v>
      </c>
      <c r="J2861">
        <v>24</v>
      </c>
      <c r="K2861">
        <v>15</v>
      </c>
      <c r="L2861">
        <v>1</v>
      </c>
    </row>
    <row r="2862" spans="1:12">
      <c r="A2862" t="s">
        <v>8309</v>
      </c>
      <c r="B2862" t="s">
        <v>8310</v>
      </c>
      <c r="C2862" t="s">
        <v>8311</v>
      </c>
      <c r="D2862" t="s">
        <v>15</v>
      </c>
      <c r="E2862" t="s">
        <v>28</v>
      </c>
      <c r="F2862" t="s">
        <v>29</v>
      </c>
      <c r="G2862" t="s">
        <v>45</v>
      </c>
      <c r="H2862" t="s">
        <v>19</v>
      </c>
      <c r="I2862">
        <v>4</v>
      </c>
      <c r="J2862">
        <v>8</v>
      </c>
      <c r="K2862">
        <v>4.26</v>
      </c>
      <c r="L2862">
        <v>1</v>
      </c>
    </row>
    <row r="2863" spans="1:12">
      <c r="A2863" t="s">
        <v>8312</v>
      </c>
      <c r="B2863" t="s">
        <v>8313</v>
      </c>
      <c r="C2863" t="s">
        <v>8314</v>
      </c>
      <c r="D2863" t="s">
        <v>15</v>
      </c>
      <c r="E2863" t="s">
        <v>28</v>
      </c>
      <c r="F2863" t="s">
        <v>41</v>
      </c>
      <c r="G2863" t="s">
        <v>30</v>
      </c>
      <c r="H2863" t="s">
        <v>31</v>
      </c>
      <c r="I2863">
        <v>5</v>
      </c>
      <c r="J2863">
        <v>8</v>
      </c>
      <c r="K2863">
        <v>5.92</v>
      </c>
      <c r="L2863">
        <v>1</v>
      </c>
    </row>
    <row r="2864" spans="1:12">
      <c r="A2864" t="s">
        <v>8315</v>
      </c>
      <c r="B2864" t="s">
        <v>8316</v>
      </c>
      <c r="C2864" t="s">
        <v>8317</v>
      </c>
      <c r="D2864" t="s">
        <v>23</v>
      </c>
      <c r="E2864" t="s">
        <v>16</v>
      </c>
      <c r="F2864" t="s">
        <v>17</v>
      </c>
      <c r="G2864" t="s">
        <v>37</v>
      </c>
      <c r="H2864" t="s">
        <v>19</v>
      </c>
      <c r="I2864">
        <v>5</v>
      </c>
      <c r="J2864">
        <v>24</v>
      </c>
      <c r="K2864">
        <v>9.02</v>
      </c>
      <c r="L2864">
        <v>1</v>
      </c>
    </row>
    <row r="2865" spans="1:12">
      <c r="A2865" t="s">
        <v>8318</v>
      </c>
      <c r="B2865" t="s">
        <v>8319</v>
      </c>
      <c r="C2865" t="s">
        <v>8320</v>
      </c>
      <c r="D2865" t="s">
        <v>35</v>
      </c>
      <c r="E2865" t="s">
        <v>28</v>
      </c>
      <c r="F2865" t="s">
        <v>36</v>
      </c>
      <c r="G2865" t="s">
        <v>105</v>
      </c>
      <c r="H2865" t="s">
        <v>19</v>
      </c>
      <c r="I2865">
        <v>4</v>
      </c>
      <c r="J2865">
        <v>48</v>
      </c>
      <c r="K2865">
        <v>40.64</v>
      </c>
      <c r="L2865">
        <v>1</v>
      </c>
    </row>
    <row r="2866" spans="1:12">
      <c r="A2866" t="s">
        <v>8321</v>
      </c>
      <c r="B2866" t="s">
        <v>8322</v>
      </c>
      <c r="C2866" t="s">
        <v>8323</v>
      </c>
      <c r="D2866" t="s">
        <v>23</v>
      </c>
      <c r="E2866" t="s">
        <v>16</v>
      </c>
      <c r="F2866" t="s">
        <v>17</v>
      </c>
      <c r="G2866" t="s">
        <v>18</v>
      </c>
      <c r="H2866" t="s">
        <v>31</v>
      </c>
      <c r="I2866">
        <v>4</v>
      </c>
      <c r="J2866">
        <v>24</v>
      </c>
      <c r="K2866">
        <v>18.27</v>
      </c>
      <c r="L2866">
        <v>1</v>
      </c>
    </row>
    <row r="2867" spans="1:12">
      <c r="A2867" t="s">
        <v>8324</v>
      </c>
      <c r="B2867" t="s">
        <v>8325</v>
      </c>
      <c r="C2867" t="s">
        <v>8326</v>
      </c>
      <c r="D2867" t="s">
        <v>23</v>
      </c>
      <c r="E2867" t="s">
        <v>28</v>
      </c>
      <c r="F2867" t="s">
        <v>41</v>
      </c>
      <c r="G2867" t="s">
        <v>55</v>
      </c>
      <c r="H2867" t="s">
        <v>31</v>
      </c>
      <c r="I2867">
        <v>4</v>
      </c>
      <c r="J2867">
        <v>24</v>
      </c>
      <c r="K2867">
        <v>17.93</v>
      </c>
      <c r="L2867">
        <v>1</v>
      </c>
    </row>
    <row r="2868" spans="1:12">
      <c r="A2868" t="s">
        <v>8327</v>
      </c>
      <c r="B2868" t="s">
        <v>8328</v>
      </c>
      <c r="C2868" t="s">
        <v>8329</v>
      </c>
      <c r="D2868" t="s">
        <v>23</v>
      </c>
      <c r="E2868" t="s">
        <v>16</v>
      </c>
      <c r="F2868" t="s">
        <v>29</v>
      </c>
      <c r="G2868" t="s">
        <v>30</v>
      </c>
      <c r="H2868" t="s">
        <v>19</v>
      </c>
      <c r="I2868">
        <v>4</v>
      </c>
      <c r="J2868">
        <v>24</v>
      </c>
      <c r="K2868">
        <v>5.15</v>
      </c>
      <c r="L2868">
        <v>1</v>
      </c>
    </row>
    <row r="2869" spans="1:12">
      <c r="A2869" t="s">
        <v>8330</v>
      </c>
      <c r="B2869" t="s">
        <v>8331</v>
      </c>
      <c r="C2869" t="s">
        <v>8332</v>
      </c>
      <c r="D2869" t="s">
        <v>23</v>
      </c>
      <c r="E2869" t="s">
        <v>28</v>
      </c>
      <c r="F2869" t="s">
        <v>17</v>
      </c>
      <c r="G2869" t="s">
        <v>42</v>
      </c>
      <c r="H2869" t="s">
        <v>19</v>
      </c>
      <c r="I2869">
        <v>3</v>
      </c>
      <c r="J2869">
        <v>24</v>
      </c>
      <c r="K2869">
        <v>42.33</v>
      </c>
      <c r="L2869">
        <v>0</v>
      </c>
    </row>
    <row r="2870" spans="1:12">
      <c r="A2870" t="s">
        <v>8333</v>
      </c>
      <c r="B2870" t="s">
        <v>8334</v>
      </c>
      <c r="C2870" t="s">
        <v>8335</v>
      </c>
      <c r="D2870" t="s">
        <v>23</v>
      </c>
      <c r="E2870" t="s">
        <v>16</v>
      </c>
      <c r="F2870" t="s">
        <v>17</v>
      </c>
      <c r="G2870" t="s">
        <v>151</v>
      </c>
      <c r="H2870" t="s">
        <v>19</v>
      </c>
      <c r="I2870">
        <v>5</v>
      </c>
      <c r="J2870">
        <v>24</v>
      </c>
      <c r="K2870">
        <v>10.43</v>
      </c>
      <c r="L2870">
        <v>1</v>
      </c>
    </row>
    <row r="2871" spans="1:12">
      <c r="A2871" t="s">
        <v>8336</v>
      </c>
      <c r="B2871" t="s">
        <v>8337</v>
      </c>
      <c r="C2871" t="s">
        <v>8338</v>
      </c>
      <c r="D2871" t="s">
        <v>15</v>
      </c>
      <c r="E2871" t="s">
        <v>24</v>
      </c>
      <c r="F2871" t="s">
        <v>60</v>
      </c>
      <c r="G2871" t="s">
        <v>42</v>
      </c>
      <c r="H2871" t="s">
        <v>19</v>
      </c>
      <c r="I2871">
        <v>4</v>
      </c>
      <c r="J2871">
        <v>8</v>
      </c>
      <c r="K2871">
        <v>5.6</v>
      </c>
      <c r="L2871">
        <v>1</v>
      </c>
    </row>
    <row r="2872" spans="1:12">
      <c r="A2872" t="s">
        <v>8339</v>
      </c>
      <c r="B2872" t="s">
        <v>8340</v>
      </c>
      <c r="C2872" t="s">
        <v>8341</v>
      </c>
      <c r="D2872" t="s">
        <v>35</v>
      </c>
      <c r="E2872" t="s">
        <v>28</v>
      </c>
      <c r="F2872" t="s">
        <v>17</v>
      </c>
      <c r="G2872" t="s">
        <v>45</v>
      </c>
      <c r="H2872" t="s">
        <v>19</v>
      </c>
      <c r="I2872">
        <v>1</v>
      </c>
      <c r="J2872">
        <v>48</v>
      </c>
      <c r="K2872">
        <v>119.33</v>
      </c>
      <c r="L2872">
        <v>0</v>
      </c>
    </row>
    <row r="2873" spans="1:12">
      <c r="A2873" t="s">
        <v>8342</v>
      </c>
      <c r="B2873" t="s">
        <v>8343</v>
      </c>
      <c r="C2873" t="s">
        <v>8344</v>
      </c>
      <c r="D2873" t="s">
        <v>23</v>
      </c>
      <c r="E2873" t="s">
        <v>28</v>
      </c>
      <c r="F2873" t="s">
        <v>17</v>
      </c>
      <c r="G2873" t="s">
        <v>55</v>
      </c>
      <c r="H2873" t="s">
        <v>19</v>
      </c>
      <c r="I2873">
        <v>5</v>
      </c>
      <c r="J2873">
        <v>24</v>
      </c>
      <c r="K2873">
        <v>21.71</v>
      </c>
      <c r="L2873">
        <v>1</v>
      </c>
    </row>
    <row r="2874" spans="1:12">
      <c r="A2874" t="s">
        <v>8345</v>
      </c>
      <c r="B2874" t="s">
        <v>8346</v>
      </c>
      <c r="C2874" t="s">
        <v>8347</v>
      </c>
      <c r="D2874" t="s">
        <v>15</v>
      </c>
      <c r="E2874" t="s">
        <v>28</v>
      </c>
      <c r="F2874" t="s">
        <v>41</v>
      </c>
      <c r="G2874" t="s">
        <v>105</v>
      </c>
      <c r="H2874" t="s">
        <v>19</v>
      </c>
      <c r="I2874">
        <v>5</v>
      </c>
      <c r="J2874">
        <v>8</v>
      </c>
      <c r="K2874">
        <v>1.63</v>
      </c>
      <c r="L2874">
        <v>1</v>
      </c>
    </row>
    <row r="2875" spans="1:12">
      <c r="A2875" t="s">
        <v>8348</v>
      </c>
      <c r="B2875" t="s">
        <v>8349</v>
      </c>
      <c r="C2875" t="s">
        <v>8350</v>
      </c>
      <c r="D2875" t="s">
        <v>23</v>
      </c>
      <c r="E2875" t="s">
        <v>28</v>
      </c>
      <c r="F2875" t="s">
        <v>36</v>
      </c>
      <c r="G2875" t="s">
        <v>151</v>
      </c>
      <c r="H2875" t="s">
        <v>19</v>
      </c>
      <c r="I2875">
        <v>5</v>
      </c>
      <c r="J2875">
        <v>24</v>
      </c>
      <c r="K2875">
        <v>21.24</v>
      </c>
      <c r="L2875">
        <v>1</v>
      </c>
    </row>
    <row r="2876" spans="1:12">
      <c r="A2876" t="s">
        <v>8351</v>
      </c>
      <c r="B2876" t="s">
        <v>8352</v>
      </c>
      <c r="C2876" t="s">
        <v>8353</v>
      </c>
      <c r="D2876" t="s">
        <v>158</v>
      </c>
      <c r="E2876" t="s">
        <v>24</v>
      </c>
      <c r="F2876" t="s">
        <v>36</v>
      </c>
      <c r="G2876" t="s">
        <v>73</v>
      </c>
      <c r="H2876" t="s">
        <v>31</v>
      </c>
      <c r="I2876">
        <v>4</v>
      </c>
      <c r="J2876">
        <v>4</v>
      </c>
      <c r="K2876">
        <v>2.66</v>
      </c>
      <c r="L2876">
        <v>1</v>
      </c>
    </row>
    <row r="2877" spans="1:12">
      <c r="A2877" t="s">
        <v>8354</v>
      </c>
      <c r="B2877" t="s">
        <v>8355</v>
      </c>
      <c r="C2877" t="s">
        <v>8356</v>
      </c>
      <c r="D2877" t="s">
        <v>158</v>
      </c>
      <c r="E2877" t="s">
        <v>16</v>
      </c>
      <c r="F2877" t="s">
        <v>29</v>
      </c>
      <c r="G2877" t="s">
        <v>42</v>
      </c>
      <c r="H2877" t="s">
        <v>19</v>
      </c>
      <c r="I2877">
        <v>5</v>
      </c>
      <c r="J2877">
        <v>4</v>
      </c>
      <c r="K2877">
        <v>3.25</v>
      </c>
      <c r="L2877">
        <v>1</v>
      </c>
    </row>
    <row r="2878" spans="1:12">
      <c r="A2878" t="s">
        <v>8357</v>
      </c>
      <c r="B2878" t="s">
        <v>8358</v>
      </c>
      <c r="C2878" t="s">
        <v>8359</v>
      </c>
      <c r="D2878" t="s">
        <v>23</v>
      </c>
      <c r="E2878" t="s">
        <v>59</v>
      </c>
      <c r="F2878" t="s">
        <v>60</v>
      </c>
      <c r="G2878" t="s">
        <v>45</v>
      </c>
      <c r="H2878" t="s">
        <v>31</v>
      </c>
      <c r="I2878">
        <v>4</v>
      </c>
      <c r="J2878">
        <v>24</v>
      </c>
      <c r="K2878">
        <v>12.33</v>
      </c>
      <c r="L2878">
        <v>1</v>
      </c>
    </row>
    <row r="2879" spans="1:12">
      <c r="A2879" t="s">
        <v>8360</v>
      </c>
      <c r="B2879" t="s">
        <v>8361</v>
      </c>
      <c r="C2879" t="s">
        <v>8362</v>
      </c>
      <c r="D2879" t="s">
        <v>23</v>
      </c>
      <c r="E2879" t="s">
        <v>24</v>
      </c>
      <c r="F2879" t="s">
        <v>17</v>
      </c>
      <c r="G2879" t="s">
        <v>77</v>
      </c>
      <c r="H2879" t="s">
        <v>19</v>
      </c>
      <c r="I2879">
        <v>5</v>
      </c>
      <c r="J2879">
        <v>24</v>
      </c>
      <c r="K2879">
        <v>22.74</v>
      </c>
      <c r="L2879">
        <v>1</v>
      </c>
    </row>
    <row r="2880" spans="1:12">
      <c r="A2880" t="s">
        <v>8363</v>
      </c>
      <c r="B2880" t="s">
        <v>8364</v>
      </c>
      <c r="C2880" t="s">
        <v>8365</v>
      </c>
      <c r="D2880" t="s">
        <v>35</v>
      </c>
      <c r="E2880" t="s">
        <v>16</v>
      </c>
      <c r="F2880" t="s">
        <v>41</v>
      </c>
      <c r="G2880" t="s">
        <v>151</v>
      </c>
      <c r="H2880" t="s">
        <v>19</v>
      </c>
      <c r="I2880">
        <v>3</v>
      </c>
      <c r="J2880">
        <v>48</v>
      </c>
      <c r="K2880">
        <v>53.17</v>
      </c>
      <c r="L2880">
        <v>0</v>
      </c>
    </row>
    <row r="2881" spans="1:12">
      <c r="A2881" t="s">
        <v>8366</v>
      </c>
      <c r="B2881" t="s">
        <v>8367</v>
      </c>
      <c r="C2881" t="s">
        <v>8368</v>
      </c>
      <c r="D2881" t="s">
        <v>23</v>
      </c>
      <c r="E2881" t="s">
        <v>16</v>
      </c>
      <c r="F2881" t="s">
        <v>36</v>
      </c>
      <c r="G2881" t="s">
        <v>77</v>
      </c>
      <c r="H2881" t="s">
        <v>31</v>
      </c>
      <c r="I2881">
        <v>4</v>
      </c>
      <c r="J2881">
        <v>24</v>
      </c>
      <c r="K2881">
        <v>11.63</v>
      </c>
      <c r="L2881">
        <v>1</v>
      </c>
    </row>
    <row r="2882" spans="1:12">
      <c r="A2882" t="s">
        <v>8369</v>
      </c>
      <c r="B2882" t="s">
        <v>8370</v>
      </c>
      <c r="C2882" t="s">
        <v>8371</v>
      </c>
      <c r="D2882" t="s">
        <v>23</v>
      </c>
      <c r="E2882" t="s">
        <v>28</v>
      </c>
      <c r="F2882" t="s">
        <v>41</v>
      </c>
      <c r="G2882" t="s">
        <v>42</v>
      </c>
      <c r="H2882" t="s">
        <v>19</v>
      </c>
      <c r="I2882">
        <v>4</v>
      </c>
      <c r="J2882">
        <v>24</v>
      </c>
      <c r="K2882">
        <v>60.14</v>
      </c>
      <c r="L2882">
        <v>0</v>
      </c>
    </row>
    <row r="2883" spans="1:12">
      <c r="A2883" t="s">
        <v>8372</v>
      </c>
      <c r="B2883" t="s">
        <v>8373</v>
      </c>
      <c r="C2883" t="s">
        <v>8374</v>
      </c>
      <c r="D2883" t="s">
        <v>15</v>
      </c>
      <c r="E2883" t="s">
        <v>59</v>
      </c>
      <c r="F2883" t="s">
        <v>36</v>
      </c>
      <c r="G2883" t="s">
        <v>73</v>
      </c>
      <c r="H2883" t="s">
        <v>31</v>
      </c>
      <c r="I2883">
        <v>2</v>
      </c>
      <c r="J2883">
        <v>8</v>
      </c>
      <c r="K2883">
        <v>10.48</v>
      </c>
      <c r="L2883">
        <v>0</v>
      </c>
    </row>
    <row r="2884" spans="1:12">
      <c r="A2884" t="s">
        <v>8375</v>
      </c>
      <c r="B2884" t="s">
        <v>8376</v>
      </c>
      <c r="C2884" t="s">
        <v>8377</v>
      </c>
      <c r="D2884" t="s">
        <v>15</v>
      </c>
      <c r="E2884" t="s">
        <v>54</v>
      </c>
      <c r="F2884" t="s">
        <v>36</v>
      </c>
      <c r="G2884" t="s">
        <v>42</v>
      </c>
      <c r="H2884" t="s">
        <v>31</v>
      </c>
      <c r="I2884">
        <v>4</v>
      </c>
      <c r="J2884">
        <v>8</v>
      </c>
      <c r="K2884">
        <v>3.78</v>
      </c>
      <c r="L2884">
        <v>1</v>
      </c>
    </row>
    <row r="2885" spans="1:12">
      <c r="A2885" t="s">
        <v>8378</v>
      </c>
      <c r="B2885" t="s">
        <v>8379</v>
      </c>
      <c r="C2885" t="s">
        <v>8380</v>
      </c>
      <c r="D2885" t="s">
        <v>35</v>
      </c>
      <c r="E2885" t="s">
        <v>28</v>
      </c>
      <c r="F2885" t="s">
        <v>60</v>
      </c>
      <c r="G2885" t="s">
        <v>105</v>
      </c>
      <c r="H2885" t="s">
        <v>19</v>
      </c>
      <c r="I2885">
        <v>3</v>
      </c>
      <c r="J2885">
        <v>48</v>
      </c>
      <c r="K2885">
        <v>23.26</v>
      </c>
      <c r="L2885">
        <v>1</v>
      </c>
    </row>
    <row r="2886" spans="1:12">
      <c r="A2886" t="s">
        <v>8381</v>
      </c>
      <c r="B2886" t="s">
        <v>8382</v>
      </c>
      <c r="C2886" t="s">
        <v>8383</v>
      </c>
      <c r="D2886" t="s">
        <v>23</v>
      </c>
      <c r="E2886" t="s">
        <v>28</v>
      </c>
      <c r="F2886" t="s">
        <v>41</v>
      </c>
      <c r="G2886" t="s">
        <v>42</v>
      </c>
      <c r="H2886" t="s">
        <v>19</v>
      </c>
      <c r="I2886">
        <v>4</v>
      </c>
      <c r="J2886">
        <v>24</v>
      </c>
      <c r="K2886">
        <v>5.75</v>
      </c>
      <c r="L2886">
        <v>1</v>
      </c>
    </row>
    <row r="2887" spans="1:12">
      <c r="A2887" t="s">
        <v>8384</v>
      </c>
      <c r="B2887" t="s">
        <v>8385</v>
      </c>
      <c r="C2887" t="s">
        <v>8386</v>
      </c>
      <c r="D2887" t="s">
        <v>23</v>
      </c>
      <c r="E2887" t="s">
        <v>28</v>
      </c>
      <c r="F2887" t="s">
        <v>41</v>
      </c>
      <c r="G2887" t="s">
        <v>172</v>
      </c>
      <c r="H2887" t="s">
        <v>19</v>
      </c>
      <c r="I2887">
        <v>4</v>
      </c>
      <c r="J2887">
        <v>24</v>
      </c>
      <c r="K2887">
        <v>20.12</v>
      </c>
      <c r="L2887">
        <v>1</v>
      </c>
    </row>
    <row r="2888" spans="1:12">
      <c r="A2888" t="s">
        <v>8387</v>
      </c>
      <c r="B2888" t="s">
        <v>8388</v>
      </c>
      <c r="C2888" t="s">
        <v>8389</v>
      </c>
      <c r="D2888" t="s">
        <v>15</v>
      </c>
      <c r="E2888" t="s">
        <v>59</v>
      </c>
      <c r="F2888" t="s">
        <v>41</v>
      </c>
      <c r="G2888" t="s">
        <v>73</v>
      </c>
      <c r="H2888" t="s">
        <v>19</v>
      </c>
      <c r="I2888">
        <v>5</v>
      </c>
      <c r="J2888">
        <v>8</v>
      </c>
      <c r="K2888">
        <v>4.7699999999999996</v>
      </c>
      <c r="L2888">
        <v>1</v>
      </c>
    </row>
    <row r="2889" spans="1:12">
      <c r="A2889" t="s">
        <v>8390</v>
      </c>
      <c r="B2889" t="s">
        <v>8391</v>
      </c>
      <c r="C2889" t="s">
        <v>8392</v>
      </c>
      <c r="D2889" t="s">
        <v>35</v>
      </c>
      <c r="E2889" t="s">
        <v>28</v>
      </c>
      <c r="F2889" t="s">
        <v>60</v>
      </c>
      <c r="G2889" t="s">
        <v>151</v>
      </c>
      <c r="H2889" t="s">
        <v>19</v>
      </c>
      <c r="I2889">
        <v>4</v>
      </c>
      <c r="J2889">
        <v>48</v>
      </c>
      <c r="K2889">
        <v>11.24</v>
      </c>
      <c r="L2889">
        <v>1</v>
      </c>
    </row>
    <row r="2890" spans="1:12">
      <c r="A2890" t="s">
        <v>8393</v>
      </c>
      <c r="B2890" t="s">
        <v>8394</v>
      </c>
      <c r="C2890" t="s">
        <v>8395</v>
      </c>
      <c r="D2890" t="s">
        <v>23</v>
      </c>
      <c r="E2890" t="s">
        <v>16</v>
      </c>
      <c r="F2890" t="s">
        <v>29</v>
      </c>
      <c r="G2890" t="s">
        <v>42</v>
      </c>
      <c r="H2890" t="s">
        <v>19</v>
      </c>
      <c r="I2890">
        <v>5</v>
      </c>
      <c r="J2890">
        <v>24</v>
      </c>
      <c r="K2890">
        <v>6.81</v>
      </c>
      <c r="L2890">
        <v>1</v>
      </c>
    </row>
    <row r="2891" spans="1:12">
      <c r="A2891" t="s">
        <v>8396</v>
      </c>
      <c r="B2891" t="s">
        <v>8397</v>
      </c>
      <c r="C2891" t="s">
        <v>8398</v>
      </c>
      <c r="D2891" t="s">
        <v>35</v>
      </c>
      <c r="E2891" t="s">
        <v>28</v>
      </c>
      <c r="F2891" t="s">
        <v>36</v>
      </c>
      <c r="G2891" t="s">
        <v>73</v>
      </c>
      <c r="H2891" t="s">
        <v>31</v>
      </c>
      <c r="I2891">
        <v>5</v>
      </c>
      <c r="J2891">
        <v>48</v>
      </c>
      <c r="K2891">
        <v>7.39</v>
      </c>
      <c r="L2891">
        <v>1</v>
      </c>
    </row>
    <row r="2892" spans="1:12">
      <c r="A2892" t="s">
        <v>8399</v>
      </c>
      <c r="B2892" t="s">
        <v>8400</v>
      </c>
      <c r="D2892" t="s">
        <v>35</v>
      </c>
      <c r="E2892" t="s">
        <v>16</v>
      </c>
      <c r="F2892" t="s">
        <v>29</v>
      </c>
      <c r="G2892" t="s">
        <v>45</v>
      </c>
      <c r="H2892" t="s">
        <v>63</v>
      </c>
      <c r="J2892">
        <v>48</v>
      </c>
    </row>
    <row r="2893" spans="1:12">
      <c r="A2893" t="s">
        <v>8401</v>
      </c>
      <c r="B2893" t="s">
        <v>8402</v>
      </c>
      <c r="C2893" t="s">
        <v>8403</v>
      </c>
      <c r="D2893" t="s">
        <v>35</v>
      </c>
      <c r="E2893" t="s">
        <v>28</v>
      </c>
      <c r="F2893" t="s">
        <v>17</v>
      </c>
      <c r="G2893" t="s">
        <v>73</v>
      </c>
      <c r="H2893" t="s">
        <v>19</v>
      </c>
      <c r="I2893">
        <v>4</v>
      </c>
      <c r="J2893">
        <v>48</v>
      </c>
      <c r="K2893">
        <v>28.16</v>
      </c>
      <c r="L2893">
        <v>1</v>
      </c>
    </row>
    <row r="2894" spans="1:12">
      <c r="A2894" t="s">
        <v>8404</v>
      </c>
      <c r="B2894" t="s">
        <v>8405</v>
      </c>
      <c r="C2894" t="s">
        <v>8406</v>
      </c>
      <c r="D2894" t="s">
        <v>15</v>
      </c>
      <c r="E2894" t="s">
        <v>28</v>
      </c>
      <c r="F2894" t="s">
        <v>29</v>
      </c>
      <c r="G2894" t="s">
        <v>172</v>
      </c>
      <c r="H2894" t="s">
        <v>19</v>
      </c>
      <c r="I2894">
        <v>4</v>
      </c>
      <c r="J2894">
        <v>8</v>
      </c>
      <c r="K2894">
        <v>5.53</v>
      </c>
      <c r="L2894">
        <v>1</v>
      </c>
    </row>
    <row r="2895" spans="1:12">
      <c r="A2895" t="s">
        <v>8407</v>
      </c>
      <c r="B2895" t="s">
        <v>8408</v>
      </c>
      <c r="C2895" t="s">
        <v>8409</v>
      </c>
      <c r="D2895" t="s">
        <v>15</v>
      </c>
      <c r="E2895" t="s">
        <v>28</v>
      </c>
      <c r="F2895" t="s">
        <v>17</v>
      </c>
      <c r="G2895" t="s">
        <v>172</v>
      </c>
      <c r="H2895" t="s">
        <v>19</v>
      </c>
      <c r="I2895">
        <v>4</v>
      </c>
      <c r="J2895">
        <v>8</v>
      </c>
      <c r="K2895">
        <v>6.12</v>
      </c>
      <c r="L2895">
        <v>1</v>
      </c>
    </row>
    <row r="2896" spans="1:12">
      <c r="A2896" t="s">
        <v>8410</v>
      </c>
      <c r="B2896" t="s">
        <v>8411</v>
      </c>
      <c r="C2896" t="s">
        <v>8412</v>
      </c>
      <c r="D2896" t="s">
        <v>23</v>
      </c>
      <c r="E2896" t="s">
        <v>54</v>
      </c>
      <c r="F2896" t="s">
        <v>17</v>
      </c>
      <c r="G2896" t="s">
        <v>42</v>
      </c>
      <c r="H2896" t="s">
        <v>19</v>
      </c>
      <c r="I2896">
        <v>5</v>
      </c>
      <c r="J2896">
        <v>24</v>
      </c>
      <c r="K2896">
        <v>8.31</v>
      </c>
      <c r="L2896">
        <v>1</v>
      </c>
    </row>
    <row r="2897" spans="1:12">
      <c r="A2897" t="s">
        <v>8413</v>
      </c>
      <c r="B2897" t="s">
        <v>8414</v>
      </c>
      <c r="C2897" t="s">
        <v>8415</v>
      </c>
      <c r="D2897" t="s">
        <v>15</v>
      </c>
      <c r="E2897" t="s">
        <v>28</v>
      </c>
      <c r="F2897" t="s">
        <v>41</v>
      </c>
      <c r="G2897" t="s">
        <v>37</v>
      </c>
      <c r="H2897" t="s">
        <v>19</v>
      </c>
      <c r="I2897">
        <v>5</v>
      </c>
      <c r="J2897">
        <v>8</v>
      </c>
      <c r="K2897">
        <v>5.55</v>
      </c>
      <c r="L2897">
        <v>1</v>
      </c>
    </row>
    <row r="2898" spans="1:12">
      <c r="A2898" t="s">
        <v>8416</v>
      </c>
      <c r="B2898" t="s">
        <v>8417</v>
      </c>
      <c r="D2898" t="s">
        <v>158</v>
      </c>
      <c r="E2898" t="s">
        <v>24</v>
      </c>
      <c r="F2898" t="s">
        <v>60</v>
      </c>
      <c r="G2898" t="s">
        <v>50</v>
      </c>
      <c r="H2898" t="s">
        <v>46</v>
      </c>
      <c r="J2898">
        <v>4</v>
      </c>
    </row>
    <row r="2899" spans="1:12">
      <c r="A2899" t="s">
        <v>8418</v>
      </c>
      <c r="B2899" t="s">
        <v>8419</v>
      </c>
      <c r="D2899" t="s">
        <v>15</v>
      </c>
      <c r="E2899" t="s">
        <v>54</v>
      </c>
      <c r="F2899" t="s">
        <v>29</v>
      </c>
      <c r="G2899" t="s">
        <v>42</v>
      </c>
      <c r="H2899" t="s">
        <v>63</v>
      </c>
      <c r="J2899">
        <v>8</v>
      </c>
    </row>
    <row r="2900" spans="1:12">
      <c r="A2900" t="s">
        <v>8420</v>
      </c>
      <c r="B2900" t="s">
        <v>8421</v>
      </c>
      <c r="C2900" t="s">
        <v>8422</v>
      </c>
      <c r="D2900" t="s">
        <v>15</v>
      </c>
      <c r="E2900" t="s">
        <v>28</v>
      </c>
      <c r="F2900" t="s">
        <v>41</v>
      </c>
      <c r="G2900" t="s">
        <v>73</v>
      </c>
      <c r="H2900" t="s">
        <v>31</v>
      </c>
      <c r="I2900">
        <v>3</v>
      </c>
      <c r="J2900">
        <v>8</v>
      </c>
      <c r="K2900">
        <v>8.6300000000000008</v>
      </c>
      <c r="L2900">
        <v>0</v>
      </c>
    </row>
    <row r="2901" spans="1:12">
      <c r="A2901" t="s">
        <v>8423</v>
      </c>
      <c r="B2901" t="s">
        <v>8424</v>
      </c>
      <c r="C2901" t="s">
        <v>8425</v>
      </c>
      <c r="D2901" t="s">
        <v>23</v>
      </c>
      <c r="E2901" t="s">
        <v>24</v>
      </c>
      <c r="F2901" t="s">
        <v>60</v>
      </c>
      <c r="G2901" t="s">
        <v>151</v>
      </c>
      <c r="H2901" t="s">
        <v>19</v>
      </c>
      <c r="I2901">
        <v>4</v>
      </c>
      <c r="J2901">
        <v>24</v>
      </c>
      <c r="K2901">
        <v>11.03</v>
      </c>
      <c r="L2901">
        <v>1</v>
      </c>
    </row>
    <row r="2902" spans="1:12">
      <c r="A2902" t="s">
        <v>8426</v>
      </c>
      <c r="B2902" t="s">
        <v>8427</v>
      </c>
      <c r="C2902" t="s">
        <v>8428</v>
      </c>
      <c r="D2902" t="s">
        <v>23</v>
      </c>
      <c r="E2902" t="s">
        <v>24</v>
      </c>
      <c r="F2902" t="s">
        <v>60</v>
      </c>
      <c r="G2902" t="s">
        <v>151</v>
      </c>
      <c r="H2902" t="s">
        <v>31</v>
      </c>
      <c r="I2902">
        <v>5</v>
      </c>
      <c r="J2902">
        <v>24</v>
      </c>
      <c r="K2902">
        <v>11.13</v>
      </c>
      <c r="L2902">
        <v>1</v>
      </c>
    </row>
    <row r="2903" spans="1:12">
      <c r="A2903" t="s">
        <v>8429</v>
      </c>
      <c r="B2903" t="s">
        <v>8430</v>
      </c>
      <c r="D2903" t="s">
        <v>15</v>
      </c>
      <c r="E2903" t="s">
        <v>16</v>
      </c>
      <c r="F2903" t="s">
        <v>36</v>
      </c>
      <c r="G2903" t="s">
        <v>172</v>
      </c>
      <c r="H2903" t="s">
        <v>63</v>
      </c>
      <c r="J2903">
        <v>8</v>
      </c>
    </row>
    <row r="2904" spans="1:12">
      <c r="A2904" t="s">
        <v>8431</v>
      </c>
      <c r="B2904" t="s">
        <v>8432</v>
      </c>
      <c r="C2904" t="s">
        <v>8433</v>
      </c>
      <c r="D2904" t="s">
        <v>23</v>
      </c>
      <c r="E2904" t="s">
        <v>24</v>
      </c>
      <c r="F2904" t="s">
        <v>41</v>
      </c>
      <c r="G2904" t="s">
        <v>30</v>
      </c>
      <c r="H2904" t="s">
        <v>19</v>
      </c>
      <c r="I2904">
        <v>5</v>
      </c>
      <c r="J2904">
        <v>24</v>
      </c>
      <c r="K2904">
        <v>6.17</v>
      </c>
      <c r="L2904">
        <v>1</v>
      </c>
    </row>
    <row r="2905" spans="1:12">
      <c r="A2905" t="s">
        <v>8434</v>
      </c>
      <c r="B2905" t="s">
        <v>8435</v>
      </c>
      <c r="C2905" t="s">
        <v>8436</v>
      </c>
      <c r="D2905" t="s">
        <v>15</v>
      </c>
      <c r="E2905" t="s">
        <v>54</v>
      </c>
      <c r="F2905" t="s">
        <v>29</v>
      </c>
      <c r="G2905" t="s">
        <v>105</v>
      </c>
      <c r="H2905" t="s">
        <v>19</v>
      </c>
      <c r="I2905">
        <v>4</v>
      </c>
      <c r="J2905">
        <v>8</v>
      </c>
      <c r="K2905">
        <v>6.45</v>
      </c>
      <c r="L2905">
        <v>1</v>
      </c>
    </row>
    <row r="2906" spans="1:12">
      <c r="A2906" t="s">
        <v>8437</v>
      </c>
      <c r="B2906" t="s">
        <v>8438</v>
      </c>
      <c r="C2906" t="s">
        <v>8439</v>
      </c>
      <c r="D2906" t="s">
        <v>158</v>
      </c>
      <c r="E2906" t="s">
        <v>28</v>
      </c>
      <c r="F2906" t="s">
        <v>17</v>
      </c>
      <c r="G2906" t="s">
        <v>30</v>
      </c>
      <c r="H2906" t="s">
        <v>19</v>
      </c>
      <c r="I2906">
        <v>3</v>
      </c>
      <c r="J2906">
        <v>4</v>
      </c>
      <c r="K2906">
        <v>0.75</v>
      </c>
      <c r="L2906">
        <v>1</v>
      </c>
    </row>
    <row r="2907" spans="1:12">
      <c r="A2907" t="s">
        <v>8440</v>
      </c>
      <c r="B2907" t="s">
        <v>8441</v>
      </c>
      <c r="D2907" t="s">
        <v>23</v>
      </c>
      <c r="E2907" t="s">
        <v>54</v>
      </c>
      <c r="F2907" t="s">
        <v>36</v>
      </c>
      <c r="G2907" t="s">
        <v>42</v>
      </c>
      <c r="H2907" t="s">
        <v>46</v>
      </c>
      <c r="J2907">
        <v>24</v>
      </c>
    </row>
    <row r="2908" spans="1:12">
      <c r="A2908" t="s">
        <v>8442</v>
      </c>
      <c r="B2908" t="s">
        <v>8443</v>
      </c>
      <c r="C2908" t="s">
        <v>8444</v>
      </c>
      <c r="D2908" t="s">
        <v>23</v>
      </c>
      <c r="E2908" t="s">
        <v>28</v>
      </c>
      <c r="F2908" t="s">
        <v>60</v>
      </c>
      <c r="G2908" t="s">
        <v>73</v>
      </c>
      <c r="H2908" t="s">
        <v>19</v>
      </c>
      <c r="I2908">
        <v>1</v>
      </c>
      <c r="J2908">
        <v>24</v>
      </c>
      <c r="K2908">
        <v>38.200000000000003</v>
      </c>
      <c r="L2908">
        <v>0</v>
      </c>
    </row>
    <row r="2909" spans="1:12">
      <c r="A2909" t="s">
        <v>8445</v>
      </c>
      <c r="B2909" t="s">
        <v>8446</v>
      </c>
      <c r="C2909" t="s">
        <v>8447</v>
      </c>
      <c r="D2909" t="s">
        <v>15</v>
      </c>
      <c r="E2909" t="s">
        <v>59</v>
      </c>
      <c r="F2909" t="s">
        <v>17</v>
      </c>
      <c r="G2909" t="s">
        <v>73</v>
      </c>
      <c r="H2909" t="s">
        <v>31</v>
      </c>
      <c r="I2909">
        <v>5</v>
      </c>
      <c r="J2909">
        <v>8</v>
      </c>
      <c r="K2909">
        <v>3.37</v>
      </c>
      <c r="L2909">
        <v>1</v>
      </c>
    </row>
    <row r="2910" spans="1:12">
      <c r="A2910" t="s">
        <v>8448</v>
      </c>
      <c r="B2910" t="s">
        <v>8449</v>
      </c>
      <c r="C2910" t="s">
        <v>8450</v>
      </c>
      <c r="D2910" t="s">
        <v>35</v>
      </c>
      <c r="E2910" t="s">
        <v>16</v>
      </c>
      <c r="F2910" t="s">
        <v>36</v>
      </c>
      <c r="G2910" t="s">
        <v>42</v>
      </c>
      <c r="H2910" t="s">
        <v>19</v>
      </c>
      <c r="I2910">
        <v>4</v>
      </c>
      <c r="J2910">
        <v>48</v>
      </c>
      <c r="K2910">
        <v>26.59</v>
      </c>
      <c r="L2910">
        <v>1</v>
      </c>
    </row>
    <row r="2911" spans="1:12">
      <c r="A2911" t="s">
        <v>8451</v>
      </c>
      <c r="B2911" t="s">
        <v>8452</v>
      </c>
      <c r="C2911" t="s">
        <v>8453</v>
      </c>
      <c r="D2911" t="s">
        <v>15</v>
      </c>
      <c r="E2911" t="s">
        <v>28</v>
      </c>
      <c r="F2911" t="s">
        <v>17</v>
      </c>
      <c r="G2911" t="s">
        <v>172</v>
      </c>
      <c r="H2911" t="s">
        <v>19</v>
      </c>
      <c r="I2911">
        <v>5</v>
      </c>
      <c r="J2911">
        <v>8</v>
      </c>
      <c r="K2911">
        <v>7.42</v>
      </c>
      <c r="L2911">
        <v>1</v>
      </c>
    </row>
    <row r="2912" spans="1:12">
      <c r="A2912" t="s">
        <v>8454</v>
      </c>
      <c r="B2912" t="s">
        <v>8455</v>
      </c>
      <c r="C2912" t="s">
        <v>8456</v>
      </c>
      <c r="D2912" t="s">
        <v>15</v>
      </c>
      <c r="E2912" t="s">
        <v>54</v>
      </c>
      <c r="F2912" t="s">
        <v>29</v>
      </c>
      <c r="G2912" t="s">
        <v>37</v>
      </c>
      <c r="H2912" t="s">
        <v>31</v>
      </c>
      <c r="I2912">
        <v>4</v>
      </c>
      <c r="J2912">
        <v>8</v>
      </c>
      <c r="K2912">
        <v>2.27</v>
      </c>
      <c r="L2912">
        <v>1</v>
      </c>
    </row>
    <row r="2913" spans="1:12">
      <c r="A2913" t="s">
        <v>8457</v>
      </c>
      <c r="B2913" t="s">
        <v>8458</v>
      </c>
      <c r="C2913" t="s">
        <v>8459</v>
      </c>
      <c r="D2913" t="s">
        <v>15</v>
      </c>
      <c r="E2913" t="s">
        <v>16</v>
      </c>
      <c r="F2913" t="s">
        <v>60</v>
      </c>
      <c r="G2913" t="s">
        <v>50</v>
      </c>
      <c r="H2913" t="s">
        <v>19</v>
      </c>
      <c r="I2913">
        <v>5</v>
      </c>
      <c r="J2913">
        <v>8</v>
      </c>
      <c r="K2913">
        <v>2.59</v>
      </c>
      <c r="L2913">
        <v>1</v>
      </c>
    </row>
    <row r="2914" spans="1:12">
      <c r="A2914" t="s">
        <v>8460</v>
      </c>
      <c r="B2914" t="s">
        <v>8461</v>
      </c>
      <c r="C2914" t="s">
        <v>8462</v>
      </c>
      <c r="D2914" t="s">
        <v>15</v>
      </c>
      <c r="E2914" t="s">
        <v>24</v>
      </c>
      <c r="F2914" t="s">
        <v>36</v>
      </c>
      <c r="G2914" t="s">
        <v>105</v>
      </c>
      <c r="H2914" t="s">
        <v>31</v>
      </c>
      <c r="I2914">
        <v>3</v>
      </c>
      <c r="J2914">
        <v>8</v>
      </c>
      <c r="K2914">
        <v>12.26</v>
      </c>
      <c r="L2914">
        <v>0</v>
      </c>
    </row>
    <row r="2915" spans="1:12">
      <c r="A2915" t="s">
        <v>8463</v>
      </c>
      <c r="B2915" t="s">
        <v>8464</v>
      </c>
      <c r="C2915" t="s">
        <v>8465</v>
      </c>
      <c r="D2915" t="s">
        <v>23</v>
      </c>
      <c r="E2915" t="s">
        <v>54</v>
      </c>
      <c r="F2915" t="s">
        <v>17</v>
      </c>
      <c r="G2915" t="s">
        <v>45</v>
      </c>
      <c r="H2915" t="s">
        <v>31</v>
      </c>
      <c r="I2915">
        <v>4</v>
      </c>
      <c r="J2915">
        <v>24</v>
      </c>
      <c r="K2915">
        <v>15.15</v>
      </c>
      <c r="L2915">
        <v>1</v>
      </c>
    </row>
    <row r="2916" spans="1:12">
      <c r="A2916" t="s">
        <v>8466</v>
      </c>
      <c r="B2916" t="s">
        <v>8467</v>
      </c>
      <c r="C2916" t="s">
        <v>8468</v>
      </c>
      <c r="D2916" t="s">
        <v>35</v>
      </c>
      <c r="E2916" t="s">
        <v>28</v>
      </c>
      <c r="F2916" t="s">
        <v>36</v>
      </c>
      <c r="G2916" t="s">
        <v>172</v>
      </c>
      <c r="H2916" t="s">
        <v>31</v>
      </c>
      <c r="I2916">
        <v>2</v>
      </c>
      <c r="J2916">
        <v>48</v>
      </c>
      <c r="K2916">
        <v>142.30000000000001</v>
      </c>
      <c r="L2916">
        <v>0</v>
      </c>
    </row>
    <row r="2917" spans="1:12">
      <c r="A2917" t="s">
        <v>8469</v>
      </c>
      <c r="B2917" t="s">
        <v>8470</v>
      </c>
      <c r="C2917" t="s">
        <v>8471</v>
      </c>
      <c r="D2917" t="s">
        <v>15</v>
      </c>
      <c r="E2917" t="s">
        <v>16</v>
      </c>
      <c r="F2917" t="s">
        <v>29</v>
      </c>
      <c r="G2917" t="s">
        <v>50</v>
      </c>
      <c r="H2917" t="s">
        <v>31</v>
      </c>
      <c r="I2917">
        <v>5</v>
      </c>
      <c r="J2917">
        <v>8</v>
      </c>
      <c r="K2917">
        <v>1.87</v>
      </c>
      <c r="L2917">
        <v>1</v>
      </c>
    </row>
    <row r="2918" spans="1:12">
      <c r="A2918" t="s">
        <v>8472</v>
      </c>
      <c r="B2918" t="s">
        <v>8473</v>
      </c>
      <c r="C2918" t="s">
        <v>8474</v>
      </c>
      <c r="D2918" t="s">
        <v>23</v>
      </c>
      <c r="E2918" t="s">
        <v>24</v>
      </c>
      <c r="F2918" t="s">
        <v>41</v>
      </c>
      <c r="G2918" t="s">
        <v>37</v>
      </c>
      <c r="H2918" t="s">
        <v>19</v>
      </c>
      <c r="I2918">
        <v>4</v>
      </c>
      <c r="J2918">
        <v>24</v>
      </c>
      <c r="K2918">
        <v>18.37</v>
      </c>
      <c r="L2918">
        <v>1</v>
      </c>
    </row>
    <row r="2919" spans="1:12">
      <c r="A2919" t="s">
        <v>8475</v>
      </c>
      <c r="B2919" t="s">
        <v>8476</v>
      </c>
      <c r="C2919" t="s">
        <v>8477</v>
      </c>
      <c r="D2919" t="s">
        <v>23</v>
      </c>
      <c r="E2919" t="s">
        <v>54</v>
      </c>
      <c r="F2919" t="s">
        <v>29</v>
      </c>
      <c r="G2919" t="s">
        <v>73</v>
      </c>
      <c r="H2919" t="s">
        <v>19</v>
      </c>
      <c r="I2919">
        <v>4</v>
      </c>
      <c r="J2919">
        <v>24</v>
      </c>
      <c r="K2919">
        <v>22.65</v>
      </c>
      <c r="L2919">
        <v>1</v>
      </c>
    </row>
    <row r="2920" spans="1:12">
      <c r="A2920" t="s">
        <v>8478</v>
      </c>
      <c r="B2920" t="s">
        <v>8479</v>
      </c>
      <c r="C2920" t="s">
        <v>8480</v>
      </c>
      <c r="D2920" t="s">
        <v>23</v>
      </c>
      <c r="E2920" t="s">
        <v>16</v>
      </c>
      <c r="F2920" t="s">
        <v>17</v>
      </c>
      <c r="G2920" t="s">
        <v>172</v>
      </c>
      <c r="H2920" t="s">
        <v>19</v>
      </c>
      <c r="I2920">
        <v>5</v>
      </c>
      <c r="J2920">
        <v>24</v>
      </c>
      <c r="K2920">
        <v>16.46</v>
      </c>
      <c r="L2920">
        <v>1</v>
      </c>
    </row>
    <row r="2921" spans="1:12">
      <c r="A2921" t="s">
        <v>8481</v>
      </c>
      <c r="B2921" t="s">
        <v>8482</v>
      </c>
      <c r="C2921" t="s">
        <v>8483</v>
      </c>
      <c r="D2921" t="s">
        <v>23</v>
      </c>
      <c r="E2921" t="s">
        <v>16</v>
      </c>
      <c r="F2921" t="s">
        <v>60</v>
      </c>
      <c r="G2921" t="s">
        <v>77</v>
      </c>
      <c r="H2921" t="s">
        <v>31</v>
      </c>
      <c r="I2921">
        <v>4</v>
      </c>
      <c r="J2921">
        <v>24</v>
      </c>
      <c r="K2921">
        <v>5.54</v>
      </c>
      <c r="L2921">
        <v>1</v>
      </c>
    </row>
    <row r="2922" spans="1:12">
      <c r="A2922" t="s">
        <v>8484</v>
      </c>
      <c r="B2922" t="s">
        <v>8485</v>
      </c>
      <c r="C2922" t="s">
        <v>8486</v>
      </c>
      <c r="D2922" t="s">
        <v>23</v>
      </c>
      <c r="E2922" t="s">
        <v>59</v>
      </c>
      <c r="F2922" t="s">
        <v>41</v>
      </c>
      <c r="G2922" t="s">
        <v>55</v>
      </c>
      <c r="H2922" t="s">
        <v>19</v>
      </c>
      <c r="I2922">
        <v>4</v>
      </c>
      <c r="J2922">
        <v>24</v>
      </c>
      <c r="K2922">
        <v>12.09</v>
      </c>
      <c r="L2922">
        <v>1</v>
      </c>
    </row>
    <row r="2923" spans="1:12">
      <c r="A2923" t="s">
        <v>8487</v>
      </c>
      <c r="B2923" t="s">
        <v>8488</v>
      </c>
      <c r="C2923" t="s">
        <v>8489</v>
      </c>
      <c r="D2923" t="s">
        <v>35</v>
      </c>
      <c r="E2923" t="s">
        <v>54</v>
      </c>
      <c r="F2923" t="s">
        <v>41</v>
      </c>
      <c r="G2923" t="s">
        <v>18</v>
      </c>
      <c r="H2923" t="s">
        <v>31</v>
      </c>
      <c r="I2923">
        <v>4</v>
      </c>
      <c r="J2923">
        <v>48</v>
      </c>
      <c r="K2923">
        <v>13.96</v>
      </c>
      <c r="L2923">
        <v>1</v>
      </c>
    </row>
    <row r="2924" spans="1:12">
      <c r="A2924" t="s">
        <v>8490</v>
      </c>
      <c r="B2924" t="s">
        <v>8491</v>
      </c>
      <c r="C2924" t="s">
        <v>8492</v>
      </c>
      <c r="D2924" t="s">
        <v>23</v>
      </c>
      <c r="E2924" t="s">
        <v>28</v>
      </c>
      <c r="F2924" t="s">
        <v>29</v>
      </c>
      <c r="G2924" t="s">
        <v>77</v>
      </c>
      <c r="H2924" t="s">
        <v>31</v>
      </c>
      <c r="I2924">
        <v>4</v>
      </c>
      <c r="J2924">
        <v>24</v>
      </c>
      <c r="K2924">
        <v>14.19</v>
      </c>
      <c r="L2924">
        <v>1</v>
      </c>
    </row>
    <row r="2925" spans="1:12">
      <c r="A2925" t="s">
        <v>8493</v>
      </c>
      <c r="B2925" t="s">
        <v>8494</v>
      </c>
      <c r="C2925" t="s">
        <v>8495</v>
      </c>
      <c r="D2925" t="s">
        <v>23</v>
      </c>
      <c r="E2925" t="s">
        <v>28</v>
      </c>
      <c r="F2925" t="s">
        <v>29</v>
      </c>
      <c r="G2925" t="s">
        <v>55</v>
      </c>
      <c r="H2925" t="s">
        <v>19</v>
      </c>
      <c r="I2925">
        <v>5</v>
      </c>
      <c r="J2925">
        <v>24</v>
      </c>
      <c r="K2925">
        <v>14.96</v>
      </c>
      <c r="L2925">
        <v>1</v>
      </c>
    </row>
    <row r="2926" spans="1:12">
      <c r="A2926" t="s">
        <v>8496</v>
      </c>
      <c r="B2926" t="s">
        <v>8497</v>
      </c>
      <c r="C2926" t="s">
        <v>8498</v>
      </c>
      <c r="D2926" t="s">
        <v>23</v>
      </c>
      <c r="E2926" t="s">
        <v>54</v>
      </c>
      <c r="F2926" t="s">
        <v>41</v>
      </c>
      <c r="G2926" t="s">
        <v>42</v>
      </c>
      <c r="H2926" t="s">
        <v>19</v>
      </c>
      <c r="I2926">
        <v>3</v>
      </c>
      <c r="J2926">
        <v>24</v>
      </c>
      <c r="K2926">
        <v>21.71</v>
      </c>
      <c r="L2926">
        <v>1</v>
      </c>
    </row>
    <row r="2927" spans="1:12">
      <c r="A2927" t="s">
        <v>8499</v>
      </c>
      <c r="B2927" t="s">
        <v>8500</v>
      </c>
      <c r="C2927" t="s">
        <v>8501</v>
      </c>
      <c r="D2927" t="s">
        <v>35</v>
      </c>
      <c r="E2927" t="s">
        <v>28</v>
      </c>
      <c r="F2927" t="s">
        <v>17</v>
      </c>
      <c r="G2927" t="s">
        <v>105</v>
      </c>
      <c r="H2927" t="s">
        <v>19</v>
      </c>
      <c r="I2927">
        <v>5</v>
      </c>
      <c r="J2927">
        <v>48</v>
      </c>
      <c r="K2927">
        <v>5.74</v>
      </c>
      <c r="L2927">
        <v>1</v>
      </c>
    </row>
    <row r="2928" spans="1:12">
      <c r="A2928" t="s">
        <v>8502</v>
      </c>
      <c r="B2928" t="s">
        <v>8503</v>
      </c>
      <c r="D2928" t="s">
        <v>15</v>
      </c>
      <c r="E2928" t="s">
        <v>24</v>
      </c>
      <c r="F2928" t="s">
        <v>17</v>
      </c>
      <c r="G2928" t="s">
        <v>30</v>
      </c>
      <c r="H2928" t="s">
        <v>63</v>
      </c>
      <c r="J2928">
        <v>8</v>
      </c>
    </row>
    <row r="2929" spans="1:12">
      <c r="A2929" t="s">
        <v>8504</v>
      </c>
      <c r="B2929" t="s">
        <v>8505</v>
      </c>
      <c r="D2929" t="s">
        <v>23</v>
      </c>
      <c r="E2929" t="s">
        <v>28</v>
      </c>
      <c r="F2929" t="s">
        <v>41</v>
      </c>
      <c r="G2929" t="s">
        <v>77</v>
      </c>
      <c r="H2929" t="s">
        <v>63</v>
      </c>
      <c r="J2929">
        <v>24</v>
      </c>
    </row>
    <row r="2930" spans="1:12">
      <c r="A2930" t="s">
        <v>8506</v>
      </c>
      <c r="B2930" t="s">
        <v>8507</v>
      </c>
      <c r="C2930" t="s">
        <v>8508</v>
      </c>
      <c r="D2930" t="s">
        <v>23</v>
      </c>
      <c r="E2930" t="s">
        <v>24</v>
      </c>
      <c r="F2930" t="s">
        <v>29</v>
      </c>
      <c r="G2930" t="s">
        <v>55</v>
      </c>
      <c r="H2930" t="s">
        <v>19</v>
      </c>
      <c r="I2930">
        <v>4</v>
      </c>
      <c r="J2930">
        <v>24</v>
      </c>
      <c r="K2930">
        <v>4.9000000000000004</v>
      </c>
      <c r="L2930">
        <v>1</v>
      </c>
    </row>
    <row r="2931" spans="1:12">
      <c r="A2931" t="s">
        <v>8509</v>
      </c>
      <c r="B2931" t="s">
        <v>8510</v>
      </c>
      <c r="C2931" t="s">
        <v>8511</v>
      </c>
      <c r="D2931" t="s">
        <v>15</v>
      </c>
      <c r="E2931" t="s">
        <v>16</v>
      </c>
      <c r="F2931" t="s">
        <v>41</v>
      </c>
      <c r="G2931" t="s">
        <v>37</v>
      </c>
      <c r="H2931" t="s">
        <v>19</v>
      </c>
      <c r="I2931">
        <v>5</v>
      </c>
      <c r="J2931">
        <v>8</v>
      </c>
      <c r="K2931">
        <v>6.5</v>
      </c>
      <c r="L2931">
        <v>1</v>
      </c>
    </row>
    <row r="2932" spans="1:12">
      <c r="A2932" t="s">
        <v>8512</v>
      </c>
      <c r="B2932" t="s">
        <v>8513</v>
      </c>
      <c r="C2932" t="s">
        <v>8514</v>
      </c>
      <c r="D2932" t="s">
        <v>23</v>
      </c>
      <c r="E2932" t="s">
        <v>28</v>
      </c>
      <c r="F2932" t="s">
        <v>29</v>
      </c>
      <c r="G2932" t="s">
        <v>172</v>
      </c>
      <c r="H2932" t="s">
        <v>31</v>
      </c>
      <c r="I2932">
        <v>5</v>
      </c>
      <c r="J2932">
        <v>24</v>
      </c>
      <c r="K2932">
        <v>19.05</v>
      </c>
      <c r="L2932">
        <v>1</v>
      </c>
    </row>
    <row r="2933" spans="1:12">
      <c r="A2933" t="s">
        <v>8515</v>
      </c>
      <c r="B2933" t="s">
        <v>8516</v>
      </c>
      <c r="C2933" t="s">
        <v>8517</v>
      </c>
      <c r="D2933" t="s">
        <v>15</v>
      </c>
      <c r="E2933" t="s">
        <v>59</v>
      </c>
      <c r="F2933" t="s">
        <v>60</v>
      </c>
      <c r="G2933" t="s">
        <v>151</v>
      </c>
      <c r="H2933" t="s">
        <v>31</v>
      </c>
      <c r="I2933">
        <v>5</v>
      </c>
      <c r="J2933">
        <v>8</v>
      </c>
      <c r="K2933">
        <v>3.49</v>
      </c>
      <c r="L2933">
        <v>1</v>
      </c>
    </row>
    <row r="2934" spans="1:12">
      <c r="A2934" t="s">
        <v>8518</v>
      </c>
      <c r="B2934" t="s">
        <v>8519</v>
      </c>
      <c r="C2934" t="s">
        <v>8520</v>
      </c>
      <c r="D2934" t="s">
        <v>35</v>
      </c>
      <c r="E2934" t="s">
        <v>24</v>
      </c>
      <c r="F2934" t="s">
        <v>36</v>
      </c>
      <c r="G2934" t="s">
        <v>73</v>
      </c>
      <c r="H2934" t="s">
        <v>31</v>
      </c>
      <c r="I2934">
        <v>4</v>
      </c>
      <c r="J2934">
        <v>48</v>
      </c>
      <c r="K2934">
        <v>20.440000000000001</v>
      </c>
      <c r="L2934">
        <v>1</v>
      </c>
    </row>
    <row r="2935" spans="1:12">
      <c r="A2935" t="s">
        <v>8521</v>
      </c>
      <c r="B2935" t="s">
        <v>8522</v>
      </c>
      <c r="C2935" t="s">
        <v>8523</v>
      </c>
      <c r="D2935" t="s">
        <v>158</v>
      </c>
      <c r="E2935" t="s">
        <v>28</v>
      </c>
      <c r="F2935" t="s">
        <v>36</v>
      </c>
      <c r="G2935" t="s">
        <v>37</v>
      </c>
      <c r="H2935" t="s">
        <v>31</v>
      </c>
      <c r="I2935">
        <v>4</v>
      </c>
      <c r="J2935">
        <v>4</v>
      </c>
      <c r="K2935">
        <v>1.1399999999999999</v>
      </c>
      <c r="L2935">
        <v>1</v>
      </c>
    </row>
    <row r="2936" spans="1:12">
      <c r="A2936" t="s">
        <v>8524</v>
      </c>
      <c r="B2936" t="s">
        <v>8525</v>
      </c>
      <c r="C2936" t="s">
        <v>8526</v>
      </c>
      <c r="D2936" t="s">
        <v>158</v>
      </c>
      <c r="E2936" t="s">
        <v>59</v>
      </c>
      <c r="F2936" t="s">
        <v>36</v>
      </c>
      <c r="G2936" t="s">
        <v>73</v>
      </c>
      <c r="H2936" t="s">
        <v>19</v>
      </c>
      <c r="I2936">
        <v>4</v>
      </c>
      <c r="J2936">
        <v>4</v>
      </c>
      <c r="K2936">
        <v>0.49</v>
      </c>
      <c r="L2936">
        <v>1</v>
      </c>
    </row>
    <row r="2937" spans="1:12">
      <c r="A2937" t="s">
        <v>8527</v>
      </c>
      <c r="B2937" t="s">
        <v>8528</v>
      </c>
      <c r="C2937" t="s">
        <v>8529</v>
      </c>
      <c r="D2937" t="s">
        <v>15</v>
      </c>
      <c r="E2937" t="s">
        <v>54</v>
      </c>
      <c r="F2937" t="s">
        <v>60</v>
      </c>
      <c r="G2937" t="s">
        <v>30</v>
      </c>
      <c r="H2937" t="s">
        <v>31</v>
      </c>
      <c r="I2937">
        <v>4</v>
      </c>
      <c r="J2937">
        <v>8</v>
      </c>
      <c r="K2937">
        <v>2.34</v>
      </c>
      <c r="L2937">
        <v>1</v>
      </c>
    </row>
    <row r="2938" spans="1:12">
      <c r="A2938" t="s">
        <v>8530</v>
      </c>
      <c r="B2938" t="s">
        <v>8531</v>
      </c>
      <c r="C2938" t="s">
        <v>8532</v>
      </c>
      <c r="D2938" t="s">
        <v>15</v>
      </c>
      <c r="E2938" t="s">
        <v>59</v>
      </c>
      <c r="F2938" t="s">
        <v>41</v>
      </c>
      <c r="G2938" t="s">
        <v>50</v>
      </c>
      <c r="H2938" t="s">
        <v>31</v>
      </c>
      <c r="I2938">
        <v>5</v>
      </c>
      <c r="J2938">
        <v>8</v>
      </c>
      <c r="K2938">
        <v>5.46</v>
      </c>
      <c r="L2938">
        <v>1</v>
      </c>
    </row>
    <row r="2939" spans="1:12">
      <c r="A2939" t="s">
        <v>8533</v>
      </c>
      <c r="B2939" t="s">
        <v>8534</v>
      </c>
      <c r="C2939" t="s">
        <v>8535</v>
      </c>
      <c r="D2939" t="s">
        <v>15</v>
      </c>
      <c r="E2939" t="s">
        <v>16</v>
      </c>
      <c r="F2939" t="s">
        <v>60</v>
      </c>
      <c r="G2939" t="s">
        <v>105</v>
      </c>
      <c r="H2939" t="s">
        <v>19</v>
      </c>
      <c r="I2939">
        <v>5</v>
      </c>
      <c r="J2939">
        <v>8</v>
      </c>
      <c r="K2939">
        <v>7.29</v>
      </c>
      <c r="L2939">
        <v>1</v>
      </c>
    </row>
    <row r="2940" spans="1:12">
      <c r="A2940" t="s">
        <v>8536</v>
      </c>
      <c r="B2940" t="s">
        <v>8537</v>
      </c>
      <c r="C2940" t="s">
        <v>8538</v>
      </c>
      <c r="D2940" t="s">
        <v>23</v>
      </c>
      <c r="E2940" t="s">
        <v>24</v>
      </c>
      <c r="F2940" t="s">
        <v>29</v>
      </c>
      <c r="G2940" t="s">
        <v>77</v>
      </c>
      <c r="H2940" t="s">
        <v>19</v>
      </c>
      <c r="I2940">
        <v>5</v>
      </c>
      <c r="J2940">
        <v>24</v>
      </c>
      <c r="K2940">
        <v>22.3</v>
      </c>
      <c r="L2940">
        <v>1</v>
      </c>
    </row>
    <row r="2941" spans="1:12">
      <c r="A2941" t="s">
        <v>8539</v>
      </c>
      <c r="B2941" t="s">
        <v>8540</v>
      </c>
      <c r="C2941" t="s">
        <v>8541</v>
      </c>
      <c r="D2941" t="s">
        <v>23</v>
      </c>
      <c r="E2941" t="s">
        <v>54</v>
      </c>
      <c r="F2941" t="s">
        <v>36</v>
      </c>
      <c r="G2941" t="s">
        <v>30</v>
      </c>
      <c r="H2941" t="s">
        <v>31</v>
      </c>
      <c r="I2941">
        <v>5</v>
      </c>
      <c r="J2941">
        <v>24</v>
      </c>
      <c r="K2941">
        <v>21.22</v>
      </c>
      <c r="L2941">
        <v>1</v>
      </c>
    </row>
    <row r="2942" spans="1:12">
      <c r="A2942" t="s">
        <v>8542</v>
      </c>
      <c r="B2942" t="s">
        <v>8543</v>
      </c>
      <c r="D2942" t="s">
        <v>15</v>
      </c>
      <c r="E2942" t="s">
        <v>54</v>
      </c>
      <c r="F2942" t="s">
        <v>41</v>
      </c>
      <c r="G2942" t="s">
        <v>37</v>
      </c>
      <c r="H2942" t="s">
        <v>63</v>
      </c>
      <c r="J2942">
        <v>8</v>
      </c>
    </row>
    <row r="2943" spans="1:12">
      <c r="A2943" t="s">
        <v>8544</v>
      </c>
      <c r="B2943" t="s">
        <v>8545</v>
      </c>
      <c r="C2943" t="s">
        <v>8546</v>
      </c>
      <c r="D2943" t="s">
        <v>35</v>
      </c>
      <c r="E2943" t="s">
        <v>59</v>
      </c>
      <c r="F2943" t="s">
        <v>36</v>
      </c>
      <c r="G2943" t="s">
        <v>55</v>
      </c>
      <c r="H2943" t="s">
        <v>31</v>
      </c>
      <c r="I2943">
        <v>5</v>
      </c>
      <c r="J2943">
        <v>48</v>
      </c>
      <c r="K2943">
        <v>10.69</v>
      </c>
      <c r="L2943">
        <v>1</v>
      </c>
    </row>
    <row r="2944" spans="1:12">
      <c r="A2944" t="s">
        <v>8547</v>
      </c>
      <c r="B2944" t="s">
        <v>8548</v>
      </c>
      <c r="C2944" t="s">
        <v>8549</v>
      </c>
      <c r="D2944" t="s">
        <v>15</v>
      </c>
      <c r="E2944" t="s">
        <v>28</v>
      </c>
      <c r="F2944" t="s">
        <v>29</v>
      </c>
      <c r="G2944" t="s">
        <v>45</v>
      </c>
      <c r="H2944" t="s">
        <v>31</v>
      </c>
      <c r="I2944">
        <v>1</v>
      </c>
      <c r="J2944">
        <v>8</v>
      </c>
      <c r="K2944">
        <v>23.94</v>
      </c>
      <c r="L2944">
        <v>0</v>
      </c>
    </row>
    <row r="2945" spans="1:12">
      <c r="A2945" t="s">
        <v>8550</v>
      </c>
      <c r="B2945" t="s">
        <v>8551</v>
      </c>
      <c r="D2945" t="s">
        <v>158</v>
      </c>
      <c r="E2945" t="s">
        <v>24</v>
      </c>
      <c r="F2945" t="s">
        <v>41</v>
      </c>
      <c r="G2945" t="s">
        <v>55</v>
      </c>
      <c r="H2945" t="s">
        <v>46</v>
      </c>
      <c r="J2945">
        <v>4</v>
      </c>
    </row>
    <row r="2946" spans="1:12">
      <c r="A2946" t="s">
        <v>8552</v>
      </c>
      <c r="B2946" t="s">
        <v>8553</v>
      </c>
      <c r="C2946" t="s">
        <v>8554</v>
      </c>
      <c r="D2946" t="s">
        <v>23</v>
      </c>
      <c r="E2946" t="s">
        <v>59</v>
      </c>
      <c r="F2946" t="s">
        <v>60</v>
      </c>
      <c r="G2946" t="s">
        <v>42</v>
      </c>
      <c r="H2946" t="s">
        <v>19</v>
      </c>
      <c r="I2946">
        <v>4</v>
      </c>
      <c r="J2946">
        <v>24</v>
      </c>
      <c r="K2946">
        <v>3.6</v>
      </c>
      <c r="L2946">
        <v>1</v>
      </c>
    </row>
    <row r="2947" spans="1:12">
      <c r="A2947" t="s">
        <v>8555</v>
      </c>
      <c r="B2947" t="s">
        <v>8556</v>
      </c>
      <c r="C2947" t="s">
        <v>8557</v>
      </c>
      <c r="D2947" t="s">
        <v>158</v>
      </c>
      <c r="E2947" t="s">
        <v>16</v>
      </c>
      <c r="F2947" t="s">
        <v>36</v>
      </c>
      <c r="G2947" t="s">
        <v>50</v>
      </c>
      <c r="H2947" t="s">
        <v>19</v>
      </c>
      <c r="I2947">
        <v>1</v>
      </c>
      <c r="J2947">
        <v>4</v>
      </c>
      <c r="K2947">
        <v>10.3</v>
      </c>
      <c r="L2947">
        <v>0</v>
      </c>
    </row>
    <row r="2948" spans="1:12">
      <c r="A2948" t="s">
        <v>8558</v>
      </c>
      <c r="B2948" t="s">
        <v>8559</v>
      </c>
      <c r="C2948" t="s">
        <v>8560</v>
      </c>
      <c r="D2948" t="s">
        <v>15</v>
      </c>
      <c r="E2948" t="s">
        <v>16</v>
      </c>
      <c r="F2948" t="s">
        <v>36</v>
      </c>
      <c r="G2948" t="s">
        <v>73</v>
      </c>
      <c r="H2948" t="s">
        <v>19</v>
      </c>
      <c r="I2948">
        <v>4</v>
      </c>
      <c r="J2948">
        <v>8</v>
      </c>
      <c r="K2948">
        <v>6.7</v>
      </c>
      <c r="L2948">
        <v>1</v>
      </c>
    </row>
    <row r="2949" spans="1:12">
      <c r="A2949" t="s">
        <v>8561</v>
      </c>
      <c r="B2949" t="s">
        <v>8562</v>
      </c>
      <c r="C2949" t="s">
        <v>8563</v>
      </c>
      <c r="D2949" t="s">
        <v>23</v>
      </c>
      <c r="E2949" t="s">
        <v>16</v>
      </c>
      <c r="F2949" t="s">
        <v>36</v>
      </c>
      <c r="G2949" t="s">
        <v>45</v>
      </c>
      <c r="H2949" t="s">
        <v>19</v>
      </c>
      <c r="I2949">
        <v>5</v>
      </c>
      <c r="J2949">
        <v>24</v>
      </c>
      <c r="K2949">
        <v>13.29</v>
      </c>
      <c r="L2949">
        <v>1</v>
      </c>
    </row>
    <row r="2950" spans="1:12">
      <c r="A2950" t="s">
        <v>8564</v>
      </c>
      <c r="B2950" t="s">
        <v>8565</v>
      </c>
      <c r="C2950" t="s">
        <v>8566</v>
      </c>
      <c r="D2950" t="s">
        <v>15</v>
      </c>
      <c r="E2950" t="s">
        <v>59</v>
      </c>
      <c r="F2950" t="s">
        <v>36</v>
      </c>
      <c r="G2950" t="s">
        <v>55</v>
      </c>
      <c r="H2950" t="s">
        <v>19</v>
      </c>
      <c r="I2950">
        <v>4</v>
      </c>
      <c r="J2950">
        <v>8</v>
      </c>
      <c r="K2950">
        <v>6.57</v>
      </c>
      <c r="L2950">
        <v>1</v>
      </c>
    </row>
    <row r="2951" spans="1:12">
      <c r="A2951" t="s">
        <v>8567</v>
      </c>
      <c r="B2951" t="s">
        <v>8568</v>
      </c>
      <c r="C2951" t="s">
        <v>8569</v>
      </c>
      <c r="D2951" t="s">
        <v>15</v>
      </c>
      <c r="E2951" t="s">
        <v>28</v>
      </c>
      <c r="F2951" t="s">
        <v>60</v>
      </c>
      <c r="G2951" t="s">
        <v>42</v>
      </c>
      <c r="H2951" t="s">
        <v>19</v>
      </c>
      <c r="I2951">
        <v>5</v>
      </c>
      <c r="J2951">
        <v>8</v>
      </c>
      <c r="K2951">
        <v>1.34</v>
      </c>
      <c r="L2951">
        <v>1</v>
      </c>
    </row>
    <row r="2952" spans="1:12">
      <c r="A2952" t="s">
        <v>8570</v>
      </c>
      <c r="B2952" t="s">
        <v>8571</v>
      </c>
      <c r="C2952" t="s">
        <v>8572</v>
      </c>
      <c r="D2952" t="s">
        <v>15</v>
      </c>
      <c r="E2952" t="s">
        <v>59</v>
      </c>
      <c r="F2952" t="s">
        <v>41</v>
      </c>
      <c r="G2952" t="s">
        <v>42</v>
      </c>
      <c r="H2952" t="s">
        <v>31</v>
      </c>
      <c r="I2952">
        <v>2</v>
      </c>
      <c r="J2952">
        <v>8</v>
      </c>
      <c r="K2952">
        <v>11.04</v>
      </c>
      <c r="L2952">
        <v>0</v>
      </c>
    </row>
    <row r="2953" spans="1:12">
      <c r="A2953" t="s">
        <v>8573</v>
      </c>
      <c r="B2953" t="s">
        <v>8574</v>
      </c>
      <c r="C2953" t="s">
        <v>8575</v>
      </c>
      <c r="D2953" t="s">
        <v>15</v>
      </c>
      <c r="E2953" t="s">
        <v>16</v>
      </c>
      <c r="F2953" t="s">
        <v>36</v>
      </c>
      <c r="G2953" t="s">
        <v>105</v>
      </c>
      <c r="H2953" t="s">
        <v>19</v>
      </c>
      <c r="I2953">
        <v>1</v>
      </c>
      <c r="J2953">
        <v>8</v>
      </c>
      <c r="K2953">
        <v>11.8</v>
      </c>
      <c r="L2953">
        <v>0</v>
      </c>
    </row>
    <row r="2954" spans="1:12">
      <c r="A2954" t="s">
        <v>8576</v>
      </c>
      <c r="B2954" t="s">
        <v>8577</v>
      </c>
      <c r="C2954" t="s">
        <v>8578</v>
      </c>
      <c r="D2954" t="s">
        <v>23</v>
      </c>
      <c r="E2954" t="s">
        <v>59</v>
      </c>
      <c r="F2954" t="s">
        <v>17</v>
      </c>
      <c r="G2954" t="s">
        <v>37</v>
      </c>
      <c r="H2954" t="s">
        <v>19</v>
      </c>
      <c r="I2954">
        <v>4</v>
      </c>
      <c r="J2954">
        <v>24</v>
      </c>
      <c r="K2954">
        <v>19.010000000000002</v>
      </c>
      <c r="L2954">
        <v>1</v>
      </c>
    </row>
    <row r="2955" spans="1:12">
      <c r="A2955" t="s">
        <v>8579</v>
      </c>
      <c r="B2955" t="s">
        <v>8580</v>
      </c>
      <c r="C2955" t="s">
        <v>8581</v>
      </c>
      <c r="D2955" t="s">
        <v>15</v>
      </c>
      <c r="E2955" t="s">
        <v>54</v>
      </c>
      <c r="F2955" t="s">
        <v>29</v>
      </c>
      <c r="G2955" t="s">
        <v>42</v>
      </c>
      <c r="H2955" t="s">
        <v>19</v>
      </c>
      <c r="I2955">
        <v>5</v>
      </c>
      <c r="J2955">
        <v>8</v>
      </c>
      <c r="K2955">
        <v>2.72</v>
      </c>
      <c r="L2955">
        <v>1</v>
      </c>
    </row>
    <row r="2956" spans="1:12">
      <c r="A2956" t="s">
        <v>8582</v>
      </c>
      <c r="B2956" t="s">
        <v>8583</v>
      </c>
      <c r="D2956" t="s">
        <v>35</v>
      </c>
      <c r="E2956" t="s">
        <v>28</v>
      </c>
      <c r="F2956" t="s">
        <v>60</v>
      </c>
      <c r="G2956" t="s">
        <v>55</v>
      </c>
      <c r="H2956" t="s">
        <v>63</v>
      </c>
      <c r="J2956">
        <v>48</v>
      </c>
    </row>
    <row r="2957" spans="1:12">
      <c r="A2957" t="s">
        <v>8584</v>
      </c>
      <c r="B2957" t="s">
        <v>8585</v>
      </c>
      <c r="C2957" t="s">
        <v>8586</v>
      </c>
      <c r="D2957" t="s">
        <v>23</v>
      </c>
      <c r="E2957" t="s">
        <v>28</v>
      </c>
      <c r="F2957" t="s">
        <v>60</v>
      </c>
      <c r="G2957" t="s">
        <v>55</v>
      </c>
      <c r="H2957" t="s">
        <v>19</v>
      </c>
      <c r="I2957">
        <v>5</v>
      </c>
      <c r="J2957">
        <v>24</v>
      </c>
      <c r="K2957">
        <v>9.93</v>
      </c>
      <c r="L2957">
        <v>1</v>
      </c>
    </row>
    <row r="2958" spans="1:12">
      <c r="A2958" t="s">
        <v>8587</v>
      </c>
      <c r="B2958" t="s">
        <v>8588</v>
      </c>
      <c r="D2958" t="s">
        <v>23</v>
      </c>
      <c r="E2958" t="s">
        <v>28</v>
      </c>
      <c r="F2958" t="s">
        <v>41</v>
      </c>
      <c r="G2958" t="s">
        <v>172</v>
      </c>
      <c r="H2958" t="s">
        <v>63</v>
      </c>
      <c r="J2958">
        <v>24</v>
      </c>
    </row>
    <row r="2959" spans="1:12">
      <c r="A2959" t="s">
        <v>8589</v>
      </c>
      <c r="B2959" t="s">
        <v>8590</v>
      </c>
      <c r="C2959" t="s">
        <v>8591</v>
      </c>
      <c r="D2959" t="s">
        <v>23</v>
      </c>
      <c r="E2959" t="s">
        <v>28</v>
      </c>
      <c r="F2959" t="s">
        <v>60</v>
      </c>
      <c r="G2959" t="s">
        <v>45</v>
      </c>
      <c r="H2959" t="s">
        <v>31</v>
      </c>
      <c r="I2959">
        <v>2</v>
      </c>
      <c r="J2959">
        <v>24</v>
      </c>
      <c r="K2959">
        <v>33.82</v>
      </c>
      <c r="L2959">
        <v>0</v>
      </c>
    </row>
    <row r="2960" spans="1:12">
      <c r="A2960" t="s">
        <v>8592</v>
      </c>
      <c r="B2960" t="s">
        <v>8593</v>
      </c>
      <c r="C2960" t="s">
        <v>8594</v>
      </c>
      <c r="D2960" t="s">
        <v>23</v>
      </c>
      <c r="E2960" t="s">
        <v>28</v>
      </c>
      <c r="F2960" t="s">
        <v>17</v>
      </c>
      <c r="G2960" t="s">
        <v>151</v>
      </c>
      <c r="H2960" t="s">
        <v>19</v>
      </c>
      <c r="I2960">
        <v>5</v>
      </c>
      <c r="J2960">
        <v>24</v>
      </c>
      <c r="K2960">
        <v>7.68</v>
      </c>
      <c r="L2960">
        <v>1</v>
      </c>
    </row>
    <row r="2961" spans="1:12">
      <c r="A2961" t="s">
        <v>8595</v>
      </c>
      <c r="B2961" t="s">
        <v>8596</v>
      </c>
      <c r="D2961" t="s">
        <v>158</v>
      </c>
      <c r="E2961" t="s">
        <v>24</v>
      </c>
      <c r="F2961" t="s">
        <v>29</v>
      </c>
      <c r="G2961" t="s">
        <v>151</v>
      </c>
      <c r="H2961" t="s">
        <v>63</v>
      </c>
      <c r="J2961">
        <v>4</v>
      </c>
    </row>
    <row r="2962" spans="1:12">
      <c r="A2962" t="s">
        <v>8597</v>
      </c>
      <c r="B2962" t="s">
        <v>8598</v>
      </c>
      <c r="C2962" t="s">
        <v>8599</v>
      </c>
      <c r="D2962" t="s">
        <v>35</v>
      </c>
      <c r="E2962" t="s">
        <v>24</v>
      </c>
      <c r="F2962" t="s">
        <v>41</v>
      </c>
      <c r="G2962" t="s">
        <v>77</v>
      </c>
      <c r="H2962" t="s">
        <v>31</v>
      </c>
      <c r="I2962">
        <v>1</v>
      </c>
      <c r="J2962">
        <v>48</v>
      </c>
      <c r="K2962">
        <v>131</v>
      </c>
      <c r="L2962">
        <v>0</v>
      </c>
    </row>
    <row r="2963" spans="1:12">
      <c r="A2963" t="s">
        <v>8600</v>
      </c>
      <c r="B2963" t="s">
        <v>8601</v>
      </c>
      <c r="C2963" t="s">
        <v>8602</v>
      </c>
      <c r="D2963" t="s">
        <v>23</v>
      </c>
      <c r="E2963" t="s">
        <v>28</v>
      </c>
      <c r="F2963" t="s">
        <v>36</v>
      </c>
      <c r="G2963" t="s">
        <v>30</v>
      </c>
      <c r="H2963" t="s">
        <v>19</v>
      </c>
      <c r="I2963">
        <v>4</v>
      </c>
      <c r="J2963">
        <v>24</v>
      </c>
      <c r="K2963">
        <v>18.98</v>
      </c>
      <c r="L2963">
        <v>1</v>
      </c>
    </row>
    <row r="2964" spans="1:12">
      <c r="A2964" t="s">
        <v>8603</v>
      </c>
      <c r="B2964" t="s">
        <v>8604</v>
      </c>
      <c r="C2964" t="s">
        <v>8605</v>
      </c>
      <c r="D2964" t="s">
        <v>158</v>
      </c>
      <c r="E2964" t="s">
        <v>59</v>
      </c>
      <c r="F2964" t="s">
        <v>36</v>
      </c>
      <c r="G2964" t="s">
        <v>50</v>
      </c>
      <c r="H2964" t="s">
        <v>19</v>
      </c>
      <c r="I2964">
        <v>4</v>
      </c>
      <c r="J2964">
        <v>4</v>
      </c>
      <c r="K2964">
        <v>2</v>
      </c>
      <c r="L2964">
        <v>1</v>
      </c>
    </row>
    <row r="2965" spans="1:12">
      <c r="A2965" t="s">
        <v>8606</v>
      </c>
      <c r="B2965" t="s">
        <v>8607</v>
      </c>
      <c r="C2965" t="s">
        <v>8608</v>
      </c>
      <c r="D2965" t="s">
        <v>23</v>
      </c>
      <c r="E2965" t="s">
        <v>24</v>
      </c>
      <c r="F2965" t="s">
        <v>17</v>
      </c>
      <c r="G2965" t="s">
        <v>73</v>
      </c>
      <c r="H2965" t="s">
        <v>19</v>
      </c>
      <c r="I2965">
        <v>5</v>
      </c>
      <c r="J2965">
        <v>24</v>
      </c>
      <c r="K2965">
        <v>6.09</v>
      </c>
      <c r="L2965">
        <v>1</v>
      </c>
    </row>
    <row r="2966" spans="1:12">
      <c r="A2966" t="s">
        <v>8609</v>
      </c>
      <c r="B2966" t="s">
        <v>8610</v>
      </c>
      <c r="C2966" t="s">
        <v>8611</v>
      </c>
      <c r="D2966" t="s">
        <v>158</v>
      </c>
      <c r="E2966" t="s">
        <v>28</v>
      </c>
      <c r="F2966" t="s">
        <v>29</v>
      </c>
      <c r="G2966" t="s">
        <v>73</v>
      </c>
      <c r="H2966" t="s">
        <v>19</v>
      </c>
      <c r="I2966">
        <v>5</v>
      </c>
      <c r="J2966">
        <v>4</v>
      </c>
      <c r="K2966">
        <v>2.46</v>
      </c>
      <c r="L2966">
        <v>1</v>
      </c>
    </row>
    <row r="2967" spans="1:12">
      <c r="A2967" t="s">
        <v>8612</v>
      </c>
      <c r="B2967" t="s">
        <v>8613</v>
      </c>
      <c r="C2967" t="s">
        <v>8614</v>
      </c>
      <c r="D2967" t="s">
        <v>158</v>
      </c>
      <c r="E2967" t="s">
        <v>24</v>
      </c>
      <c r="F2967" t="s">
        <v>60</v>
      </c>
      <c r="G2967" t="s">
        <v>45</v>
      </c>
      <c r="H2967" t="s">
        <v>19</v>
      </c>
      <c r="I2967">
        <v>5</v>
      </c>
      <c r="J2967">
        <v>4</v>
      </c>
      <c r="K2967">
        <v>1.18</v>
      </c>
      <c r="L2967">
        <v>1</v>
      </c>
    </row>
    <row r="2968" spans="1:12">
      <c r="A2968" t="s">
        <v>8615</v>
      </c>
      <c r="B2968" t="s">
        <v>8616</v>
      </c>
      <c r="C2968" t="s">
        <v>8617</v>
      </c>
      <c r="D2968" t="s">
        <v>23</v>
      </c>
      <c r="E2968" t="s">
        <v>59</v>
      </c>
      <c r="F2968" t="s">
        <v>29</v>
      </c>
      <c r="G2968" t="s">
        <v>151</v>
      </c>
      <c r="H2968" t="s">
        <v>19</v>
      </c>
      <c r="I2968">
        <v>1</v>
      </c>
      <c r="J2968">
        <v>24</v>
      </c>
      <c r="K2968">
        <v>61.44</v>
      </c>
      <c r="L2968">
        <v>0</v>
      </c>
    </row>
    <row r="2969" spans="1:12">
      <c r="A2969" t="s">
        <v>8618</v>
      </c>
      <c r="B2969" t="s">
        <v>8619</v>
      </c>
      <c r="C2969" t="s">
        <v>8620</v>
      </c>
      <c r="D2969" t="s">
        <v>35</v>
      </c>
      <c r="E2969" t="s">
        <v>59</v>
      </c>
      <c r="F2969" t="s">
        <v>17</v>
      </c>
      <c r="G2969" t="s">
        <v>151</v>
      </c>
      <c r="H2969" t="s">
        <v>19</v>
      </c>
      <c r="I2969">
        <v>5</v>
      </c>
      <c r="J2969">
        <v>48</v>
      </c>
      <c r="K2969">
        <v>38.49</v>
      </c>
      <c r="L2969">
        <v>1</v>
      </c>
    </row>
    <row r="2970" spans="1:12">
      <c r="A2970" t="s">
        <v>8621</v>
      </c>
      <c r="B2970" t="s">
        <v>8622</v>
      </c>
      <c r="C2970" t="s">
        <v>8623</v>
      </c>
      <c r="D2970" t="s">
        <v>15</v>
      </c>
      <c r="E2970" t="s">
        <v>54</v>
      </c>
      <c r="F2970" t="s">
        <v>29</v>
      </c>
      <c r="G2970" t="s">
        <v>50</v>
      </c>
      <c r="H2970" t="s">
        <v>31</v>
      </c>
      <c r="I2970">
        <v>5</v>
      </c>
      <c r="J2970">
        <v>8</v>
      </c>
      <c r="K2970">
        <v>5.96</v>
      </c>
      <c r="L2970">
        <v>1</v>
      </c>
    </row>
    <row r="2971" spans="1:12">
      <c r="A2971" t="s">
        <v>8624</v>
      </c>
      <c r="B2971" t="s">
        <v>8625</v>
      </c>
      <c r="C2971" t="s">
        <v>8626</v>
      </c>
      <c r="D2971" t="s">
        <v>15</v>
      </c>
      <c r="E2971" t="s">
        <v>28</v>
      </c>
      <c r="F2971" t="s">
        <v>36</v>
      </c>
      <c r="G2971" t="s">
        <v>30</v>
      </c>
      <c r="H2971" t="s">
        <v>31</v>
      </c>
      <c r="I2971">
        <v>5</v>
      </c>
      <c r="J2971">
        <v>8</v>
      </c>
      <c r="K2971">
        <v>2.76</v>
      </c>
      <c r="L2971">
        <v>1</v>
      </c>
    </row>
    <row r="2972" spans="1:12">
      <c r="A2972" t="s">
        <v>8627</v>
      </c>
      <c r="B2972" t="s">
        <v>8628</v>
      </c>
      <c r="C2972" t="s">
        <v>8629</v>
      </c>
      <c r="D2972" t="s">
        <v>15</v>
      </c>
      <c r="E2972" t="s">
        <v>24</v>
      </c>
      <c r="F2972" t="s">
        <v>29</v>
      </c>
      <c r="G2972" t="s">
        <v>73</v>
      </c>
      <c r="H2972" t="s">
        <v>31</v>
      </c>
      <c r="I2972">
        <v>5</v>
      </c>
      <c r="J2972">
        <v>8</v>
      </c>
      <c r="K2972">
        <v>6.96</v>
      </c>
      <c r="L2972">
        <v>1</v>
      </c>
    </row>
    <row r="2973" spans="1:12">
      <c r="A2973" t="s">
        <v>8630</v>
      </c>
      <c r="B2973" t="s">
        <v>8631</v>
      </c>
      <c r="C2973" t="s">
        <v>8632</v>
      </c>
      <c r="D2973" t="s">
        <v>15</v>
      </c>
      <c r="E2973" t="s">
        <v>54</v>
      </c>
      <c r="F2973" t="s">
        <v>41</v>
      </c>
      <c r="G2973" t="s">
        <v>45</v>
      </c>
      <c r="H2973" t="s">
        <v>31</v>
      </c>
      <c r="I2973">
        <v>4</v>
      </c>
      <c r="J2973">
        <v>8</v>
      </c>
      <c r="K2973">
        <v>4.54</v>
      </c>
      <c r="L2973">
        <v>1</v>
      </c>
    </row>
    <row r="2974" spans="1:12">
      <c r="A2974" t="s">
        <v>8633</v>
      </c>
      <c r="B2974" t="s">
        <v>8634</v>
      </c>
      <c r="C2974" t="s">
        <v>8635</v>
      </c>
      <c r="D2974" t="s">
        <v>23</v>
      </c>
      <c r="E2974" t="s">
        <v>54</v>
      </c>
      <c r="F2974" t="s">
        <v>60</v>
      </c>
      <c r="G2974" t="s">
        <v>18</v>
      </c>
      <c r="H2974" t="s">
        <v>19</v>
      </c>
      <c r="I2974">
        <v>5</v>
      </c>
      <c r="J2974">
        <v>24</v>
      </c>
      <c r="K2974">
        <v>9.42</v>
      </c>
      <c r="L2974">
        <v>1</v>
      </c>
    </row>
    <row r="2975" spans="1:12">
      <c r="A2975" t="s">
        <v>8636</v>
      </c>
      <c r="B2975" t="s">
        <v>8637</v>
      </c>
      <c r="C2975" t="s">
        <v>8638</v>
      </c>
      <c r="D2975" t="s">
        <v>23</v>
      </c>
      <c r="E2975" t="s">
        <v>59</v>
      </c>
      <c r="F2975" t="s">
        <v>17</v>
      </c>
      <c r="G2975" t="s">
        <v>50</v>
      </c>
      <c r="H2975" t="s">
        <v>31</v>
      </c>
      <c r="I2975">
        <v>3</v>
      </c>
      <c r="J2975">
        <v>24</v>
      </c>
      <c r="K2975">
        <v>16.02</v>
      </c>
      <c r="L2975">
        <v>1</v>
      </c>
    </row>
    <row r="2976" spans="1:12">
      <c r="A2976" t="s">
        <v>8639</v>
      </c>
      <c r="B2976" t="s">
        <v>8640</v>
      </c>
      <c r="D2976" t="s">
        <v>23</v>
      </c>
      <c r="E2976" t="s">
        <v>28</v>
      </c>
      <c r="F2976" t="s">
        <v>41</v>
      </c>
      <c r="G2976" t="s">
        <v>45</v>
      </c>
      <c r="H2976" t="s">
        <v>63</v>
      </c>
      <c r="J2976">
        <v>24</v>
      </c>
    </row>
    <row r="2977" spans="1:12">
      <c r="A2977" t="s">
        <v>8641</v>
      </c>
      <c r="B2977" t="s">
        <v>8642</v>
      </c>
      <c r="C2977" t="s">
        <v>8643</v>
      </c>
      <c r="D2977" t="s">
        <v>15</v>
      </c>
      <c r="E2977" t="s">
        <v>16</v>
      </c>
      <c r="F2977" t="s">
        <v>60</v>
      </c>
      <c r="G2977" t="s">
        <v>55</v>
      </c>
      <c r="H2977" t="s">
        <v>19</v>
      </c>
      <c r="I2977">
        <v>5</v>
      </c>
      <c r="J2977">
        <v>8</v>
      </c>
      <c r="K2977">
        <v>4.5599999999999996</v>
      </c>
      <c r="L2977">
        <v>1</v>
      </c>
    </row>
    <row r="2978" spans="1:12">
      <c r="A2978" t="s">
        <v>8644</v>
      </c>
      <c r="B2978" t="s">
        <v>8645</v>
      </c>
      <c r="C2978" t="s">
        <v>8646</v>
      </c>
      <c r="D2978" t="s">
        <v>23</v>
      </c>
      <c r="E2978" t="s">
        <v>28</v>
      </c>
      <c r="F2978" t="s">
        <v>60</v>
      </c>
      <c r="G2978" t="s">
        <v>45</v>
      </c>
      <c r="H2978" t="s">
        <v>31</v>
      </c>
      <c r="I2978">
        <v>4</v>
      </c>
      <c r="J2978">
        <v>24</v>
      </c>
      <c r="K2978">
        <v>17.899999999999999</v>
      </c>
      <c r="L2978">
        <v>1</v>
      </c>
    </row>
    <row r="2979" spans="1:12">
      <c r="A2979" t="s">
        <v>8647</v>
      </c>
      <c r="B2979" t="s">
        <v>8648</v>
      </c>
      <c r="C2979" t="s">
        <v>8649</v>
      </c>
      <c r="D2979" t="s">
        <v>23</v>
      </c>
      <c r="E2979" t="s">
        <v>16</v>
      </c>
      <c r="F2979" t="s">
        <v>60</v>
      </c>
      <c r="G2979" t="s">
        <v>37</v>
      </c>
      <c r="H2979" t="s">
        <v>31</v>
      </c>
      <c r="I2979">
        <v>5</v>
      </c>
      <c r="J2979">
        <v>24</v>
      </c>
      <c r="K2979">
        <v>8.48</v>
      </c>
      <c r="L2979">
        <v>1</v>
      </c>
    </row>
    <row r="2980" spans="1:12">
      <c r="A2980" t="s">
        <v>8650</v>
      </c>
      <c r="B2980" t="s">
        <v>8651</v>
      </c>
      <c r="C2980" t="s">
        <v>8652</v>
      </c>
      <c r="D2980" t="s">
        <v>23</v>
      </c>
      <c r="E2980" t="s">
        <v>28</v>
      </c>
      <c r="F2980" t="s">
        <v>36</v>
      </c>
      <c r="G2980" t="s">
        <v>37</v>
      </c>
      <c r="H2980" t="s">
        <v>19</v>
      </c>
      <c r="I2980">
        <v>4</v>
      </c>
      <c r="J2980">
        <v>24</v>
      </c>
      <c r="K2980">
        <v>9.16</v>
      </c>
      <c r="L2980">
        <v>1</v>
      </c>
    </row>
    <row r="2981" spans="1:12">
      <c r="A2981" t="s">
        <v>8653</v>
      </c>
      <c r="B2981" t="s">
        <v>8654</v>
      </c>
      <c r="C2981" t="s">
        <v>8655</v>
      </c>
      <c r="D2981" t="s">
        <v>23</v>
      </c>
      <c r="E2981" t="s">
        <v>28</v>
      </c>
      <c r="F2981" t="s">
        <v>41</v>
      </c>
      <c r="G2981" t="s">
        <v>30</v>
      </c>
      <c r="H2981" t="s">
        <v>19</v>
      </c>
      <c r="I2981">
        <v>3</v>
      </c>
      <c r="J2981">
        <v>24</v>
      </c>
      <c r="K2981">
        <v>11.46</v>
      </c>
      <c r="L2981">
        <v>1</v>
      </c>
    </row>
    <row r="2982" spans="1:12">
      <c r="A2982" t="s">
        <v>8656</v>
      </c>
      <c r="B2982" t="s">
        <v>8657</v>
      </c>
      <c r="C2982" t="s">
        <v>8658</v>
      </c>
      <c r="D2982" t="s">
        <v>23</v>
      </c>
      <c r="E2982" t="s">
        <v>54</v>
      </c>
      <c r="F2982" t="s">
        <v>29</v>
      </c>
      <c r="G2982" t="s">
        <v>55</v>
      </c>
      <c r="H2982" t="s">
        <v>31</v>
      </c>
      <c r="I2982">
        <v>5</v>
      </c>
      <c r="J2982">
        <v>24</v>
      </c>
      <c r="K2982">
        <v>9.6999999999999993</v>
      </c>
      <c r="L2982">
        <v>1</v>
      </c>
    </row>
    <row r="2983" spans="1:12">
      <c r="A2983" t="s">
        <v>8659</v>
      </c>
      <c r="B2983" t="s">
        <v>8660</v>
      </c>
      <c r="C2983" t="s">
        <v>8661</v>
      </c>
      <c r="D2983" t="s">
        <v>15</v>
      </c>
      <c r="E2983" t="s">
        <v>28</v>
      </c>
      <c r="F2983" t="s">
        <v>41</v>
      </c>
      <c r="G2983" t="s">
        <v>55</v>
      </c>
      <c r="H2983" t="s">
        <v>31</v>
      </c>
      <c r="I2983">
        <v>4</v>
      </c>
      <c r="J2983">
        <v>8</v>
      </c>
      <c r="K2983">
        <v>6.57</v>
      </c>
      <c r="L2983">
        <v>1</v>
      </c>
    </row>
    <row r="2984" spans="1:12">
      <c r="A2984" t="s">
        <v>8662</v>
      </c>
      <c r="B2984" t="s">
        <v>8663</v>
      </c>
      <c r="C2984" t="s">
        <v>8664</v>
      </c>
      <c r="D2984" t="s">
        <v>23</v>
      </c>
      <c r="E2984" t="s">
        <v>16</v>
      </c>
      <c r="F2984" t="s">
        <v>17</v>
      </c>
      <c r="G2984" t="s">
        <v>172</v>
      </c>
      <c r="H2984" t="s">
        <v>31</v>
      </c>
      <c r="I2984">
        <v>5</v>
      </c>
      <c r="J2984">
        <v>24</v>
      </c>
      <c r="K2984">
        <v>13.24</v>
      </c>
      <c r="L2984">
        <v>1</v>
      </c>
    </row>
    <row r="2985" spans="1:12">
      <c r="A2985" t="s">
        <v>8665</v>
      </c>
      <c r="B2985" t="s">
        <v>8666</v>
      </c>
      <c r="C2985" t="s">
        <v>8667</v>
      </c>
      <c r="D2985" t="s">
        <v>23</v>
      </c>
      <c r="E2985" t="s">
        <v>59</v>
      </c>
      <c r="F2985" t="s">
        <v>17</v>
      </c>
      <c r="G2985" t="s">
        <v>18</v>
      </c>
      <c r="H2985" t="s">
        <v>19</v>
      </c>
      <c r="I2985">
        <v>3</v>
      </c>
      <c r="J2985">
        <v>24</v>
      </c>
      <c r="K2985">
        <v>3.05</v>
      </c>
      <c r="L2985">
        <v>1</v>
      </c>
    </row>
    <row r="2986" spans="1:12">
      <c r="A2986" t="s">
        <v>8668</v>
      </c>
      <c r="B2986" t="s">
        <v>8669</v>
      </c>
      <c r="C2986" t="s">
        <v>8670</v>
      </c>
      <c r="D2986" t="s">
        <v>15</v>
      </c>
      <c r="E2986" t="s">
        <v>24</v>
      </c>
      <c r="F2986" t="s">
        <v>29</v>
      </c>
      <c r="G2986" t="s">
        <v>172</v>
      </c>
      <c r="H2986" t="s">
        <v>19</v>
      </c>
      <c r="I2986">
        <v>2</v>
      </c>
      <c r="J2986">
        <v>8</v>
      </c>
      <c r="K2986">
        <v>17.77</v>
      </c>
      <c r="L2986">
        <v>0</v>
      </c>
    </row>
    <row r="2987" spans="1:12">
      <c r="A2987" t="s">
        <v>8671</v>
      </c>
      <c r="B2987" t="s">
        <v>8672</v>
      </c>
      <c r="C2987" t="s">
        <v>8673</v>
      </c>
      <c r="D2987" t="s">
        <v>15</v>
      </c>
      <c r="E2987" t="s">
        <v>28</v>
      </c>
      <c r="F2987" t="s">
        <v>60</v>
      </c>
      <c r="G2987" t="s">
        <v>30</v>
      </c>
      <c r="H2987" t="s">
        <v>19</v>
      </c>
      <c r="I2987">
        <v>2</v>
      </c>
      <c r="J2987">
        <v>8</v>
      </c>
      <c r="K2987">
        <v>17.18</v>
      </c>
      <c r="L2987">
        <v>0</v>
      </c>
    </row>
    <row r="2988" spans="1:12">
      <c r="A2988" t="s">
        <v>8674</v>
      </c>
      <c r="B2988" t="s">
        <v>8675</v>
      </c>
      <c r="D2988" t="s">
        <v>15</v>
      </c>
      <c r="E2988" t="s">
        <v>28</v>
      </c>
      <c r="F2988" t="s">
        <v>36</v>
      </c>
      <c r="G2988" t="s">
        <v>18</v>
      </c>
      <c r="H2988" t="s">
        <v>46</v>
      </c>
      <c r="J2988">
        <v>8</v>
      </c>
    </row>
    <row r="2989" spans="1:12">
      <c r="A2989" t="s">
        <v>8676</v>
      </c>
      <c r="B2989" t="s">
        <v>8677</v>
      </c>
      <c r="C2989" t="s">
        <v>8678</v>
      </c>
      <c r="D2989" t="s">
        <v>15</v>
      </c>
      <c r="E2989" t="s">
        <v>24</v>
      </c>
      <c r="F2989" t="s">
        <v>29</v>
      </c>
      <c r="G2989" t="s">
        <v>151</v>
      </c>
      <c r="H2989" t="s">
        <v>31</v>
      </c>
      <c r="I2989">
        <v>5</v>
      </c>
      <c r="J2989">
        <v>8</v>
      </c>
      <c r="K2989">
        <v>7.13</v>
      </c>
      <c r="L2989">
        <v>1</v>
      </c>
    </row>
    <row r="2990" spans="1:12">
      <c r="A2990" t="s">
        <v>8679</v>
      </c>
      <c r="B2990" t="s">
        <v>8680</v>
      </c>
      <c r="C2990" t="s">
        <v>8681</v>
      </c>
      <c r="D2990" t="s">
        <v>23</v>
      </c>
      <c r="E2990" t="s">
        <v>59</v>
      </c>
      <c r="F2990" t="s">
        <v>17</v>
      </c>
      <c r="G2990" t="s">
        <v>77</v>
      </c>
      <c r="H2990" t="s">
        <v>19</v>
      </c>
      <c r="I2990">
        <v>5</v>
      </c>
      <c r="J2990">
        <v>24</v>
      </c>
      <c r="K2990">
        <v>2.81</v>
      </c>
      <c r="L2990">
        <v>1</v>
      </c>
    </row>
    <row r="2991" spans="1:12">
      <c r="A2991" t="s">
        <v>8682</v>
      </c>
      <c r="B2991" t="s">
        <v>8683</v>
      </c>
      <c r="C2991" t="s">
        <v>8684</v>
      </c>
      <c r="D2991" t="s">
        <v>23</v>
      </c>
      <c r="E2991" t="s">
        <v>24</v>
      </c>
      <c r="F2991" t="s">
        <v>60</v>
      </c>
      <c r="G2991" t="s">
        <v>55</v>
      </c>
      <c r="H2991" t="s">
        <v>19</v>
      </c>
      <c r="I2991">
        <v>5</v>
      </c>
      <c r="J2991">
        <v>24</v>
      </c>
      <c r="K2991">
        <v>12.3</v>
      </c>
      <c r="L2991">
        <v>1</v>
      </c>
    </row>
    <row r="2992" spans="1:12">
      <c r="A2992" t="s">
        <v>8685</v>
      </c>
      <c r="B2992" t="s">
        <v>8686</v>
      </c>
      <c r="C2992" t="s">
        <v>8687</v>
      </c>
      <c r="D2992" t="s">
        <v>15</v>
      </c>
      <c r="E2992" t="s">
        <v>24</v>
      </c>
      <c r="F2992" t="s">
        <v>29</v>
      </c>
      <c r="G2992" t="s">
        <v>42</v>
      </c>
      <c r="H2992" t="s">
        <v>19</v>
      </c>
      <c r="I2992">
        <v>5</v>
      </c>
      <c r="J2992">
        <v>8</v>
      </c>
      <c r="K2992">
        <v>6.03</v>
      </c>
      <c r="L2992">
        <v>1</v>
      </c>
    </row>
    <row r="2993" spans="1:12">
      <c r="A2993" t="s">
        <v>8688</v>
      </c>
      <c r="B2993" t="s">
        <v>8689</v>
      </c>
      <c r="C2993" t="s">
        <v>8690</v>
      </c>
      <c r="D2993" t="s">
        <v>23</v>
      </c>
      <c r="E2993" t="s">
        <v>54</v>
      </c>
      <c r="F2993" t="s">
        <v>41</v>
      </c>
      <c r="G2993" t="s">
        <v>37</v>
      </c>
      <c r="H2993" t="s">
        <v>31</v>
      </c>
      <c r="I2993">
        <v>3</v>
      </c>
      <c r="J2993">
        <v>24</v>
      </c>
      <c r="K2993">
        <v>22.61</v>
      </c>
      <c r="L2993">
        <v>1</v>
      </c>
    </row>
    <row r="2994" spans="1:12">
      <c r="A2994" t="s">
        <v>8691</v>
      </c>
      <c r="B2994" t="s">
        <v>8692</v>
      </c>
      <c r="C2994" t="s">
        <v>8693</v>
      </c>
      <c r="D2994" t="s">
        <v>35</v>
      </c>
      <c r="E2994" t="s">
        <v>16</v>
      </c>
      <c r="F2994" t="s">
        <v>36</v>
      </c>
      <c r="G2994" t="s">
        <v>18</v>
      </c>
      <c r="H2994" t="s">
        <v>19</v>
      </c>
      <c r="I2994">
        <v>3</v>
      </c>
      <c r="J2994">
        <v>48</v>
      </c>
      <c r="K2994">
        <v>11.2</v>
      </c>
      <c r="L2994">
        <v>1</v>
      </c>
    </row>
    <row r="2995" spans="1:12">
      <c r="A2995" t="s">
        <v>8694</v>
      </c>
      <c r="B2995" t="s">
        <v>8695</v>
      </c>
      <c r="C2995" t="s">
        <v>8696</v>
      </c>
      <c r="D2995" t="s">
        <v>23</v>
      </c>
      <c r="E2995" t="s">
        <v>16</v>
      </c>
      <c r="F2995" t="s">
        <v>36</v>
      </c>
      <c r="G2995" t="s">
        <v>73</v>
      </c>
      <c r="H2995" t="s">
        <v>19</v>
      </c>
      <c r="I2995">
        <v>3</v>
      </c>
      <c r="J2995">
        <v>24</v>
      </c>
      <c r="K2995">
        <v>16.100000000000001</v>
      </c>
      <c r="L2995">
        <v>1</v>
      </c>
    </row>
    <row r="2996" spans="1:12">
      <c r="A2996" t="s">
        <v>8697</v>
      </c>
      <c r="B2996" t="s">
        <v>8698</v>
      </c>
      <c r="C2996" t="s">
        <v>8699</v>
      </c>
      <c r="D2996" t="s">
        <v>15</v>
      </c>
      <c r="E2996" t="s">
        <v>28</v>
      </c>
      <c r="F2996" t="s">
        <v>29</v>
      </c>
      <c r="G2996" t="s">
        <v>55</v>
      </c>
      <c r="H2996" t="s">
        <v>19</v>
      </c>
      <c r="I2996">
        <v>3</v>
      </c>
      <c r="J2996">
        <v>8</v>
      </c>
      <c r="K2996">
        <v>1.38</v>
      </c>
      <c r="L2996">
        <v>1</v>
      </c>
    </row>
    <row r="2997" spans="1:12">
      <c r="A2997" t="s">
        <v>8700</v>
      </c>
      <c r="B2997" t="s">
        <v>8701</v>
      </c>
      <c r="C2997" t="s">
        <v>8702</v>
      </c>
      <c r="D2997" t="s">
        <v>23</v>
      </c>
      <c r="E2997" t="s">
        <v>24</v>
      </c>
      <c r="F2997" t="s">
        <v>60</v>
      </c>
      <c r="G2997" t="s">
        <v>151</v>
      </c>
      <c r="H2997" t="s">
        <v>19</v>
      </c>
      <c r="I2997">
        <v>5</v>
      </c>
      <c r="J2997">
        <v>24</v>
      </c>
      <c r="K2997">
        <v>5.38</v>
      </c>
      <c r="L2997">
        <v>1</v>
      </c>
    </row>
    <row r="2998" spans="1:12">
      <c r="A2998" t="s">
        <v>8703</v>
      </c>
      <c r="B2998" t="s">
        <v>8704</v>
      </c>
      <c r="C2998" t="s">
        <v>8705</v>
      </c>
      <c r="D2998" t="s">
        <v>23</v>
      </c>
      <c r="E2998" t="s">
        <v>54</v>
      </c>
      <c r="F2998" t="s">
        <v>41</v>
      </c>
      <c r="G2998" t="s">
        <v>42</v>
      </c>
      <c r="H2998" t="s">
        <v>19</v>
      </c>
      <c r="I2998">
        <v>4</v>
      </c>
      <c r="J2998">
        <v>24</v>
      </c>
      <c r="K2998">
        <v>22.18</v>
      </c>
      <c r="L2998">
        <v>1</v>
      </c>
    </row>
    <row r="2999" spans="1:12">
      <c r="A2999" t="s">
        <v>8706</v>
      </c>
      <c r="B2999" t="s">
        <v>8707</v>
      </c>
      <c r="C2999" t="s">
        <v>8708</v>
      </c>
      <c r="D2999" t="s">
        <v>23</v>
      </c>
      <c r="E2999" t="s">
        <v>59</v>
      </c>
      <c r="F2999" t="s">
        <v>17</v>
      </c>
      <c r="G2999" t="s">
        <v>18</v>
      </c>
      <c r="H2999" t="s">
        <v>19</v>
      </c>
      <c r="I2999">
        <v>5</v>
      </c>
      <c r="J2999">
        <v>24</v>
      </c>
      <c r="K2999">
        <v>9.42</v>
      </c>
      <c r="L2999">
        <v>1</v>
      </c>
    </row>
    <row r="3000" spans="1:12">
      <c r="A3000" t="s">
        <v>8709</v>
      </c>
      <c r="B3000" t="s">
        <v>8710</v>
      </c>
      <c r="C3000" t="s">
        <v>8711</v>
      </c>
      <c r="D3000" t="s">
        <v>15</v>
      </c>
      <c r="E3000" t="s">
        <v>28</v>
      </c>
      <c r="F3000" t="s">
        <v>41</v>
      </c>
      <c r="G3000" t="s">
        <v>151</v>
      </c>
      <c r="H3000" t="s">
        <v>31</v>
      </c>
      <c r="I3000">
        <v>5</v>
      </c>
      <c r="J3000">
        <v>8</v>
      </c>
      <c r="K3000">
        <v>6.12</v>
      </c>
      <c r="L3000">
        <v>1</v>
      </c>
    </row>
    <row r="3001" spans="1:12">
      <c r="A3001" t="s">
        <v>8712</v>
      </c>
      <c r="B3001" t="s">
        <v>8713</v>
      </c>
      <c r="C3001" t="s">
        <v>8714</v>
      </c>
      <c r="D3001" t="s">
        <v>15</v>
      </c>
      <c r="E3001" t="s">
        <v>28</v>
      </c>
      <c r="F3001" t="s">
        <v>29</v>
      </c>
      <c r="G3001" t="s">
        <v>18</v>
      </c>
      <c r="H3001" t="s">
        <v>19</v>
      </c>
      <c r="I3001">
        <v>4</v>
      </c>
      <c r="J3001">
        <v>8</v>
      </c>
      <c r="K3001">
        <v>1.6</v>
      </c>
      <c r="L3001">
        <v>1</v>
      </c>
    </row>
    <row r="3002" spans="1:12">
      <c r="A3002" t="s">
        <v>8715</v>
      </c>
      <c r="B3002" t="s">
        <v>8716</v>
      </c>
      <c r="C3002" t="s">
        <v>8717</v>
      </c>
      <c r="D3002" t="s">
        <v>23</v>
      </c>
      <c r="E3002" t="s">
        <v>54</v>
      </c>
      <c r="F3002" t="s">
        <v>36</v>
      </c>
      <c r="G3002" t="s">
        <v>42</v>
      </c>
      <c r="H3002" t="s">
        <v>31</v>
      </c>
      <c r="I3002">
        <v>2</v>
      </c>
      <c r="J3002">
        <v>24</v>
      </c>
      <c r="K3002">
        <v>45.23</v>
      </c>
      <c r="L3002">
        <v>0</v>
      </c>
    </row>
    <row r="3003" spans="1:12">
      <c r="A3003" t="s">
        <v>8718</v>
      </c>
      <c r="B3003" t="s">
        <v>8719</v>
      </c>
      <c r="C3003" t="s">
        <v>8720</v>
      </c>
      <c r="D3003" t="s">
        <v>15</v>
      </c>
      <c r="E3003" t="s">
        <v>28</v>
      </c>
      <c r="F3003" t="s">
        <v>41</v>
      </c>
      <c r="G3003" t="s">
        <v>151</v>
      </c>
      <c r="H3003" t="s">
        <v>31</v>
      </c>
      <c r="I3003">
        <v>5</v>
      </c>
      <c r="J3003">
        <v>8</v>
      </c>
      <c r="K3003">
        <v>1.65</v>
      </c>
      <c r="L3003">
        <v>1</v>
      </c>
    </row>
    <row r="3004" spans="1:12">
      <c r="A3004" t="s">
        <v>8721</v>
      </c>
      <c r="B3004" t="s">
        <v>8722</v>
      </c>
      <c r="C3004" t="s">
        <v>8723</v>
      </c>
      <c r="D3004" t="s">
        <v>23</v>
      </c>
      <c r="E3004" t="s">
        <v>16</v>
      </c>
      <c r="F3004" t="s">
        <v>29</v>
      </c>
      <c r="G3004" t="s">
        <v>50</v>
      </c>
      <c r="H3004" t="s">
        <v>19</v>
      </c>
      <c r="I3004">
        <v>5</v>
      </c>
      <c r="J3004">
        <v>24</v>
      </c>
      <c r="K3004">
        <v>3.91</v>
      </c>
      <c r="L3004">
        <v>1</v>
      </c>
    </row>
    <row r="3005" spans="1:12">
      <c r="A3005" t="s">
        <v>8724</v>
      </c>
      <c r="B3005" t="s">
        <v>8725</v>
      </c>
      <c r="C3005" t="s">
        <v>8726</v>
      </c>
      <c r="D3005" t="s">
        <v>15</v>
      </c>
      <c r="E3005" t="s">
        <v>28</v>
      </c>
      <c r="F3005" t="s">
        <v>36</v>
      </c>
      <c r="G3005" t="s">
        <v>37</v>
      </c>
      <c r="H3005" t="s">
        <v>19</v>
      </c>
      <c r="I3005">
        <v>3</v>
      </c>
      <c r="J3005">
        <v>8</v>
      </c>
      <c r="K3005">
        <v>7.11</v>
      </c>
      <c r="L3005">
        <v>1</v>
      </c>
    </row>
    <row r="3006" spans="1:12">
      <c r="A3006" t="s">
        <v>8727</v>
      </c>
      <c r="B3006" t="s">
        <v>8728</v>
      </c>
      <c r="C3006" t="s">
        <v>8729</v>
      </c>
      <c r="D3006" t="s">
        <v>35</v>
      </c>
      <c r="E3006" t="s">
        <v>54</v>
      </c>
      <c r="F3006" t="s">
        <v>17</v>
      </c>
      <c r="G3006" t="s">
        <v>172</v>
      </c>
      <c r="H3006" t="s">
        <v>19</v>
      </c>
      <c r="I3006">
        <v>4</v>
      </c>
      <c r="J3006">
        <v>48</v>
      </c>
      <c r="K3006">
        <v>32.71</v>
      </c>
      <c r="L3006">
        <v>1</v>
      </c>
    </row>
    <row r="3007" spans="1:12">
      <c r="A3007" t="s">
        <v>8730</v>
      </c>
      <c r="B3007" t="s">
        <v>8731</v>
      </c>
      <c r="C3007" t="s">
        <v>8732</v>
      </c>
      <c r="D3007" t="s">
        <v>23</v>
      </c>
      <c r="E3007" t="s">
        <v>24</v>
      </c>
      <c r="F3007" t="s">
        <v>17</v>
      </c>
      <c r="G3007" t="s">
        <v>37</v>
      </c>
      <c r="H3007" t="s">
        <v>31</v>
      </c>
      <c r="I3007">
        <v>5</v>
      </c>
      <c r="J3007">
        <v>24</v>
      </c>
      <c r="K3007">
        <v>8.1999999999999993</v>
      </c>
      <c r="L3007">
        <v>1</v>
      </c>
    </row>
    <row r="3008" spans="1:12">
      <c r="A3008" t="s">
        <v>8733</v>
      </c>
      <c r="B3008" t="s">
        <v>8734</v>
      </c>
      <c r="C3008" t="s">
        <v>8735</v>
      </c>
      <c r="D3008" t="s">
        <v>15</v>
      </c>
      <c r="E3008" t="s">
        <v>54</v>
      </c>
      <c r="F3008" t="s">
        <v>36</v>
      </c>
      <c r="G3008" t="s">
        <v>45</v>
      </c>
      <c r="H3008" t="s">
        <v>31</v>
      </c>
      <c r="I3008">
        <v>3</v>
      </c>
      <c r="J3008">
        <v>8</v>
      </c>
      <c r="K3008">
        <v>2.11</v>
      </c>
      <c r="L3008">
        <v>1</v>
      </c>
    </row>
    <row r="3009" spans="1:12">
      <c r="A3009" t="s">
        <v>8736</v>
      </c>
      <c r="B3009" t="s">
        <v>8737</v>
      </c>
      <c r="C3009" t="s">
        <v>8738</v>
      </c>
      <c r="D3009" t="s">
        <v>23</v>
      </c>
      <c r="E3009" t="s">
        <v>28</v>
      </c>
      <c r="F3009" t="s">
        <v>29</v>
      </c>
      <c r="G3009" t="s">
        <v>18</v>
      </c>
      <c r="H3009" t="s">
        <v>31</v>
      </c>
      <c r="I3009">
        <v>4</v>
      </c>
      <c r="J3009">
        <v>24</v>
      </c>
      <c r="K3009">
        <v>20.92</v>
      </c>
      <c r="L3009">
        <v>1</v>
      </c>
    </row>
    <row r="3010" spans="1:12">
      <c r="A3010" t="s">
        <v>8739</v>
      </c>
      <c r="B3010" t="s">
        <v>8740</v>
      </c>
      <c r="C3010" t="s">
        <v>8741</v>
      </c>
      <c r="D3010" t="s">
        <v>23</v>
      </c>
      <c r="E3010" t="s">
        <v>28</v>
      </c>
      <c r="F3010" t="s">
        <v>17</v>
      </c>
      <c r="G3010" t="s">
        <v>45</v>
      </c>
      <c r="H3010" t="s">
        <v>19</v>
      </c>
      <c r="I3010">
        <v>5</v>
      </c>
      <c r="J3010">
        <v>24</v>
      </c>
      <c r="K3010">
        <v>15.18</v>
      </c>
      <c r="L3010">
        <v>1</v>
      </c>
    </row>
    <row r="3011" spans="1:12">
      <c r="A3011" t="s">
        <v>8742</v>
      </c>
      <c r="B3011" t="s">
        <v>8743</v>
      </c>
      <c r="C3011" t="s">
        <v>8744</v>
      </c>
      <c r="D3011" t="s">
        <v>23</v>
      </c>
      <c r="E3011" t="s">
        <v>24</v>
      </c>
      <c r="F3011" t="s">
        <v>41</v>
      </c>
      <c r="G3011" t="s">
        <v>77</v>
      </c>
      <c r="H3011" t="s">
        <v>31</v>
      </c>
      <c r="I3011">
        <v>4</v>
      </c>
      <c r="J3011">
        <v>24</v>
      </c>
      <c r="K3011">
        <v>15.85</v>
      </c>
      <c r="L3011">
        <v>1</v>
      </c>
    </row>
    <row r="3012" spans="1:12">
      <c r="A3012" t="s">
        <v>8745</v>
      </c>
      <c r="B3012" t="s">
        <v>8746</v>
      </c>
      <c r="C3012" t="s">
        <v>8747</v>
      </c>
      <c r="D3012" t="s">
        <v>23</v>
      </c>
      <c r="E3012" t="s">
        <v>28</v>
      </c>
      <c r="F3012" t="s">
        <v>36</v>
      </c>
      <c r="G3012" t="s">
        <v>172</v>
      </c>
      <c r="H3012" t="s">
        <v>31</v>
      </c>
      <c r="I3012">
        <v>1</v>
      </c>
      <c r="J3012">
        <v>24</v>
      </c>
      <c r="K3012">
        <v>31.73</v>
      </c>
      <c r="L3012">
        <v>0</v>
      </c>
    </row>
    <row r="3013" spans="1:12">
      <c r="A3013" t="s">
        <v>8748</v>
      </c>
      <c r="B3013" t="s">
        <v>8749</v>
      </c>
      <c r="C3013" t="s">
        <v>8750</v>
      </c>
      <c r="D3013" t="s">
        <v>15</v>
      </c>
      <c r="E3013" t="s">
        <v>16</v>
      </c>
      <c r="F3013" t="s">
        <v>41</v>
      </c>
      <c r="G3013" t="s">
        <v>172</v>
      </c>
      <c r="H3013" t="s">
        <v>19</v>
      </c>
      <c r="I3013">
        <v>4</v>
      </c>
      <c r="J3013">
        <v>8</v>
      </c>
      <c r="K3013">
        <v>2.79</v>
      </c>
      <c r="L3013">
        <v>1</v>
      </c>
    </row>
    <row r="3014" spans="1:12">
      <c r="A3014" t="s">
        <v>8751</v>
      </c>
      <c r="B3014" t="s">
        <v>8752</v>
      </c>
      <c r="C3014" t="s">
        <v>8753</v>
      </c>
      <c r="D3014" t="s">
        <v>23</v>
      </c>
      <c r="E3014" t="s">
        <v>28</v>
      </c>
      <c r="F3014" t="s">
        <v>29</v>
      </c>
      <c r="G3014" t="s">
        <v>42</v>
      </c>
      <c r="H3014" t="s">
        <v>31</v>
      </c>
      <c r="I3014">
        <v>4</v>
      </c>
      <c r="J3014">
        <v>24</v>
      </c>
      <c r="K3014">
        <v>22.67</v>
      </c>
      <c r="L3014">
        <v>1</v>
      </c>
    </row>
    <row r="3015" spans="1:12">
      <c r="A3015" t="s">
        <v>8754</v>
      </c>
      <c r="B3015" t="s">
        <v>8755</v>
      </c>
      <c r="D3015" t="s">
        <v>15</v>
      </c>
      <c r="E3015" t="s">
        <v>16</v>
      </c>
      <c r="F3015" t="s">
        <v>17</v>
      </c>
      <c r="G3015" t="s">
        <v>50</v>
      </c>
      <c r="H3015" t="s">
        <v>63</v>
      </c>
      <c r="J3015">
        <v>8</v>
      </c>
    </row>
    <row r="3016" spans="1:12">
      <c r="A3016" t="s">
        <v>8756</v>
      </c>
      <c r="B3016" t="s">
        <v>8757</v>
      </c>
      <c r="C3016" t="s">
        <v>8758</v>
      </c>
      <c r="D3016" t="s">
        <v>23</v>
      </c>
      <c r="E3016" t="s">
        <v>28</v>
      </c>
      <c r="F3016" t="s">
        <v>41</v>
      </c>
      <c r="G3016" t="s">
        <v>55</v>
      </c>
      <c r="H3016" t="s">
        <v>19</v>
      </c>
      <c r="I3016">
        <v>5</v>
      </c>
      <c r="J3016">
        <v>24</v>
      </c>
      <c r="K3016">
        <v>13.19</v>
      </c>
      <c r="L3016">
        <v>1</v>
      </c>
    </row>
    <row r="3017" spans="1:12">
      <c r="A3017" t="s">
        <v>8759</v>
      </c>
      <c r="B3017" t="s">
        <v>8760</v>
      </c>
      <c r="C3017" t="s">
        <v>8761</v>
      </c>
      <c r="D3017" t="s">
        <v>23</v>
      </c>
      <c r="E3017" t="s">
        <v>24</v>
      </c>
      <c r="F3017" t="s">
        <v>60</v>
      </c>
      <c r="G3017" t="s">
        <v>45</v>
      </c>
      <c r="H3017" t="s">
        <v>31</v>
      </c>
      <c r="I3017">
        <v>2</v>
      </c>
      <c r="J3017">
        <v>24</v>
      </c>
      <c r="K3017">
        <v>26.21</v>
      </c>
      <c r="L3017">
        <v>0</v>
      </c>
    </row>
    <row r="3018" spans="1:12">
      <c r="A3018" t="s">
        <v>8762</v>
      </c>
      <c r="B3018" t="s">
        <v>8763</v>
      </c>
      <c r="D3018" t="s">
        <v>15</v>
      </c>
      <c r="E3018" t="s">
        <v>59</v>
      </c>
      <c r="F3018" t="s">
        <v>60</v>
      </c>
      <c r="G3018" t="s">
        <v>73</v>
      </c>
      <c r="H3018" t="s">
        <v>46</v>
      </c>
      <c r="J3018">
        <v>8</v>
      </c>
    </row>
    <row r="3019" spans="1:12">
      <c r="A3019" t="s">
        <v>8764</v>
      </c>
      <c r="B3019" t="s">
        <v>8765</v>
      </c>
      <c r="C3019" t="s">
        <v>8766</v>
      </c>
      <c r="D3019" t="s">
        <v>15</v>
      </c>
      <c r="E3019" t="s">
        <v>28</v>
      </c>
      <c r="F3019" t="s">
        <v>29</v>
      </c>
      <c r="G3019" t="s">
        <v>42</v>
      </c>
      <c r="H3019" t="s">
        <v>19</v>
      </c>
      <c r="I3019">
        <v>5</v>
      </c>
      <c r="J3019">
        <v>8</v>
      </c>
      <c r="K3019">
        <v>6.69</v>
      </c>
      <c r="L3019">
        <v>1</v>
      </c>
    </row>
    <row r="3020" spans="1:12">
      <c r="A3020" t="s">
        <v>8767</v>
      </c>
      <c r="B3020" t="s">
        <v>8768</v>
      </c>
      <c r="C3020" t="s">
        <v>8769</v>
      </c>
      <c r="D3020" t="s">
        <v>23</v>
      </c>
      <c r="E3020" t="s">
        <v>28</v>
      </c>
      <c r="F3020" t="s">
        <v>41</v>
      </c>
      <c r="G3020" t="s">
        <v>73</v>
      </c>
      <c r="H3020" t="s">
        <v>31</v>
      </c>
      <c r="I3020">
        <v>3</v>
      </c>
      <c r="J3020">
        <v>24</v>
      </c>
      <c r="K3020">
        <v>8.92</v>
      </c>
      <c r="L3020">
        <v>1</v>
      </c>
    </row>
    <row r="3021" spans="1:12">
      <c r="A3021" t="s">
        <v>8770</v>
      </c>
      <c r="B3021" t="s">
        <v>8771</v>
      </c>
      <c r="C3021" t="s">
        <v>8772</v>
      </c>
      <c r="D3021" t="s">
        <v>23</v>
      </c>
      <c r="E3021" t="s">
        <v>28</v>
      </c>
      <c r="F3021" t="s">
        <v>29</v>
      </c>
      <c r="G3021" t="s">
        <v>73</v>
      </c>
      <c r="H3021" t="s">
        <v>19</v>
      </c>
      <c r="I3021">
        <v>5</v>
      </c>
      <c r="J3021">
        <v>24</v>
      </c>
      <c r="K3021">
        <v>8.5399999999999991</v>
      </c>
      <c r="L3021">
        <v>1</v>
      </c>
    </row>
    <row r="3022" spans="1:12">
      <c r="A3022" t="s">
        <v>8773</v>
      </c>
      <c r="B3022" t="s">
        <v>8774</v>
      </c>
      <c r="C3022" t="s">
        <v>8775</v>
      </c>
      <c r="D3022" t="s">
        <v>23</v>
      </c>
      <c r="E3022" t="s">
        <v>24</v>
      </c>
      <c r="F3022" t="s">
        <v>17</v>
      </c>
      <c r="G3022" t="s">
        <v>18</v>
      </c>
      <c r="H3022" t="s">
        <v>19</v>
      </c>
      <c r="I3022">
        <v>5</v>
      </c>
      <c r="J3022">
        <v>24</v>
      </c>
      <c r="K3022">
        <v>13.62</v>
      </c>
      <c r="L3022">
        <v>1</v>
      </c>
    </row>
    <row r="3023" spans="1:12">
      <c r="A3023" t="s">
        <v>8776</v>
      </c>
      <c r="B3023" t="s">
        <v>8777</v>
      </c>
      <c r="D3023" t="s">
        <v>35</v>
      </c>
      <c r="E3023" t="s">
        <v>16</v>
      </c>
      <c r="F3023" t="s">
        <v>36</v>
      </c>
      <c r="G3023" t="s">
        <v>45</v>
      </c>
      <c r="H3023" t="s">
        <v>63</v>
      </c>
      <c r="J3023">
        <v>48</v>
      </c>
    </row>
    <row r="3024" spans="1:12">
      <c r="A3024" t="s">
        <v>8778</v>
      </c>
      <c r="B3024" t="s">
        <v>8779</v>
      </c>
      <c r="C3024" t="s">
        <v>8780</v>
      </c>
      <c r="D3024" t="s">
        <v>23</v>
      </c>
      <c r="E3024" t="s">
        <v>28</v>
      </c>
      <c r="F3024" t="s">
        <v>17</v>
      </c>
      <c r="G3024" t="s">
        <v>172</v>
      </c>
      <c r="H3024" t="s">
        <v>19</v>
      </c>
      <c r="I3024">
        <v>3</v>
      </c>
      <c r="J3024">
        <v>24</v>
      </c>
      <c r="K3024">
        <v>16.64</v>
      </c>
      <c r="L3024">
        <v>1</v>
      </c>
    </row>
    <row r="3025" spans="1:12">
      <c r="A3025" t="s">
        <v>8781</v>
      </c>
      <c r="B3025" t="s">
        <v>8782</v>
      </c>
      <c r="C3025" t="s">
        <v>8783</v>
      </c>
      <c r="D3025" t="s">
        <v>15</v>
      </c>
      <c r="E3025" t="s">
        <v>54</v>
      </c>
      <c r="F3025" t="s">
        <v>60</v>
      </c>
      <c r="G3025" t="s">
        <v>73</v>
      </c>
      <c r="H3025" t="s">
        <v>19</v>
      </c>
      <c r="I3025">
        <v>5</v>
      </c>
      <c r="J3025">
        <v>8</v>
      </c>
      <c r="K3025">
        <v>5.43</v>
      </c>
      <c r="L3025">
        <v>1</v>
      </c>
    </row>
    <row r="3026" spans="1:12">
      <c r="A3026" t="s">
        <v>8784</v>
      </c>
      <c r="B3026" t="s">
        <v>8785</v>
      </c>
      <c r="C3026" t="s">
        <v>8786</v>
      </c>
      <c r="D3026" t="s">
        <v>23</v>
      </c>
      <c r="E3026" t="s">
        <v>28</v>
      </c>
      <c r="F3026" t="s">
        <v>17</v>
      </c>
      <c r="G3026" t="s">
        <v>105</v>
      </c>
      <c r="H3026" t="s">
        <v>19</v>
      </c>
      <c r="I3026">
        <v>4</v>
      </c>
      <c r="J3026">
        <v>24</v>
      </c>
      <c r="K3026">
        <v>16.739999999999998</v>
      </c>
      <c r="L3026">
        <v>1</v>
      </c>
    </row>
    <row r="3027" spans="1:12">
      <c r="A3027" t="s">
        <v>8787</v>
      </c>
      <c r="B3027" t="s">
        <v>8788</v>
      </c>
      <c r="C3027" t="s">
        <v>8789</v>
      </c>
      <c r="D3027" t="s">
        <v>35</v>
      </c>
      <c r="E3027" t="s">
        <v>28</v>
      </c>
      <c r="F3027" t="s">
        <v>41</v>
      </c>
      <c r="G3027" t="s">
        <v>30</v>
      </c>
      <c r="H3027" t="s">
        <v>19</v>
      </c>
      <c r="I3027">
        <v>4</v>
      </c>
      <c r="J3027">
        <v>48</v>
      </c>
      <c r="K3027">
        <v>13.76</v>
      </c>
      <c r="L3027">
        <v>1</v>
      </c>
    </row>
    <row r="3028" spans="1:12">
      <c r="A3028" t="s">
        <v>8790</v>
      </c>
      <c r="B3028" t="s">
        <v>8791</v>
      </c>
      <c r="C3028" t="s">
        <v>8792</v>
      </c>
      <c r="D3028" t="s">
        <v>23</v>
      </c>
      <c r="E3028" t="s">
        <v>16</v>
      </c>
      <c r="F3028" t="s">
        <v>41</v>
      </c>
      <c r="G3028" t="s">
        <v>18</v>
      </c>
      <c r="H3028" t="s">
        <v>19</v>
      </c>
      <c r="I3028">
        <v>5</v>
      </c>
      <c r="J3028">
        <v>24</v>
      </c>
      <c r="K3028">
        <v>5.22</v>
      </c>
      <c r="L3028">
        <v>1</v>
      </c>
    </row>
    <row r="3029" spans="1:12">
      <c r="A3029" t="s">
        <v>8793</v>
      </c>
      <c r="B3029" t="s">
        <v>8794</v>
      </c>
      <c r="C3029" t="s">
        <v>8795</v>
      </c>
      <c r="D3029" t="s">
        <v>158</v>
      </c>
      <c r="E3029" t="s">
        <v>59</v>
      </c>
      <c r="F3029" t="s">
        <v>36</v>
      </c>
      <c r="G3029" t="s">
        <v>105</v>
      </c>
      <c r="H3029" t="s">
        <v>31</v>
      </c>
      <c r="I3029">
        <v>4</v>
      </c>
      <c r="J3029">
        <v>4</v>
      </c>
      <c r="K3029">
        <v>3.52</v>
      </c>
      <c r="L3029">
        <v>1</v>
      </c>
    </row>
    <row r="3030" spans="1:12">
      <c r="A3030" t="s">
        <v>8796</v>
      </c>
      <c r="B3030" t="s">
        <v>8797</v>
      </c>
      <c r="C3030" t="s">
        <v>8798</v>
      </c>
      <c r="D3030" t="s">
        <v>15</v>
      </c>
      <c r="E3030" t="s">
        <v>59</v>
      </c>
      <c r="F3030" t="s">
        <v>60</v>
      </c>
      <c r="G3030" t="s">
        <v>18</v>
      </c>
      <c r="H3030" t="s">
        <v>19</v>
      </c>
      <c r="I3030">
        <v>4</v>
      </c>
      <c r="J3030">
        <v>8</v>
      </c>
      <c r="K3030">
        <v>3.68</v>
      </c>
      <c r="L3030">
        <v>1</v>
      </c>
    </row>
    <row r="3031" spans="1:12">
      <c r="A3031" t="s">
        <v>8799</v>
      </c>
      <c r="B3031" t="s">
        <v>8800</v>
      </c>
      <c r="D3031" t="s">
        <v>23</v>
      </c>
      <c r="E3031" t="s">
        <v>59</v>
      </c>
      <c r="F3031" t="s">
        <v>60</v>
      </c>
      <c r="G3031" t="s">
        <v>73</v>
      </c>
      <c r="H3031" t="s">
        <v>63</v>
      </c>
      <c r="J3031">
        <v>24</v>
      </c>
    </row>
    <row r="3032" spans="1:12">
      <c r="A3032" t="s">
        <v>8801</v>
      </c>
      <c r="B3032" t="s">
        <v>8802</v>
      </c>
      <c r="C3032" t="s">
        <v>8803</v>
      </c>
      <c r="D3032" t="s">
        <v>23</v>
      </c>
      <c r="E3032" t="s">
        <v>28</v>
      </c>
      <c r="F3032" t="s">
        <v>36</v>
      </c>
      <c r="G3032" t="s">
        <v>105</v>
      </c>
      <c r="H3032" t="s">
        <v>19</v>
      </c>
      <c r="I3032">
        <v>5</v>
      </c>
      <c r="J3032">
        <v>24</v>
      </c>
      <c r="K3032">
        <v>9.25</v>
      </c>
      <c r="L3032">
        <v>1</v>
      </c>
    </row>
    <row r="3033" spans="1:12">
      <c r="A3033" t="s">
        <v>8804</v>
      </c>
      <c r="B3033" t="s">
        <v>8805</v>
      </c>
      <c r="C3033" t="s">
        <v>8806</v>
      </c>
      <c r="D3033" t="s">
        <v>35</v>
      </c>
      <c r="E3033" t="s">
        <v>16</v>
      </c>
      <c r="F3033" t="s">
        <v>60</v>
      </c>
      <c r="G3033" t="s">
        <v>73</v>
      </c>
      <c r="H3033" t="s">
        <v>19</v>
      </c>
      <c r="I3033">
        <v>1</v>
      </c>
      <c r="J3033">
        <v>48</v>
      </c>
      <c r="K3033">
        <v>136.25</v>
      </c>
      <c r="L3033">
        <v>0</v>
      </c>
    </row>
    <row r="3034" spans="1:12">
      <c r="A3034" t="s">
        <v>8807</v>
      </c>
      <c r="B3034" t="s">
        <v>8808</v>
      </c>
      <c r="C3034" t="s">
        <v>8809</v>
      </c>
      <c r="D3034" t="s">
        <v>35</v>
      </c>
      <c r="E3034" t="s">
        <v>24</v>
      </c>
      <c r="F3034" t="s">
        <v>17</v>
      </c>
      <c r="G3034" t="s">
        <v>73</v>
      </c>
      <c r="H3034" t="s">
        <v>19</v>
      </c>
      <c r="I3034">
        <v>5</v>
      </c>
      <c r="J3034">
        <v>48</v>
      </c>
      <c r="K3034">
        <v>40.18</v>
      </c>
      <c r="L3034">
        <v>1</v>
      </c>
    </row>
    <row r="3035" spans="1:12">
      <c r="A3035" t="s">
        <v>8810</v>
      </c>
      <c r="B3035" t="s">
        <v>8811</v>
      </c>
      <c r="D3035" t="s">
        <v>15</v>
      </c>
      <c r="E3035" t="s">
        <v>24</v>
      </c>
      <c r="F3035" t="s">
        <v>36</v>
      </c>
      <c r="G3035" t="s">
        <v>42</v>
      </c>
      <c r="H3035" t="s">
        <v>63</v>
      </c>
      <c r="J3035">
        <v>8</v>
      </c>
    </row>
    <row r="3036" spans="1:12">
      <c r="A3036" t="s">
        <v>8812</v>
      </c>
      <c r="B3036" t="s">
        <v>8813</v>
      </c>
      <c r="C3036" t="s">
        <v>8814</v>
      </c>
      <c r="D3036" t="s">
        <v>35</v>
      </c>
      <c r="E3036" t="s">
        <v>16</v>
      </c>
      <c r="F3036" t="s">
        <v>36</v>
      </c>
      <c r="G3036" t="s">
        <v>77</v>
      </c>
      <c r="H3036" t="s">
        <v>31</v>
      </c>
      <c r="I3036">
        <v>5</v>
      </c>
      <c r="J3036">
        <v>48</v>
      </c>
      <c r="K3036">
        <v>26.18</v>
      </c>
      <c r="L3036">
        <v>1</v>
      </c>
    </row>
    <row r="3037" spans="1:12">
      <c r="A3037" t="s">
        <v>8815</v>
      </c>
      <c r="B3037" t="s">
        <v>8816</v>
      </c>
      <c r="C3037" t="s">
        <v>8817</v>
      </c>
      <c r="D3037" t="s">
        <v>23</v>
      </c>
      <c r="E3037" t="s">
        <v>16</v>
      </c>
      <c r="F3037" t="s">
        <v>29</v>
      </c>
      <c r="G3037" t="s">
        <v>45</v>
      </c>
      <c r="H3037" t="s">
        <v>31</v>
      </c>
      <c r="I3037">
        <v>4</v>
      </c>
      <c r="J3037">
        <v>24</v>
      </c>
      <c r="K3037">
        <v>3.65</v>
      </c>
      <c r="L3037">
        <v>1</v>
      </c>
    </row>
    <row r="3038" spans="1:12">
      <c r="A3038" t="s">
        <v>8818</v>
      </c>
      <c r="B3038" t="s">
        <v>8819</v>
      </c>
      <c r="C3038" t="s">
        <v>8820</v>
      </c>
      <c r="D3038" t="s">
        <v>23</v>
      </c>
      <c r="E3038" t="s">
        <v>59</v>
      </c>
      <c r="F3038" t="s">
        <v>29</v>
      </c>
      <c r="G3038" t="s">
        <v>42</v>
      </c>
      <c r="H3038" t="s">
        <v>31</v>
      </c>
      <c r="I3038">
        <v>2</v>
      </c>
      <c r="J3038">
        <v>24</v>
      </c>
      <c r="K3038">
        <v>34.14</v>
      </c>
      <c r="L3038">
        <v>0</v>
      </c>
    </row>
    <row r="3039" spans="1:12">
      <c r="A3039" t="s">
        <v>8821</v>
      </c>
      <c r="B3039" t="s">
        <v>8822</v>
      </c>
      <c r="C3039" t="s">
        <v>8823</v>
      </c>
      <c r="D3039" t="s">
        <v>15</v>
      </c>
      <c r="E3039" t="s">
        <v>54</v>
      </c>
      <c r="F3039" t="s">
        <v>41</v>
      </c>
      <c r="G3039" t="s">
        <v>45</v>
      </c>
      <c r="H3039" t="s">
        <v>19</v>
      </c>
      <c r="I3039">
        <v>3</v>
      </c>
      <c r="J3039">
        <v>8</v>
      </c>
      <c r="K3039">
        <v>1.1399999999999999</v>
      </c>
      <c r="L3039">
        <v>1</v>
      </c>
    </row>
    <row r="3040" spans="1:12">
      <c r="A3040" t="s">
        <v>8824</v>
      </c>
      <c r="B3040" t="s">
        <v>8825</v>
      </c>
      <c r="C3040" t="s">
        <v>8826</v>
      </c>
      <c r="D3040" t="s">
        <v>158</v>
      </c>
      <c r="E3040" t="s">
        <v>59</v>
      </c>
      <c r="F3040" t="s">
        <v>60</v>
      </c>
      <c r="G3040" t="s">
        <v>172</v>
      </c>
      <c r="H3040" t="s">
        <v>19</v>
      </c>
      <c r="I3040">
        <v>5</v>
      </c>
      <c r="J3040">
        <v>4</v>
      </c>
      <c r="K3040">
        <v>2.06</v>
      </c>
      <c r="L3040">
        <v>1</v>
      </c>
    </row>
    <row r="3041" spans="1:12">
      <c r="A3041" t="s">
        <v>8827</v>
      </c>
      <c r="B3041" t="s">
        <v>8828</v>
      </c>
      <c r="C3041" t="s">
        <v>8829</v>
      </c>
      <c r="D3041" t="s">
        <v>15</v>
      </c>
      <c r="E3041" t="s">
        <v>59</v>
      </c>
      <c r="F3041" t="s">
        <v>60</v>
      </c>
      <c r="G3041" t="s">
        <v>30</v>
      </c>
      <c r="H3041" t="s">
        <v>19</v>
      </c>
      <c r="I3041">
        <v>4</v>
      </c>
      <c r="J3041">
        <v>8</v>
      </c>
      <c r="K3041">
        <v>7</v>
      </c>
      <c r="L3041">
        <v>1</v>
      </c>
    </row>
    <row r="3042" spans="1:12">
      <c r="A3042" t="s">
        <v>8830</v>
      </c>
      <c r="B3042" t="s">
        <v>8831</v>
      </c>
      <c r="C3042" t="s">
        <v>8832</v>
      </c>
      <c r="D3042" t="s">
        <v>23</v>
      </c>
      <c r="E3042" t="s">
        <v>54</v>
      </c>
      <c r="F3042" t="s">
        <v>17</v>
      </c>
      <c r="G3042" t="s">
        <v>50</v>
      </c>
      <c r="H3042" t="s">
        <v>31</v>
      </c>
      <c r="I3042">
        <v>5</v>
      </c>
      <c r="J3042">
        <v>24</v>
      </c>
      <c r="K3042">
        <v>4.58</v>
      </c>
      <c r="L3042">
        <v>1</v>
      </c>
    </row>
    <row r="3043" spans="1:12">
      <c r="A3043" t="s">
        <v>8833</v>
      </c>
      <c r="B3043" t="s">
        <v>8834</v>
      </c>
      <c r="C3043" t="s">
        <v>8835</v>
      </c>
      <c r="D3043" t="s">
        <v>23</v>
      </c>
      <c r="E3043" t="s">
        <v>16</v>
      </c>
      <c r="F3043" t="s">
        <v>41</v>
      </c>
      <c r="G3043" t="s">
        <v>42</v>
      </c>
      <c r="H3043" t="s">
        <v>19</v>
      </c>
      <c r="I3043">
        <v>4</v>
      </c>
      <c r="J3043">
        <v>24</v>
      </c>
      <c r="K3043">
        <v>19.260000000000002</v>
      </c>
      <c r="L3043">
        <v>1</v>
      </c>
    </row>
    <row r="3044" spans="1:12">
      <c r="A3044" t="s">
        <v>8836</v>
      </c>
      <c r="B3044" t="s">
        <v>8837</v>
      </c>
      <c r="C3044" t="s">
        <v>8838</v>
      </c>
      <c r="D3044" t="s">
        <v>23</v>
      </c>
      <c r="E3044" t="s">
        <v>16</v>
      </c>
      <c r="F3044" t="s">
        <v>17</v>
      </c>
      <c r="G3044" t="s">
        <v>151</v>
      </c>
      <c r="H3044" t="s">
        <v>19</v>
      </c>
      <c r="I3044">
        <v>3</v>
      </c>
      <c r="J3044">
        <v>24</v>
      </c>
      <c r="K3044">
        <v>12.12</v>
      </c>
      <c r="L3044">
        <v>1</v>
      </c>
    </row>
    <row r="3045" spans="1:12">
      <c r="A3045" t="s">
        <v>8839</v>
      </c>
      <c r="B3045" t="s">
        <v>8840</v>
      </c>
      <c r="C3045" t="s">
        <v>8841</v>
      </c>
      <c r="D3045" t="s">
        <v>35</v>
      </c>
      <c r="E3045" t="s">
        <v>28</v>
      </c>
      <c r="F3045" t="s">
        <v>60</v>
      </c>
      <c r="G3045" t="s">
        <v>18</v>
      </c>
      <c r="H3045" t="s">
        <v>19</v>
      </c>
      <c r="I3045">
        <v>3</v>
      </c>
      <c r="J3045">
        <v>48</v>
      </c>
      <c r="K3045">
        <v>31.06</v>
      </c>
      <c r="L3045">
        <v>1</v>
      </c>
    </row>
    <row r="3046" spans="1:12">
      <c r="A3046" t="s">
        <v>8842</v>
      </c>
      <c r="B3046" t="s">
        <v>8843</v>
      </c>
      <c r="C3046" t="s">
        <v>8844</v>
      </c>
      <c r="D3046" t="s">
        <v>23</v>
      </c>
      <c r="E3046" t="s">
        <v>24</v>
      </c>
      <c r="F3046" t="s">
        <v>17</v>
      </c>
      <c r="G3046" t="s">
        <v>77</v>
      </c>
      <c r="H3046" t="s">
        <v>19</v>
      </c>
      <c r="I3046">
        <v>4</v>
      </c>
      <c r="J3046">
        <v>24</v>
      </c>
      <c r="K3046">
        <v>7.28</v>
      </c>
      <c r="L3046">
        <v>1</v>
      </c>
    </row>
    <row r="3047" spans="1:12">
      <c r="A3047" t="s">
        <v>8845</v>
      </c>
      <c r="B3047" t="s">
        <v>8846</v>
      </c>
      <c r="C3047" t="s">
        <v>8847</v>
      </c>
      <c r="D3047" t="s">
        <v>23</v>
      </c>
      <c r="E3047" t="s">
        <v>16</v>
      </c>
      <c r="F3047" t="s">
        <v>17</v>
      </c>
      <c r="G3047" t="s">
        <v>45</v>
      </c>
      <c r="H3047" t="s">
        <v>19</v>
      </c>
      <c r="I3047">
        <v>4</v>
      </c>
      <c r="J3047">
        <v>24</v>
      </c>
      <c r="K3047">
        <v>5.3</v>
      </c>
      <c r="L3047">
        <v>1</v>
      </c>
    </row>
    <row r="3048" spans="1:12">
      <c r="A3048" t="s">
        <v>8848</v>
      </c>
      <c r="B3048" t="s">
        <v>8849</v>
      </c>
      <c r="C3048" t="s">
        <v>8850</v>
      </c>
      <c r="D3048" t="s">
        <v>23</v>
      </c>
      <c r="E3048" t="s">
        <v>28</v>
      </c>
      <c r="F3048" t="s">
        <v>36</v>
      </c>
      <c r="G3048" t="s">
        <v>42</v>
      </c>
      <c r="H3048" t="s">
        <v>31</v>
      </c>
      <c r="I3048">
        <v>4</v>
      </c>
      <c r="J3048">
        <v>24</v>
      </c>
      <c r="K3048">
        <v>7.86</v>
      </c>
      <c r="L3048">
        <v>1</v>
      </c>
    </row>
    <row r="3049" spans="1:12">
      <c r="A3049" t="s">
        <v>8851</v>
      </c>
      <c r="B3049" t="s">
        <v>8852</v>
      </c>
      <c r="C3049" t="s">
        <v>8853</v>
      </c>
      <c r="D3049" t="s">
        <v>23</v>
      </c>
      <c r="E3049" t="s">
        <v>16</v>
      </c>
      <c r="F3049" t="s">
        <v>36</v>
      </c>
      <c r="G3049" t="s">
        <v>18</v>
      </c>
      <c r="H3049" t="s">
        <v>19</v>
      </c>
      <c r="I3049">
        <v>4</v>
      </c>
      <c r="J3049">
        <v>24</v>
      </c>
      <c r="K3049">
        <v>9.36</v>
      </c>
      <c r="L3049">
        <v>1</v>
      </c>
    </row>
    <row r="3050" spans="1:12">
      <c r="A3050" t="s">
        <v>8854</v>
      </c>
      <c r="B3050" t="s">
        <v>8855</v>
      </c>
      <c r="C3050" t="s">
        <v>8856</v>
      </c>
      <c r="D3050" t="s">
        <v>23</v>
      </c>
      <c r="E3050" t="s">
        <v>28</v>
      </c>
      <c r="F3050" t="s">
        <v>41</v>
      </c>
      <c r="G3050" t="s">
        <v>37</v>
      </c>
      <c r="H3050" t="s">
        <v>31</v>
      </c>
      <c r="I3050">
        <v>4</v>
      </c>
      <c r="J3050">
        <v>24</v>
      </c>
      <c r="K3050">
        <v>6.93</v>
      </c>
      <c r="L3050">
        <v>1</v>
      </c>
    </row>
    <row r="3051" spans="1:12">
      <c r="A3051" t="s">
        <v>8857</v>
      </c>
      <c r="B3051" t="s">
        <v>8858</v>
      </c>
      <c r="C3051" t="s">
        <v>8859</v>
      </c>
      <c r="D3051" t="s">
        <v>23</v>
      </c>
      <c r="E3051" t="s">
        <v>54</v>
      </c>
      <c r="F3051" t="s">
        <v>36</v>
      </c>
      <c r="G3051" t="s">
        <v>73</v>
      </c>
      <c r="H3051" t="s">
        <v>19</v>
      </c>
      <c r="I3051">
        <v>1</v>
      </c>
      <c r="J3051">
        <v>24</v>
      </c>
      <c r="K3051">
        <v>18</v>
      </c>
      <c r="L3051">
        <v>1</v>
      </c>
    </row>
    <row r="3052" spans="1:12">
      <c r="A3052" t="s">
        <v>8860</v>
      </c>
      <c r="B3052" t="s">
        <v>8861</v>
      </c>
      <c r="C3052" t="s">
        <v>8862</v>
      </c>
      <c r="D3052" t="s">
        <v>35</v>
      </c>
      <c r="E3052" t="s">
        <v>24</v>
      </c>
      <c r="F3052" t="s">
        <v>60</v>
      </c>
      <c r="G3052" t="s">
        <v>50</v>
      </c>
      <c r="H3052" t="s">
        <v>31</v>
      </c>
      <c r="I3052">
        <v>4</v>
      </c>
      <c r="J3052">
        <v>48</v>
      </c>
      <c r="K3052">
        <v>51.12</v>
      </c>
      <c r="L3052">
        <v>0</v>
      </c>
    </row>
    <row r="3053" spans="1:12">
      <c r="A3053" t="s">
        <v>8863</v>
      </c>
      <c r="B3053" t="s">
        <v>8864</v>
      </c>
      <c r="C3053" t="s">
        <v>8865</v>
      </c>
      <c r="D3053" t="s">
        <v>23</v>
      </c>
      <c r="E3053" t="s">
        <v>16</v>
      </c>
      <c r="F3053" t="s">
        <v>36</v>
      </c>
      <c r="G3053" t="s">
        <v>151</v>
      </c>
      <c r="H3053" t="s">
        <v>19</v>
      </c>
      <c r="I3053">
        <v>3</v>
      </c>
      <c r="J3053">
        <v>24</v>
      </c>
      <c r="K3053">
        <v>51.2</v>
      </c>
      <c r="L3053">
        <v>0</v>
      </c>
    </row>
    <row r="3054" spans="1:12">
      <c r="A3054" t="s">
        <v>8866</v>
      </c>
      <c r="B3054" t="s">
        <v>8867</v>
      </c>
      <c r="D3054" t="s">
        <v>35</v>
      </c>
      <c r="E3054" t="s">
        <v>16</v>
      </c>
      <c r="F3054" t="s">
        <v>41</v>
      </c>
      <c r="G3054" t="s">
        <v>50</v>
      </c>
      <c r="H3054" t="s">
        <v>63</v>
      </c>
      <c r="J3054">
        <v>48</v>
      </c>
    </row>
    <row r="3055" spans="1:12">
      <c r="A3055" t="s">
        <v>8868</v>
      </c>
      <c r="B3055" t="s">
        <v>8869</v>
      </c>
      <c r="C3055" t="s">
        <v>8870</v>
      </c>
      <c r="D3055" t="s">
        <v>15</v>
      </c>
      <c r="E3055" t="s">
        <v>16</v>
      </c>
      <c r="F3055" t="s">
        <v>60</v>
      </c>
      <c r="G3055" t="s">
        <v>45</v>
      </c>
      <c r="H3055" t="s">
        <v>19</v>
      </c>
      <c r="I3055">
        <v>5</v>
      </c>
      <c r="J3055">
        <v>8</v>
      </c>
      <c r="K3055">
        <v>5.78</v>
      </c>
      <c r="L3055">
        <v>1</v>
      </c>
    </row>
    <row r="3056" spans="1:12">
      <c r="A3056" t="s">
        <v>8871</v>
      </c>
      <c r="B3056" t="s">
        <v>8872</v>
      </c>
      <c r="C3056" t="s">
        <v>8873</v>
      </c>
      <c r="D3056" t="s">
        <v>23</v>
      </c>
      <c r="E3056" t="s">
        <v>24</v>
      </c>
      <c r="F3056" t="s">
        <v>60</v>
      </c>
      <c r="G3056" t="s">
        <v>30</v>
      </c>
      <c r="H3056" t="s">
        <v>19</v>
      </c>
      <c r="I3056">
        <v>1</v>
      </c>
      <c r="J3056">
        <v>24</v>
      </c>
      <c r="K3056">
        <v>32.049999999999997</v>
      </c>
      <c r="L3056">
        <v>0</v>
      </c>
    </row>
    <row r="3057" spans="1:12">
      <c r="A3057" t="s">
        <v>8874</v>
      </c>
      <c r="B3057" t="s">
        <v>8875</v>
      </c>
      <c r="C3057" t="s">
        <v>8876</v>
      </c>
      <c r="D3057" t="s">
        <v>23</v>
      </c>
      <c r="E3057" t="s">
        <v>28</v>
      </c>
      <c r="F3057" t="s">
        <v>17</v>
      </c>
      <c r="G3057" t="s">
        <v>45</v>
      </c>
      <c r="H3057" t="s">
        <v>31</v>
      </c>
      <c r="I3057">
        <v>5</v>
      </c>
      <c r="J3057">
        <v>24</v>
      </c>
      <c r="K3057">
        <v>20.52</v>
      </c>
      <c r="L3057">
        <v>1</v>
      </c>
    </row>
    <row r="3058" spans="1:12">
      <c r="A3058" t="s">
        <v>8877</v>
      </c>
      <c r="B3058" t="s">
        <v>8878</v>
      </c>
      <c r="C3058" t="s">
        <v>8879</v>
      </c>
      <c r="D3058" t="s">
        <v>23</v>
      </c>
      <c r="E3058" t="s">
        <v>28</v>
      </c>
      <c r="F3058" t="s">
        <v>41</v>
      </c>
      <c r="G3058" t="s">
        <v>50</v>
      </c>
      <c r="H3058" t="s">
        <v>19</v>
      </c>
      <c r="I3058">
        <v>5</v>
      </c>
      <c r="J3058">
        <v>24</v>
      </c>
      <c r="K3058">
        <v>21.33</v>
      </c>
      <c r="L3058">
        <v>1</v>
      </c>
    </row>
    <row r="3059" spans="1:12">
      <c r="A3059" t="s">
        <v>8880</v>
      </c>
      <c r="B3059" t="s">
        <v>8881</v>
      </c>
      <c r="C3059" t="s">
        <v>8882</v>
      </c>
      <c r="D3059" t="s">
        <v>35</v>
      </c>
      <c r="E3059" t="s">
        <v>54</v>
      </c>
      <c r="F3059" t="s">
        <v>60</v>
      </c>
      <c r="G3059" t="s">
        <v>151</v>
      </c>
      <c r="H3059" t="s">
        <v>19</v>
      </c>
      <c r="I3059">
        <v>4</v>
      </c>
      <c r="J3059">
        <v>48</v>
      </c>
      <c r="K3059">
        <v>33.76</v>
      </c>
      <c r="L3059">
        <v>1</v>
      </c>
    </row>
    <row r="3060" spans="1:12">
      <c r="A3060" t="s">
        <v>8883</v>
      </c>
      <c r="B3060" t="s">
        <v>8884</v>
      </c>
      <c r="C3060" t="s">
        <v>8885</v>
      </c>
      <c r="D3060" t="s">
        <v>23</v>
      </c>
      <c r="E3060" t="s">
        <v>16</v>
      </c>
      <c r="F3060" t="s">
        <v>41</v>
      </c>
      <c r="G3060" t="s">
        <v>45</v>
      </c>
      <c r="H3060" t="s">
        <v>19</v>
      </c>
      <c r="I3060">
        <v>5</v>
      </c>
      <c r="J3060">
        <v>24</v>
      </c>
      <c r="K3060">
        <v>16.3</v>
      </c>
      <c r="L3060">
        <v>1</v>
      </c>
    </row>
    <row r="3061" spans="1:12">
      <c r="A3061" t="s">
        <v>8886</v>
      </c>
      <c r="B3061" t="s">
        <v>8887</v>
      </c>
      <c r="C3061" t="s">
        <v>8888</v>
      </c>
      <c r="D3061" t="s">
        <v>15</v>
      </c>
      <c r="E3061" t="s">
        <v>16</v>
      </c>
      <c r="F3061" t="s">
        <v>36</v>
      </c>
      <c r="G3061" t="s">
        <v>30</v>
      </c>
      <c r="H3061" t="s">
        <v>31</v>
      </c>
      <c r="I3061">
        <v>5</v>
      </c>
      <c r="J3061">
        <v>8</v>
      </c>
      <c r="K3061">
        <v>1.9</v>
      </c>
      <c r="L3061">
        <v>1</v>
      </c>
    </row>
    <row r="3062" spans="1:12">
      <c r="A3062" t="s">
        <v>8889</v>
      </c>
      <c r="B3062" t="s">
        <v>8890</v>
      </c>
      <c r="C3062" t="s">
        <v>8891</v>
      </c>
      <c r="D3062" t="s">
        <v>35</v>
      </c>
      <c r="E3062" t="s">
        <v>59</v>
      </c>
      <c r="F3062" t="s">
        <v>41</v>
      </c>
      <c r="G3062" t="s">
        <v>151</v>
      </c>
      <c r="H3062" t="s">
        <v>31</v>
      </c>
      <c r="I3062">
        <v>4</v>
      </c>
      <c r="J3062">
        <v>48</v>
      </c>
      <c r="K3062">
        <v>23.52</v>
      </c>
      <c r="L3062">
        <v>1</v>
      </c>
    </row>
    <row r="3063" spans="1:12">
      <c r="A3063" t="s">
        <v>8892</v>
      </c>
      <c r="B3063" t="s">
        <v>8893</v>
      </c>
      <c r="C3063" t="s">
        <v>8894</v>
      </c>
      <c r="D3063" t="s">
        <v>15</v>
      </c>
      <c r="E3063" t="s">
        <v>16</v>
      </c>
      <c r="F3063" t="s">
        <v>60</v>
      </c>
      <c r="G3063" t="s">
        <v>42</v>
      </c>
      <c r="H3063" t="s">
        <v>31</v>
      </c>
      <c r="I3063">
        <v>3</v>
      </c>
      <c r="J3063">
        <v>8</v>
      </c>
      <c r="K3063">
        <v>5.04</v>
      </c>
      <c r="L3063">
        <v>1</v>
      </c>
    </row>
    <row r="3064" spans="1:12">
      <c r="A3064" t="s">
        <v>8895</v>
      </c>
      <c r="B3064" t="s">
        <v>8896</v>
      </c>
      <c r="C3064" t="s">
        <v>8897</v>
      </c>
      <c r="D3064" t="s">
        <v>23</v>
      </c>
      <c r="E3064" t="s">
        <v>28</v>
      </c>
      <c r="F3064" t="s">
        <v>17</v>
      </c>
      <c r="G3064" t="s">
        <v>37</v>
      </c>
      <c r="H3064" t="s">
        <v>19</v>
      </c>
      <c r="I3064">
        <v>5</v>
      </c>
      <c r="J3064">
        <v>24</v>
      </c>
      <c r="K3064">
        <v>12.45</v>
      </c>
      <c r="L3064">
        <v>1</v>
      </c>
    </row>
    <row r="3065" spans="1:12">
      <c r="A3065" t="s">
        <v>8898</v>
      </c>
      <c r="B3065" t="s">
        <v>8899</v>
      </c>
      <c r="C3065" t="s">
        <v>8900</v>
      </c>
      <c r="D3065" t="s">
        <v>158</v>
      </c>
      <c r="E3065" t="s">
        <v>59</v>
      </c>
      <c r="F3065" t="s">
        <v>36</v>
      </c>
      <c r="G3065" t="s">
        <v>105</v>
      </c>
      <c r="H3065" t="s">
        <v>31</v>
      </c>
      <c r="I3065">
        <v>5</v>
      </c>
      <c r="J3065">
        <v>4</v>
      </c>
      <c r="K3065">
        <v>1.75</v>
      </c>
      <c r="L3065">
        <v>1</v>
      </c>
    </row>
    <row r="3066" spans="1:12">
      <c r="A3066" t="s">
        <v>8901</v>
      </c>
      <c r="B3066" t="s">
        <v>8902</v>
      </c>
      <c r="C3066" t="s">
        <v>8903</v>
      </c>
      <c r="D3066" t="s">
        <v>23</v>
      </c>
      <c r="E3066" t="s">
        <v>59</v>
      </c>
      <c r="F3066" t="s">
        <v>36</v>
      </c>
      <c r="G3066" t="s">
        <v>73</v>
      </c>
      <c r="H3066" t="s">
        <v>19</v>
      </c>
      <c r="I3066">
        <v>5</v>
      </c>
      <c r="J3066">
        <v>24</v>
      </c>
      <c r="K3066">
        <v>17.04</v>
      </c>
      <c r="L3066">
        <v>1</v>
      </c>
    </row>
    <row r="3067" spans="1:12">
      <c r="A3067" t="s">
        <v>8904</v>
      </c>
      <c r="B3067" t="s">
        <v>8905</v>
      </c>
      <c r="D3067" t="s">
        <v>23</v>
      </c>
      <c r="E3067" t="s">
        <v>28</v>
      </c>
      <c r="F3067" t="s">
        <v>41</v>
      </c>
      <c r="G3067" t="s">
        <v>77</v>
      </c>
      <c r="H3067" t="s">
        <v>63</v>
      </c>
      <c r="J3067">
        <v>24</v>
      </c>
    </row>
    <row r="3068" spans="1:12">
      <c r="A3068" t="s">
        <v>8906</v>
      </c>
      <c r="B3068" t="s">
        <v>8907</v>
      </c>
      <c r="C3068" t="s">
        <v>8908</v>
      </c>
      <c r="D3068" t="s">
        <v>15</v>
      </c>
      <c r="E3068" t="s">
        <v>28</v>
      </c>
      <c r="F3068" t="s">
        <v>60</v>
      </c>
      <c r="G3068" t="s">
        <v>105</v>
      </c>
      <c r="H3068" t="s">
        <v>19</v>
      </c>
      <c r="I3068">
        <v>4</v>
      </c>
      <c r="J3068">
        <v>8</v>
      </c>
      <c r="K3068">
        <v>1.41</v>
      </c>
      <c r="L3068">
        <v>1</v>
      </c>
    </row>
    <row r="3069" spans="1:12">
      <c r="A3069" t="s">
        <v>8909</v>
      </c>
      <c r="B3069" t="s">
        <v>8910</v>
      </c>
      <c r="C3069" t="s">
        <v>8911</v>
      </c>
      <c r="D3069" t="s">
        <v>23</v>
      </c>
      <c r="E3069" t="s">
        <v>28</v>
      </c>
      <c r="F3069" t="s">
        <v>36</v>
      </c>
      <c r="G3069" t="s">
        <v>45</v>
      </c>
      <c r="H3069" t="s">
        <v>19</v>
      </c>
      <c r="I3069">
        <v>4</v>
      </c>
      <c r="J3069">
        <v>24</v>
      </c>
      <c r="K3069">
        <v>58.47</v>
      </c>
      <c r="L3069">
        <v>0</v>
      </c>
    </row>
    <row r="3070" spans="1:12">
      <c r="A3070" t="s">
        <v>8912</v>
      </c>
      <c r="B3070" t="s">
        <v>8913</v>
      </c>
      <c r="C3070" t="s">
        <v>8914</v>
      </c>
      <c r="D3070" t="s">
        <v>23</v>
      </c>
      <c r="E3070" t="s">
        <v>28</v>
      </c>
      <c r="F3070" t="s">
        <v>17</v>
      </c>
      <c r="G3070" t="s">
        <v>73</v>
      </c>
      <c r="H3070" t="s">
        <v>19</v>
      </c>
      <c r="I3070">
        <v>5</v>
      </c>
      <c r="J3070">
        <v>24</v>
      </c>
      <c r="K3070">
        <v>21.62</v>
      </c>
      <c r="L3070">
        <v>1</v>
      </c>
    </row>
    <row r="3071" spans="1:12">
      <c r="A3071" t="s">
        <v>8915</v>
      </c>
      <c r="B3071" t="s">
        <v>8916</v>
      </c>
      <c r="C3071" t="s">
        <v>8917</v>
      </c>
      <c r="D3071" t="s">
        <v>15</v>
      </c>
      <c r="E3071" t="s">
        <v>54</v>
      </c>
      <c r="F3071" t="s">
        <v>41</v>
      </c>
      <c r="G3071" t="s">
        <v>172</v>
      </c>
      <c r="H3071" t="s">
        <v>19</v>
      </c>
      <c r="I3071">
        <v>5</v>
      </c>
      <c r="J3071">
        <v>8</v>
      </c>
      <c r="K3071">
        <v>2.91</v>
      </c>
      <c r="L3071">
        <v>1</v>
      </c>
    </row>
    <row r="3072" spans="1:12">
      <c r="A3072" t="s">
        <v>8918</v>
      </c>
      <c r="B3072" t="s">
        <v>8919</v>
      </c>
      <c r="C3072" t="s">
        <v>8920</v>
      </c>
      <c r="D3072" t="s">
        <v>35</v>
      </c>
      <c r="E3072" t="s">
        <v>54</v>
      </c>
      <c r="F3072" t="s">
        <v>17</v>
      </c>
      <c r="G3072" t="s">
        <v>105</v>
      </c>
      <c r="H3072" t="s">
        <v>19</v>
      </c>
      <c r="I3072">
        <v>5</v>
      </c>
      <c r="J3072">
        <v>48</v>
      </c>
      <c r="K3072">
        <v>4.91</v>
      </c>
      <c r="L3072">
        <v>1</v>
      </c>
    </row>
    <row r="3073" spans="1:12">
      <c r="A3073" t="s">
        <v>8921</v>
      </c>
      <c r="B3073" t="s">
        <v>8922</v>
      </c>
      <c r="C3073" t="s">
        <v>8923</v>
      </c>
      <c r="D3073" t="s">
        <v>35</v>
      </c>
      <c r="E3073" t="s">
        <v>54</v>
      </c>
      <c r="F3073" t="s">
        <v>17</v>
      </c>
      <c r="G3073" t="s">
        <v>30</v>
      </c>
      <c r="H3073" t="s">
        <v>19</v>
      </c>
      <c r="I3073">
        <v>5</v>
      </c>
      <c r="J3073">
        <v>48</v>
      </c>
      <c r="K3073">
        <v>8.32</v>
      </c>
      <c r="L3073">
        <v>1</v>
      </c>
    </row>
    <row r="3074" spans="1:12">
      <c r="A3074" t="s">
        <v>8924</v>
      </c>
      <c r="B3074" t="s">
        <v>8925</v>
      </c>
      <c r="C3074" t="s">
        <v>8926</v>
      </c>
      <c r="D3074" t="s">
        <v>23</v>
      </c>
      <c r="E3074" t="s">
        <v>28</v>
      </c>
      <c r="F3074" t="s">
        <v>60</v>
      </c>
      <c r="G3074" t="s">
        <v>30</v>
      </c>
      <c r="H3074" t="s">
        <v>31</v>
      </c>
      <c r="I3074">
        <v>4</v>
      </c>
      <c r="J3074">
        <v>24</v>
      </c>
      <c r="K3074">
        <v>6.65</v>
      </c>
      <c r="L3074">
        <v>1</v>
      </c>
    </row>
    <row r="3075" spans="1:12">
      <c r="A3075" t="s">
        <v>8927</v>
      </c>
      <c r="B3075" t="s">
        <v>8928</v>
      </c>
      <c r="C3075" t="s">
        <v>8929</v>
      </c>
      <c r="D3075" t="s">
        <v>15</v>
      </c>
      <c r="E3075" t="s">
        <v>59</v>
      </c>
      <c r="F3075" t="s">
        <v>17</v>
      </c>
      <c r="G3075" t="s">
        <v>105</v>
      </c>
      <c r="H3075" t="s">
        <v>19</v>
      </c>
      <c r="I3075">
        <v>5</v>
      </c>
      <c r="J3075">
        <v>8</v>
      </c>
      <c r="K3075">
        <v>5.73</v>
      </c>
      <c r="L3075">
        <v>1</v>
      </c>
    </row>
    <row r="3076" spans="1:12">
      <c r="A3076" t="s">
        <v>8930</v>
      </c>
      <c r="B3076" t="s">
        <v>8931</v>
      </c>
      <c r="C3076" t="s">
        <v>8932</v>
      </c>
      <c r="D3076" t="s">
        <v>35</v>
      </c>
      <c r="E3076" t="s">
        <v>16</v>
      </c>
      <c r="F3076" t="s">
        <v>17</v>
      </c>
      <c r="G3076" t="s">
        <v>37</v>
      </c>
      <c r="H3076" t="s">
        <v>31</v>
      </c>
      <c r="I3076">
        <v>5</v>
      </c>
      <c r="J3076">
        <v>48</v>
      </c>
      <c r="K3076">
        <v>41.39</v>
      </c>
      <c r="L3076">
        <v>1</v>
      </c>
    </row>
    <row r="3077" spans="1:12">
      <c r="A3077" t="s">
        <v>8933</v>
      </c>
      <c r="B3077" t="s">
        <v>8934</v>
      </c>
      <c r="C3077" t="s">
        <v>8935</v>
      </c>
      <c r="D3077" t="s">
        <v>35</v>
      </c>
      <c r="E3077" t="s">
        <v>24</v>
      </c>
      <c r="F3077" t="s">
        <v>36</v>
      </c>
      <c r="G3077" t="s">
        <v>55</v>
      </c>
      <c r="H3077" t="s">
        <v>19</v>
      </c>
      <c r="I3077">
        <v>1</v>
      </c>
      <c r="J3077">
        <v>48</v>
      </c>
      <c r="K3077">
        <v>105.5</v>
      </c>
      <c r="L3077">
        <v>0</v>
      </c>
    </row>
    <row r="3078" spans="1:12">
      <c r="A3078" t="s">
        <v>8936</v>
      </c>
      <c r="B3078" t="s">
        <v>8937</v>
      </c>
      <c r="D3078" t="s">
        <v>23</v>
      </c>
      <c r="E3078" t="s">
        <v>16</v>
      </c>
      <c r="F3078" t="s">
        <v>29</v>
      </c>
      <c r="G3078" t="s">
        <v>77</v>
      </c>
      <c r="H3078" t="s">
        <v>46</v>
      </c>
      <c r="J3078">
        <v>24</v>
      </c>
    </row>
    <row r="3079" spans="1:12">
      <c r="A3079" t="s">
        <v>8938</v>
      </c>
      <c r="B3079" t="s">
        <v>8939</v>
      </c>
      <c r="C3079" t="s">
        <v>8940</v>
      </c>
      <c r="D3079" t="s">
        <v>23</v>
      </c>
      <c r="E3079" t="s">
        <v>59</v>
      </c>
      <c r="F3079" t="s">
        <v>17</v>
      </c>
      <c r="G3079" t="s">
        <v>172</v>
      </c>
      <c r="H3079" t="s">
        <v>31</v>
      </c>
      <c r="I3079">
        <v>5</v>
      </c>
      <c r="J3079">
        <v>24</v>
      </c>
      <c r="K3079">
        <v>9.24</v>
      </c>
      <c r="L3079">
        <v>1</v>
      </c>
    </row>
    <row r="3080" spans="1:12">
      <c r="A3080" t="s">
        <v>8941</v>
      </c>
      <c r="B3080" t="s">
        <v>8942</v>
      </c>
      <c r="C3080" t="s">
        <v>8943</v>
      </c>
      <c r="D3080" t="s">
        <v>23</v>
      </c>
      <c r="E3080" t="s">
        <v>28</v>
      </c>
      <c r="F3080" t="s">
        <v>36</v>
      </c>
      <c r="G3080" t="s">
        <v>55</v>
      </c>
      <c r="H3080" t="s">
        <v>31</v>
      </c>
      <c r="I3080">
        <v>4</v>
      </c>
      <c r="J3080">
        <v>24</v>
      </c>
      <c r="K3080">
        <v>7.76</v>
      </c>
      <c r="L3080">
        <v>1</v>
      </c>
    </row>
    <row r="3081" spans="1:12">
      <c r="A3081" t="s">
        <v>8944</v>
      </c>
      <c r="B3081" t="s">
        <v>8945</v>
      </c>
      <c r="C3081" t="s">
        <v>8946</v>
      </c>
      <c r="D3081" t="s">
        <v>23</v>
      </c>
      <c r="E3081" t="s">
        <v>24</v>
      </c>
      <c r="F3081" t="s">
        <v>41</v>
      </c>
      <c r="G3081" t="s">
        <v>37</v>
      </c>
      <c r="H3081" t="s">
        <v>19</v>
      </c>
      <c r="I3081">
        <v>3</v>
      </c>
      <c r="J3081">
        <v>24</v>
      </c>
      <c r="K3081">
        <v>26.36</v>
      </c>
      <c r="L3081">
        <v>0</v>
      </c>
    </row>
    <row r="3082" spans="1:12">
      <c r="A3082" t="s">
        <v>8947</v>
      </c>
      <c r="B3082" t="s">
        <v>8948</v>
      </c>
      <c r="C3082" t="s">
        <v>8949</v>
      </c>
      <c r="D3082" t="s">
        <v>15</v>
      </c>
      <c r="E3082" t="s">
        <v>24</v>
      </c>
      <c r="F3082" t="s">
        <v>41</v>
      </c>
      <c r="G3082" t="s">
        <v>77</v>
      </c>
      <c r="H3082" t="s">
        <v>19</v>
      </c>
      <c r="I3082">
        <v>2</v>
      </c>
      <c r="J3082">
        <v>8</v>
      </c>
      <c r="K3082">
        <v>21.9</v>
      </c>
      <c r="L3082">
        <v>0</v>
      </c>
    </row>
    <row r="3083" spans="1:12">
      <c r="A3083" t="s">
        <v>8950</v>
      </c>
      <c r="B3083" t="s">
        <v>8951</v>
      </c>
      <c r="C3083" t="s">
        <v>8952</v>
      </c>
      <c r="D3083" t="s">
        <v>23</v>
      </c>
      <c r="E3083" t="s">
        <v>54</v>
      </c>
      <c r="F3083" t="s">
        <v>29</v>
      </c>
      <c r="G3083" t="s">
        <v>50</v>
      </c>
      <c r="H3083" t="s">
        <v>31</v>
      </c>
      <c r="I3083">
        <v>1</v>
      </c>
      <c r="J3083">
        <v>24</v>
      </c>
      <c r="K3083">
        <v>67.849999999999994</v>
      </c>
      <c r="L3083">
        <v>0</v>
      </c>
    </row>
    <row r="3084" spans="1:12">
      <c r="A3084" t="s">
        <v>8953</v>
      </c>
      <c r="B3084" t="s">
        <v>8954</v>
      </c>
      <c r="C3084" t="s">
        <v>8955</v>
      </c>
      <c r="D3084" t="s">
        <v>35</v>
      </c>
      <c r="E3084" t="s">
        <v>24</v>
      </c>
      <c r="F3084" t="s">
        <v>29</v>
      </c>
      <c r="G3084" t="s">
        <v>151</v>
      </c>
      <c r="H3084" t="s">
        <v>19</v>
      </c>
      <c r="I3084">
        <v>4</v>
      </c>
      <c r="J3084">
        <v>48</v>
      </c>
      <c r="K3084">
        <v>36.61</v>
      </c>
      <c r="L3084">
        <v>1</v>
      </c>
    </row>
    <row r="3085" spans="1:12">
      <c r="A3085" t="s">
        <v>8956</v>
      </c>
      <c r="B3085" t="s">
        <v>8957</v>
      </c>
      <c r="C3085" t="s">
        <v>8958</v>
      </c>
      <c r="D3085" t="s">
        <v>23</v>
      </c>
      <c r="E3085" t="s">
        <v>28</v>
      </c>
      <c r="F3085" t="s">
        <v>17</v>
      </c>
      <c r="G3085" t="s">
        <v>55</v>
      </c>
      <c r="H3085" t="s">
        <v>19</v>
      </c>
      <c r="I3085">
        <v>3</v>
      </c>
      <c r="J3085">
        <v>24</v>
      </c>
      <c r="K3085">
        <v>22.37</v>
      </c>
      <c r="L3085">
        <v>1</v>
      </c>
    </row>
    <row r="3086" spans="1:12">
      <c r="A3086" t="s">
        <v>8959</v>
      </c>
      <c r="B3086" t="s">
        <v>8960</v>
      </c>
      <c r="C3086" t="s">
        <v>8961</v>
      </c>
      <c r="D3086" t="s">
        <v>35</v>
      </c>
      <c r="E3086" t="s">
        <v>16</v>
      </c>
      <c r="F3086" t="s">
        <v>17</v>
      </c>
      <c r="G3086" t="s">
        <v>151</v>
      </c>
      <c r="H3086" t="s">
        <v>19</v>
      </c>
      <c r="I3086">
        <v>5</v>
      </c>
      <c r="J3086">
        <v>48</v>
      </c>
      <c r="K3086">
        <v>45.55</v>
      </c>
      <c r="L3086">
        <v>1</v>
      </c>
    </row>
    <row r="3087" spans="1:12">
      <c r="A3087" t="s">
        <v>8962</v>
      </c>
      <c r="B3087" t="s">
        <v>8963</v>
      </c>
      <c r="C3087" t="s">
        <v>8964</v>
      </c>
      <c r="D3087" t="s">
        <v>23</v>
      </c>
      <c r="E3087" t="s">
        <v>16</v>
      </c>
      <c r="F3087" t="s">
        <v>36</v>
      </c>
      <c r="G3087" t="s">
        <v>37</v>
      </c>
      <c r="H3087" t="s">
        <v>31</v>
      </c>
      <c r="I3087">
        <v>3</v>
      </c>
      <c r="J3087">
        <v>24</v>
      </c>
      <c r="K3087">
        <v>16.48</v>
      </c>
      <c r="L3087">
        <v>1</v>
      </c>
    </row>
    <row r="3088" spans="1:12">
      <c r="A3088" t="s">
        <v>8965</v>
      </c>
      <c r="B3088" t="s">
        <v>8966</v>
      </c>
      <c r="C3088" t="s">
        <v>8967</v>
      </c>
      <c r="D3088" t="s">
        <v>23</v>
      </c>
      <c r="E3088" t="s">
        <v>16</v>
      </c>
      <c r="F3088" t="s">
        <v>17</v>
      </c>
      <c r="G3088" t="s">
        <v>151</v>
      </c>
      <c r="H3088" t="s">
        <v>19</v>
      </c>
      <c r="I3088">
        <v>5</v>
      </c>
      <c r="J3088">
        <v>24</v>
      </c>
      <c r="K3088">
        <v>6.82</v>
      </c>
      <c r="L3088">
        <v>1</v>
      </c>
    </row>
    <row r="3089" spans="1:12">
      <c r="A3089" t="s">
        <v>8968</v>
      </c>
      <c r="B3089" t="s">
        <v>8969</v>
      </c>
      <c r="C3089" t="s">
        <v>8970</v>
      </c>
      <c r="D3089" t="s">
        <v>23</v>
      </c>
      <c r="E3089" t="s">
        <v>59</v>
      </c>
      <c r="F3089" t="s">
        <v>29</v>
      </c>
      <c r="G3089" t="s">
        <v>30</v>
      </c>
      <c r="H3089" t="s">
        <v>19</v>
      </c>
      <c r="I3089">
        <v>5</v>
      </c>
      <c r="J3089">
        <v>24</v>
      </c>
      <c r="K3089">
        <v>20.329999999999998</v>
      </c>
      <c r="L3089">
        <v>1</v>
      </c>
    </row>
    <row r="3090" spans="1:12">
      <c r="A3090" t="s">
        <v>8971</v>
      </c>
      <c r="B3090" t="s">
        <v>8972</v>
      </c>
      <c r="C3090" t="s">
        <v>8973</v>
      </c>
      <c r="D3090" t="s">
        <v>23</v>
      </c>
      <c r="E3090" t="s">
        <v>28</v>
      </c>
      <c r="F3090" t="s">
        <v>60</v>
      </c>
      <c r="G3090" t="s">
        <v>73</v>
      </c>
      <c r="H3090" t="s">
        <v>19</v>
      </c>
      <c r="I3090">
        <v>5</v>
      </c>
      <c r="J3090">
        <v>24</v>
      </c>
      <c r="K3090">
        <v>11.45</v>
      </c>
      <c r="L3090">
        <v>1</v>
      </c>
    </row>
    <row r="3091" spans="1:12">
      <c r="A3091" t="s">
        <v>8974</v>
      </c>
      <c r="B3091" t="s">
        <v>8975</v>
      </c>
      <c r="C3091" t="s">
        <v>8976</v>
      </c>
      <c r="D3091" t="s">
        <v>158</v>
      </c>
      <c r="E3091" t="s">
        <v>54</v>
      </c>
      <c r="F3091" t="s">
        <v>17</v>
      </c>
      <c r="G3091" t="s">
        <v>50</v>
      </c>
      <c r="H3091" t="s">
        <v>31</v>
      </c>
      <c r="I3091">
        <v>5</v>
      </c>
      <c r="J3091">
        <v>4</v>
      </c>
      <c r="K3091">
        <v>1.74</v>
      </c>
      <c r="L3091">
        <v>1</v>
      </c>
    </row>
    <row r="3092" spans="1:12">
      <c r="A3092" t="s">
        <v>8977</v>
      </c>
      <c r="B3092" t="s">
        <v>8978</v>
      </c>
      <c r="C3092" t="s">
        <v>8979</v>
      </c>
      <c r="D3092" t="s">
        <v>15</v>
      </c>
      <c r="E3092" t="s">
        <v>59</v>
      </c>
      <c r="F3092" t="s">
        <v>60</v>
      </c>
      <c r="G3092" t="s">
        <v>151</v>
      </c>
      <c r="H3092" t="s">
        <v>31</v>
      </c>
      <c r="I3092">
        <v>4</v>
      </c>
      <c r="J3092">
        <v>8</v>
      </c>
      <c r="K3092">
        <v>4.9400000000000004</v>
      </c>
      <c r="L3092">
        <v>1</v>
      </c>
    </row>
    <row r="3093" spans="1:12">
      <c r="A3093" t="s">
        <v>8980</v>
      </c>
      <c r="B3093" t="s">
        <v>8981</v>
      </c>
      <c r="C3093" t="s">
        <v>8982</v>
      </c>
      <c r="D3093" t="s">
        <v>23</v>
      </c>
      <c r="E3093" t="s">
        <v>16</v>
      </c>
      <c r="F3093" t="s">
        <v>60</v>
      </c>
      <c r="G3093" t="s">
        <v>77</v>
      </c>
      <c r="H3093" t="s">
        <v>19</v>
      </c>
      <c r="I3093">
        <v>4</v>
      </c>
      <c r="J3093">
        <v>24</v>
      </c>
      <c r="K3093">
        <v>15.1</v>
      </c>
      <c r="L3093">
        <v>1</v>
      </c>
    </row>
    <row r="3094" spans="1:12">
      <c r="A3094" t="s">
        <v>8983</v>
      </c>
      <c r="B3094" t="s">
        <v>8984</v>
      </c>
      <c r="C3094" t="s">
        <v>3546</v>
      </c>
      <c r="D3094" t="s">
        <v>23</v>
      </c>
      <c r="E3094" t="s">
        <v>59</v>
      </c>
      <c r="F3094" t="s">
        <v>41</v>
      </c>
      <c r="G3094" t="s">
        <v>37</v>
      </c>
      <c r="H3094" t="s">
        <v>19</v>
      </c>
      <c r="I3094">
        <v>5</v>
      </c>
      <c r="J3094">
        <v>24</v>
      </c>
      <c r="K3094">
        <v>6.23</v>
      </c>
      <c r="L3094">
        <v>1</v>
      </c>
    </row>
    <row r="3095" spans="1:12">
      <c r="A3095" t="s">
        <v>8985</v>
      </c>
      <c r="B3095" t="s">
        <v>8986</v>
      </c>
      <c r="D3095" t="s">
        <v>23</v>
      </c>
      <c r="E3095" t="s">
        <v>28</v>
      </c>
      <c r="F3095" t="s">
        <v>36</v>
      </c>
      <c r="G3095" t="s">
        <v>105</v>
      </c>
      <c r="H3095" t="s">
        <v>63</v>
      </c>
      <c r="J3095">
        <v>24</v>
      </c>
    </row>
    <row r="3096" spans="1:12">
      <c r="A3096" t="s">
        <v>8987</v>
      </c>
      <c r="B3096" t="s">
        <v>8988</v>
      </c>
      <c r="C3096" t="s">
        <v>8989</v>
      </c>
      <c r="D3096" t="s">
        <v>15</v>
      </c>
      <c r="E3096" t="s">
        <v>28</v>
      </c>
      <c r="F3096" t="s">
        <v>41</v>
      </c>
      <c r="G3096" t="s">
        <v>172</v>
      </c>
      <c r="H3096" t="s">
        <v>19</v>
      </c>
      <c r="I3096">
        <v>5</v>
      </c>
      <c r="J3096">
        <v>8</v>
      </c>
      <c r="K3096">
        <v>4.6900000000000004</v>
      </c>
      <c r="L3096">
        <v>1</v>
      </c>
    </row>
    <row r="3097" spans="1:12">
      <c r="A3097" t="s">
        <v>8990</v>
      </c>
      <c r="B3097" t="s">
        <v>8991</v>
      </c>
      <c r="C3097" t="s">
        <v>8992</v>
      </c>
      <c r="D3097" t="s">
        <v>23</v>
      </c>
      <c r="E3097" t="s">
        <v>59</v>
      </c>
      <c r="F3097" t="s">
        <v>29</v>
      </c>
      <c r="G3097" t="s">
        <v>37</v>
      </c>
      <c r="H3097" t="s">
        <v>19</v>
      </c>
      <c r="I3097">
        <v>3</v>
      </c>
      <c r="J3097">
        <v>24</v>
      </c>
      <c r="K3097">
        <v>13.27</v>
      </c>
      <c r="L3097">
        <v>1</v>
      </c>
    </row>
    <row r="3098" spans="1:12">
      <c r="A3098" t="s">
        <v>8993</v>
      </c>
      <c r="B3098" t="s">
        <v>8994</v>
      </c>
      <c r="C3098" t="s">
        <v>8995</v>
      </c>
      <c r="D3098" t="s">
        <v>35</v>
      </c>
      <c r="E3098" t="s">
        <v>28</v>
      </c>
      <c r="F3098" t="s">
        <v>41</v>
      </c>
      <c r="G3098" t="s">
        <v>30</v>
      </c>
      <c r="H3098" t="s">
        <v>19</v>
      </c>
      <c r="I3098">
        <v>3</v>
      </c>
      <c r="J3098">
        <v>48</v>
      </c>
      <c r="K3098">
        <v>36.369999999999997</v>
      </c>
      <c r="L3098">
        <v>1</v>
      </c>
    </row>
    <row r="3099" spans="1:12">
      <c r="A3099" t="s">
        <v>8996</v>
      </c>
      <c r="B3099" t="s">
        <v>8997</v>
      </c>
      <c r="D3099" t="s">
        <v>15</v>
      </c>
      <c r="E3099" t="s">
        <v>28</v>
      </c>
      <c r="F3099" t="s">
        <v>17</v>
      </c>
      <c r="G3099" t="s">
        <v>77</v>
      </c>
      <c r="H3099" t="s">
        <v>63</v>
      </c>
      <c r="J3099">
        <v>8</v>
      </c>
    </row>
    <row r="3100" spans="1:12">
      <c r="A3100" t="s">
        <v>8998</v>
      </c>
      <c r="B3100" t="s">
        <v>8999</v>
      </c>
      <c r="C3100" t="s">
        <v>9000</v>
      </c>
      <c r="D3100" t="s">
        <v>35</v>
      </c>
      <c r="E3100" t="s">
        <v>28</v>
      </c>
      <c r="F3100" t="s">
        <v>41</v>
      </c>
      <c r="G3100" t="s">
        <v>30</v>
      </c>
      <c r="H3100" t="s">
        <v>31</v>
      </c>
      <c r="I3100">
        <v>5</v>
      </c>
      <c r="J3100">
        <v>48</v>
      </c>
      <c r="K3100">
        <v>36.380000000000003</v>
      </c>
      <c r="L3100">
        <v>1</v>
      </c>
    </row>
    <row r="3101" spans="1:12">
      <c r="A3101" t="s">
        <v>9001</v>
      </c>
      <c r="B3101" t="s">
        <v>9002</v>
      </c>
      <c r="C3101" t="s">
        <v>9003</v>
      </c>
      <c r="D3101" t="s">
        <v>15</v>
      </c>
      <c r="E3101" t="s">
        <v>16</v>
      </c>
      <c r="F3101" t="s">
        <v>17</v>
      </c>
      <c r="G3101" t="s">
        <v>172</v>
      </c>
      <c r="H3101" t="s">
        <v>31</v>
      </c>
      <c r="I3101">
        <v>5</v>
      </c>
      <c r="J3101">
        <v>8</v>
      </c>
      <c r="K3101">
        <v>4.25</v>
      </c>
      <c r="L3101">
        <v>1</v>
      </c>
    </row>
    <row r="3102" spans="1:12">
      <c r="A3102" t="s">
        <v>9004</v>
      </c>
      <c r="B3102" t="s">
        <v>9005</v>
      </c>
      <c r="C3102" t="s">
        <v>9006</v>
      </c>
      <c r="D3102" t="s">
        <v>23</v>
      </c>
      <c r="E3102" t="s">
        <v>24</v>
      </c>
      <c r="F3102" t="s">
        <v>36</v>
      </c>
      <c r="G3102" t="s">
        <v>37</v>
      </c>
      <c r="H3102" t="s">
        <v>31</v>
      </c>
      <c r="I3102">
        <v>4</v>
      </c>
      <c r="J3102">
        <v>24</v>
      </c>
      <c r="K3102">
        <v>5.44</v>
      </c>
      <c r="L3102">
        <v>1</v>
      </c>
    </row>
    <row r="3103" spans="1:12">
      <c r="A3103" t="s">
        <v>9007</v>
      </c>
      <c r="B3103" t="s">
        <v>9008</v>
      </c>
      <c r="C3103" t="s">
        <v>9009</v>
      </c>
      <c r="D3103" t="s">
        <v>35</v>
      </c>
      <c r="E3103" t="s">
        <v>28</v>
      </c>
      <c r="F3103" t="s">
        <v>17</v>
      </c>
      <c r="G3103" t="s">
        <v>42</v>
      </c>
      <c r="H3103" t="s">
        <v>31</v>
      </c>
      <c r="I3103">
        <v>3</v>
      </c>
      <c r="J3103">
        <v>48</v>
      </c>
      <c r="K3103">
        <v>11.66</v>
      </c>
      <c r="L3103">
        <v>1</v>
      </c>
    </row>
    <row r="3104" spans="1:12">
      <c r="A3104" t="s">
        <v>9010</v>
      </c>
      <c r="B3104" t="s">
        <v>9011</v>
      </c>
      <c r="C3104" t="s">
        <v>9012</v>
      </c>
      <c r="D3104" t="s">
        <v>35</v>
      </c>
      <c r="E3104" t="s">
        <v>54</v>
      </c>
      <c r="F3104" t="s">
        <v>36</v>
      </c>
      <c r="G3104" t="s">
        <v>73</v>
      </c>
      <c r="H3104" t="s">
        <v>31</v>
      </c>
      <c r="I3104">
        <v>5</v>
      </c>
      <c r="J3104">
        <v>48</v>
      </c>
      <c r="K3104">
        <v>41.71</v>
      </c>
      <c r="L3104">
        <v>1</v>
      </c>
    </row>
    <row r="3105" spans="1:12">
      <c r="A3105" t="s">
        <v>9013</v>
      </c>
      <c r="B3105" t="s">
        <v>9014</v>
      </c>
      <c r="C3105" t="s">
        <v>9015</v>
      </c>
      <c r="D3105" t="s">
        <v>15</v>
      </c>
      <c r="E3105" t="s">
        <v>16</v>
      </c>
      <c r="F3105" t="s">
        <v>60</v>
      </c>
      <c r="G3105" t="s">
        <v>50</v>
      </c>
      <c r="H3105" t="s">
        <v>19</v>
      </c>
      <c r="I3105">
        <v>5</v>
      </c>
      <c r="J3105">
        <v>8</v>
      </c>
      <c r="K3105">
        <v>6.19</v>
      </c>
      <c r="L3105">
        <v>1</v>
      </c>
    </row>
    <row r="3106" spans="1:12">
      <c r="A3106" t="s">
        <v>9016</v>
      </c>
      <c r="B3106" t="s">
        <v>9017</v>
      </c>
      <c r="C3106" t="s">
        <v>9018</v>
      </c>
      <c r="D3106" t="s">
        <v>23</v>
      </c>
      <c r="E3106" t="s">
        <v>28</v>
      </c>
      <c r="F3106" t="s">
        <v>36</v>
      </c>
      <c r="G3106" t="s">
        <v>151</v>
      </c>
      <c r="H3106" t="s">
        <v>31</v>
      </c>
      <c r="I3106">
        <v>5</v>
      </c>
      <c r="J3106">
        <v>24</v>
      </c>
      <c r="K3106">
        <v>21.7</v>
      </c>
      <c r="L3106">
        <v>1</v>
      </c>
    </row>
    <row r="3107" spans="1:12">
      <c r="A3107" t="s">
        <v>9019</v>
      </c>
      <c r="B3107" t="s">
        <v>9020</v>
      </c>
      <c r="C3107" t="s">
        <v>9021</v>
      </c>
      <c r="D3107" t="s">
        <v>35</v>
      </c>
      <c r="E3107" t="s">
        <v>54</v>
      </c>
      <c r="F3107" t="s">
        <v>41</v>
      </c>
      <c r="G3107" t="s">
        <v>45</v>
      </c>
      <c r="H3107" t="s">
        <v>19</v>
      </c>
      <c r="I3107">
        <v>5</v>
      </c>
      <c r="J3107">
        <v>48</v>
      </c>
      <c r="K3107">
        <v>41.65</v>
      </c>
      <c r="L3107">
        <v>1</v>
      </c>
    </row>
    <row r="3108" spans="1:12">
      <c r="A3108" t="s">
        <v>9022</v>
      </c>
      <c r="B3108" t="s">
        <v>9023</v>
      </c>
      <c r="C3108" t="s">
        <v>9024</v>
      </c>
      <c r="D3108" t="s">
        <v>23</v>
      </c>
      <c r="E3108" t="s">
        <v>28</v>
      </c>
      <c r="F3108" t="s">
        <v>29</v>
      </c>
      <c r="G3108" t="s">
        <v>18</v>
      </c>
      <c r="H3108" t="s">
        <v>19</v>
      </c>
      <c r="I3108">
        <v>5</v>
      </c>
      <c r="J3108">
        <v>24</v>
      </c>
      <c r="K3108">
        <v>8.1300000000000008</v>
      </c>
      <c r="L3108">
        <v>1</v>
      </c>
    </row>
    <row r="3109" spans="1:12">
      <c r="A3109" t="s">
        <v>9025</v>
      </c>
      <c r="B3109" t="s">
        <v>9026</v>
      </c>
      <c r="D3109" t="s">
        <v>23</v>
      </c>
      <c r="E3109" t="s">
        <v>28</v>
      </c>
      <c r="F3109" t="s">
        <v>41</v>
      </c>
      <c r="G3109" t="s">
        <v>172</v>
      </c>
      <c r="H3109" t="s">
        <v>63</v>
      </c>
      <c r="J3109">
        <v>24</v>
      </c>
    </row>
    <row r="3110" spans="1:12">
      <c r="A3110" t="s">
        <v>9027</v>
      </c>
      <c r="B3110" t="s">
        <v>9028</v>
      </c>
      <c r="C3110" t="s">
        <v>9029</v>
      </c>
      <c r="D3110" t="s">
        <v>15</v>
      </c>
      <c r="E3110" t="s">
        <v>16</v>
      </c>
      <c r="F3110" t="s">
        <v>29</v>
      </c>
      <c r="G3110" t="s">
        <v>77</v>
      </c>
      <c r="H3110" t="s">
        <v>19</v>
      </c>
      <c r="I3110">
        <v>4</v>
      </c>
      <c r="J3110">
        <v>8</v>
      </c>
      <c r="K3110">
        <v>5.84</v>
      </c>
      <c r="L3110">
        <v>1</v>
      </c>
    </row>
    <row r="3111" spans="1:12">
      <c r="A3111" t="s">
        <v>9030</v>
      </c>
      <c r="B3111" t="s">
        <v>9031</v>
      </c>
      <c r="C3111" t="s">
        <v>9032</v>
      </c>
      <c r="D3111" t="s">
        <v>35</v>
      </c>
      <c r="E3111" t="s">
        <v>54</v>
      </c>
      <c r="F3111" t="s">
        <v>41</v>
      </c>
      <c r="G3111" t="s">
        <v>151</v>
      </c>
      <c r="H3111" t="s">
        <v>19</v>
      </c>
      <c r="I3111">
        <v>4</v>
      </c>
      <c r="J3111">
        <v>48</v>
      </c>
      <c r="K3111">
        <v>24.98</v>
      </c>
      <c r="L3111">
        <v>1</v>
      </c>
    </row>
    <row r="3112" spans="1:12">
      <c r="A3112" t="s">
        <v>9033</v>
      </c>
      <c r="B3112" t="s">
        <v>9034</v>
      </c>
      <c r="C3112" t="s">
        <v>9035</v>
      </c>
      <c r="D3112" t="s">
        <v>35</v>
      </c>
      <c r="E3112" t="s">
        <v>28</v>
      </c>
      <c r="F3112" t="s">
        <v>17</v>
      </c>
      <c r="G3112" t="s">
        <v>73</v>
      </c>
      <c r="H3112" t="s">
        <v>19</v>
      </c>
      <c r="I3112">
        <v>4</v>
      </c>
      <c r="J3112">
        <v>48</v>
      </c>
      <c r="K3112">
        <v>23.6</v>
      </c>
      <c r="L3112">
        <v>1</v>
      </c>
    </row>
    <row r="3113" spans="1:12">
      <c r="A3113" t="s">
        <v>9036</v>
      </c>
      <c r="B3113" t="s">
        <v>9037</v>
      </c>
      <c r="C3113" t="s">
        <v>9038</v>
      </c>
      <c r="D3113" t="s">
        <v>158</v>
      </c>
      <c r="E3113" t="s">
        <v>28</v>
      </c>
      <c r="F3113" t="s">
        <v>60</v>
      </c>
      <c r="G3113" t="s">
        <v>45</v>
      </c>
      <c r="H3113" t="s">
        <v>19</v>
      </c>
      <c r="I3113">
        <v>5</v>
      </c>
      <c r="J3113">
        <v>4</v>
      </c>
      <c r="K3113">
        <v>2.61</v>
      </c>
      <c r="L3113">
        <v>1</v>
      </c>
    </row>
    <row r="3114" spans="1:12">
      <c r="A3114" t="s">
        <v>9039</v>
      </c>
      <c r="B3114" t="s">
        <v>9040</v>
      </c>
      <c r="C3114" t="s">
        <v>9041</v>
      </c>
      <c r="D3114" t="s">
        <v>23</v>
      </c>
      <c r="E3114" t="s">
        <v>54</v>
      </c>
      <c r="F3114" t="s">
        <v>29</v>
      </c>
      <c r="G3114" t="s">
        <v>45</v>
      </c>
      <c r="H3114" t="s">
        <v>19</v>
      </c>
      <c r="I3114">
        <v>2</v>
      </c>
      <c r="J3114">
        <v>24</v>
      </c>
      <c r="K3114">
        <v>45.35</v>
      </c>
      <c r="L3114">
        <v>0</v>
      </c>
    </row>
    <row r="3115" spans="1:12">
      <c r="A3115" t="s">
        <v>9042</v>
      </c>
      <c r="B3115" t="s">
        <v>9043</v>
      </c>
      <c r="C3115" t="s">
        <v>9044</v>
      </c>
      <c r="D3115" t="s">
        <v>35</v>
      </c>
      <c r="E3115" t="s">
        <v>24</v>
      </c>
      <c r="F3115" t="s">
        <v>36</v>
      </c>
      <c r="G3115" t="s">
        <v>105</v>
      </c>
      <c r="H3115" t="s">
        <v>31</v>
      </c>
      <c r="I3115">
        <v>5</v>
      </c>
      <c r="J3115">
        <v>48</v>
      </c>
      <c r="K3115">
        <v>7.23</v>
      </c>
      <c r="L3115">
        <v>1</v>
      </c>
    </row>
    <row r="3116" spans="1:12">
      <c r="A3116" t="s">
        <v>9045</v>
      </c>
      <c r="B3116" t="s">
        <v>9046</v>
      </c>
      <c r="C3116" t="s">
        <v>9047</v>
      </c>
      <c r="D3116" t="s">
        <v>23</v>
      </c>
      <c r="E3116" t="s">
        <v>59</v>
      </c>
      <c r="F3116" t="s">
        <v>41</v>
      </c>
      <c r="G3116" t="s">
        <v>50</v>
      </c>
      <c r="H3116" t="s">
        <v>19</v>
      </c>
      <c r="I3116">
        <v>1</v>
      </c>
      <c r="J3116">
        <v>24</v>
      </c>
      <c r="K3116">
        <v>27.59</v>
      </c>
      <c r="L3116">
        <v>0</v>
      </c>
    </row>
    <row r="3117" spans="1:12">
      <c r="A3117" t="s">
        <v>9048</v>
      </c>
      <c r="B3117" t="s">
        <v>9049</v>
      </c>
      <c r="C3117" t="s">
        <v>9050</v>
      </c>
      <c r="D3117" t="s">
        <v>35</v>
      </c>
      <c r="E3117" t="s">
        <v>16</v>
      </c>
      <c r="F3117" t="s">
        <v>17</v>
      </c>
      <c r="G3117" t="s">
        <v>55</v>
      </c>
      <c r="H3117" t="s">
        <v>19</v>
      </c>
      <c r="I3117">
        <v>5</v>
      </c>
      <c r="J3117">
        <v>48</v>
      </c>
      <c r="K3117">
        <v>14.07</v>
      </c>
      <c r="L3117">
        <v>1</v>
      </c>
    </row>
    <row r="3118" spans="1:12">
      <c r="A3118" t="s">
        <v>9051</v>
      </c>
      <c r="B3118" t="s">
        <v>9052</v>
      </c>
      <c r="C3118" t="s">
        <v>9053</v>
      </c>
      <c r="D3118" t="s">
        <v>15</v>
      </c>
      <c r="E3118" t="s">
        <v>16</v>
      </c>
      <c r="F3118" t="s">
        <v>29</v>
      </c>
      <c r="G3118" t="s">
        <v>45</v>
      </c>
      <c r="H3118" t="s">
        <v>31</v>
      </c>
      <c r="I3118">
        <v>4</v>
      </c>
      <c r="J3118">
        <v>8</v>
      </c>
      <c r="K3118">
        <v>18.8</v>
      </c>
      <c r="L3118">
        <v>0</v>
      </c>
    </row>
    <row r="3119" spans="1:12">
      <c r="A3119" t="s">
        <v>9054</v>
      </c>
      <c r="B3119" t="s">
        <v>9055</v>
      </c>
      <c r="C3119" t="s">
        <v>9056</v>
      </c>
      <c r="D3119" t="s">
        <v>15</v>
      </c>
      <c r="E3119" t="s">
        <v>59</v>
      </c>
      <c r="F3119" t="s">
        <v>36</v>
      </c>
      <c r="G3119" t="s">
        <v>37</v>
      </c>
      <c r="H3119" t="s">
        <v>19</v>
      </c>
      <c r="I3119">
        <v>4</v>
      </c>
      <c r="J3119">
        <v>8</v>
      </c>
      <c r="K3119">
        <v>3.19</v>
      </c>
      <c r="L3119">
        <v>1</v>
      </c>
    </row>
    <row r="3120" spans="1:12">
      <c r="A3120" t="s">
        <v>9057</v>
      </c>
      <c r="B3120" t="s">
        <v>9058</v>
      </c>
      <c r="D3120" t="s">
        <v>15</v>
      </c>
      <c r="E3120" t="s">
        <v>54</v>
      </c>
      <c r="F3120" t="s">
        <v>36</v>
      </c>
      <c r="G3120" t="s">
        <v>45</v>
      </c>
      <c r="H3120" t="s">
        <v>46</v>
      </c>
      <c r="J3120">
        <v>8</v>
      </c>
    </row>
    <row r="3121" spans="1:12">
      <c r="A3121" t="s">
        <v>9059</v>
      </c>
      <c r="B3121" t="s">
        <v>9060</v>
      </c>
      <c r="C3121" t="s">
        <v>9061</v>
      </c>
      <c r="D3121" t="s">
        <v>23</v>
      </c>
      <c r="E3121" t="s">
        <v>59</v>
      </c>
      <c r="F3121" t="s">
        <v>36</v>
      </c>
      <c r="G3121" t="s">
        <v>45</v>
      </c>
      <c r="H3121" t="s">
        <v>19</v>
      </c>
      <c r="I3121">
        <v>5</v>
      </c>
      <c r="J3121">
        <v>24</v>
      </c>
      <c r="K3121">
        <v>3.72</v>
      </c>
      <c r="L3121">
        <v>1</v>
      </c>
    </row>
    <row r="3122" spans="1:12">
      <c r="A3122" t="s">
        <v>9062</v>
      </c>
      <c r="B3122" t="s">
        <v>9063</v>
      </c>
      <c r="C3122" t="s">
        <v>9064</v>
      </c>
      <c r="D3122" t="s">
        <v>15</v>
      </c>
      <c r="E3122" t="s">
        <v>54</v>
      </c>
      <c r="F3122" t="s">
        <v>17</v>
      </c>
      <c r="G3122" t="s">
        <v>18</v>
      </c>
      <c r="H3122" t="s">
        <v>31</v>
      </c>
      <c r="I3122">
        <v>4</v>
      </c>
      <c r="J3122">
        <v>8</v>
      </c>
      <c r="K3122">
        <v>6.46</v>
      </c>
      <c r="L3122">
        <v>1</v>
      </c>
    </row>
    <row r="3123" spans="1:12">
      <c r="A3123" t="s">
        <v>9065</v>
      </c>
      <c r="B3123" t="s">
        <v>9066</v>
      </c>
      <c r="C3123" t="s">
        <v>9067</v>
      </c>
      <c r="D3123" t="s">
        <v>23</v>
      </c>
      <c r="E3123" t="s">
        <v>16</v>
      </c>
      <c r="F3123" t="s">
        <v>36</v>
      </c>
      <c r="G3123" t="s">
        <v>42</v>
      </c>
      <c r="H3123" t="s">
        <v>19</v>
      </c>
      <c r="I3123">
        <v>4</v>
      </c>
      <c r="J3123">
        <v>24</v>
      </c>
      <c r="K3123">
        <v>14.15</v>
      </c>
      <c r="L3123">
        <v>1</v>
      </c>
    </row>
    <row r="3124" spans="1:12">
      <c r="A3124" t="s">
        <v>9068</v>
      </c>
      <c r="B3124" t="s">
        <v>9069</v>
      </c>
      <c r="C3124" t="s">
        <v>9070</v>
      </c>
      <c r="D3124" t="s">
        <v>15</v>
      </c>
      <c r="E3124" t="s">
        <v>28</v>
      </c>
      <c r="F3124" t="s">
        <v>41</v>
      </c>
      <c r="G3124" t="s">
        <v>45</v>
      </c>
      <c r="H3124" t="s">
        <v>19</v>
      </c>
      <c r="I3124">
        <v>5</v>
      </c>
      <c r="J3124">
        <v>8</v>
      </c>
      <c r="K3124">
        <v>5.39</v>
      </c>
      <c r="L3124">
        <v>1</v>
      </c>
    </row>
    <row r="3125" spans="1:12">
      <c r="A3125" t="s">
        <v>9071</v>
      </c>
      <c r="B3125" t="s">
        <v>9072</v>
      </c>
      <c r="C3125" t="s">
        <v>9073</v>
      </c>
      <c r="D3125" t="s">
        <v>23</v>
      </c>
      <c r="E3125" t="s">
        <v>24</v>
      </c>
      <c r="F3125" t="s">
        <v>36</v>
      </c>
      <c r="G3125" t="s">
        <v>77</v>
      </c>
      <c r="H3125" t="s">
        <v>19</v>
      </c>
      <c r="I3125">
        <v>5</v>
      </c>
      <c r="J3125">
        <v>24</v>
      </c>
      <c r="K3125">
        <v>6.33</v>
      </c>
      <c r="L3125">
        <v>1</v>
      </c>
    </row>
    <row r="3126" spans="1:12">
      <c r="A3126" t="s">
        <v>9074</v>
      </c>
      <c r="B3126" t="s">
        <v>9075</v>
      </c>
      <c r="C3126" t="s">
        <v>9076</v>
      </c>
      <c r="D3126" t="s">
        <v>15</v>
      </c>
      <c r="E3126" t="s">
        <v>28</v>
      </c>
      <c r="F3126" t="s">
        <v>36</v>
      </c>
      <c r="G3126" t="s">
        <v>45</v>
      </c>
      <c r="H3126" t="s">
        <v>31</v>
      </c>
      <c r="I3126">
        <v>5</v>
      </c>
      <c r="J3126">
        <v>8</v>
      </c>
      <c r="K3126">
        <v>1.08</v>
      </c>
      <c r="L3126">
        <v>1</v>
      </c>
    </row>
    <row r="3127" spans="1:12">
      <c r="A3127" t="s">
        <v>9077</v>
      </c>
      <c r="B3127" t="s">
        <v>9078</v>
      </c>
      <c r="C3127" t="s">
        <v>9079</v>
      </c>
      <c r="D3127" t="s">
        <v>23</v>
      </c>
      <c r="E3127" t="s">
        <v>54</v>
      </c>
      <c r="F3127" t="s">
        <v>29</v>
      </c>
      <c r="G3127" t="s">
        <v>42</v>
      </c>
      <c r="H3127" t="s">
        <v>19</v>
      </c>
      <c r="I3127">
        <v>4</v>
      </c>
      <c r="J3127">
        <v>24</v>
      </c>
      <c r="K3127">
        <v>21.23</v>
      </c>
      <c r="L3127">
        <v>1</v>
      </c>
    </row>
    <row r="3128" spans="1:12">
      <c r="A3128" t="s">
        <v>9080</v>
      </c>
      <c r="B3128" t="s">
        <v>9081</v>
      </c>
      <c r="C3128" t="s">
        <v>9082</v>
      </c>
      <c r="D3128" t="s">
        <v>15</v>
      </c>
      <c r="E3128" t="s">
        <v>54</v>
      </c>
      <c r="F3128" t="s">
        <v>41</v>
      </c>
      <c r="G3128" t="s">
        <v>105</v>
      </c>
      <c r="H3128" t="s">
        <v>19</v>
      </c>
      <c r="I3128">
        <v>4</v>
      </c>
      <c r="J3128">
        <v>8</v>
      </c>
      <c r="K3128">
        <v>1.72</v>
      </c>
      <c r="L3128">
        <v>1</v>
      </c>
    </row>
    <row r="3129" spans="1:12">
      <c r="A3129" t="s">
        <v>9083</v>
      </c>
      <c r="B3129" t="s">
        <v>9084</v>
      </c>
      <c r="C3129" t="s">
        <v>9085</v>
      </c>
      <c r="D3129" t="s">
        <v>15</v>
      </c>
      <c r="E3129" t="s">
        <v>28</v>
      </c>
      <c r="F3129" t="s">
        <v>17</v>
      </c>
      <c r="G3129" t="s">
        <v>50</v>
      </c>
      <c r="H3129" t="s">
        <v>19</v>
      </c>
      <c r="I3129">
        <v>5</v>
      </c>
      <c r="J3129">
        <v>8</v>
      </c>
      <c r="K3129">
        <v>6.54</v>
      </c>
      <c r="L3129">
        <v>1</v>
      </c>
    </row>
    <row r="3130" spans="1:12">
      <c r="A3130" t="s">
        <v>9086</v>
      </c>
      <c r="B3130" t="s">
        <v>9087</v>
      </c>
      <c r="C3130" t="s">
        <v>9088</v>
      </c>
      <c r="D3130" t="s">
        <v>15</v>
      </c>
      <c r="E3130" t="s">
        <v>28</v>
      </c>
      <c r="F3130" t="s">
        <v>41</v>
      </c>
      <c r="G3130" t="s">
        <v>105</v>
      </c>
      <c r="H3130" t="s">
        <v>31</v>
      </c>
      <c r="I3130">
        <v>2</v>
      </c>
      <c r="J3130">
        <v>8</v>
      </c>
      <c r="K3130">
        <v>11</v>
      </c>
      <c r="L3130">
        <v>0</v>
      </c>
    </row>
    <row r="3131" spans="1:12">
      <c r="A3131" t="s">
        <v>9089</v>
      </c>
      <c r="B3131" t="s">
        <v>9090</v>
      </c>
      <c r="C3131" t="s">
        <v>9091</v>
      </c>
      <c r="D3131" t="s">
        <v>15</v>
      </c>
      <c r="E3131" t="s">
        <v>16</v>
      </c>
      <c r="F3131" t="s">
        <v>36</v>
      </c>
      <c r="G3131" t="s">
        <v>77</v>
      </c>
      <c r="H3131" t="s">
        <v>19</v>
      </c>
      <c r="I3131">
        <v>5</v>
      </c>
      <c r="J3131">
        <v>8</v>
      </c>
      <c r="K3131">
        <v>7.43</v>
      </c>
      <c r="L3131">
        <v>1</v>
      </c>
    </row>
    <row r="3132" spans="1:12">
      <c r="A3132" t="s">
        <v>9092</v>
      </c>
      <c r="B3132" t="s">
        <v>9093</v>
      </c>
      <c r="C3132" t="s">
        <v>9094</v>
      </c>
      <c r="D3132" t="s">
        <v>15</v>
      </c>
      <c r="E3132" t="s">
        <v>54</v>
      </c>
      <c r="F3132" t="s">
        <v>36</v>
      </c>
      <c r="G3132" t="s">
        <v>37</v>
      </c>
      <c r="H3132" t="s">
        <v>31</v>
      </c>
      <c r="I3132">
        <v>4</v>
      </c>
      <c r="J3132">
        <v>8</v>
      </c>
      <c r="K3132">
        <v>6.46</v>
      </c>
      <c r="L3132">
        <v>1</v>
      </c>
    </row>
    <row r="3133" spans="1:12">
      <c r="A3133" t="s">
        <v>9095</v>
      </c>
      <c r="B3133" t="s">
        <v>9096</v>
      </c>
      <c r="D3133" t="s">
        <v>35</v>
      </c>
      <c r="E3133" t="s">
        <v>59</v>
      </c>
      <c r="F3133" t="s">
        <v>60</v>
      </c>
      <c r="G3133" t="s">
        <v>172</v>
      </c>
      <c r="H3133" t="s">
        <v>63</v>
      </c>
      <c r="J3133">
        <v>48</v>
      </c>
    </row>
    <row r="3134" spans="1:12">
      <c r="A3134" t="s">
        <v>9097</v>
      </c>
      <c r="B3134" t="s">
        <v>9098</v>
      </c>
      <c r="C3134" t="s">
        <v>9099</v>
      </c>
      <c r="D3134" t="s">
        <v>23</v>
      </c>
      <c r="E3134" t="s">
        <v>59</v>
      </c>
      <c r="F3134" t="s">
        <v>29</v>
      </c>
      <c r="G3134" t="s">
        <v>172</v>
      </c>
      <c r="H3134" t="s">
        <v>19</v>
      </c>
      <c r="I3134">
        <v>5</v>
      </c>
      <c r="J3134">
        <v>24</v>
      </c>
      <c r="K3134">
        <v>14.96</v>
      </c>
      <c r="L3134">
        <v>1</v>
      </c>
    </row>
    <row r="3135" spans="1:12">
      <c r="A3135" t="s">
        <v>9100</v>
      </c>
      <c r="B3135" t="s">
        <v>9101</v>
      </c>
      <c r="C3135" t="s">
        <v>9102</v>
      </c>
      <c r="D3135" t="s">
        <v>35</v>
      </c>
      <c r="E3135" t="s">
        <v>24</v>
      </c>
      <c r="F3135" t="s">
        <v>41</v>
      </c>
      <c r="G3135" t="s">
        <v>50</v>
      </c>
      <c r="H3135" t="s">
        <v>19</v>
      </c>
      <c r="I3135">
        <v>5</v>
      </c>
      <c r="J3135">
        <v>48</v>
      </c>
      <c r="K3135">
        <v>43.46</v>
      </c>
      <c r="L3135">
        <v>1</v>
      </c>
    </row>
    <row r="3136" spans="1:12">
      <c r="A3136" t="s">
        <v>9103</v>
      </c>
      <c r="B3136" t="s">
        <v>9104</v>
      </c>
      <c r="C3136" t="s">
        <v>9105</v>
      </c>
      <c r="D3136" t="s">
        <v>15</v>
      </c>
      <c r="E3136" t="s">
        <v>28</v>
      </c>
      <c r="F3136" t="s">
        <v>60</v>
      </c>
      <c r="G3136" t="s">
        <v>77</v>
      </c>
      <c r="H3136" t="s">
        <v>19</v>
      </c>
      <c r="I3136">
        <v>5</v>
      </c>
      <c r="J3136">
        <v>8</v>
      </c>
      <c r="K3136">
        <v>4.21</v>
      </c>
      <c r="L3136">
        <v>1</v>
      </c>
    </row>
    <row r="3137" spans="1:12">
      <c r="A3137" t="s">
        <v>9106</v>
      </c>
      <c r="B3137" t="s">
        <v>9107</v>
      </c>
      <c r="C3137" t="s">
        <v>9108</v>
      </c>
      <c r="D3137" t="s">
        <v>23</v>
      </c>
      <c r="E3137" t="s">
        <v>54</v>
      </c>
      <c r="F3137" t="s">
        <v>36</v>
      </c>
      <c r="G3137" t="s">
        <v>73</v>
      </c>
      <c r="H3137" t="s">
        <v>19</v>
      </c>
      <c r="I3137">
        <v>4</v>
      </c>
      <c r="J3137">
        <v>24</v>
      </c>
      <c r="K3137">
        <v>10.58</v>
      </c>
      <c r="L3137">
        <v>1</v>
      </c>
    </row>
    <row r="3138" spans="1:12">
      <c r="A3138" t="s">
        <v>9109</v>
      </c>
      <c r="B3138" t="s">
        <v>9110</v>
      </c>
      <c r="C3138" t="s">
        <v>9111</v>
      </c>
      <c r="D3138" t="s">
        <v>23</v>
      </c>
      <c r="E3138" t="s">
        <v>54</v>
      </c>
      <c r="F3138" t="s">
        <v>17</v>
      </c>
      <c r="G3138" t="s">
        <v>42</v>
      </c>
      <c r="H3138" t="s">
        <v>19</v>
      </c>
      <c r="I3138">
        <v>4</v>
      </c>
      <c r="J3138">
        <v>24</v>
      </c>
      <c r="K3138">
        <v>9.7799999999999994</v>
      </c>
      <c r="L3138">
        <v>1</v>
      </c>
    </row>
    <row r="3139" spans="1:12">
      <c r="A3139" t="s">
        <v>9112</v>
      </c>
      <c r="B3139" t="s">
        <v>9113</v>
      </c>
      <c r="C3139" t="s">
        <v>9114</v>
      </c>
      <c r="D3139" t="s">
        <v>23</v>
      </c>
      <c r="E3139" t="s">
        <v>54</v>
      </c>
      <c r="F3139" t="s">
        <v>36</v>
      </c>
      <c r="G3139" t="s">
        <v>42</v>
      </c>
      <c r="H3139" t="s">
        <v>31</v>
      </c>
      <c r="I3139">
        <v>4</v>
      </c>
      <c r="J3139">
        <v>24</v>
      </c>
      <c r="K3139">
        <v>2.9</v>
      </c>
      <c r="L3139">
        <v>1</v>
      </c>
    </row>
    <row r="3140" spans="1:12">
      <c r="A3140" t="s">
        <v>9115</v>
      </c>
      <c r="B3140" t="s">
        <v>9116</v>
      </c>
      <c r="C3140" t="s">
        <v>9117</v>
      </c>
      <c r="D3140" t="s">
        <v>15</v>
      </c>
      <c r="E3140" t="s">
        <v>24</v>
      </c>
      <c r="F3140" t="s">
        <v>17</v>
      </c>
      <c r="G3140" t="s">
        <v>151</v>
      </c>
      <c r="H3140" t="s">
        <v>19</v>
      </c>
      <c r="I3140">
        <v>4</v>
      </c>
      <c r="J3140">
        <v>8</v>
      </c>
      <c r="K3140">
        <v>4.9800000000000004</v>
      </c>
      <c r="L3140">
        <v>1</v>
      </c>
    </row>
    <row r="3141" spans="1:12">
      <c r="A3141" t="s">
        <v>9118</v>
      </c>
      <c r="B3141" t="s">
        <v>9119</v>
      </c>
      <c r="D3141" t="s">
        <v>158</v>
      </c>
      <c r="E3141" t="s">
        <v>24</v>
      </c>
      <c r="F3141" t="s">
        <v>17</v>
      </c>
      <c r="G3141" t="s">
        <v>151</v>
      </c>
      <c r="H3141" t="s">
        <v>46</v>
      </c>
      <c r="J3141">
        <v>4</v>
      </c>
    </row>
    <row r="3142" spans="1:12">
      <c r="A3142" t="s">
        <v>9120</v>
      </c>
      <c r="B3142" t="s">
        <v>9121</v>
      </c>
      <c r="C3142" t="s">
        <v>9122</v>
      </c>
      <c r="D3142" t="s">
        <v>23</v>
      </c>
      <c r="E3142" t="s">
        <v>54</v>
      </c>
      <c r="F3142" t="s">
        <v>36</v>
      </c>
      <c r="G3142" t="s">
        <v>172</v>
      </c>
      <c r="H3142" t="s">
        <v>19</v>
      </c>
      <c r="I3142">
        <v>5</v>
      </c>
      <c r="J3142">
        <v>24</v>
      </c>
      <c r="K3142">
        <v>14.32</v>
      </c>
      <c r="L3142">
        <v>1</v>
      </c>
    </row>
    <row r="3143" spans="1:12">
      <c r="A3143" t="s">
        <v>9123</v>
      </c>
      <c r="B3143" t="s">
        <v>9124</v>
      </c>
      <c r="D3143" t="s">
        <v>23</v>
      </c>
      <c r="E3143" t="s">
        <v>24</v>
      </c>
      <c r="F3143" t="s">
        <v>29</v>
      </c>
      <c r="G3143" t="s">
        <v>42</v>
      </c>
      <c r="H3143" t="s">
        <v>63</v>
      </c>
      <c r="J3143">
        <v>24</v>
      </c>
    </row>
    <row r="3144" spans="1:12">
      <c r="A3144" t="s">
        <v>9125</v>
      </c>
      <c r="B3144" t="s">
        <v>9126</v>
      </c>
      <c r="C3144" t="s">
        <v>9127</v>
      </c>
      <c r="D3144" t="s">
        <v>35</v>
      </c>
      <c r="E3144" t="s">
        <v>28</v>
      </c>
      <c r="F3144" t="s">
        <v>41</v>
      </c>
      <c r="G3144" t="s">
        <v>73</v>
      </c>
      <c r="H3144" t="s">
        <v>31</v>
      </c>
      <c r="I3144">
        <v>5</v>
      </c>
      <c r="J3144">
        <v>48</v>
      </c>
      <c r="K3144">
        <v>6.99</v>
      </c>
      <c r="L3144">
        <v>1</v>
      </c>
    </row>
    <row r="3145" spans="1:12">
      <c r="A3145" t="s">
        <v>9128</v>
      </c>
      <c r="B3145" t="s">
        <v>9129</v>
      </c>
      <c r="C3145" t="s">
        <v>9130</v>
      </c>
      <c r="D3145" t="s">
        <v>35</v>
      </c>
      <c r="E3145" t="s">
        <v>28</v>
      </c>
      <c r="F3145" t="s">
        <v>36</v>
      </c>
      <c r="G3145" t="s">
        <v>55</v>
      </c>
      <c r="H3145" t="s">
        <v>19</v>
      </c>
      <c r="I3145">
        <v>5</v>
      </c>
      <c r="J3145">
        <v>48</v>
      </c>
      <c r="K3145">
        <v>41.52</v>
      </c>
      <c r="L3145">
        <v>1</v>
      </c>
    </row>
    <row r="3146" spans="1:12">
      <c r="A3146" t="s">
        <v>9131</v>
      </c>
      <c r="B3146" t="s">
        <v>9132</v>
      </c>
      <c r="C3146" t="s">
        <v>9133</v>
      </c>
      <c r="D3146" t="s">
        <v>15</v>
      </c>
      <c r="E3146" t="s">
        <v>28</v>
      </c>
      <c r="F3146" t="s">
        <v>41</v>
      </c>
      <c r="G3146" t="s">
        <v>42</v>
      </c>
      <c r="H3146" t="s">
        <v>31</v>
      </c>
      <c r="I3146">
        <v>5</v>
      </c>
      <c r="J3146">
        <v>8</v>
      </c>
      <c r="K3146">
        <v>4.6399999999999997</v>
      </c>
      <c r="L3146">
        <v>1</v>
      </c>
    </row>
    <row r="3147" spans="1:12">
      <c r="A3147" t="s">
        <v>9134</v>
      </c>
      <c r="B3147" t="s">
        <v>9135</v>
      </c>
      <c r="C3147" t="s">
        <v>9136</v>
      </c>
      <c r="D3147" t="s">
        <v>158</v>
      </c>
      <c r="E3147" t="s">
        <v>54</v>
      </c>
      <c r="F3147" t="s">
        <v>29</v>
      </c>
      <c r="G3147" t="s">
        <v>55</v>
      </c>
      <c r="H3147" t="s">
        <v>31</v>
      </c>
      <c r="I3147">
        <v>3</v>
      </c>
      <c r="J3147">
        <v>4</v>
      </c>
      <c r="K3147">
        <v>4.83</v>
      </c>
      <c r="L3147">
        <v>0</v>
      </c>
    </row>
    <row r="3148" spans="1:12">
      <c r="A3148" t="s">
        <v>9137</v>
      </c>
      <c r="B3148" t="s">
        <v>9138</v>
      </c>
      <c r="C3148" t="s">
        <v>9139</v>
      </c>
      <c r="D3148" t="s">
        <v>15</v>
      </c>
      <c r="E3148" t="s">
        <v>28</v>
      </c>
      <c r="F3148" t="s">
        <v>36</v>
      </c>
      <c r="G3148" t="s">
        <v>73</v>
      </c>
      <c r="H3148" t="s">
        <v>19</v>
      </c>
      <c r="I3148">
        <v>5</v>
      </c>
      <c r="J3148">
        <v>8</v>
      </c>
      <c r="K3148">
        <v>3.37</v>
      </c>
      <c r="L3148">
        <v>1</v>
      </c>
    </row>
    <row r="3149" spans="1:12">
      <c r="A3149" t="s">
        <v>9140</v>
      </c>
      <c r="B3149" t="s">
        <v>9141</v>
      </c>
      <c r="C3149" t="s">
        <v>9142</v>
      </c>
      <c r="D3149" t="s">
        <v>23</v>
      </c>
      <c r="E3149" t="s">
        <v>54</v>
      </c>
      <c r="F3149" t="s">
        <v>36</v>
      </c>
      <c r="G3149" t="s">
        <v>18</v>
      </c>
      <c r="H3149" t="s">
        <v>31</v>
      </c>
      <c r="I3149">
        <v>3</v>
      </c>
      <c r="J3149">
        <v>24</v>
      </c>
      <c r="K3149">
        <v>9.4600000000000009</v>
      </c>
      <c r="L3149">
        <v>1</v>
      </c>
    </row>
    <row r="3150" spans="1:12">
      <c r="A3150" t="s">
        <v>9143</v>
      </c>
      <c r="B3150" t="s">
        <v>9144</v>
      </c>
      <c r="C3150" t="s">
        <v>9145</v>
      </c>
      <c r="D3150" t="s">
        <v>15</v>
      </c>
      <c r="E3150" t="s">
        <v>28</v>
      </c>
      <c r="F3150" t="s">
        <v>41</v>
      </c>
      <c r="G3150" t="s">
        <v>30</v>
      </c>
      <c r="H3150" t="s">
        <v>19</v>
      </c>
      <c r="I3150">
        <v>5</v>
      </c>
      <c r="J3150">
        <v>8</v>
      </c>
      <c r="K3150">
        <v>2.65</v>
      </c>
      <c r="L3150">
        <v>1</v>
      </c>
    </row>
    <row r="3151" spans="1:12">
      <c r="A3151" t="s">
        <v>9146</v>
      </c>
      <c r="B3151" t="s">
        <v>9147</v>
      </c>
      <c r="C3151" t="s">
        <v>9148</v>
      </c>
      <c r="D3151" t="s">
        <v>23</v>
      </c>
      <c r="E3151" t="s">
        <v>28</v>
      </c>
      <c r="F3151" t="s">
        <v>41</v>
      </c>
      <c r="G3151" t="s">
        <v>151</v>
      </c>
      <c r="H3151" t="s">
        <v>19</v>
      </c>
      <c r="I3151">
        <v>5</v>
      </c>
      <c r="J3151">
        <v>24</v>
      </c>
      <c r="K3151">
        <v>13.34</v>
      </c>
      <c r="L3151">
        <v>1</v>
      </c>
    </row>
    <row r="3152" spans="1:12">
      <c r="A3152" t="s">
        <v>9149</v>
      </c>
      <c r="B3152" t="s">
        <v>9150</v>
      </c>
      <c r="C3152" t="s">
        <v>9151</v>
      </c>
      <c r="D3152" t="s">
        <v>23</v>
      </c>
      <c r="E3152" t="s">
        <v>54</v>
      </c>
      <c r="F3152" t="s">
        <v>36</v>
      </c>
      <c r="G3152" t="s">
        <v>30</v>
      </c>
      <c r="H3152" t="s">
        <v>19</v>
      </c>
      <c r="I3152">
        <v>4</v>
      </c>
      <c r="J3152">
        <v>24</v>
      </c>
      <c r="K3152">
        <v>13.61</v>
      </c>
      <c r="L3152">
        <v>1</v>
      </c>
    </row>
    <row r="3153" spans="1:12">
      <c r="A3153" t="s">
        <v>9152</v>
      </c>
      <c r="B3153" t="s">
        <v>9153</v>
      </c>
      <c r="C3153" t="s">
        <v>9154</v>
      </c>
      <c r="D3153" t="s">
        <v>158</v>
      </c>
      <c r="E3153" t="s">
        <v>16</v>
      </c>
      <c r="F3153" t="s">
        <v>29</v>
      </c>
      <c r="G3153" t="s">
        <v>42</v>
      </c>
      <c r="H3153" t="s">
        <v>19</v>
      </c>
      <c r="I3153">
        <v>5</v>
      </c>
      <c r="J3153">
        <v>4</v>
      </c>
      <c r="K3153">
        <v>0.6</v>
      </c>
      <c r="L3153">
        <v>1</v>
      </c>
    </row>
    <row r="3154" spans="1:12">
      <c r="A3154" t="s">
        <v>9155</v>
      </c>
      <c r="B3154" t="s">
        <v>9156</v>
      </c>
      <c r="C3154" t="s">
        <v>9157</v>
      </c>
      <c r="D3154" t="s">
        <v>15</v>
      </c>
      <c r="E3154" t="s">
        <v>24</v>
      </c>
      <c r="F3154" t="s">
        <v>60</v>
      </c>
      <c r="G3154" t="s">
        <v>151</v>
      </c>
      <c r="H3154" t="s">
        <v>19</v>
      </c>
      <c r="I3154">
        <v>3</v>
      </c>
      <c r="J3154">
        <v>8</v>
      </c>
      <c r="K3154">
        <v>2.4</v>
      </c>
      <c r="L3154">
        <v>1</v>
      </c>
    </row>
    <row r="3155" spans="1:12">
      <c r="A3155" t="s">
        <v>9158</v>
      </c>
      <c r="B3155" t="s">
        <v>9159</v>
      </c>
      <c r="C3155" t="s">
        <v>9160</v>
      </c>
      <c r="D3155" t="s">
        <v>23</v>
      </c>
      <c r="E3155" t="s">
        <v>54</v>
      </c>
      <c r="F3155" t="s">
        <v>36</v>
      </c>
      <c r="G3155" t="s">
        <v>151</v>
      </c>
      <c r="H3155" t="s">
        <v>19</v>
      </c>
      <c r="I3155">
        <v>4</v>
      </c>
      <c r="J3155">
        <v>24</v>
      </c>
      <c r="K3155">
        <v>18.309999999999999</v>
      </c>
      <c r="L3155">
        <v>1</v>
      </c>
    </row>
    <row r="3156" spans="1:12">
      <c r="A3156" t="s">
        <v>9161</v>
      </c>
      <c r="B3156" t="s">
        <v>9162</v>
      </c>
      <c r="C3156" t="s">
        <v>9163</v>
      </c>
      <c r="D3156" t="s">
        <v>35</v>
      </c>
      <c r="E3156" t="s">
        <v>28</v>
      </c>
      <c r="F3156" t="s">
        <v>60</v>
      </c>
      <c r="G3156" t="s">
        <v>151</v>
      </c>
      <c r="H3156" t="s">
        <v>31</v>
      </c>
      <c r="I3156">
        <v>4</v>
      </c>
      <c r="J3156">
        <v>48</v>
      </c>
      <c r="K3156">
        <v>43.09</v>
      </c>
      <c r="L3156">
        <v>1</v>
      </c>
    </row>
    <row r="3157" spans="1:12">
      <c r="A3157" t="s">
        <v>9164</v>
      </c>
      <c r="B3157" t="s">
        <v>9165</v>
      </c>
      <c r="C3157" t="s">
        <v>9166</v>
      </c>
      <c r="D3157" t="s">
        <v>23</v>
      </c>
      <c r="E3157" t="s">
        <v>54</v>
      </c>
      <c r="F3157" t="s">
        <v>41</v>
      </c>
      <c r="G3157" t="s">
        <v>105</v>
      </c>
      <c r="H3157" t="s">
        <v>19</v>
      </c>
      <c r="I3157">
        <v>4</v>
      </c>
      <c r="J3157">
        <v>24</v>
      </c>
      <c r="K3157">
        <v>15.62</v>
      </c>
      <c r="L3157">
        <v>1</v>
      </c>
    </row>
    <row r="3158" spans="1:12">
      <c r="A3158" t="s">
        <v>9167</v>
      </c>
      <c r="B3158" t="s">
        <v>9168</v>
      </c>
      <c r="C3158" t="s">
        <v>9169</v>
      </c>
      <c r="D3158" t="s">
        <v>158</v>
      </c>
      <c r="E3158" t="s">
        <v>24</v>
      </c>
      <c r="F3158" t="s">
        <v>17</v>
      </c>
      <c r="G3158" t="s">
        <v>42</v>
      </c>
      <c r="H3158" t="s">
        <v>19</v>
      </c>
      <c r="I3158">
        <v>5</v>
      </c>
      <c r="J3158">
        <v>4</v>
      </c>
      <c r="K3158">
        <v>3.05</v>
      </c>
      <c r="L3158">
        <v>1</v>
      </c>
    </row>
    <row r="3159" spans="1:12">
      <c r="A3159" t="s">
        <v>9170</v>
      </c>
      <c r="B3159" t="s">
        <v>9171</v>
      </c>
      <c r="C3159" t="s">
        <v>9172</v>
      </c>
      <c r="D3159" t="s">
        <v>158</v>
      </c>
      <c r="E3159" t="s">
        <v>24</v>
      </c>
      <c r="F3159" t="s">
        <v>17</v>
      </c>
      <c r="G3159" t="s">
        <v>45</v>
      </c>
      <c r="H3159" t="s">
        <v>31</v>
      </c>
      <c r="I3159">
        <v>2</v>
      </c>
      <c r="J3159">
        <v>4</v>
      </c>
      <c r="K3159">
        <v>4.42</v>
      </c>
      <c r="L3159">
        <v>0</v>
      </c>
    </row>
    <row r="3160" spans="1:12">
      <c r="A3160" t="s">
        <v>9173</v>
      </c>
      <c r="B3160" t="s">
        <v>9174</v>
      </c>
      <c r="C3160" t="s">
        <v>9175</v>
      </c>
      <c r="D3160" t="s">
        <v>35</v>
      </c>
      <c r="E3160" t="s">
        <v>28</v>
      </c>
      <c r="F3160" t="s">
        <v>17</v>
      </c>
      <c r="G3160" t="s">
        <v>18</v>
      </c>
      <c r="H3160" t="s">
        <v>19</v>
      </c>
      <c r="I3160">
        <v>4</v>
      </c>
      <c r="J3160">
        <v>48</v>
      </c>
      <c r="K3160">
        <v>8.1</v>
      </c>
      <c r="L3160">
        <v>1</v>
      </c>
    </row>
    <row r="3161" spans="1:12">
      <c r="A3161" t="s">
        <v>9176</v>
      </c>
      <c r="B3161" t="s">
        <v>9177</v>
      </c>
      <c r="C3161" t="s">
        <v>9178</v>
      </c>
      <c r="D3161" t="s">
        <v>23</v>
      </c>
      <c r="E3161" t="s">
        <v>24</v>
      </c>
      <c r="F3161" t="s">
        <v>29</v>
      </c>
      <c r="G3161" t="s">
        <v>151</v>
      </c>
      <c r="H3161" t="s">
        <v>19</v>
      </c>
      <c r="I3161">
        <v>5</v>
      </c>
      <c r="J3161">
        <v>24</v>
      </c>
      <c r="K3161">
        <v>9.81</v>
      </c>
      <c r="L3161">
        <v>1</v>
      </c>
    </row>
    <row r="3162" spans="1:12">
      <c r="A3162" t="s">
        <v>9179</v>
      </c>
      <c r="B3162" t="s">
        <v>9180</v>
      </c>
      <c r="C3162" t="s">
        <v>9181</v>
      </c>
      <c r="D3162" t="s">
        <v>23</v>
      </c>
      <c r="E3162" t="s">
        <v>28</v>
      </c>
      <c r="F3162" t="s">
        <v>41</v>
      </c>
      <c r="G3162" t="s">
        <v>42</v>
      </c>
      <c r="H3162" t="s">
        <v>31</v>
      </c>
      <c r="I3162">
        <v>4</v>
      </c>
      <c r="J3162">
        <v>24</v>
      </c>
      <c r="K3162">
        <v>12.57</v>
      </c>
      <c r="L3162">
        <v>1</v>
      </c>
    </row>
    <row r="3163" spans="1:12">
      <c r="A3163" t="s">
        <v>9182</v>
      </c>
      <c r="B3163" t="s">
        <v>9183</v>
      </c>
      <c r="C3163" t="s">
        <v>9184</v>
      </c>
      <c r="D3163" t="s">
        <v>23</v>
      </c>
      <c r="E3163" t="s">
        <v>24</v>
      </c>
      <c r="F3163" t="s">
        <v>60</v>
      </c>
      <c r="G3163" t="s">
        <v>77</v>
      </c>
      <c r="H3163" t="s">
        <v>19</v>
      </c>
      <c r="I3163">
        <v>5</v>
      </c>
      <c r="J3163">
        <v>24</v>
      </c>
      <c r="K3163">
        <v>11.08</v>
      </c>
      <c r="L3163">
        <v>1</v>
      </c>
    </row>
    <row r="3164" spans="1:12">
      <c r="A3164" t="s">
        <v>9185</v>
      </c>
      <c r="B3164" t="s">
        <v>9186</v>
      </c>
      <c r="C3164" t="s">
        <v>9187</v>
      </c>
      <c r="D3164" t="s">
        <v>15</v>
      </c>
      <c r="E3164" t="s">
        <v>16</v>
      </c>
      <c r="F3164" t="s">
        <v>41</v>
      </c>
      <c r="G3164" t="s">
        <v>50</v>
      </c>
      <c r="H3164" t="s">
        <v>19</v>
      </c>
      <c r="I3164">
        <v>2</v>
      </c>
      <c r="J3164">
        <v>8</v>
      </c>
      <c r="K3164">
        <v>14.21</v>
      </c>
      <c r="L3164">
        <v>0</v>
      </c>
    </row>
    <row r="3165" spans="1:12">
      <c r="A3165" t="s">
        <v>9188</v>
      </c>
      <c r="B3165" t="s">
        <v>9189</v>
      </c>
      <c r="C3165" t="s">
        <v>9190</v>
      </c>
      <c r="D3165" t="s">
        <v>158</v>
      </c>
      <c r="E3165" t="s">
        <v>28</v>
      </c>
      <c r="F3165" t="s">
        <v>60</v>
      </c>
      <c r="G3165" t="s">
        <v>50</v>
      </c>
      <c r="H3165" t="s">
        <v>31</v>
      </c>
      <c r="I3165">
        <v>3</v>
      </c>
      <c r="J3165">
        <v>4</v>
      </c>
      <c r="K3165">
        <v>4.5599999999999996</v>
      </c>
      <c r="L3165">
        <v>0</v>
      </c>
    </row>
    <row r="3166" spans="1:12">
      <c r="A3166" t="s">
        <v>9191</v>
      </c>
      <c r="B3166" t="s">
        <v>9192</v>
      </c>
      <c r="C3166" t="s">
        <v>9193</v>
      </c>
      <c r="D3166" t="s">
        <v>23</v>
      </c>
      <c r="E3166" t="s">
        <v>59</v>
      </c>
      <c r="F3166" t="s">
        <v>29</v>
      </c>
      <c r="G3166" t="s">
        <v>151</v>
      </c>
      <c r="H3166" t="s">
        <v>19</v>
      </c>
      <c r="I3166">
        <v>4</v>
      </c>
      <c r="J3166">
        <v>24</v>
      </c>
      <c r="K3166">
        <v>8.4600000000000009</v>
      </c>
      <c r="L3166">
        <v>1</v>
      </c>
    </row>
    <row r="3167" spans="1:12">
      <c r="A3167" t="s">
        <v>9194</v>
      </c>
      <c r="B3167" t="s">
        <v>9195</v>
      </c>
      <c r="C3167" t="s">
        <v>9196</v>
      </c>
      <c r="D3167" t="s">
        <v>15</v>
      </c>
      <c r="E3167" t="s">
        <v>28</v>
      </c>
      <c r="F3167" t="s">
        <v>17</v>
      </c>
      <c r="G3167" t="s">
        <v>30</v>
      </c>
      <c r="H3167" t="s">
        <v>19</v>
      </c>
      <c r="I3167">
        <v>4</v>
      </c>
      <c r="J3167">
        <v>8</v>
      </c>
      <c r="K3167">
        <v>1.29</v>
      </c>
      <c r="L3167">
        <v>1</v>
      </c>
    </row>
    <row r="3168" spans="1:12">
      <c r="A3168" t="s">
        <v>9197</v>
      </c>
      <c r="B3168" t="s">
        <v>9198</v>
      </c>
      <c r="C3168" t="s">
        <v>9199</v>
      </c>
      <c r="D3168" t="s">
        <v>158</v>
      </c>
      <c r="E3168" t="s">
        <v>28</v>
      </c>
      <c r="F3168" t="s">
        <v>36</v>
      </c>
      <c r="G3168" t="s">
        <v>172</v>
      </c>
      <c r="H3168" t="s">
        <v>19</v>
      </c>
      <c r="I3168">
        <v>4</v>
      </c>
      <c r="J3168">
        <v>4</v>
      </c>
      <c r="K3168">
        <v>0.78</v>
      </c>
      <c r="L3168">
        <v>1</v>
      </c>
    </row>
    <row r="3169" spans="1:12">
      <c r="A3169" t="s">
        <v>9200</v>
      </c>
      <c r="B3169" t="s">
        <v>9201</v>
      </c>
      <c r="C3169" t="s">
        <v>9202</v>
      </c>
      <c r="D3169" t="s">
        <v>23</v>
      </c>
      <c r="E3169" t="s">
        <v>28</v>
      </c>
      <c r="F3169" t="s">
        <v>41</v>
      </c>
      <c r="G3169" t="s">
        <v>45</v>
      </c>
      <c r="H3169" t="s">
        <v>19</v>
      </c>
      <c r="I3169">
        <v>2</v>
      </c>
      <c r="J3169">
        <v>24</v>
      </c>
      <c r="K3169">
        <v>43.37</v>
      </c>
      <c r="L3169">
        <v>0</v>
      </c>
    </row>
    <row r="3170" spans="1:12">
      <c r="A3170" t="s">
        <v>9203</v>
      </c>
      <c r="B3170" t="s">
        <v>9204</v>
      </c>
      <c r="C3170" t="s">
        <v>9205</v>
      </c>
      <c r="D3170" t="s">
        <v>23</v>
      </c>
      <c r="E3170" t="s">
        <v>28</v>
      </c>
      <c r="F3170" t="s">
        <v>41</v>
      </c>
      <c r="G3170" t="s">
        <v>30</v>
      </c>
      <c r="H3170" t="s">
        <v>19</v>
      </c>
      <c r="I3170">
        <v>4</v>
      </c>
      <c r="J3170">
        <v>24</v>
      </c>
      <c r="K3170">
        <v>18.3</v>
      </c>
      <c r="L3170">
        <v>1</v>
      </c>
    </row>
    <row r="3171" spans="1:12">
      <c r="A3171" t="s">
        <v>9206</v>
      </c>
      <c r="B3171" t="s">
        <v>9207</v>
      </c>
      <c r="C3171" t="s">
        <v>9208</v>
      </c>
      <c r="D3171" t="s">
        <v>15</v>
      </c>
      <c r="E3171" t="s">
        <v>28</v>
      </c>
      <c r="F3171" t="s">
        <v>60</v>
      </c>
      <c r="G3171" t="s">
        <v>151</v>
      </c>
      <c r="H3171" t="s">
        <v>19</v>
      </c>
      <c r="I3171">
        <v>3</v>
      </c>
      <c r="J3171">
        <v>8</v>
      </c>
      <c r="K3171">
        <v>5.49</v>
      </c>
      <c r="L3171">
        <v>1</v>
      </c>
    </row>
    <row r="3172" spans="1:12">
      <c r="A3172" t="s">
        <v>9209</v>
      </c>
      <c r="B3172" t="s">
        <v>9210</v>
      </c>
      <c r="D3172" t="s">
        <v>23</v>
      </c>
      <c r="E3172" t="s">
        <v>24</v>
      </c>
      <c r="F3172" t="s">
        <v>17</v>
      </c>
      <c r="G3172" t="s">
        <v>105</v>
      </c>
      <c r="H3172" t="s">
        <v>46</v>
      </c>
      <c r="J3172">
        <v>24</v>
      </c>
    </row>
    <row r="3173" spans="1:12">
      <c r="A3173" t="s">
        <v>9211</v>
      </c>
      <c r="B3173" t="s">
        <v>9212</v>
      </c>
      <c r="C3173" t="s">
        <v>9213</v>
      </c>
      <c r="D3173" t="s">
        <v>15</v>
      </c>
      <c r="E3173" t="s">
        <v>54</v>
      </c>
      <c r="F3173" t="s">
        <v>41</v>
      </c>
      <c r="G3173" t="s">
        <v>30</v>
      </c>
      <c r="H3173" t="s">
        <v>19</v>
      </c>
      <c r="I3173">
        <v>3</v>
      </c>
      <c r="J3173">
        <v>8</v>
      </c>
      <c r="K3173">
        <v>2.7</v>
      </c>
      <c r="L3173">
        <v>1</v>
      </c>
    </row>
    <row r="3174" spans="1:12">
      <c r="A3174" t="s">
        <v>9214</v>
      </c>
      <c r="B3174" t="s">
        <v>9215</v>
      </c>
      <c r="C3174" t="s">
        <v>9216</v>
      </c>
      <c r="D3174" t="s">
        <v>158</v>
      </c>
      <c r="E3174" t="s">
        <v>16</v>
      </c>
      <c r="F3174" t="s">
        <v>17</v>
      </c>
      <c r="G3174" t="s">
        <v>55</v>
      </c>
      <c r="H3174" t="s">
        <v>19</v>
      </c>
      <c r="I3174">
        <v>5</v>
      </c>
      <c r="J3174">
        <v>4</v>
      </c>
      <c r="K3174">
        <v>0.98</v>
      </c>
      <c r="L3174">
        <v>1</v>
      </c>
    </row>
    <row r="3175" spans="1:12">
      <c r="A3175" t="s">
        <v>9217</v>
      </c>
      <c r="B3175" t="s">
        <v>9218</v>
      </c>
      <c r="C3175" t="s">
        <v>9219</v>
      </c>
      <c r="D3175" t="s">
        <v>23</v>
      </c>
      <c r="E3175" t="s">
        <v>28</v>
      </c>
      <c r="F3175" t="s">
        <v>36</v>
      </c>
      <c r="G3175" t="s">
        <v>42</v>
      </c>
      <c r="H3175" t="s">
        <v>19</v>
      </c>
      <c r="I3175">
        <v>5</v>
      </c>
      <c r="J3175">
        <v>24</v>
      </c>
      <c r="K3175">
        <v>14.3</v>
      </c>
      <c r="L3175">
        <v>1</v>
      </c>
    </row>
    <row r="3176" spans="1:12">
      <c r="A3176" t="s">
        <v>9220</v>
      </c>
      <c r="B3176" t="s">
        <v>9221</v>
      </c>
      <c r="C3176" t="s">
        <v>9222</v>
      </c>
      <c r="D3176" t="s">
        <v>23</v>
      </c>
      <c r="E3176" t="s">
        <v>16</v>
      </c>
      <c r="F3176" t="s">
        <v>41</v>
      </c>
      <c r="G3176" t="s">
        <v>172</v>
      </c>
      <c r="H3176" t="s">
        <v>31</v>
      </c>
      <c r="I3176">
        <v>5</v>
      </c>
      <c r="J3176">
        <v>24</v>
      </c>
      <c r="K3176">
        <v>17.27</v>
      </c>
      <c r="L3176">
        <v>1</v>
      </c>
    </row>
    <row r="3177" spans="1:12">
      <c r="A3177" t="s">
        <v>9223</v>
      </c>
      <c r="B3177" t="s">
        <v>9224</v>
      </c>
      <c r="C3177" t="s">
        <v>9225</v>
      </c>
      <c r="D3177" t="s">
        <v>23</v>
      </c>
      <c r="E3177" t="s">
        <v>16</v>
      </c>
      <c r="F3177" t="s">
        <v>41</v>
      </c>
      <c r="G3177" t="s">
        <v>45</v>
      </c>
      <c r="H3177" t="s">
        <v>31</v>
      </c>
      <c r="I3177">
        <v>4</v>
      </c>
      <c r="J3177">
        <v>24</v>
      </c>
      <c r="K3177">
        <v>14.65</v>
      </c>
      <c r="L3177">
        <v>1</v>
      </c>
    </row>
    <row r="3178" spans="1:12">
      <c r="A3178" t="s">
        <v>9226</v>
      </c>
      <c r="B3178" t="s">
        <v>9227</v>
      </c>
      <c r="C3178" t="s">
        <v>9228</v>
      </c>
      <c r="D3178" t="s">
        <v>35</v>
      </c>
      <c r="E3178" t="s">
        <v>24</v>
      </c>
      <c r="F3178" t="s">
        <v>36</v>
      </c>
      <c r="G3178" t="s">
        <v>42</v>
      </c>
      <c r="H3178" t="s">
        <v>19</v>
      </c>
      <c r="I3178">
        <v>4</v>
      </c>
      <c r="J3178">
        <v>48</v>
      </c>
      <c r="K3178">
        <v>124.39</v>
      </c>
      <c r="L3178">
        <v>0</v>
      </c>
    </row>
    <row r="3179" spans="1:12">
      <c r="A3179" t="s">
        <v>9229</v>
      </c>
      <c r="B3179" t="s">
        <v>9230</v>
      </c>
      <c r="C3179" t="s">
        <v>9231</v>
      </c>
      <c r="D3179" t="s">
        <v>23</v>
      </c>
      <c r="E3179" t="s">
        <v>24</v>
      </c>
      <c r="F3179" t="s">
        <v>60</v>
      </c>
      <c r="G3179" t="s">
        <v>77</v>
      </c>
      <c r="H3179" t="s">
        <v>31</v>
      </c>
      <c r="I3179">
        <v>1</v>
      </c>
      <c r="J3179">
        <v>24</v>
      </c>
      <c r="K3179">
        <v>66.92</v>
      </c>
      <c r="L3179">
        <v>0</v>
      </c>
    </row>
    <row r="3180" spans="1:12">
      <c r="A3180" t="s">
        <v>9232</v>
      </c>
      <c r="B3180" t="s">
        <v>9233</v>
      </c>
      <c r="C3180" t="s">
        <v>9234</v>
      </c>
      <c r="D3180" t="s">
        <v>23</v>
      </c>
      <c r="E3180" t="s">
        <v>54</v>
      </c>
      <c r="F3180" t="s">
        <v>29</v>
      </c>
      <c r="G3180" t="s">
        <v>37</v>
      </c>
      <c r="H3180" t="s">
        <v>31</v>
      </c>
      <c r="I3180">
        <v>5</v>
      </c>
      <c r="J3180">
        <v>24</v>
      </c>
      <c r="K3180">
        <v>10.72</v>
      </c>
      <c r="L3180">
        <v>1</v>
      </c>
    </row>
    <row r="3181" spans="1:12">
      <c r="A3181" t="s">
        <v>9235</v>
      </c>
      <c r="B3181" t="s">
        <v>9236</v>
      </c>
      <c r="C3181" t="s">
        <v>9237</v>
      </c>
      <c r="D3181" t="s">
        <v>23</v>
      </c>
      <c r="E3181" t="s">
        <v>59</v>
      </c>
      <c r="F3181" t="s">
        <v>29</v>
      </c>
      <c r="G3181" t="s">
        <v>172</v>
      </c>
      <c r="H3181" t="s">
        <v>19</v>
      </c>
      <c r="I3181">
        <v>4</v>
      </c>
      <c r="J3181">
        <v>24</v>
      </c>
      <c r="K3181">
        <v>20.079999999999998</v>
      </c>
      <c r="L3181">
        <v>1</v>
      </c>
    </row>
    <row r="3182" spans="1:12">
      <c r="A3182" t="s">
        <v>9238</v>
      </c>
      <c r="B3182" t="s">
        <v>9239</v>
      </c>
      <c r="D3182" t="s">
        <v>23</v>
      </c>
      <c r="E3182" t="s">
        <v>54</v>
      </c>
      <c r="F3182" t="s">
        <v>17</v>
      </c>
      <c r="G3182" t="s">
        <v>50</v>
      </c>
      <c r="H3182" t="s">
        <v>63</v>
      </c>
      <c r="J3182">
        <v>24</v>
      </c>
    </row>
    <row r="3183" spans="1:12">
      <c r="A3183" t="s">
        <v>9240</v>
      </c>
      <c r="B3183" t="s">
        <v>9241</v>
      </c>
      <c r="C3183" t="s">
        <v>9242</v>
      </c>
      <c r="D3183" t="s">
        <v>158</v>
      </c>
      <c r="E3183" t="s">
        <v>28</v>
      </c>
      <c r="F3183" t="s">
        <v>17</v>
      </c>
      <c r="G3183" t="s">
        <v>77</v>
      </c>
      <c r="H3183" t="s">
        <v>31</v>
      </c>
      <c r="I3183">
        <v>5</v>
      </c>
      <c r="J3183">
        <v>4</v>
      </c>
      <c r="K3183">
        <v>2.6</v>
      </c>
      <c r="L3183">
        <v>1</v>
      </c>
    </row>
    <row r="3184" spans="1:12">
      <c r="A3184" t="s">
        <v>9243</v>
      </c>
      <c r="B3184" t="s">
        <v>9244</v>
      </c>
      <c r="C3184" t="s">
        <v>9245</v>
      </c>
      <c r="D3184" t="s">
        <v>23</v>
      </c>
      <c r="E3184" t="s">
        <v>59</v>
      </c>
      <c r="F3184" t="s">
        <v>17</v>
      </c>
      <c r="G3184" t="s">
        <v>105</v>
      </c>
      <c r="H3184" t="s">
        <v>19</v>
      </c>
      <c r="I3184">
        <v>3</v>
      </c>
      <c r="J3184">
        <v>24</v>
      </c>
      <c r="K3184">
        <v>15.52</v>
      </c>
      <c r="L3184">
        <v>1</v>
      </c>
    </row>
    <row r="3185" spans="1:12">
      <c r="A3185" t="s">
        <v>9246</v>
      </c>
      <c r="B3185" t="s">
        <v>9247</v>
      </c>
      <c r="C3185" t="s">
        <v>9248</v>
      </c>
      <c r="D3185" t="s">
        <v>23</v>
      </c>
      <c r="E3185" t="s">
        <v>28</v>
      </c>
      <c r="F3185" t="s">
        <v>17</v>
      </c>
      <c r="G3185" t="s">
        <v>151</v>
      </c>
      <c r="H3185" t="s">
        <v>31</v>
      </c>
      <c r="I3185">
        <v>5</v>
      </c>
      <c r="J3185">
        <v>24</v>
      </c>
      <c r="K3185">
        <v>6.92</v>
      </c>
      <c r="L3185">
        <v>1</v>
      </c>
    </row>
    <row r="3186" spans="1:12">
      <c r="A3186" t="s">
        <v>9249</v>
      </c>
      <c r="B3186" t="s">
        <v>9250</v>
      </c>
      <c r="C3186" t="s">
        <v>9251</v>
      </c>
      <c r="D3186" t="s">
        <v>23</v>
      </c>
      <c r="E3186" t="s">
        <v>24</v>
      </c>
      <c r="F3186" t="s">
        <v>17</v>
      </c>
      <c r="G3186" t="s">
        <v>42</v>
      </c>
      <c r="H3186" t="s">
        <v>19</v>
      </c>
      <c r="I3186">
        <v>2</v>
      </c>
      <c r="J3186">
        <v>24</v>
      </c>
      <c r="K3186">
        <v>40.619999999999997</v>
      </c>
      <c r="L3186">
        <v>0</v>
      </c>
    </row>
    <row r="3187" spans="1:12">
      <c r="A3187" t="s">
        <v>9252</v>
      </c>
      <c r="B3187" t="s">
        <v>9253</v>
      </c>
      <c r="C3187" t="s">
        <v>9254</v>
      </c>
      <c r="D3187" t="s">
        <v>35</v>
      </c>
      <c r="E3187" t="s">
        <v>28</v>
      </c>
      <c r="F3187" t="s">
        <v>60</v>
      </c>
      <c r="G3187" t="s">
        <v>30</v>
      </c>
      <c r="H3187" t="s">
        <v>19</v>
      </c>
      <c r="I3187">
        <v>5</v>
      </c>
      <c r="J3187">
        <v>48</v>
      </c>
      <c r="K3187">
        <v>29.34</v>
      </c>
      <c r="L3187">
        <v>1</v>
      </c>
    </row>
    <row r="3188" spans="1:12">
      <c r="A3188" t="s">
        <v>9255</v>
      </c>
      <c r="B3188" t="s">
        <v>9256</v>
      </c>
      <c r="C3188" t="s">
        <v>9257</v>
      </c>
      <c r="D3188" t="s">
        <v>23</v>
      </c>
      <c r="E3188" t="s">
        <v>28</v>
      </c>
      <c r="F3188" t="s">
        <v>17</v>
      </c>
      <c r="G3188" t="s">
        <v>172</v>
      </c>
      <c r="H3188" t="s">
        <v>31</v>
      </c>
      <c r="I3188">
        <v>1</v>
      </c>
      <c r="J3188">
        <v>24</v>
      </c>
      <c r="K3188">
        <v>63.59</v>
      </c>
      <c r="L3188">
        <v>0</v>
      </c>
    </row>
    <row r="3189" spans="1:12">
      <c r="A3189" t="s">
        <v>9258</v>
      </c>
      <c r="B3189" t="s">
        <v>9259</v>
      </c>
      <c r="C3189" t="s">
        <v>9260</v>
      </c>
      <c r="D3189" t="s">
        <v>35</v>
      </c>
      <c r="E3189" t="s">
        <v>28</v>
      </c>
      <c r="F3189" t="s">
        <v>36</v>
      </c>
      <c r="G3189" t="s">
        <v>73</v>
      </c>
      <c r="H3189" t="s">
        <v>19</v>
      </c>
      <c r="I3189">
        <v>5</v>
      </c>
      <c r="J3189">
        <v>48</v>
      </c>
      <c r="K3189">
        <v>34.69</v>
      </c>
      <c r="L3189">
        <v>1</v>
      </c>
    </row>
    <row r="3190" spans="1:12">
      <c r="A3190" t="s">
        <v>9261</v>
      </c>
      <c r="B3190" t="s">
        <v>9262</v>
      </c>
      <c r="C3190" t="s">
        <v>9263</v>
      </c>
      <c r="D3190" t="s">
        <v>15</v>
      </c>
      <c r="E3190" t="s">
        <v>28</v>
      </c>
      <c r="F3190" t="s">
        <v>29</v>
      </c>
      <c r="G3190" t="s">
        <v>42</v>
      </c>
      <c r="H3190" t="s">
        <v>19</v>
      </c>
      <c r="I3190">
        <v>5</v>
      </c>
      <c r="J3190">
        <v>8</v>
      </c>
      <c r="K3190">
        <v>6.47</v>
      </c>
      <c r="L3190">
        <v>1</v>
      </c>
    </row>
    <row r="3191" spans="1:12">
      <c r="A3191" t="s">
        <v>9264</v>
      </c>
      <c r="B3191" t="s">
        <v>9265</v>
      </c>
      <c r="C3191" t="s">
        <v>9266</v>
      </c>
      <c r="D3191" t="s">
        <v>15</v>
      </c>
      <c r="E3191" t="s">
        <v>16</v>
      </c>
      <c r="F3191" t="s">
        <v>36</v>
      </c>
      <c r="G3191" t="s">
        <v>151</v>
      </c>
      <c r="H3191" t="s">
        <v>31</v>
      </c>
      <c r="I3191">
        <v>1</v>
      </c>
      <c r="J3191">
        <v>8</v>
      </c>
      <c r="K3191">
        <v>23.2</v>
      </c>
      <c r="L3191">
        <v>0</v>
      </c>
    </row>
    <row r="3192" spans="1:12">
      <c r="A3192" t="s">
        <v>9267</v>
      </c>
      <c r="B3192" t="s">
        <v>9268</v>
      </c>
      <c r="D3192" t="s">
        <v>35</v>
      </c>
      <c r="E3192" t="s">
        <v>16</v>
      </c>
      <c r="F3192" t="s">
        <v>36</v>
      </c>
      <c r="G3192" t="s">
        <v>105</v>
      </c>
      <c r="H3192" t="s">
        <v>46</v>
      </c>
      <c r="J3192">
        <v>48</v>
      </c>
    </row>
    <row r="3193" spans="1:12">
      <c r="A3193" t="s">
        <v>9269</v>
      </c>
      <c r="B3193" t="s">
        <v>9270</v>
      </c>
      <c r="C3193" t="s">
        <v>9271</v>
      </c>
      <c r="D3193" t="s">
        <v>15</v>
      </c>
      <c r="E3193" t="s">
        <v>16</v>
      </c>
      <c r="F3193" t="s">
        <v>36</v>
      </c>
      <c r="G3193" t="s">
        <v>105</v>
      </c>
      <c r="H3193" t="s">
        <v>19</v>
      </c>
      <c r="I3193">
        <v>4</v>
      </c>
      <c r="J3193">
        <v>8</v>
      </c>
      <c r="K3193">
        <v>4.87</v>
      </c>
      <c r="L3193">
        <v>1</v>
      </c>
    </row>
    <row r="3194" spans="1:12">
      <c r="A3194" t="s">
        <v>9272</v>
      </c>
      <c r="B3194" t="s">
        <v>9273</v>
      </c>
      <c r="C3194" t="s">
        <v>9274</v>
      </c>
      <c r="D3194" t="s">
        <v>35</v>
      </c>
      <c r="E3194" t="s">
        <v>16</v>
      </c>
      <c r="F3194" t="s">
        <v>60</v>
      </c>
      <c r="G3194" t="s">
        <v>45</v>
      </c>
      <c r="H3194" t="s">
        <v>19</v>
      </c>
      <c r="I3194">
        <v>5</v>
      </c>
      <c r="J3194">
        <v>48</v>
      </c>
      <c r="K3194">
        <v>20.7</v>
      </c>
      <c r="L3194">
        <v>1</v>
      </c>
    </row>
    <row r="3195" spans="1:12">
      <c r="A3195" t="s">
        <v>9275</v>
      </c>
      <c r="B3195" t="s">
        <v>9276</v>
      </c>
      <c r="C3195" t="s">
        <v>9277</v>
      </c>
      <c r="D3195" t="s">
        <v>15</v>
      </c>
      <c r="E3195" t="s">
        <v>16</v>
      </c>
      <c r="F3195" t="s">
        <v>41</v>
      </c>
      <c r="G3195" t="s">
        <v>55</v>
      </c>
      <c r="H3195" t="s">
        <v>19</v>
      </c>
      <c r="I3195">
        <v>5</v>
      </c>
      <c r="J3195">
        <v>8</v>
      </c>
      <c r="K3195">
        <v>3.1</v>
      </c>
      <c r="L3195">
        <v>1</v>
      </c>
    </row>
    <row r="3196" spans="1:12">
      <c r="A3196" t="s">
        <v>9278</v>
      </c>
      <c r="B3196" t="s">
        <v>9279</v>
      </c>
      <c r="C3196" t="s">
        <v>9280</v>
      </c>
      <c r="D3196" t="s">
        <v>23</v>
      </c>
      <c r="E3196" t="s">
        <v>28</v>
      </c>
      <c r="F3196" t="s">
        <v>29</v>
      </c>
      <c r="G3196" t="s">
        <v>172</v>
      </c>
      <c r="H3196" t="s">
        <v>31</v>
      </c>
      <c r="I3196">
        <v>5</v>
      </c>
      <c r="J3196">
        <v>24</v>
      </c>
      <c r="K3196">
        <v>11.88</v>
      </c>
      <c r="L3196">
        <v>1</v>
      </c>
    </row>
    <row r="3197" spans="1:12">
      <c r="A3197" t="s">
        <v>9281</v>
      </c>
      <c r="B3197" t="s">
        <v>9282</v>
      </c>
      <c r="C3197" t="s">
        <v>9283</v>
      </c>
      <c r="D3197" t="s">
        <v>23</v>
      </c>
      <c r="E3197" t="s">
        <v>54</v>
      </c>
      <c r="F3197" t="s">
        <v>60</v>
      </c>
      <c r="G3197" t="s">
        <v>55</v>
      </c>
      <c r="H3197" t="s">
        <v>31</v>
      </c>
      <c r="I3197">
        <v>5</v>
      </c>
      <c r="J3197">
        <v>24</v>
      </c>
      <c r="K3197">
        <v>11.8</v>
      </c>
      <c r="L3197">
        <v>1</v>
      </c>
    </row>
    <row r="3198" spans="1:12">
      <c r="A3198" t="s">
        <v>9284</v>
      </c>
      <c r="B3198" t="s">
        <v>9285</v>
      </c>
      <c r="C3198" t="s">
        <v>9286</v>
      </c>
      <c r="D3198" t="s">
        <v>15</v>
      </c>
      <c r="E3198" t="s">
        <v>54</v>
      </c>
      <c r="F3198" t="s">
        <v>36</v>
      </c>
      <c r="G3198" t="s">
        <v>37</v>
      </c>
      <c r="H3198" t="s">
        <v>19</v>
      </c>
      <c r="I3198">
        <v>4</v>
      </c>
      <c r="J3198">
        <v>8</v>
      </c>
      <c r="K3198">
        <v>6.77</v>
      </c>
      <c r="L3198">
        <v>1</v>
      </c>
    </row>
    <row r="3199" spans="1:12">
      <c r="A3199" t="s">
        <v>9287</v>
      </c>
      <c r="B3199" t="s">
        <v>9288</v>
      </c>
      <c r="C3199" t="s">
        <v>9289</v>
      </c>
      <c r="D3199" t="s">
        <v>23</v>
      </c>
      <c r="E3199" t="s">
        <v>59</v>
      </c>
      <c r="F3199" t="s">
        <v>41</v>
      </c>
      <c r="G3199" t="s">
        <v>30</v>
      </c>
      <c r="H3199" t="s">
        <v>19</v>
      </c>
      <c r="I3199">
        <v>4</v>
      </c>
      <c r="J3199">
        <v>24</v>
      </c>
      <c r="K3199">
        <v>12.17</v>
      </c>
      <c r="L3199">
        <v>1</v>
      </c>
    </row>
    <row r="3200" spans="1:12">
      <c r="A3200" t="s">
        <v>9290</v>
      </c>
      <c r="B3200" t="s">
        <v>9291</v>
      </c>
      <c r="C3200" t="s">
        <v>9292</v>
      </c>
      <c r="D3200" t="s">
        <v>35</v>
      </c>
      <c r="E3200" t="s">
        <v>16</v>
      </c>
      <c r="F3200" t="s">
        <v>17</v>
      </c>
      <c r="G3200" t="s">
        <v>45</v>
      </c>
      <c r="H3200" t="s">
        <v>19</v>
      </c>
      <c r="I3200">
        <v>5</v>
      </c>
      <c r="J3200">
        <v>48</v>
      </c>
      <c r="K3200">
        <v>11.77</v>
      </c>
      <c r="L3200">
        <v>1</v>
      </c>
    </row>
    <row r="3201" spans="1:12">
      <c r="A3201" t="s">
        <v>9293</v>
      </c>
      <c r="B3201" t="s">
        <v>9294</v>
      </c>
      <c r="C3201" t="s">
        <v>9295</v>
      </c>
      <c r="D3201" t="s">
        <v>158</v>
      </c>
      <c r="E3201" t="s">
        <v>54</v>
      </c>
      <c r="F3201" t="s">
        <v>17</v>
      </c>
      <c r="G3201" t="s">
        <v>30</v>
      </c>
      <c r="H3201" t="s">
        <v>19</v>
      </c>
      <c r="I3201">
        <v>1</v>
      </c>
      <c r="J3201">
        <v>4</v>
      </c>
      <c r="K3201">
        <v>5.64</v>
      </c>
      <c r="L3201">
        <v>0</v>
      </c>
    </row>
    <row r="3202" spans="1:12">
      <c r="A3202" t="s">
        <v>9296</v>
      </c>
      <c r="B3202" t="s">
        <v>9297</v>
      </c>
      <c r="C3202" t="s">
        <v>9298</v>
      </c>
      <c r="D3202" t="s">
        <v>15</v>
      </c>
      <c r="E3202" t="s">
        <v>24</v>
      </c>
      <c r="F3202" t="s">
        <v>60</v>
      </c>
      <c r="G3202" t="s">
        <v>42</v>
      </c>
      <c r="H3202" t="s">
        <v>31</v>
      </c>
      <c r="I3202">
        <v>4</v>
      </c>
      <c r="J3202">
        <v>8</v>
      </c>
      <c r="K3202">
        <v>2.63</v>
      </c>
      <c r="L3202">
        <v>1</v>
      </c>
    </row>
    <row r="3203" spans="1:12">
      <c r="A3203" t="s">
        <v>9299</v>
      </c>
      <c r="B3203" t="s">
        <v>9300</v>
      </c>
      <c r="C3203" t="s">
        <v>9301</v>
      </c>
      <c r="D3203" t="s">
        <v>35</v>
      </c>
      <c r="E3203" t="s">
        <v>28</v>
      </c>
      <c r="F3203" t="s">
        <v>36</v>
      </c>
      <c r="G3203" t="s">
        <v>73</v>
      </c>
      <c r="H3203" t="s">
        <v>31</v>
      </c>
      <c r="I3203">
        <v>4</v>
      </c>
      <c r="J3203">
        <v>48</v>
      </c>
      <c r="K3203">
        <v>38.94</v>
      </c>
      <c r="L3203">
        <v>1</v>
      </c>
    </row>
    <row r="3204" spans="1:12">
      <c r="A3204" t="s">
        <v>9302</v>
      </c>
      <c r="B3204" t="s">
        <v>9303</v>
      </c>
      <c r="C3204" t="s">
        <v>9304</v>
      </c>
      <c r="D3204" t="s">
        <v>23</v>
      </c>
      <c r="E3204" t="s">
        <v>28</v>
      </c>
      <c r="F3204" t="s">
        <v>29</v>
      </c>
      <c r="G3204" t="s">
        <v>105</v>
      </c>
      <c r="H3204" t="s">
        <v>31</v>
      </c>
      <c r="I3204">
        <v>5</v>
      </c>
      <c r="J3204">
        <v>24</v>
      </c>
      <c r="K3204">
        <v>16.03</v>
      </c>
      <c r="L3204">
        <v>1</v>
      </c>
    </row>
    <row r="3205" spans="1:12">
      <c r="A3205" t="s">
        <v>9305</v>
      </c>
      <c r="B3205" t="s">
        <v>9306</v>
      </c>
      <c r="C3205" t="s">
        <v>9307</v>
      </c>
      <c r="D3205" t="s">
        <v>158</v>
      </c>
      <c r="E3205" t="s">
        <v>28</v>
      </c>
      <c r="F3205" t="s">
        <v>29</v>
      </c>
      <c r="G3205" t="s">
        <v>30</v>
      </c>
      <c r="H3205" t="s">
        <v>31</v>
      </c>
      <c r="I3205">
        <v>4</v>
      </c>
      <c r="J3205">
        <v>4</v>
      </c>
      <c r="K3205">
        <v>0.75</v>
      </c>
      <c r="L3205">
        <v>1</v>
      </c>
    </row>
    <row r="3206" spans="1:12">
      <c r="A3206" t="s">
        <v>9308</v>
      </c>
      <c r="B3206" t="s">
        <v>9309</v>
      </c>
      <c r="C3206" t="s">
        <v>9310</v>
      </c>
      <c r="D3206" t="s">
        <v>23</v>
      </c>
      <c r="E3206" t="s">
        <v>54</v>
      </c>
      <c r="F3206" t="s">
        <v>36</v>
      </c>
      <c r="G3206" t="s">
        <v>18</v>
      </c>
      <c r="H3206" t="s">
        <v>19</v>
      </c>
      <c r="I3206">
        <v>4</v>
      </c>
      <c r="J3206">
        <v>24</v>
      </c>
      <c r="K3206">
        <v>19.350000000000001</v>
      </c>
      <c r="L3206">
        <v>1</v>
      </c>
    </row>
    <row r="3207" spans="1:12">
      <c r="A3207" t="s">
        <v>9311</v>
      </c>
      <c r="B3207" t="s">
        <v>9312</v>
      </c>
      <c r="C3207" t="s">
        <v>9313</v>
      </c>
      <c r="D3207" t="s">
        <v>15</v>
      </c>
      <c r="E3207" t="s">
        <v>24</v>
      </c>
      <c r="F3207" t="s">
        <v>60</v>
      </c>
      <c r="G3207" t="s">
        <v>30</v>
      </c>
      <c r="H3207" t="s">
        <v>19</v>
      </c>
      <c r="I3207">
        <v>1</v>
      </c>
      <c r="J3207">
        <v>8</v>
      </c>
      <c r="K3207">
        <v>14.41</v>
      </c>
      <c r="L3207">
        <v>0</v>
      </c>
    </row>
    <row r="3208" spans="1:12">
      <c r="A3208" t="s">
        <v>9314</v>
      </c>
      <c r="B3208" t="s">
        <v>9315</v>
      </c>
      <c r="C3208" t="s">
        <v>9316</v>
      </c>
      <c r="D3208" t="s">
        <v>35</v>
      </c>
      <c r="E3208" t="s">
        <v>24</v>
      </c>
      <c r="F3208" t="s">
        <v>17</v>
      </c>
      <c r="G3208" t="s">
        <v>172</v>
      </c>
      <c r="H3208" t="s">
        <v>19</v>
      </c>
      <c r="I3208">
        <v>5</v>
      </c>
      <c r="J3208">
        <v>48</v>
      </c>
      <c r="K3208">
        <v>12.19</v>
      </c>
      <c r="L3208">
        <v>1</v>
      </c>
    </row>
    <row r="3209" spans="1:12">
      <c r="A3209" t="s">
        <v>9317</v>
      </c>
      <c r="B3209" t="s">
        <v>9318</v>
      </c>
      <c r="C3209" t="s">
        <v>9319</v>
      </c>
      <c r="D3209" t="s">
        <v>158</v>
      </c>
      <c r="E3209" t="s">
        <v>59</v>
      </c>
      <c r="F3209" t="s">
        <v>17</v>
      </c>
      <c r="G3209" t="s">
        <v>50</v>
      </c>
      <c r="H3209" t="s">
        <v>19</v>
      </c>
      <c r="I3209">
        <v>5</v>
      </c>
      <c r="J3209">
        <v>4</v>
      </c>
      <c r="K3209">
        <v>2.38</v>
      </c>
      <c r="L3209">
        <v>1</v>
      </c>
    </row>
    <row r="3210" spans="1:12">
      <c r="A3210" t="s">
        <v>9320</v>
      </c>
      <c r="B3210" t="s">
        <v>9321</v>
      </c>
      <c r="C3210" t="s">
        <v>9322</v>
      </c>
      <c r="D3210" t="s">
        <v>23</v>
      </c>
      <c r="E3210" t="s">
        <v>16</v>
      </c>
      <c r="F3210" t="s">
        <v>60</v>
      </c>
      <c r="G3210" t="s">
        <v>172</v>
      </c>
      <c r="H3210" t="s">
        <v>19</v>
      </c>
      <c r="I3210">
        <v>4</v>
      </c>
      <c r="J3210">
        <v>24</v>
      </c>
      <c r="K3210">
        <v>4.3</v>
      </c>
      <c r="L3210">
        <v>1</v>
      </c>
    </row>
    <row r="3211" spans="1:12">
      <c r="A3211" t="s">
        <v>9323</v>
      </c>
      <c r="B3211" t="s">
        <v>9324</v>
      </c>
      <c r="C3211" t="s">
        <v>9325</v>
      </c>
      <c r="D3211" t="s">
        <v>158</v>
      </c>
      <c r="E3211" t="s">
        <v>16</v>
      </c>
      <c r="F3211" t="s">
        <v>17</v>
      </c>
      <c r="G3211" t="s">
        <v>55</v>
      </c>
      <c r="H3211" t="s">
        <v>31</v>
      </c>
      <c r="I3211">
        <v>3</v>
      </c>
      <c r="J3211">
        <v>4</v>
      </c>
      <c r="K3211">
        <v>10.39</v>
      </c>
      <c r="L3211">
        <v>0</v>
      </c>
    </row>
    <row r="3212" spans="1:12">
      <c r="A3212" t="s">
        <v>9326</v>
      </c>
      <c r="B3212" t="s">
        <v>9327</v>
      </c>
      <c r="C3212" t="s">
        <v>9328</v>
      </c>
      <c r="D3212" t="s">
        <v>15</v>
      </c>
      <c r="E3212" t="s">
        <v>54</v>
      </c>
      <c r="F3212" t="s">
        <v>17</v>
      </c>
      <c r="G3212" t="s">
        <v>45</v>
      </c>
      <c r="H3212" t="s">
        <v>19</v>
      </c>
      <c r="I3212">
        <v>5</v>
      </c>
      <c r="J3212">
        <v>8</v>
      </c>
      <c r="K3212">
        <v>2.0099999999999998</v>
      </c>
      <c r="L3212">
        <v>1</v>
      </c>
    </row>
    <row r="3213" spans="1:12">
      <c r="A3213" t="s">
        <v>9329</v>
      </c>
      <c r="B3213" t="s">
        <v>9330</v>
      </c>
      <c r="C3213" t="s">
        <v>9331</v>
      </c>
      <c r="D3213" t="s">
        <v>23</v>
      </c>
      <c r="E3213" t="s">
        <v>28</v>
      </c>
      <c r="F3213" t="s">
        <v>29</v>
      </c>
      <c r="G3213" t="s">
        <v>151</v>
      </c>
      <c r="H3213" t="s">
        <v>19</v>
      </c>
      <c r="I3213">
        <v>4</v>
      </c>
      <c r="J3213">
        <v>24</v>
      </c>
      <c r="K3213">
        <v>21.83</v>
      </c>
      <c r="L3213">
        <v>1</v>
      </c>
    </row>
    <row r="3214" spans="1:12">
      <c r="A3214" t="s">
        <v>9332</v>
      </c>
      <c r="B3214" t="s">
        <v>9333</v>
      </c>
      <c r="C3214" t="s">
        <v>9334</v>
      </c>
      <c r="D3214" t="s">
        <v>23</v>
      </c>
      <c r="E3214" t="s">
        <v>59</v>
      </c>
      <c r="F3214" t="s">
        <v>60</v>
      </c>
      <c r="G3214" t="s">
        <v>37</v>
      </c>
      <c r="H3214" t="s">
        <v>19</v>
      </c>
      <c r="I3214">
        <v>5</v>
      </c>
      <c r="J3214">
        <v>24</v>
      </c>
      <c r="K3214">
        <v>17.329999999999998</v>
      </c>
      <c r="L3214">
        <v>1</v>
      </c>
    </row>
    <row r="3215" spans="1:12">
      <c r="A3215" t="s">
        <v>9335</v>
      </c>
      <c r="B3215" t="s">
        <v>9336</v>
      </c>
      <c r="C3215" t="s">
        <v>9337</v>
      </c>
      <c r="D3215" t="s">
        <v>35</v>
      </c>
      <c r="E3215" t="s">
        <v>16</v>
      </c>
      <c r="F3215" t="s">
        <v>17</v>
      </c>
      <c r="G3215" t="s">
        <v>45</v>
      </c>
      <c r="H3215" t="s">
        <v>19</v>
      </c>
      <c r="I3215">
        <v>5</v>
      </c>
      <c r="J3215">
        <v>48</v>
      </c>
      <c r="K3215">
        <v>20.46</v>
      </c>
      <c r="L3215">
        <v>1</v>
      </c>
    </row>
    <row r="3216" spans="1:12">
      <c r="A3216" t="s">
        <v>9338</v>
      </c>
      <c r="B3216" t="s">
        <v>9339</v>
      </c>
      <c r="C3216" t="s">
        <v>9340</v>
      </c>
      <c r="D3216" t="s">
        <v>23</v>
      </c>
      <c r="E3216" t="s">
        <v>28</v>
      </c>
      <c r="F3216" t="s">
        <v>41</v>
      </c>
      <c r="G3216" t="s">
        <v>45</v>
      </c>
      <c r="H3216" t="s">
        <v>19</v>
      </c>
      <c r="I3216">
        <v>3</v>
      </c>
      <c r="J3216">
        <v>24</v>
      </c>
      <c r="K3216">
        <v>26.22</v>
      </c>
      <c r="L3216">
        <v>0</v>
      </c>
    </row>
    <row r="3217" spans="1:12">
      <c r="A3217" t="s">
        <v>9341</v>
      </c>
      <c r="B3217" t="s">
        <v>9342</v>
      </c>
      <c r="D3217" t="s">
        <v>35</v>
      </c>
      <c r="E3217" t="s">
        <v>16</v>
      </c>
      <c r="F3217" t="s">
        <v>60</v>
      </c>
      <c r="G3217" t="s">
        <v>55</v>
      </c>
      <c r="H3217" t="s">
        <v>46</v>
      </c>
      <c r="J3217">
        <v>48</v>
      </c>
    </row>
    <row r="3218" spans="1:12">
      <c r="A3218" t="s">
        <v>9343</v>
      </c>
      <c r="B3218" t="s">
        <v>9344</v>
      </c>
      <c r="D3218" t="s">
        <v>15</v>
      </c>
      <c r="E3218" t="s">
        <v>59</v>
      </c>
      <c r="F3218" t="s">
        <v>41</v>
      </c>
      <c r="G3218" t="s">
        <v>151</v>
      </c>
      <c r="H3218" t="s">
        <v>63</v>
      </c>
      <c r="J3218">
        <v>8</v>
      </c>
    </row>
    <row r="3219" spans="1:12">
      <c r="A3219" t="s">
        <v>9345</v>
      </c>
      <c r="B3219" t="s">
        <v>9346</v>
      </c>
      <c r="C3219" t="s">
        <v>9347</v>
      </c>
      <c r="D3219" t="s">
        <v>35</v>
      </c>
      <c r="E3219" t="s">
        <v>28</v>
      </c>
      <c r="F3219" t="s">
        <v>17</v>
      </c>
      <c r="G3219" t="s">
        <v>172</v>
      </c>
      <c r="H3219" t="s">
        <v>31</v>
      </c>
      <c r="I3219">
        <v>2</v>
      </c>
      <c r="J3219">
        <v>48</v>
      </c>
      <c r="K3219">
        <v>94.42</v>
      </c>
      <c r="L3219">
        <v>0</v>
      </c>
    </row>
    <row r="3220" spans="1:12">
      <c r="A3220" t="s">
        <v>9348</v>
      </c>
      <c r="B3220" t="s">
        <v>9349</v>
      </c>
      <c r="C3220" t="s">
        <v>9350</v>
      </c>
      <c r="D3220" t="s">
        <v>23</v>
      </c>
      <c r="E3220" t="s">
        <v>16</v>
      </c>
      <c r="F3220" t="s">
        <v>60</v>
      </c>
      <c r="G3220" t="s">
        <v>18</v>
      </c>
      <c r="H3220" t="s">
        <v>19</v>
      </c>
      <c r="I3220">
        <v>4</v>
      </c>
      <c r="J3220">
        <v>24</v>
      </c>
      <c r="K3220">
        <v>18.68</v>
      </c>
      <c r="L3220">
        <v>1</v>
      </c>
    </row>
    <row r="3221" spans="1:12">
      <c r="A3221" t="s">
        <v>9351</v>
      </c>
      <c r="B3221" t="s">
        <v>9352</v>
      </c>
      <c r="D3221" t="s">
        <v>23</v>
      </c>
      <c r="E3221" t="s">
        <v>59</v>
      </c>
      <c r="F3221" t="s">
        <v>17</v>
      </c>
      <c r="G3221" t="s">
        <v>45</v>
      </c>
      <c r="H3221" t="s">
        <v>46</v>
      </c>
      <c r="J3221">
        <v>24</v>
      </c>
    </row>
    <row r="3222" spans="1:12">
      <c r="A3222" t="s">
        <v>9353</v>
      </c>
      <c r="B3222" t="s">
        <v>9354</v>
      </c>
      <c r="D3222" t="s">
        <v>23</v>
      </c>
      <c r="E3222" t="s">
        <v>54</v>
      </c>
      <c r="F3222" t="s">
        <v>41</v>
      </c>
      <c r="G3222" t="s">
        <v>77</v>
      </c>
      <c r="H3222" t="s">
        <v>46</v>
      </c>
      <c r="J3222">
        <v>24</v>
      </c>
    </row>
    <row r="3223" spans="1:12">
      <c r="A3223" t="s">
        <v>9355</v>
      </c>
      <c r="B3223" t="s">
        <v>9356</v>
      </c>
      <c r="C3223" t="s">
        <v>9357</v>
      </c>
      <c r="D3223" t="s">
        <v>23</v>
      </c>
      <c r="E3223" t="s">
        <v>28</v>
      </c>
      <c r="F3223" t="s">
        <v>60</v>
      </c>
      <c r="G3223" t="s">
        <v>45</v>
      </c>
      <c r="H3223" t="s">
        <v>19</v>
      </c>
      <c r="I3223">
        <v>5</v>
      </c>
      <c r="J3223">
        <v>24</v>
      </c>
      <c r="K3223">
        <v>4.57</v>
      </c>
      <c r="L3223">
        <v>1</v>
      </c>
    </row>
    <row r="3224" spans="1:12">
      <c r="A3224" t="s">
        <v>9358</v>
      </c>
      <c r="B3224" t="s">
        <v>9359</v>
      </c>
      <c r="C3224" t="s">
        <v>9360</v>
      </c>
      <c r="D3224" t="s">
        <v>23</v>
      </c>
      <c r="E3224" t="s">
        <v>16</v>
      </c>
      <c r="F3224" t="s">
        <v>41</v>
      </c>
      <c r="G3224" t="s">
        <v>55</v>
      </c>
      <c r="H3224" t="s">
        <v>19</v>
      </c>
      <c r="I3224">
        <v>4</v>
      </c>
      <c r="J3224">
        <v>24</v>
      </c>
      <c r="K3224">
        <v>54.27</v>
      </c>
      <c r="L3224">
        <v>0</v>
      </c>
    </row>
    <row r="3225" spans="1:12">
      <c r="A3225" t="s">
        <v>9361</v>
      </c>
      <c r="B3225" t="s">
        <v>9362</v>
      </c>
      <c r="C3225" t="s">
        <v>9363</v>
      </c>
      <c r="D3225" t="s">
        <v>158</v>
      </c>
      <c r="E3225" t="s">
        <v>16</v>
      </c>
      <c r="F3225" t="s">
        <v>60</v>
      </c>
      <c r="G3225" t="s">
        <v>45</v>
      </c>
      <c r="H3225" t="s">
        <v>31</v>
      </c>
      <c r="I3225">
        <v>2</v>
      </c>
      <c r="J3225">
        <v>4</v>
      </c>
      <c r="K3225">
        <v>11.47</v>
      </c>
      <c r="L3225">
        <v>0</v>
      </c>
    </row>
    <row r="3226" spans="1:12">
      <c r="A3226" t="s">
        <v>9364</v>
      </c>
      <c r="B3226" t="s">
        <v>9365</v>
      </c>
      <c r="C3226" t="s">
        <v>9366</v>
      </c>
      <c r="D3226" t="s">
        <v>23</v>
      </c>
      <c r="E3226" t="s">
        <v>16</v>
      </c>
      <c r="F3226" t="s">
        <v>41</v>
      </c>
      <c r="G3226" t="s">
        <v>37</v>
      </c>
      <c r="H3226" t="s">
        <v>31</v>
      </c>
      <c r="I3226">
        <v>5</v>
      </c>
      <c r="J3226">
        <v>24</v>
      </c>
      <c r="K3226">
        <v>9.31</v>
      </c>
      <c r="L3226">
        <v>1</v>
      </c>
    </row>
    <row r="3227" spans="1:12">
      <c r="A3227" t="s">
        <v>9367</v>
      </c>
      <c r="B3227" t="s">
        <v>9368</v>
      </c>
      <c r="C3227" t="s">
        <v>9369</v>
      </c>
      <c r="D3227" t="s">
        <v>23</v>
      </c>
      <c r="E3227" t="s">
        <v>54</v>
      </c>
      <c r="F3227" t="s">
        <v>36</v>
      </c>
      <c r="G3227" t="s">
        <v>37</v>
      </c>
      <c r="H3227" t="s">
        <v>19</v>
      </c>
      <c r="I3227">
        <v>5</v>
      </c>
      <c r="J3227">
        <v>24</v>
      </c>
      <c r="K3227">
        <v>13.88</v>
      </c>
      <c r="L3227">
        <v>1</v>
      </c>
    </row>
    <row r="3228" spans="1:12">
      <c r="A3228" t="s">
        <v>9370</v>
      </c>
      <c r="B3228" t="s">
        <v>9371</v>
      </c>
      <c r="C3228" t="s">
        <v>9372</v>
      </c>
      <c r="D3228" t="s">
        <v>15</v>
      </c>
      <c r="E3228" t="s">
        <v>54</v>
      </c>
      <c r="F3228" t="s">
        <v>29</v>
      </c>
      <c r="G3228" t="s">
        <v>55</v>
      </c>
      <c r="H3228" t="s">
        <v>31</v>
      </c>
      <c r="I3228">
        <v>2</v>
      </c>
      <c r="J3228">
        <v>8</v>
      </c>
      <c r="K3228">
        <v>17.38</v>
      </c>
      <c r="L3228">
        <v>0</v>
      </c>
    </row>
    <row r="3229" spans="1:12">
      <c r="A3229" t="s">
        <v>9373</v>
      </c>
      <c r="B3229" t="s">
        <v>9374</v>
      </c>
      <c r="C3229" t="s">
        <v>9375</v>
      </c>
      <c r="D3229" t="s">
        <v>35</v>
      </c>
      <c r="E3229" t="s">
        <v>59</v>
      </c>
      <c r="F3229" t="s">
        <v>29</v>
      </c>
      <c r="G3229" t="s">
        <v>30</v>
      </c>
      <c r="H3229" t="s">
        <v>31</v>
      </c>
      <c r="I3229">
        <v>5</v>
      </c>
      <c r="J3229">
        <v>48</v>
      </c>
      <c r="K3229">
        <v>21.47</v>
      </c>
      <c r="L3229">
        <v>1</v>
      </c>
    </row>
    <row r="3230" spans="1:12">
      <c r="A3230" t="s">
        <v>9376</v>
      </c>
      <c r="B3230" t="s">
        <v>9377</v>
      </c>
      <c r="C3230" t="s">
        <v>9378</v>
      </c>
      <c r="D3230" t="s">
        <v>35</v>
      </c>
      <c r="E3230" t="s">
        <v>28</v>
      </c>
      <c r="F3230" t="s">
        <v>29</v>
      </c>
      <c r="G3230" t="s">
        <v>30</v>
      </c>
      <c r="H3230" t="s">
        <v>19</v>
      </c>
      <c r="I3230">
        <v>5</v>
      </c>
      <c r="J3230">
        <v>48</v>
      </c>
      <c r="K3230">
        <v>41.57</v>
      </c>
      <c r="L3230">
        <v>1</v>
      </c>
    </row>
    <row r="3231" spans="1:12">
      <c r="A3231" t="s">
        <v>9379</v>
      </c>
      <c r="B3231" t="s">
        <v>9380</v>
      </c>
      <c r="C3231" t="s">
        <v>9381</v>
      </c>
      <c r="D3231" t="s">
        <v>23</v>
      </c>
      <c r="E3231" t="s">
        <v>24</v>
      </c>
      <c r="F3231" t="s">
        <v>60</v>
      </c>
      <c r="G3231" t="s">
        <v>55</v>
      </c>
      <c r="H3231" t="s">
        <v>19</v>
      </c>
      <c r="I3231">
        <v>4</v>
      </c>
      <c r="J3231">
        <v>24</v>
      </c>
      <c r="K3231">
        <v>11.49</v>
      </c>
      <c r="L3231">
        <v>1</v>
      </c>
    </row>
    <row r="3232" spans="1:12">
      <c r="A3232" t="s">
        <v>9382</v>
      </c>
      <c r="B3232" t="s">
        <v>9383</v>
      </c>
      <c r="C3232" t="s">
        <v>9384</v>
      </c>
      <c r="D3232" t="s">
        <v>35</v>
      </c>
      <c r="E3232" t="s">
        <v>16</v>
      </c>
      <c r="F3232" t="s">
        <v>17</v>
      </c>
      <c r="G3232" t="s">
        <v>77</v>
      </c>
      <c r="H3232" t="s">
        <v>19</v>
      </c>
      <c r="I3232">
        <v>5</v>
      </c>
      <c r="J3232">
        <v>48</v>
      </c>
      <c r="K3232">
        <v>24.81</v>
      </c>
      <c r="L3232">
        <v>1</v>
      </c>
    </row>
    <row r="3233" spans="1:12">
      <c r="A3233" t="s">
        <v>9385</v>
      </c>
      <c r="B3233" t="s">
        <v>9386</v>
      </c>
      <c r="C3233" t="s">
        <v>9387</v>
      </c>
      <c r="D3233" t="s">
        <v>23</v>
      </c>
      <c r="E3233" t="s">
        <v>16</v>
      </c>
      <c r="F3233" t="s">
        <v>60</v>
      </c>
      <c r="G3233" t="s">
        <v>42</v>
      </c>
      <c r="H3233" t="s">
        <v>31</v>
      </c>
      <c r="I3233">
        <v>5</v>
      </c>
      <c r="J3233">
        <v>24</v>
      </c>
      <c r="K3233">
        <v>7.49</v>
      </c>
      <c r="L3233">
        <v>1</v>
      </c>
    </row>
    <row r="3234" spans="1:12">
      <c r="A3234" t="s">
        <v>9388</v>
      </c>
      <c r="B3234" t="s">
        <v>9389</v>
      </c>
      <c r="C3234" t="s">
        <v>9390</v>
      </c>
      <c r="D3234" t="s">
        <v>15</v>
      </c>
      <c r="E3234" t="s">
        <v>16</v>
      </c>
      <c r="F3234" t="s">
        <v>60</v>
      </c>
      <c r="G3234" t="s">
        <v>30</v>
      </c>
      <c r="H3234" t="s">
        <v>31</v>
      </c>
      <c r="I3234">
        <v>4</v>
      </c>
      <c r="J3234">
        <v>8</v>
      </c>
      <c r="K3234">
        <v>4.28</v>
      </c>
      <c r="L3234">
        <v>1</v>
      </c>
    </row>
    <row r="3235" spans="1:12">
      <c r="A3235" t="s">
        <v>9391</v>
      </c>
      <c r="B3235" t="s">
        <v>9392</v>
      </c>
      <c r="C3235" t="s">
        <v>9393</v>
      </c>
      <c r="D3235" t="s">
        <v>35</v>
      </c>
      <c r="E3235" t="s">
        <v>24</v>
      </c>
      <c r="F3235" t="s">
        <v>36</v>
      </c>
      <c r="G3235" t="s">
        <v>73</v>
      </c>
      <c r="H3235" t="s">
        <v>19</v>
      </c>
      <c r="I3235">
        <v>3</v>
      </c>
      <c r="J3235">
        <v>48</v>
      </c>
      <c r="K3235">
        <v>29.32</v>
      </c>
      <c r="L3235">
        <v>1</v>
      </c>
    </row>
    <row r="3236" spans="1:12">
      <c r="A3236" t="s">
        <v>9394</v>
      </c>
      <c r="B3236" t="s">
        <v>9395</v>
      </c>
      <c r="D3236" t="s">
        <v>23</v>
      </c>
      <c r="E3236" t="s">
        <v>28</v>
      </c>
      <c r="F3236" t="s">
        <v>29</v>
      </c>
      <c r="G3236" t="s">
        <v>151</v>
      </c>
      <c r="H3236" t="s">
        <v>63</v>
      </c>
      <c r="J3236">
        <v>24</v>
      </c>
    </row>
    <row r="3237" spans="1:12">
      <c r="A3237" t="s">
        <v>9396</v>
      </c>
      <c r="B3237" t="s">
        <v>9397</v>
      </c>
      <c r="C3237" t="s">
        <v>9398</v>
      </c>
      <c r="D3237" t="s">
        <v>23</v>
      </c>
      <c r="E3237" t="s">
        <v>54</v>
      </c>
      <c r="F3237" t="s">
        <v>41</v>
      </c>
      <c r="G3237" t="s">
        <v>50</v>
      </c>
      <c r="H3237" t="s">
        <v>19</v>
      </c>
      <c r="I3237">
        <v>5</v>
      </c>
      <c r="J3237">
        <v>24</v>
      </c>
      <c r="K3237">
        <v>12.09</v>
      </c>
      <c r="L3237">
        <v>1</v>
      </c>
    </row>
    <row r="3238" spans="1:12">
      <c r="A3238" t="s">
        <v>9399</v>
      </c>
      <c r="B3238" t="s">
        <v>9400</v>
      </c>
      <c r="C3238" t="s">
        <v>9401</v>
      </c>
      <c r="D3238" t="s">
        <v>15</v>
      </c>
      <c r="E3238" t="s">
        <v>24</v>
      </c>
      <c r="F3238" t="s">
        <v>17</v>
      </c>
      <c r="G3238" t="s">
        <v>105</v>
      </c>
      <c r="H3238" t="s">
        <v>19</v>
      </c>
      <c r="I3238">
        <v>4</v>
      </c>
      <c r="J3238">
        <v>8</v>
      </c>
      <c r="K3238">
        <v>5.42</v>
      </c>
      <c r="L3238">
        <v>1</v>
      </c>
    </row>
    <row r="3239" spans="1:12">
      <c r="A3239" t="s">
        <v>9402</v>
      </c>
      <c r="B3239" t="s">
        <v>9403</v>
      </c>
      <c r="C3239" t="s">
        <v>9404</v>
      </c>
      <c r="D3239" t="s">
        <v>15</v>
      </c>
      <c r="E3239" t="s">
        <v>28</v>
      </c>
      <c r="F3239" t="s">
        <v>60</v>
      </c>
      <c r="G3239" t="s">
        <v>37</v>
      </c>
      <c r="H3239" t="s">
        <v>31</v>
      </c>
      <c r="I3239">
        <v>5</v>
      </c>
      <c r="J3239">
        <v>8</v>
      </c>
      <c r="K3239">
        <v>2.38</v>
      </c>
      <c r="L3239">
        <v>1</v>
      </c>
    </row>
    <row r="3240" spans="1:12">
      <c r="A3240" t="s">
        <v>9405</v>
      </c>
      <c r="B3240" t="s">
        <v>9406</v>
      </c>
      <c r="C3240" t="s">
        <v>9407</v>
      </c>
      <c r="D3240" t="s">
        <v>35</v>
      </c>
      <c r="E3240" t="s">
        <v>28</v>
      </c>
      <c r="F3240" t="s">
        <v>29</v>
      </c>
      <c r="G3240" t="s">
        <v>50</v>
      </c>
      <c r="H3240" t="s">
        <v>31</v>
      </c>
      <c r="I3240">
        <v>5</v>
      </c>
      <c r="J3240">
        <v>48</v>
      </c>
      <c r="K3240">
        <v>33.93</v>
      </c>
      <c r="L3240">
        <v>1</v>
      </c>
    </row>
    <row r="3241" spans="1:12">
      <c r="A3241" t="s">
        <v>9408</v>
      </c>
      <c r="B3241" t="s">
        <v>9409</v>
      </c>
      <c r="C3241" t="s">
        <v>9410</v>
      </c>
      <c r="D3241" t="s">
        <v>23</v>
      </c>
      <c r="E3241" t="s">
        <v>28</v>
      </c>
      <c r="F3241" t="s">
        <v>36</v>
      </c>
      <c r="G3241" t="s">
        <v>50</v>
      </c>
      <c r="H3241" t="s">
        <v>19</v>
      </c>
      <c r="I3241">
        <v>3</v>
      </c>
      <c r="J3241">
        <v>24</v>
      </c>
      <c r="K3241">
        <v>46.77</v>
      </c>
      <c r="L3241">
        <v>0</v>
      </c>
    </row>
    <row r="3242" spans="1:12">
      <c r="A3242" t="s">
        <v>9411</v>
      </c>
      <c r="B3242" t="s">
        <v>9412</v>
      </c>
      <c r="D3242" t="s">
        <v>23</v>
      </c>
      <c r="E3242" t="s">
        <v>16</v>
      </c>
      <c r="F3242" t="s">
        <v>41</v>
      </c>
      <c r="G3242" t="s">
        <v>18</v>
      </c>
      <c r="H3242" t="s">
        <v>63</v>
      </c>
      <c r="J3242">
        <v>24</v>
      </c>
    </row>
    <row r="3243" spans="1:12">
      <c r="A3243" t="s">
        <v>9413</v>
      </c>
      <c r="B3243" t="s">
        <v>9414</v>
      </c>
      <c r="D3243" t="s">
        <v>23</v>
      </c>
      <c r="E3243" t="s">
        <v>54</v>
      </c>
      <c r="F3243" t="s">
        <v>60</v>
      </c>
      <c r="G3243" t="s">
        <v>55</v>
      </c>
      <c r="H3243" t="s">
        <v>63</v>
      </c>
      <c r="J3243">
        <v>24</v>
      </c>
    </row>
    <row r="3244" spans="1:12">
      <c r="A3244" t="s">
        <v>9415</v>
      </c>
      <c r="B3244" t="s">
        <v>9416</v>
      </c>
      <c r="C3244" t="s">
        <v>9417</v>
      </c>
      <c r="D3244" t="s">
        <v>35</v>
      </c>
      <c r="E3244" t="s">
        <v>54</v>
      </c>
      <c r="F3244" t="s">
        <v>41</v>
      </c>
      <c r="G3244" t="s">
        <v>45</v>
      </c>
      <c r="H3244" t="s">
        <v>31</v>
      </c>
      <c r="I3244">
        <v>2</v>
      </c>
      <c r="J3244">
        <v>48</v>
      </c>
      <c r="K3244">
        <v>130.77000000000001</v>
      </c>
      <c r="L3244">
        <v>0</v>
      </c>
    </row>
    <row r="3245" spans="1:12">
      <c r="A3245" t="s">
        <v>9418</v>
      </c>
      <c r="B3245" t="s">
        <v>9419</v>
      </c>
      <c r="C3245" t="s">
        <v>9420</v>
      </c>
      <c r="D3245" t="s">
        <v>15</v>
      </c>
      <c r="E3245" t="s">
        <v>28</v>
      </c>
      <c r="F3245" t="s">
        <v>29</v>
      </c>
      <c r="G3245" t="s">
        <v>77</v>
      </c>
      <c r="H3245" t="s">
        <v>31</v>
      </c>
      <c r="I3245">
        <v>4</v>
      </c>
      <c r="J3245">
        <v>8</v>
      </c>
      <c r="K3245">
        <v>3.21</v>
      </c>
      <c r="L3245">
        <v>1</v>
      </c>
    </row>
    <row r="3246" spans="1:12">
      <c r="A3246" t="s">
        <v>9421</v>
      </c>
      <c r="B3246" t="s">
        <v>9422</v>
      </c>
      <c r="C3246" t="s">
        <v>9423</v>
      </c>
      <c r="D3246" t="s">
        <v>23</v>
      </c>
      <c r="E3246" t="s">
        <v>28</v>
      </c>
      <c r="F3246" t="s">
        <v>36</v>
      </c>
      <c r="G3246" t="s">
        <v>18</v>
      </c>
      <c r="H3246" t="s">
        <v>19</v>
      </c>
      <c r="I3246">
        <v>4</v>
      </c>
      <c r="J3246">
        <v>24</v>
      </c>
      <c r="K3246">
        <v>13.77</v>
      </c>
      <c r="L3246">
        <v>1</v>
      </c>
    </row>
    <row r="3247" spans="1:12">
      <c r="A3247" t="s">
        <v>9424</v>
      </c>
      <c r="B3247" t="s">
        <v>9425</v>
      </c>
      <c r="C3247" t="s">
        <v>9426</v>
      </c>
      <c r="D3247" t="s">
        <v>35</v>
      </c>
      <c r="E3247" t="s">
        <v>28</v>
      </c>
      <c r="F3247" t="s">
        <v>41</v>
      </c>
      <c r="G3247" t="s">
        <v>37</v>
      </c>
      <c r="H3247" t="s">
        <v>19</v>
      </c>
      <c r="I3247">
        <v>4</v>
      </c>
      <c r="J3247">
        <v>48</v>
      </c>
      <c r="K3247">
        <v>29.15</v>
      </c>
      <c r="L3247">
        <v>1</v>
      </c>
    </row>
    <row r="3248" spans="1:12">
      <c r="A3248" t="s">
        <v>9427</v>
      </c>
      <c r="B3248" t="s">
        <v>9428</v>
      </c>
      <c r="C3248" t="s">
        <v>9429</v>
      </c>
      <c r="D3248" t="s">
        <v>158</v>
      </c>
      <c r="E3248" t="s">
        <v>28</v>
      </c>
      <c r="F3248" t="s">
        <v>41</v>
      </c>
      <c r="G3248" t="s">
        <v>18</v>
      </c>
      <c r="H3248" t="s">
        <v>31</v>
      </c>
      <c r="I3248">
        <v>3</v>
      </c>
      <c r="J3248">
        <v>4</v>
      </c>
      <c r="K3248">
        <v>2.5099999999999998</v>
      </c>
      <c r="L3248">
        <v>1</v>
      </c>
    </row>
    <row r="3249" spans="1:12">
      <c r="A3249" t="s">
        <v>9430</v>
      </c>
      <c r="B3249" t="s">
        <v>9431</v>
      </c>
      <c r="C3249" t="s">
        <v>9432</v>
      </c>
      <c r="D3249" t="s">
        <v>23</v>
      </c>
      <c r="E3249" t="s">
        <v>24</v>
      </c>
      <c r="F3249" t="s">
        <v>29</v>
      </c>
      <c r="G3249" t="s">
        <v>105</v>
      </c>
      <c r="H3249" t="s">
        <v>19</v>
      </c>
      <c r="I3249">
        <v>5</v>
      </c>
      <c r="J3249">
        <v>24</v>
      </c>
      <c r="K3249">
        <v>10.53</v>
      </c>
      <c r="L3249">
        <v>1</v>
      </c>
    </row>
    <row r="3250" spans="1:12">
      <c r="A3250" t="s">
        <v>9433</v>
      </c>
      <c r="B3250" t="s">
        <v>9434</v>
      </c>
      <c r="C3250" t="s">
        <v>9435</v>
      </c>
      <c r="D3250" t="s">
        <v>15</v>
      </c>
      <c r="E3250" t="s">
        <v>28</v>
      </c>
      <c r="F3250" t="s">
        <v>29</v>
      </c>
      <c r="G3250" t="s">
        <v>172</v>
      </c>
      <c r="H3250" t="s">
        <v>19</v>
      </c>
      <c r="I3250">
        <v>2</v>
      </c>
      <c r="J3250">
        <v>8</v>
      </c>
      <c r="K3250">
        <v>20.89</v>
      </c>
      <c r="L3250">
        <v>0</v>
      </c>
    </row>
    <row r="3251" spans="1:12">
      <c r="A3251" t="s">
        <v>9436</v>
      </c>
      <c r="B3251" t="s">
        <v>9437</v>
      </c>
      <c r="C3251" t="s">
        <v>9438</v>
      </c>
      <c r="D3251" t="s">
        <v>23</v>
      </c>
      <c r="E3251" t="s">
        <v>28</v>
      </c>
      <c r="F3251" t="s">
        <v>17</v>
      </c>
      <c r="G3251" t="s">
        <v>18</v>
      </c>
      <c r="H3251" t="s">
        <v>31</v>
      </c>
      <c r="I3251">
        <v>5</v>
      </c>
      <c r="J3251">
        <v>24</v>
      </c>
      <c r="K3251">
        <v>10.8</v>
      </c>
      <c r="L3251">
        <v>1</v>
      </c>
    </row>
    <row r="3252" spans="1:12">
      <c r="A3252" t="s">
        <v>9439</v>
      </c>
      <c r="B3252" t="s">
        <v>9440</v>
      </c>
      <c r="C3252" t="s">
        <v>9441</v>
      </c>
      <c r="D3252" t="s">
        <v>23</v>
      </c>
      <c r="E3252" t="s">
        <v>59</v>
      </c>
      <c r="F3252" t="s">
        <v>36</v>
      </c>
      <c r="G3252" t="s">
        <v>30</v>
      </c>
      <c r="H3252" t="s">
        <v>19</v>
      </c>
      <c r="I3252">
        <v>5</v>
      </c>
      <c r="J3252">
        <v>24</v>
      </c>
      <c r="K3252">
        <v>22.79</v>
      </c>
      <c r="L3252">
        <v>1</v>
      </c>
    </row>
    <row r="3253" spans="1:12">
      <c r="A3253" t="s">
        <v>9442</v>
      </c>
      <c r="B3253" t="s">
        <v>9443</v>
      </c>
      <c r="D3253" t="s">
        <v>158</v>
      </c>
      <c r="E3253" t="s">
        <v>28</v>
      </c>
      <c r="F3253" t="s">
        <v>29</v>
      </c>
      <c r="G3253" t="s">
        <v>55</v>
      </c>
      <c r="H3253" t="s">
        <v>46</v>
      </c>
      <c r="J3253">
        <v>4</v>
      </c>
    </row>
    <row r="3254" spans="1:12">
      <c r="A3254" t="s">
        <v>9444</v>
      </c>
      <c r="B3254" t="s">
        <v>9445</v>
      </c>
      <c r="C3254" t="s">
        <v>9446</v>
      </c>
      <c r="D3254" t="s">
        <v>23</v>
      </c>
      <c r="E3254" t="s">
        <v>28</v>
      </c>
      <c r="F3254" t="s">
        <v>36</v>
      </c>
      <c r="G3254" t="s">
        <v>55</v>
      </c>
      <c r="H3254" t="s">
        <v>31</v>
      </c>
      <c r="I3254">
        <v>5</v>
      </c>
      <c r="J3254">
        <v>24</v>
      </c>
      <c r="K3254">
        <v>13.98</v>
      </c>
      <c r="L3254">
        <v>1</v>
      </c>
    </row>
    <row r="3255" spans="1:12">
      <c r="A3255" t="s">
        <v>9447</v>
      </c>
      <c r="B3255" t="s">
        <v>9448</v>
      </c>
      <c r="C3255" t="s">
        <v>9449</v>
      </c>
      <c r="D3255" t="s">
        <v>15</v>
      </c>
      <c r="E3255" t="s">
        <v>24</v>
      </c>
      <c r="F3255" t="s">
        <v>60</v>
      </c>
      <c r="G3255" t="s">
        <v>42</v>
      </c>
      <c r="H3255" t="s">
        <v>31</v>
      </c>
      <c r="I3255">
        <v>5</v>
      </c>
      <c r="J3255">
        <v>8</v>
      </c>
      <c r="K3255">
        <v>2.2599999999999998</v>
      </c>
      <c r="L3255">
        <v>1</v>
      </c>
    </row>
    <row r="3256" spans="1:12">
      <c r="A3256" t="s">
        <v>9450</v>
      </c>
      <c r="B3256" t="s">
        <v>9451</v>
      </c>
      <c r="C3256" t="s">
        <v>9452</v>
      </c>
      <c r="D3256" t="s">
        <v>35</v>
      </c>
      <c r="E3256" t="s">
        <v>28</v>
      </c>
      <c r="F3256" t="s">
        <v>36</v>
      </c>
      <c r="G3256" t="s">
        <v>45</v>
      </c>
      <c r="H3256" t="s">
        <v>31</v>
      </c>
      <c r="I3256">
        <v>3</v>
      </c>
      <c r="J3256">
        <v>48</v>
      </c>
      <c r="K3256">
        <v>22.14</v>
      </c>
      <c r="L3256">
        <v>1</v>
      </c>
    </row>
    <row r="3257" spans="1:12">
      <c r="A3257" t="s">
        <v>9453</v>
      </c>
      <c r="B3257" t="s">
        <v>9454</v>
      </c>
      <c r="C3257" t="s">
        <v>9455</v>
      </c>
      <c r="D3257" t="s">
        <v>23</v>
      </c>
      <c r="E3257" t="s">
        <v>28</v>
      </c>
      <c r="F3257" t="s">
        <v>41</v>
      </c>
      <c r="G3257" t="s">
        <v>151</v>
      </c>
      <c r="H3257" t="s">
        <v>19</v>
      </c>
      <c r="I3257">
        <v>4</v>
      </c>
      <c r="J3257">
        <v>24</v>
      </c>
      <c r="K3257">
        <v>17.350000000000001</v>
      </c>
      <c r="L3257">
        <v>1</v>
      </c>
    </row>
    <row r="3258" spans="1:12">
      <c r="A3258" t="s">
        <v>9456</v>
      </c>
      <c r="B3258" t="s">
        <v>9457</v>
      </c>
      <c r="C3258" t="s">
        <v>9458</v>
      </c>
      <c r="D3258" t="s">
        <v>23</v>
      </c>
      <c r="E3258" t="s">
        <v>16</v>
      </c>
      <c r="F3258" t="s">
        <v>41</v>
      </c>
      <c r="G3258" t="s">
        <v>77</v>
      </c>
      <c r="H3258" t="s">
        <v>31</v>
      </c>
      <c r="I3258">
        <v>4</v>
      </c>
      <c r="J3258">
        <v>24</v>
      </c>
      <c r="K3258">
        <v>2.72</v>
      </c>
      <c r="L3258">
        <v>1</v>
      </c>
    </row>
    <row r="3259" spans="1:12">
      <c r="A3259" t="s">
        <v>9459</v>
      </c>
      <c r="B3259" t="s">
        <v>9460</v>
      </c>
      <c r="C3259" t="s">
        <v>9461</v>
      </c>
      <c r="D3259" t="s">
        <v>23</v>
      </c>
      <c r="E3259" t="s">
        <v>28</v>
      </c>
      <c r="F3259" t="s">
        <v>60</v>
      </c>
      <c r="G3259" t="s">
        <v>55</v>
      </c>
      <c r="H3259" t="s">
        <v>19</v>
      </c>
      <c r="I3259">
        <v>4</v>
      </c>
      <c r="J3259">
        <v>24</v>
      </c>
      <c r="K3259">
        <v>15.02</v>
      </c>
      <c r="L3259">
        <v>1</v>
      </c>
    </row>
    <row r="3260" spans="1:12">
      <c r="A3260" t="s">
        <v>9462</v>
      </c>
      <c r="B3260" t="s">
        <v>9463</v>
      </c>
      <c r="C3260" t="s">
        <v>9464</v>
      </c>
      <c r="D3260" t="s">
        <v>23</v>
      </c>
      <c r="E3260" t="s">
        <v>54</v>
      </c>
      <c r="F3260" t="s">
        <v>36</v>
      </c>
      <c r="G3260" t="s">
        <v>105</v>
      </c>
      <c r="H3260" t="s">
        <v>19</v>
      </c>
      <c r="I3260">
        <v>5</v>
      </c>
      <c r="J3260">
        <v>24</v>
      </c>
      <c r="K3260">
        <v>12.53</v>
      </c>
      <c r="L3260">
        <v>1</v>
      </c>
    </row>
    <row r="3261" spans="1:12">
      <c r="A3261" t="s">
        <v>9465</v>
      </c>
      <c r="B3261" t="s">
        <v>9466</v>
      </c>
      <c r="C3261" t="s">
        <v>9467</v>
      </c>
      <c r="D3261" t="s">
        <v>158</v>
      </c>
      <c r="E3261" t="s">
        <v>28</v>
      </c>
      <c r="F3261" t="s">
        <v>41</v>
      </c>
      <c r="G3261" t="s">
        <v>151</v>
      </c>
      <c r="H3261" t="s">
        <v>19</v>
      </c>
      <c r="I3261">
        <v>4</v>
      </c>
      <c r="J3261">
        <v>4</v>
      </c>
      <c r="K3261">
        <v>0.99</v>
      </c>
      <c r="L3261">
        <v>1</v>
      </c>
    </row>
    <row r="3262" spans="1:12">
      <c r="A3262" t="s">
        <v>9468</v>
      </c>
      <c r="B3262" t="s">
        <v>9469</v>
      </c>
      <c r="C3262" t="s">
        <v>9470</v>
      </c>
      <c r="D3262" t="s">
        <v>158</v>
      </c>
      <c r="E3262" t="s">
        <v>24</v>
      </c>
      <c r="F3262" t="s">
        <v>36</v>
      </c>
      <c r="G3262" t="s">
        <v>77</v>
      </c>
      <c r="H3262" t="s">
        <v>19</v>
      </c>
      <c r="I3262">
        <v>4</v>
      </c>
      <c r="J3262">
        <v>4</v>
      </c>
      <c r="K3262">
        <v>2.0499999999999998</v>
      </c>
      <c r="L3262">
        <v>1</v>
      </c>
    </row>
    <row r="3263" spans="1:12">
      <c r="A3263" t="s">
        <v>9471</v>
      </c>
      <c r="B3263" t="s">
        <v>9472</v>
      </c>
      <c r="C3263" t="s">
        <v>9473</v>
      </c>
      <c r="D3263" t="s">
        <v>15</v>
      </c>
      <c r="E3263" t="s">
        <v>54</v>
      </c>
      <c r="F3263" t="s">
        <v>36</v>
      </c>
      <c r="G3263" t="s">
        <v>45</v>
      </c>
      <c r="H3263" t="s">
        <v>19</v>
      </c>
      <c r="I3263">
        <v>4</v>
      </c>
      <c r="J3263">
        <v>8</v>
      </c>
      <c r="K3263">
        <v>3.11</v>
      </c>
      <c r="L3263">
        <v>1</v>
      </c>
    </row>
    <row r="3264" spans="1:12">
      <c r="A3264" t="s">
        <v>9474</v>
      </c>
      <c r="B3264" t="s">
        <v>9475</v>
      </c>
      <c r="C3264" t="s">
        <v>9476</v>
      </c>
      <c r="D3264" t="s">
        <v>35</v>
      </c>
      <c r="E3264" t="s">
        <v>16</v>
      </c>
      <c r="F3264" t="s">
        <v>36</v>
      </c>
      <c r="G3264" t="s">
        <v>18</v>
      </c>
      <c r="H3264" t="s">
        <v>19</v>
      </c>
      <c r="I3264">
        <v>5</v>
      </c>
      <c r="J3264">
        <v>48</v>
      </c>
      <c r="K3264">
        <v>9.01</v>
      </c>
      <c r="L3264">
        <v>1</v>
      </c>
    </row>
    <row r="3265" spans="1:12">
      <c r="A3265" t="s">
        <v>9477</v>
      </c>
      <c r="B3265" t="s">
        <v>9478</v>
      </c>
      <c r="C3265" t="s">
        <v>9479</v>
      </c>
      <c r="D3265" t="s">
        <v>35</v>
      </c>
      <c r="E3265" t="s">
        <v>24</v>
      </c>
      <c r="F3265" t="s">
        <v>17</v>
      </c>
      <c r="G3265" t="s">
        <v>77</v>
      </c>
      <c r="H3265" t="s">
        <v>19</v>
      </c>
      <c r="I3265">
        <v>3</v>
      </c>
      <c r="J3265">
        <v>48</v>
      </c>
      <c r="K3265">
        <v>19.38</v>
      </c>
      <c r="L3265">
        <v>1</v>
      </c>
    </row>
    <row r="3266" spans="1:12">
      <c r="A3266" t="s">
        <v>9480</v>
      </c>
      <c r="B3266" t="s">
        <v>9481</v>
      </c>
      <c r="C3266" t="s">
        <v>9482</v>
      </c>
      <c r="D3266" t="s">
        <v>23</v>
      </c>
      <c r="E3266" t="s">
        <v>54</v>
      </c>
      <c r="F3266" t="s">
        <v>41</v>
      </c>
      <c r="G3266" t="s">
        <v>37</v>
      </c>
      <c r="H3266" t="s">
        <v>19</v>
      </c>
      <c r="I3266">
        <v>2</v>
      </c>
      <c r="J3266">
        <v>24</v>
      </c>
      <c r="K3266">
        <v>48.45</v>
      </c>
      <c r="L3266">
        <v>0</v>
      </c>
    </row>
    <row r="3267" spans="1:12">
      <c r="A3267" t="s">
        <v>9483</v>
      </c>
      <c r="B3267" t="s">
        <v>9484</v>
      </c>
      <c r="C3267" t="s">
        <v>9485</v>
      </c>
      <c r="D3267" t="s">
        <v>158</v>
      </c>
      <c r="E3267" t="s">
        <v>28</v>
      </c>
      <c r="F3267" t="s">
        <v>29</v>
      </c>
      <c r="G3267" t="s">
        <v>42</v>
      </c>
      <c r="H3267" t="s">
        <v>19</v>
      </c>
      <c r="I3267">
        <v>5</v>
      </c>
      <c r="J3267">
        <v>4</v>
      </c>
      <c r="K3267">
        <v>0.88</v>
      </c>
      <c r="L3267">
        <v>1</v>
      </c>
    </row>
    <row r="3268" spans="1:12">
      <c r="A3268" t="s">
        <v>9486</v>
      </c>
      <c r="B3268" t="s">
        <v>9487</v>
      </c>
      <c r="C3268" t="s">
        <v>9488</v>
      </c>
      <c r="D3268" t="s">
        <v>15</v>
      </c>
      <c r="E3268" t="s">
        <v>59</v>
      </c>
      <c r="F3268" t="s">
        <v>41</v>
      </c>
      <c r="G3268" t="s">
        <v>172</v>
      </c>
      <c r="H3268" t="s">
        <v>19</v>
      </c>
      <c r="I3268">
        <v>5</v>
      </c>
      <c r="J3268">
        <v>8</v>
      </c>
      <c r="K3268">
        <v>2.23</v>
      </c>
      <c r="L3268">
        <v>1</v>
      </c>
    </row>
    <row r="3269" spans="1:12">
      <c r="A3269" t="s">
        <v>9489</v>
      </c>
      <c r="B3269" t="s">
        <v>9490</v>
      </c>
      <c r="C3269" t="s">
        <v>9491</v>
      </c>
      <c r="D3269" t="s">
        <v>23</v>
      </c>
      <c r="E3269" t="s">
        <v>28</v>
      </c>
      <c r="F3269" t="s">
        <v>17</v>
      </c>
      <c r="G3269" t="s">
        <v>105</v>
      </c>
      <c r="H3269" t="s">
        <v>19</v>
      </c>
      <c r="I3269">
        <v>5</v>
      </c>
      <c r="J3269">
        <v>24</v>
      </c>
      <c r="K3269">
        <v>9.09</v>
      </c>
      <c r="L3269">
        <v>1</v>
      </c>
    </row>
    <row r="3270" spans="1:12">
      <c r="A3270" t="s">
        <v>9492</v>
      </c>
      <c r="B3270" t="s">
        <v>9493</v>
      </c>
      <c r="C3270" t="s">
        <v>9494</v>
      </c>
      <c r="D3270" t="s">
        <v>23</v>
      </c>
      <c r="E3270" t="s">
        <v>59</v>
      </c>
      <c r="F3270" t="s">
        <v>60</v>
      </c>
      <c r="G3270" t="s">
        <v>45</v>
      </c>
      <c r="H3270" t="s">
        <v>31</v>
      </c>
      <c r="I3270">
        <v>5</v>
      </c>
      <c r="J3270">
        <v>24</v>
      </c>
      <c r="K3270">
        <v>22.26</v>
      </c>
      <c r="L3270">
        <v>1</v>
      </c>
    </row>
    <row r="3271" spans="1:12">
      <c r="A3271" t="s">
        <v>9495</v>
      </c>
      <c r="B3271" t="s">
        <v>9496</v>
      </c>
      <c r="C3271" t="s">
        <v>9497</v>
      </c>
      <c r="D3271" t="s">
        <v>35</v>
      </c>
      <c r="E3271" t="s">
        <v>28</v>
      </c>
      <c r="F3271" t="s">
        <v>60</v>
      </c>
      <c r="G3271" t="s">
        <v>42</v>
      </c>
      <c r="H3271" t="s">
        <v>19</v>
      </c>
      <c r="I3271">
        <v>4</v>
      </c>
      <c r="J3271">
        <v>48</v>
      </c>
      <c r="K3271">
        <v>30.13</v>
      </c>
      <c r="L3271">
        <v>1</v>
      </c>
    </row>
    <row r="3272" spans="1:12">
      <c r="A3272" t="s">
        <v>9498</v>
      </c>
      <c r="B3272" t="s">
        <v>9499</v>
      </c>
      <c r="C3272" t="s">
        <v>9500</v>
      </c>
      <c r="D3272" t="s">
        <v>35</v>
      </c>
      <c r="E3272" t="s">
        <v>24</v>
      </c>
      <c r="F3272" t="s">
        <v>17</v>
      </c>
      <c r="G3272" t="s">
        <v>45</v>
      </c>
      <c r="H3272" t="s">
        <v>19</v>
      </c>
      <c r="I3272">
        <v>3</v>
      </c>
      <c r="J3272">
        <v>48</v>
      </c>
      <c r="K3272">
        <v>58.98</v>
      </c>
      <c r="L3272">
        <v>0</v>
      </c>
    </row>
    <row r="3273" spans="1:12">
      <c r="A3273" t="s">
        <v>9501</v>
      </c>
      <c r="B3273" t="s">
        <v>9502</v>
      </c>
      <c r="C3273" t="s">
        <v>9503</v>
      </c>
      <c r="D3273" t="s">
        <v>158</v>
      </c>
      <c r="E3273" t="s">
        <v>24</v>
      </c>
      <c r="F3273" t="s">
        <v>17</v>
      </c>
      <c r="G3273" t="s">
        <v>77</v>
      </c>
      <c r="H3273" t="s">
        <v>19</v>
      </c>
      <c r="I3273">
        <v>4</v>
      </c>
      <c r="J3273">
        <v>4</v>
      </c>
      <c r="K3273">
        <v>1.71</v>
      </c>
      <c r="L3273">
        <v>1</v>
      </c>
    </row>
    <row r="3274" spans="1:12">
      <c r="A3274" t="s">
        <v>9504</v>
      </c>
      <c r="B3274" t="s">
        <v>9505</v>
      </c>
      <c r="C3274" t="s">
        <v>9506</v>
      </c>
      <c r="D3274" t="s">
        <v>23</v>
      </c>
      <c r="E3274" t="s">
        <v>16</v>
      </c>
      <c r="F3274" t="s">
        <v>29</v>
      </c>
      <c r="G3274" t="s">
        <v>73</v>
      </c>
      <c r="H3274" t="s">
        <v>19</v>
      </c>
      <c r="I3274">
        <v>4</v>
      </c>
      <c r="J3274">
        <v>24</v>
      </c>
      <c r="K3274">
        <v>9.9499999999999993</v>
      </c>
      <c r="L3274">
        <v>1</v>
      </c>
    </row>
    <row r="3275" spans="1:12">
      <c r="A3275" t="s">
        <v>9507</v>
      </c>
      <c r="B3275" t="s">
        <v>9508</v>
      </c>
      <c r="C3275" t="s">
        <v>9509</v>
      </c>
      <c r="D3275" t="s">
        <v>15</v>
      </c>
      <c r="E3275" t="s">
        <v>16</v>
      </c>
      <c r="F3275" t="s">
        <v>36</v>
      </c>
      <c r="G3275" t="s">
        <v>55</v>
      </c>
      <c r="H3275" t="s">
        <v>31</v>
      </c>
      <c r="I3275">
        <v>4</v>
      </c>
      <c r="J3275">
        <v>8</v>
      </c>
      <c r="K3275">
        <v>1.23</v>
      </c>
      <c r="L3275">
        <v>1</v>
      </c>
    </row>
    <row r="3276" spans="1:12">
      <c r="A3276" t="s">
        <v>9510</v>
      </c>
      <c r="B3276" t="s">
        <v>9511</v>
      </c>
      <c r="C3276" t="s">
        <v>9512</v>
      </c>
      <c r="D3276" t="s">
        <v>35</v>
      </c>
      <c r="E3276" t="s">
        <v>28</v>
      </c>
      <c r="F3276" t="s">
        <v>36</v>
      </c>
      <c r="G3276" t="s">
        <v>45</v>
      </c>
      <c r="H3276" t="s">
        <v>31</v>
      </c>
      <c r="I3276">
        <v>4</v>
      </c>
      <c r="J3276">
        <v>48</v>
      </c>
      <c r="K3276">
        <v>14.98</v>
      </c>
      <c r="L3276">
        <v>1</v>
      </c>
    </row>
    <row r="3277" spans="1:12">
      <c r="A3277" t="s">
        <v>9513</v>
      </c>
      <c r="B3277" t="s">
        <v>9514</v>
      </c>
      <c r="C3277" t="s">
        <v>9515</v>
      </c>
      <c r="D3277" t="s">
        <v>23</v>
      </c>
      <c r="E3277" t="s">
        <v>24</v>
      </c>
      <c r="F3277" t="s">
        <v>36</v>
      </c>
      <c r="G3277" t="s">
        <v>42</v>
      </c>
      <c r="H3277" t="s">
        <v>19</v>
      </c>
      <c r="I3277">
        <v>4</v>
      </c>
      <c r="J3277">
        <v>24</v>
      </c>
      <c r="K3277">
        <v>3.6</v>
      </c>
      <c r="L3277">
        <v>1</v>
      </c>
    </row>
    <row r="3278" spans="1:12">
      <c r="A3278" t="s">
        <v>9516</v>
      </c>
      <c r="B3278" t="s">
        <v>9517</v>
      </c>
      <c r="C3278" t="s">
        <v>9518</v>
      </c>
      <c r="D3278" t="s">
        <v>23</v>
      </c>
      <c r="E3278" t="s">
        <v>24</v>
      </c>
      <c r="F3278" t="s">
        <v>36</v>
      </c>
      <c r="G3278" t="s">
        <v>30</v>
      </c>
      <c r="H3278" t="s">
        <v>31</v>
      </c>
      <c r="I3278">
        <v>2</v>
      </c>
      <c r="J3278">
        <v>24</v>
      </c>
      <c r="K3278">
        <v>44.26</v>
      </c>
      <c r="L3278">
        <v>0</v>
      </c>
    </row>
    <row r="3279" spans="1:12">
      <c r="A3279" t="s">
        <v>9519</v>
      </c>
      <c r="B3279" t="s">
        <v>9520</v>
      </c>
      <c r="D3279" t="s">
        <v>23</v>
      </c>
      <c r="E3279" t="s">
        <v>28</v>
      </c>
      <c r="F3279" t="s">
        <v>41</v>
      </c>
      <c r="G3279" t="s">
        <v>37</v>
      </c>
      <c r="H3279" t="s">
        <v>63</v>
      </c>
      <c r="J3279">
        <v>24</v>
      </c>
    </row>
    <row r="3280" spans="1:12">
      <c r="A3280" t="s">
        <v>9521</v>
      </c>
      <c r="B3280" t="s">
        <v>9522</v>
      </c>
      <c r="D3280" t="s">
        <v>35</v>
      </c>
      <c r="E3280" t="s">
        <v>28</v>
      </c>
      <c r="F3280" t="s">
        <v>60</v>
      </c>
      <c r="G3280" t="s">
        <v>105</v>
      </c>
      <c r="H3280" t="s">
        <v>46</v>
      </c>
      <c r="J3280">
        <v>48</v>
      </c>
    </row>
    <row r="3281" spans="1:12">
      <c r="A3281" t="s">
        <v>9523</v>
      </c>
      <c r="B3281" t="s">
        <v>9524</v>
      </c>
      <c r="C3281" t="s">
        <v>9525</v>
      </c>
      <c r="D3281" t="s">
        <v>23</v>
      </c>
      <c r="E3281" t="s">
        <v>24</v>
      </c>
      <c r="F3281" t="s">
        <v>60</v>
      </c>
      <c r="G3281" t="s">
        <v>55</v>
      </c>
      <c r="H3281" t="s">
        <v>19</v>
      </c>
      <c r="I3281">
        <v>5</v>
      </c>
      <c r="J3281">
        <v>24</v>
      </c>
      <c r="K3281">
        <v>10.91</v>
      </c>
      <c r="L3281">
        <v>1</v>
      </c>
    </row>
    <row r="3282" spans="1:12">
      <c r="A3282" t="s">
        <v>9526</v>
      </c>
      <c r="B3282" t="s">
        <v>9527</v>
      </c>
      <c r="C3282" t="s">
        <v>9528</v>
      </c>
      <c r="D3282" t="s">
        <v>23</v>
      </c>
      <c r="E3282" t="s">
        <v>16</v>
      </c>
      <c r="F3282" t="s">
        <v>36</v>
      </c>
      <c r="G3282" t="s">
        <v>30</v>
      </c>
      <c r="H3282" t="s">
        <v>19</v>
      </c>
      <c r="I3282">
        <v>4</v>
      </c>
      <c r="J3282">
        <v>24</v>
      </c>
      <c r="K3282">
        <v>16.57</v>
      </c>
      <c r="L3282">
        <v>1</v>
      </c>
    </row>
    <row r="3283" spans="1:12">
      <c r="A3283" t="s">
        <v>9529</v>
      </c>
      <c r="B3283" t="s">
        <v>9530</v>
      </c>
      <c r="C3283" t="s">
        <v>9531</v>
      </c>
      <c r="D3283" t="s">
        <v>23</v>
      </c>
      <c r="E3283" t="s">
        <v>54</v>
      </c>
      <c r="F3283" t="s">
        <v>36</v>
      </c>
      <c r="G3283" t="s">
        <v>30</v>
      </c>
      <c r="H3283" t="s">
        <v>31</v>
      </c>
      <c r="I3283">
        <v>3</v>
      </c>
      <c r="J3283">
        <v>24</v>
      </c>
      <c r="K3283">
        <v>64.97</v>
      </c>
      <c r="L3283">
        <v>0</v>
      </c>
    </row>
    <row r="3284" spans="1:12">
      <c r="A3284" t="s">
        <v>9532</v>
      </c>
      <c r="B3284" t="s">
        <v>9533</v>
      </c>
      <c r="C3284" t="s">
        <v>9534</v>
      </c>
      <c r="D3284" t="s">
        <v>15</v>
      </c>
      <c r="E3284" t="s">
        <v>54</v>
      </c>
      <c r="F3284" t="s">
        <v>17</v>
      </c>
      <c r="G3284" t="s">
        <v>105</v>
      </c>
      <c r="H3284" t="s">
        <v>19</v>
      </c>
      <c r="I3284">
        <v>5</v>
      </c>
      <c r="J3284">
        <v>8</v>
      </c>
      <c r="K3284">
        <v>3.64</v>
      </c>
      <c r="L3284">
        <v>1</v>
      </c>
    </row>
    <row r="3285" spans="1:12">
      <c r="A3285" t="s">
        <v>9535</v>
      </c>
      <c r="B3285" t="s">
        <v>9536</v>
      </c>
      <c r="D3285" t="s">
        <v>15</v>
      </c>
      <c r="E3285" t="s">
        <v>24</v>
      </c>
      <c r="F3285" t="s">
        <v>41</v>
      </c>
      <c r="G3285" t="s">
        <v>172</v>
      </c>
      <c r="H3285" t="s">
        <v>63</v>
      </c>
      <c r="J3285">
        <v>8</v>
      </c>
    </row>
    <row r="3286" spans="1:12">
      <c r="A3286" t="s">
        <v>9537</v>
      </c>
      <c r="B3286" t="s">
        <v>9538</v>
      </c>
      <c r="C3286" t="s">
        <v>9539</v>
      </c>
      <c r="D3286" t="s">
        <v>15</v>
      </c>
      <c r="E3286" t="s">
        <v>16</v>
      </c>
      <c r="F3286" t="s">
        <v>60</v>
      </c>
      <c r="G3286" t="s">
        <v>55</v>
      </c>
      <c r="H3286" t="s">
        <v>31</v>
      </c>
      <c r="I3286">
        <v>1</v>
      </c>
      <c r="J3286">
        <v>8</v>
      </c>
      <c r="K3286">
        <v>8.8800000000000008</v>
      </c>
      <c r="L3286">
        <v>0</v>
      </c>
    </row>
    <row r="3287" spans="1:12">
      <c r="A3287" t="s">
        <v>9540</v>
      </c>
      <c r="B3287" t="s">
        <v>9541</v>
      </c>
      <c r="C3287" t="s">
        <v>9542</v>
      </c>
      <c r="D3287" t="s">
        <v>23</v>
      </c>
      <c r="E3287" t="s">
        <v>16</v>
      </c>
      <c r="F3287" t="s">
        <v>36</v>
      </c>
      <c r="G3287" t="s">
        <v>105</v>
      </c>
      <c r="H3287" t="s">
        <v>19</v>
      </c>
      <c r="I3287">
        <v>5</v>
      </c>
      <c r="J3287">
        <v>24</v>
      </c>
      <c r="K3287">
        <v>7.1</v>
      </c>
      <c r="L3287">
        <v>1</v>
      </c>
    </row>
    <row r="3288" spans="1:12">
      <c r="A3288" t="s">
        <v>9543</v>
      </c>
      <c r="B3288" t="s">
        <v>9544</v>
      </c>
      <c r="C3288" t="s">
        <v>9545</v>
      </c>
      <c r="D3288" t="s">
        <v>23</v>
      </c>
      <c r="E3288" t="s">
        <v>59</v>
      </c>
      <c r="F3288" t="s">
        <v>29</v>
      </c>
      <c r="G3288" t="s">
        <v>50</v>
      </c>
      <c r="H3288" t="s">
        <v>19</v>
      </c>
      <c r="I3288">
        <v>3</v>
      </c>
      <c r="J3288">
        <v>24</v>
      </c>
      <c r="K3288">
        <v>15.2</v>
      </c>
      <c r="L3288">
        <v>1</v>
      </c>
    </row>
    <row r="3289" spans="1:12">
      <c r="A3289" t="s">
        <v>9546</v>
      </c>
      <c r="B3289" t="s">
        <v>9547</v>
      </c>
      <c r="C3289" t="s">
        <v>9548</v>
      </c>
      <c r="D3289" t="s">
        <v>15</v>
      </c>
      <c r="E3289" t="s">
        <v>24</v>
      </c>
      <c r="F3289" t="s">
        <v>41</v>
      </c>
      <c r="G3289" t="s">
        <v>45</v>
      </c>
      <c r="H3289" t="s">
        <v>31</v>
      </c>
      <c r="I3289">
        <v>4</v>
      </c>
      <c r="J3289">
        <v>8</v>
      </c>
      <c r="K3289">
        <v>5.8</v>
      </c>
      <c r="L3289">
        <v>1</v>
      </c>
    </row>
    <row r="3290" spans="1:12">
      <c r="A3290" t="s">
        <v>9549</v>
      </c>
      <c r="B3290" t="s">
        <v>9550</v>
      </c>
      <c r="C3290" t="s">
        <v>9551</v>
      </c>
      <c r="D3290" t="s">
        <v>23</v>
      </c>
      <c r="E3290" t="s">
        <v>59</v>
      </c>
      <c r="F3290" t="s">
        <v>17</v>
      </c>
      <c r="G3290" t="s">
        <v>55</v>
      </c>
      <c r="H3290" t="s">
        <v>19</v>
      </c>
      <c r="I3290">
        <v>5</v>
      </c>
      <c r="J3290">
        <v>24</v>
      </c>
      <c r="K3290">
        <v>6.2</v>
      </c>
      <c r="L3290">
        <v>1</v>
      </c>
    </row>
    <row r="3291" spans="1:12">
      <c r="A3291" t="s">
        <v>9552</v>
      </c>
      <c r="B3291" t="s">
        <v>9553</v>
      </c>
      <c r="D3291" t="s">
        <v>15</v>
      </c>
      <c r="E3291" t="s">
        <v>28</v>
      </c>
      <c r="F3291" t="s">
        <v>36</v>
      </c>
      <c r="G3291" t="s">
        <v>105</v>
      </c>
      <c r="H3291" t="s">
        <v>63</v>
      </c>
      <c r="J3291">
        <v>8</v>
      </c>
    </row>
    <row r="3292" spans="1:12">
      <c r="A3292" t="s">
        <v>9554</v>
      </c>
      <c r="B3292" t="s">
        <v>9555</v>
      </c>
      <c r="C3292" t="s">
        <v>9556</v>
      </c>
      <c r="D3292" t="s">
        <v>23</v>
      </c>
      <c r="E3292" t="s">
        <v>28</v>
      </c>
      <c r="F3292" t="s">
        <v>36</v>
      </c>
      <c r="G3292" t="s">
        <v>37</v>
      </c>
      <c r="H3292" t="s">
        <v>19</v>
      </c>
      <c r="I3292">
        <v>5</v>
      </c>
      <c r="J3292">
        <v>24</v>
      </c>
      <c r="K3292">
        <v>5.94</v>
      </c>
      <c r="L3292">
        <v>1</v>
      </c>
    </row>
    <row r="3293" spans="1:12">
      <c r="A3293" t="s">
        <v>9557</v>
      </c>
      <c r="B3293" t="s">
        <v>9558</v>
      </c>
      <c r="C3293" t="s">
        <v>9559</v>
      </c>
      <c r="D3293" t="s">
        <v>15</v>
      </c>
      <c r="E3293" t="s">
        <v>28</v>
      </c>
      <c r="F3293" t="s">
        <v>29</v>
      </c>
      <c r="G3293" t="s">
        <v>45</v>
      </c>
      <c r="H3293" t="s">
        <v>31</v>
      </c>
      <c r="I3293">
        <v>4</v>
      </c>
      <c r="J3293">
        <v>8</v>
      </c>
      <c r="K3293">
        <v>7.29</v>
      </c>
      <c r="L3293">
        <v>1</v>
      </c>
    </row>
    <row r="3294" spans="1:12">
      <c r="A3294" t="s">
        <v>9560</v>
      </c>
      <c r="B3294" t="s">
        <v>9561</v>
      </c>
      <c r="C3294" t="s">
        <v>9562</v>
      </c>
      <c r="D3294" t="s">
        <v>35</v>
      </c>
      <c r="E3294" t="s">
        <v>24</v>
      </c>
      <c r="F3294" t="s">
        <v>60</v>
      </c>
      <c r="G3294" t="s">
        <v>30</v>
      </c>
      <c r="H3294" t="s">
        <v>19</v>
      </c>
      <c r="I3294">
        <v>5</v>
      </c>
      <c r="J3294">
        <v>48</v>
      </c>
      <c r="K3294">
        <v>25.31</v>
      </c>
      <c r="L3294">
        <v>1</v>
      </c>
    </row>
    <row r="3295" spans="1:12">
      <c r="A3295" t="s">
        <v>9563</v>
      </c>
      <c r="B3295" t="s">
        <v>9564</v>
      </c>
      <c r="C3295" t="s">
        <v>9565</v>
      </c>
      <c r="D3295" t="s">
        <v>15</v>
      </c>
      <c r="E3295" t="s">
        <v>28</v>
      </c>
      <c r="F3295" t="s">
        <v>29</v>
      </c>
      <c r="G3295" t="s">
        <v>18</v>
      </c>
      <c r="H3295" t="s">
        <v>19</v>
      </c>
      <c r="I3295">
        <v>3</v>
      </c>
      <c r="J3295">
        <v>8</v>
      </c>
      <c r="K3295">
        <v>13.54</v>
      </c>
      <c r="L3295">
        <v>0</v>
      </c>
    </row>
    <row r="3296" spans="1:12">
      <c r="A3296" t="s">
        <v>9566</v>
      </c>
      <c r="B3296" t="s">
        <v>9567</v>
      </c>
      <c r="C3296" t="s">
        <v>9568</v>
      </c>
      <c r="D3296" t="s">
        <v>35</v>
      </c>
      <c r="E3296" t="s">
        <v>28</v>
      </c>
      <c r="F3296" t="s">
        <v>60</v>
      </c>
      <c r="G3296" t="s">
        <v>50</v>
      </c>
      <c r="H3296" t="s">
        <v>19</v>
      </c>
      <c r="I3296">
        <v>3</v>
      </c>
      <c r="J3296">
        <v>48</v>
      </c>
      <c r="K3296">
        <v>91.85</v>
      </c>
      <c r="L3296">
        <v>0</v>
      </c>
    </row>
    <row r="3297" spans="1:12">
      <c r="A3297" t="s">
        <v>9569</v>
      </c>
      <c r="B3297" t="s">
        <v>9570</v>
      </c>
      <c r="C3297" t="s">
        <v>9571</v>
      </c>
      <c r="D3297" t="s">
        <v>23</v>
      </c>
      <c r="E3297" t="s">
        <v>28</v>
      </c>
      <c r="F3297" t="s">
        <v>60</v>
      </c>
      <c r="G3297" t="s">
        <v>55</v>
      </c>
      <c r="H3297" t="s">
        <v>31</v>
      </c>
      <c r="I3297">
        <v>5</v>
      </c>
      <c r="J3297">
        <v>24</v>
      </c>
      <c r="K3297">
        <v>10.34</v>
      </c>
      <c r="L3297">
        <v>1</v>
      </c>
    </row>
    <row r="3298" spans="1:12">
      <c r="A3298" t="s">
        <v>9572</v>
      </c>
      <c r="B3298" t="s">
        <v>9573</v>
      </c>
      <c r="C3298" t="s">
        <v>9574</v>
      </c>
      <c r="D3298" t="s">
        <v>23</v>
      </c>
      <c r="E3298" t="s">
        <v>16</v>
      </c>
      <c r="F3298" t="s">
        <v>17</v>
      </c>
      <c r="G3298" t="s">
        <v>55</v>
      </c>
      <c r="H3298" t="s">
        <v>19</v>
      </c>
      <c r="I3298">
        <v>5</v>
      </c>
      <c r="J3298">
        <v>24</v>
      </c>
      <c r="K3298">
        <v>4.3899999999999997</v>
      </c>
      <c r="L3298">
        <v>1</v>
      </c>
    </row>
    <row r="3299" spans="1:12">
      <c r="A3299" t="s">
        <v>9575</v>
      </c>
      <c r="B3299" t="s">
        <v>9576</v>
      </c>
      <c r="C3299" t="s">
        <v>9577</v>
      </c>
      <c r="D3299" t="s">
        <v>23</v>
      </c>
      <c r="E3299" t="s">
        <v>24</v>
      </c>
      <c r="F3299" t="s">
        <v>29</v>
      </c>
      <c r="G3299" t="s">
        <v>50</v>
      </c>
      <c r="H3299" t="s">
        <v>31</v>
      </c>
      <c r="I3299">
        <v>5</v>
      </c>
      <c r="J3299">
        <v>24</v>
      </c>
      <c r="K3299">
        <v>17.77</v>
      </c>
      <c r="L3299">
        <v>1</v>
      </c>
    </row>
    <row r="3300" spans="1:12">
      <c r="A3300" t="s">
        <v>9578</v>
      </c>
      <c r="B3300" t="s">
        <v>9579</v>
      </c>
      <c r="C3300" t="s">
        <v>9580</v>
      </c>
      <c r="D3300" t="s">
        <v>23</v>
      </c>
      <c r="E3300" t="s">
        <v>54</v>
      </c>
      <c r="F3300" t="s">
        <v>17</v>
      </c>
      <c r="G3300" t="s">
        <v>77</v>
      </c>
      <c r="H3300" t="s">
        <v>19</v>
      </c>
      <c r="I3300">
        <v>5</v>
      </c>
      <c r="J3300">
        <v>24</v>
      </c>
      <c r="K3300">
        <v>17.899999999999999</v>
      </c>
      <c r="L3300">
        <v>1</v>
      </c>
    </row>
    <row r="3301" spans="1:12">
      <c r="A3301" t="s">
        <v>9581</v>
      </c>
      <c r="B3301" t="s">
        <v>9582</v>
      </c>
      <c r="C3301" t="s">
        <v>9583</v>
      </c>
      <c r="D3301" t="s">
        <v>35</v>
      </c>
      <c r="E3301" t="s">
        <v>54</v>
      </c>
      <c r="F3301" t="s">
        <v>29</v>
      </c>
      <c r="G3301" t="s">
        <v>105</v>
      </c>
      <c r="H3301" t="s">
        <v>19</v>
      </c>
      <c r="I3301">
        <v>4</v>
      </c>
      <c r="J3301">
        <v>48</v>
      </c>
      <c r="K3301">
        <v>34.1</v>
      </c>
      <c r="L3301">
        <v>1</v>
      </c>
    </row>
    <row r="3302" spans="1:12">
      <c r="A3302" t="s">
        <v>9584</v>
      </c>
      <c r="B3302" t="s">
        <v>9585</v>
      </c>
      <c r="C3302" t="s">
        <v>9586</v>
      </c>
      <c r="D3302" t="s">
        <v>23</v>
      </c>
      <c r="E3302" t="s">
        <v>16</v>
      </c>
      <c r="F3302" t="s">
        <v>29</v>
      </c>
      <c r="G3302" t="s">
        <v>50</v>
      </c>
      <c r="H3302" t="s">
        <v>31</v>
      </c>
      <c r="I3302">
        <v>4</v>
      </c>
      <c r="J3302">
        <v>24</v>
      </c>
      <c r="K3302">
        <v>21.92</v>
      </c>
      <c r="L3302">
        <v>1</v>
      </c>
    </row>
    <row r="3303" spans="1:12">
      <c r="A3303" t="s">
        <v>9587</v>
      </c>
      <c r="B3303" t="s">
        <v>9588</v>
      </c>
      <c r="D3303" t="s">
        <v>15</v>
      </c>
      <c r="E3303" t="s">
        <v>28</v>
      </c>
      <c r="F3303" t="s">
        <v>29</v>
      </c>
      <c r="G3303" t="s">
        <v>42</v>
      </c>
      <c r="H3303" t="s">
        <v>63</v>
      </c>
      <c r="J3303">
        <v>8</v>
      </c>
    </row>
    <row r="3304" spans="1:12">
      <c r="A3304" t="s">
        <v>9589</v>
      </c>
      <c r="B3304" t="s">
        <v>9590</v>
      </c>
      <c r="C3304" t="s">
        <v>9591</v>
      </c>
      <c r="D3304" t="s">
        <v>23</v>
      </c>
      <c r="E3304" t="s">
        <v>54</v>
      </c>
      <c r="F3304" t="s">
        <v>60</v>
      </c>
      <c r="G3304" t="s">
        <v>172</v>
      </c>
      <c r="H3304" t="s">
        <v>31</v>
      </c>
      <c r="I3304">
        <v>4</v>
      </c>
      <c r="J3304">
        <v>24</v>
      </c>
      <c r="K3304">
        <v>17.3</v>
      </c>
      <c r="L3304">
        <v>1</v>
      </c>
    </row>
    <row r="3305" spans="1:12">
      <c r="A3305" t="s">
        <v>9592</v>
      </c>
      <c r="B3305" t="s">
        <v>9593</v>
      </c>
      <c r="C3305" t="s">
        <v>9594</v>
      </c>
      <c r="D3305" t="s">
        <v>23</v>
      </c>
      <c r="E3305" t="s">
        <v>16</v>
      </c>
      <c r="F3305" t="s">
        <v>60</v>
      </c>
      <c r="G3305" t="s">
        <v>37</v>
      </c>
      <c r="H3305" t="s">
        <v>31</v>
      </c>
      <c r="I3305">
        <v>5</v>
      </c>
      <c r="J3305">
        <v>24</v>
      </c>
      <c r="K3305">
        <v>18.11</v>
      </c>
      <c r="L3305">
        <v>1</v>
      </c>
    </row>
    <row r="3306" spans="1:12">
      <c r="A3306" t="s">
        <v>9595</v>
      </c>
      <c r="B3306" t="s">
        <v>9596</v>
      </c>
      <c r="C3306" t="s">
        <v>9597</v>
      </c>
      <c r="D3306" t="s">
        <v>23</v>
      </c>
      <c r="E3306" t="s">
        <v>54</v>
      </c>
      <c r="F3306" t="s">
        <v>60</v>
      </c>
      <c r="G3306" t="s">
        <v>73</v>
      </c>
      <c r="H3306" t="s">
        <v>19</v>
      </c>
      <c r="I3306">
        <v>5</v>
      </c>
      <c r="J3306">
        <v>24</v>
      </c>
      <c r="K3306">
        <v>15.91</v>
      </c>
      <c r="L3306">
        <v>1</v>
      </c>
    </row>
    <row r="3307" spans="1:12">
      <c r="A3307" t="s">
        <v>9598</v>
      </c>
      <c r="B3307" t="s">
        <v>9599</v>
      </c>
      <c r="C3307" t="s">
        <v>9600</v>
      </c>
      <c r="D3307" t="s">
        <v>35</v>
      </c>
      <c r="E3307" t="s">
        <v>28</v>
      </c>
      <c r="F3307" t="s">
        <v>17</v>
      </c>
      <c r="G3307" t="s">
        <v>105</v>
      </c>
      <c r="H3307" t="s">
        <v>19</v>
      </c>
      <c r="I3307">
        <v>5</v>
      </c>
      <c r="J3307">
        <v>48</v>
      </c>
      <c r="K3307">
        <v>35.97</v>
      </c>
      <c r="L3307">
        <v>1</v>
      </c>
    </row>
    <row r="3308" spans="1:12">
      <c r="A3308" t="s">
        <v>9601</v>
      </c>
      <c r="B3308" t="s">
        <v>9602</v>
      </c>
      <c r="C3308" t="s">
        <v>9603</v>
      </c>
      <c r="D3308" t="s">
        <v>15</v>
      </c>
      <c r="E3308" t="s">
        <v>28</v>
      </c>
      <c r="F3308" t="s">
        <v>41</v>
      </c>
      <c r="G3308" t="s">
        <v>77</v>
      </c>
      <c r="H3308" t="s">
        <v>19</v>
      </c>
      <c r="I3308">
        <v>5</v>
      </c>
      <c r="J3308">
        <v>8</v>
      </c>
      <c r="K3308">
        <v>824</v>
      </c>
      <c r="L3308">
        <v>0</v>
      </c>
    </row>
    <row r="3309" spans="1:12">
      <c r="A3309" t="s">
        <v>9604</v>
      </c>
      <c r="B3309" t="s">
        <v>9605</v>
      </c>
      <c r="C3309" t="s">
        <v>9606</v>
      </c>
      <c r="D3309" t="s">
        <v>23</v>
      </c>
      <c r="E3309" t="s">
        <v>59</v>
      </c>
      <c r="F3309" t="s">
        <v>41</v>
      </c>
      <c r="G3309" t="s">
        <v>77</v>
      </c>
      <c r="H3309" t="s">
        <v>19</v>
      </c>
      <c r="I3309">
        <v>3</v>
      </c>
      <c r="J3309">
        <v>24</v>
      </c>
      <c r="K3309">
        <v>38.24</v>
      </c>
      <c r="L3309">
        <v>0</v>
      </c>
    </row>
    <row r="3310" spans="1:12">
      <c r="A3310" t="s">
        <v>9607</v>
      </c>
      <c r="B3310" t="s">
        <v>9608</v>
      </c>
      <c r="C3310" t="s">
        <v>9609</v>
      </c>
      <c r="D3310" t="s">
        <v>23</v>
      </c>
      <c r="E3310" t="s">
        <v>28</v>
      </c>
      <c r="F3310" t="s">
        <v>29</v>
      </c>
      <c r="G3310" t="s">
        <v>55</v>
      </c>
      <c r="H3310" t="s">
        <v>19</v>
      </c>
      <c r="I3310">
        <v>3</v>
      </c>
      <c r="J3310">
        <v>24</v>
      </c>
      <c r="K3310">
        <v>9.23</v>
      </c>
      <c r="L3310">
        <v>1</v>
      </c>
    </row>
    <row r="3311" spans="1:12">
      <c r="A3311" t="s">
        <v>9610</v>
      </c>
      <c r="B3311" t="s">
        <v>9611</v>
      </c>
      <c r="C3311" t="s">
        <v>9612</v>
      </c>
      <c r="D3311" t="s">
        <v>23</v>
      </c>
      <c r="E3311" t="s">
        <v>24</v>
      </c>
      <c r="F3311" t="s">
        <v>41</v>
      </c>
      <c r="G3311" t="s">
        <v>172</v>
      </c>
      <c r="H3311" t="s">
        <v>31</v>
      </c>
      <c r="I3311">
        <v>5</v>
      </c>
      <c r="J3311">
        <v>24</v>
      </c>
      <c r="K3311">
        <v>16.87</v>
      </c>
      <c r="L3311">
        <v>1</v>
      </c>
    </row>
    <row r="3312" spans="1:12">
      <c r="A3312" t="s">
        <v>9613</v>
      </c>
      <c r="B3312" t="s">
        <v>9614</v>
      </c>
      <c r="C3312" t="s">
        <v>9615</v>
      </c>
      <c r="D3312" t="s">
        <v>35</v>
      </c>
      <c r="E3312" t="s">
        <v>16</v>
      </c>
      <c r="F3312" t="s">
        <v>41</v>
      </c>
      <c r="G3312" t="s">
        <v>45</v>
      </c>
      <c r="H3312" t="s">
        <v>19</v>
      </c>
      <c r="I3312">
        <v>5</v>
      </c>
      <c r="J3312">
        <v>48</v>
      </c>
      <c r="K3312">
        <v>16.079999999999998</v>
      </c>
      <c r="L3312">
        <v>1</v>
      </c>
    </row>
    <row r="3313" spans="1:12">
      <c r="A3313" t="s">
        <v>9616</v>
      </c>
      <c r="B3313" t="s">
        <v>9617</v>
      </c>
      <c r="C3313" t="s">
        <v>9618</v>
      </c>
      <c r="D3313" t="s">
        <v>23</v>
      </c>
      <c r="E3313" t="s">
        <v>28</v>
      </c>
      <c r="F3313" t="s">
        <v>60</v>
      </c>
      <c r="G3313" t="s">
        <v>37</v>
      </c>
      <c r="H3313" t="s">
        <v>31</v>
      </c>
      <c r="I3313">
        <v>2</v>
      </c>
      <c r="J3313">
        <v>24</v>
      </c>
      <c r="K3313">
        <v>32.520000000000003</v>
      </c>
      <c r="L3313">
        <v>0</v>
      </c>
    </row>
    <row r="3314" spans="1:12">
      <c r="A3314" t="s">
        <v>9619</v>
      </c>
      <c r="B3314" t="s">
        <v>9620</v>
      </c>
      <c r="C3314" t="s">
        <v>9621</v>
      </c>
      <c r="D3314" t="s">
        <v>15</v>
      </c>
      <c r="E3314" t="s">
        <v>16</v>
      </c>
      <c r="F3314" t="s">
        <v>36</v>
      </c>
      <c r="G3314" t="s">
        <v>55</v>
      </c>
      <c r="H3314" t="s">
        <v>31</v>
      </c>
      <c r="I3314">
        <v>4</v>
      </c>
      <c r="J3314">
        <v>8</v>
      </c>
      <c r="K3314">
        <v>3.08</v>
      </c>
      <c r="L3314">
        <v>1</v>
      </c>
    </row>
    <row r="3315" spans="1:12">
      <c r="A3315" t="s">
        <v>9622</v>
      </c>
      <c r="B3315" t="s">
        <v>9623</v>
      </c>
      <c r="C3315" t="s">
        <v>9624</v>
      </c>
      <c r="D3315" t="s">
        <v>23</v>
      </c>
      <c r="E3315" t="s">
        <v>28</v>
      </c>
      <c r="F3315" t="s">
        <v>29</v>
      </c>
      <c r="G3315" t="s">
        <v>151</v>
      </c>
      <c r="H3315" t="s">
        <v>19</v>
      </c>
      <c r="I3315">
        <v>2</v>
      </c>
      <c r="J3315">
        <v>24</v>
      </c>
      <c r="K3315">
        <v>53.81</v>
      </c>
      <c r="L3315">
        <v>0</v>
      </c>
    </row>
    <row r="3316" spans="1:12">
      <c r="A3316" t="s">
        <v>9625</v>
      </c>
      <c r="B3316" t="s">
        <v>9626</v>
      </c>
      <c r="C3316" t="s">
        <v>9627</v>
      </c>
      <c r="D3316" t="s">
        <v>23</v>
      </c>
      <c r="E3316" t="s">
        <v>59</v>
      </c>
      <c r="F3316" t="s">
        <v>36</v>
      </c>
      <c r="G3316" t="s">
        <v>30</v>
      </c>
      <c r="H3316" t="s">
        <v>31</v>
      </c>
      <c r="I3316">
        <v>5</v>
      </c>
      <c r="J3316">
        <v>24</v>
      </c>
      <c r="K3316">
        <v>17.420000000000002</v>
      </c>
      <c r="L3316">
        <v>1</v>
      </c>
    </row>
    <row r="3317" spans="1:12">
      <c r="A3317" t="s">
        <v>9628</v>
      </c>
      <c r="B3317" t="s">
        <v>9629</v>
      </c>
      <c r="C3317" t="s">
        <v>9630</v>
      </c>
      <c r="D3317" t="s">
        <v>35</v>
      </c>
      <c r="E3317" t="s">
        <v>28</v>
      </c>
      <c r="F3317" t="s">
        <v>17</v>
      </c>
      <c r="G3317" t="s">
        <v>30</v>
      </c>
      <c r="H3317" t="s">
        <v>19</v>
      </c>
      <c r="I3317">
        <v>5</v>
      </c>
      <c r="J3317">
        <v>48</v>
      </c>
      <c r="K3317">
        <v>28.28</v>
      </c>
      <c r="L3317">
        <v>1</v>
      </c>
    </row>
    <row r="3318" spans="1:12">
      <c r="A3318" t="s">
        <v>9631</v>
      </c>
      <c r="B3318" t="s">
        <v>9632</v>
      </c>
      <c r="C3318" t="s">
        <v>9633</v>
      </c>
      <c r="D3318" t="s">
        <v>15</v>
      </c>
      <c r="E3318" t="s">
        <v>28</v>
      </c>
      <c r="F3318" t="s">
        <v>17</v>
      </c>
      <c r="G3318" t="s">
        <v>77</v>
      </c>
      <c r="H3318" t="s">
        <v>19</v>
      </c>
      <c r="I3318">
        <v>4</v>
      </c>
      <c r="J3318">
        <v>8</v>
      </c>
      <c r="K3318">
        <v>5.87</v>
      </c>
      <c r="L3318">
        <v>1</v>
      </c>
    </row>
    <row r="3319" spans="1:12">
      <c r="A3319" t="s">
        <v>9634</v>
      </c>
      <c r="B3319" t="s">
        <v>9635</v>
      </c>
      <c r="C3319" t="s">
        <v>9636</v>
      </c>
      <c r="D3319" t="s">
        <v>23</v>
      </c>
      <c r="E3319" t="s">
        <v>28</v>
      </c>
      <c r="F3319" t="s">
        <v>41</v>
      </c>
      <c r="G3319" t="s">
        <v>77</v>
      </c>
      <c r="H3319" t="s">
        <v>19</v>
      </c>
      <c r="I3319">
        <v>4</v>
      </c>
      <c r="J3319">
        <v>24</v>
      </c>
      <c r="K3319">
        <v>18.03</v>
      </c>
      <c r="L3319">
        <v>1</v>
      </c>
    </row>
    <row r="3320" spans="1:12">
      <c r="A3320" t="s">
        <v>9637</v>
      </c>
      <c r="B3320" t="s">
        <v>9638</v>
      </c>
      <c r="C3320" t="s">
        <v>9639</v>
      </c>
      <c r="D3320" t="s">
        <v>158</v>
      </c>
      <c r="E3320" t="s">
        <v>24</v>
      </c>
      <c r="F3320" t="s">
        <v>60</v>
      </c>
      <c r="G3320" t="s">
        <v>30</v>
      </c>
      <c r="H3320" t="s">
        <v>19</v>
      </c>
      <c r="I3320">
        <v>4</v>
      </c>
      <c r="J3320">
        <v>4</v>
      </c>
      <c r="K3320">
        <v>1.07</v>
      </c>
      <c r="L3320">
        <v>1</v>
      </c>
    </row>
    <row r="3321" spans="1:12">
      <c r="A3321" t="s">
        <v>9640</v>
      </c>
      <c r="B3321" t="s">
        <v>9641</v>
      </c>
      <c r="C3321" t="s">
        <v>9642</v>
      </c>
      <c r="D3321" t="s">
        <v>158</v>
      </c>
      <c r="E3321" t="s">
        <v>16</v>
      </c>
      <c r="F3321" t="s">
        <v>17</v>
      </c>
      <c r="G3321" t="s">
        <v>50</v>
      </c>
      <c r="H3321" t="s">
        <v>31</v>
      </c>
      <c r="I3321">
        <v>4</v>
      </c>
      <c r="J3321">
        <v>4</v>
      </c>
      <c r="K3321">
        <v>3.4</v>
      </c>
      <c r="L3321">
        <v>1</v>
      </c>
    </row>
    <row r="3322" spans="1:12">
      <c r="A3322" t="s">
        <v>9643</v>
      </c>
      <c r="B3322" t="s">
        <v>9644</v>
      </c>
      <c r="C3322" t="s">
        <v>9645</v>
      </c>
      <c r="D3322" t="s">
        <v>23</v>
      </c>
      <c r="E3322" t="s">
        <v>59</v>
      </c>
      <c r="F3322" t="s">
        <v>29</v>
      </c>
      <c r="G3322" t="s">
        <v>45</v>
      </c>
      <c r="H3322" t="s">
        <v>19</v>
      </c>
      <c r="I3322">
        <v>2</v>
      </c>
      <c r="J3322">
        <v>24</v>
      </c>
      <c r="K3322">
        <v>41.35</v>
      </c>
      <c r="L3322">
        <v>0</v>
      </c>
    </row>
    <row r="3323" spans="1:12">
      <c r="A3323" t="s">
        <v>9646</v>
      </c>
      <c r="B3323" t="s">
        <v>9647</v>
      </c>
      <c r="C3323" t="s">
        <v>9648</v>
      </c>
      <c r="D3323" t="s">
        <v>23</v>
      </c>
      <c r="E3323" t="s">
        <v>28</v>
      </c>
      <c r="F3323" t="s">
        <v>41</v>
      </c>
      <c r="G3323" t="s">
        <v>50</v>
      </c>
      <c r="H3323" t="s">
        <v>31</v>
      </c>
      <c r="I3323">
        <v>2</v>
      </c>
      <c r="J3323">
        <v>24</v>
      </c>
      <c r="K3323">
        <v>63.8</v>
      </c>
      <c r="L3323">
        <v>0</v>
      </c>
    </row>
    <row r="3324" spans="1:12">
      <c r="A3324" t="s">
        <v>9649</v>
      </c>
      <c r="B3324" t="s">
        <v>9650</v>
      </c>
      <c r="C3324" t="s">
        <v>9651</v>
      </c>
      <c r="D3324" t="s">
        <v>15</v>
      </c>
      <c r="E3324" t="s">
        <v>24</v>
      </c>
      <c r="F3324" t="s">
        <v>29</v>
      </c>
      <c r="G3324" t="s">
        <v>105</v>
      </c>
      <c r="H3324" t="s">
        <v>19</v>
      </c>
      <c r="I3324">
        <v>1</v>
      </c>
      <c r="J3324">
        <v>8</v>
      </c>
      <c r="K3324">
        <v>21.7</v>
      </c>
      <c r="L3324">
        <v>0</v>
      </c>
    </row>
    <row r="3325" spans="1:12">
      <c r="A3325" t="s">
        <v>9652</v>
      </c>
      <c r="B3325" t="s">
        <v>9653</v>
      </c>
      <c r="C3325" t="s">
        <v>9654</v>
      </c>
      <c r="D3325" t="s">
        <v>158</v>
      </c>
      <c r="E3325" t="s">
        <v>54</v>
      </c>
      <c r="F3325" t="s">
        <v>17</v>
      </c>
      <c r="G3325" t="s">
        <v>105</v>
      </c>
      <c r="H3325" t="s">
        <v>19</v>
      </c>
      <c r="I3325">
        <v>3</v>
      </c>
      <c r="J3325">
        <v>4</v>
      </c>
      <c r="K3325">
        <v>7.39</v>
      </c>
      <c r="L3325">
        <v>0</v>
      </c>
    </row>
    <row r="3326" spans="1:12">
      <c r="A3326" t="s">
        <v>9655</v>
      </c>
      <c r="B3326" t="s">
        <v>9656</v>
      </c>
      <c r="C3326" t="s">
        <v>9657</v>
      </c>
      <c r="D3326" t="s">
        <v>23</v>
      </c>
      <c r="E3326" t="s">
        <v>16</v>
      </c>
      <c r="F3326" t="s">
        <v>29</v>
      </c>
      <c r="G3326" t="s">
        <v>105</v>
      </c>
      <c r="H3326" t="s">
        <v>19</v>
      </c>
      <c r="I3326">
        <v>4</v>
      </c>
      <c r="J3326">
        <v>24</v>
      </c>
      <c r="K3326">
        <v>66.36</v>
      </c>
      <c r="L3326">
        <v>0</v>
      </c>
    </row>
    <row r="3327" spans="1:12">
      <c r="A3327" t="s">
        <v>9658</v>
      </c>
      <c r="B3327" t="s">
        <v>9659</v>
      </c>
      <c r="C3327" t="s">
        <v>9660</v>
      </c>
      <c r="D3327" t="s">
        <v>23</v>
      </c>
      <c r="E3327" t="s">
        <v>16</v>
      </c>
      <c r="F3327" t="s">
        <v>17</v>
      </c>
      <c r="G3327" t="s">
        <v>77</v>
      </c>
      <c r="H3327" t="s">
        <v>19</v>
      </c>
      <c r="I3327">
        <v>4</v>
      </c>
      <c r="J3327">
        <v>24</v>
      </c>
      <c r="K3327">
        <v>12.54</v>
      </c>
      <c r="L3327">
        <v>1</v>
      </c>
    </row>
    <row r="3328" spans="1:12">
      <c r="A3328" t="s">
        <v>9661</v>
      </c>
      <c r="B3328" t="s">
        <v>9662</v>
      </c>
      <c r="C3328" t="s">
        <v>9663</v>
      </c>
      <c r="D3328" t="s">
        <v>23</v>
      </c>
      <c r="E3328" t="s">
        <v>24</v>
      </c>
      <c r="F3328" t="s">
        <v>17</v>
      </c>
      <c r="G3328" t="s">
        <v>37</v>
      </c>
      <c r="H3328" t="s">
        <v>19</v>
      </c>
      <c r="I3328">
        <v>4</v>
      </c>
      <c r="J3328">
        <v>24</v>
      </c>
      <c r="K3328">
        <v>21.62</v>
      </c>
      <c r="L3328">
        <v>1</v>
      </c>
    </row>
    <row r="3329" spans="1:12">
      <c r="A3329" t="s">
        <v>9664</v>
      </c>
      <c r="B3329" t="s">
        <v>9665</v>
      </c>
      <c r="C3329" t="s">
        <v>9666</v>
      </c>
      <c r="D3329" t="s">
        <v>23</v>
      </c>
      <c r="E3329" t="s">
        <v>28</v>
      </c>
      <c r="F3329" t="s">
        <v>41</v>
      </c>
      <c r="G3329" t="s">
        <v>30</v>
      </c>
      <c r="H3329" t="s">
        <v>19</v>
      </c>
      <c r="I3329">
        <v>5</v>
      </c>
      <c r="J3329">
        <v>24</v>
      </c>
      <c r="K3329">
        <v>19.38</v>
      </c>
      <c r="L3329">
        <v>1</v>
      </c>
    </row>
    <row r="3330" spans="1:12">
      <c r="A3330" t="s">
        <v>9667</v>
      </c>
      <c r="B3330" t="s">
        <v>9668</v>
      </c>
      <c r="C3330" t="s">
        <v>9669</v>
      </c>
      <c r="D3330" t="s">
        <v>15</v>
      </c>
      <c r="E3330" t="s">
        <v>54</v>
      </c>
      <c r="F3330" t="s">
        <v>60</v>
      </c>
      <c r="G3330" t="s">
        <v>105</v>
      </c>
      <c r="H3330" t="s">
        <v>31</v>
      </c>
      <c r="I3330">
        <v>4</v>
      </c>
      <c r="J3330">
        <v>8</v>
      </c>
      <c r="K3330">
        <v>4.2300000000000004</v>
      </c>
      <c r="L3330">
        <v>1</v>
      </c>
    </row>
    <row r="3331" spans="1:12">
      <c r="A3331" t="s">
        <v>9670</v>
      </c>
      <c r="B3331" t="s">
        <v>9671</v>
      </c>
      <c r="C3331" t="s">
        <v>9672</v>
      </c>
      <c r="D3331" t="s">
        <v>23</v>
      </c>
      <c r="E3331" t="s">
        <v>24</v>
      </c>
      <c r="F3331" t="s">
        <v>29</v>
      </c>
      <c r="G3331" t="s">
        <v>45</v>
      </c>
      <c r="H3331" t="s">
        <v>19</v>
      </c>
      <c r="I3331">
        <v>4</v>
      </c>
      <c r="J3331">
        <v>24</v>
      </c>
      <c r="K3331">
        <v>18.329999999999998</v>
      </c>
      <c r="L3331">
        <v>1</v>
      </c>
    </row>
    <row r="3332" spans="1:12">
      <c r="A3332" t="s">
        <v>9673</v>
      </c>
      <c r="B3332" t="s">
        <v>9674</v>
      </c>
      <c r="C3332" t="s">
        <v>9675</v>
      </c>
      <c r="D3332" t="s">
        <v>15</v>
      </c>
      <c r="E3332" t="s">
        <v>59</v>
      </c>
      <c r="F3332" t="s">
        <v>60</v>
      </c>
      <c r="G3332" t="s">
        <v>77</v>
      </c>
      <c r="H3332" t="s">
        <v>19</v>
      </c>
      <c r="I3332">
        <v>5</v>
      </c>
      <c r="J3332">
        <v>8</v>
      </c>
      <c r="K3332">
        <v>5.97</v>
      </c>
      <c r="L3332">
        <v>1</v>
      </c>
    </row>
    <row r="3333" spans="1:12">
      <c r="A3333" t="s">
        <v>9676</v>
      </c>
      <c r="B3333" t="s">
        <v>9677</v>
      </c>
      <c r="C3333" t="s">
        <v>9678</v>
      </c>
      <c r="D3333" t="s">
        <v>15</v>
      </c>
      <c r="E3333" t="s">
        <v>54</v>
      </c>
      <c r="F3333" t="s">
        <v>29</v>
      </c>
      <c r="G3333" t="s">
        <v>50</v>
      </c>
      <c r="H3333" t="s">
        <v>19</v>
      </c>
      <c r="I3333">
        <v>5</v>
      </c>
      <c r="J3333">
        <v>8</v>
      </c>
      <c r="K3333">
        <v>6.1</v>
      </c>
      <c r="L3333">
        <v>1</v>
      </c>
    </row>
    <row r="3334" spans="1:12">
      <c r="A3334" t="s">
        <v>9679</v>
      </c>
      <c r="B3334" t="s">
        <v>9680</v>
      </c>
      <c r="C3334" t="s">
        <v>9681</v>
      </c>
      <c r="D3334" t="s">
        <v>23</v>
      </c>
      <c r="E3334" t="s">
        <v>28</v>
      </c>
      <c r="F3334" t="s">
        <v>29</v>
      </c>
      <c r="G3334" t="s">
        <v>105</v>
      </c>
      <c r="H3334" t="s">
        <v>31</v>
      </c>
      <c r="I3334">
        <v>5</v>
      </c>
      <c r="J3334">
        <v>24</v>
      </c>
      <c r="K3334">
        <v>16.850000000000001</v>
      </c>
      <c r="L3334">
        <v>1</v>
      </c>
    </row>
    <row r="3335" spans="1:12">
      <c r="A3335" t="s">
        <v>9682</v>
      </c>
      <c r="B3335" t="s">
        <v>9683</v>
      </c>
      <c r="C3335" t="s">
        <v>9684</v>
      </c>
      <c r="D3335" t="s">
        <v>15</v>
      </c>
      <c r="E3335" t="s">
        <v>16</v>
      </c>
      <c r="F3335" t="s">
        <v>60</v>
      </c>
      <c r="G3335" t="s">
        <v>50</v>
      </c>
      <c r="H3335" t="s">
        <v>31</v>
      </c>
      <c r="I3335">
        <v>5</v>
      </c>
      <c r="J3335">
        <v>8</v>
      </c>
      <c r="K3335">
        <v>6.65</v>
      </c>
      <c r="L3335">
        <v>1</v>
      </c>
    </row>
    <row r="3336" spans="1:12">
      <c r="A3336" t="s">
        <v>9685</v>
      </c>
      <c r="B3336" t="s">
        <v>9686</v>
      </c>
      <c r="C3336" t="s">
        <v>9687</v>
      </c>
      <c r="D3336" t="s">
        <v>35</v>
      </c>
      <c r="E3336" t="s">
        <v>16</v>
      </c>
      <c r="F3336" t="s">
        <v>60</v>
      </c>
      <c r="G3336" t="s">
        <v>45</v>
      </c>
      <c r="H3336" t="s">
        <v>31</v>
      </c>
      <c r="I3336">
        <v>2</v>
      </c>
      <c r="J3336">
        <v>48</v>
      </c>
      <c r="K3336">
        <v>55.43</v>
      </c>
      <c r="L3336">
        <v>0</v>
      </c>
    </row>
    <row r="3337" spans="1:12">
      <c r="A3337" t="s">
        <v>9688</v>
      </c>
      <c r="B3337" t="s">
        <v>9689</v>
      </c>
      <c r="C3337" t="s">
        <v>9690</v>
      </c>
      <c r="D3337" t="s">
        <v>15</v>
      </c>
      <c r="E3337" t="s">
        <v>16</v>
      </c>
      <c r="F3337" t="s">
        <v>29</v>
      </c>
      <c r="G3337" t="s">
        <v>18</v>
      </c>
      <c r="H3337" t="s">
        <v>19</v>
      </c>
      <c r="I3337">
        <v>3</v>
      </c>
      <c r="J3337">
        <v>8</v>
      </c>
      <c r="K3337">
        <v>1.65</v>
      </c>
      <c r="L3337">
        <v>1</v>
      </c>
    </row>
    <row r="3338" spans="1:12">
      <c r="A3338" t="s">
        <v>9691</v>
      </c>
      <c r="B3338" t="s">
        <v>9692</v>
      </c>
      <c r="C3338" t="s">
        <v>9693</v>
      </c>
      <c r="D3338" t="s">
        <v>15</v>
      </c>
      <c r="E3338" t="s">
        <v>59</v>
      </c>
      <c r="F3338" t="s">
        <v>29</v>
      </c>
      <c r="G3338" t="s">
        <v>50</v>
      </c>
      <c r="H3338" t="s">
        <v>19</v>
      </c>
      <c r="I3338">
        <v>5</v>
      </c>
      <c r="J3338">
        <v>8</v>
      </c>
      <c r="K3338">
        <v>2.76</v>
      </c>
      <c r="L3338">
        <v>1</v>
      </c>
    </row>
    <row r="3339" spans="1:12">
      <c r="A3339" t="s">
        <v>9694</v>
      </c>
      <c r="B3339" t="s">
        <v>9695</v>
      </c>
      <c r="D3339" t="s">
        <v>23</v>
      </c>
      <c r="E3339" t="s">
        <v>16</v>
      </c>
      <c r="F3339" t="s">
        <v>29</v>
      </c>
      <c r="G3339" t="s">
        <v>105</v>
      </c>
      <c r="H3339" t="s">
        <v>63</v>
      </c>
      <c r="J3339">
        <v>24</v>
      </c>
    </row>
    <row r="3340" spans="1:12">
      <c r="A3340" t="s">
        <v>9696</v>
      </c>
      <c r="B3340" t="s">
        <v>9697</v>
      </c>
      <c r="C3340" t="s">
        <v>9698</v>
      </c>
      <c r="D3340" t="s">
        <v>15</v>
      </c>
      <c r="E3340" t="s">
        <v>28</v>
      </c>
      <c r="F3340" t="s">
        <v>17</v>
      </c>
      <c r="G3340" t="s">
        <v>172</v>
      </c>
      <c r="H3340" t="s">
        <v>19</v>
      </c>
      <c r="I3340">
        <v>2</v>
      </c>
      <c r="J3340">
        <v>8</v>
      </c>
      <c r="K3340">
        <v>18.29</v>
      </c>
      <c r="L3340">
        <v>0</v>
      </c>
    </row>
    <row r="3341" spans="1:12">
      <c r="A3341" t="s">
        <v>9699</v>
      </c>
      <c r="B3341" t="s">
        <v>9700</v>
      </c>
      <c r="C3341" t="s">
        <v>9701</v>
      </c>
      <c r="D3341" t="s">
        <v>23</v>
      </c>
      <c r="E3341" t="s">
        <v>16</v>
      </c>
      <c r="F3341" t="s">
        <v>29</v>
      </c>
      <c r="G3341" t="s">
        <v>50</v>
      </c>
      <c r="H3341" t="s">
        <v>19</v>
      </c>
      <c r="I3341">
        <v>5</v>
      </c>
      <c r="J3341">
        <v>24</v>
      </c>
      <c r="K3341">
        <v>5.49</v>
      </c>
      <c r="L3341">
        <v>1</v>
      </c>
    </row>
    <row r="3342" spans="1:12">
      <c r="A3342" t="s">
        <v>9702</v>
      </c>
      <c r="B3342" t="s">
        <v>9703</v>
      </c>
      <c r="C3342" t="s">
        <v>9704</v>
      </c>
      <c r="D3342" t="s">
        <v>23</v>
      </c>
      <c r="E3342" t="s">
        <v>16</v>
      </c>
      <c r="F3342" t="s">
        <v>60</v>
      </c>
      <c r="G3342" t="s">
        <v>30</v>
      </c>
      <c r="H3342" t="s">
        <v>31</v>
      </c>
      <c r="I3342">
        <v>5</v>
      </c>
      <c r="J3342">
        <v>24</v>
      </c>
      <c r="K3342">
        <v>14.27</v>
      </c>
      <c r="L3342">
        <v>1</v>
      </c>
    </row>
    <row r="3343" spans="1:12">
      <c r="A3343" t="s">
        <v>9705</v>
      </c>
      <c r="B3343" t="s">
        <v>9706</v>
      </c>
      <c r="D3343" t="s">
        <v>23</v>
      </c>
      <c r="E3343" t="s">
        <v>54</v>
      </c>
      <c r="F3343" t="s">
        <v>41</v>
      </c>
      <c r="G3343" t="s">
        <v>172</v>
      </c>
      <c r="H3343" t="s">
        <v>63</v>
      </c>
      <c r="J3343">
        <v>24</v>
      </c>
    </row>
    <row r="3344" spans="1:12">
      <c r="A3344" t="s">
        <v>9707</v>
      </c>
      <c r="B3344" t="s">
        <v>9708</v>
      </c>
      <c r="C3344" t="s">
        <v>9709</v>
      </c>
      <c r="D3344" t="s">
        <v>23</v>
      </c>
      <c r="E3344" t="s">
        <v>28</v>
      </c>
      <c r="F3344" t="s">
        <v>17</v>
      </c>
      <c r="G3344" t="s">
        <v>77</v>
      </c>
      <c r="H3344" t="s">
        <v>31</v>
      </c>
      <c r="I3344">
        <v>5</v>
      </c>
      <c r="J3344">
        <v>24</v>
      </c>
      <c r="K3344">
        <v>15.46</v>
      </c>
      <c r="L3344">
        <v>1</v>
      </c>
    </row>
    <row r="3345" spans="1:12">
      <c r="A3345" t="s">
        <v>9710</v>
      </c>
      <c r="B3345" t="s">
        <v>9711</v>
      </c>
      <c r="C3345" t="s">
        <v>9712</v>
      </c>
      <c r="D3345" t="s">
        <v>15</v>
      </c>
      <c r="E3345" t="s">
        <v>28</v>
      </c>
      <c r="F3345" t="s">
        <v>29</v>
      </c>
      <c r="G3345" t="s">
        <v>50</v>
      </c>
      <c r="H3345" t="s">
        <v>19</v>
      </c>
      <c r="I3345">
        <v>4</v>
      </c>
      <c r="J3345">
        <v>8</v>
      </c>
      <c r="K3345">
        <v>1.49</v>
      </c>
      <c r="L3345">
        <v>1</v>
      </c>
    </row>
    <row r="3346" spans="1:12">
      <c r="A3346" t="s">
        <v>9713</v>
      </c>
      <c r="B3346" t="s">
        <v>9714</v>
      </c>
      <c r="C3346" t="s">
        <v>9715</v>
      </c>
      <c r="D3346" t="s">
        <v>35</v>
      </c>
      <c r="E3346" t="s">
        <v>28</v>
      </c>
      <c r="F3346" t="s">
        <v>36</v>
      </c>
      <c r="G3346" t="s">
        <v>45</v>
      </c>
      <c r="H3346" t="s">
        <v>31</v>
      </c>
      <c r="I3346">
        <v>5</v>
      </c>
      <c r="J3346">
        <v>48</v>
      </c>
      <c r="K3346">
        <v>28.87</v>
      </c>
      <c r="L3346">
        <v>1</v>
      </c>
    </row>
    <row r="3347" spans="1:12">
      <c r="A3347" t="s">
        <v>9716</v>
      </c>
      <c r="B3347" t="s">
        <v>9717</v>
      </c>
      <c r="C3347" t="s">
        <v>9718</v>
      </c>
      <c r="D3347" t="s">
        <v>35</v>
      </c>
      <c r="E3347" t="s">
        <v>28</v>
      </c>
      <c r="F3347" t="s">
        <v>29</v>
      </c>
      <c r="G3347" t="s">
        <v>42</v>
      </c>
      <c r="H3347" t="s">
        <v>31</v>
      </c>
      <c r="I3347">
        <v>5</v>
      </c>
      <c r="J3347">
        <v>48</v>
      </c>
      <c r="K3347">
        <v>28.13</v>
      </c>
      <c r="L3347">
        <v>1</v>
      </c>
    </row>
    <row r="3348" spans="1:12">
      <c r="A3348" t="s">
        <v>9719</v>
      </c>
      <c r="B3348" t="s">
        <v>9720</v>
      </c>
      <c r="C3348" t="s">
        <v>9721</v>
      </c>
      <c r="D3348" t="s">
        <v>23</v>
      </c>
      <c r="E3348" t="s">
        <v>28</v>
      </c>
      <c r="F3348" t="s">
        <v>29</v>
      </c>
      <c r="G3348" t="s">
        <v>172</v>
      </c>
      <c r="H3348" t="s">
        <v>31</v>
      </c>
      <c r="I3348">
        <v>3</v>
      </c>
      <c r="J3348">
        <v>24</v>
      </c>
      <c r="K3348">
        <v>4.9000000000000004</v>
      </c>
      <c r="L3348">
        <v>1</v>
      </c>
    </row>
    <row r="3349" spans="1:12">
      <c r="A3349" t="s">
        <v>9722</v>
      </c>
      <c r="B3349" t="s">
        <v>9723</v>
      </c>
      <c r="C3349" t="s">
        <v>9724</v>
      </c>
      <c r="D3349" t="s">
        <v>35</v>
      </c>
      <c r="E3349" t="s">
        <v>24</v>
      </c>
      <c r="F3349" t="s">
        <v>36</v>
      </c>
      <c r="G3349" t="s">
        <v>50</v>
      </c>
      <c r="H3349" t="s">
        <v>19</v>
      </c>
      <c r="I3349">
        <v>3</v>
      </c>
      <c r="J3349">
        <v>48</v>
      </c>
      <c r="K3349">
        <v>31.69</v>
      </c>
      <c r="L3349">
        <v>1</v>
      </c>
    </row>
    <row r="3350" spans="1:12">
      <c r="A3350" t="s">
        <v>9725</v>
      </c>
      <c r="B3350" t="s">
        <v>9726</v>
      </c>
      <c r="C3350" t="s">
        <v>9727</v>
      </c>
      <c r="D3350" t="s">
        <v>23</v>
      </c>
      <c r="E3350" t="s">
        <v>24</v>
      </c>
      <c r="F3350" t="s">
        <v>41</v>
      </c>
      <c r="G3350" t="s">
        <v>50</v>
      </c>
      <c r="H3350" t="s">
        <v>31</v>
      </c>
      <c r="I3350">
        <v>4</v>
      </c>
      <c r="J3350">
        <v>24</v>
      </c>
      <c r="K3350">
        <v>14.12</v>
      </c>
      <c r="L3350">
        <v>1</v>
      </c>
    </row>
    <row r="3351" spans="1:12">
      <c r="A3351" t="s">
        <v>9728</v>
      </c>
      <c r="B3351" t="s">
        <v>9729</v>
      </c>
      <c r="C3351" t="s">
        <v>9730</v>
      </c>
      <c r="D3351" t="s">
        <v>23</v>
      </c>
      <c r="E3351" t="s">
        <v>24</v>
      </c>
      <c r="F3351" t="s">
        <v>60</v>
      </c>
      <c r="G3351" t="s">
        <v>172</v>
      </c>
      <c r="H3351" t="s">
        <v>19</v>
      </c>
      <c r="I3351">
        <v>4</v>
      </c>
      <c r="J3351">
        <v>24</v>
      </c>
      <c r="K3351">
        <v>20.84</v>
      </c>
      <c r="L3351">
        <v>1</v>
      </c>
    </row>
    <row r="3352" spans="1:12">
      <c r="A3352" t="s">
        <v>9731</v>
      </c>
      <c r="B3352" t="s">
        <v>9732</v>
      </c>
      <c r="C3352" t="s">
        <v>9733</v>
      </c>
      <c r="D3352" t="s">
        <v>23</v>
      </c>
      <c r="E3352" t="s">
        <v>54</v>
      </c>
      <c r="F3352" t="s">
        <v>17</v>
      </c>
      <c r="G3352" t="s">
        <v>151</v>
      </c>
      <c r="H3352" t="s">
        <v>19</v>
      </c>
      <c r="I3352">
        <v>4</v>
      </c>
      <c r="J3352">
        <v>24</v>
      </c>
      <c r="K3352">
        <v>14.34</v>
      </c>
      <c r="L3352">
        <v>1</v>
      </c>
    </row>
    <row r="3353" spans="1:12">
      <c r="A3353" t="s">
        <v>9734</v>
      </c>
      <c r="B3353" t="s">
        <v>9735</v>
      </c>
      <c r="D3353" t="s">
        <v>15</v>
      </c>
      <c r="E3353" t="s">
        <v>59</v>
      </c>
      <c r="F3353" t="s">
        <v>41</v>
      </c>
      <c r="G3353" t="s">
        <v>50</v>
      </c>
      <c r="H3353" t="s">
        <v>46</v>
      </c>
      <c r="J3353">
        <v>8</v>
      </c>
    </row>
    <row r="3354" spans="1:12">
      <c r="A3354" t="s">
        <v>9736</v>
      </c>
      <c r="B3354" t="s">
        <v>9737</v>
      </c>
      <c r="C3354" t="s">
        <v>9738</v>
      </c>
      <c r="D3354" t="s">
        <v>35</v>
      </c>
      <c r="E3354" t="s">
        <v>16</v>
      </c>
      <c r="F3354" t="s">
        <v>60</v>
      </c>
      <c r="G3354" t="s">
        <v>55</v>
      </c>
      <c r="H3354" t="s">
        <v>19</v>
      </c>
      <c r="I3354">
        <v>4</v>
      </c>
      <c r="J3354">
        <v>48</v>
      </c>
      <c r="K3354">
        <v>23.34</v>
      </c>
      <c r="L3354">
        <v>1</v>
      </c>
    </row>
    <row r="3355" spans="1:12">
      <c r="A3355" t="s">
        <v>9739</v>
      </c>
      <c r="B3355" t="s">
        <v>9740</v>
      </c>
      <c r="D3355" t="s">
        <v>15</v>
      </c>
      <c r="E3355" t="s">
        <v>16</v>
      </c>
      <c r="F3355" t="s">
        <v>17</v>
      </c>
      <c r="G3355" t="s">
        <v>18</v>
      </c>
      <c r="H3355" t="s">
        <v>63</v>
      </c>
      <c r="J3355">
        <v>8</v>
      </c>
    </row>
    <row r="3356" spans="1:12">
      <c r="A3356" t="s">
        <v>9741</v>
      </c>
      <c r="B3356" t="s">
        <v>9742</v>
      </c>
      <c r="C3356" t="s">
        <v>9743</v>
      </c>
      <c r="D3356" t="s">
        <v>15</v>
      </c>
      <c r="E3356" t="s">
        <v>24</v>
      </c>
      <c r="F3356" t="s">
        <v>41</v>
      </c>
      <c r="G3356" t="s">
        <v>45</v>
      </c>
      <c r="H3356" t="s">
        <v>19</v>
      </c>
      <c r="I3356">
        <v>4</v>
      </c>
      <c r="J3356">
        <v>8</v>
      </c>
      <c r="K3356">
        <v>7.43</v>
      </c>
      <c r="L3356">
        <v>1</v>
      </c>
    </row>
    <row r="3357" spans="1:12">
      <c r="A3357" t="s">
        <v>9744</v>
      </c>
      <c r="B3357" t="s">
        <v>9745</v>
      </c>
      <c r="C3357" t="s">
        <v>9746</v>
      </c>
      <c r="D3357" t="s">
        <v>35</v>
      </c>
      <c r="E3357" t="s">
        <v>59</v>
      </c>
      <c r="F3357" t="s">
        <v>29</v>
      </c>
      <c r="G3357" t="s">
        <v>50</v>
      </c>
      <c r="H3357" t="s">
        <v>31</v>
      </c>
      <c r="I3357">
        <v>5</v>
      </c>
      <c r="J3357">
        <v>48</v>
      </c>
      <c r="K3357">
        <v>21.69</v>
      </c>
      <c r="L3357">
        <v>1</v>
      </c>
    </row>
    <row r="3358" spans="1:12">
      <c r="A3358" t="s">
        <v>9747</v>
      </c>
      <c r="B3358" t="s">
        <v>9748</v>
      </c>
      <c r="C3358" t="s">
        <v>9749</v>
      </c>
      <c r="D3358" t="s">
        <v>158</v>
      </c>
      <c r="E3358" t="s">
        <v>54</v>
      </c>
      <c r="F3358" t="s">
        <v>60</v>
      </c>
      <c r="G3358" t="s">
        <v>30</v>
      </c>
      <c r="H3358" t="s">
        <v>19</v>
      </c>
      <c r="I3358">
        <v>5</v>
      </c>
      <c r="J3358">
        <v>4</v>
      </c>
      <c r="K3358">
        <v>3.71</v>
      </c>
      <c r="L3358">
        <v>1</v>
      </c>
    </row>
    <row r="3359" spans="1:12">
      <c r="A3359" t="s">
        <v>9750</v>
      </c>
      <c r="B3359" t="s">
        <v>9751</v>
      </c>
      <c r="C3359" t="s">
        <v>9752</v>
      </c>
      <c r="D3359" t="s">
        <v>158</v>
      </c>
      <c r="E3359" t="s">
        <v>28</v>
      </c>
      <c r="F3359" t="s">
        <v>17</v>
      </c>
      <c r="G3359" t="s">
        <v>172</v>
      </c>
      <c r="H3359" t="s">
        <v>31</v>
      </c>
      <c r="I3359">
        <v>5</v>
      </c>
      <c r="J3359">
        <v>4</v>
      </c>
      <c r="K3359">
        <v>1.64</v>
      </c>
      <c r="L3359">
        <v>1</v>
      </c>
    </row>
    <row r="3360" spans="1:12">
      <c r="A3360" t="s">
        <v>9753</v>
      </c>
      <c r="B3360" t="s">
        <v>9754</v>
      </c>
      <c r="D3360" t="s">
        <v>35</v>
      </c>
      <c r="E3360" t="s">
        <v>28</v>
      </c>
      <c r="F3360" t="s">
        <v>29</v>
      </c>
      <c r="G3360" t="s">
        <v>73</v>
      </c>
      <c r="H3360" t="s">
        <v>63</v>
      </c>
      <c r="J3360">
        <v>48</v>
      </c>
    </row>
    <row r="3361" spans="1:12">
      <c r="A3361" t="s">
        <v>9755</v>
      </c>
      <c r="B3361" t="s">
        <v>9756</v>
      </c>
      <c r="D3361" t="s">
        <v>23</v>
      </c>
      <c r="E3361" t="s">
        <v>16</v>
      </c>
      <c r="F3361" t="s">
        <v>41</v>
      </c>
      <c r="G3361" t="s">
        <v>55</v>
      </c>
      <c r="H3361" t="s">
        <v>63</v>
      </c>
      <c r="J3361">
        <v>24</v>
      </c>
    </row>
    <row r="3362" spans="1:12">
      <c r="A3362" t="s">
        <v>9757</v>
      </c>
      <c r="B3362" t="s">
        <v>9758</v>
      </c>
      <c r="C3362" t="s">
        <v>9759</v>
      </c>
      <c r="D3362" t="s">
        <v>23</v>
      </c>
      <c r="E3362" t="s">
        <v>24</v>
      </c>
      <c r="F3362" t="s">
        <v>60</v>
      </c>
      <c r="G3362" t="s">
        <v>77</v>
      </c>
      <c r="H3362" t="s">
        <v>19</v>
      </c>
      <c r="I3362">
        <v>3</v>
      </c>
      <c r="J3362">
        <v>24</v>
      </c>
      <c r="K3362">
        <v>30.05</v>
      </c>
      <c r="L3362">
        <v>0</v>
      </c>
    </row>
    <row r="3363" spans="1:12">
      <c r="A3363" t="s">
        <v>9760</v>
      </c>
      <c r="B3363" t="s">
        <v>9761</v>
      </c>
      <c r="C3363" t="s">
        <v>9762</v>
      </c>
      <c r="D3363" t="s">
        <v>15</v>
      </c>
      <c r="E3363" t="s">
        <v>24</v>
      </c>
      <c r="F3363" t="s">
        <v>17</v>
      </c>
      <c r="G3363" t="s">
        <v>42</v>
      </c>
      <c r="H3363" t="s">
        <v>19</v>
      </c>
      <c r="I3363">
        <v>4</v>
      </c>
      <c r="J3363">
        <v>8</v>
      </c>
      <c r="K3363">
        <v>2.99</v>
      </c>
      <c r="L3363">
        <v>1</v>
      </c>
    </row>
    <row r="3364" spans="1:12">
      <c r="A3364" t="s">
        <v>9763</v>
      </c>
      <c r="B3364" t="s">
        <v>9764</v>
      </c>
      <c r="C3364" t="s">
        <v>9765</v>
      </c>
      <c r="D3364" t="s">
        <v>158</v>
      </c>
      <c r="E3364" t="s">
        <v>24</v>
      </c>
      <c r="F3364" t="s">
        <v>41</v>
      </c>
      <c r="G3364" t="s">
        <v>151</v>
      </c>
      <c r="H3364" t="s">
        <v>19</v>
      </c>
      <c r="I3364">
        <v>4</v>
      </c>
      <c r="J3364">
        <v>4</v>
      </c>
      <c r="K3364">
        <v>0.9</v>
      </c>
      <c r="L3364">
        <v>1</v>
      </c>
    </row>
    <row r="3365" spans="1:12">
      <c r="A3365" t="s">
        <v>9766</v>
      </c>
      <c r="B3365" t="s">
        <v>9767</v>
      </c>
      <c r="D3365" t="s">
        <v>35</v>
      </c>
      <c r="E3365" t="s">
        <v>28</v>
      </c>
      <c r="F3365" t="s">
        <v>29</v>
      </c>
      <c r="G3365" t="s">
        <v>50</v>
      </c>
      <c r="H3365" t="s">
        <v>46</v>
      </c>
      <c r="J3365">
        <v>48</v>
      </c>
    </row>
    <row r="3366" spans="1:12">
      <c r="A3366" t="s">
        <v>9768</v>
      </c>
      <c r="B3366" t="s">
        <v>9769</v>
      </c>
      <c r="C3366" t="s">
        <v>9770</v>
      </c>
      <c r="D3366" t="s">
        <v>23</v>
      </c>
      <c r="E3366" t="s">
        <v>28</v>
      </c>
      <c r="F3366" t="s">
        <v>29</v>
      </c>
      <c r="G3366" t="s">
        <v>105</v>
      </c>
      <c r="H3366" t="s">
        <v>19</v>
      </c>
      <c r="I3366">
        <v>4</v>
      </c>
      <c r="J3366">
        <v>24</v>
      </c>
      <c r="K3366">
        <v>19.11</v>
      </c>
      <c r="L3366">
        <v>1</v>
      </c>
    </row>
    <row r="3367" spans="1:12">
      <c r="A3367" t="s">
        <v>9771</v>
      </c>
      <c r="B3367" t="s">
        <v>9772</v>
      </c>
      <c r="C3367" t="s">
        <v>9773</v>
      </c>
      <c r="D3367" t="s">
        <v>158</v>
      </c>
      <c r="E3367" t="s">
        <v>28</v>
      </c>
      <c r="F3367" t="s">
        <v>60</v>
      </c>
      <c r="G3367" t="s">
        <v>151</v>
      </c>
      <c r="H3367" t="s">
        <v>31</v>
      </c>
      <c r="I3367">
        <v>1</v>
      </c>
      <c r="J3367">
        <v>4</v>
      </c>
      <c r="K3367">
        <v>6.87</v>
      </c>
      <c r="L3367">
        <v>0</v>
      </c>
    </row>
    <row r="3368" spans="1:12">
      <c r="A3368" t="s">
        <v>9774</v>
      </c>
      <c r="B3368" t="s">
        <v>9775</v>
      </c>
      <c r="C3368" t="s">
        <v>9776</v>
      </c>
      <c r="D3368" t="s">
        <v>23</v>
      </c>
      <c r="E3368" t="s">
        <v>28</v>
      </c>
      <c r="F3368" t="s">
        <v>36</v>
      </c>
      <c r="G3368" t="s">
        <v>151</v>
      </c>
      <c r="H3368" t="s">
        <v>19</v>
      </c>
      <c r="I3368">
        <v>5</v>
      </c>
      <c r="J3368">
        <v>24</v>
      </c>
      <c r="K3368">
        <v>13.67</v>
      </c>
      <c r="L3368">
        <v>1</v>
      </c>
    </row>
    <row r="3369" spans="1:12">
      <c r="A3369" t="s">
        <v>9777</v>
      </c>
      <c r="B3369" t="s">
        <v>9778</v>
      </c>
      <c r="C3369" t="s">
        <v>9779</v>
      </c>
      <c r="D3369" t="s">
        <v>15</v>
      </c>
      <c r="E3369" t="s">
        <v>54</v>
      </c>
      <c r="F3369" t="s">
        <v>41</v>
      </c>
      <c r="G3369" t="s">
        <v>105</v>
      </c>
      <c r="H3369" t="s">
        <v>19</v>
      </c>
      <c r="I3369">
        <v>5</v>
      </c>
      <c r="J3369">
        <v>8</v>
      </c>
      <c r="K3369">
        <v>1.48</v>
      </c>
      <c r="L3369">
        <v>1</v>
      </c>
    </row>
    <row r="3370" spans="1:12">
      <c r="A3370" t="s">
        <v>9780</v>
      </c>
      <c r="B3370" t="s">
        <v>9781</v>
      </c>
      <c r="C3370" t="s">
        <v>9782</v>
      </c>
      <c r="D3370" t="s">
        <v>35</v>
      </c>
      <c r="E3370" t="s">
        <v>59</v>
      </c>
      <c r="F3370" t="s">
        <v>29</v>
      </c>
      <c r="G3370" t="s">
        <v>37</v>
      </c>
      <c r="H3370" t="s">
        <v>31</v>
      </c>
      <c r="I3370">
        <v>4</v>
      </c>
      <c r="J3370">
        <v>48</v>
      </c>
      <c r="K3370">
        <v>43.4</v>
      </c>
      <c r="L3370">
        <v>1</v>
      </c>
    </row>
    <row r="3371" spans="1:12">
      <c r="A3371" t="s">
        <v>9783</v>
      </c>
      <c r="B3371" t="s">
        <v>9784</v>
      </c>
      <c r="C3371" t="s">
        <v>9785</v>
      </c>
      <c r="D3371" t="s">
        <v>15</v>
      </c>
      <c r="E3371" t="s">
        <v>28</v>
      </c>
      <c r="F3371" t="s">
        <v>29</v>
      </c>
      <c r="G3371" t="s">
        <v>30</v>
      </c>
      <c r="H3371" t="s">
        <v>31</v>
      </c>
      <c r="I3371">
        <v>5</v>
      </c>
      <c r="J3371">
        <v>8</v>
      </c>
      <c r="K3371">
        <v>3.81</v>
      </c>
      <c r="L3371">
        <v>1</v>
      </c>
    </row>
    <row r="3372" spans="1:12">
      <c r="A3372" t="s">
        <v>9786</v>
      </c>
      <c r="B3372" t="s">
        <v>9787</v>
      </c>
      <c r="C3372" t="s">
        <v>9788</v>
      </c>
      <c r="D3372" t="s">
        <v>23</v>
      </c>
      <c r="E3372" t="s">
        <v>24</v>
      </c>
      <c r="F3372" t="s">
        <v>60</v>
      </c>
      <c r="G3372" t="s">
        <v>50</v>
      </c>
      <c r="H3372" t="s">
        <v>31</v>
      </c>
      <c r="I3372">
        <v>5</v>
      </c>
      <c r="J3372">
        <v>24</v>
      </c>
      <c r="K3372">
        <v>8.34</v>
      </c>
      <c r="L3372">
        <v>1</v>
      </c>
    </row>
    <row r="3373" spans="1:12">
      <c r="A3373" t="s">
        <v>9789</v>
      </c>
      <c r="B3373" t="s">
        <v>9790</v>
      </c>
      <c r="C3373" t="s">
        <v>9791</v>
      </c>
      <c r="D3373" t="s">
        <v>23</v>
      </c>
      <c r="E3373" t="s">
        <v>24</v>
      </c>
      <c r="F3373" t="s">
        <v>41</v>
      </c>
      <c r="G3373" t="s">
        <v>151</v>
      </c>
      <c r="H3373" t="s">
        <v>31</v>
      </c>
      <c r="I3373">
        <v>4</v>
      </c>
      <c r="J3373">
        <v>24</v>
      </c>
      <c r="K3373">
        <v>22.22</v>
      </c>
      <c r="L3373">
        <v>1</v>
      </c>
    </row>
    <row r="3374" spans="1:12">
      <c r="A3374" t="s">
        <v>9792</v>
      </c>
      <c r="B3374" t="s">
        <v>9793</v>
      </c>
      <c r="C3374" t="s">
        <v>9794</v>
      </c>
      <c r="D3374" t="s">
        <v>23</v>
      </c>
      <c r="E3374" t="s">
        <v>16</v>
      </c>
      <c r="F3374" t="s">
        <v>29</v>
      </c>
      <c r="G3374" t="s">
        <v>30</v>
      </c>
      <c r="H3374" t="s">
        <v>19</v>
      </c>
      <c r="I3374">
        <v>3</v>
      </c>
      <c r="J3374">
        <v>24</v>
      </c>
      <c r="K3374">
        <v>16.46</v>
      </c>
      <c r="L3374">
        <v>1</v>
      </c>
    </row>
    <row r="3375" spans="1:12">
      <c r="A3375" t="s">
        <v>9795</v>
      </c>
      <c r="B3375" t="s">
        <v>9796</v>
      </c>
      <c r="C3375" t="s">
        <v>9797</v>
      </c>
      <c r="D3375" t="s">
        <v>15</v>
      </c>
      <c r="E3375" t="s">
        <v>24</v>
      </c>
      <c r="F3375" t="s">
        <v>17</v>
      </c>
      <c r="G3375" t="s">
        <v>30</v>
      </c>
      <c r="H3375" t="s">
        <v>19</v>
      </c>
      <c r="I3375">
        <v>5</v>
      </c>
      <c r="J3375">
        <v>8</v>
      </c>
      <c r="K3375">
        <v>4.3099999999999996</v>
      </c>
      <c r="L3375">
        <v>1</v>
      </c>
    </row>
    <row r="3376" spans="1:12">
      <c r="A3376" t="s">
        <v>9798</v>
      </c>
      <c r="B3376" t="s">
        <v>9799</v>
      </c>
      <c r="C3376" t="s">
        <v>9800</v>
      </c>
      <c r="D3376" t="s">
        <v>15</v>
      </c>
      <c r="E3376" t="s">
        <v>28</v>
      </c>
      <c r="F3376" t="s">
        <v>60</v>
      </c>
      <c r="G3376" t="s">
        <v>18</v>
      </c>
      <c r="H3376" t="s">
        <v>19</v>
      </c>
      <c r="I3376">
        <v>2</v>
      </c>
      <c r="J3376">
        <v>8</v>
      </c>
      <c r="K3376">
        <v>18.87</v>
      </c>
      <c r="L3376">
        <v>0</v>
      </c>
    </row>
    <row r="3377" spans="1:12">
      <c r="A3377" t="s">
        <v>9801</v>
      </c>
      <c r="B3377" t="s">
        <v>9802</v>
      </c>
      <c r="C3377" t="s">
        <v>9803</v>
      </c>
      <c r="D3377" t="s">
        <v>23</v>
      </c>
      <c r="E3377" t="s">
        <v>16</v>
      </c>
      <c r="F3377" t="s">
        <v>29</v>
      </c>
      <c r="G3377" t="s">
        <v>55</v>
      </c>
      <c r="H3377" t="s">
        <v>19</v>
      </c>
      <c r="I3377">
        <v>3</v>
      </c>
      <c r="J3377">
        <v>24</v>
      </c>
      <c r="K3377">
        <v>14.41</v>
      </c>
      <c r="L3377">
        <v>1</v>
      </c>
    </row>
    <row r="3378" spans="1:12">
      <c r="A3378" t="s">
        <v>9804</v>
      </c>
      <c r="B3378" t="s">
        <v>9805</v>
      </c>
      <c r="C3378" t="s">
        <v>9806</v>
      </c>
      <c r="D3378" t="s">
        <v>15</v>
      </c>
      <c r="E3378" t="s">
        <v>59</v>
      </c>
      <c r="F3378" t="s">
        <v>17</v>
      </c>
      <c r="G3378" t="s">
        <v>55</v>
      </c>
      <c r="H3378" t="s">
        <v>31</v>
      </c>
      <c r="I3378">
        <v>5</v>
      </c>
      <c r="J3378">
        <v>8</v>
      </c>
      <c r="K3378">
        <v>7</v>
      </c>
      <c r="L3378">
        <v>1</v>
      </c>
    </row>
    <row r="3379" spans="1:12">
      <c r="A3379" t="s">
        <v>9807</v>
      </c>
      <c r="B3379" t="s">
        <v>9808</v>
      </c>
      <c r="C3379" t="s">
        <v>9809</v>
      </c>
      <c r="D3379" t="s">
        <v>158</v>
      </c>
      <c r="E3379" t="s">
        <v>54</v>
      </c>
      <c r="F3379" t="s">
        <v>41</v>
      </c>
      <c r="G3379" t="s">
        <v>151</v>
      </c>
      <c r="H3379" t="s">
        <v>19</v>
      </c>
      <c r="I3379">
        <v>5</v>
      </c>
      <c r="J3379">
        <v>4</v>
      </c>
      <c r="K3379">
        <v>1.54</v>
      </c>
      <c r="L3379">
        <v>1</v>
      </c>
    </row>
    <row r="3380" spans="1:12">
      <c r="A3380" t="s">
        <v>9810</v>
      </c>
      <c r="B3380" t="s">
        <v>9811</v>
      </c>
      <c r="C3380" t="s">
        <v>9812</v>
      </c>
      <c r="D3380" t="s">
        <v>23</v>
      </c>
      <c r="E3380" t="s">
        <v>54</v>
      </c>
      <c r="F3380" t="s">
        <v>36</v>
      </c>
      <c r="G3380" t="s">
        <v>42</v>
      </c>
      <c r="H3380" t="s">
        <v>31</v>
      </c>
      <c r="I3380">
        <v>5</v>
      </c>
      <c r="J3380">
        <v>24</v>
      </c>
      <c r="K3380">
        <v>10.02</v>
      </c>
      <c r="L3380">
        <v>1</v>
      </c>
    </row>
    <row r="3381" spans="1:12">
      <c r="A3381" t="s">
        <v>9813</v>
      </c>
      <c r="B3381" t="s">
        <v>9814</v>
      </c>
      <c r="C3381" t="s">
        <v>9815</v>
      </c>
      <c r="D3381" t="s">
        <v>23</v>
      </c>
      <c r="E3381" t="s">
        <v>28</v>
      </c>
      <c r="F3381" t="s">
        <v>60</v>
      </c>
      <c r="G3381" t="s">
        <v>37</v>
      </c>
      <c r="H3381" t="s">
        <v>19</v>
      </c>
      <c r="I3381">
        <v>4</v>
      </c>
      <c r="J3381">
        <v>24</v>
      </c>
      <c r="K3381">
        <v>8.06</v>
      </c>
      <c r="L3381">
        <v>1</v>
      </c>
    </row>
    <row r="3382" spans="1:12">
      <c r="A3382" t="s">
        <v>9816</v>
      </c>
      <c r="B3382" t="s">
        <v>9817</v>
      </c>
      <c r="D3382" t="s">
        <v>35</v>
      </c>
      <c r="E3382" t="s">
        <v>24</v>
      </c>
      <c r="F3382" t="s">
        <v>17</v>
      </c>
      <c r="G3382" t="s">
        <v>151</v>
      </c>
      <c r="H3382" t="s">
        <v>63</v>
      </c>
      <c r="J3382">
        <v>48</v>
      </c>
    </row>
    <row r="3383" spans="1:12">
      <c r="A3383" t="s">
        <v>9818</v>
      </c>
      <c r="B3383" t="s">
        <v>9819</v>
      </c>
      <c r="C3383" t="s">
        <v>9820</v>
      </c>
      <c r="D3383" t="s">
        <v>15</v>
      </c>
      <c r="E3383" t="s">
        <v>16</v>
      </c>
      <c r="F3383" t="s">
        <v>17</v>
      </c>
      <c r="G3383" t="s">
        <v>37</v>
      </c>
      <c r="H3383" t="s">
        <v>31</v>
      </c>
      <c r="I3383">
        <v>5</v>
      </c>
      <c r="J3383">
        <v>8</v>
      </c>
      <c r="K3383">
        <v>1.57</v>
      </c>
      <c r="L3383">
        <v>1</v>
      </c>
    </row>
    <row r="3384" spans="1:12">
      <c r="A3384" t="s">
        <v>9821</v>
      </c>
      <c r="B3384" t="s">
        <v>9822</v>
      </c>
      <c r="C3384" t="s">
        <v>9823</v>
      </c>
      <c r="D3384" t="s">
        <v>23</v>
      </c>
      <c r="E3384" t="s">
        <v>54</v>
      </c>
      <c r="F3384" t="s">
        <v>60</v>
      </c>
      <c r="G3384" t="s">
        <v>50</v>
      </c>
      <c r="H3384" t="s">
        <v>19</v>
      </c>
      <c r="I3384">
        <v>5</v>
      </c>
      <c r="J3384">
        <v>24</v>
      </c>
      <c r="K3384">
        <v>2.61</v>
      </c>
      <c r="L3384">
        <v>1</v>
      </c>
    </row>
    <row r="3385" spans="1:12">
      <c r="A3385" t="s">
        <v>9824</v>
      </c>
      <c r="B3385" t="s">
        <v>9825</v>
      </c>
      <c r="C3385" t="s">
        <v>9826</v>
      </c>
      <c r="D3385" t="s">
        <v>23</v>
      </c>
      <c r="E3385" t="s">
        <v>24</v>
      </c>
      <c r="F3385" t="s">
        <v>29</v>
      </c>
      <c r="G3385" t="s">
        <v>77</v>
      </c>
      <c r="H3385" t="s">
        <v>19</v>
      </c>
      <c r="I3385">
        <v>5</v>
      </c>
      <c r="J3385">
        <v>24</v>
      </c>
      <c r="K3385">
        <v>8.48</v>
      </c>
      <c r="L3385">
        <v>1</v>
      </c>
    </row>
    <row r="3386" spans="1:12">
      <c r="A3386" t="s">
        <v>9827</v>
      </c>
      <c r="B3386" t="s">
        <v>9828</v>
      </c>
      <c r="C3386" t="s">
        <v>9829</v>
      </c>
      <c r="D3386" t="s">
        <v>23</v>
      </c>
      <c r="E3386" t="s">
        <v>24</v>
      </c>
      <c r="F3386" t="s">
        <v>29</v>
      </c>
      <c r="G3386" t="s">
        <v>50</v>
      </c>
      <c r="H3386" t="s">
        <v>19</v>
      </c>
      <c r="I3386">
        <v>4</v>
      </c>
      <c r="J3386">
        <v>24</v>
      </c>
      <c r="K3386">
        <v>19.77</v>
      </c>
      <c r="L3386">
        <v>1</v>
      </c>
    </row>
    <row r="3387" spans="1:12">
      <c r="A3387" t="s">
        <v>9830</v>
      </c>
      <c r="B3387" t="s">
        <v>9831</v>
      </c>
      <c r="C3387" t="s">
        <v>9832</v>
      </c>
      <c r="D3387" t="s">
        <v>35</v>
      </c>
      <c r="E3387" t="s">
        <v>28</v>
      </c>
      <c r="F3387" t="s">
        <v>17</v>
      </c>
      <c r="G3387" t="s">
        <v>105</v>
      </c>
      <c r="H3387" t="s">
        <v>31</v>
      </c>
      <c r="I3387">
        <v>5</v>
      </c>
      <c r="J3387">
        <v>48</v>
      </c>
      <c r="K3387">
        <v>40.54</v>
      </c>
      <c r="L3387">
        <v>1</v>
      </c>
    </row>
    <row r="3388" spans="1:12">
      <c r="A3388" t="s">
        <v>9833</v>
      </c>
      <c r="B3388" t="s">
        <v>9834</v>
      </c>
      <c r="D3388" t="s">
        <v>158</v>
      </c>
      <c r="E3388" t="s">
        <v>16</v>
      </c>
      <c r="F3388" t="s">
        <v>36</v>
      </c>
      <c r="G3388" t="s">
        <v>73</v>
      </c>
      <c r="H3388" t="s">
        <v>63</v>
      </c>
      <c r="J3388">
        <v>4</v>
      </c>
    </row>
    <row r="3389" spans="1:12">
      <c r="A3389" t="s">
        <v>9835</v>
      </c>
      <c r="B3389" t="s">
        <v>9836</v>
      </c>
      <c r="D3389" t="s">
        <v>15</v>
      </c>
      <c r="E3389" t="s">
        <v>54</v>
      </c>
      <c r="F3389" t="s">
        <v>29</v>
      </c>
      <c r="G3389" t="s">
        <v>77</v>
      </c>
      <c r="H3389" t="s">
        <v>63</v>
      </c>
      <c r="J3389">
        <v>8</v>
      </c>
    </row>
    <row r="3390" spans="1:12">
      <c r="A3390" t="s">
        <v>9837</v>
      </c>
      <c r="B3390" t="s">
        <v>9838</v>
      </c>
      <c r="C3390" t="s">
        <v>9839</v>
      </c>
      <c r="D3390" t="s">
        <v>23</v>
      </c>
      <c r="E3390" t="s">
        <v>54</v>
      </c>
      <c r="F3390" t="s">
        <v>36</v>
      </c>
      <c r="G3390" t="s">
        <v>18</v>
      </c>
      <c r="H3390" t="s">
        <v>19</v>
      </c>
      <c r="I3390">
        <v>3</v>
      </c>
      <c r="J3390">
        <v>24</v>
      </c>
      <c r="K3390">
        <v>14.7</v>
      </c>
      <c r="L3390">
        <v>1</v>
      </c>
    </row>
    <row r="3391" spans="1:12">
      <c r="A3391" t="s">
        <v>9840</v>
      </c>
      <c r="B3391" t="s">
        <v>9841</v>
      </c>
      <c r="C3391" t="s">
        <v>9842</v>
      </c>
      <c r="D3391" t="s">
        <v>23</v>
      </c>
      <c r="E3391" t="s">
        <v>16</v>
      </c>
      <c r="F3391" t="s">
        <v>36</v>
      </c>
      <c r="G3391" t="s">
        <v>18</v>
      </c>
      <c r="H3391" t="s">
        <v>19</v>
      </c>
      <c r="I3391">
        <v>3</v>
      </c>
      <c r="J3391">
        <v>24</v>
      </c>
      <c r="K3391">
        <v>11.62</v>
      </c>
      <c r="L3391">
        <v>1</v>
      </c>
    </row>
    <row r="3392" spans="1:12">
      <c r="A3392" t="s">
        <v>9843</v>
      </c>
      <c r="B3392" t="s">
        <v>9844</v>
      </c>
      <c r="C3392" t="s">
        <v>9845</v>
      </c>
      <c r="D3392" t="s">
        <v>15</v>
      </c>
      <c r="E3392" t="s">
        <v>24</v>
      </c>
      <c r="F3392" t="s">
        <v>41</v>
      </c>
      <c r="G3392" t="s">
        <v>30</v>
      </c>
      <c r="H3392" t="s">
        <v>19</v>
      </c>
      <c r="I3392">
        <v>3</v>
      </c>
      <c r="J3392">
        <v>8</v>
      </c>
      <c r="K3392">
        <v>12.35</v>
      </c>
      <c r="L3392">
        <v>0</v>
      </c>
    </row>
    <row r="3393" spans="1:12">
      <c r="A3393" t="s">
        <v>9846</v>
      </c>
      <c r="B3393" t="s">
        <v>9847</v>
      </c>
      <c r="C3393" t="s">
        <v>9848</v>
      </c>
      <c r="D3393" t="s">
        <v>23</v>
      </c>
      <c r="E3393" t="s">
        <v>54</v>
      </c>
      <c r="F3393" t="s">
        <v>29</v>
      </c>
      <c r="G3393" t="s">
        <v>18</v>
      </c>
      <c r="H3393" t="s">
        <v>19</v>
      </c>
      <c r="I3393">
        <v>5</v>
      </c>
      <c r="J3393">
        <v>24</v>
      </c>
      <c r="K3393">
        <v>7.68</v>
      </c>
      <c r="L3393">
        <v>1</v>
      </c>
    </row>
    <row r="3394" spans="1:12">
      <c r="A3394" t="s">
        <v>9849</v>
      </c>
      <c r="B3394" t="s">
        <v>9850</v>
      </c>
      <c r="C3394" t="s">
        <v>9851</v>
      </c>
      <c r="D3394" t="s">
        <v>23</v>
      </c>
      <c r="E3394" t="s">
        <v>28</v>
      </c>
      <c r="F3394" t="s">
        <v>41</v>
      </c>
      <c r="G3394" t="s">
        <v>151</v>
      </c>
      <c r="H3394" t="s">
        <v>19</v>
      </c>
      <c r="I3394">
        <v>4</v>
      </c>
      <c r="J3394">
        <v>24</v>
      </c>
      <c r="K3394">
        <v>10.31</v>
      </c>
      <c r="L3394">
        <v>1</v>
      </c>
    </row>
    <row r="3395" spans="1:12">
      <c r="A3395" t="s">
        <v>9852</v>
      </c>
      <c r="B3395" t="s">
        <v>9853</v>
      </c>
      <c r="C3395" t="s">
        <v>9854</v>
      </c>
      <c r="D3395" t="s">
        <v>35</v>
      </c>
      <c r="E3395" t="s">
        <v>54</v>
      </c>
      <c r="F3395" t="s">
        <v>60</v>
      </c>
      <c r="G3395" t="s">
        <v>105</v>
      </c>
      <c r="H3395" t="s">
        <v>19</v>
      </c>
      <c r="I3395">
        <v>5</v>
      </c>
      <c r="J3395">
        <v>48</v>
      </c>
      <c r="K3395">
        <v>39.159999999999997</v>
      </c>
      <c r="L3395">
        <v>1</v>
      </c>
    </row>
    <row r="3396" spans="1:12">
      <c r="A3396" t="s">
        <v>9855</v>
      </c>
      <c r="B3396" t="s">
        <v>9856</v>
      </c>
      <c r="C3396" t="s">
        <v>9857</v>
      </c>
      <c r="D3396" t="s">
        <v>23</v>
      </c>
      <c r="E3396" t="s">
        <v>16</v>
      </c>
      <c r="F3396" t="s">
        <v>36</v>
      </c>
      <c r="G3396" t="s">
        <v>18</v>
      </c>
      <c r="H3396" t="s">
        <v>19</v>
      </c>
      <c r="I3396">
        <v>5</v>
      </c>
      <c r="J3396">
        <v>24</v>
      </c>
      <c r="K3396">
        <v>18.54</v>
      </c>
      <c r="L3396">
        <v>1</v>
      </c>
    </row>
    <row r="3397" spans="1:12">
      <c r="A3397" t="s">
        <v>9858</v>
      </c>
      <c r="B3397" t="s">
        <v>9859</v>
      </c>
      <c r="D3397" t="s">
        <v>23</v>
      </c>
      <c r="E3397" t="s">
        <v>28</v>
      </c>
      <c r="F3397" t="s">
        <v>41</v>
      </c>
      <c r="G3397" t="s">
        <v>45</v>
      </c>
      <c r="H3397" t="s">
        <v>46</v>
      </c>
      <c r="J3397">
        <v>24</v>
      </c>
    </row>
    <row r="3398" spans="1:12">
      <c r="A3398" t="s">
        <v>9860</v>
      </c>
      <c r="B3398" t="s">
        <v>9861</v>
      </c>
      <c r="C3398" t="s">
        <v>9862</v>
      </c>
      <c r="D3398" t="s">
        <v>15</v>
      </c>
      <c r="E3398" t="s">
        <v>24</v>
      </c>
      <c r="F3398" t="s">
        <v>60</v>
      </c>
      <c r="G3398" t="s">
        <v>45</v>
      </c>
      <c r="H3398" t="s">
        <v>31</v>
      </c>
      <c r="I3398">
        <v>3</v>
      </c>
      <c r="J3398">
        <v>8</v>
      </c>
      <c r="K3398">
        <v>17.55</v>
      </c>
      <c r="L3398">
        <v>0</v>
      </c>
    </row>
    <row r="3399" spans="1:12">
      <c r="A3399" t="s">
        <v>9863</v>
      </c>
      <c r="B3399" t="s">
        <v>9864</v>
      </c>
      <c r="C3399" t="s">
        <v>9865</v>
      </c>
      <c r="D3399" t="s">
        <v>23</v>
      </c>
      <c r="E3399" t="s">
        <v>28</v>
      </c>
      <c r="F3399" t="s">
        <v>36</v>
      </c>
      <c r="G3399" t="s">
        <v>77</v>
      </c>
      <c r="H3399" t="s">
        <v>19</v>
      </c>
      <c r="I3399">
        <v>4</v>
      </c>
      <c r="J3399">
        <v>24</v>
      </c>
      <c r="K3399">
        <v>2.8</v>
      </c>
      <c r="L3399">
        <v>1</v>
      </c>
    </row>
    <row r="3400" spans="1:12">
      <c r="A3400" t="s">
        <v>9866</v>
      </c>
      <c r="B3400" t="s">
        <v>9867</v>
      </c>
      <c r="C3400" t="s">
        <v>9868</v>
      </c>
      <c r="D3400" t="s">
        <v>15</v>
      </c>
      <c r="E3400" t="s">
        <v>24</v>
      </c>
      <c r="F3400" t="s">
        <v>60</v>
      </c>
      <c r="G3400" t="s">
        <v>55</v>
      </c>
      <c r="H3400" t="s">
        <v>31</v>
      </c>
      <c r="I3400">
        <v>5</v>
      </c>
      <c r="J3400">
        <v>8</v>
      </c>
      <c r="K3400">
        <v>4.74</v>
      </c>
      <c r="L3400">
        <v>1</v>
      </c>
    </row>
    <row r="3401" spans="1:12">
      <c r="A3401" t="s">
        <v>9869</v>
      </c>
      <c r="B3401" t="s">
        <v>9870</v>
      </c>
      <c r="C3401" t="s">
        <v>9871</v>
      </c>
      <c r="D3401" t="s">
        <v>23</v>
      </c>
      <c r="E3401" t="s">
        <v>16</v>
      </c>
      <c r="F3401" t="s">
        <v>36</v>
      </c>
      <c r="G3401" t="s">
        <v>42</v>
      </c>
      <c r="H3401" t="s">
        <v>19</v>
      </c>
      <c r="I3401">
        <v>2</v>
      </c>
      <c r="J3401">
        <v>24</v>
      </c>
      <c r="K3401">
        <v>52.16</v>
      </c>
      <c r="L3401">
        <v>0</v>
      </c>
    </row>
    <row r="3402" spans="1:12">
      <c r="A3402" t="s">
        <v>9872</v>
      </c>
      <c r="B3402" t="s">
        <v>9873</v>
      </c>
      <c r="C3402" t="s">
        <v>9874</v>
      </c>
      <c r="D3402" t="s">
        <v>23</v>
      </c>
      <c r="E3402" t="s">
        <v>28</v>
      </c>
      <c r="F3402" t="s">
        <v>29</v>
      </c>
      <c r="G3402" t="s">
        <v>37</v>
      </c>
      <c r="H3402" t="s">
        <v>19</v>
      </c>
      <c r="I3402">
        <v>4</v>
      </c>
      <c r="J3402">
        <v>24</v>
      </c>
      <c r="K3402">
        <v>13.93</v>
      </c>
      <c r="L3402">
        <v>1</v>
      </c>
    </row>
    <row r="3403" spans="1:12">
      <c r="A3403" t="s">
        <v>9875</v>
      </c>
      <c r="B3403" t="s">
        <v>9876</v>
      </c>
      <c r="C3403" t="s">
        <v>9877</v>
      </c>
      <c r="D3403" t="s">
        <v>23</v>
      </c>
      <c r="E3403" t="s">
        <v>54</v>
      </c>
      <c r="F3403" t="s">
        <v>29</v>
      </c>
      <c r="G3403" t="s">
        <v>77</v>
      </c>
      <c r="H3403" t="s">
        <v>19</v>
      </c>
      <c r="I3403">
        <v>3</v>
      </c>
      <c r="J3403">
        <v>24</v>
      </c>
      <c r="K3403">
        <v>57.04</v>
      </c>
      <c r="L3403">
        <v>0</v>
      </c>
    </row>
    <row r="3404" spans="1:12">
      <c r="A3404" t="s">
        <v>9878</v>
      </c>
      <c r="B3404" t="s">
        <v>9879</v>
      </c>
      <c r="C3404" t="s">
        <v>9880</v>
      </c>
      <c r="D3404" t="s">
        <v>158</v>
      </c>
      <c r="E3404" t="s">
        <v>28</v>
      </c>
      <c r="F3404" t="s">
        <v>41</v>
      </c>
      <c r="G3404" t="s">
        <v>77</v>
      </c>
      <c r="H3404" t="s">
        <v>31</v>
      </c>
      <c r="I3404">
        <v>4</v>
      </c>
      <c r="J3404">
        <v>4</v>
      </c>
      <c r="K3404">
        <v>0.44</v>
      </c>
      <c r="L3404">
        <v>1</v>
      </c>
    </row>
    <row r="3405" spans="1:12">
      <c r="A3405" t="s">
        <v>9881</v>
      </c>
      <c r="B3405" t="s">
        <v>9882</v>
      </c>
      <c r="C3405" t="s">
        <v>9883</v>
      </c>
      <c r="D3405" t="s">
        <v>23</v>
      </c>
      <c r="E3405" t="s">
        <v>54</v>
      </c>
      <c r="F3405" t="s">
        <v>41</v>
      </c>
      <c r="G3405" t="s">
        <v>42</v>
      </c>
      <c r="H3405" t="s">
        <v>19</v>
      </c>
      <c r="I3405">
        <v>5</v>
      </c>
      <c r="J3405">
        <v>24</v>
      </c>
      <c r="K3405">
        <v>10.76</v>
      </c>
      <c r="L3405">
        <v>1</v>
      </c>
    </row>
    <row r="3406" spans="1:12">
      <c r="A3406" t="s">
        <v>9884</v>
      </c>
      <c r="B3406" t="s">
        <v>9885</v>
      </c>
      <c r="C3406" t="s">
        <v>9886</v>
      </c>
      <c r="D3406" t="s">
        <v>23</v>
      </c>
      <c r="E3406" t="s">
        <v>16</v>
      </c>
      <c r="F3406" t="s">
        <v>41</v>
      </c>
      <c r="G3406" t="s">
        <v>50</v>
      </c>
      <c r="H3406" t="s">
        <v>19</v>
      </c>
      <c r="I3406">
        <v>5</v>
      </c>
      <c r="J3406">
        <v>24</v>
      </c>
      <c r="K3406">
        <v>3.23</v>
      </c>
      <c r="L3406">
        <v>1</v>
      </c>
    </row>
    <row r="3407" spans="1:12">
      <c r="A3407" t="s">
        <v>9887</v>
      </c>
      <c r="B3407" t="s">
        <v>9888</v>
      </c>
      <c r="C3407" t="s">
        <v>9889</v>
      </c>
      <c r="D3407" t="s">
        <v>23</v>
      </c>
      <c r="E3407" t="s">
        <v>16</v>
      </c>
      <c r="F3407" t="s">
        <v>17</v>
      </c>
      <c r="G3407" t="s">
        <v>37</v>
      </c>
      <c r="H3407" t="s">
        <v>19</v>
      </c>
      <c r="I3407">
        <v>5</v>
      </c>
      <c r="J3407">
        <v>24</v>
      </c>
      <c r="K3407">
        <v>6.15</v>
      </c>
      <c r="L3407">
        <v>1</v>
      </c>
    </row>
    <row r="3408" spans="1:12">
      <c r="A3408" t="s">
        <v>9890</v>
      </c>
      <c r="B3408" t="s">
        <v>9891</v>
      </c>
      <c r="D3408" t="s">
        <v>35</v>
      </c>
      <c r="E3408" t="s">
        <v>24</v>
      </c>
      <c r="F3408" t="s">
        <v>36</v>
      </c>
      <c r="G3408" t="s">
        <v>30</v>
      </c>
      <c r="H3408" t="s">
        <v>63</v>
      </c>
      <c r="J3408">
        <v>48</v>
      </c>
    </row>
    <row r="3409" spans="1:12">
      <c r="A3409" t="s">
        <v>9892</v>
      </c>
      <c r="B3409" t="s">
        <v>9893</v>
      </c>
      <c r="C3409" t="s">
        <v>9894</v>
      </c>
      <c r="D3409" t="s">
        <v>15</v>
      </c>
      <c r="E3409" t="s">
        <v>28</v>
      </c>
      <c r="F3409" t="s">
        <v>17</v>
      </c>
      <c r="G3409" t="s">
        <v>77</v>
      </c>
      <c r="H3409" t="s">
        <v>31</v>
      </c>
      <c r="I3409">
        <v>3</v>
      </c>
      <c r="J3409">
        <v>8</v>
      </c>
      <c r="K3409">
        <v>5.29</v>
      </c>
      <c r="L3409">
        <v>1</v>
      </c>
    </row>
    <row r="3410" spans="1:12">
      <c r="A3410" t="s">
        <v>9895</v>
      </c>
      <c r="B3410" t="s">
        <v>9896</v>
      </c>
      <c r="C3410" t="s">
        <v>9897</v>
      </c>
      <c r="D3410" t="s">
        <v>35</v>
      </c>
      <c r="E3410" t="s">
        <v>54</v>
      </c>
      <c r="F3410" t="s">
        <v>17</v>
      </c>
      <c r="G3410" t="s">
        <v>45</v>
      </c>
      <c r="H3410" t="s">
        <v>19</v>
      </c>
      <c r="I3410">
        <v>5</v>
      </c>
      <c r="J3410">
        <v>48</v>
      </c>
      <c r="K3410">
        <v>32.72</v>
      </c>
      <c r="L3410">
        <v>1</v>
      </c>
    </row>
    <row r="3411" spans="1:12">
      <c r="A3411" t="s">
        <v>9898</v>
      </c>
      <c r="B3411" t="s">
        <v>9899</v>
      </c>
      <c r="C3411" t="s">
        <v>9900</v>
      </c>
      <c r="D3411" t="s">
        <v>23</v>
      </c>
      <c r="E3411" t="s">
        <v>28</v>
      </c>
      <c r="F3411" t="s">
        <v>60</v>
      </c>
      <c r="G3411" t="s">
        <v>18</v>
      </c>
      <c r="H3411" t="s">
        <v>19</v>
      </c>
      <c r="I3411">
        <v>5</v>
      </c>
      <c r="J3411">
        <v>24</v>
      </c>
      <c r="K3411">
        <v>18.46</v>
      </c>
      <c r="L3411">
        <v>1</v>
      </c>
    </row>
    <row r="3412" spans="1:12">
      <c r="A3412" t="s">
        <v>9901</v>
      </c>
      <c r="B3412" t="s">
        <v>9902</v>
      </c>
      <c r="D3412" t="s">
        <v>158</v>
      </c>
      <c r="E3412" t="s">
        <v>16</v>
      </c>
      <c r="F3412" t="s">
        <v>41</v>
      </c>
      <c r="G3412" t="s">
        <v>55</v>
      </c>
      <c r="H3412" t="s">
        <v>46</v>
      </c>
      <c r="J3412">
        <v>4</v>
      </c>
    </row>
    <row r="3413" spans="1:12">
      <c r="A3413" t="s">
        <v>9903</v>
      </c>
      <c r="B3413" t="s">
        <v>9904</v>
      </c>
      <c r="C3413" t="s">
        <v>9905</v>
      </c>
      <c r="D3413" t="s">
        <v>23</v>
      </c>
      <c r="E3413" t="s">
        <v>54</v>
      </c>
      <c r="F3413" t="s">
        <v>36</v>
      </c>
      <c r="G3413" t="s">
        <v>37</v>
      </c>
      <c r="H3413" t="s">
        <v>31</v>
      </c>
      <c r="I3413">
        <v>4</v>
      </c>
      <c r="J3413">
        <v>24</v>
      </c>
      <c r="K3413">
        <v>6.29</v>
      </c>
      <c r="L3413">
        <v>1</v>
      </c>
    </row>
    <row r="3414" spans="1:12">
      <c r="A3414" t="s">
        <v>9906</v>
      </c>
      <c r="B3414" t="s">
        <v>9907</v>
      </c>
      <c r="C3414" t="s">
        <v>9908</v>
      </c>
      <c r="D3414" t="s">
        <v>23</v>
      </c>
      <c r="E3414" t="s">
        <v>16</v>
      </c>
      <c r="F3414" t="s">
        <v>60</v>
      </c>
      <c r="G3414" t="s">
        <v>45</v>
      </c>
      <c r="H3414" t="s">
        <v>19</v>
      </c>
      <c r="I3414">
        <v>5</v>
      </c>
      <c r="J3414">
        <v>24</v>
      </c>
      <c r="K3414">
        <v>7.35</v>
      </c>
      <c r="L3414">
        <v>1</v>
      </c>
    </row>
    <row r="3415" spans="1:12">
      <c r="A3415" t="s">
        <v>9909</v>
      </c>
      <c r="B3415" t="s">
        <v>9910</v>
      </c>
      <c r="C3415" t="s">
        <v>9911</v>
      </c>
      <c r="D3415" t="s">
        <v>158</v>
      </c>
      <c r="E3415" t="s">
        <v>28</v>
      </c>
      <c r="F3415" t="s">
        <v>29</v>
      </c>
      <c r="G3415" t="s">
        <v>45</v>
      </c>
      <c r="H3415" t="s">
        <v>19</v>
      </c>
      <c r="I3415">
        <v>2</v>
      </c>
      <c r="J3415">
        <v>4</v>
      </c>
      <c r="K3415">
        <v>6.82</v>
      </c>
      <c r="L3415">
        <v>0</v>
      </c>
    </row>
    <row r="3416" spans="1:12">
      <c r="A3416" t="s">
        <v>9912</v>
      </c>
      <c r="B3416" t="s">
        <v>9913</v>
      </c>
      <c r="C3416" t="s">
        <v>9914</v>
      </c>
      <c r="D3416" t="s">
        <v>35</v>
      </c>
      <c r="E3416" t="s">
        <v>28</v>
      </c>
      <c r="F3416" t="s">
        <v>36</v>
      </c>
      <c r="G3416" t="s">
        <v>55</v>
      </c>
      <c r="H3416" t="s">
        <v>31</v>
      </c>
      <c r="I3416">
        <v>3</v>
      </c>
      <c r="J3416">
        <v>48</v>
      </c>
      <c r="K3416">
        <v>26.03</v>
      </c>
      <c r="L3416">
        <v>1</v>
      </c>
    </row>
    <row r="3417" spans="1:12">
      <c r="A3417" t="s">
        <v>9915</v>
      </c>
      <c r="B3417" t="s">
        <v>9916</v>
      </c>
      <c r="C3417" t="s">
        <v>9917</v>
      </c>
      <c r="D3417" t="s">
        <v>23</v>
      </c>
      <c r="E3417" t="s">
        <v>59</v>
      </c>
      <c r="F3417" t="s">
        <v>17</v>
      </c>
      <c r="G3417" t="s">
        <v>77</v>
      </c>
      <c r="H3417" t="s">
        <v>31</v>
      </c>
      <c r="I3417">
        <v>4</v>
      </c>
      <c r="J3417">
        <v>24</v>
      </c>
      <c r="K3417">
        <v>22.28</v>
      </c>
      <c r="L3417">
        <v>1</v>
      </c>
    </row>
    <row r="3418" spans="1:12">
      <c r="A3418" t="s">
        <v>9918</v>
      </c>
      <c r="B3418" t="s">
        <v>9919</v>
      </c>
      <c r="C3418" t="s">
        <v>9920</v>
      </c>
      <c r="D3418" t="s">
        <v>35</v>
      </c>
      <c r="E3418" t="s">
        <v>28</v>
      </c>
      <c r="F3418" t="s">
        <v>36</v>
      </c>
      <c r="G3418" t="s">
        <v>50</v>
      </c>
      <c r="H3418" t="s">
        <v>31</v>
      </c>
      <c r="I3418">
        <v>2</v>
      </c>
      <c r="J3418">
        <v>48</v>
      </c>
      <c r="K3418">
        <v>90.11</v>
      </c>
      <c r="L3418">
        <v>0</v>
      </c>
    </row>
    <row r="3419" spans="1:12">
      <c r="A3419" t="s">
        <v>9921</v>
      </c>
      <c r="B3419" t="s">
        <v>9922</v>
      </c>
      <c r="C3419" t="s">
        <v>9923</v>
      </c>
      <c r="D3419" t="s">
        <v>23</v>
      </c>
      <c r="E3419" t="s">
        <v>24</v>
      </c>
      <c r="F3419" t="s">
        <v>17</v>
      </c>
      <c r="G3419" t="s">
        <v>30</v>
      </c>
      <c r="H3419" t="s">
        <v>19</v>
      </c>
      <c r="I3419">
        <v>4</v>
      </c>
      <c r="J3419">
        <v>24</v>
      </c>
      <c r="K3419">
        <v>5.05</v>
      </c>
      <c r="L3419">
        <v>1</v>
      </c>
    </row>
    <row r="3420" spans="1:12">
      <c r="A3420" t="s">
        <v>9924</v>
      </c>
      <c r="B3420" t="s">
        <v>9925</v>
      </c>
      <c r="D3420" t="s">
        <v>158</v>
      </c>
      <c r="E3420" t="s">
        <v>28</v>
      </c>
      <c r="F3420" t="s">
        <v>36</v>
      </c>
      <c r="G3420" t="s">
        <v>55</v>
      </c>
      <c r="H3420" t="s">
        <v>46</v>
      </c>
      <c r="J3420">
        <v>4</v>
      </c>
    </row>
    <row r="3421" spans="1:12">
      <c r="A3421" t="s">
        <v>9926</v>
      </c>
      <c r="B3421" t="s">
        <v>9927</v>
      </c>
      <c r="D3421" t="s">
        <v>15</v>
      </c>
      <c r="E3421" t="s">
        <v>28</v>
      </c>
      <c r="F3421" t="s">
        <v>41</v>
      </c>
      <c r="G3421" t="s">
        <v>18</v>
      </c>
      <c r="H3421" t="s">
        <v>63</v>
      </c>
      <c r="J3421">
        <v>8</v>
      </c>
    </row>
    <row r="3422" spans="1:12">
      <c r="A3422" t="s">
        <v>9928</v>
      </c>
      <c r="B3422" t="s">
        <v>9929</v>
      </c>
      <c r="C3422" t="s">
        <v>9930</v>
      </c>
      <c r="D3422" t="s">
        <v>23</v>
      </c>
      <c r="E3422" t="s">
        <v>24</v>
      </c>
      <c r="F3422" t="s">
        <v>41</v>
      </c>
      <c r="G3422" t="s">
        <v>55</v>
      </c>
      <c r="H3422" t="s">
        <v>19</v>
      </c>
      <c r="I3422">
        <v>5</v>
      </c>
      <c r="J3422">
        <v>24</v>
      </c>
      <c r="K3422">
        <v>21.16</v>
      </c>
      <c r="L3422">
        <v>1</v>
      </c>
    </row>
    <row r="3423" spans="1:12">
      <c r="A3423" t="s">
        <v>9931</v>
      </c>
      <c r="B3423" t="s">
        <v>9932</v>
      </c>
      <c r="C3423" t="s">
        <v>9933</v>
      </c>
      <c r="D3423" t="s">
        <v>35</v>
      </c>
      <c r="E3423" t="s">
        <v>54</v>
      </c>
      <c r="F3423" t="s">
        <v>29</v>
      </c>
      <c r="G3423" t="s">
        <v>73</v>
      </c>
      <c r="H3423" t="s">
        <v>31</v>
      </c>
      <c r="I3423">
        <v>4</v>
      </c>
      <c r="J3423">
        <v>48</v>
      </c>
      <c r="K3423">
        <v>37.33</v>
      </c>
      <c r="L3423">
        <v>1</v>
      </c>
    </row>
    <row r="3424" spans="1:12">
      <c r="A3424" t="s">
        <v>9934</v>
      </c>
      <c r="B3424" t="s">
        <v>9935</v>
      </c>
      <c r="C3424" t="s">
        <v>9936</v>
      </c>
      <c r="D3424" t="s">
        <v>15</v>
      </c>
      <c r="E3424" t="s">
        <v>59</v>
      </c>
      <c r="F3424" t="s">
        <v>60</v>
      </c>
      <c r="G3424" t="s">
        <v>37</v>
      </c>
      <c r="H3424" t="s">
        <v>19</v>
      </c>
      <c r="I3424">
        <v>4</v>
      </c>
      <c r="J3424">
        <v>8</v>
      </c>
      <c r="K3424">
        <v>0.86</v>
      </c>
      <c r="L3424">
        <v>1</v>
      </c>
    </row>
    <row r="3425" spans="1:12">
      <c r="A3425" t="s">
        <v>9937</v>
      </c>
      <c r="B3425" t="s">
        <v>9938</v>
      </c>
      <c r="C3425" t="s">
        <v>9939</v>
      </c>
      <c r="D3425" t="s">
        <v>23</v>
      </c>
      <c r="E3425" t="s">
        <v>28</v>
      </c>
      <c r="F3425" t="s">
        <v>41</v>
      </c>
      <c r="G3425" t="s">
        <v>30</v>
      </c>
      <c r="H3425" t="s">
        <v>19</v>
      </c>
      <c r="I3425">
        <v>5</v>
      </c>
      <c r="J3425">
        <v>24</v>
      </c>
      <c r="K3425">
        <v>3.24</v>
      </c>
      <c r="L3425">
        <v>1</v>
      </c>
    </row>
    <row r="3426" spans="1:12">
      <c r="A3426" t="s">
        <v>9940</v>
      </c>
      <c r="B3426" t="s">
        <v>9941</v>
      </c>
      <c r="C3426" t="s">
        <v>9942</v>
      </c>
      <c r="D3426" t="s">
        <v>15</v>
      </c>
      <c r="E3426" t="s">
        <v>24</v>
      </c>
      <c r="F3426" t="s">
        <v>36</v>
      </c>
      <c r="G3426" t="s">
        <v>73</v>
      </c>
      <c r="H3426" t="s">
        <v>31</v>
      </c>
      <c r="I3426">
        <v>3</v>
      </c>
      <c r="J3426">
        <v>8</v>
      </c>
      <c r="K3426">
        <v>5.26</v>
      </c>
      <c r="L3426">
        <v>1</v>
      </c>
    </row>
    <row r="3427" spans="1:12">
      <c r="A3427" t="s">
        <v>9943</v>
      </c>
      <c r="B3427" t="s">
        <v>9944</v>
      </c>
      <c r="C3427" t="s">
        <v>9945</v>
      </c>
      <c r="D3427" t="s">
        <v>35</v>
      </c>
      <c r="E3427" t="s">
        <v>54</v>
      </c>
      <c r="F3427" t="s">
        <v>29</v>
      </c>
      <c r="G3427" t="s">
        <v>45</v>
      </c>
      <c r="H3427" t="s">
        <v>19</v>
      </c>
      <c r="I3427">
        <v>4</v>
      </c>
      <c r="J3427">
        <v>48</v>
      </c>
      <c r="K3427">
        <v>25.13</v>
      </c>
      <c r="L3427">
        <v>1</v>
      </c>
    </row>
    <row r="3428" spans="1:12">
      <c r="A3428" t="s">
        <v>9946</v>
      </c>
      <c r="B3428" t="s">
        <v>9947</v>
      </c>
      <c r="C3428" t="s">
        <v>9948</v>
      </c>
      <c r="D3428" t="s">
        <v>23</v>
      </c>
      <c r="E3428" t="s">
        <v>24</v>
      </c>
      <c r="F3428" t="s">
        <v>29</v>
      </c>
      <c r="G3428" t="s">
        <v>37</v>
      </c>
      <c r="H3428" t="s">
        <v>19</v>
      </c>
      <c r="I3428">
        <v>3</v>
      </c>
      <c r="J3428">
        <v>24</v>
      </c>
      <c r="K3428">
        <v>40.15</v>
      </c>
      <c r="L3428">
        <v>0</v>
      </c>
    </row>
    <row r="3429" spans="1:12">
      <c r="A3429" t="s">
        <v>9949</v>
      </c>
      <c r="B3429" t="s">
        <v>9950</v>
      </c>
      <c r="C3429" t="s">
        <v>9951</v>
      </c>
      <c r="D3429" t="s">
        <v>158</v>
      </c>
      <c r="E3429" t="s">
        <v>24</v>
      </c>
      <c r="F3429" t="s">
        <v>60</v>
      </c>
      <c r="G3429" t="s">
        <v>50</v>
      </c>
      <c r="H3429" t="s">
        <v>19</v>
      </c>
      <c r="I3429">
        <v>5</v>
      </c>
      <c r="J3429">
        <v>4</v>
      </c>
      <c r="K3429">
        <v>0.56999999999999995</v>
      </c>
      <c r="L3429">
        <v>1</v>
      </c>
    </row>
    <row r="3430" spans="1:12">
      <c r="A3430" t="s">
        <v>9952</v>
      </c>
      <c r="B3430" t="s">
        <v>9953</v>
      </c>
      <c r="C3430" t="s">
        <v>9954</v>
      </c>
      <c r="D3430" t="s">
        <v>158</v>
      </c>
      <c r="E3430" t="s">
        <v>28</v>
      </c>
      <c r="F3430" t="s">
        <v>29</v>
      </c>
      <c r="G3430" t="s">
        <v>45</v>
      </c>
      <c r="H3430" t="s">
        <v>31</v>
      </c>
      <c r="I3430">
        <v>1</v>
      </c>
      <c r="J3430">
        <v>4</v>
      </c>
      <c r="K3430">
        <v>10.48</v>
      </c>
      <c r="L3430">
        <v>0</v>
      </c>
    </row>
    <row r="3431" spans="1:12">
      <c r="A3431" t="s">
        <v>9955</v>
      </c>
      <c r="B3431" t="s">
        <v>9956</v>
      </c>
      <c r="D3431" t="s">
        <v>35</v>
      </c>
      <c r="E3431" t="s">
        <v>28</v>
      </c>
      <c r="F3431" t="s">
        <v>41</v>
      </c>
      <c r="G3431" t="s">
        <v>73</v>
      </c>
      <c r="H3431" t="s">
        <v>63</v>
      </c>
      <c r="J3431">
        <v>48</v>
      </c>
    </row>
    <row r="3432" spans="1:12">
      <c r="A3432" t="s">
        <v>9957</v>
      </c>
      <c r="B3432" t="s">
        <v>9958</v>
      </c>
      <c r="C3432" t="s">
        <v>9959</v>
      </c>
      <c r="D3432" t="s">
        <v>23</v>
      </c>
      <c r="E3432" t="s">
        <v>28</v>
      </c>
      <c r="F3432" t="s">
        <v>36</v>
      </c>
      <c r="G3432" t="s">
        <v>37</v>
      </c>
      <c r="H3432" t="s">
        <v>19</v>
      </c>
      <c r="I3432">
        <v>4</v>
      </c>
      <c r="J3432">
        <v>24</v>
      </c>
      <c r="K3432">
        <v>7.7</v>
      </c>
      <c r="L3432">
        <v>1</v>
      </c>
    </row>
    <row r="3433" spans="1:12">
      <c r="A3433" t="s">
        <v>9960</v>
      </c>
      <c r="B3433" t="s">
        <v>9961</v>
      </c>
      <c r="C3433" t="s">
        <v>9962</v>
      </c>
      <c r="D3433" t="s">
        <v>15</v>
      </c>
      <c r="E3433" t="s">
        <v>24</v>
      </c>
      <c r="F3433" t="s">
        <v>41</v>
      </c>
      <c r="G3433" t="s">
        <v>42</v>
      </c>
      <c r="H3433" t="s">
        <v>19</v>
      </c>
      <c r="I3433">
        <v>5</v>
      </c>
      <c r="J3433">
        <v>8</v>
      </c>
      <c r="K3433">
        <v>3.13</v>
      </c>
      <c r="L3433">
        <v>1</v>
      </c>
    </row>
    <row r="3434" spans="1:12">
      <c r="A3434" t="s">
        <v>9963</v>
      </c>
      <c r="B3434" t="s">
        <v>9964</v>
      </c>
      <c r="C3434" t="s">
        <v>9965</v>
      </c>
      <c r="D3434" t="s">
        <v>23</v>
      </c>
      <c r="E3434" t="s">
        <v>24</v>
      </c>
      <c r="F3434" t="s">
        <v>29</v>
      </c>
      <c r="G3434" t="s">
        <v>30</v>
      </c>
      <c r="H3434" t="s">
        <v>31</v>
      </c>
      <c r="I3434">
        <v>5</v>
      </c>
      <c r="J3434">
        <v>24</v>
      </c>
      <c r="K3434">
        <v>12.53</v>
      </c>
      <c r="L3434">
        <v>1</v>
      </c>
    </row>
    <row r="3435" spans="1:12">
      <c r="A3435" t="s">
        <v>9966</v>
      </c>
      <c r="B3435" t="s">
        <v>9967</v>
      </c>
      <c r="C3435" t="s">
        <v>9968</v>
      </c>
      <c r="D3435" t="s">
        <v>23</v>
      </c>
      <c r="E3435" t="s">
        <v>24</v>
      </c>
      <c r="F3435" t="s">
        <v>17</v>
      </c>
      <c r="G3435" t="s">
        <v>172</v>
      </c>
      <c r="H3435" t="s">
        <v>19</v>
      </c>
      <c r="I3435">
        <v>5</v>
      </c>
      <c r="J3435">
        <v>24</v>
      </c>
      <c r="K3435">
        <v>4.83</v>
      </c>
      <c r="L3435">
        <v>1</v>
      </c>
    </row>
    <row r="3436" spans="1:12">
      <c r="A3436" t="s">
        <v>9969</v>
      </c>
      <c r="B3436" t="s">
        <v>9970</v>
      </c>
      <c r="C3436" t="s">
        <v>9971</v>
      </c>
      <c r="D3436" t="s">
        <v>23</v>
      </c>
      <c r="E3436" t="s">
        <v>28</v>
      </c>
      <c r="F3436" t="s">
        <v>17</v>
      </c>
      <c r="G3436" t="s">
        <v>18</v>
      </c>
      <c r="H3436" t="s">
        <v>31</v>
      </c>
      <c r="I3436">
        <v>1</v>
      </c>
      <c r="J3436">
        <v>24</v>
      </c>
      <c r="K3436">
        <v>46.26</v>
      </c>
      <c r="L3436">
        <v>0</v>
      </c>
    </row>
    <row r="3437" spans="1:12">
      <c r="A3437" t="s">
        <v>9972</v>
      </c>
      <c r="B3437" t="s">
        <v>9973</v>
      </c>
      <c r="C3437" t="s">
        <v>9974</v>
      </c>
      <c r="D3437" t="s">
        <v>23</v>
      </c>
      <c r="E3437" t="s">
        <v>16</v>
      </c>
      <c r="F3437" t="s">
        <v>41</v>
      </c>
      <c r="G3437" t="s">
        <v>55</v>
      </c>
      <c r="H3437" t="s">
        <v>19</v>
      </c>
      <c r="I3437">
        <v>4</v>
      </c>
      <c r="J3437">
        <v>24</v>
      </c>
      <c r="K3437">
        <v>20.95</v>
      </c>
      <c r="L3437">
        <v>1</v>
      </c>
    </row>
    <row r="3438" spans="1:12">
      <c r="A3438" t="s">
        <v>9975</v>
      </c>
      <c r="B3438" t="s">
        <v>9976</v>
      </c>
      <c r="C3438" t="s">
        <v>9977</v>
      </c>
      <c r="D3438" t="s">
        <v>23</v>
      </c>
      <c r="E3438" t="s">
        <v>28</v>
      </c>
      <c r="F3438" t="s">
        <v>29</v>
      </c>
      <c r="G3438" t="s">
        <v>42</v>
      </c>
      <c r="H3438" t="s">
        <v>19</v>
      </c>
      <c r="I3438">
        <v>2</v>
      </c>
      <c r="J3438">
        <v>24</v>
      </c>
      <c r="K3438">
        <v>62.74</v>
      </c>
      <c r="L3438">
        <v>0</v>
      </c>
    </row>
    <row r="3439" spans="1:12">
      <c r="A3439" t="s">
        <v>9978</v>
      </c>
      <c r="B3439" t="s">
        <v>9979</v>
      </c>
      <c r="C3439" t="s">
        <v>9980</v>
      </c>
      <c r="D3439" t="s">
        <v>15</v>
      </c>
      <c r="E3439" t="s">
        <v>24</v>
      </c>
      <c r="F3439" t="s">
        <v>36</v>
      </c>
      <c r="G3439" t="s">
        <v>50</v>
      </c>
      <c r="H3439" t="s">
        <v>19</v>
      </c>
      <c r="I3439">
        <v>3</v>
      </c>
      <c r="J3439">
        <v>8</v>
      </c>
      <c r="K3439">
        <v>13.12</v>
      </c>
      <c r="L3439">
        <v>0</v>
      </c>
    </row>
    <row r="3440" spans="1:12">
      <c r="A3440" t="s">
        <v>9981</v>
      </c>
      <c r="B3440" t="s">
        <v>9982</v>
      </c>
      <c r="C3440" t="s">
        <v>9983</v>
      </c>
      <c r="D3440" t="s">
        <v>35</v>
      </c>
      <c r="E3440" t="s">
        <v>59</v>
      </c>
      <c r="F3440" t="s">
        <v>29</v>
      </c>
      <c r="G3440" t="s">
        <v>77</v>
      </c>
      <c r="H3440" t="s">
        <v>31</v>
      </c>
      <c r="I3440">
        <v>1</v>
      </c>
      <c r="J3440">
        <v>48</v>
      </c>
      <c r="K3440">
        <v>104.95</v>
      </c>
      <c r="L3440">
        <v>0</v>
      </c>
    </row>
    <row r="3441" spans="1:12">
      <c r="A3441" t="s">
        <v>9984</v>
      </c>
      <c r="B3441" t="s">
        <v>9985</v>
      </c>
      <c r="C3441" t="s">
        <v>9986</v>
      </c>
      <c r="D3441" t="s">
        <v>15</v>
      </c>
      <c r="E3441" t="s">
        <v>24</v>
      </c>
      <c r="F3441" t="s">
        <v>60</v>
      </c>
      <c r="G3441" t="s">
        <v>18</v>
      </c>
      <c r="H3441" t="s">
        <v>31</v>
      </c>
      <c r="I3441">
        <v>5</v>
      </c>
      <c r="J3441">
        <v>8</v>
      </c>
      <c r="K3441">
        <v>5.24</v>
      </c>
      <c r="L3441">
        <v>1</v>
      </c>
    </row>
    <row r="3442" spans="1:12">
      <c r="A3442" t="s">
        <v>9987</v>
      </c>
      <c r="B3442" t="s">
        <v>9988</v>
      </c>
      <c r="C3442" t="s">
        <v>9989</v>
      </c>
      <c r="D3442" t="s">
        <v>35</v>
      </c>
      <c r="E3442" t="s">
        <v>16</v>
      </c>
      <c r="F3442" t="s">
        <v>17</v>
      </c>
      <c r="G3442" t="s">
        <v>151</v>
      </c>
      <c r="H3442" t="s">
        <v>19</v>
      </c>
      <c r="I3442">
        <v>5</v>
      </c>
      <c r="J3442">
        <v>48</v>
      </c>
      <c r="K3442">
        <v>24.38</v>
      </c>
      <c r="L3442">
        <v>1</v>
      </c>
    </row>
    <row r="3443" spans="1:12">
      <c r="A3443" t="s">
        <v>9990</v>
      </c>
      <c r="B3443" t="s">
        <v>9991</v>
      </c>
      <c r="C3443" t="s">
        <v>9992</v>
      </c>
      <c r="D3443" t="s">
        <v>15</v>
      </c>
      <c r="E3443" t="s">
        <v>54</v>
      </c>
      <c r="F3443" t="s">
        <v>17</v>
      </c>
      <c r="G3443" t="s">
        <v>151</v>
      </c>
      <c r="H3443" t="s">
        <v>31</v>
      </c>
      <c r="I3443">
        <v>2</v>
      </c>
      <c r="J3443">
        <v>8</v>
      </c>
      <c r="K3443">
        <v>18.11</v>
      </c>
      <c r="L3443">
        <v>0</v>
      </c>
    </row>
    <row r="3444" spans="1:12">
      <c r="A3444" t="s">
        <v>9993</v>
      </c>
      <c r="B3444" t="s">
        <v>9994</v>
      </c>
      <c r="C3444" t="s">
        <v>9995</v>
      </c>
      <c r="D3444" t="s">
        <v>15</v>
      </c>
      <c r="E3444" t="s">
        <v>59</v>
      </c>
      <c r="F3444" t="s">
        <v>41</v>
      </c>
      <c r="G3444" t="s">
        <v>172</v>
      </c>
      <c r="H3444" t="s">
        <v>19</v>
      </c>
      <c r="I3444">
        <v>5</v>
      </c>
      <c r="J3444">
        <v>8</v>
      </c>
      <c r="K3444">
        <v>3.56</v>
      </c>
      <c r="L3444">
        <v>1</v>
      </c>
    </row>
    <row r="3445" spans="1:12">
      <c r="A3445" t="s">
        <v>9996</v>
      </c>
      <c r="B3445" t="s">
        <v>9997</v>
      </c>
      <c r="C3445" t="s">
        <v>9998</v>
      </c>
      <c r="D3445" t="s">
        <v>15</v>
      </c>
      <c r="E3445" t="s">
        <v>28</v>
      </c>
      <c r="F3445" t="s">
        <v>36</v>
      </c>
      <c r="G3445" t="s">
        <v>73</v>
      </c>
      <c r="H3445" t="s">
        <v>31</v>
      </c>
      <c r="I3445">
        <v>4</v>
      </c>
      <c r="J3445">
        <v>8</v>
      </c>
      <c r="K3445">
        <v>5.99</v>
      </c>
      <c r="L3445">
        <v>1</v>
      </c>
    </row>
    <row r="3446" spans="1:12">
      <c r="A3446" t="s">
        <v>9999</v>
      </c>
      <c r="B3446" t="s">
        <v>10000</v>
      </c>
      <c r="C3446" t="s">
        <v>10001</v>
      </c>
      <c r="D3446" t="s">
        <v>23</v>
      </c>
      <c r="E3446" t="s">
        <v>24</v>
      </c>
      <c r="F3446" t="s">
        <v>29</v>
      </c>
      <c r="G3446" t="s">
        <v>73</v>
      </c>
      <c r="H3446" t="s">
        <v>19</v>
      </c>
      <c r="I3446">
        <v>3</v>
      </c>
      <c r="J3446">
        <v>24</v>
      </c>
      <c r="K3446">
        <v>10.94</v>
      </c>
      <c r="L3446">
        <v>1</v>
      </c>
    </row>
    <row r="3447" spans="1:12">
      <c r="A3447" t="s">
        <v>10002</v>
      </c>
      <c r="B3447" t="s">
        <v>10003</v>
      </c>
      <c r="C3447" t="s">
        <v>10004</v>
      </c>
      <c r="D3447" t="s">
        <v>23</v>
      </c>
      <c r="E3447" t="s">
        <v>54</v>
      </c>
      <c r="F3447" t="s">
        <v>36</v>
      </c>
      <c r="G3447" t="s">
        <v>55</v>
      </c>
      <c r="H3447" t="s">
        <v>19</v>
      </c>
      <c r="I3447">
        <v>4</v>
      </c>
      <c r="J3447">
        <v>24</v>
      </c>
      <c r="K3447">
        <v>12.25</v>
      </c>
      <c r="L3447">
        <v>1</v>
      </c>
    </row>
    <row r="3448" spans="1:12">
      <c r="A3448" t="s">
        <v>10005</v>
      </c>
      <c r="B3448" t="s">
        <v>10006</v>
      </c>
      <c r="C3448" t="s">
        <v>10007</v>
      </c>
      <c r="D3448" t="s">
        <v>15</v>
      </c>
      <c r="E3448" t="s">
        <v>24</v>
      </c>
      <c r="F3448" t="s">
        <v>41</v>
      </c>
      <c r="G3448" t="s">
        <v>105</v>
      </c>
      <c r="H3448" t="s">
        <v>31</v>
      </c>
      <c r="I3448">
        <v>4</v>
      </c>
      <c r="J3448">
        <v>8</v>
      </c>
      <c r="K3448">
        <v>1.74</v>
      </c>
      <c r="L3448">
        <v>1</v>
      </c>
    </row>
    <row r="3449" spans="1:12">
      <c r="A3449" t="s">
        <v>10008</v>
      </c>
      <c r="B3449" t="s">
        <v>10009</v>
      </c>
      <c r="C3449" t="s">
        <v>10010</v>
      </c>
      <c r="D3449" t="s">
        <v>15</v>
      </c>
      <c r="E3449" t="s">
        <v>24</v>
      </c>
      <c r="F3449" t="s">
        <v>41</v>
      </c>
      <c r="G3449" t="s">
        <v>55</v>
      </c>
      <c r="H3449" t="s">
        <v>19</v>
      </c>
      <c r="I3449">
        <v>5</v>
      </c>
      <c r="J3449">
        <v>8</v>
      </c>
      <c r="K3449">
        <v>1.37</v>
      </c>
      <c r="L3449">
        <v>1</v>
      </c>
    </row>
    <row r="3450" spans="1:12">
      <c r="A3450" t="s">
        <v>10011</v>
      </c>
      <c r="B3450" t="s">
        <v>10012</v>
      </c>
      <c r="C3450" t="s">
        <v>10013</v>
      </c>
      <c r="D3450" t="s">
        <v>35</v>
      </c>
      <c r="E3450" t="s">
        <v>59</v>
      </c>
      <c r="F3450" t="s">
        <v>36</v>
      </c>
      <c r="G3450" t="s">
        <v>151</v>
      </c>
      <c r="H3450" t="s">
        <v>19</v>
      </c>
      <c r="I3450">
        <v>5</v>
      </c>
      <c r="J3450">
        <v>48</v>
      </c>
      <c r="K3450">
        <v>9.24</v>
      </c>
      <c r="L3450">
        <v>1</v>
      </c>
    </row>
    <row r="3451" spans="1:12">
      <c r="A3451" t="s">
        <v>10014</v>
      </c>
      <c r="B3451" t="s">
        <v>10015</v>
      </c>
      <c r="D3451" t="s">
        <v>23</v>
      </c>
      <c r="E3451" t="s">
        <v>16</v>
      </c>
      <c r="F3451" t="s">
        <v>41</v>
      </c>
      <c r="G3451" t="s">
        <v>45</v>
      </c>
      <c r="H3451" t="s">
        <v>63</v>
      </c>
      <c r="J3451">
        <v>24</v>
      </c>
    </row>
    <row r="3452" spans="1:12">
      <c r="A3452" t="s">
        <v>10016</v>
      </c>
      <c r="B3452" t="s">
        <v>10017</v>
      </c>
      <c r="D3452" t="s">
        <v>23</v>
      </c>
      <c r="E3452" t="s">
        <v>16</v>
      </c>
      <c r="F3452" t="s">
        <v>41</v>
      </c>
      <c r="G3452" t="s">
        <v>55</v>
      </c>
      <c r="H3452" t="s">
        <v>46</v>
      </c>
      <c r="J3452">
        <v>24</v>
      </c>
    </row>
    <row r="3453" spans="1:12">
      <c r="A3453" t="s">
        <v>10018</v>
      </c>
      <c r="B3453" t="s">
        <v>10019</v>
      </c>
      <c r="C3453" t="s">
        <v>10020</v>
      </c>
      <c r="D3453" t="s">
        <v>35</v>
      </c>
      <c r="E3453" t="s">
        <v>54</v>
      </c>
      <c r="F3453" t="s">
        <v>60</v>
      </c>
      <c r="G3453" t="s">
        <v>45</v>
      </c>
      <c r="H3453" t="s">
        <v>19</v>
      </c>
      <c r="I3453">
        <v>5</v>
      </c>
      <c r="J3453">
        <v>48</v>
      </c>
      <c r="K3453">
        <v>13.89</v>
      </c>
      <c r="L3453">
        <v>1</v>
      </c>
    </row>
    <row r="3454" spans="1:12">
      <c r="A3454" t="s">
        <v>10021</v>
      </c>
      <c r="B3454" t="s">
        <v>10022</v>
      </c>
      <c r="C3454" t="s">
        <v>10023</v>
      </c>
      <c r="D3454" t="s">
        <v>23</v>
      </c>
      <c r="E3454" t="s">
        <v>16</v>
      </c>
      <c r="F3454" t="s">
        <v>41</v>
      </c>
      <c r="G3454" t="s">
        <v>45</v>
      </c>
      <c r="H3454" t="s">
        <v>19</v>
      </c>
      <c r="I3454">
        <v>5</v>
      </c>
      <c r="J3454">
        <v>24</v>
      </c>
      <c r="K3454">
        <v>15.4</v>
      </c>
      <c r="L3454">
        <v>1</v>
      </c>
    </row>
    <row r="3455" spans="1:12">
      <c r="A3455" t="s">
        <v>10024</v>
      </c>
      <c r="B3455" t="s">
        <v>10025</v>
      </c>
      <c r="C3455" t="s">
        <v>10026</v>
      </c>
      <c r="D3455" t="s">
        <v>23</v>
      </c>
      <c r="E3455" t="s">
        <v>28</v>
      </c>
      <c r="F3455" t="s">
        <v>41</v>
      </c>
      <c r="G3455" t="s">
        <v>151</v>
      </c>
      <c r="H3455" t="s">
        <v>19</v>
      </c>
      <c r="I3455">
        <v>5</v>
      </c>
      <c r="J3455">
        <v>24</v>
      </c>
      <c r="K3455">
        <v>18.47</v>
      </c>
      <c r="L3455">
        <v>1</v>
      </c>
    </row>
    <row r="3456" spans="1:12">
      <c r="A3456" t="s">
        <v>10027</v>
      </c>
      <c r="B3456" t="s">
        <v>10028</v>
      </c>
      <c r="C3456" t="s">
        <v>10029</v>
      </c>
      <c r="D3456" t="s">
        <v>35</v>
      </c>
      <c r="E3456" t="s">
        <v>28</v>
      </c>
      <c r="F3456" t="s">
        <v>60</v>
      </c>
      <c r="G3456" t="s">
        <v>30</v>
      </c>
      <c r="H3456" t="s">
        <v>31</v>
      </c>
      <c r="I3456">
        <v>4</v>
      </c>
      <c r="J3456">
        <v>48</v>
      </c>
      <c r="K3456">
        <v>36.18</v>
      </c>
      <c r="L3456">
        <v>1</v>
      </c>
    </row>
    <row r="3457" spans="1:12">
      <c r="A3457" t="s">
        <v>10030</v>
      </c>
      <c r="B3457" t="s">
        <v>10031</v>
      </c>
      <c r="C3457" t="s">
        <v>10032</v>
      </c>
      <c r="D3457" t="s">
        <v>23</v>
      </c>
      <c r="E3457" t="s">
        <v>16</v>
      </c>
      <c r="F3457" t="s">
        <v>41</v>
      </c>
      <c r="G3457" t="s">
        <v>172</v>
      </c>
      <c r="H3457" t="s">
        <v>19</v>
      </c>
      <c r="I3457">
        <v>5</v>
      </c>
      <c r="J3457">
        <v>24</v>
      </c>
      <c r="K3457">
        <v>5.32</v>
      </c>
      <c r="L3457">
        <v>1</v>
      </c>
    </row>
    <row r="3458" spans="1:12">
      <c r="A3458" t="s">
        <v>10033</v>
      </c>
      <c r="B3458" t="s">
        <v>10034</v>
      </c>
      <c r="C3458" t="s">
        <v>10035</v>
      </c>
      <c r="D3458" t="s">
        <v>158</v>
      </c>
      <c r="E3458" t="s">
        <v>24</v>
      </c>
      <c r="F3458" t="s">
        <v>36</v>
      </c>
      <c r="G3458" t="s">
        <v>37</v>
      </c>
      <c r="H3458" t="s">
        <v>19</v>
      </c>
      <c r="I3458">
        <v>5</v>
      </c>
      <c r="J3458">
        <v>4</v>
      </c>
      <c r="K3458">
        <v>0.63</v>
      </c>
      <c r="L3458">
        <v>1</v>
      </c>
    </row>
    <row r="3459" spans="1:12">
      <c r="A3459" t="s">
        <v>10036</v>
      </c>
      <c r="B3459" t="s">
        <v>10037</v>
      </c>
      <c r="C3459" t="s">
        <v>10038</v>
      </c>
      <c r="D3459" t="s">
        <v>15</v>
      </c>
      <c r="E3459" t="s">
        <v>28</v>
      </c>
      <c r="F3459" t="s">
        <v>41</v>
      </c>
      <c r="G3459" t="s">
        <v>18</v>
      </c>
      <c r="H3459" t="s">
        <v>31</v>
      </c>
      <c r="I3459">
        <v>5</v>
      </c>
      <c r="J3459">
        <v>8</v>
      </c>
      <c r="K3459">
        <v>2.96</v>
      </c>
      <c r="L3459">
        <v>1</v>
      </c>
    </row>
    <row r="3460" spans="1:12">
      <c r="A3460" t="s">
        <v>10039</v>
      </c>
      <c r="B3460" t="s">
        <v>10040</v>
      </c>
      <c r="C3460" t="s">
        <v>10041</v>
      </c>
      <c r="D3460" t="s">
        <v>23</v>
      </c>
      <c r="E3460" t="s">
        <v>28</v>
      </c>
      <c r="F3460" t="s">
        <v>17</v>
      </c>
      <c r="G3460" t="s">
        <v>42</v>
      </c>
      <c r="H3460" t="s">
        <v>19</v>
      </c>
      <c r="I3460">
        <v>5</v>
      </c>
      <c r="J3460">
        <v>24</v>
      </c>
      <c r="K3460">
        <v>5.33</v>
      </c>
      <c r="L3460">
        <v>1</v>
      </c>
    </row>
    <row r="3461" spans="1:12">
      <c r="A3461" t="s">
        <v>10042</v>
      </c>
      <c r="B3461" t="s">
        <v>10043</v>
      </c>
      <c r="D3461" t="s">
        <v>23</v>
      </c>
      <c r="E3461" t="s">
        <v>28</v>
      </c>
      <c r="F3461" t="s">
        <v>29</v>
      </c>
      <c r="G3461" t="s">
        <v>45</v>
      </c>
      <c r="H3461" t="s">
        <v>63</v>
      </c>
      <c r="J3461">
        <v>24</v>
      </c>
    </row>
    <row r="3462" spans="1:12">
      <c r="A3462" t="s">
        <v>10044</v>
      </c>
      <c r="B3462" t="s">
        <v>10045</v>
      </c>
      <c r="C3462" t="s">
        <v>10046</v>
      </c>
      <c r="D3462" t="s">
        <v>23</v>
      </c>
      <c r="E3462" t="s">
        <v>28</v>
      </c>
      <c r="F3462" t="s">
        <v>17</v>
      </c>
      <c r="G3462" t="s">
        <v>151</v>
      </c>
      <c r="H3462" t="s">
        <v>31</v>
      </c>
      <c r="I3462">
        <v>5</v>
      </c>
      <c r="J3462">
        <v>24</v>
      </c>
      <c r="K3462">
        <v>8.0500000000000007</v>
      </c>
      <c r="L3462">
        <v>1</v>
      </c>
    </row>
    <row r="3463" spans="1:12">
      <c r="A3463" t="s">
        <v>10047</v>
      </c>
      <c r="B3463" t="s">
        <v>10048</v>
      </c>
      <c r="C3463" t="s">
        <v>10049</v>
      </c>
      <c r="D3463" t="s">
        <v>23</v>
      </c>
      <c r="E3463" t="s">
        <v>54</v>
      </c>
      <c r="F3463" t="s">
        <v>17</v>
      </c>
      <c r="G3463" t="s">
        <v>105</v>
      </c>
      <c r="H3463" t="s">
        <v>19</v>
      </c>
      <c r="I3463">
        <v>4</v>
      </c>
      <c r="J3463">
        <v>24</v>
      </c>
      <c r="K3463">
        <v>13.78</v>
      </c>
      <c r="L3463">
        <v>1</v>
      </c>
    </row>
    <row r="3464" spans="1:12">
      <c r="A3464" t="s">
        <v>10050</v>
      </c>
      <c r="B3464" t="s">
        <v>10051</v>
      </c>
      <c r="C3464" t="s">
        <v>10052</v>
      </c>
      <c r="D3464" t="s">
        <v>15</v>
      </c>
      <c r="E3464" t="s">
        <v>16</v>
      </c>
      <c r="F3464" t="s">
        <v>60</v>
      </c>
      <c r="G3464" t="s">
        <v>42</v>
      </c>
      <c r="H3464" t="s">
        <v>31</v>
      </c>
      <c r="I3464">
        <v>4</v>
      </c>
      <c r="J3464">
        <v>8</v>
      </c>
      <c r="K3464">
        <v>7.15</v>
      </c>
      <c r="L3464">
        <v>1</v>
      </c>
    </row>
    <row r="3465" spans="1:12">
      <c r="A3465" t="s">
        <v>10053</v>
      </c>
      <c r="B3465" t="s">
        <v>10054</v>
      </c>
      <c r="C3465" t="s">
        <v>10055</v>
      </c>
      <c r="D3465" t="s">
        <v>15</v>
      </c>
      <c r="E3465" t="s">
        <v>16</v>
      </c>
      <c r="F3465" t="s">
        <v>17</v>
      </c>
      <c r="G3465" t="s">
        <v>30</v>
      </c>
      <c r="H3465" t="s">
        <v>19</v>
      </c>
      <c r="I3465">
        <v>5</v>
      </c>
      <c r="J3465">
        <v>8</v>
      </c>
      <c r="K3465">
        <v>2.91</v>
      </c>
      <c r="L3465">
        <v>1</v>
      </c>
    </row>
    <row r="3466" spans="1:12">
      <c r="A3466" t="s">
        <v>10056</v>
      </c>
      <c r="B3466" t="s">
        <v>10057</v>
      </c>
      <c r="C3466" t="s">
        <v>10058</v>
      </c>
      <c r="D3466" t="s">
        <v>15</v>
      </c>
      <c r="E3466" t="s">
        <v>28</v>
      </c>
      <c r="F3466" t="s">
        <v>29</v>
      </c>
      <c r="G3466" t="s">
        <v>30</v>
      </c>
      <c r="H3466" t="s">
        <v>31</v>
      </c>
      <c r="I3466">
        <v>5</v>
      </c>
      <c r="J3466">
        <v>8</v>
      </c>
      <c r="K3466">
        <v>2.1</v>
      </c>
      <c r="L3466">
        <v>1</v>
      </c>
    </row>
    <row r="3467" spans="1:12">
      <c r="A3467" t="s">
        <v>10059</v>
      </c>
      <c r="B3467" t="s">
        <v>10060</v>
      </c>
      <c r="D3467" t="s">
        <v>158</v>
      </c>
      <c r="E3467" t="s">
        <v>28</v>
      </c>
      <c r="F3467" t="s">
        <v>36</v>
      </c>
      <c r="G3467" t="s">
        <v>172</v>
      </c>
      <c r="H3467" t="s">
        <v>63</v>
      </c>
      <c r="J3467">
        <v>4</v>
      </c>
    </row>
    <row r="3468" spans="1:12">
      <c r="A3468" t="s">
        <v>10061</v>
      </c>
      <c r="B3468" t="s">
        <v>10062</v>
      </c>
      <c r="C3468" t="s">
        <v>10063</v>
      </c>
      <c r="D3468" t="s">
        <v>158</v>
      </c>
      <c r="E3468" t="s">
        <v>28</v>
      </c>
      <c r="F3468" t="s">
        <v>17</v>
      </c>
      <c r="G3468" t="s">
        <v>172</v>
      </c>
      <c r="H3468" t="s">
        <v>19</v>
      </c>
      <c r="I3468">
        <v>4</v>
      </c>
      <c r="J3468">
        <v>4</v>
      </c>
      <c r="K3468">
        <v>2.81</v>
      </c>
      <c r="L3468">
        <v>1</v>
      </c>
    </row>
    <row r="3469" spans="1:12">
      <c r="A3469" t="s">
        <v>10064</v>
      </c>
      <c r="B3469" t="s">
        <v>10065</v>
      </c>
      <c r="D3469" t="s">
        <v>15</v>
      </c>
      <c r="E3469" t="s">
        <v>16</v>
      </c>
      <c r="F3469" t="s">
        <v>36</v>
      </c>
      <c r="G3469" t="s">
        <v>55</v>
      </c>
      <c r="H3469" t="s">
        <v>63</v>
      </c>
      <c r="J3469">
        <v>8</v>
      </c>
    </row>
    <row r="3470" spans="1:12">
      <c r="A3470" t="s">
        <v>10066</v>
      </c>
      <c r="B3470" t="s">
        <v>10067</v>
      </c>
      <c r="C3470" t="s">
        <v>10068</v>
      </c>
      <c r="D3470" t="s">
        <v>23</v>
      </c>
      <c r="E3470" t="s">
        <v>54</v>
      </c>
      <c r="F3470" t="s">
        <v>29</v>
      </c>
      <c r="G3470" t="s">
        <v>73</v>
      </c>
      <c r="H3470" t="s">
        <v>19</v>
      </c>
      <c r="I3470">
        <v>4</v>
      </c>
      <c r="J3470">
        <v>24</v>
      </c>
      <c r="K3470">
        <v>16.420000000000002</v>
      </c>
      <c r="L3470">
        <v>1</v>
      </c>
    </row>
    <row r="3471" spans="1:12">
      <c r="A3471" t="s">
        <v>10069</v>
      </c>
      <c r="B3471" t="s">
        <v>10070</v>
      </c>
      <c r="C3471" t="s">
        <v>10071</v>
      </c>
      <c r="D3471" t="s">
        <v>23</v>
      </c>
      <c r="E3471" t="s">
        <v>24</v>
      </c>
      <c r="F3471" t="s">
        <v>60</v>
      </c>
      <c r="G3471" t="s">
        <v>55</v>
      </c>
      <c r="H3471" t="s">
        <v>19</v>
      </c>
      <c r="I3471">
        <v>4</v>
      </c>
      <c r="J3471">
        <v>24</v>
      </c>
      <c r="K3471">
        <v>19.86</v>
      </c>
      <c r="L3471">
        <v>1</v>
      </c>
    </row>
    <row r="3472" spans="1:12">
      <c r="A3472" t="s">
        <v>10072</v>
      </c>
      <c r="B3472" t="s">
        <v>10073</v>
      </c>
      <c r="C3472" t="s">
        <v>10074</v>
      </c>
      <c r="D3472" t="s">
        <v>23</v>
      </c>
      <c r="E3472" t="s">
        <v>16</v>
      </c>
      <c r="F3472" t="s">
        <v>41</v>
      </c>
      <c r="G3472" t="s">
        <v>77</v>
      </c>
      <c r="H3472" t="s">
        <v>19</v>
      </c>
      <c r="I3472">
        <v>5</v>
      </c>
      <c r="J3472">
        <v>24</v>
      </c>
      <c r="K3472">
        <v>7.49</v>
      </c>
      <c r="L3472">
        <v>1</v>
      </c>
    </row>
    <row r="3473" spans="1:12">
      <c r="A3473" t="s">
        <v>10075</v>
      </c>
      <c r="B3473" t="s">
        <v>10076</v>
      </c>
      <c r="C3473" t="s">
        <v>10077</v>
      </c>
      <c r="D3473" t="s">
        <v>15</v>
      </c>
      <c r="E3473" t="s">
        <v>24</v>
      </c>
      <c r="F3473" t="s">
        <v>17</v>
      </c>
      <c r="G3473" t="s">
        <v>105</v>
      </c>
      <c r="H3473" t="s">
        <v>31</v>
      </c>
      <c r="I3473">
        <v>5</v>
      </c>
      <c r="J3473">
        <v>8</v>
      </c>
      <c r="K3473">
        <v>2.5299999999999998</v>
      </c>
      <c r="L3473">
        <v>1</v>
      </c>
    </row>
    <row r="3474" spans="1:12">
      <c r="A3474" t="s">
        <v>10078</v>
      </c>
      <c r="B3474" t="s">
        <v>10079</v>
      </c>
      <c r="C3474" t="s">
        <v>10080</v>
      </c>
      <c r="D3474" t="s">
        <v>23</v>
      </c>
      <c r="E3474" t="s">
        <v>16</v>
      </c>
      <c r="F3474" t="s">
        <v>36</v>
      </c>
      <c r="G3474" t="s">
        <v>172</v>
      </c>
      <c r="H3474" t="s">
        <v>31</v>
      </c>
      <c r="I3474">
        <v>2</v>
      </c>
      <c r="J3474">
        <v>24</v>
      </c>
      <c r="K3474">
        <v>39.9</v>
      </c>
      <c r="L3474">
        <v>0</v>
      </c>
    </row>
    <row r="3475" spans="1:12">
      <c r="A3475" t="s">
        <v>10081</v>
      </c>
      <c r="B3475" t="s">
        <v>10082</v>
      </c>
      <c r="D3475" t="s">
        <v>35</v>
      </c>
      <c r="E3475" t="s">
        <v>28</v>
      </c>
      <c r="F3475" t="s">
        <v>17</v>
      </c>
      <c r="G3475" t="s">
        <v>73</v>
      </c>
      <c r="H3475" t="s">
        <v>63</v>
      </c>
      <c r="J3475">
        <v>48</v>
      </c>
    </row>
    <row r="3476" spans="1:12">
      <c r="A3476" t="s">
        <v>10083</v>
      </c>
      <c r="B3476" t="s">
        <v>10084</v>
      </c>
      <c r="C3476" t="s">
        <v>10085</v>
      </c>
      <c r="D3476" t="s">
        <v>23</v>
      </c>
      <c r="E3476" t="s">
        <v>59</v>
      </c>
      <c r="F3476" t="s">
        <v>41</v>
      </c>
      <c r="G3476" t="s">
        <v>18</v>
      </c>
      <c r="H3476" t="s">
        <v>19</v>
      </c>
      <c r="I3476">
        <v>4</v>
      </c>
      <c r="J3476">
        <v>24</v>
      </c>
      <c r="K3476">
        <v>4.8499999999999996</v>
      </c>
      <c r="L3476">
        <v>1</v>
      </c>
    </row>
    <row r="3477" spans="1:12">
      <c r="A3477" t="s">
        <v>10086</v>
      </c>
      <c r="B3477" t="s">
        <v>10087</v>
      </c>
      <c r="C3477" t="s">
        <v>10088</v>
      </c>
      <c r="D3477" t="s">
        <v>35</v>
      </c>
      <c r="E3477" t="s">
        <v>54</v>
      </c>
      <c r="F3477" t="s">
        <v>60</v>
      </c>
      <c r="G3477" t="s">
        <v>151</v>
      </c>
      <c r="H3477" t="s">
        <v>19</v>
      </c>
      <c r="I3477">
        <v>2</v>
      </c>
      <c r="J3477">
        <v>48</v>
      </c>
      <c r="K3477">
        <v>90.89</v>
      </c>
      <c r="L3477">
        <v>0</v>
      </c>
    </row>
    <row r="3478" spans="1:12">
      <c r="A3478" t="s">
        <v>10089</v>
      </c>
      <c r="B3478" t="s">
        <v>10090</v>
      </c>
      <c r="C3478" t="s">
        <v>10091</v>
      </c>
      <c r="D3478" t="s">
        <v>35</v>
      </c>
      <c r="E3478" t="s">
        <v>24</v>
      </c>
      <c r="F3478" t="s">
        <v>41</v>
      </c>
      <c r="G3478" t="s">
        <v>42</v>
      </c>
      <c r="H3478" t="s">
        <v>19</v>
      </c>
      <c r="I3478">
        <v>5</v>
      </c>
      <c r="J3478">
        <v>48</v>
      </c>
      <c r="K3478">
        <v>7.03</v>
      </c>
      <c r="L3478">
        <v>1</v>
      </c>
    </row>
    <row r="3479" spans="1:12">
      <c r="A3479" t="s">
        <v>10092</v>
      </c>
      <c r="B3479" t="s">
        <v>10093</v>
      </c>
      <c r="C3479" t="s">
        <v>10094</v>
      </c>
      <c r="D3479" t="s">
        <v>23</v>
      </c>
      <c r="E3479" t="s">
        <v>16</v>
      </c>
      <c r="F3479" t="s">
        <v>41</v>
      </c>
      <c r="G3479" t="s">
        <v>55</v>
      </c>
      <c r="H3479" t="s">
        <v>19</v>
      </c>
      <c r="I3479">
        <v>2</v>
      </c>
      <c r="J3479">
        <v>24</v>
      </c>
      <c r="K3479">
        <v>39.520000000000003</v>
      </c>
      <c r="L3479">
        <v>0</v>
      </c>
    </row>
    <row r="3480" spans="1:12">
      <c r="A3480" t="s">
        <v>10095</v>
      </c>
      <c r="B3480" t="s">
        <v>10096</v>
      </c>
      <c r="C3480" t="s">
        <v>10097</v>
      </c>
      <c r="D3480" t="s">
        <v>35</v>
      </c>
      <c r="E3480" t="s">
        <v>24</v>
      </c>
      <c r="F3480" t="s">
        <v>60</v>
      </c>
      <c r="G3480" t="s">
        <v>30</v>
      </c>
      <c r="H3480" t="s">
        <v>31</v>
      </c>
      <c r="I3480">
        <v>3</v>
      </c>
      <c r="J3480">
        <v>48</v>
      </c>
      <c r="K3480">
        <v>9.26</v>
      </c>
      <c r="L3480">
        <v>1</v>
      </c>
    </row>
    <row r="3481" spans="1:12">
      <c r="A3481" t="s">
        <v>10098</v>
      </c>
      <c r="B3481" t="s">
        <v>10099</v>
      </c>
      <c r="C3481" t="s">
        <v>10100</v>
      </c>
      <c r="D3481" t="s">
        <v>23</v>
      </c>
      <c r="E3481" t="s">
        <v>28</v>
      </c>
      <c r="F3481" t="s">
        <v>36</v>
      </c>
      <c r="G3481" t="s">
        <v>30</v>
      </c>
      <c r="H3481" t="s">
        <v>31</v>
      </c>
      <c r="I3481">
        <v>5</v>
      </c>
      <c r="J3481">
        <v>24</v>
      </c>
      <c r="K3481">
        <v>12.31</v>
      </c>
      <c r="L3481">
        <v>1</v>
      </c>
    </row>
    <row r="3482" spans="1:12">
      <c r="A3482" t="s">
        <v>10101</v>
      </c>
      <c r="B3482" t="s">
        <v>10102</v>
      </c>
      <c r="C3482" t="s">
        <v>10103</v>
      </c>
      <c r="D3482" t="s">
        <v>23</v>
      </c>
      <c r="E3482" t="s">
        <v>28</v>
      </c>
      <c r="F3482" t="s">
        <v>17</v>
      </c>
      <c r="G3482" t="s">
        <v>30</v>
      </c>
      <c r="H3482" t="s">
        <v>19</v>
      </c>
      <c r="I3482">
        <v>1</v>
      </c>
      <c r="J3482">
        <v>24</v>
      </c>
      <c r="K3482">
        <v>43.49</v>
      </c>
      <c r="L3482">
        <v>0</v>
      </c>
    </row>
    <row r="3483" spans="1:12">
      <c r="A3483" t="s">
        <v>10104</v>
      </c>
      <c r="B3483" t="s">
        <v>10105</v>
      </c>
      <c r="C3483" t="s">
        <v>10106</v>
      </c>
      <c r="D3483" t="s">
        <v>15</v>
      </c>
      <c r="E3483" t="s">
        <v>28</v>
      </c>
      <c r="F3483" t="s">
        <v>41</v>
      </c>
      <c r="G3483" t="s">
        <v>77</v>
      </c>
      <c r="H3483" t="s">
        <v>19</v>
      </c>
      <c r="I3483">
        <v>5</v>
      </c>
      <c r="J3483">
        <v>8</v>
      </c>
      <c r="K3483">
        <v>3.2</v>
      </c>
      <c r="L3483">
        <v>1</v>
      </c>
    </row>
    <row r="3484" spans="1:12">
      <c r="A3484" t="s">
        <v>10107</v>
      </c>
      <c r="B3484" t="s">
        <v>10108</v>
      </c>
      <c r="D3484" t="s">
        <v>23</v>
      </c>
      <c r="E3484" t="s">
        <v>28</v>
      </c>
      <c r="F3484" t="s">
        <v>60</v>
      </c>
      <c r="G3484" t="s">
        <v>30</v>
      </c>
      <c r="H3484" t="s">
        <v>46</v>
      </c>
      <c r="J3484">
        <v>24</v>
      </c>
    </row>
    <row r="3485" spans="1:12">
      <c r="A3485" t="s">
        <v>10109</v>
      </c>
      <c r="B3485" t="s">
        <v>10110</v>
      </c>
      <c r="C3485" t="s">
        <v>10111</v>
      </c>
      <c r="D3485" t="s">
        <v>158</v>
      </c>
      <c r="E3485" t="s">
        <v>54</v>
      </c>
      <c r="F3485" t="s">
        <v>29</v>
      </c>
      <c r="G3485" t="s">
        <v>37</v>
      </c>
      <c r="H3485" t="s">
        <v>31</v>
      </c>
      <c r="I3485">
        <v>4</v>
      </c>
      <c r="J3485">
        <v>4</v>
      </c>
      <c r="K3485">
        <v>0.94</v>
      </c>
      <c r="L3485">
        <v>1</v>
      </c>
    </row>
    <row r="3486" spans="1:12">
      <c r="A3486" t="s">
        <v>10112</v>
      </c>
      <c r="B3486" t="s">
        <v>10113</v>
      </c>
      <c r="C3486" t="s">
        <v>10114</v>
      </c>
      <c r="D3486" t="s">
        <v>158</v>
      </c>
      <c r="E3486" t="s">
        <v>28</v>
      </c>
      <c r="F3486" t="s">
        <v>17</v>
      </c>
      <c r="G3486" t="s">
        <v>105</v>
      </c>
      <c r="H3486" t="s">
        <v>19</v>
      </c>
      <c r="I3486">
        <v>4</v>
      </c>
      <c r="J3486">
        <v>4</v>
      </c>
      <c r="K3486">
        <v>9.85</v>
      </c>
      <c r="L3486">
        <v>0</v>
      </c>
    </row>
    <row r="3487" spans="1:12">
      <c r="A3487" t="s">
        <v>10115</v>
      </c>
      <c r="B3487" t="s">
        <v>10116</v>
      </c>
      <c r="C3487" t="s">
        <v>10117</v>
      </c>
      <c r="D3487" t="s">
        <v>23</v>
      </c>
      <c r="E3487" t="s">
        <v>59</v>
      </c>
      <c r="F3487" t="s">
        <v>29</v>
      </c>
      <c r="G3487" t="s">
        <v>50</v>
      </c>
      <c r="H3487" t="s">
        <v>19</v>
      </c>
      <c r="I3487">
        <v>4</v>
      </c>
      <c r="J3487">
        <v>24</v>
      </c>
      <c r="K3487">
        <v>6.7</v>
      </c>
      <c r="L3487">
        <v>1</v>
      </c>
    </row>
    <row r="3488" spans="1:12">
      <c r="A3488" t="s">
        <v>10118</v>
      </c>
      <c r="B3488" t="s">
        <v>10119</v>
      </c>
      <c r="C3488" t="s">
        <v>10120</v>
      </c>
      <c r="D3488" t="s">
        <v>23</v>
      </c>
      <c r="E3488" t="s">
        <v>28</v>
      </c>
      <c r="F3488" t="s">
        <v>36</v>
      </c>
      <c r="G3488" t="s">
        <v>77</v>
      </c>
      <c r="H3488" t="s">
        <v>19</v>
      </c>
      <c r="I3488">
        <v>5</v>
      </c>
      <c r="J3488">
        <v>24</v>
      </c>
      <c r="K3488">
        <v>14.71</v>
      </c>
      <c r="L3488">
        <v>1</v>
      </c>
    </row>
    <row r="3489" spans="1:12">
      <c r="A3489" t="s">
        <v>10121</v>
      </c>
      <c r="B3489" t="s">
        <v>10122</v>
      </c>
      <c r="C3489" t="s">
        <v>10123</v>
      </c>
      <c r="D3489" t="s">
        <v>23</v>
      </c>
      <c r="E3489" t="s">
        <v>54</v>
      </c>
      <c r="F3489" t="s">
        <v>60</v>
      </c>
      <c r="G3489" t="s">
        <v>172</v>
      </c>
      <c r="H3489" t="s">
        <v>19</v>
      </c>
      <c r="I3489">
        <v>5</v>
      </c>
      <c r="J3489">
        <v>24</v>
      </c>
      <c r="K3489">
        <v>22.33</v>
      </c>
      <c r="L3489">
        <v>1</v>
      </c>
    </row>
    <row r="3490" spans="1:12">
      <c r="A3490" t="s">
        <v>10124</v>
      </c>
      <c r="B3490" t="s">
        <v>10125</v>
      </c>
      <c r="C3490" t="s">
        <v>10126</v>
      </c>
      <c r="D3490" t="s">
        <v>23</v>
      </c>
      <c r="E3490" t="s">
        <v>16</v>
      </c>
      <c r="F3490" t="s">
        <v>29</v>
      </c>
      <c r="G3490" t="s">
        <v>37</v>
      </c>
      <c r="H3490" t="s">
        <v>19</v>
      </c>
      <c r="I3490">
        <v>4</v>
      </c>
      <c r="J3490">
        <v>24</v>
      </c>
      <c r="K3490">
        <v>21.65</v>
      </c>
      <c r="L3490">
        <v>1</v>
      </c>
    </row>
    <row r="3491" spans="1:12">
      <c r="A3491" t="s">
        <v>10127</v>
      </c>
      <c r="B3491" t="s">
        <v>10128</v>
      </c>
      <c r="C3491" t="s">
        <v>10129</v>
      </c>
      <c r="D3491" t="s">
        <v>23</v>
      </c>
      <c r="E3491" t="s">
        <v>28</v>
      </c>
      <c r="F3491" t="s">
        <v>36</v>
      </c>
      <c r="G3491" t="s">
        <v>77</v>
      </c>
      <c r="H3491" t="s">
        <v>19</v>
      </c>
      <c r="I3491">
        <v>4</v>
      </c>
      <c r="J3491">
        <v>24</v>
      </c>
      <c r="K3491">
        <v>4.46</v>
      </c>
      <c r="L3491">
        <v>1</v>
      </c>
    </row>
    <row r="3492" spans="1:12">
      <c r="A3492" t="s">
        <v>10130</v>
      </c>
      <c r="B3492" t="s">
        <v>10131</v>
      </c>
      <c r="C3492" t="s">
        <v>10132</v>
      </c>
      <c r="D3492" t="s">
        <v>23</v>
      </c>
      <c r="E3492" t="s">
        <v>28</v>
      </c>
      <c r="F3492" t="s">
        <v>60</v>
      </c>
      <c r="G3492" t="s">
        <v>172</v>
      </c>
      <c r="H3492" t="s">
        <v>31</v>
      </c>
      <c r="I3492">
        <v>5</v>
      </c>
      <c r="J3492">
        <v>24</v>
      </c>
      <c r="K3492">
        <v>8.59</v>
      </c>
      <c r="L3492">
        <v>1</v>
      </c>
    </row>
    <row r="3493" spans="1:12">
      <c r="A3493" t="s">
        <v>10133</v>
      </c>
      <c r="B3493" t="s">
        <v>10134</v>
      </c>
      <c r="C3493" t="s">
        <v>10135</v>
      </c>
      <c r="D3493" t="s">
        <v>23</v>
      </c>
      <c r="E3493" t="s">
        <v>59</v>
      </c>
      <c r="F3493" t="s">
        <v>41</v>
      </c>
      <c r="G3493" t="s">
        <v>18</v>
      </c>
      <c r="H3493" t="s">
        <v>31</v>
      </c>
      <c r="I3493">
        <v>4</v>
      </c>
      <c r="J3493">
        <v>24</v>
      </c>
      <c r="K3493">
        <v>17.079999999999998</v>
      </c>
      <c r="L3493">
        <v>1</v>
      </c>
    </row>
    <row r="3494" spans="1:12">
      <c r="A3494" t="s">
        <v>10136</v>
      </c>
      <c r="B3494" t="s">
        <v>10137</v>
      </c>
      <c r="C3494" t="s">
        <v>10138</v>
      </c>
      <c r="D3494" t="s">
        <v>35</v>
      </c>
      <c r="E3494" t="s">
        <v>28</v>
      </c>
      <c r="F3494" t="s">
        <v>29</v>
      </c>
      <c r="G3494" t="s">
        <v>18</v>
      </c>
      <c r="H3494" t="s">
        <v>19</v>
      </c>
      <c r="I3494">
        <v>5</v>
      </c>
      <c r="J3494">
        <v>48</v>
      </c>
      <c r="K3494">
        <v>24.25</v>
      </c>
      <c r="L3494">
        <v>1</v>
      </c>
    </row>
    <row r="3495" spans="1:12">
      <c r="A3495" t="s">
        <v>10139</v>
      </c>
      <c r="B3495" t="s">
        <v>10140</v>
      </c>
      <c r="D3495" t="s">
        <v>23</v>
      </c>
      <c r="E3495" t="s">
        <v>24</v>
      </c>
      <c r="F3495" t="s">
        <v>41</v>
      </c>
      <c r="G3495" t="s">
        <v>105</v>
      </c>
      <c r="H3495" t="s">
        <v>63</v>
      </c>
      <c r="J3495">
        <v>24</v>
      </c>
    </row>
    <row r="3496" spans="1:12">
      <c r="A3496" t="s">
        <v>10141</v>
      </c>
      <c r="B3496" t="s">
        <v>10142</v>
      </c>
      <c r="C3496" t="s">
        <v>10143</v>
      </c>
      <c r="D3496" t="s">
        <v>23</v>
      </c>
      <c r="E3496" t="s">
        <v>28</v>
      </c>
      <c r="F3496" t="s">
        <v>17</v>
      </c>
      <c r="G3496" t="s">
        <v>30</v>
      </c>
      <c r="H3496" t="s">
        <v>31</v>
      </c>
      <c r="I3496">
        <v>4</v>
      </c>
      <c r="J3496">
        <v>24</v>
      </c>
      <c r="K3496">
        <v>15.96</v>
      </c>
      <c r="L3496">
        <v>1</v>
      </c>
    </row>
    <row r="3497" spans="1:12">
      <c r="A3497" t="s">
        <v>10144</v>
      </c>
      <c r="B3497" t="s">
        <v>10145</v>
      </c>
      <c r="C3497" t="s">
        <v>10146</v>
      </c>
      <c r="D3497" t="s">
        <v>35</v>
      </c>
      <c r="E3497" t="s">
        <v>28</v>
      </c>
      <c r="F3497" t="s">
        <v>29</v>
      </c>
      <c r="G3497" t="s">
        <v>30</v>
      </c>
      <c r="H3497" t="s">
        <v>31</v>
      </c>
      <c r="I3497">
        <v>4</v>
      </c>
      <c r="J3497">
        <v>48</v>
      </c>
      <c r="K3497">
        <v>78.09</v>
      </c>
      <c r="L3497">
        <v>0</v>
      </c>
    </row>
    <row r="3498" spans="1:12">
      <c r="A3498" t="s">
        <v>10147</v>
      </c>
      <c r="B3498" t="s">
        <v>10148</v>
      </c>
      <c r="D3498" t="s">
        <v>35</v>
      </c>
      <c r="E3498" t="s">
        <v>59</v>
      </c>
      <c r="F3498" t="s">
        <v>60</v>
      </c>
      <c r="G3498" t="s">
        <v>55</v>
      </c>
      <c r="H3498" t="s">
        <v>63</v>
      </c>
      <c r="J3498">
        <v>48</v>
      </c>
    </row>
    <row r="3499" spans="1:12">
      <c r="A3499" t="s">
        <v>10149</v>
      </c>
      <c r="B3499" t="s">
        <v>10150</v>
      </c>
      <c r="C3499" t="s">
        <v>10151</v>
      </c>
      <c r="D3499" t="s">
        <v>15</v>
      </c>
      <c r="E3499" t="s">
        <v>16</v>
      </c>
      <c r="F3499" t="s">
        <v>41</v>
      </c>
      <c r="G3499" t="s">
        <v>151</v>
      </c>
      <c r="H3499" t="s">
        <v>19</v>
      </c>
      <c r="I3499">
        <v>4</v>
      </c>
      <c r="J3499">
        <v>8</v>
      </c>
      <c r="K3499">
        <v>4.05</v>
      </c>
      <c r="L3499">
        <v>1</v>
      </c>
    </row>
    <row r="3500" spans="1:12">
      <c r="A3500" t="s">
        <v>10152</v>
      </c>
      <c r="B3500" t="s">
        <v>10153</v>
      </c>
      <c r="D3500" t="s">
        <v>23</v>
      </c>
      <c r="E3500" t="s">
        <v>24</v>
      </c>
      <c r="F3500" t="s">
        <v>29</v>
      </c>
      <c r="G3500" t="s">
        <v>18</v>
      </c>
      <c r="H3500" t="s">
        <v>63</v>
      </c>
      <c r="J3500">
        <v>24</v>
      </c>
    </row>
    <row r="3501" spans="1:12">
      <c r="A3501" t="s">
        <v>10154</v>
      </c>
      <c r="B3501" t="s">
        <v>10155</v>
      </c>
      <c r="C3501" t="s">
        <v>10156</v>
      </c>
      <c r="D3501" t="s">
        <v>15</v>
      </c>
      <c r="E3501" t="s">
        <v>28</v>
      </c>
      <c r="F3501" t="s">
        <v>60</v>
      </c>
      <c r="G3501" t="s">
        <v>45</v>
      </c>
      <c r="H3501" t="s">
        <v>31</v>
      </c>
      <c r="I3501">
        <v>5</v>
      </c>
      <c r="J3501">
        <v>8</v>
      </c>
      <c r="K3501">
        <v>0.92</v>
      </c>
      <c r="L3501">
        <v>1</v>
      </c>
    </row>
    <row r="3502" spans="1:12">
      <c r="A3502" t="s">
        <v>10157</v>
      </c>
      <c r="B3502" t="s">
        <v>10158</v>
      </c>
      <c r="D3502" t="s">
        <v>15</v>
      </c>
      <c r="E3502" t="s">
        <v>28</v>
      </c>
      <c r="F3502" t="s">
        <v>60</v>
      </c>
      <c r="G3502" t="s">
        <v>55</v>
      </c>
      <c r="H3502" t="s">
        <v>46</v>
      </c>
      <c r="J3502">
        <v>8</v>
      </c>
    </row>
    <row r="3503" spans="1:12">
      <c r="A3503" t="s">
        <v>10159</v>
      </c>
      <c r="B3503" t="s">
        <v>10160</v>
      </c>
      <c r="C3503" t="s">
        <v>10161</v>
      </c>
      <c r="D3503" t="s">
        <v>15</v>
      </c>
      <c r="E3503" t="s">
        <v>28</v>
      </c>
      <c r="F3503" t="s">
        <v>41</v>
      </c>
      <c r="G3503" t="s">
        <v>73</v>
      </c>
      <c r="H3503" t="s">
        <v>19</v>
      </c>
      <c r="I3503">
        <v>3</v>
      </c>
      <c r="J3503">
        <v>8</v>
      </c>
      <c r="K3503">
        <v>2.12</v>
      </c>
      <c r="L3503">
        <v>1</v>
      </c>
    </row>
    <row r="3504" spans="1:12">
      <c r="A3504" t="s">
        <v>10162</v>
      </c>
      <c r="B3504" t="s">
        <v>10163</v>
      </c>
      <c r="C3504" t="s">
        <v>10164</v>
      </c>
      <c r="D3504" t="s">
        <v>23</v>
      </c>
      <c r="E3504" t="s">
        <v>24</v>
      </c>
      <c r="F3504" t="s">
        <v>29</v>
      </c>
      <c r="G3504" t="s">
        <v>73</v>
      </c>
      <c r="H3504" t="s">
        <v>19</v>
      </c>
      <c r="I3504">
        <v>3</v>
      </c>
      <c r="J3504">
        <v>24</v>
      </c>
      <c r="K3504">
        <v>10.65</v>
      </c>
      <c r="L3504">
        <v>1</v>
      </c>
    </row>
    <row r="3505" spans="1:12">
      <c r="A3505" t="s">
        <v>10165</v>
      </c>
      <c r="B3505" t="s">
        <v>10166</v>
      </c>
      <c r="C3505" t="s">
        <v>10167</v>
      </c>
      <c r="D3505" t="s">
        <v>15</v>
      </c>
      <c r="E3505" t="s">
        <v>24</v>
      </c>
      <c r="F3505" t="s">
        <v>29</v>
      </c>
      <c r="G3505" t="s">
        <v>30</v>
      </c>
      <c r="H3505" t="s">
        <v>19</v>
      </c>
      <c r="I3505">
        <v>5</v>
      </c>
      <c r="J3505">
        <v>8</v>
      </c>
      <c r="K3505">
        <v>3.87</v>
      </c>
      <c r="L3505">
        <v>1</v>
      </c>
    </row>
    <row r="3506" spans="1:12">
      <c r="A3506" t="s">
        <v>10168</v>
      </c>
      <c r="B3506" t="s">
        <v>10169</v>
      </c>
      <c r="C3506" t="s">
        <v>10170</v>
      </c>
      <c r="D3506" t="s">
        <v>15</v>
      </c>
      <c r="E3506" t="s">
        <v>16</v>
      </c>
      <c r="F3506" t="s">
        <v>29</v>
      </c>
      <c r="G3506" t="s">
        <v>77</v>
      </c>
      <c r="H3506" t="s">
        <v>31</v>
      </c>
      <c r="I3506">
        <v>5</v>
      </c>
      <c r="J3506">
        <v>8</v>
      </c>
      <c r="K3506">
        <v>2.58</v>
      </c>
      <c r="L3506">
        <v>1</v>
      </c>
    </row>
    <row r="3507" spans="1:12">
      <c r="A3507" t="s">
        <v>10171</v>
      </c>
      <c r="B3507" t="s">
        <v>10172</v>
      </c>
      <c r="C3507" t="s">
        <v>10173</v>
      </c>
      <c r="D3507" t="s">
        <v>23</v>
      </c>
      <c r="E3507" t="s">
        <v>16</v>
      </c>
      <c r="F3507" t="s">
        <v>60</v>
      </c>
      <c r="G3507" t="s">
        <v>30</v>
      </c>
      <c r="H3507" t="s">
        <v>19</v>
      </c>
      <c r="I3507">
        <v>5</v>
      </c>
      <c r="J3507">
        <v>24</v>
      </c>
      <c r="K3507">
        <v>11.2</v>
      </c>
      <c r="L3507">
        <v>1</v>
      </c>
    </row>
    <row r="3508" spans="1:12">
      <c r="A3508" t="s">
        <v>10174</v>
      </c>
      <c r="B3508" t="s">
        <v>10175</v>
      </c>
      <c r="C3508" t="s">
        <v>10176</v>
      </c>
      <c r="D3508" t="s">
        <v>15</v>
      </c>
      <c r="E3508" t="s">
        <v>24</v>
      </c>
      <c r="F3508" t="s">
        <v>60</v>
      </c>
      <c r="G3508" t="s">
        <v>73</v>
      </c>
      <c r="H3508" t="s">
        <v>19</v>
      </c>
      <c r="I3508">
        <v>4</v>
      </c>
      <c r="J3508">
        <v>8</v>
      </c>
      <c r="K3508">
        <v>6.04</v>
      </c>
      <c r="L3508">
        <v>1</v>
      </c>
    </row>
    <row r="3509" spans="1:12">
      <c r="A3509" t="s">
        <v>10177</v>
      </c>
      <c r="B3509" t="s">
        <v>10178</v>
      </c>
      <c r="C3509" t="s">
        <v>10179</v>
      </c>
      <c r="D3509" t="s">
        <v>158</v>
      </c>
      <c r="E3509" t="s">
        <v>54</v>
      </c>
      <c r="F3509" t="s">
        <v>17</v>
      </c>
      <c r="G3509" t="s">
        <v>37</v>
      </c>
      <c r="H3509" t="s">
        <v>19</v>
      </c>
      <c r="I3509">
        <v>4</v>
      </c>
      <c r="J3509">
        <v>4</v>
      </c>
      <c r="K3509">
        <v>1.73</v>
      </c>
      <c r="L3509">
        <v>1</v>
      </c>
    </row>
    <row r="3510" spans="1:12">
      <c r="A3510" t="s">
        <v>10180</v>
      </c>
      <c r="B3510" t="s">
        <v>10181</v>
      </c>
      <c r="C3510" t="s">
        <v>10182</v>
      </c>
      <c r="D3510" t="s">
        <v>35</v>
      </c>
      <c r="E3510" t="s">
        <v>16</v>
      </c>
      <c r="F3510" t="s">
        <v>29</v>
      </c>
      <c r="G3510" t="s">
        <v>45</v>
      </c>
      <c r="H3510" t="s">
        <v>19</v>
      </c>
      <c r="I3510">
        <v>5</v>
      </c>
      <c r="J3510">
        <v>48</v>
      </c>
      <c r="K3510">
        <v>11.33</v>
      </c>
      <c r="L3510">
        <v>1</v>
      </c>
    </row>
    <row r="3511" spans="1:12">
      <c r="A3511" t="s">
        <v>10183</v>
      </c>
      <c r="B3511" t="s">
        <v>10184</v>
      </c>
      <c r="C3511" t="s">
        <v>10185</v>
      </c>
      <c r="D3511" t="s">
        <v>23</v>
      </c>
      <c r="E3511" t="s">
        <v>28</v>
      </c>
      <c r="F3511" t="s">
        <v>60</v>
      </c>
      <c r="G3511" t="s">
        <v>37</v>
      </c>
      <c r="H3511" t="s">
        <v>19</v>
      </c>
      <c r="I3511">
        <v>4</v>
      </c>
      <c r="J3511">
        <v>24</v>
      </c>
      <c r="K3511">
        <v>20.11</v>
      </c>
      <c r="L3511">
        <v>1</v>
      </c>
    </row>
    <row r="3512" spans="1:12">
      <c r="A3512" t="s">
        <v>10186</v>
      </c>
      <c r="B3512" t="s">
        <v>10187</v>
      </c>
      <c r="D3512" t="s">
        <v>15</v>
      </c>
      <c r="E3512" t="s">
        <v>24</v>
      </c>
      <c r="F3512" t="s">
        <v>36</v>
      </c>
      <c r="G3512" t="s">
        <v>42</v>
      </c>
      <c r="H3512" t="s">
        <v>63</v>
      </c>
      <c r="J3512">
        <v>8</v>
      </c>
    </row>
    <row r="3513" spans="1:12">
      <c r="A3513" t="s">
        <v>10188</v>
      </c>
      <c r="B3513" t="s">
        <v>10189</v>
      </c>
      <c r="C3513" t="s">
        <v>10190</v>
      </c>
      <c r="D3513" t="s">
        <v>23</v>
      </c>
      <c r="E3513" t="s">
        <v>28</v>
      </c>
      <c r="F3513" t="s">
        <v>41</v>
      </c>
      <c r="G3513" t="s">
        <v>151</v>
      </c>
      <c r="H3513" t="s">
        <v>31</v>
      </c>
      <c r="I3513">
        <v>4</v>
      </c>
      <c r="J3513">
        <v>24</v>
      </c>
      <c r="K3513">
        <v>7.78</v>
      </c>
      <c r="L3513">
        <v>1</v>
      </c>
    </row>
    <row r="3514" spans="1:12">
      <c r="A3514" t="s">
        <v>10191</v>
      </c>
      <c r="B3514" t="s">
        <v>10192</v>
      </c>
      <c r="C3514" t="s">
        <v>10193</v>
      </c>
      <c r="D3514" t="s">
        <v>15</v>
      </c>
      <c r="E3514" t="s">
        <v>54</v>
      </c>
      <c r="F3514" t="s">
        <v>36</v>
      </c>
      <c r="G3514" t="s">
        <v>37</v>
      </c>
      <c r="H3514" t="s">
        <v>19</v>
      </c>
      <c r="I3514">
        <v>5</v>
      </c>
      <c r="J3514">
        <v>8</v>
      </c>
      <c r="K3514">
        <v>7.13</v>
      </c>
      <c r="L3514">
        <v>1</v>
      </c>
    </row>
    <row r="3515" spans="1:12">
      <c r="A3515" t="s">
        <v>10194</v>
      </c>
      <c r="B3515" t="s">
        <v>10195</v>
      </c>
      <c r="C3515" t="s">
        <v>10196</v>
      </c>
      <c r="D3515" t="s">
        <v>23</v>
      </c>
      <c r="E3515" t="s">
        <v>16</v>
      </c>
      <c r="F3515" t="s">
        <v>36</v>
      </c>
      <c r="G3515" t="s">
        <v>42</v>
      </c>
      <c r="H3515" t="s">
        <v>31</v>
      </c>
      <c r="I3515">
        <v>5</v>
      </c>
      <c r="J3515">
        <v>24</v>
      </c>
      <c r="K3515">
        <v>14.96</v>
      </c>
      <c r="L3515">
        <v>1</v>
      </c>
    </row>
    <row r="3516" spans="1:12">
      <c r="A3516" t="s">
        <v>10197</v>
      </c>
      <c r="B3516" t="s">
        <v>10198</v>
      </c>
      <c r="C3516" t="s">
        <v>10199</v>
      </c>
      <c r="D3516" t="s">
        <v>35</v>
      </c>
      <c r="E3516" t="s">
        <v>59</v>
      </c>
      <c r="F3516" t="s">
        <v>60</v>
      </c>
      <c r="G3516" t="s">
        <v>73</v>
      </c>
      <c r="H3516" t="s">
        <v>31</v>
      </c>
      <c r="I3516">
        <v>5</v>
      </c>
      <c r="J3516">
        <v>48</v>
      </c>
      <c r="K3516">
        <v>21.5</v>
      </c>
      <c r="L3516">
        <v>1</v>
      </c>
    </row>
    <row r="3517" spans="1:12">
      <c r="A3517" t="s">
        <v>10200</v>
      </c>
      <c r="B3517" t="s">
        <v>10201</v>
      </c>
      <c r="D3517" t="s">
        <v>15</v>
      </c>
      <c r="E3517" t="s">
        <v>24</v>
      </c>
      <c r="F3517" t="s">
        <v>36</v>
      </c>
      <c r="G3517" t="s">
        <v>18</v>
      </c>
      <c r="H3517" t="s">
        <v>63</v>
      </c>
      <c r="J3517">
        <v>8</v>
      </c>
    </row>
    <row r="3518" spans="1:12">
      <c r="A3518" t="s">
        <v>10202</v>
      </c>
      <c r="B3518" t="s">
        <v>10203</v>
      </c>
      <c r="C3518" t="s">
        <v>10204</v>
      </c>
      <c r="D3518" t="s">
        <v>15</v>
      </c>
      <c r="E3518" t="s">
        <v>16</v>
      </c>
      <c r="F3518" t="s">
        <v>60</v>
      </c>
      <c r="G3518" t="s">
        <v>151</v>
      </c>
      <c r="H3518" t="s">
        <v>19</v>
      </c>
      <c r="I3518">
        <v>5</v>
      </c>
      <c r="J3518">
        <v>8</v>
      </c>
      <c r="K3518">
        <v>7.49</v>
      </c>
      <c r="L3518">
        <v>1</v>
      </c>
    </row>
    <row r="3519" spans="1:12">
      <c r="A3519" t="s">
        <v>10205</v>
      </c>
      <c r="B3519" t="s">
        <v>10206</v>
      </c>
      <c r="C3519" t="s">
        <v>10207</v>
      </c>
      <c r="D3519" t="s">
        <v>23</v>
      </c>
      <c r="E3519" t="s">
        <v>24</v>
      </c>
      <c r="F3519" t="s">
        <v>36</v>
      </c>
      <c r="G3519" t="s">
        <v>50</v>
      </c>
      <c r="H3519" t="s">
        <v>31</v>
      </c>
      <c r="I3519">
        <v>4</v>
      </c>
      <c r="J3519">
        <v>24</v>
      </c>
      <c r="K3519">
        <v>8.7200000000000006</v>
      </c>
      <c r="L3519">
        <v>1</v>
      </c>
    </row>
    <row r="3520" spans="1:12">
      <c r="A3520" t="s">
        <v>10208</v>
      </c>
      <c r="B3520" t="s">
        <v>10209</v>
      </c>
      <c r="C3520" t="s">
        <v>10210</v>
      </c>
      <c r="D3520" t="s">
        <v>23</v>
      </c>
      <c r="E3520" t="s">
        <v>24</v>
      </c>
      <c r="F3520" t="s">
        <v>29</v>
      </c>
      <c r="G3520" t="s">
        <v>30</v>
      </c>
      <c r="H3520" t="s">
        <v>31</v>
      </c>
      <c r="I3520">
        <v>1</v>
      </c>
      <c r="J3520">
        <v>24</v>
      </c>
      <c r="K3520">
        <v>46.41</v>
      </c>
      <c r="L3520">
        <v>0</v>
      </c>
    </row>
    <row r="3521" spans="1:12">
      <c r="A3521" t="s">
        <v>10211</v>
      </c>
      <c r="B3521" t="s">
        <v>10212</v>
      </c>
      <c r="C3521" t="s">
        <v>10213</v>
      </c>
      <c r="D3521" t="s">
        <v>23</v>
      </c>
      <c r="E3521" t="s">
        <v>28</v>
      </c>
      <c r="F3521" t="s">
        <v>36</v>
      </c>
      <c r="G3521" t="s">
        <v>30</v>
      </c>
      <c r="H3521" t="s">
        <v>19</v>
      </c>
      <c r="I3521">
        <v>5</v>
      </c>
      <c r="J3521">
        <v>24</v>
      </c>
      <c r="K3521">
        <v>18.87</v>
      </c>
      <c r="L3521">
        <v>1</v>
      </c>
    </row>
    <row r="3522" spans="1:12">
      <c r="A3522" t="s">
        <v>10214</v>
      </c>
      <c r="B3522" t="s">
        <v>10215</v>
      </c>
      <c r="C3522" t="s">
        <v>10216</v>
      </c>
      <c r="D3522" t="s">
        <v>15</v>
      </c>
      <c r="E3522" t="s">
        <v>28</v>
      </c>
      <c r="F3522" t="s">
        <v>17</v>
      </c>
      <c r="G3522" t="s">
        <v>50</v>
      </c>
      <c r="H3522" t="s">
        <v>19</v>
      </c>
      <c r="I3522">
        <v>3</v>
      </c>
      <c r="J3522">
        <v>8</v>
      </c>
      <c r="K3522">
        <v>17.75</v>
      </c>
      <c r="L3522">
        <v>0</v>
      </c>
    </row>
    <row r="3523" spans="1:12">
      <c r="A3523" t="s">
        <v>10217</v>
      </c>
      <c r="B3523" t="s">
        <v>10218</v>
      </c>
      <c r="C3523" t="s">
        <v>10219</v>
      </c>
      <c r="D3523" t="s">
        <v>23</v>
      </c>
      <c r="E3523" t="s">
        <v>24</v>
      </c>
      <c r="F3523" t="s">
        <v>17</v>
      </c>
      <c r="G3523" t="s">
        <v>50</v>
      </c>
      <c r="H3523" t="s">
        <v>19</v>
      </c>
      <c r="I3523">
        <v>5</v>
      </c>
      <c r="J3523">
        <v>24</v>
      </c>
      <c r="K3523">
        <v>14.24</v>
      </c>
      <c r="L3523">
        <v>1</v>
      </c>
    </row>
    <row r="3524" spans="1:12">
      <c r="A3524" t="s">
        <v>10220</v>
      </c>
      <c r="B3524" t="s">
        <v>10221</v>
      </c>
      <c r="C3524" t="s">
        <v>10222</v>
      </c>
      <c r="D3524" t="s">
        <v>23</v>
      </c>
      <c r="E3524" t="s">
        <v>54</v>
      </c>
      <c r="F3524" t="s">
        <v>17</v>
      </c>
      <c r="G3524" t="s">
        <v>18</v>
      </c>
      <c r="H3524" t="s">
        <v>31</v>
      </c>
      <c r="I3524">
        <v>5</v>
      </c>
      <c r="J3524">
        <v>24</v>
      </c>
      <c r="K3524">
        <v>10.42</v>
      </c>
      <c r="L3524">
        <v>1</v>
      </c>
    </row>
    <row r="3525" spans="1:12">
      <c r="A3525" t="s">
        <v>10223</v>
      </c>
      <c r="B3525" t="s">
        <v>10224</v>
      </c>
      <c r="C3525" t="s">
        <v>10225</v>
      </c>
      <c r="D3525" t="s">
        <v>15</v>
      </c>
      <c r="E3525" t="s">
        <v>28</v>
      </c>
      <c r="F3525" t="s">
        <v>41</v>
      </c>
      <c r="G3525" t="s">
        <v>45</v>
      </c>
      <c r="H3525" t="s">
        <v>19</v>
      </c>
      <c r="I3525">
        <v>1</v>
      </c>
      <c r="J3525">
        <v>8</v>
      </c>
      <c r="K3525">
        <v>8.66</v>
      </c>
      <c r="L3525">
        <v>0</v>
      </c>
    </row>
    <row r="3526" spans="1:12">
      <c r="A3526" t="s">
        <v>10226</v>
      </c>
      <c r="B3526" t="s">
        <v>10227</v>
      </c>
      <c r="C3526" t="s">
        <v>10228</v>
      </c>
      <c r="D3526" t="s">
        <v>35</v>
      </c>
      <c r="E3526" t="s">
        <v>28</v>
      </c>
      <c r="F3526" t="s">
        <v>36</v>
      </c>
      <c r="G3526" t="s">
        <v>105</v>
      </c>
      <c r="H3526" t="s">
        <v>31</v>
      </c>
      <c r="I3526">
        <v>5</v>
      </c>
      <c r="J3526">
        <v>48</v>
      </c>
      <c r="K3526">
        <v>24.75</v>
      </c>
      <c r="L3526">
        <v>1</v>
      </c>
    </row>
    <row r="3527" spans="1:12">
      <c r="A3527" t="s">
        <v>10229</v>
      </c>
      <c r="B3527" t="s">
        <v>10230</v>
      </c>
      <c r="D3527" t="s">
        <v>158</v>
      </c>
      <c r="E3527" t="s">
        <v>16</v>
      </c>
      <c r="F3527" t="s">
        <v>36</v>
      </c>
      <c r="G3527" t="s">
        <v>30</v>
      </c>
      <c r="H3527" t="s">
        <v>46</v>
      </c>
      <c r="J3527">
        <v>4</v>
      </c>
    </row>
    <row r="3528" spans="1:12">
      <c r="A3528" t="s">
        <v>10231</v>
      </c>
      <c r="B3528" t="s">
        <v>10232</v>
      </c>
      <c r="C3528" t="s">
        <v>10233</v>
      </c>
      <c r="D3528" t="s">
        <v>23</v>
      </c>
      <c r="E3528" t="s">
        <v>28</v>
      </c>
      <c r="F3528" t="s">
        <v>41</v>
      </c>
      <c r="G3528" t="s">
        <v>42</v>
      </c>
      <c r="H3528" t="s">
        <v>19</v>
      </c>
      <c r="I3528">
        <v>5</v>
      </c>
      <c r="J3528">
        <v>24</v>
      </c>
      <c r="K3528">
        <v>3.16</v>
      </c>
      <c r="L3528">
        <v>1</v>
      </c>
    </row>
    <row r="3529" spans="1:12">
      <c r="A3529" t="s">
        <v>10234</v>
      </c>
      <c r="B3529" t="s">
        <v>10235</v>
      </c>
      <c r="C3529" t="s">
        <v>10236</v>
      </c>
      <c r="D3529" t="s">
        <v>158</v>
      </c>
      <c r="E3529" t="s">
        <v>28</v>
      </c>
      <c r="F3529" t="s">
        <v>60</v>
      </c>
      <c r="G3529" t="s">
        <v>37</v>
      </c>
      <c r="H3529" t="s">
        <v>19</v>
      </c>
      <c r="I3529">
        <v>5</v>
      </c>
      <c r="J3529">
        <v>4</v>
      </c>
      <c r="K3529">
        <v>2.31</v>
      </c>
      <c r="L3529">
        <v>1</v>
      </c>
    </row>
    <row r="3530" spans="1:12">
      <c r="A3530" t="s">
        <v>10237</v>
      </c>
      <c r="B3530" t="s">
        <v>10238</v>
      </c>
      <c r="C3530" t="s">
        <v>10239</v>
      </c>
      <c r="D3530" t="s">
        <v>23</v>
      </c>
      <c r="E3530" t="s">
        <v>28</v>
      </c>
      <c r="F3530" t="s">
        <v>29</v>
      </c>
      <c r="G3530" t="s">
        <v>77</v>
      </c>
      <c r="H3530" t="s">
        <v>19</v>
      </c>
      <c r="I3530">
        <v>5</v>
      </c>
      <c r="J3530">
        <v>24</v>
      </c>
      <c r="K3530">
        <v>2.65</v>
      </c>
      <c r="L3530">
        <v>1</v>
      </c>
    </row>
    <row r="3531" spans="1:12">
      <c r="A3531" t="s">
        <v>10240</v>
      </c>
      <c r="B3531" t="s">
        <v>10241</v>
      </c>
      <c r="C3531" t="s">
        <v>10242</v>
      </c>
      <c r="D3531" t="s">
        <v>35</v>
      </c>
      <c r="E3531" t="s">
        <v>24</v>
      </c>
      <c r="F3531" t="s">
        <v>36</v>
      </c>
      <c r="G3531" t="s">
        <v>50</v>
      </c>
      <c r="H3531" t="s">
        <v>31</v>
      </c>
      <c r="I3531">
        <v>4</v>
      </c>
      <c r="J3531">
        <v>48</v>
      </c>
      <c r="K3531">
        <v>7.73</v>
      </c>
      <c r="L3531">
        <v>1</v>
      </c>
    </row>
    <row r="3532" spans="1:12">
      <c r="A3532" t="s">
        <v>10243</v>
      </c>
      <c r="B3532" t="s">
        <v>10244</v>
      </c>
      <c r="D3532" t="s">
        <v>35</v>
      </c>
      <c r="E3532" t="s">
        <v>54</v>
      </c>
      <c r="F3532" t="s">
        <v>29</v>
      </c>
      <c r="G3532" t="s">
        <v>55</v>
      </c>
      <c r="H3532" t="s">
        <v>63</v>
      </c>
      <c r="J3532">
        <v>48</v>
      </c>
    </row>
    <row r="3533" spans="1:12">
      <c r="A3533" t="s">
        <v>10245</v>
      </c>
      <c r="B3533" t="s">
        <v>10246</v>
      </c>
      <c r="C3533" t="s">
        <v>10247</v>
      </c>
      <c r="D3533" t="s">
        <v>15</v>
      </c>
      <c r="E3533" t="s">
        <v>28</v>
      </c>
      <c r="F3533" t="s">
        <v>36</v>
      </c>
      <c r="G3533" t="s">
        <v>50</v>
      </c>
      <c r="H3533" t="s">
        <v>19</v>
      </c>
      <c r="I3533">
        <v>4</v>
      </c>
      <c r="J3533">
        <v>8</v>
      </c>
      <c r="K3533">
        <v>6.82</v>
      </c>
      <c r="L3533">
        <v>1</v>
      </c>
    </row>
    <row r="3534" spans="1:12">
      <c r="A3534" t="s">
        <v>10248</v>
      </c>
      <c r="B3534" t="s">
        <v>10249</v>
      </c>
      <c r="C3534" t="s">
        <v>10250</v>
      </c>
      <c r="D3534" t="s">
        <v>23</v>
      </c>
      <c r="E3534" t="s">
        <v>28</v>
      </c>
      <c r="F3534" t="s">
        <v>36</v>
      </c>
      <c r="G3534" t="s">
        <v>30</v>
      </c>
      <c r="H3534" t="s">
        <v>19</v>
      </c>
      <c r="I3534">
        <v>4</v>
      </c>
      <c r="J3534">
        <v>24</v>
      </c>
      <c r="K3534">
        <v>21.21</v>
      </c>
      <c r="L3534">
        <v>1</v>
      </c>
    </row>
    <row r="3535" spans="1:12">
      <c r="A3535" t="s">
        <v>10251</v>
      </c>
      <c r="B3535" t="s">
        <v>10252</v>
      </c>
      <c r="C3535" t="s">
        <v>10253</v>
      </c>
      <c r="D3535" t="s">
        <v>158</v>
      </c>
      <c r="E3535" t="s">
        <v>59</v>
      </c>
      <c r="F3535" t="s">
        <v>29</v>
      </c>
      <c r="G3535" t="s">
        <v>172</v>
      </c>
      <c r="H3535" t="s">
        <v>31</v>
      </c>
      <c r="I3535">
        <v>4</v>
      </c>
      <c r="J3535">
        <v>4</v>
      </c>
      <c r="K3535">
        <v>1.35</v>
      </c>
      <c r="L3535">
        <v>1</v>
      </c>
    </row>
    <row r="3536" spans="1:12">
      <c r="A3536" t="s">
        <v>10254</v>
      </c>
      <c r="B3536" t="s">
        <v>10255</v>
      </c>
      <c r="C3536" t="s">
        <v>10256</v>
      </c>
      <c r="D3536" t="s">
        <v>23</v>
      </c>
      <c r="E3536" t="s">
        <v>28</v>
      </c>
      <c r="F3536" t="s">
        <v>60</v>
      </c>
      <c r="G3536" t="s">
        <v>105</v>
      </c>
      <c r="H3536" t="s">
        <v>19</v>
      </c>
      <c r="I3536">
        <v>5</v>
      </c>
      <c r="J3536">
        <v>24</v>
      </c>
      <c r="K3536">
        <v>9.39</v>
      </c>
      <c r="L3536">
        <v>1</v>
      </c>
    </row>
    <row r="3537" spans="1:12">
      <c r="A3537" t="s">
        <v>10257</v>
      </c>
      <c r="B3537" t="s">
        <v>10258</v>
      </c>
      <c r="C3537" t="s">
        <v>10259</v>
      </c>
      <c r="D3537" t="s">
        <v>23</v>
      </c>
      <c r="E3537" t="s">
        <v>28</v>
      </c>
      <c r="F3537" t="s">
        <v>36</v>
      </c>
      <c r="G3537" t="s">
        <v>18</v>
      </c>
      <c r="H3537" t="s">
        <v>31</v>
      </c>
      <c r="I3537">
        <v>5</v>
      </c>
      <c r="J3537">
        <v>24</v>
      </c>
      <c r="K3537">
        <v>20.9</v>
      </c>
      <c r="L3537">
        <v>1</v>
      </c>
    </row>
    <row r="3538" spans="1:12">
      <c r="A3538" t="s">
        <v>10260</v>
      </c>
      <c r="B3538" t="s">
        <v>10261</v>
      </c>
      <c r="C3538" t="s">
        <v>10262</v>
      </c>
      <c r="D3538" t="s">
        <v>158</v>
      </c>
      <c r="E3538" t="s">
        <v>54</v>
      </c>
      <c r="F3538" t="s">
        <v>60</v>
      </c>
      <c r="G3538" t="s">
        <v>55</v>
      </c>
      <c r="H3538" t="s">
        <v>19</v>
      </c>
      <c r="I3538">
        <v>4</v>
      </c>
      <c r="J3538">
        <v>4</v>
      </c>
      <c r="K3538">
        <v>3.73</v>
      </c>
      <c r="L3538">
        <v>1</v>
      </c>
    </row>
    <row r="3539" spans="1:12">
      <c r="A3539" t="s">
        <v>10263</v>
      </c>
      <c r="B3539" t="s">
        <v>10264</v>
      </c>
      <c r="C3539" t="s">
        <v>10265</v>
      </c>
      <c r="D3539" t="s">
        <v>23</v>
      </c>
      <c r="E3539" t="s">
        <v>59</v>
      </c>
      <c r="F3539" t="s">
        <v>60</v>
      </c>
      <c r="G3539" t="s">
        <v>50</v>
      </c>
      <c r="H3539" t="s">
        <v>31</v>
      </c>
      <c r="I3539">
        <v>4</v>
      </c>
      <c r="J3539">
        <v>24</v>
      </c>
      <c r="K3539">
        <v>4.5199999999999996</v>
      </c>
      <c r="L3539">
        <v>1</v>
      </c>
    </row>
    <row r="3540" spans="1:12">
      <c r="A3540" t="s">
        <v>10266</v>
      </c>
      <c r="B3540" t="s">
        <v>10267</v>
      </c>
      <c r="C3540" t="s">
        <v>10268</v>
      </c>
      <c r="D3540" t="s">
        <v>35</v>
      </c>
      <c r="E3540" t="s">
        <v>16</v>
      </c>
      <c r="F3540" t="s">
        <v>17</v>
      </c>
      <c r="G3540" t="s">
        <v>45</v>
      </c>
      <c r="H3540" t="s">
        <v>19</v>
      </c>
      <c r="I3540">
        <v>5</v>
      </c>
      <c r="J3540">
        <v>48</v>
      </c>
      <c r="K3540">
        <v>11.01</v>
      </c>
      <c r="L3540">
        <v>1</v>
      </c>
    </row>
    <row r="3541" spans="1:12">
      <c r="A3541" t="s">
        <v>10269</v>
      </c>
      <c r="B3541" t="s">
        <v>10270</v>
      </c>
      <c r="C3541" t="s">
        <v>10271</v>
      </c>
      <c r="D3541" t="s">
        <v>23</v>
      </c>
      <c r="E3541" t="s">
        <v>54</v>
      </c>
      <c r="F3541" t="s">
        <v>29</v>
      </c>
      <c r="G3541" t="s">
        <v>77</v>
      </c>
      <c r="H3541" t="s">
        <v>19</v>
      </c>
      <c r="I3541">
        <v>5</v>
      </c>
      <c r="J3541">
        <v>24</v>
      </c>
      <c r="K3541">
        <v>15.89</v>
      </c>
      <c r="L3541">
        <v>1</v>
      </c>
    </row>
    <row r="3542" spans="1:12">
      <c r="A3542" t="s">
        <v>10272</v>
      </c>
      <c r="B3542" t="s">
        <v>10273</v>
      </c>
      <c r="C3542" t="s">
        <v>10274</v>
      </c>
      <c r="D3542" t="s">
        <v>35</v>
      </c>
      <c r="E3542" t="s">
        <v>54</v>
      </c>
      <c r="F3542" t="s">
        <v>41</v>
      </c>
      <c r="G3542" t="s">
        <v>77</v>
      </c>
      <c r="H3542" t="s">
        <v>19</v>
      </c>
      <c r="I3542">
        <v>5</v>
      </c>
      <c r="J3542">
        <v>48</v>
      </c>
      <c r="K3542">
        <v>33.409999999999997</v>
      </c>
      <c r="L3542">
        <v>1</v>
      </c>
    </row>
    <row r="3543" spans="1:12">
      <c r="A3543" t="s">
        <v>10275</v>
      </c>
      <c r="B3543" t="s">
        <v>10276</v>
      </c>
      <c r="D3543" t="s">
        <v>15</v>
      </c>
      <c r="E3543" t="s">
        <v>28</v>
      </c>
      <c r="F3543" t="s">
        <v>36</v>
      </c>
      <c r="G3543" t="s">
        <v>50</v>
      </c>
      <c r="H3543" t="s">
        <v>63</v>
      </c>
      <c r="J3543">
        <v>8</v>
      </c>
    </row>
    <row r="3544" spans="1:12">
      <c r="A3544" t="s">
        <v>10277</v>
      </c>
      <c r="B3544" t="s">
        <v>10278</v>
      </c>
      <c r="C3544" t="s">
        <v>10279</v>
      </c>
      <c r="D3544" t="s">
        <v>23</v>
      </c>
      <c r="E3544" t="s">
        <v>24</v>
      </c>
      <c r="F3544" t="s">
        <v>36</v>
      </c>
      <c r="G3544" t="s">
        <v>172</v>
      </c>
      <c r="H3544" t="s">
        <v>19</v>
      </c>
      <c r="I3544">
        <v>4</v>
      </c>
      <c r="J3544">
        <v>24</v>
      </c>
      <c r="K3544">
        <v>12.14</v>
      </c>
      <c r="L3544">
        <v>1</v>
      </c>
    </row>
    <row r="3545" spans="1:12">
      <c r="A3545" t="s">
        <v>10280</v>
      </c>
      <c r="B3545" t="s">
        <v>10281</v>
      </c>
      <c r="C3545" t="s">
        <v>10282</v>
      </c>
      <c r="D3545" t="s">
        <v>23</v>
      </c>
      <c r="E3545" t="s">
        <v>28</v>
      </c>
      <c r="F3545" t="s">
        <v>36</v>
      </c>
      <c r="G3545" t="s">
        <v>37</v>
      </c>
      <c r="H3545" t="s">
        <v>19</v>
      </c>
      <c r="I3545">
        <v>5</v>
      </c>
      <c r="J3545">
        <v>24</v>
      </c>
      <c r="K3545">
        <v>18</v>
      </c>
      <c r="L3545">
        <v>1</v>
      </c>
    </row>
    <row r="3546" spans="1:12">
      <c r="A3546" t="s">
        <v>10283</v>
      </c>
      <c r="B3546" t="s">
        <v>10284</v>
      </c>
      <c r="C3546" t="s">
        <v>10285</v>
      </c>
      <c r="D3546" t="s">
        <v>15</v>
      </c>
      <c r="E3546" t="s">
        <v>16</v>
      </c>
      <c r="F3546" t="s">
        <v>29</v>
      </c>
      <c r="G3546" t="s">
        <v>37</v>
      </c>
      <c r="H3546" t="s">
        <v>19</v>
      </c>
      <c r="I3546">
        <v>5</v>
      </c>
      <c r="J3546">
        <v>8</v>
      </c>
      <c r="K3546">
        <v>4.83</v>
      </c>
      <c r="L3546">
        <v>1</v>
      </c>
    </row>
    <row r="3547" spans="1:12">
      <c r="A3547" t="s">
        <v>10286</v>
      </c>
      <c r="B3547" t="s">
        <v>10287</v>
      </c>
      <c r="C3547" t="s">
        <v>10288</v>
      </c>
      <c r="D3547" t="s">
        <v>158</v>
      </c>
      <c r="E3547" t="s">
        <v>59</v>
      </c>
      <c r="F3547" t="s">
        <v>29</v>
      </c>
      <c r="G3547" t="s">
        <v>172</v>
      </c>
      <c r="H3547" t="s">
        <v>19</v>
      </c>
      <c r="I3547">
        <v>3</v>
      </c>
      <c r="J3547">
        <v>4</v>
      </c>
      <c r="K3547">
        <v>6</v>
      </c>
      <c r="L3547">
        <v>0</v>
      </c>
    </row>
    <row r="3548" spans="1:12">
      <c r="A3548" t="s">
        <v>10289</v>
      </c>
      <c r="B3548" t="s">
        <v>10290</v>
      </c>
      <c r="C3548" t="s">
        <v>10291</v>
      </c>
      <c r="D3548" t="s">
        <v>23</v>
      </c>
      <c r="E3548" t="s">
        <v>28</v>
      </c>
      <c r="F3548" t="s">
        <v>36</v>
      </c>
      <c r="G3548" t="s">
        <v>105</v>
      </c>
      <c r="H3548" t="s">
        <v>19</v>
      </c>
      <c r="I3548">
        <v>5</v>
      </c>
      <c r="J3548">
        <v>24</v>
      </c>
      <c r="K3548">
        <v>21.86</v>
      </c>
      <c r="L3548">
        <v>1</v>
      </c>
    </row>
    <row r="3549" spans="1:12">
      <c r="A3549" t="s">
        <v>10292</v>
      </c>
      <c r="B3549" t="s">
        <v>10293</v>
      </c>
      <c r="C3549" t="s">
        <v>10294</v>
      </c>
      <c r="D3549" t="s">
        <v>23</v>
      </c>
      <c r="E3549" t="s">
        <v>24</v>
      </c>
      <c r="F3549" t="s">
        <v>36</v>
      </c>
      <c r="G3549" t="s">
        <v>172</v>
      </c>
      <c r="H3549" t="s">
        <v>19</v>
      </c>
      <c r="I3549">
        <v>1</v>
      </c>
      <c r="J3549">
        <v>24</v>
      </c>
      <c r="K3549">
        <v>43.43</v>
      </c>
      <c r="L3549">
        <v>0</v>
      </c>
    </row>
    <row r="3550" spans="1:12">
      <c r="A3550" t="s">
        <v>10295</v>
      </c>
      <c r="B3550" t="s">
        <v>10296</v>
      </c>
      <c r="C3550" t="s">
        <v>10297</v>
      </c>
      <c r="D3550" t="s">
        <v>23</v>
      </c>
      <c r="E3550" t="s">
        <v>16</v>
      </c>
      <c r="F3550" t="s">
        <v>36</v>
      </c>
      <c r="G3550" t="s">
        <v>151</v>
      </c>
      <c r="H3550" t="s">
        <v>31</v>
      </c>
      <c r="I3550">
        <v>4</v>
      </c>
      <c r="J3550">
        <v>24</v>
      </c>
      <c r="K3550">
        <v>19.09</v>
      </c>
      <c r="L3550">
        <v>1</v>
      </c>
    </row>
    <row r="3551" spans="1:12">
      <c r="A3551" t="s">
        <v>10298</v>
      </c>
      <c r="B3551" t="s">
        <v>10299</v>
      </c>
      <c r="C3551" t="s">
        <v>10300</v>
      </c>
      <c r="D3551" t="s">
        <v>158</v>
      </c>
      <c r="E3551" t="s">
        <v>54</v>
      </c>
      <c r="F3551" t="s">
        <v>17</v>
      </c>
      <c r="G3551" t="s">
        <v>77</v>
      </c>
      <c r="H3551" t="s">
        <v>19</v>
      </c>
      <c r="I3551">
        <v>5</v>
      </c>
      <c r="J3551">
        <v>4</v>
      </c>
      <c r="K3551">
        <v>3.02</v>
      </c>
      <c r="L3551">
        <v>1</v>
      </c>
    </row>
    <row r="3552" spans="1:12">
      <c r="A3552" t="s">
        <v>10301</v>
      </c>
      <c r="B3552" t="s">
        <v>10302</v>
      </c>
      <c r="C3552" t="s">
        <v>10303</v>
      </c>
      <c r="D3552" t="s">
        <v>158</v>
      </c>
      <c r="E3552" t="s">
        <v>59</v>
      </c>
      <c r="F3552" t="s">
        <v>17</v>
      </c>
      <c r="G3552" t="s">
        <v>30</v>
      </c>
      <c r="H3552" t="s">
        <v>19</v>
      </c>
      <c r="I3552">
        <v>5</v>
      </c>
      <c r="J3552">
        <v>4</v>
      </c>
      <c r="K3552">
        <v>2.14</v>
      </c>
      <c r="L3552">
        <v>1</v>
      </c>
    </row>
    <row r="3553" spans="1:12">
      <c r="A3553" t="s">
        <v>10304</v>
      </c>
      <c r="B3553" t="s">
        <v>10305</v>
      </c>
      <c r="C3553" t="s">
        <v>10306</v>
      </c>
      <c r="D3553" t="s">
        <v>23</v>
      </c>
      <c r="E3553" t="s">
        <v>28</v>
      </c>
      <c r="F3553" t="s">
        <v>41</v>
      </c>
      <c r="G3553" t="s">
        <v>55</v>
      </c>
      <c r="H3553" t="s">
        <v>31</v>
      </c>
      <c r="I3553">
        <v>5</v>
      </c>
      <c r="J3553">
        <v>24</v>
      </c>
      <c r="K3553">
        <v>16.41</v>
      </c>
      <c r="L3553">
        <v>1</v>
      </c>
    </row>
    <row r="3554" spans="1:12">
      <c r="A3554" t="s">
        <v>10307</v>
      </c>
      <c r="B3554" t="s">
        <v>10308</v>
      </c>
      <c r="C3554" t="s">
        <v>10309</v>
      </c>
      <c r="D3554" t="s">
        <v>35</v>
      </c>
      <c r="E3554" t="s">
        <v>16</v>
      </c>
      <c r="F3554" t="s">
        <v>41</v>
      </c>
      <c r="G3554" t="s">
        <v>73</v>
      </c>
      <c r="H3554" t="s">
        <v>19</v>
      </c>
      <c r="I3554">
        <v>1</v>
      </c>
      <c r="J3554">
        <v>48</v>
      </c>
      <c r="K3554">
        <v>57.29</v>
      </c>
      <c r="L3554">
        <v>0</v>
      </c>
    </row>
    <row r="3555" spans="1:12">
      <c r="A3555" t="s">
        <v>10310</v>
      </c>
      <c r="B3555" t="s">
        <v>10311</v>
      </c>
      <c r="C3555" t="s">
        <v>10312</v>
      </c>
      <c r="D3555" t="s">
        <v>23</v>
      </c>
      <c r="E3555" t="s">
        <v>28</v>
      </c>
      <c r="F3555" t="s">
        <v>41</v>
      </c>
      <c r="G3555" t="s">
        <v>151</v>
      </c>
      <c r="H3555" t="s">
        <v>19</v>
      </c>
      <c r="I3555">
        <v>4</v>
      </c>
      <c r="J3555">
        <v>24</v>
      </c>
      <c r="K3555">
        <v>65.260000000000005</v>
      </c>
      <c r="L3555">
        <v>0</v>
      </c>
    </row>
    <row r="3556" spans="1:12">
      <c r="A3556" t="s">
        <v>10313</v>
      </c>
      <c r="B3556" t="s">
        <v>10314</v>
      </c>
      <c r="D3556" t="s">
        <v>23</v>
      </c>
      <c r="E3556" t="s">
        <v>24</v>
      </c>
      <c r="F3556" t="s">
        <v>17</v>
      </c>
      <c r="G3556" t="s">
        <v>73</v>
      </c>
      <c r="H3556" t="s">
        <v>46</v>
      </c>
      <c r="J3556">
        <v>24</v>
      </c>
    </row>
    <row r="3557" spans="1:12">
      <c r="A3557" t="s">
        <v>10315</v>
      </c>
      <c r="B3557" t="s">
        <v>10316</v>
      </c>
      <c r="C3557" t="s">
        <v>10317</v>
      </c>
      <c r="D3557" t="s">
        <v>35</v>
      </c>
      <c r="E3557" t="s">
        <v>28</v>
      </c>
      <c r="F3557" t="s">
        <v>17</v>
      </c>
      <c r="G3557" t="s">
        <v>30</v>
      </c>
      <c r="H3557" t="s">
        <v>19</v>
      </c>
      <c r="I3557">
        <v>5</v>
      </c>
      <c r="J3557">
        <v>48</v>
      </c>
      <c r="K3557">
        <v>26.27</v>
      </c>
      <c r="L3557">
        <v>1</v>
      </c>
    </row>
    <row r="3558" spans="1:12">
      <c r="A3558" t="s">
        <v>10318</v>
      </c>
      <c r="B3558" t="s">
        <v>10319</v>
      </c>
      <c r="C3558" t="s">
        <v>10320</v>
      </c>
      <c r="D3558" t="s">
        <v>15</v>
      </c>
      <c r="E3558" t="s">
        <v>28</v>
      </c>
      <c r="F3558" t="s">
        <v>36</v>
      </c>
      <c r="G3558" t="s">
        <v>151</v>
      </c>
      <c r="H3558" t="s">
        <v>31</v>
      </c>
      <c r="I3558">
        <v>1</v>
      </c>
      <c r="J3558">
        <v>8</v>
      </c>
      <c r="K3558">
        <v>11.88</v>
      </c>
      <c r="L3558">
        <v>0</v>
      </c>
    </row>
    <row r="3559" spans="1:12">
      <c r="A3559" t="s">
        <v>10321</v>
      </c>
      <c r="B3559" t="s">
        <v>10322</v>
      </c>
      <c r="C3559" t="s">
        <v>10323</v>
      </c>
      <c r="D3559" t="s">
        <v>23</v>
      </c>
      <c r="E3559" t="s">
        <v>54</v>
      </c>
      <c r="F3559" t="s">
        <v>41</v>
      </c>
      <c r="G3559" t="s">
        <v>55</v>
      </c>
      <c r="H3559" t="s">
        <v>19</v>
      </c>
      <c r="I3559">
        <v>5</v>
      </c>
      <c r="J3559">
        <v>24</v>
      </c>
      <c r="K3559">
        <v>8.86</v>
      </c>
      <c r="L3559">
        <v>1</v>
      </c>
    </row>
    <row r="3560" spans="1:12">
      <c r="A3560" t="s">
        <v>10324</v>
      </c>
      <c r="B3560" t="s">
        <v>10325</v>
      </c>
      <c r="C3560" t="s">
        <v>10326</v>
      </c>
      <c r="D3560" t="s">
        <v>158</v>
      </c>
      <c r="E3560" t="s">
        <v>16</v>
      </c>
      <c r="F3560" t="s">
        <v>41</v>
      </c>
      <c r="G3560" t="s">
        <v>45</v>
      </c>
      <c r="H3560" t="s">
        <v>19</v>
      </c>
      <c r="I3560">
        <v>5</v>
      </c>
      <c r="J3560">
        <v>4</v>
      </c>
      <c r="K3560">
        <v>1.17</v>
      </c>
      <c r="L3560">
        <v>1</v>
      </c>
    </row>
    <row r="3561" spans="1:12">
      <c r="A3561" t="s">
        <v>10327</v>
      </c>
      <c r="B3561" t="s">
        <v>10328</v>
      </c>
      <c r="C3561" t="s">
        <v>10329</v>
      </c>
      <c r="D3561" t="s">
        <v>23</v>
      </c>
      <c r="E3561" t="s">
        <v>16</v>
      </c>
      <c r="F3561" t="s">
        <v>17</v>
      </c>
      <c r="G3561" t="s">
        <v>172</v>
      </c>
      <c r="H3561" t="s">
        <v>19</v>
      </c>
      <c r="I3561">
        <v>3</v>
      </c>
      <c r="J3561">
        <v>24</v>
      </c>
      <c r="K3561">
        <v>32.18</v>
      </c>
      <c r="L3561">
        <v>0</v>
      </c>
    </row>
    <row r="3562" spans="1:12">
      <c r="A3562" t="s">
        <v>10330</v>
      </c>
      <c r="B3562" t="s">
        <v>10331</v>
      </c>
      <c r="C3562" t="s">
        <v>10332</v>
      </c>
      <c r="D3562" t="s">
        <v>23</v>
      </c>
      <c r="E3562" t="s">
        <v>28</v>
      </c>
      <c r="F3562" t="s">
        <v>36</v>
      </c>
      <c r="G3562" t="s">
        <v>73</v>
      </c>
      <c r="H3562" t="s">
        <v>19</v>
      </c>
      <c r="I3562">
        <v>4</v>
      </c>
      <c r="J3562">
        <v>24</v>
      </c>
      <c r="K3562">
        <v>11.81</v>
      </c>
      <c r="L3562">
        <v>1</v>
      </c>
    </row>
    <row r="3563" spans="1:12">
      <c r="A3563" t="s">
        <v>10333</v>
      </c>
      <c r="B3563" t="s">
        <v>10334</v>
      </c>
      <c r="C3563" t="s">
        <v>10335</v>
      </c>
      <c r="D3563" t="s">
        <v>23</v>
      </c>
      <c r="E3563" t="s">
        <v>28</v>
      </c>
      <c r="F3563" t="s">
        <v>17</v>
      </c>
      <c r="G3563" t="s">
        <v>73</v>
      </c>
      <c r="H3563" t="s">
        <v>19</v>
      </c>
      <c r="I3563">
        <v>1</v>
      </c>
      <c r="J3563">
        <v>24</v>
      </c>
      <c r="K3563">
        <v>44.6</v>
      </c>
      <c r="L3563">
        <v>0</v>
      </c>
    </row>
    <row r="3564" spans="1:12">
      <c r="A3564" t="s">
        <v>10336</v>
      </c>
      <c r="B3564" t="s">
        <v>10337</v>
      </c>
      <c r="C3564" t="s">
        <v>10338</v>
      </c>
      <c r="D3564" t="s">
        <v>23</v>
      </c>
      <c r="E3564" t="s">
        <v>28</v>
      </c>
      <c r="F3564" t="s">
        <v>17</v>
      </c>
      <c r="G3564" t="s">
        <v>105</v>
      </c>
      <c r="H3564" t="s">
        <v>31</v>
      </c>
      <c r="I3564">
        <v>4</v>
      </c>
      <c r="J3564">
        <v>24</v>
      </c>
      <c r="K3564">
        <v>17.28</v>
      </c>
      <c r="L3564">
        <v>1</v>
      </c>
    </row>
    <row r="3565" spans="1:12">
      <c r="A3565" t="s">
        <v>10339</v>
      </c>
      <c r="B3565" t="s">
        <v>10340</v>
      </c>
      <c r="C3565" t="s">
        <v>10341</v>
      </c>
      <c r="D3565" t="s">
        <v>35</v>
      </c>
      <c r="E3565" t="s">
        <v>16</v>
      </c>
      <c r="F3565" t="s">
        <v>36</v>
      </c>
      <c r="G3565" t="s">
        <v>45</v>
      </c>
      <c r="H3565" t="s">
        <v>31</v>
      </c>
      <c r="I3565">
        <v>4</v>
      </c>
      <c r="J3565">
        <v>48</v>
      </c>
      <c r="K3565">
        <v>6.69</v>
      </c>
      <c r="L3565">
        <v>1</v>
      </c>
    </row>
    <row r="3566" spans="1:12">
      <c r="A3566" t="s">
        <v>10342</v>
      </c>
      <c r="B3566" t="s">
        <v>10343</v>
      </c>
      <c r="C3566" t="s">
        <v>10344</v>
      </c>
      <c r="D3566" t="s">
        <v>23</v>
      </c>
      <c r="E3566" t="s">
        <v>24</v>
      </c>
      <c r="F3566" t="s">
        <v>60</v>
      </c>
      <c r="G3566" t="s">
        <v>50</v>
      </c>
      <c r="H3566" t="s">
        <v>19</v>
      </c>
      <c r="I3566">
        <v>2</v>
      </c>
      <c r="J3566">
        <v>24</v>
      </c>
      <c r="K3566">
        <v>40.049999999999997</v>
      </c>
      <c r="L3566">
        <v>0</v>
      </c>
    </row>
    <row r="3567" spans="1:12">
      <c r="A3567" t="s">
        <v>10345</v>
      </c>
      <c r="B3567" t="s">
        <v>10346</v>
      </c>
      <c r="C3567" t="s">
        <v>10347</v>
      </c>
      <c r="D3567" t="s">
        <v>23</v>
      </c>
      <c r="E3567" t="s">
        <v>54</v>
      </c>
      <c r="F3567" t="s">
        <v>41</v>
      </c>
      <c r="G3567" t="s">
        <v>105</v>
      </c>
      <c r="H3567" t="s">
        <v>31</v>
      </c>
      <c r="I3567">
        <v>5</v>
      </c>
      <c r="J3567">
        <v>24</v>
      </c>
      <c r="K3567">
        <v>13.22</v>
      </c>
      <c r="L3567">
        <v>1</v>
      </c>
    </row>
    <row r="3568" spans="1:12">
      <c r="A3568" t="s">
        <v>10348</v>
      </c>
      <c r="B3568" t="s">
        <v>10349</v>
      </c>
      <c r="C3568" t="s">
        <v>10350</v>
      </c>
      <c r="D3568" t="s">
        <v>15</v>
      </c>
      <c r="E3568" t="s">
        <v>28</v>
      </c>
      <c r="F3568" t="s">
        <v>36</v>
      </c>
      <c r="G3568" t="s">
        <v>105</v>
      </c>
      <c r="H3568" t="s">
        <v>19</v>
      </c>
      <c r="I3568">
        <v>4</v>
      </c>
      <c r="J3568">
        <v>8</v>
      </c>
      <c r="K3568">
        <v>2.61</v>
      </c>
      <c r="L3568">
        <v>1</v>
      </c>
    </row>
    <row r="3569" spans="1:12">
      <c r="A3569" t="s">
        <v>10351</v>
      </c>
      <c r="B3569" t="s">
        <v>10352</v>
      </c>
      <c r="D3569" t="s">
        <v>23</v>
      </c>
      <c r="E3569" t="s">
        <v>24</v>
      </c>
      <c r="F3569" t="s">
        <v>17</v>
      </c>
      <c r="G3569" t="s">
        <v>105</v>
      </c>
      <c r="H3569" t="s">
        <v>46</v>
      </c>
      <c r="J3569">
        <v>24</v>
      </c>
    </row>
    <row r="3570" spans="1:12">
      <c r="A3570" t="s">
        <v>10353</v>
      </c>
      <c r="B3570" t="s">
        <v>10354</v>
      </c>
      <c r="C3570" t="s">
        <v>10355</v>
      </c>
      <c r="D3570" t="s">
        <v>23</v>
      </c>
      <c r="E3570" t="s">
        <v>28</v>
      </c>
      <c r="F3570" t="s">
        <v>17</v>
      </c>
      <c r="G3570" t="s">
        <v>172</v>
      </c>
      <c r="H3570" t="s">
        <v>19</v>
      </c>
      <c r="I3570">
        <v>4</v>
      </c>
      <c r="J3570">
        <v>24</v>
      </c>
      <c r="K3570">
        <v>18.64</v>
      </c>
      <c r="L3570">
        <v>1</v>
      </c>
    </row>
    <row r="3571" spans="1:12">
      <c r="A3571" t="s">
        <v>10356</v>
      </c>
      <c r="B3571" t="s">
        <v>10357</v>
      </c>
      <c r="C3571" t="s">
        <v>10358</v>
      </c>
      <c r="D3571" t="s">
        <v>15</v>
      </c>
      <c r="E3571" t="s">
        <v>54</v>
      </c>
      <c r="F3571" t="s">
        <v>60</v>
      </c>
      <c r="G3571" t="s">
        <v>50</v>
      </c>
      <c r="H3571" t="s">
        <v>19</v>
      </c>
      <c r="I3571">
        <v>5</v>
      </c>
      <c r="J3571">
        <v>8</v>
      </c>
      <c r="K3571">
        <v>3.9</v>
      </c>
      <c r="L3571">
        <v>1</v>
      </c>
    </row>
    <row r="3572" spans="1:12">
      <c r="A3572" t="s">
        <v>10359</v>
      </c>
      <c r="B3572" t="s">
        <v>10360</v>
      </c>
      <c r="C3572" t="s">
        <v>10361</v>
      </c>
      <c r="D3572" t="s">
        <v>15</v>
      </c>
      <c r="E3572" t="s">
        <v>28</v>
      </c>
      <c r="F3572" t="s">
        <v>41</v>
      </c>
      <c r="G3572" t="s">
        <v>55</v>
      </c>
      <c r="H3572" t="s">
        <v>19</v>
      </c>
      <c r="I3572">
        <v>5</v>
      </c>
      <c r="J3572">
        <v>8</v>
      </c>
      <c r="K3572">
        <v>4.6399999999999997</v>
      </c>
      <c r="L3572">
        <v>1</v>
      </c>
    </row>
    <row r="3573" spans="1:12">
      <c r="A3573" t="s">
        <v>10362</v>
      </c>
      <c r="B3573" t="s">
        <v>10363</v>
      </c>
      <c r="C3573" t="s">
        <v>10364</v>
      </c>
      <c r="D3573" t="s">
        <v>15</v>
      </c>
      <c r="E3573" t="s">
        <v>28</v>
      </c>
      <c r="F3573" t="s">
        <v>36</v>
      </c>
      <c r="G3573" t="s">
        <v>42</v>
      </c>
      <c r="H3573" t="s">
        <v>19</v>
      </c>
      <c r="I3573">
        <v>5</v>
      </c>
      <c r="J3573">
        <v>8</v>
      </c>
      <c r="K3573">
        <v>7.52</v>
      </c>
      <c r="L3573">
        <v>1</v>
      </c>
    </row>
    <row r="3574" spans="1:12">
      <c r="A3574" t="s">
        <v>10365</v>
      </c>
      <c r="B3574" t="s">
        <v>10366</v>
      </c>
      <c r="D3574" t="s">
        <v>158</v>
      </c>
      <c r="E3574" t="s">
        <v>16</v>
      </c>
      <c r="F3574" t="s">
        <v>41</v>
      </c>
      <c r="G3574" t="s">
        <v>73</v>
      </c>
      <c r="H3574" t="s">
        <v>46</v>
      </c>
      <c r="J3574">
        <v>4</v>
      </c>
    </row>
    <row r="3575" spans="1:12">
      <c r="A3575" t="s">
        <v>10367</v>
      </c>
      <c r="B3575" t="s">
        <v>10368</v>
      </c>
      <c r="C3575" t="s">
        <v>10369</v>
      </c>
      <c r="D3575" t="s">
        <v>35</v>
      </c>
      <c r="E3575" t="s">
        <v>28</v>
      </c>
      <c r="F3575" t="s">
        <v>41</v>
      </c>
      <c r="G3575" t="s">
        <v>42</v>
      </c>
      <c r="H3575" t="s">
        <v>19</v>
      </c>
      <c r="I3575">
        <v>5</v>
      </c>
      <c r="J3575">
        <v>48</v>
      </c>
      <c r="K3575">
        <v>27.47</v>
      </c>
      <c r="L3575">
        <v>1</v>
      </c>
    </row>
    <row r="3576" spans="1:12">
      <c r="A3576" t="s">
        <v>10370</v>
      </c>
      <c r="B3576" t="s">
        <v>10371</v>
      </c>
      <c r="C3576" t="s">
        <v>10372</v>
      </c>
      <c r="D3576" t="s">
        <v>15</v>
      </c>
      <c r="E3576" t="s">
        <v>24</v>
      </c>
      <c r="F3576" t="s">
        <v>36</v>
      </c>
      <c r="G3576" t="s">
        <v>77</v>
      </c>
      <c r="H3576" t="s">
        <v>19</v>
      </c>
      <c r="I3576">
        <v>5</v>
      </c>
      <c r="J3576">
        <v>8</v>
      </c>
      <c r="K3576">
        <v>2.4900000000000002</v>
      </c>
      <c r="L3576">
        <v>1</v>
      </c>
    </row>
    <row r="3577" spans="1:12">
      <c r="A3577" t="s">
        <v>10373</v>
      </c>
      <c r="B3577" t="s">
        <v>10374</v>
      </c>
      <c r="C3577" t="s">
        <v>10375</v>
      </c>
      <c r="D3577" t="s">
        <v>23</v>
      </c>
      <c r="E3577" t="s">
        <v>54</v>
      </c>
      <c r="F3577" t="s">
        <v>17</v>
      </c>
      <c r="G3577" t="s">
        <v>151</v>
      </c>
      <c r="H3577" t="s">
        <v>19</v>
      </c>
      <c r="I3577">
        <v>4</v>
      </c>
      <c r="J3577">
        <v>24</v>
      </c>
      <c r="K3577">
        <v>5.24</v>
      </c>
      <c r="L3577">
        <v>1</v>
      </c>
    </row>
    <row r="3578" spans="1:12">
      <c r="A3578" t="s">
        <v>10376</v>
      </c>
      <c r="B3578" t="s">
        <v>10377</v>
      </c>
      <c r="C3578" t="s">
        <v>10378</v>
      </c>
      <c r="D3578" t="s">
        <v>35</v>
      </c>
      <c r="E3578" t="s">
        <v>24</v>
      </c>
      <c r="F3578" t="s">
        <v>36</v>
      </c>
      <c r="G3578" t="s">
        <v>30</v>
      </c>
      <c r="H3578" t="s">
        <v>31</v>
      </c>
      <c r="I3578">
        <v>4</v>
      </c>
      <c r="J3578">
        <v>48</v>
      </c>
      <c r="K3578">
        <v>26.09</v>
      </c>
      <c r="L3578">
        <v>1</v>
      </c>
    </row>
    <row r="3579" spans="1:12">
      <c r="A3579" t="s">
        <v>10379</v>
      </c>
      <c r="B3579" t="s">
        <v>10380</v>
      </c>
      <c r="C3579" t="s">
        <v>10381</v>
      </c>
      <c r="D3579" t="s">
        <v>23</v>
      </c>
      <c r="E3579" t="s">
        <v>28</v>
      </c>
      <c r="F3579" t="s">
        <v>41</v>
      </c>
      <c r="G3579" t="s">
        <v>172</v>
      </c>
      <c r="H3579" t="s">
        <v>31</v>
      </c>
      <c r="I3579">
        <v>4</v>
      </c>
      <c r="J3579">
        <v>24</v>
      </c>
      <c r="K3579">
        <v>9.52</v>
      </c>
      <c r="L3579">
        <v>1</v>
      </c>
    </row>
    <row r="3580" spans="1:12">
      <c r="A3580" t="s">
        <v>10382</v>
      </c>
      <c r="B3580" t="s">
        <v>10383</v>
      </c>
      <c r="C3580" t="s">
        <v>10384</v>
      </c>
      <c r="D3580" t="s">
        <v>15</v>
      </c>
      <c r="E3580" t="s">
        <v>24</v>
      </c>
      <c r="F3580" t="s">
        <v>41</v>
      </c>
      <c r="G3580" t="s">
        <v>30</v>
      </c>
      <c r="H3580" t="s">
        <v>31</v>
      </c>
      <c r="I3580">
        <v>5</v>
      </c>
      <c r="J3580">
        <v>8</v>
      </c>
      <c r="K3580">
        <v>4</v>
      </c>
      <c r="L3580">
        <v>1</v>
      </c>
    </row>
    <row r="3581" spans="1:12">
      <c r="A3581" t="s">
        <v>10385</v>
      </c>
      <c r="B3581" t="s">
        <v>10386</v>
      </c>
      <c r="C3581" t="s">
        <v>10387</v>
      </c>
      <c r="D3581" t="s">
        <v>23</v>
      </c>
      <c r="E3581" t="s">
        <v>16</v>
      </c>
      <c r="F3581" t="s">
        <v>41</v>
      </c>
      <c r="G3581" t="s">
        <v>55</v>
      </c>
      <c r="H3581" t="s">
        <v>31</v>
      </c>
      <c r="I3581">
        <v>4</v>
      </c>
      <c r="J3581">
        <v>24</v>
      </c>
      <c r="K3581">
        <v>6.67</v>
      </c>
      <c r="L3581">
        <v>1</v>
      </c>
    </row>
    <row r="3582" spans="1:12">
      <c r="A3582" t="s">
        <v>10388</v>
      </c>
      <c r="B3582" t="s">
        <v>10389</v>
      </c>
      <c r="C3582" t="s">
        <v>10390</v>
      </c>
      <c r="D3582" t="s">
        <v>15</v>
      </c>
      <c r="E3582" t="s">
        <v>54</v>
      </c>
      <c r="F3582" t="s">
        <v>29</v>
      </c>
      <c r="G3582" t="s">
        <v>172</v>
      </c>
      <c r="H3582" t="s">
        <v>19</v>
      </c>
      <c r="I3582">
        <v>5</v>
      </c>
      <c r="J3582">
        <v>8</v>
      </c>
      <c r="K3582">
        <v>0.93</v>
      </c>
      <c r="L3582">
        <v>1</v>
      </c>
    </row>
    <row r="3583" spans="1:12">
      <c r="A3583" t="s">
        <v>10391</v>
      </c>
      <c r="B3583" t="s">
        <v>10392</v>
      </c>
      <c r="C3583" t="s">
        <v>10393</v>
      </c>
      <c r="D3583" t="s">
        <v>158</v>
      </c>
      <c r="E3583" t="s">
        <v>28</v>
      </c>
      <c r="F3583" t="s">
        <v>60</v>
      </c>
      <c r="G3583" t="s">
        <v>45</v>
      </c>
      <c r="H3583" t="s">
        <v>31</v>
      </c>
      <c r="I3583">
        <v>4</v>
      </c>
      <c r="J3583">
        <v>4</v>
      </c>
      <c r="K3583">
        <v>2.81</v>
      </c>
      <c r="L3583">
        <v>1</v>
      </c>
    </row>
    <row r="3584" spans="1:12">
      <c r="A3584" t="s">
        <v>10394</v>
      </c>
      <c r="B3584" t="s">
        <v>10395</v>
      </c>
      <c r="C3584" t="s">
        <v>10396</v>
      </c>
      <c r="D3584" t="s">
        <v>15</v>
      </c>
      <c r="E3584" t="s">
        <v>54</v>
      </c>
      <c r="F3584" t="s">
        <v>36</v>
      </c>
      <c r="G3584" t="s">
        <v>18</v>
      </c>
      <c r="H3584" t="s">
        <v>19</v>
      </c>
      <c r="I3584">
        <v>1</v>
      </c>
      <c r="J3584">
        <v>8</v>
      </c>
      <c r="K3584">
        <v>10.5</v>
      </c>
      <c r="L3584">
        <v>0</v>
      </c>
    </row>
    <row r="3585" spans="1:12">
      <c r="A3585" t="s">
        <v>10397</v>
      </c>
      <c r="B3585" t="s">
        <v>10398</v>
      </c>
      <c r="C3585" t="s">
        <v>10399</v>
      </c>
      <c r="D3585" t="s">
        <v>15</v>
      </c>
      <c r="E3585" t="s">
        <v>54</v>
      </c>
      <c r="F3585" t="s">
        <v>17</v>
      </c>
      <c r="G3585" t="s">
        <v>30</v>
      </c>
      <c r="H3585" t="s">
        <v>31</v>
      </c>
      <c r="I3585">
        <v>4</v>
      </c>
      <c r="J3585">
        <v>8</v>
      </c>
      <c r="K3585">
        <v>2.65</v>
      </c>
      <c r="L3585">
        <v>1</v>
      </c>
    </row>
    <row r="3586" spans="1:12">
      <c r="A3586" t="s">
        <v>10400</v>
      </c>
      <c r="B3586" t="s">
        <v>10401</v>
      </c>
      <c r="C3586" t="s">
        <v>10402</v>
      </c>
      <c r="D3586" t="s">
        <v>23</v>
      </c>
      <c r="E3586" t="s">
        <v>24</v>
      </c>
      <c r="F3586" t="s">
        <v>41</v>
      </c>
      <c r="G3586" t="s">
        <v>172</v>
      </c>
      <c r="H3586" t="s">
        <v>31</v>
      </c>
      <c r="I3586">
        <v>5</v>
      </c>
      <c r="J3586">
        <v>24</v>
      </c>
      <c r="K3586">
        <v>22.4</v>
      </c>
      <c r="L3586">
        <v>1</v>
      </c>
    </row>
    <row r="3587" spans="1:12">
      <c r="A3587" t="s">
        <v>10403</v>
      </c>
      <c r="B3587" t="s">
        <v>10404</v>
      </c>
      <c r="C3587" t="s">
        <v>10405</v>
      </c>
      <c r="D3587" t="s">
        <v>35</v>
      </c>
      <c r="E3587" t="s">
        <v>16</v>
      </c>
      <c r="F3587" t="s">
        <v>60</v>
      </c>
      <c r="G3587" t="s">
        <v>42</v>
      </c>
      <c r="H3587" t="s">
        <v>31</v>
      </c>
      <c r="I3587">
        <v>4</v>
      </c>
      <c r="J3587">
        <v>48</v>
      </c>
      <c r="K3587">
        <v>13.82</v>
      </c>
      <c r="L3587">
        <v>1</v>
      </c>
    </row>
    <row r="3588" spans="1:12">
      <c r="A3588" t="s">
        <v>10406</v>
      </c>
      <c r="B3588" t="s">
        <v>10407</v>
      </c>
      <c r="C3588" t="s">
        <v>10408</v>
      </c>
      <c r="D3588" t="s">
        <v>23</v>
      </c>
      <c r="E3588" t="s">
        <v>54</v>
      </c>
      <c r="F3588" t="s">
        <v>60</v>
      </c>
      <c r="G3588" t="s">
        <v>50</v>
      </c>
      <c r="H3588" t="s">
        <v>31</v>
      </c>
      <c r="I3588">
        <v>5</v>
      </c>
      <c r="J3588">
        <v>24</v>
      </c>
      <c r="K3588">
        <v>7.47</v>
      </c>
      <c r="L3588">
        <v>1</v>
      </c>
    </row>
    <row r="3589" spans="1:12">
      <c r="A3589" t="s">
        <v>10409</v>
      </c>
      <c r="B3589" t="s">
        <v>10410</v>
      </c>
      <c r="C3589" t="s">
        <v>10411</v>
      </c>
      <c r="D3589" t="s">
        <v>23</v>
      </c>
      <c r="E3589" t="s">
        <v>59</v>
      </c>
      <c r="F3589" t="s">
        <v>36</v>
      </c>
      <c r="G3589" t="s">
        <v>30</v>
      </c>
      <c r="H3589" t="s">
        <v>19</v>
      </c>
      <c r="I3589">
        <v>4</v>
      </c>
      <c r="J3589">
        <v>24</v>
      </c>
      <c r="K3589">
        <v>7.78</v>
      </c>
      <c r="L3589">
        <v>1</v>
      </c>
    </row>
    <row r="3590" spans="1:12">
      <c r="A3590" t="s">
        <v>10412</v>
      </c>
      <c r="B3590" t="s">
        <v>10413</v>
      </c>
      <c r="C3590" t="s">
        <v>10414</v>
      </c>
      <c r="D3590" t="s">
        <v>23</v>
      </c>
      <c r="E3590" t="s">
        <v>28</v>
      </c>
      <c r="F3590" t="s">
        <v>29</v>
      </c>
      <c r="G3590" t="s">
        <v>77</v>
      </c>
      <c r="H3590" t="s">
        <v>19</v>
      </c>
      <c r="I3590">
        <v>4</v>
      </c>
      <c r="J3590">
        <v>24</v>
      </c>
      <c r="K3590">
        <v>15.78</v>
      </c>
      <c r="L3590">
        <v>1</v>
      </c>
    </row>
    <row r="3591" spans="1:12">
      <c r="A3591" t="s">
        <v>10415</v>
      </c>
      <c r="B3591" t="s">
        <v>10416</v>
      </c>
      <c r="C3591" t="s">
        <v>10417</v>
      </c>
      <c r="D3591" t="s">
        <v>15</v>
      </c>
      <c r="E3591" t="s">
        <v>59</v>
      </c>
      <c r="F3591" t="s">
        <v>17</v>
      </c>
      <c r="G3591" t="s">
        <v>77</v>
      </c>
      <c r="H3591" t="s">
        <v>19</v>
      </c>
      <c r="I3591">
        <v>4</v>
      </c>
      <c r="J3591">
        <v>8</v>
      </c>
      <c r="K3591">
        <v>1.45</v>
      </c>
      <c r="L3591">
        <v>1</v>
      </c>
    </row>
    <row r="3592" spans="1:12">
      <c r="A3592" t="s">
        <v>10418</v>
      </c>
      <c r="B3592" t="s">
        <v>10419</v>
      </c>
      <c r="C3592" t="s">
        <v>10420</v>
      </c>
      <c r="D3592" t="s">
        <v>35</v>
      </c>
      <c r="E3592" t="s">
        <v>54</v>
      </c>
      <c r="F3592" t="s">
        <v>41</v>
      </c>
      <c r="G3592" t="s">
        <v>55</v>
      </c>
      <c r="H3592" t="s">
        <v>31</v>
      </c>
      <c r="I3592">
        <v>5</v>
      </c>
      <c r="J3592">
        <v>48</v>
      </c>
      <c r="K3592">
        <v>8.83</v>
      </c>
      <c r="L3592">
        <v>1</v>
      </c>
    </row>
    <row r="3593" spans="1:12">
      <c r="A3593" t="s">
        <v>10421</v>
      </c>
      <c r="B3593" t="s">
        <v>10422</v>
      </c>
      <c r="C3593" t="s">
        <v>10423</v>
      </c>
      <c r="D3593" t="s">
        <v>15</v>
      </c>
      <c r="E3593" t="s">
        <v>28</v>
      </c>
      <c r="F3593" t="s">
        <v>29</v>
      </c>
      <c r="G3593" t="s">
        <v>172</v>
      </c>
      <c r="H3593" t="s">
        <v>19</v>
      </c>
      <c r="I3593">
        <v>5</v>
      </c>
      <c r="J3593">
        <v>8</v>
      </c>
      <c r="K3593">
        <v>1.91</v>
      </c>
      <c r="L3593">
        <v>1</v>
      </c>
    </row>
    <row r="3594" spans="1:12">
      <c r="A3594" t="s">
        <v>10424</v>
      </c>
      <c r="B3594" t="s">
        <v>10425</v>
      </c>
      <c r="D3594" t="s">
        <v>35</v>
      </c>
      <c r="E3594" t="s">
        <v>28</v>
      </c>
      <c r="F3594" t="s">
        <v>60</v>
      </c>
      <c r="G3594" t="s">
        <v>18</v>
      </c>
      <c r="H3594" t="s">
        <v>46</v>
      </c>
      <c r="J3594">
        <v>48</v>
      </c>
    </row>
    <row r="3595" spans="1:12">
      <c r="A3595" t="s">
        <v>10426</v>
      </c>
      <c r="B3595" t="s">
        <v>10427</v>
      </c>
      <c r="C3595" t="s">
        <v>10428</v>
      </c>
      <c r="D3595" t="s">
        <v>23</v>
      </c>
      <c r="E3595" t="s">
        <v>28</v>
      </c>
      <c r="F3595" t="s">
        <v>29</v>
      </c>
      <c r="G3595" t="s">
        <v>45</v>
      </c>
      <c r="H3595" t="s">
        <v>31</v>
      </c>
      <c r="I3595">
        <v>2</v>
      </c>
      <c r="J3595">
        <v>24</v>
      </c>
      <c r="K3595">
        <v>65.02</v>
      </c>
      <c r="L3595">
        <v>0</v>
      </c>
    </row>
    <row r="3596" spans="1:12">
      <c r="A3596" t="s">
        <v>10429</v>
      </c>
      <c r="B3596" t="s">
        <v>10430</v>
      </c>
      <c r="C3596" t="s">
        <v>10431</v>
      </c>
      <c r="D3596" t="s">
        <v>15</v>
      </c>
      <c r="E3596" t="s">
        <v>28</v>
      </c>
      <c r="F3596" t="s">
        <v>17</v>
      </c>
      <c r="G3596" t="s">
        <v>55</v>
      </c>
      <c r="H3596" t="s">
        <v>19</v>
      </c>
      <c r="I3596">
        <v>5</v>
      </c>
      <c r="J3596">
        <v>8</v>
      </c>
      <c r="K3596">
        <v>1.39</v>
      </c>
      <c r="L3596">
        <v>1</v>
      </c>
    </row>
    <row r="3597" spans="1:12">
      <c r="A3597" t="s">
        <v>10432</v>
      </c>
      <c r="B3597" t="s">
        <v>10433</v>
      </c>
      <c r="C3597" t="s">
        <v>10434</v>
      </c>
      <c r="D3597" t="s">
        <v>15</v>
      </c>
      <c r="E3597" t="s">
        <v>28</v>
      </c>
      <c r="F3597" t="s">
        <v>60</v>
      </c>
      <c r="G3597" t="s">
        <v>151</v>
      </c>
      <c r="H3597" t="s">
        <v>19</v>
      </c>
      <c r="I3597">
        <v>5</v>
      </c>
      <c r="J3597">
        <v>8</v>
      </c>
      <c r="K3597">
        <v>3.83</v>
      </c>
      <c r="L3597">
        <v>1</v>
      </c>
    </row>
    <row r="3598" spans="1:12">
      <c r="A3598" t="s">
        <v>10435</v>
      </c>
      <c r="B3598" t="s">
        <v>10436</v>
      </c>
      <c r="C3598" t="s">
        <v>10437</v>
      </c>
      <c r="D3598" t="s">
        <v>15</v>
      </c>
      <c r="E3598" t="s">
        <v>24</v>
      </c>
      <c r="F3598" t="s">
        <v>36</v>
      </c>
      <c r="G3598" t="s">
        <v>50</v>
      </c>
      <c r="H3598" t="s">
        <v>19</v>
      </c>
      <c r="I3598">
        <v>3</v>
      </c>
      <c r="J3598">
        <v>8</v>
      </c>
      <c r="K3598">
        <v>7.39</v>
      </c>
      <c r="L3598">
        <v>1</v>
      </c>
    </row>
    <row r="3599" spans="1:12">
      <c r="A3599" t="s">
        <v>10438</v>
      </c>
      <c r="B3599" t="s">
        <v>10439</v>
      </c>
      <c r="C3599" t="s">
        <v>10440</v>
      </c>
      <c r="D3599" t="s">
        <v>35</v>
      </c>
      <c r="E3599" t="s">
        <v>16</v>
      </c>
      <c r="F3599" t="s">
        <v>60</v>
      </c>
      <c r="G3599" t="s">
        <v>77</v>
      </c>
      <c r="H3599" t="s">
        <v>19</v>
      </c>
      <c r="I3599">
        <v>5</v>
      </c>
      <c r="J3599">
        <v>48</v>
      </c>
      <c r="K3599">
        <v>24.01</v>
      </c>
      <c r="L3599">
        <v>1</v>
      </c>
    </row>
    <row r="3600" spans="1:12">
      <c r="A3600" t="s">
        <v>10441</v>
      </c>
      <c r="B3600" t="s">
        <v>10442</v>
      </c>
      <c r="C3600" t="s">
        <v>10443</v>
      </c>
      <c r="D3600" t="s">
        <v>158</v>
      </c>
      <c r="E3600" t="s">
        <v>16</v>
      </c>
      <c r="F3600" t="s">
        <v>29</v>
      </c>
      <c r="G3600" t="s">
        <v>73</v>
      </c>
      <c r="H3600" t="s">
        <v>19</v>
      </c>
      <c r="I3600">
        <v>4</v>
      </c>
      <c r="J3600">
        <v>4</v>
      </c>
      <c r="K3600">
        <v>5.92</v>
      </c>
      <c r="L3600">
        <v>0</v>
      </c>
    </row>
    <row r="3601" spans="1:12">
      <c r="A3601" t="s">
        <v>10444</v>
      </c>
      <c r="B3601" t="s">
        <v>10445</v>
      </c>
      <c r="C3601" t="s">
        <v>10446</v>
      </c>
      <c r="D3601" t="s">
        <v>35</v>
      </c>
      <c r="E3601" t="s">
        <v>16</v>
      </c>
      <c r="F3601" t="s">
        <v>29</v>
      </c>
      <c r="G3601" t="s">
        <v>55</v>
      </c>
      <c r="H3601" t="s">
        <v>31</v>
      </c>
      <c r="I3601">
        <v>4</v>
      </c>
      <c r="J3601">
        <v>48</v>
      </c>
      <c r="K3601">
        <v>34.85</v>
      </c>
      <c r="L3601">
        <v>1</v>
      </c>
    </row>
    <row r="3602" spans="1:12">
      <c r="A3602" t="s">
        <v>10447</v>
      </c>
      <c r="B3602" t="s">
        <v>10448</v>
      </c>
      <c r="D3602" t="s">
        <v>23</v>
      </c>
      <c r="E3602" t="s">
        <v>28</v>
      </c>
      <c r="F3602" t="s">
        <v>60</v>
      </c>
      <c r="G3602" t="s">
        <v>55</v>
      </c>
      <c r="H3602" t="s">
        <v>46</v>
      </c>
      <c r="J3602">
        <v>24</v>
      </c>
    </row>
    <row r="3603" spans="1:12">
      <c r="A3603" t="s">
        <v>10449</v>
      </c>
      <c r="B3603" t="s">
        <v>10450</v>
      </c>
      <c r="C3603" t="s">
        <v>10451</v>
      </c>
      <c r="D3603" t="s">
        <v>15</v>
      </c>
      <c r="E3603" t="s">
        <v>28</v>
      </c>
      <c r="F3603" t="s">
        <v>41</v>
      </c>
      <c r="G3603" t="s">
        <v>55</v>
      </c>
      <c r="H3603" t="s">
        <v>31</v>
      </c>
      <c r="I3603">
        <v>5</v>
      </c>
      <c r="J3603">
        <v>8</v>
      </c>
      <c r="K3603">
        <v>5.62</v>
      </c>
      <c r="L3603">
        <v>1</v>
      </c>
    </row>
    <row r="3604" spans="1:12">
      <c r="A3604" t="s">
        <v>10452</v>
      </c>
      <c r="B3604" t="s">
        <v>10453</v>
      </c>
      <c r="C3604" t="s">
        <v>10454</v>
      </c>
      <c r="D3604" t="s">
        <v>23</v>
      </c>
      <c r="E3604" t="s">
        <v>24</v>
      </c>
      <c r="F3604" t="s">
        <v>29</v>
      </c>
      <c r="G3604" t="s">
        <v>172</v>
      </c>
      <c r="H3604" t="s">
        <v>31</v>
      </c>
      <c r="I3604">
        <v>4</v>
      </c>
      <c r="J3604">
        <v>24</v>
      </c>
      <c r="K3604">
        <v>4.1900000000000004</v>
      </c>
      <c r="L3604">
        <v>1</v>
      </c>
    </row>
    <row r="3605" spans="1:12">
      <c r="A3605" t="s">
        <v>10455</v>
      </c>
      <c r="B3605" t="s">
        <v>10456</v>
      </c>
      <c r="C3605" t="s">
        <v>10457</v>
      </c>
      <c r="D3605" t="s">
        <v>23</v>
      </c>
      <c r="E3605" t="s">
        <v>16</v>
      </c>
      <c r="F3605" t="s">
        <v>29</v>
      </c>
      <c r="G3605" t="s">
        <v>77</v>
      </c>
      <c r="H3605" t="s">
        <v>31</v>
      </c>
      <c r="I3605">
        <v>3</v>
      </c>
      <c r="J3605">
        <v>24</v>
      </c>
      <c r="K3605">
        <v>27.02</v>
      </c>
      <c r="L3605">
        <v>0</v>
      </c>
    </row>
    <row r="3606" spans="1:12">
      <c r="A3606" t="s">
        <v>10458</v>
      </c>
      <c r="B3606" t="s">
        <v>10459</v>
      </c>
      <c r="C3606" t="s">
        <v>10460</v>
      </c>
      <c r="D3606" t="s">
        <v>15</v>
      </c>
      <c r="E3606" t="s">
        <v>59</v>
      </c>
      <c r="F3606" t="s">
        <v>17</v>
      </c>
      <c r="G3606" t="s">
        <v>73</v>
      </c>
      <c r="H3606" t="s">
        <v>19</v>
      </c>
      <c r="I3606">
        <v>5</v>
      </c>
      <c r="J3606">
        <v>8</v>
      </c>
      <c r="K3606">
        <v>3.38</v>
      </c>
      <c r="L3606">
        <v>1</v>
      </c>
    </row>
    <row r="3607" spans="1:12">
      <c r="A3607" t="s">
        <v>10461</v>
      </c>
      <c r="B3607" t="s">
        <v>10462</v>
      </c>
      <c r="C3607" t="s">
        <v>10463</v>
      </c>
      <c r="D3607" t="s">
        <v>23</v>
      </c>
      <c r="E3607" t="s">
        <v>24</v>
      </c>
      <c r="F3607" t="s">
        <v>60</v>
      </c>
      <c r="G3607" t="s">
        <v>18</v>
      </c>
      <c r="H3607" t="s">
        <v>19</v>
      </c>
      <c r="I3607">
        <v>4</v>
      </c>
      <c r="J3607">
        <v>24</v>
      </c>
      <c r="K3607">
        <v>17.670000000000002</v>
      </c>
      <c r="L3607">
        <v>1</v>
      </c>
    </row>
    <row r="3608" spans="1:12">
      <c r="A3608" t="s">
        <v>10464</v>
      </c>
      <c r="B3608" t="s">
        <v>10465</v>
      </c>
      <c r="C3608" t="s">
        <v>10466</v>
      </c>
      <c r="D3608" t="s">
        <v>23</v>
      </c>
      <c r="E3608" t="s">
        <v>16</v>
      </c>
      <c r="F3608" t="s">
        <v>60</v>
      </c>
      <c r="G3608" t="s">
        <v>55</v>
      </c>
      <c r="H3608" t="s">
        <v>31</v>
      </c>
      <c r="I3608">
        <v>4</v>
      </c>
      <c r="J3608">
        <v>24</v>
      </c>
      <c r="K3608">
        <v>22.56</v>
      </c>
      <c r="L3608">
        <v>1</v>
      </c>
    </row>
    <row r="3609" spans="1:12">
      <c r="A3609" t="s">
        <v>10467</v>
      </c>
      <c r="B3609" t="s">
        <v>10468</v>
      </c>
      <c r="C3609" t="s">
        <v>10469</v>
      </c>
      <c r="D3609" t="s">
        <v>35</v>
      </c>
      <c r="E3609" t="s">
        <v>16</v>
      </c>
      <c r="F3609" t="s">
        <v>17</v>
      </c>
      <c r="G3609" t="s">
        <v>105</v>
      </c>
      <c r="H3609" t="s">
        <v>31</v>
      </c>
      <c r="I3609">
        <v>5</v>
      </c>
      <c r="J3609">
        <v>48</v>
      </c>
      <c r="K3609">
        <v>30.87</v>
      </c>
      <c r="L3609">
        <v>1</v>
      </c>
    </row>
    <row r="3610" spans="1:12">
      <c r="A3610" t="s">
        <v>10470</v>
      </c>
      <c r="B3610" t="s">
        <v>10471</v>
      </c>
      <c r="D3610" t="s">
        <v>35</v>
      </c>
      <c r="E3610" t="s">
        <v>24</v>
      </c>
      <c r="F3610" t="s">
        <v>36</v>
      </c>
      <c r="G3610" t="s">
        <v>151</v>
      </c>
      <c r="H3610" t="s">
        <v>63</v>
      </c>
      <c r="J3610">
        <v>48</v>
      </c>
    </row>
    <row r="3611" spans="1:12">
      <c r="A3611" t="s">
        <v>10472</v>
      </c>
      <c r="B3611" t="s">
        <v>10473</v>
      </c>
      <c r="C3611" t="s">
        <v>10474</v>
      </c>
      <c r="D3611" t="s">
        <v>23</v>
      </c>
      <c r="E3611" t="s">
        <v>59</v>
      </c>
      <c r="F3611" t="s">
        <v>17</v>
      </c>
      <c r="G3611" t="s">
        <v>18</v>
      </c>
      <c r="H3611" t="s">
        <v>19</v>
      </c>
      <c r="I3611">
        <v>5</v>
      </c>
      <c r="J3611">
        <v>24</v>
      </c>
      <c r="K3611">
        <v>13.44</v>
      </c>
      <c r="L3611">
        <v>1</v>
      </c>
    </row>
    <row r="3612" spans="1:12">
      <c r="A3612" t="s">
        <v>10475</v>
      </c>
      <c r="B3612" t="s">
        <v>10476</v>
      </c>
      <c r="C3612" t="s">
        <v>10477</v>
      </c>
      <c r="D3612" t="s">
        <v>35</v>
      </c>
      <c r="E3612" t="s">
        <v>24</v>
      </c>
      <c r="F3612" t="s">
        <v>29</v>
      </c>
      <c r="G3612" t="s">
        <v>105</v>
      </c>
      <c r="H3612" t="s">
        <v>31</v>
      </c>
      <c r="I3612">
        <v>2</v>
      </c>
      <c r="J3612">
        <v>48</v>
      </c>
      <c r="K3612">
        <v>130.97</v>
      </c>
      <c r="L3612">
        <v>0</v>
      </c>
    </row>
    <row r="3613" spans="1:12">
      <c r="A3613" t="s">
        <v>10478</v>
      </c>
      <c r="B3613" t="s">
        <v>10479</v>
      </c>
      <c r="D3613" t="s">
        <v>23</v>
      </c>
      <c r="E3613" t="s">
        <v>28</v>
      </c>
      <c r="F3613" t="s">
        <v>29</v>
      </c>
      <c r="G3613" t="s">
        <v>18</v>
      </c>
      <c r="H3613" t="s">
        <v>46</v>
      </c>
      <c r="J3613">
        <v>24</v>
      </c>
    </row>
    <row r="3614" spans="1:12">
      <c r="A3614" t="s">
        <v>10480</v>
      </c>
      <c r="B3614" t="s">
        <v>10481</v>
      </c>
      <c r="C3614" t="s">
        <v>10482</v>
      </c>
      <c r="D3614" t="s">
        <v>23</v>
      </c>
      <c r="E3614" t="s">
        <v>28</v>
      </c>
      <c r="F3614" t="s">
        <v>60</v>
      </c>
      <c r="G3614" t="s">
        <v>30</v>
      </c>
      <c r="H3614" t="s">
        <v>31</v>
      </c>
      <c r="I3614">
        <v>4</v>
      </c>
      <c r="J3614">
        <v>24</v>
      </c>
      <c r="K3614">
        <v>12.53</v>
      </c>
      <c r="L3614">
        <v>1</v>
      </c>
    </row>
    <row r="3615" spans="1:12">
      <c r="A3615" t="s">
        <v>10483</v>
      </c>
      <c r="B3615" t="s">
        <v>10484</v>
      </c>
      <c r="C3615" t="s">
        <v>10485</v>
      </c>
      <c r="D3615" t="s">
        <v>35</v>
      </c>
      <c r="E3615" t="s">
        <v>16</v>
      </c>
      <c r="F3615" t="s">
        <v>29</v>
      </c>
      <c r="G3615" t="s">
        <v>45</v>
      </c>
      <c r="H3615" t="s">
        <v>19</v>
      </c>
      <c r="I3615">
        <v>4</v>
      </c>
      <c r="J3615">
        <v>48</v>
      </c>
      <c r="K3615">
        <v>31.02</v>
      </c>
      <c r="L3615">
        <v>1</v>
      </c>
    </row>
    <row r="3616" spans="1:12">
      <c r="A3616" t="s">
        <v>10486</v>
      </c>
      <c r="B3616" t="s">
        <v>10487</v>
      </c>
      <c r="C3616" t="s">
        <v>10488</v>
      </c>
      <c r="D3616" t="s">
        <v>15</v>
      </c>
      <c r="E3616" t="s">
        <v>24</v>
      </c>
      <c r="F3616" t="s">
        <v>36</v>
      </c>
      <c r="G3616" t="s">
        <v>50</v>
      </c>
      <c r="H3616" t="s">
        <v>19</v>
      </c>
      <c r="I3616">
        <v>2</v>
      </c>
      <c r="J3616">
        <v>8</v>
      </c>
      <c r="K3616">
        <v>11.06</v>
      </c>
      <c r="L3616">
        <v>0</v>
      </c>
    </row>
    <row r="3617" spans="1:12">
      <c r="A3617" t="s">
        <v>10489</v>
      </c>
      <c r="B3617" t="s">
        <v>10490</v>
      </c>
      <c r="C3617" t="s">
        <v>10491</v>
      </c>
      <c r="D3617" t="s">
        <v>23</v>
      </c>
      <c r="E3617" t="s">
        <v>59</v>
      </c>
      <c r="F3617" t="s">
        <v>29</v>
      </c>
      <c r="G3617" t="s">
        <v>151</v>
      </c>
      <c r="H3617" t="s">
        <v>19</v>
      </c>
      <c r="I3617">
        <v>5</v>
      </c>
      <c r="J3617">
        <v>24</v>
      </c>
      <c r="K3617">
        <v>19.34</v>
      </c>
      <c r="L3617">
        <v>1</v>
      </c>
    </row>
    <row r="3618" spans="1:12">
      <c r="A3618" t="s">
        <v>10492</v>
      </c>
      <c r="B3618" t="s">
        <v>10493</v>
      </c>
      <c r="C3618" t="s">
        <v>10494</v>
      </c>
      <c r="D3618" t="s">
        <v>23</v>
      </c>
      <c r="E3618" t="s">
        <v>24</v>
      </c>
      <c r="F3618" t="s">
        <v>29</v>
      </c>
      <c r="G3618" t="s">
        <v>18</v>
      </c>
      <c r="H3618" t="s">
        <v>19</v>
      </c>
      <c r="I3618">
        <v>5</v>
      </c>
      <c r="J3618">
        <v>24</v>
      </c>
      <c r="K3618">
        <v>12.91</v>
      </c>
      <c r="L3618">
        <v>1</v>
      </c>
    </row>
    <row r="3619" spans="1:12">
      <c r="A3619" t="s">
        <v>10495</v>
      </c>
      <c r="B3619" t="s">
        <v>10496</v>
      </c>
      <c r="C3619" t="s">
        <v>10497</v>
      </c>
      <c r="D3619" t="s">
        <v>15</v>
      </c>
      <c r="E3619" t="s">
        <v>54</v>
      </c>
      <c r="F3619" t="s">
        <v>60</v>
      </c>
      <c r="G3619" t="s">
        <v>105</v>
      </c>
      <c r="H3619" t="s">
        <v>19</v>
      </c>
      <c r="I3619">
        <v>5</v>
      </c>
      <c r="J3619">
        <v>8</v>
      </c>
      <c r="K3619">
        <v>5.59</v>
      </c>
      <c r="L3619">
        <v>1</v>
      </c>
    </row>
    <row r="3620" spans="1:12">
      <c r="A3620" t="s">
        <v>10498</v>
      </c>
      <c r="B3620" t="s">
        <v>10499</v>
      </c>
      <c r="C3620" t="s">
        <v>10500</v>
      </c>
      <c r="D3620" t="s">
        <v>23</v>
      </c>
      <c r="E3620" t="s">
        <v>16</v>
      </c>
      <c r="F3620" t="s">
        <v>41</v>
      </c>
      <c r="G3620" t="s">
        <v>77</v>
      </c>
      <c r="H3620" t="s">
        <v>31</v>
      </c>
      <c r="I3620">
        <v>2</v>
      </c>
      <c r="J3620">
        <v>24</v>
      </c>
      <c r="K3620">
        <v>48.45</v>
      </c>
      <c r="L3620">
        <v>0</v>
      </c>
    </row>
    <row r="3621" spans="1:12">
      <c r="A3621" t="s">
        <v>10501</v>
      </c>
      <c r="B3621" t="s">
        <v>10502</v>
      </c>
      <c r="D3621" t="s">
        <v>23</v>
      </c>
      <c r="E3621" t="s">
        <v>28</v>
      </c>
      <c r="F3621" t="s">
        <v>60</v>
      </c>
      <c r="G3621" t="s">
        <v>45</v>
      </c>
      <c r="H3621" t="s">
        <v>46</v>
      </c>
      <c r="J3621">
        <v>24</v>
      </c>
    </row>
    <row r="3622" spans="1:12">
      <c r="A3622" t="s">
        <v>10503</v>
      </c>
      <c r="B3622" t="s">
        <v>10504</v>
      </c>
      <c r="C3622" t="s">
        <v>10505</v>
      </c>
      <c r="D3622" t="s">
        <v>35</v>
      </c>
      <c r="E3622" t="s">
        <v>54</v>
      </c>
      <c r="F3622" t="s">
        <v>41</v>
      </c>
      <c r="G3622" t="s">
        <v>105</v>
      </c>
      <c r="H3622" t="s">
        <v>19</v>
      </c>
      <c r="I3622">
        <v>1</v>
      </c>
      <c r="J3622">
        <v>48</v>
      </c>
      <c r="K3622">
        <v>111.44</v>
      </c>
      <c r="L3622">
        <v>0</v>
      </c>
    </row>
    <row r="3623" spans="1:12">
      <c r="A3623" t="s">
        <v>10506</v>
      </c>
      <c r="B3623" t="s">
        <v>10507</v>
      </c>
      <c r="C3623" t="s">
        <v>10508</v>
      </c>
      <c r="D3623" t="s">
        <v>35</v>
      </c>
      <c r="E3623" t="s">
        <v>28</v>
      </c>
      <c r="F3623" t="s">
        <v>41</v>
      </c>
      <c r="G3623" t="s">
        <v>42</v>
      </c>
      <c r="H3623" t="s">
        <v>31</v>
      </c>
      <c r="I3623">
        <v>4</v>
      </c>
      <c r="J3623">
        <v>48</v>
      </c>
      <c r="K3623">
        <v>39.880000000000003</v>
      </c>
      <c r="L3623">
        <v>1</v>
      </c>
    </row>
    <row r="3624" spans="1:12">
      <c r="A3624" t="s">
        <v>10509</v>
      </c>
      <c r="B3624" t="s">
        <v>10510</v>
      </c>
      <c r="C3624" t="s">
        <v>10511</v>
      </c>
      <c r="D3624" t="s">
        <v>23</v>
      </c>
      <c r="E3624" t="s">
        <v>24</v>
      </c>
      <c r="F3624" t="s">
        <v>60</v>
      </c>
      <c r="G3624" t="s">
        <v>77</v>
      </c>
      <c r="H3624" t="s">
        <v>19</v>
      </c>
      <c r="I3624">
        <v>4</v>
      </c>
      <c r="J3624">
        <v>24</v>
      </c>
      <c r="K3624">
        <v>5.43</v>
      </c>
      <c r="L3624">
        <v>1</v>
      </c>
    </row>
    <row r="3625" spans="1:12">
      <c r="A3625" t="s">
        <v>10512</v>
      </c>
      <c r="B3625" t="s">
        <v>10513</v>
      </c>
      <c r="C3625" t="s">
        <v>10514</v>
      </c>
      <c r="D3625" t="s">
        <v>23</v>
      </c>
      <c r="E3625" t="s">
        <v>28</v>
      </c>
      <c r="F3625" t="s">
        <v>17</v>
      </c>
      <c r="G3625" t="s">
        <v>18</v>
      </c>
      <c r="H3625" t="s">
        <v>19</v>
      </c>
      <c r="I3625">
        <v>5</v>
      </c>
      <c r="J3625">
        <v>24</v>
      </c>
      <c r="K3625">
        <v>9.34</v>
      </c>
      <c r="L3625">
        <v>1</v>
      </c>
    </row>
    <row r="3626" spans="1:12">
      <c r="A3626" t="s">
        <v>10515</v>
      </c>
      <c r="B3626" t="s">
        <v>10516</v>
      </c>
      <c r="C3626" t="s">
        <v>10517</v>
      </c>
      <c r="D3626" t="s">
        <v>23</v>
      </c>
      <c r="E3626" t="s">
        <v>24</v>
      </c>
      <c r="F3626" t="s">
        <v>17</v>
      </c>
      <c r="G3626" t="s">
        <v>18</v>
      </c>
      <c r="H3626" t="s">
        <v>19</v>
      </c>
      <c r="I3626">
        <v>3</v>
      </c>
      <c r="J3626">
        <v>24</v>
      </c>
      <c r="K3626">
        <v>31.67</v>
      </c>
      <c r="L3626">
        <v>0</v>
      </c>
    </row>
    <row r="3627" spans="1:12">
      <c r="A3627" t="s">
        <v>10518</v>
      </c>
      <c r="B3627" t="s">
        <v>10519</v>
      </c>
      <c r="C3627" t="s">
        <v>10520</v>
      </c>
      <c r="D3627" t="s">
        <v>23</v>
      </c>
      <c r="E3627" t="s">
        <v>54</v>
      </c>
      <c r="F3627" t="s">
        <v>41</v>
      </c>
      <c r="G3627" t="s">
        <v>18</v>
      </c>
      <c r="H3627" t="s">
        <v>19</v>
      </c>
      <c r="I3627">
        <v>4</v>
      </c>
      <c r="J3627">
        <v>24</v>
      </c>
      <c r="K3627">
        <v>9.15</v>
      </c>
      <c r="L3627">
        <v>1</v>
      </c>
    </row>
    <row r="3628" spans="1:12">
      <c r="A3628" t="s">
        <v>10521</v>
      </c>
      <c r="B3628" t="s">
        <v>10522</v>
      </c>
      <c r="C3628" t="s">
        <v>10523</v>
      </c>
      <c r="D3628" t="s">
        <v>23</v>
      </c>
      <c r="E3628" t="s">
        <v>28</v>
      </c>
      <c r="F3628" t="s">
        <v>36</v>
      </c>
      <c r="G3628" t="s">
        <v>18</v>
      </c>
      <c r="H3628" t="s">
        <v>19</v>
      </c>
      <c r="I3628">
        <v>4</v>
      </c>
      <c r="J3628">
        <v>24</v>
      </c>
      <c r="K3628">
        <v>7.86</v>
      </c>
      <c r="L3628">
        <v>1</v>
      </c>
    </row>
    <row r="3629" spans="1:12">
      <c r="A3629" t="s">
        <v>10524</v>
      </c>
      <c r="B3629" t="s">
        <v>10525</v>
      </c>
      <c r="C3629" t="s">
        <v>10526</v>
      </c>
      <c r="D3629" t="s">
        <v>23</v>
      </c>
      <c r="E3629" t="s">
        <v>54</v>
      </c>
      <c r="F3629" t="s">
        <v>36</v>
      </c>
      <c r="G3629" t="s">
        <v>55</v>
      </c>
      <c r="H3629" t="s">
        <v>19</v>
      </c>
      <c r="I3629">
        <v>5</v>
      </c>
      <c r="J3629">
        <v>24</v>
      </c>
      <c r="K3629">
        <v>9.91</v>
      </c>
      <c r="L3629">
        <v>1</v>
      </c>
    </row>
    <row r="3630" spans="1:12">
      <c r="A3630" t="s">
        <v>10527</v>
      </c>
      <c r="B3630" t="s">
        <v>10528</v>
      </c>
      <c r="C3630" t="s">
        <v>10529</v>
      </c>
      <c r="D3630" t="s">
        <v>35</v>
      </c>
      <c r="E3630" t="s">
        <v>24</v>
      </c>
      <c r="F3630" t="s">
        <v>36</v>
      </c>
      <c r="G3630" t="s">
        <v>37</v>
      </c>
      <c r="H3630" t="s">
        <v>19</v>
      </c>
      <c r="I3630">
        <v>5</v>
      </c>
      <c r="J3630">
        <v>48</v>
      </c>
      <c r="K3630">
        <v>12.74</v>
      </c>
      <c r="L3630">
        <v>1</v>
      </c>
    </row>
    <row r="3631" spans="1:12">
      <c r="A3631" t="s">
        <v>10530</v>
      </c>
      <c r="B3631" t="s">
        <v>10531</v>
      </c>
      <c r="C3631" t="s">
        <v>10532</v>
      </c>
      <c r="D3631" t="s">
        <v>35</v>
      </c>
      <c r="E3631" t="s">
        <v>16</v>
      </c>
      <c r="F3631" t="s">
        <v>60</v>
      </c>
      <c r="G3631" t="s">
        <v>45</v>
      </c>
      <c r="H3631" t="s">
        <v>31</v>
      </c>
      <c r="I3631">
        <v>4</v>
      </c>
      <c r="J3631">
        <v>48</v>
      </c>
      <c r="K3631">
        <v>9.34</v>
      </c>
      <c r="L3631">
        <v>1</v>
      </c>
    </row>
    <row r="3632" spans="1:12">
      <c r="A3632" t="s">
        <v>10533</v>
      </c>
      <c r="B3632" t="s">
        <v>10534</v>
      </c>
      <c r="D3632" t="s">
        <v>23</v>
      </c>
      <c r="E3632" t="s">
        <v>59</v>
      </c>
      <c r="F3632" t="s">
        <v>60</v>
      </c>
      <c r="G3632" t="s">
        <v>42</v>
      </c>
      <c r="H3632" t="s">
        <v>63</v>
      </c>
      <c r="J3632">
        <v>24</v>
      </c>
    </row>
    <row r="3633" spans="1:12">
      <c r="A3633" t="s">
        <v>10535</v>
      </c>
      <c r="B3633" t="s">
        <v>10536</v>
      </c>
      <c r="C3633" t="s">
        <v>10537</v>
      </c>
      <c r="D3633" t="s">
        <v>23</v>
      </c>
      <c r="E3633" t="s">
        <v>16</v>
      </c>
      <c r="F3633" t="s">
        <v>36</v>
      </c>
      <c r="G3633" t="s">
        <v>37</v>
      </c>
      <c r="H3633" t="s">
        <v>19</v>
      </c>
      <c r="I3633">
        <v>5</v>
      </c>
      <c r="J3633">
        <v>24</v>
      </c>
      <c r="K3633">
        <v>10.67</v>
      </c>
      <c r="L3633">
        <v>1</v>
      </c>
    </row>
    <row r="3634" spans="1:12">
      <c r="A3634" t="s">
        <v>10538</v>
      </c>
      <c r="B3634" t="s">
        <v>10539</v>
      </c>
      <c r="C3634" t="s">
        <v>10540</v>
      </c>
      <c r="D3634" t="s">
        <v>35</v>
      </c>
      <c r="E3634" t="s">
        <v>59</v>
      </c>
      <c r="F3634" t="s">
        <v>60</v>
      </c>
      <c r="G3634" t="s">
        <v>151</v>
      </c>
      <c r="H3634" t="s">
        <v>19</v>
      </c>
      <c r="I3634">
        <v>4</v>
      </c>
      <c r="J3634">
        <v>48</v>
      </c>
      <c r="K3634">
        <v>5.88</v>
      </c>
      <c r="L3634">
        <v>1</v>
      </c>
    </row>
    <row r="3635" spans="1:12">
      <c r="A3635" t="s">
        <v>10541</v>
      </c>
      <c r="B3635" t="s">
        <v>10542</v>
      </c>
      <c r="C3635" t="s">
        <v>10543</v>
      </c>
      <c r="D3635" t="s">
        <v>23</v>
      </c>
      <c r="E3635" t="s">
        <v>54</v>
      </c>
      <c r="F3635" t="s">
        <v>17</v>
      </c>
      <c r="G3635" t="s">
        <v>151</v>
      </c>
      <c r="H3635" t="s">
        <v>19</v>
      </c>
      <c r="I3635">
        <v>5</v>
      </c>
      <c r="J3635">
        <v>24</v>
      </c>
      <c r="K3635">
        <v>9.94</v>
      </c>
      <c r="L3635">
        <v>1</v>
      </c>
    </row>
    <row r="3636" spans="1:12">
      <c r="A3636" t="s">
        <v>10544</v>
      </c>
      <c r="B3636" t="s">
        <v>10545</v>
      </c>
      <c r="C3636" t="s">
        <v>10546</v>
      </c>
      <c r="D3636" t="s">
        <v>23</v>
      </c>
      <c r="E3636" t="s">
        <v>24</v>
      </c>
      <c r="F3636" t="s">
        <v>41</v>
      </c>
      <c r="G3636" t="s">
        <v>18</v>
      </c>
      <c r="H3636" t="s">
        <v>31</v>
      </c>
      <c r="I3636">
        <v>4</v>
      </c>
      <c r="J3636">
        <v>24</v>
      </c>
      <c r="K3636">
        <v>12.59</v>
      </c>
      <c r="L3636">
        <v>1</v>
      </c>
    </row>
    <row r="3637" spans="1:12">
      <c r="A3637" t="s">
        <v>10547</v>
      </c>
      <c r="B3637" t="s">
        <v>10548</v>
      </c>
      <c r="C3637" t="s">
        <v>10549</v>
      </c>
      <c r="D3637" t="s">
        <v>23</v>
      </c>
      <c r="E3637" t="s">
        <v>54</v>
      </c>
      <c r="F3637" t="s">
        <v>17</v>
      </c>
      <c r="G3637" t="s">
        <v>18</v>
      </c>
      <c r="H3637" t="s">
        <v>31</v>
      </c>
      <c r="I3637">
        <v>4</v>
      </c>
      <c r="J3637">
        <v>24</v>
      </c>
      <c r="K3637">
        <v>19.899999999999999</v>
      </c>
      <c r="L3637">
        <v>1</v>
      </c>
    </row>
    <row r="3638" spans="1:12">
      <c r="A3638" t="s">
        <v>10550</v>
      </c>
      <c r="B3638" t="s">
        <v>10551</v>
      </c>
      <c r="C3638" t="s">
        <v>10552</v>
      </c>
      <c r="D3638" t="s">
        <v>23</v>
      </c>
      <c r="E3638" t="s">
        <v>28</v>
      </c>
      <c r="F3638" t="s">
        <v>41</v>
      </c>
      <c r="G3638" t="s">
        <v>30</v>
      </c>
      <c r="H3638" t="s">
        <v>19</v>
      </c>
      <c r="I3638">
        <v>4</v>
      </c>
      <c r="J3638">
        <v>24</v>
      </c>
      <c r="K3638">
        <v>17.53</v>
      </c>
      <c r="L3638">
        <v>1</v>
      </c>
    </row>
    <row r="3639" spans="1:12">
      <c r="A3639" t="s">
        <v>10553</v>
      </c>
      <c r="B3639" t="s">
        <v>10554</v>
      </c>
      <c r="C3639" t="s">
        <v>10555</v>
      </c>
      <c r="D3639" t="s">
        <v>23</v>
      </c>
      <c r="E3639" t="s">
        <v>54</v>
      </c>
      <c r="F3639" t="s">
        <v>17</v>
      </c>
      <c r="G3639" t="s">
        <v>37</v>
      </c>
      <c r="H3639" t="s">
        <v>31</v>
      </c>
      <c r="I3639">
        <v>5</v>
      </c>
      <c r="J3639">
        <v>24</v>
      </c>
      <c r="K3639">
        <v>6.15</v>
      </c>
      <c r="L3639">
        <v>1</v>
      </c>
    </row>
    <row r="3640" spans="1:12">
      <c r="A3640" t="s">
        <v>10556</v>
      </c>
      <c r="B3640" t="s">
        <v>10557</v>
      </c>
      <c r="C3640" t="s">
        <v>10558</v>
      </c>
      <c r="D3640" t="s">
        <v>158</v>
      </c>
      <c r="E3640" t="s">
        <v>28</v>
      </c>
      <c r="F3640" t="s">
        <v>29</v>
      </c>
      <c r="G3640" t="s">
        <v>151</v>
      </c>
      <c r="H3640" t="s">
        <v>19</v>
      </c>
      <c r="I3640">
        <v>3</v>
      </c>
      <c r="J3640">
        <v>4</v>
      </c>
      <c r="K3640">
        <v>3.03</v>
      </c>
      <c r="L3640">
        <v>1</v>
      </c>
    </row>
    <row r="3641" spans="1:12">
      <c r="A3641" t="s">
        <v>10559</v>
      </c>
      <c r="B3641" t="s">
        <v>10560</v>
      </c>
      <c r="C3641" t="s">
        <v>10561</v>
      </c>
      <c r="D3641" t="s">
        <v>35</v>
      </c>
      <c r="E3641" t="s">
        <v>28</v>
      </c>
      <c r="F3641" t="s">
        <v>36</v>
      </c>
      <c r="G3641" t="s">
        <v>172</v>
      </c>
      <c r="H3641" t="s">
        <v>31</v>
      </c>
      <c r="I3641">
        <v>5</v>
      </c>
      <c r="J3641">
        <v>48</v>
      </c>
      <c r="K3641">
        <v>7.08</v>
      </c>
      <c r="L3641">
        <v>1</v>
      </c>
    </row>
    <row r="3642" spans="1:12">
      <c r="A3642" t="s">
        <v>10562</v>
      </c>
      <c r="B3642" t="s">
        <v>10563</v>
      </c>
      <c r="C3642" t="s">
        <v>10564</v>
      </c>
      <c r="D3642" t="s">
        <v>15</v>
      </c>
      <c r="E3642" t="s">
        <v>54</v>
      </c>
      <c r="F3642" t="s">
        <v>41</v>
      </c>
      <c r="G3642" t="s">
        <v>37</v>
      </c>
      <c r="H3642" t="s">
        <v>31</v>
      </c>
      <c r="I3642">
        <v>2</v>
      </c>
      <c r="J3642">
        <v>8</v>
      </c>
      <c r="K3642">
        <v>22.63</v>
      </c>
      <c r="L3642">
        <v>0</v>
      </c>
    </row>
    <row r="3643" spans="1:12">
      <c r="A3643" t="s">
        <v>10565</v>
      </c>
      <c r="B3643" t="s">
        <v>10566</v>
      </c>
      <c r="C3643" t="s">
        <v>10567</v>
      </c>
      <c r="D3643" t="s">
        <v>158</v>
      </c>
      <c r="E3643" t="s">
        <v>54</v>
      </c>
      <c r="F3643" t="s">
        <v>17</v>
      </c>
      <c r="G3643" t="s">
        <v>151</v>
      </c>
      <c r="H3643" t="s">
        <v>31</v>
      </c>
      <c r="I3643">
        <v>5</v>
      </c>
      <c r="J3643">
        <v>4</v>
      </c>
      <c r="K3643">
        <v>2.56</v>
      </c>
      <c r="L3643">
        <v>1</v>
      </c>
    </row>
    <row r="3644" spans="1:12">
      <c r="A3644" t="s">
        <v>10568</v>
      </c>
      <c r="B3644" t="s">
        <v>10569</v>
      </c>
      <c r="C3644" t="s">
        <v>10570</v>
      </c>
      <c r="D3644" t="s">
        <v>23</v>
      </c>
      <c r="E3644" t="s">
        <v>54</v>
      </c>
      <c r="F3644" t="s">
        <v>41</v>
      </c>
      <c r="G3644" t="s">
        <v>151</v>
      </c>
      <c r="H3644" t="s">
        <v>31</v>
      </c>
      <c r="I3644">
        <v>4</v>
      </c>
      <c r="J3644">
        <v>24</v>
      </c>
      <c r="K3644">
        <v>19.739999999999998</v>
      </c>
      <c r="L3644">
        <v>1</v>
      </c>
    </row>
    <row r="3645" spans="1:12">
      <c r="A3645" t="s">
        <v>10571</v>
      </c>
      <c r="B3645" t="s">
        <v>10572</v>
      </c>
      <c r="C3645" t="s">
        <v>10573</v>
      </c>
      <c r="D3645" t="s">
        <v>158</v>
      </c>
      <c r="E3645" t="s">
        <v>24</v>
      </c>
      <c r="F3645" t="s">
        <v>41</v>
      </c>
      <c r="G3645" t="s">
        <v>30</v>
      </c>
      <c r="H3645" t="s">
        <v>31</v>
      </c>
      <c r="I3645">
        <v>1</v>
      </c>
      <c r="J3645">
        <v>4</v>
      </c>
      <c r="K3645">
        <v>5.18</v>
      </c>
      <c r="L3645">
        <v>0</v>
      </c>
    </row>
    <row r="3646" spans="1:12">
      <c r="A3646" t="s">
        <v>10574</v>
      </c>
      <c r="B3646" t="s">
        <v>10575</v>
      </c>
      <c r="C3646" t="s">
        <v>10576</v>
      </c>
      <c r="D3646" t="s">
        <v>23</v>
      </c>
      <c r="E3646" t="s">
        <v>28</v>
      </c>
      <c r="F3646" t="s">
        <v>29</v>
      </c>
      <c r="G3646" t="s">
        <v>73</v>
      </c>
      <c r="H3646" t="s">
        <v>19</v>
      </c>
      <c r="I3646">
        <v>5</v>
      </c>
      <c r="J3646">
        <v>24</v>
      </c>
      <c r="K3646">
        <v>8.24</v>
      </c>
      <c r="L3646">
        <v>1</v>
      </c>
    </row>
    <row r="3647" spans="1:12">
      <c r="A3647" t="s">
        <v>10577</v>
      </c>
      <c r="B3647" t="s">
        <v>10578</v>
      </c>
      <c r="C3647" t="s">
        <v>10579</v>
      </c>
      <c r="D3647" t="s">
        <v>23</v>
      </c>
      <c r="E3647" t="s">
        <v>28</v>
      </c>
      <c r="F3647" t="s">
        <v>41</v>
      </c>
      <c r="G3647" t="s">
        <v>73</v>
      </c>
      <c r="H3647" t="s">
        <v>31</v>
      </c>
      <c r="I3647">
        <v>1</v>
      </c>
      <c r="J3647">
        <v>24</v>
      </c>
      <c r="K3647">
        <v>28.11</v>
      </c>
      <c r="L3647">
        <v>0</v>
      </c>
    </row>
    <row r="3648" spans="1:12">
      <c r="A3648" t="s">
        <v>10580</v>
      </c>
      <c r="B3648" t="s">
        <v>10581</v>
      </c>
      <c r="D3648" t="s">
        <v>23</v>
      </c>
      <c r="E3648" t="s">
        <v>28</v>
      </c>
      <c r="F3648" t="s">
        <v>36</v>
      </c>
      <c r="G3648" t="s">
        <v>42</v>
      </c>
      <c r="H3648" t="s">
        <v>46</v>
      </c>
      <c r="J3648">
        <v>24</v>
      </c>
    </row>
    <row r="3649" spans="1:12">
      <c r="A3649" t="s">
        <v>10582</v>
      </c>
      <c r="B3649" t="s">
        <v>10583</v>
      </c>
      <c r="C3649" t="s">
        <v>10584</v>
      </c>
      <c r="D3649" t="s">
        <v>23</v>
      </c>
      <c r="E3649" t="s">
        <v>54</v>
      </c>
      <c r="F3649" t="s">
        <v>36</v>
      </c>
      <c r="G3649" t="s">
        <v>45</v>
      </c>
      <c r="H3649" t="s">
        <v>19</v>
      </c>
      <c r="I3649">
        <v>5</v>
      </c>
      <c r="J3649">
        <v>24</v>
      </c>
      <c r="K3649">
        <v>9.86</v>
      </c>
      <c r="L3649">
        <v>1</v>
      </c>
    </row>
    <row r="3650" spans="1:12">
      <c r="A3650" t="s">
        <v>10585</v>
      </c>
      <c r="B3650" t="s">
        <v>10586</v>
      </c>
      <c r="C3650" t="s">
        <v>10587</v>
      </c>
      <c r="D3650" t="s">
        <v>23</v>
      </c>
      <c r="E3650" t="s">
        <v>28</v>
      </c>
      <c r="F3650" t="s">
        <v>41</v>
      </c>
      <c r="G3650" t="s">
        <v>30</v>
      </c>
      <c r="H3650" t="s">
        <v>31</v>
      </c>
      <c r="I3650">
        <v>3</v>
      </c>
      <c r="J3650">
        <v>24</v>
      </c>
      <c r="K3650">
        <v>16.53</v>
      </c>
      <c r="L3650">
        <v>1</v>
      </c>
    </row>
    <row r="3651" spans="1:12">
      <c r="A3651" t="s">
        <v>10588</v>
      </c>
      <c r="B3651" t="s">
        <v>10589</v>
      </c>
      <c r="C3651" t="s">
        <v>10590</v>
      </c>
      <c r="D3651" t="s">
        <v>35</v>
      </c>
      <c r="E3651" t="s">
        <v>59</v>
      </c>
      <c r="F3651" t="s">
        <v>41</v>
      </c>
      <c r="G3651" t="s">
        <v>73</v>
      </c>
      <c r="H3651" t="s">
        <v>31</v>
      </c>
      <c r="I3651">
        <v>4</v>
      </c>
      <c r="J3651">
        <v>48</v>
      </c>
      <c r="K3651">
        <v>38.119999999999997</v>
      </c>
      <c r="L3651">
        <v>1</v>
      </c>
    </row>
    <row r="3652" spans="1:12">
      <c r="A3652" t="s">
        <v>10591</v>
      </c>
      <c r="B3652" t="s">
        <v>10592</v>
      </c>
      <c r="C3652" t="s">
        <v>10593</v>
      </c>
      <c r="D3652" t="s">
        <v>23</v>
      </c>
      <c r="E3652" t="s">
        <v>28</v>
      </c>
      <c r="F3652" t="s">
        <v>41</v>
      </c>
      <c r="G3652" t="s">
        <v>105</v>
      </c>
      <c r="H3652" t="s">
        <v>19</v>
      </c>
      <c r="I3652">
        <v>4</v>
      </c>
      <c r="J3652">
        <v>24</v>
      </c>
      <c r="K3652">
        <v>20.88</v>
      </c>
      <c r="L3652">
        <v>1</v>
      </c>
    </row>
    <row r="3653" spans="1:12">
      <c r="A3653" t="s">
        <v>10594</v>
      </c>
      <c r="B3653" t="s">
        <v>10595</v>
      </c>
      <c r="C3653" t="s">
        <v>10596</v>
      </c>
      <c r="D3653" t="s">
        <v>158</v>
      </c>
      <c r="E3653" t="s">
        <v>54</v>
      </c>
      <c r="F3653" t="s">
        <v>60</v>
      </c>
      <c r="G3653" t="s">
        <v>45</v>
      </c>
      <c r="H3653" t="s">
        <v>19</v>
      </c>
      <c r="I3653">
        <v>5</v>
      </c>
      <c r="J3653">
        <v>4</v>
      </c>
      <c r="K3653">
        <v>1.96</v>
      </c>
      <c r="L3653">
        <v>1</v>
      </c>
    </row>
    <row r="3654" spans="1:12">
      <c r="A3654" t="s">
        <v>10597</v>
      </c>
      <c r="B3654" t="s">
        <v>10598</v>
      </c>
      <c r="C3654" t="s">
        <v>10599</v>
      </c>
      <c r="D3654" t="s">
        <v>158</v>
      </c>
      <c r="E3654" t="s">
        <v>59</v>
      </c>
      <c r="F3654" t="s">
        <v>60</v>
      </c>
      <c r="G3654" t="s">
        <v>77</v>
      </c>
      <c r="H3654" t="s">
        <v>31</v>
      </c>
      <c r="I3654">
        <v>2</v>
      </c>
      <c r="J3654">
        <v>4</v>
      </c>
      <c r="K3654">
        <v>5.39</v>
      </c>
      <c r="L3654">
        <v>0</v>
      </c>
    </row>
    <row r="3655" spans="1:12">
      <c r="A3655" t="s">
        <v>10600</v>
      </c>
      <c r="B3655" t="s">
        <v>10601</v>
      </c>
      <c r="C3655" t="s">
        <v>10602</v>
      </c>
      <c r="D3655" t="s">
        <v>23</v>
      </c>
      <c r="E3655" t="s">
        <v>24</v>
      </c>
      <c r="F3655" t="s">
        <v>17</v>
      </c>
      <c r="G3655" t="s">
        <v>77</v>
      </c>
      <c r="H3655" t="s">
        <v>31</v>
      </c>
      <c r="I3655">
        <v>5</v>
      </c>
      <c r="J3655">
        <v>24</v>
      </c>
      <c r="K3655">
        <v>10.58</v>
      </c>
      <c r="L3655">
        <v>1</v>
      </c>
    </row>
    <row r="3656" spans="1:12">
      <c r="A3656" t="s">
        <v>10603</v>
      </c>
      <c r="B3656" t="s">
        <v>10604</v>
      </c>
      <c r="C3656" t="s">
        <v>10605</v>
      </c>
      <c r="D3656" t="s">
        <v>23</v>
      </c>
      <c r="E3656" t="s">
        <v>28</v>
      </c>
      <c r="F3656" t="s">
        <v>36</v>
      </c>
      <c r="G3656" t="s">
        <v>50</v>
      </c>
      <c r="H3656" t="s">
        <v>19</v>
      </c>
      <c r="I3656">
        <v>3</v>
      </c>
      <c r="J3656">
        <v>24</v>
      </c>
      <c r="K3656">
        <v>20.059999999999999</v>
      </c>
      <c r="L3656">
        <v>1</v>
      </c>
    </row>
    <row r="3657" spans="1:12">
      <c r="A3657" t="s">
        <v>10606</v>
      </c>
      <c r="B3657" t="s">
        <v>10607</v>
      </c>
      <c r="C3657" t="s">
        <v>10608</v>
      </c>
      <c r="D3657" t="s">
        <v>35</v>
      </c>
      <c r="E3657" t="s">
        <v>24</v>
      </c>
      <c r="F3657" t="s">
        <v>41</v>
      </c>
      <c r="G3657" t="s">
        <v>105</v>
      </c>
      <c r="H3657" t="s">
        <v>31</v>
      </c>
      <c r="I3657">
        <v>4</v>
      </c>
      <c r="J3657">
        <v>48</v>
      </c>
      <c r="K3657">
        <v>5.23</v>
      </c>
      <c r="L3657">
        <v>1</v>
      </c>
    </row>
    <row r="3658" spans="1:12">
      <c r="A3658" t="s">
        <v>10609</v>
      </c>
      <c r="B3658" t="s">
        <v>10610</v>
      </c>
      <c r="D3658" t="s">
        <v>35</v>
      </c>
      <c r="E3658" t="s">
        <v>54</v>
      </c>
      <c r="F3658" t="s">
        <v>41</v>
      </c>
      <c r="G3658" t="s">
        <v>45</v>
      </c>
      <c r="H3658" t="s">
        <v>46</v>
      </c>
      <c r="J3658">
        <v>48</v>
      </c>
    </row>
    <row r="3659" spans="1:12">
      <c r="A3659" t="s">
        <v>10611</v>
      </c>
      <c r="B3659" t="s">
        <v>10612</v>
      </c>
      <c r="C3659" t="s">
        <v>10613</v>
      </c>
      <c r="D3659" t="s">
        <v>23</v>
      </c>
      <c r="E3659" t="s">
        <v>28</v>
      </c>
      <c r="F3659" t="s">
        <v>36</v>
      </c>
      <c r="G3659" t="s">
        <v>73</v>
      </c>
      <c r="H3659" t="s">
        <v>19</v>
      </c>
      <c r="I3659">
        <v>5</v>
      </c>
      <c r="J3659">
        <v>24</v>
      </c>
      <c r="K3659">
        <v>20.71</v>
      </c>
      <c r="L3659">
        <v>1</v>
      </c>
    </row>
    <row r="3660" spans="1:12">
      <c r="A3660" t="s">
        <v>10614</v>
      </c>
      <c r="B3660" t="s">
        <v>10615</v>
      </c>
      <c r="C3660" t="s">
        <v>10616</v>
      </c>
      <c r="D3660" t="s">
        <v>23</v>
      </c>
      <c r="E3660" t="s">
        <v>28</v>
      </c>
      <c r="F3660" t="s">
        <v>60</v>
      </c>
      <c r="G3660" t="s">
        <v>151</v>
      </c>
      <c r="H3660" t="s">
        <v>19</v>
      </c>
      <c r="I3660">
        <v>1</v>
      </c>
      <c r="J3660">
        <v>24</v>
      </c>
      <c r="K3660">
        <v>56.66</v>
      </c>
      <c r="L3660">
        <v>0</v>
      </c>
    </row>
    <row r="3661" spans="1:12">
      <c r="A3661" t="s">
        <v>10617</v>
      </c>
      <c r="B3661" t="s">
        <v>10618</v>
      </c>
      <c r="C3661" t="s">
        <v>10619</v>
      </c>
      <c r="D3661" t="s">
        <v>23</v>
      </c>
      <c r="E3661" t="s">
        <v>24</v>
      </c>
      <c r="F3661" t="s">
        <v>60</v>
      </c>
      <c r="G3661" t="s">
        <v>55</v>
      </c>
      <c r="H3661" t="s">
        <v>19</v>
      </c>
      <c r="I3661">
        <v>5</v>
      </c>
      <c r="J3661">
        <v>24</v>
      </c>
      <c r="K3661">
        <v>16.29</v>
      </c>
      <c r="L3661">
        <v>1</v>
      </c>
    </row>
    <row r="3662" spans="1:12">
      <c r="A3662" t="s">
        <v>10620</v>
      </c>
      <c r="B3662" t="s">
        <v>10621</v>
      </c>
      <c r="C3662" t="s">
        <v>10622</v>
      </c>
      <c r="D3662" t="s">
        <v>23</v>
      </c>
      <c r="E3662" t="s">
        <v>59</v>
      </c>
      <c r="F3662" t="s">
        <v>36</v>
      </c>
      <c r="G3662" t="s">
        <v>50</v>
      </c>
      <c r="H3662" t="s">
        <v>19</v>
      </c>
      <c r="I3662">
        <v>4</v>
      </c>
      <c r="J3662">
        <v>24</v>
      </c>
      <c r="K3662">
        <v>17.170000000000002</v>
      </c>
      <c r="L3662">
        <v>1</v>
      </c>
    </row>
    <row r="3663" spans="1:12">
      <c r="A3663" t="s">
        <v>10623</v>
      </c>
      <c r="B3663" t="s">
        <v>10624</v>
      </c>
      <c r="C3663" t="s">
        <v>10625</v>
      </c>
      <c r="D3663" t="s">
        <v>35</v>
      </c>
      <c r="E3663" t="s">
        <v>16</v>
      </c>
      <c r="F3663" t="s">
        <v>36</v>
      </c>
      <c r="G3663" t="s">
        <v>50</v>
      </c>
      <c r="H3663" t="s">
        <v>19</v>
      </c>
      <c r="I3663">
        <v>4</v>
      </c>
      <c r="J3663">
        <v>48</v>
      </c>
      <c r="K3663">
        <v>43.52</v>
      </c>
      <c r="L3663">
        <v>1</v>
      </c>
    </row>
    <row r="3664" spans="1:12">
      <c r="A3664" t="s">
        <v>10626</v>
      </c>
      <c r="B3664" t="s">
        <v>10627</v>
      </c>
      <c r="C3664" t="s">
        <v>10628</v>
      </c>
      <c r="D3664" t="s">
        <v>158</v>
      </c>
      <c r="E3664" t="s">
        <v>28</v>
      </c>
      <c r="F3664" t="s">
        <v>41</v>
      </c>
      <c r="G3664" t="s">
        <v>77</v>
      </c>
      <c r="H3664" t="s">
        <v>31</v>
      </c>
      <c r="I3664">
        <v>4</v>
      </c>
      <c r="J3664">
        <v>4</v>
      </c>
      <c r="K3664">
        <v>2.4300000000000002</v>
      </c>
      <c r="L3664">
        <v>1</v>
      </c>
    </row>
    <row r="3665" spans="1:12">
      <c r="A3665" t="s">
        <v>10629</v>
      </c>
      <c r="B3665" t="s">
        <v>10630</v>
      </c>
      <c r="C3665" t="s">
        <v>10631</v>
      </c>
      <c r="D3665" t="s">
        <v>23</v>
      </c>
      <c r="E3665" t="s">
        <v>28</v>
      </c>
      <c r="F3665" t="s">
        <v>36</v>
      </c>
      <c r="G3665" t="s">
        <v>151</v>
      </c>
      <c r="H3665" t="s">
        <v>19</v>
      </c>
      <c r="I3665">
        <v>4</v>
      </c>
      <c r="J3665">
        <v>24</v>
      </c>
      <c r="K3665">
        <v>29.49</v>
      </c>
      <c r="L3665">
        <v>0</v>
      </c>
    </row>
    <row r="3666" spans="1:12">
      <c r="A3666" t="s">
        <v>10632</v>
      </c>
      <c r="B3666" t="s">
        <v>10633</v>
      </c>
      <c r="C3666" t="s">
        <v>10634</v>
      </c>
      <c r="D3666" t="s">
        <v>35</v>
      </c>
      <c r="E3666" t="s">
        <v>24</v>
      </c>
      <c r="F3666" t="s">
        <v>41</v>
      </c>
      <c r="G3666" t="s">
        <v>30</v>
      </c>
      <c r="H3666" t="s">
        <v>31</v>
      </c>
      <c r="I3666">
        <v>3</v>
      </c>
      <c r="J3666">
        <v>48</v>
      </c>
      <c r="K3666">
        <v>34.869999999999997</v>
      </c>
      <c r="L3666">
        <v>1</v>
      </c>
    </row>
    <row r="3667" spans="1:12">
      <c r="A3667" t="s">
        <v>10635</v>
      </c>
      <c r="B3667" t="s">
        <v>10636</v>
      </c>
      <c r="C3667" t="s">
        <v>10637</v>
      </c>
      <c r="D3667" t="s">
        <v>158</v>
      </c>
      <c r="E3667" t="s">
        <v>24</v>
      </c>
      <c r="F3667" t="s">
        <v>29</v>
      </c>
      <c r="G3667" t="s">
        <v>151</v>
      </c>
      <c r="H3667" t="s">
        <v>19</v>
      </c>
      <c r="I3667">
        <v>5</v>
      </c>
      <c r="J3667">
        <v>4</v>
      </c>
      <c r="K3667">
        <v>2.73</v>
      </c>
      <c r="L3667">
        <v>1</v>
      </c>
    </row>
    <row r="3668" spans="1:12">
      <c r="A3668" t="s">
        <v>10638</v>
      </c>
      <c r="B3668" t="s">
        <v>10639</v>
      </c>
      <c r="C3668" t="s">
        <v>10640</v>
      </c>
      <c r="D3668" t="s">
        <v>23</v>
      </c>
      <c r="E3668" t="s">
        <v>54</v>
      </c>
      <c r="F3668" t="s">
        <v>36</v>
      </c>
      <c r="G3668" t="s">
        <v>42</v>
      </c>
      <c r="H3668" t="s">
        <v>19</v>
      </c>
      <c r="I3668">
        <v>5</v>
      </c>
      <c r="J3668">
        <v>24</v>
      </c>
      <c r="K3668">
        <v>15.05</v>
      </c>
      <c r="L3668">
        <v>1</v>
      </c>
    </row>
    <row r="3669" spans="1:12">
      <c r="A3669" t="s">
        <v>10641</v>
      </c>
      <c r="B3669" t="s">
        <v>10642</v>
      </c>
      <c r="C3669" t="s">
        <v>10643</v>
      </c>
      <c r="D3669" t="s">
        <v>35</v>
      </c>
      <c r="E3669" t="s">
        <v>16</v>
      </c>
      <c r="F3669" t="s">
        <v>41</v>
      </c>
      <c r="G3669" t="s">
        <v>45</v>
      </c>
      <c r="H3669" t="s">
        <v>31</v>
      </c>
      <c r="I3669">
        <v>5</v>
      </c>
      <c r="J3669">
        <v>48</v>
      </c>
      <c r="K3669">
        <v>31.48</v>
      </c>
      <c r="L3669">
        <v>1</v>
      </c>
    </row>
    <row r="3670" spans="1:12">
      <c r="A3670" t="s">
        <v>10644</v>
      </c>
      <c r="B3670" t="s">
        <v>10645</v>
      </c>
      <c r="C3670" t="s">
        <v>10646</v>
      </c>
      <c r="D3670" t="s">
        <v>23</v>
      </c>
      <c r="E3670" t="s">
        <v>16</v>
      </c>
      <c r="F3670" t="s">
        <v>41</v>
      </c>
      <c r="G3670" t="s">
        <v>172</v>
      </c>
      <c r="H3670" t="s">
        <v>31</v>
      </c>
      <c r="I3670">
        <v>4</v>
      </c>
      <c r="J3670">
        <v>24</v>
      </c>
      <c r="K3670">
        <v>11.61</v>
      </c>
      <c r="L3670">
        <v>1</v>
      </c>
    </row>
    <row r="3671" spans="1:12">
      <c r="A3671" t="s">
        <v>10647</v>
      </c>
      <c r="B3671" t="s">
        <v>10648</v>
      </c>
      <c r="C3671" t="s">
        <v>10649</v>
      </c>
      <c r="D3671" t="s">
        <v>23</v>
      </c>
      <c r="E3671" t="s">
        <v>28</v>
      </c>
      <c r="F3671" t="s">
        <v>41</v>
      </c>
      <c r="G3671" t="s">
        <v>151</v>
      </c>
      <c r="H3671" t="s">
        <v>31</v>
      </c>
      <c r="I3671">
        <v>5</v>
      </c>
      <c r="J3671">
        <v>24</v>
      </c>
      <c r="K3671">
        <v>17.54</v>
      </c>
      <c r="L3671">
        <v>1</v>
      </c>
    </row>
    <row r="3672" spans="1:12">
      <c r="A3672" t="s">
        <v>10650</v>
      </c>
      <c r="B3672" t="s">
        <v>10651</v>
      </c>
      <c r="C3672" t="s">
        <v>10652</v>
      </c>
      <c r="D3672" t="s">
        <v>158</v>
      </c>
      <c r="E3672" t="s">
        <v>24</v>
      </c>
      <c r="F3672" t="s">
        <v>29</v>
      </c>
      <c r="G3672" t="s">
        <v>42</v>
      </c>
      <c r="H3672" t="s">
        <v>19</v>
      </c>
      <c r="I3672">
        <v>3</v>
      </c>
      <c r="J3672">
        <v>4</v>
      </c>
      <c r="K3672">
        <v>1.9</v>
      </c>
      <c r="L3672">
        <v>1</v>
      </c>
    </row>
    <row r="3673" spans="1:12">
      <c r="A3673" t="s">
        <v>10653</v>
      </c>
      <c r="B3673" t="s">
        <v>10654</v>
      </c>
      <c r="C3673" t="s">
        <v>10655</v>
      </c>
      <c r="D3673" t="s">
        <v>23</v>
      </c>
      <c r="E3673" t="s">
        <v>16</v>
      </c>
      <c r="F3673" t="s">
        <v>36</v>
      </c>
      <c r="G3673" t="s">
        <v>18</v>
      </c>
      <c r="H3673" t="s">
        <v>19</v>
      </c>
      <c r="I3673">
        <v>3</v>
      </c>
      <c r="J3673">
        <v>24</v>
      </c>
      <c r="K3673">
        <v>71.22</v>
      </c>
      <c r="L3673">
        <v>0</v>
      </c>
    </row>
    <row r="3674" spans="1:12">
      <c r="A3674" t="s">
        <v>10656</v>
      </c>
      <c r="B3674" t="s">
        <v>10657</v>
      </c>
      <c r="C3674" t="s">
        <v>10658</v>
      </c>
      <c r="D3674" t="s">
        <v>23</v>
      </c>
      <c r="E3674" t="s">
        <v>28</v>
      </c>
      <c r="F3674" t="s">
        <v>41</v>
      </c>
      <c r="G3674" t="s">
        <v>105</v>
      </c>
      <c r="H3674" t="s">
        <v>31</v>
      </c>
      <c r="I3674">
        <v>4</v>
      </c>
      <c r="J3674">
        <v>24</v>
      </c>
      <c r="K3674">
        <v>14.8</v>
      </c>
      <c r="L3674">
        <v>1</v>
      </c>
    </row>
    <row r="3675" spans="1:12">
      <c r="A3675" t="s">
        <v>10659</v>
      </c>
      <c r="B3675" t="s">
        <v>10660</v>
      </c>
      <c r="C3675" t="s">
        <v>10661</v>
      </c>
      <c r="D3675" t="s">
        <v>23</v>
      </c>
      <c r="E3675" t="s">
        <v>59</v>
      </c>
      <c r="F3675" t="s">
        <v>36</v>
      </c>
      <c r="G3675" t="s">
        <v>77</v>
      </c>
      <c r="H3675" t="s">
        <v>19</v>
      </c>
      <c r="I3675">
        <v>5</v>
      </c>
      <c r="J3675">
        <v>24</v>
      </c>
      <c r="K3675">
        <v>4.2</v>
      </c>
      <c r="L3675">
        <v>1</v>
      </c>
    </row>
    <row r="3676" spans="1:12">
      <c r="A3676" t="s">
        <v>10662</v>
      </c>
      <c r="B3676" t="s">
        <v>10663</v>
      </c>
      <c r="C3676" t="s">
        <v>10664</v>
      </c>
      <c r="D3676" t="s">
        <v>23</v>
      </c>
      <c r="E3676" t="s">
        <v>24</v>
      </c>
      <c r="F3676" t="s">
        <v>29</v>
      </c>
      <c r="G3676" t="s">
        <v>77</v>
      </c>
      <c r="H3676" t="s">
        <v>19</v>
      </c>
      <c r="I3676">
        <v>3</v>
      </c>
      <c r="J3676">
        <v>24</v>
      </c>
      <c r="K3676">
        <v>12.93</v>
      </c>
      <c r="L3676">
        <v>1</v>
      </c>
    </row>
    <row r="3677" spans="1:12">
      <c r="A3677" t="s">
        <v>10665</v>
      </c>
      <c r="B3677" t="s">
        <v>10666</v>
      </c>
      <c r="D3677" t="s">
        <v>23</v>
      </c>
      <c r="E3677" t="s">
        <v>24</v>
      </c>
      <c r="F3677" t="s">
        <v>36</v>
      </c>
      <c r="G3677" t="s">
        <v>18</v>
      </c>
      <c r="H3677" t="s">
        <v>63</v>
      </c>
      <c r="J3677">
        <v>24</v>
      </c>
    </row>
    <row r="3678" spans="1:12">
      <c r="A3678" t="s">
        <v>10667</v>
      </c>
      <c r="B3678" t="s">
        <v>10668</v>
      </c>
      <c r="C3678" t="s">
        <v>10669</v>
      </c>
      <c r="D3678" t="s">
        <v>15</v>
      </c>
      <c r="E3678" t="s">
        <v>28</v>
      </c>
      <c r="F3678" t="s">
        <v>29</v>
      </c>
      <c r="G3678" t="s">
        <v>105</v>
      </c>
      <c r="H3678" t="s">
        <v>19</v>
      </c>
      <c r="I3678">
        <v>4</v>
      </c>
      <c r="J3678">
        <v>8</v>
      </c>
      <c r="K3678">
        <v>2.54</v>
      </c>
      <c r="L3678">
        <v>1</v>
      </c>
    </row>
    <row r="3679" spans="1:12">
      <c r="A3679" t="s">
        <v>10670</v>
      </c>
      <c r="B3679" t="s">
        <v>10671</v>
      </c>
      <c r="C3679" t="s">
        <v>10672</v>
      </c>
      <c r="D3679" t="s">
        <v>23</v>
      </c>
      <c r="E3679" t="s">
        <v>54</v>
      </c>
      <c r="F3679" t="s">
        <v>17</v>
      </c>
      <c r="G3679" t="s">
        <v>73</v>
      </c>
      <c r="H3679" t="s">
        <v>19</v>
      </c>
      <c r="I3679">
        <v>5</v>
      </c>
      <c r="J3679">
        <v>24</v>
      </c>
      <c r="K3679">
        <v>8.8699999999999992</v>
      </c>
      <c r="L3679">
        <v>1</v>
      </c>
    </row>
    <row r="3680" spans="1:12">
      <c r="A3680" t="s">
        <v>10673</v>
      </c>
      <c r="B3680" t="s">
        <v>10674</v>
      </c>
      <c r="C3680" t="s">
        <v>10675</v>
      </c>
      <c r="D3680" t="s">
        <v>23</v>
      </c>
      <c r="E3680" t="s">
        <v>24</v>
      </c>
      <c r="F3680" t="s">
        <v>36</v>
      </c>
      <c r="G3680" t="s">
        <v>42</v>
      </c>
      <c r="H3680" t="s">
        <v>31</v>
      </c>
      <c r="I3680">
        <v>4</v>
      </c>
      <c r="J3680">
        <v>24</v>
      </c>
      <c r="K3680">
        <v>16.7</v>
      </c>
      <c r="L3680">
        <v>1</v>
      </c>
    </row>
    <row r="3681" spans="1:12">
      <c r="A3681" t="s">
        <v>10676</v>
      </c>
      <c r="B3681" t="s">
        <v>10677</v>
      </c>
      <c r="C3681" t="s">
        <v>10678</v>
      </c>
      <c r="D3681" t="s">
        <v>35</v>
      </c>
      <c r="E3681" t="s">
        <v>59</v>
      </c>
      <c r="F3681" t="s">
        <v>29</v>
      </c>
      <c r="G3681" t="s">
        <v>37</v>
      </c>
      <c r="H3681" t="s">
        <v>31</v>
      </c>
      <c r="I3681">
        <v>2</v>
      </c>
      <c r="J3681">
        <v>48</v>
      </c>
      <c r="K3681">
        <v>107.47</v>
      </c>
      <c r="L3681">
        <v>0</v>
      </c>
    </row>
    <row r="3682" spans="1:12">
      <c r="A3682" t="s">
        <v>10679</v>
      </c>
      <c r="B3682" t="s">
        <v>10680</v>
      </c>
      <c r="C3682" t="s">
        <v>10681</v>
      </c>
      <c r="D3682" t="s">
        <v>15</v>
      </c>
      <c r="E3682" t="s">
        <v>28</v>
      </c>
      <c r="F3682" t="s">
        <v>17</v>
      </c>
      <c r="G3682" t="s">
        <v>42</v>
      </c>
      <c r="H3682" t="s">
        <v>19</v>
      </c>
      <c r="I3682">
        <v>2</v>
      </c>
      <c r="J3682">
        <v>8</v>
      </c>
      <c r="K3682">
        <v>14.83</v>
      </c>
      <c r="L3682">
        <v>0</v>
      </c>
    </row>
    <row r="3683" spans="1:12">
      <c r="A3683" t="s">
        <v>10682</v>
      </c>
      <c r="B3683" t="s">
        <v>10683</v>
      </c>
      <c r="C3683" t="s">
        <v>10684</v>
      </c>
      <c r="D3683" t="s">
        <v>158</v>
      </c>
      <c r="E3683" t="s">
        <v>54</v>
      </c>
      <c r="F3683" t="s">
        <v>17</v>
      </c>
      <c r="G3683" t="s">
        <v>151</v>
      </c>
      <c r="H3683" t="s">
        <v>19</v>
      </c>
      <c r="I3683">
        <v>3</v>
      </c>
      <c r="J3683">
        <v>4</v>
      </c>
      <c r="K3683">
        <v>8.35</v>
      </c>
      <c r="L3683">
        <v>0</v>
      </c>
    </row>
    <row r="3684" spans="1:12">
      <c r="A3684" t="s">
        <v>10685</v>
      </c>
      <c r="B3684" t="s">
        <v>10686</v>
      </c>
      <c r="C3684" t="s">
        <v>10687</v>
      </c>
      <c r="D3684" t="s">
        <v>35</v>
      </c>
      <c r="E3684" t="s">
        <v>59</v>
      </c>
      <c r="F3684" t="s">
        <v>41</v>
      </c>
      <c r="G3684" t="s">
        <v>45</v>
      </c>
      <c r="H3684" t="s">
        <v>19</v>
      </c>
      <c r="I3684">
        <v>5</v>
      </c>
      <c r="J3684">
        <v>48</v>
      </c>
      <c r="K3684">
        <v>43.49</v>
      </c>
      <c r="L3684">
        <v>1</v>
      </c>
    </row>
    <row r="3685" spans="1:12">
      <c r="A3685" t="s">
        <v>10688</v>
      </c>
      <c r="B3685" t="s">
        <v>10689</v>
      </c>
      <c r="C3685" t="s">
        <v>10690</v>
      </c>
      <c r="D3685" t="s">
        <v>158</v>
      </c>
      <c r="E3685" t="s">
        <v>16</v>
      </c>
      <c r="F3685" t="s">
        <v>29</v>
      </c>
      <c r="G3685" t="s">
        <v>77</v>
      </c>
      <c r="H3685" t="s">
        <v>31</v>
      </c>
      <c r="I3685">
        <v>3</v>
      </c>
      <c r="J3685">
        <v>4</v>
      </c>
      <c r="K3685">
        <v>8.23</v>
      </c>
      <c r="L3685">
        <v>0</v>
      </c>
    </row>
    <row r="3686" spans="1:12">
      <c r="A3686" t="s">
        <v>10691</v>
      </c>
      <c r="B3686" t="s">
        <v>10692</v>
      </c>
      <c r="C3686" t="s">
        <v>10693</v>
      </c>
      <c r="D3686" t="s">
        <v>35</v>
      </c>
      <c r="E3686" t="s">
        <v>28</v>
      </c>
      <c r="F3686" t="s">
        <v>36</v>
      </c>
      <c r="G3686" t="s">
        <v>105</v>
      </c>
      <c r="H3686" t="s">
        <v>31</v>
      </c>
      <c r="I3686">
        <v>3</v>
      </c>
      <c r="J3686">
        <v>48</v>
      </c>
      <c r="K3686">
        <v>130.32</v>
      </c>
      <c r="L3686">
        <v>0</v>
      </c>
    </row>
    <row r="3687" spans="1:12">
      <c r="A3687" t="s">
        <v>10694</v>
      </c>
      <c r="B3687" t="s">
        <v>10695</v>
      </c>
      <c r="C3687" t="s">
        <v>10696</v>
      </c>
      <c r="D3687" t="s">
        <v>35</v>
      </c>
      <c r="E3687" t="s">
        <v>28</v>
      </c>
      <c r="F3687" t="s">
        <v>60</v>
      </c>
      <c r="G3687" t="s">
        <v>45</v>
      </c>
      <c r="H3687" t="s">
        <v>19</v>
      </c>
      <c r="I3687">
        <v>5</v>
      </c>
      <c r="J3687">
        <v>48</v>
      </c>
      <c r="K3687">
        <v>16.82</v>
      </c>
      <c r="L3687">
        <v>1</v>
      </c>
    </row>
    <row r="3688" spans="1:12">
      <c r="A3688" t="s">
        <v>10697</v>
      </c>
      <c r="B3688" t="s">
        <v>10698</v>
      </c>
      <c r="C3688" t="s">
        <v>10699</v>
      </c>
      <c r="D3688" t="s">
        <v>23</v>
      </c>
      <c r="E3688" t="s">
        <v>59</v>
      </c>
      <c r="F3688" t="s">
        <v>60</v>
      </c>
      <c r="G3688" t="s">
        <v>45</v>
      </c>
      <c r="H3688" t="s">
        <v>31</v>
      </c>
      <c r="I3688">
        <v>1</v>
      </c>
      <c r="J3688">
        <v>24</v>
      </c>
      <c r="K3688">
        <v>66.36</v>
      </c>
      <c r="L3688">
        <v>0</v>
      </c>
    </row>
    <row r="3689" spans="1:12">
      <c r="A3689" t="s">
        <v>10700</v>
      </c>
      <c r="B3689" t="s">
        <v>10701</v>
      </c>
      <c r="C3689" t="s">
        <v>10702</v>
      </c>
      <c r="D3689" t="s">
        <v>158</v>
      </c>
      <c r="E3689" t="s">
        <v>24</v>
      </c>
      <c r="F3689" t="s">
        <v>29</v>
      </c>
      <c r="G3689" t="s">
        <v>77</v>
      </c>
      <c r="H3689" t="s">
        <v>19</v>
      </c>
      <c r="I3689">
        <v>5</v>
      </c>
      <c r="J3689">
        <v>4</v>
      </c>
      <c r="K3689">
        <v>3.12</v>
      </c>
      <c r="L3689">
        <v>1</v>
      </c>
    </row>
    <row r="3690" spans="1:12">
      <c r="A3690" t="s">
        <v>10703</v>
      </c>
      <c r="B3690" t="s">
        <v>10704</v>
      </c>
      <c r="D3690" t="s">
        <v>15</v>
      </c>
      <c r="E3690" t="s">
        <v>28</v>
      </c>
      <c r="F3690" t="s">
        <v>41</v>
      </c>
      <c r="G3690" t="s">
        <v>55</v>
      </c>
      <c r="H3690" t="s">
        <v>63</v>
      </c>
      <c r="J3690">
        <v>8</v>
      </c>
    </row>
    <row r="3691" spans="1:12">
      <c r="A3691" t="s">
        <v>10705</v>
      </c>
      <c r="B3691" t="s">
        <v>10706</v>
      </c>
      <c r="C3691" t="s">
        <v>10707</v>
      </c>
      <c r="D3691" t="s">
        <v>23</v>
      </c>
      <c r="E3691" t="s">
        <v>28</v>
      </c>
      <c r="F3691" t="s">
        <v>60</v>
      </c>
      <c r="G3691" t="s">
        <v>77</v>
      </c>
      <c r="H3691" t="s">
        <v>19</v>
      </c>
      <c r="I3691">
        <v>4</v>
      </c>
      <c r="J3691">
        <v>24</v>
      </c>
      <c r="K3691">
        <v>8.3800000000000008</v>
      </c>
      <c r="L3691">
        <v>1</v>
      </c>
    </row>
    <row r="3692" spans="1:12">
      <c r="A3692" t="s">
        <v>10708</v>
      </c>
      <c r="B3692" t="s">
        <v>10709</v>
      </c>
      <c r="C3692" t="s">
        <v>10710</v>
      </c>
      <c r="D3692" t="s">
        <v>35</v>
      </c>
      <c r="E3692" t="s">
        <v>16</v>
      </c>
      <c r="F3692" t="s">
        <v>36</v>
      </c>
      <c r="G3692" t="s">
        <v>18</v>
      </c>
      <c r="H3692" t="s">
        <v>19</v>
      </c>
      <c r="I3692">
        <v>5</v>
      </c>
      <c r="J3692">
        <v>48</v>
      </c>
      <c r="K3692">
        <v>29.7</v>
      </c>
      <c r="L3692">
        <v>1</v>
      </c>
    </row>
    <row r="3693" spans="1:12">
      <c r="A3693" t="s">
        <v>10711</v>
      </c>
      <c r="B3693" t="s">
        <v>10712</v>
      </c>
      <c r="D3693" t="s">
        <v>35</v>
      </c>
      <c r="E3693" t="s">
        <v>59</v>
      </c>
      <c r="F3693" t="s">
        <v>17</v>
      </c>
      <c r="G3693" t="s">
        <v>37</v>
      </c>
      <c r="H3693" t="s">
        <v>46</v>
      </c>
      <c r="J3693">
        <v>48</v>
      </c>
    </row>
    <row r="3694" spans="1:12">
      <c r="A3694" t="s">
        <v>10713</v>
      </c>
      <c r="B3694" t="s">
        <v>10714</v>
      </c>
      <c r="C3694" t="s">
        <v>10715</v>
      </c>
      <c r="D3694" t="s">
        <v>158</v>
      </c>
      <c r="E3694" t="s">
        <v>28</v>
      </c>
      <c r="F3694" t="s">
        <v>60</v>
      </c>
      <c r="G3694" t="s">
        <v>37</v>
      </c>
      <c r="H3694" t="s">
        <v>19</v>
      </c>
      <c r="I3694">
        <v>3</v>
      </c>
      <c r="J3694">
        <v>4</v>
      </c>
      <c r="K3694">
        <v>2.66</v>
      </c>
      <c r="L3694">
        <v>1</v>
      </c>
    </row>
    <row r="3695" spans="1:12">
      <c r="A3695" t="s">
        <v>10716</v>
      </c>
      <c r="B3695" t="s">
        <v>10717</v>
      </c>
      <c r="C3695" t="s">
        <v>10718</v>
      </c>
      <c r="D3695" t="s">
        <v>23</v>
      </c>
      <c r="E3695" t="s">
        <v>28</v>
      </c>
      <c r="F3695" t="s">
        <v>17</v>
      </c>
      <c r="G3695" t="s">
        <v>77</v>
      </c>
      <c r="H3695" t="s">
        <v>31</v>
      </c>
      <c r="I3695">
        <v>5</v>
      </c>
      <c r="J3695">
        <v>24</v>
      </c>
      <c r="K3695">
        <v>19.54</v>
      </c>
      <c r="L3695">
        <v>1</v>
      </c>
    </row>
    <row r="3696" spans="1:12">
      <c r="A3696" t="s">
        <v>10719</v>
      </c>
      <c r="B3696" t="s">
        <v>10720</v>
      </c>
      <c r="C3696" t="s">
        <v>10721</v>
      </c>
      <c r="D3696" t="s">
        <v>15</v>
      </c>
      <c r="E3696" t="s">
        <v>28</v>
      </c>
      <c r="F3696" t="s">
        <v>60</v>
      </c>
      <c r="G3696" t="s">
        <v>18</v>
      </c>
      <c r="H3696" t="s">
        <v>19</v>
      </c>
      <c r="I3696">
        <v>4</v>
      </c>
      <c r="J3696">
        <v>8</v>
      </c>
      <c r="K3696">
        <v>3.18</v>
      </c>
      <c r="L3696">
        <v>1</v>
      </c>
    </row>
    <row r="3697" spans="1:12">
      <c r="A3697" t="s">
        <v>10722</v>
      </c>
      <c r="B3697" t="s">
        <v>10723</v>
      </c>
      <c r="C3697" t="s">
        <v>10724</v>
      </c>
      <c r="D3697" t="s">
        <v>158</v>
      </c>
      <c r="E3697" t="s">
        <v>28</v>
      </c>
      <c r="F3697" t="s">
        <v>60</v>
      </c>
      <c r="G3697" t="s">
        <v>37</v>
      </c>
      <c r="H3697" t="s">
        <v>19</v>
      </c>
      <c r="I3697">
        <v>5</v>
      </c>
      <c r="J3697">
        <v>4</v>
      </c>
      <c r="K3697">
        <v>3.53</v>
      </c>
      <c r="L3697">
        <v>1</v>
      </c>
    </row>
    <row r="3698" spans="1:12">
      <c r="A3698" t="s">
        <v>10725</v>
      </c>
      <c r="B3698" t="s">
        <v>10726</v>
      </c>
      <c r="C3698" t="s">
        <v>10727</v>
      </c>
      <c r="D3698" t="s">
        <v>35</v>
      </c>
      <c r="E3698" t="s">
        <v>16</v>
      </c>
      <c r="F3698" t="s">
        <v>36</v>
      </c>
      <c r="G3698" t="s">
        <v>151</v>
      </c>
      <c r="H3698" t="s">
        <v>19</v>
      </c>
      <c r="I3698">
        <v>5</v>
      </c>
      <c r="J3698">
        <v>48</v>
      </c>
      <c r="K3698">
        <v>25.95</v>
      </c>
      <c r="L3698">
        <v>1</v>
      </c>
    </row>
    <row r="3699" spans="1:12">
      <c r="A3699" t="s">
        <v>10728</v>
      </c>
      <c r="B3699" t="s">
        <v>10729</v>
      </c>
      <c r="C3699" t="s">
        <v>10730</v>
      </c>
      <c r="D3699" t="s">
        <v>15</v>
      </c>
      <c r="E3699" t="s">
        <v>24</v>
      </c>
      <c r="F3699" t="s">
        <v>17</v>
      </c>
      <c r="G3699" t="s">
        <v>50</v>
      </c>
      <c r="H3699" t="s">
        <v>31</v>
      </c>
      <c r="I3699">
        <v>4</v>
      </c>
      <c r="J3699">
        <v>8</v>
      </c>
      <c r="K3699">
        <v>2.4900000000000002</v>
      </c>
      <c r="L3699">
        <v>1</v>
      </c>
    </row>
    <row r="3700" spans="1:12">
      <c r="A3700" t="s">
        <v>10731</v>
      </c>
      <c r="B3700" t="s">
        <v>10732</v>
      </c>
      <c r="C3700" t="s">
        <v>10733</v>
      </c>
      <c r="D3700" t="s">
        <v>35</v>
      </c>
      <c r="E3700" t="s">
        <v>28</v>
      </c>
      <c r="F3700" t="s">
        <v>41</v>
      </c>
      <c r="G3700" t="s">
        <v>42</v>
      </c>
      <c r="H3700" t="s">
        <v>19</v>
      </c>
      <c r="I3700">
        <v>4</v>
      </c>
      <c r="J3700">
        <v>48</v>
      </c>
      <c r="K3700">
        <v>11.41</v>
      </c>
      <c r="L3700">
        <v>1</v>
      </c>
    </row>
    <row r="3701" spans="1:12">
      <c r="A3701" t="s">
        <v>10734</v>
      </c>
      <c r="B3701" t="s">
        <v>10735</v>
      </c>
      <c r="C3701" t="s">
        <v>10736</v>
      </c>
      <c r="D3701" t="s">
        <v>35</v>
      </c>
      <c r="E3701" t="s">
        <v>28</v>
      </c>
      <c r="F3701" t="s">
        <v>36</v>
      </c>
      <c r="G3701" t="s">
        <v>42</v>
      </c>
      <c r="H3701" t="s">
        <v>19</v>
      </c>
      <c r="I3701">
        <v>3</v>
      </c>
      <c r="J3701">
        <v>48</v>
      </c>
      <c r="K3701">
        <v>26.98</v>
      </c>
      <c r="L3701">
        <v>1</v>
      </c>
    </row>
    <row r="3702" spans="1:12">
      <c r="A3702" t="s">
        <v>10737</v>
      </c>
      <c r="B3702" t="s">
        <v>10738</v>
      </c>
      <c r="C3702" t="s">
        <v>10739</v>
      </c>
      <c r="D3702" t="s">
        <v>35</v>
      </c>
      <c r="E3702" t="s">
        <v>54</v>
      </c>
      <c r="F3702" t="s">
        <v>41</v>
      </c>
      <c r="G3702" t="s">
        <v>77</v>
      </c>
      <c r="H3702" t="s">
        <v>31</v>
      </c>
      <c r="I3702">
        <v>3</v>
      </c>
      <c r="J3702">
        <v>48</v>
      </c>
      <c r="K3702">
        <v>20.92</v>
      </c>
      <c r="L3702">
        <v>1</v>
      </c>
    </row>
    <row r="3703" spans="1:12">
      <c r="A3703" t="s">
        <v>10740</v>
      </c>
      <c r="B3703" t="s">
        <v>10741</v>
      </c>
      <c r="C3703" t="s">
        <v>10742</v>
      </c>
      <c r="D3703" t="s">
        <v>35</v>
      </c>
      <c r="E3703" t="s">
        <v>28</v>
      </c>
      <c r="F3703" t="s">
        <v>60</v>
      </c>
      <c r="G3703" t="s">
        <v>172</v>
      </c>
      <c r="H3703" t="s">
        <v>19</v>
      </c>
      <c r="I3703">
        <v>4</v>
      </c>
      <c r="J3703">
        <v>48</v>
      </c>
      <c r="K3703">
        <v>19.23</v>
      </c>
      <c r="L3703">
        <v>1</v>
      </c>
    </row>
    <row r="3704" spans="1:12">
      <c r="A3704" t="s">
        <v>10743</v>
      </c>
      <c r="B3704" t="s">
        <v>10744</v>
      </c>
      <c r="C3704" t="s">
        <v>10745</v>
      </c>
      <c r="D3704" t="s">
        <v>15</v>
      </c>
      <c r="E3704" t="s">
        <v>28</v>
      </c>
      <c r="F3704" t="s">
        <v>36</v>
      </c>
      <c r="G3704" t="s">
        <v>73</v>
      </c>
      <c r="H3704" t="s">
        <v>31</v>
      </c>
      <c r="I3704">
        <v>4</v>
      </c>
      <c r="J3704">
        <v>8</v>
      </c>
      <c r="K3704">
        <v>4.3499999999999996</v>
      </c>
      <c r="L3704">
        <v>1</v>
      </c>
    </row>
    <row r="3705" spans="1:12">
      <c r="A3705" t="s">
        <v>10746</v>
      </c>
      <c r="B3705" t="s">
        <v>10747</v>
      </c>
      <c r="C3705" t="s">
        <v>10748</v>
      </c>
      <c r="D3705" t="s">
        <v>35</v>
      </c>
      <c r="E3705" t="s">
        <v>59</v>
      </c>
      <c r="F3705" t="s">
        <v>60</v>
      </c>
      <c r="G3705" t="s">
        <v>105</v>
      </c>
      <c r="H3705" t="s">
        <v>19</v>
      </c>
      <c r="I3705">
        <v>5</v>
      </c>
      <c r="J3705">
        <v>48</v>
      </c>
      <c r="K3705">
        <v>6.49</v>
      </c>
      <c r="L3705">
        <v>1</v>
      </c>
    </row>
    <row r="3706" spans="1:12">
      <c r="A3706" t="s">
        <v>10749</v>
      </c>
      <c r="B3706" t="s">
        <v>10750</v>
      </c>
      <c r="C3706" t="s">
        <v>10751</v>
      </c>
      <c r="D3706" t="s">
        <v>35</v>
      </c>
      <c r="E3706" t="s">
        <v>28</v>
      </c>
      <c r="F3706" t="s">
        <v>60</v>
      </c>
      <c r="G3706" t="s">
        <v>105</v>
      </c>
      <c r="H3706" t="s">
        <v>31</v>
      </c>
      <c r="I3706">
        <v>5</v>
      </c>
      <c r="J3706">
        <v>48</v>
      </c>
      <c r="K3706">
        <v>11.96</v>
      </c>
      <c r="L3706">
        <v>1</v>
      </c>
    </row>
    <row r="3707" spans="1:12">
      <c r="A3707" t="s">
        <v>10752</v>
      </c>
      <c r="B3707" t="s">
        <v>10753</v>
      </c>
      <c r="C3707" t="s">
        <v>10754</v>
      </c>
      <c r="D3707" t="s">
        <v>35</v>
      </c>
      <c r="E3707" t="s">
        <v>16</v>
      </c>
      <c r="F3707" t="s">
        <v>29</v>
      </c>
      <c r="G3707" t="s">
        <v>50</v>
      </c>
      <c r="H3707" t="s">
        <v>31</v>
      </c>
      <c r="I3707">
        <v>3</v>
      </c>
      <c r="J3707">
        <v>48</v>
      </c>
      <c r="K3707">
        <v>6.61</v>
      </c>
      <c r="L3707">
        <v>1</v>
      </c>
    </row>
    <row r="3708" spans="1:12">
      <c r="A3708" t="s">
        <v>10755</v>
      </c>
      <c r="B3708" t="s">
        <v>10756</v>
      </c>
      <c r="C3708" t="s">
        <v>10757</v>
      </c>
      <c r="D3708" t="s">
        <v>35</v>
      </c>
      <c r="E3708" t="s">
        <v>24</v>
      </c>
      <c r="F3708" t="s">
        <v>60</v>
      </c>
      <c r="G3708" t="s">
        <v>77</v>
      </c>
      <c r="H3708" t="s">
        <v>31</v>
      </c>
      <c r="I3708">
        <v>3</v>
      </c>
      <c r="J3708">
        <v>48</v>
      </c>
      <c r="K3708">
        <v>58.93</v>
      </c>
      <c r="L3708">
        <v>0</v>
      </c>
    </row>
    <row r="3709" spans="1:12">
      <c r="A3709" t="s">
        <v>10758</v>
      </c>
      <c r="B3709" t="s">
        <v>10759</v>
      </c>
      <c r="C3709" t="s">
        <v>10760</v>
      </c>
      <c r="D3709" t="s">
        <v>15</v>
      </c>
      <c r="E3709" t="s">
        <v>16</v>
      </c>
      <c r="F3709" t="s">
        <v>36</v>
      </c>
      <c r="G3709" t="s">
        <v>18</v>
      </c>
      <c r="H3709" t="s">
        <v>31</v>
      </c>
      <c r="I3709">
        <v>4</v>
      </c>
      <c r="J3709">
        <v>8</v>
      </c>
      <c r="K3709">
        <v>16.559999999999999</v>
      </c>
      <c r="L3709">
        <v>0</v>
      </c>
    </row>
    <row r="3710" spans="1:12">
      <c r="A3710" t="s">
        <v>10761</v>
      </c>
      <c r="B3710" t="s">
        <v>10762</v>
      </c>
      <c r="C3710" t="s">
        <v>10763</v>
      </c>
      <c r="D3710" t="s">
        <v>23</v>
      </c>
      <c r="E3710" t="s">
        <v>59</v>
      </c>
      <c r="F3710" t="s">
        <v>41</v>
      </c>
      <c r="G3710" t="s">
        <v>77</v>
      </c>
      <c r="H3710" t="s">
        <v>19</v>
      </c>
      <c r="I3710">
        <v>5</v>
      </c>
      <c r="J3710">
        <v>24</v>
      </c>
      <c r="K3710">
        <v>13.45</v>
      </c>
      <c r="L3710">
        <v>1</v>
      </c>
    </row>
    <row r="3711" spans="1:12">
      <c r="A3711" t="s">
        <v>10764</v>
      </c>
      <c r="B3711" t="s">
        <v>10765</v>
      </c>
      <c r="C3711" t="s">
        <v>10766</v>
      </c>
      <c r="D3711" t="s">
        <v>15</v>
      </c>
      <c r="E3711" t="s">
        <v>24</v>
      </c>
      <c r="F3711" t="s">
        <v>41</v>
      </c>
      <c r="G3711" t="s">
        <v>105</v>
      </c>
      <c r="H3711" t="s">
        <v>19</v>
      </c>
      <c r="I3711">
        <v>3</v>
      </c>
      <c r="J3711">
        <v>8</v>
      </c>
      <c r="K3711">
        <v>2.4500000000000002</v>
      </c>
      <c r="L3711">
        <v>1</v>
      </c>
    </row>
    <row r="3712" spans="1:12">
      <c r="A3712" t="s">
        <v>10767</v>
      </c>
      <c r="B3712" t="s">
        <v>10768</v>
      </c>
      <c r="D3712" t="s">
        <v>23</v>
      </c>
      <c r="E3712" t="s">
        <v>54</v>
      </c>
      <c r="F3712" t="s">
        <v>29</v>
      </c>
      <c r="G3712" t="s">
        <v>50</v>
      </c>
      <c r="H3712" t="s">
        <v>46</v>
      </c>
      <c r="J3712">
        <v>24</v>
      </c>
    </row>
    <row r="3713" spans="1:12">
      <c r="A3713" t="s">
        <v>10769</v>
      </c>
      <c r="B3713" t="s">
        <v>10770</v>
      </c>
      <c r="C3713" t="s">
        <v>10771</v>
      </c>
      <c r="D3713" t="s">
        <v>158</v>
      </c>
      <c r="E3713" t="s">
        <v>24</v>
      </c>
      <c r="F3713" t="s">
        <v>60</v>
      </c>
      <c r="G3713" t="s">
        <v>18</v>
      </c>
      <c r="H3713" t="s">
        <v>31</v>
      </c>
      <c r="I3713">
        <v>5</v>
      </c>
      <c r="J3713">
        <v>4</v>
      </c>
      <c r="K3713">
        <v>2.5499999999999998</v>
      </c>
      <c r="L3713">
        <v>1</v>
      </c>
    </row>
    <row r="3714" spans="1:12">
      <c r="A3714" t="s">
        <v>10772</v>
      </c>
      <c r="B3714" t="s">
        <v>10773</v>
      </c>
      <c r="C3714" t="s">
        <v>10774</v>
      </c>
      <c r="D3714" t="s">
        <v>23</v>
      </c>
      <c r="E3714" t="s">
        <v>59</v>
      </c>
      <c r="F3714" t="s">
        <v>29</v>
      </c>
      <c r="G3714" t="s">
        <v>50</v>
      </c>
      <c r="H3714" t="s">
        <v>19</v>
      </c>
      <c r="I3714">
        <v>4</v>
      </c>
      <c r="J3714">
        <v>24</v>
      </c>
      <c r="K3714">
        <v>33.32</v>
      </c>
      <c r="L3714">
        <v>0</v>
      </c>
    </row>
    <row r="3715" spans="1:12">
      <c r="A3715" t="s">
        <v>10775</v>
      </c>
      <c r="B3715" t="s">
        <v>10776</v>
      </c>
      <c r="C3715" t="s">
        <v>10777</v>
      </c>
      <c r="D3715" t="s">
        <v>35</v>
      </c>
      <c r="E3715" t="s">
        <v>16</v>
      </c>
      <c r="F3715" t="s">
        <v>41</v>
      </c>
      <c r="G3715" t="s">
        <v>50</v>
      </c>
      <c r="H3715" t="s">
        <v>31</v>
      </c>
      <c r="I3715">
        <v>4</v>
      </c>
      <c r="J3715">
        <v>48</v>
      </c>
      <c r="K3715">
        <v>7.08</v>
      </c>
      <c r="L3715">
        <v>1</v>
      </c>
    </row>
    <row r="3716" spans="1:12">
      <c r="A3716" t="s">
        <v>10778</v>
      </c>
      <c r="B3716" t="s">
        <v>10779</v>
      </c>
      <c r="C3716" t="s">
        <v>10780</v>
      </c>
      <c r="D3716" t="s">
        <v>23</v>
      </c>
      <c r="E3716" t="s">
        <v>16</v>
      </c>
      <c r="F3716" t="s">
        <v>41</v>
      </c>
      <c r="G3716" t="s">
        <v>18</v>
      </c>
      <c r="H3716" t="s">
        <v>19</v>
      </c>
      <c r="I3716">
        <v>5</v>
      </c>
      <c r="J3716">
        <v>24</v>
      </c>
      <c r="K3716">
        <v>11.83</v>
      </c>
      <c r="L3716">
        <v>1</v>
      </c>
    </row>
    <row r="3717" spans="1:12">
      <c r="A3717" t="s">
        <v>10781</v>
      </c>
      <c r="B3717" t="s">
        <v>10782</v>
      </c>
      <c r="D3717" t="s">
        <v>35</v>
      </c>
      <c r="E3717" t="s">
        <v>24</v>
      </c>
      <c r="F3717" t="s">
        <v>29</v>
      </c>
      <c r="G3717" t="s">
        <v>50</v>
      </c>
      <c r="H3717" t="s">
        <v>63</v>
      </c>
      <c r="J3717">
        <v>48</v>
      </c>
    </row>
    <row r="3718" spans="1:12">
      <c r="A3718" t="s">
        <v>10783</v>
      </c>
      <c r="B3718" t="s">
        <v>10784</v>
      </c>
      <c r="C3718" t="s">
        <v>10785</v>
      </c>
      <c r="D3718" t="s">
        <v>15</v>
      </c>
      <c r="E3718" t="s">
        <v>24</v>
      </c>
      <c r="F3718" t="s">
        <v>29</v>
      </c>
      <c r="G3718" t="s">
        <v>30</v>
      </c>
      <c r="H3718" t="s">
        <v>31</v>
      </c>
      <c r="I3718">
        <v>2</v>
      </c>
      <c r="J3718">
        <v>8</v>
      </c>
      <c r="K3718">
        <v>13.56</v>
      </c>
      <c r="L3718">
        <v>0</v>
      </c>
    </row>
    <row r="3719" spans="1:12">
      <c r="A3719" t="s">
        <v>10786</v>
      </c>
      <c r="B3719" t="s">
        <v>10787</v>
      </c>
      <c r="C3719" t="s">
        <v>10788</v>
      </c>
      <c r="D3719" t="s">
        <v>23</v>
      </c>
      <c r="E3719" t="s">
        <v>54</v>
      </c>
      <c r="F3719" t="s">
        <v>17</v>
      </c>
      <c r="G3719" t="s">
        <v>55</v>
      </c>
      <c r="H3719" t="s">
        <v>31</v>
      </c>
      <c r="I3719">
        <v>2</v>
      </c>
      <c r="J3719">
        <v>24</v>
      </c>
      <c r="K3719">
        <v>71.209999999999994</v>
      </c>
      <c r="L3719">
        <v>0</v>
      </c>
    </row>
    <row r="3720" spans="1:12">
      <c r="A3720" t="s">
        <v>10789</v>
      </c>
      <c r="B3720" t="s">
        <v>10790</v>
      </c>
      <c r="C3720" t="s">
        <v>10791</v>
      </c>
      <c r="D3720" t="s">
        <v>15</v>
      </c>
      <c r="E3720" t="s">
        <v>28</v>
      </c>
      <c r="F3720" t="s">
        <v>60</v>
      </c>
      <c r="G3720" t="s">
        <v>77</v>
      </c>
      <c r="H3720" t="s">
        <v>31</v>
      </c>
      <c r="I3720">
        <v>4</v>
      </c>
      <c r="J3720">
        <v>8</v>
      </c>
      <c r="K3720">
        <v>6.16</v>
      </c>
      <c r="L3720">
        <v>1</v>
      </c>
    </row>
    <row r="3721" spans="1:12">
      <c r="A3721" t="s">
        <v>10792</v>
      </c>
      <c r="B3721" t="s">
        <v>10793</v>
      </c>
      <c r="C3721" t="s">
        <v>10794</v>
      </c>
      <c r="D3721" t="s">
        <v>35</v>
      </c>
      <c r="E3721" t="s">
        <v>28</v>
      </c>
      <c r="F3721" t="s">
        <v>41</v>
      </c>
      <c r="G3721" t="s">
        <v>18</v>
      </c>
      <c r="H3721" t="s">
        <v>19</v>
      </c>
      <c r="I3721">
        <v>2</v>
      </c>
      <c r="J3721">
        <v>48</v>
      </c>
      <c r="K3721">
        <v>142.74</v>
      </c>
      <c r="L3721">
        <v>0</v>
      </c>
    </row>
    <row r="3722" spans="1:12">
      <c r="A3722" t="s">
        <v>10795</v>
      </c>
      <c r="B3722" t="s">
        <v>10796</v>
      </c>
      <c r="C3722" t="s">
        <v>10797</v>
      </c>
      <c r="D3722" t="s">
        <v>158</v>
      </c>
      <c r="E3722" t="s">
        <v>59</v>
      </c>
      <c r="F3722" t="s">
        <v>29</v>
      </c>
      <c r="G3722" t="s">
        <v>77</v>
      </c>
      <c r="H3722" t="s">
        <v>31</v>
      </c>
      <c r="I3722">
        <v>2</v>
      </c>
      <c r="J3722">
        <v>4</v>
      </c>
      <c r="K3722">
        <v>10.02</v>
      </c>
      <c r="L3722">
        <v>0</v>
      </c>
    </row>
    <row r="3723" spans="1:12">
      <c r="A3723" t="s">
        <v>10798</v>
      </c>
      <c r="B3723" t="s">
        <v>10799</v>
      </c>
      <c r="C3723" t="s">
        <v>10800</v>
      </c>
      <c r="D3723" t="s">
        <v>15</v>
      </c>
      <c r="E3723" t="s">
        <v>24</v>
      </c>
      <c r="F3723" t="s">
        <v>17</v>
      </c>
      <c r="G3723" t="s">
        <v>55</v>
      </c>
      <c r="H3723" t="s">
        <v>31</v>
      </c>
      <c r="I3723">
        <v>2</v>
      </c>
      <c r="J3723">
        <v>8</v>
      </c>
      <c r="K3723">
        <v>859</v>
      </c>
      <c r="L3723">
        <v>0</v>
      </c>
    </row>
    <row r="3724" spans="1:12">
      <c r="A3724" t="s">
        <v>10801</v>
      </c>
      <c r="B3724" t="s">
        <v>10802</v>
      </c>
      <c r="C3724" t="s">
        <v>10803</v>
      </c>
      <c r="D3724" t="s">
        <v>23</v>
      </c>
      <c r="E3724" t="s">
        <v>28</v>
      </c>
      <c r="F3724" t="s">
        <v>41</v>
      </c>
      <c r="G3724" t="s">
        <v>30</v>
      </c>
      <c r="H3724" t="s">
        <v>19</v>
      </c>
      <c r="I3724">
        <v>1</v>
      </c>
      <c r="J3724">
        <v>24</v>
      </c>
      <c r="K3724">
        <v>66.91</v>
      </c>
      <c r="L3724">
        <v>0</v>
      </c>
    </row>
    <row r="3725" spans="1:12">
      <c r="A3725" t="s">
        <v>10804</v>
      </c>
      <c r="B3725" t="s">
        <v>10805</v>
      </c>
      <c r="C3725" t="s">
        <v>10806</v>
      </c>
      <c r="D3725" t="s">
        <v>15</v>
      </c>
      <c r="E3725" t="s">
        <v>28</v>
      </c>
      <c r="F3725" t="s">
        <v>60</v>
      </c>
      <c r="G3725" t="s">
        <v>151</v>
      </c>
      <c r="H3725" t="s">
        <v>31</v>
      </c>
      <c r="I3725">
        <v>1</v>
      </c>
      <c r="J3725">
        <v>8</v>
      </c>
      <c r="K3725">
        <v>14.98</v>
      </c>
      <c r="L3725">
        <v>0</v>
      </c>
    </row>
    <row r="3726" spans="1:12">
      <c r="A3726" t="s">
        <v>10807</v>
      </c>
      <c r="B3726" t="s">
        <v>10808</v>
      </c>
      <c r="C3726" t="s">
        <v>10809</v>
      </c>
      <c r="D3726" t="s">
        <v>158</v>
      </c>
      <c r="E3726" t="s">
        <v>54</v>
      </c>
      <c r="F3726" t="s">
        <v>29</v>
      </c>
      <c r="G3726" t="s">
        <v>18</v>
      </c>
      <c r="H3726" t="s">
        <v>19</v>
      </c>
      <c r="I3726">
        <v>4</v>
      </c>
      <c r="J3726">
        <v>4</v>
      </c>
      <c r="K3726">
        <v>2.84</v>
      </c>
      <c r="L3726">
        <v>1</v>
      </c>
    </row>
    <row r="3727" spans="1:12">
      <c r="A3727" t="s">
        <v>10810</v>
      </c>
      <c r="B3727" t="s">
        <v>10811</v>
      </c>
      <c r="C3727" t="s">
        <v>10812</v>
      </c>
      <c r="D3727" t="s">
        <v>23</v>
      </c>
      <c r="E3727" t="s">
        <v>24</v>
      </c>
      <c r="F3727" t="s">
        <v>36</v>
      </c>
      <c r="G3727" t="s">
        <v>18</v>
      </c>
      <c r="H3727" t="s">
        <v>31</v>
      </c>
      <c r="I3727">
        <v>5</v>
      </c>
      <c r="J3727">
        <v>24</v>
      </c>
      <c r="K3727">
        <v>4.26</v>
      </c>
      <c r="L3727">
        <v>1</v>
      </c>
    </row>
    <row r="3728" spans="1:12">
      <c r="A3728" t="s">
        <v>10813</v>
      </c>
      <c r="B3728" t="s">
        <v>10814</v>
      </c>
      <c r="C3728" t="s">
        <v>10815</v>
      </c>
      <c r="D3728" t="s">
        <v>23</v>
      </c>
      <c r="E3728" t="s">
        <v>28</v>
      </c>
      <c r="F3728" t="s">
        <v>41</v>
      </c>
      <c r="G3728" t="s">
        <v>77</v>
      </c>
      <c r="H3728" t="s">
        <v>31</v>
      </c>
      <c r="I3728">
        <v>5</v>
      </c>
      <c r="J3728">
        <v>24</v>
      </c>
      <c r="K3728">
        <v>20.51</v>
      </c>
      <c r="L3728">
        <v>1</v>
      </c>
    </row>
    <row r="3729" spans="1:12">
      <c r="A3729" t="s">
        <v>10816</v>
      </c>
      <c r="B3729" t="s">
        <v>10817</v>
      </c>
      <c r="C3729" t="s">
        <v>10818</v>
      </c>
      <c r="D3729" t="s">
        <v>158</v>
      </c>
      <c r="E3729" t="s">
        <v>54</v>
      </c>
      <c r="F3729" t="s">
        <v>36</v>
      </c>
      <c r="G3729" t="s">
        <v>172</v>
      </c>
      <c r="H3729" t="s">
        <v>31</v>
      </c>
      <c r="I3729">
        <v>5</v>
      </c>
      <c r="J3729">
        <v>4</v>
      </c>
      <c r="K3729">
        <v>1.35</v>
      </c>
      <c r="L3729">
        <v>1</v>
      </c>
    </row>
    <row r="3730" spans="1:12">
      <c r="A3730" t="s">
        <v>10819</v>
      </c>
      <c r="B3730" t="s">
        <v>10820</v>
      </c>
      <c r="C3730" t="s">
        <v>10821</v>
      </c>
      <c r="D3730" t="s">
        <v>23</v>
      </c>
      <c r="E3730" t="s">
        <v>24</v>
      </c>
      <c r="F3730" t="s">
        <v>41</v>
      </c>
      <c r="G3730" t="s">
        <v>50</v>
      </c>
      <c r="H3730" t="s">
        <v>19</v>
      </c>
      <c r="I3730">
        <v>4</v>
      </c>
      <c r="J3730">
        <v>24</v>
      </c>
      <c r="K3730">
        <v>3.85</v>
      </c>
      <c r="L3730">
        <v>1</v>
      </c>
    </row>
    <row r="3731" spans="1:12">
      <c r="A3731" t="s">
        <v>10822</v>
      </c>
      <c r="B3731" t="s">
        <v>10823</v>
      </c>
      <c r="C3731" t="s">
        <v>10824</v>
      </c>
      <c r="D3731" t="s">
        <v>23</v>
      </c>
      <c r="E3731" t="s">
        <v>28</v>
      </c>
      <c r="F3731" t="s">
        <v>60</v>
      </c>
      <c r="G3731" t="s">
        <v>172</v>
      </c>
      <c r="H3731" t="s">
        <v>19</v>
      </c>
      <c r="I3731">
        <v>1</v>
      </c>
      <c r="J3731">
        <v>24</v>
      </c>
      <c r="K3731">
        <v>56.45</v>
      </c>
      <c r="L3731">
        <v>0</v>
      </c>
    </row>
    <row r="3732" spans="1:12">
      <c r="A3732" t="s">
        <v>10825</v>
      </c>
      <c r="B3732" t="s">
        <v>10826</v>
      </c>
      <c r="D3732" t="s">
        <v>15</v>
      </c>
      <c r="E3732" t="s">
        <v>28</v>
      </c>
      <c r="F3732" t="s">
        <v>60</v>
      </c>
      <c r="G3732" t="s">
        <v>172</v>
      </c>
      <c r="H3732" t="s">
        <v>46</v>
      </c>
      <c r="J3732">
        <v>8</v>
      </c>
    </row>
    <row r="3733" spans="1:12">
      <c r="A3733" t="s">
        <v>10827</v>
      </c>
      <c r="B3733" t="s">
        <v>10828</v>
      </c>
      <c r="C3733" t="s">
        <v>10829</v>
      </c>
      <c r="D3733" t="s">
        <v>35</v>
      </c>
      <c r="E3733" t="s">
        <v>28</v>
      </c>
      <c r="F3733" t="s">
        <v>17</v>
      </c>
      <c r="G3733" t="s">
        <v>105</v>
      </c>
      <c r="H3733" t="s">
        <v>31</v>
      </c>
      <c r="I3733">
        <v>3</v>
      </c>
      <c r="J3733">
        <v>48</v>
      </c>
      <c r="K3733">
        <v>33.770000000000003</v>
      </c>
      <c r="L3733">
        <v>1</v>
      </c>
    </row>
    <row r="3734" spans="1:12">
      <c r="A3734" t="s">
        <v>10830</v>
      </c>
      <c r="B3734" t="s">
        <v>10831</v>
      </c>
      <c r="C3734" t="s">
        <v>10832</v>
      </c>
      <c r="D3734" t="s">
        <v>15</v>
      </c>
      <c r="E3734" t="s">
        <v>28</v>
      </c>
      <c r="F3734" t="s">
        <v>29</v>
      </c>
      <c r="G3734" t="s">
        <v>42</v>
      </c>
      <c r="H3734" t="s">
        <v>31</v>
      </c>
      <c r="I3734">
        <v>5</v>
      </c>
      <c r="J3734">
        <v>8</v>
      </c>
      <c r="K3734">
        <v>7.21</v>
      </c>
      <c r="L3734">
        <v>1</v>
      </c>
    </row>
    <row r="3735" spans="1:12">
      <c r="A3735" t="s">
        <v>10833</v>
      </c>
      <c r="B3735" t="s">
        <v>10834</v>
      </c>
      <c r="C3735" t="s">
        <v>10835</v>
      </c>
      <c r="D3735" t="s">
        <v>23</v>
      </c>
      <c r="E3735" t="s">
        <v>54</v>
      </c>
      <c r="F3735" t="s">
        <v>29</v>
      </c>
      <c r="G3735" t="s">
        <v>73</v>
      </c>
      <c r="H3735" t="s">
        <v>31</v>
      </c>
      <c r="I3735">
        <v>5</v>
      </c>
      <c r="J3735">
        <v>24</v>
      </c>
      <c r="K3735">
        <v>11.64</v>
      </c>
      <c r="L3735">
        <v>1</v>
      </c>
    </row>
    <row r="3736" spans="1:12">
      <c r="A3736" t="s">
        <v>10836</v>
      </c>
      <c r="B3736" t="s">
        <v>10837</v>
      </c>
      <c r="C3736" t="s">
        <v>10838</v>
      </c>
      <c r="D3736" t="s">
        <v>23</v>
      </c>
      <c r="E3736" t="s">
        <v>28</v>
      </c>
      <c r="F3736" t="s">
        <v>36</v>
      </c>
      <c r="G3736" t="s">
        <v>37</v>
      </c>
      <c r="H3736" t="s">
        <v>31</v>
      </c>
      <c r="I3736">
        <v>5</v>
      </c>
      <c r="J3736">
        <v>24</v>
      </c>
      <c r="K3736">
        <v>3.77</v>
      </c>
      <c r="L3736">
        <v>1</v>
      </c>
    </row>
    <row r="3737" spans="1:12">
      <c r="A3737" t="s">
        <v>10839</v>
      </c>
      <c r="B3737" t="s">
        <v>10840</v>
      </c>
      <c r="C3737" t="s">
        <v>10841</v>
      </c>
      <c r="D3737" t="s">
        <v>158</v>
      </c>
      <c r="E3737" t="s">
        <v>16</v>
      </c>
      <c r="F3737" t="s">
        <v>29</v>
      </c>
      <c r="G3737" t="s">
        <v>50</v>
      </c>
      <c r="H3737" t="s">
        <v>19</v>
      </c>
      <c r="I3737">
        <v>5</v>
      </c>
      <c r="J3737">
        <v>4</v>
      </c>
      <c r="K3737">
        <v>0.91</v>
      </c>
      <c r="L3737">
        <v>1</v>
      </c>
    </row>
    <row r="3738" spans="1:12">
      <c r="A3738" t="s">
        <v>10842</v>
      </c>
      <c r="B3738" t="s">
        <v>10843</v>
      </c>
      <c r="C3738" t="s">
        <v>10844</v>
      </c>
      <c r="D3738" t="s">
        <v>23</v>
      </c>
      <c r="E3738" t="s">
        <v>54</v>
      </c>
      <c r="F3738" t="s">
        <v>41</v>
      </c>
      <c r="G3738" t="s">
        <v>151</v>
      </c>
      <c r="H3738" t="s">
        <v>19</v>
      </c>
      <c r="I3738">
        <v>4</v>
      </c>
      <c r="J3738">
        <v>24</v>
      </c>
      <c r="K3738">
        <v>7.75</v>
      </c>
      <c r="L3738">
        <v>1</v>
      </c>
    </row>
    <row r="3739" spans="1:12">
      <c r="A3739" t="s">
        <v>10845</v>
      </c>
      <c r="B3739" t="s">
        <v>10846</v>
      </c>
      <c r="C3739" t="s">
        <v>10847</v>
      </c>
      <c r="D3739" t="s">
        <v>23</v>
      </c>
      <c r="E3739" t="s">
        <v>28</v>
      </c>
      <c r="F3739" t="s">
        <v>29</v>
      </c>
      <c r="G3739" t="s">
        <v>30</v>
      </c>
      <c r="H3739" t="s">
        <v>19</v>
      </c>
      <c r="I3739">
        <v>4</v>
      </c>
      <c r="J3739">
        <v>24</v>
      </c>
      <c r="K3739">
        <v>16.34</v>
      </c>
      <c r="L3739">
        <v>1</v>
      </c>
    </row>
    <row r="3740" spans="1:12">
      <c r="A3740" t="s">
        <v>10848</v>
      </c>
      <c r="B3740" t="s">
        <v>10849</v>
      </c>
      <c r="C3740" t="s">
        <v>10850</v>
      </c>
      <c r="D3740" t="s">
        <v>35</v>
      </c>
      <c r="E3740" t="s">
        <v>16</v>
      </c>
      <c r="F3740" t="s">
        <v>29</v>
      </c>
      <c r="G3740" t="s">
        <v>45</v>
      </c>
      <c r="H3740" t="s">
        <v>19</v>
      </c>
      <c r="I3740">
        <v>5</v>
      </c>
      <c r="J3740">
        <v>48</v>
      </c>
      <c r="K3740">
        <v>28.58</v>
      </c>
      <c r="L3740">
        <v>1</v>
      </c>
    </row>
    <row r="3741" spans="1:12">
      <c r="A3741" t="s">
        <v>10851</v>
      </c>
      <c r="B3741" t="s">
        <v>10852</v>
      </c>
      <c r="C3741" t="s">
        <v>10853</v>
      </c>
      <c r="D3741" t="s">
        <v>15</v>
      </c>
      <c r="E3741" t="s">
        <v>54</v>
      </c>
      <c r="F3741" t="s">
        <v>36</v>
      </c>
      <c r="G3741" t="s">
        <v>55</v>
      </c>
      <c r="H3741" t="s">
        <v>19</v>
      </c>
      <c r="I3741">
        <v>5</v>
      </c>
      <c r="J3741">
        <v>8</v>
      </c>
      <c r="K3741">
        <v>5.67</v>
      </c>
      <c r="L3741">
        <v>1</v>
      </c>
    </row>
    <row r="3742" spans="1:12">
      <c r="A3742" t="s">
        <v>10854</v>
      </c>
      <c r="B3742" t="s">
        <v>10855</v>
      </c>
      <c r="C3742" t="s">
        <v>10856</v>
      </c>
      <c r="D3742" t="s">
        <v>158</v>
      </c>
      <c r="E3742" t="s">
        <v>16</v>
      </c>
      <c r="F3742" t="s">
        <v>17</v>
      </c>
      <c r="G3742" t="s">
        <v>172</v>
      </c>
      <c r="H3742" t="s">
        <v>19</v>
      </c>
      <c r="I3742">
        <v>5</v>
      </c>
      <c r="J3742">
        <v>4</v>
      </c>
      <c r="K3742">
        <v>2.33</v>
      </c>
      <c r="L3742">
        <v>1</v>
      </c>
    </row>
    <row r="3743" spans="1:12">
      <c r="A3743" t="s">
        <v>10857</v>
      </c>
      <c r="B3743" t="s">
        <v>10858</v>
      </c>
      <c r="C3743" t="s">
        <v>10859</v>
      </c>
      <c r="D3743" t="s">
        <v>35</v>
      </c>
      <c r="E3743" t="s">
        <v>28</v>
      </c>
      <c r="F3743" t="s">
        <v>29</v>
      </c>
      <c r="G3743" t="s">
        <v>42</v>
      </c>
      <c r="H3743" t="s">
        <v>19</v>
      </c>
      <c r="I3743">
        <v>1</v>
      </c>
      <c r="J3743">
        <v>48</v>
      </c>
      <c r="K3743">
        <v>72.55</v>
      </c>
      <c r="L3743">
        <v>0</v>
      </c>
    </row>
    <row r="3744" spans="1:12">
      <c r="A3744" t="s">
        <v>10860</v>
      </c>
      <c r="B3744" t="s">
        <v>10861</v>
      </c>
      <c r="D3744" t="s">
        <v>23</v>
      </c>
      <c r="E3744" t="s">
        <v>24</v>
      </c>
      <c r="F3744" t="s">
        <v>60</v>
      </c>
      <c r="G3744" t="s">
        <v>42</v>
      </c>
      <c r="H3744" t="s">
        <v>63</v>
      </c>
      <c r="J3744">
        <v>24</v>
      </c>
    </row>
    <row r="3745" spans="1:12">
      <c r="A3745" t="s">
        <v>10862</v>
      </c>
      <c r="B3745" t="s">
        <v>10863</v>
      </c>
      <c r="C3745" t="s">
        <v>10864</v>
      </c>
      <c r="D3745" t="s">
        <v>15</v>
      </c>
      <c r="E3745" t="s">
        <v>16</v>
      </c>
      <c r="F3745" t="s">
        <v>17</v>
      </c>
      <c r="G3745" t="s">
        <v>45</v>
      </c>
      <c r="H3745" t="s">
        <v>31</v>
      </c>
      <c r="I3745">
        <v>4</v>
      </c>
      <c r="J3745">
        <v>8</v>
      </c>
      <c r="K3745">
        <v>4.0199999999999996</v>
      </c>
      <c r="L3745">
        <v>1</v>
      </c>
    </row>
    <row r="3746" spans="1:12">
      <c r="A3746" t="s">
        <v>10865</v>
      </c>
      <c r="B3746" t="s">
        <v>10866</v>
      </c>
      <c r="C3746" t="s">
        <v>10867</v>
      </c>
      <c r="D3746" t="s">
        <v>23</v>
      </c>
      <c r="E3746" t="s">
        <v>54</v>
      </c>
      <c r="F3746" t="s">
        <v>17</v>
      </c>
      <c r="G3746" t="s">
        <v>50</v>
      </c>
      <c r="H3746" t="s">
        <v>19</v>
      </c>
      <c r="I3746">
        <v>4</v>
      </c>
      <c r="J3746">
        <v>24</v>
      </c>
      <c r="K3746">
        <v>6.19</v>
      </c>
      <c r="L3746">
        <v>1</v>
      </c>
    </row>
    <row r="3747" spans="1:12">
      <c r="A3747" t="s">
        <v>10868</v>
      </c>
      <c r="B3747" t="s">
        <v>10869</v>
      </c>
      <c r="C3747" t="s">
        <v>10870</v>
      </c>
      <c r="D3747" t="s">
        <v>15</v>
      </c>
      <c r="E3747" t="s">
        <v>16</v>
      </c>
      <c r="F3747" t="s">
        <v>17</v>
      </c>
      <c r="G3747" t="s">
        <v>30</v>
      </c>
      <c r="H3747" t="s">
        <v>31</v>
      </c>
      <c r="I3747">
        <v>5</v>
      </c>
      <c r="J3747">
        <v>8</v>
      </c>
      <c r="K3747">
        <v>6.8</v>
      </c>
      <c r="L3747">
        <v>1</v>
      </c>
    </row>
    <row r="3748" spans="1:12">
      <c r="A3748" t="s">
        <v>10871</v>
      </c>
      <c r="B3748" t="s">
        <v>10872</v>
      </c>
      <c r="C3748" t="s">
        <v>10873</v>
      </c>
      <c r="D3748" t="s">
        <v>158</v>
      </c>
      <c r="E3748" t="s">
        <v>28</v>
      </c>
      <c r="F3748" t="s">
        <v>36</v>
      </c>
      <c r="G3748" t="s">
        <v>45</v>
      </c>
      <c r="H3748" t="s">
        <v>31</v>
      </c>
      <c r="I3748">
        <v>5</v>
      </c>
      <c r="J3748">
        <v>4</v>
      </c>
      <c r="K3748">
        <v>0.52</v>
      </c>
      <c r="L3748">
        <v>1</v>
      </c>
    </row>
    <row r="3749" spans="1:12">
      <c r="A3749" t="s">
        <v>10874</v>
      </c>
      <c r="B3749" t="s">
        <v>10875</v>
      </c>
      <c r="C3749" t="s">
        <v>10876</v>
      </c>
      <c r="D3749" t="s">
        <v>158</v>
      </c>
      <c r="E3749" t="s">
        <v>28</v>
      </c>
      <c r="F3749" t="s">
        <v>60</v>
      </c>
      <c r="G3749" t="s">
        <v>105</v>
      </c>
      <c r="H3749" t="s">
        <v>19</v>
      </c>
      <c r="I3749">
        <v>5</v>
      </c>
      <c r="J3749">
        <v>4</v>
      </c>
      <c r="K3749">
        <v>1.8</v>
      </c>
      <c r="L3749">
        <v>1</v>
      </c>
    </row>
    <row r="3750" spans="1:12">
      <c r="A3750" t="s">
        <v>10877</v>
      </c>
      <c r="B3750" t="s">
        <v>10878</v>
      </c>
      <c r="C3750" t="s">
        <v>10879</v>
      </c>
      <c r="D3750" t="s">
        <v>15</v>
      </c>
      <c r="E3750" t="s">
        <v>16</v>
      </c>
      <c r="F3750" t="s">
        <v>36</v>
      </c>
      <c r="G3750" t="s">
        <v>151</v>
      </c>
      <c r="H3750" t="s">
        <v>31</v>
      </c>
      <c r="I3750">
        <v>3</v>
      </c>
      <c r="J3750">
        <v>8</v>
      </c>
      <c r="K3750">
        <v>4.29</v>
      </c>
      <c r="L3750">
        <v>1</v>
      </c>
    </row>
    <row r="3751" spans="1:12">
      <c r="A3751" t="s">
        <v>10880</v>
      </c>
      <c r="B3751" t="s">
        <v>10881</v>
      </c>
      <c r="C3751" t="s">
        <v>10882</v>
      </c>
      <c r="D3751" t="s">
        <v>15</v>
      </c>
      <c r="E3751" t="s">
        <v>28</v>
      </c>
      <c r="F3751" t="s">
        <v>60</v>
      </c>
      <c r="G3751" t="s">
        <v>105</v>
      </c>
      <c r="H3751" t="s">
        <v>31</v>
      </c>
      <c r="I3751">
        <v>4</v>
      </c>
      <c r="J3751">
        <v>8</v>
      </c>
      <c r="K3751">
        <v>3.81</v>
      </c>
      <c r="L3751">
        <v>1</v>
      </c>
    </row>
    <row r="3752" spans="1:12">
      <c r="A3752" t="s">
        <v>10883</v>
      </c>
      <c r="B3752" t="s">
        <v>10884</v>
      </c>
      <c r="C3752" t="s">
        <v>10885</v>
      </c>
      <c r="D3752" t="s">
        <v>23</v>
      </c>
      <c r="E3752" t="s">
        <v>16</v>
      </c>
      <c r="F3752" t="s">
        <v>41</v>
      </c>
      <c r="G3752" t="s">
        <v>50</v>
      </c>
      <c r="H3752" t="s">
        <v>19</v>
      </c>
      <c r="I3752">
        <v>5</v>
      </c>
      <c r="J3752">
        <v>24</v>
      </c>
      <c r="K3752">
        <v>21.29</v>
      </c>
      <c r="L3752">
        <v>1</v>
      </c>
    </row>
    <row r="3753" spans="1:12">
      <c r="A3753" t="s">
        <v>10886</v>
      </c>
      <c r="B3753" t="s">
        <v>10887</v>
      </c>
      <c r="C3753" t="s">
        <v>10888</v>
      </c>
      <c r="D3753" t="s">
        <v>35</v>
      </c>
      <c r="E3753" t="s">
        <v>24</v>
      </c>
      <c r="F3753" t="s">
        <v>17</v>
      </c>
      <c r="G3753" t="s">
        <v>105</v>
      </c>
      <c r="H3753" t="s">
        <v>19</v>
      </c>
      <c r="I3753">
        <v>5</v>
      </c>
      <c r="J3753">
        <v>48</v>
      </c>
      <c r="K3753">
        <v>30.03</v>
      </c>
      <c r="L3753">
        <v>1</v>
      </c>
    </row>
    <row r="3754" spans="1:12">
      <c r="A3754" t="s">
        <v>10889</v>
      </c>
      <c r="B3754" t="s">
        <v>10890</v>
      </c>
      <c r="C3754" t="s">
        <v>10891</v>
      </c>
      <c r="D3754" t="s">
        <v>23</v>
      </c>
      <c r="E3754" t="s">
        <v>16</v>
      </c>
      <c r="F3754" t="s">
        <v>29</v>
      </c>
      <c r="G3754" t="s">
        <v>30</v>
      </c>
      <c r="H3754" t="s">
        <v>19</v>
      </c>
      <c r="I3754">
        <v>3</v>
      </c>
      <c r="J3754">
        <v>24</v>
      </c>
      <c r="K3754">
        <v>18.350000000000001</v>
      </c>
      <c r="L3754">
        <v>1</v>
      </c>
    </row>
    <row r="3755" spans="1:12">
      <c r="A3755" t="s">
        <v>10892</v>
      </c>
      <c r="B3755" t="s">
        <v>10893</v>
      </c>
      <c r="C3755" t="s">
        <v>10894</v>
      </c>
      <c r="D3755" t="s">
        <v>35</v>
      </c>
      <c r="E3755" t="s">
        <v>28</v>
      </c>
      <c r="F3755" t="s">
        <v>29</v>
      </c>
      <c r="G3755" t="s">
        <v>55</v>
      </c>
      <c r="H3755" t="s">
        <v>19</v>
      </c>
      <c r="I3755">
        <v>4</v>
      </c>
      <c r="J3755">
        <v>48</v>
      </c>
      <c r="K3755">
        <v>24.92</v>
      </c>
      <c r="L3755">
        <v>1</v>
      </c>
    </row>
    <row r="3756" spans="1:12">
      <c r="A3756" t="s">
        <v>10895</v>
      </c>
      <c r="B3756" t="s">
        <v>10896</v>
      </c>
      <c r="C3756" t="s">
        <v>10897</v>
      </c>
      <c r="D3756" t="s">
        <v>23</v>
      </c>
      <c r="E3756" t="s">
        <v>28</v>
      </c>
      <c r="F3756" t="s">
        <v>36</v>
      </c>
      <c r="G3756" t="s">
        <v>105</v>
      </c>
      <c r="H3756" t="s">
        <v>19</v>
      </c>
      <c r="I3756">
        <v>4</v>
      </c>
      <c r="J3756">
        <v>24</v>
      </c>
      <c r="K3756">
        <v>16.75</v>
      </c>
      <c r="L3756">
        <v>1</v>
      </c>
    </row>
    <row r="3757" spans="1:12">
      <c r="A3757" t="s">
        <v>10898</v>
      </c>
      <c r="B3757" t="s">
        <v>10899</v>
      </c>
      <c r="C3757" t="s">
        <v>10900</v>
      </c>
      <c r="D3757" t="s">
        <v>23</v>
      </c>
      <c r="E3757" t="s">
        <v>24</v>
      </c>
      <c r="F3757" t="s">
        <v>36</v>
      </c>
      <c r="G3757" t="s">
        <v>37</v>
      </c>
      <c r="H3757" t="s">
        <v>31</v>
      </c>
      <c r="I3757">
        <v>5</v>
      </c>
      <c r="J3757">
        <v>24</v>
      </c>
      <c r="K3757">
        <v>10.44</v>
      </c>
      <c r="L3757">
        <v>1</v>
      </c>
    </row>
    <row r="3758" spans="1:12">
      <c r="A3758" t="s">
        <v>10901</v>
      </c>
      <c r="B3758" t="s">
        <v>10902</v>
      </c>
      <c r="C3758" t="s">
        <v>10903</v>
      </c>
      <c r="D3758" t="s">
        <v>23</v>
      </c>
      <c r="E3758" t="s">
        <v>54</v>
      </c>
      <c r="F3758" t="s">
        <v>36</v>
      </c>
      <c r="G3758" t="s">
        <v>42</v>
      </c>
      <c r="H3758" t="s">
        <v>31</v>
      </c>
      <c r="I3758">
        <v>3</v>
      </c>
      <c r="J3758">
        <v>24</v>
      </c>
      <c r="K3758">
        <v>60.04</v>
      </c>
      <c r="L3758">
        <v>0</v>
      </c>
    </row>
    <row r="3759" spans="1:12">
      <c r="A3759" t="s">
        <v>10904</v>
      </c>
      <c r="B3759" t="s">
        <v>10905</v>
      </c>
      <c r="D3759" t="s">
        <v>23</v>
      </c>
      <c r="E3759" t="s">
        <v>54</v>
      </c>
      <c r="F3759" t="s">
        <v>41</v>
      </c>
      <c r="G3759" t="s">
        <v>30</v>
      </c>
      <c r="H3759" t="s">
        <v>63</v>
      </c>
      <c r="J3759">
        <v>24</v>
      </c>
    </row>
    <row r="3760" spans="1:12">
      <c r="A3760" t="s">
        <v>10906</v>
      </c>
      <c r="B3760" t="s">
        <v>10907</v>
      </c>
      <c r="C3760" t="s">
        <v>10908</v>
      </c>
      <c r="D3760" t="s">
        <v>35</v>
      </c>
      <c r="E3760" t="s">
        <v>54</v>
      </c>
      <c r="F3760" t="s">
        <v>17</v>
      </c>
      <c r="G3760" t="s">
        <v>30</v>
      </c>
      <c r="H3760" t="s">
        <v>19</v>
      </c>
      <c r="I3760">
        <v>2</v>
      </c>
      <c r="J3760">
        <v>48</v>
      </c>
      <c r="K3760">
        <v>52.53</v>
      </c>
      <c r="L3760">
        <v>0</v>
      </c>
    </row>
    <row r="3761" spans="1:12">
      <c r="A3761" t="s">
        <v>10909</v>
      </c>
      <c r="B3761" t="s">
        <v>10910</v>
      </c>
      <c r="C3761" t="s">
        <v>10911</v>
      </c>
      <c r="D3761" t="s">
        <v>15</v>
      </c>
      <c r="E3761" t="s">
        <v>59</v>
      </c>
      <c r="F3761" t="s">
        <v>41</v>
      </c>
      <c r="G3761" t="s">
        <v>37</v>
      </c>
      <c r="H3761" t="s">
        <v>31</v>
      </c>
      <c r="I3761">
        <v>5</v>
      </c>
      <c r="J3761">
        <v>8</v>
      </c>
      <c r="K3761">
        <v>5.67</v>
      </c>
      <c r="L3761">
        <v>1</v>
      </c>
    </row>
    <row r="3762" spans="1:12">
      <c r="A3762" t="s">
        <v>10912</v>
      </c>
      <c r="B3762" t="s">
        <v>10913</v>
      </c>
      <c r="C3762" t="s">
        <v>10914</v>
      </c>
      <c r="D3762" t="s">
        <v>15</v>
      </c>
      <c r="E3762" t="s">
        <v>28</v>
      </c>
      <c r="F3762" t="s">
        <v>36</v>
      </c>
      <c r="G3762" t="s">
        <v>50</v>
      </c>
      <c r="H3762" t="s">
        <v>19</v>
      </c>
      <c r="I3762">
        <v>3</v>
      </c>
      <c r="J3762">
        <v>8</v>
      </c>
      <c r="K3762">
        <v>4.3600000000000003</v>
      </c>
      <c r="L3762">
        <v>1</v>
      </c>
    </row>
    <row r="3763" spans="1:12">
      <c r="A3763" t="s">
        <v>10915</v>
      </c>
      <c r="B3763" t="s">
        <v>10916</v>
      </c>
      <c r="C3763" t="s">
        <v>10917</v>
      </c>
      <c r="D3763" t="s">
        <v>23</v>
      </c>
      <c r="E3763" t="s">
        <v>16</v>
      </c>
      <c r="F3763" t="s">
        <v>36</v>
      </c>
      <c r="G3763" t="s">
        <v>45</v>
      </c>
      <c r="H3763" t="s">
        <v>31</v>
      </c>
      <c r="I3763">
        <v>4</v>
      </c>
      <c r="J3763">
        <v>24</v>
      </c>
      <c r="K3763">
        <v>6.44</v>
      </c>
      <c r="L3763">
        <v>1</v>
      </c>
    </row>
    <row r="3764" spans="1:12">
      <c r="A3764" t="s">
        <v>10918</v>
      </c>
      <c r="B3764" t="s">
        <v>10919</v>
      </c>
      <c r="C3764" t="s">
        <v>10920</v>
      </c>
      <c r="D3764" t="s">
        <v>15</v>
      </c>
      <c r="E3764" t="s">
        <v>24</v>
      </c>
      <c r="F3764" t="s">
        <v>41</v>
      </c>
      <c r="G3764" t="s">
        <v>172</v>
      </c>
      <c r="H3764" t="s">
        <v>31</v>
      </c>
      <c r="I3764">
        <v>5</v>
      </c>
      <c r="J3764">
        <v>8</v>
      </c>
      <c r="K3764">
        <v>2.79</v>
      </c>
      <c r="L3764">
        <v>1</v>
      </c>
    </row>
    <row r="3765" spans="1:12">
      <c r="A3765" t="s">
        <v>10921</v>
      </c>
      <c r="B3765" t="s">
        <v>10922</v>
      </c>
      <c r="C3765" t="s">
        <v>10923</v>
      </c>
      <c r="D3765" t="s">
        <v>23</v>
      </c>
      <c r="E3765" t="s">
        <v>54</v>
      </c>
      <c r="F3765" t="s">
        <v>60</v>
      </c>
      <c r="G3765" t="s">
        <v>151</v>
      </c>
      <c r="H3765" t="s">
        <v>19</v>
      </c>
      <c r="I3765">
        <v>3</v>
      </c>
      <c r="J3765">
        <v>24</v>
      </c>
      <c r="K3765">
        <v>14.64</v>
      </c>
      <c r="L3765">
        <v>1</v>
      </c>
    </row>
    <row r="3766" spans="1:12">
      <c r="A3766" t="s">
        <v>10924</v>
      </c>
      <c r="B3766" t="s">
        <v>10925</v>
      </c>
      <c r="C3766" t="s">
        <v>10926</v>
      </c>
      <c r="D3766" t="s">
        <v>23</v>
      </c>
      <c r="E3766" t="s">
        <v>24</v>
      </c>
      <c r="F3766" t="s">
        <v>29</v>
      </c>
      <c r="G3766" t="s">
        <v>77</v>
      </c>
      <c r="H3766" t="s">
        <v>31</v>
      </c>
      <c r="I3766">
        <v>5</v>
      </c>
      <c r="J3766">
        <v>24</v>
      </c>
      <c r="K3766">
        <v>10.029999999999999</v>
      </c>
      <c r="L3766">
        <v>1</v>
      </c>
    </row>
    <row r="3767" spans="1:12">
      <c r="A3767" t="s">
        <v>10927</v>
      </c>
      <c r="B3767" t="s">
        <v>10928</v>
      </c>
      <c r="C3767" t="s">
        <v>10929</v>
      </c>
      <c r="D3767" t="s">
        <v>15</v>
      </c>
      <c r="E3767" t="s">
        <v>28</v>
      </c>
      <c r="F3767" t="s">
        <v>36</v>
      </c>
      <c r="G3767" t="s">
        <v>18</v>
      </c>
      <c r="H3767" t="s">
        <v>31</v>
      </c>
      <c r="I3767">
        <v>4</v>
      </c>
      <c r="J3767">
        <v>8</v>
      </c>
      <c r="K3767">
        <v>4.72</v>
      </c>
      <c r="L3767">
        <v>1</v>
      </c>
    </row>
    <row r="3768" spans="1:12">
      <c r="A3768" t="s">
        <v>10930</v>
      </c>
      <c r="B3768" t="s">
        <v>10931</v>
      </c>
      <c r="C3768" t="s">
        <v>10932</v>
      </c>
      <c r="D3768" t="s">
        <v>35</v>
      </c>
      <c r="E3768" t="s">
        <v>59</v>
      </c>
      <c r="F3768" t="s">
        <v>60</v>
      </c>
      <c r="G3768" t="s">
        <v>73</v>
      </c>
      <c r="H3768" t="s">
        <v>31</v>
      </c>
      <c r="I3768">
        <v>5</v>
      </c>
      <c r="J3768">
        <v>48</v>
      </c>
      <c r="K3768">
        <v>25.02</v>
      </c>
      <c r="L3768">
        <v>1</v>
      </c>
    </row>
    <row r="3769" spans="1:12">
      <c r="A3769" t="s">
        <v>10933</v>
      </c>
      <c r="B3769" t="s">
        <v>10934</v>
      </c>
      <c r="C3769" t="s">
        <v>10935</v>
      </c>
      <c r="D3769" t="s">
        <v>23</v>
      </c>
      <c r="E3769" t="s">
        <v>28</v>
      </c>
      <c r="F3769" t="s">
        <v>41</v>
      </c>
      <c r="G3769" t="s">
        <v>55</v>
      </c>
      <c r="H3769" t="s">
        <v>31</v>
      </c>
      <c r="I3769">
        <v>5</v>
      </c>
      <c r="J3769">
        <v>24</v>
      </c>
      <c r="K3769">
        <v>21.84</v>
      </c>
      <c r="L3769">
        <v>1</v>
      </c>
    </row>
    <row r="3770" spans="1:12">
      <c r="A3770" t="s">
        <v>10936</v>
      </c>
      <c r="B3770" t="s">
        <v>10937</v>
      </c>
      <c r="C3770" t="s">
        <v>10938</v>
      </c>
      <c r="D3770" t="s">
        <v>15</v>
      </c>
      <c r="E3770" t="s">
        <v>28</v>
      </c>
      <c r="F3770" t="s">
        <v>29</v>
      </c>
      <c r="G3770" t="s">
        <v>50</v>
      </c>
      <c r="H3770" t="s">
        <v>19</v>
      </c>
      <c r="I3770">
        <v>5</v>
      </c>
      <c r="J3770">
        <v>8</v>
      </c>
      <c r="K3770">
        <v>3.66</v>
      </c>
      <c r="L3770">
        <v>1</v>
      </c>
    </row>
    <row r="3771" spans="1:12">
      <c r="A3771" t="s">
        <v>10939</v>
      </c>
      <c r="B3771" t="s">
        <v>10940</v>
      </c>
      <c r="C3771" t="s">
        <v>10941</v>
      </c>
      <c r="D3771" t="s">
        <v>23</v>
      </c>
      <c r="E3771" t="s">
        <v>28</v>
      </c>
      <c r="F3771" t="s">
        <v>29</v>
      </c>
      <c r="G3771" t="s">
        <v>42</v>
      </c>
      <c r="H3771" t="s">
        <v>19</v>
      </c>
      <c r="I3771">
        <v>3</v>
      </c>
      <c r="J3771">
        <v>24</v>
      </c>
      <c r="K3771">
        <v>4.2</v>
      </c>
      <c r="L3771">
        <v>1</v>
      </c>
    </row>
    <row r="3772" spans="1:12">
      <c r="A3772" t="s">
        <v>10942</v>
      </c>
      <c r="B3772" t="s">
        <v>10943</v>
      </c>
      <c r="C3772" t="s">
        <v>10944</v>
      </c>
      <c r="D3772" t="s">
        <v>15</v>
      </c>
      <c r="E3772" t="s">
        <v>28</v>
      </c>
      <c r="F3772" t="s">
        <v>17</v>
      </c>
      <c r="G3772" t="s">
        <v>55</v>
      </c>
      <c r="H3772" t="s">
        <v>19</v>
      </c>
      <c r="I3772">
        <v>4</v>
      </c>
      <c r="J3772">
        <v>8</v>
      </c>
      <c r="K3772">
        <v>1.63</v>
      </c>
      <c r="L3772">
        <v>1</v>
      </c>
    </row>
    <row r="3773" spans="1:12">
      <c r="A3773" t="s">
        <v>10945</v>
      </c>
      <c r="B3773" t="s">
        <v>10946</v>
      </c>
      <c r="C3773" t="s">
        <v>10947</v>
      </c>
      <c r="D3773" t="s">
        <v>158</v>
      </c>
      <c r="E3773" t="s">
        <v>24</v>
      </c>
      <c r="F3773" t="s">
        <v>29</v>
      </c>
      <c r="G3773" t="s">
        <v>45</v>
      </c>
      <c r="H3773" t="s">
        <v>31</v>
      </c>
      <c r="I3773">
        <v>4</v>
      </c>
      <c r="J3773">
        <v>4</v>
      </c>
      <c r="K3773">
        <v>1.01</v>
      </c>
      <c r="L3773">
        <v>1</v>
      </c>
    </row>
    <row r="3774" spans="1:12">
      <c r="A3774" t="s">
        <v>10948</v>
      </c>
      <c r="B3774" t="s">
        <v>10949</v>
      </c>
      <c r="C3774" t="s">
        <v>10950</v>
      </c>
      <c r="D3774" t="s">
        <v>23</v>
      </c>
      <c r="E3774" t="s">
        <v>16</v>
      </c>
      <c r="F3774" t="s">
        <v>36</v>
      </c>
      <c r="G3774" t="s">
        <v>42</v>
      </c>
      <c r="H3774" t="s">
        <v>19</v>
      </c>
      <c r="I3774">
        <v>4</v>
      </c>
      <c r="J3774">
        <v>24</v>
      </c>
      <c r="K3774">
        <v>4.4800000000000004</v>
      </c>
      <c r="L3774">
        <v>1</v>
      </c>
    </row>
    <row r="3775" spans="1:12">
      <c r="A3775" t="s">
        <v>10951</v>
      </c>
      <c r="B3775" t="s">
        <v>10952</v>
      </c>
      <c r="C3775" t="s">
        <v>10953</v>
      </c>
      <c r="D3775" t="s">
        <v>35</v>
      </c>
      <c r="E3775" t="s">
        <v>24</v>
      </c>
      <c r="F3775" t="s">
        <v>36</v>
      </c>
      <c r="G3775" t="s">
        <v>42</v>
      </c>
      <c r="H3775" t="s">
        <v>19</v>
      </c>
      <c r="I3775">
        <v>3</v>
      </c>
      <c r="J3775">
        <v>48</v>
      </c>
      <c r="K3775">
        <v>35.340000000000003</v>
      </c>
      <c r="L3775">
        <v>1</v>
      </c>
    </row>
    <row r="3776" spans="1:12">
      <c r="A3776" t="s">
        <v>10954</v>
      </c>
      <c r="B3776" t="s">
        <v>10955</v>
      </c>
      <c r="D3776" t="s">
        <v>15</v>
      </c>
      <c r="E3776" t="s">
        <v>54</v>
      </c>
      <c r="F3776" t="s">
        <v>29</v>
      </c>
      <c r="G3776" t="s">
        <v>37</v>
      </c>
      <c r="H3776" t="s">
        <v>46</v>
      </c>
      <c r="J3776">
        <v>8</v>
      </c>
    </row>
    <row r="3777" spans="1:12">
      <c r="A3777" t="s">
        <v>10956</v>
      </c>
      <c r="B3777" t="s">
        <v>10957</v>
      </c>
      <c r="C3777" t="s">
        <v>10958</v>
      </c>
      <c r="D3777" t="s">
        <v>15</v>
      </c>
      <c r="E3777" t="s">
        <v>16</v>
      </c>
      <c r="F3777" t="s">
        <v>60</v>
      </c>
      <c r="G3777" t="s">
        <v>18</v>
      </c>
      <c r="H3777" t="s">
        <v>19</v>
      </c>
      <c r="I3777">
        <v>5</v>
      </c>
      <c r="J3777">
        <v>8</v>
      </c>
      <c r="K3777">
        <v>845</v>
      </c>
      <c r="L3777">
        <v>0</v>
      </c>
    </row>
    <row r="3778" spans="1:12">
      <c r="A3778" t="s">
        <v>10959</v>
      </c>
      <c r="B3778" t="s">
        <v>10960</v>
      </c>
      <c r="C3778" t="s">
        <v>10961</v>
      </c>
      <c r="D3778" t="s">
        <v>35</v>
      </c>
      <c r="E3778" t="s">
        <v>28</v>
      </c>
      <c r="F3778" t="s">
        <v>36</v>
      </c>
      <c r="G3778" t="s">
        <v>45</v>
      </c>
      <c r="H3778" t="s">
        <v>31</v>
      </c>
      <c r="I3778">
        <v>5</v>
      </c>
      <c r="J3778">
        <v>48</v>
      </c>
      <c r="K3778">
        <v>40.590000000000003</v>
      </c>
      <c r="L3778">
        <v>1</v>
      </c>
    </row>
    <row r="3779" spans="1:12">
      <c r="A3779" t="s">
        <v>10962</v>
      </c>
      <c r="B3779" t="s">
        <v>10963</v>
      </c>
      <c r="C3779" t="s">
        <v>10964</v>
      </c>
      <c r="D3779" t="s">
        <v>23</v>
      </c>
      <c r="E3779" t="s">
        <v>28</v>
      </c>
      <c r="F3779" t="s">
        <v>29</v>
      </c>
      <c r="G3779" t="s">
        <v>55</v>
      </c>
      <c r="H3779" t="s">
        <v>19</v>
      </c>
      <c r="I3779">
        <v>3</v>
      </c>
      <c r="J3779">
        <v>24</v>
      </c>
      <c r="K3779">
        <v>11.05</v>
      </c>
      <c r="L3779">
        <v>1</v>
      </c>
    </row>
    <row r="3780" spans="1:12">
      <c r="A3780" t="s">
        <v>10965</v>
      </c>
      <c r="B3780" t="s">
        <v>10966</v>
      </c>
      <c r="D3780" t="s">
        <v>35</v>
      </c>
      <c r="E3780" t="s">
        <v>24</v>
      </c>
      <c r="F3780" t="s">
        <v>41</v>
      </c>
      <c r="G3780" t="s">
        <v>151</v>
      </c>
      <c r="H3780" t="s">
        <v>46</v>
      </c>
      <c r="J3780">
        <v>48</v>
      </c>
    </row>
    <row r="3781" spans="1:12">
      <c r="A3781" t="s">
        <v>10967</v>
      </c>
      <c r="B3781" t="s">
        <v>10968</v>
      </c>
      <c r="C3781" t="s">
        <v>10969</v>
      </c>
      <c r="D3781" t="s">
        <v>23</v>
      </c>
      <c r="E3781" t="s">
        <v>24</v>
      </c>
      <c r="F3781" t="s">
        <v>17</v>
      </c>
      <c r="G3781" t="s">
        <v>77</v>
      </c>
      <c r="H3781" t="s">
        <v>19</v>
      </c>
      <c r="I3781">
        <v>5</v>
      </c>
      <c r="J3781">
        <v>24</v>
      </c>
      <c r="K3781">
        <v>20.9</v>
      </c>
      <c r="L3781">
        <v>1</v>
      </c>
    </row>
    <row r="3782" spans="1:12">
      <c r="A3782" t="s">
        <v>10970</v>
      </c>
      <c r="B3782" t="s">
        <v>10971</v>
      </c>
      <c r="C3782" t="s">
        <v>10972</v>
      </c>
      <c r="D3782" t="s">
        <v>158</v>
      </c>
      <c r="E3782" t="s">
        <v>16</v>
      </c>
      <c r="F3782" t="s">
        <v>41</v>
      </c>
      <c r="G3782" t="s">
        <v>105</v>
      </c>
      <c r="H3782" t="s">
        <v>31</v>
      </c>
      <c r="I3782">
        <v>4</v>
      </c>
      <c r="J3782">
        <v>4</v>
      </c>
      <c r="K3782">
        <v>3.11</v>
      </c>
      <c r="L3782">
        <v>1</v>
      </c>
    </row>
    <row r="3783" spans="1:12">
      <c r="A3783" t="s">
        <v>10973</v>
      </c>
      <c r="B3783" t="s">
        <v>10974</v>
      </c>
      <c r="C3783" t="s">
        <v>10975</v>
      </c>
      <c r="D3783" t="s">
        <v>23</v>
      </c>
      <c r="E3783" t="s">
        <v>16</v>
      </c>
      <c r="F3783" t="s">
        <v>60</v>
      </c>
      <c r="G3783" t="s">
        <v>172</v>
      </c>
      <c r="H3783" t="s">
        <v>31</v>
      </c>
      <c r="I3783">
        <v>5</v>
      </c>
      <c r="J3783">
        <v>24</v>
      </c>
      <c r="K3783">
        <v>2.84</v>
      </c>
      <c r="L3783">
        <v>1</v>
      </c>
    </row>
    <row r="3784" spans="1:12">
      <c r="A3784" t="s">
        <v>10976</v>
      </c>
      <c r="B3784" t="s">
        <v>10977</v>
      </c>
      <c r="C3784" t="s">
        <v>10978</v>
      </c>
      <c r="D3784" t="s">
        <v>15</v>
      </c>
      <c r="E3784" t="s">
        <v>16</v>
      </c>
      <c r="F3784" t="s">
        <v>60</v>
      </c>
      <c r="G3784" t="s">
        <v>55</v>
      </c>
      <c r="H3784" t="s">
        <v>19</v>
      </c>
      <c r="I3784">
        <v>3</v>
      </c>
      <c r="J3784">
        <v>8</v>
      </c>
      <c r="K3784">
        <v>6.97</v>
      </c>
      <c r="L3784">
        <v>1</v>
      </c>
    </row>
    <row r="3785" spans="1:12">
      <c r="A3785" t="s">
        <v>10979</v>
      </c>
      <c r="B3785" t="s">
        <v>10980</v>
      </c>
      <c r="C3785" t="s">
        <v>10981</v>
      </c>
      <c r="D3785" t="s">
        <v>158</v>
      </c>
      <c r="E3785" t="s">
        <v>28</v>
      </c>
      <c r="F3785" t="s">
        <v>29</v>
      </c>
      <c r="G3785" t="s">
        <v>30</v>
      </c>
      <c r="H3785" t="s">
        <v>19</v>
      </c>
      <c r="I3785">
        <v>5</v>
      </c>
      <c r="J3785">
        <v>4</v>
      </c>
      <c r="K3785">
        <v>2.54</v>
      </c>
      <c r="L3785">
        <v>1</v>
      </c>
    </row>
    <row r="3786" spans="1:12">
      <c r="A3786" t="s">
        <v>10982</v>
      </c>
      <c r="B3786" t="s">
        <v>10983</v>
      </c>
      <c r="C3786" t="s">
        <v>10984</v>
      </c>
      <c r="D3786" t="s">
        <v>35</v>
      </c>
      <c r="E3786" t="s">
        <v>59</v>
      </c>
      <c r="F3786" t="s">
        <v>41</v>
      </c>
      <c r="G3786" t="s">
        <v>30</v>
      </c>
      <c r="H3786" t="s">
        <v>19</v>
      </c>
      <c r="I3786">
        <v>5</v>
      </c>
      <c r="J3786">
        <v>48</v>
      </c>
      <c r="K3786">
        <v>37.869999999999997</v>
      </c>
      <c r="L3786">
        <v>1</v>
      </c>
    </row>
    <row r="3787" spans="1:12">
      <c r="A3787" t="s">
        <v>10985</v>
      </c>
      <c r="B3787" t="s">
        <v>10986</v>
      </c>
      <c r="C3787" t="s">
        <v>10987</v>
      </c>
      <c r="D3787" t="s">
        <v>23</v>
      </c>
      <c r="E3787" t="s">
        <v>54</v>
      </c>
      <c r="F3787" t="s">
        <v>36</v>
      </c>
      <c r="G3787" t="s">
        <v>45</v>
      </c>
      <c r="H3787" t="s">
        <v>31</v>
      </c>
      <c r="I3787">
        <v>4</v>
      </c>
      <c r="J3787">
        <v>24</v>
      </c>
      <c r="K3787">
        <v>9.65</v>
      </c>
      <c r="L3787">
        <v>1</v>
      </c>
    </row>
    <row r="3788" spans="1:12">
      <c r="A3788" t="s">
        <v>10988</v>
      </c>
      <c r="B3788" t="s">
        <v>10989</v>
      </c>
      <c r="C3788" t="s">
        <v>10990</v>
      </c>
      <c r="D3788" t="s">
        <v>23</v>
      </c>
      <c r="E3788" t="s">
        <v>54</v>
      </c>
      <c r="F3788" t="s">
        <v>29</v>
      </c>
      <c r="G3788" t="s">
        <v>73</v>
      </c>
      <c r="H3788" t="s">
        <v>31</v>
      </c>
      <c r="I3788">
        <v>2</v>
      </c>
      <c r="J3788">
        <v>24</v>
      </c>
      <c r="K3788">
        <v>60.37</v>
      </c>
      <c r="L3788">
        <v>0</v>
      </c>
    </row>
    <row r="3789" spans="1:12">
      <c r="A3789" t="s">
        <v>10991</v>
      </c>
      <c r="B3789" t="s">
        <v>10992</v>
      </c>
      <c r="C3789" t="s">
        <v>10993</v>
      </c>
      <c r="D3789" t="s">
        <v>23</v>
      </c>
      <c r="E3789" t="s">
        <v>28</v>
      </c>
      <c r="F3789" t="s">
        <v>41</v>
      </c>
      <c r="G3789" t="s">
        <v>73</v>
      </c>
      <c r="H3789" t="s">
        <v>19</v>
      </c>
      <c r="I3789">
        <v>3</v>
      </c>
      <c r="J3789">
        <v>24</v>
      </c>
      <c r="K3789">
        <v>2.56</v>
      </c>
      <c r="L3789">
        <v>1</v>
      </c>
    </row>
    <row r="3790" spans="1:12">
      <c r="A3790" t="s">
        <v>10994</v>
      </c>
      <c r="B3790" t="s">
        <v>10995</v>
      </c>
      <c r="D3790" t="s">
        <v>35</v>
      </c>
      <c r="E3790" t="s">
        <v>16</v>
      </c>
      <c r="F3790" t="s">
        <v>36</v>
      </c>
      <c r="G3790" t="s">
        <v>151</v>
      </c>
      <c r="H3790" t="s">
        <v>46</v>
      </c>
      <c r="J3790">
        <v>48</v>
      </c>
    </row>
    <row r="3791" spans="1:12">
      <c r="A3791" t="s">
        <v>10996</v>
      </c>
      <c r="B3791" t="s">
        <v>10997</v>
      </c>
      <c r="C3791" t="s">
        <v>10998</v>
      </c>
      <c r="D3791" t="s">
        <v>15</v>
      </c>
      <c r="E3791" t="s">
        <v>54</v>
      </c>
      <c r="F3791" t="s">
        <v>29</v>
      </c>
      <c r="G3791" t="s">
        <v>105</v>
      </c>
      <c r="H3791" t="s">
        <v>31</v>
      </c>
      <c r="I3791">
        <v>5</v>
      </c>
      <c r="J3791">
        <v>8</v>
      </c>
      <c r="K3791">
        <v>2.39</v>
      </c>
      <c r="L3791">
        <v>1</v>
      </c>
    </row>
    <row r="3792" spans="1:12">
      <c r="A3792" t="s">
        <v>10999</v>
      </c>
      <c r="B3792" t="s">
        <v>11000</v>
      </c>
      <c r="C3792" t="s">
        <v>11001</v>
      </c>
      <c r="D3792" t="s">
        <v>23</v>
      </c>
      <c r="E3792" t="s">
        <v>28</v>
      </c>
      <c r="F3792" t="s">
        <v>17</v>
      </c>
      <c r="G3792" t="s">
        <v>73</v>
      </c>
      <c r="H3792" t="s">
        <v>19</v>
      </c>
      <c r="I3792">
        <v>2</v>
      </c>
      <c r="J3792">
        <v>24</v>
      </c>
      <c r="K3792">
        <v>49.27</v>
      </c>
      <c r="L3792">
        <v>0</v>
      </c>
    </row>
    <row r="3793" spans="1:12">
      <c r="A3793" t="s">
        <v>11002</v>
      </c>
      <c r="B3793" t="s">
        <v>11003</v>
      </c>
      <c r="C3793" t="s">
        <v>11004</v>
      </c>
      <c r="D3793" t="s">
        <v>23</v>
      </c>
      <c r="E3793" t="s">
        <v>54</v>
      </c>
      <c r="F3793" t="s">
        <v>36</v>
      </c>
      <c r="G3793" t="s">
        <v>30</v>
      </c>
      <c r="H3793" t="s">
        <v>19</v>
      </c>
      <c r="I3793">
        <v>5</v>
      </c>
      <c r="J3793">
        <v>24</v>
      </c>
      <c r="K3793">
        <v>13.75</v>
      </c>
      <c r="L3793">
        <v>1</v>
      </c>
    </row>
    <row r="3794" spans="1:12">
      <c r="A3794" t="s">
        <v>11005</v>
      </c>
      <c r="B3794" t="s">
        <v>11006</v>
      </c>
      <c r="C3794" t="s">
        <v>11007</v>
      </c>
      <c r="D3794" t="s">
        <v>23</v>
      </c>
      <c r="E3794" t="s">
        <v>54</v>
      </c>
      <c r="F3794" t="s">
        <v>29</v>
      </c>
      <c r="G3794" t="s">
        <v>50</v>
      </c>
      <c r="H3794" t="s">
        <v>19</v>
      </c>
      <c r="I3794">
        <v>3</v>
      </c>
      <c r="J3794">
        <v>24</v>
      </c>
      <c r="K3794">
        <v>17.46</v>
      </c>
      <c r="L3794">
        <v>1</v>
      </c>
    </row>
    <row r="3795" spans="1:12">
      <c r="A3795" t="s">
        <v>11008</v>
      </c>
      <c r="B3795" t="s">
        <v>11009</v>
      </c>
      <c r="C3795" t="s">
        <v>11010</v>
      </c>
      <c r="D3795" t="s">
        <v>35</v>
      </c>
      <c r="E3795" t="s">
        <v>16</v>
      </c>
      <c r="F3795" t="s">
        <v>60</v>
      </c>
      <c r="G3795" t="s">
        <v>45</v>
      </c>
      <c r="H3795" t="s">
        <v>31</v>
      </c>
      <c r="I3795">
        <v>4</v>
      </c>
      <c r="J3795">
        <v>48</v>
      </c>
      <c r="K3795">
        <v>42.38</v>
      </c>
      <c r="L3795">
        <v>1</v>
      </c>
    </row>
    <row r="3796" spans="1:12">
      <c r="A3796" t="s">
        <v>11011</v>
      </c>
      <c r="B3796" t="s">
        <v>11012</v>
      </c>
      <c r="C3796" t="s">
        <v>11013</v>
      </c>
      <c r="D3796" t="s">
        <v>23</v>
      </c>
      <c r="E3796" t="s">
        <v>16</v>
      </c>
      <c r="F3796" t="s">
        <v>17</v>
      </c>
      <c r="G3796" t="s">
        <v>172</v>
      </c>
      <c r="H3796" t="s">
        <v>31</v>
      </c>
      <c r="I3796">
        <v>5</v>
      </c>
      <c r="J3796">
        <v>24</v>
      </c>
      <c r="K3796">
        <v>18.46</v>
      </c>
      <c r="L3796">
        <v>1</v>
      </c>
    </row>
    <row r="3797" spans="1:12">
      <c r="A3797" t="s">
        <v>11014</v>
      </c>
      <c r="B3797" t="s">
        <v>11015</v>
      </c>
      <c r="C3797" t="s">
        <v>11016</v>
      </c>
      <c r="D3797" t="s">
        <v>23</v>
      </c>
      <c r="E3797" t="s">
        <v>54</v>
      </c>
      <c r="F3797" t="s">
        <v>41</v>
      </c>
      <c r="G3797" t="s">
        <v>73</v>
      </c>
      <c r="H3797" t="s">
        <v>31</v>
      </c>
      <c r="I3797">
        <v>5</v>
      </c>
      <c r="J3797">
        <v>24</v>
      </c>
      <c r="K3797">
        <v>16.940000000000001</v>
      </c>
      <c r="L3797">
        <v>1</v>
      </c>
    </row>
    <row r="3798" spans="1:12">
      <c r="A3798" t="s">
        <v>11017</v>
      </c>
      <c r="B3798" t="s">
        <v>11018</v>
      </c>
      <c r="C3798" t="s">
        <v>11019</v>
      </c>
      <c r="D3798" t="s">
        <v>23</v>
      </c>
      <c r="E3798" t="s">
        <v>59</v>
      </c>
      <c r="F3798" t="s">
        <v>36</v>
      </c>
      <c r="G3798" t="s">
        <v>151</v>
      </c>
      <c r="H3798" t="s">
        <v>19</v>
      </c>
      <c r="I3798">
        <v>2</v>
      </c>
      <c r="J3798">
        <v>24</v>
      </c>
      <c r="K3798">
        <v>44.6</v>
      </c>
      <c r="L3798">
        <v>0</v>
      </c>
    </row>
    <row r="3799" spans="1:12">
      <c r="A3799" t="s">
        <v>11020</v>
      </c>
      <c r="B3799" t="s">
        <v>11021</v>
      </c>
      <c r="C3799" t="s">
        <v>11022</v>
      </c>
      <c r="D3799" t="s">
        <v>23</v>
      </c>
      <c r="E3799" t="s">
        <v>59</v>
      </c>
      <c r="F3799" t="s">
        <v>41</v>
      </c>
      <c r="G3799" t="s">
        <v>42</v>
      </c>
      <c r="H3799" t="s">
        <v>31</v>
      </c>
      <c r="I3799">
        <v>5</v>
      </c>
      <c r="J3799">
        <v>24</v>
      </c>
      <c r="K3799">
        <v>13.83</v>
      </c>
      <c r="L3799">
        <v>1</v>
      </c>
    </row>
    <row r="3800" spans="1:12">
      <c r="A3800" t="s">
        <v>11023</v>
      </c>
      <c r="B3800" t="s">
        <v>11024</v>
      </c>
      <c r="C3800" t="s">
        <v>11025</v>
      </c>
      <c r="D3800" t="s">
        <v>35</v>
      </c>
      <c r="E3800" t="s">
        <v>16</v>
      </c>
      <c r="F3800" t="s">
        <v>41</v>
      </c>
      <c r="G3800" t="s">
        <v>30</v>
      </c>
      <c r="H3800" t="s">
        <v>31</v>
      </c>
      <c r="I3800">
        <v>3</v>
      </c>
      <c r="J3800">
        <v>48</v>
      </c>
      <c r="K3800">
        <v>29.06</v>
      </c>
      <c r="L3800">
        <v>1</v>
      </c>
    </row>
    <row r="3801" spans="1:12">
      <c r="A3801" t="s">
        <v>11026</v>
      </c>
      <c r="B3801" t="s">
        <v>11027</v>
      </c>
      <c r="C3801" t="s">
        <v>11028</v>
      </c>
      <c r="D3801" t="s">
        <v>35</v>
      </c>
      <c r="E3801" t="s">
        <v>28</v>
      </c>
      <c r="F3801" t="s">
        <v>60</v>
      </c>
      <c r="G3801" t="s">
        <v>42</v>
      </c>
      <c r="H3801" t="s">
        <v>19</v>
      </c>
      <c r="I3801">
        <v>5</v>
      </c>
      <c r="J3801">
        <v>48</v>
      </c>
      <c r="K3801">
        <v>7.9</v>
      </c>
      <c r="L3801">
        <v>1</v>
      </c>
    </row>
    <row r="3802" spans="1:12">
      <c r="A3802" t="s">
        <v>11029</v>
      </c>
      <c r="B3802" t="s">
        <v>11030</v>
      </c>
      <c r="D3802" t="s">
        <v>15</v>
      </c>
      <c r="E3802" t="s">
        <v>24</v>
      </c>
      <c r="F3802" t="s">
        <v>36</v>
      </c>
      <c r="G3802" t="s">
        <v>42</v>
      </c>
      <c r="H3802" t="s">
        <v>46</v>
      </c>
      <c r="J3802">
        <v>8</v>
      </c>
    </row>
    <row r="3803" spans="1:12">
      <c r="A3803" t="s">
        <v>11031</v>
      </c>
      <c r="B3803" t="s">
        <v>11032</v>
      </c>
      <c r="C3803" t="s">
        <v>11033</v>
      </c>
      <c r="D3803" t="s">
        <v>23</v>
      </c>
      <c r="E3803" t="s">
        <v>24</v>
      </c>
      <c r="F3803" t="s">
        <v>60</v>
      </c>
      <c r="G3803" t="s">
        <v>50</v>
      </c>
      <c r="H3803" t="s">
        <v>19</v>
      </c>
      <c r="I3803">
        <v>4</v>
      </c>
      <c r="J3803">
        <v>24</v>
      </c>
      <c r="K3803">
        <v>17.32</v>
      </c>
      <c r="L3803">
        <v>1</v>
      </c>
    </row>
    <row r="3804" spans="1:12">
      <c r="A3804" t="s">
        <v>11034</v>
      </c>
      <c r="B3804" t="s">
        <v>11035</v>
      </c>
      <c r="C3804" t="s">
        <v>11036</v>
      </c>
      <c r="D3804" t="s">
        <v>23</v>
      </c>
      <c r="E3804" t="s">
        <v>59</v>
      </c>
      <c r="F3804" t="s">
        <v>60</v>
      </c>
      <c r="G3804" t="s">
        <v>77</v>
      </c>
      <c r="H3804" t="s">
        <v>31</v>
      </c>
      <c r="I3804">
        <v>4</v>
      </c>
      <c r="J3804">
        <v>24</v>
      </c>
      <c r="K3804">
        <v>22.19</v>
      </c>
      <c r="L3804">
        <v>1</v>
      </c>
    </row>
    <row r="3805" spans="1:12">
      <c r="A3805" t="s">
        <v>11037</v>
      </c>
      <c r="B3805" t="s">
        <v>11038</v>
      </c>
      <c r="C3805" t="s">
        <v>11039</v>
      </c>
      <c r="D3805" t="s">
        <v>35</v>
      </c>
      <c r="E3805" t="s">
        <v>54</v>
      </c>
      <c r="F3805" t="s">
        <v>29</v>
      </c>
      <c r="G3805" t="s">
        <v>77</v>
      </c>
      <c r="H3805" t="s">
        <v>31</v>
      </c>
      <c r="I3805">
        <v>1</v>
      </c>
      <c r="J3805">
        <v>48</v>
      </c>
      <c r="K3805">
        <v>96.79</v>
      </c>
      <c r="L3805">
        <v>0</v>
      </c>
    </row>
    <row r="3806" spans="1:12">
      <c r="A3806" t="s">
        <v>11040</v>
      </c>
      <c r="B3806" t="s">
        <v>11041</v>
      </c>
      <c r="C3806" t="s">
        <v>11042</v>
      </c>
      <c r="D3806" t="s">
        <v>23</v>
      </c>
      <c r="E3806" t="s">
        <v>16</v>
      </c>
      <c r="F3806" t="s">
        <v>17</v>
      </c>
      <c r="G3806" t="s">
        <v>172</v>
      </c>
      <c r="H3806" t="s">
        <v>19</v>
      </c>
      <c r="I3806">
        <v>3</v>
      </c>
      <c r="J3806">
        <v>24</v>
      </c>
      <c r="K3806">
        <v>4.33</v>
      </c>
      <c r="L3806">
        <v>1</v>
      </c>
    </row>
    <row r="3807" spans="1:12">
      <c r="A3807" t="s">
        <v>11043</v>
      </c>
      <c r="B3807" t="s">
        <v>11044</v>
      </c>
      <c r="D3807" t="s">
        <v>23</v>
      </c>
      <c r="E3807" t="s">
        <v>54</v>
      </c>
      <c r="F3807" t="s">
        <v>36</v>
      </c>
      <c r="G3807" t="s">
        <v>77</v>
      </c>
      <c r="H3807" t="s">
        <v>46</v>
      </c>
      <c r="J3807">
        <v>24</v>
      </c>
    </row>
    <row r="3808" spans="1:12">
      <c r="A3808" t="s">
        <v>11045</v>
      </c>
      <c r="B3808" t="s">
        <v>11046</v>
      </c>
      <c r="C3808" t="s">
        <v>11047</v>
      </c>
      <c r="D3808" t="s">
        <v>15</v>
      </c>
      <c r="E3808" t="s">
        <v>28</v>
      </c>
      <c r="F3808" t="s">
        <v>60</v>
      </c>
      <c r="G3808" t="s">
        <v>30</v>
      </c>
      <c r="H3808" t="s">
        <v>31</v>
      </c>
      <c r="I3808">
        <v>3</v>
      </c>
      <c r="J3808">
        <v>8</v>
      </c>
      <c r="K3808">
        <v>3.6</v>
      </c>
      <c r="L3808">
        <v>1</v>
      </c>
    </row>
    <row r="3809" spans="1:12">
      <c r="A3809" t="s">
        <v>11048</v>
      </c>
      <c r="B3809" t="s">
        <v>11049</v>
      </c>
      <c r="D3809" t="s">
        <v>23</v>
      </c>
      <c r="E3809" t="s">
        <v>59</v>
      </c>
      <c r="F3809" t="s">
        <v>17</v>
      </c>
      <c r="G3809" t="s">
        <v>77</v>
      </c>
      <c r="H3809" t="s">
        <v>46</v>
      </c>
      <c r="J3809">
        <v>24</v>
      </c>
    </row>
    <row r="3810" spans="1:12">
      <c r="A3810" t="s">
        <v>11050</v>
      </c>
      <c r="B3810" t="s">
        <v>11051</v>
      </c>
      <c r="C3810" t="s">
        <v>11052</v>
      </c>
      <c r="D3810" t="s">
        <v>23</v>
      </c>
      <c r="E3810" t="s">
        <v>59</v>
      </c>
      <c r="F3810" t="s">
        <v>41</v>
      </c>
      <c r="G3810" t="s">
        <v>42</v>
      </c>
      <c r="H3810" t="s">
        <v>19</v>
      </c>
      <c r="I3810">
        <v>5</v>
      </c>
      <c r="J3810">
        <v>24</v>
      </c>
      <c r="K3810">
        <v>19.239999999999998</v>
      </c>
      <c r="L3810">
        <v>1</v>
      </c>
    </row>
    <row r="3811" spans="1:12">
      <c r="A3811" t="s">
        <v>11053</v>
      </c>
      <c r="B3811" t="s">
        <v>11054</v>
      </c>
      <c r="C3811" t="s">
        <v>11055</v>
      </c>
      <c r="D3811" t="s">
        <v>23</v>
      </c>
      <c r="E3811" t="s">
        <v>24</v>
      </c>
      <c r="F3811" t="s">
        <v>36</v>
      </c>
      <c r="G3811" t="s">
        <v>18</v>
      </c>
      <c r="H3811" t="s">
        <v>31</v>
      </c>
      <c r="I3811">
        <v>5</v>
      </c>
      <c r="J3811">
        <v>24</v>
      </c>
      <c r="K3811">
        <v>2.6</v>
      </c>
      <c r="L3811">
        <v>1</v>
      </c>
    </row>
    <row r="3812" spans="1:12">
      <c r="A3812" t="s">
        <v>11056</v>
      </c>
      <c r="B3812" t="s">
        <v>11057</v>
      </c>
      <c r="C3812" t="s">
        <v>11058</v>
      </c>
      <c r="D3812" t="s">
        <v>35</v>
      </c>
      <c r="E3812" t="s">
        <v>24</v>
      </c>
      <c r="F3812" t="s">
        <v>36</v>
      </c>
      <c r="G3812" t="s">
        <v>18</v>
      </c>
      <c r="H3812" t="s">
        <v>19</v>
      </c>
      <c r="I3812">
        <v>5</v>
      </c>
      <c r="J3812">
        <v>48</v>
      </c>
      <c r="K3812">
        <v>26.33</v>
      </c>
      <c r="L3812">
        <v>1</v>
      </c>
    </row>
    <row r="3813" spans="1:12">
      <c r="A3813" t="s">
        <v>11059</v>
      </c>
      <c r="B3813" t="s">
        <v>11060</v>
      </c>
      <c r="C3813" t="s">
        <v>11061</v>
      </c>
      <c r="D3813" t="s">
        <v>23</v>
      </c>
      <c r="E3813" t="s">
        <v>16</v>
      </c>
      <c r="F3813" t="s">
        <v>41</v>
      </c>
      <c r="G3813" t="s">
        <v>55</v>
      </c>
      <c r="H3813" t="s">
        <v>19</v>
      </c>
      <c r="I3813">
        <v>5</v>
      </c>
      <c r="J3813">
        <v>24</v>
      </c>
      <c r="K3813">
        <v>18.73</v>
      </c>
      <c r="L3813">
        <v>1</v>
      </c>
    </row>
    <row r="3814" spans="1:12">
      <c r="A3814" t="s">
        <v>11062</v>
      </c>
      <c r="B3814" t="s">
        <v>11063</v>
      </c>
      <c r="C3814" t="s">
        <v>11064</v>
      </c>
      <c r="D3814" t="s">
        <v>158</v>
      </c>
      <c r="E3814" t="s">
        <v>59</v>
      </c>
      <c r="F3814" t="s">
        <v>60</v>
      </c>
      <c r="G3814" t="s">
        <v>18</v>
      </c>
      <c r="H3814" t="s">
        <v>19</v>
      </c>
      <c r="I3814">
        <v>5</v>
      </c>
      <c r="J3814">
        <v>4</v>
      </c>
      <c r="K3814">
        <v>0.93</v>
      </c>
      <c r="L3814">
        <v>1</v>
      </c>
    </row>
    <row r="3815" spans="1:12">
      <c r="A3815" t="s">
        <v>11065</v>
      </c>
      <c r="B3815" t="s">
        <v>11066</v>
      </c>
      <c r="D3815" t="s">
        <v>23</v>
      </c>
      <c r="E3815" t="s">
        <v>28</v>
      </c>
      <c r="F3815" t="s">
        <v>41</v>
      </c>
      <c r="G3815" t="s">
        <v>37</v>
      </c>
      <c r="H3815" t="s">
        <v>63</v>
      </c>
      <c r="J3815">
        <v>24</v>
      </c>
    </row>
    <row r="3816" spans="1:12">
      <c r="A3816" t="s">
        <v>11067</v>
      </c>
      <c r="B3816" t="s">
        <v>11068</v>
      </c>
      <c r="C3816" t="s">
        <v>11069</v>
      </c>
      <c r="D3816" t="s">
        <v>23</v>
      </c>
      <c r="E3816" t="s">
        <v>28</v>
      </c>
      <c r="F3816" t="s">
        <v>41</v>
      </c>
      <c r="G3816" t="s">
        <v>45</v>
      </c>
      <c r="H3816" t="s">
        <v>31</v>
      </c>
      <c r="I3816">
        <v>4</v>
      </c>
      <c r="J3816">
        <v>24</v>
      </c>
      <c r="K3816">
        <v>9.34</v>
      </c>
      <c r="L3816">
        <v>1</v>
      </c>
    </row>
    <row r="3817" spans="1:12">
      <c r="A3817" t="s">
        <v>11070</v>
      </c>
      <c r="B3817" t="s">
        <v>11071</v>
      </c>
      <c r="C3817" t="s">
        <v>11072</v>
      </c>
      <c r="D3817" t="s">
        <v>23</v>
      </c>
      <c r="E3817" t="s">
        <v>28</v>
      </c>
      <c r="F3817" t="s">
        <v>29</v>
      </c>
      <c r="G3817" t="s">
        <v>42</v>
      </c>
      <c r="H3817" t="s">
        <v>31</v>
      </c>
      <c r="I3817">
        <v>4</v>
      </c>
      <c r="J3817">
        <v>24</v>
      </c>
      <c r="K3817">
        <v>12.64</v>
      </c>
      <c r="L3817">
        <v>1</v>
      </c>
    </row>
    <row r="3818" spans="1:12">
      <c r="A3818" t="s">
        <v>11073</v>
      </c>
      <c r="B3818" t="s">
        <v>11074</v>
      </c>
      <c r="C3818" t="s">
        <v>11075</v>
      </c>
      <c r="D3818" t="s">
        <v>15</v>
      </c>
      <c r="E3818" t="s">
        <v>28</v>
      </c>
      <c r="F3818" t="s">
        <v>29</v>
      </c>
      <c r="G3818" t="s">
        <v>30</v>
      </c>
      <c r="H3818" t="s">
        <v>31</v>
      </c>
      <c r="I3818">
        <v>4</v>
      </c>
      <c r="J3818">
        <v>8</v>
      </c>
      <c r="K3818">
        <v>2.12</v>
      </c>
      <c r="L3818">
        <v>1</v>
      </c>
    </row>
    <row r="3819" spans="1:12">
      <c r="A3819" t="s">
        <v>11076</v>
      </c>
      <c r="B3819" t="s">
        <v>11077</v>
      </c>
      <c r="C3819" t="s">
        <v>11078</v>
      </c>
      <c r="D3819" t="s">
        <v>23</v>
      </c>
      <c r="E3819" t="s">
        <v>24</v>
      </c>
      <c r="F3819" t="s">
        <v>41</v>
      </c>
      <c r="G3819" t="s">
        <v>73</v>
      </c>
      <c r="H3819" t="s">
        <v>19</v>
      </c>
      <c r="I3819">
        <v>1</v>
      </c>
      <c r="J3819">
        <v>24</v>
      </c>
      <c r="K3819">
        <v>35.770000000000003</v>
      </c>
      <c r="L3819">
        <v>0</v>
      </c>
    </row>
    <row r="3820" spans="1:12">
      <c r="A3820" t="s">
        <v>11079</v>
      </c>
      <c r="B3820" t="s">
        <v>11080</v>
      </c>
      <c r="C3820" t="s">
        <v>11081</v>
      </c>
      <c r="D3820" t="s">
        <v>23</v>
      </c>
      <c r="E3820" t="s">
        <v>54</v>
      </c>
      <c r="F3820" t="s">
        <v>29</v>
      </c>
      <c r="G3820" t="s">
        <v>172</v>
      </c>
      <c r="H3820" t="s">
        <v>19</v>
      </c>
      <c r="I3820">
        <v>1</v>
      </c>
      <c r="J3820">
        <v>24</v>
      </c>
      <c r="K3820">
        <v>69.77</v>
      </c>
      <c r="L3820">
        <v>0</v>
      </c>
    </row>
    <row r="3821" spans="1:12">
      <c r="A3821" t="s">
        <v>11082</v>
      </c>
      <c r="B3821" t="s">
        <v>11083</v>
      </c>
      <c r="C3821" t="s">
        <v>11084</v>
      </c>
      <c r="D3821" t="s">
        <v>23</v>
      </c>
      <c r="E3821" t="s">
        <v>16</v>
      </c>
      <c r="F3821" t="s">
        <v>36</v>
      </c>
      <c r="G3821" t="s">
        <v>50</v>
      </c>
      <c r="H3821" t="s">
        <v>31</v>
      </c>
      <c r="I3821">
        <v>1</v>
      </c>
      <c r="J3821">
        <v>24</v>
      </c>
      <c r="K3821">
        <v>61.5</v>
      </c>
      <c r="L3821">
        <v>0</v>
      </c>
    </row>
    <row r="3822" spans="1:12">
      <c r="A3822" t="s">
        <v>11085</v>
      </c>
      <c r="B3822" t="s">
        <v>11086</v>
      </c>
      <c r="C3822" t="s">
        <v>11087</v>
      </c>
      <c r="D3822" t="s">
        <v>15</v>
      </c>
      <c r="E3822" t="s">
        <v>24</v>
      </c>
      <c r="F3822" t="s">
        <v>60</v>
      </c>
      <c r="G3822" t="s">
        <v>172</v>
      </c>
      <c r="H3822" t="s">
        <v>19</v>
      </c>
      <c r="I3822">
        <v>5</v>
      </c>
      <c r="J3822">
        <v>8</v>
      </c>
      <c r="K3822">
        <v>3.96</v>
      </c>
      <c r="L3822">
        <v>1</v>
      </c>
    </row>
    <row r="3823" spans="1:12">
      <c r="A3823" t="s">
        <v>11088</v>
      </c>
      <c r="B3823" t="s">
        <v>11089</v>
      </c>
      <c r="C3823" t="s">
        <v>11090</v>
      </c>
      <c r="D3823" t="s">
        <v>15</v>
      </c>
      <c r="E3823" t="s">
        <v>16</v>
      </c>
      <c r="F3823" t="s">
        <v>60</v>
      </c>
      <c r="G3823" t="s">
        <v>18</v>
      </c>
      <c r="H3823" t="s">
        <v>19</v>
      </c>
      <c r="I3823">
        <v>3</v>
      </c>
      <c r="J3823">
        <v>8</v>
      </c>
      <c r="K3823">
        <v>4.84</v>
      </c>
      <c r="L3823">
        <v>1</v>
      </c>
    </row>
    <row r="3824" spans="1:12">
      <c r="A3824" t="s">
        <v>11091</v>
      </c>
      <c r="B3824" t="s">
        <v>11092</v>
      </c>
      <c r="C3824" t="s">
        <v>11093</v>
      </c>
      <c r="D3824" t="s">
        <v>23</v>
      </c>
      <c r="E3824" t="s">
        <v>16</v>
      </c>
      <c r="F3824" t="s">
        <v>17</v>
      </c>
      <c r="G3824" t="s">
        <v>37</v>
      </c>
      <c r="H3824" t="s">
        <v>31</v>
      </c>
      <c r="I3824">
        <v>4</v>
      </c>
      <c r="J3824">
        <v>24</v>
      </c>
      <c r="K3824">
        <v>14.65</v>
      </c>
      <c r="L3824">
        <v>1</v>
      </c>
    </row>
    <row r="3825" spans="1:12">
      <c r="A3825" t="s">
        <v>11094</v>
      </c>
      <c r="B3825" t="s">
        <v>11095</v>
      </c>
      <c r="C3825" t="s">
        <v>11096</v>
      </c>
      <c r="D3825" t="s">
        <v>23</v>
      </c>
      <c r="E3825" t="s">
        <v>28</v>
      </c>
      <c r="F3825" t="s">
        <v>29</v>
      </c>
      <c r="G3825" t="s">
        <v>73</v>
      </c>
      <c r="H3825" t="s">
        <v>19</v>
      </c>
      <c r="I3825">
        <v>1</v>
      </c>
      <c r="J3825">
        <v>24</v>
      </c>
      <c r="K3825">
        <v>57.83</v>
      </c>
      <c r="L3825">
        <v>0</v>
      </c>
    </row>
    <row r="3826" spans="1:12">
      <c r="A3826" t="s">
        <v>11097</v>
      </c>
      <c r="B3826" t="s">
        <v>11098</v>
      </c>
      <c r="C3826" t="s">
        <v>11099</v>
      </c>
      <c r="D3826" t="s">
        <v>23</v>
      </c>
      <c r="E3826" t="s">
        <v>28</v>
      </c>
      <c r="F3826" t="s">
        <v>17</v>
      </c>
      <c r="G3826" t="s">
        <v>50</v>
      </c>
      <c r="H3826" t="s">
        <v>31</v>
      </c>
      <c r="I3826">
        <v>4</v>
      </c>
      <c r="J3826">
        <v>24</v>
      </c>
      <c r="K3826">
        <v>17.72</v>
      </c>
      <c r="L3826">
        <v>1</v>
      </c>
    </row>
    <row r="3827" spans="1:12">
      <c r="A3827" t="s">
        <v>11100</v>
      </c>
      <c r="B3827" t="s">
        <v>11101</v>
      </c>
      <c r="C3827" t="s">
        <v>11102</v>
      </c>
      <c r="D3827" t="s">
        <v>15</v>
      </c>
      <c r="E3827" t="s">
        <v>24</v>
      </c>
      <c r="F3827" t="s">
        <v>41</v>
      </c>
      <c r="G3827" t="s">
        <v>105</v>
      </c>
      <c r="H3827" t="s">
        <v>31</v>
      </c>
      <c r="I3827">
        <v>2</v>
      </c>
      <c r="J3827">
        <v>8</v>
      </c>
      <c r="K3827">
        <v>8.51</v>
      </c>
      <c r="L3827">
        <v>0</v>
      </c>
    </row>
    <row r="3828" spans="1:12">
      <c r="A3828" t="s">
        <v>11103</v>
      </c>
      <c r="B3828" t="s">
        <v>11104</v>
      </c>
      <c r="C3828" t="s">
        <v>11105</v>
      </c>
      <c r="D3828" t="s">
        <v>15</v>
      </c>
      <c r="E3828" t="s">
        <v>28</v>
      </c>
      <c r="F3828" t="s">
        <v>36</v>
      </c>
      <c r="G3828" t="s">
        <v>18</v>
      </c>
      <c r="H3828" t="s">
        <v>31</v>
      </c>
      <c r="I3828">
        <v>4</v>
      </c>
      <c r="J3828">
        <v>8</v>
      </c>
      <c r="K3828">
        <v>2.14</v>
      </c>
      <c r="L3828">
        <v>1</v>
      </c>
    </row>
    <row r="3829" spans="1:12">
      <c r="A3829" t="s">
        <v>11106</v>
      </c>
      <c r="B3829" t="s">
        <v>11107</v>
      </c>
      <c r="C3829" t="s">
        <v>11108</v>
      </c>
      <c r="D3829" t="s">
        <v>15</v>
      </c>
      <c r="E3829" t="s">
        <v>24</v>
      </c>
      <c r="F3829" t="s">
        <v>60</v>
      </c>
      <c r="G3829" t="s">
        <v>77</v>
      </c>
      <c r="H3829" t="s">
        <v>19</v>
      </c>
      <c r="I3829">
        <v>5</v>
      </c>
      <c r="J3829">
        <v>8</v>
      </c>
      <c r="K3829">
        <v>3.51</v>
      </c>
      <c r="L3829">
        <v>1</v>
      </c>
    </row>
    <row r="3830" spans="1:12">
      <c r="A3830" t="s">
        <v>11109</v>
      </c>
      <c r="B3830" t="s">
        <v>11110</v>
      </c>
      <c r="D3830" t="s">
        <v>15</v>
      </c>
      <c r="E3830" t="s">
        <v>54</v>
      </c>
      <c r="F3830" t="s">
        <v>60</v>
      </c>
      <c r="G3830" t="s">
        <v>151</v>
      </c>
      <c r="H3830" t="s">
        <v>63</v>
      </c>
      <c r="J3830">
        <v>8</v>
      </c>
    </row>
    <row r="3831" spans="1:12">
      <c r="A3831" t="s">
        <v>11111</v>
      </c>
      <c r="B3831" t="s">
        <v>11112</v>
      </c>
      <c r="C3831" t="s">
        <v>11113</v>
      </c>
      <c r="D3831" t="s">
        <v>23</v>
      </c>
      <c r="E3831" t="s">
        <v>16</v>
      </c>
      <c r="F3831" t="s">
        <v>60</v>
      </c>
      <c r="G3831" t="s">
        <v>77</v>
      </c>
      <c r="H3831" t="s">
        <v>31</v>
      </c>
      <c r="I3831">
        <v>5</v>
      </c>
      <c r="J3831">
        <v>24</v>
      </c>
      <c r="K3831">
        <v>9.98</v>
      </c>
      <c r="L3831">
        <v>1</v>
      </c>
    </row>
    <row r="3832" spans="1:12">
      <c r="A3832" t="s">
        <v>11114</v>
      </c>
      <c r="B3832" t="s">
        <v>11115</v>
      </c>
      <c r="C3832" t="s">
        <v>11116</v>
      </c>
      <c r="D3832" t="s">
        <v>15</v>
      </c>
      <c r="E3832" t="s">
        <v>59</v>
      </c>
      <c r="F3832" t="s">
        <v>60</v>
      </c>
      <c r="G3832" t="s">
        <v>151</v>
      </c>
      <c r="H3832" t="s">
        <v>19</v>
      </c>
      <c r="I3832">
        <v>5</v>
      </c>
      <c r="J3832">
        <v>8</v>
      </c>
      <c r="K3832">
        <v>7.44</v>
      </c>
      <c r="L3832">
        <v>1</v>
      </c>
    </row>
    <row r="3833" spans="1:12">
      <c r="A3833" t="s">
        <v>11117</v>
      </c>
      <c r="B3833" t="s">
        <v>11118</v>
      </c>
      <c r="C3833" t="s">
        <v>11119</v>
      </c>
      <c r="D3833" t="s">
        <v>23</v>
      </c>
      <c r="E3833" t="s">
        <v>16</v>
      </c>
      <c r="F3833" t="s">
        <v>29</v>
      </c>
      <c r="G3833" t="s">
        <v>45</v>
      </c>
      <c r="H3833" t="s">
        <v>31</v>
      </c>
      <c r="I3833">
        <v>4</v>
      </c>
      <c r="J3833">
        <v>24</v>
      </c>
      <c r="K3833">
        <v>4.3600000000000003</v>
      </c>
      <c r="L3833">
        <v>1</v>
      </c>
    </row>
    <row r="3834" spans="1:12">
      <c r="A3834" t="s">
        <v>11120</v>
      </c>
      <c r="B3834" t="s">
        <v>11121</v>
      </c>
      <c r="C3834" t="s">
        <v>11122</v>
      </c>
      <c r="D3834" t="s">
        <v>23</v>
      </c>
      <c r="E3834" t="s">
        <v>28</v>
      </c>
      <c r="F3834" t="s">
        <v>60</v>
      </c>
      <c r="G3834" t="s">
        <v>151</v>
      </c>
      <c r="H3834" t="s">
        <v>19</v>
      </c>
      <c r="I3834">
        <v>5</v>
      </c>
      <c r="J3834">
        <v>24</v>
      </c>
      <c r="K3834">
        <v>8.99</v>
      </c>
      <c r="L3834">
        <v>1</v>
      </c>
    </row>
    <row r="3835" spans="1:12">
      <c r="A3835" t="s">
        <v>11123</v>
      </c>
      <c r="B3835" t="s">
        <v>11124</v>
      </c>
      <c r="C3835" t="s">
        <v>11125</v>
      </c>
      <c r="D3835" t="s">
        <v>35</v>
      </c>
      <c r="E3835" t="s">
        <v>24</v>
      </c>
      <c r="F3835" t="s">
        <v>60</v>
      </c>
      <c r="G3835" t="s">
        <v>37</v>
      </c>
      <c r="H3835" t="s">
        <v>19</v>
      </c>
      <c r="I3835">
        <v>5</v>
      </c>
      <c r="J3835">
        <v>48</v>
      </c>
      <c r="K3835">
        <v>13.13</v>
      </c>
      <c r="L3835">
        <v>1</v>
      </c>
    </row>
    <row r="3836" spans="1:12">
      <c r="A3836" t="s">
        <v>11126</v>
      </c>
      <c r="B3836" t="s">
        <v>11127</v>
      </c>
      <c r="C3836" t="s">
        <v>11128</v>
      </c>
      <c r="D3836" t="s">
        <v>23</v>
      </c>
      <c r="E3836" t="s">
        <v>54</v>
      </c>
      <c r="F3836" t="s">
        <v>60</v>
      </c>
      <c r="G3836" t="s">
        <v>30</v>
      </c>
      <c r="H3836" t="s">
        <v>19</v>
      </c>
      <c r="I3836">
        <v>4</v>
      </c>
      <c r="J3836">
        <v>24</v>
      </c>
      <c r="K3836">
        <v>20.97</v>
      </c>
      <c r="L3836">
        <v>1</v>
      </c>
    </row>
    <row r="3837" spans="1:12">
      <c r="A3837" t="s">
        <v>11129</v>
      </c>
      <c r="B3837" t="s">
        <v>11130</v>
      </c>
      <c r="C3837" t="s">
        <v>11131</v>
      </c>
      <c r="D3837" t="s">
        <v>23</v>
      </c>
      <c r="E3837" t="s">
        <v>28</v>
      </c>
      <c r="F3837" t="s">
        <v>17</v>
      </c>
      <c r="G3837" t="s">
        <v>151</v>
      </c>
      <c r="H3837" t="s">
        <v>19</v>
      </c>
      <c r="I3837">
        <v>4</v>
      </c>
      <c r="J3837">
        <v>24</v>
      </c>
      <c r="K3837">
        <v>2.87</v>
      </c>
      <c r="L3837">
        <v>1</v>
      </c>
    </row>
    <row r="3838" spans="1:12">
      <c r="A3838" t="s">
        <v>11132</v>
      </c>
      <c r="B3838" t="s">
        <v>11133</v>
      </c>
      <c r="C3838" t="s">
        <v>11134</v>
      </c>
      <c r="D3838" t="s">
        <v>23</v>
      </c>
      <c r="E3838" t="s">
        <v>16</v>
      </c>
      <c r="F3838" t="s">
        <v>41</v>
      </c>
      <c r="G3838" t="s">
        <v>172</v>
      </c>
      <c r="H3838" t="s">
        <v>31</v>
      </c>
      <c r="I3838">
        <v>5</v>
      </c>
      <c r="J3838">
        <v>24</v>
      </c>
      <c r="K3838">
        <v>16.29</v>
      </c>
      <c r="L3838">
        <v>1</v>
      </c>
    </row>
    <row r="3839" spans="1:12">
      <c r="A3839" t="s">
        <v>11135</v>
      </c>
      <c r="B3839" t="s">
        <v>11136</v>
      </c>
      <c r="C3839" t="s">
        <v>11137</v>
      </c>
      <c r="D3839" t="s">
        <v>15</v>
      </c>
      <c r="E3839" t="s">
        <v>28</v>
      </c>
      <c r="F3839" t="s">
        <v>41</v>
      </c>
      <c r="G3839" t="s">
        <v>105</v>
      </c>
      <c r="H3839" t="s">
        <v>31</v>
      </c>
      <c r="I3839">
        <v>3</v>
      </c>
      <c r="J3839">
        <v>8</v>
      </c>
      <c r="K3839">
        <v>5.36</v>
      </c>
      <c r="L3839">
        <v>1</v>
      </c>
    </row>
    <row r="3840" spans="1:12">
      <c r="A3840" t="s">
        <v>11138</v>
      </c>
      <c r="B3840" t="s">
        <v>11139</v>
      </c>
      <c r="C3840" t="s">
        <v>11140</v>
      </c>
      <c r="D3840" t="s">
        <v>23</v>
      </c>
      <c r="E3840" t="s">
        <v>59</v>
      </c>
      <c r="F3840" t="s">
        <v>41</v>
      </c>
      <c r="G3840" t="s">
        <v>37</v>
      </c>
      <c r="H3840" t="s">
        <v>19</v>
      </c>
      <c r="I3840">
        <v>2</v>
      </c>
      <c r="J3840">
        <v>24</v>
      </c>
      <c r="K3840">
        <v>63.99</v>
      </c>
      <c r="L3840">
        <v>0</v>
      </c>
    </row>
    <row r="3841" spans="1:12">
      <c r="A3841" t="s">
        <v>11141</v>
      </c>
      <c r="B3841" t="s">
        <v>11142</v>
      </c>
      <c r="C3841" t="s">
        <v>11143</v>
      </c>
      <c r="D3841" t="s">
        <v>23</v>
      </c>
      <c r="E3841" t="s">
        <v>24</v>
      </c>
      <c r="F3841" t="s">
        <v>60</v>
      </c>
      <c r="G3841" t="s">
        <v>172</v>
      </c>
      <c r="H3841" t="s">
        <v>31</v>
      </c>
      <c r="I3841">
        <v>4</v>
      </c>
      <c r="J3841">
        <v>24</v>
      </c>
      <c r="K3841">
        <v>17.309999999999999</v>
      </c>
      <c r="L3841">
        <v>1</v>
      </c>
    </row>
    <row r="3842" spans="1:12">
      <c r="A3842" t="s">
        <v>11144</v>
      </c>
      <c r="B3842" t="s">
        <v>11145</v>
      </c>
      <c r="C3842" t="s">
        <v>11146</v>
      </c>
      <c r="D3842" t="s">
        <v>15</v>
      </c>
      <c r="E3842" t="s">
        <v>24</v>
      </c>
      <c r="F3842" t="s">
        <v>41</v>
      </c>
      <c r="G3842" t="s">
        <v>37</v>
      </c>
      <c r="H3842" t="s">
        <v>19</v>
      </c>
      <c r="I3842">
        <v>5</v>
      </c>
      <c r="J3842">
        <v>8</v>
      </c>
      <c r="K3842">
        <v>3.2</v>
      </c>
      <c r="L3842">
        <v>1</v>
      </c>
    </row>
    <row r="3843" spans="1:12">
      <c r="A3843" t="s">
        <v>11147</v>
      </c>
      <c r="B3843" t="s">
        <v>11148</v>
      </c>
      <c r="C3843" t="s">
        <v>11149</v>
      </c>
      <c r="D3843" t="s">
        <v>35</v>
      </c>
      <c r="E3843" t="s">
        <v>28</v>
      </c>
      <c r="F3843" t="s">
        <v>17</v>
      </c>
      <c r="G3843" t="s">
        <v>55</v>
      </c>
      <c r="H3843" t="s">
        <v>31</v>
      </c>
      <c r="I3843">
        <v>4</v>
      </c>
      <c r="J3843">
        <v>48</v>
      </c>
      <c r="K3843">
        <v>29.14</v>
      </c>
      <c r="L3843">
        <v>1</v>
      </c>
    </row>
    <row r="3844" spans="1:12">
      <c r="A3844" t="s">
        <v>11150</v>
      </c>
      <c r="B3844" t="s">
        <v>11151</v>
      </c>
      <c r="C3844" t="s">
        <v>11152</v>
      </c>
      <c r="D3844" t="s">
        <v>35</v>
      </c>
      <c r="E3844" t="s">
        <v>28</v>
      </c>
      <c r="F3844" t="s">
        <v>17</v>
      </c>
      <c r="G3844" t="s">
        <v>77</v>
      </c>
      <c r="H3844" t="s">
        <v>31</v>
      </c>
      <c r="I3844">
        <v>4</v>
      </c>
      <c r="J3844">
        <v>48</v>
      </c>
      <c r="K3844">
        <v>35.159999999999997</v>
      </c>
      <c r="L3844">
        <v>1</v>
      </c>
    </row>
    <row r="3845" spans="1:12">
      <c r="A3845" t="s">
        <v>11153</v>
      </c>
      <c r="B3845" t="s">
        <v>11154</v>
      </c>
      <c r="C3845" t="s">
        <v>11155</v>
      </c>
      <c r="D3845" t="s">
        <v>23</v>
      </c>
      <c r="E3845" t="s">
        <v>54</v>
      </c>
      <c r="F3845" t="s">
        <v>17</v>
      </c>
      <c r="G3845" t="s">
        <v>42</v>
      </c>
      <c r="H3845" t="s">
        <v>19</v>
      </c>
      <c r="I3845">
        <v>3</v>
      </c>
      <c r="J3845">
        <v>24</v>
      </c>
      <c r="K3845">
        <v>6.83</v>
      </c>
      <c r="L3845">
        <v>1</v>
      </c>
    </row>
    <row r="3846" spans="1:12">
      <c r="A3846" t="s">
        <v>11156</v>
      </c>
      <c r="B3846" t="s">
        <v>11157</v>
      </c>
      <c r="C3846" t="s">
        <v>11158</v>
      </c>
      <c r="D3846" t="s">
        <v>35</v>
      </c>
      <c r="E3846" t="s">
        <v>24</v>
      </c>
      <c r="F3846" t="s">
        <v>17</v>
      </c>
      <c r="G3846" t="s">
        <v>105</v>
      </c>
      <c r="H3846" t="s">
        <v>31</v>
      </c>
      <c r="I3846">
        <v>5</v>
      </c>
      <c r="J3846">
        <v>48</v>
      </c>
      <c r="K3846">
        <v>13.12</v>
      </c>
      <c r="L3846">
        <v>1</v>
      </c>
    </row>
    <row r="3847" spans="1:12">
      <c r="A3847" t="s">
        <v>11159</v>
      </c>
      <c r="B3847" t="s">
        <v>11160</v>
      </c>
      <c r="C3847" t="s">
        <v>11161</v>
      </c>
      <c r="D3847" t="s">
        <v>23</v>
      </c>
      <c r="E3847" t="s">
        <v>59</v>
      </c>
      <c r="F3847" t="s">
        <v>29</v>
      </c>
      <c r="G3847" t="s">
        <v>105</v>
      </c>
      <c r="H3847" t="s">
        <v>19</v>
      </c>
      <c r="I3847">
        <v>5</v>
      </c>
      <c r="J3847">
        <v>24</v>
      </c>
      <c r="K3847">
        <v>6.58</v>
      </c>
      <c r="L3847">
        <v>1</v>
      </c>
    </row>
    <row r="3848" spans="1:12">
      <c r="A3848" t="s">
        <v>11162</v>
      </c>
      <c r="B3848" t="s">
        <v>11163</v>
      </c>
      <c r="C3848" t="s">
        <v>11164</v>
      </c>
      <c r="D3848" t="s">
        <v>15</v>
      </c>
      <c r="E3848" t="s">
        <v>16</v>
      </c>
      <c r="F3848" t="s">
        <v>29</v>
      </c>
      <c r="G3848" t="s">
        <v>77</v>
      </c>
      <c r="H3848" t="s">
        <v>19</v>
      </c>
      <c r="I3848">
        <v>3</v>
      </c>
      <c r="J3848">
        <v>8</v>
      </c>
      <c r="K3848">
        <v>4.87</v>
      </c>
      <c r="L3848">
        <v>1</v>
      </c>
    </row>
    <row r="3849" spans="1:12">
      <c r="A3849" t="s">
        <v>11165</v>
      </c>
      <c r="B3849" t="s">
        <v>11166</v>
      </c>
      <c r="C3849" t="s">
        <v>11167</v>
      </c>
      <c r="D3849" t="s">
        <v>23</v>
      </c>
      <c r="E3849" t="s">
        <v>16</v>
      </c>
      <c r="F3849" t="s">
        <v>60</v>
      </c>
      <c r="G3849" t="s">
        <v>42</v>
      </c>
      <c r="H3849" t="s">
        <v>19</v>
      </c>
      <c r="I3849">
        <v>4</v>
      </c>
      <c r="J3849">
        <v>24</v>
      </c>
      <c r="K3849">
        <v>13.59</v>
      </c>
      <c r="L3849">
        <v>1</v>
      </c>
    </row>
    <row r="3850" spans="1:12">
      <c r="A3850" t="s">
        <v>11168</v>
      </c>
      <c r="B3850" t="s">
        <v>11169</v>
      </c>
      <c r="D3850" t="s">
        <v>35</v>
      </c>
      <c r="E3850" t="s">
        <v>24</v>
      </c>
      <c r="F3850" t="s">
        <v>41</v>
      </c>
      <c r="G3850" t="s">
        <v>18</v>
      </c>
      <c r="H3850" t="s">
        <v>46</v>
      </c>
      <c r="J3850">
        <v>48</v>
      </c>
    </row>
    <row r="3851" spans="1:12">
      <c r="A3851" t="s">
        <v>11170</v>
      </c>
      <c r="B3851" t="s">
        <v>11171</v>
      </c>
      <c r="C3851" t="s">
        <v>11172</v>
      </c>
      <c r="D3851" t="s">
        <v>15</v>
      </c>
      <c r="E3851" t="s">
        <v>28</v>
      </c>
      <c r="F3851" t="s">
        <v>41</v>
      </c>
      <c r="G3851" t="s">
        <v>77</v>
      </c>
      <c r="H3851" t="s">
        <v>31</v>
      </c>
      <c r="I3851">
        <v>4</v>
      </c>
      <c r="J3851">
        <v>8</v>
      </c>
      <c r="K3851">
        <v>2.14</v>
      </c>
      <c r="L3851">
        <v>1</v>
      </c>
    </row>
    <row r="3852" spans="1:12">
      <c r="A3852" t="s">
        <v>11173</v>
      </c>
      <c r="B3852" t="s">
        <v>11174</v>
      </c>
      <c r="C3852" t="s">
        <v>11175</v>
      </c>
      <c r="D3852" t="s">
        <v>23</v>
      </c>
      <c r="E3852" t="s">
        <v>54</v>
      </c>
      <c r="F3852" t="s">
        <v>29</v>
      </c>
      <c r="G3852" t="s">
        <v>42</v>
      </c>
      <c r="H3852" t="s">
        <v>19</v>
      </c>
      <c r="I3852">
        <v>5</v>
      </c>
      <c r="J3852">
        <v>24</v>
      </c>
      <c r="K3852">
        <v>3.59</v>
      </c>
      <c r="L3852">
        <v>1</v>
      </c>
    </row>
    <row r="3853" spans="1:12">
      <c r="A3853" t="s">
        <v>11176</v>
      </c>
      <c r="B3853" t="s">
        <v>11177</v>
      </c>
      <c r="C3853" t="s">
        <v>11178</v>
      </c>
      <c r="D3853" t="s">
        <v>158</v>
      </c>
      <c r="E3853" t="s">
        <v>24</v>
      </c>
      <c r="F3853" t="s">
        <v>36</v>
      </c>
      <c r="G3853" t="s">
        <v>37</v>
      </c>
      <c r="H3853" t="s">
        <v>19</v>
      </c>
      <c r="I3853">
        <v>2</v>
      </c>
      <c r="J3853">
        <v>4</v>
      </c>
      <c r="K3853">
        <v>9.7200000000000006</v>
      </c>
      <c r="L3853">
        <v>0</v>
      </c>
    </row>
    <row r="3854" spans="1:12">
      <c r="A3854" t="s">
        <v>11179</v>
      </c>
      <c r="B3854" t="s">
        <v>11180</v>
      </c>
      <c r="C3854" t="s">
        <v>11181</v>
      </c>
      <c r="D3854" t="s">
        <v>35</v>
      </c>
      <c r="E3854" t="s">
        <v>24</v>
      </c>
      <c r="F3854" t="s">
        <v>29</v>
      </c>
      <c r="G3854" t="s">
        <v>172</v>
      </c>
      <c r="H3854" t="s">
        <v>31</v>
      </c>
      <c r="I3854">
        <v>4</v>
      </c>
      <c r="J3854">
        <v>48</v>
      </c>
      <c r="K3854">
        <v>34</v>
      </c>
      <c r="L3854">
        <v>1</v>
      </c>
    </row>
    <row r="3855" spans="1:12">
      <c r="A3855" t="s">
        <v>11182</v>
      </c>
      <c r="B3855" t="s">
        <v>11183</v>
      </c>
      <c r="C3855" t="s">
        <v>11184</v>
      </c>
      <c r="D3855" t="s">
        <v>35</v>
      </c>
      <c r="E3855" t="s">
        <v>28</v>
      </c>
      <c r="F3855" t="s">
        <v>41</v>
      </c>
      <c r="G3855" t="s">
        <v>18</v>
      </c>
      <c r="H3855" t="s">
        <v>31</v>
      </c>
      <c r="I3855">
        <v>3</v>
      </c>
      <c r="J3855">
        <v>48</v>
      </c>
      <c r="K3855">
        <v>100.9</v>
      </c>
      <c r="L3855">
        <v>0</v>
      </c>
    </row>
    <row r="3856" spans="1:12">
      <c r="A3856" t="s">
        <v>11185</v>
      </c>
      <c r="B3856" t="s">
        <v>11186</v>
      </c>
      <c r="C3856" t="s">
        <v>11187</v>
      </c>
      <c r="D3856" t="s">
        <v>158</v>
      </c>
      <c r="E3856" t="s">
        <v>16</v>
      </c>
      <c r="F3856" t="s">
        <v>29</v>
      </c>
      <c r="G3856" t="s">
        <v>73</v>
      </c>
      <c r="H3856" t="s">
        <v>19</v>
      </c>
      <c r="I3856">
        <v>4</v>
      </c>
      <c r="J3856">
        <v>4</v>
      </c>
      <c r="K3856">
        <v>2.64</v>
      </c>
      <c r="L3856">
        <v>1</v>
      </c>
    </row>
    <row r="3857" spans="1:12">
      <c r="A3857" t="s">
        <v>11188</v>
      </c>
      <c r="B3857" t="s">
        <v>11189</v>
      </c>
      <c r="C3857" t="s">
        <v>11190</v>
      </c>
      <c r="D3857" t="s">
        <v>35</v>
      </c>
      <c r="E3857" t="s">
        <v>24</v>
      </c>
      <c r="F3857" t="s">
        <v>17</v>
      </c>
      <c r="G3857" t="s">
        <v>50</v>
      </c>
      <c r="H3857" t="s">
        <v>19</v>
      </c>
      <c r="I3857">
        <v>2</v>
      </c>
      <c r="J3857">
        <v>48</v>
      </c>
      <c r="K3857">
        <v>119.68</v>
      </c>
      <c r="L3857">
        <v>0</v>
      </c>
    </row>
    <row r="3858" spans="1:12">
      <c r="A3858" t="s">
        <v>11191</v>
      </c>
      <c r="B3858" t="s">
        <v>11192</v>
      </c>
      <c r="D3858" t="s">
        <v>23</v>
      </c>
      <c r="E3858" t="s">
        <v>16</v>
      </c>
      <c r="F3858" t="s">
        <v>60</v>
      </c>
      <c r="G3858" t="s">
        <v>18</v>
      </c>
      <c r="H3858" t="s">
        <v>46</v>
      </c>
      <c r="J3858">
        <v>24</v>
      </c>
    </row>
    <row r="3859" spans="1:12">
      <c r="A3859" t="s">
        <v>11193</v>
      </c>
      <c r="B3859" t="s">
        <v>11194</v>
      </c>
      <c r="C3859" t="s">
        <v>11195</v>
      </c>
      <c r="D3859" t="s">
        <v>15</v>
      </c>
      <c r="E3859" t="s">
        <v>28</v>
      </c>
      <c r="F3859" t="s">
        <v>36</v>
      </c>
      <c r="G3859" t="s">
        <v>55</v>
      </c>
      <c r="H3859" t="s">
        <v>31</v>
      </c>
      <c r="I3859">
        <v>5</v>
      </c>
      <c r="J3859">
        <v>8</v>
      </c>
      <c r="K3859">
        <v>5.01</v>
      </c>
      <c r="L3859">
        <v>1</v>
      </c>
    </row>
    <row r="3860" spans="1:12">
      <c r="A3860" t="s">
        <v>11196</v>
      </c>
      <c r="B3860" t="s">
        <v>11197</v>
      </c>
      <c r="C3860" t="s">
        <v>11198</v>
      </c>
      <c r="D3860" t="s">
        <v>15</v>
      </c>
      <c r="E3860" t="s">
        <v>28</v>
      </c>
      <c r="F3860" t="s">
        <v>17</v>
      </c>
      <c r="G3860" t="s">
        <v>18</v>
      </c>
      <c r="H3860" t="s">
        <v>19</v>
      </c>
      <c r="I3860">
        <v>3</v>
      </c>
      <c r="J3860">
        <v>8</v>
      </c>
      <c r="K3860">
        <v>18.46</v>
      </c>
      <c r="L3860">
        <v>0</v>
      </c>
    </row>
    <row r="3861" spans="1:12">
      <c r="A3861" t="s">
        <v>11199</v>
      </c>
      <c r="B3861" t="s">
        <v>11200</v>
      </c>
      <c r="D3861" t="s">
        <v>15</v>
      </c>
      <c r="E3861" t="s">
        <v>16</v>
      </c>
      <c r="F3861" t="s">
        <v>17</v>
      </c>
      <c r="G3861" t="s">
        <v>45</v>
      </c>
      <c r="H3861" t="s">
        <v>63</v>
      </c>
      <c r="J3861">
        <v>8</v>
      </c>
    </row>
    <row r="3862" spans="1:12">
      <c r="A3862" t="s">
        <v>11201</v>
      </c>
      <c r="B3862" t="s">
        <v>11202</v>
      </c>
      <c r="C3862" t="s">
        <v>11203</v>
      </c>
      <c r="D3862" t="s">
        <v>23</v>
      </c>
      <c r="E3862" t="s">
        <v>28</v>
      </c>
      <c r="F3862" t="s">
        <v>29</v>
      </c>
      <c r="G3862" t="s">
        <v>77</v>
      </c>
      <c r="H3862" t="s">
        <v>19</v>
      </c>
      <c r="I3862">
        <v>4</v>
      </c>
      <c r="J3862">
        <v>24</v>
      </c>
      <c r="K3862">
        <v>22.73</v>
      </c>
      <c r="L3862">
        <v>1</v>
      </c>
    </row>
    <row r="3863" spans="1:12">
      <c r="A3863" t="s">
        <v>11204</v>
      </c>
      <c r="B3863" t="s">
        <v>11205</v>
      </c>
      <c r="C3863" t="s">
        <v>11206</v>
      </c>
      <c r="D3863" t="s">
        <v>23</v>
      </c>
      <c r="E3863" t="s">
        <v>28</v>
      </c>
      <c r="F3863" t="s">
        <v>17</v>
      </c>
      <c r="G3863" t="s">
        <v>77</v>
      </c>
      <c r="H3863" t="s">
        <v>19</v>
      </c>
      <c r="I3863">
        <v>4</v>
      </c>
      <c r="J3863">
        <v>24</v>
      </c>
      <c r="K3863">
        <v>13.54</v>
      </c>
      <c r="L3863">
        <v>1</v>
      </c>
    </row>
    <row r="3864" spans="1:12">
      <c r="A3864" t="s">
        <v>11207</v>
      </c>
      <c r="B3864" t="s">
        <v>11208</v>
      </c>
      <c r="C3864" t="s">
        <v>11209</v>
      </c>
      <c r="D3864" t="s">
        <v>15</v>
      </c>
      <c r="E3864" t="s">
        <v>16</v>
      </c>
      <c r="F3864" t="s">
        <v>41</v>
      </c>
      <c r="G3864" t="s">
        <v>37</v>
      </c>
      <c r="H3864" t="s">
        <v>19</v>
      </c>
      <c r="I3864">
        <v>4</v>
      </c>
      <c r="J3864">
        <v>8</v>
      </c>
      <c r="K3864">
        <v>6.26</v>
      </c>
      <c r="L3864">
        <v>1</v>
      </c>
    </row>
    <row r="3865" spans="1:12">
      <c r="A3865" t="s">
        <v>11210</v>
      </c>
      <c r="B3865" t="s">
        <v>11211</v>
      </c>
      <c r="D3865" t="s">
        <v>15</v>
      </c>
      <c r="E3865" t="s">
        <v>28</v>
      </c>
      <c r="F3865" t="s">
        <v>41</v>
      </c>
      <c r="G3865" t="s">
        <v>105</v>
      </c>
      <c r="H3865" t="s">
        <v>63</v>
      </c>
      <c r="J3865">
        <v>8</v>
      </c>
    </row>
    <row r="3866" spans="1:12">
      <c r="A3866" t="s">
        <v>11212</v>
      </c>
      <c r="B3866" t="s">
        <v>11213</v>
      </c>
      <c r="C3866" t="s">
        <v>11214</v>
      </c>
      <c r="D3866" t="s">
        <v>23</v>
      </c>
      <c r="E3866" t="s">
        <v>16</v>
      </c>
      <c r="F3866" t="s">
        <v>41</v>
      </c>
      <c r="G3866" t="s">
        <v>42</v>
      </c>
      <c r="H3866" t="s">
        <v>19</v>
      </c>
      <c r="I3866">
        <v>5</v>
      </c>
      <c r="J3866">
        <v>24</v>
      </c>
      <c r="K3866">
        <v>9.3000000000000007</v>
      </c>
      <c r="L3866">
        <v>1</v>
      </c>
    </row>
    <row r="3867" spans="1:12">
      <c r="A3867" t="s">
        <v>11215</v>
      </c>
      <c r="B3867" t="s">
        <v>11216</v>
      </c>
      <c r="C3867" t="s">
        <v>11217</v>
      </c>
      <c r="D3867" t="s">
        <v>23</v>
      </c>
      <c r="E3867" t="s">
        <v>16</v>
      </c>
      <c r="F3867" t="s">
        <v>41</v>
      </c>
      <c r="G3867" t="s">
        <v>105</v>
      </c>
      <c r="H3867" t="s">
        <v>19</v>
      </c>
      <c r="I3867">
        <v>5</v>
      </c>
      <c r="J3867">
        <v>24</v>
      </c>
      <c r="K3867">
        <v>18.489999999999998</v>
      </c>
      <c r="L3867">
        <v>1</v>
      </c>
    </row>
    <row r="3868" spans="1:12">
      <c r="A3868" t="s">
        <v>11218</v>
      </c>
      <c r="B3868" t="s">
        <v>11219</v>
      </c>
      <c r="C3868" t="s">
        <v>11220</v>
      </c>
      <c r="D3868" t="s">
        <v>35</v>
      </c>
      <c r="E3868" t="s">
        <v>24</v>
      </c>
      <c r="F3868" t="s">
        <v>60</v>
      </c>
      <c r="G3868" t="s">
        <v>151</v>
      </c>
      <c r="H3868" t="s">
        <v>19</v>
      </c>
      <c r="I3868">
        <v>4</v>
      </c>
      <c r="J3868">
        <v>48</v>
      </c>
      <c r="K3868">
        <v>17.149999999999999</v>
      </c>
      <c r="L3868">
        <v>1</v>
      </c>
    </row>
    <row r="3869" spans="1:12">
      <c r="A3869" t="s">
        <v>11221</v>
      </c>
      <c r="B3869" t="s">
        <v>11222</v>
      </c>
      <c r="C3869" t="s">
        <v>11223</v>
      </c>
      <c r="D3869" t="s">
        <v>15</v>
      </c>
      <c r="E3869" t="s">
        <v>28</v>
      </c>
      <c r="F3869" t="s">
        <v>17</v>
      </c>
      <c r="G3869" t="s">
        <v>77</v>
      </c>
      <c r="H3869" t="s">
        <v>19</v>
      </c>
      <c r="I3869">
        <v>4</v>
      </c>
      <c r="J3869">
        <v>8</v>
      </c>
      <c r="K3869">
        <v>3.53</v>
      </c>
      <c r="L3869">
        <v>1</v>
      </c>
    </row>
    <row r="3870" spans="1:12">
      <c r="A3870" t="s">
        <v>11224</v>
      </c>
      <c r="B3870" t="s">
        <v>11225</v>
      </c>
      <c r="C3870" t="s">
        <v>11226</v>
      </c>
      <c r="D3870" t="s">
        <v>23</v>
      </c>
      <c r="E3870" t="s">
        <v>28</v>
      </c>
      <c r="F3870" t="s">
        <v>36</v>
      </c>
      <c r="G3870" t="s">
        <v>30</v>
      </c>
      <c r="H3870" t="s">
        <v>19</v>
      </c>
      <c r="I3870">
        <v>4</v>
      </c>
      <c r="J3870">
        <v>24</v>
      </c>
      <c r="K3870">
        <v>19.829999999999998</v>
      </c>
      <c r="L3870">
        <v>1</v>
      </c>
    </row>
    <row r="3871" spans="1:12">
      <c r="A3871" t="s">
        <v>11227</v>
      </c>
      <c r="B3871" t="s">
        <v>11228</v>
      </c>
      <c r="C3871" t="s">
        <v>11229</v>
      </c>
      <c r="D3871" t="s">
        <v>158</v>
      </c>
      <c r="E3871" t="s">
        <v>59</v>
      </c>
      <c r="F3871" t="s">
        <v>36</v>
      </c>
      <c r="G3871" t="s">
        <v>42</v>
      </c>
      <c r="H3871" t="s">
        <v>19</v>
      </c>
      <c r="I3871">
        <v>4</v>
      </c>
      <c r="J3871">
        <v>4</v>
      </c>
      <c r="K3871">
        <v>1.6</v>
      </c>
      <c r="L3871">
        <v>1</v>
      </c>
    </row>
    <row r="3872" spans="1:12">
      <c r="A3872" t="s">
        <v>11230</v>
      </c>
      <c r="B3872" t="s">
        <v>11231</v>
      </c>
      <c r="C3872" t="s">
        <v>11232</v>
      </c>
      <c r="D3872" t="s">
        <v>158</v>
      </c>
      <c r="E3872" t="s">
        <v>28</v>
      </c>
      <c r="F3872" t="s">
        <v>36</v>
      </c>
      <c r="G3872" t="s">
        <v>37</v>
      </c>
      <c r="H3872" t="s">
        <v>31</v>
      </c>
      <c r="I3872">
        <v>4</v>
      </c>
      <c r="J3872">
        <v>4</v>
      </c>
      <c r="K3872">
        <v>0.71</v>
      </c>
      <c r="L3872">
        <v>1</v>
      </c>
    </row>
    <row r="3873" spans="1:12">
      <c r="A3873" t="s">
        <v>11233</v>
      </c>
      <c r="B3873" t="s">
        <v>11234</v>
      </c>
      <c r="C3873" t="s">
        <v>11235</v>
      </c>
      <c r="D3873" t="s">
        <v>23</v>
      </c>
      <c r="E3873" t="s">
        <v>24</v>
      </c>
      <c r="F3873" t="s">
        <v>41</v>
      </c>
      <c r="G3873" t="s">
        <v>151</v>
      </c>
      <c r="H3873" t="s">
        <v>31</v>
      </c>
      <c r="I3873">
        <v>4</v>
      </c>
      <c r="J3873">
        <v>24</v>
      </c>
      <c r="K3873">
        <v>20.29</v>
      </c>
      <c r="L3873">
        <v>1</v>
      </c>
    </row>
    <row r="3874" spans="1:12">
      <c r="A3874" t="s">
        <v>11236</v>
      </c>
      <c r="B3874" t="s">
        <v>11237</v>
      </c>
      <c r="C3874" t="s">
        <v>11238</v>
      </c>
      <c r="D3874" t="s">
        <v>158</v>
      </c>
      <c r="E3874" t="s">
        <v>16</v>
      </c>
      <c r="F3874" t="s">
        <v>60</v>
      </c>
      <c r="G3874" t="s">
        <v>18</v>
      </c>
      <c r="H3874" t="s">
        <v>31</v>
      </c>
      <c r="I3874">
        <v>3</v>
      </c>
      <c r="J3874">
        <v>4</v>
      </c>
      <c r="K3874">
        <v>2.21</v>
      </c>
      <c r="L3874">
        <v>1</v>
      </c>
    </row>
    <row r="3875" spans="1:12">
      <c r="A3875" t="s">
        <v>11239</v>
      </c>
      <c r="B3875" t="s">
        <v>11240</v>
      </c>
      <c r="C3875" t="s">
        <v>11241</v>
      </c>
      <c r="D3875" t="s">
        <v>23</v>
      </c>
      <c r="E3875" t="s">
        <v>28</v>
      </c>
      <c r="F3875" t="s">
        <v>41</v>
      </c>
      <c r="G3875" t="s">
        <v>30</v>
      </c>
      <c r="H3875" t="s">
        <v>19</v>
      </c>
      <c r="I3875">
        <v>4</v>
      </c>
      <c r="J3875">
        <v>24</v>
      </c>
      <c r="K3875">
        <v>14.85</v>
      </c>
      <c r="L3875">
        <v>1</v>
      </c>
    </row>
    <row r="3876" spans="1:12">
      <c r="A3876" t="s">
        <v>11242</v>
      </c>
      <c r="B3876" t="s">
        <v>11243</v>
      </c>
      <c r="D3876" t="s">
        <v>15</v>
      </c>
      <c r="E3876" t="s">
        <v>24</v>
      </c>
      <c r="F3876" t="s">
        <v>60</v>
      </c>
      <c r="G3876" t="s">
        <v>105</v>
      </c>
      <c r="H3876" t="s">
        <v>63</v>
      </c>
      <c r="J3876">
        <v>8</v>
      </c>
    </row>
    <row r="3877" spans="1:12">
      <c r="A3877" t="s">
        <v>11244</v>
      </c>
      <c r="B3877" t="s">
        <v>11245</v>
      </c>
      <c r="C3877" t="s">
        <v>11246</v>
      </c>
      <c r="D3877" t="s">
        <v>35</v>
      </c>
      <c r="E3877" t="s">
        <v>28</v>
      </c>
      <c r="F3877" t="s">
        <v>41</v>
      </c>
      <c r="G3877" t="s">
        <v>105</v>
      </c>
      <c r="H3877" t="s">
        <v>19</v>
      </c>
      <c r="I3877">
        <v>5</v>
      </c>
      <c r="J3877">
        <v>48</v>
      </c>
      <c r="K3877">
        <v>11.07</v>
      </c>
      <c r="L3877">
        <v>1</v>
      </c>
    </row>
    <row r="3878" spans="1:12">
      <c r="A3878" t="s">
        <v>11247</v>
      </c>
      <c r="B3878" t="s">
        <v>11248</v>
      </c>
      <c r="C3878" t="s">
        <v>11249</v>
      </c>
      <c r="D3878" t="s">
        <v>35</v>
      </c>
      <c r="E3878" t="s">
        <v>24</v>
      </c>
      <c r="F3878" t="s">
        <v>17</v>
      </c>
      <c r="G3878" t="s">
        <v>45</v>
      </c>
      <c r="H3878" t="s">
        <v>31</v>
      </c>
      <c r="I3878">
        <v>5</v>
      </c>
      <c r="J3878">
        <v>48</v>
      </c>
      <c r="K3878">
        <v>10.3</v>
      </c>
      <c r="L3878">
        <v>1</v>
      </c>
    </row>
    <row r="3879" spans="1:12">
      <c r="A3879" t="s">
        <v>11250</v>
      </c>
      <c r="B3879" t="s">
        <v>11251</v>
      </c>
      <c r="C3879" t="s">
        <v>11252</v>
      </c>
      <c r="D3879" t="s">
        <v>23</v>
      </c>
      <c r="E3879" t="s">
        <v>28</v>
      </c>
      <c r="F3879" t="s">
        <v>36</v>
      </c>
      <c r="G3879" t="s">
        <v>18</v>
      </c>
      <c r="H3879" t="s">
        <v>19</v>
      </c>
      <c r="I3879">
        <v>4</v>
      </c>
      <c r="J3879">
        <v>24</v>
      </c>
      <c r="K3879">
        <v>21.49</v>
      </c>
      <c r="L3879">
        <v>1</v>
      </c>
    </row>
    <row r="3880" spans="1:12">
      <c r="A3880" t="s">
        <v>11253</v>
      </c>
      <c r="B3880" t="s">
        <v>11254</v>
      </c>
      <c r="C3880" t="s">
        <v>11255</v>
      </c>
      <c r="D3880" t="s">
        <v>23</v>
      </c>
      <c r="E3880" t="s">
        <v>28</v>
      </c>
      <c r="F3880" t="s">
        <v>17</v>
      </c>
      <c r="G3880" t="s">
        <v>105</v>
      </c>
      <c r="H3880" t="s">
        <v>19</v>
      </c>
      <c r="I3880">
        <v>4</v>
      </c>
      <c r="J3880">
        <v>24</v>
      </c>
      <c r="K3880">
        <v>10.33</v>
      </c>
      <c r="L3880">
        <v>1</v>
      </c>
    </row>
    <row r="3881" spans="1:12">
      <c r="A3881" t="s">
        <v>11256</v>
      </c>
      <c r="B3881" t="s">
        <v>11257</v>
      </c>
      <c r="C3881" t="s">
        <v>11258</v>
      </c>
      <c r="D3881" t="s">
        <v>35</v>
      </c>
      <c r="E3881" t="s">
        <v>59</v>
      </c>
      <c r="F3881" t="s">
        <v>17</v>
      </c>
      <c r="G3881" t="s">
        <v>37</v>
      </c>
      <c r="H3881" t="s">
        <v>31</v>
      </c>
      <c r="I3881">
        <v>5</v>
      </c>
      <c r="J3881">
        <v>48</v>
      </c>
      <c r="K3881">
        <v>34.21</v>
      </c>
      <c r="L3881">
        <v>1</v>
      </c>
    </row>
    <row r="3882" spans="1:12">
      <c r="A3882" t="s">
        <v>11259</v>
      </c>
      <c r="B3882" t="s">
        <v>11260</v>
      </c>
      <c r="C3882" t="s">
        <v>11261</v>
      </c>
      <c r="D3882" t="s">
        <v>158</v>
      </c>
      <c r="E3882" t="s">
        <v>28</v>
      </c>
      <c r="F3882" t="s">
        <v>29</v>
      </c>
      <c r="G3882" t="s">
        <v>42</v>
      </c>
      <c r="H3882" t="s">
        <v>19</v>
      </c>
      <c r="I3882">
        <v>4</v>
      </c>
      <c r="J3882">
        <v>4</v>
      </c>
      <c r="K3882">
        <v>0.72</v>
      </c>
      <c r="L3882">
        <v>1</v>
      </c>
    </row>
    <row r="3883" spans="1:12">
      <c r="A3883" t="s">
        <v>11262</v>
      </c>
      <c r="B3883" t="s">
        <v>11263</v>
      </c>
      <c r="C3883" t="s">
        <v>11264</v>
      </c>
      <c r="D3883" t="s">
        <v>23</v>
      </c>
      <c r="E3883" t="s">
        <v>16</v>
      </c>
      <c r="F3883" t="s">
        <v>36</v>
      </c>
      <c r="G3883" t="s">
        <v>77</v>
      </c>
      <c r="H3883" t="s">
        <v>19</v>
      </c>
      <c r="I3883">
        <v>5</v>
      </c>
      <c r="J3883">
        <v>24</v>
      </c>
      <c r="K3883">
        <v>17.29</v>
      </c>
      <c r="L3883">
        <v>1</v>
      </c>
    </row>
    <row r="3884" spans="1:12">
      <c r="A3884" t="s">
        <v>11265</v>
      </c>
      <c r="B3884" t="s">
        <v>11266</v>
      </c>
      <c r="D3884" t="s">
        <v>23</v>
      </c>
      <c r="E3884" t="s">
        <v>28</v>
      </c>
      <c r="F3884" t="s">
        <v>60</v>
      </c>
      <c r="G3884" t="s">
        <v>55</v>
      </c>
      <c r="H3884" t="s">
        <v>63</v>
      </c>
      <c r="J3884">
        <v>24</v>
      </c>
    </row>
    <row r="3885" spans="1:12">
      <c r="A3885" t="s">
        <v>11267</v>
      </c>
      <c r="B3885" t="s">
        <v>11268</v>
      </c>
      <c r="C3885" t="s">
        <v>11269</v>
      </c>
      <c r="D3885" t="s">
        <v>158</v>
      </c>
      <c r="E3885" t="s">
        <v>28</v>
      </c>
      <c r="F3885" t="s">
        <v>60</v>
      </c>
      <c r="G3885" t="s">
        <v>105</v>
      </c>
      <c r="H3885" t="s">
        <v>19</v>
      </c>
      <c r="I3885">
        <v>4</v>
      </c>
      <c r="J3885">
        <v>4</v>
      </c>
      <c r="K3885">
        <v>2.85</v>
      </c>
      <c r="L3885">
        <v>1</v>
      </c>
    </row>
    <row r="3886" spans="1:12">
      <c r="A3886" t="s">
        <v>11270</v>
      </c>
      <c r="B3886" t="s">
        <v>11271</v>
      </c>
      <c r="C3886" t="s">
        <v>11272</v>
      </c>
      <c r="D3886" t="s">
        <v>23</v>
      </c>
      <c r="E3886" t="s">
        <v>28</v>
      </c>
      <c r="F3886" t="s">
        <v>29</v>
      </c>
      <c r="G3886" t="s">
        <v>151</v>
      </c>
      <c r="H3886" t="s">
        <v>19</v>
      </c>
      <c r="I3886">
        <v>5</v>
      </c>
      <c r="J3886">
        <v>24</v>
      </c>
      <c r="K3886">
        <v>15.83</v>
      </c>
      <c r="L3886">
        <v>1</v>
      </c>
    </row>
    <row r="3887" spans="1:12">
      <c r="A3887" t="s">
        <v>11273</v>
      </c>
      <c r="B3887" t="s">
        <v>11274</v>
      </c>
      <c r="C3887" t="s">
        <v>11275</v>
      </c>
      <c r="D3887" t="s">
        <v>35</v>
      </c>
      <c r="E3887" t="s">
        <v>16</v>
      </c>
      <c r="F3887" t="s">
        <v>36</v>
      </c>
      <c r="G3887" t="s">
        <v>55</v>
      </c>
      <c r="H3887" t="s">
        <v>31</v>
      </c>
      <c r="I3887">
        <v>4</v>
      </c>
      <c r="J3887">
        <v>48</v>
      </c>
      <c r="K3887">
        <v>28.09</v>
      </c>
      <c r="L3887">
        <v>1</v>
      </c>
    </row>
    <row r="3888" spans="1:12">
      <c r="A3888" t="s">
        <v>11276</v>
      </c>
      <c r="B3888" t="s">
        <v>11277</v>
      </c>
      <c r="C3888" t="s">
        <v>11278</v>
      </c>
      <c r="D3888" t="s">
        <v>158</v>
      </c>
      <c r="E3888" t="s">
        <v>28</v>
      </c>
      <c r="F3888" t="s">
        <v>36</v>
      </c>
      <c r="G3888" t="s">
        <v>172</v>
      </c>
      <c r="H3888" t="s">
        <v>19</v>
      </c>
      <c r="I3888">
        <v>5</v>
      </c>
      <c r="J3888">
        <v>4</v>
      </c>
      <c r="K3888">
        <v>2.97</v>
      </c>
      <c r="L3888">
        <v>1</v>
      </c>
    </row>
    <row r="3889" spans="1:12">
      <c r="A3889" t="s">
        <v>11279</v>
      </c>
      <c r="B3889" t="s">
        <v>11280</v>
      </c>
      <c r="C3889" t="s">
        <v>11281</v>
      </c>
      <c r="D3889" t="s">
        <v>23</v>
      </c>
      <c r="E3889" t="s">
        <v>28</v>
      </c>
      <c r="F3889" t="s">
        <v>41</v>
      </c>
      <c r="G3889" t="s">
        <v>45</v>
      </c>
      <c r="H3889" t="s">
        <v>31</v>
      </c>
      <c r="I3889">
        <v>3</v>
      </c>
      <c r="J3889">
        <v>24</v>
      </c>
      <c r="K3889">
        <v>66.849999999999994</v>
      </c>
      <c r="L3889">
        <v>0</v>
      </c>
    </row>
    <row r="3890" spans="1:12">
      <c r="A3890" t="s">
        <v>11282</v>
      </c>
      <c r="B3890" t="s">
        <v>11283</v>
      </c>
      <c r="C3890" t="s">
        <v>11284</v>
      </c>
      <c r="D3890" t="s">
        <v>15</v>
      </c>
      <c r="E3890" t="s">
        <v>16</v>
      </c>
      <c r="F3890" t="s">
        <v>41</v>
      </c>
      <c r="G3890" t="s">
        <v>30</v>
      </c>
      <c r="H3890" t="s">
        <v>31</v>
      </c>
      <c r="I3890">
        <v>4</v>
      </c>
      <c r="J3890">
        <v>8</v>
      </c>
      <c r="K3890">
        <v>5.5</v>
      </c>
      <c r="L3890">
        <v>1</v>
      </c>
    </row>
    <row r="3891" spans="1:12">
      <c r="A3891" t="s">
        <v>11285</v>
      </c>
      <c r="B3891" t="s">
        <v>11286</v>
      </c>
      <c r="C3891" t="s">
        <v>11287</v>
      </c>
      <c r="D3891" t="s">
        <v>15</v>
      </c>
      <c r="E3891" t="s">
        <v>16</v>
      </c>
      <c r="F3891" t="s">
        <v>60</v>
      </c>
      <c r="G3891" t="s">
        <v>18</v>
      </c>
      <c r="H3891" t="s">
        <v>19</v>
      </c>
      <c r="I3891">
        <v>5</v>
      </c>
      <c r="J3891">
        <v>8</v>
      </c>
      <c r="K3891">
        <v>2.59</v>
      </c>
      <c r="L3891">
        <v>1</v>
      </c>
    </row>
    <row r="3892" spans="1:12">
      <c r="A3892" t="s">
        <v>11288</v>
      </c>
      <c r="B3892" t="s">
        <v>11289</v>
      </c>
      <c r="C3892" t="s">
        <v>11290</v>
      </c>
      <c r="D3892" t="s">
        <v>158</v>
      </c>
      <c r="E3892" t="s">
        <v>28</v>
      </c>
      <c r="F3892" t="s">
        <v>60</v>
      </c>
      <c r="G3892" t="s">
        <v>151</v>
      </c>
      <c r="H3892" t="s">
        <v>31</v>
      </c>
      <c r="I3892">
        <v>5</v>
      </c>
      <c r="J3892">
        <v>4</v>
      </c>
      <c r="K3892">
        <v>3.22</v>
      </c>
      <c r="L3892">
        <v>1</v>
      </c>
    </row>
    <row r="3893" spans="1:12">
      <c r="A3893" t="s">
        <v>11291</v>
      </c>
      <c r="B3893" t="s">
        <v>11292</v>
      </c>
      <c r="C3893" t="s">
        <v>11293</v>
      </c>
      <c r="D3893" t="s">
        <v>23</v>
      </c>
      <c r="E3893" t="s">
        <v>28</v>
      </c>
      <c r="F3893" t="s">
        <v>41</v>
      </c>
      <c r="G3893" t="s">
        <v>45</v>
      </c>
      <c r="H3893" t="s">
        <v>19</v>
      </c>
      <c r="I3893">
        <v>5</v>
      </c>
      <c r="J3893">
        <v>24</v>
      </c>
      <c r="K3893">
        <v>13.77</v>
      </c>
      <c r="L3893">
        <v>1</v>
      </c>
    </row>
    <row r="3894" spans="1:12">
      <c r="A3894" t="s">
        <v>11294</v>
      </c>
      <c r="B3894" t="s">
        <v>11295</v>
      </c>
      <c r="C3894" t="s">
        <v>11296</v>
      </c>
      <c r="D3894" t="s">
        <v>23</v>
      </c>
      <c r="E3894" t="s">
        <v>16</v>
      </c>
      <c r="F3894" t="s">
        <v>60</v>
      </c>
      <c r="G3894" t="s">
        <v>151</v>
      </c>
      <c r="H3894" t="s">
        <v>19</v>
      </c>
      <c r="I3894">
        <v>4</v>
      </c>
      <c r="J3894">
        <v>24</v>
      </c>
      <c r="K3894">
        <v>14.81</v>
      </c>
      <c r="L3894">
        <v>1</v>
      </c>
    </row>
    <row r="3895" spans="1:12">
      <c r="A3895" t="s">
        <v>11297</v>
      </c>
      <c r="B3895" t="s">
        <v>11298</v>
      </c>
      <c r="C3895" t="s">
        <v>11299</v>
      </c>
      <c r="D3895" t="s">
        <v>15</v>
      </c>
      <c r="E3895" t="s">
        <v>54</v>
      </c>
      <c r="F3895" t="s">
        <v>36</v>
      </c>
      <c r="G3895" t="s">
        <v>45</v>
      </c>
      <c r="H3895" t="s">
        <v>31</v>
      </c>
      <c r="I3895">
        <v>5</v>
      </c>
      <c r="J3895">
        <v>8</v>
      </c>
      <c r="K3895">
        <v>6.64</v>
      </c>
      <c r="L3895">
        <v>1</v>
      </c>
    </row>
    <row r="3896" spans="1:12">
      <c r="A3896" t="s">
        <v>11300</v>
      </c>
      <c r="B3896" t="s">
        <v>11301</v>
      </c>
      <c r="C3896" t="s">
        <v>11302</v>
      </c>
      <c r="D3896" t="s">
        <v>23</v>
      </c>
      <c r="E3896" t="s">
        <v>28</v>
      </c>
      <c r="F3896" t="s">
        <v>17</v>
      </c>
      <c r="G3896" t="s">
        <v>151</v>
      </c>
      <c r="H3896" t="s">
        <v>31</v>
      </c>
      <c r="I3896">
        <v>5</v>
      </c>
      <c r="J3896">
        <v>24</v>
      </c>
      <c r="K3896">
        <v>11.66</v>
      </c>
      <c r="L3896">
        <v>1</v>
      </c>
    </row>
    <row r="3897" spans="1:12">
      <c r="A3897" t="s">
        <v>11303</v>
      </c>
      <c r="B3897" t="s">
        <v>11304</v>
      </c>
      <c r="C3897" t="s">
        <v>11305</v>
      </c>
      <c r="D3897" t="s">
        <v>158</v>
      </c>
      <c r="E3897" t="s">
        <v>54</v>
      </c>
      <c r="F3897" t="s">
        <v>29</v>
      </c>
      <c r="G3897" t="s">
        <v>18</v>
      </c>
      <c r="H3897" t="s">
        <v>19</v>
      </c>
      <c r="I3897">
        <v>4</v>
      </c>
      <c r="J3897">
        <v>4</v>
      </c>
      <c r="K3897">
        <v>3.31</v>
      </c>
      <c r="L3897">
        <v>1</v>
      </c>
    </row>
    <row r="3898" spans="1:12">
      <c r="A3898" t="s">
        <v>11306</v>
      </c>
      <c r="B3898" t="s">
        <v>11307</v>
      </c>
      <c r="D3898" t="s">
        <v>23</v>
      </c>
      <c r="E3898" t="s">
        <v>54</v>
      </c>
      <c r="F3898" t="s">
        <v>36</v>
      </c>
      <c r="G3898" t="s">
        <v>50</v>
      </c>
      <c r="H3898" t="s">
        <v>46</v>
      </c>
      <c r="J3898">
        <v>24</v>
      </c>
    </row>
    <row r="3899" spans="1:12">
      <c r="A3899" t="s">
        <v>11308</v>
      </c>
      <c r="B3899" t="s">
        <v>11309</v>
      </c>
      <c r="D3899" t="s">
        <v>23</v>
      </c>
      <c r="E3899" t="s">
        <v>16</v>
      </c>
      <c r="F3899" t="s">
        <v>29</v>
      </c>
      <c r="G3899" t="s">
        <v>55</v>
      </c>
      <c r="H3899" t="s">
        <v>63</v>
      </c>
      <c r="J3899">
        <v>24</v>
      </c>
    </row>
    <row r="3900" spans="1:12">
      <c r="A3900" t="s">
        <v>11310</v>
      </c>
      <c r="B3900" t="s">
        <v>11311</v>
      </c>
      <c r="C3900" t="s">
        <v>11312</v>
      </c>
      <c r="D3900" t="s">
        <v>35</v>
      </c>
      <c r="E3900" t="s">
        <v>59</v>
      </c>
      <c r="F3900" t="s">
        <v>41</v>
      </c>
      <c r="G3900" t="s">
        <v>73</v>
      </c>
      <c r="H3900" t="s">
        <v>31</v>
      </c>
      <c r="I3900">
        <v>4</v>
      </c>
      <c r="J3900">
        <v>48</v>
      </c>
      <c r="K3900">
        <v>20.63</v>
      </c>
      <c r="L3900">
        <v>1</v>
      </c>
    </row>
    <row r="3901" spans="1:12">
      <c r="A3901" t="s">
        <v>11313</v>
      </c>
      <c r="B3901" t="s">
        <v>11314</v>
      </c>
      <c r="C3901" t="s">
        <v>11315</v>
      </c>
      <c r="D3901" t="s">
        <v>23</v>
      </c>
      <c r="E3901" t="s">
        <v>28</v>
      </c>
      <c r="F3901" t="s">
        <v>60</v>
      </c>
      <c r="G3901" t="s">
        <v>37</v>
      </c>
      <c r="H3901" t="s">
        <v>19</v>
      </c>
      <c r="I3901">
        <v>5</v>
      </c>
      <c r="J3901">
        <v>24</v>
      </c>
      <c r="K3901">
        <v>8.69</v>
      </c>
      <c r="L3901">
        <v>1</v>
      </c>
    </row>
    <row r="3902" spans="1:12">
      <c r="A3902" t="s">
        <v>11316</v>
      </c>
      <c r="B3902" t="s">
        <v>11317</v>
      </c>
      <c r="D3902" t="s">
        <v>35</v>
      </c>
      <c r="E3902" t="s">
        <v>28</v>
      </c>
      <c r="F3902" t="s">
        <v>60</v>
      </c>
      <c r="G3902" t="s">
        <v>55</v>
      </c>
      <c r="H3902" t="s">
        <v>63</v>
      </c>
      <c r="J3902">
        <v>48</v>
      </c>
    </row>
    <row r="3903" spans="1:12">
      <c r="A3903" t="s">
        <v>11318</v>
      </c>
      <c r="B3903" t="s">
        <v>11319</v>
      </c>
      <c r="C3903" t="s">
        <v>11320</v>
      </c>
      <c r="D3903" t="s">
        <v>23</v>
      </c>
      <c r="E3903" t="s">
        <v>28</v>
      </c>
      <c r="F3903" t="s">
        <v>36</v>
      </c>
      <c r="G3903" t="s">
        <v>42</v>
      </c>
      <c r="H3903" t="s">
        <v>19</v>
      </c>
      <c r="I3903">
        <v>5</v>
      </c>
      <c r="J3903">
        <v>24</v>
      </c>
      <c r="K3903">
        <v>19.52</v>
      </c>
      <c r="L3903">
        <v>1</v>
      </c>
    </row>
    <row r="3904" spans="1:12">
      <c r="A3904" t="s">
        <v>11321</v>
      </c>
      <c r="B3904" t="s">
        <v>11322</v>
      </c>
      <c r="C3904" t="s">
        <v>11323</v>
      </c>
      <c r="D3904" t="s">
        <v>23</v>
      </c>
      <c r="E3904" t="s">
        <v>24</v>
      </c>
      <c r="F3904" t="s">
        <v>36</v>
      </c>
      <c r="G3904" t="s">
        <v>172</v>
      </c>
      <c r="H3904" t="s">
        <v>31</v>
      </c>
      <c r="I3904">
        <v>3</v>
      </c>
      <c r="J3904">
        <v>24</v>
      </c>
      <c r="K3904">
        <v>5.0999999999999996</v>
      </c>
      <c r="L3904">
        <v>1</v>
      </c>
    </row>
    <row r="3905" spans="1:12">
      <c r="A3905" t="s">
        <v>11324</v>
      </c>
      <c r="B3905" t="s">
        <v>11325</v>
      </c>
      <c r="C3905" t="s">
        <v>11326</v>
      </c>
      <c r="D3905" t="s">
        <v>15</v>
      </c>
      <c r="E3905" t="s">
        <v>24</v>
      </c>
      <c r="F3905" t="s">
        <v>17</v>
      </c>
      <c r="G3905" t="s">
        <v>18</v>
      </c>
      <c r="H3905" t="s">
        <v>19</v>
      </c>
      <c r="I3905">
        <v>5</v>
      </c>
      <c r="J3905">
        <v>8</v>
      </c>
      <c r="K3905">
        <v>5.85</v>
      </c>
      <c r="L3905">
        <v>1</v>
      </c>
    </row>
    <row r="3906" spans="1:12">
      <c r="A3906" t="s">
        <v>11327</v>
      </c>
      <c r="B3906" t="s">
        <v>11328</v>
      </c>
      <c r="C3906" t="s">
        <v>11329</v>
      </c>
      <c r="D3906" t="s">
        <v>23</v>
      </c>
      <c r="E3906" t="s">
        <v>16</v>
      </c>
      <c r="F3906" t="s">
        <v>60</v>
      </c>
      <c r="G3906" t="s">
        <v>55</v>
      </c>
      <c r="H3906" t="s">
        <v>19</v>
      </c>
      <c r="I3906">
        <v>4</v>
      </c>
      <c r="J3906">
        <v>24</v>
      </c>
      <c r="K3906">
        <v>3.68</v>
      </c>
      <c r="L3906">
        <v>1</v>
      </c>
    </row>
    <row r="3907" spans="1:12">
      <c r="A3907" t="s">
        <v>11330</v>
      </c>
      <c r="B3907" t="s">
        <v>11331</v>
      </c>
      <c r="C3907" t="s">
        <v>11332</v>
      </c>
      <c r="D3907" t="s">
        <v>35</v>
      </c>
      <c r="E3907" t="s">
        <v>24</v>
      </c>
      <c r="F3907" t="s">
        <v>17</v>
      </c>
      <c r="G3907" t="s">
        <v>30</v>
      </c>
      <c r="H3907" t="s">
        <v>31</v>
      </c>
      <c r="I3907">
        <v>2</v>
      </c>
      <c r="J3907">
        <v>48</v>
      </c>
      <c r="K3907">
        <v>134.37</v>
      </c>
      <c r="L3907">
        <v>0</v>
      </c>
    </row>
    <row r="3908" spans="1:12">
      <c r="A3908" t="s">
        <v>11333</v>
      </c>
      <c r="B3908" t="s">
        <v>11334</v>
      </c>
      <c r="C3908" t="s">
        <v>11335</v>
      </c>
      <c r="D3908" t="s">
        <v>158</v>
      </c>
      <c r="E3908" t="s">
        <v>59</v>
      </c>
      <c r="F3908" t="s">
        <v>60</v>
      </c>
      <c r="G3908" t="s">
        <v>45</v>
      </c>
      <c r="H3908" t="s">
        <v>19</v>
      </c>
      <c r="I3908">
        <v>5</v>
      </c>
      <c r="J3908">
        <v>4</v>
      </c>
      <c r="K3908">
        <v>1.52</v>
      </c>
      <c r="L3908">
        <v>1</v>
      </c>
    </row>
    <row r="3909" spans="1:12">
      <c r="A3909" t="s">
        <v>11336</v>
      </c>
      <c r="B3909" t="s">
        <v>11337</v>
      </c>
      <c r="C3909" t="s">
        <v>11338</v>
      </c>
      <c r="D3909" t="s">
        <v>15</v>
      </c>
      <c r="E3909" t="s">
        <v>24</v>
      </c>
      <c r="F3909" t="s">
        <v>17</v>
      </c>
      <c r="G3909" t="s">
        <v>73</v>
      </c>
      <c r="H3909" t="s">
        <v>19</v>
      </c>
      <c r="I3909">
        <v>5</v>
      </c>
      <c r="J3909">
        <v>8</v>
      </c>
      <c r="K3909">
        <v>1.64</v>
      </c>
      <c r="L3909">
        <v>1</v>
      </c>
    </row>
    <row r="3910" spans="1:12">
      <c r="A3910" t="s">
        <v>11339</v>
      </c>
      <c r="B3910" t="s">
        <v>11340</v>
      </c>
      <c r="C3910" t="s">
        <v>11341</v>
      </c>
      <c r="D3910" t="s">
        <v>15</v>
      </c>
      <c r="E3910" t="s">
        <v>16</v>
      </c>
      <c r="F3910" t="s">
        <v>29</v>
      </c>
      <c r="G3910" t="s">
        <v>45</v>
      </c>
      <c r="H3910" t="s">
        <v>31</v>
      </c>
      <c r="I3910">
        <v>5</v>
      </c>
      <c r="J3910">
        <v>8</v>
      </c>
      <c r="K3910">
        <v>1.54</v>
      </c>
      <c r="L3910">
        <v>1</v>
      </c>
    </row>
    <row r="3911" spans="1:12">
      <c r="A3911" t="s">
        <v>11342</v>
      </c>
      <c r="B3911" t="s">
        <v>11343</v>
      </c>
      <c r="C3911" t="s">
        <v>11344</v>
      </c>
      <c r="D3911" t="s">
        <v>23</v>
      </c>
      <c r="E3911" t="s">
        <v>16</v>
      </c>
      <c r="F3911" t="s">
        <v>29</v>
      </c>
      <c r="G3911" t="s">
        <v>30</v>
      </c>
      <c r="H3911" t="s">
        <v>31</v>
      </c>
      <c r="I3911">
        <v>5</v>
      </c>
      <c r="J3911">
        <v>24</v>
      </c>
      <c r="K3911">
        <v>18.52</v>
      </c>
      <c r="L3911">
        <v>1</v>
      </c>
    </row>
    <row r="3912" spans="1:12">
      <c r="A3912" t="s">
        <v>11345</v>
      </c>
      <c r="B3912" t="s">
        <v>11346</v>
      </c>
      <c r="C3912" t="s">
        <v>11347</v>
      </c>
      <c r="D3912" t="s">
        <v>23</v>
      </c>
      <c r="E3912" t="s">
        <v>16</v>
      </c>
      <c r="F3912" t="s">
        <v>17</v>
      </c>
      <c r="G3912" t="s">
        <v>151</v>
      </c>
      <c r="H3912" t="s">
        <v>31</v>
      </c>
      <c r="I3912">
        <v>5</v>
      </c>
      <c r="J3912">
        <v>24</v>
      </c>
      <c r="K3912">
        <v>19.420000000000002</v>
      </c>
      <c r="L3912">
        <v>1</v>
      </c>
    </row>
    <row r="3913" spans="1:12">
      <c r="A3913" t="s">
        <v>11348</v>
      </c>
      <c r="B3913" t="s">
        <v>11349</v>
      </c>
      <c r="C3913" t="s">
        <v>11350</v>
      </c>
      <c r="D3913" t="s">
        <v>15</v>
      </c>
      <c r="E3913" t="s">
        <v>16</v>
      </c>
      <c r="F3913" t="s">
        <v>36</v>
      </c>
      <c r="G3913" t="s">
        <v>73</v>
      </c>
      <c r="H3913" t="s">
        <v>19</v>
      </c>
      <c r="I3913">
        <v>4</v>
      </c>
      <c r="J3913">
        <v>8</v>
      </c>
      <c r="K3913">
        <v>7.13</v>
      </c>
      <c r="L3913">
        <v>1</v>
      </c>
    </row>
    <row r="3914" spans="1:12">
      <c r="A3914" t="s">
        <v>11351</v>
      </c>
      <c r="B3914" t="s">
        <v>11352</v>
      </c>
      <c r="D3914" t="s">
        <v>15</v>
      </c>
      <c r="E3914" t="s">
        <v>54</v>
      </c>
      <c r="F3914" t="s">
        <v>60</v>
      </c>
      <c r="G3914" t="s">
        <v>151</v>
      </c>
      <c r="H3914" t="s">
        <v>63</v>
      </c>
      <c r="J3914">
        <v>8</v>
      </c>
    </row>
    <row r="3915" spans="1:12">
      <c r="A3915" t="s">
        <v>11353</v>
      </c>
      <c r="B3915" t="s">
        <v>11354</v>
      </c>
      <c r="C3915" t="s">
        <v>11355</v>
      </c>
      <c r="D3915" t="s">
        <v>158</v>
      </c>
      <c r="E3915" t="s">
        <v>24</v>
      </c>
      <c r="F3915" t="s">
        <v>36</v>
      </c>
      <c r="G3915" t="s">
        <v>30</v>
      </c>
      <c r="H3915" t="s">
        <v>31</v>
      </c>
      <c r="I3915">
        <v>4</v>
      </c>
      <c r="J3915">
        <v>4</v>
      </c>
      <c r="K3915">
        <v>0.91</v>
      </c>
      <c r="L3915">
        <v>1</v>
      </c>
    </row>
    <row r="3916" spans="1:12">
      <c r="A3916" t="s">
        <v>11356</v>
      </c>
      <c r="B3916" t="s">
        <v>11357</v>
      </c>
      <c r="C3916" t="s">
        <v>11358</v>
      </c>
      <c r="D3916" t="s">
        <v>15</v>
      </c>
      <c r="E3916" t="s">
        <v>28</v>
      </c>
      <c r="F3916" t="s">
        <v>60</v>
      </c>
      <c r="G3916" t="s">
        <v>37</v>
      </c>
      <c r="H3916" t="s">
        <v>31</v>
      </c>
      <c r="I3916">
        <v>4</v>
      </c>
      <c r="J3916">
        <v>8</v>
      </c>
      <c r="K3916">
        <v>3.26</v>
      </c>
      <c r="L3916">
        <v>1</v>
      </c>
    </row>
    <row r="3917" spans="1:12">
      <c r="A3917" t="s">
        <v>11359</v>
      </c>
      <c r="B3917" t="s">
        <v>11360</v>
      </c>
      <c r="C3917" t="s">
        <v>11361</v>
      </c>
      <c r="D3917" t="s">
        <v>23</v>
      </c>
      <c r="E3917" t="s">
        <v>16</v>
      </c>
      <c r="F3917" t="s">
        <v>17</v>
      </c>
      <c r="G3917" t="s">
        <v>37</v>
      </c>
      <c r="H3917" t="s">
        <v>19</v>
      </c>
      <c r="I3917">
        <v>5</v>
      </c>
      <c r="J3917">
        <v>24</v>
      </c>
      <c r="K3917">
        <v>12.65</v>
      </c>
      <c r="L3917">
        <v>1</v>
      </c>
    </row>
    <row r="3918" spans="1:12">
      <c r="A3918" t="s">
        <v>11362</v>
      </c>
      <c r="B3918" t="s">
        <v>11363</v>
      </c>
      <c r="C3918" t="s">
        <v>11364</v>
      </c>
      <c r="D3918" t="s">
        <v>15</v>
      </c>
      <c r="E3918" t="s">
        <v>16</v>
      </c>
      <c r="F3918" t="s">
        <v>41</v>
      </c>
      <c r="G3918" t="s">
        <v>151</v>
      </c>
      <c r="H3918" t="s">
        <v>19</v>
      </c>
      <c r="I3918">
        <v>4</v>
      </c>
      <c r="J3918">
        <v>8</v>
      </c>
      <c r="K3918">
        <v>5.89</v>
      </c>
      <c r="L3918">
        <v>1</v>
      </c>
    </row>
    <row r="3919" spans="1:12">
      <c r="A3919" t="s">
        <v>11365</v>
      </c>
      <c r="B3919" t="s">
        <v>11366</v>
      </c>
      <c r="C3919" t="s">
        <v>11367</v>
      </c>
      <c r="D3919" t="s">
        <v>15</v>
      </c>
      <c r="E3919" t="s">
        <v>24</v>
      </c>
      <c r="F3919" t="s">
        <v>41</v>
      </c>
      <c r="G3919" t="s">
        <v>77</v>
      </c>
      <c r="H3919" t="s">
        <v>31</v>
      </c>
      <c r="I3919">
        <v>4</v>
      </c>
      <c r="J3919">
        <v>8</v>
      </c>
      <c r="K3919">
        <v>4.5599999999999996</v>
      </c>
      <c r="L3919">
        <v>1</v>
      </c>
    </row>
    <row r="3920" spans="1:12">
      <c r="A3920" t="s">
        <v>11368</v>
      </c>
      <c r="B3920" t="s">
        <v>11369</v>
      </c>
      <c r="C3920" t="s">
        <v>11370</v>
      </c>
      <c r="D3920" t="s">
        <v>15</v>
      </c>
      <c r="E3920" t="s">
        <v>54</v>
      </c>
      <c r="F3920" t="s">
        <v>60</v>
      </c>
      <c r="G3920" t="s">
        <v>105</v>
      </c>
      <c r="H3920" t="s">
        <v>19</v>
      </c>
      <c r="I3920">
        <v>3</v>
      </c>
      <c r="J3920">
        <v>8</v>
      </c>
      <c r="K3920">
        <v>4.01</v>
      </c>
      <c r="L3920">
        <v>1</v>
      </c>
    </row>
    <row r="3921" spans="1:12">
      <c r="A3921" t="s">
        <v>11371</v>
      </c>
      <c r="B3921" t="s">
        <v>11372</v>
      </c>
      <c r="C3921" t="s">
        <v>11373</v>
      </c>
      <c r="D3921" t="s">
        <v>23</v>
      </c>
      <c r="E3921" t="s">
        <v>28</v>
      </c>
      <c r="F3921" t="s">
        <v>41</v>
      </c>
      <c r="G3921" t="s">
        <v>37</v>
      </c>
      <c r="H3921" t="s">
        <v>31</v>
      </c>
      <c r="I3921">
        <v>5</v>
      </c>
      <c r="J3921">
        <v>24</v>
      </c>
      <c r="K3921">
        <v>13.42</v>
      </c>
      <c r="L3921">
        <v>1</v>
      </c>
    </row>
    <row r="3922" spans="1:12">
      <c r="A3922" t="s">
        <v>11374</v>
      </c>
      <c r="B3922" t="s">
        <v>11375</v>
      </c>
      <c r="C3922" t="s">
        <v>11376</v>
      </c>
      <c r="D3922" t="s">
        <v>15</v>
      </c>
      <c r="E3922" t="s">
        <v>54</v>
      </c>
      <c r="F3922" t="s">
        <v>60</v>
      </c>
      <c r="G3922" t="s">
        <v>50</v>
      </c>
      <c r="H3922" t="s">
        <v>19</v>
      </c>
      <c r="I3922">
        <v>4</v>
      </c>
      <c r="J3922">
        <v>8</v>
      </c>
      <c r="K3922">
        <v>1.18</v>
      </c>
      <c r="L3922">
        <v>1</v>
      </c>
    </row>
    <row r="3923" spans="1:12">
      <c r="A3923" t="s">
        <v>11377</v>
      </c>
      <c r="B3923" t="s">
        <v>11378</v>
      </c>
      <c r="D3923" t="s">
        <v>158</v>
      </c>
      <c r="E3923" t="s">
        <v>16</v>
      </c>
      <c r="F3923" t="s">
        <v>17</v>
      </c>
      <c r="G3923" t="s">
        <v>105</v>
      </c>
      <c r="H3923" t="s">
        <v>63</v>
      </c>
      <c r="J3923">
        <v>4</v>
      </c>
    </row>
    <row r="3924" spans="1:12">
      <c r="A3924" t="s">
        <v>11379</v>
      </c>
      <c r="B3924" t="s">
        <v>11380</v>
      </c>
      <c r="C3924" t="s">
        <v>11381</v>
      </c>
      <c r="D3924" t="s">
        <v>23</v>
      </c>
      <c r="E3924" t="s">
        <v>24</v>
      </c>
      <c r="F3924" t="s">
        <v>29</v>
      </c>
      <c r="G3924" t="s">
        <v>105</v>
      </c>
      <c r="H3924" t="s">
        <v>19</v>
      </c>
      <c r="I3924">
        <v>3</v>
      </c>
      <c r="J3924">
        <v>24</v>
      </c>
      <c r="K3924">
        <v>15.8</v>
      </c>
      <c r="L3924">
        <v>1</v>
      </c>
    </row>
    <row r="3925" spans="1:12">
      <c r="A3925" t="s">
        <v>11382</v>
      </c>
      <c r="B3925" t="s">
        <v>11383</v>
      </c>
      <c r="C3925" t="s">
        <v>11384</v>
      </c>
      <c r="D3925" t="s">
        <v>15</v>
      </c>
      <c r="E3925" t="s">
        <v>16</v>
      </c>
      <c r="F3925" t="s">
        <v>36</v>
      </c>
      <c r="G3925" t="s">
        <v>45</v>
      </c>
      <c r="H3925" t="s">
        <v>31</v>
      </c>
      <c r="I3925">
        <v>5</v>
      </c>
      <c r="J3925">
        <v>8</v>
      </c>
      <c r="K3925">
        <v>0.83</v>
      </c>
      <c r="L3925">
        <v>1</v>
      </c>
    </row>
    <row r="3926" spans="1:12">
      <c r="A3926" t="s">
        <v>11385</v>
      </c>
      <c r="B3926" t="s">
        <v>11386</v>
      </c>
      <c r="C3926" t="s">
        <v>11387</v>
      </c>
      <c r="D3926" t="s">
        <v>35</v>
      </c>
      <c r="E3926" t="s">
        <v>24</v>
      </c>
      <c r="F3926" t="s">
        <v>29</v>
      </c>
      <c r="G3926" t="s">
        <v>172</v>
      </c>
      <c r="H3926" t="s">
        <v>19</v>
      </c>
      <c r="I3926">
        <v>5</v>
      </c>
      <c r="J3926">
        <v>48</v>
      </c>
      <c r="K3926">
        <v>29.18</v>
      </c>
      <c r="L3926">
        <v>1</v>
      </c>
    </row>
    <row r="3927" spans="1:12">
      <c r="A3927" t="s">
        <v>11388</v>
      </c>
      <c r="B3927" t="s">
        <v>11389</v>
      </c>
      <c r="C3927" t="s">
        <v>11390</v>
      </c>
      <c r="D3927" t="s">
        <v>23</v>
      </c>
      <c r="E3927" t="s">
        <v>28</v>
      </c>
      <c r="F3927" t="s">
        <v>17</v>
      </c>
      <c r="G3927" t="s">
        <v>18</v>
      </c>
      <c r="H3927" t="s">
        <v>19</v>
      </c>
      <c r="I3927">
        <v>3</v>
      </c>
      <c r="J3927">
        <v>24</v>
      </c>
      <c r="K3927">
        <v>19.739999999999998</v>
      </c>
      <c r="L3927">
        <v>1</v>
      </c>
    </row>
    <row r="3928" spans="1:12">
      <c r="A3928" t="s">
        <v>11391</v>
      </c>
      <c r="B3928" t="s">
        <v>11392</v>
      </c>
      <c r="C3928" t="s">
        <v>11393</v>
      </c>
      <c r="D3928" t="s">
        <v>23</v>
      </c>
      <c r="E3928" t="s">
        <v>28</v>
      </c>
      <c r="F3928" t="s">
        <v>17</v>
      </c>
      <c r="G3928" t="s">
        <v>18</v>
      </c>
      <c r="H3928" t="s">
        <v>31</v>
      </c>
      <c r="I3928">
        <v>4</v>
      </c>
      <c r="J3928">
        <v>24</v>
      </c>
      <c r="K3928">
        <v>21.43</v>
      </c>
      <c r="L3928">
        <v>1</v>
      </c>
    </row>
    <row r="3929" spans="1:12">
      <c r="A3929" t="s">
        <v>11394</v>
      </c>
      <c r="B3929" t="s">
        <v>11395</v>
      </c>
      <c r="C3929" t="s">
        <v>11396</v>
      </c>
      <c r="D3929" t="s">
        <v>35</v>
      </c>
      <c r="E3929" t="s">
        <v>28</v>
      </c>
      <c r="F3929" t="s">
        <v>36</v>
      </c>
      <c r="G3929" t="s">
        <v>30</v>
      </c>
      <c r="H3929" t="s">
        <v>31</v>
      </c>
      <c r="I3929">
        <v>4</v>
      </c>
      <c r="J3929">
        <v>48</v>
      </c>
      <c r="K3929">
        <v>37.11</v>
      </c>
      <c r="L3929">
        <v>1</v>
      </c>
    </row>
    <row r="3930" spans="1:12">
      <c r="A3930" t="s">
        <v>11397</v>
      </c>
      <c r="B3930" t="s">
        <v>11398</v>
      </c>
      <c r="C3930" t="s">
        <v>11399</v>
      </c>
      <c r="D3930" t="s">
        <v>15</v>
      </c>
      <c r="E3930" t="s">
        <v>54</v>
      </c>
      <c r="F3930" t="s">
        <v>29</v>
      </c>
      <c r="G3930" t="s">
        <v>105</v>
      </c>
      <c r="H3930" t="s">
        <v>31</v>
      </c>
      <c r="I3930">
        <v>5</v>
      </c>
      <c r="J3930">
        <v>8</v>
      </c>
      <c r="K3930">
        <v>6.33</v>
      </c>
      <c r="L3930">
        <v>1</v>
      </c>
    </row>
    <row r="3931" spans="1:12">
      <c r="A3931" t="s">
        <v>11400</v>
      </c>
      <c r="B3931" t="s">
        <v>11401</v>
      </c>
      <c r="C3931" t="s">
        <v>11402</v>
      </c>
      <c r="D3931" t="s">
        <v>158</v>
      </c>
      <c r="E3931" t="s">
        <v>28</v>
      </c>
      <c r="F3931" t="s">
        <v>60</v>
      </c>
      <c r="G3931" t="s">
        <v>42</v>
      </c>
      <c r="H3931" t="s">
        <v>31</v>
      </c>
      <c r="I3931">
        <v>5</v>
      </c>
      <c r="J3931">
        <v>4</v>
      </c>
      <c r="K3931">
        <v>1.77</v>
      </c>
      <c r="L3931">
        <v>1</v>
      </c>
    </row>
    <row r="3932" spans="1:12">
      <c r="A3932" t="s">
        <v>11403</v>
      </c>
      <c r="B3932" t="s">
        <v>11404</v>
      </c>
      <c r="C3932" t="s">
        <v>11405</v>
      </c>
      <c r="D3932" t="s">
        <v>35</v>
      </c>
      <c r="E3932" t="s">
        <v>24</v>
      </c>
      <c r="F3932" t="s">
        <v>29</v>
      </c>
      <c r="G3932" t="s">
        <v>55</v>
      </c>
      <c r="H3932" t="s">
        <v>31</v>
      </c>
      <c r="I3932">
        <v>4</v>
      </c>
      <c r="J3932">
        <v>48</v>
      </c>
      <c r="K3932">
        <v>15.21</v>
      </c>
      <c r="L3932">
        <v>1</v>
      </c>
    </row>
    <row r="3933" spans="1:12">
      <c r="A3933" t="s">
        <v>11406</v>
      </c>
      <c r="B3933" t="s">
        <v>11407</v>
      </c>
      <c r="C3933" t="s">
        <v>11408</v>
      </c>
      <c r="D3933" t="s">
        <v>15</v>
      </c>
      <c r="E3933" t="s">
        <v>24</v>
      </c>
      <c r="F3933" t="s">
        <v>29</v>
      </c>
      <c r="G3933" t="s">
        <v>55</v>
      </c>
      <c r="H3933" t="s">
        <v>31</v>
      </c>
      <c r="I3933">
        <v>1</v>
      </c>
      <c r="J3933">
        <v>8</v>
      </c>
      <c r="K3933">
        <v>11.69</v>
      </c>
      <c r="L3933">
        <v>0</v>
      </c>
    </row>
    <row r="3934" spans="1:12">
      <c r="A3934" t="s">
        <v>11409</v>
      </c>
      <c r="B3934" t="s">
        <v>11410</v>
      </c>
      <c r="C3934" t="s">
        <v>11411</v>
      </c>
      <c r="D3934" t="s">
        <v>15</v>
      </c>
      <c r="E3934" t="s">
        <v>16</v>
      </c>
      <c r="F3934" t="s">
        <v>29</v>
      </c>
      <c r="G3934" t="s">
        <v>45</v>
      </c>
      <c r="H3934" t="s">
        <v>31</v>
      </c>
      <c r="I3934">
        <v>1</v>
      </c>
      <c r="J3934">
        <v>8</v>
      </c>
      <c r="K3934">
        <v>15.25</v>
      </c>
      <c r="L3934">
        <v>0</v>
      </c>
    </row>
    <row r="3935" spans="1:12">
      <c r="A3935" t="s">
        <v>11412</v>
      </c>
      <c r="B3935" t="s">
        <v>11413</v>
      </c>
      <c r="C3935" t="s">
        <v>11414</v>
      </c>
      <c r="D3935" t="s">
        <v>23</v>
      </c>
      <c r="E3935" t="s">
        <v>59</v>
      </c>
      <c r="F3935" t="s">
        <v>60</v>
      </c>
      <c r="G3935" t="s">
        <v>18</v>
      </c>
      <c r="H3935" t="s">
        <v>31</v>
      </c>
      <c r="I3935">
        <v>4</v>
      </c>
      <c r="J3935">
        <v>24</v>
      </c>
      <c r="K3935">
        <v>8.7200000000000006</v>
      </c>
      <c r="L3935">
        <v>1</v>
      </c>
    </row>
    <row r="3936" spans="1:12">
      <c r="A3936" t="s">
        <v>11415</v>
      </c>
      <c r="B3936" t="s">
        <v>11416</v>
      </c>
      <c r="C3936" t="s">
        <v>11417</v>
      </c>
      <c r="D3936" t="s">
        <v>23</v>
      </c>
      <c r="E3936" t="s">
        <v>24</v>
      </c>
      <c r="F3936" t="s">
        <v>36</v>
      </c>
      <c r="G3936" t="s">
        <v>18</v>
      </c>
      <c r="H3936" t="s">
        <v>19</v>
      </c>
      <c r="I3936">
        <v>5</v>
      </c>
      <c r="J3936">
        <v>24</v>
      </c>
      <c r="K3936">
        <v>22.76</v>
      </c>
      <c r="L3936">
        <v>1</v>
      </c>
    </row>
    <row r="3937" spans="1:12">
      <c r="A3937" t="s">
        <v>11418</v>
      </c>
      <c r="B3937" t="s">
        <v>11419</v>
      </c>
      <c r="D3937" t="s">
        <v>158</v>
      </c>
      <c r="E3937" t="s">
        <v>54</v>
      </c>
      <c r="F3937" t="s">
        <v>41</v>
      </c>
      <c r="G3937" t="s">
        <v>37</v>
      </c>
      <c r="H3937" t="s">
        <v>46</v>
      </c>
      <c r="J3937">
        <v>4</v>
      </c>
    </row>
    <row r="3938" spans="1:12">
      <c r="A3938" t="s">
        <v>11420</v>
      </c>
      <c r="B3938" t="s">
        <v>11421</v>
      </c>
      <c r="C3938" t="s">
        <v>11422</v>
      </c>
      <c r="D3938" t="s">
        <v>15</v>
      </c>
      <c r="E3938" t="s">
        <v>28</v>
      </c>
      <c r="F3938" t="s">
        <v>17</v>
      </c>
      <c r="G3938" t="s">
        <v>42</v>
      </c>
      <c r="H3938" t="s">
        <v>31</v>
      </c>
      <c r="I3938">
        <v>5</v>
      </c>
      <c r="J3938">
        <v>8</v>
      </c>
      <c r="K3938">
        <v>5.47</v>
      </c>
      <c r="L3938">
        <v>1</v>
      </c>
    </row>
    <row r="3939" spans="1:12">
      <c r="A3939" t="s">
        <v>11423</v>
      </c>
      <c r="B3939" t="s">
        <v>11424</v>
      </c>
      <c r="C3939" t="s">
        <v>11425</v>
      </c>
      <c r="D3939" t="s">
        <v>23</v>
      </c>
      <c r="E3939" t="s">
        <v>59</v>
      </c>
      <c r="F3939" t="s">
        <v>60</v>
      </c>
      <c r="G3939" t="s">
        <v>37</v>
      </c>
      <c r="H3939" t="s">
        <v>31</v>
      </c>
      <c r="I3939">
        <v>5</v>
      </c>
      <c r="J3939">
        <v>24</v>
      </c>
      <c r="K3939">
        <v>12.21</v>
      </c>
      <c r="L3939">
        <v>1</v>
      </c>
    </row>
    <row r="3940" spans="1:12">
      <c r="A3940" t="s">
        <v>11426</v>
      </c>
      <c r="B3940" t="s">
        <v>11427</v>
      </c>
      <c r="C3940" t="s">
        <v>11428</v>
      </c>
      <c r="D3940" t="s">
        <v>23</v>
      </c>
      <c r="E3940" t="s">
        <v>28</v>
      </c>
      <c r="F3940" t="s">
        <v>17</v>
      </c>
      <c r="G3940" t="s">
        <v>55</v>
      </c>
      <c r="H3940" t="s">
        <v>19</v>
      </c>
      <c r="I3940">
        <v>3</v>
      </c>
      <c r="J3940">
        <v>24</v>
      </c>
      <c r="K3940">
        <v>67.62</v>
      </c>
      <c r="L3940">
        <v>0</v>
      </c>
    </row>
    <row r="3941" spans="1:12">
      <c r="A3941" t="s">
        <v>11429</v>
      </c>
      <c r="B3941" t="s">
        <v>11430</v>
      </c>
      <c r="C3941" t="s">
        <v>11431</v>
      </c>
      <c r="D3941" t="s">
        <v>23</v>
      </c>
      <c r="E3941" t="s">
        <v>59</v>
      </c>
      <c r="F3941" t="s">
        <v>41</v>
      </c>
      <c r="G3941" t="s">
        <v>55</v>
      </c>
      <c r="H3941" t="s">
        <v>19</v>
      </c>
      <c r="I3941">
        <v>4</v>
      </c>
      <c r="J3941">
        <v>24</v>
      </c>
      <c r="K3941">
        <v>20.76</v>
      </c>
      <c r="L3941">
        <v>1</v>
      </c>
    </row>
    <row r="3942" spans="1:12">
      <c r="A3942" t="s">
        <v>11432</v>
      </c>
      <c r="B3942" t="s">
        <v>11433</v>
      </c>
      <c r="C3942" t="s">
        <v>11434</v>
      </c>
      <c r="D3942" t="s">
        <v>158</v>
      </c>
      <c r="E3942" t="s">
        <v>28</v>
      </c>
      <c r="F3942" t="s">
        <v>29</v>
      </c>
      <c r="G3942" t="s">
        <v>18</v>
      </c>
      <c r="H3942" t="s">
        <v>19</v>
      </c>
      <c r="I3942">
        <v>4</v>
      </c>
      <c r="J3942">
        <v>4</v>
      </c>
      <c r="K3942">
        <v>2.62</v>
      </c>
      <c r="L3942">
        <v>1</v>
      </c>
    </row>
    <row r="3943" spans="1:12">
      <c r="A3943" t="s">
        <v>11435</v>
      </c>
      <c r="B3943" t="s">
        <v>11436</v>
      </c>
      <c r="C3943" t="s">
        <v>11437</v>
      </c>
      <c r="D3943" t="s">
        <v>23</v>
      </c>
      <c r="E3943" t="s">
        <v>24</v>
      </c>
      <c r="F3943" t="s">
        <v>60</v>
      </c>
      <c r="G3943" t="s">
        <v>77</v>
      </c>
      <c r="H3943" t="s">
        <v>19</v>
      </c>
      <c r="I3943">
        <v>4</v>
      </c>
      <c r="J3943">
        <v>24</v>
      </c>
      <c r="K3943">
        <v>55.99</v>
      </c>
      <c r="L3943">
        <v>0</v>
      </c>
    </row>
    <row r="3944" spans="1:12">
      <c r="A3944" t="s">
        <v>11438</v>
      </c>
      <c r="B3944" t="s">
        <v>11439</v>
      </c>
      <c r="C3944" t="s">
        <v>11440</v>
      </c>
      <c r="D3944" t="s">
        <v>23</v>
      </c>
      <c r="E3944" t="s">
        <v>24</v>
      </c>
      <c r="F3944" t="s">
        <v>29</v>
      </c>
      <c r="G3944" t="s">
        <v>73</v>
      </c>
      <c r="H3944" t="s">
        <v>19</v>
      </c>
      <c r="I3944">
        <v>2</v>
      </c>
      <c r="J3944">
        <v>24</v>
      </c>
      <c r="K3944">
        <v>60.27</v>
      </c>
      <c r="L3944">
        <v>0</v>
      </c>
    </row>
    <row r="3945" spans="1:12">
      <c r="A3945" t="s">
        <v>11441</v>
      </c>
      <c r="B3945" t="s">
        <v>11442</v>
      </c>
      <c r="C3945" t="s">
        <v>11443</v>
      </c>
      <c r="D3945" t="s">
        <v>158</v>
      </c>
      <c r="E3945" t="s">
        <v>16</v>
      </c>
      <c r="F3945" t="s">
        <v>36</v>
      </c>
      <c r="G3945" t="s">
        <v>45</v>
      </c>
      <c r="H3945" t="s">
        <v>31</v>
      </c>
      <c r="I3945">
        <v>4</v>
      </c>
      <c r="J3945">
        <v>4</v>
      </c>
      <c r="K3945">
        <v>1.17</v>
      </c>
      <c r="L3945">
        <v>1</v>
      </c>
    </row>
    <row r="3946" spans="1:12">
      <c r="A3946" t="s">
        <v>11444</v>
      </c>
      <c r="B3946" t="s">
        <v>11445</v>
      </c>
      <c r="C3946" t="s">
        <v>11446</v>
      </c>
      <c r="D3946" t="s">
        <v>35</v>
      </c>
      <c r="E3946" t="s">
        <v>16</v>
      </c>
      <c r="F3946" t="s">
        <v>41</v>
      </c>
      <c r="G3946" t="s">
        <v>105</v>
      </c>
      <c r="H3946" t="s">
        <v>19</v>
      </c>
      <c r="I3946">
        <v>5</v>
      </c>
      <c r="J3946">
        <v>48</v>
      </c>
      <c r="K3946">
        <v>19.55</v>
      </c>
      <c r="L3946">
        <v>1</v>
      </c>
    </row>
    <row r="3947" spans="1:12">
      <c r="A3947" t="s">
        <v>11447</v>
      </c>
      <c r="B3947" t="s">
        <v>11448</v>
      </c>
      <c r="C3947" t="s">
        <v>11449</v>
      </c>
      <c r="D3947" t="s">
        <v>35</v>
      </c>
      <c r="E3947" t="s">
        <v>16</v>
      </c>
      <c r="F3947" t="s">
        <v>60</v>
      </c>
      <c r="G3947" t="s">
        <v>45</v>
      </c>
      <c r="H3947" t="s">
        <v>19</v>
      </c>
      <c r="I3947">
        <v>5</v>
      </c>
      <c r="J3947">
        <v>48</v>
      </c>
      <c r="K3947">
        <v>25.19</v>
      </c>
      <c r="L3947">
        <v>1</v>
      </c>
    </row>
    <row r="3948" spans="1:12">
      <c r="A3948" t="s">
        <v>11450</v>
      </c>
      <c r="B3948" t="s">
        <v>11451</v>
      </c>
      <c r="D3948" t="s">
        <v>15</v>
      </c>
      <c r="E3948" t="s">
        <v>16</v>
      </c>
      <c r="F3948" t="s">
        <v>41</v>
      </c>
      <c r="G3948" t="s">
        <v>18</v>
      </c>
      <c r="H3948" t="s">
        <v>63</v>
      </c>
      <c r="J3948">
        <v>8</v>
      </c>
    </row>
    <row r="3949" spans="1:12">
      <c r="A3949" t="s">
        <v>11452</v>
      </c>
      <c r="B3949" t="s">
        <v>11453</v>
      </c>
      <c r="C3949" t="s">
        <v>11454</v>
      </c>
      <c r="D3949" t="s">
        <v>15</v>
      </c>
      <c r="E3949" t="s">
        <v>28</v>
      </c>
      <c r="F3949" t="s">
        <v>41</v>
      </c>
      <c r="G3949" t="s">
        <v>37</v>
      </c>
      <c r="H3949" t="s">
        <v>19</v>
      </c>
      <c r="I3949">
        <v>4</v>
      </c>
      <c r="J3949">
        <v>8</v>
      </c>
      <c r="K3949">
        <v>4.04</v>
      </c>
      <c r="L3949">
        <v>1</v>
      </c>
    </row>
    <row r="3950" spans="1:12">
      <c r="A3950" t="s">
        <v>11455</v>
      </c>
      <c r="B3950" t="s">
        <v>11456</v>
      </c>
      <c r="C3950" t="s">
        <v>11457</v>
      </c>
      <c r="D3950" t="s">
        <v>23</v>
      </c>
      <c r="E3950" t="s">
        <v>54</v>
      </c>
      <c r="F3950" t="s">
        <v>36</v>
      </c>
      <c r="G3950" t="s">
        <v>18</v>
      </c>
      <c r="H3950" t="s">
        <v>31</v>
      </c>
      <c r="I3950">
        <v>5</v>
      </c>
      <c r="J3950">
        <v>24</v>
      </c>
      <c r="K3950">
        <v>12.3</v>
      </c>
      <c r="L3950">
        <v>1</v>
      </c>
    </row>
    <row r="3951" spans="1:12">
      <c r="A3951" t="s">
        <v>11458</v>
      </c>
      <c r="B3951" t="s">
        <v>11459</v>
      </c>
      <c r="D3951" t="s">
        <v>23</v>
      </c>
      <c r="E3951" t="s">
        <v>28</v>
      </c>
      <c r="F3951" t="s">
        <v>60</v>
      </c>
      <c r="G3951" t="s">
        <v>30</v>
      </c>
      <c r="H3951" t="s">
        <v>63</v>
      </c>
      <c r="J3951">
        <v>24</v>
      </c>
    </row>
    <row r="3952" spans="1:12">
      <c r="A3952" t="s">
        <v>11460</v>
      </c>
      <c r="B3952" t="s">
        <v>11461</v>
      </c>
      <c r="C3952" t="s">
        <v>11462</v>
      </c>
      <c r="D3952" t="s">
        <v>23</v>
      </c>
      <c r="E3952" t="s">
        <v>28</v>
      </c>
      <c r="F3952" t="s">
        <v>41</v>
      </c>
      <c r="G3952" t="s">
        <v>50</v>
      </c>
      <c r="H3952" t="s">
        <v>31</v>
      </c>
      <c r="I3952">
        <v>3</v>
      </c>
      <c r="J3952">
        <v>24</v>
      </c>
      <c r="K3952">
        <v>14.8</v>
      </c>
      <c r="L3952">
        <v>1</v>
      </c>
    </row>
    <row r="3953" spans="1:12">
      <c r="A3953" t="s">
        <v>11463</v>
      </c>
      <c r="B3953" t="s">
        <v>11464</v>
      </c>
      <c r="C3953" t="s">
        <v>11465</v>
      </c>
      <c r="D3953" t="s">
        <v>23</v>
      </c>
      <c r="E3953" t="s">
        <v>28</v>
      </c>
      <c r="F3953" t="s">
        <v>29</v>
      </c>
      <c r="G3953" t="s">
        <v>30</v>
      </c>
      <c r="H3953" t="s">
        <v>19</v>
      </c>
      <c r="I3953">
        <v>4</v>
      </c>
      <c r="J3953">
        <v>24</v>
      </c>
      <c r="K3953">
        <v>6.97</v>
      </c>
      <c r="L3953">
        <v>1</v>
      </c>
    </row>
    <row r="3954" spans="1:12">
      <c r="A3954" t="s">
        <v>11466</v>
      </c>
      <c r="B3954" t="s">
        <v>11467</v>
      </c>
      <c r="C3954" t="s">
        <v>11468</v>
      </c>
      <c r="D3954" t="s">
        <v>23</v>
      </c>
      <c r="E3954" t="s">
        <v>24</v>
      </c>
      <c r="F3954" t="s">
        <v>29</v>
      </c>
      <c r="G3954" t="s">
        <v>73</v>
      </c>
      <c r="H3954" t="s">
        <v>31</v>
      </c>
      <c r="I3954">
        <v>5</v>
      </c>
      <c r="J3954">
        <v>24</v>
      </c>
      <c r="K3954">
        <v>7.52</v>
      </c>
      <c r="L3954">
        <v>1</v>
      </c>
    </row>
    <row r="3955" spans="1:12">
      <c r="A3955" t="s">
        <v>11469</v>
      </c>
      <c r="B3955" t="s">
        <v>11470</v>
      </c>
      <c r="C3955" t="s">
        <v>11471</v>
      </c>
      <c r="D3955" t="s">
        <v>158</v>
      </c>
      <c r="E3955" t="s">
        <v>59</v>
      </c>
      <c r="F3955" t="s">
        <v>60</v>
      </c>
      <c r="G3955" t="s">
        <v>30</v>
      </c>
      <c r="H3955" t="s">
        <v>19</v>
      </c>
      <c r="I3955">
        <v>2</v>
      </c>
      <c r="J3955">
        <v>4</v>
      </c>
      <c r="K3955">
        <v>8.2899999999999991</v>
      </c>
      <c r="L3955">
        <v>0</v>
      </c>
    </row>
    <row r="3956" spans="1:12">
      <c r="A3956" t="s">
        <v>11472</v>
      </c>
      <c r="B3956" t="s">
        <v>11473</v>
      </c>
      <c r="C3956" t="s">
        <v>11474</v>
      </c>
      <c r="D3956" t="s">
        <v>35</v>
      </c>
      <c r="E3956" t="s">
        <v>16</v>
      </c>
      <c r="F3956" t="s">
        <v>29</v>
      </c>
      <c r="G3956" t="s">
        <v>50</v>
      </c>
      <c r="H3956" t="s">
        <v>31</v>
      </c>
      <c r="I3956">
        <v>5</v>
      </c>
      <c r="J3956">
        <v>48</v>
      </c>
      <c r="K3956">
        <v>39.04</v>
      </c>
      <c r="L3956">
        <v>1</v>
      </c>
    </row>
    <row r="3957" spans="1:12">
      <c r="A3957" t="s">
        <v>11475</v>
      </c>
      <c r="B3957" t="s">
        <v>11476</v>
      </c>
      <c r="C3957" t="s">
        <v>11477</v>
      </c>
      <c r="D3957" t="s">
        <v>23</v>
      </c>
      <c r="E3957" t="s">
        <v>59</v>
      </c>
      <c r="F3957" t="s">
        <v>29</v>
      </c>
      <c r="G3957" t="s">
        <v>50</v>
      </c>
      <c r="H3957" t="s">
        <v>19</v>
      </c>
      <c r="I3957">
        <v>4</v>
      </c>
      <c r="J3957">
        <v>24</v>
      </c>
      <c r="K3957">
        <v>2.95</v>
      </c>
      <c r="L3957">
        <v>1</v>
      </c>
    </row>
    <row r="3958" spans="1:12">
      <c r="A3958" t="s">
        <v>11478</v>
      </c>
      <c r="B3958" t="s">
        <v>11479</v>
      </c>
      <c r="C3958" t="s">
        <v>11480</v>
      </c>
      <c r="D3958" t="s">
        <v>23</v>
      </c>
      <c r="E3958" t="s">
        <v>28</v>
      </c>
      <c r="F3958" t="s">
        <v>17</v>
      </c>
      <c r="G3958" t="s">
        <v>37</v>
      </c>
      <c r="H3958" t="s">
        <v>19</v>
      </c>
      <c r="I3958">
        <v>2</v>
      </c>
      <c r="J3958">
        <v>24</v>
      </c>
      <c r="K3958">
        <v>52.53</v>
      </c>
      <c r="L3958">
        <v>0</v>
      </c>
    </row>
    <row r="3959" spans="1:12">
      <c r="A3959" t="s">
        <v>11481</v>
      </c>
      <c r="B3959" t="s">
        <v>11482</v>
      </c>
      <c r="C3959" t="s">
        <v>11483</v>
      </c>
      <c r="D3959" t="s">
        <v>35</v>
      </c>
      <c r="E3959" t="s">
        <v>16</v>
      </c>
      <c r="F3959" t="s">
        <v>41</v>
      </c>
      <c r="G3959" t="s">
        <v>73</v>
      </c>
      <c r="H3959" t="s">
        <v>19</v>
      </c>
      <c r="I3959">
        <v>4</v>
      </c>
      <c r="J3959">
        <v>48</v>
      </c>
      <c r="K3959">
        <v>11.88</v>
      </c>
      <c r="L3959">
        <v>1</v>
      </c>
    </row>
    <row r="3960" spans="1:12">
      <c r="A3960" t="s">
        <v>11484</v>
      </c>
      <c r="B3960" t="s">
        <v>11485</v>
      </c>
      <c r="D3960" t="s">
        <v>23</v>
      </c>
      <c r="E3960" t="s">
        <v>54</v>
      </c>
      <c r="F3960" t="s">
        <v>17</v>
      </c>
      <c r="G3960" t="s">
        <v>45</v>
      </c>
      <c r="H3960" t="s">
        <v>63</v>
      </c>
      <c r="J3960">
        <v>24</v>
      </c>
    </row>
    <row r="3961" spans="1:12">
      <c r="A3961" t="s">
        <v>11486</v>
      </c>
      <c r="B3961" t="s">
        <v>11487</v>
      </c>
      <c r="D3961" t="s">
        <v>35</v>
      </c>
      <c r="E3961" t="s">
        <v>24</v>
      </c>
      <c r="F3961" t="s">
        <v>29</v>
      </c>
      <c r="G3961" t="s">
        <v>172</v>
      </c>
      <c r="H3961" t="s">
        <v>63</v>
      </c>
      <c r="J3961">
        <v>48</v>
      </c>
    </row>
    <row r="3962" spans="1:12">
      <c r="A3962" t="s">
        <v>11488</v>
      </c>
      <c r="B3962" t="s">
        <v>11489</v>
      </c>
      <c r="C3962" t="s">
        <v>11490</v>
      </c>
      <c r="D3962" t="s">
        <v>23</v>
      </c>
      <c r="E3962" t="s">
        <v>24</v>
      </c>
      <c r="F3962" t="s">
        <v>41</v>
      </c>
      <c r="G3962" t="s">
        <v>50</v>
      </c>
      <c r="H3962" t="s">
        <v>19</v>
      </c>
      <c r="I3962">
        <v>5</v>
      </c>
      <c r="J3962">
        <v>24</v>
      </c>
      <c r="K3962">
        <v>9.25</v>
      </c>
      <c r="L3962">
        <v>1</v>
      </c>
    </row>
    <row r="3963" spans="1:12">
      <c r="A3963" t="s">
        <v>11491</v>
      </c>
      <c r="B3963" t="s">
        <v>11492</v>
      </c>
      <c r="C3963" t="s">
        <v>11493</v>
      </c>
      <c r="D3963" t="s">
        <v>35</v>
      </c>
      <c r="E3963" t="s">
        <v>28</v>
      </c>
      <c r="F3963" t="s">
        <v>41</v>
      </c>
      <c r="G3963" t="s">
        <v>18</v>
      </c>
      <c r="H3963" t="s">
        <v>31</v>
      </c>
      <c r="I3963">
        <v>4</v>
      </c>
      <c r="J3963">
        <v>48</v>
      </c>
      <c r="K3963">
        <v>38.94</v>
      </c>
      <c r="L3963">
        <v>1</v>
      </c>
    </row>
    <row r="3964" spans="1:12">
      <c r="A3964" t="s">
        <v>11494</v>
      </c>
      <c r="B3964" t="s">
        <v>11495</v>
      </c>
      <c r="C3964" t="s">
        <v>11496</v>
      </c>
      <c r="D3964" t="s">
        <v>35</v>
      </c>
      <c r="E3964" t="s">
        <v>28</v>
      </c>
      <c r="F3964" t="s">
        <v>29</v>
      </c>
      <c r="G3964" t="s">
        <v>37</v>
      </c>
      <c r="H3964" t="s">
        <v>19</v>
      </c>
      <c r="I3964">
        <v>5</v>
      </c>
      <c r="J3964">
        <v>48</v>
      </c>
      <c r="K3964">
        <v>40.19</v>
      </c>
      <c r="L3964">
        <v>1</v>
      </c>
    </row>
    <row r="3965" spans="1:12">
      <c r="A3965" t="s">
        <v>11497</v>
      </c>
      <c r="B3965" t="s">
        <v>11498</v>
      </c>
      <c r="C3965" t="s">
        <v>11499</v>
      </c>
      <c r="D3965" t="s">
        <v>23</v>
      </c>
      <c r="E3965" t="s">
        <v>24</v>
      </c>
      <c r="F3965" t="s">
        <v>60</v>
      </c>
      <c r="G3965" t="s">
        <v>172</v>
      </c>
      <c r="H3965" t="s">
        <v>31</v>
      </c>
      <c r="I3965">
        <v>5</v>
      </c>
      <c r="J3965">
        <v>24</v>
      </c>
      <c r="K3965">
        <v>21.61</v>
      </c>
      <c r="L3965">
        <v>1</v>
      </c>
    </row>
    <row r="3966" spans="1:12">
      <c r="A3966" t="s">
        <v>11500</v>
      </c>
      <c r="B3966" t="s">
        <v>11501</v>
      </c>
      <c r="C3966" t="s">
        <v>11502</v>
      </c>
      <c r="D3966" t="s">
        <v>35</v>
      </c>
      <c r="E3966" t="s">
        <v>16</v>
      </c>
      <c r="F3966" t="s">
        <v>60</v>
      </c>
      <c r="G3966" t="s">
        <v>45</v>
      </c>
      <c r="H3966" t="s">
        <v>31</v>
      </c>
      <c r="I3966">
        <v>4</v>
      </c>
      <c r="J3966">
        <v>48</v>
      </c>
      <c r="K3966">
        <v>136.12</v>
      </c>
      <c r="L3966">
        <v>0</v>
      </c>
    </row>
    <row r="3967" spans="1:12">
      <c r="A3967" t="s">
        <v>11503</v>
      </c>
      <c r="B3967" t="s">
        <v>11504</v>
      </c>
      <c r="C3967" t="s">
        <v>11505</v>
      </c>
      <c r="D3967" t="s">
        <v>15</v>
      </c>
      <c r="E3967" t="s">
        <v>16</v>
      </c>
      <c r="F3967" t="s">
        <v>36</v>
      </c>
      <c r="G3967" t="s">
        <v>73</v>
      </c>
      <c r="H3967" t="s">
        <v>19</v>
      </c>
      <c r="I3967">
        <v>4</v>
      </c>
      <c r="J3967">
        <v>8</v>
      </c>
      <c r="K3967">
        <v>3.49</v>
      </c>
      <c r="L3967">
        <v>1</v>
      </c>
    </row>
    <row r="3968" spans="1:12">
      <c r="A3968" t="s">
        <v>11506</v>
      </c>
      <c r="B3968" t="s">
        <v>11507</v>
      </c>
      <c r="C3968" t="s">
        <v>11508</v>
      </c>
      <c r="D3968" t="s">
        <v>35</v>
      </c>
      <c r="E3968" t="s">
        <v>16</v>
      </c>
      <c r="F3968" t="s">
        <v>29</v>
      </c>
      <c r="G3968" t="s">
        <v>55</v>
      </c>
      <c r="H3968" t="s">
        <v>19</v>
      </c>
      <c r="I3968">
        <v>2</v>
      </c>
      <c r="J3968">
        <v>48</v>
      </c>
      <c r="K3968">
        <v>75.099999999999994</v>
      </c>
      <c r="L3968">
        <v>0</v>
      </c>
    </row>
    <row r="3969" spans="1:12">
      <c r="A3969" t="s">
        <v>11509</v>
      </c>
      <c r="B3969" t="s">
        <v>11510</v>
      </c>
      <c r="C3969" t="s">
        <v>11511</v>
      </c>
      <c r="D3969" t="s">
        <v>23</v>
      </c>
      <c r="E3969" t="s">
        <v>28</v>
      </c>
      <c r="F3969" t="s">
        <v>60</v>
      </c>
      <c r="G3969" t="s">
        <v>45</v>
      </c>
      <c r="H3969" t="s">
        <v>31</v>
      </c>
      <c r="I3969">
        <v>5</v>
      </c>
      <c r="J3969">
        <v>24</v>
      </c>
      <c r="K3969">
        <v>22.24</v>
      </c>
      <c r="L3969">
        <v>1</v>
      </c>
    </row>
    <row r="3970" spans="1:12">
      <c r="A3970" t="s">
        <v>11512</v>
      </c>
      <c r="B3970" t="s">
        <v>11513</v>
      </c>
      <c r="C3970" t="s">
        <v>11514</v>
      </c>
      <c r="D3970" t="s">
        <v>23</v>
      </c>
      <c r="E3970" t="s">
        <v>54</v>
      </c>
      <c r="F3970" t="s">
        <v>17</v>
      </c>
      <c r="G3970" t="s">
        <v>45</v>
      </c>
      <c r="H3970" t="s">
        <v>31</v>
      </c>
      <c r="I3970">
        <v>2</v>
      </c>
      <c r="J3970">
        <v>24</v>
      </c>
      <c r="K3970">
        <v>65.61</v>
      </c>
      <c r="L3970">
        <v>0</v>
      </c>
    </row>
    <row r="3971" spans="1:12">
      <c r="A3971" t="s">
        <v>11515</v>
      </c>
      <c r="B3971" t="s">
        <v>11516</v>
      </c>
      <c r="C3971" t="s">
        <v>11517</v>
      </c>
      <c r="D3971" t="s">
        <v>23</v>
      </c>
      <c r="E3971" t="s">
        <v>28</v>
      </c>
      <c r="F3971" t="s">
        <v>29</v>
      </c>
      <c r="G3971" t="s">
        <v>18</v>
      </c>
      <c r="H3971" t="s">
        <v>19</v>
      </c>
      <c r="I3971">
        <v>5</v>
      </c>
      <c r="J3971">
        <v>24</v>
      </c>
      <c r="K3971">
        <v>15.61</v>
      </c>
      <c r="L3971">
        <v>1</v>
      </c>
    </row>
    <row r="3972" spans="1:12">
      <c r="A3972" t="s">
        <v>11518</v>
      </c>
      <c r="B3972" t="s">
        <v>11519</v>
      </c>
      <c r="C3972" t="s">
        <v>11520</v>
      </c>
      <c r="D3972" t="s">
        <v>23</v>
      </c>
      <c r="E3972" t="s">
        <v>16</v>
      </c>
      <c r="F3972" t="s">
        <v>60</v>
      </c>
      <c r="G3972" t="s">
        <v>37</v>
      </c>
      <c r="H3972" t="s">
        <v>19</v>
      </c>
      <c r="I3972">
        <v>4</v>
      </c>
      <c r="J3972">
        <v>24</v>
      </c>
      <c r="K3972">
        <v>15.12</v>
      </c>
      <c r="L3972">
        <v>1</v>
      </c>
    </row>
    <row r="3973" spans="1:12">
      <c r="A3973" t="s">
        <v>11521</v>
      </c>
      <c r="B3973" t="s">
        <v>11522</v>
      </c>
      <c r="C3973" t="s">
        <v>11523</v>
      </c>
      <c r="D3973" t="s">
        <v>15</v>
      </c>
      <c r="E3973" t="s">
        <v>16</v>
      </c>
      <c r="F3973" t="s">
        <v>29</v>
      </c>
      <c r="G3973" t="s">
        <v>45</v>
      </c>
      <c r="H3973" t="s">
        <v>31</v>
      </c>
      <c r="I3973">
        <v>2</v>
      </c>
      <c r="J3973">
        <v>8</v>
      </c>
      <c r="K3973">
        <v>20.46</v>
      </c>
      <c r="L3973">
        <v>0</v>
      </c>
    </row>
    <row r="3974" spans="1:12">
      <c r="A3974" t="s">
        <v>11524</v>
      </c>
      <c r="B3974" t="s">
        <v>11525</v>
      </c>
      <c r="C3974" t="s">
        <v>11526</v>
      </c>
      <c r="D3974" t="s">
        <v>23</v>
      </c>
      <c r="E3974" t="s">
        <v>28</v>
      </c>
      <c r="F3974" t="s">
        <v>17</v>
      </c>
      <c r="G3974" t="s">
        <v>105</v>
      </c>
      <c r="H3974" t="s">
        <v>19</v>
      </c>
      <c r="I3974">
        <v>1</v>
      </c>
      <c r="J3974">
        <v>24</v>
      </c>
      <c r="K3974">
        <v>52.36</v>
      </c>
      <c r="L3974">
        <v>0</v>
      </c>
    </row>
    <row r="3975" spans="1:12">
      <c r="A3975" t="s">
        <v>11527</v>
      </c>
      <c r="B3975" t="s">
        <v>11528</v>
      </c>
      <c r="D3975" t="s">
        <v>15</v>
      </c>
      <c r="E3975" t="s">
        <v>28</v>
      </c>
      <c r="F3975" t="s">
        <v>41</v>
      </c>
      <c r="G3975" t="s">
        <v>45</v>
      </c>
      <c r="H3975" t="s">
        <v>46</v>
      </c>
      <c r="J3975">
        <v>8</v>
      </c>
    </row>
    <row r="3976" spans="1:12">
      <c r="A3976" t="s">
        <v>11529</v>
      </c>
      <c r="B3976" t="s">
        <v>11530</v>
      </c>
      <c r="C3976" t="s">
        <v>11531</v>
      </c>
      <c r="D3976" t="s">
        <v>158</v>
      </c>
      <c r="E3976" t="s">
        <v>59</v>
      </c>
      <c r="F3976" t="s">
        <v>36</v>
      </c>
      <c r="G3976" t="s">
        <v>50</v>
      </c>
      <c r="H3976" t="s">
        <v>19</v>
      </c>
      <c r="I3976">
        <v>5</v>
      </c>
      <c r="J3976">
        <v>4</v>
      </c>
      <c r="K3976">
        <v>3.69</v>
      </c>
      <c r="L3976">
        <v>1</v>
      </c>
    </row>
    <row r="3977" spans="1:12">
      <c r="A3977" t="s">
        <v>11532</v>
      </c>
      <c r="B3977" t="s">
        <v>11533</v>
      </c>
      <c r="C3977" t="s">
        <v>11534</v>
      </c>
      <c r="D3977" t="s">
        <v>23</v>
      </c>
      <c r="E3977" t="s">
        <v>16</v>
      </c>
      <c r="F3977" t="s">
        <v>41</v>
      </c>
      <c r="G3977" t="s">
        <v>18</v>
      </c>
      <c r="H3977" t="s">
        <v>19</v>
      </c>
      <c r="I3977">
        <v>1</v>
      </c>
      <c r="J3977">
        <v>24</v>
      </c>
      <c r="K3977">
        <v>37.25</v>
      </c>
      <c r="L3977">
        <v>0</v>
      </c>
    </row>
    <row r="3978" spans="1:12">
      <c r="A3978" t="s">
        <v>11535</v>
      </c>
      <c r="B3978" t="s">
        <v>11536</v>
      </c>
      <c r="C3978" t="s">
        <v>11537</v>
      </c>
      <c r="D3978" t="s">
        <v>158</v>
      </c>
      <c r="E3978" t="s">
        <v>16</v>
      </c>
      <c r="F3978" t="s">
        <v>17</v>
      </c>
      <c r="G3978" t="s">
        <v>37</v>
      </c>
      <c r="H3978" t="s">
        <v>19</v>
      </c>
      <c r="I3978">
        <v>5</v>
      </c>
      <c r="J3978">
        <v>4</v>
      </c>
      <c r="K3978">
        <v>2.21</v>
      </c>
      <c r="L3978">
        <v>1</v>
      </c>
    </row>
    <row r="3979" spans="1:12">
      <c r="A3979" t="s">
        <v>11538</v>
      </c>
      <c r="B3979" t="s">
        <v>11539</v>
      </c>
      <c r="C3979" t="s">
        <v>11540</v>
      </c>
      <c r="D3979" t="s">
        <v>15</v>
      </c>
      <c r="E3979" t="s">
        <v>16</v>
      </c>
      <c r="F3979" t="s">
        <v>41</v>
      </c>
      <c r="G3979" t="s">
        <v>50</v>
      </c>
      <c r="H3979" t="s">
        <v>19</v>
      </c>
      <c r="I3979">
        <v>5</v>
      </c>
      <c r="J3979">
        <v>8</v>
      </c>
      <c r="K3979">
        <v>5.5</v>
      </c>
      <c r="L3979">
        <v>1</v>
      </c>
    </row>
    <row r="3980" spans="1:12">
      <c r="A3980" t="s">
        <v>11541</v>
      </c>
      <c r="B3980" t="s">
        <v>11542</v>
      </c>
      <c r="C3980" t="s">
        <v>11543</v>
      </c>
      <c r="D3980" t="s">
        <v>23</v>
      </c>
      <c r="E3980" t="s">
        <v>28</v>
      </c>
      <c r="F3980" t="s">
        <v>36</v>
      </c>
      <c r="G3980" t="s">
        <v>18</v>
      </c>
      <c r="H3980" t="s">
        <v>19</v>
      </c>
      <c r="I3980">
        <v>2</v>
      </c>
      <c r="J3980">
        <v>24</v>
      </c>
      <c r="K3980">
        <v>31.59</v>
      </c>
      <c r="L3980">
        <v>0</v>
      </c>
    </row>
    <row r="3981" spans="1:12">
      <c r="A3981" t="s">
        <v>11544</v>
      </c>
      <c r="B3981" t="s">
        <v>11545</v>
      </c>
      <c r="C3981" t="s">
        <v>11546</v>
      </c>
      <c r="D3981" t="s">
        <v>23</v>
      </c>
      <c r="E3981" t="s">
        <v>28</v>
      </c>
      <c r="F3981" t="s">
        <v>29</v>
      </c>
      <c r="G3981" t="s">
        <v>42</v>
      </c>
      <c r="H3981" t="s">
        <v>19</v>
      </c>
      <c r="I3981">
        <v>5</v>
      </c>
      <c r="J3981">
        <v>24</v>
      </c>
      <c r="K3981">
        <v>3.5</v>
      </c>
      <c r="L3981">
        <v>1</v>
      </c>
    </row>
    <row r="3982" spans="1:12">
      <c r="A3982" t="s">
        <v>11547</v>
      </c>
      <c r="B3982" t="s">
        <v>11548</v>
      </c>
      <c r="C3982" t="s">
        <v>11549</v>
      </c>
      <c r="D3982" t="s">
        <v>15</v>
      </c>
      <c r="E3982" t="s">
        <v>16</v>
      </c>
      <c r="F3982" t="s">
        <v>36</v>
      </c>
      <c r="G3982" t="s">
        <v>42</v>
      </c>
      <c r="H3982" t="s">
        <v>19</v>
      </c>
      <c r="I3982">
        <v>4</v>
      </c>
      <c r="J3982">
        <v>8</v>
      </c>
      <c r="K3982">
        <v>3.77</v>
      </c>
      <c r="L3982">
        <v>1</v>
      </c>
    </row>
    <row r="3983" spans="1:12">
      <c r="A3983" t="s">
        <v>11550</v>
      </c>
      <c r="B3983" t="s">
        <v>11551</v>
      </c>
      <c r="C3983" t="s">
        <v>11552</v>
      </c>
      <c r="D3983" t="s">
        <v>15</v>
      </c>
      <c r="E3983" t="s">
        <v>16</v>
      </c>
      <c r="F3983" t="s">
        <v>29</v>
      </c>
      <c r="G3983" t="s">
        <v>42</v>
      </c>
      <c r="H3983" t="s">
        <v>19</v>
      </c>
      <c r="I3983">
        <v>3</v>
      </c>
      <c r="J3983">
        <v>8</v>
      </c>
      <c r="K3983">
        <v>12.49</v>
      </c>
      <c r="L3983">
        <v>0</v>
      </c>
    </row>
    <row r="3984" spans="1:12">
      <c r="A3984" t="s">
        <v>11553</v>
      </c>
      <c r="B3984" t="s">
        <v>11554</v>
      </c>
      <c r="D3984" t="s">
        <v>23</v>
      </c>
      <c r="E3984" t="s">
        <v>28</v>
      </c>
      <c r="F3984" t="s">
        <v>60</v>
      </c>
      <c r="G3984" t="s">
        <v>18</v>
      </c>
      <c r="H3984" t="s">
        <v>46</v>
      </c>
      <c r="J3984">
        <v>24</v>
      </c>
    </row>
    <row r="3985" spans="1:12">
      <c r="A3985" t="s">
        <v>11555</v>
      </c>
      <c r="B3985" t="s">
        <v>11556</v>
      </c>
      <c r="C3985" t="s">
        <v>11557</v>
      </c>
      <c r="D3985" t="s">
        <v>35</v>
      </c>
      <c r="E3985" t="s">
        <v>28</v>
      </c>
      <c r="F3985" t="s">
        <v>29</v>
      </c>
      <c r="G3985" t="s">
        <v>45</v>
      </c>
      <c r="H3985" t="s">
        <v>19</v>
      </c>
      <c r="I3985">
        <v>4</v>
      </c>
      <c r="J3985">
        <v>48</v>
      </c>
      <c r="K3985">
        <v>39.979999999999997</v>
      </c>
      <c r="L3985">
        <v>1</v>
      </c>
    </row>
    <row r="3986" spans="1:12">
      <c r="A3986" t="s">
        <v>11558</v>
      </c>
      <c r="B3986" t="s">
        <v>11559</v>
      </c>
      <c r="C3986" t="s">
        <v>11560</v>
      </c>
      <c r="D3986" t="s">
        <v>35</v>
      </c>
      <c r="E3986" t="s">
        <v>28</v>
      </c>
      <c r="F3986" t="s">
        <v>17</v>
      </c>
      <c r="G3986" t="s">
        <v>172</v>
      </c>
      <c r="H3986" t="s">
        <v>19</v>
      </c>
      <c r="I3986">
        <v>5</v>
      </c>
      <c r="J3986">
        <v>48</v>
      </c>
      <c r="K3986">
        <v>18.829999999999998</v>
      </c>
      <c r="L3986">
        <v>1</v>
      </c>
    </row>
    <row r="3987" spans="1:12">
      <c r="A3987" t="s">
        <v>11561</v>
      </c>
      <c r="B3987" t="s">
        <v>11562</v>
      </c>
      <c r="C3987" t="s">
        <v>11563</v>
      </c>
      <c r="D3987" t="s">
        <v>23</v>
      </c>
      <c r="E3987" t="s">
        <v>28</v>
      </c>
      <c r="F3987" t="s">
        <v>17</v>
      </c>
      <c r="G3987" t="s">
        <v>50</v>
      </c>
      <c r="H3987" t="s">
        <v>19</v>
      </c>
      <c r="I3987">
        <v>4</v>
      </c>
      <c r="J3987">
        <v>24</v>
      </c>
      <c r="K3987">
        <v>13.17</v>
      </c>
      <c r="L3987">
        <v>1</v>
      </c>
    </row>
    <row r="3988" spans="1:12">
      <c r="A3988" t="s">
        <v>11564</v>
      </c>
      <c r="B3988" t="s">
        <v>11565</v>
      </c>
      <c r="D3988" t="s">
        <v>23</v>
      </c>
      <c r="E3988" t="s">
        <v>28</v>
      </c>
      <c r="F3988" t="s">
        <v>60</v>
      </c>
      <c r="G3988" t="s">
        <v>151</v>
      </c>
      <c r="H3988" t="s">
        <v>63</v>
      </c>
      <c r="J3988">
        <v>24</v>
      </c>
    </row>
    <row r="3989" spans="1:12">
      <c r="A3989" t="s">
        <v>11566</v>
      </c>
      <c r="B3989" t="s">
        <v>11567</v>
      </c>
      <c r="C3989" t="s">
        <v>11568</v>
      </c>
      <c r="D3989" t="s">
        <v>23</v>
      </c>
      <c r="E3989" t="s">
        <v>28</v>
      </c>
      <c r="F3989" t="s">
        <v>41</v>
      </c>
      <c r="G3989" t="s">
        <v>42</v>
      </c>
      <c r="H3989" t="s">
        <v>31</v>
      </c>
      <c r="I3989">
        <v>4</v>
      </c>
      <c r="J3989">
        <v>24</v>
      </c>
      <c r="K3989">
        <v>5</v>
      </c>
      <c r="L3989">
        <v>1</v>
      </c>
    </row>
    <row r="3990" spans="1:12">
      <c r="A3990" t="s">
        <v>11569</v>
      </c>
      <c r="B3990" t="s">
        <v>11570</v>
      </c>
      <c r="D3990" t="s">
        <v>23</v>
      </c>
      <c r="E3990" t="s">
        <v>54</v>
      </c>
      <c r="F3990" t="s">
        <v>60</v>
      </c>
      <c r="G3990" t="s">
        <v>45</v>
      </c>
      <c r="H3990" t="s">
        <v>63</v>
      </c>
      <c r="J3990">
        <v>24</v>
      </c>
    </row>
    <row r="3991" spans="1:12">
      <c r="A3991" t="s">
        <v>11571</v>
      </c>
      <c r="B3991" t="s">
        <v>11572</v>
      </c>
      <c r="C3991" t="s">
        <v>11573</v>
      </c>
      <c r="D3991" t="s">
        <v>23</v>
      </c>
      <c r="E3991" t="s">
        <v>59</v>
      </c>
      <c r="F3991" t="s">
        <v>17</v>
      </c>
      <c r="G3991" t="s">
        <v>50</v>
      </c>
      <c r="H3991" t="s">
        <v>19</v>
      </c>
      <c r="I3991">
        <v>5</v>
      </c>
      <c r="J3991">
        <v>24</v>
      </c>
      <c r="K3991">
        <v>2.58</v>
      </c>
      <c r="L3991">
        <v>1</v>
      </c>
    </row>
    <row r="3992" spans="1:12">
      <c r="A3992" t="s">
        <v>11574</v>
      </c>
      <c r="B3992" t="s">
        <v>11575</v>
      </c>
      <c r="C3992" t="s">
        <v>11576</v>
      </c>
      <c r="D3992" t="s">
        <v>23</v>
      </c>
      <c r="E3992" t="s">
        <v>24</v>
      </c>
      <c r="F3992" t="s">
        <v>60</v>
      </c>
      <c r="G3992" t="s">
        <v>42</v>
      </c>
      <c r="H3992" t="s">
        <v>31</v>
      </c>
      <c r="I3992">
        <v>5</v>
      </c>
      <c r="J3992">
        <v>24</v>
      </c>
      <c r="K3992">
        <v>17.78</v>
      </c>
      <c r="L3992">
        <v>1</v>
      </c>
    </row>
    <row r="3993" spans="1:12">
      <c r="A3993" t="s">
        <v>11577</v>
      </c>
      <c r="B3993" t="s">
        <v>11578</v>
      </c>
      <c r="C3993" t="s">
        <v>11579</v>
      </c>
      <c r="D3993" t="s">
        <v>15</v>
      </c>
      <c r="E3993" t="s">
        <v>24</v>
      </c>
      <c r="F3993" t="s">
        <v>41</v>
      </c>
      <c r="G3993" t="s">
        <v>45</v>
      </c>
      <c r="H3993" t="s">
        <v>19</v>
      </c>
      <c r="I3993">
        <v>4</v>
      </c>
      <c r="J3993">
        <v>8</v>
      </c>
      <c r="K3993">
        <v>3.89</v>
      </c>
      <c r="L3993">
        <v>1</v>
      </c>
    </row>
    <row r="3994" spans="1:12">
      <c r="A3994" t="s">
        <v>11580</v>
      </c>
      <c r="B3994" t="s">
        <v>11581</v>
      </c>
      <c r="C3994" t="s">
        <v>11582</v>
      </c>
      <c r="D3994" t="s">
        <v>23</v>
      </c>
      <c r="E3994" t="s">
        <v>28</v>
      </c>
      <c r="F3994" t="s">
        <v>60</v>
      </c>
      <c r="G3994" t="s">
        <v>105</v>
      </c>
      <c r="H3994" t="s">
        <v>19</v>
      </c>
      <c r="I3994">
        <v>1</v>
      </c>
      <c r="J3994">
        <v>24</v>
      </c>
      <c r="K3994">
        <v>62.9</v>
      </c>
      <c r="L3994">
        <v>0</v>
      </c>
    </row>
    <row r="3995" spans="1:12">
      <c r="A3995" t="s">
        <v>11583</v>
      </c>
      <c r="B3995" t="s">
        <v>11584</v>
      </c>
      <c r="D3995" t="s">
        <v>35</v>
      </c>
      <c r="E3995" t="s">
        <v>28</v>
      </c>
      <c r="F3995" t="s">
        <v>17</v>
      </c>
      <c r="G3995" t="s">
        <v>37</v>
      </c>
      <c r="H3995" t="s">
        <v>63</v>
      </c>
      <c r="J3995">
        <v>48</v>
      </c>
    </row>
    <row r="3996" spans="1:12">
      <c r="A3996" t="s">
        <v>11585</v>
      </c>
      <c r="B3996" t="s">
        <v>11586</v>
      </c>
      <c r="C3996" t="s">
        <v>11587</v>
      </c>
      <c r="D3996" t="s">
        <v>23</v>
      </c>
      <c r="E3996" t="s">
        <v>54</v>
      </c>
      <c r="F3996" t="s">
        <v>36</v>
      </c>
      <c r="G3996" t="s">
        <v>45</v>
      </c>
      <c r="H3996" t="s">
        <v>31</v>
      </c>
      <c r="I3996">
        <v>5</v>
      </c>
      <c r="J3996">
        <v>24</v>
      </c>
      <c r="K3996">
        <v>12.18</v>
      </c>
      <c r="L3996">
        <v>1</v>
      </c>
    </row>
    <row r="3997" spans="1:12">
      <c r="A3997" t="s">
        <v>11588</v>
      </c>
      <c r="B3997" t="s">
        <v>11589</v>
      </c>
      <c r="C3997" t="s">
        <v>11590</v>
      </c>
      <c r="D3997" t="s">
        <v>158</v>
      </c>
      <c r="E3997" t="s">
        <v>24</v>
      </c>
      <c r="F3997" t="s">
        <v>41</v>
      </c>
      <c r="G3997" t="s">
        <v>77</v>
      </c>
      <c r="H3997" t="s">
        <v>31</v>
      </c>
      <c r="I3997">
        <v>5</v>
      </c>
      <c r="J3997">
        <v>4</v>
      </c>
      <c r="K3997">
        <v>3.09</v>
      </c>
      <c r="L3997">
        <v>1</v>
      </c>
    </row>
    <row r="3998" spans="1:12">
      <c r="A3998" t="s">
        <v>11591</v>
      </c>
      <c r="B3998" t="s">
        <v>11592</v>
      </c>
      <c r="C3998" t="s">
        <v>11593</v>
      </c>
      <c r="D3998" t="s">
        <v>35</v>
      </c>
      <c r="E3998" t="s">
        <v>28</v>
      </c>
      <c r="F3998" t="s">
        <v>36</v>
      </c>
      <c r="G3998" t="s">
        <v>37</v>
      </c>
      <c r="H3998" t="s">
        <v>19</v>
      </c>
      <c r="I3998">
        <v>5</v>
      </c>
      <c r="J3998">
        <v>48</v>
      </c>
      <c r="K3998">
        <v>35.24</v>
      </c>
      <c r="L3998">
        <v>1</v>
      </c>
    </row>
    <row r="3999" spans="1:12">
      <c r="A3999" t="s">
        <v>11594</v>
      </c>
      <c r="B3999" t="s">
        <v>11595</v>
      </c>
      <c r="C3999" t="s">
        <v>11596</v>
      </c>
      <c r="D3999" t="s">
        <v>35</v>
      </c>
      <c r="E3999" t="s">
        <v>59</v>
      </c>
      <c r="F3999" t="s">
        <v>36</v>
      </c>
      <c r="G3999" t="s">
        <v>77</v>
      </c>
      <c r="H3999" t="s">
        <v>31</v>
      </c>
      <c r="I3999">
        <v>5</v>
      </c>
      <c r="J3999">
        <v>48</v>
      </c>
      <c r="K3999">
        <v>17.670000000000002</v>
      </c>
      <c r="L3999">
        <v>1</v>
      </c>
    </row>
    <row r="4000" spans="1:12">
      <c r="A4000" t="s">
        <v>11597</v>
      </c>
      <c r="B4000" t="s">
        <v>11598</v>
      </c>
      <c r="C4000" t="s">
        <v>11599</v>
      </c>
      <c r="D4000" t="s">
        <v>158</v>
      </c>
      <c r="E4000" t="s">
        <v>59</v>
      </c>
      <c r="F4000" t="s">
        <v>36</v>
      </c>
      <c r="G4000" t="s">
        <v>50</v>
      </c>
      <c r="H4000" t="s">
        <v>31</v>
      </c>
      <c r="I4000">
        <v>5</v>
      </c>
      <c r="J4000">
        <v>4</v>
      </c>
      <c r="K4000">
        <v>0.42</v>
      </c>
      <c r="L4000">
        <v>1</v>
      </c>
    </row>
    <row r="4001" spans="1:12">
      <c r="A4001" t="s">
        <v>11600</v>
      </c>
      <c r="B4001" t="s">
        <v>11601</v>
      </c>
      <c r="C4001" t="s">
        <v>11602</v>
      </c>
      <c r="D4001" t="s">
        <v>15</v>
      </c>
      <c r="E4001" t="s">
        <v>54</v>
      </c>
      <c r="F4001" t="s">
        <v>36</v>
      </c>
      <c r="G4001" t="s">
        <v>42</v>
      </c>
      <c r="H4001" t="s">
        <v>31</v>
      </c>
      <c r="I4001">
        <v>5</v>
      </c>
      <c r="J4001">
        <v>8</v>
      </c>
      <c r="K4001">
        <v>6.47</v>
      </c>
      <c r="L4001">
        <v>1</v>
      </c>
    </row>
    <row r="4002" spans="1:12">
      <c r="A4002" t="s">
        <v>11603</v>
      </c>
      <c r="B4002" t="s">
        <v>11604</v>
      </c>
      <c r="C4002" t="s">
        <v>11605</v>
      </c>
      <c r="D4002" t="s">
        <v>15</v>
      </c>
      <c r="E4002" t="s">
        <v>59</v>
      </c>
      <c r="F4002" t="s">
        <v>60</v>
      </c>
      <c r="G4002" t="s">
        <v>37</v>
      </c>
      <c r="H4002" t="s">
        <v>19</v>
      </c>
      <c r="I4002">
        <v>5</v>
      </c>
      <c r="J4002">
        <v>8</v>
      </c>
      <c r="K4002">
        <v>7.32</v>
      </c>
      <c r="L4002">
        <v>1</v>
      </c>
    </row>
    <row r="4003" spans="1:12">
      <c r="A4003" t="s">
        <v>11606</v>
      </c>
      <c r="B4003" t="s">
        <v>11607</v>
      </c>
      <c r="C4003" t="s">
        <v>11608</v>
      </c>
      <c r="D4003" t="s">
        <v>35</v>
      </c>
      <c r="E4003" t="s">
        <v>28</v>
      </c>
      <c r="F4003" t="s">
        <v>41</v>
      </c>
      <c r="G4003" t="s">
        <v>172</v>
      </c>
      <c r="H4003" t="s">
        <v>19</v>
      </c>
      <c r="I4003">
        <v>4</v>
      </c>
      <c r="J4003">
        <v>48</v>
      </c>
      <c r="K4003">
        <v>14.79</v>
      </c>
      <c r="L4003">
        <v>1</v>
      </c>
    </row>
    <row r="4004" spans="1:12">
      <c r="A4004" t="s">
        <v>11609</v>
      </c>
      <c r="B4004" t="s">
        <v>11610</v>
      </c>
      <c r="C4004" t="s">
        <v>11611</v>
      </c>
      <c r="D4004" t="s">
        <v>23</v>
      </c>
      <c r="E4004" t="s">
        <v>16</v>
      </c>
      <c r="F4004" t="s">
        <v>29</v>
      </c>
      <c r="G4004" t="s">
        <v>30</v>
      </c>
      <c r="H4004" t="s">
        <v>31</v>
      </c>
      <c r="I4004">
        <v>4</v>
      </c>
      <c r="J4004">
        <v>24</v>
      </c>
      <c r="K4004">
        <v>6.65</v>
      </c>
      <c r="L4004">
        <v>1</v>
      </c>
    </row>
    <row r="4005" spans="1:12">
      <c r="A4005" t="s">
        <v>11612</v>
      </c>
      <c r="B4005" t="s">
        <v>11613</v>
      </c>
      <c r="C4005" t="s">
        <v>11614</v>
      </c>
      <c r="D4005" t="s">
        <v>15</v>
      </c>
      <c r="E4005" t="s">
        <v>59</v>
      </c>
      <c r="F4005" t="s">
        <v>60</v>
      </c>
      <c r="G4005" t="s">
        <v>172</v>
      </c>
      <c r="H4005" t="s">
        <v>19</v>
      </c>
      <c r="I4005">
        <v>3</v>
      </c>
      <c r="J4005">
        <v>8</v>
      </c>
      <c r="K4005">
        <v>7.07</v>
      </c>
      <c r="L4005">
        <v>1</v>
      </c>
    </row>
    <row r="4006" spans="1:12">
      <c r="A4006" t="s">
        <v>11615</v>
      </c>
      <c r="B4006" t="s">
        <v>11616</v>
      </c>
      <c r="C4006" t="s">
        <v>11617</v>
      </c>
      <c r="D4006" t="s">
        <v>15</v>
      </c>
      <c r="E4006" t="s">
        <v>24</v>
      </c>
      <c r="F4006" t="s">
        <v>60</v>
      </c>
      <c r="G4006" t="s">
        <v>73</v>
      </c>
      <c r="H4006" t="s">
        <v>31</v>
      </c>
      <c r="I4006">
        <v>4</v>
      </c>
      <c r="J4006">
        <v>8</v>
      </c>
      <c r="K4006">
        <v>5.51</v>
      </c>
      <c r="L4006">
        <v>1</v>
      </c>
    </row>
    <row r="4007" spans="1:12">
      <c r="A4007" t="s">
        <v>11618</v>
      </c>
      <c r="B4007" t="s">
        <v>11619</v>
      </c>
      <c r="C4007" t="s">
        <v>11620</v>
      </c>
      <c r="D4007" t="s">
        <v>15</v>
      </c>
      <c r="E4007" t="s">
        <v>59</v>
      </c>
      <c r="F4007" t="s">
        <v>29</v>
      </c>
      <c r="G4007" t="s">
        <v>77</v>
      </c>
      <c r="H4007" t="s">
        <v>31</v>
      </c>
      <c r="I4007">
        <v>4</v>
      </c>
      <c r="J4007">
        <v>8</v>
      </c>
      <c r="K4007">
        <v>1.02</v>
      </c>
      <c r="L4007">
        <v>1</v>
      </c>
    </row>
    <row r="4008" spans="1:12">
      <c r="A4008" t="s">
        <v>11621</v>
      </c>
      <c r="B4008" t="s">
        <v>11622</v>
      </c>
      <c r="C4008" t="s">
        <v>11623</v>
      </c>
      <c r="D4008" t="s">
        <v>35</v>
      </c>
      <c r="E4008" t="s">
        <v>28</v>
      </c>
      <c r="F4008" t="s">
        <v>60</v>
      </c>
      <c r="G4008" t="s">
        <v>45</v>
      </c>
      <c r="H4008" t="s">
        <v>31</v>
      </c>
      <c r="I4008">
        <v>4</v>
      </c>
      <c r="J4008">
        <v>48</v>
      </c>
      <c r="K4008">
        <v>25.86</v>
      </c>
      <c r="L4008">
        <v>1</v>
      </c>
    </row>
    <row r="4009" spans="1:12">
      <c r="A4009" t="s">
        <v>11624</v>
      </c>
      <c r="B4009" t="s">
        <v>11625</v>
      </c>
      <c r="C4009" t="s">
        <v>11626</v>
      </c>
      <c r="D4009" t="s">
        <v>23</v>
      </c>
      <c r="E4009" t="s">
        <v>28</v>
      </c>
      <c r="F4009" t="s">
        <v>17</v>
      </c>
      <c r="G4009" t="s">
        <v>55</v>
      </c>
      <c r="H4009" t="s">
        <v>31</v>
      </c>
      <c r="I4009">
        <v>3</v>
      </c>
      <c r="J4009">
        <v>24</v>
      </c>
      <c r="K4009">
        <v>32.24</v>
      </c>
      <c r="L4009">
        <v>0</v>
      </c>
    </row>
    <row r="4010" spans="1:12">
      <c r="A4010" t="s">
        <v>11627</v>
      </c>
      <c r="B4010" t="s">
        <v>11628</v>
      </c>
      <c r="C4010" t="s">
        <v>11629</v>
      </c>
      <c r="D4010" t="s">
        <v>23</v>
      </c>
      <c r="E4010" t="s">
        <v>28</v>
      </c>
      <c r="F4010" t="s">
        <v>60</v>
      </c>
      <c r="G4010" t="s">
        <v>42</v>
      </c>
      <c r="H4010" t="s">
        <v>19</v>
      </c>
      <c r="I4010">
        <v>4</v>
      </c>
      <c r="J4010">
        <v>24</v>
      </c>
      <c r="K4010">
        <v>5.6</v>
      </c>
      <c r="L4010">
        <v>1</v>
      </c>
    </row>
    <row r="4011" spans="1:12">
      <c r="A4011" t="s">
        <v>11630</v>
      </c>
      <c r="B4011" t="s">
        <v>11631</v>
      </c>
      <c r="D4011" t="s">
        <v>15</v>
      </c>
      <c r="E4011" t="s">
        <v>28</v>
      </c>
      <c r="F4011" t="s">
        <v>17</v>
      </c>
      <c r="G4011" t="s">
        <v>37</v>
      </c>
      <c r="H4011" t="s">
        <v>63</v>
      </c>
      <c r="J4011">
        <v>8</v>
      </c>
    </row>
    <row r="4012" spans="1:12">
      <c r="A4012" t="s">
        <v>11632</v>
      </c>
      <c r="B4012" t="s">
        <v>11633</v>
      </c>
      <c r="C4012" t="s">
        <v>11634</v>
      </c>
      <c r="D4012" t="s">
        <v>15</v>
      </c>
      <c r="E4012" t="s">
        <v>28</v>
      </c>
      <c r="F4012" t="s">
        <v>36</v>
      </c>
      <c r="G4012" t="s">
        <v>77</v>
      </c>
      <c r="H4012" t="s">
        <v>19</v>
      </c>
      <c r="I4012">
        <v>2</v>
      </c>
      <c r="J4012">
        <v>8</v>
      </c>
      <c r="K4012">
        <v>14.1</v>
      </c>
      <c r="L4012">
        <v>0</v>
      </c>
    </row>
    <row r="4013" spans="1:12">
      <c r="A4013" t="s">
        <v>11635</v>
      </c>
      <c r="B4013" t="s">
        <v>11636</v>
      </c>
      <c r="D4013" t="s">
        <v>23</v>
      </c>
      <c r="E4013" t="s">
        <v>16</v>
      </c>
      <c r="F4013" t="s">
        <v>36</v>
      </c>
      <c r="G4013" t="s">
        <v>172</v>
      </c>
      <c r="H4013" t="s">
        <v>63</v>
      </c>
      <c r="J4013">
        <v>24</v>
      </c>
    </row>
    <row r="4014" spans="1:12">
      <c r="A4014" t="s">
        <v>11637</v>
      </c>
      <c r="B4014" t="s">
        <v>11638</v>
      </c>
      <c r="C4014" t="s">
        <v>11639</v>
      </c>
      <c r="D4014" t="s">
        <v>158</v>
      </c>
      <c r="E4014" t="s">
        <v>24</v>
      </c>
      <c r="F4014" t="s">
        <v>60</v>
      </c>
      <c r="G4014" t="s">
        <v>42</v>
      </c>
      <c r="H4014" t="s">
        <v>31</v>
      </c>
      <c r="I4014">
        <v>5</v>
      </c>
      <c r="J4014">
        <v>4</v>
      </c>
      <c r="K4014">
        <v>3.3</v>
      </c>
      <c r="L4014">
        <v>1</v>
      </c>
    </row>
    <row r="4015" spans="1:12">
      <c r="A4015" t="s">
        <v>11640</v>
      </c>
      <c r="B4015" t="s">
        <v>11641</v>
      </c>
      <c r="C4015" t="s">
        <v>11642</v>
      </c>
      <c r="D4015" t="s">
        <v>15</v>
      </c>
      <c r="E4015" t="s">
        <v>16</v>
      </c>
      <c r="F4015" t="s">
        <v>41</v>
      </c>
      <c r="G4015" t="s">
        <v>37</v>
      </c>
      <c r="H4015" t="s">
        <v>19</v>
      </c>
      <c r="I4015">
        <v>5</v>
      </c>
      <c r="J4015">
        <v>8</v>
      </c>
      <c r="K4015">
        <v>0.9</v>
      </c>
      <c r="L4015">
        <v>1</v>
      </c>
    </row>
    <row r="4016" spans="1:12">
      <c r="A4016" t="s">
        <v>11643</v>
      </c>
      <c r="B4016" t="s">
        <v>11644</v>
      </c>
      <c r="C4016" t="s">
        <v>11645</v>
      </c>
      <c r="D4016" t="s">
        <v>23</v>
      </c>
      <c r="E4016" t="s">
        <v>28</v>
      </c>
      <c r="F4016" t="s">
        <v>36</v>
      </c>
      <c r="G4016" t="s">
        <v>105</v>
      </c>
      <c r="H4016" t="s">
        <v>31</v>
      </c>
      <c r="I4016">
        <v>4</v>
      </c>
      <c r="J4016">
        <v>24</v>
      </c>
      <c r="K4016">
        <v>12.81</v>
      </c>
      <c r="L4016">
        <v>1</v>
      </c>
    </row>
    <row r="4017" spans="1:12">
      <c r="A4017" t="s">
        <v>11646</v>
      </c>
      <c r="B4017" t="s">
        <v>11647</v>
      </c>
      <c r="D4017" t="s">
        <v>15</v>
      </c>
      <c r="E4017" t="s">
        <v>16</v>
      </c>
      <c r="F4017" t="s">
        <v>36</v>
      </c>
      <c r="G4017" t="s">
        <v>18</v>
      </c>
      <c r="H4017" t="s">
        <v>63</v>
      </c>
      <c r="J4017">
        <v>8</v>
      </c>
    </row>
    <row r="4018" spans="1:12">
      <c r="A4018" t="s">
        <v>11648</v>
      </c>
      <c r="B4018" t="s">
        <v>11649</v>
      </c>
      <c r="C4018" t="s">
        <v>11650</v>
      </c>
      <c r="D4018" t="s">
        <v>23</v>
      </c>
      <c r="E4018" t="s">
        <v>16</v>
      </c>
      <c r="F4018" t="s">
        <v>60</v>
      </c>
      <c r="G4018" t="s">
        <v>172</v>
      </c>
      <c r="H4018" t="s">
        <v>19</v>
      </c>
      <c r="I4018">
        <v>5</v>
      </c>
      <c r="J4018">
        <v>24</v>
      </c>
      <c r="K4018">
        <v>16.63</v>
      </c>
      <c r="L4018">
        <v>1</v>
      </c>
    </row>
    <row r="4019" spans="1:12">
      <c r="A4019" t="s">
        <v>11651</v>
      </c>
      <c r="B4019" t="s">
        <v>11652</v>
      </c>
      <c r="C4019" t="s">
        <v>11653</v>
      </c>
      <c r="D4019" t="s">
        <v>23</v>
      </c>
      <c r="E4019" t="s">
        <v>28</v>
      </c>
      <c r="F4019" t="s">
        <v>60</v>
      </c>
      <c r="G4019" t="s">
        <v>42</v>
      </c>
      <c r="H4019" t="s">
        <v>31</v>
      </c>
      <c r="I4019">
        <v>5</v>
      </c>
      <c r="J4019">
        <v>24</v>
      </c>
      <c r="K4019">
        <v>16.920000000000002</v>
      </c>
      <c r="L4019">
        <v>1</v>
      </c>
    </row>
    <row r="4020" spans="1:12">
      <c r="A4020" t="s">
        <v>11654</v>
      </c>
      <c r="B4020" t="s">
        <v>11655</v>
      </c>
      <c r="C4020" t="s">
        <v>11656</v>
      </c>
      <c r="D4020" t="s">
        <v>23</v>
      </c>
      <c r="E4020" t="s">
        <v>28</v>
      </c>
      <c r="F4020" t="s">
        <v>41</v>
      </c>
      <c r="G4020" t="s">
        <v>50</v>
      </c>
      <c r="H4020" t="s">
        <v>31</v>
      </c>
      <c r="I4020">
        <v>2</v>
      </c>
      <c r="J4020">
        <v>24</v>
      </c>
      <c r="K4020">
        <v>37.909999999999997</v>
      </c>
      <c r="L4020">
        <v>0</v>
      </c>
    </row>
    <row r="4021" spans="1:12">
      <c r="A4021" t="s">
        <v>11657</v>
      </c>
      <c r="B4021" t="s">
        <v>11658</v>
      </c>
      <c r="C4021" t="s">
        <v>11659</v>
      </c>
      <c r="D4021" t="s">
        <v>23</v>
      </c>
      <c r="E4021" t="s">
        <v>16</v>
      </c>
      <c r="F4021" t="s">
        <v>36</v>
      </c>
      <c r="G4021" t="s">
        <v>73</v>
      </c>
      <c r="H4021" t="s">
        <v>19</v>
      </c>
      <c r="I4021">
        <v>5</v>
      </c>
      <c r="J4021">
        <v>24</v>
      </c>
      <c r="K4021">
        <v>19.77</v>
      </c>
      <c r="L4021">
        <v>1</v>
      </c>
    </row>
    <row r="4022" spans="1:12">
      <c r="A4022" t="s">
        <v>11660</v>
      </c>
      <c r="B4022" t="s">
        <v>11661</v>
      </c>
      <c r="C4022" t="s">
        <v>11662</v>
      </c>
      <c r="D4022" t="s">
        <v>35</v>
      </c>
      <c r="E4022" t="s">
        <v>28</v>
      </c>
      <c r="F4022" t="s">
        <v>41</v>
      </c>
      <c r="G4022" t="s">
        <v>55</v>
      </c>
      <c r="H4022" t="s">
        <v>19</v>
      </c>
      <c r="I4022">
        <v>5</v>
      </c>
      <c r="J4022">
        <v>48</v>
      </c>
      <c r="K4022">
        <v>33.799999999999997</v>
      </c>
      <c r="L4022">
        <v>1</v>
      </c>
    </row>
    <row r="4023" spans="1:12">
      <c r="A4023" t="s">
        <v>11663</v>
      </c>
      <c r="B4023" t="s">
        <v>11664</v>
      </c>
      <c r="C4023" t="s">
        <v>11665</v>
      </c>
      <c r="D4023" t="s">
        <v>23</v>
      </c>
      <c r="E4023" t="s">
        <v>59</v>
      </c>
      <c r="F4023" t="s">
        <v>60</v>
      </c>
      <c r="G4023" t="s">
        <v>45</v>
      </c>
      <c r="H4023" t="s">
        <v>31</v>
      </c>
      <c r="I4023">
        <v>4</v>
      </c>
      <c r="J4023">
        <v>24</v>
      </c>
      <c r="K4023">
        <v>11.82</v>
      </c>
      <c r="L4023">
        <v>1</v>
      </c>
    </row>
    <row r="4024" spans="1:12">
      <c r="A4024" t="s">
        <v>11666</v>
      </c>
      <c r="B4024" t="s">
        <v>11667</v>
      </c>
      <c r="C4024" t="s">
        <v>11668</v>
      </c>
      <c r="D4024" t="s">
        <v>35</v>
      </c>
      <c r="E4024" t="s">
        <v>24</v>
      </c>
      <c r="F4024" t="s">
        <v>41</v>
      </c>
      <c r="G4024" t="s">
        <v>73</v>
      </c>
      <c r="H4024" t="s">
        <v>19</v>
      </c>
      <c r="I4024">
        <v>5</v>
      </c>
      <c r="J4024">
        <v>48</v>
      </c>
      <c r="K4024">
        <v>36.950000000000003</v>
      </c>
      <c r="L4024">
        <v>1</v>
      </c>
    </row>
    <row r="4025" spans="1:12">
      <c r="A4025" t="s">
        <v>11669</v>
      </c>
      <c r="B4025" t="s">
        <v>11670</v>
      </c>
      <c r="C4025" t="s">
        <v>11671</v>
      </c>
      <c r="D4025" t="s">
        <v>15</v>
      </c>
      <c r="E4025" t="s">
        <v>28</v>
      </c>
      <c r="F4025" t="s">
        <v>60</v>
      </c>
      <c r="G4025" t="s">
        <v>18</v>
      </c>
      <c r="H4025" t="s">
        <v>19</v>
      </c>
      <c r="I4025">
        <v>4</v>
      </c>
      <c r="J4025">
        <v>8</v>
      </c>
      <c r="K4025">
        <v>1.95</v>
      </c>
      <c r="L4025">
        <v>1</v>
      </c>
    </row>
    <row r="4026" spans="1:12">
      <c r="A4026" t="s">
        <v>11672</v>
      </c>
      <c r="B4026" t="s">
        <v>11673</v>
      </c>
      <c r="C4026" t="s">
        <v>11674</v>
      </c>
      <c r="D4026" t="s">
        <v>15</v>
      </c>
      <c r="E4026" t="s">
        <v>16</v>
      </c>
      <c r="F4026" t="s">
        <v>36</v>
      </c>
      <c r="G4026" t="s">
        <v>37</v>
      </c>
      <c r="H4026" t="s">
        <v>19</v>
      </c>
      <c r="I4026">
        <v>5</v>
      </c>
      <c r="J4026">
        <v>8</v>
      </c>
      <c r="K4026">
        <v>7</v>
      </c>
      <c r="L4026">
        <v>1</v>
      </c>
    </row>
    <row r="4027" spans="1:12">
      <c r="A4027" t="s">
        <v>11675</v>
      </c>
      <c r="B4027" t="s">
        <v>11676</v>
      </c>
      <c r="C4027" t="s">
        <v>11677</v>
      </c>
      <c r="D4027" t="s">
        <v>15</v>
      </c>
      <c r="E4027" t="s">
        <v>28</v>
      </c>
      <c r="F4027" t="s">
        <v>29</v>
      </c>
      <c r="G4027" t="s">
        <v>18</v>
      </c>
      <c r="H4027" t="s">
        <v>31</v>
      </c>
      <c r="I4027">
        <v>4</v>
      </c>
      <c r="J4027">
        <v>8</v>
      </c>
      <c r="K4027">
        <v>21.15</v>
      </c>
      <c r="L4027">
        <v>0</v>
      </c>
    </row>
    <row r="4028" spans="1:12">
      <c r="A4028" t="s">
        <v>11678</v>
      </c>
      <c r="B4028" t="s">
        <v>11679</v>
      </c>
      <c r="C4028" t="s">
        <v>11680</v>
      </c>
      <c r="D4028" t="s">
        <v>23</v>
      </c>
      <c r="E4028" t="s">
        <v>28</v>
      </c>
      <c r="F4028" t="s">
        <v>41</v>
      </c>
      <c r="G4028" t="s">
        <v>151</v>
      </c>
      <c r="H4028" t="s">
        <v>31</v>
      </c>
      <c r="I4028">
        <v>4</v>
      </c>
      <c r="J4028">
        <v>24</v>
      </c>
      <c r="K4028">
        <v>8.17</v>
      </c>
      <c r="L4028">
        <v>1</v>
      </c>
    </row>
    <row r="4029" spans="1:12">
      <c r="A4029" t="s">
        <v>11681</v>
      </c>
      <c r="B4029" t="s">
        <v>11682</v>
      </c>
      <c r="D4029" t="s">
        <v>15</v>
      </c>
      <c r="E4029" t="s">
        <v>28</v>
      </c>
      <c r="F4029" t="s">
        <v>29</v>
      </c>
      <c r="G4029" t="s">
        <v>55</v>
      </c>
      <c r="H4029" t="s">
        <v>46</v>
      </c>
      <c r="J4029">
        <v>8</v>
      </c>
    </row>
    <row r="4030" spans="1:12">
      <c r="A4030" t="s">
        <v>11683</v>
      </c>
      <c r="B4030" t="s">
        <v>11684</v>
      </c>
      <c r="C4030" t="s">
        <v>11685</v>
      </c>
      <c r="D4030" t="s">
        <v>35</v>
      </c>
      <c r="E4030" t="s">
        <v>59</v>
      </c>
      <c r="F4030" t="s">
        <v>17</v>
      </c>
      <c r="G4030" t="s">
        <v>42</v>
      </c>
      <c r="H4030" t="s">
        <v>19</v>
      </c>
      <c r="I4030">
        <v>4</v>
      </c>
      <c r="J4030">
        <v>48</v>
      </c>
      <c r="K4030">
        <v>44.37</v>
      </c>
      <c r="L4030">
        <v>1</v>
      </c>
    </row>
    <row r="4031" spans="1:12">
      <c r="A4031" t="s">
        <v>11686</v>
      </c>
      <c r="B4031" t="s">
        <v>11687</v>
      </c>
      <c r="D4031" t="s">
        <v>23</v>
      </c>
      <c r="E4031" t="s">
        <v>59</v>
      </c>
      <c r="F4031" t="s">
        <v>41</v>
      </c>
      <c r="G4031" t="s">
        <v>105</v>
      </c>
      <c r="H4031" t="s">
        <v>46</v>
      </c>
      <c r="J4031">
        <v>24</v>
      </c>
    </row>
    <row r="4032" spans="1:12">
      <c r="A4032" t="s">
        <v>11688</v>
      </c>
      <c r="B4032" t="s">
        <v>11689</v>
      </c>
      <c r="C4032" t="s">
        <v>11690</v>
      </c>
      <c r="D4032" t="s">
        <v>23</v>
      </c>
      <c r="E4032" t="s">
        <v>28</v>
      </c>
      <c r="F4032" t="s">
        <v>60</v>
      </c>
      <c r="G4032" t="s">
        <v>55</v>
      </c>
      <c r="H4032" t="s">
        <v>19</v>
      </c>
      <c r="I4032">
        <v>5</v>
      </c>
      <c r="J4032">
        <v>24</v>
      </c>
      <c r="K4032">
        <v>22.57</v>
      </c>
      <c r="L4032">
        <v>1</v>
      </c>
    </row>
    <row r="4033" spans="1:12">
      <c r="A4033" t="s">
        <v>11691</v>
      </c>
      <c r="B4033" t="s">
        <v>11692</v>
      </c>
      <c r="C4033" t="s">
        <v>11693</v>
      </c>
      <c r="D4033" t="s">
        <v>158</v>
      </c>
      <c r="E4033" t="s">
        <v>28</v>
      </c>
      <c r="F4033" t="s">
        <v>36</v>
      </c>
      <c r="G4033" t="s">
        <v>45</v>
      </c>
      <c r="H4033" t="s">
        <v>19</v>
      </c>
      <c r="I4033">
        <v>4</v>
      </c>
      <c r="J4033">
        <v>4</v>
      </c>
      <c r="K4033">
        <v>1.66</v>
      </c>
      <c r="L4033">
        <v>1</v>
      </c>
    </row>
    <row r="4034" spans="1:12">
      <c r="A4034" t="s">
        <v>11694</v>
      </c>
      <c r="B4034" t="s">
        <v>11695</v>
      </c>
      <c r="C4034" t="s">
        <v>11696</v>
      </c>
      <c r="D4034" t="s">
        <v>23</v>
      </c>
      <c r="E4034" t="s">
        <v>16</v>
      </c>
      <c r="F4034" t="s">
        <v>36</v>
      </c>
      <c r="G4034" t="s">
        <v>151</v>
      </c>
      <c r="H4034" t="s">
        <v>31</v>
      </c>
      <c r="I4034">
        <v>4</v>
      </c>
      <c r="J4034">
        <v>24</v>
      </c>
      <c r="K4034">
        <v>7.12</v>
      </c>
      <c r="L4034">
        <v>1</v>
      </c>
    </row>
    <row r="4035" spans="1:12">
      <c r="A4035" t="s">
        <v>11697</v>
      </c>
      <c r="B4035" t="s">
        <v>11698</v>
      </c>
      <c r="D4035" t="s">
        <v>35</v>
      </c>
      <c r="E4035" t="s">
        <v>16</v>
      </c>
      <c r="F4035" t="s">
        <v>60</v>
      </c>
      <c r="G4035" t="s">
        <v>151</v>
      </c>
      <c r="H4035" t="s">
        <v>46</v>
      </c>
      <c r="J4035">
        <v>48</v>
      </c>
    </row>
    <row r="4036" spans="1:12">
      <c r="A4036" t="s">
        <v>11699</v>
      </c>
      <c r="B4036" t="s">
        <v>11700</v>
      </c>
      <c r="C4036" t="s">
        <v>11701</v>
      </c>
      <c r="D4036" t="s">
        <v>158</v>
      </c>
      <c r="E4036" t="s">
        <v>54</v>
      </c>
      <c r="F4036" t="s">
        <v>36</v>
      </c>
      <c r="G4036" t="s">
        <v>77</v>
      </c>
      <c r="H4036" t="s">
        <v>31</v>
      </c>
      <c r="I4036">
        <v>2</v>
      </c>
      <c r="J4036">
        <v>4</v>
      </c>
      <c r="K4036">
        <v>8.24</v>
      </c>
      <c r="L4036">
        <v>0</v>
      </c>
    </row>
    <row r="4037" spans="1:12">
      <c r="A4037" t="s">
        <v>11702</v>
      </c>
      <c r="B4037" t="s">
        <v>11703</v>
      </c>
      <c r="C4037" t="s">
        <v>11704</v>
      </c>
      <c r="D4037" t="s">
        <v>23</v>
      </c>
      <c r="E4037" t="s">
        <v>24</v>
      </c>
      <c r="F4037" t="s">
        <v>36</v>
      </c>
      <c r="G4037" t="s">
        <v>30</v>
      </c>
      <c r="H4037" t="s">
        <v>19</v>
      </c>
      <c r="I4037">
        <v>5</v>
      </c>
      <c r="J4037">
        <v>24</v>
      </c>
      <c r="K4037">
        <v>13.66</v>
      </c>
      <c r="L4037">
        <v>1</v>
      </c>
    </row>
    <row r="4038" spans="1:12">
      <c r="A4038" t="s">
        <v>11705</v>
      </c>
      <c r="B4038" t="s">
        <v>11706</v>
      </c>
      <c r="C4038" t="s">
        <v>11707</v>
      </c>
      <c r="D4038" t="s">
        <v>15</v>
      </c>
      <c r="E4038" t="s">
        <v>16</v>
      </c>
      <c r="F4038" t="s">
        <v>17</v>
      </c>
      <c r="G4038" t="s">
        <v>30</v>
      </c>
      <c r="H4038" t="s">
        <v>19</v>
      </c>
      <c r="I4038">
        <v>5</v>
      </c>
      <c r="J4038">
        <v>8</v>
      </c>
      <c r="K4038">
        <v>1.02</v>
      </c>
      <c r="L4038">
        <v>1</v>
      </c>
    </row>
    <row r="4039" spans="1:12">
      <c r="A4039" t="s">
        <v>11708</v>
      </c>
      <c r="B4039" t="s">
        <v>11709</v>
      </c>
      <c r="C4039" t="s">
        <v>11710</v>
      </c>
      <c r="D4039" t="s">
        <v>23</v>
      </c>
      <c r="E4039" t="s">
        <v>28</v>
      </c>
      <c r="F4039" t="s">
        <v>17</v>
      </c>
      <c r="G4039" t="s">
        <v>55</v>
      </c>
      <c r="H4039" t="s">
        <v>19</v>
      </c>
      <c r="I4039">
        <v>5</v>
      </c>
      <c r="J4039">
        <v>24</v>
      </c>
      <c r="K4039">
        <v>3.27</v>
      </c>
      <c r="L4039">
        <v>1</v>
      </c>
    </row>
    <row r="4040" spans="1:12">
      <c r="A4040" t="s">
        <v>11711</v>
      </c>
      <c r="B4040" t="s">
        <v>11712</v>
      </c>
      <c r="C4040" t="s">
        <v>11713</v>
      </c>
      <c r="D4040" t="s">
        <v>23</v>
      </c>
      <c r="E4040" t="s">
        <v>28</v>
      </c>
      <c r="F4040" t="s">
        <v>60</v>
      </c>
      <c r="G4040" t="s">
        <v>151</v>
      </c>
      <c r="H4040" t="s">
        <v>19</v>
      </c>
      <c r="I4040">
        <v>5</v>
      </c>
      <c r="J4040">
        <v>24</v>
      </c>
      <c r="K4040">
        <v>15.76</v>
      </c>
      <c r="L4040">
        <v>1</v>
      </c>
    </row>
    <row r="4041" spans="1:12">
      <c r="A4041" t="s">
        <v>11714</v>
      </c>
      <c r="B4041" t="s">
        <v>11715</v>
      </c>
      <c r="D4041" t="s">
        <v>23</v>
      </c>
      <c r="E4041" t="s">
        <v>28</v>
      </c>
      <c r="F4041" t="s">
        <v>29</v>
      </c>
      <c r="G4041" t="s">
        <v>45</v>
      </c>
      <c r="H4041" t="s">
        <v>63</v>
      </c>
      <c r="J4041">
        <v>24</v>
      </c>
    </row>
    <row r="4042" spans="1:12">
      <c r="A4042" t="s">
        <v>11716</v>
      </c>
      <c r="B4042" t="s">
        <v>11717</v>
      </c>
      <c r="C4042" t="s">
        <v>11718</v>
      </c>
      <c r="D4042" t="s">
        <v>23</v>
      </c>
      <c r="E4042" t="s">
        <v>16</v>
      </c>
      <c r="F4042" t="s">
        <v>41</v>
      </c>
      <c r="G4042" t="s">
        <v>50</v>
      </c>
      <c r="H4042" t="s">
        <v>19</v>
      </c>
      <c r="I4042">
        <v>5</v>
      </c>
      <c r="J4042">
        <v>24</v>
      </c>
      <c r="K4042">
        <v>20.39</v>
      </c>
      <c r="L4042">
        <v>1</v>
      </c>
    </row>
    <row r="4043" spans="1:12">
      <c r="A4043" t="s">
        <v>11719</v>
      </c>
      <c r="B4043" t="s">
        <v>11720</v>
      </c>
      <c r="C4043" t="s">
        <v>11721</v>
      </c>
      <c r="D4043" t="s">
        <v>15</v>
      </c>
      <c r="E4043" t="s">
        <v>24</v>
      </c>
      <c r="F4043" t="s">
        <v>17</v>
      </c>
      <c r="G4043" t="s">
        <v>45</v>
      </c>
      <c r="H4043" t="s">
        <v>19</v>
      </c>
      <c r="I4043">
        <v>5</v>
      </c>
      <c r="J4043">
        <v>8</v>
      </c>
      <c r="K4043">
        <v>2.8</v>
      </c>
      <c r="L4043">
        <v>1</v>
      </c>
    </row>
    <row r="4044" spans="1:12">
      <c r="A4044" t="s">
        <v>11722</v>
      </c>
      <c r="B4044" t="s">
        <v>11723</v>
      </c>
      <c r="C4044" t="s">
        <v>11724</v>
      </c>
      <c r="D4044" t="s">
        <v>23</v>
      </c>
      <c r="E4044" t="s">
        <v>28</v>
      </c>
      <c r="F4044" t="s">
        <v>17</v>
      </c>
      <c r="G4044" t="s">
        <v>105</v>
      </c>
      <c r="H4044" t="s">
        <v>31</v>
      </c>
      <c r="I4044">
        <v>4</v>
      </c>
      <c r="J4044">
        <v>24</v>
      </c>
      <c r="K4044">
        <v>19.7</v>
      </c>
      <c r="L4044">
        <v>1</v>
      </c>
    </row>
    <row r="4045" spans="1:12">
      <c r="A4045" t="s">
        <v>11725</v>
      </c>
      <c r="B4045" t="s">
        <v>11726</v>
      </c>
      <c r="C4045" t="s">
        <v>11727</v>
      </c>
      <c r="D4045" t="s">
        <v>23</v>
      </c>
      <c r="E4045" t="s">
        <v>16</v>
      </c>
      <c r="F4045" t="s">
        <v>17</v>
      </c>
      <c r="G4045" t="s">
        <v>50</v>
      </c>
      <c r="H4045" t="s">
        <v>31</v>
      </c>
      <c r="I4045">
        <v>5</v>
      </c>
      <c r="J4045">
        <v>24</v>
      </c>
      <c r="K4045">
        <v>7.29</v>
      </c>
      <c r="L4045">
        <v>1</v>
      </c>
    </row>
    <row r="4046" spans="1:12">
      <c r="A4046" t="s">
        <v>11728</v>
      </c>
      <c r="B4046" t="s">
        <v>11729</v>
      </c>
      <c r="C4046" t="s">
        <v>11730</v>
      </c>
      <c r="D4046" t="s">
        <v>15</v>
      </c>
      <c r="E4046" t="s">
        <v>24</v>
      </c>
      <c r="F4046" t="s">
        <v>60</v>
      </c>
      <c r="G4046" t="s">
        <v>50</v>
      </c>
      <c r="H4046" t="s">
        <v>19</v>
      </c>
      <c r="I4046">
        <v>2</v>
      </c>
      <c r="J4046">
        <v>8</v>
      </c>
      <c r="K4046">
        <v>12.65</v>
      </c>
      <c r="L4046">
        <v>0</v>
      </c>
    </row>
    <row r="4047" spans="1:12">
      <c r="A4047" t="s">
        <v>11731</v>
      </c>
      <c r="B4047" t="s">
        <v>11732</v>
      </c>
      <c r="D4047" t="s">
        <v>23</v>
      </c>
      <c r="E4047" t="s">
        <v>28</v>
      </c>
      <c r="F4047" t="s">
        <v>36</v>
      </c>
      <c r="G4047" t="s">
        <v>45</v>
      </c>
      <c r="H4047" t="s">
        <v>63</v>
      </c>
      <c r="J4047">
        <v>24</v>
      </c>
    </row>
    <row r="4048" spans="1:12">
      <c r="A4048" t="s">
        <v>11733</v>
      </c>
      <c r="B4048" t="s">
        <v>11734</v>
      </c>
      <c r="C4048" t="s">
        <v>11735</v>
      </c>
      <c r="D4048" t="s">
        <v>23</v>
      </c>
      <c r="E4048" t="s">
        <v>54</v>
      </c>
      <c r="F4048" t="s">
        <v>60</v>
      </c>
      <c r="G4048" t="s">
        <v>55</v>
      </c>
      <c r="H4048" t="s">
        <v>31</v>
      </c>
      <c r="I4048">
        <v>4</v>
      </c>
      <c r="J4048">
        <v>24</v>
      </c>
      <c r="K4048">
        <v>18.93</v>
      </c>
      <c r="L4048">
        <v>1</v>
      </c>
    </row>
    <row r="4049" spans="1:12">
      <c r="A4049" t="s">
        <v>11736</v>
      </c>
      <c r="B4049" t="s">
        <v>11737</v>
      </c>
      <c r="C4049" t="s">
        <v>11738</v>
      </c>
      <c r="D4049" t="s">
        <v>23</v>
      </c>
      <c r="E4049" t="s">
        <v>54</v>
      </c>
      <c r="F4049" t="s">
        <v>17</v>
      </c>
      <c r="G4049" t="s">
        <v>55</v>
      </c>
      <c r="H4049" t="s">
        <v>19</v>
      </c>
      <c r="I4049">
        <v>3</v>
      </c>
      <c r="J4049">
        <v>24</v>
      </c>
      <c r="K4049">
        <v>54.52</v>
      </c>
      <c r="L4049">
        <v>0</v>
      </c>
    </row>
    <row r="4050" spans="1:12">
      <c r="A4050" t="s">
        <v>11739</v>
      </c>
      <c r="B4050" t="s">
        <v>11740</v>
      </c>
      <c r="C4050" t="s">
        <v>11741</v>
      </c>
      <c r="D4050" t="s">
        <v>23</v>
      </c>
      <c r="E4050" t="s">
        <v>16</v>
      </c>
      <c r="F4050" t="s">
        <v>60</v>
      </c>
      <c r="G4050" t="s">
        <v>37</v>
      </c>
      <c r="H4050" t="s">
        <v>19</v>
      </c>
      <c r="I4050">
        <v>2</v>
      </c>
      <c r="J4050">
        <v>24</v>
      </c>
      <c r="K4050">
        <v>43.39</v>
      </c>
      <c r="L4050">
        <v>0</v>
      </c>
    </row>
    <row r="4051" spans="1:12">
      <c r="A4051" t="s">
        <v>11742</v>
      </c>
      <c r="B4051" t="s">
        <v>11743</v>
      </c>
      <c r="D4051" t="s">
        <v>23</v>
      </c>
      <c r="E4051" t="s">
        <v>59</v>
      </c>
      <c r="F4051" t="s">
        <v>36</v>
      </c>
      <c r="G4051" t="s">
        <v>151</v>
      </c>
      <c r="H4051" t="s">
        <v>46</v>
      </c>
      <c r="J4051">
        <v>24</v>
      </c>
    </row>
    <row r="4052" spans="1:12">
      <c r="A4052" t="s">
        <v>11744</v>
      </c>
      <c r="B4052" t="s">
        <v>11745</v>
      </c>
      <c r="C4052" t="s">
        <v>11746</v>
      </c>
      <c r="D4052" t="s">
        <v>35</v>
      </c>
      <c r="E4052" t="s">
        <v>54</v>
      </c>
      <c r="F4052" t="s">
        <v>17</v>
      </c>
      <c r="G4052" t="s">
        <v>18</v>
      </c>
      <c r="H4052" t="s">
        <v>31</v>
      </c>
      <c r="I4052">
        <v>5</v>
      </c>
      <c r="J4052">
        <v>48</v>
      </c>
      <c r="K4052">
        <v>44.57</v>
      </c>
      <c r="L4052">
        <v>1</v>
      </c>
    </row>
    <row r="4053" spans="1:12">
      <c r="A4053" t="s">
        <v>11747</v>
      </c>
      <c r="B4053" t="s">
        <v>11748</v>
      </c>
      <c r="C4053" t="s">
        <v>11749</v>
      </c>
      <c r="D4053" t="s">
        <v>23</v>
      </c>
      <c r="E4053" t="s">
        <v>28</v>
      </c>
      <c r="F4053" t="s">
        <v>17</v>
      </c>
      <c r="G4053" t="s">
        <v>30</v>
      </c>
      <c r="H4053" t="s">
        <v>19</v>
      </c>
      <c r="I4053">
        <v>5</v>
      </c>
      <c r="J4053">
        <v>24</v>
      </c>
      <c r="K4053">
        <v>12.31</v>
      </c>
      <c r="L4053">
        <v>1</v>
      </c>
    </row>
    <row r="4054" spans="1:12">
      <c r="A4054" t="s">
        <v>11750</v>
      </c>
      <c r="B4054" t="s">
        <v>11751</v>
      </c>
      <c r="C4054" t="s">
        <v>11752</v>
      </c>
      <c r="D4054" t="s">
        <v>158</v>
      </c>
      <c r="E4054" t="s">
        <v>28</v>
      </c>
      <c r="F4054" t="s">
        <v>36</v>
      </c>
      <c r="G4054" t="s">
        <v>18</v>
      </c>
      <c r="H4054" t="s">
        <v>19</v>
      </c>
      <c r="I4054">
        <v>5</v>
      </c>
      <c r="J4054">
        <v>4</v>
      </c>
      <c r="K4054">
        <v>1.42</v>
      </c>
      <c r="L4054">
        <v>1</v>
      </c>
    </row>
    <row r="4055" spans="1:12">
      <c r="A4055" t="s">
        <v>11753</v>
      </c>
      <c r="B4055" t="s">
        <v>11754</v>
      </c>
      <c r="D4055" t="s">
        <v>35</v>
      </c>
      <c r="E4055" t="s">
        <v>28</v>
      </c>
      <c r="F4055" t="s">
        <v>17</v>
      </c>
      <c r="G4055" t="s">
        <v>30</v>
      </c>
      <c r="H4055" t="s">
        <v>63</v>
      </c>
      <c r="J4055">
        <v>48</v>
      </c>
    </row>
    <row r="4056" spans="1:12">
      <c r="A4056" t="s">
        <v>11755</v>
      </c>
      <c r="B4056" t="s">
        <v>11756</v>
      </c>
      <c r="C4056" t="s">
        <v>11757</v>
      </c>
      <c r="D4056" t="s">
        <v>15</v>
      </c>
      <c r="E4056" t="s">
        <v>54</v>
      </c>
      <c r="F4056" t="s">
        <v>29</v>
      </c>
      <c r="G4056" t="s">
        <v>151</v>
      </c>
      <c r="H4056" t="s">
        <v>31</v>
      </c>
      <c r="I4056">
        <v>5</v>
      </c>
      <c r="J4056">
        <v>8</v>
      </c>
      <c r="K4056">
        <v>5.23</v>
      </c>
      <c r="L4056">
        <v>1</v>
      </c>
    </row>
    <row r="4057" spans="1:12">
      <c r="A4057" t="s">
        <v>11758</v>
      </c>
      <c r="B4057" t="s">
        <v>11759</v>
      </c>
      <c r="C4057" t="s">
        <v>11760</v>
      </c>
      <c r="D4057" t="s">
        <v>35</v>
      </c>
      <c r="E4057" t="s">
        <v>16</v>
      </c>
      <c r="F4057" t="s">
        <v>41</v>
      </c>
      <c r="G4057" t="s">
        <v>77</v>
      </c>
      <c r="H4057" t="s">
        <v>19</v>
      </c>
      <c r="I4057">
        <v>4</v>
      </c>
      <c r="J4057">
        <v>48</v>
      </c>
      <c r="K4057">
        <v>7.01</v>
      </c>
      <c r="L4057">
        <v>1</v>
      </c>
    </row>
    <row r="4058" spans="1:12">
      <c r="A4058" t="s">
        <v>11761</v>
      </c>
      <c r="B4058" t="s">
        <v>11762</v>
      </c>
      <c r="C4058" t="s">
        <v>11763</v>
      </c>
      <c r="D4058" t="s">
        <v>35</v>
      </c>
      <c r="E4058" t="s">
        <v>24</v>
      </c>
      <c r="F4058" t="s">
        <v>41</v>
      </c>
      <c r="G4058" t="s">
        <v>151</v>
      </c>
      <c r="H4058" t="s">
        <v>31</v>
      </c>
      <c r="I4058">
        <v>4</v>
      </c>
      <c r="J4058">
        <v>48</v>
      </c>
      <c r="K4058">
        <v>15.45</v>
      </c>
      <c r="L4058">
        <v>1</v>
      </c>
    </row>
    <row r="4059" spans="1:12">
      <c r="A4059" t="s">
        <v>11764</v>
      </c>
      <c r="B4059" t="s">
        <v>11765</v>
      </c>
      <c r="C4059" t="s">
        <v>11766</v>
      </c>
      <c r="D4059" t="s">
        <v>15</v>
      </c>
      <c r="E4059" t="s">
        <v>59</v>
      </c>
      <c r="F4059" t="s">
        <v>17</v>
      </c>
      <c r="G4059" t="s">
        <v>73</v>
      </c>
      <c r="H4059" t="s">
        <v>19</v>
      </c>
      <c r="I4059">
        <v>5</v>
      </c>
      <c r="J4059">
        <v>8</v>
      </c>
      <c r="K4059">
        <v>1.53</v>
      </c>
      <c r="L4059">
        <v>1</v>
      </c>
    </row>
    <row r="4060" spans="1:12">
      <c r="A4060" t="s">
        <v>11767</v>
      </c>
      <c r="B4060" t="s">
        <v>11768</v>
      </c>
      <c r="C4060" t="s">
        <v>11769</v>
      </c>
      <c r="D4060" t="s">
        <v>15</v>
      </c>
      <c r="E4060" t="s">
        <v>16</v>
      </c>
      <c r="F4060" t="s">
        <v>29</v>
      </c>
      <c r="G4060" t="s">
        <v>73</v>
      </c>
      <c r="H4060" t="s">
        <v>19</v>
      </c>
      <c r="I4060">
        <v>5</v>
      </c>
      <c r="J4060">
        <v>8</v>
      </c>
      <c r="K4060">
        <v>1.4</v>
      </c>
      <c r="L4060">
        <v>1</v>
      </c>
    </row>
    <row r="4061" spans="1:12">
      <c r="A4061" t="s">
        <v>11770</v>
      </c>
      <c r="B4061" t="s">
        <v>11771</v>
      </c>
      <c r="C4061" t="s">
        <v>11772</v>
      </c>
      <c r="D4061" t="s">
        <v>23</v>
      </c>
      <c r="E4061" t="s">
        <v>28</v>
      </c>
      <c r="F4061" t="s">
        <v>36</v>
      </c>
      <c r="G4061" t="s">
        <v>172</v>
      </c>
      <c r="H4061" t="s">
        <v>19</v>
      </c>
      <c r="I4061">
        <v>5</v>
      </c>
      <c r="J4061">
        <v>24</v>
      </c>
      <c r="K4061">
        <v>4.09</v>
      </c>
      <c r="L4061">
        <v>1</v>
      </c>
    </row>
    <row r="4062" spans="1:12">
      <c r="A4062" t="s">
        <v>11773</v>
      </c>
      <c r="B4062" t="s">
        <v>11774</v>
      </c>
      <c r="C4062" t="s">
        <v>11775</v>
      </c>
      <c r="D4062" t="s">
        <v>35</v>
      </c>
      <c r="E4062" t="s">
        <v>28</v>
      </c>
      <c r="F4062" t="s">
        <v>36</v>
      </c>
      <c r="G4062" t="s">
        <v>172</v>
      </c>
      <c r="H4062" t="s">
        <v>19</v>
      </c>
      <c r="I4062">
        <v>4</v>
      </c>
      <c r="J4062">
        <v>48</v>
      </c>
      <c r="K4062">
        <v>14.41</v>
      </c>
      <c r="L4062">
        <v>1</v>
      </c>
    </row>
    <row r="4063" spans="1:12">
      <c r="A4063" t="s">
        <v>11776</v>
      </c>
      <c r="B4063" t="s">
        <v>11777</v>
      </c>
      <c r="C4063" t="s">
        <v>11778</v>
      </c>
      <c r="D4063" t="s">
        <v>23</v>
      </c>
      <c r="E4063" t="s">
        <v>24</v>
      </c>
      <c r="F4063" t="s">
        <v>36</v>
      </c>
      <c r="G4063" t="s">
        <v>151</v>
      </c>
      <c r="H4063" t="s">
        <v>19</v>
      </c>
      <c r="I4063">
        <v>4</v>
      </c>
      <c r="J4063">
        <v>24</v>
      </c>
      <c r="K4063">
        <v>6.19</v>
      </c>
      <c r="L4063">
        <v>1</v>
      </c>
    </row>
    <row r="4064" spans="1:12">
      <c r="A4064" t="s">
        <v>11779</v>
      </c>
      <c r="B4064" t="s">
        <v>11780</v>
      </c>
      <c r="C4064" t="s">
        <v>11781</v>
      </c>
      <c r="D4064" t="s">
        <v>23</v>
      </c>
      <c r="E4064" t="s">
        <v>54</v>
      </c>
      <c r="F4064" t="s">
        <v>41</v>
      </c>
      <c r="G4064" t="s">
        <v>37</v>
      </c>
      <c r="H4064" t="s">
        <v>31</v>
      </c>
      <c r="I4064">
        <v>5</v>
      </c>
      <c r="J4064">
        <v>24</v>
      </c>
      <c r="K4064">
        <v>19.829999999999998</v>
      </c>
      <c r="L4064">
        <v>1</v>
      </c>
    </row>
    <row r="4065" spans="1:12">
      <c r="A4065" t="s">
        <v>11782</v>
      </c>
      <c r="B4065" t="s">
        <v>11783</v>
      </c>
      <c r="C4065" t="s">
        <v>11784</v>
      </c>
      <c r="D4065" t="s">
        <v>23</v>
      </c>
      <c r="E4065" t="s">
        <v>16</v>
      </c>
      <c r="F4065" t="s">
        <v>17</v>
      </c>
      <c r="G4065" t="s">
        <v>18</v>
      </c>
      <c r="H4065" t="s">
        <v>19</v>
      </c>
      <c r="I4065">
        <v>5</v>
      </c>
      <c r="J4065">
        <v>24</v>
      </c>
      <c r="K4065">
        <v>10.6</v>
      </c>
      <c r="L4065">
        <v>1</v>
      </c>
    </row>
    <row r="4066" spans="1:12">
      <c r="A4066" t="s">
        <v>11785</v>
      </c>
      <c r="B4066" t="s">
        <v>11786</v>
      </c>
      <c r="C4066" t="s">
        <v>11787</v>
      </c>
      <c r="D4066" t="s">
        <v>35</v>
      </c>
      <c r="E4066" t="s">
        <v>54</v>
      </c>
      <c r="F4066" t="s">
        <v>36</v>
      </c>
      <c r="G4066" t="s">
        <v>105</v>
      </c>
      <c r="H4066" t="s">
        <v>31</v>
      </c>
      <c r="I4066">
        <v>4</v>
      </c>
      <c r="J4066">
        <v>48</v>
      </c>
      <c r="K4066">
        <v>19.64</v>
      </c>
      <c r="L4066">
        <v>1</v>
      </c>
    </row>
    <row r="4067" spans="1:12">
      <c r="A4067" t="s">
        <v>11788</v>
      </c>
      <c r="B4067" t="s">
        <v>11789</v>
      </c>
      <c r="C4067" t="s">
        <v>11790</v>
      </c>
      <c r="D4067" t="s">
        <v>23</v>
      </c>
      <c r="E4067" t="s">
        <v>28</v>
      </c>
      <c r="F4067" t="s">
        <v>29</v>
      </c>
      <c r="G4067" t="s">
        <v>55</v>
      </c>
      <c r="H4067" t="s">
        <v>31</v>
      </c>
      <c r="I4067">
        <v>3</v>
      </c>
      <c r="J4067">
        <v>24</v>
      </c>
      <c r="K4067">
        <v>15.01</v>
      </c>
      <c r="L4067">
        <v>1</v>
      </c>
    </row>
    <row r="4068" spans="1:12">
      <c r="A4068" t="s">
        <v>11791</v>
      </c>
      <c r="B4068" t="s">
        <v>11792</v>
      </c>
      <c r="C4068" t="s">
        <v>11793</v>
      </c>
      <c r="D4068" t="s">
        <v>15</v>
      </c>
      <c r="E4068" t="s">
        <v>24</v>
      </c>
      <c r="F4068" t="s">
        <v>17</v>
      </c>
      <c r="G4068" t="s">
        <v>172</v>
      </c>
      <c r="H4068" t="s">
        <v>31</v>
      </c>
      <c r="I4068">
        <v>5</v>
      </c>
      <c r="J4068">
        <v>8</v>
      </c>
      <c r="K4068">
        <v>7.31</v>
      </c>
      <c r="L4068">
        <v>1</v>
      </c>
    </row>
    <row r="4069" spans="1:12">
      <c r="A4069" t="s">
        <v>11794</v>
      </c>
      <c r="B4069" t="s">
        <v>11795</v>
      </c>
      <c r="C4069" t="s">
        <v>11796</v>
      </c>
      <c r="D4069" t="s">
        <v>15</v>
      </c>
      <c r="E4069" t="s">
        <v>59</v>
      </c>
      <c r="F4069" t="s">
        <v>17</v>
      </c>
      <c r="G4069" t="s">
        <v>30</v>
      </c>
      <c r="H4069" t="s">
        <v>19</v>
      </c>
      <c r="I4069">
        <v>2</v>
      </c>
      <c r="J4069">
        <v>8</v>
      </c>
      <c r="K4069">
        <v>18.190000000000001</v>
      </c>
      <c r="L4069">
        <v>0</v>
      </c>
    </row>
    <row r="4070" spans="1:12">
      <c r="A4070" t="s">
        <v>11797</v>
      </c>
      <c r="B4070" t="s">
        <v>11798</v>
      </c>
      <c r="C4070" t="s">
        <v>11799</v>
      </c>
      <c r="D4070" t="s">
        <v>23</v>
      </c>
      <c r="E4070" t="s">
        <v>28</v>
      </c>
      <c r="F4070" t="s">
        <v>17</v>
      </c>
      <c r="G4070" t="s">
        <v>30</v>
      </c>
      <c r="H4070" t="s">
        <v>19</v>
      </c>
      <c r="I4070">
        <v>5</v>
      </c>
      <c r="J4070">
        <v>24</v>
      </c>
      <c r="K4070">
        <v>17.72</v>
      </c>
      <c r="L4070">
        <v>1</v>
      </c>
    </row>
    <row r="4071" spans="1:12">
      <c r="A4071" t="s">
        <v>11800</v>
      </c>
      <c r="B4071" t="s">
        <v>11801</v>
      </c>
      <c r="C4071" t="s">
        <v>11802</v>
      </c>
      <c r="D4071" t="s">
        <v>15</v>
      </c>
      <c r="E4071" t="s">
        <v>28</v>
      </c>
      <c r="F4071" t="s">
        <v>41</v>
      </c>
      <c r="G4071" t="s">
        <v>45</v>
      </c>
      <c r="H4071" t="s">
        <v>19</v>
      </c>
      <c r="I4071">
        <v>1</v>
      </c>
      <c r="J4071">
        <v>8</v>
      </c>
      <c r="K4071">
        <v>21.24</v>
      </c>
      <c r="L4071">
        <v>0</v>
      </c>
    </row>
    <row r="4072" spans="1:12">
      <c r="A4072" t="s">
        <v>11803</v>
      </c>
      <c r="B4072" t="s">
        <v>11804</v>
      </c>
      <c r="C4072" t="s">
        <v>11805</v>
      </c>
      <c r="D4072" t="s">
        <v>15</v>
      </c>
      <c r="E4072" t="s">
        <v>16</v>
      </c>
      <c r="F4072" t="s">
        <v>36</v>
      </c>
      <c r="G4072" t="s">
        <v>45</v>
      </c>
      <c r="H4072" t="s">
        <v>19</v>
      </c>
      <c r="I4072">
        <v>4</v>
      </c>
      <c r="J4072">
        <v>8</v>
      </c>
      <c r="K4072">
        <v>656</v>
      </c>
      <c r="L4072">
        <v>0</v>
      </c>
    </row>
    <row r="4073" spans="1:12">
      <c r="A4073" t="s">
        <v>11806</v>
      </c>
      <c r="B4073" t="s">
        <v>11807</v>
      </c>
      <c r="C4073" t="s">
        <v>11808</v>
      </c>
      <c r="D4073" t="s">
        <v>15</v>
      </c>
      <c r="E4073" t="s">
        <v>28</v>
      </c>
      <c r="F4073" t="s">
        <v>29</v>
      </c>
      <c r="G4073" t="s">
        <v>37</v>
      </c>
      <c r="H4073" t="s">
        <v>31</v>
      </c>
      <c r="I4073">
        <v>3</v>
      </c>
      <c r="J4073">
        <v>8</v>
      </c>
      <c r="K4073">
        <v>2.17</v>
      </c>
      <c r="L4073">
        <v>1</v>
      </c>
    </row>
    <row r="4074" spans="1:12">
      <c r="A4074" t="s">
        <v>11809</v>
      </c>
      <c r="B4074" t="s">
        <v>11810</v>
      </c>
      <c r="C4074" t="s">
        <v>11811</v>
      </c>
      <c r="D4074" t="s">
        <v>35</v>
      </c>
      <c r="E4074" t="s">
        <v>28</v>
      </c>
      <c r="F4074" t="s">
        <v>36</v>
      </c>
      <c r="G4074" t="s">
        <v>37</v>
      </c>
      <c r="H4074" t="s">
        <v>31</v>
      </c>
      <c r="I4074">
        <v>4</v>
      </c>
      <c r="J4074">
        <v>48</v>
      </c>
      <c r="K4074">
        <v>18.100000000000001</v>
      </c>
      <c r="L4074">
        <v>1</v>
      </c>
    </row>
    <row r="4075" spans="1:12">
      <c r="A4075" t="s">
        <v>11812</v>
      </c>
      <c r="B4075" t="s">
        <v>11813</v>
      </c>
      <c r="C4075" t="s">
        <v>11814</v>
      </c>
      <c r="D4075" t="s">
        <v>23</v>
      </c>
      <c r="E4075" t="s">
        <v>24</v>
      </c>
      <c r="F4075" t="s">
        <v>36</v>
      </c>
      <c r="G4075" t="s">
        <v>151</v>
      </c>
      <c r="H4075" t="s">
        <v>19</v>
      </c>
      <c r="I4075">
        <v>3</v>
      </c>
      <c r="J4075">
        <v>24</v>
      </c>
      <c r="K4075">
        <v>12.05</v>
      </c>
      <c r="L4075">
        <v>1</v>
      </c>
    </row>
    <row r="4076" spans="1:12">
      <c r="A4076" t="s">
        <v>11815</v>
      </c>
      <c r="B4076" t="s">
        <v>11816</v>
      </c>
      <c r="D4076" t="s">
        <v>23</v>
      </c>
      <c r="E4076" t="s">
        <v>59</v>
      </c>
      <c r="F4076" t="s">
        <v>36</v>
      </c>
      <c r="G4076" t="s">
        <v>172</v>
      </c>
      <c r="H4076" t="s">
        <v>63</v>
      </c>
      <c r="J4076">
        <v>24</v>
      </c>
    </row>
    <row r="4077" spans="1:12">
      <c r="A4077" t="s">
        <v>11817</v>
      </c>
      <c r="B4077" t="s">
        <v>11818</v>
      </c>
      <c r="C4077" t="s">
        <v>11819</v>
      </c>
      <c r="D4077" t="s">
        <v>35</v>
      </c>
      <c r="E4077" t="s">
        <v>54</v>
      </c>
      <c r="F4077" t="s">
        <v>41</v>
      </c>
      <c r="G4077" t="s">
        <v>77</v>
      </c>
      <c r="H4077" t="s">
        <v>19</v>
      </c>
      <c r="I4077">
        <v>4</v>
      </c>
      <c r="J4077">
        <v>48</v>
      </c>
      <c r="K4077">
        <v>4.91</v>
      </c>
      <c r="L4077">
        <v>1</v>
      </c>
    </row>
    <row r="4078" spans="1:12">
      <c r="A4078" t="s">
        <v>11820</v>
      </c>
      <c r="B4078" t="s">
        <v>11821</v>
      </c>
      <c r="C4078" t="s">
        <v>11822</v>
      </c>
      <c r="D4078" t="s">
        <v>23</v>
      </c>
      <c r="E4078" t="s">
        <v>59</v>
      </c>
      <c r="F4078" t="s">
        <v>36</v>
      </c>
      <c r="G4078" t="s">
        <v>105</v>
      </c>
      <c r="H4078" t="s">
        <v>19</v>
      </c>
      <c r="I4078">
        <v>2</v>
      </c>
      <c r="J4078">
        <v>24</v>
      </c>
      <c r="K4078">
        <v>46.43</v>
      </c>
      <c r="L4078">
        <v>0</v>
      </c>
    </row>
    <row r="4079" spans="1:12">
      <c r="A4079" t="s">
        <v>11823</v>
      </c>
      <c r="B4079" t="s">
        <v>11824</v>
      </c>
      <c r="C4079" t="s">
        <v>11825</v>
      </c>
      <c r="D4079" t="s">
        <v>35</v>
      </c>
      <c r="E4079" t="s">
        <v>28</v>
      </c>
      <c r="F4079" t="s">
        <v>29</v>
      </c>
      <c r="G4079" t="s">
        <v>18</v>
      </c>
      <c r="H4079" t="s">
        <v>31</v>
      </c>
      <c r="I4079">
        <v>4</v>
      </c>
      <c r="J4079">
        <v>48</v>
      </c>
      <c r="K4079">
        <v>33.21</v>
      </c>
      <c r="L4079">
        <v>1</v>
      </c>
    </row>
    <row r="4080" spans="1:12">
      <c r="A4080" t="s">
        <v>11826</v>
      </c>
      <c r="B4080" t="s">
        <v>11827</v>
      </c>
      <c r="C4080" t="s">
        <v>11828</v>
      </c>
      <c r="D4080" t="s">
        <v>35</v>
      </c>
      <c r="E4080" t="s">
        <v>28</v>
      </c>
      <c r="F4080" t="s">
        <v>29</v>
      </c>
      <c r="G4080" t="s">
        <v>105</v>
      </c>
      <c r="H4080" t="s">
        <v>31</v>
      </c>
      <c r="I4080">
        <v>5</v>
      </c>
      <c r="J4080">
        <v>48</v>
      </c>
      <c r="K4080">
        <v>8.14</v>
      </c>
      <c r="L4080">
        <v>1</v>
      </c>
    </row>
    <row r="4081" spans="1:12">
      <c r="A4081" t="s">
        <v>11829</v>
      </c>
      <c r="B4081" t="s">
        <v>11830</v>
      </c>
      <c r="C4081" t="s">
        <v>11831</v>
      </c>
      <c r="D4081" t="s">
        <v>23</v>
      </c>
      <c r="E4081" t="s">
        <v>24</v>
      </c>
      <c r="F4081" t="s">
        <v>41</v>
      </c>
      <c r="G4081" t="s">
        <v>55</v>
      </c>
      <c r="H4081" t="s">
        <v>19</v>
      </c>
      <c r="I4081">
        <v>5</v>
      </c>
      <c r="J4081">
        <v>24</v>
      </c>
      <c r="K4081">
        <v>4.6100000000000003</v>
      </c>
      <c r="L4081">
        <v>1</v>
      </c>
    </row>
    <row r="4082" spans="1:12">
      <c r="A4082" t="s">
        <v>11832</v>
      </c>
      <c r="B4082" t="s">
        <v>11833</v>
      </c>
      <c r="C4082" t="s">
        <v>11834</v>
      </c>
      <c r="D4082" t="s">
        <v>15</v>
      </c>
      <c r="E4082" t="s">
        <v>24</v>
      </c>
      <c r="F4082" t="s">
        <v>29</v>
      </c>
      <c r="G4082" t="s">
        <v>37</v>
      </c>
      <c r="H4082" t="s">
        <v>31</v>
      </c>
      <c r="I4082">
        <v>5</v>
      </c>
      <c r="J4082">
        <v>8</v>
      </c>
      <c r="K4082">
        <v>5.07</v>
      </c>
      <c r="L4082">
        <v>1</v>
      </c>
    </row>
    <row r="4083" spans="1:12">
      <c r="A4083" t="s">
        <v>11835</v>
      </c>
      <c r="B4083" t="s">
        <v>11836</v>
      </c>
      <c r="C4083" t="s">
        <v>11837</v>
      </c>
      <c r="D4083" t="s">
        <v>15</v>
      </c>
      <c r="E4083" t="s">
        <v>24</v>
      </c>
      <c r="F4083" t="s">
        <v>36</v>
      </c>
      <c r="G4083" t="s">
        <v>45</v>
      </c>
      <c r="H4083" t="s">
        <v>19</v>
      </c>
      <c r="I4083">
        <v>4</v>
      </c>
      <c r="J4083">
        <v>8</v>
      </c>
      <c r="K4083">
        <v>6.96</v>
      </c>
      <c r="L4083">
        <v>1</v>
      </c>
    </row>
    <row r="4084" spans="1:12">
      <c r="A4084" t="s">
        <v>11838</v>
      </c>
      <c r="B4084" t="s">
        <v>11839</v>
      </c>
      <c r="C4084" t="s">
        <v>11840</v>
      </c>
      <c r="D4084" t="s">
        <v>23</v>
      </c>
      <c r="E4084" t="s">
        <v>24</v>
      </c>
      <c r="F4084" t="s">
        <v>29</v>
      </c>
      <c r="G4084" t="s">
        <v>42</v>
      </c>
      <c r="H4084" t="s">
        <v>19</v>
      </c>
      <c r="I4084">
        <v>5</v>
      </c>
      <c r="J4084">
        <v>24</v>
      </c>
      <c r="K4084">
        <v>8.1999999999999993</v>
      </c>
      <c r="L4084">
        <v>1</v>
      </c>
    </row>
    <row r="4085" spans="1:12">
      <c r="A4085" t="s">
        <v>11841</v>
      </c>
      <c r="B4085" t="s">
        <v>11842</v>
      </c>
      <c r="D4085" t="s">
        <v>15</v>
      </c>
      <c r="E4085" t="s">
        <v>59</v>
      </c>
      <c r="F4085" t="s">
        <v>17</v>
      </c>
      <c r="G4085" t="s">
        <v>18</v>
      </c>
      <c r="H4085" t="s">
        <v>63</v>
      </c>
      <c r="J4085">
        <v>8</v>
      </c>
    </row>
    <row r="4086" spans="1:12">
      <c r="A4086" t="s">
        <v>11843</v>
      </c>
      <c r="B4086" t="s">
        <v>11844</v>
      </c>
      <c r="C4086" t="s">
        <v>11845</v>
      </c>
      <c r="D4086" t="s">
        <v>23</v>
      </c>
      <c r="E4086" t="s">
        <v>16</v>
      </c>
      <c r="F4086" t="s">
        <v>36</v>
      </c>
      <c r="G4086" t="s">
        <v>55</v>
      </c>
      <c r="H4086" t="s">
        <v>31</v>
      </c>
      <c r="I4086">
        <v>3</v>
      </c>
      <c r="J4086">
        <v>24</v>
      </c>
      <c r="K4086">
        <v>30.79</v>
      </c>
      <c r="L4086">
        <v>0</v>
      </c>
    </row>
    <row r="4087" spans="1:12">
      <c r="A4087" t="s">
        <v>11846</v>
      </c>
      <c r="B4087" t="s">
        <v>11847</v>
      </c>
      <c r="C4087" t="s">
        <v>11848</v>
      </c>
      <c r="D4087" t="s">
        <v>15</v>
      </c>
      <c r="E4087" t="s">
        <v>59</v>
      </c>
      <c r="F4087" t="s">
        <v>36</v>
      </c>
      <c r="G4087" t="s">
        <v>151</v>
      </c>
      <c r="H4087" t="s">
        <v>31</v>
      </c>
      <c r="I4087">
        <v>5</v>
      </c>
      <c r="J4087">
        <v>8</v>
      </c>
      <c r="K4087">
        <v>3.94</v>
      </c>
      <c r="L4087">
        <v>1</v>
      </c>
    </row>
    <row r="4088" spans="1:12">
      <c r="A4088" t="s">
        <v>11849</v>
      </c>
      <c r="B4088" t="s">
        <v>11850</v>
      </c>
      <c r="C4088" t="s">
        <v>11851</v>
      </c>
      <c r="D4088" t="s">
        <v>15</v>
      </c>
      <c r="E4088" t="s">
        <v>24</v>
      </c>
      <c r="F4088" t="s">
        <v>17</v>
      </c>
      <c r="G4088" t="s">
        <v>172</v>
      </c>
      <c r="H4088" t="s">
        <v>31</v>
      </c>
      <c r="I4088">
        <v>3</v>
      </c>
      <c r="J4088">
        <v>8</v>
      </c>
      <c r="K4088">
        <v>11.05</v>
      </c>
      <c r="L4088">
        <v>0</v>
      </c>
    </row>
    <row r="4089" spans="1:12">
      <c r="A4089" t="s">
        <v>11852</v>
      </c>
      <c r="B4089" t="s">
        <v>11853</v>
      </c>
      <c r="C4089" t="s">
        <v>11854</v>
      </c>
      <c r="D4089" t="s">
        <v>35</v>
      </c>
      <c r="E4089" t="s">
        <v>16</v>
      </c>
      <c r="F4089" t="s">
        <v>60</v>
      </c>
      <c r="G4089" t="s">
        <v>105</v>
      </c>
      <c r="H4089" t="s">
        <v>19</v>
      </c>
      <c r="I4089">
        <v>5</v>
      </c>
      <c r="J4089">
        <v>48</v>
      </c>
      <c r="K4089">
        <v>39.1</v>
      </c>
      <c r="L4089">
        <v>1</v>
      </c>
    </row>
    <row r="4090" spans="1:12">
      <c r="A4090" t="s">
        <v>11855</v>
      </c>
      <c r="B4090" t="s">
        <v>11856</v>
      </c>
      <c r="C4090" t="s">
        <v>11857</v>
      </c>
      <c r="D4090" t="s">
        <v>23</v>
      </c>
      <c r="E4090" t="s">
        <v>28</v>
      </c>
      <c r="F4090" t="s">
        <v>60</v>
      </c>
      <c r="G4090" t="s">
        <v>50</v>
      </c>
      <c r="H4090" t="s">
        <v>19</v>
      </c>
      <c r="I4090">
        <v>5</v>
      </c>
      <c r="J4090">
        <v>24</v>
      </c>
      <c r="K4090">
        <v>4.33</v>
      </c>
      <c r="L4090">
        <v>1</v>
      </c>
    </row>
    <row r="4091" spans="1:12">
      <c r="A4091" t="s">
        <v>11858</v>
      </c>
      <c r="B4091" t="s">
        <v>11859</v>
      </c>
      <c r="C4091" t="s">
        <v>11860</v>
      </c>
      <c r="D4091" t="s">
        <v>35</v>
      </c>
      <c r="E4091" t="s">
        <v>16</v>
      </c>
      <c r="F4091" t="s">
        <v>17</v>
      </c>
      <c r="G4091" t="s">
        <v>30</v>
      </c>
      <c r="H4091" t="s">
        <v>31</v>
      </c>
      <c r="I4091">
        <v>4</v>
      </c>
      <c r="J4091">
        <v>48</v>
      </c>
      <c r="K4091">
        <v>7.13</v>
      </c>
      <c r="L4091">
        <v>1</v>
      </c>
    </row>
    <row r="4092" spans="1:12">
      <c r="A4092" t="s">
        <v>11861</v>
      </c>
      <c r="B4092" t="s">
        <v>11862</v>
      </c>
      <c r="C4092" t="s">
        <v>11863</v>
      </c>
      <c r="D4092" t="s">
        <v>35</v>
      </c>
      <c r="E4092" t="s">
        <v>54</v>
      </c>
      <c r="F4092" t="s">
        <v>41</v>
      </c>
      <c r="G4092" t="s">
        <v>55</v>
      </c>
      <c r="H4092" t="s">
        <v>31</v>
      </c>
      <c r="I4092">
        <v>3</v>
      </c>
      <c r="J4092">
        <v>48</v>
      </c>
      <c r="K4092">
        <v>34.07</v>
      </c>
      <c r="L4092">
        <v>1</v>
      </c>
    </row>
    <row r="4093" spans="1:12">
      <c r="A4093" t="s">
        <v>11864</v>
      </c>
      <c r="B4093" t="s">
        <v>11865</v>
      </c>
      <c r="C4093" t="s">
        <v>11866</v>
      </c>
      <c r="D4093" t="s">
        <v>15</v>
      </c>
      <c r="E4093" t="s">
        <v>16</v>
      </c>
      <c r="F4093" t="s">
        <v>29</v>
      </c>
      <c r="G4093" t="s">
        <v>151</v>
      </c>
      <c r="H4093" t="s">
        <v>19</v>
      </c>
      <c r="I4093">
        <v>4</v>
      </c>
      <c r="J4093">
        <v>8</v>
      </c>
      <c r="K4093">
        <v>5.65</v>
      </c>
      <c r="L4093">
        <v>1</v>
      </c>
    </row>
    <row r="4094" spans="1:12">
      <c r="A4094" t="s">
        <v>11867</v>
      </c>
      <c r="B4094" t="s">
        <v>11868</v>
      </c>
      <c r="C4094" t="s">
        <v>11869</v>
      </c>
      <c r="D4094" t="s">
        <v>158</v>
      </c>
      <c r="E4094" t="s">
        <v>24</v>
      </c>
      <c r="F4094" t="s">
        <v>29</v>
      </c>
      <c r="G4094" t="s">
        <v>172</v>
      </c>
      <c r="H4094" t="s">
        <v>31</v>
      </c>
      <c r="I4094">
        <v>1</v>
      </c>
      <c r="J4094">
        <v>4</v>
      </c>
      <c r="K4094">
        <v>6.81</v>
      </c>
      <c r="L4094">
        <v>0</v>
      </c>
    </row>
    <row r="4095" spans="1:12">
      <c r="A4095" t="s">
        <v>11870</v>
      </c>
      <c r="B4095" t="s">
        <v>11871</v>
      </c>
      <c r="C4095" t="s">
        <v>11872</v>
      </c>
      <c r="D4095" t="s">
        <v>23</v>
      </c>
      <c r="E4095" t="s">
        <v>24</v>
      </c>
      <c r="F4095" t="s">
        <v>41</v>
      </c>
      <c r="G4095" t="s">
        <v>37</v>
      </c>
      <c r="H4095" t="s">
        <v>31</v>
      </c>
      <c r="I4095">
        <v>4</v>
      </c>
      <c r="J4095">
        <v>24</v>
      </c>
      <c r="K4095">
        <v>7.72</v>
      </c>
      <c r="L4095">
        <v>1</v>
      </c>
    </row>
    <row r="4096" spans="1:12">
      <c r="A4096" t="s">
        <v>11873</v>
      </c>
      <c r="B4096" t="s">
        <v>11874</v>
      </c>
      <c r="C4096" t="s">
        <v>11875</v>
      </c>
      <c r="D4096" t="s">
        <v>23</v>
      </c>
      <c r="E4096" t="s">
        <v>16</v>
      </c>
      <c r="F4096" t="s">
        <v>29</v>
      </c>
      <c r="G4096" t="s">
        <v>37</v>
      </c>
      <c r="H4096" t="s">
        <v>19</v>
      </c>
      <c r="I4096">
        <v>1</v>
      </c>
      <c r="J4096">
        <v>24</v>
      </c>
      <c r="K4096">
        <v>33.729999999999997</v>
      </c>
      <c r="L4096">
        <v>0</v>
      </c>
    </row>
    <row r="4097" spans="1:12">
      <c r="A4097" t="s">
        <v>11876</v>
      </c>
      <c r="B4097" t="s">
        <v>11877</v>
      </c>
      <c r="C4097" t="s">
        <v>11878</v>
      </c>
      <c r="D4097" t="s">
        <v>35</v>
      </c>
      <c r="E4097" t="s">
        <v>28</v>
      </c>
      <c r="F4097" t="s">
        <v>17</v>
      </c>
      <c r="G4097" t="s">
        <v>151</v>
      </c>
      <c r="H4097" t="s">
        <v>31</v>
      </c>
      <c r="I4097">
        <v>3</v>
      </c>
      <c r="J4097">
        <v>48</v>
      </c>
      <c r="K4097">
        <v>38.22</v>
      </c>
      <c r="L4097">
        <v>1</v>
      </c>
    </row>
    <row r="4098" spans="1:12">
      <c r="A4098" t="s">
        <v>11879</v>
      </c>
      <c r="B4098" t="s">
        <v>11880</v>
      </c>
      <c r="C4098" t="s">
        <v>11881</v>
      </c>
      <c r="D4098" t="s">
        <v>23</v>
      </c>
      <c r="E4098" t="s">
        <v>16</v>
      </c>
      <c r="F4098" t="s">
        <v>36</v>
      </c>
      <c r="G4098" t="s">
        <v>105</v>
      </c>
      <c r="H4098" t="s">
        <v>19</v>
      </c>
      <c r="I4098">
        <v>3</v>
      </c>
      <c r="J4098">
        <v>24</v>
      </c>
      <c r="K4098">
        <v>66.67</v>
      </c>
      <c r="L4098">
        <v>0</v>
      </c>
    </row>
    <row r="4099" spans="1:12">
      <c r="A4099" t="s">
        <v>11882</v>
      </c>
      <c r="B4099" t="s">
        <v>11883</v>
      </c>
      <c r="D4099" t="s">
        <v>35</v>
      </c>
      <c r="E4099" t="s">
        <v>54</v>
      </c>
      <c r="F4099" t="s">
        <v>36</v>
      </c>
      <c r="G4099" t="s">
        <v>55</v>
      </c>
      <c r="H4099" t="s">
        <v>63</v>
      </c>
      <c r="J4099">
        <v>48</v>
      </c>
    </row>
    <row r="4100" spans="1:12">
      <c r="A4100" t="s">
        <v>11884</v>
      </c>
      <c r="B4100" t="s">
        <v>11885</v>
      </c>
      <c r="C4100" t="s">
        <v>11886</v>
      </c>
      <c r="D4100" t="s">
        <v>158</v>
      </c>
      <c r="E4100" t="s">
        <v>16</v>
      </c>
      <c r="F4100" t="s">
        <v>17</v>
      </c>
      <c r="G4100" t="s">
        <v>50</v>
      </c>
      <c r="H4100" t="s">
        <v>31</v>
      </c>
      <c r="I4100">
        <v>4</v>
      </c>
      <c r="J4100">
        <v>4</v>
      </c>
      <c r="K4100">
        <v>2.19</v>
      </c>
      <c r="L4100">
        <v>1</v>
      </c>
    </row>
    <row r="4101" spans="1:12">
      <c r="A4101" t="s">
        <v>11887</v>
      </c>
      <c r="B4101" t="s">
        <v>11888</v>
      </c>
      <c r="C4101" t="s">
        <v>11889</v>
      </c>
      <c r="D4101" t="s">
        <v>35</v>
      </c>
      <c r="E4101" t="s">
        <v>54</v>
      </c>
      <c r="F4101" t="s">
        <v>60</v>
      </c>
      <c r="G4101" t="s">
        <v>50</v>
      </c>
      <c r="H4101" t="s">
        <v>19</v>
      </c>
      <c r="I4101">
        <v>3</v>
      </c>
      <c r="J4101">
        <v>48</v>
      </c>
      <c r="K4101">
        <v>25.03</v>
      </c>
      <c r="L4101">
        <v>1</v>
      </c>
    </row>
    <row r="4102" spans="1:12">
      <c r="A4102" t="s">
        <v>11890</v>
      </c>
      <c r="B4102" t="s">
        <v>11891</v>
      </c>
      <c r="C4102" t="s">
        <v>11892</v>
      </c>
      <c r="D4102" t="s">
        <v>23</v>
      </c>
      <c r="E4102" t="s">
        <v>28</v>
      </c>
      <c r="F4102" t="s">
        <v>41</v>
      </c>
      <c r="G4102" t="s">
        <v>77</v>
      </c>
      <c r="H4102" t="s">
        <v>19</v>
      </c>
      <c r="I4102">
        <v>2</v>
      </c>
      <c r="J4102">
        <v>24</v>
      </c>
      <c r="K4102">
        <v>30.12</v>
      </c>
      <c r="L4102">
        <v>0</v>
      </c>
    </row>
    <row r="4103" spans="1:12">
      <c r="A4103" t="s">
        <v>11893</v>
      </c>
      <c r="B4103" t="s">
        <v>11894</v>
      </c>
      <c r="C4103" t="s">
        <v>11895</v>
      </c>
      <c r="D4103" t="s">
        <v>23</v>
      </c>
      <c r="E4103" t="s">
        <v>16</v>
      </c>
      <c r="F4103" t="s">
        <v>41</v>
      </c>
      <c r="G4103" t="s">
        <v>45</v>
      </c>
      <c r="H4103" t="s">
        <v>19</v>
      </c>
      <c r="I4103">
        <v>2</v>
      </c>
      <c r="J4103">
        <v>24</v>
      </c>
      <c r="K4103">
        <v>46.24</v>
      </c>
      <c r="L4103">
        <v>0</v>
      </c>
    </row>
    <row r="4104" spans="1:12">
      <c r="A4104" t="s">
        <v>11896</v>
      </c>
      <c r="B4104" t="s">
        <v>11897</v>
      </c>
      <c r="C4104" t="s">
        <v>11898</v>
      </c>
      <c r="D4104" t="s">
        <v>23</v>
      </c>
      <c r="E4104" t="s">
        <v>54</v>
      </c>
      <c r="F4104" t="s">
        <v>60</v>
      </c>
      <c r="G4104" t="s">
        <v>151</v>
      </c>
      <c r="H4104" t="s">
        <v>19</v>
      </c>
      <c r="I4104">
        <v>3</v>
      </c>
      <c r="J4104">
        <v>24</v>
      </c>
      <c r="K4104">
        <v>5.81</v>
      </c>
      <c r="L4104">
        <v>1</v>
      </c>
    </row>
    <row r="4105" spans="1:12">
      <c r="A4105" t="s">
        <v>11899</v>
      </c>
      <c r="B4105" t="s">
        <v>11900</v>
      </c>
      <c r="C4105" t="s">
        <v>11901</v>
      </c>
      <c r="D4105" t="s">
        <v>35</v>
      </c>
      <c r="E4105" t="s">
        <v>16</v>
      </c>
      <c r="F4105" t="s">
        <v>17</v>
      </c>
      <c r="G4105" t="s">
        <v>172</v>
      </c>
      <c r="H4105" t="s">
        <v>19</v>
      </c>
      <c r="I4105">
        <v>2</v>
      </c>
      <c r="J4105">
        <v>48</v>
      </c>
      <c r="K4105">
        <v>118.67</v>
      </c>
      <c r="L4105">
        <v>0</v>
      </c>
    </row>
    <row r="4106" spans="1:12">
      <c r="A4106" t="s">
        <v>11902</v>
      </c>
      <c r="B4106" t="s">
        <v>11903</v>
      </c>
      <c r="C4106" t="s">
        <v>11904</v>
      </c>
      <c r="D4106" t="s">
        <v>23</v>
      </c>
      <c r="E4106" t="s">
        <v>16</v>
      </c>
      <c r="F4106" t="s">
        <v>60</v>
      </c>
      <c r="G4106" t="s">
        <v>151</v>
      </c>
      <c r="H4106" t="s">
        <v>31</v>
      </c>
      <c r="I4106">
        <v>4</v>
      </c>
      <c r="J4106">
        <v>24</v>
      </c>
      <c r="K4106">
        <v>3.39</v>
      </c>
      <c r="L4106">
        <v>1</v>
      </c>
    </row>
    <row r="4107" spans="1:12">
      <c r="A4107" t="s">
        <v>11905</v>
      </c>
      <c r="B4107" t="s">
        <v>11906</v>
      </c>
      <c r="C4107" t="s">
        <v>11907</v>
      </c>
      <c r="D4107" t="s">
        <v>23</v>
      </c>
      <c r="E4107" t="s">
        <v>28</v>
      </c>
      <c r="F4107" t="s">
        <v>60</v>
      </c>
      <c r="G4107" t="s">
        <v>37</v>
      </c>
      <c r="H4107" t="s">
        <v>31</v>
      </c>
      <c r="I4107">
        <v>5</v>
      </c>
      <c r="J4107">
        <v>24</v>
      </c>
      <c r="K4107">
        <v>13.44</v>
      </c>
      <c r="L4107">
        <v>1</v>
      </c>
    </row>
    <row r="4108" spans="1:12">
      <c r="A4108" t="s">
        <v>11908</v>
      </c>
      <c r="B4108" t="s">
        <v>11909</v>
      </c>
      <c r="C4108" t="s">
        <v>11910</v>
      </c>
      <c r="D4108" t="s">
        <v>15</v>
      </c>
      <c r="E4108" t="s">
        <v>16</v>
      </c>
      <c r="F4108" t="s">
        <v>29</v>
      </c>
      <c r="G4108" t="s">
        <v>77</v>
      </c>
      <c r="H4108" t="s">
        <v>19</v>
      </c>
      <c r="I4108">
        <v>2</v>
      </c>
      <c r="J4108">
        <v>8</v>
      </c>
      <c r="K4108">
        <v>16.190000000000001</v>
      </c>
      <c r="L4108">
        <v>0</v>
      </c>
    </row>
    <row r="4109" spans="1:12">
      <c r="A4109" t="s">
        <v>11911</v>
      </c>
      <c r="B4109" t="s">
        <v>11912</v>
      </c>
      <c r="C4109" t="s">
        <v>11913</v>
      </c>
      <c r="D4109" t="s">
        <v>35</v>
      </c>
      <c r="E4109" t="s">
        <v>54</v>
      </c>
      <c r="F4109" t="s">
        <v>60</v>
      </c>
      <c r="G4109" t="s">
        <v>151</v>
      </c>
      <c r="H4109" t="s">
        <v>31</v>
      </c>
      <c r="I4109">
        <v>4</v>
      </c>
      <c r="J4109">
        <v>48</v>
      </c>
      <c r="K4109">
        <v>27.24</v>
      </c>
      <c r="L4109">
        <v>1</v>
      </c>
    </row>
    <row r="4110" spans="1:12">
      <c r="A4110" t="s">
        <v>11914</v>
      </c>
      <c r="B4110" t="s">
        <v>11915</v>
      </c>
      <c r="C4110" t="s">
        <v>11916</v>
      </c>
      <c r="D4110" t="s">
        <v>23</v>
      </c>
      <c r="E4110" t="s">
        <v>54</v>
      </c>
      <c r="F4110" t="s">
        <v>60</v>
      </c>
      <c r="G4110" t="s">
        <v>50</v>
      </c>
      <c r="H4110" t="s">
        <v>31</v>
      </c>
      <c r="I4110">
        <v>3</v>
      </c>
      <c r="J4110">
        <v>24</v>
      </c>
      <c r="K4110">
        <v>5.35</v>
      </c>
      <c r="L4110">
        <v>1</v>
      </c>
    </row>
    <row r="4111" spans="1:12">
      <c r="A4111" t="s">
        <v>11917</v>
      </c>
      <c r="B4111" t="s">
        <v>11918</v>
      </c>
      <c r="C4111" t="s">
        <v>11919</v>
      </c>
      <c r="D4111" t="s">
        <v>23</v>
      </c>
      <c r="E4111" t="s">
        <v>24</v>
      </c>
      <c r="F4111" t="s">
        <v>41</v>
      </c>
      <c r="G4111" t="s">
        <v>45</v>
      </c>
      <c r="H4111" t="s">
        <v>19</v>
      </c>
      <c r="I4111">
        <v>5</v>
      </c>
      <c r="J4111">
        <v>24</v>
      </c>
      <c r="K4111">
        <v>5.43</v>
      </c>
      <c r="L4111">
        <v>1</v>
      </c>
    </row>
    <row r="4112" spans="1:12">
      <c r="A4112" t="s">
        <v>11920</v>
      </c>
      <c r="B4112" t="s">
        <v>11921</v>
      </c>
      <c r="C4112" t="s">
        <v>11922</v>
      </c>
      <c r="D4112" t="s">
        <v>23</v>
      </c>
      <c r="E4112" t="s">
        <v>54</v>
      </c>
      <c r="F4112" t="s">
        <v>60</v>
      </c>
      <c r="G4112" t="s">
        <v>55</v>
      </c>
      <c r="H4112" t="s">
        <v>19</v>
      </c>
      <c r="I4112">
        <v>4</v>
      </c>
      <c r="J4112">
        <v>24</v>
      </c>
      <c r="K4112">
        <v>16.239999999999998</v>
      </c>
      <c r="L4112">
        <v>1</v>
      </c>
    </row>
    <row r="4113" spans="1:12">
      <c r="A4113" t="s">
        <v>11923</v>
      </c>
      <c r="B4113" t="s">
        <v>11924</v>
      </c>
      <c r="C4113" t="s">
        <v>11925</v>
      </c>
      <c r="D4113" t="s">
        <v>15</v>
      </c>
      <c r="E4113" t="s">
        <v>54</v>
      </c>
      <c r="F4113" t="s">
        <v>60</v>
      </c>
      <c r="G4113" t="s">
        <v>18</v>
      </c>
      <c r="H4113" t="s">
        <v>19</v>
      </c>
      <c r="I4113">
        <v>5</v>
      </c>
      <c r="J4113">
        <v>8</v>
      </c>
      <c r="K4113">
        <v>4.41</v>
      </c>
      <c r="L4113">
        <v>1</v>
      </c>
    </row>
    <row r="4114" spans="1:12">
      <c r="A4114" t="s">
        <v>11926</v>
      </c>
      <c r="B4114" t="s">
        <v>11927</v>
      </c>
      <c r="C4114" t="s">
        <v>11928</v>
      </c>
      <c r="D4114" t="s">
        <v>23</v>
      </c>
      <c r="E4114" t="s">
        <v>28</v>
      </c>
      <c r="F4114" t="s">
        <v>17</v>
      </c>
      <c r="G4114" t="s">
        <v>18</v>
      </c>
      <c r="H4114" t="s">
        <v>19</v>
      </c>
      <c r="I4114">
        <v>4</v>
      </c>
      <c r="J4114">
        <v>24</v>
      </c>
      <c r="K4114">
        <v>11.04</v>
      </c>
      <c r="L4114">
        <v>1</v>
      </c>
    </row>
    <row r="4115" spans="1:12">
      <c r="A4115" t="s">
        <v>11929</v>
      </c>
      <c r="B4115" t="s">
        <v>11930</v>
      </c>
      <c r="C4115" t="s">
        <v>11931</v>
      </c>
      <c r="D4115" t="s">
        <v>23</v>
      </c>
      <c r="E4115" t="s">
        <v>28</v>
      </c>
      <c r="F4115" t="s">
        <v>60</v>
      </c>
      <c r="G4115" t="s">
        <v>50</v>
      </c>
      <c r="H4115" t="s">
        <v>19</v>
      </c>
      <c r="I4115">
        <v>5</v>
      </c>
      <c r="J4115">
        <v>24</v>
      </c>
      <c r="K4115">
        <v>4.72</v>
      </c>
      <c r="L4115">
        <v>1</v>
      </c>
    </row>
    <row r="4116" spans="1:12">
      <c r="A4116" t="s">
        <v>11932</v>
      </c>
      <c r="B4116" t="s">
        <v>11933</v>
      </c>
      <c r="C4116" t="s">
        <v>11934</v>
      </c>
      <c r="D4116" t="s">
        <v>23</v>
      </c>
      <c r="E4116" t="s">
        <v>54</v>
      </c>
      <c r="F4116" t="s">
        <v>17</v>
      </c>
      <c r="G4116" t="s">
        <v>45</v>
      </c>
      <c r="H4116" t="s">
        <v>31</v>
      </c>
      <c r="I4116">
        <v>5</v>
      </c>
      <c r="J4116">
        <v>24</v>
      </c>
      <c r="K4116">
        <v>7.11</v>
      </c>
      <c r="L4116">
        <v>1</v>
      </c>
    </row>
    <row r="4117" spans="1:12">
      <c r="A4117" t="s">
        <v>11935</v>
      </c>
      <c r="B4117" t="s">
        <v>11936</v>
      </c>
      <c r="C4117" t="s">
        <v>11937</v>
      </c>
      <c r="D4117" t="s">
        <v>15</v>
      </c>
      <c r="E4117" t="s">
        <v>54</v>
      </c>
      <c r="F4117" t="s">
        <v>36</v>
      </c>
      <c r="G4117" t="s">
        <v>50</v>
      </c>
      <c r="H4117" t="s">
        <v>31</v>
      </c>
      <c r="I4117">
        <v>5</v>
      </c>
      <c r="J4117">
        <v>8</v>
      </c>
      <c r="K4117">
        <v>3.08</v>
      </c>
      <c r="L4117">
        <v>1</v>
      </c>
    </row>
    <row r="4118" spans="1:12">
      <c r="A4118" t="s">
        <v>11938</v>
      </c>
      <c r="B4118" t="s">
        <v>11939</v>
      </c>
      <c r="C4118" t="s">
        <v>11940</v>
      </c>
      <c r="D4118" t="s">
        <v>15</v>
      </c>
      <c r="E4118" t="s">
        <v>54</v>
      </c>
      <c r="F4118" t="s">
        <v>41</v>
      </c>
      <c r="G4118" t="s">
        <v>172</v>
      </c>
      <c r="H4118" t="s">
        <v>31</v>
      </c>
      <c r="I4118">
        <v>4</v>
      </c>
      <c r="J4118">
        <v>8</v>
      </c>
      <c r="K4118">
        <v>1.18</v>
      </c>
      <c r="L4118">
        <v>1</v>
      </c>
    </row>
    <row r="4119" spans="1:12">
      <c r="A4119" t="s">
        <v>11941</v>
      </c>
      <c r="B4119" t="s">
        <v>11942</v>
      </c>
      <c r="C4119" t="s">
        <v>11943</v>
      </c>
      <c r="D4119" t="s">
        <v>23</v>
      </c>
      <c r="E4119" t="s">
        <v>28</v>
      </c>
      <c r="F4119" t="s">
        <v>41</v>
      </c>
      <c r="G4119" t="s">
        <v>55</v>
      </c>
      <c r="H4119" t="s">
        <v>19</v>
      </c>
      <c r="I4119">
        <v>4</v>
      </c>
      <c r="J4119">
        <v>24</v>
      </c>
      <c r="K4119">
        <v>3.91</v>
      </c>
      <c r="L4119">
        <v>1</v>
      </c>
    </row>
    <row r="4120" spans="1:12">
      <c r="A4120" t="s">
        <v>11944</v>
      </c>
      <c r="B4120" t="s">
        <v>11945</v>
      </c>
      <c r="C4120" t="s">
        <v>11946</v>
      </c>
      <c r="D4120" t="s">
        <v>15</v>
      </c>
      <c r="E4120" t="s">
        <v>24</v>
      </c>
      <c r="F4120" t="s">
        <v>17</v>
      </c>
      <c r="G4120" t="s">
        <v>172</v>
      </c>
      <c r="H4120" t="s">
        <v>19</v>
      </c>
      <c r="I4120">
        <v>2</v>
      </c>
      <c r="J4120">
        <v>8</v>
      </c>
      <c r="K4120">
        <v>9.59</v>
      </c>
      <c r="L4120">
        <v>0</v>
      </c>
    </row>
    <row r="4121" spans="1:12">
      <c r="A4121" t="s">
        <v>11947</v>
      </c>
      <c r="B4121" t="s">
        <v>11948</v>
      </c>
      <c r="C4121" t="s">
        <v>11949</v>
      </c>
      <c r="D4121" t="s">
        <v>23</v>
      </c>
      <c r="E4121" t="s">
        <v>16</v>
      </c>
      <c r="F4121" t="s">
        <v>17</v>
      </c>
      <c r="G4121" t="s">
        <v>50</v>
      </c>
      <c r="H4121" t="s">
        <v>19</v>
      </c>
      <c r="I4121">
        <v>5</v>
      </c>
      <c r="J4121">
        <v>24</v>
      </c>
      <c r="K4121">
        <v>12.92</v>
      </c>
      <c r="L4121">
        <v>1</v>
      </c>
    </row>
    <row r="4122" spans="1:12">
      <c r="A4122" t="s">
        <v>11950</v>
      </c>
      <c r="B4122" t="s">
        <v>11951</v>
      </c>
      <c r="C4122" t="s">
        <v>11952</v>
      </c>
      <c r="D4122" t="s">
        <v>23</v>
      </c>
      <c r="E4122" t="s">
        <v>28</v>
      </c>
      <c r="F4122" t="s">
        <v>29</v>
      </c>
      <c r="G4122" t="s">
        <v>50</v>
      </c>
      <c r="H4122" t="s">
        <v>31</v>
      </c>
      <c r="I4122">
        <v>2</v>
      </c>
      <c r="J4122">
        <v>24</v>
      </c>
      <c r="K4122">
        <v>33.93</v>
      </c>
      <c r="L4122">
        <v>0</v>
      </c>
    </row>
    <row r="4123" spans="1:12">
      <c r="A4123" t="s">
        <v>11953</v>
      </c>
      <c r="B4123" t="s">
        <v>11954</v>
      </c>
      <c r="C4123" t="s">
        <v>11955</v>
      </c>
      <c r="D4123" t="s">
        <v>15</v>
      </c>
      <c r="E4123" t="s">
        <v>28</v>
      </c>
      <c r="F4123" t="s">
        <v>60</v>
      </c>
      <c r="G4123" t="s">
        <v>37</v>
      </c>
      <c r="H4123" t="s">
        <v>31</v>
      </c>
      <c r="I4123">
        <v>5</v>
      </c>
      <c r="J4123">
        <v>8</v>
      </c>
      <c r="K4123">
        <v>7.44</v>
      </c>
      <c r="L4123">
        <v>1</v>
      </c>
    </row>
    <row r="4124" spans="1:12">
      <c r="A4124" t="s">
        <v>11956</v>
      </c>
      <c r="B4124" t="s">
        <v>11957</v>
      </c>
      <c r="C4124" t="s">
        <v>11958</v>
      </c>
      <c r="D4124" t="s">
        <v>15</v>
      </c>
      <c r="E4124" t="s">
        <v>24</v>
      </c>
      <c r="F4124" t="s">
        <v>60</v>
      </c>
      <c r="G4124" t="s">
        <v>45</v>
      </c>
      <c r="H4124" t="s">
        <v>19</v>
      </c>
      <c r="I4124">
        <v>1</v>
      </c>
      <c r="J4124">
        <v>8</v>
      </c>
      <c r="K4124">
        <v>18.43</v>
      </c>
      <c r="L4124">
        <v>0</v>
      </c>
    </row>
    <row r="4125" spans="1:12">
      <c r="A4125" t="s">
        <v>11959</v>
      </c>
      <c r="B4125" t="s">
        <v>11960</v>
      </c>
      <c r="C4125" t="s">
        <v>11961</v>
      </c>
      <c r="D4125" t="s">
        <v>15</v>
      </c>
      <c r="E4125" t="s">
        <v>16</v>
      </c>
      <c r="F4125" t="s">
        <v>36</v>
      </c>
      <c r="G4125" t="s">
        <v>30</v>
      </c>
      <c r="H4125" t="s">
        <v>19</v>
      </c>
      <c r="I4125">
        <v>2</v>
      </c>
      <c r="J4125">
        <v>8</v>
      </c>
      <c r="K4125">
        <v>20.56</v>
      </c>
      <c r="L4125">
        <v>0</v>
      </c>
    </row>
    <row r="4126" spans="1:12">
      <c r="A4126" t="s">
        <v>11962</v>
      </c>
      <c r="B4126" t="s">
        <v>11963</v>
      </c>
      <c r="C4126" t="s">
        <v>11964</v>
      </c>
      <c r="D4126" t="s">
        <v>23</v>
      </c>
      <c r="E4126" t="s">
        <v>28</v>
      </c>
      <c r="F4126" t="s">
        <v>60</v>
      </c>
      <c r="G4126" t="s">
        <v>73</v>
      </c>
      <c r="H4126" t="s">
        <v>19</v>
      </c>
      <c r="I4126">
        <v>2</v>
      </c>
      <c r="J4126">
        <v>24</v>
      </c>
      <c r="K4126">
        <v>30.2</v>
      </c>
      <c r="L4126">
        <v>0</v>
      </c>
    </row>
    <row r="4127" spans="1:12">
      <c r="A4127" t="s">
        <v>11965</v>
      </c>
      <c r="B4127" t="s">
        <v>11966</v>
      </c>
      <c r="C4127" t="s">
        <v>11967</v>
      </c>
      <c r="D4127" t="s">
        <v>23</v>
      </c>
      <c r="E4127" t="s">
        <v>16</v>
      </c>
      <c r="F4127" t="s">
        <v>60</v>
      </c>
      <c r="G4127" t="s">
        <v>37</v>
      </c>
      <c r="H4127" t="s">
        <v>31</v>
      </c>
      <c r="I4127">
        <v>1</v>
      </c>
      <c r="J4127">
        <v>24</v>
      </c>
      <c r="K4127">
        <v>55.22</v>
      </c>
      <c r="L4127">
        <v>0</v>
      </c>
    </row>
    <row r="4128" spans="1:12">
      <c r="A4128" t="s">
        <v>11968</v>
      </c>
      <c r="B4128" t="s">
        <v>11969</v>
      </c>
      <c r="C4128" t="s">
        <v>11970</v>
      </c>
      <c r="D4128" t="s">
        <v>23</v>
      </c>
      <c r="E4128" t="s">
        <v>16</v>
      </c>
      <c r="F4128" t="s">
        <v>60</v>
      </c>
      <c r="G4128" t="s">
        <v>18</v>
      </c>
      <c r="H4128" t="s">
        <v>19</v>
      </c>
      <c r="I4128">
        <v>2</v>
      </c>
      <c r="J4128">
        <v>24</v>
      </c>
      <c r="K4128">
        <v>40.22</v>
      </c>
      <c r="L4128">
        <v>0</v>
      </c>
    </row>
    <row r="4129" spans="1:12">
      <c r="A4129" t="s">
        <v>11971</v>
      </c>
      <c r="B4129" t="s">
        <v>11972</v>
      </c>
      <c r="C4129" t="s">
        <v>11973</v>
      </c>
      <c r="D4129" t="s">
        <v>23</v>
      </c>
      <c r="E4129" t="s">
        <v>54</v>
      </c>
      <c r="F4129" t="s">
        <v>36</v>
      </c>
      <c r="G4129" t="s">
        <v>42</v>
      </c>
      <c r="H4129" t="s">
        <v>19</v>
      </c>
      <c r="I4129">
        <v>4</v>
      </c>
      <c r="J4129">
        <v>24</v>
      </c>
      <c r="K4129">
        <v>19.84</v>
      </c>
      <c r="L4129">
        <v>1</v>
      </c>
    </row>
    <row r="4130" spans="1:12">
      <c r="A4130" t="s">
        <v>11974</v>
      </c>
      <c r="B4130" t="s">
        <v>11975</v>
      </c>
      <c r="C4130" t="s">
        <v>11976</v>
      </c>
      <c r="D4130" t="s">
        <v>23</v>
      </c>
      <c r="E4130" t="s">
        <v>54</v>
      </c>
      <c r="F4130" t="s">
        <v>41</v>
      </c>
      <c r="G4130" t="s">
        <v>45</v>
      </c>
      <c r="H4130" t="s">
        <v>31</v>
      </c>
      <c r="I4130">
        <v>1</v>
      </c>
      <c r="J4130">
        <v>24</v>
      </c>
      <c r="K4130">
        <v>32.75</v>
      </c>
      <c r="L4130">
        <v>0</v>
      </c>
    </row>
    <row r="4131" spans="1:12">
      <c r="A4131" t="s">
        <v>11977</v>
      </c>
      <c r="B4131" t="s">
        <v>11978</v>
      </c>
      <c r="D4131" t="s">
        <v>35</v>
      </c>
      <c r="E4131" t="s">
        <v>59</v>
      </c>
      <c r="F4131" t="s">
        <v>29</v>
      </c>
      <c r="G4131" t="s">
        <v>37</v>
      </c>
      <c r="H4131" t="s">
        <v>46</v>
      </c>
      <c r="J4131">
        <v>48</v>
      </c>
    </row>
    <row r="4132" spans="1:12">
      <c r="A4132" t="s">
        <v>11979</v>
      </c>
      <c r="B4132" t="s">
        <v>11980</v>
      </c>
      <c r="C4132" t="s">
        <v>11981</v>
      </c>
      <c r="D4132" t="s">
        <v>35</v>
      </c>
      <c r="E4132" t="s">
        <v>59</v>
      </c>
      <c r="F4132" t="s">
        <v>17</v>
      </c>
      <c r="G4132" t="s">
        <v>172</v>
      </c>
      <c r="H4132" t="s">
        <v>31</v>
      </c>
      <c r="I4132">
        <v>5</v>
      </c>
      <c r="J4132">
        <v>48</v>
      </c>
      <c r="K4132">
        <v>30.22</v>
      </c>
      <c r="L4132">
        <v>1</v>
      </c>
    </row>
    <row r="4133" spans="1:12">
      <c r="A4133" t="s">
        <v>11982</v>
      </c>
      <c r="B4133" t="s">
        <v>11983</v>
      </c>
      <c r="C4133" t="s">
        <v>11984</v>
      </c>
      <c r="D4133" t="s">
        <v>23</v>
      </c>
      <c r="E4133" t="s">
        <v>54</v>
      </c>
      <c r="F4133" t="s">
        <v>36</v>
      </c>
      <c r="G4133" t="s">
        <v>50</v>
      </c>
      <c r="H4133" t="s">
        <v>31</v>
      </c>
      <c r="I4133">
        <v>5</v>
      </c>
      <c r="J4133">
        <v>24</v>
      </c>
      <c r="K4133">
        <v>11.47</v>
      </c>
      <c r="L4133">
        <v>1</v>
      </c>
    </row>
    <row r="4134" spans="1:12">
      <c r="A4134" t="s">
        <v>11985</v>
      </c>
      <c r="B4134" t="s">
        <v>11986</v>
      </c>
      <c r="D4134" t="s">
        <v>15</v>
      </c>
      <c r="E4134" t="s">
        <v>28</v>
      </c>
      <c r="F4134" t="s">
        <v>36</v>
      </c>
      <c r="G4134" t="s">
        <v>55</v>
      </c>
      <c r="H4134" t="s">
        <v>63</v>
      </c>
      <c r="J4134">
        <v>8</v>
      </c>
    </row>
    <row r="4135" spans="1:12">
      <c r="A4135" t="s">
        <v>11987</v>
      </c>
      <c r="B4135" t="s">
        <v>11988</v>
      </c>
      <c r="C4135" t="s">
        <v>11989</v>
      </c>
      <c r="D4135" t="s">
        <v>35</v>
      </c>
      <c r="E4135" t="s">
        <v>28</v>
      </c>
      <c r="F4135" t="s">
        <v>36</v>
      </c>
      <c r="G4135" t="s">
        <v>105</v>
      </c>
      <c r="H4135" t="s">
        <v>31</v>
      </c>
      <c r="I4135">
        <v>4</v>
      </c>
      <c r="J4135">
        <v>48</v>
      </c>
      <c r="K4135">
        <v>37.28</v>
      </c>
      <c r="L4135">
        <v>1</v>
      </c>
    </row>
    <row r="4136" spans="1:12">
      <c r="A4136" t="s">
        <v>11990</v>
      </c>
      <c r="B4136" t="s">
        <v>11991</v>
      </c>
      <c r="C4136" t="s">
        <v>11992</v>
      </c>
      <c r="D4136" t="s">
        <v>23</v>
      </c>
      <c r="E4136" t="s">
        <v>59</v>
      </c>
      <c r="F4136" t="s">
        <v>36</v>
      </c>
      <c r="G4136" t="s">
        <v>50</v>
      </c>
      <c r="H4136" t="s">
        <v>31</v>
      </c>
      <c r="I4136">
        <v>4</v>
      </c>
      <c r="J4136">
        <v>24</v>
      </c>
      <c r="K4136">
        <v>4.6100000000000003</v>
      </c>
      <c r="L4136">
        <v>1</v>
      </c>
    </row>
    <row r="4137" spans="1:12">
      <c r="A4137" t="s">
        <v>11993</v>
      </c>
      <c r="B4137" t="s">
        <v>11994</v>
      </c>
      <c r="C4137" t="s">
        <v>11995</v>
      </c>
      <c r="D4137" t="s">
        <v>158</v>
      </c>
      <c r="E4137" t="s">
        <v>54</v>
      </c>
      <c r="F4137" t="s">
        <v>36</v>
      </c>
      <c r="G4137" t="s">
        <v>105</v>
      </c>
      <c r="H4137" t="s">
        <v>19</v>
      </c>
      <c r="I4137">
        <v>2</v>
      </c>
      <c r="J4137">
        <v>4</v>
      </c>
      <c r="K4137">
        <v>5.49</v>
      </c>
      <c r="L4137">
        <v>0</v>
      </c>
    </row>
    <row r="4138" spans="1:12">
      <c r="A4138" t="s">
        <v>11996</v>
      </c>
      <c r="B4138" t="s">
        <v>11997</v>
      </c>
      <c r="D4138" t="s">
        <v>15</v>
      </c>
      <c r="E4138" t="s">
        <v>24</v>
      </c>
      <c r="F4138" t="s">
        <v>60</v>
      </c>
      <c r="G4138" t="s">
        <v>30</v>
      </c>
      <c r="H4138" t="s">
        <v>63</v>
      </c>
      <c r="J4138">
        <v>8</v>
      </c>
    </row>
    <row r="4139" spans="1:12">
      <c r="A4139" t="s">
        <v>11998</v>
      </c>
      <c r="B4139" t="s">
        <v>11999</v>
      </c>
      <c r="C4139" t="s">
        <v>12000</v>
      </c>
      <c r="D4139" t="s">
        <v>23</v>
      </c>
      <c r="E4139" t="s">
        <v>54</v>
      </c>
      <c r="F4139" t="s">
        <v>36</v>
      </c>
      <c r="G4139" t="s">
        <v>77</v>
      </c>
      <c r="H4139" t="s">
        <v>31</v>
      </c>
      <c r="I4139">
        <v>1</v>
      </c>
      <c r="J4139">
        <v>24</v>
      </c>
      <c r="K4139">
        <v>37.83</v>
      </c>
      <c r="L4139">
        <v>0</v>
      </c>
    </row>
    <row r="4140" spans="1:12">
      <c r="A4140" t="s">
        <v>12001</v>
      </c>
      <c r="B4140" t="s">
        <v>12002</v>
      </c>
      <c r="C4140" t="s">
        <v>12003</v>
      </c>
      <c r="D4140" t="s">
        <v>15</v>
      </c>
      <c r="E4140" t="s">
        <v>28</v>
      </c>
      <c r="F4140" t="s">
        <v>36</v>
      </c>
      <c r="G4140" t="s">
        <v>73</v>
      </c>
      <c r="H4140" t="s">
        <v>19</v>
      </c>
      <c r="I4140">
        <v>4</v>
      </c>
      <c r="J4140">
        <v>8</v>
      </c>
      <c r="K4140">
        <v>17.72</v>
      </c>
      <c r="L4140">
        <v>0</v>
      </c>
    </row>
    <row r="4141" spans="1:12">
      <c r="A4141" t="s">
        <v>12004</v>
      </c>
      <c r="B4141" t="s">
        <v>12005</v>
      </c>
      <c r="C4141" t="s">
        <v>12006</v>
      </c>
      <c r="D4141" t="s">
        <v>35</v>
      </c>
      <c r="E4141" t="s">
        <v>54</v>
      </c>
      <c r="F4141" t="s">
        <v>29</v>
      </c>
      <c r="G4141" t="s">
        <v>77</v>
      </c>
      <c r="H4141" t="s">
        <v>19</v>
      </c>
      <c r="I4141">
        <v>4</v>
      </c>
      <c r="J4141">
        <v>48</v>
      </c>
      <c r="K4141">
        <v>8.84</v>
      </c>
      <c r="L4141">
        <v>1</v>
      </c>
    </row>
    <row r="4142" spans="1:12">
      <c r="A4142" t="s">
        <v>12007</v>
      </c>
      <c r="B4142" t="s">
        <v>12008</v>
      </c>
      <c r="C4142" t="s">
        <v>12009</v>
      </c>
      <c r="D4142" t="s">
        <v>23</v>
      </c>
      <c r="E4142" t="s">
        <v>54</v>
      </c>
      <c r="F4142" t="s">
        <v>29</v>
      </c>
      <c r="G4142" t="s">
        <v>73</v>
      </c>
      <c r="H4142" t="s">
        <v>31</v>
      </c>
      <c r="I4142">
        <v>3</v>
      </c>
      <c r="J4142">
        <v>24</v>
      </c>
      <c r="K4142">
        <v>6.04</v>
      </c>
      <c r="L4142">
        <v>1</v>
      </c>
    </row>
    <row r="4143" spans="1:12">
      <c r="A4143" t="s">
        <v>12010</v>
      </c>
      <c r="B4143" t="s">
        <v>12011</v>
      </c>
      <c r="C4143" t="s">
        <v>12012</v>
      </c>
      <c r="D4143" t="s">
        <v>35</v>
      </c>
      <c r="E4143" t="s">
        <v>54</v>
      </c>
      <c r="F4143" t="s">
        <v>36</v>
      </c>
      <c r="G4143" t="s">
        <v>151</v>
      </c>
      <c r="H4143" t="s">
        <v>19</v>
      </c>
      <c r="I4143">
        <v>4</v>
      </c>
      <c r="J4143">
        <v>48</v>
      </c>
      <c r="K4143">
        <v>41.95</v>
      </c>
      <c r="L4143">
        <v>1</v>
      </c>
    </row>
    <row r="4144" spans="1:12">
      <c r="A4144" t="s">
        <v>12013</v>
      </c>
      <c r="B4144" t="s">
        <v>12014</v>
      </c>
      <c r="C4144" t="s">
        <v>12015</v>
      </c>
      <c r="D4144" t="s">
        <v>15</v>
      </c>
      <c r="E4144" t="s">
        <v>28</v>
      </c>
      <c r="F4144" t="s">
        <v>36</v>
      </c>
      <c r="G4144" t="s">
        <v>18</v>
      </c>
      <c r="H4144" t="s">
        <v>31</v>
      </c>
      <c r="I4144">
        <v>2</v>
      </c>
      <c r="J4144">
        <v>8</v>
      </c>
      <c r="K4144">
        <v>19.22</v>
      </c>
      <c r="L4144">
        <v>0</v>
      </c>
    </row>
    <row r="4145" spans="1:12">
      <c r="A4145" t="s">
        <v>12016</v>
      </c>
      <c r="B4145" t="s">
        <v>12017</v>
      </c>
      <c r="C4145" t="s">
        <v>12018</v>
      </c>
      <c r="D4145" t="s">
        <v>23</v>
      </c>
      <c r="E4145" t="s">
        <v>54</v>
      </c>
      <c r="F4145" t="s">
        <v>29</v>
      </c>
      <c r="G4145" t="s">
        <v>73</v>
      </c>
      <c r="H4145" t="s">
        <v>19</v>
      </c>
      <c r="I4145">
        <v>5</v>
      </c>
      <c r="J4145">
        <v>24</v>
      </c>
      <c r="K4145">
        <v>20.88</v>
      </c>
      <c r="L4145">
        <v>1</v>
      </c>
    </row>
    <row r="4146" spans="1:12">
      <c r="A4146" t="s">
        <v>12019</v>
      </c>
      <c r="B4146" t="s">
        <v>12020</v>
      </c>
      <c r="C4146" t="s">
        <v>12021</v>
      </c>
      <c r="D4146" t="s">
        <v>23</v>
      </c>
      <c r="E4146" t="s">
        <v>24</v>
      </c>
      <c r="F4146" t="s">
        <v>29</v>
      </c>
      <c r="G4146" t="s">
        <v>30</v>
      </c>
      <c r="H4146" t="s">
        <v>19</v>
      </c>
      <c r="I4146">
        <v>4</v>
      </c>
      <c r="J4146">
        <v>24</v>
      </c>
      <c r="K4146">
        <v>12.72</v>
      </c>
      <c r="L4146">
        <v>1</v>
      </c>
    </row>
    <row r="4147" spans="1:12">
      <c r="A4147" t="s">
        <v>12022</v>
      </c>
      <c r="B4147" t="s">
        <v>12023</v>
      </c>
      <c r="C4147" t="s">
        <v>12024</v>
      </c>
      <c r="D4147" t="s">
        <v>23</v>
      </c>
      <c r="E4147" t="s">
        <v>59</v>
      </c>
      <c r="F4147" t="s">
        <v>60</v>
      </c>
      <c r="G4147" t="s">
        <v>77</v>
      </c>
      <c r="H4147" t="s">
        <v>19</v>
      </c>
      <c r="I4147">
        <v>3</v>
      </c>
      <c r="J4147">
        <v>24</v>
      </c>
      <c r="K4147">
        <v>8.4600000000000009</v>
      </c>
      <c r="L4147">
        <v>1</v>
      </c>
    </row>
    <row r="4148" spans="1:12">
      <c r="A4148" t="s">
        <v>12025</v>
      </c>
      <c r="B4148" t="s">
        <v>12026</v>
      </c>
      <c r="C4148" t="s">
        <v>12027</v>
      </c>
      <c r="D4148" t="s">
        <v>15</v>
      </c>
      <c r="E4148" t="s">
        <v>24</v>
      </c>
      <c r="F4148" t="s">
        <v>60</v>
      </c>
      <c r="G4148" t="s">
        <v>42</v>
      </c>
      <c r="H4148" t="s">
        <v>19</v>
      </c>
      <c r="I4148">
        <v>4</v>
      </c>
      <c r="J4148">
        <v>8</v>
      </c>
      <c r="K4148">
        <v>6.83</v>
      </c>
      <c r="L4148">
        <v>1</v>
      </c>
    </row>
    <row r="4149" spans="1:12">
      <c r="A4149" t="s">
        <v>12028</v>
      </c>
      <c r="B4149" t="s">
        <v>12029</v>
      </c>
      <c r="C4149" t="s">
        <v>12030</v>
      </c>
      <c r="D4149" t="s">
        <v>35</v>
      </c>
      <c r="E4149" t="s">
        <v>59</v>
      </c>
      <c r="F4149" t="s">
        <v>29</v>
      </c>
      <c r="G4149" t="s">
        <v>45</v>
      </c>
      <c r="H4149" t="s">
        <v>31</v>
      </c>
      <c r="I4149">
        <v>5</v>
      </c>
      <c r="J4149">
        <v>48</v>
      </c>
      <c r="K4149">
        <v>45.44</v>
      </c>
      <c r="L4149">
        <v>1</v>
      </c>
    </row>
    <row r="4150" spans="1:12">
      <c r="A4150" t="s">
        <v>12031</v>
      </c>
      <c r="B4150" t="s">
        <v>12032</v>
      </c>
      <c r="C4150" t="s">
        <v>12033</v>
      </c>
      <c r="D4150" t="s">
        <v>23</v>
      </c>
      <c r="E4150" t="s">
        <v>28</v>
      </c>
      <c r="F4150" t="s">
        <v>60</v>
      </c>
      <c r="G4150" t="s">
        <v>151</v>
      </c>
      <c r="H4150" t="s">
        <v>19</v>
      </c>
      <c r="I4150">
        <v>5</v>
      </c>
      <c r="J4150">
        <v>24</v>
      </c>
      <c r="K4150">
        <v>6.29</v>
      </c>
      <c r="L4150">
        <v>1</v>
      </c>
    </row>
    <row r="4151" spans="1:12">
      <c r="A4151" t="s">
        <v>12034</v>
      </c>
      <c r="B4151" t="s">
        <v>12035</v>
      </c>
      <c r="C4151" t="s">
        <v>12036</v>
      </c>
      <c r="D4151" t="s">
        <v>15</v>
      </c>
      <c r="E4151" t="s">
        <v>24</v>
      </c>
      <c r="F4151" t="s">
        <v>41</v>
      </c>
      <c r="G4151" t="s">
        <v>77</v>
      </c>
      <c r="H4151" t="s">
        <v>31</v>
      </c>
      <c r="I4151">
        <v>1</v>
      </c>
      <c r="J4151">
        <v>8</v>
      </c>
      <c r="K4151">
        <v>12.08</v>
      </c>
      <c r="L4151">
        <v>0</v>
      </c>
    </row>
    <row r="4152" spans="1:12">
      <c r="A4152" t="s">
        <v>12037</v>
      </c>
      <c r="B4152" t="s">
        <v>12038</v>
      </c>
      <c r="C4152" t="s">
        <v>12039</v>
      </c>
      <c r="D4152" t="s">
        <v>35</v>
      </c>
      <c r="E4152" t="s">
        <v>59</v>
      </c>
      <c r="F4152" t="s">
        <v>17</v>
      </c>
      <c r="G4152" t="s">
        <v>73</v>
      </c>
      <c r="H4152" t="s">
        <v>31</v>
      </c>
      <c r="I4152">
        <v>2</v>
      </c>
      <c r="J4152">
        <v>48</v>
      </c>
      <c r="K4152">
        <v>136.62</v>
      </c>
      <c r="L4152">
        <v>0</v>
      </c>
    </row>
    <row r="4153" spans="1:12">
      <c r="A4153" t="s">
        <v>12040</v>
      </c>
      <c r="B4153" t="s">
        <v>12041</v>
      </c>
      <c r="C4153" t="s">
        <v>12042</v>
      </c>
      <c r="D4153" t="s">
        <v>23</v>
      </c>
      <c r="E4153" t="s">
        <v>24</v>
      </c>
      <c r="F4153" t="s">
        <v>17</v>
      </c>
      <c r="G4153" t="s">
        <v>73</v>
      </c>
      <c r="H4153" t="s">
        <v>19</v>
      </c>
      <c r="I4153">
        <v>5</v>
      </c>
      <c r="J4153">
        <v>24</v>
      </c>
      <c r="K4153">
        <v>7.44</v>
      </c>
      <c r="L4153">
        <v>1</v>
      </c>
    </row>
    <row r="4154" spans="1:12">
      <c r="A4154" t="s">
        <v>12043</v>
      </c>
      <c r="B4154" t="s">
        <v>12044</v>
      </c>
      <c r="C4154" t="s">
        <v>12045</v>
      </c>
      <c r="D4154" t="s">
        <v>35</v>
      </c>
      <c r="E4154" t="s">
        <v>54</v>
      </c>
      <c r="F4154" t="s">
        <v>60</v>
      </c>
      <c r="G4154" t="s">
        <v>37</v>
      </c>
      <c r="H4154" t="s">
        <v>19</v>
      </c>
      <c r="I4154">
        <v>4</v>
      </c>
      <c r="J4154">
        <v>48</v>
      </c>
      <c r="K4154">
        <v>23.09</v>
      </c>
      <c r="L4154">
        <v>1</v>
      </c>
    </row>
    <row r="4155" spans="1:12">
      <c r="A4155" t="s">
        <v>12046</v>
      </c>
      <c r="B4155" t="s">
        <v>12047</v>
      </c>
      <c r="D4155" t="s">
        <v>23</v>
      </c>
      <c r="E4155" t="s">
        <v>54</v>
      </c>
      <c r="F4155" t="s">
        <v>17</v>
      </c>
      <c r="G4155" t="s">
        <v>151</v>
      </c>
      <c r="H4155" t="s">
        <v>46</v>
      </c>
      <c r="J4155">
        <v>24</v>
      </c>
    </row>
    <row r="4156" spans="1:12">
      <c r="A4156" t="s">
        <v>12048</v>
      </c>
      <c r="B4156" t="s">
        <v>12049</v>
      </c>
      <c r="C4156" t="s">
        <v>12050</v>
      </c>
      <c r="D4156" t="s">
        <v>23</v>
      </c>
      <c r="E4156" t="s">
        <v>54</v>
      </c>
      <c r="F4156" t="s">
        <v>60</v>
      </c>
      <c r="G4156" t="s">
        <v>50</v>
      </c>
      <c r="H4156" t="s">
        <v>31</v>
      </c>
      <c r="I4156">
        <v>2</v>
      </c>
      <c r="J4156">
        <v>24</v>
      </c>
      <c r="K4156">
        <v>45.16</v>
      </c>
      <c r="L4156">
        <v>0</v>
      </c>
    </row>
    <row r="4157" spans="1:12">
      <c r="A4157" t="s">
        <v>12051</v>
      </c>
      <c r="B4157" t="s">
        <v>12052</v>
      </c>
      <c r="C4157" t="s">
        <v>12053</v>
      </c>
      <c r="D4157" t="s">
        <v>15</v>
      </c>
      <c r="E4157" t="s">
        <v>59</v>
      </c>
      <c r="F4157" t="s">
        <v>41</v>
      </c>
      <c r="G4157" t="s">
        <v>50</v>
      </c>
      <c r="H4157" t="s">
        <v>31</v>
      </c>
      <c r="I4157">
        <v>4</v>
      </c>
      <c r="J4157">
        <v>8</v>
      </c>
      <c r="K4157">
        <v>3.85</v>
      </c>
      <c r="L4157">
        <v>1</v>
      </c>
    </row>
    <row r="4158" spans="1:12">
      <c r="A4158" t="s">
        <v>12054</v>
      </c>
      <c r="B4158" t="s">
        <v>12055</v>
      </c>
      <c r="C4158" t="s">
        <v>12056</v>
      </c>
      <c r="D4158" t="s">
        <v>15</v>
      </c>
      <c r="E4158" t="s">
        <v>54</v>
      </c>
      <c r="F4158" t="s">
        <v>36</v>
      </c>
      <c r="G4158" t="s">
        <v>18</v>
      </c>
      <c r="H4158" t="s">
        <v>31</v>
      </c>
      <c r="I4158">
        <v>4</v>
      </c>
      <c r="J4158">
        <v>8</v>
      </c>
      <c r="K4158">
        <v>6.8</v>
      </c>
      <c r="L4158">
        <v>1</v>
      </c>
    </row>
    <row r="4159" spans="1:12">
      <c r="A4159" t="s">
        <v>12057</v>
      </c>
      <c r="B4159" t="s">
        <v>12058</v>
      </c>
      <c r="C4159" t="s">
        <v>12059</v>
      </c>
      <c r="D4159" t="s">
        <v>158</v>
      </c>
      <c r="E4159" t="s">
        <v>54</v>
      </c>
      <c r="F4159" t="s">
        <v>60</v>
      </c>
      <c r="G4159" t="s">
        <v>105</v>
      </c>
      <c r="H4159" t="s">
        <v>31</v>
      </c>
      <c r="I4159">
        <v>3</v>
      </c>
      <c r="J4159">
        <v>4</v>
      </c>
      <c r="K4159">
        <v>5.33</v>
      </c>
      <c r="L4159">
        <v>0</v>
      </c>
    </row>
    <row r="4160" spans="1:12">
      <c r="A4160" t="s">
        <v>12060</v>
      </c>
      <c r="B4160" t="s">
        <v>12061</v>
      </c>
      <c r="C4160" t="s">
        <v>12062</v>
      </c>
      <c r="D4160" t="s">
        <v>35</v>
      </c>
      <c r="E4160" t="s">
        <v>28</v>
      </c>
      <c r="F4160" t="s">
        <v>17</v>
      </c>
      <c r="G4160" t="s">
        <v>37</v>
      </c>
      <c r="H4160" t="s">
        <v>19</v>
      </c>
      <c r="I4160">
        <v>3</v>
      </c>
      <c r="J4160">
        <v>48</v>
      </c>
      <c r="K4160">
        <v>91.29</v>
      </c>
      <c r="L4160">
        <v>0</v>
      </c>
    </row>
    <row r="4161" spans="1:12">
      <c r="A4161" t="s">
        <v>12063</v>
      </c>
      <c r="B4161" t="s">
        <v>12064</v>
      </c>
      <c r="D4161" t="s">
        <v>23</v>
      </c>
      <c r="E4161" t="s">
        <v>28</v>
      </c>
      <c r="F4161" t="s">
        <v>17</v>
      </c>
      <c r="G4161" t="s">
        <v>50</v>
      </c>
      <c r="H4161" t="s">
        <v>46</v>
      </c>
      <c r="J4161">
        <v>24</v>
      </c>
    </row>
    <row r="4162" spans="1:12">
      <c r="A4162" t="s">
        <v>12065</v>
      </c>
      <c r="B4162" t="s">
        <v>12066</v>
      </c>
      <c r="C4162" t="s">
        <v>12067</v>
      </c>
      <c r="D4162" t="s">
        <v>23</v>
      </c>
      <c r="E4162" t="s">
        <v>59</v>
      </c>
      <c r="F4162" t="s">
        <v>17</v>
      </c>
      <c r="G4162" t="s">
        <v>55</v>
      </c>
      <c r="H4162" t="s">
        <v>31</v>
      </c>
      <c r="I4162">
        <v>5</v>
      </c>
      <c r="J4162">
        <v>24</v>
      </c>
      <c r="K4162">
        <v>6.88</v>
      </c>
      <c r="L4162">
        <v>1</v>
      </c>
    </row>
    <row r="4163" spans="1:12">
      <c r="A4163" t="s">
        <v>12068</v>
      </c>
      <c r="B4163" t="s">
        <v>12069</v>
      </c>
      <c r="C4163" t="s">
        <v>12070</v>
      </c>
      <c r="D4163" t="s">
        <v>23</v>
      </c>
      <c r="E4163" t="s">
        <v>16</v>
      </c>
      <c r="F4163" t="s">
        <v>60</v>
      </c>
      <c r="G4163" t="s">
        <v>55</v>
      </c>
      <c r="H4163" t="s">
        <v>19</v>
      </c>
      <c r="I4163">
        <v>5</v>
      </c>
      <c r="J4163">
        <v>24</v>
      </c>
      <c r="K4163">
        <v>6.31</v>
      </c>
      <c r="L4163">
        <v>1</v>
      </c>
    </row>
    <row r="4164" spans="1:12">
      <c r="A4164" t="s">
        <v>12071</v>
      </c>
      <c r="B4164" t="s">
        <v>12072</v>
      </c>
      <c r="C4164" t="s">
        <v>12073</v>
      </c>
      <c r="D4164" t="s">
        <v>23</v>
      </c>
      <c r="E4164" t="s">
        <v>28</v>
      </c>
      <c r="F4164" t="s">
        <v>41</v>
      </c>
      <c r="G4164" t="s">
        <v>77</v>
      </c>
      <c r="H4164" t="s">
        <v>19</v>
      </c>
      <c r="I4164">
        <v>1</v>
      </c>
      <c r="J4164">
        <v>24</v>
      </c>
      <c r="K4164">
        <v>59.72</v>
      </c>
      <c r="L4164">
        <v>0</v>
      </c>
    </row>
    <row r="4165" spans="1:12">
      <c r="A4165" t="s">
        <v>12074</v>
      </c>
      <c r="B4165" t="s">
        <v>12075</v>
      </c>
      <c r="C4165" t="s">
        <v>12076</v>
      </c>
      <c r="D4165" t="s">
        <v>23</v>
      </c>
      <c r="E4165" t="s">
        <v>28</v>
      </c>
      <c r="F4165" t="s">
        <v>41</v>
      </c>
      <c r="G4165" t="s">
        <v>151</v>
      </c>
      <c r="H4165" t="s">
        <v>19</v>
      </c>
      <c r="I4165">
        <v>5</v>
      </c>
      <c r="J4165">
        <v>24</v>
      </c>
      <c r="K4165">
        <v>14.68</v>
      </c>
      <c r="L4165">
        <v>1</v>
      </c>
    </row>
    <row r="4166" spans="1:12">
      <c r="A4166" t="s">
        <v>12077</v>
      </c>
      <c r="B4166" t="s">
        <v>12078</v>
      </c>
      <c r="C4166" t="s">
        <v>12079</v>
      </c>
      <c r="D4166" t="s">
        <v>35</v>
      </c>
      <c r="E4166" t="s">
        <v>16</v>
      </c>
      <c r="F4166" t="s">
        <v>60</v>
      </c>
      <c r="G4166" t="s">
        <v>55</v>
      </c>
      <c r="H4166" t="s">
        <v>19</v>
      </c>
      <c r="I4166">
        <v>4</v>
      </c>
      <c r="J4166">
        <v>48</v>
      </c>
      <c r="K4166">
        <v>12.6</v>
      </c>
      <c r="L4166">
        <v>1</v>
      </c>
    </row>
    <row r="4167" spans="1:12">
      <c r="A4167" t="s">
        <v>12080</v>
      </c>
      <c r="B4167" t="s">
        <v>12081</v>
      </c>
      <c r="D4167" t="s">
        <v>23</v>
      </c>
      <c r="E4167" t="s">
        <v>24</v>
      </c>
      <c r="F4167" t="s">
        <v>36</v>
      </c>
      <c r="G4167" t="s">
        <v>50</v>
      </c>
      <c r="H4167" t="s">
        <v>46</v>
      </c>
      <c r="J4167">
        <v>24</v>
      </c>
    </row>
    <row r="4168" spans="1:12">
      <c r="A4168" t="s">
        <v>12082</v>
      </c>
      <c r="B4168" t="s">
        <v>12083</v>
      </c>
      <c r="C4168" t="s">
        <v>12084</v>
      </c>
      <c r="D4168" t="s">
        <v>158</v>
      </c>
      <c r="E4168" t="s">
        <v>28</v>
      </c>
      <c r="F4168" t="s">
        <v>36</v>
      </c>
      <c r="G4168" t="s">
        <v>105</v>
      </c>
      <c r="H4168" t="s">
        <v>31</v>
      </c>
      <c r="I4168">
        <v>2</v>
      </c>
      <c r="J4168">
        <v>4</v>
      </c>
      <c r="K4168">
        <v>11.24</v>
      </c>
      <c r="L4168">
        <v>0</v>
      </c>
    </row>
    <row r="4169" spans="1:12">
      <c r="A4169" t="s">
        <v>12085</v>
      </c>
      <c r="B4169" t="s">
        <v>12086</v>
      </c>
      <c r="C4169" t="s">
        <v>12087</v>
      </c>
      <c r="D4169" t="s">
        <v>23</v>
      </c>
      <c r="E4169" t="s">
        <v>54</v>
      </c>
      <c r="F4169" t="s">
        <v>41</v>
      </c>
      <c r="G4169" t="s">
        <v>18</v>
      </c>
      <c r="H4169" t="s">
        <v>31</v>
      </c>
      <c r="I4169">
        <v>5</v>
      </c>
      <c r="J4169">
        <v>24</v>
      </c>
      <c r="K4169">
        <v>12.69</v>
      </c>
      <c r="L4169">
        <v>1</v>
      </c>
    </row>
    <row r="4170" spans="1:12">
      <c r="A4170" t="s">
        <v>12088</v>
      </c>
      <c r="B4170" t="s">
        <v>12089</v>
      </c>
      <c r="C4170" t="s">
        <v>12090</v>
      </c>
      <c r="D4170" t="s">
        <v>15</v>
      </c>
      <c r="E4170" t="s">
        <v>24</v>
      </c>
      <c r="F4170" t="s">
        <v>60</v>
      </c>
      <c r="G4170" t="s">
        <v>30</v>
      </c>
      <c r="H4170" t="s">
        <v>31</v>
      </c>
      <c r="I4170">
        <v>2</v>
      </c>
      <c r="J4170">
        <v>8</v>
      </c>
      <c r="K4170">
        <v>13.99</v>
      </c>
      <c r="L4170">
        <v>0</v>
      </c>
    </row>
    <row r="4171" spans="1:12">
      <c r="A4171" t="s">
        <v>12091</v>
      </c>
      <c r="B4171" t="s">
        <v>12092</v>
      </c>
      <c r="C4171" t="s">
        <v>12093</v>
      </c>
      <c r="D4171" t="s">
        <v>15</v>
      </c>
      <c r="E4171" t="s">
        <v>28</v>
      </c>
      <c r="F4171" t="s">
        <v>29</v>
      </c>
      <c r="G4171" t="s">
        <v>45</v>
      </c>
      <c r="H4171" t="s">
        <v>31</v>
      </c>
      <c r="I4171">
        <v>4</v>
      </c>
      <c r="J4171">
        <v>8</v>
      </c>
      <c r="K4171">
        <v>3.32</v>
      </c>
      <c r="L4171">
        <v>1</v>
      </c>
    </row>
    <row r="4172" spans="1:12">
      <c r="A4172" t="s">
        <v>12094</v>
      </c>
      <c r="B4172" t="s">
        <v>12095</v>
      </c>
      <c r="C4172" t="s">
        <v>12096</v>
      </c>
      <c r="D4172" t="s">
        <v>15</v>
      </c>
      <c r="E4172" t="s">
        <v>16</v>
      </c>
      <c r="F4172" t="s">
        <v>17</v>
      </c>
      <c r="G4172" t="s">
        <v>105</v>
      </c>
      <c r="H4172" t="s">
        <v>19</v>
      </c>
      <c r="I4172">
        <v>4</v>
      </c>
      <c r="J4172">
        <v>8</v>
      </c>
      <c r="K4172">
        <v>1.26</v>
      </c>
      <c r="L4172">
        <v>1</v>
      </c>
    </row>
    <row r="4173" spans="1:12">
      <c r="A4173" t="s">
        <v>12097</v>
      </c>
      <c r="B4173" t="s">
        <v>12098</v>
      </c>
      <c r="D4173" t="s">
        <v>23</v>
      </c>
      <c r="E4173" t="s">
        <v>54</v>
      </c>
      <c r="F4173" t="s">
        <v>29</v>
      </c>
      <c r="G4173" t="s">
        <v>42</v>
      </c>
      <c r="H4173" t="s">
        <v>63</v>
      </c>
      <c r="J4173">
        <v>24</v>
      </c>
    </row>
    <row r="4174" spans="1:12">
      <c r="A4174" t="s">
        <v>12099</v>
      </c>
      <c r="B4174" t="s">
        <v>12100</v>
      </c>
      <c r="C4174" t="s">
        <v>12101</v>
      </c>
      <c r="D4174" t="s">
        <v>35</v>
      </c>
      <c r="E4174" t="s">
        <v>24</v>
      </c>
      <c r="F4174" t="s">
        <v>60</v>
      </c>
      <c r="G4174" t="s">
        <v>37</v>
      </c>
      <c r="H4174" t="s">
        <v>19</v>
      </c>
      <c r="I4174">
        <v>5</v>
      </c>
      <c r="J4174">
        <v>48</v>
      </c>
      <c r="K4174">
        <v>32.24</v>
      </c>
      <c r="L4174">
        <v>1</v>
      </c>
    </row>
    <row r="4175" spans="1:12">
      <c r="A4175" t="s">
        <v>12102</v>
      </c>
      <c r="B4175" t="s">
        <v>12103</v>
      </c>
      <c r="C4175" t="s">
        <v>12104</v>
      </c>
      <c r="D4175" t="s">
        <v>35</v>
      </c>
      <c r="E4175" t="s">
        <v>28</v>
      </c>
      <c r="F4175" t="s">
        <v>29</v>
      </c>
      <c r="G4175" t="s">
        <v>105</v>
      </c>
      <c r="H4175" t="s">
        <v>31</v>
      </c>
      <c r="I4175">
        <v>1</v>
      </c>
      <c r="J4175">
        <v>48</v>
      </c>
      <c r="K4175">
        <v>81.77</v>
      </c>
      <c r="L4175">
        <v>0</v>
      </c>
    </row>
    <row r="4176" spans="1:12">
      <c r="A4176" t="s">
        <v>12105</v>
      </c>
      <c r="B4176" t="s">
        <v>12106</v>
      </c>
      <c r="C4176" t="s">
        <v>12107</v>
      </c>
      <c r="D4176" t="s">
        <v>23</v>
      </c>
      <c r="E4176" t="s">
        <v>28</v>
      </c>
      <c r="F4176" t="s">
        <v>17</v>
      </c>
      <c r="G4176" t="s">
        <v>73</v>
      </c>
      <c r="H4176" t="s">
        <v>19</v>
      </c>
      <c r="I4176">
        <v>4</v>
      </c>
      <c r="J4176">
        <v>24</v>
      </c>
      <c r="K4176">
        <v>20.07</v>
      </c>
      <c r="L4176">
        <v>1</v>
      </c>
    </row>
    <row r="4177" spans="1:12">
      <c r="A4177" t="s">
        <v>12108</v>
      </c>
      <c r="B4177" t="s">
        <v>12109</v>
      </c>
      <c r="C4177" t="s">
        <v>12110</v>
      </c>
      <c r="D4177" t="s">
        <v>23</v>
      </c>
      <c r="E4177" t="s">
        <v>28</v>
      </c>
      <c r="F4177" t="s">
        <v>36</v>
      </c>
      <c r="G4177" t="s">
        <v>105</v>
      </c>
      <c r="H4177" t="s">
        <v>19</v>
      </c>
      <c r="I4177">
        <v>1</v>
      </c>
      <c r="J4177">
        <v>24</v>
      </c>
      <c r="K4177">
        <v>56.95</v>
      </c>
      <c r="L4177">
        <v>0</v>
      </c>
    </row>
    <row r="4178" spans="1:12">
      <c r="A4178" t="s">
        <v>12111</v>
      </c>
      <c r="B4178" t="s">
        <v>12112</v>
      </c>
      <c r="C4178" t="s">
        <v>12113</v>
      </c>
      <c r="D4178" t="s">
        <v>23</v>
      </c>
      <c r="E4178" t="s">
        <v>24</v>
      </c>
      <c r="F4178" t="s">
        <v>36</v>
      </c>
      <c r="G4178" t="s">
        <v>50</v>
      </c>
      <c r="H4178" t="s">
        <v>19</v>
      </c>
      <c r="I4178">
        <v>5</v>
      </c>
      <c r="J4178">
        <v>24</v>
      </c>
      <c r="K4178">
        <v>13.14</v>
      </c>
      <c r="L4178">
        <v>1</v>
      </c>
    </row>
    <row r="4179" spans="1:12">
      <c r="A4179" t="s">
        <v>12114</v>
      </c>
      <c r="B4179" t="s">
        <v>12115</v>
      </c>
      <c r="C4179" t="s">
        <v>12116</v>
      </c>
      <c r="D4179" t="s">
        <v>23</v>
      </c>
      <c r="E4179" t="s">
        <v>28</v>
      </c>
      <c r="F4179" t="s">
        <v>29</v>
      </c>
      <c r="G4179" t="s">
        <v>151</v>
      </c>
      <c r="H4179" t="s">
        <v>19</v>
      </c>
      <c r="I4179">
        <v>5</v>
      </c>
      <c r="J4179">
        <v>24</v>
      </c>
      <c r="K4179">
        <v>17.68</v>
      </c>
      <c r="L4179">
        <v>1</v>
      </c>
    </row>
    <row r="4180" spans="1:12">
      <c r="A4180" t="s">
        <v>12117</v>
      </c>
      <c r="B4180" t="s">
        <v>12118</v>
      </c>
      <c r="C4180" t="s">
        <v>12119</v>
      </c>
      <c r="D4180" t="s">
        <v>15</v>
      </c>
      <c r="E4180" t="s">
        <v>59</v>
      </c>
      <c r="F4180" t="s">
        <v>41</v>
      </c>
      <c r="G4180" t="s">
        <v>105</v>
      </c>
      <c r="H4180" t="s">
        <v>19</v>
      </c>
      <c r="I4180">
        <v>5</v>
      </c>
      <c r="J4180">
        <v>8</v>
      </c>
      <c r="K4180">
        <v>2.46</v>
      </c>
      <c r="L4180">
        <v>1</v>
      </c>
    </row>
    <row r="4181" spans="1:12">
      <c r="A4181" t="s">
        <v>12120</v>
      </c>
      <c r="B4181" t="s">
        <v>12121</v>
      </c>
      <c r="C4181" t="s">
        <v>12122</v>
      </c>
      <c r="D4181" t="s">
        <v>35</v>
      </c>
      <c r="E4181" t="s">
        <v>24</v>
      </c>
      <c r="F4181" t="s">
        <v>29</v>
      </c>
      <c r="G4181" t="s">
        <v>55</v>
      </c>
      <c r="H4181" t="s">
        <v>31</v>
      </c>
      <c r="I4181">
        <v>4</v>
      </c>
      <c r="J4181">
        <v>48</v>
      </c>
      <c r="K4181">
        <v>45.21</v>
      </c>
      <c r="L4181">
        <v>1</v>
      </c>
    </row>
    <row r="4182" spans="1:12">
      <c r="A4182" t="s">
        <v>12123</v>
      </c>
      <c r="B4182" t="s">
        <v>12124</v>
      </c>
      <c r="C4182" t="s">
        <v>12125</v>
      </c>
      <c r="D4182" t="s">
        <v>35</v>
      </c>
      <c r="E4182" t="s">
        <v>28</v>
      </c>
      <c r="F4182" t="s">
        <v>17</v>
      </c>
      <c r="G4182" t="s">
        <v>18</v>
      </c>
      <c r="H4182" t="s">
        <v>19</v>
      </c>
      <c r="I4182">
        <v>5</v>
      </c>
      <c r="J4182">
        <v>48</v>
      </c>
      <c r="K4182">
        <v>36.090000000000003</v>
      </c>
      <c r="L4182">
        <v>1</v>
      </c>
    </row>
    <row r="4183" spans="1:12">
      <c r="A4183" t="s">
        <v>12126</v>
      </c>
      <c r="B4183" t="s">
        <v>12127</v>
      </c>
      <c r="C4183" t="s">
        <v>12128</v>
      </c>
      <c r="D4183" t="s">
        <v>35</v>
      </c>
      <c r="E4183" t="s">
        <v>54</v>
      </c>
      <c r="F4183" t="s">
        <v>36</v>
      </c>
      <c r="G4183" t="s">
        <v>30</v>
      </c>
      <c r="H4183" t="s">
        <v>19</v>
      </c>
      <c r="I4183">
        <v>3</v>
      </c>
      <c r="J4183">
        <v>48</v>
      </c>
      <c r="K4183">
        <v>59.34</v>
      </c>
      <c r="L4183">
        <v>0</v>
      </c>
    </row>
    <row r="4184" spans="1:12">
      <c r="A4184" t="s">
        <v>12129</v>
      </c>
      <c r="B4184" t="s">
        <v>12130</v>
      </c>
      <c r="C4184" t="s">
        <v>12131</v>
      </c>
      <c r="D4184" t="s">
        <v>23</v>
      </c>
      <c r="E4184" t="s">
        <v>28</v>
      </c>
      <c r="F4184" t="s">
        <v>29</v>
      </c>
      <c r="G4184" t="s">
        <v>105</v>
      </c>
      <c r="H4184" t="s">
        <v>19</v>
      </c>
      <c r="I4184">
        <v>3</v>
      </c>
      <c r="J4184">
        <v>24</v>
      </c>
      <c r="K4184">
        <v>3.31</v>
      </c>
      <c r="L4184">
        <v>1</v>
      </c>
    </row>
    <row r="4185" spans="1:12">
      <c r="A4185" t="s">
        <v>12132</v>
      </c>
      <c r="B4185" t="s">
        <v>12133</v>
      </c>
      <c r="C4185" t="s">
        <v>12134</v>
      </c>
      <c r="D4185" t="s">
        <v>15</v>
      </c>
      <c r="E4185" t="s">
        <v>28</v>
      </c>
      <c r="F4185" t="s">
        <v>36</v>
      </c>
      <c r="G4185" t="s">
        <v>77</v>
      </c>
      <c r="H4185" t="s">
        <v>19</v>
      </c>
      <c r="I4185">
        <v>5</v>
      </c>
      <c r="J4185">
        <v>8</v>
      </c>
      <c r="K4185">
        <v>4.32</v>
      </c>
      <c r="L4185">
        <v>1</v>
      </c>
    </row>
    <row r="4186" spans="1:12">
      <c r="A4186" t="s">
        <v>12135</v>
      </c>
      <c r="B4186" t="s">
        <v>12136</v>
      </c>
      <c r="C4186" t="s">
        <v>12137</v>
      </c>
      <c r="D4186" t="s">
        <v>23</v>
      </c>
      <c r="E4186" t="s">
        <v>54</v>
      </c>
      <c r="F4186" t="s">
        <v>60</v>
      </c>
      <c r="G4186" t="s">
        <v>50</v>
      </c>
      <c r="H4186" t="s">
        <v>31</v>
      </c>
      <c r="I4186">
        <v>3</v>
      </c>
      <c r="J4186">
        <v>24</v>
      </c>
      <c r="K4186">
        <v>6.15</v>
      </c>
      <c r="L4186">
        <v>1</v>
      </c>
    </row>
    <row r="4187" spans="1:12">
      <c r="A4187" t="s">
        <v>12138</v>
      </c>
      <c r="B4187" t="s">
        <v>12139</v>
      </c>
      <c r="C4187" t="s">
        <v>12140</v>
      </c>
      <c r="D4187" t="s">
        <v>23</v>
      </c>
      <c r="E4187" t="s">
        <v>28</v>
      </c>
      <c r="F4187" t="s">
        <v>36</v>
      </c>
      <c r="G4187" t="s">
        <v>18</v>
      </c>
      <c r="H4187" t="s">
        <v>31</v>
      </c>
      <c r="I4187">
        <v>2</v>
      </c>
      <c r="J4187">
        <v>24</v>
      </c>
      <c r="K4187">
        <v>38.31</v>
      </c>
      <c r="L4187">
        <v>0</v>
      </c>
    </row>
    <row r="4188" spans="1:12">
      <c r="A4188" t="s">
        <v>12141</v>
      </c>
      <c r="B4188" t="s">
        <v>12142</v>
      </c>
      <c r="C4188" t="s">
        <v>12143</v>
      </c>
      <c r="D4188" t="s">
        <v>23</v>
      </c>
      <c r="E4188" t="s">
        <v>28</v>
      </c>
      <c r="F4188" t="s">
        <v>17</v>
      </c>
      <c r="G4188" t="s">
        <v>45</v>
      </c>
      <c r="H4188" t="s">
        <v>19</v>
      </c>
      <c r="I4188">
        <v>3</v>
      </c>
      <c r="J4188">
        <v>24</v>
      </c>
      <c r="K4188">
        <v>10.79</v>
      </c>
      <c r="L4188">
        <v>1</v>
      </c>
    </row>
    <row r="4189" spans="1:12">
      <c r="A4189" t="s">
        <v>12144</v>
      </c>
      <c r="B4189" t="s">
        <v>12145</v>
      </c>
      <c r="C4189" t="s">
        <v>12146</v>
      </c>
      <c r="D4189" t="s">
        <v>35</v>
      </c>
      <c r="E4189" t="s">
        <v>28</v>
      </c>
      <c r="F4189" t="s">
        <v>41</v>
      </c>
      <c r="G4189" t="s">
        <v>30</v>
      </c>
      <c r="H4189" t="s">
        <v>19</v>
      </c>
      <c r="I4189">
        <v>4</v>
      </c>
      <c r="J4189">
        <v>48</v>
      </c>
      <c r="K4189">
        <v>9.31</v>
      </c>
      <c r="L4189">
        <v>1</v>
      </c>
    </row>
    <row r="4190" spans="1:12">
      <c r="A4190" t="s">
        <v>12147</v>
      </c>
      <c r="B4190" t="s">
        <v>12148</v>
      </c>
      <c r="C4190" t="s">
        <v>12149</v>
      </c>
      <c r="D4190" t="s">
        <v>23</v>
      </c>
      <c r="E4190" t="s">
        <v>59</v>
      </c>
      <c r="F4190" t="s">
        <v>41</v>
      </c>
      <c r="G4190" t="s">
        <v>55</v>
      </c>
      <c r="H4190" t="s">
        <v>19</v>
      </c>
      <c r="I4190">
        <v>5</v>
      </c>
      <c r="J4190">
        <v>24</v>
      </c>
      <c r="K4190">
        <v>12.04</v>
      </c>
      <c r="L4190">
        <v>1</v>
      </c>
    </row>
    <row r="4191" spans="1:12">
      <c r="A4191" t="s">
        <v>12150</v>
      </c>
      <c r="B4191" t="s">
        <v>12151</v>
      </c>
      <c r="D4191" t="s">
        <v>23</v>
      </c>
      <c r="E4191" t="s">
        <v>24</v>
      </c>
      <c r="F4191" t="s">
        <v>17</v>
      </c>
      <c r="G4191" t="s">
        <v>55</v>
      </c>
      <c r="H4191" t="s">
        <v>46</v>
      </c>
      <c r="J4191">
        <v>24</v>
      </c>
    </row>
    <row r="4192" spans="1:12">
      <c r="A4192" t="s">
        <v>12152</v>
      </c>
      <c r="B4192" t="s">
        <v>12153</v>
      </c>
      <c r="C4192" t="s">
        <v>12154</v>
      </c>
      <c r="D4192" t="s">
        <v>23</v>
      </c>
      <c r="E4192" t="s">
        <v>59</v>
      </c>
      <c r="F4192" t="s">
        <v>41</v>
      </c>
      <c r="G4192" t="s">
        <v>73</v>
      </c>
      <c r="H4192" t="s">
        <v>31</v>
      </c>
      <c r="I4192">
        <v>3</v>
      </c>
      <c r="J4192">
        <v>24</v>
      </c>
      <c r="K4192">
        <v>18.62</v>
      </c>
      <c r="L4192">
        <v>1</v>
      </c>
    </row>
    <row r="4193" spans="1:12">
      <c r="A4193" t="s">
        <v>12155</v>
      </c>
      <c r="B4193" t="s">
        <v>12156</v>
      </c>
      <c r="C4193" t="s">
        <v>12157</v>
      </c>
      <c r="D4193" t="s">
        <v>35</v>
      </c>
      <c r="E4193" t="s">
        <v>54</v>
      </c>
      <c r="F4193" t="s">
        <v>60</v>
      </c>
      <c r="G4193" t="s">
        <v>55</v>
      </c>
      <c r="H4193" t="s">
        <v>31</v>
      </c>
      <c r="I4193">
        <v>5</v>
      </c>
      <c r="J4193">
        <v>48</v>
      </c>
      <c r="K4193">
        <v>41.77</v>
      </c>
      <c r="L4193">
        <v>1</v>
      </c>
    </row>
    <row r="4194" spans="1:12">
      <c r="A4194" t="s">
        <v>12158</v>
      </c>
      <c r="B4194" t="s">
        <v>12159</v>
      </c>
      <c r="C4194" t="s">
        <v>12160</v>
      </c>
      <c r="D4194" t="s">
        <v>23</v>
      </c>
      <c r="E4194" t="s">
        <v>16</v>
      </c>
      <c r="F4194" t="s">
        <v>29</v>
      </c>
      <c r="G4194" t="s">
        <v>42</v>
      </c>
      <c r="H4194" t="s">
        <v>19</v>
      </c>
      <c r="I4194">
        <v>4</v>
      </c>
      <c r="J4194">
        <v>24</v>
      </c>
      <c r="K4194">
        <v>15.79</v>
      </c>
      <c r="L4194">
        <v>1</v>
      </c>
    </row>
    <row r="4195" spans="1:12">
      <c r="A4195" t="s">
        <v>12161</v>
      </c>
      <c r="B4195" t="s">
        <v>12162</v>
      </c>
      <c r="C4195" t="s">
        <v>12163</v>
      </c>
      <c r="D4195" t="s">
        <v>23</v>
      </c>
      <c r="E4195" t="s">
        <v>24</v>
      </c>
      <c r="F4195" t="s">
        <v>60</v>
      </c>
      <c r="G4195" t="s">
        <v>18</v>
      </c>
      <c r="H4195" t="s">
        <v>31</v>
      </c>
      <c r="I4195">
        <v>3</v>
      </c>
      <c r="J4195">
        <v>24</v>
      </c>
      <c r="K4195">
        <v>18.72</v>
      </c>
      <c r="L4195">
        <v>1</v>
      </c>
    </row>
    <row r="4196" spans="1:12">
      <c r="A4196" t="s">
        <v>12164</v>
      </c>
      <c r="B4196" t="s">
        <v>12165</v>
      </c>
      <c r="C4196" t="s">
        <v>12166</v>
      </c>
      <c r="D4196" t="s">
        <v>23</v>
      </c>
      <c r="E4196" t="s">
        <v>24</v>
      </c>
      <c r="F4196" t="s">
        <v>29</v>
      </c>
      <c r="G4196" t="s">
        <v>42</v>
      </c>
      <c r="H4196" t="s">
        <v>31</v>
      </c>
      <c r="I4196">
        <v>4</v>
      </c>
      <c r="J4196">
        <v>24</v>
      </c>
      <c r="K4196">
        <v>17.48</v>
      </c>
      <c r="L4196">
        <v>1</v>
      </c>
    </row>
    <row r="4197" spans="1:12">
      <c r="A4197" t="s">
        <v>12167</v>
      </c>
      <c r="B4197" t="s">
        <v>12168</v>
      </c>
      <c r="C4197" t="s">
        <v>12169</v>
      </c>
      <c r="D4197" t="s">
        <v>35</v>
      </c>
      <c r="E4197" t="s">
        <v>24</v>
      </c>
      <c r="F4197" t="s">
        <v>41</v>
      </c>
      <c r="G4197" t="s">
        <v>105</v>
      </c>
      <c r="H4197" t="s">
        <v>19</v>
      </c>
      <c r="I4197">
        <v>5</v>
      </c>
      <c r="J4197">
        <v>48</v>
      </c>
      <c r="K4197">
        <v>27.46</v>
      </c>
      <c r="L4197">
        <v>1</v>
      </c>
    </row>
    <row r="4198" spans="1:12">
      <c r="A4198" t="s">
        <v>12170</v>
      </c>
      <c r="B4198" t="s">
        <v>12171</v>
      </c>
      <c r="C4198" t="s">
        <v>12172</v>
      </c>
      <c r="D4198" t="s">
        <v>35</v>
      </c>
      <c r="E4198" t="s">
        <v>54</v>
      </c>
      <c r="F4198" t="s">
        <v>41</v>
      </c>
      <c r="G4198" t="s">
        <v>45</v>
      </c>
      <c r="H4198" t="s">
        <v>31</v>
      </c>
      <c r="I4198">
        <v>5</v>
      </c>
      <c r="J4198">
        <v>48</v>
      </c>
      <c r="K4198">
        <v>30.36</v>
      </c>
      <c r="L4198">
        <v>1</v>
      </c>
    </row>
    <row r="4199" spans="1:12">
      <c r="A4199" t="s">
        <v>12173</v>
      </c>
      <c r="B4199" t="s">
        <v>12174</v>
      </c>
      <c r="C4199" t="s">
        <v>12175</v>
      </c>
      <c r="D4199" t="s">
        <v>35</v>
      </c>
      <c r="E4199" t="s">
        <v>16</v>
      </c>
      <c r="F4199" t="s">
        <v>60</v>
      </c>
      <c r="G4199" t="s">
        <v>172</v>
      </c>
      <c r="H4199" t="s">
        <v>31</v>
      </c>
      <c r="I4199">
        <v>4</v>
      </c>
      <c r="J4199">
        <v>48</v>
      </c>
      <c r="K4199">
        <v>60.33</v>
      </c>
      <c r="L4199">
        <v>0</v>
      </c>
    </row>
    <row r="4200" spans="1:12">
      <c r="A4200" t="s">
        <v>12176</v>
      </c>
      <c r="B4200" t="s">
        <v>12177</v>
      </c>
      <c r="C4200" t="s">
        <v>12178</v>
      </c>
      <c r="D4200" t="s">
        <v>15</v>
      </c>
      <c r="E4200" t="s">
        <v>54</v>
      </c>
      <c r="F4200" t="s">
        <v>17</v>
      </c>
      <c r="G4200" t="s">
        <v>30</v>
      </c>
      <c r="H4200" t="s">
        <v>19</v>
      </c>
      <c r="I4200">
        <v>4</v>
      </c>
      <c r="J4200">
        <v>8</v>
      </c>
      <c r="K4200">
        <v>2.88</v>
      </c>
      <c r="L4200">
        <v>1</v>
      </c>
    </row>
    <row r="4201" spans="1:12">
      <c r="A4201" t="s">
        <v>12179</v>
      </c>
      <c r="B4201" t="s">
        <v>12180</v>
      </c>
      <c r="C4201" t="s">
        <v>12181</v>
      </c>
      <c r="D4201" t="s">
        <v>23</v>
      </c>
      <c r="E4201" t="s">
        <v>28</v>
      </c>
      <c r="F4201" t="s">
        <v>60</v>
      </c>
      <c r="G4201" t="s">
        <v>172</v>
      </c>
      <c r="H4201" t="s">
        <v>19</v>
      </c>
      <c r="I4201">
        <v>2</v>
      </c>
      <c r="J4201">
        <v>24</v>
      </c>
      <c r="K4201">
        <v>35.869999999999997</v>
      </c>
      <c r="L4201">
        <v>0</v>
      </c>
    </row>
    <row r="4202" spans="1:12">
      <c r="A4202" t="s">
        <v>12182</v>
      </c>
      <c r="B4202" t="s">
        <v>12183</v>
      </c>
      <c r="C4202" t="s">
        <v>12184</v>
      </c>
      <c r="D4202" t="s">
        <v>35</v>
      </c>
      <c r="E4202" t="s">
        <v>24</v>
      </c>
      <c r="F4202" t="s">
        <v>36</v>
      </c>
      <c r="G4202" t="s">
        <v>105</v>
      </c>
      <c r="H4202" t="s">
        <v>19</v>
      </c>
      <c r="I4202">
        <v>4</v>
      </c>
      <c r="J4202">
        <v>48</v>
      </c>
      <c r="K4202">
        <v>36.119999999999997</v>
      </c>
      <c r="L4202">
        <v>1</v>
      </c>
    </row>
    <row r="4203" spans="1:12">
      <c r="A4203" t="s">
        <v>12185</v>
      </c>
      <c r="B4203" t="s">
        <v>12186</v>
      </c>
      <c r="C4203" t="s">
        <v>12187</v>
      </c>
      <c r="D4203" t="s">
        <v>23</v>
      </c>
      <c r="E4203" t="s">
        <v>24</v>
      </c>
      <c r="F4203" t="s">
        <v>29</v>
      </c>
      <c r="G4203" t="s">
        <v>172</v>
      </c>
      <c r="H4203" t="s">
        <v>31</v>
      </c>
      <c r="I4203">
        <v>4</v>
      </c>
      <c r="J4203">
        <v>24</v>
      </c>
      <c r="K4203">
        <v>9.27</v>
      </c>
      <c r="L4203">
        <v>1</v>
      </c>
    </row>
    <row r="4204" spans="1:12">
      <c r="A4204" t="s">
        <v>12188</v>
      </c>
      <c r="B4204" t="s">
        <v>12189</v>
      </c>
      <c r="C4204" t="s">
        <v>12190</v>
      </c>
      <c r="D4204" t="s">
        <v>15</v>
      </c>
      <c r="E4204" t="s">
        <v>59</v>
      </c>
      <c r="F4204" t="s">
        <v>36</v>
      </c>
      <c r="G4204" t="s">
        <v>50</v>
      </c>
      <c r="H4204" t="s">
        <v>31</v>
      </c>
      <c r="I4204">
        <v>2</v>
      </c>
      <c r="J4204">
        <v>8</v>
      </c>
      <c r="K4204">
        <v>19.45</v>
      </c>
      <c r="L4204">
        <v>0</v>
      </c>
    </row>
    <row r="4205" spans="1:12">
      <c r="A4205" t="s">
        <v>12191</v>
      </c>
      <c r="B4205" t="s">
        <v>12192</v>
      </c>
      <c r="D4205" t="s">
        <v>23</v>
      </c>
      <c r="E4205" t="s">
        <v>59</v>
      </c>
      <c r="F4205" t="s">
        <v>60</v>
      </c>
      <c r="G4205" t="s">
        <v>77</v>
      </c>
      <c r="H4205" t="s">
        <v>46</v>
      </c>
      <c r="J4205">
        <v>24</v>
      </c>
    </row>
    <row r="4206" spans="1:12">
      <c r="A4206" t="s">
        <v>12193</v>
      </c>
      <c r="B4206" t="s">
        <v>12194</v>
      </c>
      <c r="C4206" t="s">
        <v>12195</v>
      </c>
      <c r="D4206" t="s">
        <v>35</v>
      </c>
      <c r="E4206" t="s">
        <v>24</v>
      </c>
      <c r="F4206" t="s">
        <v>17</v>
      </c>
      <c r="G4206" t="s">
        <v>42</v>
      </c>
      <c r="H4206" t="s">
        <v>31</v>
      </c>
      <c r="I4206">
        <v>5</v>
      </c>
      <c r="J4206">
        <v>48</v>
      </c>
      <c r="K4206">
        <v>6.38</v>
      </c>
      <c r="L4206">
        <v>1</v>
      </c>
    </row>
    <row r="4207" spans="1:12">
      <c r="A4207" t="s">
        <v>12196</v>
      </c>
      <c r="B4207" t="s">
        <v>12197</v>
      </c>
      <c r="C4207" t="s">
        <v>12198</v>
      </c>
      <c r="D4207" t="s">
        <v>23</v>
      </c>
      <c r="E4207" t="s">
        <v>59</v>
      </c>
      <c r="F4207" t="s">
        <v>36</v>
      </c>
      <c r="G4207" t="s">
        <v>55</v>
      </c>
      <c r="H4207" t="s">
        <v>19</v>
      </c>
      <c r="I4207">
        <v>4</v>
      </c>
      <c r="J4207">
        <v>24</v>
      </c>
      <c r="K4207">
        <v>3.79</v>
      </c>
      <c r="L4207">
        <v>1</v>
      </c>
    </row>
    <row r="4208" spans="1:12">
      <c r="A4208" t="s">
        <v>12199</v>
      </c>
      <c r="B4208" t="s">
        <v>12200</v>
      </c>
      <c r="C4208" t="s">
        <v>12201</v>
      </c>
      <c r="D4208" t="s">
        <v>15</v>
      </c>
      <c r="E4208" t="s">
        <v>24</v>
      </c>
      <c r="F4208" t="s">
        <v>41</v>
      </c>
      <c r="G4208" t="s">
        <v>172</v>
      </c>
      <c r="H4208" t="s">
        <v>31</v>
      </c>
      <c r="I4208">
        <v>5</v>
      </c>
      <c r="J4208">
        <v>8</v>
      </c>
      <c r="K4208">
        <v>0.91</v>
      </c>
      <c r="L4208">
        <v>1</v>
      </c>
    </row>
    <row r="4209" spans="1:12">
      <c r="A4209" t="s">
        <v>12202</v>
      </c>
      <c r="B4209" t="s">
        <v>12203</v>
      </c>
      <c r="C4209" t="s">
        <v>12204</v>
      </c>
      <c r="D4209" t="s">
        <v>35</v>
      </c>
      <c r="E4209" t="s">
        <v>24</v>
      </c>
      <c r="F4209" t="s">
        <v>29</v>
      </c>
      <c r="G4209" t="s">
        <v>77</v>
      </c>
      <c r="H4209" t="s">
        <v>19</v>
      </c>
      <c r="I4209">
        <v>4</v>
      </c>
      <c r="J4209">
        <v>48</v>
      </c>
      <c r="K4209">
        <v>26.09</v>
      </c>
      <c r="L4209">
        <v>1</v>
      </c>
    </row>
    <row r="4210" spans="1:12">
      <c r="A4210" t="s">
        <v>12205</v>
      </c>
      <c r="B4210" t="s">
        <v>12206</v>
      </c>
      <c r="C4210" t="s">
        <v>12207</v>
      </c>
      <c r="D4210" t="s">
        <v>15</v>
      </c>
      <c r="E4210" t="s">
        <v>28</v>
      </c>
      <c r="F4210" t="s">
        <v>29</v>
      </c>
      <c r="G4210" t="s">
        <v>45</v>
      </c>
      <c r="H4210" t="s">
        <v>31</v>
      </c>
      <c r="I4210">
        <v>1</v>
      </c>
      <c r="J4210">
        <v>8</v>
      </c>
      <c r="K4210">
        <v>9.32</v>
      </c>
      <c r="L4210">
        <v>0</v>
      </c>
    </row>
    <row r="4211" spans="1:12">
      <c r="A4211" t="s">
        <v>12208</v>
      </c>
      <c r="B4211" t="s">
        <v>12209</v>
      </c>
      <c r="C4211" t="s">
        <v>12210</v>
      </c>
      <c r="D4211" t="s">
        <v>23</v>
      </c>
      <c r="E4211" t="s">
        <v>59</v>
      </c>
      <c r="F4211" t="s">
        <v>36</v>
      </c>
      <c r="G4211" t="s">
        <v>42</v>
      </c>
      <c r="H4211" t="s">
        <v>19</v>
      </c>
      <c r="I4211">
        <v>4</v>
      </c>
      <c r="J4211">
        <v>24</v>
      </c>
      <c r="K4211">
        <v>2.68</v>
      </c>
      <c r="L4211">
        <v>1</v>
      </c>
    </row>
    <row r="4212" spans="1:12">
      <c r="A4212" t="s">
        <v>12211</v>
      </c>
      <c r="B4212" t="s">
        <v>12212</v>
      </c>
      <c r="C4212" t="s">
        <v>12213</v>
      </c>
      <c r="D4212" t="s">
        <v>23</v>
      </c>
      <c r="E4212" t="s">
        <v>24</v>
      </c>
      <c r="F4212" t="s">
        <v>29</v>
      </c>
      <c r="G4212" t="s">
        <v>151</v>
      </c>
      <c r="H4212" t="s">
        <v>19</v>
      </c>
      <c r="I4212">
        <v>4</v>
      </c>
      <c r="J4212">
        <v>24</v>
      </c>
      <c r="K4212">
        <v>2.99</v>
      </c>
      <c r="L4212">
        <v>1</v>
      </c>
    </row>
    <row r="4213" spans="1:12">
      <c r="A4213" t="s">
        <v>12214</v>
      </c>
      <c r="B4213" t="s">
        <v>12215</v>
      </c>
      <c r="D4213" t="s">
        <v>35</v>
      </c>
      <c r="E4213" t="s">
        <v>54</v>
      </c>
      <c r="F4213" t="s">
        <v>60</v>
      </c>
      <c r="G4213" t="s">
        <v>55</v>
      </c>
      <c r="H4213" t="s">
        <v>46</v>
      </c>
      <c r="J4213">
        <v>48</v>
      </c>
    </row>
    <row r="4214" spans="1:12">
      <c r="A4214" t="s">
        <v>12216</v>
      </c>
      <c r="B4214" t="s">
        <v>12217</v>
      </c>
      <c r="C4214" t="s">
        <v>12218</v>
      </c>
      <c r="D4214" t="s">
        <v>23</v>
      </c>
      <c r="E4214" t="s">
        <v>16</v>
      </c>
      <c r="F4214" t="s">
        <v>60</v>
      </c>
      <c r="G4214" t="s">
        <v>151</v>
      </c>
      <c r="H4214" t="s">
        <v>19</v>
      </c>
      <c r="I4214">
        <v>4</v>
      </c>
      <c r="J4214">
        <v>24</v>
      </c>
      <c r="K4214">
        <v>18.23</v>
      </c>
      <c r="L4214">
        <v>1</v>
      </c>
    </row>
    <row r="4215" spans="1:12">
      <c r="A4215" t="s">
        <v>12219</v>
      </c>
      <c r="B4215" t="s">
        <v>12220</v>
      </c>
      <c r="C4215" t="s">
        <v>12221</v>
      </c>
      <c r="D4215" t="s">
        <v>23</v>
      </c>
      <c r="E4215" t="s">
        <v>24</v>
      </c>
      <c r="F4215" t="s">
        <v>41</v>
      </c>
      <c r="G4215" t="s">
        <v>50</v>
      </c>
      <c r="H4215" t="s">
        <v>31</v>
      </c>
      <c r="I4215">
        <v>2</v>
      </c>
      <c r="J4215">
        <v>24</v>
      </c>
      <c r="K4215">
        <v>48.61</v>
      </c>
      <c r="L4215">
        <v>0</v>
      </c>
    </row>
    <row r="4216" spans="1:12">
      <c r="A4216" t="s">
        <v>12222</v>
      </c>
      <c r="B4216" t="s">
        <v>12223</v>
      </c>
      <c r="C4216" t="s">
        <v>12224</v>
      </c>
      <c r="D4216" t="s">
        <v>15</v>
      </c>
      <c r="E4216" t="s">
        <v>16</v>
      </c>
      <c r="F4216" t="s">
        <v>17</v>
      </c>
      <c r="G4216" t="s">
        <v>45</v>
      </c>
      <c r="H4216" t="s">
        <v>19</v>
      </c>
      <c r="I4216">
        <v>4</v>
      </c>
      <c r="J4216">
        <v>8</v>
      </c>
      <c r="K4216">
        <v>4.3899999999999997</v>
      </c>
      <c r="L4216">
        <v>1</v>
      </c>
    </row>
    <row r="4217" spans="1:12">
      <c r="A4217" t="s">
        <v>12225</v>
      </c>
      <c r="B4217" t="s">
        <v>12226</v>
      </c>
      <c r="C4217" t="s">
        <v>12227</v>
      </c>
      <c r="D4217" t="s">
        <v>23</v>
      </c>
      <c r="E4217" t="s">
        <v>24</v>
      </c>
      <c r="F4217" t="s">
        <v>60</v>
      </c>
      <c r="G4217" t="s">
        <v>37</v>
      </c>
      <c r="H4217" t="s">
        <v>31</v>
      </c>
      <c r="I4217">
        <v>3</v>
      </c>
      <c r="J4217">
        <v>24</v>
      </c>
      <c r="K4217">
        <v>5.17</v>
      </c>
      <c r="L4217">
        <v>1</v>
      </c>
    </row>
    <row r="4218" spans="1:12">
      <c r="A4218" t="s">
        <v>12228</v>
      </c>
      <c r="B4218" t="s">
        <v>12229</v>
      </c>
      <c r="C4218" t="s">
        <v>12230</v>
      </c>
      <c r="D4218" t="s">
        <v>35</v>
      </c>
      <c r="E4218" t="s">
        <v>54</v>
      </c>
      <c r="F4218" t="s">
        <v>29</v>
      </c>
      <c r="G4218" t="s">
        <v>42</v>
      </c>
      <c r="H4218" t="s">
        <v>19</v>
      </c>
      <c r="I4218">
        <v>5</v>
      </c>
      <c r="J4218">
        <v>48</v>
      </c>
      <c r="K4218">
        <v>23.72</v>
      </c>
      <c r="L4218">
        <v>1</v>
      </c>
    </row>
    <row r="4219" spans="1:12">
      <c r="A4219" t="s">
        <v>12231</v>
      </c>
      <c r="B4219" t="s">
        <v>12232</v>
      </c>
      <c r="C4219" t="s">
        <v>12233</v>
      </c>
      <c r="D4219" t="s">
        <v>35</v>
      </c>
      <c r="E4219" t="s">
        <v>24</v>
      </c>
      <c r="F4219" t="s">
        <v>17</v>
      </c>
      <c r="G4219" t="s">
        <v>45</v>
      </c>
      <c r="H4219" t="s">
        <v>19</v>
      </c>
      <c r="I4219">
        <v>5</v>
      </c>
      <c r="J4219">
        <v>48</v>
      </c>
      <c r="K4219">
        <v>15.85</v>
      </c>
      <c r="L4219">
        <v>1</v>
      </c>
    </row>
    <row r="4220" spans="1:12">
      <c r="A4220" t="s">
        <v>12234</v>
      </c>
      <c r="B4220" t="s">
        <v>12235</v>
      </c>
      <c r="C4220" t="s">
        <v>12236</v>
      </c>
      <c r="D4220" t="s">
        <v>23</v>
      </c>
      <c r="E4220" t="s">
        <v>28</v>
      </c>
      <c r="F4220" t="s">
        <v>41</v>
      </c>
      <c r="G4220" t="s">
        <v>45</v>
      </c>
      <c r="H4220" t="s">
        <v>19</v>
      </c>
      <c r="I4220">
        <v>5</v>
      </c>
      <c r="J4220">
        <v>24</v>
      </c>
      <c r="K4220">
        <v>22.14</v>
      </c>
      <c r="L4220">
        <v>1</v>
      </c>
    </row>
    <row r="4221" spans="1:12">
      <c r="A4221" t="s">
        <v>12237</v>
      </c>
      <c r="B4221" t="s">
        <v>12238</v>
      </c>
      <c r="C4221" t="s">
        <v>12239</v>
      </c>
      <c r="D4221" t="s">
        <v>23</v>
      </c>
      <c r="E4221" t="s">
        <v>28</v>
      </c>
      <c r="F4221" t="s">
        <v>17</v>
      </c>
      <c r="G4221" t="s">
        <v>18</v>
      </c>
      <c r="H4221" t="s">
        <v>19</v>
      </c>
      <c r="I4221">
        <v>2</v>
      </c>
      <c r="J4221">
        <v>24</v>
      </c>
      <c r="K4221">
        <v>37.270000000000003</v>
      </c>
      <c r="L4221">
        <v>0</v>
      </c>
    </row>
    <row r="4222" spans="1:12">
      <c r="A4222" t="s">
        <v>12240</v>
      </c>
      <c r="B4222" t="s">
        <v>12241</v>
      </c>
      <c r="C4222" t="s">
        <v>12242</v>
      </c>
      <c r="D4222" t="s">
        <v>23</v>
      </c>
      <c r="E4222" t="s">
        <v>59</v>
      </c>
      <c r="F4222" t="s">
        <v>36</v>
      </c>
      <c r="G4222" t="s">
        <v>151</v>
      </c>
      <c r="H4222" t="s">
        <v>19</v>
      </c>
      <c r="I4222">
        <v>4</v>
      </c>
      <c r="J4222">
        <v>24</v>
      </c>
      <c r="K4222">
        <v>12.37</v>
      </c>
      <c r="L4222">
        <v>1</v>
      </c>
    </row>
    <row r="4223" spans="1:12">
      <c r="A4223" t="s">
        <v>12243</v>
      </c>
      <c r="B4223" t="s">
        <v>12244</v>
      </c>
      <c r="C4223" t="s">
        <v>12245</v>
      </c>
      <c r="D4223" t="s">
        <v>23</v>
      </c>
      <c r="E4223" t="s">
        <v>28</v>
      </c>
      <c r="F4223" t="s">
        <v>36</v>
      </c>
      <c r="G4223" t="s">
        <v>172</v>
      </c>
      <c r="H4223" t="s">
        <v>31</v>
      </c>
      <c r="I4223">
        <v>4</v>
      </c>
      <c r="J4223">
        <v>24</v>
      </c>
      <c r="K4223">
        <v>22.35</v>
      </c>
      <c r="L4223">
        <v>1</v>
      </c>
    </row>
    <row r="4224" spans="1:12">
      <c r="A4224" t="s">
        <v>12246</v>
      </c>
      <c r="B4224" t="s">
        <v>12247</v>
      </c>
      <c r="D4224" t="s">
        <v>23</v>
      </c>
      <c r="E4224" t="s">
        <v>28</v>
      </c>
      <c r="F4224" t="s">
        <v>41</v>
      </c>
      <c r="G4224" t="s">
        <v>151</v>
      </c>
      <c r="H4224" t="s">
        <v>46</v>
      </c>
      <c r="J4224">
        <v>24</v>
      </c>
    </row>
    <row r="4225" spans="1:12">
      <c r="A4225" t="s">
        <v>12248</v>
      </c>
      <c r="B4225" t="s">
        <v>12249</v>
      </c>
      <c r="C4225" t="s">
        <v>12250</v>
      </c>
      <c r="D4225" t="s">
        <v>23</v>
      </c>
      <c r="E4225" t="s">
        <v>28</v>
      </c>
      <c r="F4225" t="s">
        <v>17</v>
      </c>
      <c r="G4225" t="s">
        <v>77</v>
      </c>
      <c r="H4225" t="s">
        <v>19</v>
      </c>
      <c r="I4225">
        <v>4</v>
      </c>
      <c r="J4225">
        <v>24</v>
      </c>
      <c r="K4225">
        <v>18.21</v>
      </c>
      <c r="L4225">
        <v>1</v>
      </c>
    </row>
    <row r="4226" spans="1:12">
      <c r="A4226" t="s">
        <v>12251</v>
      </c>
      <c r="B4226" t="s">
        <v>12252</v>
      </c>
      <c r="C4226" t="s">
        <v>12253</v>
      </c>
      <c r="D4226" t="s">
        <v>23</v>
      </c>
      <c r="E4226" t="s">
        <v>59</v>
      </c>
      <c r="F4226" t="s">
        <v>29</v>
      </c>
      <c r="G4226" t="s">
        <v>151</v>
      </c>
      <c r="H4226" t="s">
        <v>31</v>
      </c>
      <c r="I4226">
        <v>4</v>
      </c>
      <c r="J4226">
        <v>24</v>
      </c>
      <c r="K4226">
        <v>14.87</v>
      </c>
      <c r="L4226">
        <v>1</v>
      </c>
    </row>
    <row r="4227" spans="1:12">
      <c r="A4227" t="s">
        <v>12254</v>
      </c>
      <c r="B4227" t="s">
        <v>12255</v>
      </c>
      <c r="C4227" t="s">
        <v>12256</v>
      </c>
      <c r="D4227" t="s">
        <v>23</v>
      </c>
      <c r="E4227" t="s">
        <v>16</v>
      </c>
      <c r="F4227" t="s">
        <v>60</v>
      </c>
      <c r="G4227" t="s">
        <v>45</v>
      </c>
      <c r="H4227" t="s">
        <v>31</v>
      </c>
      <c r="I4227">
        <v>5</v>
      </c>
      <c r="J4227">
        <v>24</v>
      </c>
      <c r="K4227">
        <v>6.68</v>
      </c>
      <c r="L4227">
        <v>1</v>
      </c>
    </row>
    <row r="4228" spans="1:12">
      <c r="A4228" t="s">
        <v>12257</v>
      </c>
      <c r="B4228" t="s">
        <v>12258</v>
      </c>
      <c r="C4228" t="s">
        <v>12259</v>
      </c>
      <c r="D4228" t="s">
        <v>15</v>
      </c>
      <c r="E4228" t="s">
        <v>59</v>
      </c>
      <c r="F4228" t="s">
        <v>41</v>
      </c>
      <c r="G4228" t="s">
        <v>77</v>
      </c>
      <c r="H4228" t="s">
        <v>19</v>
      </c>
      <c r="I4228">
        <v>5</v>
      </c>
      <c r="J4228">
        <v>8</v>
      </c>
      <c r="K4228">
        <v>3.31</v>
      </c>
      <c r="L4228">
        <v>1</v>
      </c>
    </row>
    <row r="4229" spans="1:12">
      <c r="A4229" t="s">
        <v>12260</v>
      </c>
      <c r="B4229" t="s">
        <v>12261</v>
      </c>
      <c r="C4229" t="s">
        <v>12262</v>
      </c>
      <c r="D4229" t="s">
        <v>35</v>
      </c>
      <c r="E4229" t="s">
        <v>54</v>
      </c>
      <c r="F4229" t="s">
        <v>29</v>
      </c>
      <c r="G4229" t="s">
        <v>30</v>
      </c>
      <c r="H4229" t="s">
        <v>19</v>
      </c>
      <c r="I4229">
        <v>5</v>
      </c>
      <c r="J4229">
        <v>48</v>
      </c>
      <c r="K4229">
        <v>12.75</v>
      </c>
      <c r="L4229">
        <v>1</v>
      </c>
    </row>
    <row r="4230" spans="1:12">
      <c r="A4230" t="s">
        <v>12263</v>
      </c>
      <c r="B4230" t="s">
        <v>12264</v>
      </c>
      <c r="C4230" t="s">
        <v>12265</v>
      </c>
      <c r="D4230" t="s">
        <v>15</v>
      </c>
      <c r="E4230" t="s">
        <v>28</v>
      </c>
      <c r="F4230" t="s">
        <v>36</v>
      </c>
      <c r="G4230" t="s">
        <v>105</v>
      </c>
      <c r="H4230" t="s">
        <v>19</v>
      </c>
      <c r="I4230">
        <v>4</v>
      </c>
      <c r="J4230">
        <v>8</v>
      </c>
      <c r="K4230">
        <v>7.14</v>
      </c>
      <c r="L4230">
        <v>1</v>
      </c>
    </row>
    <row r="4231" spans="1:12">
      <c r="A4231" t="s">
        <v>12266</v>
      </c>
      <c r="B4231" t="s">
        <v>12267</v>
      </c>
      <c r="D4231" t="s">
        <v>15</v>
      </c>
      <c r="E4231" t="s">
        <v>28</v>
      </c>
      <c r="F4231" t="s">
        <v>29</v>
      </c>
      <c r="G4231" t="s">
        <v>30</v>
      </c>
      <c r="H4231" t="s">
        <v>63</v>
      </c>
      <c r="J4231">
        <v>8</v>
      </c>
    </row>
    <row r="4232" spans="1:12">
      <c r="A4232" t="s">
        <v>12268</v>
      </c>
      <c r="B4232" t="s">
        <v>12269</v>
      </c>
      <c r="C4232" t="s">
        <v>12270</v>
      </c>
      <c r="D4232" t="s">
        <v>15</v>
      </c>
      <c r="E4232" t="s">
        <v>16</v>
      </c>
      <c r="F4232" t="s">
        <v>60</v>
      </c>
      <c r="G4232" t="s">
        <v>42</v>
      </c>
      <c r="H4232" t="s">
        <v>31</v>
      </c>
      <c r="I4232">
        <v>2</v>
      </c>
      <c r="J4232">
        <v>8</v>
      </c>
      <c r="K4232">
        <v>18.239999999999998</v>
      </c>
      <c r="L4232">
        <v>0</v>
      </c>
    </row>
    <row r="4233" spans="1:12">
      <c r="A4233" t="s">
        <v>12271</v>
      </c>
      <c r="B4233" t="s">
        <v>12272</v>
      </c>
      <c r="C4233" t="s">
        <v>12273</v>
      </c>
      <c r="D4233" t="s">
        <v>23</v>
      </c>
      <c r="E4233" t="s">
        <v>16</v>
      </c>
      <c r="F4233" t="s">
        <v>29</v>
      </c>
      <c r="G4233" t="s">
        <v>73</v>
      </c>
      <c r="H4233" t="s">
        <v>19</v>
      </c>
      <c r="I4233">
        <v>4</v>
      </c>
      <c r="J4233">
        <v>24</v>
      </c>
      <c r="K4233">
        <v>16.7</v>
      </c>
      <c r="L4233">
        <v>1</v>
      </c>
    </row>
    <row r="4234" spans="1:12">
      <c r="A4234" t="s">
        <v>12274</v>
      </c>
      <c r="B4234" t="s">
        <v>12275</v>
      </c>
      <c r="C4234" t="s">
        <v>12276</v>
      </c>
      <c r="D4234" t="s">
        <v>15</v>
      </c>
      <c r="E4234" t="s">
        <v>16</v>
      </c>
      <c r="F4234" t="s">
        <v>29</v>
      </c>
      <c r="G4234" t="s">
        <v>55</v>
      </c>
      <c r="H4234" t="s">
        <v>19</v>
      </c>
      <c r="I4234">
        <v>4</v>
      </c>
      <c r="J4234">
        <v>8</v>
      </c>
      <c r="K4234">
        <v>2.4700000000000002</v>
      </c>
      <c r="L4234">
        <v>1</v>
      </c>
    </row>
    <row r="4235" spans="1:12">
      <c r="A4235" t="s">
        <v>12277</v>
      </c>
      <c r="B4235" t="s">
        <v>12278</v>
      </c>
      <c r="C4235" t="s">
        <v>12279</v>
      </c>
      <c r="D4235" t="s">
        <v>35</v>
      </c>
      <c r="E4235" t="s">
        <v>24</v>
      </c>
      <c r="F4235" t="s">
        <v>36</v>
      </c>
      <c r="G4235" t="s">
        <v>37</v>
      </c>
      <c r="H4235" t="s">
        <v>31</v>
      </c>
      <c r="I4235">
        <v>2</v>
      </c>
      <c r="J4235">
        <v>48</v>
      </c>
      <c r="K4235">
        <v>136.88</v>
      </c>
      <c r="L4235">
        <v>0</v>
      </c>
    </row>
    <row r="4236" spans="1:12">
      <c r="A4236" t="s">
        <v>12280</v>
      </c>
      <c r="B4236" t="s">
        <v>12281</v>
      </c>
      <c r="C4236" t="s">
        <v>12282</v>
      </c>
      <c r="D4236" t="s">
        <v>23</v>
      </c>
      <c r="E4236" t="s">
        <v>59</v>
      </c>
      <c r="F4236" t="s">
        <v>41</v>
      </c>
      <c r="G4236" t="s">
        <v>172</v>
      </c>
      <c r="H4236" t="s">
        <v>31</v>
      </c>
      <c r="I4236">
        <v>5</v>
      </c>
      <c r="J4236">
        <v>24</v>
      </c>
      <c r="K4236">
        <v>12.54</v>
      </c>
      <c r="L4236">
        <v>1</v>
      </c>
    </row>
    <row r="4237" spans="1:12">
      <c r="A4237" t="s">
        <v>12283</v>
      </c>
      <c r="B4237" t="s">
        <v>12284</v>
      </c>
      <c r="C4237" t="s">
        <v>12285</v>
      </c>
      <c r="D4237" t="s">
        <v>35</v>
      </c>
      <c r="E4237" t="s">
        <v>59</v>
      </c>
      <c r="F4237" t="s">
        <v>29</v>
      </c>
      <c r="G4237" t="s">
        <v>151</v>
      </c>
      <c r="H4237" t="s">
        <v>31</v>
      </c>
      <c r="I4237">
        <v>5</v>
      </c>
      <c r="J4237">
        <v>48</v>
      </c>
      <c r="K4237">
        <v>20.3</v>
      </c>
      <c r="L4237">
        <v>1</v>
      </c>
    </row>
    <row r="4238" spans="1:12">
      <c r="A4238" t="s">
        <v>12286</v>
      </c>
      <c r="B4238" t="s">
        <v>12287</v>
      </c>
      <c r="C4238" t="s">
        <v>12288</v>
      </c>
      <c r="D4238" t="s">
        <v>15</v>
      </c>
      <c r="E4238" t="s">
        <v>16</v>
      </c>
      <c r="F4238" t="s">
        <v>29</v>
      </c>
      <c r="G4238" t="s">
        <v>30</v>
      </c>
      <c r="H4238" t="s">
        <v>19</v>
      </c>
      <c r="I4238">
        <v>4</v>
      </c>
      <c r="J4238">
        <v>8</v>
      </c>
      <c r="K4238">
        <v>12.35</v>
      </c>
      <c r="L4238">
        <v>0</v>
      </c>
    </row>
    <row r="4239" spans="1:12">
      <c r="A4239" t="s">
        <v>12289</v>
      </c>
      <c r="B4239" t="s">
        <v>12290</v>
      </c>
      <c r="C4239" t="s">
        <v>12291</v>
      </c>
      <c r="D4239" t="s">
        <v>15</v>
      </c>
      <c r="E4239" t="s">
        <v>28</v>
      </c>
      <c r="F4239" t="s">
        <v>36</v>
      </c>
      <c r="G4239" t="s">
        <v>37</v>
      </c>
      <c r="H4239" t="s">
        <v>19</v>
      </c>
      <c r="I4239">
        <v>4</v>
      </c>
      <c r="J4239">
        <v>8</v>
      </c>
      <c r="K4239">
        <v>17.989999999999998</v>
      </c>
      <c r="L4239">
        <v>0</v>
      </c>
    </row>
    <row r="4240" spans="1:12">
      <c r="A4240" t="s">
        <v>12292</v>
      </c>
      <c r="B4240" t="s">
        <v>12293</v>
      </c>
      <c r="C4240" t="s">
        <v>12294</v>
      </c>
      <c r="D4240" t="s">
        <v>15</v>
      </c>
      <c r="E4240" t="s">
        <v>54</v>
      </c>
      <c r="F4240" t="s">
        <v>29</v>
      </c>
      <c r="G4240" t="s">
        <v>50</v>
      </c>
      <c r="H4240" t="s">
        <v>19</v>
      </c>
      <c r="I4240">
        <v>4</v>
      </c>
      <c r="J4240">
        <v>8</v>
      </c>
      <c r="K4240">
        <v>3.5</v>
      </c>
      <c r="L4240">
        <v>1</v>
      </c>
    </row>
    <row r="4241" spans="1:12">
      <c r="A4241" t="s">
        <v>12295</v>
      </c>
      <c r="B4241" t="s">
        <v>12296</v>
      </c>
      <c r="C4241" t="s">
        <v>12297</v>
      </c>
      <c r="D4241" t="s">
        <v>35</v>
      </c>
      <c r="E4241" t="s">
        <v>16</v>
      </c>
      <c r="F4241" t="s">
        <v>41</v>
      </c>
      <c r="G4241" t="s">
        <v>45</v>
      </c>
      <c r="H4241" t="s">
        <v>19</v>
      </c>
      <c r="I4241">
        <v>4</v>
      </c>
      <c r="J4241">
        <v>48</v>
      </c>
      <c r="K4241">
        <v>36.369999999999997</v>
      </c>
      <c r="L4241">
        <v>1</v>
      </c>
    </row>
    <row r="4242" spans="1:12">
      <c r="A4242" t="s">
        <v>12298</v>
      </c>
      <c r="B4242" t="s">
        <v>12299</v>
      </c>
      <c r="C4242" t="s">
        <v>12300</v>
      </c>
      <c r="D4242" t="s">
        <v>158</v>
      </c>
      <c r="E4242" t="s">
        <v>16</v>
      </c>
      <c r="F4242" t="s">
        <v>60</v>
      </c>
      <c r="G4242" t="s">
        <v>45</v>
      </c>
      <c r="H4242" t="s">
        <v>19</v>
      </c>
      <c r="I4242">
        <v>5</v>
      </c>
      <c r="J4242">
        <v>4</v>
      </c>
      <c r="K4242">
        <v>2.13</v>
      </c>
      <c r="L4242">
        <v>1</v>
      </c>
    </row>
    <row r="4243" spans="1:12">
      <c r="A4243" t="s">
        <v>12301</v>
      </c>
      <c r="B4243" t="s">
        <v>12302</v>
      </c>
      <c r="C4243" t="s">
        <v>12303</v>
      </c>
      <c r="D4243" t="s">
        <v>35</v>
      </c>
      <c r="E4243" t="s">
        <v>28</v>
      </c>
      <c r="F4243" t="s">
        <v>60</v>
      </c>
      <c r="G4243" t="s">
        <v>172</v>
      </c>
      <c r="H4243" t="s">
        <v>19</v>
      </c>
      <c r="I4243">
        <v>3</v>
      </c>
      <c r="J4243">
        <v>48</v>
      </c>
      <c r="K4243">
        <v>90.4</v>
      </c>
      <c r="L4243">
        <v>0</v>
      </c>
    </row>
    <row r="4244" spans="1:12">
      <c r="A4244" t="s">
        <v>12304</v>
      </c>
      <c r="B4244" t="s">
        <v>12305</v>
      </c>
      <c r="C4244" t="s">
        <v>12306</v>
      </c>
      <c r="D4244" t="s">
        <v>23</v>
      </c>
      <c r="E4244" t="s">
        <v>28</v>
      </c>
      <c r="F4244" t="s">
        <v>41</v>
      </c>
      <c r="G4244" t="s">
        <v>105</v>
      </c>
      <c r="H4244" t="s">
        <v>19</v>
      </c>
      <c r="I4244">
        <v>2</v>
      </c>
      <c r="J4244">
        <v>24</v>
      </c>
      <c r="K4244">
        <v>39.53</v>
      </c>
      <c r="L4244">
        <v>0</v>
      </c>
    </row>
    <row r="4245" spans="1:12">
      <c r="A4245" t="s">
        <v>12307</v>
      </c>
      <c r="B4245" t="s">
        <v>12308</v>
      </c>
      <c r="C4245" t="s">
        <v>12309</v>
      </c>
      <c r="D4245" t="s">
        <v>23</v>
      </c>
      <c r="E4245" t="s">
        <v>54</v>
      </c>
      <c r="F4245" t="s">
        <v>41</v>
      </c>
      <c r="G4245" t="s">
        <v>105</v>
      </c>
      <c r="H4245" t="s">
        <v>19</v>
      </c>
      <c r="I4245">
        <v>4</v>
      </c>
      <c r="J4245">
        <v>24</v>
      </c>
      <c r="K4245">
        <v>11.55</v>
      </c>
      <c r="L4245">
        <v>1</v>
      </c>
    </row>
    <row r="4246" spans="1:12">
      <c r="A4246" t="s">
        <v>12310</v>
      </c>
      <c r="B4246" t="s">
        <v>12311</v>
      </c>
      <c r="D4246" t="s">
        <v>23</v>
      </c>
      <c r="E4246" t="s">
        <v>16</v>
      </c>
      <c r="F4246" t="s">
        <v>17</v>
      </c>
      <c r="G4246" t="s">
        <v>50</v>
      </c>
      <c r="H4246" t="s">
        <v>63</v>
      </c>
      <c r="J4246">
        <v>24</v>
      </c>
    </row>
    <row r="4247" spans="1:12">
      <c r="A4247" t="s">
        <v>12312</v>
      </c>
      <c r="B4247" t="s">
        <v>12313</v>
      </c>
      <c r="D4247" t="s">
        <v>15</v>
      </c>
      <c r="E4247" t="s">
        <v>24</v>
      </c>
      <c r="F4247" t="s">
        <v>17</v>
      </c>
      <c r="G4247" t="s">
        <v>55</v>
      </c>
      <c r="H4247" t="s">
        <v>46</v>
      </c>
      <c r="J4247">
        <v>8</v>
      </c>
    </row>
    <row r="4248" spans="1:12">
      <c r="A4248" t="s">
        <v>12314</v>
      </c>
      <c r="B4248" t="s">
        <v>12315</v>
      </c>
      <c r="C4248" t="s">
        <v>12316</v>
      </c>
      <c r="D4248" t="s">
        <v>35</v>
      </c>
      <c r="E4248" t="s">
        <v>59</v>
      </c>
      <c r="F4248" t="s">
        <v>41</v>
      </c>
      <c r="G4248" t="s">
        <v>37</v>
      </c>
      <c r="H4248" t="s">
        <v>19</v>
      </c>
      <c r="I4248">
        <v>5</v>
      </c>
      <c r="J4248">
        <v>48</v>
      </c>
      <c r="K4248">
        <v>38.08</v>
      </c>
      <c r="L4248">
        <v>1</v>
      </c>
    </row>
    <row r="4249" spans="1:12">
      <c r="A4249" t="s">
        <v>12317</v>
      </c>
      <c r="B4249" t="s">
        <v>12318</v>
      </c>
      <c r="D4249" t="s">
        <v>23</v>
      </c>
      <c r="E4249" t="s">
        <v>59</v>
      </c>
      <c r="F4249" t="s">
        <v>29</v>
      </c>
      <c r="G4249" t="s">
        <v>105</v>
      </c>
      <c r="H4249" t="s">
        <v>63</v>
      </c>
      <c r="J4249">
        <v>24</v>
      </c>
    </row>
    <row r="4250" spans="1:12">
      <c r="A4250" t="s">
        <v>12319</v>
      </c>
      <c r="B4250" t="s">
        <v>12320</v>
      </c>
      <c r="C4250" t="s">
        <v>12321</v>
      </c>
      <c r="D4250" t="s">
        <v>23</v>
      </c>
      <c r="E4250" t="s">
        <v>24</v>
      </c>
      <c r="F4250" t="s">
        <v>17</v>
      </c>
      <c r="G4250" t="s">
        <v>77</v>
      </c>
      <c r="H4250" t="s">
        <v>19</v>
      </c>
      <c r="I4250">
        <v>5</v>
      </c>
      <c r="J4250">
        <v>24</v>
      </c>
      <c r="K4250">
        <v>21.92</v>
      </c>
      <c r="L4250">
        <v>1</v>
      </c>
    </row>
    <row r="4251" spans="1:12">
      <c r="A4251" t="s">
        <v>12322</v>
      </c>
      <c r="B4251" t="s">
        <v>12323</v>
      </c>
      <c r="C4251" t="s">
        <v>12324</v>
      </c>
      <c r="D4251" t="s">
        <v>158</v>
      </c>
      <c r="E4251" t="s">
        <v>24</v>
      </c>
      <c r="F4251" t="s">
        <v>17</v>
      </c>
      <c r="G4251" t="s">
        <v>77</v>
      </c>
      <c r="H4251" t="s">
        <v>31</v>
      </c>
      <c r="I4251">
        <v>5</v>
      </c>
      <c r="J4251">
        <v>4</v>
      </c>
      <c r="K4251">
        <v>2.02</v>
      </c>
      <c r="L4251">
        <v>1</v>
      </c>
    </row>
    <row r="4252" spans="1:12">
      <c r="A4252" t="s">
        <v>12325</v>
      </c>
      <c r="B4252" t="s">
        <v>12326</v>
      </c>
      <c r="D4252" t="s">
        <v>23</v>
      </c>
      <c r="E4252" t="s">
        <v>54</v>
      </c>
      <c r="F4252" t="s">
        <v>17</v>
      </c>
      <c r="G4252" t="s">
        <v>77</v>
      </c>
      <c r="H4252" t="s">
        <v>46</v>
      </c>
      <c r="J4252">
        <v>24</v>
      </c>
    </row>
    <row r="4253" spans="1:12">
      <c r="A4253" t="s">
        <v>12327</v>
      </c>
      <c r="B4253" t="s">
        <v>12328</v>
      </c>
      <c r="C4253" t="s">
        <v>12329</v>
      </c>
      <c r="D4253" t="s">
        <v>23</v>
      </c>
      <c r="E4253" t="s">
        <v>59</v>
      </c>
      <c r="F4253" t="s">
        <v>41</v>
      </c>
      <c r="G4253" t="s">
        <v>50</v>
      </c>
      <c r="H4253" t="s">
        <v>19</v>
      </c>
      <c r="I4253">
        <v>4</v>
      </c>
      <c r="J4253">
        <v>24</v>
      </c>
      <c r="K4253">
        <v>6.61</v>
      </c>
      <c r="L4253">
        <v>1</v>
      </c>
    </row>
    <row r="4254" spans="1:12">
      <c r="A4254" t="s">
        <v>12330</v>
      </c>
      <c r="B4254" t="s">
        <v>12331</v>
      </c>
      <c r="D4254" t="s">
        <v>15</v>
      </c>
      <c r="E4254" t="s">
        <v>59</v>
      </c>
      <c r="F4254" t="s">
        <v>17</v>
      </c>
      <c r="G4254" t="s">
        <v>151</v>
      </c>
      <c r="H4254" t="s">
        <v>46</v>
      </c>
      <c r="J4254">
        <v>8</v>
      </c>
    </row>
    <row r="4255" spans="1:12">
      <c r="A4255" t="s">
        <v>12332</v>
      </c>
      <c r="B4255" t="s">
        <v>12333</v>
      </c>
      <c r="D4255" t="s">
        <v>15</v>
      </c>
      <c r="E4255" t="s">
        <v>59</v>
      </c>
      <c r="F4255" t="s">
        <v>41</v>
      </c>
      <c r="G4255" t="s">
        <v>77</v>
      </c>
      <c r="H4255" t="s">
        <v>46</v>
      </c>
      <c r="J4255">
        <v>8</v>
      </c>
    </row>
    <row r="4256" spans="1:12">
      <c r="A4256" t="s">
        <v>12334</v>
      </c>
      <c r="B4256" t="s">
        <v>12335</v>
      </c>
      <c r="C4256" t="s">
        <v>12336</v>
      </c>
      <c r="D4256" t="s">
        <v>23</v>
      </c>
      <c r="E4256" t="s">
        <v>16</v>
      </c>
      <c r="F4256" t="s">
        <v>17</v>
      </c>
      <c r="G4256" t="s">
        <v>42</v>
      </c>
      <c r="H4256" t="s">
        <v>31</v>
      </c>
      <c r="I4256">
        <v>4</v>
      </c>
      <c r="J4256">
        <v>24</v>
      </c>
      <c r="K4256">
        <v>3.24</v>
      </c>
      <c r="L4256">
        <v>1</v>
      </c>
    </row>
    <row r="4257" spans="1:12">
      <c r="A4257" t="s">
        <v>12337</v>
      </c>
      <c r="B4257" t="s">
        <v>12338</v>
      </c>
      <c r="C4257" t="s">
        <v>12339</v>
      </c>
      <c r="D4257" t="s">
        <v>23</v>
      </c>
      <c r="E4257" t="s">
        <v>24</v>
      </c>
      <c r="F4257" t="s">
        <v>36</v>
      </c>
      <c r="G4257" t="s">
        <v>45</v>
      </c>
      <c r="H4257" t="s">
        <v>19</v>
      </c>
      <c r="I4257">
        <v>5</v>
      </c>
      <c r="J4257">
        <v>24</v>
      </c>
      <c r="K4257">
        <v>7.53</v>
      </c>
      <c r="L4257">
        <v>1</v>
      </c>
    </row>
    <row r="4258" spans="1:12">
      <c r="A4258" t="s">
        <v>12340</v>
      </c>
      <c r="B4258" t="s">
        <v>12341</v>
      </c>
      <c r="C4258" t="s">
        <v>12342</v>
      </c>
      <c r="D4258" t="s">
        <v>23</v>
      </c>
      <c r="E4258" t="s">
        <v>54</v>
      </c>
      <c r="F4258" t="s">
        <v>41</v>
      </c>
      <c r="G4258" t="s">
        <v>172</v>
      </c>
      <c r="H4258" t="s">
        <v>19</v>
      </c>
      <c r="I4258">
        <v>4</v>
      </c>
      <c r="J4258">
        <v>24</v>
      </c>
      <c r="K4258">
        <v>9.77</v>
      </c>
      <c r="L4258">
        <v>1</v>
      </c>
    </row>
    <row r="4259" spans="1:12">
      <c r="A4259" t="s">
        <v>12343</v>
      </c>
      <c r="B4259" t="s">
        <v>12344</v>
      </c>
      <c r="C4259" t="s">
        <v>12345</v>
      </c>
      <c r="D4259" t="s">
        <v>15</v>
      </c>
      <c r="E4259" t="s">
        <v>24</v>
      </c>
      <c r="F4259" t="s">
        <v>17</v>
      </c>
      <c r="G4259" t="s">
        <v>30</v>
      </c>
      <c r="H4259" t="s">
        <v>31</v>
      </c>
      <c r="I4259">
        <v>4</v>
      </c>
      <c r="J4259">
        <v>8</v>
      </c>
      <c r="K4259">
        <v>1.25</v>
      </c>
      <c r="L4259">
        <v>1</v>
      </c>
    </row>
    <row r="4260" spans="1:12">
      <c r="A4260" t="s">
        <v>12346</v>
      </c>
      <c r="B4260" t="s">
        <v>12347</v>
      </c>
      <c r="C4260" t="s">
        <v>12348</v>
      </c>
      <c r="D4260" t="s">
        <v>23</v>
      </c>
      <c r="E4260" t="s">
        <v>54</v>
      </c>
      <c r="F4260" t="s">
        <v>29</v>
      </c>
      <c r="G4260" t="s">
        <v>30</v>
      </c>
      <c r="H4260" t="s">
        <v>19</v>
      </c>
      <c r="I4260">
        <v>4</v>
      </c>
      <c r="J4260">
        <v>24</v>
      </c>
      <c r="K4260">
        <v>7.15</v>
      </c>
      <c r="L4260">
        <v>1</v>
      </c>
    </row>
    <row r="4261" spans="1:12">
      <c r="A4261" t="s">
        <v>12349</v>
      </c>
      <c r="B4261" t="s">
        <v>12350</v>
      </c>
      <c r="C4261" t="s">
        <v>12351</v>
      </c>
      <c r="D4261" t="s">
        <v>35</v>
      </c>
      <c r="E4261" t="s">
        <v>24</v>
      </c>
      <c r="F4261" t="s">
        <v>17</v>
      </c>
      <c r="G4261" t="s">
        <v>55</v>
      </c>
      <c r="H4261" t="s">
        <v>19</v>
      </c>
      <c r="I4261">
        <v>5</v>
      </c>
      <c r="J4261">
        <v>48</v>
      </c>
      <c r="K4261">
        <v>43.42</v>
      </c>
      <c r="L4261">
        <v>1</v>
      </c>
    </row>
    <row r="4262" spans="1:12">
      <c r="A4262" t="s">
        <v>12352</v>
      </c>
      <c r="B4262" t="s">
        <v>12353</v>
      </c>
      <c r="C4262" t="s">
        <v>12354</v>
      </c>
      <c r="D4262" t="s">
        <v>15</v>
      </c>
      <c r="E4262" t="s">
        <v>28</v>
      </c>
      <c r="F4262" t="s">
        <v>17</v>
      </c>
      <c r="G4262" t="s">
        <v>151</v>
      </c>
      <c r="H4262" t="s">
        <v>31</v>
      </c>
      <c r="I4262">
        <v>5</v>
      </c>
      <c r="J4262">
        <v>8</v>
      </c>
      <c r="K4262">
        <v>7.58</v>
      </c>
      <c r="L4262">
        <v>1</v>
      </c>
    </row>
    <row r="4263" spans="1:12">
      <c r="A4263" t="s">
        <v>12355</v>
      </c>
      <c r="B4263" t="s">
        <v>12356</v>
      </c>
      <c r="C4263" t="s">
        <v>12357</v>
      </c>
      <c r="D4263" t="s">
        <v>35</v>
      </c>
      <c r="E4263" t="s">
        <v>24</v>
      </c>
      <c r="F4263" t="s">
        <v>17</v>
      </c>
      <c r="G4263" t="s">
        <v>37</v>
      </c>
      <c r="H4263" t="s">
        <v>19</v>
      </c>
      <c r="I4263">
        <v>4</v>
      </c>
      <c r="J4263">
        <v>48</v>
      </c>
      <c r="K4263">
        <v>29.59</v>
      </c>
      <c r="L4263">
        <v>1</v>
      </c>
    </row>
    <row r="4264" spans="1:12">
      <c r="A4264" t="s">
        <v>12358</v>
      </c>
      <c r="B4264" t="s">
        <v>12359</v>
      </c>
      <c r="C4264" t="s">
        <v>12360</v>
      </c>
      <c r="D4264" t="s">
        <v>158</v>
      </c>
      <c r="E4264" t="s">
        <v>54</v>
      </c>
      <c r="F4264" t="s">
        <v>41</v>
      </c>
      <c r="G4264" t="s">
        <v>42</v>
      </c>
      <c r="H4264" t="s">
        <v>31</v>
      </c>
      <c r="I4264">
        <v>2</v>
      </c>
      <c r="J4264">
        <v>4</v>
      </c>
      <c r="K4264">
        <v>5.15</v>
      </c>
      <c r="L4264">
        <v>0</v>
      </c>
    </row>
    <row r="4265" spans="1:12">
      <c r="A4265" t="s">
        <v>12361</v>
      </c>
      <c r="B4265" t="s">
        <v>12362</v>
      </c>
      <c r="D4265" t="s">
        <v>35</v>
      </c>
      <c r="E4265" t="s">
        <v>28</v>
      </c>
      <c r="F4265" t="s">
        <v>17</v>
      </c>
      <c r="G4265" t="s">
        <v>55</v>
      </c>
      <c r="H4265" t="s">
        <v>46</v>
      </c>
      <c r="J4265">
        <v>48</v>
      </c>
    </row>
    <row r="4266" spans="1:12">
      <c r="A4266" t="s">
        <v>12363</v>
      </c>
      <c r="B4266" t="s">
        <v>12364</v>
      </c>
      <c r="C4266" t="s">
        <v>12365</v>
      </c>
      <c r="D4266" t="s">
        <v>15</v>
      </c>
      <c r="E4266" t="s">
        <v>16</v>
      </c>
      <c r="F4266" t="s">
        <v>36</v>
      </c>
      <c r="G4266" t="s">
        <v>73</v>
      </c>
      <c r="H4266" t="s">
        <v>19</v>
      </c>
      <c r="I4266">
        <v>5</v>
      </c>
      <c r="J4266">
        <v>8</v>
      </c>
      <c r="K4266">
        <v>3.03</v>
      </c>
      <c r="L4266">
        <v>1</v>
      </c>
    </row>
    <row r="4267" spans="1:12">
      <c r="A4267" t="s">
        <v>12366</v>
      </c>
      <c r="B4267" t="s">
        <v>12367</v>
      </c>
      <c r="C4267" t="s">
        <v>12368</v>
      </c>
      <c r="D4267" t="s">
        <v>35</v>
      </c>
      <c r="E4267" t="s">
        <v>28</v>
      </c>
      <c r="F4267" t="s">
        <v>41</v>
      </c>
      <c r="G4267" t="s">
        <v>172</v>
      </c>
      <c r="H4267" t="s">
        <v>19</v>
      </c>
      <c r="I4267">
        <v>3</v>
      </c>
      <c r="J4267">
        <v>48</v>
      </c>
      <c r="K4267">
        <v>37.01</v>
      </c>
      <c r="L4267">
        <v>1</v>
      </c>
    </row>
    <row r="4268" spans="1:12">
      <c r="A4268" t="s">
        <v>12369</v>
      </c>
      <c r="B4268" t="s">
        <v>12370</v>
      </c>
      <c r="C4268" t="s">
        <v>12371</v>
      </c>
      <c r="D4268" t="s">
        <v>15</v>
      </c>
      <c r="E4268" t="s">
        <v>16</v>
      </c>
      <c r="F4268" t="s">
        <v>60</v>
      </c>
      <c r="G4268" t="s">
        <v>77</v>
      </c>
      <c r="H4268" t="s">
        <v>19</v>
      </c>
      <c r="I4268">
        <v>5</v>
      </c>
      <c r="J4268">
        <v>8</v>
      </c>
      <c r="K4268">
        <v>6.67</v>
      </c>
      <c r="L4268">
        <v>1</v>
      </c>
    </row>
    <row r="4269" spans="1:12">
      <c r="A4269" t="s">
        <v>12372</v>
      </c>
      <c r="B4269" t="s">
        <v>12373</v>
      </c>
      <c r="D4269" t="s">
        <v>35</v>
      </c>
      <c r="E4269" t="s">
        <v>28</v>
      </c>
      <c r="F4269" t="s">
        <v>36</v>
      </c>
      <c r="G4269" t="s">
        <v>73</v>
      </c>
      <c r="H4269" t="s">
        <v>63</v>
      </c>
      <c r="J4269">
        <v>48</v>
      </c>
    </row>
    <row r="4270" spans="1:12">
      <c r="A4270" t="s">
        <v>12374</v>
      </c>
      <c r="B4270" t="s">
        <v>12375</v>
      </c>
      <c r="C4270" t="s">
        <v>12376</v>
      </c>
      <c r="D4270" t="s">
        <v>15</v>
      </c>
      <c r="E4270" t="s">
        <v>59</v>
      </c>
      <c r="F4270" t="s">
        <v>36</v>
      </c>
      <c r="G4270" t="s">
        <v>30</v>
      </c>
      <c r="H4270" t="s">
        <v>19</v>
      </c>
      <c r="I4270">
        <v>5</v>
      </c>
      <c r="J4270">
        <v>8</v>
      </c>
      <c r="K4270">
        <v>3.68</v>
      </c>
      <c r="L4270">
        <v>1</v>
      </c>
    </row>
    <row r="4271" spans="1:12">
      <c r="A4271" t="s">
        <v>12377</v>
      </c>
      <c r="B4271" t="s">
        <v>12378</v>
      </c>
      <c r="C4271" t="s">
        <v>12379</v>
      </c>
      <c r="D4271" t="s">
        <v>23</v>
      </c>
      <c r="E4271" t="s">
        <v>28</v>
      </c>
      <c r="F4271" t="s">
        <v>29</v>
      </c>
      <c r="G4271" t="s">
        <v>151</v>
      </c>
      <c r="H4271" t="s">
        <v>19</v>
      </c>
      <c r="I4271">
        <v>2</v>
      </c>
      <c r="J4271">
        <v>24</v>
      </c>
      <c r="K4271">
        <v>25.43</v>
      </c>
      <c r="L4271">
        <v>0</v>
      </c>
    </row>
    <row r="4272" spans="1:12">
      <c r="A4272" t="s">
        <v>12380</v>
      </c>
      <c r="B4272" t="s">
        <v>12381</v>
      </c>
      <c r="C4272" t="s">
        <v>12382</v>
      </c>
      <c r="D4272" t="s">
        <v>158</v>
      </c>
      <c r="E4272" t="s">
        <v>28</v>
      </c>
      <c r="F4272" t="s">
        <v>29</v>
      </c>
      <c r="G4272" t="s">
        <v>55</v>
      </c>
      <c r="H4272" t="s">
        <v>31</v>
      </c>
      <c r="I4272">
        <v>4</v>
      </c>
      <c r="J4272">
        <v>4</v>
      </c>
      <c r="K4272">
        <v>3.46</v>
      </c>
      <c r="L4272">
        <v>1</v>
      </c>
    </row>
    <row r="4273" spans="1:12">
      <c r="A4273" t="s">
        <v>12383</v>
      </c>
      <c r="B4273" t="s">
        <v>12384</v>
      </c>
      <c r="C4273" t="s">
        <v>12385</v>
      </c>
      <c r="D4273" t="s">
        <v>15</v>
      </c>
      <c r="E4273" t="s">
        <v>28</v>
      </c>
      <c r="F4273" t="s">
        <v>41</v>
      </c>
      <c r="G4273" t="s">
        <v>73</v>
      </c>
      <c r="H4273" t="s">
        <v>19</v>
      </c>
      <c r="I4273">
        <v>4</v>
      </c>
      <c r="J4273">
        <v>8</v>
      </c>
      <c r="K4273">
        <v>10.029999999999999</v>
      </c>
      <c r="L4273">
        <v>0</v>
      </c>
    </row>
    <row r="4274" spans="1:12">
      <c r="A4274" t="s">
        <v>12386</v>
      </c>
      <c r="B4274" t="s">
        <v>12387</v>
      </c>
      <c r="C4274" t="s">
        <v>12388</v>
      </c>
      <c r="D4274" t="s">
        <v>23</v>
      </c>
      <c r="E4274" t="s">
        <v>24</v>
      </c>
      <c r="F4274" t="s">
        <v>29</v>
      </c>
      <c r="G4274" t="s">
        <v>18</v>
      </c>
      <c r="H4274" t="s">
        <v>31</v>
      </c>
      <c r="I4274">
        <v>5</v>
      </c>
      <c r="J4274">
        <v>24</v>
      </c>
      <c r="K4274">
        <v>15.91</v>
      </c>
      <c r="L4274">
        <v>1</v>
      </c>
    </row>
    <row r="4275" spans="1:12">
      <c r="A4275" t="s">
        <v>12389</v>
      </c>
      <c r="B4275" t="s">
        <v>12390</v>
      </c>
      <c r="C4275" t="s">
        <v>12391</v>
      </c>
      <c r="D4275" t="s">
        <v>35</v>
      </c>
      <c r="E4275" t="s">
        <v>28</v>
      </c>
      <c r="F4275" t="s">
        <v>41</v>
      </c>
      <c r="G4275" t="s">
        <v>73</v>
      </c>
      <c r="H4275" t="s">
        <v>19</v>
      </c>
      <c r="I4275">
        <v>1</v>
      </c>
      <c r="J4275">
        <v>48</v>
      </c>
      <c r="K4275">
        <v>74.81</v>
      </c>
      <c r="L4275">
        <v>0</v>
      </c>
    </row>
    <row r="4276" spans="1:12">
      <c r="A4276" t="s">
        <v>12392</v>
      </c>
      <c r="B4276" t="s">
        <v>12393</v>
      </c>
      <c r="C4276" t="s">
        <v>12394</v>
      </c>
      <c r="D4276" t="s">
        <v>23</v>
      </c>
      <c r="E4276" t="s">
        <v>28</v>
      </c>
      <c r="F4276" t="s">
        <v>60</v>
      </c>
      <c r="G4276" t="s">
        <v>45</v>
      </c>
      <c r="H4276" t="s">
        <v>19</v>
      </c>
      <c r="I4276">
        <v>5</v>
      </c>
      <c r="J4276">
        <v>24</v>
      </c>
      <c r="K4276">
        <v>21.2</v>
      </c>
      <c r="L4276">
        <v>1</v>
      </c>
    </row>
    <row r="4277" spans="1:12">
      <c r="A4277" t="s">
        <v>12395</v>
      </c>
      <c r="B4277" t="s">
        <v>12396</v>
      </c>
      <c r="C4277" t="s">
        <v>12397</v>
      </c>
      <c r="D4277" t="s">
        <v>23</v>
      </c>
      <c r="E4277" t="s">
        <v>28</v>
      </c>
      <c r="F4277" t="s">
        <v>36</v>
      </c>
      <c r="G4277" t="s">
        <v>50</v>
      </c>
      <c r="H4277" t="s">
        <v>31</v>
      </c>
      <c r="I4277">
        <v>5</v>
      </c>
      <c r="J4277">
        <v>24</v>
      </c>
      <c r="K4277">
        <v>16.11</v>
      </c>
      <c r="L4277">
        <v>1</v>
      </c>
    </row>
    <row r="4278" spans="1:12">
      <c r="A4278" t="s">
        <v>12398</v>
      </c>
      <c r="B4278" t="s">
        <v>12399</v>
      </c>
      <c r="C4278" t="s">
        <v>12400</v>
      </c>
      <c r="D4278" t="s">
        <v>23</v>
      </c>
      <c r="E4278" t="s">
        <v>16</v>
      </c>
      <c r="F4278" t="s">
        <v>29</v>
      </c>
      <c r="G4278" t="s">
        <v>77</v>
      </c>
      <c r="H4278" t="s">
        <v>19</v>
      </c>
      <c r="I4278">
        <v>5</v>
      </c>
      <c r="J4278">
        <v>24</v>
      </c>
      <c r="K4278">
        <v>3.94</v>
      </c>
      <c r="L4278">
        <v>1</v>
      </c>
    </row>
    <row r="4279" spans="1:12">
      <c r="A4279" t="s">
        <v>12401</v>
      </c>
      <c r="B4279" t="s">
        <v>12402</v>
      </c>
      <c r="C4279" t="s">
        <v>12403</v>
      </c>
      <c r="D4279" t="s">
        <v>23</v>
      </c>
      <c r="E4279" t="s">
        <v>16</v>
      </c>
      <c r="F4279" t="s">
        <v>41</v>
      </c>
      <c r="G4279" t="s">
        <v>50</v>
      </c>
      <c r="H4279" t="s">
        <v>31</v>
      </c>
      <c r="I4279">
        <v>1</v>
      </c>
      <c r="J4279">
        <v>24</v>
      </c>
      <c r="K4279">
        <v>38.76</v>
      </c>
      <c r="L4279">
        <v>0</v>
      </c>
    </row>
    <row r="4280" spans="1:12">
      <c r="A4280" t="s">
        <v>12404</v>
      </c>
      <c r="B4280" t="s">
        <v>12405</v>
      </c>
      <c r="C4280" t="s">
        <v>12406</v>
      </c>
      <c r="D4280" t="s">
        <v>23</v>
      </c>
      <c r="E4280" t="s">
        <v>54</v>
      </c>
      <c r="F4280" t="s">
        <v>41</v>
      </c>
      <c r="G4280" t="s">
        <v>77</v>
      </c>
      <c r="H4280" t="s">
        <v>31</v>
      </c>
      <c r="I4280">
        <v>3</v>
      </c>
      <c r="J4280">
        <v>24</v>
      </c>
      <c r="K4280">
        <v>11.67</v>
      </c>
      <c r="L4280">
        <v>1</v>
      </c>
    </row>
    <row r="4281" spans="1:12">
      <c r="A4281" t="s">
        <v>12407</v>
      </c>
      <c r="B4281" t="s">
        <v>12408</v>
      </c>
      <c r="C4281" t="s">
        <v>12409</v>
      </c>
      <c r="D4281" t="s">
        <v>15</v>
      </c>
      <c r="E4281" t="s">
        <v>28</v>
      </c>
      <c r="F4281" t="s">
        <v>36</v>
      </c>
      <c r="G4281" t="s">
        <v>37</v>
      </c>
      <c r="H4281" t="s">
        <v>31</v>
      </c>
      <c r="I4281">
        <v>5</v>
      </c>
      <c r="J4281">
        <v>8</v>
      </c>
      <c r="K4281">
        <v>5.36</v>
      </c>
      <c r="L4281">
        <v>1</v>
      </c>
    </row>
    <row r="4282" spans="1:12">
      <c r="A4282" t="s">
        <v>12410</v>
      </c>
      <c r="B4282" t="s">
        <v>12411</v>
      </c>
      <c r="C4282" t="s">
        <v>12412</v>
      </c>
      <c r="D4282" t="s">
        <v>35</v>
      </c>
      <c r="E4282" t="s">
        <v>28</v>
      </c>
      <c r="F4282" t="s">
        <v>17</v>
      </c>
      <c r="G4282" t="s">
        <v>50</v>
      </c>
      <c r="H4282" t="s">
        <v>19</v>
      </c>
      <c r="I4282">
        <v>3</v>
      </c>
      <c r="J4282">
        <v>48</v>
      </c>
      <c r="K4282">
        <v>4.91</v>
      </c>
      <c r="L4282">
        <v>1</v>
      </c>
    </row>
    <row r="4283" spans="1:12">
      <c r="A4283" t="s">
        <v>12413</v>
      </c>
      <c r="B4283" t="s">
        <v>12414</v>
      </c>
      <c r="C4283" t="s">
        <v>12415</v>
      </c>
      <c r="D4283" t="s">
        <v>23</v>
      </c>
      <c r="E4283" t="s">
        <v>28</v>
      </c>
      <c r="F4283" t="s">
        <v>36</v>
      </c>
      <c r="G4283" t="s">
        <v>77</v>
      </c>
      <c r="H4283" t="s">
        <v>31</v>
      </c>
      <c r="I4283">
        <v>4</v>
      </c>
      <c r="J4283">
        <v>24</v>
      </c>
      <c r="K4283">
        <v>18.440000000000001</v>
      </c>
      <c r="L4283">
        <v>1</v>
      </c>
    </row>
    <row r="4284" spans="1:12">
      <c r="A4284" t="s">
        <v>12416</v>
      </c>
      <c r="B4284" t="s">
        <v>12417</v>
      </c>
      <c r="C4284" t="s">
        <v>12418</v>
      </c>
      <c r="D4284" t="s">
        <v>35</v>
      </c>
      <c r="E4284" t="s">
        <v>59</v>
      </c>
      <c r="F4284" t="s">
        <v>17</v>
      </c>
      <c r="G4284" t="s">
        <v>30</v>
      </c>
      <c r="H4284" t="s">
        <v>31</v>
      </c>
      <c r="I4284">
        <v>4</v>
      </c>
      <c r="J4284">
        <v>48</v>
      </c>
      <c r="K4284">
        <v>43.17</v>
      </c>
      <c r="L4284">
        <v>1</v>
      </c>
    </row>
    <row r="4285" spans="1:12">
      <c r="A4285" t="s">
        <v>12419</v>
      </c>
      <c r="B4285" t="s">
        <v>12420</v>
      </c>
      <c r="C4285" t="s">
        <v>12421</v>
      </c>
      <c r="D4285" t="s">
        <v>15</v>
      </c>
      <c r="E4285" t="s">
        <v>59</v>
      </c>
      <c r="F4285" t="s">
        <v>29</v>
      </c>
      <c r="G4285" t="s">
        <v>50</v>
      </c>
      <c r="H4285" t="s">
        <v>19</v>
      </c>
      <c r="I4285">
        <v>5</v>
      </c>
      <c r="J4285">
        <v>8</v>
      </c>
      <c r="K4285">
        <v>6.86</v>
      </c>
      <c r="L4285">
        <v>1</v>
      </c>
    </row>
    <row r="4286" spans="1:12">
      <c r="A4286" t="s">
        <v>12422</v>
      </c>
      <c r="B4286" t="s">
        <v>12423</v>
      </c>
      <c r="C4286" t="s">
        <v>12424</v>
      </c>
      <c r="D4286" t="s">
        <v>15</v>
      </c>
      <c r="E4286" t="s">
        <v>28</v>
      </c>
      <c r="F4286" t="s">
        <v>36</v>
      </c>
      <c r="G4286" t="s">
        <v>77</v>
      </c>
      <c r="H4286" t="s">
        <v>31</v>
      </c>
      <c r="I4286">
        <v>5</v>
      </c>
      <c r="J4286">
        <v>8</v>
      </c>
      <c r="K4286">
        <v>4.24</v>
      </c>
      <c r="L4286">
        <v>1</v>
      </c>
    </row>
    <row r="4287" spans="1:12">
      <c r="A4287" t="s">
        <v>12425</v>
      </c>
      <c r="B4287" t="s">
        <v>12426</v>
      </c>
      <c r="C4287" t="s">
        <v>12427</v>
      </c>
      <c r="D4287" t="s">
        <v>23</v>
      </c>
      <c r="E4287" t="s">
        <v>28</v>
      </c>
      <c r="F4287" t="s">
        <v>17</v>
      </c>
      <c r="G4287" t="s">
        <v>105</v>
      </c>
      <c r="H4287" t="s">
        <v>19</v>
      </c>
      <c r="I4287">
        <v>3</v>
      </c>
      <c r="J4287">
        <v>24</v>
      </c>
      <c r="K4287">
        <v>10.32</v>
      </c>
      <c r="L4287">
        <v>1</v>
      </c>
    </row>
    <row r="4288" spans="1:12">
      <c r="A4288" t="s">
        <v>12428</v>
      </c>
      <c r="B4288" t="s">
        <v>12429</v>
      </c>
      <c r="D4288" t="s">
        <v>23</v>
      </c>
      <c r="E4288" t="s">
        <v>16</v>
      </c>
      <c r="F4288" t="s">
        <v>36</v>
      </c>
      <c r="G4288" t="s">
        <v>172</v>
      </c>
      <c r="H4288" t="s">
        <v>63</v>
      </c>
      <c r="J4288">
        <v>24</v>
      </c>
    </row>
    <row r="4289" spans="1:12">
      <c r="A4289" t="s">
        <v>12430</v>
      </c>
      <c r="B4289" t="s">
        <v>12431</v>
      </c>
      <c r="C4289" t="s">
        <v>12432</v>
      </c>
      <c r="D4289" t="s">
        <v>23</v>
      </c>
      <c r="E4289" t="s">
        <v>28</v>
      </c>
      <c r="F4289" t="s">
        <v>60</v>
      </c>
      <c r="G4289" t="s">
        <v>30</v>
      </c>
      <c r="H4289" t="s">
        <v>31</v>
      </c>
      <c r="I4289">
        <v>5</v>
      </c>
      <c r="J4289">
        <v>24</v>
      </c>
      <c r="K4289">
        <v>6.52</v>
      </c>
      <c r="L4289">
        <v>1</v>
      </c>
    </row>
    <row r="4290" spans="1:12">
      <c r="A4290" t="s">
        <v>12433</v>
      </c>
      <c r="B4290" t="s">
        <v>12434</v>
      </c>
      <c r="C4290" t="s">
        <v>12435</v>
      </c>
      <c r="D4290" t="s">
        <v>35</v>
      </c>
      <c r="E4290" t="s">
        <v>59</v>
      </c>
      <c r="F4290" t="s">
        <v>41</v>
      </c>
      <c r="G4290" t="s">
        <v>172</v>
      </c>
      <c r="H4290" t="s">
        <v>31</v>
      </c>
      <c r="I4290">
        <v>4</v>
      </c>
      <c r="J4290">
        <v>48</v>
      </c>
      <c r="K4290">
        <v>25.84</v>
      </c>
      <c r="L4290">
        <v>1</v>
      </c>
    </row>
    <row r="4291" spans="1:12">
      <c r="A4291" t="s">
        <v>12436</v>
      </c>
      <c r="B4291" t="s">
        <v>12437</v>
      </c>
      <c r="C4291" t="s">
        <v>12438</v>
      </c>
      <c r="D4291" t="s">
        <v>23</v>
      </c>
      <c r="E4291" t="s">
        <v>54</v>
      </c>
      <c r="F4291" t="s">
        <v>60</v>
      </c>
      <c r="G4291" t="s">
        <v>50</v>
      </c>
      <c r="H4291" t="s">
        <v>31</v>
      </c>
      <c r="I4291">
        <v>3</v>
      </c>
      <c r="J4291">
        <v>24</v>
      </c>
      <c r="K4291">
        <v>19.05</v>
      </c>
      <c r="L4291">
        <v>1</v>
      </c>
    </row>
    <row r="4292" spans="1:12">
      <c r="A4292" t="s">
        <v>12439</v>
      </c>
      <c r="B4292" t="s">
        <v>12440</v>
      </c>
      <c r="C4292" t="s">
        <v>12441</v>
      </c>
      <c r="D4292" t="s">
        <v>35</v>
      </c>
      <c r="E4292" t="s">
        <v>28</v>
      </c>
      <c r="F4292" t="s">
        <v>36</v>
      </c>
      <c r="G4292" t="s">
        <v>50</v>
      </c>
      <c r="H4292" t="s">
        <v>19</v>
      </c>
      <c r="I4292">
        <v>5</v>
      </c>
      <c r="J4292">
        <v>48</v>
      </c>
      <c r="K4292">
        <v>38.729999999999997</v>
      </c>
      <c r="L4292">
        <v>1</v>
      </c>
    </row>
    <row r="4293" spans="1:12">
      <c r="A4293" t="s">
        <v>12442</v>
      </c>
      <c r="B4293" t="s">
        <v>12443</v>
      </c>
      <c r="C4293" t="s">
        <v>12444</v>
      </c>
      <c r="D4293" t="s">
        <v>35</v>
      </c>
      <c r="E4293" t="s">
        <v>24</v>
      </c>
      <c r="F4293" t="s">
        <v>36</v>
      </c>
      <c r="G4293" t="s">
        <v>45</v>
      </c>
      <c r="H4293" t="s">
        <v>31</v>
      </c>
      <c r="I4293">
        <v>4</v>
      </c>
      <c r="J4293">
        <v>48</v>
      </c>
      <c r="K4293">
        <v>40.200000000000003</v>
      </c>
      <c r="L4293">
        <v>1</v>
      </c>
    </row>
    <row r="4294" spans="1:12">
      <c r="A4294" t="s">
        <v>12445</v>
      </c>
      <c r="B4294" t="s">
        <v>12446</v>
      </c>
      <c r="C4294" t="s">
        <v>12447</v>
      </c>
      <c r="D4294" t="s">
        <v>35</v>
      </c>
      <c r="E4294" t="s">
        <v>28</v>
      </c>
      <c r="F4294" t="s">
        <v>41</v>
      </c>
      <c r="G4294" t="s">
        <v>77</v>
      </c>
      <c r="H4294" t="s">
        <v>19</v>
      </c>
      <c r="I4294">
        <v>5</v>
      </c>
      <c r="J4294">
        <v>48</v>
      </c>
      <c r="K4294">
        <v>30.79</v>
      </c>
      <c r="L4294">
        <v>1</v>
      </c>
    </row>
    <row r="4295" spans="1:12">
      <c r="A4295" t="s">
        <v>12448</v>
      </c>
      <c r="B4295" t="s">
        <v>12449</v>
      </c>
      <c r="C4295" t="s">
        <v>12450</v>
      </c>
      <c r="D4295" t="s">
        <v>15</v>
      </c>
      <c r="E4295" t="s">
        <v>59</v>
      </c>
      <c r="F4295" t="s">
        <v>41</v>
      </c>
      <c r="G4295" t="s">
        <v>37</v>
      </c>
      <c r="H4295" t="s">
        <v>19</v>
      </c>
      <c r="I4295">
        <v>4</v>
      </c>
      <c r="J4295">
        <v>8</v>
      </c>
      <c r="K4295">
        <v>3.23</v>
      </c>
      <c r="L4295">
        <v>1</v>
      </c>
    </row>
    <row r="4296" spans="1:12">
      <c r="A4296" t="s">
        <v>12451</v>
      </c>
      <c r="B4296" t="s">
        <v>12452</v>
      </c>
      <c r="D4296" t="s">
        <v>23</v>
      </c>
      <c r="E4296" t="s">
        <v>16</v>
      </c>
      <c r="F4296" t="s">
        <v>29</v>
      </c>
      <c r="G4296" t="s">
        <v>45</v>
      </c>
      <c r="H4296" t="s">
        <v>46</v>
      </c>
      <c r="J4296">
        <v>24</v>
      </c>
    </row>
    <row r="4297" spans="1:12">
      <c r="A4297" t="s">
        <v>12453</v>
      </c>
      <c r="B4297" t="s">
        <v>12454</v>
      </c>
      <c r="C4297" t="s">
        <v>12455</v>
      </c>
      <c r="D4297" t="s">
        <v>23</v>
      </c>
      <c r="E4297" t="s">
        <v>28</v>
      </c>
      <c r="F4297" t="s">
        <v>60</v>
      </c>
      <c r="G4297" t="s">
        <v>73</v>
      </c>
      <c r="H4297" t="s">
        <v>19</v>
      </c>
      <c r="I4297">
        <v>3</v>
      </c>
      <c r="J4297">
        <v>24</v>
      </c>
      <c r="K4297">
        <v>12.59</v>
      </c>
      <c r="L4297">
        <v>1</v>
      </c>
    </row>
    <row r="4298" spans="1:12">
      <c r="A4298" t="s">
        <v>12456</v>
      </c>
      <c r="B4298" t="s">
        <v>12457</v>
      </c>
      <c r="C4298" t="s">
        <v>12458</v>
      </c>
      <c r="D4298" t="s">
        <v>23</v>
      </c>
      <c r="E4298" t="s">
        <v>28</v>
      </c>
      <c r="F4298" t="s">
        <v>17</v>
      </c>
      <c r="G4298" t="s">
        <v>151</v>
      </c>
      <c r="H4298" t="s">
        <v>19</v>
      </c>
      <c r="I4298">
        <v>5</v>
      </c>
      <c r="J4298">
        <v>24</v>
      </c>
      <c r="K4298">
        <v>17.37</v>
      </c>
      <c r="L4298">
        <v>1</v>
      </c>
    </row>
    <row r="4299" spans="1:12">
      <c r="A4299" t="s">
        <v>12459</v>
      </c>
      <c r="B4299" t="s">
        <v>12460</v>
      </c>
      <c r="C4299" t="s">
        <v>12461</v>
      </c>
      <c r="D4299" t="s">
        <v>15</v>
      </c>
      <c r="E4299" t="s">
        <v>28</v>
      </c>
      <c r="F4299" t="s">
        <v>29</v>
      </c>
      <c r="G4299" t="s">
        <v>151</v>
      </c>
      <c r="H4299" t="s">
        <v>31</v>
      </c>
      <c r="I4299">
        <v>4</v>
      </c>
      <c r="J4299">
        <v>8</v>
      </c>
      <c r="K4299">
        <v>1.9</v>
      </c>
      <c r="L4299">
        <v>1</v>
      </c>
    </row>
    <row r="4300" spans="1:12">
      <c r="A4300" t="s">
        <v>12462</v>
      </c>
      <c r="B4300" t="s">
        <v>12463</v>
      </c>
      <c r="C4300" t="s">
        <v>12464</v>
      </c>
      <c r="D4300" t="s">
        <v>23</v>
      </c>
      <c r="E4300" t="s">
        <v>54</v>
      </c>
      <c r="F4300" t="s">
        <v>60</v>
      </c>
      <c r="G4300" t="s">
        <v>73</v>
      </c>
      <c r="H4300" t="s">
        <v>19</v>
      </c>
      <c r="I4300">
        <v>4</v>
      </c>
      <c r="J4300">
        <v>24</v>
      </c>
      <c r="K4300">
        <v>2.89</v>
      </c>
      <c r="L4300">
        <v>1</v>
      </c>
    </row>
    <row r="4301" spans="1:12">
      <c r="A4301" t="s">
        <v>12465</v>
      </c>
      <c r="B4301" t="s">
        <v>12466</v>
      </c>
      <c r="C4301" t="s">
        <v>12467</v>
      </c>
      <c r="D4301" t="s">
        <v>15</v>
      </c>
      <c r="E4301" t="s">
        <v>16</v>
      </c>
      <c r="F4301" t="s">
        <v>17</v>
      </c>
      <c r="G4301" t="s">
        <v>151</v>
      </c>
      <c r="H4301" t="s">
        <v>31</v>
      </c>
      <c r="I4301">
        <v>5</v>
      </c>
      <c r="J4301">
        <v>8</v>
      </c>
      <c r="K4301">
        <v>2.66</v>
      </c>
      <c r="L4301">
        <v>1</v>
      </c>
    </row>
    <row r="4302" spans="1:12">
      <c r="A4302" t="s">
        <v>12468</v>
      </c>
      <c r="B4302" t="s">
        <v>12469</v>
      </c>
      <c r="C4302" t="s">
        <v>12470</v>
      </c>
      <c r="D4302" t="s">
        <v>23</v>
      </c>
      <c r="E4302" t="s">
        <v>28</v>
      </c>
      <c r="F4302" t="s">
        <v>41</v>
      </c>
      <c r="G4302" t="s">
        <v>42</v>
      </c>
      <c r="H4302" t="s">
        <v>19</v>
      </c>
      <c r="I4302">
        <v>3</v>
      </c>
      <c r="J4302">
        <v>24</v>
      </c>
      <c r="K4302">
        <v>37.64</v>
      </c>
      <c r="L4302">
        <v>0</v>
      </c>
    </row>
    <row r="4303" spans="1:12">
      <c r="A4303" t="s">
        <v>12471</v>
      </c>
      <c r="B4303" t="s">
        <v>12472</v>
      </c>
      <c r="C4303" t="s">
        <v>12473</v>
      </c>
      <c r="D4303" t="s">
        <v>23</v>
      </c>
      <c r="E4303" t="s">
        <v>28</v>
      </c>
      <c r="F4303" t="s">
        <v>36</v>
      </c>
      <c r="G4303" t="s">
        <v>45</v>
      </c>
      <c r="H4303" t="s">
        <v>19</v>
      </c>
      <c r="I4303">
        <v>5</v>
      </c>
      <c r="J4303">
        <v>24</v>
      </c>
      <c r="K4303">
        <v>19.489999999999998</v>
      </c>
      <c r="L4303">
        <v>1</v>
      </c>
    </row>
    <row r="4304" spans="1:12">
      <c r="A4304" t="s">
        <v>12474</v>
      </c>
      <c r="B4304" t="s">
        <v>12475</v>
      </c>
      <c r="C4304" t="s">
        <v>12476</v>
      </c>
      <c r="D4304" t="s">
        <v>158</v>
      </c>
      <c r="E4304" t="s">
        <v>54</v>
      </c>
      <c r="F4304" t="s">
        <v>29</v>
      </c>
      <c r="G4304" t="s">
        <v>172</v>
      </c>
      <c r="H4304" t="s">
        <v>19</v>
      </c>
      <c r="I4304">
        <v>5</v>
      </c>
      <c r="J4304">
        <v>4</v>
      </c>
      <c r="K4304">
        <v>3.53</v>
      </c>
      <c r="L4304">
        <v>1</v>
      </c>
    </row>
    <row r="4305" spans="1:12">
      <c r="A4305" t="s">
        <v>12477</v>
      </c>
      <c r="B4305" t="s">
        <v>12478</v>
      </c>
      <c r="C4305" t="s">
        <v>12479</v>
      </c>
      <c r="D4305" t="s">
        <v>23</v>
      </c>
      <c r="E4305" t="s">
        <v>28</v>
      </c>
      <c r="F4305" t="s">
        <v>29</v>
      </c>
      <c r="G4305" t="s">
        <v>50</v>
      </c>
      <c r="H4305" t="s">
        <v>31</v>
      </c>
      <c r="I4305">
        <v>4</v>
      </c>
      <c r="J4305">
        <v>24</v>
      </c>
      <c r="K4305">
        <v>19.97</v>
      </c>
      <c r="L4305">
        <v>1</v>
      </c>
    </row>
    <row r="4306" spans="1:12">
      <c r="A4306" t="s">
        <v>12480</v>
      </c>
      <c r="B4306" t="s">
        <v>12481</v>
      </c>
      <c r="C4306" t="s">
        <v>12482</v>
      </c>
      <c r="D4306" t="s">
        <v>158</v>
      </c>
      <c r="E4306" t="s">
        <v>28</v>
      </c>
      <c r="F4306" t="s">
        <v>36</v>
      </c>
      <c r="G4306" t="s">
        <v>77</v>
      </c>
      <c r="H4306" t="s">
        <v>31</v>
      </c>
      <c r="I4306">
        <v>1</v>
      </c>
      <c r="J4306">
        <v>4</v>
      </c>
      <c r="K4306">
        <v>10.83</v>
      </c>
      <c r="L4306">
        <v>0</v>
      </c>
    </row>
    <row r="4307" spans="1:12">
      <c r="A4307" t="s">
        <v>12483</v>
      </c>
      <c r="B4307" t="s">
        <v>12484</v>
      </c>
      <c r="C4307" t="s">
        <v>12485</v>
      </c>
      <c r="D4307" t="s">
        <v>15</v>
      </c>
      <c r="E4307" t="s">
        <v>16</v>
      </c>
      <c r="F4307" t="s">
        <v>17</v>
      </c>
      <c r="G4307" t="s">
        <v>42</v>
      </c>
      <c r="H4307" t="s">
        <v>19</v>
      </c>
      <c r="I4307">
        <v>5</v>
      </c>
      <c r="J4307">
        <v>8</v>
      </c>
      <c r="K4307">
        <v>4.7</v>
      </c>
      <c r="L4307">
        <v>1</v>
      </c>
    </row>
    <row r="4308" spans="1:12">
      <c r="A4308" t="s">
        <v>12486</v>
      </c>
      <c r="B4308" t="s">
        <v>12487</v>
      </c>
      <c r="D4308" t="s">
        <v>23</v>
      </c>
      <c r="E4308" t="s">
        <v>54</v>
      </c>
      <c r="F4308" t="s">
        <v>60</v>
      </c>
      <c r="G4308" t="s">
        <v>50</v>
      </c>
      <c r="H4308" t="s">
        <v>46</v>
      </c>
      <c r="J4308">
        <v>24</v>
      </c>
    </row>
    <row r="4309" spans="1:12">
      <c r="A4309" t="s">
        <v>12488</v>
      </c>
      <c r="B4309" t="s">
        <v>12489</v>
      </c>
      <c r="C4309" t="s">
        <v>12490</v>
      </c>
      <c r="D4309" t="s">
        <v>23</v>
      </c>
      <c r="E4309" t="s">
        <v>16</v>
      </c>
      <c r="F4309" t="s">
        <v>17</v>
      </c>
      <c r="G4309" t="s">
        <v>73</v>
      </c>
      <c r="H4309" t="s">
        <v>19</v>
      </c>
      <c r="I4309">
        <v>4</v>
      </c>
      <c r="J4309">
        <v>24</v>
      </c>
      <c r="K4309">
        <v>16.68</v>
      </c>
      <c r="L4309">
        <v>1</v>
      </c>
    </row>
    <row r="4310" spans="1:12">
      <c r="A4310" t="s">
        <v>12491</v>
      </c>
      <c r="B4310" t="s">
        <v>12492</v>
      </c>
      <c r="C4310" t="s">
        <v>12493</v>
      </c>
      <c r="D4310" t="s">
        <v>23</v>
      </c>
      <c r="E4310" t="s">
        <v>54</v>
      </c>
      <c r="F4310" t="s">
        <v>60</v>
      </c>
      <c r="G4310" t="s">
        <v>77</v>
      </c>
      <c r="H4310" t="s">
        <v>19</v>
      </c>
      <c r="I4310">
        <v>4</v>
      </c>
      <c r="J4310">
        <v>24</v>
      </c>
      <c r="K4310">
        <v>15.56</v>
      </c>
      <c r="L4310">
        <v>1</v>
      </c>
    </row>
    <row r="4311" spans="1:12">
      <c r="A4311" t="s">
        <v>12494</v>
      </c>
      <c r="B4311" t="s">
        <v>12495</v>
      </c>
      <c r="C4311" t="s">
        <v>12496</v>
      </c>
      <c r="D4311" t="s">
        <v>15</v>
      </c>
      <c r="E4311" t="s">
        <v>24</v>
      </c>
      <c r="F4311" t="s">
        <v>41</v>
      </c>
      <c r="G4311" t="s">
        <v>73</v>
      </c>
      <c r="H4311" t="s">
        <v>19</v>
      </c>
      <c r="I4311">
        <v>2</v>
      </c>
      <c r="J4311">
        <v>8</v>
      </c>
      <c r="K4311">
        <v>15.14</v>
      </c>
      <c r="L4311">
        <v>0</v>
      </c>
    </row>
    <row r="4312" spans="1:12">
      <c r="A4312" t="s">
        <v>12497</v>
      </c>
      <c r="B4312" t="s">
        <v>12498</v>
      </c>
      <c r="C4312" t="s">
        <v>12499</v>
      </c>
      <c r="D4312" t="s">
        <v>15</v>
      </c>
      <c r="E4312" t="s">
        <v>28</v>
      </c>
      <c r="F4312" t="s">
        <v>29</v>
      </c>
      <c r="G4312" t="s">
        <v>18</v>
      </c>
      <c r="H4312" t="s">
        <v>19</v>
      </c>
      <c r="I4312">
        <v>5</v>
      </c>
      <c r="J4312">
        <v>8</v>
      </c>
      <c r="K4312">
        <v>5.53</v>
      </c>
      <c r="L4312">
        <v>1</v>
      </c>
    </row>
    <row r="4313" spans="1:12">
      <c r="A4313" t="s">
        <v>12500</v>
      </c>
      <c r="B4313" t="s">
        <v>12501</v>
      </c>
      <c r="C4313" t="s">
        <v>12502</v>
      </c>
      <c r="D4313" t="s">
        <v>35</v>
      </c>
      <c r="E4313" t="s">
        <v>28</v>
      </c>
      <c r="F4313" t="s">
        <v>36</v>
      </c>
      <c r="G4313" t="s">
        <v>42</v>
      </c>
      <c r="H4313" t="s">
        <v>19</v>
      </c>
      <c r="I4313">
        <v>4</v>
      </c>
      <c r="J4313">
        <v>48</v>
      </c>
      <c r="K4313">
        <v>40.25</v>
      </c>
      <c r="L4313">
        <v>1</v>
      </c>
    </row>
    <row r="4314" spans="1:12">
      <c r="A4314" t="s">
        <v>12503</v>
      </c>
      <c r="B4314" t="s">
        <v>12504</v>
      </c>
      <c r="C4314" t="s">
        <v>12505</v>
      </c>
      <c r="D4314" t="s">
        <v>23</v>
      </c>
      <c r="E4314" t="s">
        <v>28</v>
      </c>
      <c r="F4314" t="s">
        <v>60</v>
      </c>
      <c r="G4314" t="s">
        <v>172</v>
      </c>
      <c r="H4314" t="s">
        <v>19</v>
      </c>
      <c r="I4314">
        <v>5</v>
      </c>
      <c r="J4314">
        <v>24</v>
      </c>
      <c r="K4314">
        <v>9.98</v>
      </c>
      <c r="L4314">
        <v>1</v>
      </c>
    </row>
    <row r="4315" spans="1:12">
      <c r="A4315" t="s">
        <v>12506</v>
      </c>
      <c r="B4315" t="s">
        <v>12507</v>
      </c>
      <c r="C4315" t="s">
        <v>12508</v>
      </c>
      <c r="D4315" t="s">
        <v>15</v>
      </c>
      <c r="E4315" t="s">
        <v>28</v>
      </c>
      <c r="F4315" t="s">
        <v>29</v>
      </c>
      <c r="G4315" t="s">
        <v>42</v>
      </c>
      <c r="H4315" t="s">
        <v>19</v>
      </c>
      <c r="I4315">
        <v>4</v>
      </c>
      <c r="J4315">
        <v>8</v>
      </c>
      <c r="K4315">
        <v>3.91</v>
      </c>
      <c r="L4315">
        <v>1</v>
      </c>
    </row>
    <row r="4316" spans="1:12">
      <c r="A4316" t="s">
        <v>12509</v>
      </c>
      <c r="B4316" t="s">
        <v>12510</v>
      </c>
      <c r="D4316" t="s">
        <v>23</v>
      </c>
      <c r="E4316" t="s">
        <v>28</v>
      </c>
      <c r="F4316" t="s">
        <v>29</v>
      </c>
      <c r="G4316" t="s">
        <v>42</v>
      </c>
      <c r="H4316" t="s">
        <v>63</v>
      </c>
      <c r="J4316">
        <v>24</v>
      </c>
    </row>
    <row r="4317" spans="1:12">
      <c r="A4317" t="s">
        <v>12511</v>
      </c>
      <c r="B4317" t="s">
        <v>12512</v>
      </c>
      <c r="C4317" t="s">
        <v>12513</v>
      </c>
      <c r="D4317" t="s">
        <v>35</v>
      </c>
      <c r="E4317" t="s">
        <v>16</v>
      </c>
      <c r="F4317" t="s">
        <v>60</v>
      </c>
      <c r="G4317" t="s">
        <v>50</v>
      </c>
      <c r="H4317" t="s">
        <v>31</v>
      </c>
      <c r="I4317">
        <v>4</v>
      </c>
      <c r="J4317">
        <v>48</v>
      </c>
      <c r="K4317">
        <v>14.65</v>
      </c>
      <c r="L4317">
        <v>1</v>
      </c>
    </row>
    <row r="4318" spans="1:12">
      <c r="A4318" t="s">
        <v>12514</v>
      </c>
      <c r="B4318" t="s">
        <v>12515</v>
      </c>
      <c r="C4318" t="s">
        <v>12516</v>
      </c>
      <c r="D4318" t="s">
        <v>35</v>
      </c>
      <c r="E4318" t="s">
        <v>59</v>
      </c>
      <c r="F4318" t="s">
        <v>41</v>
      </c>
      <c r="G4318" t="s">
        <v>18</v>
      </c>
      <c r="H4318" t="s">
        <v>31</v>
      </c>
      <c r="I4318">
        <v>5</v>
      </c>
      <c r="J4318">
        <v>48</v>
      </c>
      <c r="K4318">
        <v>39.11</v>
      </c>
      <c r="L4318">
        <v>1</v>
      </c>
    </row>
    <row r="4319" spans="1:12">
      <c r="A4319" t="s">
        <v>12517</v>
      </c>
      <c r="B4319" t="s">
        <v>12518</v>
      </c>
      <c r="C4319" t="s">
        <v>12519</v>
      </c>
      <c r="D4319" t="s">
        <v>23</v>
      </c>
      <c r="E4319" t="s">
        <v>16</v>
      </c>
      <c r="F4319" t="s">
        <v>60</v>
      </c>
      <c r="G4319" t="s">
        <v>37</v>
      </c>
      <c r="H4319" t="s">
        <v>31</v>
      </c>
      <c r="I4319">
        <v>5</v>
      </c>
      <c r="J4319">
        <v>24</v>
      </c>
      <c r="K4319">
        <v>15.73</v>
      </c>
      <c r="L4319">
        <v>1</v>
      </c>
    </row>
    <row r="4320" spans="1:12">
      <c r="A4320" t="s">
        <v>12520</v>
      </c>
      <c r="B4320" t="s">
        <v>12521</v>
      </c>
      <c r="C4320" t="s">
        <v>12522</v>
      </c>
      <c r="D4320" t="s">
        <v>35</v>
      </c>
      <c r="E4320" t="s">
        <v>28</v>
      </c>
      <c r="F4320" t="s">
        <v>36</v>
      </c>
      <c r="G4320" t="s">
        <v>105</v>
      </c>
      <c r="H4320" t="s">
        <v>19</v>
      </c>
      <c r="I4320">
        <v>4</v>
      </c>
      <c r="J4320">
        <v>48</v>
      </c>
      <c r="K4320">
        <v>28.59</v>
      </c>
      <c r="L4320">
        <v>1</v>
      </c>
    </row>
    <row r="4321" spans="1:12">
      <c r="A4321" t="s">
        <v>12523</v>
      </c>
      <c r="B4321" t="s">
        <v>12524</v>
      </c>
      <c r="D4321" t="s">
        <v>35</v>
      </c>
      <c r="E4321" t="s">
        <v>28</v>
      </c>
      <c r="F4321" t="s">
        <v>29</v>
      </c>
      <c r="G4321" t="s">
        <v>37</v>
      </c>
      <c r="H4321" t="s">
        <v>63</v>
      </c>
      <c r="J4321">
        <v>48</v>
      </c>
    </row>
    <row r="4322" spans="1:12">
      <c r="A4322" t="s">
        <v>12525</v>
      </c>
      <c r="B4322" t="s">
        <v>12526</v>
      </c>
      <c r="C4322" t="s">
        <v>12527</v>
      </c>
      <c r="D4322" t="s">
        <v>23</v>
      </c>
      <c r="E4322" t="s">
        <v>28</v>
      </c>
      <c r="F4322" t="s">
        <v>17</v>
      </c>
      <c r="G4322" t="s">
        <v>55</v>
      </c>
      <c r="H4322" t="s">
        <v>19</v>
      </c>
      <c r="I4322">
        <v>5</v>
      </c>
      <c r="J4322">
        <v>24</v>
      </c>
      <c r="K4322">
        <v>16.350000000000001</v>
      </c>
      <c r="L4322">
        <v>1</v>
      </c>
    </row>
    <row r="4323" spans="1:12">
      <c r="A4323" t="s">
        <v>12528</v>
      </c>
      <c r="B4323" t="s">
        <v>12529</v>
      </c>
      <c r="D4323" t="s">
        <v>23</v>
      </c>
      <c r="E4323" t="s">
        <v>16</v>
      </c>
      <c r="F4323" t="s">
        <v>36</v>
      </c>
      <c r="G4323" t="s">
        <v>50</v>
      </c>
      <c r="H4323" t="s">
        <v>46</v>
      </c>
      <c r="J4323">
        <v>24</v>
      </c>
    </row>
    <row r="4324" spans="1:12">
      <c r="A4324" t="s">
        <v>12530</v>
      </c>
      <c r="B4324" t="s">
        <v>12531</v>
      </c>
      <c r="C4324" t="s">
        <v>12532</v>
      </c>
      <c r="D4324" t="s">
        <v>15</v>
      </c>
      <c r="E4324" t="s">
        <v>28</v>
      </c>
      <c r="F4324" t="s">
        <v>60</v>
      </c>
      <c r="G4324" t="s">
        <v>30</v>
      </c>
      <c r="H4324" t="s">
        <v>19</v>
      </c>
      <c r="I4324">
        <v>4</v>
      </c>
      <c r="J4324">
        <v>8</v>
      </c>
      <c r="K4324">
        <v>10.45</v>
      </c>
      <c r="L4324">
        <v>0</v>
      </c>
    </row>
    <row r="4325" spans="1:12">
      <c r="A4325" t="s">
        <v>12533</v>
      </c>
      <c r="B4325" t="s">
        <v>12534</v>
      </c>
      <c r="C4325" t="s">
        <v>12535</v>
      </c>
      <c r="D4325" t="s">
        <v>35</v>
      </c>
      <c r="E4325" t="s">
        <v>16</v>
      </c>
      <c r="F4325" t="s">
        <v>60</v>
      </c>
      <c r="G4325" t="s">
        <v>30</v>
      </c>
      <c r="H4325" t="s">
        <v>31</v>
      </c>
      <c r="I4325">
        <v>3</v>
      </c>
      <c r="J4325">
        <v>48</v>
      </c>
      <c r="K4325">
        <v>79.680000000000007</v>
      </c>
      <c r="L4325">
        <v>0</v>
      </c>
    </row>
    <row r="4326" spans="1:12">
      <c r="A4326" t="s">
        <v>12536</v>
      </c>
      <c r="B4326" t="s">
        <v>12537</v>
      </c>
      <c r="D4326" t="s">
        <v>35</v>
      </c>
      <c r="E4326" t="s">
        <v>16</v>
      </c>
      <c r="F4326" t="s">
        <v>17</v>
      </c>
      <c r="G4326" t="s">
        <v>77</v>
      </c>
      <c r="H4326" t="s">
        <v>63</v>
      </c>
      <c r="J4326">
        <v>48</v>
      </c>
    </row>
    <row r="4327" spans="1:12">
      <c r="A4327" t="s">
        <v>12538</v>
      </c>
      <c r="B4327" t="s">
        <v>12539</v>
      </c>
      <c r="C4327" t="s">
        <v>12540</v>
      </c>
      <c r="D4327" t="s">
        <v>15</v>
      </c>
      <c r="E4327" t="s">
        <v>59</v>
      </c>
      <c r="F4327" t="s">
        <v>36</v>
      </c>
      <c r="G4327" t="s">
        <v>172</v>
      </c>
      <c r="H4327" t="s">
        <v>31</v>
      </c>
      <c r="I4327">
        <v>5</v>
      </c>
      <c r="J4327">
        <v>8</v>
      </c>
      <c r="K4327">
        <v>5.1100000000000003</v>
      </c>
      <c r="L4327">
        <v>1</v>
      </c>
    </row>
    <row r="4328" spans="1:12">
      <c r="A4328" t="s">
        <v>12541</v>
      </c>
      <c r="B4328" t="s">
        <v>12542</v>
      </c>
      <c r="C4328" t="s">
        <v>12543</v>
      </c>
      <c r="D4328" t="s">
        <v>23</v>
      </c>
      <c r="E4328" t="s">
        <v>24</v>
      </c>
      <c r="F4328" t="s">
        <v>29</v>
      </c>
      <c r="G4328" t="s">
        <v>105</v>
      </c>
      <c r="H4328" t="s">
        <v>19</v>
      </c>
      <c r="I4328">
        <v>3</v>
      </c>
      <c r="J4328">
        <v>24</v>
      </c>
      <c r="K4328">
        <v>5.47</v>
      </c>
      <c r="L4328">
        <v>1</v>
      </c>
    </row>
    <row r="4329" spans="1:12">
      <c r="A4329" t="s">
        <v>12544</v>
      </c>
      <c r="B4329" t="s">
        <v>12545</v>
      </c>
      <c r="C4329" t="s">
        <v>12546</v>
      </c>
      <c r="D4329" t="s">
        <v>23</v>
      </c>
      <c r="E4329" t="s">
        <v>28</v>
      </c>
      <c r="F4329" t="s">
        <v>17</v>
      </c>
      <c r="G4329" t="s">
        <v>55</v>
      </c>
      <c r="H4329" t="s">
        <v>19</v>
      </c>
      <c r="I4329">
        <v>4</v>
      </c>
      <c r="J4329">
        <v>24</v>
      </c>
      <c r="K4329">
        <v>3.14</v>
      </c>
      <c r="L4329">
        <v>1</v>
      </c>
    </row>
    <row r="4330" spans="1:12">
      <c r="A4330" t="s">
        <v>12547</v>
      </c>
      <c r="B4330" t="s">
        <v>12548</v>
      </c>
      <c r="C4330" t="s">
        <v>12549</v>
      </c>
      <c r="D4330" t="s">
        <v>23</v>
      </c>
      <c r="E4330" t="s">
        <v>59</v>
      </c>
      <c r="F4330" t="s">
        <v>29</v>
      </c>
      <c r="G4330" t="s">
        <v>18</v>
      </c>
      <c r="H4330" t="s">
        <v>31</v>
      </c>
      <c r="I4330">
        <v>4</v>
      </c>
      <c r="J4330">
        <v>24</v>
      </c>
      <c r="K4330">
        <v>8.0399999999999991</v>
      </c>
      <c r="L4330">
        <v>1</v>
      </c>
    </row>
    <row r="4331" spans="1:12">
      <c r="A4331" t="s">
        <v>12550</v>
      </c>
      <c r="B4331" t="s">
        <v>12551</v>
      </c>
      <c r="C4331" t="s">
        <v>12552</v>
      </c>
      <c r="D4331" t="s">
        <v>23</v>
      </c>
      <c r="E4331" t="s">
        <v>28</v>
      </c>
      <c r="F4331" t="s">
        <v>60</v>
      </c>
      <c r="G4331" t="s">
        <v>77</v>
      </c>
      <c r="H4331" t="s">
        <v>31</v>
      </c>
      <c r="I4331">
        <v>4</v>
      </c>
      <c r="J4331">
        <v>24</v>
      </c>
      <c r="K4331">
        <v>7.98</v>
      </c>
      <c r="L4331">
        <v>1</v>
      </c>
    </row>
    <row r="4332" spans="1:12">
      <c r="A4332" t="s">
        <v>12553</v>
      </c>
      <c r="B4332" t="s">
        <v>12554</v>
      </c>
      <c r="C4332" t="s">
        <v>12555</v>
      </c>
      <c r="D4332" t="s">
        <v>35</v>
      </c>
      <c r="E4332" t="s">
        <v>28</v>
      </c>
      <c r="F4332" t="s">
        <v>17</v>
      </c>
      <c r="G4332" t="s">
        <v>172</v>
      </c>
      <c r="H4332" t="s">
        <v>19</v>
      </c>
      <c r="I4332">
        <v>5</v>
      </c>
      <c r="J4332">
        <v>48</v>
      </c>
      <c r="K4332">
        <v>5.39</v>
      </c>
      <c r="L4332">
        <v>1</v>
      </c>
    </row>
    <row r="4333" spans="1:12">
      <c r="A4333" t="s">
        <v>12556</v>
      </c>
      <c r="B4333" t="s">
        <v>12557</v>
      </c>
      <c r="C4333" t="s">
        <v>12558</v>
      </c>
      <c r="D4333" t="s">
        <v>15</v>
      </c>
      <c r="E4333" t="s">
        <v>16</v>
      </c>
      <c r="F4333" t="s">
        <v>17</v>
      </c>
      <c r="G4333" t="s">
        <v>77</v>
      </c>
      <c r="H4333" t="s">
        <v>19</v>
      </c>
      <c r="I4333">
        <v>5</v>
      </c>
      <c r="J4333">
        <v>8</v>
      </c>
      <c r="K4333">
        <v>7.19</v>
      </c>
      <c r="L4333">
        <v>1</v>
      </c>
    </row>
    <row r="4334" spans="1:12">
      <c r="A4334" t="s">
        <v>12559</v>
      </c>
      <c r="B4334" t="s">
        <v>12560</v>
      </c>
      <c r="C4334" t="s">
        <v>12561</v>
      </c>
      <c r="D4334" t="s">
        <v>23</v>
      </c>
      <c r="E4334" t="s">
        <v>24</v>
      </c>
      <c r="F4334" t="s">
        <v>29</v>
      </c>
      <c r="G4334" t="s">
        <v>30</v>
      </c>
      <c r="H4334" t="s">
        <v>19</v>
      </c>
      <c r="I4334">
        <v>5</v>
      </c>
      <c r="J4334">
        <v>24</v>
      </c>
      <c r="K4334">
        <v>4.16</v>
      </c>
      <c r="L4334">
        <v>1</v>
      </c>
    </row>
    <row r="4335" spans="1:12">
      <c r="A4335" t="s">
        <v>12562</v>
      </c>
      <c r="B4335" t="s">
        <v>12563</v>
      </c>
      <c r="C4335" t="s">
        <v>12564</v>
      </c>
      <c r="D4335" t="s">
        <v>23</v>
      </c>
      <c r="E4335" t="s">
        <v>24</v>
      </c>
      <c r="F4335" t="s">
        <v>60</v>
      </c>
      <c r="G4335" t="s">
        <v>73</v>
      </c>
      <c r="H4335" t="s">
        <v>19</v>
      </c>
      <c r="I4335">
        <v>5</v>
      </c>
      <c r="J4335">
        <v>24</v>
      </c>
      <c r="K4335">
        <v>16.46</v>
      </c>
      <c r="L4335">
        <v>1</v>
      </c>
    </row>
    <row r="4336" spans="1:12">
      <c r="A4336" t="s">
        <v>12565</v>
      </c>
      <c r="B4336" t="s">
        <v>12566</v>
      </c>
      <c r="C4336" t="s">
        <v>12567</v>
      </c>
      <c r="D4336" t="s">
        <v>23</v>
      </c>
      <c r="E4336" t="s">
        <v>28</v>
      </c>
      <c r="F4336" t="s">
        <v>17</v>
      </c>
      <c r="G4336" t="s">
        <v>50</v>
      </c>
      <c r="H4336" t="s">
        <v>19</v>
      </c>
      <c r="I4336">
        <v>3</v>
      </c>
      <c r="J4336">
        <v>24</v>
      </c>
      <c r="K4336">
        <v>11.39</v>
      </c>
      <c r="L4336">
        <v>1</v>
      </c>
    </row>
    <row r="4337" spans="1:12">
      <c r="A4337" t="s">
        <v>12568</v>
      </c>
      <c r="B4337" t="s">
        <v>12569</v>
      </c>
      <c r="C4337" t="s">
        <v>12570</v>
      </c>
      <c r="D4337" t="s">
        <v>23</v>
      </c>
      <c r="E4337" t="s">
        <v>28</v>
      </c>
      <c r="F4337" t="s">
        <v>17</v>
      </c>
      <c r="G4337" t="s">
        <v>172</v>
      </c>
      <c r="H4337" t="s">
        <v>19</v>
      </c>
      <c r="I4337">
        <v>4</v>
      </c>
      <c r="J4337">
        <v>24</v>
      </c>
      <c r="K4337">
        <v>4.58</v>
      </c>
      <c r="L4337">
        <v>1</v>
      </c>
    </row>
    <row r="4338" spans="1:12">
      <c r="A4338" t="s">
        <v>12571</v>
      </c>
      <c r="B4338" t="s">
        <v>12572</v>
      </c>
      <c r="C4338" t="s">
        <v>12573</v>
      </c>
      <c r="D4338" t="s">
        <v>15</v>
      </c>
      <c r="E4338" t="s">
        <v>28</v>
      </c>
      <c r="F4338" t="s">
        <v>41</v>
      </c>
      <c r="G4338" t="s">
        <v>42</v>
      </c>
      <c r="H4338" t="s">
        <v>19</v>
      </c>
      <c r="I4338">
        <v>5</v>
      </c>
      <c r="J4338">
        <v>8</v>
      </c>
      <c r="K4338">
        <v>4.74</v>
      </c>
      <c r="L4338">
        <v>1</v>
      </c>
    </row>
    <row r="4339" spans="1:12">
      <c r="A4339" t="s">
        <v>12574</v>
      </c>
      <c r="B4339" t="s">
        <v>12575</v>
      </c>
      <c r="C4339" t="s">
        <v>12576</v>
      </c>
      <c r="D4339" t="s">
        <v>23</v>
      </c>
      <c r="E4339" t="s">
        <v>24</v>
      </c>
      <c r="F4339" t="s">
        <v>29</v>
      </c>
      <c r="G4339" t="s">
        <v>73</v>
      </c>
      <c r="H4339" t="s">
        <v>19</v>
      </c>
      <c r="I4339">
        <v>3</v>
      </c>
      <c r="J4339">
        <v>24</v>
      </c>
      <c r="K4339">
        <v>5.23</v>
      </c>
      <c r="L4339">
        <v>1</v>
      </c>
    </row>
    <row r="4340" spans="1:12">
      <c r="A4340" t="s">
        <v>12577</v>
      </c>
      <c r="B4340" t="s">
        <v>12578</v>
      </c>
      <c r="C4340" t="s">
        <v>12579</v>
      </c>
      <c r="D4340" t="s">
        <v>35</v>
      </c>
      <c r="E4340" t="s">
        <v>24</v>
      </c>
      <c r="F4340" t="s">
        <v>29</v>
      </c>
      <c r="G4340" t="s">
        <v>18</v>
      </c>
      <c r="H4340" t="s">
        <v>31</v>
      </c>
      <c r="I4340">
        <v>4</v>
      </c>
      <c r="J4340">
        <v>48</v>
      </c>
      <c r="K4340">
        <v>22.62</v>
      </c>
      <c r="L4340">
        <v>1</v>
      </c>
    </row>
    <row r="4341" spans="1:12">
      <c r="A4341" t="s">
        <v>12580</v>
      </c>
      <c r="B4341" t="s">
        <v>12581</v>
      </c>
      <c r="C4341" t="s">
        <v>12582</v>
      </c>
      <c r="D4341" t="s">
        <v>23</v>
      </c>
      <c r="E4341" t="s">
        <v>59</v>
      </c>
      <c r="F4341" t="s">
        <v>29</v>
      </c>
      <c r="G4341" t="s">
        <v>77</v>
      </c>
      <c r="H4341" t="s">
        <v>19</v>
      </c>
      <c r="I4341">
        <v>4</v>
      </c>
      <c r="J4341">
        <v>24</v>
      </c>
      <c r="K4341">
        <v>11.51</v>
      </c>
      <c r="L4341">
        <v>1</v>
      </c>
    </row>
    <row r="4342" spans="1:12">
      <c r="A4342" t="s">
        <v>12583</v>
      </c>
      <c r="B4342" t="s">
        <v>12584</v>
      </c>
      <c r="C4342" t="s">
        <v>12585</v>
      </c>
      <c r="D4342" t="s">
        <v>35</v>
      </c>
      <c r="E4342" t="s">
        <v>54</v>
      </c>
      <c r="F4342" t="s">
        <v>17</v>
      </c>
      <c r="G4342" t="s">
        <v>55</v>
      </c>
      <c r="H4342" t="s">
        <v>31</v>
      </c>
      <c r="I4342">
        <v>4</v>
      </c>
      <c r="J4342">
        <v>48</v>
      </c>
      <c r="K4342">
        <v>71.09</v>
      </c>
      <c r="L4342">
        <v>0</v>
      </c>
    </row>
    <row r="4343" spans="1:12">
      <c r="A4343" t="s">
        <v>12586</v>
      </c>
      <c r="B4343" t="s">
        <v>12587</v>
      </c>
      <c r="C4343" t="s">
        <v>12588</v>
      </c>
      <c r="D4343" t="s">
        <v>23</v>
      </c>
      <c r="E4343" t="s">
        <v>24</v>
      </c>
      <c r="F4343" t="s">
        <v>41</v>
      </c>
      <c r="G4343" t="s">
        <v>172</v>
      </c>
      <c r="H4343" t="s">
        <v>31</v>
      </c>
      <c r="I4343">
        <v>4</v>
      </c>
      <c r="J4343">
        <v>24</v>
      </c>
      <c r="K4343">
        <v>18.46</v>
      </c>
      <c r="L4343">
        <v>1</v>
      </c>
    </row>
    <row r="4344" spans="1:12">
      <c r="A4344" t="s">
        <v>12589</v>
      </c>
      <c r="B4344" t="s">
        <v>12590</v>
      </c>
      <c r="C4344" t="s">
        <v>12591</v>
      </c>
      <c r="D4344" t="s">
        <v>35</v>
      </c>
      <c r="E4344" t="s">
        <v>59</v>
      </c>
      <c r="F4344" t="s">
        <v>17</v>
      </c>
      <c r="G4344" t="s">
        <v>42</v>
      </c>
      <c r="H4344" t="s">
        <v>31</v>
      </c>
      <c r="I4344">
        <v>4</v>
      </c>
      <c r="J4344">
        <v>48</v>
      </c>
      <c r="K4344">
        <v>43.17</v>
      </c>
      <c r="L4344">
        <v>1</v>
      </c>
    </row>
    <row r="4345" spans="1:12">
      <c r="A4345" t="s">
        <v>12592</v>
      </c>
      <c r="B4345" t="s">
        <v>12593</v>
      </c>
      <c r="C4345" t="s">
        <v>12594</v>
      </c>
      <c r="D4345" t="s">
        <v>158</v>
      </c>
      <c r="E4345" t="s">
        <v>59</v>
      </c>
      <c r="F4345" t="s">
        <v>41</v>
      </c>
      <c r="G4345" t="s">
        <v>151</v>
      </c>
      <c r="H4345" t="s">
        <v>31</v>
      </c>
      <c r="I4345">
        <v>3</v>
      </c>
      <c r="J4345">
        <v>4</v>
      </c>
      <c r="K4345">
        <v>0.7</v>
      </c>
      <c r="L4345">
        <v>1</v>
      </c>
    </row>
    <row r="4346" spans="1:12">
      <c r="A4346" t="s">
        <v>12595</v>
      </c>
      <c r="B4346" t="s">
        <v>12596</v>
      </c>
      <c r="C4346" t="s">
        <v>12597</v>
      </c>
      <c r="D4346" t="s">
        <v>35</v>
      </c>
      <c r="E4346" t="s">
        <v>24</v>
      </c>
      <c r="F4346" t="s">
        <v>29</v>
      </c>
      <c r="G4346" t="s">
        <v>18</v>
      </c>
      <c r="H4346" t="s">
        <v>19</v>
      </c>
      <c r="I4346">
        <v>4</v>
      </c>
      <c r="J4346">
        <v>48</v>
      </c>
      <c r="K4346">
        <v>13.38</v>
      </c>
      <c r="L4346">
        <v>1</v>
      </c>
    </row>
    <row r="4347" spans="1:12">
      <c r="A4347" t="s">
        <v>12598</v>
      </c>
      <c r="B4347" t="s">
        <v>12599</v>
      </c>
      <c r="C4347" t="s">
        <v>12600</v>
      </c>
      <c r="D4347" t="s">
        <v>23</v>
      </c>
      <c r="E4347" t="s">
        <v>16</v>
      </c>
      <c r="F4347" t="s">
        <v>60</v>
      </c>
      <c r="G4347" t="s">
        <v>42</v>
      </c>
      <c r="H4347" t="s">
        <v>19</v>
      </c>
      <c r="I4347">
        <v>5</v>
      </c>
      <c r="J4347">
        <v>24</v>
      </c>
      <c r="K4347">
        <v>17.91</v>
      </c>
      <c r="L4347">
        <v>1</v>
      </c>
    </row>
    <row r="4348" spans="1:12">
      <c r="A4348" t="s">
        <v>12601</v>
      </c>
      <c r="B4348" t="s">
        <v>12602</v>
      </c>
      <c r="D4348" t="s">
        <v>23</v>
      </c>
      <c r="E4348" t="s">
        <v>28</v>
      </c>
      <c r="F4348" t="s">
        <v>17</v>
      </c>
      <c r="G4348" t="s">
        <v>73</v>
      </c>
      <c r="H4348" t="s">
        <v>63</v>
      </c>
      <c r="J4348">
        <v>24</v>
      </c>
    </row>
    <row r="4349" spans="1:12">
      <c r="A4349" t="s">
        <v>12603</v>
      </c>
      <c r="B4349" t="s">
        <v>12604</v>
      </c>
      <c r="C4349" t="s">
        <v>12605</v>
      </c>
      <c r="D4349" t="s">
        <v>23</v>
      </c>
      <c r="E4349" t="s">
        <v>28</v>
      </c>
      <c r="F4349" t="s">
        <v>29</v>
      </c>
      <c r="G4349" t="s">
        <v>73</v>
      </c>
      <c r="H4349" t="s">
        <v>19</v>
      </c>
      <c r="I4349">
        <v>5</v>
      </c>
      <c r="J4349">
        <v>24</v>
      </c>
      <c r="K4349">
        <v>15.19</v>
      </c>
      <c r="L4349">
        <v>1</v>
      </c>
    </row>
    <row r="4350" spans="1:12">
      <c r="A4350" t="s">
        <v>12606</v>
      </c>
      <c r="B4350" t="s">
        <v>12607</v>
      </c>
      <c r="C4350" t="s">
        <v>12608</v>
      </c>
      <c r="D4350" t="s">
        <v>23</v>
      </c>
      <c r="E4350" t="s">
        <v>28</v>
      </c>
      <c r="F4350" t="s">
        <v>41</v>
      </c>
      <c r="G4350" t="s">
        <v>42</v>
      </c>
      <c r="H4350" t="s">
        <v>19</v>
      </c>
      <c r="I4350">
        <v>3</v>
      </c>
      <c r="J4350">
        <v>24</v>
      </c>
      <c r="K4350">
        <v>34.020000000000003</v>
      </c>
      <c r="L4350">
        <v>0</v>
      </c>
    </row>
    <row r="4351" spans="1:12">
      <c r="A4351" t="s">
        <v>12609</v>
      </c>
      <c r="B4351" t="s">
        <v>12610</v>
      </c>
      <c r="C4351" t="s">
        <v>12611</v>
      </c>
      <c r="D4351" t="s">
        <v>158</v>
      </c>
      <c r="E4351" t="s">
        <v>24</v>
      </c>
      <c r="F4351" t="s">
        <v>36</v>
      </c>
      <c r="G4351" t="s">
        <v>30</v>
      </c>
      <c r="H4351" t="s">
        <v>31</v>
      </c>
      <c r="I4351">
        <v>4</v>
      </c>
      <c r="J4351">
        <v>4</v>
      </c>
      <c r="K4351">
        <v>3.72</v>
      </c>
      <c r="L4351">
        <v>1</v>
      </c>
    </row>
    <row r="4352" spans="1:12">
      <c r="A4352" t="s">
        <v>12612</v>
      </c>
      <c r="B4352" t="s">
        <v>12613</v>
      </c>
      <c r="C4352" t="s">
        <v>12614</v>
      </c>
      <c r="D4352" t="s">
        <v>35</v>
      </c>
      <c r="E4352" t="s">
        <v>54</v>
      </c>
      <c r="F4352" t="s">
        <v>41</v>
      </c>
      <c r="G4352" t="s">
        <v>50</v>
      </c>
      <c r="H4352" t="s">
        <v>31</v>
      </c>
      <c r="I4352">
        <v>4</v>
      </c>
      <c r="J4352">
        <v>48</v>
      </c>
      <c r="K4352">
        <v>19.88</v>
      </c>
      <c r="L4352">
        <v>1</v>
      </c>
    </row>
    <row r="4353" spans="1:12">
      <c r="A4353" t="s">
        <v>12615</v>
      </c>
      <c r="B4353" t="s">
        <v>12616</v>
      </c>
      <c r="C4353" t="s">
        <v>12617</v>
      </c>
      <c r="D4353" t="s">
        <v>15</v>
      </c>
      <c r="E4353" t="s">
        <v>54</v>
      </c>
      <c r="F4353" t="s">
        <v>41</v>
      </c>
      <c r="G4353" t="s">
        <v>151</v>
      </c>
      <c r="H4353" t="s">
        <v>19</v>
      </c>
      <c r="I4353">
        <v>5</v>
      </c>
      <c r="J4353">
        <v>8</v>
      </c>
      <c r="K4353">
        <v>6.26</v>
      </c>
      <c r="L4353">
        <v>1</v>
      </c>
    </row>
    <row r="4354" spans="1:12">
      <c r="A4354" t="s">
        <v>12618</v>
      </c>
      <c r="B4354" t="s">
        <v>12619</v>
      </c>
      <c r="C4354" t="s">
        <v>12620</v>
      </c>
      <c r="D4354" t="s">
        <v>15</v>
      </c>
      <c r="E4354" t="s">
        <v>28</v>
      </c>
      <c r="F4354" t="s">
        <v>41</v>
      </c>
      <c r="G4354" t="s">
        <v>172</v>
      </c>
      <c r="H4354" t="s">
        <v>31</v>
      </c>
      <c r="I4354">
        <v>3</v>
      </c>
      <c r="J4354">
        <v>8</v>
      </c>
      <c r="K4354">
        <v>18.850000000000001</v>
      </c>
      <c r="L4354">
        <v>0</v>
      </c>
    </row>
    <row r="4355" spans="1:12">
      <c r="A4355" t="s">
        <v>12621</v>
      </c>
      <c r="B4355" t="s">
        <v>12622</v>
      </c>
      <c r="C4355" t="s">
        <v>12623</v>
      </c>
      <c r="D4355" t="s">
        <v>15</v>
      </c>
      <c r="E4355" t="s">
        <v>16</v>
      </c>
      <c r="F4355" t="s">
        <v>36</v>
      </c>
      <c r="G4355" t="s">
        <v>172</v>
      </c>
      <c r="H4355" t="s">
        <v>19</v>
      </c>
      <c r="I4355">
        <v>4</v>
      </c>
      <c r="J4355">
        <v>8</v>
      </c>
      <c r="K4355">
        <v>2.16</v>
      </c>
      <c r="L4355">
        <v>1</v>
      </c>
    </row>
    <row r="4356" spans="1:12">
      <c r="A4356" t="s">
        <v>12624</v>
      </c>
      <c r="B4356" t="s">
        <v>12625</v>
      </c>
      <c r="C4356" t="s">
        <v>12626</v>
      </c>
      <c r="D4356" t="s">
        <v>23</v>
      </c>
      <c r="E4356" t="s">
        <v>28</v>
      </c>
      <c r="F4356" t="s">
        <v>36</v>
      </c>
      <c r="G4356" t="s">
        <v>77</v>
      </c>
      <c r="H4356" t="s">
        <v>19</v>
      </c>
      <c r="I4356">
        <v>4</v>
      </c>
      <c r="J4356">
        <v>24</v>
      </c>
      <c r="K4356">
        <v>19.600000000000001</v>
      </c>
      <c r="L4356">
        <v>1</v>
      </c>
    </row>
    <row r="4357" spans="1:12">
      <c r="A4357" t="s">
        <v>12627</v>
      </c>
      <c r="B4357" t="s">
        <v>12628</v>
      </c>
      <c r="D4357" t="s">
        <v>23</v>
      </c>
      <c r="E4357" t="s">
        <v>28</v>
      </c>
      <c r="F4357" t="s">
        <v>60</v>
      </c>
      <c r="G4357" t="s">
        <v>172</v>
      </c>
      <c r="H4357" t="s">
        <v>63</v>
      </c>
      <c r="J4357">
        <v>24</v>
      </c>
    </row>
    <row r="4358" spans="1:12">
      <c r="A4358" t="s">
        <v>12629</v>
      </c>
      <c r="B4358" t="s">
        <v>12630</v>
      </c>
      <c r="D4358" t="s">
        <v>15</v>
      </c>
      <c r="E4358" t="s">
        <v>28</v>
      </c>
      <c r="F4358" t="s">
        <v>36</v>
      </c>
      <c r="G4358" t="s">
        <v>151</v>
      </c>
      <c r="H4358" t="s">
        <v>63</v>
      </c>
      <c r="J4358">
        <v>8</v>
      </c>
    </row>
    <row r="4359" spans="1:12">
      <c r="A4359" t="s">
        <v>12631</v>
      </c>
      <c r="B4359" t="s">
        <v>12632</v>
      </c>
      <c r="C4359" t="s">
        <v>12633</v>
      </c>
      <c r="D4359" t="s">
        <v>35</v>
      </c>
      <c r="E4359" t="s">
        <v>16</v>
      </c>
      <c r="F4359" t="s">
        <v>41</v>
      </c>
      <c r="G4359" t="s">
        <v>105</v>
      </c>
      <c r="H4359" t="s">
        <v>19</v>
      </c>
      <c r="I4359">
        <v>5</v>
      </c>
      <c r="J4359">
        <v>48</v>
      </c>
      <c r="K4359">
        <v>39.19</v>
      </c>
      <c r="L4359">
        <v>1</v>
      </c>
    </row>
    <row r="4360" spans="1:12">
      <c r="A4360" t="s">
        <v>12634</v>
      </c>
      <c r="B4360" t="s">
        <v>12635</v>
      </c>
      <c r="C4360" t="s">
        <v>12636</v>
      </c>
      <c r="D4360" t="s">
        <v>15</v>
      </c>
      <c r="E4360" t="s">
        <v>24</v>
      </c>
      <c r="F4360" t="s">
        <v>36</v>
      </c>
      <c r="G4360" t="s">
        <v>55</v>
      </c>
      <c r="H4360" t="s">
        <v>19</v>
      </c>
      <c r="I4360">
        <v>1</v>
      </c>
      <c r="J4360">
        <v>8</v>
      </c>
      <c r="K4360">
        <v>10.39</v>
      </c>
      <c r="L4360">
        <v>0</v>
      </c>
    </row>
    <row r="4361" spans="1:12">
      <c r="A4361" t="s">
        <v>12637</v>
      </c>
      <c r="B4361" t="s">
        <v>12638</v>
      </c>
      <c r="C4361" t="s">
        <v>12639</v>
      </c>
      <c r="D4361" t="s">
        <v>15</v>
      </c>
      <c r="E4361" t="s">
        <v>28</v>
      </c>
      <c r="F4361" t="s">
        <v>60</v>
      </c>
      <c r="G4361" t="s">
        <v>151</v>
      </c>
      <c r="H4361" t="s">
        <v>19</v>
      </c>
      <c r="I4361">
        <v>4</v>
      </c>
      <c r="J4361">
        <v>8</v>
      </c>
      <c r="K4361">
        <v>3.88</v>
      </c>
      <c r="L4361">
        <v>1</v>
      </c>
    </row>
    <row r="4362" spans="1:12">
      <c r="A4362" t="s">
        <v>12640</v>
      </c>
      <c r="B4362" t="s">
        <v>12641</v>
      </c>
      <c r="C4362" t="s">
        <v>12642</v>
      </c>
      <c r="D4362" t="s">
        <v>23</v>
      </c>
      <c r="E4362" t="s">
        <v>24</v>
      </c>
      <c r="F4362" t="s">
        <v>36</v>
      </c>
      <c r="G4362" t="s">
        <v>45</v>
      </c>
      <c r="H4362" t="s">
        <v>19</v>
      </c>
      <c r="I4362">
        <v>4</v>
      </c>
      <c r="J4362">
        <v>24</v>
      </c>
      <c r="K4362">
        <v>6.77</v>
      </c>
      <c r="L4362">
        <v>1</v>
      </c>
    </row>
    <row r="4363" spans="1:12">
      <c r="A4363" t="s">
        <v>12643</v>
      </c>
      <c r="B4363" t="s">
        <v>12644</v>
      </c>
      <c r="C4363" t="s">
        <v>12645</v>
      </c>
      <c r="D4363" t="s">
        <v>23</v>
      </c>
      <c r="E4363" t="s">
        <v>28</v>
      </c>
      <c r="F4363" t="s">
        <v>17</v>
      </c>
      <c r="G4363" t="s">
        <v>50</v>
      </c>
      <c r="H4363" t="s">
        <v>19</v>
      </c>
      <c r="I4363">
        <v>3</v>
      </c>
      <c r="J4363">
        <v>24</v>
      </c>
      <c r="K4363">
        <v>5.31</v>
      </c>
      <c r="L4363">
        <v>1</v>
      </c>
    </row>
    <row r="4364" spans="1:12">
      <c r="A4364" t="s">
        <v>12646</v>
      </c>
      <c r="B4364" t="s">
        <v>12647</v>
      </c>
      <c r="C4364" t="s">
        <v>12648</v>
      </c>
      <c r="D4364" t="s">
        <v>15</v>
      </c>
      <c r="E4364" t="s">
        <v>54</v>
      </c>
      <c r="F4364" t="s">
        <v>17</v>
      </c>
      <c r="G4364" t="s">
        <v>45</v>
      </c>
      <c r="H4364" t="s">
        <v>31</v>
      </c>
      <c r="I4364">
        <v>4</v>
      </c>
      <c r="J4364">
        <v>8</v>
      </c>
      <c r="K4364">
        <v>4.92</v>
      </c>
      <c r="L4364">
        <v>1</v>
      </c>
    </row>
    <row r="4365" spans="1:12">
      <c r="A4365" t="s">
        <v>12649</v>
      </c>
      <c r="B4365" t="s">
        <v>12650</v>
      </c>
      <c r="C4365" t="s">
        <v>12651</v>
      </c>
      <c r="D4365" t="s">
        <v>23</v>
      </c>
      <c r="E4365" t="s">
        <v>24</v>
      </c>
      <c r="F4365" t="s">
        <v>29</v>
      </c>
      <c r="G4365" t="s">
        <v>55</v>
      </c>
      <c r="H4365" t="s">
        <v>19</v>
      </c>
      <c r="I4365">
        <v>4</v>
      </c>
      <c r="J4365">
        <v>24</v>
      </c>
      <c r="K4365">
        <v>7.71</v>
      </c>
      <c r="L4365">
        <v>1</v>
      </c>
    </row>
    <row r="4366" spans="1:12">
      <c r="A4366" t="s">
        <v>12652</v>
      </c>
      <c r="B4366" t="s">
        <v>12653</v>
      </c>
      <c r="C4366" t="s">
        <v>12654</v>
      </c>
      <c r="D4366" t="s">
        <v>23</v>
      </c>
      <c r="E4366" t="s">
        <v>54</v>
      </c>
      <c r="F4366" t="s">
        <v>29</v>
      </c>
      <c r="G4366" t="s">
        <v>18</v>
      </c>
      <c r="H4366" t="s">
        <v>31</v>
      </c>
      <c r="I4366">
        <v>4</v>
      </c>
      <c r="J4366">
        <v>24</v>
      </c>
      <c r="K4366">
        <v>47.09</v>
      </c>
      <c r="L4366">
        <v>0</v>
      </c>
    </row>
    <row r="4367" spans="1:12">
      <c r="A4367" t="s">
        <v>12655</v>
      </c>
      <c r="B4367" t="s">
        <v>12656</v>
      </c>
      <c r="C4367" t="s">
        <v>12657</v>
      </c>
      <c r="D4367" t="s">
        <v>35</v>
      </c>
      <c r="E4367" t="s">
        <v>28</v>
      </c>
      <c r="F4367" t="s">
        <v>41</v>
      </c>
      <c r="G4367" t="s">
        <v>37</v>
      </c>
      <c r="H4367" t="s">
        <v>19</v>
      </c>
      <c r="I4367">
        <v>5</v>
      </c>
      <c r="J4367">
        <v>48</v>
      </c>
      <c r="K4367">
        <v>6.85</v>
      </c>
      <c r="L4367">
        <v>1</v>
      </c>
    </row>
    <row r="4368" spans="1:12">
      <c r="A4368" t="s">
        <v>12658</v>
      </c>
      <c r="B4368" t="s">
        <v>12659</v>
      </c>
      <c r="C4368" t="s">
        <v>12660</v>
      </c>
      <c r="D4368" t="s">
        <v>15</v>
      </c>
      <c r="E4368" t="s">
        <v>28</v>
      </c>
      <c r="F4368" t="s">
        <v>41</v>
      </c>
      <c r="G4368" t="s">
        <v>37</v>
      </c>
      <c r="H4368" t="s">
        <v>19</v>
      </c>
      <c r="I4368">
        <v>4</v>
      </c>
      <c r="J4368">
        <v>8</v>
      </c>
      <c r="K4368">
        <v>4.62</v>
      </c>
      <c r="L4368">
        <v>1</v>
      </c>
    </row>
    <row r="4369" spans="1:12">
      <c r="A4369" t="s">
        <v>12661</v>
      </c>
      <c r="B4369" t="s">
        <v>12662</v>
      </c>
      <c r="C4369" t="s">
        <v>12663</v>
      </c>
      <c r="D4369" t="s">
        <v>35</v>
      </c>
      <c r="E4369" t="s">
        <v>54</v>
      </c>
      <c r="F4369" t="s">
        <v>60</v>
      </c>
      <c r="G4369" t="s">
        <v>151</v>
      </c>
      <c r="H4369" t="s">
        <v>19</v>
      </c>
      <c r="I4369">
        <v>5</v>
      </c>
      <c r="J4369">
        <v>48</v>
      </c>
      <c r="K4369">
        <v>25.43</v>
      </c>
      <c r="L4369">
        <v>1</v>
      </c>
    </row>
    <row r="4370" spans="1:12">
      <c r="A4370" t="s">
        <v>12664</v>
      </c>
      <c r="B4370" t="s">
        <v>12665</v>
      </c>
      <c r="C4370" t="s">
        <v>12666</v>
      </c>
      <c r="D4370" t="s">
        <v>23</v>
      </c>
      <c r="E4370" t="s">
        <v>16</v>
      </c>
      <c r="F4370" t="s">
        <v>60</v>
      </c>
      <c r="G4370" t="s">
        <v>172</v>
      </c>
      <c r="H4370" t="s">
        <v>19</v>
      </c>
      <c r="I4370">
        <v>4</v>
      </c>
      <c r="J4370">
        <v>24</v>
      </c>
      <c r="K4370">
        <v>18.46</v>
      </c>
      <c r="L4370">
        <v>1</v>
      </c>
    </row>
    <row r="4371" spans="1:12">
      <c r="A4371" t="s">
        <v>12667</v>
      </c>
      <c r="B4371" t="s">
        <v>12668</v>
      </c>
      <c r="C4371" t="s">
        <v>12669</v>
      </c>
      <c r="D4371" t="s">
        <v>23</v>
      </c>
      <c r="E4371" t="s">
        <v>24</v>
      </c>
      <c r="F4371" t="s">
        <v>41</v>
      </c>
      <c r="G4371" t="s">
        <v>55</v>
      </c>
      <c r="H4371" t="s">
        <v>31</v>
      </c>
      <c r="I4371">
        <v>5</v>
      </c>
      <c r="J4371">
        <v>24</v>
      </c>
      <c r="K4371">
        <v>18.87</v>
      </c>
      <c r="L4371">
        <v>1</v>
      </c>
    </row>
    <row r="4372" spans="1:12">
      <c r="A4372" t="s">
        <v>12670</v>
      </c>
      <c r="B4372" t="s">
        <v>12671</v>
      </c>
      <c r="C4372" t="s">
        <v>12672</v>
      </c>
      <c r="D4372" t="s">
        <v>23</v>
      </c>
      <c r="E4372" t="s">
        <v>16</v>
      </c>
      <c r="F4372" t="s">
        <v>41</v>
      </c>
      <c r="G4372" t="s">
        <v>18</v>
      </c>
      <c r="H4372" t="s">
        <v>31</v>
      </c>
      <c r="I4372">
        <v>4</v>
      </c>
      <c r="J4372">
        <v>24</v>
      </c>
      <c r="K4372">
        <v>19.29</v>
      </c>
      <c r="L4372">
        <v>1</v>
      </c>
    </row>
    <row r="4373" spans="1:12">
      <c r="A4373" t="s">
        <v>12673</v>
      </c>
      <c r="B4373" t="s">
        <v>12674</v>
      </c>
      <c r="D4373" t="s">
        <v>35</v>
      </c>
      <c r="E4373" t="s">
        <v>54</v>
      </c>
      <c r="F4373" t="s">
        <v>17</v>
      </c>
      <c r="G4373" t="s">
        <v>50</v>
      </c>
      <c r="H4373" t="s">
        <v>46</v>
      </c>
      <c r="J4373">
        <v>48</v>
      </c>
    </row>
    <row r="4374" spans="1:12">
      <c r="A4374" t="s">
        <v>12675</v>
      </c>
      <c r="B4374" t="s">
        <v>12676</v>
      </c>
      <c r="C4374" t="s">
        <v>12677</v>
      </c>
      <c r="D4374" t="s">
        <v>23</v>
      </c>
      <c r="E4374" t="s">
        <v>28</v>
      </c>
      <c r="F4374" t="s">
        <v>17</v>
      </c>
      <c r="G4374" t="s">
        <v>151</v>
      </c>
      <c r="H4374" t="s">
        <v>31</v>
      </c>
      <c r="I4374">
        <v>5</v>
      </c>
      <c r="J4374">
        <v>24</v>
      </c>
      <c r="K4374">
        <v>7.53</v>
      </c>
      <c r="L4374">
        <v>1</v>
      </c>
    </row>
    <row r="4375" spans="1:12">
      <c r="A4375" t="s">
        <v>12678</v>
      </c>
      <c r="B4375" t="s">
        <v>12679</v>
      </c>
      <c r="D4375" t="s">
        <v>23</v>
      </c>
      <c r="E4375" t="s">
        <v>24</v>
      </c>
      <c r="F4375" t="s">
        <v>29</v>
      </c>
      <c r="G4375" t="s">
        <v>42</v>
      </c>
      <c r="H4375" t="s">
        <v>63</v>
      </c>
      <c r="J4375">
        <v>24</v>
      </c>
    </row>
    <row r="4376" spans="1:12">
      <c r="A4376" t="s">
        <v>12680</v>
      </c>
      <c r="B4376" t="s">
        <v>12681</v>
      </c>
      <c r="C4376" t="s">
        <v>12682</v>
      </c>
      <c r="D4376" t="s">
        <v>23</v>
      </c>
      <c r="E4376" t="s">
        <v>16</v>
      </c>
      <c r="F4376" t="s">
        <v>36</v>
      </c>
      <c r="G4376" t="s">
        <v>77</v>
      </c>
      <c r="H4376" t="s">
        <v>19</v>
      </c>
      <c r="I4376">
        <v>4</v>
      </c>
      <c r="J4376">
        <v>24</v>
      </c>
      <c r="K4376">
        <v>12.87</v>
      </c>
      <c r="L4376">
        <v>1</v>
      </c>
    </row>
    <row r="4377" spans="1:12">
      <c r="A4377" t="s">
        <v>12683</v>
      </c>
      <c r="B4377" t="s">
        <v>12684</v>
      </c>
      <c r="C4377" t="s">
        <v>12685</v>
      </c>
      <c r="D4377" t="s">
        <v>23</v>
      </c>
      <c r="E4377" t="s">
        <v>16</v>
      </c>
      <c r="F4377" t="s">
        <v>60</v>
      </c>
      <c r="G4377" t="s">
        <v>105</v>
      </c>
      <c r="H4377" t="s">
        <v>19</v>
      </c>
      <c r="I4377">
        <v>5</v>
      </c>
      <c r="J4377">
        <v>24</v>
      </c>
      <c r="K4377">
        <v>22.39</v>
      </c>
      <c r="L4377">
        <v>1</v>
      </c>
    </row>
    <row r="4378" spans="1:12">
      <c r="A4378" t="s">
        <v>12686</v>
      </c>
      <c r="B4378" t="s">
        <v>12687</v>
      </c>
      <c r="C4378" t="s">
        <v>12688</v>
      </c>
      <c r="D4378" t="s">
        <v>35</v>
      </c>
      <c r="E4378" t="s">
        <v>54</v>
      </c>
      <c r="F4378" t="s">
        <v>29</v>
      </c>
      <c r="G4378" t="s">
        <v>30</v>
      </c>
      <c r="H4378" t="s">
        <v>31</v>
      </c>
      <c r="I4378">
        <v>5</v>
      </c>
      <c r="J4378">
        <v>48</v>
      </c>
      <c r="K4378">
        <v>37.29</v>
      </c>
      <c r="L4378">
        <v>1</v>
      </c>
    </row>
    <row r="4379" spans="1:12">
      <c r="A4379" t="s">
        <v>12689</v>
      </c>
      <c r="B4379" t="s">
        <v>12690</v>
      </c>
      <c r="C4379" t="s">
        <v>12691</v>
      </c>
      <c r="D4379" t="s">
        <v>23</v>
      </c>
      <c r="E4379" t="s">
        <v>24</v>
      </c>
      <c r="F4379" t="s">
        <v>41</v>
      </c>
      <c r="G4379" t="s">
        <v>55</v>
      </c>
      <c r="H4379" t="s">
        <v>31</v>
      </c>
      <c r="I4379">
        <v>5</v>
      </c>
      <c r="J4379">
        <v>24</v>
      </c>
      <c r="K4379">
        <v>4.17</v>
      </c>
      <c r="L4379">
        <v>1</v>
      </c>
    </row>
    <row r="4380" spans="1:12">
      <c r="A4380" t="s">
        <v>12692</v>
      </c>
      <c r="B4380" t="s">
        <v>12693</v>
      </c>
      <c r="C4380" t="s">
        <v>12694</v>
      </c>
      <c r="D4380" t="s">
        <v>158</v>
      </c>
      <c r="E4380" t="s">
        <v>54</v>
      </c>
      <c r="F4380" t="s">
        <v>60</v>
      </c>
      <c r="G4380" t="s">
        <v>18</v>
      </c>
      <c r="H4380" t="s">
        <v>31</v>
      </c>
      <c r="I4380">
        <v>4</v>
      </c>
      <c r="J4380">
        <v>4</v>
      </c>
      <c r="K4380">
        <v>0.74</v>
      </c>
      <c r="L4380">
        <v>1</v>
      </c>
    </row>
    <row r="4381" spans="1:12">
      <c r="A4381" t="s">
        <v>12695</v>
      </c>
      <c r="B4381" t="s">
        <v>12696</v>
      </c>
      <c r="C4381" t="s">
        <v>12697</v>
      </c>
      <c r="D4381" t="s">
        <v>15</v>
      </c>
      <c r="E4381" t="s">
        <v>54</v>
      </c>
      <c r="F4381" t="s">
        <v>17</v>
      </c>
      <c r="G4381" t="s">
        <v>45</v>
      </c>
      <c r="H4381" t="s">
        <v>19</v>
      </c>
      <c r="I4381">
        <v>5</v>
      </c>
      <c r="J4381">
        <v>8</v>
      </c>
      <c r="K4381">
        <v>6.27</v>
      </c>
      <c r="L4381">
        <v>1</v>
      </c>
    </row>
    <row r="4382" spans="1:12">
      <c r="A4382" t="s">
        <v>12698</v>
      </c>
      <c r="B4382" t="s">
        <v>12699</v>
      </c>
      <c r="D4382" t="s">
        <v>35</v>
      </c>
      <c r="E4382" t="s">
        <v>28</v>
      </c>
      <c r="F4382" t="s">
        <v>41</v>
      </c>
      <c r="G4382" t="s">
        <v>55</v>
      </c>
      <c r="H4382" t="s">
        <v>46</v>
      </c>
      <c r="J4382">
        <v>48</v>
      </c>
    </row>
    <row r="4383" spans="1:12">
      <c r="A4383" t="s">
        <v>12700</v>
      </c>
      <c r="B4383" t="s">
        <v>12701</v>
      </c>
      <c r="C4383" t="s">
        <v>12702</v>
      </c>
      <c r="D4383" t="s">
        <v>23</v>
      </c>
      <c r="E4383" t="s">
        <v>16</v>
      </c>
      <c r="F4383" t="s">
        <v>36</v>
      </c>
      <c r="G4383" t="s">
        <v>42</v>
      </c>
      <c r="H4383" t="s">
        <v>31</v>
      </c>
      <c r="I4383">
        <v>3</v>
      </c>
      <c r="J4383">
        <v>24</v>
      </c>
      <c r="K4383">
        <v>32.69</v>
      </c>
      <c r="L4383">
        <v>0</v>
      </c>
    </row>
    <row r="4384" spans="1:12">
      <c r="A4384" t="s">
        <v>12703</v>
      </c>
      <c r="B4384" t="s">
        <v>12704</v>
      </c>
      <c r="C4384" t="s">
        <v>12705</v>
      </c>
      <c r="D4384" t="s">
        <v>23</v>
      </c>
      <c r="E4384" t="s">
        <v>24</v>
      </c>
      <c r="F4384" t="s">
        <v>29</v>
      </c>
      <c r="G4384" t="s">
        <v>73</v>
      </c>
      <c r="H4384" t="s">
        <v>19</v>
      </c>
      <c r="I4384">
        <v>3</v>
      </c>
      <c r="J4384">
        <v>24</v>
      </c>
      <c r="K4384">
        <v>7.31</v>
      </c>
      <c r="L4384">
        <v>1</v>
      </c>
    </row>
    <row r="4385" spans="1:12">
      <c r="A4385" t="s">
        <v>12706</v>
      </c>
      <c r="B4385" t="s">
        <v>12707</v>
      </c>
      <c r="C4385" t="s">
        <v>12708</v>
      </c>
      <c r="D4385" t="s">
        <v>15</v>
      </c>
      <c r="E4385" t="s">
        <v>59</v>
      </c>
      <c r="F4385" t="s">
        <v>17</v>
      </c>
      <c r="G4385" t="s">
        <v>37</v>
      </c>
      <c r="H4385" t="s">
        <v>31</v>
      </c>
      <c r="I4385">
        <v>4</v>
      </c>
      <c r="J4385">
        <v>8</v>
      </c>
      <c r="K4385">
        <v>5.42</v>
      </c>
      <c r="L4385">
        <v>1</v>
      </c>
    </row>
    <row r="4386" spans="1:12">
      <c r="A4386" t="s">
        <v>12709</v>
      </c>
      <c r="B4386" t="s">
        <v>12710</v>
      </c>
      <c r="C4386" t="s">
        <v>12711</v>
      </c>
      <c r="D4386" t="s">
        <v>23</v>
      </c>
      <c r="E4386" t="s">
        <v>24</v>
      </c>
      <c r="F4386" t="s">
        <v>17</v>
      </c>
      <c r="G4386" t="s">
        <v>50</v>
      </c>
      <c r="H4386" t="s">
        <v>19</v>
      </c>
      <c r="I4386">
        <v>5</v>
      </c>
      <c r="J4386">
        <v>24</v>
      </c>
      <c r="K4386">
        <v>13.6</v>
      </c>
      <c r="L4386">
        <v>1</v>
      </c>
    </row>
    <row r="4387" spans="1:12">
      <c r="A4387" t="s">
        <v>12712</v>
      </c>
      <c r="B4387" t="s">
        <v>12713</v>
      </c>
      <c r="C4387" t="s">
        <v>12714</v>
      </c>
      <c r="D4387" t="s">
        <v>15</v>
      </c>
      <c r="E4387" t="s">
        <v>16</v>
      </c>
      <c r="F4387" t="s">
        <v>17</v>
      </c>
      <c r="G4387" t="s">
        <v>55</v>
      </c>
      <c r="H4387" t="s">
        <v>19</v>
      </c>
      <c r="I4387">
        <v>4</v>
      </c>
      <c r="J4387">
        <v>8</v>
      </c>
      <c r="K4387">
        <v>6.57</v>
      </c>
      <c r="L4387">
        <v>1</v>
      </c>
    </row>
    <row r="4388" spans="1:12">
      <c r="A4388" t="s">
        <v>12715</v>
      </c>
      <c r="B4388" t="s">
        <v>12716</v>
      </c>
      <c r="D4388" t="s">
        <v>23</v>
      </c>
      <c r="E4388" t="s">
        <v>28</v>
      </c>
      <c r="F4388" t="s">
        <v>29</v>
      </c>
      <c r="G4388" t="s">
        <v>37</v>
      </c>
      <c r="H4388" t="s">
        <v>63</v>
      </c>
      <c r="J4388">
        <v>24</v>
      </c>
    </row>
    <row r="4389" spans="1:12">
      <c r="A4389" t="s">
        <v>12717</v>
      </c>
      <c r="B4389" t="s">
        <v>12718</v>
      </c>
      <c r="C4389" t="s">
        <v>12719</v>
      </c>
      <c r="D4389" t="s">
        <v>23</v>
      </c>
      <c r="E4389" t="s">
        <v>24</v>
      </c>
      <c r="F4389" t="s">
        <v>36</v>
      </c>
      <c r="G4389" t="s">
        <v>105</v>
      </c>
      <c r="H4389" t="s">
        <v>19</v>
      </c>
      <c r="I4389">
        <v>5</v>
      </c>
      <c r="J4389">
        <v>24</v>
      </c>
      <c r="K4389">
        <v>22.75</v>
      </c>
      <c r="L4389">
        <v>1</v>
      </c>
    </row>
    <row r="4390" spans="1:12">
      <c r="A4390" t="s">
        <v>12720</v>
      </c>
      <c r="B4390" t="s">
        <v>12721</v>
      </c>
      <c r="D4390" t="s">
        <v>23</v>
      </c>
      <c r="E4390" t="s">
        <v>28</v>
      </c>
      <c r="F4390" t="s">
        <v>17</v>
      </c>
      <c r="G4390" t="s">
        <v>73</v>
      </c>
      <c r="H4390" t="s">
        <v>63</v>
      </c>
      <c r="J4390">
        <v>24</v>
      </c>
    </row>
    <row r="4391" spans="1:12">
      <c r="A4391" t="s">
        <v>12722</v>
      </c>
      <c r="B4391" t="s">
        <v>12723</v>
      </c>
      <c r="D4391" t="s">
        <v>15</v>
      </c>
      <c r="E4391" t="s">
        <v>28</v>
      </c>
      <c r="F4391" t="s">
        <v>17</v>
      </c>
      <c r="G4391" t="s">
        <v>77</v>
      </c>
      <c r="H4391" t="s">
        <v>63</v>
      </c>
      <c r="J4391">
        <v>8</v>
      </c>
    </row>
    <row r="4392" spans="1:12">
      <c r="A4392" t="s">
        <v>12724</v>
      </c>
      <c r="B4392" t="s">
        <v>12725</v>
      </c>
      <c r="C4392" t="s">
        <v>12726</v>
      </c>
      <c r="D4392" t="s">
        <v>15</v>
      </c>
      <c r="E4392" t="s">
        <v>59</v>
      </c>
      <c r="F4392" t="s">
        <v>29</v>
      </c>
      <c r="G4392" t="s">
        <v>45</v>
      </c>
      <c r="H4392" t="s">
        <v>31</v>
      </c>
      <c r="I4392">
        <v>4</v>
      </c>
      <c r="J4392">
        <v>8</v>
      </c>
      <c r="K4392">
        <v>5.01</v>
      </c>
      <c r="L4392">
        <v>1</v>
      </c>
    </row>
    <row r="4393" spans="1:12">
      <c r="A4393" t="s">
        <v>12727</v>
      </c>
      <c r="B4393" t="s">
        <v>12728</v>
      </c>
      <c r="C4393" t="s">
        <v>12729</v>
      </c>
      <c r="D4393" t="s">
        <v>158</v>
      </c>
      <c r="E4393" t="s">
        <v>16</v>
      </c>
      <c r="F4393" t="s">
        <v>60</v>
      </c>
      <c r="G4393" t="s">
        <v>50</v>
      </c>
      <c r="H4393" t="s">
        <v>19</v>
      </c>
      <c r="I4393">
        <v>4</v>
      </c>
      <c r="J4393">
        <v>4</v>
      </c>
      <c r="K4393">
        <v>2.21</v>
      </c>
      <c r="L4393">
        <v>1</v>
      </c>
    </row>
    <row r="4394" spans="1:12">
      <c r="A4394" t="s">
        <v>12730</v>
      </c>
      <c r="B4394" t="s">
        <v>12731</v>
      </c>
      <c r="C4394" t="s">
        <v>12732</v>
      </c>
      <c r="D4394" t="s">
        <v>35</v>
      </c>
      <c r="E4394" t="s">
        <v>28</v>
      </c>
      <c r="F4394" t="s">
        <v>60</v>
      </c>
      <c r="G4394" t="s">
        <v>18</v>
      </c>
      <c r="H4394" t="s">
        <v>31</v>
      </c>
      <c r="I4394">
        <v>5</v>
      </c>
      <c r="J4394">
        <v>48</v>
      </c>
      <c r="K4394">
        <v>26</v>
      </c>
      <c r="L4394">
        <v>1</v>
      </c>
    </row>
    <row r="4395" spans="1:12">
      <c r="A4395" t="s">
        <v>12733</v>
      </c>
      <c r="B4395" t="s">
        <v>12734</v>
      </c>
      <c r="C4395" t="s">
        <v>12735</v>
      </c>
      <c r="D4395" t="s">
        <v>35</v>
      </c>
      <c r="E4395" t="s">
        <v>28</v>
      </c>
      <c r="F4395" t="s">
        <v>60</v>
      </c>
      <c r="G4395" t="s">
        <v>151</v>
      </c>
      <c r="H4395" t="s">
        <v>19</v>
      </c>
      <c r="I4395">
        <v>2</v>
      </c>
      <c r="J4395">
        <v>48</v>
      </c>
      <c r="K4395">
        <v>66.099999999999994</v>
      </c>
      <c r="L4395">
        <v>0</v>
      </c>
    </row>
    <row r="4396" spans="1:12">
      <c r="A4396" t="s">
        <v>12736</v>
      </c>
      <c r="B4396" t="s">
        <v>12737</v>
      </c>
      <c r="C4396" t="s">
        <v>12738</v>
      </c>
      <c r="D4396" t="s">
        <v>158</v>
      </c>
      <c r="E4396" t="s">
        <v>28</v>
      </c>
      <c r="F4396" t="s">
        <v>60</v>
      </c>
      <c r="G4396" t="s">
        <v>105</v>
      </c>
      <c r="H4396" t="s">
        <v>19</v>
      </c>
      <c r="I4396">
        <v>4</v>
      </c>
      <c r="J4396">
        <v>4</v>
      </c>
      <c r="K4396">
        <v>0.66</v>
      </c>
      <c r="L4396">
        <v>1</v>
      </c>
    </row>
    <row r="4397" spans="1:12">
      <c r="A4397" t="s">
        <v>12739</v>
      </c>
      <c r="B4397" t="s">
        <v>12740</v>
      </c>
      <c r="C4397" t="s">
        <v>12741</v>
      </c>
      <c r="D4397" t="s">
        <v>23</v>
      </c>
      <c r="E4397" t="s">
        <v>28</v>
      </c>
      <c r="F4397" t="s">
        <v>41</v>
      </c>
      <c r="G4397" t="s">
        <v>37</v>
      </c>
      <c r="H4397" t="s">
        <v>19</v>
      </c>
      <c r="I4397">
        <v>5</v>
      </c>
      <c r="J4397">
        <v>24</v>
      </c>
      <c r="K4397">
        <v>20.13</v>
      </c>
      <c r="L4397">
        <v>1</v>
      </c>
    </row>
    <row r="4398" spans="1:12">
      <c r="A4398" t="s">
        <v>12742</v>
      </c>
      <c r="B4398" t="s">
        <v>12743</v>
      </c>
      <c r="C4398" t="s">
        <v>12744</v>
      </c>
      <c r="D4398" t="s">
        <v>15</v>
      </c>
      <c r="E4398" t="s">
        <v>24</v>
      </c>
      <c r="F4398" t="s">
        <v>41</v>
      </c>
      <c r="G4398" t="s">
        <v>55</v>
      </c>
      <c r="H4398" t="s">
        <v>19</v>
      </c>
      <c r="I4398">
        <v>5</v>
      </c>
      <c r="J4398">
        <v>8</v>
      </c>
      <c r="K4398">
        <v>4.4000000000000004</v>
      </c>
      <c r="L4398">
        <v>1</v>
      </c>
    </row>
    <row r="4399" spans="1:12">
      <c r="A4399" t="s">
        <v>12745</v>
      </c>
      <c r="B4399" t="s">
        <v>12746</v>
      </c>
      <c r="C4399" t="s">
        <v>12747</v>
      </c>
      <c r="D4399" t="s">
        <v>15</v>
      </c>
      <c r="E4399" t="s">
        <v>28</v>
      </c>
      <c r="F4399" t="s">
        <v>36</v>
      </c>
      <c r="G4399" t="s">
        <v>42</v>
      </c>
      <c r="H4399" t="s">
        <v>31</v>
      </c>
      <c r="I4399">
        <v>4</v>
      </c>
      <c r="J4399">
        <v>8</v>
      </c>
      <c r="K4399">
        <v>3.83</v>
      </c>
      <c r="L4399">
        <v>1</v>
      </c>
    </row>
    <row r="4400" spans="1:12">
      <c r="A4400" t="s">
        <v>12748</v>
      </c>
      <c r="B4400" t="s">
        <v>12749</v>
      </c>
      <c r="C4400" t="s">
        <v>12750</v>
      </c>
      <c r="D4400" t="s">
        <v>23</v>
      </c>
      <c r="E4400" t="s">
        <v>59</v>
      </c>
      <c r="F4400" t="s">
        <v>60</v>
      </c>
      <c r="G4400" t="s">
        <v>37</v>
      </c>
      <c r="H4400" t="s">
        <v>31</v>
      </c>
      <c r="I4400">
        <v>2</v>
      </c>
      <c r="J4400">
        <v>24</v>
      </c>
      <c r="K4400">
        <v>25.53</v>
      </c>
      <c r="L4400">
        <v>0</v>
      </c>
    </row>
    <row r="4401" spans="1:12">
      <c r="A4401" t="s">
        <v>12751</v>
      </c>
      <c r="B4401" t="s">
        <v>12752</v>
      </c>
      <c r="C4401" t="s">
        <v>12753</v>
      </c>
      <c r="D4401" t="s">
        <v>15</v>
      </c>
      <c r="E4401" t="s">
        <v>28</v>
      </c>
      <c r="F4401" t="s">
        <v>29</v>
      </c>
      <c r="G4401" t="s">
        <v>73</v>
      </c>
      <c r="H4401" t="s">
        <v>19</v>
      </c>
      <c r="I4401">
        <v>4</v>
      </c>
      <c r="J4401">
        <v>8</v>
      </c>
      <c r="K4401">
        <v>0.91</v>
      </c>
      <c r="L4401">
        <v>1</v>
      </c>
    </row>
    <row r="4402" spans="1:12">
      <c r="A4402" t="s">
        <v>12754</v>
      </c>
      <c r="B4402" t="s">
        <v>12755</v>
      </c>
      <c r="C4402" t="s">
        <v>12756</v>
      </c>
      <c r="D4402" t="s">
        <v>23</v>
      </c>
      <c r="E4402" t="s">
        <v>24</v>
      </c>
      <c r="F4402" t="s">
        <v>29</v>
      </c>
      <c r="G4402" t="s">
        <v>18</v>
      </c>
      <c r="H4402" t="s">
        <v>31</v>
      </c>
      <c r="I4402">
        <v>3</v>
      </c>
      <c r="J4402">
        <v>24</v>
      </c>
      <c r="K4402">
        <v>21.69</v>
      </c>
      <c r="L4402">
        <v>1</v>
      </c>
    </row>
    <row r="4403" spans="1:12">
      <c r="A4403" t="s">
        <v>12757</v>
      </c>
      <c r="B4403" t="s">
        <v>12758</v>
      </c>
      <c r="C4403" t="s">
        <v>12759</v>
      </c>
      <c r="D4403" t="s">
        <v>15</v>
      </c>
      <c r="E4403" t="s">
        <v>54</v>
      </c>
      <c r="F4403" t="s">
        <v>29</v>
      </c>
      <c r="G4403" t="s">
        <v>42</v>
      </c>
      <c r="H4403" t="s">
        <v>19</v>
      </c>
      <c r="I4403">
        <v>5</v>
      </c>
      <c r="J4403">
        <v>8</v>
      </c>
      <c r="K4403">
        <v>3.84</v>
      </c>
      <c r="L4403">
        <v>1</v>
      </c>
    </row>
    <row r="4404" spans="1:12">
      <c r="A4404" t="s">
        <v>12760</v>
      </c>
      <c r="B4404" t="s">
        <v>12761</v>
      </c>
      <c r="C4404" t="s">
        <v>12762</v>
      </c>
      <c r="D4404" t="s">
        <v>23</v>
      </c>
      <c r="E4404" t="s">
        <v>28</v>
      </c>
      <c r="F4404" t="s">
        <v>17</v>
      </c>
      <c r="G4404" t="s">
        <v>77</v>
      </c>
      <c r="H4404" t="s">
        <v>19</v>
      </c>
      <c r="I4404">
        <v>1</v>
      </c>
      <c r="J4404">
        <v>24</v>
      </c>
      <c r="K4404">
        <v>46.1</v>
      </c>
      <c r="L4404">
        <v>0</v>
      </c>
    </row>
    <row r="4405" spans="1:12">
      <c r="A4405" t="s">
        <v>12763</v>
      </c>
      <c r="B4405" t="s">
        <v>12764</v>
      </c>
      <c r="C4405" t="s">
        <v>12765</v>
      </c>
      <c r="D4405" t="s">
        <v>23</v>
      </c>
      <c r="E4405" t="s">
        <v>28</v>
      </c>
      <c r="F4405" t="s">
        <v>60</v>
      </c>
      <c r="G4405" t="s">
        <v>50</v>
      </c>
      <c r="H4405" t="s">
        <v>19</v>
      </c>
      <c r="I4405">
        <v>4</v>
      </c>
      <c r="J4405">
        <v>24</v>
      </c>
      <c r="K4405">
        <v>15.76</v>
      </c>
      <c r="L4405">
        <v>1</v>
      </c>
    </row>
    <row r="4406" spans="1:12">
      <c r="A4406" t="s">
        <v>12766</v>
      </c>
      <c r="B4406" t="s">
        <v>12767</v>
      </c>
      <c r="C4406" t="s">
        <v>12768</v>
      </c>
      <c r="D4406" t="s">
        <v>23</v>
      </c>
      <c r="E4406" t="s">
        <v>28</v>
      </c>
      <c r="F4406" t="s">
        <v>29</v>
      </c>
      <c r="G4406" t="s">
        <v>30</v>
      </c>
      <c r="H4406" t="s">
        <v>19</v>
      </c>
      <c r="I4406">
        <v>5</v>
      </c>
      <c r="J4406">
        <v>24</v>
      </c>
      <c r="K4406">
        <v>8.9700000000000006</v>
      </c>
      <c r="L4406">
        <v>1</v>
      </c>
    </row>
    <row r="4407" spans="1:12">
      <c r="A4407" t="s">
        <v>12769</v>
      </c>
      <c r="B4407" t="s">
        <v>12770</v>
      </c>
      <c r="C4407" t="s">
        <v>12771</v>
      </c>
      <c r="D4407" t="s">
        <v>158</v>
      </c>
      <c r="E4407" t="s">
        <v>59</v>
      </c>
      <c r="F4407" t="s">
        <v>41</v>
      </c>
      <c r="G4407" t="s">
        <v>73</v>
      </c>
      <c r="H4407" t="s">
        <v>19</v>
      </c>
      <c r="I4407">
        <v>5</v>
      </c>
      <c r="J4407">
        <v>4</v>
      </c>
      <c r="K4407">
        <v>1.9</v>
      </c>
      <c r="L4407">
        <v>1</v>
      </c>
    </row>
    <row r="4408" spans="1:12">
      <c r="A4408" t="s">
        <v>12772</v>
      </c>
      <c r="B4408" t="s">
        <v>12773</v>
      </c>
      <c r="C4408" t="s">
        <v>12774</v>
      </c>
      <c r="D4408" t="s">
        <v>23</v>
      </c>
      <c r="E4408" t="s">
        <v>54</v>
      </c>
      <c r="F4408" t="s">
        <v>36</v>
      </c>
      <c r="G4408" t="s">
        <v>105</v>
      </c>
      <c r="H4408" t="s">
        <v>19</v>
      </c>
      <c r="I4408">
        <v>4</v>
      </c>
      <c r="J4408">
        <v>24</v>
      </c>
      <c r="K4408">
        <v>2.62</v>
      </c>
      <c r="L4408">
        <v>1</v>
      </c>
    </row>
    <row r="4409" spans="1:12">
      <c r="A4409" t="s">
        <v>12775</v>
      </c>
      <c r="B4409" t="s">
        <v>12776</v>
      </c>
      <c r="C4409" t="s">
        <v>12777</v>
      </c>
      <c r="D4409" t="s">
        <v>15</v>
      </c>
      <c r="E4409" t="s">
        <v>16</v>
      </c>
      <c r="F4409" t="s">
        <v>29</v>
      </c>
      <c r="G4409" t="s">
        <v>30</v>
      </c>
      <c r="H4409" t="s">
        <v>19</v>
      </c>
      <c r="I4409">
        <v>3</v>
      </c>
      <c r="J4409">
        <v>8</v>
      </c>
      <c r="K4409">
        <v>3.41</v>
      </c>
      <c r="L4409">
        <v>1</v>
      </c>
    </row>
    <row r="4410" spans="1:12">
      <c r="A4410" t="s">
        <v>12778</v>
      </c>
      <c r="B4410" t="s">
        <v>12779</v>
      </c>
      <c r="C4410" t="s">
        <v>12780</v>
      </c>
      <c r="D4410" t="s">
        <v>23</v>
      </c>
      <c r="E4410" t="s">
        <v>24</v>
      </c>
      <c r="F4410" t="s">
        <v>36</v>
      </c>
      <c r="G4410" t="s">
        <v>73</v>
      </c>
      <c r="H4410" t="s">
        <v>19</v>
      </c>
      <c r="I4410">
        <v>5</v>
      </c>
      <c r="J4410">
        <v>24</v>
      </c>
      <c r="K4410">
        <v>3.71</v>
      </c>
      <c r="L4410">
        <v>1</v>
      </c>
    </row>
    <row r="4411" spans="1:12">
      <c r="A4411" t="s">
        <v>12781</v>
      </c>
      <c r="B4411" t="s">
        <v>12782</v>
      </c>
      <c r="C4411" t="s">
        <v>12783</v>
      </c>
      <c r="D4411" t="s">
        <v>23</v>
      </c>
      <c r="E4411" t="s">
        <v>28</v>
      </c>
      <c r="F4411" t="s">
        <v>41</v>
      </c>
      <c r="G4411" t="s">
        <v>42</v>
      </c>
      <c r="H4411" t="s">
        <v>31</v>
      </c>
      <c r="I4411">
        <v>4</v>
      </c>
      <c r="J4411">
        <v>24</v>
      </c>
      <c r="K4411">
        <v>16.03</v>
      </c>
      <c r="L4411">
        <v>1</v>
      </c>
    </row>
    <row r="4412" spans="1:12">
      <c r="A4412" t="s">
        <v>12784</v>
      </c>
      <c r="B4412" t="s">
        <v>12785</v>
      </c>
      <c r="D4412" t="s">
        <v>35</v>
      </c>
      <c r="E4412" t="s">
        <v>16</v>
      </c>
      <c r="F4412" t="s">
        <v>60</v>
      </c>
      <c r="G4412" t="s">
        <v>37</v>
      </c>
      <c r="H4412" t="s">
        <v>63</v>
      </c>
      <c r="J4412">
        <v>48</v>
      </c>
    </row>
    <row r="4413" spans="1:12">
      <c r="A4413" t="s">
        <v>12786</v>
      </c>
      <c r="B4413" t="s">
        <v>12787</v>
      </c>
      <c r="C4413" t="s">
        <v>12788</v>
      </c>
      <c r="D4413" t="s">
        <v>23</v>
      </c>
      <c r="E4413" t="s">
        <v>24</v>
      </c>
      <c r="F4413" t="s">
        <v>36</v>
      </c>
      <c r="G4413" t="s">
        <v>73</v>
      </c>
      <c r="H4413" t="s">
        <v>31</v>
      </c>
      <c r="I4413">
        <v>3</v>
      </c>
      <c r="J4413">
        <v>24</v>
      </c>
      <c r="K4413">
        <v>7.59</v>
      </c>
      <c r="L4413">
        <v>1</v>
      </c>
    </row>
    <row r="4414" spans="1:12">
      <c r="A4414" t="s">
        <v>12789</v>
      </c>
      <c r="B4414" t="s">
        <v>12790</v>
      </c>
      <c r="C4414" t="s">
        <v>12791</v>
      </c>
      <c r="D4414" t="s">
        <v>23</v>
      </c>
      <c r="E4414" t="s">
        <v>24</v>
      </c>
      <c r="F4414" t="s">
        <v>29</v>
      </c>
      <c r="G4414" t="s">
        <v>77</v>
      </c>
      <c r="H4414" t="s">
        <v>31</v>
      </c>
      <c r="I4414">
        <v>2</v>
      </c>
      <c r="J4414">
        <v>24</v>
      </c>
      <c r="K4414">
        <v>50.58</v>
      </c>
      <c r="L4414">
        <v>0</v>
      </c>
    </row>
    <row r="4415" spans="1:12">
      <c r="A4415" t="s">
        <v>12792</v>
      </c>
      <c r="B4415" t="s">
        <v>12793</v>
      </c>
      <c r="C4415" t="s">
        <v>12794</v>
      </c>
      <c r="D4415" t="s">
        <v>23</v>
      </c>
      <c r="E4415" t="s">
        <v>59</v>
      </c>
      <c r="F4415" t="s">
        <v>36</v>
      </c>
      <c r="G4415" t="s">
        <v>45</v>
      </c>
      <c r="H4415" t="s">
        <v>31</v>
      </c>
      <c r="I4415">
        <v>5</v>
      </c>
      <c r="J4415">
        <v>24</v>
      </c>
      <c r="K4415">
        <v>10.7</v>
      </c>
      <c r="L4415">
        <v>1</v>
      </c>
    </row>
    <row r="4416" spans="1:12">
      <c r="A4416" t="s">
        <v>12795</v>
      </c>
      <c r="B4416" t="s">
        <v>12796</v>
      </c>
      <c r="C4416" t="s">
        <v>12797</v>
      </c>
      <c r="D4416" t="s">
        <v>23</v>
      </c>
      <c r="E4416" t="s">
        <v>28</v>
      </c>
      <c r="F4416" t="s">
        <v>36</v>
      </c>
      <c r="G4416" t="s">
        <v>55</v>
      </c>
      <c r="H4416" t="s">
        <v>31</v>
      </c>
      <c r="I4416">
        <v>5</v>
      </c>
      <c r="J4416">
        <v>24</v>
      </c>
      <c r="K4416">
        <v>13.92</v>
      </c>
      <c r="L4416">
        <v>1</v>
      </c>
    </row>
    <row r="4417" spans="1:12">
      <c r="A4417" t="s">
        <v>12798</v>
      </c>
      <c r="B4417" t="s">
        <v>12799</v>
      </c>
      <c r="C4417" t="s">
        <v>12800</v>
      </c>
      <c r="D4417" t="s">
        <v>23</v>
      </c>
      <c r="E4417" t="s">
        <v>54</v>
      </c>
      <c r="F4417" t="s">
        <v>36</v>
      </c>
      <c r="G4417" t="s">
        <v>50</v>
      </c>
      <c r="H4417" t="s">
        <v>19</v>
      </c>
      <c r="I4417">
        <v>4</v>
      </c>
      <c r="J4417">
        <v>24</v>
      </c>
      <c r="K4417">
        <v>21.41</v>
      </c>
      <c r="L4417">
        <v>1</v>
      </c>
    </row>
    <row r="4418" spans="1:12">
      <c r="A4418" t="s">
        <v>12801</v>
      </c>
      <c r="B4418" t="s">
        <v>12802</v>
      </c>
      <c r="C4418" t="s">
        <v>12803</v>
      </c>
      <c r="D4418" t="s">
        <v>23</v>
      </c>
      <c r="E4418" t="s">
        <v>24</v>
      </c>
      <c r="F4418" t="s">
        <v>17</v>
      </c>
      <c r="G4418" t="s">
        <v>151</v>
      </c>
      <c r="H4418" t="s">
        <v>19</v>
      </c>
      <c r="I4418">
        <v>4</v>
      </c>
      <c r="J4418">
        <v>24</v>
      </c>
      <c r="K4418">
        <v>16.760000000000002</v>
      </c>
      <c r="L4418">
        <v>1</v>
      </c>
    </row>
    <row r="4419" spans="1:12">
      <c r="A4419" t="s">
        <v>12804</v>
      </c>
      <c r="B4419" t="s">
        <v>12805</v>
      </c>
      <c r="C4419" t="s">
        <v>12806</v>
      </c>
      <c r="D4419" t="s">
        <v>15</v>
      </c>
      <c r="E4419" t="s">
        <v>28</v>
      </c>
      <c r="F4419" t="s">
        <v>17</v>
      </c>
      <c r="G4419" t="s">
        <v>50</v>
      </c>
      <c r="H4419" t="s">
        <v>19</v>
      </c>
      <c r="I4419">
        <v>5</v>
      </c>
      <c r="J4419">
        <v>8</v>
      </c>
      <c r="K4419">
        <v>6.66</v>
      </c>
      <c r="L4419">
        <v>1</v>
      </c>
    </row>
    <row r="4420" spans="1:12">
      <c r="A4420" t="s">
        <v>12807</v>
      </c>
      <c r="B4420" t="s">
        <v>12808</v>
      </c>
      <c r="C4420" t="s">
        <v>12809</v>
      </c>
      <c r="D4420" t="s">
        <v>23</v>
      </c>
      <c r="E4420" t="s">
        <v>28</v>
      </c>
      <c r="F4420" t="s">
        <v>60</v>
      </c>
      <c r="G4420" t="s">
        <v>151</v>
      </c>
      <c r="H4420" t="s">
        <v>31</v>
      </c>
      <c r="I4420">
        <v>5</v>
      </c>
      <c r="J4420">
        <v>24</v>
      </c>
      <c r="K4420">
        <v>13.09</v>
      </c>
      <c r="L4420">
        <v>1</v>
      </c>
    </row>
    <row r="4421" spans="1:12">
      <c r="A4421" t="s">
        <v>12810</v>
      </c>
      <c r="B4421" t="s">
        <v>12811</v>
      </c>
      <c r="D4421" t="s">
        <v>15</v>
      </c>
      <c r="E4421" t="s">
        <v>16</v>
      </c>
      <c r="F4421" t="s">
        <v>41</v>
      </c>
      <c r="G4421" t="s">
        <v>73</v>
      </c>
      <c r="H4421" t="s">
        <v>46</v>
      </c>
      <c r="J4421">
        <v>8</v>
      </c>
    </row>
    <row r="4422" spans="1:12">
      <c r="A4422" t="s">
        <v>12812</v>
      </c>
      <c r="B4422" t="s">
        <v>12813</v>
      </c>
      <c r="C4422" t="s">
        <v>12814</v>
      </c>
      <c r="D4422" t="s">
        <v>23</v>
      </c>
      <c r="E4422" t="s">
        <v>16</v>
      </c>
      <c r="F4422" t="s">
        <v>17</v>
      </c>
      <c r="G4422" t="s">
        <v>18</v>
      </c>
      <c r="H4422" t="s">
        <v>31</v>
      </c>
      <c r="I4422">
        <v>5</v>
      </c>
      <c r="J4422">
        <v>24</v>
      </c>
      <c r="K4422">
        <v>12.04</v>
      </c>
      <c r="L4422">
        <v>1</v>
      </c>
    </row>
    <row r="4423" spans="1:12">
      <c r="A4423" t="s">
        <v>12815</v>
      </c>
      <c r="B4423" t="s">
        <v>12816</v>
      </c>
      <c r="C4423" t="s">
        <v>12817</v>
      </c>
      <c r="D4423" t="s">
        <v>15</v>
      </c>
      <c r="E4423" t="s">
        <v>59</v>
      </c>
      <c r="F4423" t="s">
        <v>36</v>
      </c>
      <c r="G4423" t="s">
        <v>55</v>
      </c>
      <c r="H4423" t="s">
        <v>19</v>
      </c>
      <c r="I4423">
        <v>4</v>
      </c>
      <c r="J4423">
        <v>8</v>
      </c>
      <c r="K4423">
        <v>5.33</v>
      </c>
      <c r="L4423">
        <v>1</v>
      </c>
    </row>
    <row r="4424" spans="1:12">
      <c r="A4424" t="s">
        <v>12818</v>
      </c>
      <c r="B4424" t="s">
        <v>12819</v>
      </c>
      <c r="C4424" t="s">
        <v>12820</v>
      </c>
      <c r="D4424" t="s">
        <v>23</v>
      </c>
      <c r="E4424" t="s">
        <v>28</v>
      </c>
      <c r="F4424" t="s">
        <v>41</v>
      </c>
      <c r="G4424" t="s">
        <v>45</v>
      </c>
      <c r="H4424" t="s">
        <v>19</v>
      </c>
      <c r="I4424">
        <v>4</v>
      </c>
      <c r="J4424">
        <v>24</v>
      </c>
      <c r="K4424">
        <v>16.22</v>
      </c>
      <c r="L4424">
        <v>1</v>
      </c>
    </row>
    <row r="4425" spans="1:12">
      <c r="A4425" t="s">
        <v>12821</v>
      </c>
      <c r="B4425" t="s">
        <v>12822</v>
      </c>
      <c r="C4425" t="s">
        <v>12823</v>
      </c>
      <c r="D4425" t="s">
        <v>15</v>
      </c>
      <c r="E4425" t="s">
        <v>16</v>
      </c>
      <c r="F4425" t="s">
        <v>41</v>
      </c>
      <c r="G4425" t="s">
        <v>151</v>
      </c>
      <c r="H4425" t="s">
        <v>19</v>
      </c>
      <c r="I4425">
        <v>5</v>
      </c>
      <c r="J4425">
        <v>8</v>
      </c>
      <c r="K4425">
        <v>4.9000000000000004</v>
      </c>
      <c r="L4425">
        <v>1</v>
      </c>
    </row>
    <row r="4426" spans="1:12">
      <c r="A4426" t="s">
        <v>12824</v>
      </c>
      <c r="B4426" t="s">
        <v>12825</v>
      </c>
      <c r="C4426" t="s">
        <v>12826</v>
      </c>
      <c r="D4426" t="s">
        <v>23</v>
      </c>
      <c r="E4426" t="s">
        <v>28</v>
      </c>
      <c r="F4426" t="s">
        <v>17</v>
      </c>
      <c r="G4426" t="s">
        <v>73</v>
      </c>
      <c r="H4426" t="s">
        <v>19</v>
      </c>
      <c r="I4426">
        <v>4</v>
      </c>
      <c r="J4426">
        <v>24</v>
      </c>
      <c r="K4426">
        <v>22.4</v>
      </c>
      <c r="L4426">
        <v>1</v>
      </c>
    </row>
    <row r="4427" spans="1:12">
      <c r="A4427" t="s">
        <v>12827</v>
      </c>
      <c r="B4427" t="s">
        <v>12828</v>
      </c>
      <c r="C4427" t="s">
        <v>12829</v>
      </c>
      <c r="D4427" t="s">
        <v>35</v>
      </c>
      <c r="E4427" t="s">
        <v>16</v>
      </c>
      <c r="F4427" t="s">
        <v>41</v>
      </c>
      <c r="G4427" t="s">
        <v>151</v>
      </c>
      <c r="H4427" t="s">
        <v>19</v>
      </c>
      <c r="I4427">
        <v>1</v>
      </c>
      <c r="J4427">
        <v>48</v>
      </c>
      <c r="K4427">
        <v>88.87</v>
      </c>
      <c r="L4427">
        <v>0</v>
      </c>
    </row>
    <row r="4428" spans="1:12">
      <c r="A4428" t="s">
        <v>12830</v>
      </c>
      <c r="B4428" t="s">
        <v>12831</v>
      </c>
      <c r="C4428" t="s">
        <v>12832</v>
      </c>
      <c r="D4428" t="s">
        <v>23</v>
      </c>
      <c r="E4428" t="s">
        <v>24</v>
      </c>
      <c r="F4428" t="s">
        <v>17</v>
      </c>
      <c r="G4428" t="s">
        <v>42</v>
      </c>
      <c r="H4428" t="s">
        <v>19</v>
      </c>
      <c r="I4428">
        <v>5</v>
      </c>
      <c r="J4428">
        <v>24</v>
      </c>
      <c r="K4428">
        <v>7.61</v>
      </c>
      <c r="L4428">
        <v>1</v>
      </c>
    </row>
    <row r="4429" spans="1:12">
      <c r="A4429" t="s">
        <v>12833</v>
      </c>
      <c r="B4429" t="s">
        <v>12834</v>
      </c>
      <c r="C4429" t="s">
        <v>12835</v>
      </c>
      <c r="D4429" t="s">
        <v>15</v>
      </c>
      <c r="E4429" t="s">
        <v>16</v>
      </c>
      <c r="F4429" t="s">
        <v>17</v>
      </c>
      <c r="G4429" t="s">
        <v>37</v>
      </c>
      <c r="H4429" t="s">
        <v>19</v>
      </c>
      <c r="I4429">
        <v>1</v>
      </c>
      <c r="J4429">
        <v>8</v>
      </c>
      <c r="K4429">
        <v>17.079999999999998</v>
      </c>
      <c r="L4429">
        <v>0</v>
      </c>
    </row>
    <row r="4430" spans="1:12">
      <c r="A4430" t="s">
        <v>12836</v>
      </c>
      <c r="B4430" t="s">
        <v>12837</v>
      </c>
      <c r="C4430" t="s">
        <v>12838</v>
      </c>
      <c r="D4430" t="s">
        <v>15</v>
      </c>
      <c r="E4430" t="s">
        <v>28</v>
      </c>
      <c r="F4430" t="s">
        <v>29</v>
      </c>
      <c r="G4430" t="s">
        <v>45</v>
      </c>
      <c r="H4430" t="s">
        <v>19</v>
      </c>
      <c r="I4430">
        <v>5</v>
      </c>
      <c r="J4430">
        <v>8</v>
      </c>
      <c r="K4430">
        <v>5.67</v>
      </c>
      <c r="L4430">
        <v>1</v>
      </c>
    </row>
    <row r="4431" spans="1:12">
      <c r="A4431" t="s">
        <v>12839</v>
      </c>
      <c r="B4431" t="s">
        <v>12840</v>
      </c>
      <c r="D4431" t="s">
        <v>23</v>
      </c>
      <c r="E4431" t="s">
        <v>28</v>
      </c>
      <c r="F4431" t="s">
        <v>29</v>
      </c>
      <c r="G4431" t="s">
        <v>45</v>
      </c>
      <c r="H4431" t="s">
        <v>63</v>
      </c>
      <c r="J4431">
        <v>24</v>
      </c>
    </row>
    <row r="4432" spans="1:12">
      <c r="A4432" t="s">
        <v>12841</v>
      </c>
      <c r="B4432" t="s">
        <v>12842</v>
      </c>
      <c r="C4432" t="s">
        <v>12843</v>
      </c>
      <c r="D4432" t="s">
        <v>158</v>
      </c>
      <c r="E4432" t="s">
        <v>28</v>
      </c>
      <c r="F4432" t="s">
        <v>29</v>
      </c>
      <c r="G4432" t="s">
        <v>55</v>
      </c>
      <c r="H4432" t="s">
        <v>19</v>
      </c>
      <c r="I4432">
        <v>2</v>
      </c>
      <c r="J4432">
        <v>4</v>
      </c>
      <c r="K4432">
        <v>6.79</v>
      </c>
      <c r="L4432">
        <v>0</v>
      </c>
    </row>
    <row r="4433" spans="1:12">
      <c r="A4433" t="s">
        <v>12844</v>
      </c>
      <c r="B4433" t="s">
        <v>12845</v>
      </c>
      <c r="C4433" t="s">
        <v>12846</v>
      </c>
      <c r="D4433" t="s">
        <v>23</v>
      </c>
      <c r="E4433" t="s">
        <v>24</v>
      </c>
      <c r="F4433" t="s">
        <v>60</v>
      </c>
      <c r="G4433" t="s">
        <v>77</v>
      </c>
      <c r="H4433" t="s">
        <v>31</v>
      </c>
      <c r="I4433">
        <v>4</v>
      </c>
      <c r="J4433">
        <v>24</v>
      </c>
      <c r="K4433">
        <v>15.16</v>
      </c>
      <c r="L4433">
        <v>1</v>
      </c>
    </row>
    <row r="4434" spans="1:12">
      <c r="A4434" t="s">
        <v>12847</v>
      </c>
      <c r="B4434" t="s">
        <v>12848</v>
      </c>
      <c r="C4434" t="s">
        <v>12849</v>
      </c>
      <c r="D4434" t="s">
        <v>23</v>
      </c>
      <c r="E4434" t="s">
        <v>16</v>
      </c>
      <c r="F4434" t="s">
        <v>36</v>
      </c>
      <c r="G4434" t="s">
        <v>73</v>
      </c>
      <c r="H4434" t="s">
        <v>31</v>
      </c>
      <c r="I4434">
        <v>4</v>
      </c>
      <c r="J4434">
        <v>24</v>
      </c>
      <c r="K4434">
        <v>20.96</v>
      </c>
      <c r="L4434">
        <v>1</v>
      </c>
    </row>
    <row r="4435" spans="1:12">
      <c r="A4435" t="s">
        <v>12850</v>
      </c>
      <c r="B4435" t="s">
        <v>12851</v>
      </c>
      <c r="C4435" t="s">
        <v>12852</v>
      </c>
      <c r="D4435" t="s">
        <v>23</v>
      </c>
      <c r="E4435" t="s">
        <v>24</v>
      </c>
      <c r="F4435" t="s">
        <v>29</v>
      </c>
      <c r="G4435" t="s">
        <v>151</v>
      </c>
      <c r="H4435" t="s">
        <v>19</v>
      </c>
      <c r="I4435">
        <v>5</v>
      </c>
      <c r="J4435">
        <v>24</v>
      </c>
      <c r="K4435">
        <v>14.56</v>
      </c>
      <c r="L4435">
        <v>1</v>
      </c>
    </row>
    <row r="4436" spans="1:12">
      <c r="A4436" t="s">
        <v>12853</v>
      </c>
      <c r="B4436" t="s">
        <v>12854</v>
      </c>
      <c r="C4436" t="s">
        <v>12855</v>
      </c>
      <c r="D4436" t="s">
        <v>15</v>
      </c>
      <c r="E4436" t="s">
        <v>28</v>
      </c>
      <c r="F4436" t="s">
        <v>17</v>
      </c>
      <c r="G4436" t="s">
        <v>172</v>
      </c>
      <c r="H4436" t="s">
        <v>19</v>
      </c>
      <c r="I4436">
        <v>3</v>
      </c>
      <c r="J4436">
        <v>8</v>
      </c>
      <c r="K4436">
        <v>18.05</v>
      </c>
      <c r="L4436">
        <v>0</v>
      </c>
    </row>
    <row r="4437" spans="1:12">
      <c r="A4437" t="s">
        <v>12856</v>
      </c>
      <c r="B4437" t="s">
        <v>12857</v>
      </c>
      <c r="C4437" t="s">
        <v>12858</v>
      </c>
      <c r="D4437" t="s">
        <v>23</v>
      </c>
      <c r="E4437" t="s">
        <v>54</v>
      </c>
      <c r="F4437" t="s">
        <v>36</v>
      </c>
      <c r="G4437" t="s">
        <v>172</v>
      </c>
      <c r="H4437" t="s">
        <v>19</v>
      </c>
      <c r="I4437">
        <v>5</v>
      </c>
      <c r="J4437">
        <v>24</v>
      </c>
      <c r="K4437">
        <v>11.88</v>
      </c>
      <c r="L4437">
        <v>1</v>
      </c>
    </row>
    <row r="4438" spans="1:12">
      <c r="A4438" t="s">
        <v>12859</v>
      </c>
      <c r="B4438" t="s">
        <v>12860</v>
      </c>
      <c r="C4438" t="s">
        <v>12861</v>
      </c>
      <c r="D4438" t="s">
        <v>23</v>
      </c>
      <c r="E4438" t="s">
        <v>59</v>
      </c>
      <c r="F4438" t="s">
        <v>36</v>
      </c>
      <c r="G4438" t="s">
        <v>77</v>
      </c>
      <c r="H4438" t="s">
        <v>19</v>
      </c>
      <c r="I4438">
        <v>4</v>
      </c>
      <c r="J4438">
        <v>24</v>
      </c>
      <c r="K4438">
        <v>20.420000000000002</v>
      </c>
      <c r="L4438">
        <v>1</v>
      </c>
    </row>
    <row r="4439" spans="1:12">
      <c r="A4439" t="s">
        <v>12862</v>
      </c>
      <c r="B4439" t="s">
        <v>12863</v>
      </c>
      <c r="C4439" t="s">
        <v>12864</v>
      </c>
      <c r="D4439" t="s">
        <v>35</v>
      </c>
      <c r="E4439" t="s">
        <v>24</v>
      </c>
      <c r="F4439" t="s">
        <v>41</v>
      </c>
      <c r="G4439" t="s">
        <v>77</v>
      </c>
      <c r="H4439" t="s">
        <v>19</v>
      </c>
      <c r="I4439">
        <v>3</v>
      </c>
      <c r="J4439">
        <v>48</v>
      </c>
      <c r="K4439">
        <v>12.82</v>
      </c>
      <c r="L4439">
        <v>1</v>
      </c>
    </row>
    <row r="4440" spans="1:12">
      <c r="A4440" t="s">
        <v>12865</v>
      </c>
      <c r="B4440" t="s">
        <v>12866</v>
      </c>
      <c r="D4440" t="s">
        <v>23</v>
      </c>
      <c r="E4440" t="s">
        <v>24</v>
      </c>
      <c r="F4440" t="s">
        <v>41</v>
      </c>
      <c r="G4440" t="s">
        <v>45</v>
      </c>
      <c r="H4440" t="s">
        <v>63</v>
      </c>
      <c r="J4440">
        <v>24</v>
      </c>
    </row>
    <row r="4441" spans="1:12">
      <c r="A4441" t="s">
        <v>12867</v>
      </c>
      <c r="B4441" t="s">
        <v>12868</v>
      </c>
      <c r="C4441" t="s">
        <v>12869</v>
      </c>
      <c r="D4441" t="s">
        <v>23</v>
      </c>
      <c r="E4441" t="s">
        <v>54</v>
      </c>
      <c r="F4441" t="s">
        <v>41</v>
      </c>
      <c r="G4441" t="s">
        <v>73</v>
      </c>
      <c r="H4441" t="s">
        <v>19</v>
      </c>
      <c r="I4441">
        <v>5</v>
      </c>
      <c r="J4441">
        <v>24</v>
      </c>
      <c r="K4441">
        <v>22.55</v>
      </c>
      <c r="L4441">
        <v>1</v>
      </c>
    </row>
    <row r="4442" spans="1:12">
      <c r="A4442" t="s">
        <v>12870</v>
      </c>
      <c r="B4442" t="s">
        <v>12871</v>
      </c>
      <c r="C4442" t="s">
        <v>12872</v>
      </c>
      <c r="D4442" t="s">
        <v>15</v>
      </c>
      <c r="E4442" t="s">
        <v>28</v>
      </c>
      <c r="F4442" t="s">
        <v>41</v>
      </c>
      <c r="G4442" t="s">
        <v>37</v>
      </c>
      <c r="H4442" t="s">
        <v>31</v>
      </c>
      <c r="I4442">
        <v>3</v>
      </c>
      <c r="J4442">
        <v>8</v>
      </c>
      <c r="K4442">
        <v>1.58</v>
      </c>
      <c r="L4442">
        <v>1</v>
      </c>
    </row>
    <row r="4443" spans="1:12">
      <c r="A4443" t="s">
        <v>12873</v>
      </c>
      <c r="B4443" t="s">
        <v>12874</v>
      </c>
      <c r="C4443" t="s">
        <v>12875</v>
      </c>
      <c r="D4443" t="s">
        <v>35</v>
      </c>
      <c r="E4443" t="s">
        <v>54</v>
      </c>
      <c r="F4443" t="s">
        <v>17</v>
      </c>
      <c r="G4443" t="s">
        <v>105</v>
      </c>
      <c r="H4443" t="s">
        <v>19</v>
      </c>
      <c r="I4443">
        <v>5</v>
      </c>
      <c r="J4443">
        <v>48</v>
      </c>
      <c r="K4443">
        <v>8.98</v>
      </c>
      <c r="L4443">
        <v>1</v>
      </c>
    </row>
    <row r="4444" spans="1:12">
      <c r="A4444" t="s">
        <v>12876</v>
      </c>
      <c r="B4444" t="s">
        <v>12877</v>
      </c>
      <c r="D4444" t="s">
        <v>35</v>
      </c>
      <c r="E4444" t="s">
        <v>24</v>
      </c>
      <c r="F4444" t="s">
        <v>41</v>
      </c>
      <c r="G4444" t="s">
        <v>55</v>
      </c>
      <c r="H4444" t="s">
        <v>63</v>
      </c>
      <c r="J4444">
        <v>48</v>
      </c>
    </row>
    <row r="4445" spans="1:12">
      <c r="A4445" t="s">
        <v>12878</v>
      </c>
      <c r="B4445" t="s">
        <v>12879</v>
      </c>
      <c r="C4445" t="s">
        <v>12880</v>
      </c>
      <c r="D4445" t="s">
        <v>158</v>
      </c>
      <c r="E4445" t="s">
        <v>28</v>
      </c>
      <c r="F4445" t="s">
        <v>41</v>
      </c>
      <c r="G4445" t="s">
        <v>42</v>
      </c>
      <c r="H4445" t="s">
        <v>31</v>
      </c>
      <c r="I4445">
        <v>5</v>
      </c>
      <c r="J4445">
        <v>4</v>
      </c>
      <c r="K4445">
        <v>0.68</v>
      </c>
      <c r="L4445">
        <v>1</v>
      </c>
    </row>
    <row r="4446" spans="1:12">
      <c r="A4446" t="s">
        <v>12881</v>
      </c>
      <c r="B4446" t="s">
        <v>12882</v>
      </c>
      <c r="C4446" t="s">
        <v>12883</v>
      </c>
      <c r="D4446" t="s">
        <v>15</v>
      </c>
      <c r="E4446" t="s">
        <v>24</v>
      </c>
      <c r="F4446" t="s">
        <v>36</v>
      </c>
      <c r="G4446" t="s">
        <v>73</v>
      </c>
      <c r="H4446" t="s">
        <v>31</v>
      </c>
      <c r="I4446">
        <v>3</v>
      </c>
      <c r="J4446">
        <v>8</v>
      </c>
      <c r="K4446">
        <v>3.62</v>
      </c>
      <c r="L4446">
        <v>1</v>
      </c>
    </row>
    <row r="4447" spans="1:12">
      <c r="A4447" t="s">
        <v>12884</v>
      </c>
      <c r="B4447" t="s">
        <v>12885</v>
      </c>
      <c r="C4447" t="s">
        <v>12886</v>
      </c>
      <c r="D4447" t="s">
        <v>23</v>
      </c>
      <c r="E4447" t="s">
        <v>28</v>
      </c>
      <c r="F4447" t="s">
        <v>41</v>
      </c>
      <c r="G4447" t="s">
        <v>73</v>
      </c>
      <c r="H4447" t="s">
        <v>31</v>
      </c>
      <c r="I4447">
        <v>5</v>
      </c>
      <c r="J4447">
        <v>24</v>
      </c>
      <c r="K4447">
        <v>13.44</v>
      </c>
      <c r="L4447">
        <v>1</v>
      </c>
    </row>
    <row r="4448" spans="1:12">
      <c r="A4448" t="s">
        <v>12887</v>
      </c>
      <c r="B4448" t="s">
        <v>12888</v>
      </c>
      <c r="D4448" t="s">
        <v>23</v>
      </c>
      <c r="E4448" t="s">
        <v>28</v>
      </c>
      <c r="F4448" t="s">
        <v>17</v>
      </c>
      <c r="G4448" t="s">
        <v>42</v>
      </c>
      <c r="H4448" t="s">
        <v>63</v>
      </c>
      <c r="J4448">
        <v>24</v>
      </c>
    </row>
    <row r="4449" spans="1:12">
      <c r="A4449" t="s">
        <v>12889</v>
      </c>
      <c r="B4449" t="s">
        <v>12890</v>
      </c>
      <c r="C4449" t="s">
        <v>12891</v>
      </c>
      <c r="D4449" t="s">
        <v>23</v>
      </c>
      <c r="E4449" t="s">
        <v>16</v>
      </c>
      <c r="F4449" t="s">
        <v>29</v>
      </c>
      <c r="G4449" t="s">
        <v>105</v>
      </c>
      <c r="H4449" t="s">
        <v>31</v>
      </c>
      <c r="I4449">
        <v>3</v>
      </c>
      <c r="J4449">
        <v>24</v>
      </c>
      <c r="K4449">
        <v>5.28</v>
      </c>
      <c r="L4449">
        <v>1</v>
      </c>
    </row>
    <row r="4450" spans="1:12">
      <c r="A4450" t="s">
        <v>12892</v>
      </c>
      <c r="B4450" t="s">
        <v>12893</v>
      </c>
      <c r="C4450" t="s">
        <v>12894</v>
      </c>
      <c r="D4450" t="s">
        <v>23</v>
      </c>
      <c r="E4450" t="s">
        <v>16</v>
      </c>
      <c r="F4450" t="s">
        <v>60</v>
      </c>
      <c r="G4450" t="s">
        <v>55</v>
      </c>
      <c r="H4450" t="s">
        <v>31</v>
      </c>
      <c r="I4450">
        <v>5</v>
      </c>
      <c r="J4450">
        <v>24</v>
      </c>
      <c r="K4450">
        <v>11.63</v>
      </c>
      <c r="L4450">
        <v>1</v>
      </c>
    </row>
    <row r="4451" spans="1:12">
      <c r="A4451" t="s">
        <v>12895</v>
      </c>
      <c r="B4451" t="s">
        <v>12896</v>
      </c>
      <c r="C4451" t="s">
        <v>12897</v>
      </c>
      <c r="D4451" t="s">
        <v>158</v>
      </c>
      <c r="E4451" t="s">
        <v>24</v>
      </c>
      <c r="F4451" t="s">
        <v>36</v>
      </c>
      <c r="G4451" t="s">
        <v>45</v>
      </c>
      <c r="H4451" t="s">
        <v>19</v>
      </c>
      <c r="I4451">
        <v>2</v>
      </c>
      <c r="J4451">
        <v>4</v>
      </c>
      <c r="K4451">
        <v>5.26</v>
      </c>
      <c r="L4451">
        <v>0</v>
      </c>
    </row>
    <row r="4452" spans="1:12">
      <c r="A4452" t="s">
        <v>12898</v>
      </c>
      <c r="B4452" t="s">
        <v>12899</v>
      </c>
      <c r="C4452" t="s">
        <v>12900</v>
      </c>
      <c r="D4452" t="s">
        <v>23</v>
      </c>
      <c r="E4452" t="s">
        <v>16</v>
      </c>
      <c r="F4452" t="s">
        <v>17</v>
      </c>
      <c r="G4452" t="s">
        <v>18</v>
      </c>
      <c r="H4452" t="s">
        <v>31</v>
      </c>
      <c r="I4452">
        <v>5</v>
      </c>
      <c r="J4452">
        <v>24</v>
      </c>
      <c r="K4452">
        <v>11.03</v>
      </c>
      <c r="L4452">
        <v>1</v>
      </c>
    </row>
    <row r="4453" spans="1:12">
      <c r="A4453" t="s">
        <v>12901</v>
      </c>
      <c r="B4453" t="s">
        <v>12902</v>
      </c>
      <c r="C4453" t="s">
        <v>12903</v>
      </c>
      <c r="D4453" t="s">
        <v>23</v>
      </c>
      <c r="E4453" t="s">
        <v>24</v>
      </c>
      <c r="F4453" t="s">
        <v>29</v>
      </c>
      <c r="G4453" t="s">
        <v>105</v>
      </c>
      <c r="H4453" t="s">
        <v>31</v>
      </c>
      <c r="I4453">
        <v>4</v>
      </c>
      <c r="J4453">
        <v>24</v>
      </c>
      <c r="K4453">
        <v>37.99</v>
      </c>
      <c r="L4453">
        <v>0</v>
      </c>
    </row>
    <row r="4454" spans="1:12">
      <c r="A4454" t="s">
        <v>12904</v>
      </c>
      <c r="B4454" t="s">
        <v>12905</v>
      </c>
      <c r="C4454" t="s">
        <v>12906</v>
      </c>
      <c r="D4454" t="s">
        <v>23</v>
      </c>
      <c r="E4454" t="s">
        <v>28</v>
      </c>
      <c r="F4454" t="s">
        <v>41</v>
      </c>
      <c r="G4454" t="s">
        <v>105</v>
      </c>
      <c r="H4454" t="s">
        <v>31</v>
      </c>
      <c r="I4454">
        <v>3</v>
      </c>
      <c r="J4454">
        <v>24</v>
      </c>
      <c r="K4454">
        <v>14.5</v>
      </c>
      <c r="L4454">
        <v>1</v>
      </c>
    </row>
    <row r="4455" spans="1:12">
      <c r="A4455" t="s">
        <v>12907</v>
      </c>
      <c r="B4455" t="s">
        <v>12908</v>
      </c>
      <c r="C4455" t="s">
        <v>12909</v>
      </c>
      <c r="D4455" t="s">
        <v>23</v>
      </c>
      <c r="E4455" t="s">
        <v>54</v>
      </c>
      <c r="F4455" t="s">
        <v>60</v>
      </c>
      <c r="G4455" t="s">
        <v>151</v>
      </c>
      <c r="H4455" t="s">
        <v>19</v>
      </c>
      <c r="I4455">
        <v>2</v>
      </c>
      <c r="J4455">
        <v>24</v>
      </c>
      <c r="K4455">
        <v>43.45</v>
      </c>
      <c r="L4455">
        <v>0</v>
      </c>
    </row>
    <row r="4456" spans="1:12">
      <c r="A4456" t="s">
        <v>12910</v>
      </c>
      <c r="B4456" t="s">
        <v>12911</v>
      </c>
      <c r="C4456" t="s">
        <v>12912</v>
      </c>
      <c r="D4456" t="s">
        <v>15</v>
      </c>
      <c r="E4456" t="s">
        <v>54</v>
      </c>
      <c r="F4456" t="s">
        <v>36</v>
      </c>
      <c r="G4456" t="s">
        <v>172</v>
      </c>
      <c r="H4456" t="s">
        <v>31</v>
      </c>
      <c r="I4456">
        <v>5</v>
      </c>
      <c r="J4456">
        <v>8</v>
      </c>
      <c r="K4456">
        <v>5.76</v>
      </c>
      <c r="L4456">
        <v>1</v>
      </c>
    </row>
    <row r="4457" spans="1:12">
      <c r="A4457" t="s">
        <v>12913</v>
      </c>
      <c r="B4457" t="s">
        <v>12914</v>
      </c>
      <c r="C4457" t="s">
        <v>12915</v>
      </c>
      <c r="D4457" t="s">
        <v>158</v>
      </c>
      <c r="E4457" t="s">
        <v>28</v>
      </c>
      <c r="F4457" t="s">
        <v>17</v>
      </c>
      <c r="G4457" t="s">
        <v>55</v>
      </c>
      <c r="H4457" t="s">
        <v>19</v>
      </c>
      <c r="I4457">
        <v>4</v>
      </c>
      <c r="J4457">
        <v>4</v>
      </c>
      <c r="K4457">
        <v>3.71</v>
      </c>
      <c r="L4457">
        <v>1</v>
      </c>
    </row>
    <row r="4458" spans="1:12">
      <c r="A4458" t="s">
        <v>12916</v>
      </c>
      <c r="B4458" t="s">
        <v>12917</v>
      </c>
      <c r="C4458" t="s">
        <v>12918</v>
      </c>
      <c r="D4458" t="s">
        <v>35</v>
      </c>
      <c r="E4458" t="s">
        <v>28</v>
      </c>
      <c r="F4458" t="s">
        <v>60</v>
      </c>
      <c r="G4458" t="s">
        <v>151</v>
      </c>
      <c r="H4458" t="s">
        <v>19</v>
      </c>
      <c r="I4458">
        <v>5</v>
      </c>
      <c r="J4458">
        <v>48</v>
      </c>
      <c r="K4458">
        <v>20.43</v>
      </c>
      <c r="L4458">
        <v>1</v>
      </c>
    </row>
    <row r="4459" spans="1:12">
      <c r="A4459" t="s">
        <v>12919</v>
      </c>
      <c r="B4459" t="s">
        <v>12920</v>
      </c>
      <c r="C4459" t="s">
        <v>12921</v>
      </c>
      <c r="D4459" t="s">
        <v>23</v>
      </c>
      <c r="E4459" t="s">
        <v>28</v>
      </c>
      <c r="F4459" t="s">
        <v>29</v>
      </c>
      <c r="G4459" t="s">
        <v>151</v>
      </c>
      <c r="H4459" t="s">
        <v>19</v>
      </c>
      <c r="I4459">
        <v>2</v>
      </c>
      <c r="J4459">
        <v>24</v>
      </c>
      <c r="K4459">
        <v>26</v>
      </c>
      <c r="L4459">
        <v>0</v>
      </c>
    </row>
    <row r="4460" spans="1:12">
      <c r="A4460" t="s">
        <v>12922</v>
      </c>
      <c r="B4460" t="s">
        <v>12923</v>
      </c>
      <c r="C4460" t="s">
        <v>12924</v>
      </c>
      <c r="D4460" t="s">
        <v>158</v>
      </c>
      <c r="E4460" t="s">
        <v>24</v>
      </c>
      <c r="F4460" t="s">
        <v>36</v>
      </c>
      <c r="G4460" t="s">
        <v>42</v>
      </c>
      <c r="H4460" t="s">
        <v>19</v>
      </c>
      <c r="I4460">
        <v>4</v>
      </c>
      <c r="J4460">
        <v>4</v>
      </c>
      <c r="K4460">
        <v>0.96</v>
      </c>
      <c r="L4460">
        <v>1</v>
      </c>
    </row>
    <row r="4461" spans="1:12">
      <c r="A4461" t="s">
        <v>12925</v>
      </c>
      <c r="B4461" t="s">
        <v>12926</v>
      </c>
      <c r="C4461" t="s">
        <v>12927</v>
      </c>
      <c r="D4461" t="s">
        <v>35</v>
      </c>
      <c r="E4461" t="s">
        <v>28</v>
      </c>
      <c r="F4461" t="s">
        <v>36</v>
      </c>
      <c r="G4461" t="s">
        <v>77</v>
      </c>
      <c r="H4461" t="s">
        <v>19</v>
      </c>
      <c r="I4461">
        <v>4</v>
      </c>
      <c r="J4461">
        <v>48</v>
      </c>
      <c r="K4461">
        <v>39.67</v>
      </c>
      <c r="L4461">
        <v>1</v>
      </c>
    </row>
    <row r="4462" spans="1:12">
      <c r="A4462" t="s">
        <v>12928</v>
      </c>
      <c r="B4462" t="s">
        <v>12929</v>
      </c>
      <c r="C4462" t="s">
        <v>12930</v>
      </c>
      <c r="D4462" t="s">
        <v>158</v>
      </c>
      <c r="E4462" t="s">
        <v>28</v>
      </c>
      <c r="F4462" t="s">
        <v>60</v>
      </c>
      <c r="G4462" t="s">
        <v>151</v>
      </c>
      <c r="H4462" t="s">
        <v>19</v>
      </c>
      <c r="I4462">
        <v>4</v>
      </c>
      <c r="J4462">
        <v>4</v>
      </c>
      <c r="K4462">
        <v>1.22</v>
      </c>
      <c r="L4462">
        <v>1</v>
      </c>
    </row>
    <row r="4463" spans="1:12">
      <c r="A4463" t="s">
        <v>12931</v>
      </c>
      <c r="B4463" t="s">
        <v>12932</v>
      </c>
      <c r="D4463" t="s">
        <v>23</v>
      </c>
      <c r="E4463" t="s">
        <v>28</v>
      </c>
      <c r="F4463" t="s">
        <v>41</v>
      </c>
      <c r="G4463" t="s">
        <v>105</v>
      </c>
      <c r="H4463" t="s">
        <v>63</v>
      </c>
      <c r="J4463">
        <v>24</v>
      </c>
    </row>
    <row r="4464" spans="1:12">
      <c r="A4464" t="s">
        <v>12933</v>
      </c>
      <c r="B4464" t="s">
        <v>12934</v>
      </c>
      <c r="D4464" t="s">
        <v>158</v>
      </c>
      <c r="E4464" t="s">
        <v>28</v>
      </c>
      <c r="F4464" t="s">
        <v>41</v>
      </c>
      <c r="G4464" t="s">
        <v>151</v>
      </c>
      <c r="H4464" t="s">
        <v>63</v>
      </c>
      <c r="J4464">
        <v>4</v>
      </c>
    </row>
    <row r="4465" spans="1:12">
      <c r="A4465" t="s">
        <v>12935</v>
      </c>
      <c r="B4465" t="s">
        <v>12936</v>
      </c>
      <c r="C4465" t="s">
        <v>12937</v>
      </c>
      <c r="D4465" t="s">
        <v>23</v>
      </c>
      <c r="E4465" t="s">
        <v>28</v>
      </c>
      <c r="F4465" t="s">
        <v>17</v>
      </c>
      <c r="G4465" t="s">
        <v>50</v>
      </c>
      <c r="H4465" t="s">
        <v>31</v>
      </c>
      <c r="I4465">
        <v>5</v>
      </c>
      <c r="J4465">
        <v>24</v>
      </c>
      <c r="K4465">
        <v>18.97</v>
      </c>
      <c r="L4465">
        <v>1</v>
      </c>
    </row>
    <row r="4466" spans="1:12">
      <c r="A4466" t="s">
        <v>12938</v>
      </c>
      <c r="B4466" t="s">
        <v>12939</v>
      </c>
      <c r="C4466" t="s">
        <v>12940</v>
      </c>
      <c r="D4466" t="s">
        <v>23</v>
      </c>
      <c r="E4466" t="s">
        <v>16</v>
      </c>
      <c r="F4466" t="s">
        <v>29</v>
      </c>
      <c r="G4466" t="s">
        <v>42</v>
      </c>
      <c r="H4466" t="s">
        <v>19</v>
      </c>
      <c r="I4466">
        <v>3</v>
      </c>
      <c r="J4466">
        <v>24</v>
      </c>
      <c r="K4466">
        <v>69.11</v>
      </c>
      <c r="L4466">
        <v>0</v>
      </c>
    </row>
    <row r="4467" spans="1:12">
      <c r="A4467" t="s">
        <v>12941</v>
      </c>
      <c r="B4467" t="s">
        <v>12942</v>
      </c>
      <c r="C4467" t="s">
        <v>12943</v>
      </c>
      <c r="D4467" t="s">
        <v>15</v>
      </c>
      <c r="E4467" t="s">
        <v>28</v>
      </c>
      <c r="F4467" t="s">
        <v>60</v>
      </c>
      <c r="G4467" t="s">
        <v>151</v>
      </c>
      <c r="H4467" t="s">
        <v>19</v>
      </c>
      <c r="I4467">
        <v>5</v>
      </c>
      <c r="J4467">
        <v>8</v>
      </c>
      <c r="K4467">
        <v>6.28</v>
      </c>
      <c r="L4467">
        <v>1</v>
      </c>
    </row>
    <row r="4468" spans="1:12">
      <c r="A4468" t="s">
        <v>12944</v>
      </c>
      <c r="B4468" t="s">
        <v>12945</v>
      </c>
      <c r="C4468" t="s">
        <v>12946</v>
      </c>
      <c r="D4468" t="s">
        <v>15</v>
      </c>
      <c r="E4468" t="s">
        <v>28</v>
      </c>
      <c r="F4468" t="s">
        <v>17</v>
      </c>
      <c r="G4468" t="s">
        <v>55</v>
      </c>
      <c r="H4468" t="s">
        <v>19</v>
      </c>
      <c r="I4468">
        <v>4</v>
      </c>
      <c r="J4468">
        <v>8</v>
      </c>
      <c r="K4468">
        <v>6.56</v>
      </c>
      <c r="L4468">
        <v>1</v>
      </c>
    </row>
    <row r="4469" spans="1:12">
      <c r="A4469" t="s">
        <v>12947</v>
      </c>
      <c r="B4469" t="s">
        <v>12948</v>
      </c>
      <c r="C4469" t="s">
        <v>12949</v>
      </c>
      <c r="D4469" t="s">
        <v>15</v>
      </c>
      <c r="E4469" t="s">
        <v>16</v>
      </c>
      <c r="F4469" t="s">
        <v>41</v>
      </c>
      <c r="G4469" t="s">
        <v>50</v>
      </c>
      <c r="H4469" t="s">
        <v>19</v>
      </c>
      <c r="I4469">
        <v>2</v>
      </c>
      <c r="J4469">
        <v>8</v>
      </c>
      <c r="K4469">
        <v>23.22</v>
      </c>
      <c r="L4469">
        <v>0</v>
      </c>
    </row>
    <row r="4470" spans="1:12">
      <c r="A4470" t="s">
        <v>12950</v>
      </c>
      <c r="B4470" t="s">
        <v>12951</v>
      </c>
      <c r="C4470" t="s">
        <v>12952</v>
      </c>
      <c r="D4470" t="s">
        <v>15</v>
      </c>
      <c r="E4470" t="s">
        <v>16</v>
      </c>
      <c r="F4470" t="s">
        <v>60</v>
      </c>
      <c r="G4470" t="s">
        <v>172</v>
      </c>
      <c r="H4470" t="s">
        <v>19</v>
      </c>
      <c r="I4470">
        <v>4</v>
      </c>
      <c r="J4470">
        <v>8</v>
      </c>
      <c r="K4470">
        <v>1.2</v>
      </c>
      <c r="L4470">
        <v>1</v>
      </c>
    </row>
    <row r="4471" spans="1:12">
      <c r="A4471" t="s">
        <v>12953</v>
      </c>
      <c r="B4471" t="s">
        <v>12954</v>
      </c>
      <c r="C4471" t="s">
        <v>12955</v>
      </c>
      <c r="D4471" t="s">
        <v>15</v>
      </c>
      <c r="E4471" t="s">
        <v>16</v>
      </c>
      <c r="F4471" t="s">
        <v>17</v>
      </c>
      <c r="G4471" t="s">
        <v>45</v>
      </c>
      <c r="H4471" t="s">
        <v>19</v>
      </c>
      <c r="I4471">
        <v>5</v>
      </c>
      <c r="J4471">
        <v>8</v>
      </c>
      <c r="K4471">
        <v>2.98</v>
      </c>
      <c r="L4471">
        <v>1</v>
      </c>
    </row>
    <row r="4472" spans="1:12">
      <c r="A4472" t="s">
        <v>12956</v>
      </c>
      <c r="B4472" t="s">
        <v>12957</v>
      </c>
      <c r="D4472" t="s">
        <v>35</v>
      </c>
      <c r="E4472" t="s">
        <v>28</v>
      </c>
      <c r="F4472" t="s">
        <v>36</v>
      </c>
      <c r="G4472" t="s">
        <v>105</v>
      </c>
      <c r="H4472" t="s">
        <v>46</v>
      </c>
      <c r="J4472">
        <v>48</v>
      </c>
    </row>
    <row r="4473" spans="1:12">
      <c r="A4473" t="s">
        <v>12958</v>
      </c>
      <c r="B4473" t="s">
        <v>12959</v>
      </c>
      <c r="C4473" t="s">
        <v>12960</v>
      </c>
      <c r="D4473" t="s">
        <v>35</v>
      </c>
      <c r="E4473" t="s">
        <v>16</v>
      </c>
      <c r="F4473" t="s">
        <v>41</v>
      </c>
      <c r="G4473" t="s">
        <v>105</v>
      </c>
      <c r="H4473" t="s">
        <v>19</v>
      </c>
      <c r="I4473">
        <v>3</v>
      </c>
      <c r="J4473">
        <v>48</v>
      </c>
      <c r="K4473">
        <v>16.399999999999999</v>
      </c>
      <c r="L4473">
        <v>1</v>
      </c>
    </row>
    <row r="4474" spans="1:12">
      <c r="A4474" t="s">
        <v>12961</v>
      </c>
      <c r="B4474" t="s">
        <v>12962</v>
      </c>
      <c r="C4474" t="s">
        <v>12963</v>
      </c>
      <c r="D4474" t="s">
        <v>23</v>
      </c>
      <c r="E4474" t="s">
        <v>16</v>
      </c>
      <c r="F4474" t="s">
        <v>36</v>
      </c>
      <c r="G4474" t="s">
        <v>45</v>
      </c>
      <c r="H4474" t="s">
        <v>19</v>
      </c>
      <c r="I4474">
        <v>5</v>
      </c>
      <c r="J4474">
        <v>24</v>
      </c>
      <c r="K4474">
        <v>2.86</v>
      </c>
      <c r="L4474">
        <v>1</v>
      </c>
    </row>
    <row r="4475" spans="1:12">
      <c r="A4475" t="s">
        <v>12964</v>
      </c>
      <c r="B4475" t="s">
        <v>12965</v>
      </c>
      <c r="C4475" t="s">
        <v>12966</v>
      </c>
      <c r="D4475" t="s">
        <v>15</v>
      </c>
      <c r="E4475" t="s">
        <v>28</v>
      </c>
      <c r="F4475" t="s">
        <v>36</v>
      </c>
      <c r="G4475" t="s">
        <v>77</v>
      </c>
      <c r="H4475" t="s">
        <v>31</v>
      </c>
      <c r="I4475">
        <v>4</v>
      </c>
      <c r="J4475">
        <v>8</v>
      </c>
      <c r="K4475">
        <v>2.08</v>
      </c>
      <c r="L4475">
        <v>1</v>
      </c>
    </row>
    <row r="4476" spans="1:12">
      <c r="A4476" t="s">
        <v>12967</v>
      </c>
      <c r="B4476" t="s">
        <v>12968</v>
      </c>
      <c r="C4476" t="s">
        <v>12969</v>
      </c>
      <c r="D4476" t="s">
        <v>23</v>
      </c>
      <c r="E4476" t="s">
        <v>59</v>
      </c>
      <c r="F4476" t="s">
        <v>60</v>
      </c>
      <c r="G4476" t="s">
        <v>18</v>
      </c>
      <c r="H4476" t="s">
        <v>31</v>
      </c>
      <c r="I4476">
        <v>4</v>
      </c>
      <c r="J4476">
        <v>24</v>
      </c>
      <c r="K4476">
        <v>3.24</v>
      </c>
      <c r="L4476">
        <v>1</v>
      </c>
    </row>
    <row r="4477" spans="1:12">
      <c r="A4477" t="s">
        <v>12970</v>
      </c>
      <c r="B4477" t="s">
        <v>12971</v>
      </c>
      <c r="D4477" t="s">
        <v>158</v>
      </c>
      <c r="E4477" t="s">
        <v>24</v>
      </c>
      <c r="F4477" t="s">
        <v>41</v>
      </c>
      <c r="G4477" t="s">
        <v>30</v>
      </c>
      <c r="H4477" t="s">
        <v>46</v>
      </c>
      <c r="J4477">
        <v>4</v>
      </c>
    </row>
    <row r="4478" spans="1:12">
      <c r="A4478" t="s">
        <v>12972</v>
      </c>
      <c r="B4478" t="s">
        <v>12973</v>
      </c>
      <c r="C4478" t="s">
        <v>12974</v>
      </c>
      <c r="D4478" t="s">
        <v>35</v>
      </c>
      <c r="E4478" t="s">
        <v>16</v>
      </c>
      <c r="F4478" t="s">
        <v>17</v>
      </c>
      <c r="G4478" t="s">
        <v>30</v>
      </c>
      <c r="H4478" t="s">
        <v>19</v>
      </c>
      <c r="I4478">
        <v>5</v>
      </c>
      <c r="J4478">
        <v>48</v>
      </c>
      <c r="K4478">
        <v>16.28</v>
      </c>
      <c r="L4478">
        <v>1</v>
      </c>
    </row>
    <row r="4479" spans="1:12">
      <c r="A4479" t="s">
        <v>12975</v>
      </c>
      <c r="B4479" t="s">
        <v>12976</v>
      </c>
      <c r="C4479" t="s">
        <v>12977</v>
      </c>
      <c r="D4479" t="s">
        <v>15</v>
      </c>
      <c r="E4479" t="s">
        <v>54</v>
      </c>
      <c r="F4479" t="s">
        <v>41</v>
      </c>
      <c r="G4479" t="s">
        <v>30</v>
      </c>
      <c r="H4479" t="s">
        <v>31</v>
      </c>
      <c r="I4479">
        <v>5</v>
      </c>
      <c r="J4479">
        <v>8</v>
      </c>
      <c r="K4479">
        <v>5.09</v>
      </c>
      <c r="L4479">
        <v>1</v>
      </c>
    </row>
    <row r="4480" spans="1:12">
      <c r="A4480" t="s">
        <v>12978</v>
      </c>
      <c r="B4480" t="s">
        <v>12979</v>
      </c>
      <c r="C4480" t="s">
        <v>12980</v>
      </c>
      <c r="D4480" t="s">
        <v>15</v>
      </c>
      <c r="E4480" t="s">
        <v>59</v>
      </c>
      <c r="F4480" t="s">
        <v>60</v>
      </c>
      <c r="G4480" t="s">
        <v>30</v>
      </c>
      <c r="H4480" t="s">
        <v>31</v>
      </c>
      <c r="I4480">
        <v>5</v>
      </c>
      <c r="J4480">
        <v>8</v>
      </c>
      <c r="K4480">
        <v>1.25</v>
      </c>
      <c r="L4480">
        <v>1</v>
      </c>
    </row>
    <row r="4481" spans="1:12">
      <c r="A4481" t="s">
        <v>12981</v>
      </c>
      <c r="B4481" t="s">
        <v>12982</v>
      </c>
      <c r="D4481" t="s">
        <v>23</v>
      </c>
      <c r="E4481" t="s">
        <v>16</v>
      </c>
      <c r="F4481" t="s">
        <v>41</v>
      </c>
      <c r="G4481" t="s">
        <v>50</v>
      </c>
      <c r="H4481" t="s">
        <v>63</v>
      </c>
      <c r="J4481">
        <v>24</v>
      </c>
    </row>
    <row r="4482" spans="1:12">
      <c r="A4482" t="s">
        <v>12983</v>
      </c>
      <c r="B4482" t="s">
        <v>12984</v>
      </c>
      <c r="C4482" t="s">
        <v>12985</v>
      </c>
      <c r="D4482" t="s">
        <v>23</v>
      </c>
      <c r="E4482" t="s">
        <v>28</v>
      </c>
      <c r="F4482" t="s">
        <v>41</v>
      </c>
      <c r="G4482" t="s">
        <v>172</v>
      </c>
      <c r="H4482" t="s">
        <v>31</v>
      </c>
      <c r="I4482">
        <v>4</v>
      </c>
      <c r="J4482">
        <v>24</v>
      </c>
      <c r="K4482">
        <v>8.75</v>
      </c>
      <c r="L4482">
        <v>1</v>
      </c>
    </row>
    <row r="4483" spans="1:12">
      <c r="A4483" t="s">
        <v>12986</v>
      </c>
      <c r="B4483" t="s">
        <v>12987</v>
      </c>
      <c r="C4483" t="s">
        <v>12988</v>
      </c>
      <c r="D4483" t="s">
        <v>23</v>
      </c>
      <c r="E4483" t="s">
        <v>24</v>
      </c>
      <c r="F4483" t="s">
        <v>29</v>
      </c>
      <c r="G4483" t="s">
        <v>77</v>
      </c>
      <c r="H4483" t="s">
        <v>19</v>
      </c>
      <c r="I4483">
        <v>4</v>
      </c>
      <c r="J4483">
        <v>24</v>
      </c>
      <c r="K4483">
        <v>19.96</v>
      </c>
      <c r="L4483">
        <v>1</v>
      </c>
    </row>
    <row r="4484" spans="1:12">
      <c r="A4484" t="s">
        <v>12989</v>
      </c>
      <c r="B4484" t="s">
        <v>12990</v>
      </c>
      <c r="C4484" t="s">
        <v>12991</v>
      </c>
      <c r="D4484" t="s">
        <v>23</v>
      </c>
      <c r="E4484" t="s">
        <v>16</v>
      </c>
      <c r="F4484" t="s">
        <v>36</v>
      </c>
      <c r="G4484" t="s">
        <v>30</v>
      </c>
      <c r="H4484" t="s">
        <v>19</v>
      </c>
      <c r="I4484">
        <v>4</v>
      </c>
      <c r="J4484">
        <v>24</v>
      </c>
      <c r="K4484">
        <v>14.11</v>
      </c>
      <c r="L4484">
        <v>1</v>
      </c>
    </row>
    <row r="4485" spans="1:12">
      <c r="A4485" t="s">
        <v>12992</v>
      </c>
      <c r="B4485" t="s">
        <v>12993</v>
      </c>
      <c r="C4485" t="s">
        <v>12994</v>
      </c>
      <c r="D4485" t="s">
        <v>35</v>
      </c>
      <c r="E4485" t="s">
        <v>59</v>
      </c>
      <c r="F4485" t="s">
        <v>17</v>
      </c>
      <c r="G4485" t="s">
        <v>18</v>
      </c>
      <c r="H4485" t="s">
        <v>31</v>
      </c>
      <c r="I4485">
        <v>3</v>
      </c>
      <c r="J4485">
        <v>48</v>
      </c>
      <c r="K4485">
        <v>43.4</v>
      </c>
      <c r="L4485">
        <v>1</v>
      </c>
    </row>
    <row r="4486" spans="1:12">
      <c r="A4486" t="s">
        <v>12995</v>
      </c>
      <c r="B4486" t="s">
        <v>12996</v>
      </c>
      <c r="C4486" t="s">
        <v>12997</v>
      </c>
      <c r="D4486" t="s">
        <v>23</v>
      </c>
      <c r="E4486" t="s">
        <v>59</v>
      </c>
      <c r="F4486" t="s">
        <v>29</v>
      </c>
      <c r="G4486" t="s">
        <v>151</v>
      </c>
      <c r="H4486" t="s">
        <v>19</v>
      </c>
      <c r="I4486">
        <v>4</v>
      </c>
      <c r="J4486">
        <v>24</v>
      </c>
      <c r="K4486">
        <v>18.420000000000002</v>
      </c>
      <c r="L4486">
        <v>1</v>
      </c>
    </row>
    <row r="4487" spans="1:12">
      <c r="A4487" t="s">
        <v>12998</v>
      </c>
      <c r="B4487" t="s">
        <v>12999</v>
      </c>
      <c r="C4487" t="s">
        <v>13000</v>
      </c>
      <c r="D4487" t="s">
        <v>23</v>
      </c>
      <c r="E4487" t="s">
        <v>24</v>
      </c>
      <c r="F4487" t="s">
        <v>17</v>
      </c>
      <c r="G4487" t="s">
        <v>37</v>
      </c>
      <c r="H4487" t="s">
        <v>19</v>
      </c>
      <c r="I4487">
        <v>4</v>
      </c>
      <c r="J4487">
        <v>24</v>
      </c>
      <c r="K4487">
        <v>17.03</v>
      </c>
      <c r="L4487">
        <v>1</v>
      </c>
    </row>
    <row r="4488" spans="1:12">
      <c r="A4488" t="s">
        <v>13001</v>
      </c>
      <c r="B4488" t="s">
        <v>13002</v>
      </c>
      <c r="C4488" t="s">
        <v>13003</v>
      </c>
      <c r="D4488" t="s">
        <v>23</v>
      </c>
      <c r="E4488" t="s">
        <v>28</v>
      </c>
      <c r="F4488" t="s">
        <v>60</v>
      </c>
      <c r="G4488" t="s">
        <v>50</v>
      </c>
      <c r="H4488" t="s">
        <v>19</v>
      </c>
      <c r="I4488">
        <v>5</v>
      </c>
      <c r="J4488">
        <v>24</v>
      </c>
      <c r="K4488">
        <v>21.5</v>
      </c>
      <c r="L4488">
        <v>1</v>
      </c>
    </row>
    <row r="4489" spans="1:12">
      <c r="A4489" t="s">
        <v>13004</v>
      </c>
      <c r="B4489" t="s">
        <v>13005</v>
      </c>
      <c r="C4489" t="s">
        <v>13006</v>
      </c>
      <c r="D4489" t="s">
        <v>23</v>
      </c>
      <c r="E4489" t="s">
        <v>16</v>
      </c>
      <c r="F4489" t="s">
        <v>29</v>
      </c>
      <c r="G4489" t="s">
        <v>151</v>
      </c>
      <c r="H4489" t="s">
        <v>19</v>
      </c>
      <c r="I4489">
        <v>5</v>
      </c>
      <c r="J4489">
        <v>24</v>
      </c>
      <c r="K4489">
        <v>19.440000000000001</v>
      </c>
      <c r="L4489">
        <v>1</v>
      </c>
    </row>
    <row r="4490" spans="1:12">
      <c r="A4490" t="s">
        <v>13007</v>
      </c>
      <c r="B4490" t="s">
        <v>13008</v>
      </c>
      <c r="C4490" t="s">
        <v>13009</v>
      </c>
      <c r="D4490" t="s">
        <v>158</v>
      </c>
      <c r="E4490" t="s">
        <v>54</v>
      </c>
      <c r="F4490" t="s">
        <v>36</v>
      </c>
      <c r="G4490" t="s">
        <v>37</v>
      </c>
      <c r="H4490" t="s">
        <v>31</v>
      </c>
      <c r="I4490">
        <v>2</v>
      </c>
      <c r="J4490">
        <v>4</v>
      </c>
      <c r="K4490">
        <v>11.36</v>
      </c>
      <c r="L4490">
        <v>0</v>
      </c>
    </row>
    <row r="4491" spans="1:12">
      <c r="A4491" t="s">
        <v>13010</v>
      </c>
      <c r="B4491" t="s">
        <v>13011</v>
      </c>
      <c r="C4491" t="s">
        <v>13012</v>
      </c>
      <c r="D4491" t="s">
        <v>158</v>
      </c>
      <c r="E4491" t="s">
        <v>28</v>
      </c>
      <c r="F4491" t="s">
        <v>29</v>
      </c>
      <c r="G4491" t="s">
        <v>77</v>
      </c>
      <c r="H4491" t="s">
        <v>31</v>
      </c>
      <c r="I4491">
        <v>4</v>
      </c>
      <c r="J4491">
        <v>4</v>
      </c>
      <c r="K4491">
        <v>3.01</v>
      </c>
      <c r="L4491">
        <v>1</v>
      </c>
    </row>
    <row r="4492" spans="1:12">
      <c r="A4492" t="s">
        <v>13013</v>
      </c>
      <c r="B4492" t="s">
        <v>13014</v>
      </c>
      <c r="C4492" t="s">
        <v>13015</v>
      </c>
      <c r="D4492" t="s">
        <v>15</v>
      </c>
      <c r="E4492" t="s">
        <v>28</v>
      </c>
      <c r="F4492" t="s">
        <v>60</v>
      </c>
      <c r="G4492" t="s">
        <v>55</v>
      </c>
      <c r="H4492" t="s">
        <v>31</v>
      </c>
      <c r="I4492">
        <v>5</v>
      </c>
      <c r="J4492">
        <v>8</v>
      </c>
      <c r="K4492">
        <v>6.85</v>
      </c>
      <c r="L4492">
        <v>1</v>
      </c>
    </row>
    <row r="4493" spans="1:12">
      <c r="A4493" t="s">
        <v>13016</v>
      </c>
      <c r="B4493" t="s">
        <v>13017</v>
      </c>
      <c r="C4493" t="s">
        <v>13018</v>
      </c>
      <c r="D4493" t="s">
        <v>35</v>
      </c>
      <c r="E4493" t="s">
        <v>28</v>
      </c>
      <c r="F4493" t="s">
        <v>36</v>
      </c>
      <c r="G4493" t="s">
        <v>37</v>
      </c>
      <c r="H4493" t="s">
        <v>31</v>
      </c>
      <c r="I4493">
        <v>5</v>
      </c>
      <c r="J4493">
        <v>48</v>
      </c>
      <c r="K4493">
        <v>28.56</v>
      </c>
      <c r="L4493">
        <v>1</v>
      </c>
    </row>
    <row r="4494" spans="1:12">
      <c r="A4494" t="s">
        <v>13019</v>
      </c>
      <c r="B4494" t="s">
        <v>13020</v>
      </c>
      <c r="D4494" t="s">
        <v>23</v>
      </c>
      <c r="E4494" t="s">
        <v>28</v>
      </c>
      <c r="F4494" t="s">
        <v>41</v>
      </c>
      <c r="G4494" t="s">
        <v>151</v>
      </c>
      <c r="H4494" t="s">
        <v>46</v>
      </c>
      <c r="J4494">
        <v>24</v>
      </c>
    </row>
    <row r="4495" spans="1:12">
      <c r="A4495" t="s">
        <v>13021</v>
      </c>
      <c r="B4495" t="s">
        <v>13022</v>
      </c>
      <c r="C4495" t="s">
        <v>13023</v>
      </c>
      <c r="D4495" t="s">
        <v>23</v>
      </c>
      <c r="E4495" t="s">
        <v>16</v>
      </c>
      <c r="F4495" t="s">
        <v>17</v>
      </c>
      <c r="G4495" t="s">
        <v>18</v>
      </c>
      <c r="H4495" t="s">
        <v>31</v>
      </c>
      <c r="I4495">
        <v>5</v>
      </c>
      <c r="J4495">
        <v>24</v>
      </c>
      <c r="K4495">
        <v>7.66</v>
      </c>
      <c r="L4495">
        <v>1</v>
      </c>
    </row>
    <row r="4496" spans="1:12">
      <c r="A4496" t="s">
        <v>13024</v>
      </c>
      <c r="B4496" t="s">
        <v>13025</v>
      </c>
      <c r="C4496" t="s">
        <v>13026</v>
      </c>
      <c r="D4496" t="s">
        <v>15</v>
      </c>
      <c r="E4496" t="s">
        <v>24</v>
      </c>
      <c r="F4496" t="s">
        <v>60</v>
      </c>
      <c r="G4496" t="s">
        <v>37</v>
      </c>
      <c r="H4496" t="s">
        <v>19</v>
      </c>
      <c r="I4496">
        <v>5</v>
      </c>
      <c r="J4496">
        <v>8</v>
      </c>
      <c r="K4496">
        <v>2.54</v>
      </c>
      <c r="L4496">
        <v>1</v>
      </c>
    </row>
    <row r="4497" spans="1:12">
      <c r="A4497" t="s">
        <v>13027</v>
      </c>
      <c r="B4497" t="s">
        <v>13028</v>
      </c>
      <c r="C4497" t="s">
        <v>13029</v>
      </c>
      <c r="D4497" t="s">
        <v>158</v>
      </c>
      <c r="E4497" t="s">
        <v>54</v>
      </c>
      <c r="F4497" t="s">
        <v>41</v>
      </c>
      <c r="G4497" t="s">
        <v>55</v>
      </c>
      <c r="H4497" t="s">
        <v>31</v>
      </c>
      <c r="I4497">
        <v>5</v>
      </c>
      <c r="J4497">
        <v>4</v>
      </c>
      <c r="K4497">
        <v>0.82</v>
      </c>
      <c r="L4497">
        <v>1</v>
      </c>
    </row>
    <row r="4498" spans="1:12">
      <c r="A4498" t="s">
        <v>13030</v>
      </c>
      <c r="B4498" t="s">
        <v>13031</v>
      </c>
      <c r="C4498" t="s">
        <v>13032</v>
      </c>
      <c r="D4498" t="s">
        <v>23</v>
      </c>
      <c r="E4498" t="s">
        <v>24</v>
      </c>
      <c r="F4498" t="s">
        <v>60</v>
      </c>
      <c r="G4498" t="s">
        <v>151</v>
      </c>
      <c r="H4498" t="s">
        <v>31</v>
      </c>
      <c r="I4498">
        <v>5</v>
      </c>
      <c r="J4498">
        <v>24</v>
      </c>
      <c r="K4498">
        <v>5.32</v>
      </c>
      <c r="L4498">
        <v>1</v>
      </c>
    </row>
    <row r="4499" spans="1:12">
      <c r="A4499" t="s">
        <v>13033</v>
      </c>
      <c r="B4499" t="s">
        <v>13034</v>
      </c>
      <c r="C4499" t="s">
        <v>13035</v>
      </c>
      <c r="D4499" t="s">
        <v>35</v>
      </c>
      <c r="E4499" t="s">
        <v>16</v>
      </c>
      <c r="F4499" t="s">
        <v>60</v>
      </c>
      <c r="G4499" t="s">
        <v>105</v>
      </c>
      <c r="H4499" t="s">
        <v>19</v>
      </c>
      <c r="I4499">
        <v>3</v>
      </c>
      <c r="J4499">
        <v>48</v>
      </c>
      <c r="K4499">
        <v>17.43</v>
      </c>
      <c r="L4499">
        <v>1</v>
      </c>
    </row>
    <row r="4500" spans="1:12">
      <c r="A4500" t="s">
        <v>13036</v>
      </c>
      <c r="B4500" t="s">
        <v>13037</v>
      </c>
      <c r="C4500" t="s">
        <v>13038</v>
      </c>
      <c r="D4500" t="s">
        <v>35</v>
      </c>
      <c r="E4500" t="s">
        <v>24</v>
      </c>
      <c r="F4500" t="s">
        <v>41</v>
      </c>
      <c r="G4500" t="s">
        <v>18</v>
      </c>
      <c r="H4500" t="s">
        <v>19</v>
      </c>
      <c r="I4500">
        <v>1</v>
      </c>
      <c r="J4500">
        <v>48</v>
      </c>
      <c r="K4500">
        <v>54.41</v>
      </c>
      <c r="L4500">
        <v>0</v>
      </c>
    </row>
    <row r="4501" spans="1:12">
      <c r="A4501" t="s">
        <v>13039</v>
      </c>
      <c r="B4501" t="s">
        <v>13040</v>
      </c>
      <c r="D4501" t="s">
        <v>158</v>
      </c>
      <c r="E4501" t="s">
        <v>54</v>
      </c>
      <c r="F4501" t="s">
        <v>36</v>
      </c>
      <c r="G4501" t="s">
        <v>105</v>
      </c>
      <c r="H4501" t="s">
        <v>63</v>
      </c>
      <c r="J4501">
        <v>4</v>
      </c>
    </row>
    <row r="4502" spans="1:12">
      <c r="A4502" t="s">
        <v>13041</v>
      </c>
      <c r="B4502" t="s">
        <v>13042</v>
      </c>
      <c r="C4502" t="s">
        <v>13043</v>
      </c>
      <c r="D4502" t="s">
        <v>35</v>
      </c>
      <c r="E4502" t="s">
        <v>28</v>
      </c>
      <c r="F4502" t="s">
        <v>29</v>
      </c>
      <c r="G4502" t="s">
        <v>73</v>
      </c>
      <c r="H4502" t="s">
        <v>19</v>
      </c>
      <c r="I4502">
        <v>5</v>
      </c>
      <c r="J4502">
        <v>48</v>
      </c>
      <c r="K4502">
        <v>12.11</v>
      </c>
      <c r="L4502">
        <v>1</v>
      </c>
    </row>
    <row r="4503" spans="1:12">
      <c r="A4503" t="s">
        <v>13044</v>
      </c>
      <c r="B4503" t="s">
        <v>13045</v>
      </c>
      <c r="C4503" t="s">
        <v>13046</v>
      </c>
      <c r="D4503" t="s">
        <v>23</v>
      </c>
      <c r="E4503" t="s">
        <v>28</v>
      </c>
      <c r="F4503" t="s">
        <v>17</v>
      </c>
      <c r="G4503" t="s">
        <v>77</v>
      </c>
      <c r="H4503" t="s">
        <v>31</v>
      </c>
      <c r="I4503">
        <v>4</v>
      </c>
      <c r="J4503">
        <v>24</v>
      </c>
      <c r="K4503">
        <v>20.74</v>
      </c>
      <c r="L4503">
        <v>1</v>
      </c>
    </row>
    <row r="4504" spans="1:12">
      <c r="A4504" t="s">
        <v>13047</v>
      </c>
      <c r="B4504" t="s">
        <v>13048</v>
      </c>
      <c r="C4504" t="s">
        <v>13049</v>
      </c>
      <c r="D4504" t="s">
        <v>35</v>
      </c>
      <c r="E4504" t="s">
        <v>54</v>
      </c>
      <c r="F4504" t="s">
        <v>41</v>
      </c>
      <c r="G4504" t="s">
        <v>37</v>
      </c>
      <c r="H4504" t="s">
        <v>19</v>
      </c>
      <c r="I4504">
        <v>5</v>
      </c>
      <c r="J4504">
        <v>48</v>
      </c>
      <c r="K4504">
        <v>18.98</v>
      </c>
      <c r="L4504">
        <v>1</v>
      </c>
    </row>
    <row r="4505" spans="1:12">
      <c r="A4505" t="s">
        <v>13050</v>
      </c>
      <c r="B4505" t="s">
        <v>13051</v>
      </c>
      <c r="C4505" t="s">
        <v>13052</v>
      </c>
      <c r="D4505" t="s">
        <v>23</v>
      </c>
      <c r="E4505" t="s">
        <v>28</v>
      </c>
      <c r="F4505" t="s">
        <v>41</v>
      </c>
      <c r="G4505" t="s">
        <v>151</v>
      </c>
      <c r="H4505" t="s">
        <v>19</v>
      </c>
      <c r="I4505">
        <v>4</v>
      </c>
      <c r="J4505">
        <v>24</v>
      </c>
      <c r="K4505">
        <v>44.6</v>
      </c>
      <c r="L4505">
        <v>0</v>
      </c>
    </row>
    <row r="4506" spans="1:12">
      <c r="A4506" t="s">
        <v>13053</v>
      </c>
      <c r="B4506" t="s">
        <v>13054</v>
      </c>
      <c r="D4506" t="s">
        <v>15</v>
      </c>
      <c r="E4506" t="s">
        <v>24</v>
      </c>
      <c r="F4506" t="s">
        <v>17</v>
      </c>
      <c r="G4506" t="s">
        <v>37</v>
      </c>
      <c r="H4506" t="s">
        <v>63</v>
      </c>
      <c r="J4506">
        <v>8</v>
      </c>
    </row>
    <row r="4507" spans="1:12">
      <c r="A4507" t="s">
        <v>13055</v>
      </c>
      <c r="B4507" t="s">
        <v>13056</v>
      </c>
      <c r="C4507" t="s">
        <v>13057</v>
      </c>
      <c r="D4507" t="s">
        <v>23</v>
      </c>
      <c r="E4507" t="s">
        <v>28</v>
      </c>
      <c r="F4507" t="s">
        <v>36</v>
      </c>
      <c r="G4507" t="s">
        <v>172</v>
      </c>
      <c r="H4507" t="s">
        <v>31</v>
      </c>
      <c r="I4507">
        <v>4</v>
      </c>
      <c r="J4507">
        <v>24</v>
      </c>
      <c r="K4507">
        <v>4.84</v>
      </c>
      <c r="L4507">
        <v>1</v>
      </c>
    </row>
    <row r="4508" spans="1:12">
      <c r="A4508" t="s">
        <v>13058</v>
      </c>
      <c r="B4508" t="s">
        <v>13059</v>
      </c>
      <c r="C4508" t="s">
        <v>13060</v>
      </c>
      <c r="D4508" t="s">
        <v>35</v>
      </c>
      <c r="E4508" t="s">
        <v>28</v>
      </c>
      <c r="F4508" t="s">
        <v>60</v>
      </c>
      <c r="G4508" t="s">
        <v>172</v>
      </c>
      <c r="H4508" t="s">
        <v>19</v>
      </c>
      <c r="I4508">
        <v>5</v>
      </c>
      <c r="J4508">
        <v>48</v>
      </c>
      <c r="K4508">
        <v>10.17</v>
      </c>
      <c r="L4508">
        <v>1</v>
      </c>
    </row>
    <row r="4509" spans="1:12">
      <c r="A4509" t="s">
        <v>13061</v>
      </c>
      <c r="B4509" t="s">
        <v>13062</v>
      </c>
      <c r="C4509" t="s">
        <v>13063</v>
      </c>
      <c r="D4509" t="s">
        <v>158</v>
      </c>
      <c r="E4509" t="s">
        <v>24</v>
      </c>
      <c r="F4509" t="s">
        <v>41</v>
      </c>
      <c r="G4509" t="s">
        <v>55</v>
      </c>
      <c r="H4509" t="s">
        <v>19</v>
      </c>
      <c r="I4509">
        <v>4</v>
      </c>
      <c r="J4509">
        <v>4</v>
      </c>
      <c r="K4509">
        <v>0.68</v>
      </c>
      <c r="L4509">
        <v>1</v>
      </c>
    </row>
    <row r="4510" spans="1:12">
      <c r="A4510" t="s">
        <v>13064</v>
      </c>
      <c r="B4510" t="s">
        <v>13065</v>
      </c>
      <c r="C4510" t="s">
        <v>13066</v>
      </c>
      <c r="D4510" t="s">
        <v>23</v>
      </c>
      <c r="E4510" t="s">
        <v>54</v>
      </c>
      <c r="F4510" t="s">
        <v>29</v>
      </c>
      <c r="G4510" t="s">
        <v>77</v>
      </c>
      <c r="H4510" t="s">
        <v>31</v>
      </c>
      <c r="I4510">
        <v>4</v>
      </c>
      <c r="J4510">
        <v>24</v>
      </c>
      <c r="K4510">
        <v>10.31</v>
      </c>
      <c r="L4510">
        <v>1</v>
      </c>
    </row>
    <row r="4511" spans="1:12">
      <c r="A4511" t="s">
        <v>13067</v>
      </c>
      <c r="B4511" t="s">
        <v>13068</v>
      </c>
      <c r="C4511" t="s">
        <v>13069</v>
      </c>
      <c r="D4511" t="s">
        <v>23</v>
      </c>
      <c r="E4511" t="s">
        <v>54</v>
      </c>
      <c r="F4511" t="s">
        <v>60</v>
      </c>
      <c r="G4511" t="s">
        <v>151</v>
      </c>
      <c r="H4511" t="s">
        <v>31</v>
      </c>
      <c r="I4511">
        <v>5</v>
      </c>
      <c r="J4511">
        <v>24</v>
      </c>
      <c r="K4511">
        <v>6.44</v>
      </c>
      <c r="L4511">
        <v>1</v>
      </c>
    </row>
    <row r="4512" spans="1:12">
      <c r="A4512" t="s">
        <v>13070</v>
      </c>
      <c r="B4512" t="s">
        <v>13071</v>
      </c>
      <c r="C4512" t="s">
        <v>13072</v>
      </c>
      <c r="D4512" t="s">
        <v>15</v>
      </c>
      <c r="E4512" t="s">
        <v>28</v>
      </c>
      <c r="F4512" t="s">
        <v>41</v>
      </c>
      <c r="G4512" t="s">
        <v>151</v>
      </c>
      <c r="H4512" t="s">
        <v>19</v>
      </c>
      <c r="I4512">
        <v>5</v>
      </c>
      <c r="J4512">
        <v>8</v>
      </c>
      <c r="K4512">
        <v>3.44</v>
      </c>
      <c r="L4512">
        <v>1</v>
      </c>
    </row>
    <row r="4513" spans="1:12">
      <c r="A4513" t="s">
        <v>13073</v>
      </c>
      <c r="B4513" t="s">
        <v>13074</v>
      </c>
      <c r="C4513" t="s">
        <v>13075</v>
      </c>
      <c r="D4513" t="s">
        <v>15</v>
      </c>
      <c r="E4513" t="s">
        <v>28</v>
      </c>
      <c r="F4513" t="s">
        <v>60</v>
      </c>
      <c r="G4513" t="s">
        <v>105</v>
      </c>
      <c r="H4513" t="s">
        <v>19</v>
      </c>
      <c r="I4513">
        <v>5</v>
      </c>
      <c r="J4513">
        <v>8</v>
      </c>
      <c r="K4513">
        <v>2.4</v>
      </c>
      <c r="L4513">
        <v>1</v>
      </c>
    </row>
    <row r="4514" spans="1:12">
      <c r="A4514" t="s">
        <v>13076</v>
      </c>
      <c r="B4514" t="s">
        <v>13077</v>
      </c>
      <c r="C4514" t="s">
        <v>13078</v>
      </c>
      <c r="D4514" t="s">
        <v>23</v>
      </c>
      <c r="E4514" t="s">
        <v>28</v>
      </c>
      <c r="F4514" t="s">
        <v>36</v>
      </c>
      <c r="G4514" t="s">
        <v>42</v>
      </c>
      <c r="H4514" t="s">
        <v>19</v>
      </c>
      <c r="I4514">
        <v>5</v>
      </c>
      <c r="J4514">
        <v>24</v>
      </c>
      <c r="K4514">
        <v>4.5999999999999996</v>
      </c>
      <c r="L4514">
        <v>1</v>
      </c>
    </row>
    <row r="4515" spans="1:12">
      <c r="A4515" t="s">
        <v>13079</v>
      </c>
      <c r="B4515" t="s">
        <v>13080</v>
      </c>
      <c r="D4515" t="s">
        <v>35</v>
      </c>
      <c r="E4515" t="s">
        <v>16</v>
      </c>
      <c r="F4515" t="s">
        <v>17</v>
      </c>
      <c r="G4515" t="s">
        <v>50</v>
      </c>
      <c r="H4515" t="s">
        <v>46</v>
      </c>
      <c r="J4515">
        <v>48</v>
      </c>
    </row>
    <row r="4516" spans="1:12">
      <c r="A4516" t="s">
        <v>13081</v>
      </c>
      <c r="B4516" t="s">
        <v>13082</v>
      </c>
      <c r="C4516" t="s">
        <v>13083</v>
      </c>
      <c r="D4516" t="s">
        <v>158</v>
      </c>
      <c r="E4516" t="s">
        <v>28</v>
      </c>
      <c r="F4516" t="s">
        <v>29</v>
      </c>
      <c r="G4516" t="s">
        <v>18</v>
      </c>
      <c r="H4516" t="s">
        <v>31</v>
      </c>
      <c r="I4516">
        <v>4</v>
      </c>
      <c r="J4516">
        <v>4</v>
      </c>
      <c r="K4516">
        <v>3.08</v>
      </c>
      <c r="L4516">
        <v>1</v>
      </c>
    </row>
    <row r="4517" spans="1:12">
      <c r="A4517" t="s">
        <v>13084</v>
      </c>
      <c r="B4517" t="s">
        <v>13085</v>
      </c>
      <c r="C4517" t="s">
        <v>13086</v>
      </c>
      <c r="D4517" t="s">
        <v>23</v>
      </c>
      <c r="E4517" t="s">
        <v>28</v>
      </c>
      <c r="F4517" t="s">
        <v>41</v>
      </c>
      <c r="G4517" t="s">
        <v>18</v>
      </c>
      <c r="H4517" t="s">
        <v>31</v>
      </c>
      <c r="I4517">
        <v>4</v>
      </c>
      <c r="J4517">
        <v>24</v>
      </c>
      <c r="K4517">
        <v>11.68</v>
      </c>
      <c r="L4517">
        <v>1</v>
      </c>
    </row>
    <row r="4518" spans="1:12">
      <c r="A4518" t="s">
        <v>13087</v>
      </c>
      <c r="B4518" t="s">
        <v>13088</v>
      </c>
      <c r="C4518" t="s">
        <v>13089</v>
      </c>
      <c r="D4518" t="s">
        <v>15</v>
      </c>
      <c r="E4518" t="s">
        <v>16</v>
      </c>
      <c r="F4518" t="s">
        <v>60</v>
      </c>
      <c r="G4518" t="s">
        <v>45</v>
      </c>
      <c r="H4518" t="s">
        <v>31</v>
      </c>
      <c r="I4518">
        <v>3</v>
      </c>
      <c r="J4518">
        <v>8</v>
      </c>
      <c r="K4518">
        <v>2.83</v>
      </c>
      <c r="L4518">
        <v>1</v>
      </c>
    </row>
    <row r="4519" spans="1:12">
      <c r="A4519" t="s">
        <v>13090</v>
      </c>
      <c r="B4519" t="s">
        <v>13091</v>
      </c>
      <c r="C4519" t="s">
        <v>13092</v>
      </c>
      <c r="D4519" t="s">
        <v>158</v>
      </c>
      <c r="E4519" t="s">
        <v>16</v>
      </c>
      <c r="F4519" t="s">
        <v>17</v>
      </c>
      <c r="G4519" t="s">
        <v>50</v>
      </c>
      <c r="H4519" t="s">
        <v>19</v>
      </c>
      <c r="I4519">
        <v>5</v>
      </c>
      <c r="J4519">
        <v>4</v>
      </c>
      <c r="K4519">
        <v>0.83</v>
      </c>
      <c r="L4519">
        <v>1</v>
      </c>
    </row>
    <row r="4520" spans="1:12">
      <c r="A4520" t="s">
        <v>13093</v>
      </c>
      <c r="B4520" t="s">
        <v>13094</v>
      </c>
      <c r="C4520" t="s">
        <v>13095</v>
      </c>
      <c r="D4520" t="s">
        <v>23</v>
      </c>
      <c r="E4520" t="s">
        <v>28</v>
      </c>
      <c r="F4520" t="s">
        <v>41</v>
      </c>
      <c r="G4520" t="s">
        <v>18</v>
      </c>
      <c r="H4520" t="s">
        <v>31</v>
      </c>
      <c r="I4520">
        <v>4</v>
      </c>
      <c r="J4520">
        <v>24</v>
      </c>
      <c r="K4520">
        <v>16.34</v>
      </c>
      <c r="L4520">
        <v>1</v>
      </c>
    </row>
    <row r="4521" spans="1:12">
      <c r="A4521" t="s">
        <v>13096</v>
      </c>
      <c r="B4521" t="s">
        <v>13097</v>
      </c>
      <c r="C4521" t="s">
        <v>13098</v>
      </c>
      <c r="D4521" t="s">
        <v>35</v>
      </c>
      <c r="E4521" t="s">
        <v>24</v>
      </c>
      <c r="F4521" t="s">
        <v>60</v>
      </c>
      <c r="G4521" t="s">
        <v>77</v>
      </c>
      <c r="H4521" t="s">
        <v>31</v>
      </c>
      <c r="I4521">
        <v>5</v>
      </c>
      <c r="J4521">
        <v>48</v>
      </c>
      <c r="K4521">
        <v>44.19</v>
      </c>
      <c r="L4521">
        <v>1</v>
      </c>
    </row>
    <row r="4522" spans="1:12">
      <c r="A4522" t="s">
        <v>13099</v>
      </c>
      <c r="B4522" t="s">
        <v>13100</v>
      </c>
      <c r="C4522" t="s">
        <v>13101</v>
      </c>
      <c r="D4522" t="s">
        <v>158</v>
      </c>
      <c r="E4522" t="s">
        <v>24</v>
      </c>
      <c r="F4522" t="s">
        <v>60</v>
      </c>
      <c r="G4522" t="s">
        <v>172</v>
      </c>
      <c r="H4522" t="s">
        <v>19</v>
      </c>
      <c r="I4522">
        <v>2</v>
      </c>
      <c r="J4522">
        <v>4</v>
      </c>
      <c r="K4522">
        <v>11.74</v>
      </c>
      <c r="L4522">
        <v>0</v>
      </c>
    </row>
    <row r="4523" spans="1:12">
      <c r="A4523" t="s">
        <v>13102</v>
      </c>
      <c r="B4523" t="s">
        <v>13103</v>
      </c>
      <c r="C4523" t="s">
        <v>13104</v>
      </c>
      <c r="D4523" t="s">
        <v>15</v>
      </c>
      <c r="E4523" t="s">
        <v>59</v>
      </c>
      <c r="F4523" t="s">
        <v>36</v>
      </c>
      <c r="G4523" t="s">
        <v>105</v>
      </c>
      <c r="H4523" t="s">
        <v>19</v>
      </c>
      <c r="I4523">
        <v>5</v>
      </c>
      <c r="J4523">
        <v>8</v>
      </c>
      <c r="K4523">
        <v>1.91</v>
      </c>
      <c r="L4523">
        <v>1</v>
      </c>
    </row>
    <row r="4524" spans="1:12">
      <c r="A4524" t="s">
        <v>13105</v>
      </c>
      <c r="B4524" t="s">
        <v>13106</v>
      </c>
      <c r="C4524" t="s">
        <v>13107</v>
      </c>
      <c r="D4524" t="s">
        <v>23</v>
      </c>
      <c r="E4524" t="s">
        <v>54</v>
      </c>
      <c r="F4524" t="s">
        <v>17</v>
      </c>
      <c r="G4524" t="s">
        <v>151</v>
      </c>
      <c r="H4524" t="s">
        <v>19</v>
      </c>
      <c r="I4524">
        <v>5</v>
      </c>
      <c r="J4524">
        <v>24</v>
      </c>
      <c r="K4524">
        <v>7.06</v>
      </c>
      <c r="L4524">
        <v>1</v>
      </c>
    </row>
    <row r="4525" spans="1:12">
      <c r="A4525" t="s">
        <v>13108</v>
      </c>
      <c r="B4525" t="s">
        <v>13109</v>
      </c>
      <c r="C4525" t="s">
        <v>13110</v>
      </c>
      <c r="D4525" t="s">
        <v>23</v>
      </c>
      <c r="E4525" t="s">
        <v>28</v>
      </c>
      <c r="F4525" t="s">
        <v>60</v>
      </c>
      <c r="G4525" t="s">
        <v>42</v>
      </c>
      <c r="H4525" t="s">
        <v>31</v>
      </c>
      <c r="I4525">
        <v>4</v>
      </c>
      <c r="J4525">
        <v>24</v>
      </c>
      <c r="K4525">
        <v>21.81</v>
      </c>
      <c r="L4525">
        <v>1</v>
      </c>
    </row>
    <row r="4526" spans="1:12">
      <c r="A4526" t="s">
        <v>13111</v>
      </c>
      <c r="B4526" t="s">
        <v>13112</v>
      </c>
      <c r="C4526" t="s">
        <v>13113</v>
      </c>
      <c r="D4526" t="s">
        <v>15</v>
      </c>
      <c r="E4526" t="s">
        <v>54</v>
      </c>
      <c r="F4526" t="s">
        <v>17</v>
      </c>
      <c r="G4526" t="s">
        <v>151</v>
      </c>
      <c r="H4526" t="s">
        <v>19</v>
      </c>
      <c r="I4526">
        <v>5</v>
      </c>
      <c r="J4526">
        <v>8</v>
      </c>
      <c r="K4526">
        <v>1.98</v>
      </c>
      <c r="L4526">
        <v>1</v>
      </c>
    </row>
    <row r="4527" spans="1:12">
      <c r="A4527" t="s">
        <v>13114</v>
      </c>
      <c r="B4527" t="s">
        <v>13115</v>
      </c>
      <c r="C4527" t="s">
        <v>13116</v>
      </c>
      <c r="D4527" t="s">
        <v>35</v>
      </c>
      <c r="E4527" t="s">
        <v>24</v>
      </c>
      <c r="F4527" t="s">
        <v>17</v>
      </c>
      <c r="G4527" t="s">
        <v>50</v>
      </c>
      <c r="H4527" t="s">
        <v>19</v>
      </c>
      <c r="I4527">
        <v>5</v>
      </c>
      <c r="J4527">
        <v>48</v>
      </c>
      <c r="K4527">
        <v>32.89</v>
      </c>
      <c r="L4527">
        <v>1</v>
      </c>
    </row>
    <row r="4528" spans="1:12">
      <c r="A4528" t="s">
        <v>13117</v>
      </c>
      <c r="B4528" t="s">
        <v>13118</v>
      </c>
      <c r="C4528" t="s">
        <v>13119</v>
      </c>
      <c r="D4528" t="s">
        <v>23</v>
      </c>
      <c r="E4528" t="s">
        <v>24</v>
      </c>
      <c r="F4528" t="s">
        <v>29</v>
      </c>
      <c r="G4528" t="s">
        <v>105</v>
      </c>
      <c r="H4528" t="s">
        <v>19</v>
      </c>
      <c r="I4528">
        <v>2</v>
      </c>
      <c r="J4528">
        <v>24</v>
      </c>
      <c r="K4528">
        <v>46.18</v>
      </c>
      <c r="L4528">
        <v>0</v>
      </c>
    </row>
    <row r="4529" spans="1:12">
      <c r="A4529" t="s">
        <v>13120</v>
      </c>
      <c r="B4529" t="s">
        <v>13121</v>
      </c>
      <c r="C4529" t="s">
        <v>13122</v>
      </c>
      <c r="D4529" t="s">
        <v>23</v>
      </c>
      <c r="E4529" t="s">
        <v>24</v>
      </c>
      <c r="F4529" t="s">
        <v>29</v>
      </c>
      <c r="G4529" t="s">
        <v>30</v>
      </c>
      <c r="H4529" t="s">
        <v>31</v>
      </c>
      <c r="I4529">
        <v>1</v>
      </c>
      <c r="J4529">
        <v>24</v>
      </c>
      <c r="K4529">
        <v>59.44</v>
      </c>
      <c r="L4529">
        <v>0</v>
      </c>
    </row>
    <row r="4530" spans="1:12">
      <c r="A4530" t="s">
        <v>13123</v>
      </c>
      <c r="B4530" t="s">
        <v>13124</v>
      </c>
      <c r="C4530" t="s">
        <v>13125</v>
      </c>
      <c r="D4530" t="s">
        <v>23</v>
      </c>
      <c r="E4530" t="s">
        <v>54</v>
      </c>
      <c r="F4530" t="s">
        <v>41</v>
      </c>
      <c r="G4530" t="s">
        <v>42</v>
      </c>
      <c r="H4530" t="s">
        <v>19</v>
      </c>
      <c r="I4530">
        <v>1</v>
      </c>
      <c r="J4530">
        <v>24</v>
      </c>
      <c r="K4530">
        <v>43.83</v>
      </c>
      <c r="L4530">
        <v>0</v>
      </c>
    </row>
    <row r="4531" spans="1:12">
      <c r="A4531" t="s">
        <v>13126</v>
      </c>
      <c r="B4531" t="s">
        <v>13127</v>
      </c>
      <c r="C4531" t="s">
        <v>13128</v>
      </c>
      <c r="D4531" t="s">
        <v>35</v>
      </c>
      <c r="E4531" t="s">
        <v>28</v>
      </c>
      <c r="F4531" t="s">
        <v>60</v>
      </c>
      <c r="G4531" t="s">
        <v>55</v>
      </c>
      <c r="H4531" t="s">
        <v>19</v>
      </c>
      <c r="I4531">
        <v>5</v>
      </c>
      <c r="J4531">
        <v>48</v>
      </c>
      <c r="K4531">
        <v>37.409999999999997</v>
      </c>
      <c r="L4531">
        <v>1</v>
      </c>
    </row>
    <row r="4532" spans="1:12">
      <c r="A4532" t="s">
        <v>13129</v>
      </c>
      <c r="B4532" t="s">
        <v>13130</v>
      </c>
      <c r="D4532" t="s">
        <v>15</v>
      </c>
      <c r="E4532" t="s">
        <v>28</v>
      </c>
      <c r="F4532" t="s">
        <v>17</v>
      </c>
      <c r="G4532" t="s">
        <v>30</v>
      </c>
      <c r="H4532" t="s">
        <v>63</v>
      </c>
      <c r="J4532">
        <v>8</v>
      </c>
    </row>
    <row r="4533" spans="1:12">
      <c r="A4533" t="s">
        <v>13131</v>
      </c>
      <c r="B4533" t="s">
        <v>13132</v>
      </c>
      <c r="C4533" t="s">
        <v>13133</v>
      </c>
      <c r="D4533" t="s">
        <v>15</v>
      </c>
      <c r="E4533" t="s">
        <v>28</v>
      </c>
      <c r="F4533" t="s">
        <v>41</v>
      </c>
      <c r="G4533" t="s">
        <v>50</v>
      </c>
      <c r="H4533" t="s">
        <v>19</v>
      </c>
      <c r="I4533">
        <v>4</v>
      </c>
      <c r="J4533">
        <v>8</v>
      </c>
      <c r="K4533">
        <v>1.41</v>
      </c>
      <c r="L4533">
        <v>1</v>
      </c>
    </row>
    <row r="4534" spans="1:12">
      <c r="A4534" t="s">
        <v>13134</v>
      </c>
      <c r="B4534" t="s">
        <v>13135</v>
      </c>
      <c r="C4534" t="s">
        <v>13136</v>
      </c>
      <c r="D4534" t="s">
        <v>23</v>
      </c>
      <c r="E4534" t="s">
        <v>28</v>
      </c>
      <c r="F4534" t="s">
        <v>41</v>
      </c>
      <c r="G4534" t="s">
        <v>172</v>
      </c>
      <c r="H4534" t="s">
        <v>19</v>
      </c>
      <c r="I4534">
        <v>1</v>
      </c>
      <c r="J4534">
        <v>24</v>
      </c>
      <c r="K4534">
        <v>32.99</v>
      </c>
      <c r="L4534">
        <v>0</v>
      </c>
    </row>
    <row r="4535" spans="1:12">
      <c r="A4535" t="s">
        <v>13137</v>
      </c>
      <c r="B4535" t="s">
        <v>13138</v>
      </c>
      <c r="C4535" t="s">
        <v>13139</v>
      </c>
      <c r="D4535" t="s">
        <v>23</v>
      </c>
      <c r="E4535" t="s">
        <v>24</v>
      </c>
      <c r="F4535" t="s">
        <v>60</v>
      </c>
      <c r="G4535" t="s">
        <v>151</v>
      </c>
      <c r="H4535" t="s">
        <v>19</v>
      </c>
      <c r="I4535">
        <v>5</v>
      </c>
      <c r="J4535">
        <v>24</v>
      </c>
      <c r="K4535">
        <v>21.35</v>
      </c>
      <c r="L4535">
        <v>1</v>
      </c>
    </row>
    <row r="4536" spans="1:12">
      <c r="A4536" t="s">
        <v>13140</v>
      </c>
      <c r="B4536" t="s">
        <v>13141</v>
      </c>
      <c r="C4536" t="s">
        <v>13142</v>
      </c>
      <c r="D4536" t="s">
        <v>35</v>
      </c>
      <c r="E4536" t="s">
        <v>59</v>
      </c>
      <c r="F4536" t="s">
        <v>60</v>
      </c>
      <c r="G4536" t="s">
        <v>45</v>
      </c>
      <c r="H4536" t="s">
        <v>31</v>
      </c>
      <c r="I4536">
        <v>4</v>
      </c>
      <c r="J4536">
        <v>48</v>
      </c>
      <c r="K4536">
        <v>36.57</v>
      </c>
      <c r="L4536">
        <v>1</v>
      </c>
    </row>
    <row r="4537" spans="1:12">
      <c r="A4537" t="s">
        <v>13143</v>
      </c>
      <c r="B4537" t="s">
        <v>13144</v>
      </c>
      <c r="C4537" t="s">
        <v>13145</v>
      </c>
      <c r="D4537" t="s">
        <v>23</v>
      </c>
      <c r="E4537" t="s">
        <v>28</v>
      </c>
      <c r="F4537" t="s">
        <v>29</v>
      </c>
      <c r="G4537" t="s">
        <v>50</v>
      </c>
      <c r="H4537" t="s">
        <v>19</v>
      </c>
      <c r="I4537">
        <v>4</v>
      </c>
      <c r="J4537">
        <v>24</v>
      </c>
      <c r="K4537">
        <v>10.75</v>
      </c>
      <c r="L4537">
        <v>1</v>
      </c>
    </row>
    <row r="4538" spans="1:12">
      <c r="A4538" t="s">
        <v>13146</v>
      </c>
      <c r="B4538" t="s">
        <v>13147</v>
      </c>
      <c r="C4538" t="s">
        <v>13148</v>
      </c>
      <c r="D4538" t="s">
        <v>35</v>
      </c>
      <c r="E4538" t="s">
        <v>59</v>
      </c>
      <c r="F4538" t="s">
        <v>60</v>
      </c>
      <c r="G4538" t="s">
        <v>37</v>
      </c>
      <c r="H4538" t="s">
        <v>19</v>
      </c>
      <c r="I4538">
        <v>5</v>
      </c>
      <c r="J4538">
        <v>48</v>
      </c>
      <c r="K4538">
        <v>36.5</v>
      </c>
      <c r="L4538">
        <v>1</v>
      </c>
    </row>
    <row r="4539" spans="1:12">
      <c r="A4539" t="s">
        <v>13149</v>
      </c>
      <c r="B4539" t="s">
        <v>13150</v>
      </c>
      <c r="C4539" t="s">
        <v>13151</v>
      </c>
      <c r="D4539" t="s">
        <v>158</v>
      </c>
      <c r="E4539" t="s">
        <v>16</v>
      </c>
      <c r="F4539" t="s">
        <v>36</v>
      </c>
      <c r="G4539" t="s">
        <v>105</v>
      </c>
      <c r="H4539" t="s">
        <v>19</v>
      </c>
      <c r="I4539">
        <v>4</v>
      </c>
      <c r="J4539">
        <v>4</v>
      </c>
      <c r="K4539">
        <v>1.76</v>
      </c>
      <c r="L4539">
        <v>1</v>
      </c>
    </row>
    <row r="4540" spans="1:12">
      <c r="A4540" t="s">
        <v>13152</v>
      </c>
      <c r="B4540" t="s">
        <v>13153</v>
      </c>
      <c r="C4540" t="s">
        <v>13154</v>
      </c>
      <c r="D4540" t="s">
        <v>15</v>
      </c>
      <c r="E4540" t="s">
        <v>28</v>
      </c>
      <c r="F4540" t="s">
        <v>29</v>
      </c>
      <c r="G4540" t="s">
        <v>55</v>
      </c>
      <c r="H4540" t="s">
        <v>31</v>
      </c>
      <c r="I4540">
        <v>4</v>
      </c>
      <c r="J4540">
        <v>8</v>
      </c>
      <c r="K4540">
        <v>0.9</v>
      </c>
      <c r="L4540">
        <v>1</v>
      </c>
    </row>
    <row r="4541" spans="1:12">
      <c r="A4541" t="s">
        <v>13155</v>
      </c>
      <c r="B4541" t="s">
        <v>13156</v>
      </c>
      <c r="C4541" t="s">
        <v>13157</v>
      </c>
      <c r="D4541" t="s">
        <v>15</v>
      </c>
      <c r="E4541" t="s">
        <v>24</v>
      </c>
      <c r="F4541" t="s">
        <v>41</v>
      </c>
      <c r="G4541" t="s">
        <v>30</v>
      </c>
      <c r="H4541" t="s">
        <v>19</v>
      </c>
      <c r="I4541">
        <v>5</v>
      </c>
      <c r="J4541">
        <v>8</v>
      </c>
      <c r="K4541">
        <v>6.07</v>
      </c>
      <c r="L4541">
        <v>1</v>
      </c>
    </row>
    <row r="4542" spans="1:12">
      <c r="A4542" t="s">
        <v>13158</v>
      </c>
      <c r="B4542" t="s">
        <v>13159</v>
      </c>
      <c r="D4542" t="s">
        <v>158</v>
      </c>
      <c r="E4542" t="s">
        <v>28</v>
      </c>
      <c r="F4542" t="s">
        <v>60</v>
      </c>
      <c r="G4542" t="s">
        <v>30</v>
      </c>
      <c r="H4542" t="s">
        <v>46</v>
      </c>
      <c r="J4542">
        <v>4</v>
      </c>
    </row>
    <row r="4543" spans="1:12">
      <c r="A4543" t="s">
        <v>13160</v>
      </c>
      <c r="B4543" t="s">
        <v>13161</v>
      </c>
      <c r="D4543" t="s">
        <v>15</v>
      </c>
      <c r="E4543" t="s">
        <v>54</v>
      </c>
      <c r="F4543" t="s">
        <v>36</v>
      </c>
      <c r="G4543" t="s">
        <v>18</v>
      </c>
      <c r="H4543" t="s">
        <v>63</v>
      </c>
      <c r="J4543">
        <v>8</v>
      </c>
    </row>
    <row r="4544" spans="1:12">
      <c r="A4544" t="s">
        <v>13162</v>
      </c>
      <c r="B4544" t="s">
        <v>13163</v>
      </c>
      <c r="C4544" t="s">
        <v>13164</v>
      </c>
      <c r="D4544" t="s">
        <v>15</v>
      </c>
      <c r="E4544" t="s">
        <v>59</v>
      </c>
      <c r="F4544" t="s">
        <v>36</v>
      </c>
      <c r="G4544" t="s">
        <v>42</v>
      </c>
      <c r="H4544" t="s">
        <v>19</v>
      </c>
      <c r="I4544">
        <v>4</v>
      </c>
      <c r="J4544">
        <v>8</v>
      </c>
      <c r="K4544">
        <v>4.7300000000000004</v>
      </c>
      <c r="L4544">
        <v>1</v>
      </c>
    </row>
    <row r="4545" spans="1:12">
      <c r="A4545" t="s">
        <v>13165</v>
      </c>
      <c r="B4545" t="s">
        <v>13166</v>
      </c>
      <c r="D4545" t="s">
        <v>23</v>
      </c>
      <c r="E4545" t="s">
        <v>59</v>
      </c>
      <c r="F4545" t="s">
        <v>41</v>
      </c>
      <c r="G4545" t="s">
        <v>73</v>
      </c>
      <c r="H4545" t="s">
        <v>63</v>
      </c>
      <c r="J4545">
        <v>24</v>
      </c>
    </row>
    <row r="4546" spans="1:12">
      <c r="A4546" t="s">
        <v>13167</v>
      </c>
      <c r="B4546" t="s">
        <v>13168</v>
      </c>
      <c r="C4546" t="s">
        <v>13169</v>
      </c>
      <c r="D4546" t="s">
        <v>23</v>
      </c>
      <c r="E4546" t="s">
        <v>28</v>
      </c>
      <c r="F4546" t="s">
        <v>29</v>
      </c>
      <c r="G4546" t="s">
        <v>77</v>
      </c>
      <c r="H4546" t="s">
        <v>19</v>
      </c>
      <c r="I4546">
        <v>2</v>
      </c>
      <c r="J4546">
        <v>24</v>
      </c>
      <c r="K4546">
        <v>42.12</v>
      </c>
      <c r="L4546">
        <v>0</v>
      </c>
    </row>
    <row r="4547" spans="1:12">
      <c r="A4547" t="s">
        <v>13170</v>
      </c>
      <c r="B4547" t="s">
        <v>13171</v>
      </c>
      <c r="C4547" t="s">
        <v>13172</v>
      </c>
      <c r="D4547" t="s">
        <v>23</v>
      </c>
      <c r="E4547" t="s">
        <v>54</v>
      </c>
      <c r="F4547" t="s">
        <v>36</v>
      </c>
      <c r="G4547" t="s">
        <v>172</v>
      </c>
      <c r="H4547" t="s">
        <v>19</v>
      </c>
      <c r="I4547">
        <v>1</v>
      </c>
      <c r="J4547">
        <v>24</v>
      </c>
      <c r="K4547">
        <v>48.15</v>
      </c>
      <c r="L4547">
        <v>0</v>
      </c>
    </row>
    <row r="4548" spans="1:12">
      <c r="A4548" t="s">
        <v>13173</v>
      </c>
      <c r="B4548" t="s">
        <v>13174</v>
      </c>
      <c r="C4548" t="s">
        <v>13175</v>
      </c>
      <c r="D4548" t="s">
        <v>35</v>
      </c>
      <c r="E4548" t="s">
        <v>54</v>
      </c>
      <c r="F4548" t="s">
        <v>41</v>
      </c>
      <c r="G4548" t="s">
        <v>50</v>
      </c>
      <c r="H4548" t="s">
        <v>19</v>
      </c>
      <c r="I4548">
        <v>4</v>
      </c>
      <c r="J4548">
        <v>48</v>
      </c>
      <c r="K4548">
        <v>38.200000000000003</v>
      </c>
      <c r="L4548">
        <v>1</v>
      </c>
    </row>
    <row r="4549" spans="1:12">
      <c r="A4549" t="s">
        <v>13176</v>
      </c>
      <c r="B4549" t="s">
        <v>13177</v>
      </c>
      <c r="C4549" t="s">
        <v>13178</v>
      </c>
      <c r="D4549" t="s">
        <v>158</v>
      </c>
      <c r="E4549" t="s">
        <v>28</v>
      </c>
      <c r="F4549" t="s">
        <v>60</v>
      </c>
      <c r="G4549" t="s">
        <v>30</v>
      </c>
      <c r="H4549" t="s">
        <v>31</v>
      </c>
      <c r="I4549">
        <v>5</v>
      </c>
      <c r="J4549">
        <v>4</v>
      </c>
      <c r="K4549">
        <v>1.56</v>
      </c>
      <c r="L4549">
        <v>1</v>
      </c>
    </row>
    <row r="4550" spans="1:12">
      <c r="A4550" t="s">
        <v>13179</v>
      </c>
      <c r="B4550" t="s">
        <v>13180</v>
      </c>
      <c r="D4550" t="s">
        <v>23</v>
      </c>
      <c r="E4550" t="s">
        <v>28</v>
      </c>
      <c r="F4550" t="s">
        <v>17</v>
      </c>
      <c r="G4550" t="s">
        <v>105</v>
      </c>
      <c r="H4550" t="s">
        <v>63</v>
      </c>
      <c r="J4550">
        <v>24</v>
      </c>
    </row>
    <row r="4551" spans="1:12">
      <c r="A4551" t="s">
        <v>13181</v>
      </c>
      <c r="B4551" t="s">
        <v>13182</v>
      </c>
      <c r="D4551" t="s">
        <v>15</v>
      </c>
      <c r="E4551" t="s">
        <v>16</v>
      </c>
      <c r="F4551" t="s">
        <v>29</v>
      </c>
      <c r="G4551" t="s">
        <v>18</v>
      </c>
      <c r="H4551" t="s">
        <v>46</v>
      </c>
      <c r="J4551">
        <v>8</v>
      </c>
    </row>
    <row r="4552" spans="1:12">
      <c r="A4552" t="s">
        <v>13183</v>
      </c>
      <c r="B4552" t="s">
        <v>13184</v>
      </c>
      <c r="C4552" t="s">
        <v>13185</v>
      </c>
      <c r="D4552" t="s">
        <v>35</v>
      </c>
      <c r="E4552" t="s">
        <v>16</v>
      </c>
      <c r="F4552" t="s">
        <v>41</v>
      </c>
      <c r="G4552" t="s">
        <v>37</v>
      </c>
      <c r="H4552" t="s">
        <v>19</v>
      </c>
      <c r="I4552">
        <v>5</v>
      </c>
      <c r="J4552">
        <v>48</v>
      </c>
      <c r="K4552">
        <v>25.01</v>
      </c>
      <c r="L4552">
        <v>1</v>
      </c>
    </row>
    <row r="4553" spans="1:12">
      <c r="A4553" t="s">
        <v>13186</v>
      </c>
      <c r="B4553" t="s">
        <v>13187</v>
      </c>
      <c r="C4553" t="s">
        <v>13188</v>
      </c>
      <c r="D4553" t="s">
        <v>23</v>
      </c>
      <c r="E4553" t="s">
        <v>54</v>
      </c>
      <c r="F4553" t="s">
        <v>60</v>
      </c>
      <c r="G4553" t="s">
        <v>30</v>
      </c>
      <c r="H4553" t="s">
        <v>19</v>
      </c>
      <c r="I4553">
        <v>2</v>
      </c>
      <c r="J4553">
        <v>24</v>
      </c>
      <c r="K4553">
        <v>61.68</v>
      </c>
      <c r="L4553">
        <v>0</v>
      </c>
    </row>
    <row r="4554" spans="1:12">
      <c r="A4554" t="s">
        <v>13189</v>
      </c>
      <c r="B4554" t="s">
        <v>13190</v>
      </c>
      <c r="C4554" t="s">
        <v>13191</v>
      </c>
      <c r="D4554" t="s">
        <v>15</v>
      </c>
      <c r="E4554" t="s">
        <v>16</v>
      </c>
      <c r="F4554" t="s">
        <v>36</v>
      </c>
      <c r="G4554" t="s">
        <v>30</v>
      </c>
      <c r="H4554" t="s">
        <v>19</v>
      </c>
      <c r="I4554">
        <v>4</v>
      </c>
      <c r="J4554">
        <v>8</v>
      </c>
      <c r="K4554">
        <v>18.88</v>
      </c>
      <c r="L4554">
        <v>0</v>
      </c>
    </row>
    <row r="4555" spans="1:12">
      <c r="A4555" t="s">
        <v>13192</v>
      </c>
      <c r="B4555" t="s">
        <v>13193</v>
      </c>
      <c r="C4555" t="s">
        <v>13194</v>
      </c>
      <c r="D4555" t="s">
        <v>158</v>
      </c>
      <c r="E4555" t="s">
        <v>28</v>
      </c>
      <c r="F4555" t="s">
        <v>60</v>
      </c>
      <c r="G4555" t="s">
        <v>172</v>
      </c>
      <c r="H4555" t="s">
        <v>19</v>
      </c>
      <c r="I4555">
        <v>4</v>
      </c>
      <c r="J4555">
        <v>4</v>
      </c>
      <c r="K4555">
        <v>2.98</v>
      </c>
      <c r="L4555">
        <v>1</v>
      </c>
    </row>
    <row r="4556" spans="1:12">
      <c r="A4556" t="s">
        <v>13195</v>
      </c>
      <c r="B4556" t="s">
        <v>13196</v>
      </c>
      <c r="C4556" t="s">
        <v>13197</v>
      </c>
      <c r="D4556" t="s">
        <v>23</v>
      </c>
      <c r="E4556" t="s">
        <v>28</v>
      </c>
      <c r="F4556" t="s">
        <v>41</v>
      </c>
      <c r="G4556" t="s">
        <v>55</v>
      </c>
      <c r="H4556" t="s">
        <v>19</v>
      </c>
      <c r="I4556">
        <v>5</v>
      </c>
      <c r="J4556">
        <v>24</v>
      </c>
      <c r="K4556">
        <v>22.18</v>
      </c>
      <c r="L4556">
        <v>1</v>
      </c>
    </row>
    <row r="4557" spans="1:12">
      <c r="A4557" t="s">
        <v>13198</v>
      </c>
      <c r="B4557" t="s">
        <v>13199</v>
      </c>
      <c r="D4557" t="s">
        <v>15</v>
      </c>
      <c r="E4557" t="s">
        <v>24</v>
      </c>
      <c r="F4557" t="s">
        <v>60</v>
      </c>
      <c r="G4557" t="s">
        <v>172</v>
      </c>
      <c r="H4557" t="s">
        <v>63</v>
      </c>
      <c r="J4557">
        <v>8</v>
      </c>
    </row>
    <row r="4558" spans="1:12">
      <c r="A4558" t="s">
        <v>13200</v>
      </c>
      <c r="B4558" t="s">
        <v>13201</v>
      </c>
      <c r="C4558" t="s">
        <v>13202</v>
      </c>
      <c r="D4558" t="s">
        <v>23</v>
      </c>
      <c r="E4558" t="s">
        <v>28</v>
      </c>
      <c r="F4558" t="s">
        <v>17</v>
      </c>
      <c r="G4558" t="s">
        <v>42</v>
      </c>
      <c r="H4558" t="s">
        <v>19</v>
      </c>
      <c r="I4558">
        <v>5</v>
      </c>
      <c r="J4558">
        <v>24</v>
      </c>
      <c r="K4558">
        <v>8.39</v>
      </c>
      <c r="L4558">
        <v>1</v>
      </c>
    </row>
    <row r="4559" spans="1:12">
      <c r="A4559" t="s">
        <v>13203</v>
      </c>
      <c r="B4559" t="s">
        <v>13204</v>
      </c>
      <c r="C4559" t="s">
        <v>13205</v>
      </c>
      <c r="D4559" t="s">
        <v>23</v>
      </c>
      <c r="E4559" t="s">
        <v>54</v>
      </c>
      <c r="F4559" t="s">
        <v>17</v>
      </c>
      <c r="G4559" t="s">
        <v>172</v>
      </c>
      <c r="H4559" t="s">
        <v>31</v>
      </c>
      <c r="I4559">
        <v>5</v>
      </c>
      <c r="J4559">
        <v>24</v>
      </c>
      <c r="K4559">
        <v>22.12</v>
      </c>
      <c r="L4559">
        <v>1</v>
      </c>
    </row>
    <row r="4560" spans="1:12">
      <c r="A4560" t="s">
        <v>13206</v>
      </c>
      <c r="B4560" t="s">
        <v>13207</v>
      </c>
      <c r="C4560" t="s">
        <v>13208</v>
      </c>
      <c r="D4560" t="s">
        <v>15</v>
      </c>
      <c r="E4560" t="s">
        <v>28</v>
      </c>
      <c r="F4560" t="s">
        <v>29</v>
      </c>
      <c r="G4560" t="s">
        <v>105</v>
      </c>
      <c r="H4560" t="s">
        <v>19</v>
      </c>
      <c r="I4560">
        <v>4</v>
      </c>
      <c r="J4560">
        <v>8</v>
      </c>
      <c r="K4560">
        <v>5.3</v>
      </c>
      <c r="L4560">
        <v>1</v>
      </c>
    </row>
    <row r="4561" spans="1:12">
      <c r="A4561" t="s">
        <v>13209</v>
      </c>
      <c r="B4561" t="s">
        <v>13210</v>
      </c>
      <c r="C4561" t="s">
        <v>13211</v>
      </c>
      <c r="D4561" t="s">
        <v>15</v>
      </c>
      <c r="E4561" t="s">
        <v>54</v>
      </c>
      <c r="F4561" t="s">
        <v>60</v>
      </c>
      <c r="G4561" t="s">
        <v>55</v>
      </c>
      <c r="H4561" t="s">
        <v>31</v>
      </c>
      <c r="I4561">
        <v>4</v>
      </c>
      <c r="J4561">
        <v>8</v>
      </c>
      <c r="K4561">
        <v>5.76</v>
      </c>
      <c r="L4561">
        <v>1</v>
      </c>
    </row>
    <row r="4562" spans="1:12">
      <c r="A4562" t="s">
        <v>13212</v>
      </c>
      <c r="B4562" t="s">
        <v>13213</v>
      </c>
      <c r="C4562" t="s">
        <v>13214</v>
      </c>
      <c r="D4562" t="s">
        <v>15</v>
      </c>
      <c r="E4562" t="s">
        <v>54</v>
      </c>
      <c r="F4562" t="s">
        <v>41</v>
      </c>
      <c r="G4562" t="s">
        <v>151</v>
      </c>
      <c r="H4562" t="s">
        <v>19</v>
      </c>
      <c r="I4562">
        <v>3</v>
      </c>
      <c r="J4562">
        <v>8</v>
      </c>
      <c r="K4562">
        <v>6.6</v>
      </c>
      <c r="L4562">
        <v>1</v>
      </c>
    </row>
    <row r="4563" spans="1:12">
      <c r="A4563" t="s">
        <v>13215</v>
      </c>
      <c r="B4563" t="s">
        <v>13216</v>
      </c>
      <c r="D4563" t="s">
        <v>23</v>
      </c>
      <c r="E4563" t="s">
        <v>24</v>
      </c>
      <c r="F4563" t="s">
        <v>60</v>
      </c>
      <c r="G4563" t="s">
        <v>55</v>
      </c>
      <c r="H4563" t="s">
        <v>63</v>
      </c>
      <c r="J4563">
        <v>24</v>
      </c>
    </row>
    <row r="4564" spans="1:12">
      <c r="A4564" t="s">
        <v>13217</v>
      </c>
      <c r="B4564" t="s">
        <v>13218</v>
      </c>
      <c r="C4564" t="s">
        <v>13219</v>
      </c>
      <c r="D4564" t="s">
        <v>35</v>
      </c>
      <c r="E4564" t="s">
        <v>24</v>
      </c>
      <c r="F4564" t="s">
        <v>17</v>
      </c>
      <c r="G4564" t="s">
        <v>45</v>
      </c>
      <c r="H4564" t="s">
        <v>19</v>
      </c>
      <c r="I4564">
        <v>5</v>
      </c>
      <c r="J4564">
        <v>48</v>
      </c>
      <c r="K4564">
        <v>29.76</v>
      </c>
      <c r="L4564">
        <v>1</v>
      </c>
    </row>
    <row r="4565" spans="1:12">
      <c r="A4565" t="s">
        <v>13220</v>
      </c>
      <c r="B4565" t="s">
        <v>13221</v>
      </c>
      <c r="C4565" t="s">
        <v>13222</v>
      </c>
      <c r="D4565" t="s">
        <v>15</v>
      </c>
      <c r="E4565" t="s">
        <v>28</v>
      </c>
      <c r="F4565" t="s">
        <v>29</v>
      </c>
      <c r="G4565" t="s">
        <v>151</v>
      </c>
      <c r="H4565" t="s">
        <v>31</v>
      </c>
      <c r="I4565">
        <v>5</v>
      </c>
      <c r="J4565">
        <v>8</v>
      </c>
      <c r="K4565">
        <v>4.3899999999999997</v>
      </c>
      <c r="L4565">
        <v>1</v>
      </c>
    </row>
    <row r="4566" spans="1:12">
      <c r="A4566" t="s">
        <v>13223</v>
      </c>
      <c r="B4566" t="s">
        <v>13224</v>
      </c>
      <c r="C4566" t="s">
        <v>13225</v>
      </c>
      <c r="D4566" t="s">
        <v>15</v>
      </c>
      <c r="E4566" t="s">
        <v>54</v>
      </c>
      <c r="F4566" t="s">
        <v>60</v>
      </c>
      <c r="G4566" t="s">
        <v>151</v>
      </c>
      <c r="H4566" t="s">
        <v>19</v>
      </c>
      <c r="I4566">
        <v>4</v>
      </c>
      <c r="J4566">
        <v>8</v>
      </c>
      <c r="K4566">
        <v>5.45</v>
      </c>
      <c r="L4566">
        <v>1</v>
      </c>
    </row>
    <row r="4567" spans="1:12">
      <c r="A4567" t="s">
        <v>13226</v>
      </c>
      <c r="B4567" t="s">
        <v>13227</v>
      </c>
      <c r="C4567" t="s">
        <v>13228</v>
      </c>
      <c r="D4567" t="s">
        <v>15</v>
      </c>
      <c r="E4567" t="s">
        <v>16</v>
      </c>
      <c r="F4567" t="s">
        <v>17</v>
      </c>
      <c r="G4567" t="s">
        <v>77</v>
      </c>
      <c r="H4567" t="s">
        <v>19</v>
      </c>
      <c r="I4567">
        <v>5</v>
      </c>
      <c r="J4567">
        <v>8</v>
      </c>
      <c r="K4567">
        <v>1.63</v>
      </c>
      <c r="L4567">
        <v>1</v>
      </c>
    </row>
    <row r="4568" spans="1:12">
      <c r="A4568" t="s">
        <v>13229</v>
      </c>
      <c r="B4568" t="s">
        <v>13230</v>
      </c>
      <c r="C4568" t="s">
        <v>13231</v>
      </c>
      <c r="D4568" t="s">
        <v>158</v>
      </c>
      <c r="E4568" t="s">
        <v>28</v>
      </c>
      <c r="F4568" t="s">
        <v>17</v>
      </c>
      <c r="G4568" t="s">
        <v>18</v>
      </c>
      <c r="H4568" t="s">
        <v>31</v>
      </c>
      <c r="I4568">
        <v>5</v>
      </c>
      <c r="J4568">
        <v>4</v>
      </c>
      <c r="K4568">
        <v>3.16</v>
      </c>
      <c r="L4568">
        <v>1</v>
      </c>
    </row>
    <row r="4569" spans="1:12">
      <c r="A4569" t="s">
        <v>13232</v>
      </c>
      <c r="B4569" t="s">
        <v>13233</v>
      </c>
      <c r="C4569" t="s">
        <v>13234</v>
      </c>
      <c r="D4569" t="s">
        <v>15</v>
      </c>
      <c r="E4569" t="s">
        <v>16</v>
      </c>
      <c r="F4569" t="s">
        <v>41</v>
      </c>
      <c r="G4569" t="s">
        <v>50</v>
      </c>
      <c r="H4569" t="s">
        <v>19</v>
      </c>
      <c r="I4569">
        <v>5</v>
      </c>
      <c r="J4569">
        <v>8</v>
      </c>
      <c r="K4569">
        <v>7.52</v>
      </c>
      <c r="L4569">
        <v>1</v>
      </c>
    </row>
    <row r="4570" spans="1:12">
      <c r="A4570" t="s">
        <v>13235</v>
      </c>
      <c r="B4570" t="s">
        <v>13236</v>
      </c>
      <c r="C4570" t="s">
        <v>13237</v>
      </c>
      <c r="D4570" t="s">
        <v>23</v>
      </c>
      <c r="E4570" t="s">
        <v>54</v>
      </c>
      <c r="F4570" t="s">
        <v>17</v>
      </c>
      <c r="G4570" t="s">
        <v>30</v>
      </c>
      <c r="H4570" t="s">
        <v>31</v>
      </c>
      <c r="I4570">
        <v>5</v>
      </c>
      <c r="J4570">
        <v>24</v>
      </c>
      <c r="K4570">
        <v>5.58</v>
      </c>
      <c r="L4570">
        <v>1</v>
      </c>
    </row>
    <row r="4571" spans="1:12">
      <c r="A4571" t="s">
        <v>13238</v>
      </c>
      <c r="B4571" t="s">
        <v>13239</v>
      </c>
      <c r="C4571" t="s">
        <v>13240</v>
      </c>
      <c r="D4571" t="s">
        <v>15</v>
      </c>
      <c r="E4571" t="s">
        <v>28</v>
      </c>
      <c r="F4571" t="s">
        <v>36</v>
      </c>
      <c r="G4571" t="s">
        <v>172</v>
      </c>
      <c r="H4571" t="s">
        <v>19</v>
      </c>
      <c r="I4571">
        <v>5</v>
      </c>
      <c r="J4571">
        <v>8</v>
      </c>
      <c r="K4571">
        <v>2.06</v>
      </c>
      <c r="L4571">
        <v>1</v>
      </c>
    </row>
    <row r="4572" spans="1:12">
      <c r="A4572" t="s">
        <v>13241</v>
      </c>
      <c r="B4572" t="s">
        <v>13242</v>
      </c>
      <c r="C4572" t="s">
        <v>13243</v>
      </c>
      <c r="D4572" t="s">
        <v>15</v>
      </c>
      <c r="E4572" t="s">
        <v>24</v>
      </c>
      <c r="F4572" t="s">
        <v>41</v>
      </c>
      <c r="G4572" t="s">
        <v>50</v>
      </c>
      <c r="H4572" t="s">
        <v>19</v>
      </c>
      <c r="I4572">
        <v>4</v>
      </c>
      <c r="J4572">
        <v>8</v>
      </c>
      <c r="K4572">
        <v>6.73</v>
      </c>
      <c r="L4572">
        <v>1</v>
      </c>
    </row>
    <row r="4573" spans="1:12">
      <c r="A4573" t="s">
        <v>13244</v>
      </c>
      <c r="B4573" t="s">
        <v>13245</v>
      </c>
      <c r="C4573" t="s">
        <v>13246</v>
      </c>
      <c r="D4573" t="s">
        <v>23</v>
      </c>
      <c r="E4573" t="s">
        <v>54</v>
      </c>
      <c r="F4573" t="s">
        <v>17</v>
      </c>
      <c r="G4573" t="s">
        <v>37</v>
      </c>
      <c r="H4573" t="s">
        <v>19</v>
      </c>
      <c r="I4573">
        <v>4</v>
      </c>
      <c r="J4573">
        <v>24</v>
      </c>
      <c r="K4573">
        <v>11.89</v>
      </c>
      <c r="L4573">
        <v>1</v>
      </c>
    </row>
    <row r="4574" spans="1:12">
      <c r="A4574" t="s">
        <v>13247</v>
      </c>
      <c r="B4574" t="s">
        <v>13248</v>
      </c>
      <c r="C4574" t="s">
        <v>13249</v>
      </c>
      <c r="D4574" t="s">
        <v>15</v>
      </c>
      <c r="E4574" t="s">
        <v>16</v>
      </c>
      <c r="F4574" t="s">
        <v>41</v>
      </c>
      <c r="G4574" t="s">
        <v>45</v>
      </c>
      <c r="H4574" t="s">
        <v>31</v>
      </c>
      <c r="I4574">
        <v>4</v>
      </c>
      <c r="J4574">
        <v>8</v>
      </c>
      <c r="K4574">
        <v>5.87</v>
      </c>
      <c r="L4574">
        <v>1</v>
      </c>
    </row>
    <row r="4575" spans="1:12">
      <c r="A4575" t="s">
        <v>13250</v>
      </c>
      <c r="B4575" t="s">
        <v>13251</v>
      </c>
      <c r="C4575" t="s">
        <v>13252</v>
      </c>
      <c r="D4575" t="s">
        <v>23</v>
      </c>
      <c r="E4575" t="s">
        <v>24</v>
      </c>
      <c r="F4575" t="s">
        <v>41</v>
      </c>
      <c r="G4575" t="s">
        <v>105</v>
      </c>
      <c r="H4575" t="s">
        <v>19</v>
      </c>
      <c r="I4575">
        <v>5</v>
      </c>
      <c r="J4575">
        <v>24</v>
      </c>
      <c r="K4575">
        <v>16.23</v>
      </c>
      <c r="L4575">
        <v>1</v>
      </c>
    </row>
    <row r="4576" spans="1:12">
      <c r="A4576" t="s">
        <v>13253</v>
      </c>
      <c r="B4576" t="s">
        <v>13254</v>
      </c>
      <c r="C4576" t="s">
        <v>13255</v>
      </c>
      <c r="D4576" t="s">
        <v>23</v>
      </c>
      <c r="E4576" t="s">
        <v>59</v>
      </c>
      <c r="F4576" t="s">
        <v>29</v>
      </c>
      <c r="G4576" t="s">
        <v>73</v>
      </c>
      <c r="H4576" t="s">
        <v>31</v>
      </c>
      <c r="I4576">
        <v>5</v>
      </c>
      <c r="J4576">
        <v>24</v>
      </c>
      <c r="K4576">
        <v>21.74</v>
      </c>
      <c r="L4576">
        <v>1</v>
      </c>
    </row>
    <row r="4577" spans="1:12">
      <c r="A4577" t="s">
        <v>13256</v>
      </c>
      <c r="B4577" t="s">
        <v>13257</v>
      </c>
      <c r="C4577" t="s">
        <v>13258</v>
      </c>
      <c r="D4577" t="s">
        <v>23</v>
      </c>
      <c r="E4577" t="s">
        <v>16</v>
      </c>
      <c r="F4577" t="s">
        <v>29</v>
      </c>
      <c r="G4577" t="s">
        <v>42</v>
      </c>
      <c r="H4577" t="s">
        <v>31</v>
      </c>
      <c r="I4577">
        <v>5</v>
      </c>
      <c r="J4577">
        <v>24</v>
      </c>
      <c r="K4577">
        <v>4.6900000000000004</v>
      </c>
      <c r="L4577">
        <v>1</v>
      </c>
    </row>
    <row r="4578" spans="1:12">
      <c r="A4578" t="s">
        <v>13259</v>
      </c>
      <c r="B4578" t="s">
        <v>13260</v>
      </c>
      <c r="C4578" t="s">
        <v>13261</v>
      </c>
      <c r="D4578" t="s">
        <v>35</v>
      </c>
      <c r="E4578" t="s">
        <v>16</v>
      </c>
      <c r="F4578" t="s">
        <v>60</v>
      </c>
      <c r="G4578" t="s">
        <v>172</v>
      </c>
      <c r="H4578" t="s">
        <v>19</v>
      </c>
      <c r="I4578">
        <v>4</v>
      </c>
      <c r="J4578">
        <v>48</v>
      </c>
      <c r="K4578">
        <v>16.5</v>
      </c>
      <c r="L4578">
        <v>1</v>
      </c>
    </row>
    <row r="4579" spans="1:12">
      <c r="A4579" t="s">
        <v>13262</v>
      </c>
      <c r="B4579" t="s">
        <v>13263</v>
      </c>
      <c r="C4579" t="s">
        <v>13264</v>
      </c>
      <c r="D4579" t="s">
        <v>23</v>
      </c>
      <c r="E4579" t="s">
        <v>24</v>
      </c>
      <c r="F4579" t="s">
        <v>41</v>
      </c>
      <c r="G4579" t="s">
        <v>77</v>
      </c>
      <c r="H4579" t="s">
        <v>19</v>
      </c>
      <c r="I4579">
        <v>5</v>
      </c>
      <c r="J4579">
        <v>24</v>
      </c>
      <c r="K4579">
        <v>6.53</v>
      </c>
      <c r="L4579">
        <v>1</v>
      </c>
    </row>
    <row r="4580" spans="1:12">
      <c r="A4580" t="s">
        <v>13265</v>
      </c>
      <c r="B4580" t="s">
        <v>13266</v>
      </c>
      <c r="C4580" t="s">
        <v>13267</v>
      </c>
      <c r="D4580" t="s">
        <v>35</v>
      </c>
      <c r="E4580" t="s">
        <v>28</v>
      </c>
      <c r="F4580" t="s">
        <v>41</v>
      </c>
      <c r="G4580" t="s">
        <v>172</v>
      </c>
      <c r="H4580" t="s">
        <v>31</v>
      </c>
      <c r="I4580">
        <v>5</v>
      </c>
      <c r="J4580">
        <v>48</v>
      </c>
      <c r="K4580">
        <v>24.58</v>
      </c>
      <c r="L4580">
        <v>1</v>
      </c>
    </row>
    <row r="4581" spans="1:12">
      <c r="A4581" t="s">
        <v>13268</v>
      </c>
      <c r="B4581" t="s">
        <v>13269</v>
      </c>
      <c r="C4581" t="s">
        <v>13270</v>
      </c>
      <c r="D4581" t="s">
        <v>158</v>
      </c>
      <c r="E4581" t="s">
        <v>59</v>
      </c>
      <c r="F4581" t="s">
        <v>29</v>
      </c>
      <c r="G4581" t="s">
        <v>105</v>
      </c>
      <c r="H4581" t="s">
        <v>31</v>
      </c>
      <c r="I4581">
        <v>4</v>
      </c>
      <c r="J4581">
        <v>4</v>
      </c>
      <c r="K4581">
        <v>1.0900000000000001</v>
      </c>
      <c r="L4581">
        <v>1</v>
      </c>
    </row>
    <row r="4582" spans="1:12">
      <c r="A4582" t="s">
        <v>13271</v>
      </c>
      <c r="B4582" t="s">
        <v>13272</v>
      </c>
      <c r="C4582" t="s">
        <v>13273</v>
      </c>
      <c r="D4582" t="s">
        <v>23</v>
      </c>
      <c r="E4582" t="s">
        <v>54</v>
      </c>
      <c r="F4582" t="s">
        <v>17</v>
      </c>
      <c r="G4582" t="s">
        <v>45</v>
      </c>
      <c r="H4582" t="s">
        <v>31</v>
      </c>
      <c r="I4582">
        <v>3</v>
      </c>
      <c r="J4582">
        <v>24</v>
      </c>
      <c r="K4582">
        <v>31.68</v>
      </c>
      <c r="L4582">
        <v>0</v>
      </c>
    </row>
    <row r="4583" spans="1:12">
      <c r="A4583" t="s">
        <v>13274</v>
      </c>
      <c r="B4583" t="s">
        <v>13275</v>
      </c>
      <c r="C4583" t="s">
        <v>13276</v>
      </c>
      <c r="D4583" t="s">
        <v>158</v>
      </c>
      <c r="E4583" t="s">
        <v>24</v>
      </c>
      <c r="F4583" t="s">
        <v>29</v>
      </c>
      <c r="G4583" t="s">
        <v>105</v>
      </c>
      <c r="H4583" t="s">
        <v>19</v>
      </c>
      <c r="I4583">
        <v>4</v>
      </c>
      <c r="J4583">
        <v>4</v>
      </c>
      <c r="K4583">
        <v>3.64</v>
      </c>
      <c r="L4583">
        <v>1</v>
      </c>
    </row>
    <row r="4584" spans="1:12">
      <c r="A4584" t="s">
        <v>13277</v>
      </c>
      <c r="B4584" t="s">
        <v>13278</v>
      </c>
      <c r="D4584" t="s">
        <v>23</v>
      </c>
      <c r="E4584" t="s">
        <v>16</v>
      </c>
      <c r="F4584" t="s">
        <v>17</v>
      </c>
      <c r="G4584" t="s">
        <v>73</v>
      </c>
      <c r="H4584" t="s">
        <v>46</v>
      </c>
      <c r="J4584">
        <v>24</v>
      </c>
    </row>
    <row r="4585" spans="1:12">
      <c r="A4585" t="s">
        <v>13279</v>
      </c>
      <c r="B4585" t="s">
        <v>13280</v>
      </c>
      <c r="C4585" t="s">
        <v>13281</v>
      </c>
      <c r="D4585" t="s">
        <v>23</v>
      </c>
      <c r="E4585" t="s">
        <v>59</v>
      </c>
      <c r="F4585" t="s">
        <v>41</v>
      </c>
      <c r="G4585" t="s">
        <v>42</v>
      </c>
      <c r="H4585" t="s">
        <v>19</v>
      </c>
      <c r="I4585">
        <v>4</v>
      </c>
      <c r="J4585">
        <v>24</v>
      </c>
      <c r="K4585">
        <v>17.649999999999999</v>
      </c>
      <c r="L4585">
        <v>1</v>
      </c>
    </row>
    <row r="4586" spans="1:12">
      <c r="A4586" t="s">
        <v>13282</v>
      </c>
      <c r="B4586" t="s">
        <v>13283</v>
      </c>
      <c r="D4586" t="s">
        <v>23</v>
      </c>
      <c r="E4586" t="s">
        <v>54</v>
      </c>
      <c r="F4586" t="s">
        <v>41</v>
      </c>
      <c r="G4586" t="s">
        <v>55</v>
      </c>
      <c r="H4586" t="s">
        <v>63</v>
      </c>
      <c r="J4586">
        <v>24</v>
      </c>
    </row>
    <row r="4587" spans="1:12">
      <c r="A4587" t="s">
        <v>13284</v>
      </c>
      <c r="B4587" t="s">
        <v>13285</v>
      </c>
      <c r="C4587" t="s">
        <v>13286</v>
      </c>
      <c r="D4587" t="s">
        <v>15</v>
      </c>
      <c r="E4587" t="s">
        <v>28</v>
      </c>
      <c r="F4587" t="s">
        <v>17</v>
      </c>
      <c r="G4587" t="s">
        <v>18</v>
      </c>
      <c r="H4587" t="s">
        <v>31</v>
      </c>
      <c r="I4587">
        <v>4</v>
      </c>
      <c r="J4587">
        <v>8</v>
      </c>
      <c r="K4587">
        <v>5.45</v>
      </c>
      <c r="L4587">
        <v>1</v>
      </c>
    </row>
    <row r="4588" spans="1:12">
      <c r="A4588" t="s">
        <v>13287</v>
      </c>
      <c r="B4588" t="s">
        <v>13288</v>
      </c>
      <c r="C4588" t="s">
        <v>13289</v>
      </c>
      <c r="D4588" t="s">
        <v>23</v>
      </c>
      <c r="E4588" t="s">
        <v>16</v>
      </c>
      <c r="F4588" t="s">
        <v>17</v>
      </c>
      <c r="G4588" t="s">
        <v>37</v>
      </c>
      <c r="H4588" t="s">
        <v>19</v>
      </c>
      <c r="I4588">
        <v>5</v>
      </c>
      <c r="J4588">
        <v>24</v>
      </c>
      <c r="K4588">
        <v>20.100000000000001</v>
      </c>
      <c r="L4588">
        <v>1</v>
      </c>
    </row>
    <row r="4589" spans="1:12">
      <c r="A4589" t="s">
        <v>13290</v>
      </c>
      <c r="B4589" t="s">
        <v>13291</v>
      </c>
      <c r="C4589" t="s">
        <v>13292</v>
      </c>
      <c r="D4589" t="s">
        <v>23</v>
      </c>
      <c r="E4589" t="s">
        <v>24</v>
      </c>
      <c r="F4589" t="s">
        <v>60</v>
      </c>
      <c r="G4589" t="s">
        <v>45</v>
      </c>
      <c r="H4589" t="s">
        <v>19</v>
      </c>
      <c r="I4589">
        <v>5</v>
      </c>
      <c r="J4589">
        <v>24</v>
      </c>
      <c r="K4589">
        <v>22.05</v>
      </c>
      <c r="L4589">
        <v>1</v>
      </c>
    </row>
    <row r="4590" spans="1:12">
      <c r="A4590" t="s">
        <v>13293</v>
      </c>
      <c r="B4590" t="s">
        <v>13294</v>
      </c>
      <c r="C4590" t="s">
        <v>13295</v>
      </c>
      <c r="D4590" t="s">
        <v>15</v>
      </c>
      <c r="E4590" t="s">
        <v>28</v>
      </c>
      <c r="F4590" t="s">
        <v>36</v>
      </c>
      <c r="G4590" t="s">
        <v>37</v>
      </c>
      <c r="H4590" t="s">
        <v>19</v>
      </c>
      <c r="I4590">
        <v>5</v>
      </c>
      <c r="J4590">
        <v>8</v>
      </c>
      <c r="K4590">
        <v>4.74</v>
      </c>
      <c r="L4590">
        <v>1</v>
      </c>
    </row>
    <row r="4591" spans="1:12">
      <c r="A4591" t="s">
        <v>13296</v>
      </c>
      <c r="B4591" t="s">
        <v>13297</v>
      </c>
      <c r="C4591" t="s">
        <v>13298</v>
      </c>
      <c r="D4591" t="s">
        <v>35</v>
      </c>
      <c r="E4591" t="s">
        <v>28</v>
      </c>
      <c r="F4591" t="s">
        <v>29</v>
      </c>
      <c r="G4591" t="s">
        <v>172</v>
      </c>
      <c r="H4591" t="s">
        <v>19</v>
      </c>
      <c r="I4591">
        <v>2</v>
      </c>
      <c r="J4591">
        <v>48</v>
      </c>
      <c r="K4591">
        <v>107.77</v>
      </c>
      <c r="L4591">
        <v>0</v>
      </c>
    </row>
    <row r="4592" spans="1:12">
      <c r="A4592" t="s">
        <v>13299</v>
      </c>
      <c r="B4592" t="s">
        <v>13300</v>
      </c>
      <c r="C4592" t="s">
        <v>13301</v>
      </c>
      <c r="D4592" t="s">
        <v>23</v>
      </c>
      <c r="E4592" t="s">
        <v>59</v>
      </c>
      <c r="F4592" t="s">
        <v>17</v>
      </c>
      <c r="G4592" t="s">
        <v>42</v>
      </c>
      <c r="H4592" t="s">
        <v>19</v>
      </c>
      <c r="I4592">
        <v>4</v>
      </c>
      <c r="J4592">
        <v>24</v>
      </c>
      <c r="K4592">
        <v>20.57</v>
      </c>
      <c r="L4592">
        <v>1</v>
      </c>
    </row>
    <row r="4593" spans="1:12">
      <c r="A4593" t="s">
        <v>13302</v>
      </c>
      <c r="B4593" t="s">
        <v>13303</v>
      </c>
      <c r="C4593" t="s">
        <v>13304</v>
      </c>
      <c r="D4593" t="s">
        <v>158</v>
      </c>
      <c r="E4593" t="s">
        <v>59</v>
      </c>
      <c r="F4593" t="s">
        <v>17</v>
      </c>
      <c r="G4593" t="s">
        <v>77</v>
      </c>
      <c r="H4593" t="s">
        <v>19</v>
      </c>
      <c r="I4593">
        <v>4</v>
      </c>
      <c r="J4593">
        <v>4</v>
      </c>
      <c r="K4593">
        <v>1.51</v>
      </c>
      <c r="L4593">
        <v>1</v>
      </c>
    </row>
    <row r="4594" spans="1:12">
      <c r="A4594" t="s">
        <v>13305</v>
      </c>
      <c r="B4594" t="s">
        <v>13306</v>
      </c>
      <c r="D4594" t="s">
        <v>158</v>
      </c>
      <c r="E4594" t="s">
        <v>59</v>
      </c>
      <c r="F4594" t="s">
        <v>60</v>
      </c>
      <c r="G4594" t="s">
        <v>77</v>
      </c>
      <c r="H4594" t="s">
        <v>63</v>
      </c>
      <c r="J4594">
        <v>4</v>
      </c>
    </row>
    <row r="4595" spans="1:12">
      <c r="A4595" t="s">
        <v>13307</v>
      </c>
      <c r="B4595" t="s">
        <v>13308</v>
      </c>
      <c r="C4595" t="s">
        <v>13309</v>
      </c>
      <c r="D4595" t="s">
        <v>23</v>
      </c>
      <c r="E4595" t="s">
        <v>28</v>
      </c>
      <c r="F4595" t="s">
        <v>60</v>
      </c>
      <c r="G4595" t="s">
        <v>55</v>
      </c>
      <c r="H4595" t="s">
        <v>31</v>
      </c>
      <c r="I4595">
        <v>4</v>
      </c>
      <c r="J4595">
        <v>24</v>
      </c>
      <c r="K4595">
        <v>4.28</v>
      </c>
      <c r="L4595">
        <v>1</v>
      </c>
    </row>
    <row r="4596" spans="1:12">
      <c r="A4596" t="s">
        <v>13310</v>
      </c>
      <c r="B4596" t="s">
        <v>13311</v>
      </c>
      <c r="C4596" t="s">
        <v>13312</v>
      </c>
      <c r="D4596" t="s">
        <v>23</v>
      </c>
      <c r="E4596" t="s">
        <v>24</v>
      </c>
      <c r="F4596" t="s">
        <v>41</v>
      </c>
      <c r="G4596" t="s">
        <v>73</v>
      </c>
      <c r="H4596" t="s">
        <v>31</v>
      </c>
      <c r="I4596">
        <v>4</v>
      </c>
      <c r="J4596">
        <v>24</v>
      </c>
      <c r="K4596">
        <v>13.34</v>
      </c>
      <c r="L4596">
        <v>1</v>
      </c>
    </row>
    <row r="4597" spans="1:12">
      <c r="A4597" t="s">
        <v>13313</v>
      </c>
      <c r="B4597" t="s">
        <v>13314</v>
      </c>
      <c r="C4597" t="s">
        <v>13315</v>
      </c>
      <c r="D4597" t="s">
        <v>15</v>
      </c>
      <c r="E4597" t="s">
        <v>28</v>
      </c>
      <c r="F4597" t="s">
        <v>36</v>
      </c>
      <c r="G4597" t="s">
        <v>151</v>
      </c>
      <c r="H4597" t="s">
        <v>31</v>
      </c>
      <c r="I4597">
        <v>1</v>
      </c>
      <c r="J4597">
        <v>8</v>
      </c>
      <c r="K4597">
        <v>23.11</v>
      </c>
      <c r="L4597">
        <v>0</v>
      </c>
    </row>
    <row r="4598" spans="1:12">
      <c r="A4598" t="s">
        <v>13316</v>
      </c>
      <c r="B4598" t="s">
        <v>13317</v>
      </c>
      <c r="C4598" t="s">
        <v>13318</v>
      </c>
      <c r="D4598" t="s">
        <v>23</v>
      </c>
      <c r="E4598" t="s">
        <v>16</v>
      </c>
      <c r="F4598" t="s">
        <v>60</v>
      </c>
      <c r="G4598" t="s">
        <v>50</v>
      </c>
      <c r="H4598" t="s">
        <v>19</v>
      </c>
      <c r="I4598">
        <v>4</v>
      </c>
      <c r="J4598">
        <v>24</v>
      </c>
      <c r="K4598">
        <v>15.68</v>
      </c>
      <c r="L4598">
        <v>1</v>
      </c>
    </row>
    <row r="4599" spans="1:12">
      <c r="A4599" t="s">
        <v>13319</v>
      </c>
      <c r="B4599" t="s">
        <v>13320</v>
      </c>
      <c r="C4599" t="s">
        <v>13321</v>
      </c>
      <c r="D4599" t="s">
        <v>35</v>
      </c>
      <c r="E4599" t="s">
        <v>54</v>
      </c>
      <c r="F4599" t="s">
        <v>41</v>
      </c>
      <c r="G4599" t="s">
        <v>18</v>
      </c>
      <c r="H4599" t="s">
        <v>19</v>
      </c>
      <c r="I4599">
        <v>5</v>
      </c>
      <c r="J4599">
        <v>48</v>
      </c>
      <c r="K4599">
        <v>5.47</v>
      </c>
      <c r="L4599">
        <v>1</v>
      </c>
    </row>
    <row r="4600" spans="1:12">
      <c r="A4600" t="s">
        <v>13322</v>
      </c>
      <c r="B4600" t="s">
        <v>13323</v>
      </c>
      <c r="C4600" t="s">
        <v>13324</v>
      </c>
      <c r="D4600" t="s">
        <v>158</v>
      </c>
      <c r="E4600" t="s">
        <v>28</v>
      </c>
      <c r="F4600" t="s">
        <v>41</v>
      </c>
      <c r="G4600" t="s">
        <v>73</v>
      </c>
      <c r="H4600" t="s">
        <v>19</v>
      </c>
      <c r="I4600">
        <v>5</v>
      </c>
      <c r="J4600">
        <v>4</v>
      </c>
      <c r="K4600">
        <v>3.61</v>
      </c>
      <c r="L4600">
        <v>1</v>
      </c>
    </row>
    <row r="4601" spans="1:12">
      <c r="A4601" t="s">
        <v>13325</v>
      </c>
      <c r="B4601" t="s">
        <v>13326</v>
      </c>
      <c r="C4601" t="s">
        <v>13327</v>
      </c>
      <c r="D4601" t="s">
        <v>15</v>
      </c>
      <c r="E4601" t="s">
        <v>24</v>
      </c>
      <c r="F4601" t="s">
        <v>29</v>
      </c>
      <c r="G4601" t="s">
        <v>151</v>
      </c>
      <c r="H4601" t="s">
        <v>19</v>
      </c>
      <c r="I4601">
        <v>4</v>
      </c>
      <c r="J4601">
        <v>8</v>
      </c>
      <c r="K4601">
        <v>5.0999999999999996</v>
      </c>
      <c r="L4601">
        <v>1</v>
      </c>
    </row>
    <row r="4602" spans="1:12">
      <c r="A4602" t="s">
        <v>13328</v>
      </c>
      <c r="B4602" t="s">
        <v>13329</v>
      </c>
      <c r="C4602" t="s">
        <v>13330</v>
      </c>
      <c r="D4602" t="s">
        <v>15</v>
      </c>
      <c r="E4602" t="s">
        <v>54</v>
      </c>
      <c r="F4602" t="s">
        <v>17</v>
      </c>
      <c r="G4602" t="s">
        <v>151</v>
      </c>
      <c r="H4602" t="s">
        <v>19</v>
      </c>
      <c r="I4602">
        <v>4</v>
      </c>
      <c r="J4602">
        <v>8</v>
      </c>
      <c r="K4602">
        <v>9.35</v>
      </c>
      <c r="L4602">
        <v>0</v>
      </c>
    </row>
    <row r="4603" spans="1:12">
      <c r="A4603" t="s">
        <v>13331</v>
      </c>
      <c r="B4603" t="s">
        <v>13332</v>
      </c>
      <c r="C4603" t="s">
        <v>13333</v>
      </c>
      <c r="D4603" t="s">
        <v>23</v>
      </c>
      <c r="E4603" t="s">
        <v>28</v>
      </c>
      <c r="F4603" t="s">
        <v>41</v>
      </c>
      <c r="G4603" t="s">
        <v>37</v>
      </c>
      <c r="H4603" t="s">
        <v>19</v>
      </c>
      <c r="I4603">
        <v>4</v>
      </c>
      <c r="J4603">
        <v>24</v>
      </c>
      <c r="K4603">
        <v>5.33</v>
      </c>
      <c r="L4603">
        <v>1</v>
      </c>
    </row>
    <row r="4604" spans="1:12">
      <c r="A4604" t="s">
        <v>13334</v>
      </c>
      <c r="B4604" t="s">
        <v>13335</v>
      </c>
      <c r="C4604" t="s">
        <v>13336</v>
      </c>
      <c r="D4604" t="s">
        <v>15</v>
      </c>
      <c r="E4604" t="s">
        <v>24</v>
      </c>
      <c r="F4604" t="s">
        <v>36</v>
      </c>
      <c r="G4604" t="s">
        <v>77</v>
      </c>
      <c r="H4604" t="s">
        <v>31</v>
      </c>
      <c r="I4604">
        <v>5</v>
      </c>
      <c r="J4604">
        <v>8</v>
      </c>
      <c r="K4604">
        <v>7.01</v>
      </c>
      <c r="L4604">
        <v>1</v>
      </c>
    </row>
    <row r="4605" spans="1:12">
      <c r="A4605" t="s">
        <v>13337</v>
      </c>
      <c r="B4605" t="s">
        <v>13338</v>
      </c>
      <c r="C4605" t="s">
        <v>13339</v>
      </c>
      <c r="D4605" t="s">
        <v>15</v>
      </c>
      <c r="E4605" t="s">
        <v>16</v>
      </c>
      <c r="F4605" t="s">
        <v>29</v>
      </c>
      <c r="G4605" t="s">
        <v>42</v>
      </c>
      <c r="H4605" t="s">
        <v>31</v>
      </c>
      <c r="I4605">
        <v>4</v>
      </c>
      <c r="J4605">
        <v>8</v>
      </c>
      <c r="K4605">
        <v>0.81</v>
      </c>
      <c r="L4605">
        <v>1</v>
      </c>
    </row>
    <row r="4606" spans="1:12">
      <c r="A4606" t="s">
        <v>13340</v>
      </c>
      <c r="B4606" t="s">
        <v>13341</v>
      </c>
      <c r="C4606" t="s">
        <v>13342</v>
      </c>
      <c r="D4606" t="s">
        <v>158</v>
      </c>
      <c r="E4606" t="s">
        <v>28</v>
      </c>
      <c r="F4606" t="s">
        <v>41</v>
      </c>
      <c r="G4606" t="s">
        <v>105</v>
      </c>
      <c r="H4606" t="s">
        <v>19</v>
      </c>
      <c r="I4606">
        <v>5</v>
      </c>
      <c r="J4606">
        <v>4</v>
      </c>
      <c r="K4606">
        <v>0.6</v>
      </c>
      <c r="L4606">
        <v>1</v>
      </c>
    </row>
    <row r="4607" spans="1:12">
      <c r="A4607" t="s">
        <v>13343</v>
      </c>
      <c r="B4607" t="s">
        <v>13344</v>
      </c>
      <c r="C4607" t="s">
        <v>13345</v>
      </c>
      <c r="D4607" t="s">
        <v>158</v>
      </c>
      <c r="E4607" t="s">
        <v>28</v>
      </c>
      <c r="F4607" t="s">
        <v>36</v>
      </c>
      <c r="G4607" t="s">
        <v>151</v>
      </c>
      <c r="H4607" t="s">
        <v>19</v>
      </c>
      <c r="I4607">
        <v>4</v>
      </c>
      <c r="J4607">
        <v>4</v>
      </c>
      <c r="K4607">
        <v>2.64</v>
      </c>
      <c r="L4607">
        <v>1</v>
      </c>
    </row>
    <row r="4608" spans="1:12">
      <c r="A4608" t="s">
        <v>13346</v>
      </c>
      <c r="B4608" t="s">
        <v>13347</v>
      </c>
      <c r="D4608" t="s">
        <v>23</v>
      </c>
      <c r="E4608" t="s">
        <v>24</v>
      </c>
      <c r="F4608" t="s">
        <v>41</v>
      </c>
      <c r="G4608" t="s">
        <v>73</v>
      </c>
      <c r="H4608" t="s">
        <v>63</v>
      </c>
      <c r="J4608">
        <v>24</v>
      </c>
    </row>
    <row r="4609" spans="1:12">
      <c r="A4609" t="s">
        <v>13348</v>
      </c>
      <c r="B4609" t="s">
        <v>13349</v>
      </c>
      <c r="C4609" t="s">
        <v>13350</v>
      </c>
      <c r="D4609" t="s">
        <v>158</v>
      </c>
      <c r="E4609" t="s">
        <v>24</v>
      </c>
      <c r="F4609" t="s">
        <v>41</v>
      </c>
      <c r="G4609" t="s">
        <v>151</v>
      </c>
      <c r="H4609" t="s">
        <v>19</v>
      </c>
      <c r="I4609">
        <v>4</v>
      </c>
      <c r="J4609">
        <v>4</v>
      </c>
      <c r="K4609">
        <v>1.49</v>
      </c>
      <c r="L4609">
        <v>1</v>
      </c>
    </row>
    <row r="4610" spans="1:12">
      <c r="A4610" t="s">
        <v>13351</v>
      </c>
      <c r="B4610" t="s">
        <v>13352</v>
      </c>
      <c r="C4610" t="s">
        <v>13353</v>
      </c>
      <c r="D4610" t="s">
        <v>15</v>
      </c>
      <c r="E4610" t="s">
        <v>16</v>
      </c>
      <c r="F4610" t="s">
        <v>36</v>
      </c>
      <c r="G4610" t="s">
        <v>37</v>
      </c>
      <c r="H4610" t="s">
        <v>19</v>
      </c>
      <c r="I4610">
        <v>1</v>
      </c>
      <c r="J4610">
        <v>8</v>
      </c>
      <c r="K4610">
        <v>22.61</v>
      </c>
      <c r="L4610">
        <v>0</v>
      </c>
    </row>
    <row r="4611" spans="1:12">
      <c r="A4611" t="s">
        <v>13354</v>
      </c>
      <c r="B4611" t="s">
        <v>13355</v>
      </c>
      <c r="C4611" t="s">
        <v>13356</v>
      </c>
      <c r="D4611" t="s">
        <v>15</v>
      </c>
      <c r="E4611" t="s">
        <v>28</v>
      </c>
      <c r="F4611" t="s">
        <v>17</v>
      </c>
      <c r="G4611" t="s">
        <v>172</v>
      </c>
      <c r="H4611" t="s">
        <v>19</v>
      </c>
      <c r="I4611">
        <v>4</v>
      </c>
      <c r="J4611">
        <v>8</v>
      </c>
      <c r="K4611">
        <v>6.48</v>
      </c>
      <c r="L4611">
        <v>1</v>
      </c>
    </row>
    <row r="4612" spans="1:12">
      <c r="A4612" t="s">
        <v>13357</v>
      </c>
      <c r="B4612" t="s">
        <v>13358</v>
      </c>
      <c r="C4612" t="s">
        <v>13359</v>
      </c>
      <c r="D4612" t="s">
        <v>158</v>
      </c>
      <c r="E4612" t="s">
        <v>59</v>
      </c>
      <c r="F4612" t="s">
        <v>41</v>
      </c>
      <c r="G4612" t="s">
        <v>73</v>
      </c>
      <c r="H4612" t="s">
        <v>31</v>
      </c>
      <c r="I4612">
        <v>5</v>
      </c>
      <c r="J4612">
        <v>4</v>
      </c>
      <c r="K4612">
        <v>0.97</v>
      </c>
      <c r="L4612">
        <v>1</v>
      </c>
    </row>
    <row r="4613" spans="1:12">
      <c r="A4613" t="s">
        <v>13360</v>
      </c>
      <c r="B4613" t="s">
        <v>13361</v>
      </c>
      <c r="C4613" t="s">
        <v>13362</v>
      </c>
      <c r="D4613" t="s">
        <v>35</v>
      </c>
      <c r="E4613" t="s">
        <v>54</v>
      </c>
      <c r="F4613" t="s">
        <v>36</v>
      </c>
      <c r="G4613" t="s">
        <v>37</v>
      </c>
      <c r="H4613" t="s">
        <v>19</v>
      </c>
      <c r="I4613">
        <v>4</v>
      </c>
      <c r="J4613">
        <v>48</v>
      </c>
      <c r="K4613">
        <v>26.87</v>
      </c>
      <c r="L4613">
        <v>1</v>
      </c>
    </row>
    <row r="4614" spans="1:12">
      <c r="A4614" t="s">
        <v>13363</v>
      </c>
      <c r="B4614" t="s">
        <v>13364</v>
      </c>
      <c r="C4614" t="s">
        <v>13365</v>
      </c>
      <c r="D4614" t="s">
        <v>23</v>
      </c>
      <c r="E4614" t="s">
        <v>16</v>
      </c>
      <c r="F4614" t="s">
        <v>41</v>
      </c>
      <c r="G4614" t="s">
        <v>42</v>
      </c>
      <c r="H4614" t="s">
        <v>19</v>
      </c>
      <c r="I4614">
        <v>4</v>
      </c>
      <c r="J4614">
        <v>24</v>
      </c>
      <c r="K4614">
        <v>8.86</v>
      </c>
      <c r="L4614">
        <v>1</v>
      </c>
    </row>
    <row r="4615" spans="1:12">
      <c r="A4615" t="s">
        <v>13366</v>
      </c>
      <c r="B4615" t="s">
        <v>13367</v>
      </c>
      <c r="C4615" t="s">
        <v>13368</v>
      </c>
      <c r="D4615" t="s">
        <v>158</v>
      </c>
      <c r="E4615" t="s">
        <v>54</v>
      </c>
      <c r="F4615" t="s">
        <v>60</v>
      </c>
      <c r="G4615" t="s">
        <v>105</v>
      </c>
      <c r="H4615" t="s">
        <v>19</v>
      </c>
      <c r="I4615">
        <v>4</v>
      </c>
      <c r="J4615">
        <v>4</v>
      </c>
      <c r="K4615">
        <v>2.37</v>
      </c>
      <c r="L4615">
        <v>1</v>
      </c>
    </row>
    <row r="4616" spans="1:12">
      <c r="A4616" t="s">
        <v>13369</v>
      </c>
      <c r="B4616" t="s">
        <v>13370</v>
      </c>
      <c r="C4616" t="s">
        <v>13371</v>
      </c>
      <c r="D4616" t="s">
        <v>23</v>
      </c>
      <c r="E4616" t="s">
        <v>28</v>
      </c>
      <c r="F4616" t="s">
        <v>60</v>
      </c>
      <c r="G4616" t="s">
        <v>42</v>
      </c>
      <c r="H4616" t="s">
        <v>19</v>
      </c>
      <c r="I4616">
        <v>5</v>
      </c>
      <c r="J4616">
        <v>24</v>
      </c>
      <c r="K4616">
        <v>3.37</v>
      </c>
      <c r="L4616">
        <v>1</v>
      </c>
    </row>
    <row r="4617" spans="1:12">
      <c r="A4617" t="s">
        <v>13372</v>
      </c>
      <c r="B4617" t="s">
        <v>13373</v>
      </c>
      <c r="C4617" t="s">
        <v>13374</v>
      </c>
      <c r="D4617" t="s">
        <v>23</v>
      </c>
      <c r="E4617" t="s">
        <v>28</v>
      </c>
      <c r="F4617" t="s">
        <v>41</v>
      </c>
      <c r="G4617" t="s">
        <v>37</v>
      </c>
      <c r="H4617" t="s">
        <v>19</v>
      </c>
      <c r="I4617">
        <v>4</v>
      </c>
      <c r="J4617">
        <v>24</v>
      </c>
      <c r="K4617">
        <v>19.03</v>
      </c>
      <c r="L4617">
        <v>1</v>
      </c>
    </row>
    <row r="4618" spans="1:12">
      <c r="A4618" t="s">
        <v>13375</v>
      </c>
      <c r="B4618" t="s">
        <v>13376</v>
      </c>
      <c r="C4618" t="s">
        <v>13377</v>
      </c>
      <c r="D4618" t="s">
        <v>15</v>
      </c>
      <c r="E4618" t="s">
        <v>59</v>
      </c>
      <c r="F4618" t="s">
        <v>29</v>
      </c>
      <c r="G4618" t="s">
        <v>30</v>
      </c>
      <c r="H4618" t="s">
        <v>19</v>
      </c>
      <c r="I4618">
        <v>4</v>
      </c>
      <c r="J4618">
        <v>8</v>
      </c>
      <c r="K4618">
        <v>5.64</v>
      </c>
      <c r="L4618">
        <v>1</v>
      </c>
    </row>
    <row r="4619" spans="1:12">
      <c r="A4619" t="s">
        <v>13378</v>
      </c>
      <c r="B4619" t="s">
        <v>13379</v>
      </c>
      <c r="C4619" t="s">
        <v>13380</v>
      </c>
      <c r="D4619" t="s">
        <v>23</v>
      </c>
      <c r="E4619" t="s">
        <v>28</v>
      </c>
      <c r="F4619" t="s">
        <v>60</v>
      </c>
      <c r="G4619" t="s">
        <v>45</v>
      </c>
      <c r="H4619" t="s">
        <v>19</v>
      </c>
      <c r="I4619">
        <v>5</v>
      </c>
      <c r="J4619">
        <v>24</v>
      </c>
      <c r="K4619">
        <v>22.07</v>
      </c>
      <c r="L4619">
        <v>1</v>
      </c>
    </row>
    <row r="4620" spans="1:12">
      <c r="A4620" t="s">
        <v>13381</v>
      </c>
      <c r="B4620" t="s">
        <v>13382</v>
      </c>
      <c r="C4620" t="s">
        <v>13383</v>
      </c>
      <c r="D4620" t="s">
        <v>158</v>
      </c>
      <c r="E4620" t="s">
        <v>16</v>
      </c>
      <c r="F4620" t="s">
        <v>41</v>
      </c>
      <c r="G4620" t="s">
        <v>45</v>
      </c>
      <c r="H4620" t="s">
        <v>31</v>
      </c>
      <c r="I4620">
        <v>4</v>
      </c>
      <c r="J4620">
        <v>4</v>
      </c>
      <c r="K4620">
        <v>3.08</v>
      </c>
      <c r="L4620">
        <v>1</v>
      </c>
    </row>
    <row r="4621" spans="1:12">
      <c r="A4621" t="s">
        <v>13384</v>
      </c>
      <c r="B4621" t="s">
        <v>13385</v>
      </c>
      <c r="C4621" t="s">
        <v>13386</v>
      </c>
      <c r="D4621" t="s">
        <v>23</v>
      </c>
      <c r="E4621" t="s">
        <v>28</v>
      </c>
      <c r="F4621" t="s">
        <v>36</v>
      </c>
      <c r="G4621" t="s">
        <v>151</v>
      </c>
      <c r="H4621" t="s">
        <v>31</v>
      </c>
      <c r="I4621">
        <v>4</v>
      </c>
      <c r="J4621">
        <v>24</v>
      </c>
      <c r="K4621">
        <v>10.42</v>
      </c>
      <c r="L4621">
        <v>1</v>
      </c>
    </row>
    <row r="4622" spans="1:12">
      <c r="A4622" t="s">
        <v>13387</v>
      </c>
      <c r="B4622" t="s">
        <v>13388</v>
      </c>
      <c r="C4622" t="s">
        <v>13389</v>
      </c>
      <c r="D4622" t="s">
        <v>23</v>
      </c>
      <c r="E4622" t="s">
        <v>28</v>
      </c>
      <c r="F4622" t="s">
        <v>60</v>
      </c>
      <c r="G4622" t="s">
        <v>172</v>
      </c>
      <c r="H4622" t="s">
        <v>31</v>
      </c>
      <c r="I4622">
        <v>3</v>
      </c>
      <c r="J4622">
        <v>24</v>
      </c>
      <c r="K4622">
        <v>6.98</v>
      </c>
      <c r="L4622">
        <v>1</v>
      </c>
    </row>
    <row r="4623" spans="1:12">
      <c r="A4623" t="s">
        <v>13390</v>
      </c>
      <c r="B4623" t="s">
        <v>13391</v>
      </c>
      <c r="C4623" t="s">
        <v>13392</v>
      </c>
      <c r="D4623" t="s">
        <v>23</v>
      </c>
      <c r="E4623" t="s">
        <v>16</v>
      </c>
      <c r="F4623" t="s">
        <v>29</v>
      </c>
      <c r="G4623" t="s">
        <v>77</v>
      </c>
      <c r="H4623" t="s">
        <v>19</v>
      </c>
      <c r="I4623">
        <v>5</v>
      </c>
      <c r="J4623">
        <v>24</v>
      </c>
      <c r="K4623">
        <v>5.01</v>
      </c>
      <c r="L4623">
        <v>1</v>
      </c>
    </row>
    <row r="4624" spans="1:12">
      <c r="A4624" t="s">
        <v>13393</v>
      </c>
      <c r="B4624" t="s">
        <v>13394</v>
      </c>
      <c r="D4624" t="s">
        <v>15</v>
      </c>
      <c r="E4624" t="s">
        <v>24</v>
      </c>
      <c r="F4624" t="s">
        <v>36</v>
      </c>
      <c r="G4624" t="s">
        <v>45</v>
      </c>
      <c r="H4624" t="s">
        <v>63</v>
      </c>
      <c r="J4624">
        <v>8</v>
      </c>
    </row>
    <row r="4625" spans="1:12">
      <c r="A4625" t="s">
        <v>13395</v>
      </c>
      <c r="B4625" t="s">
        <v>13396</v>
      </c>
      <c r="C4625" t="s">
        <v>13397</v>
      </c>
      <c r="D4625" t="s">
        <v>35</v>
      </c>
      <c r="E4625" t="s">
        <v>54</v>
      </c>
      <c r="F4625" t="s">
        <v>29</v>
      </c>
      <c r="G4625" t="s">
        <v>55</v>
      </c>
      <c r="H4625" t="s">
        <v>19</v>
      </c>
      <c r="I4625">
        <v>5</v>
      </c>
      <c r="J4625">
        <v>48</v>
      </c>
      <c r="K4625">
        <v>27.53</v>
      </c>
      <c r="L4625">
        <v>1</v>
      </c>
    </row>
    <row r="4626" spans="1:12">
      <c r="A4626" t="s">
        <v>13398</v>
      </c>
      <c r="B4626" t="s">
        <v>13399</v>
      </c>
      <c r="C4626" t="s">
        <v>13400</v>
      </c>
      <c r="D4626" t="s">
        <v>23</v>
      </c>
      <c r="E4626" t="s">
        <v>28</v>
      </c>
      <c r="F4626" t="s">
        <v>60</v>
      </c>
      <c r="G4626" t="s">
        <v>30</v>
      </c>
      <c r="H4626" t="s">
        <v>19</v>
      </c>
      <c r="I4626">
        <v>5</v>
      </c>
      <c r="J4626">
        <v>24</v>
      </c>
      <c r="K4626">
        <v>12</v>
      </c>
      <c r="L4626">
        <v>1</v>
      </c>
    </row>
    <row r="4627" spans="1:12">
      <c r="A4627" t="s">
        <v>13401</v>
      </c>
      <c r="B4627" t="s">
        <v>13402</v>
      </c>
      <c r="D4627" t="s">
        <v>15</v>
      </c>
      <c r="E4627" t="s">
        <v>24</v>
      </c>
      <c r="F4627" t="s">
        <v>36</v>
      </c>
      <c r="G4627" t="s">
        <v>50</v>
      </c>
      <c r="H4627" t="s">
        <v>63</v>
      </c>
      <c r="J4627">
        <v>8</v>
      </c>
    </row>
    <row r="4628" spans="1:12">
      <c r="A4628" t="s">
        <v>13403</v>
      </c>
      <c r="B4628" t="s">
        <v>13404</v>
      </c>
      <c r="C4628" t="s">
        <v>13405</v>
      </c>
      <c r="D4628" t="s">
        <v>23</v>
      </c>
      <c r="E4628" t="s">
        <v>24</v>
      </c>
      <c r="F4628" t="s">
        <v>29</v>
      </c>
      <c r="G4628" t="s">
        <v>172</v>
      </c>
      <c r="H4628" t="s">
        <v>19</v>
      </c>
      <c r="I4628">
        <v>4</v>
      </c>
      <c r="J4628">
        <v>24</v>
      </c>
      <c r="K4628">
        <v>12.68</v>
      </c>
      <c r="L4628">
        <v>1</v>
      </c>
    </row>
    <row r="4629" spans="1:12">
      <c r="A4629" t="s">
        <v>13406</v>
      </c>
      <c r="B4629" t="s">
        <v>13407</v>
      </c>
      <c r="C4629" t="s">
        <v>13408</v>
      </c>
      <c r="D4629" t="s">
        <v>23</v>
      </c>
      <c r="E4629" t="s">
        <v>54</v>
      </c>
      <c r="F4629" t="s">
        <v>41</v>
      </c>
      <c r="G4629" t="s">
        <v>18</v>
      </c>
      <c r="H4629" t="s">
        <v>19</v>
      </c>
      <c r="I4629">
        <v>4</v>
      </c>
      <c r="J4629">
        <v>24</v>
      </c>
      <c r="K4629">
        <v>14.62</v>
      </c>
      <c r="L4629">
        <v>1</v>
      </c>
    </row>
    <row r="4630" spans="1:12">
      <c r="A4630" t="s">
        <v>13409</v>
      </c>
      <c r="B4630" t="s">
        <v>13410</v>
      </c>
      <c r="C4630" t="s">
        <v>13411</v>
      </c>
      <c r="D4630" t="s">
        <v>23</v>
      </c>
      <c r="E4630" t="s">
        <v>54</v>
      </c>
      <c r="F4630" t="s">
        <v>41</v>
      </c>
      <c r="G4630" t="s">
        <v>105</v>
      </c>
      <c r="H4630" t="s">
        <v>19</v>
      </c>
      <c r="I4630">
        <v>4</v>
      </c>
      <c r="J4630">
        <v>24</v>
      </c>
      <c r="K4630">
        <v>20.39</v>
      </c>
      <c r="L4630">
        <v>1</v>
      </c>
    </row>
    <row r="4631" spans="1:12">
      <c r="A4631" t="s">
        <v>13412</v>
      </c>
      <c r="B4631" t="s">
        <v>13413</v>
      </c>
      <c r="C4631" t="s">
        <v>13414</v>
      </c>
      <c r="D4631" t="s">
        <v>15</v>
      </c>
      <c r="E4631" t="s">
        <v>54</v>
      </c>
      <c r="F4631" t="s">
        <v>60</v>
      </c>
      <c r="G4631" t="s">
        <v>30</v>
      </c>
      <c r="H4631" t="s">
        <v>19</v>
      </c>
      <c r="I4631">
        <v>5</v>
      </c>
      <c r="J4631">
        <v>8</v>
      </c>
      <c r="K4631">
        <v>2.23</v>
      </c>
      <c r="L4631">
        <v>1</v>
      </c>
    </row>
    <row r="4632" spans="1:12">
      <c r="A4632" t="s">
        <v>13415</v>
      </c>
      <c r="B4632" t="s">
        <v>13416</v>
      </c>
      <c r="D4632" t="s">
        <v>35</v>
      </c>
      <c r="E4632" t="s">
        <v>24</v>
      </c>
      <c r="F4632" t="s">
        <v>60</v>
      </c>
      <c r="G4632" t="s">
        <v>151</v>
      </c>
      <c r="H4632" t="s">
        <v>63</v>
      </c>
      <c r="J4632">
        <v>48</v>
      </c>
    </row>
    <row r="4633" spans="1:12">
      <c r="A4633" t="s">
        <v>13417</v>
      </c>
      <c r="B4633" t="s">
        <v>13418</v>
      </c>
      <c r="C4633" t="s">
        <v>13419</v>
      </c>
      <c r="D4633" t="s">
        <v>15</v>
      </c>
      <c r="E4633" t="s">
        <v>28</v>
      </c>
      <c r="F4633" t="s">
        <v>60</v>
      </c>
      <c r="G4633" t="s">
        <v>18</v>
      </c>
      <c r="H4633" t="s">
        <v>31</v>
      </c>
      <c r="I4633">
        <v>4</v>
      </c>
      <c r="J4633">
        <v>8</v>
      </c>
      <c r="K4633">
        <v>0.92</v>
      </c>
      <c r="L4633">
        <v>1</v>
      </c>
    </row>
    <row r="4634" spans="1:12">
      <c r="A4634" t="s">
        <v>13420</v>
      </c>
      <c r="B4634" t="s">
        <v>13421</v>
      </c>
      <c r="C4634" t="s">
        <v>13422</v>
      </c>
      <c r="D4634" t="s">
        <v>23</v>
      </c>
      <c r="E4634" t="s">
        <v>28</v>
      </c>
      <c r="F4634" t="s">
        <v>41</v>
      </c>
      <c r="G4634" t="s">
        <v>172</v>
      </c>
      <c r="H4634" t="s">
        <v>19</v>
      </c>
      <c r="I4634">
        <v>1</v>
      </c>
      <c r="J4634">
        <v>24</v>
      </c>
      <c r="K4634">
        <v>44.8</v>
      </c>
      <c r="L4634">
        <v>0</v>
      </c>
    </row>
    <row r="4635" spans="1:12">
      <c r="A4635" t="s">
        <v>13423</v>
      </c>
      <c r="B4635" t="s">
        <v>13424</v>
      </c>
      <c r="C4635" t="s">
        <v>13425</v>
      </c>
      <c r="D4635" t="s">
        <v>35</v>
      </c>
      <c r="E4635" t="s">
        <v>28</v>
      </c>
      <c r="F4635" t="s">
        <v>36</v>
      </c>
      <c r="G4635" t="s">
        <v>37</v>
      </c>
      <c r="H4635" t="s">
        <v>19</v>
      </c>
      <c r="I4635">
        <v>4</v>
      </c>
      <c r="J4635">
        <v>48</v>
      </c>
      <c r="K4635">
        <v>7.64</v>
      </c>
      <c r="L4635">
        <v>1</v>
      </c>
    </row>
    <row r="4636" spans="1:12">
      <c r="A4636" t="s">
        <v>13426</v>
      </c>
      <c r="B4636" t="s">
        <v>13427</v>
      </c>
      <c r="C4636" t="s">
        <v>13428</v>
      </c>
      <c r="D4636" t="s">
        <v>35</v>
      </c>
      <c r="E4636" t="s">
        <v>54</v>
      </c>
      <c r="F4636" t="s">
        <v>17</v>
      </c>
      <c r="G4636" t="s">
        <v>172</v>
      </c>
      <c r="H4636" t="s">
        <v>19</v>
      </c>
      <c r="I4636">
        <v>5</v>
      </c>
      <c r="J4636">
        <v>48</v>
      </c>
      <c r="K4636">
        <v>15.72</v>
      </c>
      <c r="L4636">
        <v>1</v>
      </c>
    </row>
    <row r="4637" spans="1:12">
      <c r="A4637" t="s">
        <v>13429</v>
      </c>
      <c r="B4637" t="s">
        <v>13430</v>
      </c>
      <c r="C4637" t="s">
        <v>13431</v>
      </c>
      <c r="D4637" t="s">
        <v>35</v>
      </c>
      <c r="E4637" t="s">
        <v>59</v>
      </c>
      <c r="F4637" t="s">
        <v>60</v>
      </c>
      <c r="G4637" t="s">
        <v>18</v>
      </c>
      <c r="H4637" t="s">
        <v>19</v>
      </c>
      <c r="I4637">
        <v>2</v>
      </c>
      <c r="J4637">
        <v>48</v>
      </c>
      <c r="K4637">
        <v>121.8</v>
      </c>
      <c r="L4637">
        <v>0</v>
      </c>
    </row>
    <row r="4638" spans="1:12">
      <c r="A4638" t="s">
        <v>13432</v>
      </c>
      <c r="B4638" t="s">
        <v>13433</v>
      </c>
      <c r="C4638" t="s">
        <v>13434</v>
      </c>
      <c r="D4638" t="s">
        <v>23</v>
      </c>
      <c r="E4638" t="s">
        <v>16</v>
      </c>
      <c r="F4638" t="s">
        <v>41</v>
      </c>
      <c r="G4638" t="s">
        <v>30</v>
      </c>
      <c r="H4638" t="s">
        <v>19</v>
      </c>
      <c r="I4638">
        <v>4</v>
      </c>
      <c r="J4638">
        <v>24</v>
      </c>
      <c r="K4638">
        <v>9.4499999999999993</v>
      </c>
      <c r="L4638">
        <v>1</v>
      </c>
    </row>
    <row r="4639" spans="1:12">
      <c r="A4639" t="s">
        <v>13435</v>
      </c>
      <c r="B4639" t="s">
        <v>13436</v>
      </c>
      <c r="C4639" t="s">
        <v>13437</v>
      </c>
      <c r="D4639" t="s">
        <v>23</v>
      </c>
      <c r="E4639" t="s">
        <v>28</v>
      </c>
      <c r="F4639" t="s">
        <v>17</v>
      </c>
      <c r="G4639" t="s">
        <v>45</v>
      </c>
      <c r="H4639" t="s">
        <v>31</v>
      </c>
      <c r="I4639">
        <v>5</v>
      </c>
      <c r="J4639">
        <v>24</v>
      </c>
      <c r="K4639">
        <v>4.12</v>
      </c>
      <c r="L4639">
        <v>1</v>
      </c>
    </row>
    <row r="4640" spans="1:12">
      <c r="A4640" t="s">
        <v>13438</v>
      </c>
      <c r="B4640" t="s">
        <v>13439</v>
      </c>
      <c r="C4640" t="s">
        <v>13440</v>
      </c>
      <c r="D4640" t="s">
        <v>23</v>
      </c>
      <c r="E4640" t="s">
        <v>16</v>
      </c>
      <c r="F4640" t="s">
        <v>41</v>
      </c>
      <c r="G4640" t="s">
        <v>172</v>
      </c>
      <c r="H4640" t="s">
        <v>19</v>
      </c>
      <c r="I4640">
        <v>5</v>
      </c>
      <c r="J4640">
        <v>24</v>
      </c>
      <c r="K4640">
        <v>16.11</v>
      </c>
      <c r="L4640">
        <v>1</v>
      </c>
    </row>
    <row r="4641" spans="1:12">
      <c r="A4641" t="s">
        <v>13441</v>
      </c>
      <c r="B4641" t="s">
        <v>13442</v>
      </c>
      <c r="C4641" t="s">
        <v>13443</v>
      </c>
      <c r="D4641" t="s">
        <v>23</v>
      </c>
      <c r="E4641" t="s">
        <v>28</v>
      </c>
      <c r="F4641" t="s">
        <v>60</v>
      </c>
      <c r="G4641" t="s">
        <v>55</v>
      </c>
      <c r="H4641" t="s">
        <v>19</v>
      </c>
      <c r="I4641">
        <v>1</v>
      </c>
      <c r="J4641">
        <v>24</v>
      </c>
      <c r="K4641">
        <v>46.67</v>
      </c>
      <c r="L4641">
        <v>0</v>
      </c>
    </row>
    <row r="4642" spans="1:12">
      <c r="A4642" t="s">
        <v>13444</v>
      </c>
      <c r="B4642" t="s">
        <v>13445</v>
      </c>
      <c r="C4642" t="s">
        <v>13446</v>
      </c>
      <c r="D4642" t="s">
        <v>23</v>
      </c>
      <c r="E4642" t="s">
        <v>16</v>
      </c>
      <c r="F4642" t="s">
        <v>29</v>
      </c>
      <c r="G4642" t="s">
        <v>55</v>
      </c>
      <c r="H4642" t="s">
        <v>19</v>
      </c>
      <c r="I4642">
        <v>3</v>
      </c>
      <c r="J4642">
        <v>24</v>
      </c>
      <c r="K4642">
        <v>14.84</v>
      </c>
      <c r="L4642">
        <v>1</v>
      </c>
    </row>
    <row r="4643" spans="1:12">
      <c r="A4643" t="s">
        <v>13447</v>
      </c>
      <c r="B4643" t="s">
        <v>13448</v>
      </c>
      <c r="C4643" t="s">
        <v>13449</v>
      </c>
      <c r="D4643" t="s">
        <v>158</v>
      </c>
      <c r="E4643" t="s">
        <v>28</v>
      </c>
      <c r="F4643" t="s">
        <v>29</v>
      </c>
      <c r="G4643" t="s">
        <v>30</v>
      </c>
      <c r="H4643" t="s">
        <v>19</v>
      </c>
      <c r="I4643">
        <v>5</v>
      </c>
      <c r="J4643">
        <v>4</v>
      </c>
      <c r="K4643">
        <v>3.45</v>
      </c>
      <c r="L4643">
        <v>1</v>
      </c>
    </row>
    <row r="4644" spans="1:12">
      <c r="A4644" t="s">
        <v>13450</v>
      </c>
      <c r="B4644" t="s">
        <v>13451</v>
      </c>
      <c r="C4644" t="s">
        <v>13452</v>
      </c>
      <c r="D4644" t="s">
        <v>23</v>
      </c>
      <c r="E4644" t="s">
        <v>24</v>
      </c>
      <c r="F4644" t="s">
        <v>36</v>
      </c>
      <c r="G4644" t="s">
        <v>77</v>
      </c>
      <c r="H4644" t="s">
        <v>31</v>
      </c>
      <c r="I4644">
        <v>5</v>
      </c>
      <c r="J4644">
        <v>24</v>
      </c>
      <c r="K4644">
        <v>18.93</v>
      </c>
      <c r="L4644">
        <v>1</v>
      </c>
    </row>
    <row r="4645" spans="1:12">
      <c r="A4645" t="s">
        <v>13453</v>
      </c>
      <c r="B4645" t="s">
        <v>13454</v>
      </c>
      <c r="C4645" t="s">
        <v>13455</v>
      </c>
      <c r="D4645" t="s">
        <v>35</v>
      </c>
      <c r="E4645" t="s">
        <v>28</v>
      </c>
      <c r="F4645" t="s">
        <v>60</v>
      </c>
      <c r="G4645" t="s">
        <v>151</v>
      </c>
      <c r="H4645" t="s">
        <v>19</v>
      </c>
      <c r="I4645">
        <v>5</v>
      </c>
      <c r="J4645">
        <v>48</v>
      </c>
      <c r="K4645">
        <v>24.13</v>
      </c>
      <c r="L4645">
        <v>1</v>
      </c>
    </row>
    <row r="4646" spans="1:12">
      <c r="A4646" t="s">
        <v>13456</v>
      </c>
      <c r="B4646" t="s">
        <v>13457</v>
      </c>
      <c r="C4646" t="s">
        <v>13458</v>
      </c>
      <c r="D4646" t="s">
        <v>35</v>
      </c>
      <c r="E4646" t="s">
        <v>16</v>
      </c>
      <c r="F4646" t="s">
        <v>60</v>
      </c>
      <c r="G4646" t="s">
        <v>151</v>
      </c>
      <c r="H4646" t="s">
        <v>31</v>
      </c>
      <c r="I4646">
        <v>3</v>
      </c>
      <c r="J4646">
        <v>48</v>
      </c>
      <c r="K4646">
        <v>23.32</v>
      </c>
      <c r="L4646">
        <v>1</v>
      </c>
    </row>
    <row r="4647" spans="1:12">
      <c r="A4647" t="s">
        <v>13459</v>
      </c>
      <c r="B4647" t="s">
        <v>13460</v>
      </c>
      <c r="C4647" t="s">
        <v>13461</v>
      </c>
      <c r="D4647" t="s">
        <v>23</v>
      </c>
      <c r="E4647" t="s">
        <v>59</v>
      </c>
      <c r="F4647" t="s">
        <v>60</v>
      </c>
      <c r="G4647" t="s">
        <v>42</v>
      </c>
      <c r="H4647" t="s">
        <v>19</v>
      </c>
      <c r="I4647">
        <v>4</v>
      </c>
      <c r="J4647">
        <v>24</v>
      </c>
      <c r="K4647">
        <v>6.09</v>
      </c>
      <c r="L4647">
        <v>1</v>
      </c>
    </row>
    <row r="4648" spans="1:12">
      <c r="A4648" t="s">
        <v>13462</v>
      </c>
      <c r="B4648" t="s">
        <v>13463</v>
      </c>
      <c r="C4648" t="s">
        <v>13464</v>
      </c>
      <c r="D4648" t="s">
        <v>23</v>
      </c>
      <c r="E4648" t="s">
        <v>24</v>
      </c>
      <c r="F4648" t="s">
        <v>29</v>
      </c>
      <c r="G4648" t="s">
        <v>77</v>
      </c>
      <c r="H4648" t="s">
        <v>31</v>
      </c>
      <c r="I4648">
        <v>5</v>
      </c>
      <c r="J4648">
        <v>24</v>
      </c>
      <c r="K4648">
        <v>13.74</v>
      </c>
      <c r="L4648">
        <v>1</v>
      </c>
    </row>
    <row r="4649" spans="1:12">
      <c r="A4649" t="s">
        <v>13465</v>
      </c>
      <c r="B4649" t="s">
        <v>13466</v>
      </c>
      <c r="C4649" t="s">
        <v>13467</v>
      </c>
      <c r="D4649" t="s">
        <v>35</v>
      </c>
      <c r="E4649" t="s">
        <v>28</v>
      </c>
      <c r="F4649" t="s">
        <v>17</v>
      </c>
      <c r="G4649" t="s">
        <v>37</v>
      </c>
      <c r="H4649" t="s">
        <v>19</v>
      </c>
      <c r="I4649">
        <v>5</v>
      </c>
      <c r="J4649">
        <v>48</v>
      </c>
      <c r="K4649">
        <v>11.32</v>
      </c>
      <c r="L4649">
        <v>1</v>
      </c>
    </row>
    <row r="4650" spans="1:12">
      <c r="A4650" t="s">
        <v>13468</v>
      </c>
      <c r="B4650" t="s">
        <v>13469</v>
      </c>
      <c r="C4650" t="s">
        <v>13470</v>
      </c>
      <c r="D4650" t="s">
        <v>35</v>
      </c>
      <c r="E4650" t="s">
        <v>16</v>
      </c>
      <c r="F4650" t="s">
        <v>60</v>
      </c>
      <c r="G4650" t="s">
        <v>42</v>
      </c>
      <c r="H4650" t="s">
        <v>19</v>
      </c>
      <c r="I4650">
        <v>5</v>
      </c>
      <c r="J4650">
        <v>48</v>
      </c>
      <c r="K4650">
        <v>27.74</v>
      </c>
      <c r="L4650">
        <v>1</v>
      </c>
    </row>
    <row r="4651" spans="1:12">
      <c r="A4651" t="s">
        <v>13471</v>
      </c>
      <c r="B4651" t="s">
        <v>13472</v>
      </c>
      <c r="C4651" t="s">
        <v>13473</v>
      </c>
      <c r="D4651" t="s">
        <v>23</v>
      </c>
      <c r="E4651" t="s">
        <v>59</v>
      </c>
      <c r="F4651" t="s">
        <v>17</v>
      </c>
      <c r="G4651" t="s">
        <v>45</v>
      </c>
      <c r="H4651" t="s">
        <v>31</v>
      </c>
      <c r="I4651">
        <v>5</v>
      </c>
      <c r="J4651">
        <v>24</v>
      </c>
      <c r="K4651">
        <v>3.7</v>
      </c>
      <c r="L4651">
        <v>1</v>
      </c>
    </row>
    <row r="4652" spans="1:12">
      <c r="A4652" t="s">
        <v>13474</v>
      </c>
      <c r="B4652" t="s">
        <v>13475</v>
      </c>
      <c r="D4652" t="s">
        <v>23</v>
      </c>
      <c r="E4652" t="s">
        <v>28</v>
      </c>
      <c r="F4652" t="s">
        <v>29</v>
      </c>
      <c r="G4652" t="s">
        <v>151</v>
      </c>
      <c r="H4652" t="s">
        <v>46</v>
      </c>
      <c r="J4652">
        <v>24</v>
      </c>
    </row>
    <row r="4653" spans="1:12">
      <c r="A4653" t="s">
        <v>13476</v>
      </c>
      <c r="B4653" t="s">
        <v>13477</v>
      </c>
      <c r="C4653" t="s">
        <v>13478</v>
      </c>
      <c r="D4653" t="s">
        <v>15</v>
      </c>
      <c r="E4653" t="s">
        <v>28</v>
      </c>
      <c r="F4653" t="s">
        <v>41</v>
      </c>
      <c r="G4653" t="s">
        <v>105</v>
      </c>
      <c r="H4653" t="s">
        <v>19</v>
      </c>
      <c r="I4653">
        <v>4</v>
      </c>
      <c r="J4653">
        <v>8</v>
      </c>
      <c r="K4653">
        <v>2.69</v>
      </c>
      <c r="L4653">
        <v>1</v>
      </c>
    </row>
    <row r="4654" spans="1:12">
      <c r="A4654" t="s">
        <v>13479</v>
      </c>
      <c r="B4654" t="s">
        <v>13480</v>
      </c>
      <c r="C4654" t="s">
        <v>13481</v>
      </c>
      <c r="D4654" t="s">
        <v>15</v>
      </c>
      <c r="E4654" t="s">
        <v>28</v>
      </c>
      <c r="F4654" t="s">
        <v>29</v>
      </c>
      <c r="G4654" t="s">
        <v>55</v>
      </c>
      <c r="H4654" t="s">
        <v>19</v>
      </c>
      <c r="I4654">
        <v>4</v>
      </c>
      <c r="J4654">
        <v>8</v>
      </c>
      <c r="K4654">
        <v>4.1500000000000004</v>
      </c>
      <c r="L4654">
        <v>1</v>
      </c>
    </row>
    <row r="4655" spans="1:12">
      <c r="A4655" t="s">
        <v>13482</v>
      </c>
      <c r="B4655" t="s">
        <v>13483</v>
      </c>
      <c r="D4655" t="s">
        <v>23</v>
      </c>
      <c r="E4655" t="s">
        <v>28</v>
      </c>
      <c r="F4655" t="s">
        <v>60</v>
      </c>
      <c r="G4655" t="s">
        <v>105</v>
      </c>
      <c r="H4655" t="s">
        <v>63</v>
      </c>
      <c r="J4655">
        <v>24</v>
      </c>
    </row>
    <row r="4656" spans="1:12">
      <c r="A4656" t="s">
        <v>13484</v>
      </c>
      <c r="B4656" t="s">
        <v>13485</v>
      </c>
      <c r="C4656" t="s">
        <v>13486</v>
      </c>
      <c r="D4656" t="s">
        <v>15</v>
      </c>
      <c r="E4656" t="s">
        <v>28</v>
      </c>
      <c r="F4656" t="s">
        <v>36</v>
      </c>
      <c r="G4656" t="s">
        <v>30</v>
      </c>
      <c r="H4656" t="s">
        <v>31</v>
      </c>
      <c r="I4656">
        <v>4</v>
      </c>
      <c r="J4656">
        <v>8</v>
      </c>
      <c r="K4656">
        <v>6.13</v>
      </c>
      <c r="L4656">
        <v>1</v>
      </c>
    </row>
    <row r="4657" spans="1:12">
      <c r="A4657" t="s">
        <v>13487</v>
      </c>
      <c r="B4657" t="s">
        <v>13488</v>
      </c>
      <c r="C4657" t="s">
        <v>13489</v>
      </c>
      <c r="D4657" t="s">
        <v>15</v>
      </c>
      <c r="E4657" t="s">
        <v>16</v>
      </c>
      <c r="F4657" t="s">
        <v>36</v>
      </c>
      <c r="G4657" t="s">
        <v>30</v>
      </c>
      <c r="H4657" t="s">
        <v>31</v>
      </c>
      <c r="I4657">
        <v>4</v>
      </c>
      <c r="J4657">
        <v>8</v>
      </c>
      <c r="K4657">
        <v>6.07</v>
      </c>
      <c r="L4657">
        <v>1</v>
      </c>
    </row>
    <row r="4658" spans="1:12">
      <c r="A4658" t="s">
        <v>13490</v>
      </c>
      <c r="B4658" t="s">
        <v>13491</v>
      </c>
      <c r="C4658" t="s">
        <v>13492</v>
      </c>
      <c r="D4658" t="s">
        <v>23</v>
      </c>
      <c r="E4658" t="s">
        <v>54</v>
      </c>
      <c r="F4658" t="s">
        <v>60</v>
      </c>
      <c r="G4658" t="s">
        <v>105</v>
      </c>
      <c r="H4658" t="s">
        <v>19</v>
      </c>
      <c r="I4658">
        <v>5</v>
      </c>
      <c r="J4658">
        <v>24</v>
      </c>
      <c r="K4658">
        <v>12.67</v>
      </c>
      <c r="L4658">
        <v>1</v>
      </c>
    </row>
    <row r="4659" spans="1:12">
      <c r="A4659" t="s">
        <v>13493</v>
      </c>
      <c r="B4659" t="s">
        <v>13494</v>
      </c>
      <c r="C4659" t="s">
        <v>13495</v>
      </c>
      <c r="D4659" t="s">
        <v>23</v>
      </c>
      <c r="E4659" t="s">
        <v>24</v>
      </c>
      <c r="F4659" t="s">
        <v>17</v>
      </c>
      <c r="G4659" t="s">
        <v>105</v>
      </c>
      <c r="H4659" t="s">
        <v>19</v>
      </c>
      <c r="I4659">
        <v>2</v>
      </c>
      <c r="J4659">
        <v>24</v>
      </c>
      <c r="K4659">
        <v>58.48</v>
      </c>
      <c r="L4659">
        <v>0</v>
      </c>
    </row>
    <row r="4660" spans="1:12">
      <c r="A4660" t="s">
        <v>13496</v>
      </c>
      <c r="B4660" t="s">
        <v>13497</v>
      </c>
      <c r="C4660" t="s">
        <v>13498</v>
      </c>
      <c r="D4660" t="s">
        <v>23</v>
      </c>
      <c r="E4660" t="s">
        <v>16</v>
      </c>
      <c r="F4660" t="s">
        <v>29</v>
      </c>
      <c r="G4660" t="s">
        <v>42</v>
      </c>
      <c r="H4660" t="s">
        <v>31</v>
      </c>
      <c r="I4660">
        <v>5</v>
      </c>
      <c r="J4660">
        <v>24</v>
      </c>
      <c r="K4660">
        <v>14.57</v>
      </c>
      <c r="L4660">
        <v>1</v>
      </c>
    </row>
    <row r="4661" spans="1:12">
      <c r="A4661" t="s">
        <v>13499</v>
      </c>
      <c r="B4661" t="s">
        <v>13500</v>
      </c>
      <c r="C4661" t="s">
        <v>13501</v>
      </c>
      <c r="D4661" t="s">
        <v>23</v>
      </c>
      <c r="E4661" t="s">
        <v>54</v>
      </c>
      <c r="F4661" t="s">
        <v>29</v>
      </c>
      <c r="G4661" t="s">
        <v>45</v>
      </c>
      <c r="H4661" t="s">
        <v>19</v>
      </c>
      <c r="I4661">
        <v>3</v>
      </c>
      <c r="J4661">
        <v>24</v>
      </c>
      <c r="K4661">
        <v>49.01</v>
      </c>
      <c r="L4661">
        <v>0</v>
      </c>
    </row>
    <row r="4662" spans="1:12">
      <c r="A4662" t="s">
        <v>13502</v>
      </c>
      <c r="B4662" t="s">
        <v>13503</v>
      </c>
      <c r="C4662" t="s">
        <v>13504</v>
      </c>
      <c r="D4662" t="s">
        <v>23</v>
      </c>
      <c r="E4662" t="s">
        <v>59</v>
      </c>
      <c r="F4662" t="s">
        <v>17</v>
      </c>
      <c r="G4662" t="s">
        <v>151</v>
      </c>
      <c r="H4662" t="s">
        <v>19</v>
      </c>
      <c r="I4662">
        <v>5</v>
      </c>
      <c r="J4662">
        <v>24</v>
      </c>
      <c r="K4662">
        <v>3.62</v>
      </c>
      <c r="L4662">
        <v>1</v>
      </c>
    </row>
    <row r="4663" spans="1:12">
      <c r="A4663" t="s">
        <v>13505</v>
      </c>
      <c r="B4663" t="s">
        <v>13506</v>
      </c>
      <c r="C4663" t="s">
        <v>13507</v>
      </c>
      <c r="D4663" t="s">
        <v>35</v>
      </c>
      <c r="E4663" t="s">
        <v>16</v>
      </c>
      <c r="F4663" t="s">
        <v>17</v>
      </c>
      <c r="G4663" t="s">
        <v>172</v>
      </c>
      <c r="H4663" t="s">
        <v>31</v>
      </c>
      <c r="I4663">
        <v>5</v>
      </c>
      <c r="J4663">
        <v>48</v>
      </c>
      <c r="K4663">
        <v>37.28</v>
      </c>
      <c r="L4663">
        <v>1</v>
      </c>
    </row>
    <row r="4664" spans="1:12">
      <c r="A4664" t="s">
        <v>13508</v>
      </c>
      <c r="B4664" t="s">
        <v>13509</v>
      </c>
      <c r="C4664" t="s">
        <v>13510</v>
      </c>
      <c r="D4664" t="s">
        <v>23</v>
      </c>
      <c r="E4664" t="s">
        <v>54</v>
      </c>
      <c r="F4664" t="s">
        <v>17</v>
      </c>
      <c r="G4664" t="s">
        <v>105</v>
      </c>
      <c r="H4664" t="s">
        <v>19</v>
      </c>
      <c r="I4664">
        <v>4</v>
      </c>
      <c r="J4664">
        <v>24</v>
      </c>
      <c r="K4664">
        <v>4.58</v>
      </c>
      <c r="L4664">
        <v>1</v>
      </c>
    </row>
    <row r="4665" spans="1:12">
      <c r="A4665" t="s">
        <v>13511</v>
      </c>
      <c r="B4665" t="s">
        <v>13512</v>
      </c>
      <c r="C4665" t="s">
        <v>13513</v>
      </c>
      <c r="D4665" t="s">
        <v>23</v>
      </c>
      <c r="E4665" t="s">
        <v>28</v>
      </c>
      <c r="F4665" t="s">
        <v>17</v>
      </c>
      <c r="G4665" t="s">
        <v>172</v>
      </c>
      <c r="H4665" t="s">
        <v>19</v>
      </c>
      <c r="I4665">
        <v>4</v>
      </c>
      <c r="J4665">
        <v>24</v>
      </c>
      <c r="K4665">
        <v>3.35</v>
      </c>
      <c r="L4665">
        <v>1</v>
      </c>
    </row>
    <row r="4666" spans="1:12">
      <c r="A4666" t="s">
        <v>13514</v>
      </c>
      <c r="B4666" t="s">
        <v>13515</v>
      </c>
      <c r="C4666" t="s">
        <v>13516</v>
      </c>
      <c r="D4666" t="s">
        <v>158</v>
      </c>
      <c r="E4666" t="s">
        <v>54</v>
      </c>
      <c r="F4666" t="s">
        <v>41</v>
      </c>
      <c r="G4666" t="s">
        <v>50</v>
      </c>
      <c r="H4666" t="s">
        <v>19</v>
      </c>
      <c r="I4666">
        <v>4</v>
      </c>
      <c r="J4666">
        <v>4</v>
      </c>
      <c r="K4666">
        <v>3.8</v>
      </c>
      <c r="L4666">
        <v>1</v>
      </c>
    </row>
    <row r="4667" spans="1:12">
      <c r="A4667" t="s">
        <v>13517</v>
      </c>
      <c r="B4667" t="s">
        <v>13518</v>
      </c>
      <c r="C4667" t="s">
        <v>13519</v>
      </c>
      <c r="D4667" t="s">
        <v>35</v>
      </c>
      <c r="E4667" t="s">
        <v>54</v>
      </c>
      <c r="F4667" t="s">
        <v>41</v>
      </c>
      <c r="G4667" t="s">
        <v>42</v>
      </c>
      <c r="H4667" t="s">
        <v>19</v>
      </c>
      <c r="I4667">
        <v>3</v>
      </c>
      <c r="J4667">
        <v>48</v>
      </c>
      <c r="K4667">
        <v>43.87</v>
      </c>
      <c r="L4667">
        <v>1</v>
      </c>
    </row>
    <row r="4668" spans="1:12">
      <c r="A4668" t="s">
        <v>13520</v>
      </c>
      <c r="B4668" t="s">
        <v>13521</v>
      </c>
      <c r="C4668" t="s">
        <v>13522</v>
      </c>
      <c r="D4668" t="s">
        <v>23</v>
      </c>
      <c r="E4668" t="s">
        <v>59</v>
      </c>
      <c r="F4668" t="s">
        <v>41</v>
      </c>
      <c r="G4668" t="s">
        <v>73</v>
      </c>
      <c r="H4668" t="s">
        <v>31</v>
      </c>
      <c r="I4668">
        <v>4</v>
      </c>
      <c r="J4668">
        <v>24</v>
      </c>
      <c r="K4668">
        <v>2.88</v>
      </c>
      <c r="L4668">
        <v>1</v>
      </c>
    </row>
    <row r="4669" spans="1:12">
      <c r="A4669" t="s">
        <v>13523</v>
      </c>
      <c r="B4669" t="s">
        <v>13524</v>
      </c>
      <c r="C4669" t="s">
        <v>13525</v>
      </c>
      <c r="D4669" t="s">
        <v>23</v>
      </c>
      <c r="E4669" t="s">
        <v>24</v>
      </c>
      <c r="F4669" t="s">
        <v>41</v>
      </c>
      <c r="G4669" t="s">
        <v>50</v>
      </c>
      <c r="H4669" t="s">
        <v>19</v>
      </c>
      <c r="I4669">
        <v>3</v>
      </c>
      <c r="J4669">
        <v>24</v>
      </c>
      <c r="K4669">
        <v>33.06</v>
      </c>
      <c r="L4669">
        <v>0</v>
      </c>
    </row>
    <row r="4670" spans="1:12">
      <c r="A4670" t="s">
        <v>13526</v>
      </c>
      <c r="B4670" t="s">
        <v>13527</v>
      </c>
      <c r="C4670" t="s">
        <v>13528</v>
      </c>
      <c r="D4670" t="s">
        <v>15</v>
      </c>
      <c r="E4670" t="s">
        <v>28</v>
      </c>
      <c r="F4670" t="s">
        <v>17</v>
      </c>
      <c r="G4670" t="s">
        <v>42</v>
      </c>
      <c r="H4670" t="s">
        <v>19</v>
      </c>
      <c r="I4670">
        <v>1</v>
      </c>
      <c r="J4670">
        <v>8</v>
      </c>
      <c r="K4670">
        <v>12.02</v>
      </c>
      <c r="L4670">
        <v>0</v>
      </c>
    </row>
    <row r="4671" spans="1:12">
      <c r="A4671" t="s">
        <v>13529</v>
      </c>
      <c r="B4671" t="s">
        <v>13530</v>
      </c>
      <c r="C4671" t="s">
        <v>13531</v>
      </c>
      <c r="D4671" t="s">
        <v>15</v>
      </c>
      <c r="E4671" t="s">
        <v>28</v>
      </c>
      <c r="F4671" t="s">
        <v>41</v>
      </c>
      <c r="G4671" t="s">
        <v>73</v>
      </c>
      <c r="H4671" t="s">
        <v>19</v>
      </c>
      <c r="I4671">
        <v>5</v>
      </c>
      <c r="J4671">
        <v>8</v>
      </c>
      <c r="K4671">
        <v>2.72</v>
      </c>
      <c r="L4671">
        <v>1</v>
      </c>
    </row>
    <row r="4672" spans="1:12">
      <c r="A4672" t="s">
        <v>13532</v>
      </c>
      <c r="B4672" t="s">
        <v>13533</v>
      </c>
      <c r="C4672" t="s">
        <v>13534</v>
      </c>
      <c r="D4672" t="s">
        <v>23</v>
      </c>
      <c r="E4672" t="s">
        <v>59</v>
      </c>
      <c r="F4672" t="s">
        <v>36</v>
      </c>
      <c r="G4672" t="s">
        <v>151</v>
      </c>
      <c r="H4672" t="s">
        <v>19</v>
      </c>
      <c r="I4672">
        <v>5</v>
      </c>
      <c r="J4672">
        <v>24</v>
      </c>
      <c r="K4672">
        <v>10.37</v>
      </c>
      <c r="L4672">
        <v>1</v>
      </c>
    </row>
    <row r="4673" spans="1:12">
      <c r="A4673" t="s">
        <v>13535</v>
      </c>
      <c r="B4673" t="s">
        <v>13536</v>
      </c>
      <c r="C4673" t="s">
        <v>13537</v>
      </c>
      <c r="D4673" t="s">
        <v>23</v>
      </c>
      <c r="E4673" t="s">
        <v>16</v>
      </c>
      <c r="F4673" t="s">
        <v>36</v>
      </c>
      <c r="G4673" t="s">
        <v>151</v>
      </c>
      <c r="H4673" t="s">
        <v>31</v>
      </c>
      <c r="I4673">
        <v>4</v>
      </c>
      <c r="J4673">
        <v>24</v>
      </c>
      <c r="K4673">
        <v>3.72</v>
      </c>
      <c r="L4673">
        <v>1</v>
      </c>
    </row>
    <row r="4674" spans="1:12">
      <c r="A4674" t="s">
        <v>13538</v>
      </c>
      <c r="B4674" t="s">
        <v>13539</v>
      </c>
      <c r="C4674" t="s">
        <v>13540</v>
      </c>
      <c r="D4674" t="s">
        <v>23</v>
      </c>
      <c r="E4674" t="s">
        <v>59</v>
      </c>
      <c r="F4674" t="s">
        <v>17</v>
      </c>
      <c r="G4674" t="s">
        <v>42</v>
      </c>
      <c r="H4674" t="s">
        <v>31</v>
      </c>
      <c r="I4674">
        <v>3</v>
      </c>
      <c r="J4674">
        <v>24</v>
      </c>
      <c r="K4674">
        <v>18.12</v>
      </c>
      <c r="L4674">
        <v>1</v>
      </c>
    </row>
    <row r="4675" spans="1:12">
      <c r="A4675" t="s">
        <v>13541</v>
      </c>
      <c r="B4675" t="s">
        <v>13542</v>
      </c>
      <c r="D4675" t="s">
        <v>23</v>
      </c>
      <c r="E4675" t="s">
        <v>28</v>
      </c>
      <c r="F4675" t="s">
        <v>41</v>
      </c>
      <c r="G4675" t="s">
        <v>37</v>
      </c>
      <c r="H4675" t="s">
        <v>46</v>
      </c>
      <c r="J4675">
        <v>24</v>
      </c>
    </row>
    <row r="4676" spans="1:12">
      <c r="A4676" t="s">
        <v>13543</v>
      </c>
      <c r="B4676" t="s">
        <v>13544</v>
      </c>
      <c r="C4676" t="s">
        <v>13545</v>
      </c>
      <c r="D4676" t="s">
        <v>23</v>
      </c>
      <c r="E4676" t="s">
        <v>28</v>
      </c>
      <c r="F4676" t="s">
        <v>17</v>
      </c>
      <c r="G4676" t="s">
        <v>45</v>
      </c>
      <c r="H4676" t="s">
        <v>19</v>
      </c>
      <c r="I4676">
        <v>3</v>
      </c>
      <c r="J4676">
        <v>24</v>
      </c>
      <c r="K4676">
        <v>30.53</v>
      </c>
      <c r="L4676">
        <v>0</v>
      </c>
    </row>
    <row r="4677" spans="1:12">
      <c r="A4677" t="s">
        <v>13546</v>
      </c>
      <c r="B4677" t="s">
        <v>13547</v>
      </c>
      <c r="C4677" t="s">
        <v>13548</v>
      </c>
      <c r="D4677" t="s">
        <v>15</v>
      </c>
      <c r="E4677" t="s">
        <v>28</v>
      </c>
      <c r="F4677" t="s">
        <v>17</v>
      </c>
      <c r="G4677" t="s">
        <v>77</v>
      </c>
      <c r="H4677" t="s">
        <v>31</v>
      </c>
      <c r="I4677">
        <v>2</v>
      </c>
      <c r="J4677">
        <v>8</v>
      </c>
      <c r="K4677">
        <v>15.68</v>
      </c>
      <c r="L4677">
        <v>0</v>
      </c>
    </row>
    <row r="4678" spans="1:12">
      <c r="A4678" t="s">
        <v>13549</v>
      </c>
      <c r="B4678" t="s">
        <v>13550</v>
      </c>
      <c r="D4678" t="s">
        <v>23</v>
      </c>
      <c r="E4678" t="s">
        <v>24</v>
      </c>
      <c r="F4678" t="s">
        <v>60</v>
      </c>
      <c r="G4678" t="s">
        <v>30</v>
      </c>
      <c r="H4678" t="s">
        <v>63</v>
      </c>
      <c r="J4678">
        <v>24</v>
      </c>
    </row>
    <row r="4679" spans="1:12">
      <c r="A4679" t="s">
        <v>13551</v>
      </c>
      <c r="B4679" t="s">
        <v>13552</v>
      </c>
      <c r="C4679" t="s">
        <v>13553</v>
      </c>
      <c r="D4679" t="s">
        <v>15</v>
      </c>
      <c r="E4679" t="s">
        <v>24</v>
      </c>
      <c r="F4679" t="s">
        <v>41</v>
      </c>
      <c r="G4679" t="s">
        <v>50</v>
      </c>
      <c r="H4679" t="s">
        <v>31</v>
      </c>
      <c r="I4679">
        <v>5</v>
      </c>
      <c r="J4679">
        <v>8</v>
      </c>
      <c r="K4679">
        <v>7.01</v>
      </c>
      <c r="L4679">
        <v>1</v>
      </c>
    </row>
    <row r="4680" spans="1:12">
      <c r="A4680" t="s">
        <v>13554</v>
      </c>
      <c r="B4680" t="s">
        <v>13555</v>
      </c>
      <c r="C4680" t="s">
        <v>13556</v>
      </c>
      <c r="D4680" t="s">
        <v>23</v>
      </c>
      <c r="E4680" t="s">
        <v>16</v>
      </c>
      <c r="F4680" t="s">
        <v>17</v>
      </c>
      <c r="G4680" t="s">
        <v>37</v>
      </c>
      <c r="H4680" t="s">
        <v>19</v>
      </c>
      <c r="I4680">
        <v>5</v>
      </c>
      <c r="J4680">
        <v>24</v>
      </c>
      <c r="K4680">
        <v>11.39</v>
      </c>
      <c r="L4680">
        <v>1</v>
      </c>
    </row>
    <row r="4681" spans="1:12">
      <c r="A4681" t="s">
        <v>13557</v>
      </c>
      <c r="B4681" t="s">
        <v>13558</v>
      </c>
      <c r="D4681" t="s">
        <v>23</v>
      </c>
      <c r="E4681" t="s">
        <v>59</v>
      </c>
      <c r="F4681" t="s">
        <v>36</v>
      </c>
      <c r="G4681" t="s">
        <v>172</v>
      </c>
      <c r="H4681" t="s">
        <v>46</v>
      </c>
      <c r="J4681">
        <v>24</v>
      </c>
    </row>
    <row r="4682" spans="1:12">
      <c r="A4682" t="s">
        <v>13559</v>
      </c>
      <c r="B4682" t="s">
        <v>13560</v>
      </c>
      <c r="C4682" t="s">
        <v>13561</v>
      </c>
      <c r="D4682" t="s">
        <v>23</v>
      </c>
      <c r="E4682" t="s">
        <v>28</v>
      </c>
      <c r="F4682" t="s">
        <v>60</v>
      </c>
      <c r="G4682" t="s">
        <v>37</v>
      </c>
      <c r="H4682" t="s">
        <v>19</v>
      </c>
      <c r="I4682">
        <v>1</v>
      </c>
      <c r="J4682">
        <v>24</v>
      </c>
      <c r="K4682">
        <v>37.69</v>
      </c>
      <c r="L4682">
        <v>0</v>
      </c>
    </row>
    <row r="4683" spans="1:12">
      <c r="A4683" t="s">
        <v>13562</v>
      </c>
      <c r="B4683" t="s">
        <v>13563</v>
      </c>
      <c r="C4683" t="s">
        <v>13564</v>
      </c>
      <c r="D4683" t="s">
        <v>15</v>
      </c>
      <c r="E4683" t="s">
        <v>59</v>
      </c>
      <c r="F4683" t="s">
        <v>60</v>
      </c>
      <c r="G4683" t="s">
        <v>55</v>
      </c>
      <c r="H4683" t="s">
        <v>31</v>
      </c>
      <c r="I4683">
        <v>2</v>
      </c>
      <c r="J4683">
        <v>8</v>
      </c>
      <c r="K4683">
        <v>16.920000000000002</v>
      </c>
      <c r="L4683">
        <v>0</v>
      </c>
    </row>
    <row r="4684" spans="1:12">
      <c r="A4684" t="s">
        <v>13565</v>
      </c>
      <c r="B4684" t="s">
        <v>13566</v>
      </c>
      <c r="C4684" t="s">
        <v>13567</v>
      </c>
      <c r="D4684" t="s">
        <v>35</v>
      </c>
      <c r="E4684" t="s">
        <v>28</v>
      </c>
      <c r="F4684" t="s">
        <v>41</v>
      </c>
      <c r="G4684" t="s">
        <v>55</v>
      </c>
      <c r="H4684" t="s">
        <v>19</v>
      </c>
      <c r="I4684">
        <v>3</v>
      </c>
      <c r="J4684">
        <v>48</v>
      </c>
      <c r="K4684">
        <v>17.600000000000001</v>
      </c>
      <c r="L4684">
        <v>1</v>
      </c>
    </row>
    <row r="4685" spans="1:12">
      <c r="A4685" t="s">
        <v>13568</v>
      </c>
      <c r="B4685" t="s">
        <v>13569</v>
      </c>
      <c r="C4685" t="s">
        <v>13570</v>
      </c>
      <c r="D4685" t="s">
        <v>23</v>
      </c>
      <c r="E4685" t="s">
        <v>28</v>
      </c>
      <c r="F4685" t="s">
        <v>29</v>
      </c>
      <c r="G4685" t="s">
        <v>42</v>
      </c>
      <c r="H4685" t="s">
        <v>19</v>
      </c>
      <c r="I4685">
        <v>5</v>
      </c>
      <c r="J4685">
        <v>24</v>
      </c>
      <c r="K4685">
        <v>17.93</v>
      </c>
      <c r="L4685">
        <v>1</v>
      </c>
    </row>
    <row r="4686" spans="1:12">
      <c r="A4686" t="s">
        <v>13571</v>
      </c>
      <c r="B4686" t="s">
        <v>13572</v>
      </c>
      <c r="C4686" t="s">
        <v>13573</v>
      </c>
      <c r="D4686" t="s">
        <v>23</v>
      </c>
      <c r="E4686" t="s">
        <v>16</v>
      </c>
      <c r="F4686" t="s">
        <v>36</v>
      </c>
      <c r="G4686" t="s">
        <v>55</v>
      </c>
      <c r="H4686" t="s">
        <v>19</v>
      </c>
      <c r="I4686">
        <v>2</v>
      </c>
      <c r="J4686">
        <v>24</v>
      </c>
      <c r="K4686">
        <v>36.92</v>
      </c>
      <c r="L4686">
        <v>0</v>
      </c>
    </row>
    <row r="4687" spans="1:12">
      <c r="A4687" t="s">
        <v>13574</v>
      </c>
      <c r="B4687" t="s">
        <v>13575</v>
      </c>
      <c r="C4687" t="s">
        <v>13576</v>
      </c>
      <c r="D4687" t="s">
        <v>35</v>
      </c>
      <c r="E4687" t="s">
        <v>24</v>
      </c>
      <c r="F4687" t="s">
        <v>17</v>
      </c>
      <c r="G4687" t="s">
        <v>45</v>
      </c>
      <c r="H4687" t="s">
        <v>31</v>
      </c>
      <c r="I4687">
        <v>5</v>
      </c>
      <c r="J4687">
        <v>48</v>
      </c>
      <c r="K4687">
        <v>40.22</v>
      </c>
      <c r="L4687">
        <v>1</v>
      </c>
    </row>
    <row r="4688" spans="1:12">
      <c r="A4688" t="s">
        <v>13577</v>
      </c>
      <c r="B4688" t="s">
        <v>13578</v>
      </c>
      <c r="C4688" t="s">
        <v>13579</v>
      </c>
      <c r="D4688" t="s">
        <v>23</v>
      </c>
      <c r="E4688" t="s">
        <v>54</v>
      </c>
      <c r="F4688" t="s">
        <v>41</v>
      </c>
      <c r="G4688" t="s">
        <v>37</v>
      </c>
      <c r="H4688" t="s">
        <v>31</v>
      </c>
      <c r="I4688">
        <v>4</v>
      </c>
      <c r="J4688">
        <v>24</v>
      </c>
      <c r="K4688">
        <v>21.53</v>
      </c>
      <c r="L4688">
        <v>1</v>
      </c>
    </row>
    <row r="4689" spans="1:12">
      <c r="A4689" t="s">
        <v>13580</v>
      </c>
      <c r="B4689" t="s">
        <v>13581</v>
      </c>
      <c r="C4689" t="s">
        <v>13582</v>
      </c>
      <c r="D4689" t="s">
        <v>23</v>
      </c>
      <c r="E4689" t="s">
        <v>54</v>
      </c>
      <c r="F4689" t="s">
        <v>36</v>
      </c>
      <c r="G4689" t="s">
        <v>172</v>
      </c>
      <c r="H4689" t="s">
        <v>19</v>
      </c>
      <c r="I4689">
        <v>5</v>
      </c>
      <c r="J4689">
        <v>24</v>
      </c>
      <c r="K4689">
        <v>21.08</v>
      </c>
      <c r="L4689">
        <v>1</v>
      </c>
    </row>
    <row r="4690" spans="1:12">
      <c r="A4690" t="s">
        <v>13583</v>
      </c>
      <c r="B4690" t="s">
        <v>13584</v>
      </c>
      <c r="C4690" t="s">
        <v>13585</v>
      </c>
      <c r="D4690" t="s">
        <v>15</v>
      </c>
      <c r="E4690" t="s">
        <v>24</v>
      </c>
      <c r="F4690" t="s">
        <v>29</v>
      </c>
      <c r="G4690" t="s">
        <v>50</v>
      </c>
      <c r="H4690" t="s">
        <v>19</v>
      </c>
      <c r="I4690">
        <v>5</v>
      </c>
      <c r="J4690">
        <v>8</v>
      </c>
      <c r="K4690">
        <v>1.44</v>
      </c>
      <c r="L4690">
        <v>1</v>
      </c>
    </row>
    <row r="4691" spans="1:12">
      <c r="A4691" t="s">
        <v>13586</v>
      </c>
      <c r="B4691" t="s">
        <v>13587</v>
      </c>
      <c r="C4691" t="s">
        <v>13588</v>
      </c>
      <c r="D4691" t="s">
        <v>15</v>
      </c>
      <c r="E4691" t="s">
        <v>54</v>
      </c>
      <c r="F4691" t="s">
        <v>17</v>
      </c>
      <c r="G4691" t="s">
        <v>55</v>
      </c>
      <c r="H4691" t="s">
        <v>31</v>
      </c>
      <c r="I4691">
        <v>4</v>
      </c>
      <c r="J4691">
        <v>8</v>
      </c>
      <c r="K4691">
        <v>4.5999999999999996</v>
      </c>
      <c r="L4691">
        <v>1</v>
      </c>
    </row>
    <row r="4692" spans="1:12">
      <c r="A4692" t="s">
        <v>13589</v>
      </c>
      <c r="B4692" t="s">
        <v>13590</v>
      </c>
      <c r="C4692" t="s">
        <v>13591</v>
      </c>
      <c r="D4692" t="s">
        <v>35</v>
      </c>
      <c r="E4692" t="s">
        <v>54</v>
      </c>
      <c r="F4692" t="s">
        <v>29</v>
      </c>
      <c r="G4692" t="s">
        <v>18</v>
      </c>
      <c r="H4692" t="s">
        <v>19</v>
      </c>
      <c r="I4692">
        <v>5</v>
      </c>
      <c r="J4692">
        <v>48</v>
      </c>
      <c r="K4692">
        <v>17.12</v>
      </c>
      <c r="L4692">
        <v>1</v>
      </c>
    </row>
    <row r="4693" spans="1:12">
      <c r="A4693" t="s">
        <v>13592</v>
      </c>
      <c r="B4693" t="s">
        <v>13593</v>
      </c>
      <c r="C4693" t="s">
        <v>13594</v>
      </c>
      <c r="D4693" t="s">
        <v>35</v>
      </c>
      <c r="E4693" t="s">
        <v>16</v>
      </c>
      <c r="F4693" t="s">
        <v>36</v>
      </c>
      <c r="G4693" t="s">
        <v>73</v>
      </c>
      <c r="H4693" t="s">
        <v>31</v>
      </c>
      <c r="I4693">
        <v>5</v>
      </c>
      <c r="J4693">
        <v>48</v>
      </c>
      <c r="K4693">
        <v>24.69</v>
      </c>
      <c r="L4693">
        <v>1</v>
      </c>
    </row>
    <row r="4694" spans="1:12">
      <c r="A4694" t="s">
        <v>13595</v>
      </c>
      <c r="B4694" t="s">
        <v>13596</v>
      </c>
      <c r="C4694" t="s">
        <v>13597</v>
      </c>
      <c r="D4694" t="s">
        <v>158</v>
      </c>
      <c r="E4694" t="s">
        <v>24</v>
      </c>
      <c r="F4694" t="s">
        <v>36</v>
      </c>
      <c r="G4694" t="s">
        <v>172</v>
      </c>
      <c r="H4694" t="s">
        <v>19</v>
      </c>
      <c r="I4694">
        <v>3</v>
      </c>
      <c r="J4694">
        <v>4</v>
      </c>
      <c r="K4694">
        <v>2.4700000000000002</v>
      </c>
      <c r="L4694">
        <v>1</v>
      </c>
    </row>
    <row r="4695" spans="1:12">
      <c r="A4695" t="s">
        <v>13598</v>
      </c>
      <c r="B4695" t="s">
        <v>13599</v>
      </c>
      <c r="C4695" t="s">
        <v>13600</v>
      </c>
      <c r="D4695" t="s">
        <v>23</v>
      </c>
      <c r="E4695" t="s">
        <v>59</v>
      </c>
      <c r="F4695" t="s">
        <v>36</v>
      </c>
      <c r="G4695" t="s">
        <v>77</v>
      </c>
      <c r="H4695" t="s">
        <v>19</v>
      </c>
      <c r="I4695">
        <v>5</v>
      </c>
      <c r="J4695">
        <v>24</v>
      </c>
      <c r="K4695">
        <v>6.82</v>
      </c>
      <c r="L4695">
        <v>1</v>
      </c>
    </row>
    <row r="4696" spans="1:12">
      <c r="A4696" t="s">
        <v>13601</v>
      </c>
      <c r="B4696" t="s">
        <v>13602</v>
      </c>
      <c r="C4696" t="s">
        <v>13603</v>
      </c>
      <c r="D4696" t="s">
        <v>15</v>
      </c>
      <c r="E4696" t="s">
        <v>24</v>
      </c>
      <c r="F4696" t="s">
        <v>36</v>
      </c>
      <c r="G4696" t="s">
        <v>105</v>
      </c>
      <c r="H4696" t="s">
        <v>31</v>
      </c>
      <c r="I4696">
        <v>5</v>
      </c>
      <c r="J4696">
        <v>8</v>
      </c>
      <c r="K4696">
        <v>3.36</v>
      </c>
      <c r="L4696">
        <v>1</v>
      </c>
    </row>
    <row r="4697" spans="1:12">
      <c r="A4697" t="s">
        <v>13604</v>
      </c>
      <c r="B4697" t="s">
        <v>13605</v>
      </c>
      <c r="C4697" t="s">
        <v>13606</v>
      </c>
      <c r="D4697" t="s">
        <v>15</v>
      </c>
      <c r="E4697" t="s">
        <v>54</v>
      </c>
      <c r="F4697" t="s">
        <v>41</v>
      </c>
      <c r="G4697" t="s">
        <v>55</v>
      </c>
      <c r="H4697" t="s">
        <v>31</v>
      </c>
      <c r="I4697">
        <v>5</v>
      </c>
      <c r="J4697">
        <v>8</v>
      </c>
      <c r="K4697">
        <v>7.34</v>
      </c>
      <c r="L4697">
        <v>1</v>
      </c>
    </row>
    <row r="4698" spans="1:12">
      <c r="A4698" t="s">
        <v>13607</v>
      </c>
      <c r="B4698" t="s">
        <v>13608</v>
      </c>
      <c r="C4698" t="s">
        <v>13609</v>
      </c>
      <c r="D4698" t="s">
        <v>158</v>
      </c>
      <c r="E4698" t="s">
        <v>16</v>
      </c>
      <c r="F4698" t="s">
        <v>60</v>
      </c>
      <c r="G4698" t="s">
        <v>45</v>
      </c>
      <c r="H4698" t="s">
        <v>19</v>
      </c>
      <c r="I4698">
        <v>1</v>
      </c>
      <c r="J4698">
        <v>4</v>
      </c>
      <c r="K4698">
        <v>11.69</v>
      </c>
      <c r="L4698">
        <v>0</v>
      </c>
    </row>
    <row r="4699" spans="1:12">
      <c r="A4699" t="s">
        <v>13610</v>
      </c>
      <c r="B4699" t="s">
        <v>13611</v>
      </c>
      <c r="C4699" t="s">
        <v>13612</v>
      </c>
      <c r="D4699" t="s">
        <v>35</v>
      </c>
      <c r="E4699" t="s">
        <v>28</v>
      </c>
      <c r="F4699" t="s">
        <v>41</v>
      </c>
      <c r="G4699" t="s">
        <v>50</v>
      </c>
      <c r="H4699" t="s">
        <v>31</v>
      </c>
      <c r="I4699">
        <v>4</v>
      </c>
      <c r="J4699">
        <v>48</v>
      </c>
      <c r="K4699">
        <v>10.68</v>
      </c>
      <c r="L4699">
        <v>1</v>
      </c>
    </row>
    <row r="4700" spans="1:12">
      <c r="A4700" t="s">
        <v>13613</v>
      </c>
      <c r="B4700" t="s">
        <v>13614</v>
      </c>
      <c r="C4700" t="s">
        <v>13615</v>
      </c>
      <c r="D4700" t="s">
        <v>23</v>
      </c>
      <c r="E4700" t="s">
        <v>16</v>
      </c>
      <c r="F4700" t="s">
        <v>60</v>
      </c>
      <c r="G4700" t="s">
        <v>77</v>
      </c>
      <c r="H4700" t="s">
        <v>31</v>
      </c>
      <c r="I4700">
        <v>4</v>
      </c>
      <c r="J4700">
        <v>24</v>
      </c>
      <c r="K4700">
        <v>5.64</v>
      </c>
      <c r="L4700">
        <v>1</v>
      </c>
    </row>
    <row r="4701" spans="1:12">
      <c r="A4701" t="s">
        <v>13616</v>
      </c>
      <c r="B4701" t="s">
        <v>13617</v>
      </c>
      <c r="C4701" t="s">
        <v>13618</v>
      </c>
      <c r="D4701" t="s">
        <v>15</v>
      </c>
      <c r="E4701" t="s">
        <v>28</v>
      </c>
      <c r="F4701" t="s">
        <v>60</v>
      </c>
      <c r="G4701" t="s">
        <v>45</v>
      </c>
      <c r="H4701" t="s">
        <v>31</v>
      </c>
      <c r="I4701">
        <v>3</v>
      </c>
      <c r="J4701">
        <v>8</v>
      </c>
      <c r="K4701">
        <v>2.98</v>
      </c>
      <c r="L4701">
        <v>1</v>
      </c>
    </row>
    <row r="4702" spans="1:12">
      <c r="A4702" t="s">
        <v>13619</v>
      </c>
      <c r="B4702" t="s">
        <v>13620</v>
      </c>
      <c r="C4702" t="s">
        <v>13621</v>
      </c>
      <c r="D4702" t="s">
        <v>23</v>
      </c>
      <c r="E4702" t="s">
        <v>16</v>
      </c>
      <c r="F4702" t="s">
        <v>17</v>
      </c>
      <c r="G4702" t="s">
        <v>30</v>
      </c>
      <c r="H4702" t="s">
        <v>19</v>
      </c>
      <c r="I4702">
        <v>5</v>
      </c>
      <c r="J4702">
        <v>24</v>
      </c>
      <c r="K4702">
        <v>19.61</v>
      </c>
      <c r="L4702">
        <v>1</v>
      </c>
    </row>
    <row r="4703" spans="1:12">
      <c r="A4703" t="s">
        <v>13622</v>
      </c>
      <c r="B4703" t="s">
        <v>13623</v>
      </c>
      <c r="D4703" t="s">
        <v>23</v>
      </c>
      <c r="E4703" t="s">
        <v>24</v>
      </c>
      <c r="F4703" t="s">
        <v>41</v>
      </c>
      <c r="G4703" t="s">
        <v>105</v>
      </c>
      <c r="H4703" t="s">
        <v>63</v>
      </c>
      <c r="J4703">
        <v>24</v>
      </c>
    </row>
    <row r="4704" spans="1:12">
      <c r="A4704" t="s">
        <v>13624</v>
      </c>
      <c r="B4704" t="s">
        <v>13625</v>
      </c>
      <c r="C4704" t="s">
        <v>13626</v>
      </c>
      <c r="D4704" t="s">
        <v>23</v>
      </c>
      <c r="E4704" t="s">
        <v>28</v>
      </c>
      <c r="F4704" t="s">
        <v>41</v>
      </c>
      <c r="G4704" t="s">
        <v>77</v>
      </c>
      <c r="H4704" t="s">
        <v>31</v>
      </c>
      <c r="I4704">
        <v>5</v>
      </c>
      <c r="J4704">
        <v>24</v>
      </c>
      <c r="K4704">
        <v>8.2200000000000006</v>
      </c>
      <c r="L4704">
        <v>1</v>
      </c>
    </row>
    <row r="4705" spans="1:12">
      <c r="A4705" t="s">
        <v>13627</v>
      </c>
      <c r="B4705" t="s">
        <v>13628</v>
      </c>
      <c r="C4705" t="s">
        <v>13629</v>
      </c>
      <c r="D4705" t="s">
        <v>35</v>
      </c>
      <c r="E4705" t="s">
        <v>28</v>
      </c>
      <c r="F4705" t="s">
        <v>60</v>
      </c>
      <c r="G4705" t="s">
        <v>55</v>
      </c>
      <c r="H4705" t="s">
        <v>31</v>
      </c>
      <c r="I4705">
        <v>4</v>
      </c>
      <c r="J4705">
        <v>48</v>
      </c>
      <c r="K4705">
        <v>31.29</v>
      </c>
      <c r="L4705">
        <v>1</v>
      </c>
    </row>
    <row r="4706" spans="1:12">
      <c r="A4706" t="s">
        <v>13630</v>
      </c>
      <c r="B4706" t="s">
        <v>13631</v>
      </c>
      <c r="C4706" t="s">
        <v>13632</v>
      </c>
      <c r="D4706" t="s">
        <v>158</v>
      </c>
      <c r="E4706" t="s">
        <v>28</v>
      </c>
      <c r="F4706" t="s">
        <v>60</v>
      </c>
      <c r="G4706" t="s">
        <v>172</v>
      </c>
      <c r="H4706" t="s">
        <v>19</v>
      </c>
      <c r="I4706">
        <v>3</v>
      </c>
      <c r="J4706">
        <v>4</v>
      </c>
      <c r="K4706">
        <v>10.199999999999999</v>
      </c>
      <c r="L4706">
        <v>0</v>
      </c>
    </row>
    <row r="4707" spans="1:12">
      <c r="A4707" t="s">
        <v>13633</v>
      </c>
      <c r="B4707" t="s">
        <v>13634</v>
      </c>
      <c r="D4707" t="s">
        <v>23</v>
      </c>
      <c r="E4707" t="s">
        <v>24</v>
      </c>
      <c r="F4707" t="s">
        <v>29</v>
      </c>
      <c r="G4707" t="s">
        <v>105</v>
      </c>
      <c r="H4707" t="s">
        <v>46</v>
      </c>
      <c r="J4707">
        <v>24</v>
      </c>
    </row>
    <row r="4708" spans="1:12">
      <c r="A4708" t="s">
        <v>13635</v>
      </c>
      <c r="B4708" t="s">
        <v>13636</v>
      </c>
      <c r="C4708" t="s">
        <v>13637</v>
      </c>
      <c r="D4708" t="s">
        <v>35</v>
      </c>
      <c r="E4708" t="s">
        <v>28</v>
      </c>
      <c r="F4708" t="s">
        <v>36</v>
      </c>
      <c r="G4708" t="s">
        <v>73</v>
      </c>
      <c r="H4708" t="s">
        <v>19</v>
      </c>
      <c r="I4708">
        <v>2</v>
      </c>
      <c r="J4708">
        <v>48</v>
      </c>
      <c r="K4708">
        <v>113.07</v>
      </c>
      <c r="L4708">
        <v>0</v>
      </c>
    </row>
    <row r="4709" spans="1:12">
      <c r="A4709" t="s">
        <v>13638</v>
      </c>
      <c r="B4709" t="s">
        <v>13639</v>
      </c>
      <c r="C4709" t="s">
        <v>13640</v>
      </c>
      <c r="D4709" t="s">
        <v>35</v>
      </c>
      <c r="E4709" t="s">
        <v>16</v>
      </c>
      <c r="F4709" t="s">
        <v>41</v>
      </c>
      <c r="G4709" t="s">
        <v>45</v>
      </c>
      <c r="H4709" t="s">
        <v>19</v>
      </c>
      <c r="I4709">
        <v>3</v>
      </c>
      <c r="J4709">
        <v>48</v>
      </c>
      <c r="K4709">
        <v>25.36</v>
      </c>
      <c r="L4709">
        <v>1</v>
      </c>
    </row>
    <row r="4710" spans="1:12">
      <c r="A4710" t="s">
        <v>13641</v>
      </c>
      <c r="B4710" t="s">
        <v>13642</v>
      </c>
      <c r="C4710" t="s">
        <v>13643</v>
      </c>
      <c r="D4710" t="s">
        <v>35</v>
      </c>
      <c r="E4710" t="s">
        <v>28</v>
      </c>
      <c r="F4710" t="s">
        <v>17</v>
      </c>
      <c r="G4710" t="s">
        <v>45</v>
      </c>
      <c r="H4710" t="s">
        <v>31</v>
      </c>
      <c r="I4710">
        <v>4</v>
      </c>
      <c r="J4710">
        <v>48</v>
      </c>
      <c r="K4710">
        <v>13.75</v>
      </c>
      <c r="L4710">
        <v>1</v>
      </c>
    </row>
    <row r="4711" spans="1:12">
      <c r="A4711" t="s">
        <v>13644</v>
      </c>
      <c r="B4711" t="s">
        <v>13645</v>
      </c>
      <c r="C4711" t="s">
        <v>13646</v>
      </c>
      <c r="D4711" t="s">
        <v>35</v>
      </c>
      <c r="E4711" t="s">
        <v>16</v>
      </c>
      <c r="F4711" t="s">
        <v>41</v>
      </c>
      <c r="G4711" t="s">
        <v>77</v>
      </c>
      <c r="H4711" t="s">
        <v>19</v>
      </c>
      <c r="I4711">
        <v>4</v>
      </c>
      <c r="J4711">
        <v>48</v>
      </c>
      <c r="K4711">
        <v>42.66</v>
      </c>
      <c r="L4711">
        <v>1</v>
      </c>
    </row>
    <row r="4712" spans="1:12">
      <c r="A4712" t="s">
        <v>13647</v>
      </c>
      <c r="B4712" t="s">
        <v>13648</v>
      </c>
      <c r="C4712" t="s">
        <v>13649</v>
      </c>
      <c r="D4712" t="s">
        <v>158</v>
      </c>
      <c r="E4712" t="s">
        <v>54</v>
      </c>
      <c r="F4712" t="s">
        <v>29</v>
      </c>
      <c r="G4712" t="s">
        <v>37</v>
      </c>
      <c r="H4712" t="s">
        <v>31</v>
      </c>
      <c r="I4712">
        <v>5</v>
      </c>
      <c r="J4712">
        <v>4</v>
      </c>
      <c r="K4712">
        <v>2.66</v>
      </c>
      <c r="L4712">
        <v>1</v>
      </c>
    </row>
    <row r="4713" spans="1:12">
      <c r="A4713" t="s">
        <v>13650</v>
      </c>
      <c r="B4713" t="s">
        <v>13651</v>
      </c>
      <c r="C4713" t="s">
        <v>13652</v>
      </c>
      <c r="D4713" t="s">
        <v>15</v>
      </c>
      <c r="E4713" t="s">
        <v>28</v>
      </c>
      <c r="F4713" t="s">
        <v>17</v>
      </c>
      <c r="G4713" t="s">
        <v>73</v>
      </c>
      <c r="H4713" t="s">
        <v>19</v>
      </c>
      <c r="I4713">
        <v>4</v>
      </c>
      <c r="J4713">
        <v>8</v>
      </c>
      <c r="K4713">
        <v>1.36</v>
      </c>
      <c r="L4713">
        <v>1</v>
      </c>
    </row>
    <row r="4714" spans="1:12">
      <c r="A4714" t="s">
        <v>13653</v>
      </c>
      <c r="B4714" t="s">
        <v>13654</v>
      </c>
      <c r="C4714" t="s">
        <v>13655</v>
      </c>
      <c r="D4714" t="s">
        <v>15</v>
      </c>
      <c r="E4714" t="s">
        <v>28</v>
      </c>
      <c r="F4714" t="s">
        <v>60</v>
      </c>
      <c r="G4714" t="s">
        <v>18</v>
      </c>
      <c r="H4714" t="s">
        <v>31</v>
      </c>
      <c r="I4714">
        <v>4</v>
      </c>
      <c r="J4714">
        <v>8</v>
      </c>
      <c r="K4714">
        <v>5.92</v>
      </c>
      <c r="L4714">
        <v>1</v>
      </c>
    </row>
    <row r="4715" spans="1:12">
      <c r="A4715" t="s">
        <v>13656</v>
      </c>
      <c r="B4715" t="s">
        <v>13657</v>
      </c>
      <c r="C4715" t="s">
        <v>13658</v>
      </c>
      <c r="D4715" t="s">
        <v>23</v>
      </c>
      <c r="E4715" t="s">
        <v>28</v>
      </c>
      <c r="F4715" t="s">
        <v>60</v>
      </c>
      <c r="G4715" t="s">
        <v>105</v>
      </c>
      <c r="H4715" t="s">
        <v>31</v>
      </c>
      <c r="I4715">
        <v>5</v>
      </c>
      <c r="J4715">
        <v>24</v>
      </c>
      <c r="K4715">
        <v>20.86</v>
      </c>
      <c r="L4715">
        <v>1</v>
      </c>
    </row>
    <row r="4716" spans="1:12">
      <c r="A4716" t="s">
        <v>13659</v>
      </c>
      <c r="B4716" t="s">
        <v>13660</v>
      </c>
      <c r="C4716" t="s">
        <v>13661</v>
      </c>
      <c r="D4716" t="s">
        <v>35</v>
      </c>
      <c r="E4716" t="s">
        <v>24</v>
      </c>
      <c r="F4716" t="s">
        <v>60</v>
      </c>
      <c r="G4716" t="s">
        <v>30</v>
      </c>
      <c r="H4716" t="s">
        <v>19</v>
      </c>
      <c r="I4716">
        <v>5</v>
      </c>
      <c r="J4716">
        <v>48</v>
      </c>
      <c r="K4716">
        <v>8.09</v>
      </c>
      <c r="L4716">
        <v>1</v>
      </c>
    </row>
    <row r="4717" spans="1:12">
      <c r="A4717" t="s">
        <v>13662</v>
      </c>
      <c r="B4717" t="s">
        <v>13663</v>
      </c>
      <c r="C4717" t="s">
        <v>13664</v>
      </c>
      <c r="D4717" t="s">
        <v>15</v>
      </c>
      <c r="E4717" t="s">
        <v>54</v>
      </c>
      <c r="F4717" t="s">
        <v>36</v>
      </c>
      <c r="G4717" t="s">
        <v>73</v>
      </c>
      <c r="H4717" t="s">
        <v>31</v>
      </c>
      <c r="I4717">
        <v>4</v>
      </c>
      <c r="J4717">
        <v>8</v>
      </c>
      <c r="K4717">
        <v>4.6900000000000004</v>
      </c>
      <c r="L4717">
        <v>1</v>
      </c>
    </row>
    <row r="4718" spans="1:12">
      <c r="A4718" t="s">
        <v>13665</v>
      </c>
      <c r="B4718" t="s">
        <v>13666</v>
      </c>
      <c r="D4718" t="s">
        <v>23</v>
      </c>
      <c r="E4718" t="s">
        <v>54</v>
      </c>
      <c r="F4718" t="s">
        <v>29</v>
      </c>
      <c r="G4718" t="s">
        <v>42</v>
      </c>
      <c r="H4718" t="s">
        <v>46</v>
      </c>
      <c r="J4718">
        <v>24</v>
      </c>
    </row>
    <row r="4719" spans="1:12">
      <c r="A4719" t="s">
        <v>13667</v>
      </c>
      <c r="B4719" t="s">
        <v>13668</v>
      </c>
      <c r="C4719" t="s">
        <v>13669</v>
      </c>
      <c r="D4719" t="s">
        <v>23</v>
      </c>
      <c r="E4719" t="s">
        <v>54</v>
      </c>
      <c r="F4719" t="s">
        <v>60</v>
      </c>
      <c r="G4719" t="s">
        <v>42</v>
      </c>
      <c r="H4719" t="s">
        <v>19</v>
      </c>
      <c r="I4719">
        <v>5</v>
      </c>
      <c r="J4719">
        <v>24</v>
      </c>
      <c r="K4719">
        <v>21.78</v>
      </c>
      <c r="L4719">
        <v>1</v>
      </c>
    </row>
    <row r="4720" spans="1:12">
      <c r="A4720" t="s">
        <v>13670</v>
      </c>
      <c r="B4720" t="s">
        <v>13671</v>
      </c>
      <c r="C4720" t="s">
        <v>13672</v>
      </c>
      <c r="D4720" t="s">
        <v>35</v>
      </c>
      <c r="E4720" t="s">
        <v>28</v>
      </c>
      <c r="F4720" t="s">
        <v>41</v>
      </c>
      <c r="G4720" t="s">
        <v>50</v>
      </c>
      <c r="H4720" t="s">
        <v>31</v>
      </c>
      <c r="I4720">
        <v>4</v>
      </c>
      <c r="J4720">
        <v>48</v>
      </c>
      <c r="K4720">
        <v>41.05</v>
      </c>
      <c r="L4720">
        <v>1</v>
      </c>
    </row>
    <row r="4721" spans="1:12">
      <c r="A4721" t="s">
        <v>13673</v>
      </c>
      <c r="B4721" t="s">
        <v>13674</v>
      </c>
      <c r="C4721" t="s">
        <v>13675</v>
      </c>
      <c r="D4721" t="s">
        <v>35</v>
      </c>
      <c r="E4721" t="s">
        <v>28</v>
      </c>
      <c r="F4721" t="s">
        <v>41</v>
      </c>
      <c r="G4721" t="s">
        <v>151</v>
      </c>
      <c r="H4721" t="s">
        <v>31</v>
      </c>
      <c r="I4721">
        <v>3</v>
      </c>
      <c r="J4721">
        <v>48</v>
      </c>
      <c r="K4721">
        <v>33.869999999999997</v>
      </c>
      <c r="L4721">
        <v>1</v>
      </c>
    </row>
    <row r="4722" spans="1:12">
      <c r="A4722" t="s">
        <v>13676</v>
      </c>
      <c r="B4722" t="s">
        <v>13677</v>
      </c>
      <c r="C4722" t="s">
        <v>13678</v>
      </c>
      <c r="D4722" t="s">
        <v>35</v>
      </c>
      <c r="E4722" t="s">
        <v>28</v>
      </c>
      <c r="F4722" t="s">
        <v>60</v>
      </c>
      <c r="G4722" t="s">
        <v>18</v>
      </c>
      <c r="H4722" t="s">
        <v>19</v>
      </c>
      <c r="I4722">
        <v>5</v>
      </c>
      <c r="J4722">
        <v>48</v>
      </c>
      <c r="K4722">
        <v>23.91</v>
      </c>
      <c r="L4722">
        <v>1</v>
      </c>
    </row>
    <row r="4723" spans="1:12">
      <c r="A4723" t="s">
        <v>13679</v>
      </c>
      <c r="B4723" t="s">
        <v>13680</v>
      </c>
      <c r="C4723" t="s">
        <v>13681</v>
      </c>
      <c r="D4723" t="s">
        <v>158</v>
      </c>
      <c r="E4723" t="s">
        <v>24</v>
      </c>
      <c r="F4723" t="s">
        <v>60</v>
      </c>
      <c r="G4723" t="s">
        <v>50</v>
      </c>
      <c r="H4723" t="s">
        <v>19</v>
      </c>
      <c r="I4723">
        <v>4</v>
      </c>
      <c r="J4723">
        <v>4</v>
      </c>
      <c r="K4723">
        <v>2.5099999999999998</v>
      </c>
      <c r="L4723">
        <v>1</v>
      </c>
    </row>
    <row r="4724" spans="1:12">
      <c r="A4724" t="s">
        <v>13682</v>
      </c>
      <c r="B4724" t="s">
        <v>13683</v>
      </c>
      <c r="C4724" t="s">
        <v>13684</v>
      </c>
      <c r="D4724" t="s">
        <v>15</v>
      </c>
      <c r="E4724" t="s">
        <v>59</v>
      </c>
      <c r="F4724" t="s">
        <v>29</v>
      </c>
      <c r="G4724" t="s">
        <v>73</v>
      </c>
      <c r="H4724" t="s">
        <v>19</v>
      </c>
      <c r="I4724">
        <v>5</v>
      </c>
      <c r="J4724">
        <v>8</v>
      </c>
      <c r="K4724">
        <v>2.34</v>
      </c>
      <c r="L4724">
        <v>1</v>
      </c>
    </row>
    <row r="4725" spans="1:12">
      <c r="A4725" t="s">
        <v>13685</v>
      </c>
      <c r="B4725" t="s">
        <v>13686</v>
      </c>
      <c r="C4725" t="s">
        <v>13687</v>
      </c>
      <c r="D4725" t="s">
        <v>15</v>
      </c>
      <c r="E4725" t="s">
        <v>28</v>
      </c>
      <c r="F4725" t="s">
        <v>41</v>
      </c>
      <c r="G4725" t="s">
        <v>50</v>
      </c>
      <c r="H4725" t="s">
        <v>19</v>
      </c>
      <c r="I4725">
        <v>4</v>
      </c>
      <c r="J4725">
        <v>8</v>
      </c>
      <c r="K4725">
        <v>3.9</v>
      </c>
      <c r="L4725">
        <v>1</v>
      </c>
    </row>
    <row r="4726" spans="1:12">
      <c r="A4726" t="s">
        <v>13688</v>
      </c>
      <c r="B4726" t="s">
        <v>13689</v>
      </c>
      <c r="C4726" t="s">
        <v>13690</v>
      </c>
      <c r="D4726" t="s">
        <v>15</v>
      </c>
      <c r="E4726" t="s">
        <v>54</v>
      </c>
      <c r="F4726" t="s">
        <v>36</v>
      </c>
      <c r="G4726" t="s">
        <v>151</v>
      </c>
      <c r="H4726" t="s">
        <v>31</v>
      </c>
      <c r="I4726">
        <v>3</v>
      </c>
      <c r="J4726">
        <v>8</v>
      </c>
      <c r="K4726">
        <v>3.14</v>
      </c>
      <c r="L4726">
        <v>1</v>
      </c>
    </row>
    <row r="4727" spans="1:12">
      <c r="A4727" t="s">
        <v>13691</v>
      </c>
      <c r="B4727" t="s">
        <v>13692</v>
      </c>
      <c r="C4727" t="s">
        <v>13693</v>
      </c>
      <c r="D4727" t="s">
        <v>35</v>
      </c>
      <c r="E4727" t="s">
        <v>28</v>
      </c>
      <c r="F4727" t="s">
        <v>41</v>
      </c>
      <c r="G4727" t="s">
        <v>30</v>
      </c>
      <c r="H4727" t="s">
        <v>19</v>
      </c>
      <c r="I4727">
        <v>5</v>
      </c>
      <c r="J4727">
        <v>48</v>
      </c>
      <c r="K4727">
        <v>26.47</v>
      </c>
      <c r="L4727">
        <v>1</v>
      </c>
    </row>
    <row r="4728" spans="1:12">
      <c r="A4728" t="s">
        <v>13694</v>
      </c>
      <c r="B4728" t="s">
        <v>13695</v>
      </c>
      <c r="C4728" t="s">
        <v>13696</v>
      </c>
      <c r="D4728" t="s">
        <v>23</v>
      </c>
      <c r="E4728" t="s">
        <v>28</v>
      </c>
      <c r="F4728" t="s">
        <v>60</v>
      </c>
      <c r="G4728" t="s">
        <v>77</v>
      </c>
      <c r="H4728" t="s">
        <v>31</v>
      </c>
      <c r="I4728">
        <v>5</v>
      </c>
      <c r="J4728">
        <v>24</v>
      </c>
      <c r="K4728">
        <v>18.39</v>
      </c>
      <c r="L4728">
        <v>1</v>
      </c>
    </row>
    <row r="4729" spans="1:12">
      <c r="A4729" t="s">
        <v>13697</v>
      </c>
      <c r="B4729" t="s">
        <v>13698</v>
      </c>
      <c r="C4729" t="s">
        <v>13699</v>
      </c>
      <c r="D4729" t="s">
        <v>23</v>
      </c>
      <c r="E4729" t="s">
        <v>28</v>
      </c>
      <c r="F4729" t="s">
        <v>60</v>
      </c>
      <c r="G4729" t="s">
        <v>77</v>
      </c>
      <c r="H4729" t="s">
        <v>19</v>
      </c>
      <c r="I4729">
        <v>4</v>
      </c>
      <c r="J4729">
        <v>24</v>
      </c>
      <c r="K4729">
        <v>18.55</v>
      </c>
      <c r="L4729">
        <v>1</v>
      </c>
    </row>
    <row r="4730" spans="1:12">
      <c r="A4730" t="s">
        <v>13700</v>
      </c>
      <c r="B4730" t="s">
        <v>13701</v>
      </c>
      <c r="D4730" t="s">
        <v>23</v>
      </c>
      <c r="E4730" t="s">
        <v>16</v>
      </c>
      <c r="F4730" t="s">
        <v>60</v>
      </c>
      <c r="G4730" t="s">
        <v>105</v>
      </c>
      <c r="H4730" t="s">
        <v>63</v>
      </c>
      <c r="J4730">
        <v>24</v>
      </c>
    </row>
    <row r="4731" spans="1:12">
      <c r="A4731" t="s">
        <v>13702</v>
      </c>
      <c r="B4731" t="s">
        <v>13703</v>
      </c>
      <c r="C4731" t="s">
        <v>13704</v>
      </c>
      <c r="D4731" t="s">
        <v>15</v>
      </c>
      <c r="E4731" t="s">
        <v>54</v>
      </c>
      <c r="F4731" t="s">
        <v>60</v>
      </c>
      <c r="G4731" t="s">
        <v>172</v>
      </c>
      <c r="H4731" t="s">
        <v>19</v>
      </c>
      <c r="I4731">
        <v>5</v>
      </c>
      <c r="J4731">
        <v>8</v>
      </c>
      <c r="K4731">
        <v>1.17</v>
      </c>
      <c r="L4731">
        <v>1</v>
      </c>
    </row>
    <row r="4732" spans="1:12">
      <c r="A4732" t="s">
        <v>13705</v>
      </c>
      <c r="B4732" t="s">
        <v>13706</v>
      </c>
      <c r="C4732" t="s">
        <v>13707</v>
      </c>
      <c r="D4732" t="s">
        <v>15</v>
      </c>
      <c r="E4732" t="s">
        <v>28</v>
      </c>
      <c r="F4732" t="s">
        <v>41</v>
      </c>
      <c r="G4732" t="s">
        <v>105</v>
      </c>
      <c r="H4732" t="s">
        <v>31</v>
      </c>
      <c r="I4732">
        <v>4</v>
      </c>
      <c r="J4732">
        <v>8</v>
      </c>
      <c r="K4732">
        <v>4.83</v>
      </c>
      <c r="L4732">
        <v>1</v>
      </c>
    </row>
    <row r="4733" spans="1:12">
      <c r="A4733" t="s">
        <v>13708</v>
      </c>
      <c r="B4733" t="s">
        <v>13709</v>
      </c>
      <c r="C4733" t="s">
        <v>13710</v>
      </c>
      <c r="D4733" t="s">
        <v>35</v>
      </c>
      <c r="E4733" t="s">
        <v>54</v>
      </c>
      <c r="F4733" t="s">
        <v>60</v>
      </c>
      <c r="G4733" t="s">
        <v>151</v>
      </c>
      <c r="H4733" t="s">
        <v>31</v>
      </c>
      <c r="I4733">
        <v>5</v>
      </c>
      <c r="J4733">
        <v>48</v>
      </c>
      <c r="K4733">
        <v>35.880000000000003</v>
      </c>
      <c r="L4733">
        <v>1</v>
      </c>
    </row>
    <row r="4734" spans="1:12">
      <c r="A4734" t="s">
        <v>13711</v>
      </c>
      <c r="B4734" t="s">
        <v>13712</v>
      </c>
      <c r="C4734" t="s">
        <v>13713</v>
      </c>
      <c r="D4734" t="s">
        <v>15</v>
      </c>
      <c r="E4734" t="s">
        <v>28</v>
      </c>
      <c r="F4734" t="s">
        <v>36</v>
      </c>
      <c r="G4734" t="s">
        <v>18</v>
      </c>
      <c r="H4734" t="s">
        <v>31</v>
      </c>
      <c r="I4734">
        <v>5</v>
      </c>
      <c r="J4734">
        <v>8</v>
      </c>
      <c r="K4734">
        <v>5.69</v>
      </c>
      <c r="L4734">
        <v>1</v>
      </c>
    </row>
    <row r="4735" spans="1:12">
      <c r="A4735" t="s">
        <v>13714</v>
      </c>
      <c r="B4735" t="s">
        <v>13715</v>
      </c>
      <c r="C4735" t="s">
        <v>13716</v>
      </c>
      <c r="D4735" t="s">
        <v>35</v>
      </c>
      <c r="E4735" t="s">
        <v>54</v>
      </c>
      <c r="F4735" t="s">
        <v>36</v>
      </c>
      <c r="G4735" t="s">
        <v>42</v>
      </c>
      <c r="H4735" t="s">
        <v>31</v>
      </c>
      <c r="I4735">
        <v>4</v>
      </c>
      <c r="J4735">
        <v>48</v>
      </c>
      <c r="K4735">
        <v>22.68</v>
      </c>
      <c r="L4735">
        <v>1</v>
      </c>
    </row>
    <row r="4736" spans="1:12">
      <c r="A4736" t="s">
        <v>13717</v>
      </c>
      <c r="B4736" t="s">
        <v>13718</v>
      </c>
      <c r="C4736" t="s">
        <v>13719</v>
      </c>
      <c r="D4736" t="s">
        <v>15</v>
      </c>
      <c r="E4736" t="s">
        <v>54</v>
      </c>
      <c r="F4736" t="s">
        <v>36</v>
      </c>
      <c r="G4736" t="s">
        <v>55</v>
      </c>
      <c r="H4736" t="s">
        <v>19</v>
      </c>
      <c r="I4736">
        <v>4</v>
      </c>
      <c r="J4736">
        <v>8</v>
      </c>
      <c r="K4736">
        <v>4.1100000000000003</v>
      </c>
      <c r="L4736">
        <v>1</v>
      </c>
    </row>
    <row r="4737" spans="1:12">
      <c r="A4737" t="s">
        <v>13720</v>
      </c>
      <c r="B4737" t="s">
        <v>13721</v>
      </c>
      <c r="C4737" t="s">
        <v>13722</v>
      </c>
      <c r="D4737" t="s">
        <v>23</v>
      </c>
      <c r="E4737" t="s">
        <v>28</v>
      </c>
      <c r="F4737" t="s">
        <v>60</v>
      </c>
      <c r="G4737" t="s">
        <v>37</v>
      </c>
      <c r="H4737" t="s">
        <v>31</v>
      </c>
      <c r="I4737">
        <v>5</v>
      </c>
      <c r="J4737">
        <v>24</v>
      </c>
      <c r="K4737">
        <v>18.02</v>
      </c>
      <c r="L4737">
        <v>1</v>
      </c>
    </row>
    <row r="4738" spans="1:12">
      <c r="A4738" t="s">
        <v>13723</v>
      </c>
      <c r="B4738" t="s">
        <v>13724</v>
      </c>
      <c r="C4738" t="s">
        <v>13725</v>
      </c>
      <c r="D4738" t="s">
        <v>35</v>
      </c>
      <c r="E4738" t="s">
        <v>54</v>
      </c>
      <c r="F4738" t="s">
        <v>60</v>
      </c>
      <c r="G4738" t="s">
        <v>42</v>
      </c>
      <c r="H4738" t="s">
        <v>31</v>
      </c>
      <c r="I4738">
        <v>5</v>
      </c>
      <c r="J4738">
        <v>48</v>
      </c>
      <c r="K4738">
        <v>30.57</v>
      </c>
      <c r="L4738">
        <v>1</v>
      </c>
    </row>
    <row r="4739" spans="1:12">
      <c r="A4739" t="s">
        <v>13726</v>
      </c>
      <c r="B4739" t="s">
        <v>13727</v>
      </c>
      <c r="C4739" t="s">
        <v>13728</v>
      </c>
      <c r="D4739" t="s">
        <v>15</v>
      </c>
      <c r="E4739" t="s">
        <v>24</v>
      </c>
      <c r="F4739" t="s">
        <v>36</v>
      </c>
      <c r="G4739" t="s">
        <v>30</v>
      </c>
      <c r="H4739" t="s">
        <v>31</v>
      </c>
      <c r="I4739">
        <v>5</v>
      </c>
      <c r="J4739">
        <v>8</v>
      </c>
      <c r="K4739">
        <v>2.54</v>
      </c>
      <c r="L4739">
        <v>1</v>
      </c>
    </row>
    <row r="4740" spans="1:12">
      <c r="A4740" t="s">
        <v>13729</v>
      </c>
      <c r="B4740" t="s">
        <v>13730</v>
      </c>
      <c r="C4740" t="s">
        <v>13731</v>
      </c>
      <c r="D4740" t="s">
        <v>23</v>
      </c>
      <c r="E4740" t="s">
        <v>54</v>
      </c>
      <c r="F4740" t="s">
        <v>41</v>
      </c>
      <c r="G4740" t="s">
        <v>73</v>
      </c>
      <c r="H4740" t="s">
        <v>19</v>
      </c>
      <c r="I4740">
        <v>4</v>
      </c>
      <c r="J4740">
        <v>24</v>
      </c>
      <c r="K4740">
        <v>9</v>
      </c>
      <c r="L4740">
        <v>1</v>
      </c>
    </row>
    <row r="4741" spans="1:12">
      <c r="A4741" t="s">
        <v>13732</v>
      </c>
      <c r="B4741" t="s">
        <v>13733</v>
      </c>
      <c r="C4741" t="s">
        <v>13734</v>
      </c>
      <c r="D4741" t="s">
        <v>35</v>
      </c>
      <c r="E4741" t="s">
        <v>16</v>
      </c>
      <c r="F4741" t="s">
        <v>36</v>
      </c>
      <c r="G4741" t="s">
        <v>55</v>
      </c>
      <c r="H4741" t="s">
        <v>31</v>
      </c>
      <c r="I4741">
        <v>5</v>
      </c>
      <c r="J4741">
        <v>48</v>
      </c>
      <c r="K4741">
        <v>30.6</v>
      </c>
      <c r="L4741">
        <v>1</v>
      </c>
    </row>
    <row r="4742" spans="1:12">
      <c r="A4742" t="s">
        <v>13735</v>
      </c>
      <c r="B4742" t="s">
        <v>13736</v>
      </c>
      <c r="C4742" t="s">
        <v>13737</v>
      </c>
      <c r="D4742" t="s">
        <v>158</v>
      </c>
      <c r="E4742" t="s">
        <v>24</v>
      </c>
      <c r="F4742" t="s">
        <v>36</v>
      </c>
      <c r="G4742" t="s">
        <v>105</v>
      </c>
      <c r="H4742" t="s">
        <v>19</v>
      </c>
      <c r="I4742">
        <v>2</v>
      </c>
      <c r="J4742">
        <v>4</v>
      </c>
      <c r="K4742">
        <v>8.2200000000000006</v>
      </c>
      <c r="L4742">
        <v>0</v>
      </c>
    </row>
    <row r="4743" spans="1:12">
      <c r="A4743" t="s">
        <v>13738</v>
      </c>
      <c r="B4743" t="s">
        <v>13739</v>
      </c>
      <c r="C4743" t="s">
        <v>13740</v>
      </c>
      <c r="D4743" t="s">
        <v>15</v>
      </c>
      <c r="E4743" t="s">
        <v>54</v>
      </c>
      <c r="F4743" t="s">
        <v>41</v>
      </c>
      <c r="G4743" t="s">
        <v>151</v>
      </c>
      <c r="H4743" t="s">
        <v>31</v>
      </c>
      <c r="I4743">
        <v>5</v>
      </c>
      <c r="J4743">
        <v>8</v>
      </c>
      <c r="K4743">
        <v>7.44</v>
      </c>
      <c r="L4743">
        <v>1</v>
      </c>
    </row>
    <row r="4744" spans="1:12">
      <c r="A4744" t="s">
        <v>13741</v>
      </c>
      <c r="B4744" t="s">
        <v>13742</v>
      </c>
      <c r="C4744" t="s">
        <v>13743</v>
      </c>
      <c r="D4744" t="s">
        <v>23</v>
      </c>
      <c r="E4744" t="s">
        <v>16</v>
      </c>
      <c r="F4744" t="s">
        <v>17</v>
      </c>
      <c r="G4744" t="s">
        <v>55</v>
      </c>
      <c r="H4744" t="s">
        <v>19</v>
      </c>
      <c r="I4744">
        <v>5</v>
      </c>
      <c r="J4744">
        <v>24</v>
      </c>
      <c r="K4744">
        <v>19.809999999999999</v>
      </c>
      <c r="L4744">
        <v>1</v>
      </c>
    </row>
    <row r="4745" spans="1:12">
      <c r="A4745" t="s">
        <v>13744</v>
      </c>
      <c r="B4745" t="s">
        <v>13745</v>
      </c>
      <c r="C4745" t="s">
        <v>13746</v>
      </c>
      <c r="D4745" t="s">
        <v>15</v>
      </c>
      <c r="E4745" t="s">
        <v>24</v>
      </c>
      <c r="F4745" t="s">
        <v>41</v>
      </c>
      <c r="G4745" t="s">
        <v>73</v>
      </c>
      <c r="H4745" t="s">
        <v>31</v>
      </c>
      <c r="I4745">
        <v>5</v>
      </c>
      <c r="J4745">
        <v>8</v>
      </c>
      <c r="K4745">
        <v>5.24</v>
      </c>
      <c r="L4745">
        <v>1</v>
      </c>
    </row>
    <row r="4746" spans="1:12">
      <c r="A4746" t="s">
        <v>13747</v>
      </c>
      <c r="B4746" t="s">
        <v>13748</v>
      </c>
      <c r="D4746" t="s">
        <v>15</v>
      </c>
      <c r="E4746" t="s">
        <v>59</v>
      </c>
      <c r="F4746" t="s">
        <v>29</v>
      </c>
      <c r="G4746" t="s">
        <v>18</v>
      </c>
      <c r="H4746" t="s">
        <v>63</v>
      </c>
      <c r="J4746">
        <v>8</v>
      </c>
    </row>
    <row r="4747" spans="1:12">
      <c r="A4747" t="s">
        <v>13749</v>
      </c>
      <c r="B4747" t="s">
        <v>13750</v>
      </c>
      <c r="C4747" t="s">
        <v>13751</v>
      </c>
      <c r="D4747" t="s">
        <v>23</v>
      </c>
      <c r="E4747" t="s">
        <v>28</v>
      </c>
      <c r="F4747" t="s">
        <v>41</v>
      </c>
      <c r="G4747" t="s">
        <v>50</v>
      </c>
      <c r="H4747" t="s">
        <v>19</v>
      </c>
      <c r="I4747">
        <v>5</v>
      </c>
      <c r="J4747">
        <v>24</v>
      </c>
      <c r="K4747">
        <v>17.13</v>
      </c>
      <c r="L4747">
        <v>1</v>
      </c>
    </row>
    <row r="4748" spans="1:12">
      <c r="A4748" t="s">
        <v>13752</v>
      </c>
      <c r="B4748" t="s">
        <v>13753</v>
      </c>
      <c r="C4748" t="s">
        <v>13754</v>
      </c>
      <c r="D4748" t="s">
        <v>23</v>
      </c>
      <c r="E4748" t="s">
        <v>16</v>
      </c>
      <c r="F4748" t="s">
        <v>60</v>
      </c>
      <c r="G4748" t="s">
        <v>50</v>
      </c>
      <c r="H4748" t="s">
        <v>19</v>
      </c>
      <c r="I4748">
        <v>4</v>
      </c>
      <c r="J4748">
        <v>24</v>
      </c>
      <c r="K4748">
        <v>3.82</v>
      </c>
      <c r="L4748">
        <v>1</v>
      </c>
    </row>
    <row r="4749" spans="1:12">
      <c r="A4749" t="s">
        <v>13755</v>
      </c>
      <c r="B4749" t="s">
        <v>13756</v>
      </c>
      <c r="C4749" t="s">
        <v>13757</v>
      </c>
      <c r="D4749" t="s">
        <v>23</v>
      </c>
      <c r="E4749" t="s">
        <v>54</v>
      </c>
      <c r="F4749" t="s">
        <v>29</v>
      </c>
      <c r="G4749" t="s">
        <v>30</v>
      </c>
      <c r="H4749" t="s">
        <v>19</v>
      </c>
      <c r="I4749">
        <v>5</v>
      </c>
      <c r="J4749">
        <v>24</v>
      </c>
      <c r="K4749">
        <v>15.24</v>
      </c>
      <c r="L4749">
        <v>1</v>
      </c>
    </row>
    <row r="4750" spans="1:12">
      <c r="A4750" t="s">
        <v>13758</v>
      </c>
      <c r="B4750" t="s">
        <v>13759</v>
      </c>
      <c r="D4750" t="s">
        <v>35</v>
      </c>
      <c r="E4750" t="s">
        <v>24</v>
      </c>
      <c r="F4750" t="s">
        <v>41</v>
      </c>
      <c r="G4750" t="s">
        <v>42</v>
      </c>
      <c r="H4750" t="s">
        <v>63</v>
      </c>
      <c r="J4750">
        <v>48</v>
      </c>
    </row>
    <row r="4751" spans="1:12">
      <c r="A4751" t="s">
        <v>13760</v>
      </c>
      <c r="B4751" t="s">
        <v>13761</v>
      </c>
      <c r="C4751" t="s">
        <v>13762</v>
      </c>
      <c r="D4751" t="s">
        <v>23</v>
      </c>
      <c r="E4751" t="s">
        <v>16</v>
      </c>
      <c r="F4751" t="s">
        <v>29</v>
      </c>
      <c r="G4751" t="s">
        <v>37</v>
      </c>
      <c r="H4751" t="s">
        <v>19</v>
      </c>
      <c r="I4751">
        <v>5</v>
      </c>
      <c r="J4751">
        <v>24</v>
      </c>
      <c r="K4751">
        <v>10.81</v>
      </c>
      <c r="L4751">
        <v>1</v>
      </c>
    </row>
    <row r="4752" spans="1:12">
      <c r="A4752" t="s">
        <v>13763</v>
      </c>
      <c r="B4752" t="s">
        <v>13764</v>
      </c>
      <c r="C4752" t="s">
        <v>13765</v>
      </c>
      <c r="D4752" t="s">
        <v>23</v>
      </c>
      <c r="E4752" t="s">
        <v>28</v>
      </c>
      <c r="F4752" t="s">
        <v>36</v>
      </c>
      <c r="G4752" t="s">
        <v>50</v>
      </c>
      <c r="H4752" t="s">
        <v>19</v>
      </c>
      <c r="I4752">
        <v>1</v>
      </c>
      <c r="J4752">
        <v>24</v>
      </c>
      <c r="K4752">
        <v>38.76</v>
      </c>
      <c r="L4752">
        <v>0</v>
      </c>
    </row>
    <row r="4753" spans="1:12">
      <c r="A4753" t="s">
        <v>13766</v>
      </c>
      <c r="B4753" t="s">
        <v>13767</v>
      </c>
      <c r="C4753" t="s">
        <v>13768</v>
      </c>
      <c r="D4753" t="s">
        <v>23</v>
      </c>
      <c r="E4753" t="s">
        <v>54</v>
      </c>
      <c r="F4753" t="s">
        <v>17</v>
      </c>
      <c r="G4753" t="s">
        <v>105</v>
      </c>
      <c r="H4753" t="s">
        <v>19</v>
      </c>
      <c r="I4753">
        <v>4</v>
      </c>
      <c r="J4753">
        <v>24</v>
      </c>
      <c r="K4753">
        <v>17.850000000000001</v>
      </c>
      <c r="L4753">
        <v>1</v>
      </c>
    </row>
    <row r="4754" spans="1:12">
      <c r="A4754" t="s">
        <v>13769</v>
      </c>
      <c r="B4754" t="s">
        <v>13770</v>
      </c>
      <c r="C4754" t="s">
        <v>13771</v>
      </c>
      <c r="D4754" t="s">
        <v>35</v>
      </c>
      <c r="E4754" t="s">
        <v>28</v>
      </c>
      <c r="F4754" t="s">
        <v>17</v>
      </c>
      <c r="G4754" t="s">
        <v>172</v>
      </c>
      <c r="H4754" t="s">
        <v>19</v>
      </c>
      <c r="I4754">
        <v>4</v>
      </c>
      <c r="J4754">
        <v>48</v>
      </c>
      <c r="K4754">
        <v>34.83</v>
      </c>
      <c r="L4754">
        <v>1</v>
      </c>
    </row>
    <row r="4755" spans="1:12">
      <c r="A4755" t="s">
        <v>13772</v>
      </c>
      <c r="B4755" t="s">
        <v>13773</v>
      </c>
      <c r="C4755" t="s">
        <v>13774</v>
      </c>
      <c r="D4755" t="s">
        <v>15</v>
      </c>
      <c r="E4755" t="s">
        <v>24</v>
      </c>
      <c r="F4755" t="s">
        <v>60</v>
      </c>
      <c r="G4755" t="s">
        <v>42</v>
      </c>
      <c r="H4755" t="s">
        <v>31</v>
      </c>
      <c r="I4755">
        <v>5</v>
      </c>
      <c r="J4755">
        <v>8</v>
      </c>
      <c r="K4755">
        <v>2</v>
      </c>
      <c r="L4755">
        <v>1</v>
      </c>
    </row>
    <row r="4756" spans="1:12">
      <c r="A4756" t="s">
        <v>13775</v>
      </c>
      <c r="B4756" t="s">
        <v>13776</v>
      </c>
      <c r="D4756" t="s">
        <v>23</v>
      </c>
      <c r="E4756" t="s">
        <v>16</v>
      </c>
      <c r="F4756" t="s">
        <v>41</v>
      </c>
      <c r="G4756" t="s">
        <v>45</v>
      </c>
      <c r="H4756" t="s">
        <v>63</v>
      </c>
      <c r="J4756">
        <v>24</v>
      </c>
    </row>
    <row r="4757" spans="1:12">
      <c r="A4757" t="s">
        <v>13777</v>
      </c>
      <c r="B4757" t="s">
        <v>13778</v>
      </c>
      <c r="C4757" t="s">
        <v>13779</v>
      </c>
      <c r="D4757" t="s">
        <v>23</v>
      </c>
      <c r="E4757" t="s">
        <v>59</v>
      </c>
      <c r="F4757" t="s">
        <v>36</v>
      </c>
      <c r="G4757" t="s">
        <v>73</v>
      </c>
      <c r="H4757" t="s">
        <v>31</v>
      </c>
      <c r="I4757">
        <v>5</v>
      </c>
      <c r="J4757">
        <v>24</v>
      </c>
      <c r="K4757">
        <v>853</v>
      </c>
      <c r="L4757">
        <v>0</v>
      </c>
    </row>
    <row r="4758" spans="1:12">
      <c r="A4758" t="s">
        <v>13780</v>
      </c>
      <c r="B4758" t="s">
        <v>13781</v>
      </c>
      <c r="C4758" t="s">
        <v>13782</v>
      </c>
      <c r="D4758" t="s">
        <v>15</v>
      </c>
      <c r="E4758" t="s">
        <v>28</v>
      </c>
      <c r="F4758" t="s">
        <v>17</v>
      </c>
      <c r="G4758" t="s">
        <v>42</v>
      </c>
      <c r="H4758" t="s">
        <v>31</v>
      </c>
      <c r="I4758">
        <v>5</v>
      </c>
      <c r="J4758">
        <v>8</v>
      </c>
      <c r="K4758">
        <v>6.65</v>
      </c>
      <c r="L4758">
        <v>1</v>
      </c>
    </row>
    <row r="4759" spans="1:12">
      <c r="A4759" t="s">
        <v>13783</v>
      </c>
      <c r="B4759" t="s">
        <v>13784</v>
      </c>
      <c r="C4759" t="s">
        <v>13785</v>
      </c>
      <c r="D4759" t="s">
        <v>23</v>
      </c>
      <c r="E4759" t="s">
        <v>28</v>
      </c>
      <c r="F4759" t="s">
        <v>17</v>
      </c>
      <c r="G4759" t="s">
        <v>55</v>
      </c>
      <c r="H4759" t="s">
        <v>31</v>
      </c>
      <c r="I4759">
        <v>5</v>
      </c>
      <c r="J4759">
        <v>24</v>
      </c>
      <c r="K4759">
        <v>8.89</v>
      </c>
      <c r="L4759">
        <v>1</v>
      </c>
    </row>
    <row r="4760" spans="1:12">
      <c r="A4760" t="s">
        <v>13786</v>
      </c>
      <c r="B4760" t="s">
        <v>13787</v>
      </c>
      <c r="D4760" t="s">
        <v>15</v>
      </c>
      <c r="E4760" t="s">
        <v>59</v>
      </c>
      <c r="F4760" t="s">
        <v>41</v>
      </c>
      <c r="G4760" t="s">
        <v>18</v>
      </c>
      <c r="H4760" t="s">
        <v>46</v>
      </c>
      <c r="J4760">
        <v>8</v>
      </c>
    </row>
    <row r="4761" spans="1:12">
      <c r="A4761" t="s">
        <v>13788</v>
      </c>
      <c r="B4761" t="s">
        <v>13789</v>
      </c>
      <c r="D4761" t="s">
        <v>23</v>
      </c>
      <c r="E4761" t="s">
        <v>28</v>
      </c>
      <c r="F4761" t="s">
        <v>17</v>
      </c>
      <c r="G4761" t="s">
        <v>105</v>
      </c>
      <c r="H4761" t="s">
        <v>63</v>
      </c>
      <c r="J4761">
        <v>24</v>
      </c>
    </row>
    <row r="4762" spans="1:12">
      <c r="A4762" t="s">
        <v>13790</v>
      </c>
      <c r="B4762" t="s">
        <v>13791</v>
      </c>
      <c r="C4762" t="s">
        <v>13792</v>
      </c>
      <c r="D4762" t="s">
        <v>35</v>
      </c>
      <c r="E4762" t="s">
        <v>28</v>
      </c>
      <c r="F4762" t="s">
        <v>36</v>
      </c>
      <c r="G4762" t="s">
        <v>37</v>
      </c>
      <c r="H4762" t="s">
        <v>19</v>
      </c>
      <c r="I4762">
        <v>5</v>
      </c>
      <c r="J4762">
        <v>48</v>
      </c>
      <c r="K4762">
        <v>23.66</v>
      </c>
      <c r="L4762">
        <v>1</v>
      </c>
    </row>
    <row r="4763" spans="1:12">
      <c r="A4763" t="s">
        <v>13793</v>
      </c>
      <c r="B4763" t="s">
        <v>13794</v>
      </c>
      <c r="C4763" t="s">
        <v>13795</v>
      </c>
      <c r="D4763" t="s">
        <v>23</v>
      </c>
      <c r="E4763" t="s">
        <v>54</v>
      </c>
      <c r="F4763" t="s">
        <v>29</v>
      </c>
      <c r="G4763" t="s">
        <v>77</v>
      </c>
      <c r="H4763" t="s">
        <v>19</v>
      </c>
      <c r="I4763">
        <v>5</v>
      </c>
      <c r="J4763">
        <v>24</v>
      </c>
      <c r="K4763">
        <v>15.74</v>
      </c>
      <c r="L4763">
        <v>1</v>
      </c>
    </row>
    <row r="4764" spans="1:12">
      <c r="A4764" t="s">
        <v>13796</v>
      </c>
      <c r="B4764" t="s">
        <v>13797</v>
      </c>
      <c r="C4764" t="s">
        <v>13798</v>
      </c>
      <c r="D4764" t="s">
        <v>23</v>
      </c>
      <c r="E4764" t="s">
        <v>16</v>
      </c>
      <c r="F4764" t="s">
        <v>41</v>
      </c>
      <c r="G4764" t="s">
        <v>105</v>
      </c>
      <c r="H4764" t="s">
        <v>31</v>
      </c>
      <c r="I4764">
        <v>4</v>
      </c>
      <c r="J4764">
        <v>24</v>
      </c>
      <c r="K4764">
        <v>7.43</v>
      </c>
      <c r="L4764">
        <v>1</v>
      </c>
    </row>
    <row r="4765" spans="1:12">
      <c r="A4765" t="s">
        <v>13799</v>
      </c>
      <c r="B4765" t="s">
        <v>13800</v>
      </c>
      <c r="C4765" t="s">
        <v>13801</v>
      </c>
      <c r="D4765" t="s">
        <v>15</v>
      </c>
      <c r="E4765" t="s">
        <v>59</v>
      </c>
      <c r="F4765" t="s">
        <v>17</v>
      </c>
      <c r="G4765" t="s">
        <v>55</v>
      </c>
      <c r="H4765" t="s">
        <v>19</v>
      </c>
      <c r="I4765">
        <v>4</v>
      </c>
      <c r="J4765">
        <v>8</v>
      </c>
      <c r="K4765">
        <v>3.47</v>
      </c>
      <c r="L4765">
        <v>1</v>
      </c>
    </row>
    <row r="4766" spans="1:12">
      <c r="A4766" t="s">
        <v>13802</v>
      </c>
      <c r="B4766" t="s">
        <v>13803</v>
      </c>
      <c r="C4766" t="s">
        <v>13804</v>
      </c>
      <c r="D4766" t="s">
        <v>158</v>
      </c>
      <c r="E4766" t="s">
        <v>28</v>
      </c>
      <c r="F4766" t="s">
        <v>60</v>
      </c>
      <c r="G4766" t="s">
        <v>55</v>
      </c>
      <c r="H4766" t="s">
        <v>31</v>
      </c>
      <c r="I4766">
        <v>5</v>
      </c>
      <c r="J4766">
        <v>4</v>
      </c>
      <c r="K4766">
        <v>2.0099999999999998</v>
      </c>
      <c r="L4766">
        <v>1</v>
      </c>
    </row>
    <row r="4767" spans="1:12">
      <c r="A4767" t="s">
        <v>13805</v>
      </c>
      <c r="B4767" t="s">
        <v>13806</v>
      </c>
      <c r="D4767" t="s">
        <v>23</v>
      </c>
      <c r="E4767" t="s">
        <v>54</v>
      </c>
      <c r="F4767" t="s">
        <v>60</v>
      </c>
      <c r="G4767" t="s">
        <v>55</v>
      </c>
      <c r="H4767" t="s">
        <v>63</v>
      </c>
      <c r="J4767">
        <v>24</v>
      </c>
    </row>
    <row r="4768" spans="1:12">
      <c r="A4768" t="s">
        <v>13807</v>
      </c>
      <c r="B4768" t="s">
        <v>13808</v>
      </c>
      <c r="C4768" t="s">
        <v>13809</v>
      </c>
      <c r="D4768" t="s">
        <v>15</v>
      </c>
      <c r="E4768" t="s">
        <v>28</v>
      </c>
      <c r="F4768" t="s">
        <v>41</v>
      </c>
      <c r="G4768" t="s">
        <v>30</v>
      </c>
      <c r="H4768" t="s">
        <v>19</v>
      </c>
      <c r="I4768">
        <v>5</v>
      </c>
      <c r="J4768">
        <v>8</v>
      </c>
      <c r="K4768">
        <v>2.48</v>
      </c>
      <c r="L4768">
        <v>1</v>
      </c>
    </row>
    <row r="4769" spans="1:12">
      <c r="A4769" t="s">
        <v>13810</v>
      </c>
      <c r="B4769" t="s">
        <v>13811</v>
      </c>
      <c r="C4769" t="s">
        <v>13812</v>
      </c>
      <c r="D4769" t="s">
        <v>15</v>
      </c>
      <c r="E4769" t="s">
        <v>24</v>
      </c>
      <c r="F4769" t="s">
        <v>41</v>
      </c>
      <c r="G4769" t="s">
        <v>77</v>
      </c>
      <c r="H4769" t="s">
        <v>31</v>
      </c>
      <c r="I4769">
        <v>3</v>
      </c>
      <c r="J4769">
        <v>8</v>
      </c>
      <c r="K4769">
        <v>6</v>
      </c>
      <c r="L4769">
        <v>1</v>
      </c>
    </row>
    <row r="4770" spans="1:12">
      <c r="A4770" t="s">
        <v>13813</v>
      </c>
      <c r="B4770" t="s">
        <v>13814</v>
      </c>
      <c r="C4770" t="s">
        <v>13815</v>
      </c>
      <c r="D4770" t="s">
        <v>15</v>
      </c>
      <c r="E4770" t="s">
        <v>16</v>
      </c>
      <c r="F4770" t="s">
        <v>60</v>
      </c>
      <c r="G4770" t="s">
        <v>45</v>
      </c>
      <c r="H4770" t="s">
        <v>19</v>
      </c>
      <c r="I4770">
        <v>4</v>
      </c>
      <c r="J4770">
        <v>8</v>
      </c>
      <c r="K4770">
        <v>1.37</v>
      </c>
      <c r="L4770">
        <v>1</v>
      </c>
    </row>
    <row r="4771" spans="1:12">
      <c r="A4771" t="s">
        <v>13816</v>
      </c>
      <c r="B4771" t="s">
        <v>13817</v>
      </c>
      <c r="C4771" t="s">
        <v>13818</v>
      </c>
      <c r="D4771" t="s">
        <v>35</v>
      </c>
      <c r="E4771" t="s">
        <v>28</v>
      </c>
      <c r="F4771" t="s">
        <v>17</v>
      </c>
      <c r="G4771" t="s">
        <v>105</v>
      </c>
      <c r="H4771" t="s">
        <v>31</v>
      </c>
      <c r="I4771">
        <v>4</v>
      </c>
      <c r="J4771">
        <v>48</v>
      </c>
      <c r="K4771">
        <v>34.28</v>
      </c>
      <c r="L4771">
        <v>1</v>
      </c>
    </row>
    <row r="4772" spans="1:12">
      <c r="A4772" t="s">
        <v>13819</v>
      </c>
      <c r="B4772" t="s">
        <v>13820</v>
      </c>
      <c r="C4772" t="s">
        <v>13821</v>
      </c>
      <c r="D4772" t="s">
        <v>23</v>
      </c>
      <c r="E4772" t="s">
        <v>28</v>
      </c>
      <c r="F4772" t="s">
        <v>29</v>
      </c>
      <c r="G4772" t="s">
        <v>172</v>
      </c>
      <c r="H4772" t="s">
        <v>31</v>
      </c>
      <c r="I4772">
        <v>4</v>
      </c>
      <c r="J4772">
        <v>24</v>
      </c>
      <c r="K4772">
        <v>6.89</v>
      </c>
      <c r="L4772">
        <v>1</v>
      </c>
    </row>
    <row r="4773" spans="1:12">
      <c r="A4773" t="s">
        <v>13822</v>
      </c>
      <c r="B4773" t="s">
        <v>13823</v>
      </c>
      <c r="C4773" t="s">
        <v>13824</v>
      </c>
      <c r="D4773" t="s">
        <v>15</v>
      </c>
      <c r="E4773" t="s">
        <v>28</v>
      </c>
      <c r="F4773" t="s">
        <v>60</v>
      </c>
      <c r="G4773" t="s">
        <v>50</v>
      </c>
      <c r="H4773" t="s">
        <v>31</v>
      </c>
      <c r="I4773">
        <v>1</v>
      </c>
      <c r="J4773">
        <v>8</v>
      </c>
      <c r="K4773">
        <v>22.41</v>
      </c>
      <c r="L4773">
        <v>0</v>
      </c>
    </row>
    <row r="4774" spans="1:12">
      <c r="A4774" t="s">
        <v>13825</v>
      </c>
      <c r="B4774" t="s">
        <v>13826</v>
      </c>
      <c r="C4774" t="s">
        <v>13827</v>
      </c>
      <c r="D4774" t="s">
        <v>23</v>
      </c>
      <c r="E4774" t="s">
        <v>16</v>
      </c>
      <c r="F4774" t="s">
        <v>60</v>
      </c>
      <c r="G4774" t="s">
        <v>105</v>
      </c>
      <c r="H4774" t="s">
        <v>19</v>
      </c>
      <c r="I4774">
        <v>2</v>
      </c>
      <c r="J4774">
        <v>24</v>
      </c>
      <c r="K4774">
        <v>62.52</v>
      </c>
      <c r="L4774">
        <v>0</v>
      </c>
    </row>
    <row r="4775" spans="1:12">
      <c r="A4775" t="s">
        <v>13828</v>
      </c>
      <c r="B4775" t="s">
        <v>13829</v>
      </c>
      <c r="C4775" t="s">
        <v>13830</v>
      </c>
      <c r="D4775" t="s">
        <v>23</v>
      </c>
      <c r="E4775" t="s">
        <v>28</v>
      </c>
      <c r="F4775" t="s">
        <v>60</v>
      </c>
      <c r="G4775" t="s">
        <v>50</v>
      </c>
      <c r="H4775" t="s">
        <v>19</v>
      </c>
      <c r="I4775">
        <v>5</v>
      </c>
      <c r="J4775">
        <v>24</v>
      </c>
      <c r="K4775">
        <v>6.36</v>
      </c>
      <c r="L4775">
        <v>1</v>
      </c>
    </row>
    <row r="4776" spans="1:12">
      <c r="A4776" t="s">
        <v>13831</v>
      </c>
      <c r="B4776" t="s">
        <v>13832</v>
      </c>
      <c r="C4776" t="s">
        <v>13833</v>
      </c>
      <c r="D4776" t="s">
        <v>23</v>
      </c>
      <c r="E4776" t="s">
        <v>28</v>
      </c>
      <c r="F4776" t="s">
        <v>17</v>
      </c>
      <c r="G4776" t="s">
        <v>37</v>
      </c>
      <c r="H4776" t="s">
        <v>19</v>
      </c>
      <c r="I4776">
        <v>4</v>
      </c>
      <c r="J4776">
        <v>24</v>
      </c>
      <c r="K4776">
        <v>17.45</v>
      </c>
      <c r="L4776">
        <v>1</v>
      </c>
    </row>
    <row r="4777" spans="1:12">
      <c r="A4777" t="s">
        <v>13834</v>
      </c>
      <c r="B4777" t="s">
        <v>13835</v>
      </c>
      <c r="C4777" t="s">
        <v>13836</v>
      </c>
      <c r="D4777" t="s">
        <v>23</v>
      </c>
      <c r="E4777" t="s">
        <v>28</v>
      </c>
      <c r="F4777" t="s">
        <v>41</v>
      </c>
      <c r="G4777" t="s">
        <v>151</v>
      </c>
      <c r="H4777" t="s">
        <v>19</v>
      </c>
      <c r="I4777">
        <v>3</v>
      </c>
      <c r="J4777">
        <v>24</v>
      </c>
      <c r="K4777">
        <v>4.5</v>
      </c>
      <c r="L4777">
        <v>1</v>
      </c>
    </row>
    <row r="4778" spans="1:12">
      <c r="A4778" t="s">
        <v>13837</v>
      </c>
      <c r="B4778" t="s">
        <v>13838</v>
      </c>
      <c r="C4778" t="s">
        <v>13839</v>
      </c>
      <c r="D4778" t="s">
        <v>35</v>
      </c>
      <c r="E4778" t="s">
        <v>59</v>
      </c>
      <c r="F4778" t="s">
        <v>36</v>
      </c>
      <c r="G4778" t="s">
        <v>77</v>
      </c>
      <c r="H4778" t="s">
        <v>19</v>
      </c>
      <c r="I4778">
        <v>2</v>
      </c>
      <c r="J4778">
        <v>48</v>
      </c>
      <c r="K4778">
        <v>95.34</v>
      </c>
      <c r="L4778">
        <v>0</v>
      </c>
    </row>
    <row r="4779" spans="1:12">
      <c r="A4779" t="s">
        <v>13840</v>
      </c>
      <c r="B4779" t="s">
        <v>13841</v>
      </c>
      <c r="C4779" t="s">
        <v>13842</v>
      </c>
      <c r="D4779" t="s">
        <v>35</v>
      </c>
      <c r="E4779" t="s">
        <v>59</v>
      </c>
      <c r="F4779" t="s">
        <v>36</v>
      </c>
      <c r="G4779" t="s">
        <v>105</v>
      </c>
      <c r="H4779" t="s">
        <v>31</v>
      </c>
      <c r="I4779">
        <v>4</v>
      </c>
      <c r="J4779">
        <v>48</v>
      </c>
      <c r="K4779">
        <v>31.34</v>
      </c>
      <c r="L4779">
        <v>1</v>
      </c>
    </row>
    <row r="4780" spans="1:12">
      <c r="A4780" t="s">
        <v>13843</v>
      </c>
      <c r="B4780" t="s">
        <v>13844</v>
      </c>
      <c r="C4780" t="s">
        <v>13845</v>
      </c>
      <c r="D4780" t="s">
        <v>15</v>
      </c>
      <c r="E4780" t="s">
        <v>54</v>
      </c>
      <c r="F4780" t="s">
        <v>60</v>
      </c>
      <c r="G4780" t="s">
        <v>151</v>
      </c>
      <c r="H4780" t="s">
        <v>31</v>
      </c>
      <c r="I4780">
        <v>5</v>
      </c>
      <c r="J4780">
        <v>8</v>
      </c>
      <c r="K4780">
        <v>4.1399999999999997</v>
      </c>
      <c r="L4780">
        <v>1</v>
      </c>
    </row>
    <row r="4781" spans="1:12">
      <c r="A4781" t="s">
        <v>13846</v>
      </c>
      <c r="B4781" t="s">
        <v>13847</v>
      </c>
      <c r="C4781" t="s">
        <v>13848</v>
      </c>
      <c r="D4781" t="s">
        <v>23</v>
      </c>
      <c r="E4781" t="s">
        <v>24</v>
      </c>
      <c r="F4781" t="s">
        <v>17</v>
      </c>
      <c r="G4781" t="s">
        <v>50</v>
      </c>
      <c r="H4781" t="s">
        <v>19</v>
      </c>
      <c r="I4781">
        <v>4</v>
      </c>
      <c r="J4781">
        <v>24</v>
      </c>
      <c r="K4781">
        <v>13.58</v>
      </c>
      <c r="L4781">
        <v>1</v>
      </c>
    </row>
    <row r="4782" spans="1:12">
      <c r="A4782" t="s">
        <v>13849</v>
      </c>
      <c r="B4782" t="s">
        <v>13850</v>
      </c>
      <c r="C4782" t="s">
        <v>13851</v>
      </c>
      <c r="D4782" t="s">
        <v>35</v>
      </c>
      <c r="E4782" t="s">
        <v>16</v>
      </c>
      <c r="F4782" t="s">
        <v>29</v>
      </c>
      <c r="G4782" t="s">
        <v>37</v>
      </c>
      <c r="H4782" t="s">
        <v>31</v>
      </c>
      <c r="I4782">
        <v>4</v>
      </c>
      <c r="J4782">
        <v>48</v>
      </c>
      <c r="K4782">
        <v>13.75</v>
      </c>
      <c r="L4782">
        <v>1</v>
      </c>
    </row>
    <row r="4783" spans="1:12">
      <c r="A4783" t="s">
        <v>13852</v>
      </c>
      <c r="B4783" t="s">
        <v>13853</v>
      </c>
      <c r="C4783" t="s">
        <v>13854</v>
      </c>
      <c r="D4783" t="s">
        <v>23</v>
      </c>
      <c r="E4783" t="s">
        <v>16</v>
      </c>
      <c r="F4783" t="s">
        <v>41</v>
      </c>
      <c r="G4783" t="s">
        <v>18</v>
      </c>
      <c r="H4783" t="s">
        <v>19</v>
      </c>
      <c r="I4783">
        <v>4</v>
      </c>
      <c r="J4783">
        <v>24</v>
      </c>
      <c r="K4783">
        <v>20.64</v>
      </c>
      <c r="L4783">
        <v>1</v>
      </c>
    </row>
    <row r="4784" spans="1:12">
      <c r="A4784" t="s">
        <v>13855</v>
      </c>
      <c r="B4784" t="s">
        <v>13856</v>
      </c>
      <c r="C4784" t="s">
        <v>13857</v>
      </c>
      <c r="D4784" t="s">
        <v>35</v>
      </c>
      <c r="E4784" t="s">
        <v>54</v>
      </c>
      <c r="F4784" t="s">
        <v>17</v>
      </c>
      <c r="G4784" t="s">
        <v>77</v>
      </c>
      <c r="H4784" t="s">
        <v>19</v>
      </c>
      <c r="I4784">
        <v>1</v>
      </c>
      <c r="J4784">
        <v>48</v>
      </c>
      <c r="K4784">
        <v>82.68</v>
      </c>
      <c r="L4784">
        <v>0</v>
      </c>
    </row>
    <row r="4785" spans="1:12">
      <c r="A4785" t="s">
        <v>13858</v>
      </c>
      <c r="B4785" t="s">
        <v>13859</v>
      </c>
      <c r="C4785" t="s">
        <v>13860</v>
      </c>
      <c r="D4785" t="s">
        <v>15</v>
      </c>
      <c r="E4785" t="s">
        <v>28</v>
      </c>
      <c r="F4785" t="s">
        <v>41</v>
      </c>
      <c r="G4785" t="s">
        <v>18</v>
      </c>
      <c r="H4785" t="s">
        <v>19</v>
      </c>
      <c r="I4785">
        <v>4</v>
      </c>
      <c r="J4785">
        <v>8</v>
      </c>
      <c r="K4785">
        <v>3</v>
      </c>
      <c r="L4785">
        <v>1</v>
      </c>
    </row>
    <row r="4786" spans="1:12">
      <c r="A4786" t="s">
        <v>13861</v>
      </c>
      <c r="B4786" t="s">
        <v>13862</v>
      </c>
      <c r="C4786" t="s">
        <v>13863</v>
      </c>
      <c r="D4786" t="s">
        <v>15</v>
      </c>
      <c r="E4786" t="s">
        <v>28</v>
      </c>
      <c r="F4786" t="s">
        <v>36</v>
      </c>
      <c r="G4786" t="s">
        <v>45</v>
      </c>
      <c r="H4786" t="s">
        <v>19</v>
      </c>
      <c r="I4786">
        <v>4</v>
      </c>
      <c r="J4786">
        <v>8</v>
      </c>
      <c r="K4786">
        <v>0.98</v>
      </c>
      <c r="L4786">
        <v>1</v>
      </c>
    </row>
    <row r="4787" spans="1:12">
      <c r="A4787" t="s">
        <v>13864</v>
      </c>
      <c r="B4787" t="s">
        <v>13865</v>
      </c>
      <c r="C4787" t="s">
        <v>13866</v>
      </c>
      <c r="D4787" t="s">
        <v>23</v>
      </c>
      <c r="E4787" t="s">
        <v>28</v>
      </c>
      <c r="F4787" t="s">
        <v>60</v>
      </c>
      <c r="G4787" t="s">
        <v>42</v>
      </c>
      <c r="H4787" t="s">
        <v>19</v>
      </c>
      <c r="I4787">
        <v>1</v>
      </c>
      <c r="J4787">
        <v>24</v>
      </c>
      <c r="K4787">
        <v>47.98</v>
      </c>
      <c r="L4787">
        <v>0</v>
      </c>
    </row>
    <row r="4788" spans="1:12">
      <c r="A4788" t="s">
        <v>13867</v>
      </c>
      <c r="B4788" t="s">
        <v>13868</v>
      </c>
      <c r="C4788" t="s">
        <v>13869</v>
      </c>
      <c r="D4788" t="s">
        <v>23</v>
      </c>
      <c r="E4788" t="s">
        <v>54</v>
      </c>
      <c r="F4788" t="s">
        <v>29</v>
      </c>
      <c r="G4788" t="s">
        <v>55</v>
      </c>
      <c r="H4788" t="s">
        <v>19</v>
      </c>
      <c r="I4788">
        <v>4</v>
      </c>
      <c r="J4788">
        <v>24</v>
      </c>
      <c r="K4788">
        <v>11.36</v>
      </c>
      <c r="L4788">
        <v>1</v>
      </c>
    </row>
    <row r="4789" spans="1:12">
      <c r="A4789" t="s">
        <v>13870</v>
      </c>
      <c r="B4789" t="s">
        <v>13871</v>
      </c>
      <c r="C4789" t="s">
        <v>13872</v>
      </c>
      <c r="D4789" t="s">
        <v>15</v>
      </c>
      <c r="E4789" t="s">
        <v>28</v>
      </c>
      <c r="F4789" t="s">
        <v>17</v>
      </c>
      <c r="G4789" t="s">
        <v>55</v>
      </c>
      <c r="H4789" t="s">
        <v>19</v>
      </c>
      <c r="I4789">
        <v>4</v>
      </c>
      <c r="J4789">
        <v>8</v>
      </c>
      <c r="K4789">
        <v>3.18</v>
      </c>
      <c r="L4789">
        <v>1</v>
      </c>
    </row>
    <row r="4790" spans="1:12">
      <c r="A4790" t="s">
        <v>13873</v>
      </c>
      <c r="B4790" t="s">
        <v>13874</v>
      </c>
      <c r="C4790" t="s">
        <v>13875</v>
      </c>
      <c r="D4790" t="s">
        <v>23</v>
      </c>
      <c r="E4790" t="s">
        <v>54</v>
      </c>
      <c r="F4790" t="s">
        <v>29</v>
      </c>
      <c r="G4790" t="s">
        <v>151</v>
      </c>
      <c r="H4790" t="s">
        <v>31</v>
      </c>
      <c r="I4790">
        <v>5</v>
      </c>
      <c r="J4790">
        <v>24</v>
      </c>
      <c r="K4790">
        <v>7.39</v>
      </c>
      <c r="L4790">
        <v>1</v>
      </c>
    </row>
    <row r="4791" spans="1:12">
      <c r="A4791" t="s">
        <v>13876</v>
      </c>
      <c r="B4791" t="s">
        <v>13877</v>
      </c>
      <c r="C4791" t="s">
        <v>13878</v>
      </c>
      <c r="D4791" t="s">
        <v>23</v>
      </c>
      <c r="E4791" t="s">
        <v>59</v>
      </c>
      <c r="F4791" t="s">
        <v>29</v>
      </c>
      <c r="G4791" t="s">
        <v>105</v>
      </c>
      <c r="H4791" t="s">
        <v>31</v>
      </c>
      <c r="I4791">
        <v>4</v>
      </c>
      <c r="J4791">
        <v>24</v>
      </c>
      <c r="K4791">
        <v>21.14</v>
      </c>
      <c r="L4791">
        <v>1</v>
      </c>
    </row>
    <row r="4792" spans="1:12">
      <c r="A4792" t="s">
        <v>13879</v>
      </c>
      <c r="B4792" t="s">
        <v>13880</v>
      </c>
      <c r="C4792" t="s">
        <v>13881</v>
      </c>
      <c r="D4792" t="s">
        <v>15</v>
      </c>
      <c r="E4792" t="s">
        <v>28</v>
      </c>
      <c r="F4792" t="s">
        <v>29</v>
      </c>
      <c r="G4792" t="s">
        <v>50</v>
      </c>
      <c r="H4792" t="s">
        <v>19</v>
      </c>
      <c r="I4792">
        <v>4</v>
      </c>
      <c r="J4792">
        <v>8</v>
      </c>
      <c r="K4792">
        <v>3.78</v>
      </c>
      <c r="L4792">
        <v>1</v>
      </c>
    </row>
    <row r="4793" spans="1:12">
      <c r="A4793" t="s">
        <v>13882</v>
      </c>
      <c r="B4793" t="s">
        <v>13883</v>
      </c>
      <c r="C4793" t="s">
        <v>13884</v>
      </c>
      <c r="D4793" t="s">
        <v>15</v>
      </c>
      <c r="E4793" t="s">
        <v>28</v>
      </c>
      <c r="F4793" t="s">
        <v>41</v>
      </c>
      <c r="G4793" t="s">
        <v>50</v>
      </c>
      <c r="H4793" t="s">
        <v>19</v>
      </c>
      <c r="I4793">
        <v>3</v>
      </c>
      <c r="J4793">
        <v>8</v>
      </c>
      <c r="K4793">
        <v>9.5299999999999994</v>
      </c>
      <c r="L4793">
        <v>0</v>
      </c>
    </row>
    <row r="4794" spans="1:12">
      <c r="A4794" t="s">
        <v>13885</v>
      </c>
      <c r="B4794" t="s">
        <v>13886</v>
      </c>
      <c r="C4794" t="s">
        <v>13887</v>
      </c>
      <c r="D4794" t="s">
        <v>158</v>
      </c>
      <c r="E4794" t="s">
        <v>28</v>
      </c>
      <c r="F4794" t="s">
        <v>60</v>
      </c>
      <c r="G4794" t="s">
        <v>77</v>
      </c>
      <c r="H4794" t="s">
        <v>19</v>
      </c>
      <c r="I4794">
        <v>5</v>
      </c>
      <c r="J4794">
        <v>4</v>
      </c>
      <c r="K4794">
        <v>2.41</v>
      </c>
      <c r="L4794">
        <v>1</v>
      </c>
    </row>
    <row r="4795" spans="1:12">
      <c r="A4795" t="s">
        <v>13888</v>
      </c>
      <c r="B4795" t="s">
        <v>13889</v>
      </c>
      <c r="C4795" t="s">
        <v>13890</v>
      </c>
      <c r="D4795" t="s">
        <v>35</v>
      </c>
      <c r="E4795" t="s">
        <v>24</v>
      </c>
      <c r="F4795" t="s">
        <v>17</v>
      </c>
      <c r="G4795" t="s">
        <v>55</v>
      </c>
      <c r="H4795" t="s">
        <v>19</v>
      </c>
      <c r="I4795">
        <v>4</v>
      </c>
      <c r="J4795">
        <v>48</v>
      </c>
      <c r="K4795">
        <v>42.26</v>
      </c>
      <c r="L4795">
        <v>1</v>
      </c>
    </row>
    <row r="4796" spans="1:12">
      <c r="A4796" t="s">
        <v>13891</v>
      </c>
      <c r="B4796" t="s">
        <v>13892</v>
      </c>
      <c r="C4796" t="s">
        <v>13893</v>
      </c>
      <c r="D4796" t="s">
        <v>15</v>
      </c>
      <c r="E4796" t="s">
        <v>28</v>
      </c>
      <c r="F4796" t="s">
        <v>36</v>
      </c>
      <c r="G4796" t="s">
        <v>50</v>
      </c>
      <c r="H4796" t="s">
        <v>19</v>
      </c>
      <c r="I4796">
        <v>3</v>
      </c>
      <c r="J4796">
        <v>8</v>
      </c>
      <c r="K4796">
        <v>3.28</v>
      </c>
      <c r="L4796">
        <v>1</v>
      </c>
    </row>
    <row r="4797" spans="1:12">
      <c r="A4797" t="s">
        <v>13894</v>
      </c>
      <c r="B4797" t="s">
        <v>13895</v>
      </c>
      <c r="D4797" t="s">
        <v>23</v>
      </c>
      <c r="E4797" t="s">
        <v>54</v>
      </c>
      <c r="F4797" t="s">
        <v>29</v>
      </c>
      <c r="G4797" t="s">
        <v>45</v>
      </c>
      <c r="H4797" t="s">
        <v>63</v>
      </c>
      <c r="J4797">
        <v>24</v>
      </c>
    </row>
    <row r="4798" spans="1:12">
      <c r="A4798" t="s">
        <v>13896</v>
      </c>
      <c r="B4798" t="s">
        <v>13897</v>
      </c>
      <c r="D4798" t="s">
        <v>23</v>
      </c>
      <c r="E4798" t="s">
        <v>16</v>
      </c>
      <c r="F4798" t="s">
        <v>41</v>
      </c>
      <c r="G4798" t="s">
        <v>42</v>
      </c>
      <c r="H4798" t="s">
        <v>46</v>
      </c>
      <c r="J4798">
        <v>24</v>
      </c>
    </row>
    <row r="4799" spans="1:12">
      <c r="A4799" t="s">
        <v>13898</v>
      </c>
      <c r="B4799" t="s">
        <v>13899</v>
      </c>
      <c r="C4799" t="s">
        <v>13900</v>
      </c>
      <c r="D4799" t="s">
        <v>23</v>
      </c>
      <c r="E4799" t="s">
        <v>24</v>
      </c>
      <c r="F4799" t="s">
        <v>36</v>
      </c>
      <c r="G4799" t="s">
        <v>37</v>
      </c>
      <c r="H4799" t="s">
        <v>19</v>
      </c>
      <c r="I4799">
        <v>4</v>
      </c>
      <c r="J4799">
        <v>24</v>
      </c>
      <c r="K4799">
        <v>20.3</v>
      </c>
      <c r="L4799">
        <v>1</v>
      </c>
    </row>
    <row r="4800" spans="1:12">
      <c r="A4800" t="s">
        <v>13901</v>
      </c>
      <c r="B4800" t="s">
        <v>13902</v>
      </c>
      <c r="C4800" t="s">
        <v>13903</v>
      </c>
      <c r="D4800" t="s">
        <v>23</v>
      </c>
      <c r="E4800" t="s">
        <v>59</v>
      </c>
      <c r="F4800" t="s">
        <v>29</v>
      </c>
      <c r="G4800" t="s">
        <v>55</v>
      </c>
      <c r="H4800" t="s">
        <v>31</v>
      </c>
      <c r="I4800">
        <v>5</v>
      </c>
      <c r="J4800">
        <v>24</v>
      </c>
      <c r="K4800">
        <v>10.48</v>
      </c>
      <c r="L4800">
        <v>1</v>
      </c>
    </row>
    <row r="4801" spans="1:12">
      <c r="A4801" t="s">
        <v>13904</v>
      </c>
      <c r="B4801" t="s">
        <v>13905</v>
      </c>
      <c r="D4801" t="s">
        <v>15</v>
      </c>
      <c r="E4801" t="s">
        <v>16</v>
      </c>
      <c r="F4801" t="s">
        <v>60</v>
      </c>
      <c r="G4801" t="s">
        <v>37</v>
      </c>
      <c r="H4801" t="s">
        <v>63</v>
      </c>
      <c r="J4801">
        <v>8</v>
      </c>
    </row>
    <row r="4802" spans="1:12">
      <c r="A4802" t="s">
        <v>13906</v>
      </c>
      <c r="B4802" t="s">
        <v>13907</v>
      </c>
      <c r="C4802" t="s">
        <v>13908</v>
      </c>
      <c r="D4802" t="s">
        <v>23</v>
      </c>
      <c r="E4802" t="s">
        <v>28</v>
      </c>
      <c r="F4802" t="s">
        <v>29</v>
      </c>
      <c r="G4802" t="s">
        <v>151</v>
      </c>
      <c r="H4802" t="s">
        <v>19</v>
      </c>
      <c r="I4802">
        <v>5</v>
      </c>
      <c r="J4802">
        <v>24</v>
      </c>
      <c r="K4802">
        <v>13.66</v>
      </c>
      <c r="L4802">
        <v>1</v>
      </c>
    </row>
    <row r="4803" spans="1:12">
      <c r="A4803" t="s">
        <v>13909</v>
      </c>
      <c r="B4803" t="s">
        <v>13910</v>
      </c>
      <c r="C4803" t="s">
        <v>13911</v>
      </c>
      <c r="D4803" t="s">
        <v>23</v>
      </c>
      <c r="E4803" t="s">
        <v>24</v>
      </c>
      <c r="F4803" t="s">
        <v>41</v>
      </c>
      <c r="G4803" t="s">
        <v>18</v>
      </c>
      <c r="H4803" t="s">
        <v>19</v>
      </c>
      <c r="I4803">
        <v>2</v>
      </c>
      <c r="J4803">
        <v>24</v>
      </c>
      <c r="K4803">
        <v>46.52</v>
      </c>
      <c r="L4803">
        <v>0</v>
      </c>
    </row>
    <row r="4804" spans="1:12">
      <c r="A4804" t="s">
        <v>13912</v>
      </c>
      <c r="B4804" t="s">
        <v>13913</v>
      </c>
      <c r="C4804" t="s">
        <v>13914</v>
      </c>
      <c r="D4804" t="s">
        <v>23</v>
      </c>
      <c r="E4804" t="s">
        <v>59</v>
      </c>
      <c r="F4804" t="s">
        <v>41</v>
      </c>
      <c r="G4804" t="s">
        <v>37</v>
      </c>
      <c r="H4804" t="s">
        <v>19</v>
      </c>
      <c r="I4804">
        <v>5</v>
      </c>
      <c r="J4804">
        <v>24</v>
      </c>
      <c r="K4804">
        <v>15.81</v>
      </c>
      <c r="L4804">
        <v>1</v>
      </c>
    </row>
    <row r="4805" spans="1:12">
      <c r="A4805" t="s">
        <v>13915</v>
      </c>
      <c r="B4805" t="s">
        <v>13916</v>
      </c>
      <c r="C4805" t="s">
        <v>13917</v>
      </c>
      <c r="D4805" t="s">
        <v>35</v>
      </c>
      <c r="E4805" t="s">
        <v>59</v>
      </c>
      <c r="F4805" t="s">
        <v>36</v>
      </c>
      <c r="G4805" t="s">
        <v>30</v>
      </c>
      <c r="H4805" t="s">
        <v>31</v>
      </c>
      <c r="I4805">
        <v>5</v>
      </c>
      <c r="J4805">
        <v>48</v>
      </c>
      <c r="K4805">
        <v>45.43</v>
      </c>
      <c r="L4805">
        <v>1</v>
      </c>
    </row>
    <row r="4806" spans="1:12">
      <c r="A4806" t="s">
        <v>13918</v>
      </c>
      <c r="B4806" t="s">
        <v>13919</v>
      </c>
      <c r="C4806" t="s">
        <v>13920</v>
      </c>
      <c r="D4806" t="s">
        <v>23</v>
      </c>
      <c r="E4806" t="s">
        <v>54</v>
      </c>
      <c r="F4806" t="s">
        <v>17</v>
      </c>
      <c r="G4806" t="s">
        <v>55</v>
      </c>
      <c r="H4806" t="s">
        <v>31</v>
      </c>
      <c r="I4806">
        <v>5</v>
      </c>
      <c r="J4806">
        <v>24</v>
      </c>
      <c r="K4806">
        <v>22.2</v>
      </c>
      <c r="L4806">
        <v>1</v>
      </c>
    </row>
    <row r="4807" spans="1:12">
      <c r="A4807" t="s">
        <v>13921</v>
      </c>
      <c r="B4807" t="s">
        <v>13922</v>
      </c>
      <c r="C4807" t="s">
        <v>13923</v>
      </c>
      <c r="D4807" t="s">
        <v>158</v>
      </c>
      <c r="E4807" t="s">
        <v>59</v>
      </c>
      <c r="F4807" t="s">
        <v>60</v>
      </c>
      <c r="G4807" t="s">
        <v>18</v>
      </c>
      <c r="H4807" t="s">
        <v>31</v>
      </c>
      <c r="I4807">
        <v>4</v>
      </c>
      <c r="J4807">
        <v>4</v>
      </c>
      <c r="K4807">
        <v>0.9</v>
      </c>
      <c r="L4807">
        <v>1</v>
      </c>
    </row>
    <row r="4808" spans="1:12">
      <c r="A4808" t="s">
        <v>13924</v>
      </c>
      <c r="B4808" t="s">
        <v>13925</v>
      </c>
      <c r="C4808" t="s">
        <v>13926</v>
      </c>
      <c r="D4808" t="s">
        <v>23</v>
      </c>
      <c r="E4808" t="s">
        <v>28</v>
      </c>
      <c r="F4808" t="s">
        <v>41</v>
      </c>
      <c r="G4808" t="s">
        <v>18</v>
      </c>
      <c r="H4808" t="s">
        <v>19</v>
      </c>
      <c r="I4808">
        <v>5</v>
      </c>
      <c r="J4808">
        <v>24</v>
      </c>
      <c r="K4808">
        <v>16.079999999999998</v>
      </c>
      <c r="L4808">
        <v>1</v>
      </c>
    </row>
    <row r="4809" spans="1:12">
      <c r="A4809" t="s">
        <v>13927</v>
      </c>
      <c r="B4809" t="s">
        <v>13928</v>
      </c>
      <c r="C4809" t="s">
        <v>13929</v>
      </c>
      <c r="D4809" t="s">
        <v>23</v>
      </c>
      <c r="E4809" t="s">
        <v>24</v>
      </c>
      <c r="F4809" t="s">
        <v>41</v>
      </c>
      <c r="G4809" t="s">
        <v>172</v>
      </c>
      <c r="H4809" t="s">
        <v>19</v>
      </c>
      <c r="I4809">
        <v>5</v>
      </c>
      <c r="J4809">
        <v>24</v>
      </c>
      <c r="K4809">
        <v>18.12</v>
      </c>
      <c r="L4809">
        <v>1</v>
      </c>
    </row>
    <row r="4810" spans="1:12">
      <c r="A4810" t="s">
        <v>13930</v>
      </c>
      <c r="B4810" t="s">
        <v>13931</v>
      </c>
      <c r="C4810" t="s">
        <v>13932</v>
      </c>
      <c r="D4810" t="s">
        <v>23</v>
      </c>
      <c r="E4810" t="s">
        <v>28</v>
      </c>
      <c r="F4810" t="s">
        <v>29</v>
      </c>
      <c r="G4810" t="s">
        <v>77</v>
      </c>
      <c r="H4810" t="s">
        <v>19</v>
      </c>
      <c r="I4810">
        <v>3</v>
      </c>
      <c r="J4810">
        <v>24</v>
      </c>
      <c r="K4810">
        <v>62.01</v>
      </c>
      <c r="L4810">
        <v>0</v>
      </c>
    </row>
    <row r="4811" spans="1:12">
      <c r="A4811" t="s">
        <v>13933</v>
      </c>
      <c r="B4811" t="s">
        <v>13934</v>
      </c>
      <c r="C4811" t="s">
        <v>13935</v>
      </c>
      <c r="D4811" t="s">
        <v>23</v>
      </c>
      <c r="E4811" t="s">
        <v>59</v>
      </c>
      <c r="F4811" t="s">
        <v>60</v>
      </c>
      <c r="G4811" t="s">
        <v>45</v>
      </c>
      <c r="H4811" t="s">
        <v>19</v>
      </c>
      <c r="I4811">
        <v>4</v>
      </c>
      <c r="J4811">
        <v>24</v>
      </c>
      <c r="K4811">
        <v>8.83</v>
      </c>
      <c r="L4811">
        <v>1</v>
      </c>
    </row>
    <row r="4812" spans="1:12">
      <c r="A4812" t="s">
        <v>13936</v>
      </c>
      <c r="B4812" t="s">
        <v>13937</v>
      </c>
      <c r="C4812" t="s">
        <v>13938</v>
      </c>
      <c r="D4812" t="s">
        <v>35</v>
      </c>
      <c r="E4812" t="s">
        <v>28</v>
      </c>
      <c r="F4812" t="s">
        <v>41</v>
      </c>
      <c r="G4812" t="s">
        <v>172</v>
      </c>
      <c r="H4812" t="s">
        <v>31</v>
      </c>
      <c r="I4812">
        <v>4</v>
      </c>
      <c r="J4812">
        <v>48</v>
      </c>
      <c r="K4812">
        <v>22.64</v>
      </c>
      <c r="L4812">
        <v>1</v>
      </c>
    </row>
    <row r="4813" spans="1:12">
      <c r="A4813" t="s">
        <v>13939</v>
      </c>
      <c r="B4813" t="s">
        <v>13940</v>
      </c>
      <c r="C4813" t="s">
        <v>13941</v>
      </c>
      <c r="D4813" t="s">
        <v>35</v>
      </c>
      <c r="E4813" t="s">
        <v>24</v>
      </c>
      <c r="F4813" t="s">
        <v>41</v>
      </c>
      <c r="G4813" t="s">
        <v>105</v>
      </c>
      <c r="H4813" t="s">
        <v>31</v>
      </c>
      <c r="I4813">
        <v>4</v>
      </c>
      <c r="J4813">
        <v>48</v>
      </c>
      <c r="K4813">
        <v>8.15</v>
      </c>
      <c r="L4813">
        <v>1</v>
      </c>
    </row>
    <row r="4814" spans="1:12">
      <c r="A4814" t="s">
        <v>13942</v>
      </c>
      <c r="B4814" t="s">
        <v>13943</v>
      </c>
      <c r="C4814" t="s">
        <v>13944</v>
      </c>
      <c r="D4814" t="s">
        <v>23</v>
      </c>
      <c r="E4814" t="s">
        <v>28</v>
      </c>
      <c r="F4814" t="s">
        <v>17</v>
      </c>
      <c r="G4814" t="s">
        <v>42</v>
      </c>
      <c r="H4814" t="s">
        <v>31</v>
      </c>
      <c r="I4814">
        <v>5</v>
      </c>
      <c r="J4814">
        <v>24</v>
      </c>
      <c r="K4814">
        <v>8.8800000000000008</v>
      </c>
      <c r="L4814">
        <v>1</v>
      </c>
    </row>
    <row r="4815" spans="1:12">
      <c r="A4815" t="s">
        <v>13945</v>
      </c>
      <c r="B4815" t="s">
        <v>13946</v>
      </c>
      <c r="C4815" t="s">
        <v>13947</v>
      </c>
      <c r="D4815" t="s">
        <v>23</v>
      </c>
      <c r="E4815" t="s">
        <v>24</v>
      </c>
      <c r="F4815" t="s">
        <v>17</v>
      </c>
      <c r="G4815" t="s">
        <v>50</v>
      </c>
      <c r="H4815" t="s">
        <v>31</v>
      </c>
      <c r="I4815">
        <v>4</v>
      </c>
      <c r="J4815">
        <v>24</v>
      </c>
      <c r="K4815">
        <v>9.2100000000000009</v>
      </c>
      <c r="L4815">
        <v>1</v>
      </c>
    </row>
    <row r="4816" spans="1:12">
      <c r="A4816" t="s">
        <v>13948</v>
      </c>
      <c r="B4816" t="s">
        <v>13949</v>
      </c>
      <c r="D4816" t="s">
        <v>35</v>
      </c>
      <c r="E4816" t="s">
        <v>16</v>
      </c>
      <c r="F4816" t="s">
        <v>36</v>
      </c>
      <c r="G4816" t="s">
        <v>45</v>
      </c>
      <c r="H4816" t="s">
        <v>46</v>
      </c>
      <c r="J4816">
        <v>48</v>
      </c>
    </row>
    <row r="4817" spans="1:12">
      <c r="A4817" t="s">
        <v>13950</v>
      </c>
      <c r="B4817" t="s">
        <v>13951</v>
      </c>
      <c r="C4817" t="s">
        <v>13952</v>
      </c>
      <c r="D4817" t="s">
        <v>23</v>
      </c>
      <c r="E4817" t="s">
        <v>28</v>
      </c>
      <c r="F4817" t="s">
        <v>17</v>
      </c>
      <c r="G4817" t="s">
        <v>50</v>
      </c>
      <c r="H4817" t="s">
        <v>19</v>
      </c>
      <c r="I4817">
        <v>4</v>
      </c>
      <c r="J4817">
        <v>24</v>
      </c>
      <c r="K4817">
        <v>20.16</v>
      </c>
      <c r="L4817">
        <v>1</v>
      </c>
    </row>
    <row r="4818" spans="1:12">
      <c r="A4818" t="s">
        <v>13953</v>
      </c>
      <c r="B4818" t="s">
        <v>13954</v>
      </c>
      <c r="C4818" t="s">
        <v>13955</v>
      </c>
      <c r="D4818" t="s">
        <v>23</v>
      </c>
      <c r="E4818" t="s">
        <v>54</v>
      </c>
      <c r="F4818" t="s">
        <v>60</v>
      </c>
      <c r="G4818" t="s">
        <v>172</v>
      </c>
      <c r="H4818" t="s">
        <v>19</v>
      </c>
      <c r="I4818">
        <v>5</v>
      </c>
      <c r="J4818">
        <v>24</v>
      </c>
      <c r="K4818">
        <v>13.81</v>
      </c>
      <c r="L4818">
        <v>1</v>
      </c>
    </row>
    <row r="4819" spans="1:12">
      <c r="A4819" t="s">
        <v>13956</v>
      </c>
      <c r="B4819" t="s">
        <v>13957</v>
      </c>
      <c r="C4819" t="s">
        <v>13958</v>
      </c>
      <c r="D4819" t="s">
        <v>15</v>
      </c>
      <c r="E4819" t="s">
        <v>16</v>
      </c>
      <c r="F4819" t="s">
        <v>60</v>
      </c>
      <c r="G4819" t="s">
        <v>42</v>
      </c>
      <c r="H4819" t="s">
        <v>19</v>
      </c>
      <c r="I4819">
        <v>4</v>
      </c>
      <c r="J4819">
        <v>8</v>
      </c>
      <c r="K4819">
        <v>4.4400000000000004</v>
      </c>
      <c r="L4819">
        <v>1</v>
      </c>
    </row>
    <row r="4820" spans="1:12">
      <c r="A4820" t="s">
        <v>13959</v>
      </c>
      <c r="B4820" t="s">
        <v>13960</v>
      </c>
      <c r="C4820" t="s">
        <v>13961</v>
      </c>
      <c r="D4820" t="s">
        <v>23</v>
      </c>
      <c r="E4820" t="s">
        <v>59</v>
      </c>
      <c r="F4820" t="s">
        <v>41</v>
      </c>
      <c r="G4820" t="s">
        <v>50</v>
      </c>
      <c r="H4820" t="s">
        <v>19</v>
      </c>
      <c r="I4820">
        <v>2</v>
      </c>
      <c r="J4820">
        <v>24</v>
      </c>
      <c r="K4820">
        <v>51.6</v>
      </c>
      <c r="L4820">
        <v>0</v>
      </c>
    </row>
    <row r="4821" spans="1:12">
      <c r="A4821" t="s">
        <v>13962</v>
      </c>
      <c r="B4821" t="s">
        <v>13963</v>
      </c>
      <c r="C4821" t="s">
        <v>13964</v>
      </c>
      <c r="D4821" t="s">
        <v>23</v>
      </c>
      <c r="E4821" t="s">
        <v>16</v>
      </c>
      <c r="F4821" t="s">
        <v>29</v>
      </c>
      <c r="G4821" t="s">
        <v>45</v>
      </c>
      <c r="H4821" t="s">
        <v>19</v>
      </c>
      <c r="I4821">
        <v>5</v>
      </c>
      <c r="J4821">
        <v>24</v>
      </c>
      <c r="K4821">
        <v>21.65</v>
      </c>
      <c r="L4821">
        <v>1</v>
      </c>
    </row>
    <row r="4822" spans="1:12">
      <c r="A4822" t="s">
        <v>13965</v>
      </c>
      <c r="B4822" t="s">
        <v>13966</v>
      </c>
      <c r="D4822" t="s">
        <v>35</v>
      </c>
      <c r="E4822" t="s">
        <v>28</v>
      </c>
      <c r="F4822" t="s">
        <v>17</v>
      </c>
      <c r="G4822" t="s">
        <v>172</v>
      </c>
      <c r="H4822" t="s">
        <v>46</v>
      </c>
      <c r="J4822">
        <v>48</v>
      </c>
    </row>
    <row r="4823" spans="1:12">
      <c r="A4823" t="s">
        <v>13967</v>
      </c>
      <c r="B4823" t="s">
        <v>13968</v>
      </c>
      <c r="C4823" t="s">
        <v>13969</v>
      </c>
      <c r="D4823" t="s">
        <v>158</v>
      </c>
      <c r="E4823" t="s">
        <v>28</v>
      </c>
      <c r="F4823" t="s">
        <v>60</v>
      </c>
      <c r="G4823" t="s">
        <v>151</v>
      </c>
      <c r="H4823" t="s">
        <v>31</v>
      </c>
      <c r="I4823">
        <v>5</v>
      </c>
      <c r="J4823">
        <v>4</v>
      </c>
      <c r="K4823">
        <v>0.62</v>
      </c>
      <c r="L4823">
        <v>1</v>
      </c>
    </row>
    <row r="4824" spans="1:12">
      <c r="A4824" t="s">
        <v>13970</v>
      </c>
      <c r="B4824" t="s">
        <v>13971</v>
      </c>
      <c r="C4824" t="s">
        <v>13972</v>
      </c>
      <c r="D4824" t="s">
        <v>15</v>
      </c>
      <c r="E4824" t="s">
        <v>28</v>
      </c>
      <c r="F4824" t="s">
        <v>41</v>
      </c>
      <c r="G4824" t="s">
        <v>73</v>
      </c>
      <c r="H4824" t="s">
        <v>19</v>
      </c>
      <c r="I4824">
        <v>4</v>
      </c>
      <c r="J4824">
        <v>8</v>
      </c>
      <c r="K4824">
        <v>2.79</v>
      </c>
      <c r="L4824">
        <v>1</v>
      </c>
    </row>
    <row r="4825" spans="1:12">
      <c r="A4825" t="s">
        <v>13973</v>
      </c>
      <c r="B4825" t="s">
        <v>13974</v>
      </c>
      <c r="C4825" t="s">
        <v>13975</v>
      </c>
      <c r="D4825" t="s">
        <v>23</v>
      </c>
      <c r="E4825" t="s">
        <v>24</v>
      </c>
      <c r="F4825" t="s">
        <v>36</v>
      </c>
      <c r="G4825" t="s">
        <v>73</v>
      </c>
      <c r="H4825" t="s">
        <v>19</v>
      </c>
      <c r="I4825">
        <v>3</v>
      </c>
      <c r="J4825">
        <v>24</v>
      </c>
      <c r="K4825">
        <v>18.579999999999998</v>
      </c>
      <c r="L4825">
        <v>1</v>
      </c>
    </row>
    <row r="4826" spans="1:12">
      <c r="A4826" t="s">
        <v>13976</v>
      </c>
      <c r="B4826" t="s">
        <v>13977</v>
      </c>
      <c r="C4826" t="s">
        <v>13978</v>
      </c>
      <c r="D4826" t="s">
        <v>23</v>
      </c>
      <c r="E4826" t="s">
        <v>16</v>
      </c>
      <c r="F4826" t="s">
        <v>29</v>
      </c>
      <c r="G4826" t="s">
        <v>55</v>
      </c>
      <c r="H4826" t="s">
        <v>19</v>
      </c>
      <c r="I4826">
        <v>5</v>
      </c>
      <c r="J4826">
        <v>24</v>
      </c>
      <c r="K4826">
        <v>2.68</v>
      </c>
      <c r="L4826">
        <v>1</v>
      </c>
    </row>
    <row r="4827" spans="1:12">
      <c r="A4827" t="s">
        <v>13979</v>
      </c>
      <c r="B4827" t="s">
        <v>13980</v>
      </c>
      <c r="C4827" t="s">
        <v>13981</v>
      </c>
      <c r="D4827" t="s">
        <v>23</v>
      </c>
      <c r="E4827" t="s">
        <v>16</v>
      </c>
      <c r="F4827" t="s">
        <v>36</v>
      </c>
      <c r="G4827" t="s">
        <v>172</v>
      </c>
      <c r="H4827" t="s">
        <v>31</v>
      </c>
      <c r="I4827">
        <v>3</v>
      </c>
      <c r="J4827">
        <v>24</v>
      </c>
      <c r="K4827">
        <v>22.17</v>
      </c>
      <c r="L4827">
        <v>1</v>
      </c>
    </row>
    <row r="4828" spans="1:12">
      <c r="A4828" t="s">
        <v>13982</v>
      </c>
      <c r="B4828" t="s">
        <v>13983</v>
      </c>
      <c r="C4828" t="s">
        <v>13984</v>
      </c>
      <c r="D4828" t="s">
        <v>15</v>
      </c>
      <c r="E4828" t="s">
        <v>16</v>
      </c>
      <c r="F4828" t="s">
        <v>41</v>
      </c>
      <c r="G4828" t="s">
        <v>151</v>
      </c>
      <c r="H4828" t="s">
        <v>31</v>
      </c>
      <c r="I4828">
        <v>5</v>
      </c>
      <c r="J4828">
        <v>8</v>
      </c>
      <c r="K4828">
        <v>1.08</v>
      </c>
      <c r="L4828">
        <v>1</v>
      </c>
    </row>
    <row r="4829" spans="1:12">
      <c r="A4829" t="s">
        <v>13985</v>
      </c>
      <c r="B4829" t="s">
        <v>13986</v>
      </c>
      <c r="C4829" t="s">
        <v>13987</v>
      </c>
      <c r="D4829" t="s">
        <v>23</v>
      </c>
      <c r="E4829" t="s">
        <v>28</v>
      </c>
      <c r="F4829" t="s">
        <v>60</v>
      </c>
      <c r="G4829" t="s">
        <v>55</v>
      </c>
      <c r="H4829" t="s">
        <v>19</v>
      </c>
      <c r="I4829">
        <v>5</v>
      </c>
      <c r="J4829">
        <v>24</v>
      </c>
      <c r="K4829">
        <v>2.87</v>
      </c>
      <c r="L4829">
        <v>1</v>
      </c>
    </row>
    <row r="4830" spans="1:12">
      <c r="A4830" t="s">
        <v>13988</v>
      </c>
      <c r="B4830" t="s">
        <v>13989</v>
      </c>
      <c r="C4830" t="s">
        <v>13990</v>
      </c>
      <c r="D4830" t="s">
        <v>23</v>
      </c>
      <c r="E4830" t="s">
        <v>24</v>
      </c>
      <c r="F4830" t="s">
        <v>41</v>
      </c>
      <c r="G4830" t="s">
        <v>45</v>
      </c>
      <c r="H4830" t="s">
        <v>31</v>
      </c>
      <c r="I4830">
        <v>4</v>
      </c>
      <c r="J4830">
        <v>24</v>
      </c>
      <c r="K4830">
        <v>7.34</v>
      </c>
      <c r="L4830">
        <v>1</v>
      </c>
    </row>
    <row r="4831" spans="1:12">
      <c r="A4831" t="s">
        <v>13991</v>
      </c>
      <c r="B4831" t="s">
        <v>13992</v>
      </c>
      <c r="D4831" t="s">
        <v>23</v>
      </c>
      <c r="E4831" t="s">
        <v>16</v>
      </c>
      <c r="F4831" t="s">
        <v>60</v>
      </c>
      <c r="G4831" t="s">
        <v>30</v>
      </c>
      <c r="H4831" t="s">
        <v>63</v>
      </c>
      <c r="J4831">
        <v>24</v>
      </c>
    </row>
    <row r="4832" spans="1:12">
      <c r="A4832" t="s">
        <v>13993</v>
      </c>
      <c r="B4832" t="s">
        <v>13994</v>
      </c>
      <c r="C4832" t="s">
        <v>13995</v>
      </c>
      <c r="D4832" t="s">
        <v>23</v>
      </c>
      <c r="E4832" t="s">
        <v>28</v>
      </c>
      <c r="F4832" t="s">
        <v>60</v>
      </c>
      <c r="G4832" t="s">
        <v>18</v>
      </c>
      <c r="H4832" t="s">
        <v>19</v>
      </c>
      <c r="I4832">
        <v>4</v>
      </c>
      <c r="J4832">
        <v>24</v>
      </c>
      <c r="K4832">
        <v>20.16</v>
      </c>
      <c r="L4832">
        <v>1</v>
      </c>
    </row>
    <row r="4833" spans="1:12">
      <c r="A4833" t="s">
        <v>13996</v>
      </c>
      <c r="B4833" t="s">
        <v>13997</v>
      </c>
      <c r="C4833" t="s">
        <v>13998</v>
      </c>
      <c r="D4833" t="s">
        <v>23</v>
      </c>
      <c r="E4833" t="s">
        <v>59</v>
      </c>
      <c r="F4833" t="s">
        <v>36</v>
      </c>
      <c r="G4833" t="s">
        <v>50</v>
      </c>
      <c r="H4833" t="s">
        <v>19</v>
      </c>
      <c r="I4833">
        <v>3</v>
      </c>
      <c r="J4833">
        <v>24</v>
      </c>
      <c r="K4833">
        <v>7.21</v>
      </c>
      <c r="L4833">
        <v>1</v>
      </c>
    </row>
    <row r="4834" spans="1:12">
      <c r="A4834" t="s">
        <v>13999</v>
      </c>
      <c r="B4834" t="s">
        <v>14000</v>
      </c>
      <c r="C4834" t="s">
        <v>14001</v>
      </c>
      <c r="D4834" t="s">
        <v>23</v>
      </c>
      <c r="E4834" t="s">
        <v>16</v>
      </c>
      <c r="F4834" t="s">
        <v>17</v>
      </c>
      <c r="G4834" t="s">
        <v>45</v>
      </c>
      <c r="H4834" t="s">
        <v>19</v>
      </c>
      <c r="I4834">
        <v>5</v>
      </c>
      <c r="J4834">
        <v>24</v>
      </c>
      <c r="K4834">
        <v>18.38</v>
      </c>
      <c r="L4834">
        <v>1</v>
      </c>
    </row>
    <row r="4835" spans="1:12">
      <c r="A4835" t="s">
        <v>14002</v>
      </c>
      <c r="B4835" t="s">
        <v>14003</v>
      </c>
      <c r="C4835" t="s">
        <v>14004</v>
      </c>
      <c r="D4835" t="s">
        <v>23</v>
      </c>
      <c r="E4835" t="s">
        <v>16</v>
      </c>
      <c r="F4835" t="s">
        <v>60</v>
      </c>
      <c r="G4835" t="s">
        <v>30</v>
      </c>
      <c r="H4835" t="s">
        <v>31</v>
      </c>
      <c r="I4835">
        <v>4</v>
      </c>
      <c r="J4835">
        <v>24</v>
      </c>
      <c r="K4835">
        <v>7.7</v>
      </c>
      <c r="L4835">
        <v>1</v>
      </c>
    </row>
    <row r="4836" spans="1:12">
      <c r="A4836" t="s">
        <v>14005</v>
      </c>
      <c r="B4836" t="s">
        <v>14006</v>
      </c>
      <c r="D4836" t="s">
        <v>35</v>
      </c>
      <c r="E4836" t="s">
        <v>28</v>
      </c>
      <c r="F4836" t="s">
        <v>29</v>
      </c>
      <c r="G4836" t="s">
        <v>105</v>
      </c>
      <c r="H4836" t="s">
        <v>46</v>
      </c>
      <c r="J4836">
        <v>48</v>
      </c>
    </row>
    <row r="4837" spans="1:12">
      <c r="A4837" t="s">
        <v>14007</v>
      </c>
      <c r="B4837" t="s">
        <v>14008</v>
      </c>
      <c r="C4837" t="s">
        <v>14009</v>
      </c>
      <c r="D4837" t="s">
        <v>23</v>
      </c>
      <c r="E4837" t="s">
        <v>16</v>
      </c>
      <c r="F4837" t="s">
        <v>60</v>
      </c>
      <c r="G4837" t="s">
        <v>105</v>
      </c>
      <c r="H4837" t="s">
        <v>19</v>
      </c>
      <c r="I4837">
        <v>4</v>
      </c>
      <c r="J4837">
        <v>24</v>
      </c>
      <c r="K4837">
        <v>19.579999999999998</v>
      </c>
      <c r="L4837">
        <v>1</v>
      </c>
    </row>
    <row r="4838" spans="1:12">
      <c r="A4838" t="s">
        <v>14010</v>
      </c>
      <c r="B4838" t="s">
        <v>14011</v>
      </c>
      <c r="C4838" t="s">
        <v>14012</v>
      </c>
      <c r="D4838" t="s">
        <v>23</v>
      </c>
      <c r="E4838" t="s">
        <v>28</v>
      </c>
      <c r="F4838" t="s">
        <v>41</v>
      </c>
      <c r="G4838" t="s">
        <v>30</v>
      </c>
      <c r="H4838" t="s">
        <v>31</v>
      </c>
      <c r="I4838">
        <v>3</v>
      </c>
      <c r="J4838">
        <v>24</v>
      </c>
      <c r="K4838">
        <v>11.54</v>
      </c>
      <c r="L4838">
        <v>1</v>
      </c>
    </row>
    <row r="4839" spans="1:12">
      <c r="A4839" t="s">
        <v>14013</v>
      </c>
      <c r="B4839" t="s">
        <v>14014</v>
      </c>
      <c r="D4839" t="s">
        <v>158</v>
      </c>
      <c r="E4839" t="s">
        <v>54</v>
      </c>
      <c r="F4839" t="s">
        <v>36</v>
      </c>
      <c r="G4839" t="s">
        <v>37</v>
      </c>
      <c r="H4839" t="s">
        <v>46</v>
      </c>
      <c r="J4839">
        <v>4</v>
      </c>
    </row>
    <row r="4840" spans="1:12">
      <c r="A4840" t="s">
        <v>14015</v>
      </c>
      <c r="B4840" t="s">
        <v>14016</v>
      </c>
      <c r="C4840" t="s">
        <v>14017</v>
      </c>
      <c r="D4840" t="s">
        <v>35</v>
      </c>
      <c r="E4840" t="s">
        <v>24</v>
      </c>
      <c r="F4840" t="s">
        <v>36</v>
      </c>
      <c r="G4840" t="s">
        <v>18</v>
      </c>
      <c r="H4840" t="s">
        <v>31</v>
      </c>
      <c r="I4840">
        <v>4</v>
      </c>
      <c r="J4840">
        <v>48</v>
      </c>
      <c r="K4840">
        <v>20.29</v>
      </c>
      <c r="L4840">
        <v>1</v>
      </c>
    </row>
    <row r="4841" spans="1:12">
      <c r="A4841" t="s">
        <v>14018</v>
      </c>
      <c r="B4841" t="s">
        <v>14019</v>
      </c>
      <c r="C4841" t="s">
        <v>14020</v>
      </c>
      <c r="D4841" t="s">
        <v>23</v>
      </c>
      <c r="E4841" t="s">
        <v>28</v>
      </c>
      <c r="F4841" t="s">
        <v>36</v>
      </c>
      <c r="G4841" t="s">
        <v>37</v>
      </c>
      <c r="H4841" t="s">
        <v>19</v>
      </c>
      <c r="I4841">
        <v>5</v>
      </c>
      <c r="J4841">
        <v>24</v>
      </c>
      <c r="K4841">
        <v>10.74</v>
      </c>
      <c r="L4841">
        <v>1</v>
      </c>
    </row>
    <row r="4842" spans="1:12">
      <c r="A4842" t="s">
        <v>14021</v>
      </c>
      <c r="B4842" t="s">
        <v>14022</v>
      </c>
      <c r="C4842" t="s">
        <v>14023</v>
      </c>
      <c r="D4842" t="s">
        <v>23</v>
      </c>
      <c r="E4842" t="s">
        <v>24</v>
      </c>
      <c r="F4842" t="s">
        <v>29</v>
      </c>
      <c r="G4842" t="s">
        <v>18</v>
      </c>
      <c r="H4842" t="s">
        <v>19</v>
      </c>
      <c r="I4842">
        <v>5</v>
      </c>
      <c r="J4842">
        <v>24</v>
      </c>
      <c r="K4842">
        <v>10.61</v>
      </c>
      <c r="L4842">
        <v>1</v>
      </c>
    </row>
    <row r="4843" spans="1:12">
      <c r="A4843" t="s">
        <v>14024</v>
      </c>
      <c r="B4843" t="s">
        <v>14025</v>
      </c>
      <c r="D4843" t="s">
        <v>15</v>
      </c>
      <c r="E4843" t="s">
        <v>16</v>
      </c>
      <c r="F4843" t="s">
        <v>60</v>
      </c>
      <c r="G4843" t="s">
        <v>172</v>
      </c>
      <c r="H4843" t="s">
        <v>63</v>
      </c>
      <c r="J4843">
        <v>8</v>
      </c>
    </row>
    <row r="4844" spans="1:12">
      <c r="A4844" t="s">
        <v>14026</v>
      </c>
      <c r="B4844" t="s">
        <v>14027</v>
      </c>
      <c r="C4844" t="s">
        <v>14028</v>
      </c>
      <c r="D4844" t="s">
        <v>23</v>
      </c>
      <c r="E4844" t="s">
        <v>59</v>
      </c>
      <c r="F4844" t="s">
        <v>29</v>
      </c>
      <c r="G4844" t="s">
        <v>50</v>
      </c>
      <c r="H4844" t="s">
        <v>19</v>
      </c>
      <c r="I4844">
        <v>5</v>
      </c>
      <c r="J4844">
        <v>24</v>
      </c>
      <c r="K4844">
        <v>3.62</v>
      </c>
      <c r="L4844">
        <v>1</v>
      </c>
    </row>
    <row r="4845" spans="1:12">
      <c r="A4845" t="s">
        <v>14029</v>
      </c>
      <c r="B4845" t="s">
        <v>14030</v>
      </c>
      <c r="C4845" t="s">
        <v>14031</v>
      </c>
      <c r="D4845" t="s">
        <v>23</v>
      </c>
      <c r="E4845" t="s">
        <v>28</v>
      </c>
      <c r="F4845" t="s">
        <v>41</v>
      </c>
      <c r="G4845" t="s">
        <v>18</v>
      </c>
      <c r="H4845" t="s">
        <v>31</v>
      </c>
      <c r="I4845">
        <v>4</v>
      </c>
      <c r="J4845">
        <v>24</v>
      </c>
      <c r="K4845">
        <v>9.27</v>
      </c>
      <c r="L4845">
        <v>1</v>
      </c>
    </row>
    <row r="4846" spans="1:12">
      <c r="A4846" t="s">
        <v>14032</v>
      </c>
      <c r="B4846" t="s">
        <v>14033</v>
      </c>
      <c r="D4846" t="s">
        <v>23</v>
      </c>
      <c r="E4846" t="s">
        <v>16</v>
      </c>
      <c r="F4846" t="s">
        <v>17</v>
      </c>
      <c r="G4846" t="s">
        <v>37</v>
      </c>
      <c r="H4846" t="s">
        <v>63</v>
      </c>
      <c r="J4846">
        <v>24</v>
      </c>
    </row>
    <row r="4847" spans="1:12">
      <c r="A4847" t="s">
        <v>14034</v>
      </c>
      <c r="B4847" t="s">
        <v>14035</v>
      </c>
      <c r="C4847" t="s">
        <v>14036</v>
      </c>
      <c r="D4847" t="s">
        <v>158</v>
      </c>
      <c r="E4847" t="s">
        <v>16</v>
      </c>
      <c r="F4847" t="s">
        <v>29</v>
      </c>
      <c r="G4847" t="s">
        <v>50</v>
      </c>
      <c r="H4847" t="s">
        <v>19</v>
      </c>
      <c r="I4847">
        <v>4</v>
      </c>
      <c r="J4847">
        <v>4</v>
      </c>
      <c r="K4847">
        <v>0.53</v>
      </c>
      <c r="L4847">
        <v>1</v>
      </c>
    </row>
    <row r="4848" spans="1:12">
      <c r="A4848" t="s">
        <v>14037</v>
      </c>
      <c r="B4848" t="s">
        <v>14038</v>
      </c>
      <c r="D4848" t="s">
        <v>15</v>
      </c>
      <c r="E4848" t="s">
        <v>24</v>
      </c>
      <c r="F4848" t="s">
        <v>29</v>
      </c>
      <c r="G4848" t="s">
        <v>45</v>
      </c>
      <c r="H4848" t="s">
        <v>46</v>
      </c>
      <c r="J4848">
        <v>8</v>
      </c>
    </row>
    <row r="4849" spans="1:12">
      <c r="A4849" t="s">
        <v>14039</v>
      </c>
      <c r="B4849" t="s">
        <v>14040</v>
      </c>
      <c r="D4849" t="s">
        <v>23</v>
      </c>
      <c r="E4849" t="s">
        <v>16</v>
      </c>
      <c r="F4849" t="s">
        <v>17</v>
      </c>
      <c r="G4849" t="s">
        <v>55</v>
      </c>
      <c r="H4849" t="s">
        <v>63</v>
      </c>
      <c r="J4849">
        <v>24</v>
      </c>
    </row>
    <row r="4850" spans="1:12">
      <c r="A4850" t="s">
        <v>14041</v>
      </c>
      <c r="B4850" t="s">
        <v>14042</v>
      </c>
      <c r="C4850" t="s">
        <v>14043</v>
      </c>
      <c r="D4850" t="s">
        <v>23</v>
      </c>
      <c r="E4850" t="s">
        <v>28</v>
      </c>
      <c r="F4850" t="s">
        <v>29</v>
      </c>
      <c r="G4850" t="s">
        <v>45</v>
      </c>
      <c r="H4850" t="s">
        <v>19</v>
      </c>
      <c r="I4850">
        <v>5</v>
      </c>
      <c r="J4850">
        <v>24</v>
      </c>
      <c r="K4850">
        <v>14.1</v>
      </c>
      <c r="L4850">
        <v>1</v>
      </c>
    </row>
    <row r="4851" spans="1:12">
      <c r="A4851" t="s">
        <v>14044</v>
      </c>
      <c r="B4851" t="s">
        <v>14045</v>
      </c>
      <c r="C4851" t="s">
        <v>14046</v>
      </c>
      <c r="D4851" t="s">
        <v>15</v>
      </c>
      <c r="E4851" t="s">
        <v>16</v>
      </c>
      <c r="F4851" t="s">
        <v>41</v>
      </c>
      <c r="G4851" t="s">
        <v>77</v>
      </c>
      <c r="H4851" t="s">
        <v>19</v>
      </c>
      <c r="I4851">
        <v>4</v>
      </c>
      <c r="J4851">
        <v>8</v>
      </c>
      <c r="K4851">
        <v>4.0999999999999996</v>
      </c>
      <c r="L4851">
        <v>1</v>
      </c>
    </row>
    <row r="4852" spans="1:12">
      <c r="A4852" t="s">
        <v>14047</v>
      </c>
      <c r="B4852" t="s">
        <v>14048</v>
      </c>
      <c r="C4852" t="s">
        <v>14049</v>
      </c>
      <c r="D4852" t="s">
        <v>23</v>
      </c>
      <c r="E4852" t="s">
        <v>16</v>
      </c>
      <c r="F4852" t="s">
        <v>17</v>
      </c>
      <c r="G4852" t="s">
        <v>50</v>
      </c>
      <c r="H4852" t="s">
        <v>19</v>
      </c>
      <c r="I4852">
        <v>4</v>
      </c>
      <c r="J4852">
        <v>24</v>
      </c>
      <c r="K4852">
        <v>9.0399999999999991</v>
      </c>
      <c r="L4852">
        <v>1</v>
      </c>
    </row>
    <row r="4853" spans="1:12">
      <c r="A4853" t="s">
        <v>14050</v>
      </c>
      <c r="B4853" t="s">
        <v>14051</v>
      </c>
      <c r="C4853" t="s">
        <v>14052</v>
      </c>
      <c r="D4853" t="s">
        <v>15</v>
      </c>
      <c r="E4853" t="s">
        <v>28</v>
      </c>
      <c r="F4853" t="s">
        <v>41</v>
      </c>
      <c r="G4853" t="s">
        <v>30</v>
      </c>
      <c r="H4853" t="s">
        <v>31</v>
      </c>
      <c r="I4853">
        <v>4</v>
      </c>
      <c r="J4853">
        <v>8</v>
      </c>
      <c r="K4853">
        <v>5.29</v>
      </c>
      <c r="L4853">
        <v>1</v>
      </c>
    </row>
    <row r="4854" spans="1:12">
      <c r="A4854" t="s">
        <v>14053</v>
      </c>
      <c r="B4854" t="s">
        <v>14054</v>
      </c>
      <c r="C4854" t="s">
        <v>14055</v>
      </c>
      <c r="D4854" t="s">
        <v>15</v>
      </c>
      <c r="E4854" t="s">
        <v>16</v>
      </c>
      <c r="F4854" t="s">
        <v>29</v>
      </c>
      <c r="G4854" t="s">
        <v>30</v>
      </c>
      <c r="H4854" t="s">
        <v>31</v>
      </c>
      <c r="I4854">
        <v>4</v>
      </c>
      <c r="J4854">
        <v>8</v>
      </c>
      <c r="K4854">
        <v>1.64</v>
      </c>
      <c r="L4854">
        <v>1</v>
      </c>
    </row>
    <row r="4855" spans="1:12">
      <c r="A4855" t="s">
        <v>14056</v>
      </c>
      <c r="B4855" t="s">
        <v>14057</v>
      </c>
      <c r="C4855" t="s">
        <v>14058</v>
      </c>
      <c r="D4855" t="s">
        <v>15</v>
      </c>
      <c r="E4855" t="s">
        <v>28</v>
      </c>
      <c r="F4855" t="s">
        <v>41</v>
      </c>
      <c r="G4855" t="s">
        <v>42</v>
      </c>
      <c r="H4855" t="s">
        <v>31</v>
      </c>
      <c r="I4855">
        <v>5</v>
      </c>
      <c r="J4855">
        <v>8</v>
      </c>
      <c r="K4855">
        <v>7.22</v>
      </c>
      <c r="L4855">
        <v>1</v>
      </c>
    </row>
    <row r="4856" spans="1:12">
      <c r="A4856" t="s">
        <v>14059</v>
      </c>
      <c r="B4856" t="s">
        <v>14060</v>
      </c>
      <c r="C4856" t="s">
        <v>14061</v>
      </c>
      <c r="D4856" t="s">
        <v>158</v>
      </c>
      <c r="E4856" t="s">
        <v>28</v>
      </c>
      <c r="F4856" t="s">
        <v>36</v>
      </c>
      <c r="G4856" t="s">
        <v>105</v>
      </c>
      <c r="H4856" t="s">
        <v>19</v>
      </c>
      <c r="I4856">
        <v>5</v>
      </c>
      <c r="J4856">
        <v>4</v>
      </c>
      <c r="K4856">
        <v>0.43</v>
      </c>
      <c r="L4856">
        <v>1</v>
      </c>
    </row>
    <row r="4857" spans="1:12">
      <c r="A4857" t="s">
        <v>14062</v>
      </c>
      <c r="B4857" t="s">
        <v>14063</v>
      </c>
      <c r="C4857" t="s">
        <v>14064</v>
      </c>
      <c r="D4857" t="s">
        <v>35</v>
      </c>
      <c r="E4857" t="s">
        <v>16</v>
      </c>
      <c r="F4857" t="s">
        <v>29</v>
      </c>
      <c r="G4857" t="s">
        <v>73</v>
      </c>
      <c r="H4857" t="s">
        <v>31</v>
      </c>
      <c r="I4857">
        <v>5</v>
      </c>
      <c r="J4857">
        <v>48</v>
      </c>
      <c r="K4857">
        <v>19.809999999999999</v>
      </c>
      <c r="L4857">
        <v>1</v>
      </c>
    </row>
    <row r="4858" spans="1:12">
      <c r="A4858" t="s">
        <v>14065</v>
      </c>
      <c r="B4858" t="s">
        <v>14066</v>
      </c>
      <c r="C4858" t="s">
        <v>14067</v>
      </c>
      <c r="D4858" t="s">
        <v>23</v>
      </c>
      <c r="E4858" t="s">
        <v>28</v>
      </c>
      <c r="F4858" t="s">
        <v>29</v>
      </c>
      <c r="G4858" t="s">
        <v>151</v>
      </c>
      <c r="H4858" t="s">
        <v>31</v>
      </c>
      <c r="I4858">
        <v>2</v>
      </c>
      <c r="J4858">
        <v>24</v>
      </c>
      <c r="K4858">
        <v>57.83</v>
      </c>
      <c r="L4858">
        <v>0</v>
      </c>
    </row>
    <row r="4859" spans="1:12">
      <c r="A4859" t="s">
        <v>14068</v>
      </c>
      <c r="B4859" t="s">
        <v>14069</v>
      </c>
      <c r="C4859" t="s">
        <v>14070</v>
      </c>
      <c r="D4859" t="s">
        <v>158</v>
      </c>
      <c r="E4859" t="s">
        <v>28</v>
      </c>
      <c r="F4859" t="s">
        <v>17</v>
      </c>
      <c r="G4859" t="s">
        <v>45</v>
      </c>
      <c r="H4859" t="s">
        <v>19</v>
      </c>
      <c r="I4859">
        <v>4</v>
      </c>
      <c r="J4859">
        <v>4</v>
      </c>
      <c r="K4859">
        <v>2.63</v>
      </c>
      <c r="L4859">
        <v>1</v>
      </c>
    </row>
    <row r="4860" spans="1:12">
      <c r="A4860" t="s">
        <v>14071</v>
      </c>
      <c r="B4860" t="s">
        <v>14072</v>
      </c>
      <c r="C4860" t="s">
        <v>14073</v>
      </c>
      <c r="D4860" t="s">
        <v>35</v>
      </c>
      <c r="E4860" t="s">
        <v>16</v>
      </c>
      <c r="F4860" t="s">
        <v>17</v>
      </c>
      <c r="G4860" t="s">
        <v>73</v>
      </c>
      <c r="H4860" t="s">
        <v>19</v>
      </c>
      <c r="I4860">
        <v>4</v>
      </c>
      <c r="J4860">
        <v>48</v>
      </c>
      <c r="K4860">
        <v>14.9</v>
      </c>
      <c r="L4860">
        <v>1</v>
      </c>
    </row>
    <row r="4861" spans="1:12">
      <c r="A4861" t="s">
        <v>14074</v>
      </c>
      <c r="B4861" t="s">
        <v>14075</v>
      </c>
      <c r="C4861" t="s">
        <v>14076</v>
      </c>
      <c r="D4861" t="s">
        <v>15</v>
      </c>
      <c r="E4861" t="s">
        <v>28</v>
      </c>
      <c r="F4861" t="s">
        <v>41</v>
      </c>
      <c r="G4861" t="s">
        <v>50</v>
      </c>
      <c r="H4861" t="s">
        <v>19</v>
      </c>
      <c r="I4861">
        <v>2</v>
      </c>
      <c r="J4861">
        <v>8</v>
      </c>
      <c r="K4861">
        <v>13.64</v>
      </c>
      <c r="L4861">
        <v>0</v>
      </c>
    </row>
    <row r="4862" spans="1:12">
      <c r="A4862" t="s">
        <v>14077</v>
      </c>
      <c r="B4862" t="s">
        <v>14078</v>
      </c>
      <c r="C4862" t="s">
        <v>14079</v>
      </c>
      <c r="D4862" t="s">
        <v>35</v>
      </c>
      <c r="E4862" t="s">
        <v>54</v>
      </c>
      <c r="F4862" t="s">
        <v>29</v>
      </c>
      <c r="G4862" t="s">
        <v>37</v>
      </c>
      <c r="H4862" t="s">
        <v>19</v>
      </c>
      <c r="I4862">
        <v>5</v>
      </c>
      <c r="J4862">
        <v>48</v>
      </c>
      <c r="K4862">
        <v>33.619999999999997</v>
      </c>
      <c r="L4862">
        <v>1</v>
      </c>
    </row>
    <row r="4863" spans="1:12">
      <c r="A4863" t="s">
        <v>14080</v>
      </c>
      <c r="B4863" t="s">
        <v>14081</v>
      </c>
      <c r="C4863" t="s">
        <v>14082</v>
      </c>
      <c r="D4863" t="s">
        <v>23</v>
      </c>
      <c r="E4863" t="s">
        <v>59</v>
      </c>
      <c r="F4863" t="s">
        <v>29</v>
      </c>
      <c r="G4863" t="s">
        <v>45</v>
      </c>
      <c r="H4863" t="s">
        <v>31</v>
      </c>
      <c r="I4863">
        <v>4</v>
      </c>
      <c r="J4863">
        <v>24</v>
      </c>
      <c r="K4863">
        <v>3.89</v>
      </c>
      <c r="L4863">
        <v>1</v>
      </c>
    </row>
    <row r="4864" spans="1:12">
      <c r="A4864" t="s">
        <v>14083</v>
      </c>
      <c r="B4864" t="s">
        <v>14084</v>
      </c>
      <c r="C4864" t="s">
        <v>14085</v>
      </c>
      <c r="D4864" t="s">
        <v>23</v>
      </c>
      <c r="E4864" t="s">
        <v>28</v>
      </c>
      <c r="F4864" t="s">
        <v>41</v>
      </c>
      <c r="G4864" t="s">
        <v>37</v>
      </c>
      <c r="H4864" t="s">
        <v>19</v>
      </c>
      <c r="I4864">
        <v>5</v>
      </c>
      <c r="J4864">
        <v>24</v>
      </c>
      <c r="K4864">
        <v>14.71</v>
      </c>
      <c r="L4864">
        <v>1</v>
      </c>
    </row>
    <row r="4865" spans="1:12">
      <c r="A4865" t="s">
        <v>14086</v>
      </c>
      <c r="B4865" t="s">
        <v>14087</v>
      </c>
      <c r="C4865" t="s">
        <v>14088</v>
      </c>
      <c r="D4865" t="s">
        <v>23</v>
      </c>
      <c r="E4865" t="s">
        <v>16</v>
      </c>
      <c r="F4865" t="s">
        <v>41</v>
      </c>
      <c r="G4865" t="s">
        <v>50</v>
      </c>
      <c r="H4865" t="s">
        <v>31</v>
      </c>
      <c r="I4865">
        <v>4</v>
      </c>
      <c r="J4865">
        <v>24</v>
      </c>
      <c r="K4865">
        <v>6.21</v>
      </c>
      <c r="L4865">
        <v>1</v>
      </c>
    </row>
    <row r="4866" spans="1:12">
      <c r="A4866" t="s">
        <v>14089</v>
      </c>
      <c r="B4866" t="s">
        <v>14090</v>
      </c>
      <c r="C4866" t="s">
        <v>14091</v>
      </c>
      <c r="D4866" t="s">
        <v>15</v>
      </c>
      <c r="E4866" t="s">
        <v>16</v>
      </c>
      <c r="F4866" t="s">
        <v>17</v>
      </c>
      <c r="G4866" t="s">
        <v>42</v>
      </c>
      <c r="H4866" t="s">
        <v>19</v>
      </c>
      <c r="I4866">
        <v>4</v>
      </c>
      <c r="J4866">
        <v>8</v>
      </c>
      <c r="K4866">
        <v>3.12</v>
      </c>
      <c r="L4866">
        <v>1</v>
      </c>
    </row>
    <row r="4867" spans="1:12">
      <c r="A4867" t="s">
        <v>14092</v>
      </c>
      <c r="B4867" t="s">
        <v>14093</v>
      </c>
      <c r="C4867" t="s">
        <v>14094</v>
      </c>
      <c r="D4867" t="s">
        <v>15</v>
      </c>
      <c r="E4867" t="s">
        <v>54</v>
      </c>
      <c r="F4867" t="s">
        <v>17</v>
      </c>
      <c r="G4867" t="s">
        <v>18</v>
      </c>
      <c r="H4867" t="s">
        <v>19</v>
      </c>
      <c r="I4867">
        <v>5</v>
      </c>
      <c r="J4867">
        <v>8</v>
      </c>
      <c r="K4867">
        <v>6.21</v>
      </c>
      <c r="L4867">
        <v>1</v>
      </c>
    </row>
    <row r="4868" spans="1:12">
      <c r="A4868" t="s">
        <v>14095</v>
      </c>
      <c r="B4868" t="s">
        <v>14096</v>
      </c>
      <c r="C4868" t="s">
        <v>14097</v>
      </c>
      <c r="D4868" t="s">
        <v>23</v>
      </c>
      <c r="E4868" t="s">
        <v>59</v>
      </c>
      <c r="F4868" t="s">
        <v>36</v>
      </c>
      <c r="G4868" t="s">
        <v>37</v>
      </c>
      <c r="H4868" t="s">
        <v>19</v>
      </c>
      <c r="I4868">
        <v>4</v>
      </c>
      <c r="J4868">
        <v>24</v>
      </c>
      <c r="K4868">
        <v>2.63</v>
      </c>
      <c r="L4868">
        <v>1</v>
      </c>
    </row>
    <row r="4869" spans="1:12">
      <c r="A4869" t="s">
        <v>14098</v>
      </c>
      <c r="B4869" t="s">
        <v>14099</v>
      </c>
      <c r="C4869" t="s">
        <v>14100</v>
      </c>
      <c r="D4869" t="s">
        <v>23</v>
      </c>
      <c r="E4869" t="s">
        <v>16</v>
      </c>
      <c r="F4869" t="s">
        <v>60</v>
      </c>
      <c r="G4869" t="s">
        <v>18</v>
      </c>
      <c r="H4869" t="s">
        <v>19</v>
      </c>
      <c r="I4869">
        <v>2</v>
      </c>
      <c r="J4869">
        <v>24</v>
      </c>
      <c r="K4869">
        <v>59.72</v>
      </c>
      <c r="L4869">
        <v>0</v>
      </c>
    </row>
    <row r="4870" spans="1:12">
      <c r="A4870" t="s">
        <v>14101</v>
      </c>
      <c r="B4870" t="s">
        <v>14102</v>
      </c>
      <c r="C4870" t="s">
        <v>14103</v>
      </c>
      <c r="D4870" t="s">
        <v>23</v>
      </c>
      <c r="E4870" t="s">
        <v>24</v>
      </c>
      <c r="F4870" t="s">
        <v>36</v>
      </c>
      <c r="G4870" t="s">
        <v>172</v>
      </c>
      <c r="H4870" t="s">
        <v>19</v>
      </c>
      <c r="I4870">
        <v>2</v>
      </c>
      <c r="J4870">
        <v>24</v>
      </c>
      <c r="K4870">
        <v>67.040000000000006</v>
      </c>
      <c r="L4870">
        <v>0</v>
      </c>
    </row>
    <row r="4871" spans="1:12">
      <c r="A4871" t="s">
        <v>14104</v>
      </c>
      <c r="B4871" t="s">
        <v>14105</v>
      </c>
      <c r="C4871" t="s">
        <v>14106</v>
      </c>
      <c r="D4871" t="s">
        <v>35</v>
      </c>
      <c r="E4871" t="s">
        <v>28</v>
      </c>
      <c r="F4871" t="s">
        <v>17</v>
      </c>
      <c r="G4871" t="s">
        <v>45</v>
      </c>
      <c r="H4871" t="s">
        <v>31</v>
      </c>
      <c r="I4871">
        <v>1</v>
      </c>
      <c r="J4871">
        <v>48</v>
      </c>
      <c r="K4871">
        <v>104.67</v>
      </c>
      <c r="L4871">
        <v>0</v>
      </c>
    </row>
    <row r="4872" spans="1:12">
      <c r="A4872" t="s">
        <v>14107</v>
      </c>
      <c r="B4872" t="s">
        <v>14108</v>
      </c>
      <c r="C4872" t="s">
        <v>14109</v>
      </c>
      <c r="D4872" t="s">
        <v>23</v>
      </c>
      <c r="E4872" t="s">
        <v>28</v>
      </c>
      <c r="F4872" t="s">
        <v>60</v>
      </c>
      <c r="G4872" t="s">
        <v>37</v>
      </c>
      <c r="H4872" t="s">
        <v>31</v>
      </c>
      <c r="I4872">
        <v>3</v>
      </c>
      <c r="J4872">
        <v>24</v>
      </c>
      <c r="K4872">
        <v>10.15</v>
      </c>
      <c r="L4872">
        <v>1</v>
      </c>
    </row>
    <row r="4873" spans="1:12">
      <c r="A4873" t="s">
        <v>14110</v>
      </c>
      <c r="B4873" t="s">
        <v>14111</v>
      </c>
      <c r="C4873" t="s">
        <v>14112</v>
      </c>
      <c r="D4873" t="s">
        <v>158</v>
      </c>
      <c r="E4873" t="s">
        <v>24</v>
      </c>
      <c r="F4873" t="s">
        <v>17</v>
      </c>
      <c r="G4873" t="s">
        <v>73</v>
      </c>
      <c r="H4873" t="s">
        <v>19</v>
      </c>
      <c r="I4873">
        <v>2</v>
      </c>
      <c r="J4873">
        <v>4</v>
      </c>
      <c r="K4873">
        <v>8.51</v>
      </c>
      <c r="L4873">
        <v>0</v>
      </c>
    </row>
    <row r="4874" spans="1:12">
      <c r="A4874" t="s">
        <v>14113</v>
      </c>
      <c r="B4874" t="s">
        <v>14114</v>
      </c>
      <c r="C4874" t="s">
        <v>14115</v>
      </c>
      <c r="D4874" t="s">
        <v>35</v>
      </c>
      <c r="E4874" t="s">
        <v>59</v>
      </c>
      <c r="F4874" t="s">
        <v>36</v>
      </c>
      <c r="G4874" t="s">
        <v>151</v>
      </c>
      <c r="H4874" t="s">
        <v>31</v>
      </c>
      <c r="I4874">
        <v>4</v>
      </c>
      <c r="J4874">
        <v>48</v>
      </c>
      <c r="K4874">
        <v>64.099999999999994</v>
      </c>
      <c r="L4874">
        <v>0</v>
      </c>
    </row>
    <row r="4875" spans="1:12">
      <c r="A4875" t="s">
        <v>14116</v>
      </c>
      <c r="B4875" t="s">
        <v>14117</v>
      </c>
      <c r="C4875" t="s">
        <v>14118</v>
      </c>
      <c r="D4875" t="s">
        <v>35</v>
      </c>
      <c r="E4875" t="s">
        <v>24</v>
      </c>
      <c r="F4875" t="s">
        <v>17</v>
      </c>
      <c r="G4875" t="s">
        <v>172</v>
      </c>
      <c r="H4875" t="s">
        <v>19</v>
      </c>
      <c r="I4875">
        <v>5</v>
      </c>
      <c r="J4875">
        <v>48</v>
      </c>
      <c r="K4875">
        <v>7.45</v>
      </c>
      <c r="L4875">
        <v>1</v>
      </c>
    </row>
    <row r="4876" spans="1:12">
      <c r="A4876" t="s">
        <v>14119</v>
      </c>
      <c r="B4876" t="s">
        <v>14120</v>
      </c>
      <c r="C4876" t="s">
        <v>14121</v>
      </c>
      <c r="D4876" t="s">
        <v>158</v>
      </c>
      <c r="E4876" t="s">
        <v>16</v>
      </c>
      <c r="F4876" t="s">
        <v>60</v>
      </c>
      <c r="G4876" t="s">
        <v>55</v>
      </c>
      <c r="H4876" t="s">
        <v>19</v>
      </c>
      <c r="I4876">
        <v>5</v>
      </c>
      <c r="J4876">
        <v>4</v>
      </c>
      <c r="K4876">
        <v>1.74</v>
      </c>
      <c r="L4876">
        <v>1</v>
      </c>
    </row>
    <row r="4877" spans="1:12">
      <c r="A4877" t="s">
        <v>14122</v>
      </c>
      <c r="B4877" t="s">
        <v>14123</v>
      </c>
      <c r="C4877" t="s">
        <v>14124</v>
      </c>
      <c r="D4877" t="s">
        <v>23</v>
      </c>
      <c r="E4877" t="s">
        <v>24</v>
      </c>
      <c r="F4877" t="s">
        <v>60</v>
      </c>
      <c r="G4877" t="s">
        <v>50</v>
      </c>
      <c r="H4877" t="s">
        <v>31</v>
      </c>
      <c r="I4877">
        <v>5</v>
      </c>
      <c r="J4877">
        <v>24</v>
      </c>
      <c r="K4877">
        <v>21.9</v>
      </c>
      <c r="L4877">
        <v>1</v>
      </c>
    </row>
    <row r="4878" spans="1:12">
      <c r="A4878" t="s">
        <v>14125</v>
      </c>
      <c r="B4878" t="s">
        <v>14126</v>
      </c>
      <c r="C4878" t="s">
        <v>14127</v>
      </c>
      <c r="D4878" t="s">
        <v>35</v>
      </c>
      <c r="E4878" t="s">
        <v>24</v>
      </c>
      <c r="F4878" t="s">
        <v>60</v>
      </c>
      <c r="G4878" t="s">
        <v>18</v>
      </c>
      <c r="H4878" t="s">
        <v>19</v>
      </c>
      <c r="I4878">
        <v>5</v>
      </c>
      <c r="J4878">
        <v>48</v>
      </c>
      <c r="K4878">
        <v>20.77</v>
      </c>
      <c r="L4878">
        <v>1</v>
      </c>
    </row>
    <row r="4879" spans="1:12">
      <c r="A4879" t="s">
        <v>14128</v>
      </c>
      <c r="B4879" t="s">
        <v>14129</v>
      </c>
      <c r="D4879" t="s">
        <v>35</v>
      </c>
      <c r="E4879" t="s">
        <v>24</v>
      </c>
      <c r="F4879" t="s">
        <v>36</v>
      </c>
      <c r="G4879" t="s">
        <v>50</v>
      </c>
      <c r="H4879" t="s">
        <v>63</v>
      </c>
      <c r="J4879">
        <v>48</v>
      </c>
    </row>
    <row r="4880" spans="1:12">
      <c r="A4880" t="s">
        <v>14130</v>
      </c>
      <c r="B4880" t="s">
        <v>14131</v>
      </c>
      <c r="D4880" t="s">
        <v>35</v>
      </c>
      <c r="E4880" t="s">
        <v>16</v>
      </c>
      <c r="F4880" t="s">
        <v>41</v>
      </c>
      <c r="G4880" t="s">
        <v>42</v>
      </c>
      <c r="H4880" t="s">
        <v>63</v>
      </c>
      <c r="J4880">
        <v>48</v>
      </c>
    </row>
    <row r="4881" spans="1:12">
      <c r="A4881" t="s">
        <v>14132</v>
      </c>
      <c r="B4881" t="s">
        <v>14133</v>
      </c>
      <c r="C4881" t="s">
        <v>14134</v>
      </c>
      <c r="D4881" t="s">
        <v>15</v>
      </c>
      <c r="E4881" t="s">
        <v>24</v>
      </c>
      <c r="F4881" t="s">
        <v>60</v>
      </c>
      <c r="G4881" t="s">
        <v>30</v>
      </c>
      <c r="H4881" t="s">
        <v>31</v>
      </c>
      <c r="I4881">
        <v>1</v>
      </c>
      <c r="J4881">
        <v>8</v>
      </c>
      <c r="K4881">
        <v>8.81</v>
      </c>
      <c r="L4881">
        <v>0</v>
      </c>
    </row>
    <row r="4882" spans="1:12">
      <c r="A4882" t="s">
        <v>14135</v>
      </c>
      <c r="B4882" t="s">
        <v>14136</v>
      </c>
      <c r="C4882" t="s">
        <v>14137</v>
      </c>
      <c r="D4882" t="s">
        <v>23</v>
      </c>
      <c r="E4882" t="s">
        <v>54</v>
      </c>
      <c r="F4882" t="s">
        <v>17</v>
      </c>
      <c r="G4882" t="s">
        <v>37</v>
      </c>
      <c r="H4882" t="s">
        <v>31</v>
      </c>
      <c r="I4882">
        <v>5</v>
      </c>
      <c r="J4882">
        <v>24</v>
      </c>
      <c r="K4882">
        <v>15.3</v>
      </c>
      <c r="L4882">
        <v>1</v>
      </c>
    </row>
    <row r="4883" spans="1:12">
      <c r="A4883" t="s">
        <v>14138</v>
      </c>
      <c r="B4883" t="s">
        <v>14139</v>
      </c>
      <c r="C4883" t="s">
        <v>14140</v>
      </c>
      <c r="D4883" t="s">
        <v>15</v>
      </c>
      <c r="E4883" t="s">
        <v>28</v>
      </c>
      <c r="F4883" t="s">
        <v>29</v>
      </c>
      <c r="G4883" t="s">
        <v>151</v>
      </c>
      <c r="H4883" t="s">
        <v>19</v>
      </c>
      <c r="I4883">
        <v>5</v>
      </c>
      <c r="J4883">
        <v>8</v>
      </c>
      <c r="K4883">
        <v>4.43</v>
      </c>
      <c r="L4883">
        <v>1</v>
      </c>
    </row>
    <row r="4884" spans="1:12">
      <c r="A4884" t="s">
        <v>14141</v>
      </c>
      <c r="B4884" t="s">
        <v>14142</v>
      </c>
      <c r="C4884" t="s">
        <v>14143</v>
      </c>
      <c r="D4884" t="s">
        <v>158</v>
      </c>
      <c r="E4884" t="s">
        <v>24</v>
      </c>
      <c r="F4884" t="s">
        <v>17</v>
      </c>
      <c r="G4884" t="s">
        <v>77</v>
      </c>
      <c r="H4884" t="s">
        <v>19</v>
      </c>
      <c r="I4884">
        <v>5</v>
      </c>
      <c r="J4884">
        <v>4</v>
      </c>
      <c r="K4884">
        <v>0.99</v>
      </c>
      <c r="L4884">
        <v>1</v>
      </c>
    </row>
    <row r="4885" spans="1:12">
      <c r="A4885" t="s">
        <v>14144</v>
      </c>
      <c r="B4885" t="s">
        <v>14145</v>
      </c>
      <c r="C4885" t="s">
        <v>14146</v>
      </c>
      <c r="D4885" t="s">
        <v>15</v>
      </c>
      <c r="E4885" t="s">
        <v>24</v>
      </c>
      <c r="F4885" t="s">
        <v>41</v>
      </c>
      <c r="G4885" t="s">
        <v>151</v>
      </c>
      <c r="H4885" t="s">
        <v>31</v>
      </c>
      <c r="I4885">
        <v>1</v>
      </c>
      <c r="J4885">
        <v>8</v>
      </c>
      <c r="K4885">
        <v>13.52</v>
      </c>
      <c r="L4885">
        <v>0</v>
      </c>
    </row>
    <row r="4886" spans="1:12">
      <c r="A4886" t="s">
        <v>14147</v>
      </c>
      <c r="B4886" t="s">
        <v>14148</v>
      </c>
      <c r="C4886" t="s">
        <v>14149</v>
      </c>
      <c r="D4886" t="s">
        <v>23</v>
      </c>
      <c r="E4886" t="s">
        <v>16</v>
      </c>
      <c r="F4886" t="s">
        <v>17</v>
      </c>
      <c r="G4886" t="s">
        <v>77</v>
      </c>
      <c r="H4886" t="s">
        <v>31</v>
      </c>
      <c r="I4886">
        <v>3</v>
      </c>
      <c r="J4886">
        <v>24</v>
      </c>
      <c r="K4886">
        <v>39.04</v>
      </c>
      <c r="L4886">
        <v>0</v>
      </c>
    </row>
    <row r="4887" spans="1:12">
      <c r="A4887" t="s">
        <v>14150</v>
      </c>
      <c r="B4887" t="s">
        <v>14151</v>
      </c>
      <c r="C4887" t="s">
        <v>14152</v>
      </c>
      <c r="D4887" t="s">
        <v>15</v>
      </c>
      <c r="E4887" t="s">
        <v>54</v>
      </c>
      <c r="F4887" t="s">
        <v>60</v>
      </c>
      <c r="G4887" t="s">
        <v>77</v>
      </c>
      <c r="H4887" t="s">
        <v>19</v>
      </c>
      <c r="I4887">
        <v>4</v>
      </c>
      <c r="J4887">
        <v>8</v>
      </c>
      <c r="K4887">
        <v>4.88</v>
      </c>
      <c r="L4887">
        <v>1</v>
      </c>
    </row>
    <row r="4888" spans="1:12">
      <c r="A4888" t="s">
        <v>14153</v>
      </c>
      <c r="B4888" t="s">
        <v>14154</v>
      </c>
      <c r="C4888" t="s">
        <v>14155</v>
      </c>
      <c r="D4888" t="s">
        <v>158</v>
      </c>
      <c r="E4888" t="s">
        <v>16</v>
      </c>
      <c r="F4888" t="s">
        <v>60</v>
      </c>
      <c r="G4888" t="s">
        <v>73</v>
      </c>
      <c r="H4888" t="s">
        <v>31</v>
      </c>
      <c r="I4888">
        <v>4</v>
      </c>
      <c r="J4888">
        <v>4</v>
      </c>
      <c r="K4888">
        <v>1.86</v>
      </c>
      <c r="L4888">
        <v>1</v>
      </c>
    </row>
    <row r="4889" spans="1:12">
      <c r="A4889" t="s">
        <v>14156</v>
      </c>
      <c r="B4889" t="s">
        <v>14157</v>
      </c>
      <c r="D4889" t="s">
        <v>35</v>
      </c>
      <c r="E4889" t="s">
        <v>28</v>
      </c>
      <c r="F4889" t="s">
        <v>29</v>
      </c>
      <c r="G4889" t="s">
        <v>172</v>
      </c>
      <c r="H4889" t="s">
        <v>46</v>
      </c>
      <c r="J4889">
        <v>48</v>
      </c>
    </row>
    <row r="4890" spans="1:12">
      <c r="A4890" t="s">
        <v>14158</v>
      </c>
      <c r="B4890" t="s">
        <v>14159</v>
      </c>
      <c r="C4890" t="s">
        <v>14160</v>
      </c>
      <c r="D4890" t="s">
        <v>23</v>
      </c>
      <c r="E4890" t="s">
        <v>24</v>
      </c>
      <c r="F4890" t="s">
        <v>29</v>
      </c>
      <c r="G4890" t="s">
        <v>77</v>
      </c>
      <c r="H4890" t="s">
        <v>19</v>
      </c>
      <c r="I4890">
        <v>5</v>
      </c>
      <c r="J4890">
        <v>24</v>
      </c>
      <c r="K4890">
        <v>3.19</v>
      </c>
      <c r="L4890">
        <v>1</v>
      </c>
    </row>
    <row r="4891" spans="1:12">
      <c r="A4891" t="s">
        <v>14161</v>
      </c>
      <c r="B4891" t="s">
        <v>14162</v>
      </c>
      <c r="C4891" t="s">
        <v>14163</v>
      </c>
      <c r="D4891" t="s">
        <v>23</v>
      </c>
      <c r="E4891" t="s">
        <v>59</v>
      </c>
      <c r="F4891" t="s">
        <v>60</v>
      </c>
      <c r="G4891" t="s">
        <v>55</v>
      </c>
      <c r="H4891" t="s">
        <v>19</v>
      </c>
      <c r="I4891">
        <v>4</v>
      </c>
      <c r="J4891">
        <v>24</v>
      </c>
      <c r="K4891">
        <v>11.45</v>
      </c>
      <c r="L4891">
        <v>1</v>
      </c>
    </row>
    <row r="4892" spans="1:12">
      <c r="A4892" t="s">
        <v>14164</v>
      </c>
      <c r="B4892" t="s">
        <v>14165</v>
      </c>
      <c r="C4892" t="s">
        <v>14166</v>
      </c>
      <c r="D4892" t="s">
        <v>35</v>
      </c>
      <c r="E4892" t="s">
        <v>16</v>
      </c>
      <c r="F4892" t="s">
        <v>29</v>
      </c>
      <c r="G4892" t="s">
        <v>55</v>
      </c>
      <c r="H4892" t="s">
        <v>31</v>
      </c>
      <c r="I4892">
        <v>4</v>
      </c>
      <c r="J4892">
        <v>48</v>
      </c>
      <c r="K4892">
        <v>12.67</v>
      </c>
      <c r="L4892">
        <v>1</v>
      </c>
    </row>
    <row r="4893" spans="1:12">
      <c r="A4893" t="s">
        <v>14167</v>
      </c>
      <c r="B4893" t="s">
        <v>14168</v>
      </c>
      <c r="C4893" t="s">
        <v>14169</v>
      </c>
      <c r="D4893" t="s">
        <v>23</v>
      </c>
      <c r="E4893" t="s">
        <v>54</v>
      </c>
      <c r="F4893" t="s">
        <v>60</v>
      </c>
      <c r="G4893" t="s">
        <v>37</v>
      </c>
      <c r="H4893" t="s">
        <v>19</v>
      </c>
      <c r="I4893">
        <v>4</v>
      </c>
      <c r="J4893">
        <v>24</v>
      </c>
      <c r="K4893">
        <v>4.0999999999999996</v>
      </c>
      <c r="L4893">
        <v>1</v>
      </c>
    </row>
    <row r="4894" spans="1:12">
      <c r="A4894" t="s">
        <v>14170</v>
      </c>
      <c r="B4894" t="s">
        <v>14171</v>
      </c>
      <c r="C4894" t="s">
        <v>14172</v>
      </c>
      <c r="D4894" t="s">
        <v>35</v>
      </c>
      <c r="E4894" t="s">
        <v>54</v>
      </c>
      <c r="F4894" t="s">
        <v>17</v>
      </c>
      <c r="G4894" t="s">
        <v>172</v>
      </c>
      <c r="H4894" t="s">
        <v>19</v>
      </c>
      <c r="I4894">
        <v>4</v>
      </c>
      <c r="J4894">
        <v>48</v>
      </c>
      <c r="K4894">
        <v>91.1</v>
      </c>
      <c r="L4894">
        <v>0</v>
      </c>
    </row>
    <row r="4895" spans="1:12">
      <c r="A4895" t="s">
        <v>14173</v>
      </c>
      <c r="B4895" t="s">
        <v>14174</v>
      </c>
      <c r="C4895" t="s">
        <v>14175</v>
      </c>
      <c r="D4895" t="s">
        <v>35</v>
      </c>
      <c r="E4895" t="s">
        <v>24</v>
      </c>
      <c r="F4895" t="s">
        <v>60</v>
      </c>
      <c r="G4895" t="s">
        <v>18</v>
      </c>
      <c r="H4895" t="s">
        <v>19</v>
      </c>
      <c r="I4895">
        <v>5</v>
      </c>
      <c r="J4895">
        <v>48</v>
      </c>
      <c r="K4895">
        <v>16.07</v>
      </c>
      <c r="L4895">
        <v>1</v>
      </c>
    </row>
    <row r="4896" spans="1:12">
      <c r="A4896" t="s">
        <v>14176</v>
      </c>
      <c r="B4896" t="s">
        <v>14177</v>
      </c>
      <c r="C4896" t="s">
        <v>14178</v>
      </c>
      <c r="D4896" t="s">
        <v>35</v>
      </c>
      <c r="E4896" t="s">
        <v>28</v>
      </c>
      <c r="F4896" t="s">
        <v>36</v>
      </c>
      <c r="G4896" t="s">
        <v>37</v>
      </c>
      <c r="H4896" t="s">
        <v>19</v>
      </c>
      <c r="I4896">
        <v>4</v>
      </c>
      <c r="J4896">
        <v>48</v>
      </c>
      <c r="K4896">
        <v>27.23</v>
      </c>
      <c r="L4896">
        <v>1</v>
      </c>
    </row>
    <row r="4897" spans="1:12">
      <c r="A4897" t="s">
        <v>14179</v>
      </c>
      <c r="B4897" t="s">
        <v>14180</v>
      </c>
      <c r="C4897" t="s">
        <v>14181</v>
      </c>
      <c r="D4897" t="s">
        <v>158</v>
      </c>
      <c r="E4897" t="s">
        <v>28</v>
      </c>
      <c r="F4897" t="s">
        <v>41</v>
      </c>
      <c r="G4897" t="s">
        <v>42</v>
      </c>
      <c r="H4897" t="s">
        <v>31</v>
      </c>
      <c r="I4897">
        <v>5</v>
      </c>
      <c r="J4897">
        <v>4</v>
      </c>
      <c r="K4897">
        <v>1.48</v>
      </c>
      <c r="L4897">
        <v>1</v>
      </c>
    </row>
    <row r="4898" spans="1:12">
      <c r="A4898" t="s">
        <v>14182</v>
      </c>
      <c r="B4898" t="s">
        <v>14183</v>
      </c>
      <c r="C4898" t="s">
        <v>14184</v>
      </c>
      <c r="D4898" t="s">
        <v>158</v>
      </c>
      <c r="E4898" t="s">
        <v>16</v>
      </c>
      <c r="F4898" t="s">
        <v>60</v>
      </c>
      <c r="G4898" t="s">
        <v>151</v>
      </c>
      <c r="H4898" t="s">
        <v>31</v>
      </c>
      <c r="I4898">
        <v>5</v>
      </c>
      <c r="J4898">
        <v>4</v>
      </c>
      <c r="K4898">
        <v>2.2799999999999998</v>
      </c>
      <c r="L4898">
        <v>1</v>
      </c>
    </row>
    <row r="4899" spans="1:12">
      <c r="A4899" t="s">
        <v>14185</v>
      </c>
      <c r="B4899" t="s">
        <v>14186</v>
      </c>
      <c r="C4899" t="s">
        <v>14187</v>
      </c>
      <c r="D4899" t="s">
        <v>158</v>
      </c>
      <c r="E4899" t="s">
        <v>16</v>
      </c>
      <c r="F4899" t="s">
        <v>29</v>
      </c>
      <c r="G4899" t="s">
        <v>37</v>
      </c>
      <c r="H4899" t="s">
        <v>31</v>
      </c>
      <c r="I4899">
        <v>4</v>
      </c>
      <c r="J4899">
        <v>4</v>
      </c>
      <c r="K4899">
        <v>1.19</v>
      </c>
      <c r="L4899">
        <v>1</v>
      </c>
    </row>
    <row r="4900" spans="1:12">
      <c r="A4900" t="s">
        <v>14188</v>
      </c>
      <c r="B4900" t="s">
        <v>14189</v>
      </c>
      <c r="C4900" t="s">
        <v>14190</v>
      </c>
      <c r="D4900" t="s">
        <v>23</v>
      </c>
      <c r="E4900" t="s">
        <v>28</v>
      </c>
      <c r="F4900" t="s">
        <v>60</v>
      </c>
      <c r="G4900" t="s">
        <v>172</v>
      </c>
      <c r="H4900" t="s">
        <v>19</v>
      </c>
      <c r="I4900">
        <v>4</v>
      </c>
      <c r="J4900">
        <v>24</v>
      </c>
      <c r="K4900">
        <v>7.27</v>
      </c>
      <c r="L4900">
        <v>1</v>
      </c>
    </row>
    <row r="4901" spans="1:12">
      <c r="A4901" t="s">
        <v>14191</v>
      </c>
      <c r="B4901" t="s">
        <v>14192</v>
      </c>
      <c r="C4901" t="s">
        <v>14193</v>
      </c>
      <c r="D4901" t="s">
        <v>15</v>
      </c>
      <c r="E4901" t="s">
        <v>59</v>
      </c>
      <c r="F4901" t="s">
        <v>17</v>
      </c>
      <c r="G4901" t="s">
        <v>105</v>
      </c>
      <c r="H4901" t="s">
        <v>19</v>
      </c>
      <c r="I4901">
        <v>3</v>
      </c>
      <c r="J4901">
        <v>8</v>
      </c>
      <c r="K4901">
        <v>16.62</v>
      </c>
      <c r="L4901">
        <v>0</v>
      </c>
    </row>
    <row r="4902" spans="1:12">
      <c r="A4902" t="s">
        <v>14194</v>
      </c>
      <c r="B4902" t="s">
        <v>14195</v>
      </c>
      <c r="C4902" t="s">
        <v>14196</v>
      </c>
      <c r="D4902" t="s">
        <v>35</v>
      </c>
      <c r="E4902" t="s">
        <v>24</v>
      </c>
      <c r="F4902" t="s">
        <v>41</v>
      </c>
      <c r="G4902" t="s">
        <v>172</v>
      </c>
      <c r="H4902" t="s">
        <v>31</v>
      </c>
      <c r="I4902">
        <v>4</v>
      </c>
      <c r="J4902">
        <v>48</v>
      </c>
      <c r="K4902">
        <v>16.829999999999998</v>
      </c>
      <c r="L4902">
        <v>1</v>
      </c>
    </row>
    <row r="4903" spans="1:12">
      <c r="A4903" t="s">
        <v>14197</v>
      </c>
      <c r="B4903" t="s">
        <v>14198</v>
      </c>
      <c r="C4903" t="s">
        <v>14199</v>
      </c>
      <c r="D4903" t="s">
        <v>23</v>
      </c>
      <c r="E4903" t="s">
        <v>28</v>
      </c>
      <c r="F4903" t="s">
        <v>41</v>
      </c>
      <c r="G4903" t="s">
        <v>45</v>
      </c>
      <c r="H4903" t="s">
        <v>19</v>
      </c>
      <c r="I4903">
        <v>4</v>
      </c>
      <c r="J4903">
        <v>24</v>
      </c>
      <c r="K4903">
        <v>3.29</v>
      </c>
      <c r="L4903">
        <v>1</v>
      </c>
    </row>
    <row r="4904" spans="1:12">
      <c r="A4904" t="s">
        <v>14200</v>
      </c>
      <c r="B4904" t="s">
        <v>14201</v>
      </c>
      <c r="C4904" t="s">
        <v>14202</v>
      </c>
      <c r="D4904" t="s">
        <v>15</v>
      </c>
      <c r="E4904" t="s">
        <v>54</v>
      </c>
      <c r="F4904" t="s">
        <v>41</v>
      </c>
      <c r="G4904" t="s">
        <v>151</v>
      </c>
      <c r="H4904" t="s">
        <v>31</v>
      </c>
      <c r="I4904">
        <v>5</v>
      </c>
      <c r="J4904">
        <v>8</v>
      </c>
      <c r="K4904">
        <v>6.48</v>
      </c>
      <c r="L4904">
        <v>1</v>
      </c>
    </row>
    <row r="4905" spans="1:12">
      <c r="A4905" t="s">
        <v>14203</v>
      </c>
      <c r="B4905" t="s">
        <v>14204</v>
      </c>
      <c r="C4905" t="s">
        <v>14205</v>
      </c>
      <c r="D4905" t="s">
        <v>23</v>
      </c>
      <c r="E4905" t="s">
        <v>24</v>
      </c>
      <c r="F4905" t="s">
        <v>36</v>
      </c>
      <c r="G4905" t="s">
        <v>172</v>
      </c>
      <c r="H4905" t="s">
        <v>19</v>
      </c>
      <c r="I4905">
        <v>3</v>
      </c>
      <c r="J4905">
        <v>24</v>
      </c>
      <c r="K4905">
        <v>49.66</v>
      </c>
      <c r="L4905">
        <v>0</v>
      </c>
    </row>
    <row r="4906" spans="1:12">
      <c r="A4906" t="s">
        <v>14206</v>
      </c>
      <c r="B4906" t="s">
        <v>14207</v>
      </c>
      <c r="C4906" t="s">
        <v>14208</v>
      </c>
      <c r="D4906" t="s">
        <v>35</v>
      </c>
      <c r="E4906" t="s">
        <v>54</v>
      </c>
      <c r="F4906" t="s">
        <v>36</v>
      </c>
      <c r="G4906" t="s">
        <v>37</v>
      </c>
      <c r="H4906" t="s">
        <v>31</v>
      </c>
      <c r="I4906">
        <v>4</v>
      </c>
      <c r="J4906">
        <v>48</v>
      </c>
      <c r="K4906">
        <v>14.97</v>
      </c>
      <c r="L4906">
        <v>1</v>
      </c>
    </row>
    <row r="4907" spans="1:12">
      <c r="A4907" t="s">
        <v>14209</v>
      </c>
      <c r="B4907" t="s">
        <v>14210</v>
      </c>
      <c r="C4907" t="s">
        <v>14211</v>
      </c>
      <c r="D4907" t="s">
        <v>15</v>
      </c>
      <c r="E4907" t="s">
        <v>59</v>
      </c>
      <c r="F4907" t="s">
        <v>36</v>
      </c>
      <c r="G4907" t="s">
        <v>42</v>
      </c>
      <c r="H4907" t="s">
        <v>19</v>
      </c>
      <c r="I4907">
        <v>4</v>
      </c>
      <c r="J4907">
        <v>8</v>
      </c>
      <c r="K4907">
        <v>1.59</v>
      </c>
      <c r="L4907">
        <v>1</v>
      </c>
    </row>
    <row r="4908" spans="1:12">
      <c r="A4908" t="s">
        <v>14212</v>
      </c>
      <c r="B4908" t="s">
        <v>14213</v>
      </c>
      <c r="C4908" t="s">
        <v>14214</v>
      </c>
      <c r="D4908" t="s">
        <v>23</v>
      </c>
      <c r="E4908" t="s">
        <v>59</v>
      </c>
      <c r="F4908" t="s">
        <v>29</v>
      </c>
      <c r="G4908" t="s">
        <v>37</v>
      </c>
      <c r="H4908" t="s">
        <v>19</v>
      </c>
      <c r="I4908">
        <v>4</v>
      </c>
      <c r="J4908">
        <v>24</v>
      </c>
      <c r="K4908">
        <v>16.12</v>
      </c>
      <c r="L4908">
        <v>1</v>
      </c>
    </row>
    <row r="4909" spans="1:12">
      <c r="A4909" t="s">
        <v>14215</v>
      </c>
      <c r="B4909" t="s">
        <v>14216</v>
      </c>
      <c r="C4909" t="s">
        <v>14217</v>
      </c>
      <c r="D4909" t="s">
        <v>35</v>
      </c>
      <c r="E4909" t="s">
        <v>28</v>
      </c>
      <c r="F4909" t="s">
        <v>29</v>
      </c>
      <c r="G4909" t="s">
        <v>42</v>
      </c>
      <c r="H4909" t="s">
        <v>31</v>
      </c>
      <c r="I4909">
        <v>2</v>
      </c>
      <c r="J4909">
        <v>48</v>
      </c>
      <c r="K4909">
        <v>114.27</v>
      </c>
      <c r="L4909">
        <v>0</v>
      </c>
    </row>
    <row r="4910" spans="1:12">
      <c r="A4910" t="s">
        <v>14218</v>
      </c>
      <c r="B4910" t="s">
        <v>14219</v>
      </c>
      <c r="C4910" t="s">
        <v>14220</v>
      </c>
      <c r="D4910" t="s">
        <v>15</v>
      </c>
      <c r="E4910" t="s">
        <v>59</v>
      </c>
      <c r="F4910" t="s">
        <v>36</v>
      </c>
      <c r="G4910" t="s">
        <v>77</v>
      </c>
      <c r="H4910" t="s">
        <v>19</v>
      </c>
      <c r="I4910">
        <v>4</v>
      </c>
      <c r="J4910">
        <v>8</v>
      </c>
      <c r="K4910">
        <v>0.83</v>
      </c>
      <c r="L4910">
        <v>1</v>
      </c>
    </row>
    <row r="4911" spans="1:12">
      <c r="A4911" t="s">
        <v>14221</v>
      </c>
      <c r="B4911" t="s">
        <v>14222</v>
      </c>
      <c r="C4911" t="s">
        <v>14223</v>
      </c>
      <c r="D4911" t="s">
        <v>15</v>
      </c>
      <c r="E4911" t="s">
        <v>59</v>
      </c>
      <c r="F4911" t="s">
        <v>36</v>
      </c>
      <c r="G4911" t="s">
        <v>50</v>
      </c>
      <c r="H4911" t="s">
        <v>19</v>
      </c>
      <c r="I4911">
        <v>2</v>
      </c>
      <c r="J4911">
        <v>8</v>
      </c>
      <c r="K4911">
        <v>15.6</v>
      </c>
      <c r="L4911">
        <v>0</v>
      </c>
    </row>
    <row r="4912" spans="1:12">
      <c r="A4912" t="s">
        <v>14224</v>
      </c>
      <c r="B4912" t="s">
        <v>14225</v>
      </c>
      <c r="C4912" t="s">
        <v>14226</v>
      </c>
      <c r="D4912" t="s">
        <v>23</v>
      </c>
      <c r="E4912" t="s">
        <v>24</v>
      </c>
      <c r="F4912" t="s">
        <v>36</v>
      </c>
      <c r="G4912" t="s">
        <v>151</v>
      </c>
      <c r="H4912" t="s">
        <v>19</v>
      </c>
      <c r="I4912">
        <v>3</v>
      </c>
      <c r="J4912">
        <v>24</v>
      </c>
      <c r="K4912">
        <v>6.92</v>
      </c>
      <c r="L4912">
        <v>1</v>
      </c>
    </row>
    <row r="4913" spans="1:12">
      <c r="A4913" t="s">
        <v>14227</v>
      </c>
      <c r="B4913" t="s">
        <v>14228</v>
      </c>
      <c r="C4913" t="s">
        <v>14229</v>
      </c>
      <c r="D4913" t="s">
        <v>23</v>
      </c>
      <c r="E4913" t="s">
        <v>54</v>
      </c>
      <c r="F4913" t="s">
        <v>41</v>
      </c>
      <c r="G4913" t="s">
        <v>73</v>
      </c>
      <c r="H4913" t="s">
        <v>19</v>
      </c>
      <c r="I4913">
        <v>5</v>
      </c>
      <c r="J4913">
        <v>24</v>
      </c>
      <c r="K4913">
        <v>8.8800000000000008</v>
      </c>
      <c r="L4913">
        <v>1</v>
      </c>
    </row>
    <row r="4914" spans="1:12">
      <c r="A4914" t="s">
        <v>14230</v>
      </c>
      <c r="B4914" t="s">
        <v>14231</v>
      </c>
      <c r="C4914" t="s">
        <v>14232</v>
      </c>
      <c r="D4914" t="s">
        <v>35</v>
      </c>
      <c r="E4914" t="s">
        <v>28</v>
      </c>
      <c r="F4914" t="s">
        <v>36</v>
      </c>
      <c r="G4914" t="s">
        <v>30</v>
      </c>
      <c r="H4914" t="s">
        <v>19</v>
      </c>
      <c r="I4914">
        <v>5</v>
      </c>
      <c r="J4914">
        <v>48</v>
      </c>
      <c r="K4914">
        <v>36.4</v>
      </c>
      <c r="L4914">
        <v>1</v>
      </c>
    </row>
    <row r="4915" spans="1:12">
      <c r="A4915" t="s">
        <v>14233</v>
      </c>
      <c r="B4915" t="s">
        <v>14234</v>
      </c>
      <c r="C4915" t="s">
        <v>14235</v>
      </c>
      <c r="D4915" t="s">
        <v>35</v>
      </c>
      <c r="E4915" t="s">
        <v>28</v>
      </c>
      <c r="F4915" t="s">
        <v>17</v>
      </c>
      <c r="G4915" t="s">
        <v>37</v>
      </c>
      <c r="H4915" t="s">
        <v>31</v>
      </c>
      <c r="I4915">
        <v>5</v>
      </c>
      <c r="J4915">
        <v>48</v>
      </c>
      <c r="K4915">
        <v>40.42</v>
      </c>
      <c r="L4915">
        <v>1</v>
      </c>
    </row>
    <row r="4916" spans="1:12">
      <c r="A4916" t="s">
        <v>14236</v>
      </c>
      <c r="B4916" t="s">
        <v>14237</v>
      </c>
      <c r="C4916" t="s">
        <v>14238</v>
      </c>
      <c r="D4916" t="s">
        <v>35</v>
      </c>
      <c r="E4916" t="s">
        <v>24</v>
      </c>
      <c r="F4916" t="s">
        <v>41</v>
      </c>
      <c r="G4916" t="s">
        <v>45</v>
      </c>
      <c r="H4916" t="s">
        <v>19</v>
      </c>
      <c r="I4916">
        <v>5</v>
      </c>
      <c r="J4916">
        <v>48</v>
      </c>
      <c r="K4916">
        <v>11.84</v>
      </c>
      <c r="L4916">
        <v>1</v>
      </c>
    </row>
    <row r="4917" spans="1:12">
      <c r="A4917" t="s">
        <v>14239</v>
      </c>
      <c r="B4917" t="s">
        <v>14240</v>
      </c>
      <c r="C4917" t="s">
        <v>14241</v>
      </c>
      <c r="D4917" t="s">
        <v>35</v>
      </c>
      <c r="E4917" t="s">
        <v>24</v>
      </c>
      <c r="F4917" t="s">
        <v>36</v>
      </c>
      <c r="G4917" t="s">
        <v>45</v>
      </c>
      <c r="H4917" t="s">
        <v>31</v>
      </c>
      <c r="I4917">
        <v>5</v>
      </c>
      <c r="J4917">
        <v>48</v>
      </c>
      <c r="K4917">
        <v>40.61</v>
      </c>
      <c r="L4917">
        <v>1</v>
      </c>
    </row>
    <row r="4918" spans="1:12">
      <c r="A4918" t="s">
        <v>14242</v>
      </c>
      <c r="B4918" t="s">
        <v>14243</v>
      </c>
      <c r="C4918" t="s">
        <v>14244</v>
      </c>
      <c r="D4918" t="s">
        <v>15</v>
      </c>
      <c r="E4918" t="s">
        <v>59</v>
      </c>
      <c r="F4918" t="s">
        <v>60</v>
      </c>
      <c r="G4918" t="s">
        <v>73</v>
      </c>
      <c r="H4918" t="s">
        <v>19</v>
      </c>
      <c r="I4918">
        <v>2</v>
      </c>
      <c r="J4918">
        <v>8</v>
      </c>
      <c r="K4918">
        <v>9.3699999999999992</v>
      </c>
      <c r="L4918">
        <v>0</v>
      </c>
    </row>
    <row r="4919" spans="1:12">
      <c r="A4919" t="s">
        <v>14245</v>
      </c>
      <c r="B4919" t="s">
        <v>14246</v>
      </c>
      <c r="D4919" t="s">
        <v>15</v>
      </c>
      <c r="E4919" t="s">
        <v>24</v>
      </c>
      <c r="F4919" t="s">
        <v>36</v>
      </c>
      <c r="G4919" t="s">
        <v>37</v>
      </c>
      <c r="H4919" t="s">
        <v>63</v>
      </c>
      <c r="J4919">
        <v>8</v>
      </c>
    </row>
    <row r="4920" spans="1:12">
      <c r="A4920" t="s">
        <v>14247</v>
      </c>
      <c r="B4920" t="s">
        <v>14248</v>
      </c>
      <c r="C4920" t="s">
        <v>14249</v>
      </c>
      <c r="D4920" t="s">
        <v>23</v>
      </c>
      <c r="E4920" t="s">
        <v>28</v>
      </c>
      <c r="F4920" t="s">
        <v>60</v>
      </c>
      <c r="G4920" t="s">
        <v>172</v>
      </c>
      <c r="H4920" t="s">
        <v>19</v>
      </c>
      <c r="I4920">
        <v>4</v>
      </c>
      <c r="J4920">
        <v>24</v>
      </c>
      <c r="K4920">
        <v>14.91</v>
      </c>
      <c r="L4920">
        <v>1</v>
      </c>
    </row>
    <row r="4921" spans="1:12">
      <c r="A4921" t="s">
        <v>14250</v>
      </c>
      <c r="B4921" t="s">
        <v>14251</v>
      </c>
      <c r="C4921" t="s">
        <v>14252</v>
      </c>
      <c r="D4921" t="s">
        <v>23</v>
      </c>
      <c r="E4921" t="s">
        <v>28</v>
      </c>
      <c r="F4921" t="s">
        <v>17</v>
      </c>
      <c r="G4921" t="s">
        <v>42</v>
      </c>
      <c r="H4921" t="s">
        <v>31</v>
      </c>
      <c r="I4921">
        <v>4</v>
      </c>
      <c r="J4921">
        <v>24</v>
      </c>
      <c r="K4921">
        <v>11.06</v>
      </c>
      <c r="L4921">
        <v>1</v>
      </c>
    </row>
    <row r="4922" spans="1:12">
      <c r="A4922" t="s">
        <v>14253</v>
      </c>
      <c r="B4922" t="s">
        <v>14254</v>
      </c>
      <c r="C4922" t="s">
        <v>14255</v>
      </c>
      <c r="D4922" t="s">
        <v>35</v>
      </c>
      <c r="E4922" t="s">
        <v>24</v>
      </c>
      <c r="F4922" t="s">
        <v>41</v>
      </c>
      <c r="G4922" t="s">
        <v>45</v>
      </c>
      <c r="H4922" t="s">
        <v>31</v>
      </c>
      <c r="I4922">
        <v>5</v>
      </c>
      <c r="J4922">
        <v>48</v>
      </c>
      <c r="K4922">
        <v>22.35</v>
      </c>
      <c r="L4922">
        <v>1</v>
      </c>
    </row>
    <row r="4923" spans="1:12">
      <c r="A4923" t="s">
        <v>14256</v>
      </c>
      <c r="B4923" t="s">
        <v>14257</v>
      </c>
      <c r="D4923" t="s">
        <v>35</v>
      </c>
      <c r="E4923" t="s">
        <v>24</v>
      </c>
      <c r="F4923" t="s">
        <v>17</v>
      </c>
      <c r="G4923" t="s">
        <v>50</v>
      </c>
      <c r="H4923" t="s">
        <v>46</v>
      </c>
      <c r="J4923">
        <v>48</v>
      </c>
    </row>
    <row r="4924" spans="1:12">
      <c r="A4924" t="s">
        <v>14258</v>
      </c>
      <c r="B4924" t="s">
        <v>14259</v>
      </c>
      <c r="D4924" t="s">
        <v>23</v>
      </c>
      <c r="E4924" t="s">
        <v>59</v>
      </c>
      <c r="F4924" t="s">
        <v>29</v>
      </c>
      <c r="G4924" t="s">
        <v>151</v>
      </c>
      <c r="H4924" t="s">
        <v>63</v>
      </c>
      <c r="J4924">
        <v>24</v>
      </c>
    </row>
    <row r="4925" spans="1:12">
      <c r="A4925" t="s">
        <v>14260</v>
      </c>
      <c r="B4925" t="s">
        <v>14261</v>
      </c>
      <c r="C4925" t="s">
        <v>14262</v>
      </c>
      <c r="D4925" t="s">
        <v>158</v>
      </c>
      <c r="E4925" t="s">
        <v>54</v>
      </c>
      <c r="F4925" t="s">
        <v>60</v>
      </c>
      <c r="G4925" t="s">
        <v>151</v>
      </c>
      <c r="H4925" t="s">
        <v>19</v>
      </c>
      <c r="I4925">
        <v>5</v>
      </c>
      <c r="J4925">
        <v>4</v>
      </c>
      <c r="K4925">
        <v>1.86</v>
      </c>
      <c r="L4925">
        <v>1</v>
      </c>
    </row>
    <row r="4926" spans="1:12">
      <c r="A4926" t="s">
        <v>14263</v>
      </c>
      <c r="B4926" t="s">
        <v>14264</v>
      </c>
      <c r="C4926" t="s">
        <v>14265</v>
      </c>
      <c r="D4926" t="s">
        <v>15</v>
      </c>
      <c r="E4926" t="s">
        <v>16</v>
      </c>
      <c r="F4926" t="s">
        <v>36</v>
      </c>
      <c r="G4926" t="s">
        <v>42</v>
      </c>
      <c r="H4926" t="s">
        <v>31</v>
      </c>
      <c r="I4926">
        <v>3</v>
      </c>
      <c r="J4926">
        <v>8</v>
      </c>
      <c r="K4926">
        <v>2.35</v>
      </c>
      <c r="L4926">
        <v>1</v>
      </c>
    </row>
    <row r="4927" spans="1:12">
      <c r="A4927" t="s">
        <v>14266</v>
      </c>
      <c r="B4927" t="s">
        <v>14267</v>
      </c>
      <c r="C4927" t="s">
        <v>14268</v>
      </c>
      <c r="D4927" t="s">
        <v>23</v>
      </c>
      <c r="E4927" t="s">
        <v>28</v>
      </c>
      <c r="F4927" t="s">
        <v>29</v>
      </c>
      <c r="G4927" t="s">
        <v>151</v>
      </c>
      <c r="H4927" t="s">
        <v>19</v>
      </c>
      <c r="I4927">
        <v>4</v>
      </c>
      <c r="J4927">
        <v>24</v>
      </c>
      <c r="K4927">
        <v>12.57</v>
      </c>
      <c r="L4927">
        <v>1</v>
      </c>
    </row>
    <row r="4928" spans="1:12">
      <c r="A4928" t="s">
        <v>14269</v>
      </c>
      <c r="B4928" t="s">
        <v>14270</v>
      </c>
      <c r="C4928" t="s">
        <v>14271</v>
      </c>
      <c r="D4928" t="s">
        <v>15</v>
      </c>
      <c r="E4928" t="s">
        <v>59</v>
      </c>
      <c r="F4928" t="s">
        <v>60</v>
      </c>
      <c r="G4928" t="s">
        <v>50</v>
      </c>
      <c r="H4928" t="s">
        <v>19</v>
      </c>
      <c r="I4928">
        <v>3</v>
      </c>
      <c r="J4928">
        <v>8</v>
      </c>
      <c r="K4928">
        <v>4.05</v>
      </c>
      <c r="L4928">
        <v>1</v>
      </c>
    </row>
    <row r="4929" spans="1:12">
      <c r="A4929" t="s">
        <v>14272</v>
      </c>
      <c r="B4929" t="s">
        <v>14273</v>
      </c>
      <c r="C4929" t="s">
        <v>14274</v>
      </c>
      <c r="D4929" t="s">
        <v>23</v>
      </c>
      <c r="E4929" t="s">
        <v>28</v>
      </c>
      <c r="F4929" t="s">
        <v>29</v>
      </c>
      <c r="G4929" t="s">
        <v>18</v>
      </c>
      <c r="H4929" t="s">
        <v>19</v>
      </c>
      <c r="I4929">
        <v>5</v>
      </c>
      <c r="J4929">
        <v>24</v>
      </c>
      <c r="K4929">
        <v>16.73</v>
      </c>
      <c r="L4929">
        <v>1</v>
      </c>
    </row>
    <row r="4930" spans="1:12">
      <c r="A4930" t="s">
        <v>14275</v>
      </c>
      <c r="B4930" t="s">
        <v>14276</v>
      </c>
      <c r="C4930" t="s">
        <v>14277</v>
      </c>
      <c r="D4930" t="s">
        <v>158</v>
      </c>
      <c r="E4930" t="s">
        <v>59</v>
      </c>
      <c r="F4930" t="s">
        <v>60</v>
      </c>
      <c r="G4930" t="s">
        <v>18</v>
      </c>
      <c r="H4930" t="s">
        <v>19</v>
      </c>
      <c r="I4930">
        <v>5</v>
      </c>
      <c r="J4930">
        <v>4</v>
      </c>
      <c r="K4930">
        <v>2.94</v>
      </c>
      <c r="L4930">
        <v>1</v>
      </c>
    </row>
    <row r="4931" spans="1:12">
      <c r="A4931" t="s">
        <v>14278</v>
      </c>
      <c r="B4931" t="s">
        <v>14279</v>
      </c>
      <c r="C4931" t="s">
        <v>14280</v>
      </c>
      <c r="D4931" t="s">
        <v>23</v>
      </c>
      <c r="E4931" t="s">
        <v>54</v>
      </c>
      <c r="F4931" t="s">
        <v>41</v>
      </c>
      <c r="G4931" t="s">
        <v>45</v>
      </c>
      <c r="H4931" t="s">
        <v>31</v>
      </c>
      <c r="I4931">
        <v>5</v>
      </c>
      <c r="J4931">
        <v>24</v>
      </c>
      <c r="K4931">
        <v>9.7100000000000009</v>
      </c>
      <c r="L4931">
        <v>1</v>
      </c>
    </row>
    <row r="4932" spans="1:12">
      <c r="A4932" t="s">
        <v>14281</v>
      </c>
      <c r="B4932" t="s">
        <v>14282</v>
      </c>
      <c r="C4932" t="s">
        <v>14283</v>
      </c>
      <c r="D4932" t="s">
        <v>23</v>
      </c>
      <c r="E4932" t="s">
        <v>54</v>
      </c>
      <c r="F4932" t="s">
        <v>29</v>
      </c>
      <c r="G4932" t="s">
        <v>30</v>
      </c>
      <c r="H4932" t="s">
        <v>31</v>
      </c>
      <c r="I4932">
        <v>5</v>
      </c>
      <c r="J4932">
        <v>24</v>
      </c>
      <c r="K4932">
        <v>14.04</v>
      </c>
      <c r="L4932">
        <v>1</v>
      </c>
    </row>
    <row r="4933" spans="1:12">
      <c r="A4933" t="s">
        <v>14284</v>
      </c>
      <c r="B4933" t="s">
        <v>14285</v>
      </c>
      <c r="C4933" t="s">
        <v>14286</v>
      </c>
      <c r="D4933" t="s">
        <v>15</v>
      </c>
      <c r="E4933" t="s">
        <v>16</v>
      </c>
      <c r="F4933" t="s">
        <v>41</v>
      </c>
      <c r="G4933" t="s">
        <v>37</v>
      </c>
      <c r="H4933" t="s">
        <v>19</v>
      </c>
      <c r="I4933">
        <v>5</v>
      </c>
      <c r="J4933">
        <v>8</v>
      </c>
      <c r="K4933">
        <v>2.2000000000000002</v>
      </c>
      <c r="L4933">
        <v>1</v>
      </c>
    </row>
    <row r="4934" spans="1:12">
      <c r="A4934" t="s">
        <v>14287</v>
      </c>
      <c r="B4934" t="s">
        <v>14288</v>
      </c>
      <c r="D4934" t="s">
        <v>23</v>
      </c>
      <c r="E4934" t="s">
        <v>24</v>
      </c>
      <c r="F4934" t="s">
        <v>36</v>
      </c>
      <c r="G4934" t="s">
        <v>37</v>
      </c>
      <c r="H4934" t="s">
        <v>63</v>
      </c>
      <c r="J4934">
        <v>24</v>
      </c>
    </row>
    <row r="4935" spans="1:12">
      <c r="A4935" t="s">
        <v>14289</v>
      </c>
      <c r="B4935" t="s">
        <v>14290</v>
      </c>
      <c r="C4935" t="s">
        <v>14291</v>
      </c>
      <c r="D4935" t="s">
        <v>158</v>
      </c>
      <c r="E4935" t="s">
        <v>28</v>
      </c>
      <c r="F4935" t="s">
        <v>29</v>
      </c>
      <c r="G4935" t="s">
        <v>30</v>
      </c>
      <c r="H4935" t="s">
        <v>31</v>
      </c>
      <c r="I4935">
        <v>5</v>
      </c>
      <c r="J4935">
        <v>4</v>
      </c>
      <c r="K4935">
        <v>3.54</v>
      </c>
      <c r="L4935">
        <v>1</v>
      </c>
    </row>
    <row r="4936" spans="1:12">
      <c r="A4936" t="s">
        <v>14292</v>
      </c>
      <c r="B4936" t="s">
        <v>14293</v>
      </c>
      <c r="C4936" t="s">
        <v>14294</v>
      </c>
      <c r="D4936" t="s">
        <v>23</v>
      </c>
      <c r="E4936" t="s">
        <v>24</v>
      </c>
      <c r="F4936" t="s">
        <v>41</v>
      </c>
      <c r="G4936" t="s">
        <v>77</v>
      </c>
      <c r="H4936" t="s">
        <v>31</v>
      </c>
      <c r="I4936">
        <v>4</v>
      </c>
      <c r="J4936">
        <v>24</v>
      </c>
      <c r="K4936">
        <v>26.41</v>
      </c>
      <c r="L4936">
        <v>0</v>
      </c>
    </row>
    <row r="4937" spans="1:12">
      <c r="A4937" t="s">
        <v>14295</v>
      </c>
      <c r="B4937" t="s">
        <v>14296</v>
      </c>
      <c r="C4937" t="s">
        <v>14297</v>
      </c>
      <c r="D4937" t="s">
        <v>23</v>
      </c>
      <c r="E4937" t="s">
        <v>24</v>
      </c>
      <c r="F4937" t="s">
        <v>60</v>
      </c>
      <c r="G4937" t="s">
        <v>18</v>
      </c>
      <c r="H4937" t="s">
        <v>19</v>
      </c>
      <c r="I4937">
        <v>5</v>
      </c>
      <c r="J4937">
        <v>24</v>
      </c>
      <c r="K4937">
        <v>21.98</v>
      </c>
      <c r="L4937">
        <v>1</v>
      </c>
    </row>
    <row r="4938" spans="1:12">
      <c r="A4938" t="s">
        <v>14298</v>
      </c>
      <c r="B4938" t="s">
        <v>14299</v>
      </c>
      <c r="C4938" t="s">
        <v>14300</v>
      </c>
      <c r="D4938" t="s">
        <v>35</v>
      </c>
      <c r="E4938" t="s">
        <v>28</v>
      </c>
      <c r="F4938" t="s">
        <v>17</v>
      </c>
      <c r="G4938" t="s">
        <v>77</v>
      </c>
      <c r="H4938" t="s">
        <v>19</v>
      </c>
      <c r="I4938">
        <v>1</v>
      </c>
      <c r="J4938">
        <v>48</v>
      </c>
      <c r="K4938">
        <v>65.39</v>
      </c>
      <c r="L4938">
        <v>0</v>
      </c>
    </row>
    <row r="4939" spans="1:12">
      <c r="A4939" t="s">
        <v>14301</v>
      </c>
      <c r="B4939" t="s">
        <v>14302</v>
      </c>
      <c r="C4939" t="s">
        <v>14303</v>
      </c>
      <c r="D4939" t="s">
        <v>15</v>
      </c>
      <c r="E4939" t="s">
        <v>28</v>
      </c>
      <c r="F4939" t="s">
        <v>41</v>
      </c>
      <c r="G4939" t="s">
        <v>73</v>
      </c>
      <c r="H4939" t="s">
        <v>19</v>
      </c>
      <c r="I4939">
        <v>1</v>
      </c>
      <c r="J4939">
        <v>8</v>
      </c>
      <c r="K4939">
        <v>19.45</v>
      </c>
      <c r="L4939">
        <v>0</v>
      </c>
    </row>
    <row r="4940" spans="1:12">
      <c r="A4940" t="s">
        <v>14304</v>
      </c>
      <c r="B4940" t="s">
        <v>14305</v>
      </c>
      <c r="C4940" t="s">
        <v>14306</v>
      </c>
      <c r="D4940" t="s">
        <v>15</v>
      </c>
      <c r="E4940" t="s">
        <v>16</v>
      </c>
      <c r="F4940" t="s">
        <v>41</v>
      </c>
      <c r="G4940" t="s">
        <v>42</v>
      </c>
      <c r="H4940" t="s">
        <v>19</v>
      </c>
      <c r="I4940">
        <v>5</v>
      </c>
      <c r="J4940">
        <v>8</v>
      </c>
      <c r="K4940">
        <v>5.56</v>
      </c>
      <c r="L4940">
        <v>1</v>
      </c>
    </row>
    <row r="4941" spans="1:12">
      <c r="A4941" t="s">
        <v>14307</v>
      </c>
      <c r="B4941" t="s">
        <v>14308</v>
      </c>
      <c r="C4941" t="s">
        <v>14309</v>
      </c>
      <c r="D4941" t="s">
        <v>158</v>
      </c>
      <c r="E4941" t="s">
        <v>28</v>
      </c>
      <c r="F4941" t="s">
        <v>17</v>
      </c>
      <c r="G4941" t="s">
        <v>50</v>
      </c>
      <c r="H4941" t="s">
        <v>31</v>
      </c>
      <c r="I4941">
        <v>4</v>
      </c>
      <c r="J4941">
        <v>4</v>
      </c>
      <c r="K4941">
        <v>0.89</v>
      </c>
      <c r="L4941">
        <v>1</v>
      </c>
    </row>
    <row r="4942" spans="1:12">
      <c r="A4942" t="s">
        <v>14310</v>
      </c>
      <c r="B4942" t="s">
        <v>14311</v>
      </c>
      <c r="D4942" t="s">
        <v>15</v>
      </c>
      <c r="E4942" t="s">
        <v>28</v>
      </c>
      <c r="F4942" t="s">
        <v>29</v>
      </c>
      <c r="G4942" t="s">
        <v>73</v>
      </c>
      <c r="H4942" t="s">
        <v>63</v>
      </c>
      <c r="J4942">
        <v>8</v>
      </c>
    </row>
    <row r="4943" spans="1:12">
      <c r="A4943" t="s">
        <v>14312</v>
      </c>
      <c r="B4943" t="s">
        <v>14313</v>
      </c>
      <c r="C4943" t="s">
        <v>14314</v>
      </c>
      <c r="D4943" t="s">
        <v>23</v>
      </c>
      <c r="E4943" t="s">
        <v>28</v>
      </c>
      <c r="F4943" t="s">
        <v>17</v>
      </c>
      <c r="G4943" t="s">
        <v>30</v>
      </c>
      <c r="H4943" t="s">
        <v>31</v>
      </c>
      <c r="I4943">
        <v>4</v>
      </c>
      <c r="J4943">
        <v>24</v>
      </c>
      <c r="K4943">
        <v>11.36</v>
      </c>
      <c r="L4943">
        <v>1</v>
      </c>
    </row>
    <row r="4944" spans="1:12">
      <c r="A4944" t="s">
        <v>14315</v>
      </c>
      <c r="B4944" t="s">
        <v>14316</v>
      </c>
      <c r="C4944" t="s">
        <v>14317</v>
      </c>
      <c r="D4944" t="s">
        <v>15</v>
      </c>
      <c r="E4944" t="s">
        <v>28</v>
      </c>
      <c r="F4944" t="s">
        <v>60</v>
      </c>
      <c r="G4944" t="s">
        <v>50</v>
      </c>
      <c r="H4944" t="s">
        <v>19</v>
      </c>
      <c r="I4944">
        <v>4</v>
      </c>
      <c r="J4944">
        <v>8</v>
      </c>
      <c r="K4944">
        <v>2.75</v>
      </c>
      <c r="L4944">
        <v>1</v>
      </c>
    </row>
    <row r="4945" spans="1:12">
      <c r="A4945" t="s">
        <v>14318</v>
      </c>
      <c r="B4945" t="s">
        <v>14319</v>
      </c>
      <c r="D4945" t="s">
        <v>23</v>
      </c>
      <c r="E4945" t="s">
        <v>59</v>
      </c>
      <c r="F4945" t="s">
        <v>17</v>
      </c>
      <c r="G4945" t="s">
        <v>151</v>
      </c>
      <c r="H4945" t="s">
        <v>63</v>
      </c>
      <c r="J4945">
        <v>24</v>
      </c>
    </row>
    <row r="4946" spans="1:12">
      <c r="A4946" t="s">
        <v>14320</v>
      </c>
      <c r="B4946" t="s">
        <v>14321</v>
      </c>
      <c r="C4946" t="s">
        <v>14322</v>
      </c>
      <c r="D4946" t="s">
        <v>15</v>
      </c>
      <c r="E4946" t="s">
        <v>59</v>
      </c>
      <c r="F4946" t="s">
        <v>36</v>
      </c>
      <c r="G4946" t="s">
        <v>55</v>
      </c>
      <c r="H4946" t="s">
        <v>19</v>
      </c>
      <c r="I4946">
        <v>5</v>
      </c>
      <c r="J4946">
        <v>8</v>
      </c>
      <c r="K4946">
        <v>5.83</v>
      </c>
      <c r="L4946">
        <v>1</v>
      </c>
    </row>
    <row r="4947" spans="1:12">
      <c r="A4947" t="s">
        <v>14323</v>
      </c>
      <c r="B4947" t="s">
        <v>14324</v>
      </c>
      <c r="C4947" t="s">
        <v>14325</v>
      </c>
      <c r="D4947" t="s">
        <v>23</v>
      </c>
      <c r="E4947" t="s">
        <v>59</v>
      </c>
      <c r="F4947" t="s">
        <v>60</v>
      </c>
      <c r="G4947" t="s">
        <v>18</v>
      </c>
      <c r="H4947" t="s">
        <v>19</v>
      </c>
      <c r="I4947">
        <v>4</v>
      </c>
      <c r="J4947">
        <v>24</v>
      </c>
      <c r="K4947">
        <v>6.12</v>
      </c>
      <c r="L4947">
        <v>1</v>
      </c>
    </row>
    <row r="4948" spans="1:12">
      <c r="A4948" t="s">
        <v>14326</v>
      </c>
      <c r="B4948" t="s">
        <v>14327</v>
      </c>
      <c r="C4948" t="s">
        <v>14328</v>
      </c>
      <c r="D4948" t="s">
        <v>15</v>
      </c>
      <c r="E4948" t="s">
        <v>24</v>
      </c>
      <c r="F4948" t="s">
        <v>60</v>
      </c>
      <c r="G4948" t="s">
        <v>105</v>
      </c>
      <c r="H4948" t="s">
        <v>31</v>
      </c>
      <c r="I4948">
        <v>5</v>
      </c>
      <c r="J4948">
        <v>8</v>
      </c>
      <c r="K4948">
        <v>5.43</v>
      </c>
      <c r="L4948">
        <v>1</v>
      </c>
    </row>
    <row r="4949" spans="1:12">
      <c r="A4949" t="s">
        <v>14329</v>
      </c>
      <c r="B4949" t="s">
        <v>14330</v>
      </c>
      <c r="C4949" t="s">
        <v>14331</v>
      </c>
      <c r="D4949" t="s">
        <v>23</v>
      </c>
      <c r="E4949" t="s">
        <v>24</v>
      </c>
      <c r="F4949" t="s">
        <v>29</v>
      </c>
      <c r="G4949" t="s">
        <v>42</v>
      </c>
      <c r="H4949" t="s">
        <v>19</v>
      </c>
      <c r="I4949">
        <v>2</v>
      </c>
      <c r="J4949">
        <v>24</v>
      </c>
      <c r="K4949">
        <v>28.65</v>
      </c>
      <c r="L4949">
        <v>0</v>
      </c>
    </row>
    <row r="4950" spans="1:12">
      <c r="A4950" t="s">
        <v>14332</v>
      </c>
      <c r="B4950" t="s">
        <v>14333</v>
      </c>
      <c r="D4950" t="s">
        <v>15</v>
      </c>
      <c r="E4950" t="s">
        <v>28</v>
      </c>
      <c r="F4950" t="s">
        <v>17</v>
      </c>
      <c r="G4950" t="s">
        <v>172</v>
      </c>
      <c r="H4950" t="s">
        <v>63</v>
      </c>
      <c r="J4950">
        <v>8</v>
      </c>
    </row>
    <row r="4951" spans="1:12">
      <c r="A4951" t="s">
        <v>14334</v>
      </c>
      <c r="B4951" t="s">
        <v>14335</v>
      </c>
      <c r="C4951" t="s">
        <v>14336</v>
      </c>
      <c r="D4951" t="s">
        <v>158</v>
      </c>
      <c r="E4951" t="s">
        <v>16</v>
      </c>
      <c r="F4951" t="s">
        <v>41</v>
      </c>
      <c r="G4951" t="s">
        <v>55</v>
      </c>
      <c r="H4951" t="s">
        <v>19</v>
      </c>
      <c r="I4951">
        <v>4</v>
      </c>
      <c r="J4951">
        <v>4</v>
      </c>
      <c r="K4951">
        <v>3.04</v>
      </c>
      <c r="L4951">
        <v>1</v>
      </c>
    </row>
    <row r="4952" spans="1:12">
      <c r="A4952" t="s">
        <v>14337</v>
      </c>
      <c r="B4952" t="s">
        <v>14338</v>
      </c>
      <c r="C4952" t="s">
        <v>14339</v>
      </c>
      <c r="D4952" t="s">
        <v>35</v>
      </c>
      <c r="E4952" t="s">
        <v>24</v>
      </c>
      <c r="F4952" t="s">
        <v>17</v>
      </c>
      <c r="G4952" t="s">
        <v>105</v>
      </c>
      <c r="H4952" t="s">
        <v>19</v>
      </c>
      <c r="I4952">
        <v>3</v>
      </c>
      <c r="J4952">
        <v>48</v>
      </c>
      <c r="K4952">
        <v>11.74</v>
      </c>
      <c r="L4952">
        <v>1</v>
      </c>
    </row>
    <row r="4953" spans="1:12">
      <c r="A4953" t="s">
        <v>14340</v>
      </c>
      <c r="B4953" t="s">
        <v>14341</v>
      </c>
      <c r="C4953" t="s">
        <v>14342</v>
      </c>
      <c r="D4953" t="s">
        <v>23</v>
      </c>
      <c r="E4953" t="s">
        <v>28</v>
      </c>
      <c r="F4953" t="s">
        <v>29</v>
      </c>
      <c r="G4953" t="s">
        <v>105</v>
      </c>
      <c r="H4953" t="s">
        <v>31</v>
      </c>
      <c r="I4953">
        <v>5</v>
      </c>
      <c r="J4953">
        <v>24</v>
      </c>
      <c r="K4953">
        <v>21.6</v>
      </c>
      <c r="L4953">
        <v>1</v>
      </c>
    </row>
    <row r="4954" spans="1:12">
      <c r="A4954" t="s">
        <v>14343</v>
      </c>
      <c r="B4954" t="s">
        <v>14344</v>
      </c>
      <c r="C4954" t="s">
        <v>14345</v>
      </c>
      <c r="D4954" t="s">
        <v>23</v>
      </c>
      <c r="E4954" t="s">
        <v>28</v>
      </c>
      <c r="F4954" t="s">
        <v>36</v>
      </c>
      <c r="G4954" t="s">
        <v>18</v>
      </c>
      <c r="H4954" t="s">
        <v>19</v>
      </c>
      <c r="I4954">
        <v>2</v>
      </c>
      <c r="J4954">
        <v>24</v>
      </c>
      <c r="K4954">
        <v>70.83</v>
      </c>
      <c r="L4954">
        <v>0</v>
      </c>
    </row>
    <row r="4955" spans="1:12">
      <c r="A4955" t="s">
        <v>14346</v>
      </c>
      <c r="B4955" t="s">
        <v>14347</v>
      </c>
      <c r="C4955" t="s">
        <v>14348</v>
      </c>
      <c r="D4955" t="s">
        <v>35</v>
      </c>
      <c r="E4955" t="s">
        <v>28</v>
      </c>
      <c r="F4955" t="s">
        <v>60</v>
      </c>
      <c r="G4955" t="s">
        <v>73</v>
      </c>
      <c r="H4955" t="s">
        <v>19</v>
      </c>
      <c r="I4955">
        <v>3</v>
      </c>
      <c r="J4955">
        <v>48</v>
      </c>
      <c r="K4955">
        <v>60.85</v>
      </c>
      <c r="L4955">
        <v>0</v>
      </c>
    </row>
    <row r="4956" spans="1:12">
      <c r="A4956" t="s">
        <v>14349</v>
      </c>
      <c r="B4956" t="s">
        <v>14350</v>
      </c>
      <c r="C4956" t="s">
        <v>14351</v>
      </c>
      <c r="D4956" t="s">
        <v>23</v>
      </c>
      <c r="E4956" t="s">
        <v>24</v>
      </c>
      <c r="F4956" t="s">
        <v>36</v>
      </c>
      <c r="G4956" t="s">
        <v>77</v>
      </c>
      <c r="H4956" t="s">
        <v>19</v>
      </c>
      <c r="I4956">
        <v>2</v>
      </c>
      <c r="J4956">
        <v>24</v>
      </c>
      <c r="K4956">
        <v>53.1</v>
      </c>
      <c r="L4956">
        <v>0</v>
      </c>
    </row>
    <row r="4957" spans="1:12">
      <c r="A4957" t="s">
        <v>14352</v>
      </c>
      <c r="B4957" t="s">
        <v>14353</v>
      </c>
      <c r="C4957" t="s">
        <v>14354</v>
      </c>
      <c r="D4957" t="s">
        <v>15</v>
      </c>
      <c r="E4957" t="s">
        <v>28</v>
      </c>
      <c r="F4957" t="s">
        <v>41</v>
      </c>
      <c r="G4957" t="s">
        <v>77</v>
      </c>
      <c r="H4957" t="s">
        <v>19</v>
      </c>
      <c r="I4957">
        <v>5</v>
      </c>
      <c r="J4957">
        <v>8</v>
      </c>
      <c r="K4957">
        <v>4.5</v>
      </c>
      <c r="L4957">
        <v>1</v>
      </c>
    </row>
    <row r="4958" spans="1:12">
      <c r="A4958" t="s">
        <v>14355</v>
      </c>
      <c r="B4958" t="s">
        <v>14356</v>
      </c>
      <c r="C4958" t="s">
        <v>14357</v>
      </c>
      <c r="D4958" t="s">
        <v>15</v>
      </c>
      <c r="E4958" t="s">
        <v>24</v>
      </c>
      <c r="F4958" t="s">
        <v>41</v>
      </c>
      <c r="G4958" t="s">
        <v>151</v>
      </c>
      <c r="H4958" t="s">
        <v>19</v>
      </c>
      <c r="I4958">
        <v>5</v>
      </c>
      <c r="J4958">
        <v>8</v>
      </c>
      <c r="K4958">
        <v>6.84</v>
      </c>
      <c r="L4958">
        <v>1</v>
      </c>
    </row>
    <row r="4959" spans="1:12">
      <c r="A4959" t="s">
        <v>14358</v>
      </c>
      <c r="B4959" t="s">
        <v>14359</v>
      </c>
      <c r="C4959" t="s">
        <v>14360</v>
      </c>
      <c r="D4959" t="s">
        <v>15</v>
      </c>
      <c r="E4959" t="s">
        <v>28</v>
      </c>
      <c r="F4959" t="s">
        <v>17</v>
      </c>
      <c r="G4959" t="s">
        <v>50</v>
      </c>
      <c r="H4959" t="s">
        <v>19</v>
      </c>
      <c r="I4959">
        <v>4</v>
      </c>
      <c r="J4959">
        <v>8</v>
      </c>
      <c r="K4959">
        <v>2.61</v>
      </c>
      <c r="L4959">
        <v>1</v>
      </c>
    </row>
    <row r="4960" spans="1:12">
      <c r="A4960" t="s">
        <v>14361</v>
      </c>
      <c r="B4960" t="s">
        <v>14362</v>
      </c>
      <c r="C4960" t="s">
        <v>14363</v>
      </c>
      <c r="D4960" t="s">
        <v>23</v>
      </c>
      <c r="E4960" t="s">
        <v>28</v>
      </c>
      <c r="F4960" t="s">
        <v>41</v>
      </c>
      <c r="G4960" t="s">
        <v>50</v>
      </c>
      <c r="H4960" t="s">
        <v>31</v>
      </c>
      <c r="I4960">
        <v>4</v>
      </c>
      <c r="J4960">
        <v>24</v>
      </c>
      <c r="K4960">
        <v>8.9499999999999993</v>
      </c>
      <c r="L4960">
        <v>1</v>
      </c>
    </row>
    <row r="4961" spans="1:12">
      <c r="A4961" t="s">
        <v>14364</v>
      </c>
      <c r="B4961" t="s">
        <v>14365</v>
      </c>
      <c r="C4961" t="s">
        <v>14366</v>
      </c>
      <c r="D4961" t="s">
        <v>15</v>
      </c>
      <c r="E4961" t="s">
        <v>59</v>
      </c>
      <c r="F4961" t="s">
        <v>60</v>
      </c>
      <c r="G4961" t="s">
        <v>73</v>
      </c>
      <c r="H4961" t="s">
        <v>31</v>
      </c>
      <c r="I4961">
        <v>1</v>
      </c>
      <c r="J4961">
        <v>8</v>
      </c>
      <c r="K4961">
        <v>17.010000000000002</v>
      </c>
      <c r="L4961">
        <v>0</v>
      </c>
    </row>
    <row r="4962" spans="1:12">
      <c r="A4962" t="s">
        <v>14367</v>
      </c>
      <c r="B4962" t="s">
        <v>14368</v>
      </c>
      <c r="C4962" t="s">
        <v>14369</v>
      </c>
      <c r="D4962" t="s">
        <v>23</v>
      </c>
      <c r="E4962" t="s">
        <v>24</v>
      </c>
      <c r="F4962" t="s">
        <v>60</v>
      </c>
      <c r="G4962" t="s">
        <v>73</v>
      </c>
      <c r="H4962" t="s">
        <v>31</v>
      </c>
      <c r="I4962">
        <v>4</v>
      </c>
      <c r="J4962">
        <v>24</v>
      </c>
      <c r="K4962">
        <v>12.96</v>
      </c>
      <c r="L4962">
        <v>1</v>
      </c>
    </row>
    <row r="4963" spans="1:12">
      <c r="A4963" t="s">
        <v>14370</v>
      </c>
      <c r="B4963" t="s">
        <v>14371</v>
      </c>
      <c r="C4963" t="s">
        <v>14372</v>
      </c>
      <c r="D4963" t="s">
        <v>35</v>
      </c>
      <c r="E4963" t="s">
        <v>16</v>
      </c>
      <c r="F4963" t="s">
        <v>60</v>
      </c>
      <c r="G4963" t="s">
        <v>45</v>
      </c>
      <c r="H4963" t="s">
        <v>19</v>
      </c>
      <c r="I4963">
        <v>4</v>
      </c>
      <c r="J4963">
        <v>48</v>
      </c>
      <c r="K4963">
        <v>27.38</v>
      </c>
      <c r="L4963">
        <v>1</v>
      </c>
    </row>
    <row r="4964" spans="1:12">
      <c r="A4964" t="s">
        <v>14373</v>
      </c>
      <c r="B4964" t="s">
        <v>14374</v>
      </c>
      <c r="C4964" t="s">
        <v>14375</v>
      </c>
      <c r="D4964" t="s">
        <v>23</v>
      </c>
      <c r="E4964" t="s">
        <v>16</v>
      </c>
      <c r="F4964" t="s">
        <v>17</v>
      </c>
      <c r="G4964" t="s">
        <v>50</v>
      </c>
      <c r="H4964" t="s">
        <v>19</v>
      </c>
      <c r="I4964">
        <v>4</v>
      </c>
      <c r="J4964">
        <v>24</v>
      </c>
      <c r="K4964">
        <v>18.11</v>
      </c>
      <c r="L4964">
        <v>1</v>
      </c>
    </row>
    <row r="4965" spans="1:12">
      <c r="A4965" t="s">
        <v>14376</v>
      </c>
      <c r="B4965" t="s">
        <v>14377</v>
      </c>
      <c r="C4965" t="s">
        <v>14378</v>
      </c>
      <c r="D4965" t="s">
        <v>35</v>
      </c>
      <c r="E4965" t="s">
        <v>59</v>
      </c>
      <c r="F4965" t="s">
        <v>17</v>
      </c>
      <c r="G4965" t="s">
        <v>105</v>
      </c>
      <c r="H4965" t="s">
        <v>19</v>
      </c>
      <c r="I4965">
        <v>4</v>
      </c>
      <c r="J4965">
        <v>48</v>
      </c>
      <c r="K4965">
        <v>20.36</v>
      </c>
      <c r="L4965">
        <v>1</v>
      </c>
    </row>
    <row r="4966" spans="1:12">
      <c r="A4966" t="s">
        <v>14379</v>
      </c>
      <c r="B4966" t="s">
        <v>14380</v>
      </c>
      <c r="C4966" t="s">
        <v>14381</v>
      </c>
      <c r="D4966" t="s">
        <v>23</v>
      </c>
      <c r="E4966" t="s">
        <v>54</v>
      </c>
      <c r="F4966" t="s">
        <v>41</v>
      </c>
      <c r="G4966" t="s">
        <v>18</v>
      </c>
      <c r="H4966" t="s">
        <v>31</v>
      </c>
      <c r="I4966">
        <v>5</v>
      </c>
      <c r="J4966">
        <v>24</v>
      </c>
      <c r="K4966">
        <v>4.4400000000000004</v>
      </c>
      <c r="L4966">
        <v>1</v>
      </c>
    </row>
    <row r="4967" spans="1:12">
      <c r="A4967" t="s">
        <v>14382</v>
      </c>
      <c r="B4967" t="s">
        <v>14383</v>
      </c>
      <c r="C4967" t="s">
        <v>14384</v>
      </c>
      <c r="D4967" t="s">
        <v>23</v>
      </c>
      <c r="E4967" t="s">
        <v>54</v>
      </c>
      <c r="F4967" t="s">
        <v>36</v>
      </c>
      <c r="G4967" t="s">
        <v>55</v>
      </c>
      <c r="H4967" t="s">
        <v>19</v>
      </c>
      <c r="I4967">
        <v>4</v>
      </c>
      <c r="J4967">
        <v>24</v>
      </c>
      <c r="K4967">
        <v>2.92</v>
      </c>
      <c r="L4967">
        <v>1</v>
      </c>
    </row>
    <row r="4968" spans="1:12">
      <c r="A4968" t="s">
        <v>14385</v>
      </c>
      <c r="B4968" t="s">
        <v>14386</v>
      </c>
      <c r="C4968" t="s">
        <v>14387</v>
      </c>
      <c r="D4968" t="s">
        <v>23</v>
      </c>
      <c r="E4968" t="s">
        <v>16</v>
      </c>
      <c r="F4968" t="s">
        <v>29</v>
      </c>
      <c r="G4968" t="s">
        <v>151</v>
      </c>
      <c r="H4968" t="s">
        <v>19</v>
      </c>
      <c r="I4968">
        <v>5</v>
      </c>
      <c r="J4968">
        <v>24</v>
      </c>
      <c r="K4968">
        <v>15.1</v>
      </c>
      <c r="L4968">
        <v>1</v>
      </c>
    </row>
    <row r="4969" spans="1:12">
      <c r="A4969" t="s">
        <v>14388</v>
      </c>
      <c r="B4969" t="s">
        <v>14389</v>
      </c>
      <c r="C4969" t="s">
        <v>14390</v>
      </c>
      <c r="D4969" t="s">
        <v>23</v>
      </c>
      <c r="E4969" t="s">
        <v>28</v>
      </c>
      <c r="F4969" t="s">
        <v>60</v>
      </c>
      <c r="G4969" t="s">
        <v>151</v>
      </c>
      <c r="H4969" t="s">
        <v>31</v>
      </c>
      <c r="I4969">
        <v>5</v>
      </c>
      <c r="J4969">
        <v>24</v>
      </c>
      <c r="K4969">
        <v>4.3899999999999997</v>
      </c>
      <c r="L4969">
        <v>1</v>
      </c>
    </row>
    <row r="4970" spans="1:12">
      <c r="A4970" t="s">
        <v>14391</v>
      </c>
      <c r="B4970" t="s">
        <v>14392</v>
      </c>
      <c r="C4970" t="s">
        <v>14393</v>
      </c>
      <c r="D4970" t="s">
        <v>35</v>
      </c>
      <c r="E4970" t="s">
        <v>16</v>
      </c>
      <c r="F4970" t="s">
        <v>29</v>
      </c>
      <c r="G4970" t="s">
        <v>172</v>
      </c>
      <c r="H4970" t="s">
        <v>19</v>
      </c>
      <c r="I4970">
        <v>3</v>
      </c>
      <c r="J4970">
        <v>48</v>
      </c>
      <c r="K4970">
        <v>10.67</v>
      </c>
      <c r="L4970">
        <v>1</v>
      </c>
    </row>
    <row r="4971" spans="1:12">
      <c r="A4971" t="s">
        <v>14394</v>
      </c>
      <c r="B4971" t="s">
        <v>14395</v>
      </c>
      <c r="C4971" t="s">
        <v>14396</v>
      </c>
      <c r="D4971" t="s">
        <v>35</v>
      </c>
      <c r="E4971" t="s">
        <v>28</v>
      </c>
      <c r="F4971" t="s">
        <v>29</v>
      </c>
      <c r="G4971" t="s">
        <v>73</v>
      </c>
      <c r="H4971" t="s">
        <v>19</v>
      </c>
      <c r="I4971">
        <v>4</v>
      </c>
      <c r="J4971">
        <v>48</v>
      </c>
      <c r="K4971">
        <v>42.81</v>
      </c>
      <c r="L4971">
        <v>1</v>
      </c>
    </row>
    <row r="4972" spans="1:12">
      <c r="A4972" t="s">
        <v>14397</v>
      </c>
      <c r="B4972" t="s">
        <v>14398</v>
      </c>
      <c r="D4972" t="s">
        <v>35</v>
      </c>
      <c r="E4972" t="s">
        <v>59</v>
      </c>
      <c r="F4972" t="s">
        <v>36</v>
      </c>
      <c r="G4972" t="s">
        <v>37</v>
      </c>
      <c r="H4972" t="s">
        <v>63</v>
      </c>
      <c r="J4972">
        <v>48</v>
      </c>
    </row>
    <row r="4973" spans="1:12">
      <c r="A4973" t="s">
        <v>14399</v>
      </c>
      <c r="B4973" t="s">
        <v>14400</v>
      </c>
      <c r="C4973" t="s">
        <v>14401</v>
      </c>
      <c r="D4973" t="s">
        <v>15</v>
      </c>
      <c r="E4973" t="s">
        <v>54</v>
      </c>
      <c r="F4973" t="s">
        <v>36</v>
      </c>
      <c r="G4973" t="s">
        <v>172</v>
      </c>
      <c r="H4973" t="s">
        <v>31</v>
      </c>
      <c r="I4973">
        <v>5</v>
      </c>
      <c r="J4973">
        <v>8</v>
      </c>
      <c r="K4973">
        <v>6.29</v>
      </c>
      <c r="L4973">
        <v>1</v>
      </c>
    </row>
    <row r="4974" spans="1:12">
      <c r="A4974" t="s">
        <v>14402</v>
      </c>
      <c r="B4974" t="s">
        <v>14403</v>
      </c>
      <c r="D4974" t="s">
        <v>23</v>
      </c>
      <c r="E4974" t="s">
        <v>24</v>
      </c>
      <c r="F4974" t="s">
        <v>41</v>
      </c>
      <c r="G4974" t="s">
        <v>73</v>
      </c>
      <c r="H4974" t="s">
        <v>63</v>
      </c>
      <c r="J4974">
        <v>24</v>
      </c>
    </row>
    <row r="4975" spans="1:12">
      <c r="A4975" t="s">
        <v>14404</v>
      </c>
      <c r="B4975" t="s">
        <v>14405</v>
      </c>
      <c r="C4975" t="s">
        <v>14406</v>
      </c>
      <c r="D4975" t="s">
        <v>23</v>
      </c>
      <c r="E4975" t="s">
        <v>54</v>
      </c>
      <c r="F4975" t="s">
        <v>41</v>
      </c>
      <c r="G4975" t="s">
        <v>77</v>
      </c>
      <c r="H4975" t="s">
        <v>31</v>
      </c>
      <c r="I4975">
        <v>1</v>
      </c>
      <c r="J4975">
        <v>24</v>
      </c>
      <c r="K4975">
        <v>26.26</v>
      </c>
      <c r="L4975">
        <v>0</v>
      </c>
    </row>
    <row r="4976" spans="1:12">
      <c r="A4976" t="s">
        <v>14407</v>
      </c>
      <c r="B4976" t="s">
        <v>14408</v>
      </c>
      <c r="C4976" t="s">
        <v>14409</v>
      </c>
      <c r="D4976" t="s">
        <v>35</v>
      </c>
      <c r="E4976" t="s">
        <v>28</v>
      </c>
      <c r="F4976" t="s">
        <v>60</v>
      </c>
      <c r="G4976" t="s">
        <v>42</v>
      </c>
      <c r="H4976" t="s">
        <v>31</v>
      </c>
      <c r="I4976">
        <v>5</v>
      </c>
      <c r="J4976">
        <v>48</v>
      </c>
      <c r="K4976">
        <v>37.020000000000003</v>
      </c>
      <c r="L4976">
        <v>1</v>
      </c>
    </row>
    <row r="4977" spans="1:12">
      <c r="A4977" t="s">
        <v>14410</v>
      </c>
      <c r="B4977" t="s">
        <v>14411</v>
      </c>
      <c r="C4977" t="s">
        <v>14412</v>
      </c>
      <c r="D4977" t="s">
        <v>35</v>
      </c>
      <c r="E4977" t="s">
        <v>59</v>
      </c>
      <c r="F4977" t="s">
        <v>29</v>
      </c>
      <c r="G4977" t="s">
        <v>45</v>
      </c>
      <c r="H4977" t="s">
        <v>19</v>
      </c>
      <c r="I4977">
        <v>5</v>
      </c>
      <c r="J4977">
        <v>48</v>
      </c>
      <c r="K4977">
        <v>33.520000000000003</v>
      </c>
      <c r="L4977">
        <v>1</v>
      </c>
    </row>
    <row r="4978" spans="1:12">
      <c r="A4978" t="s">
        <v>14413</v>
      </c>
      <c r="B4978" t="s">
        <v>14414</v>
      </c>
      <c r="C4978" t="s">
        <v>14415</v>
      </c>
      <c r="D4978" t="s">
        <v>23</v>
      </c>
      <c r="E4978" t="s">
        <v>28</v>
      </c>
      <c r="F4978" t="s">
        <v>36</v>
      </c>
      <c r="G4978" t="s">
        <v>105</v>
      </c>
      <c r="H4978" t="s">
        <v>19</v>
      </c>
      <c r="I4978">
        <v>5</v>
      </c>
      <c r="J4978">
        <v>24</v>
      </c>
      <c r="K4978">
        <v>6.18</v>
      </c>
      <c r="L4978">
        <v>1</v>
      </c>
    </row>
    <row r="4979" spans="1:12">
      <c r="A4979" t="s">
        <v>14416</v>
      </c>
      <c r="B4979" t="s">
        <v>14417</v>
      </c>
      <c r="D4979" t="s">
        <v>158</v>
      </c>
      <c r="E4979" t="s">
        <v>59</v>
      </c>
      <c r="F4979" t="s">
        <v>29</v>
      </c>
      <c r="G4979" t="s">
        <v>42</v>
      </c>
      <c r="H4979" t="s">
        <v>46</v>
      </c>
      <c r="J4979">
        <v>4</v>
      </c>
    </row>
    <row r="4980" spans="1:12">
      <c r="A4980" t="s">
        <v>14418</v>
      </c>
      <c r="B4980" t="s">
        <v>14419</v>
      </c>
      <c r="C4980" t="s">
        <v>14420</v>
      </c>
      <c r="D4980" t="s">
        <v>23</v>
      </c>
      <c r="E4980" t="s">
        <v>54</v>
      </c>
      <c r="F4980" t="s">
        <v>29</v>
      </c>
      <c r="G4980" t="s">
        <v>37</v>
      </c>
      <c r="H4980" t="s">
        <v>19</v>
      </c>
      <c r="I4980">
        <v>3</v>
      </c>
      <c r="J4980">
        <v>24</v>
      </c>
      <c r="K4980">
        <v>25.65</v>
      </c>
      <c r="L4980">
        <v>0</v>
      </c>
    </row>
    <row r="4981" spans="1:12">
      <c r="A4981" t="s">
        <v>14421</v>
      </c>
      <c r="B4981" t="s">
        <v>14422</v>
      </c>
      <c r="C4981" t="s">
        <v>14423</v>
      </c>
      <c r="D4981" t="s">
        <v>15</v>
      </c>
      <c r="E4981" t="s">
        <v>28</v>
      </c>
      <c r="F4981" t="s">
        <v>41</v>
      </c>
      <c r="G4981" t="s">
        <v>172</v>
      </c>
      <c r="H4981" t="s">
        <v>31</v>
      </c>
      <c r="I4981">
        <v>5</v>
      </c>
      <c r="J4981">
        <v>8</v>
      </c>
      <c r="K4981">
        <v>2.4500000000000002</v>
      </c>
      <c r="L4981">
        <v>1</v>
      </c>
    </row>
    <row r="4982" spans="1:12">
      <c r="A4982" t="s">
        <v>14424</v>
      </c>
      <c r="B4982" t="s">
        <v>14425</v>
      </c>
      <c r="C4982" t="s">
        <v>14426</v>
      </c>
      <c r="D4982" t="s">
        <v>158</v>
      </c>
      <c r="E4982" t="s">
        <v>16</v>
      </c>
      <c r="F4982" t="s">
        <v>36</v>
      </c>
      <c r="G4982" t="s">
        <v>45</v>
      </c>
      <c r="H4982" t="s">
        <v>31</v>
      </c>
      <c r="I4982">
        <v>3</v>
      </c>
      <c r="J4982">
        <v>4</v>
      </c>
      <c r="K4982">
        <v>2.54</v>
      </c>
      <c r="L4982">
        <v>1</v>
      </c>
    </row>
    <row r="4983" spans="1:12">
      <c r="A4983" t="s">
        <v>14427</v>
      </c>
      <c r="B4983" t="s">
        <v>14428</v>
      </c>
      <c r="D4983" t="s">
        <v>23</v>
      </c>
      <c r="E4983" t="s">
        <v>54</v>
      </c>
      <c r="F4983" t="s">
        <v>29</v>
      </c>
      <c r="G4983" t="s">
        <v>45</v>
      </c>
      <c r="H4983" t="s">
        <v>63</v>
      </c>
      <c r="J4983">
        <v>24</v>
      </c>
    </row>
    <row r="4984" spans="1:12">
      <c r="A4984" t="s">
        <v>14429</v>
      </c>
      <c r="B4984" t="s">
        <v>14430</v>
      </c>
      <c r="C4984" t="s">
        <v>14431</v>
      </c>
      <c r="D4984" t="s">
        <v>15</v>
      </c>
      <c r="E4984" t="s">
        <v>28</v>
      </c>
      <c r="F4984" t="s">
        <v>36</v>
      </c>
      <c r="G4984" t="s">
        <v>30</v>
      </c>
      <c r="H4984" t="s">
        <v>19</v>
      </c>
      <c r="I4984">
        <v>5</v>
      </c>
      <c r="J4984">
        <v>8</v>
      </c>
      <c r="K4984">
        <v>0.95</v>
      </c>
      <c r="L4984">
        <v>1</v>
      </c>
    </row>
    <row r="4985" spans="1:12">
      <c r="A4985" t="s">
        <v>14432</v>
      </c>
      <c r="B4985" t="s">
        <v>14433</v>
      </c>
      <c r="C4985" t="s">
        <v>14434</v>
      </c>
      <c r="D4985" t="s">
        <v>35</v>
      </c>
      <c r="E4985" t="s">
        <v>28</v>
      </c>
      <c r="F4985" t="s">
        <v>41</v>
      </c>
      <c r="G4985" t="s">
        <v>37</v>
      </c>
      <c r="H4985" t="s">
        <v>19</v>
      </c>
      <c r="I4985">
        <v>5</v>
      </c>
      <c r="J4985">
        <v>48</v>
      </c>
      <c r="K4985">
        <v>34.659999999999997</v>
      </c>
      <c r="L4985">
        <v>1</v>
      </c>
    </row>
    <row r="4986" spans="1:12">
      <c r="A4986" t="s">
        <v>14435</v>
      </c>
      <c r="B4986" t="s">
        <v>14436</v>
      </c>
      <c r="D4986" t="s">
        <v>23</v>
      </c>
      <c r="E4986" t="s">
        <v>28</v>
      </c>
      <c r="F4986" t="s">
        <v>36</v>
      </c>
      <c r="G4986" t="s">
        <v>45</v>
      </c>
      <c r="H4986" t="s">
        <v>46</v>
      </c>
      <c r="J4986">
        <v>24</v>
      </c>
    </row>
    <row r="4987" spans="1:12">
      <c r="A4987" t="s">
        <v>14437</v>
      </c>
      <c r="B4987" t="s">
        <v>14438</v>
      </c>
      <c r="C4987" t="s">
        <v>14439</v>
      </c>
      <c r="D4987" t="s">
        <v>23</v>
      </c>
      <c r="E4987" t="s">
        <v>24</v>
      </c>
      <c r="F4987" t="s">
        <v>29</v>
      </c>
      <c r="G4987" t="s">
        <v>37</v>
      </c>
      <c r="H4987" t="s">
        <v>19</v>
      </c>
      <c r="I4987">
        <v>3</v>
      </c>
      <c r="J4987">
        <v>24</v>
      </c>
      <c r="K4987">
        <v>11.01</v>
      </c>
      <c r="L4987">
        <v>1</v>
      </c>
    </row>
    <row r="4988" spans="1:12">
      <c r="A4988" t="s">
        <v>14440</v>
      </c>
      <c r="B4988" t="s">
        <v>14441</v>
      </c>
      <c r="C4988" t="s">
        <v>14442</v>
      </c>
      <c r="D4988" t="s">
        <v>23</v>
      </c>
      <c r="E4988" t="s">
        <v>54</v>
      </c>
      <c r="F4988" t="s">
        <v>60</v>
      </c>
      <c r="G4988" t="s">
        <v>172</v>
      </c>
      <c r="H4988" t="s">
        <v>31</v>
      </c>
      <c r="I4988">
        <v>4</v>
      </c>
      <c r="J4988">
        <v>24</v>
      </c>
      <c r="K4988">
        <v>12.75</v>
      </c>
      <c r="L4988">
        <v>1</v>
      </c>
    </row>
    <row r="4989" spans="1:12">
      <c r="A4989" t="s">
        <v>14443</v>
      </c>
      <c r="B4989" t="s">
        <v>14444</v>
      </c>
      <c r="C4989" t="s">
        <v>14445</v>
      </c>
      <c r="D4989" t="s">
        <v>15</v>
      </c>
      <c r="E4989" t="s">
        <v>16</v>
      </c>
      <c r="F4989" t="s">
        <v>29</v>
      </c>
      <c r="G4989" t="s">
        <v>73</v>
      </c>
      <c r="H4989" t="s">
        <v>31</v>
      </c>
      <c r="I4989">
        <v>4</v>
      </c>
      <c r="J4989">
        <v>8</v>
      </c>
      <c r="K4989">
        <v>4.59</v>
      </c>
      <c r="L4989">
        <v>1</v>
      </c>
    </row>
    <row r="4990" spans="1:12">
      <c r="A4990" t="s">
        <v>14446</v>
      </c>
      <c r="B4990" t="s">
        <v>14447</v>
      </c>
      <c r="C4990" t="s">
        <v>14448</v>
      </c>
      <c r="D4990" t="s">
        <v>15</v>
      </c>
      <c r="E4990" t="s">
        <v>24</v>
      </c>
      <c r="F4990" t="s">
        <v>17</v>
      </c>
      <c r="G4990" t="s">
        <v>42</v>
      </c>
      <c r="H4990" t="s">
        <v>19</v>
      </c>
      <c r="I4990">
        <v>5</v>
      </c>
      <c r="J4990">
        <v>8</v>
      </c>
      <c r="K4990">
        <v>6.7</v>
      </c>
      <c r="L4990">
        <v>1</v>
      </c>
    </row>
    <row r="4991" spans="1:12">
      <c r="A4991" t="s">
        <v>14449</v>
      </c>
      <c r="B4991" t="s">
        <v>14450</v>
      </c>
      <c r="C4991" t="s">
        <v>14451</v>
      </c>
      <c r="D4991" t="s">
        <v>23</v>
      </c>
      <c r="E4991" t="s">
        <v>28</v>
      </c>
      <c r="F4991" t="s">
        <v>41</v>
      </c>
      <c r="G4991" t="s">
        <v>151</v>
      </c>
      <c r="H4991" t="s">
        <v>19</v>
      </c>
      <c r="I4991">
        <v>3</v>
      </c>
      <c r="J4991">
        <v>24</v>
      </c>
      <c r="K4991">
        <v>47.86</v>
      </c>
      <c r="L4991">
        <v>0</v>
      </c>
    </row>
    <row r="4992" spans="1:12">
      <c r="A4992" t="s">
        <v>14452</v>
      </c>
      <c r="B4992" t="s">
        <v>14453</v>
      </c>
      <c r="C4992" t="s">
        <v>14454</v>
      </c>
      <c r="D4992" t="s">
        <v>23</v>
      </c>
      <c r="E4992" t="s">
        <v>16</v>
      </c>
      <c r="F4992" t="s">
        <v>36</v>
      </c>
      <c r="G4992" t="s">
        <v>151</v>
      </c>
      <c r="H4992" t="s">
        <v>19</v>
      </c>
      <c r="I4992">
        <v>3</v>
      </c>
      <c r="J4992">
        <v>24</v>
      </c>
      <c r="K4992">
        <v>35.9</v>
      </c>
      <c r="L4992">
        <v>0</v>
      </c>
    </row>
    <row r="4993" spans="1:12">
      <c r="A4993" t="s">
        <v>14455</v>
      </c>
      <c r="B4993" t="s">
        <v>14456</v>
      </c>
      <c r="C4993" t="s">
        <v>14457</v>
      </c>
      <c r="D4993" t="s">
        <v>15</v>
      </c>
      <c r="E4993" t="s">
        <v>54</v>
      </c>
      <c r="F4993" t="s">
        <v>41</v>
      </c>
      <c r="G4993" t="s">
        <v>50</v>
      </c>
      <c r="H4993" t="s">
        <v>19</v>
      </c>
      <c r="I4993">
        <v>3</v>
      </c>
      <c r="J4993">
        <v>8</v>
      </c>
      <c r="K4993">
        <v>7.35</v>
      </c>
      <c r="L4993">
        <v>1</v>
      </c>
    </row>
    <row r="4994" spans="1:12">
      <c r="A4994" t="s">
        <v>14458</v>
      </c>
      <c r="B4994" t="s">
        <v>14459</v>
      </c>
      <c r="C4994" t="s">
        <v>14460</v>
      </c>
      <c r="D4994" t="s">
        <v>15</v>
      </c>
      <c r="E4994" t="s">
        <v>28</v>
      </c>
      <c r="F4994" t="s">
        <v>41</v>
      </c>
      <c r="G4994" t="s">
        <v>55</v>
      </c>
      <c r="H4994" t="s">
        <v>19</v>
      </c>
      <c r="I4994">
        <v>5</v>
      </c>
      <c r="J4994">
        <v>8</v>
      </c>
      <c r="K4994">
        <v>7.25</v>
      </c>
      <c r="L4994">
        <v>1</v>
      </c>
    </row>
    <row r="4995" spans="1:12">
      <c r="A4995" t="s">
        <v>14461</v>
      </c>
      <c r="B4995" t="s">
        <v>14462</v>
      </c>
      <c r="D4995" t="s">
        <v>23</v>
      </c>
      <c r="E4995" t="s">
        <v>28</v>
      </c>
      <c r="F4995" t="s">
        <v>29</v>
      </c>
      <c r="G4995" t="s">
        <v>42</v>
      </c>
      <c r="H4995" t="s">
        <v>63</v>
      </c>
      <c r="J4995">
        <v>24</v>
      </c>
    </row>
    <row r="4996" spans="1:12">
      <c r="A4996" t="s">
        <v>14463</v>
      </c>
      <c r="B4996" t="s">
        <v>14464</v>
      </c>
      <c r="C4996" t="s">
        <v>14465</v>
      </c>
      <c r="D4996" t="s">
        <v>15</v>
      </c>
      <c r="E4996" t="s">
        <v>28</v>
      </c>
      <c r="F4996" t="s">
        <v>36</v>
      </c>
      <c r="G4996" t="s">
        <v>42</v>
      </c>
      <c r="H4996" t="s">
        <v>31</v>
      </c>
      <c r="I4996">
        <v>5</v>
      </c>
      <c r="J4996">
        <v>8</v>
      </c>
      <c r="K4996">
        <v>6.67</v>
      </c>
      <c r="L4996">
        <v>1</v>
      </c>
    </row>
    <row r="4997" spans="1:12">
      <c r="A4997" t="s">
        <v>14466</v>
      </c>
      <c r="B4997" t="s">
        <v>14467</v>
      </c>
      <c r="D4997" t="s">
        <v>35</v>
      </c>
      <c r="E4997" t="s">
        <v>54</v>
      </c>
      <c r="F4997" t="s">
        <v>29</v>
      </c>
      <c r="G4997" t="s">
        <v>50</v>
      </c>
      <c r="H4997" t="s">
        <v>63</v>
      </c>
      <c r="J4997">
        <v>48</v>
      </c>
    </row>
    <row r="4998" spans="1:12">
      <c r="A4998" t="s">
        <v>14468</v>
      </c>
      <c r="B4998" t="s">
        <v>14469</v>
      </c>
      <c r="C4998" t="s">
        <v>14470</v>
      </c>
      <c r="D4998" t="s">
        <v>35</v>
      </c>
      <c r="E4998" t="s">
        <v>24</v>
      </c>
      <c r="F4998" t="s">
        <v>60</v>
      </c>
      <c r="G4998" t="s">
        <v>50</v>
      </c>
      <c r="H4998" t="s">
        <v>31</v>
      </c>
      <c r="I4998">
        <v>5</v>
      </c>
      <c r="J4998">
        <v>48</v>
      </c>
      <c r="K4998">
        <v>28.25</v>
      </c>
      <c r="L4998">
        <v>1</v>
      </c>
    </row>
    <row r="4999" spans="1:12">
      <c r="A4999" t="s">
        <v>14471</v>
      </c>
      <c r="B4999" t="s">
        <v>14472</v>
      </c>
      <c r="D4999" t="s">
        <v>35</v>
      </c>
      <c r="E4999" t="s">
        <v>28</v>
      </c>
      <c r="F4999" t="s">
        <v>60</v>
      </c>
      <c r="G4999" t="s">
        <v>55</v>
      </c>
      <c r="H4999" t="s">
        <v>46</v>
      </c>
      <c r="J4999">
        <v>48</v>
      </c>
    </row>
    <row r="5000" spans="1:12">
      <c r="A5000" t="s">
        <v>14473</v>
      </c>
      <c r="B5000" t="s">
        <v>14474</v>
      </c>
      <c r="C5000" t="s">
        <v>14475</v>
      </c>
      <c r="D5000" t="s">
        <v>35</v>
      </c>
      <c r="E5000" t="s">
        <v>54</v>
      </c>
      <c r="F5000" t="s">
        <v>29</v>
      </c>
      <c r="G5000" t="s">
        <v>37</v>
      </c>
      <c r="H5000" t="s">
        <v>19</v>
      </c>
      <c r="I5000">
        <v>5</v>
      </c>
      <c r="J5000">
        <v>48</v>
      </c>
      <c r="K5000">
        <v>27.01</v>
      </c>
      <c r="L5000">
        <v>1</v>
      </c>
    </row>
    <row r="5001" spans="1:12">
      <c r="A5001" t="s">
        <v>14476</v>
      </c>
      <c r="B5001" t="s">
        <v>14477</v>
      </c>
      <c r="C5001" t="s">
        <v>14478</v>
      </c>
      <c r="D5001" t="s">
        <v>35</v>
      </c>
      <c r="E5001" t="s">
        <v>16</v>
      </c>
      <c r="F5001" t="s">
        <v>17</v>
      </c>
      <c r="G5001" t="s">
        <v>151</v>
      </c>
      <c r="H5001" t="s">
        <v>31</v>
      </c>
      <c r="I5001">
        <v>5</v>
      </c>
      <c r="J5001">
        <v>48</v>
      </c>
      <c r="K5001">
        <v>39.19</v>
      </c>
      <c r="L5001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01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2" customWidth="1"/>
    <col min="2" max="3" width="22" customWidth="1"/>
    <col min="4" max="5" width="12" customWidth="1"/>
    <col min="6" max="6" width="22" customWidth="1"/>
    <col min="7" max="7" width="12" customWidth="1"/>
    <col min="8" max="8" width="19" customWidth="1"/>
    <col min="9" max="9" width="17" customWidth="1"/>
    <col min="10" max="10" width="19" customWidth="1"/>
    <col min="11" max="12" width="17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10</v>
      </c>
      <c r="I1" s="1" t="s">
        <v>14479</v>
      </c>
      <c r="J1" s="1" t="s">
        <v>9</v>
      </c>
      <c r="K1" s="1" t="s">
        <v>14480</v>
      </c>
      <c r="L1" s="1" t="s">
        <v>14481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19</v>
      </c>
      <c r="H2">
        <f>Cleaned_Data!K2</f>
        <v>5.84</v>
      </c>
      <c r="I2" t="str">
        <f t="shared" ref="I2:I65" si="0">IF(OR(G2="Resolved", G2="Closed"), IF(AND(H2&lt;&gt;"", H2&lt;=J2), "YES", "NO"), "")</f>
        <v>YES</v>
      </c>
      <c r="J2">
        <f>Cleaned_Data!J2</f>
        <v>8</v>
      </c>
      <c r="K2" t="str">
        <f t="shared" ref="K2:K65" si="1">LEFT(B2, 7)</f>
        <v>2024-09</v>
      </c>
      <c r="L2">
        <f t="shared" ref="L2:L65" si="2">IF(I2="NO", H2-J2, 0)</f>
        <v>0</v>
      </c>
    </row>
    <row r="3" spans="1:12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17</v>
      </c>
      <c r="G3" t="s">
        <v>19</v>
      </c>
      <c r="H3">
        <f>Cleaned_Data!K3</f>
        <v>6.46</v>
      </c>
      <c r="I3" t="str">
        <f t="shared" si="0"/>
        <v>YES</v>
      </c>
      <c r="J3">
        <f>Cleaned_Data!J3</f>
        <v>24</v>
      </c>
      <c r="K3" t="str">
        <f t="shared" si="1"/>
        <v>2024-08</v>
      </c>
      <c r="L3">
        <f t="shared" si="2"/>
        <v>0</v>
      </c>
    </row>
    <row r="4" spans="1:12">
      <c r="A4" t="s">
        <v>25</v>
      </c>
      <c r="B4" t="s">
        <v>26</v>
      </c>
      <c r="C4" t="s">
        <v>27</v>
      </c>
      <c r="D4" t="s">
        <v>23</v>
      </c>
      <c r="E4" t="s">
        <v>28</v>
      </c>
      <c r="F4" t="s">
        <v>29</v>
      </c>
      <c r="G4" t="s">
        <v>31</v>
      </c>
      <c r="H4">
        <f>Cleaned_Data!K4</f>
        <v>11.02</v>
      </c>
      <c r="I4" t="str">
        <f t="shared" si="0"/>
        <v>YES</v>
      </c>
      <c r="J4">
        <f>Cleaned_Data!J4</f>
        <v>24</v>
      </c>
      <c r="K4" t="str">
        <f t="shared" si="1"/>
        <v>2024-07</v>
      </c>
      <c r="L4">
        <f t="shared" si="2"/>
        <v>0</v>
      </c>
    </row>
    <row r="5" spans="1:12">
      <c r="A5" t="s">
        <v>32</v>
      </c>
      <c r="B5" t="s">
        <v>33</v>
      </c>
      <c r="C5" t="s">
        <v>34</v>
      </c>
      <c r="D5" t="s">
        <v>35</v>
      </c>
      <c r="E5" t="s">
        <v>28</v>
      </c>
      <c r="F5" t="s">
        <v>36</v>
      </c>
      <c r="G5" t="s">
        <v>19</v>
      </c>
      <c r="H5">
        <f>Cleaned_Data!K5</f>
        <v>106.91</v>
      </c>
      <c r="I5" t="str">
        <f t="shared" si="0"/>
        <v>NO</v>
      </c>
      <c r="J5">
        <f>Cleaned_Data!J5</f>
        <v>48</v>
      </c>
      <c r="K5" t="str">
        <f t="shared" si="1"/>
        <v>2024-03</v>
      </c>
      <c r="L5">
        <f t="shared" si="2"/>
        <v>58.91</v>
      </c>
    </row>
    <row r="6" spans="1:12">
      <c r="A6" t="s">
        <v>38</v>
      </c>
      <c r="B6" t="s">
        <v>39</v>
      </c>
      <c r="C6" t="s">
        <v>40</v>
      </c>
      <c r="D6" t="s">
        <v>23</v>
      </c>
      <c r="E6" t="s">
        <v>24</v>
      </c>
      <c r="F6" t="s">
        <v>41</v>
      </c>
      <c r="G6" t="s">
        <v>31</v>
      </c>
      <c r="H6">
        <f>Cleaned_Data!K6</f>
        <v>54.15</v>
      </c>
      <c r="I6" t="str">
        <f t="shared" si="0"/>
        <v>NO</v>
      </c>
      <c r="J6">
        <f>Cleaned_Data!J6</f>
        <v>24</v>
      </c>
      <c r="K6" t="str">
        <f t="shared" si="1"/>
        <v>2024-10</v>
      </c>
      <c r="L6">
        <f t="shared" si="2"/>
        <v>30.15</v>
      </c>
    </row>
    <row r="7" spans="1:12">
      <c r="A7" t="s">
        <v>43</v>
      </c>
      <c r="B7" t="s">
        <v>44</v>
      </c>
      <c r="D7" t="s">
        <v>15</v>
      </c>
      <c r="E7" t="s">
        <v>24</v>
      </c>
      <c r="F7" t="s">
        <v>17</v>
      </c>
      <c r="G7" t="s">
        <v>46</v>
      </c>
      <c r="H7">
        <f>Cleaned_Data!K7</f>
        <v>0</v>
      </c>
      <c r="I7" t="str">
        <f t="shared" si="0"/>
        <v/>
      </c>
      <c r="J7">
        <f>Cleaned_Data!J7</f>
        <v>8</v>
      </c>
      <c r="K7" t="str">
        <f t="shared" si="1"/>
        <v>2024-08</v>
      </c>
      <c r="L7">
        <f t="shared" si="2"/>
        <v>0</v>
      </c>
    </row>
    <row r="8" spans="1:12">
      <c r="A8" t="s">
        <v>47</v>
      </c>
      <c r="B8" t="s">
        <v>48</v>
      </c>
      <c r="C8" t="s">
        <v>49</v>
      </c>
      <c r="D8" t="s">
        <v>15</v>
      </c>
      <c r="E8" t="s">
        <v>24</v>
      </c>
      <c r="F8" t="s">
        <v>29</v>
      </c>
      <c r="G8" t="s">
        <v>31</v>
      </c>
      <c r="H8">
        <f>Cleaned_Data!K8</f>
        <v>3.32</v>
      </c>
      <c r="I8" t="str">
        <f t="shared" si="0"/>
        <v>YES</v>
      </c>
      <c r="J8">
        <f>Cleaned_Data!J8</f>
        <v>8</v>
      </c>
      <c r="K8" t="str">
        <f t="shared" si="1"/>
        <v>2024-11</v>
      </c>
      <c r="L8">
        <f t="shared" si="2"/>
        <v>0</v>
      </c>
    </row>
    <row r="9" spans="1:12">
      <c r="A9" t="s">
        <v>51</v>
      </c>
      <c r="B9" t="s">
        <v>52</v>
      </c>
      <c r="C9" t="s">
        <v>53</v>
      </c>
      <c r="D9" t="s">
        <v>23</v>
      </c>
      <c r="E9" t="s">
        <v>54</v>
      </c>
      <c r="F9" t="s">
        <v>36</v>
      </c>
      <c r="G9" t="s">
        <v>31</v>
      </c>
      <c r="H9">
        <f>Cleaned_Data!K9</f>
        <v>7.39</v>
      </c>
      <c r="I9" t="str">
        <f t="shared" si="0"/>
        <v>YES</v>
      </c>
      <c r="J9">
        <f>Cleaned_Data!J9</f>
        <v>24</v>
      </c>
      <c r="K9" t="str">
        <f t="shared" si="1"/>
        <v>2024-04</v>
      </c>
      <c r="L9">
        <f t="shared" si="2"/>
        <v>0</v>
      </c>
    </row>
    <row r="10" spans="1:12">
      <c r="A10" t="s">
        <v>56</v>
      </c>
      <c r="B10" t="s">
        <v>57</v>
      </c>
      <c r="C10" t="s">
        <v>58</v>
      </c>
      <c r="D10" t="s">
        <v>35</v>
      </c>
      <c r="E10" t="s">
        <v>59</v>
      </c>
      <c r="F10" t="s">
        <v>60</v>
      </c>
      <c r="G10" t="s">
        <v>31</v>
      </c>
      <c r="H10">
        <f>Cleaned_Data!K10</f>
        <v>123.03</v>
      </c>
      <c r="I10" t="str">
        <f t="shared" si="0"/>
        <v>NO</v>
      </c>
      <c r="J10">
        <f>Cleaned_Data!J10</f>
        <v>48</v>
      </c>
      <c r="K10" t="str">
        <f t="shared" si="1"/>
        <v>2024-04</v>
      </c>
      <c r="L10">
        <f t="shared" si="2"/>
        <v>75.03</v>
      </c>
    </row>
    <row r="11" spans="1:12">
      <c r="A11" t="s">
        <v>61</v>
      </c>
      <c r="B11" t="s">
        <v>62</v>
      </c>
      <c r="D11" t="s">
        <v>35</v>
      </c>
      <c r="E11" t="s">
        <v>28</v>
      </c>
      <c r="F11" t="s">
        <v>36</v>
      </c>
      <c r="G11" t="s">
        <v>63</v>
      </c>
      <c r="H11">
        <f>Cleaned_Data!K11</f>
        <v>0</v>
      </c>
      <c r="I11" t="str">
        <f t="shared" si="0"/>
        <v/>
      </c>
      <c r="J11">
        <f>Cleaned_Data!J11</f>
        <v>48</v>
      </c>
      <c r="K11" t="str">
        <f t="shared" si="1"/>
        <v>2024-01</v>
      </c>
      <c r="L11">
        <f t="shared" si="2"/>
        <v>0</v>
      </c>
    </row>
    <row r="12" spans="1:12">
      <c r="A12" t="s">
        <v>64</v>
      </c>
      <c r="B12" t="s">
        <v>65</v>
      </c>
      <c r="C12" t="s">
        <v>66</v>
      </c>
      <c r="D12" t="s">
        <v>35</v>
      </c>
      <c r="E12" t="s">
        <v>28</v>
      </c>
      <c r="F12" t="s">
        <v>41</v>
      </c>
      <c r="G12" t="s">
        <v>31</v>
      </c>
      <c r="H12">
        <f>Cleaned_Data!K12</f>
        <v>10.63</v>
      </c>
      <c r="I12" t="str">
        <f t="shared" si="0"/>
        <v>YES</v>
      </c>
      <c r="J12">
        <f>Cleaned_Data!J12</f>
        <v>48</v>
      </c>
      <c r="K12" t="str">
        <f t="shared" si="1"/>
        <v>2024-08</v>
      </c>
      <c r="L12">
        <f t="shared" si="2"/>
        <v>0</v>
      </c>
    </row>
    <row r="13" spans="1:12">
      <c r="A13" t="s">
        <v>67</v>
      </c>
      <c r="B13" t="s">
        <v>68</v>
      </c>
      <c r="C13" t="s">
        <v>69</v>
      </c>
      <c r="D13" t="s">
        <v>23</v>
      </c>
      <c r="E13" t="s">
        <v>28</v>
      </c>
      <c r="F13" t="s">
        <v>60</v>
      </c>
      <c r="G13" t="s">
        <v>31</v>
      </c>
      <c r="H13">
        <f>Cleaned_Data!K13</f>
        <v>6.87</v>
      </c>
      <c r="I13" t="str">
        <f t="shared" si="0"/>
        <v>YES</v>
      </c>
      <c r="J13">
        <f>Cleaned_Data!J13</f>
        <v>24</v>
      </c>
      <c r="K13" t="str">
        <f t="shared" si="1"/>
        <v>2024-10</v>
      </c>
      <c r="L13">
        <f t="shared" si="2"/>
        <v>0</v>
      </c>
    </row>
    <row r="14" spans="1:12">
      <c r="A14" t="s">
        <v>70</v>
      </c>
      <c r="B14" t="s">
        <v>71</v>
      </c>
      <c r="C14" t="s">
        <v>72</v>
      </c>
      <c r="D14" t="s">
        <v>23</v>
      </c>
      <c r="E14" t="s">
        <v>28</v>
      </c>
      <c r="F14" t="s">
        <v>36</v>
      </c>
      <c r="G14" t="s">
        <v>31</v>
      </c>
      <c r="H14">
        <f>Cleaned_Data!K14</f>
        <v>11.01</v>
      </c>
      <c r="I14" t="str">
        <f t="shared" si="0"/>
        <v>YES</v>
      </c>
      <c r="J14">
        <f>Cleaned_Data!J14</f>
        <v>24</v>
      </c>
      <c r="K14" t="str">
        <f t="shared" si="1"/>
        <v>2024-07</v>
      </c>
      <c r="L14">
        <f t="shared" si="2"/>
        <v>0</v>
      </c>
    </row>
    <row r="15" spans="1:12">
      <c r="A15" t="s">
        <v>74</v>
      </c>
      <c r="B15" t="s">
        <v>75</v>
      </c>
      <c r="C15" t="s">
        <v>76</v>
      </c>
      <c r="D15" t="s">
        <v>23</v>
      </c>
      <c r="E15" t="s">
        <v>28</v>
      </c>
      <c r="F15" t="s">
        <v>29</v>
      </c>
      <c r="G15" t="s">
        <v>31</v>
      </c>
      <c r="H15">
        <f>Cleaned_Data!K15</f>
        <v>17.100000000000001</v>
      </c>
      <c r="I15" t="str">
        <f t="shared" si="0"/>
        <v>YES</v>
      </c>
      <c r="J15">
        <f>Cleaned_Data!J15</f>
        <v>24</v>
      </c>
      <c r="K15" t="str">
        <f t="shared" si="1"/>
        <v>2024-05</v>
      </c>
      <c r="L15">
        <f t="shared" si="2"/>
        <v>0</v>
      </c>
    </row>
    <row r="16" spans="1:12">
      <c r="A16" t="s">
        <v>78</v>
      </c>
      <c r="B16" t="s">
        <v>79</v>
      </c>
      <c r="C16" t="s">
        <v>80</v>
      </c>
      <c r="D16" t="s">
        <v>23</v>
      </c>
      <c r="E16" t="s">
        <v>16</v>
      </c>
      <c r="F16" t="s">
        <v>29</v>
      </c>
      <c r="G16" t="s">
        <v>19</v>
      </c>
      <c r="H16">
        <f>Cleaned_Data!K16</f>
        <v>2.4700000000000002</v>
      </c>
      <c r="I16" t="str">
        <f t="shared" si="0"/>
        <v>YES</v>
      </c>
      <c r="J16">
        <f>Cleaned_Data!J16</f>
        <v>24</v>
      </c>
      <c r="K16" t="str">
        <f t="shared" si="1"/>
        <v>2024-07</v>
      </c>
      <c r="L16">
        <f t="shared" si="2"/>
        <v>0</v>
      </c>
    </row>
    <row r="17" spans="1:12">
      <c r="A17" t="s">
        <v>81</v>
      </c>
      <c r="B17" t="s">
        <v>82</v>
      </c>
      <c r="D17" t="s">
        <v>15</v>
      </c>
      <c r="E17" t="s">
        <v>28</v>
      </c>
      <c r="F17" t="s">
        <v>17</v>
      </c>
      <c r="G17" t="s">
        <v>63</v>
      </c>
      <c r="H17">
        <f>Cleaned_Data!K17</f>
        <v>0</v>
      </c>
      <c r="I17" t="str">
        <f t="shared" si="0"/>
        <v/>
      </c>
      <c r="J17">
        <f>Cleaned_Data!J17</f>
        <v>8</v>
      </c>
      <c r="K17" t="str">
        <f t="shared" si="1"/>
        <v>2024-10</v>
      </c>
      <c r="L17">
        <f t="shared" si="2"/>
        <v>0</v>
      </c>
    </row>
    <row r="18" spans="1:12">
      <c r="A18" t="s">
        <v>83</v>
      </c>
      <c r="B18" t="s">
        <v>84</v>
      </c>
      <c r="C18" t="s">
        <v>85</v>
      </c>
      <c r="D18" t="s">
        <v>23</v>
      </c>
      <c r="E18" t="s">
        <v>16</v>
      </c>
      <c r="F18" t="s">
        <v>60</v>
      </c>
      <c r="G18" t="s">
        <v>19</v>
      </c>
      <c r="H18">
        <f>Cleaned_Data!K18</f>
        <v>5.7</v>
      </c>
      <c r="I18" t="str">
        <f t="shared" si="0"/>
        <v>YES</v>
      </c>
      <c r="J18">
        <f>Cleaned_Data!J18</f>
        <v>24</v>
      </c>
      <c r="K18" t="str">
        <f t="shared" si="1"/>
        <v>2024-12</v>
      </c>
      <c r="L18">
        <f t="shared" si="2"/>
        <v>0</v>
      </c>
    </row>
    <row r="19" spans="1:12">
      <c r="A19" t="s">
        <v>86</v>
      </c>
      <c r="B19" t="s">
        <v>87</v>
      </c>
      <c r="C19" t="s">
        <v>88</v>
      </c>
      <c r="D19" t="s">
        <v>23</v>
      </c>
      <c r="E19" t="s">
        <v>24</v>
      </c>
      <c r="F19" t="s">
        <v>29</v>
      </c>
      <c r="G19" t="s">
        <v>19</v>
      </c>
      <c r="H19">
        <f>Cleaned_Data!K19</f>
        <v>66.319999999999993</v>
      </c>
      <c r="I19" t="str">
        <f t="shared" si="0"/>
        <v>NO</v>
      </c>
      <c r="J19">
        <f>Cleaned_Data!J19</f>
        <v>24</v>
      </c>
      <c r="K19" t="str">
        <f t="shared" si="1"/>
        <v>2024-12</v>
      </c>
      <c r="L19">
        <f t="shared" si="2"/>
        <v>42.319999999999993</v>
      </c>
    </row>
    <row r="20" spans="1:12">
      <c r="A20" t="s">
        <v>89</v>
      </c>
      <c r="B20" t="s">
        <v>90</v>
      </c>
      <c r="C20" t="s">
        <v>91</v>
      </c>
      <c r="D20" t="s">
        <v>15</v>
      </c>
      <c r="E20" t="s">
        <v>28</v>
      </c>
      <c r="F20" t="s">
        <v>60</v>
      </c>
      <c r="G20" t="s">
        <v>19</v>
      </c>
      <c r="H20">
        <f>Cleaned_Data!K20</f>
        <v>1.27</v>
      </c>
      <c r="I20" t="str">
        <f t="shared" si="0"/>
        <v>YES</v>
      </c>
      <c r="J20">
        <f>Cleaned_Data!J20</f>
        <v>8</v>
      </c>
      <c r="K20" t="str">
        <f t="shared" si="1"/>
        <v>2024-04</v>
      </c>
      <c r="L20">
        <f t="shared" si="2"/>
        <v>0</v>
      </c>
    </row>
    <row r="21" spans="1:12">
      <c r="A21" t="s">
        <v>92</v>
      </c>
      <c r="B21" t="s">
        <v>93</v>
      </c>
      <c r="C21" t="s">
        <v>94</v>
      </c>
      <c r="D21" t="s">
        <v>15</v>
      </c>
      <c r="E21" t="s">
        <v>54</v>
      </c>
      <c r="F21" t="s">
        <v>60</v>
      </c>
      <c r="G21" t="s">
        <v>19</v>
      </c>
      <c r="H21">
        <f>Cleaned_Data!K21</f>
        <v>15</v>
      </c>
      <c r="I21" t="str">
        <f t="shared" si="0"/>
        <v>NO</v>
      </c>
      <c r="J21">
        <f>Cleaned_Data!J21</f>
        <v>8</v>
      </c>
      <c r="K21" t="str">
        <f t="shared" si="1"/>
        <v>2024-10</v>
      </c>
      <c r="L21">
        <f t="shared" si="2"/>
        <v>7</v>
      </c>
    </row>
    <row r="22" spans="1:12">
      <c r="A22" t="s">
        <v>95</v>
      </c>
      <c r="B22" t="s">
        <v>96</v>
      </c>
      <c r="D22" t="s">
        <v>23</v>
      </c>
      <c r="E22" t="s">
        <v>54</v>
      </c>
      <c r="F22" t="s">
        <v>29</v>
      </c>
      <c r="G22" t="s">
        <v>46</v>
      </c>
      <c r="H22">
        <f>Cleaned_Data!K22</f>
        <v>0</v>
      </c>
      <c r="I22" t="str">
        <f t="shared" si="0"/>
        <v/>
      </c>
      <c r="J22">
        <f>Cleaned_Data!J22</f>
        <v>24</v>
      </c>
      <c r="K22" t="str">
        <f t="shared" si="1"/>
        <v>2024-07</v>
      </c>
      <c r="L22">
        <f t="shared" si="2"/>
        <v>0</v>
      </c>
    </row>
    <row r="23" spans="1:12">
      <c r="A23" t="s">
        <v>97</v>
      </c>
      <c r="B23" t="s">
        <v>98</v>
      </c>
      <c r="C23" t="s">
        <v>99</v>
      </c>
      <c r="D23" t="s">
        <v>23</v>
      </c>
      <c r="E23" t="s">
        <v>16</v>
      </c>
      <c r="F23" t="s">
        <v>41</v>
      </c>
      <c r="G23" t="s">
        <v>19</v>
      </c>
      <c r="H23">
        <f>Cleaned_Data!K23</f>
        <v>2.83</v>
      </c>
      <c r="I23" t="str">
        <f t="shared" si="0"/>
        <v>YES</v>
      </c>
      <c r="J23">
        <f>Cleaned_Data!J23</f>
        <v>24</v>
      </c>
      <c r="K23" t="str">
        <f t="shared" si="1"/>
        <v>2024-09</v>
      </c>
      <c r="L23">
        <f t="shared" si="2"/>
        <v>0</v>
      </c>
    </row>
    <row r="24" spans="1:12">
      <c r="A24" t="s">
        <v>100</v>
      </c>
      <c r="B24" t="s">
        <v>101</v>
      </c>
      <c r="C24" t="s">
        <v>102</v>
      </c>
      <c r="D24" t="s">
        <v>15</v>
      </c>
      <c r="E24" t="s">
        <v>24</v>
      </c>
      <c r="F24" t="s">
        <v>36</v>
      </c>
      <c r="G24" t="s">
        <v>19</v>
      </c>
      <c r="H24">
        <f>Cleaned_Data!K24</f>
        <v>3.05</v>
      </c>
      <c r="I24" t="str">
        <f t="shared" si="0"/>
        <v>YES</v>
      </c>
      <c r="J24">
        <f>Cleaned_Data!J24</f>
        <v>8</v>
      </c>
      <c r="K24" t="str">
        <f t="shared" si="1"/>
        <v>2024-08</v>
      </c>
      <c r="L24">
        <f t="shared" si="2"/>
        <v>0</v>
      </c>
    </row>
    <row r="25" spans="1:12">
      <c r="A25" t="s">
        <v>103</v>
      </c>
      <c r="B25" t="s">
        <v>104</v>
      </c>
      <c r="D25" t="s">
        <v>23</v>
      </c>
      <c r="E25" t="s">
        <v>16</v>
      </c>
      <c r="F25" t="s">
        <v>17</v>
      </c>
      <c r="G25" t="s">
        <v>63</v>
      </c>
      <c r="H25">
        <f>Cleaned_Data!K25</f>
        <v>0</v>
      </c>
      <c r="I25" t="str">
        <f t="shared" si="0"/>
        <v/>
      </c>
      <c r="J25">
        <f>Cleaned_Data!J25</f>
        <v>24</v>
      </c>
      <c r="K25" t="str">
        <f t="shared" si="1"/>
        <v>2024-04</v>
      </c>
      <c r="L25">
        <f t="shared" si="2"/>
        <v>0</v>
      </c>
    </row>
    <row r="26" spans="1:12">
      <c r="A26" t="s">
        <v>106</v>
      </c>
      <c r="B26" t="s">
        <v>107</v>
      </c>
      <c r="C26" t="s">
        <v>108</v>
      </c>
      <c r="D26" t="s">
        <v>23</v>
      </c>
      <c r="E26" t="s">
        <v>28</v>
      </c>
      <c r="F26" t="s">
        <v>41</v>
      </c>
      <c r="G26" t="s">
        <v>19</v>
      </c>
      <c r="H26">
        <f>Cleaned_Data!K26</f>
        <v>11.19</v>
      </c>
      <c r="I26" t="str">
        <f t="shared" si="0"/>
        <v>YES</v>
      </c>
      <c r="J26">
        <f>Cleaned_Data!J26</f>
        <v>24</v>
      </c>
      <c r="K26" t="str">
        <f t="shared" si="1"/>
        <v>2024-08</v>
      </c>
      <c r="L26">
        <f t="shared" si="2"/>
        <v>0</v>
      </c>
    </row>
    <row r="27" spans="1:12">
      <c r="A27" t="s">
        <v>109</v>
      </c>
      <c r="B27" t="s">
        <v>110</v>
      </c>
      <c r="C27" t="s">
        <v>111</v>
      </c>
      <c r="D27" t="s">
        <v>35</v>
      </c>
      <c r="E27" t="s">
        <v>24</v>
      </c>
      <c r="F27" t="s">
        <v>36</v>
      </c>
      <c r="G27" t="s">
        <v>19</v>
      </c>
      <c r="H27">
        <f>Cleaned_Data!K27</f>
        <v>39.96</v>
      </c>
      <c r="I27" t="str">
        <f t="shared" si="0"/>
        <v>YES</v>
      </c>
      <c r="J27">
        <f>Cleaned_Data!J27</f>
        <v>48</v>
      </c>
      <c r="K27" t="str">
        <f t="shared" si="1"/>
        <v>2024-06</v>
      </c>
      <c r="L27">
        <f t="shared" si="2"/>
        <v>0</v>
      </c>
    </row>
    <row r="28" spans="1:12">
      <c r="A28" t="s">
        <v>112</v>
      </c>
      <c r="B28" t="s">
        <v>113</v>
      </c>
      <c r="C28" t="s">
        <v>114</v>
      </c>
      <c r="D28" t="s">
        <v>23</v>
      </c>
      <c r="E28" t="s">
        <v>16</v>
      </c>
      <c r="F28" t="s">
        <v>17</v>
      </c>
      <c r="G28" t="s">
        <v>19</v>
      </c>
      <c r="H28">
        <f>Cleaned_Data!K28</f>
        <v>28.73</v>
      </c>
      <c r="I28" t="str">
        <f t="shared" si="0"/>
        <v>NO</v>
      </c>
      <c r="J28">
        <f>Cleaned_Data!J28</f>
        <v>24</v>
      </c>
      <c r="K28" t="str">
        <f t="shared" si="1"/>
        <v>2024-03</v>
      </c>
      <c r="L28">
        <f t="shared" si="2"/>
        <v>4.7300000000000004</v>
      </c>
    </row>
    <row r="29" spans="1:12">
      <c r="A29" t="s">
        <v>115</v>
      </c>
      <c r="B29" t="s">
        <v>116</v>
      </c>
      <c r="D29" t="s">
        <v>23</v>
      </c>
      <c r="E29" t="s">
        <v>24</v>
      </c>
      <c r="F29" t="s">
        <v>60</v>
      </c>
      <c r="G29" t="s">
        <v>46</v>
      </c>
      <c r="H29">
        <f>Cleaned_Data!K29</f>
        <v>0</v>
      </c>
      <c r="I29" t="str">
        <f t="shared" si="0"/>
        <v/>
      </c>
      <c r="J29">
        <f>Cleaned_Data!J29</f>
        <v>24</v>
      </c>
      <c r="K29" t="str">
        <f t="shared" si="1"/>
        <v>2024-11</v>
      </c>
      <c r="L29">
        <f t="shared" si="2"/>
        <v>0</v>
      </c>
    </row>
    <row r="30" spans="1:12">
      <c r="A30" t="s">
        <v>117</v>
      </c>
      <c r="B30" t="s">
        <v>118</v>
      </c>
      <c r="C30" t="s">
        <v>119</v>
      </c>
      <c r="D30" t="s">
        <v>23</v>
      </c>
      <c r="E30" t="s">
        <v>28</v>
      </c>
      <c r="F30" t="s">
        <v>41</v>
      </c>
      <c r="G30" t="s">
        <v>19</v>
      </c>
      <c r="H30">
        <f>Cleaned_Data!K30</f>
        <v>67.430000000000007</v>
      </c>
      <c r="I30" t="str">
        <f t="shared" si="0"/>
        <v>NO</v>
      </c>
      <c r="J30">
        <f>Cleaned_Data!J30</f>
        <v>24</v>
      </c>
      <c r="K30" t="str">
        <f t="shared" si="1"/>
        <v>2024-12</v>
      </c>
      <c r="L30">
        <f t="shared" si="2"/>
        <v>43.430000000000007</v>
      </c>
    </row>
    <row r="31" spans="1:12">
      <c r="A31" t="s">
        <v>120</v>
      </c>
      <c r="B31" t="s">
        <v>121</v>
      </c>
      <c r="D31" t="s">
        <v>35</v>
      </c>
      <c r="E31" t="s">
        <v>16</v>
      </c>
      <c r="F31" t="s">
        <v>41</v>
      </c>
      <c r="G31" t="s">
        <v>63</v>
      </c>
      <c r="H31">
        <f>Cleaned_Data!K31</f>
        <v>0</v>
      </c>
      <c r="I31" t="str">
        <f t="shared" si="0"/>
        <v/>
      </c>
      <c r="J31">
        <f>Cleaned_Data!J31</f>
        <v>48</v>
      </c>
      <c r="K31" t="str">
        <f t="shared" si="1"/>
        <v>2024-01</v>
      </c>
      <c r="L31">
        <f t="shared" si="2"/>
        <v>0</v>
      </c>
    </row>
    <row r="32" spans="1:12">
      <c r="A32" t="s">
        <v>122</v>
      </c>
      <c r="B32" t="s">
        <v>123</v>
      </c>
      <c r="C32" t="s">
        <v>124</v>
      </c>
      <c r="D32" t="s">
        <v>23</v>
      </c>
      <c r="E32" t="s">
        <v>24</v>
      </c>
      <c r="F32" t="s">
        <v>17</v>
      </c>
      <c r="G32" t="s">
        <v>31</v>
      </c>
      <c r="H32">
        <f>Cleaned_Data!K32</f>
        <v>17.66</v>
      </c>
      <c r="I32" t="str">
        <f t="shared" si="0"/>
        <v>YES</v>
      </c>
      <c r="J32">
        <f>Cleaned_Data!J32</f>
        <v>24</v>
      </c>
      <c r="K32" t="str">
        <f t="shared" si="1"/>
        <v>2024-10</v>
      </c>
      <c r="L32">
        <f t="shared" si="2"/>
        <v>0</v>
      </c>
    </row>
    <row r="33" spans="1:12">
      <c r="A33" t="s">
        <v>125</v>
      </c>
      <c r="B33" t="s">
        <v>126</v>
      </c>
      <c r="C33" t="s">
        <v>127</v>
      </c>
      <c r="D33" t="s">
        <v>23</v>
      </c>
      <c r="E33" t="s">
        <v>59</v>
      </c>
      <c r="F33" t="s">
        <v>60</v>
      </c>
      <c r="G33" t="s">
        <v>19</v>
      </c>
      <c r="H33">
        <f>Cleaned_Data!K33</f>
        <v>19.77</v>
      </c>
      <c r="I33" t="str">
        <f t="shared" si="0"/>
        <v>YES</v>
      </c>
      <c r="J33">
        <f>Cleaned_Data!J33</f>
        <v>24</v>
      </c>
      <c r="K33" t="str">
        <f t="shared" si="1"/>
        <v>2024-08</v>
      </c>
      <c r="L33">
        <f t="shared" si="2"/>
        <v>0</v>
      </c>
    </row>
    <row r="34" spans="1:12">
      <c r="A34" t="s">
        <v>128</v>
      </c>
      <c r="B34" t="s">
        <v>129</v>
      </c>
      <c r="C34" t="s">
        <v>130</v>
      </c>
      <c r="D34" t="s">
        <v>23</v>
      </c>
      <c r="E34" t="s">
        <v>28</v>
      </c>
      <c r="F34" t="s">
        <v>36</v>
      </c>
      <c r="G34" t="s">
        <v>19</v>
      </c>
      <c r="H34">
        <f>Cleaned_Data!K34</f>
        <v>15.04</v>
      </c>
      <c r="I34" t="str">
        <f t="shared" si="0"/>
        <v>YES</v>
      </c>
      <c r="J34">
        <f>Cleaned_Data!J34</f>
        <v>24</v>
      </c>
      <c r="K34" t="str">
        <f t="shared" si="1"/>
        <v>2024-01</v>
      </c>
      <c r="L34">
        <f t="shared" si="2"/>
        <v>0</v>
      </c>
    </row>
    <row r="35" spans="1:12">
      <c r="A35" t="s">
        <v>131</v>
      </c>
      <c r="B35" t="s">
        <v>132</v>
      </c>
      <c r="C35" t="s">
        <v>133</v>
      </c>
      <c r="D35" t="s">
        <v>23</v>
      </c>
      <c r="E35" t="s">
        <v>16</v>
      </c>
      <c r="F35" t="s">
        <v>29</v>
      </c>
      <c r="G35" t="s">
        <v>31</v>
      </c>
      <c r="H35">
        <f>Cleaned_Data!K35</f>
        <v>7.82</v>
      </c>
      <c r="I35" t="str">
        <f t="shared" si="0"/>
        <v>YES</v>
      </c>
      <c r="J35">
        <f>Cleaned_Data!J35</f>
        <v>24</v>
      </c>
      <c r="K35" t="str">
        <f t="shared" si="1"/>
        <v>2024-08</v>
      </c>
      <c r="L35">
        <f t="shared" si="2"/>
        <v>0</v>
      </c>
    </row>
    <row r="36" spans="1:12">
      <c r="A36" t="s">
        <v>134</v>
      </c>
      <c r="B36" t="s">
        <v>135</v>
      </c>
      <c r="C36" t="s">
        <v>136</v>
      </c>
      <c r="D36" t="s">
        <v>15</v>
      </c>
      <c r="E36" t="s">
        <v>28</v>
      </c>
      <c r="F36" t="s">
        <v>36</v>
      </c>
      <c r="G36" t="s">
        <v>19</v>
      </c>
      <c r="H36">
        <f>Cleaned_Data!K36</f>
        <v>23.94</v>
      </c>
      <c r="I36" t="str">
        <f t="shared" si="0"/>
        <v>NO</v>
      </c>
      <c r="J36">
        <f>Cleaned_Data!J36</f>
        <v>8</v>
      </c>
      <c r="K36" t="str">
        <f t="shared" si="1"/>
        <v>2024-09</v>
      </c>
      <c r="L36">
        <f t="shared" si="2"/>
        <v>15.940000000000001</v>
      </c>
    </row>
    <row r="37" spans="1:12">
      <c r="A37" t="s">
        <v>137</v>
      </c>
      <c r="B37" t="s">
        <v>138</v>
      </c>
      <c r="C37" t="s">
        <v>139</v>
      </c>
      <c r="D37" t="s">
        <v>23</v>
      </c>
      <c r="E37" t="s">
        <v>24</v>
      </c>
      <c r="F37" t="s">
        <v>29</v>
      </c>
      <c r="G37" t="s">
        <v>31</v>
      </c>
      <c r="H37">
        <f>Cleaned_Data!K37</f>
        <v>5.62</v>
      </c>
      <c r="I37" t="str">
        <f t="shared" si="0"/>
        <v>YES</v>
      </c>
      <c r="J37">
        <f>Cleaned_Data!J37</f>
        <v>24</v>
      </c>
      <c r="K37" t="str">
        <f t="shared" si="1"/>
        <v>2024-03</v>
      </c>
      <c r="L37">
        <f t="shared" si="2"/>
        <v>0</v>
      </c>
    </row>
    <row r="38" spans="1:12">
      <c r="A38" t="s">
        <v>140</v>
      </c>
      <c r="B38" t="s">
        <v>141</v>
      </c>
      <c r="C38" t="s">
        <v>142</v>
      </c>
      <c r="D38" t="s">
        <v>15</v>
      </c>
      <c r="E38" t="s">
        <v>59</v>
      </c>
      <c r="F38" t="s">
        <v>60</v>
      </c>
      <c r="G38" t="s">
        <v>31</v>
      </c>
      <c r="H38">
        <f>Cleaned_Data!K38</f>
        <v>7.14</v>
      </c>
      <c r="I38" t="str">
        <f t="shared" si="0"/>
        <v>YES</v>
      </c>
      <c r="J38">
        <f>Cleaned_Data!J38</f>
        <v>8</v>
      </c>
      <c r="K38" t="str">
        <f t="shared" si="1"/>
        <v>2024-09</v>
      </c>
      <c r="L38">
        <f t="shared" si="2"/>
        <v>0</v>
      </c>
    </row>
    <row r="39" spans="1:12">
      <c r="A39" t="s">
        <v>143</v>
      </c>
      <c r="B39" t="s">
        <v>144</v>
      </c>
      <c r="C39" t="s">
        <v>145</v>
      </c>
      <c r="D39" t="s">
        <v>15</v>
      </c>
      <c r="E39" t="s">
        <v>24</v>
      </c>
      <c r="F39" t="s">
        <v>36</v>
      </c>
      <c r="G39" t="s">
        <v>31</v>
      </c>
      <c r="H39">
        <f>Cleaned_Data!K39</f>
        <v>4.91</v>
      </c>
      <c r="I39" t="str">
        <f t="shared" si="0"/>
        <v>YES</v>
      </c>
      <c r="J39">
        <f>Cleaned_Data!J39</f>
        <v>8</v>
      </c>
      <c r="K39" t="str">
        <f t="shared" si="1"/>
        <v>2024-12</v>
      </c>
      <c r="L39">
        <f t="shared" si="2"/>
        <v>0</v>
      </c>
    </row>
    <row r="40" spans="1:12">
      <c r="A40" t="s">
        <v>146</v>
      </c>
      <c r="B40" t="s">
        <v>147</v>
      </c>
      <c r="C40" t="s">
        <v>148</v>
      </c>
      <c r="D40" t="s">
        <v>23</v>
      </c>
      <c r="E40" t="s">
        <v>16</v>
      </c>
      <c r="F40" t="s">
        <v>60</v>
      </c>
      <c r="G40" t="s">
        <v>19</v>
      </c>
      <c r="H40">
        <f>Cleaned_Data!K40</f>
        <v>27.58</v>
      </c>
      <c r="I40" t="str">
        <f t="shared" si="0"/>
        <v>NO</v>
      </c>
      <c r="J40">
        <f>Cleaned_Data!J40</f>
        <v>24</v>
      </c>
      <c r="K40" t="str">
        <f t="shared" si="1"/>
        <v>2024-03</v>
      </c>
      <c r="L40">
        <f t="shared" si="2"/>
        <v>3.5799999999999983</v>
      </c>
    </row>
    <row r="41" spans="1:12">
      <c r="A41" t="s">
        <v>149</v>
      </c>
      <c r="B41" t="s">
        <v>150</v>
      </c>
      <c r="D41" t="s">
        <v>15</v>
      </c>
      <c r="E41" t="s">
        <v>24</v>
      </c>
      <c r="F41" t="s">
        <v>17</v>
      </c>
      <c r="G41" t="s">
        <v>46</v>
      </c>
      <c r="H41">
        <f>Cleaned_Data!K41</f>
        <v>0</v>
      </c>
      <c r="I41" t="str">
        <f t="shared" si="0"/>
        <v/>
      </c>
      <c r="J41">
        <f>Cleaned_Data!J41</f>
        <v>8</v>
      </c>
      <c r="K41" t="str">
        <f t="shared" si="1"/>
        <v>2024-11</v>
      </c>
      <c r="L41">
        <f t="shared" si="2"/>
        <v>0</v>
      </c>
    </row>
    <row r="42" spans="1:12">
      <c r="A42" t="s">
        <v>152</v>
      </c>
      <c r="B42" t="s">
        <v>153</v>
      </c>
      <c r="C42" t="s">
        <v>154</v>
      </c>
      <c r="D42" t="s">
        <v>23</v>
      </c>
      <c r="E42" t="s">
        <v>54</v>
      </c>
      <c r="F42" t="s">
        <v>41</v>
      </c>
      <c r="G42" t="s">
        <v>19</v>
      </c>
      <c r="H42">
        <f>Cleaned_Data!K42</f>
        <v>20.420000000000002</v>
      </c>
      <c r="I42" t="str">
        <f t="shared" si="0"/>
        <v>YES</v>
      </c>
      <c r="J42">
        <f>Cleaned_Data!J42</f>
        <v>24</v>
      </c>
      <c r="K42" t="str">
        <f t="shared" si="1"/>
        <v>2024-03</v>
      </c>
      <c r="L42">
        <f t="shared" si="2"/>
        <v>0</v>
      </c>
    </row>
    <row r="43" spans="1:12">
      <c r="A43" t="s">
        <v>155</v>
      </c>
      <c r="B43" t="s">
        <v>156</v>
      </c>
      <c r="C43" t="s">
        <v>157</v>
      </c>
      <c r="D43" t="s">
        <v>158</v>
      </c>
      <c r="E43" t="s">
        <v>28</v>
      </c>
      <c r="F43" t="s">
        <v>60</v>
      </c>
      <c r="G43" t="s">
        <v>19</v>
      </c>
      <c r="H43">
        <f>Cleaned_Data!K43</f>
        <v>1.64</v>
      </c>
      <c r="I43" t="str">
        <f t="shared" si="0"/>
        <v>YES</v>
      </c>
      <c r="J43">
        <f>Cleaned_Data!J43</f>
        <v>4</v>
      </c>
      <c r="K43" t="str">
        <f t="shared" si="1"/>
        <v>2024-07</v>
      </c>
      <c r="L43">
        <f t="shared" si="2"/>
        <v>0</v>
      </c>
    </row>
    <row r="44" spans="1:12">
      <c r="A44" t="s">
        <v>159</v>
      </c>
      <c r="B44" t="s">
        <v>160</v>
      </c>
      <c r="C44" t="s">
        <v>161</v>
      </c>
      <c r="D44" t="s">
        <v>158</v>
      </c>
      <c r="E44" t="s">
        <v>28</v>
      </c>
      <c r="F44" t="s">
        <v>17</v>
      </c>
      <c r="G44" t="s">
        <v>19</v>
      </c>
      <c r="H44">
        <f>Cleaned_Data!K44</f>
        <v>3.41</v>
      </c>
      <c r="I44" t="str">
        <f t="shared" si="0"/>
        <v>YES</v>
      </c>
      <c r="J44">
        <f>Cleaned_Data!J44</f>
        <v>4</v>
      </c>
      <c r="K44" t="str">
        <f t="shared" si="1"/>
        <v>2024-11</v>
      </c>
      <c r="L44">
        <f t="shared" si="2"/>
        <v>0</v>
      </c>
    </row>
    <row r="45" spans="1:12">
      <c r="A45" t="s">
        <v>162</v>
      </c>
      <c r="B45" t="s">
        <v>163</v>
      </c>
      <c r="D45" t="s">
        <v>23</v>
      </c>
      <c r="E45" t="s">
        <v>59</v>
      </c>
      <c r="F45" t="s">
        <v>17</v>
      </c>
      <c r="G45" t="s">
        <v>46</v>
      </c>
      <c r="H45">
        <f>Cleaned_Data!K45</f>
        <v>0</v>
      </c>
      <c r="I45" t="str">
        <f t="shared" si="0"/>
        <v/>
      </c>
      <c r="J45">
        <f>Cleaned_Data!J45</f>
        <v>24</v>
      </c>
      <c r="K45" t="str">
        <f t="shared" si="1"/>
        <v>2024-08</v>
      </c>
      <c r="L45">
        <f t="shared" si="2"/>
        <v>0</v>
      </c>
    </row>
    <row r="46" spans="1:12">
      <c r="A46" t="s">
        <v>164</v>
      </c>
      <c r="B46" t="s">
        <v>165</v>
      </c>
      <c r="D46" t="s">
        <v>15</v>
      </c>
      <c r="E46" t="s">
        <v>28</v>
      </c>
      <c r="F46" t="s">
        <v>17</v>
      </c>
      <c r="G46" t="s">
        <v>63</v>
      </c>
      <c r="H46">
        <f>Cleaned_Data!K46</f>
        <v>0</v>
      </c>
      <c r="I46" t="str">
        <f t="shared" si="0"/>
        <v/>
      </c>
      <c r="J46">
        <f>Cleaned_Data!J46</f>
        <v>8</v>
      </c>
      <c r="K46" t="str">
        <f t="shared" si="1"/>
        <v>2024-11</v>
      </c>
      <c r="L46">
        <f t="shared" si="2"/>
        <v>0</v>
      </c>
    </row>
    <row r="47" spans="1:12">
      <c r="A47" t="s">
        <v>166</v>
      </c>
      <c r="B47" t="s">
        <v>167</v>
      </c>
      <c r="C47" t="s">
        <v>168</v>
      </c>
      <c r="D47" t="s">
        <v>35</v>
      </c>
      <c r="E47" t="s">
        <v>16</v>
      </c>
      <c r="F47" t="s">
        <v>17</v>
      </c>
      <c r="G47" t="s">
        <v>19</v>
      </c>
      <c r="H47">
        <f>Cleaned_Data!K47</f>
        <v>20.41</v>
      </c>
      <c r="I47" t="str">
        <f t="shared" si="0"/>
        <v>YES</v>
      </c>
      <c r="J47">
        <f>Cleaned_Data!J47</f>
        <v>48</v>
      </c>
      <c r="K47" t="str">
        <f t="shared" si="1"/>
        <v>2024-10</v>
      </c>
      <c r="L47">
        <f t="shared" si="2"/>
        <v>0</v>
      </c>
    </row>
    <row r="48" spans="1:12">
      <c r="A48" t="s">
        <v>169</v>
      </c>
      <c r="B48" t="s">
        <v>170</v>
      </c>
      <c r="C48" t="s">
        <v>171</v>
      </c>
      <c r="D48" t="s">
        <v>15</v>
      </c>
      <c r="E48" t="s">
        <v>16</v>
      </c>
      <c r="F48" t="s">
        <v>41</v>
      </c>
      <c r="G48" t="s">
        <v>19</v>
      </c>
      <c r="H48">
        <f>Cleaned_Data!K48</f>
        <v>2.35</v>
      </c>
      <c r="I48" t="str">
        <f t="shared" si="0"/>
        <v>YES</v>
      </c>
      <c r="J48">
        <f>Cleaned_Data!J48</f>
        <v>8</v>
      </c>
      <c r="K48" t="str">
        <f t="shared" si="1"/>
        <v>2024-07</v>
      </c>
      <c r="L48">
        <f t="shared" si="2"/>
        <v>0</v>
      </c>
    </row>
    <row r="49" spans="1:12">
      <c r="A49" t="s">
        <v>173</v>
      </c>
      <c r="B49" t="s">
        <v>174</v>
      </c>
      <c r="C49" t="s">
        <v>175</v>
      </c>
      <c r="D49" t="s">
        <v>23</v>
      </c>
      <c r="E49" t="s">
        <v>28</v>
      </c>
      <c r="F49" t="s">
        <v>36</v>
      </c>
      <c r="G49" t="s">
        <v>19</v>
      </c>
      <c r="H49">
        <f>Cleaned_Data!K49</f>
        <v>16.260000000000002</v>
      </c>
      <c r="I49" t="str">
        <f t="shared" si="0"/>
        <v>YES</v>
      </c>
      <c r="J49">
        <f>Cleaned_Data!J49</f>
        <v>24</v>
      </c>
      <c r="K49" t="str">
        <f t="shared" si="1"/>
        <v>2024-03</v>
      </c>
      <c r="L49">
        <f t="shared" si="2"/>
        <v>0</v>
      </c>
    </row>
    <row r="50" spans="1:12">
      <c r="A50" t="s">
        <v>176</v>
      </c>
      <c r="B50" t="s">
        <v>177</v>
      </c>
      <c r="C50" t="s">
        <v>178</v>
      </c>
      <c r="D50" t="s">
        <v>35</v>
      </c>
      <c r="E50" t="s">
        <v>24</v>
      </c>
      <c r="F50" t="s">
        <v>29</v>
      </c>
      <c r="G50" t="s">
        <v>31</v>
      </c>
      <c r="H50">
        <f>Cleaned_Data!K50</f>
        <v>53.98</v>
      </c>
      <c r="I50" t="str">
        <f t="shared" si="0"/>
        <v>NO</v>
      </c>
      <c r="J50">
        <f>Cleaned_Data!J50</f>
        <v>48</v>
      </c>
      <c r="K50" t="str">
        <f t="shared" si="1"/>
        <v>2024-05</v>
      </c>
      <c r="L50">
        <f t="shared" si="2"/>
        <v>5.9799999999999969</v>
      </c>
    </row>
    <row r="51" spans="1:12">
      <c r="A51" t="s">
        <v>179</v>
      </c>
      <c r="B51" t="s">
        <v>180</v>
      </c>
      <c r="C51" t="s">
        <v>181</v>
      </c>
      <c r="D51" t="s">
        <v>23</v>
      </c>
      <c r="E51" t="s">
        <v>28</v>
      </c>
      <c r="F51" t="s">
        <v>60</v>
      </c>
      <c r="G51" t="s">
        <v>19</v>
      </c>
      <c r="H51">
        <f>Cleaned_Data!K51</f>
        <v>34.1</v>
      </c>
      <c r="I51" t="str">
        <f t="shared" si="0"/>
        <v>NO</v>
      </c>
      <c r="J51">
        <f>Cleaned_Data!J51</f>
        <v>24</v>
      </c>
      <c r="K51" t="str">
        <f t="shared" si="1"/>
        <v>2024-05</v>
      </c>
      <c r="L51">
        <f t="shared" si="2"/>
        <v>10.100000000000001</v>
      </c>
    </row>
    <row r="52" spans="1:12">
      <c r="A52" t="s">
        <v>182</v>
      </c>
      <c r="B52" t="s">
        <v>183</v>
      </c>
      <c r="C52" t="s">
        <v>184</v>
      </c>
      <c r="D52" t="s">
        <v>158</v>
      </c>
      <c r="E52" t="s">
        <v>59</v>
      </c>
      <c r="F52" t="s">
        <v>60</v>
      </c>
      <c r="G52" t="s">
        <v>31</v>
      </c>
      <c r="H52">
        <f>Cleaned_Data!K52</f>
        <v>2.68</v>
      </c>
      <c r="I52" t="str">
        <f t="shared" si="0"/>
        <v>YES</v>
      </c>
      <c r="J52">
        <f>Cleaned_Data!J52</f>
        <v>4</v>
      </c>
      <c r="K52" t="str">
        <f t="shared" si="1"/>
        <v>2024-06</v>
      </c>
      <c r="L52">
        <f t="shared" si="2"/>
        <v>0</v>
      </c>
    </row>
    <row r="53" spans="1:12">
      <c r="A53" t="s">
        <v>185</v>
      </c>
      <c r="B53" t="s">
        <v>186</v>
      </c>
      <c r="C53" t="s">
        <v>187</v>
      </c>
      <c r="D53" t="s">
        <v>35</v>
      </c>
      <c r="E53" t="s">
        <v>59</v>
      </c>
      <c r="F53" t="s">
        <v>60</v>
      </c>
      <c r="G53" t="s">
        <v>31</v>
      </c>
      <c r="H53">
        <f>Cleaned_Data!K53</f>
        <v>41.52</v>
      </c>
      <c r="I53" t="str">
        <f t="shared" si="0"/>
        <v>YES</v>
      </c>
      <c r="J53">
        <f>Cleaned_Data!J53</f>
        <v>48</v>
      </c>
      <c r="K53" t="str">
        <f t="shared" si="1"/>
        <v>2024-01</v>
      </c>
      <c r="L53">
        <f t="shared" si="2"/>
        <v>0</v>
      </c>
    </row>
    <row r="54" spans="1:12">
      <c r="A54" t="s">
        <v>188</v>
      </c>
      <c r="B54" t="s">
        <v>189</v>
      </c>
      <c r="C54" t="s">
        <v>190</v>
      </c>
      <c r="D54" t="s">
        <v>23</v>
      </c>
      <c r="E54" t="s">
        <v>28</v>
      </c>
      <c r="F54" t="s">
        <v>29</v>
      </c>
      <c r="G54" t="s">
        <v>19</v>
      </c>
      <c r="H54">
        <f>Cleaned_Data!K54</f>
        <v>21.58</v>
      </c>
      <c r="I54" t="str">
        <f t="shared" si="0"/>
        <v>YES</v>
      </c>
      <c r="J54">
        <f>Cleaned_Data!J54</f>
        <v>24</v>
      </c>
      <c r="K54" t="str">
        <f t="shared" si="1"/>
        <v>2024-09</v>
      </c>
      <c r="L54">
        <f t="shared" si="2"/>
        <v>0</v>
      </c>
    </row>
    <row r="55" spans="1:12">
      <c r="A55" t="s">
        <v>191</v>
      </c>
      <c r="B55" t="s">
        <v>192</v>
      </c>
      <c r="C55" t="s">
        <v>193</v>
      </c>
      <c r="D55" t="s">
        <v>15</v>
      </c>
      <c r="E55" t="s">
        <v>54</v>
      </c>
      <c r="F55" t="s">
        <v>41</v>
      </c>
      <c r="G55" t="s">
        <v>31</v>
      </c>
      <c r="H55">
        <f>Cleaned_Data!K55</f>
        <v>2.23</v>
      </c>
      <c r="I55" t="str">
        <f t="shared" si="0"/>
        <v>YES</v>
      </c>
      <c r="J55">
        <f>Cleaned_Data!J55</f>
        <v>8</v>
      </c>
      <c r="K55" t="str">
        <f t="shared" si="1"/>
        <v>2024-12</v>
      </c>
      <c r="L55">
        <f t="shared" si="2"/>
        <v>0</v>
      </c>
    </row>
    <row r="56" spans="1:12">
      <c r="A56" t="s">
        <v>194</v>
      </c>
      <c r="B56" t="s">
        <v>195</v>
      </c>
      <c r="C56" t="s">
        <v>196</v>
      </c>
      <c r="D56" t="s">
        <v>23</v>
      </c>
      <c r="E56" t="s">
        <v>28</v>
      </c>
      <c r="F56" t="s">
        <v>41</v>
      </c>
      <c r="G56" t="s">
        <v>19</v>
      </c>
      <c r="H56">
        <f>Cleaned_Data!K56</f>
        <v>20.78</v>
      </c>
      <c r="I56" t="str">
        <f t="shared" si="0"/>
        <v>YES</v>
      </c>
      <c r="J56">
        <f>Cleaned_Data!J56</f>
        <v>24</v>
      </c>
      <c r="K56" t="str">
        <f t="shared" si="1"/>
        <v>2024-08</v>
      </c>
      <c r="L56">
        <f t="shared" si="2"/>
        <v>0</v>
      </c>
    </row>
    <row r="57" spans="1:12">
      <c r="A57" t="s">
        <v>197</v>
      </c>
      <c r="B57" t="s">
        <v>198</v>
      </c>
      <c r="C57" t="s">
        <v>199</v>
      </c>
      <c r="D57" t="s">
        <v>23</v>
      </c>
      <c r="E57" t="s">
        <v>28</v>
      </c>
      <c r="F57" t="s">
        <v>60</v>
      </c>
      <c r="G57" t="s">
        <v>19</v>
      </c>
      <c r="H57">
        <f>Cleaned_Data!K57</f>
        <v>36.19</v>
      </c>
      <c r="I57" t="str">
        <f t="shared" si="0"/>
        <v>NO</v>
      </c>
      <c r="J57">
        <f>Cleaned_Data!J57</f>
        <v>24</v>
      </c>
      <c r="K57" t="str">
        <f t="shared" si="1"/>
        <v>2024-03</v>
      </c>
      <c r="L57">
        <f t="shared" si="2"/>
        <v>12.189999999999998</v>
      </c>
    </row>
    <row r="58" spans="1:12">
      <c r="A58" t="s">
        <v>200</v>
      </c>
      <c r="B58" t="s">
        <v>201</v>
      </c>
      <c r="C58" t="s">
        <v>202</v>
      </c>
      <c r="D58" t="s">
        <v>15</v>
      </c>
      <c r="E58" t="s">
        <v>24</v>
      </c>
      <c r="F58" t="s">
        <v>17</v>
      </c>
      <c r="G58" t="s">
        <v>31</v>
      </c>
      <c r="H58">
        <f>Cleaned_Data!K58</f>
        <v>3.9</v>
      </c>
      <c r="I58" t="str">
        <f t="shared" si="0"/>
        <v>YES</v>
      </c>
      <c r="J58">
        <f>Cleaned_Data!J58</f>
        <v>8</v>
      </c>
      <c r="K58" t="str">
        <f t="shared" si="1"/>
        <v>2024-11</v>
      </c>
      <c r="L58">
        <f t="shared" si="2"/>
        <v>0</v>
      </c>
    </row>
    <row r="59" spans="1:12">
      <c r="A59" t="s">
        <v>203</v>
      </c>
      <c r="B59" t="s">
        <v>204</v>
      </c>
      <c r="C59" t="s">
        <v>205</v>
      </c>
      <c r="D59" t="s">
        <v>15</v>
      </c>
      <c r="E59" t="s">
        <v>54</v>
      </c>
      <c r="F59" t="s">
        <v>41</v>
      </c>
      <c r="G59" t="s">
        <v>19</v>
      </c>
      <c r="H59">
        <f>Cleaned_Data!K59</f>
        <v>0.84</v>
      </c>
      <c r="I59" t="str">
        <f t="shared" si="0"/>
        <v>YES</v>
      </c>
      <c r="J59">
        <f>Cleaned_Data!J59</f>
        <v>8</v>
      </c>
      <c r="K59" t="str">
        <f t="shared" si="1"/>
        <v>2024-08</v>
      </c>
      <c r="L59">
        <f t="shared" si="2"/>
        <v>0</v>
      </c>
    </row>
    <row r="60" spans="1:12">
      <c r="A60" t="s">
        <v>206</v>
      </c>
      <c r="B60" t="s">
        <v>207</v>
      </c>
      <c r="C60" t="s">
        <v>208</v>
      </c>
      <c r="D60" t="s">
        <v>35</v>
      </c>
      <c r="E60" t="s">
        <v>16</v>
      </c>
      <c r="F60" t="s">
        <v>17</v>
      </c>
      <c r="G60" t="s">
        <v>31</v>
      </c>
      <c r="H60">
        <f>Cleaned_Data!K60</f>
        <v>23.75</v>
      </c>
      <c r="I60" t="str">
        <f t="shared" si="0"/>
        <v>YES</v>
      </c>
      <c r="J60">
        <f>Cleaned_Data!J60</f>
        <v>48</v>
      </c>
      <c r="K60" t="str">
        <f t="shared" si="1"/>
        <v>2024-10</v>
      </c>
      <c r="L60">
        <f t="shared" si="2"/>
        <v>0</v>
      </c>
    </row>
    <row r="61" spans="1:12">
      <c r="A61" t="s">
        <v>209</v>
      </c>
      <c r="B61" t="s">
        <v>210</v>
      </c>
      <c r="C61" t="s">
        <v>211</v>
      </c>
      <c r="D61" t="s">
        <v>35</v>
      </c>
      <c r="E61" t="s">
        <v>28</v>
      </c>
      <c r="F61" t="s">
        <v>41</v>
      </c>
      <c r="G61" t="s">
        <v>19</v>
      </c>
      <c r="H61">
        <f>Cleaned_Data!K61</f>
        <v>17.75</v>
      </c>
      <c r="I61" t="str">
        <f t="shared" si="0"/>
        <v>YES</v>
      </c>
      <c r="J61">
        <f>Cleaned_Data!J61</f>
        <v>48</v>
      </c>
      <c r="K61" t="str">
        <f t="shared" si="1"/>
        <v>2024-12</v>
      </c>
      <c r="L61">
        <f t="shared" si="2"/>
        <v>0</v>
      </c>
    </row>
    <row r="62" spans="1:12">
      <c r="A62" t="s">
        <v>212</v>
      </c>
      <c r="B62" t="s">
        <v>213</v>
      </c>
      <c r="C62" t="s">
        <v>214</v>
      </c>
      <c r="D62" t="s">
        <v>23</v>
      </c>
      <c r="E62" t="s">
        <v>16</v>
      </c>
      <c r="F62" t="s">
        <v>60</v>
      </c>
      <c r="G62" t="s">
        <v>31</v>
      </c>
      <c r="H62">
        <f>Cleaned_Data!K62</f>
        <v>20.7</v>
      </c>
      <c r="I62" t="str">
        <f t="shared" si="0"/>
        <v>YES</v>
      </c>
      <c r="J62">
        <f>Cleaned_Data!J62</f>
        <v>24</v>
      </c>
      <c r="K62" t="str">
        <f t="shared" si="1"/>
        <v>2024-06</v>
      </c>
      <c r="L62">
        <f t="shared" si="2"/>
        <v>0</v>
      </c>
    </row>
    <row r="63" spans="1:12">
      <c r="A63" t="s">
        <v>215</v>
      </c>
      <c r="B63" t="s">
        <v>216</v>
      </c>
      <c r="C63" t="s">
        <v>217</v>
      </c>
      <c r="D63" t="s">
        <v>23</v>
      </c>
      <c r="E63" t="s">
        <v>16</v>
      </c>
      <c r="F63" t="s">
        <v>29</v>
      </c>
      <c r="G63" t="s">
        <v>19</v>
      </c>
      <c r="H63">
        <f>Cleaned_Data!K63</f>
        <v>11.37</v>
      </c>
      <c r="I63" t="str">
        <f t="shared" si="0"/>
        <v>YES</v>
      </c>
      <c r="J63">
        <f>Cleaned_Data!J63</f>
        <v>24</v>
      </c>
      <c r="K63" t="str">
        <f t="shared" si="1"/>
        <v>2024-07</v>
      </c>
      <c r="L63">
        <f t="shared" si="2"/>
        <v>0</v>
      </c>
    </row>
    <row r="64" spans="1:12">
      <c r="A64" t="s">
        <v>218</v>
      </c>
      <c r="B64" t="s">
        <v>219</v>
      </c>
      <c r="C64" t="s">
        <v>220</v>
      </c>
      <c r="D64" t="s">
        <v>15</v>
      </c>
      <c r="E64" t="s">
        <v>28</v>
      </c>
      <c r="F64" t="s">
        <v>60</v>
      </c>
      <c r="G64" t="s">
        <v>19</v>
      </c>
      <c r="H64">
        <f>Cleaned_Data!K64</f>
        <v>5.52</v>
      </c>
      <c r="I64" t="str">
        <f t="shared" si="0"/>
        <v>YES</v>
      </c>
      <c r="J64">
        <f>Cleaned_Data!J64</f>
        <v>8</v>
      </c>
      <c r="K64" t="str">
        <f t="shared" si="1"/>
        <v>2024-04</v>
      </c>
      <c r="L64">
        <f t="shared" si="2"/>
        <v>0</v>
      </c>
    </row>
    <row r="65" spans="1:12">
      <c r="A65" t="s">
        <v>221</v>
      </c>
      <c r="B65" t="s">
        <v>222</v>
      </c>
      <c r="C65" t="s">
        <v>223</v>
      </c>
      <c r="D65" t="s">
        <v>23</v>
      </c>
      <c r="E65" t="s">
        <v>28</v>
      </c>
      <c r="F65" t="s">
        <v>41</v>
      </c>
      <c r="G65" t="s">
        <v>19</v>
      </c>
      <c r="H65">
        <f>Cleaned_Data!K65</f>
        <v>43.43</v>
      </c>
      <c r="I65" t="str">
        <f t="shared" si="0"/>
        <v>NO</v>
      </c>
      <c r="J65">
        <f>Cleaned_Data!J65</f>
        <v>24</v>
      </c>
      <c r="K65" t="str">
        <f t="shared" si="1"/>
        <v>2024-01</v>
      </c>
      <c r="L65">
        <f t="shared" si="2"/>
        <v>19.43</v>
      </c>
    </row>
    <row r="66" spans="1:12">
      <c r="A66" t="s">
        <v>224</v>
      </c>
      <c r="B66" t="s">
        <v>225</v>
      </c>
      <c r="C66" t="s">
        <v>226</v>
      </c>
      <c r="D66" t="s">
        <v>158</v>
      </c>
      <c r="E66" t="s">
        <v>16</v>
      </c>
      <c r="F66" t="s">
        <v>60</v>
      </c>
      <c r="G66" t="s">
        <v>19</v>
      </c>
      <c r="H66">
        <f>Cleaned_Data!K66</f>
        <v>6.53</v>
      </c>
      <c r="I66" t="str">
        <f t="shared" ref="I66:I129" si="3">IF(OR(G66="Resolved", G66="Closed"), IF(AND(H66&lt;&gt;"", H66&lt;=J66), "YES", "NO"), "")</f>
        <v>NO</v>
      </c>
      <c r="J66">
        <f>Cleaned_Data!J66</f>
        <v>4</v>
      </c>
      <c r="K66" t="str">
        <f t="shared" ref="K66:K129" si="4">LEFT(B66, 7)</f>
        <v>2024-09</v>
      </c>
      <c r="L66">
        <f t="shared" ref="L66:L129" si="5">IF(I66="NO", H66-J66, 0)</f>
        <v>2.5300000000000002</v>
      </c>
    </row>
    <row r="67" spans="1:12">
      <c r="A67" t="s">
        <v>227</v>
      </c>
      <c r="B67" t="s">
        <v>228</v>
      </c>
      <c r="C67" t="s">
        <v>229</v>
      </c>
      <c r="D67" t="s">
        <v>35</v>
      </c>
      <c r="E67" t="s">
        <v>24</v>
      </c>
      <c r="F67" t="s">
        <v>60</v>
      </c>
      <c r="G67" t="s">
        <v>31</v>
      </c>
      <c r="H67">
        <f>Cleaned_Data!K67</f>
        <v>15.94</v>
      </c>
      <c r="I67" t="str">
        <f t="shared" si="3"/>
        <v>YES</v>
      </c>
      <c r="J67">
        <f>Cleaned_Data!J67</f>
        <v>48</v>
      </c>
      <c r="K67" t="str">
        <f t="shared" si="4"/>
        <v>2024-12</v>
      </c>
      <c r="L67">
        <f t="shared" si="5"/>
        <v>0</v>
      </c>
    </row>
    <row r="68" spans="1:12">
      <c r="A68" t="s">
        <v>230</v>
      </c>
      <c r="B68" t="s">
        <v>231</v>
      </c>
      <c r="C68" t="s">
        <v>232</v>
      </c>
      <c r="D68" t="s">
        <v>15</v>
      </c>
      <c r="E68" t="s">
        <v>54</v>
      </c>
      <c r="F68" t="s">
        <v>41</v>
      </c>
      <c r="G68" t="s">
        <v>19</v>
      </c>
      <c r="H68">
        <f>Cleaned_Data!K68</f>
        <v>1.67</v>
      </c>
      <c r="I68" t="str">
        <f t="shared" si="3"/>
        <v>YES</v>
      </c>
      <c r="J68">
        <f>Cleaned_Data!J68</f>
        <v>8</v>
      </c>
      <c r="K68" t="str">
        <f t="shared" si="4"/>
        <v>2024-05</v>
      </c>
      <c r="L68">
        <f t="shared" si="5"/>
        <v>0</v>
      </c>
    </row>
    <row r="69" spans="1:12">
      <c r="A69" t="s">
        <v>233</v>
      </c>
      <c r="B69" t="s">
        <v>234</v>
      </c>
      <c r="C69" t="s">
        <v>235</v>
      </c>
      <c r="D69" t="s">
        <v>35</v>
      </c>
      <c r="E69" t="s">
        <v>54</v>
      </c>
      <c r="F69" t="s">
        <v>36</v>
      </c>
      <c r="G69" t="s">
        <v>31</v>
      </c>
      <c r="H69">
        <f>Cleaned_Data!K69</f>
        <v>23.64</v>
      </c>
      <c r="I69" t="str">
        <f t="shared" si="3"/>
        <v>YES</v>
      </c>
      <c r="J69">
        <f>Cleaned_Data!J69</f>
        <v>48</v>
      </c>
      <c r="K69" t="str">
        <f t="shared" si="4"/>
        <v>2024-01</v>
      </c>
      <c r="L69">
        <f t="shared" si="5"/>
        <v>0</v>
      </c>
    </row>
    <row r="70" spans="1:12">
      <c r="A70" t="s">
        <v>236</v>
      </c>
      <c r="B70" t="s">
        <v>237</v>
      </c>
      <c r="C70" t="s">
        <v>238</v>
      </c>
      <c r="D70" t="s">
        <v>15</v>
      </c>
      <c r="E70" t="s">
        <v>28</v>
      </c>
      <c r="F70" t="s">
        <v>29</v>
      </c>
      <c r="G70" t="s">
        <v>19</v>
      </c>
      <c r="H70">
        <f>Cleaned_Data!K70</f>
        <v>14.98</v>
      </c>
      <c r="I70" t="str">
        <f t="shared" si="3"/>
        <v>NO</v>
      </c>
      <c r="J70">
        <f>Cleaned_Data!J70</f>
        <v>8</v>
      </c>
      <c r="K70" t="str">
        <f t="shared" si="4"/>
        <v>2024-05</v>
      </c>
      <c r="L70">
        <f t="shared" si="5"/>
        <v>6.98</v>
      </c>
    </row>
    <row r="71" spans="1:12">
      <c r="A71" t="s">
        <v>239</v>
      </c>
      <c r="B71" t="s">
        <v>240</v>
      </c>
      <c r="C71" t="s">
        <v>241</v>
      </c>
      <c r="D71" t="s">
        <v>158</v>
      </c>
      <c r="E71" t="s">
        <v>28</v>
      </c>
      <c r="F71" t="s">
        <v>29</v>
      </c>
      <c r="G71" t="s">
        <v>31</v>
      </c>
      <c r="H71">
        <f>Cleaned_Data!K71</f>
        <v>2.62</v>
      </c>
      <c r="I71" t="str">
        <f t="shared" si="3"/>
        <v>YES</v>
      </c>
      <c r="J71">
        <f>Cleaned_Data!J71</f>
        <v>4</v>
      </c>
      <c r="K71" t="str">
        <f t="shared" si="4"/>
        <v>2024-07</v>
      </c>
      <c r="L71">
        <f t="shared" si="5"/>
        <v>0</v>
      </c>
    </row>
    <row r="72" spans="1:12">
      <c r="A72" t="s">
        <v>242</v>
      </c>
      <c r="B72" t="s">
        <v>243</v>
      </c>
      <c r="C72" t="s">
        <v>244</v>
      </c>
      <c r="D72" t="s">
        <v>15</v>
      </c>
      <c r="E72" t="s">
        <v>24</v>
      </c>
      <c r="F72" t="s">
        <v>17</v>
      </c>
      <c r="G72" t="s">
        <v>19</v>
      </c>
      <c r="H72">
        <f>Cleaned_Data!K72</f>
        <v>4.63</v>
      </c>
      <c r="I72" t="str">
        <f t="shared" si="3"/>
        <v>YES</v>
      </c>
      <c r="J72">
        <f>Cleaned_Data!J72</f>
        <v>8</v>
      </c>
      <c r="K72" t="str">
        <f t="shared" si="4"/>
        <v>2024-04</v>
      </c>
      <c r="L72">
        <f t="shared" si="5"/>
        <v>0</v>
      </c>
    </row>
    <row r="73" spans="1:12">
      <c r="A73" t="s">
        <v>245</v>
      </c>
      <c r="B73" t="s">
        <v>246</v>
      </c>
      <c r="D73" t="s">
        <v>15</v>
      </c>
      <c r="E73" t="s">
        <v>28</v>
      </c>
      <c r="F73" t="s">
        <v>60</v>
      </c>
      <c r="G73" t="s">
        <v>46</v>
      </c>
      <c r="H73">
        <f>Cleaned_Data!K73</f>
        <v>0</v>
      </c>
      <c r="I73" t="str">
        <f t="shared" si="3"/>
        <v/>
      </c>
      <c r="J73">
        <f>Cleaned_Data!J73</f>
        <v>8</v>
      </c>
      <c r="K73" t="str">
        <f t="shared" si="4"/>
        <v>2024-09</v>
      </c>
      <c r="L73">
        <f t="shared" si="5"/>
        <v>0</v>
      </c>
    </row>
    <row r="74" spans="1:12">
      <c r="A74" t="s">
        <v>247</v>
      </c>
      <c r="B74" t="s">
        <v>248</v>
      </c>
      <c r="C74" t="s">
        <v>249</v>
      </c>
      <c r="D74" t="s">
        <v>15</v>
      </c>
      <c r="E74" t="s">
        <v>16</v>
      </c>
      <c r="F74" t="s">
        <v>29</v>
      </c>
      <c r="G74" t="s">
        <v>31</v>
      </c>
      <c r="H74">
        <f>Cleaned_Data!K74</f>
        <v>17.38</v>
      </c>
      <c r="I74" t="str">
        <f t="shared" si="3"/>
        <v>NO</v>
      </c>
      <c r="J74">
        <f>Cleaned_Data!J74</f>
        <v>8</v>
      </c>
      <c r="K74" t="str">
        <f t="shared" si="4"/>
        <v>2024-10</v>
      </c>
      <c r="L74">
        <f t="shared" si="5"/>
        <v>9.379999999999999</v>
      </c>
    </row>
    <row r="75" spans="1:12">
      <c r="A75" t="s">
        <v>250</v>
      </c>
      <c r="B75" t="s">
        <v>251</v>
      </c>
      <c r="C75" t="s">
        <v>252</v>
      </c>
      <c r="D75" t="s">
        <v>23</v>
      </c>
      <c r="E75" t="s">
        <v>16</v>
      </c>
      <c r="F75" t="s">
        <v>36</v>
      </c>
      <c r="G75" t="s">
        <v>31</v>
      </c>
      <c r="H75">
        <f>Cleaned_Data!K75</f>
        <v>4.4800000000000004</v>
      </c>
      <c r="I75" t="str">
        <f t="shared" si="3"/>
        <v>YES</v>
      </c>
      <c r="J75">
        <f>Cleaned_Data!J75</f>
        <v>24</v>
      </c>
      <c r="K75" t="str">
        <f t="shared" si="4"/>
        <v>2024-05</v>
      </c>
      <c r="L75">
        <f t="shared" si="5"/>
        <v>0</v>
      </c>
    </row>
    <row r="76" spans="1:12">
      <c r="A76" t="s">
        <v>253</v>
      </c>
      <c r="B76" t="s">
        <v>254</v>
      </c>
      <c r="C76" t="s">
        <v>255</v>
      </c>
      <c r="D76" t="s">
        <v>23</v>
      </c>
      <c r="E76" t="s">
        <v>16</v>
      </c>
      <c r="F76" t="s">
        <v>60</v>
      </c>
      <c r="G76" t="s">
        <v>19</v>
      </c>
      <c r="H76">
        <f>Cleaned_Data!K76</f>
        <v>9.9600000000000009</v>
      </c>
      <c r="I76" t="str">
        <f t="shared" si="3"/>
        <v>YES</v>
      </c>
      <c r="J76">
        <f>Cleaned_Data!J76</f>
        <v>24</v>
      </c>
      <c r="K76" t="str">
        <f t="shared" si="4"/>
        <v>2024-11</v>
      </c>
      <c r="L76">
        <f t="shared" si="5"/>
        <v>0</v>
      </c>
    </row>
    <row r="77" spans="1:12">
      <c r="A77" t="s">
        <v>256</v>
      </c>
      <c r="B77" t="s">
        <v>257</v>
      </c>
      <c r="C77" t="s">
        <v>258</v>
      </c>
      <c r="D77" t="s">
        <v>158</v>
      </c>
      <c r="E77" t="s">
        <v>28</v>
      </c>
      <c r="F77" t="s">
        <v>41</v>
      </c>
      <c r="G77" t="s">
        <v>19</v>
      </c>
      <c r="H77">
        <f>Cleaned_Data!K77</f>
        <v>3.43</v>
      </c>
      <c r="I77" t="str">
        <f t="shared" si="3"/>
        <v>YES</v>
      </c>
      <c r="J77">
        <f>Cleaned_Data!J77</f>
        <v>4</v>
      </c>
      <c r="K77" t="str">
        <f t="shared" si="4"/>
        <v>2024-05</v>
      </c>
      <c r="L77">
        <f t="shared" si="5"/>
        <v>0</v>
      </c>
    </row>
    <row r="78" spans="1:12">
      <c r="A78" t="s">
        <v>259</v>
      </c>
      <c r="B78" t="s">
        <v>260</v>
      </c>
      <c r="C78" t="s">
        <v>261</v>
      </c>
      <c r="D78" t="s">
        <v>23</v>
      </c>
      <c r="E78" t="s">
        <v>16</v>
      </c>
      <c r="F78" t="s">
        <v>29</v>
      </c>
      <c r="G78" t="s">
        <v>31</v>
      </c>
      <c r="H78">
        <f>Cleaned_Data!K78</f>
        <v>12.26</v>
      </c>
      <c r="I78" t="str">
        <f t="shared" si="3"/>
        <v>YES</v>
      </c>
      <c r="J78">
        <f>Cleaned_Data!J78</f>
        <v>24</v>
      </c>
      <c r="K78" t="str">
        <f t="shared" si="4"/>
        <v>2024-02</v>
      </c>
      <c r="L78">
        <f t="shared" si="5"/>
        <v>0</v>
      </c>
    </row>
    <row r="79" spans="1:12">
      <c r="A79" t="s">
        <v>262</v>
      </c>
      <c r="B79" t="s">
        <v>263</v>
      </c>
      <c r="C79" t="s">
        <v>264</v>
      </c>
      <c r="D79" t="s">
        <v>23</v>
      </c>
      <c r="E79" t="s">
        <v>28</v>
      </c>
      <c r="F79" t="s">
        <v>17</v>
      </c>
      <c r="G79" t="s">
        <v>19</v>
      </c>
      <c r="H79">
        <f>Cleaned_Data!K79</f>
        <v>17.71</v>
      </c>
      <c r="I79" t="str">
        <f t="shared" si="3"/>
        <v>YES</v>
      </c>
      <c r="J79">
        <f>Cleaned_Data!J79</f>
        <v>24</v>
      </c>
      <c r="K79" t="str">
        <f t="shared" si="4"/>
        <v>2024-10</v>
      </c>
      <c r="L79">
        <f t="shared" si="5"/>
        <v>0</v>
      </c>
    </row>
    <row r="80" spans="1:12">
      <c r="A80" t="s">
        <v>265</v>
      </c>
      <c r="B80" t="s">
        <v>266</v>
      </c>
      <c r="C80" t="s">
        <v>267</v>
      </c>
      <c r="D80" t="s">
        <v>23</v>
      </c>
      <c r="E80" t="s">
        <v>24</v>
      </c>
      <c r="F80" t="s">
        <v>29</v>
      </c>
      <c r="G80" t="s">
        <v>19</v>
      </c>
      <c r="H80">
        <f>Cleaned_Data!K80</f>
        <v>7.67</v>
      </c>
      <c r="I80" t="str">
        <f t="shared" si="3"/>
        <v>YES</v>
      </c>
      <c r="J80">
        <f>Cleaned_Data!J80</f>
        <v>24</v>
      </c>
      <c r="K80" t="str">
        <f t="shared" si="4"/>
        <v>2024-09</v>
      </c>
      <c r="L80">
        <f t="shared" si="5"/>
        <v>0</v>
      </c>
    </row>
    <row r="81" spans="1:12">
      <c r="A81" t="s">
        <v>268</v>
      </c>
      <c r="B81" t="s">
        <v>269</v>
      </c>
      <c r="D81" t="s">
        <v>23</v>
      </c>
      <c r="E81" t="s">
        <v>16</v>
      </c>
      <c r="F81" t="s">
        <v>36</v>
      </c>
      <c r="G81" t="s">
        <v>63</v>
      </c>
      <c r="H81">
        <f>Cleaned_Data!K81</f>
        <v>0</v>
      </c>
      <c r="I81" t="str">
        <f t="shared" si="3"/>
        <v/>
      </c>
      <c r="J81">
        <f>Cleaned_Data!J81</f>
        <v>24</v>
      </c>
      <c r="K81" t="str">
        <f t="shared" si="4"/>
        <v>2024-08</v>
      </c>
      <c r="L81">
        <f t="shared" si="5"/>
        <v>0</v>
      </c>
    </row>
    <row r="82" spans="1:12">
      <c r="A82" t="s">
        <v>270</v>
      </c>
      <c r="B82" t="s">
        <v>271</v>
      </c>
      <c r="C82" t="s">
        <v>272</v>
      </c>
      <c r="D82" t="s">
        <v>15</v>
      </c>
      <c r="E82" t="s">
        <v>28</v>
      </c>
      <c r="F82" t="s">
        <v>60</v>
      </c>
      <c r="G82" t="s">
        <v>31</v>
      </c>
      <c r="H82">
        <f>Cleaned_Data!K82</f>
        <v>4.1399999999999997</v>
      </c>
      <c r="I82" t="str">
        <f t="shared" si="3"/>
        <v>YES</v>
      </c>
      <c r="J82">
        <f>Cleaned_Data!J82</f>
        <v>8</v>
      </c>
      <c r="K82" t="str">
        <f t="shared" si="4"/>
        <v>2024-02</v>
      </c>
      <c r="L82">
        <f t="shared" si="5"/>
        <v>0</v>
      </c>
    </row>
    <row r="83" spans="1:12">
      <c r="A83" t="s">
        <v>273</v>
      </c>
      <c r="B83" t="s">
        <v>274</v>
      </c>
      <c r="C83" t="s">
        <v>275</v>
      </c>
      <c r="D83" t="s">
        <v>15</v>
      </c>
      <c r="E83" t="s">
        <v>28</v>
      </c>
      <c r="F83" t="s">
        <v>17</v>
      </c>
      <c r="G83" t="s">
        <v>31</v>
      </c>
      <c r="H83">
        <f>Cleaned_Data!K83</f>
        <v>4.5599999999999996</v>
      </c>
      <c r="I83" t="str">
        <f t="shared" si="3"/>
        <v>YES</v>
      </c>
      <c r="J83">
        <f>Cleaned_Data!J83</f>
        <v>8</v>
      </c>
      <c r="K83" t="str">
        <f t="shared" si="4"/>
        <v>2024-02</v>
      </c>
      <c r="L83">
        <f t="shared" si="5"/>
        <v>0</v>
      </c>
    </row>
    <row r="84" spans="1:12">
      <c r="A84" t="s">
        <v>276</v>
      </c>
      <c r="B84" t="s">
        <v>277</v>
      </c>
      <c r="C84" t="s">
        <v>278</v>
      </c>
      <c r="D84" t="s">
        <v>23</v>
      </c>
      <c r="E84" t="s">
        <v>28</v>
      </c>
      <c r="F84" t="s">
        <v>41</v>
      </c>
      <c r="G84" t="s">
        <v>19</v>
      </c>
      <c r="H84">
        <f>Cleaned_Data!K84</f>
        <v>17.11</v>
      </c>
      <c r="I84" t="str">
        <f t="shared" si="3"/>
        <v>YES</v>
      </c>
      <c r="J84">
        <f>Cleaned_Data!J84</f>
        <v>24</v>
      </c>
      <c r="K84" t="str">
        <f t="shared" si="4"/>
        <v>2024-10</v>
      </c>
      <c r="L84">
        <f t="shared" si="5"/>
        <v>0</v>
      </c>
    </row>
    <row r="85" spans="1:12">
      <c r="A85" t="s">
        <v>279</v>
      </c>
      <c r="B85" t="s">
        <v>280</v>
      </c>
      <c r="C85" t="s">
        <v>281</v>
      </c>
      <c r="D85" t="s">
        <v>23</v>
      </c>
      <c r="E85" t="s">
        <v>16</v>
      </c>
      <c r="F85" t="s">
        <v>17</v>
      </c>
      <c r="G85" t="s">
        <v>19</v>
      </c>
      <c r="H85">
        <f>Cleaned_Data!K85</f>
        <v>17.18</v>
      </c>
      <c r="I85" t="str">
        <f t="shared" si="3"/>
        <v>YES</v>
      </c>
      <c r="J85">
        <f>Cleaned_Data!J85</f>
        <v>24</v>
      </c>
      <c r="K85" t="str">
        <f t="shared" si="4"/>
        <v>2024-10</v>
      </c>
      <c r="L85">
        <f t="shared" si="5"/>
        <v>0</v>
      </c>
    </row>
    <row r="86" spans="1:12">
      <c r="A86" t="s">
        <v>282</v>
      </c>
      <c r="B86" t="s">
        <v>283</v>
      </c>
      <c r="C86" t="s">
        <v>284</v>
      </c>
      <c r="D86" t="s">
        <v>23</v>
      </c>
      <c r="E86" t="s">
        <v>16</v>
      </c>
      <c r="F86" t="s">
        <v>17</v>
      </c>
      <c r="G86" t="s">
        <v>19</v>
      </c>
      <c r="H86">
        <f>Cleaned_Data!K86</f>
        <v>2.69</v>
      </c>
      <c r="I86" t="str">
        <f t="shared" si="3"/>
        <v>YES</v>
      </c>
      <c r="J86">
        <f>Cleaned_Data!J86</f>
        <v>24</v>
      </c>
      <c r="K86" t="str">
        <f t="shared" si="4"/>
        <v>2024-07</v>
      </c>
      <c r="L86">
        <f t="shared" si="5"/>
        <v>0</v>
      </c>
    </row>
    <row r="87" spans="1:12">
      <c r="A87" t="s">
        <v>285</v>
      </c>
      <c r="B87" t="s">
        <v>286</v>
      </c>
      <c r="D87" t="s">
        <v>158</v>
      </c>
      <c r="E87" t="s">
        <v>24</v>
      </c>
      <c r="F87" t="s">
        <v>29</v>
      </c>
      <c r="G87" t="s">
        <v>63</v>
      </c>
      <c r="H87">
        <f>Cleaned_Data!K87</f>
        <v>0</v>
      </c>
      <c r="I87" t="str">
        <f t="shared" si="3"/>
        <v/>
      </c>
      <c r="J87">
        <f>Cleaned_Data!J87</f>
        <v>4</v>
      </c>
      <c r="K87" t="str">
        <f t="shared" si="4"/>
        <v>2024-04</v>
      </c>
      <c r="L87">
        <f t="shared" si="5"/>
        <v>0</v>
      </c>
    </row>
    <row r="88" spans="1:12">
      <c r="A88" t="s">
        <v>287</v>
      </c>
      <c r="B88" t="s">
        <v>288</v>
      </c>
      <c r="C88" t="s">
        <v>289</v>
      </c>
      <c r="D88" t="s">
        <v>35</v>
      </c>
      <c r="E88" t="s">
        <v>28</v>
      </c>
      <c r="F88" t="s">
        <v>36</v>
      </c>
      <c r="G88" t="s">
        <v>19</v>
      </c>
      <c r="H88">
        <f>Cleaned_Data!K88</f>
        <v>18.7</v>
      </c>
      <c r="I88" t="str">
        <f t="shared" si="3"/>
        <v>YES</v>
      </c>
      <c r="J88">
        <f>Cleaned_Data!J88</f>
        <v>48</v>
      </c>
      <c r="K88" t="str">
        <f t="shared" si="4"/>
        <v>2024-09</v>
      </c>
      <c r="L88">
        <f t="shared" si="5"/>
        <v>0</v>
      </c>
    </row>
    <row r="89" spans="1:12">
      <c r="A89" t="s">
        <v>290</v>
      </c>
      <c r="B89" t="s">
        <v>291</v>
      </c>
      <c r="C89" t="s">
        <v>292</v>
      </c>
      <c r="D89" t="s">
        <v>35</v>
      </c>
      <c r="E89" t="s">
        <v>28</v>
      </c>
      <c r="F89" t="s">
        <v>36</v>
      </c>
      <c r="G89" t="s">
        <v>19</v>
      </c>
      <c r="H89">
        <f>Cleaned_Data!K89</f>
        <v>32.81</v>
      </c>
      <c r="I89" t="str">
        <f t="shared" si="3"/>
        <v>YES</v>
      </c>
      <c r="J89">
        <f>Cleaned_Data!J89</f>
        <v>48</v>
      </c>
      <c r="K89" t="str">
        <f t="shared" si="4"/>
        <v>2024-04</v>
      </c>
      <c r="L89">
        <f t="shared" si="5"/>
        <v>0</v>
      </c>
    </row>
    <row r="90" spans="1:12">
      <c r="A90" t="s">
        <v>293</v>
      </c>
      <c r="B90" t="s">
        <v>294</v>
      </c>
      <c r="C90" t="s">
        <v>295</v>
      </c>
      <c r="D90" t="s">
        <v>23</v>
      </c>
      <c r="E90" t="s">
        <v>28</v>
      </c>
      <c r="F90" t="s">
        <v>17</v>
      </c>
      <c r="G90" t="s">
        <v>31</v>
      </c>
      <c r="H90">
        <f>Cleaned_Data!K90</f>
        <v>14.56</v>
      </c>
      <c r="I90" t="str">
        <f t="shared" si="3"/>
        <v>YES</v>
      </c>
      <c r="J90">
        <f>Cleaned_Data!J90</f>
        <v>24</v>
      </c>
      <c r="K90" t="str">
        <f t="shared" si="4"/>
        <v>2024-11</v>
      </c>
      <c r="L90">
        <f t="shared" si="5"/>
        <v>0</v>
      </c>
    </row>
    <row r="91" spans="1:12">
      <c r="A91" t="s">
        <v>296</v>
      </c>
      <c r="B91" t="s">
        <v>297</v>
      </c>
      <c r="C91" t="s">
        <v>298</v>
      </c>
      <c r="D91" t="s">
        <v>23</v>
      </c>
      <c r="E91" t="s">
        <v>28</v>
      </c>
      <c r="F91" t="s">
        <v>41</v>
      </c>
      <c r="G91" t="s">
        <v>31</v>
      </c>
      <c r="H91">
        <f>Cleaned_Data!K91</f>
        <v>39.49</v>
      </c>
      <c r="I91" t="str">
        <f t="shared" si="3"/>
        <v>NO</v>
      </c>
      <c r="J91">
        <f>Cleaned_Data!J91</f>
        <v>24</v>
      </c>
      <c r="K91" t="str">
        <f t="shared" si="4"/>
        <v>2024-10</v>
      </c>
      <c r="L91">
        <f t="shared" si="5"/>
        <v>15.490000000000002</v>
      </c>
    </row>
    <row r="92" spans="1:12">
      <c r="A92" t="s">
        <v>299</v>
      </c>
      <c r="B92" t="s">
        <v>300</v>
      </c>
      <c r="C92" t="s">
        <v>301</v>
      </c>
      <c r="D92" t="s">
        <v>35</v>
      </c>
      <c r="E92" t="s">
        <v>54</v>
      </c>
      <c r="F92" t="s">
        <v>17</v>
      </c>
      <c r="G92" t="s">
        <v>19</v>
      </c>
      <c r="H92">
        <f>Cleaned_Data!K92</f>
        <v>11.21</v>
      </c>
      <c r="I92" t="str">
        <f t="shared" si="3"/>
        <v>YES</v>
      </c>
      <c r="J92">
        <f>Cleaned_Data!J92</f>
        <v>48</v>
      </c>
      <c r="K92" t="str">
        <f t="shared" si="4"/>
        <v>2024-08</v>
      </c>
      <c r="L92">
        <f t="shared" si="5"/>
        <v>0</v>
      </c>
    </row>
    <row r="93" spans="1:12">
      <c r="A93" t="s">
        <v>302</v>
      </c>
      <c r="B93" t="s">
        <v>303</v>
      </c>
      <c r="C93" t="s">
        <v>304</v>
      </c>
      <c r="D93" t="s">
        <v>15</v>
      </c>
      <c r="E93" t="s">
        <v>28</v>
      </c>
      <c r="F93" t="s">
        <v>60</v>
      </c>
      <c r="G93" t="s">
        <v>19</v>
      </c>
      <c r="H93">
        <f>Cleaned_Data!K93</f>
        <v>5.61</v>
      </c>
      <c r="I93" t="str">
        <f t="shared" si="3"/>
        <v>YES</v>
      </c>
      <c r="J93">
        <f>Cleaned_Data!J93</f>
        <v>8</v>
      </c>
      <c r="K93" t="str">
        <f t="shared" si="4"/>
        <v>2024-01</v>
      </c>
      <c r="L93">
        <f t="shared" si="5"/>
        <v>0</v>
      </c>
    </row>
    <row r="94" spans="1:12">
      <c r="A94" t="s">
        <v>305</v>
      </c>
      <c r="B94" t="s">
        <v>306</v>
      </c>
      <c r="C94" t="s">
        <v>307</v>
      </c>
      <c r="D94" t="s">
        <v>158</v>
      </c>
      <c r="E94" t="s">
        <v>28</v>
      </c>
      <c r="F94" t="s">
        <v>29</v>
      </c>
      <c r="G94" t="s">
        <v>31</v>
      </c>
      <c r="H94">
        <f>Cleaned_Data!K94</f>
        <v>1.07</v>
      </c>
      <c r="I94" t="str">
        <f t="shared" si="3"/>
        <v>YES</v>
      </c>
      <c r="J94">
        <f>Cleaned_Data!J94</f>
        <v>4</v>
      </c>
      <c r="K94" t="str">
        <f t="shared" si="4"/>
        <v>2024-06</v>
      </c>
      <c r="L94">
        <f t="shared" si="5"/>
        <v>0</v>
      </c>
    </row>
    <row r="95" spans="1:12">
      <c r="A95" t="s">
        <v>308</v>
      </c>
      <c r="B95" t="s">
        <v>309</v>
      </c>
      <c r="C95" t="s">
        <v>310</v>
      </c>
      <c r="D95" t="s">
        <v>23</v>
      </c>
      <c r="E95" t="s">
        <v>59</v>
      </c>
      <c r="F95" t="s">
        <v>17</v>
      </c>
      <c r="G95" t="s">
        <v>19</v>
      </c>
      <c r="H95">
        <f>Cleaned_Data!K95</f>
        <v>14.54</v>
      </c>
      <c r="I95" t="str">
        <f t="shared" si="3"/>
        <v>YES</v>
      </c>
      <c r="J95">
        <f>Cleaned_Data!J95</f>
        <v>24</v>
      </c>
      <c r="K95" t="str">
        <f t="shared" si="4"/>
        <v>2024-03</v>
      </c>
      <c r="L95">
        <f t="shared" si="5"/>
        <v>0</v>
      </c>
    </row>
    <row r="96" spans="1:12">
      <c r="A96" t="s">
        <v>311</v>
      </c>
      <c r="B96" t="s">
        <v>312</v>
      </c>
      <c r="C96" t="s">
        <v>313</v>
      </c>
      <c r="D96" t="s">
        <v>15</v>
      </c>
      <c r="E96" t="s">
        <v>24</v>
      </c>
      <c r="F96" t="s">
        <v>29</v>
      </c>
      <c r="G96" t="s">
        <v>19</v>
      </c>
      <c r="H96">
        <f>Cleaned_Data!K96</f>
        <v>4.47</v>
      </c>
      <c r="I96" t="str">
        <f t="shared" si="3"/>
        <v>YES</v>
      </c>
      <c r="J96">
        <f>Cleaned_Data!J96</f>
        <v>8</v>
      </c>
      <c r="K96" t="str">
        <f t="shared" si="4"/>
        <v>2024-12</v>
      </c>
      <c r="L96">
        <f t="shared" si="5"/>
        <v>0</v>
      </c>
    </row>
    <row r="97" spans="1:12">
      <c r="A97" t="s">
        <v>314</v>
      </c>
      <c r="B97" t="s">
        <v>315</v>
      </c>
      <c r="C97" t="s">
        <v>316</v>
      </c>
      <c r="D97" t="s">
        <v>158</v>
      </c>
      <c r="E97" t="s">
        <v>28</v>
      </c>
      <c r="F97" t="s">
        <v>29</v>
      </c>
      <c r="G97" t="s">
        <v>19</v>
      </c>
      <c r="H97">
        <f>Cleaned_Data!K97</f>
        <v>3.67</v>
      </c>
      <c r="I97" t="str">
        <f t="shared" si="3"/>
        <v>YES</v>
      </c>
      <c r="J97">
        <f>Cleaned_Data!J97</f>
        <v>4</v>
      </c>
      <c r="K97" t="str">
        <f t="shared" si="4"/>
        <v>2024-08</v>
      </c>
      <c r="L97">
        <f t="shared" si="5"/>
        <v>0</v>
      </c>
    </row>
    <row r="98" spans="1:12">
      <c r="A98" t="s">
        <v>317</v>
      </c>
      <c r="B98" t="s">
        <v>318</v>
      </c>
      <c r="C98" t="s">
        <v>319</v>
      </c>
      <c r="D98" t="s">
        <v>23</v>
      </c>
      <c r="E98" t="s">
        <v>24</v>
      </c>
      <c r="F98" t="s">
        <v>29</v>
      </c>
      <c r="G98" t="s">
        <v>19</v>
      </c>
      <c r="H98">
        <f>Cleaned_Data!K98</f>
        <v>12</v>
      </c>
      <c r="I98" t="str">
        <f t="shared" si="3"/>
        <v>YES</v>
      </c>
      <c r="J98">
        <f>Cleaned_Data!J98</f>
        <v>24</v>
      </c>
      <c r="K98" t="str">
        <f t="shared" si="4"/>
        <v>2024-08</v>
      </c>
      <c r="L98">
        <f t="shared" si="5"/>
        <v>0</v>
      </c>
    </row>
    <row r="99" spans="1:12">
      <c r="A99" t="s">
        <v>320</v>
      </c>
      <c r="B99" t="s">
        <v>321</v>
      </c>
      <c r="C99" t="s">
        <v>322</v>
      </c>
      <c r="D99" t="s">
        <v>15</v>
      </c>
      <c r="E99" t="s">
        <v>59</v>
      </c>
      <c r="F99" t="s">
        <v>41</v>
      </c>
      <c r="G99" t="s">
        <v>31</v>
      </c>
      <c r="H99">
        <f>Cleaned_Data!K99</f>
        <v>15.73</v>
      </c>
      <c r="I99" t="str">
        <f t="shared" si="3"/>
        <v>NO</v>
      </c>
      <c r="J99">
        <f>Cleaned_Data!J99</f>
        <v>8</v>
      </c>
      <c r="K99" t="str">
        <f t="shared" si="4"/>
        <v>2024-12</v>
      </c>
      <c r="L99">
        <f t="shared" si="5"/>
        <v>7.73</v>
      </c>
    </row>
    <row r="100" spans="1:12">
      <c r="A100" t="s">
        <v>323</v>
      </c>
      <c r="B100" t="s">
        <v>324</v>
      </c>
      <c r="C100" t="s">
        <v>325</v>
      </c>
      <c r="D100" t="s">
        <v>23</v>
      </c>
      <c r="E100" t="s">
        <v>16</v>
      </c>
      <c r="F100" t="s">
        <v>29</v>
      </c>
      <c r="G100" t="s">
        <v>31</v>
      </c>
      <c r="H100">
        <f>Cleaned_Data!K100</f>
        <v>21.68</v>
      </c>
      <c r="I100" t="str">
        <f t="shared" si="3"/>
        <v>YES</v>
      </c>
      <c r="J100">
        <f>Cleaned_Data!J100</f>
        <v>24</v>
      </c>
      <c r="K100" t="str">
        <f t="shared" si="4"/>
        <v>2024-05</v>
      </c>
      <c r="L100">
        <f t="shared" si="5"/>
        <v>0</v>
      </c>
    </row>
    <row r="101" spans="1:12">
      <c r="A101" t="s">
        <v>326</v>
      </c>
      <c r="B101" t="s">
        <v>327</v>
      </c>
      <c r="C101" t="s">
        <v>328</v>
      </c>
      <c r="D101" t="s">
        <v>158</v>
      </c>
      <c r="E101" t="s">
        <v>24</v>
      </c>
      <c r="F101" t="s">
        <v>29</v>
      </c>
      <c r="G101" t="s">
        <v>19</v>
      </c>
      <c r="H101">
        <f>Cleaned_Data!K101</f>
        <v>3.34</v>
      </c>
      <c r="I101" t="str">
        <f t="shared" si="3"/>
        <v>YES</v>
      </c>
      <c r="J101">
        <f>Cleaned_Data!J101</f>
        <v>4</v>
      </c>
      <c r="K101" t="str">
        <f t="shared" si="4"/>
        <v>2024-08</v>
      </c>
      <c r="L101">
        <f t="shared" si="5"/>
        <v>0</v>
      </c>
    </row>
    <row r="102" spans="1:12">
      <c r="A102" t="s">
        <v>329</v>
      </c>
      <c r="B102" t="s">
        <v>330</v>
      </c>
      <c r="C102" t="s">
        <v>331</v>
      </c>
      <c r="D102" t="s">
        <v>23</v>
      </c>
      <c r="E102" t="s">
        <v>54</v>
      </c>
      <c r="F102" t="s">
        <v>41</v>
      </c>
      <c r="G102" t="s">
        <v>19</v>
      </c>
      <c r="H102">
        <f>Cleaned_Data!K102</f>
        <v>17.829999999999998</v>
      </c>
      <c r="I102" t="str">
        <f t="shared" si="3"/>
        <v>YES</v>
      </c>
      <c r="J102">
        <f>Cleaned_Data!J102</f>
        <v>24</v>
      </c>
      <c r="K102" t="str">
        <f t="shared" si="4"/>
        <v>2024-01</v>
      </c>
      <c r="L102">
        <f t="shared" si="5"/>
        <v>0</v>
      </c>
    </row>
    <row r="103" spans="1:12">
      <c r="A103" t="s">
        <v>332</v>
      </c>
      <c r="B103" t="s">
        <v>333</v>
      </c>
      <c r="C103" t="s">
        <v>334</v>
      </c>
      <c r="D103" t="s">
        <v>158</v>
      </c>
      <c r="E103" t="s">
        <v>28</v>
      </c>
      <c r="F103" t="s">
        <v>17</v>
      </c>
      <c r="G103" t="s">
        <v>19</v>
      </c>
      <c r="H103">
        <f>Cleaned_Data!K103</f>
        <v>0.81</v>
      </c>
      <c r="I103" t="str">
        <f t="shared" si="3"/>
        <v>YES</v>
      </c>
      <c r="J103">
        <f>Cleaned_Data!J103</f>
        <v>4</v>
      </c>
      <c r="K103" t="str">
        <f t="shared" si="4"/>
        <v>2024-10</v>
      </c>
      <c r="L103">
        <f t="shared" si="5"/>
        <v>0</v>
      </c>
    </row>
    <row r="104" spans="1:12">
      <c r="A104" t="s">
        <v>335</v>
      </c>
      <c r="B104" t="s">
        <v>336</v>
      </c>
      <c r="C104" t="s">
        <v>337</v>
      </c>
      <c r="D104" t="s">
        <v>23</v>
      </c>
      <c r="E104" t="s">
        <v>16</v>
      </c>
      <c r="F104" t="s">
        <v>29</v>
      </c>
      <c r="G104" t="s">
        <v>19</v>
      </c>
      <c r="H104">
        <f>Cleaned_Data!K104</f>
        <v>6.98</v>
      </c>
      <c r="I104" t="str">
        <f t="shared" si="3"/>
        <v>YES</v>
      </c>
      <c r="J104">
        <f>Cleaned_Data!J104</f>
        <v>24</v>
      </c>
      <c r="K104" t="str">
        <f t="shared" si="4"/>
        <v>2024-08</v>
      </c>
      <c r="L104">
        <f t="shared" si="5"/>
        <v>0</v>
      </c>
    </row>
    <row r="105" spans="1:12">
      <c r="A105" t="s">
        <v>338</v>
      </c>
      <c r="B105" t="s">
        <v>339</v>
      </c>
      <c r="D105" t="s">
        <v>23</v>
      </c>
      <c r="E105" t="s">
        <v>24</v>
      </c>
      <c r="F105" t="s">
        <v>17</v>
      </c>
      <c r="G105" t="s">
        <v>63</v>
      </c>
      <c r="H105">
        <f>Cleaned_Data!K105</f>
        <v>0</v>
      </c>
      <c r="I105" t="str">
        <f t="shared" si="3"/>
        <v/>
      </c>
      <c r="J105">
        <f>Cleaned_Data!J105</f>
        <v>24</v>
      </c>
      <c r="K105" t="str">
        <f t="shared" si="4"/>
        <v>2024-02</v>
      </c>
      <c r="L105">
        <f t="shared" si="5"/>
        <v>0</v>
      </c>
    </row>
    <row r="106" spans="1:12">
      <c r="A106" t="s">
        <v>340</v>
      </c>
      <c r="B106" t="s">
        <v>341</v>
      </c>
      <c r="C106" t="s">
        <v>342</v>
      </c>
      <c r="D106" t="s">
        <v>23</v>
      </c>
      <c r="E106" t="s">
        <v>28</v>
      </c>
      <c r="F106" t="s">
        <v>41</v>
      </c>
      <c r="G106" t="s">
        <v>19</v>
      </c>
      <c r="H106">
        <f>Cleaned_Data!K106</f>
        <v>10.220000000000001</v>
      </c>
      <c r="I106" t="str">
        <f t="shared" si="3"/>
        <v>YES</v>
      </c>
      <c r="J106">
        <f>Cleaned_Data!J106</f>
        <v>24</v>
      </c>
      <c r="K106" t="str">
        <f t="shared" si="4"/>
        <v>2024-04</v>
      </c>
      <c r="L106">
        <f t="shared" si="5"/>
        <v>0</v>
      </c>
    </row>
    <row r="107" spans="1:12">
      <c r="A107" t="s">
        <v>343</v>
      </c>
      <c r="B107" t="s">
        <v>344</v>
      </c>
      <c r="C107" t="s">
        <v>345</v>
      </c>
      <c r="D107" t="s">
        <v>23</v>
      </c>
      <c r="E107" t="s">
        <v>24</v>
      </c>
      <c r="F107" t="s">
        <v>36</v>
      </c>
      <c r="G107" t="s">
        <v>31</v>
      </c>
      <c r="H107">
        <f>Cleaned_Data!K107</f>
        <v>41.11</v>
      </c>
      <c r="I107" t="str">
        <f t="shared" si="3"/>
        <v>NO</v>
      </c>
      <c r="J107">
        <f>Cleaned_Data!J107</f>
        <v>24</v>
      </c>
      <c r="K107" t="str">
        <f t="shared" si="4"/>
        <v>2024-07</v>
      </c>
      <c r="L107">
        <f t="shared" si="5"/>
        <v>17.11</v>
      </c>
    </row>
    <row r="108" spans="1:12">
      <c r="A108" t="s">
        <v>346</v>
      </c>
      <c r="B108" t="s">
        <v>347</v>
      </c>
      <c r="C108" t="s">
        <v>348</v>
      </c>
      <c r="D108" t="s">
        <v>35</v>
      </c>
      <c r="E108" t="s">
        <v>16</v>
      </c>
      <c r="F108" t="s">
        <v>29</v>
      </c>
      <c r="G108" t="s">
        <v>31</v>
      </c>
      <c r="H108">
        <f>Cleaned_Data!K108</f>
        <v>36</v>
      </c>
      <c r="I108" t="str">
        <f t="shared" si="3"/>
        <v>YES</v>
      </c>
      <c r="J108">
        <f>Cleaned_Data!J108</f>
        <v>48</v>
      </c>
      <c r="K108" t="str">
        <f t="shared" si="4"/>
        <v>2024-04</v>
      </c>
      <c r="L108">
        <f t="shared" si="5"/>
        <v>0</v>
      </c>
    </row>
    <row r="109" spans="1:12">
      <c r="A109" t="s">
        <v>349</v>
      </c>
      <c r="B109" t="s">
        <v>350</v>
      </c>
      <c r="C109" t="s">
        <v>351</v>
      </c>
      <c r="D109" t="s">
        <v>15</v>
      </c>
      <c r="E109" t="s">
        <v>54</v>
      </c>
      <c r="F109" t="s">
        <v>60</v>
      </c>
      <c r="G109" t="s">
        <v>19</v>
      </c>
      <c r="H109">
        <f>Cleaned_Data!K109</f>
        <v>2.08</v>
      </c>
      <c r="I109" t="str">
        <f t="shared" si="3"/>
        <v>YES</v>
      </c>
      <c r="J109">
        <f>Cleaned_Data!J109</f>
        <v>8</v>
      </c>
      <c r="K109" t="str">
        <f t="shared" si="4"/>
        <v>2024-07</v>
      </c>
      <c r="L109">
        <f t="shared" si="5"/>
        <v>0</v>
      </c>
    </row>
    <row r="110" spans="1:12">
      <c r="A110" t="s">
        <v>352</v>
      </c>
      <c r="B110" t="s">
        <v>353</v>
      </c>
      <c r="C110" t="s">
        <v>354</v>
      </c>
      <c r="D110" t="s">
        <v>23</v>
      </c>
      <c r="E110" t="s">
        <v>16</v>
      </c>
      <c r="F110" t="s">
        <v>41</v>
      </c>
      <c r="G110" t="s">
        <v>19</v>
      </c>
      <c r="H110">
        <f>Cleaned_Data!K110</f>
        <v>21.03</v>
      </c>
      <c r="I110" t="str">
        <f t="shared" si="3"/>
        <v>YES</v>
      </c>
      <c r="J110">
        <f>Cleaned_Data!J110</f>
        <v>24</v>
      </c>
      <c r="K110" t="str">
        <f t="shared" si="4"/>
        <v>2024-08</v>
      </c>
      <c r="L110">
        <f t="shared" si="5"/>
        <v>0</v>
      </c>
    </row>
    <row r="111" spans="1:12">
      <c r="A111" t="s">
        <v>355</v>
      </c>
      <c r="B111" t="s">
        <v>356</v>
      </c>
      <c r="D111" t="s">
        <v>23</v>
      </c>
      <c r="E111" t="s">
        <v>54</v>
      </c>
      <c r="F111" t="s">
        <v>17</v>
      </c>
      <c r="G111" t="s">
        <v>46</v>
      </c>
      <c r="H111">
        <f>Cleaned_Data!K111</f>
        <v>0</v>
      </c>
      <c r="I111" t="str">
        <f t="shared" si="3"/>
        <v/>
      </c>
      <c r="J111">
        <f>Cleaned_Data!J111</f>
        <v>24</v>
      </c>
      <c r="K111" t="str">
        <f t="shared" si="4"/>
        <v>2024-09</v>
      </c>
      <c r="L111">
        <f t="shared" si="5"/>
        <v>0</v>
      </c>
    </row>
    <row r="112" spans="1:12">
      <c r="A112" t="s">
        <v>357</v>
      </c>
      <c r="B112" t="s">
        <v>358</v>
      </c>
      <c r="C112" t="s">
        <v>359</v>
      </c>
      <c r="D112" t="s">
        <v>23</v>
      </c>
      <c r="E112" t="s">
        <v>54</v>
      </c>
      <c r="F112" t="s">
        <v>36</v>
      </c>
      <c r="G112" t="s">
        <v>19</v>
      </c>
      <c r="H112">
        <f>Cleaned_Data!K112</f>
        <v>25.92</v>
      </c>
      <c r="I112" t="str">
        <f t="shared" si="3"/>
        <v>NO</v>
      </c>
      <c r="J112">
        <f>Cleaned_Data!J112</f>
        <v>24</v>
      </c>
      <c r="K112" t="str">
        <f t="shared" si="4"/>
        <v>2024-02</v>
      </c>
      <c r="L112">
        <f t="shared" si="5"/>
        <v>1.9200000000000017</v>
      </c>
    </row>
    <row r="113" spans="1:12">
      <c r="A113" t="s">
        <v>360</v>
      </c>
      <c r="B113" t="s">
        <v>361</v>
      </c>
      <c r="C113" t="s">
        <v>362</v>
      </c>
      <c r="D113" t="s">
        <v>23</v>
      </c>
      <c r="E113" t="s">
        <v>24</v>
      </c>
      <c r="F113" t="s">
        <v>41</v>
      </c>
      <c r="G113" t="s">
        <v>19</v>
      </c>
      <c r="H113">
        <f>Cleaned_Data!K113</f>
        <v>15.66</v>
      </c>
      <c r="I113" t="str">
        <f t="shared" si="3"/>
        <v>YES</v>
      </c>
      <c r="J113">
        <f>Cleaned_Data!J113</f>
        <v>24</v>
      </c>
      <c r="K113" t="str">
        <f t="shared" si="4"/>
        <v>2024-12</v>
      </c>
      <c r="L113">
        <f t="shared" si="5"/>
        <v>0</v>
      </c>
    </row>
    <row r="114" spans="1:12">
      <c r="A114" t="s">
        <v>363</v>
      </c>
      <c r="B114" t="s">
        <v>364</v>
      </c>
      <c r="C114" t="s">
        <v>365</v>
      </c>
      <c r="D114" t="s">
        <v>23</v>
      </c>
      <c r="E114" t="s">
        <v>28</v>
      </c>
      <c r="F114" t="s">
        <v>29</v>
      </c>
      <c r="G114" t="s">
        <v>31</v>
      </c>
      <c r="H114">
        <f>Cleaned_Data!K114</f>
        <v>20.2</v>
      </c>
      <c r="I114" t="str">
        <f t="shared" si="3"/>
        <v>YES</v>
      </c>
      <c r="J114">
        <f>Cleaned_Data!J114</f>
        <v>24</v>
      </c>
      <c r="K114" t="str">
        <f t="shared" si="4"/>
        <v>2024-11</v>
      </c>
      <c r="L114">
        <f t="shared" si="5"/>
        <v>0</v>
      </c>
    </row>
    <row r="115" spans="1:12">
      <c r="A115" t="s">
        <v>366</v>
      </c>
      <c r="B115" t="s">
        <v>367</v>
      </c>
      <c r="C115" t="s">
        <v>368</v>
      </c>
      <c r="D115" t="s">
        <v>15</v>
      </c>
      <c r="E115" t="s">
        <v>54</v>
      </c>
      <c r="F115" t="s">
        <v>29</v>
      </c>
      <c r="G115" t="s">
        <v>31</v>
      </c>
      <c r="H115">
        <f>Cleaned_Data!K115</f>
        <v>1.47</v>
      </c>
      <c r="I115" t="str">
        <f t="shared" si="3"/>
        <v>YES</v>
      </c>
      <c r="J115">
        <f>Cleaned_Data!J115</f>
        <v>8</v>
      </c>
      <c r="K115" t="str">
        <f t="shared" si="4"/>
        <v>2024-01</v>
      </c>
      <c r="L115">
        <f t="shared" si="5"/>
        <v>0</v>
      </c>
    </row>
    <row r="116" spans="1:12">
      <c r="A116" t="s">
        <v>369</v>
      </c>
      <c r="B116" t="s">
        <v>370</v>
      </c>
      <c r="C116" t="s">
        <v>371</v>
      </c>
      <c r="D116" t="s">
        <v>15</v>
      </c>
      <c r="E116" t="s">
        <v>24</v>
      </c>
      <c r="F116" t="s">
        <v>29</v>
      </c>
      <c r="G116" t="s">
        <v>19</v>
      </c>
      <c r="H116">
        <f>Cleaned_Data!K116</f>
        <v>2.79</v>
      </c>
      <c r="I116" t="str">
        <f t="shared" si="3"/>
        <v>YES</v>
      </c>
      <c r="J116">
        <f>Cleaned_Data!J116</f>
        <v>8</v>
      </c>
      <c r="K116" t="str">
        <f t="shared" si="4"/>
        <v>2024-12</v>
      </c>
      <c r="L116">
        <f t="shared" si="5"/>
        <v>0</v>
      </c>
    </row>
    <row r="117" spans="1:12">
      <c r="A117" t="s">
        <v>372</v>
      </c>
      <c r="B117" t="s">
        <v>373</v>
      </c>
      <c r="C117" t="s">
        <v>374</v>
      </c>
      <c r="D117" t="s">
        <v>15</v>
      </c>
      <c r="E117" t="s">
        <v>28</v>
      </c>
      <c r="F117" t="s">
        <v>17</v>
      </c>
      <c r="G117" t="s">
        <v>19</v>
      </c>
      <c r="H117">
        <f>Cleaned_Data!K117</f>
        <v>3.4</v>
      </c>
      <c r="I117" t="str">
        <f t="shared" si="3"/>
        <v>YES</v>
      </c>
      <c r="J117">
        <f>Cleaned_Data!J117</f>
        <v>8</v>
      </c>
      <c r="K117" t="str">
        <f t="shared" si="4"/>
        <v>2024-02</v>
      </c>
      <c r="L117">
        <f t="shared" si="5"/>
        <v>0</v>
      </c>
    </row>
    <row r="118" spans="1:12">
      <c r="A118" t="s">
        <v>375</v>
      </c>
      <c r="B118" t="s">
        <v>376</v>
      </c>
      <c r="C118" t="s">
        <v>377</v>
      </c>
      <c r="D118" t="s">
        <v>35</v>
      </c>
      <c r="E118" t="s">
        <v>24</v>
      </c>
      <c r="F118" t="s">
        <v>41</v>
      </c>
      <c r="G118" t="s">
        <v>19</v>
      </c>
      <c r="H118">
        <f>Cleaned_Data!K118</f>
        <v>5.18</v>
      </c>
      <c r="I118" t="str">
        <f t="shared" si="3"/>
        <v>YES</v>
      </c>
      <c r="J118">
        <f>Cleaned_Data!J118</f>
        <v>48</v>
      </c>
      <c r="K118" t="str">
        <f t="shared" si="4"/>
        <v>2024-07</v>
      </c>
      <c r="L118">
        <f t="shared" si="5"/>
        <v>0</v>
      </c>
    </row>
    <row r="119" spans="1:12">
      <c r="A119" t="s">
        <v>378</v>
      </c>
      <c r="B119" t="s">
        <v>379</v>
      </c>
      <c r="D119" t="s">
        <v>15</v>
      </c>
      <c r="E119" t="s">
        <v>28</v>
      </c>
      <c r="F119" t="s">
        <v>36</v>
      </c>
      <c r="G119" t="s">
        <v>63</v>
      </c>
      <c r="H119">
        <f>Cleaned_Data!K119</f>
        <v>0</v>
      </c>
      <c r="I119" t="str">
        <f t="shared" si="3"/>
        <v/>
      </c>
      <c r="J119">
        <f>Cleaned_Data!J119</f>
        <v>8</v>
      </c>
      <c r="K119" t="str">
        <f t="shared" si="4"/>
        <v>2024-12</v>
      </c>
      <c r="L119">
        <f t="shared" si="5"/>
        <v>0</v>
      </c>
    </row>
    <row r="120" spans="1:12">
      <c r="A120" t="s">
        <v>380</v>
      </c>
      <c r="B120" t="s">
        <v>381</v>
      </c>
      <c r="C120" t="s">
        <v>382</v>
      </c>
      <c r="D120" t="s">
        <v>15</v>
      </c>
      <c r="E120" t="s">
        <v>59</v>
      </c>
      <c r="F120" t="s">
        <v>29</v>
      </c>
      <c r="G120" t="s">
        <v>31</v>
      </c>
      <c r="H120">
        <f>Cleaned_Data!K120</f>
        <v>3.42</v>
      </c>
      <c r="I120" t="str">
        <f t="shared" si="3"/>
        <v>YES</v>
      </c>
      <c r="J120">
        <f>Cleaned_Data!J120</f>
        <v>8</v>
      </c>
      <c r="K120" t="str">
        <f t="shared" si="4"/>
        <v>2024-08</v>
      </c>
      <c r="L120">
        <f t="shared" si="5"/>
        <v>0</v>
      </c>
    </row>
    <row r="121" spans="1:12">
      <c r="A121" t="s">
        <v>383</v>
      </c>
      <c r="B121" t="s">
        <v>384</v>
      </c>
      <c r="C121" t="s">
        <v>385</v>
      </c>
      <c r="D121" t="s">
        <v>23</v>
      </c>
      <c r="E121" t="s">
        <v>28</v>
      </c>
      <c r="F121" t="s">
        <v>29</v>
      </c>
      <c r="G121" t="s">
        <v>19</v>
      </c>
      <c r="H121">
        <f>Cleaned_Data!K121</f>
        <v>56</v>
      </c>
      <c r="I121" t="str">
        <f t="shared" si="3"/>
        <v>NO</v>
      </c>
      <c r="J121">
        <f>Cleaned_Data!J121</f>
        <v>24</v>
      </c>
      <c r="K121" t="str">
        <f t="shared" si="4"/>
        <v>2024-04</v>
      </c>
      <c r="L121">
        <f t="shared" si="5"/>
        <v>32</v>
      </c>
    </row>
    <row r="122" spans="1:12">
      <c r="A122" t="s">
        <v>386</v>
      </c>
      <c r="B122" t="s">
        <v>387</v>
      </c>
      <c r="C122" t="s">
        <v>388</v>
      </c>
      <c r="D122" t="s">
        <v>35</v>
      </c>
      <c r="E122" t="s">
        <v>16</v>
      </c>
      <c r="F122" t="s">
        <v>36</v>
      </c>
      <c r="G122" t="s">
        <v>31</v>
      </c>
      <c r="H122">
        <f>Cleaned_Data!K122</f>
        <v>134.91</v>
      </c>
      <c r="I122" t="str">
        <f t="shared" si="3"/>
        <v>NO</v>
      </c>
      <c r="J122">
        <f>Cleaned_Data!J122</f>
        <v>48</v>
      </c>
      <c r="K122" t="str">
        <f t="shared" si="4"/>
        <v>2024-08</v>
      </c>
      <c r="L122">
        <f t="shared" si="5"/>
        <v>86.91</v>
      </c>
    </row>
    <row r="123" spans="1:12">
      <c r="A123" t="s">
        <v>389</v>
      </c>
      <c r="B123" t="s">
        <v>390</v>
      </c>
      <c r="C123" t="s">
        <v>391</v>
      </c>
      <c r="D123" t="s">
        <v>23</v>
      </c>
      <c r="E123" t="s">
        <v>28</v>
      </c>
      <c r="F123" t="s">
        <v>17</v>
      </c>
      <c r="G123" t="s">
        <v>19</v>
      </c>
      <c r="H123">
        <f>Cleaned_Data!K123</f>
        <v>18.059999999999999</v>
      </c>
      <c r="I123" t="str">
        <f t="shared" si="3"/>
        <v>YES</v>
      </c>
      <c r="J123">
        <f>Cleaned_Data!J123</f>
        <v>24</v>
      </c>
      <c r="K123" t="str">
        <f t="shared" si="4"/>
        <v>2024-03</v>
      </c>
      <c r="L123">
        <f t="shared" si="5"/>
        <v>0</v>
      </c>
    </row>
    <row r="124" spans="1:12">
      <c r="A124" t="s">
        <v>392</v>
      </c>
      <c r="B124" t="s">
        <v>393</v>
      </c>
      <c r="C124" t="s">
        <v>394</v>
      </c>
      <c r="D124" t="s">
        <v>23</v>
      </c>
      <c r="E124" t="s">
        <v>59</v>
      </c>
      <c r="F124" t="s">
        <v>36</v>
      </c>
      <c r="G124" t="s">
        <v>31</v>
      </c>
      <c r="H124">
        <f>Cleaned_Data!K124</f>
        <v>9.84</v>
      </c>
      <c r="I124" t="str">
        <f t="shared" si="3"/>
        <v>YES</v>
      </c>
      <c r="J124">
        <f>Cleaned_Data!J124</f>
        <v>24</v>
      </c>
      <c r="K124" t="str">
        <f t="shared" si="4"/>
        <v>2024-02</v>
      </c>
      <c r="L124">
        <f t="shared" si="5"/>
        <v>0</v>
      </c>
    </row>
    <row r="125" spans="1:12">
      <c r="A125" t="s">
        <v>395</v>
      </c>
      <c r="B125" t="s">
        <v>396</v>
      </c>
      <c r="C125" t="s">
        <v>397</v>
      </c>
      <c r="D125" t="s">
        <v>15</v>
      </c>
      <c r="E125" t="s">
        <v>16</v>
      </c>
      <c r="F125" t="s">
        <v>17</v>
      </c>
      <c r="G125" t="s">
        <v>19</v>
      </c>
      <c r="H125">
        <f>Cleaned_Data!K125</f>
        <v>7.41</v>
      </c>
      <c r="I125" t="str">
        <f t="shared" si="3"/>
        <v>YES</v>
      </c>
      <c r="J125">
        <f>Cleaned_Data!J125</f>
        <v>8</v>
      </c>
      <c r="K125" t="str">
        <f t="shared" si="4"/>
        <v>2024-12</v>
      </c>
      <c r="L125">
        <f t="shared" si="5"/>
        <v>0</v>
      </c>
    </row>
    <row r="126" spans="1:12">
      <c r="A126" t="s">
        <v>398</v>
      </c>
      <c r="B126" t="s">
        <v>399</v>
      </c>
      <c r="C126" t="s">
        <v>400</v>
      </c>
      <c r="D126" t="s">
        <v>15</v>
      </c>
      <c r="E126" t="s">
        <v>24</v>
      </c>
      <c r="F126" t="s">
        <v>41</v>
      </c>
      <c r="G126" t="s">
        <v>31</v>
      </c>
      <c r="H126">
        <f>Cleaned_Data!K126</f>
        <v>1.58</v>
      </c>
      <c r="I126" t="str">
        <f t="shared" si="3"/>
        <v>YES</v>
      </c>
      <c r="J126">
        <f>Cleaned_Data!J126</f>
        <v>8</v>
      </c>
      <c r="K126" t="str">
        <f t="shared" si="4"/>
        <v>2024-12</v>
      </c>
      <c r="L126">
        <f t="shared" si="5"/>
        <v>0</v>
      </c>
    </row>
    <row r="127" spans="1:12">
      <c r="A127" t="s">
        <v>401</v>
      </c>
      <c r="B127" t="s">
        <v>402</v>
      </c>
      <c r="C127" t="s">
        <v>403</v>
      </c>
      <c r="D127" t="s">
        <v>23</v>
      </c>
      <c r="E127" t="s">
        <v>28</v>
      </c>
      <c r="F127" t="s">
        <v>41</v>
      </c>
      <c r="G127" t="s">
        <v>19</v>
      </c>
      <c r="H127">
        <f>Cleaned_Data!K127</f>
        <v>2.68</v>
      </c>
      <c r="I127" t="str">
        <f t="shared" si="3"/>
        <v>YES</v>
      </c>
      <c r="J127">
        <f>Cleaned_Data!J127</f>
        <v>24</v>
      </c>
      <c r="K127" t="str">
        <f t="shared" si="4"/>
        <v>2024-02</v>
      </c>
      <c r="L127">
        <f t="shared" si="5"/>
        <v>0</v>
      </c>
    </row>
    <row r="128" spans="1:12">
      <c r="A128" t="s">
        <v>404</v>
      </c>
      <c r="B128" t="s">
        <v>405</v>
      </c>
      <c r="C128" t="s">
        <v>406</v>
      </c>
      <c r="D128" t="s">
        <v>23</v>
      </c>
      <c r="E128" t="s">
        <v>16</v>
      </c>
      <c r="F128" t="s">
        <v>29</v>
      </c>
      <c r="G128" t="s">
        <v>19</v>
      </c>
      <c r="H128">
        <f>Cleaned_Data!K128</f>
        <v>9.98</v>
      </c>
      <c r="I128" t="str">
        <f t="shared" si="3"/>
        <v>YES</v>
      </c>
      <c r="J128">
        <f>Cleaned_Data!J128</f>
        <v>24</v>
      </c>
      <c r="K128" t="str">
        <f t="shared" si="4"/>
        <v>2024-06</v>
      </c>
      <c r="L128">
        <f t="shared" si="5"/>
        <v>0</v>
      </c>
    </row>
    <row r="129" spans="1:12">
      <c r="A129" t="s">
        <v>407</v>
      </c>
      <c r="B129" t="s">
        <v>408</v>
      </c>
      <c r="D129" t="s">
        <v>158</v>
      </c>
      <c r="E129" t="s">
        <v>16</v>
      </c>
      <c r="F129" t="s">
        <v>60</v>
      </c>
      <c r="G129" t="s">
        <v>63</v>
      </c>
      <c r="H129">
        <f>Cleaned_Data!K129</f>
        <v>0</v>
      </c>
      <c r="I129" t="str">
        <f t="shared" si="3"/>
        <v/>
      </c>
      <c r="J129">
        <f>Cleaned_Data!J129</f>
        <v>4</v>
      </c>
      <c r="K129" t="str">
        <f t="shared" si="4"/>
        <v>2024-07</v>
      </c>
      <c r="L129">
        <f t="shared" si="5"/>
        <v>0</v>
      </c>
    </row>
    <row r="130" spans="1:12">
      <c r="A130" t="s">
        <v>409</v>
      </c>
      <c r="B130" t="s">
        <v>410</v>
      </c>
      <c r="C130" t="s">
        <v>411</v>
      </c>
      <c r="D130" t="s">
        <v>23</v>
      </c>
      <c r="E130" t="s">
        <v>54</v>
      </c>
      <c r="F130" t="s">
        <v>41</v>
      </c>
      <c r="G130" t="s">
        <v>19</v>
      </c>
      <c r="H130">
        <f>Cleaned_Data!K130</f>
        <v>5.25</v>
      </c>
      <c r="I130" t="str">
        <f t="shared" ref="I130:I193" si="6">IF(OR(G130="Resolved", G130="Closed"), IF(AND(H130&lt;&gt;"", H130&lt;=J130), "YES", "NO"), "")</f>
        <v>YES</v>
      </c>
      <c r="J130">
        <f>Cleaned_Data!J130</f>
        <v>24</v>
      </c>
      <c r="K130" t="str">
        <f t="shared" ref="K130:K193" si="7">LEFT(B130, 7)</f>
        <v>2024-03</v>
      </c>
      <c r="L130">
        <f t="shared" ref="L130:L193" si="8">IF(I130="NO", H130-J130, 0)</f>
        <v>0</v>
      </c>
    </row>
    <row r="131" spans="1:12">
      <c r="A131" t="s">
        <v>412</v>
      </c>
      <c r="B131" t="s">
        <v>413</v>
      </c>
      <c r="C131" t="s">
        <v>414</v>
      </c>
      <c r="D131" t="s">
        <v>35</v>
      </c>
      <c r="E131" t="s">
        <v>24</v>
      </c>
      <c r="F131" t="s">
        <v>17</v>
      </c>
      <c r="G131" t="s">
        <v>19</v>
      </c>
      <c r="H131">
        <f>Cleaned_Data!K131</f>
        <v>32.159999999999997</v>
      </c>
      <c r="I131" t="str">
        <f t="shared" si="6"/>
        <v>YES</v>
      </c>
      <c r="J131">
        <f>Cleaned_Data!J131</f>
        <v>48</v>
      </c>
      <c r="K131" t="str">
        <f t="shared" si="7"/>
        <v>2024-04</v>
      </c>
      <c r="L131">
        <f t="shared" si="8"/>
        <v>0</v>
      </c>
    </row>
    <row r="132" spans="1:12">
      <c r="A132" t="s">
        <v>415</v>
      </c>
      <c r="B132" t="s">
        <v>416</v>
      </c>
      <c r="C132" t="s">
        <v>417</v>
      </c>
      <c r="D132" t="s">
        <v>23</v>
      </c>
      <c r="E132" t="s">
        <v>16</v>
      </c>
      <c r="F132" t="s">
        <v>17</v>
      </c>
      <c r="G132" t="s">
        <v>31</v>
      </c>
      <c r="H132">
        <f>Cleaned_Data!K132</f>
        <v>54.01</v>
      </c>
      <c r="I132" t="str">
        <f t="shared" si="6"/>
        <v>NO</v>
      </c>
      <c r="J132">
        <f>Cleaned_Data!J132</f>
        <v>24</v>
      </c>
      <c r="K132" t="str">
        <f t="shared" si="7"/>
        <v>2024-07</v>
      </c>
      <c r="L132">
        <f t="shared" si="8"/>
        <v>30.009999999999998</v>
      </c>
    </row>
    <row r="133" spans="1:12">
      <c r="A133" t="s">
        <v>418</v>
      </c>
      <c r="B133" t="s">
        <v>419</v>
      </c>
      <c r="D133" t="s">
        <v>158</v>
      </c>
      <c r="E133" t="s">
        <v>28</v>
      </c>
      <c r="F133" t="s">
        <v>41</v>
      </c>
      <c r="G133" t="s">
        <v>63</v>
      </c>
      <c r="H133">
        <f>Cleaned_Data!K133</f>
        <v>0</v>
      </c>
      <c r="I133" t="str">
        <f t="shared" si="6"/>
        <v/>
      </c>
      <c r="J133">
        <f>Cleaned_Data!J133</f>
        <v>4</v>
      </c>
      <c r="K133" t="str">
        <f t="shared" si="7"/>
        <v>2024-04</v>
      </c>
      <c r="L133">
        <f t="shared" si="8"/>
        <v>0</v>
      </c>
    </row>
    <row r="134" spans="1:12">
      <c r="A134" t="s">
        <v>420</v>
      </c>
      <c r="B134" t="s">
        <v>421</v>
      </c>
      <c r="D134" t="s">
        <v>23</v>
      </c>
      <c r="E134" t="s">
        <v>59</v>
      </c>
      <c r="F134" t="s">
        <v>29</v>
      </c>
      <c r="G134" t="s">
        <v>63</v>
      </c>
      <c r="H134">
        <f>Cleaned_Data!K134</f>
        <v>0</v>
      </c>
      <c r="I134" t="str">
        <f t="shared" si="6"/>
        <v/>
      </c>
      <c r="J134">
        <f>Cleaned_Data!J134</f>
        <v>24</v>
      </c>
      <c r="K134" t="str">
        <f t="shared" si="7"/>
        <v>2024-11</v>
      </c>
      <c r="L134">
        <f t="shared" si="8"/>
        <v>0</v>
      </c>
    </row>
    <row r="135" spans="1:12">
      <c r="A135" t="s">
        <v>422</v>
      </c>
      <c r="B135" t="s">
        <v>423</v>
      </c>
      <c r="D135" t="s">
        <v>23</v>
      </c>
      <c r="E135" t="s">
        <v>28</v>
      </c>
      <c r="F135" t="s">
        <v>17</v>
      </c>
      <c r="G135" t="s">
        <v>63</v>
      </c>
      <c r="H135">
        <f>Cleaned_Data!K135</f>
        <v>0</v>
      </c>
      <c r="I135" t="str">
        <f t="shared" si="6"/>
        <v/>
      </c>
      <c r="J135">
        <f>Cleaned_Data!J135</f>
        <v>24</v>
      </c>
      <c r="K135" t="str">
        <f t="shared" si="7"/>
        <v>2024-09</v>
      </c>
      <c r="L135">
        <f t="shared" si="8"/>
        <v>0</v>
      </c>
    </row>
    <row r="136" spans="1:12">
      <c r="A136" t="s">
        <v>424</v>
      </c>
      <c r="B136" t="s">
        <v>425</v>
      </c>
      <c r="C136" t="s">
        <v>426</v>
      </c>
      <c r="D136" t="s">
        <v>23</v>
      </c>
      <c r="E136" t="s">
        <v>54</v>
      </c>
      <c r="F136" t="s">
        <v>60</v>
      </c>
      <c r="G136" t="s">
        <v>19</v>
      </c>
      <c r="H136">
        <f>Cleaned_Data!K136</f>
        <v>22.57</v>
      </c>
      <c r="I136" t="str">
        <f t="shared" si="6"/>
        <v>YES</v>
      </c>
      <c r="J136">
        <f>Cleaned_Data!J136</f>
        <v>24</v>
      </c>
      <c r="K136" t="str">
        <f t="shared" si="7"/>
        <v>2024-11</v>
      </c>
      <c r="L136">
        <f t="shared" si="8"/>
        <v>0</v>
      </c>
    </row>
    <row r="137" spans="1:12">
      <c r="A137" t="s">
        <v>427</v>
      </c>
      <c r="B137" t="s">
        <v>428</v>
      </c>
      <c r="C137" t="s">
        <v>429</v>
      </c>
      <c r="D137" t="s">
        <v>158</v>
      </c>
      <c r="E137" t="s">
        <v>16</v>
      </c>
      <c r="F137" t="s">
        <v>17</v>
      </c>
      <c r="G137" t="s">
        <v>19</v>
      </c>
      <c r="H137">
        <f>Cleaned_Data!K137</f>
        <v>6.76</v>
      </c>
      <c r="I137" t="str">
        <f t="shared" si="6"/>
        <v>NO</v>
      </c>
      <c r="J137">
        <f>Cleaned_Data!J137</f>
        <v>4</v>
      </c>
      <c r="K137" t="str">
        <f t="shared" si="7"/>
        <v>2024-03</v>
      </c>
      <c r="L137">
        <f t="shared" si="8"/>
        <v>2.76</v>
      </c>
    </row>
    <row r="138" spans="1:12">
      <c r="A138" t="s">
        <v>430</v>
      </c>
      <c r="B138" t="s">
        <v>431</v>
      </c>
      <c r="C138" t="s">
        <v>432</v>
      </c>
      <c r="D138" t="s">
        <v>23</v>
      </c>
      <c r="E138" t="s">
        <v>28</v>
      </c>
      <c r="F138" t="s">
        <v>17</v>
      </c>
      <c r="G138" t="s">
        <v>19</v>
      </c>
      <c r="H138">
        <f>Cleaned_Data!K138</f>
        <v>4.6399999999999997</v>
      </c>
      <c r="I138" t="str">
        <f t="shared" si="6"/>
        <v>YES</v>
      </c>
      <c r="J138">
        <f>Cleaned_Data!J138</f>
        <v>24</v>
      </c>
      <c r="K138" t="str">
        <f t="shared" si="7"/>
        <v>2024-12</v>
      </c>
      <c r="L138">
        <f t="shared" si="8"/>
        <v>0</v>
      </c>
    </row>
    <row r="139" spans="1:12">
      <c r="A139" t="s">
        <v>433</v>
      </c>
      <c r="B139" t="s">
        <v>434</v>
      </c>
      <c r="C139" t="s">
        <v>435</v>
      </c>
      <c r="D139" t="s">
        <v>158</v>
      </c>
      <c r="E139" t="s">
        <v>16</v>
      </c>
      <c r="F139" t="s">
        <v>17</v>
      </c>
      <c r="G139" t="s">
        <v>19</v>
      </c>
      <c r="H139">
        <f>Cleaned_Data!K139</f>
        <v>0.57999999999999996</v>
      </c>
      <c r="I139" t="str">
        <f t="shared" si="6"/>
        <v>YES</v>
      </c>
      <c r="J139">
        <f>Cleaned_Data!J139</f>
        <v>4</v>
      </c>
      <c r="K139" t="str">
        <f t="shared" si="7"/>
        <v>2024-02</v>
      </c>
      <c r="L139">
        <f t="shared" si="8"/>
        <v>0</v>
      </c>
    </row>
    <row r="140" spans="1:12">
      <c r="A140" t="s">
        <v>436</v>
      </c>
      <c r="B140" t="s">
        <v>437</v>
      </c>
      <c r="C140" t="s">
        <v>438</v>
      </c>
      <c r="D140" t="s">
        <v>15</v>
      </c>
      <c r="E140" t="s">
        <v>24</v>
      </c>
      <c r="F140" t="s">
        <v>41</v>
      </c>
      <c r="G140" t="s">
        <v>19</v>
      </c>
      <c r="H140">
        <f>Cleaned_Data!K140</f>
        <v>4.2300000000000004</v>
      </c>
      <c r="I140" t="str">
        <f t="shared" si="6"/>
        <v>YES</v>
      </c>
      <c r="J140">
        <f>Cleaned_Data!J140</f>
        <v>8</v>
      </c>
      <c r="K140" t="str">
        <f t="shared" si="7"/>
        <v>2024-07</v>
      </c>
      <c r="L140">
        <f t="shared" si="8"/>
        <v>0</v>
      </c>
    </row>
    <row r="141" spans="1:12">
      <c r="A141" t="s">
        <v>439</v>
      </c>
      <c r="B141" t="s">
        <v>440</v>
      </c>
      <c r="C141" t="s">
        <v>441</v>
      </c>
      <c r="D141" t="s">
        <v>23</v>
      </c>
      <c r="E141" t="s">
        <v>59</v>
      </c>
      <c r="F141" t="s">
        <v>60</v>
      </c>
      <c r="G141" t="s">
        <v>19</v>
      </c>
      <c r="H141">
        <f>Cleaned_Data!K141</f>
        <v>28.05</v>
      </c>
      <c r="I141" t="str">
        <f t="shared" si="6"/>
        <v>NO</v>
      </c>
      <c r="J141">
        <f>Cleaned_Data!J141</f>
        <v>24</v>
      </c>
      <c r="K141" t="str">
        <f t="shared" si="7"/>
        <v>2024-01</v>
      </c>
      <c r="L141">
        <f t="shared" si="8"/>
        <v>4.0500000000000007</v>
      </c>
    </row>
    <row r="142" spans="1:12">
      <c r="A142" t="s">
        <v>442</v>
      </c>
      <c r="B142" t="s">
        <v>443</v>
      </c>
      <c r="C142" t="s">
        <v>444</v>
      </c>
      <c r="D142" t="s">
        <v>23</v>
      </c>
      <c r="E142" t="s">
        <v>24</v>
      </c>
      <c r="F142" t="s">
        <v>41</v>
      </c>
      <c r="G142" t="s">
        <v>31</v>
      </c>
      <c r="H142">
        <f>Cleaned_Data!K142</f>
        <v>5.43</v>
      </c>
      <c r="I142" t="str">
        <f t="shared" si="6"/>
        <v>YES</v>
      </c>
      <c r="J142">
        <f>Cleaned_Data!J142</f>
        <v>24</v>
      </c>
      <c r="K142" t="str">
        <f t="shared" si="7"/>
        <v>2024-06</v>
      </c>
      <c r="L142">
        <f t="shared" si="8"/>
        <v>0</v>
      </c>
    </row>
    <row r="143" spans="1:12">
      <c r="A143" t="s">
        <v>445</v>
      </c>
      <c r="B143" t="s">
        <v>446</v>
      </c>
      <c r="D143" t="s">
        <v>23</v>
      </c>
      <c r="E143" t="s">
        <v>28</v>
      </c>
      <c r="F143" t="s">
        <v>29</v>
      </c>
      <c r="G143" t="s">
        <v>46</v>
      </c>
      <c r="H143">
        <f>Cleaned_Data!K143</f>
        <v>0</v>
      </c>
      <c r="I143" t="str">
        <f t="shared" si="6"/>
        <v/>
      </c>
      <c r="J143">
        <f>Cleaned_Data!J143</f>
        <v>24</v>
      </c>
      <c r="K143" t="str">
        <f t="shared" si="7"/>
        <v>2024-08</v>
      </c>
      <c r="L143">
        <f t="shared" si="8"/>
        <v>0</v>
      </c>
    </row>
    <row r="144" spans="1:12">
      <c r="A144" t="s">
        <v>447</v>
      </c>
      <c r="B144" t="s">
        <v>448</v>
      </c>
      <c r="C144" t="s">
        <v>449</v>
      </c>
      <c r="D144" t="s">
        <v>15</v>
      </c>
      <c r="E144" t="s">
        <v>28</v>
      </c>
      <c r="F144" t="s">
        <v>41</v>
      </c>
      <c r="G144" t="s">
        <v>31</v>
      </c>
      <c r="H144">
        <f>Cleaned_Data!K144</f>
        <v>5.25</v>
      </c>
      <c r="I144" t="str">
        <f t="shared" si="6"/>
        <v>YES</v>
      </c>
      <c r="J144">
        <f>Cleaned_Data!J144</f>
        <v>8</v>
      </c>
      <c r="K144" t="str">
        <f t="shared" si="7"/>
        <v>2024-07</v>
      </c>
      <c r="L144">
        <f t="shared" si="8"/>
        <v>0</v>
      </c>
    </row>
    <row r="145" spans="1:12">
      <c r="A145" t="s">
        <v>450</v>
      </c>
      <c r="B145" t="s">
        <v>451</v>
      </c>
      <c r="C145" t="s">
        <v>452</v>
      </c>
      <c r="D145" t="s">
        <v>23</v>
      </c>
      <c r="E145" t="s">
        <v>28</v>
      </c>
      <c r="F145" t="s">
        <v>41</v>
      </c>
      <c r="G145" t="s">
        <v>19</v>
      </c>
      <c r="H145">
        <f>Cleaned_Data!K145</f>
        <v>43.86</v>
      </c>
      <c r="I145" t="str">
        <f t="shared" si="6"/>
        <v>NO</v>
      </c>
      <c r="J145">
        <f>Cleaned_Data!J145</f>
        <v>24</v>
      </c>
      <c r="K145" t="str">
        <f t="shared" si="7"/>
        <v>2024-08</v>
      </c>
      <c r="L145">
        <f t="shared" si="8"/>
        <v>19.86</v>
      </c>
    </row>
    <row r="146" spans="1:12">
      <c r="A146" t="s">
        <v>453</v>
      </c>
      <c r="B146" t="s">
        <v>454</v>
      </c>
      <c r="C146" t="s">
        <v>455</v>
      </c>
      <c r="D146" t="s">
        <v>23</v>
      </c>
      <c r="E146" t="s">
        <v>28</v>
      </c>
      <c r="F146" t="s">
        <v>29</v>
      </c>
      <c r="G146" t="s">
        <v>31</v>
      </c>
      <c r="H146">
        <f>Cleaned_Data!K146</f>
        <v>4.26</v>
      </c>
      <c r="I146" t="str">
        <f t="shared" si="6"/>
        <v>YES</v>
      </c>
      <c r="J146">
        <f>Cleaned_Data!J146</f>
        <v>24</v>
      </c>
      <c r="K146" t="str">
        <f t="shared" si="7"/>
        <v>2024-05</v>
      </c>
      <c r="L146">
        <f t="shared" si="8"/>
        <v>0</v>
      </c>
    </row>
    <row r="147" spans="1:12">
      <c r="A147" t="s">
        <v>456</v>
      </c>
      <c r="B147" t="s">
        <v>457</v>
      </c>
      <c r="C147" t="s">
        <v>458</v>
      </c>
      <c r="D147" t="s">
        <v>158</v>
      </c>
      <c r="E147" t="s">
        <v>16</v>
      </c>
      <c r="F147" t="s">
        <v>17</v>
      </c>
      <c r="G147" t="s">
        <v>19</v>
      </c>
      <c r="H147">
        <f>Cleaned_Data!K147</f>
        <v>8.58</v>
      </c>
      <c r="I147" t="str">
        <f t="shared" si="6"/>
        <v>NO</v>
      </c>
      <c r="J147">
        <f>Cleaned_Data!J147</f>
        <v>4</v>
      </c>
      <c r="K147" t="str">
        <f t="shared" si="7"/>
        <v>2024-06</v>
      </c>
      <c r="L147">
        <f t="shared" si="8"/>
        <v>4.58</v>
      </c>
    </row>
    <row r="148" spans="1:12">
      <c r="A148" t="s">
        <v>459</v>
      </c>
      <c r="B148" t="s">
        <v>460</v>
      </c>
      <c r="C148" t="s">
        <v>461</v>
      </c>
      <c r="D148" t="s">
        <v>23</v>
      </c>
      <c r="E148" t="s">
        <v>54</v>
      </c>
      <c r="F148" t="s">
        <v>41</v>
      </c>
      <c r="G148" t="s">
        <v>19</v>
      </c>
      <c r="H148">
        <f>Cleaned_Data!K148</f>
        <v>8.77</v>
      </c>
      <c r="I148" t="str">
        <f t="shared" si="6"/>
        <v>YES</v>
      </c>
      <c r="J148">
        <f>Cleaned_Data!J148</f>
        <v>24</v>
      </c>
      <c r="K148" t="str">
        <f t="shared" si="7"/>
        <v>2024-06</v>
      </c>
      <c r="L148">
        <f t="shared" si="8"/>
        <v>0</v>
      </c>
    </row>
    <row r="149" spans="1:12">
      <c r="A149" t="s">
        <v>462</v>
      </c>
      <c r="B149" t="s">
        <v>463</v>
      </c>
      <c r="C149" t="s">
        <v>464</v>
      </c>
      <c r="D149" t="s">
        <v>15</v>
      </c>
      <c r="E149" t="s">
        <v>54</v>
      </c>
      <c r="F149" t="s">
        <v>17</v>
      </c>
      <c r="G149" t="s">
        <v>19</v>
      </c>
      <c r="H149">
        <f>Cleaned_Data!K149</f>
        <v>1.58</v>
      </c>
      <c r="I149" t="str">
        <f t="shared" si="6"/>
        <v>YES</v>
      </c>
      <c r="J149">
        <f>Cleaned_Data!J149</f>
        <v>8</v>
      </c>
      <c r="K149" t="str">
        <f t="shared" si="7"/>
        <v>2024-07</v>
      </c>
      <c r="L149">
        <f t="shared" si="8"/>
        <v>0</v>
      </c>
    </row>
    <row r="150" spans="1:12">
      <c r="A150" t="s">
        <v>465</v>
      </c>
      <c r="B150" t="s">
        <v>466</v>
      </c>
      <c r="C150" t="s">
        <v>467</v>
      </c>
      <c r="D150" t="s">
        <v>35</v>
      </c>
      <c r="E150" t="s">
        <v>16</v>
      </c>
      <c r="F150" t="s">
        <v>60</v>
      </c>
      <c r="G150" t="s">
        <v>31</v>
      </c>
      <c r="H150">
        <f>Cleaned_Data!K150</f>
        <v>29.65</v>
      </c>
      <c r="I150" t="str">
        <f t="shared" si="6"/>
        <v>YES</v>
      </c>
      <c r="J150">
        <f>Cleaned_Data!J150</f>
        <v>48</v>
      </c>
      <c r="K150" t="str">
        <f t="shared" si="7"/>
        <v>2024-03</v>
      </c>
      <c r="L150">
        <f t="shared" si="8"/>
        <v>0</v>
      </c>
    </row>
    <row r="151" spans="1:12">
      <c r="A151" t="s">
        <v>468</v>
      </c>
      <c r="B151" t="s">
        <v>469</v>
      </c>
      <c r="C151" t="s">
        <v>470</v>
      </c>
      <c r="D151" t="s">
        <v>15</v>
      </c>
      <c r="E151" t="s">
        <v>24</v>
      </c>
      <c r="F151" t="s">
        <v>29</v>
      </c>
      <c r="G151" t="s">
        <v>19</v>
      </c>
      <c r="H151">
        <f>Cleaned_Data!K151</f>
        <v>1.77</v>
      </c>
      <c r="I151" t="str">
        <f t="shared" si="6"/>
        <v>YES</v>
      </c>
      <c r="J151">
        <f>Cleaned_Data!J151</f>
        <v>8</v>
      </c>
      <c r="K151" t="str">
        <f t="shared" si="7"/>
        <v>2024-09</v>
      </c>
      <c r="L151">
        <f t="shared" si="8"/>
        <v>0</v>
      </c>
    </row>
    <row r="152" spans="1:12">
      <c r="A152" t="s">
        <v>471</v>
      </c>
      <c r="B152" t="s">
        <v>472</v>
      </c>
      <c r="C152" t="s">
        <v>473</v>
      </c>
      <c r="D152" t="s">
        <v>15</v>
      </c>
      <c r="E152" t="s">
        <v>54</v>
      </c>
      <c r="F152" t="s">
        <v>36</v>
      </c>
      <c r="G152" t="s">
        <v>31</v>
      </c>
      <c r="H152">
        <f>Cleaned_Data!K152</f>
        <v>3.65</v>
      </c>
      <c r="I152" t="str">
        <f t="shared" si="6"/>
        <v>YES</v>
      </c>
      <c r="J152">
        <f>Cleaned_Data!J152</f>
        <v>8</v>
      </c>
      <c r="K152" t="str">
        <f t="shared" si="7"/>
        <v>2024-01</v>
      </c>
      <c r="L152">
        <f t="shared" si="8"/>
        <v>0</v>
      </c>
    </row>
    <row r="153" spans="1:12">
      <c r="A153" t="s">
        <v>474</v>
      </c>
      <c r="B153" t="s">
        <v>475</v>
      </c>
      <c r="C153" t="s">
        <v>476</v>
      </c>
      <c r="D153" t="s">
        <v>15</v>
      </c>
      <c r="E153" t="s">
        <v>16</v>
      </c>
      <c r="F153" t="s">
        <v>60</v>
      </c>
      <c r="G153" t="s">
        <v>19</v>
      </c>
      <c r="H153">
        <f>Cleaned_Data!K153</f>
        <v>1.87</v>
      </c>
      <c r="I153" t="str">
        <f t="shared" si="6"/>
        <v>YES</v>
      </c>
      <c r="J153">
        <f>Cleaned_Data!J153</f>
        <v>8</v>
      </c>
      <c r="K153" t="str">
        <f t="shared" si="7"/>
        <v>2024-05</v>
      </c>
      <c r="L153">
        <f t="shared" si="8"/>
        <v>0</v>
      </c>
    </row>
    <row r="154" spans="1:12">
      <c r="A154" t="s">
        <v>477</v>
      </c>
      <c r="B154" t="s">
        <v>478</v>
      </c>
      <c r="C154" t="s">
        <v>479</v>
      </c>
      <c r="D154" t="s">
        <v>158</v>
      </c>
      <c r="E154" t="s">
        <v>28</v>
      </c>
      <c r="F154" t="s">
        <v>41</v>
      </c>
      <c r="G154" t="s">
        <v>31</v>
      </c>
      <c r="H154">
        <f>Cleaned_Data!K154</f>
        <v>1.1299999999999999</v>
      </c>
      <c r="I154" t="str">
        <f t="shared" si="6"/>
        <v>YES</v>
      </c>
      <c r="J154">
        <f>Cleaned_Data!J154</f>
        <v>4</v>
      </c>
      <c r="K154" t="str">
        <f t="shared" si="7"/>
        <v>2024-09</v>
      </c>
      <c r="L154">
        <f t="shared" si="8"/>
        <v>0</v>
      </c>
    </row>
    <row r="155" spans="1:12">
      <c r="A155" t="s">
        <v>480</v>
      </c>
      <c r="B155" t="s">
        <v>481</v>
      </c>
      <c r="C155" t="s">
        <v>482</v>
      </c>
      <c r="D155" t="s">
        <v>23</v>
      </c>
      <c r="E155" t="s">
        <v>28</v>
      </c>
      <c r="F155" t="s">
        <v>60</v>
      </c>
      <c r="G155" t="s">
        <v>19</v>
      </c>
      <c r="H155">
        <f>Cleaned_Data!K155</f>
        <v>6.9</v>
      </c>
      <c r="I155" t="str">
        <f t="shared" si="6"/>
        <v>YES</v>
      </c>
      <c r="J155">
        <f>Cleaned_Data!J155</f>
        <v>24</v>
      </c>
      <c r="K155" t="str">
        <f t="shared" si="7"/>
        <v>2024-05</v>
      </c>
      <c r="L155">
        <f t="shared" si="8"/>
        <v>0</v>
      </c>
    </row>
    <row r="156" spans="1:12">
      <c r="A156" t="s">
        <v>483</v>
      </c>
      <c r="B156" t="s">
        <v>484</v>
      </c>
      <c r="C156" t="s">
        <v>485</v>
      </c>
      <c r="D156" t="s">
        <v>158</v>
      </c>
      <c r="E156" t="s">
        <v>28</v>
      </c>
      <c r="F156" t="s">
        <v>17</v>
      </c>
      <c r="G156" t="s">
        <v>31</v>
      </c>
      <c r="H156">
        <f>Cleaned_Data!K156</f>
        <v>0.81</v>
      </c>
      <c r="I156" t="str">
        <f t="shared" si="6"/>
        <v>YES</v>
      </c>
      <c r="J156">
        <f>Cleaned_Data!J156</f>
        <v>4</v>
      </c>
      <c r="K156" t="str">
        <f t="shared" si="7"/>
        <v>2024-01</v>
      </c>
      <c r="L156">
        <f t="shared" si="8"/>
        <v>0</v>
      </c>
    </row>
    <row r="157" spans="1:12">
      <c r="A157" t="s">
        <v>486</v>
      </c>
      <c r="B157" t="s">
        <v>487</v>
      </c>
      <c r="C157" t="s">
        <v>488</v>
      </c>
      <c r="D157" t="s">
        <v>15</v>
      </c>
      <c r="E157" t="s">
        <v>28</v>
      </c>
      <c r="F157" t="s">
        <v>17</v>
      </c>
      <c r="G157" t="s">
        <v>31</v>
      </c>
      <c r="H157">
        <f>Cleaned_Data!K157</f>
        <v>3.21</v>
      </c>
      <c r="I157" t="str">
        <f t="shared" si="6"/>
        <v>YES</v>
      </c>
      <c r="J157">
        <f>Cleaned_Data!J157</f>
        <v>8</v>
      </c>
      <c r="K157" t="str">
        <f t="shared" si="7"/>
        <v>2024-06</v>
      </c>
      <c r="L157">
        <f t="shared" si="8"/>
        <v>0</v>
      </c>
    </row>
    <row r="158" spans="1:12">
      <c r="A158" t="s">
        <v>489</v>
      </c>
      <c r="B158" t="s">
        <v>490</v>
      </c>
      <c r="C158" t="s">
        <v>491</v>
      </c>
      <c r="D158" t="s">
        <v>158</v>
      </c>
      <c r="E158" t="s">
        <v>24</v>
      </c>
      <c r="F158" t="s">
        <v>36</v>
      </c>
      <c r="G158" t="s">
        <v>31</v>
      </c>
      <c r="H158">
        <f>Cleaned_Data!K158</f>
        <v>2.81</v>
      </c>
      <c r="I158" t="str">
        <f t="shared" si="6"/>
        <v>YES</v>
      </c>
      <c r="J158">
        <f>Cleaned_Data!J158</f>
        <v>4</v>
      </c>
      <c r="K158" t="str">
        <f t="shared" si="7"/>
        <v>2024-10</v>
      </c>
      <c r="L158">
        <f t="shared" si="8"/>
        <v>0</v>
      </c>
    </row>
    <row r="159" spans="1:12">
      <c r="A159" t="s">
        <v>492</v>
      </c>
      <c r="B159" t="s">
        <v>493</v>
      </c>
      <c r="C159" t="s">
        <v>494</v>
      </c>
      <c r="D159" t="s">
        <v>23</v>
      </c>
      <c r="E159" t="s">
        <v>16</v>
      </c>
      <c r="F159" t="s">
        <v>17</v>
      </c>
      <c r="G159" t="s">
        <v>19</v>
      </c>
      <c r="H159">
        <f>Cleaned_Data!K159</f>
        <v>9.7799999999999994</v>
      </c>
      <c r="I159" t="str">
        <f t="shared" si="6"/>
        <v>YES</v>
      </c>
      <c r="J159">
        <f>Cleaned_Data!J159</f>
        <v>24</v>
      </c>
      <c r="K159" t="str">
        <f t="shared" si="7"/>
        <v>2024-02</v>
      </c>
      <c r="L159">
        <f t="shared" si="8"/>
        <v>0</v>
      </c>
    </row>
    <row r="160" spans="1:12">
      <c r="A160" t="s">
        <v>495</v>
      </c>
      <c r="B160" t="s">
        <v>496</v>
      </c>
      <c r="C160" t="s">
        <v>497</v>
      </c>
      <c r="D160" t="s">
        <v>15</v>
      </c>
      <c r="E160" t="s">
        <v>54</v>
      </c>
      <c r="F160" t="s">
        <v>60</v>
      </c>
      <c r="G160" t="s">
        <v>19</v>
      </c>
      <c r="H160">
        <f>Cleaned_Data!K160</f>
        <v>3.11</v>
      </c>
      <c r="I160" t="str">
        <f t="shared" si="6"/>
        <v>YES</v>
      </c>
      <c r="J160">
        <f>Cleaned_Data!J160</f>
        <v>8</v>
      </c>
      <c r="K160" t="str">
        <f t="shared" si="7"/>
        <v>2024-02</v>
      </c>
      <c r="L160">
        <f t="shared" si="8"/>
        <v>0</v>
      </c>
    </row>
    <row r="161" spans="1:12">
      <c r="A161" t="s">
        <v>498</v>
      </c>
      <c r="B161" t="s">
        <v>499</v>
      </c>
      <c r="C161" t="s">
        <v>500</v>
      </c>
      <c r="D161" t="s">
        <v>158</v>
      </c>
      <c r="E161" t="s">
        <v>54</v>
      </c>
      <c r="F161" t="s">
        <v>60</v>
      </c>
      <c r="G161" t="s">
        <v>19</v>
      </c>
      <c r="H161">
        <f>Cleaned_Data!K161</f>
        <v>1.59</v>
      </c>
      <c r="I161" t="str">
        <f t="shared" si="6"/>
        <v>YES</v>
      </c>
      <c r="J161">
        <f>Cleaned_Data!J161</f>
        <v>4</v>
      </c>
      <c r="K161" t="str">
        <f t="shared" si="7"/>
        <v>2024-03</v>
      </c>
      <c r="L161">
        <f t="shared" si="8"/>
        <v>0</v>
      </c>
    </row>
    <row r="162" spans="1:12">
      <c r="A162" t="s">
        <v>501</v>
      </c>
      <c r="B162" t="s">
        <v>502</v>
      </c>
      <c r="C162" t="s">
        <v>503</v>
      </c>
      <c r="D162" t="s">
        <v>35</v>
      </c>
      <c r="E162" t="s">
        <v>28</v>
      </c>
      <c r="F162" t="s">
        <v>17</v>
      </c>
      <c r="G162" t="s">
        <v>19</v>
      </c>
      <c r="H162">
        <f>Cleaned_Data!K162</f>
        <v>35.82</v>
      </c>
      <c r="I162" t="str">
        <f t="shared" si="6"/>
        <v>YES</v>
      </c>
      <c r="J162">
        <f>Cleaned_Data!J162</f>
        <v>48</v>
      </c>
      <c r="K162" t="str">
        <f t="shared" si="7"/>
        <v>2024-09</v>
      </c>
      <c r="L162">
        <f t="shared" si="8"/>
        <v>0</v>
      </c>
    </row>
    <row r="163" spans="1:12">
      <c r="A163" t="s">
        <v>504</v>
      </c>
      <c r="B163" t="s">
        <v>505</v>
      </c>
      <c r="C163" t="s">
        <v>506</v>
      </c>
      <c r="D163" t="s">
        <v>35</v>
      </c>
      <c r="E163" t="s">
        <v>54</v>
      </c>
      <c r="F163" t="s">
        <v>41</v>
      </c>
      <c r="G163" t="s">
        <v>31</v>
      </c>
      <c r="H163">
        <f>Cleaned_Data!K163</f>
        <v>42.51</v>
      </c>
      <c r="I163" t="str">
        <f t="shared" si="6"/>
        <v>YES</v>
      </c>
      <c r="J163">
        <f>Cleaned_Data!J163</f>
        <v>48</v>
      </c>
      <c r="K163" t="str">
        <f t="shared" si="7"/>
        <v>2024-03</v>
      </c>
      <c r="L163">
        <f t="shared" si="8"/>
        <v>0</v>
      </c>
    </row>
    <row r="164" spans="1:12">
      <c r="A164" t="s">
        <v>507</v>
      </c>
      <c r="B164" t="s">
        <v>508</v>
      </c>
      <c r="C164" t="s">
        <v>509</v>
      </c>
      <c r="D164" t="s">
        <v>35</v>
      </c>
      <c r="E164" t="s">
        <v>28</v>
      </c>
      <c r="F164" t="s">
        <v>29</v>
      </c>
      <c r="G164" t="s">
        <v>19</v>
      </c>
      <c r="H164">
        <f>Cleaned_Data!K164</f>
        <v>30.56</v>
      </c>
      <c r="I164" t="str">
        <f t="shared" si="6"/>
        <v>YES</v>
      </c>
      <c r="J164">
        <f>Cleaned_Data!J164</f>
        <v>48</v>
      </c>
      <c r="K164" t="str">
        <f t="shared" si="7"/>
        <v>2024-09</v>
      </c>
      <c r="L164">
        <f t="shared" si="8"/>
        <v>0</v>
      </c>
    </row>
    <row r="165" spans="1:12">
      <c r="A165" t="s">
        <v>510</v>
      </c>
      <c r="B165" t="s">
        <v>511</v>
      </c>
      <c r="C165" t="s">
        <v>512</v>
      </c>
      <c r="D165" t="s">
        <v>158</v>
      </c>
      <c r="E165" t="s">
        <v>28</v>
      </c>
      <c r="F165" t="s">
        <v>29</v>
      </c>
      <c r="G165" t="s">
        <v>19</v>
      </c>
      <c r="H165">
        <f>Cleaned_Data!K165</f>
        <v>3.23</v>
      </c>
      <c r="I165" t="str">
        <f t="shared" si="6"/>
        <v>YES</v>
      </c>
      <c r="J165">
        <f>Cleaned_Data!J165</f>
        <v>4</v>
      </c>
      <c r="K165" t="str">
        <f t="shared" si="7"/>
        <v>2024-08</v>
      </c>
      <c r="L165">
        <f t="shared" si="8"/>
        <v>0</v>
      </c>
    </row>
    <row r="166" spans="1:12">
      <c r="A166" t="s">
        <v>513</v>
      </c>
      <c r="B166" t="s">
        <v>514</v>
      </c>
      <c r="C166" t="s">
        <v>515</v>
      </c>
      <c r="D166" t="s">
        <v>35</v>
      </c>
      <c r="E166" t="s">
        <v>24</v>
      </c>
      <c r="F166" t="s">
        <v>60</v>
      </c>
      <c r="G166" t="s">
        <v>19</v>
      </c>
      <c r="H166">
        <f>Cleaned_Data!K166</f>
        <v>43.73</v>
      </c>
      <c r="I166" t="str">
        <f t="shared" si="6"/>
        <v>YES</v>
      </c>
      <c r="J166">
        <f>Cleaned_Data!J166</f>
        <v>48</v>
      </c>
      <c r="K166" t="str">
        <f t="shared" si="7"/>
        <v>2024-12</v>
      </c>
      <c r="L166">
        <f t="shared" si="8"/>
        <v>0</v>
      </c>
    </row>
    <row r="167" spans="1:12">
      <c r="A167" t="s">
        <v>516</v>
      </c>
      <c r="B167" t="s">
        <v>517</v>
      </c>
      <c r="C167" t="s">
        <v>518</v>
      </c>
      <c r="D167" t="s">
        <v>23</v>
      </c>
      <c r="E167" t="s">
        <v>16</v>
      </c>
      <c r="F167" t="s">
        <v>17</v>
      </c>
      <c r="G167" t="s">
        <v>31</v>
      </c>
      <c r="H167">
        <f>Cleaned_Data!K167</f>
        <v>21.94</v>
      </c>
      <c r="I167" t="str">
        <f t="shared" si="6"/>
        <v>YES</v>
      </c>
      <c r="J167">
        <f>Cleaned_Data!J167</f>
        <v>24</v>
      </c>
      <c r="K167" t="str">
        <f t="shared" si="7"/>
        <v>2024-01</v>
      </c>
      <c r="L167">
        <f t="shared" si="8"/>
        <v>0</v>
      </c>
    </row>
    <row r="168" spans="1:12">
      <c r="A168" t="s">
        <v>519</v>
      </c>
      <c r="B168" t="s">
        <v>520</v>
      </c>
      <c r="C168" t="s">
        <v>521</v>
      </c>
      <c r="D168" t="s">
        <v>35</v>
      </c>
      <c r="E168" t="s">
        <v>28</v>
      </c>
      <c r="F168" t="s">
        <v>36</v>
      </c>
      <c r="G168" t="s">
        <v>31</v>
      </c>
      <c r="H168">
        <f>Cleaned_Data!K168</f>
        <v>33.67</v>
      </c>
      <c r="I168" t="str">
        <f t="shared" si="6"/>
        <v>YES</v>
      </c>
      <c r="J168">
        <f>Cleaned_Data!J168</f>
        <v>48</v>
      </c>
      <c r="K168" t="str">
        <f t="shared" si="7"/>
        <v>2024-11</v>
      </c>
      <c r="L168">
        <f t="shared" si="8"/>
        <v>0</v>
      </c>
    </row>
    <row r="169" spans="1:12">
      <c r="A169" t="s">
        <v>522</v>
      </c>
      <c r="B169" t="s">
        <v>523</v>
      </c>
      <c r="C169" t="s">
        <v>524</v>
      </c>
      <c r="D169" t="s">
        <v>23</v>
      </c>
      <c r="E169" t="s">
        <v>24</v>
      </c>
      <c r="F169" t="s">
        <v>29</v>
      </c>
      <c r="G169" t="s">
        <v>19</v>
      </c>
      <c r="H169">
        <f>Cleaned_Data!K169</f>
        <v>16.25</v>
      </c>
      <c r="I169" t="str">
        <f t="shared" si="6"/>
        <v>YES</v>
      </c>
      <c r="J169">
        <f>Cleaned_Data!J169</f>
        <v>24</v>
      </c>
      <c r="K169" t="str">
        <f t="shared" si="7"/>
        <v>2024-07</v>
      </c>
      <c r="L169">
        <f t="shared" si="8"/>
        <v>0</v>
      </c>
    </row>
    <row r="170" spans="1:12">
      <c r="A170" t="s">
        <v>525</v>
      </c>
      <c r="B170" t="s">
        <v>526</v>
      </c>
      <c r="C170" t="s">
        <v>527</v>
      </c>
      <c r="D170" t="s">
        <v>23</v>
      </c>
      <c r="E170" t="s">
        <v>59</v>
      </c>
      <c r="F170" t="s">
        <v>36</v>
      </c>
      <c r="G170" t="s">
        <v>31</v>
      </c>
      <c r="H170">
        <f>Cleaned_Data!K170</f>
        <v>17.16</v>
      </c>
      <c r="I170" t="str">
        <f t="shared" si="6"/>
        <v>YES</v>
      </c>
      <c r="J170">
        <f>Cleaned_Data!J170</f>
        <v>24</v>
      </c>
      <c r="K170" t="str">
        <f t="shared" si="7"/>
        <v>2024-09</v>
      </c>
      <c r="L170">
        <f t="shared" si="8"/>
        <v>0</v>
      </c>
    </row>
    <row r="171" spans="1:12">
      <c r="A171" t="s">
        <v>528</v>
      </c>
      <c r="B171" t="s">
        <v>529</v>
      </c>
      <c r="C171" t="s">
        <v>530</v>
      </c>
      <c r="D171" t="s">
        <v>23</v>
      </c>
      <c r="E171" t="s">
        <v>24</v>
      </c>
      <c r="F171" t="s">
        <v>36</v>
      </c>
      <c r="G171" t="s">
        <v>31</v>
      </c>
      <c r="H171">
        <f>Cleaned_Data!K171</f>
        <v>39.72</v>
      </c>
      <c r="I171" t="str">
        <f t="shared" si="6"/>
        <v>NO</v>
      </c>
      <c r="J171">
        <f>Cleaned_Data!J171</f>
        <v>24</v>
      </c>
      <c r="K171" t="str">
        <f t="shared" si="7"/>
        <v>2024-12</v>
      </c>
      <c r="L171">
        <f t="shared" si="8"/>
        <v>15.719999999999999</v>
      </c>
    </row>
    <row r="172" spans="1:12">
      <c r="A172" t="s">
        <v>531</v>
      </c>
      <c r="B172" t="s">
        <v>532</v>
      </c>
      <c r="C172" t="s">
        <v>533</v>
      </c>
      <c r="D172" t="s">
        <v>23</v>
      </c>
      <c r="E172" t="s">
        <v>54</v>
      </c>
      <c r="F172" t="s">
        <v>36</v>
      </c>
      <c r="G172" t="s">
        <v>31</v>
      </c>
      <c r="H172">
        <f>Cleaned_Data!K172</f>
        <v>9.1</v>
      </c>
      <c r="I172" t="str">
        <f t="shared" si="6"/>
        <v>YES</v>
      </c>
      <c r="J172">
        <f>Cleaned_Data!J172</f>
        <v>24</v>
      </c>
      <c r="K172" t="str">
        <f t="shared" si="7"/>
        <v>2024-09</v>
      </c>
      <c r="L172">
        <f t="shared" si="8"/>
        <v>0</v>
      </c>
    </row>
    <row r="173" spans="1:12">
      <c r="A173" t="s">
        <v>534</v>
      </c>
      <c r="B173" t="s">
        <v>535</v>
      </c>
      <c r="D173" t="s">
        <v>35</v>
      </c>
      <c r="E173" t="s">
        <v>16</v>
      </c>
      <c r="F173" t="s">
        <v>60</v>
      </c>
      <c r="G173" t="s">
        <v>63</v>
      </c>
      <c r="H173">
        <f>Cleaned_Data!K173</f>
        <v>0</v>
      </c>
      <c r="I173" t="str">
        <f t="shared" si="6"/>
        <v/>
      </c>
      <c r="J173">
        <f>Cleaned_Data!J173</f>
        <v>48</v>
      </c>
      <c r="K173" t="str">
        <f t="shared" si="7"/>
        <v>2024-09</v>
      </c>
      <c r="L173">
        <f t="shared" si="8"/>
        <v>0</v>
      </c>
    </row>
    <row r="174" spans="1:12">
      <c r="A174" t="s">
        <v>536</v>
      </c>
      <c r="B174" t="s">
        <v>537</v>
      </c>
      <c r="C174" t="s">
        <v>538</v>
      </c>
      <c r="D174" t="s">
        <v>35</v>
      </c>
      <c r="E174" t="s">
        <v>28</v>
      </c>
      <c r="F174" t="s">
        <v>41</v>
      </c>
      <c r="G174" t="s">
        <v>19</v>
      </c>
      <c r="H174">
        <f>Cleaned_Data!K174</f>
        <v>7.95</v>
      </c>
      <c r="I174" t="str">
        <f t="shared" si="6"/>
        <v>YES</v>
      </c>
      <c r="J174">
        <f>Cleaned_Data!J174</f>
        <v>48</v>
      </c>
      <c r="K174" t="str">
        <f t="shared" si="7"/>
        <v>2024-03</v>
      </c>
      <c r="L174">
        <f t="shared" si="8"/>
        <v>0</v>
      </c>
    </row>
    <row r="175" spans="1:12">
      <c r="A175" t="s">
        <v>539</v>
      </c>
      <c r="B175" t="s">
        <v>540</v>
      </c>
      <c r="C175" t="s">
        <v>541</v>
      </c>
      <c r="D175" t="s">
        <v>23</v>
      </c>
      <c r="E175" t="s">
        <v>28</v>
      </c>
      <c r="F175" t="s">
        <v>60</v>
      </c>
      <c r="G175" t="s">
        <v>31</v>
      </c>
      <c r="H175">
        <f>Cleaned_Data!K175</f>
        <v>54.12</v>
      </c>
      <c r="I175" t="str">
        <f t="shared" si="6"/>
        <v>NO</v>
      </c>
      <c r="J175">
        <f>Cleaned_Data!J175</f>
        <v>24</v>
      </c>
      <c r="K175" t="str">
        <f t="shared" si="7"/>
        <v>2024-02</v>
      </c>
      <c r="L175">
        <f t="shared" si="8"/>
        <v>30.119999999999997</v>
      </c>
    </row>
    <row r="176" spans="1:12">
      <c r="A176" t="s">
        <v>542</v>
      </c>
      <c r="B176" t="s">
        <v>543</v>
      </c>
      <c r="C176" t="s">
        <v>544</v>
      </c>
      <c r="D176" t="s">
        <v>15</v>
      </c>
      <c r="E176" t="s">
        <v>16</v>
      </c>
      <c r="F176" t="s">
        <v>60</v>
      </c>
      <c r="G176" t="s">
        <v>31</v>
      </c>
      <c r="H176">
        <f>Cleaned_Data!K176</f>
        <v>3.28</v>
      </c>
      <c r="I176" t="str">
        <f t="shared" si="6"/>
        <v>YES</v>
      </c>
      <c r="J176">
        <f>Cleaned_Data!J176</f>
        <v>8</v>
      </c>
      <c r="K176" t="str">
        <f t="shared" si="7"/>
        <v>2024-03</v>
      </c>
      <c r="L176">
        <f t="shared" si="8"/>
        <v>0</v>
      </c>
    </row>
    <row r="177" spans="1:12">
      <c r="A177" t="s">
        <v>545</v>
      </c>
      <c r="B177" t="s">
        <v>546</v>
      </c>
      <c r="C177" t="s">
        <v>547</v>
      </c>
      <c r="D177" t="s">
        <v>23</v>
      </c>
      <c r="E177" t="s">
        <v>16</v>
      </c>
      <c r="F177" t="s">
        <v>41</v>
      </c>
      <c r="G177" t="s">
        <v>19</v>
      </c>
      <c r="H177">
        <f>Cleaned_Data!K177</f>
        <v>18.899999999999999</v>
      </c>
      <c r="I177" t="str">
        <f t="shared" si="6"/>
        <v>YES</v>
      </c>
      <c r="J177">
        <f>Cleaned_Data!J177</f>
        <v>24</v>
      </c>
      <c r="K177" t="str">
        <f t="shared" si="7"/>
        <v>2024-06</v>
      </c>
      <c r="L177">
        <f t="shared" si="8"/>
        <v>0</v>
      </c>
    </row>
    <row r="178" spans="1:12">
      <c r="A178" t="s">
        <v>548</v>
      </c>
      <c r="B178" t="s">
        <v>549</v>
      </c>
      <c r="C178" t="s">
        <v>550</v>
      </c>
      <c r="D178" t="s">
        <v>15</v>
      </c>
      <c r="E178" t="s">
        <v>54</v>
      </c>
      <c r="F178" t="s">
        <v>60</v>
      </c>
      <c r="G178" t="s">
        <v>19</v>
      </c>
      <c r="H178">
        <f>Cleaned_Data!K178</f>
        <v>3.4</v>
      </c>
      <c r="I178" t="str">
        <f t="shared" si="6"/>
        <v>YES</v>
      </c>
      <c r="J178">
        <f>Cleaned_Data!J178</f>
        <v>8</v>
      </c>
      <c r="K178" t="str">
        <f t="shared" si="7"/>
        <v>2024-11</v>
      </c>
      <c r="L178">
        <f t="shared" si="8"/>
        <v>0</v>
      </c>
    </row>
    <row r="179" spans="1:12">
      <c r="A179" t="s">
        <v>551</v>
      </c>
      <c r="B179" t="s">
        <v>552</v>
      </c>
      <c r="C179" t="s">
        <v>553</v>
      </c>
      <c r="D179" t="s">
        <v>35</v>
      </c>
      <c r="E179" t="s">
        <v>16</v>
      </c>
      <c r="F179" t="s">
        <v>17</v>
      </c>
      <c r="G179" t="s">
        <v>19</v>
      </c>
      <c r="H179">
        <f>Cleaned_Data!K179</f>
        <v>717</v>
      </c>
      <c r="I179" t="str">
        <f t="shared" si="6"/>
        <v>NO</v>
      </c>
      <c r="J179">
        <f>Cleaned_Data!J179</f>
        <v>48</v>
      </c>
      <c r="K179" t="str">
        <f t="shared" si="7"/>
        <v>2024-03</v>
      </c>
      <c r="L179">
        <f t="shared" si="8"/>
        <v>669</v>
      </c>
    </row>
    <row r="180" spans="1:12">
      <c r="A180" t="s">
        <v>554</v>
      </c>
      <c r="B180" t="s">
        <v>555</v>
      </c>
      <c r="C180" t="s">
        <v>556</v>
      </c>
      <c r="D180" t="s">
        <v>35</v>
      </c>
      <c r="E180" t="s">
        <v>16</v>
      </c>
      <c r="F180" t="s">
        <v>29</v>
      </c>
      <c r="G180" t="s">
        <v>31</v>
      </c>
      <c r="H180">
        <f>Cleaned_Data!K180</f>
        <v>41.74</v>
      </c>
      <c r="I180" t="str">
        <f t="shared" si="6"/>
        <v>YES</v>
      </c>
      <c r="J180">
        <f>Cleaned_Data!J180</f>
        <v>48</v>
      </c>
      <c r="K180" t="str">
        <f t="shared" si="7"/>
        <v>2024-10</v>
      </c>
      <c r="L180">
        <f t="shared" si="8"/>
        <v>0</v>
      </c>
    </row>
    <row r="181" spans="1:12">
      <c r="A181" t="s">
        <v>557</v>
      </c>
      <c r="B181" t="s">
        <v>558</v>
      </c>
      <c r="D181" t="s">
        <v>158</v>
      </c>
      <c r="E181" t="s">
        <v>28</v>
      </c>
      <c r="F181" t="s">
        <v>41</v>
      </c>
      <c r="G181" t="s">
        <v>63</v>
      </c>
      <c r="H181">
        <f>Cleaned_Data!K181</f>
        <v>0</v>
      </c>
      <c r="I181" t="str">
        <f t="shared" si="6"/>
        <v/>
      </c>
      <c r="J181">
        <f>Cleaned_Data!J181</f>
        <v>4</v>
      </c>
      <c r="K181" t="str">
        <f t="shared" si="7"/>
        <v>2024-06</v>
      </c>
      <c r="L181">
        <f t="shared" si="8"/>
        <v>0</v>
      </c>
    </row>
    <row r="182" spans="1:12">
      <c r="A182" t="s">
        <v>559</v>
      </c>
      <c r="B182" t="s">
        <v>560</v>
      </c>
      <c r="D182" t="s">
        <v>158</v>
      </c>
      <c r="E182" t="s">
        <v>28</v>
      </c>
      <c r="F182" t="s">
        <v>17</v>
      </c>
      <c r="G182" t="s">
        <v>46</v>
      </c>
      <c r="H182">
        <f>Cleaned_Data!K182</f>
        <v>0</v>
      </c>
      <c r="I182" t="str">
        <f t="shared" si="6"/>
        <v/>
      </c>
      <c r="J182">
        <f>Cleaned_Data!J182</f>
        <v>4</v>
      </c>
      <c r="K182" t="str">
        <f t="shared" si="7"/>
        <v>2024-06</v>
      </c>
      <c r="L182">
        <f t="shared" si="8"/>
        <v>0</v>
      </c>
    </row>
    <row r="183" spans="1:12">
      <c r="A183" t="s">
        <v>561</v>
      </c>
      <c r="B183" t="s">
        <v>562</v>
      </c>
      <c r="C183" t="s">
        <v>563</v>
      </c>
      <c r="D183" t="s">
        <v>15</v>
      </c>
      <c r="E183" t="s">
        <v>28</v>
      </c>
      <c r="F183" t="s">
        <v>36</v>
      </c>
      <c r="G183" t="s">
        <v>31</v>
      </c>
      <c r="H183">
        <f>Cleaned_Data!K183</f>
        <v>1.74</v>
      </c>
      <c r="I183" t="str">
        <f t="shared" si="6"/>
        <v>YES</v>
      </c>
      <c r="J183">
        <f>Cleaned_Data!J183</f>
        <v>8</v>
      </c>
      <c r="K183" t="str">
        <f t="shared" si="7"/>
        <v>2024-05</v>
      </c>
      <c r="L183">
        <f t="shared" si="8"/>
        <v>0</v>
      </c>
    </row>
    <row r="184" spans="1:12">
      <c r="A184" t="s">
        <v>564</v>
      </c>
      <c r="B184" t="s">
        <v>565</v>
      </c>
      <c r="C184" t="s">
        <v>566</v>
      </c>
      <c r="D184" t="s">
        <v>23</v>
      </c>
      <c r="E184" t="s">
        <v>16</v>
      </c>
      <c r="F184" t="s">
        <v>41</v>
      </c>
      <c r="G184" t="s">
        <v>31</v>
      </c>
      <c r="H184">
        <f>Cleaned_Data!K184</f>
        <v>26.09</v>
      </c>
      <c r="I184" t="str">
        <f t="shared" si="6"/>
        <v>NO</v>
      </c>
      <c r="J184">
        <f>Cleaned_Data!J184</f>
        <v>24</v>
      </c>
      <c r="K184" t="str">
        <f t="shared" si="7"/>
        <v>2024-11</v>
      </c>
      <c r="L184">
        <f t="shared" si="8"/>
        <v>2.09</v>
      </c>
    </row>
    <row r="185" spans="1:12">
      <c r="A185" t="s">
        <v>567</v>
      </c>
      <c r="B185" t="s">
        <v>568</v>
      </c>
      <c r="C185" t="s">
        <v>569</v>
      </c>
      <c r="D185" t="s">
        <v>23</v>
      </c>
      <c r="E185" t="s">
        <v>16</v>
      </c>
      <c r="F185" t="s">
        <v>60</v>
      </c>
      <c r="G185" t="s">
        <v>19</v>
      </c>
      <c r="H185">
        <f>Cleaned_Data!K185</f>
        <v>8.5399999999999991</v>
      </c>
      <c r="I185" t="str">
        <f t="shared" si="6"/>
        <v>YES</v>
      </c>
      <c r="J185">
        <f>Cleaned_Data!J185</f>
        <v>24</v>
      </c>
      <c r="K185" t="str">
        <f t="shared" si="7"/>
        <v>2024-02</v>
      </c>
      <c r="L185">
        <f t="shared" si="8"/>
        <v>0</v>
      </c>
    </row>
    <row r="186" spans="1:12">
      <c r="A186" t="s">
        <v>570</v>
      </c>
      <c r="B186" t="s">
        <v>571</v>
      </c>
      <c r="C186" t="s">
        <v>572</v>
      </c>
      <c r="D186" t="s">
        <v>23</v>
      </c>
      <c r="E186" t="s">
        <v>54</v>
      </c>
      <c r="F186" t="s">
        <v>36</v>
      </c>
      <c r="G186" t="s">
        <v>31</v>
      </c>
      <c r="H186">
        <f>Cleaned_Data!K186</f>
        <v>13.34</v>
      </c>
      <c r="I186" t="str">
        <f t="shared" si="6"/>
        <v>YES</v>
      </c>
      <c r="J186">
        <f>Cleaned_Data!J186</f>
        <v>24</v>
      </c>
      <c r="K186" t="str">
        <f t="shared" si="7"/>
        <v>2024-06</v>
      </c>
      <c r="L186">
        <f t="shared" si="8"/>
        <v>0</v>
      </c>
    </row>
    <row r="187" spans="1:12">
      <c r="A187" t="s">
        <v>573</v>
      </c>
      <c r="B187" t="s">
        <v>574</v>
      </c>
      <c r="C187" t="s">
        <v>575</v>
      </c>
      <c r="D187" t="s">
        <v>15</v>
      </c>
      <c r="E187" t="s">
        <v>24</v>
      </c>
      <c r="F187" t="s">
        <v>41</v>
      </c>
      <c r="G187" t="s">
        <v>31</v>
      </c>
      <c r="H187">
        <f>Cleaned_Data!K187</f>
        <v>3.63</v>
      </c>
      <c r="I187" t="str">
        <f t="shared" si="6"/>
        <v>YES</v>
      </c>
      <c r="J187">
        <f>Cleaned_Data!J187</f>
        <v>8</v>
      </c>
      <c r="K187" t="str">
        <f t="shared" si="7"/>
        <v>2024-08</v>
      </c>
      <c r="L187">
        <f t="shared" si="8"/>
        <v>0</v>
      </c>
    </row>
    <row r="188" spans="1:12">
      <c r="A188" t="s">
        <v>576</v>
      </c>
      <c r="B188" t="s">
        <v>577</v>
      </c>
      <c r="C188" t="s">
        <v>578</v>
      </c>
      <c r="D188" t="s">
        <v>23</v>
      </c>
      <c r="E188" t="s">
        <v>28</v>
      </c>
      <c r="F188" t="s">
        <v>60</v>
      </c>
      <c r="G188" t="s">
        <v>19</v>
      </c>
      <c r="H188">
        <f>Cleaned_Data!K188</f>
        <v>51.13</v>
      </c>
      <c r="I188" t="str">
        <f t="shared" si="6"/>
        <v>NO</v>
      </c>
      <c r="J188">
        <f>Cleaned_Data!J188</f>
        <v>24</v>
      </c>
      <c r="K188" t="str">
        <f t="shared" si="7"/>
        <v>2024-02</v>
      </c>
      <c r="L188">
        <f t="shared" si="8"/>
        <v>27.130000000000003</v>
      </c>
    </row>
    <row r="189" spans="1:12">
      <c r="A189" t="s">
        <v>579</v>
      </c>
      <c r="B189" t="s">
        <v>580</v>
      </c>
      <c r="C189" t="s">
        <v>581</v>
      </c>
      <c r="D189" t="s">
        <v>158</v>
      </c>
      <c r="E189" t="s">
        <v>28</v>
      </c>
      <c r="F189" t="s">
        <v>29</v>
      </c>
      <c r="G189" t="s">
        <v>31</v>
      </c>
      <c r="H189">
        <f>Cleaned_Data!K189</f>
        <v>0.63</v>
      </c>
      <c r="I189" t="str">
        <f t="shared" si="6"/>
        <v>YES</v>
      </c>
      <c r="J189">
        <f>Cleaned_Data!J189</f>
        <v>4</v>
      </c>
      <c r="K189" t="str">
        <f t="shared" si="7"/>
        <v>2024-07</v>
      </c>
      <c r="L189">
        <f t="shared" si="8"/>
        <v>0</v>
      </c>
    </row>
    <row r="190" spans="1:12">
      <c r="A190" t="s">
        <v>582</v>
      </c>
      <c r="B190" t="s">
        <v>583</v>
      </c>
      <c r="C190" t="s">
        <v>584</v>
      </c>
      <c r="D190" t="s">
        <v>23</v>
      </c>
      <c r="E190" t="s">
        <v>16</v>
      </c>
      <c r="F190" t="s">
        <v>29</v>
      </c>
      <c r="G190" t="s">
        <v>19</v>
      </c>
      <c r="H190">
        <f>Cleaned_Data!K190</f>
        <v>19</v>
      </c>
      <c r="I190" t="str">
        <f t="shared" si="6"/>
        <v>YES</v>
      </c>
      <c r="J190">
        <f>Cleaned_Data!J190</f>
        <v>24</v>
      </c>
      <c r="K190" t="str">
        <f t="shared" si="7"/>
        <v>2024-09</v>
      </c>
      <c r="L190">
        <f t="shared" si="8"/>
        <v>0</v>
      </c>
    </row>
    <row r="191" spans="1:12">
      <c r="A191" t="s">
        <v>585</v>
      </c>
      <c r="B191" t="s">
        <v>586</v>
      </c>
      <c r="C191" t="s">
        <v>587</v>
      </c>
      <c r="D191" t="s">
        <v>23</v>
      </c>
      <c r="E191" t="s">
        <v>59</v>
      </c>
      <c r="F191" t="s">
        <v>41</v>
      </c>
      <c r="G191" t="s">
        <v>19</v>
      </c>
      <c r="H191">
        <f>Cleaned_Data!K191</f>
        <v>17.010000000000002</v>
      </c>
      <c r="I191" t="str">
        <f t="shared" si="6"/>
        <v>YES</v>
      </c>
      <c r="J191">
        <f>Cleaned_Data!J191</f>
        <v>24</v>
      </c>
      <c r="K191" t="str">
        <f t="shared" si="7"/>
        <v>2024-10</v>
      </c>
      <c r="L191">
        <f t="shared" si="8"/>
        <v>0</v>
      </c>
    </row>
    <row r="192" spans="1:12">
      <c r="A192" t="s">
        <v>588</v>
      </c>
      <c r="B192" t="s">
        <v>589</v>
      </c>
      <c r="C192" t="s">
        <v>590</v>
      </c>
      <c r="D192" t="s">
        <v>15</v>
      </c>
      <c r="E192" t="s">
        <v>24</v>
      </c>
      <c r="F192" t="s">
        <v>17</v>
      </c>
      <c r="G192" t="s">
        <v>19</v>
      </c>
      <c r="H192">
        <f>Cleaned_Data!K192</f>
        <v>3.51</v>
      </c>
      <c r="I192" t="str">
        <f t="shared" si="6"/>
        <v>YES</v>
      </c>
      <c r="J192">
        <f>Cleaned_Data!J192</f>
        <v>8</v>
      </c>
      <c r="K192" t="str">
        <f t="shared" si="7"/>
        <v>2024-01</v>
      </c>
      <c r="L192">
        <f t="shared" si="8"/>
        <v>0</v>
      </c>
    </row>
    <row r="193" spans="1:12">
      <c r="A193" t="s">
        <v>591</v>
      </c>
      <c r="B193" t="s">
        <v>592</v>
      </c>
      <c r="C193" t="s">
        <v>593</v>
      </c>
      <c r="D193" t="s">
        <v>15</v>
      </c>
      <c r="E193" t="s">
        <v>16</v>
      </c>
      <c r="F193" t="s">
        <v>17</v>
      </c>
      <c r="G193" t="s">
        <v>19</v>
      </c>
      <c r="H193">
        <f>Cleaned_Data!K193</f>
        <v>6.69</v>
      </c>
      <c r="I193" t="str">
        <f t="shared" si="6"/>
        <v>YES</v>
      </c>
      <c r="J193">
        <f>Cleaned_Data!J193</f>
        <v>8</v>
      </c>
      <c r="K193" t="str">
        <f t="shared" si="7"/>
        <v>2024-07</v>
      </c>
      <c r="L193">
        <f t="shared" si="8"/>
        <v>0</v>
      </c>
    </row>
    <row r="194" spans="1:12">
      <c r="A194" t="s">
        <v>594</v>
      </c>
      <c r="B194" t="s">
        <v>595</v>
      </c>
      <c r="C194" t="s">
        <v>596</v>
      </c>
      <c r="D194" t="s">
        <v>23</v>
      </c>
      <c r="E194" t="s">
        <v>28</v>
      </c>
      <c r="F194" t="s">
        <v>41</v>
      </c>
      <c r="G194" t="s">
        <v>19</v>
      </c>
      <c r="H194">
        <f>Cleaned_Data!K194</f>
        <v>41.07</v>
      </c>
      <c r="I194" t="str">
        <f t="shared" ref="I194:I257" si="9">IF(OR(G194="Resolved", G194="Closed"), IF(AND(H194&lt;&gt;"", H194&lt;=J194), "YES", "NO"), "")</f>
        <v>NO</v>
      </c>
      <c r="J194">
        <f>Cleaned_Data!J194</f>
        <v>24</v>
      </c>
      <c r="K194" t="str">
        <f t="shared" ref="K194:K257" si="10">LEFT(B194, 7)</f>
        <v>2024-02</v>
      </c>
      <c r="L194">
        <f t="shared" ref="L194:L257" si="11">IF(I194="NO", H194-J194, 0)</f>
        <v>17.07</v>
      </c>
    </row>
    <row r="195" spans="1:12">
      <c r="A195" t="s">
        <v>597</v>
      </c>
      <c r="B195" t="s">
        <v>598</v>
      </c>
      <c r="C195" t="s">
        <v>599</v>
      </c>
      <c r="D195" t="s">
        <v>23</v>
      </c>
      <c r="E195" t="s">
        <v>59</v>
      </c>
      <c r="F195" t="s">
        <v>60</v>
      </c>
      <c r="G195" t="s">
        <v>31</v>
      </c>
      <c r="H195">
        <f>Cleaned_Data!K195</f>
        <v>4.01</v>
      </c>
      <c r="I195" t="str">
        <f t="shared" si="9"/>
        <v>YES</v>
      </c>
      <c r="J195">
        <f>Cleaned_Data!J195</f>
        <v>24</v>
      </c>
      <c r="K195" t="str">
        <f t="shared" si="10"/>
        <v>2024-09</v>
      </c>
      <c r="L195">
        <f t="shared" si="11"/>
        <v>0</v>
      </c>
    </row>
    <row r="196" spans="1:12">
      <c r="A196" t="s">
        <v>600</v>
      </c>
      <c r="B196" t="s">
        <v>601</v>
      </c>
      <c r="C196" t="s">
        <v>602</v>
      </c>
      <c r="D196" t="s">
        <v>15</v>
      </c>
      <c r="E196" t="s">
        <v>28</v>
      </c>
      <c r="F196" t="s">
        <v>36</v>
      </c>
      <c r="G196" t="s">
        <v>19</v>
      </c>
      <c r="H196">
        <f>Cleaned_Data!K196</f>
        <v>3.83</v>
      </c>
      <c r="I196" t="str">
        <f t="shared" si="9"/>
        <v>YES</v>
      </c>
      <c r="J196">
        <f>Cleaned_Data!J196</f>
        <v>8</v>
      </c>
      <c r="K196" t="str">
        <f t="shared" si="10"/>
        <v>2024-11</v>
      </c>
      <c r="L196">
        <f t="shared" si="11"/>
        <v>0</v>
      </c>
    </row>
    <row r="197" spans="1:12">
      <c r="A197" t="s">
        <v>603</v>
      </c>
      <c r="B197" t="s">
        <v>604</v>
      </c>
      <c r="C197" t="s">
        <v>605</v>
      </c>
      <c r="D197" t="s">
        <v>23</v>
      </c>
      <c r="E197" t="s">
        <v>28</v>
      </c>
      <c r="F197" t="s">
        <v>36</v>
      </c>
      <c r="G197" t="s">
        <v>31</v>
      </c>
      <c r="H197">
        <f>Cleaned_Data!K197</f>
        <v>22.76</v>
      </c>
      <c r="I197" t="str">
        <f t="shared" si="9"/>
        <v>YES</v>
      </c>
      <c r="J197">
        <f>Cleaned_Data!J197</f>
        <v>24</v>
      </c>
      <c r="K197" t="str">
        <f t="shared" si="10"/>
        <v>2024-03</v>
      </c>
      <c r="L197">
        <f t="shared" si="11"/>
        <v>0</v>
      </c>
    </row>
    <row r="198" spans="1:12">
      <c r="A198" t="s">
        <v>606</v>
      </c>
      <c r="B198" t="s">
        <v>607</v>
      </c>
      <c r="C198" t="s">
        <v>608</v>
      </c>
      <c r="D198" t="s">
        <v>35</v>
      </c>
      <c r="E198" t="s">
        <v>24</v>
      </c>
      <c r="F198" t="s">
        <v>41</v>
      </c>
      <c r="G198" t="s">
        <v>19</v>
      </c>
      <c r="H198">
        <f>Cleaned_Data!K198</f>
        <v>11.33</v>
      </c>
      <c r="I198" t="str">
        <f t="shared" si="9"/>
        <v>YES</v>
      </c>
      <c r="J198">
        <f>Cleaned_Data!J198</f>
        <v>48</v>
      </c>
      <c r="K198" t="str">
        <f t="shared" si="10"/>
        <v>2024-11</v>
      </c>
      <c r="L198">
        <f t="shared" si="11"/>
        <v>0</v>
      </c>
    </row>
    <row r="199" spans="1:12">
      <c r="A199" t="s">
        <v>609</v>
      </c>
      <c r="B199" t="s">
        <v>610</v>
      </c>
      <c r="C199" t="s">
        <v>611</v>
      </c>
      <c r="D199" t="s">
        <v>23</v>
      </c>
      <c r="E199" t="s">
        <v>16</v>
      </c>
      <c r="F199" t="s">
        <v>36</v>
      </c>
      <c r="G199" t="s">
        <v>19</v>
      </c>
      <c r="H199">
        <f>Cleaned_Data!K199</f>
        <v>9.8699999999999992</v>
      </c>
      <c r="I199" t="str">
        <f t="shared" si="9"/>
        <v>YES</v>
      </c>
      <c r="J199">
        <f>Cleaned_Data!J199</f>
        <v>24</v>
      </c>
      <c r="K199" t="str">
        <f t="shared" si="10"/>
        <v>2024-11</v>
      </c>
      <c r="L199">
        <f t="shared" si="11"/>
        <v>0</v>
      </c>
    </row>
    <row r="200" spans="1:12">
      <c r="A200" t="s">
        <v>612</v>
      </c>
      <c r="B200" t="s">
        <v>613</v>
      </c>
      <c r="C200" t="s">
        <v>614</v>
      </c>
      <c r="D200" t="s">
        <v>158</v>
      </c>
      <c r="E200" t="s">
        <v>24</v>
      </c>
      <c r="F200" t="s">
        <v>41</v>
      </c>
      <c r="G200" t="s">
        <v>19</v>
      </c>
      <c r="H200">
        <f>Cleaned_Data!K200</f>
        <v>2.35</v>
      </c>
      <c r="I200" t="str">
        <f t="shared" si="9"/>
        <v>YES</v>
      </c>
      <c r="J200">
        <f>Cleaned_Data!J200</f>
        <v>4</v>
      </c>
      <c r="K200" t="str">
        <f t="shared" si="10"/>
        <v>2024-08</v>
      </c>
      <c r="L200">
        <f t="shared" si="11"/>
        <v>0</v>
      </c>
    </row>
    <row r="201" spans="1:12">
      <c r="A201" t="s">
        <v>615</v>
      </c>
      <c r="B201" t="s">
        <v>616</v>
      </c>
      <c r="C201" t="s">
        <v>617</v>
      </c>
      <c r="D201" t="s">
        <v>15</v>
      </c>
      <c r="E201" t="s">
        <v>28</v>
      </c>
      <c r="F201" t="s">
        <v>36</v>
      </c>
      <c r="G201" t="s">
        <v>31</v>
      </c>
      <c r="H201">
        <f>Cleaned_Data!K201</f>
        <v>3.43</v>
      </c>
      <c r="I201" t="str">
        <f t="shared" si="9"/>
        <v>YES</v>
      </c>
      <c r="J201">
        <f>Cleaned_Data!J201</f>
        <v>8</v>
      </c>
      <c r="K201" t="str">
        <f t="shared" si="10"/>
        <v>2024-06</v>
      </c>
      <c r="L201">
        <f t="shared" si="11"/>
        <v>0</v>
      </c>
    </row>
    <row r="202" spans="1:12">
      <c r="A202" t="s">
        <v>618</v>
      </c>
      <c r="B202" t="s">
        <v>619</v>
      </c>
      <c r="C202" t="s">
        <v>620</v>
      </c>
      <c r="D202" t="s">
        <v>23</v>
      </c>
      <c r="E202" t="s">
        <v>16</v>
      </c>
      <c r="F202" t="s">
        <v>17</v>
      </c>
      <c r="G202" t="s">
        <v>19</v>
      </c>
      <c r="H202">
        <f>Cleaned_Data!K202</f>
        <v>48.19</v>
      </c>
      <c r="I202" t="str">
        <f t="shared" si="9"/>
        <v>NO</v>
      </c>
      <c r="J202">
        <f>Cleaned_Data!J202</f>
        <v>24</v>
      </c>
      <c r="K202" t="str">
        <f t="shared" si="10"/>
        <v>2024-04</v>
      </c>
      <c r="L202">
        <f t="shared" si="11"/>
        <v>24.189999999999998</v>
      </c>
    </row>
    <row r="203" spans="1:12">
      <c r="A203" t="s">
        <v>621</v>
      </c>
      <c r="B203" t="s">
        <v>622</v>
      </c>
      <c r="C203" t="s">
        <v>623</v>
      </c>
      <c r="D203" t="s">
        <v>158</v>
      </c>
      <c r="E203" t="s">
        <v>24</v>
      </c>
      <c r="F203" t="s">
        <v>41</v>
      </c>
      <c r="G203" t="s">
        <v>31</v>
      </c>
      <c r="H203">
        <f>Cleaned_Data!K203</f>
        <v>11.9</v>
      </c>
      <c r="I203" t="str">
        <f t="shared" si="9"/>
        <v>NO</v>
      </c>
      <c r="J203">
        <f>Cleaned_Data!J203</f>
        <v>4</v>
      </c>
      <c r="K203" t="str">
        <f t="shared" si="10"/>
        <v>2024-11</v>
      </c>
      <c r="L203">
        <f t="shared" si="11"/>
        <v>7.9</v>
      </c>
    </row>
    <row r="204" spans="1:12">
      <c r="A204" t="s">
        <v>624</v>
      </c>
      <c r="B204" t="s">
        <v>625</v>
      </c>
      <c r="C204" t="s">
        <v>626</v>
      </c>
      <c r="D204" t="s">
        <v>158</v>
      </c>
      <c r="E204" t="s">
        <v>28</v>
      </c>
      <c r="F204" t="s">
        <v>29</v>
      </c>
      <c r="G204" t="s">
        <v>31</v>
      </c>
      <c r="H204">
        <f>Cleaned_Data!K204</f>
        <v>9.17</v>
      </c>
      <c r="I204" t="str">
        <f t="shared" si="9"/>
        <v>NO</v>
      </c>
      <c r="J204">
        <f>Cleaned_Data!J204</f>
        <v>4</v>
      </c>
      <c r="K204" t="str">
        <f t="shared" si="10"/>
        <v>2024-10</v>
      </c>
      <c r="L204">
        <f t="shared" si="11"/>
        <v>5.17</v>
      </c>
    </row>
    <row r="205" spans="1:12">
      <c r="A205" t="s">
        <v>627</v>
      </c>
      <c r="B205" t="s">
        <v>628</v>
      </c>
      <c r="C205" t="s">
        <v>629</v>
      </c>
      <c r="D205" t="s">
        <v>15</v>
      </c>
      <c r="E205" t="s">
        <v>59</v>
      </c>
      <c r="F205" t="s">
        <v>17</v>
      </c>
      <c r="G205" t="s">
        <v>31</v>
      </c>
      <c r="H205">
        <f>Cleaned_Data!K205</f>
        <v>4.57</v>
      </c>
      <c r="I205" t="str">
        <f t="shared" si="9"/>
        <v>YES</v>
      </c>
      <c r="J205">
        <f>Cleaned_Data!J205</f>
        <v>8</v>
      </c>
      <c r="K205" t="str">
        <f t="shared" si="10"/>
        <v>2024-07</v>
      </c>
      <c r="L205">
        <f t="shared" si="11"/>
        <v>0</v>
      </c>
    </row>
    <row r="206" spans="1:12">
      <c r="A206" t="s">
        <v>630</v>
      </c>
      <c r="B206" t="s">
        <v>631</v>
      </c>
      <c r="C206" t="s">
        <v>632</v>
      </c>
      <c r="D206" t="s">
        <v>35</v>
      </c>
      <c r="E206" t="s">
        <v>24</v>
      </c>
      <c r="F206" t="s">
        <v>36</v>
      </c>
      <c r="G206" t="s">
        <v>19</v>
      </c>
      <c r="H206">
        <f>Cleaned_Data!K206</f>
        <v>117.69</v>
      </c>
      <c r="I206" t="str">
        <f t="shared" si="9"/>
        <v>NO</v>
      </c>
      <c r="J206">
        <f>Cleaned_Data!J206</f>
        <v>48</v>
      </c>
      <c r="K206" t="str">
        <f t="shared" si="10"/>
        <v>2024-11</v>
      </c>
      <c r="L206">
        <f t="shared" si="11"/>
        <v>69.69</v>
      </c>
    </row>
    <row r="207" spans="1:12">
      <c r="A207" t="s">
        <v>633</v>
      </c>
      <c r="B207" t="s">
        <v>634</v>
      </c>
      <c r="C207" t="s">
        <v>635</v>
      </c>
      <c r="D207" t="s">
        <v>23</v>
      </c>
      <c r="E207" t="s">
        <v>54</v>
      </c>
      <c r="F207" t="s">
        <v>17</v>
      </c>
      <c r="G207" t="s">
        <v>31</v>
      </c>
      <c r="H207">
        <f>Cleaned_Data!K207</f>
        <v>16.27</v>
      </c>
      <c r="I207" t="str">
        <f t="shared" si="9"/>
        <v>YES</v>
      </c>
      <c r="J207">
        <f>Cleaned_Data!J207</f>
        <v>24</v>
      </c>
      <c r="K207" t="str">
        <f t="shared" si="10"/>
        <v>2024-10</v>
      </c>
      <c r="L207">
        <f t="shared" si="11"/>
        <v>0</v>
      </c>
    </row>
    <row r="208" spans="1:12">
      <c r="A208" t="s">
        <v>636</v>
      </c>
      <c r="B208" t="s">
        <v>637</v>
      </c>
      <c r="C208" t="s">
        <v>638</v>
      </c>
      <c r="D208" t="s">
        <v>35</v>
      </c>
      <c r="E208" t="s">
        <v>54</v>
      </c>
      <c r="F208" t="s">
        <v>60</v>
      </c>
      <c r="G208" t="s">
        <v>31</v>
      </c>
      <c r="H208">
        <f>Cleaned_Data!K208</f>
        <v>25.32</v>
      </c>
      <c r="I208" t="str">
        <f t="shared" si="9"/>
        <v>YES</v>
      </c>
      <c r="J208">
        <f>Cleaned_Data!J208</f>
        <v>48</v>
      </c>
      <c r="K208" t="str">
        <f t="shared" si="10"/>
        <v>2024-12</v>
      </c>
      <c r="L208">
        <f t="shared" si="11"/>
        <v>0</v>
      </c>
    </row>
    <row r="209" spans="1:12">
      <c r="A209" t="s">
        <v>639</v>
      </c>
      <c r="B209" t="s">
        <v>640</v>
      </c>
      <c r="C209" t="s">
        <v>641</v>
      </c>
      <c r="D209" t="s">
        <v>15</v>
      </c>
      <c r="E209" t="s">
        <v>24</v>
      </c>
      <c r="F209" t="s">
        <v>17</v>
      </c>
      <c r="G209" t="s">
        <v>19</v>
      </c>
      <c r="H209">
        <f>Cleaned_Data!K209</f>
        <v>3.15</v>
      </c>
      <c r="I209" t="str">
        <f t="shared" si="9"/>
        <v>YES</v>
      </c>
      <c r="J209">
        <f>Cleaned_Data!J209</f>
        <v>8</v>
      </c>
      <c r="K209" t="str">
        <f t="shared" si="10"/>
        <v>2024-11</v>
      </c>
      <c r="L209">
        <f t="shared" si="11"/>
        <v>0</v>
      </c>
    </row>
    <row r="210" spans="1:12">
      <c r="A210" t="s">
        <v>642</v>
      </c>
      <c r="B210" t="s">
        <v>643</v>
      </c>
      <c r="D210" t="s">
        <v>15</v>
      </c>
      <c r="E210" t="s">
        <v>24</v>
      </c>
      <c r="F210" t="s">
        <v>17</v>
      </c>
      <c r="G210" t="s">
        <v>63</v>
      </c>
      <c r="H210">
        <f>Cleaned_Data!K210</f>
        <v>0</v>
      </c>
      <c r="I210" t="str">
        <f t="shared" si="9"/>
        <v/>
      </c>
      <c r="J210">
        <f>Cleaned_Data!J210</f>
        <v>8</v>
      </c>
      <c r="K210" t="str">
        <f t="shared" si="10"/>
        <v>2024-12</v>
      </c>
      <c r="L210">
        <f t="shared" si="11"/>
        <v>0</v>
      </c>
    </row>
    <row r="211" spans="1:12">
      <c r="A211" t="s">
        <v>644</v>
      </c>
      <c r="B211" t="s">
        <v>645</v>
      </c>
      <c r="C211" t="s">
        <v>646</v>
      </c>
      <c r="D211" t="s">
        <v>15</v>
      </c>
      <c r="E211" t="s">
        <v>28</v>
      </c>
      <c r="F211" t="s">
        <v>60</v>
      </c>
      <c r="G211" t="s">
        <v>19</v>
      </c>
      <c r="H211">
        <f>Cleaned_Data!K211</f>
        <v>7.2</v>
      </c>
      <c r="I211" t="str">
        <f t="shared" si="9"/>
        <v>YES</v>
      </c>
      <c r="J211">
        <f>Cleaned_Data!J211</f>
        <v>8</v>
      </c>
      <c r="K211" t="str">
        <f t="shared" si="10"/>
        <v>2024-04</v>
      </c>
      <c r="L211">
        <f t="shared" si="11"/>
        <v>0</v>
      </c>
    </row>
    <row r="212" spans="1:12">
      <c r="A212" t="s">
        <v>647</v>
      </c>
      <c r="B212" t="s">
        <v>648</v>
      </c>
      <c r="C212" t="s">
        <v>649</v>
      </c>
      <c r="D212" t="s">
        <v>23</v>
      </c>
      <c r="E212" t="s">
        <v>59</v>
      </c>
      <c r="F212" t="s">
        <v>29</v>
      </c>
      <c r="G212" t="s">
        <v>19</v>
      </c>
      <c r="H212">
        <f>Cleaned_Data!K212</f>
        <v>29</v>
      </c>
      <c r="I212" t="str">
        <f t="shared" si="9"/>
        <v>NO</v>
      </c>
      <c r="J212">
        <f>Cleaned_Data!J212</f>
        <v>24</v>
      </c>
      <c r="K212" t="str">
        <f t="shared" si="10"/>
        <v>2024-09</v>
      </c>
      <c r="L212">
        <f t="shared" si="11"/>
        <v>5</v>
      </c>
    </row>
    <row r="213" spans="1:12">
      <c r="A213" t="s">
        <v>650</v>
      </c>
      <c r="B213" t="s">
        <v>651</v>
      </c>
      <c r="C213" t="s">
        <v>652</v>
      </c>
      <c r="D213" t="s">
        <v>23</v>
      </c>
      <c r="E213" t="s">
        <v>54</v>
      </c>
      <c r="F213" t="s">
        <v>60</v>
      </c>
      <c r="G213" t="s">
        <v>31</v>
      </c>
      <c r="H213">
        <f>Cleaned_Data!K213</f>
        <v>20.54</v>
      </c>
      <c r="I213" t="str">
        <f t="shared" si="9"/>
        <v>YES</v>
      </c>
      <c r="J213">
        <f>Cleaned_Data!J213</f>
        <v>24</v>
      </c>
      <c r="K213" t="str">
        <f t="shared" si="10"/>
        <v>2024-10</v>
      </c>
      <c r="L213">
        <f t="shared" si="11"/>
        <v>0</v>
      </c>
    </row>
    <row r="214" spans="1:12">
      <c r="A214" t="s">
        <v>653</v>
      </c>
      <c r="B214" t="s">
        <v>654</v>
      </c>
      <c r="C214" t="s">
        <v>655</v>
      </c>
      <c r="D214" t="s">
        <v>35</v>
      </c>
      <c r="E214" t="s">
        <v>28</v>
      </c>
      <c r="F214" t="s">
        <v>41</v>
      </c>
      <c r="G214" t="s">
        <v>19</v>
      </c>
      <c r="H214">
        <f>Cleaned_Data!K214</f>
        <v>11.25</v>
      </c>
      <c r="I214" t="str">
        <f t="shared" si="9"/>
        <v>YES</v>
      </c>
      <c r="J214">
        <f>Cleaned_Data!J214</f>
        <v>48</v>
      </c>
      <c r="K214" t="str">
        <f t="shared" si="10"/>
        <v>2024-09</v>
      </c>
      <c r="L214">
        <f t="shared" si="11"/>
        <v>0</v>
      </c>
    </row>
    <row r="215" spans="1:12">
      <c r="A215" t="s">
        <v>656</v>
      </c>
      <c r="B215" t="s">
        <v>657</v>
      </c>
      <c r="C215" t="s">
        <v>658</v>
      </c>
      <c r="D215" t="s">
        <v>15</v>
      </c>
      <c r="E215" t="s">
        <v>54</v>
      </c>
      <c r="F215" t="s">
        <v>29</v>
      </c>
      <c r="G215" t="s">
        <v>19</v>
      </c>
      <c r="H215">
        <f>Cleaned_Data!K215</f>
        <v>13.79</v>
      </c>
      <c r="I215" t="str">
        <f t="shared" si="9"/>
        <v>NO</v>
      </c>
      <c r="J215">
        <f>Cleaned_Data!J215</f>
        <v>8</v>
      </c>
      <c r="K215" t="str">
        <f t="shared" si="10"/>
        <v>2024-06</v>
      </c>
      <c r="L215">
        <f t="shared" si="11"/>
        <v>5.7899999999999991</v>
      </c>
    </row>
    <row r="216" spans="1:12">
      <c r="A216" t="s">
        <v>659</v>
      </c>
      <c r="B216" t="s">
        <v>660</v>
      </c>
      <c r="C216" t="s">
        <v>661</v>
      </c>
      <c r="D216" t="s">
        <v>23</v>
      </c>
      <c r="E216" t="s">
        <v>54</v>
      </c>
      <c r="F216" t="s">
        <v>29</v>
      </c>
      <c r="G216" t="s">
        <v>19</v>
      </c>
      <c r="H216">
        <f>Cleaned_Data!K216</f>
        <v>7.46</v>
      </c>
      <c r="I216" t="str">
        <f t="shared" si="9"/>
        <v>YES</v>
      </c>
      <c r="J216">
        <f>Cleaned_Data!J216</f>
        <v>24</v>
      </c>
      <c r="K216" t="str">
        <f t="shared" si="10"/>
        <v>2024-10</v>
      </c>
      <c r="L216">
        <f t="shared" si="11"/>
        <v>0</v>
      </c>
    </row>
    <row r="217" spans="1:12">
      <c r="A217" t="s">
        <v>662</v>
      </c>
      <c r="B217" t="s">
        <v>663</v>
      </c>
      <c r="D217" t="s">
        <v>35</v>
      </c>
      <c r="E217" t="s">
        <v>16</v>
      </c>
      <c r="F217" t="s">
        <v>41</v>
      </c>
      <c r="G217" t="s">
        <v>46</v>
      </c>
      <c r="H217">
        <f>Cleaned_Data!K217</f>
        <v>0</v>
      </c>
      <c r="I217" t="str">
        <f t="shared" si="9"/>
        <v/>
      </c>
      <c r="J217">
        <f>Cleaned_Data!J217</f>
        <v>48</v>
      </c>
      <c r="K217" t="str">
        <f t="shared" si="10"/>
        <v>2024-04</v>
      </c>
      <c r="L217">
        <f t="shared" si="11"/>
        <v>0</v>
      </c>
    </row>
    <row r="218" spans="1:12">
      <c r="A218" t="s">
        <v>664</v>
      </c>
      <c r="B218" t="s">
        <v>665</v>
      </c>
      <c r="C218" t="s">
        <v>666</v>
      </c>
      <c r="D218" t="s">
        <v>15</v>
      </c>
      <c r="E218" t="s">
        <v>28</v>
      </c>
      <c r="F218" t="s">
        <v>60</v>
      </c>
      <c r="G218" t="s">
        <v>19</v>
      </c>
      <c r="H218">
        <f>Cleaned_Data!K218</f>
        <v>4.1900000000000004</v>
      </c>
      <c r="I218" t="str">
        <f t="shared" si="9"/>
        <v>YES</v>
      </c>
      <c r="J218">
        <f>Cleaned_Data!J218</f>
        <v>8</v>
      </c>
      <c r="K218" t="str">
        <f t="shared" si="10"/>
        <v>2024-12</v>
      </c>
      <c r="L218">
        <f t="shared" si="11"/>
        <v>0</v>
      </c>
    </row>
    <row r="219" spans="1:12">
      <c r="A219" t="s">
        <v>667</v>
      </c>
      <c r="B219" t="s">
        <v>668</v>
      </c>
      <c r="C219" t="s">
        <v>669</v>
      </c>
      <c r="D219" t="s">
        <v>35</v>
      </c>
      <c r="E219" t="s">
        <v>28</v>
      </c>
      <c r="F219" t="s">
        <v>36</v>
      </c>
      <c r="G219" t="s">
        <v>19</v>
      </c>
      <c r="H219">
        <f>Cleaned_Data!K219</f>
        <v>70.540000000000006</v>
      </c>
      <c r="I219" t="str">
        <f t="shared" si="9"/>
        <v>NO</v>
      </c>
      <c r="J219">
        <f>Cleaned_Data!J219</f>
        <v>48</v>
      </c>
      <c r="K219" t="str">
        <f t="shared" si="10"/>
        <v>2024-07</v>
      </c>
      <c r="L219">
        <f t="shared" si="11"/>
        <v>22.540000000000006</v>
      </c>
    </row>
    <row r="220" spans="1:12">
      <c r="A220" t="s">
        <v>670</v>
      </c>
      <c r="B220" t="s">
        <v>671</v>
      </c>
      <c r="C220" t="s">
        <v>672</v>
      </c>
      <c r="D220" t="s">
        <v>15</v>
      </c>
      <c r="E220" t="s">
        <v>54</v>
      </c>
      <c r="F220" t="s">
        <v>41</v>
      </c>
      <c r="G220" t="s">
        <v>19</v>
      </c>
      <c r="H220">
        <f>Cleaned_Data!K220</f>
        <v>15.12</v>
      </c>
      <c r="I220" t="str">
        <f t="shared" si="9"/>
        <v>NO</v>
      </c>
      <c r="J220">
        <f>Cleaned_Data!J220</f>
        <v>8</v>
      </c>
      <c r="K220" t="str">
        <f t="shared" si="10"/>
        <v>2024-01</v>
      </c>
      <c r="L220">
        <f t="shared" si="11"/>
        <v>7.1199999999999992</v>
      </c>
    </row>
    <row r="221" spans="1:12">
      <c r="A221" t="s">
        <v>673</v>
      </c>
      <c r="B221" t="s">
        <v>674</v>
      </c>
      <c r="C221" t="s">
        <v>675</v>
      </c>
      <c r="D221" t="s">
        <v>23</v>
      </c>
      <c r="E221" t="s">
        <v>28</v>
      </c>
      <c r="F221" t="s">
        <v>36</v>
      </c>
      <c r="G221" t="s">
        <v>19</v>
      </c>
      <c r="H221">
        <f>Cleaned_Data!K221</f>
        <v>9.8000000000000007</v>
      </c>
      <c r="I221" t="str">
        <f t="shared" si="9"/>
        <v>YES</v>
      </c>
      <c r="J221">
        <f>Cleaned_Data!J221</f>
        <v>24</v>
      </c>
      <c r="K221" t="str">
        <f t="shared" si="10"/>
        <v>2024-10</v>
      </c>
      <c r="L221">
        <f t="shared" si="11"/>
        <v>0</v>
      </c>
    </row>
    <row r="222" spans="1:12">
      <c r="A222" t="s">
        <v>676</v>
      </c>
      <c r="B222" t="s">
        <v>677</v>
      </c>
      <c r="C222" t="s">
        <v>678</v>
      </c>
      <c r="D222" t="s">
        <v>23</v>
      </c>
      <c r="E222" t="s">
        <v>16</v>
      </c>
      <c r="F222" t="s">
        <v>29</v>
      </c>
      <c r="G222" t="s">
        <v>31</v>
      </c>
      <c r="H222">
        <f>Cleaned_Data!K222</f>
        <v>22.29</v>
      </c>
      <c r="I222" t="str">
        <f t="shared" si="9"/>
        <v>YES</v>
      </c>
      <c r="J222">
        <f>Cleaned_Data!J222</f>
        <v>24</v>
      </c>
      <c r="K222" t="str">
        <f t="shared" si="10"/>
        <v>2024-05</v>
      </c>
      <c r="L222">
        <f t="shared" si="11"/>
        <v>0</v>
      </c>
    </row>
    <row r="223" spans="1:12">
      <c r="A223" t="s">
        <v>679</v>
      </c>
      <c r="B223" t="s">
        <v>680</v>
      </c>
      <c r="C223" t="s">
        <v>681</v>
      </c>
      <c r="D223" t="s">
        <v>35</v>
      </c>
      <c r="E223" t="s">
        <v>54</v>
      </c>
      <c r="F223" t="s">
        <v>29</v>
      </c>
      <c r="G223" t="s">
        <v>19</v>
      </c>
      <c r="H223">
        <f>Cleaned_Data!K223</f>
        <v>25.2</v>
      </c>
      <c r="I223" t="str">
        <f t="shared" si="9"/>
        <v>YES</v>
      </c>
      <c r="J223">
        <f>Cleaned_Data!J223</f>
        <v>48</v>
      </c>
      <c r="K223" t="str">
        <f t="shared" si="10"/>
        <v>2024-11</v>
      </c>
      <c r="L223">
        <f t="shared" si="11"/>
        <v>0</v>
      </c>
    </row>
    <row r="224" spans="1:12">
      <c r="A224" t="s">
        <v>682</v>
      </c>
      <c r="B224" t="s">
        <v>683</v>
      </c>
      <c r="C224" t="s">
        <v>684</v>
      </c>
      <c r="D224" t="s">
        <v>23</v>
      </c>
      <c r="E224" t="s">
        <v>16</v>
      </c>
      <c r="F224" t="s">
        <v>60</v>
      </c>
      <c r="G224" t="s">
        <v>19</v>
      </c>
      <c r="H224">
        <f>Cleaned_Data!K224</f>
        <v>31.74</v>
      </c>
      <c r="I224" t="str">
        <f t="shared" si="9"/>
        <v>NO</v>
      </c>
      <c r="J224">
        <f>Cleaned_Data!J224</f>
        <v>24</v>
      </c>
      <c r="K224" t="str">
        <f t="shared" si="10"/>
        <v>2024-02</v>
      </c>
      <c r="L224">
        <f t="shared" si="11"/>
        <v>7.7399999999999984</v>
      </c>
    </row>
    <row r="225" spans="1:12">
      <c r="A225" t="s">
        <v>685</v>
      </c>
      <c r="B225" t="s">
        <v>686</v>
      </c>
      <c r="D225" t="s">
        <v>15</v>
      </c>
      <c r="E225" t="s">
        <v>59</v>
      </c>
      <c r="F225" t="s">
        <v>29</v>
      </c>
      <c r="G225" t="s">
        <v>63</v>
      </c>
      <c r="H225">
        <f>Cleaned_Data!K225</f>
        <v>0</v>
      </c>
      <c r="I225" t="str">
        <f t="shared" si="9"/>
        <v/>
      </c>
      <c r="J225">
        <f>Cleaned_Data!J225</f>
        <v>8</v>
      </c>
      <c r="K225" t="str">
        <f t="shared" si="10"/>
        <v>2024-05</v>
      </c>
      <c r="L225">
        <f t="shared" si="11"/>
        <v>0</v>
      </c>
    </row>
    <row r="226" spans="1:12">
      <c r="A226" t="s">
        <v>687</v>
      </c>
      <c r="B226" t="s">
        <v>688</v>
      </c>
      <c r="C226" t="s">
        <v>689</v>
      </c>
      <c r="D226" t="s">
        <v>23</v>
      </c>
      <c r="E226" t="s">
        <v>24</v>
      </c>
      <c r="F226" t="s">
        <v>29</v>
      </c>
      <c r="G226" t="s">
        <v>19</v>
      </c>
      <c r="H226">
        <f>Cleaned_Data!K226</f>
        <v>8.68</v>
      </c>
      <c r="I226" t="str">
        <f t="shared" si="9"/>
        <v>YES</v>
      </c>
      <c r="J226">
        <f>Cleaned_Data!J226</f>
        <v>24</v>
      </c>
      <c r="K226" t="str">
        <f t="shared" si="10"/>
        <v>2024-04</v>
      </c>
      <c r="L226">
        <f t="shared" si="11"/>
        <v>0</v>
      </c>
    </row>
    <row r="227" spans="1:12">
      <c r="A227" t="s">
        <v>690</v>
      </c>
      <c r="B227" t="s">
        <v>691</v>
      </c>
      <c r="D227" t="s">
        <v>23</v>
      </c>
      <c r="E227" t="s">
        <v>24</v>
      </c>
      <c r="F227" t="s">
        <v>41</v>
      </c>
      <c r="G227" t="s">
        <v>46</v>
      </c>
      <c r="H227">
        <f>Cleaned_Data!K227</f>
        <v>0</v>
      </c>
      <c r="I227" t="str">
        <f t="shared" si="9"/>
        <v/>
      </c>
      <c r="J227">
        <f>Cleaned_Data!J227</f>
        <v>24</v>
      </c>
      <c r="K227" t="str">
        <f t="shared" si="10"/>
        <v>2024-12</v>
      </c>
      <c r="L227">
        <f t="shared" si="11"/>
        <v>0</v>
      </c>
    </row>
    <row r="228" spans="1:12">
      <c r="A228" t="s">
        <v>692</v>
      </c>
      <c r="B228" t="s">
        <v>693</v>
      </c>
      <c r="C228" t="s">
        <v>694</v>
      </c>
      <c r="D228" t="s">
        <v>35</v>
      </c>
      <c r="E228" t="s">
        <v>54</v>
      </c>
      <c r="F228" t="s">
        <v>17</v>
      </c>
      <c r="G228" t="s">
        <v>19</v>
      </c>
      <c r="H228">
        <f>Cleaned_Data!K228</f>
        <v>26.19</v>
      </c>
      <c r="I228" t="str">
        <f t="shared" si="9"/>
        <v>YES</v>
      </c>
      <c r="J228">
        <f>Cleaned_Data!J228</f>
        <v>48</v>
      </c>
      <c r="K228" t="str">
        <f t="shared" si="10"/>
        <v>2024-10</v>
      </c>
      <c r="L228">
        <f t="shared" si="11"/>
        <v>0</v>
      </c>
    </row>
    <row r="229" spans="1:12">
      <c r="A229" t="s">
        <v>695</v>
      </c>
      <c r="B229" t="s">
        <v>696</v>
      </c>
      <c r="C229" t="s">
        <v>697</v>
      </c>
      <c r="D229" t="s">
        <v>35</v>
      </c>
      <c r="E229" t="s">
        <v>54</v>
      </c>
      <c r="F229" t="s">
        <v>17</v>
      </c>
      <c r="G229" t="s">
        <v>31</v>
      </c>
      <c r="H229">
        <f>Cleaned_Data!K229</f>
        <v>12.58</v>
      </c>
      <c r="I229" t="str">
        <f t="shared" si="9"/>
        <v>YES</v>
      </c>
      <c r="J229">
        <f>Cleaned_Data!J229</f>
        <v>48</v>
      </c>
      <c r="K229" t="str">
        <f t="shared" si="10"/>
        <v>2024-10</v>
      </c>
      <c r="L229">
        <f t="shared" si="11"/>
        <v>0</v>
      </c>
    </row>
    <row r="230" spans="1:12">
      <c r="A230" t="s">
        <v>698</v>
      </c>
      <c r="B230" t="s">
        <v>699</v>
      </c>
      <c r="C230" t="s">
        <v>700</v>
      </c>
      <c r="D230" t="s">
        <v>15</v>
      </c>
      <c r="E230" t="s">
        <v>16</v>
      </c>
      <c r="F230" t="s">
        <v>41</v>
      </c>
      <c r="G230" t="s">
        <v>31</v>
      </c>
      <c r="H230">
        <f>Cleaned_Data!K230</f>
        <v>6</v>
      </c>
      <c r="I230" t="str">
        <f t="shared" si="9"/>
        <v>YES</v>
      </c>
      <c r="J230">
        <f>Cleaned_Data!J230</f>
        <v>8</v>
      </c>
      <c r="K230" t="str">
        <f t="shared" si="10"/>
        <v>2024-06</v>
      </c>
      <c r="L230">
        <f t="shared" si="11"/>
        <v>0</v>
      </c>
    </row>
    <row r="231" spans="1:12">
      <c r="A231" t="s">
        <v>701</v>
      </c>
      <c r="B231" t="s">
        <v>702</v>
      </c>
      <c r="D231" t="s">
        <v>23</v>
      </c>
      <c r="E231" t="s">
        <v>28</v>
      </c>
      <c r="F231" t="s">
        <v>60</v>
      </c>
      <c r="G231" t="s">
        <v>46</v>
      </c>
      <c r="H231">
        <f>Cleaned_Data!K231</f>
        <v>0</v>
      </c>
      <c r="I231" t="str">
        <f t="shared" si="9"/>
        <v/>
      </c>
      <c r="J231">
        <f>Cleaned_Data!J231</f>
        <v>24</v>
      </c>
      <c r="K231" t="str">
        <f t="shared" si="10"/>
        <v>2024-01</v>
      </c>
      <c r="L231">
        <f t="shared" si="11"/>
        <v>0</v>
      </c>
    </row>
    <row r="232" spans="1:12">
      <c r="A232" t="s">
        <v>703</v>
      </c>
      <c r="B232" t="s">
        <v>704</v>
      </c>
      <c r="D232" t="s">
        <v>23</v>
      </c>
      <c r="E232" t="s">
        <v>59</v>
      </c>
      <c r="F232" t="s">
        <v>17</v>
      </c>
      <c r="G232" t="s">
        <v>63</v>
      </c>
      <c r="H232">
        <f>Cleaned_Data!K232</f>
        <v>0</v>
      </c>
      <c r="I232" t="str">
        <f t="shared" si="9"/>
        <v/>
      </c>
      <c r="J232">
        <f>Cleaned_Data!J232</f>
        <v>24</v>
      </c>
      <c r="K232" t="str">
        <f t="shared" si="10"/>
        <v>2024-07</v>
      </c>
      <c r="L232">
        <f t="shared" si="11"/>
        <v>0</v>
      </c>
    </row>
    <row r="233" spans="1:12">
      <c r="A233" t="s">
        <v>705</v>
      </c>
      <c r="B233" t="s">
        <v>706</v>
      </c>
      <c r="C233" t="s">
        <v>707</v>
      </c>
      <c r="D233" t="s">
        <v>23</v>
      </c>
      <c r="E233" t="s">
        <v>54</v>
      </c>
      <c r="F233" t="s">
        <v>29</v>
      </c>
      <c r="G233" t="s">
        <v>19</v>
      </c>
      <c r="H233">
        <f>Cleaned_Data!K233</f>
        <v>38.26</v>
      </c>
      <c r="I233" t="str">
        <f t="shared" si="9"/>
        <v>NO</v>
      </c>
      <c r="J233">
        <f>Cleaned_Data!J233</f>
        <v>24</v>
      </c>
      <c r="K233" t="str">
        <f t="shared" si="10"/>
        <v>2024-05</v>
      </c>
      <c r="L233">
        <f t="shared" si="11"/>
        <v>14.259999999999998</v>
      </c>
    </row>
    <row r="234" spans="1:12">
      <c r="A234" t="s">
        <v>708</v>
      </c>
      <c r="B234" t="s">
        <v>709</v>
      </c>
      <c r="C234" t="s">
        <v>710</v>
      </c>
      <c r="D234" t="s">
        <v>23</v>
      </c>
      <c r="E234" t="s">
        <v>16</v>
      </c>
      <c r="F234" t="s">
        <v>41</v>
      </c>
      <c r="G234" t="s">
        <v>19</v>
      </c>
      <c r="H234">
        <f>Cleaned_Data!K234</f>
        <v>21.46</v>
      </c>
      <c r="I234" t="str">
        <f t="shared" si="9"/>
        <v>YES</v>
      </c>
      <c r="J234">
        <f>Cleaned_Data!J234</f>
        <v>24</v>
      </c>
      <c r="K234" t="str">
        <f t="shared" si="10"/>
        <v>2024-04</v>
      </c>
      <c r="L234">
        <f t="shared" si="11"/>
        <v>0</v>
      </c>
    </row>
    <row r="235" spans="1:12">
      <c r="A235" t="s">
        <v>711</v>
      </c>
      <c r="B235" t="s">
        <v>712</v>
      </c>
      <c r="C235" t="s">
        <v>713</v>
      </c>
      <c r="D235" t="s">
        <v>15</v>
      </c>
      <c r="E235" t="s">
        <v>54</v>
      </c>
      <c r="F235" t="s">
        <v>41</v>
      </c>
      <c r="G235" t="s">
        <v>31</v>
      </c>
      <c r="H235">
        <f>Cleaned_Data!K235</f>
        <v>20.95</v>
      </c>
      <c r="I235" t="str">
        <f t="shared" si="9"/>
        <v>NO</v>
      </c>
      <c r="J235">
        <f>Cleaned_Data!J235</f>
        <v>8</v>
      </c>
      <c r="K235" t="str">
        <f t="shared" si="10"/>
        <v>2024-04</v>
      </c>
      <c r="L235">
        <f t="shared" si="11"/>
        <v>12.95</v>
      </c>
    </row>
    <row r="236" spans="1:12">
      <c r="A236" t="s">
        <v>714</v>
      </c>
      <c r="B236" t="s">
        <v>715</v>
      </c>
      <c r="C236" t="s">
        <v>716</v>
      </c>
      <c r="D236" t="s">
        <v>35</v>
      </c>
      <c r="E236" t="s">
        <v>24</v>
      </c>
      <c r="F236" t="s">
        <v>41</v>
      </c>
      <c r="G236" t="s">
        <v>19</v>
      </c>
      <c r="H236">
        <f>Cleaned_Data!K236</f>
        <v>13.04</v>
      </c>
      <c r="I236" t="str">
        <f t="shared" si="9"/>
        <v>YES</v>
      </c>
      <c r="J236">
        <f>Cleaned_Data!J236</f>
        <v>48</v>
      </c>
      <c r="K236" t="str">
        <f t="shared" si="10"/>
        <v>2024-04</v>
      </c>
      <c r="L236">
        <f t="shared" si="11"/>
        <v>0</v>
      </c>
    </row>
    <row r="237" spans="1:12">
      <c r="A237" t="s">
        <v>717</v>
      </c>
      <c r="B237" t="s">
        <v>718</v>
      </c>
      <c r="C237" t="s">
        <v>719</v>
      </c>
      <c r="D237" t="s">
        <v>23</v>
      </c>
      <c r="E237" t="s">
        <v>28</v>
      </c>
      <c r="F237" t="s">
        <v>36</v>
      </c>
      <c r="G237" t="s">
        <v>31</v>
      </c>
      <c r="H237">
        <f>Cleaned_Data!K237</f>
        <v>3.44</v>
      </c>
      <c r="I237" t="str">
        <f t="shared" si="9"/>
        <v>YES</v>
      </c>
      <c r="J237">
        <f>Cleaned_Data!J237</f>
        <v>24</v>
      </c>
      <c r="K237" t="str">
        <f t="shared" si="10"/>
        <v>2024-12</v>
      </c>
      <c r="L237">
        <f t="shared" si="11"/>
        <v>0</v>
      </c>
    </row>
    <row r="238" spans="1:12">
      <c r="A238" t="s">
        <v>720</v>
      </c>
      <c r="B238" t="s">
        <v>721</v>
      </c>
      <c r="C238" t="s">
        <v>722</v>
      </c>
      <c r="D238" t="s">
        <v>23</v>
      </c>
      <c r="E238" t="s">
        <v>24</v>
      </c>
      <c r="F238" t="s">
        <v>41</v>
      </c>
      <c r="G238" t="s">
        <v>31</v>
      </c>
      <c r="H238">
        <f>Cleaned_Data!K238</f>
        <v>18.12</v>
      </c>
      <c r="I238" t="str">
        <f t="shared" si="9"/>
        <v>YES</v>
      </c>
      <c r="J238">
        <f>Cleaned_Data!J238</f>
        <v>24</v>
      </c>
      <c r="K238" t="str">
        <f t="shared" si="10"/>
        <v>2024-03</v>
      </c>
      <c r="L238">
        <f t="shared" si="11"/>
        <v>0</v>
      </c>
    </row>
    <row r="239" spans="1:12">
      <c r="A239" t="s">
        <v>723</v>
      </c>
      <c r="B239" t="s">
        <v>724</v>
      </c>
      <c r="C239" t="s">
        <v>725</v>
      </c>
      <c r="D239" t="s">
        <v>35</v>
      </c>
      <c r="E239" t="s">
        <v>24</v>
      </c>
      <c r="F239" t="s">
        <v>41</v>
      </c>
      <c r="G239" t="s">
        <v>31</v>
      </c>
      <c r="H239">
        <f>Cleaned_Data!K239</f>
        <v>16.52</v>
      </c>
      <c r="I239" t="str">
        <f t="shared" si="9"/>
        <v>YES</v>
      </c>
      <c r="J239">
        <f>Cleaned_Data!J239</f>
        <v>48</v>
      </c>
      <c r="K239" t="str">
        <f t="shared" si="10"/>
        <v>2024-08</v>
      </c>
      <c r="L239">
        <f t="shared" si="11"/>
        <v>0</v>
      </c>
    </row>
    <row r="240" spans="1:12">
      <c r="A240" t="s">
        <v>726</v>
      </c>
      <c r="B240" t="s">
        <v>727</v>
      </c>
      <c r="C240" t="s">
        <v>728</v>
      </c>
      <c r="D240" t="s">
        <v>35</v>
      </c>
      <c r="E240" t="s">
        <v>24</v>
      </c>
      <c r="F240" t="s">
        <v>60</v>
      </c>
      <c r="G240" t="s">
        <v>19</v>
      </c>
      <c r="H240">
        <f>Cleaned_Data!K240</f>
        <v>43.02</v>
      </c>
      <c r="I240" t="str">
        <f t="shared" si="9"/>
        <v>YES</v>
      </c>
      <c r="J240">
        <f>Cleaned_Data!J240</f>
        <v>48</v>
      </c>
      <c r="K240" t="str">
        <f t="shared" si="10"/>
        <v>2024-01</v>
      </c>
      <c r="L240">
        <f t="shared" si="11"/>
        <v>0</v>
      </c>
    </row>
    <row r="241" spans="1:12">
      <c r="A241" t="s">
        <v>729</v>
      </c>
      <c r="B241" t="s">
        <v>730</v>
      </c>
      <c r="C241" t="s">
        <v>731</v>
      </c>
      <c r="D241" t="s">
        <v>23</v>
      </c>
      <c r="E241" t="s">
        <v>16</v>
      </c>
      <c r="F241" t="s">
        <v>36</v>
      </c>
      <c r="G241" t="s">
        <v>31</v>
      </c>
      <c r="H241">
        <f>Cleaned_Data!K241</f>
        <v>17.68</v>
      </c>
      <c r="I241" t="str">
        <f t="shared" si="9"/>
        <v>YES</v>
      </c>
      <c r="J241">
        <f>Cleaned_Data!J241</f>
        <v>24</v>
      </c>
      <c r="K241" t="str">
        <f t="shared" si="10"/>
        <v>2024-03</v>
      </c>
      <c r="L241">
        <f t="shared" si="11"/>
        <v>0</v>
      </c>
    </row>
    <row r="242" spans="1:12">
      <c r="A242" t="s">
        <v>732</v>
      </c>
      <c r="B242" t="s">
        <v>733</v>
      </c>
      <c r="C242" t="s">
        <v>734</v>
      </c>
      <c r="D242" t="s">
        <v>35</v>
      </c>
      <c r="E242" t="s">
        <v>59</v>
      </c>
      <c r="F242" t="s">
        <v>60</v>
      </c>
      <c r="G242" t="s">
        <v>19</v>
      </c>
      <c r="H242">
        <f>Cleaned_Data!K242</f>
        <v>77.03</v>
      </c>
      <c r="I242" t="str">
        <f t="shared" si="9"/>
        <v>NO</v>
      </c>
      <c r="J242">
        <f>Cleaned_Data!J242</f>
        <v>48</v>
      </c>
      <c r="K242" t="str">
        <f t="shared" si="10"/>
        <v>2024-04</v>
      </c>
      <c r="L242">
        <f t="shared" si="11"/>
        <v>29.03</v>
      </c>
    </row>
    <row r="243" spans="1:12">
      <c r="A243" t="s">
        <v>735</v>
      </c>
      <c r="B243" t="s">
        <v>736</v>
      </c>
      <c r="C243" t="s">
        <v>737</v>
      </c>
      <c r="D243" t="s">
        <v>23</v>
      </c>
      <c r="E243" t="s">
        <v>16</v>
      </c>
      <c r="F243" t="s">
        <v>17</v>
      </c>
      <c r="G243" t="s">
        <v>19</v>
      </c>
      <c r="H243">
        <f>Cleaned_Data!K243</f>
        <v>4.7</v>
      </c>
      <c r="I243" t="str">
        <f t="shared" si="9"/>
        <v>YES</v>
      </c>
      <c r="J243">
        <f>Cleaned_Data!J243</f>
        <v>24</v>
      </c>
      <c r="K243" t="str">
        <f t="shared" si="10"/>
        <v>2024-07</v>
      </c>
      <c r="L243">
        <f t="shared" si="11"/>
        <v>0</v>
      </c>
    </row>
    <row r="244" spans="1:12">
      <c r="A244" t="s">
        <v>738</v>
      </c>
      <c r="B244" t="s">
        <v>739</v>
      </c>
      <c r="C244" t="s">
        <v>740</v>
      </c>
      <c r="D244" t="s">
        <v>23</v>
      </c>
      <c r="E244" t="s">
        <v>16</v>
      </c>
      <c r="F244" t="s">
        <v>36</v>
      </c>
      <c r="G244" t="s">
        <v>19</v>
      </c>
      <c r="H244">
        <f>Cleaned_Data!K244</f>
        <v>16.16</v>
      </c>
      <c r="I244" t="str">
        <f t="shared" si="9"/>
        <v>YES</v>
      </c>
      <c r="J244">
        <f>Cleaned_Data!J244</f>
        <v>24</v>
      </c>
      <c r="K244" t="str">
        <f t="shared" si="10"/>
        <v>2024-06</v>
      </c>
      <c r="L244">
        <f t="shared" si="11"/>
        <v>0</v>
      </c>
    </row>
    <row r="245" spans="1:12">
      <c r="A245" t="s">
        <v>741</v>
      </c>
      <c r="B245" t="s">
        <v>742</v>
      </c>
      <c r="C245" t="s">
        <v>743</v>
      </c>
      <c r="D245" t="s">
        <v>35</v>
      </c>
      <c r="E245" t="s">
        <v>16</v>
      </c>
      <c r="F245" t="s">
        <v>41</v>
      </c>
      <c r="G245" t="s">
        <v>19</v>
      </c>
      <c r="H245">
        <f>Cleaned_Data!K245</f>
        <v>8.69</v>
      </c>
      <c r="I245" t="str">
        <f t="shared" si="9"/>
        <v>YES</v>
      </c>
      <c r="J245">
        <f>Cleaned_Data!J245</f>
        <v>48</v>
      </c>
      <c r="K245" t="str">
        <f t="shared" si="10"/>
        <v>2024-08</v>
      </c>
      <c r="L245">
        <f t="shared" si="11"/>
        <v>0</v>
      </c>
    </row>
    <row r="246" spans="1:12">
      <c r="A246" t="s">
        <v>744</v>
      </c>
      <c r="B246" t="s">
        <v>745</v>
      </c>
      <c r="C246" t="s">
        <v>746</v>
      </c>
      <c r="D246" t="s">
        <v>15</v>
      </c>
      <c r="E246" t="s">
        <v>28</v>
      </c>
      <c r="F246" t="s">
        <v>29</v>
      </c>
      <c r="G246" t="s">
        <v>19</v>
      </c>
      <c r="H246">
        <f>Cleaned_Data!K246</f>
        <v>7.29</v>
      </c>
      <c r="I246" t="str">
        <f t="shared" si="9"/>
        <v>YES</v>
      </c>
      <c r="J246">
        <f>Cleaned_Data!J246</f>
        <v>8</v>
      </c>
      <c r="K246" t="str">
        <f t="shared" si="10"/>
        <v>2024-07</v>
      </c>
      <c r="L246">
        <f t="shared" si="11"/>
        <v>0</v>
      </c>
    </row>
    <row r="247" spans="1:12">
      <c r="A247" t="s">
        <v>747</v>
      </c>
      <c r="B247" t="s">
        <v>748</v>
      </c>
      <c r="C247" t="s">
        <v>749</v>
      </c>
      <c r="D247" t="s">
        <v>23</v>
      </c>
      <c r="E247" t="s">
        <v>28</v>
      </c>
      <c r="F247" t="s">
        <v>29</v>
      </c>
      <c r="G247" t="s">
        <v>19</v>
      </c>
      <c r="H247">
        <f>Cleaned_Data!K247</f>
        <v>11.89</v>
      </c>
      <c r="I247" t="str">
        <f t="shared" si="9"/>
        <v>YES</v>
      </c>
      <c r="J247">
        <f>Cleaned_Data!J247</f>
        <v>24</v>
      </c>
      <c r="K247" t="str">
        <f t="shared" si="10"/>
        <v>2024-10</v>
      </c>
      <c r="L247">
        <f t="shared" si="11"/>
        <v>0</v>
      </c>
    </row>
    <row r="248" spans="1:12">
      <c r="A248" t="s">
        <v>750</v>
      </c>
      <c r="B248" t="s">
        <v>751</v>
      </c>
      <c r="C248" t="s">
        <v>752</v>
      </c>
      <c r="D248" t="s">
        <v>23</v>
      </c>
      <c r="E248" t="s">
        <v>16</v>
      </c>
      <c r="F248" t="s">
        <v>29</v>
      </c>
      <c r="G248" t="s">
        <v>19</v>
      </c>
      <c r="H248">
        <f>Cleaned_Data!K248</f>
        <v>39.01</v>
      </c>
      <c r="I248" t="str">
        <f t="shared" si="9"/>
        <v>NO</v>
      </c>
      <c r="J248">
        <f>Cleaned_Data!J248</f>
        <v>24</v>
      </c>
      <c r="K248" t="str">
        <f t="shared" si="10"/>
        <v>2024-09</v>
      </c>
      <c r="L248">
        <f t="shared" si="11"/>
        <v>15.009999999999998</v>
      </c>
    </row>
    <row r="249" spans="1:12">
      <c r="A249" t="s">
        <v>753</v>
      </c>
      <c r="B249" t="s">
        <v>754</v>
      </c>
      <c r="D249" t="s">
        <v>35</v>
      </c>
      <c r="E249" t="s">
        <v>28</v>
      </c>
      <c r="F249" t="s">
        <v>41</v>
      </c>
      <c r="G249" t="s">
        <v>46</v>
      </c>
      <c r="H249">
        <f>Cleaned_Data!K249</f>
        <v>0</v>
      </c>
      <c r="I249" t="str">
        <f t="shared" si="9"/>
        <v/>
      </c>
      <c r="J249">
        <f>Cleaned_Data!J249</f>
        <v>48</v>
      </c>
      <c r="K249" t="str">
        <f t="shared" si="10"/>
        <v>2024-03</v>
      </c>
      <c r="L249">
        <f t="shared" si="11"/>
        <v>0</v>
      </c>
    </row>
    <row r="250" spans="1:12">
      <c r="A250" t="s">
        <v>755</v>
      </c>
      <c r="B250" t="s">
        <v>756</v>
      </c>
      <c r="C250" t="s">
        <v>757</v>
      </c>
      <c r="D250" t="s">
        <v>23</v>
      </c>
      <c r="E250" t="s">
        <v>24</v>
      </c>
      <c r="F250" t="s">
        <v>41</v>
      </c>
      <c r="G250" t="s">
        <v>31</v>
      </c>
      <c r="H250">
        <f>Cleaned_Data!K250</f>
        <v>60.86</v>
      </c>
      <c r="I250" t="str">
        <f t="shared" si="9"/>
        <v>NO</v>
      </c>
      <c r="J250">
        <f>Cleaned_Data!J250</f>
        <v>24</v>
      </c>
      <c r="K250" t="str">
        <f t="shared" si="10"/>
        <v>2024-05</v>
      </c>
      <c r="L250">
        <f t="shared" si="11"/>
        <v>36.86</v>
      </c>
    </row>
    <row r="251" spans="1:12">
      <c r="A251" t="s">
        <v>758</v>
      </c>
      <c r="B251" t="s">
        <v>759</v>
      </c>
      <c r="C251" t="s">
        <v>760</v>
      </c>
      <c r="D251" t="s">
        <v>35</v>
      </c>
      <c r="E251" t="s">
        <v>24</v>
      </c>
      <c r="F251" t="s">
        <v>41</v>
      </c>
      <c r="G251" t="s">
        <v>31</v>
      </c>
      <c r="H251">
        <f>Cleaned_Data!K251</f>
        <v>27.82</v>
      </c>
      <c r="I251" t="str">
        <f t="shared" si="9"/>
        <v>YES</v>
      </c>
      <c r="J251">
        <f>Cleaned_Data!J251</f>
        <v>48</v>
      </c>
      <c r="K251" t="str">
        <f t="shared" si="10"/>
        <v>2024-08</v>
      </c>
      <c r="L251">
        <f t="shared" si="11"/>
        <v>0</v>
      </c>
    </row>
    <row r="252" spans="1:12">
      <c r="A252" t="s">
        <v>761</v>
      </c>
      <c r="B252" t="s">
        <v>762</v>
      </c>
      <c r="C252" t="s">
        <v>763</v>
      </c>
      <c r="D252" t="s">
        <v>35</v>
      </c>
      <c r="E252" t="s">
        <v>28</v>
      </c>
      <c r="F252" t="s">
        <v>60</v>
      </c>
      <c r="G252" t="s">
        <v>19</v>
      </c>
      <c r="H252">
        <f>Cleaned_Data!K252</f>
        <v>91.76</v>
      </c>
      <c r="I252" t="str">
        <f t="shared" si="9"/>
        <v>NO</v>
      </c>
      <c r="J252">
        <f>Cleaned_Data!J252</f>
        <v>48</v>
      </c>
      <c r="K252" t="str">
        <f t="shared" si="10"/>
        <v>2024-08</v>
      </c>
      <c r="L252">
        <f t="shared" si="11"/>
        <v>43.760000000000005</v>
      </c>
    </row>
    <row r="253" spans="1:12">
      <c r="A253" t="s">
        <v>764</v>
      </c>
      <c r="B253" t="s">
        <v>765</v>
      </c>
      <c r="C253" t="s">
        <v>766</v>
      </c>
      <c r="D253" t="s">
        <v>23</v>
      </c>
      <c r="E253" t="s">
        <v>24</v>
      </c>
      <c r="F253" t="s">
        <v>60</v>
      </c>
      <c r="G253" t="s">
        <v>31</v>
      </c>
      <c r="H253">
        <f>Cleaned_Data!K253</f>
        <v>12.87</v>
      </c>
      <c r="I253" t="str">
        <f t="shared" si="9"/>
        <v>YES</v>
      </c>
      <c r="J253">
        <f>Cleaned_Data!J253</f>
        <v>24</v>
      </c>
      <c r="K253" t="str">
        <f t="shared" si="10"/>
        <v>2024-10</v>
      </c>
      <c r="L253">
        <f t="shared" si="11"/>
        <v>0</v>
      </c>
    </row>
    <row r="254" spans="1:12">
      <c r="A254" t="s">
        <v>767</v>
      </c>
      <c r="B254" t="s">
        <v>768</v>
      </c>
      <c r="C254" t="s">
        <v>769</v>
      </c>
      <c r="D254" t="s">
        <v>23</v>
      </c>
      <c r="E254" t="s">
        <v>28</v>
      </c>
      <c r="F254" t="s">
        <v>29</v>
      </c>
      <c r="G254" t="s">
        <v>19</v>
      </c>
      <c r="H254">
        <f>Cleaned_Data!K254</f>
        <v>2.46</v>
      </c>
      <c r="I254" t="str">
        <f t="shared" si="9"/>
        <v>YES</v>
      </c>
      <c r="J254">
        <f>Cleaned_Data!J254</f>
        <v>24</v>
      </c>
      <c r="K254" t="str">
        <f t="shared" si="10"/>
        <v>2024-01</v>
      </c>
      <c r="L254">
        <f t="shared" si="11"/>
        <v>0</v>
      </c>
    </row>
    <row r="255" spans="1:12">
      <c r="A255" t="s">
        <v>770</v>
      </c>
      <c r="B255" t="s">
        <v>771</v>
      </c>
      <c r="D255" t="s">
        <v>158</v>
      </c>
      <c r="E255" t="s">
        <v>28</v>
      </c>
      <c r="F255" t="s">
        <v>36</v>
      </c>
      <c r="G255" t="s">
        <v>46</v>
      </c>
      <c r="H255">
        <f>Cleaned_Data!K255</f>
        <v>0</v>
      </c>
      <c r="I255" t="str">
        <f t="shared" si="9"/>
        <v/>
      </c>
      <c r="J255">
        <f>Cleaned_Data!J255</f>
        <v>4</v>
      </c>
      <c r="K255" t="str">
        <f t="shared" si="10"/>
        <v>2024-01</v>
      </c>
      <c r="L255">
        <f t="shared" si="11"/>
        <v>0</v>
      </c>
    </row>
    <row r="256" spans="1:12">
      <c r="A256" t="s">
        <v>772</v>
      </c>
      <c r="B256" t="s">
        <v>773</v>
      </c>
      <c r="C256" t="s">
        <v>774</v>
      </c>
      <c r="D256" t="s">
        <v>35</v>
      </c>
      <c r="E256" t="s">
        <v>24</v>
      </c>
      <c r="F256" t="s">
        <v>41</v>
      </c>
      <c r="G256" t="s">
        <v>19</v>
      </c>
      <c r="H256">
        <f>Cleaned_Data!K256</f>
        <v>10.33</v>
      </c>
      <c r="I256" t="str">
        <f t="shared" si="9"/>
        <v>YES</v>
      </c>
      <c r="J256">
        <f>Cleaned_Data!J256</f>
        <v>48</v>
      </c>
      <c r="K256" t="str">
        <f t="shared" si="10"/>
        <v>2024-12</v>
      </c>
      <c r="L256">
        <f t="shared" si="11"/>
        <v>0</v>
      </c>
    </row>
    <row r="257" spans="1:12">
      <c r="A257" t="s">
        <v>775</v>
      </c>
      <c r="B257" t="s">
        <v>776</v>
      </c>
      <c r="C257" t="s">
        <v>777</v>
      </c>
      <c r="D257" t="s">
        <v>23</v>
      </c>
      <c r="E257" t="s">
        <v>28</v>
      </c>
      <c r="F257" t="s">
        <v>41</v>
      </c>
      <c r="G257" t="s">
        <v>31</v>
      </c>
      <c r="H257">
        <f>Cleaned_Data!K257</f>
        <v>42.78</v>
      </c>
      <c r="I257" t="str">
        <f t="shared" si="9"/>
        <v>NO</v>
      </c>
      <c r="J257">
        <f>Cleaned_Data!J257</f>
        <v>24</v>
      </c>
      <c r="K257" t="str">
        <f t="shared" si="10"/>
        <v>2024-10</v>
      </c>
      <c r="L257">
        <f t="shared" si="11"/>
        <v>18.78</v>
      </c>
    </row>
    <row r="258" spans="1:12">
      <c r="A258" t="s">
        <v>778</v>
      </c>
      <c r="B258" t="s">
        <v>779</v>
      </c>
      <c r="C258" t="s">
        <v>780</v>
      </c>
      <c r="D258" t="s">
        <v>35</v>
      </c>
      <c r="E258" t="s">
        <v>24</v>
      </c>
      <c r="F258" t="s">
        <v>29</v>
      </c>
      <c r="G258" t="s">
        <v>19</v>
      </c>
      <c r="H258">
        <f>Cleaned_Data!K258</f>
        <v>26.38</v>
      </c>
      <c r="I258" t="str">
        <f t="shared" ref="I258:I321" si="12">IF(OR(G258="Resolved", G258="Closed"), IF(AND(H258&lt;&gt;"", H258&lt;=J258), "YES", "NO"), "")</f>
        <v>YES</v>
      </c>
      <c r="J258">
        <f>Cleaned_Data!J258</f>
        <v>48</v>
      </c>
      <c r="K258" t="str">
        <f t="shared" ref="K258:K321" si="13">LEFT(B258, 7)</f>
        <v>2024-09</v>
      </c>
      <c r="L258">
        <f t="shared" ref="L258:L321" si="14">IF(I258="NO", H258-J258, 0)</f>
        <v>0</v>
      </c>
    </row>
    <row r="259" spans="1:12">
      <c r="A259" t="s">
        <v>781</v>
      </c>
      <c r="B259" t="s">
        <v>782</v>
      </c>
      <c r="C259" t="s">
        <v>783</v>
      </c>
      <c r="D259" t="s">
        <v>35</v>
      </c>
      <c r="E259" t="s">
        <v>16</v>
      </c>
      <c r="F259" t="s">
        <v>29</v>
      </c>
      <c r="G259" t="s">
        <v>31</v>
      </c>
      <c r="H259">
        <f>Cleaned_Data!K259</f>
        <v>26.5</v>
      </c>
      <c r="I259" t="str">
        <f t="shared" si="12"/>
        <v>YES</v>
      </c>
      <c r="J259">
        <f>Cleaned_Data!J259</f>
        <v>48</v>
      </c>
      <c r="K259" t="str">
        <f t="shared" si="13"/>
        <v>2024-03</v>
      </c>
      <c r="L259">
        <f t="shared" si="14"/>
        <v>0</v>
      </c>
    </row>
    <row r="260" spans="1:12">
      <c r="A260" t="s">
        <v>784</v>
      </c>
      <c r="B260" t="s">
        <v>785</v>
      </c>
      <c r="C260" t="s">
        <v>786</v>
      </c>
      <c r="D260" t="s">
        <v>23</v>
      </c>
      <c r="E260" t="s">
        <v>24</v>
      </c>
      <c r="F260" t="s">
        <v>17</v>
      </c>
      <c r="G260" t="s">
        <v>31</v>
      </c>
      <c r="H260">
        <f>Cleaned_Data!K260</f>
        <v>15.87</v>
      </c>
      <c r="I260" t="str">
        <f t="shared" si="12"/>
        <v>YES</v>
      </c>
      <c r="J260">
        <f>Cleaned_Data!J260</f>
        <v>24</v>
      </c>
      <c r="K260" t="str">
        <f t="shared" si="13"/>
        <v>2024-04</v>
      </c>
      <c r="L260">
        <f t="shared" si="14"/>
        <v>0</v>
      </c>
    </row>
    <row r="261" spans="1:12">
      <c r="A261" t="s">
        <v>787</v>
      </c>
      <c r="B261" t="s">
        <v>788</v>
      </c>
      <c r="C261" t="s">
        <v>789</v>
      </c>
      <c r="D261" t="s">
        <v>35</v>
      </c>
      <c r="E261" t="s">
        <v>24</v>
      </c>
      <c r="F261" t="s">
        <v>17</v>
      </c>
      <c r="G261" t="s">
        <v>19</v>
      </c>
      <c r="H261">
        <f>Cleaned_Data!K261</f>
        <v>29.19</v>
      </c>
      <c r="I261" t="str">
        <f t="shared" si="12"/>
        <v>YES</v>
      </c>
      <c r="J261">
        <f>Cleaned_Data!J261</f>
        <v>48</v>
      </c>
      <c r="K261" t="str">
        <f t="shared" si="13"/>
        <v>2024-12</v>
      </c>
      <c r="L261">
        <f t="shared" si="14"/>
        <v>0</v>
      </c>
    </row>
    <row r="262" spans="1:12">
      <c r="A262" t="s">
        <v>790</v>
      </c>
      <c r="B262" t="s">
        <v>791</v>
      </c>
      <c r="C262" t="s">
        <v>792</v>
      </c>
      <c r="D262" t="s">
        <v>15</v>
      </c>
      <c r="E262" t="s">
        <v>24</v>
      </c>
      <c r="F262" t="s">
        <v>41</v>
      </c>
      <c r="G262" t="s">
        <v>19</v>
      </c>
      <c r="H262">
        <f>Cleaned_Data!K262</f>
        <v>6.08</v>
      </c>
      <c r="I262" t="str">
        <f t="shared" si="12"/>
        <v>YES</v>
      </c>
      <c r="J262">
        <f>Cleaned_Data!J262</f>
        <v>8</v>
      </c>
      <c r="K262" t="str">
        <f t="shared" si="13"/>
        <v>2024-01</v>
      </c>
      <c r="L262">
        <f t="shared" si="14"/>
        <v>0</v>
      </c>
    </row>
    <row r="263" spans="1:12">
      <c r="A263" t="s">
        <v>793</v>
      </c>
      <c r="B263" t="s">
        <v>794</v>
      </c>
      <c r="C263" t="s">
        <v>795</v>
      </c>
      <c r="D263" t="s">
        <v>15</v>
      </c>
      <c r="E263" t="s">
        <v>59</v>
      </c>
      <c r="F263" t="s">
        <v>60</v>
      </c>
      <c r="G263" t="s">
        <v>31</v>
      </c>
      <c r="H263">
        <f>Cleaned_Data!K263</f>
        <v>6.36</v>
      </c>
      <c r="I263" t="str">
        <f t="shared" si="12"/>
        <v>YES</v>
      </c>
      <c r="J263">
        <f>Cleaned_Data!J263</f>
        <v>8</v>
      </c>
      <c r="K263" t="str">
        <f t="shared" si="13"/>
        <v>2024-04</v>
      </c>
      <c r="L263">
        <f t="shared" si="14"/>
        <v>0</v>
      </c>
    </row>
    <row r="264" spans="1:12">
      <c r="A264" t="s">
        <v>796</v>
      </c>
      <c r="B264" t="s">
        <v>797</v>
      </c>
      <c r="C264" t="s">
        <v>798</v>
      </c>
      <c r="D264" t="s">
        <v>15</v>
      </c>
      <c r="E264" t="s">
        <v>54</v>
      </c>
      <c r="F264" t="s">
        <v>17</v>
      </c>
      <c r="G264" t="s">
        <v>19</v>
      </c>
      <c r="H264">
        <f>Cleaned_Data!K264</f>
        <v>7.25</v>
      </c>
      <c r="I264" t="str">
        <f t="shared" si="12"/>
        <v>YES</v>
      </c>
      <c r="J264">
        <f>Cleaned_Data!J264</f>
        <v>8</v>
      </c>
      <c r="K264" t="str">
        <f t="shared" si="13"/>
        <v>2024-12</v>
      </c>
      <c r="L264">
        <f t="shared" si="14"/>
        <v>0</v>
      </c>
    </row>
    <row r="265" spans="1:12">
      <c r="A265" t="s">
        <v>799</v>
      </c>
      <c r="B265" t="s">
        <v>800</v>
      </c>
      <c r="C265" t="s">
        <v>801</v>
      </c>
      <c r="D265" t="s">
        <v>15</v>
      </c>
      <c r="E265" t="s">
        <v>54</v>
      </c>
      <c r="F265" t="s">
        <v>60</v>
      </c>
      <c r="G265" t="s">
        <v>19</v>
      </c>
      <c r="H265">
        <f>Cleaned_Data!K265</f>
        <v>5.17</v>
      </c>
      <c r="I265" t="str">
        <f t="shared" si="12"/>
        <v>YES</v>
      </c>
      <c r="J265">
        <f>Cleaned_Data!J265</f>
        <v>8</v>
      </c>
      <c r="K265" t="str">
        <f t="shared" si="13"/>
        <v>2024-12</v>
      </c>
      <c r="L265">
        <f t="shared" si="14"/>
        <v>0</v>
      </c>
    </row>
    <row r="266" spans="1:12">
      <c r="A266" t="s">
        <v>802</v>
      </c>
      <c r="B266" t="s">
        <v>803</v>
      </c>
      <c r="C266" t="s">
        <v>804</v>
      </c>
      <c r="D266" t="s">
        <v>15</v>
      </c>
      <c r="E266" t="s">
        <v>28</v>
      </c>
      <c r="F266" t="s">
        <v>17</v>
      </c>
      <c r="G266" t="s">
        <v>19</v>
      </c>
      <c r="H266">
        <f>Cleaned_Data!K266</f>
        <v>4.0199999999999996</v>
      </c>
      <c r="I266" t="str">
        <f t="shared" si="12"/>
        <v>YES</v>
      </c>
      <c r="J266">
        <f>Cleaned_Data!J266</f>
        <v>8</v>
      </c>
      <c r="K266" t="str">
        <f t="shared" si="13"/>
        <v>2024-07</v>
      </c>
      <c r="L266">
        <f t="shared" si="14"/>
        <v>0</v>
      </c>
    </row>
    <row r="267" spans="1:12">
      <c r="A267" t="s">
        <v>805</v>
      </c>
      <c r="B267" t="s">
        <v>806</v>
      </c>
      <c r="C267" t="s">
        <v>807</v>
      </c>
      <c r="D267" t="s">
        <v>35</v>
      </c>
      <c r="E267" t="s">
        <v>24</v>
      </c>
      <c r="F267" t="s">
        <v>41</v>
      </c>
      <c r="G267" t="s">
        <v>31</v>
      </c>
      <c r="H267">
        <f>Cleaned_Data!K267</f>
        <v>102.56</v>
      </c>
      <c r="I267" t="str">
        <f t="shared" si="12"/>
        <v>NO</v>
      </c>
      <c r="J267">
        <f>Cleaned_Data!J267</f>
        <v>48</v>
      </c>
      <c r="K267" t="str">
        <f t="shared" si="13"/>
        <v>2024-04</v>
      </c>
      <c r="L267">
        <f t="shared" si="14"/>
        <v>54.56</v>
      </c>
    </row>
    <row r="268" spans="1:12">
      <c r="A268" t="s">
        <v>808</v>
      </c>
      <c r="B268" t="s">
        <v>809</v>
      </c>
      <c r="C268" t="s">
        <v>810</v>
      </c>
      <c r="D268" t="s">
        <v>15</v>
      </c>
      <c r="E268" t="s">
        <v>28</v>
      </c>
      <c r="F268" t="s">
        <v>36</v>
      </c>
      <c r="G268" t="s">
        <v>31</v>
      </c>
      <c r="H268">
        <f>Cleaned_Data!K268</f>
        <v>5.73</v>
      </c>
      <c r="I268" t="str">
        <f t="shared" si="12"/>
        <v>YES</v>
      </c>
      <c r="J268">
        <f>Cleaned_Data!J268</f>
        <v>8</v>
      </c>
      <c r="K268" t="str">
        <f t="shared" si="13"/>
        <v>2024-04</v>
      </c>
      <c r="L268">
        <f t="shared" si="14"/>
        <v>0</v>
      </c>
    </row>
    <row r="269" spans="1:12">
      <c r="A269" t="s">
        <v>811</v>
      </c>
      <c r="B269" t="s">
        <v>812</v>
      </c>
      <c r="C269" t="s">
        <v>813</v>
      </c>
      <c r="D269" t="s">
        <v>23</v>
      </c>
      <c r="E269" t="s">
        <v>54</v>
      </c>
      <c r="F269" t="s">
        <v>36</v>
      </c>
      <c r="G269" t="s">
        <v>19</v>
      </c>
      <c r="H269">
        <f>Cleaned_Data!K269</f>
        <v>17.18</v>
      </c>
      <c r="I269" t="str">
        <f t="shared" si="12"/>
        <v>YES</v>
      </c>
      <c r="J269">
        <f>Cleaned_Data!J269</f>
        <v>24</v>
      </c>
      <c r="K269" t="str">
        <f t="shared" si="13"/>
        <v>2024-04</v>
      </c>
      <c r="L269">
        <f t="shared" si="14"/>
        <v>0</v>
      </c>
    </row>
    <row r="270" spans="1:12">
      <c r="A270" t="s">
        <v>814</v>
      </c>
      <c r="B270" t="s">
        <v>815</v>
      </c>
      <c r="C270" t="s">
        <v>816</v>
      </c>
      <c r="D270" t="s">
        <v>15</v>
      </c>
      <c r="E270" t="s">
        <v>59</v>
      </c>
      <c r="F270" t="s">
        <v>29</v>
      </c>
      <c r="G270" t="s">
        <v>19</v>
      </c>
      <c r="H270">
        <f>Cleaned_Data!K270</f>
        <v>5.84</v>
      </c>
      <c r="I270" t="str">
        <f t="shared" si="12"/>
        <v>YES</v>
      </c>
      <c r="J270">
        <f>Cleaned_Data!J270</f>
        <v>8</v>
      </c>
      <c r="K270" t="str">
        <f t="shared" si="13"/>
        <v>2024-07</v>
      </c>
      <c r="L270">
        <f t="shared" si="14"/>
        <v>0</v>
      </c>
    </row>
    <row r="271" spans="1:12">
      <c r="A271" t="s">
        <v>817</v>
      </c>
      <c r="B271" t="s">
        <v>818</v>
      </c>
      <c r="C271" t="s">
        <v>819</v>
      </c>
      <c r="D271" t="s">
        <v>23</v>
      </c>
      <c r="E271" t="s">
        <v>28</v>
      </c>
      <c r="F271" t="s">
        <v>60</v>
      </c>
      <c r="G271" t="s">
        <v>19</v>
      </c>
      <c r="H271">
        <f>Cleaned_Data!K271</f>
        <v>51.04</v>
      </c>
      <c r="I271" t="str">
        <f t="shared" si="12"/>
        <v>NO</v>
      </c>
      <c r="J271">
        <f>Cleaned_Data!J271</f>
        <v>24</v>
      </c>
      <c r="K271" t="str">
        <f t="shared" si="13"/>
        <v>2024-10</v>
      </c>
      <c r="L271">
        <f t="shared" si="14"/>
        <v>27.04</v>
      </c>
    </row>
    <row r="272" spans="1:12">
      <c r="A272" t="s">
        <v>820</v>
      </c>
      <c r="B272" t="s">
        <v>821</v>
      </c>
      <c r="C272" t="s">
        <v>822</v>
      </c>
      <c r="D272" t="s">
        <v>23</v>
      </c>
      <c r="E272" t="s">
        <v>54</v>
      </c>
      <c r="F272" t="s">
        <v>29</v>
      </c>
      <c r="G272" t="s">
        <v>19</v>
      </c>
      <c r="H272">
        <f>Cleaned_Data!K272</f>
        <v>47.01</v>
      </c>
      <c r="I272" t="str">
        <f t="shared" si="12"/>
        <v>NO</v>
      </c>
      <c r="J272">
        <f>Cleaned_Data!J272</f>
        <v>24</v>
      </c>
      <c r="K272" t="str">
        <f t="shared" si="13"/>
        <v>2024-05</v>
      </c>
      <c r="L272">
        <f t="shared" si="14"/>
        <v>23.009999999999998</v>
      </c>
    </row>
    <row r="273" spans="1:12">
      <c r="A273" t="s">
        <v>823</v>
      </c>
      <c r="B273" t="s">
        <v>824</v>
      </c>
      <c r="C273" t="s">
        <v>825</v>
      </c>
      <c r="D273" t="s">
        <v>23</v>
      </c>
      <c r="E273" t="s">
        <v>16</v>
      </c>
      <c r="F273" t="s">
        <v>17</v>
      </c>
      <c r="G273" t="s">
        <v>19</v>
      </c>
      <c r="H273">
        <f>Cleaned_Data!K273</f>
        <v>20.03</v>
      </c>
      <c r="I273" t="str">
        <f t="shared" si="12"/>
        <v>YES</v>
      </c>
      <c r="J273">
        <f>Cleaned_Data!J273</f>
        <v>24</v>
      </c>
      <c r="K273" t="str">
        <f t="shared" si="13"/>
        <v>2024-10</v>
      </c>
      <c r="L273">
        <f t="shared" si="14"/>
        <v>0</v>
      </c>
    </row>
    <row r="274" spans="1:12">
      <c r="A274" t="s">
        <v>826</v>
      </c>
      <c r="B274" t="s">
        <v>827</v>
      </c>
      <c r="C274" t="s">
        <v>828</v>
      </c>
      <c r="D274" t="s">
        <v>15</v>
      </c>
      <c r="E274" t="s">
        <v>59</v>
      </c>
      <c r="F274" t="s">
        <v>60</v>
      </c>
      <c r="G274" t="s">
        <v>19</v>
      </c>
      <c r="H274">
        <f>Cleaned_Data!K274</f>
        <v>3.04</v>
      </c>
      <c r="I274" t="str">
        <f t="shared" si="12"/>
        <v>YES</v>
      </c>
      <c r="J274">
        <f>Cleaned_Data!J274</f>
        <v>8</v>
      </c>
      <c r="K274" t="str">
        <f t="shared" si="13"/>
        <v>2024-01</v>
      </c>
      <c r="L274">
        <f t="shared" si="14"/>
        <v>0</v>
      </c>
    </row>
    <row r="275" spans="1:12">
      <c r="A275" t="s">
        <v>829</v>
      </c>
      <c r="B275" t="s">
        <v>830</v>
      </c>
      <c r="C275" t="s">
        <v>831</v>
      </c>
      <c r="D275" t="s">
        <v>15</v>
      </c>
      <c r="E275" t="s">
        <v>54</v>
      </c>
      <c r="F275" t="s">
        <v>29</v>
      </c>
      <c r="G275" t="s">
        <v>31</v>
      </c>
      <c r="H275">
        <f>Cleaned_Data!K275</f>
        <v>5.72</v>
      </c>
      <c r="I275" t="str">
        <f t="shared" si="12"/>
        <v>YES</v>
      </c>
      <c r="J275">
        <f>Cleaned_Data!J275</f>
        <v>8</v>
      </c>
      <c r="K275" t="str">
        <f t="shared" si="13"/>
        <v>2024-11</v>
      </c>
      <c r="L275">
        <f t="shared" si="14"/>
        <v>0</v>
      </c>
    </row>
    <row r="276" spans="1:12">
      <c r="A276" t="s">
        <v>832</v>
      </c>
      <c r="B276" t="s">
        <v>833</v>
      </c>
      <c r="C276" t="s">
        <v>834</v>
      </c>
      <c r="D276" t="s">
        <v>15</v>
      </c>
      <c r="E276" t="s">
        <v>16</v>
      </c>
      <c r="F276" t="s">
        <v>17</v>
      </c>
      <c r="G276" t="s">
        <v>31</v>
      </c>
      <c r="H276">
        <f>Cleaned_Data!K276</f>
        <v>7.03</v>
      </c>
      <c r="I276" t="str">
        <f t="shared" si="12"/>
        <v>YES</v>
      </c>
      <c r="J276">
        <f>Cleaned_Data!J276</f>
        <v>8</v>
      </c>
      <c r="K276" t="str">
        <f t="shared" si="13"/>
        <v>2024-06</v>
      </c>
      <c r="L276">
        <f t="shared" si="14"/>
        <v>0</v>
      </c>
    </row>
    <row r="277" spans="1:12">
      <c r="A277" t="s">
        <v>835</v>
      </c>
      <c r="B277" t="s">
        <v>836</v>
      </c>
      <c r="C277" t="s">
        <v>837</v>
      </c>
      <c r="D277" t="s">
        <v>35</v>
      </c>
      <c r="E277" t="s">
        <v>28</v>
      </c>
      <c r="F277" t="s">
        <v>36</v>
      </c>
      <c r="G277" t="s">
        <v>19</v>
      </c>
      <c r="H277">
        <f>Cleaned_Data!K277</f>
        <v>10.41</v>
      </c>
      <c r="I277" t="str">
        <f t="shared" si="12"/>
        <v>YES</v>
      </c>
      <c r="J277">
        <f>Cleaned_Data!J277</f>
        <v>48</v>
      </c>
      <c r="K277" t="str">
        <f t="shared" si="13"/>
        <v>2024-09</v>
      </c>
      <c r="L277">
        <f t="shared" si="14"/>
        <v>0</v>
      </c>
    </row>
    <row r="278" spans="1:12">
      <c r="A278" t="s">
        <v>838</v>
      </c>
      <c r="B278" t="s">
        <v>839</v>
      </c>
      <c r="C278" t="s">
        <v>840</v>
      </c>
      <c r="D278" t="s">
        <v>23</v>
      </c>
      <c r="E278" t="s">
        <v>24</v>
      </c>
      <c r="F278" t="s">
        <v>60</v>
      </c>
      <c r="G278" t="s">
        <v>19</v>
      </c>
      <c r="H278">
        <f>Cleaned_Data!K278</f>
        <v>16</v>
      </c>
      <c r="I278" t="str">
        <f t="shared" si="12"/>
        <v>YES</v>
      </c>
      <c r="J278">
        <f>Cleaned_Data!J278</f>
        <v>24</v>
      </c>
      <c r="K278" t="str">
        <f t="shared" si="13"/>
        <v>2024-01</v>
      </c>
      <c r="L278">
        <f t="shared" si="14"/>
        <v>0</v>
      </c>
    </row>
    <row r="279" spans="1:12">
      <c r="A279" t="s">
        <v>841</v>
      </c>
      <c r="B279" t="s">
        <v>842</v>
      </c>
      <c r="C279" t="s">
        <v>843</v>
      </c>
      <c r="D279" t="s">
        <v>23</v>
      </c>
      <c r="E279" t="s">
        <v>24</v>
      </c>
      <c r="F279" t="s">
        <v>60</v>
      </c>
      <c r="G279" t="s">
        <v>19</v>
      </c>
      <c r="H279">
        <f>Cleaned_Data!K279</f>
        <v>17.13</v>
      </c>
      <c r="I279" t="str">
        <f t="shared" si="12"/>
        <v>YES</v>
      </c>
      <c r="J279">
        <f>Cleaned_Data!J279</f>
        <v>24</v>
      </c>
      <c r="K279" t="str">
        <f t="shared" si="13"/>
        <v>2024-07</v>
      </c>
      <c r="L279">
        <f t="shared" si="14"/>
        <v>0</v>
      </c>
    </row>
    <row r="280" spans="1:12">
      <c r="A280" t="s">
        <v>844</v>
      </c>
      <c r="B280" t="s">
        <v>845</v>
      </c>
      <c r="C280" t="s">
        <v>846</v>
      </c>
      <c r="D280" t="s">
        <v>158</v>
      </c>
      <c r="E280" t="s">
        <v>16</v>
      </c>
      <c r="F280" t="s">
        <v>41</v>
      </c>
      <c r="G280" t="s">
        <v>19</v>
      </c>
      <c r="H280">
        <f>Cleaned_Data!K280</f>
        <v>0.91</v>
      </c>
      <c r="I280" t="str">
        <f t="shared" si="12"/>
        <v>YES</v>
      </c>
      <c r="J280">
        <f>Cleaned_Data!J280</f>
        <v>4</v>
      </c>
      <c r="K280" t="str">
        <f t="shared" si="13"/>
        <v>2024-04</v>
      </c>
      <c r="L280">
        <f t="shared" si="14"/>
        <v>0</v>
      </c>
    </row>
    <row r="281" spans="1:12">
      <c r="A281" t="s">
        <v>847</v>
      </c>
      <c r="B281" t="s">
        <v>848</v>
      </c>
      <c r="C281" t="s">
        <v>849</v>
      </c>
      <c r="D281" t="s">
        <v>15</v>
      </c>
      <c r="E281" t="s">
        <v>16</v>
      </c>
      <c r="F281" t="s">
        <v>41</v>
      </c>
      <c r="G281" t="s">
        <v>19</v>
      </c>
      <c r="H281">
        <f>Cleaned_Data!K281</f>
        <v>4.6399999999999997</v>
      </c>
      <c r="I281" t="str">
        <f t="shared" si="12"/>
        <v>YES</v>
      </c>
      <c r="J281">
        <f>Cleaned_Data!J281</f>
        <v>8</v>
      </c>
      <c r="K281" t="str">
        <f t="shared" si="13"/>
        <v>2024-07</v>
      </c>
      <c r="L281">
        <f t="shared" si="14"/>
        <v>0</v>
      </c>
    </row>
    <row r="282" spans="1:12">
      <c r="A282" t="s">
        <v>850</v>
      </c>
      <c r="B282" t="s">
        <v>851</v>
      </c>
      <c r="D282" t="s">
        <v>15</v>
      </c>
      <c r="E282" t="s">
        <v>16</v>
      </c>
      <c r="F282" t="s">
        <v>36</v>
      </c>
      <c r="G282" t="s">
        <v>46</v>
      </c>
      <c r="H282">
        <f>Cleaned_Data!K282</f>
        <v>0</v>
      </c>
      <c r="I282" t="str">
        <f t="shared" si="12"/>
        <v/>
      </c>
      <c r="J282">
        <f>Cleaned_Data!J282</f>
        <v>8</v>
      </c>
      <c r="K282" t="str">
        <f t="shared" si="13"/>
        <v>2024-03</v>
      </c>
      <c r="L282">
        <f t="shared" si="14"/>
        <v>0</v>
      </c>
    </row>
    <row r="283" spans="1:12">
      <c r="A283" t="s">
        <v>852</v>
      </c>
      <c r="B283" t="s">
        <v>853</v>
      </c>
      <c r="C283" t="s">
        <v>854</v>
      </c>
      <c r="D283" t="s">
        <v>23</v>
      </c>
      <c r="E283" t="s">
        <v>24</v>
      </c>
      <c r="F283" t="s">
        <v>41</v>
      </c>
      <c r="G283" t="s">
        <v>31</v>
      </c>
      <c r="H283">
        <f>Cleaned_Data!K283</f>
        <v>2.59</v>
      </c>
      <c r="I283" t="str">
        <f t="shared" si="12"/>
        <v>YES</v>
      </c>
      <c r="J283">
        <f>Cleaned_Data!J283</f>
        <v>24</v>
      </c>
      <c r="K283" t="str">
        <f t="shared" si="13"/>
        <v>2024-09</v>
      </c>
      <c r="L283">
        <f t="shared" si="14"/>
        <v>0</v>
      </c>
    </row>
    <row r="284" spans="1:12">
      <c r="A284" t="s">
        <v>855</v>
      </c>
      <c r="B284" t="s">
        <v>856</v>
      </c>
      <c r="D284" t="s">
        <v>35</v>
      </c>
      <c r="E284" t="s">
        <v>54</v>
      </c>
      <c r="F284" t="s">
        <v>29</v>
      </c>
      <c r="G284" t="s">
        <v>46</v>
      </c>
      <c r="H284">
        <f>Cleaned_Data!K284</f>
        <v>0</v>
      </c>
      <c r="I284" t="str">
        <f t="shared" si="12"/>
        <v/>
      </c>
      <c r="J284">
        <f>Cleaned_Data!J284</f>
        <v>48</v>
      </c>
      <c r="K284" t="str">
        <f t="shared" si="13"/>
        <v>2024-07</v>
      </c>
      <c r="L284">
        <f t="shared" si="14"/>
        <v>0</v>
      </c>
    </row>
    <row r="285" spans="1:12">
      <c r="A285" t="s">
        <v>857</v>
      </c>
      <c r="B285" t="s">
        <v>858</v>
      </c>
      <c r="D285" t="s">
        <v>35</v>
      </c>
      <c r="E285" t="s">
        <v>59</v>
      </c>
      <c r="F285" t="s">
        <v>17</v>
      </c>
      <c r="G285" t="s">
        <v>63</v>
      </c>
      <c r="H285">
        <f>Cleaned_Data!K285</f>
        <v>0</v>
      </c>
      <c r="I285" t="str">
        <f t="shared" si="12"/>
        <v/>
      </c>
      <c r="J285">
        <f>Cleaned_Data!J285</f>
        <v>48</v>
      </c>
      <c r="K285" t="str">
        <f t="shared" si="13"/>
        <v>2024-02</v>
      </c>
      <c r="L285">
        <f t="shared" si="14"/>
        <v>0</v>
      </c>
    </row>
    <row r="286" spans="1:12">
      <c r="A286" t="s">
        <v>859</v>
      </c>
      <c r="B286" t="s">
        <v>860</v>
      </c>
      <c r="C286" t="s">
        <v>861</v>
      </c>
      <c r="D286" t="s">
        <v>35</v>
      </c>
      <c r="E286" t="s">
        <v>28</v>
      </c>
      <c r="F286" t="s">
        <v>36</v>
      </c>
      <c r="G286" t="s">
        <v>31</v>
      </c>
      <c r="H286">
        <f>Cleaned_Data!K286</f>
        <v>26.96</v>
      </c>
      <c r="I286" t="str">
        <f t="shared" si="12"/>
        <v>YES</v>
      </c>
      <c r="J286">
        <f>Cleaned_Data!J286</f>
        <v>48</v>
      </c>
      <c r="K286" t="str">
        <f t="shared" si="13"/>
        <v>2024-09</v>
      </c>
      <c r="L286">
        <f t="shared" si="14"/>
        <v>0</v>
      </c>
    </row>
    <row r="287" spans="1:12">
      <c r="A287" t="s">
        <v>862</v>
      </c>
      <c r="B287" t="s">
        <v>863</v>
      </c>
      <c r="C287" t="s">
        <v>864</v>
      </c>
      <c r="D287" t="s">
        <v>35</v>
      </c>
      <c r="E287" t="s">
        <v>28</v>
      </c>
      <c r="F287" t="s">
        <v>17</v>
      </c>
      <c r="G287" t="s">
        <v>19</v>
      </c>
      <c r="H287">
        <f>Cleaned_Data!K287</f>
        <v>127.24</v>
      </c>
      <c r="I287" t="str">
        <f t="shared" si="12"/>
        <v>NO</v>
      </c>
      <c r="J287">
        <f>Cleaned_Data!J287</f>
        <v>48</v>
      </c>
      <c r="K287" t="str">
        <f t="shared" si="13"/>
        <v>2024-03</v>
      </c>
      <c r="L287">
        <f t="shared" si="14"/>
        <v>79.239999999999995</v>
      </c>
    </row>
    <row r="288" spans="1:12">
      <c r="A288" t="s">
        <v>865</v>
      </c>
      <c r="B288" t="s">
        <v>866</v>
      </c>
      <c r="C288" t="s">
        <v>867</v>
      </c>
      <c r="D288" t="s">
        <v>15</v>
      </c>
      <c r="E288" t="s">
        <v>28</v>
      </c>
      <c r="F288" t="s">
        <v>41</v>
      </c>
      <c r="G288" t="s">
        <v>31</v>
      </c>
      <c r="H288">
        <f>Cleaned_Data!K288</f>
        <v>5.94</v>
      </c>
      <c r="I288" t="str">
        <f t="shared" si="12"/>
        <v>YES</v>
      </c>
      <c r="J288">
        <f>Cleaned_Data!J288</f>
        <v>8</v>
      </c>
      <c r="K288" t="str">
        <f t="shared" si="13"/>
        <v>2024-04</v>
      </c>
      <c r="L288">
        <f t="shared" si="14"/>
        <v>0</v>
      </c>
    </row>
    <row r="289" spans="1:12">
      <c r="A289" t="s">
        <v>868</v>
      </c>
      <c r="B289" t="s">
        <v>869</v>
      </c>
      <c r="C289" t="s">
        <v>870</v>
      </c>
      <c r="D289" t="s">
        <v>23</v>
      </c>
      <c r="E289" t="s">
        <v>28</v>
      </c>
      <c r="F289" t="s">
        <v>29</v>
      </c>
      <c r="G289" t="s">
        <v>19</v>
      </c>
      <c r="H289">
        <f>Cleaned_Data!K289</f>
        <v>3.95</v>
      </c>
      <c r="I289" t="str">
        <f t="shared" si="12"/>
        <v>YES</v>
      </c>
      <c r="J289">
        <f>Cleaned_Data!J289</f>
        <v>24</v>
      </c>
      <c r="K289" t="str">
        <f t="shared" si="13"/>
        <v>2024-09</v>
      </c>
      <c r="L289">
        <f t="shared" si="14"/>
        <v>0</v>
      </c>
    </row>
    <row r="290" spans="1:12">
      <c r="A290" t="s">
        <v>871</v>
      </c>
      <c r="B290" t="s">
        <v>872</v>
      </c>
      <c r="C290" t="s">
        <v>873</v>
      </c>
      <c r="D290" t="s">
        <v>35</v>
      </c>
      <c r="E290" t="s">
        <v>28</v>
      </c>
      <c r="F290" t="s">
        <v>29</v>
      </c>
      <c r="G290" t="s">
        <v>31</v>
      </c>
      <c r="H290">
        <f>Cleaned_Data!K290</f>
        <v>23.18</v>
      </c>
      <c r="I290" t="str">
        <f t="shared" si="12"/>
        <v>YES</v>
      </c>
      <c r="J290">
        <f>Cleaned_Data!J290</f>
        <v>48</v>
      </c>
      <c r="K290" t="str">
        <f t="shared" si="13"/>
        <v>2024-08</v>
      </c>
      <c r="L290">
        <f t="shared" si="14"/>
        <v>0</v>
      </c>
    </row>
    <row r="291" spans="1:12">
      <c r="A291" t="s">
        <v>874</v>
      </c>
      <c r="B291" t="s">
        <v>875</v>
      </c>
      <c r="C291" t="s">
        <v>876</v>
      </c>
      <c r="D291" t="s">
        <v>35</v>
      </c>
      <c r="E291" t="s">
        <v>28</v>
      </c>
      <c r="F291" t="s">
        <v>60</v>
      </c>
      <c r="G291" t="s">
        <v>19</v>
      </c>
      <c r="H291">
        <f>Cleaned_Data!K291</f>
        <v>16.850000000000001</v>
      </c>
      <c r="I291" t="str">
        <f t="shared" si="12"/>
        <v>YES</v>
      </c>
      <c r="J291">
        <f>Cleaned_Data!J291</f>
        <v>48</v>
      </c>
      <c r="K291" t="str">
        <f t="shared" si="13"/>
        <v>2024-08</v>
      </c>
      <c r="L291">
        <f t="shared" si="14"/>
        <v>0</v>
      </c>
    </row>
    <row r="292" spans="1:12">
      <c r="A292" t="s">
        <v>877</v>
      </c>
      <c r="B292" t="s">
        <v>878</v>
      </c>
      <c r="C292" t="s">
        <v>879</v>
      </c>
      <c r="D292" t="s">
        <v>158</v>
      </c>
      <c r="E292" t="s">
        <v>59</v>
      </c>
      <c r="F292" t="s">
        <v>17</v>
      </c>
      <c r="G292" t="s">
        <v>19</v>
      </c>
      <c r="H292">
        <f>Cleaned_Data!K292</f>
        <v>0.71</v>
      </c>
      <c r="I292" t="str">
        <f t="shared" si="12"/>
        <v>YES</v>
      </c>
      <c r="J292">
        <f>Cleaned_Data!J292</f>
        <v>4</v>
      </c>
      <c r="K292" t="str">
        <f t="shared" si="13"/>
        <v>2024-01</v>
      </c>
      <c r="L292">
        <f t="shared" si="14"/>
        <v>0</v>
      </c>
    </row>
    <row r="293" spans="1:12">
      <c r="A293" t="s">
        <v>880</v>
      </c>
      <c r="B293" t="s">
        <v>881</v>
      </c>
      <c r="C293" t="s">
        <v>882</v>
      </c>
      <c r="D293" t="s">
        <v>23</v>
      </c>
      <c r="E293" t="s">
        <v>28</v>
      </c>
      <c r="F293" t="s">
        <v>17</v>
      </c>
      <c r="G293" t="s">
        <v>19</v>
      </c>
      <c r="H293">
        <f>Cleaned_Data!K293</f>
        <v>13.72</v>
      </c>
      <c r="I293" t="str">
        <f t="shared" si="12"/>
        <v>YES</v>
      </c>
      <c r="J293">
        <f>Cleaned_Data!J293</f>
        <v>24</v>
      </c>
      <c r="K293" t="str">
        <f t="shared" si="13"/>
        <v>2024-06</v>
      </c>
      <c r="L293">
        <f t="shared" si="14"/>
        <v>0</v>
      </c>
    </row>
    <row r="294" spans="1:12">
      <c r="A294" t="s">
        <v>883</v>
      </c>
      <c r="B294" t="s">
        <v>884</v>
      </c>
      <c r="C294" t="s">
        <v>885</v>
      </c>
      <c r="D294" t="s">
        <v>158</v>
      </c>
      <c r="E294" t="s">
        <v>54</v>
      </c>
      <c r="F294" t="s">
        <v>60</v>
      </c>
      <c r="G294" t="s">
        <v>31</v>
      </c>
      <c r="H294">
        <f>Cleaned_Data!K294</f>
        <v>4.3</v>
      </c>
      <c r="I294" t="str">
        <f t="shared" si="12"/>
        <v>NO</v>
      </c>
      <c r="J294">
        <f>Cleaned_Data!J294</f>
        <v>4</v>
      </c>
      <c r="K294" t="str">
        <f t="shared" si="13"/>
        <v>2024-01</v>
      </c>
      <c r="L294">
        <f t="shared" si="14"/>
        <v>0.29999999999999982</v>
      </c>
    </row>
    <row r="295" spans="1:12">
      <c r="A295" t="s">
        <v>886</v>
      </c>
      <c r="B295" t="s">
        <v>887</v>
      </c>
      <c r="C295" t="s">
        <v>888</v>
      </c>
      <c r="D295" t="s">
        <v>158</v>
      </c>
      <c r="E295" t="s">
        <v>59</v>
      </c>
      <c r="F295" t="s">
        <v>17</v>
      </c>
      <c r="G295" t="s">
        <v>19</v>
      </c>
      <c r="H295">
        <f>Cleaned_Data!K295</f>
        <v>0.98</v>
      </c>
      <c r="I295" t="str">
        <f t="shared" si="12"/>
        <v>YES</v>
      </c>
      <c r="J295">
        <f>Cleaned_Data!J295</f>
        <v>4</v>
      </c>
      <c r="K295" t="str">
        <f t="shared" si="13"/>
        <v>2024-10</v>
      </c>
      <c r="L295">
        <f t="shared" si="14"/>
        <v>0</v>
      </c>
    </row>
    <row r="296" spans="1:12">
      <c r="A296" t="s">
        <v>889</v>
      </c>
      <c r="B296" t="s">
        <v>890</v>
      </c>
      <c r="C296" t="s">
        <v>891</v>
      </c>
      <c r="D296" t="s">
        <v>23</v>
      </c>
      <c r="E296" t="s">
        <v>24</v>
      </c>
      <c r="F296" t="s">
        <v>41</v>
      </c>
      <c r="G296" t="s">
        <v>19</v>
      </c>
      <c r="H296">
        <f>Cleaned_Data!K296</f>
        <v>3.97</v>
      </c>
      <c r="I296" t="str">
        <f t="shared" si="12"/>
        <v>YES</v>
      </c>
      <c r="J296">
        <f>Cleaned_Data!J296</f>
        <v>24</v>
      </c>
      <c r="K296" t="str">
        <f t="shared" si="13"/>
        <v>2024-04</v>
      </c>
      <c r="L296">
        <f t="shared" si="14"/>
        <v>0</v>
      </c>
    </row>
    <row r="297" spans="1:12">
      <c r="A297" t="s">
        <v>892</v>
      </c>
      <c r="B297" t="s">
        <v>893</v>
      </c>
      <c r="C297" t="s">
        <v>894</v>
      </c>
      <c r="D297" t="s">
        <v>23</v>
      </c>
      <c r="E297" t="s">
        <v>28</v>
      </c>
      <c r="F297" t="s">
        <v>60</v>
      </c>
      <c r="G297" t="s">
        <v>19</v>
      </c>
      <c r="H297">
        <f>Cleaned_Data!K297</f>
        <v>2.54</v>
      </c>
      <c r="I297" t="str">
        <f t="shared" si="12"/>
        <v>YES</v>
      </c>
      <c r="J297">
        <f>Cleaned_Data!J297</f>
        <v>24</v>
      </c>
      <c r="K297" t="str">
        <f t="shared" si="13"/>
        <v>2024-04</v>
      </c>
      <c r="L297">
        <f t="shared" si="14"/>
        <v>0</v>
      </c>
    </row>
    <row r="298" spans="1:12">
      <c r="A298" t="s">
        <v>895</v>
      </c>
      <c r="B298" t="s">
        <v>896</v>
      </c>
      <c r="C298" t="s">
        <v>897</v>
      </c>
      <c r="D298" t="s">
        <v>23</v>
      </c>
      <c r="E298" t="s">
        <v>59</v>
      </c>
      <c r="F298" t="s">
        <v>29</v>
      </c>
      <c r="G298" t="s">
        <v>19</v>
      </c>
      <c r="H298">
        <f>Cleaned_Data!K298</f>
        <v>19.93</v>
      </c>
      <c r="I298" t="str">
        <f t="shared" si="12"/>
        <v>YES</v>
      </c>
      <c r="J298">
        <f>Cleaned_Data!J298</f>
        <v>24</v>
      </c>
      <c r="K298" t="str">
        <f t="shared" si="13"/>
        <v>2024-11</v>
      </c>
      <c r="L298">
        <f t="shared" si="14"/>
        <v>0</v>
      </c>
    </row>
    <row r="299" spans="1:12">
      <c r="A299" t="s">
        <v>898</v>
      </c>
      <c r="B299" t="s">
        <v>899</v>
      </c>
      <c r="C299" t="s">
        <v>900</v>
      </c>
      <c r="D299" t="s">
        <v>15</v>
      </c>
      <c r="E299" t="s">
        <v>16</v>
      </c>
      <c r="F299" t="s">
        <v>17</v>
      </c>
      <c r="G299" t="s">
        <v>19</v>
      </c>
      <c r="H299">
        <f>Cleaned_Data!K299</f>
        <v>23.51</v>
      </c>
      <c r="I299" t="str">
        <f t="shared" si="12"/>
        <v>NO</v>
      </c>
      <c r="J299">
        <f>Cleaned_Data!J299</f>
        <v>8</v>
      </c>
      <c r="K299" t="str">
        <f t="shared" si="13"/>
        <v>2024-02</v>
      </c>
      <c r="L299">
        <f t="shared" si="14"/>
        <v>15.510000000000002</v>
      </c>
    </row>
    <row r="300" spans="1:12">
      <c r="A300" t="s">
        <v>901</v>
      </c>
      <c r="B300" t="s">
        <v>902</v>
      </c>
      <c r="C300" t="s">
        <v>903</v>
      </c>
      <c r="D300" t="s">
        <v>23</v>
      </c>
      <c r="E300" t="s">
        <v>59</v>
      </c>
      <c r="F300" t="s">
        <v>17</v>
      </c>
      <c r="G300" t="s">
        <v>19</v>
      </c>
      <c r="H300">
        <f>Cleaned_Data!K300</f>
        <v>10.42</v>
      </c>
      <c r="I300" t="str">
        <f t="shared" si="12"/>
        <v>YES</v>
      </c>
      <c r="J300">
        <f>Cleaned_Data!J300</f>
        <v>24</v>
      </c>
      <c r="K300" t="str">
        <f t="shared" si="13"/>
        <v>2024-09</v>
      </c>
      <c r="L300">
        <f t="shared" si="14"/>
        <v>0</v>
      </c>
    </row>
    <row r="301" spans="1:12">
      <c r="A301" t="s">
        <v>904</v>
      </c>
      <c r="B301" t="s">
        <v>905</v>
      </c>
      <c r="C301" t="s">
        <v>906</v>
      </c>
      <c r="D301" t="s">
        <v>15</v>
      </c>
      <c r="E301" t="s">
        <v>59</v>
      </c>
      <c r="F301" t="s">
        <v>17</v>
      </c>
      <c r="G301" t="s">
        <v>31</v>
      </c>
      <c r="H301">
        <f>Cleaned_Data!K301</f>
        <v>5.74</v>
      </c>
      <c r="I301" t="str">
        <f t="shared" si="12"/>
        <v>YES</v>
      </c>
      <c r="J301">
        <f>Cleaned_Data!J301</f>
        <v>8</v>
      </c>
      <c r="K301" t="str">
        <f t="shared" si="13"/>
        <v>2024-08</v>
      </c>
      <c r="L301">
        <f t="shared" si="14"/>
        <v>0</v>
      </c>
    </row>
    <row r="302" spans="1:12">
      <c r="A302" t="s">
        <v>907</v>
      </c>
      <c r="B302" t="s">
        <v>908</v>
      </c>
      <c r="C302" t="s">
        <v>909</v>
      </c>
      <c r="D302" t="s">
        <v>23</v>
      </c>
      <c r="E302" t="s">
        <v>28</v>
      </c>
      <c r="F302" t="s">
        <v>36</v>
      </c>
      <c r="G302" t="s">
        <v>31</v>
      </c>
      <c r="H302">
        <f>Cleaned_Data!K302</f>
        <v>8.58</v>
      </c>
      <c r="I302" t="str">
        <f t="shared" si="12"/>
        <v>YES</v>
      </c>
      <c r="J302">
        <f>Cleaned_Data!J302</f>
        <v>24</v>
      </c>
      <c r="K302" t="str">
        <f t="shared" si="13"/>
        <v>2024-03</v>
      </c>
      <c r="L302">
        <f t="shared" si="14"/>
        <v>0</v>
      </c>
    </row>
    <row r="303" spans="1:12">
      <c r="A303" t="s">
        <v>910</v>
      </c>
      <c r="B303" t="s">
        <v>911</v>
      </c>
      <c r="D303" t="s">
        <v>23</v>
      </c>
      <c r="E303" t="s">
        <v>16</v>
      </c>
      <c r="F303" t="s">
        <v>36</v>
      </c>
      <c r="G303" t="s">
        <v>46</v>
      </c>
      <c r="H303">
        <f>Cleaned_Data!K303</f>
        <v>0</v>
      </c>
      <c r="I303" t="str">
        <f t="shared" si="12"/>
        <v/>
      </c>
      <c r="J303">
        <f>Cleaned_Data!J303</f>
        <v>24</v>
      </c>
      <c r="K303" t="str">
        <f t="shared" si="13"/>
        <v>2024-03</v>
      </c>
      <c r="L303">
        <f t="shared" si="14"/>
        <v>0</v>
      </c>
    </row>
    <row r="304" spans="1:12">
      <c r="A304" t="s">
        <v>912</v>
      </c>
      <c r="B304" t="s">
        <v>913</v>
      </c>
      <c r="C304" t="s">
        <v>914</v>
      </c>
      <c r="D304" t="s">
        <v>23</v>
      </c>
      <c r="E304" t="s">
        <v>28</v>
      </c>
      <c r="F304" t="s">
        <v>41</v>
      </c>
      <c r="G304" t="s">
        <v>19</v>
      </c>
      <c r="H304">
        <f>Cleaned_Data!K304</f>
        <v>58.04</v>
      </c>
      <c r="I304" t="str">
        <f t="shared" si="12"/>
        <v>NO</v>
      </c>
      <c r="J304">
        <f>Cleaned_Data!J304</f>
        <v>24</v>
      </c>
      <c r="K304" t="str">
        <f t="shared" si="13"/>
        <v>2024-07</v>
      </c>
      <c r="L304">
        <f t="shared" si="14"/>
        <v>34.04</v>
      </c>
    </row>
    <row r="305" spans="1:12">
      <c r="A305" t="s">
        <v>915</v>
      </c>
      <c r="B305" t="s">
        <v>916</v>
      </c>
      <c r="C305" t="s">
        <v>917</v>
      </c>
      <c r="D305" t="s">
        <v>23</v>
      </c>
      <c r="E305" t="s">
        <v>24</v>
      </c>
      <c r="F305" t="s">
        <v>17</v>
      </c>
      <c r="G305" t="s">
        <v>31</v>
      </c>
      <c r="H305">
        <f>Cleaned_Data!K305</f>
        <v>14.9</v>
      </c>
      <c r="I305" t="str">
        <f t="shared" si="12"/>
        <v>YES</v>
      </c>
      <c r="J305">
        <f>Cleaned_Data!J305</f>
        <v>24</v>
      </c>
      <c r="K305" t="str">
        <f t="shared" si="13"/>
        <v>2024-08</v>
      </c>
      <c r="L305">
        <f t="shared" si="14"/>
        <v>0</v>
      </c>
    </row>
    <row r="306" spans="1:12">
      <c r="A306" t="s">
        <v>918</v>
      </c>
      <c r="B306" t="s">
        <v>919</v>
      </c>
      <c r="C306" t="s">
        <v>920</v>
      </c>
      <c r="D306" t="s">
        <v>23</v>
      </c>
      <c r="E306" t="s">
        <v>28</v>
      </c>
      <c r="F306" t="s">
        <v>29</v>
      </c>
      <c r="G306" t="s">
        <v>19</v>
      </c>
      <c r="H306">
        <f>Cleaned_Data!K306</f>
        <v>6.93</v>
      </c>
      <c r="I306" t="str">
        <f t="shared" si="12"/>
        <v>YES</v>
      </c>
      <c r="J306">
        <f>Cleaned_Data!J306</f>
        <v>24</v>
      </c>
      <c r="K306" t="str">
        <f t="shared" si="13"/>
        <v>2024-09</v>
      </c>
      <c r="L306">
        <f t="shared" si="14"/>
        <v>0</v>
      </c>
    </row>
    <row r="307" spans="1:12">
      <c r="A307" t="s">
        <v>921</v>
      </c>
      <c r="B307" t="s">
        <v>922</v>
      </c>
      <c r="C307" t="s">
        <v>923</v>
      </c>
      <c r="D307" t="s">
        <v>23</v>
      </c>
      <c r="E307" t="s">
        <v>54</v>
      </c>
      <c r="F307" t="s">
        <v>41</v>
      </c>
      <c r="G307" t="s">
        <v>19</v>
      </c>
      <c r="H307">
        <f>Cleaned_Data!K307</f>
        <v>14.41</v>
      </c>
      <c r="I307" t="str">
        <f t="shared" si="12"/>
        <v>YES</v>
      </c>
      <c r="J307">
        <f>Cleaned_Data!J307</f>
        <v>24</v>
      </c>
      <c r="K307" t="str">
        <f t="shared" si="13"/>
        <v>2024-08</v>
      </c>
      <c r="L307">
        <f t="shared" si="14"/>
        <v>0</v>
      </c>
    </row>
    <row r="308" spans="1:12">
      <c r="A308" t="s">
        <v>924</v>
      </c>
      <c r="B308" t="s">
        <v>925</v>
      </c>
      <c r="D308" t="s">
        <v>35</v>
      </c>
      <c r="E308" t="s">
        <v>28</v>
      </c>
      <c r="F308" t="s">
        <v>29</v>
      </c>
      <c r="G308" t="s">
        <v>63</v>
      </c>
      <c r="H308">
        <f>Cleaned_Data!K308</f>
        <v>0</v>
      </c>
      <c r="I308" t="str">
        <f t="shared" si="12"/>
        <v/>
      </c>
      <c r="J308">
        <f>Cleaned_Data!J308</f>
        <v>48</v>
      </c>
      <c r="K308" t="str">
        <f t="shared" si="13"/>
        <v>2024-05</v>
      </c>
      <c r="L308">
        <f t="shared" si="14"/>
        <v>0</v>
      </c>
    </row>
    <row r="309" spans="1:12">
      <c r="A309" t="s">
        <v>926</v>
      </c>
      <c r="B309" t="s">
        <v>927</v>
      </c>
      <c r="C309" t="s">
        <v>928</v>
      </c>
      <c r="D309" t="s">
        <v>15</v>
      </c>
      <c r="E309" t="s">
        <v>59</v>
      </c>
      <c r="F309" t="s">
        <v>17</v>
      </c>
      <c r="G309" t="s">
        <v>19</v>
      </c>
      <c r="H309">
        <f>Cleaned_Data!K309</f>
        <v>2.21</v>
      </c>
      <c r="I309" t="str">
        <f t="shared" si="12"/>
        <v>YES</v>
      </c>
      <c r="J309">
        <f>Cleaned_Data!J309</f>
        <v>8</v>
      </c>
      <c r="K309" t="str">
        <f t="shared" si="13"/>
        <v>2024-02</v>
      </c>
      <c r="L309">
        <f t="shared" si="14"/>
        <v>0</v>
      </c>
    </row>
    <row r="310" spans="1:12">
      <c r="A310" t="s">
        <v>929</v>
      </c>
      <c r="B310" t="s">
        <v>930</v>
      </c>
      <c r="C310" t="s">
        <v>931</v>
      </c>
      <c r="D310" t="s">
        <v>158</v>
      </c>
      <c r="E310" t="s">
        <v>16</v>
      </c>
      <c r="F310" t="s">
        <v>41</v>
      </c>
      <c r="G310" t="s">
        <v>19</v>
      </c>
      <c r="H310">
        <f>Cleaned_Data!K310</f>
        <v>2.82</v>
      </c>
      <c r="I310" t="str">
        <f t="shared" si="12"/>
        <v>YES</v>
      </c>
      <c r="J310">
        <f>Cleaned_Data!J310</f>
        <v>4</v>
      </c>
      <c r="K310" t="str">
        <f t="shared" si="13"/>
        <v>2024-07</v>
      </c>
      <c r="L310">
        <f t="shared" si="14"/>
        <v>0</v>
      </c>
    </row>
    <row r="311" spans="1:12">
      <c r="A311" t="s">
        <v>932</v>
      </c>
      <c r="B311" t="s">
        <v>933</v>
      </c>
      <c r="C311" t="s">
        <v>934</v>
      </c>
      <c r="D311" t="s">
        <v>23</v>
      </c>
      <c r="E311" t="s">
        <v>54</v>
      </c>
      <c r="F311" t="s">
        <v>17</v>
      </c>
      <c r="G311" t="s">
        <v>19</v>
      </c>
      <c r="H311">
        <f>Cleaned_Data!K311</f>
        <v>5.67</v>
      </c>
      <c r="I311" t="str">
        <f t="shared" si="12"/>
        <v>YES</v>
      </c>
      <c r="J311">
        <f>Cleaned_Data!J311</f>
        <v>24</v>
      </c>
      <c r="K311" t="str">
        <f t="shared" si="13"/>
        <v>2024-05</v>
      </c>
      <c r="L311">
        <f t="shared" si="14"/>
        <v>0</v>
      </c>
    </row>
    <row r="312" spans="1:12">
      <c r="A312" t="s">
        <v>935</v>
      </c>
      <c r="B312" t="s">
        <v>936</v>
      </c>
      <c r="C312" t="s">
        <v>937</v>
      </c>
      <c r="D312" t="s">
        <v>15</v>
      </c>
      <c r="E312" t="s">
        <v>28</v>
      </c>
      <c r="F312" t="s">
        <v>17</v>
      </c>
      <c r="G312" t="s">
        <v>31</v>
      </c>
      <c r="H312">
        <f>Cleaned_Data!K312</f>
        <v>1</v>
      </c>
      <c r="I312" t="str">
        <f t="shared" si="12"/>
        <v>YES</v>
      </c>
      <c r="J312">
        <f>Cleaned_Data!J312</f>
        <v>8</v>
      </c>
      <c r="K312" t="str">
        <f t="shared" si="13"/>
        <v>2024-06</v>
      </c>
      <c r="L312">
        <f t="shared" si="14"/>
        <v>0</v>
      </c>
    </row>
    <row r="313" spans="1:12">
      <c r="A313" t="s">
        <v>938</v>
      </c>
      <c r="B313" t="s">
        <v>939</v>
      </c>
      <c r="C313" t="s">
        <v>940</v>
      </c>
      <c r="D313" t="s">
        <v>23</v>
      </c>
      <c r="E313" t="s">
        <v>28</v>
      </c>
      <c r="F313" t="s">
        <v>36</v>
      </c>
      <c r="G313" t="s">
        <v>19</v>
      </c>
      <c r="H313">
        <f>Cleaned_Data!K313</f>
        <v>16.760000000000002</v>
      </c>
      <c r="I313" t="str">
        <f t="shared" si="12"/>
        <v>YES</v>
      </c>
      <c r="J313">
        <f>Cleaned_Data!J313</f>
        <v>24</v>
      </c>
      <c r="K313" t="str">
        <f t="shared" si="13"/>
        <v>2024-03</v>
      </c>
      <c r="L313">
        <f t="shared" si="14"/>
        <v>0</v>
      </c>
    </row>
    <row r="314" spans="1:12">
      <c r="A314" t="s">
        <v>941</v>
      </c>
      <c r="B314" t="s">
        <v>942</v>
      </c>
      <c r="C314" t="s">
        <v>943</v>
      </c>
      <c r="D314" t="s">
        <v>15</v>
      </c>
      <c r="E314" t="s">
        <v>16</v>
      </c>
      <c r="F314" t="s">
        <v>17</v>
      </c>
      <c r="G314" t="s">
        <v>19</v>
      </c>
      <c r="H314">
        <f>Cleaned_Data!K314</f>
        <v>2.58</v>
      </c>
      <c r="I314" t="str">
        <f t="shared" si="12"/>
        <v>YES</v>
      </c>
      <c r="J314">
        <f>Cleaned_Data!J314</f>
        <v>8</v>
      </c>
      <c r="K314" t="str">
        <f t="shared" si="13"/>
        <v>2024-08</v>
      </c>
      <c r="L314">
        <f t="shared" si="14"/>
        <v>0</v>
      </c>
    </row>
    <row r="315" spans="1:12">
      <c r="A315" t="s">
        <v>944</v>
      </c>
      <c r="B315" t="s">
        <v>945</v>
      </c>
      <c r="C315" t="s">
        <v>946</v>
      </c>
      <c r="D315" t="s">
        <v>35</v>
      </c>
      <c r="E315" t="s">
        <v>28</v>
      </c>
      <c r="F315" t="s">
        <v>41</v>
      </c>
      <c r="G315" t="s">
        <v>19</v>
      </c>
      <c r="H315">
        <f>Cleaned_Data!K315</f>
        <v>19.16</v>
      </c>
      <c r="I315" t="str">
        <f t="shared" si="12"/>
        <v>YES</v>
      </c>
      <c r="J315">
        <f>Cleaned_Data!J315</f>
        <v>48</v>
      </c>
      <c r="K315" t="str">
        <f t="shared" si="13"/>
        <v>2024-07</v>
      </c>
      <c r="L315">
        <f t="shared" si="14"/>
        <v>0</v>
      </c>
    </row>
    <row r="316" spans="1:12">
      <c r="A316" t="s">
        <v>947</v>
      </c>
      <c r="B316" t="s">
        <v>948</v>
      </c>
      <c r="C316" t="s">
        <v>949</v>
      </c>
      <c r="D316" t="s">
        <v>35</v>
      </c>
      <c r="E316" t="s">
        <v>16</v>
      </c>
      <c r="F316" t="s">
        <v>29</v>
      </c>
      <c r="G316" t="s">
        <v>31</v>
      </c>
      <c r="H316">
        <f>Cleaned_Data!K316</f>
        <v>17.579999999999998</v>
      </c>
      <c r="I316" t="str">
        <f t="shared" si="12"/>
        <v>YES</v>
      </c>
      <c r="J316">
        <f>Cleaned_Data!J316</f>
        <v>48</v>
      </c>
      <c r="K316" t="str">
        <f t="shared" si="13"/>
        <v>2024-03</v>
      </c>
      <c r="L316">
        <f t="shared" si="14"/>
        <v>0</v>
      </c>
    </row>
    <row r="317" spans="1:12">
      <c r="A317" t="s">
        <v>950</v>
      </c>
      <c r="B317" t="s">
        <v>951</v>
      </c>
      <c r="C317" t="s">
        <v>952</v>
      </c>
      <c r="D317" t="s">
        <v>15</v>
      </c>
      <c r="E317" t="s">
        <v>24</v>
      </c>
      <c r="F317" t="s">
        <v>60</v>
      </c>
      <c r="G317" t="s">
        <v>19</v>
      </c>
      <c r="H317">
        <f>Cleaned_Data!K317</f>
        <v>3.41</v>
      </c>
      <c r="I317" t="str">
        <f t="shared" si="12"/>
        <v>YES</v>
      </c>
      <c r="J317">
        <f>Cleaned_Data!J317</f>
        <v>8</v>
      </c>
      <c r="K317" t="str">
        <f t="shared" si="13"/>
        <v>2024-02</v>
      </c>
      <c r="L317">
        <f t="shared" si="14"/>
        <v>0</v>
      </c>
    </row>
    <row r="318" spans="1:12">
      <c r="A318" t="s">
        <v>953</v>
      </c>
      <c r="B318" t="s">
        <v>954</v>
      </c>
      <c r="C318" t="s">
        <v>955</v>
      </c>
      <c r="D318" t="s">
        <v>23</v>
      </c>
      <c r="E318" t="s">
        <v>59</v>
      </c>
      <c r="F318" t="s">
        <v>17</v>
      </c>
      <c r="G318" t="s">
        <v>19</v>
      </c>
      <c r="H318">
        <f>Cleaned_Data!K318</f>
        <v>6.22</v>
      </c>
      <c r="I318" t="str">
        <f t="shared" si="12"/>
        <v>YES</v>
      </c>
      <c r="J318">
        <f>Cleaned_Data!J318</f>
        <v>24</v>
      </c>
      <c r="K318" t="str">
        <f t="shared" si="13"/>
        <v>2024-09</v>
      </c>
      <c r="L318">
        <f t="shared" si="14"/>
        <v>0</v>
      </c>
    </row>
    <row r="319" spans="1:12">
      <c r="A319" t="s">
        <v>956</v>
      </c>
      <c r="B319" t="s">
        <v>957</v>
      </c>
      <c r="C319" t="s">
        <v>958</v>
      </c>
      <c r="D319" t="s">
        <v>158</v>
      </c>
      <c r="E319" t="s">
        <v>28</v>
      </c>
      <c r="F319" t="s">
        <v>36</v>
      </c>
      <c r="G319" t="s">
        <v>19</v>
      </c>
      <c r="H319">
        <f>Cleaned_Data!K319</f>
        <v>3.68</v>
      </c>
      <c r="I319" t="str">
        <f t="shared" si="12"/>
        <v>YES</v>
      </c>
      <c r="J319">
        <f>Cleaned_Data!J319</f>
        <v>4</v>
      </c>
      <c r="K319" t="str">
        <f t="shared" si="13"/>
        <v>2024-08</v>
      </c>
      <c r="L319">
        <f t="shared" si="14"/>
        <v>0</v>
      </c>
    </row>
    <row r="320" spans="1:12">
      <c r="A320" t="s">
        <v>959</v>
      </c>
      <c r="B320" t="s">
        <v>960</v>
      </c>
      <c r="C320" t="s">
        <v>961</v>
      </c>
      <c r="D320" t="s">
        <v>23</v>
      </c>
      <c r="E320" t="s">
        <v>28</v>
      </c>
      <c r="F320" t="s">
        <v>41</v>
      </c>
      <c r="G320" t="s">
        <v>19</v>
      </c>
      <c r="H320">
        <f>Cleaned_Data!K320</f>
        <v>18.64</v>
      </c>
      <c r="I320" t="str">
        <f t="shared" si="12"/>
        <v>YES</v>
      </c>
      <c r="J320">
        <f>Cleaned_Data!J320</f>
        <v>24</v>
      </c>
      <c r="K320" t="str">
        <f t="shared" si="13"/>
        <v>2024-07</v>
      </c>
      <c r="L320">
        <f t="shared" si="14"/>
        <v>0</v>
      </c>
    </row>
    <row r="321" spans="1:12">
      <c r="A321" t="s">
        <v>962</v>
      </c>
      <c r="B321" t="s">
        <v>963</v>
      </c>
      <c r="C321" t="s">
        <v>964</v>
      </c>
      <c r="D321" t="s">
        <v>15</v>
      </c>
      <c r="E321" t="s">
        <v>28</v>
      </c>
      <c r="F321" t="s">
        <v>17</v>
      </c>
      <c r="G321" t="s">
        <v>31</v>
      </c>
      <c r="H321">
        <f>Cleaned_Data!K321</f>
        <v>4.17</v>
      </c>
      <c r="I321" t="str">
        <f t="shared" si="12"/>
        <v>YES</v>
      </c>
      <c r="J321">
        <f>Cleaned_Data!J321</f>
        <v>8</v>
      </c>
      <c r="K321" t="str">
        <f t="shared" si="13"/>
        <v>2024-01</v>
      </c>
      <c r="L321">
        <f t="shared" si="14"/>
        <v>0</v>
      </c>
    </row>
    <row r="322" spans="1:12">
      <c r="A322" t="s">
        <v>965</v>
      </c>
      <c r="B322" t="s">
        <v>966</v>
      </c>
      <c r="C322" t="s">
        <v>967</v>
      </c>
      <c r="D322" t="s">
        <v>15</v>
      </c>
      <c r="E322" t="s">
        <v>16</v>
      </c>
      <c r="F322" t="s">
        <v>29</v>
      </c>
      <c r="G322" t="s">
        <v>31</v>
      </c>
      <c r="H322">
        <f>Cleaned_Data!K322</f>
        <v>5.69</v>
      </c>
      <c r="I322" t="str">
        <f t="shared" ref="I322:I385" si="15">IF(OR(G322="Resolved", G322="Closed"), IF(AND(H322&lt;&gt;"", H322&lt;=J322), "YES", "NO"), "")</f>
        <v>YES</v>
      </c>
      <c r="J322">
        <f>Cleaned_Data!J322</f>
        <v>8</v>
      </c>
      <c r="K322" t="str">
        <f t="shared" ref="K322:K385" si="16">LEFT(B322, 7)</f>
        <v>2024-08</v>
      </c>
      <c r="L322">
        <f t="shared" ref="L322:L385" si="17">IF(I322="NO", H322-J322, 0)</f>
        <v>0</v>
      </c>
    </row>
    <row r="323" spans="1:12">
      <c r="A323" t="s">
        <v>968</v>
      </c>
      <c r="B323" t="s">
        <v>969</v>
      </c>
      <c r="D323" t="s">
        <v>15</v>
      </c>
      <c r="E323" t="s">
        <v>16</v>
      </c>
      <c r="F323" t="s">
        <v>17</v>
      </c>
      <c r="G323" t="s">
        <v>63</v>
      </c>
      <c r="H323">
        <f>Cleaned_Data!K323</f>
        <v>0</v>
      </c>
      <c r="I323" t="str">
        <f t="shared" si="15"/>
        <v/>
      </c>
      <c r="J323">
        <f>Cleaned_Data!J323</f>
        <v>8</v>
      </c>
      <c r="K323" t="str">
        <f t="shared" si="16"/>
        <v>2024-06</v>
      </c>
      <c r="L323">
        <f t="shared" si="17"/>
        <v>0</v>
      </c>
    </row>
    <row r="324" spans="1:12">
      <c r="A324" t="s">
        <v>970</v>
      </c>
      <c r="B324" t="s">
        <v>971</v>
      </c>
      <c r="C324" t="s">
        <v>972</v>
      </c>
      <c r="D324" t="s">
        <v>23</v>
      </c>
      <c r="E324" t="s">
        <v>59</v>
      </c>
      <c r="F324" t="s">
        <v>17</v>
      </c>
      <c r="G324" t="s">
        <v>31</v>
      </c>
      <c r="H324">
        <f>Cleaned_Data!K324</f>
        <v>9.5500000000000007</v>
      </c>
      <c r="I324" t="str">
        <f t="shared" si="15"/>
        <v>YES</v>
      </c>
      <c r="J324">
        <f>Cleaned_Data!J324</f>
        <v>24</v>
      </c>
      <c r="K324" t="str">
        <f t="shared" si="16"/>
        <v>2024-02</v>
      </c>
      <c r="L324">
        <f t="shared" si="17"/>
        <v>0</v>
      </c>
    </row>
    <row r="325" spans="1:12">
      <c r="A325" t="s">
        <v>973</v>
      </c>
      <c r="B325" t="s">
        <v>974</v>
      </c>
      <c r="C325" t="s">
        <v>975</v>
      </c>
      <c r="D325" t="s">
        <v>23</v>
      </c>
      <c r="E325" t="s">
        <v>54</v>
      </c>
      <c r="F325" t="s">
        <v>17</v>
      </c>
      <c r="G325" t="s">
        <v>31</v>
      </c>
      <c r="H325">
        <f>Cleaned_Data!K325</f>
        <v>13.26</v>
      </c>
      <c r="I325" t="str">
        <f t="shared" si="15"/>
        <v>YES</v>
      </c>
      <c r="J325">
        <f>Cleaned_Data!J325</f>
        <v>24</v>
      </c>
      <c r="K325" t="str">
        <f t="shared" si="16"/>
        <v>2024-09</v>
      </c>
      <c r="L325">
        <f t="shared" si="17"/>
        <v>0</v>
      </c>
    </row>
    <row r="326" spans="1:12">
      <c r="A326" t="s">
        <v>976</v>
      </c>
      <c r="B326" t="s">
        <v>977</v>
      </c>
      <c r="C326" t="s">
        <v>978</v>
      </c>
      <c r="D326" t="s">
        <v>15</v>
      </c>
      <c r="E326" t="s">
        <v>16</v>
      </c>
      <c r="F326" t="s">
        <v>29</v>
      </c>
      <c r="G326" t="s">
        <v>19</v>
      </c>
      <c r="H326">
        <f>Cleaned_Data!K326</f>
        <v>23.77</v>
      </c>
      <c r="I326" t="str">
        <f t="shared" si="15"/>
        <v>NO</v>
      </c>
      <c r="J326">
        <f>Cleaned_Data!J326</f>
        <v>8</v>
      </c>
      <c r="K326" t="str">
        <f t="shared" si="16"/>
        <v>2024-03</v>
      </c>
      <c r="L326">
        <f t="shared" si="17"/>
        <v>15.77</v>
      </c>
    </row>
    <row r="327" spans="1:12">
      <c r="A327" t="s">
        <v>979</v>
      </c>
      <c r="B327" t="s">
        <v>980</v>
      </c>
      <c r="D327" t="s">
        <v>15</v>
      </c>
      <c r="E327" t="s">
        <v>16</v>
      </c>
      <c r="F327" t="s">
        <v>41</v>
      </c>
      <c r="G327" t="s">
        <v>46</v>
      </c>
      <c r="H327">
        <f>Cleaned_Data!K327</f>
        <v>0</v>
      </c>
      <c r="I327" t="str">
        <f t="shared" si="15"/>
        <v/>
      </c>
      <c r="J327">
        <f>Cleaned_Data!J327</f>
        <v>8</v>
      </c>
      <c r="K327" t="str">
        <f t="shared" si="16"/>
        <v>2024-02</v>
      </c>
      <c r="L327">
        <f t="shared" si="17"/>
        <v>0</v>
      </c>
    </row>
    <row r="328" spans="1:12">
      <c r="A328" t="s">
        <v>981</v>
      </c>
      <c r="B328" t="s">
        <v>982</v>
      </c>
      <c r="C328" t="s">
        <v>983</v>
      </c>
      <c r="D328" t="s">
        <v>23</v>
      </c>
      <c r="E328" t="s">
        <v>16</v>
      </c>
      <c r="F328" t="s">
        <v>17</v>
      </c>
      <c r="G328" t="s">
        <v>19</v>
      </c>
      <c r="H328">
        <f>Cleaned_Data!K328</f>
        <v>7.45</v>
      </c>
      <c r="I328" t="str">
        <f t="shared" si="15"/>
        <v>YES</v>
      </c>
      <c r="J328">
        <f>Cleaned_Data!J328</f>
        <v>24</v>
      </c>
      <c r="K328" t="str">
        <f t="shared" si="16"/>
        <v>2024-12</v>
      </c>
      <c r="L328">
        <f t="shared" si="17"/>
        <v>0</v>
      </c>
    </row>
    <row r="329" spans="1:12">
      <c r="A329" t="s">
        <v>984</v>
      </c>
      <c r="B329" t="s">
        <v>985</v>
      </c>
      <c r="C329" t="s">
        <v>986</v>
      </c>
      <c r="D329" t="s">
        <v>23</v>
      </c>
      <c r="E329" t="s">
        <v>54</v>
      </c>
      <c r="F329" t="s">
        <v>29</v>
      </c>
      <c r="G329" t="s">
        <v>19</v>
      </c>
      <c r="H329">
        <f>Cleaned_Data!K329</f>
        <v>15.33</v>
      </c>
      <c r="I329" t="str">
        <f t="shared" si="15"/>
        <v>YES</v>
      </c>
      <c r="J329">
        <f>Cleaned_Data!J329</f>
        <v>24</v>
      </c>
      <c r="K329" t="str">
        <f t="shared" si="16"/>
        <v>2024-06</v>
      </c>
      <c r="L329">
        <f t="shared" si="17"/>
        <v>0</v>
      </c>
    </row>
    <row r="330" spans="1:12">
      <c r="A330" t="s">
        <v>987</v>
      </c>
      <c r="B330" t="s">
        <v>988</v>
      </c>
      <c r="D330" t="s">
        <v>23</v>
      </c>
      <c r="E330" t="s">
        <v>16</v>
      </c>
      <c r="F330" t="s">
        <v>29</v>
      </c>
      <c r="G330" t="s">
        <v>63</v>
      </c>
      <c r="H330">
        <f>Cleaned_Data!K330</f>
        <v>0</v>
      </c>
      <c r="I330" t="str">
        <f t="shared" si="15"/>
        <v/>
      </c>
      <c r="J330">
        <f>Cleaned_Data!J330</f>
        <v>24</v>
      </c>
      <c r="K330" t="str">
        <f t="shared" si="16"/>
        <v>2024-02</v>
      </c>
      <c r="L330">
        <f t="shared" si="17"/>
        <v>0</v>
      </c>
    </row>
    <row r="331" spans="1:12">
      <c r="A331" t="s">
        <v>989</v>
      </c>
      <c r="B331" t="s">
        <v>990</v>
      </c>
      <c r="D331" t="s">
        <v>23</v>
      </c>
      <c r="E331" t="s">
        <v>16</v>
      </c>
      <c r="F331" t="s">
        <v>36</v>
      </c>
      <c r="G331" t="s">
        <v>46</v>
      </c>
      <c r="H331">
        <f>Cleaned_Data!K331</f>
        <v>0</v>
      </c>
      <c r="I331" t="str">
        <f t="shared" si="15"/>
        <v/>
      </c>
      <c r="J331">
        <f>Cleaned_Data!J331</f>
        <v>24</v>
      </c>
      <c r="K331" t="str">
        <f t="shared" si="16"/>
        <v>2024-05</v>
      </c>
      <c r="L331">
        <f t="shared" si="17"/>
        <v>0</v>
      </c>
    </row>
    <row r="332" spans="1:12">
      <c r="A332" t="s">
        <v>991</v>
      </c>
      <c r="B332" t="s">
        <v>992</v>
      </c>
      <c r="C332" t="s">
        <v>993</v>
      </c>
      <c r="D332" t="s">
        <v>23</v>
      </c>
      <c r="E332" t="s">
        <v>28</v>
      </c>
      <c r="F332" t="s">
        <v>36</v>
      </c>
      <c r="G332" t="s">
        <v>19</v>
      </c>
      <c r="H332">
        <f>Cleaned_Data!K332</f>
        <v>63.8</v>
      </c>
      <c r="I332" t="str">
        <f t="shared" si="15"/>
        <v>NO</v>
      </c>
      <c r="J332">
        <f>Cleaned_Data!J332</f>
        <v>24</v>
      </c>
      <c r="K332" t="str">
        <f t="shared" si="16"/>
        <v>2024-09</v>
      </c>
      <c r="L332">
        <f t="shared" si="17"/>
        <v>39.799999999999997</v>
      </c>
    </row>
    <row r="333" spans="1:12">
      <c r="A333" t="s">
        <v>994</v>
      </c>
      <c r="B333" t="s">
        <v>995</v>
      </c>
      <c r="C333" t="s">
        <v>996</v>
      </c>
      <c r="D333" t="s">
        <v>35</v>
      </c>
      <c r="E333" t="s">
        <v>28</v>
      </c>
      <c r="F333" t="s">
        <v>60</v>
      </c>
      <c r="G333" t="s">
        <v>31</v>
      </c>
      <c r="H333">
        <f>Cleaned_Data!K333</f>
        <v>18.82</v>
      </c>
      <c r="I333" t="str">
        <f t="shared" si="15"/>
        <v>YES</v>
      </c>
      <c r="J333">
        <f>Cleaned_Data!J333</f>
        <v>48</v>
      </c>
      <c r="K333" t="str">
        <f t="shared" si="16"/>
        <v>2024-05</v>
      </c>
      <c r="L333">
        <f t="shared" si="17"/>
        <v>0</v>
      </c>
    </row>
    <row r="334" spans="1:12">
      <c r="A334" t="s">
        <v>997</v>
      </c>
      <c r="B334" t="s">
        <v>998</v>
      </c>
      <c r="C334" t="s">
        <v>999</v>
      </c>
      <c r="D334" t="s">
        <v>158</v>
      </c>
      <c r="E334" t="s">
        <v>54</v>
      </c>
      <c r="F334" t="s">
        <v>41</v>
      </c>
      <c r="G334" t="s">
        <v>19</v>
      </c>
      <c r="H334">
        <f>Cleaned_Data!K334</f>
        <v>7.64</v>
      </c>
      <c r="I334" t="str">
        <f t="shared" si="15"/>
        <v>NO</v>
      </c>
      <c r="J334">
        <f>Cleaned_Data!J334</f>
        <v>4</v>
      </c>
      <c r="K334" t="str">
        <f t="shared" si="16"/>
        <v>2024-01</v>
      </c>
      <c r="L334">
        <f t="shared" si="17"/>
        <v>3.6399999999999997</v>
      </c>
    </row>
    <row r="335" spans="1:12">
      <c r="A335" t="s">
        <v>1000</v>
      </c>
      <c r="B335" t="s">
        <v>1001</v>
      </c>
      <c r="C335" t="s">
        <v>1002</v>
      </c>
      <c r="D335" t="s">
        <v>15</v>
      </c>
      <c r="E335" t="s">
        <v>59</v>
      </c>
      <c r="F335" t="s">
        <v>17</v>
      </c>
      <c r="G335" t="s">
        <v>19</v>
      </c>
      <c r="H335">
        <f>Cleaned_Data!K335</f>
        <v>22.07</v>
      </c>
      <c r="I335" t="str">
        <f t="shared" si="15"/>
        <v>NO</v>
      </c>
      <c r="J335">
        <f>Cleaned_Data!J335</f>
        <v>8</v>
      </c>
      <c r="K335" t="str">
        <f t="shared" si="16"/>
        <v>2024-06</v>
      </c>
      <c r="L335">
        <f t="shared" si="17"/>
        <v>14.07</v>
      </c>
    </row>
    <row r="336" spans="1:12">
      <c r="A336" t="s">
        <v>1003</v>
      </c>
      <c r="B336" t="s">
        <v>1004</v>
      </c>
      <c r="D336" t="s">
        <v>15</v>
      </c>
      <c r="E336" t="s">
        <v>28</v>
      </c>
      <c r="F336" t="s">
        <v>17</v>
      </c>
      <c r="G336" t="s">
        <v>63</v>
      </c>
      <c r="H336">
        <f>Cleaned_Data!K336</f>
        <v>0</v>
      </c>
      <c r="I336" t="str">
        <f t="shared" si="15"/>
        <v/>
      </c>
      <c r="J336">
        <f>Cleaned_Data!J336</f>
        <v>8</v>
      </c>
      <c r="K336" t="str">
        <f t="shared" si="16"/>
        <v>2024-05</v>
      </c>
      <c r="L336">
        <f t="shared" si="17"/>
        <v>0</v>
      </c>
    </row>
    <row r="337" spans="1:12">
      <c r="A337" t="s">
        <v>1005</v>
      </c>
      <c r="B337" t="s">
        <v>1006</v>
      </c>
      <c r="C337" t="s">
        <v>1007</v>
      </c>
      <c r="D337" t="s">
        <v>158</v>
      </c>
      <c r="E337" t="s">
        <v>24</v>
      </c>
      <c r="F337" t="s">
        <v>17</v>
      </c>
      <c r="G337" t="s">
        <v>19</v>
      </c>
      <c r="H337">
        <f>Cleaned_Data!K337</f>
        <v>2.17</v>
      </c>
      <c r="I337" t="str">
        <f t="shared" si="15"/>
        <v>YES</v>
      </c>
      <c r="J337">
        <f>Cleaned_Data!J337</f>
        <v>4</v>
      </c>
      <c r="K337" t="str">
        <f t="shared" si="16"/>
        <v>2024-09</v>
      </c>
      <c r="L337">
        <f t="shared" si="17"/>
        <v>0</v>
      </c>
    </row>
    <row r="338" spans="1:12">
      <c r="A338" t="s">
        <v>1008</v>
      </c>
      <c r="B338" t="s">
        <v>1009</v>
      </c>
      <c r="C338" t="s">
        <v>1010</v>
      </c>
      <c r="D338" t="s">
        <v>23</v>
      </c>
      <c r="E338" t="s">
        <v>16</v>
      </c>
      <c r="F338" t="s">
        <v>41</v>
      </c>
      <c r="G338" t="s">
        <v>19</v>
      </c>
      <c r="H338">
        <f>Cleaned_Data!K338</f>
        <v>10.210000000000001</v>
      </c>
      <c r="I338" t="str">
        <f t="shared" si="15"/>
        <v>YES</v>
      </c>
      <c r="J338">
        <f>Cleaned_Data!J338</f>
        <v>24</v>
      </c>
      <c r="K338" t="str">
        <f t="shared" si="16"/>
        <v>2024-01</v>
      </c>
      <c r="L338">
        <f t="shared" si="17"/>
        <v>0</v>
      </c>
    </row>
    <row r="339" spans="1:12">
      <c r="A339" t="s">
        <v>1011</v>
      </c>
      <c r="B339" t="s">
        <v>1012</v>
      </c>
      <c r="C339" t="s">
        <v>1013</v>
      </c>
      <c r="D339" t="s">
        <v>15</v>
      </c>
      <c r="E339" t="s">
        <v>28</v>
      </c>
      <c r="F339" t="s">
        <v>29</v>
      </c>
      <c r="G339" t="s">
        <v>19</v>
      </c>
      <c r="H339">
        <f>Cleaned_Data!K339</f>
        <v>6.75</v>
      </c>
      <c r="I339" t="str">
        <f t="shared" si="15"/>
        <v>YES</v>
      </c>
      <c r="J339">
        <f>Cleaned_Data!J339</f>
        <v>8</v>
      </c>
      <c r="K339" t="str">
        <f t="shared" si="16"/>
        <v>2024-02</v>
      </c>
      <c r="L339">
        <f t="shared" si="17"/>
        <v>0</v>
      </c>
    </row>
    <row r="340" spans="1:12">
      <c r="A340" t="s">
        <v>1014</v>
      </c>
      <c r="B340" t="s">
        <v>1015</v>
      </c>
      <c r="C340" t="s">
        <v>1016</v>
      </c>
      <c r="D340" t="s">
        <v>15</v>
      </c>
      <c r="E340" t="s">
        <v>28</v>
      </c>
      <c r="F340" t="s">
        <v>36</v>
      </c>
      <c r="G340" t="s">
        <v>31</v>
      </c>
      <c r="H340">
        <f>Cleaned_Data!K340</f>
        <v>5.71</v>
      </c>
      <c r="I340" t="str">
        <f t="shared" si="15"/>
        <v>YES</v>
      </c>
      <c r="J340">
        <f>Cleaned_Data!J340</f>
        <v>8</v>
      </c>
      <c r="K340" t="str">
        <f t="shared" si="16"/>
        <v>2024-09</v>
      </c>
      <c r="L340">
        <f t="shared" si="17"/>
        <v>0</v>
      </c>
    </row>
    <row r="341" spans="1:12">
      <c r="A341" t="s">
        <v>1017</v>
      </c>
      <c r="B341" t="s">
        <v>1018</v>
      </c>
      <c r="C341" t="s">
        <v>1019</v>
      </c>
      <c r="D341" t="s">
        <v>35</v>
      </c>
      <c r="E341" t="s">
        <v>54</v>
      </c>
      <c r="F341" t="s">
        <v>41</v>
      </c>
      <c r="G341" t="s">
        <v>19</v>
      </c>
      <c r="H341">
        <f>Cleaned_Data!K341</f>
        <v>35.5</v>
      </c>
      <c r="I341" t="str">
        <f t="shared" si="15"/>
        <v>YES</v>
      </c>
      <c r="J341">
        <f>Cleaned_Data!J341</f>
        <v>48</v>
      </c>
      <c r="K341" t="str">
        <f t="shared" si="16"/>
        <v>2024-02</v>
      </c>
      <c r="L341">
        <f t="shared" si="17"/>
        <v>0</v>
      </c>
    </row>
    <row r="342" spans="1:12">
      <c r="A342" t="s">
        <v>1020</v>
      </c>
      <c r="B342" t="s">
        <v>1021</v>
      </c>
      <c r="C342" t="s">
        <v>1022</v>
      </c>
      <c r="D342" t="s">
        <v>23</v>
      </c>
      <c r="E342" t="s">
        <v>28</v>
      </c>
      <c r="F342" t="s">
        <v>17</v>
      </c>
      <c r="G342" t="s">
        <v>19</v>
      </c>
      <c r="H342">
        <f>Cleaned_Data!K342</f>
        <v>13.69</v>
      </c>
      <c r="I342" t="str">
        <f t="shared" si="15"/>
        <v>YES</v>
      </c>
      <c r="J342">
        <f>Cleaned_Data!J342</f>
        <v>24</v>
      </c>
      <c r="K342" t="str">
        <f t="shared" si="16"/>
        <v>2024-05</v>
      </c>
      <c r="L342">
        <f t="shared" si="17"/>
        <v>0</v>
      </c>
    </row>
    <row r="343" spans="1:12">
      <c r="A343" t="s">
        <v>1023</v>
      </c>
      <c r="B343" t="s">
        <v>1024</v>
      </c>
      <c r="C343" t="s">
        <v>1025</v>
      </c>
      <c r="D343" t="s">
        <v>15</v>
      </c>
      <c r="E343" t="s">
        <v>59</v>
      </c>
      <c r="F343" t="s">
        <v>36</v>
      </c>
      <c r="G343" t="s">
        <v>31</v>
      </c>
      <c r="H343">
        <f>Cleaned_Data!K343</f>
        <v>4.93</v>
      </c>
      <c r="I343" t="str">
        <f t="shared" si="15"/>
        <v>YES</v>
      </c>
      <c r="J343">
        <f>Cleaned_Data!J343</f>
        <v>8</v>
      </c>
      <c r="K343" t="str">
        <f t="shared" si="16"/>
        <v>2024-08</v>
      </c>
      <c r="L343">
        <f t="shared" si="17"/>
        <v>0</v>
      </c>
    </row>
    <row r="344" spans="1:12">
      <c r="A344" t="s">
        <v>1026</v>
      </c>
      <c r="B344" t="s">
        <v>1027</v>
      </c>
      <c r="C344" t="s">
        <v>1028</v>
      </c>
      <c r="D344" t="s">
        <v>15</v>
      </c>
      <c r="E344" t="s">
        <v>24</v>
      </c>
      <c r="F344" t="s">
        <v>17</v>
      </c>
      <c r="G344" t="s">
        <v>19</v>
      </c>
      <c r="H344">
        <f>Cleaned_Data!K344</f>
        <v>5.14</v>
      </c>
      <c r="I344" t="str">
        <f t="shared" si="15"/>
        <v>YES</v>
      </c>
      <c r="J344">
        <f>Cleaned_Data!J344</f>
        <v>8</v>
      </c>
      <c r="K344" t="str">
        <f t="shared" si="16"/>
        <v>2024-06</v>
      </c>
      <c r="L344">
        <f t="shared" si="17"/>
        <v>0</v>
      </c>
    </row>
    <row r="345" spans="1:12">
      <c r="A345" t="s">
        <v>1029</v>
      </c>
      <c r="B345" t="s">
        <v>1030</v>
      </c>
      <c r="C345" t="s">
        <v>1031</v>
      </c>
      <c r="D345" t="s">
        <v>35</v>
      </c>
      <c r="E345" t="s">
        <v>59</v>
      </c>
      <c r="F345" t="s">
        <v>29</v>
      </c>
      <c r="G345" t="s">
        <v>19</v>
      </c>
      <c r="H345">
        <f>Cleaned_Data!K345</f>
        <v>89.79</v>
      </c>
      <c r="I345" t="str">
        <f t="shared" si="15"/>
        <v>NO</v>
      </c>
      <c r="J345">
        <f>Cleaned_Data!J345</f>
        <v>48</v>
      </c>
      <c r="K345" t="str">
        <f t="shared" si="16"/>
        <v>2024-12</v>
      </c>
      <c r="L345">
        <f t="shared" si="17"/>
        <v>41.790000000000006</v>
      </c>
    </row>
    <row r="346" spans="1:12">
      <c r="A346" t="s">
        <v>1032</v>
      </c>
      <c r="B346" t="s">
        <v>1033</v>
      </c>
      <c r="C346" t="s">
        <v>1034</v>
      </c>
      <c r="D346" t="s">
        <v>23</v>
      </c>
      <c r="E346" t="s">
        <v>59</v>
      </c>
      <c r="F346" t="s">
        <v>36</v>
      </c>
      <c r="G346" t="s">
        <v>31</v>
      </c>
      <c r="H346">
        <f>Cleaned_Data!K346</f>
        <v>6.8</v>
      </c>
      <c r="I346" t="str">
        <f t="shared" si="15"/>
        <v>YES</v>
      </c>
      <c r="J346">
        <f>Cleaned_Data!J346</f>
        <v>24</v>
      </c>
      <c r="K346" t="str">
        <f t="shared" si="16"/>
        <v>2024-03</v>
      </c>
      <c r="L346">
        <f t="shared" si="17"/>
        <v>0</v>
      </c>
    </row>
    <row r="347" spans="1:12">
      <c r="A347" t="s">
        <v>1035</v>
      </c>
      <c r="B347" t="s">
        <v>1036</v>
      </c>
      <c r="C347" t="s">
        <v>1037</v>
      </c>
      <c r="D347" t="s">
        <v>23</v>
      </c>
      <c r="E347" t="s">
        <v>28</v>
      </c>
      <c r="F347" t="s">
        <v>60</v>
      </c>
      <c r="G347" t="s">
        <v>19</v>
      </c>
      <c r="H347">
        <f>Cleaned_Data!K347</f>
        <v>15.47</v>
      </c>
      <c r="I347" t="str">
        <f t="shared" si="15"/>
        <v>YES</v>
      </c>
      <c r="J347">
        <f>Cleaned_Data!J347</f>
        <v>24</v>
      </c>
      <c r="K347" t="str">
        <f t="shared" si="16"/>
        <v>2024-11</v>
      </c>
      <c r="L347">
        <f t="shared" si="17"/>
        <v>0</v>
      </c>
    </row>
    <row r="348" spans="1:12">
      <c r="A348" t="s">
        <v>1038</v>
      </c>
      <c r="B348" t="s">
        <v>1039</v>
      </c>
      <c r="D348" t="s">
        <v>15</v>
      </c>
      <c r="E348" t="s">
        <v>28</v>
      </c>
      <c r="F348" t="s">
        <v>60</v>
      </c>
      <c r="G348" t="s">
        <v>46</v>
      </c>
      <c r="H348">
        <f>Cleaned_Data!K348</f>
        <v>0</v>
      </c>
      <c r="I348" t="str">
        <f t="shared" si="15"/>
        <v/>
      </c>
      <c r="J348">
        <f>Cleaned_Data!J348</f>
        <v>8</v>
      </c>
      <c r="K348" t="str">
        <f t="shared" si="16"/>
        <v>2024-02</v>
      </c>
      <c r="L348">
        <f t="shared" si="17"/>
        <v>0</v>
      </c>
    </row>
    <row r="349" spans="1:12">
      <c r="A349" t="s">
        <v>1040</v>
      </c>
      <c r="B349" t="s">
        <v>1041</v>
      </c>
      <c r="C349" t="s">
        <v>1042</v>
      </c>
      <c r="D349" t="s">
        <v>23</v>
      </c>
      <c r="E349" t="s">
        <v>28</v>
      </c>
      <c r="F349" t="s">
        <v>36</v>
      </c>
      <c r="G349" t="s">
        <v>31</v>
      </c>
      <c r="H349">
        <f>Cleaned_Data!K349</f>
        <v>19.670000000000002</v>
      </c>
      <c r="I349" t="str">
        <f t="shared" si="15"/>
        <v>YES</v>
      </c>
      <c r="J349">
        <f>Cleaned_Data!J349</f>
        <v>24</v>
      </c>
      <c r="K349" t="str">
        <f t="shared" si="16"/>
        <v>2024-03</v>
      </c>
      <c r="L349">
        <f t="shared" si="17"/>
        <v>0</v>
      </c>
    </row>
    <row r="350" spans="1:12">
      <c r="A350" t="s">
        <v>1043</v>
      </c>
      <c r="B350" t="s">
        <v>1044</v>
      </c>
      <c r="C350" t="s">
        <v>1045</v>
      </c>
      <c r="D350" t="s">
        <v>35</v>
      </c>
      <c r="E350" t="s">
        <v>24</v>
      </c>
      <c r="F350" t="s">
        <v>60</v>
      </c>
      <c r="G350" t="s">
        <v>19</v>
      </c>
      <c r="H350">
        <f>Cleaned_Data!K350</f>
        <v>31.65</v>
      </c>
      <c r="I350" t="str">
        <f t="shared" si="15"/>
        <v>YES</v>
      </c>
      <c r="J350">
        <f>Cleaned_Data!J350</f>
        <v>48</v>
      </c>
      <c r="K350" t="str">
        <f t="shared" si="16"/>
        <v>2024-02</v>
      </c>
      <c r="L350">
        <f t="shared" si="17"/>
        <v>0</v>
      </c>
    </row>
    <row r="351" spans="1:12">
      <c r="A351" t="s">
        <v>1046</v>
      </c>
      <c r="B351" t="s">
        <v>1047</v>
      </c>
      <c r="D351" t="s">
        <v>23</v>
      </c>
      <c r="E351" t="s">
        <v>16</v>
      </c>
      <c r="F351" t="s">
        <v>17</v>
      </c>
      <c r="G351" t="s">
        <v>63</v>
      </c>
      <c r="H351">
        <f>Cleaned_Data!K351</f>
        <v>0</v>
      </c>
      <c r="I351" t="str">
        <f t="shared" si="15"/>
        <v/>
      </c>
      <c r="J351">
        <f>Cleaned_Data!J351</f>
        <v>24</v>
      </c>
      <c r="K351" t="str">
        <f t="shared" si="16"/>
        <v>2024-01</v>
      </c>
      <c r="L351">
        <f t="shared" si="17"/>
        <v>0</v>
      </c>
    </row>
    <row r="352" spans="1:12">
      <c r="A352" t="s">
        <v>1048</v>
      </c>
      <c r="B352" t="s">
        <v>1049</v>
      </c>
      <c r="C352" t="s">
        <v>1050</v>
      </c>
      <c r="D352" t="s">
        <v>23</v>
      </c>
      <c r="E352" t="s">
        <v>16</v>
      </c>
      <c r="F352" t="s">
        <v>29</v>
      </c>
      <c r="G352" t="s">
        <v>19</v>
      </c>
      <c r="H352">
        <f>Cleaned_Data!K352</f>
        <v>20.22</v>
      </c>
      <c r="I352" t="str">
        <f t="shared" si="15"/>
        <v>YES</v>
      </c>
      <c r="J352">
        <f>Cleaned_Data!J352</f>
        <v>24</v>
      </c>
      <c r="K352" t="str">
        <f t="shared" si="16"/>
        <v>2024-07</v>
      </c>
      <c r="L352">
        <f t="shared" si="17"/>
        <v>0</v>
      </c>
    </row>
    <row r="353" spans="1:12">
      <c r="A353" t="s">
        <v>1051</v>
      </c>
      <c r="B353" t="s">
        <v>1052</v>
      </c>
      <c r="C353" t="s">
        <v>1053</v>
      </c>
      <c r="D353" t="s">
        <v>23</v>
      </c>
      <c r="E353" t="s">
        <v>24</v>
      </c>
      <c r="F353" t="s">
        <v>41</v>
      </c>
      <c r="G353" t="s">
        <v>19</v>
      </c>
      <c r="H353">
        <f>Cleaned_Data!K353</f>
        <v>22.29</v>
      </c>
      <c r="I353" t="str">
        <f t="shared" si="15"/>
        <v>YES</v>
      </c>
      <c r="J353">
        <f>Cleaned_Data!J353</f>
        <v>24</v>
      </c>
      <c r="K353" t="str">
        <f t="shared" si="16"/>
        <v>2024-02</v>
      </c>
      <c r="L353">
        <f t="shared" si="17"/>
        <v>0</v>
      </c>
    </row>
    <row r="354" spans="1:12">
      <c r="A354" t="s">
        <v>1054</v>
      </c>
      <c r="B354" t="s">
        <v>1055</v>
      </c>
      <c r="C354" t="s">
        <v>1056</v>
      </c>
      <c r="D354" t="s">
        <v>23</v>
      </c>
      <c r="E354" t="s">
        <v>28</v>
      </c>
      <c r="F354" t="s">
        <v>41</v>
      </c>
      <c r="G354" t="s">
        <v>19</v>
      </c>
      <c r="H354">
        <f>Cleaned_Data!K354</f>
        <v>18.18</v>
      </c>
      <c r="I354" t="str">
        <f t="shared" si="15"/>
        <v>YES</v>
      </c>
      <c r="J354">
        <f>Cleaned_Data!J354</f>
        <v>24</v>
      </c>
      <c r="K354" t="str">
        <f t="shared" si="16"/>
        <v>2024-07</v>
      </c>
      <c r="L354">
        <f t="shared" si="17"/>
        <v>0</v>
      </c>
    </row>
    <row r="355" spans="1:12">
      <c r="A355" t="s">
        <v>1057</v>
      </c>
      <c r="B355" t="s">
        <v>1058</v>
      </c>
      <c r="C355" t="s">
        <v>1059</v>
      </c>
      <c r="D355" t="s">
        <v>23</v>
      </c>
      <c r="E355" t="s">
        <v>28</v>
      </c>
      <c r="F355" t="s">
        <v>60</v>
      </c>
      <c r="G355" t="s">
        <v>19</v>
      </c>
      <c r="H355">
        <f>Cleaned_Data!K355</f>
        <v>36.65</v>
      </c>
      <c r="I355" t="str">
        <f t="shared" si="15"/>
        <v>NO</v>
      </c>
      <c r="J355">
        <f>Cleaned_Data!J355</f>
        <v>24</v>
      </c>
      <c r="K355" t="str">
        <f t="shared" si="16"/>
        <v>2024-09</v>
      </c>
      <c r="L355">
        <f t="shared" si="17"/>
        <v>12.649999999999999</v>
      </c>
    </row>
    <row r="356" spans="1:12">
      <c r="A356" t="s">
        <v>1060</v>
      </c>
      <c r="B356" t="s">
        <v>1061</v>
      </c>
      <c r="C356" t="s">
        <v>1062</v>
      </c>
      <c r="D356" t="s">
        <v>35</v>
      </c>
      <c r="E356" t="s">
        <v>24</v>
      </c>
      <c r="F356" t="s">
        <v>36</v>
      </c>
      <c r="G356" t="s">
        <v>31</v>
      </c>
      <c r="H356">
        <f>Cleaned_Data!K356</f>
        <v>31.55</v>
      </c>
      <c r="I356" t="str">
        <f t="shared" si="15"/>
        <v>YES</v>
      </c>
      <c r="J356">
        <f>Cleaned_Data!J356</f>
        <v>48</v>
      </c>
      <c r="K356" t="str">
        <f t="shared" si="16"/>
        <v>2024-05</v>
      </c>
      <c r="L356">
        <f t="shared" si="17"/>
        <v>0</v>
      </c>
    </row>
    <row r="357" spans="1:12">
      <c r="A357" t="s">
        <v>1063</v>
      </c>
      <c r="B357" t="s">
        <v>1064</v>
      </c>
      <c r="C357" t="s">
        <v>1065</v>
      </c>
      <c r="D357" t="s">
        <v>23</v>
      </c>
      <c r="E357" t="s">
        <v>16</v>
      </c>
      <c r="F357" t="s">
        <v>29</v>
      </c>
      <c r="G357" t="s">
        <v>31</v>
      </c>
      <c r="H357">
        <f>Cleaned_Data!K357</f>
        <v>16.14</v>
      </c>
      <c r="I357" t="str">
        <f t="shared" si="15"/>
        <v>YES</v>
      </c>
      <c r="J357">
        <f>Cleaned_Data!J357</f>
        <v>24</v>
      </c>
      <c r="K357" t="str">
        <f t="shared" si="16"/>
        <v>2024-04</v>
      </c>
      <c r="L357">
        <f t="shared" si="17"/>
        <v>0</v>
      </c>
    </row>
    <row r="358" spans="1:12">
      <c r="A358" t="s">
        <v>1066</v>
      </c>
      <c r="B358" t="s">
        <v>1067</v>
      </c>
      <c r="C358" t="s">
        <v>1068</v>
      </c>
      <c r="D358" t="s">
        <v>35</v>
      </c>
      <c r="E358" t="s">
        <v>59</v>
      </c>
      <c r="F358" t="s">
        <v>41</v>
      </c>
      <c r="G358" t="s">
        <v>31</v>
      </c>
      <c r="H358">
        <f>Cleaned_Data!K358</f>
        <v>122.8</v>
      </c>
      <c r="I358" t="str">
        <f t="shared" si="15"/>
        <v>NO</v>
      </c>
      <c r="J358">
        <f>Cleaned_Data!J358</f>
        <v>48</v>
      </c>
      <c r="K358" t="str">
        <f t="shared" si="16"/>
        <v>2024-03</v>
      </c>
      <c r="L358">
        <f t="shared" si="17"/>
        <v>74.8</v>
      </c>
    </row>
    <row r="359" spans="1:12">
      <c r="A359" t="s">
        <v>1069</v>
      </c>
      <c r="B359" t="s">
        <v>1070</v>
      </c>
      <c r="C359" t="s">
        <v>1071</v>
      </c>
      <c r="D359" t="s">
        <v>23</v>
      </c>
      <c r="E359" t="s">
        <v>24</v>
      </c>
      <c r="F359" t="s">
        <v>17</v>
      </c>
      <c r="G359" t="s">
        <v>31</v>
      </c>
      <c r="H359">
        <f>Cleaned_Data!K359</f>
        <v>15.1</v>
      </c>
      <c r="I359" t="str">
        <f t="shared" si="15"/>
        <v>YES</v>
      </c>
      <c r="J359">
        <f>Cleaned_Data!J359</f>
        <v>24</v>
      </c>
      <c r="K359" t="str">
        <f t="shared" si="16"/>
        <v>2024-02</v>
      </c>
      <c r="L359">
        <f t="shared" si="17"/>
        <v>0</v>
      </c>
    </row>
    <row r="360" spans="1:12">
      <c r="A360" t="s">
        <v>1072</v>
      </c>
      <c r="B360" t="s">
        <v>1073</v>
      </c>
      <c r="D360" t="s">
        <v>35</v>
      </c>
      <c r="E360" t="s">
        <v>59</v>
      </c>
      <c r="F360" t="s">
        <v>17</v>
      </c>
      <c r="G360" t="s">
        <v>63</v>
      </c>
      <c r="H360">
        <f>Cleaned_Data!K360</f>
        <v>0</v>
      </c>
      <c r="I360" t="str">
        <f t="shared" si="15"/>
        <v/>
      </c>
      <c r="J360">
        <f>Cleaned_Data!J360</f>
        <v>48</v>
      </c>
      <c r="K360" t="str">
        <f t="shared" si="16"/>
        <v>2024-08</v>
      </c>
      <c r="L360">
        <f t="shared" si="17"/>
        <v>0</v>
      </c>
    </row>
    <row r="361" spans="1:12">
      <c r="A361" t="s">
        <v>1074</v>
      </c>
      <c r="B361" t="s">
        <v>1075</v>
      </c>
      <c r="C361" t="s">
        <v>1076</v>
      </c>
      <c r="D361" t="s">
        <v>23</v>
      </c>
      <c r="E361" t="s">
        <v>24</v>
      </c>
      <c r="F361" t="s">
        <v>41</v>
      </c>
      <c r="G361" t="s">
        <v>19</v>
      </c>
      <c r="H361">
        <f>Cleaned_Data!K361</f>
        <v>19.53</v>
      </c>
      <c r="I361" t="str">
        <f t="shared" si="15"/>
        <v>YES</v>
      </c>
      <c r="J361">
        <f>Cleaned_Data!J361</f>
        <v>24</v>
      </c>
      <c r="K361" t="str">
        <f t="shared" si="16"/>
        <v>2024-10</v>
      </c>
      <c r="L361">
        <f t="shared" si="17"/>
        <v>0</v>
      </c>
    </row>
    <row r="362" spans="1:12">
      <c r="A362" t="s">
        <v>1077</v>
      </c>
      <c r="B362" t="s">
        <v>1078</v>
      </c>
      <c r="C362" t="s">
        <v>1079</v>
      </c>
      <c r="D362" t="s">
        <v>158</v>
      </c>
      <c r="E362" t="s">
        <v>54</v>
      </c>
      <c r="F362" t="s">
        <v>29</v>
      </c>
      <c r="G362" t="s">
        <v>19</v>
      </c>
      <c r="H362">
        <f>Cleaned_Data!K362</f>
        <v>7.47</v>
      </c>
      <c r="I362" t="str">
        <f t="shared" si="15"/>
        <v>NO</v>
      </c>
      <c r="J362">
        <f>Cleaned_Data!J362</f>
        <v>4</v>
      </c>
      <c r="K362" t="str">
        <f t="shared" si="16"/>
        <v>2024-05</v>
      </c>
      <c r="L362">
        <f t="shared" si="17"/>
        <v>3.4699999999999998</v>
      </c>
    </row>
    <row r="363" spans="1:12">
      <c r="A363" t="s">
        <v>1080</v>
      </c>
      <c r="B363" t="s">
        <v>1081</v>
      </c>
      <c r="C363" t="s">
        <v>1082</v>
      </c>
      <c r="D363" t="s">
        <v>23</v>
      </c>
      <c r="E363" t="s">
        <v>24</v>
      </c>
      <c r="F363" t="s">
        <v>17</v>
      </c>
      <c r="G363" t="s">
        <v>19</v>
      </c>
      <c r="H363">
        <f>Cleaned_Data!K363</f>
        <v>46.66</v>
      </c>
      <c r="I363" t="str">
        <f t="shared" si="15"/>
        <v>NO</v>
      </c>
      <c r="J363">
        <f>Cleaned_Data!J363</f>
        <v>24</v>
      </c>
      <c r="K363" t="str">
        <f t="shared" si="16"/>
        <v>2024-02</v>
      </c>
      <c r="L363">
        <f t="shared" si="17"/>
        <v>22.659999999999997</v>
      </c>
    </row>
    <row r="364" spans="1:12">
      <c r="A364" t="s">
        <v>1083</v>
      </c>
      <c r="B364" t="s">
        <v>1084</v>
      </c>
      <c r="C364" t="s">
        <v>1085</v>
      </c>
      <c r="D364" t="s">
        <v>158</v>
      </c>
      <c r="E364" t="s">
        <v>24</v>
      </c>
      <c r="F364" t="s">
        <v>41</v>
      </c>
      <c r="G364" t="s">
        <v>31</v>
      </c>
      <c r="H364">
        <f>Cleaned_Data!K364</f>
        <v>2.65</v>
      </c>
      <c r="I364" t="str">
        <f t="shared" si="15"/>
        <v>YES</v>
      </c>
      <c r="J364">
        <f>Cleaned_Data!J364</f>
        <v>4</v>
      </c>
      <c r="K364" t="str">
        <f t="shared" si="16"/>
        <v>2024-08</v>
      </c>
      <c r="L364">
        <f t="shared" si="17"/>
        <v>0</v>
      </c>
    </row>
    <row r="365" spans="1:12">
      <c r="A365" t="s">
        <v>1086</v>
      </c>
      <c r="B365" t="s">
        <v>1087</v>
      </c>
      <c r="C365" t="s">
        <v>1088</v>
      </c>
      <c r="D365" t="s">
        <v>15</v>
      </c>
      <c r="E365" t="s">
        <v>28</v>
      </c>
      <c r="F365" t="s">
        <v>41</v>
      </c>
      <c r="G365" t="s">
        <v>31</v>
      </c>
      <c r="H365">
        <f>Cleaned_Data!K365</f>
        <v>3.88</v>
      </c>
      <c r="I365" t="str">
        <f t="shared" si="15"/>
        <v>YES</v>
      </c>
      <c r="J365">
        <f>Cleaned_Data!J365</f>
        <v>8</v>
      </c>
      <c r="K365" t="str">
        <f t="shared" si="16"/>
        <v>2024-04</v>
      </c>
      <c r="L365">
        <f t="shared" si="17"/>
        <v>0</v>
      </c>
    </row>
    <row r="366" spans="1:12">
      <c r="A366" t="s">
        <v>1089</v>
      </c>
      <c r="B366" t="s">
        <v>1090</v>
      </c>
      <c r="C366" t="s">
        <v>1091</v>
      </c>
      <c r="D366" t="s">
        <v>15</v>
      </c>
      <c r="E366" t="s">
        <v>16</v>
      </c>
      <c r="F366" t="s">
        <v>36</v>
      </c>
      <c r="G366" t="s">
        <v>19</v>
      </c>
      <c r="H366">
        <f>Cleaned_Data!K366</f>
        <v>2.94</v>
      </c>
      <c r="I366" t="str">
        <f t="shared" si="15"/>
        <v>YES</v>
      </c>
      <c r="J366">
        <f>Cleaned_Data!J366</f>
        <v>8</v>
      </c>
      <c r="K366" t="str">
        <f t="shared" si="16"/>
        <v>2024-03</v>
      </c>
      <c r="L366">
        <f t="shared" si="17"/>
        <v>0</v>
      </c>
    </row>
    <row r="367" spans="1:12">
      <c r="A367" t="s">
        <v>1092</v>
      </c>
      <c r="B367" t="s">
        <v>1093</v>
      </c>
      <c r="C367" t="s">
        <v>1094</v>
      </c>
      <c r="D367" t="s">
        <v>35</v>
      </c>
      <c r="E367" t="s">
        <v>28</v>
      </c>
      <c r="F367" t="s">
        <v>29</v>
      </c>
      <c r="G367" t="s">
        <v>19</v>
      </c>
      <c r="H367">
        <f>Cleaned_Data!K367</f>
        <v>11.23</v>
      </c>
      <c r="I367" t="str">
        <f t="shared" si="15"/>
        <v>YES</v>
      </c>
      <c r="J367">
        <f>Cleaned_Data!J367</f>
        <v>48</v>
      </c>
      <c r="K367" t="str">
        <f t="shared" si="16"/>
        <v>2024-05</v>
      </c>
      <c r="L367">
        <f t="shared" si="17"/>
        <v>0</v>
      </c>
    </row>
    <row r="368" spans="1:12">
      <c r="A368" t="s">
        <v>1095</v>
      </c>
      <c r="B368" t="s">
        <v>1096</v>
      </c>
      <c r="C368" t="s">
        <v>1097</v>
      </c>
      <c r="D368" t="s">
        <v>23</v>
      </c>
      <c r="E368" t="s">
        <v>54</v>
      </c>
      <c r="F368" t="s">
        <v>17</v>
      </c>
      <c r="G368" t="s">
        <v>19</v>
      </c>
      <c r="H368">
        <f>Cleaned_Data!K368</f>
        <v>22.16</v>
      </c>
      <c r="I368" t="str">
        <f t="shared" si="15"/>
        <v>YES</v>
      </c>
      <c r="J368">
        <f>Cleaned_Data!J368</f>
        <v>24</v>
      </c>
      <c r="K368" t="str">
        <f t="shared" si="16"/>
        <v>2024-11</v>
      </c>
      <c r="L368">
        <f t="shared" si="17"/>
        <v>0</v>
      </c>
    </row>
    <row r="369" spans="1:12">
      <c r="A369" t="s">
        <v>1098</v>
      </c>
      <c r="B369" t="s">
        <v>1099</v>
      </c>
      <c r="D369" t="s">
        <v>23</v>
      </c>
      <c r="E369" t="s">
        <v>28</v>
      </c>
      <c r="F369" t="s">
        <v>17</v>
      </c>
      <c r="G369" t="s">
        <v>63</v>
      </c>
      <c r="H369">
        <f>Cleaned_Data!K369</f>
        <v>0</v>
      </c>
      <c r="I369" t="str">
        <f t="shared" si="15"/>
        <v/>
      </c>
      <c r="J369">
        <f>Cleaned_Data!J369</f>
        <v>24</v>
      </c>
      <c r="K369" t="str">
        <f t="shared" si="16"/>
        <v>2024-01</v>
      </c>
      <c r="L369">
        <f t="shared" si="17"/>
        <v>0</v>
      </c>
    </row>
    <row r="370" spans="1:12">
      <c r="A370" t="s">
        <v>1100</v>
      </c>
      <c r="B370" t="s">
        <v>1101</v>
      </c>
      <c r="C370" t="s">
        <v>1102</v>
      </c>
      <c r="D370" t="s">
        <v>23</v>
      </c>
      <c r="E370" t="s">
        <v>16</v>
      </c>
      <c r="F370" t="s">
        <v>17</v>
      </c>
      <c r="G370" t="s">
        <v>19</v>
      </c>
      <c r="H370">
        <f>Cleaned_Data!K370</f>
        <v>5.25</v>
      </c>
      <c r="I370" t="str">
        <f t="shared" si="15"/>
        <v>YES</v>
      </c>
      <c r="J370">
        <f>Cleaned_Data!J370</f>
        <v>24</v>
      </c>
      <c r="K370" t="str">
        <f t="shared" si="16"/>
        <v>2024-11</v>
      </c>
      <c r="L370">
        <f t="shared" si="17"/>
        <v>0</v>
      </c>
    </row>
    <row r="371" spans="1:12">
      <c r="A371" t="s">
        <v>1103</v>
      </c>
      <c r="B371" t="s">
        <v>1104</v>
      </c>
      <c r="C371" t="s">
        <v>1105</v>
      </c>
      <c r="D371" t="s">
        <v>23</v>
      </c>
      <c r="E371" t="s">
        <v>28</v>
      </c>
      <c r="F371" t="s">
        <v>17</v>
      </c>
      <c r="G371" t="s">
        <v>19</v>
      </c>
      <c r="H371">
        <f>Cleaned_Data!K371</f>
        <v>15.55</v>
      </c>
      <c r="I371" t="str">
        <f t="shared" si="15"/>
        <v>YES</v>
      </c>
      <c r="J371">
        <f>Cleaned_Data!J371</f>
        <v>24</v>
      </c>
      <c r="K371" t="str">
        <f t="shared" si="16"/>
        <v>2024-11</v>
      </c>
      <c r="L371">
        <f t="shared" si="17"/>
        <v>0</v>
      </c>
    </row>
    <row r="372" spans="1:12">
      <c r="A372" t="s">
        <v>1106</v>
      </c>
      <c r="B372" t="s">
        <v>1107</v>
      </c>
      <c r="D372" t="s">
        <v>35</v>
      </c>
      <c r="E372" t="s">
        <v>24</v>
      </c>
      <c r="F372" t="s">
        <v>36</v>
      </c>
      <c r="G372" t="s">
        <v>63</v>
      </c>
      <c r="H372">
        <f>Cleaned_Data!K372</f>
        <v>0</v>
      </c>
      <c r="I372" t="str">
        <f t="shared" si="15"/>
        <v/>
      </c>
      <c r="J372">
        <f>Cleaned_Data!J372</f>
        <v>48</v>
      </c>
      <c r="K372" t="str">
        <f t="shared" si="16"/>
        <v>2024-04</v>
      </c>
      <c r="L372">
        <f t="shared" si="17"/>
        <v>0</v>
      </c>
    </row>
    <row r="373" spans="1:12">
      <c r="A373" t="s">
        <v>1108</v>
      </c>
      <c r="B373" t="s">
        <v>1109</v>
      </c>
      <c r="C373" t="s">
        <v>1110</v>
      </c>
      <c r="D373" t="s">
        <v>35</v>
      </c>
      <c r="E373" t="s">
        <v>24</v>
      </c>
      <c r="F373" t="s">
        <v>29</v>
      </c>
      <c r="G373" t="s">
        <v>19</v>
      </c>
      <c r="H373">
        <f>Cleaned_Data!K373</f>
        <v>11.65</v>
      </c>
      <c r="I373" t="str">
        <f t="shared" si="15"/>
        <v>YES</v>
      </c>
      <c r="J373">
        <f>Cleaned_Data!J373</f>
        <v>48</v>
      </c>
      <c r="K373" t="str">
        <f t="shared" si="16"/>
        <v>2024-06</v>
      </c>
      <c r="L373">
        <f t="shared" si="17"/>
        <v>0</v>
      </c>
    </row>
    <row r="374" spans="1:12">
      <c r="A374" t="s">
        <v>1111</v>
      </c>
      <c r="B374" t="s">
        <v>1112</v>
      </c>
      <c r="C374" t="s">
        <v>1113</v>
      </c>
      <c r="D374" t="s">
        <v>23</v>
      </c>
      <c r="E374" t="s">
        <v>28</v>
      </c>
      <c r="F374" t="s">
        <v>41</v>
      </c>
      <c r="G374" t="s">
        <v>19</v>
      </c>
      <c r="H374">
        <f>Cleaned_Data!K374</f>
        <v>20.93</v>
      </c>
      <c r="I374" t="str">
        <f t="shared" si="15"/>
        <v>YES</v>
      </c>
      <c r="J374">
        <f>Cleaned_Data!J374</f>
        <v>24</v>
      </c>
      <c r="K374" t="str">
        <f t="shared" si="16"/>
        <v>2024-11</v>
      </c>
      <c r="L374">
        <f t="shared" si="17"/>
        <v>0</v>
      </c>
    </row>
    <row r="375" spans="1:12">
      <c r="A375" t="s">
        <v>1114</v>
      </c>
      <c r="B375" t="s">
        <v>1115</v>
      </c>
      <c r="C375" t="s">
        <v>1116</v>
      </c>
      <c r="D375" t="s">
        <v>35</v>
      </c>
      <c r="E375" t="s">
        <v>54</v>
      </c>
      <c r="F375" t="s">
        <v>60</v>
      </c>
      <c r="G375" t="s">
        <v>19</v>
      </c>
      <c r="H375">
        <f>Cleaned_Data!K375</f>
        <v>21.61</v>
      </c>
      <c r="I375" t="str">
        <f t="shared" si="15"/>
        <v>YES</v>
      </c>
      <c r="J375">
        <f>Cleaned_Data!J375</f>
        <v>48</v>
      </c>
      <c r="K375" t="str">
        <f t="shared" si="16"/>
        <v>2024-06</v>
      </c>
      <c r="L375">
        <f t="shared" si="17"/>
        <v>0</v>
      </c>
    </row>
    <row r="376" spans="1:12">
      <c r="A376" t="s">
        <v>1117</v>
      </c>
      <c r="B376" t="s">
        <v>1118</v>
      </c>
      <c r="C376" t="s">
        <v>1119</v>
      </c>
      <c r="D376" t="s">
        <v>158</v>
      </c>
      <c r="E376" t="s">
        <v>28</v>
      </c>
      <c r="F376" t="s">
        <v>41</v>
      </c>
      <c r="G376" t="s">
        <v>31</v>
      </c>
      <c r="H376">
        <f>Cleaned_Data!K376</f>
        <v>1.25</v>
      </c>
      <c r="I376" t="str">
        <f t="shared" si="15"/>
        <v>YES</v>
      </c>
      <c r="J376">
        <f>Cleaned_Data!J376</f>
        <v>4</v>
      </c>
      <c r="K376" t="str">
        <f t="shared" si="16"/>
        <v>2024-01</v>
      </c>
      <c r="L376">
        <f t="shared" si="17"/>
        <v>0</v>
      </c>
    </row>
    <row r="377" spans="1:12">
      <c r="A377" t="s">
        <v>1120</v>
      </c>
      <c r="B377" t="s">
        <v>1121</v>
      </c>
      <c r="C377" t="s">
        <v>1122</v>
      </c>
      <c r="D377" t="s">
        <v>23</v>
      </c>
      <c r="E377" t="s">
        <v>59</v>
      </c>
      <c r="F377" t="s">
        <v>29</v>
      </c>
      <c r="G377" t="s">
        <v>19</v>
      </c>
      <c r="H377">
        <f>Cleaned_Data!K377</f>
        <v>21.02</v>
      </c>
      <c r="I377" t="str">
        <f t="shared" si="15"/>
        <v>YES</v>
      </c>
      <c r="J377">
        <f>Cleaned_Data!J377</f>
        <v>24</v>
      </c>
      <c r="K377" t="str">
        <f t="shared" si="16"/>
        <v>2024-07</v>
      </c>
      <c r="L377">
        <f t="shared" si="17"/>
        <v>0</v>
      </c>
    </row>
    <row r="378" spans="1:12">
      <c r="A378" t="s">
        <v>1123</v>
      </c>
      <c r="B378" t="s">
        <v>1124</v>
      </c>
      <c r="C378" t="s">
        <v>1125</v>
      </c>
      <c r="D378" t="s">
        <v>15</v>
      </c>
      <c r="E378" t="s">
        <v>24</v>
      </c>
      <c r="F378" t="s">
        <v>60</v>
      </c>
      <c r="G378" t="s">
        <v>19</v>
      </c>
      <c r="H378">
        <f>Cleaned_Data!K378</f>
        <v>2.71</v>
      </c>
      <c r="I378" t="str">
        <f t="shared" si="15"/>
        <v>YES</v>
      </c>
      <c r="J378">
        <f>Cleaned_Data!J378</f>
        <v>8</v>
      </c>
      <c r="K378" t="str">
        <f t="shared" si="16"/>
        <v>2024-05</v>
      </c>
      <c r="L378">
        <f t="shared" si="17"/>
        <v>0</v>
      </c>
    </row>
    <row r="379" spans="1:12">
      <c r="A379" t="s">
        <v>1126</v>
      </c>
      <c r="B379" t="s">
        <v>1127</v>
      </c>
      <c r="C379" t="s">
        <v>1128</v>
      </c>
      <c r="D379" t="s">
        <v>23</v>
      </c>
      <c r="E379" t="s">
        <v>16</v>
      </c>
      <c r="F379" t="s">
        <v>17</v>
      </c>
      <c r="G379" t="s">
        <v>19</v>
      </c>
      <c r="H379">
        <f>Cleaned_Data!K379</f>
        <v>7.84</v>
      </c>
      <c r="I379" t="str">
        <f t="shared" si="15"/>
        <v>YES</v>
      </c>
      <c r="J379">
        <f>Cleaned_Data!J379</f>
        <v>24</v>
      </c>
      <c r="K379" t="str">
        <f t="shared" si="16"/>
        <v>2024-07</v>
      </c>
      <c r="L379">
        <f t="shared" si="17"/>
        <v>0</v>
      </c>
    </row>
    <row r="380" spans="1:12">
      <c r="A380" t="s">
        <v>1129</v>
      </c>
      <c r="B380" t="s">
        <v>1130</v>
      </c>
      <c r="C380" t="s">
        <v>1131</v>
      </c>
      <c r="D380" t="s">
        <v>23</v>
      </c>
      <c r="E380" t="s">
        <v>16</v>
      </c>
      <c r="F380" t="s">
        <v>17</v>
      </c>
      <c r="G380" t="s">
        <v>31</v>
      </c>
      <c r="H380">
        <f>Cleaned_Data!K380</f>
        <v>9.64</v>
      </c>
      <c r="I380" t="str">
        <f t="shared" si="15"/>
        <v>YES</v>
      </c>
      <c r="J380">
        <f>Cleaned_Data!J380</f>
        <v>24</v>
      </c>
      <c r="K380" t="str">
        <f t="shared" si="16"/>
        <v>2024-12</v>
      </c>
      <c r="L380">
        <f t="shared" si="17"/>
        <v>0</v>
      </c>
    </row>
    <row r="381" spans="1:12">
      <c r="A381" t="s">
        <v>1132</v>
      </c>
      <c r="B381" t="s">
        <v>1133</v>
      </c>
      <c r="C381" t="s">
        <v>1134</v>
      </c>
      <c r="D381" t="s">
        <v>15</v>
      </c>
      <c r="E381" t="s">
        <v>28</v>
      </c>
      <c r="F381" t="s">
        <v>29</v>
      </c>
      <c r="G381" t="s">
        <v>31</v>
      </c>
      <c r="H381">
        <f>Cleaned_Data!K381</f>
        <v>8.84</v>
      </c>
      <c r="I381" t="str">
        <f t="shared" si="15"/>
        <v>NO</v>
      </c>
      <c r="J381">
        <f>Cleaned_Data!J381</f>
        <v>8</v>
      </c>
      <c r="K381" t="str">
        <f t="shared" si="16"/>
        <v>2024-11</v>
      </c>
      <c r="L381">
        <f t="shared" si="17"/>
        <v>0.83999999999999986</v>
      </c>
    </row>
    <row r="382" spans="1:12">
      <c r="A382" t="s">
        <v>1135</v>
      </c>
      <c r="B382" t="s">
        <v>1136</v>
      </c>
      <c r="C382" t="s">
        <v>1137</v>
      </c>
      <c r="D382" t="s">
        <v>23</v>
      </c>
      <c r="E382" t="s">
        <v>54</v>
      </c>
      <c r="F382" t="s">
        <v>17</v>
      </c>
      <c r="G382" t="s">
        <v>19</v>
      </c>
      <c r="H382">
        <f>Cleaned_Data!K382</f>
        <v>3.17</v>
      </c>
      <c r="I382" t="str">
        <f t="shared" si="15"/>
        <v>YES</v>
      </c>
      <c r="J382">
        <f>Cleaned_Data!J382</f>
        <v>24</v>
      </c>
      <c r="K382" t="str">
        <f t="shared" si="16"/>
        <v>2024-08</v>
      </c>
      <c r="L382">
        <f t="shared" si="17"/>
        <v>0</v>
      </c>
    </row>
    <row r="383" spans="1:12">
      <c r="A383" t="s">
        <v>1138</v>
      </c>
      <c r="B383" t="s">
        <v>1139</v>
      </c>
      <c r="D383" t="s">
        <v>15</v>
      </c>
      <c r="E383" t="s">
        <v>28</v>
      </c>
      <c r="F383" t="s">
        <v>36</v>
      </c>
      <c r="G383" t="s">
        <v>63</v>
      </c>
      <c r="H383">
        <f>Cleaned_Data!K383</f>
        <v>0</v>
      </c>
      <c r="I383" t="str">
        <f t="shared" si="15"/>
        <v/>
      </c>
      <c r="J383">
        <f>Cleaned_Data!J383</f>
        <v>8</v>
      </c>
      <c r="K383" t="str">
        <f t="shared" si="16"/>
        <v>2024-08</v>
      </c>
      <c r="L383">
        <f t="shared" si="17"/>
        <v>0</v>
      </c>
    </row>
    <row r="384" spans="1:12">
      <c r="A384" t="s">
        <v>1140</v>
      </c>
      <c r="B384" t="s">
        <v>1141</v>
      </c>
      <c r="C384" t="s">
        <v>1142</v>
      </c>
      <c r="D384" t="s">
        <v>35</v>
      </c>
      <c r="E384" t="s">
        <v>28</v>
      </c>
      <c r="F384" t="s">
        <v>17</v>
      </c>
      <c r="G384" t="s">
        <v>19</v>
      </c>
      <c r="H384">
        <f>Cleaned_Data!K384</f>
        <v>33.549999999999997</v>
      </c>
      <c r="I384" t="str">
        <f t="shared" si="15"/>
        <v>YES</v>
      </c>
      <c r="J384">
        <f>Cleaned_Data!J384</f>
        <v>48</v>
      </c>
      <c r="K384" t="str">
        <f t="shared" si="16"/>
        <v>2024-03</v>
      </c>
      <c r="L384">
        <f t="shared" si="17"/>
        <v>0</v>
      </c>
    </row>
    <row r="385" spans="1:12">
      <c r="A385" t="s">
        <v>1143</v>
      </c>
      <c r="B385" t="s">
        <v>1144</v>
      </c>
      <c r="C385" t="s">
        <v>1145</v>
      </c>
      <c r="D385" t="s">
        <v>35</v>
      </c>
      <c r="E385" t="s">
        <v>16</v>
      </c>
      <c r="F385" t="s">
        <v>36</v>
      </c>
      <c r="G385" t="s">
        <v>31</v>
      </c>
      <c r="H385">
        <f>Cleaned_Data!K385</f>
        <v>28.71</v>
      </c>
      <c r="I385" t="str">
        <f t="shared" si="15"/>
        <v>YES</v>
      </c>
      <c r="J385">
        <f>Cleaned_Data!J385</f>
        <v>48</v>
      </c>
      <c r="K385" t="str">
        <f t="shared" si="16"/>
        <v>2024-02</v>
      </c>
      <c r="L385">
        <f t="shared" si="17"/>
        <v>0</v>
      </c>
    </row>
    <row r="386" spans="1:12">
      <c r="A386" t="s">
        <v>1146</v>
      </c>
      <c r="B386" t="s">
        <v>1147</v>
      </c>
      <c r="D386" t="s">
        <v>15</v>
      </c>
      <c r="E386" t="s">
        <v>24</v>
      </c>
      <c r="F386" t="s">
        <v>41</v>
      </c>
      <c r="G386" t="s">
        <v>46</v>
      </c>
      <c r="H386">
        <f>Cleaned_Data!K386</f>
        <v>0</v>
      </c>
      <c r="I386" t="str">
        <f t="shared" ref="I386:I449" si="18">IF(OR(G386="Resolved", G386="Closed"), IF(AND(H386&lt;&gt;"", H386&lt;=J386), "YES", "NO"), "")</f>
        <v/>
      </c>
      <c r="J386">
        <f>Cleaned_Data!J386</f>
        <v>8</v>
      </c>
      <c r="K386" t="str">
        <f t="shared" ref="K386:K449" si="19">LEFT(B386, 7)</f>
        <v>2024-05</v>
      </c>
      <c r="L386">
        <f t="shared" ref="L386:L449" si="20">IF(I386="NO", H386-J386, 0)</f>
        <v>0</v>
      </c>
    </row>
    <row r="387" spans="1:12">
      <c r="A387" t="s">
        <v>1148</v>
      </c>
      <c r="B387" t="s">
        <v>1149</v>
      </c>
      <c r="C387" t="s">
        <v>1150</v>
      </c>
      <c r="D387" t="s">
        <v>15</v>
      </c>
      <c r="E387" t="s">
        <v>16</v>
      </c>
      <c r="F387" t="s">
        <v>60</v>
      </c>
      <c r="G387" t="s">
        <v>31</v>
      </c>
      <c r="H387">
        <f>Cleaned_Data!K387</f>
        <v>3.23</v>
      </c>
      <c r="I387" t="str">
        <f t="shared" si="18"/>
        <v>YES</v>
      </c>
      <c r="J387">
        <f>Cleaned_Data!J387</f>
        <v>8</v>
      </c>
      <c r="K387" t="str">
        <f t="shared" si="19"/>
        <v>2024-09</v>
      </c>
      <c r="L387">
        <f t="shared" si="20"/>
        <v>0</v>
      </c>
    </row>
    <row r="388" spans="1:12">
      <c r="A388" t="s">
        <v>1151</v>
      </c>
      <c r="B388" t="s">
        <v>1152</v>
      </c>
      <c r="C388" t="s">
        <v>1153</v>
      </c>
      <c r="D388" t="s">
        <v>15</v>
      </c>
      <c r="E388" t="s">
        <v>28</v>
      </c>
      <c r="F388" t="s">
        <v>29</v>
      </c>
      <c r="G388" t="s">
        <v>19</v>
      </c>
      <c r="H388">
        <f>Cleaned_Data!K388</f>
        <v>5.57</v>
      </c>
      <c r="I388" t="str">
        <f t="shared" si="18"/>
        <v>YES</v>
      </c>
      <c r="J388">
        <f>Cleaned_Data!J388</f>
        <v>8</v>
      </c>
      <c r="K388" t="str">
        <f t="shared" si="19"/>
        <v>2024-11</v>
      </c>
      <c r="L388">
        <f t="shared" si="20"/>
        <v>0</v>
      </c>
    </row>
    <row r="389" spans="1:12">
      <c r="A389" t="s">
        <v>1154</v>
      </c>
      <c r="B389" t="s">
        <v>1155</v>
      </c>
      <c r="C389" t="s">
        <v>1156</v>
      </c>
      <c r="D389" t="s">
        <v>35</v>
      </c>
      <c r="E389" t="s">
        <v>59</v>
      </c>
      <c r="F389" t="s">
        <v>36</v>
      </c>
      <c r="G389" t="s">
        <v>31</v>
      </c>
      <c r="H389">
        <f>Cleaned_Data!K389</f>
        <v>140.96</v>
      </c>
      <c r="I389" t="str">
        <f t="shared" si="18"/>
        <v>NO</v>
      </c>
      <c r="J389">
        <f>Cleaned_Data!J389</f>
        <v>48</v>
      </c>
      <c r="K389" t="str">
        <f t="shared" si="19"/>
        <v>2024-11</v>
      </c>
      <c r="L389">
        <f t="shared" si="20"/>
        <v>92.960000000000008</v>
      </c>
    </row>
    <row r="390" spans="1:12">
      <c r="A390" t="s">
        <v>1157</v>
      </c>
      <c r="B390" t="s">
        <v>1158</v>
      </c>
      <c r="C390" t="s">
        <v>1159</v>
      </c>
      <c r="D390" t="s">
        <v>15</v>
      </c>
      <c r="E390" t="s">
        <v>28</v>
      </c>
      <c r="F390" t="s">
        <v>29</v>
      </c>
      <c r="G390" t="s">
        <v>19</v>
      </c>
      <c r="H390">
        <f>Cleaned_Data!K390</f>
        <v>2.97</v>
      </c>
      <c r="I390" t="str">
        <f t="shared" si="18"/>
        <v>YES</v>
      </c>
      <c r="J390">
        <f>Cleaned_Data!J390</f>
        <v>8</v>
      </c>
      <c r="K390" t="str">
        <f t="shared" si="19"/>
        <v>2024-08</v>
      </c>
      <c r="L390">
        <f t="shared" si="20"/>
        <v>0</v>
      </c>
    </row>
    <row r="391" spans="1:12">
      <c r="A391" t="s">
        <v>1160</v>
      </c>
      <c r="B391" t="s">
        <v>1161</v>
      </c>
      <c r="C391" t="s">
        <v>1162</v>
      </c>
      <c r="D391" t="s">
        <v>35</v>
      </c>
      <c r="E391" t="s">
        <v>54</v>
      </c>
      <c r="F391" t="s">
        <v>29</v>
      </c>
      <c r="G391" t="s">
        <v>19</v>
      </c>
      <c r="H391">
        <f>Cleaned_Data!K391</f>
        <v>33.08</v>
      </c>
      <c r="I391" t="str">
        <f t="shared" si="18"/>
        <v>YES</v>
      </c>
      <c r="J391">
        <f>Cleaned_Data!J391</f>
        <v>48</v>
      </c>
      <c r="K391" t="str">
        <f t="shared" si="19"/>
        <v>2024-02</v>
      </c>
      <c r="L391">
        <f t="shared" si="20"/>
        <v>0</v>
      </c>
    </row>
    <row r="392" spans="1:12">
      <c r="A392" t="s">
        <v>1163</v>
      </c>
      <c r="B392" t="s">
        <v>1164</v>
      </c>
      <c r="C392" t="s">
        <v>1165</v>
      </c>
      <c r="D392" t="s">
        <v>15</v>
      </c>
      <c r="E392" t="s">
        <v>24</v>
      </c>
      <c r="F392" t="s">
        <v>41</v>
      </c>
      <c r="G392" t="s">
        <v>31</v>
      </c>
      <c r="H392">
        <f>Cleaned_Data!K392</f>
        <v>22.2</v>
      </c>
      <c r="I392" t="str">
        <f t="shared" si="18"/>
        <v>NO</v>
      </c>
      <c r="J392">
        <f>Cleaned_Data!J392</f>
        <v>8</v>
      </c>
      <c r="K392" t="str">
        <f t="shared" si="19"/>
        <v>2024-11</v>
      </c>
      <c r="L392">
        <f t="shared" si="20"/>
        <v>14.2</v>
      </c>
    </row>
    <row r="393" spans="1:12">
      <c r="A393" t="s">
        <v>1166</v>
      </c>
      <c r="B393" t="s">
        <v>1167</v>
      </c>
      <c r="C393" t="s">
        <v>1168</v>
      </c>
      <c r="D393" t="s">
        <v>23</v>
      </c>
      <c r="E393" t="s">
        <v>28</v>
      </c>
      <c r="F393" t="s">
        <v>41</v>
      </c>
      <c r="G393" t="s">
        <v>31</v>
      </c>
      <c r="H393">
        <f>Cleaned_Data!K393</f>
        <v>5.72</v>
      </c>
      <c r="I393" t="str">
        <f t="shared" si="18"/>
        <v>YES</v>
      </c>
      <c r="J393">
        <f>Cleaned_Data!J393</f>
        <v>24</v>
      </c>
      <c r="K393" t="str">
        <f t="shared" si="19"/>
        <v>2024-05</v>
      </c>
      <c r="L393">
        <f t="shared" si="20"/>
        <v>0</v>
      </c>
    </row>
    <row r="394" spans="1:12">
      <c r="A394" t="s">
        <v>1169</v>
      </c>
      <c r="B394" t="s">
        <v>1170</v>
      </c>
      <c r="C394" t="s">
        <v>1171</v>
      </c>
      <c r="D394" t="s">
        <v>158</v>
      </c>
      <c r="E394" t="s">
        <v>24</v>
      </c>
      <c r="F394" t="s">
        <v>29</v>
      </c>
      <c r="G394" t="s">
        <v>19</v>
      </c>
      <c r="H394">
        <f>Cleaned_Data!K394</f>
        <v>1.68</v>
      </c>
      <c r="I394" t="str">
        <f t="shared" si="18"/>
        <v>YES</v>
      </c>
      <c r="J394">
        <f>Cleaned_Data!J394</f>
        <v>4</v>
      </c>
      <c r="K394" t="str">
        <f t="shared" si="19"/>
        <v>2024-11</v>
      </c>
      <c r="L394">
        <f t="shared" si="20"/>
        <v>0</v>
      </c>
    </row>
    <row r="395" spans="1:12">
      <c r="A395" t="s">
        <v>1172</v>
      </c>
      <c r="B395" t="s">
        <v>1173</v>
      </c>
      <c r="D395" t="s">
        <v>35</v>
      </c>
      <c r="E395" t="s">
        <v>28</v>
      </c>
      <c r="F395" t="s">
        <v>29</v>
      </c>
      <c r="G395" t="s">
        <v>46</v>
      </c>
      <c r="H395">
        <f>Cleaned_Data!K395</f>
        <v>0</v>
      </c>
      <c r="I395" t="str">
        <f t="shared" si="18"/>
        <v/>
      </c>
      <c r="J395">
        <f>Cleaned_Data!J395</f>
        <v>48</v>
      </c>
      <c r="K395" t="str">
        <f t="shared" si="19"/>
        <v>2024-07</v>
      </c>
      <c r="L395">
        <f t="shared" si="20"/>
        <v>0</v>
      </c>
    </row>
    <row r="396" spans="1:12">
      <c r="A396" t="s">
        <v>1174</v>
      </c>
      <c r="B396" t="s">
        <v>1175</v>
      </c>
      <c r="C396" t="s">
        <v>1176</v>
      </c>
      <c r="D396" t="s">
        <v>23</v>
      </c>
      <c r="E396" t="s">
        <v>24</v>
      </c>
      <c r="F396" t="s">
        <v>17</v>
      </c>
      <c r="G396" t="s">
        <v>31</v>
      </c>
      <c r="H396">
        <f>Cleaned_Data!K396</f>
        <v>4.47</v>
      </c>
      <c r="I396" t="str">
        <f t="shared" si="18"/>
        <v>YES</v>
      </c>
      <c r="J396">
        <f>Cleaned_Data!J396</f>
        <v>24</v>
      </c>
      <c r="K396" t="str">
        <f t="shared" si="19"/>
        <v>2024-12</v>
      </c>
      <c r="L396">
        <f t="shared" si="20"/>
        <v>0</v>
      </c>
    </row>
    <row r="397" spans="1:12">
      <c r="A397" t="s">
        <v>1177</v>
      </c>
      <c r="B397" t="s">
        <v>1178</v>
      </c>
      <c r="C397" t="s">
        <v>1179</v>
      </c>
      <c r="D397" t="s">
        <v>23</v>
      </c>
      <c r="E397" t="s">
        <v>54</v>
      </c>
      <c r="F397" t="s">
        <v>60</v>
      </c>
      <c r="G397" t="s">
        <v>31</v>
      </c>
      <c r="H397">
        <f>Cleaned_Data!K397</f>
        <v>4.3600000000000003</v>
      </c>
      <c r="I397" t="str">
        <f t="shared" si="18"/>
        <v>YES</v>
      </c>
      <c r="J397">
        <f>Cleaned_Data!J397</f>
        <v>24</v>
      </c>
      <c r="K397" t="str">
        <f t="shared" si="19"/>
        <v>2024-03</v>
      </c>
      <c r="L397">
        <f t="shared" si="20"/>
        <v>0</v>
      </c>
    </row>
    <row r="398" spans="1:12">
      <c r="A398" t="s">
        <v>1180</v>
      </c>
      <c r="B398" t="s">
        <v>1181</v>
      </c>
      <c r="C398" t="s">
        <v>1182</v>
      </c>
      <c r="D398" t="s">
        <v>35</v>
      </c>
      <c r="E398" t="s">
        <v>24</v>
      </c>
      <c r="F398" t="s">
        <v>29</v>
      </c>
      <c r="G398" t="s">
        <v>19</v>
      </c>
      <c r="H398">
        <f>Cleaned_Data!K398</f>
        <v>31.81</v>
      </c>
      <c r="I398" t="str">
        <f t="shared" si="18"/>
        <v>YES</v>
      </c>
      <c r="J398">
        <f>Cleaned_Data!J398</f>
        <v>48</v>
      </c>
      <c r="K398" t="str">
        <f t="shared" si="19"/>
        <v>2024-08</v>
      </c>
      <c r="L398">
        <f t="shared" si="20"/>
        <v>0</v>
      </c>
    </row>
    <row r="399" spans="1:12">
      <c r="A399" t="s">
        <v>1183</v>
      </c>
      <c r="B399" t="s">
        <v>1184</v>
      </c>
      <c r="C399" t="s">
        <v>1185</v>
      </c>
      <c r="D399" t="s">
        <v>158</v>
      </c>
      <c r="E399" t="s">
        <v>28</v>
      </c>
      <c r="F399" t="s">
        <v>29</v>
      </c>
      <c r="G399" t="s">
        <v>19</v>
      </c>
      <c r="H399">
        <f>Cleaned_Data!K399</f>
        <v>3.07</v>
      </c>
      <c r="I399" t="str">
        <f t="shared" si="18"/>
        <v>YES</v>
      </c>
      <c r="J399">
        <f>Cleaned_Data!J399</f>
        <v>4</v>
      </c>
      <c r="K399" t="str">
        <f t="shared" si="19"/>
        <v>2024-03</v>
      </c>
      <c r="L399">
        <f t="shared" si="20"/>
        <v>0</v>
      </c>
    </row>
    <row r="400" spans="1:12">
      <c r="A400" t="s">
        <v>1186</v>
      </c>
      <c r="B400" t="s">
        <v>1187</v>
      </c>
      <c r="C400" t="s">
        <v>1188</v>
      </c>
      <c r="D400" t="s">
        <v>23</v>
      </c>
      <c r="E400" t="s">
        <v>24</v>
      </c>
      <c r="F400" t="s">
        <v>60</v>
      </c>
      <c r="G400" t="s">
        <v>19</v>
      </c>
      <c r="H400">
        <f>Cleaned_Data!K400</f>
        <v>42.49</v>
      </c>
      <c r="I400" t="str">
        <f t="shared" si="18"/>
        <v>NO</v>
      </c>
      <c r="J400">
        <f>Cleaned_Data!J400</f>
        <v>24</v>
      </c>
      <c r="K400" t="str">
        <f t="shared" si="19"/>
        <v>2024-12</v>
      </c>
      <c r="L400">
        <f t="shared" si="20"/>
        <v>18.490000000000002</v>
      </c>
    </row>
    <row r="401" spans="1:12">
      <c r="A401" t="s">
        <v>1189</v>
      </c>
      <c r="B401" t="s">
        <v>1190</v>
      </c>
      <c r="C401" t="s">
        <v>1191</v>
      </c>
      <c r="D401" t="s">
        <v>23</v>
      </c>
      <c r="E401" t="s">
        <v>28</v>
      </c>
      <c r="F401" t="s">
        <v>29</v>
      </c>
      <c r="G401" t="s">
        <v>19</v>
      </c>
      <c r="H401">
        <f>Cleaned_Data!K401</f>
        <v>16.02</v>
      </c>
      <c r="I401" t="str">
        <f t="shared" si="18"/>
        <v>YES</v>
      </c>
      <c r="J401">
        <f>Cleaned_Data!J401</f>
        <v>24</v>
      </c>
      <c r="K401" t="str">
        <f t="shared" si="19"/>
        <v>2024-04</v>
      </c>
      <c r="L401">
        <f t="shared" si="20"/>
        <v>0</v>
      </c>
    </row>
    <row r="402" spans="1:12">
      <c r="A402" t="s">
        <v>1192</v>
      </c>
      <c r="B402" t="s">
        <v>1193</v>
      </c>
      <c r="C402" t="s">
        <v>1194</v>
      </c>
      <c r="D402" t="s">
        <v>35</v>
      </c>
      <c r="E402" t="s">
        <v>28</v>
      </c>
      <c r="F402" t="s">
        <v>60</v>
      </c>
      <c r="G402" t="s">
        <v>31</v>
      </c>
      <c r="H402">
        <f>Cleaned_Data!K402</f>
        <v>127</v>
      </c>
      <c r="I402" t="str">
        <f t="shared" si="18"/>
        <v>NO</v>
      </c>
      <c r="J402">
        <f>Cleaned_Data!J402</f>
        <v>48</v>
      </c>
      <c r="K402" t="str">
        <f t="shared" si="19"/>
        <v>2024-05</v>
      </c>
      <c r="L402">
        <f t="shared" si="20"/>
        <v>79</v>
      </c>
    </row>
    <row r="403" spans="1:12">
      <c r="A403" t="s">
        <v>1195</v>
      </c>
      <c r="B403" t="s">
        <v>1196</v>
      </c>
      <c r="C403" t="s">
        <v>1197</v>
      </c>
      <c r="D403" t="s">
        <v>23</v>
      </c>
      <c r="E403" t="s">
        <v>59</v>
      </c>
      <c r="F403" t="s">
        <v>60</v>
      </c>
      <c r="G403" t="s">
        <v>19</v>
      </c>
      <c r="H403">
        <f>Cleaned_Data!K403</f>
        <v>20.82</v>
      </c>
      <c r="I403" t="str">
        <f t="shared" si="18"/>
        <v>YES</v>
      </c>
      <c r="J403">
        <f>Cleaned_Data!J403</f>
        <v>24</v>
      </c>
      <c r="K403" t="str">
        <f t="shared" si="19"/>
        <v>2024-07</v>
      </c>
      <c r="L403">
        <f t="shared" si="20"/>
        <v>0</v>
      </c>
    </row>
    <row r="404" spans="1:12">
      <c r="A404" t="s">
        <v>1198</v>
      </c>
      <c r="B404" t="s">
        <v>1199</v>
      </c>
      <c r="D404" t="s">
        <v>23</v>
      </c>
      <c r="E404" t="s">
        <v>28</v>
      </c>
      <c r="F404" t="s">
        <v>60</v>
      </c>
      <c r="G404" t="s">
        <v>46</v>
      </c>
      <c r="H404">
        <f>Cleaned_Data!K404</f>
        <v>0</v>
      </c>
      <c r="I404" t="str">
        <f t="shared" si="18"/>
        <v/>
      </c>
      <c r="J404">
        <f>Cleaned_Data!J404</f>
        <v>24</v>
      </c>
      <c r="K404" t="str">
        <f t="shared" si="19"/>
        <v>2024-07</v>
      </c>
      <c r="L404">
        <f t="shared" si="20"/>
        <v>0</v>
      </c>
    </row>
    <row r="405" spans="1:12">
      <c r="A405" t="s">
        <v>1200</v>
      </c>
      <c r="B405" t="s">
        <v>1201</v>
      </c>
      <c r="D405" t="s">
        <v>15</v>
      </c>
      <c r="E405" t="s">
        <v>16</v>
      </c>
      <c r="F405" t="s">
        <v>17</v>
      </c>
      <c r="G405" t="s">
        <v>46</v>
      </c>
      <c r="H405">
        <f>Cleaned_Data!K405</f>
        <v>0</v>
      </c>
      <c r="I405" t="str">
        <f t="shared" si="18"/>
        <v/>
      </c>
      <c r="J405">
        <f>Cleaned_Data!J405</f>
        <v>8</v>
      </c>
      <c r="K405" t="str">
        <f t="shared" si="19"/>
        <v>2024-02</v>
      </c>
      <c r="L405">
        <f t="shared" si="20"/>
        <v>0</v>
      </c>
    </row>
    <row r="406" spans="1:12">
      <c r="A406" t="s">
        <v>1202</v>
      </c>
      <c r="B406" t="s">
        <v>1203</v>
      </c>
      <c r="C406" t="s">
        <v>1204</v>
      </c>
      <c r="D406" t="s">
        <v>15</v>
      </c>
      <c r="E406" t="s">
        <v>24</v>
      </c>
      <c r="F406" t="s">
        <v>36</v>
      </c>
      <c r="G406" t="s">
        <v>19</v>
      </c>
      <c r="H406">
        <f>Cleaned_Data!K406</f>
        <v>18.18</v>
      </c>
      <c r="I406" t="str">
        <f t="shared" si="18"/>
        <v>NO</v>
      </c>
      <c r="J406">
        <f>Cleaned_Data!J406</f>
        <v>8</v>
      </c>
      <c r="K406" t="str">
        <f t="shared" si="19"/>
        <v>2024-11</v>
      </c>
      <c r="L406">
        <f t="shared" si="20"/>
        <v>10.18</v>
      </c>
    </row>
    <row r="407" spans="1:12">
      <c r="A407" t="s">
        <v>1205</v>
      </c>
      <c r="B407" t="s">
        <v>1206</v>
      </c>
      <c r="C407" t="s">
        <v>1207</v>
      </c>
      <c r="D407" t="s">
        <v>15</v>
      </c>
      <c r="E407" t="s">
        <v>16</v>
      </c>
      <c r="F407" t="s">
        <v>36</v>
      </c>
      <c r="G407" t="s">
        <v>19</v>
      </c>
      <c r="H407">
        <f>Cleaned_Data!K407</f>
        <v>3.02</v>
      </c>
      <c r="I407" t="str">
        <f t="shared" si="18"/>
        <v>YES</v>
      </c>
      <c r="J407">
        <f>Cleaned_Data!J407</f>
        <v>8</v>
      </c>
      <c r="K407" t="str">
        <f t="shared" si="19"/>
        <v>2024-04</v>
      </c>
      <c r="L407">
        <f t="shared" si="20"/>
        <v>0</v>
      </c>
    </row>
    <row r="408" spans="1:12">
      <c r="A408" t="s">
        <v>1208</v>
      </c>
      <c r="B408" t="s">
        <v>1209</v>
      </c>
      <c r="C408" t="s">
        <v>1210</v>
      </c>
      <c r="D408" t="s">
        <v>35</v>
      </c>
      <c r="E408" t="s">
        <v>24</v>
      </c>
      <c r="F408" t="s">
        <v>60</v>
      </c>
      <c r="G408" t="s">
        <v>19</v>
      </c>
      <c r="H408">
        <f>Cleaned_Data!K408</f>
        <v>21.71</v>
      </c>
      <c r="I408" t="str">
        <f t="shared" si="18"/>
        <v>YES</v>
      </c>
      <c r="J408">
        <f>Cleaned_Data!J408</f>
        <v>48</v>
      </c>
      <c r="K408" t="str">
        <f t="shared" si="19"/>
        <v>2024-06</v>
      </c>
      <c r="L408">
        <f t="shared" si="20"/>
        <v>0</v>
      </c>
    </row>
    <row r="409" spans="1:12">
      <c r="A409" t="s">
        <v>1211</v>
      </c>
      <c r="B409" t="s">
        <v>1212</v>
      </c>
      <c r="C409" t="s">
        <v>1213</v>
      </c>
      <c r="D409" t="s">
        <v>23</v>
      </c>
      <c r="E409" t="s">
        <v>59</v>
      </c>
      <c r="F409" t="s">
        <v>36</v>
      </c>
      <c r="G409" t="s">
        <v>31</v>
      </c>
      <c r="H409">
        <f>Cleaned_Data!K409</f>
        <v>8.24</v>
      </c>
      <c r="I409" t="str">
        <f t="shared" si="18"/>
        <v>YES</v>
      </c>
      <c r="J409">
        <f>Cleaned_Data!J409</f>
        <v>24</v>
      </c>
      <c r="K409" t="str">
        <f t="shared" si="19"/>
        <v>2024-08</v>
      </c>
      <c r="L409">
        <f t="shared" si="20"/>
        <v>0</v>
      </c>
    </row>
    <row r="410" spans="1:12">
      <c r="A410" t="s">
        <v>1214</v>
      </c>
      <c r="B410" t="s">
        <v>1215</v>
      </c>
      <c r="C410" t="s">
        <v>1216</v>
      </c>
      <c r="D410" t="s">
        <v>35</v>
      </c>
      <c r="E410" t="s">
        <v>28</v>
      </c>
      <c r="F410" t="s">
        <v>41</v>
      </c>
      <c r="G410" t="s">
        <v>31</v>
      </c>
      <c r="H410">
        <f>Cleaned_Data!K410</f>
        <v>16.04</v>
      </c>
      <c r="I410" t="str">
        <f t="shared" si="18"/>
        <v>YES</v>
      </c>
      <c r="J410">
        <f>Cleaned_Data!J410</f>
        <v>48</v>
      </c>
      <c r="K410" t="str">
        <f t="shared" si="19"/>
        <v>2024-05</v>
      </c>
      <c r="L410">
        <f t="shared" si="20"/>
        <v>0</v>
      </c>
    </row>
    <row r="411" spans="1:12">
      <c r="A411" t="s">
        <v>1217</v>
      </c>
      <c r="B411" t="s">
        <v>1218</v>
      </c>
      <c r="C411" t="s">
        <v>1219</v>
      </c>
      <c r="D411" t="s">
        <v>23</v>
      </c>
      <c r="E411" t="s">
        <v>28</v>
      </c>
      <c r="F411" t="s">
        <v>41</v>
      </c>
      <c r="G411" t="s">
        <v>31</v>
      </c>
      <c r="H411">
        <f>Cleaned_Data!K411</f>
        <v>12.09</v>
      </c>
      <c r="I411" t="str">
        <f t="shared" si="18"/>
        <v>YES</v>
      </c>
      <c r="J411">
        <f>Cleaned_Data!J411</f>
        <v>24</v>
      </c>
      <c r="K411" t="str">
        <f t="shared" si="19"/>
        <v>2024-08</v>
      </c>
      <c r="L411">
        <f t="shared" si="20"/>
        <v>0</v>
      </c>
    </row>
    <row r="412" spans="1:12">
      <c r="A412" t="s">
        <v>1220</v>
      </c>
      <c r="B412" t="s">
        <v>1221</v>
      </c>
      <c r="C412" t="s">
        <v>1222</v>
      </c>
      <c r="D412" t="s">
        <v>158</v>
      </c>
      <c r="E412" t="s">
        <v>16</v>
      </c>
      <c r="F412" t="s">
        <v>29</v>
      </c>
      <c r="G412" t="s">
        <v>19</v>
      </c>
      <c r="H412">
        <f>Cleaned_Data!K412</f>
        <v>2.77</v>
      </c>
      <c r="I412" t="str">
        <f t="shared" si="18"/>
        <v>YES</v>
      </c>
      <c r="J412">
        <f>Cleaned_Data!J412</f>
        <v>4</v>
      </c>
      <c r="K412" t="str">
        <f t="shared" si="19"/>
        <v>2024-05</v>
      </c>
      <c r="L412">
        <f t="shared" si="20"/>
        <v>0</v>
      </c>
    </row>
    <row r="413" spans="1:12">
      <c r="A413" t="s">
        <v>1223</v>
      </c>
      <c r="B413" t="s">
        <v>1224</v>
      </c>
      <c r="C413" t="s">
        <v>1225</v>
      </c>
      <c r="D413" t="s">
        <v>15</v>
      </c>
      <c r="E413" t="s">
        <v>28</v>
      </c>
      <c r="F413" t="s">
        <v>41</v>
      </c>
      <c r="G413" t="s">
        <v>19</v>
      </c>
      <c r="H413">
        <f>Cleaned_Data!K413</f>
        <v>5.19</v>
      </c>
      <c r="I413" t="str">
        <f t="shared" si="18"/>
        <v>YES</v>
      </c>
      <c r="J413">
        <f>Cleaned_Data!J413</f>
        <v>8</v>
      </c>
      <c r="K413" t="str">
        <f t="shared" si="19"/>
        <v>2024-12</v>
      </c>
      <c r="L413">
        <f t="shared" si="20"/>
        <v>0</v>
      </c>
    </row>
    <row r="414" spans="1:12">
      <c r="A414" t="s">
        <v>1226</v>
      </c>
      <c r="B414" t="s">
        <v>1227</v>
      </c>
      <c r="C414" t="s">
        <v>1228</v>
      </c>
      <c r="D414" t="s">
        <v>35</v>
      </c>
      <c r="E414" t="s">
        <v>28</v>
      </c>
      <c r="F414" t="s">
        <v>41</v>
      </c>
      <c r="G414" t="s">
        <v>31</v>
      </c>
      <c r="H414">
        <f>Cleaned_Data!K414</f>
        <v>98.63</v>
      </c>
      <c r="I414" t="str">
        <f t="shared" si="18"/>
        <v>NO</v>
      </c>
      <c r="J414">
        <f>Cleaned_Data!J414</f>
        <v>48</v>
      </c>
      <c r="K414" t="str">
        <f t="shared" si="19"/>
        <v>2024-03</v>
      </c>
      <c r="L414">
        <f t="shared" si="20"/>
        <v>50.629999999999995</v>
      </c>
    </row>
    <row r="415" spans="1:12">
      <c r="A415" t="s">
        <v>1229</v>
      </c>
      <c r="B415" t="s">
        <v>1230</v>
      </c>
      <c r="C415" t="s">
        <v>1231</v>
      </c>
      <c r="D415" t="s">
        <v>23</v>
      </c>
      <c r="E415" t="s">
        <v>28</v>
      </c>
      <c r="F415" t="s">
        <v>60</v>
      </c>
      <c r="G415" t="s">
        <v>19</v>
      </c>
      <c r="H415">
        <f>Cleaned_Data!K415</f>
        <v>19.39</v>
      </c>
      <c r="I415" t="str">
        <f t="shared" si="18"/>
        <v>YES</v>
      </c>
      <c r="J415">
        <f>Cleaned_Data!J415</f>
        <v>24</v>
      </c>
      <c r="K415" t="str">
        <f t="shared" si="19"/>
        <v>2024-05</v>
      </c>
      <c r="L415">
        <f t="shared" si="20"/>
        <v>0</v>
      </c>
    </row>
    <row r="416" spans="1:12">
      <c r="A416" t="s">
        <v>1232</v>
      </c>
      <c r="B416" t="s">
        <v>1233</v>
      </c>
      <c r="C416" t="s">
        <v>1234</v>
      </c>
      <c r="D416" t="s">
        <v>158</v>
      </c>
      <c r="E416" t="s">
        <v>28</v>
      </c>
      <c r="F416" t="s">
        <v>29</v>
      </c>
      <c r="G416" t="s">
        <v>19</v>
      </c>
      <c r="H416">
        <f>Cleaned_Data!K416</f>
        <v>1.98</v>
      </c>
      <c r="I416" t="str">
        <f t="shared" si="18"/>
        <v>YES</v>
      </c>
      <c r="J416">
        <f>Cleaned_Data!J416</f>
        <v>4</v>
      </c>
      <c r="K416" t="str">
        <f t="shared" si="19"/>
        <v>2024-04</v>
      </c>
      <c r="L416">
        <f t="shared" si="20"/>
        <v>0</v>
      </c>
    </row>
    <row r="417" spans="1:12">
      <c r="A417" t="s">
        <v>1235</v>
      </c>
      <c r="B417" t="s">
        <v>1236</v>
      </c>
      <c r="C417" t="s">
        <v>1237</v>
      </c>
      <c r="D417" t="s">
        <v>15</v>
      </c>
      <c r="E417" t="s">
        <v>24</v>
      </c>
      <c r="F417" t="s">
        <v>29</v>
      </c>
      <c r="G417" t="s">
        <v>31</v>
      </c>
      <c r="H417">
        <f>Cleaned_Data!K417</f>
        <v>6.72</v>
      </c>
      <c r="I417" t="str">
        <f t="shared" si="18"/>
        <v>YES</v>
      </c>
      <c r="J417">
        <f>Cleaned_Data!J417</f>
        <v>8</v>
      </c>
      <c r="K417" t="str">
        <f t="shared" si="19"/>
        <v>2024-12</v>
      </c>
      <c r="L417">
        <f t="shared" si="20"/>
        <v>0</v>
      </c>
    </row>
    <row r="418" spans="1:12">
      <c r="A418" t="s">
        <v>1238</v>
      </c>
      <c r="B418" t="s">
        <v>1239</v>
      </c>
      <c r="C418" t="s">
        <v>1240</v>
      </c>
      <c r="D418" t="s">
        <v>15</v>
      </c>
      <c r="E418" t="s">
        <v>54</v>
      </c>
      <c r="F418" t="s">
        <v>29</v>
      </c>
      <c r="G418" t="s">
        <v>31</v>
      </c>
      <c r="H418">
        <f>Cleaned_Data!K418</f>
        <v>0.99</v>
      </c>
      <c r="I418" t="str">
        <f t="shared" si="18"/>
        <v>YES</v>
      </c>
      <c r="J418">
        <f>Cleaned_Data!J418</f>
        <v>8</v>
      </c>
      <c r="K418" t="str">
        <f t="shared" si="19"/>
        <v>2024-05</v>
      </c>
      <c r="L418">
        <f t="shared" si="20"/>
        <v>0</v>
      </c>
    </row>
    <row r="419" spans="1:12">
      <c r="A419" t="s">
        <v>1241</v>
      </c>
      <c r="B419" t="s">
        <v>1242</v>
      </c>
      <c r="C419" t="s">
        <v>1243</v>
      </c>
      <c r="D419" t="s">
        <v>23</v>
      </c>
      <c r="E419" t="s">
        <v>59</v>
      </c>
      <c r="F419" t="s">
        <v>17</v>
      </c>
      <c r="G419" t="s">
        <v>19</v>
      </c>
      <c r="H419">
        <f>Cleaned_Data!K419</f>
        <v>15.69</v>
      </c>
      <c r="I419" t="str">
        <f t="shared" si="18"/>
        <v>YES</v>
      </c>
      <c r="J419">
        <f>Cleaned_Data!J419</f>
        <v>24</v>
      </c>
      <c r="K419" t="str">
        <f t="shared" si="19"/>
        <v>2024-11</v>
      </c>
      <c r="L419">
        <f t="shared" si="20"/>
        <v>0</v>
      </c>
    </row>
    <row r="420" spans="1:12">
      <c r="A420" t="s">
        <v>1244</v>
      </c>
      <c r="B420" t="s">
        <v>1245</v>
      </c>
      <c r="D420" t="s">
        <v>23</v>
      </c>
      <c r="E420" t="s">
        <v>16</v>
      </c>
      <c r="F420" t="s">
        <v>36</v>
      </c>
      <c r="G420" t="s">
        <v>63</v>
      </c>
      <c r="H420">
        <f>Cleaned_Data!K420</f>
        <v>0</v>
      </c>
      <c r="I420" t="str">
        <f t="shared" si="18"/>
        <v/>
      </c>
      <c r="J420">
        <f>Cleaned_Data!J420</f>
        <v>24</v>
      </c>
      <c r="K420" t="str">
        <f t="shared" si="19"/>
        <v>2024-12</v>
      </c>
      <c r="L420">
        <f t="shared" si="20"/>
        <v>0</v>
      </c>
    </row>
    <row r="421" spans="1:12">
      <c r="A421" t="s">
        <v>1246</v>
      </c>
      <c r="B421" t="s">
        <v>1247</v>
      </c>
      <c r="C421" t="s">
        <v>1248</v>
      </c>
      <c r="D421" t="s">
        <v>15</v>
      </c>
      <c r="E421" t="s">
        <v>16</v>
      </c>
      <c r="F421" t="s">
        <v>17</v>
      </c>
      <c r="G421" t="s">
        <v>31</v>
      </c>
      <c r="H421">
        <f>Cleaned_Data!K421</f>
        <v>19.52</v>
      </c>
      <c r="I421" t="str">
        <f t="shared" si="18"/>
        <v>NO</v>
      </c>
      <c r="J421">
        <f>Cleaned_Data!J421</f>
        <v>8</v>
      </c>
      <c r="K421" t="str">
        <f t="shared" si="19"/>
        <v>2024-09</v>
      </c>
      <c r="L421">
        <f t="shared" si="20"/>
        <v>11.52</v>
      </c>
    </row>
    <row r="422" spans="1:12">
      <c r="A422" t="s">
        <v>1249</v>
      </c>
      <c r="B422" t="s">
        <v>1250</v>
      </c>
      <c r="C422" t="s">
        <v>1251</v>
      </c>
      <c r="D422" t="s">
        <v>23</v>
      </c>
      <c r="E422" t="s">
        <v>28</v>
      </c>
      <c r="F422" t="s">
        <v>29</v>
      </c>
      <c r="G422" t="s">
        <v>19</v>
      </c>
      <c r="H422">
        <f>Cleaned_Data!K422</f>
        <v>16.21</v>
      </c>
      <c r="I422" t="str">
        <f t="shared" si="18"/>
        <v>YES</v>
      </c>
      <c r="J422">
        <f>Cleaned_Data!J422</f>
        <v>24</v>
      </c>
      <c r="K422" t="str">
        <f t="shared" si="19"/>
        <v>2024-04</v>
      </c>
      <c r="L422">
        <f t="shared" si="20"/>
        <v>0</v>
      </c>
    </row>
    <row r="423" spans="1:12">
      <c r="A423" t="s">
        <v>1252</v>
      </c>
      <c r="B423" t="s">
        <v>1253</v>
      </c>
      <c r="C423" t="s">
        <v>1254</v>
      </c>
      <c r="D423" t="s">
        <v>23</v>
      </c>
      <c r="E423" t="s">
        <v>24</v>
      </c>
      <c r="F423" t="s">
        <v>29</v>
      </c>
      <c r="G423" t="s">
        <v>31</v>
      </c>
      <c r="H423">
        <f>Cleaned_Data!K423</f>
        <v>8.49</v>
      </c>
      <c r="I423" t="str">
        <f t="shared" si="18"/>
        <v>YES</v>
      </c>
      <c r="J423">
        <f>Cleaned_Data!J423</f>
        <v>24</v>
      </c>
      <c r="K423" t="str">
        <f t="shared" si="19"/>
        <v>2024-06</v>
      </c>
      <c r="L423">
        <f t="shared" si="20"/>
        <v>0</v>
      </c>
    </row>
    <row r="424" spans="1:12">
      <c r="A424" t="s">
        <v>1255</v>
      </c>
      <c r="B424" t="s">
        <v>1256</v>
      </c>
      <c r="C424" t="s">
        <v>1257</v>
      </c>
      <c r="D424" t="s">
        <v>15</v>
      </c>
      <c r="E424" t="s">
        <v>28</v>
      </c>
      <c r="F424" t="s">
        <v>29</v>
      </c>
      <c r="G424" t="s">
        <v>19</v>
      </c>
      <c r="H424">
        <f>Cleaned_Data!K424</f>
        <v>6.87</v>
      </c>
      <c r="I424" t="str">
        <f t="shared" si="18"/>
        <v>YES</v>
      </c>
      <c r="J424">
        <f>Cleaned_Data!J424</f>
        <v>8</v>
      </c>
      <c r="K424" t="str">
        <f t="shared" si="19"/>
        <v>2024-01</v>
      </c>
      <c r="L424">
        <f t="shared" si="20"/>
        <v>0</v>
      </c>
    </row>
    <row r="425" spans="1:12">
      <c r="A425" t="s">
        <v>1258</v>
      </c>
      <c r="B425" t="s">
        <v>1259</v>
      </c>
      <c r="C425" t="s">
        <v>1260</v>
      </c>
      <c r="D425" t="s">
        <v>23</v>
      </c>
      <c r="E425" t="s">
        <v>28</v>
      </c>
      <c r="F425" t="s">
        <v>36</v>
      </c>
      <c r="G425" t="s">
        <v>19</v>
      </c>
      <c r="H425">
        <f>Cleaned_Data!K425</f>
        <v>5.25</v>
      </c>
      <c r="I425" t="str">
        <f t="shared" si="18"/>
        <v>YES</v>
      </c>
      <c r="J425">
        <f>Cleaned_Data!J425</f>
        <v>24</v>
      </c>
      <c r="K425" t="str">
        <f t="shared" si="19"/>
        <v>2024-02</v>
      </c>
      <c r="L425">
        <f t="shared" si="20"/>
        <v>0</v>
      </c>
    </row>
    <row r="426" spans="1:12">
      <c r="A426" t="s">
        <v>1261</v>
      </c>
      <c r="B426" t="s">
        <v>1262</v>
      </c>
      <c r="C426" t="s">
        <v>1263</v>
      </c>
      <c r="D426" t="s">
        <v>35</v>
      </c>
      <c r="E426" t="s">
        <v>28</v>
      </c>
      <c r="F426" t="s">
        <v>41</v>
      </c>
      <c r="G426" t="s">
        <v>19</v>
      </c>
      <c r="H426">
        <f>Cleaned_Data!K426</f>
        <v>33.69</v>
      </c>
      <c r="I426" t="str">
        <f t="shared" si="18"/>
        <v>YES</v>
      </c>
      <c r="J426">
        <f>Cleaned_Data!J426</f>
        <v>48</v>
      </c>
      <c r="K426" t="str">
        <f t="shared" si="19"/>
        <v>2024-07</v>
      </c>
      <c r="L426">
        <f t="shared" si="20"/>
        <v>0</v>
      </c>
    </row>
    <row r="427" spans="1:12">
      <c r="A427" t="s">
        <v>1264</v>
      </c>
      <c r="B427" t="s">
        <v>1265</v>
      </c>
      <c r="C427" t="s">
        <v>1266</v>
      </c>
      <c r="D427" t="s">
        <v>15</v>
      </c>
      <c r="E427" t="s">
        <v>16</v>
      </c>
      <c r="F427" t="s">
        <v>60</v>
      </c>
      <c r="G427" t="s">
        <v>31</v>
      </c>
      <c r="H427">
        <f>Cleaned_Data!K427</f>
        <v>18.88</v>
      </c>
      <c r="I427" t="str">
        <f t="shared" si="18"/>
        <v>NO</v>
      </c>
      <c r="J427">
        <f>Cleaned_Data!J427</f>
        <v>8</v>
      </c>
      <c r="K427" t="str">
        <f t="shared" si="19"/>
        <v>2024-03</v>
      </c>
      <c r="L427">
        <f t="shared" si="20"/>
        <v>10.879999999999999</v>
      </c>
    </row>
    <row r="428" spans="1:12">
      <c r="A428" t="s">
        <v>1267</v>
      </c>
      <c r="B428" t="s">
        <v>1268</v>
      </c>
      <c r="C428" t="s">
        <v>1269</v>
      </c>
      <c r="D428" t="s">
        <v>15</v>
      </c>
      <c r="E428" t="s">
        <v>16</v>
      </c>
      <c r="F428" t="s">
        <v>60</v>
      </c>
      <c r="G428" t="s">
        <v>19</v>
      </c>
      <c r="H428">
        <f>Cleaned_Data!K428</f>
        <v>5.84</v>
      </c>
      <c r="I428" t="str">
        <f t="shared" si="18"/>
        <v>YES</v>
      </c>
      <c r="J428">
        <f>Cleaned_Data!J428</f>
        <v>8</v>
      </c>
      <c r="K428" t="str">
        <f t="shared" si="19"/>
        <v>2024-11</v>
      </c>
      <c r="L428">
        <f t="shared" si="20"/>
        <v>0</v>
      </c>
    </row>
    <row r="429" spans="1:12">
      <c r="A429" t="s">
        <v>1270</v>
      </c>
      <c r="B429" t="s">
        <v>1271</v>
      </c>
      <c r="C429" t="s">
        <v>1272</v>
      </c>
      <c r="D429" t="s">
        <v>23</v>
      </c>
      <c r="E429" t="s">
        <v>24</v>
      </c>
      <c r="F429" t="s">
        <v>29</v>
      </c>
      <c r="G429" t="s">
        <v>19</v>
      </c>
      <c r="H429">
        <f>Cleaned_Data!K429</f>
        <v>17.579999999999998</v>
      </c>
      <c r="I429" t="str">
        <f t="shared" si="18"/>
        <v>YES</v>
      </c>
      <c r="J429">
        <f>Cleaned_Data!J429</f>
        <v>24</v>
      </c>
      <c r="K429" t="str">
        <f t="shared" si="19"/>
        <v>2024-08</v>
      </c>
      <c r="L429">
        <f t="shared" si="20"/>
        <v>0</v>
      </c>
    </row>
    <row r="430" spans="1:12">
      <c r="A430" t="s">
        <v>1273</v>
      </c>
      <c r="B430" t="s">
        <v>1274</v>
      </c>
      <c r="C430" t="s">
        <v>1275</v>
      </c>
      <c r="D430" t="s">
        <v>35</v>
      </c>
      <c r="E430" t="s">
        <v>28</v>
      </c>
      <c r="F430" t="s">
        <v>60</v>
      </c>
      <c r="G430" t="s">
        <v>19</v>
      </c>
      <c r="H430">
        <f>Cleaned_Data!K430</f>
        <v>6.99</v>
      </c>
      <c r="I430" t="str">
        <f t="shared" si="18"/>
        <v>YES</v>
      </c>
      <c r="J430">
        <f>Cleaned_Data!J430</f>
        <v>48</v>
      </c>
      <c r="K430" t="str">
        <f t="shared" si="19"/>
        <v>2024-11</v>
      </c>
      <c r="L430">
        <f t="shared" si="20"/>
        <v>0</v>
      </c>
    </row>
    <row r="431" spans="1:12">
      <c r="A431" t="s">
        <v>1276</v>
      </c>
      <c r="B431" t="s">
        <v>1277</v>
      </c>
      <c r="C431" t="s">
        <v>1278</v>
      </c>
      <c r="D431" t="s">
        <v>35</v>
      </c>
      <c r="E431" t="s">
        <v>28</v>
      </c>
      <c r="F431" t="s">
        <v>17</v>
      </c>
      <c r="G431" t="s">
        <v>19</v>
      </c>
      <c r="H431">
        <f>Cleaned_Data!K431</f>
        <v>26.42</v>
      </c>
      <c r="I431" t="str">
        <f t="shared" si="18"/>
        <v>YES</v>
      </c>
      <c r="J431">
        <f>Cleaned_Data!J431</f>
        <v>48</v>
      </c>
      <c r="K431" t="str">
        <f t="shared" si="19"/>
        <v>2024-08</v>
      </c>
      <c r="L431">
        <f t="shared" si="20"/>
        <v>0</v>
      </c>
    </row>
    <row r="432" spans="1:12">
      <c r="A432" t="s">
        <v>1279</v>
      </c>
      <c r="B432" t="s">
        <v>1280</v>
      </c>
      <c r="C432" t="s">
        <v>1281</v>
      </c>
      <c r="D432" t="s">
        <v>35</v>
      </c>
      <c r="E432" t="s">
        <v>24</v>
      </c>
      <c r="F432" t="s">
        <v>17</v>
      </c>
      <c r="G432" t="s">
        <v>19</v>
      </c>
      <c r="H432">
        <f>Cleaned_Data!K432</f>
        <v>41.79</v>
      </c>
      <c r="I432" t="str">
        <f t="shared" si="18"/>
        <v>YES</v>
      </c>
      <c r="J432">
        <f>Cleaned_Data!J432</f>
        <v>48</v>
      </c>
      <c r="K432" t="str">
        <f t="shared" si="19"/>
        <v>2024-12</v>
      </c>
      <c r="L432">
        <f t="shared" si="20"/>
        <v>0</v>
      </c>
    </row>
    <row r="433" spans="1:12">
      <c r="A433" t="s">
        <v>1282</v>
      </c>
      <c r="B433" t="s">
        <v>1283</v>
      </c>
      <c r="C433" t="s">
        <v>1284</v>
      </c>
      <c r="D433" t="s">
        <v>35</v>
      </c>
      <c r="E433" t="s">
        <v>24</v>
      </c>
      <c r="F433" t="s">
        <v>36</v>
      </c>
      <c r="G433" t="s">
        <v>19</v>
      </c>
      <c r="H433">
        <f>Cleaned_Data!K433</f>
        <v>79.739999999999995</v>
      </c>
      <c r="I433" t="str">
        <f t="shared" si="18"/>
        <v>NO</v>
      </c>
      <c r="J433">
        <f>Cleaned_Data!J433</f>
        <v>48</v>
      </c>
      <c r="K433" t="str">
        <f t="shared" si="19"/>
        <v>2024-05</v>
      </c>
      <c r="L433">
        <f t="shared" si="20"/>
        <v>31.739999999999995</v>
      </c>
    </row>
    <row r="434" spans="1:12">
      <c r="A434" t="s">
        <v>1285</v>
      </c>
      <c r="B434" t="s">
        <v>1286</v>
      </c>
      <c r="C434" t="s">
        <v>1287</v>
      </c>
      <c r="D434" t="s">
        <v>15</v>
      </c>
      <c r="E434" t="s">
        <v>16</v>
      </c>
      <c r="F434" t="s">
        <v>17</v>
      </c>
      <c r="G434" t="s">
        <v>31</v>
      </c>
      <c r="H434">
        <f>Cleaned_Data!K434</f>
        <v>5.99</v>
      </c>
      <c r="I434" t="str">
        <f t="shared" si="18"/>
        <v>YES</v>
      </c>
      <c r="J434">
        <f>Cleaned_Data!J434</f>
        <v>8</v>
      </c>
      <c r="K434" t="str">
        <f t="shared" si="19"/>
        <v>2024-06</v>
      </c>
      <c r="L434">
        <f t="shared" si="20"/>
        <v>0</v>
      </c>
    </row>
    <row r="435" spans="1:12">
      <c r="A435" t="s">
        <v>1288</v>
      </c>
      <c r="B435" t="s">
        <v>1289</v>
      </c>
      <c r="C435" t="s">
        <v>1290</v>
      </c>
      <c r="D435" t="s">
        <v>23</v>
      </c>
      <c r="E435" t="s">
        <v>28</v>
      </c>
      <c r="F435" t="s">
        <v>41</v>
      </c>
      <c r="G435" t="s">
        <v>19</v>
      </c>
      <c r="H435">
        <f>Cleaned_Data!K435</f>
        <v>6.47</v>
      </c>
      <c r="I435" t="str">
        <f t="shared" si="18"/>
        <v>YES</v>
      </c>
      <c r="J435">
        <f>Cleaned_Data!J435</f>
        <v>24</v>
      </c>
      <c r="K435" t="str">
        <f t="shared" si="19"/>
        <v>2024-08</v>
      </c>
      <c r="L435">
        <f t="shared" si="20"/>
        <v>0</v>
      </c>
    </row>
    <row r="436" spans="1:12">
      <c r="A436" t="s">
        <v>1291</v>
      </c>
      <c r="B436" t="s">
        <v>1292</v>
      </c>
      <c r="C436" t="s">
        <v>1293</v>
      </c>
      <c r="D436" t="s">
        <v>35</v>
      </c>
      <c r="E436" t="s">
        <v>16</v>
      </c>
      <c r="F436" t="s">
        <v>60</v>
      </c>
      <c r="G436" t="s">
        <v>19</v>
      </c>
      <c r="H436">
        <f>Cleaned_Data!K436</f>
        <v>34.729999999999997</v>
      </c>
      <c r="I436" t="str">
        <f t="shared" si="18"/>
        <v>YES</v>
      </c>
      <c r="J436">
        <f>Cleaned_Data!J436</f>
        <v>48</v>
      </c>
      <c r="K436" t="str">
        <f t="shared" si="19"/>
        <v>2024-01</v>
      </c>
      <c r="L436">
        <f t="shared" si="20"/>
        <v>0</v>
      </c>
    </row>
    <row r="437" spans="1:12">
      <c r="A437" t="s">
        <v>1294</v>
      </c>
      <c r="B437" t="s">
        <v>1295</v>
      </c>
      <c r="C437" t="s">
        <v>1296</v>
      </c>
      <c r="D437" t="s">
        <v>15</v>
      </c>
      <c r="E437" t="s">
        <v>24</v>
      </c>
      <c r="F437" t="s">
        <v>41</v>
      </c>
      <c r="G437" t="s">
        <v>31</v>
      </c>
      <c r="H437">
        <f>Cleaned_Data!K437</f>
        <v>6.4</v>
      </c>
      <c r="I437" t="str">
        <f t="shared" si="18"/>
        <v>YES</v>
      </c>
      <c r="J437">
        <f>Cleaned_Data!J437</f>
        <v>8</v>
      </c>
      <c r="K437" t="str">
        <f t="shared" si="19"/>
        <v>2024-12</v>
      </c>
      <c r="L437">
        <f t="shared" si="20"/>
        <v>0</v>
      </c>
    </row>
    <row r="438" spans="1:12">
      <c r="A438" t="s">
        <v>1297</v>
      </c>
      <c r="B438" t="s">
        <v>1298</v>
      </c>
      <c r="C438" t="s">
        <v>1299</v>
      </c>
      <c r="D438" t="s">
        <v>23</v>
      </c>
      <c r="E438" t="s">
        <v>28</v>
      </c>
      <c r="F438" t="s">
        <v>60</v>
      </c>
      <c r="G438" t="s">
        <v>19</v>
      </c>
      <c r="H438">
        <f>Cleaned_Data!K438</f>
        <v>5.13</v>
      </c>
      <c r="I438" t="str">
        <f t="shared" si="18"/>
        <v>YES</v>
      </c>
      <c r="J438">
        <f>Cleaned_Data!J438</f>
        <v>24</v>
      </c>
      <c r="K438" t="str">
        <f t="shared" si="19"/>
        <v>2024-04</v>
      </c>
      <c r="L438">
        <f t="shared" si="20"/>
        <v>0</v>
      </c>
    </row>
    <row r="439" spans="1:12">
      <c r="A439" t="s">
        <v>1300</v>
      </c>
      <c r="B439" t="s">
        <v>1301</v>
      </c>
      <c r="C439" t="s">
        <v>1302</v>
      </c>
      <c r="D439" t="s">
        <v>23</v>
      </c>
      <c r="E439" t="s">
        <v>24</v>
      </c>
      <c r="F439" t="s">
        <v>41</v>
      </c>
      <c r="G439" t="s">
        <v>19</v>
      </c>
      <c r="H439">
        <f>Cleaned_Data!K439</f>
        <v>5.08</v>
      </c>
      <c r="I439" t="str">
        <f t="shared" si="18"/>
        <v>YES</v>
      </c>
      <c r="J439">
        <f>Cleaned_Data!J439</f>
        <v>24</v>
      </c>
      <c r="K439" t="str">
        <f t="shared" si="19"/>
        <v>2024-07</v>
      </c>
      <c r="L439">
        <f t="shared" si="20"/>
        <v>0</v>
      </c>
    </row>
    <row r="440" spans="1:12">
      <c r="A440" t="s">
        <v>1303</v>
      </c>
      <c r="B440" t="s">
        <v>1304</v>
      </c>
      <c r="C440" t="s">
        <v>1305</v>
      </c>
      <c r="D440" t="s">
        <v>23</v>
      </c>
      <c r="E440" t="s">
        <v>24</v>
      </c>
      <c r="F440" t="s">
        <v>36</v>
      </c>
      <c r="G440" t="s">
        <v>31</v>
      </c>
      <c r="H440">
        <f>Cleaned_Data!K440</f>
        <v>13.31</v>
      </c>
      <c r="I440" t="str">
        <f t="shared" si="18"/>
        <v>YES</v>
      </c>
      <c r="J440">
        <f>Cleaned_Data!J440</f>
        <v>24</v>
      </c>
      <c r="K440" t="str">
        <f t="shared" si="19"/>
        <v>2024-08</v>
      </c>
      <c r="L440">
        <f t="shared" si="20"/>
        <v>0</v>
      </c>
    </row>
    <row r="441" spans="1:12">
      <c r="A441" t="s">
        <v>1306</v>
      </c>
      <c r="B441" t="s">
        <v>1307</v>
      </c>
      <c r="C441" t="s">
        <v>1308</v>
      </c>
      <c r="D441" t="s">
        <v>23</v>
      </c>
      <c r="E441" t="s">
        <v>54</v>
      </c>
      <c r="F441" t="s">
        <v>36</v>
      </c>
      <c r="G441" t="s">
        <v>31</v>
      </c>
      <c r="H441">
        <f>Cleaned_Data!K441</f>
        <v>10.16</v>
      </c>
      <c r="I441" t="str">
        <f t="shared" si="18"/>
        <v>YES</v>
      </c>
      <c r="J441">
        <f>Cleaned_Data!J441</f>
        <v>24</v>
      </c>
      <c r="K441" t="str">
        <f t="shared" si="19"/>
        <v>2024-01</v>
      </c>
      <c r="L441">
        <f t="shared" si="20"/>
        <v>0</v>
      </c>
    </row>
    <row r="442" spans="1:12">
      <c r="A442" t="s">
        <v>1309</v>
      </c>
      <c r="B442" t="s">
        <v>1310</v>
      </c>
      <c r="C442" t="s">
        <v>1311</v>
      </c>
      <c r="D442" t="s">
        <v>23</v>
      </c>
      <c r="E442" t="s">
        <v>28</v>
      </c>
      <c r="F442" t="s">
        <v>36</v>
      </c>
      <c r="G442" t="s">
        <v>19</v>
      </c>
      <c r="H442">
        <f>Cleaned_Data!K442</f>
        <v>13.01</v>
      </c>
      <c r="I442" t="str">
        <f t="shared" si="18"/>
        <v>YES</v>
      </c>
      <c r="J442">
        <f>Cleaned_Data!J442</f>
        <v>24</v>
      </c>
      <c r="K442" t="str">
        <f t="shared" si="19"/>
        <v>2024-07</v>
      </c>
      <c r="L442">
        <f t="shared" si="20"/>
        <v>0</v>
      </c>
    </row>
    <row r="443" spans="1:12">
      <c r="A443" t="s">
        <v>1312</v>
      </c>
      <c r="B443" t="s">
        <v>1313</v>
      </c>
      <c r="C443" t="s">
        <v>1314</v>
      </c>
      <c r="D443" t="s">
        <v>15</v>
      </c>
      <c r="E443" t="s">
        <v>16</v>
      </c>
      <c r="F443" t="s">
        <v>36</v>
      </c>
      <c r="G443" t="s">
        <v>31</v>
      </c>
      <c r="H443">
        <f>Cleaned_Data!K443</f>
        <v>1.58</v>
      </c>
      <c r="I443" t="str">
        <f t="shared" si="18"/>
        <v>YES</v>
      </c>
      <c r="J443">
        <f>Cleaned_Data!J443</f>
        <v>8</v>
      </c>
      <c r="K443" t="str">
        <f t="shared" si="19"/>
        <v>2024-09</v>
      </c>
      <c r="L443">
        <f t="shared" si="20"/>
        <v>0</v>
      </c>
    </row>
    <row r="444" spans="1:12">
      <c r="A444" t="s">
        <v>1315</v>
      </c>
      <c r="B444" t="s">
        <v>1316</v>
      </c>
      <c r="C444" t="s">
        <v>1317</v>
      </c>
      <c r="D444" t="s">
        <v>23</v>
      </c>
      <c r="E444" t="s">
        <v>16</v>
      </c>
      <c r="F444" t="s">
        <v>60</v>
      </c>
      <c r="G444" t="s">
        <v>19</v>
      </c>
      <c r="H444">
        <f>Cleaned_Data!K444</f>
        <v>5.67</v>
      </c>
      <c r="I444" t="str">
        <f t="shared" si="18"/>
        <v>YES</v>
      </c>
      <c r="J444">
        <f>Cleaned_Data!J444</f>
        <v>24</v>
      </c>
      <c r="K444" t="str">
        <f t="shared" si="19"/>
        <v>2024-03</v>
      </c>
      <c r="L444">
        <f t="shared" si="20"/>
        <v>0</v>
      </c>
    </row>
    <row r="445" spans="1:12">
      <c r="A445" t="s">
        <v>1318</v>
      </c>
      <c r="B445" t="s">
        <v>1319</v>
      </c>
      <c r="C445" t="s">
        <v>1320</v>
      </c>
      <c r="D445" t="s">
        <v>15</v>
      </c>
      <c r="E445" t="s">
        <v>59</v>
      </c>
      <c r="F445" t="s">
        <v>29</v>
      </c>
      <c r="G445" t="s">
        <v>19</v>
      </c>
      <c r="H445">
        <f>Cleaned_Data!K445</f>
        <v>6.97</v>
      </c>
      <c r="I445" t="str">
        <f t="shared" si="18"/>
        <v>YES</v>
      </c>
      <c r="J445">
        <f>Cleaned_Data!J445</f>
        <v>8</v>
      </c>
      <c r="K445" t="str">
        <f t="shared" si="19"/>
        <v>2024-12</v>
      </c>
      <c r="L445">
        <f t="shared" si="20"/>
        <v>0</v>
      </c>
    </row>
    <row r="446" spans="1:12">
      <c r="A446" t="s">
        <v>1321</v>
      </c>
      <c r="B446" t="s">
        <v>1322</v>
      </c>
      <c r="C446" t="s">
        <v>1323</v>
      </c>
      <c r="D446" t="s">
        <v>23</v>
      </c>
      <c r="E446" t="s">
        <v>59</v>
      </c>
      <c r="F446" t="s">
        <v>60</v>
      </c>
      <c r="G446" t="s">
        <v>31</v>
      </c>
      <c r="H446">
        <f>Cleaned_Data!K446</f>
        <v>7.62</v>
      </c>
      <c r="I446" t="str">
        <f t="shared" si="18"/>
        <v>YES</v>
      </c>
      <c r="J446">
        <f>Cleaned_Data!J446</f>
        <v>24</v>
      </c>
      <c r="K446" t="str">
        <f t="shared" si="19"/>
        <v>2024-09</v>
      </c>
      <c r="L446">
        <f t="shared" si="20"/>
        <v>0</v>
      </c>
    </row>
    <row r="447" spans="1:12">
      <c r="A447" t="s">
        <v>1324</v>
      </c>
      <c r="B447" t="s">
        <v>1325</v>
      </c>
      <c r="C447" t="s">
        <v>1326</v>
      </c>
      <c r="D447" t="s">
        <v>15</v>
      </c>
      <c r="E447" t="s">
        <v>24</v>
      </c>
      <c r="F447" t="s">
        <v>17</v>
      </c>
      <c r="G447" t="s">
        <v>31</v>
      </c>
      <c r="H447">
        <f>Cleaned_Data!K447</f>
        <v>5.4</v>
      </c>
      <c r="I447" t="str">
        <f t="shared" si="18"/>
        <v>YES</v>
      </c>
      <c r="J447">
        <f>Cleaned_Data!J447</f>
        <v>8</v>
      </c>
      <c r="K447" t="str">
        <f t="shared" si="19"/>
        <v>2024-04</v>
      </c>
      <c r="L447">
        <f t="shared" si="20"/>
        <v>0</v>
      </c>
    </row>
    <row r="448" spans="1:12">
      <c r="A448" t="s">
        <v>1327</v>
      </c>
      <c r="B448" t="s">
        <v>1328</v>
      </c>
      <c r="C448" t="s">
        <v>1329</v>
      </c>
      <c r="D448" t="s">
        <v>158</v>
      </c>
      <c r="E448" t="s">
        <v>16</v>
      </c>
      <c r="F448" t="s">
        <v>36</v>
      </c>
      <c r="G448" t="s">
        <v>31</v>
      </c>
      <c r="H448">
        <f>Cleaned_Data!K448</f>
        <v>0.98</v>
      </c>
      <c r="I448" t="str">
        <f t="shared" si="18"/>
        <v>YES</v>
      </c>
      <c r="J448">
        <f>Cleaned_Data!J448</f>
        <v>4</v>
      </c>
      <c r="K448" t="str">
        <f t="shared" si="19"/>
        <v>2024-02</v>
      </c>
      <c r="L448">
        <f t="shared" si="20"/>
        <v>0</v>
      </c>
    </row>
    <row r="449" spans="1:12">
      <c r="A449" t="s">
        <v>1330</v>
      </c>
      <c r="B449" t="s">
        <v>1331</v>
      </c>
      <c r="C449" t="s">
        <v>1332</v>
      </c>
      <c r="D449" t="s">
        <v>35</v>
      </c>
      <c r="E449" t="s">
        <v>28</v>
      </c>
      <c r="F449" t="s">
        <v>36</v>
      </c>
      <c r="G449" t="s">
        <v>31</v>
      </c>
      <c r="H449">
        <f>Cleaned_Data!K449</f>
        <v>21.15</v>
      </c>
      <c r="I449" t="str">
        <f t="shared" si="18"/>
        <v>YES</v>
      </c>
      <c r="J449">
        <f>Cleaned_Data!J449</f>
        <v>48</v>
      </c>
      <c r="K449" t="str">
        <f t="shared" si="19"/>
        <v>2024-06</v>
      </c>
      <c r="L449">
        <f t="shared" si="20"/>
        <v>0</v>
      </c>
    </row>
    <row r="450" spans="1:12">
      <c r="A450" t="s">
        <v>1333</v>
      </c>
      <c r="B450" t="s">
        <v>1334</v>
      </c>
      <c r="C450" t="s">
        <v>1335</v>
      </c>
      <c r="D450" t="s">
        <v>35</v>
      </c>
      <c r="E450" t="s">
        <v>54</v>
      </c>
      <c r="F450" t="s">
        <v>41</v>
      </c>
      <c r="G450" t="s">
        <v>31</v>
      </c>
      <c r="H450">
        <f>Cleaned_Data!K450</f>
        <v>9.41</v>
      </c>
      <c r="I450" t="str">
        <f t="shared" ref="I450:I513" si="21">IF(OR(G450="Resolved", G450="Closed"), IF(AND(H450&lt;&gt;"", H450&lt;=J450), "YES", "NO"), "")</f>
        <v>YES</v>
      </c>
      <c r="J450">
        <f>Cleaned_Data!J450</f>
        <v>48</v>
      </c>
      <c r="K450" t="str">
        <f t="shared" ref="K450:K513" si="22">LEFT(B450, 7)</f>
        <v>2024-04</v>
      </c>
      <c r="L450">
        <f t="shared" ref="L450:L513" si="23">IF(I450="NO", H450-J450, 0)</f>
        <v>0</v>
      </c>
    </row>
    <row r="451" spans="1:12">
      <c r="A451" t="s">
        <v>1336</v>
      </c>
      <c r="B451" t="s">
        <v>1337</v>
      </c>
      <c r="D451" t="s">
        <v>35</v>
      </c>
      <c r="E451" t="s">
        <v>16</v>
      </c>
      <c r="F451" t="s">
        <v>36</v>
      </c>
      <c r="G451" t="s">
        <v>63</v>
      </c>
      <c r="H451">
        <f>Cleaned_Data!K451</f>
        <v>0</v>
      </c>
      <c r="I451" t="str">
        <f t="shared" si="21"/>
        <v/>
      </c>
      <c r="J451">
        <f>Cleaned_Data!J451</f>
        <v>48</v>
      </c>
      <c r="K451" t="str">
        <f t="shared" si="22"/>
        <v>2024-01</v>
      </c>
      <c r="L451">
        <f t="shared" si="23"/>
        <v>0</v>
      </c>
    </row>
    <row r="452" spans="1:12">
      <c r="A452" t="s">
        <v>1338</v>
      </c>
      <c r="B452" t="s">
        <v>1339</v>
      </c>
      <c r="C452" t="s">
        <v>1340</v>
      </c>
      <c r="D452" t="s">
        <v>35</v>
      </c>
      <c r="E452" t="s">
        <v>54</v>
      </c>
      <c r="F452" t="s">
        <v>17</v>
      </c>
      <c r="G452" t="s">
        <v>19</v>
      </c>
      <c r="H452">
        <f>Cleaned_Data!K452</f>
        <v>5.98</v>
      </c>
      <c r="I452" t="str">
        <f t="shared" si="21"/>
        <v>YES</v>
      </c>
      <c r="J452">
        <f>Cleaned_Data!J452</f>
        <v>48</v>
      </c>
      <c r="K452" t="str">
        <f t="shared" si="22"/>
        <v>2024-07</v>
      </c>
      <c r="L452">
        <f t="shared" si="23"/>
        <v>0</v>
      </c>
    </row>
    <row r="453" spans="1:12">
      <c r="A453" t="s">
        <v>1341</v>
      </c>
      <c r="B453" t="s">
        <v>1342</v>
      </c>
      <c r="C453" t="s">
        <v>1343</v>
      </c>
      <c r="D453" t="s">
        <v>23</v>
      </c>
      <c r="E453" t="s">
        <v>16</v>
      </c>
      <c r="F453" t="s">
        <v>41</v>
      </c>
      <c r="G453" t="s">
        <v>19</v>
      </c>
      <c r="H453">
        <f>Cleaned_Data!K453</f>
        <v>3.34</v>
      </c>
      <c r="I453" t="str">
        <f t="shared" si="21"/>
        <v>YES</v>
      </c>
      <c r="J453">
        <f>Cleaned_Data!J453</f>
        <v>24</v>
      </c>
      <c r="K453" t="str">
        <f t="shared" si="22"/>
        <v>2024-11</v>
      </c>
      <c r="L453">
        <f t="shared" si="23"/>
        <v>0</v>
      </c>
    </row>
    <row r="454" spans="1:12">
      <c r="A454" t="s">
        <v>1344</v>
      </c>
      <c r="B454" t="s">
        <v>1345</v>
      </c>
      <c r="C454" t="s">
        <v>1346</v>
      </c>
      <c r="D454" t="s">
        <v>158</v>
      </c>
      <c r="E454" t="s">
        <v>16</v>
      </c>
      <c r="F454" t="s">
        <v>60</v>
      </c>
      <c r="G454" t="s">
        <v>31</v>
      </c>
      <c r="H454">
        <f>Cleaned_Data!K454</f>
        <v>3.72</v>
      </c>
      <c r="I454" t="str">
        <f t="shared" si="21"/>
        <v>YES</v>
      </c>
      <c r="J454">
        <f>Cleaned_Data!J454</f>
        <v>4</v>
      </c>
      <c r="K454" t="str">
        <f t="shared" si="22"/>
        <v>2024-05</v>
      </c>
      <c r="L454">
        <f t="shared" si="23"/>
        <v>0</v>
      </c>
    </row>
    <row r="455" spans="1:12">
      <c r="A455" t="s">
        <v>1347</v>
      </c>
      <c r="B455" t="s">
        <v>1348</v>
      </c>
      <c r="C455" t="s">
        <v>1349</v>
      </c>
      <c r="D455" t="s">
        <v>23</v>
      </c>
      <c r="E455" t="s">
        <v>54</v>
      </c>
      <c r="F455" t="s">
        <v>60</v>
      </c>
      <c r="G455" t="s">
        <v>19</v>
      </c>
      <c r="H455">
        <f>Cleaned_Data!K455</f>
        <v>12.23</v>
      </c>
      <c r="I455" t="str">
        <f t="shared" si="21"/>
        <v>YES</v>
      </c>
      <c r="J455">
        <f>Cleaned_Data!J455</f>
        <v>24</v>
      </c>
      <c r="K455" t="str">
        <f t="shared" si="22"/>
        <v>2024-05</v>
      </c>
      <c r="L455">
        <f t="shared" si="23"/>
        <v>0</v>
      </c>
    </row>
    <row r="456" spans="1:12">
      <c r="A456" t="s">
        <v>1350</v>
      </c>
      <c r="B456" t="s">
        <v>1351</v>
      </c>
      <c r="C456" t="s">
        <v>1352</v>
      </c>
      <c r="D456" t="s">
        <v>23</v>
      </c>
      <c r="E456" t="s">
        <v>16</v>
      </c>
      <c r="F456" t="s">
        <v>60</v>
      </c>
      <c r="G456" t="s">
        <v>19</v>
      </c>
      <c r="H456">
        <f>Cleaned_Data!K456</f>
        <v>5.6</v>
      </c>
      <c r="I456" t="str">
        <f t="shared" si="21"/>
        <v>YES</v>
      </c>
      <c r="J456">
        <f>Cleaned_Data!J456</f>
        <v>24</v>
      </c>
      <c r="K456" t="str">
        <f t="shared" si="22"/>
        <v>2024-09</v>
      </c>
      <c r="L456">
        <f t="shared" si="23"/>
        <v>0</v>
      </c>
    </row>
    <row r="457" spans="1:12">
      <c r="A457" t="s">
        <v>1353</v>
      </c>
      <c r="B457" t="s">
        <v>1354</v>
      </c>
      <c r="C457" t="s">
        <v>1355</v>
      </c>
      <c r="D457" t="s">
        <v>23</v>
      </c>
      <c r="E457" t="s">
        <v>24</v>
      </c>
      <c r="F457" t="s">
        <v>41</v>
      </c>
      <c r="G457" t="s">
        <v>19</v>
      </c>
      <c r="H457">
        <f>Cleaned_Data!K457</f>
        <v>27.56</v>
      </c>
      <c r="I457" t="str">
        <f t="shared" si="21"/>
        <v>NO</v>
      </c>
      <c r="J457">
        <f>Cleaned_Data!J457</f>
        <v>24</v>
      </c>
      <c r="K457" t="str">
        <f t="shared" si="22"/>
        <v>2024-11</v>
      </c>
      <c r="L457">
        <f t="shared" si="23"/>
        <v>3.5599999999999987</v>
      </c>
    </row>
    <row r="458" spans="1:12">
      <c r="A458" t="s">
        <v>1356</v>
      </c>
      <c r="B458" t="s">
        <v>1357</v>
      </c>
      <c r="C458" t="s">
        <v>1358</v>
      </c>
      <c r="D458" t="s">
        <v>23</v>
      </c>
      <c r="E458" t="s">
        <v>16</v>
      </c>
      <c r="F458" t="s">
        <v>36</v>
      </c>
      <c r="G458" t="s">
        <v>19</v>
      </c>
      <c r="H458">
        <f>Cleaned_Data!K458</f>
        <v>4.2</v>
      </c>
      <c r="I458" t="str">
        <f t="shared" si="21"/>
        <v>YES</v>
      </c>
      <c r="J458">
        <f>Cleaned_Data!J458</f>
        <v>24</v>
      </c>
      <c r="K458" t="str">
        <f t="shared" si="22"/>
        <v>2024-09</v>
      </c>
      <c r="L458">
        <f t="shared" si="23"/>
        <v>0</v>
      </c>
    </row>
    <row r="459" spans="1:12">
      <c r="A459" t="s">
        <v>1359</v>
      </c>
      <c r="B459" t="s">
        <v>1360</v>
      </c>
      <c r="C459" t="s">
        <v>1361</v>
      </c>
      <c r="D459" t="s">
        <v>15</v>
      </c>
      <c r="E459" t="s">
        <v>28</v>
      </c>
      <c r="F459" t="s">
        <v>36</v>
      </c>
      <c r="G459" t="s">
        <v>19</v>
      </c>
      <c r="H459">
        <f>Cleaned_Data!K459</f>
        <v>4.53</v>
      </c>
      <c r="I459" t="str">
        <f t="shared" si="21"/>
        <v>YES</v>
      </c>
      <c r="J459">
        <f>Cleaned_Data!J459</f>
        <v>8</v>
      </c>
      <c r="K459" t="str">
        <f t="shared" si="22"/>
        <v>2024-05</v>
      </c>
      <c r="L459">
        <f t="shared" si="23"/>
        <v>0</v>
      </c>
    </row>
    <row r="460" spans="1:12">
      <c r="A460" t="s">
        <v>1362</v>
      </c>
      <c r="B460" t="s">
        <v>1363</v>
      </c>
      <c r="C460" t="s">
        <v>1364</v>
      </c>
      <c r="D460" t="s">
        <v>23</v>
      </c>
      <c r="E460" t="s">
        <v>54</v>
      </c>
      <c r="F460" t="s">
        <v>29</v>
      </c>
      <c r="G460" t="s">
        <v>31</v>
      </c>
      <c r="H460">
        <f>Cleaned_Data!K460</f>
        <v>11.71</v>
      </c>
      <c r="I460" t="str">
        <f t="shared" si="21"/>
        <v>YES</v>
      </c>
      <c r="J460">
        <f>Cleaned_Data!J460</f>
        <v>24</v>
      </c>
      <c r="K460" t="str">
        <f t="shared" si="22"/>
        <v>2024-11</v>
      </c>
      <c r="L460">
        <f t="shared" si="23"/>
        <v>0</v>
      </c>
    </row>
    <row r="461" spans="1:12">
      <c r="A461" t="s">
        <v>1365</v>
      </c>
      <c r="B461" t="s">
        <v>1366</v>
      </c>
      <c r="C461" t="s">
        <v>1367</v>
      </c>
      <c r="D461" t="s">
        <v>158</v>
      </c>
      <c r="E461" t="s">
        <v>28</v>
      </c>
      <c r="F461" t="s">
        <v>41</v>
      </c>
      <c r="G461" t="s">
        <v>31</v>
      </c>
      <c r="H461">
        <f>Cleaned_Data!K461</f>
        <v>2.0099999999999998</v>
      </c>
      <c r="I461" t="str">
        <f t="shared" si="21"/>
        <v>YES</v>
      </c>
      <c r="J461">
        <f>Cleaned_Data!J461</f>
        <v>4</v>
      </c>
      <c r="K461" t="str">
        <f t="shared" si="22"/>
        <v>2024-11</v>
      </c>
      <c r="L461">
        <f t="shared" si="23"/>
        <v>0</v>
      </c>
    </row>
    <row r="462" spans="1:12">
      <c r="A462" t="s">
        <v>1368</v>
      </c>
      <c r="B462" t="s">
        <v>1369</v>
      </c>
      <c r="C462" t="s">
        <v>1370</v>
      </c>
      <c r="D462" t="s">
        <v>23</v>
      </c>
      <c r="E462" t="s">
        <v>24</v>
      </c>
      <c r="F462" t="s">
        <v>17</v>
      </c>
      <c r="G462" t="s">
        <v>19</v>
      </c>
      <c r="H462">
        <f>Cleaned_Data!K462</f>
        <v>70.34</v>
      </c>
      <c r="I462" t="str">
        <f t="shared" si="21"/>
        <v>NO</v>
      </c>
      <c r="J462">
        <f>Cleaned_Data!J462</f>
        <v>24</v>
      </c>
      <c r="K462" t="str">
        <f t="shared" si="22"/>
        <v>2024-10</v>
      </c>
      <c r="L462">
        <f t="shared" si="23"/>
        <v>46.34</v>
      </c>
    </row>
    <row r="463" spans="1:12">
      <c r="A463" t="s">
        <v>1371</v>
      </c>
      <c r="B463" t="s">
        <v>1372</v>
      </c>
      <c r="C463" t="s">
        <v>1373</v>
      </c>
      <c r="D463" t="s">
        <v>23</v>
      </c>
      <c r="E463" t="s">
        <v>24</v>
      </c>
      <c r="F463" t="s">
        <v>17</v>
      </c>
      <c r="G463" t="s">
        <v>19</v>
      </c>
      <c r="H463">
        <f>Cleaned_Data!K463</f>
        <v>17.12</v>
      </c>
      <c r="I463" t="str">
        <f t="shared" si="21"/>
        <v>YES</v>
      </c>
      <c r="J463">
        <f>Cleaned_Data!J463</f>
        <v>24</v>
      </c>
      <c r="K463" t="str">
        <f t="shared" si="22"/>
        <v>2024-07</v>
      </c>
      <c r="L463">
        <f t="shared" si="23"/>
        <v>0</v>
      </c>
    </row>
    <row r="464" spans="1:12">
      <c r="A464" t="s">
        <v>1374</v>
      </c>
      <c r="B464" t="s">
        <v>1375</v>
      </c>
      <c r="C464" t="s">
        <v>1376</v>
      </c>
      <c r="D464" t="s">
        <v>15</v>
      </c>
      <c r="E464" t="s">
        <v>24</v>
      </c>
      <c r="F464" t="s">
        <v>41</v>
      </c>
      <c r="G464" t="s">
        <v>19</v>
      </c>
      <c r="H464">
        <f>Cleaned_Data!K464</f>
        <v>5.67</v>
      </c>
      <c r="I464" t="str">
        <f t="shared" si="21"/>
        <v>YES</v>
      </c>
      <c r="J464">
        <f>Cleaned_Data!J464</f>
        <v>8</v>
      </c>
      <c r="K464" t="str">
        <f t="shared" si="22"/>
        <v>2024-08</v>
      </c>
      <c r="L464">
        <f t="shared" si="23"/>
        <v>0</v>
      </c>
    </row>
    <row r="465" spans="1:12">
      <c r="A465" t="s">
        <v>1377</v>
      </c>
      <c r="B465" t="s">
        <v>1378</v>
      </c>
      <c r="C465" t="s">
        <v>1379</v>
      </c>
      <c r="D465" t="s">
        <v>158</v>
      </c>
      <c r="E465" t="s">
        <v>54</v>
      </c>
      <c r="F465" t="s">
        <v>60</v>
      </c>
      <c r="G465" t="s">
        <v>31</v>
      </c>
      <c r="H465">
        <f>Cleaned_Data!K465</f>
        <v>2.64</v>
      </c>
      <c r="I465" t="str">
        <f t="shared" si="21"/>
        <v>YES</v>
      </c>
      <c r="J465">
        <f>Cleaned_Data!J465</f>
        <v>4</v>
      </c>
      <c r="K465" t="str">
        <f t="shared" si="22"/>
        <v>2024-06</v>
      </c>
      <c r="L465">
        <f t="shared" si="23"/>
        <v>0</v>
      </c>
    </row>
    <row r="466" spans="1:12">
      <c r="A466" t="s">
        <v>1380</v>
      </c>
      <c r="B466" t="s">
        <v>1381</v>
      </c>
      <c r="D466" t="s">
        <v>35</v>
      </c>
      <c r="E466" t="s">
        <v>24</v>
      </c>
      <c r="F466" t="s">
        <v>36</v>
      </c>
      <c r="G466" t="s">
        <v>63</v>
      </c>
      <c r="H466">
        <f>Cleaned_Data!K466</f>
        <v>0</v>
      </c>
      <c r="I466" t="str">
        <f t="shared" si="21"/>
        <v/>
      </c>
      <c r="J466">
        <f>Cleaned_Data!J466</f>
        <v>48</v>
      </c>
      <c r="K466" t="str">
        <f t="shared" si="22"/>
        <v>2024-02</v>
      </c>
      <c r="L466">
        <f t="shared" si="23"/>
        <v>0</v>
      </c>
    </row>
    <row r="467" spans="1:12">
      <c r="A467" t="s">
        <v>1382</v>
      </c>
      <c r="B467" t="s">
        <v>1383</v>
      </c>
      <c r="C467" t="s">
        <v>1384</v>
      </c>
      <c r="D467" t="s">
        <v>23</v>
      </c>
      <c r="E467" t="s">
        <v>28</v>
      </c>
      <c r="F467" t="s">
        <v>17</v>
      </c>
      <c r="G467" t="s">
        <v>31</v>
      </c>
      <c r="H467">
        <f>Cleaned_Data!K467</f>
        <v>5.0199999999999996</v>
      </c>
      <c r="I467" t="str">
        <f t="shared" si="21"/>
        <v>YES</v>
      </c>
      <c r="J467">
        <f>Cleaned_Data!J467</f>
        <v>24</v>
      </c>
      <c r="K467" t="str">
        <f t="shared" si="22"/>
        <v>2024-11</v>
      </c>
      <c r="L467">
        <f t="shared" si="23"/>
        <v>0</v>
      </c>
    </row>
    <row r="468" spans="1:12">
      <c r="A468" t="s">
        <v>1385</v>
      </c>
      <c r="B468" t="s">
        <v>1386</v>
      </c>
      <c r="D468" t="s">
        <v>23</v>
      </c>
      <c r="E468" t="s">
        <v>28</v>
      </c>
      <c r="F468" t="s">
        <v>41</v>
      </c>
      <c r="G468" t="s">
        <v>46</v>
      </c>
      <c r="H468">
        <f>Cleaned_Data!K468</f>
        <v>0</v>
      </c>
      <c r="I468" t="str">
        <f t="shared" si="21"/>
        <v/>
      </c>
      <c r="J468">
        <f>Cleaned_Data!J468</f>
        <v>24</v>
      </c>
      <c r="K468" t="str">
        <f t="shared" si="22"/>
        <v>2024-08</v>
      </c>
      <c r="L468">
        <f t="shared" si="23"/>
        <v>0</v>
      </c>
    </row>
    <row r="469" spans="1:12">
      <c r="A469" t="s">
        <v>1387</v>
      </c>
      <c r="B469" t="s">
        <v>1388</v>
      </c>
      <c r="D469" t="s">
        <v>23</v>
      </c>
      <c r="E469" t="s">
        <v>28</v>
      </c>
      <c r="F469" t="s">
        <v>41</v>
      </c>
      <c r="G469" t="s">
        <v>46</v>
      </c>
      <c r="H469">
        <f>Cleaned_Data!K469</f>
        <v>0</v>
      </c>
      <c r="I469" t="str">
        <f t="shared" si="21"/>
        <v/>
      </c>
      <c r="J469">
        <f>Cleaned_Data!J469</f>
        <v>24</v>
      </c>
      <c r="K469" t="str">
        <f t="shared" si="22"/>
        <v>2024-12</v>
      </c>
      <c r="L469">
        <f t="shared" si="23"/>
        <v>0</v>
      </c>
    </row>
    <row r="470" spans="1:12">
      <c r="A470" t="s">
        <v>1389</v>
      </c>
      <c r="B470" t="s">
        <v>1390</v>
      </c>
      <c r="C470" t="s">
        <v>1391</v>
      </c>
      <c r="D470" t="s">
        <v>35</v>
      </c>
      <c r="E470" t="s">
        <v>54</v>
      </c>
      <c r="F470" t="s">
        <v>60</v>
      </c>
      <c r="G470" t="s">
        <v>31</v>
      </c>
      <c r="H470">
        <f>Cleaned_Data!K470</f>
        <v>39.200000000000003</v>
      </c>
      <c r="I470" t="str">
        <f t="shared" si="21"/>
        <v>YES</v>
      </c>
      <c r="J470">
        <f>Cleaned_Data!J470</f>
        <v>48</v>
      </c>
      <c r="K470" t="str">
        <f t="shared" si="22"/>
        <v>2024-06</v>
      </c>
      <c r="L470">
        <f t="shared" si="23"/>
        <v>0</v>
      </c>
    </row>
    <row r="471" spans="1:12">
      <c r="A471" t="s">
        <v>1392</v>
      </c>
      <c r="B471" t="s">
        <v>1393</v>
      </c>
      <c r="C471" t="s">
        <v>1394</v>
      </c>
      <c r="D471" t="s">
        <v>23</v>
      </c>
      <c r="E471" t="s">
        <v>59</v>
      </c>
      <c r="F471" t="s">
        <v>17</v>
      </c>
      <c r="G471" t="s">
        <v>19</v>
      </c>
      <c r="H471">
        <f>Cleaned_Data!K471</f>
        <v>16.41</v>
      </c>
      <c r="I471" t="str">
        <f t="shared" si="21"/>
        <v>YES</v>
      </c>
      <c r="J471">
        <f>Cleaned_Data!J471</f>
        <v>24</v>
      </c>
      <c r="K471" t="str">
        <f t="shared" si="22"/>
        <v>2024-05</v>
      </c>
      <c r="L471">
        <f t="shared" si="23"/>
        <v>0</v>
      </c>
    </row>
    <row r="472" spans="1:12">
      <c r="A472" t="s">
        <v>1395</v>
      </c>
      <c r="B472" t="s">
        <v>1396</v>
      </c>
      <c r="C472" t="s">
        <v>1397</v>
      </c>
      <c r="D472" t="s">
        <v>35</v>
      </c>
      <c r="E472" t="s">
        <v>54</v>
      </c>
      <c r="F472" t="s">
        <v>17</v>
      </c>
      <c r="G472" t="s">
        <v>19</v>
      </c>
      <c r="H472">
        <f>Cleaned_Data!K472</f>
        <v>33.78</v>
      </c>
      <c r="I472" t="str">
        <f t="shared" si="21"/>
        <v>YES</v>
      </c>
      <c r="J472">
        <f>Cleaned_Data!J472</f>
        <v>48</v>
      </c>
      <c r="K472" t="str">
        <f t="shared" si="22"/>
        <v>2024-02</v>
      </c>
      <c r="L472">
        <f t="shared" si="23"/>
        <v>0</v>
      </c>
    </row>
    <row r="473" spans="1:12">
      <c r="A473" t="s">
        <v>1398</v>
      </c>
      <c r="B473" t="s">
        <v>1399</v>
      </c>
      <c r="C473" t="s">
        <v>1400</v>
      </c>
      <c r="D473" t="s">
        <v>23</v>
      </c>
      <c r="E473" t="s">
        <v>28</v>
      </c>
      <c r="F473" t="s">
        <v>41</v>
      </c>
      <c r="G473" t="s">
        <v>31</v>
      </c>
      <c r="H473">
        <f>Cleaned_Data!K473</f>
        <v>38.58</v>
      </c>
      <c r="I473" t="str">
        <f t="shared" si="21"/>
        <v>NO</v>
      </c>
      <c r="J473">
        <f>Cleaned_Data!J473</f>
        <v>24</v>
      </c>
      <c r="K473" t="str">
        <f t="shared" si="22"/>
        <v>2024-08</v>
      </c>
      <c r="L473">
        <f t="shared" si="23"/>
        <v>14.579999999999998</v>
      </c>
    </row>
    <row r="474" spans="1:12">
      <c r="A474" t="s">
        <v>1401</v>
      </c>
      <c r="B474" t="s">
        <v>1402</v>
      </c>
      <c r="C474" t="s">
        <v>1403</v>
      </c>
      <c r="D474" t="s">
        <v>158</v>
      </c>
      <c r="E474" t="s">
        <v>54</v>
      </c>
      <c r="F474" t="s">
        <v>41</v>
      </c>
      <c r="G474" t="s">
        <v>19</v>
      </c>
      <c r="H474">
        <f>Cleaned_Data!K474</f>
        <v>1.31</v>
      </c>
      <c r="I474" t="str">
        <f t="shared" si="21"/>
        <v>YES</v>
      </c>
      <c r="J474">
        <f>Cleaned_Data!J474</f>
        <v>4</v>
      </c>
      <c r="K474" t="str">
        <f t="shared" si="22"/>
        <v>2024-11</v>
      </c>
      <c r="L474">
        <f t="shared" si="23"/>
        <v>0</v>
      </c>
    </row>
    <row r="475" spans="1:12">
      <c r="A475" t="s">
        <v>1404</v>
      </c>
      <c r="B475" t="s">
        <v>1405</v>
      </c>
      <c r="C475" t="s">
        <v>1406</v>
      </c>
      <c r="D475" t="s">
        <v>23</v>
      </c>
      <c r="E475" t="s">
        <v>24</v>
      </c>
      <c r="F475" t="s">
        <v>36</v>
      </c>
      <c r="G475" t="s">
        <v>31</v>
      </c>
      <c r="H475">
        <f>Cleaned_Data!K475</f>
        <v>13.44</v>
      </c>
      <c r="I475" t="str">
        <f t="shared" si="21"/>
        <v>YES</v>
      </c>
      <c r="J475">
        <f>Cleaned_Data!J475</f>
        <v>24</v>
      </c>
      <c r="K475" t="str">
        <f t="shared" si="22"/>
        <v>2024-04</v>
      </c>
      <c r="L475">
        <f t="shared" si="23"/>
        <v>0</v>
      </c>
    </row>
    <row r="476" spans="1:12">
      <c r="A476" t="s">
        <v>1407</v>
      </c>
      <c r="B476" t="s">
        <v>1408</v>
      </c>
      <c r="C476" t="s">
        <v>1409</v>
      </c>
      <c r="D476" t="s">
        <v>15</v>
      </c>
      <c r="E476" t="s">
        <v>16</v>
      </c>
      <c r="F476" t="s">
        <v>60</v>
      </c>
      <c r="G476" t="s">
        <v>31</v>
      </c>
      <c r="H476">
        <f>Cleaned_Data!K476</f>
        <v>2.42</v>
      </c>
      <c r="I476" t="str">
        <f t="shared" si="21"/>
        <v>YES</v>
      </c>
      <c r="J476">
        <f>Cleaned_Data!J476</f>
        <v>8</v>
      </c>
      <c r="K476" t="str">
        <f t="shared" si="22"/>
        <v>2024-06</v>
      </c>
      <c r="L476">
        <f t="shared" si="23"/>
        <v>0</v>
      </c>
    </row>
    <row r="477" spans="1:12">
      <c r="A477" t="s">
        <v>1410</v>
      </c>
      <c r="B477" t="s">
        <v>1411</v>
      </c>
      <c r="C477" t="s">
        <v>1412</v>
      </c>
      <c r="D477" t="s">
        <v>23</v>
      </c>
      <c r="E477" t="s">
        <v>54</v>
      </c>
      <c r="F477" t="s">
        <v>36</v>
      </c>
      <c r="G477" t="s">
        <v>19</v>
      </c>
      <c r="H477">
        <f>Cleaned_Data!K477</f>
        <v>70.87</v>
      </c>
      <c r="I477" t="str">
        <f t="shared" si="21"/>
        <v>NO</v>
      </c>
      <c r="J477">
        <f>Cleaned_Data!J477</f>
        <v>24</v>
      </c>
      <c r="K477" t="str">
        <f t="shared" si="22"/>
        <v>2024-11</v>
      </c>
      <c r="L477">
        <f t="shared" si="23"/>
        <v>46.870000000000005</v>
      </c>
    </row>
    <row r="478" spans="1:12">
      <c r="A478" t="s">
        <v>1413</v>
      </c>
      <c r="B478" t="s">
        <v>1414</v>
      </c>
      <c r="C478" t="s">
        <v>1415</v>
      </c>
      <c r="D478" t="s">
        <v>158</v>
      </c>
      <c r="E478" t="s">
        <v>16</v>
      </c>
      <c r="F478" t="s">
        <v>17</v>
      </c>
      <c r="G478" t="s">
        <v>31</v>
      </c>
      <c r="H478">
        <f>Cleaned_Data!K478</f>
        <v>7.66</v>
      </c>
      <c r="I478" t="str">
        <f t="shared" si="21"/>
        <v>NO</v>
      </c>
      <c r="J478">
        <f>Cleaned_Data!J478</f>
        <v>4</v>
      </c>
      <c r="K478" t="str">
        <f t="shared" si="22"/>
        <v>2024-08</v>
      </c>
      <c r="L478">
        <f t="shared" si="23"/>
        <v>3.66</v>
      </c>
    </row>
    <row r="479" spans="1:12">
      <c r="A479" t="s">
        <v>1416</v>
      </c>
      <c r="B479" t="s">
        <v>1417</v>
      </c>
      <c r="C479" t="s">
        <v>1418</v>
      </c>
      <c r="D479" t="s">
        <v>23</v>
      </c>
      <c r="E479" t="s">
        <v>54</v>
      </c>
      <c r="F479" t="s">
        <v>60</v>
      </c>
      <c r="G479" t="s">
        <v>31</v>
      </c>
      <c r="H479">
        <f>Cleaned_Data!K479</f>
        <v>17.190000000000001</v>
      </c>
      <c r="I479" t="str">
        <f t="shared" si="21"/>
        <v>YES</v>
      </c>
      <c r="J479">
        <f>Cleaned_Data!J479</f>
        <v>24</v>
      </c>
      <c r="K479" t="str">
        <f t="shared" si="22"/>
        <v>2024-09</v>
      </c>
      <c r="L479">
        <f t="shared" si="23"/>
        <v>0</v>
      </c>
    </row>
    <row r="480" spans="1:12">
      <c r="A480" t="s">
        <v>1419</v>
      </c>
      <c r="B480" t="s">
        <v>1420</v>
      </c>
      <c r="C480" t="s">
        <v>1421</v>
      </c>
      <c r="D480" t="s">
        <v>15</v>
      </c>
      <c r="E480" t="s">
        <v>54</v>
      </c>
      <c r="F480" t="s">
        <v>17</v>
      </c>
      <c r="G480" t="s">
        <v>31</v>
      </c>
      <c r="H480">
        <f>Cleaned_Data!K480</f>
        <v>1.08</v>
      </c>
      <c r="I480" t="str">
        <f t="shared" si="21"/>
        <v>YES</v>
      </c>
      <c r="J480">
        <f>Cleaned_Data!J480</f>
        <v>8</v>
      </c>
      <c r="K480" t="str">
        <f t="shared" si="22"/>
        <v>2024-06</v>
      </c>
      <c r="L480">
        <f t="shared" si="23"/>
        <v>0</v>
      </c>
    </row>
    <row r="481" spans="1:12">
      <c r="A481" t="s">
        <v>1422</v>
      </c>
      <c r="B481" t="s">
        <v>1423</v>
      </c>
      <c r="C481" t="s">
        <v>1424</v>
      </c>
      <c r="D481" t="s">
        <v>15</v>
      </c>
      <c r="E481" t="s">
        <v>54</v>
      </c>
      <c r="F481" t="s">
        <v>29</v>
      </c>
      <c r="G481" t="s">
        <v>19</v>
      </c>
      <c r="H481">
        <f>Cleaned_Data!K481</f>
        <v>1.85</v>
      </c>
      <c r="I481" t="str">
        <f t="shared" si="21"/>
        <v>YES</v>
      </c>
      <c r="J481">
        <f>Cleaned_Data!J481</f>
        <v>8</v>
      </c>
      <c r="K481" t="str">
        <f t="shared" si="22"/>
        <v>2024-04</v>
      </c>
      <c r="L481">
        <f t="shared" si="23"/>
        <v>0</v>
      </c>
    </row>
    <row r="482" spans="1:12">
      <c r="A482" t="s">
        <v>1425</v>
      </c>
      <c r="B482" t="s">
        <v>1426</v>
      </c>
      <c r="C482" t="s">
        <v>1427</v>
      </c>
      <c r="D482" t="s">
        <v>23</v>
      </c>
      <c r="E482" t="s">
        <v>16</v>
      </c>
      <c r="F482" t="s">
        <v>60</v>
      </c>
      <c r="G482" t="s">
        <v>19</v>
      </c>
      <c r="H482">
        <f>Cleaned_Data!K482</f>
        <v>13.62</v>
      </c>
      <c r="I482" t="str">
        <f t="shared" si="21"/>
        <v>YES</v>
      </c>
      <c r="J482">
        <f>Cleaned_Data!J482</f>
        <v>24</v>
      </c>
      <c r="K482" t="str">
        <f t="shared" si="22"/>
        <v>2024-05</v>
      </c>
      <c r="L482">
        <f t="shared" si="23"/>
        <v>0</v>
      </c>
    </row>
    <row r="483" spans="1:12">
      <c r="A483" t="s">
        <v>1428</v>
      </c>
      <c r="B483" t="s">
        <v>1429</v>
      </c>
      <c r="D483" t="s">
        <v>15</v>
      </c>
      <c r="E483" t="s">
        <v>28</v>
      </c>
      <c r="F483" t="s">
        <v>17</v>
      </c>
      <c r="G483" t="s">
        <v>63</v>
      </c>
      <c r="H483">
        <f>Cleaned_Data!K483</f>
        <v>0</v>
      </c>
      <c r="I483" t="str">
        <f t="shared" si="21"/>
        <v/>
      </c>
      <c r="J483">
        <f>Cleaned_Data!J483</f>
        <v>8</v>
      </c>
      <c r="K483" t="str">
        <f t="shared" si="22"/>
        <v>2024-10</v>
      </c>
      <c r="L483">
        <f t="shared" si="23"/>
        <v>0</v>
      </c>
    </row>
    <row r="484" spans="1:12">
      <c r="A484" t="s">
        <v>1430</v>
      </c>
      <c r="B484" t="s">
        <v>1431</v>
      </c>
      <c r="C484" t="s">
        <v>1432</v>
      </c>
      <c r="D484" t="s">
        <v>15</v>
      </c>
      <c r="E484" t="s">
        <v>16</v>
      </c>
      <c r="F484" t="s">
        <v>29</v>
      </c>
      <c r="G484" t="s">
        <v>19</v>
      </c>
      <c r="H484">
        <f>Cleaned_Data!K484</f>
        <v>5.92</v>
      </c>
      <c r="I484" t="str">
        <f t="shared" si="21"/>
        <v>YES</v>
      </c>
      <c r="J484">
        <f>Cleaned_Data!J484</f>
        <v>8</v>
      </c>
      <c r="K484" t="str">
        <f t="shared" si="22"/>
        <v>2024-02</v>
      </c>
      <c r="L484">
        <f t="shared" si="23"/>
        <v>0</v>
      </c>
    </row>
    <row r="485" spans="1:12">
      <c r="A485" t="s">
        <v>1433</v>
      </c>
      <c r="B485" t="s">
        <v>1434</v>
      </c>
      <c r="C485" t="s">
        <v>1435</v>
      </c>
      <c r="D485" t="s">
        <v>35</v>
      </c>
      <c r="E485" t="s">
        <v>59</v>
      </c>
      <c r="F485" t="s">
        <v>36</v>
      </c>
      <c r="G485" t="s">
        <v>31</v>
      </c>
      <c r="H485">
        <f>Cleaned_Data!K485</f>
        <v>41.7</v>
      </c>
      <c r="I485" t="str">
        <f t="shared" si="21"/>
        <v>YES</v>
      </c>
      <c r="J485">
        <f>Cleaned_Data!J485</f>
        <v>48</v>
      </c>
      <c r="K485" t="str">
        <f t="shared" si="22"/>
        <v>2024-08</v>
      </c>
      <c r="L485">
        <f t="shared" si="23"/>
        <v>0</v>
      </c>
    </row>
    <row r="486" spans="1:12">
      <c r="A486" t="s">
        <v>1436</v>
      </c>
      <c r="B486" t="s">
        <v>1437</v>
      </c>
      <c r="D486" t="s">
        <v>15</v>
      </c>
      <c r="E486" t="s">
        <v>24</v>
      </c>
      <c r="F486" t="s">
        <v>29</v>
      </c>
      <c r="G486" t="s">
        <v>63</v>
      </c>
      <c r="H486">
        <f>Cleaned_Data!K486</f>
        <v>0</v>
      </c>
      <c r="I486" t="str">
        <f t="shared" si="21"/>
        <v/>
      </c>
      <c r="J486">
        <f>Cleaned_Data!J486</f>
        <v>8</v>
      </c>
      <c r="K486" t="str">
        <f t="shared" si="22"/>
        <v>2024-08</v>
      </c>
      <c r="L486">
        <f t="shared" si="23"/>
        <v>0</v>
      </c>
    </row>
    <row r="487" spans="1:12">
      <c r="A487" t="s">
        <v>1438</v>
      </c>
      <c r="B487" t="s">
        <v>1439</v>
      </c>
      <c r="D487" t="s">
        <v>23</v>
      </c>
      <c r="E487" t="s">
        <v>28</v>
      </c>
      <c r="F487" t="s">
        <v>29</v>
      </c>
      <c r="G487" t="s">
        <v>63</v>
      </c>
      <c r="H487">
        <f>Cleaned_Data!K487</f>
        <v>0</v>
      </c>
      <c r="I487" t="str">
        <f t="shared" si="21"/>
        <v/>
      </c>
      <c r="J487">
        <f>Cleaned_Data!J487</f>
        <v>24</v>
      </c>
      <c r="K487" t="str">
        <f t="shared" si="22"/>
        <v>2024-02</v>
      </c>
      <c r="L487">
        <f t="shared" si="23"/>
        <v>0</v>
      </c>
    </row>
    <row r="488" spans="1:12">
      <c r="A488" t="s">
        <v>1440</v>
      </c>
      <c r="B488" t="s">
        <v>1441</v>
      </c>
      <c r="C488" t="s">
        <v>1442</v>
      </c>
      <c r="D488" t="s">
        <v>23</v>
      </c>
      <c r="E488" t="s">
        <v>24</v>
      </c>
      <c r="F488" t="s">
        <v>60</v>
      </c>
      <c r="G488" t="s">
        <v>19</v>
      </c>
      <c r="H488">
        <f>Cleaned_Data!K488</f>
        <v>15.69</v>
      </c>
      <c r="I488" t="str">
        <f t="shared" si="21"/>
        <v>YES</v>
      </c>
      <c r="J488">
        <f>Cleaned_Data!J488</f>
        <v>24</v>
      </c>
      <c r="K488" t="str">
        <f t="shared" si="22"/>
        <v>2024-11</v>
      </c>
      <c r="L488">
        <f t="shared" si="23"/>
        <v>0</v>
      </c>
    </row>
    <row r="489" spans="1:12">
      <c r="A489" t="s">
        <v>1443</v>
      </c>
      <c r="B489" t="s">
        <v>1444</v>
      </c>
      <c r="C489" t="s">
        <v>1445</v>
      </c>
      <c r="D489" t="s">
        <v>35</v>
      </c>
      <c r="E489" t="s">
        <v>24</v>
      </c>
      <c r="F489" t="s">
        <v>60</v>
      </c>
      <c r="G489" t="s">
        <v>19</v>
      </c>
      <c r="H489">
        <f>Cleaned_Data!K489</f>
        <v>32.15</v>
      </c>
      <c r="I489" t="str">
        <f t="shared" si="21"/>
        <v>YES</v>
      </c>
      <c r="J489">
        <f>Cleaned_Data!J489</f>
        <v>48</v>
      </c>
      <c r="K489" t="str">
        <f t="shared" si="22"/>
        <v>2024-02</v>
      </c>
      <c r="L489">
        <f t="shared" si="23"/>
        <v>0</v>
      </c>
    </row>
    <row r="490" spans="1:12">
      <c r="A490" t="s">
        <v>1446</v>
      </c>
      <c r="B490" t="s">
        <v>1447</v>
      </c>
      <c r="C490" t="s">
        <v>1448</v>
      </c>
      <c r="D490" t="s">
        <v>23</v>
      </c>
      <c r="E490" t="s">
        <v>16</v>
      </c>
      <c r="F490" t="s">
        <v>17</v>
      </c>
      <c r="G490" t="s">
        <v>31</v>
      </c>
      <c r="H490">
        <f>Cleaned_Data!K490</f>
        <v>59.9</v>
      </c>
      <c r="I490" t="str">
        <f t="shared" si="21"/>
        <v>NO</v>
      </c>
      <c r="J490">
        <f>Cleaned_Data!J490</f>
        <v>24</v>
      </c>
      <c r="K490" t="str">
        <f t="shared" si="22"/>
        <v>2024-12</v>
      </c>
      <c r="L490">
        <f t="shared" si="23"/>
        <v>35.9</v>
      </c>
    </row>
    <row r="491" spans="1:12">
      <c r="A491" t="s">
        <v>1449</v>
      </c>
      <c r="B491" t="s">
        <v>1450</v>
      </c>
      <c r="C491" t="s">
        <v>1451</v>
      </c>
      <c r="D491" t="s">
        <v>35</v>
      </c>
      <c r="E491" t="s">
        <v>16</v>
      </c>
      <c r="F491" t="s">
        <v>17</v>
      </c>
      <c r="G491" t="s">
        <v>19</v>
      </c>
      <c r="H491">
        <f>Cleaned_Data!K491</f>
        <v>8.3699999999999992</v>
      </c>
      <c r="I491" t="str">
        <f t="shared" si="21"/>
        <v>YES</v>
      </c>
      <c r="J491">
        <f>Cleaned_Data!J491</f>
        <v>48</v>
      </c>
      <c r="K491" t="str">
        <f t="shared" si="22"/>
        <v>2024-11</v>
      </c>
      <c r="L491">
        <f t="shared" si="23"/>
        <v>0</v>
      </c>
    </row>
    <row r="492" spans="1:12">
      <c r="A492" t="s">
        <v>1452</v>
      </c>
      <c r="B492" t="s">
        <v>1453</v>
      </c>
      <c r="C492" t="s">
        <v>1454</v>
      </c>
      <c r="D492" t="s">
        <v>15</v>
      </c>
      <c r="E492" t="s">
        <v>24</v>
      </c>
      <c r="F492" t="s">
        <v>17</v>
      </c>
      <c r="G492" t="s">
        <v>19</v>
      </c>
      <c r="H492">
        <f>Cleaned_Data!K492</f>
        <v>3.55</v>
      </c>
      <c r="I492" t="str">
        <f t="shared" si="21"/>
        <v>YES</v>
      </c>
      <c r="J492">
        <f>Cleaned_Data!J492</f>
        <v>8</v>
      </c>
      <c r="K492" t="str">
        <f t="shared" si="22"/>
        <v>2024-11</v>
      </c>
      <c r="L492">
        <f t="shared" si="23"/>
        <v>0</v>
      </c>
    </row>
    <row r="493" spans="1:12">
      <c r="A493" t="s">
        <v>1455</v>
      </c>
      <c r="B493" t="s">
        <v>1456</v>
      </c>
      <c r="C493" t="s">
        <v>1457</v>
      </c>
      <c r="D493" t="s">
        <v>23</v>
      </c>
      <c r="E493" t="s">
        <v>54</v>
      </c>
      <c r="F493" t="s">
        <v>60</v>
      </c>
      <c r="G493" t="s">
        <v>31</v>
      </c>
      <c r="H493">
        <f>Cleaned_Data!K493</f>
        <v>16.7</v>
      </c>
      <c r="I493" t="str">
        <f t="shared" si="21"/>
        <v>YES</v>
      </c>
      <c r="J493">
        <f>Cleaned_Data!J493</f>
        <v>24</v>
      </c>
      <c r="K493" t="str">
        <f t="shared" si="22"/>
        <v>2024-05</v>
      </c>
      <c r="L493">
        <f t="shared" si="23"/>
        <v>0</v>
      </c>
    </row>
    <row r="494" spans="1:12">
      <c r="A494" t="s">
        <v>1458</v>
      </c>
      <c r="B494" t="s">
        <v>1459</v>
      </c>
      <c r="C494" t="s">
        <v>1460</v>
      </c>
      <c r="D494" t="s">
        <v>23</v>
      </c>
      <c r="E494" t="s">
        <v>28</v>
      </c>
      <c r="F494" t="s">
        <v>29</v>
      </c>
      <c r="G494" t="s">
        <v>19</v>
      </c>
      <c r="H494">
        <f>Cleaned_Data!K494</f>
        <v>761</v>
      </c>
      <c r="I494" t="str">
        <f t="shared" si="21"/>
        <v>NO</v>
      </c>
      <c r="J494">
        <f>Cleaned_Data!J494</f>
        <v>24</v>
      </c>
      <c r="K494" t="str">
        <f t="shared" si="22"/>
        <v>2024-12</v>
      </c>
      <c r="L494">
        <f t="shared" si="23"/>
        <v>737</v>
      </c>
    </row>
    <row r="495" spans="1:12">
      <c r="A495" t="s">
        <v>1461</v>
      </c>
      <c r="B495" t="s">
        <v>1462</v>
      </c>
      <c r="C495" t="s">
        <v>1463</v>
      </c>
      <c r="D495" t="s">
        <v>158</v>
      </c>
      <c r="E495" t="s">
        <v>24</v>
      </c>
      <c r="F495" t="s">
        <v>17</v>
      </c>
      <c r="G495" t="s">
        <v>31</v>
      </c>
      <c r="H495">
        <f>Cleaned_Data!K495</f>
        <v>3.29</v>
      </c>
      <c r="I495" t="str">
        <f t="shared" si="21"/>
        <v>YES</v>
      </c>
      <c r="J495">
        <f>Cleaned_Data!J495</f>
        <v>4</v>
      </c>
      <c r="K495" t="str">
        <f t="shared" si="22"/>
        <v>2024-09</v>
      </c>
      <c r="L495">
        <f t="shared" si="23"/>
        <v>0</v>
      </c>
    </row>
    <row r="496" spans="1:12">
      <c r="A496" t="s">
        <v>1464</v>
      </c>
      <c r="B496" t="s">
        <v>1465</v>
      </c>
      <c r="C496" t="s">
        <v>1466</v>
      </c>
      <c r="D496" t="s">
        <v>15</v>
      </c>
      <c r="E496" t="s">
        <v>54</v>
      </c>
      <c r="F496" t="s">
        <v>29</v>
      </c>
      <c r="G496" t="s">
        <v>31</v>
      </c>
      <c r="H496">
        <f>Cleaned_Data!K496</f>
        <v>1.64</v>
      </c>
      <c r="I496" t="str">
        <f t="shared" si="21"/>
        <v>YES</v>
      </c>
      <c r="J496">
        <f>Cleaned_Data!J496</f>
        <v>8</v>
      </c>
      <c r="K496" t="str">
        <f t="shared" si="22"/>
        <v>2024-09</v>
      </c>
      <c r="L496">
        <f t="shared" si="23"/>
        <v>0</v>
      </c>
    </row>
    <row r="497" spans="1:12">
      <c r="A497" t="s">
        <v>1467</v>
      </c>
      <c r="B497" t="s">
        <v>1468</v>
      </c>
      <c r="C497" t="s">
        <v>1469</v>
      </c>
      <c r="D497" t="s">
        <v>23</v>
      </c>
      <c r="E497" t="s">
        <v>28</v>
      </c>
      <c r="F497" t="s">
        <v>36</v>
      </c>
      <c r="G497" t="s">
        <v>19</v>
      </c>
      <c r="H497">
        <f>Cleaned_Data!K497</f>
        <v>17.21</v>
      </c>
      <c r="I497" t="str">
        <f t="shared" si="21"/>
        <v>YES</v>
      </c>
      <c r="J497">
        <f>Cleaned_Data!J497</f>
        <v>24</v>
      </c>
      <c r="K497" t="str">
        <f t="shared" si="22"/>
        <v>2024-08</v>
      </c>
      <c r="L497">
        <f t="shared" si="23"/>
        <v>0</v>
      </c>
    </row>
    <row r="498" spans="1:12">
      <c r="A498" t="s">
        <v>1470</v>
      </c>
      <c r="B498" t="s">
        <v>1471</v>
      </c>
      <c r="C498" t="s">
        <v>1472</v>
      </c>
      <c r="D498" t="s">
        <v>23</v>
      </c>
      <c r="E498" t="s">
        <v>28</v>
      </c>
      <c r="F498" t="s">
        <v>17</v>
      </c>
      <c r="G498" t="s">
        <v>19</v>
      </c>
      <c r="H498">
        <f>Cleaned_Data!K498</f>
        <v>34.29</v>
      </c>
      <c r="I498" t="str">
        <f t="shared" si="21"/>
        <v>NO</v>
      </c>
      <c r="J498">
        <f>Cleaned_Data!J498</f>
        <v>24</v>
      </c>
      <c r="K498" t="str">
        <f t="shared" si="22"/>
        <v>2024-12</v>
      </c>
      <c r="L498">
        <f t="shared" si="23"/>
        <v>10.29</v>
      </c>
    </row>
    <row r="499" spans="1:12">
      <c r="A499" t="s">
        <v>1473</v>
      </c>
      <c r="B499" t="s">
        <v>1474</v>
      </c>
      <c r="C499" t="s">
        <v>1475</v>
      </c>
      <c r="D499" t="s">
        <v>23</v>
      </c>
      <c r="E499" t="s">
        <v>16</v>
      </c>
      <c r="F499" t="s">
        <v>60</v>
      </c>
      <c r="G499" t="s">
        <v>31</v>
      </c>
      <c r="H499">
        <f>Cleaned_Data!K499</f>
        <v>16.100000000000001</v>
      </c>
      <c r="I499" t="str">
        <f t="shared" si="21"/>
        <v>YES</v>
      </c>
      <c r="J499">
        <f>Cleaned_Data!J499</f>
        <v>24</v>
      </c>
      <c r="K499" t="str">
        <f t="shared" si="22"/>
        <v>2024-11</v>
      </c>
      <c r="L499">
        <f t="shared" si="23"/>
        <v>0</v>
      </c>
    </row>
    <row r="500" spans="1:12">
      <c r="A500" t="s">
        <v>1476</v>
      </c>
      <c r="B500" t="s">
        <v>1477</v>
      </c>
      <c r="C500" t="s">
        <v>1478</v>
      </c>
      <c r="D500" t="s">
        <v>23</v>
      </c>
      <c r="E500" t="s">
        <v>28</v>
      </c>
      <c r="F500" t="s">
        <v>29</v>
      </c>
      <c r="G500" t="s">
        <v>19</v>
      </c>
      <c r="H500">
        <f>Cleaned_Data!K500</f>
        <v>4.4400000000000004</v>
      </c>
      <c r="I500" t="str">
        <f t="shared" si="21"/>
        <v>YES</v>
      </c>
      <c r="J500">
        <f>Cleaned_Data!J500</f>
        <v>24</v>
      </c>
      <c r="K500" t="str">
        <f t="shared" si="22"/>
        <v>2024-03</v>
      </c>
      <c r="L500">
        <f t="shared" si="23"/>
        <v>0</v>
      </c>
    </row>
    <row r="501" spans="1:12">
      <c r="A501" t="s">
        <v>1479</v>
      </c>
      <c r="B501" t="s">
        <v>1480</v>
      </c>
      <c r="C501" t="s">
        <v>1481</v>
      </c>
      <c r="D501" t="s">
        <v>15</v>
      </c>
      <c r="E501" t="s">
        <v>28</v>
      </c>
      <c r="F501" t="s">
        <v>29</v>
      </c>
      <c r="G501" t="s">
        <v>31</v>
      </c>
      <c r="H501">
        <f>Cleaned_Data!K501</f>
        <v>1.84</v>
      </c>
      <c r="I501" t="str">
        <f t="shared" si="21"/>
        <v>YES</v>
      </c>
      <c r="J501">
        <f>Cleaned_Data!J501</f>
        <v>8</v>
      </c>
      <c r="K501" t="str">
        <f t="shared" si="22"/>
        <v>2024-12</v>
      </c>
      <c r="L501">
        <f t="shared" si="23"/>
        <v>0</v>
      </c>
    </row>
    <row r="502" spans="1:12">
      <c r="A502" t="s">
        <v>1482</v>
      </c>
      <c r="B502" t="s">
        <v>1483</v>
      </c>
      <c r="C502" t="s">
        <v>1484</v>
      </c>
      <c r="D502" t="s">
        <v>15</v>
      </c>
      <c r="E502" t="s">
        <v>28</v>
      </c>
      <c r="F502" t="s">
        <v>36</v>
      </c>
      <c r="G502" t="s">
        <v>19</v>
      </c>
      <c r="H502">
        <f>Cleaned_Data!K502</f>
        <v>5.83</v>
      </c>
      <c r="I502" t="str">
        <f t="shared" si="21"/>
        <v>YES</v>
      </c>
      <c r="J502">
        <f>Cleaned_Data!J502</f>
        <v>8</v>
      </c>
      <c r="K502" t="str">
        <f t="shared" si="22"/>
        <v>2024-11</v>
      </c>
      <c r="L502">
        <f t="shared" si="23"/>
        <v>0</v>
      </c>
    </row>
    <row r="503" spans="1:12">
      <c r="A503" t="s">
        <v>1485</v>
      </c>
      <c r="B503" t="s">
        <v>1486</v>
      </c>
      <c r="C503" t="s">
        <v>1487</v>
      </c>
      <c r="D503" t="s">
        <v>23</v>
      </c>
      <c r="E503" t="s">
        <v>59</v>
      </c>
      <c r="F503" t="s">
        <v>29</v>
      </c>
      <c r="G503" t="s">
        <v>19</v>
      </c>
      <c r="H503">
        <f>Cleaned_Data!K503</f>
        <v>8.6300000000000008</v>
      </c>
      <c r="I503" t="str">
        <f t="shared" si="21"/>
        <v>YES</v>
      </c>
      <c r="J503">
        <f>Cleaned_Data!J503</f>
        <v>24</v>
      </c>
      <c r="K503" t="str">
        <f t="shared" si="22"/>
        <v>2024-11</v>
      </c>
      <c r="L503">
        <f t="shared" si="23"/>
        <v>0</v>
      </c>
    </row>
    <row r="504" spans="1:12">
      <c r="A504" t="s">
        <v>1488</v>
      </c>
      <c r="B504" t="s">
        <v>1489</v>
      </c>
      <c r="C504" t="s">
        <v>1490</v>
      </c>
      <c r="D504" t="s">
        <v>23</v>
      </c>
      <c r="E504" t="s">
        <v>24</v>
      </c>
      <c r="F504" t="s">
        <v>29</v>
      </c>
      <c r="G504" t="s">
        <v>31</v>
      </c>
      <c r="H504">
        <f>Cleaned_Data!K504</f>
        <v>17.36</v>
      </c>
      <c r="I504" t="str">
        <f t="shared" si="21"/>
        <v>YES</v>
      </c>
      <c r="J504">
        <f>Cleaned_Data!J504</f>
        <v>24</v>
      </c>
      <c r="K504" t="str">
        <f t="shared" si="22"/>
        <v>2024-03</v>
      </c>
      <c r="L504">
        <f t="shared" si="23"/>
        <v>0</v>
      </c>
    </row>
    <row r="505" spans="1:12">
      <c r="A505" t="s">
        <v>1491</v>
      </c>
      <c r="B505" t="s">
        <v>1492</v>
      </c>
      <c r="C505" t="s">
        <v>1493</v>
      </c>
      <c r="D505" t="s">
        <v>158</v>
      </c>
      <c r="E505" t="s">
        <v>24</v>
      </c>
      <c r="F505" t="s">
        <v>60</v>
      </c>
      <c r="G505" t="s">
        <v>19</v>
      </c>
      <c r="H505">
        <f>Cleaned_Data!K505</f>
        <v>1.78</v>
      </c>
      <c r="I505" t="str">
        <f t="shared" si="21"/>
        <v>YES</v>
      </c>
      <c r="J505">
        <f>Cleaned_Data!J505</f>
        <v>4</v>
      </c>
      <c r="K505" t="str">
        <f t="shared" si="22"/>
        <v>2024-10</v>
      </c>
      <c r="L505">
        <f t="shared" si="23"/>
        <v>0</v>
      </c>
    </row>
    <row r="506" spans="1:12">
      <c r="A506" t="s">
        <v>1494</v>
      </c>
      <c r="B506" t="s">
        <v>1495</v>
      </c>
      <c r="C506" t="s">
        <v>1496</v>
      </c>
      <c r="D506" t="s">
        <v>158</v>
      </c>
      <c r="E506" t="s">
        <v>28</v>
      </c>
      <c r="F506" t="s">
        <v>60</v>
      </c>
      <c r="G506" t="s">
        <v>31</v>
      </c>
      <c r="H506">
        <f>Cleaned_Data!K506</f>
        <v>1.73</v>
      </c>
      <c r="I506" t="str">
        <f t="shared" si="21"/>
        <v>YES</v>
      </c>
      <c r="J506">
        <f>Cleaned_Data!J506</f>
        <v>4</v>
      </c>
      <c r="K506" t="str">
        <f t="shared" si="22"/>
        <v>2024-12</v>
      </c>
      <c r="L506">
        <f t="shared" si="23"/>
        <v>0</v>
      </c>
    </row>
    <row r="507" spans="1:12">
      <c r="A507" t="s">
        <v>1497</v>
      </c>
      <c r="B507" t="s">
        <v>1498</v>
      </c>
      <c r="C507" t="s">
        <v>1499</v>
      </c>
      <c r="D507" t="s">
        <v>23</v>
      </c>
      <c r="E507" t="s">
        <v>59</v>
      </c>
      <c r="F507" t="s">
        <v>41</v>
      </c>
      <c r="G507" t="s">
        <v>19</v>
      </c>
      <c r="H507">
        <f>Cleaned_Data!K507</f>
        <v>12.64</v>
      </c>
      <c r="I507" t="str">
        <f t="shared" si="21"/>
        <v>YES</v>
      </c>
      <c r="J507">
        <f>Cleaned_Data!J507</f>
        <v>24</v>
      </c>
      <c r="K507" t="str">
        <f t="shared" si="22"/>
        <v>2024-08</v>
      </c>
      <c r="L507">
        <f t="shared" si="23"/>
        <v>0</v>
      </c>
    </row>
    <row r="508" spans="1:12">
      <c r="A508" t="s">
        <v>1500</v>
      </c>
      <c r="B508" t="s">
        <v>1501</v>
      </c>
      <c r="C508" t="s">
        <v>1502</v>
      </c>
      <c r="D508" t="s">
        <v>35</v>
      </c>
      <c r="E508" t="s">
        <v>59</v>
      </c>
      <c r="F508" t="s">
        <v>17</v>
      </c>
      <c r="G508" t="s">
        <v>19</v>
      </c>
      <c r="H508">
        <f>Cleaned_Data!K508</f>
        <v>27.91</v>
      </c>
      <c r="I508" t="str">
        <f t="shared" si="21"/>
        <v>YES</v>
      </c>
      <c r="J508">
        <f>Cleaned_Data!J508</f>
        <v>48</v>
      </c>
      <c r="K508" t="str">
        <f t="shared" si="22"/>
        <v>2024-11</v>
      </c>
      <c r="L508">
        <f t="shared" si="23"/>
        <v>0</v>
      </c>
    </row>
    <row r="509" spans="1:12">
      <c r="A509" t="s">
        <v>1503</v>
      </c>
      <c r="B509" t="s">
        <v>1504</v>
      </c>
      <c r="C509" t="s">
        <v>1505</v>
      </c>
      <c r="D509" t="s">
        <v>35</v>
      </c>
      <c r="E509" t="s">
        <v>16</v>
      </c>
      <c r="F509" t="s">
        <v>41</v>
      </c>
      <c r="G509" t="s">
        <v>19</v>
      </c>
      <c r="H509">
        <f>Cleaned_Data!K509</f>
        <v>14.26</v>
      </c>
      <c r="I509" t="str">
        <f t="shared" si="21"/>
        <v>YES</v>
      </c>
      <c r="J509">
        <f>Cleaned_Data!J509</f>
        <v>48</v>
      </c>
      <c r="K509" t="str">
        <f t="shared" si="22"/>
        <v>2024-12</v>
      </c>
      <c r="L509">
        <f t="shared" si="23"/>
        <v>0</v>
      </c>
    </row>
    <row r="510" spans="1:12">
      <c r="A510" t="s">
        <v>1506</v>
      </c>
      <c r="B510" t="s">
        <v>1507</v>
      </c>
      <c r="C510" t="s">
        <v>1508</v>
      </c>
      <c r="D510" t="s">
        <v>158</v>
      </c>
      <c r="E510" t="s">
        <v>28</v>
      </c>
      <c r="F510" t="s">
        <v>29</v>
      </c>
      <c r="G510" t="s">
        <v>19</v>
      </c>
      <c r="H510">
        <f>Cleaned_Data!K510</f>
        <v>0.56000000000000005</v>
      </c>
      <c r="I510" t="str">
        <f t="shared" si="21"/>
        <v>YES</v>
      </c>
      <c r="J510">
        <f>Cleaned_Data!J510</f>
        <v>4</v>
      </c>
      <c r="K510" t="str">
        <f t="shared" si="22"/>
        <v>2024-04</v>
      </c>
      <c r="L510">
        <f t="shared" si="23"/>
        <v>0</v>
      </c>
    </row>
    <row r="511" spans="1:12">
      <c r="A511" t="s">
        <v>1509</v>
      </c>
      <c r="B511" t="s">
        <v>1510</v>
      </c>
      <c r="C511" t="s">
        <v>1511</v>
      </c>
      <c r="D511" t="s">
        <v>15</v>
      </c>
      <c r="E511" t="s">
        <v>59</v>
      </c>
      <c r="F511" t="s">
        <v>29</v>
      </c>
      <c r="G511" t="s">
        <v>19</v>
      </c>
      <c r="H511">
        <f>Cleaned_Data!K511</f>
        <v>1.98</v>
      </c>
      <c r="I511" t="str">
        <f t="shared" si="21"/>
        <v>YES</v>
      </c>
      <c r="J511">
        <f>Cleaned_Data!J511</f>
        <v>8</v>
      </c>
      <c r="K511" t="str">
        <f t="shared" si="22"/>
        <v>2024-05</v>
      </c>
      <c r="L511">
        <f t="shared" si="23"/>
        <v>0</v>
      </c>
    </row>
    <row r="512" spans="1:12">
      <c r="A512" t="s">
        <v>1512</v>
      </c>
      <c r="B512" t="s">
        <v>1513</v>
      </c>
      <c r="C512" t="s">
        <v>1514</v>
      </c>
      <c r="D512" t="s">
        <v>23</v>
      </c>
      <c r="E512" t="s">
        <v>16</v>
      </c>
      <c r="F512" t="s">
        <v>36</v>
      </c>
      <c r="G512" t="s">
        <v>19</v>
      </c>
      <c r="H512">
        <f>Cleaned_Data!K512</f>
        <v>35.630000000000003</v>
      </c>
      <c r="I512" t="str">
        <f t="shared" si="21"/>
        <v>NO</v>
      </c>
      <c r="J512">
        <f>Cleaned_Data!J512</f>
        <v>24</v>
      </c>
      <c r="K512" t="str">
        <f t="shared" si="22"/>
        <v>2024-05</v>
      </c>
      <c r="L512">
        <f t="shared" si="23"/>
        <v>11.630000000000003</v>
      </c>
    </row>
    <row r="513" spans="1:12">
      <c r="A513" t="s">
        <v>1515</v>
      </c>
      <c r="B513" t="s">
        <v>1516</v>
      </c>
      <c r="C513" t="s">
        <v>1517</v>
      </c>
      <c r="D513" t="s">
        <v>35</v>
      </c>
      <c r="E513" t="s">
        <v>28</v>
      </c>
      <c r="F513" t="s">
        <v>41</v>
      </c>
      <c r="G513" t="s">
        <v>19</v>
      </c>
      <c r="H513">
        <f>Cleaned_Data!K513</f>
        <v>625</v>
      </c>
      <c r="I513" t="str">
        <f t="shared" si="21"/>
        <v>NO</v>
      </c>
      <c r="J513">
        <f>Cleaned_Data!J513</f>
        <v>48</v>
      </c>
      <c r="K513" t="str">
        <f t="shared" si="22"/>
        <v>2024-11</v>
      </c>
      <c r="L513">
        <f t="shared" si="23"/>
        <v>577</v>
      </c>
    </row>
    <row r="514" spans="1:12">
      <c r="A514" t="s">
        <v>1518</v>
      </c>
      <c r="B514" t="s">
        <v>1519</v>
      </c>
      <c r="C514" t="s">
        <v>1520</v>
      </c>
      <c r="D514" t="s">
        <v>23</v>
      </c>
      <c r="E514" t="s">
        <v>28</v>
      </c>
      <c r="F514" t="s">
        <v>17</v>
      </c>
      <c r="G514" t="s">
        <v>19</v>
      </c>
      <c r="H514">
        <f>Cleaned_Data!K514</f>
        <v>4.8099999999999996</v>
      </c>
      <c r="I514" t="str">
        <f t="shared" ref="I514:I577" si="24">IF(OR(G514="Resolved", G514="Closed"), IF(AND(H514&lt;&gt;"", H514&lt;=J514), "YES", "NO"), "")</f>
        <v>YES</v>
      </c>
      <c r="J514">
        <f>Cleaned_Data!J514</f>
        <v>24</v>
      </c>
      <c r="K514" t="str">
        <f t="shared" ref="K514:K577" si="25">LEFT(B514, 7)</f>
        <v>2024-07</v>
      </c>
      <c r="L514">
        <f t="shared" ref="L514:L577" si="26">IF(I514="NO", H514-J514, 0)</f>
        <v>0</v>
      </c>
    </row>
    <row r="515" spans="1:12">
      <c r="A515" t="s">
        <v>1521</v>
      </c>
      <c r="B515" t="s">
        <v>1522</v>
      </c>
      <c r="C515" t="s">
        <v>1523</v>
      </c>
      <c r="D515" t="s">
        <v>15</v>
      </c>
      <c r="E515" t="s">
        <v>24</v>
      </c>
      <c r="F515" t="s">
        <v>41</v>
      </c>
      <c r="G515" t="s">
        <v>19</v>
      </c>
      <c r="H515">
        <f>Cleaned_Data!K515</f>
        <v>6.47</v>
      </c>
      <c r="I515" t="str">
        <f t="shared" si="24"/>
        <v>YES</v>
      </c>
      <c r="J515">
        <f>Cleaned_Data!J515</f>
        <v>8</v>
      </c>
      <c r="K515" t="str">
        <f t="shared" si="25"/>
        <v>2024-11</v>
      </c>
      <c r="L515">
        <f t="shared" si="26"/>
        <v>0</v>
      </c>
    </row>
    <row r="516" spans="1:12">
      <c r="A516" t="s">
        <v>1524</v>
      </c>
      <c r="B516" t="s">
        <v>1525</v>
      </c>
      <c r="C516" t="s">
        <v>1526</v>
      </c>
      <c r="D516" t="s">
        <v>15</v>
      </c>
      <c r="E516" t="s">
        <v>54</v>
      </c>
      <c r="F516" t="s">
        <v>17</v>
      </c>
      <c r="G516" t="s">
        <v>19</v>
      </c>
      <c r="H516">
        <f>Cleaned_Data!K516</f>
        <v>10.69</v>
      </c>
      <c r="I516" t="str">
        <f t="shared" si="24"/>
        <v>NO</v>
      </c>
      <c r="J516">
        <f>Cleaned_Data!J516</f>
        <v>8</v>
      </c>
      <c r="K516" t="str">
        <f t="shared" si="25"/>
        <v>2024-01</v>
      </c>
      <c r="L516">
        <f t="shared" si="26"/>
        <v>2.6899999999999995</v>
      </c>
    </row>
    <row r="517" spans="1:12">
      <c r="A517" t="s">
        <v>1527</v>
      </c>
      <c r="B517" t="s">
        <v>1528</v>
      </c>
      <c r="C517" t="s">
        <v>1529</v>
      </c>
      <c r="D517" t="s">
        <v>15</v>
      </c>
      <c r="E517" t="s">
        <v>59</v>
      </c>
      <c r="F517" t="s">
        <v>60</v>
      </c>
      <c r="G517" t="s">
        <v>31</v>
      </c>
      <c r="H517">
        <f>Cleaned_Data!K517</f>
        <v>19.760000000000002</v>
      </c>
      <c r="I517" t="str">
        <f t="shared" si="24"/>
        <v>NO</v>
      </c>
      <c r="J517">
        <f>Cleaned_Data!J517</f>
        <v>8</v>
      </c>
      <c r="K517" t="str">
        <f t="shared" si="25"/>
        <v>2024-12</v>
      </c>
      <c r="L517">
        <f t="shared" si="26"/>
        <v>11.760000000000002</v>
      </c>
    </row>
    <row r="518" spans="1:12">
      <c r="A518" t="s">
        <v>1530</v>
      </c>
      <c r="B518" t="s">
        <v>1531</v>
      </c>
      <c r="C518" t="s">
        <v>1532</v>
      </c>
      <c r="D518" t="s">
        <v>15</v>
      </c>
      <c r="E518" t="s">
        <v>54</v>
      </c>
      <c r="F518" t="s">
        <v>41</v>
      </c>
      <c r="G518" t="s">
        <v>19</v>
      </c>
      <c r="H518">
        <f>Cleaned_Data!K518</f>
        <v>17.77</v>
      </c>
      <c r="I518" t="str">
        <f t="shared" si="24"/>
        <v>NO</v>
      </c>
      <c r="J518">
        <f>Cleaned_Data!J518</f>
        <v>8</v>
      </c>
      <c r="K518" t="str">
        <f t="shared" si="25"/>
        <v>2024-02</v>
      </c>
      <c r="L518">
        <f t="shared" si="26"/>
        <v>9.77</v>
      </c>
    </row>
    <row r="519" spans="1:12">
      <c r="A519" t="s">
        <v>1533</v>
      </c>
      <c r="B519" t="s">
        <v>1534</v>
      </c>
      <c r="C519" t="s">
        <v>1535</v>
      </c>
      <c r="D519" t="s">
        <v>23</v>
      </c>
      <c r="E519" t="s">
        <v>54</v>
      </c>
      <c r="F519" t="s">
        <v>60</v>
      </c>
      <c r="G519" t="s">
        <v>19</v>
      </c>
      <c r="H519">
        <f>Cleaned_Data!K519</f>
        <v>21.22</v>
      </c>
      <c r="I519" t="str">
        <f t="shared" si="24"/>
        <v>YES</v>
      </c>
      <c r="J519">
        <f>Cleaned_Data!J519</f>
        <v>24</v>
      </c>
      <c r="K519" t="str">
        <f t="shared" si="25"/>
        <v>2024-11</v>
      </c>
      <c r="L519">
        <f t="shared" si="26"/>
        <v>0</v>
      </c>
    </row>
    <row r="520" spans="1:12">
      <c r="A520" t="s">
        <v>1536</v>
      </c>
      <c r="B520" t="s">
        <v>1537</v>
      </c>
      <c r="C520" t="s">
        <v>1538</v>
      </c>
      <c r="D520" t="s">
        <v>15</v>
      </c>
      <c r="E520" t="s">
        <v>28</v>
      </c>
      <c r="F520" t="s">
        <v>36</v>
      </c>
      <c r="G520" t="s">
        <v>19</v>
      </c>
      <c r="H520">
        <f>Cleaned_Data!K520</f>
        <v>16.27</v>
      </c>
      <c r="I520" t="str">
        <f t="shared" si="24"/>
        <v>NO</v>
      </c>
      <c r="J520">
        <f>Cleaned_Data!J520</f>
        <v>8</v>
      </c>
      <c r="K520" t="str">
        <f t="shared" si="25"/>
        <v>2024-01</v>
      </c>
      <c r="L520">
        <f t="shared" si="26"/>
        <v>8.27</v>
      </c>
    </row>
    <row r="521" spans="1:12">
      <c r="A521" t="s">
        <v>1539</v>
      </c>
      <c r="B521" t="s">
        <v>1540</v>
      </c>
      <c r="C521" t="s">
        <v>1541</v>
      </c>
      <c r="D521" t="s">
        <v>23</v>
      </c>
      <c r="E521" t="s">
        <v>24</v>
      </c>
      <c r="F521" t="s">
        <v>60</v>
      </c>
      <c r="G521" t="s">
        <v>19</v>
      </c>
      <c r="H521">
        <f>Cleaned_Data!K521</f>
        <v>12.67</v>
      </c>
      <c r="I521" t="str">
        <f t="shared" si="24"/>
        <v>YES</v>
      </c>
      <c r="J521">
        <f>Cleaned_Data!J521</f>
        <v>24</v>
      </c>
      <c r="K521" t="str">
        <f t="shared" si="25"/>
        <v>2024-02</v>
      </c>
      <c r="L521">
        <f t="shared" si="26"/>
        <v>0</v>
      </c>
    </row>
    <row r="522" spans="1:12">
      <c r="A522" t="s">
        <v>1542</v>
      </c>
      <c r="B522" t="s">
        <v>1543</v>
      </c>
      <c r="C522" t="s">
        <v>1544</v>
      </c>
      <c r="D522" t="s">
        <v>23</v>
      </c>
      <c r="E522" t="s">
        <v>59</v>
      </c>
      <c r="F522" t="s">
        <v>60</v>
      </c>
      <c r="G522" t="s">
        <v>31</v>
      </c>
      <c r="H522">
        <f>Cleaned_Data!K522</f>
        <v>15.64</v>
      </c>
      <c r="I522" t="str">
        <f t="shared" si="24"/>
        <v>YES</v>
      </c>
      <c r="J522">
        <f>Cleaned_Data!J522</f>
        <v>24</v>
      </c>
      <c r="K522" t="str">
        <f t="shared" si="25"/>
        <v>2024-07</v>
      </c>
      <c r="L522">
        <f t="shared" si="26"/>
        <v>0</v>
      </c>
    </row>
    <row r="523" spans="1:12">
      <c r="A523" t="s">
        <v>1545</v>
      </c>
      <c r="B523" t="s">
        <v>1546</v>
      </c>
      <c r="D523" t="s">
        <v>35</v>
      </c>
      <c r="E523" t="s">
        <v>54</v>
      </c>
      <c r="F523" t="s">
        <v>41</v>
      </c>
      <c r="G523" t="s">
        <v>63</v>
      </c>
      <c r="H523">
        <f>Cleaned_Data!K523</f>
        <v>0</v>
      </c>
      <c r="I523" t="str">
        <f t="shared" si="24"/>
        <v/>
      </c>
      <c r="J523">
        <f>Cleaned_Data!J523</f>
        <v>48</v>
      </c>
      <c r="K523" t="str">
        <f t="shared" si="25"/>
        <v>2024-05</v>
      </c>
      <c r="L523">
        <f t="shared" si="26"/>
        <v>0</v>
      </c>
    </row>
    <row r="524" spans="1:12">
      <c r="A524" t="s">
        <v>1547</v>
      </c>
      <c r="B524" t="s">
        <v>1548</v>
      </c>
      <c r="D524" t="s">
        <v>23</v>
      </c>
      <c r="E524" t="s">
        <v>28</v>
      </c>
      <c r="F524" t="s">
        <v>60</v>
      </c>
      <c r="G524" t="s">
        <v>63</v>
      </c>
      <c r="H524">
        <f>Cleaned_Data!K524</f>
        <v>0</v>
      </c>
      <c r="I524" t="str">
        <f t="shared" si="24"/>
        <v/>
      </c>
      <c r="J524">
        <f>Cleaned_Data!J524</f>
        <v>24</v>
      </c>
      <c r="K524" t="str">
        <f t="shared" si="25"/>
        <v>2024-07</v>
      </c>
      <c r="L524">
        <f t="shared" si="26"/>
        <v>0</v>
      </c>
    </row>
    <row r="525" spans="1:12">
      <c r="A525" t="s">
        <v>1549</v>
      </c>
      <c r="B525" t="s">
        <v>1550</v>
      </c>
      <c r="C525" t="s">
        <v>1551</v>
      </c>
      <c r="D525" t="s">
        <v>23</v>
      </c>
      <c r="E525" t="s">
        <v>24</v>
      </c>
      <c r="F525" t="s">
        <v>17</v>
      </c>
      <c r="G525" t="s">
        <v>19</v>
      </c>
      <c r="H525">
        <f>Cleaned_Data!K525</f>
        <v>19.920000000000002</v>
      </c>
      <c r="I525" t="str">
        <f t="shared" si="24"/>
        <v>YES</v>
      </c>
      <c r="J525">
        <f>Cleaned_Data!J525</f>
        <v>24</v>
      </c>
      <c r="K525" t="str">
        <f t="shared" si="25"/>
        <v>2024-11</v>
      </c>
      <c r="L525">
        <f t="shared" si="26"/>
        <v>0</v>
      </c>
    </row>
    <row r="526" spans="1:12">
      <c r="A526" t="s">
        <v>1552</v>
      </c>
      <c r="B526" t="s">
        <v>1553</v>
      </c>
      <c r="C526" t="s">
        <v>1554</v>
      </c>
      <c r="D526" t="s">
        <v>23</v>
      </c>
      <c r="E526" t="s">
        <v>28</v>
      </c>
      <c r="F526" t="s">
        <v>36</v>
      </c>
      <c r="G526" t="s">
        <v>31</v>
      </c>
      <c r="H526">
        <f>Cleaned_Data!K526</f>
        <v>13.06</v>
      </c>
      <c r="I526" t="str">
        <f t="shared" si="24"/>
        <v>YES</v>
      </c>
      <c r="J526">
        <f>Cleaned_Data!J526</f>
        <v>24</v>
      </c>
      <c r="K526" t="str">
        <f t="shared" si="25"/>
        <v>2024-12</v>
      </c>
      <c r="L526">
        <f t="shared" si="26"/>
        <v>0</v>
      </c>
    </row>
    <row r="527" spans="1:12">
      <c r="A527" t="s">
        <v>1555</v>
      </c>
      <c r="B527" t="s">
        <v>1556</v>
      </c>
      <c r="C527" t="s">
        <v>1557</v>
      </c>
      <c r="D527" t="s">
        <v>23</v>
      </c>
      <c r="E527" t="s">
        <v>54</v>
      </c>
      <c r="F527" t="s">
        <v>29</v>
      </c>
      <c r="G527" t="s">
        <v>19</v>
      </c>
      <c r="H527">
        <f>Cleaned_Data!K527</f>
        <v>15.69</v>
      </c>
      <c r="I527" t="str">
        <f t="shared" si="24"/>
        <v>YES</v>
      </c>
      <c r="J527">
        <f>Cleaned_Data!J527</f>
        <v>24</v>
      </c>
      <c r="K527" t="str">
        <f t="shared" si="25"/>
        <v>2024-05</v>
      </c>
      <c r="L527">
        <f t="shared" si="26"/>
        <v>0</v>
      </c>
    </row>
    <row r="528" spans="1:12">
      <c r="A528" t="s">
        <v>1558</v>
      </c>
      <c r="B528" t="s">
        <v>1559</v>
      </c>
      <c r="D528" t="s">
        <v>23</v>
      </c>
      <c r="E528" t="s">
        <v>54</v>
      </c>
      <c r="F528" t="s">
        <v>60</v>
      </c>
      <c r="G528" t="s">
        <v>46</v>
      </c>
      <c r="H528">
        <f>Cleaned_Data!K528</f>
        <v>0</v>
      </c>
      <c r="I528" t="str">
        <f t="shared" si="24"/>
        <v/>
      </c>
      <c r="J528">
        <f>Cleaned_Data!J528</f>
        <v>24</v>
      </c>
      <c r="K528" t="str">
        <f t="shared" si="25"/>
        <v>2024-11</v>
      </c>
      <c r="L528">
        <f t="shared" si="26"/>
        <v>0</v>
      </c>
    </row>
    <row r="529" spans="1:12">
      <c r="A529" t="s">
        <v>1560</v>
      </c>
      <c r="B529" t="s">
        <v>1561</v>
      </c>
      <c r="C529" t="s">
        <v>1562</v>
      </c>
      <c r="D529" t="s">
        <v>23</v>
      </c>
      <c r="E529" t="s">
        <v>28</v>
      </c>
      <c r="F529" t="s">
        <v>60</v>
      </c>
      <c r="G529" t="s">
        <v>19</v>
      </c>
      <c r="H529">
        <f>Cleaned_Data!K529</f>
        <v>12.27</v>
      </c>
      <c r="I529" t="str">
        <f t="shared" si="24"/>
        <v>YES</v>
      </c>
      <c r="J529">
        <f>Cleaned_Data!J529</f>
        <v>24</v>
      </c>
      <c r="K529" t="str">
        <f t="shared" si="25"/>
        <v>2024-06</v>
      </c>
      <c r="L529">
        <f t="shared" si="26"/>
        <v>0</v>
      </c>
    </row>
    <row r="530" spans="1:12">
      <c r="A530" t="s">
        <v>1563</v>
      </c>
      <c r="B530" t="s">
        <v>1564</v>
      </c>
      <c r="C530" t="s">
        <v>1565</v>
      </c>
      <c r="D530" t="s">
        <v>15</v>
      </c>
      <c r="E530" t="s">
        <v>16</v>
      </c>
      <c r="F530" t="s">
        <v>17</v>
      </c>
      <c r="G530" t="s">
        <v>19</v>
      </c>
      <c r="H530">
        <f>Cleaned_Data!K530</f>
        <v>6.12</v>
      </c>
      <c r="I530" t="str">
        <f t="shared" si="24"/>
        <v>YES</v>
      </c>
      <c r="J530">
        <f>Cleaned_Data!J530</f>
        <v>8</v>
      </c>
      <c r="K530" t="str">
        <f t="shared" si="25"/>
        <v>2024-08</v>
      </c>
      <c r="L530">
        <f t="shared" si="26"/>
        <v>0</v>
      </c>
    </row>
    <row r="531" spans="1:12">
      <c r="A531" t="s">
        <v>1566</v>
      </c>
      <c r="B531" t="s">
        <v>1567</v>
      </c>
      <c r="C531" t="s">
        <v>1568</v>
      </c>
      <c r="D531" t="s">
        <v>15</v>
      </c>
      <c r="E531" t="s">
        <v>28</v>
      </c>
      <c r="F531" t="s">
        <v>29</v>
      </c>
      <c r="G531" t="s">
        <v>31</v>
      </c>
      <c r="H531">
        <f>Cleaned_Data!K531</f>
        <v>1.1499999999999999</v>
      </c>
      <c r="I531" t="str">
        <f t="shared" si="24"/>
        <v>YES</v>
      </c>
      <c r="J531">
        <f>Cleaned_Data!J531</f>
        <v>8</v>
      </c>
      <c r="K531" t="str">
        <f t="shared" si="25"/>
        <v>2024-02</v>
      </c>
      <c r="L531">
        <f t="shared" si="26"/>
        <v>0</v>
      </c>
    </row>
    <row r="532" spans="1:12">
      <c r="A532" t="s">
        <v>1569</v>
      </c>
      <c r="B532" t="s">
        <v>1570</v>
      </c>
      <c r="D532" t="s">
        <v>158</v>
      </c>
      <c r="E532" t="s">
        <v>16</v>
      </c>
      <c r="F532" t="s">
        <v>17</v>
      </c>
      <c r="G532" t="s">
        <v>63</v>
      </c>
      <c r="H532">
        <f>Cleaned_Data!K532</f>
        <v>0</v>
      </c>
      <c r="I532" t="str">
        <f t="shared" si="24"/>
        <v/>
      </c>
      <c r="J532">
        <f>Cleaned_Data!J532</f>
        <v>4</v>
      </c>
      <c r="K532" t="str">
        <f t="shared" si="25"/>
        <v>2024-09</v>
      </c>
      <c r="L532">
        <f t="shared" si="26"/>
        <v>0</v>
      </c>
    </row>
    <row r="533" spans="1:12">
      <c r="A533" t="s">
        <v>1571</v>
      </c>
      <c r="B533" t="s">
        <v>1572</v>
      </c>
      <c r="C533" t="s">
        <v>1573</v>
      </c>
      <c r="D533" t="s">
        <v>158</v>
      </c>
      <c r="E533" t="s">
        <v>28</v>
      </c>
      <c r="F533" t="s">
        <v>29</v>
      </c>
      <c r="G533" t="s">
        <v>31</v>
      </c>
      <c r="H533">
        <f>Cleaned_Data!K533</f>
        <v>3.56</v>
      </c>
      <c r="I533" t="str">
        <f t="shared" si="24"/>
        <v>YES</v>
      </c>
      <c r="J533">
        <f>Cleaned_Data!J533</f>
        <v>4</v>
      </c>
      <c r="K533" t="str">
        <f t="shared" si="25"/>
        <v>2024-06</v>
      </c>
      <c r="L533">
        <f t="shared" si="26"/>
        <v>0</v>
      </c>
    </row>
    <row r="534" spans="1:12">
      <c r="A534" t="s">
        <v>1574</v>
      </c>
      <c r="B534" t="s">
        <v>1575</v>
      </c>
      <c r="D534" t="s">
        <v>23</v>
      </c>
      <c r="E534" t="s">
        <v>16</v>
      </c>
      <c r="F534" t="s">
        <v>60</v>
      </c>
      <c r="G534" t="s">
        <v>63</v>
      </c>
      <c r="H534">
        <f>Cleaned_Data!K534</f>
        <v>0</v>
      </c>
      <c r="I534" t="str">
        <f t="shared" si="24"/>
        <v/>
      </c>
      <c r="J534">
        <f>Cleaned_Data!J534</f>
        <v>24</v>
      </c>
      <c r="K534" t="str">
        <f t="shared" si="25"/>
        <v>2024-09</v>
      </c>
      <c r="L534">
        <f t="shared" si="26"/>
        <v>0</v>
      </c>
    </row>
    <row r="535" spans="1:12">
      <c r="A535" t="s">
        <v>1576</v>
      </c>
      <c r="B535" t="s">
        <v>1577</v>
      </c>
      <c r="C535" t="s">
        <v>1578</v>
      </c>
      <c r="D535" t="s">
        <v>15</v>
      </c>
      <c r="E535" t="s">
        <v>28</v>
      </c>
      <c r="F535" t="s">
        <v>36</v>
      </c>
      <c r="G535" t="s">
        <v>31</v>
      </c>
      <c r="H535">
        <f>Cleaned_Data!K535</f>
        <v>16.48</v>
      </c>
      <c r="I535" t="str">
        <f t="shared" si="24"/>
        <v>NO</v>
      </c>
      <c r="J535">
        <f>Cleaned_Data!J535</f>
        <v>8</v>
      </c>
      <c r="K535" t="str">
        <f t="shared" si="25"/>
        <v>2024-11</v>
      </c>
      <c r="L535">
        <f t="shared" si="26"/>
        <v>8.48</v>
      </c>
    </row>
    <row r="536" spans="1:12">
      <c r="A536" t="s">
        <v>1579</v>
      </c>
      <c r="B536" t="s">
        <v>1580</v>
      </c>
      <c r="C536" t="s">
        <v>1581</v>
      </c>
      <c r="D536" t="s">
        <v>23</v>
      </c>
      <c r="E536" t="s">
        <v>28</v>
      </c>
      <c r="F536" t="s">
        <v>17</v>
      </c>
      <c r="G536" t="s">
        <v>19</v>
      </c>
      <c r="H536">
        <f>Cleaned_Data!K536</f>
        <v>7.28</v>
      </c>
      <c r="I536" t="str">
        <f t="shared" si="24"/>
        <v>YES</v>
      </c>
      <c r="J536">
        <f>Cleaned_Data!J536</f>
        <v>24</v>
      </c>
      <c r="K536" t="str">
        <f t="shared" si="25"/>
        <v>2024-10</v>
      </c>
      <c r="L536">
        <f t="shared" si="26"/>
        <v>0</v>
      </c>
    </row>
    <row r="537" spans="1:12">
      <c r="A537" t="s">
        <v>1582</v>
      </c>
      <c r="B537" t="s">
        <v>1583</v>
      </c>
      <c r="C537" t="s">
        <v>1584</v>
      </c>
      <c r="D537" t="s">
        <v>158</v>
      </c>
      <c r="E537" t="s">
        <v>28</v>
      </c>
      <c r="F537" t="s">
        <v>41</v>
      </c>
      <c r="G537" t="s">
        <v>31</v>
      </c>
      <c r="H537">
        <f>Cleaned_Data!K537</f>
        <v>1.08</v>
      </c>
      <c r="I537" t="str">
        <f t="shared" si="24"/>
        <v>YES</v>
      </c>
      <c r="J537">
        <f>Cleaned_Data!J537</f>
        <v>4</v>
      </c>
      <c r="K537" t="str">
        <f t="shared" si="25"/>
        <v>2024-03</v>
      </c>
      <c r="L537">
        <f t="shared" si="26"/>
        <v>0</v>
      </c>
    </row>
    <row r="538" spans="1:12">
      <c r="A538" t="s">
        <v>1585</v>
      </c>
      <c r="B538" t="s">
        <v>1586</v>
      </c>
      <c r="C538" t="s">
        <v>1587</v>
      </c>
      <c r="D538" t="s">
        <v>158</v>
      </c>
      <c r="E538" t="s">
        <v>24</v>
      </c>
      <c r="F538" t="s">
        <v>29</v>
      </c>
      <c r="G538" t="s">
        <v>31</v>
      </c>
      <c r="H538">
        <f>Cleaned_Data!K538</f>
        <v>6.92</v>
      </c>
      <c r="I538" t="str">
        <f t="shared" si="24"/>
        <v>NO</v>
      </c>
      <c r="J538">
        <f>Cleaned_Data!J538</f>
        <v>4</v>
      </c>
      <c r="K538" t="str">
        <f t="shared" si="25"/>
        <v>2024-09</v>
      </c>
      <c r="L538">
        <f t="shared" si="26"/>
        <v>2.92</v>
      </c>
    </row>
    <row r="539" spans="1:12">
      <c r="A539" t="s">
        <v>1588</v>
      </c>
      <c r="B539" t="s">
        <v>1589</v>
      </c>
      <c r="C539" t="s">
        <v>1590</v>
      </c>
      <c r="D539" t="s">
        <v>15</v>
      </c>
      <c r="E539" t="s">
        <v>59</v>
      </c>
      <c r="F539" t="s">
        <v>41</v>
      </c>
      <c r="G539" t="s">
        <v>31</v>
      </c>
      <c r="H539">
        <f>Cleaned_Data!K539</f>
        <v>3.57</v>
      </c>
      <c r="I539" t="str">
        <f t="shared" si="24"/>
        <v>YES</v>
      </c>
      <c r="J539">
        <f>Cleaned_Data!J539</f>
        <v>8</v>
      </c>
      <c r="K539" t="str">
        <f t="shared" si="25"/>
        <v>2024-04</v>
      </c>
      <c r="L539">
        <f t="shared" si="26"/>
        <v>0</v>
      </c>
    </row>
    <row r="540" spans="1:12">
      <c r="A540" t="s">
        <v>1591</v>
      </c>
      <c r="B540" t="s">
        <v>1592</v>
      </c>
      <c r="D540" t="s">
        <v>23</v>
      </c>
      <c r="E540" t="s">
        <v>28</v>
      </c>
      <c r="F540" t="s">
        <v>36</v>
      </c>
      <c r="G540" t="s">
        <v>63</v>
      </c>
      <c r="H540">
        <f>Cleaned_Data!K540</f>
        <v>0</v>
      </c>
      <c r="I540" t="str">
        <f t="shared" si="24"/>
        <v/>
      </c>
      <c r="J540">
        <f>Cleaned_Data!J540</f>
        <v>24</v>
      </c>
      <c r="K540" t="str">
        <f t="shared" si="25"/>
        <v>2024-01</v>
      </c>
      <c r="L540">
        <f t="shared" si="26"/>
        <v>0</v>
      </c>
    </row>
    <row r="541" spans="1:12">
      <c r="A541" t="s">
        <v>1593</v>
      </c>
      <c r="B541" t="s">
        <v>1594</v>
      </c>
      <c r="C541" t="s">
        <v>1595</v>
      </c>
      <c r="D541" t="s">
        <v>23</v>
      </c>
      <c r="E541" t="s">
        <v>16</v>
      </c>
      <c r="F541" t="s">
        <v>29</v>
      </c>
      <c r="G541" t="s">
        <v>19</v>
      </c>
      <c r="H541">
        <f>Cleaned_Data!K541</f>
        <v>12.27</v>
      </c>
      <c r="I541" t="str">
        <f t="shared" si="24"/>
        <v>YES</v>
      </c>
      <c r="J541">
        <f>Cleaned_Data!J541</f>
        <v>24</v>
      </c>
      <c r="K541" t="str">
        <f t="shared" si="25"/>
        <v>2024-12</v>
      </c>
      <c r="L541">
        <f t="shared" si="26"/>
        <v>0</v>
      </c>
    </row>
    <row r="542" spans="1:12">
      <c r="A542" t="s">
        <v>1596</v>
      </c>
      <c r="B542" t="s">
        <v>1597</v>
      </c>
      <c r="C542" t="s">
        <v>1598</v>
      </c>
      <c r="D542" t="s">
        <v>35</v>
      </c>
      <c r="E542" t="s">
        <v>28</v>
      </c>
      <c r="F542" t="s">
        <v>41</v>
      </c>
      <c r="G542" t="s">
        <v>31</v>
      </c>
      <c r="H542">
        <f>Cleaned_Data!K542</f>
        <v>15.32</v>
      </c>
      <c r="I542" t="str">
        <f t="shared" si="24"/>
        <v>YES</v>
      </c>
      <c r="J542">
        <f>Cleaned_Data!J542</f>
        <v>48</v>
      </c>
      <c r="K542" t="str">
        <f t="shared" si="25"/>
        <v>2024-05</v>
      </c>
      <c r="L542">
        <f t="shared" si="26"/>
        <v>0</v>
      </c>
    </row>
    <row r="543" spans="1:12">
      <c r="A543" t="s">
        <v>1599</v>
      </c>
      <c r="B543" t="s">
        <v>1600</v>
      </c>
      <c r="C543" t="s">
        <v>1601</v>
      </c>
      <c r="D543" t="s">
        <v>35</v>
      </c>
      <c r="E543" t="s">
        <v>54</v>
      </c>
      <c r="F543" t="s">
        <v>17</v>
      </c>
      <c r="G543" t="s">
        <v>19</v>
      </c>
      <c r="H543">
        <f>Cleaned_Data!K543</f>
        <v>26.65</v>
      </c>
      <c r="I543" t="str">
        <f t="shared" si="24"/>
        <v>YES</v>
      </c>
      <c r="J543">
        <f>Cleaned_Data!J543</f>
        <v>48</v>
      </c>
      <c r="K543" t="str">
        <f t="shared" si="25"/>
        <v>2024-11</v>
      </c>
      <c r="L543">
        <f t="shared" si="26"/>
        <v>0</v>
      </c>
    </row>
    <row r="544" spans="1:12">
      <c r="A544" t="s">
        <v>1602</v>
      </c>
      <c r="B544" t="s">
        <v>1603</v>
      </c>
      <c r="C544" t="s">
        <v>1604</v>
      </c>
      <c r="D544" t="s">
        <v>15</v>
      </c>
      <c r="E544" t="s">
        <v>24</v>
      </c>
      <c r="F544" t="s">
        <v>29</v>
      </c>
      <c r="G544" t="s">
        <v>31</v>
      </c>
      <c r="H544">
        <f>Cleaned_Data!K544</f>
        <v>2.93</v>
      </c>
      <c r="I544" t="str">
        <f t="shared" si="24"/>
        <v>YES</v>
      </c>
      <c r="J544">
        <f>Cleaned_Data!J544</f>
        <v>8</v>
      </c>
      <c r="K544" t="str">
        <f t="shared" si="25"/>
        <v>2024-04</v>
      </c>
      <c r="L544">
        <f t="shared" si="26"/>
        <v>0</v>
      </c>
    </row>
    <row r="545" spans="1:12">
      <c r="A545" t="s">
        <v>1605</v>
      </c>
      <c r="B545" t="s">
        <v>1606</v>
      </c>
      <c r="C545" t="s">
        <v>1607</v>
      </c>
      <c r="D545" t="s">
        <v>15</v>
      </c>
      <c r="E545" t="s">
        <v>59</v>
      </c>
      <c r="F545" t="s">
        <v>17</v>
      </c>
      <c r="G545" t="s">
        <v>31</v>
      </c>
      <c r="H545">
        <f>Cleaned_Data!K545</f>
        <v>2.4500000000000002</v>
      </c>
      <c r="I545" t="str">
        <f t="shared" si="24"/>
        <v>YES</v>
      </c>
      <c r="J545">
        <f>Cleaned_Data!J545</f>
        <v>8</v>
      </c>
      <c r="K545" t="str">
        <f t="shared" si="25"/>
        <v>2024-08</v>
      </c>
      <c r="L545">
        <f t="shared" si="26"/>
        <v>0</v>
      </c>
    </row>
    <row r="546" spans="1:12">
      <c r="A546" t="s">
        <v>1608</v>
      </c>
      <c r="B546" t="s">
        <v>1609</v>
      </c>
      <c r="C546" t="s">
        <v>1610</v>
      </c>
      <c r="D546" t="s">
        <v>15</v>
      </c>
      <c r="E546" t="s">
        <v>28</v>
      </c>
      <c r="F546" t="s">
        <v>60</v>
      </c>
      <c r="G546" t="s">
        <v>19</v>
      </c>
      <c r="H546">
        <f>Cleaned_Data!K546</f>
        <v>7.06</v>
      </c>
      <c r="I546" t="str">
        <f t="shared" si="24"/>
        <v>YES</v>
      </c>
      <c r="J546">
        <f>Cleaned_Data!J546</f>
        <v>8</v>
      </c>
      <c r="K546" t="str">
        <f t="shared" si="25"/>
        <v>2024-03</v>
      </c>
      <c r="L546">
        <f t="shared" si="26"/>
        <v>0</v>
      </c>
    </row>
    <row r="547" spans="1:12">
      <c r="A547" t="s">
        <v>1611</v>
      </c>
      <c r="B547" t="s">
        <v>1612</v>
      </c>
      <c r="C547" t="s">
        <v>1613</v>
      </c>
      <c r="D547" t="s">
        <v>23</v>
      </c>
      <c r="E547" t="s">
        <v>24</v>
      </c>
      <c r="F547" t="s">
        <v>60</v>
      </c>
      <c r="G547" t="s">
        <v>31</v>
      </c>
      <c r="H547">
        <f>Cleaned_Data!K547</f>
        <v>8.83</v>
      </c>
      <c r="I547" t="str">
        <f t="shared" si="24"/>
        <v>YES</v>
      </c>
      <c r="J547">
        <f>Cleaned_Data!J547</f>
        <v>24</v>
      </c>
      <c r="K547" t="str">
        <f t="shared" si="25"/>
        <v>2024-09</v>
      </c>
      <c r="L547">
        <f t="shared" si="26"/>
        <v>0</v>
      </c>
    </row>
    <row r="548" spans="1:12">
      <c r="A548" t="s">
        <v>1614</v>
      </c>
      <c r="B548" t="s">
        <v>1615</v>
      </c>
      <c r="D548" t="s">
        <v>35</v>
      </c>
      <c r="E548" t="s">
        <v>16</v>
      </c>
      <c r="F548" t="s">
        <v>41</v>
      </c>
      <c r="G548" t="s">
        <v>46</v>
      </c>
      <c r="H548">
        <f>Cleaned_Data!K548</f>
        <v>0</v>
      </c>
      <c r="I548" t="str">
        <f t="shared" si="24"/>
        <v/>
      </c>
      <c r="J548">
        <f>Cleaned_Data!J548</f>
        <v>48</v>
      </c>
      <c r="K548" t="str">
        <f t="shared" si="25"/>
        <v>2024-12</v>
      </c>
      <c r="L548">
        <f t="shared" si="26"/>
        <v>0</v>
      </c>
    </row>
    <row r="549" spans="1:12">
      <c r="A549" t="s">
        <v>1616</v>
      </c>
      <c r="B549" t="s">
        <v>1617</v>
      </c>
      <c r="C549" t="s">
        <v>1618</v>
      </c>
      <c r="D549" t="s">
        <v>23</v>
      </c>
      <c r="E549" t="s">
        <v>28</v>
      </c>
      <c r="F549" t="s">
        <v>60</v>
      </c>
      <c r="G549" t="s">
        <v>19</v>
      </c>
      <c r="H549">
        <f>Cleaned_Data!K549</f>
        <v>12.16</v>
      </c>
      <c r="I549" t="str">
        <f t="shared" si="24"/>
        <v>YES</v>
      </c>
      <c r="J549">
        <f>Cleaned_Data!J549</f>
        <v>24</v>
      </c>
      <c r="K549" t="str">
        <f t="shared" si="25"/>
        <v>2024-12</v>
      </c>
      <c r="L549">
        <f t="shared" si="26"/>
        <v>0</v>
      </c>
    </row>
    <row r="550" spans="1:12">
      <c r="A550" t="s">
        <v>1619</v>
      </c>
      <c r="B550" t="s">
        <v>1620</v>
      </c>
      <c r="D550" t="s">
        <v>15</v>
      </c>
      <c r="E550" t="s">
        <v>16</v>
      </c>
      <c r="F550" t="s">
        <v>17</v>
      </c>
      <c r="G550" t="s">
        <v>46</v>
      </c>
      <c r="H550">
        <f>Cleaned_Data!K550</f>
        <v>0</v>
      </c>
      <c r="I550" t="str">
        <f t="shared" si="24"/>
        <v/>
      </c>
      <c r="J550">
        <f>Cleaned_Data!J550</f>
        <v>8</v>
      </c>
      <c r="K550" t="str">
        <f t="shared" si="25"/>
        <v>2024-07</v>
      </c>
      <c r="L550">
        <f t="shared" si="26"/>
        <v>0</v>
      </c>
    </row>
    <row r="551" spans="1:12">
      <c r="A551" t="s">
        <v>1621</v>
      </c>
      <c r="B551" t="s">
        <v>1622</v>
      </c>
      <c r="C551" t="s">
        <v>1623</v>
      </c>
      <c r="D551" t="s">
        <v>23</v>
      </c>
      <c r="E551" t="s">
        <v>28</v>
      </c>
      <c r="F551" t="s">
        <v>36</v>
      </c>
      <c r="G551" t="s">
        <v>31</v>
      </c>
      <c r="H551">
        <f>Cleaned_Data!K551</f>
        <v>4.46</v>
      </c>
      <c r="I551" t="str">
        <f t="shared" si="24"/>
        <v>YES</v>
      </c>
      <c r="J551">
        <f>Cleaned_Data!J551</f>
        <v>24</v>
      </c>
      <c r="K551" t="str">
        <f t="shared" si="25"/>
        <v>2024-09</v>
      </c>
      <c r="L551">
        <f t="shared" si="26"/>
        <v>0</v>
      </c>
    </row>
    <row r="552" spans="1:12">
      <c r="A552" t="s">
        <v>1624</v>
      </c>
      <c r="B552" t="s">
        <v>1625</v>
      </c>
      <c r="C552" t="s">
        <v>1626</v>
      </c>
      <c r="D552" t="s">
        <v>15</v>
      </c>
      <c r="E552" t="s">
        <v>28</v>
      </c>
      <c r="F552" t="s">
        <v>17</v>
      </c>
      <c r="G552" t="s">
        <v>19</v>
      </c>
      <c r="H552">
        <f>Cleaned_Data!K552</f>
        <v>3.29</v>
      </c>
      <c r="I552" t="str">
        <f t="shared" si="24"/>
        <v>YES</v>
      </c>
      <c r="J552">
        <f>Cleaned_Data!J552</f>
        <v>8</v>
      </c>
      <c r="K552" t="str">
        <f t="shared" si="25"/>
        <v>2024-12</v>
      </c>
      <c r="L552">
        <f t="shared" si="26"/>
        <v>0</v>
      </c>
    </row>
    <row r="553" spans="1:12">
      <c r="A553" t="s">
        <v>1627</v>
      </c>
      <c r="B553" t="s">
        <v>1628</v>
      </c>
      <c r="C553" t="s">
        <v>1629</v>
      </c>
      <c r="D553" t="s">
        <v>23</v>
      </c>
      <c r="E553" t="s">
        <v>16</v>
      </c>
      <c r="F553" t="s">
        <v>29</v>
      </c>
      <c r="G553" t="s">
        <v>19</v>
      </c>
      <c r="H553">
        <f>Cleaned_Data!K553</f>
        <v>5.08</v>
      </c>
      <c r="I553" t="str">
        <f t="shared" si="24"/>
        <v>YES</v>
      </c>
      <c r="J553">
        <f>Cleaned_Data!J553</f>
        <v>24</v>
      </c>
      <c r="K553" t="str">
        <f t="shared" si="25"/>
        <v>2024-03</v>
      </c>
      <c r="L553">
        <f t="shared" si="26"/>
        <v>0</v>
      </c>
    </row>
    <row r="554" spans="1:12">
      <c r="A554" t="s">
        <v>1630</v>
      </c>
      <c r="B554" t="s">
        <v>1631</v>
      </c>
      <c r="C554" t="s">
        <v>1632</v>
      </c>
      <c r="D554" t="s">
        <v>35</v>
      </c>
      <c r="E554" t="s">
        <v>16</v>
      </c>
      <c r="F554" t="s">
        <v>17</v>
      </c>
      <c r="G554" t="s">
        <v>19</v>
      </c>
      <c r="H554">
        <f>Cleaned_Data!K554</f>
        <v>10.75</v>
      </c>
      <c r="I554" t="str">
        <f t="shared" si="24"/>
        <v>YES</v>
      </c>
      <c r="J554">
        <f>Cleaned_Data!J554</f>
        <v>48</v>
      </c>
      <c r="K554" t="str">
        <f t="shared" si="25"/>
        <v>2024-03</v>
      </c>
      <c r="L554">
        <f t="shared" si="26"/>
        <v>0</v>
      </c>
    </row>
    <row r="555" spans="1:12">
      <c r="A555" t="s">
        <v>1633</v>
      </c>
      <c r="B555" t="s">
        <v>1634</v>
      </c>
      <c r="C555" t="s">
        <v>1635</v>
      </c>
      <c r="D555" t="s">
        <v>23</v>
      </c>
      <c r="E555" t="s">
        <v>28</v>
      </c>
      <c r="F555" t="s">
        <v>41</v>
      </c>
      <c r="G555" t="s">
        <v>19</v>
      </c>
      <c r="H555">
        <f>Cleaned_Data!K555</f>
        <v>54.71</v>
      </c>
      <c r="I555" t="str">
        <f t="shared" si="24"/>
        <v>NO</v>
      </c>
      <c r="J555">
        <f>Cleaned_Data!J555</f>
        <v>24</v>
      </c>
      <c r="K555" t="str">
        <f t="shared" si="25"/>
        <v>2024-02</v>
      </c>
      <c r="L555">
        <f t="shared" si="26"/>
        <v>30.71</v>
      </c>
    </row>
    <row r="556" spans="1:12">
      <c r="A556" t="s">
        <v>1636</v>
      </c>
      <c r="B556" t="s">
        <v>1637</v>
      </c>
      <c r="C556" t="s">
        <v>1638</v>
      </c>
      <c r="D556" t="s">
        <v>23</v>
      </c>
      <c r="E556" t="s">
        <v>28</v>
      </c>
      <c r="F556" t="s">
        <v>60</v>
      </c>
      <c r="G556" t="s">
        <v>19</v>
      </c>
      <c r="H556">
        <f>Cleaned_Data!K556</f>
        <v>5.73</v>
      </c>
      <c r="I556" t="str">
        <f t="shared" si="24"/>
        <v>YES</v>
      </c>
      <c r="J556">
        <f>Cleaned_Data!J556</f>
        <v>24</v>
      </c>
      <c r="K556" t="str">
        <f t="shared" si="25"/>
        <v>2024-05</v>
      </c>
      <c r="L556">
        <f t="shared" si="26"/>
        <v>0</v>
      </c>
    </row>
    <row r="557" spans="1:12">
      <c r="A557" t="s">
        <v>1639</v>
      </c>
      <c r="B557" t="s">
        <v>1640</v>
      </c>
      <c r="C557" t="s">
        <v>1641</v>
      </c>
      <c r="D557" t="s">
        <v>23</v>
      </c>
      <c r="E557" t="s">
        <v>28</v>
      </c>
      <c r="F557" t="s">
        <v>41</v>
      </c>
      <c r="G557" t="s">
        <v>19</v>
      </c>
      <c r="H557">
        <f>Cleaned_Data!K557</f>
        <v>13.83</v>
      </c>
      <c r="I557" t="str">
        <f t="shared" si="24"/>
        <v>YES</v>
      </c>
      <c r="J557">
        <f>Cleaned_Data!J557</f>
        <v>24</v>
      </c>
      <c r="K557" t="str">
        <f t="shared" si="25"/>
        <v>2024-04</v>
      </c>
      <c r="L557">
        <f t="shared" si="26"/>
        <v>0</v>
      </c>
    </row>
    <row r="558" spans="1:12">
      <c r="A558" t="s">
        <v>1642</v>
      </c>
      <c r="B558" t="s">
        <v>1643</v>
      </c>
      <c r="D558" t="s">
        <v>15</v>
      </c>
      <c r="E558" t="s">
        <v>28</v>
      </c>
      <c r="F558" t="s">
        <v>29</v>
      </c>
      <c r="G558" t="s">
        <v>46</v>
      </c>
      <c r="H558">
        <f>Cleaned_Data!K558</f>
        <v>0</v>
      </c>
      <c r="I558" t="str">
        <f t="shared" si="24"/>
        <v/>
      </c>
      <c r="J558">
        <f>Cleaned_Data!J558</f>
        <v>8</v>
      </c>
      <c r="K558" t="str">
        <f t="shared" si="25"/>
        <v>2024-04</v>
      </c>
      <c r="L558">
        <f t="shared" si="26"/>
        <v>0</v>
      </c>
    </row>
    <row r="559" spans="1:12">
      <c r="A559" t="s">
        <v>1644</v>
      </c>
      <c r="B559" t="s">
        <v>1645</v>
      </c>
      <c r="D559" t="s">
        <v>23</v>
      </c>
      <c r="E559" t="s">
        <v>54</v>
      </c>
      <c r="F559" t="s">
        <v>60</v>
      </c>
      <c r="G559" t="s">
        <v>46</v>
      </c>
      <c r="H559">
        <f>Cleaned_Data!K559</f>
        <v>0</v>
      </c>
      <c r="I559" t="str">
        <f t="shared" si="24"/>
        <v/>
      </c>
      <c r="J559">
        <f>Cleaned_Data!J559</f>
        <v>24</v>
      </c>
      <c r="K559" t="str">
        <f t="shared" si="25"/>
        <v>2024-03</v>
      </c>
      <c r="L559">
        <f t="shared" si="26"/>
        <v>0</v>
      </c>
    </row>
    <row r="560" spans="1:12">
      <c r="A560" t="s">
        <v>1646</v>
      </c>
      <c r="B560" t="s">
        <v>1647</v>
      </c>
      <c r="C560" t="s">
        <v>1648</v>
      </c>
      <c r="D560" t="s">
        <v>23</v>
      </c>
      <c r="E560" t="s">
        <v>54</v>
      </c>
      <c r="F560" t="s">
        <v>41</v>
      </c>
      <c r="G560" t="s">
        <v>19</v>
      </c>
      <c r="H560">
        <f>Cleaned_Data!K560</f>
        <v>14.92</v>
      </c>
      <c r="I560" t="str">
        <f t="shared" si="24"/>
        <v>YES</v>
      </c>
      <c r="J560">
        <f>Cleaned_Data!J560</f>
        <v>24</v>
      </c>
      <c r="K560" t="str">
        <f t="shared" si="25"/>
        <v>2024-04</v>
      </c>
      <c r="L560">
        <f t="shared" si="26"/>
        <v>0</v>
      </c>
    </row>
    <row r="561" spans="1:12">
      <c r="A561" t="s">
        <v>1649</v>
      </c>
      <c r="B561" t="s">
        <v>1650</v>
      </c>
      <c r="C561" t="s">
        <v>1651</v>
      </c>
      <c r="D561" t="s">
        <v>35</v>
      </c>
      <c r="E561" t="s">
        <v>54</v>
      </c>
      <c r="F561" t="s">
        <v>29</v>
      </c>
      <c r="G561" t="s">
        <v>31</v>
      </c>
      <c r="H561">
        <f>Cleaned_Data!K561</f>
        <v>39.44</v>
      </c>
      <c r="I561" t="str">
        <f t="shared" si="24"/>
        <v>YES</v>
      </c>
      <c r="J561">
        <f>Cleaned_Data!J561</f>
        <v>48</v>
      </c>
      <c r="K561" t="str">
        <f t="shared" si="25"/>
        <v>2024-02</v>
      </c>
      <c r="L561">
        <f t="shared" si="26"/>
        <v>0</v>
      </c>
    </row>
    <row r="562" spans="1:12">
      <c r="A562" t="s">
        <v>1652</v>
      </c>
      <c r="B562" t="s">
        <v>1653</v>
      </c>
      <c r="C562" t="s">
        <v>1654</v>
      </c>
      <c r="D562" t="s">
        <v>15</v>
      </c>
      <c r="E562" t="s">
        <v>28</v>
      </c>
      <c r="F562" t="s">
        <v>29</v>
      </c>
      <c r="G562" t="s">
        <v>19</v>
      </c>
      <c r="H562">
        <f>Cleaned_Data!K562</f>
        <v>2.64</v>
      </c>
      <c r="I562" t="str">
        <f t="shared" si="24"/>
        <v>YES</v>
      </c>
      <c r="J562">
        <f>Cleaned_Data!J562</f>
        <v>8</v>
      </c>
      <c r="K562" t="str">
        <f t="shared" si="25"/>
        <v>2024-03</v>
      </c>
      <c r="L562">
        <f t="shared" si="26"/>
        <v>0</v>
      </c>
    </row>
    <row r="563" spans="1:12">
      <c r="A563" t="s">
        <v>1655</v>
      </c>
      <c r="B563" t="s">
        <v>1656</v>
      </c>
      <c r="C563" t="s">
        <v>1657</v>
      </c>
      <c r="D563" t="s">
        <v>35</v>
      </c>
      <c r="E563" t="s">
        <v>16</v>
      </c>
      <c r="F563" t="s">
        <v>60</v>
      </c>
      <c r="G563" t="s">
        <v>19</v>
      </c>
      <c r="H563">
        <f>Cleaned_Data!K563</f>
        <v>5.74</v>
      </c>
      <c r="I563" t="str">
        <f t="shared" si="24"/>
        <v>YES</v>
      </c>
      <c r="J563">
        <f>Cleaned_Data!J563</f>
        <v>48</v>
      </c>
      <c r="K563" t="str">
        <f t="shared" si="25"/>
        <v>2024-12</v>
      </c>
      <c r="L563">
        <f t="shared" si="26"/>
        <v>0</v>
      </c>
    </row>
    <row r="564" spans="1:12">
      <c r="A564" t="s">
        <v>1658</v>
      </c>
      <c r="B564" t="s">
        <v>1659</v>
      </c>
      <c r="C564" t="s">
        <v>1660</v>
      </c>
      <c r="D564" t="s">
        <v>15</v>
      </c>
      <c r="E564" t="s">
        <v>16</v>
      </c>
      <c r="F564" t="s">
        <v>36</v>
      </c>
      <c r="G564" t="s">
        <v>19</v>
      </c>
      <c r="H564">
        <f>Cleaned_Data!K564</f>
        <v>1.23</v>
      </c>
      <c r="I564" t="str">
        <f t="shared" si="24"/>
        <v>YES</v>
      </c>
      <c r="J564">
        <f>Cleaned_Data!J564</f>
        <v>8</v>
      </c>
      <c r="K564" t="str">
        <f t="shared" si="25"/>
        <v>2024-09</v>
      </c>
      <c r="L564">
        <f t="shared" si="26"/>
        <v>0</v>
      </c>
    </row>
    <row r="565" spans="1:12">
      <c r="A565" t="s">
        <v>1661</v>
      </c>
      <c r="B565" t="s">
        <v>1662</v>
      </c>
      <c r="C565" t="s">
        <v>1663</v>
      </c>
      <c r="D565" t="s">
        <v>158</v>
      </c>
      <c r="E565" t="s">
        <v>16</v>
      </c>
      <c r="F565" t="s">
        <v>60</v>
      </c>
      <c r="G565" t="s">
        <v>19</v>
      </c>
      <c r="H565">
        <f>Cleaned_Data!K565</f>
        <v>0.69</v>
      </c>
      <c r="I565" t="str">
        <f t="shared" si="24"/>
        <v>YES</v>
      </c>
      <c r="J565">
        <f>Cleaned_Data!J565</f>
        <v>4</v>
      </c>
      <c r="K565" t="str">
        <f t="shared" si="25"/>
        <v>2024-08</v>
      </c>
      <c r="L565">
        <f t="shared" si="26"/>
        <v>0</v>
      </c>
    </row>
    <row r="566" spans="1:12">
      <c r="A566" t="s">
        <v>1664</v>
      </c>
      <c r="B566" t="s">
        <v>1665</v>
      </c>
      <c r="C566" t="s">
        <v>1666</v>
      </c>
      <c r="D566" t="s">
        <v>15</v>
      </c>
      <c r="E566" t="s">
        <v>28</v>
      </c>
      <c r="F566" t="s">
        <v>29</v>
      </c>
      <c r="G566" t="s">
        <v>31</v>
      </c>
      <c r="H566">
        <f>Cleaned_Data!K566</f>
        <v>6.5</v>
      </c>
      <c r="I566" t="str">
        <f t="shared" si="24"/>
        <v>YES</v>
      </c>
      <c r="J566">
        <f>Cleaned_Data!J566</f>
        <v>8</v>
      </c>
      <c r="K566" t="str">
        <f t="shared" si="25"/>
        <v>2024-05</v>
      </c>
      <c r="L566">
        <f t="shared" si="26"/>
        <v>0</v>
      </c>
    </row>
    <row r="567" spans="1:12">
      <c r="A567" t="s">
        <v>1667</v>
      </c>
      <c r="B567" t="s">
        <v>1668</v>
      </c>
      <c r="D567" t="s">
        <v>23</v>
      </c>
      <c r="E567" t="s">
        <v>59</v>
      </c>
      <c r="F567" t="s">
        <v>41</v>
      </c>
      <c r="G567" t="s">
        <v>46</v>
      </c>
      <c r="H567">
        <f>Cleaned_Data!K567</f>
        <v>0</v>
      </c>
      <c r="I567" t="str">
        <f t="shared" si="24"/>
        <v/>
      </c>
      <c r="J567">
        <f>Cleaned_Data!J567</f>
        <v>24</v>
      </c>
      <c r="K567" t="str">
        <f t="shared" si="25"/>
        <v>2024-09</v>
      </c>
      <c r="L567">
        <f t="shared" si="26"/>
        <v>0</v>
      </c>
    </row>
    <row r="568" spans="1:12">
      <c r="A568" t="s">
        <v>1669</v>
      </c>
      <c r="B568" t="s">
        <v>1670</v>
      </c>
      <c r="C568" t="s">
        <v>1671</v>
      </c>
      <c r="D568" t="s">
        <v>35</v>
      </c>
      <c r="E568" t="s">
        <v>28</v>
      </c>
      <c r="F568" t="s">
        <v>17</v>
      </c>
      <c r="G568" t="s">
        <v>19</v>
      </c>
      <c r="H568">
        <f>Cleaned_Data!K568</f>
        <v>23.43</v>
      </c>
      <c r="I568" t="str">
        <f t="shared" si="24"/>
        <v>YES</v>
      </c>
      <c r="J568">
        <f>Cleaned_Data!J568</f>
        <v>48</v>
      </c>
      <c r="K568" t="str">
        <f t="shared" si="25"/>
        <v>2024-07</v>
      </c>
      <c r="L568">
        <f t="shared" si="26"/>
        <v>0</v>
      </c>
    </row>
    <row r="569" spans="1:12">
      <c r="A569" t="s">
        <v>1672</v>
      </c>
      <c r="B569" t="s">
        <v>1673</v>
      </c>
      <c r="D569" t="s">
        <v>23</v>
      </c>
      <c r="E569" t="s">
        <v>28</v>
      </c>
      <c r="F569" t="s">
        <v>60</v>
      </c>
      <c r="G569" t="s">
        <v>63</v>
      </c>
      <c r="H569">
        <f>Cleaned_Data!K569</f>
        <v>0</v>
      </c>
      <c r="I569" t="str">
        <f t="shared" si="24"/>
        <v/>
      </c>
      <c r="J569">
        <f>Cleaned_Data!J569</f>
        <v>24</v>
      </c>
      <c r="K569" t="str">
        <f t="shared" si="25"/>
        <v>2024-12</v>
      </c>
      <c r="L569">
        <f t="shared" si="26"/>
        <v>0</v>
      </c>
    </row>
    <row r="570" spans="1:12">
      <c r="A570" t="s">
        <v>1674</v>
      </c>
      <c r="B570" t="s">
        <v>1675</v>
      </c>
      <c r="C570" t="s">
        <v>1676</v>
      </c>
      <c r="D570" t="s">
        <v>23</v>
      </c>
      <c r="E570" t="s">
        <v>16</v>
      </c>
      <c r="F570" t="s">
        <v>41</v>
      </c>
      <c r="G570" t="s">
        <v>19</v>
      </c>
      <c r="H570">
        <f>Cleaned_Data!K570</f>
        <v>8.59</v>
      </c>
      <c r="I570" t="str">
        <f t="shared" si="24"/>
        <v>YES</v>
      </c>
      <c r="J570">
        <f>Cleaned_Data!J570</f>
        <v>24</v>
      </c>
      <c r="K570" t="str">
        <f t="shared" si="25"/>
        <v>2024-07</v>
      </c>
      <c r="L570">
        <f t="shared" si="26"/>
        <v>0</v>
      </c>
    </row>
    <row r="571" spans="1:12">
      <c r="A571" t="s">
        <v>1677</v>
      </c>
      <c r="B571" t="s">
        <v>1678</v>
      </c>
      <c r="C571" t="s">
        <v>1679</v>
      </c>
      <c r="D571" t="s">
        <v>23</v>
      </c>
      <c r="E571" t="s">
        <v>24</v>
      </c>
      <c r="F571" t="s">
        <v>29</v>
      </c>
      <c r="G571" t="s">
        <v>19</v>
      </c>
      <c r="H571">
        <f>Cleaned_Data!K571</f>
        <v>12.44</v>
      </c>
      <c r="I571" t="str">
        <f t="shared" si="24"/>
        <v>YES</v>
      </c>
      <c r="J571">
        <f>Cleaned_Data!J571</f>
        <v>24</v>
      </c>
      <c r="K571" t="str">
        <f t="shared" si="25"/>
        <v>2024-11</v>
      </c>
      <c r="L571">
        <f t="shared" si="26"/>
        <v>0</v>
      </c>
    </row>
    <row r="572" spans="1:12">
      <c r="A572" t="s">
        <v>1680</v>
      </c>
      <c r="B572" t="s">
        <v>1681</v>
      </c>
      <c r="C572" t="s">
        <v>1682</v>
      </c>
      <c r="D572" t="s">
        <v>158</v>
      </c>
      <c r="E572" t="s">
        <v>28</v>
      </c>
      <c r="F572" t="s">
        <v>29</v>
      </c>
      <c r="G572" t="s">
        <v>19</v>
      </c>
      <c r="H572">
        <f>Cleaned_Data!K572</f>
        <v>1.67</v>
      </c>
      <c r="I572" t="str">
        <f t="shared" si="24"/>
        <v>YES</v>
      </c>
      <c r="J572">
        <f>Cleaned_Data!J572</f>
        <v>4</v>
      </c>
      <c r="K572" t="str">
        <f t="shared" si="25"/>
        <v>2024-04</v>
      </c>
      <c r="L572">
        <f t="shared" si="26"/>
        <v>0</v>
      </c>
    </row>
    <row r="573" spans="1:12">
      <c r="A573" t="s">
        <v>1683</v>
      </c>
      <c r="B573" t="s">
        <v>1684</v>
      </c>
      <c r="D573" t="s">
        <v>23</v>
      </c>
      <c r="E573" t="s">
        <v>28</v>
      </c>
      <c r="F573" t="s">
        <v>41</v>
      </c>
      <c r="G573" t="s">
        <v>63</v>
      </c>
      <c r="H573">
        <f>Cleaned_Data!K573</f>
        <v>0</v>
      </c>
      <c r="I573" t="str">
        <f t="shared" si="24"/>
        <v/>
      </c>
      <c r="J573">
        <f>Cleaned_Data!J573</f>
        <v>24</v>
      </c>
      <c r="K573" t="str">
        <f t="shared" si="25"/>
        <v>2024-08</v>
      </c>
      <c r="L573">
        <f t="shared" si="26"/>
        <v>0</v>
      </c>
    </row>
    <row r="574" spans="1:12">
      <c r="A574" t="s">
        <v>1685</v>
      </c>
      <c r="B574" t="s">
        <v>1686</v>
      </c>
      <c r="C574" t="s">
        <v>1687</v>
      </c>
      <c r="D574" t="s">
        <v>35</v>
      </c>
      <c r="E574" t="s">
        <v>16</v>
      </c>
      <c r="F574" t="s">
        <v>29</v>
      </c>
      <c r="G574" t="s">
        <v>31</v>
      </c>
      <c r="H574">
        <f>Cleaned_Data!K574</f>
        <v>15.77</v>
      </c>
      <c r="I574" t="str">
        <f t="shared" si="24"/>
        <v>YES</v>
      </c>
      <c r="J574">
        <f>Cleaned_Data!J574</f>
        <v>48</v>
      </c>
      <c r="K574" t="str">
        <f t="shared" si="25"/>
        <v>2024-11</v>
      </c>
      <c r="L574">
        <f t="shared" si="26"/>
        <v>0</v>
      </c>
    </row>
    <row r="575" spans="1:12">
      <c r="A575" t="s">
        <v>1688</v>
      </c>
      <c r="B575" t="s">
        <v>1689</v>
      </c>
      <c r="C575" t="s">
        <v>1690</v>
      </c>
      <c r="D575" t="s">
        <v>15</v>
      </c>
      <c r="E575" t="s">
        <v>28</v>
      </c>
      <c r="F575" t="s">
        <v>41</v>
      </c>
      <c r="G575" t="s">
        <v>19</v>
      </c>
      <c r="H575">
        <f>Cleaned_Data!K575</f>
        <v>4.1500000000000004</v>
      </c>
      <c r="I575" t="str">
        <f t="shared" si="24"/>
        <v>YES</v>
      </c>
      <c r="J575">
        <f>Cleaned_Data!J575</f>
        <v>8</v>
      </c>
      <c r="K575" t="str">
        <f t="shared" si="25"/>
        <v>2024-01</v>
      </c>
      <c r="L575">
        <f t="shared" si="26"/>
        <v>0</v>
      </c>
    </row>
    <row r="576" spans="1:12">
      <c r="A576" t="s">
        <v>1691</v>
      </c>
      <c r="B576" t="s">
        <v>1692</v>
      </c>
      <c r="C576" t="s">
        <v>1693</v>
      </c>
      <c r="D576" t="s">
        <v>158</v>
      </c>
      <c r="E576" t="s">
        <v>28</v>
      </c>
      <c r="F576" t="s">
        <v>17</v>
      </c>
      <c r="G576" t="s">
        <v>19</v>
      </c>
      <c r="H576">
        <f>Cleaned_Data!K576</f>
        <v>1.89</v>
      </c>
      <c r="I576" t="str">
        <f t="shared" si="24"/>
        <v>YES</v>
      </c>
      <c r="J576">
        <f>Cleaned_Data!J576</f>
        <v>4</v>
      </c>
      <c r="K576" t="str">
        <f t="shared" si="25"/>
        <v>2024-02</v>
      </c>
      <c r="L576">
        <f t="shared" si="26"/>
        <v>0</v>
      </c>
    </row>
    <row r="577" spans="1:12">
      <c r="A577" t="s">
        <v>1694</v>
      </c>
      <c r="B577" t="s">
        <v>1695</v>
      </c>
      <c r="C577" t="s">
        <v>1696</v>
      </c>
      <c r="D577" t="s">
        <v>15</v>
      </c>
      <c r="E577" t="s">
        <v>28</v>
      </c>
      <c r="F577" t="s">
        <v>29</v>
      </c>
      <c r="G577" t="s">
        <v>19</v>
      </c>
      <c r="H577">
        <f>Cleaned_Data!K577</f>
        <v>7.59</v>
      </c>
      <c r="I577" t="str">
        <f t="shared" si="24"/>
        <v>YES</v>
      </c>
      <c r="J577">
        <f>Cleaned_Data!J577</f>
        <v>8</v>
      </c>
      <c r="K577" t="str">
        <f t="shared" si="25"/>
        <v>2024-02</v>
      </c>
      <c r="L577">
        <f t="shared" si="26"/>
        <v>0</v>
      </c>
    </row>
    <row r="578" spans="1:12">
      <c r="A578" t="s">
        <v>1697</v>
      </c>
      <c r="B578" t="s">
        <v>1698</v>
      </c>
      <c r="C578" t="s">
        <v>1699</v>
      </c>
      <c r="D578" t="s">
        <v>158</v>
      </c>
      <c r="E578" t="s">
        <v>24</v>
      </c>
      <c r="F578" t="s">
        <v>17</v>
      </c>
      <c r="G578" t="s">
        <v>19</v>
      </c>
      <c r="H578">
        <f>Cleaned_Data!K578</f>
        <v>2.25</v>
      </c>
      <c r="I578" t="str">
        <f t="shared" ref="I578:I641" si="27">IF(OR(G578="Resolved", G578="Closed"), IF(AND(H578&lt;&gt;"", H578&lt;=J578), "YES", "NO"), "")</f>
        <v>YES</v>
      </c>
      <c r="J578">
        <f>Cleaned_Data!J578</f>
        <v>4</v>
      </c>
      <c r="K578" t="str">
        <f t="shared" ref="K578:K641" si="28">LEFT(B578, 7)</f>
        <v>2024-11</v>
      </c>
      <c r="L578">
        <f t="shared" ref="L578:L641" si="29">IF(I578="NO", H578-J578, 0)</f>
        <v>0</v>
      </c>
    </row>
    <row r="579" spans="1:12">
      <c r="A579" t="s">
        <v>1700</v>
      </c>
      <c r="B579" t="s">
        <v>1701</v>
      </c>
      <c r="D579" t="s">
        <v>35</v>
      </c>
      <c r="E579" t="s">
        <v>16</v>
      </c>
      <c r="F579" t="s">
        <v>36</v>
      </c>
      <c r="G579" t="s">
        <v>46</v>
      </c>
      <c r="H579">
        <f>Cleaned_Data!K579</f>
        <v>0</v>
      </c>
      <c r="I579" t="str">
        <f t="shared" si="27"/>
        <v/>
      </c>
      <c r="J579">
        <f>Cleaned_Data!J579</f>
        <v>48</v>
      </c>
      <c r="K579" t="str">
        <f t="shared" si="28"/>
        <v>2024-12</v>
      </c>
      <c r="L579">
        <f t="shared" si="29"/>
        <v>0</v>
      </c>
    </row>
    <row r="580" spans="1:12">
      <c r="A580" t="s">
        <v>1702</v>
      </c>
      <c r="B580" t="s">
        <v>1703</v>
      </c>
      <c r="C580" t="s">
        <v>1704</v>
      </c>
      <c r="D580" t="s">
        <v>15</v>
      </c>
      <c r="E580" t="s">
        <v>16</v>
      </c>
      <c r="F580" t="s">
        <v>41</v>
      </c>
      <c r="G580" t="s">
        <v>31</v>
      </c>
      <c r="H580">
        <f>Cleaned_Data!K580</f>
        <v>3.93</v>
      </c>
      <c r="I580" t="str">
        <f t="shared" si="27"/>
        <v>YES</v>
      </c>
      <c r="J580">
        <f>Cleaned_Data!J580</f>
        <v>8</v>
      </c>
      <c r="K580" t="str">
        <f t="shared" si="28"/>
        <v>2024-10</v>
      </c>
      <c r="L580">
        <f t="shared" si="29"/>
        <v>0</v>
      </c>
    </row>
    <row r="581" spans="1:12">
      <c r="A581" t="s">
        <v>1705</v>
      </c>
      <c r="B581" t="s">
        <v>1706</v>
      </c>
      <c r="D581" t="s">
        <v>23</v>
      </c>
      <c r="E581" t="s">
        <v>28</v>
      </c>
      <c r="F581" t="s">
        <v>41</v>
      </c>
      <c r="G581" t="s">
        <v>46</v>
      </c>
      <c r="H581">
        <f>Cleaned_Data!K581</f>
        <v>0</v>
      </c>
      <c r="I581" t="str">
        <f t="shared" si="27"/>
        <v/>
      </c>
      <c r="J581">
        <f>Cleaned_Data!J581</f>
        <v>24</v>
      </c>
      <c r="K581" t="str">
        <f t="shared" si="28"/>
        <v>2024-07</v>
      </c>
      <c r="L581">
        <f t="shared" si="29"/>
        <v>0</v>
      </c>
    </row>
    <row r="582" spans="1:12">
      <c r="A582" t="s">
        <v>1707</v>
      </c>
      <c r="B582" t="s">
        <v>1708</v>
      </c>
      <c r="D582" t="s">
        <v>15</v>
      </c>
      <c r="E582" t="s">
        <v>54</v>
      </c>
      <c r="F582" t="s">
        <v>36</v>
      </c>
      <c r="G582" t="s">
        <v>63</v>
      </c>
      <c r="H582">
        <f>Cleaned_Data!K582</f>
        <v>0</v>
      </c>
      <c r="I582" t="str">
        <f t="shared" si="27"/>
        <v/>
      </c>
      <c r="J582">
        <f>Cleaned_Data!J582</f>
        <v>8</v>
      </c>
      <c r="K582" t="str">
        <f t="shared" si="28"/>
        <v>2024-12</v>
      </c>
      <c r="L582">
        <f t="shared" si="29"/>
        <v>0</v>
      </c>
    </row>
    <row r="583" spans="1:12">
      <c r="A583" t="s">
        <v>1709</v>
      </c>
      <c r="B583" t="s">
        <v>1710</v>
      </c>
      <c r="C583" t="s">
        <v>1711</v>
      </c>
      <c r="D583" t="s">
        <v>15</v>
      </c>
      <c r="E583" t="s">
        <v>28</v>
      </c>
      <c r="F583" t="s">
        <v>29</v>
      </c>
      <c r="G583" t="s">
        <v>19</v>
      </c>
      <c r="H583">
        <f>Cleaned_Data!K583</f>
        <v>5.33</v>
      </c>
      <c r="I583" t="str">
        <f t="shared" si="27"/>
        <v>YES</v>
      </c>
      <c r="J583">
        <f>Cleaned_Data!J583</f>
        <v>8</v>
      </c>
      <c r="K583" t="str">
        <f t="shared" si="28"/>
        <v>2024-07</v>
      </c>
      <c r="L583">
        <f t="shared" si="29"/>
        <v>0</v>
      </c>
    </row>
    <row r="584" spans="1:12">
      <c r="A584" t="s">
        <v>1712</v>
      </c>
      <c r="B584" t="s">
        <v>1713</v>
      </c>
      <c r="C584" t="s">
        <v>1714</v>
      </c>
      <c r="D584" t="s">
        <v>23</v>
      </c>
      <c r="E584" t="s">
        <v>28</v>
      </c>
      <c r="F584" t="s">
        <v>17</v>
      </c>
      <c r="G584" t="s">
        <v>31</v>
      </c>
      <c r="H584">
        <f>Cleaned_Data!K584</f>
        <v>7.36</v>
      </c>
      <c r="I584" t="str">
        <f t="shared" si="27"/>
        <v>YES</v>
      </c>
      <c r="J584">
        <f>Cleaned_Data!J584</f>
        <v>24</v>
      </c>
      <c r="K584" t="str">
        <f t="shared" si="28"/>
        <v>2024-04</v>
      </c>
      <c r="L584">
        <f t="shared" si="29"/>
        <v>0</v>
      </c>
    </row>
    <row r="585" spans="1:12">
      <c r="A585" t="s">
        <v>1715</v>
      </c>
      <c r="B585" t="s">
        <v>1716</v>
      </c>
      <c r="C585" t="s">
        <v>1717</v>
      </c>
      <c r="D585" t="s">
        <v>23</v>
      </c>
      <c r="E585" t="s">
        <v>28</v>
      </c>
      <c r="F585" t="s">
        <v>60</v>
      </c>
      <c r="G585" t="s">
        <v>19</v>
      </c>
      <c r="H585">
        <f>Cleaned_Data!K585</f>
        <v>5.62</v>
      </c>
      <c r="I585" t="str">
        <f t="shared" si="27"/>
        <v>YES</v>
      </c>
      <c r="J585">
        <f>Cleaned_Data!J585</f>
        <v>24</v>
      </c>
      <c r="K585" t="str">
        <f t="shared" si="28"/>
        <v>2024-08</v>
      </c>
      <c r="L585">
        <f t="shared" si="29"/>
        <v>0</v>
      </c>
    </row>
    <row r="586" spans="1:12">
      <c r="A586" t="s">
        <v>1718</v>
      </c>
      <c r="B586" t="s">
        <v>1719</v>
      </c>
      <c r="C586" t="s">
        <v>1720</v>
      </c>
      <c r="D586" t="s">
        <v>15</v>
      </c>
      <c r="E586" t="s">
        <v>59</v>
      </c>
      <c r="F586" t="s">
        <v>36</v>
      </c>
      <c r="G586" t="s">
        <v>19</v>
      </c>
      <c r="H586">
        <f>Cleaned_Data!K586</f>
        <v>4.45</v>
      </c>
      <c r="I586" t="str">
        <f t="shared" si="27"/>
        <v>YES</v>
      </c>
      <c r="J586">
        <f>Cleaned_Data!J586</f>
        <v>8</v>
      </c>
      <c r="K586" t="str">
        <f t="shared" si="28"/>
        <v>2024-08</v>
      </c>
      <c r="L586">
        <f t="shared" si="29"/>
        <v>0</v>
      </c>
    </row>
    <row r="587" spans="1:12">
      <c r="A587" t="s">
        <v>1721</v>
      </c>
      <c r="B587" t="s">
        <v>1722</v>
      </c>
      <c r="C587" t="s">
        <v>1723</v>
      </c>
      <c r="D587" t="s">
        <v>15</v>
      </c>
      <c r="E587" t="s">
        <v>59</v>
      </c>
      <c r="F587" t="s">
        <v>29</v>
      </c>
      <c r="G587" t="s">
        <v>31</v>
      </c>
      <c r="H587">
        <f>Cleaned_Data!K587</f>
        <v>3.37</v>
      </c>
      <c r="I587" t="str">
        <f t="shared" si="27"/>
        <v>YES</v>
      </c>
      <c r="J587">
        <f>Cleaned_Data!J587</f>
        <v>8</v>
      </c>
      <c r="K587" t="str">
        <f t="shared" si="28"/>
        <v>2024-07</v>
      </c>
      <c r="L587">
        <f t="shared" si="29"/>
        <v>0</v>
      </c>
    </row>
    <row r="588" spans="1:12">
      <c r="A588" t="s">
        <v>1724</v>
      </c>
      <c r="B588" t="s">
        <v>1725</v>
      </c>
      <c r="C588" t="s">
        <v>1726</v>
      </c>
      <c r="D588" t="s">
        <v>35</v>
      </c>
      <c r="E588" t="s">
        <v>28</v>
      </c>
      <c r="F588" t="s">
        <v>41</v>
      </c>
      <c r="G588" t="s">
        <v>19</v>
      </c>
      <c r="H588">
        <f>Cleaned_Data!K588</f>
        <v>12.54</v>
      </c>
      <c r="I588" t="str">
        <f t="shared" si="27"/>
        <v>YES</v>
      </c>
      <c r="J588">
        <f>Cleaned_Data!J588</f>
        <v>48</v>
      </c>
      <c r="K588" t="str">
        <f t="shared" si="28"/>
        <v>2024-04</v>
      </c>
      <c r="L588">
        <f t="shared" si="29"/>
        <v>0</v>
      </c>
    </row>
    <row r="589" spans="1:12">
      <c r="A589" t="s">
        <v>1727</v>
      </c>
      <c r="B589" t="s">
        <v>1728</v>
      </c>
      <c r="C589" t="s">
        <v>1729</v>
      </c>
      <c r="D589" t="s">
        <v>15</v>
      </c>
      <c r="E589" t="s">
        <v>28</v>
      </c>
      <c r="F589" t="s">
        <v>60</v>
      </c>
      <c r="G589" t="s">
        <v>19</v>
      </c>
      <c r="H589">
        <f>Cleaned_Data!K589</f>
        <v>3.86</v>
      </c>
      <c r="I589" t="str">
        <f t="shared" si="27"/>
        <v>YES</v>
      </c>
      <c r="J589">
        <f>Cleaned_Data!J589</f>
        <v>8</v>
      </c>
      <c r="K589" t="str">
        <f t="shared" si="28"/>
        <v>2024-05</v>
      </c>
      <c r="L589">
        <f t="shared" si="29"/>
        <v>0</v>
      </c>
    </row>
    <row r="590" spans="1:12">
      <c r="A590" t="s">
        <v>1730</v>
      </c>
      <c r="B590" t="s">
        <v>1731</v>
      </c>
      <c r="C590" t="s">
        <v>1732</v>
      </c>
      <c r="D590" t="s">
        <v>23</v>
      </c>
      <c r="E590" t="s">
        <v>24</v>
      </c>
      <c r="F590" t="s">
        <v>60</v>
      </c>
      <c r="G590" t="s">
        <v>31</v>
      </c>
      <c r="H590">
        <f>Cleaned_Data!K590</f>
        <v>54.2</v>
      </c>
      <c r="I590" t="str">
        <f t="shared" si="27"/>
        <v>NO</v>
      </c>
      <c r="J590">
        <f>Cleaned_Data!J590</f>
        <v>24</v>
      </c>
      <c r="K590" t="str">
        <f t="shared" si="28"/>
        <v>2024-07</v>
      </c>
      <c r="L590">
        <f t="shared" si="29"/>
        <v>30.200000000000003</v>
      </c>
    </row>
    <row r="591" spans="1:12">
      <c r="A591" t="s">
        <v>1733</v>
      </c>
      <c r="B591" t="s">
        <v>1734</v>
      </c>
      <c r="C591" t="s">
        <v>1735</v>
      </c>
      <c r="D591" t="s">
        <v>15</v>
      </c>
      <c r="E591" t="s">
        <v>16</v>
      </c>
      <c r="F591" t="s">
        <v>60</v>
      </c>
      <c r="G591" t="s">
        <v>19</v>
      </c>
      <c r="H591">
        <f>Cleaned_Data!K591</f>
        <v>6</v>
      </c>
      <c r="I591" t="str">
        <f t="shared" si="27"/>
        <v>YES</v>
      </c>
      <c r="J591">
        <f>Cleaned_Data!J591</f>
        <v>8</v>
      </c>
      <c r="K591" t="str">
        <f t="shared" si="28"/>
        <v>2024-08</v>
      </c>
      <c r="L591">
        <f t="shared" si="29"/>
        <v>0</v>
      </c>
    </row>
    <row r="592" spans="1:12">
      <c r="A592" t="s">
        <v>1736</v>
      </c>
      <c r="B592" t="s">
        <v>1737</v>
      </c>
      <c r="C592" t="s">
        <v>1738</v>
      </c>
      <c r="D592" t="s">
        <v>15</v>
      </c>
      <c r="E592" t="s">
        <v>54</v>
      </c>
      <c r="F592" t="s">
        <v>36</v>
      </c>
      <c r="G592" t="s">
        <v>19</v>
      </c>
      <c r="H592">
        <f>Cleaned_Data!K592</f>
        <v>6.48</v>
      </c>
      <c r="I592" t="str">
        <f t="shared" si="27"/>
        <v>YES</v>
      </c>
      <c r="J592">
        <f>Cleaned_Data!J592</f>
        <v>8</v>
      </c>
      <c r="K592" t="str">
        <f t="shared" si="28"/>
        <v>2024-04</v>
      </c>
      <c r="L592">
        <f t="shared" si="29"/>
        <v>0</v>
      </c>
    </row>
    <row r="593" spans="1:12">
      <c r="A593" t="s">
        <v>1739</v>
      </c>
      <c r="B593" t="s">
        <v>1740</v>
      </c>
      <c r="C593" t="s">
        <v>1741</v>
      </c>
      <c r="D593" t="s">
        <v>158</v>
      </c>
      <c r="E593" t="s">
        <v>24</v>
      </c>
      <c r="F593" t="s">
        <v>17</v>
      </c>
      <c r="G593" t="s">
        <v>19</v>
      </c>
      <c r="H593">
        <f>Cleaned_Data!K593</f>
        <v>1.72</v>
      </c>
      <c r="I593" t="str">
        <f t="shared" si="27"/>
        <v>YES</v>
      </c>
      <c r="J593">
        <f>Cleaned_Data!J593</f>
        <v>4</v>
      </c>
      <c r="K593" t="str">
        <f t="shared" si="28"/>
        <v>2024-12</v>
      </c>
      <c r="L593">
        <f t="shared" si="29"/>
        <v>0</v>
      </c>
    </row>
    <row r="594" spans="1:12">
      <c r="A594" t="s">
        <v>1742</v>
      </c>
      <c r="B594" t="s">
        <v>1743</v>
      </c>
      <c r="C594" t="s">
        <v>1744</v>
      </c>
      <c r="D594" t="s">
        <v>23</v>
      </c>
      <c r="E594" t="s">
        <v>28</v>
      </c>
      <c r="F594" t="s">
        <v>29</v>
      </c>
      <c r="G594" t="s">
        <v>31</v>
      </c>
      <c r="H594">
        <f>Cleaned_Data!K594</f>
        <v>21.38</v>
      </c>
      <c r="I594" t="str">
        <f t="shared" si="27"/>
        <v>YES</v>
      </c>
      <c r="J594">
        <f>Cleaned_Data!J594</f>
        <v>24</v>
      </c>
      <c r="K594" t="str">
        <f t="shared" si="28"/>
        <v>2024-08</v>
      </c>
      <c r="L594">
        <f t="shared" si="29"/>
        <v>0</v>
      </c>
    </row>
    <row r="595" spans="1:12">
      <c r="A595" t="s">
        <v>1745</v>
      </c>
      <c r="B595" t="s">
        <v>1746</v>
      </c>
      <c r="C595" t="s">
        <v>1747</v>
      </c>
      <c r="D595" t="s">
        <v>35</v>
      </c>
      <c r="E595" t="s">
        <v>16</v>
      </c>
      <c r="F595" t="s">
        <v>41</v>
      </c>
      <c r="G595" t="s">
        <v>19</v>
      </c>
      <c r="H595">
        <f>Cleaned_Data!K595</f>
        <v>43.08</v>
      </c>
      <c r="I595" t="str">
        <f t="shared" si="27"/>
        <v>YES</v>
      </c>
      <c r="J595">
        <f>Cleaned_Data!J595</f>
        <v>48</v>
      </c>
      <c r="K595" t="str">
        <f t="shared" si="28"/>
        <v>2024-07</v>
      </c>
      <c r="L595">
        <f t="shared" si="29"/>
        <v>0</v>
      </c>
    </row>
    <row r="596" spans="1:12">
      <c r="A596" t="s">
        <v>1748</v>
      </c>
      <c r="B596" t="s">
        <v>1749</v>
      </c>
      <c r="C596" t="s">
        <v>1750</v>
      </c>
      <c r="D596" t="s">
        <v>23</v>
      </c>
      <c r="E596" t="s">
        <v>24</v>
      </c>
      <c r="F596" t="s">
        <v>60</v>
      </c>
      <c r="G596" t="s">
        <v>19</v>
      </c>
      <c r="H596">
        <f>Cleaned_Data!K596</f>
        <v>19.420000000000002</v>
      </c>
      <c r="I596" t="str">
        <f t="shared" si="27"/>
        <v>YES</v>
      </c>
      <c r="J596">
        <f>Cleaned_Data!J596</f>
        <v>24</v>
      </c>
      <c r="K596" t="str">
        <f t="shared" si="28"/>
        <v>2024-05</v>
      </c>
      <c r="L596">
        <f t="shared" si="29"/>
        <v>0</v>
      </c>
    </row>
    <row r="597" spans="1:12">
      <c r="A597" t="s">
        <v>1751</v>
      </c>
      <c r="B597" t="s">
        <v>1752</v>
      </c>
      <c r="C597" t="s">
        <v>1753</v>
      </c>
      <c r="D597" t="s">
        <v>35</v>
      </c>
      <c r="E597" t="s">
        <v>24</v>
      </c>
      <c r="F597" t="s">
        <v>17</v>
      </c>
      <c r="G597" t="s">
        <v>19</v>
      </c>
      <c r="H597">
        <f>Cleaned_Data!K597</f>
        <v>31.6</v>
      </c>
      <c r="I597" t="str">
        <f t="shared" si="27"/>
        <v>YES</v>
      </c>
      <c r="J597">
        <f>Cleaned_Data!J597</f>
        <v>48</v>
      </c>
      <c r="K597" t="str">
        <f t="shared" si="28"/>
        <v>2024-03</v>
      </c>
      <c r="L597">
        <f t="shared" si="29"/>
        <v>0</v>
      </c>
    </row>
    <row r="598" spans="1:12">
      <c r="A598" t="s">
        <v>1754</v>
      </c>
      <c r="B598" t="s">
        <v>1755</v>
      </c>
      <c r="C598" t="s">
        <v>1756</v>
      </c>
      <c r="D598" t="s">
        <v>23</v>
      </c>
      <c r="E598" t="s">
        <v>54</v>
      </c>
      <c r="F598" t="s">
        <v>36</v>
      </c>
      <c r="G598" t="s">
        <v>31</v>
      </c>
      <c r="H598">
        <f>Cleaned_Data!K598</f>
        <v>16.73</v>
      </c>
      <c r="I598" t="str">
        <f t="shared" si="27"/>
        <v>YES</v>
      </c>
      <c r="J598">
        <f>Cleaned_Data!J598</f>
        <v>24</v>
      </c>
      <c r="K598" t="str">
        <f t="shared" si="28"/>
        <v>2024-03</v>
      </c>
      <c r="L598">
        <f t="shared" si="29"/>
        <v>0</v>
      </c>
    </row>
    <row r="599" spans="1:12">
      <c r="A599" t="s">
        <v>1757</v>
      </c>
      <c r="B599" t="s">
        <v>1758</v>
      </c>
      <c r="C599" t="s">
        <v>1759</v>
      </c>
      <c r="D599" t="s">
        <v>15</v>
      </c>
      <c r="E599" t="s">
        <v>24</v>
      </c>
      <c r="F599" t="s">
        <v>41</v>
      </c>
      <c r="G599" t="s">
        <v>19</v>
      </c>
      <c r="H599">
        <f>Cleaned_Data!K599</f>
        <v>7.59</v>
      </c>
      <c r="I599" t="str">
        <f t="shared" si="27"/>
        <v>YES</v>
      </c>
      <c r="J599">
        <f>Cleaned_Data!J599</f>
        <v>8</v>
      </c>
      <c r="K599" t="str">
        <f t="shared" si="28"/>
        <v>2024-02</v>
      </c>
      <c r="L599">
        <f t="shared" si="29"/>
        <v>0</v>
      </c>
    </row>
    <row r="600" spans="1:12">
      <c r="A600" t="s">
        <v>1760</v>
      </c>
      <c r="B600" t="s">
        <v>1761</v>
      </c>
      <c r="C600" t="s">
        <v>1762</v>
      </c>
      <c r="D600" t="s">
        <v>35</v>
      </c>
      <c r="E600" t="s">
        <v>54</v>
      </c>
      <c r="F600" t="s">
        <v>29</v>
      </c>
      <c r="G600" t="s">
        <v>19</v>
      </c>
      <c r="H600">
        <f>Cleaned_Data!K600</f>
        <v>38.51</v>
      </c>
      <c r="I600" t="str">
        <f t="shared" si="27"/>
        <v>YES</v>
      </c>
      <c r="J600">
        <f>Cleaned_Data!J600</f>
        <v>48</v>
      </c>
      <c r="K600" t="str">
        <f t="shared" si="28"/>
        <v>2024-05</v>
      </c>
      <c r="L600">
        <f t="shared" si="29"/>
        <v>0</v>
      </c>
    </row>
    <row r="601" spans="1:12">
      <c r="A601" t="s">
        <v>1763</v>
      </c>
      <c r="B601" t="s">
        <v>1764</v>
      </c>
      <c r="C601" t="s">
        <v>1765</v>
      </c>
      <c r="D601" t="s">
        <v>23</v>
      </c>
      <c r="E601" t="s">
        <v>28</v>
      </c>
      <c r="F601" t="s">
        <v>60</v>
      </c>
      <c r="G601" t="s">
        <v>19</v>
      </c>
      <c r="H601">
        <f>Cleaned_Data!K601</f>
        <v>46.14</v>
      </c>
      <c r="I601" t="str">
        <f t="shared" si="27"/>
        <v>NO</v>
      </c>
      <c r="J601">
        <f>Cleaned_Data!J601</f>
        <v>24</v>
      </c>
      <c r="K601" t="str">
        <f t="shared" si="28"/>
        <v>2024-04</v>
      </c>
      <c r="L601">
        <f t="shared" si="29"/>
        <v>22.14</v>
      </c>
    </row>
    <row r="602" spans="1:12">
      <c r="A602" t="s">
        <v>1766</v>
      </c>
      <c r="B602" t="s">
        <v>1767</v>
      </c>
      <c r="C602" t="s">
        <v>1768</v>
      </c>
      <c r="D602" t="s">
        <v>158</v>
      </c>
      <c r="E602" t="s">
        <v>28</v>
      </c>
      <c r="F602" t="s">
        <v>36</v>
      </c>
      <c r="G602" t="s">
        <v>19</v>
      </c>
      <c r="H602">
        <f>Cleaned_Data!K602</f>
        <v>4.25</v>
      </c>
      <c r="I602" t="str">
        <f t="shared" si="27"/>
        <v>NO</v>
      </c>
      <c r="J602">
        <f>Cleaned_Data!J602</f>
        <v>4</v>
      </c>
      <c r="K602" t="str">
        <f t="shared" si="28"/>
        <v>2024-10</v>
      </c>
      <c r="L602">
        <f t="shared" si="29"/>
        <v>0.25</v>
      </c>
    </row>
    <row r="603" spans="1:12">
      <c r="A603" t="s">
        <v>1769</v>
      </c>
      <c r="B603" t="s">
        <v>1770</v>
      </c>
      <c r="C603" t="s">
        <v>1771</v>
      </c>
      <c r="D603" t="s">
        <v>35</v>
      </c>
      <c r="E603" t="s">
        <v>24</v>
      </c>
      <c r="F603" t="s">
        <v>29</v>
      </c>
      <c r="G603" t="s">
        <v>19</v>
      </c>
      <c r="H603">
        <f>Cleaned_Data!K603</f>
        <v>28.12</v>
      </c>
      <c r="I603" t="str">
        <f t="shared" si="27"/>
        <v>YES</v>
      </c>
      <c r="J603">
        <f>Cleaned_Data!J603</f>
        <v>48</v>
      </c>
      <c r="K603" t="str">
        <f t="shared" si="28"/>
        <v>2024-03</v>
      </c>
      <c r="L603">
        <f t="shared" si="29"/>
        <v>0</v>
      </c>
    </row>
    <row r="604" spans="1:12">
      <c r="A604" t="s">
        <v>1772</v>
      </c>
      <c r="B604" t="s">
        <v>1773</v>
      </c>
      <c r="C604" t="s">
        <v>1774</v>
      </c>
      <c r="D604" t="s">
        <v>23</v>
      </c>
      <c r="E604" t="s">
        <v>24</v>
      </c>
      <c r="F604" t="s">
        <v>29</v>
      </c>
      <c r="G604" t="s">
        <v>19</v>
      </c>
      <c r="H604">
        <f>Cleaned_Data!K604</f>
        <v>8.5299999999999994</v>
      </c>
      <c r="I604" t="str">
        <f t="shared" si="27"/>
        <v>YES</v>
      </c>
      <c r="J604">
        <f>Cleaned_Data!J604</f>
        <v>24</v>
      </c>
      <c r="K604" t="str">
        <f t="shared" si="28"/>
        <v>2024-06</v>
      </c>
      <c r="L604">
        <f t="shared" si="29"/>
        <v>0</v>
      </c>
    </row>
    <row r="605" spans="1:12">
      <c r="A605" t="s">
        <v>1775</v>
      </c>
      <c r="B605" t="s">
        <v>1776</v>
      </c>
      <c r="C605" t="s">
        <v>1777</v>
      </c>
      <c r="D605" t="s">
        <v>35</v>
      </c>
      <c r="E605" t="s">
        <v>16</v>
      </c>
      <c r="F605" t="s">
        <v>29</v>
      </c>
      <c r="G605" t="s">
        <v>19</v>
      </c>
      <c r="H605">
        <f>Cleaned_Data!K605</f>
        <v>114.95</v>
      </c>
      <c r="I605" t="str">
        <f t="shared" si="27"/>
        <v>NO</v>
      </c>
      <c r="J605">
        <f>Cleaned_Data!J605</f>
        <v>48</v>
      </c>
      <c r="K605" t="str">
        <f t="shared" si="28"/>
        <v>2024-08</v>
      </c>
      <c r="L605">
        <f t="shared" si="29"/>
        <v>66.95</v>
      </c>
    </row>
    <row r="606" spans="1:12">
      <c r="A606" t="s">
        <v>1778</v>
      </c>
      <c r="B606" t="s">
        <v>1779</v>
      </c>
      <c r="C606" t="s">
        <v>1780</v>
      </c>
      <c r="D606" t="s">
        <v>158</v>
      </c>
      <c r="E606" t="s">
        <v>54</v>
      </c>
      <c r="F606" t="s">
        <v>36</v>
      </c>
      <c r="G606" t="s">
        <v>31</v>
      </c>
      <c r="H606">
        <f>Cleaned_Data!K606</f>
        <v>3.05</v>
      </c>
      <c r="I606" t="str">
        <f t="shared" si="27"/>
        <v>YES</v>
      </c>
      <c r="J606">
        <f>Cleaned_Data!J606</f>
        <v>4</v>
      </c>
      <c r="K606" t="str">
        <f t="shared" si="28"/>
        <v>2024-12</v>
      </c>
      <c r="L606">
        <f t="shared" si="29"/>
        <v>0</v>
      </c>
    </row>
    <row r="607" spans="1:12">
      <c r="A607" t="s">
        <v>1781</v>
      </c>
      <c r="B607" t="s">
        <v>1782</v>
      </c>
      <c r="C607" t="s">
        <v>1783</v>
      </c>
      <c r="D607" t="s">
        <v>15</v>
      </c>
      <c r="E607" t="s">
        <v>16</v>
      </c>
      <c r="F607" t="s">
        <v>41</v>
      </c>
      <c r="G607" t="s">
        <v>31</v>
      </c>
      <c r="H607">
        <f>Cleaned_Data!K607</f>
        <v>5.24</v>
      </c>
      <c r="I607" t="str">
        <f t="shared" si="27"/>
        <v>YES</v>
      </c>
      <c r="J607">
        <f>Cleaned_Data!J607</f>
        <v>8</v>
      </c>
      <c r="K607" t="str">
        <f t="shared" si="28"/>
        <v>2024-05</v>
      </c>
      <c r="L607">
        <f t="shared" si="29"/>
        <v>0</v>
      </c>
    </row>
    <row r="608" spans="1:12">
      <c r="A608" t="s">
        <v>1784</v>
      </c>
      <c r="B608" t="s">
        <v>1785</v>
      </c>
      <c r="C608" t="s">
        <v>1786</v>
      </c>
      <c r="D608" t="s">
        <v>23</v>
      </c>
      <c r="E608" t="s">
        <v>54</v>
      </c>
      <c r="F608" t="s">
        <v>36</v>
      </c>
      <c r="G608" t="s">
        <v>19</v>
      </c>
      <c r="H608">
        <f>Cleaned_Data!K608</f>
        <v>13.92</v>
      </c>
      <c r="I608" t="str">
        <f t="shared" si="27"/>
        <v>YES</v>
      </c>
      <c r="J608">
        <f>Cleaned_Data!J608</f>
        <v>24</v>
      </c>
      <c r="K608" t="str">
        <f t="shared" si="28"/>
        <v>2024-01</v>
      </c>
      <c r="L608">
        <f t="shared" si="29"/>
        <v>0</v>
      </c>
    </row>
    <row r="609" spans="1:12">
      <c r="A609" t="s">
        <v>1787</v>
      </c>
      <c r="B609" t="s">
        <v>1788</v>
      </c>
      <c r="C609" t="s">
        <v>1789</v>
      </c>
      <c r="D609" t="s">
        <v>15</v>
      </c>
      <c r="E609" t="s">
        <v>24</v>
      </c>
      <c r="F609" t="s">
        <v>41</v>
      </c>
      <c r="G609" t="s">
        <v>31</v>
      </c>
      <c r="H609">
        <f>Cleaned_Data!K609</f>
        <v>1.41</v>
      </c>
      <c r="I609" t="str">
        <f t="shared" si="27"/>
        <v>YES</v>
      </c>
      <c r="J609">
        <f>Cleaned_Data!J609</f>
        <v>8</v>
      </c>
      <c r="K609" t="str">
        <f t="shared" si="28"/>
        <v>2024-09</v>
      </c>
      <c r="L609">
        <f t="shared" si="29"/>
        <v>0</v>
      </c>
    </row>
    <row r="610" spans="1:12">
      <c r="A610" t="s">
        <v>1790</v>
      </c>
      <c r="B610" t="s">
        <v>1791</v>
      </c>
      <c r="C610" t="s">
        <v>1792</v>
      </c>
      <c r="D610" t="s">
        <v>23</v>
      </c>
      <c r="E610" t="s">
        <v>24</v>
      </c>
      <c r="F610" t="s">
        <v>36</v>
      </c>
      <c r="G610" t="s">
        <v>31</v>
      </c>
      <c r="H610">
        <f>Cleaned_Data!K610</f>
        <v>10.54</v>
      </c>
      <c r="I610" t="str">
        <f t="shared" si="27"/>
        <v>YES</v>
      </c>
      <c r="J610">
        <f>Cleaned_Data!J610</f>
        <v>24</v>
      </c>
      <c r="K610" t="str">
        <f t="shared" si="28"/>
        <v>2024-11</v>
      </c>
      <c r="L610">
        <f t="shared" si="29"/>
        <v>0</v>
      </c>
    </row>
    <row r="611" spans="1:12">
      <c r="A611" t="s">
        <v>1793</v>
      </c>
      <c r="B611" t="s">
        <v>1794</v>
      </c>
      <c r="C611" t="s">
        <v>1795</v>
      </c>
      <c r="D611" t="s">
        <v>23</v>
      </c>
      <c r="E611" t="s">
        <v>54</v>
      </c>
      <c r="F611" t="s">
        <v>17</v>
      </c>
      <c r="G611" t="s">
        <v>31</v>
      </c>
      <c r="H611">
        <f>Cleaned_Data!K611</f>
        <v>15.71</v>
      </c>
      <c r="I611" t="str">
        <f t="shared" si="27"/>
        <v>YES</v>
      </c>
      <c r="J611">
        <f>Cleaned_Data!J611</f>
        <v>24</v>
      </c>
      <c r="K611" t="str">
        <f t="shared" si="28"/>
        <v>2024-07</v>
      </c>
      <c r="L611">
        <f t="shared" si="29"/>
        <v>0</v>
      </c>
    </row>
    <row r="612" spans="1:12">
      <c r="A612" t="s">
        <v>1796</v>
      </c>
      <c r="B612" t="s">
        <v>1797</v>
      </c>
      <c r="C612" t="s">
        <v>1798</v>
      </c>
      <c r="D612" t="s">
        <v>35</v>
      </c>
      <c r="E612" t="s">
        <v>28</v>
      </c>
      <c r="F612" t="s">
        <v>17</v>
      </c>
      <c r="G612" t="s">
        <v>19</v>
      </c>
      <c r="H612">
        <f>Cleaned_Data!K612</f>
        <v>32.74</v>
      </c>
      <c r="I612" t="str">
        <f t="shared" si="27"/>
        <v>YES</v>
      </c>
      <c r="J612">
        <f>Cleaned_Data!J612</f>
        <v>48</v>
      </c>
      <c r="K612" t="str">
        <f t="shared" si="28"/>
        <v>2024-08</v>
      </c>
      <c r="L612">
        <f t="shared" si="29"/>
        <v>0</v>
      </c>
    </row>
    <row r="613" spans="1:12">
      <c r="A613" t="s">
        <v>1799</v>
      </c>
      <c r="B613" t="s">
        <v>1800</v>
      </c>
      <c r="C613" t="s">
        <v>1801</v>
      </c>
      <c r="D613" t="s">
        <v>23</v>
      </c>
      <c r="E613" t="s">
        <v>28</v>
      </c>
      <c r="F613" t="s">
        <v>29</v>
      </c>
      <c r="G613" t="s">
        <v>19</v>
      </c>
      <c r="H613">
        <f>Cleaned_Data!K613</f>
        <v>2.89</v>
      </c>
      <c r="I613" t="str">
        <f t="shared" si="27"/>
        <v>YES</v>
      </c>
      <c r="J613">
        <f>Cleaned_Data!J613</f>
        <v>24</v>
      </c>
      <c r="K613" t="str">
        <f t="shared" si="28"/>
        <v>2024-02</v>
      </c>
      <c r="L613">
        <f t="shared" si="29"/>
        <v>0</v>
      </c>
    </row>
    <row r="614" spans="1:12">
      <c r="A614" t="s">
        <v>1802</v>
      </c>
      <c r="B614" t="s">
        <v>1803</v>
      </c>
      <c r="C614" t="s">
        <v>1804</v>
      </c>
      <c r="D614" t="s">
        <v>23</v>
      </c>
      <c r="E614" t="s">
        <v>59</v>
      </c>
      <c r="F614" t="s">
        <v>41</v>
      </c>
      <c r="G614" t="s">
        <v>19</v>
      </c>
      <c r="H614">
        <f>Cleaned_Data!K614</f>
        <v>19.09</v>
      </c>
      <c r="I614" t="str">
        <f t="shared" si="27"/>
        <v>YES</v>
      </c>
      <c r="J614">
        <f>Cleaned_Data!J614</f>
        <v>24</v>
      </c>
      <c r="K614" t="str">
        <f t="shared" si="28"/>
        <v>2024-05</v>
      </c>
      <c r="L614">
        <f t="shared" si="29"/>
        <v>0</v>
      </c>
    </row>
    <row r="615" spans="1:12">
      <c r="A615" t="s">
        <v>1805</v>
      </c>
      <c r="B615" t="s">
        <v>1806</v>
      </c>
      <c r="C615" t="s">
        <v>1807</v>
      </c>
      <c r="D615" t="s">
        <v>15</v>
      </c>
      <c r="E615" t="s">
        <v>16</v>
      </c>
      <c r="F615" t="s">
        <v>36</v>
      </c>
      <c r="G615" t="s">
        <v>31</v>
      </c>
      <c r="H615">
        <f>Cleaned_Data!K615</f>
        <v>5.0199999999999996</v>
      </c>
      <c r="I615" t="str">
        <f t="shared" si="27"/>
        <v>YES</v>
      </c>
      <c r="J615">
        <f>Cleaned_Data!J615</f>
        <v>8</v>
      </c>
      <c r="K615" t="str">
        <f t="shared" si="28"/>
        <v>2024-05</v>
      </c>
      <c r="L615">
        <f t="shared" si="29"/>
        <v>0</v>
      </c>
    </row>
    <row r="616" spans="1:12">
      <c r="A616" t="s">
        <v>1808</v>
      </c>
      <c r="B616" t="s">
        <v>1809</v>
      </c>
      <c r="C616" t="s">
        <v>1810</v>
      </c>
      <c r="D616" t="s">
        <v>35</v>
      </c>
      <c r="E616" t="s">
        <v>24</v>
      </c>
      <c r="F616" t="s">
        <v>36</v>
      </c>
      <c r="G616" t="s">
        <v>19</v>
      </c>
      <c r="H616">
        <f>Cleaned_Data!K616</f>
        <v>13.33</v>
      </c>
      <c r="I616" t="str">
        <f t="shared" si="27"/>
        <v>YES</v>
      </c>
      <c r="J616">
        <f>Cleaned_Data!J616</f>
        <v>48</v>
      </c>
      <c r="K616" t="str">
        <f t="shared" si="28"/>
        <v>2024-11</v>
      </c>
      <c r="L616">
        <f t="shared" si="29"/>
        <v>0</v>
      </c>
    </row>
    <row r="617" spans="1:12">
      <c r="A617" t="s">
        <v>1811</v>
      </c>
      <c r="B617" t="s">
        <v>1812</v>
      </c>
      <c r="C617" t="s">
        <v>1813</v>
      </c>
      <c r="D617" t="s">
        <v>23</v>
      </c>
      <c r="E617" t="s">
        <v>16</v>
      </c>
      <c r="F617" t="s">
        <v>60</v>
      </c>
      <c r="G617" t="s">
        <v>31</v>
      </c>
      <c r="H617">
        <f>Cleaned_Data!K617</f>
        <v>57.73</v>
      </c>
      <c r="I617" t="str">
        <f t="shared" si="27"/>
        <v>NO</v>
      </c>
      <c r="J617">
        <f>Cleaned_Data!J617</f>
        <v>24</v>
      </c>
      <c r="K617" t="str">
        <f t="shared" si="28"/>
        <v>2024-03</v>
      </c>
      <c r="L617">
        <f t="shared" si="29"/>
        <v>33.729999999999997</v>
      </c>
    </row>
    <row r="618" spans="1:12">
      <c r="A618" t="s">
        <v>1814</v>
      </c>
      <c r="B618" t="s">
        <v>1815</v>
      </c>
      <c r="C618" t="s">
        <v>1816</v>
      </c>
      <c r="D618" t="s">
        <v>23</v>
      </c>
      <c r="E618" t="s">
        <v>54</v>
      </c>
      <c r="F618" t="s">
        <v>36</v>
      </c>
      <c r="G618" t="s">
        <v>19</v>
      </c>
      <c r="H618">
        <f>Cleaned_Data!K618</f>
        <v>18.5</v>
      </c>
      <c r="I618" t="str">
        <f t="shared" si="27"/>
        <v>YES</v>
      </c>
      <c r="J618">
        <f>Cleaned_Data!J618</f>
        <v>24</v>
      </c>
      <c r="K618" t="str">
        <f t="shared" si="28"/>
        <v>2024-05</v>
      </c>
      <c r="L618">
        <f t="shared" si="29"/>
        <v>0</v>
      </c>
    </row>
    <row r="619" spans="1:12">
      <c r="A619" t="s">
        <v>1817</v>
      </c>
      <c r="B619" t="s">
        <v>1818</v>
      </c>
      <c r="C619" t="s">
        <v>1819</v>
      </c>
      <c r="D619" t="s">
        <v>23</v>
      </c>
      <c r="E619" t="s">
        <v>59</v>
      </c>
      <c r="F619" t="s">
        <v>36</v>
      </c>
      <c r="G619" t="s">
        <v>31</v>
      </c>
      <c r="H619">
        <f>Cleaned_Data!K619</f>
        <v>21.02</v>
      </c>
      <c r="I619" t="str">
        <f t="shared" si="27"/>
        <v>YES</v>
      </c>
      <c r="J619">
        <f>Cleaned_Data!J619</f>
        <v>24</v>
      </c>
      <c r="K619" t="str">
        <f t="shared" si="28"/>
        <v>2024-01</v>
      </c>
      <c r="L619">
        <f t="shared" si="29"/>
        <v>0</v>
      </c>
    </row>
    <row r="620" spans="1:12">
      <c r="A620" t="s">
        <v>1820</v>
      </c>
      <c r="B620" t="s">
        <v>1821</v>
      </c>
      <c r="D620" t="s">
        <v>158</v>
      </c>
      <c r="E620" t="s">
        <v>16</v>
      </c>
      <c r="F620" t="s">
        <v>41</v>
      </c>
      <c r="G620" t="s">
        <v>46</v>
      </c>
      <c r="H620">
        <f>Cleaned_Data!K620</f>
        <v>0</v>
      </c>
      <c r="I620" t="str">
        <f t="shared" si="27"/>
        <v/>
      </c>
      <c r="J620">
        <f>Cleaned_Data!J620</f>
        <v>4</v>
      </c>
      <c r="K620" t="str">
        <f t="shared" si="28"/>
        <v>2024-02</v>
      </c>
      <c r="L620">
        <f t="shared" si="29"/>
        <v>0</v>
      </c>
    </row>
    <row r="621" spans="1:12">
      <c r="A621" t="s">
        <v>1822</v>
      </c>
      <c r="B621" t="s">
        <v>1823</v>
      </c>
      <c r="C621" t="s">
        <v>1824</v>
      </c>
      <c r="D621" t="s">
        <v>35</v>
      </c>
      <c r="E621" t="s">
        <v>24</v>
      </c>
      <c r="F621" t="s">
        <v>29</v>
      </c>
      <c r="G621" t="s">
        <v>31</v>
      </c>
      <c r="H621">
        <f>Cleaned_Data!K621</f>
        <v>12.41</v>
      </c>
      <c r="I621" t="str">
        <f t="shared" si="27"/>
        <v>YES</v>
      </c>
      <c r="J621">
        <f>Cleaned_Data!J621</f>
        <v>48</v>
      </c>
      <c r="K621" t="str">
        <f t="shared" si="28"/>
        <v>2024-07</v>
      </c>
      <c r="L621">
        <f t="shared" si="29"/>
        <v>0</v>
      </c>
    </row>
    <row r="622" spans="1:12">
      <c r="A622" t="s">
        <v>1825</v>
      </c>
      <c r="B622" t="s">
        <v>1826</v>
      </c>
      <c r="D622" t="s">
        <v>23</v>
      </c>
      <c r="E622" t="s">
        <v>16</v>
      </c>
      <c r="F622" t="s">
        <v>36</v>
      </c>
      <c r="G622" t="s">
        <v>63</v>
      </c>
      <c r="H622">
        <f>Cleaned_Data!K622</f>
        <v>0</v>
      </c>
      <c r="I622" t="str">
        <f t="shared" si="27"/>
        <v/>
      </c>
      <c r="J622">
        <f>Cleaned_Data!J622</f>
        <v>24</v>
      </c>
      <c r="K622" t="str">
        <f t="shared" si="28"/>
        <v>2024-06</v>
      </c>
      <c r="L622">
        <f t="shared" si="29"/>
        <v>0</v>
      </c>
    </row>
    <row r="623" spans="1:12">
      <c r="A623" t="s">
        <v>1827</v>
      </c>
      <c r="B623" t="s">
        <v>1828</v>
      </c>
      <c r="C623" t="s">
        <v>1829</v>
      </c>
      <c r="D623" t="s">
        <v>15</v>
      </c>
      <c r="E623" t="s">
        <v>28</v>
      </c>
      <c r="F623" t="s">
        <v>17</v>
      </c>
      <c r="G623" t="s">
        <v>19</v>
      </c>
      <c r="H623">
        <f>Cleaned_Data!K623</f>
        <v>5.05</v>
      </c>
      <c r="I623" t="str">
        <f t="shared" si="27"/>
        <v>YES</v>
      </c>
      <c r="J623">
        <f>Cleaned_Data!J623</f>
        <v>8</v>
      </c>
      <c r="K623" t="str">
        <f t="shared" si="28"/>
        <v>2024-04</v>
      </c>
      <c r="L623">
        <f t="shared" si="29"/>
        <v>0</v>
      </c>
    </row>
    <row r="624" spans="1:12">
      <c r="A624" t="s">
        <v>1830</v>
      </c>
      <c r="B624" t="s">
        <v>1831</v>
      </c>
      <c r="C624" t="s">
        <v>1832</v>
      </c>
      <c r="D624" t="s">
        <v>15</v>
      </c>
      <c r="E624" t="s">
        <v>24</v>
      </c>
      <c r="F624" t="s">
        <v>29</v>
      </c>
      <c r="G624" t="s">
        <v>31</v>
      </c>
      <c r="H624">
        <f>Cleaned_Data!K624</f>
        <v>1</v>
      </c>
      <c r="I624" t="str">
        <f t="shared" si="27"/>
        <v>YES</v>
      </c>
      <c r="J624">
        <f>Cleaned_Data!J624</f>
        <v>8</v>
      </c>
      <c r="K624" t="str">
        <f t="shared" si="28"/>
        <v>2024-07</v>
      </c>
      <c r="L624">
        <f t="shared" si="29"/>
        <v>0</v>
      </c>
    </row>
    <row r="625" spans="1:12">
      <c r="A625" t="s">
        <v>1833</v>
      </c>
      <c r="B625" t="s">
        <v>1834</v>
      </c>
      <c r="C625" t="s">
        <v>1835</v>
      </c>
      <c r="D625" t="s">
        <v>15</v>
      </c>
      <c r="E625" t="s">
        <v>28</v>
      </c>
      <c r="F625" t="s">
        <v>41</v>
      </c>
      <c r="G625" t="s">
        <v>19</v>
      </c>
      <c r="H625">
        <f>Cleaned_Data!K625</f>
        <v>4.34</v>
      </c>
      <c r="I625" t="str">
        <f t="shared" si="27"/>
        <v>YES</v>
      </c>
      <c r="J625">
        <f>Cleaned_Data!J625</f>
        <v>8</v>
      </c>
      <c r="K625" t="str">
        <f t="shared" si="28"/>
        <v>2024-04</v>
      </c>
      <c r="L625">
        <f t="shared" si="29"/>
        <v>0</v>
      </c>
    </row>
    <row r="626" spans="1:12">
      <c r="A626" t="s">
        <v>1836</v>
      </c>
      <c r="B626" t="s">
        <v>1837</v>
      </c>
      <c r="C626" t="s">
        <v>1838</v>
      </c>
      <c r="D626" t="s">
        <v>23</v>
      </c>
      <c r="E626" t="s">
        <v>28</v>
      </c>
      <c r="F626" t="s">
        <v>17</v>
      </c>
      <c r="G626" t="s">
        <v>19</v>
      </c>
      <c r="H626">
        <f>Cleaned_Data!K626</f>
        <v>67.78</v>
      </c>
      <c r="I626" t="str">
        <f t="shared" si="27"/>
        <v>NO</v>
      </c>
      <c r="J626">
        <f>Cleaned_Data!J626</f>
        <v>24</v>
      </c>
      <c r="K626" t="str">
        <f t="shared" si="28"/>
        <v>2024-12</v>
      </c>
      <c r="L626">
        <f t="shared" si="29"/>
        <v>43.78</v>
      </c>
    </row>
    <row r="627" spans="1:12">
      <c r="A627" t="s">
        <v>1839</v>
      </c>
      <c r="B627" t="s">
        <v>1840</v>
      </c>
      <c r="C627" t="s">
        <v>1841</v>
      </c>
      <c r="D627" t="s">
        <v>15</v>
      </c>
      <c r="E627" t="s">
        <v>54</v>
      </c>
      <c r="F627" t="s">
        <v>60</v>
      </c>
      <c r="G627" t="s">
        <v>31</v>
      </c>
      <c r="H627">
        <f>Cleaned_Data!K627</f>
        <v>1.74</v>
      </c>
      <c r="I627" t="str">
        <f t="shared" si="27"/>
        <v>YES</v>
      </c>
      <c r="J627">
        <f>Cleaned_Data!J627</f>
        <v>8</v>
      </c>
      <c r="K627" t="str">
        <f t="shared" si="28"/>
        <v>2024-07</v>
      </c>
      <c r="L627">
        <f t="shared" si="29"/>
        <v>0</v>
      </c>
    </row>
    <row r="628" spans="1:12">
      <c r="A628" t="s">
        <v>1842</v>
      </c>
      <c r="B628" t="s">
        <v>1843</v>
      </c>
      <c r="D628" t="s">
        <v>23</v>
      </c>
      <c r="E628" t="s">
        <v>59</v>
      </c>
      <c r="F628" t="s">
        <v>17</v>
      </c>
      <c r="G628" t="s">
        <v>63</v>
      </c>
      <c r="H628">
        <f>Cleaned_Data!K628</f>
        <v>0</v>
      </c>
      <c r="I628" t="str">
        <f t="shared" si="27"/>
        <v/>
      </c>
      <c r="J628">
        <f>Cleaned_Data!J628</f>
        <v>24</v>
      </c>
      <c r="K628" t="str">
        <f t="shared" si="28"/>
        <v>2024-12</v>
      </c>
      <c r="L628">
        <f t="shared" si="29"/>
        <v>0</v>
      </c>
    </row>
    <row r="629" spans="1:12">
      <c r="A629" t="s">
        <v>1844</v>
      </c>
      <c r="B629" t="s">
        <v>1845</v>
      </c>
      <c r="C629" t="s">
        <v>1846</v>
      </c>
      <c r="D629" t="s">
        <v>15</v>
      </c>
      <c r="E629" t="s">
        <v>24</v>
      </c>
      <c r="F629" t="s">
        <v>60</v>
      </c>
      <c r="G629" t="s">
        <v>19</v>
      </c>
      <c r="H629">
        <f>Cleaned_Data!K629</f>
        <v>6.78</v>
      </c>
      <c r="I629" t="str">
        <f t="shared" si="27"/>
        <v>YES</v>
      </c>
      <c r="J629">
        <f>Cleaned_Data!J629</f>
        <v>8</v>
      </c>
      <c r="K629" t="str">
        <f t="shared" si="28"/>
        <v>2024-12</v>
      </c>
      <c r="L629">
        <f t="shared" si="29"/>
        <v>0</v>
      </c>
    </row>
    <row r="630" spans="1:12">
      <c r="A630" t="s">
        <v>1847</v>
      </c>
      <c r="B630" t="s">
        <v>1848</v>
      </c>
      <c r="C630" t="s">
        <v>1849</v>
      </c>
      <c r="D630" t="s">
        <v>15</v>
      </c>
      <c r="E630" t="s">
        <v>59</v>
      </c>
      <c r="F630" t="s">
        <v>41</v>
      </c>
      <c r="G630" t="s">
        <v>19</v>
      </c>
      <c r="H630">
        <f>Cleaned_Data!K630</f>
        <v>22.35</v>
      </c>
      <c r="I630" t="str">
        <f t="shared" si="27"/>
        <v>NO</v>
      </c>
      <c r="J630">
        <f>Cleaned_Data!J630</f>
        <v>8</v>
      </c>
      <c r="K630" t="str">
        <f t="shared" si="28"/>
        <v>2024-10</v>
      </c>
      <c r="L630">
        <f t="shared" si="29"/>
        <v>14.350000000000001</v>
      </c>
    </row>
    <row r="631" spans="1:12">
      <c r="A631" t="s">
        <v>1850</v>
      </c>
      <c r="B631" t="s">
        <v>1851</v>
      </c>
      <c r="C631" t="s">
        <v>1852</v>
      </c>
      <c r="D631" t="s">
        <v>15</v>
      </c>
      <c r="E631" t="s">
        <v>24</v>
      </c>
      <c r="F631" t="s">
        <v>17</v>
      </c>
      <c r="G631" t="s">
        <v>19</v>
      </c>
      <c r="H631">
        <f>Cleaned_Data!K631</f>
        <v>18.02</v>
      </c>
      <c r="I631" t="str">
        <f t="shared" si="27"/>
        <v>NO</v>
      </c>
      <c r="J631">
        <f>Cleaned_Data!J631</f>
        <v>8</v>
      </c>
      <c r="K631" t="str">
        <f t="shared" si="28"/>
        <v>2024-04</v>
      </c>
      <c r="L631">
        <f t="shared" si="29"/>
        <v>10.02</v>
      </c>
    </row>
    <row r="632" spans="1:12">
      <c r="A632" t="s">
        <v>1853</v>
      </c>
      <c r="B632" t="s">
        <v>1854</v>
      </c>
      <c r="C632" t="s">
        <v>1855</v>
      </c>
      <c r="D632" t="s">
        <v>15</v>
      </c>
      <c r="E632" t="s">
        <v>28</v>
      </c>
      <c r="F632" t="s">
        <v>36</v>
      </c>
      <c r="G632" t="s">
        <v>19</v>
      </c>
      <c r="H632">
        <f>Cleaned_Data!K632</f>
        <v>1.71</v>
      </c>
      <c r="I632" t="str">
        <f t="shared" si="27"/>
        <v>YES</v>
      </c>
      <c r="J632">
        <f>Cleaned_Data!J632</f>
        <v>8</v>
      </c>
      <c r="K632" t="str">
        <f t="shared" si="28"/>
        <v>2024-08</v>
      </c>
      <c r="L632">
        <f t="shared" si="29"/>
        <v>0</v>
      </c>
    </row>
    <row r="633" spans="1:12">
      <c r="A633" t="s">
        <v>1856</v>
      </c>
      <c r="B633" t="s">
        <v>1857</v>
      </c>
      <c r="C633" t="s">
        <v>1858</v>
      </c>
      <c r="D633" t="s">
        <v>23</v>
      </c>
      <c r="E633" t="s">
        <v>28</v>
      </c>
      <c r="F633" t="s">
        <v>41</v>
      </c>
      <c r="G633" t="s">
        <v>19</v>
      </c>
      <c r="H633">
        <f>Cleaned_Data!K633</f>
        <v>7.02</v>
      </c>
      <c r="I633" t="str">
        <f t="shared" si="27"/>
        <v>YES</v>
      </c>
      <c r="J633">
        <f>Cleaned_Data!J633</f>
        <v>24</v>
      </c>
      <c r="K633" t="str">
        <f t="shared" si="28"/>
        <v>2024-07</v>
      </c>
      <c r="L633">
        <f t="shared" si="29"/>
        <v>0</v>
      </c>
    </row>
    <row r="634" spans="1:12">
      <c r="A634" t="s">
        <v>1859</v>
      </c>
      <c r="B634" t="s">
        <v>1860</v>
      </c>
      <c r="C634" t="s">
        <v>1861</v>
      </c>
      <c r="D634" t="s">
        <v>35</v>
      </c>
      <c r="E634" t="s">
        <v>59</v>
      </c>
      <c r="F634" t="s">
        <v>17</v>
      </c>
      <c r="G634" t="s">
        <v>31</v>
      </c>
      <c r="H634">
        <f>Cleaned_Data!K634</f>
        <v>13.15</v>
      </c>
      <c r="I634" t="str">
        <f t="shared" si="27"/>
        <v>YES</v>
      </c>
      <c r="J634">
        <f>Cleaned_Data!J634</f>
        <v>48</v>
      </c>
      <c r="K634" t="str">
        <f t="shared" si="28"/>
        <v>2024-01</v>
      </c>
      <c r="L634">
        <f t="shared" si="29"/>
        <v>0</v>
      </c>
    </row>
    <row r="635" spans="1:12">
      <c r="A635" t="s">
        <v>1862</v>
      </c>
      <c r="B635" t="s">
        <v>1863</v>
      </c>
      <c r="C635" t="s">
        <v>1864</v>
      </c>
      <c r="D635" t="s">
        <v>35</v>
      </c>
      <c r="E635" t="s">
        <v>54</v>
      </c>
      <c r="F635" t="s">
        <v>29</v>
      </c>
      <c r="G635" t="s">
        <v>31</v>
      </c>
      <c r="H635">
        <f>Cleaned_Data!K635</f>
        <v>36.47</v>
      </c>
      <c r="I635" t="str">
        <f t="shared" si="27"/>
        <v>YES</v>
      </c>
      <c r="J635">
        <f>Cleaned_Data!J635</f>
        <v>48</v>
      </c>
      <c r="K635" t="str">
        <f t="shared" si="28"/>
        <v>2024-06</v>
      </c>
      <c r="L635">
        <f t="shared" si="29"/>
        <v>0</v>
      </c>
    </row>
    <row r="636" spans="1:12">
      <c r="A636" t="s">
        <v>1865</v>
      </c>
      <c r="B636" t="s">
        <v>1866</v>
      </c>
      <c r="C636" t="s">
        <v>1867</v>
      </c>
      <c r="D636" t="s">
        <v>23</v>
      </c>
      <c r="E636" t="s">
        <v>28</v>
      </c>
      <c r="F636" t="s">
        <v>60</v>
      </c>
      <c r="G636" t="s">
        <v>31</v>
      </c>
      <c r="H636">
        <f>Cleaned_Data!K636</f>
        <v>15.48</v>
      </c>
      <c r="I636" t="str">
        <f t="shared" si="27"/>
        <v>YES</v>
      </c>
      <c r="J636">
        <f>Cleaned_Data!J636</f>
        <v>24</v>
      </c>
      <c r="K636" t="str">
        <f t="shared" si="28"/>
        <v>2024-11</v>
      </c>
      <c r="L636">
        <f t="shared" si="29"/>
        <v>0</v>
      </c>
    </row>
    <row r="637" spans="1:12">
      <c r="A637" t="s">
        <v>1868</v>
      </c>
      <c r="B637" t="s">
        <v>1869</v>
      </c>
      <c r="C637" t="s">
        <v>1870</v>
      </c>
      <c r="D637" t="s">
        <v>23</v>
      </c>
      <c r="E637" t="s">
        <v>28</v>
      </c>
      <c r="F637" t="s">
        <v>36</v>
      </c>
      <c r="G637" t="s">
        <v>19</v>
      </c>
      <c r="H637">
        <f>Cleaned_Data!K637</f>
        <v>17.399999999999999</v>
      </c>
      <c r="I637" t="str">
        <f t="shared" si="27"/>
        <v>YES</v>
      </c>
      <c r="J637">
        <f>Cleaned_Data!J637</f>
        <v>24</v>
      </c>
      <c r="K637" t="str">
        <f t="shared" si="28"/>
        <v>2024-01</v>
      </c>
      <c r="L637">
        <f t="shared" si="29"/>
        <v>0</v>
      </c>
    </row>
    <row r="638" spans="1:12">
      <c r="A638" t="s">
        <v>1871</v>
      </c>
      <c r="B638" t="s">
        <v>1872</v>
      </c>
      <c r="C638" t="s">
        <v>1873</v>
      </c>
      <c r="D638" t="s">
        <v>23</v>
      </c>
      <c r="E638" t="s">
        <v>59</v>
      </c>
      <c r="F638" t="s">
        <v>17</v>
      </c>
      <c r="G638" t="s">
        <v>19</v>
      </c>
      <c r="H638">
        <f>Cleaned_Data!K638</f>
        <v>61.41</v>
      </c>
      <c r="I638" t="str">
        <f t="shared" si="27"/>
        <v>NO</v>
      </c>
      <c r="J638">
        <f>Cleaned_Data!J638</f>
        <v>24</v>
      </c>
      <c r="K638" t="str">
        <f t="shared" si="28"/>
        <v>2024-07</v>
      </c>
      <c r="L638">
        <f t="shared" si="29"/>
        <v>37.409999999999997</v>
      </c>
    </row>
    <row r="639" spans="1:12">
      <c r="A639" t="s">
        <v>1874</v>
      </c>
      <c r="B639" t="s">
        <v>1875</v>
      </c>
      <c r="C639" t="s">
        <v>1876</v>
      </c>
      <c r="D639" t="s">
        <v>23</v>
      </c>
      <c r="E639" t="s">
        <v>54</v>
      </c>
      <c r="F639" t="s">
        <v>36</v>
      </c>
      <c r="G639" t="s">
        <v>19</v>
      </c>
      <c r="H639">
        <f>Cleaned_Data!K639</f>
        <v>19.329999999999998</v>
      </c>
      <c r="I639" t="str">
        <f t="shared" si="27"/>
        <v>YES</v>
      </c>
      <c r="J639">
        <f>Cleaned_Data!J639</f>
        <v>24</v>
      </c>
      <c r="K639" t="str">
        <f t="shared" si="28"/>
        <v>2024-03</v>
      </c>
      <c r="L639">
        <f t="shared" si="29"/>
        <v>0</v>
      </c>
    </row>
    <row r="640" spans="1:12">
      <c r="A640" t="s">
        <v>1877</v>
      </c>
      <c r="B640" t="s">
        <v>1878</v>
      </c>
      <c r="C640" t="s">
        <v>1879</v>
      </c>
      <c r="D640" t="s">
        <v>23</v>
      </c>
      <c r="E640" t="s">
        <v>24</v>
      </c>
      <c r="F640" t="s">
        <v>60</v>
      </c>
      <c r="G640" t="s">
        <v>19</v>
      </c>
      <c r="H640">
        <f>Cleaned_Data!K640</f>
        <v>9</v>
      </c>
      <c r="I640" t="str">
        <f t="shared" si="27"/>
        <v>YES</v>
      </c>
      <c r="J640">
        <f>Cleaned_Data!J640</f>
        <v>24</v>
      </c>
      <c r="K640" t="str">
        <f t="shared" si="28"/>
        <v>2024-10</v>
      </c>
      <c r="L640">
        <f t="shared" si="29"/>
        <v>0</v>
      </c>
    </row>
    <row r="641" spans="1:12">
      <c r="A641" t="s">
        <v>1880</v>
      </c>
      <c r="B641" t="s">
        <v>1881</v>
      </c>
      <c r="C641" t="s">
        <v>1882</v>
      </c>
      <c r="D641" t="s">
        <v>23</v>
      </c>
      <c r="E641" t="s">
        <v>16</v>
      </c>
      <c r="F641" t="s">
        <v>17</v>
      </c>
      <c r="G641" t="s">
        <v>19</v>
      </c>
      <c r="H641">
        <f>Cleaned_Data!K641</f>
        <v>15.63</v>
      </c>
      <c r="I641" t="str">
        <f t="shared" si="27"/>
        <v>YES</v>
      </c>
      <c r="J641">
        <f>Cleaned_Data!J641</f>
        <v>24</v>
      </c>
      <c r="K641" t="str">
        <f t="shared" si="28"/>
        <v>2024-06</v>
      </c>
      <c r="L641">
        <f t="shared" si="29"/>
        <v>0</v>
      </c>
    </row>
    <row r="642" spans="1:12">
      <c r="A642" t="s">
        <v>1883</v>
      </c>
      <c r="B642" t="s">
        <v>1884</v>
      </c>
      <c r="C642" t="s">
        <v>1885</v>
      </c>
      <c r="D642" t="s">
        <v>23</v>
      </c>
      <c r="E642" t="s">
        <v>24</v>
      </c>
      <c r="F642" t="s">
        <v>36</v>
      </c>
      <c r="G642" t="s">
        <v>19</v>
      </c>
      <c r="H642">
        <f>Cleaned_Data!K642</f>
        <v>13.09</v>
      </c>
      <c r="I642" t="str">
        <f t="shared" ref="I642:I705" si="30">IF(OR(G642="Resolved", G642="Closed"), IF(AND(H642&lt;&gt;"", H642&lt;=J642), "YES", "NO"), "")</f>
        <v>YES</v>
      </c>
      <c r="J642">
        <f>Cleaned_Data!J642</f>
        <v>24</v>
      </c>
      <c r="K642" t="str">
        <f t="shared" ref="K642:K705" si="31">LEFT(B642, 7)</f>
        <v>2024-03</v>
      </c>
      <c r="L642">
        <f t="shared" ref="L642:L705" si="32">IF(I642="NO", H642-J642, 0)</f>
        <v>0</v>
      </c>
    </row>
    <row r="643" spans="1:12">
      <c r="A643" t="s">
        <v>1886</v>
      </c>
      <c r="B643" t="s">
        <v>1887</v>
      </c>
      <c r="C643" t="s">
        <v>1888</v>
      </c>
      <c r="D643" t="s">
        <v>35</v>
      </c>
      <c r="E643" t="s">
        <v>54</v>
      </c>
      <c r="F643" t="s">
        <v>17</v>
      </c>
      <c r="G643" t="s">
        <v>31</v>
      </c>
      <c r="H643">
        <f>Cleaned_Data!K643</f>
        <v>11.77</v>
      </c>
      <c r="I643" t="str">
        <f t="shared" si="30"/>
        <v>YES</v>
      </c>
      <c r="J643">
        <f>Cleaned_Data!J643</f>
        <v>48</v>
      </c>
      <c r="K643" t="str">
        <f t="shared" si="31"/>
        <v>2024-11</v>
      </c>
      <c r="L643">
        <f t="shared" si="32"/>
        <v>0</v>
      </c>
    </row>
    <row r="644" spans="1:12">
      <c r="A644" t="s">
        <v>1889</v>
      </c>
      <c r="B644" t="s">
        <v>1890</v>
      </c>
      <c r="C644" t="s">
        <v>1891</v>
      </c>
      <c r="D644" t="s">
        <v>23</v>
      </c>
      <c r="E644" t="s">
        <v>54</v>
      </c>
      <c r="F644" t="s">
        <v>17</v>
      </c>
      <c r="G644" t="s">
        <v>31</v>
      </c>
      <c r="H644">
        <f>Cleaned_Data!K644</f>
        <v>18</v>
      </c>
      <c r="I644" t="str">
        <f t="shared" si="30"/>
        <v>YES</v>
      </c>
      <c r="J644">
        <f>Cleaned_Data!J644</f>
        <v>24</v>
      </c>
      <c r="K644" t="str">
        <f t="shared" si="31"/>
        <v>2024-12</v>
      </c>
      <c r="L644">
        <f t="shared" si="32"/>
        <v>0</v>
      </c>
    </row>
    <row r="645" spans="1:12">
      <c r="A645" t="s">
        <v>1892</v>
      </c>
      <c r="B645" t="s">
        <v>1893</v>
      </c>
      <c r="C645" t="s">
        <v>1894</v>
      </c>
      <c r="D645" t="s">
        <v>15</v>
      </c>
      <c r="E645" t="s">
        <v>24</v>
      </c>
      <c r="F645" t="s">
        <v>17</v>
      </c>
      <c r="G645" t="s">
        <v>19</v>
      </c>
      <c r="H645">
        <f>Cleaned_Data!K645</f>
        <v>0.88</v>
      </c>
      <c r="I645" t="str">
        <f t="shared" si="30"/>
        <v>YES</v>
      </c>
      <c r="J645">
        <f>Cleaned_Data!J645</f>
        <v>8</v>
      </c>
      <c r="K645" t="str">
        <f t="shared" si="31"/>
        <v>2024-06</v>
      </c>
      <c r="L645">
        <f t="shared" si="32"/>
        <v>0</v>
      </c>
    </row>
    <row r="646" spans="1:12">
      <c r="A646" t="s">
        <v>1895</v>
      </c>
      <c r="B646" t="s">
        <v>1896</v>
      </c>
      <c r="C646" t="s">
        <v>1897</v>
      </c>
      <c r="D646" t="s">
        <v>23</v>
      </c>
      <c r="E646" t="s">
        <v>24</v>
      </c>
      <c r="F646" t="s">
        <v>41</v>
      </c>
      <c r="G646" t="s">
        <v>19</v>
      </c>
      <c r="H646">
        <f>Cleaned_Data!K646</f>
        <v>11.66</v>
      </c>
      <c r="I646" t="str">
        <f t="shared" si="30"/>
        <v>YES</v>
      </c>
      <c r="J646">
        <f>Cleaned_Data!J646</f>
        <v>24</v>
      </c>
      <c r="K646" t="str">
        <f t="shared" si="31"/>
        <v>2024-07</v>
      </c>
      <c r="L646">
        <f t="shared" si="32"/>
        <v>0</v>
      </c>
    </row>
    <row r="647" spans="1:12">
      <c r="A647" t="s">
        <v>1898</v>
      </c>
      <c r="B647" t="s">
        <v>1899</v>
      </c>
      <c r="C647" t="s">
        <v>1900</v>
      </c>
      <c r="D647" t="s">
        <v>23</v>
      </c>
      <c r="E647" t="s">
        <v>28</v>
      </c>
      <c r="F647" t="s">
        <v>60</v>
      </c>
      <c r="G647" t="s">
        <v>31</v>
      </c>
      <c r="H647">
        <f>Cleaned_Data!K647</f>
        <v>19.239999999999998</v>
      </c>
      <c r="I647" t="str">
        <f t="shared" si="30"/>
        <v>YES</v>
      </c>
      <c r="J647">
        <f>Cleaned_Data!J647</f>
        <v>24</v>
      </c>
      <c r="K647" t="str">
        <f t="shared" si="31"/>
        <v>2024-08</v>
      </c>
      <c r="L647">
        <f t="shared" si="32"/>
        <v>0</v>
      </c>
    </row>
    <row r="648" spans="1:12">
      <c r="A648" t="s">
        <v>1901</v>
      </c>
      <c r="B648" t="s">
        <v>1902</v>
      </c>
      <c r="C648" t="s">
        <v>1903</v>
      </c>
      <c r="D648" t="s">
        <v>158</v>
      </c>
      <c r="E648" t="s">
        <v>28</v>
      </c>
      <c r="F648" t="s">
        <v>17</v>
      </c>
      <c r="G648" t="s">
        <v>31</v>
      </c>
      <c r="H648">
        <f>Cleaned_Data!K648</f>
        <v>6.53</v>
      </c>
      <c r="I648" t="str">
        <f t="shared" si="30"/>
        <v>NO</v>
      </c>
      <c r="J648">
        <f>Cleaned_Data!J648</f>
        <v>4</v>
      </c>
      <c r="K648" t="str">
        <f t="shared" si="31"/>
        <v>2024-02</v>
      </c>
      <c r="L648">
        <f t="shared" si="32"/>
        <v>2.5300000000000002</v>
      </c>
    </row>
    <row r="649" spans="1:12">
      <c r="A649" t="s">
        <v>1904</v>
      </c>
      <c r="B649" t="s">
        <v>1905</v>
      </c>
      <c r="C649" t="s">
        <v>1906</v>
      </c>
      <c r="D649" t="s">
        <v>15</v>
      </c>
      <c r="E649" t="s">
        <v>59</v>
      </c>
      <c r="F649" t="s">
        <v>17</v>
      </c>
      <c r="G649" t="s">
        <v>19</v>
      </c>
      <c r="H649">
        <f>Cleaned_Data!K649</f>
        <v>5.56</v>
      </c>
      <c r="I649" t="str">
        <f t="shared" si="30"/>
        <v>YES</v>
      </c>
      <c r="J649">
        <f>Cleaned_Data!J649</f>
        <v>8</v>
      </c>
      <c r="K649" t="str">
        <f t="shared" si="31"/>
        <v>2024-01</v>
      </c>
      <c r="L649">
        <f t="shared" si="32"/>
        <v>0</v>
      </c>
    </row>
    <row r="650" spans="1:12">
      <c r="A650" t="s">
        <v>1907</v>
      </c>
      <c r="B650" t="s">
        <v>1908</v>
      </c>
      <c r="D650" t="s">
        <v>15</v>
      </c>
      <c r="E650" t="s">
        <v>28</v>
      </c>
      <c r="F650" t="s">
        <v>60</v>
      </c>
      <c r="G650" t="s">
        <v>63</v>
      </c>
      <c r="H650">
        <f>Cleaned_Data!K650</f>
        <v>0</v>
      </c>
      <c r="I650" t="str">
        <f t="shared" si="30"/>
        <v/>
      </c>
      <c r="J650">
        <f>Cleaned_Data!J650</f>
        <v>8</v>
      </c>
      <c r="K650" t="str">
        <f t="shared" si="31"/>
        <v>2024-08</v>
      </c>
      <c r="L650">
        <f t="shared" si="32"/>
        <v>0</v>
      </c>
    </row>
    <row r="651" spans="1:12">
      <c r="A651" t="s">
        <v>1909</v>
      </c>
      <c r="B651" t="s">
        <v>1910</v>
      </c>
      <c r="C651" t="s">
        <v>1911</v>
      </c>
      <c r="D651" t="s">
        <v>23</v>
      </c>
      <c r="E651" t="s">
        <v>28</v>
      </c>
      <c r="F651" t="s">
        <v>41</v>
      </c>
      <c r="G651" t="s">
        <v>31</v>
      </c>
      <c r="H651">
        <f>Cleaned_Data!K651</f>
        <v>28.24</v>
      </c>
      <c r="I651" t="str">
        <f t="shared" si="30"/>
        <v>NO</v>
      </c>
      <c r="J651">
        <f>Cleaned_Data!J651</f>
        <v>24</v>
      </c>
      <c r="K651" t="str">
        <f t="shared" si="31"/>
        <v>2024-02</v>
      </c>
      <c r="L651">
        <f t="shared" si="32"/>
        <v>4.2399999999999984</v>
      </c>
    </row>
    <row r="652" spans="1:12">
      <c r="A652" t="s">
        <v>1912</v>
      </c>
      <c r="B652" t="s">
        <v>1913</v>
      </c>
      <c r="C652" t="s">
        <v>1914</v>
      </c>
      <c r="D652" t="s">
        <v>23</v>
      </c>
      <c r="E652" t="s">
        <v>28</v>
      </c>
      <c r="F652" t="s">
        <v>60</v>
      </c>
      <c r="G652" t="s">
        <v>19</v>
      </c>
      <c r="H652">
        <f>Cleaned_Data!K652</f>
        <v>14.89</v>
      </c>
      <c r="I652" t="str">
        <f t="shared" si="30"/>
        <v>YES</v>
      </c>
      <c r="J652">
        <f>Cleaned_Data!J652</f>
        <v>24</v>
      </c>
      <c r="K652" t="str">
        <f t="shared" si="31"/>
        <v>2024-02</v>
      </c>
      <c r="L652">
        <f t="shared" si="32"/>
        <v>0</v>
      </c>
    </row>
    <row r="653" spans="1:12">
      <c r="A653" t="s">
        <v>1915</v>
      </c>
      <c r="B653" t="s">
        <v>1916</v>
      </c>
      <c r="C653" t="s">
        <v>1917</v>
      </c>
      <c r="D653" t="s">
        <v>35</v>
      </c>
      <c r="E653" t="s">
        <v>28</v>
      </c>
      <c r="F653" t="s">
        <v>36</v>
      </c>
      <c r="G653" t="s">
        <v>31</v>
      </c>
      <c r="H653">
        <f>Cleaned_Data!K653</f>
        <v>36.96</v>
      </c>
      <c r="I653" t="str">
        <f t="shared" si="30"/>
        <v>YES</v>
      </c>
      <c r="J653">
        <f>Cleaned_Data!J653</f>
        <v>48</v>
      </c>
      <c r="K653" t="str">
        <f t="shared" si="31"/>
        <v>2024-10</v>
      </c>
      <c r="L653">
        <f t="shared" si="32"/>
        <v>0</v>
      </c>
    </row>
    <row r="654" spans="1:12">
      <c r="A654" t="s">
        <v>1918</v>
      </c>
      <c r="B654" t="s">
        <v>1919</v>
      </c>
      <c r="D654" t="s">
        <v>23</v>
      </c>
      <c r="E654" t="s">
        <v>28</v>
      </c>
      <c r="F654" t="s">
        <v>60</v>
      </c>
      <c r="G654" t="s">
        <v>46</v>
      </c>
      <c r="H654">
        <f>Cleaned_Data!K654</f>
        <v>0</v>
      </c>
      <c r="I654" t="str">
        <f t="shared" si="30"/>
        <v/>
      </c>
      <c r="J654">
        <f>Cleaned_Data!J654</f>
        <v>24</v>
      </c>
      <c r="K654" t="str">
        <f t="shared" si="31"/>
        <v>2024-06</v>
      </c>
      <c r="L654">
        <f t="shared" si="32"/>
        <v>0</v>
      </c>
    </row>
    <row r="655" spans="1:12">
      <c r="A655" t="s">
        <v>1920</v>
      </c>
      <c r="B655" t="s">
        <v>1921</v>
      </c>
      <c r="C655" t="s">
        <v>1922</v>
      </c>
      <c r="D655" t="s">
        <v>35</v>
      </c>
      <c r="E655" t="s">
        <v>16</v>
      </c>
      <c r="F655" t="s">
        <v>41</v>
      </c>
      <c r="G655" t="s">
        <v>31</v>
      </c>
      <c r="H655">
        <f>Cleaned_Data!K655</f>
        <v>37.770000000000003</v>
      </c>
      <c r="I655" t="str">
        <f t="shared" si="30"/>
        <v>YES</v>
      </c>
      <c r="J655">
        <f>Cleaned_Data!J655</f>
        <v>48</v>
      </c>
      <c r="K655" t="str">
        <f t="shared" si="31"/>
        <v>2024-05</v>
      </c>
      <c r="L655">
        <f t="shared" si="32"/>
        <v>0</v>
      </c>
    </row>
    <row r="656" spans="1:12">
      <c r="A656" t="s">
        <v>1923</v>
      </c>
      <c r="B656" t="s">
        <v>1924</v>
      </c>
      <c r="C656" t="s">
        <v>1925</v>
      </c>
      <c r="D656" t="s">
        <v>23</v>
      </c>
      <c r="E656" t="s">
        <v>59</v>
      </c>
      <c r="F656" t="s">
        <v>36</v>
      </c>
      <c r="G656" t="s">
        <v>19</v>
      </c>
      <c r="H656">
        <f>Cleaned_Data!K656</f>
        <v>4.8099999999999996</v>
      </c>
      <c r="I656" t="str">
        <f t="shared" si="30"/>
        <v>YES</v>
      </c>
      <c r="J656">
        <f>Cleaned_Data!J656</f>
        <v>24</v>
      </c>
      <c r="K656" t="str">
        <f t="shared" si="31"/>
        <v>2024-03</v>
      </c>
      <c r="L656">
        <f t="shared" si="32"/>
        <v>0</v>
      </c>
    </row>
    <row r="657" spans="1:12">
      <c r="A657" t="s">
        <v>1926</v>
      </c>
      <c r="B657" t="s">
        <v>1927</v>
      </c>
      <c r="C657" t="s">
        <v>1928</v>
      </c>
      <c r="D657" t="s">
        <v>23</v>
      </c>
      <c r="E657" t="s">
        <v>16</v>
      </c>
      <c r="F657" t="s">
        <v>36</v>
      </c>
      <c r="G657" t="s">
        <v>19</v>
      </c>
      <c r="H657">
        <f>Cleaned_Data!K657</f>
        <v>6.73</v>
      </c>
      <c r="I657" t="str">
        <f t="shared" si="30"/>
        <v>YES</v>
      </c>
      <c r="J657">
        <f>Cleaned_Data!J657</f>
        <v>24</v>
      </c>
      <c r="K657" t="str">
        <f t="shared" si="31"/>
        <v>2024-11</v>
      </c>
      <c r="L657">
        <f t="shared" si="32"/>
        <v>0</v>
      </c>
    </row>
    <row r="658" spans="1:12">
      <c r="A658" t="s">
        <v>1929</v>
      </c>
      <c r="B658" t="s">
        <v>1930</v>
      </c>
      <c r="C658" t="s">
        <v>1931</v>
      </c>
      <c r="D658" t="s">
        <v>15</v>
      </c>
      <c r="E658" t="s">
        <v>16</v>
      </c>
      <c r="F658" t="s">
        <v>29</v>
      </c>
      <c r="G658" t="s">
        <v>19</v>
      </c>
      <c r="H658">
        <f>Cleaned_Data!K658</f>
        <v>0.84</v>
      </c>
      <c r="I658" t="str">
        <f t="shared" si="30"/>
        <v>YES</v>
      </c>
      <c r="J658">
        <f>Cleaned_Data!J658</f>
        <v>8</v>
      </c>
      <c r="K658" t="str">
        <f t="shared" si="31"/>
        <v>2024-09</v>
      </c>
      <c r="L658">
        <f t="shared" si="32"/>
        <v>0</v>
      </c>
    </row>
    <row r="659" spans="1:12">
      <c r="A659" t="s">
        <v>1932</v>
      </c>
      <c r="B659" t="s">
        <v>1933</v>
      </c>
      <c r="C659" t="s">
        <v>1934</v>
      </c>
      <c r="D659" t="s">
        <v>23</v>
      </c>
      <c r="E659" t="s">
        <v>24</v>
      </c>
      <c r="F659" t="s">
        <v>36</v>
      </c>
      <c r="G659" t="s">
        <v>19</v>
      </c>
      <c r="H659">
        <f>Cleaned_Data!K659</f>
        <v>68.36</v>
      </c>
      <c r="I659" t="str">
        <f t="shared" si="30"/>
        <v>NO</v>
      </c>
      <c r="J659">
        <f>Cleaned_Data!J659</f>
        <v>24</v>
      </c>
      <c r="K659" t="str">
        <f t="shared" si="31"/>
        <v>2024-05</v>
      </c>
      <c r="L659">
        <f t="shared" si="32"/>
        <v>44.36</v>
      </c>
    </row>
    <row r="660" spans="1:12">
      <c r="A660" t="s">
        <v>1935</v>
      </c>
      <c r="B660" t="s">
        <v>1936</v>
      </c>
      <c r="C660" t="s">
        <v>1937</v>
      </c>
      <c r="D660" t="s">
        <v>23</v>
      </c>
      <c r="E660" t="s">
        <v>54</v>
      </c>
      <c r="F660" t="s">
        <v>41</v>
      </c>
      <c r="G660" t="s">
        <v>31</v>
      </c>
      <c r="H660">
        <f>Cleaned_Data!K660</f>
        <v>50.33</v>
      </c>
      <c r="I660" t="str">
        <f t="shared" si="30"/>
        <v>NO</v>
      </c>
      <c r="J660">
        <f>Cleaned_Data!J660</f>
        <v>24</v>
      </c>
      <c r="K660" t="str">
        <f t="shared" si="31"/>
        <v>2024-07</v>
      </c>
      <c r="L660">
        <f t="shared" si="32"/>
        <v>26.33</v>
      </c>
    </row>
    <row r="661" spans="1:12">
      <c r="A661" t="s">
        <v>1938</v>
      </c>
      <c r="B661" t="s">
        <v>1939</v>
      </c>
      <c r="C661" t="s">
        <v>1940</v>
      </c>
      <c r="D661" t="s">
        <v>35</v>
      </c>
      <c r="E661" t="s">
        <v>59</v>
      </c>
      <c r="F661" t="s">
        <v>36</v>
      </c>
      <c r="G661" t="s">
        <v>19</v>
      </c>
      <c r="H661">
        <f>Cleaned_Data!K661</f>
        <v>17.670000000000002</v>
      </c>
      <c r="I661" t="str">
        <f t="shared" si="30"/>
        <v>YES</v>
      </c>
      <c r="J661">
        <f>Cleaned_Data!J661</f>
        <v>48</v>
      </c>
      <c r="K661" t="str">
        <f t="shared" si="31"/>
        <v>2024-10</v>
      </c>
      <c r="L661">
        <f t="shared" si="32"/>
        <v>0</v>
      </c>
    </row>
    <row r="662" spans="1:12">
      <c r="A662" t="s">
        <v>1941</v>
      </c>
      <c r="B662" t="s">
        <v>1942</v>
      </c>
      <c r="D662" t="s">
        <v>23</v>
      </c>
      <c r="E662" t="s">
        <v>28</v>
      </c>
      <c r="F662" t="s">
        <v>29</v>
      </c>
      <c r="G662" t="s">
        <v>46</v>
      </c>
      <c r="H662">
        <f>Cleaned_Data!K662</f>
        <v>0</v>
      </c>
      <c r="I662" t="str">
        <f t="shared" si="30"/>
        <v/>
      </c>
      <c r="J662">
        <f>Cleaned_Data!J662</f>
        <v>24</v>
      </c>
      <c r="K662" t="str">
        <f t="shared" si="31"/>
        <v>2024-03</v>
      </c>
      <c r="L662">
        <f t="shared" si="32"/>
        <v>0</v>
      </c>
    </row>
    <row r="663" spans="1:12">
      <c r="A663" t="s">
        <v>1943</v>
      </c>
      <c r="B663" t="s">
        <v>1944</v>
      </c>
      <c r="C663" t="s">
        <v>1945</v>
      </c>
      <c r="D663" t="s">
        <v>35</v>
      </c>
      <c r="E663" t="s">
        <v>28</v>
      </c>
      <c r="F663" t="s">
        <v>41</v>
      </c>
      <c r="G663" t="s">
        <v>19</v>
      </c>
      <c r="H663">
        <f>Cleaned_Data!K663</f>
        <v>29.51</v>
      </c>
      <c r="I663" t="str">
        <f t="shared" si="30"/>
        <v>YES</v>
      </c>
      <c r="J663">
        <f>Cleaned_Data!J663</f>
        <v>48</v>
      </c>
      <c r="K663" t="str">
        <f t="shared" si="31"/>
        <v>2024-04</v>
      </c>
      <c r="L663">
        <f t="shared" si="32"/>
        <v>0</v>
      </c>
    </row>
    <row r="664" spans="1:12">
      <c r="A664" t="s">
        <v>1946</v>
      </c>
      <c r="B664" t="s">
        <v>1947</v>
      </c>
      <c r="C664" t="s">
        <v>1948</v>
      </c>
      <c r="D664" t="s">
        <v>35</v>
      </c>
      <c r="E664" t="s">
        <v>16</v>
      </c>
      <c r="F664" t="s">
        <v>29</v>
      </c>
      <c r="G664" t="s">
        <v>19</v>
      </c>
      <c r="H664">
        <f>Cleaned_Data!K664</f>
        <v>25.08</v>
      </c>
      <c r="I664" t="str">
        <f t="shared" si="30"/>
        <v>YES</v>
      </c>
      <c r="J664">
        <f>Cleaned_Data!J664</f>
        <v>48</v>
      </c>
      <c r="K664" t="str">
        <f t="shared" si="31"/>
        <v>2024-02</v>
      </c>
      <c r="L664">
        <f t="shared" si="32"/>
        <v>0</v>
      </c>
    </row>
    <row r="665" spans="1:12">
      <c r="A665" t="s">
        <v>1949</v>
      </c>
      <c r="B665" t="s">
        <v>1950</v>
      </c>
      <c r="C665" t="s">
        <v>1951</v>
      </c>
      <c r="D665" t="s">
        <v>35</v>
      </c>
      <c r="E665" t="s">
        <v>28</v>
      </c>
      <c r="F665" t="s">
        <v>60</v>
      </c>
      <c r="G665" t="s">
        <v>19</v>
      </c>
      <c r="H665">
        <f>Cleaned_Data!K665</f>
        <v>6.33</v>
      </c>
      <c r="I665" t="str">
        <f t="shared" si="30"/>
        <v>YES</v>
      </c>
      <c r="J665">
        <f>Cleaned_Data!J665</f>
        <v>48</v>
      </c>
      <c r="K665" t="str">
        <f t="shared" si="31"/>
        <v>2024-06</v>
      </c>
      <c r="L665">
        <f t="shared" si="32"/>
        <v>0</v>
      </c>
    </row>
    <row r="666" spans="1:12">
      <c r="A666" t="s">
        <v>1952</v>
      </c>
      <c r="B666" t="s">
        <v>1953</v>
      </c>
      <c r="C666" t="s">
        <v>1954</v>
      </c>
      <c r="D666" t="s">
        <v>23</v>
      </c>
      <c r="E666" t="s">
        <v>24</v>
      </c>
      <c r="F666" t="s">
        <v>41</v>
      </c>
      <c r="G666" t="s">
        <v>19</v>
      </c>
      <c r="H666">
        <f>Cleaned_Data!K666</f>
        <v>12.26</v>
      </c>
      <c r="I666" t="str">
        <f t="shared" si="30"/>
        <v>YES</v>
      </c>
      <c r="J666">
        <f>Cleaned_Data!J666</f>
        <v>24</v>
      </c>
      <c r="K666" t="str">
        <f t="shared" si="31"/>
        <v>2024-02</v>
      </c>
      <c r="L666">
        <f t="shared" si="32"/>
        <v>0</v>
      </c>
    </row>
    <row r="667" spans="1:12">
      <c r="A667" t="s">
        <v>1955</v>
      </c>
      <c r="B667" t="s">
        <v>1956</v>
      </c>
      <c r="C667" t="s">
        <v>1957</v>
      </c>
      <c r="D667" t="s">
        <v>23</v>
      </c>
      <c r="E667" t="s">
        <v>24</v>
      </c>
      <c r="F667" t="s">
        <v>36</v>
      </c>
      <c r="G667" t="s">
        <v>31</v>
      </c>
      <c r="H667">
        <f>Cleaned_Data!K667</f>
        <v>17.18</v>
      </c>
      <c r="I667" t="str">
        <f t="shared" si="30"/>
        <v>YES</v>
      </c>
      <c r="J667">
        <f>Cleaned_Data!J667</f>
        <v>24</v>
      </c>
      <c r="K667" t="str">
        <f t="shared" si="31"/>
        <v>2024-04</v>
      </c>
      <c r="L667">
        <f t="shared" si="32"/>
        <v>0</v>
      </c>
    </row>
    <row r="668" spans="1:12">
      <c r="A668" t="s">
        <v>1958</v>
      </c>
      <c r="B668" t="s">
        <v>1959</v>
      </c>
      <c r="C668" t="s">
        <v>1960</v>
      </c>
      <c r="D668" t="s">
        <v>35</v>
      </c>
      <c r="E668" t="s">
        <v>24</v>
      </c>
      <c r="F668" t="s">
        <v>29</v>
      </c>
      <c r="G668" t="s">
        <v>31</v>
      </c>
      <c r="H668">
        <f>Cleaned_Data!K668</f>
        <v>8.35</v>
      </c>
      <c r="I668" t="str">
        <f t="shared" si="30"/>
        <v>YES</v>
      </c>
      <c r="J668">
        <f>Cleaned_Data!J668</f>
        <v>48</v>
      </c>
      <c r="K668" t="str">
        <f t="shared" si="31"/>
        <v>2024-10</v>
      </c>
      <c r="L668">
        <f t="shared" si="32"/>
        <v>0</v>
      </c>
    </row>
    <row r="669" spans="1:12">
      <c r="A669" t="s">
        <v>1961</v>
      </c>
      <c r="B669" t="s">
        <v>1962</v>
      </c>
      <c r="C669" t="s">
        <v>1963</v>
      </c>
      <c r="D669" t="s">
        <v>15</v>
      </c>
      <c r="E669" t="s">
        <v>16</v>
      </c>
      <c r="F669" t="s">
        <v>29</v>
      </c>
      <c r="G669" t="s">
        <v>31</v>
      </c>
      <c r="H669">
        <f>Cleaned_Data!K669</f>
        <v>6.87</v>
      </c>
      <c r="I669" t="str">
        <f t="shared" si="30"/>
        <v>YES</v>
      </c>
      <c r="J669">
        <f>Cleaned_Data!J669</f>
        <v>8</v>
      </c>
      <c r="K669" t="str">
        <f t="shared" si="31"/>
        <v>2024-01</v>
      </c>
      <c r="L669">
        <f t="shared" si="32"/>
        <v>0</v>
      </c>
    </row>
    <row r="670" spans="1:12">
      <c r="A670" t="s">
        <v>1964</v>
      </c>
      <c r="B670" t="s">
        <v>1965</v>
      </c>
      <c r="C670" t="s">
        <v>1966</v>
      </c>
      <c r="D670" t="s">
        <v>15</v>
      </c>
      <c r="E670" t="s">
        <v>28</v>
      </c>
      <c r="F670" t="s">
        <v>41</v>
      </c>
      <c r="G670" t="s">
        <v>19</v>
      </c>
      <c r="H670">
        <f>Cleaned_Data!K670</f>
        <v>2.66</v>
      </c>
      <c r="I670" t="str">
        <f t="shared" si="30"/>
        <v>YES</v>
      </c>
      <c r="J670">
        <f>Cleaned_Data!J670</f>
        <v>8</v>
      </c>
      <c r="K670" t="str">
        <f t="shared" si="31"/>
        <v>2024-03</v>
      </c>
      <c r="L670">
        <f t="shared" si="32"/>
        <v>0</v>
      </c>
    </row>
    <row r="671" spans="1:12">
      <c r="A671" t="s">
        <v>1967</v>
      </c>
      <c r="B671" t="s">
        <v>1968</v>
      </c>
      <c r="C671" t="s">
        <v>1969</v>
      </c>
      <c r="D671" t="s">
        <v>23</v>
      </c>
      <c r="E671" t="s">
        <v>24</v>
      </c>
      <c r="F671" t="s">
        <v>60</v>
      </c>
      <c r="G671" t="s">
        <v>19</v>
      </c>
      <c r="H671">
        <f>Cleaned_Data!K671</f>
        <v>21.64</v>
      </c>
      <c r="I671" t="str">
        <f t="shared" si="30"/>
        <v>YES</v>
      </c>
      <c r="J671">
        <f>Cleaned_Data!J671</f>
        <v>24</v>
      </c>
      <c r="K671" t="str">
        <f t="shared" si="31"/>
        <v>2024-08</v>
      </c>
      <c r="L671">
        <f t="shared" si="32"/>
        <v>0</v>
      </c>
    </row>
    <row r="672" spans="1:12">
      <c r="A672" t="s">
        <v>1970</v>
      </c>
      <c r="B672" t="s">
        <v>1971</v>
      </c>
      <c r="C672" t="s">
        <v>1972</v>
      </c>
      <c r="D672" t="s">
        <v>15</v>
      </c>
      <c r="E672" t="s">
        <v>59</v>
      </c>
      <c r="F672" t="s">
        <v>60</v>
      </c>
      <c r="G672" t="s">
        <v>19</v>
      </c>
      <c r="H672">
        <f>Cleaned_Data!K672</f>
        <v>1</v>
      </c>
      <c r="I672" t="str">
        <f t="shared" si="30"/>
        <v>YES</v>
      </c>
      <c r="J672">
        <f>Cleaned_Data!J672</f>
        <v>8</v>
      </c>
      <c r="K672" t="str">
        <f t="shared" si="31"/>
        <v>2024-08</v>
      </c>
      <c r="L672">
        <f t="shared" si="32"/>
        <v>0</v>
      </c>
    </row>
    <row r="673" spans="1:12">
      <c r="A673" t="s">
        <v>1973</v>
      </c>
      <c r="B673" t="s">
        <v>1974</v>
      </c>
      <c r="C673" t="s">
        <v>1975</v>
      </c>
      <c r="D673" t="s">
        <v>15</v>
      </c>
      <c r="E673" t="s">
        <v>24</v>
      </c>
      <c r="F673" t="s">
        <v>41</v>
      </c>
      <c r="G673" t="s">
        <v>19</v>
      </c>
      <c r="H673">
        <f>Cleaned_Data!K673</f>
        <v>4.83</v>
      </c>
      <c r="I673" t="str">
        <f t="shared" si="30"/>
        <v>YES</v>
      </c>
      <c r="J673">
        <f>Cleaned_Data!J673</f>
        <v>8</v>
      </c>
      <c r="K673" t="str">
        <f t="shared" si="31"/>
        <v>2024-01</v>
      </c>
      <c r="L673">
        <f t="shared" si="32"/>
        <v>0</v>
      </c>
    </row>
    <row r="674" spans="1:12">
      <c r="A674" t="s">
        <v>1976</v>
      </c>
      <c r="B674" t="s">
        <v>1977</v>
      </c>
      <c r="C674" t="s">
        <v>1978</v>
      </c>
      <c r="D674" t="s">
        <v>23</v>
      </c>
      <c r="E674" t="s">
        <v>28</v>
      </c>
      <c r="F674" t="s">
        <v>29</v>
      </c>
      <c r="G674" t="s">
        <v>31</v>
      </c>
      <c r="H674">
        <f>Cleaned_Data!K674</f>
        <v>13.28</v>
      </c>
      <c r="I674" t="str">
        <f t="shared" si="30"/>
        <v>YES</v>
      </c>
      <c r="J674">
        <f>Cleaned_Data!J674</f>
        <v>24</v>
      </c>
      <c r="K674" t="str">
        <f t="shared" si="31"/>
        <v>2024-09</v>
      </c>
      <c r="L674">
        <f t="shared" si="32"/>
        <v>0</v>
      </c>
    </row>
    <row r="675" spans="1:12">
      <c r="A675" t="s">
        <v>1979</v>
      </c>
      <c r="B675" t="s">
        <v>1980</v>
      </c>
      <c r="C675" t="s">
        <v>1981</v>
      </c>
      <c r="D675" t="s">
        <v>23</v>
      </c>
      <c r="E675" t="s">
        <v>54</v>
      </c>
      <c r="F675" t="s">
        <v>36</v>
      </c>
      <c r="G675" t="s">
        <v>19</v>
      </c>
      <c r="H675">
        <f>Cleaned_Data!K675</f>
        <v>16.36</v>
      </c>
      <c r="I675" t="str">
        <f t="shared" si="30"/>
        <v>YES</v>
      </c>
      <c r="J675">
        <f>Cleaned_Data!J675</f>
        <v>24</v>
      </c>
      <c r="K675" t="str">
        <f t="shared" si="31"/>
        <v>2024-10</v>
      </c>
      <c r="L675">
        <f t="shared" si="32"/>
        <v>0</v>
      </c>
    </row>
    <row r="676" spans="1:12">
      <c r="A676" t="s">
        <v>1982</v>
      </c>
      <c r="B676" t="s">
        <v>1983</v>
      </c>
      <c r="C676" t="s">
        <v>1984</v>
      </c>
      <c r="D676" t="s">
        <v>23</v>
      </c>
      <c r="E676" t="s">
        <v>59</v>
      </c>
      <c r="F676" t="s">
        <v>17</v>
      </c>
      <c r="G676" t="s">
        <v>19</v>
      </c>
      <c r="H676">
        <f>Cleaned_Data!K676</f>
        <v>6.14</v>
      </c>
      <c r="I676" t="str">
        <f t="shared" si="30"/>
        <v>YES</v>
      </c>
      <c r="J676">
        <f>Cleaned_Data!J676</f>
        <v>24</v>
      </c>
      <c r="K676" t="str">
        <f t="shared" si="31"/>
        <v>2024-06</v>
      </c>
      <c r="L676">
        <f t="shared" si="32"/>
        <v>0</v>
      </c>
    </row>
    <row r="677" spans="1:12">
      <c r="A677" t="s">
        <v>1985</v>
      </c>
      <c r="B677" t="s">
        <v>1986</v>
      </c>
      <c r="C677" t="s">
        <v>1987</v>
      </c>
      <c r="D677" t="s">
        <v>23</v>
      </c>
      <c r="E677" t="s">
        <v>16</v>
      </c>
      <c r="F677" t="s">
        <v>41</v>
      </c>
      <c r="G677" t="s">
        <v>19</v>
      </c>
      <c r="H677">
        <f>Cleaned_Data!K677</f>
        <v>9.57</v>
      </c>
      <c r="I677" t="str">
        <f t="shared" si="30"/>
        <v>YES</v>
      </c>
      <c r="J677">
        <f>Cleaned_Data!J677</f>
        <v>24</v>
      </c>
      <c r="K677" t="str">
        <f t="shared" si="31"/>
        <v>2024-05</v>
      </c>
      <c r="L677">
        <f t="shared" si="32"/>
        <v>0</v>
      </c>
    </row>
    <row r="678" spans="1:12">
      <c r="A678" t="s">
        <v>1988</v>
      </c>
      <c r="B678" t="s">
        <v>1989</v>
      </c>
      <c r="C678" t="s">
        <v>1990</v>
      </c>
      <c r="D678" t="s">
        <v>15</v>
      </c>
      <c r="E678" t="s">
        <v>24</v>
      </c>
      <c r="F678" t="s">
        <v>60</v>
      </c>
      <c r="G678" t="s">
        <v>19</v>
      </c>
      <c r="H678">
        <f>Cleaned_Data!K678</f>
        <v>5.66</v>
      </c>
      <c r="I678" t="str">
        <f t="shared" si="30"/>
        <v>YES</v>
      </c>
      <c r="J678">
        <f>Cleaned_Data!J678</f>
        <v>8</v>
      </c>
      <c r="K678" t="str">
        <f t="shared" si="31"/>
        <v>2024-03</v>
      </c>
      <c r="L678">
        <f t="shared" si="32"/>
        <v>0</v>
      </c>
    </row>
    <row r="679" spans="1:12">
      <c r="A679" t="s">
        <v>1991</v>
      </c>
      <c r="B679" t="s">
        <v>1992</v>
      </c>
      <c r="D679" t="s">
        <v>23</v>
      </c>
      <c r="E679" t="s">
        <v>16</v>
      </c>
      <c r="F679" t="s">
        <v>60</v>
      </c>
      <c r="G679" t="s">
        <v>63</v>
      </c>
      <c r="H679">
        <f>Cleaned_Data!K679</f>
        <v>0</v>
      </c>
      <c r="I679" t="str">
        <f t="shared" si="30"/>
        <v/>
      </c>
      <c r="J679">
        <f>Cleaned_Data!J679</f>
        <v>24</v>
      </c>
      <c r="K679" t="str">
        <f t="shared" si="31"/>
        <v>2024-08</v>
      </c>
      <c r="L679">
        <f t="shared" si="32"/>
        <v>0</v>
      </c>
    </row>
    <row r="680" spans="1:12">
      <c r="A680" t="s">
        <v>1993</v>
      </c>
      <c r="B680" t="s">
        <v>1994</v>
      </c>
      <c r="C680" t="s">
        <v>1995</v>
      </c>
      <c r="D680" t="s">
        <v>23</v>
      </c>
      <c r="E680" t="s">
        <v>28</v>
      </c>
      <c r="F680" t="s">
        <v>60</v>
      </c>
      <c r="G680" t="s">
        <v>31</v>
      </c>
      <c r="H680">
        <f>Cleaned_Data!K680</f>
        <v>18.46</v>
      </c>
      <c r="I680" t="str">
        <f t="shared" si="30"/>
        <v>YES</v>
      </c>
      <c r="J680">
        <f>Cleaned_Data!J680</f>
        <v>24</v>
      </c>
      <c r="K680" t="str">
        <f t="shared" si="31"/>
        <v>2024-07</v>
      </c>
      <c r="L680">
        <f t="shared" si="32"/>
        <v>0</v>
      </c>
    </row>
    <row r="681" spans="1:12">
      <c r="A681" t="s">
        <v>1996</v>
      </c>
      <c r="B681" t="s">
        <v>1997</v>
      </c>
      <c r="C681" t="s">
        <v>1998</v>
      </c>
      <c r="D681" t="s">
        <v>15</v>
      </c>
      <c r="E681" t="s">
        <v>54</v>
      </c>
      <c r="F681" t="s">
        <v>60</v>
      </c>
      <c r="G681" t="s">
        <v>19</v>
      </c>
      <c r="H681">
        <f>Cleaned_Data!K681</f>
        <v>3.01</v>
      </c>
      <c r="I681" t="str">
        <f t="shared" si="30"/>
        <v>YES</v>
      </c>
      <c r="J681">
        <f>Cleaned_Data!J681</f>
        <v>8</v>
      </c>
      <c r="K681" t="str">
        <f t="shared" si="31"/>
        <v>2024-04</v>
      </c>
      <c r="L681">
        <f t="shared" si="32"/>
        <v>0</v>
      </c>
    </row>
    <row r="682" spans="1:12">
      <c r="A682" t="s">
        <v>1999</v>
      </c>
      <c r="B682" t="s">
        <v>2000</v>
      </c>
      <c r="C682" t="s">
        <v>2001</v>
      </c>
      <c r="D682" t="s">
        <v>15</v>
      </c>
      <c r="E682" t="s">
        <v>59</v>
      </c>
      <c r="F682" t="s">
        <v>36</v>
      </c>
      <c r="G682" t="s">
        <v>19</v>
      </c>
      <c r="H682">
        <f>Cleaned_Data!K682</f>
        <v>6.04</v>
      </c>
      <c r="I682" t="str">
        <f t="shared" si="30"/>
        <v>YES</v>
      </c>
      <c r="J682">
        <f>Cleaned_Data!J682</f>
        <v>8</v>
      </c>
      <c r="K682" t="str">
        <f t="shared" si="31"/>
        <v>2024-06</v>
      </c>
      <c r="L682">
        <f t="shared" si="32"/>
        <v>0</v>
      </c>
    </row>
    <row r="683" spans="1:12">
      <c r="A683" t="s">
        <v>2002</v>
      </c>
      <c r="B683" t="s">
        <v>2003</v>
      </c>
      <c r="C683" t="s">
        <v>2004</v>
      </c>
      <c r="D683" t="s">
        <v>23</v>
      </c>
      <c r="E683" t="s">
        <v>28</v>
      </c>
      <c r="F683" t="s">
        <v>17</v>
      </c>
      <c r="G683" t="s">
        <v>31</v>
      </c>
      <c r="H683">
        <f>Cleaned_Data!K683</f>
        <v>54.97</v>
      </c>
      <c r="I683" t="str">
        <f t="shared" si="30"/>
        <v>NO</v>
      </c>
      <c r="J683">
        <f>Cleaned_Data!J683</f>
        <v>24</v>
      </c>
      <c r="K683" t="str">
        <f t="shared" si="31"/>
        <v>2024-07</v>
      </c>
      <c r="L683">
        <f t="shared" si="32"/>
        <v>30.97</v>
      </c>
    </row>
    <row r="684" spans="1:12">
      <c r="A684" t="s">
        <v>2005</v>
      </c>
      <c r="B684" t="s">
        <v>2006</v>
      </c>
      <c r="C684" t="s">
        <v>2007</v>
      </c>
      <c r="D684" t="s">
        <v>23</v>
      </c>
      <c r="E684" t="s">
        <v>28</v>
      </c>
      <c r="F684" t="s">
        <v>29</v>
      </c>
      <c r="G684" t="s">
        <v>31</v>
      </c>
      <c r="H684">
        <f>Cleaned_Data!K684</f>
        <v>6.6</v>
      </c>
      <c r="I684" t="str">
        <f t="shared" si="30"/>
        <v>YES</v>
      </c>
      <c r="J684">
        <f>Cleaned_Data!J684</f>
        <v>24</v>
      </c>
      <c r="K684" t="str">
        <f t="shared" si="31"/>
        <v>2024-02</v>
      </c>
      <c r="L684">
        <f t="shared" si="32"/>
        <v>0</v>
      </c>
    </row>
    <row r="685" spans="1:12">
      <c r="A685" t="s">
        <v>2008</v>
      </c>
      <c r="B685" t="s">
        <v>2009</v>
      </c>
      <c r="C685" t="s">
        <v>2010</v>
      </c>
      <c r="D685" t="s">
        <v>23</v>
      </c>
      <c r="E685" t="s">
        <v>16</v>
      </c>
      <c r="F685" t="s">
        <v>29</v>
      </c>
      <c r="G685" t="s">
        <v>31</v>
      </c>
      <c r="H685">
        <f>Cleaned_Data!K685</f>
        <v>71.55</v>
      </c>
      <c r="I685" t="str">
        <f t="shared" si="30"/>
        <v>NO</v>
      </c>
      <c r="J685">
        <f>Cleaned_Data!J685</f>
        <v>24</v>
      </c>
      <c r="K685" t="str">
        <f t="shared" si="31"/>
        <v>2024-04</v>
      </c>
      <c r="L685">
        <f t="shared" si="32"/>
        <v>47.55</v>
      </c>
    </row>
    <row r="686" spans="1:12">
      <c r="A686" t="s">
        <v>2011</v>
      </c>
      <c r="B686" t="s">
        <v>2012</v>
      </c>
      <c r="C686" t="s">
        <v>2013</v>
      </c>
      <c r="D686" t="s">
        <v>35</v>
      </c>
      <c r="E686" t="s">
        <v>28</v>
      </c>
      <c r="F686" t="s">
        <v>17</v>
      </c>
      <c r="G686" t="s">
        <v>19</v>
      </c>
      <c r="H686">
        <f>Cleaned_Data!K686</f>
        <v>141</v>
      </c>
      <c r="I686" t="str">
        <f t="shared" si="30"/>
        <v>NO</v>
      </c>
      <c r="J686">
        <f>Cleaned_Data!J686</f>
        <v>48</v>
      </c>
      <c r="K686" t="str">
        <f t="shared" si="31"/>
        <v>2024-08</v>
      </c>
      <c r="L686">
        <f t="shared" si="32"/>
        <v>93</v>
      </c>
    </row>
    <row r="687" spans="1:12">
      <c r="A687" t="s">
        <v>2014</v>
      </c>
      <c r="B687" t="s">
        <v>2015</v>
      </c>
      <c r="C687" t="s">
        <v>2016</v>
      </c>
      <c r="D687" t="s">
        <v>35</v>
      </c>
      <c r="E687" t="s">
        <v>28</v>
      </c>
      <c r="F687" t="s">
        <v>29</v>
      </c>
      <c r="G687" t="s">
        <v>19</v>
      </c>
      <c r="H687">
        <f>Cleaned_Data!K687</f>
        <v>20.89</v>
      </c>
      <c r="I687" t="str">
        <f t="shared" si="30"/>
        <v>YES</v>
      </c>
      <c r="J687">
        <f>Cleaned_Data!J687</f>
        <v>48</v>
      </c>
      <c r="K687" t="str">
        <f t="shared" si="31"/>
        <v>2024-08</v>
      </c>
      <c r="L687">
        <f t="shared" si="32"/>
        <v>0</v>
      </c>
    </row>
    <row r="688" spans="1:12">
      <c r="A688" t="s">
        <v>2017</v>
      </c>
      <c r="B688" t="s">
        <v>2018</v>
      </c>
      <c r="C688" t="s">
        <v>2019</v>
      </c>
      <c r="D688" t="s">
        <v>23</v>
      </c>
      <c r="E688" t="s">
        <v>28</v>
      </c>
      <c r="F688" t="s">
        <v>17</v>
      </c>
      <c r="G688" t="s">
        <v>19</v>
      </c>
      <c r="H688">
        <f>Cleaned_Data!K688</f>
        <v>13.73</v>
      </c>
      <c r="I688" t="str">
        <f t="shared" si="30"/>
        <v>YES</v>
      </c>
      <c r="J688">
        <f>Cleaned_Data!J688</f>
        <v>24</v>
      </c>
      <c r="K688" t="str">
        <f t="shared" si="31"/>
        <v>2024-05</v>
      </c>
      <c r="L688">
        <f t="shared" si="32"/>
        <v>0</v>
      </c>
    </row>
    <row r="689" spans="1:12">
      <c r="A689" t="s">
        <v>2020</v>
      </c>
      <c r="B689" t="s">
        <v>2021</v>
      </c>
      <c r="C689" t="s">
        <v>2022</v>
      </c>
      <c r="D689" t="s">
        <v>35</v>
      </c>
      <c r="E689" t="s">
        <v>24</v>
      </c>
      <c r="F689" t="s">
        <v>17</v>
      </c>
      <c r="G689" t="s">
        <v>19</v>
      </c>
      <c r="H689">
        <f>Cleaned_Data!K689</f>
        <v>10.68</v>
      </c>
      <c r="I689" t="str">
        <f t="shared" si="30"/>
        <v>YES</v>
      </c>
      <c r="J689">
        <f>Cleaned_Data!J689</f>
        <v>48</v>
      </c>
      <c r="K689" t="str">
        <f t="shared" si="31"/>
        <v>2024-05</v>
      </c>
      <c r="L689">
        <f t="shared" si="32"/>
        <v>0</v>
      </c>
    </row>
    <row r="690" spans="1:12">
      <c r="A690" t="s">
        <v>2023</v>
      </c>
      <c r="B690" t="s">
        <v>2024</v>
      </c>
      <c r="C690" t="s">
        <v>2025</v>
      </c>
      <c r="D690" t="s">
        <v>23</v>
      </c>
      <c r="E690" t="s">
        <v>59</v>
      </c>
      <c r="F690" t="s">
        <v>36</v>
      </c>
      <c r="G690" t="s">
        <v>31</v>
      </c>
      <c r="H690">
        <f>Cleaned_Data!K690</f>
        <v>11.7</v>
      </c>
      <c r="I690" t="str">
        <f t="shared" si="30"/>
        <v>YES</v>
      </c>
      <c r="J690">
        <f>Cleaned_Data!J690</f>
        <v>24</v>
      </c>
      <c r="K690" t="str">
        <f t="shared" si="31"/>
        <v>2024-09</v>
      </c>
      <c r="L690">
        <f t="shared" si="32"/>
        <v>0</v>
      </c>
    </row>
    <row r="691" spans="1:12">
      <c r="A691" t="s">
        <v>2026</v>
      </c>
      <c r="B691" t="s">
        <v>2027</v>
      </c>
      <c r="C691" t="s">
        <v>2028</v>
      </c>
      <c r="D691" t="s">
        <v>35</v>
      </c>
      <c r="E691" t="s">
        <v>54</v>
      </c>
      <c r="F691" t="s">
        <v>41</v>
      </c>
      <c r="G691" t="s">
        <v>19</v>
      </c>
      <c r="H691">
        <f>Cleaned_Data!K691</f>
        <v>86.41</v>
      </c>
      <c r="I691" t="str">
        <f t="shared" si="30"/>
        <v>NO</v>
      </c>
      <c r="J691">
        <f>Cleaned_Data!J691</f>
        <v>48</v>
      </c>
      <c r="K691" t="str">
        <f t="shared" si="31"/>
        <v>2024-08</v>
      </c>
      <c r="L691">
        <f t="shared" si="32"/>
        <v>38.409999999999997</v>
      </c>
    </row>
    <row r="692" spans="1:12">
      <c r="A692" t="s">
        <v>2029</v>
      </c>
      <c r="B692" t="s">
        <v>2030</v>
      </c>
      <c r="C692" t="s">
        <v>2031</v>
      </c>
      <c r="D692" t="s">
        <v>23</v>
      </c>
      <c r="E692" t="s">
        <v>54</v>
      </c>
      <c r="F692" t="s">
        <v>17</v>
      </c>
      <c r="G692" t="s">
        <v>19</v>
      </c>
      <c r="H692">
        <f>Cleaned_Data!K692</f>
        <v>13.54</v>
      </c>
      <c r="I692" t="str">
        <f t="shared" si="30"/>
        <v>YES</v>
      </c>
      <c r="J692">
        <f>Cleaned_Data!J692</f>
        <v>24</v>
      </c>
      <c r="K692" t="str">
        <f t="shared" si="31"/>
        <v>2024-06</v>
      </c>
      <c r="L692">
        <f t="shared" si="32"/>
        <v>0</v>
      </c>
    </row>
    <row r="693" spans="1:12">
      <c r="A693" t="s">
        <v>2032</v>
      </c>
      <c r="B693" t="s">
        <v>2033</v>
      </c>
      <c r="C693" t="s">
        <v>2034</v>
      </c>
      <c r="D693" t="s">
        <v>23</v>
      </c>
      <c r="E693" t="s">
        <v>28</v>
      </c>
      <c r="F693" t="s">
        <v>36</v>
      </c>
      <c r="G693" t="s">
        <v>19</v>
      </c>
      <c r="H693">
        <f>Cleaned_Data!K693</f>
        <v>5.3</v>
      </c>
      <c r="I693" t="str">
        <f t="shared" si="30"/>
        <v>YES</v>
      </c>
      <c r="J693">
        <f>Cleaned_Data!J693</f>
        <v>24</v>
      </c>
      <c r="K693" t="str">
        <f t="shared" si="31"/>
        <v>2024-01</v>
      </c>
      <c r="L693">
        <f t="shared" si="32"/>
        <v>0</v>
      </c>
    </row>
    <row r="694" spans="1:12">
      <c r="A694" t="s">
        <v>2035</v>
      </c>
      <c r="B694" t="s">
        <v>2036</v>
      </c>
      <c r="C694" t="s">
        <v>2037</v>
      </c>
      <c r="D694" t="s">
        <v>35</v>
      </c>
      <c r="E694" t="s">
        <v>16</v>
      </c>
      <c r="F694" t="s">
        <v>41</v>
      </c>
      <c r="G694" t="s">
        <v>19</v>
      </c>
      <c r="H694">
        <f>Cleaned_Data!K694</f>
        <v>58.68</v>
      </c>
      <c r="I694" t="str">
        <f t="shared" si="30"/>
        <v>NO</v>
      </c>
      <c r="J694">
        <f>Cleaned_Data!J694</f>
        <v>48</v>
      </c>
      <c r="K694" t="str">
        <f t="shared" si="31"/>
        <v>2024-11</v>
      </c>
      <c r="L694">
        <f t="shared" si="32"/>
        <v>10.68</v>
      </c>
    </row>
    <row r="695" spans="1:12">
      <c r="A695" t="s">
        <v>2038</v>
      </c>
      <c r="B695" t="s">
        <v>2039</v>
      </c>
      <c r="C695" t="s">
        <v>2040</v>
      </c>
      <c r="D695" t="s">
        <v>23</v>
      </c>
      <c r="E695" t="s">
        <v>54</v>
      </c>
      <c r="F695" t="s">
        <v>60</v>
      </c>
      <c r="G695" t="s">
        <v>19</v>
      </c>
      <c r="H695">
        <f>Cleaned_Data!K695</f>
        <v>9.41</v>
      </c>
      <c r="I695" t="str">
        <f t="shared" si="30"/>
        <v>YES</v>
      </c>
      <c r="J695">
        <f>Cleaned_Data!J695</f>
        <v>24</v>
      </c>
      <c r="K695" t="str">
        <f t="shared" si="31"/>
        <v>2024-10</v>
      </c>
      <c r="L695">
        <f t="shared" si="32"/>
        <v>0</v>
      </c>
    </row>
    <row r="696" spans="1:12">
      <c r="A696" t="s">
        <v>2041</v>
      </c>
      <c r="B696" t="s">
        <v>2042</v>
      </c>
      <c r="C696" t="s">
        <v>2043</v>
      </c>
      <c r="D696" t="s">
        <v>23</v>
      </c>
      <c r="E696" t="s">
        <v>59</v>
      </c>
      <c r="F696" t="s">
        <v>60</v>
      </c>
      <c r="G696" t="s">
        <v>19</v>
      </c>
      <c r="H696">
        <f>Cleaned_Data!K696</f>
        <v>22.35</v>
      </c>
      <c r="I696" t="str">
        <f t="shared" si="30"/>
        <v>YES</v>
      </c>
      <c r="J696">
        <f>Cleaned_Data!J696</f>
        <v>24</v>
      </c>
      <c r="K696" t="str">
        <f t="shared" si="31"/>
        <v>2024-07</v>
      </c>
      <c r="L696">
        <f t="shared" si="32"/>
        <v>0</v>
      </c>
    </row>
    <row r="697" spans="1:12">
      <c r="A697" t="s">
        <v>2044</v>
      </c>
      <c r="B697" t="s">
        <v>2045</v>
      </c>
      <c r="C697" t="s">
        <v>2046</v>
      </c>
      <c r="D697" t="s">
        <v>158</v>
      </c>
      <c r="E697" t="s">
        <v>59</v>
      </c>
      <c r="F697" t="s">
        <v>29</v>
      </c>
      <c r="G697" t="s">
        <v>31</v>
      </c>
      <c r="H697">
        <f>Cleaned_Data!K697</f>
        <v>2.54</v>
      </c>
      <c r="I697" t="str">
        <f t="shared" si="30"/>
        <v>YES</v>
      </c>
      <c r="J697">
        <f>Cleaned_Data!J697</f>
        <v>4</v>
      </c>
      <c r="K697" t="str">
        <f t="shared" si="31"/>
        <v>2024-03</v>
      </c>
      <c r="L697">
        <f t="shared" si="32"/>
        <v>0</v>
      </c>
    </row>
    <row r="698" spans="1:12">
      <c r="A698" t="s">
        <v>2047</v>
      </c>
      <c r="B698" t="s">
        <v>2048</v>
      </c>
      <c r="C698" t="s">
        <v>2049</v>
      </c>
      <c r="D698" t="s">
        <v>158</v>
      </c>
      <c r="E698" t="s">
        <v>59</v>
      </c>
      <c r="F698" t="s">
        <v>60</v>
      </c>
      <c r="G698" t="s">
        <v>19</v>
      </c>
      <c r="H698">
        <f>Cleaned_Data!K698</f>
        <v>2.12</v>
      </c>
      <c r="I698" t="str">
        <f t="shared" si="30"/>
        <v>YES</v>
      </c>
      <c r="J698">
        <f>Cleaned_Data!J698</f>
        <v>4</v>
      </c>
      <c r="K698" t="str">
        <f t="shared" si="31"/>
        <v>2024-08</v>
      </c>
      <c r="L698">
        <f t="shared" si="32"/>
        <v>0</v>
      </c>
    </row>
    <row r="699" spans="1:12">
      <c r="A699" t="s">
        <v>2050</v>
      </c>
      <c r="B699" t="s">
        <v>2051</v>
      </c>
      <c r="C699" t="s">
        <v>2052</v>
      </c>
      <c r="D699" t="s">
        <v>15</v>
      </c>
      <c r="E699" t="s">
        <v>54</v>
      </c>
      <c r="F699" t="s">
        <v>29</v>
      </c>
      <c r="G699" t="s">
        <v>19</v>
      </c>
      <c r="H699">
        <f>Cleaned_Data!K699</f>
        <v>1.99</v>
      </c>
      <c r="I699" t="str">
        <f t="shared" si="30"/>
        <v>YES</v>
      </c>
      <c r="J699">
        <f>Cleaned_Data!J699</f>
        <v>8</v>
      </c>
      <c r="K699" t="str">
        <f t="shared" si="31"/>
        <v>2024-04</v>
      </c>
      <c r="L699">
        <f t="shared" si="32"/>
        <v>0</v>
      </c>
    </row>
    <row r="700" spans="1:12">
      <c r="A700" t="s">
        <v>2053</v>
      </c>
      <c r="B700" t="s">
        <v>2054</v>
      </c>
      <c r="C700" t="s">
        <v>2055</v>
      </c>
      <c r="D700" t="s">
        <v>23</v>
      </c>
      <c r="E700" t="s">
        <v>28</v>
      </c>
      <c r="F700" t="s">
        <v>17</v>
      </c>
      <c r="G700" t="s">
        <v>31</v>
      </c>
      <c r="H700">
        <f>Cleaned_Data!K700</f>
        <v>6.09</v>
      </c>
      <c r="I700" t="str">
        <f t="shared" si="30"/>
        <v>YES</v>
      </c>
      <c r="J700">
        <f>Cleaned_Data!J700</f>
        <v>24</v>
      </c>
      <c r="K700" t="str">
        <f t="shared" si="31"/>
        <v>2024-02</v>
      </c>
      <c r="L700">
        <f t="shared" si="32"/>
        <v>0</v>
      </c>
    </row>
    <row r="701" spans="1:12">
      <c r="A701" t="s">
        <v>2056</v>
      </c>
      <c r="B701" t="s">
        <v>2057</v>
      </c>
      <c r="D701" t="s">
        <v>15</v>
      </c>
      <c r="E701" t="s">
        <v>24</v>
      </c>
      <c r="F701" t="s">
        <v>17</v>
      </c>
      <c r="G701" t="s">
        <v>63</v>
      </c>
      <c r="H701">
        <f>Cleaned_Data!K701</f>
        <v>0</v>
      </c>
      <c r="I701" t="str">
        <f t="shared" si="30"/>
        <v/>
      </c>
      <c r="J701">
        <f>Cleaned_Data!J701</f>
        <v>8</v>
      </c>
      <c r="K701" t="str">
        <f t="shared" si="31"/>
        <v>2024-01</v>
      </c>
      <c r="L701">
        <f t="shared" si="32"/>
        <v>0</v>
      </c>
    </row>
    <row r="702" spans="1:12">
      <c r="A702" t="s">
        <v>2058</v>
      </c>
      <c r="B702" t="s">
        <v>2059</v>
      </c>
      <c r="C702" t="s">
        <v>2060</v>
      </c>
      <c r="D702" t="s">
        <v>35</v>
      </c>
      <c r="E702" t="s">
        <v>16</v>
      </c>
      <c r="F702" t="s">
        <v>41</v>
      </c>
      <c r="G702" t="s">
        <v>19</v>
      </c>
      <c r="H702">
        <f>Cleaned_Data!K702</f>
        <v>30.81</v>
      </c>
      <c r="I702" t="str">
        <f t="shared" si="30"/>
        <v>YES</v>
      </c>
      <c r="J702">
        <f>Cleaned_Data!J702</f>
        <v>48</v>
      </c>
      <c r="K702" t="str">
        <f t="shared" si="31"/>
        <v>2024-03</v>
      </c>
      <c r="L702">
        <f t="shared" si="32"/>
        <v>0</v>
      </c>
    </row>
    <row r="703" spans="1:12">
      <c r="A703" t="s">
        <v>2061</v>
      </c>
      <c r="B703" t="s">
        <v>2062</v>
      </c>
      <c r="C703" t="s">
        <v>2063</v>
      </c>
      <c r="D703" t="s">
        <v>35</v>
      </c>
      <c r="E703" t="s">
        <v>24</v>
      </c>
      <c r="F703" t="s">
        <v>29</v>
      </c>
      <c r="G703" t="s">
        <v>19</v>
      </c>
      <c r="H703">
        <f>Cleaned_Data!K703</f>
        <v>24.23</v>
      </c>
      <c r="I703" t="str">
        <f t="shared" si="30"/>
        <v>YES</v>
      </c>
      <c r="J703">
        <f>Cleaned_Data!J703</f>
        <v>48</v>
      </c>
      <c r="K703" t="str">
        <f t="shared" si="31"/>
        <v>2024-10</v>
      </c>
      <c r="L703">
        <f t="shared" si="32"/>
        <v>0</v>
      </c>
    </row>
    <row r="704" spans="1:12">
      <c r="A704" t="s">
        <v>2064</v>
      </c>
      <c r="B704" t="s">
        <v>2065</v>
      </c>
      <c r="C704" t="s">
        <v>2066</v>
      </c>
      <c r="D704" t="s">
        <v>35</v>
      </c>
      <c r="E704" t="s">
        <v>28</v>
      </c>
      <c r="F704" t="s">
        <v>41</v>
      </c>
      <c r="G704" t="s">
        <v>19</v>
      </c>
      <c r="H704">
        <f>Cleaned_Data!K704</f>
        <v>22.54</v>
      </c>
      <c r="I704" t="str">
        <f t="shared" si="30"/>
        <v>YES</v>
      </c>
      <c r="J704">
        <f>Cleaned_Data!J704</f>
        <v>48</v>
      </c>
      <c r="K704" t="str">
        <f t="shared" si="31"/>
        <v>2024-10</v>
      </c>
      <c r="L704">
        <f t="shared" si="32"/>
        <v>0</v>
      </c>
    </row>
    <row r="705" spans="1:12">
      <c r="A705" t="s">
        <v>2067</v>
      </c>
      <c r="B705" t="s">
        <v>2068</v>
      </c>
      <c r="D705" t="s">
        <v>23</v>
      </c>
      <c r="E705" t="s">
        <v>54</v>
      </c>
      <c r="F705" t="s">
        <v>60</v>
      </c>
      <c r="G705" t="s">
        <v>63</v>
      </c>
      <c r="H705">
        <f>Cleaned_Data!K705</f>
        <v>0</v>
      </c>
      <c r="I705" t="str">
        <f t="shared" si="30"/>
        <v/>
      </c>
      <c r="J705">
        <f>Cleaned_Data!J705</f>
        <v>24</v>
      </c>
      <c r="K705" t="str">
        <f t="shared" si="31"/>
        <v>2024-11</v>
      </c>
      <c r="L705">
        <f t="shared" si="32"/>
        <v>0</v>
      </c>
    </row>
    <row r="706" spans="1:12">
      <c r="A706" t="s">
        <v>2069</v>
      </c>
      <c r="B706" t="s">
        <v>2070</v>
      </c>
      <c r="D706" t="s">
        <v>35</v>
      </c>
      <c r="E706" t="s">
        <v>54</v>
      </c>
      <c r="F706" t="s">
        <v>41</v>
      </c>
      <c r="G706" t="s">
        <v>63</v>
      </c>
      <c r="H706">
        <f>Cleaned_Data!K706</f>
        <v>0</v>
      </c>
      <c r="I706" t="str">
        <f t="shared" ref="I706:I769" si="33">IF(OR(G706="Resolved", G706="Closed"), IF(AND(H706&lt;&gt;"", H706&lt;=J706), "YES", "NO"), "")</f>
        <v/>
      </c>
      <c r="J706">
        <f>Cleaned_Data!J706</f>
        <v>48</v>
      </c>
      <c r="K706" t="str">
        <f t="shared" ref="K706:K769" si="34">LEFT(B706, 7)</f>
        <v>2024-02</v>
      </c>
      <c r="L706">
        <f t="shared" ref="L706:L769" si="35">IF(I706="NO", H706-J706, 0)</f>
        <v>0</v>
      </c>
    </row>
    <row r="707" spans="1:12">
      <c r="A707" t="s">
        <v>2071</v>
      </c>
      <c r="B707" t="s">
        <v>2072</v>
      </c>
      <c r="C707" t="s">
        <v>2073</v>
      </c>
      <c r="D707" t="s">
        <v>15</v>
      </c>
      <c r="E707" t="s">
        <v>28</v>
      </c>
      <c r="F707" t="s">
        <v>36</v>
      </c>
      <c r="G707" t="s">
        <v>31</v>
      </c>
      <c r="H707">
        <f>Cleaned_Data!K707</f>
        <v>6</v>
      </c>
      <c r="I707" t="str">
        <f t="shared" si="33"/>
        <v>YES</v>
      </c>
      <c r="J707">
        <f>Cleaned_Data!J707</f>
        <v>8</v>
      </c>
      <c r="K707" t="str">
        <f t="shared" si="34"/>
        <v>2024-11</v>
      </c>
      <c r="L707">
        <f t="shared" si="35"/>
        <v>0</v>
      </c>
    </row>
    <row r="708" spans="1:12">
      <c r="A708" t="s">
        <v>2074</v>
      </c>
      <c r="B708" t="s">
        <v>2075</v>
      </c>
      <c r="C708" t="s">
        <v>2076</v>
      </c>
      <c r="D708" t="s">
        <v>23</v>
      </c>
      <c r="E708" t="s">
        <v>16</v>
      </c>
      <c r="F708" t="s">
        <v>60</v>
      </c>
      <c r="G708" t="s">
        <v>31</v>
      </c>
      <c r="H708">
        <f>Cleaned_Data!K708</f>
        <v>39.86</v>
      </c>
      <c r="I708" t="str">
        <f t="shared" si="33"/>
        <v>NO</v>
      </c>
      <c r="J708">
        <f>Cleaned_Data!J708</f>
        <v>24</v>
      </c>
      <c r="K708" t="str">
        <f t="shared" si="34"/>
        <v>2024-10</v>
      </c>
      <c r="L708">
        <f t="shared" si="35"/>
        <v>15.86</v>
      </c>
    </row>
    <row r="709" spans="1:12">
      <c r="A709" t="s">
        <v>2077</v>
      </c>
      <c r="B709" t="s">
        <v>2078</v>
      </c>
      <c r="C709" t="s">
        <v>2079</v>
      </c>
      <c r="D709" t="s">
        <v>35</v>
      </c>
      <c r="E709" t="s">
        <v>24</v>
      </c>
      <c r="F709" t="s">
        <v>36</v>
      </c>
      <c r="G709" t="s">
        <v>19</v>
      </c>
      <c r="H709">
        <f>Cleaned_Data!K709</f>
        <v>13.75</v>
      </c>
      <c r="I709" t="str">
        <f t="shared" si="33"/>
        <v>YES</v>
      </c>
      <c r="J709">
        <f>Cleaned_Data!J709</f>
        <v>48</v>
      </c>
      <c r="K709" t="str">
        <f t="shared" si="34"/>
        <v>2024-01</v>
      </c>
      <c r="L709">
        <f t="shared" si="35"/>
        <v>0</v>
      </c>
    </row>
    <row r="710" spans="1:12">
      <c r="A710" t="s">
        <v>2080</v>
      </c>
      <c r="B710" t="s">
        <v>2081</v>
      </c>
      <c r="C710" t="s">
        <v>2082</v>
      </c>
      <c r="D710" t="s">
        <v>158</v>
      </c>
      <c r="E710" t="s">
        <v>54</v>
      </c>
      <c r="F710" t="s">
        <v>36</v>
      </c>
      <c r="G710" t="s">
        <v>31</v>
      </c>
      <c r="H710">
        <f>Cleaned_Data!K710</f>
        <v>11.61</v>
      </c>
      <c r="I710" t="str">
        <f t="shared" si="33"/>
        <v>NO</v>
      </c>
      <c r="J710">
        <f>Cleaned_Data!J710</f>
        <v>4</v>
      </c>
      <c r="K710" t="str">
        <f t="shared" si="34"/>
        <v>2024-03</v>
      </c>
      <c r="L710">
        <f t="shared" si="35"/>
        <v>7.6099999999999994</v>
      </c>
    </row>
    <row r="711" spans="1:12">
      <c r="A711" t="s">
        <v>2083</v>
      </c>
      <c r="B711" t="s">
        <v>2084</v>
      </c>
      <c r="C711" t="s">
        <v>2085</v>
      </c>
      <c r="D711" t="s">
        <v>35</v>
      </c>
      <c r="E711" t="s">
        <v>24</v>
      </c>
      <c r="F711" t="s">
        <v>60</v>
      </c>
      <c r="G711" t="s">
        <v>19</v>
      </c>
      <c r="H711">
        <f>Cleaned_Data!K711</f>
        <v>31.23</v>
      </c>
      <c r="I711" t="str">
        <f t="shared" si="33"/>
        <v>YES</v>
      </c>
      <c r="J711">
        <f>Cleaned_Data!J711</f>
        <v>48</v>
      </c>
      <c r="K711" t="str">
        <f t="shared" si="34"/>
        <v>2024-10</v>
      </c>
      <c r="L711">
        <f t="shared" si="35"/>
        <v>0</v>
      </c>
    </row>
    <row r="712" spans="1:12">
      <c r="A712" t="s">
        <v>2086</v>
      </c>
      <c r="B712" t="s">
        <v>2087</v>
      </c>
      <c r="C712" t="s">
        <v>2088</v>
      </c>
      <c r="D712" t="s">
        <v>35</v>
      </c>
      <c r="E712" t="s">
        <v>54</v>
      </c>
      <c r="F712" t="s">
        <v>29</v>
      </c>
      <c r="G712" t="s">
        <v>19</v>
      </c>
      <c r="H712">
        <f>Cleaned_Data!K712</f>
        <v>110.19</v>
      </c>
      <c r="I712" t="str">
        <f t="shared" si="33"/>
        <v>NO</v>
      </c>
      <c r="J712">
        <f>Cleaned_Data!J712</f>
        <v>48</v>
      </c>
      <c r="K712" t="str">
        <f t="shared" si="34"/>
        <v>2024-03</v>
      </c>
      <c r="L712">
        <f t="shared" si="35"/>
        <v>62.19</v>
      </c>
    </row>
    <row r="713" spans="1:12">
      <c r="A713" t="s">
        <v>2089</v>
      </c>
      <c r="B713" t="s">
        <v>2090</v>
      </c>
      <c r="C713" t="s">
        <v>2091</v>
      </c>
      <c r="D713" t="s">
        <v>23</v>
      </c>
      <c r="E713" t="s">
        <v>28</v>
      </c>
      <c r="F713" t="s">
        <v>29</v>
      </c>
      <c r="G713" t="s">
        <v>19</v>
      </c>
      <c r="H713">
        <f>Cleaned_Data!K713</f>
        <v>18.25</v>
      </c>
      <c r="I713" t="str">
        <f t="shared" si="33"/>
        <v>YES</v>
      </c>
      <c r="J713">
        <f>Cleaned_Data!J713</f>
        <v>24</v>
      </c>
      <c r="K713" t="str">
        <f t="shared" si="34"/>
        <v>2024-04</v>
      </c>
      <c r="L713">
        <f t="shared" si="35"/>
        <v>0</v>
      </c>
    </row>
    <row r="714" spans="1:12">
      <c r="A714" t="s">
        <v>2092</v>
      </c>
      <c r="B714" t="s">
        <v>2093</v>
      </c>
      <c r="C714" t="s">
        <v>2094</v>
      </c>
      <c r="D714" t="s">
        <v>35</v>
      </c>
      <c r="E714" t="s">
        <v>28</v>
      </c>
      <c r="F714" t="s">
        <v>29</v>
      </c>
      <c r="G714" t="s">
        <v>19</v>
      </c>
      <c r="H714">
        <f>Cleaned_Data!K714</f>
        <v>42.69</v>
      </c>
      <c r="I714" t="str">
        <f t="shared" si="33"/>
        <v>YES</v>
      </c>
      <c r="J714">
        <f>Cleaned_Data!J714</f>
        <v>48</v>
      </c>
      <c r="K714" t="str">
        <f t="shared" si="34"/>
        <v>2024-05</v>
      </c>
      <c r="L714">
        <f t="shared" si="35"/>
        <v>0</v>
      </c>
    </row>
    <row r="715" spans="1:12">
      <c r="A715" t="s">
        <v>2095</v>
      </c>
      <c r="B715" t="s">
        <v>2096</v>
      </c>
      <c r="C715" t="s">
        <v>2097</v>
      </c>
      <c r="D715" t="s">
        <v>23</v>
      </c>
      <c r="E715" t="s">
        <v>24</v>
      </c>
      <c r="F715" t="s">
        <v>60</v>
      </c>
      <c r="G715" t="s">
        <v>19</v>
      </c>
      <c r="H715">
        <f>Cleaned_Data!K715</f>
        <v>21.02</v>
      </c>
      <c r="I715" t="str">
        <f t="shared" si="33"/>
        <v>YES</v>
      </c>
      <c r="J715">
        <f>Cleaned_Data!J715</f>
        <v>24</v>
      </c>
      <c r="K715" t="str">
        <f t="shared" si="34"/>
        <v>2024-03</v>
      </c>
      <c r="L715">
        <f t="shared" si="35"/>
        <v>0</v>
      </c>
    </row>
    <row r="716" spans="1:12">
      <c r="A716" t="s">
        <v>2098</v>
      </c>
      <c r="B716" t="s">
        <v>2099</v>
      </c>
      <c r="C716" t="s">
        <v>2100</v>
      </c>
      <c r="D716" t="s">
        <v>158</v>
      </c>
      <c r="E716" t="s">
        <v>24</v>
      </c>
      <c r="F716" t="s">
        <v>29</v>
      </c>
      <c r="G716" t="s">
        <v>19</v>
      </c>
      <c r="H716">
        <f>Cleaned_Data!K716</f>
        <v>2.62</v>
      </c>
      <c r="I716" t="str">
        <f t="shared" si="33"/>
        <v>YES</v>
      </c>
      <c r="J716">
        <f>Cleaned_Data!J716</f>
        <v>4</v>
      </c>
      <c r="K716" t="str">
        <f t="shared" si="34"/>
        <v>2024-02</v>
      </c>
      <c r="L716">
        <f t="shared" si="35"/>
        <v>0</v>
      </c>
    </row>
    <row r="717" spans="1:12">
      <c r="A717" t="s">
        <v>2101</v>
      </c>
      <c r="B717" t="s">
        <v>2102</v>
      </c>
      <c r="C717" t="s">
        <v>2103</v>
      </c>
      <c r="D717" t="s">
        <v>23</v>
      </c>
      <c r="E717" t="s">
        <v>28</v>
      </c>
      <c r="F717" t="s">
        <v>29</v>
      </c>
      <c r="G717" t="s">
        <v>31</v>
      </c>
      <c r="H717">
        <f>Cleaned_Data!K717</f>
        <v>21.57</v>
      </c>
      <c r="I717" t="str">
        <f t="shared" si="33"/>
        <v>YES</v>
      </c>
      <c r="J717">
        <f>Cleaned_Data!J717</f>
        <v>24</v>
      </c>
      <c r="K717" t="str">
        <f t="shared" si="34"/>
        <v>2024-01</v>
      </c>
      <c r="L717">
        <f t="shared" si="35"/>
        <v>0</v>
      </c>
    </row>
    <row r="718" spans="1:12">
      <c r="A718" t="s">
        <v>2104</v>
      </c>
      <c r="B718" t="s">
        <v>2105</v>
      </c>
      <c r="C718" t="s">
        <v>2106</v>
      </c>
      <c r="D718" t="s">
        <v>23</v>
      </c>
      <c r="E718" t="s">
        <v>16</v>
      </c>
      <c r="F718" t="s">
        <v>36</v>
      </c>
      <c r="G718" t="s">
        <v>19</v>
      </c>
      <c r="H718">
        <f>Cleaned_Data!K718</f>
        <v>16.46</v>
      </c>
      <c r="I718" t="str">
        <f t="shared" si="33"/>
        <v>YES</v>
      </c>
      <c r="J718">
        <f>Cleaned_Data!J718</f>
        <v>24</v>
      </c>
      <c r="K718" t="str">
        <f t="shared" si="34"/>
        <v>2024-06</v>
      </c>
      <c r="L718">
        <f t="shared" si="35"/>
        <v>0</v>
      </c>
    </row>
    <row r="719" spans="1:12">
      <c r="A719" t="s">
        <v>2107</v>
      </c>
      <c r="B719" t="s">
        <v>2108</v>
      </c>
      <c r="C719" t="s">
        <v>2109</v>
      </c>
      <c r="D719" t="s">
        <v>23</v>
      </c>
      <c r="E719" t="s">
        <v>59</v>
      </c>
      <c r="F719" t="s">
        <v>29</v>
      </c>
      <c r="G719" t="s">
        <v>31</v>
      </c>
      <c r="H719">
        <f>Cleaned_Data!K719</f>
        <v>15.3</v>
      </c>
      <c r="I719" t="str">
        <f t="shared" si="33"/>
        <v>YES</v>
      </c>
      <c r="J719">
        <f>Cleaned_Data!J719</f>
        <v>24</v>
      </c>
      <c r="K719" t="str">
        <f t="shared" si="34"/>
        <v>2024-02</v>
      </c>
      <c r="L719">
        <f t="shared" si="35"/>
        <v>0</v>
      </c>
    </row>
    <row r="720" spans="1:12">
      <c r="A720" t="s">
        <v>2110</v>
      </c>
      <c r="B720" t="s">
        <v>2111</v>
      </c>
      <c r="C720" t="s">
        <v>2112</v>
      </c>
      <c r="D720" t="s">
        <v>23</v>
      </c>
      <c r="E720" t="s">
        <v>16</v>
      </c>
      <c r="F720" t="s">
        <v>29</v>
      </c>
      <c r="G720" t="s">
        <v>31</v>
      </c>
      <c r="H720">
        <f>Cleaned_Data!K720</f>
        <v>8.32</v>
      </c>
      <c r="I720" t="str">
        <f t="shared" si="33"/>
        <v>YES</v>
      </c>
      <c r="J720">
        <f>Cleaned_Data!J720</f>
        <v>24</v>
      </c>
      <c r="K720" t="str">
        <f t="shared" si="34"/>
        <v>2024-02</v>
      </c>
      <c r="L720">
        <f t="shared" si="35"/>
        <v>0</v>
      </c>
    </row>
    <row r="721" spans="1:12">
      <c r="A721" t="s">
        <v>2113</v>
      </c>
      <c r="B721" t="s">
        <v>2114</v>
      </c>
      <c r="C721" t="s">
        <v>2115</v>
      </c>
      <c r="D721" t="s">
        <v>158</v>
      </c>
      <c r="E721" t="s">
        <v>28</v>
      </c>
      <c r="F721" t="s">
        <v>17</v>
      </c>
      <c r="G721" t="s">
        <v>31</v>
      </c>
      <c r="H721">
        <f>Cleaned_Data!K721</f>
        <v>9.1199999999999992</v>
      </c>
      <c r="I721" t="str">
        <f t="shared" si="33"/>
        <v>NO</v>
      </c>
      <c r="J721">
        <f>Cleaned_Data!J721</f>
        <v>4</v>
      </c>
      <c r="K721" t="str">
        <f t="shared" si="34"/>
        <v>2024-08</v>
      </c>
      <c r="L721">
        <f t="shared" si="35"/>
        <v>5.1199999999999992</v>
      </c>
    </row>
    <row r="722" spans="1:12">
      <c r="A722" t="s">
        <v>2116</v>
      </c>
      <c r="B722" t="s">
        <v>2117</v>
      </c>
      <c r="C722" t="s">
        <v>2118</v>
      </c>
      <c r="D722" t="s">
        <v>35</v>
      </c>
      <c r="E722" t="s">
        <v>28</v>
      </c>
      <c r="F722" t="s">
        <v>17</v>
      </c>
      <c r="G722" t="s">
        <v>19</v>
      </c>
      <c r="H722">
        <f>Cleaned_Data!K722</f>
        <v>45.45</v>
      </c>
      <c r="I722" t="str">
        <f t="shared" si="33"/>
        <v>YES</v>
      </c>
      <c r="J722">
        <f>Cleaned_Data!J722</f>
        <v>48</v>
      </c>
      <c r="K722" t="str">
        <f t="shared" si="34"/>
        <v>2024-02</v>
      </c>
      <c r="L722">
        <f t="shared" si="35"/>
        <v>0</v>
      </c>
    </row>
    <row r="723" spans="1:12">
      <c r="A723" t="s">
        <v>2119</v>
      </c>
      <c r="B723" t="s">
        <v>2120</v>
      </c>
      <c r="C723" t="s">
        <v>2121</v>
      </c>
      <c r="D723" t="s">
        <v>158</v>
      </c>
      <c r="E723" t="s">
        <v>28</v>
      </c>
      <c r="F723" t="s">
        <v>29</v>
      </c>
      <c r="G723" t="s">
        <v>19</v>
      </c>
      <c r="H723">
        <f>Cleaned_Data!K723</f>
        <v>7.7</v>
      </c>
      <c r="I723" t="str">
        <f t="shared" si="33"/>
        <v>NO</v>
      </c>
      <c r="J723">
        <f>Cleaned_Data!J723</f>
        <v>4</v>
      </c>
      <c r="K723" t="str">
        <f t="shared" si="34"/>
        <v>2024-05</v>
      </c>
      <c r="L723">
        <f t="shared" si="35"/>
        <v>3.7</v>
      </c>
    </row>
    <row r="724" spans="1:12">
      <c r="A724" t="s">
        <v>2122</v>
      </c>
      <c r="B724" t="s">
        <v>2123</v>
      </c>
      <c r="C724" t="s">
        <v>2124</v>
      </c>
      <c r="D724" t="s">
        <v>15</v>
      </c>
      <c r="E724" t="s">
        <v>28</v>
      </c>
      <c r="F724" t="s">
        <v>36</v>
      </c>
      <c r="G724" t="s">
        <v>19</v>
      </c>
      <c r="H724">
        <f>Cleaned_Data!K724</f>
        <v>5.34</v>
      </c>
      <c r="I724" t="str">
        <f t="shared" si="33"/>
        <v>YES</v>
      </c>
      <c r="J724">
        <f>Cleaned_Data!J724</f>
        <v>8</v>
      </c>
      <c r="K724" t="str">
        <f t="shared" si="34"/>
        <v>2024-01</v>
      </c>
      <c r="L724">
        <f t="shared" si="35"/>
        <v>0</v>
      </c>
    </row>
    <row r="725" spans="1:12">
      <c r="A725" t="s">
        <v>2125</v>
      </c>
      <c r="B725" t="s">
        <v>2126</v>
      </c>
      <c r="D725" t="s">
        <v>35</v>
      </c>
      <c r="E725" t="s">
        <v>28</v>
      </c>
      <c r="F725" t="s">
        <v>60</v>
      </c>
      <c r="G725" t="s">
        <v>63</v>
      </c>
      <c r="H725">
        <f>Cleaned_Data!K725</f>
        <v>0</v>
      </c>
      <c r="I725" t="str">
        <f t="shared" si="33"/>
        <v/>
      </c>
      <c r="J725">
        <f>Cleaned_Data!J725</f>
        <v>48</v>
      </c>
      <c r="K725" t="str">
        <f t="shared" si="34"/>
        <v>2024-09</v>
      </c>
      <c r="L725">
        <f t="shared" si="35"/>
        <v>0</v>
      </c>
    </row>
    <row r="726" spans="1:12">
      <c r="A726" t="s">
        <v>2127</v>
      </c>
      <c r="B726" t="s">
        <v>2128</v>
      </c>
      <c r="D726" t="s">
        <v>23</v>
      </c>
      <c r="E726" t="s">
        <v>28</v>
      </c>
      <c r="F726" t="s">
        <v>36</v>
      </c>
      <c r="G726" t="s">
        <v>63</v>
      </c>
      <c r="H726">
        <f>Cleaned_Data!K726</f>
        <v>0</v>
      </c>
      <c r="I726" t="str">
        <f t="shared" si="33"/>
        <v/>
      </c>
      <c r="J726">
        <f>Cleaned_Data!J726</f>
        <v>24</v>
      </c>
      <c r="K726" t="str">
        <f t="shared" si="34"/>
        <v>2024-01</v>
      </c>
      <c r="L726">
        <f t="shared" si="35"/>
        <v>0</v>
      </c>
    </row>
    <row r="727" spans="1:12">
      <c r="A727" t="s">
        <v>2129</v>
      </c>
      <c r="B727" t="s">
        <v>2130</v>
      </c>
      <c r="C727" t="s">
        <v>2131</v>
      </c>
      <c r="D727" t="s">
        <v>158</v>
      </c>
      <c r="E727" t="s">
        <v>16</v>
      </c>
      <c r="F727" t="s">
        <v>17</v>
      </c>
      <c r="G727" t="s">
        <v>19</v>
      </c>
      <c r="H727">
        <f>Cleaned_Data!K727</f>
        <v>1.44</v>
      </c>
      <c r="I727" t="str">
        <f t="shared" si="33"/>
        <v>YES</v>
      </c>
      <c r="J727">
        <f>Cleaned_Data!J727</f>
        <v>4</v>
      </c>
      <c r="K727" t="str">
        <f t="shared" si="34"/>
        <v>2024-08</v>
      </c>
      <c r="L727">
        <f t="shared" si="35"/>
        <v>0</v>
      </c>
    </row>
    <row r="728" spans="1:12">
      <c r="A728" t="s">
        <v>2132</v>
      </c>
      <c r="B728" t="s">
        <v>2133</v>
      </c>
      <c r="C728" t="s">
        <v>2134</v>
      </c>
      <c r="D728" t="s">
        <v>23</v>
      </c>
      <c r="E728" t="s">
        <v>16</v>
      </c>
      <c r="F728" t="s">
        <v>36</v>
      </c>
      <c r="G728" t="s">
        <v>19</v>
      </c>
      <c r="H728">
        <f>Cleaned_Data!K728</f>
        <v>14.96</v>
      </c>
      <c r="I728" t="str">
        <f t="shared" si="33"/>
        <v>YES</v>
      </c>
      <c r="J728">
        <f>Cleaned_Data!J728</f>
        <v>24</v>
      </c>
      <c r="K728" t="str">
        <f t="shared" si="34"/>
        <v>2024-06</v>
      </c>
      <c r="L728">
        <f t="shared" si="35"/>
        <v>0</v>
      </c>
    </row>
    <row r="729" spans="1:12">
      <c r="A729" t="s">
        <v>2135</v>
      </c>
      <c r="B729" t="s">
        <v>2136</v>
      </c>
      <c r="C729" t="s">
        <v>2137</v>
      </c>
      <c r="D729" t="s">
        <v>23</v>
      </c>
      <c r="E729" t="s">
        <v>16</v>
      </c>
      <c r="F729" t="s">
        <v>41</v>
      </c>
      <c r="G729" t="s">
        <v>19</v>
      </c>
      <c r="H729">
        <f>Cleaned_Data!K729</f>
        <v>13.54</v>
      </c>
      <c r="I729" t="str">
        <f t="shared" si="33"/>
        <v>YES</v>
      </c>
      <c r="J729">
        <f>Cleaned_Data!J729</f>
        <v>24</v>
      </c>
      <c r="K729" t="str">
        <f t="shared" si="34"/>
        <v>2024-03</v>
      </c>
      <c r="L729">
        <f t="shared" si="35"/>
        <v>0</v>
      </c>
    </row>
    <row r="730" spans="1:12">
      <c r="A730" t="s">
        <v>2138</v>
      </c>
      <c r="B730" t="s">
        <v>2139</v>
      </c>
      <c r="C730" t="s">
        <v>2140</v>
      </c>
      <c r="D730" t="s">
        <v>15</v>
      </c>
      <c r="E730" t="s">
        <v>24</v>
      </c>
      <c r="F730" t="s">
        <v>17</v>
      </c>
      <c r="G730" t="s">
        <v>19</v>
      </c>
      <c r="H730">
        <f>Cleaned_Data!K730</f>
        <v>5.95</v>
      </c>
      <c r="I730" t="str">
        <f t="shared" si="33"/>
        <v>YES</v>
      </c>
      <c r="J730">
        <f>Cleaned_Data!J730</f>
        <v>8</v>
      </c>
      <c r="K730" t="str">
        <f t="shared" si="34"/>
        <v>2024-11</v>
      </c>
      <c r="L730">
        <f t="shared" si="35"/>
        <v>0</v>
      </c>
    </row>
    <row r="731" spans="1:12">
      <c r="A731" t="s">
        <v>2141</v>
      </c>
      <c r="B731" t="s">
        <v>2142</v>
      </c>
      <c r="C731" t="s">
        <v>2143</v>
      </c>
      <c r="D731" t="s">
        <v>23</v>
      </c>
      <c r="E731" t="s">
        <v>28</v>
      </c>
      <c r="F731" t="s">
        <v>60</v>
      </c>
      <c r="G731" t="s">
        <v>19</v>
      </c>
      <c r="H731">
        <f>Cleaned_Data!K731</f>
        <v>15.3</v>
      </c>
      <c r="I731" t="str">
        <f t="shared" si="33"/>
        <v>YES</v>
      </c>
      <c r="J731">
        <f>Cleaned_Data!J731</f>
        <v>24</v>
      </c>
      <c r="K731" t="str">
        <f t="shared" si="34"/>
        <v>2024-05</v>
      </c>
      <c r="L731">
        <f t="shared" si="35"/>
        <v>0</v>
      </c>
    </row>
    <row r="732" spans="1:12">
      <c r="A732" t="s">
        <v>2144</v>
      </c>
      <c r="B732" t="s">
        <v>2145</v>
      </c>
      <c r="C732" t="s">
        <v>2146</v>
      </c>
      <c r="D732" t="s">
        <v>158</v>
      </c>
      <c r="E732" t="s">
        <v>28</v>
      </c>
      <c r="F732" t="s">
        <v>36</v>
      </c>
      <c r="G732" t="s">
        <v>19</v>
      </c>
      <c r="H732">
        <f>Cleaned_Data!K732</f>
        <v>2.62</v>
      </c>
      <c r="I732" t="str">
        <f t="shared" si="33"/>
        <v>YES</v>
      </c>
      <c r="J732">
        <f>Cleaned_Data!J732</f>
        <v>4</v>
      </c>
      <c r="K732" t="str">
        <f t="shared" si="34"/>
        <v>2024-03</v>
      </c>
      <c r="L732">
        <f t="shared" si="35"/>
        <v>0</v>
      </c>
    </row>
    <row r="733" spans="1:12">
      <c r="A733" t="s">
        <v>2147</v>
      </c>
      <c r="B733" t="s">
        <v>2148</v>
      </c>
      <c r="C733" t="s">
        <v>2149</v>
      </c>
      <c r="D733" t="s">
        <v>23</v>
      </c>
      <c r="E733" t="s">
        <v>16</v>
      </c>
      <c r="F733" t="s">
        <v>41</v>
      </c>
      <c r="G733" t="s">
        <v>19</v>
      </c>
      <c r="H733">
        <f>Cleaned_Data!K733</f>
        <v>7.93</v>
      </c>
      <c r="I733" t="str">
        <f t="shared" si="33"/>
        <v>YES</v>
      </c>
      <c r="J733">
        <f>Cleaned_Data!J733</f>
        <v>24</v>
      </c>
      <c r="K733" t="str">
        <f t="shared" si="34"/>
        <v>2024-06</v>
      </c>
      <c r="L733">
        <f t="shared" si="35"/>
        <v>0</v>
      </c>
    </row>
    <row r="734" spans="1:12">
      <c r="A734" t="s">
        <v>2150</v>
      </c>
      <c r="B734" t="s">
        <v>2151</v>
      </c>
      <c r="C734" t="s">
        <v>2152</v>
      </c>
      <c r="D734" t="s">
        <v>35</v>
      </c>
      <c r="E734" t="s">
        <v>54</v>
      </c>
      <c r="F734" t="s">
        <v>36</v>
      </c>
      <c r="G734" t="s">
        <v>19</v>
      </c>
      <c r="H734">
        <f>Cleaned_Data!K734</f>
        <v>43.57</v>
      </c>
      <c r="I734" t="str">
        <f t="shared" si="33"/>
        <v>YES</v>
      </c>
      <c r="J734">
        <f>Cleaned_Data!J734</f>
        <v>48</v>
      </c>
      <c r="K734" t="str">
        <f t="shared" si="34"/>
        <v>2024-04</v>
      </c>
      <c r="L734">
        <f t="shared" si="35"/>
        <v>0</v>
      </c>
    </row>
    <row r="735" spans="1:12">
      <c r="A735" t="s">
        <v>2153</v>
      </c>
      <c r="B735" t="s">
        <v>2154</v>
      </c>
      <c r="C735" t="s">
        <v>2155</v>
      </c>
      <c r="D735" t="s">
        <v>15</v>
      </c>
      <c r="E735" t="s">
        <v>16</v>
      </c>
      <c r="F735" t="s">
        <v>60</v>
      </c>
      <c r="G735" t="s">
        <v>19</v>
      </c>
      <c r="H735">
        <f>Cleaned_Data!K735</f>
        <v>23.64</v>
      </c>
      <c r="I735" t="str">
        <f t="shared" si="33"/>
        <v>NO</v>
      </c>
      <c r="J735">
        <f>Cleaned_Data!J735</f>
        <v>8</v>
      </c>
      <c r="K735" t="str">
        <f t="shared" si="34"/>
        <v>2024-10</v>
      </c>
      <c r="L735">
        <f t="shared" si="35"/>
        <v>15.64</v>
      </c>
    </row>
    <row r="736" spans="1:12">
      <c r="A736" t="s">
        <v>2156</v>
      </c>
      <c r="B736" t="s">
        <v>2157</v>
      </c>
      <c r="C736" t="s">
        <v>2158</v>
      </c>
      <c r="D736" t="s">
        <v>23</v>
      </c>
      <c r="E736" t="s">
        <v>28</v>
      </c>
      <c r="F736" t="s">
        <v>17</v>
      </c>
      <c r="G736" t="s">
        <v>31</v>
      </c>
      <c r="H736">
        <f>Cleaned_Data!K736</f>
        <v>8.0399999999999991</v>
      </c>
      <c r="I736" t="str">
        <f t="shared" si="33"/>
        <v>YES</v>
      </c>
      <c r="J736">
        <f>Cleaned_Data!J736</f>
        <v>24</v>
      </c>
      <c r="K736" t="str">
        <f t="shared" si="34"/>
        <v>2024-12</v>
      </c>
      <c r="L736">
        <f t="shared" si="35"/>
        <v>0</v>
      </c>
    </row>
    <row r="737" spans="1:12">
      <c r="A737" t="s">
        <v>2159</v>
      </c>
      <c r="B737" t="s">
        <v>2160</v>
      </c>
      <c r="C737" t="s">
        <v>2161</v>
      </c>
      <c r="D737" t="s">
        <v>15</v>
      </c>
      <c r="E737" t="s">
        <v>16</v>
      </c>
      <c r="F737" t="s">
        <v>41</v>
      </c>
      <c r="G737" t="s">
        <v>19</v>
      </c>
      <c r="H737">
        <f>Cleaned_Data!K737</f>
        <v>1.0900000000000001</v>
      </c>
      <c r="I737" t="str">
        <f t="shared" si="33"/>
        <v>YES</v>
      </c>
      <c r="J737">
        <f>Cleaned_Data!J737</f>
        <v>8</v>
      </c>
      <c r="K737" t="str">
        <f t="shared" si="34"/>
        <v>2024-11</v>
      </c>
      <c r="L737">
        <f t="shared" si="35"/>
        <v>0</v>
      </c>
    </row>
    <row r="738" spans="1:12">
      <c r="A738" t="s">
        <v>2162</v>
      </c>
      <c r="B738" t="s">
        <v>2163</v>
      </c>
      <c r="C738" t="s">
        <v>2164</v>
      </c>
      <c r="D738" t="s">
        <v>15</v>
      </c>
      <c r="E738" t="s">
        <v>28</v>
      </c>
      <c r="F738" t="s">
        <v>60</v>
      </c>
      <c r="G738" t="s">
        <v>19</v>
      </c>
      <c r="H738">
        <f>Cleaned_Data!K738</f>
        <v>7.09</v>
      </c>
      <c r="I738" t="str">
        <f t="shared" si="33"/>
        <v>YES</v>
      </c>
      <c r="J738">
        <f>Cleaned_Data!J738</f>
        <v>8</v>
      </c>
      <c r="K738" t="str">
        <f t="shared" si="34"/>
        <v>2024-04</v>
      </c>
      <c r="L738">
        <f t="shared" si="35"/>
        <v>0</v>
      </c>
    </row>
    <row r="739" spans="1:12">
      <c r="A739" t="s">
        <v>2165</v>
      </c>
      <c r="B739" t="s">
        <v>2166</v>
      </c>
      <c r="C739" t="s">
        <v>2167</v>
      </c>
      <c r="D739" t="s">
        <v>158</v>
      </c>
      <c r="E739" t="s">
        <v>28</v>
      </c>
      <c r="F739" t="s">
        <v>36</v>
      </c>
      <c r="G739" t="s">
        <v>31</v>
      </c>
      <c r="H739">
        <f>Cleaned_Data!K739</f>
        <v>1.51</v>
      </c>
      <c r="I739" t="str">
        <f t="shared" si="33"/>
        <v>YES</v>
      </c>
      <c r="J739">
        <f>Cleaned_Data!J739</f>
        <v>4</v>
      </c>
      <c r="K739" t="str">
        <f t="shared" si="34"/>
        <v>2024-11</v>
      </c>
      <c r="L739">
        <f t="shared" si="35"/>
        <v>0</v>
      </c>
    </row>
    <row r="740" spans="1:12">
      <c r="A740" t="s">
        <v>2168</v>
      </c>
      <c r="B740" t="s">
        <v>2169</v>
      </c>
      <c r="C740" t="s">
        <v>2170</v>
      </c>
      <c r="D740" t="s">
        <v>35</v>
      </c>
      <c r="E740" t="s">
        <v>28</v>
      </c>
      <c r="F740" t="s">
        <v>36</v>
      </c>
      <c r="G740" t="s">
        <v>19</v>
      </c>
      <c r="H740">
        <f>Cleaned_Data!K740</f>
        <v>21.63</v>
      </c>
      <c r="I740" t="str">
        <f t="shared" si="33"/>
        <v>YES</v>
      </c>
      <c r="J740">
        <f>Cleaned_Data!J740</f>
        <v>48</v>
      </c>
      <c r="K740" t="str">
        <f t="shared" si="34"/>
        <v>2024-09</v>
      </c>
      <c r="L740">
        <f t="shared" si="35"/>
        <v>0</v>
      </c>
    </row>
    <row r="741" spans="1:12">
      <c r="A741" t="s">
        <v>2171</v>
      </c>
      <c r="B741" t="s">
        <v>2172</v>
      </c>
      <c r="C741" t="s">
        <v>2173</v>
      </c>
      <c r="D741" t="s">
        <v>15</v>
      </c>
      <c r="E741" t="s">
        <v>28</v>
      </c>
      <c r="F741" t="s">
        <v>41</v>
      </c>
      <c r="G741" t="s">
        <v>31</v>
      </c>
      <c r="H741">
        <f>Cleaned_Data!K741</f>
        <v>7.11</v>
      </c>
      <c r="I741" t="str">
        <f t="shared" si="33"/>
        <v>YES</v>
      </c>
      <c r="J741">
        <f>Cleaned_Data!J741</f>
        <v>8</v>
      </c>
      <c r="K741" t="str">
        <f t="shared" si="34"/>
        <v>2024-12</v>
      </c>
      <c r="L741">
        <f t="shared" si="35"/>
        <v>0</v>
      </c>
    </row>
    <row r="742" spans="1:12">
      <c r="A742" t="s">
        <v>2174</v>
      </c>
      <c r="B742" t="s">
        <v>2175</v>
      </c>
      <c r="C742" t="s">
        <v>2176</v>
      </c>
      <c r="D742" t="s">
        <v>23</v>
      </c>
      <c r="E742" t="s">
        <v>28</v>
      </c>
      <c r="F742" t="s">
        <v>17</v>
      </c>
      <c r="G742" t="s">
        <v>19</v>
      </c>
      <c r="H742">
        <f>Cleaned_Data!K742</f>
        <v>9.25</v>
      </c>
      <c r="I742" t="str">
        <f t="shared" si="33"/>
        <v>YES</v>
      </c>
      <c r="J742">
        <f>Cleaned_Data!J742</f>
        <v>24</v>
      </c>
      <c r="K742" t="str">
        <f t="shared" si="34"/>
        <v>2024-05</v>
      </c>
      <c r="L742">
        <f t="shared" si="35"/>
        <v>0</v>
      </c>
    </row>
    <row r="743" spans="1:12">
      <c r="A743" t="s">
        <v>2177</v>
      </c>
      <c r="B743" t="s">
        <v>2178</v>
      </c>
      <c r="C743" t="s">
        <v>2179</v>
      </c>
      <c r="D743" t="s">
        <v>158</v>
      </c>
      <c r="E743" t="s">
        <v>24</v>
      </c>
      <c r="F743" t="s">
        <v>41</v>
      </c>
      <c r="G743" t="s">
        <v>19</v>
      </c>
      <c r="H743">
        <f>Cleaned_Data!K743</f>
        <v>1.1499999999999999</v>
      </c>
      <c r="I743" t="str">
        <f t="shared" si="33"/>
        <v>YES</v>
      </c>
      <c r="J743">
        <f>Cleaned_Data!J743</f>
        <v>4</v>
      </c>
      <c r="K743" t="str">
        <f t="shared" si="34"/>
        <v>2024-08</v>
      </c>
      <c r="L743">
        <f t="shared" si="35"/>
        <v>0</v>
      </c>
    </row>
    <row r="744" spans="1:12">
      <c r="A744" t="s">
        <v>2180</v>
      </c>
      <c r="B744" t="s">
        <v>2181</v>
      </c>
      <c r="C744" t="s">
        <v>2182</v>
      </c>
      <c r="D744" t="s">
        <v>23</v>
      </c>
      <c r="E744" t="s">
        <v>54</v>
      </c>
      <c r="F744" t="s">
        <v>60</v>
      </c>
      <c r="G744" t="s">
        <v>31</v>
      </c>
      <c r="H744">
        <f>Cleaned_Data!K744</f>
        <v>7.09</v>
      </c>
      <c r="I744" t="str">
        <f t="shared" si="33"/>
        <v>YES</v>
      </c>
      <c r="J744">
        <f>Cleaned_Data!J744</f>
        <v>24</v>
      </c>
      <c r="K744" t="str">
        <f t="shared" si="34"/>
        <v>2024-03</v>
      </c>
      <c r="L744">
        <f t="shared" si="35"/>
        <v>0</v>
      </c>
    </row>
    <row r="745" spans="1:12">
      <c r="A745" t="s">
        <v>2183</v>
      </c>
      <c r="B745" t="s">
        <v>2184</v>
      </c>
      <c r="C745" t="s">
        <v>2185</v>
      </c>
      <c r="D745" t="s">
        <v>23</v>
      </c>
      <c r="E745" t="s">
        <v>59</v>
      </c>
      <c r="F745" t="s">
        <v>60</v>
      </c>
      <c r="G745" t="s">
        <v>31</v>
      </c>
      <c r="H745">
        <f>Cleaned_Data!K745</f>
        <v>17.29</v>
      </c>
      <c r="I745" t="str">
        <f t="shared" si="33"/>
        <v>YES</v>
      </c>
      <c r="J745">
        <f>Cleaned_Data!J745</f>
        <v>24</v>
      </c>
      <c r="K745" t="str">
        <f t="shared" si="34"/>
        <v>2024-07</v>
      </c>
      <c r="L745">
        <f t="shared" si="35"/>
        <v>0</v>
      </c>
    </row>
    <row r="746" spans="1:12">
      <c r="A746" t="s">
        <v>2186</v>
      </c>
      <c r="B746" t="s">
        <v>2187</v>
      </c>
      <c r="D746" t="s">
        <v>15</v>
      </c>
      <c r="E746" t="s">
        <v>28</v>
      </c>
      <c r="F746" t="s">
        <v>17</v>
      </c>
      <c r="G746" t="s">
        <v>63</v>
      </c>
      <c r="H746">
        <f>Cleaned_Data!K746</f>
        <v>0</v>
      </c>
      <c r="I746" t="str">
        <f t="shared" si="33"/>
        <v/>
      </c>
      <c r="J746">
        <f>Cleaned_Data!J746</f>
        <v>8</v>
      </c>
      <c r="K746" t="str">
        <f t="shared" si="34"/>
        <v>2024-04</v>
      </c>
      <c r="L746">
        <f t="shared" si="35"/>
        <v>0</v>
      </c>
    </row>
    <row r="747" spans="1:12">
      <c r="A747" t="s">
        <v>2188</v>
      </c>
      <c r="B747" t="s">
        <v>2189</v>
      </c>
      <c r="D747" t="s">
        <v>23</v>
      </c>
      <c r="E747" t="s">
        <v>24</v>
      </c>
      <c r="F747" t="s">
        <v>36</v>
      </c>
      <c r="G747" t="s">
        <v>46</v>
      </c>
      <c r="H747">
        <f>Cleaned_Data!K747</f>
        <v>0</v>
      </c>
      <c r="I747" t="str">
        <f t="shared" si="33"/>
        <v/>
      </c>
      <c r="J747">
        <f>Cleaned_Data!J747</f>
        <v>24</v>
      </c>
      <c r="K747" t="str">
        <f t="shared" si="34"/>
        <v>2024-12</v>
      </c>
      <c r="L747">
        <f t="shared" si="35"/>
        <v>0</v>
      </c>
    </row>
    <row r="748" spans="1:12">
      <c r="A748" t="s">
        <v>2190</v>
      </c>
      <c r="B748" t="s">
        <v>2191</v>
      </c>
      <c r="C748" t="s">
        <v>2192</v>
      </c>
      <c r="D748" t="s">
        <v>23</v>
      </c>
      <c r="E748" t="s">
        <v>24</v>
      </c>
      <c r="F748" t="s">
        <v>60</v>
      </c>
      <c r="G748" t="s">
        <v>19</v>
      </c>
      <c r="H748">
        <f>Cleaned_Data!K748</f>
        <v>19.149999999999999</v>
      </c>
      <c r="I748" t="str">
        <f t="shared" si="33"/>
        <v>YES</v>
      </c>
      <c r="J748">
        <f>Cleaned_Data!J748</f>
        <v>24</v>
      </c>
      <c r="K748" t="str">
        <f t="shared" si="34"/>
        <v>2024-10</v>
      </c>
      <c r="L748">
        <f t="shared" si="35"/>
        <v>0</v>
      </c>
    </row>
    <row r="749" spans="1:12">
      <c r="A749" t="s">
        <v>2193</v>
      </c>
      <c r="B749" t="s">
        <v>2194</v>
      </c>
      <c r="C749" t="s">
        <v>2195</v>
      </c>
      <c r="D749" t="s">
        <v>158</v>
      </c>
      <c r="E749" t="s">
        <v>16</v>
      </c>
      <c r="F749" t="s">
        <v>41</v>
      </c>
      <c r="G749" t="s">
        <v>19</v>
      </c>
      <c r="H749">
        <f>Cleaned_Data!K749</f>
        <v>2.6</v>
      </c>
      <c r="I749" t="str">
        <f t="shared" si="33"/>
        <v>YES</v>
      </c>
      <c r="J749">
        <f>Cleaned_Data!J749</f>
        <v>4</v>
      </c>
      <c r="K749" t="str">
        <f t="shared" si="34"/>
        <v>2024-04</v>
      </c>
      <c r="L749">
        <f t="shared" si="35"/>
        <v>0</v>
      </c>
    </row>
    <row r="750" spans="1:12">
      <c r="A750" t="s">
        <v>2196</v>
      </c>
      <c r="B750" t="s">
        <v>2197</v>
      </c>
      <c r="C750" t="s">
        <v>2198</v>
      </c>
      <c r="D750" t="s">
        <v>23</v>
      </c>
      <c r="E750" t="s">
        <v>24</v>
      </c>
      <c r="F750" t="s">
        <v>41</v>
      </c>
      <c r="G750" t="s">
        <v>31</v>
      </c>
      <c r="H750">
        <f>Cleaned_Data!K750</f>
        <v>11.68</v>
      </c>
      <c r="I750" t="str">
        <f t="shared" si="33"/>
        <v>YES</v>
      </c>
      <c r="J750">
        <f>Cleaned_Data!J750</f>
        <v>24</v>
      </c>
      <c r="K750" t="str">
        <f t="shared" si="34"/>
        <v>2024-07</v>
      </c>
      <c r="L750">
        <f t="shared" si="35"/>
        <v>0</v>
      </c>
    </row>
    <row r="751" spans="1:12">
      <c r="A751" t="s">
        <v>2199</v>
      </c>
      <c r="B751" t="s">
        <v>2200</v>
      </c>
      <c r="C751" t="s">
        <v>2201</v>
      </c>
      <c r="D751" t="s">
        <v>23</v>
      </c>
      <c r="E751" t="s">
        <v>24</v>
      </c>
      <c r="F751" t="s">
        <v>29</v>
      </c>
      <c r="G751" t="s">
        <v>19</v>
      </c>
      <c r="H751">
        <f>Cleaned_Data!K751</f>
        <v>19.95</v>
      </c>
      <c r="I751" t="str">
        <f t="shared" si="33"/>
        <v>YES</v>
      </c>
      <c r="J751">
        <f>Cleaned_Data!J751</f>
        <v>24</v>
      </c>
      <c r="K751" t="str">
        <f t="shared" si="34"/>
        <v>2024-12</v>
      </c>
      <c r="L751">
        <f t="shared" si="35"/>
        <v>0</v>
      </c>
    </row>
    <row r="752" spans="1:12">
      <c r="A752" t="s">
        <v>2202</v>
      </c>
      <c r="B752" t="s">
        <v>2203</v>
      </c>
      <c r="C752" t="s">
        <v>2204</v>
      </c>
      <c r="D752" t="s">
        <v>23</v>
      </c>
      <c r="E752" t="s">
        <v>28</v>
      </c>
      <c r="F752" t="s">
        <v>29</v>
      </c>
      <c r="G752" t="s">
        <v>31</v>
      </c>
      <c r="H752">
        <f>Cleaned_Data!K752</f>
        <v>14.9</v>
      </c>
      <c r="I752" t="str">
        <f t="shared" si="33"/>
        <v>YES</v>
      </c>
      <c r="J752">
        <f>Cleaned_Data!J752</f>
        <v>24</v>
      </c>
      <c r="K752" t="str">
        <f t="shared" si="34"/>
        <v>2024-12</v>
      </c>
      <c r="L752">
        <f t="shared" si="35"/>
        <v>0</v>
      </c>
    </row>
    <row r="753" spans="1:12">
      <c r="A753" t="s">
        <v>2205</v>
      </c>
      <c r="B753" t="s">
        <v>2206</v>
      </c>
      <c r="D753" t="s">
        <v>23</v>
      </c>
      <c r="E753" t="s">
        <v>24</v>
      </c>
      <c r="F753" t="s">
        <v>29</v>
      </c>
      <c r="G753" t="s">
        <v>63</v>
      </c>
      <c r="H753">
        <f>Cleaned_Data!K753</f>
        <v>0</v>
      </c>
      <c r="I753" t="str">
        <f t="shared" si="33"/>
        <v/>
      </c>
      <c r="J753">
        <f>Cleaned_Data!J753</f>
        <v>24</v>
      </c>
      <c r="K753" t="str">
        <f t="shared" si="34"/>
        <v>2024-03</v>
      </c>
      <c r="L753">
        <f t="shared" si="35"/>
        <v>0</v>
      </c>
    </row>
    <row r="754" spans="1:12">
      <c r="A754" t="s">
        <v>2207</v>
      </c>
      <c r="B754" t="s">
        <v>2208</v>
      </c>
      <c r="C754" t="s">
        <v>2209</v>
      </c>
      <c r="D754" t="s">
        <v>35</v>
      </c>
      <c r="E754" t="s">
        <v>54</v>
      </c>
      <c r="F754" t="s">
        <v>36</v>
      </c>
      <c r="G754" t="s">
        <v>19</v>
      </c>
      <c r="H754">
        <f>Cleaned_Data!K754</f>
        <v>6.47</v>
      </c>
      <c r="I754" t="str">
        <f t="shared" si="33"/>
        <v>YES</v>
      </c>
      <c r="J754">
        <f>Cleaned_Data!J754</f>
        <v>48</v>
      </c>
      <c r="K754" t="str">
        <f t="shared" si="34"/>
        <v>2024-07</v>
      </c>
      <c r="L754">
        <f t="shared" si="35"/>
        <v>0</v>
      </c>
    </row>
    <row r="755" spans="1:12">
      <c r="A755" t="s">
        <v>2210</v>
      </c>
      <c r="B755" t="s">
        <v>2211</v>
      </c>
      <c r="D755" t="s">
        <v>23</v>
      </c>
      <c r="E755" t="s">
        <v>24</v>
      </c>
      <c r="F755" t="s">
        <v>17</v>
      </c>
      <c r="G755" t="s">
        <v>46</v>
      </c>
      <c r="H755">
        <f>Cleaned_Data!K755</f>
        <v>0</v>
      </c>
      <c r="I755" t="str">
        <f t="shared" si="33"/>
        <v/>
      </c>
      <c r="J755">
        <f>Cleaned_Data!J755</f>
        <v>24</v>
      </c>
      <c r="K755" t="str">
        <f t="shared" si="34"/>
        <v>2024-09</v>
      </c>
      <c r="L755">
        <f t="shared" si="35"/>
        <v>0</v>
      </c>
    </row>
    <row r="756" spans="1:12">
      <c r="A756" t="s">
        <v>2212</v>
      </c>
      <c r="B756" t="s">
        <v>2213</v>
      </c>
      <c r="C756" t="s">
        <v>2214</v>
      </c>
      <c r="D756" t="s">
        <v>23</v>
      </c>
      <c r="E756" t="s">
        <v>54</v>
      </c>
      <c r="F756" t="s">
        <v>60</v>
      </c>
      <c r="G756" t="s">
        <v>19</v>
      </c>
      <c r="H756">
        <f>Cleaned_Data!K756</f>
        <v>7</v>
      </c>
      <c r="I756" t="str">
        <f t="shared" si="33"/>
        <v>YES</v>
      </c>
      <c r="J756">
        <f>Cleaned_Data!J756</f>
        <v>24</v>
      </c>
      <c r="K756" t="str">
        <f t="shared" si="34"/>
        <v>2024-04</v>
      </c>
      <c r="L756">
        <f t="shared" si="35"/>
        <v>0</v>
      </c>
    </row>
    <row r="757" spans="1:12">
      <c r="A757" t="s">
        <v>2215</v>
      </c>
      <c r="B757" t="s">
        <v>2216</v>
      </c>
      <c r="C757" t="s">
        <v>2217</v>
      </c>
      <c r="D757" t="s">
        <v>23</v>
      </c>
      <c r="E757" t="s">
        <v>28</v>
      </c>
      <c r="F757" t="s">
        <v>36</v>
      </c>
      <c r="G757" t="s">
        <v>19</v>
      </c>
      <c r="H757">
        <f>Cleaned_Data!K757</f>
        <v>12.63</v>
      </c>
      <c r="I757" t="str">
        <f t="shared" si="33"/>
        <v>YES</v>
      </c>
      <c r="J757">
        <f>Cleaned_Data!J757</f>
        <v>24</v>
      </c>
      <c r="K757" t="str">
        <f t="shared" si="34"/>
        <v>2024-04</v>
      </c>
      <c r="L757">
        <f t="shared" si="35"/>
        <v>0</v>
      </c>
    </row>
    <row r="758" spans="1:12">
      <c r="A758" t="s">
        <v>2218</v>
      </c>
      <c r="B758" t="s">
        <v>2219</v>
      </c>
      <c r="C758" t="s">
        <v>2220</v>
      </c>
      <c r="D758" t="s">
        <v>23</v>
      </c>
      <c r="E758" t="s">
        <v>54</v>
      </c>
      <c r="F758" t="s">
        <v>60</v>
      </c>
      <c r="G758" t="s">
        <v>19</v>
      </c>
      <c r="H758">
        <f>Cleaned_Data!K758</f>
        <v>16.14</v>
      </c>
      <c r="I758" t="str">
        <f t="shared" si="33"/>
        <v>YES</v>
      </c>
      <c r="J758">
        <f>Cleaned_Data!J758</f>
        <v>24</v>
      </c>
      <c r="K758" t="str">
        <f t="shared" si="34"/>
        <v>2024-07</v>
      </c>
      <c r="L758">
        <f t="shared" si="35"/>
        <v>0</v>
      </c>
    </row>
    <row r="759" spans="1:12">
      <c r="A759" t="s">
        <v>2221</v>
      </c>
      <c r="B759" t="s">
        <v>2222</v>
      </c>
      <c r="C759" t="s">
        <v>2223</v>
      </c>
      <c r="D759" t="s">
        <v>35</v>
      </c>
      <c r="E759" t="s">
        <v>24</v>
      </c>
      <c r="F759" t="s">
        <v>41</v>
      </c>
      <c r="G759" t="s">
        <v>19</v>
      </c>
      <c r="H759">
        <f>Cleaned_Data!K759</f>
        <v>77.39</v>
      </c>
      <c r="I759" t="str">
        <f t="shared" si="33"/>
        <v>NO</v>
      </c>
      <c r="J759">
        <f>Cleaned_Data!J759</f>
        <v>48</v>
      </c>
      <c r="K759" t="str">
        <f t="shared" si="34"/>
        <v>2024-12</v>
      </c>
      <c r="L759">
        <f t="shared" si="35"/>
        <v>29.39</v>
      </c>
    </row>
    <row r="760" spans="1:12">
      <c r="A760" t="s">
        <v>2224</v>
      </c>
      <c r="B760" t="s">
        <v>2225</v>
      </c>
      <c r="C760" t="s">
        <v>2226</v>
      </c>
      <c r="D760" t="s">
        <v>15</v>
      </c>
      <c r="E760" t="s">
        <v>24</v>
      </c>
      <c r="F760" t="s">
        <v>17</v>
      </c>
      <c r="G760" t="s">
        <v>19</v>
      </c>
      <c r="H760">
        <f>Cleaned_Data!K760</f>
        <v>7.27</v>
      </c>
      <c r="I760" t="str">
        <f t="shared" si="33"/>
        <v>YES</v>
      </c>
      <c r="J760">
        <f>Cleaned_Data!J760</f>
        <v>8</v>
      </c>
      <c r="K760" t="str">
        <f t="shared" si="34"/>
        <v>2024-02</v>
      </c>
      <c r="L760">
        <f t="shared" si="35"/>
        <v>0</v>
      </c>
    </row>
    <row r="761" spans="1:12">
      <c r="A761" t="s">
        <v>2227</v>
      </c>
      <c r="B761" t="s">
        <v>2228</v>
      </c>
      <c r="C761" t="s">
        <v>2229</v>
      </c>
      <c r="D761" t="s">
        <v>35</v>
      </c>
      <c r="E761" t="s">
        <v>28</v>
      </c>
      <c r="F761" t="s">
        <v>17</v>
      </c>
      <c r="G761" t="s">
        <v>19</v>
      </c>
      <c r="H761">
        <f>Cleaned_Data!K761</f>
        <v>31.1</v>
      </c>
      <c r="I761" t="str">
        <f t="shared" si="33"/>
        <v>YES</v>
      </c>
      <c r="J761">
        <f>Cleaned_Data!J761</f>
        <v>48</v>
      </c>
      <c r="K761" t="str">
        <f t="shared" si="34"/>
        <v>2024-06</v>
      </c>
      <c r="L761">
        <f t="shared" si="35"/>
        <v>0</v>
      </c>
    </row>
    <row r="762" spans="1:12">
      <c r="A762" t="s">
        <v>2230</v>
      </c>
      <c r="B762" t="s">
        <v>2231</v>
      </c>
      <c r="C762" t="s">
        <v>2232</v>
      </c>
      <c r="D762" t="s">
        <v>158</v>
      </c>
      <c r="E762" t="s">
        <v>16</v>
      </c>
      <c r="F762" t="s">
        <v>60</v>
      </c>
      <c r="G762" t="s">
        <v>19</v>
      </c>
      <c r="H762">
        <f>Cleaned_Data!K762</f>
        <v>2.63</v>
      </c>
      <c r="I762" t="str">
        <f t="shared" si="33"/>
        <v>YES</v>
      </c>
      <c r="J762">
        <f>Cleaned_Data!J762</f>
        <v>4</v>
      </c>
      <c r="K762" t="str">
        <f t="shared" si="34"/>
        <v>2024-01</v>
      </c>
      <c r="L762">
        <f t="shared" si="35"/>
        <v>0</v>
      </c>
    </row>
    <row r="763" spans="1:12">
      <c r="A763" t="s">
        <v>2233</v>
      </c>
      <c r="B763" t="s">
        <v>2234</v>
      </c>
      <c r="C763" t="s">
        <v>2235</v>
      </c>
      <c r="D763" t="s">
        <v>23</v>
      </c>
      <c r="E763" t="s">
        <v>54</v>
      </c>
      <c r="F763" t="s">
        <v>60</v>
      </c>
      <c r="G763" t="s">
        <v>19</v>
      </c>
      <c r="H763">
        <f>Cleaned_Data!K763</f>
        <v>20.72</v>
      </c>
      <c r="I763" t="str">
        <f t="shared" si="33"/>
        <v>YES</v>
      </c>
      <c r="J763">
        <f>Cleaned_Data!J763</f>
        <v>24</v>
      </c>
      <c r="K763" t="str">
        <f t="shared" si="34"/>
        <v>2024-07</v>
      </c>
      <c r="L763">
        <f t="shared" si="35"/>
        <v>0</v>
      </c>
    </row>
    <row r="764" spans="1:12">
      <c r="A764" t="s">
        <v>2236</v>
      </c>
      <c r="B764" t="s">
        <v>2237</v>
      </c>
      <c r="C764" t="s">
        <v>2238</v>
      </c>
      <c r="D764" t="s">
        <v>15</v>
      </c>
      <c r="E764" t="s">
        <v>28</v>
      </c>
      <c r="F764" t="s">
        <v>29</v>
      </c>
      <c r="G764" t="s">
        <v>19</v>
      </c>
      <c r="H764">
        <f>Cleaned_Data!K764</f>
        <v>7.3</v>
      </c>
      <c r="I764" t="str">
        <f t="shared" si="33"/>
        <v>YES</v>
      </c>
      <c r="J764">
        <f>Cleaned_Data!J764</f>
        <v>8</v>
      </c>
      <c r="K764" t="str">
        <f t="shared" si="34"/>
        <v>2024-11</v>
      </c>
      <c r="L764">
        <f t="shared" si="35"/>
        <v>0</v>
      </c>
    </row>
    <row r="765" spans="1:12">
      <c r="A765" t="s">
        <v>2239</v>
      </c>
      <c r="B765" t="s">
        <v>2240</v>
      </c>
      <c r="C765" t="s">
        <v>2241</v>
      </c>
      <c r="D765" t="s">
        <v>23</v>
      </c>
      <c r="E765" t="s">
        <v>16</v>
      </c>
      <c r="F765" t="s">
        <v>17</v>
      </c>
      <c r="G765" t="s">
        <v>31</v>
      </c>
      <c r="H765">
        <f>Cleaned_Data!K765</f>
        <v>5.53</v>
      </c>
      <c r="I765" t="str">
        <f t="shared" si="33"/>
        <v>YES</v>
      </c>
      <c r="J765">
        <f>Cleaned_Data!J765</f>
        <v>24</v>
      </c>
      <c r="K765" t="str">
        <f t="shared" si="34"/>
        <v>2024-03</v>
      </c>
      <c r="L765">
        <f t="shared" si="35"/>
        <v>0</v>
      </c>
    </row>
    <row r="766" spans="1:12">
      <c r="A766" t="s">
        <v>2242</v>
      </c>
      <c r="B766" t="s">
        <v>2243</v>
      </c>
      <c r="D766" t="s">
        <v>35</v>
      </c>
      <c r="E766" t="s">
        <v>54</v>
      </c>
      <c r="F766" t="s">
        <v>41</v>
      </c>
      <c r="G766" t="s">
        <v>63</v>
      </c>
      <c r="H766">
        <f>Cleaned_Data!K766</f>
        <v>0</v>
      </c>
      <c r="I766" t="str">
        <f t="shared" si="33"/>
        <v/>
      </c>
      <c r="J766">
        <f>Cleaned_Data!J766</f>
        <v>48</v>
      </c>
      <c r="K766" t="str">
        <f t="shared" si="34"/>
        <v>2024-01</v>
      </c>
      <c r="L766">
        <f t="shared" si="35"/>
        <v>0</v>
      </c>
    </row>
    <row r="767" spans="1:12">
      <c r="A767" t="s">
        <v>2244</v>
      </c>
      <c r="B767" t="s">
        <v>2245</v>
      </c>
      <c r="C767" t="s">
        <v>2246</v>
      </c>
      <c r="D767" t="s">
        <v>15</v>
      </c>
      <c r="E767" t="s">
        <v>28</v>
      </c>
      <c r="F767" t="s">
        <v>17</v>
      </c>
      <c r="G767" t="s">
        <v>19</v>
      </c>
      <c r="H767">
        <f>Cleaned_Data!K767</f>
        <v>14.71</v>
      </c>
      <c r="I767" t="str">
        <f t="shared" si="33"/>
        <v>NO</v>
      </c>
      <c r="J767">
        <f>Cleaned_Data!J767</f>
        <v>8</v>
      </c>
      <c r="K767" t="str">
        <f t="shared" si="34"/>
        <v>2024-05</v>
      </c>
      <c r="L767">
        <f t="shared" si="35"/>
        <v>6.7100000000000009</v>
      </c>
    </row>
    <row r="768" spans="1:12">
      <c r="A768" t="s">
        <v>2247</v>
      </c>
      <c r="B768" t="s">
        <v>2248</v>
      </c>
      <c r="D768" t="s">
        <v>35</v>
      </c>
      <c r="E768" t="s">
        <v>59</v>
      </c>
      <c r="F768" t="s">
        <v>17</v>
      </c>
      <c r="G768" t="s">
        <v>46</v>
      </c>
      <c r="H768">
        <f>Cleaned_Data!K768</f>
        <v>0</v>
      </c>
      <c r="I768" t="str">
        <f t="shared" si="33"/>
        <v/>
      </c>
      <c r="J768">
        <f>Cleaned_Data!J768</f>
        <v>48</v>
      </c>
      <c r="K768" t="str">
        <f t="shared" si="34"/>
        <v>2024-02</v>
      </c>
      <c r="L768">
        <f t="shared" si="35"/>
        <v>0</v>
      </c>
    </row>
    <row r="769" spans="1:12">
      <c r="A769" t="s">
        <v>2249</v>
      </c>
      <c r="B769" t="s">
        <v>2250</v>
      </c>
      <c r="C769" t="s">
        <v>2251</v>
      </c>
      <c r="D769" t="s">
        <v>35</v>
      </c>
      <c r="E769" t="s">
        <v>28</v>
      </c>
      <c r="F769" t="s">
        <v>29</v>
      </c>
      <c r="G769" t="s">
        <v>31</v>
      </c>
      <c r="H769">
        <f>Cleaned_Data!K769</f>
        <v>120.99</v>
      </c>
      <c r="I769" t="str">
        <f t="shared" si="33"/>
        <v>NO</v>
      </c>
      <c r="J769">
        <f>Cleaned_Data!J769</f>
        <v>48</v>
      </c>
      <c r="K769" t="str">
        <f t="shared" si="34"/>
        <v>2024-07</v>
      </c>
      <c r="L769">
        <f t="shared" si="35"/>
        <v>72.989999999999995</v>
      </c>
    </row>
    <row r="770" spans="1:12">
      <c r="A770" t="s">
        <v>2252</v>
      </c>
      <c r="B770" t="s">
        <v>2253</v>
      </c>
      <c r="C770" t="s">
        <v>2254</v>
      </c>
      <c r="D770" t="s">
        <v>15</v>
      </c>
      <c r="E770" t="s">
        <v>54</v>
      </c>
      <c r="F770" t="s">
        <v>41</v>
      </c>
      <c r="G770" t="s">
        <v>31</v>
      </c>
      <c r="H770">
        <f>Cleaned_Data!K770</f>
        <v>6.92</v>
      </c>
      <c r="I770" t="str">
        <f t="shared" ref="I770:I833" si="36">IF(OR(G770="Resolved", G770="Closed"), IF(AND(H770&lt;&gt;"", H770&lt;=J770), "YES", "NO"), "")</f>
        <v>YES</v>
      </c>
      <c r="J770">
        <f>Cleaned_Data!J770</f>
        <v>8</v>
      </c>
      <c r="K770" t="str">
        <f t="shared" ref="K770:K833" si="37">LEFT(B770, 7)</f>
        <v>2024-09</v>
      </c>
      <c r="L770">
        <f t="shared" ref="L770:L833" si="38">IF(I770="NO", H770-J770, 0)</f>
        <v>0</v>
      </c>
    </row>
    <row r="771" spans="1:12">
      <c r="A771" t="s">
        <v>2255</v>
      </c>
      <c r="B771" t="s">
        <v>2256</v>
      </c>
      <c r="C771" t="s">
        <v>2257</v>
      </c>
      <c r="D771" t="s">
        <v>15</v>
      </c>
      <c r="E771" t="s">
        <v>24</v>
      </c>
      <c r="F771" t="s">
        <v>60</v>
      </c>
      <c r="G771" t="s">
        <v>19</v>
      </c>
      <c r="H771">
        <f>Cleaned_Data!K771</f>
        <v>1.17</v>
      </c>
      <c r="I771" t="str">
        <f t="shared" si="36"/>
        <v>YES</v>
      </c>
      <c r="J771">
        <f>Cleaned_Data!J771</f>
        <v>8</v>
      </c>
      <c r="K771" t="str">
        <f t="shared" si="37"/>
        <v>2024-08</v>
      </c>
      <c r="L771">
        <f t="shared" si="38"/>
        <v>0</v>
      </c>
    </row>
    <row r="772" spans="1:12">
      <c r="A772" t="s">
        <v>2258</v>
      </c>
      <c r="B772" t="s">
        <v>2259</v>
      </c>
      <c r="C772" t="s">
        <v>2260</v>
      </c>
      <c r="D772" t="s">
        <v>23</v>
      </c>
      <c r="E772" t="s">
        <v>16</v>
      </c>
      <c r="F772" t="s">
        <v>29</v>
      </c>
      <c r="G772" t="s">
        <v>19</v>
      </c>
      <c r="H772">
        <f>Cleaned_Data!K772</f>
        <v>11.49</v>
      </c>
      <c r="I772" t="str">
        <f t="shared" si="36"/>
        <v>YES</v>
      </c>
      <c r="J772">
        <f>Cleaned_Data!J772</f>
        <v>24</v>
      </c>
      <c r="K772" t="str">
        <f t="shared" si="37"/>
        <v>2024-08</v>
      </c>
      <c r="L772">
        <f t="shared" si="38"/>
        <v>0</v>
      </c>
    </row>
    <row r="773" spans="1:12">
      <c r="A773" t="s">
        <v>2261</v>
      </c>
      <c r="B773" t="s">
        <v>2262</v>
      </c>
      <c r="C773" t="s">
        <v>2263</v>
      </c>
      <c r="D773" t="s">
        <v>35</v>
      </c>
      <c r="E773" t="s">
        <v>28</v>
      </c>
      <c r="F773" t="s">
        <v>41</v>
      </c>
      <c r="G773" t="s">
        <v>31</v>
      </c>
      <c r="H773">
        <f>Cleaned_Data!K773</f>
        <v>7.09</v>
      </c>
      <c r="I773" t="str">
        <f t="shared" si="36"/>
        <v>YES</v>
      </c>
      <c r="J773">
        <f>Cleaned_Data!J773</f>
        <v>48</v>
      </c>
      <c r="K773" t="str">
        <f t="shared" si="37"/>
        <v>2024-02</v>
      </c>
      <c r="L773">
        <f t="shared" si="38"/>
        <v>0</v>
      </c>
    </row>
    <row r="774" spans="1:12">
      <c r="A774" t="s">
        <v>2264</v>
      </c>
      <c r="B774" t="s">
        <v>2265</v>
      </c>
      <c r="C774" t="s">
        <v>2266</v>
      </c>
      <c r="D774" t="s">
        <v>15</v>
      </c>
      <c r="E774" t="s">
        <v>16</v>
      </c>
      <c r="F774" t="s">
        <v>29</v>
      </c>
      <c r="G774" t="s">
        <v>19</v>
      </c>
      <c r="H774">
        <f>Cleaned_Data!K774</f>
        <v>3.19</v>
      </c>
      <c r="I774" t="str">
        <f t="shared" si="36"/>
        <v>YES</v>
      </c>
      <c r="J774">
        <f>Cleaned_Data!J774</f>
        <v>8</v>
      </c>
      <c r="K774" t="str">
        <f t="shared" si="37"/>
        <v>2024-06</v>
      </c>
      <c r="L774">
        <f t="shared" si="38"/>
        <v>0</v>
      </c>
    </row>
    <row r="775" spans="1:12">
      <c r="A775" t="s">
        <v>2267</v>
      </c>
      <c r="B775" t="s">
        <v>2268</v>
      </c>
      <c r="D775" t="s">
        <v>23</v>
      </c>
      <c r="E775" t="s">
        <v>28</v>
      </c>
      <c r="F775" t="s">
        <v>41</v>
      </c>
      <c r="G775" t="s">
        <v>46</v>
      </c>
      <c r="H775">
        <f>Cleaned_Data!K775</f>
        <v>0</v>
      </c>
      <c r="I775" t="str">
        <f t="shared" si="36"/>
        <v/>
      </c>
      <c r="J775">
        <f>Cleaned_Data!J775</f>
        <v>24</v>
      </c>
      <c r="K775" t="str">
        <f t="shared" si="37"/>
        <v>2024-12</v>
      </c>
      <c r="L775">
        <f t="shared" si="38"/>
        <v>0</v>
      </c>
    </row>
    <row r="776" spans="1:12">
      <c r="A776" t="s">
        <v>2269</v>
      </c>
      <c r="B776" t="s">
        <v>2270</v>
      </c>
      <c r="C776" t="s">
        <v>2271</v>
      </c>
      <c r="D776" t="s">
        <v>23</v>
      </c>
      <c r="E776" t="s">
        <v>24</v>
      </c>
      <c r="F776" t="s">
        <v>41</v>
      </c>
      <c r="G776" t="s">
        <v>31</v>
      </c>
      <c r="H776">
        <f>Cleaned_Data!K776</f>
        <v>14.38</v>
      </c>
      <c r="I776" t="str">
        <f t="shared" si="36"/>
        <v>YES</v>
      </c>
      <c r="J776">
        <f>Cleaned_Data!J776</f>
        <v>24</v>
      </c>
      <c r="K776" t="str">
        <f t="shared" si="37"/>
        <v>2024-11</v>
      </c>
      <c r="L776">
        <f t="shared" si="38"/>
        <v>0</v>
      </c>
    </row>
    <row r="777" spans="1:12">
      <c r="A777" t="s">
        <v>2272</v>
      </c>
      <c r="B777" t="s">
        <v>2273</v>
      </c>
      <c r="C777" t="s">
        <v>2274</v>
      </c>
      <c r="D777" t="s">
        <v>15</v>
      </c>
      <c r="E777" t="s">
        <v>59</v>
      </c>
      <c r="F777" t="s">
        <v>60</v>
      </c>
      <c r="G777" t="s">
        <v>19</v>
      </c>
      <c r="H777">
        <f>Cleaned_Data!K777</f>
        <v>20.2</v>
      </c>
      <c r="I777" t="str">
        <f t="shared" si="36"/>
        <v>NO</v>
      </c>
      <c r="J777">
        <f>Cleaned_Data!J777</f>
        <v>8</v>
      </c>
      <c r="K777" t="str">
        <f t="shared" si="37"/>
        <v>2024-03</v>
      </c>
      <c r="L777">
        <f t="shared" si="38"/>
        <v>12.2</v>
      </c>
    </row>
    <row r="778" spans="1:12">
      <c r="A778" t="s">
        <v>2275</v>
      </c>
      <c r="B778" t="s">
        <v>2276</v>
      </c>
      <c r="C778" t="s">
        <v>2277</v>
      </c>
      <c r="D778" t="s">
        <v>23</v>
      </c>
      <c r="E778" t="s">
        <v>28</v>
      </c>
      <c r="F778" t="s">
        <v>17</v>
      </c>
      <c r="G778" t="s">
        <v>19</v>
      </c>
      <c r="H778">
        <f>Cleaned_Data!K778</f>
        <v>21.06</v>
      </c>
      <c r="I778" t="str">
        <f t="shared" si="36"/>
        <v>YES</v>
      </c>
      <c r="J778">
        <f>Cleaned_Data!J778</f>
        <v>24</v>
      </c>
      <c r="K778" t="str">
        <f t="shared" si="37"/>
        <v>2024-06</v>
      </c>
      <c r="L778">
        <f t="shared" si="38"/>
        <v>0</v>
      </c>
    </row>
    <row r="779" spans="1:12">
      <c r="A779" t="s">
        <v>2278</v>
      </c>
      <c r="B779" t="s">
        <v>2279</v>
      </c>
      <c r="C779" t="s">
        <v>2280</v>
      </c>
      <c r="D779" t="s">
        <v>23</v>
      </c>
      <c r="E779" t="s">
        <v>54</v>
      </c>
      <c r="F779" t="s">
        <v>36</v>
      </c>
      <c r="G779" t="s">
        <v>31</v>
      </c>
      <c r="H779">
        <f>Cleaned_Data!K779</f>
        <v>13.81</v>
      </c>
      <c r="I779" t="str">
        <f t="shared" si="36"/>
        <v>YES</v>
      </c>
      <c r="J779">
        <f>Cleaned_Data!J779</f>
        <v>24</v>
      </c>
      <c r="K779" t="str">
        <f t="shared" si="37"/>
        <v>2024-11</v>
      </c>
      <c r="L779">
        <f t="shared" si="38"/>
        <v>0</v>
      </c>
    </row>
    <row r="780" spans="1:12">
      <c r="A780" t="s">
        <v>2281</v>
      </c>
      <c r="B780" t="s">
        <v>2282</v>
      </c>
      <c r="C780" t="s">
        <v>2283</v>
      </c>
      <c r="D780" t="s">
        <v>23</v>
      </c>
      <c r="E780" t="s">
        <v>24</v>
      </c>
      <c r="F780" t="s">
        <v>29</v>
      </c>
      <c r="G780" t="s">
        <v>31</v>
      </c>
      <c r="H780">
        <f>Cleaned_Data!K780</f>
        <v>15.74</v>
      </c>
      <c r="I780" t="str">
        <f t="shared" si="36"/>
        <v>YES</v>
      </c>
      <c r="J780">
        <f>Cleaned_Data!J780</f>
        <v>24</v>
      </c>
      <c r="K780" t="str">
        <f t="shared" si="37"/>
        <v>2024-01</v>
      </c>
      <c r="L780">
        <f t="shared" si="38"/>
        <v>0</v>
      </c>
    </row>
    <row r="781" spans="1:12">
      <c r="A781" t="s">
        <v>2284</v>
      </c>
      <c r="B781" t="s">
        <v>2285</v>
      </c>
      <c r="D781" t="s">
        <v>15</v>
      </c>
      <c r="E781" t="s">
        <v>59</v>
      </c>
      <c r="F781" t="s">
        <v>17</v>
      </c>
      <c r="G781" t="s">
        <v>63</v>
      </c>
      <c r="H781">
        <f>Cleaned_Data!K781</f>
        <v>0</v>
      </c>
      <c r="I781" t="str">
        <f t="shared" si="36"/>
        <v/>
      </c>
      <c r="J781">
        <f>Cleaned_Data!J781</f>
        <v>8</v>
      </c>
      <c r="K781" t="str">
        <f t="shared" si="37"/>
        <v>2024-06</v>
      </c>
      <c r="L781">
        <f t="shared" si="38"/>
        <v>0</v>
      </c>
    </row>
    <row r="782" spans="1:12">
      <c r="A782" t="s">
        <v>2286</v>
      </c>
      <c r="B782" t="s">
        <v>2287</v>
      </c>
      <c r="C782" t="s">
        <v>2288</v>
      </c>
      <c r="D782" t="s">
        <v>23</v>
      </c>
      <c r="E782" t="s">
        <v>28</v>
      </c>
      <c r="F782" t="s">
        <v>41</v>
      </c>
      <c r="G782" t="s">
        <v>31</v>
      </c>
      <c r="H782">
        <f>Cleaned_Data!K782</f>
        <v>16.559999999999999</v>
      </c>
      <c r="I782" t="str">
        <f t="shared" si="36"/>
        <v>YES</v>
      </c>
      <c r="J782">
        <f>Cleaned_Data!J782</f>
        <v>24</v>
      </c>
      <c r="K782" t="str">
        <f t="shared" si="37"/>
        <v>2024-10</v>
      </c>
      <c r="L782">
        <f t="shared" si="38"/>
        <v>0</v>
      </c>
    </row>
    <row r="783" spans="1:12">
      <c r="A783" t="s">
        <v>2289</v>
      </c>
      <c r="B783" t="s">
        <v>2290</v>
      </c>
      <c r="C783" t="s">
        <v>2291</v>
      </c>
      <c r="D783" t="s">
        <v>23</v>
      </c>
      <c r="E783" t="s">
        <v>24</v>
      </c>
      <c r="F783" t="s">
        <v>29</v>
      </c>
      <c r="G783" t="s">
        <v>31</v>
      </c>
      <c r="H783">
        <f>Cleaned_Data!K783</f>
        <v>11.81</v>
      </c>
      <c r="I783" t="str">
        <f t="shared" si="36"/>
        <v>YES</v>
      </c>
      <c r="J783">
        <f>Cleaned_Data!J783</f>
        <v>24</v>
      </c>
      <c r="K783" t="str">
        <f t="shared" si="37"/>
        <v>2024-07</v>
      </c>
      <c r="L783">
        <f t="shared" si="38"/>
        <v>0</v>
      </c>
    </row>
    <row r="784" spans="1:12">
      <c r="A784" t="s">
        <v>2292</v>
      </c>
      <c r="B784" t="s">
        <v>2293</v>
      </c>
      <c r="D784" t="s">
        <v>15</v>
      </c>
      <c r="E784" t="s">
        <v>28</v>
      </c>
      <c r="F784" t="s">
        <v>41</v>
      </c>
      <c r="G784" t="s">
        <v>63</v>
      </c>
      <c r="H784">
        <f>Cleaned_Data!K784</f>
        <v>0</v>
      </c>
      <c r="I784" t="str">
        <f t="shared" si="36"/>
        <v/>
      </c>
      <c r="J784">
        <f>Cleaned_Data!J784</f>
        <v>8</v>
      </c>
      <c r="K784" t="str">
        <f t="shared" si="37"/>
        <v>2024-05</v>
      </c>
      <c r="L784">
        <f t="shared" si="38"/>
        <v>0</v>
      </c>
    </row>
    <row r="785" spans="1:12">
      <c r="A785" t="s">
        <v>2294</v>
      </c>
      <c r="B785" t="s">
        <v>2295</v>
      </c>
      <c r="C785" t="s">
        <v>2296</v>
      </c>
      <c r="D785" t="s">
        <v>158</v>
      </c>
      <c r="E785" t="s">
        <v>28</v>
      </c>
      <c r="F785" t="s">
        <v>36</v>
      </c>
      <c r="G785" t="s">
        <v>19</v>
      </c>
      <c r="H785">
        <f>Cleaned_Data!K785</f>
        <v>3</v>
      </c>
      <c r="I785" t="str">
        <f t="shared" si="36"/>
        <v>YES</v>
      </c>
      <c r="J785">
        <f>Cleaned_Data!J785</f>
        <v>4</v>
      </c>
      <c r="K785" t="str">
        <f t="shared" si="37"/>
        <v>2024-05</v>
      </c>
      <c r="L785">
        <f t="shared" si="38"/>
        <v>0</v>
      </c>
    </row>
    <row r="786" spans="1:12">
      <c r="A786" t="s">
        <v>2297</v>
      </c>
      <c r="B786" t="s">
        <v>2298</v>
      </c>
      <c r="C786" t="s">
        <v>2299</v>
      </c>
      <c r="D786" t="s">
        <v>23</v>
      </c>
      <c r="E786" t="s">
        <v>16</v>
      </c>
      <c r="F786" t="s">
        <v>29</v>
      </c>
      <c r="G786" t="s">
        <v>31</v>
      </c>
      <c r="H786">
        <f>Cleaned_Data!K786</f>
        <v>4.3600000000000003</v>
      </c>
      <c r="I786" t="str">
        <f t="shared" si="36"/>
        <v>YES</v>
      </c>
      <c r="J786">
        <f>Cleaned_Data!J786</f>
        <v>24</v>
      </c>
      <c r="K786" t="str">
        <f t="shared" si="37"/>
        <v>2024-03</v>
      </c>
      <c r="L786">
        <f t="shared" si="38"/>
        <v>0</v>
      </c>
    </row>
    <row r="787" spans="1:12">
      <c r="A787" t="s">
        <v>2300</v>
      </c>
      <c r="B787" t="s">
        <v>2301</v>
      </c>
      <c r="C787" t="s">
        <v>2302</v>
      </c>
      <c r="D787" t="s">
        <v>15</v>
      </c>
      <c r="E787" t="s">
        <v>24</v>
      </c>
      <c r="F787" t="s">
        <v>29</v>
      </c>
      <c r="G787" t="s">
        <v>31</v>
      </c>
      <c r="H787">
        <f>Cleaned_Data!K787</f>
        <v>7.06</v>
      </c>
      <c r="I787" t="str">
        <f t="shared" si="36"/>
        <v>YES</v>
      </c>
      <c r="J787">
        <f>Cleaned_Data!J787</f>
        <v>8</v>
      </c>
      <c r="K787" t="str">
        <f t="shared" si="37"/>
        <v>2024-11</v>
      </c>
      <c r="L787">
        <f t="shared" si="38"/>
        <v>0</v>
      </c>
    </row>
    <row r="788" spans="1:12">
      <c r="A788" t="s">
        <v>2303</v>
      </c>
      <c r="B788" t="s">
        <v>2304</v>
      </c>
      <c r="C788" t="s">
        <v>2305</v>
      </c>
      <c r="D788" t="s">
        <v>15</v>
      </c>
      <c r="E788" t="s">
        <v>28</v>
      </c>
      <c r="F788" t="s">
        <v>17</v>
      </c>
      <c r="G788" t="s">
        <v>31</v>
      </c>
      <c r="H788">
        <f>Cleaned_Data!K788</f>
        <v>16.600000000000001</v>
      </c>
      <c r="I788" t="str">
        <f t="shared" si="36"/>
        <v>NO</v>
      </c>
      <c r="J788">
        <f>Cleaned_Data!J788</f>
        <v>8</v>
      </c>
      <c r="K788" t="str">
        <f t="shared" si="37"/>
        <v>2024-03</v>
      </c>
      <c r="L788">
        <f t="shared" si="38"/>
        <v>8.6000000000000014</v>
      </c>
    </row>
    <row r="789" spans="1:12">
      <c r="A789" t="s">
        <v>2306</v>
      </c>
      <c r="B789" t="s">
        <v>2307</v>
      </c>
      <c r="D789" t="s">
        <v>23</v>
      </c>
      <c r="E789" t="s">
        <v>16</v>
      </c>
      <c r="F789" t="s">
        <v>41</v>
      </c>
      <c r="G789" t="s">
        <v>63</v>
      </c>
      <c r="H789">
        <f>Cleaned_Data!K789</f>
        <v>0</v>
      </c>
      <c r="I789" t="str">
        <f t="shared" si="36"/>
        <v/>
      </c>
      <c r="J789">
        <f>Cleaned_Data!J789</f>
        <v>24</v>
      </c>
      <c r="K789" t="str">
        <f t="shared" si="37"/>
        <v>2024-08</v>
      </c>
      <c r="L789">
        <f t="shared" si="38"/>
        <v>0</v>
      </c>
    </row>
    <row r="790" spans="1:12">
      <c r="A790" t="s">
        <v>2308</v>
      </c>
      <c r="B790" t="s">
        <v>2309</v>
      </c>
      <c r="C790" t="s">
        <v>2310</v>
      </c>
      <c r="D790" t="s">
        <v>35</v>
      </c>
      <c r="E790" t="s">
        <v>59</v>
      </c>
      <c r="F790" t="s">
        <v>41</v>
      </c>
      <c r="G790" t="s">
        <v>19</v>
      </c>
      <c r="H790">
        <f>Cleaned_Data!K790</f>
        <v>38.14</v>
      </c>
      <c r="I790" t="str">
        <f t="shared" si="36"/>
        <v>YES</v>
      </c>
      <c r="J790">
        <f>Cleaned_Data!J790</f>
        <v>48</v>
      </c>
      <c r="K790" t="str">
        <f t="shared" si="37"/>
        <v>2024-02</v>
      </c>
      <c r="L790">
        <f t="shared" si="38"/>
        <v>0</v>
      </c>
    </row>
    <row r="791" spans="1:12">
      <c r="A791" t="s">
        <v>2311</v>
      </c>
      <c r="B791" t="s">
        <v>2312</v>
      </c>
      <c r="C791" t="s">
        <v>2313</v>
      </c>
      <c r="D791" t="s">
        <v>23</v>
      </c>
      <c r="E791" t="s">
        <v>59</v>
      </c>
      <c r="F791" t="s">
        <v>17</v>
      </c>
      <c r="G791" t="s">
        <v>19</v>
      </c>
      <c r="H791">
        <f>Cleaned_Data!K791</f>
        <v>4.82</v>
      </c>
      <c r="I791" t="str">
        <f t="shared" si="36"/>
        <v>YES</v>
      </c>
      <c r="J791">
        <f>Cleaned_Data!J791</f>
        <v>24</v>
      </c>
      <c r="K791" t="str">
        <f t="shared" si="37"/>
        <v>2024-08</v>
      </c>
      <c r="L791">
        <f t="shared" si="38"/>
        <v>0</v>
      </c>
    </row>
    <row r="792" spans="1:12">
      <c r="A792" t="s">
        <v>2314</v>
      </c>
      <c r="B792" t="s">
        <v>2315</v>
      </c>
      <c r="C792" t="s">
        <v>2316</v>
      </c>
      <c r="D792" t="s">
        <v>15</v>
      </c>
      <c r="E792" t="s">
        <v>28</v>
      </c>
      <c r="F792" t="s">
        <v>17</v>
      </c>
      <c r="G792" t="s">
        <v>19</v>
      </c>
      <c r="H792">
        <f>Cleaned_Data!K792</f>
        <v>5.5</v>
      </c>
      <c r="I792" t="str">
        <f t="shared" si="36"/>
        <v>YES</v>
      </c>
      <c r="J792">
        <f>Cleaned_Data!J792</f>
        <v>8</v>
      </c>
      <c r="K792" t="str">
        <f t="shared" si="37"/>
        <v>2024-09</v>
      </c>
      <c r="L792">
        <f t="shared" si="38"/>
        <v>0</v>
      </c>
    </row>
    <row r="793" spans="1:12">
      <c r="A793" t="s">
        <v>2317</v>
      </c>
      <c r="B793" t="s">
        <v>2318</v>
      </c>
      <c r="C793" t="s">
        <v>2319</v>
      </c>
      <c r="D793" t="s">
        <v>158</v>
      </c>
      <c r="E793" t="s">
        <v>28</v>
      </c>
      <c r="F793" t="s">
        <v>41</v>
      </c>
      <c r="G793" t="s">
        <v>19</v>
      </c>
      <c r="H793">
        <f>Cleaned_Data!K793</f>
        <v>2.64</v>
      </c>
      <c r="I793" t="str">
        <f t="shared" si="36"/>
        <v>YES</v>
      </c>
      <c r="J793">
        <f>Cleaned_Data!J793</f>
        <v>4</v>
      </c>
      <c r="K793" t="str">
        <f t="shared" si="37"/>
        <v>2024-01</v>
      </c>
      <c r="L793">
        <f t="shared" si="38"/>
        <v>0</v>
      </c>
    </row>
    <row r="794" spans="1:12">
      <c r="A794" t="s">
        <v>2320</v>
      </c>
      <c r="B794" t="s">
        <v>2321</v>
      </c>
      <c r="C794" t="s">
        <v>2322</v>
      </c>
      <c r="D794" t="s">
        <v>15</v>
      </c>
      <c r="E794" t="s">
        <v>28</v>
      </c>
      <c r="F794" t="s">
        <v>36</v>
      </c>
      <c r="G794" t="s">
        <v>31</v>
      </c>
      <c r="H794">
        <f>Cleaned_Data!K794</f>
        <v>6.12</v>
      </c>
      <c r="I794" t="str">
        <f t="shared" si="36"/>
        <v>YES</v>
      </c>
      <c r="J794">
        <f>Cleaned_Data!J794</f>
        <v>8</v>
      </c>
      <c r="K794" t="str">
        <f t="shared" si="37"/>
        <v>2024-07</v>
      </c>
      <c r="L794">
        <f t="shared" si="38"/>
        <v>0</v>
      </c>
    </row>
    <row r="795" spans="1:12">
      <c r="A795" t="s">
        <v>2323</v>
      </c>
      <c r="B795" t="s">
        <v>2324</v>
      </c>
      <c r="C795" t="s">
        <v>2325</v>
      </c>
      <c r="D795" t="s">
        <v>23</v>
      </c>
      <c r="E795" t="s">
        <v>28</v>
      </c>
      <c r="F795" t="s">
        <v>29</v>
      </c>
      <c r="G795" t="s">
        <v>19</v>
      </c>
      <c r="H795">
        <f>Cleaned_Data!K795</f>
        <v>69.28</v>
      </c>
      <c r="I795" t="str">
        <f t="shared" si="36"/>
        <v>NO</v>
      </c>
      <c r="J795">
        <f>Cleaned_Data!J795</f>
        <v>24</v>
      </c>
      <c r="K795" t="str">
        <f t="shared" si="37"/>
        <v>2024-03</v>
      </c>
      <c r="L795">
        <f t="shared" si="38"/>
        <v>45.28</v>
      </c>
    </row>
    <row r="796" spans="1:12">
      <c r="A796" t="s">
        <v>2326</v>
      </c>
      <c r="B796" t="s">
        <v>2327</v>
      </c>
      <c r="C796" t="s">
        <v>2328</v>
      </c>
      <c r="D796" t="s">
        <v>23</v>
      </c>
      <c r="E796" t="s">
        <v>59</v>
      </c>
      <c r="F796" t="s">
        <v>60</v>
      </c>
      <c r="G796" t="s">
        <v>19</v>
      </c>
      <c r="H796">
        <f>Cleaned_Data!K796</f>
        <v>18</v>
      </c>
      <c r="I796" t="str">
        <f t="shared" si="36"/>
        <v>YES</v>
      </c>
      <c r="J796">
        <f>Cleaned_Data!J796</f>
        <v>24</v>
      </c>
      <c r="K796" t="str">
        <f t="shared" si="37"/>
        <v>2024-05</v>
      </c>
      <c r="L796">
        <f t="shared" si="38"/>
        <v>0</v>
      </c>
    </row>
    <row r="797" spans="1:12">
      <c r="A797" t="s">
        <v>2329</v>
      </c>
      <c r="B797" t="s">
        <v>2330</v>
      </c>
      <c r="D797" t="s">
        <v>15</v>
      </c>
      <c r="E797" t="s">
        <v>24</v>
      </c>
      <c r="F797" t="s">
        <v>29</v>
      </c>
      <c r="G797" t="s">
        <v>63</v>
      </c>
      <c r="H797">
        <f>Cleaned_Data!K797</f>
        <v>0</v>
      </c>
      <c r="I797" t="str">
        <f t="shared" si="36"/>
        <v/>
      </c>
      <c r="J797">
        <f>Cleaned_Data!J797</f>
        <v>8</v>
      </c>
      <c r="K797" t="str">
        <f t="shared" si="37"/>
        <v>2024-07</v>
      </c>
      <c r="L797">
        <f t="shared" si="38"/>
        <v>0</v>
      </c>
    </row>
    <row r="798" spans="1:12">
      <c r="A798" t="s">
        <v>2331</v>
      </c>
      <c r="B798" t="s">
        <v>2332</v>
      </c>
      <c r="C798" t="s">
        <v>2333</v>
      </c>
      <c r="D798" t="s">
        <v>158</v>
      </c>
      <c r="E798" t="s">
        <v>16</v>
      </c>
      <c r="F798" t="s">
        <v>17</v>
      </c>
      <c r="G798" t="s">
        <v>31</v>
      </c>
      <c r="H798">
        <f>Cleaned_Data!K798</f>
        <v>2.77</v>
      </c>
      <c r="I798" t="str">
        <f t="shared" si="36"/>
        <v>YES</v>
      </c>
      <c r="J798">
        <f>Cleaned_Data!J798</f>
        <v>4</v>
      </c>
      <c r="K798" t="str">
        <f t="shared" si="37"/>
        <v>2024-07</v>
      </c>
      <c r="L798">
        <f t="shared" si="38"/>
        <v>0</v>
      </c>
    </row>
    <row r="799" spans="1:12">
      <c r="A799" t="s">
        <v>2334</v>
      </c>
      <c r="B799" t="s">
        <v>2335</v>
      </c>
      <c r="C799" t="s">
        <v>2336</v>
      </c>
      <c r="D799" t="s">
        <v>35</v>
      </c>
      <c r="E799" t="s">
        <v>24</v>
      </c>
      <c r="F799" t="s">
        <v>29</v>
      </c>
      <c r="G799" t="s">
        <v>19</v>
      </c>
      <c r="H799">
        <f>Cleaned_Data!K799</f>
        <v>21.43</v>
      </c>
      <c r="I799" t="str">
        <f t="shared" si="36"/>
        <v>YES</v>
      </c>
      <c r="J799">
        <f>Cleaned_Data!J799</f>
        <v>48</v>
      </c>
      <c r="K799" t="str">
        <f t="shared" si="37"/>
        <v>2024-09</v>
      </c>
      <c r="L799">
        <f t="shared" si="38"/>
        <v>0</v>
      </c>
    </row>
    <row r="800" spans="1:12">
      <c r="A800" t="s">
        <v>2337</v>
      </c>
      <c r="B800" t="s">
        <v>2338</v>
      </c>
      <c r="C800" t="s">
        <v>2339</v>
      </c>
      <c r="D800" t="s">
        <v>15</v>
      </c>
      <c r="E800" t="s">
        <v>24</v>
      </c>
      <c r="F800" t="s">
        <v>17</v>
      </c>
      <c r="G800" t="s">
        <v>31</v>
      </c>
      <c r="H800">
        <f>Cleaned_Data!K800</f>
        <v>4.59</v>
      </c>
      <c r="I800" t="str">
        <f t="shared" si="36"/>
        <v>YES</v>
      </c>
      <c r="J800">
        <f>Cleaned_Data!J800</f>
        <v>8</v>
      </c>
      <c r="K800" t="str">
        <f t="shared" si="37"/>
        <v>2024-05</v>
      </c>
      <c r="L800">
        <f t="shared" si="38"/>
        <v>0</v>
      </c>
    </row>
    <row r="801" spans="1:12">
      <c r="A801" t="s">
        <v>2340</v>
      </c>
      <c r="B801" t="s">
        <v>2341</v>
      </c>
      <c r="C801" t="s">
        <v>2342</v>
      </c>
      <c r="D801" t="s">
        <v>23</v>
      </c>
      <c r="E801" t="s">
        <v>28</v>
      </c>
      <c r="F801" t="s">
        <v>41</v>
      </c>
      <c r="G801" t="s">
        <v>31</v>
      </c>
      <c r="H801">
        <f>Cleaned_Data!K801</f>
        <v>19.559999999999999</v>
      </c>
      <c r="I801" t="str">
        <f t="shared" si="36"/>
        <v>YES</v>
      </c>
      <c r="J801">
        <f>Cleaned_Data!J801</f>
        <v>24</v>
      </c>
      <c r="K801" t="str">
        <f t="shared" si="37"/>
        <v>2024-05</v>
      </c>
      <c r="L801">
        <f t="shared" si="38"/>
        <v>0</v>
      </c>
    </row>
    <row r="802" spans="1:12">
      <c r="A802" t="s">
        <v>2343</v>
      </c>
      <c r="B802" t="s">
        <v>2344</v>
      </c>
      <c r="C802" t="s">
        <v>2345</v>
      </c>
      <c r="D802" t="s">
        <v>15</v>
      </c>
      <c r="E802" t="s">
        <v>16</v>
      </c>
      <c r="F802" t="s">
        <v>17</v>
      </c>
      <c r="G802" t="s">
        <v>31</v>
      </c>
      <c r="H802">
        <f>Cleaned_Data!K802</f>
        <v>7.19</v>
      </c>
      <c r="I802" t="str">
        <f t="shared" si="36"/>
        <v>YES</v>
      </c>
      <c r="J802">
        <f>Cleaned_Data!J802</f>
        <v>8</v>
      </c>
      <c r="K802" t="str">
        <f t="shared" si="37"/>
        <v>2024-06</v>
      </c>
      <c r="L802">
        <f t="shared" si="38"/>
        <v>0</v>
      </c>
    </row>
    <row r="803" spans="1:12">
      <c r="A803" t="s">
        <v>2346</v>
      </c>
      <c r="B803" t="s">
        <v>2347</v>
      </c>
      <c r="C803" t="s">
        <v>2348</v>
      </c>
      <c r="D803" t="s">
        <v>35</v>
      </c>
      <c r="E803" t="s">
        <v>28</v>
      </c>
      <c r="F803" t="s">
        <v>36</v>
      </c>
      <c r="G803" t="s">
        <v>19</v>
      </c>
      <c r="H803">
        <f>Cleaned_Data!K803</f>
        <v>8.27</v>
      </c>
      <c r="I803" t="str">
        <f t="shared" si="36"/>
        <v>YES</v>
      </c>
      <c r="J803">
        <f>Cleaned_Data!J803</f>
        <v>48</v>
      </c>
      <c r="K803" t="str">
        <f t="shared" si="37"/>
        <v>2024-01</v>
      </c>
      <c r="L803">
        <f t="shared" si="38"/>
        <v>0</v>
      </c>
    </row>
    <row r="804" spans="1:12">
      <c r="A804" t="s">
        <v>2349</v>
      </c>
      <c r="B804" t="s">
        <v>2350</v>
      </c>
      <c r="C804" t="s">
        <v>2351</v>
      </c>
      <c r="D804" t="s">
        <v>23</v>
      </c>
      <c r="E804" t="s">
        <v>59</v>
      </c>
      <c r="F804" t="s">
        <v>17</v>
      </c>
      <c r="G804" t="s">
        <v>19</v>
      </c>
      <c r="H804">
        <f>Cleaned_Data!K804</f>
        <v>6.49</v>
      </c>
      <c r="I804" t="str">
        <f t="shared" si="36"/>
        <v>YES</v>
      </c>
      <c r="J804">
        <f>Cleaned_Data!J804</f>
        <v>24</v>
      </c>
      <c r="K804" t="str">
        <f t="shared" si="37"/>
        <v>2024-06</v>
      </c>
      <c r="L804">
        <f t="shared" si="38"/>
        <v>0</v>
      </c>
    </row>
    <row r="805" spans="1:12">
      <c r="A805" t="s">
        <v>2352</v>
      </c>
      <c r="B805" t="s">
        <v>2353</v>
      </c>
      <c r="C805" t="s">
        <v>2354</v>
      </c>
      <c r="D805" t="s">
        <v>15</v>
      </c>
      <c r="E805" t="s">
        <v>16</v>
      </c>
      <c r="F805" t="s">
        <v>41</v>
      </c>
      <c r="G805" t="s">
        <v>31</v>
      </c>
      <c r="H805">
        <f>Cleaned_Data!K805</f>
        <v>4.84</v>
      </c>
      <c r="I805" t="str">
        <f t="shared" si="36"/>
        <v>YES</v>
      </c>
      <c r="J805">
        <f>Cleaned_Data!J805</f>
        <v>8</v>
      </c>
      <c r="K805" t="str">
        <f t="shared" si="37"/>
        <v>2024-06</v>
      </c>
      <c r="L805">
        <f t="shared" si="38"/>
        <v>0</v>
      </c>
    </row>
    <row r="806" spans="1:12">
      <c r="A806" t="s">
        <v>2355</v>
      </c>
      <c r="B806" t="s">
        <v>2356</v>
      </c>
      <c r="C806" t="s">
        <v>2357</v>
      </c>
      <c r="D806" t="s">
        <v>23</v>
      </c>
      <c r="E806" t="s">
        <v>28</v>
      </c>
      <c r="F806" t="s">
        <v>41</v>
      </c>
      <c r="G806" t="s">
        <v>31</v>
      </c>
      <c r="H806">
        <f>Cleaned_Data!K806</f>
        <v>12.28</v>
      </c>
      <c r="I806" t="str">
        <f t="shared" si="36"/>
        <v>YES</v>
      </c>
      <c r="J806">
        <f>Cleaned_Data!J806</f>
        <v>24</v>
      </c>
      <c r="K806" t="str">
        <f t="shared" si="37"/>
        <v>2024-11</v>
      </c>
      <c r="L806">
        <f t="shared" si="38"/>
        <v>0</v>
      </c>
    </row>
    <row r="807" spans="1:12">
      <c r="A807" t="s">
        <v>2358</v>
      </c>
      <c r="B807" t="s">
        <v>2359</v>
      </c>
      <c r="C807" t="s">
        <v>2360</v>
      </c>
      <c r="D807" t="s">
        <v>23</v>
      </c>
      <c r="E807" t="s">
        <v>59</v>
      </c>
      <c r="F807" t="s">
        <v>41</v>
      </c>
      <c r="G807" t="s">
        <v>19</v>
      </c>
      <c r="H807">
        <f>Cleaned_Data!K807</f>
        <v>26.59</v>
      </c>
      <c r="I807" t="str">
        <f t="shared" si="36"/>
        <v>NO</v>
      </c>
      <c r="J807">
        <f>Cleaned_Data!J807</f>
        <v>24</v>
      </c>
      <c r="K807" t="str">
        <f t="shared" si="37"/>
        <v>2024-10</v>
      </c>
      <c r="L807">
        <f t="shared" si="38"/>
        <v>2.59</v>
      </c>
    </row>
    <row r="808" spans="1:12">
      <c r="A808" t="s">
        <v>2361</v>
      </c>
      <c r="B808" t="s">
        <v>2362</v>
      </c>
      <c r="C808" t="s">
        <v>2363</v>
      </c>
      <c r="D808" t="s">
        <v>158</v>
      </c>
      <c r="E808" t="s">
        <v>54</v>
      </c>
      <c r="F808" t="s">
        <v>17</v>
      </c>
      <c r="G808" t="s">
        <v>31</v>
      </c>
      <c r="H808">
        <f>Cleaned_Data!K808</f>
        <v>1.43</v>
      </c>
      <c r="I808" t="str">
        <f t="shared" si="36"/>
        <v>YES</v>
      </c>
      <c r="J808">
        <f>Cleaned_Data!J808</f>
        <v>4</v>
      </c>
      <c r="K808" t="str">
        <f t="shared" si="37"/>
        <v>2024-11</v>
      </c>
      <c r="L808">
        <f t="shared" si="38"/>
        <v>0</v>
      </c>
    </row>
    <row r="809" spans="1:12">
      <c r="A809" t="s">
        <v>2364</v>
      </c>
      <c r="B809" t="s">
        <v>2365</v>
      </c>
      <c r="D809" t="s">
        <v>158</v>
      </c>
      <c r="E809" t="s">
        <v>16</v>
      </c>
      <c r="F809" t="s">
        <v>41</v>
      </c>
      <c r="G809" t="s">
        <v>63</v>
      </c>
      <c r="H809">
        <f>Cleaned_Data!K809</f>
        <v>0</v>
      </c>
      <c r="I809" t="str">
        <f t="shared" si="36"/>
        <v/>
      </c>
      <c r="J809">
        <f>Cleaned_Data!J809</f>
        <v>4</v>
      </c>
      <c r="K809" t="str">
        <f t="shared" si="37"/>
        <v>2024-10</v>
      </c>
      <c r="L809">
        <f t="shared" si="38"/>
        <v>0</v>
      </c>
    </row>
    <row r="810" spans="1:12">
      <c r="A810" t="s">
        <v>2366</v>
      </c>
      <c r="B810" t="s">
        <v>2367</v>
      </c>
      <c r="D810" t="s">
        <v>35</v>
      </c>
      <c r="E810" t="s">
        <v>28</v>
      </c>
      <c r="F810" t="s">
        <v>36</v>
      </c>
      <c r="G810" t="s">
        <v>46</v>
      </c>
      <c r="H810">
        <f>Cleaned_Data!K810</f>
        <v>0</v>
      </c>
      <c r="I810" t="str">
        <f t="shared" si="36"/>
        <v/>
      </c>
      <c r="J810">
        <f>Cleaned_Data!J810</f>
        <v>48</v>
      </c>
      <c r="K810" t="str">
        <f t="shared" si="37"/>
        <v>2024-05</v>
      </c>
      <c r="L810">
        <f t="shared" si="38"/>
        <v>0</v>
      </c>
    </row>
    <row r="811" spans="1:12">
      <c r="A811" t="s">
        <v>2368</v>
      </c>
      <c r="B811" t="s">
        <v>2369</v>
      </c>
      <c r="C811" t="s">
        <v>2370</v>
      </c>
      <c r="D811" t="s">
        <v>35</v>
      </c>
      <c r="E811" t="s">
        <v>28</v>
      </c>
      <c r="F811" t="s">
        <v>29</v>
      </c>
      <c r="G811" t="s">
        <v>19</v>
      </c>
      <c r="H811">
        <f>Cleaned_Data!K811</f>
        <v>12.02</v>
      </c>
      <c r="I811" t="str">
        <f t="shared" si="36"/>
        <v>YES</v>
      </c>
      <c r="J811">
        <f>Cleaned_Data!J811</f>
        <v>48</v>
      </c>
      <c r="K811" t="str">
        <f t="shared" si="37"/>
        <v>2024-12</v>
      </c>
      <c r="L811">
        <f t="shared" si="38"/>
        <v>0</v>
      </c>
    </row>
    <row r="812" spans="1:12">
      <c r="A812" t="s">
        <v>2371</v>
      </c>
      <c r="B812" t="s">
        <v>2372</v>
      </c>
      <c r="C812" t="s">
        <v>2373</v>
      </c>
      <c r="D812" t="s">
        <v>15</v>
      </c>
      <c r="E812" t="s">
        <v>16</v>
      </c>
      <c r="F812" t="s">
        <v>41</v>
      </c>
      <c r="G812" t="s">
        <v>19</v>
      </c>
      <c r="H812">
        <f>Cleaned_Data!K812</f>
        <v>4.1100000000000003</v>
      </c>
      <c r="I812" t="str">
        <f t="shared" si="36"/>
        <v>YES</v>
      </c>
      <c r="J812">
        <f>Cleaned_Data!J812</f>
        <v>8</v>
      </c>
      <c r="K812" t="str">
        <f t="shared" si="37"/>
        <v>2024-10</v>
      </c>
      <c r="L812">
        <f t="shared" si="38"/>
        <v>0</v>
      </c>
    </row>
    <row r="813" spans="1:12">
      <c r="A813" t="s">
        <v>2374</v>
      </c>
      <c r="B813" t="s">
        <v>2375</v>
      </c>
      <c r="C813" t="s">
        <v>2376</v>
      </c>
      <c r="D813" t="s">
        <v>23</v>
      </c>
      <c r="E813" t="s">
        <v>54</v>
      </c>
      <c r="F813" t="s">
        <v>60</v>
      </c>
      <c r="G813" t="s">
        <v>19</v>
      </c>
      <c r="H813">
        <f>Cleaned_Data!K813</f>
        <v>5.59</v>
      </c>
      <c r="I813" t="str">
        <f t="shared" si="36"/>
        <v>YES</v>
      </c>
      <c r="J813">
        <f>Cleaned_Data!J813</f>
        <v>24</v>
      </c>
      <c r="K813" t="str">
        <f t="shared" si="37"/>
        <v>2024-09</v>
      </c>
      <c r="L813">
        <f t="shared" si="38"/>
        <v>0</v>
      </c>
    </row>
    <row r="814" spans="1:12">
      <c r="A814" t="s">
        <v>2377</v>
      </c>
      <c r="B814" t="s">
        <v>2378</v>
      </c>
      <c r="C814" t="s">
        <v>2379</v>
      </c>
      <c r="D814" t="s">
        <v>23</v>
      </c>
      <c r="E814" t="s">
        <v>59</v>
      </c>
      <c r="F814" t="s">
        <v>60</v>
      </c>
      <c r="G814" t="s">
        <v>19</v>
      </c>
      <c r="H814">
        <f>Cleaned_Data!K814</f>
        <v>40.200000000000003</v>
      </c>
      <c r="I814" t="str">
        <f t="shared" si="36"/>
        <v>NO</v>
      </c>
      <c r="J814">
        <f>Cleaned_Data!J814</f>
        <v>24</v>
      </c>
      <c r="K814" t="str">
        <f t="shared" si="37"/>
        <v>2024-04</v>
      </c>
      <c r="L814">
        <f t="shared" si="38"/>
        <v>16.200000000000003</v>
      </c>
    </row>
    <row r="815" spans="1:12">
      <c r="A815" t="s">
        <v>2380</v>
      </c>
      <c r="B815" t="s">
        <v>2381</v>
      </c>
      <c r="C815" t="s">
        <v>2382</v>
      </c>
      <c r="D815" t="s">
        <v>15</v>
      </c>
      <c r="E815" t="s">
        <v>28</v>
      </c>
      <c r="F815" t="s">
        <v>60</v>
      </c>
      <c r="G815" t="s">
        <v>31</v>
      </c>
      <c r="H815">
        <f>Cleaned_Data!K815</f>
        <v>3.39</v>
      </c>
      <c r="I815" t="str">
        <f t="shared" si="36"/>
        <v>YES</v>
      </c>
      <c r="J815">
        <f>Cleaned_Data!J815</f>
        <v>8</v>
      </c>
      <c r="K815" t="str">
        <f t="shared" si="37"/>
        <v>2024-01</v>
      </c>
      <c r="L815">
        <f t="shared" si="38"/>
        <v>0</v>
      </c>
    </row>
    <row r="816" spans="1:12">
      <c r="A816" t="s">
        <v>2383</v>
      </c>
      <c r="B816" t="s">
        <v>2384</v>
      </c>
      <c r="C816" t="s">
        <v>2385</v>
      </c>
      <c r="D816" t="s">
        <v>23</v>
      </c>
      <c r="E816" t="s">
        <v>24</v>
      </c>
      <c r="F816" t="s">
        <v>17</v>
      </c>
      <c r="G816" t="s">
        <v>19</v>
      </c>
      <c r="H816">
        <f>Cleaned_Data!K816</f>
        <v>4.13</v>
      </c>
      <c r="I816" t="str">
        <f t="shared" si="36"/>
        <v>YES</v>
      </c>
      <c r="J816">
        <f>Cleaned_Data!J816</f>
        <v>24</v>
      </c>
      <c r="K816" t="str">
        <f t="shared" si="37"/>
        <v>2024-05</v>
      </c>
      <c r="L816">
        <f t="shared" si="38"/>
        <v>0</v>
      </c>
    </row>
    <row r="817" spans="1:12">
      <c r="A817" t="s">
        <v>2386</v>
      </c>
      <c r="B817" t="s">
        <v>2387</v>
      </c>
      <c r="C817" t="s">
        <v>2388</v>
      </c>
      <c r="D817" t="s">
        <v>15</v>
      </c>
      <c r="E817" t="s">
        <v>28</v>
      </c>
      <c r="F817" t="s">
        <v>36</v>
      </c>
      <c r="G817" t="s">
        <v>19</v>
      </c>
      <c r="H817">
        <f>Cleaned_Data!K817</f>
        <v>6.67</v>
      </c>
      <c r="I817" t="str">
        <f t="shared" si="36"/>
        <v>YES</v>
      </c>
      <c r="J817">
        <f>Cleaned_Data!J817</f>
        <v>8</v>
      </c>
      <c r="K817" t="str">
        <f t="shared" si="37"/>
        <v>2024-12</v>
      </c>
      <c r="L817">
        <f t="shared" si="38"/>
        <v>0</v>
      </c>
    </row>
    <row r="818" spans="1:12">
      <c r="A818" t="s">
        <v>2389</v>
      </c>
      <c r="B818" t="s">
        <v>2390</v>
      </c>
      <c r="C818" t="s">
        <v>2391</v>
      </c>
      <c r="D818" t="s">
        <v>23</v>
      </c>
      <c r="E818" t="s">
        <v>24</v>
      </c>
      <c r="F818" t="s">
        <v>41</v>
      </c>
      <c r="G818" t="s">
        <v>19</v>
      </c>
      <c r="H818">
        <f>Cleaned_Data!K818</f>
        <v>14.04</v>
      </c>
      <c r="I818" t="str">
        <f t="shared" si="36"/>
        <v>YES</v>
      </c>
      <c r="J818">
        <f>Cleaned_Data!J818</f>
        <v>24</v>
      </c>
      <c r="K818" t="str">
        <f t="shared" si="37"/>
        <v>2024-12</v>
      </c>
      <c r="L818">
        <f t="shared" si="38"/>
        <v>0</v>
      </c>
    </row>
    <row r="819" spans="1:12">
      <c r="A819" t="s">
        <v>2392</v>
      </c>
      <c r="B819" t="s">
        <v>2393</v>
      </c>
      <c r="C819" t="s">
        <v>2394</v>
      </c>
      <c r="D819" t="s">
        <v>35</v>
      </c>
      <c r="E819" t="s">
        <v>24</v>
      </c>
      <c r="F819" t="s">
        <v>17</v>
      </c>
      <c r="G819" t="s">
        <v>19</v>
      </c>
      <c r="H819">
        <f>Cleaned_Data!K819</f>
        <v>32.03</v>
      </c>
      <c r="I819" t="str">
        <f t="shared" si="36"/>
        <v>YES</v>
      </c>
      <c r="J819">
        <f>Cleaned_Data!J819</f>
        <v>48</v>
      </c>
      <c r="K819" t="str">
        <f t="shared" si="37"/>
        <v>2024-02</v>
      </c>
      <c r="L819">
        <f t="shared" si="38"/>
        <v>0</v>
      </c>
    </row>
    <row r="820" spans="1:12">
      <c r="A820" t="s">
        <v>2395</v>
      </c>
      <c r="B820" t="s">
        <v>2396</v>
      </c>
      <c r="C820" t="s">
        <v>2397</v>
      </c>
      <c r="D820" t="s">
        <v>23</v>
      </c>
      <c r="E820" t="s">
        <v>28</v>
      </c>
      <c r="F820" t="s">
        <v>41</v>
      </c>
      <c r="G820" t="s">
        <v>31</v>
      </c>
      <c r="H820">
        <f>Cleaned_Data!K820</f>
        <v>19.54</v>
      </c>
      <c r="I820" t="str">
        <f t="shared" si="36"/>
        <v>YES</v>
      </c>
      <c r="J820">
        <f>Cleaned_Data!J820</f>
        <v>24</v>
      </c>
      <c r="K820" t="str">
        <f t="shared" si="37"/>
        <v>2024-04</v>
      </c>
      <c r="L820">
        <f t="shared" si="38"/>
        <v>0</v>
      </c>
    </row>
    <row r="821" spans="1:12">
      <c r="A821" t="s">
        <v>2398</v>
      </c>
      <c r="B821" t="s">
        <v>2399</v>
      </c>
      <c r="C821" t="s">
        <v>2400</v>
      </c>
      <c r="D821" t="s">
        <v>15</v>
      </c>
      <c r="E821" t="s">
        <v>28</v>
      </c>
      <c r="F821" t="s">
        <v>60</v>
      </c>
      <c r="G821" t="s">
        <v>31</v>
      </c>
      <c r="H821">
        <f>Cleaned_Data!K821</f>
        <v>7.31</v>
      </c>
      <c r="I821" t="str">
        <f t="shared" si="36"/>
        <v>YES</v>
      </c>
      <c r="J821">
        <f>Cleaned_Data!J821</f>
        <v>8</v>
      </c>
      <c r="K821" t="str">
        <f t="shared" si="37"/>
        <v>2024-04</v>
      </c>
      <c r="L821">
        <f t="shared" si="38"/>
        <v>0</v>
      </c>
    </row>
    <row r="822" spans="1:12">
      <c r="A822" t="s">
        <v>2401</v>
      </c>
      <c r="B822" t="s">
        <v>2402</v>
      </c>
      <c r="C822" t="s">
        <v>2403</v>
      </c>
      <c r="D822" t="s">
        <v>158</v>
      </c>
      <c r="E822" t="s">
        <v>28</v>
      </c>
      <c r="F822" t="s">
        <v>36</v>
      </c>
      <c r="G822" t="s">
        <v>31</v>
      </c>
      <c r="H822">
        <f>Cleaned_Data!K822</f>
        <v>1.1100000000000001</v>
      </c>
      <c r="I822" t="str">
        <f t="shared" si="36"/>
        <v>YES</v>
      </c>
      <c r="J822">
        <f>Cleaned_Data!J822</f>
        <v>4</v>
      </c>
      <c r="K822" t="str">
        <f t="shared" si="37"/>
        <v>2024-08</v>
      </c>
      <c r="L822">
        <f t="shared" si="38"/>
        <v>0</v>
      </c>
    </row>
    <row r="823" spans="1:12">
      <c r="A823" t="s">
        <v>2404</v>
      </c>
      <c r="B823" t="s">
        <v>2405</v>
      </c>
      <c r="C823" t="s">
        <v>2406</v>
      </c>
      <c r="D823" t="s">
        <v>35</v>
      </c>
      <c r="E823" t="s">
        <v>28</v>
      </c>
      <c r="F823" t="s">
        <v>29</v>
      </c>
      <c r="G823" t="s">
        <v>31</v>
      </c>
      <c r="H823">
        <f>Cleaned_Data!K823</f>
        <v>574</v>
      </c>
      <c r="I823" t="str">
        <f t="shared" si="36"/>
        <v>NO</v>
      </c>
      <c r="J823">
        <f>Cleaned_Data!J823</f>
        <v>48</v>
      </c>
      <c r="K823" t="str">
        <f t="shared" si="37"/>
        <v>2024-09</v>
      </c>
      <c r="L823">
        <f t="shared" si="38"/>
        <v>526</v>
      </c>
    </row>
    <row r="824" spans="1:12">
      <c r="A824" t="s">
        <v>2407</v>
      </c>
      <c r="B824" t="s">
        <v>2408</v>
      </c>
      <c r="C824" t="s">
        <v>2409</v>
      </c>
      <c r="D824" t="s">
        <v>23</v>
      </c>
      <c r="E824" t="s">
        <v>16</v>
      </c>
      <c r="F824" t="s">
        <v>17</v>
      </c>
      <c r="G824" t="s">
        <v>31</v>
      </c>
      <c r="H824">
        <f>Cleaned_Data!K824</f>
        <v>6.21</v>
      </c>
      <c r="I824" t="str">
        <f t="shared" si="36"/>
        <v>YES</v>
      </c>
      <c r="J824">
        <f>Cleaned_Data!J824</f>
        <v>24</v>
      </c>
      <c r="K824" t="str">
        <f t="shared" si="37"/>
        <v>2024-07</v>
      </c>
      <c r="L824">
        <f t="shared" si="38"/>
        <v>0</v>
      </c>
    </row>
    <row r="825" spans="1:12">
      <c r="A825" t="s">
        <v>2410</v>
      </c>
      <c r="B825" t="s">
        <v>2411</v>
      </c>
      <c r="D825" t="s">
        <v>35</v>
      </c>
      <c r="E825" t="s">
        <v>16</v>
      </c>
      <c r="F825" t="s">
        <v>41</v>
      </c>
      <c r="G825" t="s">
        <v>63</v>
      </c>
      <c r="H825">
        <f>Cleaned_Data!K825</f>
        <v>0</v>
      </c>
      <c r="I825" t="str">
        <f t="shared" si="36"/>
        <v/>
      </c>
      <c r="J825">
        <f>Cleaned_Data!J825</f>
        <v>48</v>
      </c>
      <c r="K825" t="str">
        <f t="shared" si="37"/>
        <v>2024-09</v>
      </c>
      <c r="L825">
        <f t="shared" si="38"/>
        <v>0</v>
      </c>
    </row>
    <row r="826" spans="1:12">
      <c r="A826" t="s">
        <v>2412</v>
      </c>
      <c r="B826" t="s">
        <v>2413</v>
      </c>
      <c r="C826" t="s">
        <v>2414</v>
      </c>
      <c r="D826" t="s">
        <v>35</v>
      </c>
      <c r="E826" t="s">
        <v>16</v>
      </c>
      <c r="F826" t="s">
        <v>41</v>
      </c>
      <c r="G826" t="s">
        <v>31</v>
      </c>
      <c r="H826">
        <f>Cleaned_Data!K826</f>
        <v>12.99</v>
      </c>
      <c r="I826" t="str">
        <f t="shared" si="36"/>
        <v>YES</v>
      </c>
      <c r="J826">
        <f>Cleaned_Data!J826</f>
        <v>48</v>
      </c>
      <c r="K826" t="str">
        <f t="shared" si="37"/>
        <v>2024-07</v>
      </c>
      <c r="L826">
        <f t="shared" si="38"/>
        <v>0</v>
      </c>
    </row>
    <row r="827" spans="1:12">
      <c r="A827" t="s">
        <v>2415</v>
      </c>
      <c r="B827" t="s">
        <v>2416</v>
      </c>
      <c r="C827" t="s">
        <v>2417</v>
      </c>
      <c r="D827" t="s">
        <v>15</v>
      </c>
      <c r="E827" t="s">
        <v>54</v>
      </c>
      <c r="F827" t="s">
        <v>29</v>
      </c>
      <c r="G827" t="s">
        <v>19</v>
      </c>
      <c r="H827">
        <f>Cleaned_Data!K827</f>
        <v>22.61</v>
      </c>
      <c r="I827" t="str">
        <f t="shared" si="36"/>
        <v>NO</v>
      </c>
      <c r="J827">
        <f>Cleaned_Data!J827</f>
        <v>8</v>
      </c>
      <c r="K827" t="str">
        <f t="shared" si="37"/>
        <v>2024-04</v>
      </c>
      <c r="L827">
        <f t="shared" si="38"/>
        <v>14.61</v>
      </c>
    </row>
    <row r="828" spans="1:12">
      <c r="A828" t="s">
        <v>2418</v>
      </c>
      <c r="B828" t="s">
        <v>2419</v>
      </c>
      <c r="C828" t="s">
        <v>2420</v>
      </c>
      <c r="D828" t="s">
        <v>23</v>
      </c>
      <c r="E828" t="s">
        <v>16</v>
      </c>
      <c r="F828" t="s">
        <v>17</v>
      </c>
      <c r="G828" t="s">
        <v>31</v>
      </c>
      <c r="H828">
        <f>Cleaned_Data!K828</f>
        <v>7.26</v>
      </c>
      <c r="I828" t="str">
        <f t="shared" si="36"/>
        <v>YES</v>
      </c>
      <c r="J828">
        <f>Cleaned_Data!J828</f>
        <v>24</v>
      </c>
      <c r="K828" t="str">
        <f t="shared" si="37"/>
        <v>2024-11</v>
      </c>
      <c r="L828">
        <f t="shared" si="38"/>
        <v>0</v>
      </c>
    </row>
    <row r="829" spans="1:12">
      <c r="A829" t="s">
        <v>2421</v>
      </c>
      <c r="B829" t="s">
        <v>2422</v>
      </c>
      <c r="C829" t="s">
        <v>2423</v>
      </c>
      <c r="D829" t="s">
        <v>15</v>
      </c>
      <c r="E829" t="s">
        <v>16</v>
      </c>
      <c r="F829" t="s">
        <v>41</v>
      </c>
      <c r="G829" t="s">
        <v>31</v>
      </c>
      <c r="H829">
        <f>Cleaned_Data!K829</f>
        <v>5.2</v>
      </c>
      <c r="I829" t="str">
        <f t="shared" si="36"/>
        <v>YES</v>
      </c>
      <c r="J829">
        <f>Cleaned_Data!J829</f>
        <v>8</v>
      </c>
      <c r="K829" t="str">
        <f t="shared" si="37"/>
        <v>2024-01</v>
      </c>
      <c r="L829">
        <f t="shared" si="38"/>
        <v>0</v>
      </c>
    </row>
    <row r="830" spans="1:12">
      <c r="A830" t="s">
        <v>2424</v>
      </c>
      <c r="B830" t="s">
        <v>2425</v>
      </c>
      <c r="C830" t="s">
        <v>2426</v>
      </c>
      <c r="D830" t="s">
        <v>15</v>
      </c>
      <c r="E830" t="s">
        <v>24</v>
      </c>
      <c r="F830" t="s">
        <v>29</v>
      </c>
      <c r="G830" t="s">
        <v>31</v>
      </c>
      <c r="H830">
        <f>Cleaned_Data!K830</f>
        <v>1.0900000000000001</v>
      </c>
      <c r="I830" t="str">
        <f t="shared" si="36"/>
        <v>YES</v>
      </c>
      <c r="J830">
        <f>Cleaned_Data!J830</f>
        <v>8</v>
      </c>
      <c r="K830" t="str">
        <f t="shared" si="37"/>
        <v>2024-03</v>
      </c>
      <c r="L830">
        <f t="shared" si="38"/>
        <v>0</v>
      </c>
    </row>
    <row r="831" spans="1:12">
      <c r="A831" t="s">
        <v>2427</v>
      </c>
      <c r="B831" t="s">
        <v>2428</v>
      </c>
      <c r="C831" t="s">
        <v>2429</v>
      </c>
      <c r="D831" t="s">
        <v>158</v>
      </c>
      <c r="E831" t="s">
        <v>28</v>
      </c>
      <c r="F831" t="s">
        <v>36</v>
      </c>
      <c r="G831" t="s">
        <v>31</v>
      </c>
      <c r="H831">
        <f>Cleaned_Data!K831</f>
        <v>11.22</v>
      </c>
      <c r="I831" t="str">
        <f t="shared" si="36"/>
        <v>NO</v>
      </c>
      <c r="J831">
        <f>Cleaned_Data!J831</f>
        <v>4</v>
      </c>
      <c r="K831" t="str">
        <f t="shared" si="37"/>
        <v>2024-10</v>
      </c>
      <c r="L831">
        <f t="shared" si="38"/>
        <v>7.2200000000000006</v>
      </c>
    </row>
    <row r="832" spans="1:12">
      <c r="A832" t="s">
        <v>2430</v>
      </c>
      <c r="B832" t="s">
        <v>2431</v>
      </c>
      <c r="C832" t="s">
        <v>2432</v>
      </c>
      <c r="D832" t="s">
        <v>23</v>
      </c>
      <c r="E832" t="s">
        <v>16</v>
      </c>
      <c r="F832" t="s">
        <v>41</v>
      </c>
      <c r="G832" t="s">
        <v>31</v>
      </c>
      <c r="H832">
        <f>Cleaned_Data!K832</f>
        <v>14.05</v>
      </c>
      <c r="I832" t="str">
        <f t="shared" si="36"/>
        <v>YES</v>
      </c>
      <c r="J832">
        <f>Cleaned_Data!J832</f>
        <v>24</v>
      </c>
      <c r="K832" t="str">
        <f t="shared" si="37"/>
        <v>2024-05</v>
      </c>
      <c r="L832">
        <f t="shared" si="38"/>
        <v>0</v>
      </c>
    </row>
    <row r="833" spans="1:12">
      <c r="A833" t="s">
        <v>2433</v>
      </c>
      <c r="B833" t="s">
        <v>2434</v>
      </c>
      <c r="C833" t="s">
        <v>2435</v>
      </c>
      <c r="D833" t="s">
        <v>23</v>
      </c>
      <c r="E833" t="s">
        <v>16</v>
      </c>
      <c r="F833" t="s">
        <v>60</v>
      </c>
      <c r="G833" t="s">
        <v>19</v>
      </c>
      <c r="H833">
        <f>Cleaned_Data!K833</f>
        <v>14.64</v>
      </c>
      <c r="I833" t="str">
        <f t="shared" si="36"/>
        <v>YES</v>
      </c>
      <c r="J833">
        <f>Cleaned_Data!J833</f>
        <v>24</v>
      </c>
      <c r="K833" t="str">
        <f t="shared" si="37"/>
        <v>2024-02</v>
      </c>
      <c r="L833">
        <f t="shared" si="38"/>
        <v>0</v>
      </c>
    </row>
    <row r="834" spans="1:12">
      <c r="A834" t="s">
        <v>2436</v>
      </c>
      <c r="B834" t="s">
        <v>2437</v>
      </c>
      <c r="C834" t="s">
        <v>2438</v>
      </c>
      <c r="D834" t="s">
        <v>15</v>
      </c>
      <c r="E834" t="s">
        <v>54</v>
      </c>
      <c r="F834" t="s">
        <v>41</v>
      </c>
      <c r="G834" t="s">
        <v>31</v>
      </c>
      <c r="H834">
        <f>Cleaned_Data!K834</f>
        <v>11.8</v>
      </c>
      <c r="I834" t="str">
        <f t="shared" ref="I834:I897" si="39">IF(OR(G834="Resolved", G834="Closed"), IF(AND(H834&lt;&gt;"", H834&lt;=J834), "YES", "NO"), "")</f>
        <v>NO</v>
      </c>
      <c r="J834">
        <f>Cleaned_Data!J834</f>
        <v>8</v>
      </c>
      <c r="K834" t="str">
        <f t="shared" ref="K834:K897" si="40">LEFT(B834, 7)</f>
        <v>2024-05</v>
      </c>
      <c r="L834">
        <f t="shared" ref="L834:L897" si="41">IF(I834="NO", H834-J834, 0)</f>
        <v>3.8000000000000007</v>
      </c>
    </row>
    <row r="835" spans="1:12">
      <c r="A835" t="s">
        <v>2439</v>
      </c>
      <c r="B835" t="s">
        <v>2440</v>
      </c>
      <c r="C835" t="s">
        <v>2441</v>
      </c>
      <c r="D835" t="s">
        <v>35</v>
      </c>
      <c r="E835" t="s">
        <v>28</v>
      </c>
      <c r="F835" t="s">
        <v>29</v>
      </c>
      <c r="G835" t="s">
        <v>19</v>
      </c>
      <c r="H835">
        <f>Cleaned_Data!K835</f>
        <v>33.340000000000003</v>
      </c>
      <c r="I835" t="str">
        <f t="shared" si="39"/>
        <v>YES</v>
      </c>
      <c r="J835">
        <f>Cleaned_Data!J835</f>
        <v>48</v>
      </c>
      <c r="K835" t="str">
        <f t="shared" si="40"/>
        <v>2024-03</v>
      </c>
      <c r="L835">
        <f t="shared" si="41"/>
        <v>0</v>
      </c>
    </row>
    <row r="836" spans="1:12">
      <c r="A836" t="s">
        <v>2442</v>
      </c>
      <c r="B836" t="s">
        <v>2443</v>
      </c>
      <c r="C836" t="s">
        <v>2444</v>
      </c>
      <c r="D836" t="s">
        <v>23</v>
      </c>
      <c r="E836" t="s">
        <v>54</v>
      </c>
      <c r="F836" t="s">
        <v>29</v>
      </c>
      <c r="G836" t="s">
        <v>19</v>
      </c>
      <c r="H836">
        <f>Cleaned_Data!K836</f>
        <v>19.16</v>
      </c>
      <c r="I836" t="str">
        <f t="shared" si="39"/>
        <v>YES</v>
      </c>
      <c r="J836">
        <f>Cleaned_Data!J836</f>
        <v>24</v>
      </c>
      <c r="K836" t="str">
        <f t="shared" si="40"/>
        <v>2024-07</v>
      </c>
      <c r="L836">
        <f t="shared" si="41"/>
        <v>0</v>
      </c>
    </row>
    <row r="837" spans="1:12">
      <c r="A837" t="s">
        <v>2445</v>
      </c>
      <c r="B837" t="s">
        <v>2446</v>
      </c>
      <c r="D837" t="s">
        <v>23</v>
      </c>
      <c r="E837" t="s">
        <v>16</v>
      </c>
      <c r="F837" t="s">
        <v>36</v>
      </c>
      <c r="G837" t="s">
        <v>63</v>
      </c>
      <c r="H837">
        <f>Cleaned_Data!K837</f>
        <v>0</v>
      </c>
      <c r="I837" t="str">
        <f t="shared" si="39"/>
        <v/>
      </c>
      <c r="J837">
        <f>Cleaned_Data!J837</f>
        <v>24</v>
      </c>
      <c r="K837" t="str">
        <f t="shared" si="40"/>
        <v>2024-12</v>
      </c>
      <c r="L837">
        <f t="shared" si="41"/>
        <v>0</v>
      </c>
    </row>
    <row r="838" spans="1:12">
      <c r="A838" t="s">
        <v>2447</v>
      </c>
      <c r="B838" t="s">
        <v>2448</v>
      </c>
      <c r="D838" t="s">
        <v>15</v>
      </c>
      <c r="E838" t="s">
        <v>54</v>
      </c>
      <c r="F838" t="s">
        <v>29</v>
      </c>
      <c r="G838" t="s">
        <v>63</v>
      </c>
      <c r="H838">
        <f>Cleaned_Data!K838</f>
        <v>0</v>
      </c>
      <c r="I838" t="str">
        <f t="shared" si="39"/>
        <v/>
      </c>
      <c r="J838">
        <f>Cleaned_Data!J838</f>
        <v>8</v>
      </c>
      <c r="K838" t="str">
        <f t="shared" si="40"/>
        <v>2024-09</v>
      </c>
      <c r="L838">
        <f t="shared" si="41"/>
        <v>0</v>
      </c>
    </row>
    <row r="839" spans="1:12">
      <c r="A839" t="s">
        <v>2449</v>
      </c>
      <c r="B839" t="s">
        <v>2450</v>
      </c>
      <c r="C839" t="s">
        <v>2451</v>
      </c>
      <c r="D839" t="s">
        <v>35</v>
      </c>
      <c r="E839" t="s">
        <v>54</v>
      </c>
      <c r="F839" t="s">
        <v>60</v>
      </c>
      <c r="G839" t="s">
        <v>31</v>
      </c>
      <c r="H839">
        <f>Cleaned_Data!K839</f>
        <v>41.92</v>
      </c>
      <c r="I839" t="str">
        <f t="shared" si="39"/>
        <v>YES</v>
      </c>
      <c r="J839">
        <f>Cleaned_Data!J839</f>
        <v>48</v>
      </c>
      <c r="K839" t="str">
        <f t="shared" si="40"/>
        <v>2024-05</v>
      </c>
      <c r="L839">
        <f t="shared" si="41"/>
        <v>0</v>
      </c>
    </row>
    <row r="840" spans="1:12">
      <c r="A840" t="s">
        <v>2452</v>
      </c>
      <c r="B840" t="s">
        <v>2453</v>
      </c>
      <c r="C840" t="s">
        <v>2454</v>
      </c>
      <c r="D840" t="s">
        <v>15</v>
      </c>
      <c r="E840" t="s">
        <v>28</v>
      </c>
      <c r="F840" t="s">
        <v>17</v>
      </c>
      <c r="G840" t="s">
        <v>19</v>
      </c>
      <c r="H840">
        <f>Cleaned_Data!K840</f>
        <v>22.69</v>
      </c>
      <c r="I840" t="str">
        <f t="shared" si="39"/>
        <v>NO</v>
      </c>
      <c r="J840">
        <f>Cleaned_Data!J840</f>
        <v>8</v>
      </c>
      <c r="K840" t="str">
        <f t="shared" si="40"/>
        <v>2024-12</v>
      </c>
      <c r="L840">
        <f t="shared" si="41"/>
        <v>14.690000000000001</v>
      </c>
    </row>
    <row r="841" spans="1:12">
      <c r="A841" t="s">
        <v>2455</v>
      </c>
      <c r="B841" t="s">
        <v>2456</v>
      </c>
      <c r="C841" t="s">
        <v>2457</v>
      </c>
      <c r="D841" t="s">
        <v>35</v>
      </c>
      <c r="E841" t="s">
        <v>54</v>
      </c>
      <c r="F841" t="s">
        <v>36</v>
      </c>
      <c r="G841" t="s">
        <v>31</v>
      </c>
      <c r="H841">
        <f>Cleaned_Data!K841</f>
        <v>138.43</v>
      </c>
      <c r="I841" t="str">
        <f t="shared" si="39"/>
        <v>NO</v>
      </c>
      <c r="J841">
        <f>Cleaned_Data!J841</f>
        <v>48</v>
      </c>
      <c r="K841" t="str">
        <f t="shared" si="40"/>
        <v>2024-12</v>
      </c>
      <c r="L841">
        <f t="shared" si="41"/>
        <v>90.43</v>
      </c>
    </row>
    <row r="842" spans="1:12">
      <c r="A842" t="s">
        <v>2458</v>
      </c>
      <c r="B842" t="s">
        <v>2459</v>
      </c>
      <c r="C842" t="s">
        <v>2460</v>
      </c>
      <c r="D842" t="s">
        <v>35</v>
      </c>
      <c r="E842" t="s">
        <v>28</v>
      </c>
      <c r="F842" t="s">
        <v>41</v>
      </c>
      <c r="G842" t="s">
        <v>31</v>
      </c>
      <c r="H842">
        <f>Cleaned_Data!K842</f>
        <v>25.46</v>
      </c>
      <c r="I842" t="str">
        <f t="shared" si="39"/>
        <v>YES</v>
      </c>
      <c r="J842">
        <f>Cleaned_Data!J842</f>
        <v>48</v>
      </c>
      <c r="K842" t="str">
        <f t="shared" si="40"/>
        <v>2024-06</v>
      </c>
      <c r="L842">
        <f t="shared" si="41"/>
        <v>0</v>
      </c>
    </row>
    <row r="843" spans="1:12">
      <c r="A843" t="s">
        <v>2461</v>
      </c>
      <c r="B843" t="s">
        <v>2462</v>
      </c>
      <c r="C843" t="s">
        <v>2463</v>
      </c>
      <c r="D843" t="s">
        <v>23</v>
      </c>
      <c r="E843" t="s">
        <v>16</v>
      </c>
      <c r="F843" t="s">
        <v>29</v>
      </c>
      <c r="G843" t="s">
        <v>31</v>
      </c>
      <c r="H843">
        <f>Cleaned_Data!K843</f>
        <v>15.48</v>
      </c>
      <c r="I843" t="str">
        <f t="shared" si="39"/>
        <v>YES</v>
      </c>
      <c r="J843">
        <f>Cleaned_Data!J843</f>
        <v>24</v>
      </c>
      <c r="K843" t="str">
        <f t="shared" si="40"/>
        <v>2024-08</v>
      </c>
      <c r="L843">
        <f t="shared" si="41"/>
        <v>0</v>
      </c>
    </row>
    <row r="844" spans="1:12">
      <c r="A844" t="s">
        <v>2464</v>
      </c>
      <c r="B844" t="s">
        <v>2465</v>
      </c>
      <c r="C844" t="s">
        <v>2466</v>
      </c>
      <c r="D844" t="s">
        <v>23</v>
      </c>
      <c r="E844" t="s">
        <v>24</v>
      </c>
      <c r="F844" t="s">
        <v>41</v>
      </c>
      <c r="G844" t="s">
        <v>31</v>
      </c>
      <c r="H844">
        <f>Cleaned_Data!K844</f>
        <v>4.08</v>
      </c>
      <c r="I844" t="str">
        <f t="shared" si="39"/>
        <v>YES</v>
      </c>
      <c r="J844">
        <f>Cleaned_Data!J844</f>
        <v>24</v>
      </c>
      <c r="K844" t="str">
        <f t="shared" si="40"/>
        <v>2024-06</v>
      </c>
      <c r="L844">
        <f t="shared" si="41"/>
        <v>0</v>
      </c>
    </row>
    <row r="845" spans="1:12">
      <c r="A845" t="s">
        <v>2467</v>
      </c>
      <c r="B845" t="s">
        <v>2468</v>
      </c>
      <c r="C845" t="s">
        <v>2469</v>
      </c>
      <c r="D845" t="s">
        <v>23</v>
      </c>
      <c r="E845" t="s">
        <v>16</v>
      </c>
      <c r="F845" t="s">
        <v>17</v>
      </c>
      <c r="G845" t="s">
        <v>31</v>
      </c>
      <c r="H845">
        <f>Cleaned_Data!K845</f>
        <v>8.92</v>
      </c>
      <c r="I845" t="str">
        <f t="shared" si="39"/>
        <v>YES</v>
      </c>
      <c r="J845">
        <f>Cleaned_Data!J845</f>
        <v>24</v>
      </c>
      <c r="K845" t="str">
        <f t="shared" si="40"/>
        <v>2024-07</v>
      </c>
      <c r="L845">
        <f t="shared" si="41"/>
        <v>0</v>
      </c>
    </row>
    <row r="846" spans="1:12">
      <c r="A846" t="s">
        <v>2470</v>
      </c>
      <c r="B846" t="s">
        <v>2471</v>
      </c>
      <c r="C846" t="s">
        <v>2472</v>
      </c>
      <c r="D846" t="s">
        <v>15</v>
      </c>
      <c r="E846" t="s">
        <v>24</v>
      </c>
      <c r="F846" t="s">
        <v>60</v>
      </c>
      <c r="G846" t="s">
        <v>31</v>
      </c>
      <c r="H846">
        <f>Cleaned_Data!K846</f>
        <v>3.62</v>
      </c>
      <c r="I846" t="str">
        <f t="shared" si="39"/>
        <v>YES</v>
      </c>
      <c r="J846">
        <f>Cleaned_Data!J846</f>
        <v>8</v>
      </c>
      <c r="K846" t="str">
        <f t="shared" si="40"/>
        <v>2024-10</v>
      </c>
      <c r="L846">
        <f t="shared" si="41"/>
        <v>0</v>
      </c>
    </row>
    <row r="847" spans="1:12">
      <c r="A847" t="s">
        <v>2473</v>
      </c>
      <c r="B847" t="s">
        <v>2474</v>
      </c>
      <c r="C847" t="s">
        <v>2475</v>
      </c>
      <c r="D847" t="s">
        <v>23</v>
      </c>
      <c r="E847" t="s">
        <v>16</v>
      </c>
      <c r="F847" t="s">
        <v>60</v>
      </c>
      <c r="G847" t="s">
        <v>19</v>
      </c>
      <c r="H847">
        <f>Cleaned_Data!K847</f>
        <v>13.79</v>
      </c>
      <c r="I847" t="str">
        <f t="shared" si="39"/>
        <v>YES</v>
      </c>
      <c r="J847">
        <f>Cleaned_Data!J847</f>
        <v>24</v>
      </c>
      <c r="K847" t="str">
        <f t="shared" si="40"/>
        <v>2024-12</v>
      </c>
      <c r="L847">
        <f t="shared" si="41"/>
        <v>0</v>
      </c>
    </row>
    <row r="848" spans="1:12">
      <c r="A848" t="s">
        <v>2476</v>
      </c>
      <c r="B848" t="s">
        <v>2477</v>
      </c>
      <c r="C848" t="s">
        <v>2478</v>
      </c>
      <c r="D848" t="s">
        <v>35</v>
      </c>
      <c r="E848" t="s">
        <v>59</v>
      </c>
      <c r="F848" t="s">
        <v>17</v>
      </c>
      <c r="G848" t="s">
        <v>31</v>
      </c>
      <c r="H848">
        <f>Cleaned_Data!K848</f>
        <v>21.16</v>
      </c>
      <c r="I848" t="str">
        <f t="shared" si="39"/>
        <v>YES</v>
      </c>
      <c r="J848">
        <f>Cleaned_Data!J848</f>
        <v>48</v>
      </c>
      <c r="K848" t="str">
        <f t="shared" si="40"/>
        <v>2024-03</v>
      </c>
      <c r="L848">
        <f t="shared" si="41"/>
        <v>0</v>
      </c>
    </row>
    <row r="849" spans="1:12">
      <c r="A849" t="s">
        <v>2479</v>
      </c>
      <c r="B849" t="s">
        <v>2480</v>
      </c>
      <c r="C849" t="s">
        <v>2481</v>
      </c>
      <c r="D849" t="s">
        <v>15</v>
      </c>
      <c r="E849" t="s">
        <v>59</v>
      </c>
      <c r="F849" t="s">
        <v>17</v>
      </c>
      <c r="G849" t="s">
        <v>19</v>
      </c>
      <c r="H849">
        <f>Cleaned_Data!K849</f>
        <v>3.76</v>
      </c>
      <c r="I849" t="str">
        <f t="shared" si="39"/>
        <v>YES</v>
      </c>
      <c r="J849">
        <f>Cleaned_Data!J849</f>
        <v>8</v>
      </c>
      <c r="K849" t="str">
        <f t="shared" si="40"/>
        <v>2024-04</v>
      </c>
      <c r="L849">
        <f t="shared" si="41"/>
        <v>0</v>
      </c>
    </row>
    <row r="850" spans="1:12">
      <c r="A850" t="s">
        <v>2482</v>
      </c>
      <c r="B850" t="s">
        <v>2483</v>
      </c>
      <c r="C850" t="s">
        <v>2484</v>
      </c>
      <c r="D850" t="s">
        <v>35</v>
      </c>
      <c r="E850" t="s">
        <v>28</v>
      </c>
      <c r="F850" t="s">
        <v>17</v>
      </c>
      <c r="G850" t="s">
        <v>19</v>
      </c>
      <c r="H850">
        <f>Cleaned_Data!K850</f>
        <v>126.54</v>
      </c>
      <c r="I850" t="str">
        <f t="shared" si="39"/>
        <v>NO</v>
      </c>
      <c r="J850">
        <f>Cleaned_Data!J850</f>
        <v>48</v>
      </c>
      <c r="K850" t="str">
        <f t="shared" si="40"/>
        <v>2024-06</v>
      </c>
      <c r="L850">
        <f t="shared" si="41"/>
        <v>78.540000000000006</v>
      </c>
    </row>
    <row r="851" spans="1:12">
      <c r="A851" t="s">
        <v>2485</v>
      </c>
      <c r="B851" t="s">
        <v>2486</v>
      </c>
      <c r="C851" t="s">
        <v>2487</v>
      </c>
      <c r="D851" t="s">
        <v>23</v>
      </c>
      <c r="E851" t="s">
        <v>24</v>
      </c>
      <c r="F851" t="s">
        <v>17</v>
      </c>
      <c r="G851" t="s">
        <v>19</v>
      </c>
      <c r="H851">
        <f>Cleaned_Data!K851</f>
        <v>59.21</v>
      </c>
      <c r="I851" t="str">
        <f t="shared" si="39"/>
        <v>NO</v>
      </c>
      <c r="J851">
        <f>Cleaned_Data!J851</f>
        <v>24</v>
      </c>
      <c r="K851" t="str">
        <f t="shared" si="40"/>
        <v>2024-10</v>
      </c>
      <c r="L851">
        <f t="shared" si="41"/>
        <v>35.21</v>
      </c>
    </row>
    <row r="852" spans="1:12">
      <c r="A852" t="s">
        <v>2488</v>
      </c>
      <c r="B852" t="s">
        <v>2489</v>
      </c>
      <c r="C852" t="s">
        <v>2490</v>
      </c>
      <c r="D852" t="s">
        <v>23</v>
      </c>
      <c r="E852" t="s">
        <v>24</v>
      </c>
      <c r="F852" t="s">
        <v>29</v>
      </c>
      <c r="G852" t="s">
        <v>19</v>
      </c>
      <c r="H852">
        <f>Cleaned_Data!K852</f>
        <v>7.47</v>
      </c>
      <c r="I852" t="str">
        <f t="shared" si="39"/>
        <v>YES</v>
      </c>
      <c r="J852">
        <f>Cleaned_Data!J852</f>
        <v>24</v>
      </c>
      <c r="K852" t="str">
        <f t="shared" si="40"/>
        <v>2024-03</v>
      </c>
      <c r="L852">
        <f t="shared" si="41"/>
        <v>0</v>
      </c>
    </row>
    <row r="853" spans="1:12">
      <c r="A853" t="s">
        <v>2491</v>
      </c>
      <c r="B853" t="s">
        <v>2492</v>
      </c>
      <c r="D853" t="s">
        <v>23</v>
      </c>
      <c r="E853" t="s">
        <v>24</v>
      </c>
      <c r="F853" t="s">
        <v>17</v>
      </c>
      <c r="G853" t="s">
        <v>46</v>
      </c>
      <c r="H853">
        <f>Cleaned_Data!K853</f>
        <v>0</v>
      </c>
      <c r="I853" t="str">
        <f t="shared" si="39"/>
        <v/>
      </c>
      <c r="J853">
        <f>Cleaned_Data!J853</f>
        <v>24</v>
      </c>
      <c r="K853" t="str">
        <f t="shared" si="40"/>
        <v>2024-09</v>
      </c>
      <c r="L853">
        <f t="shared" si="41"/>
        <v>0</v>
      </c>
    </row>
    <row r="854" spans="1:12">
      <c r="A854" t="s">
        <v>2493</v>
      </c>
      <c r="B854" t="s">
        <v>2494</v>
      </c>
      <c r="C854" t="s">
        <v>2495</v>
      </c>
      <c r="D854" t="s">
        <v>23</v>
      </c>
      <c r="E854" t="s">
        <v>16</v>
      </c>
      <c r="F854" t="s">
        <v>41</v>
      </c>
      <c r="G854" t="s">
        <v>31</v>
      </c>
      <c r="H854">
        <f>Cleaned_Data!K854</f>
        <v>13.76</v>
      </c>
      <c r="I854" t="str">
        <f t="shared" si="39"/>
        <v>YES</v>
      </c>
      <c r="J854">
        <f>Cleaned_Data!J854</f>
        <v>24</v>
      </c>
      <c r="K854" t="str">
        <f t="shared" si="40"/>
        <v>2024-06</v>
      </c>
      <c r="L854">
        <f t="shared" si="41"/>
        <v>0</v>
      </c>
    </row>
    <row r="855" spans="1:12">
      <c r="A855" t="s">
        <v>2496</v>
      </c>
      <c r="B855" t="s">
        <v>2497</v>
      </c>
      <c r="D855" t="s">
        <v>15</v>
      </c>
      <c r="E855" t="s">
        <v>59</v>
      </c>
      <c r="F855" t="s">
        <v>60</v>
      </c>
      <c r="G855" t="s">
        <v>46</v>
      </c>
      <c r="H855">
        <f>Cleaned_Data!K855</f>
        <v>0</v>
      </c>
      <c r="I855" t="str">
        <f t="shared" si="39"/>
        <v/>
      </c>
      <c r="J855">
        <f>Cleaned_Data!J855</f>
        <v>8</v>
      </c>
      <c r="K855" t="str">
        <f t="shared" si="40"/>
        <v>2024-12</v>
      </c>
      <c r="L855">
        <f t="shared" si="41"/>
        <v>0</v>
      </c>
    </row>
    <row r="856" spans="1:12">
      <c r="A856" t="s">
        <v>2498</v>
      </c>
      <c r="B856" t="s">
        <v>2499</v>
      </c>
      <c r="C856" t="s">
        <v>2500</v>
      </c>
      <c r="D856" t="s">
        <v>23</v>
      </c>
      <c r="E856" t="s">
        <v>16</v>
      </c>
      <c r="F856" t="s">
        <v>36</v>
      </c>
      <c r="G856" t="s">
        <v>19</v>
      </c>
      <c r="H856">
        <f>Cleaned_Data!K856</f>
        <v>22.34</v>
      </c>
      <c r="I856" t="str">
        <f t="shared" si="39"/>
        <v>YES</v>
      </c>
      <c r="J856">
        <f>Cleaned_Data!J856</f>
        <v>24</v>
      </c>
      <c r="K856" t="str">
        <f t="shared" si="40"/>
        <v>2024-08</v>
      </c>
      <c r="L856">
        <f t="shared" si="41"/>
        <v>0</v>
      </c>
    </row>
    <row r="857" spans="1:12">
      <c r="A857" t="s">
        <v>2501</v>
      </c>
      <c r="B857" t="s">
        <v>2502</v>
      </c>
      <c r="C857" t="s">
        <v>2503</v>
      </c>
      <c r="D857" t="s">
        <v>35</v>
      </c>
      <c r="E857" t="s">
        <v>54</v>
      </c>
      <c r="F857" t="s">
        <v>60</v>
      </c>
      <c r="G857" t="s">
        <v>19</v>
      </c>
      <c r="H857">
        <f>Cleaned_Data!K857</f>
        <v>42.76</v>
      </c>
      <c r="I857" t="str">
        <f t="shared" si="39"/>
        <v>YES</v>
      </c>
      <c r="J857">
        <f>Cleaned_Data!J857</f>
        <v>48</v>
      </c>
      <c r="K857" t="str">
        <f t="shared" si="40"/>
        <v>2024-02</v>
      </c>
      <c r="L857">
        <f t="shared" si="41"/>
        <v>0</v>
      </c>
    </row>
    <row r="858" spans="1:12">
      <c r="A858" t="s">
        <v>2504</v>
      </c>
      <c r="B858" t="s">
        <v>2505</v>
      </c>
      <c r="C858" t="s">
        <v>2506</v>
      </c>
      <c r="D858" t="s">
        <v>158</v>
      </c>
      <c r="E858" t="s">
        <v>16</v>
      </c>
      <c r="F858" t="s">
        <v>41</v>
      </c>
      <c r="G858" t="s">
        <v>19</v>
      </c>
      <c r="H858">
        <f>Cleaned_Data!K858</f>
        <v>3.73</v>
      </c>
      <c r="I858" t="str">
        <f t="shared" si="39"/>
        <v>YES</v>
      </c>
      <c r="J858">
        <f>Cleaned_Data!J858</f>
        <v>4</v>
      </c>
      <c r="K858" t="str">
        <f t="shared" si="40"/>
        <v>2024-02</v>
      </c>
      <c r="L858">
        <f t="shared" si="41"/>
        <v>0</v>
      </c>
    </row>
    <row r="859" spans="1:12">
      <c r="A859" t="s">
        <v>2507</v>
      </c>
      <c r="B859" t="s">
        <v>2508</v>
      </c>
      <c r="D859" t="s">
        <v>15</v>
      </c>
      <c r="E859" t="s">
        <v>28</v>
      </c>
      <c r="F859" t="s">
        <v>41</v>
      </c>
      <c r="G859" t="s">
        <v>63</v>
      </c>
      <c r="H859">
        <f>Cleaned_Data!K859</f>
        <v>0</v>
      </c>
      <c r="I859" t="str">
        <f t="shared" si="39"/>
        <v/>
      </c>
      <c r="J859">
        <f>Cleaned_Data!J859</f>
        <v>8</v>
      </c>
      <c r="K859" t="str">
        <f t="shared" si="40"/>
        <v>2024-11</v>
      </c>
      <c r="L859">
        <f t="shared" si="41"/>
        <v>0</v>
      </c>
    </row>
    <row r="860" spans="1:12">
      <c r="A860" t="s">
        <v>2509</v>
      </c>
      <c r="B860" t="s">
        <v>2510</v>
      </c>
      <c r="C860" t="s">
        <v>2511</v>
      </c>
      <c r="D860" t="s">
        <v>23</v>
      </c>
      <c r="E860" t="s">
        <v>16</v>
      </c>
      <c r="F860" t="s">
        <v>29</v>
      </c>
      <c r="G860" t="s">
        <v>19</v>
      </c>
      <c r="H860">
        <f>Cleaned_Data!K860</f>
        <v>39.97</v>
      </c>
      <c r="I860" t="str">
        <f t="shared" si="39"/>
        <v>NO</v>
      </c>
      <c r="J860">
        <f>Cleaned_Data!J860</f>
        <v>24</v>
      </c>
      <c r="K860" t="str">
        <f t="shared" si="40"/>
        <v>2024-04</v>
      </c>
      <c r="L860">
        <f t="shared" si="41"/>
        <v>15.969999999999999</v>
      </c>
    </row>
    <row r="861" spans="1:12">
      <c r="A861" t="s">
        <v>2512</v>
      </c>
      <c r="B861" t="s">
        <v>2513</v>
      </c>
      <c r="C861" t="s">
        <v>2514</v>
      </c>
      <c r="D861" t="s">
        <v>35</v>
      </c>
      <c r="E861" t="s">
        <v>54</v>
      </c>
      <c r="F861" t="s">
        <v>41</v>
      </c>
      <c r="G861" t="s">
        <v>19</v>
      </c>
      <c r="H861">
        <f>Cleaned_Data!K861</f>
        <v>12.27</v>
      </c>
      <c r="I861" t="str">
        <f t="shared" si="39"/>
        <v>YES</v>
      </c>
      <c r="J861">
        <f>Cleaned_Data!J861</f>
        <v>48</v>
      </c>
      <c r="K861" t="str">
        <f t="shared" si="40"/>
        <v>2024-10</v>
      </c>
      <c r="L861">
        <f t="shared" si="41"/>
        <v>0</v>
      </c>
    </row>
    <row r="862" spans="1:12">
      <c r="A862" t="s">
        <v>2515</v>
      </c>
      <c r="B862" t="s">
        <v>2516</v>
      </c>
      <c r="C862" t="s">
        <v>2517</v>
      </c>
      <c r="D862" t="s">
        <v>23</v>
      </c>
      <c r="E862" t="s">
        <v>28</v>
      </c>
      <c r="F862" t="s">
        <v>41</v>
      </c>
      <c r="G862" t="s">
        <v>19</v>
      </c>
      <c r="H862">
        <f>Cleaned_Data!K862</f>
        <v>51.45</v>
      </c>
      <c r="I862" t="str">
        <f t="shared" si="39"/>
        <v>NO</v>
      </c>
      <c r="J862">
        <f>Cleaned_Data!J862</f>
        <v>24</v>
      </c>
      <c r="K862" t="str">
        <f t="shared" si="40"/>
        <v>2024-03</v>
      </c>
      <c r="L862">
        <f t="shared" si="41"/>
        <v>27.450000000000003</v>
      </c>
    </row>
    <row r="863" spans="1:12">
      <c r="A863" t="s">
        <v>2518</v>
      </c>
      <c r="B863" t="s">
        <v>2519</v>
      </c>
      <c r="C863" t="s">
        <v>2520</v>
      </c>
      <c r="D863" t="s">
        <v>35</v>
      </c>
      <c r="E863" t="s">
        <v>16</v>
      </c>
      <c r="F863" t="s">
        <v>36</v>
      </c>
      <c r="G863" t="s">
        <v>19</v>
      </c>
      <c r="H863">
        <f>Cleaned_Data!K863</f>
        <v>67.31</v>
      </c>
      <c r="I863" t="str">
        <f t="shared" si="39"/>
        <v>NO</v>
      </c>
      <c r="J863">
        <f>Cleaned_Data!J863</f>
        <v>48</v>
      </c>
      <c r="K863" t="str">
        <f t="shared" si="40"/>
        <v>2024-02</v>
      </c>
      <c r="L863">
        <f t="shared" si="41"/>
        <v>19.310000000000002</v>
      </c>
    </row>
    <row r="864" spans="1:12">
      <c r="A864" t="s">
        <v>2521</v>
      </c>
      <c r="B864" t="s">
        <v>2522</v>
      </c>
      <c r="C864" t="s">
        <v>2523</v>
      </c>
      <c r="D864" t="s">
        <v>35</v>
      </c>
      <c r="E864" t="s">
        <v>54</v>
      </c>
      <c r="F864" t="s">
        <v>60</v>
      </c>
      <c r="G864" t="s">
        <v>31</v>
      </c>
      <c r="H864">
        <f>Cleaned_Data!K864</f>
        <v>99.64</v>
      </c>
      <c r="I864" t="str">
        <f t="shared" si="39"/>
        <v>NO</v>
      </c>
      <c r="J864">
        <f>Cleaned_Data!J864</f>
        <v>48</v>
      </c>
      <c r="K864" t="str">
        <f t="shared" si="40"/>
        <v>2024-07</v>
      </c>
      <c r="L864">
        <f t="shared" si="41"/>
        <v>51.64</v>
      </c>
    </row>
    <row r="865" spans="1:12">
      <c r="A865" t="s">
        <v>2524</v>
      </c>
      <c r="B865" t="s">
        <v>2525</v>
      </c>
      <c r="C865" t="s">
        <v>2526</v>
      </c>
      <c r="D865" t="s">
        <v>35</v>
      </c>
      <c r="E865" t="s">
        <v>28</v>
      </c>
      <c r="F865" t="s">
        <v>41</v>
      </c>
      <c r="G865" t="s">
        <v>19</v>
      </c>
      <c r="H865">
        <f>Cleaned_Data!K865</f>
        <v>16.399999999999999</v>
      </c>
      <c r="I865" t="str">
        <f t="shared" si="39"/>
        <v>YES</v>
      </c>
      <c r="J865">
        <f>Cleaned_Data!J865</f>
        <v>48</v>
      </c>
      <c r="K865" t="str">
        <f t="shared" si="40"/>
        <v>2024-06</v>
      </c>
      <c r="L865">
        <f t="shared" si="41"/>
        <v>0</v>
      </c>
    </row>
    <row r="866" spans="1:12">
      <c r="A866" t="s">
        <v>2527</v>
      </c>
      <c r="B866" t="s">
        <v>2528</v>
      </c>
      <c r="C866" t="s">
        <v>2529</v>
      </c>
      <c r="D866" t="s">
        <v>23</v>
      </c>
      <c r="E866" t="s">
        <v>54</v>
      </c>
      <c r="F866" t="s">
        <v>36</v>
      </c>
      <c r="G866" t="s">
        <v>19</v>
      </c>
      <c r="H866">
        <f>Cleaned_Data!K866</f>
        <v>19.350000000000001</v>
      </c>
      <c r="I866" t="str">
        <f t="shared" si="39"/>
        <v>YES</v>
      </c>
      <c r="J866">
        <f>Cleaned_Data!J866</f>
        <v>24</v>
      </c>
      <c r="K866" t="str">
        <f t="shared" si="40"/>
        <v>2024-02</v>
      </c>
      <c r="L866">
        <f t="shared" si="41"/>
        <v>0</v>
      </c>
    </row>
    <row r="867" spans="1:12">
      <c r="A867" t="s">
        <v>2530</v>
      </c>
      <c r="B867" t="s">
        <v>2531</v>
      </c>
      <c r="D867" t="s">
        <v>23</v>
      </c>
      <c r="E867" t="s">
        <v>28</v>
      </c>
      <c r="F867" t="s">
        <v>36</v>
      </c>
      <c r="G867" t="s">
        <v>46</v>
      </c>
      <c r="H867">
        <f>Cleaned_Data!K867</f>
        <v>0</v>
      </c>
      <c r="I867" t="str">
        <f t="shared" si="39"/>
        <v/>
      </c>
      <c r="J867">
        <f>Cleaned_Data!J867</f>
        <v>24</v>
      </c>
      <c r="K867" t="str">
        <f t="shared" si="40"/>
        <v>2024-06</v>
      </c>
      <c r="L867">
        <f t="shared" si="41"/>
        <v>0</v>
      </c>
    </row>
    <row r="868" spans="1:12">
      <c r="A868" t="s">
        <v>2532</v>
      </c>
      <c r="B868" t="s">
        <v>2533</v>
      </c>
      <c r="C868" t="s">
        <v>2534</v>
      </c>
      <c r="D868" t="s">
        <v>23</v>
      </c>
      <c r="E868" t="s">
        <v>28</v>
      </c>
      <c r="F868" t="s">
        <v>60</v>
      </c>
      <c r="G868" t="s">
        <v>19</v>
      </c>
      <c r="H868">
        <f>Cleaned_Data!K868</f>
        <v>15.53</v>
      </c>
      <c r="I868" t="str">
        <f t="shared" si="39"/>
        <v>YES</v>
      </c>
      <c r="J868">
        <f>Cleaned_Data!J868</f>
        <v>24</v>
      </c>
      <c r="K868" t="str">
        <f t="shared" si="40"/>
        <v>2024-09</v>
      </c>
      <c r="L868">
        <f t="shared" si="41"/>
        <v>0</v>
      </c>
    </row>
    <row r="869" spans="1:12">
      <c r="A869" t="s">
        <v>2535</v>
      </c>
      <c r="B869" t="s">
        <v>2536</v>
      </c>
      <c r="C869" t="s">
        <v>2537</v>
      </c>
      <c r="D869" t="s">
        <v>23</v>
      </c>
      <c r="E869" t="s">
        <v>28</v>
      </c>
      <c r="F869" t="s">
        <v>60</v>
      </c>
      <c r="G869" t="s">
        <v>19</v>
      </c>
      <c r="H869">
        <f>Cleaned_Data!K869</f>
        <v>7.3</v>
      </c>
      <c r="I869" t="str">
        <f t="shared" si="39"/>
        <v>YES</v>
      </c>
      <c r="J869">
        <f>Cleaned_Data!J869</f>
        <v>24</v>
      </c>
      <c r="K869" t="str">
        <f t="shared" si="40"/>
        <v>2024-01</v>
      </c>
      <c r="L869">
        <f t="shared" si="41"/>
        <v>0</v>
      </c>
    </row>
    <row r="870" spans="1:12">
      <c r="A870" t="s">
        <v>2538</v>
      </c>
      <c r="B870" t="s">
        <v>2539</v>
      </c>
      <c r="C870" t="s">
        <v>2540</v>
      </c>
      <c r="D870" t="s">
        <v>158</v>
      </c>
      <c r="E870" t="s">
        <v>16</v>
      </c>
      <c r="F870" t="s">
        <v>17</v>
      </c>
      <c r="G870" t="s">
        <v>31</v>
      </c>
      <c r="H870">
        <f>Cleaned_Data!K870</f>
        <v>2.96</v>
      </c>
      <c r="I870" t="str">
        <f t="shared" si="39"/>
        <v>YES</v>
      </c>
      <c r="J870">
        <f>Cleaned_Data!J870</f>
        <v>4</v>
      </c>
      <c r="K870" t="str">
        <f t="shared" si="40"/>
        <v>2024-06</v>
      </c>
      <c r="L870">
        <f t="shared" si="41"/>
        <v>0</v>
      </c>
    </row>
    <row r="871" spans="1:12">
      <c r="A871" t="s">
        <v>2541</v>
      </c>
      <c r="B871" t="s">
        <v>2542</v>
      </c>
      <c r="C871" t="s">
        <v>2543</v>
      </c>
      <c r="D871" t="s">
        <v>15</v>
      </c>
      <c r="E871" t="s">
        <v>16</v>
      </c>
      <c r="F871" t="s">
        <v>29</v>
      </c>
      <c r="G871" t="s">
        <v>31</v>
      </c>
      <c r="H871">
        <f>Cleaned_Data!K871</f>
        <v>1.45</v>
      </c>
      <c r="I871" t="str">
        <f t="shared" si="39"/>
        <v>YES</v>
      </c>
      <c r="J871">
        <f>Cleaned_Data!J871</f>
        <v>8</v>
      </c>
      <c r="K871" t="str">
        <f t="shared" si="40"/>
        <v>2024-02</v>
      </c>
      <c r="L871">
        <f t="shared" si="41"/>
        <v>0</v>
      </c>
    </row>
    <row r="872" spans="1:12">
      <c r="A872" t="s">
        <v>2544</v>
      </c>
      <c r="B872" t="s">
        <v>2545</v>
      </c>
      <c r="C872" t="s">
        <v>2546</v>
      </c>
      <c r="D872" t="s">
        <v>23</v>
      </c>
      <c r="E872" t="s">
        <v>16</v>
      </c>
      <c r="F872" t="s">
        <v>41</v>
      </c>
      <c r="G872" t="s">
        <v>31</v>
      </c>
      <c r="H872">
        <f>Cleaned_Data!K872</f>
        <v>17.829999999999998</v>
      </c>
      <c r="I872" t="str">
        <f t="shared" si="39"/>
        <v>YES</v>
      </c>
      <c r="J872">
        <f>Cleaned_Data!J872</f>
        <v>24</v>
      </c>
      <c r="K872" t="str">
        <f t="shared" si="40"/>
        <v>2024-03</v>
      </c>
      <c r="L872">
        <f t="shared" si="41"/>
        <v>0</v>
      </c>
    </row>
    <row r="873" spans="1:12">
      <c r="A873" t="s">
        <v>2547</v>
      </c>
      <c r="B873" t="s">
        <v>2548</v>
      </c>
      <c r="C873" t="s">
        <v>2549</v>
      </c>
      <c r="D873" t="s">
        <v>15</v>
      </c>
      <c r="E873" t="s">
        <v>54</v>
      </c>
      <c r="F873" t="s">
        <v>36</v>
      </c>
      <c r="G873" t="s">
        <v>19</v>
      </c>
      <c r="H873">
        <f>Cleaned_Data!K873</f>
        <v>18.95</v>
      </c>
      <c r="I873" t="str">
        <f t="shared" si="39"/>
        <v>NO</v>
      </c>
      <c r="J873">
        <f>Cleaned_Data!J873</f>
        <v>8</v>
      </c>
      <c r="K873" t="str">
        <f t="shared" si="40"/>
        <v>2024-08</v>
      </c>
      <c r="L873">
        <f t="shared" si="41"/>
        <v>10.95</v>
      </c>
    </row>
    <row r="874" spans="1:12">
      <c r="A874" t="s">
        <v>2550</v>
      </c>
      <c r="B874" t="s">
        <v>2551</v>
      </c>
      <c r="C874" t="s">
        <v>2552</v>
      </c>
      <c r="D874" t="s">
        <v>15</v>
      </c>
      <c r="E874" t="s">
        <v>28</v>
      </c>
      <c r="F874" t="s">
        <v>60</v>
      </c>
      <c r="G874" t="s">
        <v>19</v>
      </c>
      <c r="H874">
        <f>Cleaned_Data!K874</f>
        <v>6.97</v>
      </c>
      <c r="I874" t="str">
        <f t="shared" si="39"/>
        <v>YES</v>
      </c>
      <c r="J874">
        <f>Cleaned_Data!J874</f>
        <v>8</v>
      </c>
      <c r="K874" t="str">
        <f t="shared" si="40"/>
        <v>2024-10</v>
      </c>
      <c r="L874">
        <f t="shared" si="41"/>
        <v>0</v>
      </c>
    </row>
    <row r="875" spans="1:12">
      <c r="A875" t="s">
        <v>2553</v>
      </c>
      <c r="B875" t="s">
        <v>2554</v>
      </c>
      <c r="C875" t="s">
        <v>2555</v>
      </c>
      <c r="D875" t="s">
        <v>35</v>
      </c>
      <c r="E875" t="s">
        <v>54</v>
      </c>
      <c r="F875" t="s">
        <v>29</v>
      </c>
      <c r="G875" t="s">
        <v>19</v>
      </c>
      <c r="H875">
        <f>Cleaned_Data!K875</f>
        <v>6.75</v>
      </c>
      <c r="I875" t="str">
        <f t="shared" si="39"/>
        <v>YES</v>
      </c>
      <c r="J875">
        <f>Cleaned_Data!J875</f>
        <v>48</v>
      </c>
      <c r="K875" t="str">
        <f t="shared" si="40"/>
        <v>2024-02</v>
      </c>
      <c r="L875">
        <f t="shared" si="41"/>
        <v>0</v>
      </c>
    </row>
    <row r="876" spans="1:12">
      <c r="A876" t="s">
        <v>2556</v>
      </c>
      <c r="B876" t="s">
        <v>2557</v>
      </c>
      <c r="C876" t="s">
        <v>2558</v>
      </c>
      <c r="D876" t="s">
        <v>23</v>
      </c>
      <c r="E876" t="s">
        <v>28</v>
      </c>
      <c r="F876" t="s">
        <v>41</v>
      </c>
      <c r="G876" t="s">
        <v>19</v>
      </c>
      <c r="H876">
        <f>Cleaned_Data!K876</f>
        <v>18.98</v>
      </c>
      <c r="I876" t="str">
        <f t="shared" si="39"/>
        <v>YES</v>
      </c>
      <c r="J876">
        <f>Cleaned_Data!J876</f>
        <v>24</v>
      </c>
      <c r="K876" t="str">
        <f t="shared" si="40"/>
        <v>2024-01</v>
      </c>
      <c r="L876">
        <f t="shared" si="41"/>
        <v>0</v>
      </c>
    </row>
    <row r="877" spans="1:12">
      <c r="A877" t="s">
        <v>2559</v>
      </c>
      <c r="B877" t="s">
        <v>2560</v>
      </c>
      <c r="C877" t="s">
        <v>2561</v>
      </c>
      <c r="D877" t="s">
        <v>158</v>
      </c>
      <c r="E877" t="s">
        <v>28</v>
      </c>
      <c r="F877" t="s">
        <v>36</v>
      </c>
      <c r="G877" t="s">
        <v>31</v>
      </c>
      <c r="H877">
        <f>Cleaned_Data!K877</f>
        <v>1.02</v>
      </c>
      <c r="I877" t="str">
        <f t="shared" si="39"/>
        <v>YES</v>
      </c>
      <c r="J877">
        <f>Cleaned_Data!J877</f>
        <v>4</v>
      </c>
      <c r="K877" t="str">
        <f t="shared" si="40"/>
        <v>2024-08</v>
      </c>
      <c r="L877">
        <f t="shared" si="41"/>
        <v>0</v>
      </c>
    </row>
    <row r="878" spans="1:12">
      <c r="A878" t="s">
        <v>2562</v>
      </c>
      <c r="B878" t="s">
        <v>2563</v>
      </c>
      <c r="C878" t="s">
        <v>2564</v>
      </c>
      <c r="D878" t="s">
        <v>23</v>
      </c>
      <c r="E878" t="s">
        <v>16</v>
      </c>
      <c r="F878" t="s">
        <v>29</v>
      </c>
      <c r="G878" t="s">
        <v>31</v>
      </c>
      <c r="H878">
        <f>Cleaned_Data!K878</f>
        <v>11.58</v>
      </c>
      <c r="I878" t="str">
        <f t="shared" si="39"/>
        <v>YES</v>
      </c>
      <c r="J878">
        <f>Cleaned_Data!J878</f>
        <v>24</v>
      </c>
      <c r="K878" t="str">
        <f t="shared" si="40"/>
        <v>2024-02</v>
      </c>
      <c r="L878">
        <f t="shared" si="41"/>
        <v>0</v>
      </c>
    </row>
    <row r="879" spans="1:12">
      <c r="A879" t="s">
        <v>2565</v>
      </c>
      <c r="B879" t="s">
        <v>2566</v>
      </c>
      <c r="C879" t="s">
        <v>2567</v>
      </c>
      <c r="D879" t="s">
        <v>35</v>
      </c>
      <c r="E879" t="s">
        <v>54</v>
      </c>
      <c r="F879" t="s">
        <v>17</v>
      </c>
      <c r="G879" t="s">
        <v>19</v>
      </c>
      <c r="H879">
        <f>Cleaned_Data!K879</f>
        <v>29.45</v>
      </c>
      <c r="I879" t="str">
        <f t="shared" si="39"/>
        <v>YES</v>
      </c>
      <c r="J879">
        <f>Cleaned_Data!J879</f>
        <v>48</v>
      </c>
      <c r="K879" t="str">
        <f t="shared" si="40"/>
        <v>2024-05</v>
      </c>
      <c r="L879">
        <f t="shared" si="41"/>
        <v>0</v>
      </c>
    </row>
    <row r="880" spans="1:12">
      <c r="A880" t="s">
        <v>2568</v>
      </c>
      <c r="B880" t="s">
        <v>2569</v>
      </c>
      <c r="C880" t="s">
        <v>2570</v>
      </c>
      <c r="D880" t="s">
        <v>23</v>
      </c>
      <c r="E880" t="s">
        <v>24</v>
      </c>
      <c r="F880" t="s">
        <v>41</v>
      </c>
      <c r="G880" t="s">
        <v>19</v>
      </c>
      <c r="H880">
        <f>Cleaned_Data!K880</f>
        <v>11.79</v>
      </c>
      <c r="I880" t="str">
        <f t="shared" si="39"/>
        <v>YES</v>
      </c>
      <c r="J880">
        <f>Cleaned_Data!J880</f>
        <v>24</v>
      </c>
      <c r="K880" t="str">
        <f t="shared" si="40"/>
        <v>2024-02</v>
      </c>
      <c r="L880">
        <f t="shared" si="41"/>
        <v>0</v>
      </c>
    </row>
    <row r="881" spans="1:12">
      <c r="A881" t="s">
        <v>2571</v>
      </c>
      <c r="B881" t="s">
        <v>2572</v>
      </c>
      <c r="C881" t="s">
        <v>2573</v>
      </c>
      <c r="D881" t="s">
        <v>35</v>
      </c>
      <c r="E881" t="s">
        <v>54</v>
      </c>
      <c r="F881" t="s">
        <v>41</v>
      </c>
      <c r="G881" t="s">
        <v>31</v>
      </c>
      <c r="H881">
        <f>Cleaned_Data!K881</f>
        <v>84.16</v>
      </c>
      <c r="I881" t="str">
        <f t="shared" si="39"/>
        <v>NO</v>
      </c>
      <c r="J881">
        <f>Cleaned_Data!J881</f>
        <v>48</v>
      </c>
      <c r="K881" t="str">
        <f t="shared" si="40"/>
        <v>2024-09</v>
      </c>
      <c r="L881">
        <f t="shared" si="41"/>
        <v>36.159999999999997</v>
      </c>
    </row>
    <row r="882" spans="1:12">
      <c r="A882" t="s">
        <v>2574</v>
      </c>
      <c r="B882" t="s">
        <v>2575</v>
      </c>
      <c r="C882" t="s">
        <v>2576</v>
      </c>
      <c r="D882" t="s">
        <v>23</v>
      </c>
      <c r="E882" t="s">
        <v>16</v>
      </c>
      <c r="F882" t="s">
        <v>36</v>
      </c>
      <c r="G882" t="s">
        <v>19</v>
      </c>
      <c r="H882">
        <f>Cleaned_Data!K882</f>
        <v>19.05</v>
      </c>
      <c r="I882" t="str">
        <f t="shared" si="39"/>
        <v>YES</v>
      </c>
      <c r="J882">
        <f>Cleaned_Data!J882</f>
        <v>24</v>
      </c>
      <c r="K882" t="str">
        <f t="shared" si="40"/>
        <v>2024-09</v>
      </c>
      <c r="L882">
        <f t="shared" si="41"/>
        <v>0</v>
      </c>
    </row>
    <row r="883" spans="1:12">
      <c r="A883" t="s">
        <v>2577</v>
      </c>
      <c r="B883" t="s">
        <v>2578</v>
      </c>
      <c r="C883" t="s">
        <v>2579</v>
      </c>
      <c r="D883" t="s">
        <v>35</v>
      </c>
      <c r="E883" t="s">
        <v>28</v>
      </c>
      <c r="F883" t="s">
        <v>17</v>
      </c>
      <c r="G883" t="s">
        <v>19</v>
      </c>
      <c r="H883">
        <f>Cleaned_Data!K883</f>
        <v>130.72999999999999</v>
      </c>
      <c r="I883" t="str">
        <f t="shared" si="39"/>
        <v>NO</v>
      </c>
      <c r="J883">
        <f>Cleaned_Data!J883</f>
        <v>48</v>
      </c>
      <c r="K883" t="str">
        <f t="shared" si="40"/>
        <v>2024-03</v>
      </c>
      <c r="L883">
        <f t="shared" si="41"/>
        <v>82.72999999999999</v>
      </c>
    </row>
    <row r="884" spans="1:12">
      <c r="A884" t="s">
        <v>2580</v>
      </c>
      <c r="B884" t="s">
        <v>2581</v>
      </c>
      <c r="C884" t="s">
        <v>2582</v>
      </c>
      <c r="D884" t="s">
        <v>15</v>
      </c>
      <c r="E884" t="s">
        <v>28</v>
      </c>
      <c r="F884" t="s">
        <v>41</v>
      </c>
      <c r="G884" t="s">
        <v>19</v>
      </c>
      <c r="H884">
        <f>Cleaned_Data!K884</f>
        <v>1.84</v>
      </c>
      <c r="I884" t="str">
        <f t="shared" si="39"/>
        <v>YES</v>
      </c>
      <c r="J884">
        <f>Cleaned_Data!J884</f>
        <v>8</v>
      </c>
      <c r="K884" t="str">
        <f t="shared" si="40"/>
        <v>2024-02</v>
      </c>
      <c r="L884">
        <f t="shared" si="41"/>
        <v>0</v>
      </c>
    </row>
    <row r="885" spans="1:12">
      <c r="A885" t="s">
        <v>2583</v>
      </c>
      <c r="B885" t="s">
        <v>2584</v>
      </c>
      <c r="C885" t="s">
        <v>2585</v>
      </c>
      <c r="D885" t="s">
        <v>23</v>
      </c>
      <c r="E885" t="s">
        <v>16</v>
      </c>
      <c r="F885" t="s">
        <v>60</v>
      </c>
      <c r="G885" t="s">
        <v>19</v>
      </c>
      <c r="H885">
        <f>Cleaned_Data!K885</f>
        <v>19.41</v>
      </c>
      <c r="I885" t="str">
        <f t="shared" si="39"/>
        <v>YES</v>
      </c>
      <c r="J885">
        <f>Cleaned_Data!J885</f>
        <v>24</v>
      </c>
      <c r="K885" t="str">
        <f t="shared" si="40"/>
        <v>2024-07</v>
      </c>
      <c r="L885">
        <f t="shared" si="41"/>
        <v>0</v>
      </c>
    </row>
    <row r="886" spans="1:12">
      <c r="A886" t="s">
        <v>2586</v>
      </c>
      <c r="B886" t="s">
        <v>2587</v>
      </c>
      <c r="C886" t="s">
        <v>2588</v>
      </c>
      <c r="D886" t="s">
        <v>15</v>
      </c>
      <c r="E886" t="s">
        <v>16</v>
      </c>
      <c r="F886" t="s">
        <v>41</v>
      </c>
      <c r="G886" t="s">
        <v>31</v>
      </c>
      <c r="H886">
        <f>Cleaned_Data!K886</f>
        <v>4.8499999999999996</v>
      </c>
      <c r="I886" t="str">
        <f t="shared" si="39"/>
        <v>YES</v>
      </c>
      <c r="J886">
        <f>Cleaned_Data!J886</f>
        <v>8</v>
      </c>
      <c r="K886" t="str">
        <f t="shared" si="40"/>
        <v>2024-01</v>
      </c>
      <c r="L886">
        <f t="shared" si="41"/>
        <v>0</v>
      </c>
    </row>
    <row r="887" spans="1:12">
      <c r="A887" t="s">
        <v>2589</v>
      </c>
      <c r="B887" t="s">
        <v>2590</v>
      </c>
      <c r="C887" t="s">
        <v>2591</v>
      </c>
      <c r="D887" t="s">
        <v>158</v>
      </c>
      <c r="E887" t="s">
        <v>28</v>
      </c>
      <c r="F887" t="s">
        <v>60</v>
      </c>
      <c r="G887" t="s">
        <v>31</v>
      </c>
      <c r="H887">
        <f>Cleaned_Data!K887</f>
        <v>11.26</v>
      </c>
      <c r="I887" t="str">
        <f t="shared" si="39"/>
        <v>NO</v>
      </c>
      <c r="J887">
        <f>Cleaned_Data!J887</f>
        <v>4</v>
      </c>
      <c r="K887" t="str">
        <f t="shared" si="40"/>
        <v>2024-04</v>
      </c>
      <c r="L887">
        <f t="shared" si="41"/>
        <v>7.26</v>
      </c>
    </row>
    <row r="888" spans="1:12">
      <c r="A888" t="s">
        <v>2592</v>
      </c>
      <c r="B888" t="s">
        <v>2593</v>
      </c>
      <c r="C888" t="s">
        <v>2594</v>
      </c>
      <c r="D888" t="s">
        <v>23</v>
      </c>
      <c r="E888" t="s">
        <v>28</v>
      </c>
      <c r="F888" t="s">
        <v>41</v>
      </c>
      <c r="G888" t="s">
        <v>19</v>
      </c>
      <c r="H888">
        <f>Cleaned_Data!K888</f>
        <v>20.61</v>
      </c>
      <c r="I888" t="str">
        <f t="shared" si="39"/>
        <v>YES</v>
      </c>
      <c r="J888">
        <f>Cleaned_Data!J888</f>
        <v>24</v>
      </c>
      <c r="K888" t="str">
        <f t="shared" si="40"/>
        <v>2024-03</v>
      </c>
      <c r="L888">
        <f t="shared" si="41"/>
        <v>0</v>
      </c>
    </row>
    <row r="889" spans="1:12">
      <c r="A889" t="s">
        <v>2595</v>
      </c>
      <c r="B889" t="s">
        <v>2596</v>
      </c>
      <c r="C889" t="s">
        <v>2597</v>
      </c>
      <c r="D889" t="s">
        <v>15</v>
      </c>
      <c r="E889" t="s">
        <v>54</v>
      </c>
      <c r="F889" t="s">
        <v>29</v>
      </c>
      <c r="G889" t="s">
        <v>31</v>
      </c>
      <c r="H889">
        <f>Cleaned_Data!K889</f>
        <v>2.76</v>
      </c>
      <c r="I889" t="str">
        <f t="shared" si="39"/>
        <v>YES</v>
      </c>
      <c r="J889">
        <f>Cleaned_Data!J889</f>
        <v>8</v>
      </c>
      <c r="K889" t="str">
        <f t="shared" si="40"/>
        <v>2024-07</v>
      </c>
      <c r="L889">
        <f t="shared" si="41"/>
        <v>0</v>
      </c>
    </row>
    <row r="890" spans="1:12">
      <c r="A890" t="s">
        <v>2598</v>
      </c>
      <c r="B890" t="s">
        <v>2599</v>
      </c>
      <c r="C890" t="s">
        <v>2600</v>
      </c>
      <c r="D890" t="s">
        <v>23</v>
      </c>
      <c r="E890" t="s">
        <v>28</v>
      </c>
      <c r="F890" t="s">
        <v>60</v>
      </c>
      <c r="G890" t="s">
        <v>19</v>
      </c>
      <c r="H890">
        <f>Cleaned_Data!K890</f>
        <v>19.59</v>
      </c>
      <c r="I890" t="str">
        <f t="shared" si="39"/>
        <v>YES</v>
      </c>
      <c r="J890">
        <f>Cleaned_Data!J890</f>
        <v>24</v>
      </c>
      <c r="K890" t="str">
        <f t="shared" si="40"/>
        <v>2024-05</v>
      </c>
      <c r="L890">
        <f t="shared" si="41"/>
        <v>0</v>
      </c>
    </row>
    <row r="891" spans="1:12">
      <c r="A891" t="s">
        <v>2601</v>
      </c>
      <c r="B891" t="s">
        <v>2602</v>
      </c>
      <c r="C891" t="s">
        <v>2603</v>
      </c>
      <c r="D891" t="s">
        <v>35</v>
      </c>
      <c r="E891" t="s">
        <v>16</v>
      </c>
      <c r="F891" t="s">
        <v>41</v>
      </c>
      <c r="G891" t="s">
        <v>31</v>
      </c>
      <c r="H891">
        <f>Cleaned_Data!K891</f>
        <v>34.770000000000003</v>
      </c>
      <c r="I891" t="str">
        <f t="shared" si="39"/>
        <v>YES</v>
      </c>
      <c r="J891">
        <f>Cleaned_Data!J891</f>
        <v>48</v>
      </c>
      <c r="K891" t="str">
        <f t="shared" si="40"/>
        <v>2024-02</v>
      </c>
      <c r="L891">
        <f t="shared" si="41"/>
        <v>0</v>
      </c>
    </row>
    <row r="892" spans="1:12">
      <c r="A892" t="s">
        <v>2604</v>
      </c>
      <c r="B892" t="s">
        <v>2605</v>
      </c>
      <c r="C892" t="s">
        <v>2606</v>
      </c>
      <c r="D892" t="s">
        <v>35</v>
      </c>
      <c r="E892" t="s">
        <v>24</v>
      </c>
      <c r="F892" t="s">
        <v>17</v>
      </c>
      <c r="G892" t="s">
        <v>31</v>
      </c>
      <c r="H892">
        <f>Cleaned_Data!K892</f>
        <v>24.5</v>
      </c>
      <c r="I892" t="str">
        <f t="shared" si="39"/>
        <v>YES</v>
      </c>
      <c r="J892">
        <f>Cleaned_Data!J892</f>
        <v>48</v>
      </c>
      <c r="K892" t="str">
        <f t="shared" si="40"/>
        <v>2024-11</v>
      </c>
      <c r="L892">
        <f t="shared" si="41"/>
        <v>0</v>
      </c>
    </row>
    <row r="893" spans="1:12">
      <c r="A893" t="s">
        <v>2607</v>
      </c>
      <c r="B893" t="s">
        <v>2608</v>
      </c>
      <c r="C893" t="s">
        <v>2609</v>
      </c>
      <c r="D893" t="s">
        <v>23</v>
      </c>
      <c r="E893" t="s">
        <v>24</v>
      </c>
      <c r="F893" t="s">
        <v>41</v>
      </c>
      <c r="G893" t="s">
        <v>19</v>
      </c>
      <c r="H893">
        <f>Cleaned_Data!K893</f>
        <v>3.36</v>
      </c>
      <c r="I893" t="str">
        <f t="shared" si="39"/>
        <v>YES</v>
      </c>
      <c r="J893">
        <f>Cleaned_Data!J893</f>
        <v>24</v>
      </c>
      <c r="K893" t="str">
        <f t="shared" si="40"/>
        <v>2024-03</v>
      </c>
      <c r="L893">
        <f t="shared" si="41"/>
        <v>0</v>
      </c>
    </row>
    <row r="894" spans="1:12">
      <c r="A894" t="s">
        <v>2610</v>
      </c>
      <c r="B894" t="s">
        <v>2611</v>
      </c>
      <c r="C894" t="s">
        <v>2612</v>
      </c>
      <c r="D894" t="s">
        <v>15</v>
      </c>
      <c r="E894" t="s">
        <v>54</v>
      </c>
      <c r="F894" t="s">
        <v>17</v>
      </c>
      <c r="G894" t="s">
        <v>19</v>
      </c>
      <c r="H894">
        <f>Cleaned_Data!K894</f>
        <v>3.73</v>
      </c>
      <c r="I894" t="str">
        <f t="shared" si="39"/>
        <v>YES</v>
      </c>
      <c r="J894">
        <f>Cleaned_Data!J894</f>
        <v>8</v>
      </c>
      <c r="K894" t="str">
        <f t="shared" si="40"/>
        <v>2024-12</v>
      </c>
      <c r="L894">
        <f t="shared" si="41"/>
        <v>0</v>
      </c>
    </row>
    <row r="895" spans="1:12">
      <c r="A895" t="s">
        <v>2613</v>
      </c>
      <c r="B895" t="s">
        <v>2614</v>
      </c>
      <c r="C895" t="s">
        <v>2615</v>
      </c>
      <c r="D895" t="s">
        <v>23</v>
      </c>
      <c r="E895" t="s">
        <v>28</v>
      </c>
      <c r="F895" t="s">
        <v>29</v>
      </c>
      <c r="G895" t="s">
        <v>31</v>
      </c>
      <c r="H895">
        <f>Cleaned_Data!K895</f>
        <v>13.76</v>
      </c>
      <c r="I895" t="str">
        <f t="shared" si="39"/>
        <v>YES</v>
      </c>
      <c r="J895">
        <f>Cleaned_Data!J895</f>
        <v>24</v>
      </c>
      <c r="K895" t="str">
        <f t="shared" si="40"/>
        <v>2024-02</v>
      </c>
      <c r="L895">
        <f t="shared" si="41"/>
        <v>0</v>
      </c>
    </row>
    <row r="896" spans="1:12">
      <c r="A896" t="s">
        <v>2616</v>
      </c>
      <c r="B896" t="s">
        <v>2617</v>
      </c>
      <c r="C896" t="s">
        <v>2618</v>
      </c>
      <c r="D896" t="s">
        <v>23</v>
      </c>
      <c r="E896" t="s">
        <v>28</v>
      </c>
      <c r="F896" t="s">
        <v>36</v>
      </c>
      <c r="G896" t="s">
        <v>19</v>
      </c>
      <c r="H896">
        <f>Cleaned_Data!K896</f>
        <v>62.59</v>
      </c>
      <c r="I896" t="str">
        <f t="shared" si="39"/>
        <v>NO</v>
      </c>
      <c r="J896">
        <f>Cleaned_Data!J896</f>
        <v>24</v>
      </c>
      <c r="K896" t="str">
        <f t="shared" si="40"/>
        <v>2024-11</v>
      </c>
      <c r="L896">
        <f t="shared" si="41"/>
        <v>38.590000000000003</v>
      </c>
    </row>
    <row r="897" spans="1:12">
      <c r="A897" t="s">
        <v>2619</v>
      </c>
      <c r="B897" t="s">
        <v>2620</v>
      </c>
      <c r="C897" t="s">
        <v>2621</v>
      </c>
      <c r="D897" t="s">
        <v>15</v>
      </c>
      <c r="E897" t="s">
        <v>24</v>
      </c>
      <c r="F897" t="s">
        <v>60</v>
      </c>
      <c r="G897" t="s">
        <v>31</v>
      </c>
      <c r="H897">
        <f>Cleaned_Data!K897</f>
        <v>896</v>
      </c>
      <c r="I897" t="str">
        <f t="shared" si="39"/>
        <v>NO</v>
      </c>
      <c r="J897">
        <f>Cleaned_Data!J897</f>
        <v>8</v>
      </c>
      <c r="K897" t="str">
        <f t="shared" si="40"/>
        <v>2024-10</v>
      </c>
      <c r="L897">
        <f t="shared" si="41"/>
        <v>888</v>
      </c>
    </row>
    <row r="898" spans="1:12">
      <c r="A898" t="s">
        <v>2622</v>
      </c>
      <c r="B898" t="s">
        <v>2623</v>
      </c>
      <c r="C898" t="s">
        <v>2624</v>
      </c>
      <c r="D898" t="s">
        <v>15</v>
      </c>
      <c r="E898" t="s">
        <v>24</v>
      </c>
      <c r="F898" t="s">
        <v>17</v>
      </c>
      <c r="G898" t="s">
        <v>19</v>
      </c>
      <c r="H898">
        <f>Cleaned_Data!K898</f>
        <v>3.8</v>
      </c>
      <c r="I898" t="str">
        <f t="shared" ref="I898:I961" si="42">IF(OR(G898="Resolved", G898="Closed"), IF(AND(H898&lt;&gt;"", H898&lt;=J898), "YES", "NO"), "")</f>
        <v>YES</v>
      </c>
      <c r="J898">
        <f>Cleaned_Data!J898</f>
        <v>8</v>
      </c>
      <c r="K898" t="str">
        <f t="shared" ref="K898:K961" si="43">LEFT(B898, 7)</f>
        <v>2024-02</v>
      </c>
      <c r="L898">
        <f t="shared" ref="L898:L961" si="44">IF(I898="NO", H898-J898, 0)</f>
        <v>0</v>
      </c>
    </row>
    <row r="899" spans="1:12">
      <c r="A899" t="s">
        <v>2625</v>
      </c>
      <c r="B899" t="s">
        <v>2626</v>
      </c>
      <c r="C899" t="s">
        <v>2627</v>
      </c>
      <c r="D899" t="s">
        <v>35</v>
      </c>
      <c r="E899" t="s">
        <v>24</v>
      </c>
      <c r="F899" t="s">
        <v>29</v>
      </c>
      <c r="G899" t="s">
        <v>31</v>
      </c>
      <c r="H899">
        <f>Cleaned_Data!K899</f>
        <v>13.04</v>
      </c>
      <c r="I899" t="str">
        <f t="shared" si="42"/>
        <v>YES</v>
      </c>
      <c r="J899">
        <f>Cleaned_Data!J899</f>
        <v>48</v>
      </c>
      <c r="K899" t="str">
        <f t="shared" si="43"/>
        <v>2024-10</v>
      </c>
      <c r="L899">
        <f t="shared" si="44"/>
        <v>0</v>
      </c>
    </row>
    <row r="900" spans="1:12">
      <c r="A900" t="s">
        <v>2628</v>
      </c>
      <c r="B900" t="s">
        <v>2629</v>
      </c>
      <c r="C900" t="s">
        <v>2630</v>
      </c>
      <c r="D900" t="s">
        <v>23</v>
      </c>
      <c r="E900" t="s">
        <v>28</v>
      </c>
      <c r="F900" t="s">
        <v>41</v>
      </c>
      <c r="G900" t="s">
        <v>19</v>
      </c>
      <c r="H900">
        <f>Cleaned_Data!K900</f>
        <v>7.83</v>
      </c>
      <c r="I900" t="str">
        <f t="shared" si="42"/>
        <v>YES</v>
      </c>
      <c r="J900">
        <f>Cleaned_Data!J900</f>
        <v>24</v>
      </c>
      <c r="K900" t="str">
        <f t="shared" si="43"/>
        <v>2024-10</v>
      </c>
      <c r="L900">
        <f t="shared" si="44"/>
        <v>0</v>
      </c>
    </row>
    <row r="901" spans="1:12">
      <c r="A901" t="s">
        <v>2631</v>
      </c>
      <c r="B901" t="s">
        <v>2632</v>
      </c>
      <c r="C901" t="s">
        <v>2633</v>
      </c>
      <c r="D901" t="s">
        <v>23</v>
      </c>
      <c r="E901" t="s">
        <v>54</v>
      </c>
      <c r="F901" t="s">
        <v>17</v>
      </c>
      <c r="G901" t="s">
        <v>19</v>
      </c>
      <c r="H901">
        <f>Cleaned_Data!K901</f>
        <v>18.760000000000002</v>
      </c>
      <c r="I901" t="str">
        <f t="shared" si="42"/>
        <v>YES</v>
      </c>
      <c r="J901">
        <f>Cleaned_Data!J901</f>
        <v>24</v>
      </c>
      <c r="K901" t="str">
        <f t="shared" si="43"/>
        <v>2024-06</v>
      </c>
      <c r="L901">
        <f t="shared" si="44"/>
        <v>0</v>
      </c>
    </row>
    <row r="902" spans="1:12">
      <c r="A902" t="s">
        <v>2634</v>
      </c>
      <c r="B902" t="s">
        <v>2635</v>
      </c>
      <c r="C902" t="s">
        <v>2636</v>
      </c>
      <c r="D902" t="s">
        <v>35</v>
      </c>
      <c r="E902" t="s">
        <v>59</v>
      </c>
      <c r="F902" t="s">
        <v>60</v>
      </c>
      <c r="G902" t="s">
        <v>19</v>
      </c>
      <c r="H902">
        <f>Cleaned_Data!K902</f>
        <v>10.74</v>
      </c>
      <c r="I902" t="str">
        <f t="shared" si="42"/>
        <v>YES</v>
      </c>
      <c r="J902">
        <f>Cleaned_Data!J902</f>
        <v>48</v>
      </c>
      <c r="K902" t="str">
        <f t="shared" si="43"/>
        <v>2024-06</v>
      </c>
      <c r="L902">
        <f t="shared" si="44"/>
        <v>0</v>
      </c>
    </row>
    <row r="903" spans="1:12">
      <c r="A903" t="s">
        <v>2637</v>
      </c>
      <c r="B903" t="s">
        <v>2638</v>
      </c>
      <c r="C903" t="s">
        <v>2639</v>
      </c>
      <c r="D903" t="s">
        <v>23</v>
      </c>
      <c r="E903" t="s">
        <v>24</v>
      </c>
      <c r="F903" t="s">
        <v>29</v>
      </c>
      <c r="G903" t="s">
        <v>19</v>
      </c>
      <c r="H903">
        <f>Cleaned_Data!K903</f>
        <v>11.26</v>
      </c>
      <c r="I903" t="str">
        <f t="shared" si="42"/>
        <v>YES</v>
      </c>
      <c r="J903">
        <f>Cleaned_Data!J903</f>
        <v>24</v>
      </c>
      <c r="K903" t="str">
        <f t="shared" si="43"/>
        <v>2024-11</v>
      </c>
      <c r="L903">
        <f t="shared" si="44"/>
        <v>0</v>
      </c>
    </row>
    <row r="904" spans="1:12">
      <c r="A904" t="s">
        <v>2640</v>
      </c>
      <c r="B904" t="s">
        <v>2641</v>
      </c>
      <c r="D904" t="s">
        <v>23</v>
      </c>
      <c r="E904" t="s">
        <v>54</v>
      </c>
      <c r="F904" t="s">
        <v>60</v>
      </c>
      <c r="G904" t="s">
        <v>46</v>
      </c>
      <c r="H904">
        <f>Cleaned_Data!K904</f>
        <v>0</v>
      </c>
      <c r="I904" t="str">
        <f t="shared" si="42"/>
        <v/>
      </c>
      <c r="J904">
        <f>Cleaned_Data!J904</f>
        <v>24</v>
      </c>
      <c r="K904" t="str">
        <f t="shared" si="43"/>
        <v>2024-01</v>
      </c>
      <c r="L904">
        <f t="shared" si="44"/>
        <v>0</v>
      </c>
    </row>
    <row r="905" spans="1:12">
      <c r="A905" t="s">
        <v>2642</v>
      </c>
      <c r="B905" t="s">
        <v>2643</v>
      </c>
      <c r="C905" t="s">
        <v>2644</v>
      </c>
      <c r="D905" t="s">
        <v>23</v>
      </c>
      <c r="E905" t="s">
        <v>16</v>
      </c>
      <c r="F905" t="s">
        <v>29</v>
      </c>
      <c r="G905" t="s">
        <v>19</v>
      </c>
      <c r="H905">
        <f>Cleaned_Data!K905</f>
        <v>13.69</v>
      </c>
      <c r="I905" t="str">
        <f t="shared" si="42"/>
        <v>YES</v>
      </c>
      <c r="J905">
        <f>Cleaned_Data!J905</f>
        <v>24</v>
      </c>
      <c r="K905" t="str">
        <f t="shared" si="43"/>
        <v>2024-10</v>
      </c>
      <c r="L905">
        <f t="shared" si="44"/>
        <v>0</v>
      </c>
    </row>
    <row r="906" spans="1:12">
      <c r="A906" t="s">
        <v>2645</v>
      </c>
      <c r="B906" t="s">
        <v>2646</v>
      </c>
      <c r="C906" t="s">
        <v>2647</v>
      </c>
      <c r="D906" t="s">
        <v>15</v>
      </c>
      <c r="E906" t="s">
        <v>28</v>
      </c>
      <c r="F906" t="s">
        <v>29</v>
      </c>
      <c r="G906" t="s">
        <v>31</v>
      </c>
      <c r="H906">
        <f>Cleaned_Data!K906</f>
        <v>3.55</v>
      </c>
      <c r="I906" t="str">
        <f t="shared" si="42"/>
        <v>YES</v>
      </c>
      <c r="J906">
        <f>Cleaned_Data!J906</f>
        <v>8</v>
      </c>
      <c r="K906" t="str">
        <f t="shared" si="43"/>
        <v>2024-10</v>
      </c>
      <c r="L906">
        <f t="shared" si="44"/>
        <v>0</v>
      </c>
    </row>
    <row r="907" spans="1:12">
      <c r="A907" t="s">
        <v>2648</v>
      </c>
      <c r="B907" t="s">
        <v>2649</v>
      </c>
      <c r="C907" t="s">
        <v>2650</v>
      </c>
      <c r="D907" t="s">
        <v>23</v>
      </c>
      <c r="E907" t="s">
        <v>16</v>
      </c>
      <c r="F907" t="s">
        <v>41</v>
      </c>
      <c r="G907" t="s">
        <v>19</v>
      </c>
      <c r="H907">
        <f>Cleaned_Data!K907</f>
        <v>15.63</v>
      </c>
      <c r="I907" t="str">
        <f t="shared" si="42"/>
        <v>YES</v>
      </c>
      <c r="J907">
        <f>Cleaned_Data!J907</f>
        <v>24</v>
      </c>
      <c r="K907" t="str">
        <f t="shared" si="43"/>
        <v>2024-12</v>
      </c>
      <c r="L907">
        <f t="shared" si="44"/>
        <v>0</v>
      </c>
    </row>
    <row r="908" spans="1:12">
      <c r="A908" t="s">
        <v>2651</v>
      </c>
      <c r="B908" t="s">
        <v>2652</v>
      </c>
      <c r="C908" t="s">
        <v>2653</v>
      </c>
      <c r="D908" t="s">
        <v>15</v>
      </c>
      <c r="E908" t="s">
        <v>24</v>
      </c>
      <c r="F908" t="s">
        <v>29</v>
      </c>
      <c r="G908" t="s">
        <v>31</v>
      </c>
      <c r="H908">
        <f>Cleaned_Data!K908</f>
        <v>1.66</v>
      </c>
      <c r="I908" t="str">
        <f t="shared" si="42"/>
        <v>YES</v>
      </c>
      <c r="J908">
        <f>Cleaned_Data!J908</f>
        <v>8</v>
      </c>
      <c r="K908" t="str">
        <f t="shared" si="43"/>
        <v>2024-12</v>
      </c>
      <c r="L908">
        <f t="shared" si="44"/>
        <v>0</v>
      </c>
    </row>
    <row r="909" spans="1:12">
      <c r="A909" t="s">
        <v>2654</v>
      </c>
      <c r="B909" t="s">
        <v>2655</v>
      </c>
      <c r="C909" t="s">
        <v>2656</v>
      </c>
      <c r="D909" t="s">
        <v>15</v>
      </c>
      <c r="E909" t="s">
        <v>28</v>
      </c>
      <c r="F909" t="s">
        <v>29</v>
      </c>
      <c r="G909" t="s">
        <v>19</v>
      </c>
      <c r="H909">
        <f>Cleaned_Data!K909</f>
        <v>0.96</v>
      </c>
      <c r="I909" t="str">
        <f t="shared" si="42"/>
        <v>YES</v>
      </c>
      <c r="J909">
        <f>Cleaned_Data!J909</f>
        <v>8</v>
      </c>
      <c r="K909" t="str">
        <f t="shared" si="43"/>
        <v>2024-04</v>
      </c>
      <c r="L909">
        <f t="shared" si="44"/>
        <v>0</v>
      </c>
    </row>
    <row r="910" spans="1:12">
      <c r="A910" t="s">
        <v>2657</v>
      </c>
      <c r="B910" t="s">
        <v>2658</v>
      </c>
      <c r="D910" t="s">
        <v>23</v>
      </c>
      <c r="E910" t="s">
        <v>28</v>
      </c>
      <c r="F910" t="s">
        <v>29</v>
      </c>
      <c r="G910" t="s">
        <v>63</v>
      </c>
      <c r="H910">
        <f>Cleaned_Data!K910</f>
        <v>0</v>
      </c>
      <c r="I910" t="str">
        <f t="shared" si="42"/>
        <v/>
      </c>
      <c r="J910">
        <f>Cleaned_Data!J910</f>
        <v>24</v>
      </c>
      <c r="K910" t="str">
        <f t="shared" si="43"/>
        <v>2024-07</v>
      </c>
      <c r="L910">
        <f t="shared" si="44"/>
        <v>0</v>
      </c>
    </row>
    <row r="911" spans="1:12">
      <c r="A911" t="s">
        <v>2659</v>
      </c>
      <c r="B911" t="s">
        <v>2660</v>
      </c>
      <c r="D911" t="s">
        <v>23</v>
      </c>
      <c r="E911" t="s">
        <v>28</v>
      </c>
      <c r="F911" t="s">
        <v>36</v>
      </c>
      <c r="G911" t="s">
        <v>63</v>
      </c>
      <c r="H911">
        <f>Cleaned_Data!K911</f>
        <v>0</v>
      </c>
      <c r="I911" t="str">
        <f t="shared" si="42"/>
        <v/>
      </c>
      <c r="J911">
        <f>Cleaned_Data!J911</f>
        <v>24</v>
      </c>
      <c r="K911" t="str">
        <f t="shared" si="43"/>
        <v>2024-04</v>
      </c>
      <c r="L911">
        <f t="shared" si="44"/>
        <v>0</v>
      </c>
    </row>
    <row r="912" spans="1:12">
      <c r="A912" t="s">
        <v>2661</v>
      </c>
      <c r="B912" t="s">
        <v>2662</v>
      </c>
      <c r="D912" t="s">
        <v>15</v>
      </c>
      <c r="E912" t="s">
        <v>16</v>
      </c>
      <c r="F912" t="s">
        <v>41</v>
      </c>
      <c r="G912" t="s">
        <v>46</v>
      </c>
      <c r="H912">
        <f>Cleaned_Data!K912</f>
        <v>0</v>
      </c>
      <c r="I912" t="str">
        <f t="shared" si="42"/>
        <v/>
      </c>
      <c r="J912">
        <f>Cleaned_Data!J912</f>
        <v>8</v>
      </c>
      <c r="K912" t="str">
        <f t="shared" si="43"/>
        <v>2024-06</v>
      </c>
      <c r="L912">
        <f t="shared" si="44"/>
        <v>0</v>
      </c>
    </row>
    <row r="913" spans="1:12">
      <c r="A913" t="s">
        <v>2663</v>
      </c>
      <c r="B913" t="s">
        <v>2664</v>
      </c>
      <c r="C913" t="s">
        <v>2665</v>
      </c>
      <c r="D913" t="s">
        <v>23</v>
      </c>
      <c r="E913" t="s">
        <v>28</v>
      </c>
      <c r="F913" t="s">
        <v>60</v>
      </c>
      <c r="G913" t="s">
        <v>19</v>
      </c>
      <c r="H913">
        <f>Cleaned_Data!K913</f>
        <v>16</v>
      </c>
      <c r="I913" t="str">
        <f t="shared" si="42"/>
        <v>YES</v>
      </c>
      <c r="J913">
        <f>Cleaned_Data!J913</f>
        <v>24</v>
      </c>
      <c r="K913" t="str">
        <f t="shared" si="43"/>
        <v>2024-11</v>
      </c>
      <c r="L913">
        <f t="shared" si="44"/>
        <v>0</v>
      </c>
    </row>
    <row r="914" spans="1:12">
      <c r="A914" t="s">
        <v>2666</v>
      </c>
      <c r="B914" t="s">
        <v>2667</v>
      </c>
      <c r="C914" t="s">
        <v>2668</v>
      </c>
      <c r="D914" t="s">
        <v>23</v>
      </c>
      <c r="E914" t="s">
        <v>16</v>
      </c>
      <c r="F914" t="s">
        <v>60</v>
      </c>
      <c r="G914" t="s">
        <v>19</v>
      </c>
      <c r="H914">
        <f>Cleaned_Data!K914</f>
        <v>14.28</v>
      </c>
      <c r="I914" t="str">
        <f t="shared" si="42"/>
        <v>YES</v>
      </c>
      <c r="J914">
        <f>Cleaned_Data!J914</f>
        <v>24</v>
      </c>
      <c r="K914" t="str">
        <f t="shared" si="43"/>
        <v>2024-08</v>
      </c>
      <c r="L914">
        <f t="shared" si="44"/>
        <v>0</v>
      </c>
    </row>
    <row r="915" spans="1:12">
      <c r="A915" t="s">
        <v>2669</v>
      </c>
      <c r="B915" t="s">
        <v>2670</v>
      </c>
      <c r="C915" t="s">
        <v>2671</v>
      </c>
      <c r="D915" t="s">
        <v>23</v>
      </c>
      <c r="E915" t="s">
        <v>24</v>
      </c>
      <c r="F915" t="s">
        <v>41</v>
      </c>
      <c r="G915" t="s">
        <v>19</v>
      </c>
      <c r="H915">
        <f>Cleaned_Data!K915</f>
        <v>20.53</v>
      </c>
      <c r="I915" t="str">
        <f t="shared" si="42"/>
        <v>YES</v>
      </c>
      <c r="J915">
        <f>Cleaned_Data!J915</f>
        <v>24</v>
      </c>
      <c r="K915" t="str">
        <f t="shared" si="43"/>
        <v>2024-05</v>
      </c>
      <c r="L915">
        <f t="shared" si="44"/>
        <v>0</v>
      </c>
    </row>
    <row r="916" spans="1:12">
      <c r="A916" t="s">
        <v>2672</v>
      </c>
      <c r="B916" t="s">
        <v>2673</v>
      </c>
      <c r="C916" t="s">
        <v>2674</v>
      </c>
      <c r="D916" t="s">
        <v>158</v>
      </c>
      <c r="E916" t="s">
        <v>54</v>
      </c>
      <c r="F916" t="s">
        <v>41</v>
      </c>
      <c r="G916" t="s">
        <v>31</v>
      </c>
      <c r="H916">
        <f>Cleaned_Data!K916</f>
        <v>3.36</v>
      </c>
      <c r="I916" t="str">
        <f t="shared" si="42"/>
        <v>YES</v>
      </c>
      <c r="J916">
        <f>Cleaned_Data!J916</f>
        <v>4</v>
      </c>
      <c r="K916" t="str">
        <f t="shared" si="43"/>
        <v>2024-06</v>
      </c>
      <c r="L916">
        <f t="shared" si="44"/>
        <v>0</v>
      </c>
    </row>
    <row r="917" spans="1:12">
      <c r="A917" t="s">
        <v>2675</v>
      </c>
      <c r="B917" t="s">
        <v>2676</v>
      </c>
      <c r="D917" t="s">
        <v>23</v>
      </c>
      <c r="E917" t="s">
        <v>54</v>
      </c>
      <c r="F917" t="s">
        <v>41</v>
      </c>
      <c r="G917" t="s">
        <v>46</v>
      </c>
      <c r="H917">
        <f>Cleaned_Data!K917</f>
        <v>0</v>
      </c>
      <c r="I917" t="str">
        <f t="shared" si="42"/>
        <v/>
      </c>
      <c r="J917">
        <f>Cleaned_Data!J917</f>
        <v>24</v>
      </c>
      <c r="K917" t="str">
        <f t="shared" si="43"/>
        <v>2024-09</v>
      </c>
      <c r="L917">
        <f t="shared" si="44"/>
        <v>0</v>
      </c>
    </row>
    <row r="918" spans="1:12">
      <c r="A918" t="s">
        <v>2677</v>
      </c>
      <c r="B918" t="s">
        <v>2678</v>
      </c>
      <c r="C918" t="s">
        <v>2679</v>
      </c>
      <c r="D918" t="s">
        <v>15</v>
      </c>
      <c r="E918" t="s">
        <v>28</v>
      </c>
      <c r="F918" t="s">
        <v>41</v>
      </c>
      <c r="G918" t="s">
        <v>19</v>
      </c>
      <c r="H918">
        <f>Cleaned_Data!K918</f>
        <v>16.41</v>
      </c>
      <c r="I918" t="str">
        <f t="shared" si="42"/>
        <v>NO</v>
      </c>
      <c r="J918">
        <f>Cleaned_Data!J918</f>
        <v>8</v>
      </c>
      <c r="K918" t="str">
        <f t="shared" si="43"/>
        <v>2024-11</v>
      </c>
      <c r="L918">
        <f t="shared" si="44"/>
        <v>8.41</v>
      </c>
    </row>
    <row r="919" spans="1:12">
      <c r="A919" t="s">
        <v>2680</v>
      </c>
      <c r="B919" t="s">
        <v>2681</v>
      </c>
      <c r="C919" t="s">
        <v>2682</v>
      </c>
      <c r="D919" t="s">
        <v>15</v>
      </c>
      <c r="E919" t="s">
        <v>28</v>
      </c>
      <c r="F919" t="s">
        <v>17</v>
      </c>
      <c r="G919" t="s">
        <v>19</v>
      </c>
      <c r="H919">
        <f>Cleaned_Data!K919</f>
        <v>17.78</v>
      </c>
      <c r="I919" t="str">
        <f t="shared" si="42"/>
        <v>NO</v>
      </c>
      <c r="J919">
        <f>Cleaned_Data!J919</f>
        <v>8</v>
      </c>
      <c r="K919" t="str">
        <f t="shared" si="43"/>
        <v>2024-09</v>
      </c>
      <c r="L919">
        <f t="shared" si="44"/>
        <v>9.7800000000000011</v>
      </c>
    </row>
    <row r="920" spans="1:12">
      <c r="A920" t="s">
        <v>2683</v>
      </c>
      <c r="B920" t="s">
        <v>2684</v>
      </c>
      <c r="C920" t="s">
        <v>2685</v>
      </c>
      <c r="D920" t="s">
        <v>23</v>
      </c>
      <c r="E920" t="s">
        <v>28</v>
      </c>
      <c r="F920" t="s">
        <v>60</v>
      </c>
      <c r="G920" t="s">
        <v>19</v>
      </c>
      <c r="H920">
        <f>Cleaned_Data!K920</f>
        <v>10.039999999999999</v>
      </c>
      <c r="I920" t="str">
        <f t="shared" si="42"/>
        <v>YES</v>
      </c>
      <c r="J920">
        <f>Cleaned_Data!J920</f>
        <v>24</v>
      </c>
      <c r="K920" t="str">
        <f t="shared" si="43"/>
        <v>2024-02</v>
      </c>
      <c r="L920">
        <f t="shared" si="44"/>
        <v>0</v>
      </c>
    </row>
    <row r="921" spans="1:12">
      <c r="A921" t="s">
        <v>2686</v>
      </c>
      <c r="B921" t="s">
        <v>2687</v>
      </c>
      <c r="C921" t="s">
        <v>2688</v>
      </c>
      <c r="D921" t="s">
        <v>23</v>
      </c>
      <c r="E921" t="s">
        <v>24</v>
      </c>
      <c r="F921" t="s">
        <v>60</v>
      </c>
      <c r="G921" t="s">
        <v>19</v>
      </c>
      <c r="H921">
        <f>Cleaned_Data!K921</f>
        <v>66.81</v>
      </c>
      <c r="I921" t="str">
        <f t="shared" si="42"/>
        <v>NO</v>
      </c>
      <c r="J921">
        <f>Cleaned_Data!J921</f>
        <v>24</v>
      </c>
      <c r="K921" t="str">
        <f t="shared" si="43"/>
        <v>2024-01</v>
      </c>
      <c r="L921">
        <f t="shared" si="44"/>
        <v>42.81</v>
      </c>
    </row>
    <row r="922" spans="1:12">
      <c r="A922" t="s">
        <v>2689</v>
      </c>
      <c r="B922" t="s">
        <v>2690</v>
      </c>
      <c r="C922" t="s">
        <v>2691</v>
      </c>
      <c r="D922" t="s">
        <v>23</v>
      </c>
      <c r="E922" t="s">
        <v>24</v>
      </c>
      <c r="F922" t="s">
        <v>60</v>
      </c>
      <c r="G922" t="s">
        <v>19</v>
      </c>
      <c r="H922">
        <f>Cleaned_Data!K922</f>
        <v>12.22</v>
      </c>
      <c r="I922" t="str">
        <f t="shared" si="42"/>
        <v>YES</v>
      </c>
      <c r="J922">
        <f>Cleaned_Data!J922</f>
        <v>24</v>
      </c>
      <c r="K922" t="str">
        <f t="shared" si="43"/>
        <v>2024-11</v>
      </c>
      <c r="L922">
        <f t="shared" si="44"/>
        <v>0</v>
      </c>
    </row>
    <row r="923" spans="1:12">
      <c r="A923" t="s">
        <v>2692</v>
      </c>
      <c r="B923" t="s">
        <v>2693</v>
      </c>
      <c r="C923" t="s">
        <v>2694</v>
      </c>
      <c r="D923" t="s">
        <v>35</v>
      </c>
      <c r="E923" t="s">
        <v>16</v>
      </c>
      <c r="F923" t="s">
        <v>41</v>
      </c>
      <c r="G923" t="s">
        <v>31</v>
      </c>
      <c r="H923">
        <f>Cleaned_Data!K923</f>
        <v>10.45</v>
      </c>
      <c r="I923" t="str">
        <f t="shared" si="42"/>
        <v>YES</v>
      </c>
      <c r="J923">
        <f>Cleaned_Data!J923</f>
        <v>48</v>
      </c>
      <c r="K923" t="str">
        <f t="shared" si="43"/>
        <v>2024-06</v>
      </c>
      <c r="L923">
        <f t="shared" si="44"/>
        <v>0</v>
      </c>
    </row>
    <row r="924" spans="1:12">
      <c r="A924" t="s">
        <v>2695</v>
      </c>
      <c r="B924" t="s">
        <v>2696</v>
      </c>
      <c r="C924" t="s">
        <v>2697</v>
      </c>
      <c r="D924" t="s">
        <v>23</v>
      </c>
      <c r="E924" t="s">
        <v>28</v>
      </c>
      <c r="F924" t="s">
        <v>29</v>
      </c>
      <c r="G924" t="s">
        <v>31</v>
      </c>
      <c r="H924">
        <f>Cleaned_Data!K924</f>
        <v>10.76</v>
      </c>
      <c r="I924" t="str">
        <f t="shared" si="42"/>
        <v>YES</v>
      </c>
      <c r="J924">
        <f>Cleaned_Data!J924</f>
        <v>24</v>
      </c>
      <c r="K924" t="str">
        <f t="shared" si="43"/>
        <v>2024-10</v>
      </c>
      <c r="L924">
        <f t="shared" si="44"/>
        <v>0</v>
      </c>
    </row>
    <row r="925" spans="1:12">
      <c r="A925" t="s">
        <v>2698</v>
      </c>
      <c r="B925" t="s">
        <v>2699</v>
      </c>
      <c r="C925" t="s">
        <v>2700</v>
      </c>
      <c r="D925" t="s">
        <v>15</v>
      </c>
      <c r="E925" t="s">
        <v>24</v>
      </c>
      <c r="F925" t="s">
        <v>41</v>
      </c>
      <c r="G925" t="s">
        <v>19</v>
      </c>
      <c r="H925">
        <f>Cleaned_Data!K925</f>
        <v>1.93</v>
      </c>
      <c r="I925" t="str">
        <f t="shared" si="42"/>
        <v>YES</v>
      </c>
      <c r="J925">
        <f>Cleaned_Data!J925</f>
        <v>8</v>
      </c>
      <c r="K925" t="str">
        <f t="shared" si="43"/>
        <v>2024-06</v>
      </c>
      <c r="L925">
        <f t="shared" si="44"/>
        <v>0</v>
      </c>
    </row>
    <row r="926" spans="1:12">
      <c r="A926" t="s">
        <v>2701</v>
      </c>
      <c r="B926" t="s">
        <v>2702</v>
      </c>
      <c r="C926" t="s">
        <v>2703</v>
      </c>
      <c r="D926" t="s">
        <v>23</v>
      </c>
      <c r="E926" t="s">
        <v>16</v>
      </c>
      <c r="F926" t="s">
        <v>60</v>
      </c>
      <c r="G926" t="s">
        <v>19</v>
      </c>
      <c r="H926">
        <f>Cleaned_Data!K926</f>
        <v>6.33</v>
      </c>
      <c r="I926" t="str">
        <f t="shared" si="42"/>
        <v>YES</v>
      </c>
      <c r="J926">
        <f>Cleaned_Data!J926</f>
        <v>24</v>
      </c>
      <c r="K926" t="str">
        <f t="shared" si="43"/>
        <v>2024-09</v>
      </c>
      <c r="L926">
        <f t="shared" si="44"/>
        <v>0</v>
      </c>
    </row>
    <row r="927" spans="1:12">
      <c r="A927" t="s">
        <v>2704</v>
      </c>
      <c r="B927" t="s">
        <v>2705</v>
      </c>
      <c r="C927" t="s">
        <v>2706</v>
      </c>
      <c r="D927" t="s">
        <v>23</v>
      </c>
      <c r="E927" t="s">
        <v>59</v>
      </c>
      <c r="F927" t="s">
        <v>60</v>
      </c>
      <c r="G927" t="s">
        <v>31</v>
      </c>
      <c r="H927">
        <f>Cleaned_Data!K927</f>
        <v>2.78</v>
      </c>
      <c r="I927" t="str">
        <f t="shared" si="42"/>
        <v>YES</v>
      </c>
      <c r="J927">
        <f>Cleaned_Data!J927</f>
        <v>24</v>
      </c>
      <c r="K927" t="str">
        <f t="shared" si="43"/>
        <v>2024-08</v>
      </c>
      <c r="L927">
        <f t="shared" si="44"/>
        <v>0</v>
      </c>
    </row>
    <row r="928" spans="1:12">
      <c r="A928" t="s">
        <v>2707</v>
      </c>
      <c r="B928" t="s">
        <v>2708</v>
      </c>
      <c r="C928" t="s">
        <v>2709</v>
      </c>
      <c r="D928" t="s">
        <v>15</v>
      </c>
      <c r="E928" t="s">
        <v>28</v>
      </c>
      <c r="F928" t="s">
        <v>17</v>
      </c>
      <c r="G928" t="s">
        <v>31</v>
      </c>
      <c r="H928">
        <f>Cleaned_Data!K928</f>
        <v>6</v>
      </c>
      <c r="I928" t="str">
        <f t="shared" si="42"/>
        <v>YES</v>
      </c>
      <c r="J928">
        <f>Cleaned_Data!J928</f>
        <v>8</v>
      </c>
      <c r="K928" t="str">
        <f t="shared" si="43"/>
        <v>2024-07</v>
      </c>
      <c r="L928">
        <f t="shared" si="44"/>
        <v>0</v>
      </c>
    </row>
    <row r="929" spans="1:12">
      <c r="A929" t="s">
        <v>2710</v>
      </c>
      <c r="B929" t="s">
        <v>2711</v>
      </c>
      <c r="C929" t="s">
        <v>2712</v>
      </c>
      <c r="D929" t="s">
        <v>23</v>
      </c>
      <c r="E929" t="s">
        <v>28</v>
      </c>
      <c r="F929" t="s">
        <v>36</v>
      </c>
      <c r="G929" t="s">
        <v>31</v>
      </c>
      <c r="H929">
        <f>Cleaned_Data!K929</f>
        <v>11.32</v>
      </c>
      <c r="I929" t="str">
        <f t="shared" si="42"/>
        <v>YES</v>
      </c>
      <c r="J929">
        <f>Cleaned_Data!J929</f>
        <v>24</v>
      </c>
      <c r="K929" t="str">
        <f t="shared" si="43"/>
        <v>2024-07</v>
      </c>
      <c r="L929">
        <f t="shared" si="44"/>
        <v>0</v>
      </c>
    </row>
    <row r="930" spans="1:12">
      <c r="A930" t="s">
        <v>2713</v>
      </c>
      <c r="B930" t="s">
        <v>2714</v>
      </c>
      <c r="D930" t="s">
        <v>23</v>
      </c>
      <c r="E930" t="s">
        <v>28</v>
      </c>
      <c r="F930" t="s">
        <v>36</v>
      </c>
      <c r="G930" t="s">
        <v>46</v>
      </c>
      <c r="H930">
        <f>Cleaned_Data!K930</f>
        <v>0</v>
      </c>
      <c r="I930" t="str">
        <f t="shared" si="42"/>
        <v/>
      </c>
      <c r="J930">
        <f>Cleaned_Data!J930</f>
        <v>24</v>
      </c>
      <c r="K930" t="str">
        <f t="shared" si="43"/>
        <v>2024-11</v>
      </c>
      <c r="L930">
        <f t="shared" si="44"/>
        <v>0</v>
      </c>
    </row>
    <row r="931" spans="1:12">
      <c r="A931" t="s">
        <v>2715</v>
      </c>
      <c r="B931" t="s">
        <v>2716</v>
      </c>
      <c r="C931" t="s">
        <v>2717</v>
      </c>
      <c r="D931" t="s">
        <v>15</v>
      </c>
      <c r="E931" t="s">
        <v>24</v>
      </c>
      <c r="F931" t="s">
        <v>29</v>
      </c>
      <c r="G931" t="s">
        <v>19</v>
      </c>
      <c r="H931">
        <f>Cleaned_Data!K931</f>
        <v>18.989999999999998</v>
      </c>
      <c r="I931" t="str">
        <f t="shared" si="42"/>
        <v>NO</v>
      </c>
      <c r="J931">
        <f>Cleaned_Data!J931</f>
        <v>8</v>
      </c>
      <c r="K931" t="str">
        <f t="shared" si="43"/>
        <v>2024-07</v>
      </c>
      <c r="L931">
        <f t="shared" si="44"/>
        <v>10.989999999999998</v>
      </c>
    </row>
    <row r="932" spans="1:12">
      <c r="A932" t="s">
        <v>2718</v>
      </c>
      <c r="B932" t="s">
        <v>2719</v>
      </c>
      <c r="C932" t="s">
        <v>2720</v>
      </c>
      <c r="D932" t="s">
        <v>15</v>
      </c>
      <c r="E932" t="s">
        <v>16</v>
      </c>
      <c r="F932" t="s">
        <v>29</v>
      </c>
      <c r="G932" t="s">
        <v>19</v>
      </c>
      <c r="H932">
        <f>Cleaned_Data!K932</f>
        <v>6.87</v>
      </c>
      <c r="I932" t="str">
        <f t="shared" si="42"/>
        <v>YES</v>
      </c>
      <c r="J932">
        <f>Cleaned_Data!J932</f>
        <v>8</v>
      </c>
      <c r="K932" t="str">
        <f t="shared" si="43"/>
        <v>2024-05</v>
      </c>
      <c r="L932">
        <f t="shared" si="44"/>
        <v>0</v>
      </c>
    </row>
    <row r="933" spans="1:12">
      <c r="A933" t="s">
        <v>2721</v>
      </c>
      <c r="B933" t="s">
        <v>2722</v>
      </c>
      <c r="C933" t="s">
        <v>2723</v>
      </c>
      <c r="D933" t="s">
        <v>35</v>
      </c>
      <c r="E933" t="s">
        <v>28</v>
      </c>
      <c r="F933" t="s">
        <v>17</v>
      </c>
      <c r="G933" t="s">
        <v>31</v>
      </c>
      <c r="H933">
        <f>Cleaned_Data!K933</f>
        <v>35.5</v>
      </c>
      <c r="I933" t="str">
        <f t="shared" si="42"/>
        <v>YES</v>
      </c>
      <c r="J933">
        <f>Cleaned_Data!J933</f>
        <v>48</v>
      </c>
      <c r="K933" t="str">
        <f t="shared" si="43"/>
        <v>2024-11</v>
      </c>
      <c r="L933">
        <f t="shared" si="44"/>
        <v>0</v>
      </c>
    </row>
    <row r="934" spans="1:12">
      <c r="A934" t="s">
        <v>2724</v>
      </c>
      <c r="B934" t="s">
        <v>2725</v>
      </c>
      <c r="C934" t="s">
        <v>2726</v>
      </c>
      <c r="D934" t="s">
        <v>15</v>
      </c>
      <c r="E934" t="s">
        <v>28</v>
      </c>
      <c r="F934" t="s">
        <v>60</v>
      </c>
      <c r="G934" t="s">
        <v>19</v>
      </c>
      <c r="H934">
        <f>Cleaned_Data!K934</f>
        <v>5.1100000000000003</v>
      </c>
      <c r="I934" t="str">
        <f t="shared" si="42"/>
        <v>YES</v>
      </c>
      <c r="J934">
        <f>Cleaned_Data!J934</f>
        <v>8</v>
      </c>
      <c r="K934" t="str">
        <f t="shared" si="43"/>
        <v>2024-02</v>
      </c>
      <c r="L934">
        <f t="shared" si="44"/>
        <v>0</v>
      </c>
    </row>
    <row r="935" spans="1:12">
      <c r="A935" t="s">
        <v>2727</v>
      </c>
      <c r="B935" t="s">
        <v>2728</v>
      </c>
      <c r="C935" t="s">
        <v>2729</v>
      </c>
      <c r="D935" t="s">
        <v>15</v>
      </c>
      <c r="E935" t="s">
        <v>59</v>
      </c>
      <c r="F935" t="s">
        <v>36</v>
      </c>
      <c r="G935" t="s">
        <v>31</v>
      </c>
      <c r="H935">
        <f>Cleaned_Data!K935</f>
        <v>1.65</v>
      </c>
      <c r="I935" t="str">
        <f t="shared" si="42"/>
        <v>YES</v>
      </c>
      <c r="J935">
        <f>Cleaned_Data!J935</f>
        <v>8</v>
      </c>
      <c r="K935" t="str">
        <f t="shared" si="43"/>
        <v>2024-01</v>
      </c>
      <c r="L935">
        <f t="shared" si="44"/>
        <v>0</v>
      </c>
    </row>
    <row r="936" spans="1:12">
      <c r="A936" t="s">
        <v>2730</v>
      </c>
      <c r="B936" t="s">
        <v>2731</v>
      </c>
      <c r="C936" t="s">
        <v>2732</v>
      </c>
      <c r="D936" t="s">
        <v>158</v>
      </c>
      <c r="E936" t="s">
        <v>54</v>
      </c>
      <c r="F936" t="s">
        <v>17</v>
      </c>
      <c r="G936" t="s">
        <v>19</v>
      </c>
      <c r="H936">
        <f>Cleaned_Data!K936</f>
        <v>10.3</v>
      </c>
      <c r="I936" t="str">
        <f t="shared" si="42"/>
        <v>NO</v>
      </c>
      <c r="J936">
        <f>Cleaned_Data!J936</f>
        <v>4</v>
      </c>
      <c r="K936" t="str">
        <f t="shared" si="43"/>
        <v>2024-06</v>
      </c>
      <c r="L936">
        <f t="shared" si="44"/>
        <v>6.3000000000000007</v>
      </c>
    </row>
    <row r="937" spans="1:12">
      <c r="A937" t="s">
        <v>2733</v>
      </c>
      <c r="B937" t="s">
        <v>2734</v>
      </c>
      <c r="D937" t="s">
        <v>35</v>
      </c>
      <c r="E937" t="s">
        <v>54</v>
      </c>
      <c r="F937" t="s">
        <v>36</v>
      </c>
      <c r="G937" t="s">
        <v>63</v>
      </c>
      <c r="H937">
        <f>Cleaned_Data!K937</f>
        <v>0</v>
      </c>
      <c r="I937" t="str">
        <f t="shared" si="42"/>
        <v/>
      </c>
      <c r="J937">
        <f>Cleaned_Data!J937</f>
        <v>48</v>
      </c>
      <c r="K937" t="str">
        <f t="shared" si="43"/>
        <v>2024-06</v>
      </c>
      <c r="L937">
        <f t="shared" si="44"/>
        <v>0</v>
      </c>
    </row>
    <row r="938" spans="1:12">
      <c r="A938" t="s">
        <v>2735</v>
      </c>
      <c r="B938" t="s">
        <v>2736</v>
      </c>
      <c r="C938" t="s">
        <v>2737</v>
      </c>
      <c r="D938" t="s">
        <v>158</v>
      </c>
      <c r="E938" t="s">
        <v>59</v>
      </c>
      <c r="F938" t="s">
        <v>41</v>
      </c>
      <c r="G938" t="s">
        <v>31</v>
      </c>
      <c r="H938">
        <f>Cleaned_Data!K938</f>
        <v>7.16</v>
      </c>
      <c r="I938" t="str">
        <f t="shared" si="42"/>
        <v>NO</v>
      </c>
      <c r="J938">
        <f>Cleaned_Data!J938</f>
        <v>4</v>
      </c>
      <c r="K938" t="str">
        <f t="shared" si="43"/>
        <v>2024-03</v>
      </c>
      <c r="L938">
        <f t="shared" si="44"/>
        <v>3.16</v>
      </c>
    </row>
    <row r="939" spans="1:12">
      <c r="A939" t="s">
        <v>2738</v>
      </c>
      <c r="B939" t="s">
        <v>2739</v>
      </c>
      <c r="C939" t="s">
        <v>2740</v>
      </c>
      <c r="D939" t="s">
        <v>15</v>
      </c>
      <c r="E939" t="s">
        <v>16</v>
      </c>
      <c r="F939" t="s">
        <v>29</v>
      </c>
      <c r="G939" t="s">
        <v>19</v>
      </c>
      <c r="H939">
        <f>Cleaned_Data!K939</f>
        <v>1.28</v>
      </c>
      <c r="I939" t="str">
        <f t="shared" si="42"/>
        <v>YES</v>
      </c>
      <c r="J939">
        <f>Cleaned_Data!J939</f>
        <v>8</v>
      </c>
      <c r="K939" t="str">
        <f t="shared" si="43"/>
        <v>2024-09</v>
      </c>
      <c r="L939">
        <f t="shared" si="44"/>
        <v>0</v>
      </c>
    </row>
    <row r="940" spans="1:12">
      <c r="A940" t="s">
        <v>2741</v>
      </c>
      <c r="B940" t="s">
        <v>2742</v>
      </c>
      <c r="C940" t="s">
        <v>2743</v>
      </c>
      <c r="D940" t="s">
        <v>15</v>
      </c>
      <c r="E940" t="s">
        <v>24</v>
      </c>
      <c r="F940" t="s">
        <v>60</v>
      </c>
      <c r="G940" t="s">
        <v>31</v>
      </c>
      <c r="H940">
        <f>Cleaned_Data!K940</f>
        <v>4.2300000000000004</v>
      </c>
      <c r="I940" t="str">
        <f t="shared" si="42"/>
        <v>YES</v>
      </c>
      <c r="J940">
        <f>Cleaned_Data!J940</f>
        <v>8</v>
      </c>
      <c r="K940" t="str">
        <f t="shared" si="43"/>
        <v>2024-09</v>
      </c>
      <c r="L940">
        <f t="shared" si="44"/>
        <v>0</v>
      </c>
    </row>
    <row r="941" spans="1:12">
      <c r="A941" t="s">
        <v>2744</v>
      </c>
      <c r="B941" t="s">
        <v>2745</v>
      </c>
      <c r="C941" t="s">
        <v>2746</v>
      </c>
      <c r="D941" t="s">
        <v>23</v>
      </c>
      <c r="E941" t="s">
        <v>28</v>
      </c>
      <c r="F941" t="s">
        <v>29</v>
      </c>
      <c r="G941" t="s">
        <v>19</v>
      </c>
      <c r="H941">
        <f>Cleaned_Data!K941</f>
        <v>22.45</v>
      </c>
      <c r="I941" t="str">
        <f t="shared" si="42"/>
        <v>YES</v>
      </c>
      <c r="J941">
        <f>Cleaned_Data!J941</f>
        <v>24</v>
      </c>
      <c r="K941" t="str">
        <f t="shared" si="43"/>
        <v>2024-12</v>
      </c>
      <c r="L941">
        <f t="shared" si="44"/>
        <v>0</v>
      </c>
    </row>
    <row r="942" spans="1:12">
      <c r="A942" t="s">
        <v>2747</v>
      </c>
      <c r="B942" t="s">
        <v>2748</v>
      </c>
      <c r="D942" t="s">
        <v>35</v>
      </c>
      <c r="E942" t="s">
        <v>28</v>
      </c>
      <c r="F942" t="s">
        <v>17</v>
      </c>
      <c r="G942" t="s">
        <v>63</v>
      </c>
      <c r="H942">
        <f>Cleaned_Data!K942</f>
        <v>0</v>
      </c>
      <c r="I942" t="str">
        <f t="shared" si="42"/>
        <v/>
      </c>
      <c r="J942">
        <f>Cleaned_Data!J942</f>
        <v>48</v>
      </c>
      <c r="K942" t="str">
        <f t="shared" si="43"/>
        <v>2024-06</v>
      </c>
      <c r="L942">
        <f t="shared" si="44"/>
        <v>0</v>
      </c>
    </row>
    <row r="943" spans="1:12">
      <c r="A943" t="s">
        <v>2749</v>
      </c>
      <c r="B943" t="s">
        <v>2750</v>
      </c>
      <c r="C943" t="s">
        <v>2751</v>
      </c>
      <c r="D943" t="s">
        <v>23</v>
      </c>
      <c r="E943" t="s">
        <v>59</v>
      </c>
      <c r="F943" t="s">
        <v>17</v>
      </c>
      <c r="G943" t="s">
        <v>31</v>
      </c>
      <c r="H943">
        <f>Cleaned_Data!K943</f>
        <v>12.38</v>
      </c>
      <c r="I943" t="str">
        <f t="shared" si="42"/>
        <v>YES</v>
      </c>
      <c r="J943">
        <f>Cleaned_Data!J943</f>
        <v>24</v>
      </c>
      <c r="K943" t="str">
        <f t="shared" si="43"/>
        <v>2024-08</v>
      </c>
      <c r="L943">
        <f t="shared" si="44"/>
        <v>0</v>
      </c>
    </row>
    <row r="944" spans="1:12">
      <c r="A944" t="s">
        <v>2752</v>
      </c>
      <c r="B944" t="s">
        <v>2753</v>
      </c>
      <c r="C944" t="s">
        <v>2754</v>
      </c>
      <c r="D944" t="s">
        <v>23</v>
      </c>
      <c r="E944" t="s">
        <v>54</v>
      </c>
      <c r="F944" t="s">
        <v>36</v>
      </c>
      <c r="G944" t="s">
        <v>19</v>
      </c>
      <c r="H944">
        <f>Cleaned_Data!K944</f>
        <v>56.63</v>
      </c>
      <c r="I944" t="str">
        <f t="shared" si="42"/>
        <v>NO</v>
      </c>
      <c r="J944">
        <f>Cleaned_Data!J944</f>
        <v>24</v>
      </c>
      <c r="K944" t="str">
        <f t="shared" si="43"/>
        <v>2024-02</v>
      </c>
      <c r="L944">
        <f t="shared" si="44"/>
        <v>32.630000000000003</v>
      </c>
    </row>
    <row r="945" spans="1:12">
      <c r="A945" t="s">
        <v>2755</v>
      </c>
      <c r="B945" t="s">
        <v>2756</v>
      </c>
      <c r="C945" t="s">
        <v>2757</v>
      </c>
      <c r="D945" t="s">
        <v>35</v>
      </c>
      <c r="E945" t="s">
        <v>28</v>
      </c>
      <c r="F945" t="s">
        <v>60</v>
      </c>
      <c r="G945" t="s">
        <v>19</v>
      </c>
      <c r="H945">
        <f>Cleaned_Data!K945</f>
        <v>126.39</v>
      </c>
      <c r="I945" t="str">
        <f t="shared" si="42"/>
        <v>NO</v>
      </c>
      <c r="J945">
        <f>Cleaned_Data!J945</f>
        <v>48</v>
      </c>
      <c r="K945" t="str">
        <f t="shared" si="43"/>
        <v>2024-05</v>
      </c>
      <c r="L945">
        <f t="shared" si="44"/>
        <v>78.39</v>
      </c>
    </row>
    <row r="946" spans="1:12">
      <c r="A946" t="s">
        <v>2758</v>
      </c>
      <c r="B946" t="s">
        <v>2759</v>
      </c>
      <c r="C946" t="s">
        <v>2760</v>
      </c>
      <c r="D946" t="s">
        <v>23</v>
      </c>
      <c r="E946" t="s">
        <v>59</v>
      </c>
      <c r="F946" t="s">
        <v>41</v>
      </c>
      <c r="G946" t="s">
        <v>19</v>
      </c>
      <c r="H946">
        <f>Cleaned_Data!K946</f>
        <v>8.14</v>
      </c>
      <c r="I946" t="str">
        <f t="shared" si="42"/>
        <v>YES</v>
      </c>
      <c r="J946">
        <f>Cleaned_Data!J946</f>
        <v>24</v>
      </c>
      <c r="K946" t="str">
        <f t="shared" si="43"/>
        <v>2024-02</v>
      </c>
      <c r="L946">
        <f t="shared" si="44"/>
        <v>0</v>
      </c>
    </row>
    <row r="947" spans="1:12">
      <c r="A947" t="s">
        <v>2761</v>
      </c>
      <c r="B947" t="s">
        <v>2762</v>
      </c>
      <c r="C947" t="s">
        <v>2763</v>
      </c>
      <c r="D947" t="s">
        <v>15</v>
      </c>
      <c r="E947" t="s">
        <v>16</v>
      </c>
      <c r="F947" t="s">
        <v>29</v>
      </c>
      <c r="G947" t="s">
        <v>19</v>
      </c>
      <c r="H947">
        <f>Cleaned_Data!K947</f>
        <v>23.49</v>
      </c>
      <c r="I947" t="str">
        <f t="shared" si="42"/>
        <v>NO</v>
      </c>
      <c r="J947">
        <f>Cleaned_Data!J947</f>
        <v>8</v>
      </c>
      <c r="K947" t="str">
        <f t="shared" si="43"/>
        <v>2024-05</v>
      </c>
      <c r="L947">
        <f t="shared" si="44"/>
        <v>15.489999999999998</v>
      </c>
    </row>
    <row r="948" spans="1:12">
      <c r="A948" t="s">
        <v>2764</v>
      </c>
      <c r="B948" t="s">
        <v>2765</v>
      </c>
      <c r="C948" t="s">
        <v>2766</v>
      </c>
      <c r="D948" t="s">
        <v>35</v>
      </c>
      <c r="E948" t="s">
        <v>16</v>
      </c>
      <c r="F948" t="s">
        <v>17</v>
      </c>
      <c r="G948" t="s">
        <v>19</v>
      </c>
      <c r="H948">
        <f>Cleaned_Data!K948</f>
        <v>87.47</v>
      </c>
      <c r="I948" t="str">
        <f t="shared" si="42"/>
        <v>NO</v>
      </c>
      <c r="J948">
        <f>Cleaned_Data!J948</f>
        <v>48</v>
      </c>
      <c r="K948" t="str">
        <f t="shared" si="43"/>
        <v>2024-07</v>
      </c>
      <c r="L948">
        <f t="shared" si="44"/>
        <v>39.47</v>
      </c>
    </row>
    <row r="949" spans="1:12">
      <c r="A949" t="s">
        <v>2767</v>
      </c>
      <c r="B949" t="s">
        <v>2768</v>
      </c>
      <c r="C949" t="s">
        <v>2769</v>
      </c>
      <c r="D949" t="s">
        <v>23</v>
      </c>
      <c r="E949" t="s">
        <v>24</v>
      </c>
      <c r="F949" t="s">
        <v>17</v>
      </c>
      <c r="G949" t="s">
        <v>31</v>
      </c>
      <c r="H949">
        <f>Cleaned_Data!K949</f>
        <v>14.7</v>
      </c>
      <c r="I949" t="str">
        <f t="shared" si="42"/>
        <v>YES</v>
      </c>
      <c r="J949">
        <f>Cleaned_Data!J949</f>
        <v>24</v>
      </c>
      <c r="K949" t="str">
        <f t="shared" si="43"/>
        <v>2024-08</v>
      </c>
      <c r="L949">
        <f t="shared" si="44"/>
        <v>0</v>
      </c>
    </row>
    <row r="950" spans="1:12">
      <c r="A950" t="s">
        <v>2770</v>
      </c>
      <c r="B950" t="s">
        <v>2771</v>
      </c>
      <c r="C950" t="s">
        <v>2772</v>
      </c>
      <c r="D950" t="s">
        <v>15</v>
      </c>
      <c r="E950" t="s">
        <v>24</v>
      </c>
      <c r="F950" t="s">
        <v>29</v>
      </c>
      <c r="G950" t="s">
        <v>31</v>
      </c>
      <c r="H950">
        <f>Cleaned_Data!K950</f>
        <v>19.77</v>
      </c>
      <c r="I950" t="str">
        <f t="shared" si="42"/>
        <v>NO</v>
      </c>
      <c r="J950">
        <f>Cleaned_Data!J950</f>
        <v>8</v>
      </c>
      <c r="K950" t="str">
        <f t="shared" si="43"/>
        <v>2024-08</v>
      </c>
      <c r="L950">
        <f t="shared" si="44"/>
        <v>11.77</v>
      </c>
    </row>
    <row r="951" spans="1:12">
      <c r="A951" t="s">
        <v>2773</v>
      </c>
      <c r="B951" t="s">
        <v>2774</v>
      </c>
      <c r="C951" t="s">
        <v>2775</v>
      </c>
      <c r="D951" t="s">
        <v>23</v>
      </c>
      <c r="E951" t="s">
        <v>59</v>
      </c>
      <c r="F951" t="s">
        <v>60</v>
      </c>
      <c r="G951" t="s">
        <v>19</v>
      </c>
      <c r="H951">
        <f>Cleaned_Data!K951</f>
        <v>11.66</v>
      </c>
      <c r="I951" t="str">
        <f t="shared" si="42"/>
        <v>YES</v>
      </c>
      <c r="J951">
        <f>Cleaned_Data!J951</f>
        <v>24</v>
      </c>
      <c r="K951" t="str">
        <f t="shared" si="43"/>
        <v>2024-11</v>
      </c>
      <c r="L951">
        <f t="shared" si="44"/>
        <v>0</v>
      </c>
    </row>
    <row r="952" spans="1:12">
      <c r="A952" t="s">
        <v>2776</v>
      </c>
      <c r="B952" t="s">
        <v>2777</v>
      </c>
      <c r="C952" t="s">
        <v>2778</v>
      </c>
      <c r="D952" t="s">
        <v>23</v>
      </c>
      <c r="E952" t="s">
        <v>54</v>
      </c>
      <c r="F952" t="s">
        <v>29</v>
      </c>
      <c r="G952" t="s">
        <v>31</v>
      </c>
      <c r="H952">
        <f>Cleaned_Data!K952</f>
        <v>4.88</v>
      </c>
      <c r="I952" t="str">
        <f t="shared" si="42"/>
        <v>YES</v>
      </c>
      <c r="J952">
        <f>Cleaned_Data!J952</f>
        <v>24</v>
      </c>
      <c r="K952" t="str">
        <f t="shared" si="43"/>
        <v>2024-09</v>
      </c>
      <c r="L952">
        <f t="shared" si="44"/>
        <v>0</v>
      </c>
    </row>
    <row r="953" spans="1:12">
      <c r="A953" t="s">
        <v>2779</v>
      </c>
      <c r="B953" t="s">
        <v>2780</v>
      </c>
      <c r="C953" t="s">
        <v>2781</v>
      </c>
      <c r="D953" t="s">
        <v>23</v>
      </c>
      <c r="E953" t="s">
        <v>16</v>
      </c>
      <c r="F953" t="s">
        <v>17</v>
      </c>
      <c r="G953" t="s">
        <v>19</v>
      </c>
      <c r="H953">
        <f>Cleaned_Data!K953</f>
        <v>11.56</v>
      </c>
      <c r="I953" t="str">
        <f t="shared" si="42"/>
        <v>YES</v>
      </c>
      <c r="J953">
        <f>Cleaned_Data!J953</f>
        <v>24</v>
      </c>
      <c r="K953" t="str">
        <f t="shared" si="43"/>
        <v>2024-07</v>
      </c>
      <c r="L953">
        <f t="shared" si="44"/>
        <v>0</v>
      </c>
    </row>
    <row r="954" spans="1:12">
      <c r="A954" t="s">
        <v>2782</v>
      </c>
      <c r="B954" t="s">
        <v>2783</v>
      </c>
      <c r="C954" t="s">
        <v>2784</v>
      </c>
      <c r="D954" t="s">
        <v>15</v>
      </c>
      <c r="E954" t="s">
        <v>16</v>
      </c>
      <c r="F954" t="s">
        <v>36</v>
      </c>
      <c r="G954" t="s">
        <v>19</v>
      </c>
      <c r="H954">
        <f>Cleaned_Data!K954</f>
        <v>7.31</v>
      </c>
      <c r="I954" t="str">
        <f t="shared" si="42"/>
        <v>YES</v>
      </c>
      <c r="J954">
        <f>Cleaned_Data!J954</f>
        <v>8</v>
      </c>
      <c r="K954" t="str">
        <f t="shared" si="43"/>
        <v>2024-03</v>
      </c>
      <c r="L954">
        <f t="shared" si="44"/>
        <v>0</v>
      </c>
    </row>
    <row r="955" spans="1:12">
      <c r="A955" t="s">
        <v>2785</v>
      </c>
      <c r="B955" t="s">
        <v>2786</v>
      </c>
      <c r="C955" t="s">
        <v>2787</v>
      </c>
      <c r="D955" t="s">
        <v>15</v>
      </c>
      <c r="E955" t="s">
        <v>28</v>
      </c>
      <c r="F955" t="s">
        <v>36</v>
      </c>
      <c r="G955" t="s">
        <v>19</v>
      </c>
      <c r="H955">
        <f>Cleaned_Data!K955</f>
        <v>4.83</v>
      </c>
      <c r="I955" t="str">
        <f t="shared" si="42"/>
        <v>YES</v>
      </c>
      <c r="J955">
        <f>Cleaned_Data!J955</f>
        <v>8</v>
      </c>
      <c r="K955" t="str">
        <f t="shared" si="43"/>
        <v>2024-03</v>
      </c>
      <c r="L955">
        <f t="shared" si="44"/>
        <v>0</v>
      </c>
    </row>
    <row r="956" spans="1:12">
      <c r="A956" t="s">
        <v>2788</v>
      </c>
      <c r="B956" t="s">
        <v>2789</v>
      </c>
      <c r="D956" t="s">
        <v>35</v>
      </c>
      <c r="E956" t="s">
        <v>28</v>
      </c>
      <c r="F956" t="s">
        <v>41</v>
      </c>
      <c r="G956" t="s">
        <v>63</v>
      </c>
      <c r="H956">
        <f>Cleaned_Data!K956</f>
        <v>0</v>
      </c>
      <c r="I956" t="str">
        <f t="shared" si="42"/>
        <v/>
      </c>
      <c r="J956">
        <f>Cleaned_Data!J956</f>
        <v>48</v>
      </c>
      <c r="K956" t="str">
        <f t="shared" si="43"/>
        <v>2024-05</v>
      </c>
      <c r="L956">
        <f t="shared" si="44"/>
        <v>0</v>
      </c>
    </row>
    <row r="957" spans="1:12">
      <c r="A957" t="s">
        <v>2790</v>
      </c>
      <c r="B957" t="s">
        <v>2791</v>
      </c>
      <c r="C957" t="s">
        <v>2792</v>
      </c>
      <c r="D957" t="s">
        <v>158</v>
      </c>
      <c r="E957" t="s">
        <v>28</v>
      </c>
      <c r="F957" t="s">
        <v>17</v>
      </c>
      <c r="G957" t="s">
        <v>31</v>
      </c>
      <c r="H957">
        <f>Cleaned_Data!K957</f>
        <v>3</v>
      </c>
      <c r="I957" t="str">
        <f t="shared" si="42"/>
        <v>YES</v>
      </c>
      <c r="J957">
        <f>Cleaned_Data!J957</f>
        <v>4</v>
      </c>
      <c r="K957" t="str">
        <f t="shared" si="43"/>
        <v>2024-11</v>
      </c>
      <c r="L957">
        <f t="shared" si="44"/>
        <v>0</v>
      </c>
    </row>
    <row r="958" spans="1:12">
      <c r="A958" t="s">
        <v>2793</v>
      </c>
      <c r="B958" t="s">
        <v>2794</v>
      </c>
      <c r="C958" t="s">
        <v>2795</v>
      </c>
      <c r="D958" t="s">
        <v>15</v>
      </c>
      <c r="E958" t="s">
        <v>59</v>
      </c>
      <c r="F958" t="s">
        <v>36</v>
      </c>
      <c r="G958" t="s">
        <v>19</v>
      </c>
      <c r="H958">
        <f>Cleaned_Data!K958</f>
        <v>9.41</v>
      </c>
      <c r="I958" t="str">
        <f t="shared" si="42"/>
        <v>NO</v>
      </c>
      <c r="J958">
        <f>Cleaned_Data!J958</f>
        <v>8</v>
      </c>
      <c r="K958" t="str">
        <f t="shared" si="43"/>
        <v>2024-08</v>
      </c>
      <c r="L958">
        <f t="shared" si="44"/>
        <v>1.4100000000000001</v>
      </c>
    </row>
    <row r="959" spans="1:12">
      <c r="A959" t="s">
        <v>2796</v>
      </c>
      <c r="B959" t="s">
        <v>2797</v>
      </c>
      <c r="C959" t="s">
        <v>2798</v>
      </c>
      <c r="D959" t="s">
        <v>35</v>
      </c>
      <c r="E959" t="s">
        <v>24</v>
      </c>
      <c r="F959" t="s">
        <v>60</v>
      </c>
      <c r="G959" t="s">
        <v>19</v>
      </c>
      <c r="H959">
        <f>Cleaned_Data!K959</f>
        <v>7.08</v>
      </c>
      <c r="I959" t="str">
        <f t="shared" si="42"/>
        <v>YES</v>
      </c>
      <c r="J959">
        <f>Cleaned_Data!J959</f>
        <v>48</v>
      </c>
      <c r="K959" t="str">
        <f t="shared" si="43"/>
        <v>2024-12</v>
      </c>
      <c r="L959">
        <f t="shared" si="44"/>
        <v>0</v>
      </c>
    </row>
    <row r="960" spans="1:12">
      <c r="A960" t="s">
        <v>2799</v>
      </c>
      <c r="B960" t="s">
        <v>2800</v>
      </c>
      <c r="C960" t="s">
        <v>2801</v>
      </c>
      <c r="D960" t="s">
        <v>23</v>
      </c>
      <c r="E960" t="s">
        <v>24</v>
      </c>
      <c r="F960" t="s">
        <v>41</v>
      </c>
      <c r="G960" t="s">
        <v>31</v>
      </c>
      <c r="H960">
        <f>Cleaned_Data!K960</f>
        <v>15.13</v>
      </c>
      <c r="I960" t="str">
        <f t="shared" si="42"/>
        <v>YES</v>
      </c>
      <c r="J960">
        <f>Cleaned_Data!J960</f>
        <v>24</v>
      </c>
      <c r="K960" t="str">
        <f t="shared" si="43"/>
        <v>2024-11</v>
      </c>
      <c r="L960">
        <f t="shared" si="44"/>
        <v>0</v>
      </c>
    </row>
    <row r="961" spans="1:12">
      <c r="A961" t="s">
        <v>2802</v>
      </c>
      <c r="B961" t="s">
        <v>2803</v>
      </c>
      <c r="C961" t="s">
        <v>2804</v>
      </c>
      <c r="D961" t="s">
        <v>23</v>
      </c>
      <c r="E961" t="s">
        <v>16</v>
      </c>
      <c r="F961" t="s">
        <v>60</v>
      </c>
      <c r="G961" t="s">
        <v>19</v>
      </c>
      <c r="H961">
        <f>Cleaned_Data!K961</f>
        <v>61.84</v>
      </c>
      <c r="I961" t="str">
        <f t="shared" si="42"/>
        <v>NO</v>
      </c>
      <c r="J961">
        <f>Cleaned_Data!J961</f>
        <v>24</v>
      </c>
      <c r="K961" t="str">
        <f t="shared" si="43"/>
        <v>2024-06</v>
      </c>
      <c r="L961">
        <f t="shared" si="44"/>
        <v>37.840000000000003</v>
      </c>
    </row>
    <row r="962" spans="1:12">
      <c r="A962" t="s">
        <v>2805</v>
      </c>
      <c r="B962" t="s">
        <v>2806</v>
      </c>
      <c r="C962" t="s">
        <v>2807</v>
      </c>
      <c r="D962" t="s">
        <v>23</v>
      </c>
      <c r="E962" t="s">
        <v>24</v>
      </c>
      <c r="F962" t="s">
        <v>36</v>
      </c>
      <c r="G962" t="s">
        <v>31</v>
      </c>
      <c r="H962">
        <f>Cleaned_Data!K962</f>
        <v>19.55</v>
      </c>
      <c r="I962" t="str">
        <f t="shared" ref="I962:I1025" si="45">IF(OR(G962="Resolved", G962="Closed"), IF(AND(H962&lt;&gt;"", H962&lt;=J962), "YES", "NO"), "")</f>
        <v>YES</v>
      </c>
      <c r="J962">
        <f>Cleaned_Data!J962</f>
        <v>24</v>
      </c>
      <c r="K962" t="str">
        <f t="shared" ref="K962:K1025" si="46">LEFT(B962, 7)</f>
        <v>2024-05</v>
      </c>
      <c r="L962">
        <f t="shared" ref="L962:L1025" si="47">IF(I962="NO", H962-J962, 0)</f>
        <v>0</v>
      </c>
    </row>
    <row r="963" spans="1:12">
      <c r="A963" t="s">
        <v>2808</v>
      </c>
      <c r="B963" t="s">
        <v>2809</v>
      </c>
      <c r="C963" t="s">
        <v>2810</v>
      </c>
      <c r="D963" t="s">
        <v>23</v>
      </c>
      <c r="E963" t="s">
        <v>28</v>
      </c>
      <c r="F963" t="s">
        <v>41</v>
      </c>
      <c r="G963" t="s">
        <v>31</v>
      </c>
      <c r="H963">
        <f>Cleaned_Data!K963</f>
        <v>7.36</v>
      </c>
      <c r="I963" t="str">
        <f t="shared" si="45"/>
        <v>YES</v>
      </c>
      <c r="J963">
        <f>Cleaned_Data!J963</f>
        <v>24</v>
      </c>
      <c r="K963" t="str">
        <f t="shared" si="46"/>
        <v>2024-02</v>
      </c>
      <c r="L963">
        <f t="shared" si="47"/>
        <v>0</v>
      </c>
    </row>
    <row r="964" spans="1:12">
      <c r="A964" t="s">
        <v>2811</v>
      </c>
      <c r="B964" t="s">
        <v>2812</v>
      </c>
      <c r="C964" t="s">
        <v>2813</v>
      </c>
      <c r="D964" t="s">
        <v>15</v>
      </c>
      <c r="E964" t="s">
        <v>54</v>
      </c>
      <c r="F964" t="s">
        <v>60</v>
      </c>
      <c r="G964" t="s">
        <v>31</v>
      </c>
      <c r="H964">
        <f>Cleaned_Data!K964</f>
        <v>6.82</v>
      </c>
      <c r="I964" t="str">
        <f t="shared" si="45"/>
        <v>YES</v>
      </c>
      <c r="J964">
        <f>Cleaned_Data!J964</f>
        <v>8</v>
      </c>
      <c r="K964" t="str">
        <f t="shared" si="46"/>
        <v>2024-01</v>
      </c>
      <c r="L964">
        <f t="shared" si="47"/>
        <v>0</v>
      </c>
    </row>
    <row r="965" spans="1:12">
      <c r="A965" t="s">
        <v>2814</v>
      </c>
      <c r="B965" t="s">
        <v>2815</v>
      </c>
      <c r="D965" t="s">
        <v>23</v>
      </c>
      <c r="E965" t="s">
        <v>54</v>
      </c>
      <c r="F965" t="s">
        <v>29</v>
      </c>
      <c r="G965" t="s">
        <v>46</v>
      </c>
      <c r="H965">
        <f>Cleaned_Data!K965</f>
        <v>0</v>
      </c>
      <c r="I965" t="str">
        <f t="shared" si="45"/>
        <v/>
      </c>
      <c r="J965">
        <f>Cleaned_Data!J965</f>
        <v>24</v>
      </c>
      <c r="K965" t="str">
        <f t="shared" si="46"/>
        <v>2024-02</v>
      </c>
      <c r="L965">
        <f t="shared" si="47"/>
        <v>0</v>
      </c>
    </row>
    <row r="966" spans="1:12">
      <c r="A966" t="s">
        <v>2816</v>
      </c>
      <c r="B966" t="s">
        <v>2817</v>
      </c>
      <c r="C966" t="s">
        <v>2818</v>
      </c>
      <c r="D966" t="s">
        <v>23</v>
      </c>
      <c r="E966" t="s">
        <v>28</v>
      </c>
      <c r="F966" t="s">
        <v>36</v>
      </c>
      <c r="G966" t="s">
        <v>19</v>
      </c>
      <c r="H966">
        <f>Cleaned_Data!K966</f>
        <v>65.39</v>
      </c>
      <c r="I966" t="str">
        <f t="shared" si="45"/>
        <v>NO</v>
      </c>
      <c r="J966">
        <f>Cleaned_Data!J966</f>
        <v>24</v>
      </c>
      <c r="K966" t="str">
        <f t="shared" si="46"/>
        <v>2024-07</v>
      </c>
      <c r="L966">
        <f t="shared" si="47"/>
        <v>41.39</v>
      </c>
    </row>
    <row r="967" spans="1:12">
      <c r="A967" t="s">
        <v>2819</v>
      </c>
      <c r="B967" t="s">
        <v>2820</v>
      </c>
      <c r="C967" t="s">
        <v>2821</v>
      </c>
      <c r="D967" t="s">
        <v>35</v>
      </c>
      <c r="E967" t="s">
        <v>54</v>
      </c>
      <c r="F967" t="s">
        <v>17</v>
      </c>
      <c r="G967" t="s">
        <v>19</v>
      </c>
      <c r="H967">
        <f>Cleaned_Data!K967</f>
        <v>33.15</v>
      </c>
      <c r="I967" t="str">
        <f t="shared" si="45"/>
        <v>YES</v>
      </c>
      <c r="J967">
        <f>Cleaned_Data!J967</f>
        <v>48</v>
      </c>
      <c r="K967" t="str">
        <f t="shared" si="46"/>
        <v>2024-03</v>
      </c>
      <c r="L967">
        <f t="shared" si="47"/>
        <v>0</v>
      </c>
    </row>
    <row r="968" spans="1:12">
      <c r="A968" t="s">
        <v>2822</v>
      </c>
      <c r="B968" t="s">
        <v>2823</v>
      </c>
      <c r="C968" t="s">
        <v>2824</v>
      </c>
      <c r="D968" t="s">
        <v>23</v>
      </c>
      <c r="E968" t="s">
        <v>16</v>
      </c>
      <c r="F968" t="s">
        <v>60</v>
      </c>
      <c r="G968" t="s">
        <v>31</v>
      </c>
      <c r="H968">
        <f>Cleaned_Data!K968</f>
        <v>5.71</v>
      </c>
      <c r="I968" t="str">
        <f t="shared" si="45"/>
        <v>YES</v>
      </c>
      <c r="J968">
        <f>Cleaned_Data!J968</f>
        <v>24</v>
      </c>
      <c r="K968" t="str">
        <f t="shared" si="46"/>
        <v>2024-08</v>
      </c>
      <c r="L968">
        <f t="shared" si="47"/>
        <v>0</v>
      </c>
    </row>
    <row r="969" spans="1:12">
      <c r="A969" t="s">
        <v>2825</v>
      </c>
      <c r="B969" t="s">
        <v>2826</v>
      </c>
      <c r="D969" t="s">
        <v>35</v>
      </c>
      <c r="E969" t="s">
        <v>28</v>
      </c>
      <c r="F969" t="s">
        <v>36</v>
      </c>
      <c r="G969" t="s">
        <v>63</v>
      </c>
      <c r="H969">
        <f>Cleaned_Data!K969</f>
        <v>0</v>
      </c>
      <c r="I969" t="str">
        <f t="shared" si="45"/>
        <v/>
      </c>
      <c r="J969">
        <f>Cleaned_Data!J969</f>
        <v>48</v>
      </c>
      <c r="K969" t="str">
        <f t="shared" si="46"/>
        <v>2024-11</v>
      </c>
      <c r="L969">
        <f t="shared" si="47"/>
        <v>0</v>
      </c>
    </row>
    <row r="970" spans="1:12">
      <c r="A970" t="s">
        <v>2827</v>
      </c>
      <c r="B970" t="s">
        <v>2828</v>
      </c>
      <c r="C970" t="s">
        <v>2829</v>
      </c>
      <c r="D970" t="s">
        <v>23</v>
      </c>
      <c r="E970" t="s">
        <v>16</v>
      </c>
      <c r="F970" t="s">
        <v>41</v>
      </c>
      <c r="G970" t="s">
        <v>19</v>
      </c>
      <c r="H970">
        <f>Cleaned_Data!K970</f>
        <v>25.51</v>
      </c>
      <c r="I970" t="str">
        <f t="shared" si="45"/>
        <v>NO</v>
      </c>
      <c r="J970">
        <f>Cleaned_Data!J970</f>
        <v>24</v>
      </c>
      <c r="K970" t="str">
        <f t="shared" si="46"/>
        <v>2024-10</v>
      </c>
      <c r="L970">
        <f t="shared" si="47"/>
        <v>1.5100000000000016</v>
      </c>
    </row>
    <row r="971" spans="1:12">
      <c r="A971" t="s">
        <v>2830</v>
      </c>
      <c r="B971" t="s">
        <v>2831</v>
      </c>
      <c r="C971" t="s">
        <v>2832</v>
      </c>
      <c r="D971" t="s">
        <v>158</v>
      </c>
      <c r="E971" t="s">
        <v>59</v>
      </c>
      <c r="F971" t="s">
        <v>29</v>
      </c>
      <c r="G971" t="s">
        <v>19</v>
      </c>
      <c r="H971">
        <f>Cleaned_Data!K971</f>
        <v>3</v>
      </c>
      <c r="I971" t="str">
        <f t="shared" si="45"/>
        <v>YES</v>
      </c>
      <c r="J971">
        <f>Cleaned_Data!J971</f>
        <v>4</v>
      </c>
      <c r="K971" t="str">
        <f t="shared" si="46"/>
        <v>2024-05</v>
      </c>
      <c r="L971">
        <f t="shared" si="47"/>
        <v>0</v>
      </c>
    </row>
    <row r="972" spans="1:12">
      <c r="A972" t="s">
        <v>2833</v>
      </c>
      <c r="B972" t="s">
        <v>2834</v>
      </c>
      <c r="C972" t="s">
        <v>2835</v>
      </c>
      <c r="D972" t="s">
        <v>15</v>
      </c>
      <c r="E972" t="s">
        <v>28</v>
      </c>
      <c r="F972" t="s">
        <v>17</v>
      </c>
      <c r="G972" t="s">
        <v>31</v>
      </c>
      <c r="H972">
        <f>Cleaned_Data!K972</f>
        <v>4.57</v>
      </c>
      <c r="I972" t="str">
        <f t="shared" si="45"/>
        <v>YES</v>
      </c>
      <c r="J972">
        <f>Cleaned_Data!J972</f>
        <v>8</v>
      </c>
      <c r="K972" t="str">
        <f t="shared" si="46"/>
        <v>2024-01</v>
      </c>
      <c r="L972">
        <f t="shared" si="47"/>
        <v>0</v>
      </c>
    </row>
    <row r="973" spans="1:12">
      <c r="A973" t="s">
        <v>2836</v>
      </c>
      <c r="B973" t="s">
        <v>2837</v>
      </c>
      <c r="C973" t="s">
        <v>2838</v>
      </c>
      <c r="D973" t="s">
        <v>15</v>
      </c>
      <c r="E973" t="s">
        <v>28</v>
      </c>
      <c r="F973" t="s">
        <v>36</v>
      </c>
      <c r="G973" t="s">
        <v>31</v>
      </c>
      <c r="H973">
        <f>Cleaned_Data!K973</f>
        <v>5.25</v>
      </c>
      <c r="I973" t="str">
        <f t="shared" si="45"/>
        <v>YES</v>
      </c>
      <c r="J973">
        <f>Cleaned_Data!J973</f>
        <v>8</v>
      </c>
      <c r="K973" t="str">
        <f t="shared" si="46"/>
        <v>2024-01</v>
      </c>
      <c r="L973">
        <f t="shared" si="47"/>
        <v>0</v>
      </c>
    </row>
    <row r="974" spans="1:12">
      <c r="A974" t="s">
        <v>2839</v>
      </c>
      <c r="B974" t="s">
        <v>2840</v>
      </c>
      <c r="C974" t="s">
        <v>2841</v>
      </c>
      <c r="D974" t="s">
        <v>35</v>
      </c>
      <c r="E974" t="s">
        <v>28</v>
      </c>
      <c r="F974" t="s">
        <v>17</v>
      </c>
      <c r="G974" t="s">
        <v>31</v>
      </c>
      <c r="H974">
        <f>Cleaned_Data!K974</f>
        <v>43.2</v>
      </c>
      <c r="I974" t="str">
        <f t="shared" si="45"/>
        <v>YES</v>
      </c>
      <c r="J974">
        <f>Cleaned_Data!J974</f>
        <v>48</v>
      </c>
      <c r="K974" t="str">
        <f t="shared" si="46"/>
        <v>2024-05</v>
      </c>
      <c r="L974">
        <f t="shared" si="47"/>
        <v>0</v>
      </c>
    </row>
    <row r="975" spans="1:12">
      <c r="A975" t="s">
        <v>2842</v>
      </c>
      <c r="B975" t="s">
        <v>2843</v>
      </c>
      <c r="C975" t="s">
        <v>2844</v>
      </c>
      <c r="D975" t="s">
        <v>35</v>
      </c>
      <c r="E975" t="s">
        <v>16</v>
      </c>
      <c r="F975" t="s">
        <v>36</v>
      </c>
      <c r="G975" t="s">
        <v>19</v>
      </c>
      <c r="H975">
        <f>Cleaned_Data!K975</f>
        <v>124.8</v>
      </c>
      <c r="I975" t="str">
        <f t="shared" si="45"/>
        <v>NO</v>
      </c>
      <c r="J975">
        <f>Cleaned_Data!J975</f>
        <v>48</v>
      </c>
      <c r="K975" t="str">
        <f t="shared" si="46"/>
        <v>2024-08</v>
      </c>
      <c r="L975">
        <f t="shared" si="47"/>
        <v>76.8</v>
      </c>
    </row>
    <row r="976" spans="1:12">
      <c r="A976" t="s">
        <v>2845</v>
      </c>
      <c r="B976" t="s">
        <v>2846</v>
      </c>
      <c r="C976" t="s">
        <v>2847</v>
      </c>
      <c r="D976" t="s">
        <v>23</v>
      </c>
      <c r="E976" t="s">
        <v>28</v>
      </c>
      <c r="F976" t="s">
        <v>41</v>
      </c>
      <c r="G976" t="s">
        <v>19</v>
      </c>
      <c r="H976">
        <f>Cleaned_Data!K976</f>
        <v>14.97</v>
      </c>
      <c r="I976" t="str">
        <f t="shared" si="45"/>
        <v>YES</v>
      </c>
      <c r="J976">
        <f>Cleaned_Data!J976</f>
        <v>24</v>
      </c>
      <c r="K976" t="str">
        <f t="shared" si="46"/>
        <v>2024-05</v>
      </c>
      <c r="L976">
        <f t="shared" si="47"/>
        <v>0</v>
      </c>
    </row>
    <row r="977" spans="1:12">
      <c r="A977" t="s">
        <v>2848</v>
      </c>
      <c r="B977" t="s">
        <v>2849</v>
      </c>
      <c r="C977" t="s">
        <v>2850</v>
      </c>
      <c r="D977" t="s">
        <v>15</v>
      </c>
      <c r="E977" t="s">
        <v>24</v>
      </c>
      <c r="F977" t="s">
        <v>17</v>
      </c>
      <c r="G977" t="s">
        <v>31</v>
      </c>
      <c r="H977">
        <f>Cleaned_Data!K977</f>
        <v>1.66</v>
      </c>
      <c r="I977" t="str">
        <f t="shared" si="45"/>
        <v>YES</v>
      </c>
      <c r="J977">
        <f>Cleaned_Data!J977</f>
        <v>8</v>
      </c>
      <c r="K977" t="str">
        <f t="shared" si="46"/>
        <v>2024-07</v>
      </c>
      <c r="L977">
        <f t="shared" si="47"/>
        <v>0</v>
      </c>
    </row>
    <row r="978" spans="1:12">
      <c r="A978" t="s">
        <v>2851</v>
      </c>
      <c r="B978" t="s">
        <v>2852</v>
      </c>
      <c r="C978" t="s">
        <v>2853</v>
      </c>
      <c r="D978" t="s">
        <v>35</v>
      </c>
      <c r="E978" t="s">
        <v>28</v>
      </c>
      <c r="F978" t="s">
        <v>36</v>
      </c>
      <c r="G978" t="s">
        <v>31</v>
      </c>
      <c r="H978">
        <f>Cleaned_Data!K978</f>
        <v>11.63</v>
      </c>
      <c r="I978" t="str">
        <f t="shared" si="45"/>
        <v>YES</v>
      </c>
      <c r="J978">
        <f>Cleaned_Data!J978</f>
        <v>48</v>
      </c>
      <c r="K978" t="str">
        <f t="shared" si="46"/>
        <v>2024-08</v>
      </c>
      <c r="L978">
        <f t="shared" si="47"/>
        <v>0</v>
      </c>
    </row>
    <row r="979" spans="1:12">
      <c r="A979" t="s">
        <v>2854</v>
      </c>
      <c r="B979" t="s">
        <v>2855</v>
      </c>
      <c r="C979" t="s">
        <v>2856</v>
      </c>
      <c r="D979" t="s">
        <v>23</v>
      </c>
      <c r="E979" t="s">
        <v>16</v>
      </c>
      <c r="F979" t="s">
        <v>41</v>
      </c>
      <c r="G979" t="s">
        <v>19</v>
      </c>
      <c r="H979">
        <f>Cleaned_Data!K979</f>
        <v>10.029999999999999</v>
      </c>
      <c r="I979" t="str">
        <f t="shared" si="45"/>
        <v>YES</v>
      </c>
      <c r="J979">
        <f>Cleaned_Data!J979</f>
        <v>24</v>
      </c>
      <c r="K979" t="str">
        <f t="shared" si="46"/>
        <v>2024-12</v>
      </c>
      <c r="L979">
        <f t="shared" si="47"/>
        <v>0</v>
      </c>
    </row>
    <row r="980" spans="1:12">
      <c r="A980" t="s">
        <v>2857</v>
      </c>
      <c r="B980" t="s">
        <v>2858</v>
      </c>
      <c r="C980" t="s">
        <v>2859</v>
      </c>
      <c r="D980" t="s">
        <v>35</v>
      </c>
      <c r="E980" t="s">
        <v>28</v>
      </c>
      <c r="F980" t="s">
        <v>60</v>
      </c>
      <c r="G980" t="s">
        <v>31</v>
      </c>
      <c r="H980">
        <f>Cleaned_Data!K980</f>
        <v>31.31</v>
      </c>
      <c r="I980" t="str">
        <f t="shared" si="45"/>
        <v>YES</v>
      </c>
      <c r="J980">
        <f>Cleaned_Data!J980</f>
        <v>48</v>
      </c>
      <c r="K980" t="str">
        <f t="shared" si="46"/>
        <v>2024-10</v>
      </c>
      <c r="L980">
        <f t="shared" si="47"/>
        <v>0</v>
      </c>
    </row>
    <row r="981" spans="1:12">
      <c r="A981" t="s">
        <v>2860</v>
      </c>
      <c r="B981" t="s">
        <v>2861</v>
      </c>
      <c r="C981" t="s">
        <v>2862</v>
      </c>
      <c r="D981" t="s">
        <v>15</v>
      </c>
      <c r="E981" t="s">
        <v>16</v>
      </c>
      <c r="F981" t="s">
        <v>41</v>
      </c>
      <c r="G981" t="s">
        <v>19</v>
      </c>
      <c r="H981">
        <f>Cleaned_Data!K981</f>
        <v>17.309999999999999</v>
      </c>
      <c r="I981" t="str">
        <f t="shared" si="45"/>
        <v>NO</v>
      </c>
      <c r="J981">
        <f>Cleaned_Data!J981</f>
        <v>8</v>
      </c>
      <c r="K981" t="str">
        <f t="shared" si="46"/>
        <v>2024-12</v>
      </c>
      <c r="L981">
        <f t="shared" si="47"/>
        <v>9.3099999999999987</v>
      </c>
    </row>
    <row r="982" spans="1:12">
      <c r="A982" t="s">
        <v>2863</v>
      </c>
      <c r="B982" t="s">
        <v>2864</v>
      </c>
      <c r="C982" t="s">
        <v>2865</v>
      </c>
      <c r="D982" t="s">
        <v>15</v>
      </c>
      <c r="E982" t="s">
        <v>24</v>
      </c>
      <c r="F982" t="s">
        <v>36</v>
      </c>
      <c r="G982" t="s">
        <v>19</v>
      </c>
      <c r="H982">
        <f>Cleaned_Data!K982</f>
        <v>4.7699999999999996</v>
      </c>
      <c r="I982" t="str">
        <f t="shared" si="45"/>
        <v>YES</v>
      </c>
      <c r="J982">
        <f>Cleaned_Data!J982</f>
        <v>8</v>
      </c>
      <c r="K982" t="str">
        <f t="shared" si="46"/>
        <v>2024-05</v>
      </c>
      <c r="L982">
        <f t="shared" si="47"/>
        <v>0</v>
      </c>
    </row>
    <row r="983" spans="1:12">
      <c r="A983" t="s">
        <v>2866</v>
      </c>
      <c r="B983" t="s">
        <v>2867</v>
      </c>
      <c r="C983" t="s">
        <v>2868</v>
      </c>
      <c r="D983" t="s">
        <v>15</v>
      </c>
      <c r="E983" t="s">
        <v>28</v>
      </c>
      <c r="F983" t="s">
        <v>41</v>
      </c>
      <c r="G983" t="s">
        <v>19</v>
      </c>
      <c r="H983">
        <f>Cleaned_Data!K983</f>
        <v>2.66</v>
      </c>
      <c r="I983" t="str">
        <f t="shared" si="45"/>
        <v>YES</v>
      </c>
      <c r="J983">
        <f>Cleaned_Data!J983</f>
        <v>8</v>
      </c>
      <c r="K983" t="str">
        <f t="shared" si="46"/>
        <v>2024-08</v>
      </c>
      <c r="L983">
        <f t="shared" si="47"/>
        <v>0</v>
      </c>
    </row>
    <row r="984" spans="1:12">
      <c r="A984" t="s">
        <v>2869</v>
      </c>
      <c r="B984" t="s">
        <v>2870</v>
      </c>
      <c r="C984" t="s">
        <v>2871</v>
      </c>
      <c r="D984" t="s">
        <v>15</v>
      </c>
      <c r="E984" t="s">
        <v>54</v>
      </c>
      <c r="F984" t="s">
        <v>29</v>
      </c>
      <c r="G984" t="s">
        <v>19</v>
      </c>
      <c r="H984">
        <f>Cleaned_Data!K984</f>
        <v>4.5199999999999996</v>
      </c>
      <c r="I984" t="str">
        <f t="shared" si="45"/>
        <v>YES</v>
      </c>
      <c r="J984">
        <f>Cleaned_Data!J984</f>
        <v>8</v>
      </c>
      <c r="K984" t="str">
        <f t="shared" si="46"/>
        <v>2024-06</v>
      </c>
      <c r="L984">
        <f t="shared" si="47"/>
        <v>0</v>
      </c>
    </row>
    <row r="985" spans="1:12">
      <c r="A985" t="s">
        <v>2872</v>
      </c>
      <c r="B985" t="s">
        <v>2873</v>
      </c>
      <c r="C985" t="s">
        <v>2874</v>
      </c>
      <c r="D985" t="s">
        <v>35</v>
      </c>
      <c r="E985" t="s">
        <v>24</v>
      </c>
      <c r="F985" t="s">
        <v>36</v>
      </c>
      <c r="G985" t="s">
        <v>19</v>
      </c>
      <c r="H985">
        <f>Cleaned_Data!K985</f>
        <v>12.82</v>
      </c>
      <c r="I985" t="str">
        <f t="shared" si="45"/>
        <v>YES</v>
      </c>
      <c r="J985">
        <f>Cleaned_Data!J985</f>
        <v>48</v>
      </c>
      <c r="K985" t="str">
        <f t="shared" si="46"/>
        <v>2024-04</v>
      </c>
      <c r="L985">
        <f t="shared" si="47"/>
        <v>0</v>
      </c>
    </row>
    <row r="986" spans="1:12">
      <c r="A986" t="s">
        <v>2875</v>
      </c>
      <c r="B986" t="s">
        <v>2876</v>
      </c>
      <c r="C986" t="s">
        <v>2877</v>
      </c>
      <c r="D986" t="s">
        <v>23</v>
      </c>
      <c r="E986" t="s">
        <v>16</v>
      </c>
      <c r="F986" t="s">
        <v>29</v>
      </c>
      <c r="G986" t="s">
        <v>31</v>
      </c>
      <c r="H986">
        <f>Cleaned_Data!K986</f>
        <v>71.930000000000007</v>
      </c>
      <c r="I986" t="str">
        <f t="shared" si="45"/>
        <v>NO</v>
      </c>
      <c r="J986">
        <f>Cleaned_Data!J986</f>
        <v>24</v>
      </c>
      <c r="K986" t="str">
        <f t="shared" si="46"/>
        <v>2024-04</v>
      </c>
      <c r="L986">
        <f t="shared" si="47"/>
        <v>47.930000000000007</v>
      </c>
    </row>
    <row r="987" spans="1:12">
      <c r="A987" t="s">
        <v>2878</v>
      </c>
      <c r="B987" t="s">
        <v>2879</v>
      </c>
      <c r="C987" t="s">
        <v>2880</v>
      </c>
      <c r="D987" t="s">
        <v>23</v>
      </c>
      <c r="E987" t="s">
        <v>28</v>
      </c>
      <c r="F987" t="s">
        <v>29</v>
      </c>
      <c r="G987" t="s">
        <v>31</v>
      </c>
      <c r="H987">
        <f>Cleaned_Data!K987</f>
        <v>10.64</v>
      </c>
      <c r="I987" t="str">
        <f t="shared" si="45"/>
        <v>YES</v>
      </c>
      <c r="J987">
        <f>Cleaned_Data!J987</f>
        <v>24</v>
      </c>
      <c r="K987" t="str">
        <f t="shared" si="46"/>
        <v>2024-10</v>
      </c>
      <c r="L987">
        <f t="shared" si="47"/>
        <v>0</v>
      </c>
    </row>
    <row r="988" spans="1:12">
      <c r="A988" t="s">
        <v>2881</v>
      </c>
      <c r="B988" t="s">
        <v>2882</v>
      </c>
      <c r="C988" t="s">
        <v>2883</v>
      </c>
      <c r="D988" t="s">
        <v>23</v>
      </c>
      <c r="E988" t="s">
        <v>24</v>
      </c>
      <c r="F988" t="s">
        <v>60</v>
      </c>
      <c r="G988" t="s">
        <v>31</v>
      </c>
      <c r="H988">
        <f>Cleaned_Data!K988</f>
        <v>17.16</v>
      </c>
      <c r="I988" t="str">
        <f t="shared" si="45"/>
        <v>YES</v>
      </c>
      <c r="J988">
        <f>Cleaned_Data!J988</f>
        <v>24</v>
      </c>
      <c r="K988" t="str">
        <f t="shared" si="46"/>
        <v>2024-08</v>
      </c>
      <c r="L988">
        <f t="shared" si="47"/>
        <v>0</v>
      </c>
    </row>
    <row r="989" spans="1:12">
      <c r="A989" t="s">
        <v>2884</v>
      </c>
      <c r="B989" t="s">
        <v>2885</v>
      </c>
      <c r="C989" t="s">
        <v>2886</v>
      </c>
      <c r="D989" t="s">
        <v>23</v>
      </c>
      <c r="E989" t="s">
        <v>16</v>
      </c>
      <c r="F989" t="s">
        <v>41</v>
      </c>
      <c r="G989" t="s">
        <v>31</v>
      </c>
      <c r="H989">
        <f>Cleaned_Data!K989</f>
        <v>4.1500000000000004</v>
      </c>
      <c r="I989" t="str">
        <f t="shared" si="45"/>
        <v>YES</v>
      </c>
      <c r="J989">
        <f>Cleaned_Data!J989</f>
        <v>24</v>
      </c>
      <c r="K989" t="str">
        <f t="shared" si="46"/>
        <v>2024-04</v>
      </c>
      <c r="L989">
        <f t="shared" si="47"/>
        <v>0</v>
      </c>
    </row>
    <row r="990" spans="1:12">
      <c r="A990" t="s">
        <v>2887</v>
      </c>
      <c r="B990" t="s">
        <v>2888</v>
      </c>
      <c r="C990" t="s">
        <v>2889</v>
      </c>
      <c r="D990" t="s">
        <v>23</v>
      </c>
      <c r="E990" t="s">
        <v>54</v>
      </c>
      <c r="F990" t="s">
        <v>17</v>
      </c>
      <c r="G990" t="s">
        <v>19</v>
      </c>
      <c r="H990">
        <f>Cleaned_Data!K990</f>
        <v>10.039999999999999</v>
      </c>
      <c r="I990" t="str">
        <f t="shared" si="45"/>
        <v>YES</v>
      </c>
      <c r="J990">
        <f>Cleaned_Data!J990</f>
        <v>24</v>
      </c>
      <c r="K990" t="str">
        <f t="shared" si="46"/>
        <v>2024-06</v>
      </c>
      <c r="L990">
        <f t="shared" si="47"/>
        <v>0</v>
      </c>
    </row>
    <row r="991" spans="1:12">
      <c r="A991" t="s">
        <v>2890</v>
      </c>
      <c r="B991" t="s">
        <v>2891</v>
      </c>
      <c r="C991" t="s">
        <v>2892</v>
      </c>
      <c r="D991" t="s">
        <v>15</v>
      </c>
      <c r="E991" t="s">
        <v>16</v>
      </c>
      <c r="F991" t="s">
        <v>41</v>
      </c>
      <c r="G991" t="s">
        <v>31</v>
      </c>
      <c r="H991">
        <f>Cleaned_Data!K991</f>
        <v>3.65</v>
      </c>
      <c r="I991" t="str">
        <f t="shared" si="45"/>
        <v>YES</v>
      </c>
      <c r="J991">
        <f>Cleaned_Data!J991</f>
        <v>8</v>
      </c>
      <c r="K991" t="str">
        <f t="shared" si="46"/>
        <v>2024-02</v>
      </c>
      <c r="L991">
        <f t="shared" si="47"/>
        <v>0</v>
      </c>
    </row>
    <row r="992" spans="1:12">
      <c r="A992" t="s">
        <v>2893</v>
      </c>
      <c r="B992" t="s">
        <v>2894</v>
      </c>
      <c r="C992" t="s">
        <v>2895</v>
      </c>
      <c r="D992" t="s">
        <v>23</v>
      </c>
      <c r="E992" t="s">
        <v>54</v>
      </c>
      <c r="F992" t="s">
        <v>29</v>
      </c>
      <c r="G992" t="s">
        <v>31</v>
      </c>
      <c r="H992">
        <f>Cleaned_Data!K992</f>
        <v>3.06</v>
      </c>
      <c r="I992" t="str">
        <f t="shared" si="45"/>
        <v>YES</v>
      </c>
      <c r="J992">
        <f>Cleaned_Data!J992</f>
        <v>24</v>
      </c>
      <c r="K992" t="str">
        <f t="shared" si="46"/>
        <v>2024-06</v>
      </c>
      <c r="L992">
        <f t="shared" si="47"/>
        <v>0</v>
      </c>
    </row>
    <row r="993" spans="1:12">
      <c r="A993" t="s">
        <v>2896</v>
      </c>
      <c r="B993" t="s">
        <v>2897</v>
      </c>
      <c r="C993" t="s">
        <v>2898</v>
      </c>
      <c r="D993" t="s">
        <v>23</v>
      </c>
      <c r="E993" t="s">
        <v>16</v>
      </c>
      <c r="F993" t="s">
        <v>60</v>
      </c>
      <c r="G993" t="s">
        <v>31</v>
      </c>
      <c r="H993">
        <f>Cleaned_Data!K993</f>
        <v>34.76</v>
      </c>
      <c r="I993" t="str">
        <f t="shared" si="45"/>
        <v>NO</v>
      </c>
      <c r="J993">
        <f>Cleaned_Data!J993</f>
        <v>24</v>
      </c>
      <c r="K993" t="str">
        <f t="shared" si="46"/>
        <v>2024-05</v>
      </c>
      <c r="L993">
        <f t="shared" si="47"/>
        <v>10.759999999999998</v>
      </c>
    </row>
    <row r="994" spans="1:12">
      <c r="A994" t="s">
        <v>2899</v>
      </c>
      <c r="B994" t="s">
        <v>2900</v>
      </c>
      <c r="D994" t="s">
        <v>23</v>
      </c>
      <c r="E994" t="s">
        <v>28</v>
      </c>
      <c r="F994" t="s">
        <v>29</v>
      </c>
      <c r="G994" t="s">
        <v>46</v>
      </c>
      <c r="H994">
        <f>Cleaned_Data!K994</f>
        <v>0</v>
      </c>
      <c r="I994" t="str">
        <f t="shared" si="45"/>
        <v/>
      </c>
      <c r="J994">
        <f>Cleaned_Data!J994</f>
        <v>24</v>
      </c>
      <c r="K994" t="str">
        <f t="shared" si="46"/>
        <v>2024-07</v>
      </c>
      <c r="L994">
        <f t="shared" si="47"/>
        <v>0</v>
      </c>
    </row>
    <row r="995" spans="1:12">
      <c r="A995" t="s">
        <v>2901</v>
      </c>
      <c r="B995" t="s">
        <v>2902</v>
      </c>
      <c r="C995" t="s">
        <v>2903</v>
      </c>
      <c r="D995" t="s">
        <v>35</v>
      </c>
      <c r="E995" t="s">
        <v>24</v>
      </c>
      <c r="F995" t="s">
        <v>36</v>
      </c>
      <c r="G995" t="s">
        <v>31</v>
      </c>
      <c r="H995">
        <f>Cleaned_Data!K995</f>
        <v>32.909999999999997</v>
      </c>
      <c r="I995" t="str">
        <f t="shared" si="45"/>
        <v>YES</v>
      </c>
      <c r="J995">
        <f>Cleaned_Data!J995</f>
        <v>48</v>
      </c>
      <c r="K995" t="str">
        <f t="shared" si="46"/>
        <v>2024-09</v>
      </c>
      <c r="L995">
        <f t="shared" si="47"/>
        <v>0</v>
      </c>
    </row>
    <row r="996" spans="1:12">
      <c r="A996" t="s">
        <v>2904</v>
      </c>
      <c r="B996" t="s">
        <v>2905</v>
      </c>
      <c r="C996" t="s">
        <v>2906</v>
      </c>
      <c r="D996" t="s">
        <v>15</v>
      </c>
      <c r="E996" t="s">
        <v>28</v>
      </c>
      <c r="F996" t="s">
        <v>41</v>
      </c>
      <c r="G996" t="s">
        <v>19</v>
      </c>
      <c r="H996">
        <f>Cleaned_Data!K996</f>
        <v>4.37</v>
      </c>
      <c r="I996" t="str">
        <f t="shared" si="45"/>
        <v>YES</v>
      </c>
      <c r="J996">
        <f>Cleaned_Data!J996</f>
        <v>8</v>
      </c>
      <c r="K996" t="str">
        <f t="shared" si="46"/>
        <v>2024-03</v>
      </c>
      <c r="L996">
        <f t="shared" si="47"/>
        <v>0</v>
      </c>
    </row>
    <row r="997" spans="1:12">
      <c r="A997" t="s">
        <v>2907</v>
      </c>
      <c r="B997" t="s">
        <v>2908</v>
      </c>
      <c r="C997" t="s">
        <v>2909</v>
      </c>
      <c r="D997" t="s">
        <v>23</v>
      </c>
      <c r="E997" t="s">
        <v>24</v>
      </c>
      <c r="F997" t="s">
        <v>41</v>
      </c>
      <c r="G997" t="s">
        <v>19</v>
      </c>
      <c r="H997">
        <f>Cleaned_Data!K997</f>
        <v>13.34</v>
      </c>
      <c r="I997" t="str">
        <f t="shared" si="45"/>
        <v>YES</v>
      </c>
      <c r="J997">
        <f>Cleaned_Data!J997</f>
        <v>24</v>
      </c>
      <c r="K997" t="str">
        <f t="shared" si="46"/>
        <v>2024-05</v>
      </c>
      <c r="L997">
        <f t="shared" si="47"/>
        <v>0</v>
      </c>
    </row>
    <row r="998" spans="1:12">
      <c r="A998" t="s">
        <v>2910</v>
      </c>
      <c r="B998" t="s">
        <v>2911</v>
      </c>
      <c r="C998" t="s">
        <v>2912</v>
      </c>
      <c r="D998" t="s">
        <v>23</v>
      </c>
      <c r="E998" t="s">
        <v>59</v>
      </c>
      <c r="F998" t="s">
        <v>17</v>
      </c>
      <c r="G998" t="s">
        <v>31</v>
      </c>
      <c r="H998">
        <f>Cleaned_Data!K998</f>
        <v>19.079999999999998</v>
      </c>
      <c r="I998" t="str">
        <f t="shared" si="45"/>
        <v>YES</v>
      </c>
      <c r="J998">
        <f>Cleaned_Data!J998</f>
        <v>24</v>
      </c>
      <c r="K998" t="str">
        <f t="shared" si="46"/>
        <v>2024-01</v>
      </c>
      <c r="L998">
        <f t="shared" si="47"/>
        <v>0</v>
      </c>
    </row>
    <row r="999" spans="1:12">
      <c r="A999" t="s">
        <v>2913</v>
      </c>
      <c r="B999" t="s">
        <v>2914</v>
      </c>
      <c r="C999" t="s">
        <v>2915</v>
      </c>
      <c r="D999" t="s">
        <v>23</v>
      </c>
      <c r="E999" t="s">
        <v>59</v>
      </c>
      <c r="F999" t="s">
        <v>60</v>
      </c>
      <c r="G999" t="s">
        <v>19</v>
      </c>
      <c r="H999">
        <f>Cleaned_Data!K999</f>
        <v>8.02</v>
      </c>
      <c r="I999" t="str">
        <f t="shared" si="45"/>
        <v>YES</v>
      </c>
      <c r="J999">
        <f>Cleaned_Data!J999</f>
        <v>24</v>
      </c>
      <c r="K999" t="str">
        <f t="shared" si="46"/>
        <v>2024-03</v>
      </c>
      <c r="L999">
        <f t="shared" si="47"/>
        <v>0</v>
      </c>
    </row>
    <row r="1000" spans="1:12">
      <c r="A1000" t="s">
        <v>2916</v>
      </c>
      <c r="B1000" t="s">
        <v>2917</v>
      </c>
      <c r="C1000" t="s">
        <v>2918</v>
      </c>
      <c r="D1000" t="s">
        <v>23</v>
      </c>
      <c r="E1000" t="s">
        <v>16</v>
      </c>
      <c r="F1000" t="s">
        <v>60</v>
      </c>
      <c r="G1000" t="s">
        <v>19</v>
      </c>
      <c r="H1000">
        <f>Cleaned_Data!K1000</f>
        <v>66.349999999999994</v>
      </c>
      <c r="I1000" t="str">
        <f t="shared" si="45"/>
        <v>NO</v>
      </c>
      <c r="J1000">
        <f>Cleaned_Data!J1000</f>
        <v>24</v>
      </c>
      <c r="K1000" t="str">
        <f t="shared" si="46"/>
        <v>2024-02</v>
      </c>
      <c r="L1000">
        <f t="shared" si="47"/>
        <v>42.349999999999994</v>
      </c>
    </row>
    <row r="1001" spans="1:12">
      <c r="A1001" t="s">
        <v>2919</v>
      </c>
      <c r="B1001" t="s">
        <v>2920</v>
      </c>
      <c r="C1001" t="s">
        <v>2921</v>
      </c>
      <c r="D1001" t="s">
        <v>158</v>
      </c>
      <c r="E1001" t="s">
        <v>24</v>
      </c>
      <c r="F1001" t="s">
        <v>41</v>
      </c>
      <c r="G1001" t="s">
        <v>31</v>
      </c>
      <c r="H1001">
        <f>Cleaned_Data!K1001</f>
        <v>1.41</v>
      </c>
      <c r="I1001" t="str">
        <f t="shared" si="45"/>
        <v>YES</v>
      </c>
      <c r="J1001">
        <f>Cleaned_Data!J1001</f>
        <v>4</v>
      </c>
      <c r="K1001" t="str">
        <f t="shared" si="46"/>
        <v>2024-08</v>
      </c>
      <c r="L1001">
        <f t="shared" si="47"/>
        <v>0</v>
      </c>
    </row>
    <row r="1002" spans="1:12">
      <c r="A1002" t="s">
        <v>2922</v>
      </c>
      <c r="B1002" t="s">
        <v>2923</v>
      </c>
      <c r="C1002" t="s">
        <v>2924</v>
      </c>
      <c r="D1002" t="s">
        <v>35</v>
      </c>
      <c r="E1002" t="s">
        <v>28</v>
      </c>
      <c r="F1002" t="s">
        <v>17</v>
      </c>
      <c r="G1002" t="s">
        <v>31</v>
      </c>
      <c r="H1002">
        <f>Cleaned_Data!K1002</f>
        <v>41.96</v>
      </c>
      <c r="I1002" t="str">
        <f t="shared" si="45"/>
        <v>YES</v>
      </c>
      <c r="J1002">
        <f>Cleaned_Data!J1002</f>
        <v>48</v>
      </c>
      <c r="K1002" t="str">
        <f t="shared" si="46"/>
        <v>2024-11</v>
      </c>
      <c r="L1002">
        <f t="shared" si="47"/>
        <v>0</v>
      </c>
    </row>
    <row r="1003" spans="1:12">
      <c r="A1003" t="s">
        <v>2925</v>
      </c>
      <c r="B1003" t="s">
        <v>2926</v>
      </c>
      <c r="C1003" t="s">
        <v>2927</v>
      </c>
      <c r="D1003" t="s">
        <v>158</v>
      </c>
      <c r="E1003" t="s">
        <v>24</v>
      </c>
      <c r="F1003" t="s">
        <v>36</v>
      </c>
      <c r="G1003" t="s">
        <v>31</v>
      </c>
      <c r="H1003">
        <f>Cleaned_Data!K1003</f>
        <v>3.4</v>
      </c>
      <c r="I1003" t="str">
        <f t="shared" si="45"/>
        <v>YES</v>
      </c>
      <c r="J1003">
        <f>Cleaned_Data!J1003</f>
        <v>4</v>
      </c>
      <c r="K1003" t="str">
        <f t="shared" si="46"/>
        <v>2024-08</v>
      </c>
      <c r="L1003">
        <f t="shared" si="47"/>
        <v>0</v>
      </c>
    </row>
    <row r="1004" spans="1:12">
      <c r="A1004" t="s">
        <v>2928</v>
      </c>
      <c r="B1004" t="s">
        <v>2929</v>
      </c>
      <c r="C1004" t="s">
        <v>2930</v>
      </c>
      <c r="D1004" t="s">
        <v>35</v>
      </c>
      <c r="E1004" t="s">
        <v>54</v>
      </c>
      <c r="F1004" t="s">
        <v>17</v>
      </c>
      <c r="G1004" t="s">
        <v>19</v>
      </c>
      <c r="H1004">
        <f>Cleaned_Data!K1004</f>
        <v>9.75</v>
      </c>
      <c r="I1004" t="str">
        <f t="shared" si="45"/>
        <v>YES</v>
      </c>
      <c r="J1004">
        <f>Cleaned_Data!J1004</f>
        <v>48</v>
      </c>
      <c r="K1004" t="str">
        <f t="shared" si="46"/>
        <v>2024-09</v>
      </c>
      <c r="L1004">
        <f t="shared" si="47"/>
        <v>0</v>
      </c>
    </row>
    <row r="1005" spans="1:12">
      <c r="A1005" t="s">
        <v>2931</v>
      </c>
      <c r="B1005" t="s">
        <v>2932</v>
      </c>
      <c r="C1005" t="s">
        <v>2933</v>
      </c>
      <c r="D1005" t="s">
        <v>15</v>
      </c>
      <c r="E1005" t="s">
        <v>16</v>
      </c>
      <c r="F1005" t="s">
        <v>29</v>
      </c>
      <c r="G1005" t="s">
        <v>19</v>
      </c>
      <c r="H1005">
        <f>Cleaned_Data!K1005</f>
        <v>4.24</v>
      </c>
      <c r="I1005" t="str">
        <f t="shared" si="45"/>
        <v>YES</v>
      </c>
      <c r="J1005">
        <f>Cleaned_Data!J1005</f>
        <v>8</v>
      </c>
      <c r="K1005" t="str">
        <f t="shared" si="46"/>
        <v>2024-10</v>
      </c>
      <c r="L1005">
        <f t="shared" si="47"/>
        <v>0</v>
      </c>
    </row>
    <row r="1006" spans="1:12">
      <c r="A1006" t="s">
        <v>2934</v>
      </c>
      <c r="B1006" t="s">
        <v>2935</v>
      </c>
      <c r="C1006" t="s">
        <v>2936</v>
      </c>
      <c r="D1006" t="s">
        <v>23</v>
      </c>
      <c r="E1006" t="s">
        <v>54</v>
      </c>
      <c r="F1006" t="s">
        <v>41</v>
      </c>
      <c r="G1006" t="s">
        <v>19</v>
      </c>
      <c r="H1006">
        <f>Cleaned_Data!K1006</f>
        <v>6.37</v>
      </c>
      <c r="I1006" t="str">
        <f t="shared" si="45"/>
        <v>YES</v>
      </c>
      <c r="J1006">
        <f>Cleaned_Data!J1006</f>
        <v>24</v>
      </c>
      <c r="K1006" t="str">
        <f t="shared" si="46"/>
        <v>2024-01</v>
      </c>
      <c r="L1006">
        <f t="shared" si="47"/>
        <v>0</v>
      </c>
    </row>
    <row r="1007" spans="1:12">
      <c r="A1007" t="s">
        <v>2937</v>
      </c>
      <c r="B1007" t="s">
        <v>2938</v>
      </c>
      <c r="C1007" t="s">
        <v>2939</v>
      </c>
      <c r="D1007" t="s">
        <v>15</v>
      </c>
      <c r="E1007" t="s">
        <v>59</v>
      </c>
      <c r="F1007" t="s">
        <v>29</v>
      </c>
      <c r="G1007" t="s">
        <v>31</v>
      </c>
      <c r="H1007">
        <f>Cleaned_Data!K1007</f>
        <v>1.26</v>
      </c>
      <c r="I1007" t="str">
        <f t="shared" si="45"/>
        <v>YES</v>
      </c>
      <c r="J1007">
        <f>Cleaned_Data!J1007</f>
        <v>8</v>
      </c>
      <c r="K1007" t="str">
        <f t="shared" si="46"/>
        <v>2024-04</v>
      </c>
      <c r="L1007">
        <f t="shared" si="47"/>
        <v>0</v>
      </c>
    </row>
    <row r="1008" spans="1:12">
      <c r="A1008" t="s">
        <v>2940</v>
      </c>
      <c r="B1008" t="s">
        <v>2941</v>
      </c>
      <c r="C1008" t="s">
        <v>2942</v>
      </c>
      <c r="D1008" t="s">
        <v>23</v>
      </c>
      <c r="E1008" t="s">
        <v>28</v>
      </c>
      <c r="F1008" t="s">
        <v>41</v>
      </c>
      <c r="G1008" t="s">
        <v>31</v>
      </c>
      <c r="H1008">
        <f>Cleaned_Data!K1008</f>
        <v>2.77</v>
      </c>
      <c r="I1008" t="str">
        <f t="shared" si="45"/>
        <v>YES</v>
      </c>
      <c r="J1008">
        <f>Cleaned_Data!J1008</f>
        <v>24</v>
      </c>
      <c r="K1008" t="str">
        <f t="shared" si="46"/>
        <v>2024-04</v>
      </c>
      <c r="L1008">
        <f t="shared" si="47"/>
        <v>0</v>
      </c>
    </row>
    <row r="1009" spans="1:12">
      <c r="A1009" t="s">
        <v>2943</v>
      </c>
      <c r="B1009" t="s">
        <v>2944</v>
      </c>
      <c r="C1009" t="s">
        <v>2945</v>
      </c>
      <c r="D1009" t="s">
        <v>15</v>
      </c>
      <c r="E1009" t="s">
        <v>16</v>
      </c>
      <c r="F1009" t="s">
        <v>17</v>
      </c>
      <c r="G1009" t="s">
        <v>31</v>
      </c>
      <c r="H1009">
        <f>Cleaned_Data!K1009</f>
        <v>2.66</v>
      </c>
      <c r="I1009" t="str">
        <f t="shared" si="45"/>
        <v>YES</v>
      </c>
      <c r="J1009">
        <f>Cleaned_Data!J1009</f>
        <v>8</v>
      </c>
      <c r="K1009" t="str">
        <f t="shared" si="46"/>
        <v>2024-04</v>
      </c>
      <c r="L1009">
        <f t="shared" si="47"/>
        <v>0</v>
      </c>
    </row>
    <row r="1010" spans="1:12">
      <c r="A1010" t="s">
        <v>2946</v>
      </c>
      <c r="B1010" t="s">
        <v>2947</v>
      </c>
      <c r="C1010" t="s">
        <v>2948</v>
      </c>
      <c r="D1010" t="s">
        <v>15</v>
      </c>
      <c r="E1010" t="s">
        <v>24</v>
      </c>
      <c r="F1010" t="s">
        <v>60</v>
      </c>
      <c r="G1010" t="s">
        <v>19</v>
      </c>
      <c r="H1010">
        <f>Cleaned_Data!K1010</f>
        <v>5.12</v>
      </c>
      <c r="I1010" t="str">
        <f t="shared" si="45"/>
        <v>YES</v>
      </c>
      <c r="J1010">
        <f>Cleaned_Data!J1010</f>
        <v>8</v>
      </c>
      <c r="K1010" t="str">
        <f t="shared" si="46"/>
        <v>2024-03</v>
      </c>
      <c r="L1010">
        <f t="shared" si="47"/>
        <v>0</v>
      </c>
    </row>
    <row r="1011" spans="1:12">
      <c r="A1011" t="s">
        <v>2949</v>
      </c>
      <c r="B1011" t="s">
        <v>2950</v>
      </c>
      <c r="C1011" t="s">
        <v>2951</v>
      </c>
      <c r="D1011" t="s">
        <v>23</v>
      </c>
      <c r="E1011" t="s">
        <v>16</v>
      </c>
      <c r="F1011" t="s">
        <v>41</v>
      </c>
      <c r="G1011" t="s">
        <v>19</v>
      </c>
      <c r="H1011">
        <f>Cleaned_Data!K1011</f>
        <v>2.5</v>
      </c>
      <c r="I1011" t="str">
        <f t="shared" si="45"/>
        <v>YES</v>
      </c>
      <c r="J1011">
        <f>Cleaned_Data!J1011</f>
        <v>24</v>
      </c>
      <c r="K1011" t="str">
        <f t="shared" si="46"/>
        <v>2024-09</v>
      </c>
      <c r="L1011">
        <f t="shared" si="47"/>
        <v>0</v>
      </c>
    </row>
    <row r="1012" spans="1:12">
      <c r="A1012" t="s">
        <v>2952</v>
      </c>
      <c r="B1012" t="s">
        <v>2953</v>
      </c>
      <c r="C1012" t="s">
        <v>2954</v>
      </c>
      <c r="D1012" t="s">
        <v>15</v>
      </c>
      <c r="E1012" t="s">
        <v>28</v>
      </c>
      <c r="F1012" t="s">
        <v>17</v>
      </c>
      <c r="G1012" t="s">
        <v>19</v>
      </c>
      <c r="H1012">
        <f>Cleaned_Data!K1012</f>
        <v>7.53</v>
      </c>
      <c r="I1012" t="str">
        <f t="shared" si="45"/>
        <v>YES</v>
      </c>
      <c r="J1012">
        <f>Cleaned_Data!J1012</f>
        <v>8</v>
      </c>
      <c r="K1012" t="str">
        <f t="shared" si="46"/>
        <v>2024-10</v>
      </c>
      <c r="L1012">
        <f t="shared" si="47"/>
        <v>0</v>
      </c>
    </row>
    <row r="1013" spans="1:12">
      <c r="A1013" t="s">
        <v>2955</v>
      </c>
      <c r="B1013" t="s">
        <v>2956</v>
      </c>
      <c r="C1013" t="s">
        <v>2957</v>
      </c>
      <c r="D1013" t="s">
        <v>23</v>
      </c>
      <c r="E1013" t="s">
        <v>24</v>
      </c>
      <c r="F1013" t="s">
        <v>36</v>
      </c>
      <c r="G1013" t="s">
        <v>19</v>
      </c>
      <c r="H1013">
        <f>Cleaned_Data!K1013</f>
        <v>10.88</v>
      </c>
      <c r="I1013" t="str">
        <f t="shared" si="45"/>
        <v>YES</v>
      </c>
      <c r="J1013">
        <f>Cleaned_Data!J1013</f>
        <v>24</v>
      </c>
      <c r="K1013" t="str">
        <f t="shared" si="46"/>
        <v>2024-03</v>
      </c>
      <c r="L1013">
        <f t="shared" si="47"/>
        <v>0</v>
      </c>
    </row>
    <row r="1014" spans="1:12">
      <c r="A1014" t="s">
        <v>2958</v>
      </c>
      <c r="B1014" t="s">
        <v>2959</v>
      </c>
      <c r="D1014" t="s">
        <v>15</v>
      </c>
      <c r="E1014" t="s">
        <v>54</v>
      </c>
      <c r="F1014" t="s">
        <v>60</v>
      </c>
      <c r="G1014" t="s">
        <v>63</v>
      </c>
      <c r="H1014">
        <f>Cleaned_Data!K1014</f>
        <v>0</v>
      </c>
      <c r="I1014" t="str">
        <f t="shared" si="45"/>
        <v/>
      </c>
      <c r="J1014">
        <f>Cleaned_Data!J1014</f>
        <v>8</v>
      </c>
      <c r="K1014" t="str">
        <f t="shared" si="46"/>
        <v>2024-05</v>
      </c>
      <c r="L1014">
        <f t="shared" si="47"/>
        <v>0</v>
      </c>
    </row>
    <row r="1015" spans="1:12">
      <c r="A1015" t="s">
        <v>2960</v>
      </c>
      <c r="B1015" t="s">
        <v>2961</v>
      </c>
      <c r="C1015" t="s">
        <v>2962</v>
      </c>
      <c r="D1015" t="s">
        <v>35</v>
      </c>
      <c r="E1015" t="s">
        <v>24</v>
      </c>
      <c r="F1015" t="s">
        <v>17</v>
      </c>
      <c r="G1015" t="s">
        <v>19</v>
      </c>
      <c r="H1015">
        <f>Cleaned_Data!K1015</f>
        <v>21.21</v>
      </c>
      <c r="I1015" t="str">
        <f t="shared" si="45"/>
        <v>YES</v>
      </c>
      <c r="J1015">
        <f>Cleaned_Data!J1015</f>
        <v>48</v>
      </c>
      <c r="K1015" t="str">
        <f t="shared" si="46"/>
        <v>2024-06</v>
      </c>
      <c r="L1015">
        <f t="shared" si="47"/>
        <v>0</v>
      </c>
    </row>
    <row r="1016" spans="1:12">
      <c r="A1016" t="s">
        <v>2963</v>
      </c>
      <c r="B1016" t="s">
        <v>2964</v>
      </c>
      <c r="C1016" t="s">
        <v>2965</v>
      </c>
      <c r="D1016" t="s">
        <v>15</v>
      </c>
      <c r="E1016" t="s">
        <v>28</v>
      </c>
      <c r="F1016" t="s">
        <v>29</v>
      </c>
      <c r="G1016" t="s">
        <v>31</v>
      </c>
      <c r="H1016">
        <f>Cleaned_Data!K1016</f>
        <v>6.82</v>
      </c>
      <c r="I1016" t="str">
        <f t="shared" si="45"/>
        <v>YES</v>
      </c>
      <c r="J1016">
        <f>Cleaned_Data!J1016</f>
        <v>8</v>
      </c>
      <c r="K1016" t="str">
        <f t="shared" si="46"/>
        <v>2024-05</v>
      </c>
      <c r="L1016">
        <f t="shared" si="47"/>
        <v>0</v>
      </c>
    </row>
    <row r="1017" spans="1:12">
      <c r="A1017" t="s">
        <v>2966</v>
      </c>
      <c r="B1017" t="s">
        <v>2967</v>
      </c>
      <c r="C1017" t="s">
        <v>2968</v>
      </c>
      <c r="D1017" t="s">
        <v>23</v>
      </c>
      <c r="E1017" t="s">
        <v>59</v>
      </c>
      <c r="F1017" t="s">
        <v>36</v>
      </c>
      <c r="G1017" t="s">
        <v>19</v>
      </c>
      <c r="H1017">
        <f>Cleaned_Data!K1017</f>
        <v>65</v>
      </c>
      <c r="I1017" t="str">
        <f t="shared" si="45"/>
        <v>NO</v>
      </c>
      <c r="J1017">
        <f>Cleaned_Data!J1017</f>
        <v>24</v>
      </c>
      <c r="K1017" t="str">
        <f t="shared" si="46"/>
        <v>2024-10</v>
      </c>
      <c r="L1017">
        <f t="shared" si="47"/>
        <v>41</v>
      </c>
    </row>
    <row r="1018" spans="1:12">
      <c r="A1018" t="s">
        <v>2969</v>
      </c>
      <c r="B1018" t="s">
        <v>2970</v>
      </c>
      <c r="D1018" t="s">
        <v>23</v>
      </c>
      <c r="E1018" t="s">
        <v>59</v>
      </c>
      <c r="F1018" t="s">
        <v>41</v>
      </c>
      <c r="G1018" t="s">
        <v>63</v>
      </c>
      <c r="H1018">
        <f>Cleaned_Data!K1018</f>
        <v>0</v>
      </c>
      <c r="I1018" t="str">
        <f t="shared" si="45"/>
        <v/>
      </c>
      <c r="J1018">
        <f>Cleaned_Data!J1018</f>
        <v>24</v>
      </c>
      <c r="K1018" t="str">
        <f t="shared" si="46"/>
        <v>2024-02</v>
      </c>
      <c r="L1018">
        <f t="shared" si="47"/>
        <v>0</v>
      </c>
    </row>
    <row r="1019" spans="1:12">
      <c r="A1019" t="s">
        <v>2971</v>
      </c>
      <c r="B1019" t="s">
        <v>2972</v>
      </c>
      <c r="C1019" t="s">
        <v>2973</v>
      </c>
      <c r="D1019" t="s">
        <v>23</v>
      </c>
      <c r="E1019" t="s">
        <v>28</v>
      </c>
      <c r="F1019" t="s">
        <v>29</v>
      </c>
      <c r="G1019" t="s">
        <v>19</v>
      </c>
      <c r="H1019">
        <f>Cleaned_Data!K1019</f>
        <v>14.81</v>
      </c>
      <c r="I1019" t="str">
        <f t="shared" si="45"/>
        <v>YES</v>
      </c>
      <c r="J1019">
        <f>Cleaned_Data!J1019</f>
        <v>24</v>
      </c>
      <c r="K1019" t="str">
        <f t="shared" si="46"/>
        <v>2024-10</v>
      </c>
      <c r="L1019">
        <f t="shared" si="47"/>
        <v>0</v>
      </c>
    </row>
    <row r="1020" spans="1:12">
      <c r="A1020" t="s">
        <v>2974</v>
      </c>
      <c r="B1020" t="s">
        <v>2975</v>
      </c>
      <c r="C1020" t="s">
        <v>2976</v>
      </c>
      <c r="D1020" t="s">
        <v>23</v>
      </c>
      <c r="E1020" t="s">
        <v>16</v>
      </c>
      <c r="F1020" t="s">
        <v>60</v>
      </c>
      <c r="G1020" t="s">
        <v>31</v>
      </c>
      <c r="H1020">
        <f>Cleaned_Data!K1020</f>
        <v>2.83</v>
      </c>
      <c r="I1020" t="str">
        <f t="shared" si="45"/>
        <v>YES</v>
      </c>
      <c r="J1020">
        <f>Cleaned_Data!J1020</f>
        <v>24</v>
      </c>
      <c r="K1020" t="str">
        <f t="shared" si="46"/>
        <v>2024-05</v>
      </c>
      <c r="L1020">
        <f t="shared" si="47"/>
        <v>0</v>
      </c>
    </row>
    <row r="1021" spans="1:12">
      <c r="A1021" t="s">
        <v>2977</v>
      </c>
      <c r="B1021" t="s">
        <v>2978</v>
      </c>
      <c r="C1021" t="s">
        <v>2979</v>
      </c>
      <c r="D1021" t="s">
        <v>15</v>
      </c>
      <c r="E1021" t="s">
        <v>16</v>
      </c>
      <c r="F1021" t="s">
        <v>17</v>
      </c>
      <c r="G1021" t="s">
        <v>19</v>
      </c>
      <c r="H1021">
        <f>Cleaned_Data!K1021</f>
        <v>4.1900000000000004</v>
      </c>
      <c r="I1021" t="str">
        <f t="shared" si="45"/>
        <v>YES</v>
      </c>
      <c r="J1021">
        <f>Cleaned_Data!J1021</f>
        <v>8</v>
      </c>
      <c r="K1021" t="str">
        <f t="shared" si="46"/>
        <v>2024-02</v>
      </c>
      <c r="L1021">
        <f t="shared" si="47"/>
        <v>0</v>
      </c>
    </row>
    <row r="1022" spans="1:12">
      <c r="A1022" t="s">
        <v>2980</v>
      </c>
      <c r="B1022" t="s">
        <v>2981</v>
      </c>
      <c r="C1022" t="s">
        <v>2982</v>
      </c>
      <c r="D1022" t="s">
        <v>15</v>
      </c>
      <c r="E1022" t="s">
        <v>28</v>
      </c>
      <c r="F1022" t="s">
        <v>60</v>
      </c>
      <c r="G1022" t="s">
        <v>31</v>
      </c>
      <c r="H1022">
        <f>Cleaned_Data!K1022</f>
        <v>2.69</v>
      </c>
      <c r="I1022" t="str">
        <f t="shared" si="45"/>
        <v>YES</v>
      </c>
      <c r="J1022">
        <f>Cleaned_Data!J1022</f>
        <v>8</v>
      </c>
      <c r="K1022" t="str">
        <f t="shared" si="46"/>
        <v>2024-05</v>
      </c>
      <c r="L1022">
        <f t="shared" si="47"/>
        <v>0</v>
      </c>
    </row>
    <row r="1023" spans="1:12">
      <c r="A1023" t="s">
        <v>2983</v>
      </c>
      <c r="B1023" t="s">
        <v>2984</v>
      </c>
      <c r="C1023" t="s">
        <v>2985</v>
      </c>
      <c r="D1023" t="s">
        <v>158</v>
      </c>
      <c r="E1023" t="s">
        <v>16</v>
      </c>
      <c r="F1023" t="s">
        <v>41</v>
      </c>
      <c r="G1023" t="s">
        <v>31</v>
      </c>
      <c r="H1023">
        <f>Cleaned_Data!K1023</f>
        <v>1.18</v>
      </c>
      <c r="I1023" t="str">
        <f t="shared" si="45"/>
        <v>YES</v>
      </c>
      <c r="J1023">
        <f>Cleaned_Data!J1023</f>
        <v>4</v>
      </c>
      <c r="K1023" t="str">
        <f t="shared" si="46"/>
        <v>2024-10</v>
      </c>
      <c r="L1023">
        <f t="shared" si="47"/>
        <v>0</v>
      </c>
    </row>
    <row r="1024" spans="1:12">
      <c r="A1024" t="s">
        <v>2986</v>
      </c>
      <c r="B1024" t="s">
        <v>2987</v>
      </c>
      <c r="C1024" t="s">
        <v>2988</v>
      </c>
      <c r="D1024" t="s">
        <v>15</v>
      </c>
      <c r="E1024" t="s">
        <v>28</v>
      </c>
      <c r="F1024" t="s">
        <v>17</v>
      </c>
      <c r="G1024" t="s">
        <v>31</v>
      </c>
      <c r="H1024">
        <f>Cleaned_Data!K1024</f>
        <v>6.73</v>
      </c>
      <c r="I1024" t="str">
        <f t="shared" si="45"/>
        <v>YES</v>
      </c>
      <c r="J1024">
        <f>Cleaned_Data!J1024</f>
        <v>8</v>
      </c>
      <c r="K1024" t="str">
        <f t="shared" si="46"/>
        <v>2024-05</v>
      </c>
      <c r="L1024">
        <f t="shared" si="47"/>
        <v>0</v>
      </c>
    </row>
    <row r="1025" spans="1:12">
      <c r="A1025" t="s">
        <v>2989</v>
      </c>
      <c r="B1025" t="s">
        <v>2990</v>
      </c>
      <c r="D1025" t="s">
        <v>23</v>
      </c>
      <c r="E1025" t="s">
        <v>24</v>
      </c>
      <c r="F1025" t="s">
        <v>41</v>
      </c>
      <c r="G1025" t="s">
        <v>63</v>
      </c>
      <c r="H1025">
        <f>Cleaned_Data!K1025</f>
        <v>0</v>
      </c>
      <c r="I1025" t="str">
        <f t="shared" si="45"/>
        <v/>
      </c>
      <c r="J1025">
        <f>Cleaned_Data!J1025</f>
        <v>24</v>
      </c>
      <c r="K1025" t="str">
        <f t="shared" si="46"/>
        <v>2024-03</v>
      </c>
      <c r="L1025">
        <f t="shared" si="47"/>
        <v>0</v>
      </c>
    </row>
    <row r="1026" spans="1:12">
      <c r="A1026" t="s">
        <v>2991</v>
      </c>
      <c r="B1026" t="s">
        <v>2992</v>
      </c>
      <c r="D1026" t="s">
        <v>23</v>
      </c>
      <c r="E1026" t="s">
        <v>24</v>
      </c>
      <c r="F1026" t="s">
        <v>17</v>
      </c>
      <c r="G1026" t="s">
        <v>63</v>
      </c>
      <c r="H1026">
        <f>Cleaned_Data!K1026</f>
        <v>0</v>
      </c>
      <c r="I1026" t="str">
        <f t="shared" ref="I1026:I1089" si="48">IF(OR(G1026="Resolved", G1026="Closed"), IF(AND(H1026&lt;&gt;"", H1026&lt;=J1026), "YES", "NO"), "")</f>
        <v/>
      </c>
      <c r="J1026">
        <f>Cleaned_Data!J1026</f>
        <v>24</v>
      </c>
      <c r="K1026" t="str">
        <f t="shared" ref="K1026:K1089" si="49">LEFT(B1026, 7)</f>
        <v>2024-01</v>
      </c>
      <c r="L1026">
        <f t="shared" ref="L1026:L1089" si="50">IF(I1026="NO", H1026-J1026, 0)</f>
        <v>0</v>
      </c>
    </row>
    <row r="1027" spans="1:12">
      <c r="A1027" t="s">
        <v>2993</v>
      </c>
      <c r="B1027" t="s">
        <v>2994</v>
      </c>
      <c r="C1027" t="s">
        <v>2995</v>
      </c>
      <c r="D1027" t="s">
        <v>23</v>
      </c>
      <c r="E1027" t="s">
        <v>28</v>
      </c>
      <c r="F1027" t="s">
        <v>41</v>
      </c>
      <c r="G1027" t="s">
        <v>19</v>
      </c>
      <c r="H1027">
        <f>Cleaned_Data!K1027</f>
        <v>11.05</v>
      </c>
      <c r="I1027" t="str">
        <f t="shared" si="48"/>
        <v>YES</v>
      </c>
      <c r="J1027">
        <f>Cleaned_Data!J1027</f>
        <v>24</v>
      </c>
      <c r="K1027" t="str">
        <f t="shared" si="49"/>
        <v>2024-04</v>
      </c>
      <c r="L1027">
        <f t="shared" si="50"/>
        <v>0</v>
      </c>
    </row>
    <row r="1028" spans="1:12">
      <c r="A1028" t="s">
        <v>2996</v>
      </c>
      <c r="B1028" t="s">
        <v>2997</v>
      </c>
      <c r="C1028" t="s">
        <v>2998</v>
      </c>
      <c r="D1028" t="s">
        <v>15</v>
      </c>
      <c r="E1028" t="s">
        <v>28</v>
      </c>
      <c r="F1028" t="s">
        <v>17</v>
      </c>
      <c r="G1028" t="s">
        <v>31</v>
      </c>
      <c r="H1028">
        <f>Cleaned_Data!K1028</f>
        <v>7.27</v>
      </c>
      <c r="I1028" t="str">
        <f t="shared" si="48"/>
        <v>YES</v>
      </c>
      <c r="J1028">
        <f>Cleaned_Data!J1028</f>
        <v>8</v>
      </c>
      <c r="K1028" t="str">
        <f t="shared" si="49"/>
        <v>2024-04</v>
      </c>
      <c r="L1028">
        <f t="shared" si="50"/>
        <v>0</v>
      </c>
    </row>
    <row r="1029" spans="1:12">
      <c r="A1029" t="s">
        <v>2999</v>
      </c>
      <c r="B1029" t="s">
        <v>3000</v>
      </c>
      <c r="C1029" t="s">
        <v>3001</v>
      </c>
      <c r="D1029" t="s">
        <v>15</v>
      </c>
      <c r="E1029" t="s">
        <v>28</v>
      </c>
      <c r="F1029" t="s">
        <v>60</v>
      </c>
      <c r="G1029" t="s">
        <v>31</v>
      </c>
      <c r="H1029">
        <f>Cleaned_Data!K1029</f>
        <v>6.37</v>
      </c>
      <c r="I1029" t="str">
        <f t="shared" si="48"/>
        <v>YES</v>
      </c>
      <c r="J1029">
        <f>Cleaned_Data!J1029</f>
        <v>8</v>
      </c>
      <c r="K1029" t="str">
        <f t="shared" si="49"/>
        <v>2024-05</v>
      </c>
      <c r="L1029">
        <f t="shared" si="50"/>
        <v>0</v>
      </c>
    </row>
    <row r="1030" spans="1:12">
      <c r="A1030" t="s">
        <v>3002</v>
      </c>
      <c r="B1030" t="s">
        <v>3003</v>
      </c>
      <c r="C1030" t="s">
        <v>3004</v>
      </c>
      <c r="D1030" t="s">
        <v>23</v>
      </c>
      <c r="E1030" t="s">
        <v>28</v>
      </c>
      <c r="F1030" t="s">
        <v>36</v>
      </c>
      <c r="G1030" t="s">
        <v>31</v>
      </c>
      <c r="H1030">
        <f>Cleaned_Data!K1030</f>
        <v>17.22</v>
      </c>
      <c r="I1030" t="str">
        <f t="shared" si="48"/>
        <v>YES</v>
      </c>
      <c r="J1030">
        <f>Cleaned_Data!J1030</f>
        <v>24</v>
      </c>
      <c r="K1030" t="str">
        <f t="shared" si="49"/>
        <v>2024-01</v>
      </c>
      <c r="L1030">
        <f t="shared" si="50"/>
        <v>0</v>
      </c>
    </row>
    <row r="1031" spans="1:12">
      <c r="A1031" t="s">
        <v>3005</v>
      </c>
      <c r="B1031" t="s">
        <v>3006</v>
      </c>
      <c r="C1031" t="s">
        <v>3007</v>
      </c>
      <c r="D1031" t="s">
        <v>15</v>
      </c>
      <c r="E1031" t="s">
        <v>28</v>
      </c>
      <c r="F1031" t="s">
        <v>60</v>
      </c>
      <c r="G1031" t="s">
        <v>19</v>
      </c>
      <c r="H1031">
        <f>Cleaned_Data!K1031</f>
        <v>5.66</v>
      </c>
      <c r="I1031" t="str">
        <f t="shared" si="48"/>
        <v>YES</v>
      </c>
      <c r="J1031">
        <f>Cleaned_Data!J1031</f>
        <v>8</v>
      </c>
      <c r="K1031" t="str">
        <f t="shared" si="49"/>
        <v>2024-06</v>
      </c>
      <c r="L1031">
        <f t="shared" si="50"/>
        <v>0</v>
      </c>
    </row>
    <row r="1032" spans="1:12">
      <c r="A1032" t="s">
        <v>3008</v>
      </c>
      <c r="B1032" t="s">
        <v>3009</v>
      </c>
      <c r="C1032" t="s">
        <v>3010</v>
      </c>
      <c r="D1032" t="s">
        <v>15</v>
      </c>
      <c r="E1032" t="s">
        <v>24</v>
      </c>
      <c r="F1032" t="s">
        <v>60</v>
      </c>
      <c r="G1032" t="s">
        <v>31</v>
      </c>
      <c r="H1032">
        <f>Cleaned_Data!K1032</f>
        <v>7.09</v>
      </c>
      <c r="I1032" t="str">
        <f t="shared" si="48"/>
        <v>YES</v>
      </c>
      <c r="J1032">
        <f>Cleaned_Data!J1032</f>
        <v>8</v>
      </c>
      <c r="K1032" t="str">
        <f t="shared" si="49"/>
        <v>2024-12</v>
      </c>
      <c r="L1032">
        <f t="shared" si="50"/>
        <v>0</v>
      </c>
    </row>
    <row r="1033" spans="1:12">
      <c r="A1033" t="s">
        <v>3011</v>
      </c>
      <c r="B1033" t="s">
        <v>3012</v>
      </c>
      <c r="C1033" t="s">
        <v>3013</v>
      </c>
      <c r="D1033" t="s">
        <v>23</v>
      </c>
      <c r="E1033" t="s">
        <v>28</v>
      </c>
      <c r="F1033" t="s">
        <v>60</v>
      </c>
      <c r="G1033" t="s">
        <v>19</v>
      </c>
      <c r="H1033">
        <f>Cleaned_Data!K1033</f>
        <v>21.2</v>
      </c>
      <c r="I1033" t="str">
        <f t="shared" si="48"/>
        <v>YES</v>
      </c>
      <c r="J1033">
        <f>Cleaned_Data!J1033</f>
        <v>24</v>
      </c>
      <c r="K1033" t="str">
        <f t="shared" si="49"/>
        <v>2024-10</v>
      </c>
      <c r="L1033">
        <f t="shared" si="50"/>
        <v>0</v>
      </c>
    </row>
    <row r="1034" spans="1:12">
      <c r="A1034" t="s">
        <v>3014</v>
      </c>
      <c r="B1034" t="s">
        <v>3015</v>
      </c>
      <c r="C1034" t="s">
        <v>3016</v>
      </c>
      <c r="D1034" t="s">
        <v>15</v>
      </c>
      <c r="E1034" t="s">
        <v>16</v>
      </c>
      <c r="F1034" t="s">
        <v>29</v>
      </c>
      <c r="G1034" t="s">
        <v>19</v>
      </c>
      <c r="H1034">
        <f>Cleaned_Data!K1034</f>
        <v>5.12</v>
      </c>
      <c r="I1034" t="str">
        <f t="shared" si="48"/>
        <v>YES</v>
      </c>
      <c r="J1034">
        <f>Cleaned_Data!J1034</f>
        <v>8</v>
      </c>
      <c r="K1034" t="str">
        <f t="shared" si="49"/>
        <v>2024-08</v>
      </c>
      <c r="L1034">
        <f t="shared" si="50"/>
        <v>0</v>
      </c>
    </row>
    <row r="1035" spans="1:12">
      <c r="A1035" t="s">
        <v>3017</v>
      </c>
      <c r="B1035" t="s">
        <v>3018</v>
      </c>
      <c r="C1035" t="s">
        <v>3019</v>
      </c>
      <c r="D1035" t="s">
        <v>23</v>
      </c>
      <c r="E1035" t="s">
        <v>59</v>
      </c>
      <c r="F1035" t="s">
        <v>17</v>
      </c>
      <c r="G1035" t="s">
        <v>19</v>
      </c>
      <c r="H1035">
        <f>Cleaned_Data!K1035</f>
        <v>42.11</v>
      </c>
      <c r="I1035" t="str">
        <f t="shared" si="48"/>
        <v>NO</v>
      </c>
      <c r="J1035">
        <f>Cleaned_Data!J1035</f>
        <v>24</v>
      </c>
      <c r="K1035" t="str">
        <f t="shared" si="49"/>
        <v>2024-01</v>
      </c>
      <c r="L1035">
        <f t="shared" si="50"/>
        <v>18.11</v>
      </c>
    </row>
    <row r="1036" spans="1:12">
      <c r="A1036" t="s">
        <v>3020</v>
      </c>
      <c r="B1036" t="s">
        <v>3021</v>
      </c>
      <c r="C1036" t="s">
        <v>3022</v>
      </c>
      <c r="D1036" t="s">
        <v>23</v>
      </c>
      <c r="E1036" t="s">
        <v>54</v>
      </c>
      <c r="F1036" t="s">
        <v>29</v>
      </c>
      <c r="G1036" t="s">
        <v>19</v>
      </c>
      <c r="H1036">
        <f>Cleaned_Data!K1036</f>
        <v>7.59</v>
      </c>
      <c r="I1036" t="str">
        <f t="shared" si="48"/>
        <v>YES</v>
      </c>
      <c r="J1036">
        <f>Cleaned_Data!J1036</f>
        <v>24</v>
      </c>
      <c r="K1036" t="str">
        <f t="shared" si="49"/>
        <v>2024-01</v>
      </c>
      <c r="L1036">
        <f t="shared" si="50"/>
        <v>0</v>
      </c>
    </row>
    <row r="1037" spans="1:12">
      <c r="A1037" t="s">
        <v>3023</v>
      </c>
      <c r="B1037" t="s">
        <v>3024</v>
      </c>
      <c r="C1037" t="s">
        <v>3025</v>
      </c>
      <c r="D1037" t="s">
        <v>35</v>
      </c>
      <c r="E1037" t="s">
        <v>24</v>
      </c>
      <c r="F1037" t="s">
        <v>36</v>
      </c>
      <c r="G1037" t="s">
        <v>31</v>
      </c>
      <c r="H1037">
        <f>Cleaned_Data!K1037</f>
        <v>33.61</v>
      </c>
      <c r="I1037" t="str">
        <f t="shared" si="48"/>
        <v>YES</v>
      </c>
      <c r="J1037">
        <f>Cleaned_Data!J1037</f>
        <v>48</v>
      </c>
      <c r="K1037" t="str">
        <f t="shared" si="49"/>
        <v>2024-09</v>
      </c>
      <c r="L1037">
        <f t="shared" si="50"/>
        <v>0</v>
      </c>
    </row>
    <row r="1038" spans="1:12">
      <c r="A1038" t="s">
        <v>3026</v>
      </c>
      <c r="B1038" t="s">
        <v>3027</v>
      </c>
      <c r="C1038" t="s">
        <v>3028</v>
      </c>
      <c r="D1038" t="s">
        <v>23</v>
      </c>
      <c r="E1038" t="s">
        <v>24</v>
      </c>
      <c r="F1038" t="s">
        <v>41</v>
      </c>
      <c r="G1038" t="s">
        <v>31</v>
      </c>
      <c r="H1038">
        <f>Cleaned_Data!K1038</f>
        <v>8.57</v>
      </c>
      <c r="I1038" t="str">
        <f t="shared" si="48"/>
        <v>YES</v>
      </c>
      <c r="J1038">
        <f>Cleaned_Data!J1038</f>
        <v>24</v>
      </c>
      <c r="K1038" t="str">
        <f t="shared" si="49"/>
        <v>2024-02</v>
      </c>
      <c r="L1038">
        <f t="shared" si="50"/>
        <v>0</v>
      </c>
    </row>
    <row r="1039" spans="1:12">
      <c r="A1039" t="s">
        <v>3029</v>
      </c>
      <c r="B1039" t="s">
        <v>3030</v>
      </c>
      <c r="C1039" t="s">
        <v>3031</v>
      </c>
      <c r="D1039" t="s">
        <v>35</v>
      </c>
      <c r="E1039" t="s">
        <v>54</v>
      </c>
      <c r="F1039" t="s">
        <v>41</v>
      </c>
      <c r="G1039" t="s">
        <v>31</v>
      </c>
      <c r="H1039">
        <f>Cleaned_Data!K1039</f>
        <v>28.16</v>
      </c>
      <c r="I1039" t="str">
        <f t="shared" si="48"/>
        <v>YES</v>
      </c>
      <c r="J1039">
        <f>Cleaned_Data!J1039</f>
        <v>48</v>
      </c>
      <c r="K1039" t="str">
        <f t="shared" si="49"/>
        <v>2024-09</v>
      </c>
      <c r="L1039">
        <f t="shared" si="50"/>
        <v>0</v>
      </c>
    </row>
    <row r="1040" spans="1:12">
      <c r="A1040" t="s">
        <v>3032</v>
      </c>
      <c r="B1040" t="s">
        <v>3033</v>
      </c>
      <c r="C1040" t="s">
        <v>3034</v>
      </c>
      <c r="D1040" t="s">
        <v>15</v>
      </c>
      <c r="E1040" t="s">
        <v>16</v>
      </c>
      <c r="F1040" t="s">
        <v>41</v>
      </c>
      <c r="G1040" t="s">
        <v>19</v>
      </c>
      <c r="H1040">
        <f>Cleaned_Data!K1040</f>
        <v>21.14</v>
      </c>
      <c r="I1040" t="str">
        <f t="shared" si="48"/>
        <v>NO</v>
      </c>
      <c r="J1040">
        <f>Cleaned_Data!J1040</f>
        <v>8</v>
      </c>
      <c r="K1040" t="str">
        <f t="shared" si="49"/>
        <v>2024-11</v>
      </c>
      <c r="L1040">
        <f t="shared" si="50"/>
        <v>13.14</v>
      </c>
    </row>
    <row r="1041" spans="1:12">
      <c r="A1041" t="s">
        <v>3035</v>
      </c>
      <c r="B1041" t="s">
        <v>3036</v>
      </c>
      <c r="C1041" t="s">
        <v>3037</v>
      </c>
      <c r="D1041" t="s">
        <v>23</v>
      </c>
      <c r="E1041" t="s">
        <v>28</v>
      </c>
      <c r="F1041" t="s">
        <v>41</v>
      </c>
      <c r="G1041" t="s">
        <v>19</v>
      </c>
      <c r="H1041">
        <f>Cleaned_Data!K1041</f>
        <v>6</v>
      </c>
      <c r="I1041" t="str">
        <f t="shared" si="48"/>
        <v>YES</v>
      </c>
      <c r="J1041">
        <f>Cleaned_Data!J1041</f>
        <v>24</v>
      </c>
      <c r="K1041" t="str">
        <f t="shared" si="49"/>
        <v>2024-01</v>
      </c>
      <c r="L1041">
        <f t="shared" si="50"/>
        <v>0</v>
      </c>
    </row>
    <row r="1042" spans="1:12">
      <c r="A1042" t="s">
        <v>3038</v>
      </c>
      <c r="B1042" t="s">
        <v>3039</v>
      </c>
      <c r="C1042" t="s">
        <v>3040</v>
      </c>
      <c r="D1042" t="s">
        <v>15</v>
      </c>
      <c r="E1042" t="s">
        <v>24</v>
      </c>
      <c r="F1042" t="s">
        <v>36</v>
      </c>
      <c r="G1042" t="s">
        <v>31</v>
      </c>
      <c r="H1042">
        <f>Cleaned_Data!K1042</f>
        <v>2.17</v>
      </c>
      <c r="I1042" t="str">
        <f t="shared" si="48"/>
        <v>YES</v>
      </c>
      <c r="J1042">
        <f>Cleaned_Data!J1042</f>
        <v>8</v>
      </c>
      <c r="K1042" t="str">
        <f t="shared" si="49"/>
        <v>2024-02</v>
      </c>
      <c r="L1042">
        <f t="shared" si="50"/>
        <v>0</v>
      </c>
    </row>
    <row r="1043" spans="1:12">
      <c r="A1043" t="s">
        <v>3041</v>
      </c>
      <c r="B1043" t="s">
        <v>3042</v>
      </c>
      <c r="C1043" t="s">
        <v>3043</v>
      </c>
      <c r="D1043" t="s">
        <v>23</v>
      </c>
      <c r="E1043" t="s">
        <v>28</v>
      </c>
      <c r="F1043" t="s">
        <v>41</v>
      </c>
      <c r="G1043" t="s">
        <v>31</v>
      </c>
      <c r="H1043">
        <f>Cleaned_Data!K1043</f>
        <v>20.11</v>
      </c>
      <c r="I1043" t="str">
        <f t="shared" si="48"/>
        <v>YES</v>
      </c>
      <c r="J1043">
        <f>Cleaned_Data!J1043</f>
        <v>24</v>
      </c>
      <c r="K1043" t="str">
        <f t="shared" si="49"/>
        <v>2024-11</v>
      </c>
      <c r="L1043">
        <f t="shared" si="50"/>
        <v>0</v>
      </c>
    </row>
    <row r="1044" spans="1:12">
      <c r="A1044" t="s">
        <v>3044</v>
      </c>
      <c r="B1044" t="s">
        <v>3045</v>
      </c>
      <c r="C1044" t="s">
        <v>3046</v>
      </c>
      <c r="D1044" t="s">
        <v>158</v>
      </c>
      <c r="E1044" t="s">
        <v>24</v>
      </c>
      <c r="F1044" t="s">
        <v>36</v>
      </c>
      <c r="G1044" t="s">
        <v>19</v>
      </c>
      <c r="H1044">
        <f>Cleaned_Data!K1044</f>
        <v>2.0499999999999998</v>
      </c>
      <c r="I1044" t="str">
        <f t="shared" si="48"/>
        <v>YES</v>
      </c>
      <c r="J1044">
        <f>Cleaned_Data!J1044</f>
        <v>4</v>
      </c>
      <c r="K1044" t="str">
        <f t="shared" si="49"/>
        <v>2024-04</v>
      </c>
      <c r="L1044">
        <f t="shared" si="50"/>
        <v>0</v>
      </c>
    </row>
    <row r="1045" spans="1:12">
      <c r="A1045" t="s">
        <v>3047</v>
      </c>
      <c r="B1045" t="s">
        <v>3048</v>
      </c>
      <c r="C1045" t="s">
        <v>3049</v>
      </c>
      <c r="D1045" t="s">
        <v>158</v>
      </c>
      <c r="E1045" t="s">
        <v>16</v>
      </c>
      <c r="F1045" t="s">
        <v>36</v>
      </c>
      <c r="G1045" t="s">
        <v>31</v>
      </c>
      <c r="H1045">
        <f>Cleaned_Data!K1045</f>
        <v>4.96</v>
      </c>
      <c r="I1045" t="str">
        <f t="shared" si="48"/>
        <v>NO</v>
      </c>
      <c r="J1045">
        <f>Cleaned_Data!J1045</f>
        <v>4</v>
      </c>
      <c r="K1045" t="str">
        <f t="shared" si="49"/>
        <v>2024-01</v>
      </c>
      <c r="L1045">
        <f t="shared" si="50"/>
        <v>0.96</v>
      </c>
    </row>
    <row r="1046" spans="1:12">
      <c r="A1046" t="s">
        <v>3050</v>
      </c>
      <c r="B1046" t="s">
        <v>3051</v>
      </c>
      <c r="C1046" t="s">
        <v>3052</v>
      </c>
      <c r="D1046" t="s">
        <v>23</v>
      </c>
      <c r="E1046" t="s">
        <v>28</v>
      </c>
      <c r="F1046" t="s">
        <v>29</v>
      </c>
      <c r="G1046" t="s">
        <v>19</v>
      </c>
      <c r="H1046">
        <f>Cleaned_Data!K1046</f>
        <v>11.16</v>
      </c>
      <c r="I1046" t="str">
        <f t="shared" si="48"/>
        <v>YES</v>
      </c>
      <c r="J1046">
        <f>Cleaned_Data!J1046</f>
        <v>24</v>
      </c>
      <c r="K1046" t="str">
        <f t="shared" si="49"/>
        <v>2024-01</v>
      </c>
      <c r="L1046">
        <f t="shared" si="50"/>
        <v>0</v>
      </c>
    </row>
    <row r="1047" spans="1:12">
      <c r="A1047" t="s">
        <v>3053</v>
      </c>
      <c r="B1047" t="s">
        <v>3054</v>
      </c>
      <c r="C1047" t="s">
        <v>3055</v>
      </c>
      <c r="D1047" t="s">
        <v>15</v>
      </c>
      <c r="E1047" t="s">
        <v>28</v>
      </c>
      <c r="F1047" t="s">
        <v>17</v>
      </c>
      <c r="G1047" t="s">
        <v>31</v>
      </c>
      <c r="H1047">
        <f>Cleaned_Data!K1047</f>
        <v>1.19</v>
      </c>
      <c r="I1047" t="str">
        <f t="shared" si="48"/>
        <v>YES</v>
      </c>
      <c r="J1047">
        <f>Cleaned_Data!J1047</f>
        <v>8</v>
      </c>
      <c r="K1047" t="str">
        <f t="shared" si="49"/>
        <v>2024-12</v>
      </c>
      <c r="L1047">
        <f t="shared" si="50"/>
        <v>0</v>
      </c>
    </row>
    <row r="1048" spans="1:12">
      <c r="A1048" t="s">
        <v>3056</v>
      </c>
      <c r="B1048" t="s">
        <v>3057</v>
      </c>
      <c r="C1048" t="s">
        <v>3058</v>
      </c>
      <c r="D1048" t="s">
        <v>35</v>
      </c>
      <c r="E1048" t="s">
        <v>24</v>
      </c>
      <c r="F1048" t="s">
        <v>41</v>
      </c>
      <c r="G1048" t="s">
        <v>31</v>
      </c>
      <c r="H1048">
        <f>Cleaned_Data!K1048</f>
        <v>52.8</v>
      </c>
      <c r="I1048" t="str">
        <f t="shared" si="48"/>
        <v>NO</v>
      </c>
      <c r="J1048">
        <f>Cleaned_Data!J1048</f>
        <v>48</v>
      </c>
      <c r="K1048" t="str">
        <f t="shared" si="49"/>
        <v>2024-05</v>
      </c>
      <c r="L1048">
        <f t="shared" si="50"/>
        <v>4.7999999999999972</v>
      </c>
    </row>
    <row r="1049" spans="1:12">
      <c r="A1049" t="s">
        <v>3059</v>
      </c>
      <c r="B1049" t="s">
        <v>3060</v>
      </c>
      <c r="C1049" t="s">
        <v>3061</v>
      </c>
      <c r="D1049" t="s">
        <v>15</v>
      </c>
      <c r="E1049" t="s">
        <v>54</v>
      </c>
      <c r="F1049" t="s">
        <v>17</v>
      </c>
      <c r="G1049" t="s">
        <v>19</v>
      </c>
      <c r="H1049">
        <f>Cleaned_Data!K1049</f>
        <v>6.72</v>
      </c>
      <c r="I1049" t="str">
        <f t="shared" si="48"/>
        <v>YES</v>
      </c>
      <c r="J1049">
        <f>Cleaned_Data!J1049</f>
        <v>8</v>
      </c>
      <c r="K1049" t="str">
        <f t="shared" si="49"/>
        <v>2024-07</v>
      </c>
      <c r="L1049">
        <f t="shared" si="50"/>
        <v>0</v>
      </c>
    </row>
    <row r="1050" spans="1:12">
      <c r="A1050" t="s">
        <v>3062</v>
      </c>
      <c r="B1050" t="s">
        <v>3063</v>
      </c>
      <c r="C1050" t="s">
        <v>3064</v>
      </c>
      <c r="D1050" t="s">
        <v>15</v>
      </c>
      <c r="E1050" t="s">
        <v>59</v>
      </c>
      <c r="F1050" t="s">
        <v>29</v>
      </c>
      <c r="G1050" t="s">
        <v>31</v>
      </c>
      <c r="H1050">
        <f>Cleaned_Data!K1050</f>
        <v>23.53</v>
      </c>
      <c r="I1050" t="str">
        <f t="shared" si="48"/>
        <v>NO</v>
      </c>
      <c r="J1050">
        <f>Cleaned_Data!J1050</f>
        <v>8</v>
      </c>
      <c r="K1050" t="str">
        <f t="shared" si="49"/>
        <v>2024-09</v>
      </c>
      <c r="L1050">
        <f t="shared" si="50"/>
        <v>15.530000000000001</v>
      </c>
    </row>
    <row r="1051" spans="1:12">
      <c r="A1051" t="s">
        <v>3065</v>
      </c>
      <c r="B1051" t="s">
        <v>3066</v>
      </c>
      <c r="C1051" t="s">
        <v>3067</v>
      </c>
      <c r="D1051" t="s">
        <v>23</v>
      </c>
      <c r="E1051" t="s">
        <v>54</v>
      </c>
      <c r="F1051" t="s">
        <v>41</v>
      </c>
      <c r="G1051" t="s">
        <v>31</v>
      </c>
      <c r="H1051">
        <f>Cleaned_Data!K1051</f>
        <v>11.13</v>
      </c>
      <c r="I1051" t="str">
        <f t="shared" si="48"/>
        <v>YES</v>
      </c>
      <c r="J1051">
        <f>Cleaned_Data!J1051</f>
        <v>24</v>
      </c>
      <c r="K1051" t="str">
        <f t="shared" si="49"/>
        <v>2024-09</v>
      </c>
      <c r="L1051">
        <f t="shared" si="50"/>
        <v>0</v>
      </c>
    </row>
    <row r="1052" spans="1:12">
      <c r="A1052" t="s">
        <v>3068</v>
      </c>
      <c r="B1052" t="s">
        <v>3069</v>
      </c>
      <c r="C1052" t="s">
        <v>3070</v>
      </c>
      <c r="D1052" t="s">
        <v>23</v>
      </c>
      <c r="E1052" t="s">
        <v>54</v>
      </c>
      <c r="F1052" t="s">
        <v>36</v>
      </c>
      <c r="G1052" t="s">
        <v>19</v>
      </c>
      <c r="H1052">
        <f>Cleaned_Data!K1052</f>
        <v>16.920000000000002</v>
      </c>
      <c r="I1052" t="str">
        <f t="shared" si="48"/>
        <v>YES</v>
      </c>
      <c r="J1052">
        <f>Cleaned_Data!J1052</f>
        <v>24</v>
      </c>
      <c r="K1052" t="str">
        <f t="shared" si="49"/>
        <v>2024-12</v>
      </c>
      <c r="L1052">
        <f t="shared" si="50"/>
        <v>0</v>
      </c>
    </row>
    <row r="1053" spans="1:12">
      <c r="A1053" t="s">
        <v>3071</v>
      </c>
      <c r="B1053" t="s">
        <v>3072</v>
      </c>
      <c r="C1053" t="s">
        <v>3073</v>
      </c>
      <c r="D1053" t="s">
        <v>23</v>
      </c>
      <c r="E1053" t="s">
        <v>16</v>
      </c>
      <c r="F1053" t="s">
        <v>60</v>
      </c>
      <c r="G1053" t="s">
        <v>19</v>
      </c>
      <c r="H1053">
        <f>Cleaned_Data!K1053</f>
        <v>8.5500000000000007</v>
      </c>
      <c r="I1053" t="str">
        <f t="shared" si="48"/>
        <v>YES</v>
      </c>
      <c r="J1053">
        <f>Cleaned_Data!J1053</f>
        <v>24</v>
      </c>
      <c r="K1053" t="str">
        <f t="shared" si="49"/>
        <v>2024-12</v>
      </c>
      <c r="L1053">
        <f t="shared" si="50"/>
        <v>0</v>
      </c>
    </row>
    <row r="1054" spans="1:12">
      <c r="A1054" t="s">
        <v>3074</v>
      </c>
      <c r="B1054" t="s">
        <v>3075</v>
      </c>
      <c r="C1054" t="s">
        <v>3076</v>
      </c>
      <c r="D1054" t="s">
        <v>35</v>
      </c>
      <c r="E1054" t="s">
        <v>59</v>
      </c>
      <c r="F1054" t="s">
        <v>41</v>
      </c>
      <c r="G1054" t="s">
        <v>19</v>
      </c>
      <c r="H1054">
        <f>Cleaned_Data!K1054</f>
        <v>14.73</v>
      </c>
      <c r="I1054" t="str">
        <f t="shared" si="48"/>
        <v>YES</v>
      </c>
      <c r="J1054">
        <f>Cleaned_Data!J1054</f>
        <v>48</v>
      </c>
      <c r="K1054" t="str">
        <f t="shared" si="49"/>
        <v>2024-08</v>
      </c>
      <c r="L1054">
        <f t="shared" si="50"/>
        <v>0</v>
      </c>
    </row>
    <row r="1055" spans="1:12">
      <c r="A1055" t="s">
        <v>3077</v>
      </c>
      <c r="B1055" t="s">
        <v>3078</v>
      </c>
      <c r="D1055" t="s">
        <v>23</v>
      </c>
      <c r="E1055" t="s">
        <v>24</v>
      </c>
      <c r="F1055" t="s">
        <v>36</v>
      </c>
      <c r="G1055" t="s">
        <v>63</v>
      </c>
      <c r="H1055">
        <f>Cleaned_Data!K1055</f>
        <v>0</v>
      </c>
      <c r="I1055" t="str">
        <f t="shared" si="48"/>
        <v/>
      </c>
      <c r="J1055">
        <f>Cleaned_Data!J1055</f>
        <v>24</v>
      </c>
      <c r="K1055" t="str">
        <f t="shared" si="49"/>
        <v>2024-09</v>
      </c>
      <c r="L1055">
        <f t="shared" si="50"/>
        <v>0</v>
      </c>
    </row>
    <row r="1056" spans="1:12">
      <c r="A1056" t="s">
        <v>3079</v>
      </c>
      <c r="B1056" t="s">
        <v>3080</v>
      </c>
      <c r="C1056" t="s">
        <v>3081</v>
      </c>
      <c r="D1056" t="s">
        <v>35</v>
      </c>
      <c r="E1056" t="s">
        <v>16</v>
      </c>
      <c r="F1056" t="s">
        <v>17</v>
      </c>
      <c r="G1056" t="s">
        <v>19</v>
      </c>
      <c r="H1056">
        <f>Cleaned_Data!K1056</f>
        <v>41.42</v>
      </c>
      <c r="I1056" t="str">
        <f t="shared" si="48"/>
        <v>YES</v>
      </c>
      <c r="J1056">
        <f>Cleaned_Data!J1056</f>
        <v>48</v>
      </c>
      <c r="K1056" t="str">
        <f t="shared" si="49"/>
        <v>2024-05</v>
      </c>
      <c r="L1056">
        <f t="shared" si="50"/>
        <v>0</v>
      </c>
    </row>
    <row r="1057" spans="1:12">
      <c r="A1057" t="s">
        <v>3082</v>
      </c>
      <c r="B1057" t="s">
        <v>3083</v>
      </c>
      <c r="C1057" t="s">
        <v>3084</v>
      </c>
      <c r="D1057" t="s">
        <v>35</v>
      </c>
      <c r="E1057" t="s">
        <v>16</v>
      </c>
      <c r="F1057" t="s">
        <v>41</v>
      </c>
      <c r="G1057" t="s">
        <v>31</v>
      </c>
      <c r="H1057">
        <f>Cleaned_Data!K1057</f>
        <v>36</v>
      </c>
      <c r="I1057" t="str">
        <f t="shared" si="48"/>
        <v>YES</v>
      </c>
      <c r="J1057">
        <f>Cleaned_Data!J1057</f>
        <v>48</v>
      </c>
      <c r="K1057" t="str">
        <f t="shared" si="49"/>
        <v>2024-02</v>
      </c>
      <c r="L1057">
        <f t="shared" si="50"/>
        <v>0</v>
      </c>
    </row>
    <row r="1058" spans="1:12">
      <c r="A1058" t="s">
        <v>3085</v>
      </c>
      <c r="B1058" t="s">
        <v>3086</v>
      </c>
      <c r="C1058" t="s">
        <v>3087</v>
      </c>
      <c r="D1058" t="s">
        <v>23</v>
      </c>
      <c r="E1058" t="s">
        <v>54</v>
      </c>
      <c r="F1058" t="s">
        <v>41</v>
      </c>
      <c r="G1058" t="s">
        <v>31</v>
      </c>
      <c r="H1058">
        <f>Cleaned_Data!K1058</f>
        <v>15.74</v>
      </c>
      <c r="I1058" t="str">
        <f t="shared" si="48"/>
        <v>YES</v>
      </c>
      <c r="J1058">
        <f>Cleaned_Data!J1058</f>
        <v>24</v>
      </c>
      <c r="K1058" t="str">
        <f t="shared" si="49"/>
        <v>2024-12</v>
      </c>
      <c r="L1058">
        <f t="shared" si="50"/>
        <v>0</v>
      </c>
    </row>
    <row r="1059" spans="1:12">
      <c r="A1059" t="s">
        <v>3088</v>
      </c>
      <c r="B1059" t="s">
        <v>3089</v>
      </c>
      <c r="C1059" t="s">
        <v>3090</v>
      </c>
      <c r="D1059" t="s">
        <v>23</v>
      </c>
      <c r="E1059" t="s">
        <v>16</v>
      </c>
      <c r="F1059" t="s">
        <v>29</v>
      </c>
      <c r="G1059" t="s">
        <v>19</v>
      </c>
      <c r="H1059">
        <f>Cleaned_Data!K1059</f>
        <v>9.34</v>
      </c>
      <c r="I1059" t="str">
        <f t="shared" si="48"/>
        <v>YES</v>
      </c>
      <c r="J1059">
        <f>Cleaned_Data!J1059</f>
        <v>24</v>
      </c>
      <c r="K1059" t="str">
        <f t="shared" si="49"/>
        <v>2024-11</v>
      </c>
      <c r="L1059">
        <f t="shared" si="50"/>
        <v>0</v>
      </c>
    </row>
    <row r="1060" spans="1:12">
      <c r="A1060" t="s">
        <v>3091</v>
      </c>
      <c r="B1060" t="s">
        <v>3092</v>
      </c>
      <c r="C1060" t="s">
        <v>3093</v>
      </c>
      <c r="D1060" t="s">
        <v>23</v>
      </c>
      <c r="E1060" t="s">
        <v>24</v>
      </c>
      <c r="F1060" t="s">
        <v>29</v>
      </c>
      <c r="G1060" t="s">
        <v>31</v>
      </c>
      <c r="H1060">
        <f>Cleaned_Data!K1060</f>
        <v>52.2</v>
      </c>
      <c r="I1060" t="str">
        <f t="shared" si="48"/>
        <v>NO</v>
      </c>
      <c r="J1060">
        <f>Cleaned_Data!J1060</f>
        <v>24</v>
      </c>
      <c r="K1060" t="str">
        <f t="shared" si="49"/>
        <v>2024-03</v>
      </c>
      <c r="L1060">
        <f t="shared" si="50"/>
        <v>28.200000000000003</v>
      </c>
    </row>
    <row r="1061" spans="1:12">
      <c r="A1061" t="s">
        <v>3094</v>
      </c>
      <c r="B1061" t="s">
        <v>3095</v>
      </c>
      <c r="C1061" t="s">
        <v>3096</v>
      </c>
      <c r="D1061" t="s">
        <v>23</v>
      </c>
      <c r="E1061" t="s">
        <v>24</v>
      </c>
      <c r="F1061" t="s">
        <v>41</v>
      </c>
      <c r="G1061" t="s">
        <v>19</v>
      </c>
      <c r="H1061">
        <f>Cleaned_Data!K1061</f>
        <v>16.260000000000002</v>
      </c>
      <c r="I1061" t="str">
        <f t="shared" si="48"/>
        <v>YES</v>
      </c>
      <c r="J1061">
        <f>Cleaned_Data!J1061</f>
        <v>24</v>
      </c>
      <c r="K1061" t="str">
        <f t="shared" si="49"/>
        <v>2024-01</v>
      </c>
      <c r="L1061">
        <f t="shared" si="50"/>
        <v>0</v>
      </c>
    </row>
    <row r="1062" spans="1:12">
      <c r="A1062" t="s">
        <v>3097</v>
      </c>
      <c r="B1062" t="s">
        <v>3098</v>
      </c>
      <c r="C1062" t="s">
        <v>3099</v>
      </c>
      <c r="D1062" t="s">
        <v>23</v>
      </c>
      <c r="E1062" t="s">
        <v>54</v>
      </c>
      <c r="F1062" t="s">
        <v>36</v>
      </c>
      <c r="G1062" t="s">
        <v>19</v>
      </c>
      <c r="H1062">
        <f>Cleaned_Data!K1062</f>
        <v>39.99</v>
      </c>
      <c r="I1062" t="str">
        <f t="shared" si="48"/>
        <v>NO</v>
      </c>
      <c r="J1062">
        <f>Cleaned_Data!J1062</f>
        <v>24</v>
      </c>
      <c r="K1062" t="str">
        <f t="shared" si="49"/>
        <v>2024-07</v>
      </c>
      <c r="L1062">
        <f t="shared" si="50"/>
        <v>15.990000000000002</v>
      </c>
    </row>
    <row r="1063" spans="1:12">
      <c r="A1063" t="s">
        <v>3100</v>
      </c>
      <c r="B1063" t="s">
        <v>3101</v>
      </c>
      <c r="C1063" t="s">
        <v>3102</v>
      </c>
      <c r="D1063" t="s">
        <v>35</v>
      </c>
      <c r="E1063" t="s">
        <v>28</v>
      </c>
      <c r="F1063" t="s">
        <v>41</v>
      </c>
      <c r="G1063" t="s">
        <v>31</v>
      </c>
      <c r="H1063">
        <f>Cleaned_Data!K1063</f>
        <v>31.95</v>
      </c>
      <c r="I1063" t="str">
        <f t="shared" si="48"/>
        <v>YES</v>
      </c>
      <c r="J1063">
        <f>Cleaned_Data!J1063</f>
        <v>48</v>
      </c>
      <c r="K1063" t="str">
        <f t="shared" si="49"/>
        <v>2024-04</v>
      </c>
      <c r="L1063">
        <f t="shared" si="50"/>
        <v>0</v>
      </c>
    </row>
    <row r="1064" spans="1:12">
      <c r="A1064" t="s">
        <v>3103</v>
      </c>
      <c r="B1064" t="s">
        <v>3104</v>
      </c>
      <c r="C1064" t="s">
        <v>3105</v>
      </c>
      <c r="D1064" t="s">
        <v>158</v>
      </c>
      <c r="E1064" t="s">
        <v>28</v>
      </c>
      <c r="F1064" t="s">
        <v>60</v>
      </c>
      <c r="G1064" t="s">
        <v>19</v>
      </c>
      <c r="H1064">
        <f>Cleaned_Data!K1064</f>
        <v>9.7100000000000009</v>
      </c>
      <c r="I1064" t="str">
        <f t="shared" si="48"/>
        <v>NO</v>
      </c>
      <c r="J1064">
        <f>Cleaned_Data!J1064</f>
        <v>4</v>
      </c>
      <c r="K1064" t="str">
        <f t="shared" si="49"/>
        <v>2024-09</v>
      </c>
      <c r="L1064">
        <f t="shared" si="50"/>
        <v>5.7100000000000009</v>
      </c>
    </row>
    <row r="1065" spans="1:12">
      <c r="A1065" t="s">
        <v>3106</v>
      </c>
      <c r="B1065" t="s">
        <v>3107</v>
      </c>
      <c r="D1065" t="s">
        <v>15</v>
      </c>
      <c r="E1065" t="s">
        <v>28</v>
      </c>
      <c r="F1065" t="s">
        <v>41</v>
      </c>
      <c r="G1065" t="s">
        <v>46</v>
      </c>
      <c r="H1065">
        <f>Cleaned_Data!K1065</f>
        <v>0</v>
      </c>
      <c r="I1065" t="str">
        <f t="shared" si="48"/>
        <v/>
      </c>
      <c r="J1065">
        <f>Cleaned_Data!J1065</f>
        <v>8</v>
      </c>
      <c r="K1065" t="str">
        <f t="shared" si="49"/>
        <v>2024-11</v>
      </c>
      <c r="L1065">
        <f t="shared" si="50"/>
        <v>0</v>
      </c>
    </row>
    <row r="1066" spans="1:12">
      <c r="A1066" t="s">
        <v>3108</v>
      </c>
      <c r="B1066" t="s">
        <v>3109</v>
      </c>
      <c r="C1066" t="s">
        <v>3110</v>
      </c>
      <c r="D1066" t="s">
        <v>15</v>
      </c>
      <c r="E1066" t="s">
        <v>16</v>
      </c>
      <c r="F1066" t="s">
        <v>17</v>
      </c>
      <c r="G1066" t="s">
        <v>31</v>
      </c>
      <c r="H1066">
        <f>Cleaned_Data!K1066</f>
        <v>20.51</v>
      </c>
      <c r="I1066" t="str">
        <f t="shared" si="48"/>
        <v>NO</v>
      </c>
      <c r="J1066">
        <f>Cleaned_Data!J1066</f>
        <v>8</v>
      </c>
      <c r="K1066" t="str">
        <f t="shared" si="49"/>
        <v>2024-05</v>
      </c>
      <c r="L1066">
        <f t="shared" si="50"/>
        <v>12.510000000000002</v>
      </c>
    </row>
    <row r="1067" spans="1:12">
      <c r="A1067" t="s">
        <v>3111</v>
      </c>
      <c r="B1067" t="s">
        <v>3112</v>
      </c>
      <c r="C1067" t="s">
        <v>3113</v>
      </c>
      <c r="D1067" t="s">
        <v>23</v>
      </c>
      <c r="E1067" t="s">
        <v>59</v>
      </c>
      <c r="F1067" t="s">
        <v>17</v>
      </c>
      <c r="G1067" t="s">
        <v>19</v>
      </c>
      <c r="H1067">
        <f>Cleaned_Data!K1067</f>
        <v>16.23</v>
      </c>
      <c r="I1067" t="str">
        <f t="shared" si="48"/>
        <v>YES</v>
      </c>
      <c r="J1067">
        <f>Cleaned_Data!J1067</f>
        <v>24</v>
      </c>
      <c r="K1067" t="str">
        <f t="shared" si="49"/>
        <v>2024-10</v>
      </c>
      <c r="L1067">
        <f t="shared" si="50"/>
        <v>0</v>
      </c>
    </row>
    <row r="1068" spans="1:12">
      <c r="A1068" t="s">
        <v>3114</v>
      </c>
      <c r="B1068" t="s">
        <v>3115</v>
      </c>
      <c r="C1068" t="s">
        <v>3116</v>
      </c>
      <c r="D1068" t="s">
        <v>23</v>
      </c>
      <c r="E1068" t="s">
        <v>24</v>
      </c>
      <c r="F1068" t="s">
        <v>29</v>
      </c>
      <c r="G1068" t="s">
        <v>31</v>
      </c>
      <c r="H1068">
        <f>Cleaned_Data!K1068</f>
        <v>19.87</v>
      </c>
      <c r="I1068" t="str">
        <f t="shared" si="48"/>
        <v>YES</v>
      </c>
      <c r="J1068">
        <f>Cleaned_Data!J1068</f>
        <v>24</v>
      </c>
      <c r="K1068" t="str">
        <f t="shared" si="49"/>
        <v>2024-10</v>
      </c>
      <c r="L1068">
        <f t="shared" si="50"/>
        <v>0</v>
      </c>
    </row>
    <row r="1069" spans="1:12">
      <c r="A1069" t="s">
        <v>3117</v>
      </c>
      <c r="B1069" t="s">
        <v>3118</v>
      </c>
      <c r="C1069" t="s">
        <v>3119</v>
      </c>
      <c r="D1069" t="s">
        <v>15</v>
      </c>
      <c r="E1069" t="s">
        <v>16</v>
      </c>
      <c r="F1069" t="s">
        <v>36</v>
      </c>
      <c r="G1069" t="s">
        <v>19</v>
      </c>
      <c r="H1069">
        <f>Cleaned_Data!K1069</f>
        <v>4.72</v>
      </c>
      <c r="I1069" t="str">
        <f t="shared" si="48"/>
        <v>YES</v>
      </c>
      <c r="J1069">
        <f>Cleaned_Data!J1069</f>
        <v>8</v>
      </c>
      <c r="K1069" t="str">
        <f t="shared" si="49"/>
        <v>2024-02</v>
      </c>
      <c r="L1069">
        <f t="shared" si="50"/>
        <v>0</v>
      </c>
    </row>
    <row r="1070" spans="1:12">
      <c r="A1070" t="s">
        <v>3120</v>
      </c>
      <c r="B1070" t="s">
        <v>3121</v>
      </c>
      <c r="C1070" t="s">
        <v>3122</v>
      </c>
      <c r="D1070" t="s">
        <v>15</v>
      </c>
      <c r="E1070" t="s">
        <v>24</v>
      </c>
      <c r="F1070" t="s">
        <v>17</v>
      </c>
      <c r="G1070" t="s">
        <v>19</v>
      </c>
      <c r="H1070">
        <f>Cleaned_Data!K1070</f>
        <v>3.26</v>
      </c>
      <c r="I1070" t="str">
        <f t="shared" si="48"/>
        <v>YES</v>
      </c>
      <c r="J1070">
        <f>Cleaned_Data!J1070</f>
        <v>8</v>
      </c>
      <c r="K1070" t="str">
        <f t="shared" si="49"/>
        <v>2024-07</v>
      </c>
      <c r="L1070">
        <f t="shared" si="50"/>
        <v>0</v>
      </c>
    </row>
    <row r="1071" spans="1:12">
      <c r="A1071" t="s">
        <v>3123</v>
      </c>
      <c r="B1071" t="s">
        <v>3124</v>
      </c>
      <c r="D1071" t="s">
        <v>23</v>
      </c>
      <c r="E1071" t="s">
        <v>59</v>
      </c>
      <c r="F1071" t="s">
        <v>17</v>
      </c>
      <c r="G1071" t="s">
        <v>63</v>
      </c>
      <c r="H1071">
        <f>Cleaned_Data!K1071</f>
        <v>0</v>
      </c>
      <c r="I1071" t="str">
        <f t="shared" si="48"/>
        <v/>
      </c>
      <c r="J1071">
        <f>Cleaned_Data!J1071</f>
        <v>24</v>
      </c>
      <c r="K1071" t="str">
        <f t="shared" si="49"/>
        <v>2024-02</v>
      </c>
      <c r="L1071">
        <f t="shared" si="50"/>
        <v>0</v>
      </c>
    </row>
    <row r="1072" spans="1:12">
      <c r="A1072" t="s">
        <v>3125</v>
      </c>
      <c r="B1072" t="s">
        <v>3126</v>
      </c>
      <c r="C1072" t="s">
        <v>3127</v>
      </c>
      <c r="D1072" t="s">
        <v>23</v>
      </c>
      <c r="E1072" t="s">
        <v>24</v>
      </c>
      <c r="F1072" t="s">
        <v>36</v>
      </c>
      <c r="G1072" t="s">
        <v>19</v>
      </c>
      <c r="H1072">
        <f>Cleaned_Data!K1072</f>
        <v>21.68</v>
      </c>
      <c r="I1072" t="str">
        <f t="shared" si="48"/>
        <v>YES</v>
      </c>
      <c r="J1072">
        <f>Cleaned_Data!J1072</f>
        <v>24</v>
      </c>
      <c r="K1072" t="str">
        <f t="shared" si="49"/>
        <v>2024-06</v>
      </c>
      <c r="L1072">
        <f t="shared" si="50"/>
        <v>0</v>
      </c>
    </row>
    <row r="1073" spans="1:12">
      <c r="A1073" t="s">
        <v>3128</v>
      </c>
      <c r="B1073" t="s">
        <v>3129</v>
      </c>
      <c r="C1073" t="s">
        <v>3130</v>
      </c>
      <c r="D1073" t="s">
        <v>23</v>
      </c>
      <c r="E1073" t="s">
        <v>54</v>
      </c>
      <c r="F1073" t="s">
        <v>17</v>
      </c>
      <c r="G1073" t="s">
        <v>31</v>
      </c>
      <c r="H1073">
        <f>Cleaned_Data!K1073</f>
        <v>4.82</v>
      </c>
      <c r="I1073" t="str">
        <f t="shared" si="48"/>
        <v>YES</v>
      </c>
      <c r="J1073">
        <f>Cleaned_Data!J1073</f>
        <v>24</v>
      </c>
      <c r="K1073" t="str">
        <f t="shared" si="49"/>
        <v>2024-07</v>
      </c>
      <c r="L1073">
        <f t="shared" si="50"/>
        <v>0</v>
      </c>
    </row>
    <row r="1074" spans="1:12">
      <c r="A1074" t="s">
        <v>3131</v>
      </c>
      <c r="B1074" t="s">
        <v>3132</v>
      </c>
      <c r="D1074" t="s">
        <v>23</v>
      </c>
      <c r="E1074" t="s">
        <v>59</v>
      </c>
      <c r="F1074" t="s">
        <v>41</v>
      </c>
      <c r="G1074" t="s">
        <v>46</v>
      </c>
      <c r="H1074">
        <f>Cleaned_Data!K1074</f>
        <v>0</v>
      </c>
      <c r="I1074" t="str">
        <f t="shared" si="48"/>
        <v/>
      </c>
      <c r="J1074">
        <f>Cleaned_Data!J1074</f>
        <v>24</v>
      </c>
      <c r="K1074" t="str">
        <f t="shared" si="49"/>
        <v>2024-04</v>
      </c>
      <c r="L1074">
        <f t="shared" si="50"/>
        <v>0</v>
      </c>
    </row>
    <row r="1075" spans="1:12">
      <c r="A1075" t="s">
        <v>3133</v>
      </c>
      <c r="B1075" t="s">
        <v>3134</v>
      </c>
      <c r="C1075" t="s">
        <v>3135</v>
      </c>
      <c r="D1075" t="s">
        <v>23</v>
      </c>
      <c r="E1075" t="s">
        <v>16</v>
      </c>
      <c r="F1075" t="s">
        <v>41</v>
      </c>
      <c r="G1075" t="s">
        <v>31</v>
      </c>
      <c r="H1075">
        <f>Cleaned_Data!K1075</f>
        <v>18</v>
      </c>
      <c r="I1075" t="str">
        <f t="shared" si="48"/>
        <v>YES</v>
      </c>
      <c r="J1075">
        <f>Cleaned_Data!J1075</f>
        <v>24</v>
      </c>
      <c r="K1075" t="str">
        <f t="shared" si="49"/>
        <v>2024-09</v>
      </c>
      <c r="L1075">
        <f t="shared" si="50"/>
        <v>0</v>
      </c>
    </row>
    <row r="1076" spans="1:12">
      <c r="A1076" t="s">
        <v>3136</v>
      </c>
      <c r="B1076" t="s">
        <v>3137</v>
      </c>
      <c r="C1076" t="s">
        <v>3138</v>
      </c>
      <c r="D1076" t="s">
        <v>23</v>
      </c>
      <c r="E1076" t="s">
        <v>54</v>
      </c>
      <c r="F1076" t="s">
        <v>60</v>
      </c>
      <c r="G1076" t="s">
        <v>19</v>
      </c>
      <c r="H1076">
        <f>Cleaned_Data!K1076</f>
        <v>14.08</v>
      </c>
      <c r="I1076" t="str">
        <f t="shared" si="48"/>
        <v>YES</v>
      </c>
      <c r="J1076">
        <f>Cleaned_Data!J1076</f>
        <v>24</v>
      </c>
      <c r="K1076" t="str">
        <f t="shared" si="49"/>
        <v>2024-02</v>
      </c>
      <c r="L1076">
        <f t="shared" si="50"/>
        <v>0</v>
      </c>
    </row>
    <row r="1077" spans="1:12">
      <c r="A1077" t="s">
        <v>3139</v>
      </c>
      <c r="B1077" t="s">
        <v>3140</v>
      </c>
      <c r="D1077" t="s">
        <v>158</v>
      </c>
      <c r="E1077" t="s">
        <v>54</v>
      </c>
      <c r="F1077" t="s">
        <v>41</v>
      </c>
      <c r="G1077" t="s">
        <v>46</v>
      </c>
      <c r="H1077">
        <f>Cleaned_Data!K1077</f>
        <v>0</v>
      </c>
      <c r="I1077" t="str">
        <f t="shared" si="48"/>
        <v/>
      </c>
      <c r="J1077">
        <f>Cleaned_Data!J1077</f>
        <v>4</v>
      </c>
      <c r="K1077" t="str">
        <f t="shared" si="49"/>
        <v>2024-10</v>
      </c>
      <c r="L1077">
        <f t="shared" si="50"/>
        <v>0</v>
      </c>
    </row>
    <row r="1078" spans="1:12">
      <c r="A1078" t="s">
        <v>3141</v>
      </c>
      <c r="B1078" t="s">
        <v>3142</v>
      </c>
      <c r="C1078" t="s">
        <v>3143</v>
      </c>
      <c r="D1078" t="s">
        <v>23</v>
      </c>
      <c r="E1078" t="s">
        <v>54</v>
      </c>
      <c r="F1078" t="s">
        <v>36</v>
      </c>
      <c r="G1078" t="s">
        <v>19</v>
      </c>
      <c r="H1078">
        <f>Cleaned_Data!K1078</f>
        <v>62.42</v>
      </c>
      <c r="I1078" t="str">
        <f t="shared" si="48"/>
        <v>NO</v>
      </c>
      <c r="J1078">
        <f>Cleaned_Data!J1078</f>
        <v>24</v>
      </c>
      <c r="K1078" t="str">
        <f t="shared" si="49"/>
        <v>2024-09</v>
      </c>
      <c r="L1078">
        <f t="shared" si="50"/>
        <v>38.42</v>
      </c>
    </row>
    <row r="1079" spans="1:12">
      <c r="A1079" t="s">
        <v>3144</v>
      </c>
      <c r="B1079" t="s">
        <v>3145</v>
      </c>
      <c r="C1079" t="s">
        <v>3146</v>
      </c>
      <c r="D1079" t="s">
        <v>23</v>
      </c>
      <c r="E1079" t="s">
        <v>28</v>
      </c>
      <c r="F1079" t="s">
        <v>60</v>
      </c>
      <c r="G1079" t="s">
        <v>19</v>
      </c>
      <c r="H1079">
        <f>Cleaned_Data!K1079</f>
        <v>14.33</v>
      </c>
      <c r="I1079" t="str">
        <f t="shared" si="48"/>
        <v>YES</v>
      </c>
      <c r="J1079">
        <f>Cleaned_Data!J1079</f>
        <v>24</v>
      </c>
      <c r="K1079" t="str">
        <f t="shared" si="49"/>
        <v>2024-11</v>
      </c>
      <c r="L1079">
        <f t="shared" si="50"/>
        <v>0</v>
      </c>
    </row>
    <row r="1080" spans="1:12">
      <c r="A1080" t="s">
        <v>3147</v>
      </c>
      <c r="B1080" t="s">
        <v>3148</v>
      </c>
      <c r="C1080" t="s">
        <v>3149</v>
      </c>
      <c r="D1080" t="s">
        <v>23</v>
      </c>
      <c r="E1080" t="s">
        <v>16</v>
      </c>
      <c r="F1080" t="s">
        <v>17</v>
      </c>
      <c r="G1080" t="s">
        <v>31</v>
      </c>
      <c r="H1080">
        <f>Cleaned_Data!K1080</f>
        <v>14.62</v>
      </c>
      <c r="I1080" t="str">
        <f t="shared" si="48"/>
        <v>YES</v>
      </c>
      <c r="J1080">
        <f>Cleaned_Data!J1080</f>
        <v>24</v>
      </c>
      <c r="K1080" t="str">
        <f t="shared" si="49"/>
        <v>2024-11</v>
      </c>
      <c r="L1080">
        <f t="shared" si="50"/>
        <v>0</v>
      </c>
    </row>
    <row r="1081" spans="1:12">
      <c r="A1081" t="s">
        <v>3150</v>
      </c>
      <c r="B1081" t="s">
        <v>3151</v>
      </c>
      <c r="C1081" t="s">
        <v>3152</v>
      </c>
      <c r="D1081" t="s">
        <v>23</v>
      </c>
      <c r="E1081" t="s">
        <v>28</v>
      </c>
      <c r="F1081" t="s">
        <v>36</v>
      </c>
      <c r="G1081" t="s">
        <v>31</v>
      </c>
      <c r="H1081">
        <f>Cleaned_Data!K1081</f>
        <v>4.1900000000000004</v>
      </c>
      <c r="I1081" t="str">
        <f t="shared" si="48"/>
        <v>YES</v>
      </c>
      <c r="J1081">
        <f>Cleaned_Data!J1081</f>
        <v>24</v>
      </c>
      <c r="K1081" t="str">
        <f t="shared" si="49"/>
        <v>2024-08</v>
      </c>
      <c r="L1081">
        <f t="shared" si="50"/>
        <v>0</v>
      </c>
    </row>
    <row r="1082" spans="1:12">
      <c r="A1082" t="s">
        <v>3153</v>
      </c>
      <c r="B1082" t="s">
        <v>3154</v>
      </c>
      <c r="C1082" t="s">
        <v>3155</v>
      </c>
      <c r="D1082" t="s">
        <v>158</v>
      </c>
      <c r="E1082" t="s">
        <v>59</v>
      </c>
      <c r="F1082" t="s">
        <v>60</v>
      </c>
      <c r="G1082" t="s">
        <v>19</v>
      </c>
      <c r="H1082">
        <f>Cleaned_Data!K1082</f>
        <v>1.84</v>
      </c>
      <c r="I1082" t="str">
        <f t="shared" si="48"/>
        <v>YES</v>
      </c>
      <c r="J1082">
        <f>Cleaned_Data!J1082</f>
        <v>4</v>
      </c>
      <c r="K1082" t="str">
        <f t="shared" si="49"/>
        <v>2024-10</v>
      </c>
      <c r="L1082">
        <f t="shared" si="50"/>
        <v>0</v>
      </c>
    </row>
    <row r="1083" spans="1:12">
      <c r="A1083" t="s">
        <v>3156</v>
      </c>
      <c r="B1083" t="s">
        <v>3157</v>
      </c>
      <c r="C1083" t="s">
        <v>3158</v>
      </c>
      <c r="D1083" t="s">
        <v>15</v>
      </c>
      <c r="E1083" t="s">
        <v>24</v>
      </c>
      <c r="F1083" t="s">
        <v>60</v>
      </c>
      <c r="G1083" t="s">
        <v>31</v>
      </c>
      <c r="H1083">
        <f>Cleaned_Data!K1083</f>
        <v>4.72</v>
      </c>
      <c r="I1083" t="str">
        <f t="shared" si="48"/>
        <v>YES</v>
      </c>
      <c r="J1083">
        <f>Cleaned_Data!J1083</f>
        <v>8</v>
      </c>
      <c r="K1083" t="str">
        <f t="shared" si="49"/>
        <v>2024-01</v>
      </c>
      <c r="L1083">
        <f t="shared" si="50"/>
        <v>0</v>
      </c>
    </row>
    <row r="1084" spans="1:12">
      <c r="A1084" t="s">
        <v>3159</v>
      </c>
      <c r="B1084" t="s">
        <v>3160</v>
      </c>
      <c r="C1084" t="s">
        <v>3161</v>
      </c>
      <c r="D1084" t="s">
        <v>35</v>
      </c>
      <c r="E1084" t="s">
        <v>59</v>
      </c>
      <c r="F1084" t="s">
        <v>60</v>
      </c>
      <c r="G1084" t="s">
        <v>19</v>
      </c>
      <c r="H1084">
        <f>Cleaned_Data!K1084</f>
        <v>31.83</v>
      </c>
      <c r="I1084" t="str">
        <f t="shared" si="48"/>
        <v>YES</v>
      </c>
      <c r="J1084">
        <f>Cleaned_Data!J1084</f>
        <v>48</v>
      </c>
      <c r="K1084" t="str">
        <f t="shared" si="49"/>
        <v>2024-07</v>
      </c>
      <c r="L1084">
        <f t="shared" si="50"/>
        <v>0</v>
      </c>
    </row>
    <row r="1085" spans="1:12">
      <c r="A1085" t="s">
        <v>3162</v>
      </c>
      <c r="B1085" t="s">
        <v>3163</v>
      </c>
      <c r="C1085" t="s">
        <v>3164</v>
      </c>
      <c r="D1085" t="s">
        <v>15</v>
      </c>
      <c r="E1085" t="s">
        <v>28</v>
      </c>
      <c r="F1085" t="s">
        <v>17</v>
      </c>
      <c r="G1085" t="s">
        <v>31</v>
      </c>
      <c r="H1085">
        <f>Cleaned_Data!K1085</f>
        <v>3.24</v>
      </c>
      <c r="I1085" t="str">
        <f t="shared" si="48"/>
        <v>YES</v>
      </c>
      <c r="J1085">
        <f>Cleaned_Data!J1085</f>
        <v>8</v>
      </c>
      <c r="K1085" t="str">
        <f t="shared" si="49"/>
        <v>2024-01</v>
      </c>
      <c r="L1085">
        <f t="shared" si="50"/>
        <v>0</v>
      </c>
    </row>
    <row r="1086" spans="1:12">
      <c r="A1086" t="s">
        <v>3165</v>
      </c>
      <c r="B1086" t="s">
        <v>3166</v>
      </c>
      <c r="C1086" t="s">
        <v>3167</v>
      </c>
      <c r="D1086" t="s">
        <v>23</v>
      </c>
      <c r="E1086" t="s">
        <v>54</v>
      </c>
      <c r="F1086" t="s">
        <v>29</v>
      </c>
      <c r="G1086" t="s">
        <v>31</v>
      </c>
      <c r="H1086">
        <f>Cleaned_Data!K1086</f>
        <v>18</v>
      </c>
      <c r="I1086" t="str">
        <f t="shared" si="48"/>
        <v>YES</v>
      </c>
      <c r="J1086">
        <f>Cleaned_Data!J1086</f>
        <v>24</v>
      </c>
      <c r="K1086" t="str">
        <f t="shared" si="49"/>
        <v>2024-08</v>
      </c>
      <c r="L1086">
        <f t="shared" si="50"/>
        <v>0</v>
      </c>
    </row>
    <row r="1087" spans="1:12">
      <c r="A1087" t="s">
        <v>3168</v>
      </c>
      <c r="B1087" t="s">
        <v>3169</v>
      </c>
      <c r="C1087" t="s">
        <v>3170</v>
      </c>
      <c r="D1087" t="s">
        <v>23</v>
      </c>
      <c r="E1087" t="s">
        <v>54</v>
      </c>
      <c r="F1087" t="s">
        <v>60</v>
      </c>
      <c r="G1087" t="s">
        <v>19</v>
      </c>
      <c r="H1087">
        <f>Cleaned_Data!K1087</f>
        <v>22.71</v>
      </c>
      <c r="I1087" t="str">
        <f t="shared" si="48"/>
        <v>YES</v>
      </c>
      <c r="J1087">
        <f>Cleaned_Data!J1087</f>
        <v>24</v>
      </c>
      <c r="K1087" t="str">
        <f t="shared" si="49"/>
        <v>2024-09</v>
      </c>
      <c r="L1087">
        <f t="shared" si="50"/>
        <v>0</v>
      </c>
    </row>
    <row r="1088" spans="1:12">
      <c r="A1088" t="s">
        <v>3171</v>
      </c>
      <c r="B1088" t="s">
        <v>3172</v>
      </c>
      <c r="C1088" t="s">
        <v>3173</v>
      </c>
      <c r="D1088" t="s">
        <v>23</v>
      </c>
      <c r="E1088" t="s">
        <v>54</v>
      </c>
      <c r="F1088" t="s">
        <v>60</v>
      </c>
      <c r="G1088" t="s">
        <v>19</v>
      </c>
      <c r="H1088">
        <f>Cleaned_Data!K1088</f>
        <v>40.01</v>
      </c>
      <c r="I1088" t="str">
        <f t="shared" si="48"/>
        <v>NO</v>
      </c>
      <c r="J1088">
        <f>Cleaned_Data!J1088</f>
        <v>24</v>
      </c>
      <c r="K1088" t="str">
        <f t="shared" si="49"/>
        <v>2024-03</v>
      </c>
      <c r="L1088">
        <f t="shared" si="50"/>
        <v>16.009999999999998</v>
      </c>
    </row>
    <row r="1089" spans="1:12">
      <c r="A1089" t="s">
        <v>3174</v>
      </c>
      <c r="B1089" t="s">
        <v>3175</v>
      </c>
      <c r="C1089" t="s">
        <v>3176</v>
      </c>
      <c r="D1089" t="s">
        <v>158</v>
      </c>
      <c r="E1089" t="s">
        <v>54</v>
      </c>
      <c r="F1089" t="s">
        <v>36</v>
      </c>
      <c r="G1089" t="s">
        <v>19</v>
      </c>
      <c r="H1089">
        <f>Cleaned_Data!K1089</f>
        <v>2.2599999999999998</v>
      </c>
      <c r="I1089" t="str">
        <f t="shared" si="48"/>
        <v>YES</v>
      </c>
      <c r="J1089">
        <f>Cleaned_Data!J1089</f>
        <v>4</v>
      </c>
      <c r="K1089" t="str">
        <f t="shared" si="49"/>
        <v>2024-05</v>
      </c>
      <c r="L1089">
        <f t="shared" si="50"/>
        <v>0</v>
      </c>
    </row>
    <row r="1090" spans="1:12">
      <c r="A1090" t="s">
        <v>3177</v>
      </c>
      <c r="B1090" t="s">
        <v>3178</v>
      </c>
      <c r="C1090" t="s">
        <v>3179</v>
      </c>
      <c r="D1090" t="s">
        <v>158</v>
      </c>
      <c r="E1090" t="s">
        <v>59</v>
      </c>
      <c r="F1090" t="s">
        <v>29</v>
      </c>
      <c r="G1090" t="s">
        <v>31</v>
      </c>
      <c r="H1090">
        <f>Cleaned_Data!K1090</f>
        <v>0.43</v>
      </c>
      <c r="I1090" t="str">
        <f t="shared" ref="I1090:I1153" si="51">IF(OR(G1090="Resolved", G1090="Closed"), IF(AND(H1090&lt;&gt;"", H1090&lt;=J1090), "YES", "NO"), "")</f>
        <v>YES</v>
      </c>
      <c r="J1090">
        <f>Cleaned_Data!J1090</f>
        <v>4</v>
      </c>
      <c r="K1090" t="str">
        <f t="shared" ref="K1090:K1153" si="52">LEFT(B1090, 7)</f>
        <v>2024-09</v>
      </c>
      <c r="L1090">
        <f t="shared" ref="L1090:L1153" si="53">IF(I1090="NO", H1090-J1090, 0)</f>
        <v>0</v>
      </c>
    </row>
    <row r="1091" spans="1:12">
      <c r="A1091" t="s">
        <v>3180</v>
      </c>
      <c r="B1091" t="s">
        <v>3181</v>
      </c>
      <c r="C1091" t="s">
        <v>3182</v>
      </c>
      <c r="D1091" t="s">
        <v>23</v>
      </c>
      <c r="E1091" t="s">
        <v>24</v>
      </c>
      <c r="F1091" t="s">
        <v>36</v>
      </c>
      <c r="G1091" t="s">
        <v>19</v>
      </c>
      <c r="H1091">
        <f>Cleaned_Data!K1091</f>
        <v>52.76</v>
      </c>
      <c r="I1091" t="str">
        <f t="shared" si="51"/>
        <v>NO</v>
      </c>
      <c r="J1091">
        <f>Cleaned_Data!J1091</f>
        <v>24</v>
      </c>
      <c r="K1091" t="str">
        <f t="shared" si="52"/>
        <v>2024-03</v>
      </c>
      <c r="L1091">
        <f t="shared" si="53"/>
        <v>28.759999999999998</v>
      </c>
    </row>
    <row r="1092" spans="1:12">
      <c r="A1092" t="s">
        <v>3183</v>
      </c>
      <c r="B1092" t="s">
        <v>3184</v>
      </c>
      <c r="C1092" t="s">
        <v>3185</v>
      </c>
      <c r="D1092" t="s">
        <v>23</v>
      </c>
      <c r="E1092" t="s">
        <v>54</v>
      </c>
      <c r="F1092" t="s">
        <v>29</v>
      </c>
      <c r="G1092" t="s">
        <v>19</v>
      </c>
      <c r="H1092">
        <f>Cleaned_Data!K1092</f>
        <v>3.38</v>
      </c>
      <c r="I1092" t="str">
        <f t="shared" si="51"/>
        <v>YES</v>
      </c>
      <c r="J1092">
        <f>Cleaned_Data!J1092</f>
        <v>24</v>
      </c>
      <c r="K1092" t="str">
        <f t="shared" si="52"/>
        <v>2024-02</v>
      </c>
      <c r="L1092">
        <f t="shared" si="53"/>
        <v>0</v>
      </c>
    </row>
    <row r="1093" spans="1:12">
      <c r="A1093" t="s">
        <v>3186</v>
      </c>
      <c r="B1093" t="s">
        <v>3187</v>
      </c>
      <c r="C1093" t="s">
        <v>3188</v>
      </c>
      <c r="D1093" t="s">
        <v>23</v>
      </c>
      <c r="E1093" t="s">
        <v>28</v>
      </c>
      <c r="F1093" t="s">
        <v>60</v>
      </c>
      <c r="G1093" t="s">
        <v>31</v>
      </c>
      <c r="H1093">
        <f>Cleaned_Data!K1093</f>
        <v>47.52</v>
      </c>
      <c r="I1093" t="str">
        <f t="shared" si="51"/>
        <v>NO</v>
      </c>
      <c r="J1093">
        <f>Cleaned_Data!J1093</f>
        <v>24</v>
      </c>
      <c r="K1093" t="str">
        <f t="shared" si="52"/>
        <v>2024-10</v>
      </c>
      <c r="L1093">
        <f t="shared" si="53"/>
        <v>23.520000000000003</v>
      </c>
    </row>
    <row r="1094" spans="1:12">
      <c r="A1094" t="s">
        <v>3189</v>
      </c>
      <c r="B1094" t="s">
        <v>3190</v>
      </c>
      <c r="C1094" t="s">
        <v>3191</v>
      </c>
      <c r="D1094" t="s">
        <v>23</v>
      </c>
      <c r="E1094" t="s">
        <v>16</v>
      </c>
      <c r="F1094" t="s">
        <v>17</v>
      </c>
      <c r="G1094" t="s">
        <v>19</v>
      </c>
      <c r="H1094">
        <f>Cleaned_Data!K1094</f>
        <v>3.48</v>
      </c>
      <c r="I1094" t="str">
        <f t="shared" si="51"/>
        <v>YES</v>
      </c>
      <c r="J1094">
        <f>Cleaned_Data!J1094</f>
        <v>24</v>
      </c>
      <c r="K1094" t="str">
        <f t="shared" si="52"/>
        <v>2024-01</v>
      </c>
      <c r="L1094">
        <f t="shared" si="53"/>
        <v>0</v>
      </c>
    </row>
    <row r="1095" spans="1:12">
      <c r="A1095" t="s">
        <v>3192</v>
      </c>
      <c r="B1095" t="s">
        <v>3193</v>
      </c>
      <c r="C1095" t="s">
        <v>3194</v>
      </c>
      <c r="D1095" t="s">
        <v>23</v>
      </c>
      <c r="E1095" t="s">
        <v>28</v>
      </c>
      <c r="F1095" t="s">
        <v>60</v>
      </c>
      <c r="G1095" t="s">
        <v>31</v>
      </c>
      <c r="H1095">
        <f>Cleaned_Data!K1095</f>
        <v>22.52</v>
      </c>
      <c r="I1095" t="str">
        <f t="shared" si="51"/>
        <v>YES</v>
      </c>
      <c r="J1095">
        <f>Cleaned_Data!J1095</f>
        <v>24</v>
      </c>
      <c r="K1095" t="str">
        <f t="shared" si="52"/>
        <v>2024-05</v>
      </c>
      <c r="L1095">
        <f t="shared" si="53"/>
        <v>0</v>
      </c>
    </row>
    <row r="1096" spans="1:12">
      <c r="A1096" t="s">
        <v>3195</v>
      </c>
      <c r="B1096" t="s">
        <v>3196</v>
      </c>
      <c r="C1096" t="s">
        <v>3197</v>
      </c>
      <c r="D1096" t="s">
        <v>15</v>
      </c>
      <c r="E1096" t="s">
        <v>59</v>
      </c>
      <c r="F1096" t="s">
        <v>60</v>
      </c>
      <c r="G1096" t="s">
        <v>31</v>
      </c>
      <c r="H1096">
        <f>Cleaned_Data!K1096</f>
        <v>2.88</v>
      </c>
      <c r="I1096" t="str">
        <f t="shared" si="51"/>
        <v>YES</v>
      </c>
      <c r="J1096">
        <f>Cleaned_Data!J1096</f>
        <v>8</v>
      </c>
      <c r="K1096" t="str">
        <f t="shared" si="52"/>
        <v>2024-07</v>
      </c>
      <c r="L1096">
        <f t="shared" si="53"/>
        <v>0</v>
      </c>
    </row>
    <row r="1097" spans="1:12">
      <c r="A1097" t="s">
        <v>3198</v>
      </c>
      <c r="B1097" t="s">
        <v>3199</v>
      </c>
      <c r="C1097" t="s">
        <v>3200</v>
      </c>
      <c r="D1097" t="s">
        <v>23</v>
      </c>
      <c r="E1097" t="s">
        <v>28</v>
      </c>
      <c r="F1097" t="s">
        <v>36</v>
      </c>
      <c r="G1097" t="s">
        <v>19</v>
      </c>
      <c r="H1097">
        <f>Cleaned_Data!K1097</f>
        <v>21.68</v>
      </c>
      <c r="I1097" t="str">
        <f t="shared" si="51"/>
        <v>YES</v>
      </c>
      <c r="J1097">
        <f>Cleaned_Data!J1097</f>
        <v>24</v>
      </c>
      <c r="K1097" t="str">
        <f t="shared" si="52"/>
        <v>2024-04</v>
      </c>
      <c r="L1097">
        <f t="shared" si="53"/>
        <v>0</v>
      </c>
    </row>
    <row r="1098" spans="1:12">
      <c r="A1098" t="s">
        <v>3201</v>
      </c>
      <c r="B1098" t="s">
        <v>3202</v>
      </c>
      <c r="D1098" t="s">
        <v>158</v>
      </c>
      <c r="E1098" t="s">
        <v>24</v>
      </c>
      <c r="F1098" t="s">
        <v>41</v>
      </c>
      <c r="G1098" t="s">
        <v>46</v>
      </c>
      <c r="H1098">
        <f>Cleaned_Data!K1098</f>
        <v>0</v>
      </c>
      <c r="I1098" t="str">
        <f t="shared" si="51"/>
        <v/>
      </c>
      <c r="J1098">
        <f>Cleaned_Data!J1098</f>
        <v>4</v>
      </c>
      <c r="K1098" t="str">
        <f t="shared" si="52"/>
        <v>2024-01</v>
      </c>
      <c r="L1098">
        <f t="shared" si="53"/>
        <v>0</v>
      </c>
    </row>
    <row r="1099" spans="1:12">
      <c r="A1099" t="s">
        <v>3203</v>
      </c>
      <c r="B1099" t="s">
        <v>3204</v>
      </c>
      <c r="C1099" t="s">
        <v>3205</v>
      </c>
      <c r="D1099" t="s">
        <v>23</v>
      </c>
      <c r="E1099" t="s">
        <v>59</v>
      </c>
      <c r="F1099" t="s">
        <v>17</v>
      </c>
      <c r="G1099" t="s">
        <v>19</v>
      </c>
      <c r="H1099">
        <f>Cleaned_Data!K1099</f>
        <v>16.21</v>
      </c>
      <c r="I1099" t="str">
        <f t="shared" si="51"/>
        <v>YES</v>
      </c>
      <c r="J1099">
        <f>Cleaned_Data!J1099</f>
        <v>24</v>
      </c>
      <c r="K1099" t="str">
        <f t="shared" si="52"/>
        <v>2024-06</v>
      </c>
      <c r="L1099">
        <f t="shared" si="53"/>
        <v>0</v>
      </c>
    </row>
    <row r="1100" spans="1:12">
      <c r="A1100" t="s">
        <v>3206</v>
      </c>
      <c r="B1100" t="s">
        <v>3207</v>
      </c>
      <c r="C1100" t="s">
        <v>3208</v>
      </c>
      <c r="D1100" t="s">
        <v>23</v>
      </c>
      <c r="E1100" t="s">
        <v>54</v>
      </c>
      <c r="F1100" t="s">
        <v>36</v>
      </c>
      <c r="G1100" t="s">
        <v>19</v>
      </c>
      <c r="H1100">
        <f>Cleaned_Data!K1100</f>
        <v>9.44</v>
      </c>
      <c r="I1100" t="str">
        <f t="shared" si="51"/>
        <v>YES</v>
      </c>
      <c r="J1100">
        <f>Cleaned_Data!J1100</f>
        <v>24</v>
      </c>
      <c r="K1100" t="str">
        <f t="shared" si="52"/>
        <v>2024-02</v>
      </c>
      <c r="L1100">
        <f t="shared" si="53"/>
        <v>0</v>
      </c>
    </row>
    <row r="1101" spans="1:12">
      <c r="A1101" t="s">
        <v>3209</v>
      </c>
      <c r="B1101" t="s">
        <v>3210</v>
      </c>
      <c r="C1101" t="s">
        <v>3211</v>
      </c>
      <c r="D1101" t="s">
        <v>35</v>
      </c>
      <c r="E1101" t="s">
        <v>16</v>
      </c>
      <c r="F1101" t="s">
        <v>60</v>
      </c>
      <c r="G1101" t="s">
        <v>31</v>
      </c>
      <c r="H1101">
        <f>Cleaned_Data!K1101</f>
        <v>44.16</v>
      </c>
      <c r="I1101" t="str">
        <f t="shared" si="51"/>
        <v>YES</v>
      </c>
      <c r="J1101">
        <f>Cleaned_Data!J1101</f>
        <v>48</v>
      </c>
      <c r="K1101" t="str">
        <f t="shared" si="52"/>
        <v>2024-09</v>
      </c>
      <c r="L1101">
        <f t="shared" si="53"/>
        <v>0</v>
      </c>
    </row>
    <row r="1102" spans="1:12">
      <c r="A1102" t="s">
        <v>3212</v>
      </c>
      <c r="B1102" t="s">
        <v>3213</v>
      </c>
      <c r="C1102" t="s">
        <v>3214</v>
      </c>
      <c r="D1102" t="s">
        <v>23</v>
      </c>
      <c r="E1102" t="s">
        <v>59</v>
      </c>
      <c r="F1102" t="s">
        <v>17</v>
      </c>
      <c r="G1102" t="s">
        <v>19</v>
      </c>
      <c r="H1102">
        <f>Cleaned_Data!K1102</f>
        <v>9.61</v>
      </c>
      <c r="I1102" t="str">
        <f t="shared" si="51"/>
        <v>YES</v>
      </c>
      <c r="J1102">
        <f>Cleaned_Data!J1102</f>
        <v>24</v>
      </c>
      <c r="K1102" t="str">
        <f t="shared" si="52"/>
        <v>2024-12</v>
      </c>
      <c r="L1102">
        <f t="shared" si="53"/>
        <v>0</v>
      </c>
    </row>
    <row r="1103" spans="1:12">
      <c r="A1103" t="s">
        <v>3215</v>
      </c>
      <c r="B1103" t="s">
        <v>3216</v>
      </c>
      <c r="D1103" t="s">
        <v>23</v>
      </c>
      <c r="E1103" t="s">
        <v>28</v>
      </c>
      <c r="F1103" t="s">
        <v>36</v>
      </c>
      <c r="G1103" t="s">
        <v>63</v>
      </c>
      <c r="H1103">
        <f>Cleaned_Data!K1103</f>
        <v>0</v>
      </c>
      <c r="I1103" t="str">
        <f t="shared" si="51"/>
        <v/>
      </c>
      <c r="J1103">
        <f>Cleaned_Data!J1103</f>
        <v>24</v>
      </c>
      <c r="K1103" t="str">
        <f t="shared" si="52"/>
        <v>2024-07</v>
      </c>
      <c r="L1103">
        <f t="shared" si="53"/>
        <v>0</v>
      </c>
    </row>
    <row r="1104" spans="1:12">
      <c r="A1104" t="s">
        <v>3217</v>
      </c>
      <c r="B1104" t="s">
        <v>3218</v>
      </c>
      <c r="C1104" t="s">
        <v>3219</v>
      </c>
      <c r="D1104" t="s">
        <v>35</v>
      </c>
      <c r="E1104" t="s">
        <v>16</v>
      </c>
      <c r="F1104" t="s">
        <v>36</v>
      </c>
      <c r="G1104" t="s">
        <v>19</v>
      </c>
      <c r="H1104">
        <f>Cleaned_Data!K1104</f>
        <v>13.49</v>
      </c>
      <c r="I1104" t="str">
        <f t="shared" si="51"/>
        <v>YES</v>
      </c>
      <c r="J1104">
        <f>Cleaned_Data!J1104</f>
        <v>48</v>
      </c>
      <c r="K1104" t="str">
        <f t="shared" si="52"/>
        <v>2024-04</v>
      </c>
      <c r="L1104">
        <f t="shared" si="53"/>
        <v>0</v>
      </c>
    </row>
    <row r="1105" spans="1:12">
      <c r="A1105" t="s">
        <v>3220</v>
      </c>
      <c r="B1105" t="s">
        <v>3221</v>
      </c>
      <c r="D1105" t="s">
        <v>23</v>
      </c>
      <c r="E1105" t="s">
        <v>54</v>
      </c>
      <c r="F1105" t="s">
        <v>60</v>
      </c>
      <c r="G1105" t="s">
        <v>63</v>
      </c>
      <c r="H1105">
        <f>Cleaned_Data!K1105</f>
        <v>0</v>
      </c>
      <c r="I1105" t="str">
        <f t="shared" si="51"/>
        <v/>
      </c>
      <c r="J1105">
        <f>Cleaned_Data!J1105</f>
        <v>24</v>
      </c>
      <c r="K1105" t="str">
        <f t="shared" si="52"/>
        <v>2024-08</v>
      </c>
      <c r="L1105">
        <f t="shared" si="53"/>
        <v>0</v>
      </c>
    </row>
    <row r="1106" spans="1:12">
      <c r="A1106" t="s">
        <v>3222</v>
      </c>
      <c r="B1106" t="s">
        <v>3223</v>
      </c>
      <c r="C1106" t="s">
        <v>3224</v>
      </c>
      <c r="D1106" t="s">
        <v>23</v>
      </c>
      <c r="E1106" t="s">
        <v>28</v>
      </c>
      <c r="F1106" t="s">
        <v>29</v>
      </c>
      <c r="G1106" t="s">
        <v>31</v>
      </c>
      <c r="H1106">
        <f>Cleaned_Data!K1106</f>
        <v>9.6199999999999992</v>
      </c>
      <c r="I1106" t="str">
        <f t="shared" si="51"/>
        <v>YES</v>
      </c>
      <c r="J1106">
        <f>Cleaned_Data!J1106</f>
        <v>24</v>
      </c>
      <c r="K1106" t="str">
        <f t="shared" si="52"/>
        <v>2024-12</v>
      </c>
      <c r="L1106">
        <f t="shared" si="53"/>
        <v>0</v>
      </c>
    </row>
    <row r="1107" spans="1:12">
      <c r="A1107" t="s">
        <v>3225</v>
      </c>
      <c r="B1107" t="s">
        <v>3226</v>
      </c>
      <c r="C1107" t="s">
        <v>3227</v>
      </c>
      <c r="D1107" t="s">
        <v>23</v>
      </c>
      <c r="E1107" t="s">
        <v>28</v>
      </c>
      <c r="F1107" t="s">
        <v>36</v>
      </c>
      <c r="G1107" t="s">
        <v>19</v>
      </c>
      <c r="H1107">
        <f>Cleaned_Data!K1107</f>
        <v>13.19</v>
      </c>
      <c r="I1107" t="str">
        <f t="shared" si="51"/>
        <v>YES</v>
      </c>
      <c r="J1107">
        <f>Cleaned_Data!J1107</f>
        <v>24</v>
      </c>
      <c r="K1107" t="str">
        <f t="shared" si="52"/>
        <v>2024-12</v>
      </c>
      <c r="L1107">
        <f t="shared" si="53"/>
        <v>0</v>
      </c>
    </row>
    <row r="1108" spans="1:12">
      <c r="A1108" t="s">
        <v>3228</v>
      </c>
      <c r="B1108" t="s">
        <v>3229</v>
      </c>
      <c r="C1108" t="s">
        <v>3230</v>
      </c>
      <c r="D1108" t="s">
        <v>15</v>
      </c>
      <c r="E1108" t="s">
        <v>28</v>
      </c>
      <c r="F1108" t="s">
        <v>17</v>
      </c>
      <c r="G1108" t="s">
        <v>19</v>
      </c>
      <c r="H1108">
        <f>Cleaned_Data!K1108</f>
        <v>3.35</v>
      </c>
      <c r="I1108" t="str">
        <f t="shared" si="51"/>
        <v>YES</v>
      </c>
      <c r="J1108">
        <f>Cleaned_Data!J1108</f>
        <v>8</v>
      </c>
      <c r="K1108" t="str">
        <f t="shared" si="52"/>
        <v>2024-06</v>
      </c>
      <c r="L1108">
        <f t="shared" si="53"/>
        <v>0</v>
      </c>
    </row>
    <row r="1109" spans="1:12">
      <c r="A1109" t="s">
        <v>3231</v>
      </c>
      <c r="B1109" t="s">
        <v>3232</v>
      </c>
      <c r="C1109" t="s">
        <v>3233</v>
      </c>
      <c r="D1109" t="s">
        <v>15</v>
      </c>
      <c r="E1109" t="s">
        <v>16</v>
      </c>
      <c r="F1109" t="s">
        <v>36</v>
      </c>
      <c r="G1109" t="s">
        <v>31</v>
      </c>
      <c r="H1109">
        <f>Cleaned_Data!K1109</f>
        <v>1.75</v>
      </c>
      <c r="I1109" t="str">
        <f t="shared" si="51"/>
        <v>YES</v>
      </c>
      <c r="J1109">
        <f>Cleaned_Data!J1109</f>
        <v>8</v>
      </c>
      <c r="K1109" t="str">
        <f t="shared" si="52"/>
        <v>2024-12</v>
      </c>
      <c r="L1109">
        <f t="shared" si="53"/>
        <v>0</v>
      </c>
    </row>
    <row r="1110" spans="1:12">
      <c r="A1110" t="s">
        <v>3234</v>
      </c>
      <c r="B1110" t="s">
        <v>3235</v>
      </c>
      <c r="C1110" t="s">
        <v>3236</v>
      </c>
      <c r="D1110" t="s">
        <v>23</v>
      </c>
      <c r="E1110" t="s">
        <v>16</v>
      </c>
      <c r="F1110" t="s">
        <v>17</v>
      </c>
      <c r="G1110" t="s">
        <v>19</v>
      </c>
      <c r="H1110">
        <f>Cleaned_Data!K1110</f>
        <v>10.45</v>
      </c>
      <c r="I1110" t="str">
        <f t="shared" si="51"/>
        <v>YES</v>
      </c>
      <c r="J1110">
        <f>Cleaned_Data!J1110</f>
        <v>24</v>
      </c>
      <c r="K1110" t="str">
        <f t="shared" si="52"/>
        <v>2024-01</v>
      </c>
      <c r="L1110">
        <f t="shared" si="53"/>
        <v>0</v>
      </c>
    </row>
    <row r="1111" spans="1:12">
      <c r="A1111" t="s">
        <v>3237</v>
      </c>
      <c r="B1111" t="s">
        <v>3238</v>
      </c>
      <c r="D1111" t="s">
        <v>158</v>
      </c>
      <c r="E1111" t="s">
        <v>54</v>
      </c>
      <c r="F1111" t="s">
        <v>41</v>
      </c>
      <c r="G1111" t="s">
        <v>46</v>
      </c>
      <c r="H1111">
        <f>Cleaned_Data!K1111</f>
        <v>0</v>
      </c>
      <c r="I1111" t="str">
        <f t="shared" si="51"/>
        <v/>
      </c>
      <c r="J1111">
        <f>Cleaned_Data!J1111</f>
        <v>4</v>
      </c>
      <c r="K1111" t="str">
        <f t="shared" si="52"/>
        <v>2024-12</v>
      </c>
      <c r="L1111">
        <f t="shared" si="53"/>
        <v>0</v>
      </c>
    </row>
    <row r="1112" spans="1:12">
      <c r="A1112" t="s">
        <v>3239</v>
      </c>
      <c r="B1112" t="s">
        <v>3240</v>
      </c>
      <c r="C1112" t="s">
        <v>3241</v>
      </c>
      <c r="D1112" t="s">
        <v>23</v>
      </c>
      <c r="E1112" t="s">
        <v>54</v>
      </c>
      <c r="F1112" t="s">
        <v>17</v>
      </c>
      <c r="G1112" t="s">
        <v>31</v>
      </c>
      <c r="H1112">
        <f>Cleaned_Data!K1112</f>
        <v>10.56</v>
      </c>
      <c r="I1112" t="str">
        <f t="shared" si="51"/>
        <v>YES</v>
      </c>
      <c r="J1112">
        <f>Cleaned_Data!J1112</f>
        <v>24</v>
      </c>
      <c r="K1112" t="str">
        <f t="shared" si="52"/>
        <v>2024-02</v>
      </c>
      <c r="L1112">
        <f t="shared" si="53"/>
        <v>0</v>
      </c>
    </row>
    <row r="1113" spans="1:12">
      <c r="A1113" t="s">
        <v>3242</v>
      </c>
      <c r="B1113" t="s">
        <v>3243</v>
      </c>
      <c r="C1113" t="s">
        <v>3244</v>
      </c>
      <c r="D1113" t="s">
        <v>35</v>
      </c>
      <c r="E1113" t="s">
        <v>28</v>
      </c>
      <c r="F1113" t="s">
        <v>36</v>
      </c>
      <c r="G1113" t="s">
        <v>31</v>
      </c>
      <c r="H1113">
        <f>Cleaned_Data!K1113</f>
        <v>18.84</v>
      </c>
      <c r="I1113" t="str">
        <f t="shared" si="51"/>
        <v>YES</v>
      </c>
      <c r="J1113">
        <f>Cleaned_Data!J1113</f>
        <v>48</v>
      </c>
      <c r="K1113" t="str">
        <f t="shared" si="52"/>
        <v>2024-10</v>
      </c>
      <c r="L1113">
        <f t="shared" si="53"/>
        <v>0</v>
      </c>
    </row>
    <row r="1114" spans="1:12">
      <c r="A1114" t="s">
        <v>3245</v>
      </c>
      <c r="B1114" t="s">
        <v>3246</v>
      </c>
      <c r="D1114" t="s">
        <v>15</v>
      </c>
      <c r="E1114" t="s">
        <v>54</v>
      </c>
      <c r="F1114" t="s">
        <v>29</v>
      </c>
      <c r="G1114" t="s">
        <v>46</v>
      </c>
      <c r="H1114">
        <f>Cleaned_Data!K1114</f>
        <v>0</v>
      </c>
      <c r="I1114" t="str">
        <f t="shared" si="51"/>
        <v/>
      </c>
      <c r="J1114">
        <f>Cleaned_Data!J1114</f>
        <v>8</v>
      </c>
      <c r="K1114" t="str">
        <f t="shared" si="52"/>
        <v>2024-09</v>
      </c>
      <c r="L1114">
        <f t="shared" si="53"/>
        <v>0</v>
      </c>
    </row>
    <row r="1115" spans="1:12">
      <c r="A1115" t="s">
        <v>3247</v>
      </c>
      <c r="B1115" t="s">
        <v>3248</v>
      </c>
      <c r="C1115" t="s">
        <v>3249</v>
      </c>
      <c r="D1115" t="s">
        <v>158</v>
      </c>
      <c r="E1115" t="s">
        <v>28</v>
      </c>
      <c r="F1115" t="s">
        <v>29</v>
      </c>
      <c r="G1115" t="s">
        <v>19</v>
      </c>
      <c r="H1115">
        <f>Cleaned_Data!K1115</f>
        <v>2.5</v>
      </c>
      <c r="I1115" t="str">
        <f t="shared" si="51"/>
        <v>YES</v>
      </c>
      <c r="J1115">
        <f>Cleaned_Data!J1115</f>
        <v>4</v>
      </c>
      <c r="K1115" t="str">
        <f t="shared" si="52"/>
        <v>2024-10</v>
      </c>
      <c r="L1115">
        <f t="shared" si="53"/>
        <v>0</v>
      </c>
    </row>
    <row r="1116" spans="1:12">
      <c r="A1116" t="s">
        <v>3250</v>
      </c>
      <c r="B1116" t="s">
        <v>3251</v>
      </c>
      <c r="C1116" t="s">
        <v>3252</v>
      </c>
      <c r="D1116" t="s">
        <v>15</v>
      </c>
      <c r="E1116" t="s">
        <v>16</v>
      </c>
      <c r="F1116" t="s">
        <v>29</v>
      </c>
      <c r="G1116" t="s">
        <v>19</v>
      </c>
      <c r="H1116">
        <f>Cleaned_Data!K1116</f>
        <v>11.5</v>
      </c>
      <c r="I1116" t="str">
        <f t="shared" si="51"/>
        <v>NO</v>
      </c>
      <c r="J1116">
        <f>Cleaned_Data!J1116</f>
        <v>8</v>
      </c>
      <c r="K1116" t="str">
        <f t="shared" si="52"/>
        <v>2024-03</v>
      </c>
      <c r="L1116">
        <f t="shared" si="53"/>
        <v>3.5</v>
      </c>
    </row>
    <row r="1117" spans="1:12">
      <c r="A1117" t="s">
        <v>3253</v>
      </c>
      <c r="B1117" t="s">
        <v>3254</v>
      </c>
      <c r="C1117" t="s">
        <v>3255</v>
      </c>
      <c r="D1117" t="s">
        <v>15</v>
      </c>
      <c r="E1117" t="s">
        <v>16</v>
      </c>
      <c r="F1117" t="s">
        <v>60</v>
      </c>
      <c r="G1117" t="s">
        <v>19</v>
      </c>
      <c r="H1117">
        <f>Cleaned_Data!K1117</f>
        <v>18.21</v>
      </c>
      <c r="I1117" t="str">
        <f t="shared" si="51"/>
        <v>NO</v>
      </c>
      <c r="J1117">
        <f>Cleaned_Data!J1117</f>
        <v>8</v>
      </c>
      <c r="K1117" t="str">
        <f t="shared" si="52"/>
        <v>2024-11</v>
      </c>
      <c r="L1117">
        <f t="shared" si="53"/>
        <v>10.210000000000001</v>
      </c>
    </row>
    <row r="1118" spans="1:12">
      <c r="A1118" t="s">
        <v>3256</v>
      </c>
      <c r="B1118" t="s">
        <v>3257</v>
      </c>
      <c r="C1118" t="s">
        <v>3258</v>
      </c>
      <c r="D1118" t="s">
        <v>15</v>
      </c>
      <c r="E1118" t="s">
        <v>24</v>
      </c>
      <c r="F1118" t="s">
        <v>17</v>
      </c>
      <c r="G1118" t="s">
        <v>19</v>
      </c>
      <c r="H1118">
        <f>Cleaned_Data!K1118</f>
        <v>1.42</v>
      </c>
      <c r="I1118" t="str">
        <f t="shared" si="51"/>
        <v>YES</v>
      </c>
      <c r="J1118">
        <f>Cleaned_Data!J1118</f>
        <v>8</v>
      </c>
      <c r="K1118" t="str">
        <f t="shared" si="52"/>
        <v>2024-02</v>
      </c>
      <c r="L1118">
        <f t="shared" si="53"/>
        <v>0</v>
      </c>
    </row>
    <row r="1119" spans="1:12">
      <c r="A1119" t="s">
        <v>3259</v>
      </c>
      <c r="B1119" t="s">
        <v>3260</v>
      </c>
      <c r="C1119" t="s">
        <v>3261</v>
      </c>
      <c r="D1119" t="s">
        <v>23</v>
      </c>
      <c r="E1119" t="s">
        <v>28</v>
      </c>
      <c r="F1119" t="s">
        <v>17</v>
      </c>
      <c r="G1119" t="s">
        <v>19</v>
      </c>
      <c r="H1119">
        <f>Cleaned_Data!K1119</f>
        <v>18</v>
      </c>
      <c r="I1119" t="str">
        <f t="shared" si="51"/>
        <v>YES</v>
      </c>
      <c r="J1119">
        <f>Cleaned_Data!J1119</f>
        <v>24</v>
      </c>
      <c r="K1119" t="str">
        <f t="shared" si="52"/>
        <v>2024-06</v>
      </c>
      <c r="L1119">
        <f t="shared" si="53"/>
        <v>0</v>
      </c>
    </row>
    <row r="1120" spans="1:12">
      <c r="A1120" t="s">
        <v>3262</v>
      </c>
      <c r="B1120" t="s">
        <v>3263</v>
      </c>
      <c r="C1120" t="s">
        <v>3264</v>
      </c>
      <c r="D1120" t="s">
        <v>15</v>
      </c>
      <c r="E1120" t="s">
        <v>28</v>
      </c>
      <c r="F1120" t="s">
        <v>29</v>
      </c>
      <c r="G1120" t="s">
        <v>19</v>
      </c>
      <c r="H1120">
        <f>Cleaned_Data!K1120</f>
        <v>1.1200000000000001</v>
      </c>
      <c r="I1120" t="str">
        <f t="shared" si="51"/>
        <v>YES</v>
      </c>
      <c r="J1120">
        <f>Cleaned_Data!J1120</f>
        <v>8</v>
      </c>
      <c r="K1120" t="str">
        <f t="shared" si="52"/>
        <v>2024-04</v>
      </c>
      <c r="L1120">
        <f t="shared" si="53"/>
        <v>0</v>
      </c>
    </row>
    <row r="1121" spans="1:12">
      <c r="A1121" t="s">
        <v>3265</v>
      </c>
      <c r="B1121" t="s">
        <v>3266</v>
      </c>
      <c r="C1121" t="s">
        <v>3267</v>
      </c>
      <c r="D1121" t="s">
        <v>23</v>
      </c>
      <c r="E1121" t="s">
        <v>28</v>
      </c>
      <c r="F1121" t="s">
        <v>29</v>
      </c>
      <c r="G1121" t="s">
        <v>19</v>
      </c>
      <c r="H1121">
        <f>Cleaned_Data!K1121</f>
        <v>11.19</v>
      </c>
      <c r="I1121" t="str">
        <f t="shared" si="51"/>
        <v>YES</v>
      </c>
      <c r="J1121">
        <f>Cleaned_Data!J1121</f>
        <v>24</v>
      </c>
      <c r="K1121" t="str">
        <f t="shared" si="52"/>
        <v>2024-01</v>
      </c>
      <c r="L1121">
        <f t="shared" si="53"/>
        <v>0</v>
      </c>
    </row>
    <row r="1122" spans="1:12">
      <c r="A1122" t="s">
        <v>3268</v>
      </c>
      <c r="B1122" t="s">
        <v>3269</v>
      </c>
      <c r="D1122" t="s">
        <v>23</v>
      </c>
      <c r="E1122" t="s">
        <v>28</v>
      </c>
      <c r="F1122" t="s">
        <v>36</v>
      </c>
      <c r="G1122" t="s">
        <v>63</v>
      </c>
      <c r="H1122">
        <f>Cleaned_Data!K1122</f>
        <v>0</v>
      </c>
      <c r="I1122" t="str">
        <f t="shared" si="51"/>
        <v/>
      </c>
      <c r="J1122">
        <f>Cleaned_Data!J1122</f>
        <v>24</v>
      </c>
      <c r="K1122" t="str">
        <f t="shared" si="52"/>
        <v>2024-07</v>
      </c>
      <c r="L1122">
        <f t="shared" si="53"/>
        <v>0</v>
      </c>
    </row>
    <row r="1123" spans="1:12">
      <c r="A1123" t="s">
        <v>3270</v>
      </c>
      <c r="B1123" t="s">
        <v>3271</v>
      </c>
      <c r="C1123" t="s">
        <v>3272</v>
      </c>
      <c r="D1123" t="s">
        <v>35</v>
      </c>
      <c r="E1123" t="s">
        <v>16</v>
      </c>
      <c r="F1123" t="s">
        <v>60</v>
      </c>
      <c r="G1123" t="s">
        <v>31</v>
      </c>
      <c r="H1123">
        <f>Cleaned_Data!K1123</f>
        <v>16.059999999999999</v>
      </c>
      <c r="I1123" t="str">
        <f t="shared" si="51"/>
        <v>YES</v>
      </c>
      <c r="J1123">
        <f>Cleaned_Data!J1123</f>
        <v>48</v>
      </c>
      <c r="K1123" t="str">
        <f t="shared" si="52"/>
        <v>2024-10</v>
      </c>
      <c r="L1123">
        <f t="shared" si="53"/>
        <v>0</v>
      </c>
    </row>
    <row r="1124" spans="1:12">
      <c r="A1124" t="s">
        <v>3273</v>
      </c>
      <c r="B1124" t="s">
        <v>3274</v>
      </c>
      <c r="C1124" t="s">
        <v>3275</v>
      </c>
      <c r="D1124" t="s">
        <v>35</v>
      </c>
      <c r="E1124" t="s">
        <v>24</v>
      </c>
      <c r="F1124" t="s">
        <v>60</v>
      </c>
      <c r="G1124" t="s">
        <v>19</v>
      </c>
      <c r="H1124">
        <f>Cleaned_Data!K1124</f>
        <v>133.15</v>
      </c>
      <c r="I1124" t="str">
        <f t="shared" si="51"/>
        <v>NO</v>
      </c>
      <c r="J1124">
        <f>Cleaned_Data!J1124</f>
        <v>48</v>
      </c>
      <c r="K1124" t="str">
        <f t="shared" si="52"/>
        <v>2024-02</v>
      </c>
      <c r="L1124">
        <f t="shared" si="53"/>
        <v>85.15</v>
      </c>
    </row>
    <row r="1125" spans="1:12">
      <c r="A1125" t="s">
        <v>3276</v>
      </c>
      <c r="B1125" t="s">
        <v>3277</v>
      </c>
      <c r="C1125" t="s">
        <v>3278</v>
      </c>
      <c r="D1125" t="s">
        <v>23</v>
      </c>
      <c r="E1125" t="s">
        <v>59</v>
      </c>
      <c r="F1125" t="s">
        <v>36</v>
      </c>
      <c r="G1125" t="s">
        <v>31</v>
      </c>
      <c r="H1125">
        <f>Cleaned_Data!K1125</f>
        <v>12.07</v>
      </c>
      <c r="I1125" t="str">
        <f t="shared" si="51"/>
        <v>YES</v>
      </c>
      <c r="J1125">
        <f>Cleaned_Data!J1125</f>
        <v>24</v>
      </c>
      <c r="K1125" t="str">
        <f t="shared" si="52"/>
        <v>2024-03</v>
      </c>
      <c r="L1125">
        <f t="shared" si="53"/>
        <v>0</v>
      </c>
    </row>
    <row r="1126" spans="1:12">
      <c r="A1126" t="s">
        <v>3279</v>
      </c>
      <c r="B1126" t="s">
        <v>3280</v>
      </c>
      <c r="C1126" t="s">
        <v>3281</v>
      </c>
      <c r="D1126" t="s">
        <v>23</v>
      </c>
      <c r="E1126" t="s">
        <v>24</v>
      </c>
      <c r="F1126" t="s">
        <v>17</v>
      </c>
      <c r="G1126" t="s">
        <v>31</v>
      </c>
      <c r="H1126">
        <f>Cleaned_Data!K1126</f>
        <v>20.29</v>
      </c>
      <c r="I1126" t="str">
        <f t="shared" si="51"/>
        <v>YES</v>
      </c>
      <c r="J1126">
        <f>Cleaned_Data!J1126</f>
        <v>24</v>
      </c>
      <c r="K1126" t="str">
        <f t="shared" si="52"/>
        <v>2024-07</v>
      </c>
      <c r="L1126">
        <f t="shared" si="53"/>
        <v>0</v>
      </c>
    </row>
    <row r="1127" spans="1:12">
      <c r="A1127" t="s">
        <v>3282</v>
      </c>
      <c r="B1127" t="s">
        <v>3283</v>
      </c>
      <c r="C1127" t="s">
        <v>3284</v>
      </c>
      <c r="D1127" t="s">
        <v>23</v>
      </c>
      <c r="E1127" t="s">
        <v>28</v>
      </c>
      <c r="F1127" t="s">
        <v>29</v>
      </c>
      <c r="G1127" t="s">
        <v>31</v>
      </c>
      <c r="H1127">
        <f>Cleaned_Data!K1127</f>
        <v>11.3</v>
      </c>
      <c r="I1127" t="str">
        <f t="shared" si="51"/>
        <v>YES</v>
      </c>
      <c r="J1127">
        <f>Cleaned_Data!J1127</f>
        <v>24</v>
      </c>
      <c r="K1127" t="str">
        <f t="shared" si="52"/>
        <v>2024-12</v>
      </c>
      <c r="L1127">
        <f t="shared" si="53"/>
        <v>0</v>
      </c>
    </row>
    <row r="1128" spans="1:12">
      <c r="A1128" t="s">
        <v>3285</v>
      </c>
      <c r="B1128" t="s">
        <v>3286</v>
      </c>
      <c r="C1128" t="s">
        <v>3287</v>
      </c>
      <c r="D1128" t="s">
        <v>35</v>
      </c>
      <c r="E1128" t="s">
        <v>28</v>
      </c>
      <c r="F1128" t="s">
        <v>36</v>
      </c>
      <c r="G1128" t="s">
        <v>31</v>
      </c>
      <c r="H1128">
        <f>Cleaned_Data!K1128</f>
        <v>10.06</v>
      </c>
      <c r="I1128" t="str">
        <f t="shared" si="51"/>
        <v>YES</v>
      </c>
      <c r="J1128">
        <f>Cleaned_Data!J1128</f>
        <v>48</v>
      </c>
      <c r="K1128" t="str">
        <f t="shared" si="52"/>
        <v>2024-07</v>
      </c>
      <c r="L1128">
        <f t="shared" si="53"/>
        <v>0</v>
      </c>
    </row>
    <row r="1129" spans="1:12">
      <c r="A1129" t="s">
        <v>3288</v>
      </c>
      <c r="B1129" t="s">
        <v>3289</v>
      </c>
      <c r="C1129" t="s">
        <v>3290</v>
      </c>
      <c r="D1129" t="s">
        <v>158</v>
      </c>
      <c r="E1129" t="s">
        <v>59</v>
      </c>
      <c r="F1129" t="s">
        <v>17</v>
      </c>
      <c r="G1129" t="s">
        <v>31</v>
      </c>
      <c r="H1129">
        <f>Cleaned_Data!K1129</f>
        <v>2.21</v>
      </c>
      <c r="I1129" t="str">
        <f t="shared" si="51"/>
        <v>YES</v>
      </c>
      <c r="J1129">
        <f>Cleaned_Data!J1129</f>
        <v>4</v>
      </c>
      <c r="K1129" t="str">
        <f t="shared" si="52"/>
        <v>2024-08</v>
      </c>
      <c r="L1129">
        <f t="shared" si="53"/>
        <v>0</v>
      </c>
    </row>
    <row r="1130" spans="1:12">
      <c r="A1130" t="s">
        <v>3291</v>
      </c>
      <c r="B1130" t="s">
        <v>3292</v>
      </c>
      <c r="C1130" t="s">
        <v>3293</v>
      </c>
      <c r="D1130" t="s">
        <v>15</v>
      </c>
      <c r="E1130" t="s">
        <v>28</v>
      </c>
      <c r="F1130" t="s">
        <v>41</v>
      </c>
      <c r="G1130" t="s">
        <v>31</v>
      </c>
      <c r="H1130">
        <f>Cleaned_Data!K1130</f>
        <v>2.65</v>
      </c>
      <c r="I1130" t="str">
        <f t="shared" si="51"/>
        <v>YES</v>
      </c>
      <c r="J1130">
        <f>Cleaned_Data!J1130</f>
        <v>8</v>
      </c>
      <c r="K1130" t="str">
        <f t="shared" si="52"/>
        <v>2024-01</v>
      </c>
      <c r="L1130">
        <f t="shared" si="53"/>
        <v>0</v>
      </c>
    </row>
    <row r="1131" spans="1:12">
      <c r="A1131" t="s">
        <v>3294</v>
      </c>
      <c r="B1131" t="s">
        <v>3295</v>
      </c>
      <c r="C1131" t="s">
        <v>3296</v>
      </c>
      <c r="D1131" t="s">
        <v>23</v>
      </c>
      <c r="E1131" t="s">
        <v>54</v>
      </c>
      <c r="F1131" t="s">
        <v>36</v>
      </c>
      <c r="G1131" t="s">
        <v>19</v>
      </c>
      <c r="H1131">
        <f>Cleaned_Data!K1131</f>
        <v>13.11</v>
      </c>
      <c r="I1131" t="str">
        <f t="shared" si="51"/>
        <v>YES</v>
      </c>
      <c r="J1131">
        <f>Cleaned_Data!J1131</f>
        <v>24</v>
      </c>
      <c r="K1131" t="str">
        <f t="shared" si="52"/>
        <v>2024-03</v>
      </c>
      <c r="L1131">
        <f t="shared" si="53"/>
        <v>0</v>
      </c>
    </row>
    <row r="1132" spans="1:12">
      <c r="A1132" t="s">
        <v>3297</v>
      </c>
      <c r="B1132" t="s">
        <v>3298</v>
      </c>
      <c r="C1132" t="s">
        <v>3299</v>
      </c>
      <c r="D1132" t="s">
        <v>15</v>
      </c>
      <c r="E1132" t="s">
        <v>28</v>
      </c>
      <c r="F1132" t="s">
        <v>36</v>
      </c>
      <c r="G1132" t="s">
        <v>19</v>
      </c>
      <c r="H1132">
        <f>Cleaned_Data!K1132</f>
        <v>2.78</v>
      </c>
      <c r="I1132" t="str">
        <f t="shared" si="51"/>
        <v>YES</v>
      </c>
      <c r="J1132">
        <f>Cleaned_Data!J1132</f>
        <v>8</v>
      </c>
      <c r="K1132" t="str">
        <f t="shared" si="52"/>
        <v>2024-03</v>
      </c>
      <c r="L1132">
        <f t="shared" si="53"/>
        <v>0</v>
      </c>
    </row>
    <row r="1133" spans="1:12">
      <c r="A1133" t="s">
        <v>3300</v>
      </c>
      <c r="B1133" t="s">
        <v>3301</v>
      </c>
      <c r="D1133" t="s">
        <v>15</v>
      </c>
      <c r="E1133" t="s">
        <v>24</v>
      </c>
      <c r="F1133" t="s">
        <v>36</v>
      </c>
      <c r="G1133" t="s">
        <v>46</v>
      </c>
      <c r="H1133">
        <f>Cleaned_Data!K1133</f>
        <v>0</v>
      </c>
      <c r="I1133" t="str">
        <f t="shared" si="51"/>
        <v/>
      </c>
      <c r="J1133">
        <f>Cleaned_Data!J1133</f>
        <v>8</v>
      </c>
      <c r="K1133" t="str">
        <f t="shared" si="52"/>
        <v>2024-12</v>
      </c>
      <c r="L1133">
        <f t="shared" si="53"/>
        <v>0</v>
      </c>
    </row>
    <row r="1134" spans="1:12">
      <c r="A1134" t="s">
        <v>3302</v>
      </c>
      <c r="B1134" t="s">
        <v>3303</v>
      </c>
      <c r="C1134" t="s">
        <v>3304</v>
      </c>
      <c r="D1134" t="s">
        <v>15</v>
      </c>
      <c r="E1134" t="s">
        <v>24</v>
      </c>
      <c r="F1134" t="s">
        <v>29</v>
      </c>
      <c r="G1134" t="s">
        <v>31</v>
      </c>
      <c r="H1134">
        <f>Cleaned_Data!K1134</f>
        <v>1.37</v>
      </c>
      <c r="I1134" t="str">
        <f t="shared" si="51"/>
        <v>YES</v>
      </c>
      <c r="J1134">
        <f>Cleaned_Data!J1134</f>
        <v>8</v>
      </c>
      <c r="K1134" t="str">
        <f t="shared" si="52"/>
        <v>2024-11</v>
      </c>
      <c r="L1134">
        <f t="shared" si="53"/>
        <v>0</v>
      </c>
    </row>
    <row r="1135" spans="1:12">
      <c r="A1135" t="s">
        <v>3305</v>
      </c>
      <c r="B1135" t="s">
        <v>3306</v>
      </c>
      <c r="C1135" t="s">
        <v>3307</v>
      </c>
      <c r="D1135" t="s">
        <v>15</v>
      </c>
      <c r="E1135" t="s">
        <v>24</v>
      </c>
      <c r="F1135" t="s">
        <v>60</v>
      </c>
      <c r="G1135" t="s">
        <v>19</v>
      </c>
      <c r="H1135">
        <f>Cleaned_Data!K1135</f>
        <v>6.35</v>
      </c>
      <c r="I1135" t="str">
        <f t="shared" si="51"/>
        <v>YES</v>
      </c>
      <c r="J1135">
        <f>Cleaned_Data!J1135</f>
        <v>8</v>
      </c>
      <c r="K1135" t="str">
        <f t="shared" si="52"/>
        <v>2024-08</v>
      </c>
      <c r="L1135">
        <f t="shared" si="53"/>
        <v>0</v>
      </c>
    </row>
    <row r="1136" spans="1:12">
      <c r="A1136" t="s">
        <v>3308</v>
      </c>
      <c r="B1136" t="s">
        <v>3309</v>
      </c>
      <c r="C1136" t="s">
        <v>3310</v>
      </c>
      <c r="D1136" t="s">
        <v>23</v>
      </c>
      <c r="E1136" t="s">
        <v>28</v>
      </c>
      <c r="F1136" t="s">
        <v>29</v>
      </c>
      <c r="G1136" t="s">
        <v>19</v>
      </c>
      <c r="H1136">
        <f>Cleaned_Data!K1136</f>
        <v>61.62</v>
      </c>
      <c r="I1136" t="str">
        <f t="shared" si="51"/>
        <v>NO</v>
      </c>
      <c r="J1136">
        <f>Cleaned_Data!J1136</f>
        <v>24</v>
      </c>
      <c r="K1136" t="str">
        <f t="shared" si="52"/>
        <v>2024-03</v>
      </c>
      <c r="L1136">
        <f t="shared" si="53"/>
        <v>37.619999999999997</v>
      </c>
    </row>
    <row r="1137" spans="1:12">
      <c r="A1137" t="s">
        <v>3311</v>
      </c>
      <c r="B1137" t="s">
        <v>3312</v>
      </c>
      <c r="C1137" t="s">
        <v>3313</v>
      </c>
      <c r="D1137" t="s">
        <v>23</v>
      </c>
      <c r="E1137" t="s">
        <v>54</v>
      </c>
      <c r="F1137" t="s">
        <v>29</v>
      </c>
      <c r="G1137" t="s">
        <v>31</v>
      </c>
      <c r="H1137">
        <f>Cleaned_Data!K1137</f>
        <v>19.059999999999999</v>
      </c>
      <c r="I1137" t="str">
        <f t="shared" si="51"/>
        <v>YES</v>
      </c>
      <c r="J1137">
        <f>Cleaned_Data!J1137</f>
        <v>24</v>
      </c>
      <c r="K1137" t="str">
        <f t="shared" si="52"/>
        <v>2024-02</v>
      </c>
      <c r="L1137">
        <f t="shared" si="53"/>
        <v>0</v>
      </c>
    </row>
    <row r="1138" spans="1:12">
      <c r="A1138" t="s">
        <v>3314</v>
      </c>
      <c r="B1138" t="s">
        <v>3315</v>
      </c>
      <c r="C1138" t="s">
        <v>3316</v>
      </c>
      <c r="D1138" t="s">
        <v>15</v>
      </c>
      <c r="E1138" t="s">
        <v>54</v>
      </c>
      <c r="F1138" t="s">
        <v>41</v>
      </c>
      <c r="G1138" t="s">
        <v>19</v>
      </c>
      <c r="H1138">
        <f>Cleaned_Data!K1138</f>
        <v>3.75</v>
      </c>
      <c r="I1138" t="str">
        <f t="shared" si="51"/>
        <v>YES</v>
      </c>
      <c r="J1138">
        <f>Cleaned_Data!J1138</f>
        <v>8</v>
      </c>
      <c r="K1138" t="str">
        <f t="shared" si="52"/>
        <v>2024-04</v>
      </c>
      <c r="L1138">
        <f t="shared" si="53"/>
        <v>0</v>
      </c>
    </row>
    <row r="1139" spans="1:12">
      <c r="A1139" t="s">
        <v>3317</v>
      </c>
      <c r="B1139" t="s">
        <v>3318</v>
      </c>
      <c r="C1139" t="s">
        <v>3319</v>
      </c>
      <c r="D1139" t="s">
        <v>158</v>
      </c>
      <c r="E1139" t="s">
        <v>24</v>
      </c>
      <c r="F1139" t="s">
        <v>17</v>
      </c>
      <c r="G1139" t="s">
        <v>19</v>
      </c>
      <c r="H1139">
        <f>Cleaned_Data!K1139</f>
        <v>2.88</v>
      </c>
      <c r="I1139" t="str">
        <f t="shared" si="51"/>
        <v>YES</v>
      </c>
      <c r="J1139">
        <f>Cleaned_Data!J1139</f>
        <v>4</v>
      </c>
      <c r="K1139" t="str">
        <f t="shared" si="52"/>
        <v>2024-07</v>
      </c>
      <c r="L1139">
        <f t="shared" si="53"/>
        <v>0</v>
      </c>
    </row>
    <row r="1140" spans="1:12">
      <c r="A1140" t="s">
        <v>3320</v>
      </c>
      <c r="B1140" t="s">
        <v>3321</v>
      </c>
      <c r="C1140" t="s">
        <v>3322</v>
      </c>
      <c r="D1140" t="s">
        <v>15</v>
      </c>
      <c r="E1140" t="s">
        <v>16</v>
      </c>
      <c r="F1140" t="s">
        <v>41</v>
      </c>
      <c r="G1140" t="s">
        <v>31</v>
      </c>
      <c r="H1140">
        <f>Cleaned_Data!K1140</f>
        <v>1.29</v>
      </c>
      <c r="I1140" t="str">
        <f t="shared" si="51"/>
        <v>YES</v>
      </c>
      <c r="J1140">
        <f>Cleaned_Data!J1140</f>
        <v>8</v>
      </c>
      <c r="K1140" t="str">
        <f t="shared" si="52"/>
        <v>2024-01</v>
      </c>
      <c r="L1140">
        <f t="shared" si="53"/>
        <v>0</v>
      </c>
    </row>
    <row r="1141" spans="1:12">
      <c r="A1141" t="s">
        <v>3323</v>
      </c>
      <c r="B1141" t="s">
        <v>3324</v>
      </c>
      <c r="C1141" t="s">
        <v>3325</v>
      </c>
      <c r="D1141" t="s">
        <v>23</v>
      </c>
      <c r="E1141" t="s">
        <v>28</v>
      </c>
      <c r="F1141" t="s">
        <v>60</v>
      </c>
      <c r="G1141" t="s">
        <v>31</v>
      </c>
      <c r="H1141">
        <f>Cleaned_Data!K1141</f>
        <v>14.71</v>
      </c>
      <c r="I1141" t="str">
        <f t="shared" si="51"/>
        <v>YES</v>
      </c>
      <c r="J1141">
        <f>Cleaned_Data!J1141</f>
        <v>24</v>
      </c>
      <c r="K1141" t="str">
        <f t="shared" si="52"/>
        <v>2024-12</v>
      </c>
      <c r="L1141">
        <f t="shared" si="53"/>
        <v>0</v>
      </c>
    </row>
    <row r="1142" spans="1:12">
      <c r="A1142" t="s">
        <v>3326</v>
      </c>
      <c r="B1142" t="s">
        <v>3327</v>
      </c>
      <c r="C1142" t="s">
        <v>3328</v>
      </c>
      <c r="D1142" t="s">
        <v>15</v>
      </c>
      <c r="E1142" t="s">
        <v>24</v>
      </c>
      <c r="F1142" t="s">
        <v>36</v>
      </c>
      <c r="G1142" t="s">
        <v>19</v>
      </c>
      <c r="H1142">
        <f>Cleaned_Data!K1142</f>
        <v>816</v>
      </c>
      <c r="I1142" t="str">
        <f t="shared" si="51"/>
        <v>NO</v>
      </c>
      <c r="J1142">
        <f>Cleaned_Data!J1142</f>
        <v>8</v>
      </c>
      <c r="K1142" t="str">
        <f t="shared" si="52"/>
        <v>2024-01</v>
      </c>
      <c r="L1142">
        <f t="shared" si="53"/>
        <v>808</v>
      </c>
    </row>
    <row r="1143" spans="1:12">
      <c r="A1143" t="s">
        <v>3329</v>
      </c>
      <c r="B1143" t="s">
        <v>3330</v>
      </c>
      <c r="C1143" t="s">
        <v>3331</v>
      </c>
      <c r="D1143" t="s">
        <v>23</v>
      </c>
      <c r="E1143" t="s">
        <v>24</v>
      </c>
      <c r="F1143" t="s">
        <v>36</v>
      </c>
      <c r="G1143" t="s">
        <v>31</v>
      </c>
      <c r="H1143">
        <f>Cleaned_Data!K1143</f>
        <v>16.829999999999998</v>
      </c>
      <c r="I1143" t="str">
        <f t="shared" si="51"/>
        <v>YES</v>
      </c>
      <c r="J1143">
        <f>Cleaned_Data!J1143</f>
        <v>24</v>
      </c>
      <c r="K1143" t="str">
        <f t="shared" si="52"/>
        <v>2024-01</v>
      </c>
      <c r="L1143">
        <f t="shared" si="53"/>
        <v>0</v>
      </c>
    </row>
    <row r="1144" spans="1:12">
      <c r="A1144" t="s">
        <v>3332</v>
      </c>
      <c r="B1144" t="s">
        <v>3333</v>
      </c>
      <c r="C1144" t="s">
        <v>3334</v>
      </c>
      <c r="D1144" t="s">
        <v>23</v>
      </c>
      <c r="E1144" t="s">
        <v>16</v>
      </c>
      <c r="F1144" t="s">
        <v>17</v>
      </c>
      <c r="G1144" t="s">
        <v>19</v>
      </c>
      <c r="H1144">
        <f>Cleaned_Data!K1144</f>
        <v>3.54</v>
      </c>
      <c r="I1144" t="str">
        <f t="shared" si="51"/>
        <v>YES</v>
      </c>
      <c r="J1144">
        <f>Cleaned_Data!J1144</f>
        <v>24</v>
      </c>
      <c r="K1144" t="str">
        <f t="shared" si="52"/>
        <v>2024-07</v>
      </c>
      <c r="L1144">
        <f t="shared" si="53"/>
        <v>0</v>
      </c>
    </row>
    <row r="1145" spans="1:12">
      <c r="A1145" t="s">
        <v>3335</v>
      </c>
      <c r="B1145" t="s">
        <v>3336</v>
      </c>
      <c r="C1145" t="s">
        <v>3337</v>
      </c>
      <c r="D1145" t="s">
        <v>23</v>
      </c>
      <c r="E1145" t="s">
        <v>24</v>
      </c>
      <c r="F1145" t="s">
        <v>36</v>
      </c>
      <c r="G1145" t="s">
        <v>19</v>
      </c>
      <c r="H1145">
        <f>Cleaned_Data!K1145</f>
        <v>20.48</v>
      </c>
      <c r="I1145" t="str">
        <f t="shared" si="51"/>
        <v>YES</v>
      </c>
      <c r="J1145">
        <f>Cleaned_Data!J1145</f>
        <v>24</v>
      </c>
      <c r="K1145" t="str">
        <f t="shared" si="52"/>
        <v>2024-09</v>
      </c>
      <c r="L1145">
        <f t="shared" si="53"/>
        <v>0</v>
      </c>
    </row>
    <row r="1146" spans="1:12">
      <c r="A1146" t="s">
        <v>3338</v>
      </c>
      <c r="B1146" t="s">
        <v>3339</v>
      </c>
      <c r="C1146" t="s">
        <v>3340</v>
      </c>
      <c r="D1146" t="s">
        <v>35</v>
      </c>
      <c r="E1146" t="s">
        <v>54</v>
      </c>
      <c r="F1146" t="s">
        <v>41</v>
      </c>
      <c r="G1146" t="s">
        <v>19</v>
      </c>
      <c r="H1146">
        <f>Cleaned_Data!K1146</f>
        <v>14.02</v>
      </c>
      <c r="I1146" t="str">
        <f t="shared" si="51"/>
        <v>YES</v>
      </c>
      <c r="J1146">
        <f>Cleaned_Data!J1146</f>
        <v>48</v>
      </c>
      <c r="K1146" t="str">
        <f t="shared" si="52"/>
        <v>2024-01</v>
      </c>
      <c r="L1146">
        <f t="shared" si="53"/>
        <v>0</v>
      </c>
    </row>
    <row r="1147" spans="1:12">
      <c r="A1147" t="s">
        <v>3341</v>
      </c>
      <c r="B1147" t="s">
        <v>3342</v>
      </c>
      <c r="C1147" t="s">
        <v>3343</v>
      </c>
      <c r="D1147" t="s">
        <v>23</v>
      </c>
      <c r="E1147" t="s">
        <v>16</v>
      </c>
      <c r="F1147" t="s">
        <v>36</v>
      </c>
      <c r="G1147" t="s">
        <v>19</v>
      </c>
      <c r="H1147">
        <f>Cleaned_Data!K1147</f>
        <v>4.4800000000000004</v>
      </c>
      <c r="I1147" t="str">
        <f t="shared" si="51"/>
        <v>YES</v>
      </c>
      <c r="J1147">
        <f>Cleaned_Data!J1147</f>
        <v>24</v>
      </c>
      <c r="K1147" t="str">
        <f t="shared" si="52"/>
        <v>2024-05</v>
      </c>
      <c r="L1147">
        <f t="shared" si="53"/>
        <v>0</v>
      </c>
    </row>
    <row r="1148" spans="1:12">
      <c r="A1148" t="s">
        <v>3344</v>
      </c>
      <c r="B1148" t="s">
        <v>3345</v>
      </c>
      <c r="C1148" t="s">
        <v>3346</v>
      </c>
      <c r="D1148" t="s">
        <v>158</v>
      </c>
      <c r="E1148" t="s">
        <v>28</v>
      </c>
      <c r="F1148" t="s">
        <v>29</v>
      </c>
      <c r="G1148" t="s">
        <v>31</v>
      </c>
      <c r="H1148">
        <f>Cleaned_Data!K1148</f>
        <v>1.01</v>
      </c>
      <c r="I1148" t="str">
        <f t="shared" si="51"/>
        <v>YES</v>
      </c>
      <c r="J1148">
        <f>Cleaned_Data!J1148</f>
        <v>4</v>
      </c>
      <c r="K1148" t="str">
        <f t="shared" si="52"/>
        <v>2024-05</v>
      </c>
      <c r="L1148">
        <f t="shared" si="53"/>
        <v>0</v>
      </c>
    </row>
    <row r="1149" spans="1:12">
      <c r="A1149" t="s">
        <v>3347</v>
      </c>
      <c r="B1149" t="s">
        <v>3348</v>
      </c>
      <c r="C1149" t="s">
        <v>3349</v>
      </c>
      <c r="D1149" t="s">
        <v>15</v>
      </c>
      <c r="E1149" t="s">
        <v>28</v>
      </c>
      <c r="F1149" t="s">
        <v>29</v>
      </c>
      <c r="G1149" t="s">
        <v>31</v>
      </c>
      <c r="H1149">
        <f>Cleaned_Data!K1149</f>
        <v>1.51</v>
      </c>
      <c r="I1149" t="str">
        <f t="shared" si="51"/>
        <v>YES</v>
      </c>
      <c r="J1149">
        <f>Cleaned_Data!J1149</f>
        <v>8</v>
      </c>
      <c r="K1149" t="str">
        <f t="shared" si="52"/>
        <v>2024-08</v>
      </c>
      <c r="L1149">
        <f t="shared" si="53"/>
        <v>0</v>
      </c>
    </row>
    <row r="1150" spans="1:12">
      <c r="A1150" t="s">
        <v>3350</v>
      </c>
      <c r="B1150" t="s">
        <v>3351</v>
      </c>
      <c r="C1150" t="s">
        <v>3352</v>
      </c>
      <c r="D1150" t="s">
        <v>23</v>
      </c>
      <c r="E1150" t="s">
        <v>28</v>
      </c>
      <c r="F1150" t="s">
        <v>36</v>
      </c>
      <c r="G1150" t="s">
        <v>31</v>
      </c>
      <c r="H1150">
        <f>Cleaned_Data!K1150</f>
        <v>61.6</v>
      </c>
      <c r="I1150" t="str">
        <f t="shared" si="51"/>
        <v>NO</v>
      </c>
      <c r="J1150">
        <f>Cleaned_Data!J1150</f>
        <v>24</v>
      </c>
      <c r="K1150" t="str">
        <f t="shared" si="52"/>
        <v>2024-09</v>
      </c>
      <c r="L1150">
        <f t="shared" si="53"/>
        <v>37.6</v>
      </c>
    </row>
    <row r="1151" spans="1:12">
      <c r="A1151" t="s">
        <v>3353</v>
      </c>
      <c r="B1151" t="s">
        <v>3354</v>
      </c>
      <c r="C1151" t="s">
        <v>3355</v>
      </c>
      <c r="D1151" t="s">
        <v>23</v>
      </c>
      <c r="E1151" t="s">
        <v>16</v>
      </c>
      <c r="F1151" t="s">
        <v>41</v>
      </c>
      <c r="G1151" t="s">
        <v>19</v>
      </c>
      <c r="H1151">
        <f>Cleaned_Data!K1151</f>
        <v>17.22</v>
      </c>
      <c r="I1151" t="str">
        <f t="shared" si="51"/>
        <v>YES</v>
      </c>
      <c r="J1151">
        <f>Cleaned_Data!J1151</f>
        <v>24</v>
      </c>
      <c r="K1151" t="str">
        <f t="shared" si="52"/>
        <v>2024-02</v>
      </c>
      <c r="L1151">
        <f t="shared" si="53"/>
        <v>0</v>
      </c>
    </row>
    <row r="1152" spans="1:12">
      <c r="A1152" t="s">
        <v>3356</v>
      </c>
      <c r="B1152" t="s">
        <v>3357</v>
      </c>
      <c r="C1152" t="s">
        <v>3358</v>
      </c>
      <c r="D1152" t="s">
        <v>35</v>
      </c>
      <c r="E1152" t="s">
        <v>24</v>
      </c>
      <c r="F1152" t="s">
        <v>41</v>
      </c>
      <c r="G1152" t="s">
        <v>19</v>
      </c>
      <c r="H1152">
        <f>Cleaned_Data!K1152</f>
        <v>33.090000000000003</v>
      </c>
      <c r="I1152" t="str">
        <f t="shared" si="51"/>
        <v>YES</v>
      </c>
      <c r="J1152">
        <f>Cleaned_Data!J1152</f>
        <v>48</v>
      </c>
      <c r="K1152" t="str">
        <f t="shared" si="52"/>
        <v>2024-05</v>
      </c>
      <c r="L1152">
        <f t="shared" si="53"/>
        <v>0</v>
      </c>
    </row>
    <row r="1153" spans="1:12">
      <c r="A1153" t="s">
        <v>3359</v>
      </c>
      <c r="B1153" t="s">
        <v>3360</v>
      </c>
      <c r="C1153" t="s">
        <v>3361</v>
      </c>
      <c r="D1153" t="s">
        <v>23</v>
      </c>
      <c r="E1153" t="s">
        <v>24</v>
      </c>
      <c r="F1153" t="s">
        <v>17</v>
      </c>
      <c r="G1153" t="s">
        <v>19</v>
      </c>
      <c r="H1153">
        <f>Cleaned_Data!K1153</f>
        <v>13.29</v>
      </c>
      <c r="I1153" t="str">
        <f t="shared" si="51"/>
        <v>YES</v>
      </c>
      <c r="J1153">
        <f>Cleaned_Data!J1153</f>
        <v>24</v>
      </c>
      <c r="K1153" t="str">
        <f t="shared" si="52"/>
        <v>2024-11</v>
      </c>
      <c r="L1153">
        <f t="shared" si="53"/>
        <v>0</v>
      </c>
    </row>
    <row r="1154" spans="1:12">
      <c r="A1154" t="s">
        <v>3362</v>
      </c>
      <c r="B1154" t="s">
        <v>3363</v>
      </c>
      <c r="C1154" t="s">
        <v>3364</v>
      </c>
      <c r="D1154" t="s">
        <v>15</v>
      </c>
      <c r="E1154" t="s">
        <v>24</v>
      </c>
      <c r="F1154" t="s">
        <v>41</v>
      </c>
      <c r="G1154" t="s">
        <v>31</v>
      </c>
      <c r="H1154">
        <f>Cleaned_Data!K1154</f>
        <v>5.89</v>
      </c>
      <c r="I1154" t="str">
        <f t="shared" ref="I1154:I1217" si="54">IF(OR(G1154="Resolved", G1154="Closed"), IF(AND(H1154&lt;&gt;"", H1154&lt;=J1154), "YES", "NO"), "")</f>
        <v>YES</v>
      </c>
      <c r="J1154">
        <f>Cleaned_Data!J1154</f>
        <v>8</v>
      </c>
      <c r="K1154" t="str">
        <f t="shared" ref="K1154:K1217" si="55">LEFT(B1154, 7)</f>
        <v>2024-11</v>
      </c>
      <c r="L1154">
        <f t="shared" ref="L1154:L1217" si="56">IF(I1154="NO", H1154-J1154, 0)</f>
        <v>0</v>
      </c>
    </row>
    <row r="1155" spans="1:12">
      <c r="A1155" t="s">
        <v>3365</v>
      </c>
      <c r="B1155" t="s">
        <v>3366</v>
      </c>
      <c r="C1155" t="s">
        <v>3367</v>
      </c>
      <c r="D1155" t="s">
        <v>23</v>
      </c>
      <c r="E1155" t="s">
        <v>28</v>
      </c>
      <c r="F1155" t="s">
        <v>36</v>
      </c>
      <c r="G1155" t="s">
        <v>31</v>
      </c>
      <c r="H1155">
        <f>Cleaned_Data!K1155</f>
        <v>68.3</v>
      </c>
      <c r="I1155" t="str">
        <f t="shared" si="54"/>
        <v>NO</v>
      </c>
      <c r="J1155">
        <f>Cleaned_Data!J1155</f>
        <v>24</v>
      </c>
      <c r="K1155" t="str">
        <f t="shared" si="55"/>
        <v>2024-04</v>
      </c>
      <c r="L1155">
        <f t="shared" si="56"/>
        <v>44.3</v>
      </c>
    </row>
    <row r="1156" spans="1:12">
      <c r="A1156" t="s">
        <v>3368</v>
      </c>
      <c r="B1156" t="s">
        <v>3369</v>
      </c>
      <c r="C1156" t="s">
        <v>3370</v>
      </c>
      <c r="D1156" t="s">
        <v>23</v>
      </c>
      <c r="E1156" t="s">
        <v>16</v>
      </c>
      <c r="F1156" t="s">
        <v>17</v>
      </c>
      <c r="G1156" t="s">
        <v>19</v>
      </c>
      <c r="H1156">
        <f>Cleaned_Data!K1156</f>
        <v>51.01</v>
      </c>
      <c r="I1156" t="str">
        <f t="shared" si="54"/>
        <v>NO</v>
      </c>
      <c r="J1156">
        <f>Cleaned_Data!J1156</f>
        <v>24</v>
      </c>
      <c r="K1156" t="str">
        <f t="shared" si="55"/>
        <v>2024-05</v>
      </c>
      <c r="L1156">
        <f t="shared" si="56"/>
        <v>27.009999999999998</v>
      </c>
    </row>
    <row r="1157" spans="1:12">
      <c r="A1157" t="s">
        <v>3371</v>
      </c>
      <c r="B1157" t="s">
        <v>3372</v>
      </c>
      <c r="C1157" t="s">
        <v>3373</v>
      </c>
      <c r="D1157" t="s">
        <v>15</v>
      </c>
      <c r="E1157" t="s">
        <v>16</v>
      </c>
      <c r="F1157" t="s">
        <v>36</v>
      </c>
      <c r="G1157" t="s">
        <v>19</v>
      </c>
      <c r="H1157">
        <f>Cleaned_Data!K1157</f>
        <v>19.38</v>
      </c>
      <c r="I1157" t="str">
        <f t="shared" si="54"/>
        <v>NO</v>
      </c>
      <c r="J1157">
        <f>Cleaned_Data!J1157</f>
        <v>8</v>
      </c>
      <c r="K1157" t="str">
        <f t="shared" si="55"/>
        <v>2024-06</v>
      </c>
      <c r="L1157">
        <f t="shared" si="56"/>
        <v>11.379999999999999</v>
      </c>
    </row>
    <row r="1158" spans="1:12">
      <c r="A1158" t="s">
        <v>3374</v>
      </c>
      <c r="B1158" t="s">
        <v>3375</v>
      </c>
      <c r="C1158" t="s">
        <v>3376</v>
      </c>
      <c r="D1158" t="s">
        <v>23</v>
      </c>
      <c r="E1158" t="s">
        <v>28</v>
      </c>
      <c r="F1158" t="s">
        <v>36</v>
      </c>
      <c r="G1158" t="s">
        <v>19</v>
      </c>
      <c r="H1158">
        <f>Cleaned_Data!K1158</f>
        <v>12.13</v>
      </c>
      <c r="I1158" t="str">
        <f t="shared" si="54"/>
        <v>YES</v>
      </c>
      <c r="J1158">
        <f>Cleaned_Data!J1158</f>
        <v>24</v>
      </c>
      <c r="K1158" t="str">
        <f t="shared" si="55"/>
        <v>2024-01</v>
      </c>
      <c r="L1158">
        <f t="shared" si="56"/>
        <v>0</v>
      </c>
    </row>
    <row r="1159" spans="1:12">
      <c r="A1159" t="s">
        <v>3377</v>
      </c>
      <c r="B1159" t="s">
        <v>3378</v>
      </c>
      <c r="C1159" t="s">
        <v>3379</v>
      </c>
      <c r="D1159" t="s">
        <v>158</v>
      </c>
      <c r="E1159" t="s">
        <v>28</v>
      </c>
      <c r="F1159" t="s">
        <v>36</v>
      </c>
      <c r="G1159" t="s">
        <v>19</v>
      </c>
      <c r="H1159">
        <f>Cleaned_Data!K1159</f>
        <v>3.17</v>
      </c>
      <c r="I1159" t="str">
        <f t="shared" si="54"/>
        <v>YES</v>
      </c>
      <c r="J1159">
        <f>Cleaned_Data!J1159</f>
        <v>4</v>
      </c>
      <c r="K1159" t="str">
        <f t="shared" si="55"/>
        <v>2024-03</v>
      </c>
      <c r="L1159">
        <f t="shared" si="56"/>
        <v>0</v>
      </c>
    </row>
    <row r="1160" spans="1:12">
      <c r="A1160" t="s">
        <v>3380</v>
      </c>
      <c r="B1160" t="s">
        <v>3381</v>
      </c>
      <c r="D1160" t="s">
        <v>23</v>
      </c>
      <c r="E1160" t="s">
        <v>24</v>
      </c>
      <c r="F1160" t="s">
        <v>60</v>
      </c>
      <c r="G1160" t="s">
        <v>63</v>
      </c>
      <c r="H1160">
        <f>Cleaned_Data!K1160</f>
        <v>0</v>
      </c>
      <c r="I1160" t="str">
        <f t="shared" si="54"/>
        <v/>
      </c>
      <c r="J1160">
        <f>Cleaned_Data!J1160</f>
        <v>24</v>
      </c>
      <c r="K1160" t="str">
        <f t="shared" si="55"/>
        <v>2024-03</v>
      </c>
      <c r="L1160">
        <f t="shared" si="56"/>
        <v>0</v>
      </c>
    </row>
    <row r="1161" spans="1:12">
      <c r="A1161" t="s">
        <v>3382</v>
      </c>
      <c r="B1161" t="s">
        <v>3383</v>
      </c>
      <c r="C1161" t="s">
        <v>3384</v>
      </c>
      <c r="D1161" t="s">
        <v>23</v>
      </c>
      <c r="E1161" t="s">
        <v>28</v>
      </c>
      <c r="F1161" t="s">
        <v>36</v>
      </c>
      <c r="G1161" t="s">
        <v>19</v>
      </c>
      <c r="H1161">
        <f>Cleaned_Data!K1161</f>
        <v>15.51</v>
      </c>
      <c r="I1161" t="str">
        <f t="shared" si="54"/>
        <v>YES</v>
      </c>
      <c r="J1161">
        <f>Cleaned_Data!J1161</f>
        <v>24</v>
      </c>
      <c r="K1161" t="str">
        <f t="shared" si="55"/>
        <v>2024-07</v>
      </c>
      <c r="L1161">
        <f t="shared" si="56"/>
        <v>0</v>
      </c>
    </row>
    <row r="1162" spans="1:12">
      <c r="A1162" t="s">
        <v>3385</v>
      </c>
      <c r="B1162" t="s">
        <v>3386</v>
      </c>
      <c r="D1162" t="s">
        <v>23</v>
      </c>
      <c r="E1162" t="s">
        <v>24</v>
      </c>
      <c r="F1162" t="s">
        <v>41</v>
      </c>
      <c r="G1162" t="s">
        <v>63</v>
      </c>
      <c r="H1162">
        <f>Cleaned_Data!K1162</f>
        <v>0</v>
      </c>
      <c r="I1162" t="str">
        <f t="shared" si="54"/>
        <v/>
      </c>
      <c r="J1162">
        <f>Cleaned_Data!J1162</f>
        <v>24</v>
      </c>
      <c r="K1162" t="str">
        <f t="shared" si="55"/>
        <v>2024-03</v>
      </c>
      <c r="L1162">
        <f t="shared" si="56"/>
        <v>0</v>
      </c>
    </row>
    <row r="1163" spans="1:12">
      <c r="A1163" t="s">
        <v>3387</v>
      </c>
      <c r="B1163" t="s">
        <v>3388</v>
      </c>
      <c r="C1163" t="s">
        <v>3389</v>
      </c>
      <c r="D1163" t="s">
        <v>23</v>
      </c>
      <c r="E1163" t="s">
        <v>16</v>
      </c>
      <c r="F1163" t="s">
        <v>60</v>
      </c>
      <c r="G1163" t="s">
        <v>19</v>
      </c>
      <c r="H1163">
        <f>Cleaned_Data!K1163</f>
        <v>21.4</v>
      </c>
      <c r="I1163" t="str">
        <f t="shared" si="54"/>
        <v>YES</v>
      </c>
      <c r="J1163">
        <f>Cleaned_Data!J1163</f>
        <v>24</v>
      </c>
      <c r="K1163" t="str">
        <f t="shared" si="55"/>
        <v>2024-06</v>
      </c>
      <c r="L1163">
        <f t="shared" si="56"/>
        <v>0</v>
      </c>
    </row>
    <row r="1164" spans="1:12">
      <c r="A1164" t="s">
        <v>3390</v>
      </c>
      <c r="B1164" t="s">
        <v>3391</v>
      </c>
      <c r="C1164" t="s">
        <v>3392</v>
      </c>
      <c r="D1164" t="s">
        <v>23</v>
      </c>
      <c r="E1164" t="s">
        <v>59</v>
      </c>
      <c r="F1164" t="s">
        <v>17</v>
      </c>
      <c r="G1164" t="s">
        <v>19</v>
      </c>
      <c r="H1164">
        <f>Cleaned_Data!K1164</f>
        <v>6.87</v>
      </c>
      <c r="I1164" t="str">
        <f t="shared" si="54"/>
        <v>YES</v>
      </c>
      <c r="J1164">
        <f>Cleaned_Data!J1164</f>
        <v>24</v>
      </c>
      <c r="K1164" t="str">
        <f t="shared" si="55"/>
        <v>2024-02</v>
      </c>
      <c r="L1164">
        <f t="shared" si="56"/>
        <v>0</v>
      </c>
    </row>
    <row r="1165" spans="1:12">
      <c r="A1165" t="s">
        <v>3393</v>
      </c>
      <c r="B1165" t="s">
        <v>3394</v>
      </c>
      <c r="C1165" t="s">
        <v>3395</v>
      </c>
      <c r="D1165" t="s">
        <v>35</v>
      </c>
      <c r="E1165" t="s">
        <v>54</v>
      </c>
      <c r="F1165" t="s">
        <v>36</v>
      </c>
      <c r="G1165" t="s">
        <v>19</v>
      </c>
      <c r="H1165">
        <f>Cleaned_Data!K1165</f>
        <v>30.99</v>
      </c>
      <c r="I1165" t="str">
        <f t="shared" si="54"/>
        <v>YES</v>
      </c>
      <c r="J1165">
        <f>Cleaned_Data!J1165</f>
        <v>48</v>
      </c>
      <c r="K1165" t="str">
        <f t="shared" si="55"/>
        <v>2024-10</v>
      </c>
      <c r="L1165">
        <f t="shared" si="56"/>
        <v>0</v>
      </c>
    </row>
    <row r="1166" spans="1:12">
      <c r="A1166" t="s">
        <v>3396</v>
      </c>
      <c r="B1166" t="s">
        <v>3397</v>
      </c>
      <c r="C1166" t="s">
        <v>3398</v>
      </c>
      <c r="D1166" t="s">
        <v>158</v>
      </c>
      <c r="E1166" t="s">
        <v>28</v>
      </c>
      <c r="F1166" t="s">
        <v>41</v>
      </c>
      <c r="G1166" t="s">
        <v>19</v>
      </c>
      <c r="H1166">
        <f>Cleaned_Data!K1166</f>
        <v>1.63</v>
      </c>
      <c r="I1166" t="str">
        <f t="shared" si="54"/>
        <v>YES</v>
      </c>
      <c r="J1166">
        <f>Cleaned_Data!J1166</f>
        <v>4</v>
      </c>
      <c r="K1166" t="str">
        <f t="shared" si="55"/>
        <v>2024-03</v>
      </c>
      <c r="L1166">
        <f t="shared" si="56"/>
        <v>0</v>
      </c>
    </row>
    <row r="1167" spans="1:12">
      <c r="A1167" t="s">
        <v>3399</v>
      </c>
      <c r="B1167" t="s">
        <v>3400</v>
      </c>
      <c r="C1167" t="s">
        <v>3401</v>
      </c>
      <c r="D1167" t="s">
        <v>158</v>
      </c>
      <c r="E1167" t="s">
        <v>28</v>
      </c>
      <c r="F1167" t="s">
        <v>60</v>
      </c>
      <c r="G1167" t="s">
        <v>19</v>
      </c>
      <c r="H1167">
        <f>Cleaned_Data!K1167</f>
        <v>2.97</v>
      </c>
      <c r="I1167" t="str">
        <f t="shared" si="54"/>
        <v>YES</v>
      </c>
      <c r="J1167">
        <f>Cleaned_Data!J1167</f>
        <v>4</v>
      </c>
      <c r="K1167" t="str">
        <f t="shared" si="55"/>
        <v>2024-05</v>
      </c>
      <c r="L1167">
        <f t="shared" si="56"/>
        <v>0</v>
      </c>
    </row>
    <row r="1168" spans="1:12">
      <c r="A1168" t="s">
        <v>3402</v>
      </c>
      <c r="B1168" t="s">
        <v>3403</v>
      </c>
      <c r="C1168" t="s">
        <v>3404</v>
      </c>
      <c r="D1168" t="s">
        <v>15</v>
      </c>
      <c r="E1168" t="s">
        <v>59</v>
      </c>
      <c r="F1168" t="s">
        <v>17</v>
      </c>
      <c r="G1168" t="s">
        <v>19</v>
      </c>
      <c r="H1168">
        <f>Cleaned_Data!K1168</f>
        <v>1.1000000000000001</v>
      </c>
      <c r="I1168" t="str">
        <f t="shared" si="54"/>
        <v>YES</v>
      </c>
      <c r="J1168">
        <f>Cleaned_Data!J1168</f>
        <v>8</v>
      </c>
      <c r="K1168" t="str">
        <f t="shared" si="55"/>
        <v>2024-08</v>
      </c>
      <c r="L1168">
        <f t="shared" si="56"/>
        <v>0</v>
      </c>
    </row>
    <row r="1169" spans="1:12">
      <c r="A1169" t="s">
        <v>3405</v>
      </c>
      <c r="B1169" t="s">
        <v>3406</v>
      </c>
      <c r="D1169" t="s">
        <v>158</v>
      </c>
      <c r="E1169" t="s">
        <v>28</v>
      </c>
      <c r="F1169" t="s">
        <v>29</v>
      </c>
      <c r="G1169" t="s">
        <v>46</v>
      </c>
      <c r="H1169">
        <f>Cleaned_Data!K1169</f>
        <v>0</v>
      </c>
      <c r="I1169" t="str">
        <f t="shared" si="54"/>
        <v/>
      </c>
      <c r="J1169">
        <f>Cleaned_Data!J1169</f>
        <v>4</v>
      </c>
      <c r="K1169" t="str">
        <f t="shared" si="55"/>
        <v>2024-07</v>
      </c>
      <c r="L1169">
        <f t="shared" si="56"/>
        <v>0</v>
      </c>
    </row>
    <row r="1170" spans="1:12">
      <c r="A1170" t="s">
        <v>3407</v>
      </c>
      <c r="B1170" t="s">
        <v>3408</v>
      </c>
      <c r="C1170" t="s">
        <v>3409</v>
      </c>
      <c r="D1170" t="s">
        <v>15</v>
      </c>
      <c r="E1170" t="s">
        <v>28</v>
      </c>
      <c r="F1170" t="s">
        <v>17</v>
      </c>
      <c r="G1170" t="s">
        <v>31</v>
      </c>
      <c r="H1170">
        <f>Cleaned_Data!K1170</f>
        <v>7.42</v>
      </c>
      <c r="I1170" t="str">
        <f t="shared" si="54"/>
        <v>YES</v>
      </c>
      <c r="J1170">
        <f>Cleaned_Data!J1170</f>
        <v>8</v>
      </c>
      <c r="K1170" t="str">
        <f t="shared" si="55"/>
        <v>2024-10</v>
      </c>
      <c r="L1170">
        <f t="shared" si="56"/>
        <v>0</v>
      </c>
    </row>
    <row r="1171" spans="1:12">
      <c r="A1171" t="s">
        <v>3410</v>
      </c>
      <c r="B1171" t="s">
        <v>3411</v>
      </c>
      <c r="C1171" t="s">
        <v>3412</v>
      </c>
      <c r="D1171" t="s">
        <v>15</v>
      </c>
      <c r="E1171" t="s">
        <v>16</v>
      </c>
      <c r="F1171" t="s">
        <v>60</v>
      </c>
      <c r="G1171" t="s">
        <v>19</v>
      </c>
      <c r="H1171">
        <f>Cleaned_Data!K1171</f>
        <v>0.96</v>
      </c>
      <c r="I1171" t="str">
        <f t="shared" si="54"/>
        <v>YES</v>
      </c>
      <c r="J1171">
        <f>Cleaned_Data!J1171</f>
        <v>8</v>
      </c>
      <c r="K1171" t="str">
        <f t="shared" si="55"/>
        <v>2024-02</v>
      </c>
      <c r="L1171">
        <f t="shared" si="56"/>
        <v>0</v>
      </c>
    </row>
    <row r="1172" spans="1:12">
      <c r="A1172" t="s">
        <v>3413</v>
      </c>
      <c r="B1172" t="s">
        <v>3414</v>
      </c>
      <c r="C1172" t="s">
        <v>3415</v>
      </c>
      <c r="D1172" t="s">
        <v>23</v>
      </c>
      <c r="E1172" t="s">
        <v>28</v>
      </c>
      <c r="F1172" t="s">
        <v>29</v>
      </c>
      <c r="G1172" t="s">
        <v>19</v>
      </c>
      <c r="H1172">
        <f>Cleaned_Data!K1172</f>
        <v>20.46</v>
      </c>
      <c r="I1172" t="str">
        <f t="shared" si="54"/>
        <v>YES</v>
      </c>
      <c r="J1172">
        <f>Cleaned_Data!J1172</f>
        <v>24</v>
      </c>
      <c r="K1172" t="str">
        <f t="shared" si="55"/>
        <v>2024-07</v>
      </c>
      <c r="L1172">
        <f t="shared" si="56"/>
        <v>0</v>
      </c>
    </row>
    <row r="1173" spans="1:12">
      <c r="A1173" t="s">
        <v>3416</v>
      </c>
      <c r="B1173" t="s">
        <v>3417</v>
      </c>
      <c r="C1173" t="s">
        <v>3418</v>
      </c>
      <c r="D1173" t="s">
        <v>15</v>
      </c>
      <c r="E1173" t="s">
        <v>28</v>
      </c>
      <c r="F1173" t="s">
        <v>17</v>
      </c>
      <c r="G1173" t="s">
        <v>19</v>
      </c>
      <c r="H1173">
        <f>Cleaned_Data!K1173</f>
        <v>16.45</v>
      </c>
      <c r="I1173" t="str">
        <f t="shared" si="54"/>
        <v>NO</v>
      </c>
      <c r="J1173">
        <f>Cleaned_Data!J1173</f>
        <v>8</v>
      </c>
      <c r="K1173" t="str">
        <f t="shared" si="55"/>
        <v>2024-10</v>
      </c>
      <c r="L1173">
        <f t="shared" si="56"/>
        <v>8.4499999999999993</v>
      </c>
    </row>
    <row r="1174" spans="1:12">
      <c r="A1174" t="s">
        <v>3419</v>
      </c>
      <c r="B1174" t="s">
        <v>3420</v>
      </c>
      <c r="C1174" t="s">
        <v>3421</v>
      </c>
      <c r="D1174" t="s">
        <v>23</v>
      </c>
      <c r="E1174" t="s">
        <v>16</v>
      </c>
      <c r="F1174" t="s">
        <v>41</v>
      </c>
      <c r="G1174" t="s">
        <v>19</v>
      </c>
      <c r="H1174">
        <f>Cleaned_Data!K1174</f>
        <v>19.86</v>
      </c>
      <c r="I1174" t="str">
        <f t="shared" si="54"/>
        <v>YES</v>
      </c>
      <c r="J1174">
        <f>Cleaned_Data!J1174</f>
        <v>24</v>
      </c>
      <c r="K1174" t="str">
        <f t="shared" si="55"/>
        <v>2024-09</v>
      </c>
      <c r="L1174">
        <f t="shared" si="56"/>
        <v>0</v>
      </c>
    </row>
    <row r="1175" spans="1:12">
      <c r="A1175" t="s">
        <v>3422</v>
      </c>
      <c r="B1175" t="s">
        <v>3423</v>
      </c>
      <c r="D1175" t="s">
        <v>23</v>
      </c>
      <c r="E1175" t="s">
        <v>54</v>
      </c>
      <c r="F1175" t="s">
        <v>17</v>
      </c>
      <c r="G1175" t="s">
        <v>46</v>
      </c>
      <c r="H1175">
        <f>Cleaned_Data!K1175</f>
        <v>0</v>
      </c>
      <c r="I1175" t="str">
        <f t="shared" si="54"/>
        <v/>
      </c>
      <c r="J1175">
        <f>Cleaned_Data!J1175</f>
        <v>24</v>
      </c>
      <c r="K1175" t="str">
        <f t="shared" si="55"/>
        <v>2024-12</v>
      </c>
      <c r="L1175">
        <f t="shared" si="56"/>
        <v>0</v>
      </c>
    </row>
    <row r="1176" spans="1:12">
      <c r="A1176" t="s">
        <v>3424</v>
      </c>
      <c r="B1176" t="s">
        <v>3425</v>
      </c>
      <c r="C1176" t="s">
        <v>3426</v>
      </c>
      <c r="D1176" t="s">
        <v>158</v>
      </c>
      <c r="E1176" t="s">
        <v>24</v>
      </c>
      <c r="F1176" t="s">
        <v>41</v>
      </c>
      <c r="G1176" t="s">
        <v>31</v>
      </c>
      <c r="H1176">
        <f>Cleaned_Data!K1176</f>
        <v>3.36</v>
      </c>
      <c r="I1176" t="str">
        <f t="shared" si="54"/>
        <v>YES</v>
      </c>
      <c r="J1176">
        <f>Cleaned_Data!J1176</f>
        <v>4</v>
      </c>
      <c r="K1176" t="str">
        <f t="shared" si="55"/>
        <v>2024-08</v>
      </c>
      <c r="L1176">
        <f t="shared" si="56"/>
        <v>0</v>
      </c>
    </row>
    <row r="1177" spans="1:12">
      <c r="A1177" t="s">
        <v>3427</v>
      </c>
      <c r="B1177" t="s">
        <v>3428</v>
      </c>
      <c r="C1177" t="s">
        <v>3429</v>
      </c>
      <c r="D1177" t="s">
        <v>23</v>
      </c>
      <c r="E1177" t="s">
        <v>24</v>
      </c>
      <c r="F1177" t="s">
        <v>36</v>
      </c>
      <c r="G1177" t="s">
        <v>19</v>
      </c>
      <c r="H1177">
        <f>Cleaned_Data!K1177</f>
        <v>32.76</v>
      </c>
      <c r="I1177" t="str">
        <f t="shared" si="54"/>
        <v>NO</v>
      </c>
      <c r="J1177">
        <f>Cleaned_Data!J1177</f>
        <v>24</v>
      </c>
      <c r="K1177" t="str">
        <f t="shared" si="55"/>
        <v>2024-11</v>
      </c>
      <c r="L1177">
        <f t="shared" si="56"/>
        <v>8.759999999999998</v>
      </c>
    </row>
    <row r="1178" spans="1:12">
      <c r="A1178" t="s">
        <v>3430</v>
      </c>
      <c r="B1178" t="s">
        <v>3431</v>
      </c>
      <c r="D1178" t="s">
        <v>23</v>
      </c>
      <c r="E1178" t="s">
        <v>24</v>
      </c>
      <c r="F1178" t="s">
        <v>41</v>
      </c>
      <c r="G1178" t="s">
        <v>46</v>
      </c>
      <c r="H1178">
        <f>Cleaned_Data!K1178</f>
        <v>0</v>
      </c>
      <c r="I1178" t="str">
        <f t="shared" si="54"/>
        <v/>
      </c>
      <c r="J1178">
        <f>Cleaned_Data!J1178</f>
        <v>24</v>
      </c>
      <c r="K1178" t="str">
        <f t="shared" si="55"/>
        <v>2024-05</v>
      </c>
      <c r="L1178">
        <f t="shared" si="56"/>
        <v>0</v>
      </c>
    </row>
    <row r="1179" spans="1:12">
      <c r="A1179" t="s">
        <v>3432</v>
      </c>
      <c r="B1179" t="s">
        <v>3433</v>
      </c>
      <c r="D1179" t="s">
        <v>23</v>
      </c>
      <c r="E1179" t="s">
        <v>28</v>
      </c>
      <c r="F1179" t="s">
        <v>17</v>
      </c>
      <c r="G1179" t="s">
        <v>46</v>
      </c>
      <c r="H1179">
        <f>Cleaned_Data!K1179</f>
        <v>0</v>
      </c>
      <c r="I1179" t="str">
        <f t="shared" si="54"/>
        <v/>
      </c>
      <c r="J1179">
        <f>Cleaned_Data!J1179</f>
        <v>24</v>
      </c>
      <c r="K1179" t="str">
        <f t="shared" si="55"/>
        <v>2024-04</v>
      </c>
      <c r="L1179">
        <f t="shared" si="56"/>
        <v>0</v>
      </c>
    </row>
    <row r="1180" spans="1:12">
      <c r="A1180" t="s">
        <v>3434</v>
      </c>
      <c r="B1180" t="s">
        <v>3435</v>
      </c>
      <c r="C1180" t="s">
        <v>3436</v>
      </c>
      <c r="D1180" t="s">
        <v>158</v>
      </c>
      <c r="E1180" t="s">
        <v>16</v>
      </c>
      <c r="F1180" t="s">
        <v>41</v>
      </c>
      <c r="G1180" t="s">
        <v>31</v>
      </c>
      <c r="H1180">
        <f>Cleaned_Data!K1180</f>
        <v>5.21</v>
      </c>
      <c r="I1180" t="str">
        <f t="shared" si="54"/>
        <v>NO</v>
      </c>
      <c r="J1180">
        <f>Cleaned_Data!J1180</f>
        <v>4</v>
      </c>
      <c r="K1180" t="str">
        <f t="shared" si="55"/>
        <v>2024-07</v>
      </c>
      <c r="L1180">
        <f t="shared" si="56"/>
        <v>1.21</v>
      </c>
    </row>
    <row r="1181" spans="1:12">
      <c r="A1181" t="s">
        <v>3437</v>
      </c>
      <c r="B1181" t="s">
        <v>3438</v>
      </c>
      <c r="C1181" t="s">
        <v>3439</v>
      </c>
      <c r="D1181" t="s">
        <v>23</v>
      </c>
      <c r="E1181" t="s">
        <v>28</v>
      </c>
      <c r="F1181" t="s">
        <v>36</v>
      </c>
      <c r="G1181" t="s">
        <v>19</v>
      </c>
      <c r="H1181">
        <f>Cleaned_Data!K1181</f>
        <v>20.3</v>
      </c>
      <c r="I1181" t="str">
        <f t="shared" si="54"/>
        <v>YES</v>
      </c>
      <c r="J1181">
        <f>Cleaned_Data!J1181</f>
        <v>24</v>
      </c>
      <c r="K1181" t="str">
        <f t="shared" si="55"/>
        <v>2024-11</v>
      </c>
      <c r="L1181">
        <f t="shared" si="56"/>
        <v>0</v>
      </c>
    </row>
    <row r="1182" spans="1:12">
      <c r="A1182" t="s">
        <v>3440</v>
      </c>
      <c r="B1182" t="s">
        <v>3441</v>
      </c>
      <c r="C1182" t="s">
        <v>3442</v>
      </c>
      <c r="D1182" t="s">
        <v>23</v>
      </c>
      <c r="E1182" t="s">
        <v>54</v>
      </c>
      <c r="F1182" t="s">
        <v>17</v>
      </c>
      <c r="G1182" t="s">
        <v>31</v>
      </c>
      <c r="H1182">
        <f>Cleaned_Data!K1182</f>
        <v>19.8</v>
      </c>
      <c r="I1182" t="str">
        <f t="shared" si="54"/>
        <v>YES</v>
      </c>
      <c r="J1182">
        <f>Cleaned_Data!J1182</f>
        <v>24</v>
      </c>
      <c r="K1182" t="str">
        <f t="shared" si="55"/>
        <v>2024-01</v>
      </c>
      <c r="L1182">
        <f t="shared" si="56"/>
        <v>0</v>
      </c>
    </row>
    <row r="1183" spans="1:12">
      <c r="A1183" t="s">
        <v>3443</v>
      </c>
      <c r="B1183" t="s">
        <v>3444</v>
      </c>
      <c r="C1183" t="s">
        <v>3445</v>
      </c>
      <c r="D1183" t="s">
        <v>23</v>
      </c>
      <c r="E1183" t="s">
        <v>16</v>
      </c>
      <c r="F1183" t="s">
        <v>17</v>
      </c>
      <c r="G1183" t="s">
        <v>31</v>
      </c>
      <c r="H1183">
        <f>Cleaned_Data!K1183</f>
        <v>9.52</v>
      </c>
      <c r="I1183" t="str">
        <f t="shared" si="54"/>
        <v>YES</v>
      </c>
      <c r="J1183">
        <f>Cleaned_Data!J1183</f>
        <v>24</v>
      </c>
      <c r="K1183" t="str">
        <f t="shared" si="55"/>
        <v>2024-03</v>
      </c>
      <c r="L1183">
        <f t="shared" si="56"/>
        <v>0</v>
      </c>
    </row>
    <row r="1184" spans="1:12">
      <c r="A1184" t="s">
        <v>3446</v>
      </c>
      <c r="B1184" t="s">
        <v>3447</v>
      </c>
      <c r="C1184" t="s">
        <v>3448</v>
      </c>
      <c r="D1184" t="s">
        <v>35</v>
      </c>
      <c r="E1184" t="s">
        <v>28</v>
      </c>
      <c r="F1184" t="s">
        <v>36</v>
      </c>
      <c r="G1184" t="s">
        <v>31</v>
      </c>
      <c r="H1184">
        <f>Cleaned_Data!K1184</f>
        <v>136.74</v>
      </c>
      <c r="I1184" t="str">
        <f t="shared" si="54"/>
        <v>NO</v>
      </c>
      <c r="J1184">
        <f>Cleaned_Data!J1184</f>
        <v>48</v>
      </c>
      <c r="K1184" t="str">
        <f t="shared" si="55"/>
        <v>2024-07</v>
      </c>
      <c r="L1184">
        <f t="shared" si="56"/>
        <v>88.740000000000009</v>
      </c>
    </row>
    <row r="1185" spans="1:12">
      <c r="A1185" t="s">
        <v>3449</v>
      </c>
      <c r="B1185" t="s">
        <v>3450</v>
      </c>
      <c r="C1185" t="s">
        <v>3451</v>
      </c>
      <c r="D1185" t="s">
        <v>23</v>
      </c>
      <c r="E1185" t="s">
        <v>24</v>
      </c>
      <c r="F1185" t="s">
        <v>29</v>
      </c>
      <c r="G1185" t="s">
        <v>19</v>
      </c>
      <c r="H1185">
        <f>Cleaned_Data!K1185</f>
        <v>12.11</v>
      </c>
      <c r="I1185" t="str">
        <f t="shared" si="54"/>
        <v>YES</v>
      </c>
      <c r="J1185">
        <f>Cleaned_Data!J1185</f>
        <v>24</v>
      </c>
      <c r="K1185" t="str">
        <f t="shared" si="55"/>
        <v>2024-03</v>
      </c>
      <c r="L1185">
        <f t="shared" si="56"/>
        <v>0</v>
      </c>
    </row>
    <row r="1186" spans="1:12">
      <c r="A1186" t="s">
        <v>3452</v>
      </c>
      <c r="B1186" t="s">
        <v>3453</v>
      </c>
      <c r="C1186" t="s">
        <v>3454</v>
      </c>
      <c r="D1186" t="s">
        <v>23</v>
      </c>
      <c r="E1186" t="s">
        <v>59</v>
      </c>
      <c r="F1186" t="s">
        <v>17</v>
      </c>
      <c r="G1186" t="s">
        <v>19</v>
      </c>
      <c r="H1186">
        <f>Cleaned_Data!K1186</f>
        <v>22.55</v>
      </c>
      <c r="I1186" t="str">
        <f t="shared" si="54"/>
        <v>YES</v>
      </c>
      <c r="J1186">
        <f>Cleaned_Data!J1186</f>
        <v>24</v>
      </c>
      <c r="K1186" t="str">
        <f t="shared" si="55"/>
        <v>2024-01</v>
      </c>
      <c r="L1186">
        <f t="shared" si="56"/>
        <v>0</v>
      </c>
    </row>
    <row r="1187" spans="1:12">
      <c r="A1187" t="s">
        <v>3455</v>
      </c>
      <c r="B1187" t="s">
        <v>3456</v>
      </c>
      <c r="C1187" t="s">
        <v>3457</v>
      </c>
      <c r="D1187" t="s">
        <v>35</v>
      </c>
      <c r="E1187" t="s">
        <v>28</v>
      </c>
      <c r="F1187" t="s">
        <v>41</v>
      </c>
      <c r="G1187" t="s">
        <v>19</v>
      </c>
      <c r="H1187">
        <f>Cleaned_Data!K1187</f>
        <v>5.74</v>
      </c>
      <c r="I1187" t="str">
        <f t="shared" si="54"/>
        <v>YES</v>
      </c>
      <c r="J1187">
        <f>Cleaned_Data!J1187</f>
        <v>48</v>
      </c>
      <c r="K1187" t="str">
        <f t="shared" si="55"/>
        <v>2024-01</v>
      </c>
      <c r="L1187">
        <f t="shared" si="56"/>
        <v>0</v>
      </c>
    </row>
    <row r="1188" spans="1:12">
      <c r="A1188" t="s">
        <v>3458</v>
      </c>
      <c r="B1188" t="s">
        <v>3459</v>
      </c>
      <c r="C1188" t="s">
        <v>3460</v>
      </c>
      <c r="D1188" t="s">
        <v>15</v>
      </c>
      <c r="E1188" t="s">
        <v>54</v>
      </c>
      <c r="F1188" t="s">
        <v>36</v>
      </c>
      <c r="G1188" t="s">
        <v>19</v>
      </c>
      <c r="H1188">
        <f>Cleaned_Data!K1188</f>
        <v>2.83</v>
      </c>
      <c r="I1188" t="str">
        <f t="shared" si="54"/>
        <v>YES</v>
      </c>
      <c r="J1188">
        <f>Cleaned_Data!J1188</f>
        <v>8</v>
      </c>
      <c r="K1188" t="str">
        <f t="shared" si="55"/>
        <v>2024-06</v>
      </c>
      <c r="L1188">
        <f t="shared" si="56"/>
        <v>0</v>
      </c>
    </row>
    <row r="1189" spans="1:12">
      <c r="A1189" t="s">
        <v>3461</v>
      </c>
      <c r="B1189" t="s">
        <v>3462</v>
      </c>
      <c r="C1189" t="s">
        <v>3463</v>
      </c>
      <c r="D1189" t="s">
        <v>23</v>
      </c>
      <c r="E1189" t="s">
        <v>54</v>
      </c>
      <c r="F1189" t="s">
        <v>29</v>
      </c>
      <c r="G1189" t="s">
        <v>31</v>
      </c>
      <c r="H1189">
        <f>Cleaned_Data!K1189</f>
        <v>20.79</v>
      </c>
      <c r="I1189" t="str">
        <f t="shared" si="54"/>
        <v>YES</v>
      </c>
      <c r="J1189">
        <f>Cleaned_Data!J1189</f>
        <v>24</v>
      </c>
      <c r="K1189" t="str">
        <f t="shared" si="55"/>
        <v>2024-12</v>
      </c>
      <c r="L1189">
        <f t="shared" si="56"/>
        <v>0</v>
      </c>
    </row>
    <row r="1190" spans="1:12">
      <c r="A1190" t="s">
        <v>3464</v>
      </c>
      <c r="B1190" t="s">
        <v>3465</v>
      </c>
      <c r="C1190" t="s">
        <v>3466</v>
      </c>
      <c r="D1190" t="s">
        <v>15</v>
      </c>
      <c r="E1190" t="s">
        <v>24</v>
      </c>
      <c r="F1190" t="s">
        <v>41</v>
      </c>
      <c r="G1190" t="s">
        <v>19</v>
      </c>
      <c r="H1190">
        <f>Cleaned_Data!K1190</f>
        <v>1.89</v>
      </c>
      <c r="I1190" t="str">
        <f t="shared" si="54"/>
        <v>YES</v>
      </c>
      <c r="J1190">
        <f>Cleaned_Data!J1190</f>
        <v>8</v>
      </c>
      <c r="K1190" t="str">
        <f t="shared" si="55"/>
        <v>2024-10</v>
      </c>
      <c r="L1190">
        <f t="shared" si="56"/>
        <v>0</v>
      </c>
    </row>
    <row r="1191" spans="1:12">
      <c r="A1191" t="s">
        <v>3467</v>
      </c>
      <c r="B1191" t="s">
        <v>3468</v>
      </c>
      <c r="C1191" t="s">
        <v>3469</v>
      </c>
      <c r="D1191" t="s">
        <v>35</v>
      </c>
      <c r="E1191" t="s">
        <v>54</v>
      </c>
      <c r="F1191" t="s">
        <v>36</v>
      </c>
      <c r="G1191" t="s">
        <v>31</v>
      </c>
      <c r="H1191">
        <f>Cleaned_Data!K1191</f>
        <v>7.97</v>
      </c>
      <c r="I1191" t="str">
        <f t="shared" si="54"/>
        <v>YES</v>
      </c>
      <c r="J1191">
        <f>Cleaned_Data!J1191</f>
        <v>48</v>
      </c>
      <c r="K1191" t="str">
        <f t="shared" si="55"/>
        <v>2024-05</v>
      </c>
      <c r="L1191">
        <f t="shared" si="56"/>
        <v>0</v>
      </c>
    </row>
    <row r="1192" spans="1:12">
      <c r="A1192" t="s">
        <v>3470</v>
      </c>
      <c r="B1192" t="s">
        <v>3471</v>
      </c>
      <c r="C1192" t="s">
        <v>3472</v>
      </c>
      <c r="D1192" t="s">
        <v>15</v>
      </c>
      <c r="E1192" t="s">
        <v>54</v>
      </c>
      <c r="F1192" t="s">
        <v>29</v>
      </c>
      <c r="G1192" t="s">
        <v>19</v>
      </c>
      <c r="H1192">
        <f>Cleaned_Data!K1192</f>
        <v>1.8</v>
      </c>
      <c r="I1192" t="str">
        <f t="shared" si="54"/>
        <v>YES</v>
      </c>
      <c r="J1192">
        <f>Cleaned_Data!J1192</f>
        <v>8</v>
      </c>
      <c r="K1192" t="str">
        <f t="shared" si="55"/>
        <v>2024-08</v>
      </c>
      <c r="L1192">
        <f t="shared" si="56"/>
        <v>0</v>
      </c>
    </row>
    <row r="1193" spans="1:12">
      <c r="A1193" t="s">
        <v>3473</v>
      </c>
      <c r="B1193" t="s">
        <v>3474</v>
      </c>
      <c r="C1193" t="s">
        <v>3475</v>
      </c>
      <c r="D1193" t="s">
        <v>23</v>
      </c>
      <c r="E1193" t="s">
        <v>54</v>
      </c>
      <c r="F1193" t="s">
        <v>29</v>
      </c>
      <c r="G1193" t="s">
        <v>31</v>
      </c>
      <c r="H1193">
        <f>Cleaned_Data!K1193</f>
        <v>69.349999999999994</v>
      </c>
      <c r="I1193" t="str">
        <f t="shared" si="54"/>
        <v>NO</v>
      </c>
      <c r="J1193">
        <f>Cleaned_Data!J1193</f>
        <v>24</v>
      </c>
      <c r="K1193" t="str">
        <f t="shared" si="55"/>
        <v>2024-02</v>
      </c>
      <c r="L1193">
        <f t="shared" si="56"/>
        <v>45.349999999999994</v>
      </c>
    </row>
    <row r="1194" spans="1:12">
      <c r="A1194" t="s">
        <v>3476</v>
      </c>
      <c r="B1194" t="s">
        <v>3477</v>
      </c>
      <c r="C1194" t="s">
        <v>3478</v>
      </c>
      <c r="D1194" t="s">
        <v>23</v>
      </c>
      <c r="E1194" t="s">
        <v>59</v>
      </c>
      <c r="F1194" t="s">
        <v>36</v>
      </c>
      <c r="G1194" t="s">
        <v>19</v>
      </c>
      <c r="H1194">
        <f>Cleaned_Data!K1194</f>
        <v>44.86</v>
      </c>
      <c r="I1194" t="str">
        <f t="shared" si="54"/>
        <v>NO</v>
      </c>
      <c r="J1194">
        <f>Cleaned_Data!J1194</f>
        <v>24</v>
      </c>
      <c r="K1194" t="str">
        <f t="shared" si="55"/>
        <v>2024-09</v>
      </c>
      <c r="L1194">
        <f t="shared" si="56"/>
        <v>20.86</v>
      </c>
    </row>
    <row r="1195" spans="1:12">
      <c r="A1195" t="s">
        <v>3479</v>
      </c>
      <c r="B1195" t="s">
        <v>3480</v>
      </c>
      <c r="D1195" t="s">
        <v>23</v>
      </c>
      <c r="E1195" t="s">
        <v>28</v>
      </c>
      <c r="F1195" t="s">
        <v>17</v>
      </c>
      <c r="G1195" t="s">
        <v>46</v>
      </c>
      <c r="H1195">
        <f>Cleaned_Data!K1195</f>
        <v>0</v>
      </c>
      <c r="I1195" t="str">
        <f t="shared" si="54"/>
        <v/>
      </c>
      <c r="J1195">
        <f>Cleaned_Data!J1195</f>
        <v>24</v>
      </c>
      <c r="K1195" t="str">
        <f t="shared" si="55"/>
        <v>2024-03</v>
      </c>
      <c r="L1195">
        <f t="shared" si="56"/>
        <v>0</v>
      </c>
    </row>
    <row r="1196" spans="1:12">
      <c r="A1196" t="s">
        <v>3481</v>
      </c>
      <c r="B1196" t="s">
        <v>3482</v>
      </c>
      <c r="C1196" t="s">
        <v>3483</v>
      </c>
      <c r="D1196" t="s">
        <v>35</v>
      </c>
      <c r="E1196" t="s">
        <v>28</v>
      </c>
      <c r="F1196" t="s">
        <v>29</v>
      </c>
      <c r="G1196" t="s">
        <v>19</v>
      </c>
      <c r="H1196">
        <f>Cleaned_Data!K1196</f>
        <v>38.22</v>
      </c>
      <c r="I1196" t="str">
        <f t="shared" si="54"/>
        <v>YES</v>
      </c>
      <c r="J1196">
        <f>Cleaned_Data!J1196</f>
        <v>48</v>
      </c>
      <c r="K1196" t="str">
        <f t="shared" si="55"/>
        <v>2024-08</v>
      </c>
      <c r="L1196">
        <f t="shared" si="56"/>
        <v>0</v>
      </c>
    </row>
    <row r="1197" spans="1:12">
      <c r="A1197" t="s">
        <v>3484</v>
      </c>
      <c r="B1197" t="s">
        <v>3485</v>
      </c>
      <c r="C1197" t="s">
        <v>3486</v>
      </c>
      <c r="D1197" t="s">
        <v>23</v>
      </c>
      <c r="E1197" t="s">
        <v>28</v>
      </c>
      <c r="F1197" t="s">
        <v>41</v>
      </c>
      <c r="G1197" t="s">
        <v>19</v>
      </c>
      <c r="H1197">
        <f>Cleaned_Data!K1197</f>
        <v>13.07</v>
      </c>
      <c r="I1197" t="str">
        <f t="shared" si="54"/>
        <v>YES</v>
      </c>
      <c r="J1197">
        <f>Cleaned_Data!J1197</f>
        <v>24</v>
      </c>
      <c r="K1197" t="str">
        <f t="shared" si="55"/>
        <v>2024-07</v>
      </c>
      <c r="L1197">
        <f t="shared" si="56"/>
        <v>0</v>
      </c>
    </row>
    <row r="1198" spans="1:12">
      <c r="A1198" t="s">
        <v>3487</v>
      </c>
      <c r="B1198" t="s">
        <v>3488</v>
      </c>
      <c r="C1198" t="s">
        <v>3489</v>
      </c>
      <c r="D1198" t="s">
        <v>35</v>
      </c>
      <c r="E1198" t="s">
        <v>28</v>
      </c>
      <c r="F1198" t="s">
        <v>29</v>
      </c>
      <c r="G1198" t="s">
        <v>31</v>
      </c>
      <c r="H1198">
        <f>Cleaned_Data!K1198</f>
        <v>22.58</v>
      </c>
      <c r="I1198" t="str">
        <f t="shared" si="54"/>
        <v>YES</v>
      </c>
      <c r="J1198">
        <f>Cleaned_Data!J1198</f>
        <v>48</v>
      </c>
      <c r="K1198" t="str">
        <f t="shared" si="55"/>
        <v>2024-02</v>
      </c>
      <c r="L1198">
        <f t="shared" si="56"/>
        <v>0</v>
      </c>
    </row>
    <row r="1199" spans="1:12">
      <c r="A1199" t="s">
        <v>3490</v>
      </c>
      <c r="B1199" t="s">
        <v>3491</v>
      </c>
      <c r="C1199" t="s">
        <v>3492</v>
      </c>
      <c r="D1199" t="s">
        <v>23</v>
      </c>
      <c r="E1199" t="s">
        <v>54</v>
      </c>
      <c r="F1199" t="s">
        <v>29</v>
      </c>
      <c r="G1199" t="s">
        <v>31</v>
      </c>
      <c r="H1199">
        <f>Cleaned_Data!K1199</f>
        <v>65.31</v>
      </c>
      <c r="I1199" t="str">
        <f t="shared" si="54"/>
        <v>NO</v>
      </c>
      <c r="J1199">
        <f>Cleaned_Data!J1199</f>
        <v>24</v>
      </c>
      <c r="K1199" t="str">
        <f t="shared" si="55"/>
        <v>2024-09</v>
      </c>
      <c r="L1199">
        <f t="shared" si="56"/>
        <v>41.31</v>
      </c>
    </row>
    <row r="1200" spans="1:12">
      <c r="A1200" t="s">
        <v>3493</v>
      </c>
      <c r="B1200" t="s">
        <v>3494</v>
      </c>
      <c r="D1200" t="s">
        <v>35</v>
      </c>
      <c r="E1200" t="s">
        <v>24</v>
      </c>
      <c r="F1200" t="s">
        <v>36</v>
      </c>
      <c r="G1200" t="s">
        <v>63</v>
      </c>
      <c r="H1200">
        <f>Cleaned_Data!K1200</f>
        <v>0</v>
      </c>
      <c r="I1200" t="str">
        <f t="shared" si="54"/>
        <v/>
      </c>
      <c r="J1200">
        <f>Cleaned_Data!J1200</f>
        <v>48</v>
      </c>
      <c r="K1200" t="str">
        <f t="shared" si="55"/>
        <v>2024-11</v>
      </c>
      <c r="L1200">
        <f t="shared" si="56"/>
        <v>0</v>
      </c>
    </row>
    <row r="1201" spans="1:12">
      <c r="A1201" t="s">
        <v>3495</v>
      </c>
      <c r="B1201" t="s">
        <v>3496</v>
      </c>
      <c r="C1201" t="s">
        <v>3497</v>
      </c>
      <c r="D1201" t="s">
        <v>23</v>
      </c>
      <c r="E1201" t="s">
        <v>16</v>
      </c>
      <c r="F1201" t="s">
        <v>60</v>
      </c>
      <c r="G1201" t="s">
        <v>31</v>
      </c>
      <c r="H1201">
        <f>Cleaned_Data!K1201</f>
        <v>18.84</v>
      </c>
      <c r="I1201" t="str">
        <f t="shared" si="54"/>
        <v>YES</v>
      </c>
      <c r="J1201">
        <f>Cleaned_Data!J1201</f>
        <v>24</v>
      </c>
      <c r="K1201" t="str">
        <f t="shared" si="55"/>
        <v>2024-02</v>
      </c>
      <c r="L1201">
        <f t="shared" si="56"/>
        <v>0</v>
      </c>
    </row>
    <row r="1202" spans="1:12">
      <c r="A1202" t="s">
        <v>3498</v>
      </c>
      <c r="B1202" t="s">
        <v>3499</v>
      </c>
      <c r="C1202" t="s">
        <v>3500</v>
      </c>
      <c r="D1202" t="s">
        <v>23</v>
      </c>
      <c r="E1202" t="s">
        <v>28</v>
      </c>
      <c r="F1202" t="s">
        <v>41</v>
      </c>
      <c r="G1202" t="s">
        <v>19</v>
      </c>
      <c r="H1202">
        <f>Cleaned_Data!K1202</f>
        <v>11.98</v>
      </c>
      <c r="I1202" t="str">
        <f t="shared" si="54"/>
        <v>YES</v>
      </c>
      <c r="J1202">
        <f>Cleaned_Data!J1202</f>
        <v>24</v>
      </c>
      <c r="K1202" t="str">
        <f t="shared" si="55"/>
        <v>2024-11</v>
      </c>
      <c r="L1202">
        <f t="shared" si="56"/>
        <v>0</v>
      </c>
    </row>
    <row r="1203" spans="1:12">
      <c r="A1203" t="s">
        <v>3501</v>
      </c>
      <c r="B1203" t="s">
        <v>3502</v>
      </c>
      <c r="D1203" t="s">
        <v>35</v>
      </c>
      <c r="E1203" t="s">
        <v>28</v>
      </c>
      <c r="F1203" t="s">
        <v>41</v>
      </c>
      <c r="G1203" t="s">
        <v>63</v>
      </c>
      <c r="H1203">
        <f>Cleaned_Data!K1203</f>
        <v>0</v>
      </c>
      <c r="I1203" t="str">
        <f t="shared" si="54"/>
        <v/>
      </c>
      <c r="J1203">
        <f>Cleaned_Data!J1203</f>
        <v>48</v>
      </c>
      <c r="K1203" t="str">
        <f t="shared" si="55"/>
        <v>2024-11</v>
      </c>
      <c r="L1203">
        <f t="shared" si="56"/>
        <v>0</v>
      </c>
    </row>
    <row r="1204" spans="1:12">
      <c r="A1204" t="s">
        <v>3503</v>
      </c>
      <c r="B1204" t="s">
        <v>3504</v>
      </c>
      <c r="C1204" t="s">
        <v>3505</v>
      </c>
      <c r="D1204" t="s">
        <v>15</v>
      </c>
      <c r="E1204" t="s">
        <v>28</v>
      </c>
      <c r="F1204" t="s">
        <v>29</v>
      </c>
      <c r="G1204" t="s">
        <v>31</v>
      </c>
      <c r="H1204">
        <f>Cleaned_Data!K1204</f>
        <v>3.62</v>
      </c>
      <c r="I1204" t="str">
        <f t="shared" si="54"/>
        <v>YES</v>
      </c>
      <c r="J1204">
        <f>Cleaned_Data!J1204</f>
        <v>8</v>
      </c>
      <c r="K1204" t="str">
        <f t="shared" si="55"/>
        <v>2024-10</v>
      </c>
      <c r="L1204">
        <f t="shared" si="56"/>
        <v>0</v>
      </c>
    </row>
    <row r="1205" spans="1:12">
      <c r="A1205" t="s">
        <v>3506</v>
      </c>
      <c r="B1205" t="s">
        <v>3507</v>
      </c>
      <c r="C1205" t="s">
        <v>3508</v>
      </c>
      <c r="D1205" t="s">
        <v>35</v>
      </c>
      <c r="E1205" t="s">
        <v>24</v>
      </c>
      <c r="F1205" t="s">
        <v>36</v>
      </c>
      <c r="G1205" t="s">
        <v>31</v>
      </c>
      <c r="H1205">
        <f>Cleaned_Data!K1205</f>
        <v>98.97</v>
      </c>
      <c r="I1205" t="str">
        <f t="shared" si="54"/>
        <v>NO</v>
      </c>
      <c r="J1205">
        <f>Cleaned_Data!J1205</f>
        <v>48</v>
      </c>
      <c r="K1205" t="str">
        <f t="shared" si="55"/>
        <v>2024-12</v>
      </c>
      <c r="L1205">
        <f t="shared" si="56"/>
        <v>50.97</v>
      </c>
    </row>
    <row r="1206" spans="1:12">
      <c r="A1206" t="s">
        <v>3509</v>
      </c>
      <c r="B1206" t="s">
        <v>3510</v>
      </c>
      <c r="C1206" t="s">
        <v>3511</v>
      </c>
      <c r="D1206" t="s">
        <v>15</v>
      </c>
      <c r="E1206" t="s">
        <v>59</v>
      </c>
      <c r="F1206" t="s">
        <v>41</v>
      </c>
      <c r="G1206" t="s">
        <v>31</v>
      </c>
      <c r="H1206">
        <f>Cleaned_Data!K1206</f>
        <v>4.99</v>
      </c>
      <c r="I1206" t="str">
        <f t="shared" si="54"/>
        <v>YES</v>
      </c>
      <c r="J1206">
        <f>Cleaned_Data!J1206</f>
        <v>8</v>
      </c>
      <c r="K1206" t="str">
        <f t="shared" si="55"/>
        <v>2024-05</v>
      </c>
      <c r="L1206">
        <f t="shared" si="56"/>
        <v>0</v>
      </c>
    </row>
    <row r="1207" spans="1:12">
      <c r="A1207" t="s">
        <v>3512</v>
      </c>
      <c r="B1207" t="s">
        <v>3513</v>
      </c>
      <c r="C1207" t="s">
        <v>3514</v>
      </c>
      <c r="D1207" t="s">
        <v>35</v>
      </c>
      <c r="E1207" t="s">
        <v>54</v>
      </c>
      <c r="F1207" t="s">
        <v>17</v>
      </c>
      <c r="G1207" t="s">
        <v>19</v>
      </c>
      <c r="H1207">
        <f>Cleaned_Data!K1207</f>
        <v>21.25</v>
      </c>
      <c r="I1207" t="str">
        <f t="shared" si="54"/>
        <v>YES</v>
      </c>
      <c r="J1207">
        <f>Cleaned_Data!J1207</f>
        <v>48</v>
      </c>
      <c r="K1207" t="str">
        <f t="shared" si="55"/>
        <v>2024-01</v>
      </c>
      <c r="L1207">
        <f t="shared" si="56"/>
        <v>0</v>
      </c>
    </row>
    <row r="1208" spans="1:12">
      <c r="A1208" t="s">
        <v>3515</v>
      </c>
      <c r="B1208" t="s">
        <v>3516</v>
      </c>
      <c r="C1208" t="s">
        <v>3517</v>
      </c>
      <c r="D1208" t="s">
        <v>23</v>
      </c>
      <c r="E1208" t="s">
        <v>24</v>
      </c>
      <c r="F1208" t="s">
        <v>17</v>
      </c>
      <c r="G1208" t="s">
        <v>19</v>
      </c>
      <c r="H1208">
        <f>Cleaned_Data!K1208</f>
        <v>10.4</v>
      </c>
      <c r="I1208" t="str">
        <f t="shared" si="54"/>
        <v>YES</v>
      </c>
      <c r="J1208">
        <f>Cleaned_Data!J1208</f>
        <v>24</v>
      </c>
      <c r="K1208" t="str">
        <f t="shared" si="55"/>
        <v>2024-03</v>
      </c>
      <c r="L1208">
        <f t="shared" si="56"/>
        <v>0</v>
      </c>
    </row>
    <row r="1209" spans="1:12">
      <c r="A1209" t="s">
        <v>3518</v>
      </c>
      <c r="B1209" t="s">
        <v>3519</v>
      </c>
      <c r="C1209" t="s">
        <v>3520</v>
      </c>
      <c r="D1209" t="s">
        <v>15</v>
      </c>
      <c r="E1209" t="s">
        <v>54</v>
      </c>
      <c r="F1209" t="s">
        <v>29</v>
      </c>
      <c r="G1209" t="s">
        <v>19</v>
      </c>
      <c r="H1209">
        <f>Cleaned_Data!K1209</f>
        <v>0.88</v>
      </c>
      <c r="I1209" t="str">
        <f t="shared" si="54"/>
        <v>YES</v>
      </c>
      <c r="J1209">
        <f>Cleaned_Data!J1209</f>
        <v>8</v>
      </c>
      <c r="K1209" t="str">
        <f t="shared" si="55"/>
        <v>2024-12</v>
      </c>
      <c r="L1209">
        <f t="shared" si="56"/>
        <v>0</v>
      </c>
    </row>
    <row r="1210" spans="1:12">
      <c r="A1210" t="s">
        <v>3521</v>
      </c>
      <c r="B1210" t="s">
        <v>3522</v>
      </c>
      <c r="C1210" t="s">
        <v>3523</v>
      </c>
      <c r="D1210" t="s">
        <v>158</v>
      </c>
      <c r="E1210" t="s">
        <v>16</v>
      </c>
      <c r="F1210" t="s">
        <v>36</v>
      </c>
      <c r="G1210" t="s">
        <v>19</v>
      </c>
      <c r="H1210">
        <f>Cleaned_Data!K1210</f>
        <v>0.84</v>
      </c>
      <c r="I1210" t="str">
        <f t="shared" si="54"/>
        <v>YES</v>
      </c>
      <c r="J1210">
        <f>Cleaned_Data!J1210</f>
        <v>4</v>
      </c>
      <c r="K1210" t="str">
        <f t="shared" si="55"/>
        <v>2024-02</v>
      </c>
      <c r="L1210">
        <f t="shared" si="56"/>
        <v>0</v>
      </c>
    </row>
    <row r="1211" spans="1:12">
      <c r="A1211" t="s">
        <v>3524</v>
      </c>
      <c r="B1211" t="s">
        <v>3525</v>
      </c>
      <c r="C1211" t="s">
        <v>3526</v>
      </c>
      <c r="D1211" t="s">
        <v>23</v>
      </c>
      <c r="E1211" t="s">
        <v>24</v>
      </c>
      <c r="F1211" t="s">
        <v>17</v>
      </c>
      <c r="G1211" t="s">
        <v>19</v>
      </c>
      <c r="H1211">
        <f>Cleaned_Data!K1211</f>
        <v>59.19</v>
      </c>
      <c r="I1211" t="str">
        <f t="shared" si="54"/>
        <v>NO</v>
      </c>
      <c r="J1211">
        <f>Cleaned_Data!J1211</f>
        <v>24</v>
      </c>
      <c r="K1211" t="str">
        <f t="shared" si="55"/>
        <v>2024-09</v>
      </c>
      <c r="L1211">
        <f t="shared" si="56"/>
        <v>35.19</v>
      </c>
    </row>
    <row r="1212" spans="1:12">
      <c r="A1212" t="s">
        <v>3527</v>
      </c>
      <c r="B1212" t="s">
        <v>3528</v>
      </c>
      <c r="D1212" t="s">
        <v>23</v>
      </c>
      <c r="E1212" t="s">
        <v>16</v>
      </c>
      <c r="F1212" t="s">
        <v>29</v>
      </c>
      <c r="G1212" t="s">
        <v>63</v>
      </c>
      <c r="H1212">
        <f>Cleaned_Data!K1212</f>
        <v>0</v>
      </c>
      <c r="I1212" t="str">
        <f t="shared" si="54"/>
        <v/>
      </c>
      <c r="J1212">
        <f>Cleaned_Data!J1212</f>
        <v>24</v>
      </c>
      <c r="K1212" t="str">
        <f t="shared" si="55"/>
        <v>2024-05</v>
      </c>
      <c r="L1212">
        <f t="shared" si="56"/>
        <v>0</v>
      </c>
    </row>
    <row r="1213" spans="1:12">
      <c r="A1213" t="s">
        <v>3529</v>
      </c>
      <c r="B1213" t="s">
        <v>3530</v>
      </c>
      <c r="C1213" t="s">
        <v>3531</v>
      </c>
      <c r="D1213" t="s">
        <v>158</v>
      </c>
      <c r="E1213" t="s">
        <v>59</v>
      </c>
      <c r="F1213" t="s">
        <v>36</v>
      </c>
      <c r="G1213" t="s">
        <v>19</v>
      </c>
      <c r="H1213">
        <f>Cleaned_Data!K1213</f>
        <v>0.76</v>
      </c>
      <c r="I1213" t="str">
        <f t="shared" si="54"/>
        <v>YES</v>
      </c>
      <c r="J1213">
        <f>Cleaned_Data!J1213</f>
        <v>4</v>
      </c>
      <c r="K1213" t="str">
        <f t="shared" si="55"/>
        <v>2024-09</v>
      </c>
      <c r="L1213">
        <f t="shared" si="56"/>
        <v>0</v>
      </c>
    </row>
    <row r="1214" spans="1:12">
      <c r="A1214" t="s">
        <v>3532</v>
      </c>
      <c r="B1214" t="s">
        <v>3533</v>
      </c>
      <c r="C1214" t="s">
        <v>3534</v>
      </c>
      <c r="D1214" t="s">
        <v>15</v>
      </c>
      <c r="E1214" t="s">
        <v>24</v>
      </c>
      <c r="F1214" t="s">
        <v>29</v>
      </c>
      <c r="G1214" t="s">
        <v>19</v>
      </c>
      <c r="H1214">
        <f>Cleaned_Data!K1214</f>
        <v>0.95</v>
      </c>
      <c r="I1214" t="str">
        <f t="shared" si="54"/>
        <v>YES</v>
      </c>
      <c r="J1214">
        <f>Cleaned_Data!J1214</f>
        <v>8</v>
      </c>
      <c r="K1214" t="str">
        <f t="shared" si="55"/>
        <v>2024-12</v>
      </c>
      <c r="L1214">
        <f t="shared" si="56"/>
        <v>0</v>
      </c>
    </row>
    <row r="1215" spans="1:12">
      <c r="A1215" t="s">
        <v>3535</v>
      </c>
      <c r="B1215" t="s">
        <v>3536</v>
      </c>
      <c r="C1215" t="s">
        <v>3537</v>
      </c>
      <c r="D1215" t="s">
        <v>158</v>
      </c>
      <c r="E1215" t="s">
        <v>54</v>
      </c>
      <c r="F1215" t="s">
        <v>41</v>
      </c>
      <c r="G1215" t="s">
        <v>31</v>
      </c>
      <c r="H1215">
        <f>Cleaned_Data!K1215</f>
        <v>0.95</v>
      </c>
      <c r="I1215" t="str">
        <f t="shared" si="54"/>
        <v>YES</v>
      </c>
      <c r="J1215">
        <f>Cleaned_Data!J1215</f>
        <v>4</v>
      </c>
      <c r="K1215" t="str">
        <f t="shared" si="55"/>
        <v>2024-08</v>
      </c>
      <c r="L1215">
        <f t="shared" si="56"/>
        <v>0</v>
      </c>
    </row>
    <row r="1216" spans="1:12">
      <c r="A1216" t="s">
        <v>3538</v>
      </c>
      <c r="B1216" t="s">
        <v>3539</v>
      </c>
      <c r="C1216" t="s">
        <v>3540</v>
      </c>
      <c r="D1216" t="s">
        <v>15</v>
      </c>
      <c r="E1216" t="s">
        <v>54</v>
      </c>
      <c r="F1216" t="s">
        <v>60</v>
      </c>
      <c r="G1216" t="s">
        <v>19</v>
      </c>
      <c r="H1216">
        <f>Cleaned_Data!K1216</f>
        <v>3.16</v>
      </c>
      <c r="I1216" t="str">
        <f t="shared" si="54"/>
        <v>YES</v>
      </c>
      <c r="J1216">
        <f>Cleaned_Data!J1216</f>
        <v>8</v>
      </c>
      <c r="K1216" t="str">
        <f t="shared" si="55"/>
        <v>2024-12</v>
      </c>
      <c r="L1216">
        <f t="shared" si="56"/>
        <v>0</v>
      </c>
    </row>
    <row r="1217" spans="1:12">
      <c r="A1217" t="s">
        <v>3541</v>
      </c>
      <c r="B1217" t="s">
        <v>3542</v>
      </c>
      <c r="C1217" t="s">
        <v>3543</v>
      </c>
      <c r="D1217" t="s">
        <v>23</v>
      </c>
      <c r="E1217" t="s">
        <v>24</v>
      </c>
      <c r="F1217" t="s">
        <v>29</v>
      </c>
      <c r="G1217" t="s">
        <v>19</v>
      </c>
      <c r="H1217">
        <f>Cleaned_Data!K1217</f>
        <v>2.87</v>
      </c>
      <c r="I1217" t="str">
        <f t="shared" si="54"/>
        <v>YES</v>
      </c>
      <c r="J1217">
        <f>Cleaned_Data!J1217</f>
        <v>24</v>
      </c>
      <c r="K1217" t="str">
        <f t="shared" si="55"/>
        <v>2024-08</v>
      </c>
      <c r="L1217">
        <f t="shared" si="56"/>
        <v>0</v>
      </c>
    </row>
    <row r="1218" spans="1:12">
      <c r="A1218" t="s">
        <v>3544</v>
      </c>
      <c r="B1218" t="s">
        <v>3545</v>
      </c>
      <c r="C1218" t="s">
        <v>3546</v>
      </c>
      <c r="D1218" t="s">
        <v>15</v>
      </c>
      <c r="E1218" t="s">
        <v>28</v>
      </c>
      <c r="F1218" t="s">
        <v>17</v>
      </c>
      <c r="G1218" t="s">
        <v>19</v>
      </c>
      <c r="H1218">
        <f>Cleaned_Data!K1218</f>
        <v>5.75</v>
      </c>
      <c r="I1218" t="str">
        <f t="shared" ref="I1218:I1281" si="57">IF(OR(G1218="Resolved", G1218="Closed"), IF(AND(H1218&lt;&gt;"", H1218&lt;=J1218), "YES", "NO"), "")</f>
        <v>YES</v>
      </c>
      <c r="J1218">
        <f>Cleaned_Data!J1218</f>
        <v>8</v>
      </c>
      <c r="K1218" t="str">
        <f t="shared" ref="K1218:K1281" si="58">LEFT(B1218, 7)</f>
        <v>2024-02</v>
      </c>
      <c r="L1218">
        <f t="shared" ref="L1218:L1281" si="59">IF(I1218="NO", H1218-J1218, 0)</f>
        <v>0</v>
      </c>
    </row>
    <row r="1219" spans="1:12">
      <c r="A1219" t="s">
        <v>3547</v>
      </c>
      <c r="B1219" t="s">
        <v>3548</v>
      </c>
      <c r="C1219" t="s">
        <v>3549</v>
      </c>
      <c r="D1219" t="s">
        <v>15</v>
      </c>
      <c r="E1219" t="s">
        <v>24</v>
      </c>
      <c r="F1219" t="s">
        <v>36</v>
      </c>
      <c r="G1219" t="s">
        <v>31</v>
      </c>
      <c r="H1219">
        <f>Cleaned_Data!K1219</f>
        <v>3.98</v>
      </c>
      <c r="I1219" t="str">
        <f t="shared" si="57"/>
        <v>YES</v>
      </c>
      <c r="J1219">
        <f>Cleaned_Data!J1219</f>
        <v>8</v>
      </c>
      <c r="K1219" t="str">
        <f t="shared" si="58"/>
        <v>2024-04</v>
      </c>
      <c r="L1219">
        <f t="shared" si="59"/>
        <v>0</v>
      </c>
    </row>
    <row r="1220" spans="1:12">
      <c r="A1220" t="s">
        <v>3550</v>
      </c>
      <c r="B1220" t="s">
        <v>3551</v>
      </c>
      <c r="C1220" t="s">
        <v>3552</v>
      </c>
      <c r="D1220" t="s">
        <v>23</v>
      </c>
      <c r="E1220" t="s">
        <v>28</v>
      </c>
      <c r="F1220" t="s">
        <v>17</v>
      </c>
      <c r="G1220" t="s">
        <v>19</v>
      </c>
      <c r="H1220">
        <f>Cleaned_Data!K1220</f>
        <v>20.5</v>
      </c>
      <c r="I1220" t="str">
        <f t="shared" si="57"/>
        <v>YES</v>
      </c>
      <c r="J1220">
        <f>Cleaned_Data!J1220</f>
        <v>24</v>
      </c>
      <c r="K1220" t="str">
        <f t="shared" si="58"/>
        <v>2024-06</v>
      </c>
      <c r="L1220">
        <f t="shared" si="59"/>
        <v>0</v>
      </c>
    </row>
    <row r="1221" spans="1:12">
      <c r="A1221" t="s">
        <v>3553</v>
      </c>
      <c r="B1221" t="s">
        <v>3554</v>
      </c>
      <c r="C1221" t="s">
        <v>3555</v>
      </c>
      <c r="D1221" t="s">
        <v>15</v>
      </c>
      <c r="E1221" t="s">
        <v>16</v>
      </c>
      <c r="F1221" t="s">
        <v>60</v>
      </c>
      <c r="G1221" t="s">
        <v>19</v>
      </c>
      <c r="H1221">
        <f>Cleaned_Data!K1221</f>
        <v>5.71</v>
      </c>
      <c r="I1221" t="str">
        <f t="shared" si="57"/>
        <v>YES</v>
      </c>
      <c r="J1221">
        <f>Cleaned_Data!J1221</f>
        <v>8</v>
      </c>
      <c r="K1221" t="str">
        <f t="shared" si="58"/>
        <v>2024-06</v>
      </c>
      <c r="L1221">
        <f t="shared" si="59"/>
        <v>0</v>
      </c>
    </row>
    <row r="1222" spans="1:12">
      <c r="A1222" t="s">
        <v>3556</v>
      </c>
      <c r="B1222" t="s">
        <v>3557</v>
      </c>
      <c r="C1222" t="s">
        <v>3558</v>
      </c>
      <c r="D1222" t="s">
        <v>23</v>
      </c>
      <c r="E1222" t="s">
        <v>16</v>
      </c>
      <c r="F1222" t="s">
        <v>29</v>
      </c>
      <c r="G1222" t="s">
        <v>19</v>
      </c>
      <c r="H1222">
        <f>Cleaned_Data!K1222</f>
        <v>6.47</v>
      </c>
      <c r="I1222" t="str">
        <f t="shared" si="57"/>
        <v>YES</v>
      </c>
      <c r="J1222">
        <f>Cleaned_Data!J1222</f>
        <v>24</v>
      </c>
      <c r="K1222" t="str">
        <f t="shared" si="58"/>
        <v>2024-06</v>
      </c>
      <c r="L1222">
        <f t="shared" si="59"/>
        <v>0</v>
      </c>
    </row>
    <row r="1223" spans="1:12">
      <c r="A1223" t="s">
        <v>3559</v>
      </c>
      <c r="B1223" t="s">
        <v>3560</v>
      </c>
      <c r="D1223" t="s">
        <v>23</v>
      </c>
      <c r="E1223" t="s">
        <v>24</v>
      </c>
      <c r="F1223" t="s">
        <v>17</v>
      </c>
      <c r="G1223" t="s">
        <v>63</v>
      </c>
      <c r="H1223">
        <f>Cleaned_Data!K1223</f>
        <v>0</v>
      </c>
      <c r="I1223" t="str">
        <f t="shared" si="57"/>
        <v/>
      </c>
      <c r="J1223">
        <f>Cleaned_Data!J1223</f>
        <v>24</v>
      </c>
      <c r="K1223" t="str">
        <f t="shared" si="58"/>
        <v>2024-12</v>
      </c>
      <c r="L1223">
        <f t="shared" si="59"/>
        <v>0</v>
      </c>
    </row>
    <row r="1224" spans="1:12">
      <c r="A1224" t="s">
        <v>3561</v>
      </c>
      <c r="B1224" t="s">
        <v>3562</v>
      </c>
      <c r="C1224" t="s">
        <v>3563</v>
      </c>
      <c r="D1224" t="s">
        <v>23</v>
      </c>
      <c r="E1224" t="s">
        <v>28</v>
      </c>
      <c r="F1224" t="s">
        <v>60</v>
      </c>
      <c r="G1224" t="s">
        <v>19</v>
      </c>
      <c r="H1224">
        <f>Cleaned_Data!K1224</f>
        <v>18.899999999999999</v>
      </c>
      <c r="I1224" t="str">
        <f t="shared" si="57"/>
        <v>YES</v>
      </c>
      <c r="J1224">
        <f>Cleaned_Data!J1224</f>
        <v>24</v>
      </c>
      <c r="K1224" t="str">
        <f t="shared" si="58"/>
        <v>2024-04</v>
      </c>
      <c r="L1224">
        <f t="shared" si="59"/>
        <v>0</v>
      </c>
    </row>
    <row r="1225" spans="1:12">
      <c r="A1225" t="s">
        <v>3564</v>
      </c>
      <c r="B1225" t="s">
        <v>3565</v>
      </c>
      <c r="C1225" t="s">
        <v>3566</v>
      </c>
      <c r="D1225" t="s">
        <v>23</v>
      </c>
      <c r="E1225" t="s">
        <v>24</v>
      </c>
      <c r="F1225" t="s">
        <v>29</v>
      </c>
      <c r="G1225" t="s">
        <v>19</v>
      </c>
      <c r="H1225">
        <f>Cleaned_Data!K1225</f>
        <v>2.6</v>
      </c>
      <c r="I1225" t="str">
        <f t="shared" si="57"/>
        <v>YES</v>
      </c>
      <c r="J1225">
        <f>Cleaned_Data!J1225</f>
        <v>24</v>
      </c>
      <c r="K1225" t="str">
        <f t="shared" si="58"/>
        <v>2024-03</v>
      </c>
      <c r="L1225">
        <f t="shared" si="59"/>
        <v>0</v>
      </c>
    </row>
    <row r="1226" spans="1:12">
      <c r="A1226" t="s">
        <v>3567</v>
      </c>
      <c r="B1226" t="s">
        <v>3568</v>
      </c>
      <c r="C1226" t="s">
        <v>3569</v>
      </c>
      <c r="D1226" t="s">
        <v>15</v>
      </c>
      <c r="E1226" t="s">
        <v>28</v>
      </c>
      <c r="F1226" t="s">
        <v>29</v>
      </c>
      <c r="G1226" t="s">
        <v>31</v>
      </c>
      <c r="H1226">
        <f>Cleaned_Data!K1226</f>
        <v>4.8899999999999997</v>
      </c>
      <c r="I1226" t="str">
        <f t="shared" si="57"/>
        <v>YES</v>
      </c>
      <c r="J1226">
        <f>Cleaned_Data!J1226</f>
        <v>8</v>
      </c>
      <c r="K1226" t="str">
        <f t="shared" si="58"/>
        <v>2024-10</v>
      </c>
      <c r="L1226">
        <f t="shared" si="59"/>
        <v>0</v>
      </c>
    </row>
    <row r="1227" spans="1:12">
      <c r="A1227" t="s">
        <v>3570</v>
      </c>
      <c r="B1227" t="s">
        <v>3571</v>
      </c>
      <c r="C1227" t="s">
        <v>3572</v>
      </c>
      <c r="D1227" t="s">
        <v>23</v>
      </c>
      <c r="E1227" t="s">
        <v>16</v>
      </c>
      <c r="F1227" t="s">
        <v>36</v>
      </c>
      <c r="G1227" t="s">
        <v>31</v>
      </c>
      <c r="H1227">
        <f>Cleaned_Data!K1227</f>
        <v>17.829999999999998</v>
      </c>
      <c r="I1227" t="str">
        <f t="shared" si="57"/>
        <v>YES</v>
      </c>
      <c r="J1227">
        <f>Cleaned_Data!J1227</f>
        <v>24</v>
      </c>
      <c r="K1227" t="str">
        <f t="shared" si="58"/>
        <v>2024-02</v>
      </c>
      <c r="L1227">
        <f t="shared" si="59"/>
        <v>0</v>
      </c>
    </row>
    <row r="1228" spans="1:12">
      <c r="A1228" t="s">
        <v>3573</v>
      </c>
      <c r="B1228" t="s">
        <v>3574</v>
      </c>
      <c r="C1228" t="s">
        <v>3575</v>
      </c>
      <c r="D1228" t="s">
        <v>15</v>
      </c>
      <c r="E1228" t="s">
        <v>24</v>
      </c>
      <c r="F1228" t="s">
        <v>41</v>
      </c>
      <c r="G1228" t="s">
        <v>19</v>
      </c>
      <c r="H1228">
        <f>Cleaned_Data!K1228</f>
        <v>1.61</v>
      </c>
      <c r="I1228" t="str">
        <f t="shared" si="57"/>
        <v>YES</v>
      </c>
      <c r="J1228">
        <f>Cleaned_Data!J1228</f>
        <v>8</v>
      </c>
      <c r="K1228" t="str">
        <f t="shared" si="58"/>
        <v>2024-05</v>
      </c>
      <c r="L1228">
        <f t="shared" si="59"/>
        <v>0</v>
      </c>
    </row>
    <row r="1229" spans="1:12">
      <c r="A1229" t="s">
        <v>3576</v>
      </c>
      <c r="B1229" t="s">
        <v>3577</v>
      </c>
      <c r="C1229" t="s">
        <v>3578</v>
      </c>
      <c r="D1229" t="s">
        <v>15</v>
      </c>
      <c r="E1229" t="s">
        <v>28</v>
      </c>
      <c r="F1229" t="s">
        <v>60</v>
      </c>
      <c r="G1229" t="s">
        <v>19</v>
      </c>
      <c r="H1229">
        <f>Cleaned_Data!K1229</f>
        <v>6.62</v>
      </c>
      <c r="I1229" t="str">
        <f t="shared" si="57"/>
        <v>YES</v>
      </c>
      <c r="J1229">
        <f>Cleaned_Data!J1229</f>
        <v>8</v>
      </c>
      <c r="K1229" t="str">
        <f t="shared" si="58"/>
        <v>2024-08</v>
      </c>
      <c r="L1229">
        <f t="shared" si="59"/>
        <v>0</v>
      </c>
    </row>
    <row r="1230" spans="1:12">
      <c r="A1230" t="s">
        <v>3579</v>
      </c>
      <c r="B1230" t="s">
        <v>3580</v>
      </c>
      <c r="C1230" t="s">
        <v>3581</v>
      </c>
      <c r="D1230" t="s">
        <v>23</v>
      </c>
      <c r="E1230" t="s">
        <v>24</v>
      </c>
      <c r="F1230" t="s">
        <v>41</v>
      </c>
      <c r="G1230" t="s">
        <v>31</v>
      </c>
      <c r="H1230">
        <f>Cleaned_Data!K1230</f>
        <v>27.03</v>
      </c>
      <c r="I1230" t="str">
        <f t="shared" si="57"/>
        <v>NO</v>
      </c>
      <c r="J1230">
        <f>Cleaned_Data!J1230</f>
        <v>24</v>
      </c>
      <c r="K1230" t="str">
        <f t="shared" si="58"/>
        <v>2024-12</v>
      </c>
      <c r="L1230">
        <f t="shared" si="59"/>
        <v>3.0300000000000011</v>
      </c>
    </row>
    <row r="1231" spans="1:12">
      <c r="A1231" t="s">
        <v>3582</v>
      </c>
      <c r="B1231" t="s">
        <v>3583</v>
      </c>
      <c r="C1231" t="s">
        <v>3584</v>
      </c>
      <c r="D1231" t="s">
        <v>23</v>
      </c>
      <c r="E1231" t="s">
        <v>16</v>
      </c>
      <c r="F1231" t="s">
        <v>41</v>
      </c>
      <c r="G1231" t="s">
        <v>19</v>
      </c>
      <c r="H1231">
        <f>Cleaned_Data!K1231</f>
        <v>9.4499999999999993</v>
      </c>
      <c r="I1231" t="str">
        <f t="shared" si="57"/>
        <v>YES</v>
      </c>
      <c r="J1231">
        <f>Cleaned_Data!J1231</f>
        <v>24</v>
      </c>
      <c r="K1231" t="str">
        <f t="shared" si="58"/>
        <v>2024-01</v>
      </c>
      <c r="L1231">
        <f t="shared" si="59"/>
        <v>0</v>
      </c>
    </row>
    <row r="1232" spans="1:12">
      <c r="A1232" t="s">
        <v>3585</v>
      </c>
      <c r="B1232" t="s">
        <v>3586</v>
      </c>
      <c r="C1232" t="s">
        <v>3587</v>
      </c>
      <c r="D1232" t="s">
        <v>15</v>
      </c>
      <c r="E1232" t="s">
        <v>54</v>
      </c>
      <c r="F1232" t="s">
        <v>41</v>
      </c>
      <c r="G1232" t="s">
        <v>31</v>
      </c>
      <c r="H1232">
        <f>Cleaned_Data!K1232</f>
        <v>6.57</v>
      </c>
      <c r="I1232" t="str">
        <f t="shared" si="57"/>
        <v>YES</v>
      </c>
      <c r="J1232">
        <f>Cleaned_Data!J1232</f>
        <v>8</v>
      </c>
      <c r="K1232" t="str">
        <f t="shared" si="58"/>
        <v>2024-10</v>
      </c>
      <c r="L1232">
        <f t="shared" si="59"/>
        <v>0</v>
      </c>
    </row>
    <row r="1233" spans="1:12">
      <c r="A1233" t="s">
        <v>3588</v>
      </c>
      <c r="B1233" t="s">
        <v>3589</v>
      </c>
      <c r="C1233" t="s">
        <v>3590</v>
      </c>
      <c r="D1233" t="s">
        <v>35</v>
      </c>
      <c r="E1233" t="s">
        <v>54</v>
      </c>
      <c r="F1233" t="s">
        <v>36</v>
      </c>
      <c r="G1233" t="s">
        <v>19</v>
      </c>
      <c r="H1233">
        <f>Cleaned_Data!K1233</f>
        <v>63.39</v>
      </c>
      <c r="I1233" t="str">
        <f t="shared" si="57"/>
        <v>NO</v>
      </c>
      <c r="J1233">
        <f>Cleaned_Data!J1233</f>
        <v>48</v>
      </c>
      <c r="K1233" t="str">
        <f t="shared" si="58"/>
        <v>2024-02</v>
      </c>
      <c r="L1233">
        <f t="shared" si="59"/>
        <v>15.39</v>
      </c>
    </row>
    <row r="1234" spans="1:12">
      <c r="A1234" t="s">
        <v>3591</v>
      </c>
      <c r="B1234" t="s">
        <v>3592</v>
      </c>
      <c r="C1234" t="s">
        <v>3593</v>
      </c>
      <c r="D1234" t="s">
        <v>23</v>
      </c>
      <c r="E1234" t="s">
        <v>28</v>
      </c>
      <c r="F1234" t="s">
        <v>17</v>
      </c>
      <c r="G1234" t="s">
        <v>19</v>
      </c>
      <c r="H1234">
        <f>Cleaned_Data!K1234</f>
        <v>42.46</v>
      </c>
      <c r="I1234" t="str">
        <f t="shared" si="57"/>
        <v>NO</v>
      </c>
      <c r="J1234">
        <f>Cleaned_Data!J1234</f>
        <v>24</v>
      </c>
      <c r="K1234" t="str">
        <f t="shared" si="58"/>
        <v>2024-11</v>
      </c>
      <c r="L1234">
        <f t="shared" si="59"/>
        <v>18.46</v>
      </c>
    </row>
    <row r="1235" spans="1:12">
      <c r="A1235" t="s">
        <v>3594</v>
      </c>
      <c r="B1235" t="s">
        <v>3595</v>
      </c>
      <c r="D1235" t="s">
        <v>35</v>
      </c>
      <c r="E1235" t="s">
        <v>16</v>
      </c>
      <c r="F1235" t="s">
        <v>29</v>
      </c>
      <c r="G1235" t="s">
        <v>63</v>
      </c>
      <c r="H1235">
        <f>Cleaned_Data!K1235</f>
        <v>0</v>
      </c>
      <c r="I1235" t="str">
        <f t="shared" si="57"/>
        <v/>
      </c>
      <c r="J1235">
        <f>Cleaned_Data!J1235</f>
        <v>48</v>
      </c>
      <c r="K1235" t="str">
        <f t="shared" si="58"/>
        <v>2024-01</v>
      </c>
      <c r="L1235">
        <f t="shared" si="59"/>
        <v>0</v>
      </c>
    </row>
    <row r="1236" spans="1:12">
      <c r="A1236" t="s">
        <v>3596</v>
      </c>
      <c r="B1236" t="s">
        <v>3597</v>
      </c>
      <c r="C1236" t="s">
        <v>3598</v>
      </c>
      <c r="D1236" t="s">
        <v>23</v>
      </c>
      <c r="E1236" t="s">
        <v>28</v>
      </c>
      <c r="F1236" t="s">
        <v>17</v>
      </c>
      <c r="G1236" t="s">
        <v>31</v>
      </c>
      <c r="H1236">
        <f>Cleaned_Data!K1236</f>
        <v>8.91</v>
      </c>
      <c r="I1236" t="str">
        <f t="shared" si="57"/>
        <v>YES</v>
      </c>
      <c r="J1236">
        <f>Cleaned_Data!J1236</f>
        <v>24</v>
      </c>
      <c r="K1236" t="str">
        <f t="shared" si="58"/>
        <v>2024-08</v>
      </c>
      <c r="L1236">
        <f t="shared" si="59"/>
        <v>0</v>
      </c>
    </row>
    <row r="1237" spans="1:12">
      <c r="A1237" t="s">
        <v>3599</v>
      </c>
      <c r="B1237" t="s">
        <v>3600</v>
      </c>
      <c r="C1237" t="s">
        <v>3601</v>
      </c>
      <c r="D1237" t="s">
        <v>35</v>
      </c>
      <c r="E1237" t="s">
        <v>59</v>
      </c>
      <c r="F1237" t="s">
        <v>41</v>
      </c>
      <c r="G1237" t="s">
        <v>19</v>
      </c>
      <c r="H1237">
        <f>Cleaned_Data!K1237</f>
        <v>26.33</v>
      </c>
      <c r="I1237" t="str">
        <f t="shared" si="57"/>
        <v>YES</v>
      </c>
      <c r="J1237">
        <f>Cleaned_Data!J1237</f>
        <v>48</v>
      </c>
      <c r="K1237" t="str">
        <f t="shared" si="58"/>
        <v>2024-08</v>
      </c>
      <c r="L1237">
        <f t="shared" si="59"/>
        <v>0</v>
      </c>
    </row>
    <row r="1238" spans="1:12">
      <c r="A1238" t="s">
        <v>3602</v>
      </c>
      <c r="B1238" t="s">
        <v>3603</v>
      </c>
      <c r="C1238" t="s">
        <v>3604</v>
      </c>
      <c r="D1238" t="s">
        <v>23</v>
      </c>
      <c r="E1238" t="s">
        <v>28</v>
      </c>
      <c r="F1238" t="s">
        <v>41</v>
      </c>
      <c r="G1238" t="s">
        <v>19</v>
      </c>
      <c r="H1238">
        <f>Cleaned_Data!K1238</f>
        <v>16.91</v>
      </c>
      <c r="I1238" t="str">
        <f t="shared" si="57"/>
        <v>YES</v>
      </c>
      <c r="J1238">
        <f>Cleaned_Data!J1238</f>
        <v>24</v>
      </c>
      <c r="K1238" t="str">
        <f t="shared" si="58"/>
        <v>2024-09</v>
      </c>
      <c r="L1238">
        <f t="shared" si="59"/>
        <v>0</v>
      </c>
    </row>
    <row r="1239" spans="1:12">
      <c r="A1239" t="s">
        <v>3605</v>
      </c>
      <c r="B1239" t="s">
        <v>3606</v>
      </c>
      <c r="C1239" t="s">
        <v>3607</v>
      </c>
      <c r="D1239" t="s">
        <v>35</v>
      </c>
      <c r="E1239" t="s">
        <v>54</v>
      </c>
      <c r="F1239" t="s">
        <v>17</v>
      </c>
      <c r="G1239" t="s">
        <v>19</v>
      </c>
      <c r="H1239">
        <f>Cleaned_Data!K1239</f>
        <v>56.04</v>
      </c>
      <c r="I1239" t="str">
        <f t="shared" si="57"/>
        <v>NO</v>
      </c>
      <c r="J1239">
        <f>Cleaned_Data!J1239</f>
        <v>48</v>
      </c>
      <c r="K1239" t="str">
        <f t="shared" si="58"/>
        <v>2024-11</v>
      </c>
      <c r="L1239">
        <f t="shared" si="59"/>
        <v>8.0399999999999991</v>
      </c>
    </row>
    <row r="1240" spans="1:12">
      <c r="A1240" t="s">
        <v>3608</v>
      </c>
      <c r="B1240" t="s">
        <v>3609</v>
      </c>
      <c r="C1240" t="s">
        <v>3610</v>
      </c>
      <c r="D1240" t="s">
        <v>23</v>
      </c>
      <c r="E1240" t="s">
        <v>28</v>
      </c>
      <c r="F1240" t="s">
        <v>41</v>
      </c>
      <c r="G1240" t="s">
        <v>19</v>
      </c>
      <c r="H1240">
        <f>Cleaned_Data!K1240</f>
        <v>17.940000000000001</v>
      </c>
      <c r="I1240" t="str">
        <f t="shared" si="57"/>
        <v>YES</v>
      </c>
      <c r="J1240">
        <f>Cleaned_Data!J1240</f>
        <v>24</v>
      </c>
      <c r="K1240" t="str">
        <f t="shared" si="58"/>
        <v>2024-03</v>
      </c>
      <c r="L1240">
        <f t="shared" si="59"/>
        <v>0</v>
      </c>
    </row>
    <row r="1241" spans="1:12">
      <c r="A1241" t="s">
        <v>3611</v>
      </c>
      <c r="B1241" t="s">
        <v>3612</v>
      </c>
      <c r="C1241" t="s">
        <v>3613</v>
      </c>
      <c r="D1241" t="s">
        <v>23</v>
      </c>
      <c r="E1241" t="s">
        <v>28</v>
      </c>
      <c r="F1241" t="s">
        <v>41</v>
      </c>
      <c r="G1241" t="s">
        <v>19</v>
      </c>
      <c r="H1241">
        <f>Cleaned_Data!K1241</f>
        <v>21.05</v>
      </c>
      <c r="I1241" t="str">
        <f t="shared" si="57"/>
        <v>YES</v>
      </c>
      <c r="J1241">
        <f>Cleaned_Data!J1241</f>
        <v>24</v>
      </c>
      <c r="K1241" t="str">
        <f t="shared" si="58"/>
        <v>2024-05</v>
      </c>
      <c r="L1241">
        <f t="shared" si="59"/>
        <v>0</v>
      </c>
    </row>
    <row r="1242" spans="1:12">
      <c r="A1242" t="s">
        <v>3614</v>
      </c>
      <c r="B1242" t="s">
        <v>3615</v>
      </c>
      <c r="C1242" t="s">
        <v>3616</v>
      </c>
      <c r="D1242" t="s">
        <v>23</v>
      </c>
      <c r="E1242" t="s">
        <v>28</v>
      </c>
      <c r="F1242" t="s">
        <v>60</v>
      </c>
      <c r="G1242" t="s">
        <v>19</v>
      </c>
      <c r="H1242">
        <f>Cleaned_Data!K1242</f>
        <v>3.8</v>
      </c>
      <c r="I1242" t="str">
        <f t="shared" si="57"/>
        <v>YES</v>
      </c>
      <c r="J1242">
        <f>Cleaned_Data!J1242</f>
        <v>24</v>
      </c>
      <c r="K1242" t="str">
        <f t="shared" si="58"/>
        <v>2024-05</v>
      </c>
      <c r="L1242">
        <f t="shared" si="59"/>
        <v>0</v>
      </c>
    </row>
    <row r="1243" spans="1:12">
      <c r="A1243" t="s">
        <v>3617</v>
      </c>
      <c r="B1243" t="s">
        <v>3618</v>
      </c>
      <c r="C1243" t="s">
        <v>3619</v>
      </c>
      <c r="D1243" t="s">
        <v>15</v>
      </c>
      <c r="E1243" t="s">
        <v>16</v>
      </c>
      <c r="F1243" t="s">
        <v>36</v>
      </c>
      <c r="G1243" t="s">
        <v>19</v>
      </c>
      <c r="H1243">
        <f>Cleaned_Data!K1243</f>
        <v>1.55</v>
      </c>
      <c r="I1243" t="str">
        <f t="shared" si="57"/>
        <v>YES</v>
      </c>
      <c r="J1243">
        <f>Cleaned_Data!J1243</f>
        <v>8</v>
      </c>
      <c r="K1243" t="str">
        <f t="shared" si="58"/>
        <v>2024-09</v>
      </c>
      <c r="L1243">
        <f t="shared" si="59"/>
        <v>0</v>
      </c>
    </row>
    <row r="1244" spans="1:12">
      <c r="A1244" t="s">
        <v>3620</v>
      </c>
      <c r="B1244" t="s">
        <v>3621</v>
      </c>
      <c r="C1244" t="s">
        <v>3622</v>
      </c>
      <c r="D1244" t="s">
        <v>15</v>
      </c>
      <c r="E1244" t="s">
        <v>16</v>
      </c>
      <c r="F1244" t="s">
        <v>60</v>
      </c>
      <c r="G1244" t="s">
        <v>19</v>
      </c>
      <c r="H1244">
        <f>Cleaned_Data!K1244</f>
        <v>4.54</v>
      </c>
      <c r="I1244" t="str">
        <f t="shared" si="57"/>
        <v>YES</v>
      </c>
      <c r="J1244">
        <f>Cleaned_Data!J1244</f>
        <v>8</v>
      </c>
      <c r="K1244" t="str">
        <f t="shared" si="58"/>
        <v>2024-06</v>
      </c>
      <c r="L1244">
        <f t="shared" si="59"/>
        <v>0</v>
      </c>
    </row>
    <row r="1245" spans="1:12">
      <c r="A1245" t="s">
        <v>3623</v>
      </c>
      <c r="B1245" t="s">
        <v>3624</v>
      </c>
      <c r="C1245" t="s">
        <v>3625</v>
      </c>
      <c r="D1245" t="s">
        <v>15</v>
      </c>
      <c r="E1245" t="s">
        <v>28</v>
      </c>
      <c r="F1245" t="s">
        <v>60</v>
      </c>
      <c r="G1245" t="s">
        <v>19</v>
      </c>
      <c r="H1245">
        <f>Cleaned_Data!K1245</f>
        <v>1.46</v>
      </c>
      <c r="I1245" t="str">
        <f t="shared" si="57"/>
        <v>YES</v>
      </c>
      <c r="J1245">
        <f>Cleaned_Data!J1245</f>
        <v>8</v>
      </c>
      <c r="K1245" t="str">
        <f t="shared" si="58"/>
        <v>2024-03</v>
      </c>
      <c r="L1245">
        <f t="shared" si="59"/>
        <v>0</v>
      </c>
    </row>
    <row r="1246" spans="1:12">
      <c r="A1246" t="s">
        <v>3626</v>
      </c>
      <c r="B1246" t="s">
        <v>3627</v>
      </c>
      <c r="D1246" t="s">
        <v>35</v>
      </c>
      <c r="E1246" t="s">
        <v>24</v>
      </c>
      <c r="F1246" t="s">
        <v>17</v>
      </c>
      <c r="G1246" t="s">
        <v>63</v>
      </c>
      <c r="H1246">
        <f>Cleaned_Data!K1246</f>
        <v>0</v>
      </c>
      <c r="I1246" t="str">
        <f t="shared" si="57"/>
        <v/>
      </c>
      <c r="J1246">
        <f>Cleaned_Data!J1246</f>
        <v>48</v>
      </c>
      <c r="K1246" t="str">
        <f t="shared" si="58"/>
        <v>2024-10</v>
      </c>
      <c r="L1246">
        <f t="shared" si="59"/>
        <v>0</v>
      </c>
    </row>
    <row r="1247" spans="1:12">
      <c r="A1247" t="s">
        <v>3628</v>
      </c>
      <c r="B1247" t="s">
        <v>3629</v>
      </c>
      <c r="C1247" t="s">
        <v>3630</v>
      </c>
      <c r="D1247" t="s">
        <v>23</v>
      </c>
      <c r="E1247" t="s">
        <v>54</v>
      </c>
      <c r="F1247" t="s">
        <v>36</v>
      </c>
      <c r="G1247" t="s">
        <v>19</v>
      </c>
      <c r="H1247">
        <f>Cleaned_Data!K1247</f>
        <v>52.12</v>
      </c>
      <c r="I1247" t="str">
        <f t="shared" si="57"/>
        <v>NO</v>
      </c>
      <c r="J1247">
        <f>Cleaned_Data!J1247</f>
        <v>24</v>
      </c>
      <c r="K1247" t="str">
        <f t="shared" si="58"/>
        <v>2024-02</v>
      </c>
      <c r="L1247">
        <f t="shared" si="59"/>
        <v>28.119999999999997</v>
      </c>
    </row>
    <row r="1248" spans="1:12">
      <c r="A1248" t="s">
        <v>3631</v>
      </c>
      <c r="B1248" t="s">
        <v>3632</v>
      </c>
      <c r="C1248" t="s">
        <v>3633</v>
      </c>
      <c r="D1248" t="s">
        <v>15</v>
      </c>
      <c r="E1248" t="s">
        <v>28</v>
      </c>
      <c r="F1248" t="s">
        <v>60</v>
      </c>
      <c r="G1248" t="s">
        <v>31</v>
      </c>
      <c r="H1248">
        <f>Cleaned_Data!K1248</f>
        <v>1.49</v>
      </c>
      <c r="I1248" t="str">
        <f t="shared" si="57"/>
        <v>YES</v>
      </c>
      <c r="J1248">
        <f>Cleaned_Data!J1248</f>
        <v>8</v>
      </c>
      <c r="K1248" t="str">
        <f t="shared" si="58"/>
        <v>2024-07</v>
      </c>
      <c r="L1248">
        <f t="shared" si="59"/>
        <v>0</v>
      </c>
    </row>
    <row r="1249" spans="1:12">
      <c r="A1249" t="s">
        <v>3634</v>
      </c>
      <c r="B1249" t="s">
        <v>3635</v>
      </c>
      <c r="D1249" t="s">
        <v>23</v>
      </c>
      <c r="E1249" t="s">
        <v>28</v>
      </c>
      <c r="F1249" t="s">
        <v>17</v>
      </c>
      <c r="G1249" t="s">
        <v>63</v>
      </c>
      <c r="H1249">
        <f>Cleaned_Data!K1249</f>
        <v>0</v>
      </c>
      <c r="I1249" t="str">
        <f t="shared" si="57"/>
        <v/>
      </c>
      <c r="J1249">
        <f>Cleaned_Data!J1249</f>
        <v>24</v>
      </c>
      <c r="K1249" t="str">
        <f t="shared" si="58"/>
        <v>2024-12</v>
      </c>
      <c r="L1249">
        <f t="shared" si="59"/>
        <v>0</v>
      </c>
    </row>
    <row r="1250" spans="1:12">
      <c r="A1250" t="s">
        <v>3636</v>
      </c>
      <c r="B1250" t="s">
        <v>3637</v>
      </c>
      <c r="C1250" t="s">
        <v>3638</v>
      </c>
      <c r="D1250" t="s">
        <v>15</v>
      </c>
      <c r="E1250" t="s">
        <v>59</v>
      </c>
      <c r="F1250" t="s">
        <v>60</v>
      </c>
      <c r="G1250" t="s">
        <v>31</v>
      </c>
      <c r="H1250">
        <f>Cleaned_Data!K1250</f>
        <v>19.13</v>
      </c>
      <c r="I1250" t="str">
        <f t="shared" si="57"/>
        <v>NO</v>
      </c>
      <c r="J1250">
        <f>Cleaned_Data!J1250</f>
        <v>8</v>
      </c>
      <c r="K1250" t="str">
        <f t="shared" si="58"/>
        <v>2024-02</v>
      </c>
      <c r="L1250">
        <f t="shared" si="59"/>
        <v>11.129999999999999</v>
      </c>
    </row>
    <row r="1251" spans="1:12">
      <c r="A1251" t="s">
        <v>3639</v>
      </c>
      <c r="B1251" t="s">
        <v>3640</v>
      </c>
      <c r="D1251" t="s">
        <v>158</v>
      </c>
      <c r="E1251" t="s">
        <v>24</v>
      </c>
      <c r="F1251" t="s">
        <v>41</v>
      </c>
      <c r="G1251" t="s">
        <v>46</v>
      </c>
      <c r="H1251">
        <f>Cleaned_Data!K1251</f>
        <v>0</v>
      </c>
      <c r="I1251" t="str">
        <f t="shared" si="57"/>
        <v/>
      </c>
      <c r="J1251">
        <f>Cleaned_Data!J1251</f>
        <v>4</v>
      </c>
      <c r="K1251" t="str">
        <f t="shared" si="58"/>
        <v>2024-09</v>
      </c>
      <c r="L1251">
        <f t="shared" si="59"/>
        <v>0</v>
      </c>
    </row>
    <row r="1252" spans="1:12">
      <c r="A1252" t="s">
        <v>3641</v>
      </c>
      <c r="B1252" t="s">
        <v>3642</v>
      </c>
      <c r="C1252" t="s">
        <v>3643</v>
      </c>
      <c r="D1252" t="s">
        <v>23</v>
      </c>
      <c r="E1252" t="s">
        <v>28</v>
      </c>
      <c r="F1252" t="s">
        <v>17</v>
      </c>
      <c r="G1252" t="s">
        <v>31</v>
      </c>
      <c r="H1252">
        <f>Cleaned_Data!K1252</f>
        <v>17.91</v>
      </c>
      <c r="I1252" t="str">
        <f t="shared" si="57"/>
        <v>YES</v>
      </c>
      <c r="J1252">
        <f>Cleaned_Data!J1252</f>
        <v>24</v>
      </c>
      <c r="K1252" t="str">
        <f t="shared" si="58"/>
        <v>2024-09</v>
      </c>
      <c r="L1252">
        <f t="shared" si="59"/>
        <v>0</v>
      </c>
    </row>
    <row r="1253" spans="1:12">
      <c r="A1253" t="s">
        <v>3644</v>
      </c>
      <c r="B1253" t="s">
        <v>3645</v>
      </c>
      <c r="C1253" t="s">
        <v>3646</v>
      </c>
      <c r="D1253" t="s">
        <v>35</v>
      </c>
      <c r="E1253" t="s">
        <v>54</v>
      </c>
      <c r="F1253" t="s">
        <v>41</v>
      </c>
      <c r="G1253" t="s">
        <v>19</v>
      </c>
      <c r="H1253">
        <f>Cleaned_Data!K1253</f>
        <v>810</v>
      </c>
      <c r="I1253" t="str">
        <f t="shared" si="57"/>
        <v>NO</v>
      </c>
      <c r="J1253">
        <f>Cleaned_Data!J1253</f>
        <v>48</v>
      </c>
      <c r="K1253" t="str">
        <f t="shared" si="58"/>
        <v>2024-05</v>
      </c>
      <c r="L1253">
        <f t="shared" si="59"/>
        <v>762</v>
      </c>
    </row>
    <row r="1254" spans="1:12">
      <c r="A1254" t="s">
        <v>3647</v>
      </c>
      <c r="B1254" t="s">
        <v>3648</v>
      </c>
      <c r="C1254" t="s">
        <v>3649</v>
      </c>
      <c r="D1254" t="s">
        <v>35</v>
      </c>
      <c r="E1254" t="s">
        <v>28</v>
      </c>
      <c r="F1254" t="s">
        <v>17</v>
      </c>
      <c r="G1254" t="s">
        <v>31</v>
      </c>
      <c r="H1254">
        <f>Cleaned_Data!K1254</f>
        <v>37.6</v>
      </c>
      <c r="I1254" t="str">
        <f t="shared" si="57"/>
        <v>YES</v>
      </c>
      <c r="J1254">
        <f>Cleaned_Data!J1254</f>
        <v>48</v>
      </c>
      <c r="K1254" t="str">
        <f t="shared" si="58"/>
        <v>2024-04</v>
      </c>
      <c r="L1254">
        <f t="shared" si="59"/>
        <v>0</v>
      </c>
    </row>
    <row r="1255" spans="1:12">
      <c r="A1255" t="s">
        <v>3650</v>
      </c>
      <c r="B1255" t="s">
        <v>3651</v>
      </c>
      <c r="C1255" t="s">
        <v>3652</v>
      </c>
      <c r="D1255" t="s">
        <v>23</v>
      </c>
      <c r="E1255" t="s">
        <v>59</v>
      </c>
      <c r="F1255" t="s">
        <v>29</v>
      </c>
      <c r="G1255" t="s">
        <v>19</v>
      </c>
      <c r="H1255">
        <f>Cleaned_Data!K1255</f>
        <v>2.68</v>
      </c>
      <c r="I1255" t="str">
        <f t="shared" si="57"/>
        <v>YES</v>
      </c>
      <c r="J1255">
        <f>Cleaned_Data!J1255</f>
        <v>24</v>
      </c>
      <c r="K1255" t="str">
        <f t="shared" si="58"/>
        <v>2024-07</v>
      </c>
      <c r="L1255">
        <f t="shared" si="59"/>
        <v>0</v>
      </c>
    </row>
    <row r="1256" spans="1:12">
      <c r="A1256" t="s">
        <v>3653</v>
      </c>
      <c r="B1256" t="s">
        <v>3654</v>
      </c>
      <c r="C1256" t="s">
        <v>3655</v>
      </c>
      <c r="D1256" t="s">
        <v>15</v>
      </c>
      <c r="E1256" t="s">
        <v>28</v>
      </c>
      <c r="F1256" t="s">
        <v>60</v>
      </c>
      <c r="G1256" t="s">
        <v>19</v>
      </c>
      <c r="H1256">
        <f>Cleaned_Data!K1256</f>
        <v>5.75</v>
      </c>
      <c r="I1256" t="str">
        <f t="shared" si="57"/>
        <v>YES</v>
      </c>
      <c r="J1256">
        <f>Cleaned_Data!J1256</f>
        <v>8</v>
      </c>
      <c r="K1256" t="str">
        <f t="shared" si="58"/>
        <v>2024-10</v>
      </c>
      <c r="L1256">
        <f t="shared" si="59"/>
        <v>0</v>
      </c>
    </row>
    <row r="1257" spans="1:12">
      <c r="A1257" t="s">
        <v>3656</v>
      </c>
      <c r="B1257" t="s">
        <v>3657</v>
      </c>
      <c r="D1257" t="s">
        <v>35</v>
      </c>
      <c r="E1257" t="s">
        <v>59</v>
      </c>
      <c r="F1257" t="s">
        <v>17</v>
      </c>
      <c r="G1257" t="s">
        <v>63</v>
      </c>
      <c r="H1257">
        <f>Cleaned_Data!K1257</f>
        <v>0</v>
      </c>
      <c r="I1257" t="str">
        <f t="shared" si="57"/>
        <v/>
      </c>
      <c r="J1257">
        <f>Cleaned_Data!J1257</f>
        <v>48</v>
      </c>
      <c r="K1257" t="str">
        <f t="shared" si="58"/>
        <v>2024-06</v>
      </c>
      <c r="L1257">
        <f t="shared" si="59"/>
        <v>0</v>
      </c>
    </row>
    <row r="1258" spans="1:12">
      <c r="A1258" t="s">
        <v>3658</v>
      </c>
      <c r="B1258" t="s">
        <v>3659</v>
      </c>
      <c r="C1258" t="s">
        <v>3660</v>
      </c>
      <c r="D1258" t="s">
        <v>15</v>
      </c>
      <c r="E1258" t="s">
        <v>24</v>
      </c>
      <c r="F1258" t="s">
        <v>41</v>
      </c>
      <c r="G1258" t="s">
        <v>19</v>
      </c>
      <c r="H1258">
        <f>Cleaned_Data!K1258</f>
        <v>5.0599999999999996</v>
      </c>
      <c r="I1258" t="str">
        <f t="shared" si="57"/>
        <v>YES</v>
      </c>
      <c r="J1258">
        <f>Cleaned_Data!J1258</f>
        <v>8</v>
      </c>
      <c r="K1258" t="str">
        <f t="shared" si="58"/>
        <v>2024-05</v>
      </c>
      <c r="L1258">
        <f t="shared" si="59"/>
        <v>0</v>
      </c>
    </row>
    <row r="1259" spans="1:12">
      <c r="A1259" t="s">
        <v>3661</v>
      </c>
      <c r="B1259" t="s">
        <v>3662</v>
      </c>
      <c r="C1259" t="s">
        <v>3663</v>
      </c>
      <c r="D1259" t="s">
        <v>23</v>
      </c>
      <c r="E1259" t="s">
        <v>59</v>
      </c>
      <c r="F1259" t="s">
        <v>60</v>
      </c>
      <c r="G1259" t="s">
        <v>19</v>
      </c>
      <c r="H1259">
        <f>Cleaned_Data!K1259</f>
        <v>20.52</v>
      </c>
      <c r="I1259" t="str">
        <f t="shared" si="57"/>
        <v>YES</v>
      </c>
      <c r="J1259">
        <f>Cleaned_Data!J1259</f>
        <v>24</v>
      </c>
      <c r="K1259" t="str">
        <f t="shared" si="58"/>
        <v>2024-12</v>
      </c>
      <c r="L1259">
        <f t="shared" si="59"/>
        <v>0</v>
      </c>
    </row>
    <row r="1260" spans="1:12">
      <c r="A1260" t="s">
        <v>3664</v>
      </c>
      <c r="B1260" t="s">
        <v>3665</v>
      </c>
      <c r="C1260" t="s">
        <v>3666</v>
      </c>
      <c r="D1260" t="s">
        <v>35</v>
      </c>
      <c r="E1260" t="s">
        <v>28</v>
      </c>
      <c r="F1260" t="s">
        <v>17</v>
      </c>
      <c r="G1260" t="s">
        <v>31</v>
      </c>
      <c r="H1260">
        <f>Cleaned_Data!K1260</f>
        <v>38.83</v>
      </c>
      <c r="I1260" t="str">
        <f t="shared" si="57"/>
        <v>YES</v>
      </c>
      <c r="J1260">
        <f>Cleaned_Data!J1260</f>
        <v>48</v>
      </c>
      <c r="K1260" t="str">
        <f t="shared" si="58"/>
        <v>2024-06</v>
      </c>
      <c r="L1260">
        <f t="shared" si="59"/>
        <v>0</v>
      </c>
    </row>
    <row r="1261" spans="1:12">
      <c r="A1261" t="s">
        <v>3667</v>
      </c>
      <c r="B1261" t="s">
        <v>3668</v>
      </c>
      <c r="C1261" t="s">
        <v>3669</v>
      </c>
      <c r="D1261" t="s">
        <v>23</v>
      </c>
      <c r="E1261" t="s">
        <v>59</v>
      </c>
      <c r="F1261" t="s">
        <v>29</v>
      </c>
      <c r="G1261" t="s">
        <v>19</v>
      </c>
      <c r="H1261">
        <f>Cleaned_Data!K1261</f>
        <v>21.32</v>
      </c>
      <c r="I1261" t="str">
        <f t="shared" si="57"/>
        <v>YES</v>
      </c>
      <c r="J1261">
        <f>Cleaned_Data!J1261</f>
        <v>24</v>
      </c>
      <c r="K1261" t="str">
        <f t="shared" si="58"/>
        <v>2024-11</v>
      </c>
      <c r="L1261">
        <f t="shared" si="59"/>
        <v>0</v>
      </c>
    </row>
    <row r="1262" spans="1:12">
      <c r="A1262" t="s">
        <v>3670</v>
      </c>
      <c r="B1262" t="s">
        <v>3671</v>
      </c>
      <c r="C1262" t="s">
        <v>3672</v>
      </c>
      <c r="D1262" t="s">
        <v>15</v>
      </c>
      <c r="E1262" t="s">
        <v>59</v>
      </c>
      <c r="F1262" t="s">
        <v>60</v>
      </c>
      <c r="G1262" t="s">
        <v>31</v>
      </c>
      <c r="H1262">
        <f>Cleaned_Data!K1262</f>
        <v>2.76</v>
      </c>
      <c r="I1262" t="str">
        <f t="shared" si="57"/>
        <v>YES</v>
      </c>
      <c r="J1262">
        <f>Cleaned_Data!J1262</f>
        <v>8</v>
      </c>
      <c r="K1262" t="str">
        <f t="shared" si="58"/>
        <v>2024-09</v>
      </c>
      <c r="L1262">
        <f t="shared" si="59"/>
        <v>0</v>
      </c>
    </row>
    <row r="1263" spans="1:12">
      <c r="A1263" t="s">
        <v>3673</v>
      </c>
      <c r="B1263" t="s">
        <v>3674</v>
      </c>
      <c r="C1263" t="s">
        <v>3675</v>
      </c>
      <c r="D1263" t="s">
        <v>23</v>
      </c>
      <c r="E1263" t="s">
        <v>59</v>
      </c>
      <c r="F1263" t="s">
        <v>60</v>
      </c>
      <c r="G1263" t="s">
        <v>19</v>
      </c>
      <c r="H1263">
        <f>Cleaned_Data!K1263</f>
        <v>11.18</v>
      </c>
      <c r="I1263" t="str">
        <f t="shared" si="57"/>
        <v>YES</v>
      </c>
      <c r="J1263">
        <f>Cleaned_Data!J1263</f>
        <v>24</v>
      </c>
      <c r="K1263" t="str">
        <f t="shared" si="58"/>
        <v>2024-01</v>
      </c>
      <c r="L1263">
        <f t="shared" si="59"/>
        <v>0</v>
      </c>
    </row>
    <row r="1264" spans="1:12">
      <c r="A1264" t="s">
        <v>3676</v>
      </c>
      <c r="B1264" t="s">
        <v>3677</v>
      </c>
      <c r="C1264" t="s">
        <v>3678</v>
      </c>
      <c r="D1264" t="s">
        <v>158</v>
      </c>
      <c r="E1264" t="s">
        <v>24</v>
      </c>
      <c r="F1264" t="s">
        <v>29</v>
      </c>
      <c r="G1264" t="s">
        <v>31</v>
      </c>
      <c r="H1264">
        <f>Cleaned_Data!K1264</f>
        <v>0.93</v>
      </c>
      <c r="I1264" t="str">
        <f t="shared" si="57"/>
        <v>YES</v>
      </c>
      <c r="J1264">
        <f>Cleaned_Data!J1264</f>
        <v>4</v>
      </c>
      <c r="K1264" t="str">
        <f t="shared" si="58"/>
        <v>2024-01</v>
      </c>
      <c r="L1264">
        <f t="shared" si="59"/>
        <v>0</v>
      </c>
    </row>
    <row r="1265" spans="1:12">
      <c r="A1265" t="s">
        <v>3679</v>
      </c>
      <c r="B1265" t="s">
        <v>3680</v>
      </c>
      <c r="D1265" t="s">
        <v>15</v>
      </c>
      <c r="E1265" t="s">
        <v>16</v>
      </c>
      <c r="F1265" t="s">
        <v>41</v>
      </c>
      <c r="G1265" t="s">
        <v>63</v>
      </c>
      <c r="H1265">
        <f>Cleaned_Data!K1265</f>
        <v>0</v>
      </c>
      <c r="I1265" t="str">
        <f t="shared" si="57"/>
        <v/>
      </c>
      <c r="J1265">
        <f>Cleaned_Data!J1265</f>
        <v>8</v>
      </c>
      <c r="K1265" t="str">
        <f t="shared" si="58"/>
        <v>2024-04</v>
      </c>
      <c r="L1265">
        <f t="shared" si="59"/>
        <v>0</v>
      </c>
    </row>
    <row r="1266" spans="1:12">
      <c r="A1266" t="s">
        <v>3681</v>
      </c>
      <c r="B1266" t="s">
        <v>3682</v>
      </c>
      <c r="C1266" t="s">
        <v>3683</v>
      </c>
      <c r="D1266" t="s">
        <v>15</v>
      </c>
      <c r="E1266" t="s">
        <v>28</v>
      </c>
      <c r="F1266" t="s">
        <v>29</v>
      </c>
      <c r="G1266" t="s">
        <v>31</v>
      </c>
      <c r="H1266">
        <f>Cleaned_Data!K1266</f>
        <v>3.67</v>
      </c>
      <c r="I1266" t="str">
        <f t="shared" si="57"/>
        <v>YES</v>
      </c>
      <c r="J1266">
        <f>Cleaned_Data!J1266</f>
        <v>8</v>
      </c>
      <c r="K1266" t="str">
        <f t="shared" si="58"/>
        <v>2024-04</v>
      </c>
      <c r="L1266">
        <f t="shared" si="59"/>
        <v>0</v>
      </c>
    </row>
    <row r="1267" spans="1:12">
      <c r="A1267" t="s">
        <v>3684</v>
      </c>
      <c r="B1267" t="s">
        <v>3685</v>
      </c>
      <c r="C1267" t="s">
        <v>3686</v>
      </c>
      <c r="D1267" t="s">
        <v>35</v>
      </c>
      <c r="E1267" t="s">
        <v>59</v>
      </c>
      <c r="F1267" t="s">
        <v>60</v>
      </c>
      <c r="G1267" t="s">
        <v>19</v>
      </c>
      <c r="H1267">
        <f>Cleaned_Data!K1267</f>
        <v>40.54</v>
      </c>
      <c r="I1267" t="str">
        <f t="shared" si="57"/>
        <v>YES</v>
      </c>
      <c r="J1267">
        <f>Cleaned_Data!J1267</f>
        <v>48</v>
      </c>
      <c r="K1267" t="str">
        <f t="shared" si="58"/>
        <v>2024-02</v>
      </c>
      <c r="L1267">
        <f t="shared" si="59"/>
        <v>0</v>
      </c>
    </row>
    <row r="1268" spans="1:12">
      <c r="A1268" t="s">
        <v>3687</v>
      </c>
      <c r="B1268" t="s">
        <v>3688</v>
      </c>
      <c r="C1268" t="s">
        <v>3689</v>
      </c>
      <c r="D1268" t="s">
        <v>23</v>
      </c>
      <c r="E1268" t="s">
        <v>24</v>
      </c>
      <c r="F1268" t="s">
        <v>17</v>
      </c>
      <c r="G1268" t="s">
        <v>31</v>
      </c>
      <c r="H1268">
        <f>Cleaned_Data!K1268</f>
        <v>4.1500000000000004</v>
      </c>
      <c r="I1268" t="str">
        <f t="shared" si="57"/>
        <v>YES</v>
      </c>
      <c r="J1268">
        <f>Cleaned_Data!J1268</f>
        <v>24</v>
      </c>
      <c r="K1268" t="str">
        <f t="shared" si="58"/>
        <v>2024-02</v>
      </c>
      <c r="L1268">
        <f t="shared" si="59"/>
        <v>0</v>
      </c>
    </row>
    <row r="1269" spans="1:12">
      <c r="A1269" t="s">
        <v>3690</v>
      </c>
      <c r="B1269" t="s">
        <v>3691</v>
      </c>
      <c r="C1269" t="s">
        <v>3692</v>
      </c>
      <c r="D1269" t="s">
        <v>23</v>
      </c>
      <c r="E1269" t="s">
        <v>24</v>
      </c>
      <c r="F1269" t="s">
        <v>41</v>
      </c>
      <c r="G1269" t="s">
        <v>19</v>
      </c>
      <c r="H1269">
        <f>Cleaned_Data!K1269</f>
        <v>8.7899999999999991</v>
      </c>
      <c r="I1269" t="str">
        <f t="shared" si="57"/>
        <v>YES</v>
      </c>
      <c r="J1269">
        <f>Cleaned_Data!J1269</f>
        <v>24</v>
      </c>
      <c r="K1269" t="str">
        <f t="shared" si="58"/>
        <v>2024-09</v>
      </c>
      <c r="L1269">
        <f t="shared" si="59"/>
        <v>0</v>
      </c>
    </row>
    <row r="1270" spans="1:12">
      <c r="A1270" t="s">
        <v>3693</v>
      </c>
      <c r="B1270" t="s">
        <v>3694</v>
      </c>
      <c r="D1270" t="s">
        <v>23</v>
      </c>
      <c r="E1270" t="s">
        <v>28</v>
      </c>
      <c r="F1270" t="s">
        <v>41</v>
      </c>
      <c r="G1270" t="s">
        <v>46</v>
      </c>
      <c r="H1270">
        <f>Cleaned_Data!K1270</f>
        <v>0</v>
      </c>
      <c r="I1270" t="str">
        <f t="shared" si="57"/>
        <v/>
      </c>
      <c r="J1270">
        <f>Cleaned_Data!J1270</f>
        <v>24</v>
      </c>
      <c r="K1270" t="str">
        <f t="shared" si="58"/>
        <v>2024-10</v>
      </c>
      <c r="L1270">
        <f t="shared" si="59"/>
        <v>0</v>
      </c>
    </row>
    <row r="1271" spans="1:12">
      <c r="A1271" t="s">
        <v>3695</v>
      </c>
      <c r="B1271" t="s">
        <v>3696</v>
      </c>
      <c r="C1271" t="s">
        <v>3697</v>
      </c>
      <c r="D1271" t="s">
        <v>158</v>
      </c>
      <c r="E1271" t="s">
        <v>54</v>
      </c>
      <c r="F1271" t="s">
        <v>41</v>
      </c>
      <c r="G1271" t="s">
        <v>31</v>
      </c>
      <c r="H1271">
        <f>Cleaned_Data!K1271</f>
        <v>1.43</v>
      </c>
      <c r="I1271" t="str">
        <f t="shared" si="57"/>
        <v>YES</v>
      </c>
      <c r="J1271">
        <f>Cleaned_Data!J1271</f>
        <v>4</v>
      </c>
      <c r="K1271" t="str">
        <f t="shared" si="58"/>
        <v>2024-06</v>
      </c>
      <c r="L1271">
        <f t="shared" si="59"/>
        <v>0</v>
      </c>
    </row>
    <row r="1272" spans="1:12">
      <c r="A1272" t="s">
        <v>3698</v>
      </c>
      <c r="B1272" t="s">
        <v>3699</v>
      </c>
      <c r="C1272" t="s">
        <v>3700</v>
      </c>
      <c r="D1272" t="s">
        <v>23</v>
      </c>
      <c r="E1272" t="s">
        <v>54</v>
      </c>
      <c r="F1272" t="s">
        <v>60</v>
      </c>
      <c r="G1272" t="s">
        <v>19</v>
      </c>
      <c r="H1272">
        <f>Cleaned_Data!K1272</f>
        <v>31.09</v>
      </c>
      <c r="I1272" t="str">
        <f t="shared" si="57"/>
        <v>NO</v>
      </c>
      <c r="J1272">
        <f>Cleaned_Data!J1272</f>
        <v>24</v>
      </c>
      <c r="K1272" t="str">
        <f t="shared" si="58"/>
        <v>2024-07</v>
      </c>
      <c r="L1272">
        <f t="shared" si="59"/>
        <v>7.09</v>
      </c>
    </row>
    <row r="1273" spans="1:12">
      <c r="A1273" t="s">
        <v>3701</v>
      </c>
      <c r="B1273" t="s">
        <v>3702</v>
      </c>
      <c r="C1273" t="s">
        <v>3703</v>
      </c>
      <c r="D1273" t="s">
        <v>35</v>
      </c>
      <c r="E1273" t="s">
        <v>16</v>
      </c>
      <c r="F1273" t="s">
        <v>41</v>
      </c>
      <c r="G1273" t="s">
        <v>19</v>
      </c>
      <c r="H1273">
        <f>Cleaned_Data!K1273</f>
        <v>45.04</v>
      </c>
      <c r="I1273" t="str">
        <f t="shared" si="57"/>
        <v>YES</v>
      </c>
      <c r="J1273">
        <f>Cleaned_Data!J1273</f>
        <v>48</v>
      </c>
      <c r="K1273" t="str">
        <f t="shared" si="58"/>
        <v>2024-06</v>
      </c>
      <c r="L1273">
        <f t="shared" si="59"/>
        <v>0</v>
      </c>
    </row>
    <row r="1274" spans="1:12">
      <c r="A1274" t="s">
        <v>3704</v>
      </c>
      <c r="B1274" t="s">
        <v>3705</v>
      </c>
      <c r="C1274" t="s">
        <v>3706</v>
      </c>
      <c r="D1274" t="s">
        <v>158</v>
      </c>
      <c r="E1274" t="s">
        <v>28</v>
      </c>
      <c r="F1274" t="s">
        <v>41</v>
      </c>
      <c r="G1274" t="s">
        <v>19</v>
      </c>
      <c r="H1274">
        <f>Cleaned_Data!K1274</f>
        <v>2.92</v>
      </c>
      <c r="I1274" t="str">
        <f t="shared" si="57"/>
        <v>YES</v>
      </c>
      <c r="J1274">
        <f>Cleaned_Data!J1274</f>
        <v>4</v>
      </c>
      <c r="K1274" t="str">
        <f t="shared" si="58"/>
        <v>2024-08</v>
      </c>
      <c r="L1274">
        <f t="shared" si="59"/>
        <v>0</v>
      </c>
    </row>
    <row r="1275" spans="1:12">
      <c r="A1275" t="s">
        <v>3707</v>
      </c>
      <c r="B1275" t="s">
        <v>3708</v>
      </c>
      <c r="C1275" t="s">
        <v>3709</v>
      </c>
      <c r="D1275" t="s">
        <v>23</v>
      </c>
      <c r="E1275" t="s">
        <v>16</v>
      </c>
      <c r="F1275" t="s">
        <v>60</v>
      </c>
      <c r="G1275" t="s">
        <v>31</v>
      </c>
      <c r="H1275">
        <f>Cleaned_Data!K1275</f>
        <v>31.58</v>
      </c>
      <c r="I1275" t="str">
        <f t="shared" si="57"/>
        <v>NO</v>
      </c>
      <c r="J1275">
        <f>Cleaned_Data!J1275</f>
        <v>24</v>
      </c>
      <c r="K1275" t="str">
        <f t="shared" si="58"/>
        <v>2024-10</v>
      </c>
      <c r="L1275">
        <f t="shared" si="59"/>
        <v>7.5799999999999983</v>
      </c>
    </row>
    <row r="1276" spans="1:12">
      <c r="A1276" t="s">
        <v>3710</v>
      </c>
      <c r="B1276" t="s">
        <v>3711</v>
      </c>
      <c r="D1276" t="s">
        <v>35</v>
      </c>
      <c r="E1276" t="s">
        <v>28</v>
      </c>
      <c r="F1276" t="s">
        <v>29</v>
      </c>
      <c r="G1276" t="s">
        <v>46</v>
      </c>
      <c r="H1276">
        <f>Cleaned_Data!K1276</f>
        <v>0</v>
      </c>
      <c r="I1276" t="str">
        <f t="shared" si="57"/>
        <v/>
      </c>
      <c r="J1276">
        <f>Cleaned_Data!J1276</f>
        <v>48</v>
      </c>
      <c r="K1276" t="str">
        <f t="shared" si="58"/>
        <v>2024-09</v>
      </c>
      <c r="L1276">
        <f t="shared" si="59"/>
        <v>0</v>
      </c>
    </row>
    <row r="1277" spans="1:12">
      <c r="A1277" t="s">
        <v>3712</v>
      </c>
      <c r="B1277" t="s">
        <v>3713</v>
      </c>
      <c r="C1277" t="s">
        <v>3714</v>
      </c>
      <c r="D1277" t="s">
        <v>35</v>
      </c>
      <c r="E1277" t="s">
        <v>54</v>
      </c>
      <c r="F1277" t="s">
        <v>17</v>
      </c>
      <c r="G1277" t="s">
        <v>19</v>
      </c>
      <c r="H1277">
        <f>Cleaned_Data!K1277</f>
        <v>40.700000000000003</v>
      </c>
      <c r="I1277" t="str">
        <f t="shared" si="57"/>
        <v>YES</v>
      </c>
      <c r="J1277">
        <f>Cleaned_Data!J1277</f>
        <v>48</v>
      </c>
      <c r="K1277" t="str">
        <f t="shared" si="58"/>
        <v>2024-01</v>
      </c>
      <c r="L1277">
        <f t="shared" si="59"/>
        <v>0</v>
      </c>
    </row>
    <row r="1278" spans="1:12">
      <c r="A1278" t="s">
        <v>3715</v>
      </c>
      <c r="B1278" t="s">
        <v>3716</v>
      </c>
      <c r="C1278" t="s">
        <v>3717</v>
      </c>
      <c r="D1278" t="s">
        <v>15</v>
      </c>
      <c r="E1278" t="s">
        <v>28</v>
      </c>
      <c r="F1278" t="s">
        <v>60</v>
      </c>
      <c r="G1278" t="s">
        <v>19</v>
      </c>
      <c r="H1278">
        <f>Cleaned_Data!K1278</f>
        <v>13.08</v>
      </c>
      <c r="I1278" t="str">
        <f t="shared" si="57"/>
        <v>NO</v>
      </c>
      <c r="J1278">
        <f>Cleaned_Data!J1278</f>
        <v>8</v>
      </c>
      <c r="K1278" t="str">
        <f t="shared" si="58"/>
        <v>2024-04</v>
      </c>
      <c r="L1278">
        <f t="shared" si="59"/>
        <v>5.08</v>
      </c>
    </row>
    <row r="1279" spans="1:12">
      <c r="A1279" t="s">
        <v>3718</v>
      </c>
      <c r="B1279" t="s">
        <v>3719</v>
      </c>
      <c r="C1279" t="s">
        <v>3720</v>
      </c>
      <c r="D1279" t="s">
        <v>35</v>
      </c>
      <c r="E1279" t="s">
        <v>16</v>
      </c>
      <c r="F1279" t="s">
        <v>60</v>
      </c>
      <c r="G1279" t="s">
        <v>31</v>
      </c>
      <c r="H1279">
        <f>Cleaned_Data!K1279</f>
        <v>39.86</v>
      </c>
      <c r="I1279" t="str">
        <f t="shared" si="57"/>
        <v>YES</v>
      </c>
      <c r="J1279">
        <f>Cleaned_Data!J1279</f>
        <v>48</v>
      </c>
      <c r="K1279" t="str">
        <f t="shared" si="58"/>
        <v>2024-03</v>
      </c>
      <c r="L1279">
        <f t="shared" si="59"/>
        <v>0</v>
      </c>
    </row>
    <row r="1280" spans="1:12">
      <c r="A1280" t="s">
        <v>3721</v>
      </c>
      <c r="B1280" t="s">
        <v>3722</v>
      </c>
      <c r="C1280" t="s">
        <v>3723</v>
      </c>
      <c r="D1280" t="s">
        <v>15</v>
      </c>
      <c r="E1280" t="s">
        <v>24</v>
      </c>
      <c r="F1280" t="s">
        <v>17</v>
      </c>
      <c r="G1280" t="s">
        <v>31</v>
      </c>
      <c r="H1280">
        <f>Cleaned_Data!K1280</f>
        <v>5.84</v>
      </c>
      <c r="I1280" t="str">
        <f t="shared" si="57"/>
        <v>YES</v>
      </c>
      <c r="J1280">
        <f>Cleaned_Data!J1280</f>
        <v>8</v>
      </c>
      <c r="K1280" t="str">
        <f t="shared" si="58"/>
        <v>2024-06</v>
      </c>
      <c r="L1280">
        <f t="shared" si="59"/>
        <v>0</v>
      </c>
    </row>
    <row r="1281" spans="1:12">
      <c r="A1281" t="s">
        <v>3724</v>
      </c>
      <c r="B1281" t="s">
        <v>3725</v>
      </c>
      <c r="C1281" t="s">
        <v>3726</v>
      </c>
      <c r="D1281" t="s">
        <v>23</v>
      </c>
      <c r="E1281" t="s">
        <v>28</v>
      </c>
      <c r="F1281" t="s">
        <v>36</v>
      </c>
      <c r="G1281" t="s">
        <v>19</v>
      </c>
      <c r="H1281">
        <f>Cleaned_Data!K1281</f>
        <v>10.38</v>
      </c>
      <c r="I1281" t="str">
        <f t="shared" si="57"/>
        <v>YES</v>
      </c>
      <c r="J1281">
        <f>Cleaned_Data!J1281</f>
        <v>24</v>
      </c>
      <c r="K1281" t="str">
        <f t="shared" si="58"/>
        <v>2024-07</v>
      </c>
      <c r="L1281">
        <f t="shared" si="59"/>
        <v>0</v>
      </c>
    </row>
    <row r="1282" spans="1:12">
      <c r="A1282" t="s">
        <v>3727</v>
      </c>
      <c r="B1282" t="s">
        <v>3728</v>
      </c>
      <c r="C1282" t="s">
        <v>3729</v>
      </c>
      <c r="D1282" t="s">
        <v>23</v>
      </c>
      <c r="E1282" t="s">
        <v>16</v>
      </c>
      <c r="F1282" t="s">
        <v>17</v>
      </c>
      <c r="G1282" t="s">
        <v>19</v>
      </c>
      <c r="H1282">
        <f>Cleaned_Data!K1282</f>
        <v>10.34</v>
      </c>
      <c r="I1282" t="str">
        <f t="shared" ref="I1282:I1345" si="60">IF(OR(G1282="Resolved", G1282="Closed"), IF(AND(H1282&lt;&gt;"", H1282&lt;=J1282), "YES", "NO"), "")</f>
        <v>YES</v>
      </c>
      <c r="J1282">
        <f>Cleaned_Data!J1282</f>
        <v>24</v>
      </c>
      <c r="K1282" t="str">
        <f t="shared" ref="K1282:K1345" si="61">LEFT(B1282, 7)</f>
        <v>2024-02</v>
      </c>
      <c r="L1282">
        <f t="shared" ref="L1282:L1345" si="62">IF(I1282="NO", H1282-J1282, 0)</f>
        <v>0</v>
      </c>
    </row>
    <row r="1283" spans="1:12">
      <c r="A1283" t="s">
        <v>3730</v>
      </c>
      <c r="B1283" t="s">
        <v>3731</v>
      </c>
      <c r="C1283" t="s">
        <v>3732</v>
      </c>
      <c r="D1283" t="s">
        <v>23</v>
      </c>
      <c r="E1283" t="s">
        <v>16</v>
      </c>
      <c r="F1283" t="s">
        <v>60</v>
      </c>
      <c r="G1283" t="s">
        <v>19</v>
      </c>
      <c r="H1283">
        <f>Cleaned_Data!K1283</f>
        <v>70.260000000000005</v>
      </c>
      <c r="I1283" t="str">
        <f t="shared" si="60"/>
        <v>NO</v>
      </c>
      <c r="J1283">
        <f>Cleaned_Data!J1283</f>
        <v>24</v>
      </c>
      <c r="K1283" t="str">
        <f t="shared" si="61"/>
        <v>2024-01</v>
      </c>
      <c r="L1283">
        <f t="shared" si="62"/>
        <v>46.260000000000005</v>
      </c>
    </row>
    <row r="1284" spans="1:12">
      <c r="A1284" t="s">
        <v>3733</v>
      </c>
      <c r="B1284" t="s">
        <v>3734</v>
      </c>
      <c r="C1284" t="s">
        <v>3735</v>
      </c>
      <c r="D1284" t="s">
        <v>23</v>
      </c>
      <c r="E1284" t="s">
        <v>24</v>
      </c>
      <c r="F1284" t="s">
        <v>17</v>
      </c>
      <c r="G1284" t="s">
        <v>19</v>
      </c>
      <c r="H1284">
        <f>Cleaned_Data!K1284</f>
        <v>35.06</v>
      </c>
      <c r="I1284" t="str">
        <f t="shared" si="60"/>
        <v>NO</v>
      </c>
      <c r="J1284">
        <f>Cleaned_Data!J1284</f>
        <v>24</v>
      </c>
      <c r="K1284" t="str">
        <f t="shared" si="61"/>
        <v>2024-10</v>
      </c>
      <c r="L1284">
        <f t="shared" si="62"/>
        <v>11.060000000000002</v>
      </c>
    </row>
    <row r="1285" spans="1:12">
      <c r="A1285" t="s">
        <v>3736</v>
      </c>
      <c r="B1285" t="s">
        <v>3737</v>
      </c>
      <c r="C1285" t="s">
        <v>3738</v>
      </c>
      <c r="D1285" t="s">
        <v>23</v>
      </c>
      <c r="E1285" t="s">
        <v>24</v>
      </c>
      <c r="F1285" t="s">
        <v>17</v>
      </c>
      <c r="G1285" t="s">
        <v>31</v>
      </c>
      <c r="H1285">
        <f>Cleaned_Data!K1285</f>
        <v>11.77</v>
      </c>
      <c r="I1285" t="str">
        <f t="shared" si="60"/>
        <v>YES</v>
      </c>
      <c r="J1285">
        <f>Cleaned_Data!J1285</f>
        <v>24</v>
      </c>
      <c r="K1285" t="str">
        <f t="shared" si="61"/>
        <v>2024-07</v>
      </c>
      <c r="L1285">
        <f t="shared" si="62"/>
        <v>0</v>
      </c>
    </row>
    <row r="1286" spans="1:12">
      <c r="A1286" t="s">
        <v>3739</v>
      </c>
      <c r="B1286" t="s">
        <v>3740</v>
      </c>
      <c r="C1286" t="s">
        <v>3741</v>
      </c>
      <c r="D1286" t="s">
        <v>15</v>
      </c>
      <c r="E1286" t="s">
        <v>16</v>
      </c>
      <c r="F1286" t="s">
        <v>29</v>
      </c>
      <c r="G1286" t="s">
        <v>19</v>
      </c>
      <c r="H1286">
        <f>Cleaned_Data!K1286</f>
        <v>15.95</v>
      </c>
      <c r="I1286" t="str">
        <f t="shared" si="60"/>
        <v>NO</v>
      </c>
      <c r="J1286">
        <f>Cleaned_Data!J1286</f>
        <v>8</v>
      </c>
      <c r="K1286" t="str">
        <f t="shared" si="61"/>
        <v>2024-02</v>
      </c>
      <c r="L1286">
        <f t="shared" si="62"/>
        <v>7.9499999999999993</v>
      </c>
    </row>
    <row r="1287" spans="1:12">
      <c r="A1287" t="s">
        <v>3742</v>
      </c>
      <c r="B1287" t="s">
        <v>3743</v>
      </c>
      <c r="C1287" t="s">
        <v>3744</v>
      </c>
      <c r="D1287" t="s">
        <v>23</v>
      </c>
      <c r="E1287" t="s">
        <v>54</v>
      </c>
      <c r="F1287" t="s">
        <v>60</v>
      </c>
      <c r="G1287" t="s">
        <v>19</v>
      </c>
      <c r="H1287">
        <f>Cleaned_Data!K1287</f>
        <v>9.01</v>
      </c>
      <c r="I1287" t="str">
        <f t="shared" si="60"/>
        <v>YES</v>
      </c>
      <c r="J1287">
        <f>Cleaned_Data!J1287</f>
        <v>24</v>
      </c>
      <c r="K1287" t="str">
        <f t="shared" si="61"/>
        <v>2024-08</v>
      </c>
      <c r="L1287">
        <f t="shared" si="62"/>
        <v>0</v>
      </c>
    </row>
    <row r="1288" spans="1:12">
      <c r="A1288" t="s">
        <v>3745</v>
      </c>
      <c r="B1288" t="s">
        <v>3746</v>
      </c>
      <c r="C1288" t="s">
        <v>3747</v>
      </c>
      <c r="D1288" t="s">
        <v>23</v>
      </c>
      <c r="E1288" t="s">
        <v>16</v>
      </c>
      <c r="F1288" t="s">
        <v>36</v>
      </c>
      <c r="G1288" t="s">
        <v>19</v>
      </c>
      <c r="H1288">
        <f>Cleaned_Data!K1288</f>
        <v>7.13</v>
      </c>
      <c r="I1288" t="str">
        <f t="shared" si="60"/>
        <v>YES</v>
      </c>
      <c r="J1288">
        <f>Cleaned_Data!J1288</f>
        <v>24</v>
      </c>
      <c r="K1288" t="str">
        <f t="shared" si="61"/>
        <v>2024-05</v>
      </c>
      <c r="L1288">
        <f t="shared" si="62"/>
        <v>0</v>
      </c>
    </row>
    <row r="1289" spans="1:12">
      <c r="A1289" t="s">
        <v>3748</v>
      </c>
      <c r="B1289" t="s">
        <v>3749</v>
      </c>
      <c r="C1289" t="s">
        <v>3750</v>
      </c>
      <c r="D1289" t="s">
        <v>35</v>
      </c>
      <c r="E1289" t="s">
        <v>28</v>
      </c>
      <c r="F1289" t="s">
        <v>17</v>
      </c>
      <c r="G1289" t="s">
        <v>31</v>
      </c>
      <c r="H1289">
        <f>Cleaned_Data!K1289</f>
        <v>40.729999999999997</v>
      </c>
      <c r="I1289" t="str">
        <f t="shared" si="60"/>
        <v>YES</v>
      </c>
      <c r="J1289">
        <f>Cleaned_Data!J1289</f>
        <v>48</v>
      </c>
      <c r="K1289" t="str">
        <f t="shared" si="61"/>
        <v>2024-07</v>
      </c>
      <c r="L1289">
        <f t="shared" si="62"/>
        <v>0</v>
      </c>
    </row>
    <row r="1290" spans="1:12">
      <c r="A1290" t="s">
        <v>3751</v>
      </c>
      <c r="B1290" t="s">
        <v>3752</v>
      </c>
      <c r="C1290" t="s">
        <v>3753</v>
      </c>
      <c r="D1290" t="s">
        <v>23</v>
      </c>
      <c r="E1290" t="s">
        <v>28</v>
      </c>
      <c r="F1290" t="s">
        <v>36</v>
      </c>
      <c r="G1290" t="s">
        <v>31</v>
      </c>
      <c r="H1290">
        <f>Cleaned_Data!K1290</f>
        <v>19.670000000000002</v>
      </c>
      <c r="I1290" t="str">
        <f t="shared" si="60"/>
        <v>YES</v>
      </c>
      <c r="J1290">
        <f>Cleaned_Data!J1290</f>
        <v>24</v>
      </c>
      <c r="K1290" t="str">
        <f t="shared" si="61"/>
        <v>2024-05</v>
      </c>
      <c r="L1290">
        <f t="shared" si="62"/>
        <v>0</v>
      </c>
    </row>
    <row r="1291" spans="1:12">
      <c r="A1291" t="s">
        <v>3754</v>
      </c>
      <c r="B1291" t="s">
        <v>3755</v>
      </c>
      <c r="C1291" t="s">
        <v>3756</v>
      </c>
      <c r="D1291" t="s">
        <v>23</v>
      </c>
      <c r="E1291" t="s">
        <v>54</v>
      </c>
      <c r="F1291" t="s">
        <v>36</v>
      </c>
      <c r="G1291" t="s">
        <v>19</v>
      </c>
      <c r="H1291">
        <f>Cleaned_Data!K1291</f>
        <v>10.1</v>
      </c>
      <c r="I1291" t="str">
        <f t="shared" si="60"/>
        <v>YES</v>
      </c>
      <c r="J1291">
        <f>Cleaned_Data!J1291</f>
        <v>24</v>
      </c>
      <c r="K1291" t="str">
        <f t="shared" si="61"/>
        <v>2024-10</v>
      </c>
      <c r="L1291">
        <f t="shared" si="62"/>
        <v>0</v>
      </c>
    </row>
    <row r="1292" spans="1:12">
      <c r="A1292" t="s">
        <v>3757</v>
      </c>
      <c r="B1292" t="s">
        <v>3758</v>
      </c>
      <c r="C1292" t="s">
        <v>3759</v>
      </c>
      <c r="D1292" t="s">
        <v>23</v>
      </c>
      <c r="E1292" t="s">
        <v>24</v>
      </c>
      <c r="F1292" t="s">
        <v>41</v>
      </c>
      <c r="G1292" t="s">
        <v>31</v>
      </c>
      <c r="H1292">
        <f>Cleaned_Data!K1292</f>
        <v>17.54</v>
      </c>
      <c r="I1292" t="str">
        <f t="shared" si="60"/>
        <v>YES</v>
      </c>
      <c r="J1292">
        <f>Cleaned_Data!J1292</f>
        <v>24</v>
      </c>
      <c r="K1292" t="str">
        <f t="shared" si="61"/>
        <v>2024-08</v>
      </c>
      <c r="L1292">
        <f t="shared" si="62"/>
        <v>0</v>
      </c>
    </row>
    <row r="1293" spans="1:12">
      <c r="A1293" t="s">
        <v>3760</v>
      </c>
      <c r="B1293" t="s">
        <v>3761</v>
      </c>
      <c r="C1293" t="s">
        <v>3762</v>
      </c>
      <c r="D1293" t="s">
        <v>35</v>
      </c>
      <c r="E1293" t="s">
        <v>24</v>
      </c>
      <c r="F1293" t="s">
        <v>60</v>
      </c>
      <c r="G1293" t="s">
        <v>31</v>
      </c>
      <c r="H1293">
        <f>Cleaned_Data!K1293</f>
        <v>13.1</v>
      </c>
      <c r="I1293" t="str">
        <f t="shared" si="60"/>
        <v>YES</v>
      </c>
      <c r="J1293">
        <f>Cleaned_Data!J1293</f>
        <v>48</v>
      </c>
      <c r="K1293" t="str">
        <f t="shared" si="61"/>
        <v>2024-07</v>
      </c>
      <c r="L1293">
        <f t="shared" si="62"/>
        <v>0</v>
      </c>
    </row>
    <row r="1294" spans="1:12">
      <c r="A1294" t="s">
        <v>3763</v>
      </c>
      <c r="B1294" t="s">
        <v>3764</v>
      </c>
      <c r="C1294" t="s">
        <v>3765</v>
      </c>
      <c r="D1294" t="s">
        <v>158</v>
      </c>
      <c r="E1294" t="s">
        <v>16</v>
      </c>
      <c r="F1294" t="s">
        <v>60</v>
      </c>
      <c r="G1294" t="s">
        <v>31</v>
      </c>
      <c r="H1294">
        <f>Cleaned_Data!K1294</f>
        <v>2.72</v>
      </c>
      <c r="I1294" t="str">
        <f t="shared" si="60"/>
        <v>YES</v>
      </c>
      <c r="J1294">
        <f>Cleaned_Data!J1294</f>
        <v>4</v>
      </c>
      <c r="K1294" t="str">
        <f t="shared" si="61"/>
        <v>2024-12</v>
      </c>
      <c r="L1294">
        <f t="shared" si="62"/>
        <v>0</v>
      </c>
    </row>
    <row r="1295" spans="1:12">
      <c r="A1295" t="s">
        <v>3766</v>
      </c>
      <c r="B1295" t="s">
        <v>3767</v>
      </c>
      <c r="C1295" t="s">
        <v>3768</v>
      </c>
      <c r="D1295" t="s">
        <v>23</v>
      </c>
      <c r="E1295" t="s">
        <v>16</v>
      </c>
      <c r="F1295" t="s">
        <v>17</v>
      </c>
      <c r="G1295" t="s">
        <v>31</v>
      </c>
      <c r="H1295">
        <f>Cleaned_Data!K1295</f>
        <v>9.67</v>
      </c>
      <c r="I1295" t="str">
        <f t="shared" si="60"/>
        <v>YES</v>
      </c>
      <c r="J1295">
        <f>Cleaned_Data!J1295</f>
        <v>24</v>
      </c>
      <c r="K1295" t="str">
        <f t="shared" si="61"/>
        <v>2024-10</v>
      </c>
      <c r="L1295">
        <f t="shared" si="62"/>
        <v>0</v>
      </c>
    </row>
    <row r="1296" spans="1:12">
      <c r="A1296" t="s">
        <v>3769</v>
      </c>
      <c r="B1296" t="s">
        <v>3770</v>
      </c>
      <c r="C1296" t="s">
        <v>3771</v>
      </c>
      <c r="D1296" t="s">
        <v>15</v>
      </c>
      <c r="E1296" t="s">
        <v>24</v>
      </c>
      <c r="F1296" t="s">
        <v>41</v>
      </c>
      <c r="G1296" t="s">
        <v>19</v>
      </c>
      <c r="H1296">
        <f>Cleaned_Data!K1296</f>
        <v>1.33</v>
      </c>
      <c r="I1296" t="str">
        <f t="shared" si="60"/>
        <v>YES</v>
      </c>
      <c r="J1296">
        <f>Cleaned_Data!J1296</f>
        <v>8</v>
      </c>
      <c r="K1296" t="str">
        <f t="shared" si="61"/>
        <v>2024-11</v>
      </c>
      <c r="L1296">
        <f t="shared" si="62"/>
        <v>0</v>
      </c>
    </row>
    <row r="1297" spans="1:12">
      <c r="A1297" t="s">
        <v>3772</v>
      </c>
      <c r="B1297" t="s">
        <v>3773</v>
      </c>
      <c r="C1297" t="s">
        <v>3774</v>
      </c>
      <c r="D1297" t="s">
        <v>15</v>
      </c>
      <c r="E1297" t="s">
        <v>16</v>
      </c>
      <c r="F1297" t="s">
        <v>36</v>
      </c>
      <c r="G1297" t="s">
        <v>19</v>
      </c>
      <c r="H1297">
        <f>Cleaned_Data!K1297</f>
        <v>6.38</v>
      </c>
      <c r="I1297" t="str">
        <f t="shared" si="60"/>
        <v>YES</v>
      </c>
      <c r="J1297">
        <f>Cleaned_Data!J1297</f>
        <v>8</v>
      </c>
      <c r="K1297" t="str">
        <f t="shared" si="61"/>
        <v>2024-04</v>
      </c>
      <c r="L1297">
        <f t="shared" si="62"/>
        <v>0</v>
      </c>
    </row>
    <row r="1298" spans="1:12">
      <c r="A1298" t="s">
        <v>3775</v>
      </c>
      <c r="B1298" t="s">
        <v>3776</v>
      </c>
      <c r="D1298" t="s">
        <v>15</v>
      </c>
      <c r="E1298" t="s">
        <v>16</v>
      </c>
      <c r="F1298" t="s">
        <v>36</v>
      </c>
      <c r="G1298" t="s">
        <v>46</v>
      </c>
      <c r="H1298">
        <f>Cleaned_Data!K1298</f>
        <v>0</v>
      </c>
      <c r="I1298" t="str">
        <f t="shared" si="60"/>
        <v/>
      </c>
      <c r="J1298">
        <f>Cleaned_Data!J1298</f>
        <v>8</v>
      </c>
      <c r="K1298" t="str">
        <f t="shared" si="61"/>
        <v>2024-11</v>
      </c>
      <c r="L1298">
        <f t="shared" si="62"/>
        <v>0</v>
      </c>
    </row>
    <row r="1299" spans="1:12">
      <c r="A1299" t="s">
        <v>3777</v>
      </c>
      <c r="B1299" t="s">
        <v>3778</v>
      </c>
      <c r="C1299" t="s">
        <v>3779</v>
      </c>
      <c r="D1299" t="s">
        <v>23</v>
      </c>
      <c r="E1299" t="s">
        <v>28</v>
      </c>
      <c r="F1299" t="s">
        <v>60</v>
      </c>
      <c r="G1299" t="s">
        <v>19</v>
      </c>
      <c r="H1299">
        <f>Cleaned_Data!K1299</f>
        <v>3.56</v>
      </c>
      <c r="I1299" t="str">
        <f t="shared" si="60"/>
        <v>YES</v>
      </c>
      <c r="J1299">
        <f>Cleaned_Data!J1299</f>
        <v>24</v>
      </c>
      <c r="K1299" t="str">
        <f t="shared" si="61"/>
        <v>2024-01</v>
      </c>
      <c r="L1299">
        <f t="shared" si="62"/>
        <v>0</v>
      </c>
    </row>
    <row r="1300" spans="1:12">
      <c r="A1300" t="s">
        <v>3780</v>
      </c>
      <c r="B1300" t="s">
        <v>3781</v>
      </c>
      <c r="C1300" t="s">
        <v>3782</v>
      </c>
      <c r="D1300" t="s">
        <v>23</v>
      </c>
      <c r="E1300" t="s">
        <v>59</v>
      </c>
      <c r="F1300" t="s">
        <v>29</v>
      </c>
      <c r="G1300" t="s">
        <v>19</v>
      </c>
      <c r="H1300">
        <f>Cleaned_Data!K1300</f>
        <v>7.72</v>
      </c>
      <c r="I1300" t="str">
        <f t="shared" si="60"/>
        <v>YES</v>
      </c>
      <c r="J1300">
        <f>Cleaned_Data!J1300</f>
        <v>24</v>
      </c>
      <c r="K1300" t="str">
        <f t="shared" si="61"/>
        <v>2024-02</v>
      </c>
      <c r="L1300">
        <f t="shared" si="62"/>
        <v>0</v>
      </c>
    </row>
    <row r="1301" spans="1:12">
      <c r="A1301" t="s">
        <v>3783</v>
      </c>
      <c r="B1301" t="s">
        <v>3784</v>
      </c>
      <c r="D1301" t="s">
        <v>158</v>
      </c>
      <c r="E1301" t="s">
        <v>28</v>
      </c>
      <c r="F1301" t="s">
        <v>29</v>
      </c>
      <c r="G1301" t="s">
        <v>63</v>
      </c>
      <c r="H1301">
        <f>Cleaned_Data!K1301</f>
        <v>0</v>
      </c>
      <c r="I1301" t="str">
        <f t="shared" si="60"/>
        <v/>
      </c>
      <c r="J1301">
        <f>Cleaned_Data!J1301</f>
        <v>4</v>
      </c>
      <c r="K1301" t="str">
        <f t="shared" si="61"/>
        <v>2024-10</v>
      </c>
      <c r="L1301">
        <f t="shared" si="62"/>
        <v>0</v>
      </c>
    </row>
    <row r="1302" spans="1:12">
      <c r="A1302" t="s">
        <v>3785</v>
      </c>
      <c r="B1302" t="s">
        <v>3786</v>
      </c>
      <c r="C1302" t="s">
        <v>3787</v>
      </c>
      <c r="D1302" t="s">
        <v>15</v>
      </c>
      <c r="E1302" t="s">
        <v>24</v>
      </c>
      <c r="F1302" t="s">
        <v>60</v>
      </c>
      <c r="G1302" t="s">
        <v>31</v>
      </c>
      <c r="H1302">
        <f>Cleaned_Data!K1302</f>
        <v>1.04</v>
      </c>
      <c r="I1302" t="str">
        <f t="shared" si="60"/>
        <v>YES</v>
      </c>
      <c r="J1302">
        <f>Cleaned_Data!J1302</f>
        <v>8</v>
      </c>
      <c r="K1302" t="str">
        <f t="shared" si="61"/>
        <v>2024-01</v>
      </c>
      <c r="L1302">
        <f t="shared" si="62"/>
        <v>0</v>
      </c>
    </row>
    <row r="1303" spans="1:12">
      <c r="A1303" t="s">
        <v>3788</v>
      </c>
      <c r="B1303" t="s">
        <v>3789</v>
      </c>
      <c r="C1303" t="s">
        <v>3790</v>
      </c>
      <c r="D1303" t="s">
        <v>23</v>
      </c>
      <c r="E1303" t="s">
        <v>54</v>
      </c>
      <c r="F1303" t="s">
        <v>36</v>
      </c>
      <c r="G1303" t="s">
        <v>19</v>
      </c>
      <c r="H1303">
        <f>Cleaned_Data!K1303</f>
        <v>17.16</v>
      </c>
      <c r="I1303" t="str">
        <f t="shared" si="60"/>
        <v>YES</v>
      </c>
      <c r="J1303">
        <f>Cleaned_Data!J1303</f>
        <v>24</v>
      </c>
      <c r="K1303" t="str">
        <f t="shared" si="61"/>
        <v>2024-06</v>
      </c>
      <c r="L1303">
        <f t="shared" si="62"/>
        <v>0</v>
      </c>
    </row>
    <row r="1304" spans="1:12">
      <c r="A1304" t="s">
        <v>3791</v>
      </c>
      <c r="B1304" t="s">
        <v>3792</v>
      </c>
      <c r="C1304" t="s">
        <v>3793</v>
      </c>
      <c r="D1304" t="s">
        <v>23</v>
      </c>
      <c r="E1304" t="s">
        <v>54</v>
      </c>
      <c r="F1304" t="s">
        <v>41</v>
      </c>
      <c r="G1304" t="s">
        <v>19</v>
      </c>
      <c r="H1304">
        <f>Cleaned_Data!K1304</f>
        <v>70.66</v>
      </c>
      <c r="I1304" t="str">
        <f t="shared" si="60"/>
        <v>NO</v>
      </c>
      <c r="J1304">
        <f>Cleaned_Data!J1304</f>
        <v>24</v>
      </c>
      <c r="K1304" t="str">
        <f t="shared" si="61"/>
        <v>2024-07</v>
      </c>
      <c r="L1304">
        <f t="shared" si="62"/>
        <v>46.66</v>
      </c>
    </row>
    <row r="1305" spans="1:12">
      <c r="A1305" t="s">
        <v>3794</v>
      </c>
      <c r="B1305" t="s">
        <v>3795</v>
      </c>
      <c r="C1305" t="s">
        <v>3796</v>
      </c>
      <c r="D1305" t="s">
        <v>158</v>
      </c>
      <c r="E1305" t="s">
        <v>16</v>
      </c>
      <c r="F1305" t="s">
        <v>17</v>
      </c>
      <c r="G1305" t="s">
        <v>31</v>
      </c>
      <c r="H1305">
        <f>Cleaned_Data!K1305</f>
        <v>2.72</v>
      </c>
      <c r="I1305" t="str">
        <f t="shared" si="60"/>
        <v>YES</v>
      </c>
      <c r="J1305">
        <f>Cleaned_Data!J1305</f>
        <v>4</v>
      </c>
      <c r="K1305" t="str">
        <f t="shared" si="61"/>
        <v>2024-01</v>
      </c>
      <c r="L1305">
        <f t="shared" si="62"/>
        <v>0</v>
      </c>
    </row>
    <row r="1306" spans="1:12">
      <c r="A1306" t="s">
        <v>3797</v>
      </c>
      <c r="B1306" t="s">
        <v>3798</v>
      </c>
      <c r="C1306" t="s">
        <v>3799</v>
      </c>
      <c r="D1306" t="s">
        <v>158</v>
      </c>
      <c r="E1306" t="s">
        <v>16</v>
      </c>
      <c r="F1306" t="s">
        <v>17</v>
      </c>
      <c r="G1306" t="s">
        <v>31</v>
      </c>
      <c r="H1306">
        <f>Cleaned_Data!K1306</f>
        <v>0.79</v>
      </c>
      <c r="I1306" t="str">
        <f t="shared" si="60"/>
        <v>YES</v>
      </c>
      <c r="J1306">
        <f>Cleaned_Data!J1306</f>
        <v>4</v>
      </c>
      <c r="K1306" t="str">
        <f t="shared" si="61"/>
        <v>2024-07</v>
      </c>
      <c r="L1306">
        <f t="shared" si="62"/>
        <v>0</v>
      </c>
    </row>
    <row r="1307" spans="1:12">
      <c r="A1307" t="s">
        <v>3800</v>
      </c>
      <c r="B1307" t="s">
        <v>3801</v>
      </c>
      <c r="C1307" t="s">
        <v>3802</v>
      </c>
      <c r="D1307" t="s">
        <v>35</v>
      </c>
      <c r="E1307" t="s">
        <v>28</v>
      </c>
      <c r="F1307" t="s">
        <v>17</v>
      </c>
      <c r="G1307" t="s">
        <v>19</v>
      </c>
      <c r="H1307">
        <f>Cleaned_Data!K1307</f>
        <v>14.27</v>
      </c>
      <c r="I1307" t="str">
        <f t="shared" si="60"/>
        <v>YES</v>
      </c>
      <c r="J1307">
        <f>Cleaned_Data!J1307</f>
        <v>48</v>
      </c>
      <c r="K1307" t="str">
        <f t="shared" si="61"/>
        <v>2024-08</v>
      </c>
      <c r="L1307">
        <f t="shared" si="62"/>
        <v>0</v>
      </c>
    </row>
    <row r="1308" spans="1:12">
      <c r="A1308" t="s">
        <v>3803</v>
      </c>
      <c r="B1308" t="s">
        <v>3804</v>
      </c>
      <c r="C1308" t="s">
        <v>3805</v>
      </c>
      <c r="D1308" t="s">
        <v>23</v>
      </c>
      <c r="E1308" t="s">
        <v>16</v>
      </c>
      <c r="F1308" t="s">
        <v>60</v>
      </c>
      <c r="G1308" t="s">
        <v>19</v>
      </c>
      <c r="H1308">
        <f>Cleaned_Data!K1308</f>
        <v>20.21</v>
      </c>
      <c r="I1308" t="str">
        <f t="shared" si="60"/>
        <v>YES</v>
      </c>
      <c r="J1308">
        <f>Cleaned_Data!J1308</f>
        <v>24</v>
      </c>
      <c r="K1308" t="str">
        <f t="shared" si="61"/>
        <v>2024-03</v>
      </c>
      <c r="L1308">
        <f t="shared" si="62"/>
        <v>0</v>
      </c>
    </row>
    <row r="1309" spans="1:12">
      <c r="A1309" t="s">
        <v>3806</v>
      </c>
      <c r="B1309" t="s">
        <v>3807</v>
      </c>
      <c r="C1309" t="s">
        <v>3808</v>
      </c>
      <c r="D1309" t="s">
        <v>158</v>
      </c>
      <c r="E1309" t="s">
        <v>24</v>
      </c>
      <c r="F1309" t="s">
        <v>17</v>
      </c>
      <c r="G1309" t="s">
        <v>19</v>
      </c>
      <c r="H1309">
        <f>Cleaned_Data!K1309</f>
        <v>2.63</v>
      </c>
      <c r="I1309" t="str">
        <f t="shared" si="60"/>
        <v>YES</v>
      </c>
      <c r="J1309">
        <f>Cleaned_Data!J1309</f>
        <v>4</v>
      </c>
      <c r="K1309" t="str">
        <f t="shared" si="61"/>
        <v>2024-01</v>
      </c>
      <c r="L1309">
        <f t="shared" si="62"/>
        <v>0</v>
      </c>
    </row>
    <row r="1310" spans="1:12">
      <c r="A1310" t="s">
        <v>3809</v>
      </c>
      <c r="B1310" t="s">
        <v>3810</v>
      </c>
      <c r="C1310" t="s">
        <v>3811</v>
      </c>
      <c r="D1310" t="s">
        <v>15</v>
      </c>
      <c r="E1310" t="s">
        <v>28</v>
      </c>
      <c r="F1310" t="s">
        <v>36</v>
      </c>
      <c r="G1310" t="s">
        <v>19</v>
      </c>
      <c r="H1310">
        <f>Cleaned_Data!K1310</f>
        <v>4.5</v>
      </c>
      <c r="I1310" t="str">
        <f t="shared" si="60"/>
        <v>YES</v>
      </c>
      <c r="J1310">
        <f>Cleaned_Data!J1310</f>
        <v>8</v>
      </c>
      <c r="K1310" t="str">
        <f t="shared" si="61"/>
        <v>2024-04</v>
      </c>
      <c r="L1310">
        <f t="shared" si="62"/>
        <v>0</v>
      </c>
    </row>
    <row r="1311" spans="1:12">
      <c r="A1311" t="s">
        <v>3812</v>
      </c>
      <c r="B1311" t="s">
        <v>3813</v>
      </c>
      <c r="C1311" t="s">
        <v>3814</v>
      </c>
      <c r="D1311" t="s">
        <v>35</v>
      </c>
      <c r="E1311" t="s">
        <v>16</v>
      </c>
      <c r="F1311" t="s">
        <v>17</v>
      </c>
      <c r="G1311" t="s">
        <v>31</v>
      </c>
      <c r="H1311">
        <f>Cleaned_Data!K1311</f>
        <v>123.43</v>
      </c>
      <c r="I1311" t="str">
        <f t="shared" si="60"/>
        <v>NO</v>
      </c>
      <c r="J1311">
        <f>Cleaned_Data!J1311</f>
        <v>48</v>
      </c>
      <c r="K1311" t="str">
        <f t="shared" si="61"/>
        <v>2024-10</v>
      </c>
      <c r="L1311">
        <f t="shared" si="62"/>
        <v>75.430000000000007</v>
      </c>
    </row>
    <row r="1312" spans="1:12">
      <c r="A1312" t="s">
        <v>3815</v>
      </c>
      <c r="B1312" t="s">
        <v>3816</v>
      </c>
      <c r="C1312" t="s">
        <v>3817</v>
      </c>
      <c r="D1312" t="s">
        <v>15</v>
      </c>
      <c r="E1312" t="s">
        <v>16</v>
      </c>
      <c r="F1312" t="s">
        <v>29</v>
      </c>
      <c r="G1312" t="s">
        <v>19</v>
      </c>
      <c r="H1312">
        <f>Cleaned_Data!K1312</f>
        <v>3.16</v>
      </c>
      <c r="I1312" t="str">
        <f t="shared" si="60"/>
        <v>YES</v>
      </c>
      <c r="J1312">
        <f>Cleaned_Data!J1312</f>
        <v>8</v>
      </c>
      <c r="K1312" t="str">
        <f t="shared" si="61"/>
        <v>2024-09</v>
      </c>
      <c r="L1312">
        <f t="shared" si="62"/>
        <v>0</v>
      </c>
    </row>
    <row r="1313" spans="1:12">
      <c r="A1313" t="s">
        <v>3818</v>
      </c>
      <c r="B1313" t="s">
        <v>3819</v>
      </c>
      <c r="C1313" t="s">
        <v>3820</v>
      </c>
      <c r="D1313" t="s">
        <v>23</v>
      </c>
      <c r="E1313" t="s">
        <v>24</v>
      </c>
      <c r="F1313" t="s">
        <v>17</v>
      </c>
      <c r="G1313" t="s">
        <v>19</v>
      </c>
      <c r="H1313">
        <f>Cleaned_Data!K1313</f>
        <v>6.7</v>
      </c>
      <c r="I1313" t="str">
        <f t="shared" si="60"/>
        <v>YES</v>
      </c>
      <c r="J1313">
        <f>Cleaned_Data!J1313</f>
        <v>24</v>
      </c>
      <c r="K1313" t="str">
        <f t="shared" si="61"/>
        <v>2024-08</v>
      </c>
      <c r="L1313">
        <f t="shared" si="62"/>
        <v>0</v>
      </c>
    </row>
    <row r="1314" spans="1:12">
      <c r="A1314" t="s">
        <v>3821</v>
      </c>
      <c r="B1314" t="s">
        <v>3822</v>
      </c>
      <c r="C1314" t="s">
        <v>3823</v>
      </c>
      <c r="D1314" t="s">
        <v>23</v>
      </c>
      <c r="E1314" t="s">
        <v>24</v>
      </c>
      <c r="F1314" t="s">
        <v>17</v>
      </c>
      <c r="G1314" t="s">
        <v>19</v>
      </c>
      <c r="H1314">
        <f>Cleaned_Data!K1314</f>
        <v>21.84</v>
      </c>
      <c r="I1314" t="str">
        <f t="shared" si="60"/>
        <v>YES</v>
      </c>
      <c r="J1314">
        <f>Cleaned_Data!J1314</f>
        <v>24</v>
      </c>
      <c r="K1314" t="str">
        <f t="shared" si="61"/>
        <v>2024-11</v>
      </c>
      <c r="L1314">
        <f t="shared" si="62"/>
        <v>0</v>
      </c>
    </row>
    <row r="1315" spans="1:12">
      <c r="A1315" t="s">
        <v>3824</v>
      </c>
      <c r="B1315" t="s">
        <v>3825</v>
      </c>
      <c r="C1315" t="s">
        <v>3826</v>
      </c>
      <c r="D1315" t="s">
        <v>158</v>
      </c>
      <c r="E1315" t="s">
        <v>28</v>
      </c>
      <c r="F1315" t="s">
        <v>41</v>
      </c>
      <c r="G1315" t="s">
        <v>31</v>
      </c>
      <c r="H1315">
        <f>Cleaned_Data!K1315</f>
        <v>1.35</v>
      </c>
      <c r="I1315" t="str">
        <f t="shared" si="60"/>
        <v>YES</v>
      </c>
      <c r="J1315">
        <f>Cleaned_Data!J1315</f>
        <v>4</v>
      </c>
      <c r="K1315" t="str">
        <f t="shared" si="61"/>
        <v>2024-11</v>
      </c>
      <c r="L1315">
        <f t="shared" si="62"/>
        <v>0</v>
      </c>
    </row>
    <row r="1316" spans="1:12">
      <c r="A1316" t="s">
        <v>3827</v>
      </c>
      <c r="B1316" t="s">
        <v>3828</v>
      </c>
      <c r="C1316" t="s">
        <v>3829</v>
      </c>
      <c r="D1316" t="s">
        <v>158</v>
      </c>
      <c r="E1316" t="s">
        <v>28</v>
      </c>
      <c r="F1316" t="s">
        <v>41</v>
      </c>
      <c r="G1316" t="s">
        <v>19</v>
      </c>
      <c r="H1316">
        <f>Cleaned_Data!K1316</f>
        <v>2.64</v>
      </c>
      <c r="I1316" t="str">
        <f t="shared" si="60"/>
        <v>YES</v>
      </c>
      <c r="J1316">
        <f>Cleaned_Data!J1316</f>
        <v>4</v>
      </c>
      <c r="K1316" t="str">
        <f t="shared" si="61"/>
        <v>2024-07</v>
      </c>
      <c r="L1316">
        <f t="shared" si="62"/>
        <v>0</v>
      </c>
    </row>
    <row r="1317" spans="1:12">
      <c r="A1317" t="s">
        <v>3830</v>
      </c>
      <c r="B1317" t="s">
        <v>3831</v>
      </c>
      <c r="D1317" t="s">
        <v>15</v>
      </c>
      <c r="E1317" t="s">
        <v>28</v>
      </c>
      <c r="F1317" t="s">
        <v>29</v>
      </c>
      <c r="G1317" t="s">
        <v>63</v>
      </c>
      <c r="H1317">
        <f>Cleaned_Data!K1317</f>
        <v>0</v>
      </c>
      <c r="I1317" t="str">
        <f t="shared" si="60"/>
        <v/>
      </c>
      <c r="J1317">
        <f>Cleaned_Data!J1317</f>
        <v>8</v>
      </c>
      <c r="K1317" t="str">
        <f t="shared" si="61"/>
        <v>2024-09</v>
      </c>
      <c r="L1317">
        <f t="shared" si="62"/>
        <v>0</v>
      </c>
    </row>
    <row r="1318" spans="1:12">
      <c r="A1318" t="s">
        <v>3832</v>
      </c>
      <c r="B1318" t="s">
        <v>3833</v>
      </c>
      <c r="C1318" t="s">
        <v>3834</v>
      </c>
      <c r="D1318" t="s">
        <v>35</v>
      </c>
      <c r="E1318" t="s">
        <v>59</v>
      </c>
      <c r="F1318" t="s">
        <v>29</v>
      </c>
      <c r="G1318" t="s">
        <v>19</v>
      </c>
      <c r="H1318">
        <f>Cleaned_Data!K1318</f>
        <v>34.409999999999997</v>
      </c>
      <c r="I1318" t="str">
        <f t="shared" si="60"/>
        <v>YES</v>
      </c>
      <c r="J1318">
        <f>Cleaned_Data!J1318</f>
        <v>48</v>
      </c>
      <c r="K1318" t="str">
        <f t="shared" si="61"/>
        <v>2024-10</v>
      </c>
      <c r="L1318">
        <f t="shared" si="62"/>
        <v>0</v>
      </c>
    </row>
    <row r="1319" spans="1:12">
      <c r="A1319" t="s">
        <v>3835</v>
      </c>
      <c r="B1319" t="s">
        <v>3836</v>
      </c>
      <c r="C1319" t="s">
        <v>3837</v>
      </c>
      <c r="D1319" t="s">
        <v>23</v>
      </c>
      <c r="E1319" t="s">
        <v>16</v>
      </c>
      <c r="F1319" t="s">
        <v>36</v>
      </c>
      <c r="G1319" t="s">
        <v>31</v>
      </c>
      <c r="H1319">
        <f>Cleaned_Data!K1319</f>
        <v>68.84</v>
      </c>
      <c r="I1319" t="str">
        <f t="shared" si="60"/>
        <v>NO</v>
      </c>
      <c r="J1319">
        <f>Cleaned_Data!J1319</f>
        <v>24</v>
      </c>
      <c r="K1319" t="str">
        <f t="shared" si="61"/>
        <v>2024-12</v>
      </c>
      <c r="L1319">
        <f t="shared" si="62"/>
        <v>44.84</v>
      </c>
    </row>
    <row r="1320" spans="1:12">
      <c r="A1320" t="s">
        <v>3838</v>
      </c>
      <c r="B1320" t="s">
        <v>3839</v>
      </c>
      <c r="C1320" t="s">
        <v>3840</v>
      </c>
      <c r="D1320" t="s">
        <v>23</v>
      </c>
      <c r="E1320" t="s">
        <v>28</v>
      </c>
      <c r="F1320" t="s">
        <v>60</v>
      </c>
      <c r="G1320" t="s">
        <v>19</v>
      </c>
      <c r="H1320">
        <f>Cleaned_Data!K1320</f>
        <v>47.07</v>
      </c>
      <c r="I1320" t="str">
        <f t="shared" si="60"/>
        <v>NO</v>
      </c>
      <c r="J1320">
        <f>Cleaned_Data!J1320</f>
        <v>24</v>
      </c>
      <c r="K1320" t="str">
        <f t="shared" si="61"/>
        <v>2024-12</v>
      </c>
      <c r="L1320">
        <f t="shared" si="62"/>
        <v>23.07</v>
      </c>
    </row>
    <row r="1321" spans="1:12">
      <c r="A1321" t="s">
        <v>3841</v>
      </c>
      <c r="B1321" t="s">
        <v>3842</v>
      </c>
      <c r="D1321" t="s">
        <v>15</v>
      </c>
      <c r="E1321" t="s">
        <v>24</v>
      </c>
      <c r="F1321" t="s">
        <v>29</v>
      </c>
      <c r="G1321" t="s">
        <v>46</v>
      </c>
      <c r="H1321">
        <f>Cleaned_Data!K1321</f>
        <v>0</v>
      </c>
      <c r="I1321" t="str">
        <f t="shared" si="60"/>
        <v/>
      </c>
      <c r="J1321">
        <f>Cleaned_Data!J1321</f>
        <v>8</v>
      </c>
      <c r="K1321" t="str">
        <f t="shared" si="61"/>
        <v>2024-04</v>
      </c>
      <c r="L1321">
        <f t="shared" si="62"/>
        <v>0</v>
      </c>
    </row>
    <row r="1322" spans="1:12">
      <c r="A1322" t="s">
        <v>3843</v>
      </c>
      <c r="B1322" t="s">
        <v>3844</v>
      </c>
      <c r="C1322" t="s">
        <v>3845</v>
      </c>
      <c r="D1322" t="s">
        <v>23</v>
      </c>
      <c r="E1322" t="s">
        <v>28</v>
      </c>
      <c r="F1322" t="s">
        <v>41</v>
      </c>
      <c r="G1322" t="s">
        <v>31</v>
      </c>
      <c r="H1322">
        <f>Cleaned_Data!K1322</f>
        <v>15.85</v>
      </c>
      <c r="I1322" t="str">
        <f t="shared" si="60"/>
        <v>YES</v>
      </c>
      <c r="J1322">
        <f>Cleaned_Data!J1322</f>
        <v>24</v>
      </c>
      <c r="K1322" t="str">
        <f t="shared" si="61"/>
        <v>2024-10</v>
      </c>
      <c r="L1322">
        <f t="shared" si="62"/>
        <v>0</v>
      </c>
    </row>
    <row r="1323" spans="1:12">
      <c r="A1323" t="s">
        <v>3846</v>
      </c>
      <c r="B1323" t="s">
        <v>3847</v>
      </c>
      <c r="C1323" t="s">
        <v>3848</v>
      </c>
      <c r="D1323" t="s">
        <v>23</v>
      </c>
      <c r="E1323" t="s">
        <v>16</v>
      </c>
      <c r="F1323" t="s">
        <v>29</v>
      </c>
      <c r="G1323" t="s">
        <v>31</v>
      </c>
      <c r="H1323">
        <f>Cleaned_Data!K1323</f>
        <v>64.87</v>
      </c>
      <c r="I1323" t="str">
        <f t="shared" si="60"/>
        <v>NO</v>
      </c>
      <c r="J1323">
        <f>Cleaned_Data!J1323</f>
        <v>24</v>
      </c>
      <c r="K1323" t="str">
        <f t="shared" si="61"/>
        <v>2024-11</v>
      </c>
      <c r="L1323">
        <f t="shared" si="62"/>
        <v>40.870000000000005</v>
      </c>
    </row>
    <row r="1324" spans="1:12">
      <c r="A1324" t="s">
        <v>3849</v>
      </c>
      <c r="B1324" t="s">
        <v>3850</v>
      </c>
      <c r="C1324" t="s">
        <v>3851</v>
      </c>
      <c r="D1324" t="s">
        <v>23</v>
      </c>
      <c r="E1324" t="s">
        <v>28</v>
      </c>
      <c r="F1324" t="s">
        <v>29</v>
      </c>
      <c r="G1324" t="s">
        <v>31</v>
      </c>
      <c r="H1324">
        <f>Cleaned_Data!K1324</f>
        <v>10.74</v>
      </c>
      <c r="I1324" t="str">
        <f t="shared" si="60"/>
        <v>YES</v>
      </c>
      <c r="J1324">
        <f>Cleaned_Data!J1324</f>
        <v>24</v>
      </c>
      <c r="K1324" t="str">
        <f t="shared" si="61"/>
        <v>2024-01</v>
      </c>
      <c r="L1324">
        <f t="shared" si="62"/>
        <v>0</v>
      </c>
    </row>
    <row r="1325" spans="1:12">
      <c r="A1325" t="s">
        <v>3852</v>
      </c>
      <c r="B1325" t="s">
        <v>3853</v>
      </c>
      <c r="C1325" t="s">
        <v>3854</v>
      </c>
      <c r="D1325" t="s">
        <v>15</v>
      </c>
      <c r="E1325" t="s">
        <v>16</v>
      </c>
      <c r="F1325" t="s">
        <v>29</v>
      </c>
      <c r="G1325" t="s">
        <v>19</v>
      </c>
      <c r="H1325">
        <f>Cleaned_Data!K1325</f>
        <v>6.15</v>
      </c>
      <c r="I1325" t="str">
        <f t="shared" si="60"/>
        <v>YES</v>
      </c>
      <c r="J1325">
        <f>Cleaned_Data!J1325</f>
        <v>8</v>
      </c>
      <c r="K1325" t="str">
        <f t="shared" si="61"/>
        <v>2024-02</v>
      </c>
      <c r="L1325">
        <f t="shared" si="62"/>
        <v>0</v>
      </c>
    </row>
    <row r="1326" spans="1:12">
      <c r="A1326" t="s">
        <v>3855</v>
      </c>
      <c r="B1326" t="s">
        <v>3856</v>
      </c>
      <c r="C1326" t="s">
        <v>3857</v>
      </c>
      <c r="D1326" t="s">
        <v>15</v>
      </c>
      <c r="E1326" t="s">
        <v>54</v>
      </c>
      <c r="F1326" t="s">
        <v>17</v>
      </c>
      <c r="G1326" t="s">
        <v>31</v>
      </c>
      <c r="H1326">
        <f>Cleaned_Data!K1326</f>
        <v>5.25</v>
      </c>
      <c r="I1326" t="str">
        <f t="shared" si="60"/>
        <v>YES</v>
      </c>
      <c r="J1326">
        <f>Cleaned_Data!J1326</f>
        <v>8</v>
      </c>
      <c r="K1326" t="str">
        <f t="shared" si="61"/>
        <v>2024-07</v>
      </c>
      <c r="L1326">
        <f t="shared" si="62"/>
        <v>0</v>
      </c>
    </row>
    <row r="1327" spans="1:12">
      <c r="A1327" t="s">
        <v>3858</v>
      </c>
      <c r="B1327" t="s">
        <v>3859</v>
      </c>
      <c r="C1327" t="s">
        <v>3860</v>
      </c>
      <c r="D1327" t="s">
        <v>35</v>
      </c>
      <c r="E1327" t="s">
        <v>54</v>
      </c>
      <c r="F1327" t="s">
        <v>36</v>
      </c>
      <c r="G1327" t="s">
        <v>31</v>
      </c>
      <c r="H1327">
        <f>Cleaned_Data!K1327</f>
        <v>33.950000000000003</v>
      </c>
      <c r="I1327" t="str">
        <f t="shared" si="60"/>
        <v>YES</v>
      </c>
      <c r="J1327">
        <f>Cleaned_Data!J1327</f>
        <v>48</v>
      </c>
      <c r="K1327" t="str">
        <f t="shared" si="61"/>
        <v>2024-07</v>
      </c>
      <c r="L1327">
        <f t="shared" si="62"/>
        <v>0</v>
      </c>
    </row>
    <row r="1328" spans="1:12">
      <c r="A1328" t="s">
        <v>3861</v>
      </c>
      <c r="B1328" t="s">
        <v>3862</v>
      </c>
      <c r="C1328" t="s">
        <v>3863</v>
      </c>
      <c r="D1328" t="s">
        <v>158</v>
      </c>
      <c r="E1328" t="s">
        <v>16</v>
      </c>
      <c r="F1328" t="s">
        <v>29</v>
      </c>
      <c r="G1328" t="s">
        <v>31</v>
      </c>
      <c r="H1328">
        <f>Cleaned_Data!K1328</f>
        <v>1.59</v>
      </c>
      <c r="I1328" t="str">
        <f t="shared" si="60"/>
        <v>YES</v>
      </c>
      <c r="J1328">
        <f>Cleaned_Data!J1328</f>
        <v>4</v>
      </c>
      <c r="K1328" t="str">
        <f t="shared" si="61"/>
        <v>2024-04</v>
      </c>
      <c r="L1328">
        <f t="shared" si="62"/>
        <v>0</v>
      </c>
    </row>
    <row r="1329" spans="1:12">
      <c r="A1329" t="s">
        <v>3864</v>
      </c>
      <c r="B1329" t="s">
        <v>3865</v>
      </c>
      <c r="C1329" t="s">
        <v>3866</v>
      </c>
      <c r="D1329" t="s">
        <v>15</v>
      </c>
      <c r="E1329" t="s">
        <v>24</v>
      </c>
      <c r="F1329" t="s">
        <v>17</v>
      </c>
      <c r="G1329" t="s">
        <v>31</v>
      </c>
      <c r="H1329">
        <f>Cleaned_Data!K1329</f>
        <v>19.02</v>
      </c>
      <c r="I1329" t="str">
        <f t="shared" si="60"/>
        <v>NO</v>
      </c>
      <c r="J1329">
        <f>Cleaned_Data!J1329</f>
        <v>8</v>
      </c>
      <c r="K1329" t="str">
        <f t="shared" si="61"/>
        <v>2024-06</v>
      </c>
      <c r="L1329">
        <f t="shared" si="62"/>
        <v>11.02</v>
      </c>
    </row>
    <row r="1330" spans="1:12">
      <c r="A1330" t="s">
        <v>3867</v>
      </c>
      <c r="B1330" t="s">
        <v>3868</v>
      </c>
      <c r="C1330" t="s">
        <v>3869</v>
      </c>
      <c r="D1330" t="s">
        <v>35</v>
      </c>
      <c r="E1330" t="s">
        <v>24</v>
      </c>
      <c r="F1330" t="s">
        <v>29</v>
      </c>
      <c r="G1330" t="s">
        <v>31</v>
      </c>
      <c r="H1330">
        <f>Cleaned_Data!K1330</f>
        <v>21.45</v>
      </c>
      <c r="I1330" t="str">
        <f t="shared" si="60"/>
        <v>YES</v>
      </c>
      <c r="J1330">
        <f>Cleaned_Data!J1330</f>
        <v>48</v>
      </c>
      <c r="K1330" t="str">
        <f t="shared" si="61"/>
        <v>2024-06</v>
      </c>
      <c r="L1330">
        <f t="shared" si="62"/>
        <v>0</v>
      </c>
    </row>
    <row r="1331" spans="1:12">
      <c r="A1331" t="s">
        <v>3870</v>
      </c>
      <c r="B1331" t="s">
        <v>3871</v>
      </c>
      <c r="C1331" t="s">
        <v>3872</v>
      </c>
      <c r="D1331" t="s">
        <v>35</v>
      </c>
      <c r="E1331" t="s">
        <v>28</v>
      </c>
      <c r="F1331" t="s">
        <v>36</v>
      </c>
      <c r="G1331" t="s">
        <v>19</v>
      </c>
      <c r="H1331">
        <f>Cleaned_Data!K1331</f>
        <v>10.92</v>
      </c>
      <c r="I1331" t="str">
        <f t="shared" si="60"/>
        <v>YES</v>
      </c>
      <c r="J1331">
        <f>Cleaned_Data!J1331</f>
        <v>48</v>
      </c>
      <c r="K1331" t="str">
        <f t="shared" si="61"/>
        <v>2024-07</v>
      </c>
      <c r="L1331">
        <f t="shared" si="62"/>
        <v>0</v>
      </c>
    </row>
    <row r="1332" spans="1:12">
      <c r="A1332" t="s">
        <v>3873</v>
      </c>
      <c r="B1332" t="s">
        <v>3874</v>
      </c>
      <c r="C1332" t="s">
        <v>3875</v>
      </c>
      <c r="D1332" t="s">
        <v>23</v>
      </c>
      <c r="E1332" t="s">
        <v>16</v>
      </c>
      <c r="F1332" t="s">
        <v>60</v>
      </c>
      <c r="G1332" t="s">
        <v>31</v>
      </c>
      <c r="H1332">
        <f>Cleaned_Data!K1332</f>
        <v>14.26</v>
      </c>
      <c r="I1332" t="str">
        <f t="shared" si="60"/>
        <v>YES</v>
      </c>
      <c r="J1332">
        <f>Cleaned_Data!J1332</f>
        <v>24</v>
      </c>
      <c r="K1332" t="str">
        <f t="shared" si="61"/>
        <v>2024-02</v>
      </c>
      <c r="L1332">
        <f t="shared" si="62"/>
        <v>0</v>
      </c>
    </row>
    <row r="1333" spans="1:12">
      <c r="A1333" t="s">
        <v>3876</v>
      </c>
      <c r="B1333" t="s">
        <v>3877</v>
      </c>
      <c r="C1333" t="s">
        <v>3878</v>
      </c>
      <c r="D1333" t="s">
        <v>23</v>
      </c>
      <c r="E1333" t="s">
        <v>54</v>
      </c>
      <c r="F1333" t="s">
        <v>17</v>
      </c>
      <c r="G1333" t="s">
        <v>31</v>
      </c>
      <c r="H1333">
        <f>Cleaned_Data!K1333</f>
        <v>21.89</v>
      </c>
      <c r="I1333" t="str">
        <f t="shared" si="60"/>
        <v>YES</v>
      </c>
      <c r="J1333">
        <f>Cleaned_Data!J1333</f>
        <v>24</v>
      </c>
      <c r="K1333" t="str">
        <f t="shared" si="61"/>
        <v>2024-03</v>
      </c>
      <c r="L1333">
        <f t="shared" si="62"/>
        <v>0</v>
      </c>
    </row>
    <row r="1334" spans="1:12">
      <c r="A1334" t="s">
        <v>3879</v>
      </c>
      <c r="B1334" t="s">
        <v>3880</v>
      </c>
      <c r="C1334" t="s">
        <v>3881</v>
      </c>
      <c r="D1334" t="s">
        <v>23</v>
      </c>
      <c r="E1334" t="s">
        <v>59</v>
      </c>
      <c r="F1334" t="s">
        <v>60</v>
      </c>
      <c r="G1334" t="s">
        <v>19</v>
      </c>
      <c r="H1334">
        <f>Cleaned_Data!K1334</f>
        <v>19.690000000000001</v>
      </c>
      <c r="I1334" t="str">
        <f t="shared" si="60"/>
        <v>YES</v>
      </c>
      <c r="J1334">
        <f>Cleaned_Data!J1334</f>
        <v>24</v>
      </c>
      <c r="K1334" t="str">
        <f t="shared" si="61"/>
        <v>2024-03</v>
      </c>
      <c r="L1334">
        <f t="shared" si="62"/>
        <v>0</v>
      </c>
    </row>
    <row r="1335" spans="1:12">
      <c r="A1335" t="s">
        <v>3882</v>
      </c>
      <c r="B1335" t="s">
        <v>3883</v>
      </c>
      <c r="C1335" t="s">
        <v>3884</v>
      </c>
      <c r="D1335" t="s">
        <v>23</v>
      </c>
      <c r="E1335" t="s">
        <v>54</v>
      </c>
      <c r="F1335" t="s">
        <v>60</v>
      </c>
      <c r="G1335" t="s">
        <v>19</v>
      </c>
      <c r="H1335">
        <f>Cleaned_Data!K1335</f>
        <v>14.13</v>
      </c>
      <c r="I1335" t="str">
        <f t="shared" si="60"/>
        <v>YES</v>
      </c>
      <c r="J1335">
        <f>Cleaned_Data!J1335</f>
        <v>24</v>
      </c>
      <c r="K1335" t="str">
        <f t="shared" si="61"/>
        <v>2024-01</v>
      </c>
      <c r="L1335">
        <f t="shared" si="62"/>
        <v>0</v>
      </c>
    </row>
    <row r="1336" spans="1:12">
      <c r="A1336" t="s">
        <v>3885</v>
      </c>
      <c r="B1336" t="s">
        <v>3886</v>
      </c>
      <c r="C1336" t="s">
        <v>3887</v>
      </c>
      <c r="D1336" t="s">
        <v>15</v>
      </c>
      <c r="E1336" t="s">
        <v>16</v>
      </c>
      <c r="F1336" t="s">
        <v>29</v>
      </c>
      <c r="G1336" t="s">
        <v>19</v>
      </c>
      <c r="H1336">
        <f>Cleaned_Data!K1336</f>
        <v>1.58</v>
      </c>
      <c r="I1336" t="str">
        <f t="shared" si="60"/>
        <v>YES</v>
      </c>
      <c r="J1336">
        <f>Cleaned_Data!J1336</f>
        <v>8</v>
      </c>
      <c r="K1336" t="str">
        <f t="shared" si="61"/>
        <v>2024-05</v>
      </c>
      <c r="L1336">
        <f t="shared" si="62"/>
        <v>0</v>
      </c>
    </row>
    <row r="1337" spans="1:12">
      <c r="A1337" t="s">
        <v>3888</v>
      </c>
      <c r="B1337" t="s">
        <v>3889</v>
      </c>
      <c r="C1337" t="s">
        <v>3890</v>
      </c>
      <c r="D1337" t="s">
        <v>35</v>
      </c>
      <c r="E1337" t="s">
        <v>24</v>
      </c>
      <c r="F1337" t="s">
        <v>36</v>
      </c>
      <c r="G1337" t="s">
        <v>31</v>
      </c>
      <c r="H1337">
        <f>Cleaned_Data!K1337</f>
        <v>19.579999999999998</v>
      </c>
      <c r="I1337" t="str">
        <f t="shared" si="60"/>
        <v>YES</v>
      </c>
      <c r="J1337">
        <f>Cleaned_Data!J1337</f>
        <v>48</v>
      </c>
      <c r="K1337" t="str">
        <f t="shared" si="61"/>
        <v>2024-10</v>
      </c>
      <c r="L1337">
        <f t="shared" si="62"/>
        <v>0</v>
      </c>
    </row>
    <row r="1338" spans="1:12">
      <c r="A1338" t="s">
        <v>3891</v>
      </c>
      <c r="B1338" t="s">
        <v>3892</v>
      </c>
      <c r="D1338" t="s">
        <v>23</v>
      </c>
      <c r="E1338" t="s">
        <v>28</v>
      </c>
      <c r="F1338" t="s">
        <v>60</v>
      </c>
      <c r="G1338" t="s">
        <v>63</v>
      </c>
      <c r="H1338">
        <f>Cleaned_Data!K1338</f>
        <v>0</v>
      </c>
      <c r="I1338" t="str">
        <f t="shared" si="60"/>
        <v/>
      </c>
      <c r="J1338">
        <f>Cleaned_Data!J1338</f>
        <v>24</v>
      </c>
      <c r="K1338" t="str">
        <f t="shared" si="61"/>
        <v>2024-03</v>
      </c>
      <c r="L1338">
        <f t="shared" si="62"/>
        <v>0</v>
      </c>
    </row>
    <row r="1339" spans="1:12">
      <c r="A1339" t="s">
        <v>3893</v>
      </c>
      <c r="B1339" t="s">
        <v>3894</v>
      </c>
      <c r="C1339" t="s">
        <v>3895</v>
      </c>
      <c r="D1339" t="s">
        <v>23</v>
      </c>
      <c r="E1339" t="s">
        <v>28</v>
      </c>
      <c r="F1339" t="s">
        <v>60</v>
      </c>
      <c r="G1339" t="s">
        <v>19</v>
      </c>
      <c r="H1339">
        <f>Cleaned_Data!K1339</f>
        <v>8.25</v>
      </c>
      <c r="I1339" t="str">
        <f t="shared" si="60"/>
        <v>YES</v>
      </c>
      <c r="J1339">
        <f>Cleaned_Data!J1339</f>
        <v>24</v>
      </c>
      <c r="K1339" t="str">
        <f t="shared" si="61"/>
        <v>2024-04</v>
      </c>
      <c r="L1339">
        <f t="shared" si="62"/>
        <v>0</v>
      </c>
    </row>
    <row r="1340" spans="1:12">
      <c r="A1340" t="s">
        <v>3896</v>
      </c>
      <c r="B1340" t="s">
        <v>3897</v>
      </c>
      <c r="C1340" t="s">
        <v>3898</v>
      </c>
      <c r="D1340" t="s">
        <v>23</v>
      </c>
      <c r="E1340" t="s">
        <v>54</v>
      </c>
      <c r="F1340" t="s">
        <v>17</v>
      </c>
      <c r="G1340" t="s">
        <v>19</v>
      </c>
      <c r="H1340">
        <f>Cleaned_Data!K1340</f>
        <v>34.47</v>
      </c>
      <c r="I1340" t="str">
        <f t="shared" si="60"/>
        <v>NO</v>
      </c>
      <c r="J1340">
        <f>Cleaned_Data!J1340</f>
        <v>24</v>
      </c>
      <c r="K1340" t="str">
        <f t="shared" si="61"/>
        <v>2024-02</v>
      </c>
      <c r="L1340">
        <f t="shared" si="62"/>
        <v>10.469999999999999</v>
      </c>
    </row>
    <row r="1341" spans="1:12">
      <c r="A1341" t="s">
        <v>3899</v>
      </c>
      <c r="B1341" t="s">
        <v>3900</v>
      </c>
      <c r="C1341" t="s">
        <v>3901</v>
      </c>
      <c r="D1341" t="s">
        <v>158</v>
      </c>
      <c r="E1341" t="s">
        <v>24</v>
      </c>
      <c r="F1341" t="s">
        <v>29</v>
      </c>
      <c r="G1341" t="s">
        <v>31</v>
      </c>
      <c r="H1341">
        <f>Cleaned_Data!K1341</f>
        <v>0.74</v>
      </c>
      <c r="I1341" t="str">
        <f t="shared" si="60"/>
        <v>YES</v>
      </c>
      <c r="J1341">
        <f>Cleaned_Data!J1341</f>
        <v>4</v>
      </c>
      <c r="K1341" t="str">
        <f t="shared" si="61"/>
        <v>2024-06</v>
      </c>
      <c r="L1341">
        <f t="shared" si="62"/>
        <v>0</v>
      </c>
    </row>
    <row r="1342" spans="1:12">
      <c r="A1342" t="s">
        <v>3902</v>
      </c>
      <c r="B1342" t="s">
        <v>3903</v>
      </c>
      <c r="C1342" t="s">
        <v>3904</v>
      </c>
      <c r="D1342" t="s">
        <v>23</v>
      </c>
      <c r="E1342" t="s">
        <v>54</v>
      </c>
      <c r="F1342" t="s">
        <v>36</v>
      </c>
      <c r="G1342" t="s">
        <v>19</v>
      </c>
      <c r="H1342">
        <f>Cleaned_Data!K1342</f>
        <v>10.32</v>
      </c>
      <c r="I1342" t="str">
        <f t="shared" si="60"/>
        <v>YES</v>
      </c>
      <c r="J1342">
        <f>Cleaned_Data!J1342</f>
        <v>24</v>
      </c>
      <c r="K1342" t="str">
        <f t="shared" si="61"/>
        <v>2024-11</v>
      </c>
      <c r="L1342">
        <f t="shared" si="62"/>
        <v>0</v>
      </c>
    </row>
    <row r="1343" spans="1:12">
      <c r="A1343" t="s">
        <v>3905</v>
      </c>
      <c r="B1343" t="s">
        <v>3906</v>
      </c>
      <c r="C1343" t="s">
        <v>3907</v>
      </c>
      <c r="D1343" t="s">
        <v>23</v>
      </c>
      <c r="E1343" t="s">
        <v>54</v>
      </c>
      <c r="F1343" t="s">
        <v>29</v>
      </c>
      <c r="G1343" t="s">
        <v>19</v>
      </c>
      <c r="H1343">
        <f>Cleaned_Data!K1343</f>
        <v>40.950000000000003</v>
      </c>
      <c r="I1343" t="str">
        <f t="shared" si="60"/>
        <v>NO</v>
      </c>
      <c r="J1343">
        <f>Cleaned_Data!J1343</f>
        <v>24</v>
      </c>
      <c r="K1343" t="str">
        <f t="shared" si="61"/>
        <v>2024-02</v>
      </c>
      <c r="L1343">
        <f t="shared" si="62"/>
        <v>16.950000000000003</v>
      </c>
    </row>
    <row r="1344" spans="1:12">
      <c r="A1344" t="s">
        <v>3908</v>
      </c>
      <c r="B1344" t="s">
        <v>3909</v>
      </c>
      <c r="D1344" t="s">
        <v>35</v>
      </c>
      <c r="E1344" t="s">
        <v>24</v>
      </c>
      <c r="F1344" t="s">
        <v>29</v>
      </c>
      <c r="G1344" t="s">
        <v>63</v>
      </c>
      <c r="H1344">
        <f>Cleaned_Data!K1344</f>
        <v>0</v>
      </c>
      <c r="I1344" t="str">
        <f t="shared" si="60"/>
        <v/>
      </c>
      <c r="J1344">
        <f>Cleaned_Data!J1344</f>
        <v>48</v>
      </c>
      <c r="K1344" t="str">
        <f t="shared" si="61"/>
        <v>2024-02</v>
      </c>
      <c r="L1344">
        <f t="shared" si="62"/>
        <v>0</v>
      </c>
    </row>
    <row r="1345" spans="1:12">
      <c r="A1345" t="s">
        <v>3910</v>
      </c>
      <c r="B1345" t="s">
        <v>3911</v>
      </c>
      <c r="C1345" t="s">
        <v>3912</v>
      </c>
      <c r="D1345" t="s">
        <v>23</v>
      </c>
      <c r="E1345" t="s">
        <v>16</v>
      </c>
      <c r="F1345" t="s">
        <v>29</v>
      </c>
      <c r="G1345" t="s">
        <v>31</v>
      </c>
      <c r="H1345">
        <f>Cleaned_Data!K1345</f>
        <v>17.16</v>
      </c>
      <c r="I1345" t="str">
        <f t="shared" si="60"/>
        <v>YES</v>
      </c>
      <c r="J1345">
        <f>Cleaned_Data!J1345</f>
        <v>24</v>
      </c>
      <c r="K1345" t="str">
        <f t="shared" si="61"/>
        <v>2024-09</v>
      </c>
      <c r="L1345">
        <f t="shared" si="62"/>
        <v>0</v>
      </c>
    </row>
    <row r="1346" spans="1:12">
      <c r="A1346" t="s">
        <v>3913</v>
      </c>
      <c r="B1346" t="s">
        <v>3914</v>
      </c>
      <c r="C1346" t="s">
        <v>3915</v>
      </c>
      <c r="D1346" t="s">
        <v>35</v>
      </c>
      <c r="E1346" t="s">
        <v>24</v>
      </c>
      <c r="F1346" t="s">
        <v>36</v>
      </c>
      <c r="G1346" t="s">
        <v>31</v>
      </c>
      <c r="H1346">
        <f>Cleaned_Data!K1346</f>
        <v>23.3</v>
      </c>
      <c r="I1346" t="str">
        <f t="shared" ref="I1346:I1409" si="63">IF(OR(G1346="Resolved", G1346="Closed"), IF(AND(H1346&lt;&gt;"", H1346&lt;=J1346), "YES", "NO"), "")</f>
        <v>YES</v>
      </c>
      <c r="J1346">
        <f>Cleaned_Data!J1346</f>
        <v>48</v>
      </c>
      <c r="K1346" t="str">
        <f t="shared" ref="K1346:K1409" si="64">LEFT(B1346, 7)</f>
        <v>2024-11</v>
      </c>
      <c r="L1346">
        <f t="shared" ref="L1346:L1409" si="65">IF(I1346="NO", H1346-J1346, 0)</f>
        <v>0</v>
      </c>
    </row>
    <row r="1347" spans="1:12">
      <c r="A1347" t="s">
        <v>3916</v>
      </c>
      <c r="B1347" t="s">
        <v>3917</v>
      </c>
      <c r="C1347" t="s">
        <v>3918</v>
      </c>
      <c r="D1347" t="s">
        <v>23</v>
      </c>
      <c r="E1347" t="s">
        <v>54</v>
      </c>
      <c r="F1347" t="s">
        <v>36</v>
      </c>
      <c r="G1347" t="s">
        <v>19</v>
      </c>
      <c r="H1347">
        <f>Cleaned_Data!K1347</f>
        <v>13.91</v>
      </c>
      <c r="I1347" t="str">
        <f t="shared" si="63"/>
        <v>YES</v>
      </c>
      <c r="J1347">
        <f>Cleaned_Data!J1347</f>
        <v>24</v>
      </c>
      <c r="K1347" t="str">
        <f t="shared" si="64"/>
        <v>2024-03</v>
      </c>
      <c r="L1347">
        <f t="shared" si="65"/>
        <v>0</v>
      </c>
    </row>
    <row r="1348" spans="1:12">
      <c r="A1348" t="s">
        <v>3919</v>
      </c>
      <c r="B1348" t="s">
        <v>3920</v>
      </c>
      <c r="C1348" t="s">
        <v>3921</v>
      </c>
      <c r="D1348" t="s">
        <v>23</v>
      </c>
      <c r="E1348" t="s">
        <v>59</v>
      </c>
      <c r="F1348" t="s">
        <v>29</v>
      </c>
      <c r="G1348" t="s">
        <v>19</v>
      </c>
      <c r="H1348">
        <f>Cleaned_Data!K1348</f>
        <v>21.85</v>
      </c>
      <c r="I1348" t="str">
        <f t="shared" si="63"/>
        <v>YES</v>
      </c>
      <c r="J1348">
        <f>Cleaned_Data!J1348</f>
        <v>24</v>
      </c>
      <c r="K1348" t="str">
        <f t="shared" si="64"/>
        <v>2024-08</v>
      </c>
      <c r="L1348">
        <f t="shared" si="65"/>
        <v>0</v>
      </c>
    </row>
    <row r="1349" spans="1:12">
      <c r="A1349" t="s">
        <v>3922</v>
      </c>
      <c r="B1349" t="s">
        <v>3923</v>
      </c>
      <c r="C1349" t="s">
        <v>3924</v>
      </c>
      <c r="D1349" t="s">
        <v>35</v>
      </c>
      <c r="E1349" t="s">
        <v>16</v>
      </c>
      <c r="F1349" t="s">
        <v>41</v>
      </c>
      <c r="G1349" t="s">
        <v>19</v>
      </c>
      <c r="H1349">
        <f>Cleaned_Data!K1349</f>
        <v>79.819999999999993</v>
      </c>
      <c r="I1349" t="str">
        <f t="shared" si="63"/>
        <v>NO</v>
      </c>
      <c r="J1349">
        <f>Cleaned_Data!J1349</f>
        <v>48</v>
      </c>
      <c r="K1349" t="str">
        <f t="shared" si="64"/>
        <v>2024-10</v>
      </c>
      <c r="L1349">
        <f t="shared" si="65"/>
        <v>31.819999999999993</v>
      </c>
    </row>
    <row r="1350" spans="1:12">
      <c r="A1350" t="s">
        <v>3925</v>
      </c>
      <c r="B1350" t="s">
        <v>3926</v>
      </c>
      <c r="C1350" t="s">
        <v>3927</v>
      </c>
      <c r="D1350" t="s">
        <v>15</v>
      </c>
      <c r="E1350" t="s">
        <v>28</v>
      </c>
      <c r="F1350" t="s">
        <v>41</v>
      </c>
      <c r="G1350" t="s">
        <v>31</v>
      </c>
      <c r="H1350">
        <f>Cleaned_Data!K1350</f>
        <v>7.04</v>
      </c>
      <c r="I1350" t="str">
        <f t="shared" si="63"/>
        <v>YES</v>
      </c>
      <c r="J1350">
        <f>Cleaned_Data!J1350</f>
        <v>8</v>
      </c>
      <c r="K1350" t="str">
        <f t="shared" si="64"/>
        <v>2024-03</v>
      </c>
      <c r="L1350">
        <f t="shared" si="65"/>
        <v>0</v>
      </c>
    </row>
    <row r="1351" spans="1:12">
      <c r="A1351" t="s">
        <v>3928</v>
      </c>
      <c r="B1351" t="s">
        <v>3929</v>
      </c>
      <c r="C1351" t="s">
        <v>3930</v>
      </c>
      <c r="D1351" t="s">
        <v>15</v>
      </c>
      <c r="E1351" t="s">
        <v>28</v>
      </c>
      <c r="F1351" t="s">
        <v>29</v>
      </c>
      <c r="G1351" t="s">
        <v>19</v>
      </c>
      <c r="H1351">
        <f>Cleaned_Data!K1351</f>
        <v>4.26</v>
      </c>
      <c r="I1351" t="str">
        <f t="shared" si="63"/>
        <v>YES</v>
      </c>
      <c r="J1351">
        <f>Cleaned_Data!J1351</f>
        <v>8</v>
      </c>
      <c r="K1351" t="str">
        <f t="shared" si="64"/>
        <v>2024-10</v>
      </c>
      <c r="L1351">
        <f t="shared" si="65"/>
        <v>0</v>
      </c>
    </row>
    <row r="1352" spans="1:12">
      <c r="A1352" t="s">
        <v>3931</v>
      </c>
      <c r="B1352" t="s">
        <v>3932</v>
      </c>
      <c r="C1352" t="s">
        <v>3933</v>
      </c>
      <c r="D1352" t="s">
        <v>35</v>
      </c>
      <c r="E1352" t="s">
        <v>59</v>
      </c>
      <c r="F1352" t="s">
        <v>60</v>
      </c>
      <c r="G1352" t="s">
        <v>31</v>
      </c>
      <c r="H1352">
        <f>Cleaned_Data!K1352</f>
        <v>38.770000000000003</v>
      </c>
      <c r="I1352" t="str">
        <f t="shared" si="63"/>
        <v>YES</v>
      </c>
      <c r="J1352">
        <f>Cleaned_Data!J1352</f>
        <v>48</v>
      </c>
      <c r="K1352" t="str">
        <f t="shared" si="64"/>
        <v>2024-08</v>
      </c>
      <c r="L1352">
        <f t="shared" si="65"/>
        <v>0</v>
      </c>
    </row>
    <row r="1353" spans="1:12">
      <c r="A1353" t="s">
        <v>3934</v>
      </c>
      <c r="B1353" t="s">
        <v>3935</v>
      </c>
      <c r="C1353" t="s">
        <v>3936</v>
      </c>
      <c r="D1353" t="s">
        <v>15</v>
      </c>
      <c r="E1353" t="s">
        <v>59</v>
      </c>
      <c r="F1353" t="s">
        <v>41</v>
      </c>
      <c r="G1353" t="s">
        <v>19</v>
      </c>
      <c r="H1353">
        <f>Cleaned_Data!K1353</f>
        <v>3.89</v>
      </c>
      <c r="I1353" t="str">
        <f t="shared" si="63"/>
        <v>YES</v>
      </c>
      <c r="J1353">
        <f>Cleaned_Data!J1353</f>
        <v>8</v>
      </c>
      <c r="K1353" t="str">
        <f t="shared" si="64"/>
        <v>2024-03</v>
      </c>
      <c r="L1353">
        <f t="shared" si="65"/>
        <v>0</v>
      </c>
    </row>
    <row r="1354" spans="1:12">
      <c r="A1354" t="s">
        <v>3937</v>
      </c>
      <c r="B1354" t="s">
        <v>3938</v>
      </c>
      <c r="C1354" t="s">
        <v>3939</v>
      </c>
      <c r="D1354" t="s">
        <v>23</v>
      </c>
      <c r="E1354" t="s">
        <v>16</v>
      </c>
      <c r="F1354" t="s">
        <v>41</v>
      </c>
      <c r="G1354" t="s">
        <v>19</v>
      </c>
      <c r="H1354">
        <f>Cleaned_Data!K1354</f>
        <v>5.19</v>
      </c>
      <c r="I1354" t="str">
        <f t="shared" si="63"/>
        <v>YES</v>
      </c>
      <c r="J1354">
        <f>Cleaned_Data!J1354</f>
        <v>24</v>
      </c>
      <c r="K1354" t="str">
        <f t="shared" si="64"/>
        <v>2024-10</v>
      </c>
      <c r="L1354">
        <f t="shared" si="65"/>
        <v>0</v>
      </c>
    </row>
    <row r="1355" spans="1:12">
      <c r="A1355" t="s">
        <v>3940</v>
      </c>
      <c r="B1355" t="s">
        <v>3941</v>
      </c>
      <c r="C1355" t="s">
        <v>3942</v>
      </c>
      <c r="D1355" t="s">
        <v>15</v>
      </c>
      <c r="E1355" t="s">
        <v>28</v>
      </c>
      <c r="F1355" t="s">
        <v>36</v>
      </c>
      <c r="G1355" t="s">
        <v>31</v>
      </c>
      <c r="H1355">
        <f>Cleaned_Data!K1355</f>
        <v>3.02</v>
      </c>
      <c r="I1355" t="str">
        <f t="shared" si="63"/>
        <v>YES</v>
      </c>
      <c r="J1355">
        <f>Cleaned_Data!J1355</f>
        <v>8</v>
      </c>
      <c r="K1355" t="str">
        <f t="shared" si="64"/>
        <v>2024-09</v>
      </c>
      <c r="L1355">
        <f t="shared" si="65"/>
        <v>0</v>
      </c>
    </row>
    <row r="1356" spans="1:12">
      <c r="A1356" t="s">
        <v>3943</v>
      </c>
      <c r="B1356" t="s">
        <v>3944</v>
      </c>
      <c r="C1356" t="s">
        <v>3945</v>
      </c>
      <c r="D1356" t="s">
        <v>23</v>
      </c>
      <c r="E1356" t="s">
        <v>16</v>
      </c>
      <c r="F1356" t="s">
        <v>36</v>
      </c>
      <c r="G1356" t="s">
        <v>31</v>
      </c>
      <c r="H1356">
        <f>Cleaned_Data!K1356</f>
        <v>27</v>
      </c>
      <c r="I1356" t="str">
        <f t="shared" si="63"/>
        <v>NO</v>
      </c>
      <c r="J1356">
        <f>Cleaned_Data!J1356</f>
        <v>24</v>
      </c>
      <c r="K1356" t="str">
        <f t="shared" si="64"/>
        <v>2024-04</v>
      </c>
      <c r="L1356">
        <f t="shared" si="65"/>
        <v>3</v>
      </c>
    </row>
    <row r="1357" spans="1:12">
      <c r="A1357" t="s">
        <v>3946</v>
      </c>
      <c r="B1357" t="s">
        <v>3947</v>
      </c>
      <c r="C1357" t="s">
        <v>3948</v>
      </c>
      <c r="D1357" t="s">
        <v>23</v>
      </c>
      <c r="E1357" t="s">
        <v>28</v>
      </c>
      <c r="F1357" t="s">
        <v>60</v>
      </c>
      <c r="G1357" t="s">
        <v>31</v>
      </c>
      <c r="H1357">
        <f>Cleaned_Data!K1357</f>
        <v>21.76</v>
      </c>
      <c r="I1357" t="str">
        <f t="shared" si="63"/>
        <v>YES</v>
      </c>
      <c r="J1357">
        <f>Cleaned_Data!J1357</f>
        <v>24</v>
      </c>
      <c r="K1357" t="str">
        <f t="shared" si="64"/>
        <v>2024-10</v>
      </c>
      <c r="L1357">
        <f t="shared" si="65"/>
        <v>0</v>
      </c>
    </row>
    <row r="1358" spans="1:12">
      <c r="A1358" t="s">
        <v>3949</v>
      </c>
      <c r="B1358" t="s">
        <v>3950</v>
      </c>
      <c r="C1358" t="s">
        <v>3951</v>
      </c>
      <c r="D1358" t="s">
        <v>15</v>
      </c>
      <c r="E1358" t="s">
        <v>28</v>
      </c>
      <c r="F1358" t="s">
        <v>17</v>
      </c>
      <c r="G1358" t="s">
        <v>19</v>
      </c>
      <c r="H1358">
        <f>Cleaned_Data!K1358</f>
        <v>4.09</v>
      </c>
      <c r="I1358" t="str">
        <f t="shared" si="63"/>
        <v>YES</v>
      </c>
      <c r="J1358">
        <f>Cleaned_Data!J1358</f>
        <v>8</v>
      </c>
      <c r="K1358" t="str">
        <f t="shared" si="64"/>
        <v>2024-04</v>
      </c>
      <c r="L1358">
        <f t="shared" si="65"/>
        <v>0</v>
      </c>
    </row>
    <row r="1359" spans="1:12">
      <c r="A1359" t="s">
        <v>3952</v>
      </c>
      <c r="B1359" t="s">
        <v>3953</v>
      </c>
      <c r="C1359" t="s">
        <v>3954</v>
      </c>
      <c r="D1359" t="s">
        <v>15</v>
      </c>
      <c r="E1359" t="s">
        <v>24</v>
      </c>
      <c r="F1359" t="s">
        <v>36</v>
      </c>
      <c r="G1359" t="s">
        <v>31</v>
      </c>
      <c r="H1359">
        <f>Cleaned_Data!K1359</f>
        <v>0.82</v>
      </c>
      <c r="I1359" t="str">
        <f t="shared" si="63"/>
        <v>YES</v>
      </c>
      <c r="J1359">
        <f>Cleaned_Data!J1359</f>
        <v>8</v>
      </c>
      <c r="K1359" t="str">
        <f t="shared" si="64"/>
        <v>2024-07</v>
      </c>
      <c r="L1359">
        <f t="shared" si="65"/>
        <v>0</v>
      </c>
    </row>
    <row r="1360" spans="1:12">
      <c r="A1360" t="s">
        <v>3955</v>
      </c>
      <c r="B1360" t="s">
        <v>3956</v>
      </c>
      <c r="C1360" t="s">
        <v>3957</v>
      </c>
      <c r="D1360" t="s">
        <v>23</v>
      </c>
      <c r="E1360" t="s">
        <v>16</v>
      </c>
      <c r="F1360" t="s">
        <v>36</v>
      </c>
      <c r="G1360" t="s">
        <v>31</v>
      </c>
      <c r="H1360">
        <f>Cleaned_Data!K1360</f>
        <v>15.27</v>
      </c>
      <c r="I1360" t="str">
        <f t="shared" si="63"/>
        <v>YES</v>
      </c>
      <c r="J1360">
        <f>Cleaned_Data!J1360</f>
        <v>24</v>
      </c>
      <c r="K1360" t="str">
        <f t="shared" si="64"/>
        <v>2024-08</v>
      </c>
      <c r="L1360">
        <f t="shared" si="65"/>
        <v>0</v>
      </c>
    </row>
    <row r="1361" spans="1:12">
      <c r="A1361" t="s">
        <v>3958</v>
      </c>
      <c r="B1361" t="s">
        <v>3959</v>
      </c>
      <c r="C1361" t="s">
        <v>3960</v>
      </c>
      <c r="D1361" t="s">
        <v>23</v>
      </c>
      <c r="E1361" t="s">
        <v>54</v>
      </c>
      <c r="F1361" t="s">
        <v>17</v>
      </c>
      <c r="G1361" t="s">
        <v>31</v>
      </c>
      <c r="H1361">
        <f>Cleaned_Data!K1361</f>
        <v>56.46</v>
      </c>
      <c r="I1361" t="str">
        <f t="shared" si="63"/>
        <v>NO</v>
      </c>
      <c r="J1361">
        <f>Cleaned_Data!J1361</f>
        <v>24</v>
      </c>
      <c r="K1361" t="str">
        <f t="shared" si="64"/>
        <v>2024-05</v>
      </c>
      <c r="L1361">
        <f t="shared" si="65"/>
        <v>32.46</v>
      </c>
    </row>
    <row r="1362" spans="1:12">
      <c r="A1362" t="s">
        <v>3961</v>
      </c>
      <c r="B1362" t="s">
        <v>3962</v>
      </c>
      <c r="C1362" t="s">
        <v>3963</v>
      </c>
      <c r="D1362" t="s">
        <v>23</v>
      </c>
      <c r="E1362" t="s">
        <v>28</v>
      </c>
      <c r="F1362" t="s">
        <v>41</v>
      </c>
      <c r="G1362" t="s">
        <v>19</v>
      </c>
      <c r="H1362">
        <f>Cleaned_Data!K1362</f>
        <v>20.37</v>
      </c>
      <c r="I1362" t="str">
        <f t="shared" si="63"/>
        <v>YES</v>
      </c>
      <c r="J1362">
        <f>Cleaned_Data!J1362</f>
        <v>24</v>
      </c>
      <c r="K1362" t="str">
        <f t="shared" si="64"/>
        <v>2024-09</v>
      </c>
      <c r="L1362">
        <f t="shared" si="65"/>
        <v>0</v>
      </c>
    </row>
    <row r="1363" spans="1:12">
      <c r="A1363" t="s">
        <v>3964</v>
      </c>
      <c r="B1363" t="s">
        <v>3965</v>
      </c>
      <c r="C1363" t="s">
        <v>3966</v>
      </c>
      <c r="D1363" t="s">
        <v>23</v>
      </c>
      <c r="E1363" t="s">
        <v>28</v>
      </c>
      <c r="F1363" t="s">
        <v>17</v>
      </c>
      <c r="G1363" t="s">
        <v>19</v>
      </c>
      <c r="H1363">
        <f>Cleaned_Data!K1363</f>
        <v>21.91</v>
      </c>
      <c r="I1363" t="str">
        <f t="shared" si="63"/>
        <v>YES</v>
      </c>
      <c r="J1363">
        <f>Cleaned_Data!J1363</f>
        <v>24</v>
      </c>
      <c r="K1363" t="str">
        <f t="shared" si="64"/>
        <v>2024-04</v>
      </c>
      <c r="L1363">
        <f t="shared" si="65"/>
        <v>0</v>
      </c>
    </row>
    <row r="1364" spans="1:12">
      <c r="A1364" t="s">
        <v>3967</v>
      </c>
      <c r="B1364" t="s">
        <v>3968</v>
      </c>
      <c r="C1364" t="s">
        <v>3969</v>
      </c>
      <c r="D1364" t="s">
        <v>23</v>
      </c>
      <c r="E1364" t="s">
        <v>16</v>
      </c>
      <c r="F1364" t="s">
        <v>41</v>
      </c>
      <c r="G1364" t="s">
        <v>31</v>
      </c>
      <c r="H1364">
        <f>Cleaned_Data!K1364</f>
        <v>2.99</v>
      </c>
      <c r="I1364" t="str">
        <f t="shared" si="63"/>
        <v>YES</v>
      </c>
      <c r="J1364">
        <f>Cleaned_Data!J1364</f>
        <v>24</v>
      </c>
      <c r="K1364" t="str">
        <f t="shared" si="64"/>
        <v>2024-05</v>
      </c>
      <c r="L1364">
        <f t="shared" si="65"/>
        <v>0</v>
      </c>
    </row>
    <row r="1365" spans="1:12">
      <c r="A1365" t="s">
        <v>3970</v>
      </c>
      <c r="B1365" t="s">
        <v>3971</v>
      </c>
      <c r="C1365" t="s">
        <v>3972</v>
      </c>
      <c r="D1365" t="s">
        <v>35</v>
      </c>
      <c r="E1365" t="s">
        <v>16</v>
      </c>
      <c r="F1365" t="s">
        <v>36</v>
      </c>
      <c r="G1365" t="s">
        <v>31</v>
      </c>
      <c r="H1365">
        <f>Cleaned_Data!K1365</f>
        <v>17.760000000000002</v>
      </c>
      <c r="I1365" t="str">
        <f t="shared" si="63"/>
        <v>YES</v>
      </c>
      <c r="J1365">
        <f>Cleaned_Data!J1365</f>
        <v>48</v>
      </c>
      <c r="K1365" t="str">
        <f t="shared" si="64"/>
        <v>2024-03</v>
      </c>
      <c r="L1365">
        <f t="shared" si="65"/>
        <v>0</v>
      </c>
    </row>
    <row r="1366" spans="1:12">
      <c r="A1366" t="s">
        <v>3973</v>
      </c>
      <c r="B1366" t="s">
        <v>3974</v>
      </c>
      <c r="C1366" t="s">
        <v>3975</v>
      </c>
      <c r="D1366" t="s">
        <v>23</v>
      </c>
      <c r="E1366" t="s">
        <v>28</v>
      </c>
      <c r="F1366" t="s">
        <v>36</v>
      </c>
      <c r="G1366" t="s">
        <v>19</v>
      </c>
      <c r="H1366">
        <f>Cleaned_Data!K1366</f>
        <v>15.38</v>
      </c>
      <c r="I1366" t="str">
        <f t="shared" si="63"/>
        <v>YES</v>
      </c>
      <c r="J1366">
        <f>Cleaned_Data!J1366</f>
        <v>24</v>
      </c>
      <c r="K1366" t="str">
        <f t="shared" si="64"/>
        <v>2024-06</v>
      </c>
      <c r="L1366">
        <f t="shared" si="65"/>
        <v>0</v>
      </c>
    </row>
    <row r="1367" spans="1:12">
      <c r="A1367" t="s">
        <v>3976</v>
      </c>
      <c r="B1367" t="s">
        <v>3977</v>
      </c>
      <c r="C1367" t="s">
        <v>3978</v>
      </c>
      <c r="D1367" t="s">
        <v>23</v>
      </c>
      <c r="E1367" t="s">
        <v>54</v>
      </c>
      <c r="F1367" t="s">
        <v>17</v>
      </c>
      <c r="G1367" t="s">
        <v>19</v>
      </c>
      <c r="H1367">
        <f>Cleaned_Data!K1367</f>
        <v>21.74</v>
      </c>
      <c r="I1367" t="str">
        <f t="shared" si="63"/>
        <v>YES</v>
      </c>
      <c r="J1367">
        <f>Cleaned_Data!J1367</f>
        <v>24</v>
      </c>
      <c r="K1367" t="str">
        <f t="shared" si="64"/>
        <v>2024-06</v>
      </c>
      <c r="L1367">
        <f t="shared" si="65"/>
        <v>0</v>
      </c>
    </row>
    <row r="1368" spans="1:12">
      <c r="A1368" t="s">
        <v>3979</v>
      </c>
      <c r="B1368" t="s">
        <v>3980</v>
      </c>
      <c r="C1368" t="s">
        <v>3981</v>
      </c>
      <c r="D1368" t="s">
        <v>15</v>
      </c>
      <c r="E1368" t="s">
        <v>28</v>
      </c>
      <c r="F1368" t="s">
        <v>36</v>
      </c>
      <c r="G1368" t="s">
        <v>19</v>
      </c>
      <c r="H1368">
        <f>Cleaned_Data!K1368</f>
        <v>7</v>
      </c>
      <c r="I1368" t="str">
        <f t="shared" si="63"/>
        <v>YES</v>
      </c>
      <c r="J1368">
        <f>Cleaned_Data!J1368</f>
        <v>8</v>
      </c>
      <c r="K1368" t="str">
        <f t="shared" si="64"/>
        <v>2024-05</v>
      </c>
      <c r="L1368">
        <f t="shared" si="65"/>
        <v>0</v>
      </c>
    </row>
    <row r="1369" spans="1:12">
      <c r="A1369" t="s">
        <v>3982</v>
      </c>
      <c r="B1369" t="s">
        <v>3983</v>
      </c>
      <c r="C1369" t="s">
        <v>3984</v>
      </c>
      <c r="D1369" t="s">
        <v>158</v>
      </c>
      <c r="E1369" t="s">
        <v>24</v>
      </c>
      <c r="F1369" t="s">
        <v>17</v>
      </c>
      <c r="G1369" t="s">
        <v>19</v>
      </c>
      <c r="H1369">
        <f>Cleaned_Data!K1369</f>
        <v>10.74</v>
      </c>
      <c r="I1369" t="str">
        <f t="shared" si="63"/>
        <v>NO</v>
      </c>
      <c r="J1369">
        <f>Cleaned_Data!J1369</f>
        <v>4</v>
      </c>
      <c r="K1369" t="str">
        <f t="shared" si="64"/>
        <v>2024-08</v>
      </c>
      <c r="L1369">
        <f t="shared" si="65"/>
        <v>6.74</v>
      </c>
    </row>
    <row r="1370" spans="1:12">
      <c r="A1370" t="s">
        <v>3985</v>
      </c>
      <c r="B1370" t="s">
        <v>3986</v>
      </c>
      <c r="C1370" t="s">
        <v>3987</v>
      </c>
      <c r="D1370" t="s">
        <v>15</v>
      </c>
      <c r="E1370" t="s">
        <v>16</v>
      </c>
      <c r="F1370" t="s">
        <v>29</v>
      </c>
      <c r="G1370" t="s">
        <v>19</v>
      </c>
      <c r="H1370">
        <f>Cleaned_Data!K1370</f>
        <v>2.4900000000000002</v>
      </c>
      <c r="I1370" t="str">
        <f t="shared" si="63"/>
        <v>YES</v>
      </c>
      <c r="J1370">
        <f>Cleaned_Data!J1370</f>
        <v>8</v>
      </c>
      <c r="K1370" t="str">
        <f t="shared" si="64"/>
        <v>2024-10</v>
      </c>
      <c r="L1370">
        <f t="shared" si="65"/>
        <v>0</v>
      </c>
    </row>
    <row r="1371" spans="1:12">
      <c r="A1371" t="s">
        <v>3988</v>
      </c>
      <c r="B1371" t="s">
        <v>3989</v>
      </c>
      <c r="C1371" t="s">
        <v>3990</v>
      </c>
      <c r="D1371" t="s">
        <v>158</v>
      </c>
      <c r="E1371" t="s">
        <v>59</v>
      </c>
      <c r="F1371" t="s">
        <v>36</v>
      </c>
      <c r="G1371" t="s">
        <v>19</v>
      </c>
      <c r="H1371">
        <f>Cleaned_Data!K1371</f>
        <v>0.93</v>
      </c>
      <c r="I1371" t="str">
        <f t="shared" si="63"/>
        <v>YES</v>
      </c>
      <c r="J1371">
        <f>Cleaned_Data!J1371</f>
        <v>4</v>
      </c>
      <c r="K1371" t="str">
        <f t="shared" si="64"/>
        <v>2024-11</v>
      </c>
      <c r="L1371">
        <f t="shared" si="65"/>
        <v>0</v>
      </c>
    </row>
    <row r="1372" spans="1:12">
      <c r="A1372" t="s">
        <v>3991</v>
      </c>
      <c r="B1372" t="s">
        <v>3992</v>
      </c>
      <c r="C1372" t="s">
        <v>3993</v>
      </c>
      <c r="D1372" t="s">
        <v>23</v>
      </c>
      <c r="E1372" t="s">
        <v>54</v>
      </c>
      <c r="F1372" t="s">
        <v>36</v>
      </c>
      <c r="G1372" t="s">
        <v>31</v>
      </c>
      <c r="H1372">
        <f>Cleaned_Data!K1372</f>
        <v>10.11</v>
      </c>
      <c r="I1372" t="str">
        <f t="shared" si="63"/>
        <v>YES</v>
      </c>
      <c r="J1372">
        <f>Cleaned_Data!J1372</f>
        <v>24</v>
      </c>
      <c r="K1372" t="str">
        <f t="shared" si="64"/>
        <v>2024-03</v>
      </c>
      <c r="L1372">
        <f t="shared" si="65"/>
        <v>0</v>
      </c>
    </row>
    <row r="1373" spans="1:12">
      <c r="A1373" t="s">
        <v>3994</v>
      </c>
      <c r="B1373" t="s">
        <v>3995</v>
      </c>
      <c r="C1373" t="s">
        <v>3996</v>
      </c>
      <c r="D1373" t="s">
        <v>23</v>
      </c>
      <c r="E1373" t="s">
        <v>28</v>
      </c>
      <c r="F1373" t="s">
        <v>36</v>
      </c>
      <c r="G1373" t="s">
        <v>19</v>
      </c>
      <c r="H1373">
        <f>Cleaned_Data!K1373</f>
        <v>17.95</v>
      </c>
      <c r="I1373" t="str">
        <f t="shared" si="63"/>
        <v>YES</v>
      </c>
      <c r="J1373">
        <f>Cleaned_Data!J1373</f>
        <v>24</v>
      </c>
      <c r="K1373" t="str">
        <f t="shared" si="64"/>
        <v>2024-11</v>
      </c>
      <c r="L1373">
        <f t="shared" si="65"/>
        <v>0</v>
      </c>
    </row>
    <row r="1374" spans="1:12">
      <c r="A1374" t="s">
        <v>3997</v>
      </c>
      <c r="B1374" t="s">
        <v>3998</v>
      </c>
      <c r="D1374" t="s">
        <v>23</v>
      </c>
      <c r="E1374" t="s">
        <v>28</v>
      </c>
      <c r="F1374" t="s">
        <v>17</v>
      </c>
      <c r="G1374" t="s">
        <v>63</v>
      </c>
      <c r="H1374">
        <f>Cleaned_Data!K1374</f>
        <v>0</v>
      </c>
      <c r="I1374" t="str">
        <f t="shared" si="63"/>
        <v/>
      </c>
      <c r="J1374">
        <f>Cleaned_Data!J1374</f>
        <v>24</v>
      </c>
      <c r="K1374" t="str">
        <f t="shared" si="64"/>
        <v>2024-01</v>
      </c>
      <c r="L1374">
        <f t="shared" si="65"/>
        <v>0</v>
      </c>
    </row>
    <row r="1375" spans="1:12">
      <c r="A1375" t="s">
        <v>3999</v>
      </c>
      <c r="B1375" t="s">
        <v>4000</v>
      </c>
      <c r="C1375" t="s">
        <v>4001</v>
      </c>
      <c r="D1375" t="s">
        <v>23</v>
      </c>
      <c r="E1375" t="s">
        <v>28</v>
      </c>
      <c r="F1375" t="s">
        <v>36</v>
      </c>
      <c r="G1375" t="s">
        <v>19</v>
      </c>
      <c r="H1375">
        <f>Cleaned_Data!K1375</f>
        <v>7.79</v>
      </c>
      <c r="I1375" t="str">
        <f t="shared" si="63"/>
        <v>YES</v>
      </c>
      <c r="J1375">
        <f>Cleaned_Data!J1375</f>
        <v>24</v>
      </c>
      <c r="K1375" t="str">
        <f t="shared" si="64"/>
        <v>2024-05</v>
      </c>
      <c r="L1375">
        <f t="shared" si="65"/>
        <v>0</v>
      </c>
    </row>
    <row r="1376" spans="1:12">
      <c r="A1376" t="s">
        <v>4002</v>
      </c>
      <c r="B1376" t="s">
        <v>4003</v>
      </c>
      <c r="C1376" t="s">
        <v>4004</v>
      </c>
      <c r="D1376" t="s">
        <v>23</v>
      </c>
      <c r="E1376" t="s">
        <v>28</v>
      </c>
      <c r="F1376" t="s">
        <v>17</v>
      </c>
      <c r="G1376" t="s">
        <v>31</v>
      </c>
      <c r="H1376">
        <f>Cleaned_Data!K1376</f>
        <v>20.92</v>
      </c>
      <c r="I1376" t="str">
        <f t="shared" si="63"/>
        <v>YES</v>
      </c>
      <c r="J1376">
        <f>Cleaned_Data!J1376</f>
        <v>24</v>
      </c>
      <c r="K1376" t="str">
        <f t="shared" si="64"/>
        <v>2024-07</v>
      </c>
      <c r="L1376">
        <f t="shared" si="65"/>
        <v>0</v>
      </c>
    </row>
    <row r="1377" spans="1:12">
      <c r="A1377" t="s">
        <v>4005</v>
      </c>
      <c r="B1377" t="s">
        <v>4006</v>
      </c>
      <c r="C1377" t="s">
        <v>4007</v>
      </c>
      <c r="D1377" t="s">
        <v>23</v>
      </c>
      <c r="E1377" t="s">
        <v>54</v>
      </c>
      <c r="F1377" t="s">
        <v>41</v>
      </c>
      <c r="G1377" t="s">
        <v>31</v>
      </c>
      <c r="H1377">
        <f>Cleaned_Data!K1377</f>
        <v>11.63</v>
      </c>
      <c r="I1377" t="str">
        <f t="shared" si="63"/>
        <v>YES</v>
      </c>
      <c r="J1377">
        <f>Cleaned_Data!J1377</f>
        <v>24</v>
      </c>
      <c r="K1377" t="str">
        <f t="shared" si="64"/>
        <v>2024-04</v>
      </c>
      <c r="L1377">
        <f t="shared" si="65"/>
        <v>0</v>
      </c>
    </row>
    <row r="1378" spans="1:12">
      <c r="A1378" t="s">
        <v>4008</v>
      </c>
      <c r="B1378" t="s">
        <v>4009</v>
      </c>
      <c r="C1378" t="s">
        <v>4010</v>
      </c>
      <c r="D1378" t="s">
        <v>23</v>
      </c>
      <c r="E1378" t="s">
        <v>28</v>
      </c>
      <c r="F1378" t="s">
        <v>29</v>
      </c>
      <c r="G1378" t="s">
        <v>31</v>
      </c>
      <c r="H1378">
        <f>Cleaned_Data!K1378</f>
        <v>9.18</v>
      </c>
      <c r="I1378" t="str">
        <f t="shared" si="63"/>
        <v>YES</v>
      </c>
      <c r="J1378">
        <f>Cleaned_Data!J1378</f>
        <v>24</v>
      </c>
      <c r="K1378" t="str">
        <f t="shared" si="64"/>
        <v>2024-01</v>
      </c>
      <c r="L1378">
        <f t="shared" si="65"/>
        <v>0</v>
      </c>
    </row>
    <row r="1379" spans="1:12">
      <c r="A1379" t="s">
        <v>4011</v>
      </c>
      <c r="B1379" t="s">
        <v>4012</v>
      </c>
      <c r="C1379" t="s">
        <v>4013</v>
      </c>
      <c r="D1379" t="s">
        <v>158</v>
      </c>
      <c r="E1379" t="s">
        <v>24</v>
      </c>
      <c r="F1379" t="s">
        <v>41</v>
      </c>
      <c r="G1379" t="s">
        <v>19</v>
      </c>
      <c r="H1379">
        <f>Cleaned_Data!K1379</f>
        <v>2.5</v>
      </c>
      <c r="I1379" t="str">
        <f t="shared" si="63"/>
        <v>YES</v>
      </c>
      <c r="J1379">
        <f>Cleaned_Data!J1379</f>
        <v>4</v>
      </c>
      <c r="K1379" t="str">
        <f t="shared" si="64"/>
        <v>2024-02</v>
      </c>
      <c r="L1379">
        <f t="shared" si="65"/>
        <v>0</v>
      </c>
    </row>
    <row r="1380" spans="1:12">
      <c r="A1380" t="s">
        <v>4014</v>
      </c>
      <c r="B1380" t="s">
        <v>4015</v>
      </c>
      <c r="C1380" t="s">
        <v>4016</v>
      </c>
      <c r="D1380" t="s">
        <v>35</v>
      </c>
      <c r="E1380" t="s">
        <v>16</v>
      </c>
      <c r="F1380" t="s">
        <v>36</v>
      </c>
      <c r="G1380" t="s">
        <v>19</v>
      </c>
      <c r="H1380">
        <f>Cleaned_Data!K1380</f>
        <v>642</v>
      </c>
      <c r="I1380" t="str">
        <f t="shared" si="63"/>
        <v>NO</v>
      </c>
      <c r="J1380">
        <f>Cleaned_Data!J1380</f>
        <v>48</v>
      </c>
      <c r="K1380" t="str">
        <f t="shared" si="64"/>
        <v>2024-10</v>
      </c>
      <c r="L1380">
        <f t="shared" si="65"/>
        <v>594</v>
      </c>
    </row>
    <row r="1381" spans="1:12">
      <c r="A1381" t="s">
        <v>4017</v>
      </c>
      <c r="B1381" t="s">
        <v>4018</v>
      </c>
      <c r="C1381" t="s">
        <v>4019</v>
      </c>
      <c r="D1381" t="s">
        <v>23</v>
      </c>
      <c r="E1381" t="s">
        <v>54</v>
      </c>
      <c r="F1381" t="s">
        <v>36</v>
      </c>
      <c r="G1381" t="s">
        <v>31</v>
      </c>
      <c r="H1381">
        <f>Cleaned_Data!K1381</f>
        <v>18.61</v>
      </c>
      <c r="I1381" t="str">
        <f t="shared" si="63"/>
        <v>YES</v>
      </c>
      <c r="J1381">
        <f>Cleaned_Data!J1381</f>
        <v>24</v>
      </c>
      <c r="K1381" t="str">
        <f t="shared" si="64"/>
        <v>2024-05</v>
      </c>
      <c r="L1381">
        <f t="shared" si="65"/>
        <v>0</v>
      </c>
    </row>
    <row r="1382" spans="1:12">
      <c r="A1382" t="s">
        <v>4020</v>
      </c>
      <c r="B1382" t="s">
        <v>4021</v>
      </c>
      <c r="C1382" t="s">
        <v>4022</v>
      </c>
      <c r="D1382" t="s">
        <v>35</v>
      </c>
      <c r="E1382" t="s">
        <v>28</v>
      </c>
      <c r="F1382" t="s">
        <v>41</v>
      </c>
      <c r="G1382" t="s">
        <v>19</v>
      </c>
      <c r="H1382">
        <f>Cleaned_Data!K1382</f>
        <v>34.979999999999997</v>
      </c>
      <c r="I1382" t="str">
        <f t="shared" si="63"/>
        <v>YES</v>
      </c>
      <c r="J1382">
        <f>Cleaned_Data!J1382</f>
        <v>48</v>
      </c>
      <c r="K1382" t="str">
        <f t="shared" si="64"/>
        <v>2024-05</v>
      </c>
      <c r="L1382">
        <f t="shared" si="65"/>
        <v>0</v>
      </c>
    </row>
    <row r="1383" spans="1:12">
      <c r="A1383" t="s">
        <v>4023</v>
      </c>
      <c r="B1383" t="s">
        <v>4024</v>
      </c>
      <c r="C1383" t="s">
        <v>4025</v>
      </c>
      <c r="D1383" t="s">
        <v>15</v>
      </c>
      <c r="E1383" t="s">
        <v>54</v>
      </c>
      <c r="F1383" t="s">
        <v>41</v>
      </c>
      <c r="G1383" t="s">
        <v>31</v>
      </c>
      <c r="H1383">
        <f>Cleaned_Data!K1383</f>
        <v>5.89</v>
      </c>
      <c r="I1383" t="str">
        <f t="shared" si="63"/>
        <v>YES</v>
      </c>
      <c r="J1383">
        <f>Cleaned_Data!J1383</f>
        <v>8</v>
      </c>
      <c r="K1383" t="str">
        <f t="shared" si="64"/>
        <v>2024-12</v>
      </c>
      <c r="L1383">
        <f t="shared" si="65"/>
        <v>0</v>
      </c>
    </row>
    <row r="1384" spans="1:12">
      <c r="A1384" t="s">
        <v>4026</v>
      </c>
      <c r="B1384" t="s">
        <v>4027</v>
      </c>
      <c r="C1384" t="s">
        <v>4028</v>
      </c>
      <c r="D1384" t="s">
        <v>35</v>
      </c>
      <c r="E1384" t="s">
        <v>24</v>
      </c>
      <c r="F1384" t="s">
        <v>41</v>
      </c>
      <c r="G1384" t="s">
        <v>19</v>
      </c>
      <c r="H1384">
        <f>Cleaned_Data!K1384</f>
        <v>24.68</v>
      </c>
      <c r="I1384" t="str">
        <f t="shared" si="63"/>
        <v>YES</v>
      </c>
      <c r="J1384">
        <f>Cleaned_Data!J1384</f>
        <v>48</v>
      </c>
      <c r="K1384" t="str">
        <f t="shared" si="64"/>
        <v>2024-06</v>
      </c>
      <c r="L1384">
        <f t="shared" si="65"/>
        <v>0</v>
      </c>
    </row>
    <row r="1385" spans="1:12">
      <c r="A1385" t="s">
        <v>4029</v>
      </c>
      <c r="B1385" t="s">
        <v>4030</v>
      </c>
      <c r="D1385" t="s">
        <v>23</v>
      </c>
      <c r="E1385" t="s">
        <v>24</v>
      </c>
      <c r="F1385" t="s">
        <v>36</v>
      </c>
      <c r="G1385" t="s">
        <v>46</v>
      </c>
      <c r="H1385">
        <f>Cleaned_Data!K1385</f>
        <v>0</v>
      </c>
      <c r="I1385" t="str">
        <f t="shared" si="63"/>
        <v/>
      </c>
      <c r="J1385">
        <f>Cleaned_Data!J1385</f>
        <v>24</v>
      </c>
      <c r="K1385" t="str">
        <f t="shared" si="64"/>
        <v>2024-07</v>
      </c>
      <c r="L1385">
        <f t="shared" si="65"/>
        <v>0</v>
      </c>
    </row>
    <row r="1386" spans="1:12">
      <c r="A1386" t="s">
        <v>4031</v>
      </c>
      <c r="B1386" t="s">
        <v>4032</v>
      </c>
      <c r="D1386" t="s">
        <v>35</v>
      </c>
      <c r="E1386" t="s">
        <v>54</v>
      </c>
      <c r="F1386" t="s">
        <v>60</v>
      </c>
      <c r="G1386" t="s">
        <v>63</v>
      </c>
      <c r="H1386">
        <f>Cleaned_Data!K1386</f>
        <v>0</v>
      </c>
      <c r="I1386" t="str">
        <f t="shared" si="63"/>
        <v/>
      </c>
      <c r="J1386">
        <f>Cleaned_Data!J1386</f>
        <v>48</v>
      </c>
      <c r="K1386" t="str">
        <f t="shared" si="64"/>
        <v>2024-10</v>
      </c>
      <c r="L1386">
        <f t="shared" si="65"/>
        <v>0</v>
      </c>
    </row>
    <row r="1387" spans="1:12">
      <c r="A1387" t="s">
        <v>4033</v>
      </c>
      <c r="B1387" t="s">
        <v>4034</v>
      </c>
      <c r="C1387" t="s">
        <v>4035</v>
      </c>
      <c r="D1387" t="s">
        <v>23</v>
      </c>
      <c r="E1387" t="s">
        <v>16</v>
      </c>
      <c r="F1387" t="s">
        <v>29</v>
      </c>
      <c r="G1387" t="s">
        <v>31</v>
      </c>
      <c r="H1387">
        <f>Cleaned_Data!K1387</f>
        <v>6.7</v>
      </c>
      <c r="I1387" t="str">
        <f t="shared" si="63"/>
        <v>YES</v>
      </c>
      <c r="J1387">
        <f>Cleaned_Data!J1387</f>
        <v>24</v>
      </c>
      <c r="K1387" t="str">
        <f t="shared" si="64"/>
        <v>2024-07</v>
      </c>
      <c r="L1387">
        <f t="shared" si="65"/>
        <v>0</v>
      </c>
    </row>
    <row r="1388" spans="1:12">
      <c r="A1388" t="s">
        <v>4036</v>
      </c>
      <c r="B1388" t="s">
        <v>4037</v>
      </c>
      <c r="C1388" t="s">
        <v>4038</v>
      </c>
      <c r="D1388" t="s">
        <v>23</v>
      </c>
      <c r="E1388" t="s">
        <v>16</v>
      </c>
      <c r="F1388" t="s">
        <v>17</v>
      </c>
      <c r="G1388" t="s">
        <v>19</v>
      </c>
      <c r="H1388">
        <f>Cleaned_Data!K1388</f>
        <v>25.66</v>
      </c>
      <c r="I1388" t="str">
        <f t="shared" si="63"/>
        <v>NO</v>
      </c>
      <c r="J1388">
        <f>Cleaned_Data!J1388</f>
        <v>24</v>
      </c>
      <c r="K1388" t="str">
        <f t="shared" si="64"/>
        <v>2024-10</v>
      </c>
      <c r="L1388">
        <f t="shared" si="65"/>
        <v>1.6600000000000001</v>
      </c>
    </row>
    <row r="1389" spans="1:12">
      <c r="A1389" t="s">
        <v>4039</v>
      </c>
      <c r="B1389" t="s">
        <v>4040</v>
      </c>
      <c r="C1389" t="s">
        <v>4041</v>
      </c>
      <c r="D1389" t="s">
        <v>23</v>
      </c>
      <c r="E1389" t="s">
        <v>59</v>
      </c>
      <c r="F1389" t="s">
        <v>36</v>
      </c>
      <c r="G1389" t="s">
        <v>31</v>
      </c>
      <c r="H1389">
        <f>Cleaned_Data!K1389</f>
        <v>4.3099999999999996</v>
      </c>
      <c r="I1389" t="str">
        <f t="shared" si="63"/>
        <v>YES</v>
      </c>
      <c r="J1389">
        <f>Cleaned_Data!J1389</f>
        <v>24</v>
      </c>
      <c r="K1389" t="str">
        <f t="shared" si="64"/>
        <v>2024-02</v>
      </c>
      <c r="L1389">
        <f t="shared" si="65"/>
        <v>0</v>
      </c>
    </row>
    <row r="1390" spans="1:12">
      <c r="A1390" t="s">
        <v>4042</v>
      </c>
      <c r="B1390" t="s">
        <v>4043</v>
      </c>
      <c r="C1390" t="s">
        <v>4044</v>
      </c>
      <c r="D1390" t="s">
        <v>158</v>
      </c>
      <c r="E1390" t="s">
        <v>28</v>
      </c>
      <c r="F1390" t="s">
        <v>17</v>
      </c>
      <c r="G1390" t="s">
        <v>19</v>
      </c>
      <c r="H1390">
        <f>Cleaned_Data!K1390</f>
        <v>1.17</v>
      </c>
      <c r="I1390" t="str">
        <f t="shared" si="63"/>
        <v>YES</v>
      </c>
      <c r="J1390">
        <f>Cleaned_Data!J1390</f>
        <v>4</v>
      </c>
      <c r="K1390" t="str">
        <f t="shared" si="64"/>
        <v>2024-02</v>
      </c>
      <c r="L1390">
        <f t="shared" si="65"/>
        <v>0</v>
      </c>
    </row>
    <row r="1391" spans="1:12">
      <c r="A1391" t="s">
        <v>4045</v>
      </c>
      <c r="B1391" t="s">
        <v>4046</v>
      </c>
      <c r="C1391" t="s">
        <v>4047</v>
      </c>
      <c r="D1391" t="s">
        <v>15</v>
      </c>
      <c r="E1391" t="s">
        <v>28</v>
      </c>
      <c r="F1391" t="s">
        <v>41</v>
      </c>
      <c r="G1391" t="s">
        <v>31</v>
      </c>
      <c r="H1391">
        <f>Cleaned_Data!K1391</f>
        <v>6.02</v>
      </c>
      <c r="I1391" t="str">
        <f t="shared" si="63"/>
        <v>YES</v>
      </c>
      <c r="J1391">
        <f>Cleaned_Data!J1391</f>
        <v>8</v>
      </c>
      <c r="K1391" t="str">
        <f t="shared" si="64"/>
        <v>2024-12</v>
      </c>
      <c r="L1391">
        <f t="shared" si="65"/>
        <v>0</v>
      </c>
    </row>
    <row r="1392" spans="1:12">
      <c r="A1392" t="s">
        <v>4048</v>
      </c>
      <c r="B1392" t="s">
        <v>4049</v>
      </c>
      <c r="C1392" t="s">
        <v>4050</v>
      </c>
      <c r="D1392" t="s">
        <v>23</v>
      </c>
      <c r="E1392" t="s">
        <v>54</v>
      </c>
      <c r="F1392" t="s">
        <v>36</v>
      </c>
      <c r="G1392" t="s">
        <v>19</v>
      </c>
      <c r="H1392">
        <f>Cleaned_Data!K1392</f>
        <v>8.11</v>
      </c>
      <c r="I1392" t="str">
        <f t="shared" si="63"/>
        <v>YES</v>
      </c>
      <c r="J1392">
        <f>Cleaned_Data!J1392</f>
        <v>24</v>
      </c>
      <c r="K1392" t="str">
        <f t="shared" si="64"/>
        <v>2024-08</v>
      </c>
      <c r="L1392">
        <f t="shared" si="65"/>
        <v>0</v>
      </c>
    </row>
    <row r="1393" spans="1:12">
      <c r="A1393" t="s">
        <v>4051</v>
      </c>
      <c r="B1393" t="s">
        <v>4052</v>
      </c>
      <c r="C1393" t="s">
        <v>4053</v>
      </c>
      <c r="D1393" t="s">
        <v>15</v>
      </c>
      <c r="E1393" t="s">
        <v>28</v>
      </c>
      <c r="F1393" t="s">
        <v>41</v>
      </c>
      <c r="G1393" t="s">
        <v>31</v>
      </c>
      <c r="H1393">
        <f>Cleaned_Data!K1393</f>
        <v>17.829999999999998</v>
      </c>
      <c r="I1393" t="str">
        <f t="shared" si="63"/>
        <v>NO</v>
      </c>
      <c r="J1393">
        <f>Cleaned_Data!J1393</f>
        <v>8</v>
      </c>
      <c r="K1393" t="str">
        <f t="shared" si="64"/>
        <v>2024-02</v>
      </c>
      <c r="L1393">
        <f t="shared" si="65"/>
        <v>9.8299999999999983</v>
      </c>
    </row>
    <row r="1394" spans="1:12">
      <c r="A1394" t="s">
        <v>4054</v>
      </c>
      <c r="B1394" t="s">
        <v>4055</v>
      </c>
      <c r="C1394" t="s">
        <v>4056</v>
      </c>
      <c r="D1394" t="s">
        <v>35</v>
      </c>
      <c r="E1394" t="s">
        <v>54</v>
      </c>
      <c r="F1394" t="s">
        <v>41</v>
      </c>
      <c r="G1394" t="s">
        <v>19</v>
      </c>
      <c r="H1394">
        <f>Cleaned_Data!K1394</f>
        <v>45.15</v>
      </c>
      <c r="I1394" t="str">
        <f t="shared" si="63"/>
        <v>YES</v>
      </c>
      <c r="J1394">
        <f>Cleaned_Data!J1394</f>
        <v>48</v>
      </c>
      <c r="K1394" t="str">
        <f t="shared" si="64"/>
        <v>2024-10</v>
      </c>
      <c r="L1394">
        <f t="shared" si="65"/>
        <v>0</v>
      </c>
    </row>
    <row r="1395" spans="1:12">
      <c r="A1395" t="s">
        <v>4057</v>
      </c>
      <c r="B1395" t="s">
        <v>4058</v>
      </c>
      <c r="C1395" t="s">
        <v>4059</v>
      </c>
      <c r="D1395" t="s">
        <v>23</v>
      </c>
      <c r="E1395" t="s">
        <v>24</v>
      </c>
      <c r="F1395" t="s">
        <v>41</v>
      </c>
      <c r="G1395" t="s">
        <v>19</v>
      </c>
      <c r="H1395">
        <f>Cleaned_Data!K1395</f>
        <v>27.64</v>
      </c>
      <c r="I1395" t="str">
        <f t="shared" si="63"/>
        <v>NO</v>
      </c>
      <c r="J1395">
        <f>Cleaned_Data!J1395</f>
        <v>24</v>
      </c>
      <c r="K1395" t="str">
        <f t="shared" si="64"/>
        <v>2024-11</v>
      </c>
      <c r="L1395">
        <f t="shared" si="65"/>
        <v>3.6400000000000006</v>
      </c>
    </row>
    <row r="1396" spans="1:12">
      <c r="A1396" t="s">
        <v>4060</v>
      </c>
      <c r="B1396" t="s">
        <v>4061</v>
      </c>
      <c r="C1396" t="s">
        <v>4062</v>
      </c>
      <c r="D1396" t="s">
        <v>23</v>
      </c>
      <c r="E1396" t="s">
        <v>28</v>
      </c>
      <c r="F1396" t="s">
        <v>29</v>
      </c>
      <c r="G1396" t="s">
        <v>31</v>
      </c>
      <c r="H1396">
        <f>Cleaned_Data!K1396</f>
        <v>10.42</v>
      </c>
      <c r="I1396" t="str">
        <f t="shared" si="63"/>
        <v>YES</v>
      </c>
      <c r="J1396">
        <f>Cleaned_Data!J1396</f>
        <v>24</v>
      </c>
      <c r="K1396" t="str">
        <f t="shared" si="64"/>
        <v>2024-06</v>
      </c>
      <c r="L1396">
        <f t="shared" si="65"/>
        <v>0</v>
      </c>
    </row>
    <row r="1397" spans="1:12">
      <c r="A1397" t="s">
        <v>4063</v>
      </c>
      <c r="B1397" t="s">
        <v>4064</v>
      </c>
      <c r="C1397" t="s">
        <v>4065</v>
      </c>
      <c r="D1397" t="s">
        <v>23</v>
      </c>
      <c r="E1397" t="s">
        <v>28</v>
      </c>
      <c r="F1397" t="s">
        <v>60</v>
      </c>
      <c r="G1397" t="s">
        <v>19</v>
      </c>
      <c r="H1397">
        <f>Cleaned_Data!K1397</f>
        <v>64.61</v>
      </c>
      <c r="I1397" t="str">
        <f t="shared" si="63"/>
        <v>NO</v>
      </c>
      <c r="J1397">
        <f>Cleaned_Data!J1397</f>
        <v>24</v>
      </c>
      <c r="K1397" t="str">
        <f t="shared" si="64"/>
        <v>2024-10</v>
      </c>
      <c r="L1397">
        <f t="shared" si="65"/>
        <v>40.61</v>
      </c>
    </row>
    <row r="1398" spans="1:12">
      <c r="A1398" t="s">
        <v>4066</v>
      </c>
      <c r="B1398" t="s">
        <v>4067</v>
      </c>
      <c r="C1398" t="s">
        <v>4068</v>
      </c>
      <c r="D1398" t="s">
        <v>35</v>
      </c>
      <c r="E1398" t="s">
        <v>16</v>
      </c>
      <c r="F1398" t="s">
        <v>41</v>
      </c>
      <c r="G1398" t="s">
        <v>19</v>
      </c>
      <c r="H1398">
        <f>Cleaned_Data!K1398</f>
        <v>15.02</v>
      </c>
      <c r="I1398" t="str">
        <f t="shared" si="63"/>
        <v>YES</v>
      </c>
      <c r="J1398">
        <f>Cleaned_Data!J1398</f>
        <v>48</v>
      </c>
      <c r="K1398" t="str">
        <f t="shared" si="64"/>
        <v>2024-09</v>
      </c>
      <c r="L1398">
        <f t="shared" si="65"/>
        <v>0</v>
      </c>
    </row>
    <row r="1399" spans="1:12">
      <c r="A1399" t="s">
        <v>4069</v>
      </c>
      <c r="B1399" t="s">
        <v>4070</v>
      </c>
      <c r="C1399" t="s">
        <v>4071</v>
      </c>
      <c r="D1399" t="s">
        <v>23</v>
      </c>
      <c r="E1399" t="s">
        <v>28</v>
      </c>
      <c r="F1399" t="s">
        <v>36</v>
      </c>
      <c r="G1399" t="s">
        <v>31</v>
      </c>
      <c r="H1399">
        <f>Cleaned_Data!K1399</f>
        <v>9.4600000000000009</v>
      </c>
      <c r="I1399" t="str">
        <f t="shared" si="63"/>
        <v>YES</v>
      </c>
      <c r="J1399">
        <f>Cleaned_Data!J1399</f>
        <v>24</v>
      </c>
      <c r="K1399" t="str">
        <f t="shared" si="64"/>
        <v>2024-12</v>
      </c>
      <c r="L1399">
        <f t="shared" si="65"/>
        <v>0</v>
      </c>
    </row>
    <row r="1400" spans="1:12">
      <c r="A1400" t="s">
        <v>4072</v>
      </c>
      <c r="B1400" t="s">
        <v>4073</v>
      </c>
      <c r="C1400" t="s">
        <v>4074</v>
      </c>
      <c r="D1400" t="s">
        <v>23</v>
      </c>
      <c r="E1400" t="s">
        <v>59</v>
      </c>
      <c r="F1400" t="s">
        <v>17</v>
      </c>
      <c r="G1400" t="s">
        <v>19</v>
      </c>
      <c r="H1400">
        <f>Cleaned_Data!K1400</f>
        <v>71.790000000000006</v>
      </c>
      <c r="I1400" t="str">
        <f t="shared" si="63"/>
        <v>NO</v>
      </c>
      <c r="J1400">
        <f>Cleaned_Data!J1400</f>
        <v>24</v>
      </c>
      <c r="K1400" t="str">
        <f t="shared" si="64"/>
        <v>2024-08</v>
      </c>
      <c r="L1400">
        <f t="shared" si="65"/>
        <v>47.790000000000006</v>
      </c>
    </row>
    <row r="1401" spans="1:12">
      <c r="A1401" t="s">
        <v>4075</v>
      </c>
      <c r="B1401" t="s">
        <v>4076</v>
      </c>
      <c r="C1401" t="s">
        <v>4077</v>
      </c>
      <c r="D1401" t="s">
        <v>23</v>
      </c>
      <c r="E1401" t="s">
        <v>24</v>
      </c>
      <c r="F1401" t="s">
        <v>29</v>
      </c>
      <c r="G1401" t="s">
        <v>19</v>
      </c>
      <c r="H1401">
        <f>Cleaned_Data!K1401</f>
        <v>7.58</v>
      </c>
      <c r="I1401" t="str">
        <f t="shared" si="63"/>
        <v>YES</v>
      </c>
      <c r="J1401">
        <f>Cleaned_Data!J1401</f>
        <v>24</v>
      </c>
      <c r="K1401" t="str">
        <f t="shared" si="64"/>
        <v>2024-05</v>
      </c>
      <c r="L1401">
        <f t="shared" si="65"/>
        <v>0</v>
      </c>
    </row>
    <row r="1402" spans="1:12">
      <c r="A1402" t="s">
        <v>4078</v>
      </c>
      <c r="B1402" t="s">
        <v>4079</v>
      </c>
      <c r="C1402" t="s">
        <v>4080</v>
      </c>
      <c r="D1402" t="s">
        <v>15</v>
      </c>
      <c r="E1402" t="s">
        <v>54</v>
      </c>
      <c r="F1402" t="s">
        <v>41</v>
      </c>
      <c r="G1402" t="s">
        <v>19</v>
      </c>
      <c r="H1402">
        <f>Cleaned_Data!K1402</f>
        <v>2.52</v>
      </c>
      <c r="I1402" t="str">
        <f t="shared" si="63"/>
        <v>YES</v>
      </c>
      <c r="J1402">
        <f>Cleaned_Data!J1402</f>
        <v>8</v>
      </c>
      <c r="K1402" t="str">
        <f t="shared" si="64"/>
        <v>2024-08</v>
      </c>
      <c r="L1402">
        <f t="shared" si="65"/>
        <v>0</v>
      </c>
    </row>
    <row r="1403" spans="1:12">
      <c r="A1403" t="s">
        <v>4081</v>
      </c>
      <c r="B1403" t="s">
        <v>4082</v>
      </c>
      <c r="C1403" t="s">
        <v>4083</v>
      </c>
      <c r="D1403" t="s">
        <v>35</v>
      </c>
      <c r="E1403" t="s">
        <v>16</v>
      </c>
      <c r="F1403" t="s">
        <v>41</v>
      </c>
      <c r="G1403" t="s">
        <v>31</v>
      </c>
      <c r="H1403">
        <f>Cleaned_Data!K1403</f>
        <v>24.12</v>
      </c>
      <c r="I1403" t="str">
        <f t="shared" si="63"/>
        <v>YES</v>
      </c>
      <c r="J1403">
        <f>Cleaned_Data!J1403</f>
        <v>48</v>
      </c>
      <c r="K1403" t="str">
        <f t="shared" si="64"/>
        <v>2024-08</v>
      </c>
      <c r="L1403">
        <f t="shared" si="65"/>
        <v>0</v>
      </c>
    </row>
    <row r="1404" spans="1:12">
      <c r="A1404" t="s">
        <v>4084</v>
      </c>
      <c r="B1404" t="s">
        <v>4085</v>
      </c>
      <c r="C1404" t="s">
        <v>4086</v>
      </c>
      <c r="D1404" t="s">
        <v>23</v>
      </c>
      <c r="E1404" t="s">
        <v>24</v>
      </c>
      <c r="F1404" t="s">
        <v>29</v>
      </c>
      <c r="G1404" t="s">
        <v>31</v>
      </c>
      <c r="H1404">
        <f>Cleaned_Data!K1404</f>
        <v>16.8</v>
      </c>
      <c r="I1404" t="str">
        <f t="shared" si="63"/>
        <v>YES</v>
      </c>
      <c r="J1404">
        <f>Cleaned_Data!J1404</f>
        <v>24</v>
      </c>
      <c r="K1404" t="str">
        <f t="shared" si="64"/>
        <v>2024-10</v>
      </c>
      <c r="L1404">
        <f t="shared" si="65"/>
        <v>0</v>
      </c>
    </row>
    <row r="1405" spans="1:12">
      <c r="A1405" t="s">
        <v>4087</v>
      </c>
      <c r="B1405" t="s">
        <v>4088</v>
      </c>
      <c r="C1405" t="s">
        <v>4089</v>
      </c>
      <c r="D1405" t="s">
        <v>15</v>
      </c>
      <c r="E1405" t="s">
        <v>28</v>
      </c>
      <c r="F1405" t="s">
        <v>36</v>
      </c>
      <c r="G1405" t="s">
        <v>19</v>
      </c>
      <c r="H1405">
        <f>Cleaned_Data!K1405</f>
        <v>2.94</v>
      </c>
      <c r="I1405" t="str">
        <f t="shared" si="63"/>
        <v>YES</v>
      </c>
      <c r="J1405">
        <f>Cleaned_Data!J1405</f>
        <v>8</v>
      </c>
      <c r="K1405" t="str">
        <f t="shared" si="64"/>
        <v>2024-11</v>
      </c>
      <c r="L1405">
        <f t="shared" si="65"/>
        <v>0</v>
      </c>
    </row>
    <row r="1406" spans="1:12">
      <c r="A1406" t="s">
        <v>4090</v>
      </c>
      <c r="B1406" t="s">
        <v>4091</v>
      </c>
      <c r="C1406" t="s">
        <v>4092</v>
      </c>
      <c r="D1406" t="s">
        <v>35</v>
      </c>
      <c r="E1406" t="s">
        <v>24</v>
      </c>
      <c r="F1406" t="s">
        <v>60</v>
      </c>
      <c r="G1406" t="s">
        <v>19</v>
      </c>
      <c r="H1406">
        <f>Cleaned_Data!K1406</f>
        <v>129.79</v>
      </c>
      <c r="I1406" t="str">
        <f t="shared" si="63"/>
        <v>NO</v>
      </c>
      <c r="J1406">
        <f>Cleaned_Data!J1406</f>
        <v>48</v>
      </c>
      <c r="K1406" t="str">
        <f t="shared" si="64"/>
        <v>2024-04</v>
      </c>
      <c r="L1406">
        <f t="shared" si="65"/>
        <v>81.789999999999992</v>
      </c>
    </row>
    <row r="1407" spans="1:12">
      <c r="A1407" t="s">
        <v>4093</v>
      </c>
      <c r="B1407" t="s">
        <v>4094</v>
      </c>
      <c r="C1407" t="s">
        <v>4095</v>
      </c>
      <c r="D1407" t="s">
        <v>15</v>
      </c>
      <c r="E1407" t="s">
        <v>59</v>
      </c>
      <c r="F1407" t="s">
        <v>29</v>
      </c>
      <c r="G1407" t="s">
        <v>19</v>
      </c>
      <c r="H1407">
        <f>Cleaned_Data!K1407</f>
        <v>3.63</v>
      </c>
      <c r="I1407" t="str">
        <f t="shared" si="63"/>
        <v>YES</v>
      </c>
      <c r="J1407">
        <f>Cleaned_Data!J1407</f>
        <v>8</v>
      </c>
      <c r="K1407" t="str">
        <f t="shared" si="64"/>
        <v>2024-10</v>
      </c>
      <c r="L1407">
        <f t="shared" si="65"/>
        <v>0</v>
      </c>
    </row>
    <row r="1408" spans="1:12">
      <c r="A1408" t="s">
        <v>4096</v>
      </c>
      <c r="B1408" t="s">
        <v>4097</v>
      </c>
      <c r="C1408" t="s">
        <v>4098</v>
      </c>
      <c r="D1408" t="s">
        <v>158</v>
      </c>
      <c r="E1408" t="s">
        <v>54</v>
      </c>
      <c r="F1408" t="s">
        <v>60</v>
      </c>
      <c r="G1408" t="s">
        <v>31</v>
      </c>
      <c r="H1408">
        <f>Cleaned_Data!K1408</f>
        <v>1.91</v>
      </c>
      <c r="I1408" t="str">
        <f t="shared" si="63"/>
        <v>YES</v>
      </c>
      <c r="J1408">
        <f>Cleaned_Data!J1408</f>
        <v>4</v>
      </c>
      <c r="K1408" t="str">
        <f t="shared" si="64"/>
        <v>2024-01</v>
      </c>
      <c r="L1408">
        <f t="shared" si="65"/>
        <v>0</v>
      </c>
    </row>
    <row r="1409" spans="1:12">
      <c r="A1409" t="s">
        <v>4099</v>
      </c>
      <c r="B1409" t="s">
        <v>4100</v>
      </c>
      <c r="C1409" t="s">
        <v>4101</v>
      </c>
      <c r="D1409" t="s">
        <v>23</v>
      </c>
      <c r="E1409" t="s">
        <v>28</v>
      </c>
      <c r="F1409" t="s">
        <v>36</v>
      </c>
      <c r="G1409" t="s">
        <v>19</v>
      </c>
      <c r="H1409">
        <f>Cleaned_Data!K1409</f>
        <v>9.3699999999999992</v>
      </c>
      <c r="I1409" t="str">
        <f t="shared" si="63"/>
        <v>YES</v>
      </c>
      <c r="J1409">
        <f>Cleaned_Data!J1409</f>
        <v>24</v>
      </c>
      <c r="K1409" t="str">
        <f t="shared" si="64"/>
        <v>2024-03</v>
      </c>
      <c r="L1409">
        <f t="shared" si="65"/>
        <v>0</v>
      </c>
    </row>
    <row r="1410" spans="1:12">
      <c r="A1410" t="s">
        <v>4102</v>
      </c>
      <c r="B1410" t="s">
        <v>4103</v>
      </c>
      <c r="D1410" t="s">
        <v>158</v>
      </c>
      <c r="E1410" t="s">
        <v>59</v>
      </c>
      <c r="F1410" t="s">
        <v>36</v>
      </c>
      <c r="G1410" t="s">
        <v>63</v>
      </c>
      <c r="H1410">
        <f>Cleaned_Data!K1410</f>
        <v>0</v>
      </c>
      <c r="I1410" t="str">
        <f t="shared" ref="I1410:I1473" si="66">IF(OR(G1410="Resolved", G1410="Closed"), IF(AND(H1410&lt;&gt;"", H1410&lt;=J1410), "YES", "NO"), "")</f>
        <v/>
      </c>
      <c r="J1410">
        <f>Cleaned_Data!J1410</f>
        <v>4</v>
      </c>
      <c r="K1410" t="str">
        <f t="shared" ref="K1410:K1473" si="67">LEFT(B1410, 7)</f>
        <v>2024-09</v>
      </c>
      <c r="L1410">
        <f t="shared" ref="L1410:L1473" si="68">IF(I1410="NO", H1410-J1410, 0)</f>
        <v>0</v>
      </c>
    </row>
    <row r="1411" spans="1:12">
      <c r="A1411" t="s">
        <v>4104</v>
      </c>
      <c r="B1411" t="s">
        <v>4105</v>
      </c>
      <c r="D1411" t="s">
        <v>23</v>
      </c>
      <c r="E1411" t="s">
        <v>24</v>
      </c>
      <c r="F1411" t="s">
        <v>60</v>
      </c>
      <c r="G1411" t="s">
        <v>46</v>
      </c>
      <c r="H1411">
        <f>Cleaned_Data!K1411</f>
        <v>0</v>
      </c>
      <c r="I1411" t="str">
        <f t="shared" si="66"/>
        <v/>
      </c>
      <c r="J1411">
        <f>Cleaned_Data!J1411</f>
        <v>24</v>
      </c>
      <c r="K1411" t="str">
        <f t="shared" si="67"/>
        <v>2024-03</v>
      </c>
      <c r="L1411">
        <f t="shared" si="68"/>
        <v>0</v>
      </c>
    </row>
    <row r="1412" spans="1:12">
      <c r="A1412" t="s">
        <v>4106</v>
      </c>
      <c r="B1412" t="s">
        <v>4107</v>
      </c>
      <c r="C1412" t="s">
        <v>4108</v>
      </c>
      <c r="D1412" t="s">
        <v>15</v>
      </c>
      <c r="E1412" t="s">
        <v>24</v>
      </c>
      <c r="F1412" t="s">
        <v>29</v>
      </c>
      <c r="G1412" t="s">
        <v>19</v>
      </c>
      <c r="H1412">
        <f>Cleaned_Data!K1412</f>
        <v>2.48</v>
      </c>
      <c r="I1412" t="str">
        <f t="shared" si="66"/>
        <v>YES</v>
      </c>
      <c r="J1412">
        <f>Cleaned_Data!J1412</f>
        <v>8</v>
      </c>
      <c r="K1412" t="str">
        <f t="shared" si="67"/>
        <v>2024-10</v>
      </c>
      <c r="L1412">
        <f t="shared" si="68"/>
        <v>0</v>
      </c>
    </row>
    <row r="1413" spans="1:12">
      <c r="A1413" t="s">
        <v>4109</v>
      </c>
      <c r="B1413" t="s">
        <v>4110</v>
      </c>
      <c r="C1413" t="s">
        <v>4111</v>
      </c>
      <c r="D1413" t="s">
        <v>35</v>
      </c>
      <c r="E1413" t="s">
        <v>16</v>
      </c>
      <c r="F1413" t="s">
        <v>17</v>
      </c>
      <c r="G1413" t="s">
        <v>19</v>
      </c>
      <c r="H1413">
        <f>Cleaned_Data!K1413</f>
        <v>12.06</v>
      </c>
      <c r="I1413" t="str">
        <f t="shared" si="66"/>
        <v>YES</v>
      </c>
      <c r="J1413">
        <f>Cleaned_Data!J1413</f>
        <v>48</v>
      </c>
      <c r="K1413" t="str">
        <f t="shared" si="67"/>
        <v>2024-09</v>
      </c>
      <c r="L1413">
        <f t="shared" si="68"/>
        <v>0</v>
      </c>
    </row>
    <row r="1414" spans="1:12">
      <c r="A1414" t="s">
        <v>4112</v>
      </c>
      <c r="B1414" t="s">
        <v>4113</v>
      </c>
      <c r="C1414" t="s">
        <v>4114</v>
      </c>
      <c r="D1414" t="s">
        <v>23</v>
      </c>
      <c r="E1414" t="s">
        <v>16</v>
      </c>
      <c r="F1414" t="s">
        <v>29</v>
      </c>
      <c r="G1414" t="s">
        <v>19</v>
      </c>
      <c r="H1414">
        <f>Cleaned_Data!K1414</f>
        <v>16.63</v>
      </c>
      <c r="I1414" t="str">
        <f t="shared" si="66"/>
        <v>YES</v>
      </c>
      <c r="J1414">
        <f>Cleaned_Data!J1414</f>
        <v>24</v>
      </c>
      <c r="K1414" t="str">
        <f t="shared" si="67"/>
        <v>2024-05</v>
      </c>
      <c r="L1414">
        <f t="shared" si="68"/>
        <v>0</v>
      </c>
    </row>
    <row r="1415" spans="1:12">
      <c r="A1415" t="s">
        <v>4115</v>
      </c>
      <c r="B1415" t="s">
        <v>4116</v>
      </c>
      <c r="C1415" t="s">
        <v>4117</v>
      </c>
      <c r="D1415" t="s">
        <v>23</v>
      </c>
      <c r="E1415" t="s">
        <v>28</v>
      </c>
      <c r="F1415" t="s">
        <v>60</v>
      </c>
      <c r="G1415" t="s">
        <v>31</v>
      </c>
      <c r="H1415">
        <f>Cleaned_Data!K1415</f>
        <v>5.88</v>
      </c>
      <c r="I1415" t="str">
        <f t="shared" si="66"/>
        <v>YES</v>
      </c>
      <c r="J1415">
        <f>Cleaned_Data!J1415</f>
        <v>24</v>
      </c>
      <c r="K1415" t="str">
        <f t="shared" si="67"/>
        <v>2024-07</v>
      </c>
      <c r="L1415">
        <f t="shared" si="68"/>
        <v>0</v>
      </c>
    </row>
    <row r="1416" spans="1:12">
      <c r="A1416" t="s">
        <v>4118</v>
      </c>
      <c r="B1416" t="s">
        <v>4119</v>
      </c>
      <c r="C1416" t="s">
        <v>4120</v>
      </c>
      <c r="D1416" t="s">
        <v>23</v>
      </c>
      <c r="E1416" t="s">
        <v>28</v>
      </c>
      <c r="F1416" t="s">
        <v>17</v>
      </c>
      <c r="G1416" t="s">
        <v>19</v>
      </c>
      <c r="H1416">
        <f>Cleaned_Data!K1416</f>
        <v>16.309999999999999</v>
      </c>
      <c r="I1416" t="str">
        <f t="shared" si="66"/>
        <v>YES</v>
      </c>
      <c r="J1416">
        <f>Cleaned_Data!J1416</f>
        <v>24</v>
      </c>
      <c r="K1416" t="str">
        <f t="shared" si="67"/>
        <v>2024-08</v>
      </c>
      <c r="L1416">
        <f t="shared" si="68"/>
        <v>0</v>
      </c>
    </row>
    <row r="1417" spans="1:12">
      <c r="A1417" t="s">
        <v>4121</v>
      </c>
      <c r="B1417" t="s">
        <v>4122</v>
      </c>
      <c r="C1417" t="s">
        <v>4123</v>
      </c>
      <c r="D1417" t="s">
        <v>23</v>
      </c>
      <c r="E1417" t="s">
        <v>28</v>
      </c>
      <c r="F1417" t="s">
        <v>29</v>
      </c>
      <c r="G1417" t="s">
        <v>19</v>
      </c>
      <c r="H1417">
        <f>Cleaned_Data!K1417</f>
        <v>6.85</v>
      </c>
      <c r="I1417" t="str">
        <f t="shared" si="66"/>
        <v>YES</v>
      </c>
      <c r="J1417">
        <f>Cleaned_Data!J1417</f>
        <v>24</v>
      </c>
      <c r="K1417" t="str">
        <f t="shared" si="67"/>
        <v>2024-05</v>
      </c>
      <c r="L1417">
        <f t="shared" si="68"/>
        <v>0</v>
      </c>
    </row>
    <row r="1418" spans="1:12">
      <c r="A1418" t="s">
        <v>4124</v>
      </c>
      <c r="B1418" t="s">
        <v>4125</v>
      </c>
      <c r="C1418" t="s">
        <v>4126</v>
      </c>
      <c r="D1418" t="s">
        <v>15</v>
      </c>
      <c r="E1418" t="s">
        <v>54</v>
      </c>
      <c r="F1418" t="s">
        <v>17</v>
      </c>
      <c r="G1418" t="s">
        <v>19</v>
      </c>
      <c r="H1418">
        <f>Cleaned_Data!K1418</f>
        <v>3.33</v>
      </c>
      <c r="I1418" t="str">
        <f t="shared" si="66"/>
        <v>YES</v>
      </c>
      <c r="J1418">
        <f>Cleaned_Data!J1418</f>
        <v>8</v>
      </c>
      <c r="K1418" t="str">
        <f t="shared" si="67"/>
        <v>2024-12</v>
      </c>
      <c r="L1418">
        <f t="shared" si="68"/>
        <v>0</v>
      </c>
    </row>
    <row r="1419" spans="1:12">
      <c r="A1419" t="s">
        <v>4127</v>
      </c>
      <c r="B1419" t="s">
        <v>4128</v>
      </c>
      <c r="C1419" t="s">
        <v>4129</v>
      </c>
      <c r="D1419" t="s">
        <v>35</v>
      </c>
      <c r="E1419" t="s">
        <v>59</v>
      </c>
      <c r="F1419" t="s">
        <v>36</v>
      </c>
      <c r="G1419" t="s">
        <v>19</v>
      </c>
      <c r="H1419">
        <f>Cleaned_Data!K1419</f>
        <v>65.260000000000005</v>
      </c>
      <c r="I1419" t="str">
        <f t="shared" si="66"/>
        <v>NO</v>
      </c>
      <c r="J1419">
        <f>Cleaned_Data!J1419</f>
        <v>48</v>
      </c>
      <c r="K1419" t="str">
        <f t="shared" si="67"/>
        <v>2024-08</v>
      </c>
      <c r="L1419">
        <f t="shared" si="68"/>
        <v>17.260000000000005</v>
      </c>
    </row>
    <row r="1420" spans="1:12">
      <c r="A1420" t="s">
        <v>4130</v>
      </c>
      <c r="B1420" t="s">
        <v>4131</v>
      </c>
      <c r="C1420" t="s">
        <v>4132</v>
      </c>
      <c r="D1420" t="s">
        <v>23</v>
      </c>
      <c r="E1420" t="s">
        <v>24</v>
      </c>
      <c r="F1420" t="s">
        <v>29</v>
      </c>
      <c r="G1420" t="s">
        <v>19</v>
      </c>
      <c r="H1420">
        <f>Cleaned_Data!K1420</f>
        <v>17.739999999999998</v>
      </c>
      <c r="I1420" t="str">
        <f t="shared" si="66"/>
        <v>YES</v>
      </c>
      <c r="J1420">
        <f>Cleaned_Data!J1420</f>
        <v>24</v>
      </c>
      <c r="K1420" t="str">
        <f t="shared" si="67"/>
        <v>2024-05</v>
      </c>
      <c r="L1420">
        <f t="shared" si="68"/>
        <v>0</v>
      </c>
    </row>
    <row r="1421" spans="1:12">
      <c r="A1421" t="s">
        <v>4133</v>
      </c>
      <c r="B1421" t="s">
        <v>4134</v>
      </c>
      <c r="C1421" t="s">
        <v>4135</v>
      </c>
      <c r="D1421" t="s">
        <v>23</v>
      </c>
      <c r="E1421" t="s">
        <v>28</v>
      </c>
      <c r="F1421" t="s">
        <v>41</v>
      </c>
      <c r="G1421" t="s">
        <v>19</v>
      </c>
      <c r="H1421">
        <f>Cleaned_Data!K1421</f>
        <v>37.020000000000003</v>
      </c>
      <c r="I1421" t="str">
        <f t="shared" si="66"/>
        <v>NO</v>
      </c>
      <c r="J1421">
        <f>Cleaned_Data!J1421</f>
        <v>24</v>
      </c>
      <c r="K1421" t="str">
        <f t="shared" si="67"/>
        <v>2024-08</v>
      </c>
      <c r="L1421">
        <f t="shared" si="68"/>
        <v>13.020000000000003</v>
      </c>
    </row>
    <row r="1422" spans="1:12">
      <c r="A1422" t="s">
        <v>4136</v>
      </c>
      <c r="B1422" t="s">
        <v>4137</v>
      </c>
      <c r="C1422" t="s">
        <v>4138</v>
      </c>
      <c r="D1422" t="s">
        <v>23</v>
      </c>
      <c r="E1422" t="s">
        <v>28</v>
      </c>
      <c r="F1422" t="s">
        <v>36</v>
      </c>
      <c r="G1422" t="s">
        <v>31</v>
      </c>
      <c r="H1422">
        <f>Cleaned_Data!K1422</f>
        <v>48.93</v>
      </c>
      <c r="I1422" t="str">
        <f t="shared" si="66"/>
        <v>NO</v>
      </c>
      <c r="J1422">
        <f>Cleaned_Data!J1422</f>
        <v>24</v>
      </c>
      <c r="K1422" t="str">
        <f t="shared" si="67"/>
        <v>2024-05</v>
      </c>
      <c r="L1422">
        <f t="shared" si="68"/>
        <v>24.93</v>
      </c>
    </row>
    <row r="1423" spans="1:12">
      <c r="A1423" t="s">
        <v>4139</v>
      </c>
      <c r="B1423" t="s">
        <v>4140</v>
      </c>
      <c r="C1423" t="s">
        <v>4141</v>
      </c>
      <c r="D1423" t="s">
        <v>15</v>
      </c>
      <c r="E1423" t="s">
        <v>54</v>
      </c>
      <c r="F1423" t="s">
        <v>60</v>
      </c>
      <c r="G1423" t="s">
        <v>19</v>
      </c>
      <c r="H1423">
        <f>Cleaned_Data!K1423</f>
        <v>2.84</v>
      </c>
      <c r="I1423" t="str">
        <f t="shared" si="66"/>
        <v>YES</v>
      </c>
      <c r="J1423">
        <f>Cleaned_Data!J1423</f>
        <v>8</v>
      </c>
      <c r="K1423" t="str">
        <f t="shared" si="67"/>
        <v>2024-10</v>
      </c>
      <c r="L1423">
        <f t="shared" si="68"/>
        <v>0</v>
      </c>
    </row>
    <row r="1424" spans="1:12">
      <c r="A1424" t="s">
        <v>4142</v>
      </c>
      <c r="B1424" t="s">
        <v>4143</v>
      </c>
      <c r="C1424" t="s">
        <v>4144</v>
      </c>
      <c r="D1424" t="s">
        <v>35</v>
      </c>
      <c r="E1424" t="s">
        <v>24</v>
      </c>
      <c r="F1424" t="s">
        <v>60</v>
      </c>
      <c r="G1424" t="s">
        <v>19</v>
      </c>
      <c r="H1424">
        <f>Cleaned_Data!K1424</f>
        <v>43.96</v>
      </c>
      <c r="I1424" t="str">
        <f t="shared" si="66"/>
        <v>YES</v>
      </c>
      <c r="J1424">
        <f>Cleaned_Data!J1424</f>
        <v>48</v>
      </c>
      <c r="K1424" t="str">
        <f t="shared" si="67"/>
        <v>2024-09</v>
      </c>
      <c r="L1424">
        <f t="shared" si="68"/>
        <v>0</v>
      </c>
    </row>
    <row r="1425" spans="1:12">
      <c r="A1425" t="s">
        <v>4145</v>
      </c>
      <c r="B1425" t="s">
        <v>4146</v>
      </c>
      <c r="C1425" t="s">
        <v>4147</v>
      </c>
      <c r="D1425" t="s">
        <v>23</v>
      </c>
      <c r="E1425" t="s">
        <v>24</v>
      </c>
      <c r="F1425" t="s">
        <v>29</v>
      </c>
      <c r="G1425" t="s">
        <v>19</v>
      </c>
      <c r="H1425">
        <f>Cleaned_Data!K1425</f>
        <v>15.84</v>
      </c>
      <c r="I1425" t="str">
        <f t="shared" si="66"/>
        <v>YES</v>
      </c>
      <c r="J1425">
        <f>Cleaned_Data!J1425</f>
        <v>24</v>
      </c>
      <c r="K1425" t="str">
        <f t="shared" si="67"/>
        <v>2024-04</v>
      </c>
      <c r="L1425">
        <f t="shared" si="68"/>
        <v>0</v>
      </c>
    </row>
    <row r="1426" spans="1:12">
      <c r="A1426" t="s">
        <v>4148</v>
      </c>
      <c r="B1426" t="s">
        <v>4149</v>
      </c>
      <c r="C1426" t="s">
        <v>4150</v>
      </c>
      <c r="D1426" t="s">
        <v>15</v>
      </c>
      <c r="E1426" t="s">
        <v>24</v>
      </c>
      <c r="F1426" t="s">
        <v>17</v>
      </c>
      <c r="G1426" t="s">
        <v>19</v>
      </c>
      <c r="H1426">
        <f>Cleaned_Data!K1426</f>
        <v>1.85</v>
      </c>
      <c r="I1426" t="str">
        <f t="shared" si="66"/>
        <v>YES</v>
      </c>
      <c r="J1426">
        <f>Cleaned_Data!J1426</f>
        <v>8</v>
      </c>
      <c r="K1426" t="str">
        <f t="shared" si="67"/>
        <v>2024-03</v>
      </c>
      <c r="L1426">
        <f t="shared" si="68"/>
        <v>0</v>
      </c>
    </row>
    <row r="1427" spans="1:12">
      <c r="A1427" t="s">
        <v>4151</v>
      </c>
      <c r="B1427" t="s">
        <v>4152</v>
      </c>
      <c r="C1427" t="s">
        <v>4153</v>
      </c>
      <c r="D1427" t="s">
        <v>23</v>
      </c>
      <c r="E1427" t="s">
        <v>28</v>
      </c>
      <c r="F1427" t="s">
        <v>29</v>
      </c>
      <c r="G1427" t="s">
        <v>19</v>
      </c>
      <c r="H1427">
        <f>Cleaned_Data!K1427</f>
        <v>16.66</v>
      </c>
      <c r="I1427" t="str">
        <f t="shared" si="66"/>
        <v>YES</v>
      </c>
      <c r="J1427">
        <f>Cleaned_Data!J1427</f>
        <v>24</v>
      </c>
      <c r="K1427" t="str">
        <f t="shared" si="67"/>
        <v>2024-10</v>
      </c>
      <c r="L1427">
        <f t="shared" si="68"/>
        <v>0</v>
      </c>
    </row>
    <row r="1428" spans="1:12">
      <c r="A1428" t="s">
        <v>4154</v>
      </c>
      <c r="B1428" t="s">
        <v>4155</v>
      </c>
      <c r="C1428" t="s">
        <v>4156</v>
      </c>
      <c r="D1428" t="s">
        <v>23</v>
      </c>
      <c r="E1428" t="s">
        <v>28</v>
      </c>
      <c r="F1428" t="s">
        <v>17</v>
      </c>
      <c r="G1428" t="s">
        <v>19</v>
      </c>
      <c r="H1428">
        <f>Cleaned_Data!K1428</f>
        <v>21.48</v>
      </c>
      <c r="I1428" t="str">
        <f t="shared" si="66"/>
        <v>YES</v>
      </c>
      <c r="J1428">
        <f>Cleaned_Data!J1428</f>
        <v>24</v>
      </c>
      <c r="K1428" t="str">
        <f t="shared" si="67"/>
        <v>2024-09</v>
      </c>
      <c r="L1428">
        <f t="shared" si="68"/>
        <v>0</v>
      </c>
    </row>
    <row r="1429" spans="1:12">
      <c r="A1429" t="s">
        <v>4157</v>
      </c>
      <c r="B1429" t="s">
        <v>4158</v>
      </c>
      <c r="C1429" t="s">
        <v>4159</v>
      </c>
      <c r="D1429" t="s">
        <v>35</v>
      </c>
      <c r="E1429" t="s">
        <v>16</v>
      </c>
      <c r="F1429" t="s">
        <v>41</v>
      </c>
      <c r="G1429" t="s">
        <v>19</v>
      </c>
      <c r="H1429">
        <f>Cleaned_Data!K1429</f>
        <v>24.72</v>
      </c>
      <c r="I1429" t="str">
        <f t="shared" si="66"/>
        <v>YES</v>
      </c>
      <c r="J1429">
        <f>Cleaned_Data!J1429</f>
        <v>48</v>
      </c>
      <c r="K1429" t="str">
        <f t="shared" si="67"/>
        <v>2024-05</v>
      </c>
      <c r="L1429">
        <f t="shared" si="68"/>
        <v>0</v>
      </c>
    </row>
    <row r="1430" spans="1:12">
      <c r="A1430" t="s">
        <v>4160</v>
      </c>
      <c r="B1430" t="s">
        <v>4161</v>
      </c>
      <c r="C1430" t="s">
        <v>4162</v>
      </c>
      <c r="D1430" t="s">
        <v>158</v>
      </c>
      <c r="E1430" t="s">
        <v>16</v>
      </c>
      <c r="F1430" t="s">
        <v>17</v>
      </c>
      <c r="G1430" t="s">
        <v>19</v>
      </c>
      <c r="H1430">
        <f>Cleaned_Data!K1430</f>
        <v>3.2</v>
      </c>
      <c r="I1430" t="str">
        <f t="shared" si="66"/>
        <v>YES</v>
      </c>
      <c r="J1430">
        <f>Cleaned_Data!J1430</f>
        <v>4</v>
      </c>
      <c r="K1430" t="str">
        <f t="shared" si="67"/>
        <v>2024-08</v>
      </c>
      <c r="L1430">
        <f t="shared" si="68"/>
        <v>0</v>
      </c>
    </row>
    <row r="1431" spans="1:12">
      <c r="A1431" t="s">
        <v>4163</v>
      </c>
      <c r="B1431" t="s">
        <v>4164</v>
      </c>
      <c r="C1431" t="s">
        <v>4165</v>
      </c>
      <c r="D1431" t="s">
        <v>23</v>
      </c>
      <c r="E1431" t="s">
        <v>24</v>
      </c>
      <c r="F1431" t="s">
        <v>17</v>
      </c>
      <c r="G1431" t="s">
        <v>19</v>
      </c>
      <c r="H1431">
        <f>Cleaned_Data!K1431</f>
        <v>8.56</v>
      </c>
      <c r="I1431" t="str">
        <f t="shared" si="66"/>
        <v>YES</v>
      </c>
      <c r="J1431">
        <f>Cleaned_Data!J1431</f>
        <v>24</v>
      </c>
      <c r="K1431" t="str">
        <f t="shared" si="67"/>
        <v>2024-10</v>
      </c>
      <c r="L1431">
        <f t="shared" si="68"/>
        <v>0</v>
      </c>
    </row>
    <row r="1432" spans="1:12">
      <c r="A1432" t="s">
        <v>4166</v>
      </c>
      <c r="B1432" t="s">
        <v>4167</v>
      </c>
      <c r="C1432" t="s">
        <v>4168</v>
      </c>
      <c r="D1432" t="s">
        <v>23</v>
      </c>
      <c r="E1432" t="s">
        <v>28</v>
      </c>
      <c r="F1432" t="s">
        <v>29</v>
      </c>
      <c r="G1432" t="s">
        <v>19</v>
      </c>
      <c r="H1432">
        <f>Cleaned_Data!K1432</f>
        <v>26.83</v>
      </c>
      <c r="I1432" t="str">
        <f t="shared" si="66"/>
        <v>NO</v>
      </c>
      <c r="J1432">
        <f>Cleaned_Data!J1432</f>
        <v>24</v>
      </c>
      <c r="K1432" t="str">
        <f t="shared" si="67"/>
        <v>2024-05</v>
      </c>
      <c r="L1432">
        <f t="shared" si="68"/>
        <v>2.8299999999999983</v>
      </c>
    </row>
    <row r="1433" spans="1:12">
      <c r="A1433" t="s">
        <v>4169</v>
      </c>
      <c r="B1433" t="s">
        <v>4170</v>
      </c>
      <c r="C1433" t="s">
        <v>4171</v>
      </c>
      <c r="D1433" t="s">
        <v>15</v>
      </c>
      <c r="E1433" t="s">
        <v>28</v>
      </c>
      <c r="F1433" t="s">
        <v>60</v>
      </c>
      <c r="G1433" t="s">
        <v>19</v>
      </c>
      <c r="H1433">
        <f>Cleaned_Data!K1433</f>
        <v>5.46</v>
      </c>
      <c r="I1433" t="str">
        <f t="shared" si="66"/>
        <v>YES</v>
      </c>
      <c r="J1433">
        <f>Cleaned_Data!J1433</f>
        <v>8</v>
      </c>
      <c r="K1433" t="str">
        <f t="shared" si="67"/>
        <v>2024-06</v>
      </c>
      <c r="L1433">
        <f t="shared" si="68"/>
        <v>0</v>
      </c>
    </row>
    <row r="1434" spans="1:12">
      <c r="A1434" t="s">
        <v>4172</v>
      </c>
      <c r="B1434" t="s">
        <v>4173</v>
      </c>
      <c r="C1434" t="s">
        <v>4174</v>
      </c>
      <c r="D1434" t="s">
        <v>23</v>
      </c>
      <c r="E1434" t="s">
        <v>16</v>
      </c>
      <c r="F1434" t="s">
        <v>17</v>
      </c>
      <c r="G1434" t="s">
        <v>19</v>
      </c>
      <c r="H1434">
        <f>Cleaned_Data!K1434</f>
        <v>16.399999999999999</v>
      </c>
      <c r="I1434" t="str">
        <f t="shared" si="66"/>
        <v>YES</v>
      </c>
      <c r="J1434">
        <f>Cleaned_Data!J1434</f>
        <v>24</v>
      </c>
      <c r="K1434" t="str">
        <f t="shared" si="67"/>
        <v>2024-12</v>
      </c>
      <c r="L1434">
        <f t="shared" si="68"/>
        <v>0</v>
      </c>
    </row>
    <row r="1435" spans="1:12">
      <c r="A1435" t="s">
        <v>4175</v>
      </c>
      <c r="B1435" t="s">
        <v>4176</v>
      </c>
      <c r="C1435" t="s">
        <v>4177</v>
      </c>
      <c r="D1435" t="s">
        <v>35</v>
      </c>
      <c r="E1435" t="s">
        <v>28</v>
      </c>
      <c r="F1435" t="s">
        <v>36</v>
      </c>
      <c r="G1435" t="s">
        <v>19</v>
      </c>
      <c r="H1435">
        <f>Cleaned_Data!K1435</f>
        <v>9.5299999999999994</v>
      </c>
      <c r="I1435" t="str">
        <f t="shared" si="66"/>
        <v>YES</v>
      </c>
      <c r="J1435">
        <f>Cleaned_Data!J1435</f>
        <v>48</v>
      </c>
      <c r="K1435" t="str">
        <f t="shared" si="67"/>
        <v>2024-09</v>
      </c>
      <c r="L1435">
        <f t="shared" si="68"/>
        <v>0</v>
      </c>
    </row>
    <row r="1436" spans="1:12">
      <c r="A1436" t="s">
        <v>4178</v>
      </c>
      <c r="B1436" t="s">
        <v>4179</v>
      </c>
      <c r="C1436" t="s">
        <v>4180</v>
      </c>
      <c r="D1436" t="s">
        <v>23</v>
      </c>
      <c r="E1436" t="s">
        <v>28</v>
      </c>
      <c r="F1436" t="s">
        <v>41</v>
      </c>
      <c r="G1436" t="s">
        <v>19</v>
      </c>
      <c r="H1436">
        <f>Cleaned_Data!K1436</f>
        <v>9.84</v>
      </c>
      <c r="I1436" t="str">
        <f t="shared" si="66"/>
        <v>YES</v>
      </c>
      <c r="J1436">
        <f>Cleaned_Data!J1436</f>
        <v>24</v>
      </c>
      <c r="K1436" t="str">
        <f t="shared" si="67"/>
        <v>2024-12</v>
      </c>
      <c r="L1436">
        <f t="shared" si="68"/>
        <v>0</v>
      </c>
    </row>
    <row r="1437" spans="1:12">
      <c r="A1437" t="s">
        <v>4181</v>
      </c>
      <c r="B1437" t="s">
        <v>4182</v>
      </c>
      <c r="C1437" t="s">
        <v>4183</v>
      </c>
      <c r="D1437" t="s">
        <v>23</v>
      </c>
      <c r="E1437" t="s">
        <v>28</v>
      </c>
      <c r="F1437" t="s">
        <v>36</v>
      </c>
      <c r="G1437" t="s">
        <v>19</v>
      </c>
      <c r="H1437">
        <f>Cleaned_Data!K1437</f>
        <v>58.31</v>
      </c>
      <c r="I1437" t="str">
        <f t="shared" si="66"/>
        <v>NO</v>
      </c>
      <c r="J1437">
        <f>Cleaned_Data!J1437</f>
        <v>24</v>
      </c>
      <c r="K1437" t="str">
        <f t="shared" si="67"/>
        <v>2024-06</v>
      </c>
      <c r="L1437">
        <f t="shared" si="68"/>
        <v>34.31</v>
      </c>
    </row>
    <row r="1438" spans="1:12">
      <c r="A1438" t="s">
        <v>4184</v>
      </c>
      <c r="B1438" t="s">
        <v>4185</v>
      </c>
      <c r="C1438" t="s">
        <v>4186</v>
      </c>
      <c r="D1438" t="s">
        <v>35</v>
      </c>
      <c r="E1438" t="s">
        <v>16</v>
      </c>
      <c r="F1438" t="s">
        <v>41</v>
      </c>
      <c r="G1438" t="s">
        <v>19</v>
      </c>
      <c r="H1438">
        <f>Cleaned_Data!K1438</f>
        <v>9.76</v>
      </c>
      <c r="I1438" t="str">
        <f t="shared" si="66"/>
        <v>YES</v>
      </c>
      <c r="J1438">
        <f>Cleaned_Data!J1438</f>
        <v>48</v>
      </c>
      <c r="K1438" t="str">
        <f t="shared" si="67"/>
        <v>2024-07</v>
      </c>
      <c r="L1438">
        <f t="shared" si="68"/>
        <v>0</v>
      </c>
    </row>
    <row r="1439" spans="1:12">
      <c r="A1439" t="s">
        <v>4187</v>
      </c>
      <c r="B1439" t="s">
        <v>4188</v>
      </c>
      <c r="C1439" t="s">
        <v>4189</v>
      </c>
      <c r="D1439" t="s">
        <v>158</v>
      </c>
      <c r="E1439" t="s">
        <v>54</v>
      </c>
      <c r="F1439" t="s">
        <v>29</v>
      </c>
      <c r="G1439" t="s">
        <v>19</v>
      </c>
      <c r="H1439">
        <f>Cleaned_Data!K1439</f>
        <v>3.01</v>
      </c>
      <c r="I1439" t="str">
        <f t="shared" si="66"/>
        <v>YES</v>
      </c>
      <c r="J1439">
        <f>Cleaned_Data!J1439</f>
        <v>4</v>
      </c>
      <c r="K1439" t="str">
        <f t="shared" si="67"/>
        <v>2024-05</v>
      </c>
      <c r="L1439">
        <f t="shared" si="68"/>
        <v>0</v>
      </c>
    </row>
    <row r="1440" spans="1:12">
      <c r="A1440" t="s">
        <v>4190</v>
      </c>
      <c r="B1440" t="s">
        <v>4191</v>
      </c>
      <c r="C1440" t="s">
        <v>4192</v>
      </c>
      <c r="D1440" t="s">
        <v>15</v>
      </c>
      <c r="E1440" t="s">
        <v>28</v>
      </c>
      <c r="F1440" t="s">
        <v>36</v>
      </c>
      <c r="G1440" t="s">
        <v>19</v>
      </c>
      <c r="H1440">
        <f>Cleaned_Data!K1440</f>
        <v>4.8499999999999996</v>
      </c>
      <c r="I1440" t="str">
        <f t="shared" si="66"/>
        <v>YES</v>
      </c>
      <c r="J1440">
        <f>Cleaned_Data!J1440</f>
        <v>8</v>
      </c>
      <c r="K1440" t="str">
        <f t="shared" si="67"/>
        <v>2024-04</v>
      </c>
      <c r="L1440">
        <f t="shared" si="68"/>
        <v>0</v>
      </c>
    </row>
    <row r="1441" spans="1:12">
      <c r="A1441" t="s">
        <v>4193</v>
      </c>
      <c r="B1441" t="s">
        <v>4194</v>
      </c>
      <c r="C1441" t="s">
        <v>4195</v>
      </c>
      <c r="D1441" t="s">
        <v>23</v>
      </c>
      <c r="E1441" t="s">
        <v>28</v>
      </c>
      <c r="F1441" t="s">
        <v>17</v>
      </c>
      <c r="G1441" t="s">
        <v>19</v>
      </c>
      <c r="H1441">
        <f>Cleaned_Data!K1441</f>
        <v>5.35</v>
      </c>
      <c r="I1441" t="str">
        <f t="shared" si="66"/>
        <v>YES</v>
      </c>
      <c r="J1441">
        <f>Cleaned_Data!J1441</f>
        <v>24</v>
      </c>
      <c r="K1441" t="str">
        <f t="shared" si="67"/>
        <v>2024-01</v>
      </c>
      <c r="L1441">
        <f t="shared" si="68"/>
        <v>0</v>
      </c>
    </row>
    <row r="1442" spans="1:12">
      <c r="A1442" t="s">
        <v>4196</v>
      </c>
      <c r="B1442" t="s">
        <v>4197</v>
      </c>
      <c r="D1442" t="s">
        <v>15</v>
      </c>
      <c r="E1442" t="s">
        <v>59</v>
      </c>
      <c r="F1442" t="s">
        <v>60</v>
      </c>
      <c r="G1442" t="s">
        <v>63</v>
      </c>
      <c r="H1442">
        <f>Cleaned_Data!K1442</f>
        <v>0</v>
      </c>
      <c r="I1442" t="str">
        <f t="shared" si="66"/>
        <v/>
      </c>
      <c r="J1442">
        <f>Cleaned_Data!J1442</f>
        <v>8</v>
      </c>
      <c r="K1442" t="str">
        <f t="shared" si="67"/>
        <v>2024-12</v>
      </c>
      <c r="L1442">
        <f t="shared" si="68"/>
        <v>0</v>
      </c>
    </row>
    <row r="1443" spans="1:12">
      <c r="A1443" t="s">
        <v>4198</v>
      </c>
      <c r="B1443" t="s">
        <v>4199</v>
      </c>
      <c r="C1443" t="s">
        <v>4200</v>
      </c>
      <c r="D1443" t="s">
        <v>35</v>
      </c>
      <c r="E1443" t="s">
        <v>16</v>
      </c>
      <c r="F1443" t="s">
        <v>60</v>
      </c>
      <c r="G1443" t="s">
        <v>19</v>
      </c>
      <c r="H1443">
        <f>Cleaned_Data!K1443</f>
        <v>20.010000000000002</v>
      </c>
      <c r="I1443" t="str">
        <f t="shared" si="66"/>
        <v>YES</v>
      </c>
      <c r="J1443">
        <f>Cleaned_Data!J1443</f>
        <v>48</v>
      </c>
      <c r="K1443" t="str">
        <f t="shared" si="67"/>
        <v>2024-12</v>
      </c>
      <c r="L1443">
        <f t="shared" si="68"/>
        <v>0</v>
      </c>
    </row>
    <row r="1444" spans="1:12">
      <c r="A1444" t="s">
        <v>4201</v>
      </c>
      <c r="B1444" t="s">
        <v>4202</v>
      </c>
      <c r="D1444" t="s">
        <v>23</v>
      </c>
      <c r="E1444" t="s">
        <v>16</v>
      </c>
      <c r="F1444" t="s">
        <v>41</v>
      </c>
      <c r="G1444" t="s">
        <v>46</v>
      </c>
      <c r="H1444">
        <f>Cleaned_Data!K1444</f>
        <v>0</v>
      </c>
      <c r="I1444" t="str">
        <f t="shared" si="66"/>
        <v/>
      </c>
      <c r="J1444">
        <f>Cleaned_Data!J1444</f>
        <v>24</v>
      </c>
      <c r="K1444" t="str">
        <f t="shared" si="67"/>
        <v>2024-10</v>
      </c>
      <c r="L1444">
        <f t="shared" si="68"/>
        <v>0</v>
      </c>
    </row>
    <row r="1445" spans="1:12">
      <c r="A1445" t="s">
        <v>4203</v>
      </c>
      <c r="B1445" t="s">
        <v>4204</v>
      </c>
      <c r="C1445" t="s">
        <v>4205</v>
      </c>
      <c r="D1445" t="s">
        <v>15</v>
      </c>
      <c r="E1445" t="s">
        <v>54</v>
      </c>
      <c r="F1445" t="s">
        <v>29</v>
      </c>
      <c r="G1445" t="s">
        <v>19</v>
      </c>
      <c r="H1445">
        <f>Cleaned_Data!K1445</f>
        <v>5.88</v>
      </c>
      <c r="I1445" t="str">
        <f t="shared" si="66"/>
        <v>YES</v>
      </c>
      <c r="J1445">
        <f>Cleaned_Data!J1445</f>
        <v>8</v>
      </c>
      <c r="K1445" t="str">
        <f t="shared" si="67"/>
        <v>2024-01</v>
      </c>
      <c r="L1445">
        <f t="shared" si="68"/>
        <v>0</v>
      </c>
    </row>
    <row r="1446" spans="1:12">
      <c r="A1446" t="s">
        <v>4206</v>
      </c>
      <c r="B1446" t="s">
        <v>4207</v>
      </c>
      <c r="C1446" t="s">
        <v>4208</v>
      </c>
      <c r="D1446" t="s">
        <v>35</v>
      </c>
      <c r="E1446" t="s">
        <v>16</v>
      </c>
      <c r="F1446" t="s">
        <v>41</v>
      </c>
      <c r="G1446" t="s">
        <v>31</v>
      </c>
      <c r="H1446">
        <f>Cleaned_Data!K1446</f>
        <v>45.39</v>
      </c>
      <c r="I1446" t="str">
        <f t="shared" si="66"/>
        <v>YES</v>
      </c>
      <c r="J1446">
        <f>Cleaned_Data!J1446</f>
        <v>48</v>
      </c>
      <c r="K1446" t="str">
        <f t="shared" si="67"/>
        <v>2024-10</v>
      </c>
      <c r="L1446">
        <f t="shared" si="68"/>
        <v>0</v>
      </c>
    </row>
    <row r="1447" spans="1:12">
      <c r="A1447" t="s">
        <v>4209</v>
      </c>
      <c r="B1447" t="s">
        <v>4210</v>
      </c>
      <c r="C1447" t="s">
        <v>4211</v>
      </c>
      <c r="D1447" t="s">
        <v>35</v>
      </c>
      <c r="E1447" t="s">
        <v>28</v>
      </c>
      <c r="F1447" t="s">
        <v>36</v>
      </c>
      <c r="G1447" t="s">
        <v>31</v>
      </c>
      <c r="H1447">
        <f>Cleaned_Data!K1447</f>
        <v>42.97</v>
      </c>
      <c r="I1447" t="str">
        <f t="shared" si="66"/>
        <v>YES</v>
      </c>
      <c r="J1447">
        <f>Cleaned_Data!J1447</f>
        <v>48</v>
      </c>
      <c r="K1447" t="str">
        <f t="shared" si="67"/>
        <v>2024-07</v>
      </c>
      <c r="L1447">
        <f t="shared" si="68"/>
        <v>0</v>
      </c>
    </row>
    <row r="1448" spans="1:12">
      <c r="A1448" t="s">
        <v>4212</v>
      </c>
      <c r="B1448" t="s">
        <v>4213</v>
      </c>
      <c r="C1448" t="s">
        <v>4214</v>
      </c>
      <c r="D1448" t="s">
        <v>23</v>
      </c>
      <c r="E1448" t="s">
        <v>28</v>
      </c>
      <c r="F1448" t="s">
        <v>36</v>
      </c>
      <c r="G1448" t="s">
        <v>19</v>
      </c>
      <c r="H1448">
        <f>Cleaned_Data!K1448</f>
        <v>8.2100000000000009</v>
      </c>
      <c r="I1448" t="str">
        <f t="shared" si="66"/>
        <v>YES</v>
      </c>
      <c r="J1448">
        <f>Cleaned_Data!J1448</f>
        <v>24</v>
      </c>
      <c r="K1448" t="str">
        <f t="shared" si="67"/>
        <v>2024-09</v>
      </c>
      <c r="L1448">
        <f t="shared" si="68"/>
        <v>0</v>
      </c>
    </row>
    <row r="1449" spans="1:12">
      <c r="A1449" t="s">
        <v>4215</v>
      </c>
      <c r="B1449" t="s">
        <v>4216</v>
      </c>
      <c r="C1449" t="s">
        <v>4217</v>
      </c>
      <c r="D1449" t="s">
        <v>158</v>
      </c>
      <c r="E1449" t="s">
        <v>28</v>
      </c>
      <c r="F1449" t="s">
        <v>17</v>
      </c>
      <c r="G1449" t="s">
        <v>19</v>
      </c>
      <c r="H1449">
        <f>Cleaned_Data!K1449</f>
        <v>3.72</v>
      </c>
      <c r="I1449" t="str">
        <f t="shared" si="66"/>
        <v>YES</v>
      </c>
      <c r="J1449">
        <f>Cleaned_Data!J1449</f>
        <v>4</v>
      </c>
      <c r="K1449" t="str">
        <f t="shared" si="67"/>
        <v>2024-03</v>
      </c>
      <c r="L1449">
        <f t="shared" si="68"/>
        <v>0</v>
      </c>
    </row>
    <row r="1450" spans="1:12">
      <c r="A1450" t="s">
        <v>4218</v>
      </c>
      <c r="B1450" t="s">
        <v>4219</v>
      </c>
      <c r="C1450" t="s">
        <v>4220</v>
      </c>
      <c r="D1450" t="s">
        <v>15</v>
      </c>
      <c r="E1450" t="s">
        <v>16</v>
      </c>
      <c r="F1450" t="s">
        <v>17</v>
      </c>
      <c r="G1450" t="s">
        <v>31</v>
      </c>
      <c r="H1450">
        <f>Cleaned_Data!K1450</f>
        <v>4.9400000000000004</v>
      </c>
      <c r="I1450" t="str">
        <f t="shared" si="66"/>
        <v>YES</v>
      </c>
      <c r="J1450">
        <f>Cleaned_Data!J1450</f>
        <v>8</v>
      </c>
      <c r="K1450" t="str">
        <f t="shared" si="67"/>
        <v>2024-03</v>
      </c>
      <c r="L1450">
        <f t="shared" si="68"/>
        <v>0</v>
      </c>
    </row>
    <row r="1451" spans="1:12">
      <c r="A1451" t="s">
        <v>4221</v>
      </c>
      <c r="B1451" t="s">
        <v>4222</v>
      </c>
      <c r="D1451" t="s">
        <v>23</v>
      </c>
      <c r="E1451" t="s">
        <v>28</v>
      </c>
      <c r="F1451" t="s">
        <v>41</v>
      </c>
      <c r="G1451" t="s">
        <v>63</v>
      </c>
      <c r="H1451">
        <f>Cleaned_Data!K1451</f>
        <v>0</v>
      </c>
      <c r="I1451" t="str">
        <f t="shared" si="66"/>
        <v/>
      </c>
      <c r="J1451">
        <f>Cleaned_Data!J1451</f>
        <v>24</v>
      </c>
      <c r="K1451" t="str">
        <f t="shared" si="67"/>
        <v>2024-06</v>
      </c>
      <c r="L1451">
        <f t="shared" si="68"/>
        <v>0</v>
      </c>
    </row>
    <row r="1452" spans="1:12">
      <c r="A1452" t="s">
        <v>4223</v>
      </c>
      <c r="B1452" t="s">
        <v>4224</v>
      </c>
      <c r="C1452" t="s">
        <v>4225</v>
      </c>
      <c r="D1452" t="s">
        <v>15</v>
      </c>
      <c r="E1452" t="s">
        <v>28</v>
      </c>
      <c r="F1452" t="s">
        <v>41</v>
      </c>
      <c r="G1452" t="s">
        <v>19</v>
      </c>
      <c r="H1452">
        <f>Cleaned_Data!K1452</f>
        <v>2.23</v>
      </c>
      <c r="I1452" t="str">
        <f t="shared" si="66"/>
        <v>YES</v>
      </c>
      <c r="J1452">
        <f>Cleaned_Data!J1452</f>
        <v>8</v>
      </c>
      <c r="K1452" t="str">
        <f t="shared" si="67"/>
        <v>2024-01</v>
      </c>
      <c r="L1452">
        <f t="shared" si="68"/>
        <v>0</v>
      </c>
    </row>
    <row r="1453" spans="1:12">
      <c r="A1453" t="s">
        <v>4226</v>
      </c>
      <c r="B1453" t="s">
        <v>4227</v>
      </c>
      <c r="C1453" t="s">
        <v>4228</v>
      </c>
      <c r="D1453" t="s">
        <v>23</v>
      </c>
      <c r="E1453" t="s">
        <v>28</v>
      </c>
      <c r="F1453" t="s">
        <v>60</v>
      </c>
      <c r="G1453" t="s">
        <v>31</v>
      </c>
      <c r="H1453">
        <f>Cleaned_Data!K1453</f>
        <v>9.44</v>
      </c>
      <c r="I1453" t="str">
        <f t="shared" si="66"/>
        <v>YES</v>
      </c>
      <c r="J1453">
        <f>Cleaned_Data!J1453</f>
        <v>24</v>
      </c>
      <c r="K1453" t="str">
        <f t="shared" si="67"/>
        <v>2024-09</v>
      </c>
      <c r="L1453">
        <f t="shared" si="68"/>
        <v>0</v>
      </c>
    </row>
    <row r="1454" spans="1:12">
      <c r="A1454" t="s">
        <v>4229</v>
      </c>
      <c r="B1454" t="s">
        <v>4230</v>
      </c>
      <c r="C1454" t="s">
        <v>4231</v>
      </c>
      <c r="D1454" t="s">
        <v>23</v>
      </c>
      <c r="E1454" t="s">
        <v>28</v>
      </c>
      <c r="F1454" t="s">
        <v>29</v>
      </c>
      <c r="G1454" t="s">
        <v>31</v>
      </c>
      <c r="H1454">
        <f>Cleaned_Data!K1454</f>
        <v>15.15</v>
      </c>
      <c r="I1454" t="str">
        <f t="shared" si="66"/>
        <v>YES</v>
      </c>
      <c r="J1454">
        <f>Cleaned_Data!J1454</f>
        <v>24</v>
      </c>
      <c r="K1454" t="str">
        <f t="shared" si="67"/>
        <v>2024-07</v>
      </c>
      <c r="L1454">
        <f t="shared" si="68"/>
        <v>0</v>
      </c>
    </row>
    <row r="1455" spans="1:12">
      <c r="A1455" t="s">
        <v>4232</v>
      </c>
      <c r="B1455" t="s">
        <v>4233</v>
      </c>
      <c r="C1455" t="s">
        <v>4234</v>
      </c>
      <c r="D1455" t="s">
        <v>23</v>
      </c>
      <c r="E1455" t="s">
        <v>28</v>
      </c>
      <c r="F1455" t="s">
        <v>36</v>
      </c>
      <c r="G1455" t="s">
        <v>31</v>
      </c>
      <c r="H1455">
        <f>Cleaned_Data!K1455</f>
        <v>7.19</v>
      </c>
      <c r="I1455" t="str">
        <f t="shared" si="66"/>
        <v>YES</v>
      </c>
      <c r="J1455">
        <f>Cleaned_Data!J1455</f>
        <v>24</v>
      </c>
      <c r="K1455" t="str">
        <f t="shared" si="67"/>
        <v>2024-05</v>
      </c>
      <c r="L1455">
        <f t="shared" si="68"/>
        <v>0</v>
      </c>
    </row>
    <row r="1456" spans="1:12">
      <c r="A1456" t="s">
        <v>4235</v>
      </c>
      <c r="B1456" t="s">
        <v>4236</v>
      </c>
      <c r="C1456" t="s">
        <v>4237</v>
      </c>
      <c r="D1456" t="s">
        <v>23</v>
      </c>
      <c r="E1456" t="s">
        <v>59</v>
      </c>
      <c r="F1456" t="s">
        <v>36</v>
      </c>
      <c r="G1456" t="s">
        <v>19</v>
      </c>
      <c r="H1456">
        <f>Cleaned_Data!K1456</f>
        <v>4.66</v>
      </c>
      <c r="I1456" t="str">
        <f t="shared" si="66"/>
        <v>YES</v>
      </c>
      <c r="J1456">
        <f>Cleaned_Data!J1456</f>
        <v>24</v>
      </c>
      <c r="K1456" t="str">
        <f t="shared" si="67"/>
        <v>2024-02</v>
      </c>
      <c r="L1456">
        <f t="shared" si="68"/>
        <v>0</v>
      </c>
    </row>
    <row r="1457" spans="1:12">
      <c r="A1457" t="s">
        <v>4238</v>
      </c>
      <c r="B1457" t="s">
        <v>4239</v>
      </c>
      <c r="C1457" t="s">
        <v>4240</v>
      </c>
      <c r="D1457" t="s">
        <v>15</v>
      </c>
      <c r="E1457" t="s">
        <v>16</v>
      </c>
      <c r="F1457" t="s">
        <v>41</v>
      </c>
      <c r="G1457" t="s">
        <v>19</v>
      </c>
      <c r="H1457">
        <f>Cleaned_Data!K1457</f>
        <v>3.64</v>
      </c>
      <c r="I1457" t="str">
        <f t="shared" si="66"/>
        <v>YES</v>
      </c>
      <c r="J1457">
        <f>Cleaned_Data!J1457</f>
        <v>8</v>
      </c>
      <c r="K1457" t="str">
        <f t="shared" si="67"/>
        <v>2024-12</v>
      </c>
      <c r="L1457">
        <f t="shared" si="68"/>
        <v>0</v>
      </c>
    </row>
    <row r="1458" spans="1:12">
      <c r="A1458" t="s">
        <v>4241</v>
      </c>
      <c r="B1458" t="s">
        <v>4242</v>
      </c>
      <c r="C1458" t="s">
        <v>4243</v>
      </c>
      <c r="D1458" t="s">
        <v>23</v>
      </c>
      <c r="E1458" t="s">
        <v>54</v>
      </c>
      <c r="F1458" t="s">
        <v>29</v>
      </c>
      <c r="G1458" t="s">
        <v>19</v>
      </c>
      <c r="H1458">
        <f>Cleaned_Data!K1458</f>
        <v>19.920000000000002</v>
      </c>
      <c r="I1458" t="str">
        <f t="shared" si="66"/>
        <v>YES</v>
      </c>
      <c r="J1458">
        <f>Cleaned_Data!J1458</f>
        <v>24</v>
      </c>
      <c r="K1458" t="str">
        <f t="shared" si="67"/>
        <v>2024-05</v>
      </c>
      <c r="L1458">
        <f t="shared" si="68"/>
        <v>0</v>
      </c>
    </row>
    <row r="1459" spans="1:12">
      <c r="A1459" t="s">
        <v>4244</v>
      </c>
      <c r="B1459" t="s">
        <v>4245</v>
      </c>
      <c r="C1459" t="s">
        <v>4246</v>
      </c>
      <c r="D1459" t="s">
        <v>15</v>
      </c>
      <c r="E1459" t="s">
        <v>59</v>
      </c>
      <c r="F1459" t="s">
        <v>17</v>
      </c>
      <c r="G1459" t="s">
        <v>19</v>
      </c>
      <c r="H1459">
        <f>Cleaned_Data!K1459</f>
        <v>6.44</v>
      </c>
      <c r="I1459" t="str">
        <f t="shared" si="66"/>
        <v>YES</v>
      </c>
      <c r="J1459">
        <f>Cleaned_Data!J1459</f>
        <v>8</v>
      </c>
      <c r="K1459" t="str">
        <f t="shared" si="67"/>
        <v>2024-06</v>
      </c>
      <c r="L1459">
        <f t="shared" si="68"/>
        <v>0</v>
      </c>
    </row>
    <row r="1460" spans="1:12">
      <c r="A1460" t="s">
        <v>4247</v>
      </c>
      <c r="B1460" t="s">
        <v>4248</v>
      </c>
      <c r="C1460" t="s">
        <v>4249</v>
      </c>
      <c r="D1460" t="s">
        <v>15</v>
      </c>
      <c r="E1460" t="s">
        <v>59</v>
      </c>
      <c r="F1460" t="s">
        <v>41</v>
      </c>
      <c r="G1460" t="s">
        <v>31</v>
      </c>
      <c r="H1460">
        <f>Cleaned_Data!K1460</f>
        <v>14.8</v>
      </c>
      <c r="I1460" t="str">
        <f t="shared" si="66"/>
        <v>NO</v>
      </c>
      <c r="J1460">
        <f>Cleaned_Data!J1460</f>
        <v>8</v>
      </c>
      <c r="K1460" t="str">
        <f t="shared" si="67"/>
        <v>2024-09</v>
      </c>
      <c r="L1460">
        <f t="shared" si="68"/>
        <v>6.8000000000000007</v>
      </c>
    </row>
    <row r="1461" spans="1:12">
      <c r="A1461" t="s">
        <v>4250</v>
      </c>
      <c r="B1461" t="s">
        <v>4251</v>
      </c>
      <c r="C1461" t="s">
        <v>4252</v>
      </c>
      <c r="D1461" t="s">
        <v>15</v>
      </c>
      <c r="E1461" t="s">
        <v>54</v>
      </c>
      <c r="F1461" t="s">
        <v>60</v>
      </c>
      <c r="G1461" t="s">
        <v>31</v>
      </c>
      <c r="H1461">
        <f>Cleaned_Data!K1461</f>
        <v>7.23</v>
      </c>
      <c r="I1461" t="str">
        <f t="shared" si="66"/>
        <v>YES</v>
      </c>
      <c r="J1461">
        <f>Cleaned_Data!J1461</f>
        <v>8</v>
      </c>
      <c r="K1461" t="str">
        <f t="shared" si="67"/>
        <v>2024-08</v>
      </c>
      <c r="L1461">
        <f t="shared" si="68"/>
        <v>0</v>
      </c>
    </row>
    <row r="1462" spans="1:12">
      <c r="A1462" t="s">
        <v>4253</v>
      </c>
      <c r="B1462" t="s">
        <v>4254</v>
      </c>
      <c r="C1462" t="s">
        <v>4255</v>
      </c>
      <c r="D1462" t="s">
        <v>15</v>
      </c>
      <c r="E1462" t="s">
        <v>54</v>
      </c>
      <c r="F1462" t="s">
        <v>36</v>
      </c>
      <c r="G1462" t="s">
        <v>19</v>
      </c>
      <c r="H1462">
        <f>Cleaned_Data!K1462</f>
        <v>6.17</v>
      </c>
      <c r="I1462" t="str">
        <f t="shared" si="66"/>
        <v>YES</v>
      </c>
      <c r="J1462">
        <f>Cleaned_Data!J1462</f>
        <v>8</v>
      </c>
      <c r="K1462" t="str">
        <f t="shared" si="67"/>
        <v>2024-04</v>
      </c>
      <c r="L1462">
        <f t="shared" si="68"/>
        <v>0</v>
      </c>
    </row>
    <row r="1463" spans="1:12">
      <c r="A1463" t="s">
        <v>4256</v>
      </c>
      <c r="B1463" t="s">
        <v>4257</v>
      </c>
      <c r="C1463" t="s">
        <v>4258</v>
      </c>
      <c r="D1463" t="s">
        <v>35</v>
      </c>
      <c r="E1463" t="s">
        <v>16</v>
      </c>
      <c r="F1463" t="s">
        <v>17</v>
      </c>
      <c r="G1463" t="s">
        <v>19</v>
      </c>
      <c r="H1463">
        <f>Cleaned_Data!K1463</f>
        <v>66.8</v>
      </c>
      <c r="I1463" t="str">
        <f t="shared" si="66"/>
        <v>NO</v>
      </c>
      <c r="J1463">
        <f>Cleaned_Data!J1463</f>
        <v>48</v>
      </c>
      <c r="K1463" t="str">
        <f t="shared" si="67"/>
        <v>2024-07</v>
      </c>
      <c r="L1463">
        <f t="shared" si="68"/>
        <v>18.799999999999997</v>
      </c>
    </row>
    <row r="1464" spans="1:12">
      <c r="A1464" t="s">
        <v>4259</v>
      </c>
      <c r="B1464" t="s">
        <v>4260</v>
      </c>
      <c r="C1464" t="s">
        <v>4261</v>
      </c>
      <c r="D1464" t="s">
        <v>15</v>
      </c>
      <c r="E1464" t="s">
        <v>24</v>
      </c>
      <c r="F1464" t="s">
        <v>36</v>
      </c>
      <c r="G1464" t="s">
        <v>19</v>
      </c>
      <c r="H1464">
        <f>Cleaned_Data!K1464</f>
        <v>2.4700000000000002</v>
      </c>
      <c r="I1464" t="str">
        <f t="shared" si="66"/>
        <v>YES</v>
      </c>
      <c r="J1464">
        <f>Cleaned_Data!J1464</f>
        <v>8</v>
      </c>
      <c r="K1464" t="str">
        <f t="shared" si="67"/>
        <v>2024-12</v>
      </c>
      <c r="L1464">
        <f t="shared" si="68"/>
        <v>0</v>
      </c>
    </row>
    <row r="1465" spans="1:12">
      <c r="A1465" t="s">
        <v>4262</v>
      </c>
      <c r="B1465" t="s">
        <v>4263</v>
      </c>
      <c r="C1465" t="s">
        <v>4264</v>
      </c>
      <c r="D1465" t="s">
        <v>23</v>
      </c>
      <c r="E1465" t="s">
        <v>59</v>
      </c>
      <c r="F1465" t="s">
        <v>60</v>
      </c>
      <c r="G1465" t="s">
        <v>19</v>
      </c>
      <c r="H1465">
        <f>Cleaned_Data!K1465</f>
        <v>9.16</v>
      </c>
      <c r="I1465" t="str">
        <f t="shared" si="66"/>
        <v>YES</v>
      </c>
      <c r="J1465">
        <f>Cleaned_Data!J1465</f>
        <v>24</v>
      </c>
      <c r="K1465" t="str">
        <f t="shared" si="67"/>
        <v>2024-04</v>
      </c>
      <c r="L1465">
        <f t="shared" si="68"/>
        <v>0</v>
      </c>
    </row>
    <row r="1466" spans="1:12">
      <c r="A1466" t="s">
        <v>4265</v>
      </c>
      <c r="B1466" t="s">
        <v>4266</v>
      </c>
      <c r="C1466" t="s">
        <v>4267</v>
      </c>
      <c r="D1466" t="s">
        <v>15</v>
      </c>
      <c r="E1466" t="s">
        <v>16</v>
      </c>
      <c r="F1466" t="s">
        <v>36</v>
      </c>
      <c r="G1466" t="s">
        <v>31</v>
      </c>
      <c r="H1466">
        <f>Cleaned_Data!K1466</f>
        <v>3.56</v>
      </c>
      <c r="I1466" t="str">
        <f t="shared" si="66"/>
        <v>YES</v>
      </c>
      <c r="J1466">
        <f>Cleaned_Data!J1466</f>
        <v>8</v>
      </c>
      <c r="K1466" t="str">
        <f t="shared" si="67"/>
        <v>2024-03</v>
      </c>
      <c r="L1466">
        <f t="shared" si="68"/>
        <v>0</v>
      </c>
    </row>
    <row r="1467" spans="1:12">
      <c r="A1467" t="s">
        <v>4268</v>
      </c>
      <c r="B1467" t="s">
        <v>4269</v>
      </c>
      <c r="C1467" t="s">
        <v>4270</v>
      </c>
      <c r="D1467" t="s">
        <v>35</v>
      </c>
      <c r="E1467" t="s">
        <v>24</v>
      </c>
      <c r="F1467" t="s">
        <v>41</v>
      </c>
      <c r="G1467" t="s">
        <v>31</v>
      </c>
      <c r="H1467">
        <f>Cleaned_Data!K1467</f>
        <v>34</v>
      </c>
      <c r="I1467" t="str">
        <f t="shared" si="66"/>
        <v>YES</v>
      </c>
      <c r="J1467">
        <f>Cleaned_Data!J1467</f>
        <v>48</v>
      </c>
      <c r="K1467" t="str">
        <f t="shared" si="67"/>
        <v>2024-07</v>
      </c>
      <c r="L1467">
        <f t="shared" si="68"/>
        <v>0</v>
      </c>
    </row>
    <row r="1468" spans="1:12">
      <c r="A1468" t="s">
        <v>4271</v>
      </c>
      <c r="B1468" t="s">
        <v>4272</v>
      </c>
      <c r="C1468" t="s">
        <v>4273</v>
      </c>
      <c r="D1468" t="s">
        <v>23</v>
      </c>
      <c r="E1468" t="s">
        <v>28</v>
      </c>
      <c r="F1468" t="s">
        <v>36</v>
      </c>
      <c r="G1468" t="s">
        <v>31</v>
      </c>
      <c r="H1468">
        <f>Cleaned_Data!K1468</f>
        <v>59.14</v>
      </c>
      <c r="I1468" t="str">
        <f t="shared" si="66"/>
        <v>NO</v>
      </c>
      <c r="J1468">
        <f>Cleaned_Data!J1468</f>
        <v>24</v>
      </c>
      <c r="K1468" t="str">
        <f t="shared" si="67"/>
        <v>2024-07</v>
      </c>
      <c r="L1468">
        <f t="shared" si="68"/>
        <v>35.14</v>
      </c>
    </row>
    <row r="1469" spans="1:12">
      <c r="A1469" t="s">
        <v>4274</v>
      </c>
      <c r="B1469" t="s">
        <v>4275</v>
      </c>
      <c r="C1469" t="s">
        <v>4276</v>
      </c>
      <c r="D1469" t="s">
        <v>23</v>
      </c>
      <c r="E1469" t="s">
        <v>28</v>
      </c>
      <c r="F1469" t="s">
        <v>41</v>
      </c>
      <c r="G1469" t="s">
        <v>31</v>
      </c>
      <c r="H1469">
        <f>Cleaned_Data!K1469</f>
        <v>19.68</v>
      </c>
      <c r="I1469" t="str">
        <f t="shared" si="66"/>
        <v>YES</v>
      </c>
      <c r="J1469">
        <f>Cleaned_Data!J1469</f>
        <v>24</v>
      </c>
      <c r="K1469" t="str">
        <f t="shared" si="67"/>
        <v>2024-06</v>
      </c>
      <c r="L1469">
        <f t="shared" si="68"/>
        <v>0</v>
      </c>
    </row>
    <row r="1470" spans="1:12">
      <c r="A1470" t="s">
        <v>4277</v>
      </c>
      <c r="B1470" t="s">
        <v>4278</v>
      </c>
      <c r="C1470" t="s">
        <v>4279</v>
      </c>
      <c r="D1470" t="s">
        <v>23</v>
      </c>
      <c r="E1470" t="s">
        <v>24</v>
      </c>
      <c r="F1470" t="s">
        <v>17</v>
      </c>
      <c r="G1470" t="s">
        <v>19</v>
      </c>
      <c r="H1470">
        <f>Cleaned_Data!K1470</f>
        <v>21.02</v>
      </c>
      <c r="I1470" t="str">
        <f t="shared" si="66"/>
        <v>YES</v>
      </c>
      <c r="J1470">
        <f>Cleaned_Data!J1470</f>
        <v>24</v>
      </c>
      <c r="K1470" t="str">
        <f t="shared" si="67"/>
        <v>2024-08</v>
      </c>
      <c r="L1470">
        <f t="shared" si="68"/>
        <v>0</v>
      </c>
    </row>
    <row r="1471" spans="1:12">
      <c r="A1471" t="s">
        <v>4280</v>
      </c>
      <c r="B1471" t="s">
        <v>4281</v>
      </c>
      <c r="C1471" t="s">
        <v>4282</v>
      </c>
      <c r="D1471" t="s">
        <v>15</v>
      </c>
      <c r="E1471" t="s">
        <v>28</v>
      </c>
      <c r="F1471" t="s">
        <v>36</v>
      </c>
      <c r="G1471" t="s">
        <v>31</v>
      </c>
      <c r="H1471">
        <f>Cleaned_Data!K1471</f>
        <v>2.46</v>
      </c>
      <c r="I1471" t="str">
        <f t="shared" si="66"/>
        <v>YES</v>
      </c>
      <c r="J1471">
        <f>Cleaned_Data!J1471</f>
        <v>8</v>
      </c>
      <c r="K1471" t="str">
        <f t="shared" si="67"/>
        <v>2024-03</v>
      </c>
      <c r="L1471">
        <f t="shared" si="68"/>
        <v>0</v>
      </c>
    </row>
    <row r="1472" spans="1:12">
      <c r="A1472" t="s">
        <v>4283</v>
      </c>
      <c r="B1472" t="s">
        <v>4284</v>
      </c>
      <c r="D1472" t="s">
        <v>23</v>
      </c>
      <c r="E1472" t="s">
        <v>28</v>
      </c>
      <c r="F1472" t="s">
        <v>41</v>
      </c>
      <c r="G1472" t="s">
        <v>63</v>
      </c>
      <c r="H1472">
        <f>Cleaned_Data!K1472</f>
        <v>0</v>
      </c>
      <c r="I1472" t="str">
        <f t="shared" si="66"/>
        <v/>
      </c>
      <c r="J1472">
        <f>Cleaned_Data!J1472</f>
        <v>24</v>
      </c>
      <c r="K1472" t="str">
        <f t="shared" si="67"/>
        <v>2024-04</v>
      </c>
      <c r="L1472">
        <f t="shared" si="68"/>
        <v>0</v>
      </c>
    </row>
    <row r="1473" spans="1:12">
      <c r="A1473" t="s">
        <v>4285</v>
      </c>
      <c r="B1473" t="s">
        <v>4286</v>
      </c>
      <c r="C1473" t="s">
        <v>4287</v>
      </c>
      <c r="D1473" t="s">
        <v>15</v>
      </c>
      <c r="E1473" t="s">
        <v>28</v>
      </c>
      <c r="F1473" t="s">
        <v>29</v>
      </c>
      <c r="G1473" t="s">
        <v>19</v>
      </c>
      <c r="H1473">
        <f>Cleaned_Data!K1473</f>
        <v>7.22</v>
      </c>
      <c r="I1473" t="str">
        <f t="shared" si="66"/>
        <v>YES</v>
      </c>
      <c r="J1473">
        <f>Cleaned_Data!J1473</f>
        <v>8</v>
      </c>
      <c r="K1473" t="str">
        <f t="shared" si="67"/>
        <v>2024-07</v>
      </c>
      <c r="L1473">
        <f t="shared" si="68"/>
        <v>0</v>
      </c>
    </row>
    <row r="1474" spans="1:12">
      <c r="A1474" t="s">
        <v>4288</v>
      </c>
      <c r="B1474" t="s">
        <v>4289</v>
      </c>
      <c r="C1474" t="s">
        <v>4290</v>
      </c>
      <c r="D1474" t="s">
        <v>15</v>
      </c>
      <c r="E1474" t="s">
        <v>16</v>
      </c>
      <c r="F1474" t="s">
        <v>29</v>
      </c>
      <c r="G1474" t="s">
        <v>31</v>
      </c>
      <c r="H1474">
        <f>Cleaned_Data!K1474</f>
        <v>1.8</v>
      </c>
      <c r="I1474" t="str">
        <f t="shared" ref="I1474:I1537" si="69">IF(OR(G1474="Resolved", G1474="Closed"), IF(AND(H1474&lt;&gt;"", H1474&lt;=J1474), "YES", "NO"), "")</f>
        <v>YES</v>
      </c>
      <c r="J1474">
        <f>Cleaned_Data!J1474</f>
        <v>8</v>
      </c>
      <c r="K1474" t="str">
        <f t="shared" ref="K1474:K1537" si="70">LEFT(B1474, 7)</f>
        <v>2024-09</v>
      </c>
      <c r="L1474">
        <f t="shared" ref="L1474:L1537" si="71">IF(I1474="NO", H1474-J1474, 0)</f>
        <v>0</v>
      </c>
    </row>
    <row r="1475" spans="1:12">
      <c r="A1475" t="s">
        <v>4291</v>
      </c>
      <c r="B1475" t="s">
        <v>4292</v>
      </c>
      <c r="C1475" t="s">
        <v>4293</v>
      </c>
      <c r="D1475" t="s">
        <v>15</v>
      </c>
      <c r="E1475" t="s">
        <v>28</v>
      </c>
      <c r="F1475" t="s">
        <v>17</v>
      </c>
      <c r="G1475" t="s">
        <v>19</v>
      </c>
      <c r="H1475">
        <f>Cleaned_Data!K1475</f>
        <v>2.56</v>
      </c>
      <c r="I1475" t="str">
        <f t="shared" si="69"/>
        <v>YES</v>
      </c>
      <c r="J1475">
        <f>Cleaned_Data!J1475</f>
        <v>8</v>
      </c>
      <c r="K1475" t="str">
        <f t="shared" si="70"/>
        <v>2024-05</v>
      </c>
      <c r="L1475">
        <f t="shared" si="71"/>
        <v>0</v>
      </c>
    </row>
    <row r="1476" spans="1:12">
      <c r="A1476" t="s">
        <v>4294</v>
      </c>
      <c r="B1476" t="s">
        <v>4295</v>
      </c>
      <c r="D1476" t="s">
        <v>35</v>
      </c>
      <c r="E1476" t="s">
        <v>28</v>
      </c>
      <c r="F1476" t="s">
        <v>41</v>
      </c>
      <c r="G1476" t="s">
        <v>63</v>
      </c>
      <c r="H1476">
        <f>Cleaned_Data!K1476</f>
        <v>0</v>
      </c>
      <c r="I1476" t="str">
        <f t="shared" si="69"/>
        <v/>
      </c>
      <c r="J1476">
        <f>Cleaned_Data!J1476</f>
        <v>48</v>
      </c>
      <c r="K1476" t="str">
        <f t="shared" si="70"/>
        <v>2024-10</v>
      </c>
      <c r="L1476">
        <f t="shared" si="71"/>
        <v>0</v>
      </c>
    </row>
    <row r="1477" spans="1:12">
      <c r="A1477" t="s">
        <v>4296</v>
      </c>
      <c r="B1477" t="s">
        <v>4297</v>
      </c>
      <c r="C1477" t="s">
        <v>4298</v>
      </c>
      <c r="D1477" t="s">
        <v>23</v>
      </c>
      <c r="E1477" t="s">
        <v>54</v>
      </c>
      <c r="F1477" t="s">
        <v>60</v>
      </c>
      <c r="G1477" t="s">
        <v>19</v>
      </c>
      <c r="H1477">
        <f>Cleaned_Data!K1477</f>
        <v>21.29</v>
      </c>
      <c r="I1477" t="str">
        <f t="shared" si="69"/>
        <v>YES</v>
      </c>
      <c r="J1477">
        <f>Cleaned_Data!J1477</f>
        <v>24</v>
      </c>
      <c r="K1477" t="str">
        <f t="shared" si="70"/>
        <v>2024-05</v>
      </c>
      <c r="L1477">
        <f t="shared" si="71"/>
        <v>0</v>
      </c>
    </row>
    <row r="1478" spans="1:12">
      <c r="A1478" t="s">
        <v>4299</v>
      </c>
      <c r="B1478" t="s">
        <v>4300</v>
      </c>
      <c r="C1478" t="s">
        <v>4301</v>
      </c>
      <c r="D1478" t="s">
        <v>23</v>
      </c>
      <c r="E1478" t="s">
        <v>24</v>
      </c>
      <c r="F1478" t="s">
        <v>41</v>
      </c>
      <c r="G1478" t="s">
        <v>31</v>
      </c>
      <c r="H1478">
        <f>Cleaned_Data!K1478</f>
        <v>6.99</v>
      </c>
      <c r="I1478" t="str">
        <f t="shared" si="69"/>
        <v>YES</v>
      </c>
      <c r="J1478">
        <f>Cleaned_Data!J1478</f>
        <v>24</v>
      </c>
      <c r="K1478" t="str">
        <f t="shared" si="70"/>
        <v>2024-12</v>
      </c>
      <c r="L1478">
        <f t="shared" si="71"/>
        <v>0</v>
      </c>
    </row>
    <row r="1479" spans="1:12">
      <c r="A1479" t="s">
        <v>4302</v>
      </c>
      <c r="B1479" t="s">
        <v>4303</v>
      </c>
      <c r="C1479" t="s">
        <v>4304</v>
      </c>
      <c r="D1479" t="s">
        <v>15</v>
      </c>
      <c r="E1479" t="s">
        <v>16</v>
      </c>
      <c r="F1479" t="s">
        <v>36</v>
      </c>
      <c r="G1479" t="s">
        <v>19</v>
      </c>
      <c r="H1479">
        <f>Cleaned_Data!K1479</f>
        <v>4.67</v>
      </c>
      <c r="I1479" t="str">
        <f t="shared" si="69"/>
        <v>YES</v>
      </c>
      <c r="J1479">
        <f>Cleaned_Data!J1479</f>
        <v>8</v>
      </c>
      <c r="K1479" t="str">
        <f t="shared" si="70"/>
        <v>2024-02</v>
      </c>
      <c r="L1479">
        <f t="shared" si="71"/>
        <v>0</v>
      </c>
    </row>
    <row r="1480" spans="1:12">
      <c r="A1480" t="s">
        <v>4305</v>
      </c>
      <c r="B1480" t="s">
        <v>4306</v>
      </c>
      <c r="C1480" t="s">
        <v>4307</v>
      </c>
      <c r="D1480" t="s">
        <v>35</v>
      </c>
      <c r="E1480" t="s">
        <v>16</v>
      </c>
      <c r="F1480" t="s">
        <v>60</v>
      </c>
      <c r="G1480" t="s">
        <v>31</v>
      </c>
      <c r="H1480">
        <f>Cleaned_Data!K1480</f>
        <v>6.14</v>
      </c>
      <c r="I1480" t="str">
        <f t="shared" si="69"/>
        <v>YES</v>
      </c>
      <c r="J1480">
        <f>Cleaned_Data!J1480</f>
        <v>48</v>
      </c>
      <c r="K1480" t="str">
        <f t="shared" si="70"/>
        <v>2024-01</v>
      </c>
      <c r="L1480">
        <f t="shared" si="71"/>
        <v>0</v>
      </c>
    </row>
    <row r="1481" spans="1:12">
      <c r="A1481" t="s">
        <v>4308</v>
      </c>
      <c r="B1481" t="s">
        <v>4309</v>
      </c>
      <c r="C1481" t="s">
        <v>4310</v>
      </c>
      <c r="D1481" t="s">
        <v>23</v>
      </c>
      <c r="E1481" t="s">
        <v>28</v>
      </c>
      <c r="F1481" t="s">
        <v>60</v>
      </c>
      <c r="G1481" t="s">
        <v>19</v>
      </c>
      <c r="H1481">
        <f>Cleaned_Data!K1481</f>
        <v>18.68</v>
      </c>
      <c r="I1481" t="str">
        <f t="shared" si="69"/>
        <v>YES</v>
      </c>
      <c r="J1481">
        <f>Cleaned_Data!J1481</f>
        <v>24</v>
      </c>
      <c r="K1481" t="str">
        <f t="shared" si="70"/>
        <v>2024-05</v>
      </c>
      <c r="L1481">
        <f t="shared" si="71"/>
        <v>0</v>
      </c>
    </row>
    <row r="1482" spans="1:12">
      <c r="A1482" t="s">
        <v>4311</v>
      </c>
      <c r="B1482" t="s">
        <v>4312</v>
      </c>
      <c r="D1482" t="s">
        <v>15</v>
      </c>
      <c r="E1482" t="s">
        <v>28</v>
      </c>
      <c r="F1482" t="s">
        <v>17</v>
      </c>
      <c r="G1482" t="s">
        <v>63</v>
      </c>
      <c r="H1482">
        <f>Cleaned_Data!K1482</f>
        <v>0</v>
      </c>
      <c r="I1482" t="str">
        <f t="shared" si="69"/>
        <v/>
      </c>
      <c r="J1482">
        <f>Cleaned_Data!J1482</f>
        <v>8</v>
      </c>
      <c r="K1482" t="str">
        <f t="shared" si="70"/>
        <v>2024-07</v>
      </c>
      <c r="L1482">
        <f t="shared" si="71"/>
        <v>0</v>
      </c>
    </row>
    <row r="1483" spans="1:12">
      <c r="A1483" t="s">
        <v>4313</v>
      </c>
      <c r="B1483" t="s">
        <v>4314</v>
      </c>
      <c r="C1483" t="s">
        <v>4315</v>
      </c>
      <c r="D1483" t="s">
        <v>15</v>
      </c>
      <c r="E1483" t="s">
        <v>54</v>
      </c>
      <c r="F1483" t="s">
        <v>41</v>
      </c>
      <c r="G1483" t="s">
        <v>19</v>
      </c>
      <c r="H1483">
        <f>Cleaned_Data!K1483</f>
        <v>4.55</v>
      </c>
      <c r="I1483" t="str">
        <f t="shared" si="69"/>
        <v>YES</v>
      </c>
      <c r="J1483">
        <f>Cleaned_Data!J1483</f>
        <v>8</v>
      </c>
      <c r="K1483" t="str">
        <f t="shared" si="70"/>
        <v>2024-11</v>
      </c>
      <c r="L1483">
        <f t="shared" si="71"/>
        <v>0</v>
      </c>
    </row>
    <row r="1484" spans="1:12">
      <c r="A1484" t="s">
        <v>4316</v>
      </c>
      <c r="B1484" t="s">
        <v>4317</v>
      </c>
      <c r="C1484" t="s">
        <v>4318</v>
      </c>
      <c r="D1484" t="s">
        <v>23</v>
      </c>
      <c r="E1484" t="s">
        <v>59</v>
      </c>
      <c r="F1484" t="s">
        <v>17</v>
      </c>
      <c r="G1484" t="s">
        <v>19</v>
      </c>
      <c r="H1484">
        <f>Cleaned_Data!K1484</f>
        <v>7.38</v>
      </c>
      <c r="I1484" t="str">
        <f t="shared" si="69"/>
        <v>YES</v>
      </c>
      <c r="J1484">
        <f>Cleaned_Data!J1484</f>
        <v>24</v>
      </c>
      <c r="K1484" t="str">
        <f t="shared" si="70"/>
        <v>2024-03</v>
      </c>
      <c r="L1484">
        <f t="shared" si="71"/>
        <v>0</v>
      </c>
    </row>
    <row r="1485" spans="1:12">
      <c r="A1485" t="s">
        <v>4319</v>
      </c>
      <c r="B1485" t="s">
        <v>4320</v>
      </c>
      <c r="C1485" t="s">
        <v>4321</v>
      </c>
      <c r="D1485" t="s">
        <v>23</v>
      </c>
      <c r="E1485" t="s">
        <v>59</v>
      </c>
      <c r="F1485" t="s">
        <v>36</v>
      </c>
      <c r="G1485" t="s">
        <v>31</v>
      </c>
      <c r="H1485">
        <f>Cleaned_Data!K1485</f>
        <v>12.16</v>
      </c>
      <c r="I1485" t="str">
        <f t="shared" si="69"/>
        <v>YES</v>
      </c>
      <c r="J1485">
        <f>Cleaned_Data!J1485</f>
        <v>24</v>
      </c>
      <c r="K1485" t="str">
        <f t="shared" si="70"/>
        <v>2024-07</v>
      </c>
      <c r="L1485">
        <f t="shared" si="71"/>
        <v>0</v>
      </c>
    </row>
    <row r="1486" spans="1:12">
      <c r="A1486" t="s">
        <v>4322</v>
      </c>
      <c r="B1486" t="s">
        <v>4323</v>
      </c>
      <c r="C1486" t="s">
        <v>4324</v>
      </c>
      <c r="D1486" t="s">
        <v>15</v>
      </c>
      <c r="E1486" t="s">
        <v>28</v>
      </c>
      <c r="F1486" t="s">
        <v>17</v>
      </c>
      <c r="G1486" t="s">
        <v>19</v>
      </c>
      <c r="H1486">
        <f>Cleaned_Data!K1486</f>
        <v>4.76</v>
      </c>
      <c r="I1486" t="str">
        <f t="shared" si="69"/>
        <v>YES</v>
      </c>
      <c r="J1486">
        <f>Cleaned_Data!J1486</f>
        <v>8</v>
      </c>
      <c r="K1486" t="str">
        <f t="shared" si="70"/>
        <v>2024-07</v>
      </c>
      <c r="L1486">
        <f t="shared" si="71"/>
        <v>0</v>
      </c>
    </row>
    <row r="1487" spans="1:12">
      <c r="A1487" t="s">
        <v>4325</v>
      </c>
      <c r="B1487" t="s">
        <v>4326</v>
      </c>
      <c r="C1487" t="s">
        <v>4327</v>
      </c>
      <c r="D1487" t="s">
        <v>23</v>
      </c>
      <c r="E1487" t="s">
        <v>28</v>
      </c>
      <c r="F1487" t="s">
        <v>17</v>
      </c>
      <c r="G1487" t="s">
        <v>31</v>
      </c>
      <c r="H1487">
        <f>Cleaned_Data!K1487</f>
        <v>11.71</v>
      </c>
      <c r="I1487" t="str">
        <f t="shared" si="69"/>
        <v>YES</v>
      </c>
      <c r="J1487">
        <f>Cleaned_Data!J1487</f>
        <v>24</v>
      </c>
      <c r="K1487" t="str">
        <f t="shared" si="70"/>
        <v>2024-02</v>
      </c>
      <c r="L1487">
        <f t="shared" si="71"/>
        <v>0</v>
      </c>
    </row>
    <row r="1488" spans="1:12">
      <c r="A1488" t="s">
        <v>4328</v>
      </c>
      <c r="B1488" t="s">
        <v>4329</v>
      </c>
      <c r="C1488" t="s">
        <v>4330</v>
      </c>
      <c r="D1488" t="s">
        <v>23</v>
      </c>
      <c r="E1488" t="s">
        <v>28</v>
      </c>
      <c r="F1488" t="s">
        <v>17</v>
      </c>
      <c r="G1488" t="s">
        <v>19</v>
      </c>
      <c r="H1488">
        <f>Cleaned_Data!K1488</f>
        <v>21.81</v>
      </c>
      <c r="I1488" t="str">
        <f t="shared" si="69"/>
        <v>YES</v>
      </c>
      <c r="J1488">
        <f>Cleaned_Data!J1488</f>
        <v>24</v>
      </c>
      <c r="K1488" t="str">
        <f t="shared" si="70"/>
        <v>2024-10</v>
      </c>
      <c r="L1488">
        <f t="shared" si="71"/>
        <v>0</v>
      </c>
    </row>
    <row r="1489" spans="1:12">
      <c r="A1489" t="s">
        <v>4331</v>
      </c>
      <c r="B1489" t="s">
        <v>4332</v>
      </c>
      <c r="C1489" t="s">
        <v>4333</v>
      </c>
      <c r="D1489" t="s">
        <v>23</v>
      </c>
      <c r="E1489" t="s">
        <v>28</v>
      </c>
      <c r="F1489" t="s">
        <v>60</v>
      </c>
      <c r="G1489" t="s">
        <v>19</v>
      </c>
      <c r="H1489">
        <f>Cleaned_Data!K1489</f>
        <v>22.34</v>
      </c>
      <c r="I1489" t="str">
        <f t="shared" si="69"/>
        <v>YES</v>
      </c>
      <c r="J1489">
        <f>Cleaned_Data!J1489</f>
        <v>24</v>
      </c>
      <c r="K1489" t="str">
        <f t="shared" si="70"/>
        <v>2024-12</v>
      </c>
      <c r="L1489">
        <f t="shared" si="71"/>
        <v>0</v>
      </c>
    </row>
    <row r="1490" spans="1:12">
      <c r="A1490" t="s">
        <v>4334</v>
      </c>
      <c r="B1490" t="s">
        <v>4335</v>
      </c>
      <c r="C1490" t="s">
        <v>4336</v>
      </c>
      <c r="D1490" t="s">
        <v>158</v>
      </c>
      <c r="E1490" t="s">
        <v>16</v>
      </c>
      <c r="F1490" t="s">
        <v>60</v>
      </c>
      <c r="G1490" t="s">
        <v>19</v>
      </c>
      <c r="H1490">
        <f>Cleaned_Data!K1490</f>
        <v>2.99</v>
      </c>
      <c r="I1490" t="str">
        <f t="shared" si="69"/>
        <v>YES</v>
      </c>
      <c r="J1490">
        <f>Cleaned_Data!J1490</f>
        <v>4</v>
      </c>
      <c r="K1490" t="str">
        <f t="shared" si="70"/>
        <v>2024-07</v>
      </c>
      <c r="L1490">
        <f t="shared" si="71"/>
        <v>0</v>
      </c>
    </row>
    <row r="1491" spans="1:12">
      <c r="A1491" t="s">
        <v>4337</v>
      </c>
      <c r="B1491" t="s">
        <v>4338</v>
      </c>
      <c r="C1491" t="s">
        <v>4339</v>
      </c>
      <c r="D1491" t="s">
        <v>35</v>
      </c>
      <c r="E1491" t="s">
        <v>28</v>
      </c>
      <c r="F1491" t="s">
        <v>60</v>
      </c>
      <c r="G1491" t="s">
        <v>19</v>
      </c>
      <c r="H1491">
        <f>Cleaned_Data!K1491</f>
        <v>14.26</v>
      </c>
      <c r="I1491" t="str">
        <f t="shared" si="69"/>
        <v>YES</v>
      </c>
      <c r="J1491">
        <f>Cleaned_Data!J1491</f>
        <v>48</v>
      </c>
      <c r="K1491" t="str">
        <f t="shared" si="70"/>
        <v>2024-02</v>
      </c>
      <c r="L1491">
        <f t="shared" si="71"/>
        <v>0</v>
      </c>
    </row>
    <row r="1492" spans="1:12">
      <c r="A1492" t="s">
        <v>4340</v>
      </c>
      <c r="B1492" t="s">
        <v>4341</v>
      </c>
      <c r="C1492" t="s">
        <v>4342</v>
      </c>
      <c r="D1492" t="s">
        <v>15</v>
      </c>
      <c r="E1492" t="s">
        <v>28</v>
      </c>
      <c r="F1492" t="s">
        <v>36</v>
      </c>
      <c r="G1492" t="s">
        <v>19</v>
      </c>
      <c r="H1492">
        <f>Cleaned_Data!K1492</f>
        <v>4.68</v>
      </c>
      <c r="I1492" t="str">
        <f t="shared" si="69"/>
        <v>YES</v>
      </c>
      <c r="J1492">
        <f>Cleaned_Data!J1492</f>
        <v>8</v>
      </c>
      <c r="K1492" t="str">
        <f t="shared" si="70"/>
        <v>2024-04</v>
      </c>
      <c r="L1492">
        <f t="shared" si="71"/>
        <v>0</v>
      </c>
    </row>
    <row r="1493" spans="1:12">
      <c r="A1493" t="s">
        <v>4343</v>
      </c>
      <c r="B1493" t="s">
        <v>4344</v>
      </c>
      <c r="C1493" t="s">
        <v>4345</v>
      </c>
      <c r="D1493" t="s">
        <v>15</v>
      </c>
      <c r="E1493" t="s">
        <v>54</v>
      </c>
      <c r="F1493" t="s">
        <v>17</v>
      </c>
      <c r="G1493" t="s">
        <v>31</v>
      </c>
      <c r="H1493">
        <f>Cleaned_Data!K1493</f>
        <v>7.31</v>
      </c>
      <c r="I1493" t="str">
        <f t="shared" si="69"/>
        <v>YES</v>
      </c>
      <c r="J1493">
        <f>Cleaned_Data!J1493</f>
        <v>8</v>
      </c>
      <c r="K1493" t="str">
        <f t="shared" si="70"/>
        <v>2024-03</v>
      </c>
      <c r="L1493">
        <f t="shared" si="71"/>
        <v>0</v>
      </c>
    </row>
    <row r="1494" spans="1:12">
      <c r="A1494" t="s">
        <v>4346</v>
      </c>
      <c r="B1494" t="s">
        <v>4347</v>
      </c>
      <c r="D1494" t="s">
        <v>23</v>
      </c>
      <c r="E1494" t="s">
        <v>28</v>
      </c>
      <c r="F1494" t="s">
        <v>29</v>
      </c>
      <c r="G1494" t="s">
        <v>63</v>
      </c>
      <c r="H1494">
        <f>Cleaned_Data!K1494</f>
        <v>0</v>
      </c>
      <c r="I1494" t="str">
        <f t="shared" si="69"/>
        <v/>
      </c>
      <c r="J1494">
        <f>Cleaned_Data!J1494</f>
        <v>24</v>
      </c>
      <c r="K1494" t="str">
        <f t="shared" si="70"/>
        <v>2024-09</v>
      </c>
      <c r="L1494">
        <f t="shared" si="71"/>
        <v>0</v>
      </c>
    </row>
    <row r="1495" spans="1:12">
      <c r="A1495" t="s">
        <v>4348</v>
      </c>
      <c r="B1495" t="s">
        <v>4349</v>
      </c>
      <c r="C1495" t="s">
        <v>4350</v>
      </c>
      <c r="D1495" t="s">
        <v>35</v>
      </c>
      <c r="E1495" t="s">
        <v>16</v>
      </c>
      <c r="F1495" t="s">
        <v>29</v>
      </c>
      <c r="G1495" t="s">
        <v>19</v>
      </c>
      <c r="H1495">
        <f>Cleaned_Data!K1495</f>
        <v>38.630000000000003</v>
      </c>
      <c r="I1495" t="str">
        <f t="shared" si="69"/>
        <v>YES</v>
      </c>
      <c r="J1495">
        <f>Cleaned_Data!J1495</f>
        <v>48</v>
      </c>
      <c r="K1495" t="str">
        <f t="shared" si="70"/>
        <v>2024-07</v>
      </c>
      <c r="L1495">
        <f t="shared" si="71"/>
        <v>0</v>
      </c>
    </row>
    <row r="1496" spans="1:12">
      <c r="A1496" t="s">
        <v>4351</v>
      </c>
      <c r="B1496" t="s">
        <v>4352</v>
      </c>
      <c r="D1496" t="s">
        <v>23</v>
      </c>
      <c r="E1496" t="s">
        <v>28</v>
      </c>
      <c r="F1496" t="s">
        <v>41</v>
      </c>
      <c r="G1496" t="s">
        <v>63</v>
      </c>
      <c r="H1496">
        <f>Cleaned_Data!K1496</f>
        <v>0</v>
      </c>
      <c r="I1496" t="str">
        <f t="shared" si="69"/>
        <v/>
      </c>
      <c r="J1496">
        <f>Cleaned_Data!J1496</f>
        <v>24</v>
      </c>
      <c r="K1496" t="str">
        <f t="shared" si="70"/>
        <v>2024-04</v>
      </c>
      <c r="L1496">
        <f t="shared" si="71"/>
        <v>0</v>
      </c>
    </row>
    <row r="1497" spans="1:12">
      <c r="A1497" t="s">
        <v>4353</v>
      </c>
      <c r="B1497" t="s">
        <v>4354</v>
      </c>
      <c r="D1497" t="s">
        <v>15</v>
      </c>
      <c r="E1497" t="s">
        <v>28</v>
      </c>
      <c r="F1497" t="s">
        <v>29</v>
      </c>
      <c r="G1497" t="s">
        <v>63</v>
      </c>
      <c r="H1497">
        <f>Cleaned_Data!K1497</f>
        <v>0</v>
      </c>
      <c r="I1497" t="str">
        <f t="shared" si="69"/>
        <v/>
      </c>
      <c r="J1497">
        <f>Cleaned_Data!J1497</f>
        <v>8</v>
      </c>
      <c r="K1497" t="str">
        <f t="shared" si="70"/>
        <v>2024-11</v>
      </c>
      <c r="L1497">
        <f t="shared" si="71"/>
        <v>0</v>
      </c>
    </row>
    <row r="1498" spans="1:12">
      <c r="A1498" t="s">
        <v>4355</v>
      </c>
      <c r="B1498" t="s">
        <v>4356</v>
      </c>
      <c r="C1498" t="s">
        <v>4357</v>
      </c>
      <c r="D1498" t="s">
        <v>23</v>
      </c>
      <c r="E1498" t="s">
        <v>28</v>
      </c>
      <c r="F1498" t="s">
        <v>41</v>
      </c>
      <c r="G1498" t="s">
        <v>31</v>
      </c>
      <c r="H1498">
        <f>Cleaned_Data!K1498</f>
        <v>18.670000000000002</v>
      </c>
      <c r="I1498" t="str">
        <f t="shared" si="69"/>
        <v>YES</v>
      </c>
      <c r="J1498">
        <f>Cleaned_Data!J1498</f>
        <v>24</v>
      </c>
      <c r="K1498" t="str">
        <f t="shared" si="70"/>
        <v>2024-11</v>
      </c>
      <c r="L1498">
        <f t="shared" si="71"/>
        <v>0</v>
      </c>
    </row>
    <row r="1499" spans="1:12">
      <c r="A1499" t="s">
        <v>4358</v>
      </c>
      <c r="B1499" t="s">
        <v>4359</v>
      </c>
      <c r="C1499" t="s">
        <v>4360</v>
      </c>
      <c r="D1499" t="s">
        <v>35</v>
      </c>
      <c r="E1499" t="s">
        <v>24</v>
      </c>
      <c r="F1499" t="s">
        <v>17</v>
      </c>
      <c r="G1499" t="s">
        <v>19</v>
      </c>
      <c r="H1499">
        <f>Cleaned_Data!K1499</f>
        <v>34.229999999999997</v>
      </c>
      <c r="I1499" t="str">
        <f t="shared" si="69"/>
        <v>YES</v>
      </c>
      <c r="J1499">
        <f>Cleaned_Data!J1499</f>
        <v>48</v>
      </c>
      <c r="K1499" t="str">
        <f t="shared" si="70"/>
        <v>2024-06</v>
      </c>
      <c r="L1499">
        <f t="shared" si="71"/>
        <v>0</v>
      </c>
    </row>
    <row r="1500" spans="1:12">
      <c r="A1500" t="s">
        <v>4361</v>
      </c>
      <c r="B1500" t="s">
        <v>4362</v>
      </c>
      <c r="C1500" t="s">
        <v>4363</v>
      </c>
      <c r="D1500" t="s">
        <v>23</v>
      </c>
      <c r="E1500" t="s">
        <v>28</v>
      </c>
      <c r="F1500" t="s">
        <v>41</v>
      </c>
      <c r="G1500" t="s">
        <v>19</v>
      </c>
      <c r="H1500">
        <f>Cleaned_Data!K1500</f>
        <v>10.050000000000001</v>
      </c>
      <c r="I1500" t="str">
        <f t="shared" si="69"/>
        <v>YES</v>
      </c>
      <c r="J1500">
        <f>Cleaned_Data!J1500</f>
        <v>24</v>
      </c>
      <c r="K1500" t="str">
        <f t="shared" si="70"/>
        <v>2024-01</v>
      </c>
      <c r="L1500">
        <f t="shared" si="71"/>
        <v>0</v>
      </c>
    </row>
    <row r="1501" spans="1:12">
      <c r="A1501" t="s">
        <v>4364</v>
      </c>
      <c r="B1501" t="s">
        <v>4365</v>
      </c>
      <c r="C1501" t="s">
        <v>4366</v>
      </c>
      <c r="D1501" t="s">
        <v>15</v>
      </c>
      <c r="E1501" t="s">
        <v>28</v>
      </c>
      <c r="F1501" t="s">
        <v>41</v>
      </c>
      <c r="G1501" t="s">
        <v>19</v>
      </c>
      <c r="H1501">
        <f>Cleaned_Data!K1501</f>
        <v>5.9</v>
      </c>
      <c r="I1501" t="str">
        <f t="shared" si="69"/>
        <v>YES</v>
      </c>
      <c r="J1501">
        <f>Cleaned_Data!J1501</f>
        <v>8</v>
      </c>
      <c r="K1501" t="str">
        <f t="shared" si="70"/>
        <v>2024-09</v>
      </c>
      <c r="L1501">
        <f t="shared" si="71"/>
        <v>0</v>
      </c>
    </row>
    <row r="1502" spans="1:12">
      <c r="A1502" t="s">
        <v>4367</v>
      </c>
      <c r="B1502" t="s">
        <v>4368</v>
      </c>
      <c r="C1502" t="s">
        <v>4369</v>
      </c>
      <c r="D1502" t="s">
        <v>23</v>
      </c>
      <c r="E1502" t="s">
        <v>16</v>
      </c>
      <c r="F1502" t="s">
        <v>17</v>
      </c>
      <c r="G1502" t="s">
        <v>19</v>
      </c>
      <c r="H1502">
        <f>Cleaned_Data!K1502</f>
        <v>4.2</v>
      </c>
      <c r="I1502" t="str">
        <f t="shared" si="69"/>
        <v>YES</v>
      </c>
      <c r="J1502">
        <f>Cleaned_Data!J1502</f>
        <v>24</v>
      </c>
      <c r="K1502" t="str">
        <f t="shared" si="70"/>
        <v>2024-10</v>
      </c>
      <c r="L1502">
        <f t="shared" si="71"/>
        <v>0</v>
      </c>
    </row>
    <row r="1503" spans="1:12">
      <c r="A1503" t="s">
        <v>4370</v>
      </c>
      <c r="B1503" t="s">
        <v>4371</v>
      </c>
      <c r="C1503" t="s">
        <v>4372</v>
      </c>
      <c r="D1503" t="s">
        <v>23</v>
      </c>
      <c r="E1503" t="s">
        <v>59</v>
      </c>
      <c r="F1503" t="s">
        <v>60</v>
      </c>
      <c r="G1503" t="s">
        <v>31</v>
      </c>
      <c r="H1503">
        <f>Cleaned_Data!K1503</f>
        <v>18</v>
      </c>
      <c r="I1503" t="str">
        <f t="shared" si="69"/>
        <v>YES</v>
      </c>
      <c r="J1503">
        <f>Cleaned_Data!J1503</f>
        <v>24</v>
      </c>
      <c r="K1503" t="str">
        <f t="shared" si="70"/>
        <v>2024-08</v>
      </c>
      <c r="L1503">
        <f t="shared" si="71"/>
        <v>0</v>
      </c>
    </row>
    <row r="1504" spans="1:12">
      <c r="A1504" t="s">
        <v>4373</v>
      </c>
      <c r="B1504" t="s">
        <v>4374</v>
      </c>
      <c r="D1504" t="s">
        <v>23</v>
      </c>
      <c r="E1504" t="s">
        <v>16</v>
      </c>
      <c r="F1504" t="s">
        <v>29</v>
      </c>
      <c r="G1504" t="s">
        <v>63</v>
      </c>
      <c r="H1504">
        <f>Cleaned_Data!K1504</f>
        <v>0</v>
      </c>
      <c r="I1504" t="str">
        <f t="shared" si="69"/>
        <v/>
      </c>
      <c r="J1504">
        <f>Cleaned_Data!J1504</f>
        <v>24</v>
      </c>
      <c r="K1504" t="str">
        <f t="shared" si="70"/>
        <v>2024-12</v>
      </c>
      <c r="L1504">
        <f t="shared" si="71"/>
        <v>0</v>
      </c>
    </row>
    <row r="1505" spans="1:12">
      <c r="A1505" t="s">
        <v>4375</v>
      </c>
      <c r="B1505" t="s">
        <v>4376</v>
      </c>
      <c r="C1505" t="s">
        <v>4377</v>
      </c>
      <c r="D1505" t="s">
        <v>23</v>
      </c>
      <c r="E1505" t="s">
        <v>28</v>
      </c>
      <c r="F1505" t="s">
        <v>29</v>
      </c>
      <c r="G1505" t="s">
        <v>19</v>
      </c>
      <c r="H1505">
        <f>Cleaned_Data!K1505</f>
        <v>6.46</v>
      </c>
      <c r="I1505" t="str">
        <f t="shared" si="69"/>
        <v>YES</v>
      </c>
      <c r="J1505">
        <f>Cleaned_Data!J1505</f>
        <v>24</v>
      </c>
      <c r="K1505" t="str">
        <f t="shared" si="70"/>
        <v>2024-06</v>
      </c>
      <c r="L1505">
        <f t="shared" si="71"/>
        <v>0</v>
      </c>
    </row>
    <row r="1506" spans="1:12">
      <c r="A1506" t="s">
        <v>4378</v>
      </c>
      <c r="B1506" t="s">
        <v>4379</v>
      </c>
      <c r="C1506" t="s">
        <v>4380</v>
      </c>
      <c r="D1506" t="s">
        <v>15</v>
      </c>
      <c r="E1506" t="s">
        <v>16</v>
      </c>
      <c r="F1506" t="s">
        <v>36</v>
      </c>
      <c r="G1506" t="s">
        <v>19</v>
      </c>
      <c r="H1506">
        <f>Cleaned_Data!K1506</f>
        <v>3.49</v>
      </c>
      <c r="I1506" t="str">
        <f t="shared" si="69"/>
        <v>YES</v>
      </c>
      <c r="J1506">
        <f>Cleaned_Data!J1506</f>
        <v>8</v>
      </c>
      <c r="K1506" t="str">
        <f t="shared" si="70"/>
        <v>2024-04</v>
      </c>
      <c r="L1506">
        <f t="shared" si="71"/>
        <v>0</v>
      </c>
    </row>
    <row r="1507" spans="1:12">
      <c r="A1507" t="s">
        <v>4381</v>
      </c>
      <c r="B1507" t="s">
        <v>4382</v>
      </c>
      <c r="C1507" t="s">
        <v>4383</v>
      </c>
      <c r="D1507" t="s">
        <v>35</v>
      </c>
      <c r="E1507" t="s">
        <v>24</v>
      </c>
      <c r="F1507" t="s">
        <v>60</v>
      </c>
      <c r="G1507" t="s">
        <v>19</v>
      </c>
      <c r="H1507">
        <f>Cleaned_Data!K1507</f>
        <v>6.11</v>
      </c>
      <c r="I1507" t="str">
        <f t="shared" si="69"/>
        <v>YES</v>
      </c>
      <c r="J1507">
        <f>Cleaned_Data!J1507</f>
        <v>48</v>
      </c>
      <c r="K1507" t="str">
        <f t="shared" si="70"/>
        <v>2024-01</v>
      </c>
      <c r="L1507">
        <f t="shared" si="71"/>
        <v>0</v>
      </c>
    </row>
    <row r="1508" spans="1:12">
      <c r="A1508" t="s">
        <v>4384</v>
      </c>
      <c r="B1508" t="s">
        <v>4385</v>
      </c>
      <c r="C1508" t="s">
        <v>4386</v>
      </c>
      <c r="D1508" t="s">
        <v>15</v>
      </c>
      <c r="E1508" t="s">
        <v>28</v>
      </c>
      <c r="F1508" t="s">
        <v>29</v>
      </c>
      <c r="G1508" t="s">
        <v>19</v>
      </c>
      <c r="H1508">
        <f>Cleaned_Data!K1508</f>
        <v>1.31</v>
      </c>
      <c r="I1508" t="str">
        <f t="shared" si="69"/>
        <v>YES</v>
      </c>
      <c r="J1508">
        <f>Cleaned_Data!J1508</f>
        <v>8</v>
      </c>
      <c r="K1508" t="str">
        <f t="shared" si="70"/>
        <v>2024-11</v>
      </c>
      <c r="L1508">
        <f t="shared" si="71"/>
        <v>0</v>
      </c>
    </row>
    <row r="1509" spans="1:12">
      <c r="A1509" t="s">
        <v>4387</v>
      </c>
      <c r="B1509" t="s">
        <v>4388</v>
      </c>
      <c r="C1509" t="s">
        <v>4389</v>
      </c>
      <c r="D1509" t="s">
        <v>23</v>
      </c>
      <c r="E1509" t="s">
        <v>28</v>
      </c>
      <c r="F1509" t="s">
        <v>60</v>
      </c>
      <c r="G1509" t="s">
        <v>31</v>
      </c>
      <c r="H1509">
        <f>Cleaned_Data!K1509</f>
        <v>15.66</v>
      </c>
      <c r="I1509" t="str">
        <f t="shared" si="69"/>
        <v>YES</v>
      </c>
      <c r="J1509">
        <f>Cleaned_Data!J1509</f>
        <v>24</v>
      </c>
      <c r="K1509" t="str">
        <f t="shared" si="70"/>
        <v>2024-08</v>
      </c>
      <c r="L1509">
        <f t="shared" si="71"/>
        <v>0</v>
      </c>
    </row>
    <row r="1510" spans="1:12">
      <c r="A1510" t="s">
        <v>4390</v>
      </c>
      <c r="B1510" t="s">
        <v>4391</v>
      </c>
      <c r="C1510" t="s">
        <v>4392</v>
      </c>
      <c r="D1510" t="s">
        <v>23</v>
      </c>
      <c r="E1510" t="s">
        <v>28</v>
      </c>
      <c r="F1510" t="s">
        <v>29</v>
      </c>
      <c r="G1510" t="s">
        <v>19</v>
      </c>
      <c r="H1510">
        <f>Cleaned_Data!K1510</f>
        <v>59.78</v>
      </c>
      <c r="I1510" t="str">
        <f t="shared" si="69"/>
        <v>NO</v>
      </c>
      <c r="J1510">
        <f>Cleaned_Data!J1510</f>
        <v>24</v>
      </c>
      <c r="K1510" t="str">
        <f t="shared" si="70"/>
        <v>2024-01</v>
      </c>
      <c r="L1510">
        <f t="shared" si="71"/>
        <v>35.78</v>
      </c>
    </row>
    <row r="1511" spans="1:12">
      <c r="A1511" t="s">
        <v>4393</v>
      </c>
      <c r="B1511" t="s">
        <v>4394</v>
      </c>
      <c r="C1511" t="s">
        <v>4395</v>
      </c>
      <c r="D1511" t="s">
        <v>15</v>
      </c>
      <c r="E1511" t="s">
        <v>54</v>
      </c>
      <c r="F1511" t="s">
        <v>41</v>
      </c>
      <c r="G1511" t="s">
        <v>31</v>
      </c>
      <c r="H1511">
        <f>Cleaned_Data!K1511</f>
        <v>7.25</v>
      </c>
      <c r="I1511" t="str">
        <f t="shared" si="69"/>
        <v>YES</v>
      </c>
      <c r="J1511">
        <f>Cleaned_Data!J1511</f>
        <v>8</v>
      </c>
      <c r="K1511" t="str">
        <f t="shared" si="70"/>
        <v>2024-01</v>
      </c>
      <c r="L1511">
        <f t="shared" si="71"/>
        <v>0</v>
      </c>
    </row>
    <row r="1512" spans="1:12">
      <c r="A1512" t="s">
        <v>4396</v>
      </c>
      <c r="B1512" t="s">
        <v>4397</v>
      </c>
      <c r="C1512" t="s">
        <v>4398</v>
      </c>
      <c r="D1512" t="s">
        <v>23</v>
      </c>
      <c r="E1512" t="s">
        <v>24</v>
      </c>
      <c r="F1512" t="s">
        <v>41</v>
      </c>
      <c r="G1512" t="s">
        <v>19</v>
      </c>
      <c r="H1512">
        <f>Cleaned_Data!K1512</f>
        <v>5.47</v>
      </c>
      <c r="I1512" t="str">
        <f t="shared" si="69"/>
        <v>YES</v>
      </c>
      <c r="J1512">
        <f>Cleaned_Data!J1512</f>
        <v>24</v>
      </c>
      <c r="K1512" t="str">
        <f t="shared" si="70"/>
        <v>2024-06</v>
      </c>
      <c r="L1512">
        <f t="shared" si="71"/>
        <v>0</v>
      </c>
    </row>
    <row r="1513" spans="1:12">
      <c r="A1513" t="s">
        <v>4399</v>
      </c>
      <c r="B1513" t="s">
        <v>4400</v>
      </c>
      <c r="C1513" t="s">
        <v>4401</v>
      </c>
      <c r="D1513" t="s">
        <v>23</v>
      </c>
      <c r="E1513" t="s">
        <v>28</v>
      </c>
      <c r="F1513" t="s">
        <v>41</v>
      </c>
      <c r="G1513" t="s">
        <v>31</v>
      </c>
      <c r="H1513">
        <f>Cleaned_Data!K1513</f>
        <v>14.12</v>
      </c>
      <c r="I1513" t="str">
        <f t="shared" si="69"/>
        <v>YES</v>
      </c>
      <c r="J1513">
        <f>Cleaned_Data!J1513</f>
        <v>24</v>
      </c>
      <c r="K1513" t="str">
        <f t="shared" si="70"/>
        <v>2024-08</v>
      </c>
      <c r="L1513">
        <f t="shared" si="71"/>
        <v>0</v>
      </c>
    </row>
    <row r="1514" spans="1:12">
      <c r="A1514" t="s">
        <v>4402</v>
      </c>
      <c r="B1514" t="s">
        <v>4403</v>
      </c>
      <c r="C1514" t="s">
        <v>4404</v>
      </c>
      <c r="D1514" t="s">
        <v>23</v>
      </c>
      <c r="E1514" t="s">
        <v>54</v>
      </c>
      <c r="F1514" t="s">
        <v>17</v>
      </c>
      <c r="G1514" t="s">
        <v>19</v>
      </c>
      <c r="H1514">
        <f>Cleaned_Data!K1514</f>
        <v>2.93</v>
      </c>
      <c r="I1514" t="str">
        <f t="shared" si="69"/>
        <v>YES</v>
      </c>
      <c r="J1514">
        <f>Cleaned_Data!J1514</f>
        <v>24</v>
      </c>
      <c r="K1514" t="str">
        <f t="shared" si="70"/>
        <v>2024-12</v>
      </c>
      <c r="L1514">
        <f t="shared" si="71"/>
        <v>0</v>
      </c>
    </row>
    <row r="1515" spans="1:12">
      <c r="A1515" t="s">
        <v>4405</v>
      </c>
      <c r="B1515" t="s">
        <v>4406</v>
      </c>
      <c r="C1515" t="s">
        <v>4407</v>
      </c>
      <c r="D1515" t="s">
        <v>158</v>
      </c>
      <c r="E1515" t="s">
        <v>24</v>
      </c>
      <c r="F1515" t="s">
        <v>29</v>
      </c>
      <c r="G1515" t="s">
        <v>19</v>
      </c>
      <c r="H1515">
        <f>Cleaned_Data!K1515</f>
        <v>1.18</v>
      </c>
      <c r="I1515" t="str">
        <f t="shared" si="69"/>
        <v>YES</v>
      </c>
      <c r="J1515">
        <f>Cleaned_Data!J1515</f>
        <v>4</v>
      </c>
      <c r="K1515" t="str">
        <f t="shared" si="70"/>
        <v>2024-11</v>
      </c>
      <c r="L1515">
        <f t="shared" si="71"/>
        <v>0</v>
      </c>
    </row>
    <row r="1516" spans="1:12">
      <c r="A1516" t="s">
        <v>4408</v>
      </c>
      <c r="B1516" t="s">
        <v>4409</v>
      </c>
      <c r="C1516" t="s">
        <v>4410</v>
      </c>
      <c r="D1516" t="s">
        <v>15</v>
      </c>
      <c r="E1516" t="s">
        <v>59</v>
      </c>
      <c r="F1516" t="s">
        <v>17</v>
      </c>
      <c r="G1516" t="s">
        <v>31</v>
      </c>
      <c r="H1516">
        <f>Cleaned_Data!K1516</f>
        <v>6.77</v>
      </c>
      <c r="I1516" t="str">
        <f t="shared" si="69"/>
        <v>YES</v>
      </c>
      <c r="J1516">
        <f>Cleaned_Data!J1516</f>
        <v>8</v>
      </c>
      <c r="K1516" t="str">
        <f t="shared" si="70"/>
        <v>2024-04</v>
      </c>
      <c r="L1516">
        <f t="shared" si="71"/>
        <v>0</v>
      </c>
    </row>
    <row r="1517" spans="1:12">
      <c r="A1517" t="s">
        <v>4411</v>
      </c>
      <c r="B1517" t="s">
        <v>4412</v>
      </c>
      <c r="C1517" t="s">
        <v>4413</v>
      </c>
      <c r="D1517" t="s">
        <v>35</v>
      </c>
      <c r="E1517" t="s">
        <v>28</v>
      </c>
      <c r="F1517" t="s">
        <v>41</v>
      </c>
      <c r="G1517" t="s">
        <v>31</v>
      </c>
      <c r="H1517">
        <f>Cleaned_Data!K1517</f>
        <v>6.81</v>
      </c>
      <c r="I1517" t="str">
        <f t="shared" si="69"/>
        <v>YES</v>
      </c>
      <c r="J1517">
        <f>Cleaned_Data!J1517</f>
        <v>48</v>
      </c>
      <c r="K1517" t="str">
        <f t="shared" si="70"/>
        <v>2024-02</v>
      </c>
      <c r="L1517">
        <f t="shared" si="71"/>
        <v>0</v>
      </c>
    </row>
    <row r="1518" spans="1:12">
      <c r="A1518" t="s">
        <v>4414</v>
      </c>
      <c r="B1518" t="s">
        <v>4415</v>
      </c>
      <c r="D1518" t="s">
        <v>15</v>
      </c>
      <c r="E1518" t="s">
        <v>28</v>
      </c>
      <c r="F1518" t="s">
        <v>36</v>
      </c>
      <c r="G1518" t="s">
        <v>46</v>
      </c>
      <c r="H1518">
        <f>Cleaned_Data!K1518</f>
        <v>0</v>
      </c>
      <c r="I1518" t="str">
        <f t="shared" si="69"/>
        <v/>
      </c>
      <c r="J1518">
        <f>Cleaned_Data!J1518</f>
        <v>8</v>
      </c>
      <c r="K1518" t="str">
        <f t="shared" si="70"/>
        <v>2024-03</v>
      </c>
      <c r="L1518">
        <f t="shared" si="71"/>
        <v>0</v>
      </c>
    </row>
    <row r="1519" spans="1:12">
      <c r="A1519" t="s">
        <v>4416</v>
      </c>
      <c r="B1519" t="s">
        <v>4417</v>
      </c>
      <c r="C1519" t="s">
        <v>4418</v>
      </c>
      <c r="D1519" t="s">
        <v>35</v>
      </c>
      <c r="E1519" t="s">
        <v>16</v>
      </c>
      <c r="F1519" t="s">
        <v>36</v>
      </c>
      <c r="G1519" t="s">
        <v>31</v>
      </c>
      <c r="H1519">
        <f>Cleaned_Data!K1519</f>
        <v>24.76</v>
      </c>
      <c r="I1519" t="str">
        <f t="shared" si="69"/>
        <v>YES</v>
      </c>
      <c r="J1519">
        <f>Cleaned_Data!J1519</f>
        <v>48</v>
      </c>
      <c r="K1519" t="str">
        <f t="shared" si="70"/>
        <v>2024-07</v>
      </c>
      <c r="L1519">
        <f t="shared" si="71"/>
        <v>0</v>
      </c>
    </row>
    <row r="1520" spans="1:12">
      <c r="A1520" t="s">
        <v>4419</v>
      </c>
      <c r="B1520" t="s">
        <v>4420</v>
      </c>
      <c r="C1520" t="s">
        <v>4421</v>
      </c>
      <c r="D1520" t="s">
        <v>35</v>
      </c>
      <c r="E1520" t="s">
        <v>28</v>
      </c>
      <c r="F1520" t="s">
        <v>17</v>
      </c>
      <c r="G1520" t="s">
        <v>31</v>
      </c>
      <c r="H1520">
        <f>Cleaned_Data!K1520</f>
        <v>15.22</v>
      </c>
      <c r="I1520" t="str">
        <f t="shared" si="69"/>
        <v>YES</v>
      </c>
      <c r="J1520">
        <f>Cleaned_Data!J1520</f>
        <v>48</v>
      </c>
      <c r="K1520" t="str">
        <f t="shared" si="70"/>
        <v>2024-10</v>
      </c>
      <c r="L1520">
        <f t="shared" si="71"/>
        <v>0</v>
      </c>
    </row>
    <row r="1521" spans="1:12">
      <c r="A1521" t="s">
        <v>4422</v>
      </c>
      <c r="B1521" t="s">
        <v>4423</v>
      </c>
      <c r="D1521" t="s">
        <v>158</v>
      </c>
      <c r="E1521" t="s">
        <v>28</v>
      </c>
      <c r="F1521" t="s">
        <v>41</v>
      </c>
      <c r="G1521" t="s">
        <v>46</v>
      </c>
      <c r="H1521">
        <f>Cleaned_Data!K1521</f>
        <v>0</v>
      </c>
      <c r="I1521" t="str">
        <f t="shared" si="69"/>
        <v/>
      </c>
      <c r="J1521">
        <f>Cleaned_Data!J1521</f>
        <v>4</v>
      </c>
      <c r="K1521" t="str">
        <f t="shared" si="70"/>
        <v>2024-06</v>
      </c>
      <c r="L1521">
        <f t="shared" si="71"/>
        <v>0</v>
      </c>
    </row>
    <row r="1522" spans="1:12">
      <c r="A1522" t="s">
        <v>4424</v>
      </c>
      <c r="B1522" t="s">
        <v>4425</v>
      </c>
      <c r="D1522" t="s">
        <v>23</v>
      </c>
      <c r="E1522" t="s">
        <v>59</v>
      </c>
      <c r="F1522" t="s">
        <v>36</v>
      </c>
      <c r="G1522" t="s">
        <v>63</v>
      </c>
      <c r="H1522">
        <f>Cleaned_Data!K1522</f>
        <v>0</v>
      </c>
      <c r="I1522" t="str">
        <f t="shared" si="69"/>
        <v/>
      </c>
      <c r="J1522">
        <f>Cleaned_Data!J1522</f>
        <v>24</v>
      </c>
      <c r="K1522" t="str">
        <f t="shared" si="70"/>
        <v>2024-02</v>
      </c>
      <c r="L1522">
        <f t="shared" si="71"/>
        <v>0</v>
      </c>
    </row>
    <row r="1523" spans="1:12">
      <c r="A1523" t="s">
        <v>4426</v>
      </c>
      <c r="B1523" t="s">
        <v>4427</v>
      </c>
      <c r="C1523" t="s">
        <v>4428</v>
      </c>
      <c r="D1523" t="s">
        <v>15</v>
      </c>
      <c r="E1523" t="s">
        <v>59</v>
      </c>
      <c r="F1523" t="s">
        <v>36</v>
      </c>
      <c r="G1523" t="s">
        <v>31</v>
      </c>
      <c r="H1523">
        <f>Cleaned_Data!K1523</f>
        <v>4</v>
      </c>
      <c r="I1523" t="str">
        <f t="shared" si="69"/>
        <v>YES</v>
      </c>
      <c r="J1523">
        <f>Cleaned_Data!J1523</f>
        <v>8</v>
      </c>
      <c r="K1523" t="str">
        <f t="shared" si="70"/>
        <v>2024-09</v>
      </c>
      <c r="L1523">
        <f t="shared" si="71"/>
        <v>0</v>
      </c>
    </row>
    <row r="1524" spans="1:12">
      <c r="A1524" t="s">
        <v>4429</v>
      </c>
      <c r="B1524" t="s">
        <v>4430</v>
      </c>
      <c r="C1524" t="s">
        <v>4431</v>
      </c>
      <c r="D1524" t="s">
        <v>23</v>
      </c>
      <c r="E1524" t="s">
        <v>16</v>
      </c>
      <c r="F1524" t="s">
        <v>36</v>
      </c>
      <c r="G1524" t="s">
        <v>31</v>
      </c>
      <c r="H1524">
        <f>Cleaned_Data!K1524</f>
        <v>2.59</v>
      </c>
      <c r="I1524" t="str">
        <f t="shared" si="69"/>
        <v>YES</v>
      </c>
      <c r="J1524">
        <f>Cleaned_Data!J1524</f>
        <v>24</v>
      </c>
      <c r="K1524" t="str">
        <f t="shared" si="70"/>
        <v>2024-04</v>
      </c>
      <c r="L1524">
        <f t="shared" si="71"/>
        <v>0</v>
      </c>
    </row>
    <row r="1525" spans="1:12">
      <c r="A1525" t="s">
        <v>4432</v>
      </c>
      <c r="B1525" t="s">
        <v>4433</v>
      </c>
      <c r="C1525" t="s">
        <v>4434</v>
      </c>
      <c r="D1525" t="s">
        <v>23</v>
      </c>
      <c r="E1525" t="s">
        <v>16</v>
      </c>
      <c r="F1525" t="s">
        <v>36</v>
      </c>
      <c r="G1525" t="s">
        <v>31</v>
      </c>
      <c r="H1525">
        <f>Cleaned_Data!K1525</f>
        <v>56.13</v>
      </c>
      <c r="I1525" t="str">
        <f t="shared" si="69"/>
        <v>NO</v>
      </c>
      <c r="J1525">
        <f>Cleaned_Data!J1525</f>
        <v>24</v>
      </c>
      <c r="K1525" t="str">
        <f t="shared" si="70"/>
        <v>2024-02</v>
      </c>
      <c r="L1525">
        <f t="shared" si="71"/>
        <v>32.130000000000003</v>
      </c>
    </row>
    <row r="1526" spans="1:12">
      <c r="A1526" t="s">
        <v>4435</v>
      </c>
      <c r="B1526" t="s">
        <v>4436</v>
      </c>
      <c r="D1526" t="s">
        <v>35</v>
      </c>
      <c r="E1526" t="s">
        <v>28</v>
      </c>
      <c r="F1526" t="s">
        <v>17</v>
      </c>
      <c r="G1526" t="s">
        <v>46</v>
      </c>
      <c r="H1526">
        <f>Cleaned_Data!K1526</f>
        <v>0</v>
      </c>
      <c r="I1526" t="str">
        <f t="shared" si="69"/>
        <v/>
      </c>
      <c r="J1526">
        <f>Cleaned_Data!J1526</f>
        <v>48</v>
      </c>
      <c r="K1526" t="str">
        <f t="shared" si="70"/>
        <v>2024-06</v>
      </c>
      <c r="L1526">
        <f t="shared" si="71"/>
        <v>0</v>
      </c>
    </row>
    <row r="1527" spans="1:12">
      <c r="A1527" t="s">
        <v>4437</v>
      </c>
      <c r="B1527" t="s">
        <v>4438</v>
      </c>
      <c r="C1527" t="s">
        <v>4439</v>
      </c>
      <c r="D1527" t="s">
        <v>35</v>
      </c>
      <c r="E1527" t="s">
        <v>54</v>
      </c>
      <c r="F1527" t="s">
        <v>29</v>
      </c>
      <c r="G1527" t="s">
        <v>31</v>
      </c>
      <c r="H1527">
        <f>Cleaned_Data!K1527</f>
        <v>13.13</v>
      </c>
      <c r="I1527" t="str">
        <f t="shared" si="69"/>
        <v>YES</v>
      </c>
      <c r="J1527">
        <f>Cleaned_Data!J1527</f>
        <v>48</v>
      </c>
      <c r="K1527" t="str">
        <f t="shared" si="70"/>
        <v>2024-10</v>
      </c>
      <c r="L1527">
        <f t="shared" si="71"/>
        <v>0</v>
      </c>
    </row>
    <row r="1528" spans="1:12">
      <c r="A1528" t="s">
        <v>4440</v>
      </c>
      <c r="B1528" t="s">
        <v>4441</v>
      </c>
      <c r="C1528" t="s">
        <v>4442</v>
      </c>
      <c r="D1528" t="s">
        <v>35</v>
      </c>
      <c r="E1528" t="s">
        <v>28</v>
      </c>
      <c r="F1528" t="s">
        <v>29</v>
      </c>
      <c r="G1528" t="s">
        <v>31</v>
      </c>
      <c r="H1528">
        <f>Cleaned_Data!K1528</f>
        <v>41.06</v>
      </c>
      <c r="I1528" t="str">
        <f t="shared" si="69"/>
        <v>YES</v>
      </c>
      <c r="J1528">
        <f>Cleaned_Data!J1528</f>
        <v>48</v>
      </c>
      <c r="K1528" t="str">
        <f t="shared" si="70"/>
        <v>2024-05</v>
      </c>
      <c r="L1528">
        <f t="shared" si="71"/>
        <v>0</v>
      </c>
    </row>
    <row r="1529" spans="1:12">
      <c r="A1529" t="s">
        <v>4443</v>
      </c>
      <c r="B1529" t="s">
        <v>4444</v>
      </c>
      <c r="C1529" t="s">
        <v>4445</v>
      </c>
      <c r="D1529" t="s">
        <v>15</v>
      </c>
      <c r="E1529" t="s">
        <v>28</v>
      </c>
      <c r="F1529" t="s">
        <v>60</v>
      </c>
      <c r="G1529" t="s">
        <v>31</v>
      </c>
      <c r="H1529">
        <f>Cleaned_Data!K1529</f>
        <v>1.95</v>
      </c>
      <c r="I1529" t="str">
        <f t="shared" si="69"/>
        <v>YES</v>
      </c>
      <c r="J1529">
        <f>Cleaned_Data!J1529</f>
        <v>8</v>
      </c>
      <c r="K1529" t="str">
        <f t="shared" si="70"/>
        <v>2024-12</v>
      </c>
      <c r="L1529">
        <f t="shared" si="71"/>
        <v>0</v>
      </c>
    </row>
    <row r="1530" spans="1:12">
      <c r="A1530" t="s">
        <v>4446</v>
      </c>
      <c r="B1530" t="s">
        <v>4447</v>
      </c>
      <c r="D1530" t="s">
        <v>35</v>
      </c>
      <c r="E1530" t="s">
        <v>24</v>
      </c>
      <c r="F1530" t="s">
        <v>36</v>
      </c>
      <c r="G1530" t="s">
        <v>46</v>
      </c>
      <c r="H1530">
        <f>Cleaned_Data!K1530</f>
        <v>0</v>
      </c>
      <c r="I1530" t="str">
        <f t="shared" si="69"/>
        <v/>
      </c>
      <c r="J1530">
        <f>Cleaned_Data!J1530</f>
        <v>48</v>
      </c>
      <c r="K1530" t="str">
        <f t="shared" si="70"/>
        <v>2024-05</v>
      </c>
      <c r="L1530">
        <f t="shared" si="71"/>
        <v>0</v>
      </c>
    </row>
    <row r="1531" spans="1:12">
      <c r="A1531" t="s">
        <v>4448</v>
      </c>
      <c r="B1531" t="s">
        <v>4449</v>
      </c>
      <c r="C1531" t="s">
        <v>4450</v>
      </c>
      <c r="D1531" t="s">
        <v>35</v>
      </c>
      <c r="E1531" t="s">
        <v>16</v>
      </c>
      <c r="F1531" t="s">
        <v>60</v>
      </c>
      <c r="G1531" t="s">
        <v>19</v>
      </c>
      <c r="H1531">
        <f>Cleaned_Data!K1531</f>
        <v>30.78</v>
      </c>
      <c r="I1531" t="str">
        <f t="shared" si="69"/>
        <v>YES</v>
      </c>
      <c r="J1531">
        <f>Cleaned_Data!J1531</f>
        <v>48</v>
      </c>
      <c r="K1531" t="str">
        <f t="shared" si="70"/>
        <v>2024-06</v>
      </c>
      <c r="L1531">
        <f t="shared" si="71"/>
        <v>0</v>
      </c>
    </row>
    <row r="1532" spans="1:12">
      <c r="A1532" t="s">
        <v>4451</v>
      </c>
      <c r="B1532" t="s">
        <v>4452</v>
      </c>
      <c r="C1532" t="s">
        <v>4453</v>
      </c>
      <c r="D1532" t="s">
        <v>35</v>
      </c>
      <c r="E1532" t="s">
        <v>28</v>
      </c>
      <c r="F1532" t="s">
        <v>29</v>
      </c>
      <c r="G1532" t="s">
        <v>19</v>
      </c>
      <c r="H1532">
        <f>Cleaned_Data!K1532</f>
        <v>112.96</v>
      </c>
      <c r="I1532" t="str">
        <f t="shared" si="69"/>
        <v>NO</v>
      </c>
      <c r="J1532">
        <f>Cleaned_Data!J1532</f>
        <v>48</v>
      </c>
      <c r="K1532" t="str">
        <f t="shared" si="70"/>
        <v>2024-07</v>
      </c>
      <c r="L1532">
        <f t="shared" si="71"/>
        <v>64.959999999999994</v>
      </c>
    </row>
    <row r="1533" spans="1:12">
      <c r="A1533" t="s">
        <v>4454</v>
      </c>
      <c r="B1533" t="s">
        <v>4455</v>
      </c>
      <c r="C1533" t="s">
        <v>4456</v>
      </c>
      <c r="D1533" t="s">
        <v>23</v>
      </c>
      <c r="E1533" t="s">
        <v>16</v>
      </c>
      <c r="F1533" t="s">
        <v>17</v>
      </c>
      <c r="G1533" t="s">
        <v>19</v>
      </c>
      <c r="H1533">
        <f>Cleaned_Data!K1533</f>
        <v>21.62</v>
      </c>
      <c r="I1533" t="str">
        <f t="shared" si="69"/>
        <v>YES</v>
      </c>
      <c r="J1533">
        <f>Cleaned_Data!J1533</f>
        <v>24</v>
      </c>
      <c r="K1533" t="str">
        <f t="shared" si="70"/>
        <v>2024-07</v>
      </c>
      <c r="L1533">
        <f t="shared" si="71"/>
        <v>0</v>
      </c>
    </row>
    <row r="1534" spans="1:12">
      <c r="A1534" t="s">
        <v>4457</v>
      </c>
      <c r="B1534" t="s">
        <v>4458</v>
      </c>
      <c r="C1534" t="s">
        <v>4459</v>
      </c>
      <c r="D1534" t="s">
        <v>23</v>
      </c>
      <c r="E1534" t="s">
        <v>16</v>
      </c>
      <c r="F1534" t="s">
        <v>29</v>
      </c>
      <c r="G1534" t="s">
        <v>19</v>
      </c>
      <c r="H1534">
        <f>Cleaned_Data!K1534</f>
        <v>6.17</v>
      </c>
      <c r="I1534" t="str">
        <f t="shared" si="69"/>
        <v>YES</v>
      </c>
      <c r="J1534">
        <f>Cleaned_Data!J1534</f>
        <v>24</v>
      </c>
      <c r="K1534" t="str">
        <f t="shared" si="70"/>
        <v>2024-02</v>
      </c>
      <c r="L1534">
        <f t="shared" si="71"/>
        <v>0</v>
      </c>
    </row>
    <row r="1535" spans="1:12">
      <c r="A1535" t="s">
        <v>4460</v>
      </c>
      <c r="B1535" t="s">
        <v>4461</v>
      </c>
      <c r="C1535" t="s">
        <v>4462</v>
      </c>
      <c r="D1535" t="s">
        <v>23</v>
      </c>
      <c r="E1535" t="s">
        <v>28</v>
      </c>
      <c r="F1535" t="s">
        <v>60</v>
      </c>
      <c r="G1535" t="s">
        <v>19</v>
      </c>
      <c r="H1535">
        <f>Cleaned_Data!K1535</f>
        <v>37.68</v>
      </c>
      <c r="I1535" t="str">
        <f t="shared" si="69"/>
        <v>NO</v>
      </c>
      <c r="J1535">
        <f>Cleaned_Data!J1535</f>
        <v>24</v>
      </c>
      <c r="K1535" t="str">
        <f t="shared" si="70"/>
        <v>2024-05</v>
      </c>
      <c r="L1535">
        <f t="shared" si="71"/>
        <v>13.68</v>
      </c>
    </row>
    <row r="1536" spans="1:12">
      <c r="A1536" t="s">
        <v>4463</v>
      </c>
      <c r="B1536" t="s">
        <v>4464</v>
      </c>
      <c r="D1536" t="s">
        <v>23</v>
      </c>
      <c r="E1536" t="s">
        <v>54</v>
      </c>
      <c r="F1536" t="s">
        <v>60</v>
      </c>
      <c r="G1536" t="s">
        <v>63</v>
      </c>
      <c r="H1536">
        <f>Cleaned_Data!K1536</f>
        <v>0</v>
      </c>
      <c r="I1536" t="str">
        <f t="shared" si="69"/>
        <v/>
      </c>
      <c r="J1536">
        <f>Cleaned_Data!J1536</f>
        <v>24</v>
      </c>
      <c r="K1536" t="str">
        <f t="shared" si="70"/>
        <v>2024-05</v>
      </c>
      <c r="L1536">
        <f t="shared" si="71"/>
        <v>0</v>
      </c>
    </row>
    <row r="1537" spans="1:12">
      <c r="A1537" t="s">
        <v>4465</v>
      </c>
      <c r="B1537" t="s">
        <v>4466</v>
      </c>
      <c r="D1537" t="s">
        <v>23</v>
      </c>
      <c r="E1537" t="s">
        <v>16</v>
      </c>
      <c r="F1537" t="s">
        <v>36</v>
      </c>
      <c r="G1537" t="s">
        <v>46</v>
      </c>
      <c r="H1537">
        <f>Cleaned_Data!K1537</f>
        <v>0</v>
      </c>
      <c r="I1537" t="str">
        <f t="shared" si="69"/>
        <v/>
      </c>
      <c r="J1537">
        <f>Cleaned_Data!J1537</f>
        <v>24</v>
      </c>
      <c r="K1537" t="str">
        <f t="shared" si="70"/>
        <v>2024-01</v>
      </c>
      <c r="L1537">
        <f t="shared" si="71"/>
        <v>0</v>
      </c>
    </row>
    <row r="1538" spans="1:12">
      <c r="A1538" t="s">
        <v>4467</v>
      </c>
      <c r="B1538" t="s">
        <v>4468</v>
      </c>
      <c r="C1538" t="s">
        <v>4469</v>
      </c>
      <c r="D1538" t="s">
        <v>15</v>
      </c>
      <c r="E1538" t="s">
        <v>24</v>
      </c>
      <c r="F1538" t="s">
        <v>17</v>
      </c>
      <c r="G1538" t="s">
        <v>19</v>
      </c>
      <c r="H1538">
        <f>Cleaned_Data!K1538</f>
        <v>4.07</v>
      </c>
      <c r="I1538" t="str">
        <f t="shared" ref="I1538:I1601" si="72">IF(OR(G1538="Resolved", G1538="Closed"), IF(AND(H1538&lt;&gt;"", H1538&lt;=J1538), "YES", "NO"), "")</f>
        <v>YES</v>
      </c>
      <c r="J1538">
        <f>Cleaned_Data!J1538</f>
        <v>8</v>
      </c>
      <c r="K1538" t="str">
        <f t="shared" ref="K1538:K1601" si="73">LEFT(B1538, 7)</f>
        <v>2024-01</v>
      </c>
      <c r="L1538">
        <f t="shared" ref="L1538:L1601" si="74">IF(I1538="NO", H1538-J1538, 0)</f>
        <v>0</v>
      </c>
    </row>
    <row r="1539" spans="1:12">
      <c r="A1539" t="s">
        <v>4470</v>
      </c>
      <c r="B1539" t="s">
        <v>4471</v>
      </c>
      <c r="C1539" t="s">
        <v>4472</v>
      </c>
      <c r="D1539" t="s">
        <v>23</v>
      </c>
      <c r="E1539" t="s">
        <v>16</v>
      </c>
      <c r="F1539" t="s">
        <v>60</v>
      </c>
      <c r="G1539" t="s">
        <v>19</v>
      </c>
      <c r="H1539">
        <f>Cleaned_Data!K1539</f>
        <v>15.07</v>
      </c>
      <c r="I1539" t="str">
        <f t="shared" si="72"/>
        <v>YES</v>
      </c>
      <c r="J1539">
        <f>Cleaned_Data!J1539</f>
        <v>24</v>
      </c>
      <c r="K1539" t="str">
        <f t="shared" si="73"/>
        <v>2024-03</v>
      </c>
      <c r="L1539">
        <f t="shared" si="74"/>
        <v>0</v>
      </c>
    </row>
    <row r="1540" spans="1:12">
      <c r="A1540" t="s">
        <v>4473</v>
      </c>
      <c r="B1540" t="s">
        <v>4474</v>
      </c>
      <c r="C1540" t="s">
        <v>4475</v>
      </c>
      <c r="D1540" t="s">
        <v>23</v>
      </c>
      <c r="E1540" t="s">
        <v>54</v>
      </c>
      <c r="F1540" t="s">
        <v>60</v>
      </c>
      <c r="G1540" t="s">
        <v>19</v>
      </c>
      <c r="H1540">
        <f>Cleaned_Data!K1540</f>
        <v>37.15</v>
      </c>
      <c r="I1540" t="str">
        <f t="shared" si="72"/>
        <v>NO</v>
      </c>
      <c r="J1540">
        <f>Cleaned_Data!J1540</f>
        <v>24</v>
      </c>
      <c r="K1540" t="str">
        <f t="shared" si="73"/>
        <v>2024-02</v>
      </c>
      <c r="L1540">
        <f t="shared" si="74"/>
        <v>13.149999999999999</v>
      </c>
    </row>
    <row r="1541" spans="1:12">
      <c r="A1541" t="s">
        <v>4476</v>
      </c>
      <c r="B1541" t="s">
        <v>4477</v>
      </c>
      <c r="C1541" t="s">
        <v>4478</v>
      </c>
      <c r="D1541" t="s">
        <v>23</v>
      </c>
      <c r="E1541" t="s">
        <v>28</v>
      </c>
      <c r="F1541" t="s">
        <v>36</v>
      </c>
      <c r="G1541" t="s">
        <v>31</v>
      </c>
      <c r="H1541">
        <f>Cleaned_Data!K1541</f>
        <v>7.76</v>
      </c>
      <c r="I1541" t="str">
        <f t="shared" si="72"/>
        <v>YES</v>
      </c>
      <c r="J1541">
        <f>Cleaned_Data!J1541</f>
        <v>24</v>
      </c>
      <c r="K1541" t="str">
        <f t="shared" si="73"/>
        <v>2024-07</v>
      </c>
      <c r="L1541">
        <f t="shared" si="74"/>
        <v>0</v>
      </c>
    </row>
    <row r="1542" spans="1:12">
      <c r="A1542" t="s">
        <v>4479</v>
      </c>
      <c r="B1542" t="s">
        <v>4480</v>
      </c>
      <c r="C1542" t="s">
        <v>4481</v>
      </c>
      <c r="D1542" t="s">
        <v>23</v>
      </c>
      <c r="E1542" t="s">
        <v>59</v>
      </c>
      <c r="F1542" t="s">
        <v>17</v>
      </c>
      <c r="G1542" t="s">
        <v>19</v>
      </c>
      <c r="H1542">
        <f>Cleaned_Data!K1542</f>
        <v>4.67</v>
      </c>
      <c r="I1542" t="str">
        <f t="shared" si="72"/>
        <v>YES</v>
      </c>
      <c r="J1542">
        <f>Cleaned_Data!J1542</f>
        <v>24</v>
      </c>
      <c r="K1542" t="str">
        <f t="shared" si="73"/>
        <v>2024-06</v>
      </c>
      <c r="L1542">
        <f t="shared" si="74"/>
        <v>0</v>
      </c>
    </row>
    <row r="1543" spans="1:12">
      <c r="A1543" t="s">
        <v>4482</v>
      </c>
      <c r="B1543" t="s">
        <v>4483</v>
      </c>
      <c r="C1543" t="s">
        <v>4484</v>
      </c>
      <c r="D1543" t="s">
        <v>15</v>
      </c>
      <c r="E1543" t="s">
        <v>54</v>
      </c>
      <c r="F1543" t="s">
        <v>41</v>
      </c>
      <c r="G1543" t="s">
        <v>31</v>
      </c>
      <c r="H1543">
        <f>Cleaned_Data!K1543</f>
        <v>23.47</v>
      </c>
      <c r="I1543" t="str">
        <f t="shared" si="72"/>
        <v>NO</v>
      </c>
      <c r="J1543">
        <f>Cleaned_Data!J1543</f>
        <v>8</v>
      </c>
      <c r="K1543" t="str">
        <f t="shared" si="73"/>
        <v>2024-04</v>
      </c>
      <c r="L1543">
        <f t="shared" si="74"/>
        <v>15.469999999999999</v>
      </c>
    </row>
    <row r="1544" spans="1:12">
      <c r="A1544" t="s">
        <v>4485</v>
      </c>
      <c r="B1544" t="s">
        <v>4486</v>
      </c>
      <c r="C1544" t="s">
        <v>4487</v>
      </c>
      <c r="D1544" t="s">
        <v>23</v>
      </c>
      <c r="E1544" t="s">
        <v>59</v>
      </c>
      <c r="F1544" t="s">
        <v>60</v>
      </c>
      <c r="G1544" t="s">
        <v>19</v>
      </c>
      <c r="H1544">
        <f>Cleaned_Data!K1544</f>
        <v>18.23</v>
      </c>
      <c r="I1544" t="str">
        <f t="shared" si="72"/>
        <v>YES</v>
      </c>
      <c r="J1544">
        <f>Cleaned_Data!J1544</f>
        <v>24</v>
      </c>
      <c r="K1544" t="str">
        <f t="shared" si="73"/>
        <v>2024-03</v>
      </c>
      <c r="L1544">
        <f t="shared" si="74"/>
        <v>0</v>
      </c>
    </row>
    <row r="1545" spans="1:12">
      <c r="A1545" t="s">
        <v>4488</v>
      </c>
      <c r="B1545" t="s">
        <v>4489</v>
      </c>
      <c r="C1545" t="s">
        <v>4490</v>
      </c>
      <c r="D1545" t="s">
        <v>23</v>
      </c>
      <c r="E1545" t="s">
        <v>54</v>
      </c>
      <c r="F1545" t="s">
        <v>17</v>
      </c>
      <c r="G1545" t="s">
        <v>31</v>
      </c>
      <c r="H1545">
        <f>Cleaned_Data!K1545</f>
        <v>18.73</v>
      </c>
      <c r="I1545" t="str">
        <f t="shared" si="72"/>
        <v>YES</v>
      </c>
      <c r="J1545">
        <f>Cleaned_Data!J1545</f>
        <v>24</v>
      </c>
      <c r="K1545" t="str">
        <f t="shared" si="73"/>
        <v>2024-10</v>
      </c>
      <c r="L1545">
        <f t="shared" si="74"/>
        <v>0</v>
      </c>
    </row>
    <row r="1546" spans="1:12">
      <c r="A1546" t="s">
        <v>4491</v>
      </c>
      <c r="B1546" t="s">
        <v>4492</v>
      </c>
      <c r="C1546" t="s">
        <v>4493</v>
      </c>
      <c r="D1546" t="s">
        <v>23</v>
      </c>
      <c r="E1546" t="s">
        <v>59</v>
      </c>
      <c r="F1546" t="s">
        <v>17</v>
      </c>
      <c r="G1546" t="s">
        <v>19</v>
      </c>
      <c r="H1546">
        <f>Cleaned_Data!K1546</f>
        <v>15.35</v>
      </c>
      <c r="I1546" t="str">
        <f t="shared" si="72"/>
        <v>YES</v>
      </c>
      <c r="J1546">
        <f>Cleaned_Data!J1546</f>
        <v>24</v>
      </c>
      <c r="K1546" t="str">
        <f t="shared" si="73"/>
        <v>2024-03</v>
      </c>
      <c r="L1546">
        <f t="shared" si="74"/>
        <v>0</v>
      </c>
    </row>
    <row r="1547" spans="1:12">
      <c r="A1547" t="s">
        <v>4494</v>
      </c>
      <c r="B1547" t="s">
        <v>4495</v>
      </c>
      <c r="D1547" t="s">
        <v>35</v>
      </c>
      <c r="E1547" t="s">
        <v>16</v>
      </c>
      <c r="F1547" t="s">
        <v>17</v>
      </c>
      <c r="G1547" t="s">
        <v>63</v>
      </c>
      <c r="H1547">
        <f>Cleaned_Data!K1547</f>
        <v>0</v>
      </c>
      <c r="I1547" t="str">
        <f t="shared" si="72"/>
        <v/>
      </c>
      <c r="J1547">
        <f>Cleaned_Data!J1547</f>
        <v>48</v>
      </c>
      <c r="K1547" t="str">
        <f t="shared" si="73"/>
        <v>2024-03</v>
      </c>
      <c r="L1547">
        <f t="shared" si="74"/>
        <v>0</v>
      </c>
    </row>
    <row r="1548" spans="1:12">
      <c r="A1548" t="s">
        <v>4496</v>
      </c>
      <c r="B1548" t="s">
        <v>4497</v>
      </c>
      <c r="C1548" t="s">
        <v>4498</v>
      </c>
      <c r="D1548" t="s">
        <v>23</v>
      </c>
      <c r="E1548" t="s">
        <v>28</v>
      </c>
      <c r="F1548" t="s">
        <v>36</v>
      </c>
      <c r="G1548" t="s">
        <v>19</v>
      </c>
      <c r="H1548">
        <f>Cleaned_Data!K1548</f>
        <v>70.69</v>
      </c>
      <c r="I1548" t="str">
        <f t="shared" si="72"/>
        <v>NO</v>
      </c>
      <c r="J1548">
        <f>Cleaned_Data!J1548</f>
        <v>24</v>
      </c>
      <c r="K1548" t="str">
        <f t="shared" si="73"/>
        <v>2024-08</v>
      </c>
      <c r="L1548">
        <f t="shared" si="74"/>
        <v>46.69</v>
      </c>
    </row>
    <row r="1549" spans="1:12">
      <c r="A1549" t="s">
        <v>4499</v>
      </c>
      <c r="B1549" t="s">
        <v>4500</v>
      </c>
      <c r="C1549" t="s">
        <v>4501</v>
      </c>
      <c r="D1549" t="s">
        <v>15</v>
      </c>
      <c r="E1549" t="s">
        <v>16</v>
      </c>
      <c r="F1549" t="s">
        <v>29</v>
      </c>
      <c r="G1549" t="s">
        <v>19</v>
      </c>
      <c r="H1549">
        <f>Cleaned_Data!K1549</f>
        <v>5.34</v>
      </c>
      <c r="I1549" t="str">
        <f t="shared" si="72"/>
        <v>YES</v>
      </c>
      <c r="J1549">
        <f>Cleaned_Data!J1549</f>
        <v>8</v>
      </c>
      <c r="K1549" t="str">
        <f t="shared" si="73"/>
        <v>2024-07</v>
      </c>
      <c r="L1549">
        <f t="shared" si="74"/>
        <v>0</v>
      </c>
    </row>
    <row r="1550" spans="1:12">
      <c r="A1550" t="s">
        <v>4502</v>
      </c>
      <c r="B1550" t="s">
        <v>4503</v>
      </c>
      <c r="C1550" t="s">
        <v>4504</v>
      </c>
      <c r="D1550" t="s">
        <v>23</v>
      </c>
      <c r="E1550" t="s">
        <v>59</v>
      </c>
      <c r="F1550" t="s">
        <v>36</v>
      </c>
      <c r="G1550" t="s">
        <v>19</v>
      </c>
      <c r="H1550">
        <f>Cleaned_Data!K1550</f>
        <v>5.67</v>
      </c>
      <c r="I1550" t="str">
        <f t="shared" si="72"/>
        <v>YES</v>
      </c>
      <c r="J1550">
        <f>Cleaned_Data!J1550</f>
        <v>24</v>
      </c>
      <c r="K1550" t="str">
        <f t="shared" si="73"/>
        <v>2024-10</v>
      </c>
      <c r="L1550">
        <f t="shared" si="74"/>
        <v>0</v>
      </c>
    </row>
    <row r="1551" spans="1:12">
      <c r="A1551" t="s">
        <v>4505</v>
      </c>
      <c r="B1551" t="s">
        <v>4506</v>
      </c>
      <c r="C1551" t="s">
        <v>4507</v>
      </c>
      <c r="D1551" t="s">
        <v>23</v>
      </c>
      <c r="E1551" t="s">
        <v>24</v>
      </c>
      <c r="F1551" t="s">
        <v>41</v>
      </c>
      <c r="G1551" t="s">
        <v>31</v>
      </c>
      <c r="H1551">
        <f>Cleaned_Data!K1551</f>
        <v>9.5500000000000007</v>
      </c>
      <c r="I1551" t="str">
        <f t="shared" si="72"/>
        <v>YES</v>
      </c>
      <c r="J1551">
        <f>Cleaned_Data!J1551</f>
        <v>24</v>
      </c>
      <c r="K1551" t="str">
        <f t="shared" si="73"/>
        <v>2024-04</v>
      </c>
      <c r="L1551">
        <f t="shared" si="74"/>
        <v>0</v>
      </c>
    </row>
    <row r="1552" spans="1:12">
      <c r="A1552" t="s">
        <v>4508</v>
      </c>
      <c r="B1552" t="s">
        <v>4509</v>
      </c>
      <c r="C1552" t="s">
        <v>4510</v>
      </c>
      <c r="D1552" t="s">
        <v>15</v>
      </c>
      <c r="E1552" t="s">
        <v>28</v>
      </c>
      <c r="F1552" t="s">
        <v>60</v>
      </c>
      <c r="G1552" t="s">
        <v>19</v>
      </c>
      <c r="H1552">
        <f>Cleaned_Data!K1552</f>
        <v>5.37</v>
      </c>
      <c r="I1552" t="str">
        <f t="shared" si="72"/>
        <v>YES</v>
      </c>
      <c r="J1552">
        <f>Cleaned_Data!J1552</f>
        <v>8</v>
      </c>
      <c r="K1552" t="str">
        <f t="shared" si="73"/>
        <v>2024-04</v>
      </c>
      <c r="L1552">
        <f t="shared" si="74"/>
        <v>0</v>
      </c>
    </row>
    <row r="1553" spans="1:12">
      <c r="A1553" t="s">
        <v>4511</v>
      </c>
      <c r="B1553" t="s">
        <v>4512</v>
      </c>
      <c r="C1553" t="s">
        <v>4513</v>
      </c>
      <c r="D1553" t="s">
        <v>23</v>
      </c>
      <c r="E1553" t="s">
        <v>28</v>
      </c>
      <c r="F1553" t="s">
        <v>60</v>
      </c>
      <c r="G1553" t="s">
        <v>31</v>
      </c>
      <c r="H1553">
        <f>Cleaned_Data!K1553</f>
        <v>7.14</v>
      </c>
      <c r="I1553" t="str">
        <f t="shared" si="72"/>
        <v>YES</v>
      </c>
      <c r="J1553">
        <f>Cleaned_Data!J1553</f>
        <v>24</v>
      </c>
      <c r="K1553" t="str">
        <f t="shared" si="73"/>
        <v>2024-01</v>
      </c>
      <c r="L1553">
        <f t="shared" si="74"/>
        <v>0</v>
      </c>
    </row>
    <row r="1554" spans="1:12">
      <c r="A1554" t="s">
        <v>4514</v>
      </c>
      <c r="B1554" t="s">
        <v>4515</v>
      </c>
      <c r="C1554" t="s">
        <v>4516</v>
      </c>
      <c r="D1554" t="s">
        <v>15</v>
      </c>
      <c r="E1554" t="s">
        <v>16</v>
      </c>
      <c r="F1554" t="s">
        <v>41</v>
      </c>
      <c r="G1554" t="s">
        <v>19</v>
      </c>
      <c r="H1554">
        <f>Cleaned_Data!K1554</f>
        <v>22.6</v>
      </c>
      <c r="I1554" t="str">
        <f t="shared" si="72"/>
        <v>NO</v>
      </c>
      <c r="J1554">
        <f>Cleaned_Data!J1554</f>
        <v>8</v>
      </c>
      <c r="K1554" t="str">
        <f t="shared" si="73"/>
        <v>2024-11</v>
      </c>
      <c r="L1554">
        <f t="shared" si="74"/>
        <v>14.600000000000001</v>
      </c>
    </row>
    <row r="1555" spans="1:12">
      <c r="A1555" t="s">
        <v>4517</v>
      </c>
      <c r="B1555" t="s">
        <v>4518</v>
      </c>
      <c r="C1555" t="s">
        <v>4519</v>
      </c>
      <c r="D1555" t="s">
        <v>35</v>
      </c>
      <c r="E1555" t="s">
        <v>16</v>
      </c>
      <c r="F1555" t="s">
        <v>29</v>
      </c>
      <c r="G1555" t="s">
        <v>31</v>
      </c>
      <c r="H1555">
        <f>Cleaned_Data!K1555</f>
        <v>11.67</v>
      </c>
      <c r="I1555" t="str">
        <f t="shared" si="72"/>
        <v>YES</v>
      </c>
      <c r="J1555">
        <f>Cleaned_Data!J1555</f>
        <v>48</v>
      </c>
      <c r="K1555" t="str">
        <f t="shared" si="73"/>
        <v>2024-04</v>
      </c>
      <c r="L1555">
        <f t="shared" si="74"/>
        <v>0</v>
      </c>
    </row>
    <row r="1556" spans="1:12">
      <c r="A1556" t="s">
        <v>4520</v>
      </c>
      <c r="B1556" t="s">
        <v>4521</v>
      </c>
      <c r="C1556" t="s">
        <v>4522</v>
      </c>
      <c r="D1556" t="s">
        <v>23</v>
      </c>
      <c r="E1556" t="s">
        <v>16</v>
      </c>
      <c r="F1556" t="s">
        <v>17</v>
      </c>
      <c r="G1556" t="s">
        <v>19</v>
      </c>
      <c r="H1556">
        <f>Cleaned_Data!K1556</f>
        <v>53.44</v>
      </c>
      <c r="I1556" t="str">
        <f t="shared" si="72"/>
        <v>NO</v>
      </c>
      <c r="J1556">
        <f>Cleaned_Data!J1556</f>
        <v>24</v>
      </c>
      <c r="K1556" t="str">
        <f t="shared" si="73"/>
        <v>2024-12</v>
      </c>
      <c r="L1556">
        <f t="shared" si="74"/>
        <v>29.439999999999998</v>
      </c>
    </row>
    <row r="1557" spans="1:12">
      <c r="A1557" t="s">
        <v>4523</v>
      </c>
      <c r="B1557" t="s">
        <v>4524</v>
      </c>
      <c r="D1557" t="s">
        <v>15</v>
      </c>
      <c r="E1557" t="s">
        <v>16</v>
      </c>
      <c r="F1557" t="s">
        <v>41</v>
      </c>
      <c r="G1557" t="s">
        <v>46</v>
      </c>
      <c r="H1557">
        <f>Cleaned_Data!K1557</f>
        <v>0</v>
      </c>
      <c r="I1557" t="str">
        <f t="shared" si="72"/>
        <v/>
      </c>
      <c r="J1557">
        <f>Cleaned_Data!J1557</f>
        <v>8</v>
      </c>
      <c r="K1557" t="str">
        <f t="shared" si="73"/>
        <v>2024-05</v>
      </c>
      <c r="L1557">
        <f t="shared" si="74"/>
        <v>0</v>
      </c>
    </row>
    <row r="1558" spans="1:12">
      <c r="A1558" t="s">
        <v>4525</v>
      </c>
      <c r="B1558" t="s">
        <v>4526</v>
      </c>
      <c r="C1558" t="s">
        <v>4527</v>
      </c>
      <c r="D1558" t="s">
        <v>158</v>
      </c>
      <c r="E1558" t="s">
        <v>24</v>
      </c>
      <c r="F1558" t="s">
        <v>29</v>
      </c>
      <c r="G1558" t="s">
        <v>31</v>
      </c>
      <c r="H1558">
        <f>Cleaned_Data!K1558</f>
        <v>9.19</v>
      </c>
      <c r="I1558" t="str">
        <f t="shared" si="72"/>
        <v>NO</v>
      </c>
      <c r="J1558">
        <f>Cleaned_Data!J1558</f>
        <v>4</v>
      </c>
      <c r="K1558" t="str">
        <f t="shared" si="73"/>
        <v>2024-06</v>
      </c>
      <c r="L1558">
        <f t="shared" si="74"/>
        <v>5.1899999999999995</v>
      </c>
    </row>
    <row r="1559" spans="1:12">
      <c r="A1559" t="s">
        <v>4528</v>
      </c>
      <c r="B1559" t="s">
        <v>4529</v>
      </c>
      <c r="C1559" t="s">
        <v>4530</v>
      </c>
      <c r="D1559" t="s">
        <v>35</v>
      </c>
      <c r="E1559" t="s">
        <v>59</v>
      </c>
      <c r="F1559" t="s">
        <v>36</v>
      </c>
      <c r="G1559" t="s">
        <v>19</v>
      </c>
      <c r="H1559">
        <f>Cleaned_Data!K1559</f>
        <v>14.7</v>
      </c>
      <c r="I1559" t="str">
        <f t="shared" si="72"/>
        <v>YES</v>
      </c>
      <c r="J1559">
        <f>Cleaned_Data!J1559</f>
        <v>48</v>
      </c>
      <c r="K1559" t="str">
        <f t="shared" si="73"/>
        <v>2024-09</v>
      </c>
      <c r="L1559">
        <f t="shared" si="74"/>
        <v>0</v>
      </c>
    </row>
    <row r="1560" spans="1:12">
      <c r="A1560" t="s">
        <v>4531</v>
      </c>
      <c r="B1560" t="s">
        <v>4532</v>
      </c>
      <c r="C1560" t="s">
        <v>4533</v>
      </c>
      <c r="D1560" t="s">
        <v>23</v>
      </c>
      <c r="E1560" t="s">
        <v>28</v>
      </c>
      <c r="F1560" t="s">
        <v>41</v>
      </c>
      <c r="G1560" t="s">
        <v>31</v>
      </c>
      <c r="H1560">
        <f>Cleaned_Data!K1560</f>
        <v>14.78</v>
      </c>
      <c r="I1560" t="str">
        <f t="shared" si="72"/>
        <v>YES</v>
      </c>
      <c r="J1560">
        <f>Cleaned_Data!J1560</f>
        <v>24</v>
      </c>
      <c r="K1560" t="str">
        <f t="shared" si="73"/>
        <v>2024-08</v>
      </c>
      <c r="L1560">
        <f t="shared" si="74"/>
        <v>0</v>
      </c>
    </row>
    <row r="1561" spans="1:12">
      <c r="A1561" t="s">
        <v>4534</v>
      </c>
      <c r="B1561" t="s">
        <v>4535</v>
      </c>
      <c r="D1561" t="s">
        <v>23</v>
      </c>
      <c r="E1561" t="s">
        <v>54</v>
      </c>
      <c r="F1561" t="s">
        <v>60</v>
      </c>
      <c r="G1561" t="s">
        <v>63</v>
      </c>
      <c r="H1561">
        <f>Cleaned_Data!K1561</f>
        <v>0</v>
      </c>
      <c r="I1561" t="str">
        <f t="shared" si="72"/>
        <v/>
      </c>
      <c r="J1561">
        <f>Cleaned_Data!J1561</f>
        <v>24</v>
      </c>
      <c r="K1561" t="str">
        <f t="shared" si="73"/>
        <v>2024-09</v>
      </c>
      <c r="L1561">
        <f t="shared" si="74"/>
        <v>0</v>
      </c>
    </row>
    <row r="1562" spans="1:12">
      <c r="A1562" t="s">
        <v>4536</v>
      </c>
      <c r="B1562" t="s">
        <v>4537</v>
      </c>
      <c r="C1562" t="s">
        <v>4538</v>
      </c>
      <c r="D1562" t="s">
        <v>158</v>
      </c>
      <c r="E1562" t="s">
        <v>59</v>
      </c>
      <c r="F1562" t="s">
        <v>17</v>
      </c>
      <c r="G1562" t="s">
        <v>31</v>
      </c>
      <c r="H1562">
        <f>Cleaned_Data!K1562</f>
        <v>2.4500000000000002</v>
      </c>
      <c r="I1562" t="str">
        <f t="shared" si="72"/>
        <v>YES</v>
      </c>
      <c r="J1562">
        <f>Cleaned_Data!J1562</f>
        <v>4</v>
      </c>
      <c r="K1562" t="str">
        <f t="shared" si="73"/>
        <v>2024-08</v>
      </c>
      <c r="L1562">
        <f t="shared" si="74"/>
        <v>0</v>
      </c>
    </row>
    <row r="1563" spans="1:12">
      <c r="A1563" t="s">
        <v>4539</v>
      </c>
      <c r="B1563" t="s">
        <v>4540</v>
      </c>
      <c r="C1563" t="s">
        <v>4541</v>
      </c>
      <c r="D1563" t="s">
        <v>23</v>
      </c>
      <c r="E1563" t="s">
        <v>28</v>
      </c>
      <c r="F1563" t="s">
        <v>41</v>
      </c>
      <c r="G1563" t="s">
        <v>31</v>
      </c>
      <c r="H1563">
        <f>Cleaned_Data!K1563</f>
        <v>21.58</v>
      </c>
      <c r="I1563" t="str">
        <f t="shared" si="72"/>
        <v>YES</v>
      </c>
      <c r="J1563">
        <f>Cleaned_Data!J1563</f>
        <v>24</v>
      </c>
      <c r="K1563" t="str">
        <f t="shared" si="73"/>
        <v>2024-10</v>
      </c>
      <c r="L1563">
        <f t="shared" si="74"/>
        <v>0</v>
      </c>
    </row>
    <row r="1564" spans="1:12">
      <c r="A1564" t="s">
        <v>4542</v>
      </c>
      <c r="B1564" t="s">
        <v>4543</v>
      </c>
      <c r="C1564" t="s">
        <v>4544</v>
      </c>
      <c r="D1564" t="s">
        <v>23</v>
      </c>
      <c r="E1564" t="s">
        <v>28</v>
      </c>
      <c r="F1564" t="s">
        <v>36</v>
      </c>
      <c r="G1564" t="s">
        <v>31</v>
      </c>
      <c r="H1564">
        <f>Cleaned_Data!K1564</f>
        <v>21.7</v>
      </c>
      <c r="I1564" t="str">
        <f t="shared" si="72"/>
        <v>YES</v>
      </c>
      <c r="J1564">
        <f>Cleaned_Data!J1564</f>
        <v>24</v>
      </c>
      <c r="K1564" t="str">
        <f t="shared" si="73"/>
        <v>2024-09</v>
      </c>
      <c r="L1564">
        <f t="shared" si="74"/>
        <v>0</v>
      </c>
    </row>
    <row r="1565" spans="1:12">
      <c r="A1565" t="s">
        <v>4545</v>
      </c>
      <c r="B1565" t="s">
        <v>4546</v>
      </c>
      <c r="C1565" t="s">
        <v>4547</v>
      </c>
      <c r="D1565" t="s">
        <v>23</v>
      </c>
      <c r="E1565" t="s">
        <v>24</v>
      </c>
      <c r="F1565" t="s">
        <v>41</v>
      </c>
      <c r="G1565" t="s">
        <v>19</v>
      </c>
      <c r="H1565">
        <f>Cleaned_Data!K1565</f>
        <v>9.59</v>
      </c>
      <c r="I1565" t="str">
        <f t="shared" si="72"/>
        <v>YES</v>
      </c>
      <c r="J1565">
        <f>Cleaned_Data!J1565</f>
        <v>24</v>
      </c>
      <c r="K1565" t="str">
        <f t="shared" si="73"/>
        <v>2024-12</v>
      </c>
      <c r="L1565">
        <f t="shared" si="74"/>
        <v>0</v>
      </c>
    </row>
    <row r="1566" spans="1:12">
      <c r="A1566" t="s">
        <v>4548</v>
      </c>
      <c r="B1566" t="s">
        <v>4549</v>
      </c>
      <c r="D1566" t="s">
        <v>23</v>
      </c>
      <c r="E1566" t="s">
        <v>24</v>
      </c>
      <c r="F1566" t="s">
        <v>41</v>
      </c>
      <c r="G1566" t="s">
        <v>46</v>
      </c>
      <c r="H1566">
        <f>Cleaned_Data!K1566</f>
        <v>0</v>
      </c>
      <c r="I1566" t="str">
        <f t="shared" si="72"/>
        <v/>
      </c>
      <c r="J1566">
        <f>Cleaned_Data!J1566</f>
        <v>24</v>
      </c>
      <c r="K1566" t="str">
        <f t="shared" si="73"/>
        <v>2024-04</v>
      </c>
      <c r="L1566">
        <f t="shared" si="74"/>
        <v>0</v>
      </c>
    </row>
    <row r="1567" spans="1:12">
      <c r="A1567" t="s">
        <v>4550</v>
      </c>
      <c r="B1567" t="s">
        <v>4551</v>
      </c>
      <c r="C1567" t="s">
        <v>4552</v>
      </c>
      <c r="D1567" t="s">
        <v>23</v>
      </c>
      <c r="E1567" t="s">
        <v>24</v>
      </c>
      <c r="F1567" t="s">
        <v>60</v>
      </c>
      <c r="G1567" t="s">
        <v>31</v>
      </c>
      <c r="H1567">
        <f>Cleaned_Data!K1567</f>
        <v>17.77</v>
      </c>
      <c r="I1567" t="str">
        <f t="shared" si="72"/>
        <v>YES</v>
      </c>
      <c r="J1567">
        <f>Cleaned_Data!J1567</f>
        <v>24</v>
      </c>
      <c r="K1567" t="str">
        <f t="shared" si="73"/>
        <v>2024-04</v>
      </c>
      <c r="L1567">
        <f t="shared" si="74"/>
        <v>0</v>
      </c>
    </row>
    <row r="1568" spans="1:12">
      <c r="A1568" t="s">
        <v>4553</v>
      </c>
      <c r="B1568" t="s">
        <v>4554</v>
      </c>
      <c r="C1568" t="s">
        <v>4555</v>
      </c>
      <c r="D1568" t="s">
        <v>35</v>
      </c>
      <c r="E1568" t="s">
        <v>16</v>
      </c>
      <c r="F1568" t="s">
        <v>29</v>
      </c>
      <c r="G1568" t="s">
        <v>31</v>
      </c>
      <c r="H1568">
        <f>Cleaned_Data!K1568</f>
        <v>38.92</v>
      </c>
      <c r="I1568" t="str">
        <f t="shared" si="72"/>
        <v>YES</v>
      </c>
      <c r="J1568">
        <f>Cleaned_Data!J1568</f>
        <v>48</v>
      </c>
      <c r="K1568" t="str">
        <f t="shared" si="73"/>
        <v>2024-03</v>
      </c>
      <c r="L1568">
        <f t="shared" si="74"/>
        <v>0</v>
      </c>
    </row>
    <row r="1569" spans="1:12">
      <c r="A1569" t="s">
        <v>4556</v>
      </c>
      <c r="B1569" t="s">
        <v>4557</v>
      </c>
      <c r="C1569" t="s">
        <v>4558</v>
      </c>
      <c r="D1569" t="s">
        <v>15</v>
      </c>
      <c r="E1569" t="s">
        <v>59</v>
      </c>
      <c r="F1569" t="s">
        <v>36</v>
      </c>
      <c r="G1569" t="s">
        <v>19</v>
      </c>
      <c r="H1569">
        <f>Cleaned_Data!K1569</f>
        <v>5.15</v>
      </c>
      <c r="I1569" t="str">
        <f t="shared" si="72"/>
        <v>YES</v>
      </c>
      <c r="J1569">
        <f>Cleaned_Data!J1569</f>
        <v>8</v>
      </c>
      <c r="K1569" t="str">
        <f t="shared" si="73"/>
        <v>2024-11</v>
      </c>
      <c r="L1569">
        <f t="shared" si="74"/>
        <v>0</v>
      </c>
    </row>
    <row r="1570" spans="1:12">
      <c r="A1570" t="s">
        <v>4559</v>
      </c>
      <c r="B1570" t="s">
        <v>4560</v>
      </c>
      <c r="C1570" t="s">
        <v>4561</v>
      </c>
      <c r="D1570" t="s">
        <v>15</v>
      </c>
      <c r="E1570" t="s">
        <v>16</v>
      </c>
      <c r="F1570" t="s">
        <v>29</v>
      </c>
      <c r="G1570" t="s">
        <v>31</v>
      </c>
      <c r="H1570">
        <f>Cleaned_Data!K1570</f>
        <v>20.170000000000002</v>
      </c>
      <c r="I1570" t="str">
        <f t="shared" si="72"/>
        <v>NO</v>
      </c>
      <c r="J1570">
        <f>Cleaned_Data!J1570</f>
        <v>8</v>
      </c>
      <c r="K1570" t="str">
        <f t="shared" si="73"/>
        <v>2024-03</v>
      </c>
      <c r="L1570">
        <f t="shared" si="74"/>
        <v>12.170000000000002</v>
      </c>
    </row>
    <row r="1571" spans="1:12">
      <c r="A1571" t="s">
        <v>4562</v>
      </c>
      <c r="B1571" t="s">
        <v>4563</v>
      </c>
      <c r="C1571" t="s">
        <v>4564</v>
      </c>
      <c r="D1571" t="s">
        <v>158</v>
      </c>
      <c r="E1571" t="s">
        <v>24</v>
      </c>
      <c r="F1571" t="s">
        <v>29</v>
      </c>
      <c r="G1571" t="s">
        <v>31</v>
      </c>
      <c r="H1571">
        <f>Cleaned_Data!K1571</f>
        <v>2.97</v>
      </c>
      <c r="I1571" t="str">
        <f t="shared" si="72"/>
        <v>YES</v>
      </c>
      <c r="J1571">
        <f>Cleaned_Data!J1571</f>
        <v>4</v>
      </c>
      <c r="K1571" t="str">
        <f t="shared" si="73"/>
        <v>2024-05</v>
      </c>
      <c r="L1571">
        <f t="shared" si="74"/>
        <v>0</v>
      </c>
    </row>
    <row r="1572" spans="1:12">
      <c r="A1572" t="s">
        <v>4565</v>
      </c>
      <c r="B1572" t="s">
        <v>4566</v>
      </c>
      <c r="C1572" t="s">
        <v>4567</v>
      </c>
      <c r="D1572" t="s">
        <v>23</v>
      </c>
      <c r="E1572" t="s">
        <v>24</v>
      </c>
      <c r="F1572" t="s">
        <v>36</v>
      </c>
      <c r="G1572" t="s">
        <v>31</v>
      </c>
      <c r="H1572">
        <f>Cleaned_Data!K1572</f>
        <v>56.24</v>
      </c>
      <c r="I1572" t="str">
        <f t="shared" si="72"/>
        <v>NO</v>
      </c>
      <c r="J1572">
        <f>Cleaned_Data!J1572</f>
        <v>24</v>
      </c>
      <c r="K1572" t="str">
        <f t="shared" si="73"/>
        <v>2024-06</v>
      </c>
      <c r="L1572">
        <f t="shared" si="74"/>
        <v>32.24</v>
      </c>
    </row>
    <row r="1573" spans="1:12">
      <c r="A1573" t="s">
        <v>4568</v>
      </c>
      <c r="B1573" t="s">
        <v>4569</v>
      </c>
      <c r="D1573" t="s">
        <v>23</v>
      </c>
      <c r="E1573" t="s">
        <v>28</v>
      </c>
      <c r="F1573" t="s">
        <v>41</v>
      </c>
      <c r="G1573" t="s">
        <v>63</v>
      </c>
      <c r="H1573">
        <f>Cleaned_Data!K1573</f>
        <v>0</v>
      </c>
      <c r="I1573" t="str">
        <f t="shared" si="72"/>
        <v/>
      </c>
      <c r="J1573">
        <f>Cleaned_Data!J1573</f>
        <v>24</v>
      </c>
      <c r="K1573" t="str">
        <f t="shared" si="73"/>
        <v>2024-02</v>
      </c>
      <c r="L1573">
        <f t="shared" si="74"/>
        <v>0</v>
      </c>
    </row>
    <row r="1574" spans="1:12">
      <c r="A1574" t="s">
        <v>4570</v>
      </c>
      <c r="B1574" t="s">
        <v>4571</v>
      </c>
      <c r="C1574" t="s">
        <v>4572</v>
      </c>
      <c r="D1574" t="s">
        <v>35</v>
      </c>
      <c r="E1574" t="s">
        <v>16</v>
      </c>
      <c r="F1574" t="s">
        <v>29</v>
      </c>
      <c r="G1574" t="s">
        <v>31</v>
      </c>
      <c r="H1574">
        <f>Cleaned_Data!K1574</f>
        <v>45.58</v>
      </c>
      <c r="I1574" t="str">
        <f t="shared" si="72"/>
        <v>YES</v>
      </c>
      <c r="J1574">
        <f>Cleaned_Data!J1574</f>
        <v>48</v>
      </c>
      <c r="K1574" t="str">
        <f t="shared" si="73"/>
        <v>2024-02</v>
      </c>
      <c r="L1574">
        <f t="shared" si="74"/>
        <v>0</v>
      </c>
    </row>
    <row r="1575" spans="1:12">
      <c r="A1575" t="s">
        <v>4573</v>
      </c>
      <c r="B1575" t="s">
        <v>4574</v>
      </c>
      <c r="C1575" t="s">
        <v>4575</v>
      </c>
      <c r="D1575" t="s">
        <v>15</v>
      </c>
      <c r="E1575" t="s">
        <v>24</v>
      </c>
      <c r="F1575" t="s">
        <v>29</v>
      </c>
      <c r="G1575" t="s">
        <v>19</v>
      </c>
      <c r="H1575">
        <f>Cleaned_Data!K1575</f>
        <v>23.74</v>
      </c>
      <c r="I1575" t="str">
        <f t="shared" si="72"/>
        <v>NO</v>
      </c>
      <c r="J1575">
        <f>Cleaned_Data!J1575</f>
        <v>8</v>
      </c>
      <c r="K1575" t="str">
        <f t="shared" si="73"/>
        <v>2024-01</v>
      </c>
      <c r="L1575">
        <f t="shared" si="74"/>
        <v>15.739999999999998</v>
      </c>
    </row>
    <row r="1576" spans="1:12">
      <c r="A1576" t="s">
        <v>4576</v>
      </c>
      <c r="B1576" t="s">
        <v>4577</v>
      </c>
      <c r="C1576" t="s">
        <v>4578</v>
      </c>
      <c r="D1576" t="s">
        <v>23</v>
      </c>
      <c r="E1576" t="s">
        <v>16</v>
      </c>
      <c r="F1576" t="s">
        <v>17</v>
      </c>
      <c r="G1576" t="s">
        <v>19</v>
      </c>
      <c r="H1576">
        <f>Cleaned_Data!K1576</f>
        <v>65.33</v>
      </c>
      <c r="I1576" t="str">
        <f t="shared" si="72"/>
        <v>NO</v>
      </c>
      <c r="J1576">
        <f>Cleaned_Data!J1576</f>
        <v>24</v>
      </c>
      <c r="K1576" t="str">
        <f t="shared" si="73"/>
        <v>2024-03</v>
      </c>
      <c r="L1576">
        <f t="shared" si="74"/>
        <v>41.33</v>
      </c>
    </row>
    <row r="1577" spans="1:12">
      <c r="A1577" t="s">
        <v>4579</v>
      </c>
      <c r="B1577" t="s">
        <v>4580</v>
      </c>
      <c r="C1577" t="s">
        <v>4581</v>
      </c>
      <c r="D1577" t="s">
        <v>23</v>
      </c>
      <c r="E1577" t="s">
        <v>54</v>
      </c>
      <c r="F1577" t="s">
        <v>60</v>
      </c>
      <c r="G1577" t="s">
        <v>19</v>
      </c>
      <c r="H1577">
        <f>Cleaned_Data!K1577</f>
        <v>52.39</v>
      </c>
      <c r="I1577" t="str">
        <f t="shared" si="72"/>
        <v>NO</v>
      </c>
      <c r="J1577">
        <f>Cleaned_Data!J1577</f>
        <v>24</v>
      </c>
      <c r="K1577" t="str">
        <f t="shared" si="73"/>
        <v>2024-06</v>
      </c>
      <c r="L1577">
        <f t="shared" si="74"/>
        <v>28.39</v>
      </c>
    </row>
    <row r="1578" spans="1:12">
      <c r="A1578" t="s">
        <v>4582</v>
      </c>
      <c r="B1578" t="s">
        <v>4583</v>
      </c>
      <c r="C1578" t="s">
        <v>4584</v>
      </c>
      <c r="D1578" t="s">
        <v>35</v>
      </c>
      <c r="E1578" t="s">
        <v>28</v>
      </c>
      <c r="F1578" t="s">
        <v>29</v>
      </c>
      <c r="G1578" t="s">
        <v>31</v>
      </c>
      <c r="H1578">
        <f>Cleaned_Data!K1578</f>
        <v>37.51</v>
      </c>
      <c r="I1578" t="str">
        <f t="shared" si="72"/>
        <v>YES</v>
      </c>
      <c r="J1578">
        <f>Cleaned_Data!J1578</f>
        <v>48</v>
      </c>
      <c r="K1578" t="str">
        <f t="shared" si="73"/>
        <v>2024-12</v>
      </c>
      <c r="L1578">
        <f t="shared" si="74"/>
        <v>0</v>
      </c>
    </row>
    <row r="1579" spans="1:12">
      <c r="A1579" t="s">
        <v>4585</v>
      </c>
      <c r="B1579" t="s">
        <v>4586</v>
      </c>
      <c r="C1579" t="s">
        <v>4587</v>
      </c>
      <c r="D1579" t="s">
        <v>35</v>
      </c>
      <c r="E1579" t="s">
        <v>59</v>
      </c>
      <c r="F1579" t="s">
        <v>29</v>
      </c>
      <c r="G1579" t="s">
        <v>19</v>
      </c>
      <c r="H1579">
        <f>Cleaned_Data!K1579</f>
        <v>62.99</v>
      </c>
      <c r="I1579" t="str">
        <f t="shared" si="72"/>
        <v>NO</v>
      </c>
      <c r="J1579">
        <f>Cleaned_Data!J1579</f>
        <v>48</v>
      </c>
      <c r="K1579" t="str">
        <f t="shared" si="73"/>
        <v>2024-05</v>
      </c>
      <c r="L1579">
        <f t="shared" si="74"/>
        <v>14.990000000000002</v>
      </c>
    </row>
    <row r="1580" spans="1:12">
      <c r="A1580" t="s">
        <v>4588</v>
      </c>
      <c r="B1580" t="s">
        <v>4589</v>
      </c>
      <c r="D1580" t="s">
        <v>15</v>
      </c>
      <c r="E1580" t="s">
        <v>28</v>
      </c>
      <c r="F1580" t="s">
        <v>17</v>
      </c>
      <c r="G1580" t="s">
        <v>46</v>
      </c>
      <c r="H1580">
        <f>Cleaned_Data!K1580</f>
        <v>0</v>
      </c>
      <c r="I1580" t="str">
        <f t="shared" si="72"/>
        <v/>
      </c>
      <c r="J1580">
        <f>Cleaned_Data!J1580</f>
        <v>8</v>
      </c>
      <c r="K1580" t="str">
        <f t="shared" si="73"/>
        <v>2024-09</v>
      </c>
      <c r="L1580">
        <f t="shared" si="74"/>
        <v>0</v>
      </c>
    </row>
    <row r="1581" spans="1:12">
      <c r="A1581" t="s">
        <v>4590</v>
      </c>
      <c r="B1581" t="s">
        <v>4591</v>
      </c>
      <c r="C1581" t="s">
        <v>4592</v>
      </c>
      <c r="D1581" t="s">
        <v>35</v>
      </c>
      <c r="E1581" t="s">
        <v>16</v>
      </c>
      <c r="F1581" t="s">
        <v>60</v>
      </c>
      <c r="G1581" t="s">
        <v>19</v>
      </c>
      <c r="H1581">
        <f>Cleaned_Data!K1581</f>
        <v>71.72</v>
      </c>
      <c r="I1581" t="str">
        <f t="shared" si="72"/>
        <v>NO</v>
      </c>
      <c r="J1581">
        <f>Cleaned_Data!J1581</f>
        <v>48</v>
      </c>
      <c r="K1581" t="str">
        <f t="shared" si="73"/>
        <v>2024-10</v>
      </c>
      <c r="L1581">
        <f t="shared" si="74"/>
        <v>23.72</v>
      </c>
    </row>
    <row r="1582" spans="1:12">
      <c r="A1582" t="s">
        <v>4593</v>
      </c>
      <c r="B1582" t="s">
        <v>4594</v>
      </c>
      <c r="C1582" t="s">
        <v>4595</v>
      </c>
      <c r="D1582" t="s">
        <v>23</v>
      </c>
      <c r="E1582" t="s">
        <v>54</v>
      </c>
      <c r="F1582" t="s">
        <v>17</v>
      </c>
      <c r="G1582" t="s">
        <v>19</v>
      </c>
      <c r="H1582">
        <f>Cleaned_Data!K1582</f>
        <v>46.74</v>
      </c>
      <c r="I1582" t="str">
        <f t="shared" si="72"/>
        <v>NO</v>
      </c>
      <c r="J1582">
        <f>Cleaned_Data!J1582</f>
        <v>24</v>
      </c>
      <c r="K1582" t="str">
        <f t="shared" si="73"/>
        <v>2024-09</v>
      </c>
      <c r="L1582">
        <f t="shared" si="74"/>
        <v>22.740000000000002</v>
      </c>
    </row>
    <row r="1583" spans="1:12">
      <c r="A1583" t="s">
        <v>4596</v>
      </c>
      <c r="B1583" t="s">
        <v>4597</v>
      </c>
      <c r="C1583" t="s">
        <v>4598</v>
      </c>
      <c r="D1583" t="s">
        <v>23</v>
      </c>
      <c r="E1583" t="s">
        <v>59</v>
      </c>
      <c r="F1583" t="s">
        <v>17</v>
      </c>
      <c r="G1583" t="s">
        <v>31</v>
      </c>
      <c r="H1583">
        <f>Cleaned_Data!K1583</f>
        <v>3.57</v>
      </c>
      <c r="I1583" t="str">
        <f t="shared" si="72"/>
        <v>YES</v>
      </c>
      <c r="J1583">
        <f>Cleaned_Data!J1583</f>
        <v>24</v>
      </c>
      <c r="K1583" t="str">
        <f t="shared" si="73"/>
        <v>2024-08</v>
      </c>
      <c r="L1583">
        <f t="shared" si="74"/>
        <v>0</v>
      </c>
    </row>
    <row r="1584" spans="1:12">
      <c r="A1584" t="s">
        <v>4599</v>
      </c>
      <c r="B1584" t="s">
        <v>4600</v>
      </c>
      <c r="D1584" t="s">
        <v>23</v>
      </c>
      <c r="E1584" t="s">
        <v>24</v>
      </c>
      <c r="F1584" t="s">
        <v>29</v>
      </c>
      <c r="G1584" t="s">
        <v>63</v>
      </c>
      <c r="H1584">
        <f>Cleaned_Data!K1584</f>
        <v>0</v>
      </c>
      <c r="I1584" t="str">
        <f t="shared" si="72"/>
        <v/>
      </c>
      <c r="J1584">
        <f>Cleaned_Data!J1584</f>
        <v>24</v>
      </c>
      <c r="K1584" t="str">
        <f t="shared" si="73"/>
        <v>2024-12</v>
      </c>
      <c r="L1584">
        <f t="shared" si="74"/>
        <v>0</v>
      </c>
    </row>
    <row r="1585" spans="1:12">
      <c r="A1585" t="s">
        <v>4601</v>
      </c>
      <c r="B1585" t="s">
        <v>4602</v>
      </c>
      <c r="C1585" t="s">
        <v>4603</v>
      </c>
      <c r="D1585" t="s">
        <v>23</v>
      </c>
      <c r="E1585" t="s">
        <v>59</v>
      </c>
      <c r="F1585" t="s">
        <v>36</v>
      </c>
      <c r="G1585" t="s">
        <v>31</v>
      </c>
      <c r="H1585">
        <f>Cleaned_Data!K1585</f>
        <v>17.989999999999998</v>
      </c>
      <c r="I1585" t="str">
        <f t="shared" si="72"/>
        <v>YES</v>
      </c>
      <c r="J1585">
        <f>Cleaned_Data!J1585</f>
        <v>24</v>
      </c>
      <c r="K1585" t="str">
        <f t="shared" si="73"/>
        <v>2024-04</v>
      </c>
      <c r="L1585">
        <f t="shared" si="74"/>
        <v>0</v>
      </c>
    </row>
    <row r="1586" spans="1:12">
      <c r="A1586" t="s">
        <v>4604</v>
      </c>
      <c r="B1586" t="s">
        <v>4605</v>
      </c>
      <c r="C1586" t="s">
        <v>4606</v>
      </c>
      <c r="D1586" t="s">
        <v>15</v>
      </c>
      <c r="E1586" t="s">
        <v>28</v>
      </c>
      <c r="F1586" t="s">
        <v>60</v>
      </c>
      <c r="G1586" t="s">
        <v>31</v>
      </c>
      <c r="H1586">
        <f>Cleaned_Data!K1586</f>
        <v>4.68</v>
      </c>
      <c r="I1586" t="str">
        <f t="shared" si="72"/>
        <v>YES</v>
      </c>
      <c r="J1586">
        <f>Cleaned_Data!J1586</f>
        <v>8</v>
      </c>
      <c r="K1586" t="str">
        <f t="shared" si="73"/>
        <v>2024-06</v>
      </c>
      <c r="L1586">
        <f t="shared" si="74"/>
        <v>0</v>
      </c>
    </row>
    <row r="1587" spans="1:12">
      <c r="A1587" t="s">
        <v>4607</v>
      </c>
      <c r="B1587" t="s">
        <v>4608</v>
      </c>
      <c r="C1587" t="s">
        <v>4609</v>
      </c>
      <c r="D1587" t="s">
        <v>15</v>
      </c>
      <c r="E1587" t="s">
        <v>28</v>
      </c>
      <c r="F1587" t="s">
        <v>60</v>
      </c>
      <c r="G1587" t="s">
        <v>31</v>
      </c>
      <c r="H1587">
        <f>Cleaned_Data!K1587</f>
        <v>9.23</v>
      </c>
      <c r="I1587" t="str">
        <f t="shared" si="72"/>
        <v>NO</v>
      </c>
      <c r="J1587">
        <f>Cleaned_Data!J1587</f>
        <v>8</v>
      </c>
      <c r="K1587" t="str">
        <f t="shared" si="73"/>
        <v>2024-06</v>
      </c>
      <c r="L1587">
        <f t="shared" si="74"/>
        <v>1.2300000000000004</v>
      </c>
    </row>
    <row r="1588" spans="1:12">
      <c r="A1588" t="s">
        <v>4610</v>
      </c>
      <c r="B1588" t="s">
        <v>4611</v>
      </c>
      <c r="C1588" t="s">
        <v>4612</v>
      </c>
      <c r="D1588" t="s">
        <v>15</v>
      </c>
      <c r="E1588" t="s">
        <v>59</v>
      </c>
      <c r="F1588" t="s">
        <v>60</v>
      </c>
      <c r="G1588" t="s">
        <v>19</v>
      </c>
      <c r="H1588">
        <f>Cleaned_Data!K1588</f>
        <v>5.78</v>
      </c>
      <c r="I1588" t="str">
        <f t="shared" si="72"/>
        <v>YES</v>
      </c>
      <c r="J1588">
        <f>Cleaned_Data!J1588</f>
        <v>8</v>
      </c>
      <c r="K1588" t="str">
        <f t="shared" si="73"/>
        <v>2024-08</v>
      </c>
      <c r="L1588">
        <f t="shared" si="74"/>
        <v>0</v>
      </c>
    </row>
    <row r="1589" spans="1:12">
      <c r="A1589" t="s">
        <v>4613</v>
      </c>
      <c r="B1589" t="s">
        <v>4614</v>
      </c>
      <c r="C1589" t="s">
        <v>4615</v>
      </c>
      <c r="D1589" t="s">
        <v>23</v>
      </c>
      <c r="E1589" t="s">
        <v>59</v>
      </c>
      <c r="F1589" t="s">
        <v>17</v>
      </c>
      <c r="G1589" t="s">
        <v>31</v>
      </c>
      <c r="H1589">
        <f>Cleaned_Data!K1589</f>
        <v>4.84</v>
      </c>
      <c r="I1589" t="str">
        <f t="shared" si="72"/>
        <v>YES</v>
      </c>
      <c r="J1589">
        <f>Cleaned_Data!J1589</f>
        <v>24</v>
      </c>
      <c r="K1589" t="str">
        <f t="shared" si="73"/>
        <v>2024-08</v>
      </c>
      <c r="L1589">
        <f t="shared" si="74"/>
        <v>0</v>
      </c>
    </row>
    <row r="1590" spans="1:12">
      <c r="A1590" t="s">
        <v>4616</v>
      </c>
      <c r="B1590" t="s">
        <v>4617</v>
      </c>
      <c r="C1590" t="s">
        <v>4618</v>
      </c>
      <c r="D1590" t="s">
        <v>23</v>
      </c>
      <c r="E1590" t="s">
        <v>59</v>
      </c>
      <c r="F1590" t="s">
        <v>41</v>
      </c>
      <c r="G1590" t="s">
        <v>19</v>
      </c>
      <c r="H1590">
        <f>Cleaned_Data!K1590</f>
        <v>19.68</v>
      </c>
      <c r="I1590" t="str">
        <f t="shared" si="72"/>
        <v>YES</v>
      </c>
      <c r="J1590">
        <f>Cleaned_Data!J1590</f>
        <v>24</v>
      </c>
      <c r="K1590" t="str">
        <f t="shared" si="73"/>
        <v>2024-06</v>
      </c>
      <c r="L1590">
        <f t="shared" si="74"/>
        <v>0</v>
      </c>
    </row>
    <row r="1591" spans="1:12">
      <c r="A1591" t="s">
        <v>4619</v>
      </c>
      <c r="B1591" t="s">
        <v>4620</v>
      </c>
      <c r="C1591" t="s">
        <v>4621</v>
      </c>
      <c r="D1591" t="s">
        <v>23</v>
      </c>
      <c r="E1591" t="s">
        <v>24</v>
      </c>
      <c r="F1591" t="s">
        <v>29</v>
      </c>
      <c r="G1591" t="s">
        <v>19</v>
      </c>
      <c r="H1591">
        <f>Cleaned_Data!K1591</f>
        <v>6.49</v>
      </c>
      <c r="I1591" t="str">
        <f t="shared" si="72"/>
        <v>YES</v>
      </c>
      <c r="J1591">
        <f>Cleaned_Data!J1591</f>
        <v>24</v>
      </c>
      <c r="K1591" t="str">
        <f t="shared" si="73"/>
        <v>2024-05</v>
      </c>
      <c r="L1591">
        <f t="shared" si="74"/>
        <v>0</v>
      </c>
    </row>
    <row r="1592" spans="1:12">
      <c r="A1592" t="s">
        <v>4622</v>
      </c>
      <c r="B1592" t="s">
        <v>4623</v>
      </c>
      <c r="C1592" t="s">
        <v>4624</v>
      </c>
      <c r="D1592" t="s">
        <v>23</v>
      </c>
      <c r="E1592" t="s">
        <v>28</v>
      </c>
      <c r="F1592" t="s">
        <v>36</v>
      </c>
      <c r="G1592" t="s">
        <v>19</v>
      </c>
      <c r="H1592">
        <f>Cleaned_Data!K1592</f>
        <v>28.05</v>
      </c>
      <c r="I1592" t="str">
        <f t="shared" si="72"/>
        <v>NO</v>
      </c>
      <c r="J1592">
        <f>Cleaned_Data!J1592</f>
        <v>24</v>
      </c>
      <c r="K1592" t="str">
        <f t="shared" si="73"/>
        <v>2024-09</v>
      </c>
      <c r="L1592">
        <f t="shared" si="74"/>
        <v>4.0500000000000007</v>
      </c>
    </row>
    <row r="1593" spans="1:12">
      <c r="A1593" t="s">
        <v>4625</v>
      </c>
      <c r="B1593" t="s">
        <v>4626</v>
      </c>
      <c r="C1593" t="s">
        <v>4627</v>
      </c>
      <c r="D1593" t="s">
        <v>23</v>
      </c>
      <c r="E1593" t="s">
        <v>24</v>
      </c>
      <c r="F1593" t="s">
        <v>60</v>
      </c>
      <c r="G1593" t="s">
        <v>19</v>
      </c>
      <c r="H1593">
        <f>Cleaned_Data!K1593</f>
        <v>2.96</v>
      </c>
      <c r="I1593" t="str">
        <f t="shared" si="72"/>
        <v>YES</v>
      </c>
      <c r="J1593">
        <f>Cleaned_Data!J1593</f>
        <v>24</v>
      </c>
      <c r="K1593" t="str">
        <f t="shared" si="73"/>
        <v>2024-09</v>
      </c>
      <c r="L1593">
        <f t="shared" si="74"/>
        <v>0</v>
      </c>
    </row>
    <row r="1594" spans="1:12">
      <c r="A1594" t="s">
        <v>4628</v>
      </c>
      <c r="B1594" t="s">
        <v>4629</v>
      </c>
      <c r="C1594" t="s">
        <v>4630</v>
      </c>
      <c r="D1594" t="s">
        <v>23</v>
      </c>
      <c r="E1594" t="s">
        <v>24</v>
      </c>
      <c r="F1594" t="s">
        <v>17</v>
      </c>
      <c r="G1594" t="s">
        <v>31</v>
      </c>
      <c r="H1594">
        <f>Cleaned_Data!K1594</f>
        <v>13.32</v>
      </c>
      <c r="I1594" t="str">
        <f t="shared" si="72"/>
        <v>YES</v>
      </c>
      <c r="J1594">
        <f>Cleaned_Data!J1594</f>
        <v>24</v>
      </c>
      <c r="K1594" t="str">
        <f t="shared" si="73"/>
        <v>2024-08</v>
      </c>
      <c r="L1594">
        <f t="shared" si="74"/>
        <v>0</v>
      </c>
    </row>
    <row r="1595" spans="1:12">
      <c r="A1595" t="s">
        <v>4631</v>
      </c>
      <c r="B1595" t="s">
        <v>4632</v>
      </c>
      <c r="C1595" t="s">
        <v>4633</v>
      </c>
      <c r="D1595" t="s">
        <v>35</v>
      </c>
      <c r="E1595" t="s">
        <v>59</v>
      </c>
      <c r="F1595" t="s">
        <v>60</v>
      </c>
      <c r="G1595" t="s">
        <v>31</v>
      </c>
      <c r="H1595">
        <f>Cleaned_Data!K1595</f>
        <v>116.52</v>
      </c>
      <c r="I1595" t="str">
        <f t="shared" si="72"/>
        <v>NO</v>
      </c>
      <c r="J1595">
        <f>Cleaned_Data!J1595</f>
        <v>48</v>
      </c>
      <c r="K1595" t="str">
        <f t="shared" si="73"/>
        <v>2024-02</v>
      </c>
      <c r="L1595">
        <f t="shared" si="74"/>
        <v>68.52</v>
      </c>
    </row>
    <row r="1596" spans="1:12">
      <c r="A1596" t="s">
        <v>4634</v>
      </c>
      <c r="B1596" t="s">
        <v>4635</v>
      </c>
      <c r="C1596" t="s">
        <v>4636</v>
      </c>
      <c r="D1596" t="s">
        <v>23</v>
      </c>
      <c r="E1596" t="s">
        <v>16</v>
      </c>
      <c r="F1596" t="s">
        <v>41</v>
      </c>
      <c r="G1596" t="s">
        <v>31</v>
      </c>
      <c r="H1596">
        <f>Cleaned_Data!K1596</f>
        <v>66.77</v>
      </c>
      <c r="I1596" t="str">
        <f t="shared" si="72"/>
        <v>NO</v>
      </c>
      <c r="J1596">
        <f>Cleaned_Data!J1596</f>
        <v>24</v>
      </c>
      <c r="K1596" t="str">
        <f t="shared" si="73"/>
        <v>2024-03</v>
      </c>
      <c r="L1596">
        <f t="shared" si="74"/>
        <v>42.769999999999996</v>
      </c>
    </row>
    <row r="1597" spans="1:12">
      <c r="A1597" t="s">
        <v>4637</v>
      </c>
      <c r="B1597" t="s">
        <v>4638</v>
      </c>
      <c r="C1597" t="s">
        <v>4639</v>
      </c>
      <c r="D1597" t="s">
        <v>35</v>
      </c>
      <c r="E1597" t="s">
        <v>28</v>
      </c>
      <c r="F1597" t="s">
        <v>29</v>
      </c>
      <c r="G1597" t="s">
        <v>19</v>
      </c>
      <c r="H1597">
        <f>Cleaned_Data!K1597</f>
        <v>25.95</v>
      </c>
      <c r="I1597" t="str">
        <f t="shared" si="72"/>
        <v>YES</v>
      </c>
      <c r="J1597">
        <f>Cleaned_Data!J1597</f>
        <v>48</v>
      </c>
      <c r="K1597" t="str">
        <f t="shared" si="73"/>
        <v>2024-02</v>
      </c>
      <c r="L1597">
        <f t="shared" si="74"/>
        <v>0</v>
      </c>
    </row>
    <row r="1598" spans="1:12">
      <c r="A1598" t="s">
        <v>4640</v>
      </c>
      <c r="B1598" t="s">
        <v>4641</v>
      </c>
      <c r="D1598" t="s">
        <v>15</v>
      </c>
      <c r="E1598" t="s">
        <v>24</v>
      </c>
      <c r="F1598" t="s">
        <v>60</v>
      </c>
      <c r="G1598" t="s">
        <v>63</v>
      </c>
      <c r="H1598">
        <f>Cleaned_Data!K1598</f>
        <v>0</v>
      </c>
      <c r="I1598" t="str">
        <f t="shared" si="72"/>
        <v/>
      </c>
      <c r="J1598">
        <f>Cleaned_Data!J1598</f>
        <v>8</v>
      </c>
      <c r="K1598" t="str">
        <f t="shared" si="73"/>
        <v>2024-07</v>
      </c>
      <c r="L1598">
        <f t="shared" si="74"/>
        <v>0</v>
      </c>
    </row>
    <row r="1599" spans="1:12">
      <c r="A1599" t="s">
        <v>4642</v>
      </c>
      <c r="B1599" t="s">
        <v>4643</v>
      </c>
      <c r="C1599" t="s">
        <v>4644</v>
      </c>
      <c r="D1599" t="s">
        <v>23</v>
      </c>
      <c r="E1599" t="s">
        <v>16</v>
      </c>
      <c r="F1599" t="s">
        <v>41</v>
      </c>
      <c r="G1599" t="s">
        <v>31</v>
      </c>
      <c r="H1599">
        <f>Cleaned_Data!K1599</f>
        <v>7.42</v>
      </c>
      <c r="I1599" t="str">
        <f t="shared" si="72"/>
        <v>YES</v>
      </c>
      <c r="J1599">
        <f>Cleaned_Data!J1599</f>
        <v>24</v>
      </c>
      <c r="K1599" t="str">
        <f t="shared" si="73"/>
        <v>2024-12</v>
      </c>
      <c r="L1599">
        <f t="shared" si="74"/>
        <v>0</v>
      </c>
    </row>
    <row r="1600" spans="1:12">
      <c r="A1600" t="s">
        <v>4645</v>
      </c>
      <c r="B1600" t="s">
        <v>4646</v>
      </c>
      <c r="C1600" t="s">
        <v>4647</v>
      </c>
      <c r="D1600" t="s">
        <v>23</v>
      </c>
      <c r="E1600" t="s">
        <v>16</v>
      </c>
      <c r="F1600" t="s">
        <v>36</v>
      </c>
      <c r="G1600" t="s">
        <v>19</v>
      </c>
      <c r="H1600">
        <f>Cleaned_Data!K1600</f>
        <v>47.68</v>
      </c>
      <c r="I1600" t="str">
        <f t="shared" si="72"/>
        <v>NO</v>
      </c>
      <c r="J1600">
        <f>Cleaned_Data!J1600</f>
        <v>24</v>
      </c>
      <c r="K1600" t="str">
        <f t="shared" si="73"/>
        <v>2024-11</v>
      </c>
      <c r="L1600">
        <f t="shared" si="74"/>
        <v>23.68</v>
      </c>
    </row>
    <row r="1601" spans="1:12">
      <c r="A1601" t="s">
        <v>4648</v>
      </c>
      <c r="B1601" t="s">
        <v>4649</v>
      </c>
      <c r="C1601" t="s">
        <v>4650</v>
      </c>
      <c r="D1601" t="s">
        <v>23</v>
      </c>
      <c r="E1601" t="s">
        <v>16</v>
      </c>
      <c r="F1601" t="s">
        <v>36</v>
      </c>
      <c r="G1601" t="s">
        <v>19</v>
      </c>
      <c r="H1601">
        <f>Cleaned_Data!K1601</f>
        <v>21</v>
      </c>
      <c r="I1601" t="str">
        <f t="shared" si="72"/>
        <v>YES</v>
      </c>
      <c r="J1601">
        <f>Cleaned_Data!J1601</f>
        <v>24</v>
      </c>
      <c r="K1601" t="str">
        <f t="shared" si="73"/>
        <v>2024-09</v>
      </c>
      <c r="L1601">
        <f t="shared" si="74"/>
        <v>0</v>
      </c>
    </row>
    <row r="1602" spans="1:12">
      <c r="A1602" t="s">
        <v>4651</v>
      </c>
      <c r="B1602" t="s">
        <v>4652</v>
      </c>
      <c r="C1602" t="s">
        <v>4653</v>
      </c>
      <c r="D1602" t="s">
        <v>23</v>
      </c>
      <c r="E1602" t="s">
        <v>28</v>
      </c>
      <c r="F1602" t="s">
        <v>60</v>
      </c>
      <c r="G1602" t="s">
        <v>19</v>
      </c>
      <c r="H1602">
        <f>Cleaned_Data!K1602</f>
        <v>18</v>
      </c>
      <c r="I1602" t="str">
        <f t="shared" ref="I1602:I1665" si="75">IF(OR(G1602="Resolved", G1602="Closed"), IF(AND(H1602&lt;&gt;"", H1602&lt;=J1602), "YES", "NO"), "")</f>
        <v>YES</v>
      </c>
      <c r="J1602">
        <f>Cleaned_Data!J1602</f>
        <v>24</v>
      </c>
      <c r="K1602" t="str">
        <f t="shared" ref="K1602:K1665" si="76">LEFT(B1602, 7)</f>
        <v>2024-09</v>
      </c>
      <c r="L1602">
        <f t="shared" ref="L1602:L1665" si="77">IF(I1602="NO", H1602-J1602, 0)</f>
        <v>0</v>
      </c>
    </row>
    <row r="1603" spans="1:12">
      <c r="A1603" t="s">
        <v>4654</v>
      </c>
      <c r="B1603" t="s">
        <v>4655</v>
      </c>
      <c r="C1603" t="s">
        <v>4656</v>
      </c>
      <c r="D1603" t="s">
        <v>23</v>
      </c>
      <c r="E1603" t="s">
        <v>28</v>
      </c>
      <c r="F1603" t="s">
        <v>36</v>
      </c>
      <c r="G1603" t="s">
        <v>19</v>
      </c>
      <c r="H1603">
        <f>Cleaned_Data!K1603</f>
        <v>13.85</v>
      </c>
      <c r="I1603" t="str">
        <f t="shared" si="75"/>
        <v>YES</v>
      </c>
      <c r="J1603">
        <f>Cleaned_Data!J1603</f>
        <v>24</v>
      </c>
      <c r="K1603" t="str">
        <f t="shared" si="76"/>
        <v>2024-08</v>
      </c>
      <c r="L1603">
        <f t="shared" si="77"/>
        <v>0</v>
      </c>
    </row>
    <row r="1604" spans="1:12">
      <c r="A1604" t="s">
        <v>4657</v>
      </c>
      <c r="B1604" t="s">
        <v>4658</v>
      </c>
      <c r="C1604" t="s">
        <v>4659</v>
      </c>
      <c r="D1604" t="s">
        <v>23</v>
      </c>
      <c r="E1604" t="s">
        <v>16</v>
      </c>
      <c r="F1604" t="s">
        <v>29</v>
      </c>
      <c r="G1604" t="s">
        <v>31</v>
      </c>
      <c r="H1604">
        <f>Cleaned_Data!K1604</f>
        <v>3.25</v>
      </c>
      <c r="I1604" t="str">
        <f t="shared" si="75"/>
        <v>YES</v>
      </c>
      <c r="J1604">
        <f>Cleaned_Data!J1604</f>
        <v>24</v>
      </c>
      <c r="K1604" t="str">
        <f t="shared" si="76"/>
        <v>2024-04</v>
      </c>
      <c r="L1604">
        <f t="shared" si="77"/>
        <v>0</v>
      </c>
    </row>
    <row r="1605" spans="1:12">
      <c r="A1605" t="s">
        <v>4660</v>
      </c>
      <c r="B1605" t="s">
        <v>4661</v>
      </c>
      <c r="C1605" t="s">
        <v>4662</v>
      </c>
      <c r="D1605" t="s">
        <v>35</v>
      </c>
      <c r="E1605" t="s">
        <v>16</v>
      </c>
      <c r="F1605" t="s">
        <v>60</v>
      </c>
      <c r="G1605" t="s">
        <v>19</v>
      </c>
      <c r="H1605">
        <f>Cleaned_Data!K1605</f>
        <v>6.76</v>
      </c>
      <c r="I1605" t="str">
        <f t="shared" si="75"/>
        <v>YES</v>
      </c>
      <c r="J1605">
        <f>Cleaned_Data!J1605</f>
        <v>48</v>
      </c>
      <c r="K1605" t="str">
        <f t="shared" si="76"/>
        <v>2024-04</v>
      </c>
      <c r="L1605">
        <f t="shared" si="77"/>
        <v>0</v>
      </c>
    </row>
    <row r="1606" spans="1:12">
      <c r="A1606" t="s">
        <v>4663</v>
      </c>
      <c r="B1606" t="s">
        <v>4664</v>
      </c>
      <c r="C1606" t="s">
        <v>4665</v>
      </c>
      <c r="D1606" t="s">
        <v>23</v>
      </c>
      <c r="E1606" t="s">
        <v>28</v>
      </c>
      <c r="F1606" t="s">
        <v>60</v>
      </c>
      <c r="G1606" t="s">
        <v>31</v>
      </c>
      <c r="H1606">
        <f>Cleaned_Data!K1606</f>
        <v>11.25</v>
      </c>
      <c r="I1606" t="str">
        <f t="shared" si="75"/>
        <v>YES</v>
      </c>
      <c r="J1606">
        <f>Cleaned_Data!J1606</f>
        <v>24</v>
      </c>
      <c r="K1606" t="str">
        <f t="shared" si="76"/>
        <v>2024-04</v>
      </c>
      <c r="L1606">
        <f t="shared" si="77"/>
        <v>0</v>
      </c>
    </row>
    <row r="1607" spans="1:12">
      <c r="A1607" t="s">
        <v>4666</v>
      </c>
      <c r="B1607" t="s">
        <v>4667</v>
      </c>
      <c r="C1607" t="s">
        <v>4668</v>
      </c>
      <c r="D1607" t="s">
        <v>15</v>
      </c>
      <c r="E1607" t="s">
        <v>28</v>
      </c>
      <c r="F1607" t="s">
        <v>36</v>
      </c>
      <c r="G1607" t="s">
        <v>19</v>
      </c>
      <c r="H1607">
        <f>Cleaned_Data!K1607</f>
        <v>22.32</v>
      </c>
      <c r="I1607" t="str">
        <f t="shared" si="75"/>
        <v>NO</v>
      </c>
      <c r="J1607">
        <f>Cleaned_Data!J1607</f>
        <v>8</v>
      </c>
      <c r="K1607" t="str">
        <f t="shared" si="76"/>
        <v>2024-11</v>
      </c>
      <c r="L1607">
        <f t="shared" si="77"/>
        <v>14.32</v>
      </c>
    </row>
    <row r="1608" spans="1:12">
      <c r="A1608" t="s">
        <v>4669</v>
      </c>
      <c r="B1608" t="s">
        <v>4670</v>
      </c>
      <c r="C1608" t="s">
        <v>4671</v>
      </c>
      <c r="D1608" t="s">
        <v>23</v>
      </c>
      <c r="E1608" t="s">
        <v>28</v>
      </c>
      <c r="F1608" t="s">
        <v>60</v>
      </c>
      <c r="G1608" t="s">
        <v>31</v>
      </c>
      <c r="H1608">
        <f>Cleaned_Data!K1608</f>
        <v>10.18</v>
      </c>
      <c r="I1608" t="str">
        <f t="shared" si="75"/>
        <v>YES</v>
      </c>
      <c r="J1608">
        <f>Cleaned_Data!J1608</f>
        <v>24</v>
      </c>
      <c r="K1608" t="str">
        <f t="shared" si="76"/>
        <v>2024-01</v>
      </c>
      <c r="L1608">
        <f t="shared" si="77"/>
        <v>0</v>
      </c>
    </row>
    <row r="1609" spans="1:12">
      <c r="A1609" t="s">
        <v>4672</v>
      </c>
      <c r="B1609" t="s">
        <v>4673</v>
      </c>
      <c r="C1609" t="s">
        <v>4674</v>
      </c>
      <c r="D1609" t="s">
        <v>35</v>
      </c>
      <c r="E1609" t="s">
        <v>24</v>
      </c>
      <c r="F1609" t="s">
        <v>17</v>
      </c>
      <c r="G1609" t="s">
        <v>31</v>
      </c>
      <c r="H1609">
        <f>Cleaned_Data!K1609</f>
        <v>142.54</v>
      </c>
      <c r="I1609" t="str">
        <f t="shared" si="75"/>
        <v>NO</v>
      </c>
      <c r="J1609">
        <f>Cleaned_Data!J1609</f>
        <v>48</v>
      </c>
      <c r="K1609" t="str">
        <f t="shared" si="76"/>
        <v>2024-02</v>
      </c>
      <c r="L1609">
        <f t="shared" si="77"/>
        <v>94.539999999999992</v>
      </c>
    </row>
    <row r="1610" spans="1:12">
      <c r="A1610" t="s">
        <v>4675</v>
      </c>
      <c r="B1610" t="s">
        <v>4676</v>
      </c>
      <c r="C1610" t="s">
        <v>4677</v>
      </c>
      <c r="D1610" t="s">
        <v>15</v>
      </c>
      <c r="E1610" t="s">
        <v>59</v>
      </c>
      <c r="F1610" t="s">
        <v>41</v>
      </c>
      <c r="G1610" t="s">
        <v>19</v>
      </c>
      <c r="H1610">
        <f>Cleaned_Data!K1610</f>
        <v>5.03</v>
      </c>
      <c r="I1610" t="str">
        <f t="shared" si="75"/>
        <v>YES</v>
      </c>
      <c r="J1610">
        <f>Cleaned_Data!J1610</f>
        <v>8</v>
      </c>
      <c r="K1610" t="str">
        <f t="shared" si="76"/>
        <v>2024-11</v>
      </c>
      <c r="L1610">
        <f t="shared" si="77"/>
        <v>0</v>
      </c>
    </row>
    <row r="1611" spans="1:12">
      <c r="A1611" t="s">
        <v>4678</v>
      </c>
      <c r="B1611" t="s">
        <v>4679</v>
      </c>
      <c r="D1611" t="s">
        <v>23</v>
      </c>
      <c r="E1611" t="s">
        <v>54</v>
      </c>
      <c r="F1611" t="s">
        <v>29</v>
      </c>
      <c r="G1611" t="s">
        <v>63</v>
      </c>
      <c r="H1611">
        <f>Cleaned_Data!K1611</f>
        <v>0</v>
      </c>
      <c r="I1611" t="str">
        <f t="shared" si="75"/>
        <v/>
      </c>
      <c r="J1611">
        <f>Cleaned_Data!J1611</f>
        <v>24</v>
      </c>
      <c r="K1611" t="str">
        <f t="shared" si="76"/>
        <v>2024-12</v>
      </c>
      <c r="L1611">
        <f t="shared" si="77"/>
        <v>0</v>
      </c>
    </row>
    <row r="1612" spans="1:12">
      <c r="A1612" t="s">
        <v>4680</v>
      </c>
      <c r="B1612" t="s">
        <v>4681</v>
      </c>
      <c r="C1612" t="s">
        <v>4682</v>
      </c>
      <c r="D1612" t="s">
        <v>23</v>
      </c>
      <c r="E1612" t="s">
        <v>28</v>
      </c>
      <c r="F1612" t="s">
        <v>36</v>
      </c>
      <c r="G1612" t="s">
        <v>31</v>
      </c>
      <c r="H1612">
        <f>Cleaned_Data!K1612</f>
        <v>19.59</v>
      </c>
      <c r="I1612" t="str">
        <f t="shared" si="75"/>
        <v>YES</v>
      </c>
      <c r="J1612">
        <f>Cleaned_Data!J1612</f>
        <v>24</v>
      </c>
      <c r="K1612" t="str">
        <f t="shared" si="76"/>
        <v>2024-09</v>
      </c>
      <c r="L1612">
        <f t="shared" si="77"/>
        <v>0</v>
      </c>
    </row>
    <row r="1613" spans="1:12">
      <c r="A1613" t="s">
        <v>4683</v>
      </c>
      <c r="B1613" t="s">
        <v>4684</v>
      </c>
      <c r="C1613" t="s">
        <v>4685</v>
      </c>
      <c r="D1613" t="s">
        <v>23</v>
      </c>
      <c r="E1613" t="s">
        <v>54</v>
      </c>
      <c r="F1613" t="s">
        <v>41</v>
      </c>
      <c r="G1613" t="s">
        <v>31</v>
      </c>
      <c r="H1613">
        <f>Cleaned_Data!K1613</f>
        <v>15.92</v>
      </c>
      <c r="I1613" t="str">
        <f t="shared" si="75"/>
        <v>YES</v>
      </c>
      <c r="J1613">
        <f>Cleaned_Data!J1613</f>
        <v>24</v>
      </c>
      <c r="K1613" t="str">
        <f t="shared" si="76"/>
        <v>2024-10</v>
      </c>
      <c r="L1613">
        <f t="shared" si="77"/>
        <v>0</v>
      </c>
    </row>
    <row r="1614" spans="1:12">
      <c r="A1614" t="s">
        <v>4686</v>
      </c>
      <c r="B1614" t="s">
        <v>4687</v>
      </c>
      <c r="C1614" t="s">
        <v>4688</v>
      </c>
      <c r="D1614" t="s">
        <v>15</v>
      </c>
      <c r="E1614" t="s">
        <v>24</v>
      </c>
      <c r="F1614" t="s">
        <v>41</v>
      </c>
      <c r="G1614" t="s">
        <v>19</v>
      </c>
      <c r="H1614">
        <f>Cleaned_Data!K1614</f>
        <v>7.22</v>
      </c>
      <c r="I1614" t="str">
        <f t="shared" si="75"/>
        <v>YES</v>
      </c>
      <c r="J1614">
        <f>Cleaned_Data!J1614</f>
        <v>8</v>
      </c>
      <c r="K1614" t="str">
        <f t="shared" si="76"/>
        <v>2024-09</v>
      </c>
      <c r="L1614">
        <f t="shared" si="77"/>
        <v>0</v>
      </c>
    </row>
    <row r="1615" spans="1:12">
      <c r="A1615" t="s">
        <v>4689</v>
      </c>
      <c r="B1615" t="s">
        <v>4690</v>
      </c>
      <c r="C1615" t="s">
        <v>4691</v>
      </c>
      <c r="D1615" t="s">
        <v>23</v>
      </c>
      <c r="E1615" t="s">
        <v>54</v>
      </c>
      <c r="F1615" t="s">
        <v>29</v>
      </c>
      <c r="G1615" t="s">
        <v>19</v>
      </c>
      <c r="H1615">
        <f>Cleaned_Data!K1615</f>
        <v>37.44</v>
      </c>
      <c r="I1615" t="str">
        <f t="shared" si="75"/>
        <v>NO</v>
      </c>
      <c r="J1615">
        <f>Cleaned_Data!J1615</f>
        <v>24</v>
      </c>
      <c r="K1615" t="str">
        <f t="shared" si="76"/>
        <v>2024-09</v>
      </c>
      <c r="L1615">
        <f t="shared" si="77"/>
        <v>13.439999999999998</v>
      </c>
    </row>
    <row r="1616" spans="1:12">
      <c r="A1616" t="s">
        <v>4692</v>
      </c>
      <c r="B1616" t="s">
        <v>4693</v>
      </c>
      <c r="C1616" t="s">
        <v>4694</v>
      </c>
      <c r="D1616" t="s">
        <v>35</v>
      </c>
      <c r="E1616" t="s">
        <v>16</v>
      </c>
      <c r="F1616" t="s">
        <v>36</v>
      </c>
      <c r="G1616" t="s">
        <v>31</v>
      </c>
      <c r="H1616">
        <f>Cleaned_Data!K1616</f>
        <v>25.94</v>
      </c>
      <c r="I1616" t="str">
        <f t="shared" si="75"/>
        <v>YES</v>
      </c>
      <c r="J1616">
        <f>Cleaned_Data!J1616</f>
        <v>48</v>
      </c>
      <c r="K1616" t="str">
        <f t="shared" si="76"/>
        <v>2024-06</v>
      </c>
      <c r="L1616">
        <f t="shared" si="77"/>
        <v>0</v>
      </c>
    </row>
    <row r="1617" spans="1:12">
      <c r="A1617" t="s">
        <v>4695</v>
      </c>
      <c r="B1617" t="s">
        <v>4696</v>
      </c>
      <c r="C1617" t="s">
        <v>4697</v>
      </c>
      <c r="D1617" t="s">
        <v>15</v>
      </c>
      <c r="E1617" t="s">
        <v>59</v>
      </c>
      <c r="F1617" t="s">
        <v>41</v>
      </c>
      <c r="G1617" t="s">
        <v>19</v>
      </c>
      <c r="H1617">
        <f>Cleaned_Data!K1617</f>
        <v>1.26</v>
      </c>
      <c r="I1617" t="str">
        <f t="shared" si="75"/>
        <v>YES</v>
      </c>
      <c r="J1617">
        <f>Cleaned_Data!J1617</f>
        <v>8</v>
      </c>
      <c r="K1617" t="str">
        <f t="shared" si="76"/>
        <v>2024-07</v>
      </c>
      <c r="L1617">
        <f t="shared" si="77"/>
        <v>0</v>
      </c>
    </row>
    <row r="1618" spans="1:12">
      <c r="A1618" t="s">
        <v>4698</v>
      </c>
      <c r="B1618" t="s">
        <v>4699</v>
      </c>
      <c r="C1618" t="s">
        <v>4700</v>
      </c>
      <c r="D1618" t="s">
        <v>23</v>
      </c>
      <c r="E1618" t="s">
        <v>24</v>
      </c>
      <c r="F1618" t="s">
        <v>60</v>
      </c>
      <c r="G1618" t="s">
        <v>31</v>
      </c>
      <c r="H1618">
        <f>Cleaned_Data!K1618</f>
        <v>22.28</v>
      </c>
      <c r="I1618" t="str">
        <f t="shared" si="75"/>
        <v>YES</v>
      </c>
      <c r="J1618">
        <f>Cleaned_Data!J1618</f>
        <v>24</v>
      </c>
      <c r="K1618" t="str">
        <f t="shared" si="76"/>
        <v>2024-05</v>
      </c>
      <c r="L1618">
        <f t="shared" si="77"/>
        <v>0</v>
      </c>
    </row>
    <row r="1619" spans="1:12">
      <c r="A1619" t="s">
        <v>4701</v>
      </c>
      <c r="B1619" t="s">
        <v>4702</v>
      </c>
      <c r="C1619" t="s">
        <v>4703</v>
      </c>
      <c r="D1619" t="s">
        <v>15</v>
      </c>
      <c r="E1619" t="s">
        <v>54</v>
      </c>
      <c r="F1619" t="s">
        <v>17</v>
      </c>
      <c r="G1619" t="s">
        <v>31</v>
      </c>
      <c r="H1619">
        <f>Cleaned_Data!K1619</f>
        <v>1.99</v>
      </c>
      <c r="I1619" t="str">
        <f t="shared" si="75"/>
        <v>YES</v>
      </c>
      <c r="J1619">
        <f>Cleaned_Data!J1619</f>
        <v>8</v>
      </c>
      <c r="K1619" t="str">
        <f t="shared" si="76"/>
        <v>2024-10</v>
      </c>
      <c r="L1619">
        <f t="shared" si="77"/>
        <v>0</v>
      </c>
    </row>
    <row r="1620" spans="1:12">
      <c r="A1620" t="s">
        <v>4704</v>
      </c>
      <c r="B1620" t="s">
        <v>4705</v>
      </c>
      <c r="C1620" t="s">
        <v>4706</v>
      </c>
      <c r="D1620" t="s">
        <v>23</v>
      </c>
      <c r="E1620" t="s">
        <v>24</v>
      </c>
      <c r="F1620" t="s">
        <v>17</v>
      </c>
      <c r="G1620" t="s">
        <v>19</v>
      </c>
      <c r="H1620">
        <f>Cleaned_Data!K1620</f>
        <v>15.2</v>
      </c>
      <c r="I1620" t="str">
        <f t="shared" si="75"/>
        <v>YES</v>
      </c>
      <c r="J1620">
        <f>Cleaned_Data!J1620</f>
        <v>24</v>
      </c>
      <c r="K1620" t="str">
        <f t="shared" si="76"/>
        <v>2024-12</v>
      </c>
      <c r="L1620">
        <f t="shared" si="77"/>
        <v>0</v>
      </c>
    </row>
    <row r="1621" spans="1:12">
      <c r="A1621" t="s">
        <v>4707</v>
      </c>
      <c r="B1621" t="s">
        <v>4708</v>
      </c>
      <c r="C1621" t="s">
        <v>4709</v>
      </c>
      <c r="D1621" t="s">
        <v>23</v>
      </c>
      <c r="E1621" t="s">
        <v>16</v>
      </c>
      <c r="F1621" t="s">
        <v>36</v>
      </c>
      <c r="G1621" t="s">
        <v>31</v>
      </c>
      <c r="H1621">
        <f>Cleaned_Data!K1621</f>
        <v>5.69</v>
      </c>
      <c r="I1621" t="str">
        <f t="shared" si="75"/>
        <v>YES</v>
      </c>
      <c r="J1621">
        <f>Cleaned_Data!J1621</f>
        <v>24</v>
      </c>
      <c r="K1621" t="str">
        <f t="shared" si="76"/>
        <v>2024-10</v>
      </c>
      <c r="L1621">
        <f t="shared" si="77"/>
        <v>0</v>
      </c>
    </row>
    <row r="1622" spans="1:12">
      <c r="A1622" t="s">
        <v>4710</v>
      </c>
      <c r="B1622" t="s">
        <v>4711</v>
      </c>
      <c r="C1622" t="s">
        <v>4712</v>
      </c>
      <c r="D1622" t="s">
        <v>158</v>
      </c>
      <c r="E1622" t="s">
        <v>59</v>
      </c>
      <c r="F1622" t="s">
        <v>41</v>
      </c>
      <c r="G1622" t="s">
        <v>19</v>
      </c>
      <c r="H1622">
        <f>Cleaned_Data!K1622</f>
        <v>0.98</v>
      </c>
      <c r="I1622" t="str">
        <f t="shared" si="75"/>
        <v>YES</v>
      </c>
      <c r="J1622">
        <f>Cleaned_Data!J1622</f>
        <v>4</v>
      </c>
      <c r="K1622" t="str">
        <f t="shared" si="76"/>
        <v>2024-05</v>
      </c>
      <c r="L1622">
        <f t="shared" si="77"/>
        <v>0</v>
      </c>
    </row>
    <row r="1623" spans="1:12">
      <c r="A1623" t="s">
        <v>4713</v>
      </c>
      <c r="B1623" t="s">
        <v>4714</v>
      </c>
      <c r="C1623" t="s">
        <v>4715</v>
      </c>
      <c r="D1623" t="s">
        <v>158</v>
      </c>
      <c r="E1623" t="s">
        <v>59</v>
      </c>
      <c r="F1623" t="s">
        <v>17</v>
      </c>
      <c r="G1623" t="s">
        <v>19</v>
      </c>
      <c r="H1623">
        <f>Cleaned_Data!K1623</f>
        <v>3.17</v>
      </c>
      <c r="I1623" t="str">
        <f t="shared" si="75"/>
        <v>YES</v>
      </c>
      <c r="J1623">
        <f>Cleaned_Data!J1623</f>
        <v>4</v>
      </c>
      <c r="K1623" t="str">
        <f t="shared" si="76"/>
        <v>2024-05</v>
      </c>
      <c r="L1623">
        <f t="shared" si="77"/>
        <v>0</v>
      </c>
    </row>
    <row r="1624" spans="1:12">
      <c r="A1624" t="s">
        <v>4716</v>
      </c>
      <c r="B1624" t="s">
        <v>4717</v>
      </c>
      <c r="C1624" t="s">
        <v>4718</v>
      </c>
      <c r="D1624" t="s">
        <v>35</v>
      </c>
      <c r="E1624" t="s">
        <v>16</v>
      </c>
      <c r="F1624" t="s">
        <v>36</v>
      </c>
      <c r="G1624" t="s">
        <v>19</v>
      </c>
      <c r="H1624">
        <f>Cleaned_Data!K1624</f>
        <v>38.42</v>
      </c>
      <c r="I1624" t="str">
        <f t="shared" si="75"/>
        <v>YES</v>
      </c>
      <c r="J1624">
        <f>Cleaned_Data!J1624</f>
        <v>48</v>
      </c>
      <c r="K1624" t="str">
        <f t="shared" si="76"/>
        <v>2024-02</v>
      </c>
      <c r="L1624">
        <f t="shared" si="77"/>
        <v>0</v>
      </c>
    </row>
    <row r="1625" spans="1:12">
      <c r="A1625" t="s">
        <v>4719</v>
      </c>
      <c r="B1625" t="s">
        <v>4720</v>
      </c>
      <c r="C1625" t="s">
        <v>4721</v>
      </c>
      <c r="D1625" t="s">
        <v>23</v>
      </c>
      <c r="E1625" t="s">
        <v>28</v>
      </c>
      <c r="F1625" t="s">
        <v>60</v>
      </c>
      <c r="G1625" t="s">
        <v>19</v>
      </c>
      <c r="H1625">
        <f>Cleaned_Data!K1625</f>
        <v>16.329999999999998</v>
      </c>
      <c r="I1625" t="str">
        <f t="shared" si="75"/>
        <v>YES</v>
      </c>
      <c r="J1625">
        <f>Cleaned_Data!J1625</f>
        <v>24</v>
      </c>
      <c r="K1625" t="str">
        <f t="shared" si="76"/>
        <v>2024-08</v>
      </c>
      <c r="L1625">
        <f t="shared" si="77"/>
        <v>0</v>
      </c>
    </row>
    <row r="1626" spans="1:12">
      <c r="A1626" t="s">
        <v>4722</v>
      </c>
      <c r="B1626" t="s">
        <v>4723</v>
      </c>
      <c r="C1626" t="s">
        <v>4724</v>
      </c>
      <c r="D1626" t="s">
        <v>35</v>
      </c>
      <c r="E1626" t="s">
        <v>54</v>
      </c>
      <c r="F1626" t="s">
        <v>41</v>
      </c>
      <c r="G1626" t="s">
        <v>19</v>
      </c>
      <c r="H1626">
        <f>Cleaned_Data!K1626</f>
        <v>71.349999999999994</v>
      </c>
      <c r="I1626" t="str">
        <f t="shared" si="75"/>
        <v>NO</v>
      </c>
      <c r="J1626">
        <f>Cleaned_Data!J1626</f>
        <v>48</v>
      </c>
      <c r="K1626" t="str">
        <f t="shared" si="76"/>
        <v>2024-05</v>
      </c>
      <c r="L1626">
        <f t="shared" si="77"/>
        <v>23.349999999999994</v>
      </c>
    </row>
    <row r="1627" spans="1:12">
      <c r="A1627" t="s">
        <v>4725</v>
      </c>
      <c r="B1627" t="s">
        <v>4726</v>
      </c>
      <c r="C1627" t="s">
        <v>4727</v>
      </c>
      <c r="D1627" t="s">
        <v>15</v>
      </c>
      <c r="E1627" t="s">
        <v>59</v>
      </c>
      <c r="F1627" t="s">
        <v>29</v>
      </c>
      <c r="G1627" t="s">
        <v>19</v>
      </c>
      <c r="H1627">
        <f>Cleaned_Data!K1627</f>
        <v>6.28</v>
      </c>
      <c r="I1627" t="str">
        <f t="shared" si="75"/>
        <v>YES</v>
      </c>
      <c r="J1627">
        <f>Cleaned_Data!J1627</f>
        <v>8</v>
      </c>
      <c r="K1627" t="str">
        <f t="shared" si="76"/>
        <v>2024-10</v>
      </c>
      <c r="L1627">
        <f t="shared" si="77"/>
        <v>0</v>
      </c>
    </row>
    <row r="1628" spans="1:12">
      <c r="A1628" t="s">
        <v>4728</v>
      </c>
      <c r="B1628" t="s">
        <v>4729</v>
      </c>
      <c r="C1628" t="s">
        <v>4730</v>
      </c>
      <c r="D1628" t="s">
        <v>23</v>
      </c>
      <c r="E1628" t="s">
        <v>16</v>
      </c>
      <c r="F1628" t="s">
        <v>17</v>
      </c>
      <c r="G1628" t="s">
        <v>19</v>
      </c>
      <c r="H1628">
        <f>Cleaned_Data!K1628</f>
        <v>6.64</v>
      </c>
      <c r="I1628" t="str">
        <f t="shared" si="75"/>
        <v>YES</v>
      </c>
      <c r="J1628">
        <f>Cleaned_Data!J1628</f>
        <v>24</v>
      </c>
      <c r="K1628" t="str">
        <f t="shared" si="76"/>
        <v>2024-06</v>
      </c>
      <c r="L1628">
        <f t="shared" si="77"/>
        <v>0</v>
      </c>
    </row>
    <row r="1629" spans="1:12">
      <c r="A1629" t="s">
        <v>4731</v>
      </c>
      <c r="B1629" t="s">
        <v>4732</v>
      </c>
      <c r="C1629" t="s">
        <v>4733</v>
      </c>
      <c r="D1629" t="s">
        <v>23</v>
      </c>
      <c r="E1629" t="s">
        <v>16</v>
      </c>
      <c r="F1629" t="s">
        <v>41</v>
      </c>
      <c r="G1629" t="s">
        <v>19</v>
      </c>
      <c r="H1629">
        <f>Cleaned_Data!K1629</f>
        <v>15.97</v>
      </c>
      <c r="I1629" t="str">
        <f t="shared" si="75"/>
        <v>YES</v>
      </c>
      <c r="J1629">
        <f>Cleaned_Data!J1629</f>
        <v>24</v>
      </c>
      <c r="K1629" t="str">
        <f t="shared" si="76"/>
        <v>2024-12</v>
      </c>
      <c r="L1629">
        <f t="shared" si="77"/>
        <v>0</v>
      </c>
    </row>
    <row r="1630" spans="1:12">
      <c r="A1630" t="s">
        <v>4734</v>
      </c>
      <c r="B1630" t="s">
        <v>4735</v>
      </c>
      <c r="C1630" t="s">
        <v>4736</v>
      </c>
      <c r="D1630" t="s">
        <v>15</v>
      </c>
      <c r="E1630" t="s">
        <v>28</v>
      </c>
      <c r="F1630" t="s">
        <v>17</v>
      </c>
      <c r="G1630" t="s">
        <v>19</v>
      </c>
      <c r="H1630">
        <f>Cleaned_Data!K1630</f>
        <v>18.690000000000001</v>
      </c>
      <c r="I1630" t="str">
        <f t="shared" si="75"/>
        <v>NO</v>
      </c>
      <c r="J1630">
        <f>Cleaned_Data!J1630</f>
        <v>8</v>
      </c>
      <c r="K1630" t="str">
        <f t="shared" si="76"/>
        <v>2024-07</v>
      </c>
      <c r="L1630">
        <f t="shared" si="77"/>
        <v>10.690000000000001</v>
      </c>
    </row>
    <row r="1631" spans="1:12">
      <c r="A1631" t="s">
        <v>4737</v>
      </c>
      <c r="B1631" t="s">
        <v>4738</v>
      </c>
      <c r="C1631" t="s">
        <v>4739</v>
      </c>
      <c r="D1631" t="s">
        <v>23</v>
      </c>
      <c r="E1631" t="s">
        <v>16</v>
      </c>
      <c r="F1631" t="s">
        <v>41</v>
      </c>
      <c r="G1631" t="s">
        <v>31</v>
      </c>
      <c r="H1631">
        <f>Cleaned_Data!K1631</f>
        <v>5.28</v>
      </c>
      <c r="I1631" t="str">
        <f t="shared" si="75"/>
        <v>YES</v>
      </c>
      <c r="J1631">
        <f>Cleaned_Data!J1631</f>
        <v>24</v>
      </c>
      <c r="K1631" t="str">
        <f t="shared" si="76"/>
        <v>2024-12</v>
      </c>
      <c r="L1631">
        <f t="shared" si="77"/>
        <v>0</v>
      </c>
    </row>
    <row r="1632" spans="1:12">
      <c r="A1632" t="s">
        <v>4740</v>
      </c>
      <c r="B1632" t="s">
        <v>4741</v>
      </c>
      <c r="C1632" t="s">
        <v>4742</v>
      </c>
      <c r="D1632" t="s">
        <v>23</v>
      </c>
      <c r="E1632" t="s">
        <v>59</v>
      </c>
      <c r="F1632" t="s">
        <v>60</v>
      </c>
      <c r="G1632" t="s">
        <v>19</v>
      </c>
      <c r="H1632">
        <f>Cleaned_Data!K1632</f>
        <v>13.65</v>
      </c>
      <c r="I1632" t="str">
        <f t="shared" si="75"/>
        <v>YES</v>
      </c>
      <c r="J1632">
        <f>Cleaned_Data!J1632</f>
        <v>24</v>
      </c>
      <c r="K1632" t="str">
        <f t="shared" si="76"/>
        <v>2024-09</v>
      </c>
      <c r="L1632">
        <f t="shared" si="77"/>
        <v>0</v>
      </c>
    </row>
    <row r="1633" spans="1:12">
      <c r="A1633" t="s">
        <v>4743</v>
      </c>
      <c r="B1633" t="s">
        <v>4744</v>
      </c>
      <c r="C1633" t="s">
        <v>4745</v>
      </c>
      <c r="D1633" t="s">
        <v>35</v>
      </c>
      <c r="E1633" t="s">
        <v>28</v>
      </c>
      <c r="F1633" t="s">
        <v>41</v>
      </c>
      <c r="G1633" t="s">
        <v>31</v>
      </c>
      <c r="H1633">
        <f>Cleaned_Data!K1633</f>
        <v>32.01</v>
      </c>
      <c r="I1633" t="str">
        <f t="shared" si="75"/>
        <v>YES</v>
      </c>
      <c r="J1633">
        <f>Cleaned_Data!J1633</f>
        <v>48</v>
      </c>
      <c r="K1633" t="str">
        <f t="shared" si="76"/>
        <v>2024-05</v>
      </c>
      <c r="L1633">
        <f t="shared" si="77"/>
        <v>0</v>
      </c>
    </row>
    <row r="1634" spans="1:12">
      <c r="A1634" t="s">
        <v>4746</v>
      </c>
      <c r="B1634" t="s">
        <v>4747</v>
      </c>
      <c r="C1634" t="s">
        <v>4748</v>
      </c>
      <c r="D1634" t="s">
        <v>23</v>
      </c>
      <c r="E1634" t="s">
        <v>54</v>
      </c>
      <c r="F1634" t="s">
        <v>41</v>
      </c>
      <c r="G1634" t="s">
        <v>31</v>
      </c>
      <c r="H1634">
        <f>Cleaned_Data!K1634</f>
        <v>10.79</v>
      </c>
      <c r="I1634" t="str">
        <f t="shared" si="75"/>
        <v>YES</v>
      </c>
      <c r="J1634">
        <f>Cleaned_Data!J1634</f>
        <v>24</v>
      </c>
      <c r="K1634" t="str">
        <f t="shared" si="76"/>
        <v>2024-10</v>
      </c>
      <c r="L1634">
        <f t="shared" si="77"/>
        <v>0</v>
      </c>
    </row>
    <row r="1635" spans="1:12">
      <c r="A1635" t="s">
        <v>4749</v>
      </c>
      <c r="B1635" t="s">
        <v>4750</v>
      </c>
      <c r="C1635" t="s">
        <v>4751</v>
      </c>
      <c r="D1635" t="s">
        <v>23</v>
      </c>
      <c r="E1635" t="s">
        <v>16</v>
      </c>
      <c r="F1635" t="s">
        <v>41</v>
      </c>
      <c r="G1635" t="s">
        <v>31</v>
      </c>
      <c r="H1635">
        <f>Cleaned_Data!K1635</f>
        <v>13.22</v>
      </c>
      <c r="I1635" t="str">
        <f t="shared" si="75"/>
        <v>YES</v>
      </c>
      <c r="J1635">
        <f>Cleaned_Data!J1635</f>
        <v>24</v>
      </c>
      <c r="K1635" t="str">
        <f t="shared" si="76"/>
        <v>2024-12</v>
      </c>
      <c r="L1635">
        <f t="shared" si="77"/>
        <v>0</v>
      </c>
    </row>
    <row r="1636" spans="1:12">
      <c r="A1636" t="s">
        <v>4752</v>
      </c>
      <c r="B1636" t="s">
        <v>4753</v>
      </c>
      <c r="C1636" t="s">
        <v>4754</v>
      </c>
      <c r="D1636" t="s">
        <v>23</v>
      </c>
      <c r="E1636" t="s">
        <v>28</v>
      </c>
      <c r="F1636" t="s">
        <v>36</v>
      </c>
      <c r="G1636" t="s">
        <v>19</v>
      </c>
      <c r="H1636">
        <f>Cleaned_Data!K1636</f>
        <v>27.67</v>
      </c>
      <c r="I1636" t="str">
        <f t="shared" si="75"/>
        <v>NO</v>
      </c>
      <c r="J1636">
        <f>Cleaned_Data!J1636</f>
        <v>24</v>
      </c>
      <c r="K1636" t="str">
        <f t="shared" si="76"/>
        <v>2024-01</v>
      </c>
      <c r="L1636">
        <f t="shared" si="77"/>
        <v>3.6700000000000017</v>
      </c>
    </row>
    <row r="1637" spans="1:12">
      <c r="A1637" t="s">
        <v>4755</v>
      </c>
      <c r="B1637" t="s">
        <v>4756</v>
      </c>
      <c r="C1637" t="s">
        <v>4757</v>
      </c>
      <c r="D1637" t="s">
        <v>35</v>
      </c>
      <c r="E1637" t="s">
        <v>28</v>
      </c>
      <c r="F1637" t="s">
        <v>17</v>
      </c>
      <c r="G1637" t="s">
        <v>19</v>
      </c>
      <c r="H1637">
        <f>Cleaned_Data!K1637</f>
        <v>30.23</v>
      </c>
      <c r="I1637" t="str">
        <f t="shared" si="75"/>
        <v>YES</v>
      </c>
      <c r="J1637">
        <f>Cleaned_Data!J1637</f>
        <v>48</v>
      </c>
      <c r="K1637" t="str">
        <f t="shared" si="76"/>
        <v>2024-05</v>
      </c>
      <c r="L1637">
        <f t="shared" si="77"/>
        <v>0</v>
      </c>
    </row>
    <row r="1638" spans="1:12">
      <c r="A1638" t="s">
        <v>4758</v>
      </c>
      <c r="B1638" t="s">
        <v>4759</v>
      </c>
      <c r="C1638" t="s">
        <v>4760</v>
      </c>
      <c r="D1638" t="s">
        <v>35</v>
      </c>
      <c r="E1638" t="s">
        <v>28</v>
      </c>
      <c r="F1638" t="s">
        <v>17</v>
      </c>
      <c r="G1638" t="s">
        <v>19</v>
      </c>
      <c r="H1638">
        <f>Cleaned_Data!K1638</f>
        <v>11.32</v>
      </c>
      <c r="I1638" t="str">
        <f t="shared" si="75"/>
        <v>YES</v>
      </c>
      <c r="J1638">
        <f>Cleaned_Data!J1638</f>
        <v>48</v>
      </c>
      <c r="K1638" t="str">
        <f t="shared" si="76"/>
        <v>2024-12</v>
      </c>
      <c r="L1638">
        <f t="shared" si="77"/>
        <v>0</v>
      </c>
    </row>
    <row r="1639" spans="1:12">
      <c r="A1639" t="s">
        <v>4761</v>
      </c>
      <c r="B1639" t="s">
        <v>4762</v>
      </c>
      <c r="C1639" t="s">
        <v>4763</v>
      </c>
      <c r="D1639" t="s">
        <v>23</v>
      </c>
      <c r="E1639" t="s">
        <v>28</v>
      </c>
      <c r="F1639" t="s">
        <v>60</v>
      </c>
      <c r="G1639" t="s">
        <v>19</v>
      </c>
      <c r="H1639">
        <f>Cleaned_Data!K1639</f>
        <v>11.98</v>
      </c>
      <c r="I1639" t="str">
        <f t="shared" si="75"/>
        <v>YES</v>
      </c>
      <c r="J1639">
        <f>Cleaned_Data!J1639</f>
        <v>24</v>
      </c>
      <c r="K1639" t="str">
        <f t="shared" si="76"/>
        <v>2024-03</v>
      </c>
      <c r="L1639">
        <f t="shared" si="77"/>
        <v>0</v>
      </c>
    </row>
    <row r="1640" spans="1:12">
      <c r="A1640" t="s">
        <v>4764</v>
      </c>
      <c r="B1640" t="s">
        <v>4765</v>
      </c>
      <c r="D1640" t="s">
        <v>35</v>
      </c>
      <c r="E1640" t="s">
        <v>28</v>
      </c>
      <c r="F1640" t="s">
        <v>36</v>
      </c>
      <c r="G1640" t="s">
        <v>63</v>
      </c>
      <c r="H1640">
        <f>Cleaned_Data!K1640</f>
        <v>0</v>
      </c>
      <c r="I1640" t="str">
        <f t="shared" si="75"/>
        <v/>
      </c>
      <c r="J1640">
        <f>Cleaned_Data!J1640</f>
        <v>48</v>
      </c>
      <c r="K1640" t="str">
        <f t="shared" si="76"/>
        <v>2024-09</v>
      </c>
      <c r="L1640">
        <f t="shared" si="77"/>
        <v>0</v>
      </c>
    </row>
    <row r="1641" spans="1:12">
      <c r="A1641" t="s">
        <v>4766</v>
      </c>
      <c r="B1641" t="s">
        <v>4767</v>
      </c>
      <c r="C1641" t="s">
        <v>4768</v>
      </c>
      <c r="D1641" t="s">
        <v>23</v>
      </c>
      <c r="E1641" t="s">
        <v>16</v>
      </c>
      <c r="F1641" t="s">
        <v>17</v>
      </c>
      <c r="G1641" t="s">
        <v>19</v>
      </c>
      <c r="H1641">
        <f>Cleaned_Data!K1641</f>
        <v>18.05</v>
      </c>
      <c r="I1641" t="str">
        <f t="shared" si="75"/>
        <v>YES</v>
      </c>
      <c r="J1641">
        <f>Cleaned_Data!J1641</f>
        <v>24</v>
      </c>
      <c r="K1641" t="str">
        <f t="shared" si="76"/>
        <v>2024-12</v>
      </c>
      <c r="L1641">
        <f t="shared" si="77"/>
        <v>0</v>
      </c>
    </row>
    <row r="1642" spans="1:12">
      <c r="A1642" t="s">
        <v>4769</v>
      </c>
      <c r="B1642" t="s">
        <v>4770</v>
      </c>
      <c r="C1642" t="s">
        <v>4771</v>
      </c>
      <c r="D1642" t="s">
        <v>23</v>
      </c>
      <c r="E1642" t="s">
        <v>28</v>
      </c>
      <c r="F1642" t="s">
        <v>60</v>
      </c>
      <c r="G1642" t="s">
        <v>19</v>
      </c>
      <c r="H1642">
        <f>Cleaned_Data!K1642</f>
        <v>12.43</v>
      </c>
      <c r="I1642" t="str">
        <f t="shared" si="75"/>
        <v>YES</v>
      </c>
      <c r="J1642">
        <f>Cleaned_Data!J1642</f>
        <v>24</v>
      </c>
      <c r="K1642" t="str">
        <f t="shared" si="76"/>
        <v>2024-11</v>
      </c>
      <c r="L1642">
        <f t="shared" si="77"/>
        <v>0</v>
      </c>
    </row>
    <row r="1643" spans="1:12">
      <c r="A1643" t="s">
        <v>4772</v>
      </c>
      <c r="B1643" t="s">
        <v>4773</v>
      </c>
      <c r="C1643" t="s">
        <v>4774</v>
      </c>
      <c r="D1643" t="s">
        <v>35</v>
      </c>
      <c r="E1643" t="s">
        <v>59</v>
      </c>
      <c r="F1643" t="s">
        <v>29</v>
      </c>
      <c r="G1643" t="s">
        <v>19</v>
      </c>
      <c r="H1643">
        <f>Cleaned_Data!K1643</f>
        <v>32.44</v>
      </c>
      <c r="I1643" t="str">
        <f t="shared" si="75"/>
        <v>YES</v>
      </c>
      <c r="J1643">
        <f>Cleaned_Data!J1643</f>
        <v>48</v>
      </c>
      <c r="K1643" t="str">
        <f t="shared" si="76"/>
        <v>2024-05</v>
      </c>
      <c r="L1643">
        <f t="shared" si="77"/>
        <v>0</v>
      </c>
    </row>
    <row r="1644" spans="1:12">
      <c r="A1644" t="s">
        <v>4775</v>
      </c>
      <c r="B1644" t="s">
        <v>4776</v>
      </c>
      <c r="C1644" t="s">
        <v>4777</v>
      </c>
      <c r="D1644" t="s">
        <v>35</v>
      </c>
      <c r="E1644" t="s">
        <v>16</v>
      </c>
      <c r="F1644" t="s">
        <v>17</v>
      </c>
      <c r="G1644" t="s">
        <v>19</v>
      </c>
      <c r="H1644">
        <f>Cleaned_Data!K1644</f>
        <v>43.51</v>
      </c>
      <c r="I1644" t="str">
        <f t="shared" si="75"/>
        <v>YES</v>
      </c>
      <c r="J1644">
        <f>Cleaned_Data!J1644</f>
        <v>48</v>
      </c>
      <c r="K1644" t="str">
        <f t="shared" si="76"/>
        <v>2024-02</v>
      </c>
      <c r="L1644">
        <f t="shared" si="77"/>
        <v>0</v>
      </c>
    </row>
    <row r="1645" spans="1:12">
      <c r="A1645" t="s">
        <v>4778</v>
      </c>
      <c r="B1645" t="s">
        <v>4779</v>
      </c>
      <c r="C1645" t="s">
        <v>4780</v>
      </c>
      <c r="D1645" t="s">
        <v>35</v>
      </c>
      <c r="E1645" t="s">
        <v>28</v>
      </c>
      <c r="F1645" t="s">
        <v>60</v>
      </c>
      <c r="G1645" t="s">
        <v>19</v>
      </c>
      <c r="H1645">
        <f>Cleaned_Data!K1645</f>
        <v>39.53</v>
      </c>
      <c r="I1645" t="str">
        <f t="shared" si="75"/>
        <v>YES</v>
      </c>
      <c r="J1645">
        <f>Cleaned_Data!J1645</f>
        <v>48</v>
      </c>
      <c r="K1645" t="str">
        <f t="shared" si="76"/>
        <v>2024-08</v>
      </c>
      <c r="L1645">
        <f t="shared" si="77"/>
        <v>0</v>
      </c>
    </row>
    <row r="1646" spans="1:12">
      <c r="A1646" t="s">
        <v>4781</v>
      </c>
      <c r="B1646" t="s">
        <v>4782</v>
      </c>
      <c r="C1646" t="s">
        <v>4783</v>
      </c>
      <c r="D1646" t="s">
        <v>35</v>
      </c>
      <c r="E1646" t="s">
        <v>59</v>
      </c>
      <c r="F1646" t="s">
        <v>36</v>
      </c>
      <c r="G1646" t="s">
        <v>19</v>
      </c>
      <c r="H1646">
        <f>Cleaned_Data!K1646</f>
        <v>31.3</v>
      </c>
      <c r="I1646" t="str">
        <f t="shared" si="75"/>
        <v>YES</v>
      </c>
      <c r="J1646">
        <f>Cleaned_Data!J1646</f>
        <v>48</v>
      </c>
      <c r="K1646" t="str">
        <f t="shared" si="76"/>
        <v>2024-04</v>
      </c>
      <c r="L1646">
        <f t="shared" si="77"/>
        <v>0</v>
      </c>
    </row>
    <row r="1647" spans="1:12">
      <c r="A1647" t="s">
        <v>4784</v>
      </c>
      <c r="B1647" t="s">
        <v>4785</v>
      </c>
      <c r="C1647" t="s">
        <v>4786</v>
      </c>
      <c r="D1647" t="s">
        <v>23</v>
      </c>
      <c r="E1647" t="s">
        <v>28</v>
      </c>
      <c r="F1647" t="s">
        <v>36</v>
      </c>
      <c r="G1647" t="s">
        <v>31</v>
      </c>
      <c r="H1647">
        <f>Cleaned_Data!K1647</f>
        <v>11.74</v>
      </c>
      <c r="I1647" t="str">
        <f t="shared" si="75"/>
        <v>YES</v>
      </c>
      <c r="J1647">
        <f>Cleaned_Data!J1647</f>
        <v>24</v>
      </c>
      <c r="K1647" t="str">
        <f t="shared" si="76"/>
        <v>2024-04</v>
      </c>
      <c r="L1647">
        <f t="shared" si="77"/>
        <v>0</v>
      </c>
    </row>
    <row r="1648" spans="1:12">
      <c r="A1648" t="s">
        <v>4787</v>
      </c>
      <c r="B1648" t="s">
        <v>4788</v>
      </c>
      <c r="C1648" t="s">
        <v>4789</v>
      </c>
      <c r="D1648" t="s">
        <v>158</v>
      </c>
      <c r="E1648" t="s">
        <v>16</v>
      </c>
      <c r="F1648" t="s">
        <v>60</v>
      </c>
      <c r="G1648" t="s">
        <v>31</v>
      </c>
      <c r="H1648">
        <f>Cleaned_Data!K1648</f>
        <v>1.69</v>
      </c>
      <c r="I1648" t="str">
        <f t="shared" si="75"/>
        <v>YES</v>
      </c>
      <c r="J1648">
        <f>Cleaned_Data!J1648</f>
        <v>4</v>
      </c>
      <c r="K1648" t="str">
        <f t="shared" si="76"/>
        <v>2024-08</v>
      </c>
      <c r="L1648">
        <f t="shared" si="77"/>
        <v>0</v>
      </c>
    </row>
    <row r="1649" spans="1:12">
      <c r="A1649" t="s">
        <v>4790</v>
      </c>
      <c r="B1649" t="s">
        <v>4791</v>
      </c>
      <c r="C1649" t="s">
        <v>4792</v>
      </c>
      <c r="D1649" t="s">
        <v>23</v>
      </c>
      <c r="E1649" t="s">
        <v>16</v>
      </c>
      <c r="F1649" t="s">
        <v>29</v>
      </c>
      <c r="G1649" t="s">
        <v>19</v>
      </c>
      <c r="H1649">
        <f>Cleaned_Data!K1649</f>
        <v>12.86</v>
      </c>
      <c r="I1649" t="str">
        <f t="shared" si="75"/>
        <v>YES</v>
      </c>
      <c r="J1649">
        <f>Cleaned_Data!J1649</f>
        <v>24</v>
      </c>
      <c r="K1649" t="str">
        <f t="shared" si="76"/>
        <v>2024-05</v>
      </c>
      <c r="L1649">
        <f t="shared" si="77"/>
        <v>0</v>
      </c>
    </row>
    <row r="1650" spans="1:12">
      <c r="A1650" t="s">
        <v>4793</v>
      </c>
      <c r="B1650" t="s">
        <v>4794</v>
      </c>
      <c r="C1650" t="s">
        <v>4795</v>
      </c>
      <c r="D1650" t="s">
        <v>23</v>
      </c>
      <c r="E1650" t="s">
        <v>28</v>
      </c>
      <c r="F1650" t="s">
        <v>29</v>
      </c>
      <c r="G1650" t="s">
        <v>19</v>
      </c>
      <c r="H1650">
        <f>Cleaned_Data!K1650</f>
        <v>8.15</v>
      </c>
      <c r="I1650" t="str">
        <f t="shared" si="75"/>
        <v>YES</v>
      </c>
      <c r="J1650">
        <f>Cleaned_Data!J1650</f>
        <v>24</v>
      </c>
      <c r="K1650" t="str">
        <f t="shared" si="76"/>
        <v>2024-06</v>
      </c>
      <c r="L1650">
        <f t="shared" si="77"/>
        <v>0</v>
      </c>
    </row>
    <row r="1651" spans="1:12">
      <c r="A1651" t="s">
        <v>4796</v>
      </c>
      <c r="B1651" t="s">
        <v>4797</v>
      </c>
      <c r="C1651" t="s">
        <v>4798</v>
      </c>
      <c r="D1651" t="s">
        <v>35</v>
      </c>
      <c r="E1651" t="s">
        <v>24</v>
      </c>
      <c r="F1651" t="s">
        <v>29</v>
      </c>
      <c r="G1651" t="s">
        <v>31</v>
      </c>
      <c r="H1651">
        <f>Cleaned_Data!K1651</f>
        <v>10.039999999999999</v>
      </c>
      <c r="I1651" t="str">
        <f t="shared" si="75"/>
        <v>YES</v>
      </c>
      <c r="J1651">
        <f>Cleaned_Data!J1651</f>
        <v>48</v>
      </c>
      <c r="K1651" t="str">
        <f t="shared" si="76"/>
        <v>2024-06</v>
      </c>
      <c r="L1651">
        <f t="shared" si="77"/>
        <v>0</v>
      </c>
    </row>
    <row r="1652" spans="1:12">
      <c r="A1652" t="s">
        <v>4799</v>
      </c>
      <c r="B1652" t="s">
        <v>4800</v>
      </c>
      <c r="C1652" t="s">
        <v>4801</v>
      </c>
      <c r="D1652" t="s">
        <v>158</v>
      </c>
      <c r="E1652" t="s">
        <v>54</v>
      </c>
      <c r="F1652" t="s">
        <v>17</v>
      </c>
      <c r="G1652" t="s">
        <v>31</v>
      </c>
      <c r="H1652">
        <f>Cleaned_Data!K1652</f>
        <v>3.34</v>
      </c>
      <c r="I1652" t="str">
        <f t="shared" si="75"/>
        <v>YES</v>
      </c>
      <c r="J1652">
        <f>Cleaned_Data!J1652</f>
        <v>4</v>
      </c>
      <c r="K1652" t="str">
        <f t="shared" si="76"/>
        <v>2024-04</v>
      </c>
      <c r="L1652">
        <f t="shared" si="77"/>
        <v>0</v>
      </c>
    </row>
    <row r="1653" spans="1:12">
      <c r="A1653" t="s">
        <v>4802</v>
      </c>
      <c r="B1653" t="s">
        <v>4803</v>
      </c>
      <c r="C1653" t="s">
        <v>4804</v>
      </c>
      <c r="D1653" t="s">
        <v>23</v>
      </c>
      <c r="E1653" t="s">
        <v>28</v>
      </c>
      <c r="F1653" t="s">
        <v>60</v>
      </c>
      <c r="G1653" t="s">
        <v>19</v>
      </c>
      <c r="H1653">
        <f>Cleaned_Data!K1653</f>
        <v>20.18</v>
      </c>
      <c r="I1653" t="str">
        <f t="shared" si="75"/>
        <v>YES</v>
      </c>
      <c r="J1653">
        <f>Cleaned_Data!J1653</f>
        <v>24</v>
      </c>
      <c r="K1653" t="str">
        <f t="shared" si="76"/>
        <v>2024-01</v>
      </c>
      <c r="L1653">
        <f t="shared" si="77"/>
        <v>0</v>
      </c>
    </row>
    <row r="1654" spans="1:12">
      <c r="A1654" t="s">
        <v>4805</v>
      </c>
      <c r="B1654" t="s">
        <v>4806</v>
      </c>
      <c r="C1654" t="s">
        <v>4807</v>
      </c>
      <c r="D1654" t="s">
        <v>15</v>
      </c>
      <c r="E1654" t="s">
        <v>16</v>
      </c>
      <c r="F1654" t="s">
        <v>60</v>
      </c>
      <c r="G1654" t="s">
        <v>19</v>
      </c>
      <c r="H1654">
        <f>Cleaned_Data!K1654</f>
        <v>7.04</v>
      </c>
      <c r="I1654" t="str">
        <f t="shared" si="75"/>
        <v>YES</v>
      </c>
      <c r="J1654">
        <f>Cleaned_Data!J1654</f>
        <v>8</v>
      </c>
      <c r="K1654" t="str">
        <f t="shared" si="76"/>
        <v>2024-12</v>
      </c>
      <c r="L1654">
        <f t="shared" si="77"/>
        <v>0</v>
      </c>
    </row>
    <row r="1655" spans="1:12">
      <c r="A1655" t="s">
        <v>4808</v>
      </c>
      <c r="B1655" t="s">
        <v>4809</v>
      </c>
      <c r="C1655" t="s">
        <v>4810</v>
      </c>
      <c r="D1655" t="s">
        <v>158</v>
      </c>
      <c r="E1655" t="s">
        <v>59</v>
      </c>
      <c r="F1655" t="s">
        <v>36</v>
      </c>
      <c r="G1655" t="s">
        <v>31</v>
      </c>
      <c r="H1655">
        <f>Cleaned_Data!K1655</f>
        <v>0.56999999999999995</v>
      </c>
      <c r="I1655" t="str">
        <f t="shared" si="75"/>
        <v>YES</v>
      </c>
      <c r="J1655">
        <f>Cleaned_Data!J1655</f>
        <v>4</v>
      </c>
      <c r="K1655" t="str">
        <f t="shared" si="76"/>
        <v>2024-03</v>
      </c>
      <c r="L1655">
        <f t="shared" si="77"/>
        <v>0</v>
      </c>
    </row>
    <row r="1656" spans="1:12">
      <c r="A1656" t="s">
        <v>4811</v>
      </c>
      <c r="B1656" t="s">
        <v>4812</v>
      </c>
      <c r="D1656" t="s">
        <v>23</v>
      </c>
      <c r="E1656" t="s">
        <v>24</v>
      </c>
      <c r="F1656" t="s">
        <v>17</v>
      </c>
      <c r="G1656" t="s">
        <v>46</v>
      </c>
      <c r="H1656">
        <f>Cleaned_Data!K1656</f>
        <v>0</v>
      </c>
      <c r="I1656" t="str">
        <f t="shared" si="75"/>
        <v/>
      </c>
      <c r="J1656">
        <f>Cleaned_Data!J1656</f>
        <v>24</v>
      </c>
      <c r="K1656" t="str">
        <f t="shared" si="76"/>
        <v>2024-05</v>
      </c>
      <c r="L1656">
        <f t="shared" si="77"/>
        <v>0</v>
      </c>
    </row>
    <row r="1657" spans="1:12">
      <c r="A1657" t="s">
        <v>4813</v>
      </c>
      <c r="B1657" t="s">
        <v>4814</v>
      </c>
      <c r="C1657" t="s">
        <v>4815</v>
      </c>
      <c r="D1657" t="s">
        <v>23</v>
      </c>
      <c r="E1657" t="s">
        <v>28</v>
      </c>
      <c r="F1657" t="s">
        <v>60</v>
      </c>
      <c r="G1657" t="s">
        <v>19</v>
      </c>
      <c r="H1657">
        <f>Cleaned_Data!K1657</f>
        <v>4.0199999999999996</v>
      </c>
      <c r="I1657" t="str">
        <f t="shared" si="75"/>
        <v>YES</v>
      </c>
      <c r="J1657">
        <f>Cleaned_Data!J1657</f>
        <v>24</v>
      </c>
      <c r="K1657" t="str">
        <f t="shared" si="76"/>
        <v>2024-08</v>
      </c>
      <c r="L1657">
        <f t="shared" si="77"/>
        <v>0</v>
      </c>
    </row>
    <row r="1658" spans="1:12">
      <c r="A1658" t="s">
        <v>4816</v>
      </c>
      <c r="B1658" t="s">
        <v>4817</v>
      </c>
      <c r="C1658" t="s">
        <v>4818</v>
      </c>
      <c r="D1658" t="s">
        <v>15</v>
      </c>
      <c r="E1658" t="s">
        <v>28</v>
      </c>
      <c r="F1658" t="s">
        <v>17</v>
      </c>
      <c r="G1658" t="s">
        <v>19</v>
      </c>
      <c r="H1658">
        <f>Cleaned_Data!K1658</f>
        <v>2.08</v>
      </c>
      <c r="I1658" t="str">
        <f t="shared" si="75"/>
        <v>YES</v>
      </c>
      <c r="J1658">
        <f>Cleaned_Data!J1658</f>
        <v>8</v>
      </c>
      <c r="K1658" t="str">
        <f t="shared" si="76"/>
        <v>2024-04</v>
      </c>
      <c r="L1658">
        <f t="shared" si="77"/>
        <v>0</v>
      </c>
    </row>
    <row r="1659" spans="1:12">
      <c r="A1659" t="s">
        <v>4819</v>
      </c>
      <c r="B1659" t="s">
        <v>4820</v>
      </c>
      <c r="C1659" t="s">
        <v>4821</v>
      </c>
      <c r="D1659" t="s">
        <v>35</v>
      </c>
      <c r="E1659" t="s">
        <v>24</v>
      </c>
      <c r="F1659" t="s">
        <v>60</v>
      </c>
      <c r="G1659" t="s">
        <v>31</v>
      </c>
      <c r="H1659">
        <f>Cleaned_Data!K1659</f>
        <v>16.440000000000001</v>
      </c>
      <c r="I1659" t="str">
        <f t="shared" si="75"/>
        <v>YES</v>
      </c>
      <c r="J1659">
        <f>Cleaned_Data!J1659</f>
        <v>48</v>
      </c>
      <c r="K1659" t="str">
        <f t="shared" si="76"/>
        <v>2024-10</v>
      </c>
      <c r="L1659">
        <f t="shared" si="77"/>
        <v>0</v>
      </c>
    </row>
    <row r="1660" spans="1:12">
      <c r="A1660" t="s">
        <v>4822</v>
      </c>
      <c r="B1660" t="s">
        <v>4823</v>
      </c>
      <c r="C1660" t="s">
        <v>4824</v>
      </c>
      <c r="D1660" t="s">
        <v>15</v>
      </c>
      <c r="E1660" t="s">
        <v>28</v>
      </c>
      <c r="F1660" t="s">
        <v>36</v>
      </c>
      <c r="G1660" t="s">
        <v>31</v>
      </c>
      <c r="H1660">
        <f>Cleaned_Data!K1660</f>
        <v>2.71</v>
      </c>
      <c r="I1660" t="str">
        <f t="shared" si="75"/>
        <v>YES</v>
      </c>
      <c r="J1660">
        <f>Cleaned_Data!J1660</f>
        <v>8</v>
      </c>
      <c r="K1660" t="str">
        <f t="shared" si="76"/>
        <v>2024-11</v>
      </c>
      <c r="L1660">
        <f t="shared" si="77"/>
        <v>0</v>
      </c>
    </row>
    <row r="1661" spans="1:12">
      <c r="A1661" t="s">
        <v>4825</v>
      </c>
      <c r="B1661" t="s">
        <v>4826</v>
      </c>
      <c r="C1661" t="s">
        <v>4827</v>
      </c>
      <c r="D1661" t="s">
        <v>158</v>
      </c>
      <c r="E1661" t="s">
        <v>28</v>
      </c>
      <c r="F1661" t="s">
        <v>36</v>
      </c>
      <c r="G1661" t="s">
        <v>31</v>
      </c>
      <c r="H1661">
        <f>Cleaned_Data!K1661</f>
        <v>2.69</v>
      </c>
      <c r="I1661" t="str">
        <f t="shared" si="75"/>
        <v>YES</v>
      </c>
      <c r="J1661">
        <f>Cleaned_Data!J1661</f>
        <v>4</v>
      </c>
      <c r="K1661" t="str">
        <f t="shared" si="76"/>
        <v>2024-01</v>
      </c>
      <c r="L1661">
        <f t="shared" si="77"/>
        <v>0</v>
      </c>
    </row>
    <row r="1662" spans="1:12">
      <c r="A1662" t="s">
        <v>4828</v>
      </c>
      <c r="B1662" t="s">
        <v>4829</v>
      </c>
      <c r="C1662" t="s">
        <v>4830</v>
      </c>
      <c r="D1662" t="s">
        <v>158</v>
      </c>
      <c r="E1662" t="s">
        <v>16</v>
      </c>
      <c r="F1662" t="s">
        <v>36</v>
      </c>
      <c r="G1662" t="s">
        <v>31</v>
      </c>
      <c r="H1662">
        <f>Cleaned_Data!K1662</f>
        <v>7.02</v>
      </c>
      <c r="I1662" t="str">
        <f t="shared" si="75"/>
        <v>NO</v>
      </c>
      <c r="J1662">
        <f>Cleaned_Data!J1662</f>
        <v>4</v>
      </c>
      <c r="K1662" t="str">
        <f t="shared" si="76"/>
        <v>2024-06</v>
      </c>
      <c r="L1662">
        <f t="shared" si="77"/>
        <v>3.0199999999999996</v>
      </c>
    </row>
    <row r="1663" spans="1:12">
      <c r="A1663" t="s">
        <v>4831</v>
      </c>
      <c r="B1663" t="s">
        <v>4832</v>
      </c>
      <c r="C1663" t="s">
        <v>4833</v>
      </c>
      <c r="D1663" t="s">
        <v>35</v>
      </c>
      <c r="E1663" t="s">
        <v>54</v>
      </c>
      <c r="F1663" t="s">
        <v>29</v>
      </c>
      <c r="G1663" t="s">
        <v>19</v>
      </c>
      <c r="H1663">
        <f>Cleaned_Data!K1663</f>
        <v>19.91</v>
      </c>
      <c r="I1663" t="str">
        <f t="shared" si="75"/>
        <v>YES</v>
      </c>
      <c r="J1663">
        <f>Cleaned_Data!J1663</f>
        <v>48</v>
      </c>
      <c r="K1663" t="str">
        <f t="shared" si="76"/>
        <v>2024-09</v>
      </c>
      <c r="L1663">
        <f t="shared" si="77"/>
        <v>0</v>
      </c>
    </row>
    <row r="1664" spans="1:12">
      <c r="A1664" t="s">
        <v>4834</v>
      </c>
      <c r="B1664" t="s">
        <v>4835</v>
      </c>
      <c r="C1664" t="s">
        <v>4836</v>
      </c>
      <c r="D1664" t="s">
        <v>15</v>
      </c>
      <c r="E1664" t="s">
        <v>59</v>
      </c>
      <c r="F1664" t="s">
        <v>17</v>
      </c>
      <c r="G1664" t="s">
        <v>31</v>
      </c>
      <c r="H1664">
        <f>Cleaned_Data!K1664</f>
        <v>3.2</v>
      </c>
      <c r="I1664" t="str">
        <f t="shared" si="75"/>
        <v>YES</v>
      </c>
      <c r="J1664">
        <f>Cleaned_Data!J1664</f>
        <v>8</v>
      </c>
      <c r="K1664" t="str">
        <f t="shared" si="76"/>
        <v>2024-07</v>
      </c>
      <c r="L1664">
        <f t="shared" si="77"/>
        <v>0</v>
      </c>
    </row>
    <row r="1665" spans="1:12">
      <c r="A1665" t="s">
        <v>4837</v>
      </c>
      <c r="B1665" t="s">
        <v>4838</v>
      </c>
      <c r="C1665" t="s">
        <v>4839</v>
      </c>
      <c r="D1665" t="s">
        <v>15</v>
      </c>
      <c r="E1665" t="s">
        <v>16</v>
      </c>
      <c r="F1665" t="s">
        <v>41</v>
      </c>
      <c r="G1665" t="s">
        <v>31</v>
      </c>
      <c r="H1665">
        <f>Cleaned_Data!K1665</f>
        <v>1.84</v>
      </c>
      <c r="I1665" t="str">
        <f t="shared" si="75"/>
        <v>YES</v>
      </c>
      <c r="J1665">
        <f>Cleaned_Data!J1665</f>
        <v>8</v>
      </c>
      <c r="K1665" t="str">
        <f t="shared" si="76"/>
        <v>2024-06</v>
      </c>
      <c r="L1665">
        <f t="shared" si="77"/>
        <v>0</v>
      </c>
    </row>
    <row r="1666" spans="1:12">
      <c r="A1666" t="s">
        <v>4840</v>
      </c>
      <c r="B1666" t="s">
        <v>4841</v>
      </c>
      <c r="C1666" t="s">
        <v>4842</v>
      </c>
      <c r="D1666" t="s">
        <v>23</v>
      </c>
      <c r="E1666" t="s">
        <v>24</v>
      </c>
      <c r="F1666" t="s">
        <v>17</v>
      </c>
      <c r="G1666" t="s">
        <v>19</v>
      </c>
      <c r="H1666">
        <f>Cleaned_Data!K1666</f>
        <v>32.19</v>
      </c>
      <c r="I1666" t="str">
        <f t="shared" ref="I1666:I1729" si="78">IF(OR(G1666="Resolved", G1666="Closed"), IF(AND(H1666&lt;&gt;"", H1666&lt;=J1666), "YES", "NO"), "")</f>
        <v>NO</v>
      </c>
      <c r="J1666">
        <f>Cleaned_Data!J1666</f>
        <v>24</v>
      </c>
      <c r="K1666" t="str">
        <f t="shared" ref="K1666:K1729" si="79">LEFT(B1666, 7)</f>
        <v>2024-05</v>
      </c>
      <c r="L1666">
        <f t="shared" ref="L1666:L1729" si="80">IF(I1666="NO", H1666-J1666, 0)</f>
        <v>8.1899999999999977</v>
      </c>
    </row>
    <row r="1667" spans="1:12">
      <c r="A1667" t="s">
        <v>4843</v>
      </c>
      <c r="B1667" t="s">
        <v>4844</v>
      </c>
      <c r="C1667" t="s">
        <v>4845</v>
      </c>
      <c r="D1667" t="s">
        <v>23</v>
      </c>
      <c r="E1667" t="s">
        <v>54</v>
      </c>
      <c r="F1667" t="s">
        <v>17</v>
      </c>
      <c r="G1667" t="s">
        <v>31</v>
      </c>
      <c r="H1667">
        <f>Cleaned_Data!K1667</f>
        <v>4.33</v>
      </c>
      <c r="I1667" t="str">
        <f t="shared" si="78"/>
        <v>YES</v>
      </c>
      <c r="J1667">
        <f>Cleaned_Data!J1667</f>
        <v>24</v>
      </c>
      <c r="K1667" t="str">
        <f t="shared" si="79"/>
        <v>2024-06</v>
      </c>
      <c r="L1667">
        <f t="shared" si="80"/>
        <v>0</v>
      </c>
    </row>
    <row r="1668" spans="1:12">
      <c r="A1668" t="s">
        <v>4846</v>
      </c>
      <c r="B1668" t="s">
        <v>4847</v>
      </c>
      <c r="C1668" t="s">
        <v>4848</v>
      </c>
      <c r="D1668" t="s">
        <v>15</v>
      </c>
      <c r="E1668" t="s">
        <v>24</v>
      </c>
      <c r="F1668" t="s">
        <v>41</v>
      </c>
      <c r="G1668" t="s">
        <v>19</v>
      </c>
      <c r="H1668">
        <f>Cleaned_Data!K1668</f>
        <v>21.72</v>
      </c>
      <c r="I1668" t="str">
        <f t="shared" si="78"/>
        <v>NO</v>
      </c>
      <c r="J1668">
        <f>Cleaned_Data!J1668</f>
        <v>8</v>
      </c>
      <c r="K1668" t="str">
        <f t="shared" si="79"/>
        <v>2024-02</v>
      </c>
      <c r="L1668">
        <f t="shared" si="80"/>
        <v>13.719999999999999</v>
      </c>
    </row>
    <row r="1669" spans="1:12">
      <c r="A1669" t="s">
        <v>4849</v>
      </c>
      <c r="B1669" t="s">
        <v>4850</v>
      </c>
      <c r="D1669" t="s">
        <v>23</v>
      </c>
      <c r="E1669" t="s">
        <v>16</v>
      </c>
      <c r="F1669" t="s">
        <v>41</v>
      </c>
      <c r="G1669" t="s">
        <v>63</v>
      </c>
      <c r="H1669">
        <f>Cleaned_Data!K1669</f>
        <v>0</v>
      </c>
      <c r="I1669" t="str">
        <f t="shared" si="78"/>
        <v/>
      </c>
      <c r="J1669">
        <f>Cleaned_Data!J1669</f>
        <v>24</v>
      </c>
      <c r="K1669" t="str">
        <f t="shared" si="79"/>
        <v>2024-03</v>
      </c>
      <c r="L1669">
        <f t="shared" si="80"/>
        <v>0</v>
      </c>
    </row>
    <row r="1670" spans="1:12">
      <c r="A1670" t="s">
        <v>4851</v>
      </c>
      <c r="B1670" t="s">
        <v>4852</v>
      </c>
      <c r="C1670" t="s">
        <v>4853</v>
      </c>
      <c r="D1670" t="s">
        <v>23</v>
      </c>
      <c r="E1670" t="s">
        <v>54</v>
      </c>
      <c r="F1670" t="s">
        <v>29</v>
      </c>
      <c r="G1670" t="s">
        <v>19</v>
      </c>
      <c r="H1670">
        <f>Cleaned_Data!K1670</f>
        <v>12.12</v>
      </c>
      <c r="I1670" t="str">
        <f t="shared" si="78"/>
        <v>YES</v>
      </c>
      <c r="J1670">
        <f>Cleaned_Data!J1670</f>
        <v>24</v>
      </c>
      <c r="K1670" t="str">
        <f t="shared" si="79"/>
        <v>2024-03</v>
      </c>
      <c r="L1670">
        <f t="shared" si="80"/>
        <v>0</v>
      </c>
    </row>
    <row r="1671" spans="1:12">
      <c r="A1671" t="s">
        <v>4854</v>
      </c>
      <c r="B1671" t="s">
        <v>4855</v>
      </c>
      <c r="C1671" t="s">
        <v>4856</v>
      </c>
      <c r="D1671" t="s">
        <v>23</v>
      </c>
      <c r="E1671" t="s">
        <v>24</v>
      </c>
      <c r="F1671" t="s">
        <v>17</v>
      </c>
      <c r="G1671" t="s">
        <v>19</v>
      </c>
      <c r="H1671">
        <f>Cleaned_Data!K1671</f>
        <v>54.75</v>
      </c>
      <c r="I1671" t="str">
        <f t="shared" si="78"/>
        <v>NO</v>
      </c>
      <c r="J1671">
        <f>Cleaned_Data!J1671</f>
        <v>24</v>
      </c>
      <c r="K1671" t="str">
        <f t="shared" si="79"/>
        <v>2024-04</v>
      </c>
      <c r="L1671">
        <f t="shared" si="80"/>
        <v>30.75</v>
      </c>
    </row>
    <row r="1672" spans="1:12">
      <c r="A1672" t="s">
        <v>4857</v>
      </c>
      <c r="B1672" t="s">
        <v>4858</v>
      </c>
      <c r="C1672" t="s">
        <v>4859</v>
      </c>
      <c r="D1672" t="s">
        <v>23</v>
      </c>
      <c r="E1672" t="s">
        <v>28</v>
      </c>
      <c r="F1672" t="s">
        <v>36</v>
      </c>
      <c r="G1672" t="s">
        <v>19</v>
      </c>
      <c r="H1672">
        <f>Cleaned_Data!K1672</f>
        <v>17.18</v>
      </c>
      <c r="I1672" t="str">
        <f t="shared" si="78"/>
        <v>YES</v>
      </c>
      <c r="J1672">
        <f>Cleaned_Data!J1672</f>
        <v>24</v>
      </c>
      <c r="K1672" t="str">
        <f t="shared" si="79"/>
        <v>2024-04</v>
      </c>
      <c r="L1672">
        <f t="shared" si="80"/>
        <v>0</v>
      </c>
    </row>
    <row r="1673" spans="1:12">
      <c r="A1673" t="s">
        <v>4860</v>
      </c>
      <c r="B1673" t="s">
        <v>4861</v>
      </c>
      <c r="C1673" t="s">
        <v>4862</v>
      </c>
      <c r="D1673" t="s">
        <v>15</v>
      </c>
      <c r="E1673" t="s">
        <v>54</v>
      </c>
      <c r="F1673" t="s">
        <v>41</v>
      </c>
      <c r="G1673" t="s">
        <v>19</v>
      </c>
      <c r="H1673">
        <f>Cleaned_Data!K1673</f>
        <v>2.4700000000000002</v>
      </c>
      <c r="I1673" t="str">
        <f t="shared" si="78"/>
        <v>YES</v>
      </c>
      <c r="J1673">
        <f>Cleaned_Data!J1673</f>
        <v>8</v>
      </c>
      <c r="K1673" t="str">
        <f t="shared" si="79"/>
        <v>2024-12</v>
      </c>
      <c r="L1673">
        <f t="shared" si="80"/>
        <v>0</v>
      </c>
    </row>
    <row r="1674" spans="1:12">
      <c r="A1674" t="s">
        <v>4863</v>
      </c>
      <c r="B1674" t="s">
        <v>4864</v>
      </c>
      <c r="D1674" t="s">
        <v>15</v>
      </c>
      <c r="E1674" t="s">
        <v>16</v>
      </c>
      <c r="F1674" t="s">
        <v>29</v>
      </c>
      <c r="G1674" t="s">
        <v>63</v>
      </c>
      <c r="H1674">
        <f>Cleaned_Data!K1674</f>
        <v>0</v>
      </c>
      <c r="I1674" t="str">
        <f t="shared" si="78"/>
        <v/>
      </c>
      <c r="J1674">
        <f>Cleaned_Data!J1674</f>
        <v>8</v>
      </c>
      <c r="K1674" t="str">
        <f t="shared" si="79"/>
        <v>2024-09</v>
      </c>
      <c r="L1674">
        <f t="shared" si="80"/>
        <v>0</v>
      </c>
    </row>
    <row r="1675" spans="1:12">
      <c r="A1675" t="s">
        <v>4865</v>
      </c>
      <c r="B1675" t="s">
        <v>4866</v>
      </c>
      <c r="C1675" t="s">
        <v>4867</v>
      </c>
      <c r="D1675" t="s">
        <v>23</v>
      </c>
      <c r="E1675" t="s">
        <v>54</v>
      </c>
      <c r="F1675" t="s">
        <v>60</v>
      </c>
      <c r="G1675" t="s">
        <v>31</v>
      </c>
      <c r="H1675">
        <f>Cleaned_Data!K1675</f>
        <v>70.38</v>
      </c>
      <c r="I1675" t="str">
        <f t="shared" si="78"/>
        <v>NO</v>
      </c>
      <c r="J1675">
        <f>Cleaned_Data!J1675</f>
        <v>24</v>
      </c>
      <c r="K1675" t="str">
        <f t="shared" si="79"/>
        <v>2024-07</v>
      </c>
      <c r="L1675">
        <f t="shared" si="80"/>
        <v>46.379999999999995</v>
      </c>
    </row>
    <row r="1676" spans="1:12">
      <c r="A1676" t="s">
        <v>4868</v>
      </c>
      <c r="B1676" t="s">
        <v>4869</v>
      </c>
      <c r="C1676" t="s">
        <v>4870</v>
      </c>
      <c r="D1676" t="s">
        <v>35</v>
      </c>
      <c r="E1676" t="s">
        <v>28</v>
      </c>
      <c r="F1676" t="s">
        <v>60</v>
      </c>
      <c r="G1676" t="s">
        <v>19</v>
      </c>
      <c r="H1676">
        <f>Cleaned_Data!K1676</f>
        <v>24.73</v>
      </c>
      <c r="I1676" t="str">
        <f t="shared" si="78"/>
        <v>YES</v>
      </c>
      <c r="J1676">
        <f>Cleaned_Data!J1676</f>
        <v>48</v>
      </c>
      <c r="K1676" t="str">
        <f t="shared" si="79"/>
        <v>2024-08</v>
      </c>
      <c r="L1676">
        <f t="shared" si="80"/>
        <v>0</v>
      </c>
    </row>
    <row r="1677" spans="1:12">
      <c r="A1677" t="s">
        <v>4871</v>
      </c>
      <c r="B1677" t="s">
        <v>4872</v>
      </c>
      <c r="C1677" t="s">
        <v>4873</v>
      </c>
      <c r="D1677" t="s">
        <v>15</v>
      </c>
      <c r="E1677" t="s">
        <v>16</v>
      </c>
      <c r="F1677" t="s">
        <v>41</v>
      </c>
      <c r="G1677" t="s">
        <v>31</v>
      </c>
      <c r="H1677">
        <f>Cleaned_Data!K1677</f>
        <v>4.1399999999999997</v>
      </c>
      <c r="I1677" t="str">
        <f t="shared" si="78"/>
        <v>YES</v>
      </c>
      <c r="J1677">
        <f>Cleaned_Data!J1677</f>
        <v>8</v>
      </c>
      <c r="K1677" t="str">
        <f t="shared" si="79"/>
        <v>2024-01</v>
      </c>
      <c r="L1677">
        <f t="shared" si="80"/>
        <v>0</v>
      </c>
    </row>
    <row r="1678" spans="1:12">
      <c r="A1678" t="s">
        <v>4874</v>
      </c>
      <c r="B1678" t="s">
        <v>4875</v>
      </c>
      <c r="C1678" t="s">
        <v>4876</v>
      </c>
      <c r="D1678" t="s">
        <v>35</v>
      </c>
      <c r="E1678" t="s">
        <v>16</v>
      </c>
      <c r="F1678" t="s">
        <v>36</v>
      </c>
      <c r="G1678" t="s">
        <v>19</v>
      </c>
      <c r="H1678">
        <f>Cleaned_Data!K1678</f>
        <v>36.21</v>
      </c>
      <c r="I1678" t="str">
        <f t="shared" si="78"/>
        <v>YES</v>
      </c>
      <c r="J1678">
        <f>Cleaned_Data!J1678</f>
        <v>48</v>
      </c>
      <c r="K1678" t="str">
        <f t="shared" si="79"/>
        <v>2024-12</v>
      </c>
      <c r="L1678">
        <f t="shared" si="80"/>
        <v>0</v>
      </c>
    </row>
    <row r="1679" spans="1:12">
      <c r="A1679" t="s">
        <v>4877</v>
      </c>
      <c r="B1679" t="s">
        <v>4878</v>
      </c>
      <c r="C1679" t="s">
        <v>4879</v>
      </c>
      <c r="D1679" t="s">
        <v>35</v>
      </c>
      <c r="E1679" t="s">
        <v>24</v>
      </c>
      <c r="F1679" t="s">
        <v>17</v>
      </c>
      <c r="G1679" t="s">
        <v>31</v>
      </c>
      <c r="H1679">
        <f>Cleaned_Data!K1679</f>
        <v>38.450000000000003</v>
      </c>
      <c r="I1679" t="str">
        <f t="shared" si="78"/>
        <v>YES</v>
      </c>
      <c r="J1679">
        <f>Cleaned_Data!J1679</f>
        <v>48</v>
      </c>
      <c r="K1679" t="str">
        <f t="shared" si="79"/>
        <v>2024-05</v>
      </c>
      <c r="L1679">
        <f t="shared" si="80"/>
        <v>0</v>
      </c>
    </row>
    <row r="1680" spans="1:12">
      <c r="A1680" t="s">
        <v>4880</v>
      </c>
      <c r="B1680" t="s">
        <v>4881</v>
      </c>
      <c r="C1680" t="s">
        <v>4882</v>
      </c>
      <c r="D1680" t="s">
        <v>23</v>
      </c>
      <c r="E1680" t="s">
        <v>59</v>
      </c>
      <c r="F1680" t="s">
        <v>41</v>
      </c>
      <c r="G1680" t="s">
        <v>31</v>
      </c>
      <c r="H1680">
        <f>Cleaned_Data!K1680</f>
        <v>19.21</v>
      </c>
      <c r="I1680" t="str">
        <f t="shared" si="78"/>
        <v>YES</v>
      </c>
      <c r="J1680">
        <f>Cleaned_Data!J1680</f>
        <v>24</v>
      </c>
      <c r="K1680" t="str">
        <f t="shared" si="79"/>
        <v>2024-02</v>
      </c>
      <c r="L1680">
        <f t="shared" si="80"/>
        <v>0</v>
      </c>
    </row>
    <row r="1681" spans="1:12">
      <c r="A1681" t="s">
        <v>4883</v>
      </c>
      <c r="B1681" t="s">
        <v>4884</v>
      </c>
      <c r="C1681" t="s">
        <v>4885</v>
      </c>
      <c r="D1681" t="s">
        <v>23</v>
      </c>
      <c r="E1681" t="s">
        <v>24</v>
      </c>
      <c r="F1681" t="s">
        <v>36</v>
      </c>
      <c r="G1681" t="s">
        <v>31</v>
      </c>
      <c r="H1681">
        <f>Cleaned_Data!K1681</f>
        <v>12.68</v>
      </c>
      <c r="I1681" t="str">
        <f t="shared" si="78"/>
        <v>YES</v>
      </c>
      <c r="J1681">
        <f>Cleaned_Data!J1681</f>
        <v>24</v>
      </c>
      <c r="K1681" t="str">
        <f t="shared" si="79"/>
        <v>2024-12</v>
      </c>
      <c r="L1681">
        <f t="shared" si="80"/>
        <v>0</v>
      </c>
    </row>
    <row r="1682" spans="1:12">
      <c r="A1682" t="s">
        <v>4886</v>
      </c>
      <c r="B1682" t="s">
        <v>4887</v>
      </c>
      <c r="C1682" t="s">
        <v>4888</v>
      </c>
      <c r="D1682" t="s">
        <v>23</v>
      </c>
      <c r="E1682" t="s">
        <v>16</v>
      </c>
      <c r="F1682" t="s">
        <v>36</v>
      </c>
      <c r="G1682" t="s">
        <v>19</v>
      </c>
      <c r="H1682">
        <f>Cleaned_Data!K1682</f>
        <v>2.92</v>
      </c>
      <c r="I1682" t="str">
        <f t="shared" si="78"/>
        <v>YES</v>
      </c>
      <c r="J1682">
        <f>Cleaned_Data!J1682</f>
        <v>24</v>
      </c>
      <c r="K1682" t="str">
        <f t="shared" si="79"/>
        <v>2024-05</v>
      </c>
      <c r="L1682">
        <f t="shared" si="80"/>
        <v>0</v>
      </c>
    </row>
    <row r="1683" spans="1:12">
      <c r="A1683" t="s">
        <v>4889</v>
      </c>
      <c r="B1683" t="s">
        <v>4890</v>
      </c>
      <c r="C1683" t="s">
        <v>4891</v>
      </c>
      <c r="D1683" t="s">
        <v>23</v>
      </c>
      <c r="E1683" t="s">
        <v>28</v>
      </c>
      <c r="F1683" t="s">
        <v>17</v>
      </c>
      <c r="G1683" t="s">
        <v>31</v>
      </c>
      <c r="H1683">
        <f>Cleaned_Data!K1683</f>
        <v>14.51</v>
      </c>
      <c r="I1683" t="str">
        <f t="shared" si="78"/>
        <v>YES</v>
      </c>
      <c r="J1683">
        <f>Cleaned_Data!J1683</f>
        <v>24</v>
      </c>
      <c r="K1683" t="str">
        <f t="shared" si="79"/>
        <v>2024-10</v>
      </c>
      <c r="L1683">
        <f t="shared" si="80"/>
        <v>0</v>
      </c>
    </row>
    <row r="1684" spans="1:12">
      <c r="A1684" t="s">
        <v>4892</v>
      </c>
      <c r="B1684" t="s">
        <v>4893</v>
      </c>
      <c r="C1684" t="s">
        <v>4894</v>
      </c>
      <c r="D1684" t="s">
        <v>35</v>
      </c>
      <c r="E1684" t="s">
        <v>28</v>
      </c>
      <c r="F1684" t="s">
        <v>17</v>
      </c>
      <c r="G1684" t="s">
        <v>31</v>
      </c>
      <c r="H1684">
        <f>Cleaned_Data!K1684</f>
        <v>28.73</v>
      </c>
      <c r="I1684" t="str">
        <f t="shared" si="78"/>
        <v>YES</v>
      </c>
      <c r="J1684">
        <f>Cleaned_Data!J1684</f>
        <v>48</v>
      </c>
      <c r="K1684" t="str">
        <f t="shared" si="79"/>
        <v>2024-02</v>
      </c>
      <c r="L1684">
        <f t="shared" si="80"/>
        <v>0</v>
      </c>
    </row>
    <row r="1685" spans="1:12">
      <c r="A1685" t="s">
        <v>4895</v>
      </c>
      <c r="B1685" t="s">
        <v>4896</v>
      </c>
      <c r="C1685" t="s">
        <v>4897</v>
      </c>
      <c r="D1685" t="s">
        <v>15</v>
      </c>
      <c r="E1685" t="s">
        <v>16</v>
      </c>
      <c r="F1685" t="s">
        <v>60</v>
      </c>
      <c r="G1685" t="s">
        <v>19</v>
      </c>
      <c r="H1685">
        <f>Cleaned_Data!K1685</f>
        <v>5.7</v>
      </c>
      <c r="I1685" t="str">
        <f t="shared" si="78"/>
        <v>YES</v>
      </c>
      <c r="J1685">
        <f>Cleaned_Data!J1685</f>
        <v>8</v>
      </c>
      <c r="K1685" t="str">
        <f t="shared" si="79"/>
        <v>2024-01</v>
      </c>
      <c r="L1685">
        <f t="shared" si="80"/>
        <v>0</v>
      </c>
    </row>
    <row r="1686" spans="1:12">
      <c r="A1686" t="s">
        <v>4898</v>
      </c>
      <c r="B1686" t="s">
        <v>4899</v>
      </c>
      <c r="C1686" t="s">
        <v>4900</v>
      </c>
      <c r="D1686" t="s">
        <v>23</v>
      </c>
      <c r="E1686" t="s">
        <v>28</v>
      </c>
      <c r="F1686" t="s">
        <v>17</v>
      </c>
      <c r="G1686" t="s">
        <v>31</v>
      </c>
      <c r="H1686">
        <f>Cleaned_Data!K1686</f>
        <v>15.53</v>
      </c>
      <c r="I1686" t="str">
        <f t="shared" si="78"/>
        <v>YES</v>
      </c>
      <c r="J1686">
        <f>Cleaned_Data!J1686</f>
        <v>24</v>
      </c>
      <c r="K1686" t="str">
        <f t="shared" si="79"/>
        <v>2024-09</v>
      </c>
      <c r="L1686">
        <f t="shared" si="80"/>
        <v>0</v>
      </c>
    </row>
    <row r="1687" spans="1:12">
      <c r="A1687" t="s">
        <v>4901</v>
      </c>
      <c r="B1687" t="s">
        <v>4902</v>
      </c>
      <c r="C1687" t="s">
        <v>4903</v>
      </c>
      <c r="D1687" t="s">
        <v>23</v>
      </c>
      <c r="E1687" t="s">
        <v>16</v>
      </c>
      <c r="F1687" t="s">
        <v>36</v>
      </c>
      <c r="G1687" t="s">
        <v>31</v>
      </c>
      <c r="H1687">
        <f>Cleaned_Data!K1687</f>
        <v>3.7</v>
      </c>
      <c r="I1687" t="str">
        <f t="shared" si="78"/>
        <v>YES</v>
      </c>
      <c r="J1687">
        <f>Cleaned_Data!J1687</f>
        <v>24</v>
      </c>
      <c r="K1687" t="str">
        <f t="shared" si="79"/>
        <v>2024-10</v>
      </c>
      <c r="L1687">
        <f t="shared" si="80"/>
        <v>0</v>
      </c>
    </row>
    <row r="1688" spans="1:12">
      <c r="A1688" t="s">
        <v>4904</v>
      </c>
      <c r="B1688" t="s">
        <v>4905</v>
      </c>
      <c r="C1688" t="s">
        <v>4906</v>
      </c>
      <c r="D1688" t="s">
        <v>15</v>
      </c>
      <c r="E1688" t="s">
        <v>24</v>
      </c>
      <c r="F1688" t="s">
        <v>17</v>
      </c>
      <c r="G1688" t="s">
        <v>31</v>
      </c>
      <c r="H1688">
        <f>Cleaned_Data!K1688</f>
        <v>13.68</v>
      </c>
      <c r="I1688" t="str">
        <f t="shared" si="78"/>
        <v>NO</v>
      </c>
      <c r="J1688">
        <f>Cleaned_Data!J1688</f>
        <v>8</v>
      </c>
      <c r="K1688" t="str">
        <f t="shared" si="79"/>
        <v>2024-02</v>
      </c>
      <c r="L1688">
        <f t="shared" si="80"/>
        <v>5.68</v>
      </c>
    </row>
    <row r="1689" spans="1:12">
      <c r="A1689" t="s">
        <v>4907</v>
      </c>
      <c r="B1689" t="s">
        <v>4908</v>
      </c>
      <c r="C1689" t="s">
        <v>4909</v>
      </c>
      <c r="D1689" t="s">
        <v>158</v>
      </c>
      <c r="E1689" t="s">
        <v>28</v>
      </c>
      <c r="F1689" t="s">
        <v>36</v>
      </c>
      <c r="G1689" t="s">
        <v>19</v>
      </c>
      <c r="H1689">
        <f>Cleaned_Data!K1689</f>
        <v>2.76</v>
      </c>
      <c r="I1689" t="str">
        <f t="shared" si="78"/>
        <v>YES</v>
      </c>
      <c r="J1689">
        <f>Cleaned_Data!J1689</f>
        <v>4</v>
      </c>
      <c r="K1689" t="str">
        <f t="shared" si="79"/>
        <v>2024-10</v>
      </c>
      <c r="L1689">
        <f t="shared" si="80"/>
        <v>0</v>
      </c>
    </row>
    <row r="1690" spans="1:12">
      <c r="A1690" t="s">
        <v>4910</v>
      </c>
      <c r="B1690" t="s">
        <v>4911</v>
      </c>
      <c r="C1690" t="s">
        <v>4912</v>
      </c>
      <c r="D1690" t="s">
        <v>35</v>
      </c>
      <c r="E1690" t="s">
        <v>28</v>
      </c>
      <c r="F1690" t="s">
        <v>36</v>
      </c>
      <c r="G1690" t="s">
        <v>19</v>
      </c>
      <c r="H1690">
        <f>Cleaned_Data!K1690</f>
        <v>32.69</v>
      </c>
      <c r="I1690" t="str">
        <f t="shared" si="78"/>
        <v>YES</v>
      </c>
      <c r="J1690">
        <f>Cleaned_Data!J1690</f>
        <v>48</v>
      </c>
      <c r="K1690" t="str">
        <f t="shared" si="79"/>
        <v>2024-02</v>
      </c>
      <c r="L1690">
        <f t="shared" si="80"/>
        <v>0</v>
      </c>
    </row>
    <row r="1691" spans="1:12">
      <c r="A1691" t="s">
        <v>4913</v>
      </c>
      <c r="B1691" t="s">
        <v>4914</v>
      </c>
      <c r="C1691" t="s">
        <v>4915</v>
      </c>
      <c r="D1691" t="s">
        <v>35</v>
      </c>
      <c r="E1691" t="s">
        <v>28</v>
      </c>
      <c r="F1691" t="s">
        <v>36</v>
      </c>
      <c r="G1691" t="s">
        <v>19</v>
      </c>
      <c r="H1691">
        <f>Cleaned_Data!K1691</f>
        <v>11.03</v>
      </c>
      <c r="I1691" t="str">
        <f t="shared" si="78"/>
        <v>YES</v>
      </c>
      <c r="J1691">
        <f>Cleaned_Data!J1691</f>
        <v>48</v>
      </c>
      <c r="K1691" t="str">
        <f t="shared" si="79"/>
        <v>2024-09</v>
      </c>
      <c r="L1691">
        <f t="shared" si="80"/>
        <v>0</v>
      </c>
    </row>
    <row r="1692" spans="1:12">
      <c r="A1692" t="s">
        <v>4916</v>
      </c>
      <c r="B1692" t="s">
        <v>4917</v>
      </c>
      <c r="C1692" t="s">
        <v>4918</v>
      </c>
      <c r="D1692" t="s">
        <v>15</v>
      </c>
      <c r="E1692" t="s">
        <v>28</v>
      </c>
      <c r="F1692" t="s">
        <v>41</v>
      </c>
      <c r="G1692" t="s">
        <v>19</v>
      </c>
      <c r="H1692">
        <f>Cleaned_Data!K1692</f>
        <v>0.96</v>
      </c>
      <c r="I1692" t="str">
        <f t="shared" si="78"/>
        <v>YES</v>
      </c>
      <c r="J1692">
        <f>Cleaned_Data!J1692</f>
        <v>8</v>
      </c>
      <c r="K1692" t="str">
        <f t="shared" si="79"/>
        <v>2024-07</v>
      </c>
      <c r="L1692">
        <f t="shared" si="80"/>
        <v>0</v>
      </c>
    </row>
    <row r="1693" spans="1:12">
      <c r="A1693" t="s">
        <v>4919</v>
      </c>
      <c r="B1693" t="s">
        <v>4920</v>
      </c>
      <c r="C1693" t="s">
        <v>4921</v>
      </c>
      <c r="D1693" t="s">
        <v>23</v>
      </c>
      <c r="E1693" t="s">
        <v>24</v>
      </c>
      <c r="F1693" t="s">
        <v>60</v>
      </c>
      <c r="G1693" t="s">
        <v>19</v>
      </c>
      <c r="H1693">
        <f>Cleaned_Data!K1693</f>
        <v>2.5499999999999998</v>
      </c>
      <c r="I1693" t="str">
        <f t="shared" si="78"/>
        <v>YES</v>
      </c>
      <c r="J1693">
        <f>Cleaned_Data!J1693</f>
        <v>24</v>
      </c>
      <c r="K1693" t="str">
        <f t="shared" si="79"/>
        <v>2024-06</v>
      </c>
      <c r="L1693">
        <f t="shared" si="80"/>
        <v>0</v>
      </c>
    </row>
    <row r="1694" spans="1:12">
      <c r="A1694" t="s">
        <v>4922</v>
      </c>
      <c r="B1694" t="s">
        <v>4923</v>
      </c>
      <c r="C1694" t="s">
        <v>4924</v>
      </c>
      <c r="D1694" t="s">
        <v>35</v>
      </c>
      <c r="E1694" t="s">
        <v>28</v>
      </c>
      <c r="F1694" t="s">
        <v>17</v>
      </c>
      <c r="G1694" t="s">
        <v>19</v>
      </c>
      <c r="H1694">
        <f>Cleaned_Data!K1694</f>
        <v>42.14</v>
      </c>
      <c r="I1694" t="str">
        <f t="shared" si="78"/>
        <v>YES</v>
      </c>
      <c r="J1694">
        <f>Cleaned_Data!J1694</f>
        <v>48</v>
      </c>
      <c r="K1694" t="str">
        <f t="shared" si="79"/>
        <v>2024-08</v>
      </c>
      <c r="L1694">
        <f t="shared" si="80"/>
        <v>0</v>
      </c>
    </row>
    <row r="1695" spans="1:12">
      <c r="A1695" t="s">
        <v>4925</v>
      </c>
      <c r="B1695" t="s">
        <v>4926</v>
      </c>
      <c r="C1695" t="s">
        <v>4927</v>
      </c>
      <c r="D1695" t="s">
        <v>15</v>
      </c>
      <c r="E1695" t="s">
        <v>28</v>
      </c>
      <c r="F1695" t="s">
        <v>41</v>
      </c>
      <c r="G1695" t="s">
        <v>31</v>
      </c>
      <c r="H1695">
        <f>Cleaned_Data!K1695</f>
        <v>2.54</v>
      </c>
      <c r="I1695" t="str">
        <f t="shared" si="78"/>
        <v>YES</v>
      </c>
      <c r="J1695">
        <f>Cleaned_Data!J1695</f>
        <v>8</v>
      </c>
      <c r="K1695" t="str">
        <f t="shared" si="79"/>
        <v>2024-04</v>
      </c>
      <c r="L1695">
        <f t="shared" si="80"/>
        <v>0</v>
      </c>
    </row>
    <row r="1696" spans="1:12">
      <c r="A1696" t="s">
        <v>4928</v>
      </c>
      <c r="B1696" t="s">
        <v>4929</v>
      </c>
      <c r="C1696" t="s">
        <v>4930</v>
      </c>
      <c r="D1696" t="s">
        <v>15</v>
      </c>
      <c r="E1696" t="s">
        <v>24</v>
      </c>
      <c r="F1696" t="s">
        <v>29</v>
      </c>
      <c r="G1696" t="s">
        <v>19</v>
      </c>
      <c r="H1696">
        <f>Cleaned_Data!K1696</f>
        <v>5.23</v>
      </c>
      <c r="I1696" t="str">
        <f t="shared" si="78"/>
        <v>YES</v>
      </c>
      <c r="J1696">
        <f>Cleaned_Data!J1696</f>
        <v>8</v>
      </c>
      <c r="K1696" t="str">
        <f t="shared" si="79"/>
        <v>2024-12</v>
      </c>
      <c r="L1696">
        <f t="shared" si="80"/>
        <v>0</v>
      </c>
    </row>
    <row r="1697" spans="1:12">
      <c r="A1697" t="s">
        <v>4931</v>
      </c>
      <c r="B1697" t="s">
        <v>4932</v>
      </c>
      <c r="C1697" t="s">
        <v>4933</v>
      </c>
      <c r="D1697" t="s">
        <v>15</v>
      </c>
      <c r="E1697" t="s">
        <v>24</v>
      </c>
      <c r="F1697" t="s">
        <v>41</v>
      </c>
      <c r="G1697" t="s">
        <v>31</v>
      </c>
      <c r="H1697">
        <f>Cleaned_Data!K1697</f>
        <v>11.52</v>
      </c>
      <c r="I1697" t="str">
        <f t="shared" si="78"/>
        <v>NO</v>
      </c>
      <c r="J1697">
        <f>Cleaned_Data!J1697</f>
        <v>8</v>
      </c>
      <c r="K1697" t="str">
        <f t="shared" si="79"/>
        <v>2024-06</v>
      </c>
      <c r="L1697">
        <f t="shared" si="80"/>
        <v>3.5199999999999996</v>
      </c>
    </row>
    <row r="1698" spans="1:12">
      <c r="A1698" t="s">
        <v>4934</v>
      </c>
      <c r="B1698" t="s">
        <v>4935</v>
      </c>
      <c r="C1698" t="s">
        <v>4936</v>
      </c>
      <c r="D1698" t="s">
        <v>15</v>
      </c>
      <c r="E1698" t="s">
        <v>54</v>
      </c>
      <c r="F1698" t="s">
        <v>17</v>
      </c>
      <c r="G1698" t="s">
        <v>31</v>
      </c>
      <c r="H1698">
        <f>Cleaned_Data!K1698</f>
        <v>1.17</v>
      </c>
      <c r="I1698" t="str">
        <f t="shared" si="78"/>
        <v>YES</v>
      </c>
      <c r="J1698">
        <f>Cleaned_Data!J1698</f>
        <v>8</v>
      </c>
      <c r="K1698" t="str">
        <f t="shared" si="79"/>
        <v>2024-10</v>
      </c>
      <c r="L1698">
        <f t="shared" si="80"/>
        <v>0</v>
      </c>
    </row>
    <row r="1699" spans="1:12">
      <c r="A1699" t="s">
        <v>4937</v>
      </c>
      <c r="B1699" t="s">
        <v>4938</v>
      </c>
      <c r="C1699" t="s">
        <v>4939</v>
      </c>
      <c r="D1699" t="s">
        <v>35</v>
      </c>
      <c r="E1699" t="s">
        <v>16</v>
      </c>
      <c r="F1699" t="s">
        <v>17</v>
      </c>
      <c r="G1699" t="s">
        <v>19</v>
      </c>
      <c r="H1699">
        <f>Cleaned_Data!K1699</f>
        <v>38.65</v>
      </c>
      <c r="I1699" t="str">
        <f t="shared" si="78"/>
        <v>YES</v>
      </c>
      <c r="J1699">
        <f>Cleaned_Data!J1699</f>
        <v>48</v>
      </c>
      <c r="K1699" t="str">
        <f t="shared" si="79"/>
        <v>2024-08</v>
      </c>
      <c r="L1699">
        <f t="shared" si="80"/>
        <v>0</v>
      </c>
    </row>
    <row r="1700" spans="1:12">
      <c r="A1700" t="s">
        <v>4940</v>
      </c>
      <c r="B1700" t="s">
        <v>4941</v>
      </c>
      <c r="D1700" t="s">
        <v>23</v>
      </c>
      <c r="E1700" t="s">
        <v>16</v>
      </c>
      <c r="F1700" t="s">
        <v>29</v>
      </c>
      <c r="G1700" t="s">
        <v>46</v>
      </c>
      <c r="H1700">
        <f>Cleaned_Data!K1700</f>
        <v>0</v>
      </c>
      <c r="I1700" t="str">
        <f t="shared" si="78"/>
        <v/>
      </c>
      <c r="J1700">
        <f>Cleaned_Data!J1700</f>
        <v>24</v>
      </c>
      <c r="K1700" t="str">
        <f t="shared" si="79"/>
        <v>2024-03</v>
      </c>
      <c r="L1700">
        <f t="shared" si="80"/>
        <v>0</v>
      </c>
    </row>
    <row r="1701" spans="1:12">
      <c r="A1701" t="s">
        <v>4942</v>
      </c>
      <c r="B1701" t="s">
        <v>4943</v>
      </c>
      <c r="C1701" t="s">
        <v>4944</v>
      </c>
      <c r="D1701" t="s">
        <v>23</v>
      </c>
      <c r="E1701" t="s">
        <v>59</v>
      </c>
      <c r="F1701" t="s">
        <v>41</v>
      </c>
      <c r="G1701" t="s">
        <v>31</v>
      </c>
      <c r="H1701">
        <f>Cleaned_Data!K1701</f>
        <v>16.010000000000002</v>
      </c>
      <c r="I1701" t="str">
        <f t="shared" si="78"/>
        <v>YES</v>
      </c>
      <c r="J1701">
        <f>Cleaned_Data!J1701</f>
        <v>24</v>
      </c>
      <c r="K1701" t="str">
        <f t="shared" si="79"/>
        <v>2024-08</v>
      </c>
      <c r="L1701">
        <f t="shared" si="80"/>
        <v>0</v>
      </c>
    </row>
    <row r="1702" spans="1:12">
      <c r="A1702" t="s">
        <v>4945</v>
      </c>
      <c r="B1702" t="s">
        <v>4946</v>
      </c>
      <c r="C1702" t="s">
        <v>4947</v>
      </c>
      <c r="D1702" t="s">
        <v>23</v>
      </c>
      <c r="E1702" t="s">
        <v>16</v>
      </c>
      <c r="F1702" t="s">
        <v>36</v>
      </c>
      <c r="G1702" t="s">
        <v>19</v>
      </c>
      <c r="H1702">
        <f>Cleaned_Data!K1702</f>
        <v>7.99</v>
      </c>
      <c r="I1702" t="str">
        <f t="shared" si="78"/>
        <v>YES</v>
      </c>
      <c r="J1702">
        <f>Cleaned_Data!J1702</f>
        <v>24</v>
      </c>
      <c r="K1702" t="str">
        <f t="shared" si="79"/>
        <v>2024-01</v>
      </c>
      <c r="L1702">
        <f t="shared" si="80"/>
        <v>0</v>
      </c>
    </row>
    <row r="1703" spans="1:12">
      <c r="A1703" t="s">
        <v>4948</v>
      </c>
      <c r="B1703" t="s">
        <v>4949</v>
      </c>
      <c r="C1703" t="s">
        <v>4950</v>
      </c>
      <c r="D1703" t="s">
        <v>23</v>
      </c>
      <c r="E1703" t="s">
        <v>54</v>
      </c>
      <c r="F1703" t="s">
        <v>17</v>
      </c>
      <c r="G1703" t="s">
        <v>19</v>
      </c>
      <c r="H1703">
        <f>Cleaned_Data!K1703</f>
        <v>6.29</v>
      </c>
      <c r="I1703" t="str">
        <f t="shared" si="78"/>
        <v>YES</v>
      </c>
      <c r="J1703">
        <f>Cleaned_Data!J1703</f>
        <v>24</v>
      </c>
      <c r="K1703" t="str">
        <f t="shared" si="79"/>
        <v>2024-06</v>
      </c>
      <c r="L1703">
        <f t="shared" si="80"/>
        <v>0</v>
      </c>
    </row>
    <row r="1704" spans="1:12">
      <c r="A1704" t="s">
        <v>4951</v>
      </c>
      <c r="B1704" t="s">
        <v>4952</v>
      </c>
      <c r="C1704" t="s">
        <v>4953</v>
      </c>
      <c r="D1704" t="s">
        <v>23</v>
      </c>
      <c r="E1704" t="s">
        <v>28</v>
      </c>
      <c r="F1704" t="s">
        <v>36</v>
      </c>
      <c r="G1704" t="s">
        <v>31</v>
      </c>
      <c r="H1704">
        <f>Cleaned_Data!K1704</f>
        <v>39.340000000000003</v>
      </c>
      <c r="I1704" t="str">
        <f t="shared" si="78"/>
        <v>NO</v>
      </c>
      <c r="J1704">
        <f>Cleaned_Data!J1704</f>
        <v>24</v>
      </c>
      <c r="K1704" t="str">
        <f t="shared" si="79"/>
        <v>2024-12</v>
      </c>
      <c r="L1704">
        <f t="shared" si="80"/>
        <v>15.340000000000003</v>
      </c>
    </row>
    <row r="1705" spans="1:12">
      <c r="A1705" t="s">
        <v>4954</v>
      </c>
      <c r="B1705" t="s">
        <v>4955</v>
      </c>
      <c r="D1705" t="s">
        <v>35</v>
      </c>
      <c r="E1705" t="s">
        <v>59</v>
      </c>
      <c r="F1705" t="s">
        <v>17</v>
      </c>
      <c r="G1705" t="s">
        <v>63</v>
      </c>
      <c r="H1705">
        <f>Cleaned_Data!K1705</f>
        <v>0</v>
      </c>
      <c r="I1705" t="str">
        <f t="shared" si="78"/>
        <v/>
      </c>
      <c r="J1705">
        <f>Cleaned_Data!J1705</f>
        <v>48</v>
      </c>
      <c r="K1705" t="str">
        <f t="shared" si="79"/>
        <v>2024-12</v>
      </c>
      <c r="L1705">
        <f t="shared" si="80"/>
        <v>0</v>
      </c>
    </row>
    <row r="1706" spans="1:12">
      <c r="A1706" t="s">
        <v>4956</v>
      </c>
      <c r="B1706" t="s">
        <v>4957</v>
      </c>
      <c r="C1706" t="s">
        <v>4958</v>
      </c>
      <c r="D1706" t="s">
        <v>35</v>
      </c>
      <c r="E1706" t="s">
        <v>16</v>
      </c>
      <c r="F1706" t="s">
        <v>41</v>
      </c>
      <c r="G1706" t="s">
        <v>19</v>
      </c>
      <c r="H1706">
        <f>Cleaned_Data!K1706</f>
        <v>14.38</v>
      </c>
      <c r="I1706" t="str">
        <f t="shared" si="78"/>
        <v>YES</v>
      </c>
      <c r="J1706">
        <f>Cleaned_Data!J1706</f>
        <v>48</v>
      </c>
      <c r="K1706" t="str">
        <f t="shared" si="79"/>
        <v>2024-10</v>
      </c>
      <c r="L1706">
        <f t="shared" si="80"/>
        <v>0</v>
      </c>
    </row>
    <row r="1707" spans="1:12">
      <c r="A1707" t="s">
        <v>4959</v>
      </c>
      <c r="B1707" t="s">
        <v>4960</v>
      </c>
      <c r="C1707" t="s">
        <v>4961</v>
      </c>
      <c r="D1707" t="s">
        <v>23</v>
      </c>
      <c r="E1707" t="s">
        <v>28</v>
      </c>
      <c r="F1707" t="s">
        <v>36</v>
      </c>
      <c r="G1707" t="s">
        <v>31</v>
      </c>
      <c r="H1707">
        <f>Cleaned_Data!K1707</f>
        <v>16.510000000000002</v>
      </c>
      <c r="I1707" t="str">
        <f t="shared" si="78"/>
        <v>YES</v>
      </c>
      <c r="J1707">
        <f>Cleaned_Data!J1707</f>
        <v>24</v>
      </c>
      <c r="K1707" t="str">
        <f t="shared" si="79"/>
        <v>2024-08</v>
      </c>
      <c r="L1707">
        <f t="shared" si="80"/>
        <v>0</v>
      </c>
    </row>
    <row r="1708" spans="1:12">
      <c r="A1708" t="s">
        <v>4962</v>
      </c>
      <c r="B1708" t="s">
        <v>4963</v>
      </c>
      <c r="D1708" t="s">
        <v>23</v>
      </c>
      <c r="E1708" t="s">
        <v>24</v>
      </c>
      <c r="F1708" t="s">
        <v>41</v>
      </c>
      <c r="G1708" t="s">
        <v>63</v>
      </c>
      <c r="H1708">
        <f>Cleaned_Data!K1708</f>
        <v>0</v>
      </c>
      <c r="I1708" t="str">
        <f t="shared" si="78"/>
        <v/>
      </c>
      <c r="J1708">
        <f>Cleaned_Data!J1708</f>
        <v>24</v>
      </c>
      <c r="K1708" t="str">
        <f t="shared" si="79"/>
        <v>2024-06</v>
      </c>
      <c r="L1708">
        <f t="shared" si="80"/>
        <v>0</v>
      </c>
    </row>
    <row r="1709" spans="1:12">
      <c r="A1709" t="s">
        <v>4964</v>
      </c>
      <c r="B1709" t="s">
        <v>4965</v>
      </c>
      <c r="C1709" t="s">
        <v>4966</v>
      </c>
      <c r="D1709" t="s">
        <v>23</v>
      </c>
      <c r="E1709" t="s">
        <v>59</v>
      </c>
      <c r="F1709" t="s">
        <v>29</v>
      </c>
      <c r="G1709" t="s">
        <v>19</v>
      </c>
      <c r="H1709">
        <f>Cleaned_Data!K1709</f>
        <v>18.760000000000002</v>
      </c>
      <c r="I1709" t="str">
        <f t="shared" si="78"/>
        <v>YES</v>
      </c>
      <c r="J1709">
        <f>Cleaned_Data!J1709</f>
        <v>24</v>
      </c>
      <c r="K1709" t="str">
        <f t="shared" si="79"/>
        <v>2024-01</v>
      </c>
      <c r="L1709">
        <f t="shared" si="80"/>
        <v>0</v>
      </c>
    </row>
    <row r="1710" spans="1:12">
      <c r="A1710" t="s">
        <v>4967</v>
      </c>
      <c r="B1710" t="s">
        <v>4968</v>
      </c>
      <c r="D1710" t="s">
        <v>35</v>
      </c>
      <c r="E1710" t="s">
        <v>24</v>
      </c>
      <c r="F1710" t="s">
        <v>41</v>
      </c>
      <c r="G1710" t="s">
        <v>46</v>
      </c>
      <c r="H1710">
        <f>Cleaned_Data!K1710</f>
        <v>0</v>
      </c>
      <c r="I1710" t="str">
        <f t="shared" si="78"/>
        <v/>
      </c>
      <c r="J1710">
        <f>Cleaned_Data!J1710</f>
        <v>48</v>
      </c>
      <c r="K1710" t="str">
        <f t="shared" si="79"/>
        <v>2024-04</v>
      </c>
      <c r="L1710">
        <f t="shared" si="80"/>
        <v>0</v>
      </c>
    </row>
    <row r="1711" spans="1:12">
      <c r="A1711" t="s">
        <v>4969</v>
      </c>
      <c r="B1711" t="s">
        <v>4970</v>
      </c>
      <c r="D1711" t="s">
        <v>35</v>
      </c>
      <c r="E1711" t="s">
        <v>16</v>
      </c>
      <c r="F1711" t="s">
        <v>41</v>
      </c>
      <c r="G1711" t="s">
        <v>63</v>
      </c>
      <c r="H1711">
        <f>Cleaned_Data!K1711</f>
        <v>0</v>
      </c>
      <c r="I1711" t="str">
        <f t="shared" si="78"/>
        <v/>
      </c>
      <c r="J1711">
        <f>Cleaned_Data!J1711</f>
        <v>48</v>
      </c>
      <c r="K1711" t="str">
        <f t="shared" si="79"/>
        <v>2024-01</v>
      </c>
      <c r="L1711">
        <f t="shared" si="80"/>
        <v>0</v>
      </c>
    </row>
    <row r="1712" spans="1:12">
      <c r="A1712" t="s">
        <v>4971</v>
      </c>
      <c r="B1712" t="s">
        <v>4972</v>
      </c>
      <c r="C1712" t="s">
        <v>4973</v>
      </c>
      <c r="D1712" t="s">
        <v>23</v>
      </c>
      <c r="E1712" t="s">
        <v>16</v>
      </c>
      <c r="F1712" t="s">
        <v>36</v>
      </c>
      <c r="G1712" t="s">
        <v>19</v>
      </c>
      <c r="H1712">
        <f>Cleaned_Data!K1712</f>
        <v>11.71</v>
      </c>
      <c r="I1712" t="str">
        <f t="shared" si="78"/>
        <v>YES</v>
      </c>
      <c r="J1712">
        <f>Cleaned_Data!J1712</f>
        <v>24</v>
      </c>
      <c r="K1712" t="str">
        <f t="shared" si="79"/>
        <v>2024-07</v>
      </c>
      <c r="L1712">
        <f t="shared" si="80"/>
        <v>0</v>
      </c>
    </row>
    <row r="1713" spans="1:12">
      <c r="A1713" t="s">
        <v>4974</v>
      </c>
      <c r="B1713" t="s">
        <v>4975</v>
      </c>
      <c r="C1713" t="s">
        <v>4976</v>
      </c>
      <c r="D1713" t="s">
        <v>23</v>
      </c>
      <c r="E1713" t="s">
        <v>59</v>
      </c>
      <c r="F1713" t="s">
        <v>60</v>
      </c>
      <c r="G1713" t="s">
        <v>19</v>
      </c>
      <c r="H1713">
        <f>Cleaned_Data!K1713</f>
        <v>9.4700000000000006</v>
      </c>
      <c r="I1713" t="str">
        <f t="shared" si="78"/>
        <v>YES</v>
      </c>
      <c r="J1713">
        <f>Cleaned_Data!J1713</f>
        <v>24</v>
      </c>
      <c r="K1713" t="str">
        <f t="shared" si="79"/>
        <v>2024-03</v>
      </c>
      <c r="L1713">
        <f t="shared" si="80"/>
        <v>0</v>
      </c>
    </row>
    <row r="1714" spans="1:12">
      <c r="A1714" t="s">
        <v>4977</v>
      </c>
      <c r="B1714" t="s">
        <v>4978</v>
      </c>
      <c r="C1714" t="s">
        <v>4979</v>
      </c>
      <c r="D1714" t="s">
        <v>23</v>
      </c>
      <c r="E1714" t="s">
        <v>59</v>
      </c>
      <c r="F1714" t="s">
        <v>29</v>
      </c>
      <c r="G1714" t="s">
        <v>31</v>
      </c>
      <c r="H1714">
        <f>Cleaned_Data!K1714</f>
        <v>12.49</v>
      </c>
      <c r="I1714" t="str">
        <f t="shared" si="78"/>
        <v>YES</v>
      </c>
      <c r="J1714">
        <f>Cleaned_Data!J1714</f>
        <v>24</v>
      </c>
      <c r="K1714" t="str">
        <f t="shared" si="79"/>
        <v>2024-06</v>
      </c>
      <c r="L1714">
        <f t="shared" si="80"/>
        <v>0</v>
      </c>
    </row>
    <row r="1715" spans="1:12">
      <c r="A1715" t="s">
        <v>4980</v>
      </c>
      <c r="B1715" t="s">
        <v>4981</v>
      </c>
      <c r="C1715" t="s">
        <v>4982</v>
      </c>
      <c r="D1715" t="s">
        <v>35</v>
      </c>
      <c r="E1715" t="s">
        <v>24</v>
      </c>
      <c r="F1715" t="s">
        <v>29</v>
      </c>
      <c r="G1715" t="s">
        <v>19</v>
      </c>
      <c r="H1715">
        <f>Cleaned_Data!K1715</f>
        <v>23.84</v>
      </c>
      <c r="I1715" t="str">
        <f t="shared" si="78"/>
        <v>YES</v>
      </c>
      <c r="J1715">
        <f>Cleaned_Data!J1715</f>
        <v>48</v>
      </c>
      <c r="K1715" t="str">
        <f t="shared" si="79"/>
        <v>2024-05</v>
      </c>
      <c r="L1715">
        <f t="shared" si="80"/>
        <v>0</v>
      </c>
    </row>
    <row r="1716" spans="1:12">
      <c r="A1716" t="s">
        <v>4983</v>
      </c>
      <c r="B1716" t="s">
        <v>4984</v>
      </c>
      <c r="D1716" t="s">
        <v>23</v>
      </c>
      <c r="E1716" t="s">
        <v>16</v>
      </c>
      <c r="F1716" t="s">
        <v>29</v>
      </c>
      <c r="G1716" t="s">
        <v>63</v>
      </c>
      <c r="H1716">
        <f>Cleaned_Data!K1716</f>
        <v>0</v>
      </c>
      <c r="I1716" t="str">
        <f t="shared" si="78"/>
        <v/>
      </c>
      <c r="J1716">
        <f>Cleaned_Data!J1716</f>
        <v>24</v>
      </c>
      <c r="K1716" t="str">
        <f t="shared" si="79"/>
        <v>2024-12</v>
      </c>
      <c r="L1716">
        <f t="shared" si="80"/>
        <v>0</v>
      </c>
    </row>
    <row r="1717" spans="1:12">
      <c r="A1717" t="s">
        <v>4985</v>
      </c>
      <c r="B1717" t="s">
        <v>4986</v>
      </c>
      <c r="C1717" t="s">
        <v>4987</v>
      </c>
      <c r="D1717" t="s">
        <v>15</v>
      </c>
      <c r="E1717" t="s">
        <v>28</v>
      </c>
      <c r="F1717" t="s">
        <v>17</v>
      </c>
      <c r="G1717" t="s">
        <v>19</v>
      </c>
      <c r="H1717">
        <f>Cleaned_Data!K1717</f>
        <v>2.2000000000000002</v>
      </c>
      <c r="I1717" t="str">
        <f t="shared" si="78"/>
        <v>YES</v>
      </c>
      <c r="J1717">
        <f>Cleaned_Data!J1717</f>
        <v>8</v>
      </c>
      <c r="K1717" t="str">
        <f t="shared" si="79"/>
        <v>2024-08</v>
      </c>
      <c r="L1717">
        <f t="shared" si="80"/>
        <v>0</v>
      </c>
    </row>
    <row r="1718" spans="1:12">
      <c r="A1718" t="s">
        <v>4988</v>
      </c>
      <c r="B1718" t="s">
        <v>4989</v>
      </c>
      <c r="C1718" t="s">
        <v>4990</v>
      </c>
      <c r="D1718" t="s">
        <v>35</v>
      </c>
      <c r="E1718" t="s">
        <v>16</v>
      </c>
      <c r="F1718" t="s">
        <v>60</v>
      </c>
      <c r="G1718" t="s">
        <v>19</v>
      </c>
      <c r="H1718">
        <f>Cleaned_Data!K1718</f>
        <v>4.96</v>
      </c>
      <c r="I1718" t="str">
        <f t="shared" si="78"/>
        <v>YES</v>
      </c>
      <c r="J1718">
        <f>Cleaned_Data!J1718</f>
        <v>48</v>
      </c>
      <c r="K1718" t="str">
        <f t="shared" si="79"/>
        <v>2024-02</v>
      </c>
      <c r="L1718">
        <f t="shared" si="80"/>
        <v>0</v>
      </c>
    </row>
    <row r="1719" spans="1:12">
      <c r="A1719" t="s">
        <v>4991</v>
      </c>
      <c r="B1719" t="s">
        <v>4992</v>
      </c>
      <c r="C1719" t="s">
        <v>4993</v>
      </c>
      <c r="D1719" t="s">
        <v>35</v>
      </c>
      <c r="E1719" t="s">
        <v>16</v>
      </c>
      <c r="F1719" t="s">
        <v>29</v>
      </c>
      <c r="G1719" t="s">
        <v>19</v>
      </c>
      <c r="H1719">
        <f>Cleaned_Data!K1719</f>
        <v>37.31</v>
      </c>
      <c r="I1719" t="str">
        <f t="shared" si="78"/>
        <v>YES</v>
      </c>
      <c r="J1719">
        <f>Cleaned_Data!J1719</f>
        <v>48</v>
      </c>
      <c r="K1719" t="str">
        <f t="shared" si="79"/>
        <v>2024-09</v>
      </c>
      <c r="L1719">
        <f t="shared" si="80"/>
        <v>0</v>
      </c>
    </row>
    <row r="1720" spans="1:12">
      <c r="A1720" t="s">
        <v>4994</v>
      </c>
      <c r="B1720" t="s">
        <v>4995</v>
      </c>
      <c r="C1720" t="s">
        <v>4996</v>
      </c>
      <c r="D1720" t="s">
        <v>23</v>
      </c>
      <c r="E1720" t="s">
        <v>16</v>
      </c>
      <c r="F1720" t="s">
        <v>17</v>
      </c>
      <c r="G1720" t="s">
        <v>19</v>
      </c>
      <c r="H1720">
        <f>Cleaned_Data!K1720</f>
        <v>17.73</v>
      </c>
      <c r="I1720" t="str">
        <f t="shared" si="78"/>
        <v>YES</v>
      </c>
      <c r="J1720">
        <f>Cleaned_Data!J1720</f>
        <v>24</v>
      </c>
      <c r="K1720" t="str">
        <f t="shared" si="79"/>
        <v>2024-06</v>
      </c>
      <c r="L1720">
        <f t="shared" si="80"/>
        <v>0</v>
      </c>
    </row>
    <row r="1721" spans="1:12">
      <c r="A1721" t="s">
        <v>4997</v>
      </c>
      <c r="B1721" t="s">
        <v>4998</v>
      </c>
      <c r="C1721" t="s">
        <v>4999</v>
      </c>
      <c r="D1721" t="s">
        <v>23</v>
      </c>
      <c r="E1721" t="s">
        <v>24</v>
      </c>
      <c r="F1721" t="s">
        <v>17</v>
      </c>
      <c r="G1721" t="s">
        <v>19</v>
      </c>
      <c r="H1721">
        <f>Cleaned_Data!K1721</f>
        <v>12.69</v>
      </c>
      <c r="I1721" t="str">
        <f t="shared" si="78"/>
        <v>YES</v>
      </c>
      <c r="J1721">
        <f>Cleaned_Data!J1721</f>
        <v>24</v>
      </c>
      <c r="K1721" t="str">
        <f t="shared" si="79"/>
        <v>2024-09</v>
      </c>
      <c r="L1721">
        <f t="shared" si="80"/>
        <v>0</v>
      </c>
    </row>
    <row r="1722" spans="1:12">
      <c r="A1722" t="s">
        <v>5000</v>
      </c>
      <c r="B1722" t="s">
        <v>5001</v>
      </c>
      <c r="C1722" t="s">
        <v>5002</v>
      </c>
      <c r="D1722" t="s">
        <v>35</v>
      </c>
      <c r="E1722" t="s">
        <v>54</v>
      </c>
      <c r="F1722" t="s">
        <v>29</v>
      </c>
      <c r="G1722" t="s">
        <v>31</v>
      </c>
      <c r="H1722">
        <f>Cleaned_Data!K1722</f>
        <v>13.34</v>
      </c>
      <c r="I1722" t="str">
        <f t="shared" si="78"/>
        <v>YES</v>
      </c>
      <c r="J1722">
        <f>Cleaned_Data!J1722</f>
        <v>48</v>
      </c>
      <c r="K1722" t="str">
        <f t="shared" si="79"/>
        <v>2024-02</v>
      </c>
      <c r="L1722">
        <f t="shared" si="80"/>
        <v>0</v>
      </c>
    </row>
    <row r="1723" spans="1:12">
      <c r="A1723" t="s">
        <v>5003</v>
      </c>
      <c r="B1723" t="s">
        <v>5004</v>
      </c>
      <c r="C1723" t="s">
        <v>5005</v>
      </c>
      <c r="D1723" t="s">
        <v>15</v>
      </c>
      <c r="E1723" t="s">
        <v>24</v>
      </c>
      <c r="F1723" t="s">
        <v>29</v>
      </c>
      <c r="G1723" t="s">
        <v>19</v>
      </c>
      <c r="H1723">
        <f>Cleaned_Data!K1723</f>
        <v>19.02</v>
      </c>
      <c r="I1723" t="str">
        <f t="shared" si="78"/>
        <v>NO</v>
      </c>
      <c r="J1723">
        <f>Cleaned_Data!J1723</f>
        <v>8</v>
      </c>
      <c r="K1723" t="str">
        <f t="shared" si="79"/>
        <v>2024-11</v>
      </c>
      <c r="L1723">
        <f t="shared" si="80"/>
        <v>11.02</v>
      </c>
    </row>
    <row r="1724" spans="1:12">
      <c r="A1724" t="s">
        <v>5006</v>
      </c>
      <c r="B1724" t="s">
        <v>5007</v>
      </c>
      <c r="C1724" t="s">
        <v>5008</v>
      </c>
      <c r="D1724" t="s">
        <v>35</v>
      </c>
      <c r="E1724" t="s">
        <v>28</v>
      </c>
      <c r="F1724" t="s">
        <v>29</v>
      </c>
      <c r="G1724" t="s">
        <v>19</v>
      </c>
      <c r="H1724">
        <f>Cleaned_Data!K1724</f>
        <v>17.05</v>
      </c>
      <c r="I1724" t="str">
        <f t="shared" si="78"/>
        <v>YES</v>
      </c>
      <c r="J1724">
        <f>Cleaned_Data!J1724</f>
        <v>48</v>
      </c>
      <c r="K1724" t="str">
        <f t="shared" si="79"/>
        <v>2024-06</v>
      </c>
      <c r="L1724">
        <f t="shared" si="80"/>
        <v>0</v>
      </c>
    </row>
    <row r="1725" spans="1:12">
      <c r="A1725" t="s">
        <v>5009</v>
      </c>
      <c r="B1725" t="s">
        <v>5010</v>
      </c>
      <c r="C1725" t="s">
        <v>5011</v>
      </c>
      <c r="D1725" t="s">
        <v>15</v>
      </c>
      <c r="E1725" t="s">
        <v>54</v>
      </c>
      <c r="F1725" t="s">
        <v>41</v>
      </c>
      <c r="G1725" t="s">
        <v>31</v>
      </c>
      <c r="H1725">
        <f>Cleaned_Data!K1725</f>
        <v>4.1399999999999997</v>
      </c>
      <c r="I1725" t="str">
        <f t="shared" si="78"/>
        <v>YES</v>
      </c>
      <c r="J1725">
        <f>Cleaned_Data!J1725</f>
        <v>8</v>
      </c>
      <c r="K1725" t="str">
        <f t="shared" si="79"/>
        <v>2024-03</v>
      </c>
      <c r="L1725">
        <f t="shared" si="80"/>
        <v>0</v>
      </c>
    </row>
    <row r="1726" spans="1:12">
      <c r="A1726" t="s">
        <v>5012</v>
      </c>
      <c r="B1726" t="s">
        <v>5013</v>
      </c>
      <c r="C1726" t="s">
        <v>5014</v>
      </c>
      <c r="D1726" t="s">
        <v>23</v>
      </c>
      <c r="E1726" t="s">
        <v>28</v>
      </c>
      <c r="F1726" t="s">
        <v>41</v>
      </c>
      <c r="G1726" t="s">
        <v>31</v>
      </c>
      <c r="H1726">
        <f>Cleaned_Data!K1726</f>
        <v>11.02</v>
      </c>
      <c r="I1726" t="str">
        <f t="shared" si="78"/>
        <v>YES</v>
      </c>
      <c r="J1726">
        <f>Cleaned_Data!J1726</f>
        <v>24</v>
      </c>
      <c r="K1726" t="str">
        <f t="shared" si="79"/>
        <v>2024-05</v>
      </c>
      <c r="L1726">
        <f t="shared" si="80"/>
        <v>0</v>
      </c>
    </row>
    <row r="1727" spans="1:12">
      <c r="A1727" t="s">
        <v>5015</v>
      </c>
      <c r="B1727" t="s">
        <v>5016</v>
      </c>
      <c r="C1727" t="s">
        <v>5017</v>
      </c>
      <c r="D1727" t="s">
        <v>23</v>
      </c>
      <c r="E1727" t="s">
        <v>59</v>
      </c>
      <c r="F1727" t="s">
        <v>41</v>
      </c>
      <c r="G1727" t="s">
        <v>19</v>
      </c>
      <c r="H1727">
        <f>Cleaned_Data!K1727</f>
        <v>60.72</v>
      </c>
      <c r="I1727" t="str">
        <f t="shared" si="78"/>
        <v>NO</v>
      </c>
      <c r="J1727">
        <f>Cleaned_Data!J1727</f>
        <v>24</v>
      </c>
      <c r="K1727" t="str">
        <f t="shared" si="79"/>
        <v>2024-12</v>
      </c>
      <c r="L1727">
        <f t="shared" si="80"/>
        <v>36.72</v>
      </c>
    </row>
    <row r="1728" spans="1:12">
      <c r="A1728" t="s">
        <v>5018</v>
      </c>
      <c r="B1728" t="s">
        <v>5019</v>
      </c>
      <c r="C1728" t="s">
        <v>5020</v>
      </c>
      <c r="D1728" t="s">
        <v>23</v>
      </c>
      <c r="E1728" t="s">
        <v>24</v>
      </c>
      <c r="F1728" t="s">
        <v>36</v>
      </c>
      <c r="G1728" t="s">
        <v>19</v>
      </c>
      <c r="H1728">
        <f>Cleaned_Data!K1728</f>
        <v>14.71</v>
      </c>
      <c r="I1728" t="str">
        <f t="shared" si="78"/>
        <v>YES</v>
      </c>
      <c r="J1728">
        <f>Cleaned_Data!J1728</f>
        <v>24</v>
      </c>
      <c r="K1728" t="str">
        <f t="shared" si="79"/>
        <v>2024-04</v>
      </c>
      <c r="L1728">
        <f t="shared" si="80"/>
        <v>0</v>
      </c>
    </row>
    <row r="1729" spans="1:12">
      <c r="A1729" t="s">
        <v>5021</v>
      </c>
      <c r="B1729" t="s">
        <v>5022</v>
      </c>
      <c r="C1729" t="s">
        <v>5023</v>
      </c>
      <c r="D1729" t="s">
        <v>15</v>
      </c>
      <c r="E1729" t="s">
        <v>16</v>
      </c>
      <c r="F1729" t="s">
        <v>41</v>
      </c>
      <c r="G1729" t="s">
        <v>31</v>
      </c>
      <c r="H1729">
        <f>Cleaned_Data!K1729</f>
        <v>5.45</v>
      </c>
      <c r="I1729" t="str">
        <f t="shared" si="78"/>
        <v>YES</v>
      </c>
      <c r="J1729">
        <f>Cleaned_Data!J1729</f>
        <v>8</v>
      </c>
      <c r="K1729" t="str">
        <f t="shared" si="79"/>
        <v>2024-05</v>
      </c>
      <c r="L1729">
        <f t="shared" si="80"/>
        <v>0</v>
      </c>
    </row>
    <row r="1730" spans="1:12">
      <c r="A1730" t="s">
        <v>5024</v>
      </c>
      <c r="B1730" t="s">
        <v>5025</v>
      </c>
      <c r="C1730" t="s">
        <v>5026</v>
      </c>
      <c r="D1730" t="s">
        <v>23</v>
      </c>
      <c r="E1730" t="s">
        <v>59</v>
      </c>
      <c r="F1730" t="s">
        <v>41</v>
      </c>
      <c r="G1730" t="s">
        <v>19</v>
      </c>
      <c r="H1730">
        <f>Cleaned_Data!K1730</f>
        <v>16.62</v>
      </c>
      <c r="I1730" t="str">
        <f t="shared" ref="I1730:I1793" si="81">IF(OR(G1730="Resolved", G1730="Closed"), IF(AND(H1730&lt;&gt;"", H1730&lt;=J1730), "YES", "NO"), "")</f>
        <v>YES</v>
      </c>
      <c r="J1730">
        <f>Cleaned_Data!J1730</f>
        <v>24</v>
      </c>
      <c r="K1730" t="str">
        <f t="shared" ref="K1730:K1793" si="82">LEFT(B1730, 7)</f>
        <v>2024-09</v>
      </c>
      <c r="L1730">
        <f t="shared" ref="L1730:L1793" si="83">IF(I1730="NO", H1730-J1730, 0)</f>
        <v>0</v>
      </c>
    </row>
    <row r="1731" spans="1:12">
      <c r="A1731" t="s">
        <v>5027</v>
      </c>
      <c r="B1731" t="s">
        <v>5028</v>
      </c>
      <c r="C1731" t="s">
        <v>5029</v>
      </c>
      <c r="D1731" t="s">
        <v>23</v>
      </c>
      <c r="E1731" t="s">
        <v>16</v>
      </c>
      <c r="F1731" t="s">
        <v>29</v>
      </c>
      <c r="G1731" t="s">
        <v>19</v>
      </c>
      <c r="H1731">
        <f>Cleaned_Data!K1731</f>
        <v>5.95</v>
      </c>
      <c r="I1731" t="str">
        <f t="shared" si="81"/>
        <v>YES</v>
      </c>
      <c r="J1731">
        <f>Cleaned_Data!J1731</f>
        <v>24</v>
      </c>
      <c r="K1731" t="str">
        <f t="shared" si="82"/>
        <v>2024-12</v>
      </c>
      <c r="L1731">
        <f t="shared" si="83"/>
        <v>0</v>
      </c>
    </row>
    <row r="1732" spans="1:12">
      <c r="A1732" t="s">
        <v>5030</v>
      </c>
      <c r="B1732" t="s">
        <v>5031</v>
      </c>
      <c r="C1732" t="s">
        <v>5032</v>
      </c>
      <c r="D1732" t="s">
        <v>15</v>
      </c>
      <c r="E1732" t="s">
        <v>28</v>
      </c>
      <c r="F1732" t="s">
        <v>29</v>
      </c>
      <c r="G1732" t="s">
        <v>19</v>
      </c>
      <c r="H1732">
        <f>Cleaned_Data!K1732</f>
        <v>6.49</v>
      </c>
      <c r="I1732" t="str">
        <f t="shared" si="81"/>
        <v>YES</v>
      </c>
      <c r="J1732">
        <f>Cleaned_Data!J1732</f>
        <v>8</v>
      </c>
      <c r="K1732" t="str">
        <f t="shared" si="82"/>
        <v>2024-11</v>
      </c>
      <c r="L1732">
        <f t="shared" si="83"/>
        <v>0</v>
      </c>
    </row>
    <row r="1733" spans="1:12">
      <c r="A1733" t="s">
        <v>5033</v>
      </c>
      <c r="B1733" t="s">
        <v>5034</v>
      </c>
      <c r="C1733" t="s">
        <v>5035</v>
      </c>
      <c r="D1733" t="s">
        <v>15</v>
      </c>
      <c r="E1733" t="s">
        <v>28</v>
      </c>
      <c r="F1733" t="s">
        <v>17</v>
      </c>
      <c r="G1733" t="s">
        <v>19</v>
      </c>
      <c r="H1733">
        <f>Cleaned_Data!K1733</f>
        <v>3.11</v>
      </c>
      <c r="I1733" t="str">
        <f t="shared" si="81"/>
        <v>YES</v>
      </c>
      <c r="J1733">
        <f>Cleaned_Data!J1733</f>
        <v>8</v>
      </c>
      <c r="K1733" t="str">
        <f t="shared" si="82"/>
        <v>2024-07</v>
      </c>
      <c r="L1733">
        <f t="shared" si="83"/>
        <v>0</v>
      </c>
    </row>
    <row r="1734" spans="1:12">
      <c r="A1734" t="s">
        <v>5036</v>
      </c>
      <c r="B1734" t="s">
        <v>5037</v>
      </c>
      <c r="C1734" t="s">
        <v>5038</v>
      </c>
      <c r="D1734" t="s">
        <v>23</v>
      </c>
      <c r="E1734" t="s">
        <v>16</v>
      </c>
      <c r="F1734" t="s">
        <v>36</v>
      </c>
      <c r="G1734" t="s">
        <v>19</v>
      </c>
      <c r="H1734">
        <f>Cleaned_Data!K1734</f>
        <v>22.37</v>
      </c>
      <c r="I1734" t="str">
        <f t="shared" si="81"/>
        <v>YES</v>
      </c>
      <c r="J1734">
        <f>Cleaned_Data!J1734</f>
        <v>24</v>
      </c>
      <c r="K1734" t="str">
        <f t="shared" si="82"/>
        <v>2024-11</v>
      </c>
      <c r="L1734">
        <f t="shared" si="83"/>
        <v>0</v>
      </c>
    </row>
    <row r="1735" spans="1:12">
      <c r="A1735" t="s">
        <v>5039</v>
      </c>
      <c r="B1735" t="s">
        <v>5040</v>
      </c>
      <c r="C1735" t="s">
        <v>5041</v>
      </c>
      <c r="D1735" t="s">
        <v>23</v>
      </c>
      <c r="E1735" t="s">
        <v>28</v>
      </c>
      <c r="F1735" t="s">
        <v>41</v>
      </c>
      <c r="G1735" t="s">
        <v>31</v>
      </c>
      <c r="H1735">
        <f>Cleaned_Data!K1735</f>
        <v>42.44</v>
      </c>
      <c r="I1735" t="str">
        <f t="shared" si="81"/>
        <v>NO</v>
      </c>
      <c r="J1735">
        <f>Cleaned_Data!J1735</f>
        <v>24</v>
      </c>
      <c r="K1735" t="str">
        <f t="shared" si="82"/>
        <v>2024-01</v>
      </c>
      <c r="L1735">
        <f t="shared" si="83"/>
        <v>18.439999999999998</v>
      </c>
    </row>
    <row r="1736" spans="1:12">
      <c r="A1736" t="s">
        <v>5042</v>
      </c>
      <c r="B1736" t="s">
        <v>5043</v>
      </c>
      <c r="C1736" t="s">
        <v>5044</v>
      </c>
      <c r="D1736" t="s">
        <v>23</v>
      </c>
      <c r="E1736" t="s">
        <v>28</v>
      </c>
      <c r="F1736" t="s">
        <v>60</v>
      </c>
      <c r="G1736" t="s">
        <v>19</v>
      </c>
      <c r="H1736">
        <f>Cleaned_Data!K1736</f>
        <v>7.76</v>
      </c>
      <c r="I1736" t="str">
        <f t="shared" si="81"/>
        <v>YES</v>
      </c>
      <c r="J1736">
        <f>Cleaned_Data!J1736</f>
        <v>24</v>
      </c>
      <c r="K1736" t="str">
        <f t="shared" si="82"/>
        <v>2024-06</v>
      </c>
      <c r="L1736">
        <f t="shared" si="83"/>
        <v>0</v>
      </c>
    </row>
    <row r="1737" spans="1:12">
      <c r="A1737" t="s">
        <v>5045</v>
      </c>
      <c r="B1737" t="s">
        <v>5046</v>
      </c>
      <c r="C1737" t="s">
        <v>5047</v>
      </c>
      <c r="D1737" t="s">
        <v>23</v>
      </c>
      <c r="E1737" t="s">
        <v>28</v>
      </c>
      <c r="F1737" t="s">
        <v>17</v>
      </c>
      <c r="G1737" t="s">
        <v>19</v>
      </c>
      <c r="H1737">
        <f>Cleaned_Data!K1737</f>
        <v>14.04</v>
      </c>
      <c r="I1737" t="str">
        <f t="shared" si="81"/>
        <v>YES</v>
      </c>
      <c r="J1737">
        <f>Cleaned_Data!J1737</f>
        <v>24</v>
      </c>
      <c r="K1737" t="str">
        <f t="shared" si="82"/>
        <v>2024-05</v>
      </c>
      <c r="L1737">
        <f t="shared" si="83"/>
        <v>0</v>
      </c>
    </row>
    <row r="1738" spans="1:12">
      <c r="A1738" t="s">
        <v>5048</v>
      </c>
      <c r="B1738" t="s">
        <v>5049</v>
      </c>
      <c r="C1738" t="s">
        <v>5050</v>
      </c>
      <c r="D1738" t="s">
        <v>23</v>
      </c>
      <c r="E1738" t="s">
        <v>28</v>
      </c>
      <c r="F1738" t="s">
        <v>60</v>
      </c>
      <c r="G1738" t="s">
        <v>19</v>
      </c>
      <c r="H1738">
        <f>Cleaned_Data!K1738</f>
        <v>55.91</v>
      </c>
      <c r="I1738" t="str">
        <f t="shared" si="81"/>
        <v>NO</v>
      </c>
      <c r="J1738">
        <f>Cleaned_Data!J1738</f>
        <v>24</v>
      </c>
      <c r="K1738" t="str">
        <f t="shared" si="82"/>
        <v>2024-06</v>
      </c>
      <c r="L1738">
        <f t="shared" si="83"/>
        <v>31.909999999999997</v>
      </c>
    </row>
    <row r="1739" spans="1:12">
      <c r="A1739" t="s">
        <v>5051</v>
      </c>
      <c r="B1739" t="s">
        <v>5052</v>
      </c>
      <c r="C1739" t="s">
        <v>5053</v>
      </c>
      <c r="D1739" t="s">
        <v>23</v>
      </c>
      <c r="E1739" t="s">
        <v>28</v>
      </c>
      <c r="F1739" t="s">
        <v>17</v>
      </c>
      <c r="G1739" t="s">
        <v>19</v>
      </c>
      <c r="H1739">
        <f>Cleaned_Data!K1739</f>
        <v>2.63</v>
      </c>
      <c r="I1739" t="str">
        <f t="shared" si="81"/>
        <v>YES</v>
      </c>
      <c r="J1739">
        <f>Cleaned_Data!J1739</f>
        <v>24</v>
      </c>
      <c r="K1739" t="str">
        <f t="shared" si="82"/>
        <v>2024-02</v>
      </c>
      <c r="L1739">
        <f t="shared" si="83"/>
        <v>0</v>
      </c>
    </row>
    <row r="1740" spans="1:12">
      <c r="A1740" t="s">
        <v>5054</v>
      </c>
      <c r="B1740" t="s">
        <v>5055</v>
      </c>
      <c r="C1740" t="s">
        <v>5056</v>
      </c>
      <c r="D1740" t="s">
        <v>158</v>
      </c>
      <c r="E1740" t="s">
        <v>28</v>
      </c>
      <c r="F1740" t="s">
        <v>29</v>
      </c>
      <c r="G1740" t="s">
        <v>19</v>
      </c>
      <c r="H1740">
        <f>Cleaned_Data!K1740</f>
        <v>3.16</v>
      </c>
      <c r="I1740" t="str">
        <f t="shared" si="81"/>
        <v>YES</v>
      </c>
      <c r="J1740">
        <f>Cleaned_Data!J1740</f>
        <v>4</v>
      </c>
      <c r="K1740" t="str">
        <f t="shared" si="82"/>
        <v>2024-11</v>
      </c>
      <c r="L1740">
        <f t="shared" si="83"/>
        <v>0</v>
      </c>
    </row>
    <row r="1741" spans="1:12">
      <c r="A1741" t="s">
        <v>5057</v>
      </c>
      <c r="B1741" t="s">
        <v>5058</v>
      </c>
      <c r="C1741" t="s">
        <v>5059</v>
      </c>
      <c r="D1741" t="s">
        <v>35</v>
      </c>
      <c r="E1741" t="s">
        <v>28</v>
      </c>
      <c r="F1741" t="s">
        <v>17</v>
      </c>
      <c r="G1741" t="s">
        <v>19</v>
      </c>
      <c r="H1741">
        <f>Cleaned_Data!K1741</f>
        <v>8.84</v>
      </c>
      <c r="I1741" t="str">
        <f t="shared" si="81"/>
        <v>YES</v>
      </c>
      <c r="J1741">
        <f>Cleaned_Data!J1741</f>
        <v>48</v>
      </c>
      <c r="K1741" t="str">
        <f t="shared" si="82"/>
        <v>2024-04</v>
      </c>
      <c r="L1741">
        <f t="shared" si="83"/>
        <v>0</v>
      </c>
    </row>
    <row r="1742" spans="1:12">
      <c r="A1742" t="s">
        <v>5060</v>
      </c>
      <c r="B1742" t="s">
        <v>5061</v>
      </c>
      <c r="C1742" t="s">
        <v>5062</v>
      </c>
      <c r="D1742" t="s">
        <v>23</v>
      </c>
      <c r="E1742" t="s">
        <v>16</v>
      </c>
      <c r="F1742" t="s">
        <v>36</v>
      </c>
      <c r="G1742" t="s">
        <v>31</v>
      </c>
      <c r="H1742">
        <f>Cleaned_Data!K1742</f>
        <v>32</v>
      </c>
      <c r="I1742" t="str">
        <f t="shared" si="81"/>
        <v>NO</v>
      </c>
      <c r="J1742">
        <f>Cleaned_Data!J1742</f>
        <v>24</v>
      </c>
      <c r="K1742" t="str">
        <f t="shared" si="82"/>
        <v>2024-09</v>
      </c>
      <c r="L1742">
        <f t="shared" si="83"/>
        <v>8</v>
      </c>
    </row>
    <row r="1743" spans="1:12">
      <c r="A1743" t="s">
        <v>5063</v>
      </c>
      <c r="B1743" t="s">
        <v>5064</v>
      </c>
      <c r="C1743" t="s">
        <v>5065</v>
      </c>
      <c r="D1743" t="s">
        <v>23</v>
      </c>
      <c r="E1743" t="s">
        <v>24</v>
      </c>
      <c r="F1743" t="s">
        <v>60</v>
      </c>
      <c r="G1743" t="s">
        <v>19</v>
      </c>
      <c r="H1743">
        <f>Cleaned_Data!K1743</f>
        <v>19.53</v>
      </c>
      <c r="I1743" t="str">
        <f t="shared" si="81"/>
        <v>YES</v>
      </c>
      <c r="J1743">
        <f>Cleaned_Data!J1743</f>
        <v>24</v>
      </c>
      <c r="K1743" t="str">
        <f t="shared" si="82"/>
        <v>2024-07</v>
      </c>
      <c r="L1743">
        <f t="shared" si="83"/>
        <v>0</v>
      </c>
    </row>
    <row r="1744" spans="1:12">
      <c r="A1744" t="s">
        <v>5066</v>
      </c>
      <c r="B1744" t="s">
        <v>5067</v>
      </c>
      <c r="C1744" t="s">
        <v>5068</v>
      </c>
      <c r="D1744" t="s">
        <v>35</v>
      </c>
      <c r="E1744" t="s">
        <v>28</v>
      </c>
      <c r="F1744" t="s">
        <v>41</v>
      </c>
      <c r="G1744" t="s">
        <v>31</v>
      </c>
      <c r="H1744">
        <f>Cleaned_Data!K1744</f>
        <v>5.93</v>
      </c>
      <c r="I1744" t="str">
        <f t="shared" si="81"/>
        <v>YES</v>
      </c>
      <c r="J1744">
        <f>Cleaned_Data!J1744</f>
        <v>48</v>
      </c>
      <c r="K1744" t="str">
        <f t="shared" si="82"/>
        <v>2024-03</v>
      </c>
      <c r="L1744">
        <f t="shared" si="83"/>
        <v>0</v>
      </c>
    </row>
    <row r="1745" spans="1:12">
      <c r="A1745" t="s">
        <v>5069</v>
      </c>
      <c r="B1745" t="s">
        <v>5070</v>
      </c>
      <c r="D1745" t="s">
        <v>23</v>
      </c>
      <c r="E1745" t="s">
        <v>28</v>
      </c>
      <c r="F1745" t="s">
        <v>17</v>
      </c>
      <c r="G1745" t="s">
        <v>63</v>
      </c>
      <c r="H1745">
        <f>Cleaned_Data!K1745</f>
        <v>0</v>
      </c>
      <c r="I1745" t="str">
        <f t="shared" si="81"/>
        <v/>
      </c>
      <c r="J1745">
        <f>Cleaned_Data!J1745</f>
        <v>24</v>
      </c>
      <c r="K1745" t="str">
        <f t="shared" si="82"/>
        <v>2024-12</v>
      </c>
      <c r="L1745">
        <f t="shared" si="83"/>
        <v>0</v>
      </c>
    </row>
    <row r="1746" spans="1:12">
      <c r="A1746" t="s">
        <v>5071</v>
      </c>
      <c r="B1746" t="s">
        <v>5072</v>
      </c>
      <c r="C1746" t="s">
        <v>5073</v>
      </c>
      <c r="D1746" t="s">
        <v>23</v>
      </c>
      <c r="E1746" t="s">
        <v>24</v>
      </c>
      <c r="F1746" t="s">
        <v>41</v>
      </c>
      <c r="G1746" t="s">
        <v>31</v>
      </c>
      <c r="H1746">
        <f>Cleaned_Data!K1746</f>
        <v>18</v>
      </c>
      <c r="I1746" t="str">
        <f t="shared" si="81"/>
        <v>YES</v>
      </c>
      <c r="J1746">
        <f>Cleaned_Data!J1746</f>
        <v>24</v>
      </c>
      <c r="K1746" t="str">
        <f t="shared" si="82"/>
        <v>2024-07</v>
      </c>
      <c r="L1746">
        <f t="shared" si="83"/>
        <v>0</v>
      </c>
    </row>
    <row r="1747" spans="1:12">
      <c r="A1747" t="s">
        <v>5074</v>
      </c>
      <c r="B1747" t="s">
        <v>5075</v>
      </c>
      <c r="C1747" t="s">
        <v>5076</v>
      </c>
      <c r="D1747" t="s">
        <v>23</v>
      </c>
      <c r="E1747" t="s">
        <v>28</v>
      </c>
      <c r="F1747" t="s">
        <v>36</v>
      </c>
      <c r="G1747" t="s">
        <v>19</v>
      </c>
      <c r="H1747">
        <f>Cleaned_Data!K1747</f>
        <v>20.59</v>
      </c>
      <c r="I1747" t="str">
        <f t="shared" si="81"/>
        <v>YES</v>
      </c>
      <c r="J1747">
        <f>Cleaned_Data!J1747</f>
        <v>24</v>
      </c>
      <c r="K1747" t="str">
        <f t="shared" si="82"/>
        <v>2024-07</v>
      </c>
      <c r="L1747">
        <f t="shared" si="83"/>
        <v>0</v>
      </c>
    </row>
    <row r="1748" spans="1:12">
      <c r="A1748" t="s">
        <v>5077</v>
      </c>
      <c r="B1748" t="s">
        <v>5078</v>
      </c>
      <c r="C1748" t="s">
        <v>5079</v>
      </c>
      <c r="D1748" t="s">
        <v>158</v>
      </c>
      <c r="E1748" t="s">
        <v>28</v>
      </c>
      <c r="F1748" t="s">
        <v>29</v>
      </c>
      <c r="G1748" t="s">
        <v>31</v>
      </c>
      <c r="H1748">
        <f>Cleaned_Data!K1748</f>
        <v>6.86</v>
      </c>
      <c r="I1748" t="str">
        <f t="shared" si="81"/>
        <v>NO</v>
      </c>
      <c r="J1748">
        <f>Cleaned_Data!J1748</f>
        <v>4</v>
      </c>
      <c r="K1748" t="str">
        <f t="shared" si="82"/>
        <v>2024-09</v>
      </c>
      <c r="L1748">
        <f t="shared" si="83"/>
        <v>2.8600000000000003</v>
      </c>
    </row>
    <row r="1749" spans="1:12">
      <c r="A1749" t="s">
        <v>5080</v>
      </c>
      <c r="B1749" t="s">
        <v>5081</v>
      </c>
      <c r="C1749" t="s">
        <v>5082</v>
      </c>
      <c r="D1749" t="s">
        <v>15</v>
      </c>
      <c r="E1749" t="s">
        <v>28</v>
      </c>
      <c r="F1749" t="s">
        <v>41</v>
      </c>
      <c r="G1749" t="s">
        <v>19</v>
      </c>
      <c r="H1749">
        <f>Cleaned_Data!K1749</f>
        <v>6.51</v>
      </c>
      <c r="I1749" t="str">
        <f t="shared" si="81"/>
        <v>YES</v>
      </c>
      <c r="J1749">
        <f>Cleaned_Data!J1749</f>
        <v>8</v>
      </c>
      <c r="K1749" t="str">
        <f t="shared" si="82"/>
        <v>2024-08</v>
      </c>
      <c r="L1749">
        <f t="shared" si="83"/>
        <v>0</v>
      </c>
    </row>
    <row r="1750" spans="1:12">
      <c r="A1750" t="s">
        <v>5083</v>
      </c>
      <c r="B1750" t="s">
        <v>5084</v>
      </c>
      <c r="C1750" t="s">
        <v>5085</v>
      </c>
      <c r="D1750" t="s">
        <v>35</v>
      </c>
      <c r="E1750" t="s">
        <v>54</v>
      </c>
      <c r="F1750" t="s">
        <v>60</v>
      </c>
      <c r="G1750" t="s">
        <v>19</v>
      </c>
      <c r="H1750">
        <f>Cleaned_Data!K1750</f>
        <v>24.78</v>
      </c>
      <c r="I1750" t="str">
        <f t="shared" si="81"/>
        <v>YES</v>
      </c>
      <c r="J1750">
        <f>Cleaned_Data!J1750</f>
        <v>48</v>
      </c>
      <c r="K1750" t="str">
        <f t="shared" si="82"/>
        <v>2024-08</v>
      </c>
      <c r="L1750">
        <f t="shared" si="83"/>
        <v>0</v>
      </c>
    </row>
    <row r="1751" spans="1:12">
      <c r="A1751" t="s">
        <v>5086</v>
      </c>
      <c r="B1751" t="s">
        <v>5087</v>
      </c>
      <c r="C1751" t="s">
        <v>5088</v>
      </c>
      <c r="D1751" t="s">
        <v>23</v>
      </c>
      <c r="E1751" t="s">
        <v>24</v>
      </c>
      <c r="F1751" t="s">
        <v>29</v>
      </c>
      <c r="G1751" t="s">
        <v>31</v>
      </c>
      <c r="H1751">
        <f>Cleaned_Data!K1751</f>
        <v>7.05</v>
      </c>
      <c r="I1751" t="str">
        <f t="shared" si="81"/>
        <v>YES</v>
      </c>
      <c r="J1751">
        <f>Cleaned_Data!J1751</f>
        <v>24</v>
      </c>
      <c r="K1751" t="str">
        <f t="shared" si="82"/>
        <v>2024-07</v>
      </c>
      <c r="L1751">
        <f t="shared" si="83"/>
        <v>0</v>
      </c>
    </row>
    <row r="1752" spans="1:12">
      <c r="A1752" t="s">
        <v>5089</v>
      </c>
      <c r="B1752" t="s">
        <v>5090</v>
      </c>
      <c r="C1752" t="s">
        <v>5091</v>
      </c>
      <c r="D1752" t="s">
        <v>35</v>
      </c>
      <c r="E1752" t="s">
        <v>54</v>
      </c>
      <c r="F1752" t="s">
        <v>29</v>
      </c>
      <c r="G1752" t="s">
        <v>19</v>
      </c>
      <c r="H1752">
        <f>Cleaned_Data!K1752</f>
        <v>32.380000000000003</v>
      </c>
      <c r="I1752" t="str">
        <f t="shared" si="81"/>
        <v>YES</v>
      </c>
      <c r="J1752">
        <f>Cleaned_Data!J1752</f>
        <v>48</v>
      </c>
      <c r="K1752" t="str">
        <f t="shared" si="82"/>
        <v>2024-05</v>
      </c>
      <c r="L1752">
        <f t="shared" si="83"/>
        <v>0</v>
      </c>
    </row>
    <row r="1753" spans="1:12">
      <c r="A1753" t="s">
        <v>5092</v>
      </c>
      <c r="B1753" t="s">
        <v>5093</v>
      </c>
      <c r="C1753" t="s">
        <v>5094</v>
      </c>
      <c r="D1753" t="s">
        <v>23</v>
      </c>
      <c r="E1753" t="s">
        <v>54</v>
      </c>
      <c r="F1753" t="s">
        <v>60</v>
      </c>
      <c r="G1753" t="s">
        <v>31</v>
      </c>
      <c r="H1753">
        <f>Cleaned_Data!K1753</f>
        <v>6.28</v>
      </c>
      <c r="I1753" t="str">
        <f t="shared" si="81"/>
        <v>YES</v>
      </c>
      <c r="J1753">
        <f>Cleaned_Data!J1753</f>
        <v>24</v>
      </c>
      <c r="K1753" t="str">
        <f t="shared" si="82"/>
        <v>2024-08</v>
      </c>
      <c r="L1753">
        <f t="shared" si="83"/>
        <v>0</v>
      </c>
    </row>
    <row r="1754" spans="1:12">
      <c r="A1754" t="s">
        <v>5095</v>
      </c>
      <c r="B1754" t="s">
        <v>5096</v>
      </c>
      <c r="C1754" t="s">
        <v>5097</v>
      </c>
      <c r="D1754" t="s">
        <v>23</v>
      </c>
      <c r="E1754" t="s">
        <v>28</v>
      </c>
      <c r="F1754" t="s">
        <v>41</v>
      </c>
      <c r="G1754" t="s">
        <v>19</v>
      </c>
      <c r="H1754">
        <f>Cleaned_Data!K1754</f>
        <v>17.14</v>
      </c>
      <c r="I1754" t="str">
        <f t="shared" si="81"/>
        <v>YES</v>
      </c>
      <c r="J1754">
        <f>Cleaned_Data!J1754</f>
        <v>24</v>
      </c>
      <c r="K1754" t="str">
        <f t="shared" si="82"/>
        <v>2024-10</v>
      </c>
      <c r="L1754">
        <f t="shared" si="83"/>
        <v>0</v>
      </c>
    </row>
    <row r="1755" spans="1:12">
      <c r="A1755" t="s">
        <v>5098</v>
      </c>
      <c r="B1755" t="s">
        <v>5099</v>
      </c>
      <c r="C1755" t="s">
        <v>5100</v>
      </c>
      <c r="D1755" t="s">
        <v>15</v>
      </c>
      <c r="E1755" t="s">
        <v>16</v>
      </c>
      <c r="F1755" t="s">
        <v>29</v>
      </c>
      <c r="G1755" t="s">
        <v>31</v>
      </c>
      <c r="H1755">
        <f>Cleaned_Data!K1755</f>
        <v>3.35</v>
      </c>
      <c r="I1755" t="str">
        <f t="shared" si="81"/>
        <v>YES</v>
      </c>
      <c r="J1755">
        <f>Cleaned_Data!J1755</f>
        <v>8</v>
      </c>
      <c r="K1755" t="str">
        <f t="shared" si="82"/>
        <v>2024-04</v>
      </c>
      <c r="L1755">
        <f t="shared" si="83"/>
        <v>0</v>
      </c>
    </row>
    <row r="1756" spans="1:12">
      <c r="A1756" t="s">
        <v>5101</v>
      </c>
      <c r="B1756" t="s">
        <v>5102</v>
      </c>
      <c r="C1756" t="s">
        <v>5103</v>
      </c>
      <c r="D1756" t="s">
        <v>15</v>
      </c>
      <c r="E1756" t="s">
        <v>54</v>
      </c>
      <c r="F1756" t="s">
        <v>60</v>
      </c>
      <c r="G1756" t="s">
        <v>19</v>
      </c>
      <c r="H1756">
        <f>Cleaned_Data!K1756</f>
        <v>2.52</v>
      </c>
      <c r="I1756" t="str">
        <f t="shared" si="81"/>
        <v>YES</v>
      </c>
      <c r="J1756">
        <f>Cleaned_Data!J1756</f>
        <v>8</v>
      </c>
      <c r="K1756" t="str">
        <f t="shared" si="82"/>
        <v>2024-10</v>
      </c>
      <c r="L1756">
        <f t="shared" si="83"/>
        <v>0</v>
      </c>
    </row>
    <row r="1757" spans="1:12">
      <c r="A1757" t="s">
        <v>5104</v>
      </c>
      <c r="B1757" t="s">
        <v>5105</v>
      </c>
      <c r="C1757" t="s">
        <v>5106</v>
      </c>
      <c r="D1757" t="s">
        <v>23</v>
      </c>
      <c r="E1757" t="s">
        <v>16</v>
      </c>
      <c r="F1757" t="s">
        <v>36</v>
      </c>
      <c r="G1757" t="s">
        <v>31</v>
      </c>
      <c r="H1757">
        <f>Cleaned_Data!K1757</f>
        <v>12.5</v>
      </c>
      <c r="I1757" t="str">
        <f t="shared" si="81"/>
        <v>YES</v>
      </c>
      <c r="J1757">
        <f>Cleaned_Data!J1757</f>
        <v>24</v>
      </c>
      <c r="K1757" t="str">
        <f t="shared" si="82"/>
        <v>2024-11</v>
      </c>
      <c r="L1757">
        <f t="shared" si="83"/>
        <v>0</v>
      </c>
    </row>
    <row r="1758" spans="1:12">
      <c r="A1758" t="s">
        <v>5107</v>
      </c>
      <c r="B1758" t="s">
        <v>5108</v>
      </c>
      <c r="C1758" t="s">
        <v>5109</v>
      </c>
      <c r="D1758" t="s">
        <v>23</v>
      </c>
      <c r="E1758" t="s">
        <v>28</v>
      </c>
      <c r="F1758" t="s">
        <v>60</v>
      </c>
      <c r="G1758" t="s">
        <v>19</v>
      </c>
      <c r="H1758">
        <f>Cleaned_Data!K1758</f>
        <v>11.12</v>
      </c>
      <c r="I1758" t="str">
        <f t="shared" si="81"/>
        <v>YES</v>
      </c>
      <c r="J1758">
        <f>Cleaned_Data!J1758</f>
        <v>24</v>
      </c>
      <c r="K1758" t="str">
        <f t="shared" si="82"/>
        <v>2024-08</v>
      </c>
      <c r="L1758">
        <f t="shared" si="83"/>
        <v>0</v>
      </c>
    </row>
    <row r="1759" spans="1:12">
      <c r="A1759" t="s">
        <v>5110</v>
      </c>
      <c r="B1759" t="s">
        <v>5111</v>
      </c>
      <c r="C1759" t="s">
        <v>5112</v>
      </c>
      <c r="D1759" t="s">
        <v>15</v>
      </c>
      <c r="E1759" t="s">
        <v>28</v>
      </c>
      <c r="F1759" t="s">
        <v>29</v>
      </c>
      <c r="G1759" t="s">
        <v>19</v>
      </c>
      <c r="H1759">
        <f>Cleaned_Data!K1759</f>
        <v>5.97</v>
      </c>
      <c r="I1759" t="str">
        <f t="shared" si="81"/>
        <v>YES</v>
      </c>
      <c r="J1759">
        <f>Cleaned_Data!J1759</f>
        <v>8</v>
      </c>
      <c r="K1759" t="str">
        <f t="shared" si="82"/>
        <v>2024-08</v>
      </c>
      <c r="L1759">
        <f t="shared" si="83"/>
        <v>0</v>
      </c>
    </row>
    <row r="1760" spans="1:12">
      <c r="A1760" t="s">
        <v>5113</v>
      </c>
      <c r="B1760" t="s">
        <v>5114</v>
      </c>
      <c r="C1760" t="s">
        <v>5115</v>
      </c>
      <c r="D1760" t="s">
        <v>35</v>
      </c>
      <c r="E1760" t="s">
        <v>28</v>
      </c>
      <c r="F1760" t="s">
        <v>60</v>
      </c>
      <c r="G1760" t="s">
        <v>19</v>
      </c>
      <c r="H1760">
        <f>Cleaned_Data!K1760</f>
        <v>42.57</v>
      </c>
      <c r="I1760" t="str">
        <f t="shared" si="81"/>
        <v>YES</v>
      </c>
      <c r="J1760">
        <f>Cleaned_Data!J1760</f>
        <v>48</v>
      </c>
      <c r="K1760" t="str">
        <f t="shared" si="82"/>
        <v>2024-01</v>
      </c>
      <c r="L1760">
        <f t="shared" si="83"/>
        <v>0</v>
      </c>
    </row>
    <row r="1761" spans="1:12">
      <c r="A1761" t="s">
        <v>5116</v>
      </c>
      <c r="B1761" t="s">
        <v>5117</v>
      </c>
      <c r="C1761" t="s">
        <v>5118</v>
      </c>
      <c r="D1761" t="s">
        <v>158</v>
      </c>
      <c r="E1761" t="s">
        <v>54</v>
      </c>
      <c r="F1761" t="s">
        <v>36</v>
      </c>
      <c r="G1761" t="s">
        <v>19</v>
      </c>
      <c r="H1761">
        <f>Cleaned_Data!K1761</f>
        <v>9.81</v>
      </c>
      <c r="I1761" t="str">
        <f t="shared" si="81"/>
        <v>NO</v>
      </c>
      <c r="J1761">
        <f>Cleaned_Data!J1761</f>
        <v>4</v>
      </c>
      <c r="K1761" t="str">
        <f t="shared" si="82"/>
        <v>2024-03</v>
      </c>
      <c r="L1761">
        <f t="shared" si="83"/>
        <v>5.8100000000000005</v>
      </c>
    </row>
    <row r="1762" spans="1:12">
      <c r="A1762" t="s">
        <v>5119</v>
      </c>
      <c r="B1762" t="s">
        <v>5120</v>
      </c>
      <c r="D1762" t="s">
        <v>15</v>
      </c>
      <c r="E1762" t="s">
        <v>54</v>
      </c>
      <c r="F1762" t="s">
        <v>60</v>
      </c>
      <c r="G1762" t="s">
        <v>63</v>
      </c>
      <c r="H1762">
        <f>Cleaned_Data!K1762</f>
        <v>0</v>
      </c>
      <c r="I1762" t="str">
        <f t="shared" si="81"/>
        <v/>
      </c>
      <c r="J1762">
        <f>Cleaned_Data!J1762</f>
        <v>8</v>
      </c>
      <c r="K1762" t="str">
        <f t="shared" si="82"/>
        <v>2024-04</v>
      </c>
      <c r="L1762">
        <f t="shared" si="83"/>
        <v>0</v>
      </c>
    </row>
    <row r="1763" spans="1:12">
      <c r="A1763" t="s">
        <v>5121</v>
      </c>
      <c r="B1763" t="s">
        <v>5122</v>
      </c>
      <c r="C1763" t="s">
        <v>5123</v>
      </c>
      <c r="D1763" t="s">
        <v>35</v>
      </c>
      <c r="E1763" t="s">
        <v>24</v>
      </c>
      <c r="F1763" t="s">
        <v>60</v>
      </c>
      <c r="G1763" t="s">
        <v>19</v>
      </c>
      <c r="H1763">
        <f>Cleaned_Data!K1763</f>
        <v>37.67</v>
      </c>
      <c r="I1763" t="str">
        <f t="shared" si="81"/>
        <v>YES</v>
      </c>
      <c r="J1763">
        <f>Cleaned_Data!J1763</f>
        <v>48</v>
      </c>
      <c r="K1763" t="str">
        <f t="shared" si="82"/>
        <v>2024-05</v>
      </c>
      <c r="L1763">
        <f t="shared" si="83"/>
        <v>0</v>
      </c>
    </row>
    <row r="1764" spans="1:12">
      <c r="A1764" t="s">
        <v>5124</v>
      </c>
      <c r="B1764" t="s">
        <v>5125</v>
      </c>
      <c r="C1764" t="s">
        <v>5126</v>
      </c>
      <c r="D1764" t="s">
        <v>23</v>
      </c>
      <c r="E1764" t="s">
        <v>24</v>
      </c>
      <c r="F1764" t="s">
        <v>17</v>
      </c>
      <c r="G1764" t="s">
        <v>31</v>
      </c>
      <c r="H1764">
        <f>Cleaned_Data!K1764</f>
        <v>22.27</v>
      </c>
      <c r="I1764" t="str">
        <f t="shared" si="81"/>
        <v>YES</v>
      </c>
      <c r="J1764">
        <f>Cleaned_Data!J1764</f>
        <v>24</v>
      </c>
      <c r="K1764" t="str">
        <f t="shared" si="82"/>
        <v>2024-03</v>
      </c>
      <c r="L1764">
        <f t="shared" si="83"/>
        <v>0</v>
      </c>
    </row>
    <row r="1765" spans="1:12">
      <c r="A1765" t="s">
        <v>5127</v>
      </c>
      <c r="B1765" t="s">
        <v>5128</v>
      </c>
      <c r="C1765" t="s">
        <v>5129</v>
      </c>
      <c r="D1765" t="s">
        <v>158</v>
      </c>
      <c r="E1765" t="s">
        <v>16</v>
      </c>
      <c r="F1765" t="s">
        <v>17</v>
      </c>
      <c r="G1765" t="s">
        <v>19</v>
      </c>
      <c r="H1765">
        <f>Cleaned_Data!K1765</f>
        <v>0.99</v>
      </c>
      <c r="I1765" t="str">
        <f t="shared" si="81"/>
        <v>YES</v>
      </c>
      <c r="J1765">
        <f>Cleaned_Data!J1765</f>
        <v>4</v>
      </c>
      <c r="K1765" t="str">
        <f t="shared" si="82"/>
        <v>2024-02</v>
      </c>
      <c r="L1765">
        <f t="shared" si="83"/>
        <v>0</v>
      </c>
    </row>
    <row r="1766" spans="1:12">
      <c r="A1766" t="s">
        <v>5130</v>
      </c>
      <c r="B1766" t="s">
        <v>5131</v>
      </c>
      <c r="C1766" t="s">
        <v>5132</v>
      </c>
      <c r="D1766" t="s">
        <v>158</v>
      </c>
      <c r="E1766" t="s">
        <v>54</v>
      </c>
      <c r="F1766" t="s">
        <v>41</v>
      </c>
      <c r="G1766" t="s">
        <v>31</v>
      </c>
      <c r="H1766">
        <f>Cleaned_Data!K1766</f>
        <v>7.68</v>
      </c>
      <c r="I1766" t="str">
        <f t="shared" si="81"/>
        <v>NO</v>
      </c>
      <c r="J1766">
        <f>Cleaned_Data!J1766</f>
        <v>4</v>
      </c>
      <c r="K1766" t="str">
        <f t="shared" si="82"/>
        <v>2024-02</v>
      </c>
      <c r="L1766">
        <f t="shared" si="83"/>
        <v>3.6799999999999997</v>
      </c>
    </row>
    <row r="1767" spans="1:12">
      <c r="A1767" t="s">
        <v>5133</v>
      </c>
      <c r="B1767" t="s">
        <v>5134</v>
      </c>
      <c r="C1767" t="s">
        <v>5135</v>
      </c>
      <c r="D1767" t="s">
        <v>158</v>
      </c>
      <c r="E1767" t="s">
        <v>16</v>
      </c>
      <c r="F1767" t="s">
        <v>41</v>
      </c>
      <c r="G1767" t="s">
        <v>31</v>
      </c>
      <c r="H1767">
        <f>Cleaned_Data!K1767</f>
        <v>2.4900000000000002</v>
      </c>
      <c r="I1767" t="str">
        <f t="shared" si="81"/>
        <v>YES</v>
      </c>
      <c r="J1767">
        <f>Cleaned_Data!J1767</f>
        <v>4</v>
      </c>
      <c r="K1767" t="str">
        <f t="shared" si="82"/>
        <v>2024-11</v>
      </c>
      <c r="L1767">
        <f t="shared" si="83"/>
        <v>0</v>
      </c>
    </row>
    <row r="1768" spans="1:12">
      <c r="A1768" t="s">
        <v>5136</v>
      </c>
      <c r="B1768" t="s">
        <v>5137</v>
      </c>
      <c r="D1768" t="s">
        <v>23</v>
      </c>
      <c r="E1768" t="s">
        <v>28</v>
      </c>
      <c r="F1768" t="s">
        <v>41</v>
      </c>
      <c r="G1768" t="s">
        <v>63</v>
      </c>
      <c r="H1768">
        <f>Cleaned_Data!K1768</f>
        <v>0</v>
      </c>
      <c r="I1768" t="str">
        <f t="shared" si="81"/>
        <v/>
      </c>
      <c r="J1768">
        <f>Cleaned_Data!J1768</f>
        <v>24</v>
      </c>
      <c r="K1768" t="str">
        <f t="shared" si="82"/>
        <v>2024-07</v>
      </c>
      <c r="L1768">
        <f t="shared" si="83"/>
        <v>0</v>
      </c>
    </row>
    <row r="1769" spans="1:12">
      <c r="A1769" t="s">
        <v>5138</v>
      </c>
      <c r="B1769" t="s">
        <v>5139</v>
      </c>
      <c r="C1769" t="s">
        <v>5140</v>
      </c>
      <c r="D1769" t="s">
        <v>23</v>
      </c>
      <c r="E1769" t="s">
        <v>28</v>
      </c>
      <c r="F1769" t="s">
        <v>17</v>
      </c>
      <c r="G1769" t="s">
        <v>19</v>
      </c>
      <c r="H1769">
        <f>Cleaned_Data!K1769</f>
        <v>19.47</v>
      </c>
      <c r="I1769" t="str">
        <f t="shared" si="81"/>
        <v>YES</v>
      </c>
      <c r="J1769">
        <f>Cleaned_Data!J1769</f>
        <v>24</v>
      </c>
      <c r="K1769" t="str">
        <f t="shared" si="82"/>
        <v>2024-08</v>
      </c>
      <c r="L1769">
        <f t="shared" si="83"/>
        <v>0</v>
      </c>
    </row>
    <row r="1770" spans="1:12">
      <c r="A1770" t="s">
        <v>5141</v>
      </c>
      <c r="B1770" t="s">
        <v>5142</v>
      </c>
      <c r="C1770" t="s">
        <v>5143</v>
      </c>
      <c r="D1770" t="s">
        <v>23</v>
      </c>
      <c r="E1770" t="s">
        <v>28</v>
      </c>
      <c r="F1770" t="s">
        <v>29</v>
      </c>
      <c r="G1770" t="s">
        <v>19</v>
      </c>
      <c r="H1770">
        <f>Cleaned_Data!K1770</f>
        <v>8.33</v>
      </c>
      <c r="I1770" t="str">
        <f t="shared" si="81"/>
        <v>YES</v>
      </c>
      <c r="J1770">
        <f>Cleaned_Data!J1770</f>
        <v>24</v>
      </c>
      <c r="K1770" t="str">
        <f t="shared" si="82"/>
        <v>2024-03</v>
      </c>
      <c r="L1770">
        <f t="shared" si="83"/>
        <v>0</v>
      </c>
    </row>
    <row r="1771" spans="1:12">
      <c r="A1771" t="s">
        <v>5144</v>
      </c>
      <c r="B1771" t="s">
        <v>5145</v>
      </c>
      <c r="C1771" t="s">
        <v>5146</v>
      </c>
      <c r="D1771" t="s">
        <v>35</v>
      </c>
      <c r="E1771" t="s">
        <v>59</v>
      </c>
      <c r="F1771" t="s">
        <v>60</v>
      </c>
      <c r="G1771" t="s">
        <v>31</v>
      </c>
      <c r="H1771">
        <f>Cleaned_Data!K1771</f>
        <v>33.89</v>
      </c>
      <c r="I1771" t="str">
        <f t="shared" si="81"/>
        <v>YES</v>
      </c>
      <c r="J1771">
        <f>Cleaned_Data!J1771</f>
        <v>48</v>
      </c>
      <c r="K1771" t="str">
        <f t="shared" si="82"/>
        <v>2024-08</v>
      </c>
      <c r="L1771">
        <f t="shared" si="83"/>
        <v>0</v>
      </c>
    </row>
    <row r="1772" spans="1:12">
      <c r="A1772" t="s">
        <v>5147</v>
      </c>
      <c r="B1772" t="s">
        <v>5148</v>
      </c>
      <c r="C1772" t="s">
        <v>5149</v>
      </c>
      <c r="D1772" t="s">
        <v>15</v>
      </c>
      <c r="E1772" t="s">
        <v>28</v>
      </c>
      <c r="F1772" t="s">
        <v>41</v>
      </c>
      <c r="G1772" t="s">
        <v>31</v>
      </c>
      <c r="H1772">
        <f>Cleaned_Data!K1772</f>
        <v>9.8000000000000007</v>
      </c>
      <c r="I1772" t="str">
        <f t="shared" si="81"/>
        <v>NO</v>
      </c>
      <c r="J1772">
        <f>Cleaned_Data!J1772</f>
        <v>8</v>
      </c>
      <c r="K1772" t="str">
        <f t="shared" si="82"/>
        <v>2024-08</v>
      </c>
      <c r="L1772">
        <f t="shared" si="83"/>
        <v>1.8000000000000007</v>
      </c>
    </row>
    <row r="1773" spans="1:12">
      <c r="A1773" t="s">
        <v>5150</v>
      </c>
      <c r="B1773" t="s">
        <v>5151</v>
      </c>
      <c r="C1773" t="s">
        <v>5152</v>
      </c>
      <c r="D1773" t="s">
        <v>15</v>
      </c>
      <c r="E1773" t="s">
        <v>59</v>
      </c>
      <c r="F1773" t="s">
        <v>29</v>
      </c>
      <c r="G1773" t="s">
        <v>19</v>
      </c>
      <c r="H1773">
        <f>Cleaned_Data!K1773</f>
        <v>4.78</v>
      </c>
      <c r="I1773" t="str">
        <f t="shared" si="81"/>
        <v>YES</v>
      </c>
      <c r="J1773">
        <f>Cleaned_Data!J1773</f>
        <v>8</v>
      </c>
      <c r="K1773" t="str">
        <f t="shared" si="82"/>
        <v>2024-03</v>
      </c>
      <c r="L1773">
        <f t="shared" si="83"/>
        <v>0</v>
      </c>
    </row>
    <row r="1774" spans="1:12">
      <c r="A1774" t="s">
        <v>5153</v>
      </c>
      <c r="B1774" t="s">
        <v>5154</v>
      </c>
      <c r="C1774" t="s">
        <v>5155</v>
      </c>
      <c r="D1774" t="s">
        <v>35</v>
      </c>
      <c r="E1774" t="s">
        <v>16</v>
      </c>
      <c r="F1774" t="s">
        <v>41</v>
      </c>
      <c r="G1774" t="s">
        <v>19</v>
      </c>
      <c r="H1774">
        <f>Cleaned_Data!K1774</f>
        <v>33.65</v>
      </c>
      <c r="I1774" t="str">
        <f t="shared" si="81"/>
        <v>YES</v>
      </c>
      <c r="J1774">
        <f>Cleaned_Data!J1774</f>
        <v>48</v>
      </c>
      <c r="K1774" t="str">
        <f t="shared" si="82"/>
        <v>2024-07</v>
      </c>
      <c r="L1774">
        <f t="shared" si="83"/>
        <v>0</v>
      </c>
    </row>
    <row r="1775" spans="1:12">
      <c r="A1775" t="s">
        <v>5156</v>
      </c>
      <c r="B1775" t="s">
        <v>5157</v>
      </c>
      <c r="D1775" t="s">
        <v>23</v>
      </c>
      <c r="E1775" t="s">
        <v>24</v>
      </c>
      <c r="F1775" t="s">
        <v>36</v>
      </c>
      <c r="G1775" t="s">
        <v>63</v>
      </c>
      <c r="H1775">
        <f>Cleaned_Data!K1775</f>
        <v>0</v>
      </c>
      <c r="I1775" t="str">
        <f t="shared" si="81"/>
        <v/>
      </c>
      <c r="J1775">
        <f>Cleaned_Data!J1775</f>
        <v>24</v>
      </c>
      <c r="K1775" t="str">
        <f t="shared" si="82"/>
        <v>2024-08</v>
      </c>
      <c r="L1775">
        <f t="shared" si="83"/>
        <v>0</v>
      </c>
    </row>
    <row r="1776" spans="1:12">
      <c r="A1776" t="s">
        <v>5158</v>
      </c>
      <c r="B1776" t="s">
        <v>5159</v>
      </c>
      <c r="C1776" t="s">
        <v>5160</v>
      </c>
      <c r="D1776" t="s">
        <v>15</v>
      </c>
      <c r="E1776" t="s">
        <v>24</v>
      </c>
      <c r="F1776" t="s">
        <v>41</v>
      </c>
      <c r="G1776" t="s">
        <v>31</v>
      </c>
      <c r="H1776">
        <f>Cleaned_Data!K1776</f>
        <v>3.58</v>
      </c>
      <c r="I1776" t="str">
        <f t="shared" si="81"/>
        <v>YES</v>
      </c>
      <c r="J1776">
        <f>Cleaned_Data!J1776</f>
        <v>8</v>
      </c>
      <c r="K1776" t="str">
        <f t="shared" si="82"/>
        <v>2024-06</v>
      </c>
      <c r="L1776">
        <f t="shared" si="83"/>
        <v>0</v>
      </c>
    </row>
    <row r="1777" spans="1:12">
      <c r="A1777" t="s">
        <v>5161</v>
      </c>
      <c r="B1777" t="s">
        <v>5162</v>
      </c>
      <c r="C1777" t="s">
        <v>5163</v>
      </c>
      <c r="D1777" t="s">
        <v>15</v>
      </c>
      <c r="E1777" t="s">
        <v>24</v>
      </c>
      <c r="F1777" t="s">
        <v>36</v>
      </c>
      <c r="G1777" t="s">
        <v>31</v>
      </c>
      <c r="H1777">
        <f>Cleaned_Data!K1777</f>
        <v>7.29</v>
      </c>
      <c r="I1777" t="str">
        <f t="shared" si="81"/>
        <v>YES</v>
      </c>
      <c r="J1777">
        <f>Cleaned_Data!J1777</f>
        <v>8</v>
      </c>
      <c r="K1777" t="str">
        <f t="shared" si="82"/>
        <v>2024-01</v>
      </c>
      <c r="L1777">
        <f t="shared" si="83"/>
        <v>0</v>
      </c>
    </row>
    <row r="1778" spans="1:12">
      <c r="A1778" t="s">
        <v>5164</v>
      </c>
      <c r="B1778" t="s">
        <v>5165</v>
      </c>
      <c r="C1778" t="s">
        <v>5166</v>
      </c>
      <c r="D1778" t="s">
        <v>15</v>
      </c>
      <c r="E1778" t="s">
        <v>28</v>
      </c>
      <c r="F1778" t="s">
        <v>41</v>
      </c>
      <c r="G1778" t="s">
        <v>19</v>
      </c>
      <c r="H1778">
        <f>Cleaned_Data!K1778</f>
        <v>2.13</v>
      </c>
      <c r="I1778" t="str">
        <f t="shared" si="81"/>
        <v>YES</v>
      </c>
      <c r="J1778">
        <f>Cleaned_Data!J1778</f>
        <v>8</v>
      </c>
      <c r="K1778" t="str">
        <f t="shared" si="82"/>
        <v>2024-03</v>
      </c>
      <c r="L1778">
        <f t="shared" si="83"/>
        <v>0</v>
      </c>
    </row>
    <row r="1779" spans="1:12">
      <c r="A1779" t="s">
        <v>5167</v>
      </c>
      <c r="B1779" t="s">
        <v>5168</v>
      </c>
      <c r="C1779" t="s">
        <v>5169</v>
      </c>
      <c r="D1779" t="s">
        <v>23</v>
      </c>
      <c r="E1779" t="s">
        <v>28</v>
      </c>
      <c r="F1779" t="s">
        <v>17</v>
      </c>
      <c r="G1779" t="s">
        <v>19</v>
      </c>
      <c r="H1779">
        <f>Cleaned_Data!K1779</f>
        <v>17.920000000000002</v>
      </c>
      <c r="I1779" t="str">
        <f t="shared" si="81"/>
        <v>YES</v>
      </c>
      <c r="J1779">
        <f>Cleaned_Data!J1779</f>
        <v>24</v>
      </c>
      <c r="K1779" t="str">
        <f t="shared" si="82"/>
        <v>2024-01</v>
      </c>
      <c r="L1779">
        <f t="shared" si="83"/>
        <v>0</v>
      </c>
    </row>
    <row r="1780" spans="1:12">
      <c r="A1780" t="s">
        <v>5170</v>
      </c>
      <c r="B1780" t="s">
        <v>5171</v>
      </c>
      <c r="C1780" t="s">
        <v>5172</v>
      </c>
      <c r="D1780" t="s">
        <v>23</v>
      </c>
      <c r="E1780" t="s">
        <v>24</v>
      </c>
      <c r="F1780" t="s">
        <v>36</v>
      </c>
      <c r="G1780" t="s">
        <v>31</v>
      </c>
      <c r="H1780">
        <f>Cleaned_Data!K1780</f>
        <v>12.87</v>
      </c>
      <c r="I1780" t="str">
        <f t="shared" si="81"/>
        <v>YES</v>
      </c>
      <c r="J1780">
        <f>Cleaned_Data!J1780</f>
        <v>24</v>
      </c>
      <c r="K1780" t="str">
        <f t="shared" si="82"/>
        <v>2024-02</v>
      </c>
      <c r="L1780">
        <f t="shared" si="83"/>
        <v>0</v>
      </c>
    </row>
    <row r="1781" spans="1:12">
      <c r="A1781" t="s">
        <v>5173</v>
      </c>
      <c r="B1781" t="s">
        <v>5174</v>
      </c>
      <c r="C1781" t="s">
        <v>5175</v>
      </c>
      <c r="D1781" t="s">
        <v>35</v>
      </c>
      <c r="E1781" t="s">
        <v>28</v>
      </c>
      <c r="F1781" t="s">
        <v>17</v>
      </c>
      <c r="G1781" t="s">
        <v>19</v>
      </c>
      <c r="H1781">
        <f>Cleaned_Data!K1781</f>
        <v>73.040000000000006</v>
      </c>
      <c r="I1781" t="str">
        <f t="shared" si="81"/>
        <v>NO</v>
      </c>
      <c r="J1781">
        <f>Cleaned_Data!J1781</f>
        <v>48</v>
      </c>
      <c r="K1781" t="str">
        <f t="shared" si="82"/>
        <v>2024-07</v>
      </c>
      <c r="L1781">
        <f t="shared" si="83"/>
        <v>25.040000000000006</v>
      </c>
    </row>
    <row r="1782" spans="1:12">
      <c r="A1782" t="s">
        <v>5176</v>
      </c>
      <c r="B1782" t="s">
        <v>5177</v>
      </c>
      <c r="C1782" t="s">
        <v>5178</v>
      </c>
      <c r="D1782" t="s">
        <v>23</v>
      </c>
      <c r="E1782" t="s">
        <v>28</v>
      </c>
      <c r="F1782" t="s">
        <v>17</v>
      </c>
      <c r="G1782" t="s">
        <v>19</v>
      </c>
      <c r="H1782">
        <f>Cleaned_Data!K1782</f>
        <v>7.46</v>
      </c>
      <c r="I1782" t="str">
        <f t="shared" si="81"/>
        <v>YES</v>
      </c>
      <c r="J1782">
        <f>Cleaned_Data!J1782</f>
        <v>24</v>
      </c>
      <c r="K1782" t="str">
        <f t="shared" si="82"/>
        <v>2024-05</v>
      </c>
      <c r="L1782">
        <f t="shared" si="83"/>
        <v>0</v>
      </c>
    </row>
    <row r="1783" spans="1:12">
      <c r="A1783" t="s">
        <v>5179</v>
      </c>
      <c r="B1783" t="s">
        <v>5180</v>
      </c>
      <c r="C1783" t="s">
        <v>5181</v>
      </c>
      <c r="D1783" t="s">
        <v>158</v>
      </c>
      <c r="E1783" t="s">
        <v>59</v>
      </c>
      <c r="F1783" t="s">
        <v>17</v>
      </c>
      <c r="G1783" t="s">
        <v>19</v>
      </c>
      <c r="H1783">
        <f>Cleaned_Data!K1783</f>
        <v>2.0699999999999998</v>
      </c>
      <c r="I1783" t="str">
        <f t="shared" si="81"/>
        <v>YES</v>
      </c>
      <c r="J1783">
        <f>Cleaned_Data!J1783</f>
        <v>4</v>
      </c>
      <c r="K1783" t="str">
        <f t="shared" si="82"/>
        <v>2024-10</v>
      </c>
      <c r="L1783">
        <f t="shared" si="83"/>
        <v>0</v>
      </c>
    </row>
    <row r="1784" spans="1:12">
      <c r="A1784" t="s">
        <v>5182</v>
      </c>
      <c r="B1784" t="s">
        <v>5183</v>
      </c>
      <c r="D1784" t="s">
        <v>23</v>
      </c>
      <c r="E1784" t="s">
        <v>28</v>
      </c>
      <c r="F1784" t="s">
        <v>60</v>
      </c>
      <c r="G1784" t="s">
        <v>46</v>
      </c>
      <c r="H1784">
        <f>Cleaned_Data!K1784</f>
        <v>0</v>
      </c>
      <c r="I1784" t="str">
        <f t="shared" si="81"/>
        <v/>
      </c>
      <c r="J1784">
        <f>Cleaned_Data!J1784</f>
        <v>24</v>
      </c>
      <c r="K1784" t="str">
        <f t="shared" si="82"/>
        <v>2024-08</v>
      </c>
      <c r="L1784">
        <f t="shared" si="83"/>
        <v>0</v>
      </c>
    </row>
    <row r="1785" spans="1:12">
      <c r="A1785" t="s">
        <v>5184</v>
      </c>
      <c r="B1785" t="s">
        <v>5185</v>
      </c>
      <c r="C1785" t="s">
        <v>5186</v>
      </c>
      <c r="D1785" t="s">
        <v>23</v>
      </c>
      <c r="E1785" t="s">
        <v>54</v>
      </c>
      <c r="F1785" t="s">
        <v>41</v>
      </c>
      <c r="G1785" t="s">
        <v>19</v>
      </c>
      <c r="H1785">
        <f>Cleaned_Data!K1785</f>
        <v>12.66</v>
      </c>
      <c r="I1785" t="str">
        <f t="shared" si="81"/>
        <v>YES</v>
      </c>
      <c r="J1785">
        <f>Cleaned_Data!J1785</f>
        <v>24</v>
      </c>
      <c r="K1785" t="str">
        <f t="shared" si="82"/>
        <v>2024-07</v>
      </c>
      <c r="L1785">
        <f t="shared" si="83"/>
        <v>0</v>
      </c>
    </row>
    <row r="1786" spans="1:12">
      <c r="A1786" t="s">
        <v>5187</v>
      </c>
      <c r="B1786" t="s">
        <v>5188</v>
      </c>
      <c r="C1786" t="s">
        <v>5189</v>
      </c>
      <c r="D1786" t="s">
        <v>158</v>
      </c>
      <c r="E1786" t="s">
        <v>24</v>
      </c>
      <c r="F1786" t="s">
        <v>29</v>
      </c>
      <c r="G1786" t="s">
        <v>19</v>
      </c>
      <c r="H1786">
        <f>Cleaned_Data!K1786</f>
        <v>7.18</v>
      </c>
      <c r="I1786" t="str">
        <f t="shared" si="81"/>
        <v>NO</v>
      </c>
      <c r="J1786">
        <f>Cleaned_Data!J1786</f>
        <v>4</v>
      </c>
      <c r="K1786" t="str">
        <f t="shared" si="82"/>
        <v>2024-11</v>
      </c>
      <c r="L1786">
        <f t="shared" si="83"/>
        <v>3.1799999999999997</v>
      </c>
    </row>
    <row r="1787" spans="1:12">
      <c r="A1787" t="s">
        <v>5190</v>
      </c>
      <c r="B1787" t="s">
        <v>5191</v>
      </c>
      <c r="C1787" t="s">
        <v>5192</v>
      </c>
      <c r="D1787" t="s">
        <v>15</v>
      </c>
      <c r="E1787" t="s">
        <v>24</v>
      </c>
      <c r="F1787" t="s">
        <v>36</v>
      </c>
      <c r="G1787" t="s">
        <v>19</v>
      </c>
      <c r="H1787">
        <f>Cleaned_Data!K1787</f>
        <v>1.8</v>
      </c>
      <c r="I1787" t="str">
        <f t="shared" si="81"/>
        <v>YES</v>
      </c>
      <c r="J1787">
        <f>Cleaned_Data!J1787</f>
        <v>8</v>
      </c>
      <c r="K1787" t="str">
        <f t="shared" si="82"/>
        <v>2024-01</v>
      </c>
      <c r="L1787">
        <f t="shared" si="83"/>
        <v>0</v>
      </c>
    </row>
    <row r="1788" spans="1:12">
      <c r="A1788" t="s">
        <v>5193</v>
      </c>
      <c r="B1788" t="s">
        <v>5194</v>
      </c>
      <c r="C1788" t="s">
        <v>5195</v>
      </c>
      <c r="D1788" t="s">
        <v>23</v>
      </c>
      <c r="E1788" t="s">
        <v>24</v>
      </c>
      <c r="F1788" t="s">
        <v>29</v>
      </c>
      <c r="G1788" t="s">
        <v>19</v>
      </c>
      <c r="H1788">
        <f>Cleaned_Data!K1788</f>
        <v>7.03</v>
      </c>
      <c r="I1788" t="str">
        <f t="shared" si="81"/>
        <v>YES</v>
      </c>
      <c r="J1788">
        <f>Cleaned_Data!J1788</f>
        <v>24</v>
      </c>
      <c r="K1788" t="str">
        <f t="shared" si="82"/>
        <v>2024-11</v>
      </c>
      <c r="L1788">
        <f t="shared" si="83"/>
        <v>0</v>
      </c>
    </row>
    <row r="1789" spans="1:12">
      <c r="A1789" t="s">
        <v>5196</v>
      </c>
      <c r="B1789" t="s">
        <v>5197</v>
      </c>
      <c r="C1789" t="s">
        <v>5198</v>
      </c>
      <c r="D1789" t="s">
        <v>23</v>
      </c>
      <c r="E1789" t="s">
        <v>16</v>
      </c>
      <c r="F1789" t="s">
        <v>29</v>
      </c>
      <c r="G1789" t="s">
        <v>19</v>
      </c>
      <c r="H1789">
        <f>Cleaned_Data!K1789</f>
        <v>3.45</v>
      </c>
      <c r="I1789" t="str">
        <f t="shared" si="81"/>
        <v>YES</v>
      </c>
      <c r="J1789">
        <f>Cleaned_Data!J1789</f>
        <v>24</v>
      </c>
      <c r="K1789" t="str">
        <f t="shared" si="82"/>
        <v>2024-07</v>
      </c>
      <c r="L1789">
        <f t="shared" si="83"/>
        <v>0</v>
      </c>
    </row>
    <row r="1790" spans="1:12">
      <c r="A1790" t="s">
        <v>5199</v>
      </c>
      <c r="B1790" t="s">
        <v>5200</v>
      </c>
      <c r="C1790" t="s">
        <v>5201</v>
      </c>
      <c r="D1790" t="s">
        <v>23</v>
      </c>
      <c r="E1790" t="s">
        <v>24</v>
      </c>
      <c r="F1790" t="s">
        <v>29</v>
      </c>
      <c r="G1790" t="s">
        <v>19</v>
      </c>
      <c r="H1790">
        <f>Cleaned_Data!K1790</f>
        <v>66.709999999999994</v>
      </c>
      <c r="I1790" t="str">
        <f t="shared" si="81"/>
        <v>NO</v>
      </c>
      <c r="J1790">
        <f>Cleaned_Data!J1790</f>
        <v>24</v>
      </c>
      <c r="K1790" t="str">
        <f t="shared" si="82"/>
        <v>2024-12</v>
      </c>
      <c r="L1790">
        <f t="shared" si="83"/>
        <v>42.709999999999994</v>
      </c>
    </row>
    <row r="1791" spans="1:12">
      <c r="A1791" t="s">
        <v>5202</v>
      </c>
      <c r="B1791" t="s">
        <v>5203</v>
      </c>
      <c r="C1791" t="s">
        <v>5204</v>
      </c>
      <c r="D1791" t="s">
        <v>23</v>
      </c>
      <c r="E1791" t="s">
        <v>28</v>
      </c>
      <c r="F1791" t="s">
        <v>60</v>
      </c>
      <c r="G1791" t="s">
        <v>19</v>
      </c>
      <c r="H1791">
        <f>Cleaned_Data!K1791</f>
        <v>65.849999999999994</v>
      </c>
      <c r="I1791" t="str">
        <f t="shared" si="81"/>
        <v>NO</v>
      </c>
      <c r="J1791">
        <f>Cleaned_Data!J1791</f>
        <v>24</v>
      </c>
      <c r="K1791" t="str">
        <f t="shared" si="82"/>
        <v>2024-01</v>
      </c>
      <c r="L1791">
        <f t="shared" si="83"/>
        <v>41.849999999999994</v>
      </c>
    </row>
    <row r="1792" spans="1:12">
      <c r="A1792" t="s">
        <v>5205</v>
      </c>
      <c r="B1792" t="s">
        <v>5206</v>
      </c>
      <c r="C1792" t="s">
        <v>5207</v>
      </c>
      <c r="D1792" t="s">
        <v>15</v>
      </c>
      <c r="E1792" t="s">
        <v>28</v>
      </c>
      <c r="F1792" t="s">
        <v>60</v>
      </c>
      <c r="G1792" t="s">
        <v>19</v>
      </c>
      <c r="H1792">
        <f>Cleaned_Data!K1792</f>
        <v>5.86</v>
      </c>
      <c r="I1792" t="str">
        <f t="shared" si="81"/>
        <v>YES</v>
      </c>
      <c r="J1792">
        <f>Cleaned_Data!J1792</f>
        <v>8</v>
      </c>
      <c r="K1792" t="str">
        <f t="shared" si="82"/>
        <v>2024-05</v>
      </c>
      <c r="L1792">
        <f t="shared" si="83"/>
        <v>0</v>
      </c>
    </row>
    <row r="1793" spans="1:12">
      <c r="A1793" t="s">
        <v>5208</v>
      </c>
      <c r="B1793" t="s">
        <v>5209</v>
      </c>
      <c r="C1793" t="s">
        <v>5210</v>
      </c>
      <c r="D1793" t="s">
        <v>158</v>
      </c>
      <c r="E1793" t="s">
        <v>28</v>
      </c>
      <c r="F1793" t="s">
        <v>60</v>
      </c>
      <c r="G1793" t="s">
        <v>19</v>
      </c>
      <c r="H1793">
        <f>Cleaned_Data!K1793</f>
        <v>3.11</v>
      </c>
      <c r="I1793" t="str">
        <f t="shared" si="81"/>
        <v>YES</v>
      </c>
      <c r="J1793">
        <f>Cleaned_Data!J1793</f>
        <v>4</v>
      </c>
      <c r="K1793" t="str">
        <f t="shared" si="82"/>
        <v>2024-01</v>
      </c>
      <c r="L1793">
        <f t="shared" si="83"/>
        <v>0</v>
      </c>
    </row>
    <row r="1794" spans="1:12">
      <c r="A1794" t="s">
        <v>5211</v>
      </c>
      <c r="B1794" t="s">
        <v>5212</v>
      </c>
      <c r="C1794" t="s">
        <v>5213</v>
      </c>
      <c r="D1794" t="s">
        <v>15</v>
      </c>
      <c r="E1794" t="s">
        <v>28</v>
      </c>
      <c r="F1794" t="s">
        <v>60</v>
      </c>
      <c r="G1794" t="s">
        <v>19</v>
      </c>
      <c r="H1794">
        <f>Cleaned_Data!K1794</f>
        <v>4.12</v>
      </c>
      <c r="I1794" t="str">
        <f t="shared" ref="I1794:I1857" si="84">IF(OR(G1794="Resolved", G1794="Closed"), IF(AND(H1794&lt;&gt;"", H1794&lt;=J1794), "YES", "NO"), "")</f>
        <v>YES</v>
      </c>
      <c r="J1794">
        <f>Cleaned_Data!J1794</f>
        <v>8</v>
      </c>
      <c r="K1794" t="str">
        <f t="shared" ref="K1794:K1857" si="85">LEFT(B1794, 7)</f>
        <v>2024-08</v>
      </c>
      <c r="L1794">
        <f t="shared" ref="L1794:L1857" si="86">IF(I1794="NO", H1794-J1794, 0)</f>
        <v>0</v>
      </c>
    </row>
    <row r="1795" spans="1:12">
      <c r="A1795" t="s">
        <v>5214</v>
      </c>
      <c r="B1795" t="s">
        <v>5215</v>
      </c>
      <c r="C1795" t="s">
        <v>5216</v>
      </c>
      <c r="D1795" t="s">
        <v>23</v>
      </c>
      <c r="E1795" t="s">
        <v>28</v>
      </c>
      <c r="F1795" t="s">
        <v>60</v>
      </c>
      <c r="G1795" t="s">
        <v>19</v>
      </c>
      <c r="H1795">
        <f>Cleaned_Data!K1795</f>
        <v>68.86</v>
      </c>
      <c r="I1795" t="str">
        <f t="shared" si="84"/>
        <v>NO</v>
      </c>
      <c r="J1795">
        <f>Cleaned_Data!J1795</f>
        <v>24</v>
      </c>
      <c r="K1795" t="str">
        <f t="shared" si="85"/>
        <v>2024-01</v>
      </c>
      <c r="L1795">
        <f t="shared" si="86"/>
        <v>44.86</v>
      </c>
    </row>
    <row r="1796" spans="1:12">
      <c r="A1796" t="s">
        <v>5217</v>
      </c>
      <c r="B1796" t="s">
        <v>5218</v>
      </c>
      <c r="C1796" t="s">
        <v>5219</v>
      </c>
      <c r="D1796" t="s">
        <v>23</v>
      </c>
      <c r="E1796" t="s">
        <v>16</v>
      </c>
      <c r="F1796" t="s">
        <v>29</v>
      </c>
      <c r="G1796" t="s">
        <v>19</v>
      </c>
      <c r="H1796">
        <f>Cleaned_Data!K1796</f>
        <v>29.56</v>
      </c>
      <c r="I1796" t="str">
        <f t="shared" si="84"/>
        <v>NO</v>
      </c>
      <c r="J1796">
        <f>Cleaned_Data!J1796</f>
        <v>24</v>
      </c>
      <c r="K1796" t="str">
        <f t="shared" si="85"/>
        <v>2024-09</v>
      </c>
      <c r="L1796">
        <f t="shared" si="86"/>
        <v>5.5599999999999987</v>
      </c>
    </row>
    <row r="1797" spans="1:12">
      <c r="A1797" t="s">
        <v>5220</v>
      </c>
      <c r="B1797" t="s">
        <v>5221</v>
      </c>
      <c r="D1797" t="s">
        <v>15</v>
      </c>
      <c r="E1797" t="s">
        <v>24</v>
      </c>
      <c r="F1797" t="s">
        <v>36</v>
      </c>
      <c r="G1797" t="s">
        <v>63</v>
      </c>
      <c r="H1797">
        <f>Cleaned_Data!K1797</f>
        <v>0</v>
      </c>
      <c r="I1797" t="str">
        <f t="shared" si="84"/>
        <v/>
      </c>
      <c r="J1797">
        <f>Cleaned_Data!J1797</f>
        <v>8</v>
      </c>
      <c r="K1797" t="str">
        <f t="shared" si="85"/>
        <v>2024-06</v>
      </c>
      <c r="L1797">
        <f t="shared" si="86"/>
        <v>0</v>
      </c>
    </row>
    <row r="1798" spans="1:12">
      <c r="A1798" t="s">
        <v>5222</v>
      </c>
      <c r="B1798" t="s">
        <v>5223</v>
      </c>
      <c r="D1798" t="s">
        <v>23</v>
      </c>
      <c r="E1798" t="s">
        <v>54</v>
      </c>
      <c r="F1798" t="s">
        <v>17</v>
      </c>
      <c r="G1798" t="s">
        <v>46</v>
      </c>
      <c r="H1798">
        <f>Cleaned_Data!K1798</f>
        <v>0</v>
      </c>
      <c r="I1798" t="str">
        <f t="shared" si="84"/>
        <v/>
      </c>
      <c r="J1798">
        <f>Cleaned_Data!J1798</f>
        <v>24</v>
      </c>
      <c r="K1798" t="str">
        <f t="shared" si="85"/>
        <v>2024-02</v>
      </c>
      <c r="L1798">
        <f t="shared" si="86"/>
        <v>0</v>
      </c>
    </row>
    <row r="1799" spans="1:12">
      <c r="A1799" t="s">
        <v>5224</v>
      </c>
      <c r="B1799" t="s">
        <v>5225</v>
      </c>
      <c r="C1799" t="s">
        <v>5226</v>
      </c>
      <c r="D1799" t="s">
        <v>35</v>
      </c>
      <c r="E1799" t="s">
        <v>28</v>
      </c>
      <c r="F1799" t="s">
        <v>41</v>
      </c>
      <c r="G1799" t="s">
        <v>19</v>
      </c>
      <c r="H1799">
        <f>Cleaned_Data!K1799</f>
        <v>65.900000000000006</v>
      </c>
      <c r="I1799" t="str">
        <f t="shared" si="84"/>
        <v>NO</v>
      </c>
      <c r="J1799">
        <f>Cleaned_Data!J1799</f>
        <v>48</v>
      </c>
      <c r="K1799" t="str">
        <f t="shared" si="85"/>
        <v>2024-03</v>
      </c>
      <c r="L1799">
        <f t="shared" si="86"/>
        <v>17.900000000000006</v>
      </c>
    </row>
    <row r="1800" spans="1:12">
      <c r="A1800" t="s">
        <v>5227</v>
      </c>
      <c r="B1800" t="s">
        <v>5228</v>
      </c>
      <c r="C1800" t="s">
        <v>5229</v>
      </c>
      <c r="D1800" t="s">
        <v>158</v>
      </c>
      <c r="E1800" t="s">
        <v>28</v>
      </c>
      <c r="F1800" t="s">
        <v>29</v>
      </c>
      <c r="G1800" t="s">
        <v>31</v>
      </c>
      <c r="H1800">
        <f>Cleaned_Data!K1800</f>
        <v>1.99</v>
      </c>
      <c r="I1800" t="str">
        <f t="shared" si="84"/>
        <v>YES</v>
      </c>
      <c r="J1800">
        <f>Cleaned_Data!J1800</f>
        <v>4</v>
      </c>
      <c r="K1800" t="str">
        <f t="shared" si="85"/>
        <v>2024-02</v>
      </c>
      <c r="L1800">
        <f t="shared" si="86"/>
        <v>0</v>
      </c>
    </row>
    <row r="1801" spans="1:12">
      <c r="A1801" t="s">
        <v>5230</v>
      </c>
      <c r="B1801" t="s">
        <v>5231</v>
      </c>
      <c r="C1801" t="s">
        <v>5232</v>
      </c>
      <c r="D1801" t="s">
        <v>23</v>
      </c>
      <c r="E1801" t="s">
        <v>16</v>
      </c>
      <c r="F1801" t="s">
        <v>29</v>
      </c>
      <c r="G1801" t="s">
        <v>31</v>
      </c>
      <c r="H1801">
        <f>Cleaned_Data!K1801</f>
        <v>16.02</v>
      </c>
      <c r="I1801" t="str">
        <f t="shared" si="84"/>
        <v>YES</v>
      </c>
      <c r="J1801">
        <f>Cleaned_Data!J1801</f>
        <v>24</v>
      </c>
      <c r="K1801" t="str">
        <f t="shared" si="85"/>
        <v>2024-08</v>
      </c>
      <c r="L1801">
        <f t="shared" si="86"/>
        <v>0</v>
      </c>
    </row>
    <row r="1802" spans="1:12">
      <c r="A1802" t="s">
        <v>5233</v>
      </c>
      <c r="B1802" t="s">
        <v>5234</v>
      </c>
      <c r="C1802" t="s">
        <v>5235</v>
      </c>
      <c r="D1802" t="s">
        <v>23</v>
      </c>
      <c r="E1802" t="s">
        <v>28</v>
      </c>
      <c r="F1802" t="s">
        <v>60</v>
      </c>
      <c r="G1802" t="s">
        <v>19</v>
      </c>
      <c r="H1802">
        <f>Cleaned_Data!K1802</f>
        <v>12.26</v>
      </c>
      <c r="I1802" t="str">
        <f t="shared" si="84"/>
        <v>YES</v>
      </c>
      <c r="J1802">
        <f>Cleaned_Data!J1802</f>
        <v>24</v>
      </c>
      <c r="K1802" t="str">
        <f t="shared" si="85"/>
        <v>2024-08</v>
      </c>
      <c r="L1802">
        <f t="shared" si="86"/>
        <v>0</v>
      </c>
    </row>
    <row r="1803" spans="1:12">
      <c r="A1803" t="s">
        <v>5236</v>
      </c>
      <c r="B1803" t="s">
        <v>5237</v>
      </c>
      <c r="D1803" t="s">
        <v>15</v>
      </c>
      <c r="E1803" t="s">
        <v>59</v>
      </c>
      <c r="F1803" t="s">
        <v>41</v>
      </c>
      <c r="G1803" t="s">
        <v>63</v>
      </c>
      <c r="H1803">
        <f>Cleaned_Data!K1803</f>
        <v>0</v>
      </c>
      <c r="I1803" t="str">
        <f t="shared" si="84"/>
        <v/>
      </c>
      <c r="J1803">
        <f>Cleaned_Data!J1803</f>
        <v>8</v>
      </c>
      <c r="K1803" t="str">
        <f t="shared" si="85"/>
        <v>2024-07</v>
      </c>
      <c r="L1803">
        <f t="shared" si="86"/>
        <v>0</v>
      </c>
    </row>
    <row r="1804" spans="1:12">
      <c r="A1804" t="s">
        <v>5238</v>
      </c>
      <c r="B1804" t="s">
        <v>5239</v>
      </c>
      <c r="C1804" t="s">
        <v>5240</v>
      </c>
      <c r="D1804" t="s">
        <v>35</v>
      </c>
      <c r="E1804" t="s">
        <v>28</v>
      </c>
      <c r="F1804" t="s">
        <v>17</v>
      </c>
      <c r="G1804" t="s">
        <v>19</v>
      </c>
      <c r="H1804">
        <f>Cleaned_Data!K1804</f>
        <v>40.729999999999997</v>
      </c>
      <c r="I1804" t="str">
        <f t="shared" si="84"/>
        <v>YES</v>
      </c>
      <c r="J1804">
        <f>Cleaned_Data!J1804</f>
        <v>48</v>
      </c>
      <c r="K1804" t="str">
        <f t="shared" si="85"/>
        <v>2024-04</v>
      </c>
      <c r="L1804">
        <f t="shared" si="86"/>
        <v>0</v>
      </c>
    </row>
    <row r="1805" spans="1:12">
      <c r="A1805" t="s">
        <v>5241</v>
      </c>
      <c r="B1805" t="s">
        <v>5242</v>
      </c>
      <c r="C1805" t="s">
        <v>5243</v>
      </c>
      <c r="D1805" t="s">
        <v>15</v>
      </c>
      <c r="E1805" t="s">
        <v>24</v>
      </c>
      <c r="F1805" t="s">
        <v>60</v>
      </c>
      <c r="G1805" t="s">
        <v>19</v>
      </c>
      <c r="H1805">
        <f>Cleaned_Data!K1805</f>
        <v>3.65</v>
      </c>
      <c r="I1805" t="str">
        <f t="shared" si="84"/>
        <v>YES</v>
      </c>
      <c r="J1805">
        <f>Cleaned_Data!J1805</f>
        <v>8</v>
      </c>
      <c r="K1805" t="str">
        <f t="shared" si="85"/>
        <v>2024-12</v>
      </c>
      <c r="L1805">
        <f t="shared" si="86"/>
        <v>0</v>
      </c>
    </row>
    <row r="1806" spans="1:12">
      <c r="A1806" t="s">
        <v>5244</v>
      </c>
      <c r="B1806" t="s">
        <v>5245</v>
      </c>
      <c r="D1806" t="s">
        <v>15</v>
      </c>
      <c r="E1806" t="s">
        <v>54</v>
      </c>
      <c r="F1806" t="s">
        <v>36</v>
      </c>
      <c r="G1806" t="s">
        <v>63</v>
      </c>
      <c r="H1806">
        <f>Cleaned_Data!K1806</f>
        <v>0</v>
      </c>
      <c r="I1806" t="str">
        <f t="shared" si="84"/>
        <v/>
      </c>
      <c r="J1806">
        <f>Cleaned_Data!J1806</f>
        <v>8</v>
      </c>
      <c r="K1806" t="str">
        <f t="shared" si="85"/>
        <v>2024-02</v>
      </c>
      <c r="L1806">
        <f t="shared" si="86"/>
        <v>0</v>
      </c>
    </row>
    <row r="1807" spans="1:12">
      <c r="A1807" t="s">
        <v>5246</v>
      </c>
      <c r="B1807" t="s">
        <v>5247</v>
      </c>
      <c r="C1807" t="s">
        <v>5248</v>
      </c>
      <c r="D1807" t="s">
        <v>23</v>
      </c>
      <c r="E1807" t="s">
        <v>16</v>
      </c>
      <c r="F1807" t="s">
        <v>17</v>
      </c>
      <c r="G1807" t="s">
        <v>19</v>
      </c>
      <c r="H1807">
        <f>Cleaned_Data!K1807</f>
        <v>21.53</v>
      </c>
      <c r="I1807" t="str">
        <f t="shared" si="84"/>
        <v>YES</v>
      </c>
      <c r="J1807">
        <f>Cleaned_Data!J1807</f>
        <v>24</v>
      </c>
      <c r="K1807" t="str">
        <f t="shared" si="85"/>
        <v>2024-01</v>
      </c>
      <c r="L1807">
        <f t="shared" si="86"/>
        <v>0</v>
      </c>
    </row>
    <row r="1808" spans="1:12">
      <c r="A1808" t="s">
        <v>5249</v>
      </c>
      <c r="B1808" t="s">
        <v>5250</v>
      </c>
      <c r="C1808" t="s">
        <v>5251</v>
      </c>
      <c r="D1808" t="s">
        <v>23</v>
      </c>
      <c r="E1808" t="s">
        <v>59</v>
      </c>
      <c r="F1808" t="s">
        <v>41</v>
      </c>
      <c r="G1808" t="s">
        <v>19</v>
      </c>
      <c r="H1808">
        <f>Cleaned_Data!K1808</f>
        <v>7.2</v>
      </c>
      <c r="I1808" t="str">
        <f t="shared" si="84"/>
        <v>YES</v>
      </c>
      <c r="J1808">
        <f>Cleaned_Data!J1808</f>
        <v>24</v>
      </c>
      <c r="K1808" t="str">
        <f t="shared" si="85"/>
        <v>2024-04</v>
      </c>
      <c r="L1808">
        <f t="shared" si="86"/>
        <v>0</v>
      </c>
    </row>
    <row r="1809" spans="1:12">
      <c r="A1809" t="s">
        <v>5252</v>
      </c>
      <c r="B1809" t="s">
        <v>5253</v>
      </c>
      <c r="C1809" t="s">
        <v>5254</v>
      </c>
      <c r="D1809" t="s">
        <v>15</v>
      </c>
      <c r="E1809" t="s">
        <v>16</v>
      </c>
      <c r="F1809" t="s">
        <v>29</v>
      </c>
      <c r="G1809" t="s">
        <v>19</v>
      </c>
      <c r="H1809">
        <f>Cleaned_Data!K1809</f>
        <v>1.36</v>
      </c>
      <c r="I1809" t="str">
        <f t="shared" si="84"/>
        <v>YES</v>
      </c>
      <c r="J1809">
        <f>Cleaned_Data!J1809</f>
        <v>8</v>
      </c>
      <c r="K1809" t="str">
        <f t="shared" si="85"/>
        <v>2024-11</v>
      </c>
      <c r="L1809">
        <f t="shared" si="86"/>
        <v>0</v>
      </c>
    </row>
    <row r="1810" spans="1:12">
      <c r="A1810" t="s">
        <v>5255</v>
      </c>
      <c r="B1810" t="s">
        <v>5256</v>
      </c>
      <c r="C1810" t="s">
        <v>5257</v>
      </c>
      <c r="D1810" t="s">
        <v>15</v>
      </c>
      <c r="E1810" t="s">
        <v>28</v>
      </c>
      <c r="F1810" t="s">
        <v>36</v>
      </c>
      <c r="G1810" t="s">
        <v>31</v>
      </c>
      <c r="H1810">
        <f>Cleaned_Data!K1810</f>
        <v>8.43</v>
      </c>
      <c r="I1810" t="str">
        <f t="shared" si="84"/>
        <v>NO</v>
      </c>
      <c r="J1810">
        <f>Cleaned_Data!J1810</f>
        <v>8</v>
      </c>
      <c r="K1810" t="str">
        <f t="shared" si="85"/>
        <v>2024-01</v>
      </c>
      <c r="L1810">
        <f t="shared" si="86"/>
        <v>0.42999999999999972</v>
      </c>
    </row>
    <row r="1811" spans="1:12">
      <c r="A1811" t="s">
        <v>5258</v>
      </c>
      <c r="B1811" t="s">
        <v>5259</v>
      </c>
      <c r="C1811" t="s">
        <v>5260</v>
      </c>
      <c r="D1811" t="s">
        <v>15</v>
      </c>
      <c r="E1811" t="s">
        <v>16</v>
      </c>
      <c r="F1811" t="s">
        <v>29</v>
      </c>
      <c r="G1811" t="s">
        <v>31</v>
      </c>
      <c r="H1811">
        <f>Cleaned_Data!K1811</f>
        <v>6.87</v>
      </c>
      <c r="I1811" t="str">
        <f t="shared" si="84"/>
        <v>YES</v>
      </c>
      <c r="J1811">
        <f>Cleaned_Data!J1811</f>
        <v>8</v>
      </c>
      <c r="K1811" t="str">
        <f t="shared" si="85"/>
        <v>2024-02</v>
      </c>
      <c r="L1811">
        <f t="shared" si="86"/>
        <v>0</v>
      </c>
    </row>
    <row r="1812" spans="1:12">
      <c r="A1812" t="s">
        <v>5261</v>
      </c>
      <c r="B1812" t="s">
        <v>5262</v>
      </c>
      <c r="C1812" t="s">
        <v>5263</v>
      </c>
      <c r="D1812" t="s">
        <v>35</v>
      </c>
      <c r="E1812" t="s">
        <v>24</v>
      </c>
      <c r="F1812" t="s">
        <v>36</v>
      </c>
      <c r="G1812" t="s">
        <v>19</v>
      </c>
      <c r="H1812">
        <f>Cleaned_Data!K1812</f>
        <v>124.3</v>
      </c>
      <c r="I1812" t="str">
        <f t="shared" si="84"/>
        <v>NO</v>
      </c>
      <c r="J1812">
        <f>Cleaned_Data!J1812</f>
        <v>48</v>
      </c>
      <c r="K1812" t="str">
        <f t="shared" si="85"/>
        <v>2024-01</v>
      </c>
      <c r="L1812">
        <f t="shared" si="86"/>
        <v>76.3</v>
      </c>
    </row>
    <row r="1813" spans="1:12">
      <c r="A1813" t="s">
        <v>5264</v>
      </c>
      <c r="B1813" t="s">
        <v>5265</v>
      </c>
      <c r="C1813" t="s">
        <v>5266</v>
      </c>
      <c r="D1813" t="s">
        <v>35</v>
      </c>
      <c r="E1813" t="s">
        <v>24</v>
      </c>
      <c r="F1813" t="s">
        <v>60</v>
      </c>
      <c r="G1813" t="s">
        <v>31</v>
      </c>
      <c r="H1813">
        <f>Cleaned_Data!K1813</f>
        <v>38.74</v>
      </c>
      <c r="I1813" t="str">
        <f t="shared" si="84"/>
        <v>YES</v>
      </c>
      <c r="J1813">
        <f>Cleaned_Data!J1813</f>
        <v>48</v>
      </c>
      <c r="K1813" t="str">
        <f t="shared" si="85"/>
        <v>2024-11</v>
      </c>
      <c r="L1813">
        <f t="shared" si="86"/>
        <v>0</v>
      </c>
    </row>
    <row r="1814" spans="1:12">
      <c r="A1814" t="s">
        <v>5267</v>
      </c>
      <c r="B1814" t="s">
        <v>5268</v>
      </c>
      <c r="C1814" t="s">
        <v>5269</v>
      </c>
      <c r="D1814" t="s">
        <v>23</v>
      </c>
      <c r="E1814" t="s">
        <v>16</v>
      </c>
      <c r="F1814" t="s">
        <v>17</v>
      </c>
      <c r="G1814" t="s">
        <v>31</v>
      </c>
      <c r="H1814">
        <f>Cleaned_Data!K1814</f>
        <v>12.53</v>
      </c>
      <c r="I1814" t="str">
        <f t="shared" si="84"/>
        <v>YES</v>
      </c>
      <c r="J1814">
        <f>Cleaned_Data!J1814</f>
        <v>24</v>
      </c>
      <c r="K1814" t="str">
        <f t="shared" si="85"/>
        <v>2024-01</v>
      </c>
      <c r="L1814">
        <f t="shared" si="86"/>
        <v>0</v>
      </c>
    </row>
    <row r="1815" spans="1:12">
      <c r="A1815" t="s">
        <v>5270</v>
      </c>
      <c r="B1815" t="s">
        <v>5271</v>
      </c>
      <c r="C1815" t="s">
        <v>5272</v>
      </c>
      <c r="D1815" t="s">
        <v>158</v>
      </c>
      <c r="E1815" t="s">
        <v>16</v>
      </c>
      <c r="F1815" t="s">
        <v>17</v>
      </c>
      <c r="G1815" t="s">
        <v>19</v>
      </c>
      <c r="H1815">
        <f>Cleaned_Data!K1815</f>
        <v>3.64</v>
      </c>
      <c r="I1815" t="str">
        <f t="shared" si="84"/>
        <v>YES</v>
      </c>
      <c r="J1815">
        <f>Cleaned_Data!J1815</f>
        <v>4</v>
      </c>
      <c r="K1815" t="str">
        <f t="shared" si="85"/>
        <v>2024-04</v>
      </c>
      <c r="L1815">
        <f t="shared" si="86"/>
        <v>0</v>
      </c>
    </row>
    <row r="1816" spans="1:12">
      <c r="A1816" t="s">
        <v>5273</v>
      </c>
      <c r="B1816" t="s">
        <v>5274</v>
      </c>
      <c r="C1816" t="s">
        <v>5275</v>
      </c>
      <c r="D1816" t="s">
        <v>23</v>
      </c>
      <c r="E1816" t="s">
        <v>28</v>
      </c>
      <c r="F1816" t="s">
        <v>17</v>
      </c>
      <c r="G1816" t="s">
        <v>31</v>
      </c>
      <c r="H1816">
        <f>Cleaned_Data!K1816</f>
        <v>11.81</v>
      </c>
      <c r="I1816" t="str">
        <f t="shared" si="84"/>
        <v>YES</v>
      </c>
      <c r="J1816">
        <f>Cleaned_Data!J1816</f>
        <v>24</v>
      </c>
      <c r="K1816" t="str">
        <f t="shared" si="85"/>
        <v>2024-09</v>
      </c>
      <c r="L1816">
        <f t="shared" si="86"/>
        <v>0</v>
      </c>
    </row>
    <row r="1817" spans="1:12">
      <c r="A1817" t="s">
        <v>5276</v>
      </c>
      <c r="B1817" t="s">
        <v>5277</v>
      </c>
      <c r="D1817" t="s">
        <v>158</v>
      </c>
      <c r="E1817" t="s">
        <v>54</v>
      </c>
      <c r="F1817" t="s">
        <v>36</v>
      </c>
      <c r="G1817" t="s">
        <v>63</v>
      </c>
      <c r="H1817">
        <f>Cleaned_Data!K1817</f>
        <v>0</v>
      </c>
      <c r="I1817" t="str">
        <f t="shared" si="84"/>
        <v/>
      </c>
      <c r="J1817">
        <f>Cleaned_Data!J1817</f>
        <v>4</v>
      </c>
      <c r="K1817" t="str">
        <f t="shared" si="85"/>
        <v>2024-01</v>
      </c>
      <c r="L1817">
        <f t="shared" si="86"/>
        <v>0</v>
      </c>
    </row>
    <row r="1818" spans="1:12">
      <c r="A1818" t="s">
        <v>5278</v>
      </c>
      <c r="B1818" t="s">
        <v>5279</v>
      </c>
      <c r="C1818" t="s">
        <v>5280</v>
      </c>
      <c r="D1818" t="s">
        <v>15</v>
      </c>
      <c r="E1818" t="s">
        <v>28</v>
      </c>
      <c r="F1818" t="s">
        <v>17</v>
      </c>
      <c r="G1818" t="s">
        <v>19</v>
      </c>
      <c r="H1818">
        <f>Cleaned_Data!K1818</f>
        <v>7.12</v>
      </c>
      <c r="I1818" t="str">
        <f t="shared" si="84"/>
        <v>YES</v>
      </c>
      <c r="J1818">
        <f>Cleaned_Data!J1818</f>
        <v>8</v>
      </c>
      <c r="K1818" t="str">
        <f t="shared" si="85"/>
        <v>2024-10</v>
      </c>
      <c r="L1818">
        <f t="shared" si="86"/>
        <v>0</v>
      </c>
    </row>
    <row r="1819" spans="1:12">
      <c r="A1819" t="s">
        <v>5281</v>
      </c>
      <c r="B1819" t="s">
        <v>5282</v>
      </c>
      <c r="C1819" t="s">
        <v>5283</v>
      </c>
      <c r="D1819" t="s">
        <v>23</v>
      </c>
      <c r="E1819" t="s">
        <v>54</v>
      </c>
      <c r="F1819" t="s">
        <v>17</v>
      </c>
      <c r="G1819" t="s">
        <v>31</v>
      </c>
      <c r="H1819">
        <f>Cleaned_Data!K1819</f>
        <v>10.37</v>
      </c>
      <c r="I1819" t="str">
        <f t="shared" si="84"/>
        <v>YES</v>
      </c>
      <c r="J1819">
        <f>Cleaned_Data!J1819</f>
        <v>24</v>
      </c>
      <c r="K1819" t="str">
        <f t="shared" si="85"/>
        <v>2024-09</v>
      </c>
      <c r="L1819">
        <f t="shared" si="86"/>
        <v>0</v>
      </c>
    </row>
    <row r="1820" spans="1:12">
      <c r="A1820" t="s">
        <v>5284</v>
      </c>
      <c r="B1820" t="s">
        <v>5285</v>
      </c>
      <c r="C1820" t="s">
        <v>5286</v>
      </c>
      <c r="D1820" t="s">
        <v>158</v>
      </c>
      <c r="E1820" t="s">
        <v>16</v>
      </c>
      <c r="F1820" t="s">
        <v>29</v>
      </c>
      <c r="G1820" t="s">
        <v>19</v>
      </c>
      <c r="H1820">
        <f>Cleaned_Data!K1820</f>
        <v>2.64</v>
      </c>
      <c r="I1820" t="str">
        <f t="shared" si="84"/>
        <v>YES</v>
      </c>
      <c r="J1820">
        <f>Cleaned_Data!J1820</f>
        <v>4</v>
      </c>
      <c r="K1820" t="str">
        <f t="shared" si="85"/>
        <v>2024-01</v>
      </c>
      <c r="L1820">
        <f t="shared" si="86"/>
        <v>0</v>
      </c>
    </row>
    <row r="1821" spans="1:12">
      <c r="A1821" t="s">
        <v>5287</v>
      </c>
      <c r="B1821" t="s">
        <v>5288</v>
      </c>
      <c r="D1821" t="s">
        <v>35</v>
      </c>
      <c r="E1821" t="s">
        <v>28</v>
      </c>
      <c r="F1821" t="s">
        <v>29</v>
      </c>
      <c r="G1821" t="s">
        <v>46</v>
      </c>
      <c r="H1821">
        <f>Cleaned_Data!K1821</f>
        <v>0</v>
      </c>
      <c r="I1821" t="str">
        <f t="shared" si="84"/>
        <v/>
      </c>
      <c r="J1821">
        <f>Cleaned_Data!J1821</f>
        <v>48</v>
      </c>
      <c r="K1821" t="str">
        <f t="shared" si="85"/>
        <v>2024-10</v>
      </c>
      <c r="L1821">
        <f t="shared" si="86"/>
        <v>0</v>
      </c>
    </row>
    <row r="1822" spans="1:12">
      <c r="A1822" t="s">
        <v>5289</v>
      </c>
      <c r="B1822" t="s">
        <v>5290</v>
      </c>
      <c r="C1822" t="s">
        <v>5291</v>
      </c>
      <c r="D1822" t="s">
        <v>23</v>
      </c>
      <c r="E1822" t="s">
        <v>59</v>
      </c>
      <c r="F1822" t="s">
        <v>60</v>
      </c>
      <c r="G1822" t="s">
        <v>19</v>
      </c>
      <c r="H1822">
        <f>Cleaned_Data!K1822</f>
        <v>32.880000000000003</v>
      </c>
      <c r="I1822" t="str">
        <f t="shared" si="84"/>
        <v>NO</v>
      </c>
      <c r="J1822">
        <f>Cleaned_Data!J1822</f>
        <v>24</v>
      </c>
      <c r="K1822" t="str">
        <f t="shared" si="85"/>
        <v>2024-06</v>
      </c>
      <c r="L1822">
        <f t="shared" si="86"/>
        <v>8.8800000000000026</v>
      </c>
    </row>
    <row r="1823" spans="1:12">
      <c r="A1823" t="s">
        <v>5292</v>
      </c>
      <c r="B1823" t="s">
        <v>5293</v>
      </c>
      <c r="C1823" t="s">
        <v>5294</v>
      </c>
      <c r="D1823" t="s">
        <v>23</v>
      </c>
      <c r="E1823" t="s">
        <v>59</v>
      </c>
      <c r="F1823" t="s">
        <v>17</v>
      </c>
      <c r="G1823" t="s">
        <v>31</v>
      </c>
      <c r="H1823">
        <f>Cleaned_Data!K1823</f>
        <v>14.72</v>
      </c>
      <c r="I1823" t="str">
        <f t="shared" si="84"/>
        <v>YES</v>
      </c>
      <c r="J1823">
        <f>Cleaned_Data!J1823</f>
        <v>24</v>
      </c>
      <c r="K1823" t="str">
        <f t="shared" si="85"/>
        <v>2024-02</v>
      </c>
      <c r="L1823">
        <f t="shared" si="86"/>
        <v>0</v>
      </c>
    </row>
    <row r="1824" spans="1:12">
      <c r="A1824" t="s">
        <v>5295</v>
      </c>
      <c r="B1824" t="s">
        <v>5296</v>
      </c>
      <c r="C1824" t="s">
        <v>5297</v>
      </c>
      <c r="D1824" t="s">
        <v>15</v>
      </c>
      <c r="E1824" t="s">
        <v>24</v>
      </c>
      <c r="F1824" t="s">
        <v>36</v>
      </c>
      <c r="G1824" t="s">
        <v>31</v>
      </c>
      <c r="H1824">
        <f>Cleaned_Data!K1824</f>
        <v>6.24</v>
      </c>
      <c r="I1824" t="str">
        <f t="shared" si="84"/>
        <v>YES</v>
      </c>
      <c r="J1824">
        <f>Cleaned_Data!J1824</f>
        <v>8</v>
      </c>
      <c r="K1824" t="str">
        <f t="shared" si="85"/>
        <v>2024-12</v>
      </c>
      <c r="L1824">
        <f t="shared" si="86"/>
        <v>0</v>
      </c>
    </row>
    <row r="1825" spans="1:12">
      <c r="A1825" t="s">
        <v>5298</v>
      </c>
      <c r="B1825" t="s">
        <v>5299</v>
      </c>
      <c r="C1825" t="s">
        <v>5300</v>
      </c>
      <c r="D1825" t="s">
        <v>15</v>
      </c>
      <c r="E1825" t="s">
        <v>16</v>
      </c>
      <c r="F1825" t="s">
        <v>60</v>
      </c>
      <c r="G1825" t="s">
        <v>19</v>
      </c>
      <c r="H1825">
        <f>Cleaned_Data!K1825</f>
        <v>5.28</v>
      </c>
      <c r="I1825" t="str">
        <f t="shared" si="84"/>
        <v>YES</v>
      </c>
      <c r="J1825">
        <f>Cleaned_Data!J1825</f>
        <v>8</v>
      </c>
      <c r="K1825" t="str">
        <f t="shared" si="85"/>
        <v>2024-01</v>
      </c>
      <c r="L1825">
        <f t="shared" si="86"/>
        <v>0</v>
      </c>
    </row>
    <row r="1826" spans="1:12">
      <c r="A1826" t="s">
        <v>5301</v>
      </c>
      <c r="B1826" t="s">
        <v>5302</v>
      </c>
      <c r="C1826" t="s">
        <v>5303</v>
      </c>
      <c r="D1826" t="s">
        <v>15</v>
      </c>
      <c r="E1826" t="s">
        <v>28</v>
      </c>
      <c r="F1826" t="s">
        <v>60</v>
      </c>
      <c r="G1826" t="s">
        <v>31</v>
      </c>
      <c r="H1826">
        <f>Cleaned_Data!K1826</f>
        <v>3.76</v>
      </c>
      <c r="I1826" t="str">
        <f t="shared" si="84"/>
        <v>YES</v>
      </c>
      <c r="J1826">
        <f>Cleaned_Data!J1826</f>
        <v>8</v>
      </c>
      <c r="K1826" t="str">
        <f t="shared" si="85"/>
        <v>2024-07</v>
      </c>
      <c r="L1826">
        <f t="shared" si="86"/>
        <v>0</v>
      </c>
    </row>
    <row r="1827" spans="1:12">
      <c r="A1827" t="s">
        <v>5304</v>
      </c>
      <c r="B1827" t="s">
        <v>5305</v>
      </c>
      <c r="C1827" t="s">
        <v>5306</v>
      </c>
      <c r="D1827" t="s">
        <v>158</v>
      </c>
      <c r="E1827" t="s">
        <v>59</v>
      </c>
      <c r="F1827" t="s">
        <v>60</v>
      </c>
      <c r="G1827" t="s">
        <v>19</v>
      </c>
      <c r="H1827">
        <f>Cleaned_Data!K1827</f>
        <v>7.76</v>
      </c>
      <c r="I1827" t="str">
        <f t="shared" si="84"/>
        <v>NO</v>
      </c>
      <c r="J1827">
        <f>Cleaned_Data!J1827</f>
        <v>4</v>
      </c>
      <c r="K1827" t="str">
        <f t="shared" si="85"/>
        <v>2024-11</v>
      </c>
      <c r="L1827">
        <f t="shared" si="86"/>
        <v>3.76</v>
      </c>
    </row>
    <row r="1828" spans="1:12">
      <c r="A1828" t="s">
        <v>5307</v>
      </c>
      <c r="B1828" t="s">
        <v>5308</v>
      </c>
      <c r="C1828" t="s">
        <v>5309</v>
      </c>
      <c r="D1828" t="s">
        <v>23</v>
      </c>
      <c r="E1828" t="s">
        <v>54</v>
      </c>
      <c r="F1828" t="s">
        <v>36</v>
      </c>
      <c r="G1828" t="s">
        <v>31</v>
      </c>
      <c r="H1828">
        <f>Cleaned_Data!K1828</f>
        <v>11.86</v>
      </c>
      <c r="I1828" t="str">
        <f t="shared" si="84"/>
        <v>YES</v>
      </c>
      <c r="J1828">
        <f>Cleaned_Data!J1828</f>
        <v>24</v>
      </c>
      <c r="K1828" t="str">
        <f t="shared" si="85"/>
        <v>2024-01</v>
      </c>
      <c r="L1828">
        <f t="shared" si="86"/>
        <v>0</v>
      </c>
    </row>
    <row r="1829" spans="1:12">
      <c r="A1829" t="s">
        <v>5310</v>
      </c>
      <c r="B1829" t="s">
        <v>5311</v>
      </c>
      <c r="C1829" t="s">
        <v>5312</v>
      </c>
      <c r="D1829" t="s">
        <v>15</v>
      </c>
      <c r="E1829" t="s">
        <v>28</v>
      </c>
      <c r="F1829" t="s">
        <v>60</v>
      </c>
      <c r="G1829" t="s">
        <v>19</v>
      </c>
      <c r="H1829">
        <f>Cleaned_Data!K1829</f>
        <v>5.23</v>
      </c>
      <c r="I1829" t="str">
        <f t="shared" si="84"/>
        <v>YES</v>
      </c>
      <c r="J1829">
        <f>Cleaned_Data!J1829</f>
        <v>8</v>
      </c>
      <c r="K1829" t="str">
        <f t="shared" si="85"/>
        <v>2024-08</v>
      </c>
      <c r="L1829">
        <f t="shared" si="86"/>
        <v>0</v>
      </c>
    </row>
    <row r="1830" spans="1:12">
      <c r="A1830" t="s">
        <v>5313</v>
      </c>
      <c r="B1830" t="s">
        <v>5314</v>
      </c>
      <c r="C1830" t="s">
        <v>5315</v>
      </c>
      <c r="D1830" t="s">
        <v>23</v>
      </c>
      <c r="E1830" t="s">
        <v>54</v>
      </c>
      <c r="F1830" t="s">
        <v>41</v>
      </c>
      <c r="G1830" t="s">
        <v>19</v>
      </c>
      <c r="H1830">
        <f>Cleaned_Data!K1830</f>
        <v>6.92</v>
      </c>
      <c r="I1830" t="str">
        <f t="shared" si="84"/>
        <v>YES</v>
      </c>
      <c r="J1830">
        <f>Cleaned_Data!J1830</f>
        <v>24</v>
      </c>
      <c r="K1830" t="str">
        <f t="shared" si="85"/>
        <v>2024-03</v>
      </c>
      <c r="L1830">
        <f t="shared" si="86"/>
        <v>0</v>
      </c>
    </row>
    <row r="1831" spans="1:12">
      <c r="A1831" t="s">
        <v>5316</v>
      </c>
      <c r="B1831" t="s">
        <v>5317</v>
      </c>
      <c r="C1831" t="s">
        <v>5318</v>
      </c>
      <c r="D1831" t="s">
        <v>23</v>
      </c>
      <c r="E1831" t="s">
        <v>28</v>
      </c>
      <c r="F1831" t="s">
        <v>36</v>
      </c>
      <c r="G1831" t="s">
        <v>19</v>
      </c>
      <c r="H1831">
        <f>Cleaned_Data!K1831</f>
        <v>69.19</v>
      </c>
      <c r="I1831" t="str">
        <f t="shared" si="84"/>
        <v>NO</v>
      </c>
      <c r="J1831">
        <f>Cleaned_Data!J1831</f>
        <v>24</v>
      </c>
      <c r="K1831" t="str">
        <f t="shared" si="85"/>
        <v>2024-04</v>
      </c>
      <c r="L1831">
        <f t="shared" si="86"/>
        <v>45.19</v>
      </c>
    </row>
    <row r="1832" spans="1:12">
      <c r="A1832" t="s">
        <v>5319</v>
      </c>
      <c r="B1832" t="s">
        <v>5320</v>
      </c>
      <c r="C1832" t="s">
        <v>5321</v>
      </c>
      <c r="D1832" t="s">
        <v>35</v>
      </c>
      <c r="E1832" t="s">
        <v>16</v>
      </c>
      <c r="F1832" t="s">
        <v>29</v>
      </c>
      <c r="G1832" t="s">
        <v>31</v>
      </c>
      <c r="H1832">
        <f>Cleaned_Data!K1832</f>
        <v>28.47</v>
      </c>
      <c r="I1832" t="str">
        <f t="shared" si="84"/>
        <v>YES</v>
      </c>
      <c r="J1832">
        <f>Cleaned_Data!J1832</f>
        <v>48</v>
      </c>
      <c r="K1832" t="str">
        <f t="shared" si="85"/>
        <v>2024-12</v>
      </c>
      <c r="L1832">
        <f t="shared" si="86"/>
        <v>0</v>
      </c>
    </row>
    <row r="1833" spans="1:12">
      <c r="A1833" t="s">
        <v>5322</v>
      </c>
      <c r="B1833" t="s">
        <v>5323</v>
      </c>
      <c r="C1833" t="s">
        <v>5324</v>
      </c>
      <c r="D1833" t="s">
        <v>15</v>
      </c>
      <c r="E1833" t="s">
        <v>28</v>
      </c>
      <c r="F1833" t="s">
        <v>17</v>
      </c>
      <c r="G1833" t="s">
        <v>31</v>
      </c>
      <c r="H1833">
        <f>Cleaned_Data!K1833</f>
        <v>4.51</v>
      </c>
      <c r="I1833" t="str">
        <f t="shared" si="84"/>
        <v>YES</v>
      </c>
      <c r="J1833">
        <f>Cleaned_Data!J1833</f>
        <v>8</v>
      </c>
      <c r="K1833" t="str">
        <f t="shared" si="85"/>
        <v>2024-08</v>
      </c>
      <c r="L1833">
        <f t="shared" si="86"/>
        <v>0</v>
      </c>
    </row>
    <row r="1834" spans="1:12">
      <c r="A1834" t="s">
        <v>5325</v>
      </c>
      <c r="B1834" t="s">
        <v>5326</v>
      </c>
      <c r="C1834" t="s">
        <v>5327</v>
      </c>
      <c r="D1834" t="s">
        <v>23</v>
      </c>
      <c r="E1834" t="s">
        <v>28</v>
      </c>
      <c r="F1834" t="s">
        <v>17</v>
      </c>
      <c r="G1834" t="s">
        <v>19</v>
      </c>
      <c r="H1834">
        <f>Cleaned_Data!K1834</f>
        <v>17.690000000000001</v>
      </c>
      <c r="I1834" t="str">
        <f t="shared" si="84"/>
        <v>YES</v>
      </c>
      <c r="J1834">
        <f>Cleaned_Data!J1834</f>
        <v>24</v>
      </c>
      <c r="K1834" t="str">
        <f t="shared" si="85"/>
        <v>2024-09</v>
      </c>
      <c r="L1834">
        <f t="shared" si="86"/>
        <v>0</v>
      </c>
    </row>
    <row r="1835" spans="1:12">
      <c r="A1835" t="s">
        <v>5328</v>
      </c>
      <c r="B1835" t="s">
        <v>5329</v>
      </c>
      <c r="C1835" t="s">
        <v>5330</v>
      </c>
      <c r="D1835" t="s">
        <v>15</v>
      </c>
      <c r="E1835" t="s">
        <v>28</v>
      </c>
      <c r="F1835" t="s">
        <v>17</v>
      </c>
      <c r="G1835" t="s">
        <v>19</v>
      </c>
      <c r="H1835">
        <f>Cleaned_Data!K1835</f>
        <v>1.46</v>
      </c>
      <c r="I1835" t="str">
        <f t="shared" si="84"/>
        <v>YES</v>
      </c>
      <c r="J1835">
        <f>Cleaned_Data!J1835</f>
        <v>8</v>
      </c>
      <c r="K1835" t="str">
        <f t="shared" si="85"/>
        <v>2024-09</v>
      </c>
      <c r="L1835">
        <f t="shared" si="86"/>
        <v>0</v>
      </c>
    </row>
    <row r="1836" spans="1:12">
      <c r="A1836" t="s">
        <v>5331</v>
      </c>
      <c r="B1836" t="s">
        <v>5332</v>
      </c>
      <c r="D1836" t="s">
        <v>35</v>
      </c>
      <c r="E1836" t="s">
        <v>54</v>
      </c>
      <c r="F1836" t="s">
        <v>36</v>
      </c>
      <c r="G1836" t="s">
        <v>46</v>
      </c>
      <c r="H1836">
        <f>Cleaned_Data!K1836</f>
        <v>0</v>
      </c>
      <c r="I1836" t="str">
        <f t="shared" si="84"/>
        <v/>
      </c>
      <c r="J1836">
        <f>Cleaned_Data!J1836</f>
        <v>48</v>
      </c>
      <c r="K1836" t="str">
        <f t="shared" si="85"/>
        <v>2024-04</v>
      </c>
      <c r="L1836">
        <f t="shared" si="86"/>
        <v>0</v>
      </c>
    </row>
    <row r="1837" spans="1:12">
      <c r="A1837" t="s">
        <v>5333</v>
      </c>
      <c r="B1837" t="s">
        <v>5334</v>
      </c>
      <c r="C1837" t="s">
        <v>5335</v>
      </c>
      <c r="D1837" t="s">
        <v>15</v>
      </c>
      <c r="E1837" t="s">
        <v>59</v>
      </c>
      <c r="F1837" t="s">
        <v>17</v>
      </c>
      <c r="G1837" t="s">
        <v>31</v>
      </c>
      <c r="H1837">
        <f>Cleaned_Data!K1837</f>
        <v>7.22</v>
      </c>
      <c r="I1837" t="str">
        <f t="shared" si="84"/>
        <v>YES</v>
      </c>
      <c r="J1837">
        <f>Cleaned_Data!J1837</f>
        <v>8</v>
      </c>
      <c r="K1837" t="str">
        <f t="shared" si="85"/>
        <v>2024-12</v>
      </c>
      <c r="L1837">
        <f t="shared" si="86"/>
        <v>0</v>
      </c>
    </row>
    <row r="1838" spans="1:12">
      <c r="A1838" t="s">
        <v>5336</v>
      </c>
      <c r="B1838" t="s">
        <v>5337</v>
      </c>
      <c r="C1838" t="s">
        <v>5338</v>
      </c>
      <c r="D1838" t="s">
        <v>23</v>
      </c>
      <c r="E1838" t="s">
        <v>28</v>
      </c>
      <c r="F1838" t="s">
        <v>60</v>
      </c>
      <c r="G1838" t="s">
        <v>19</v>
      </c>
      <c r="H1838">
        <f>Cleaned_Data!K1838</f>
        <v>16.03</v>
      </c>
      <c r="I1838" t="str">
        <f t="shared" si="84"/>
        <v>YES</v>
      </c>
      <c r="J1838">
        <f>Cleaned_Data!J1838</f>
        <v>24</v>
      </c>
      <c r="K1838" t="str">
        <f t="shared" si="85"/>
        <v>2024-02</v>
      </c>
      <c r="L1838">
        <f t="shared" si="86"/>
        <v>0</v>
      </c>
    </row>
    <row r="1839" spans="1:12">
      <c r="A1839" t="s">
        <v>5339</v>
      </c>
      <c r="B1839" t="s">
        <v>5340</v>
      </c>
      <c r="C1839" t="s">
        <v>5341</v>
      </c>
      <c r="D1839" t="s">
        <v>23</v>
      </c>
      <c r="E1839" t="s">
        <v>24</v>
      </c>
      <c r="F1839" t="s">
        <v>17</v>
      </c>
      <c r="G1839" t="s">
        <v>31</v>
      </c>
      <c r="H1839">
        <f>Cleaned_Data!K1839</f>
        <v>7.51</v>
      </c>
      <c r="I1839" t="str">
        <f t="shared" si="84"/>
        <v>YES</v>
      </c>
      <c r="J1839">
        <f>Cleaned_Data!J1839</f>
        <v>24</v>
      </c>
      <c r="K1839" t="str">
        <f t="shared" si="85"/>
        <v>2024-02</v>
      </c>
      <c r="L1839">
        <f t="shared" si="86"/>
        <v>0</v>
      </c>
    </row>
    <row r="1840" spans="1:12">
      <c r="A1840" t="s">
        <v>5342</v>
      </c>
      <c r="B1840" t="s">
        <v>5343</v>
      </c>
      <c r="C1840" t="s">
        <v>5344</v>
      </c>
      <c r="D1840" t="s">
        <v>23</v>
      </c>
      <c r="E1840" t="s">
        <v>59</v>
      </c>
      <c r="F1840" t="s">
        <v>36</v>
      </c>
      <c r="G1840" t="s">
        <v>19</v>
      </c>
      <c r="H1840">
        <f>Cleaned_Data!K1840</f>
        <v>13.05</v>
      </c>
      <c r="I1840" t="str">
        <f t="shared" si="84"/>
        <v>YES</v>
      </c>
      <c r="J1840">
        <f>Cleaned_Data!J1840</f>
        <v>24</v>
      </c>
      <c r="K1840" t="str">
        <f t="shared" si="85"/>
        <v>2024-12</v>
      </c>
      <c r="L1840">
        <f t="shared" si="86"/>
        <v>0</v>
      </c>
    </row>
    <row r="1841" spans="1:12">
      <c r="A1841" t="s">
        <v>5345</v>
      </c>
      <c r="B1841" t="s">
        <v>5346</v>
      </c>
      <c r="C1841" t="s">
        <v>5347</v>
      </c>
      <c r="D1841" t="s">
        <v>23</v>
      </c>
      <c r="E1841" t="s">
        <v>59</v>
      </c>
      <c r="F1841" t="s">
        <v>29</v>
      </c>
      <c r="G1841" t="s">
        <v>19</v>
      </c>
      <c r="H1841">
        <f>Cleaned_Data!K1841</f>
        <v>17.84</v>
      </c>
      <c r="I1841" t="str">
        <f t="shared" si="84"/>
        <v>YES</v>
      </c>
      <c r="J1841">
        <f>Cleaned_Data!J1841</f>
        <v>24</v>
      </c>
      <c r="K1841" t="str">
        <f t="shared" si="85"/>
        <v>2024-03</v>
      </c>
      <c r="L1841">
        <f t="shared" si="86"/>
        <v>0</v>
      </c>
    </row>
    <row r="1842" spans="1:12">
      <c r="A1842" t="s">
        <v>5348</v>
      </c>
      <c r="B1842" t="s">
        <v>5349</v>
      </c>
      <c r="C1842" t="s">
        <v>5350</v>
      </c>
      <c r="D1842" t="s">
        <v>23</v>
      </c>
      <c r="E1842" t="s">
        <v>28</v>
      </c>
      <c r="F1842" t="s">
        <v>17</v>
      </c>
      <c r="G1842" t="s">
        <v>31</v>
      </c>
      <c r="H1842">
        <f>Cleaned_Data!K1842</f>
        <v>14.36</v>
      </c>
      <c r="I1842" t="str">
        <f t="shared" si="84"/>
        <v>YES</v>
      </c>
      <c r="J1842">
        <f>Cleaned_Data!J1842</f>
        <v>24</v>
      </c>
      <c r="K1842" t="str">
        <f t="shared" si="85"/>
        <v>2024-07</v>
      </c>
      <c r="L1842">
        <f t="shared" si="86"/>
        <v>0</v>
      </c>
    </row>
    <row r="1843" spans="1:12">
      <c r="A1843" t="s">
        <v>5351</v>
      </c>
      <c r="B1843" t="s">
        <v>5352</v>
      </c>
      <c r="C1843" t="s">
        <v>5353</v>
      </c>
      <c r="D1843" t="s">
        <v>15</v>
      </c>
      <c r="E1843" t="s">
        <v>54</v>
      </c>
      <c r="F1843" t="s">
        <v>41</v>
      </c>
      <c r="G1843" t="s">
        <v>31</v>
      </c>
      <c r="H1843">
        <f>Cleaned_Data!K1843</f>
        <v>5.17</v>
      </c>
      <c r="I1843" t="str">
        <f t="shared" si="84"/>
        <v>YES</v>
      </c>
      <c r="J1843">
        <f>Cleaned_Data!J1843</f>
        <v>8</v>
      </c>
      <c r="K1843" t="str">
        <f t="shared" si="85"/>
        <v>2024-10</v>
      </c>
      <c r="L1843">
        <f t="shared" si="86"/>
        <v>0</v>
      </c>
    </row>
    <row r="1844" spans="1:12">
      <c r="A1844" t="s">
        <v>5354</v>
      </c>
      <c r="B1844" t="s">
        <v>5355</v>
      </c>
      <c r="C1844" t="s">
        <v>5356</v>
      </c>
      <c r="D1844" t="s">
        <v>158</v>
      </c>
      <c r="E1844" t="s">
        <v>24</v>
      </c>
      <c r="F1844" t="s">
        <v>60</v>
      </c>
      <c r="G1844" t="s">
        <v>19</v>
      </c>
      <c r="H1844">
        <f>Cleaned_Data!K1844</f>
        <v>1.67</v>
      </c>
      <c r="I1844" t="str">
        <f t="shared" si="84"/>
        <v>YES</v>
      </c>
      <c r="J1844">
        <f>Cleaned_Data!J1844</f>
        <v>4</v>
      </c>
      <c r="K1844" t="str">
        <f t="shared" si="85"/>
        <v>2024-01</v>
      </c>
      <c r="L1844">
        <f t="shared" si="86"/>
        <v>0</v>
      </c>
    </row>
    <row r="1845" spans="1:12">
      <c r="A1845" t="s">
        <v>5357</v>
      </c>
      <c r="B1845" t="s">
        <v>5358</v>
      </c>
      <c r="C1845" t="s">
        <v>5359</v>
      </c>
      <c r="D1845" t="s">
        <v>35</v>
      </c>
      <c r="E1845" t="s">
        <v>59</v>
      </c>
      <c r="F1845" t="s">
        <v>41</v>
      </c>
      <c r="G1845" t="s">
        <v>19</v>
      </c>
      <c r="H1845">
        <f>Cleaned_Data!K1845</f>
        <v>26.04</v>
      </c>
      <c r="I1845" t="str">
        <f t="shared" si="84"/>
        <v>YES</v>
      </c>
      <c r="J1845">
        <f>Cleaned_Data!J1845</f>
        <v>48</v>
      </c>
      <c r="K1845" t="str">
        <f t="shared" si="85"/>
        <v>2024-10</v>
      </c>
      <c r="L1845">
        <f t="shared" si="86"/>
        <v>0</v>
      </c>
    </row>
    <row r="1846" spans="1:12">
      <c r="A1846" t="s">
        <v>5360</v>
      </c>
      <c r="B1846" t="s">
        <v>5361</v>
      </c>
      <c r="C1846" t="s">
        <v>5362</v>
      </c>
      <c r="D1846" t="s">
        <v>15</v>
      </c>
      <c r="E1846" t="s">
        <v>28</v>
      </c>
      <c r="F1846" t="s">
        <v>60</v>
      </c>
      <c r="G1846" t="s">
        <v>31</v>
      </c>
      <c r="H1846">
        <f>Cleaned_Data!K1846</f>
        <v>6.31</v>
      </c>
      <c r="I1846" t="str">
        <f t="shared" si="84"/>
        <v>YES</v>
      </c>
      <c r="J1846">
        <f>Cleaned_Data!J1846</f>
        <v>8</v>
      </c>
      <c r="K1846" t="str">
        <f t="shared" si="85"/>
        <v>2024-08</v>
      </c>
      <c r="L1846">
        <f t="shared" si="86"/>
        <v>0</v>
      </c>
    </row>
    <row r="1847" spans="1:12">
      <c r="A1847" t="s">
        <v>5363</v>
      </c>
      <c r="B1847" t="s">
        <v>5364</v>
      </c>
      <c r="C1847" t="s">
        <v>5365</v>
      </c>
      <c r="D1847" t="s">
        <v>15</v>
      </c>
      <c r="E1847" t="s">
        <v>28</v>
      </c>
      <c r="F1847" t="s">
        <v>41</v>
      </c>
      <c r="G1847" t="s">
        <v>19</v>
      </c>
      <c r="H1847">
        <f>Cleaned_Data!K1847</f>
        <v>7.19</v>
      </c>
      <c r="I1847" t="str">
        <f t="shared" si="84"/>
        <v>YES</v>
      </c>
      <c r="J1847">
        <f>Cleaned_Data!J1847</f>
        <v>8</v>
      </c>
      <c r="K1847" t="str">
        <f t="shared" si="85"/>
        <v>2024-09</v>
      </c>
      <c r="L1847">
        <f t="shared" si="86"/>
        <v>0</v>
      </c>
    </row>
    <row r="1848" spans="1:12">
      <c r="A1848" t="s">
        <v>5366</v>
      </c>
      <c r="B1848" t="s">
        <v>5367</v>
      </c>
      <c r="C1848" t="s">
        <v>5368</v>
      </c>
      <c r="D1848" t="s">
        <v>23</v>
      </c>
      <c r="E1848" t="s">
        <v>16</v>
      </c>
      <c r="F1848" t="s">
        <v>17</v>
      </c>
      <c r="G1848" t="s">
        <v>19</v>
      </c>
      <c r="H1848">
        <f>Cleaned_Data!K1848</f>
        <v>3.92</v>
      </c>
      <c r="I1848" t="str">
        <f t="shared" si="84"/>
        <v>YES</v>
      </c>
      <c r="J1848">
        <f>Cleaned_Data!J1848</f>
        <v>24</v>
      </c>
      <c r="K1848" t="str">
        <f t="shared" si="85"/>
        <v>2024-02</v>
      </c>
      <c r="L1848">
        <f t="shared" si="86"/>
        <v>0</v>
      </c>
    </row>
    <row r="1849" spans="1:12">
      <c r="A1849" t="s">
        <v>5369</v>
      </c>
      <c r="B1849" t="s">
        <v>5370</v>
      </c>
      <c r="C1849" t="s">
        <v>5371</v>
      </c>
      <c r="D1849" t="s">
        <v>23</v>
      </c>
      <c r="E1849" t="s">
        <v>16</v>
      </c>
      <c r="F1849" t="s">
        <v>41</v>
      </c>
      <c r="G1849" t="s">
        <v>19</v>
      </c>
      <c r="H1849">
        <f>Cleaned_Data!K1849</f>
        <v>6.17</v>
      </c>
      <c r="I1849" t="str">
        <f t="shared" si="84"/>
        <v>YES</v>
      </c>
      <c r="J1849">
        <f>Cleaned_Data!J1849</f>
        <v>24</v>
      </c>
      <c r="K1849" t="str">
        <f t="shared" si="85"/>
        <v>2024-01</v>
      </c>
      <c r="L1849">
        <f t="shared" si="86"/>
        <v>0</v>
      </c>
    </row>
    <row r="1850" spans="1:12">
      <c r="A1850" t="s">
        <v>5372</v>
      </c>
      <c r="B1850" t="s">
        <v>5373</v>
      </c>
      <c r="C1850" t="s">
        <v>5374</v>
      </c>
      <c r="D1850" t="s">
        <v>35</v>
      </c>
      <c r="E1850" t="s">
        <v>54</v>
      </c>
      <c r="F1850" t="s">
        <v>36</v>
      </c>
      <c r="G1850" t="s">
        <v>19</v>
      </c>
      <c r="H1850">
        <f>Cleaned_Data!K1850</f>
        <v>122.28</v>
      </c>
      <c r="I1850" t="str">
        <f t="shared" si="84"/>
        <v>NO</v>
      </c>
      <c r="J1850">
        <f>Cleaned_Data!J1850</f>
        <v>48</v>
      </c>
      <c r="K1850" t="str">
        <f t="shared" si="85"/>
        <v>2024-02</v>
      </c>
      <c r="L1850">
        <f t="shared" si="86"/>
        <v>74.28</v>
      </c>
    </row>
    <row r="1851" spans="1:12">
      <c r="A1851" t="s">
        <v>5375</v>
      </c>
      <c r="B1851" t="s">
        <v>5376</v>
      </c>
      <c r="C1851" t="s">
        <v>5377</v>
      </c>
      <c r="D1851" t="s">
        <v>15</v>
      </c>
      <c r="E1851" t="s">
        <v>28</v>
      </c>
      <c r="F1851" t="s">
        <v>36</v>
      </c>
      <c r="G1851" t="s">
        <v>19</v>
      </c>
      <c r="H1851">
        <f>Cleaned_Data!K1851</f>
        <v>5.97</v>
      </c>
      <c r="I1851" t="str">
        <f t="shared" si="84"/>
        <v>YES</v>
      </c>
      <c r="J1851">
        <f>Cleaned_Data!J1851</f>
        <v>8</v>
      </c>
      <c r="K1851" t="str">
        <f t="shared" si="85"/>
        <v>2024-02</v>
      </c>
      <c r="L1851">
        <f t="shared" si="86"/>
        <v>0</v>
      </c>
    </row>
    <row r="1852" spans="1:12">
      <c r="A1852" t="s">
        <v>5378</v>
      </c>
      <c r="B1852" t="s">
        <v>5379</v>
      </c>
      <c r="C1852" t="s">
        <v>5380</v>
      </c>
      <c r="D1852" t="s">
        <v>35</v>
      </c>
      <c r="E1852" t="s">
        <v>16</v>
      </c>
      <c r="F1852" t="s">
        <v>60</v>
      </c>
      <c r="G1852" t="s">
        <v>31</v>
      </c>
      <c r="H1852">
        <f>Cleaned_Data!K1852</f>
        <v>41.78</v>
      </c>
      <c r="I1852" t="str">
        <f t="shared" si="84"/>
        <v>YES</v>
      </c>
      <c r="J1852">
        <f>Cleaned_Data!J1852</f>
        <v>48</v>
      </c>
      <c r="K1852" t="str">
        <f t="shared" si="85"/>
        <v>2024-12</v>
      </c>
      <c r="L1852">
        <f t="shared" si="86"/>
        <v>0</v>
      </c>
    </row>
    <row r="1853" spans="1:12">
      <c r="A1853" t="s">
        <v>5381</v>
      </c>
      <c r="B1853" t="s">
        <v>5382</v>
      </c>
      <c r="D1853" t="s">
        <v>35</v>
      </c>
      <c r="E1853" t="s">
        <v>16</v>
      </c>
      <c r="F1853" t="s">
        <v>36</v>
      </c>
      <c r="G1853" t="s">
        <v>63</v>
      </c>
      <c r="H1853">
        <f>Cleaned_Data!K1853</f>
        <v>0</v>
      </c>
      <c r="I1853" t="str">
        <f t="shared" si="84"/>
        <v/>
      </c>
      <c r="J1853">
        <f>Cleaned_Data!J1853</f>
        <v>48</v>
      </c>
      <c r="K1853" t="str">
        <f t="shared" si="85"/>
        <v>2024-02</v>
      </c>
      <c r="L1853">
        <f t="shared" si="86"/>
        <v>0</v>
      </c>
    </row>
    <row r="1854" spans="1:12">
      <c r="A1854" t="s">
        <v>5383</v>
      </c>
      <c r="B1854" t="s">
        <v>5384</v>
      </c>
      <c r="C1854" t="s">
        <v>5385</v>
      </c>
      <c r="D1854" t="s">
        <v>158</v>
      </c>
      <c r="E1854" t="s">
        <v>28</v>
      </c>
      <c r="F1854" t="s">
        <v>36</v>
      </c>
      <c r="G1854" t="s">
        <v>19</v>
      </c>
      <c r="H1854">
        <f>Cleaned_Data!K1854</f>
        <v>8.7899999999999991</v>
      </c>
      <c r="I1854" t="str">
        <f t="shared" si="84"/>
        <v>NO</v>
      </c>
      <c r="J1854">
        <f>Cleaned_Data!J1854</f>
        <v>4</v>
      </c>
      <c r="K1854" t="str">
        <f t="shared" si="85"/>
        <v>2024-06</v>
      </c>
      <c r="L1854">
        <f t="shared" si="86"/>
        <v>4.7899999999999991</v>
      </c>
    </row>
    <row r="1855" spans="1:12">
      <c r="A1855" t="s">
        <v>5386</v>
      </c>
      <c r="B1855" t="s">
        <v>5387</v>
      </c>
      <c r="C1855" t="s">
        <v>5388</v>
      </c>
      <c r="D1855" t="s">
        <v>158</v>
      </c>
      <c r="E1855" t="s">
        <v>16</v>
      </c>
      <c r="F1855" t="s">
        <v>41</v>
      </c>
      <c r="G1855" t="s">
        <v>19</v>
      </c>
      <c r="H1855">
        <f>Cleaned_Data!K1855</f>
        <v>3.59</v>
      </c>
      <c r="I1855" t="str">
        <f t="shared" si="84"/>
        <v>YES</v>
      </c>
      <c r="J1855">
        <f>Cleaned_Data!J1855</f>
        <v>4</v>
      </c>
      <c r="K1855" t="str">
        <f t="shared" si="85"/>
        <v>2024-07</v>
      </c>
      <c r="L1855">
        <f t="shared" si="86"/>
        <v>0</v>
      </c>
    </row>
    <row r="1856" spans="1:12">
      <c r="A1856" t="s">
        <v>5389</v>
      </c>
      <c r="B1856" t="s">
        <v>5390</v>
      </c>
      <c r="C1856" t="s">
        <v>5391</v>
      </c>
      <c r="D1856" t="s">
        <v>158</v>
      </c>
      <c r="E1856" t="s">
        <v>24</v>
      </c>
      <c r="F1856" t="s">
        <v>60</v>
      </c>
      <c r="G1856" t="s">
        <v>31</v>
      </c>
      <c r="H1856">
        <f>Cleaned_Data!K1856</f>
        <v>0.46</v>
      </c>
      <c r="I1856" t="str">
        <f t="shared" si="84"/>
        <v>YES</v>
      </c>
      <c r="J1856">
        <f>Cleaned_Data!J1856</f>
        <v>4</v>
      </c>
      <c r="K1856" t="str">
        <f t="shared" si="85"/>
        <v>2024-04</v>
      </c>
      <c r="L1856">
        <f t="shared" si="86"/>
        <v>0</v>
      </c>
    </row>
    <row r="1857" spans="1:12">
      <c r="A1857" t="s">
        <v>5392</v>
      </c>
      <c r="B1857" t="s">
        <v>5393</v>
      </c>
      <c r="D1857" t="s">
        <v>15</v>
      </c>
      <c r="E1857" t="s">
        <v>16</v>
      </c>
      <c r="F1857" t="s">
        <v>60</v>
      </c>
      <c r="G1857" t="s">
        <v>46</v>
      </c>
      <c r="H1857">
        <f>Cleaned_Data!K1857</f>
        <v>0</v>
      </c>
      <c r="I1857" t="str">
        <f t="shared" si="84"/>
        <v/>
      </c>
      <c r="J1857">
        <f>Cleaned_Data!J1857</f>
        <v>8</v>
      </c>
      <c r="K1857" t="str">
        <f t="shared" si="85"/>
        <v>2024-10</v>
      </c>
      <c r="L1857">
        <f t="shared" si="86"/>
        <v>0</v>
      </c>
    </row>
    <row r="1858" spans="1:12">
      <c r="A1858" t="s">
        <v>5394</v>
      </c>
      <c r="B1858" t="s">
        <v>5395</v>
      </c>
      <c r="C1858" t="s">
        <v>5396</v>
      </c>
      <c r="D1858" t="s">
        <v>23</v>
      </c>
      <c r="E1858" t="s">
        <v>16</v>
      </c>
      <c r="F1858" t="s">
        <v>60</v>
      </c>
      <c r="G1858" t="s">
        <v>31</v>
      </c>
      <c r="H1858">
        <f>Cleaned_Data!K1858</f>
        <v>13.57</v>
      </c>
      <c r="I1858" t="str">
        <f t="shared" ref="I1858:I1921" si="87">IF(OR(G1858="Resolved", G1858="Closed"), IF(AND(H1858&lt;&gt;"", H1858&lt;=J1858), "YES", "NO"), "")</f>
        <v>YES</v>
      </c>
      <c r="J1858">
        <f>Cleaned_Data!J1858</f>
        <v>24</v>
      </c>
      <c r="K1858" t="str">
        <f t="shared" ref="K1858:K1921" si="88">LEFT(B1858, 7)</f>
        <v>2024-01</v>
      </c>
      <c r="L1858">
        <f t="shared" ref="L1858:L1921" si="89">IF(I1858="NO", H1858-J1858, 0)</f>
        <v>0</v>
      </c>
    </row>
    <row r="1859" spans="1:12">
      <c r="A1859" t="s">
        <v>5397</v>
      </c>
      <c r="B1859" t="s">
        <v>5398</v>
      </c>
      <c r="D1859" t="s">
        <v>23</v>
      </c>
      <c r="E1859" t="s">
        <v>28</v>
      </c>
      <c r="F1859" t="s">
        <v>60</v>
      </c>
      <c r="G1859" t="s">
        <v>63</v>
      </c>
      <c r="H1859">
        <f>Cleaned_Data!K1859</f>
        <v>0</v>
      </c>
      <c r="I1859" t="str">
        <f t="shared" si="87"/>
        <v/>
      </c>
      <c r="J1859">
        <f>Cleaned_Data!J1859</f>
        <v>24</v>
      </c>
      <c r="K1859" t="str">
        <f t="shared" si="88"/>
        <v>2024-03</v>
      </c>
      <c r="L1859">
        <f t="shared" si="89"/>
        <v>0</v>
      </c>
    </row>
    <row r="1860" spans="1:12">
      <c r="A1860" t="s">
        <v>5399</v>
      </c>
      <c r="B1860" t="s">
        <v>5400</v>
      </c>
      <c r="C1860" t="s">
        <v>5401</v>
      </c>
      <c r="D1860" t="s">
        <v>15</v>
      </c>
      <c r="E1860" t="s">
        <v>54</v>
      </c>
      <c r="F1860" t="s">
        <v>36</v>
      </c>
      <c r="G1860" t="s">
        <v>19</v>
      </c>
      <c r="H1860">
        <f>Cleaned_Data!K1860</f>
        <v>4.18</v>
      </c>
      <c r="I1860" t="str">
        <f t="shared" si="87"/>
        <v>YES</v>
      </c>
      <c r="J1860">
        <f>Cleaned_Data!J1860</f>
        <v>8</v>
      </c>
      <c r="K1860" t="str">
        <f t="shared" si="88"/>
        <v>2024-04</v>
      </c>
      <c r="L1860">
        <f t="shared" si="89"/>
        <v>0</v>
      </c>
    </row>
    <row r="1861" spans="1:12">
      <c r="A1861" t="s">
        <v>5402</v>
      </c>
      <c r="B1861" t="s">
        <v>5403</v>
      </c>
      <c r="C1861" t="s">
        <v>5404</v>
      </c>
      <c r="D1861" t="s">
        <v>23</v>
      </c>
      <c r="E1861" t="s">
        <v>16</v>
      </c>
      <c r="F1861" t="s">
        <v>17</v>
      </c>
      <c r="G1861" t="s">
        <v>19</v>
      </c>
      <c r="H1861">
        <f>Cleaned_Data!K1861</f>
        <v>4.8499999999999996</v>
      </c>
      <c r="I1861" t="str">
        <f t="shared" si="87"/>
        <v>YES</v>
      </c>
      <c r="J1861">
        <f>Cleaned_Data!J1861</f>
        <v>24</v>
      </c>
      <c r="K1861" t="str">
        <f t="shared" si="88"/>
        <v>2024-06</v>
      </c>
      <c r="L1861">
        <f t="shared" si="89"/>
        <v>0</v>
      </c>
    </row>
    <row r="1862" spans="1:12">
      <c r="A1862" t="s">
        <v>5405</v>
      </c>
      <c r="B1862" t="s">
        <v>5406</v>
      </c>
      <c r="C1862" t="s">
        <v>5407</v>
      </c>
      <c r="D1862" t="s">
        <v>23</v>
      </c>
      <c r="E1862" t="s">
        <v>24</v>
      </c>
      <c r="F1862" t="s">
        <v>17</v>
      </c>
      <c r="G1862" t="s">
        <v>19</v>
      </c>
      <c r="H1862">
        <f>Cleaned_Data!K1862</f>
        <v>10.45</v>
      </c>
      <c r="I1862" t="str">
        <f t="shared" si="87"/>
        <v>YES</v>
      </c>
      <c r="J1862">
        <f>Cleaned_Data!J1862</f>
        <v>24</v>
      </c>
      <c r="K1862" t="str">
        <f t="shared" si="88"/>
        <v>2024-02</v>
      </c>
      <c r="L1862">
        <f t="shared" si="89"/>
        <v>0</v>
      </c>
    </row>
    <row r="1863" spans="1:12">
      <c r="A1863" t="s">
        <v>5408</v>
      </c>
      <c r="B1863" t="s">
        <v>5409</v>
      </c>
      <c r="C1863" t="s">
        <v>5410</v>
      </c>
      <c r="D1863" t="s">
        <v>35</v>
      </c>
      <c r="E1863" t="s">
        <v>54</v>
      </c>
      <c r="F1863" t="s">
        <v>17</v>
      </c>
      <c r="G1863" t="s">
        <v>19</v>
      </c>
      <c r="H1863">
        <f>Cleaned_Data!K1863</f>
        <v>21.66</v>
      </c>
      <c r="I1863" t="str">
        <f t="shared" si="87"/>
        <v>YES</v>
      </c>
      <c r="J1863">
        <f>Cleaned_Data!J1863</f>
        <v>48</v>
      </c>
      <c r="K1863" t="str">
        <f t="shared" si="88"/>
        <v>2024-04</v>
      </c>
      <c r="L1863">
        <f t="shared" si="89"/>
        <v>0</v>
      </c>
    </row>
    <row r="1864" spans="1:12">
      <c r="A1864" t="s">
        <v>5411</v>
      </c>
      <c r="B1864" t="s">
        <v>5412</v>
      </c>
      <c r="C1864" t="s">
        <v>5413</v>
      </c>
      <c r="D1864" t="s">
        <v>15</v>
      </c>
      <c r="E1864" t="s">
        <v>16</v>
      </c>
      <c r="F1864" t="s">
        <v>36</v>
      </c>
      <c r="G1864" t="s">
        <v>19</v>
      </c>
      <c r="H1864">
        <f>Cleaned_Data!K1864</f>
        <v>5.28</v>
      </c>
      <c r="I1864" t="str">
        <f t="shared" si="87"/>
        <v>YES</v>
      </c>
      <c r="J1864">
        <f>Cleaned_Data!J1864</f>
        <v>8</v>
      </c>
      <c r="K1864" t="str">
        <f t="shared" si="88"/>
        <v>2024-06</v>
      </c>
      <c r="L1864">
        <f t="shared" si="89"/>
        <v>0</v>
      </c>
    </row>
    <row r="1865" spans="1:12">
      <c r="A1865" t="s">
        <v>5414</v>
      </c>
      <c r="B1865" t="s">
        <v>5415</v>
      </c>
      <c r="C1865" t="s">
        <v>5416</v>
      </c>
      <c r="D1865" t="s">
        <v>23</v>
      </c>
      <c r="E1865" t="s">
        <v>16</v>
      </c>
      <c r="F1865" t="s">
        <v>17</v>
      </c>
      <c r="G1865" t="s">
        <v>19</v>
      </c>
      <c r="H1865">
        <f>Cleaned_Data!K1865</f>
        <v>15.98</v>
      </c>
      <c r="I1865" t="str">
        <f t="shared" si="87"/>
        <v>YES</v>
      </c>
      <c r="J1865">
        <f>Cleaned_Data!J1865</f>
        <v>24</v>
      </c>
      <c r="K1865" t="str">
        <f t="shared" si="88"/>
        <v>2024-06</v>
      </c>
      <c r="L1865">
        <f t="shared" si="89"/>
        <v>0</v>
      </c>
    </row>
    <row r="1866" spans="1:12">
      <c r="A1866" t="s">
        <v>5417</v>
      </c>
      <c r="B1866" t="s">
        <v>5418</v>
      </c>
      <c r="C1866" t="s">
        <v>5419</v>
      </c>
      <c r="D1866" t="s">
        <v>23</v>
      </c>
      <c r="E1866" t="s">
        <v>59</v>
      </c>
      <c r="F1866" t="s">
        <v>41</v>
      </c>
      <c r="G1866" t="s">
        <v>19</v>
      </c>
      <c r="H1866">
        <f>Cleaned_Data!K1866</f>
        <v>5.64</v>
      </c>
      <c r="I1866" t="str">
        <f t="shared" si="87"/>
        <v>YES</v>
      </c>
      <c r="J1866">
        <f>Cleaned_Data!J1866</f>
        <v>24</v>
      </c>
      <c r="K1866" t="str">
        <f t="shared" si="88"/>
        <v>2024-04</v>
      </c>
      <c r="L1866">
        <f t="shared" si="89"/>
        <v>0</v>
      </c>
    </row>
    <row r="1867" spans="1:12">
      <c r="A1867" t="s">
        <v>5420</v>
      </c>
      <c r="B1867" t="s">
        <v>5421</v>
      </c>
      <c r="C1867" t="s">
        <v>5422</v>
      </c>
      <c r="D1867" t="s">
        <v>158</v>
      </c>
      <c r="E1867" t="s">
        <v>28</v>
      </c>
      <c r="F1867" t="s">
        <v>29</v>
      </c>
      <c r="G1867" t="s">
        <v>19</v>
      </c>
      <c r="H1867">
        <f>Cleaned_Data!K1867</f>
        <v>5.3</v>
      </c>
      <c r="I1867" t="str">
        <f t="shared" si="87"/>
        <v>NO</v>
      </c>
      <c r="J1867">
        <f>Cleaned_Data!J1867</f>
        <v>4</v>
      </c>
      <c r="K1867" t="str">
        <f t="shared" si="88"/>
        <v>2024-11</v>
      </c>
      <c r="L1867">
        <f t="shared" si="89"/>
        <v>1.2999999999999998</v>
      </c>
    </row>
    <row r="1868" spans="1:12">
      <c r="A1868" t="s">
        <v>5423</v>
      </c>
      <c r="B1868" t="s">
        <v>5424</v>
      </c>
      <c r="C1868" t="s">
        <v>5425</v>
      </c>
      <c r="D1868" t="s">
        <v>23</v>
      </c>
      <c r="E1868" t="s">
        <v>28</v>
      </c>
      <c r="F1868" t="s">
        <v>60</v>
      </c>
      <c r="G1868" t="s">
        <v>31</v>
      </c>
      <c r="H1868">
        <f>Cleaned_Data!K1868</f>
        <v>15.54</v>
      </c>
      <c r="I1868" t="str">
        <f t="shared" si="87"/>
        <v>YES</v>
      </c>
      <c r="J1868">
        <f>Cleaned_Data!J1868</f>
        <v>24</v>
      </c>
      <c r="K1868" t="str">
        <f t="shared" si="88"/>
        <v>2024-06</v>
      </c>
      <c r="L1868">
        <f t="shared" si="89"/>
        <v>0</v>
      </c>
    </row>
    <row r="1869" spans="1:12">
      <c r="A1869" t="s">
        <v>5426</v>
      </c>
      <c r="B1869" t="s">
        <v>5427</v>
      </c>
      <c r="C1869" t="s">
        <v>5428</v>
      </c>
      <c r="D1869" t="s">
        <v>35</v>
      </c>
      <c r="E1869" t="s">
        <v>16</v>
      </c>
      <c r="F1869" t="s">
        <v>41</v>
      </c>
      <c r="G1869" t="s">
        <v>19</v>
      </c>
      <c r="H1869">
        <f>Cleaned_Data!K1869</f>
        <v>41.72</v>
      </c>
      <c r="I1869" t="str">
        <f t="shared" si="87"/>
        <v>YES</v>
      </c>
      <c r="J1869">
        <f>Cleaned_Data!J1869</f>
        <v>48</v>
      </c>
      <c r="K1869" t="str">
        <f t="shared" si="88"/>
        <v>2024-09</v>
      </c>
      <c r="L1869">
        <f t="shared" si="89"/>
        <v>0</v>
      </c>
    </row>
    <row r="1870" spans="1:12">
      <c r="A1870" t="s">
        <v>5429</v>
      </c>
      <c r="B1870" t="s">
        <v>5430</v>
      </c>
      <c r="C1870" t="s">
        <v>5431</v>
      </c>
      <c r="D1870" t="s">
        <v>23</v>
      </c>
      <c r="E1870" t="s">
        <v>28</v>
      </c>
      <c r="F1870" t="s">
        <v>60</v>
      </c>
      <c r="G1870" t="s">
        <v>31</v>
      </c>
      <c r="H1870">
        <f>Cleaned_Data!K1870</f>
        <v>7.86</v>
      </c>
      <c r="I1870" t="str">
        <f t="shared" si="87"/>
        <v>YES</v>
      </c>
      <c r="J1870">
        <f>Cleaned_Data!J1870</f>
        <v>24</v>
      </c>
      <c r="K1870" t="str">
        <f t="shared" si="88"/>
        <v>2024-04</v>
      </c>
      <c r="L1870">
        <f t="shared" si="89"/>
        <v>0</v>
      </c>
    </row>
    <row r="1871" spans="1:12">
      <c r="A1871" t="s">
        <v>5432</v>
      </c>
      <c r="B1871" t="s">
        <v>5433</v>
      </c>
      <c r="C1871" t="s">
        <v>5434</v>
      </c>
      <c r="D1871" t="s">
        <v>23</v>
      </c>
      <c r="E1871" t="s">
        <v>28</v>
      </c>
      <c r="F1871" t="s">
        <v>60</v>
      </c>
      <c r="G1871" t="s">
        <v>31</v>
      </c>
      <c r="H1871">
        <f>Cleaned_Data!K1871</f>
        <v>13.97</v>
      </c>
      <c r="I1871" t="str">
        <f t="shared" si="87"/>
        <v>YES</v>
      </c>
      <c r="J1871">
        <f>Cleaned_Data!J1871</f>
        <v>24</v>
      </c>
      <c r="K1871" t="str">
        <f t="shared" si="88"/>
        <v>2024-04</v>
      </c>
      <c r="L1871">
        <f t="shared" si="89"/>
        <v>0</v>
      </c>
    </row>
    <row r="1872" spans="1:12">
      <c r="A1872" t="s">
        <v>5435</v>
      </c>
      <c r="B1872" t="s">
        <v>5436</v>
      </c>
      <c r="D1872" t="s">
        <v>35</v>
      </c>
      <c r="E1872" t="s">
        <v>28</v>
      </c>
      <c r="F1872" t="s">
        <v>17</v>
      </c>
      <c r="G1872" t="s">
        <v>63</v>
      </c>
      <c r="H1872">
        <f>Cleaned_Data!K1872</f>
        <v>0</v>
      </c>
      <c r="I1872" t="str">
        <f t="shared" si="87"/>
        <v/>
      </c>
      <c r="J1872">
        <f>Cleaned_Data!J1872</f>
        <v>48</v>
      </c>
      <c r="K1872" t="str">
        <f t="shared" si="88"/>
        <v>2024-04</v>
      </c>
      <c r="L1872">
        <f t="shared" si="89"/>
        <v>0</v>
      </c>
    </row>
    <row r="1873" spans="1:12">
      <c r="A1873" t="s">
        <v>5437</v>
      </c>
      <c r="B1873" t="s">
        <v>5438</v>
      </c>
      <c r="C1873" t="s">
        <v>5439</v>
      </c>
      <c r="D1873" t="s">
        <v>23</v>
      </c>
      <c r="E1873" t="s">
        <v>16</v>
      </c>
      <c r="F1873" t="s">
        <v>60</v>
      </c>
      <c r="G1873" t="s">
        <v>31</v>
      </c>
      <c r="H1873">
        <f>Cleaned_Data!K1873</f>
        <v>25.36</v>
      </c>
      <c r="I1873" t="str">
        <f t="shared" si="87"/>
        <v>NO</v>
      </c>
      <c r="J1873">
        <f>Cleaned_Data!J1873</f>
        <v>24</v>
      </c>
      <c r="K1873" t="str">
        <f t="shared" si="88"/>
        <v>2024-11</v>
      </c>
      <c r="L1873">
        <f t="shared" si="89"/>
        <v>1.3599999999999994</v>
      </c>
    </row>
    <row r="1874" spans="1:12">
      <c r="A1874" t="s">
        <v>5440</v>
      </c>
      <c r="B1874" t="s">
        <v>5441</v>
      </c>
      <c r="C1874" t="s">
        <v>5442</v>
      </c>
      <c r="D1874" t="s">
        <v>23</v>
      </c>
      <c r="E1874" t="s">
        <v>16</v>
      </c>
      <c r="F1874" t="s">
        <v>41</v>
      </c>
      <c r="G1874" t="s">
        <v>19</v>
      </c>
      <c r="H1874">
        <f>Cleaned_Data!K1874</f>
        <v>6.22</v>
      </c>
      <c r="I1874" t="str">
        <f t="shared" si="87"/>
        <v>YES</v>
      </c>
      <c r="J1874">
        <f>Cleaned_Data!J1874</f>
        <v>24</v>
      </c>
      <c r="K1874" t="str">
        <f t="shared" si="88"/>
        <v>2024-05</v>
      </c>
      <c r="L1874">
        <f t="shared" si="89"/>
        <v>0</v>
      </c>
    </row>
    <row r="1875" spans="1:12">
      <c r="A1875" t="s">
        <v>5443</v>
      </c>
      <c r="B1875" t="s">
        <v>5444</v>
      </c>
      <c r="C1875" t="s">
        <v>5445</v>
      </c>
      <c r="D1875" t="s">
        <v>23</v>
      </c>
      <c r="E1875" t="s">
        <v>28</v>
      </c>
      <c r="F1875" t="s">
        <v>29</v>
      </c>
      <c r="G1875" t="s">
        <v>19</v>
      </c>
      <c r="H1875">
        <f>Cleaned_Data!K1875</f>
        <v>19.57</v>
      </c>
      <c r="I1875" t="str">
        <f t="shared" si="87"/>
        <v>YES</v>
      </c>
      <c r="J1875">
        <f>Cleaned_Data!J1875</f>
        <v>24</v>
      </c>
      <c r="K1875" t="str">
        <f t="shared" si="88"/>
        <v>2024-10</v>
      </c>
      <c r="L1875">
        <f t="shared" si="89"/>
        <v>0</v>
      </c>
    </row>
    <row r="1876" spans="1:12">
      <c r="A1876" t="s">
        <v>5446</v>
      </c>
      <c r="B1876" t="s">
        <v>5447</v>
      </c>
      <c r="C1876" t="s">
        <v>5448</v>
      </c>
      <c r="D1876" t="s">
        <v>23</v>
      </c>
      <c r="E1876" t="s">
        <v>28</v>
      </c>
      <c r="F1876" t="s">
        <v>60</v>
      </c>
      <c r="G1876" t="s">
        <v>31</v>
      </c>
      <c r="H1876">
        <f>Cleaned_Data!K1876</f>
        <v>19.899999999999999</v>
      </c>
      <c r="I1876" t="str">
        <f t="shared" si="87"/>
        <v>YES</v>
      </c>
      <c r="J1876">
        <f>Cleaned_Data!J1876</f>
        <v>24</v>
      </c>
      <c r="K1876" t="str">
        <f t="shared" si="88"/>
        <v>2024-08</v>
      </c>
      <c r="L1876">
        <f t="shared" si="89"/>
        <v>0</v>
      </c>
    </row>
    <row r="1877" spans="1:12">
      <c r="A1877" t="s">
        <v>5449</v>
      </c>
      <c r="B1877" t="s">
        <v>5450</v>
      </c>
      <c r="D1877" t="s">
        <v>15</v>
      </c>
      <c r="E1877" t="s">
        <v>28</v>
      </c>
      <c r="F1877" t="s">
        <v>17</v>
      </c>
      <c r="G1877" t="s">
        <v>63</v>
      </c>
      <c r="H1877">
        <f>Cleaned_Data!K1877</f>
        <v>0</v>
      </c>
      <c r="I1877" t="str">
        <f t="shared" si="87"/>
        <v/>
      </c>
      <c r="J1877">
        <f>Cleaned_Data!J1877</f>
        <v>8</v>
      </c>
      <c r="K1877" t="str">
        <f t="shared" si="88"/>
        <v>2024-10</v>
      </c>
      <c r="L1877">
        <f t="shared" si="89"/>
        <v>0</v>
      </c>
    </row>
    <row r="1878" spans="1:12">
      <c r="A1878" t="s">
        <v>5451</v>
      </c>
      <c r="B1878" t="s">
        <v>5452</v>
      </c>
      <c r="C1878" t="s">
        <v>5453</v>
      </c>
      <c r="D1878" t="s">
        <v>23</v>
      </c>
      <c r="E1878" t="s">
        <v>24</v>
      </c>
      <c r="F1878" t="s">
        <v>17</v>
      </c>
      <c r="G1878" t="s">
        <v>19</v>
      </c>
      <c r="H1878">
        <f>Cleaned_Data!K1878</f>
        <v>11.93</v>
      </c>
      <c r="I1878" t="str">
        <f t="shared" si="87"/>
        <v>YES</v>
      </c>
      <c r="J1878">
        <f>Cleaned_Data!J1878</f>
        <v>24</v>
      </c>
      <c r="K1878" t="str">
        <f t="shared" si="88"/>
        <v>2024-01</v>
      </c>
      <c r="L1878">
        <f t="shared" si="89"/>
        <v>0</v>
      </c>
    </row>
    <row r="1879" spans="1:12">
      <c r="A1879" t="s">
        <v>5454</v>
      </c>
      <c r="B1879" t="s">
        <v>5455</v>
      </c>
      <c r="C1879" t="s">
        <v>5456</v>
      </c>
      <c r="D1879" t="s">
        <v>158</v>
      </c>
      <c r="E1879" t="s">
        <v>54</v>
      </c>
      <c r="F1879" t="s">
        <v>60</v>
      </c>
      <c r="G1879" t="s">
        <v>31</v>
      </c>
      <c r="H1879">
        <f>Cleaned_Data!K1879</f>
        <v>1.1299999999999999</v>
      </c>
      <c r="I1879" t="str">
        <f t="shared" si="87"/>
        <v>YES</v>
      </c>
      <c r="J1879">
        <f>Cleaned_Data!J1879</f>
        <v>4</v>
      </c>
      <c r="K1879" t="str">
        <f t="shared" si="88"/>
        <v>2024-10</v>
      </c>
      <c r="L1879">
        <f t="shared" si="89"/>
        <v>0</v>
      </c>
    </row>
    <row r="1880" spans="1:12">
      <c r="A1880" t="s">
        <v>5457</v>
      </c>
      <c r="B1880" t="s">
        <v>5458</v>
      </c>
      <c r="D1880" t="s">
        <v>15</v>
      </c>
      <c r="E1880" t="s">
        <v>59</v>
      </c>
      <c r="F1880" t="s">
        <v>41</v>
      </c>
      <c r="G1880" t="s">
        <v>46</v>
      </c>
      <c r="H1880">
        <f>Cleaned_Data!K1880</f>
        <v>0</v>
      </c>
      <c r="I1880" t="str">
        <f t="shared" si="87"/>
        <v/>
      </c>
      <c r="J1880">
        <f>Cleaned_Data!J1880</f>
        <v>8</v>
      </c>
      <c r="K1880" t="str">
        <f t="shared" si="88"/>
        <v>2024-01</v>
      </c>
      <c r="L1880">
        <f t="shared" si="89"/>
        <v>0</v>
      </c>
    </row>
    <row r="1881" spans="1:12">
      <c r="A1881" t="s">
        <v>5459</v>
      </c>
      <c r="B1881" t="s">
        <v>5460</v>
      </c>
      <c r="C1881" t="s">
        <v>5461</v>
      </c>
      <c r="D1881" t="s">
        <v>23</v>
      </c>
      <c r="E1881" t="s">
        <v>28</v>
      </c>
      <c r="F1881" t="s">
        <v>17</v>
      </c>
      <c r="G1881" t="s">
        <v>19</v>
      </c>
      <c r="H1881">
        <f>Cleaned_Data!K1881</f>
        <v>4.82</v>
      </c>
      <c r="I1881" t="str">
        <f t="shared" si="87"/>
        <v>YES</v>
      </c>
      <c r="J1881">
        <f>Cleaned_Data!J1881</f>
        <v>24</v>
      </c>
      <c r="K1881" t="str">
        <f t="shared" si="88"/>
        <v>2024-09</v>
      </c>
      <c r="L1881">
        <f t="shared" si="89"/>
        <v>0</v>
      </c>
    </row>
    <row r="1882" spans="1:12">
      <c r="A1882" t="s">
        <v>5462</v>
      </c>
      <c r="B1882" t="s">
        <v>5463</v>
      </c>
      <c r="C1882" t="s">
        <v>5464</v>
      </c>
      <c r="D1882" t="s">
        <v>23</v>
      </c>
      <c r="E1882" t="s">
        <v>16</v>
      </c>
      <c r="F1882" t="s">
        <v>17</v>
      </c>
      <c r="G1882" t="s">
        <v>19</v>
      </c>
      <c r="H1882">
        <f>Cleaned_Data!K1882</f>
        <v>5.81</v>
      </c>
      <c r="I1882" t="str">
        <f t="shared" si="87"/>
        <v>YES</v>
      </c>
      <c r="J1882">
        <f>Cleaned_Data!J1882</f>
        <v>24</v>
      </c>
      <c r="K1882" t="str">
        <f t="shared" si="88"/>
        <v>2024-11</v>
      </c>
      <c r="L1882">
        <f t="shared" si="89"/>
        <v>0</v>
      </c>
    </row>
    <row r="1883" spans="1:12">
      <c r="A1883" t="s">
        <v>5465</v>
      </c>
      <c r="B1883" t="s">
        <v>5466</v>
      </c>
      <c r="C1883" t="s">
        <v>5467</v>
      </c>
      <c r="D1883" t="s">
        <v>158</v>
      </c>
      <c r="E1883" t="s">
        <v>16</v>
      </c>
      <c r="F1883" t="s">
        <v>17</v>
      </c>
      <c r="G1883" t="s">
        <v>31</v>
      </c>
      <c r="H1883">
        <f>Cleaned_Data!K1883</f>
        <v>2.11</v>
      </c>
      <c r="I1883" t="str">
        <f t="shared" si="87"/>
        <v>YES</v>
      </c>
      <c r="J1883">
        <f>Cleaned_Data!J1883</f>
        <v>4</v>
      </c>
      <c r="K1883" t="str">
        <f t="shared" si="88"/>
        <v>2024-10</v>
      </c>
      <c r="L1883">
        <f t="shared" si="89"/>
        <v>0</v>
      </c>
    </row>
    <row r="1884" spans="1:12">
      <c r="A1884" t="s">
        <v>5468</v>
      </c>
      <c r="B1884" t="s">
        <v>5469</v>
      </c>
      <c r="C1884" t="s">
        <v>5470</v>
      </c>
      <c r="D1884" t="s">
        <v>15</v>
      </c>
      <c r="E1884" t="s">
        <v>28</v>
      </c>
      <c r="F1884" t="s">
        <v>29</v>
      </c>
      <c r="G1884" t="s">
        <v>31</v>
      </c>
      <c r="H1884">
        <f>Cleaned_Data!K1884</f>
        <v>1.92</v>
      </c>
      <c r="I1884" t="str">
        <f t="shared" si="87"/>
        <v>YES</v>
      </c>
      <c r="J1884">
        <f>Cleaned_Data!J1884</f>
        <v>8</v>
      </c>
      <c r="K1884" t="str">
        <f t="shared" si="88"/>
        <v>2024-08</v>
      </c>
      <c r="L1884">
        <f t="shared" si="89"/>
        <v>0</v>
      </c>
    </row>
    <row r="1885" spans="1:12">
      <c r="A1885" t="s">
        <v>5471</v>
      </c>
      <c r="B1885" t="s">
        <v>5472</v>
      </c>
      <c r="C1885" t="s">
        <v>5473</v>
      </c>
      <c r="D1885" t="s">
        <v>23</v>
      </c>
      <c r="E1885" t="s">
        <v>54</v>
      </c>
      <c r="F1885" t="s">
        <v>17</v>
      </c>
      <c r="G1885" t="s">
        <v>31</v>
      </c>
      <c r="H1885">
        <f>Cleaned_Data!K1885</f>
        <v>3.32</v>
      </c>
      <c r="I1885" t="str">
        <f t="shared" si="87"/>
        <v>YES</v>
      </c>
      <c r="J1885">
        <f>Cleaned_Data!J1885</f>
        <v>24</v>
      </c>
      <c r="K1885" t="str">
        <f t="shared" si="88"/>
        <v>2024-08</v>
      </c>
      <c r="L1885">
        <f t="shared" si="89"/>
        <v>0</v>
      </c>
    </row>
    <row r="1886" spans="1:12">
      <c r="A1886" t="s">
        <v>5474</v>
      </c>
      <c r="B1886" t="s">
        <v>5475</v>
      </c>
      <c r="C1886" t="s">
        <v>5476</v>
      </c>
      <c r="D1886" t="s">
        <v>15</v>
      </c>
      <c r="E1886" t="s">
        <v>24</v>
      </c>
      <c r="F1886" t="s">
        <v>41</v>
      </c>
      <c r="G1886" t="s">
        <v>31</v>
      </c>
      <c r="H1886">
        <f>Cleaned_Data!K1886</f>
        <v>1.71</v>
      </c>
      <c r="I1886" t="str">
        <f t="shared" si="87"/>
        <v>YES</v>
      </c>
      <c r="J1886">
        <f>Cleaned_Data!J1886</f>
        <v>8</v>
      </c>
      <c r="K1886" t="str">
        <f t="shared" si="88"/>
        <v>2024-11</v>
      </c>
      <c r="L1886">
        <f t="shared" si="89"/>
        <v>0</v>
      </c>
    </row>
    <row r="1887" spans="1:12">
      <c r="A1887" t="s">
        <v>5477</v>
      </c>
      <c r="B1887" t="s">
        <v>5478</v>
      </c>
      <c r="C1887" t="s">
        <v>5479</v>
      </c>
      <c r="D1887" t="s">
        <v>23</v>
      </c>
      <c r="E1887" t="s">
        <v>28</v>
      </c>
      <c r="F1887" t="s">
        <v>29</v>
      </c>
      <c r="G1887" t="s">
        <v>19</v>
      </c>
      <c r="H1887">
        <f>Cleaned_Data!K1887</f>
        <v>19.41</v>
      </c>
      <c r="I1887" t="str">
        <f t="shared" si="87"/>
        <v>YES</v>
      </c>
      <c r="J1887">
        <f>Cleaned_Data!J1887</f>
        <v>24</v>
      </c>
      <c r="K1887" t="str">
        <f t="shared" si="88"/>
        <v>2024-12</v>
      </c>
      <c r="L1887">
        <f t="shared" si="89"/>
        <v>0</v>
      </c>
    </row>
    <row r="1888" spans="1:12">
      <c r="A1888" t="s">
        <v>5480</v>
      </c>
      <c r="B1888" t="s">
        <v>5481</v>
      </c>
      <c r="C1888" t="s">
        <v>5482</v>
      </c>
      <c r="D1888" t="s">
        <v>158</v>
      </c>
      <c r="E1888" t="s">
        <v>24</v>
      </c>
      <c r="F1888" t="s">
        <v>60</v>
      </c>
      <c r="G1888" t="s">
        <v>31</v>
      </c>
      <c r="H1888">
        <f>Cleaned_Data!K1888</f>
        <v>5.05</v>
      </c>
      <c r="I1888" t="str">
        <f t="shared" si="87"/>
        <v>NO</v>
      </c>
      <c r="J1888">
        <f>Cleaned_Data!J1888</f>
        <v>4</v>
      </c>
      <c r="K1888" t="str">
        <f t="shared" si="88"/>
        <v>2024-05</v>
      </c>
      <c r="L1888">
        <f t="shared" si="89"/>
        <v>1.0499999999999998</v>
      </c>
    </row>
    <row r="1889" spans="1:12">
      <c r="A1889" t="s">
        <v>5483</v>
      </c>
      <c r="B1889" t="s">
        <v>5484</v>
      </c>
      <c r="C1889" t="s">
        <v>5485</v>
      </c>
      <c r="D1889" t="s">
        <v>158</v>
      </c>
      <c r="E1889" t="s">
        <v>28</v>
      </c>
      <c r="F1889" t="s">
        <v>41</v>
      </c>
      <c r="G1889" t="s">
        <v>31</v>
      </c>
      <c r="H1889">
        <f>Cleaned_Data!K1889</f>
        <v>2.83</v>
      </c>
      <c r="I1889" t="str">
        <f t="shared" si="87"/>
        <v>YES</v>
      </c>
      <c r="J1889">
        <f>Cleaned_Data!J1889</f>
        <v>4</v>
      </c>
      <c r="K1889" t="str">
        <f t="shared" si="88"/>
        <v>2024-03</v>
      </c>
      <c r="L1889">
        <f t="shared" si="89"/>
        <v>0</v>
      </c>
    </row>
    <row r="1890" spans="1:12">
      <c r="A1890" t="s">
        <v>5486</v>
      </c>
      <c r="B1890" t="s">
        <v>5487</v>
      </c>
      <c r="D1890" t="s">
        <v>23</v>
      </c>
      <c r="E1890" t="s">
        <v>59</v>
      </c>
      <c r="F1890" t="s">
        <v>60</v>
      </c>
      <c r="G1890" t="s">
        <v>46</v>
      </c>
      <c r="H1890">
        <f>Cleaned_Data!K1890</f>
        <v>0</v>
      </c>
      <c r="I1890" t="str">
        <f t="shared" si="87"/>
        <v/>
      </c>
      <c r="J1890">
        <f>Cleaned_Data!J1890</f>
        <v>24</v>
      </c>
      <c r="K1890" t="str">
        <f t="shared" si="88"/>
        <v>2024-12</v>
      </c>
      <c r="L1890">
        <f t="shared" si="89"/>
        <v>0</v>
      </c>
    </row>
    <row r="1891" spans="1:12">
      <c r="A1891" t="s">
        <v>5488</v>
      </c>
      <c r="B1891" t="s">
        <v>5489</v>
      </c>
      <c r="C1891" t="s">
        <v>5490</v>
      </c>
      <c r="D1891" t="s">
        <v>23</v>
      </c>
      <c r="E1891" t="s">
        <v>16</v>
      </c>
      <c r="F1891" t="s">
        <v>60</v>
      </c>
      <c r="G1891" t="s">
        <v>31</v>
      </c>
      <c r="H1891">
        <f>Cleaned_Data!K1891</f>
        <v>11.56</v>
      </c>
      <c r="I1891" t="str">
        <f t="shared" si="87"/>
        <v>YES</v>
      </c>
      <c r="J1891">
        <f>Cleaned_Data!J1891</f>
        <v>24</v>
      </c>
      <c r="K1891" t="str">
        <f t="shared" si="88"/>
        <v>2024-12</v>
      </c>
      <c r="L1891">
        <f t="shared" si="89"/>
        <v>0</v>
      </c>
    </row>
    <row r="1892" spans="1:12">
      <c r="A1892" t="s">
        <v>5491</v>
      </c>
      <c r="B1892" t="s">
        <v>5492</v>
      </c>
      <c r="C1892" t="s">
        <v>5493</v>
      </c>
      <c r="D1892" t="s">
        <v>23</v>
      </c>
      <c r="E1892" t="s">
        <v>28</v>
      </c>
      <c r="F1892" t="s">
        <v>29</v>
      </c>
      <c r="G1892" t="s">
        <v>19</v>
      </c>
      <c r="H1892">
        <f>Cleaned_Data!K1892</f>
        <v>18.14</v>
      </c>
      <c r="I1892" t="str">
        <f t="shared" si="87"/>
        <v>YES</v>
      </c>
      <c r="J1892">
        <f>Cleaned_Data!J1892</f>
        <v>24</v>
      </c>
      <c r="K1892" t="str">
        <f t="shared" si="88"/>
        <v>2024-11</v>
      </c>
      <c r="L1892">
        <f t="shared" si="89"/>
        <v>0</v>
      </c>
    </row>
    <row r="1893" spans="1:12">
      <c r="A1893" t="s">
        <v>5494</v>
      </c>
      <c r="B1893" t="s">
        <v>5495</v>
      </c>
      <c r="C1893" t="s">
        <v>5496</v>
      </c>
      <c r="D1893" t="s">
        <v>15</v>
      </c>
      <c r="E1893" t="s">
        <v>16</v>
      </c>
      <c r="F1893" t="s">
        <v>41</v>
      </c>
      <c r="G1893" t="s">
        <v>31</v>
      </c>
      <c r="H1893">
        <f>Cleaned_Data!K1893</f>
        <v>5.52</v>
      </c>
      <c r="I1893" t="str">
        <f t="shared" si="87"/>
        <v>YES</v>
      </c>
      <c r="J1893">
        <f>Cleaned_Data!J1893</f>
        <v>8</v>
      </c>
      <c r="K1893" t="str">
        <f t="shared" si="88"/>
        <v>2024-06</v>
      </c>
      <c r="L1893">
        <f t="shared" si="89"/>
        <v>0</v>
      </c>
    </row>
    <row r="1894" spans="1:12">
      <c r="A1894" t="s">
        <v>5497</v>
      </c>
      <c r="B1894" t="s">
        <v>5498</v>
      </c>
      <c r="C1894" t="s">
        <v>5499</v>
      </c>
      <c r="D1894" t="s">
        <v>23</v>
      </c>
      <c r="E1894" t="s">
        <v>28</v>
      </c>
      <c r="F1894" t="s">
        <v>36</v>
      </c>
      <c r="G1894" t="s">
        <v>19</v>
      </c>
      <c r="H1894">
        <f>Cleaned_Data!K1894</f>
        <v>52.37</v>
      </c>
      <c r="I1894" t="str">
        <f t="shared" si="87"/>
        <v>NO</v>
      </c>
      <c r="J1894">
        <f>Cleaned_Data!J1894</f>
        <v>24</v>
      </c>
      <c r="K1894" t="str">
        <f t="shared" si="88"/>
        <v>2024-03</v>
      </c>
      <c r="L1894">
        <f t="shared" si="89"/>
        <v>28.369999999999997</v>
      </c>
    </row>
    <row r="1895" spans="1:12">
      <c r="A1895" t="s">
        <v>5500</v>
      </c>
      <c r="B1895" t="s">
        <v>5501</v>
      </c>
      <c r="C1895" t="s">
        <v>5502</v>
      </c>
      <c r="D1895" t="s">
        <v>158</v>
      </c>
      <c r="E1895" t="s">
        <v>24</v>
      </c>
      <c r="F1895" t="s">
        <v>17</v>
      </c>
      <c r="G1895" t="s">
        <v>19</v>
      </c>
      <c r="H1895">
        <f>Cleaned_Data!K1895</f>
        <v>3.32</v>
      </c>
      <c r="I1895" t="str">
        <f t="shared" si="87"/>
        <v>YES</v>
      </c>
      <c r="J1895">
        <f>Cleaned_Data!J1895</f>
        <v>4</v>
      </c>
      <c r="K1895" t="str">
        <f t="shared" si="88"/>
        <v>2024-02</v>
      </c>
      <c r="L1895">
        <f t="shared" si="89"/>
        <v>0</v>
      </c>
    </row>
    <row r="1896" spans="1:12">
      <c r="A1896" t="s">
        <v>5503</v>
      </c>
      <c r="B1896" t="s">
        <v>5504</v>
      </c>
      <c r="C1896" t="s">
        <v>5505</v>
      </c>
      <c r="D1896" t="s">
        <v>15</v>
      </c>
      <c r="E1896" t="s">
        <v>54</v>
      </c>
      <c r="F1896" t="s">
        <v>29</v>
      </c>
      <c r="G1896" t="s">
        <v>19</v>
      </c>
      <c r="H1896">
        <f>Cleaned_Data!K1896</f>
        <v>3.06</v>
      </c>
      <c r="I1896" t="str">
        <f t="shared" si="87"/>
        <v>YES</v>
      </c>
      <c r="J1896">
        <f>Cleaned_Data!J1896</f>
        <v>8</v>
      </c>
      <c r="K1896" t="str">
        <f t="shared" si="88"/>
        <v>2024-01</v>
      </c>
      <c r="L1896">
        <f t="shared" si="89"/>
        <v>0</v>
      </c>
    </row>
    <row r="1897" spans="1:12">
      <c r="A1897" t="s">
        <v>5506</v>
      </c>
      <c r="B1897" t="s">
        <v>5507</v>
      </c>
      <c r="C1897" t="s">
        <v>5508</v>
      </c>
      <c r="D1897" t="s">
        <v>158</v>
      </c>
      <c r="E1897" t="s">
        <v>28</v>
      </c>
      <c r="F1897" t="s">
        <v>17</v>
      </c>
      <c r="G1897" t="s">
        <v>31</v>
      </c>
      <c r="H1897">
        <f>Cleaned_Data!K1897</f>
        <v>2.56</v>
      </c>
      <c r="I1897" t="str">
        <f t="shared" si="87"/>
        <v>YES</v>
      </c>
      <c r="J1897">
        <f>Cleaned_Data!J1897</f>
        <v>4</v>
      </c>
      <c r="K1897" t="str">
        <f t="shared" si="88"/>
        <v>2024-03</v>
      </c>
      <c r="L1897">
        <f t="shared" si="89"/>
        <v>0</v>
      </c>
    </row>
    <row r="1898" spans="1:12">
      <c r="A1898" t="s">
        <v>5509</v>
      </c>
      <c r="B1898" t="s">
        <v>5510</v>
      </c>
      <c r="C1898" t="s">
        <v>5511</v>
      </c>
      <c r="D1898" t="s">
        <v>23</v>
      </c>
      <c r="E1898" t="s">
        <v>28</v>
      </c>
      <c r="F1898" t="s">
        <v>60</v>
      </c>
      <c r="G1898" t="s">
        <v>31</v>
      </c>
      <c r="H1898">
        <f>Cleaned_Data!K1898</f>
        <v>5.76</v>
      </c>
      <c r="I1898" t="str">
        <f t="shared" si="87"/>
        <v>YES</v>
      </c>
      <c r="J1898">
        <f>Cleaned_Data!J1898</f>
        <v>24</v>
      </c>
      <c r="K1898" t="str">
        <f t="shared" si="88"/>
        <v>2024-08</v>
      </c>
      <c r="L1898">
        <f t="shared" si="89"/>
        <v>0</v>
      </c>
    </row>
    <row r="1899" spans="1:12">
      <c r="A1899" t="s">
        <v>5512</v>
      </c>
      <c r="B1899" t="s">
        <v>5513</v>
      </c>
      <c r="C1899" t="s">
        <v>5514</v>
      </c>
      <c r="D1899" t="s">
        <v>15</v>
      </c>
      <c r="E1899" t="s">
        <v>24</v>
      </c>
      <c r="F1899" t="s">
        <v>36</v>
      </c>
      <c r="G1899" t="s">
        <v>31</v>
      </c>
      <c r="H1899">
        <f>Cleaned_Data!K1899</f>
        <v>6.67</v>
      </c>
      <c r="I1899" t="str">
        <f t="shared" si="87"/>
        <v>YES</v>
      </c>
      <c r="J1899">
        <f>Cleaned_Data!J1899</f>
        <v>8</v>
      </c>
      <c r="K1899" t="str">
        <f t="shared" si="88"/>
        <v>2024-11</v>
      </c>
      <c r="L1899">
        <f t="shared" si="89"/>
        <v>0</v>
      </c>
    </row>
    <row r="1900" spans="1:12">
      <c r="A1900" t="s">
        <v>5515</v>
      </c>
      <c r="B1900" t="s">
        <v>5516</v>
      </c>
      <c r="C1900" t="s">
        <v>5517</v>
      </c>
      <c r="D1900" t="s">
        <v>15</v>
      </c>
      <c r="E1900" t="s">
        <v>16</v>
      </c>
      <c r="F1900" t="s">
        <v>60</v>
      </c>
      <c r="G1900" t="s">
        <v>19</v>
      </c>
      <c r="H1900">
        <f>Cleaned_Data!K1900</f>
        <v>7.28</v>
      </c>
      <c r="I1900" t="str">
        <f t="shared" si="87"/>
        <v>YES</v>
      </c>
      <c r="J1900">
        <f>Cleaned_Data!J1900</f>
        <v>8</v>
      </c>
      <c r="K1900" t="str">
        <f t="shared" si="88"/>
        <v>2024-02</v>
      </c>
      <c r="L1900">
        <f t="shared" si="89"/>
        <v>0</v>
      </c>
    </row>
    <row r="1901" spans="1:12">
      <c r="A1901" t="s">
        <v>5518</v>
      </c>
      <c r="B1901" t="s">
        <v>5519</v>
      </c>
      <c r="C1901" t="s">
        <v>5520</v>
      </c>
      <c r="D1901" t="s">
        <v>35</v>
      </c>
      <c r="E1901" t="s">
        <v>54</v>
      </c>
      <c r="F1901" t="s">
        <v>36</v>
      </c>
      <c r="G1901" t="s">
        <v>31</v>
      </c>
      <c r="H1901">
        <f>Cleaned_Data!K1901</f>
        <v>34.14</v>
      </c>
      <c r="I1901" t="str">
        <f t="shared" si="87"/>
        <v>YES</v>
      </c>
      <c r="J1901">
        <f>Cleaned_Data!J1901</f>
        <v>48</v>
      </c>
      <c r="K1901" t="str">
        <f t="shared" si="88"/>
        <v>2024-10</v>
      </c>
      <c r="L1901">
        <f t="shared" si="89"/>
        <v>0</v>
      </c>
    </row>
    <row r="1902" spans="1:12">
      <c r="A1902" t="s">
        <v>5521</v>
      </c>
      <c r="B1902" t="s">
        <v>5522</v>
      </c>
      <c r="C1902" t="s">
        <v>5523</v>
      </c>
      <c r="D1902" t="s">
        <v>23</v>
      </c>
      <c r="E1902" t="s">
        <v>24</v>
      </c>
      <c r="F1902" t="s">
        <v>60</v>
      </c>
      <c r="G1902" t="s">
        <v>19</v>
      </c>
      <c r="H1902">
        <f>Cleaned_Data!K1902</f>
        <v>5.65</v>
      </c>
      <c r="I1902" t="str">
        <f t="shared" si="87"/>
        <v>YES</v>
      </c>
      <c r="J1902">
        <f>Cleaned_Data!J1902</f>
        <v>24</v>
      </c>
      <c r="K1902" t="str">
        <f t="shared" si="88"/>
        <v>2024-05</v>
      </c>
      <c r="L1902">
        <f t="shared" si="89"/>
        <v>0</v>
      </c>
    </row>
    <row r="1903" spans="1:12">
      <c r="A1903" t="s">
        <v>5524</v>
      </c>
      <c r="B1903" t="s">
        <v>5525</v>
      </c>
      <c r="C1903" t="s">
        <v>5526</v>
      </c>
      <c r="D1903" t="s">
        <v>23</v>
      </c>
      <c r="E1903" t="s">
        <v>54</v>
      </c>
      <c r="F1903" t="s">
        <v>41</v>
      </c>
      <c r="G1903" t="s">
        <v>19</v>
      </c>
      <c r="H1903">
        <f>Cleaned_Data!K1903</f>
        <v>28.78</v>
      </c>
      <c r="I1903" t="str">
        <f t="shared" si="87"/>
        <v>NO</v>
      </c>
      <c r="J1903">
        <f>Cleaned_Data!J1903</f>
        <v>24</v>
      </c>
      <c r="K1903" t="str">
        <f t="shared" si="88"/>
        <v>2024-02</v>
      </c>
      <c r="L1903">
        <f t="shared" si="89"/>
        <v>4.7800000000000011</v>
      </c>
    </row>
    <row r="1904" spans="1:12">
      <c r="A1904" t="s">
        <v>5527</v>
      </c>
      <c r="B1904" t="s">
        <v>5528</v>
      </c>
      <c r="C1904" t="s">
        <v>5529</v>
      </c>
      <c r="D1904" t="s">
        <v>15</v>
      </c>
      <c r="E1904" t="s">
        <v>54</v>
      </c>
      <c r="F1904" t="s">
        <v>36</v>
      </c>
      <c r="G1904" t="s">
        <v>19</v>
      </c>
      <c r="H1904">
        <f>Cleaned_Data!K1904</f>
        <v>3.76</v>
      </c>
      <c r="I1904" t="str">
        <f t="shared" si="87"/>
        <v>YES</v>
      </c>
      <c r="J1904">
        <f>Cleaned_Data!J1904</f>
        <v>8</v>
      </c>
      <c r="K1904" t="str">
        <f t="shared" si="88"/>
        <v>2024-10</v>
      </c>
      <c r="L1904">
        <f t="shared" si="89"/>
        <v>0</v>
      </c>
    </row>
    <row r="1905" spans="1:12">
      <c r="A1905" t="s">
        <v>5530</v>
      </c>
      <c r="B1905" t="s">
        <v>5531</v>
      </c>
      <c r="C1905" t="s">
        <v>5532</v>
      </c>
      <c r="D1905" t="s">
        <v>158</v>
      </c>
      <c r="E1905" t="s">
        <v>54</v>
      </c>
      <c r="F1905" t="s">
        <v>17</v>
      </c>
      <c r="G1905" t="s">
        <v>19</v>
      </c>
      <c r="H1905">
        <f>Cleaned_Data!K1905</f>
        <v>1.63</v>
      </c>
      <c r="I1905" t="str">
        <f t="shared" si="87"/>
        <v>YES</v>
      </c>
      <c r="J1905">
        <f>Cleaned_Data!J1905</f>
        <v>4</v>
      </c>
      <c r="K1905" t="str">
        <f t="shared" si="88"/>
        <v>2024-08</v>
      </c>
      <c r="L1905">
        <f t="shared" si="89"/>
        <v>0</v>
      </c>
    </row>
    <row r="1906" spans="1:12">
      <c r="A1906" t="s">
        <v>5533</v>
      </c>
      <c r="B1906" t="s">
        <v>5534</v>
      </c>
      <c r="C1906" t="s">
        <v>5535</v>
      </c>
      <c r="D1906" t="s">
        <v>15</v>
      </c>
      <c r="E1906" t="s">
        <v>28</v>
      </c>
      <c r="F1906" t="s">
        <v>36</v>
      </c>
      <c r="G1906" t="s">
        <v>19</v>
      </c>
      <c r="H1906">
        <f>Cleaned_Data!K1906</f>
        <v>4.28</v>
      </c>
      <c r="I1906" t="str">
        <f t="shared" si="87"/>
        <v>YES</v>
      </c>
      <c r="J1906">
        <f>Cleaned_Data!J1906</f>
        <v>8</v>
      </c>
      <c r="K1906" t="str">
        <f t="shared" si="88"/>
        <v>2024-07</v>
      </c>
      <c r="L1906">
        <f t="shared" si="89"/>
        <v>0</v>
      </c>
    </row>
    <row r="1907" spans="1:12">
      <c r="A1907" t="s">
        <v>5536</v>
      </c>
      <c r="B1907" t="s">
        <v>5537</v>
      </c>
      <c r="C1907" t="s">
        <v>5538</v>
      </c>
      <c r="D1907" t="s">
        <v>23</v>
      </c>
      <c r="E1907" t="s">
        <v>28</v>
      </c>
      <c r="F1907" t="s">
        <v>17</v>
      </c>
      <c r="G1907" t="s">
        <v>19</v>
      </c>
      <c r="H1907">
        <f>Cleaned_Data!K1907</f>
        <v>16.97</v>
      </c>
      <c r="I1907" t="str">
        <f t="shared" si="87"/>
        <v>YES</v>
      </c>
      <c r="J1907">
        <f>Cleaned_Data!J1907</f>
        <v>24</v>
      </c>
      <c r="K1907" t="str">
        <f t="shared" si="88"/>
        <v>2024-05</v>
      </c>
      <c r="L1907">
        <f t="shared" si="89"/>
        <v>0</v>
      </c>
    </row>
    <row r="1908" spans="1:12">
      <c r="A1908" t="s">
        <v>5539</v>
      </c>
      <c r="B1908" t="s">
        <v>5540</v>
      </c>
      <c r="C1908" t="s">
        <v>5541</v>
      </c>
      <c r="D1908" t="s">
        <v>23</v>
      </c>
      <c r="E1908" t="s">
        <v>28</v>
      </c>
      <c r="F1908" t="s">
        <v>60</v>
      </c>
      <c r="G1908" t="s">
        <v>31</v>
      </c>
      <c r="H1908">
        <f>Cleaned_Data!K1908</f>
        <v>18.440000000000001</v>
      </c>
      <c r="I1908" t="str">
        <f t="shared" si="87"/>
        <v>YES</v>
      </c>
      <c r="J1908">
        <f>Cleaned_Data!J1908</f>
        <v>24</v>
      </c>
      <c r="K1908" t="str">
        <f t="shared" si="88"/>
        <v>2024-01</v>
      </c>
      <c r="L1908">
        <f t="shared" si="89"/>
        <v>0</v>
      </c>
    </row>
    <row r="1909" spans="1:12">
      <c r="A1909" t="s">
        <v>5542</v>
      </c>
      <c r="B1909" t="s">
        <v>5543</v>
      </c>
      <c r="C1909" t="s">
        <v>5544</v>
      </c>
      <c r="D1909" t="s">
        <v>23</v>
      </c>
      <c r="E1909" t="s">
        <v>16</v>
      </c>
      <c r="F1909" t="s">
        <v>60</v>
      </c>
      <c r="G1909" t="s">
        <v>19</v>
      </c>
      <c r="H1909">
        <f>Cleaned_Data!K1909</f>
        <v>18.760000000000002</v>
      </c>
      <c r="I1909" t="str">
        <f t="shared" si="87"/>
        <v>YES</v>
      </c>
      <c r="J1909">
        <f>Cleaned_Data!J1909</f>
        <v>24</v>
      </c>
      <c r="K1909" t="str">
        <f t="shared" si="88"/>
        <v>2024-08</v>
      </c>
      <c r="L1909">
        <f t="shared" si="89"/>
        <v>0</v>
      </c>
    </row>
    <row r="1910" spans="1:12">
      <c r="A1910" t="s">
        <v>5545</v>
      </c>
      <c r="B1910" t="s">
        <v>5546</v>
      </c>
      <c r="D1910" t="s">
        <v>23</v>
      </c>
      <c r="E1910" t="s">
        <v>16</v>
      </c>
      <c r="F1910" t="s">
        <v>36</v>
      </c>
      <c r="G1910" t="s">
        <v>63</v>
      </c>
      <c r="H1910">
        <f>Cleaned_Data!K1910</f>
        <v>0</v>
      </c>
      <c r="I1910" t="str">
        <f t="shared" si="87"/>
        <v/>
      </c>
      <c r="J1910">
        <f>Cleaned_Data!J1910</f>
        <v>24</v>
      </c>
      <c r="K1910" t="str">
        <f t="shared" si="88"/>
        <v>2024-12</v>
      </c>
      <c r="L1910">
        <f t="shared" si="89"/>
        <v>0</v>
      </c>
    </row>
    <row r="1911" spans="1:12">
      <c r="A1911" t="s">
        <v>5547</v>
      </c>
      <c r="B1911" t="s">
        <v>5548</v>
      </c>
      <c r="C1911" t="s">
        <v>5549</v>
      </c>
      <c r="D1911" t="s">
        <v>158</v>
      </c>
      <c r="E1911" t="s">
        <v>54</v>
      </c>
      <c r="F1911" t="s">
        <v>29</v>
      </c>
      <c r="G1911" t="s">
        <v>19</v>
      </c>
      <c r="H1911">
        <f>Cleaned_Data!K1911</f>
        <v>8.09</v>
      </c>
      <c r="I1911" t="str">
        <f t="shared" si="87"/>
        <v>NO</v>
      </c>
      <c r="J1911">
        <f>Cleaned_Data!J1911</f>
        <v>4</v>
      </c>
      <c r="K1911" t="str">
        <f t="shared" si="88"/>
        <v>2024-10</v>
      </c>
      <c r="L1911">
        <f t="shared" si="89"/>
        <v>4.09</v>
      </c>
    </row>
    <row r="1912" spans="1:12">
      <c r="A1912" t="s">
        <v>5550</v>
      </c>
      <c r="B1912" t="s">
        <v>5551</v>
      </c>
      <c r="C1912" t="s">
        <v>5552</v>
      </c>
      <c r="D1912" t="s">
        <v>15</v>
      </c>
      <c r="E1912" t="s">
        <v>16</v>
      </c>
      <c r="F1912" t="s">
        <v>17</v>
      </c>
      <c r="G1912" t="s">
        <v>31</v>
      </c>
      <c r="H1912">
        <f>Cleaned_Data!K1912</f>
        <v>2.4500000000000002</v>
      </c>
      <c r="I1912" t="str">
        <f t="shared" si="87"/>
        <v>YES</v>
      </c>
      <c r="J1912">
        <f>Cleaned_Data!J1912</f>
        <v>8</v>
      </c>
      <c r="K1912" t="str">
        <f t="shared" si="88"/>
        <v>2024-07</v>
      </c>
      <c r="L1912">
        <f t="shared" si="89"/>
        <v>0</v>
      </c>
    </row>
    <row r="1913" spans="1:12">
      <c r="A1913" t="s">
        <v>5553</v>
      </c>
      <c r="B1913" t="s">
        <v>5554</v>
      </c>
      <c r="C1913" t="s">
        <v>5555</v>
      </c>
      <c r="D1913" t="s">
        <v>23</v>
      </c>
      <c r="E1913" t="s">
        <v>54</v>
      </c>
      <c r="F1913" t="s">
        <v>29</v>
      </c>
      <c r="G1913" t="s">
        <v>19</v>
      </c>
      <c r="H1913">
        <f>Cleaned_Data!K1913</f>
        <v>16.059999999999999</v>
      </c>
      <c r="I1913" t="str">
        <f t="shared" si="87"/>
        <v>YES</v>
      </c>
      <c r="J1913">
        <f>Cleaned_Data!J1913</f>
        <v>24</v>
      </c>
      <c r="K1913" t="str">
        <f t="shared" si="88"/>
        <v>2024-02</v>
      </c>
      <c r="L1913">
        <f t="shared" si="89"/>
        <v>0</v>
      </c>
    </row>
    <row r="1914" spans="1:12">
      <c r="A1914" t="s">
        <v>5556</v>
      </c>
      <c r="B1914" t="s">
        <v>5557</v>
      </c>
      <c r="C1914" t="s">
        <v>5558</v>
      </c>
      <c r="D1914" t="s">
        <v>15</v>
      </c>
      <c r="E1914" t="s">
        <v>24</v>
      </c>
      <c r="F1914" t="s">
        <v>41</v>
      </c>
      <c r="G1914" t="s">
        <v>19</v>
      </c>
      <c r="H1914">
        <f>Cleaned_Data!K1914</f>
        <v>6.55</v>
      </c>
      <c r="I1914" t="str">
        <f t="shared" si="87"/>
        <v>YES</v>
      </c>
      <c r="J1914">
        <f>Cleaned_Data!J1914</f>
        <v>8</v>
      </c>
      <c r="K1914" t="str">
        <f t="shared" si="88"/>
        <v>2024-06</v>
      </c>
      <c r="L1914">
        <f t="shared" si="89"/>
        <v>0</v>
      </c>
    </row>
    <row r="1915" spans="1:12">
      <c r="A1915" t="s">
        <v>5559</v>
      </c>
      <c r="B1915" t="s">
        <v>5560</v>
      </c>
      <c r="C1915" t="s">
        <v>5561</v>
      </c>
      <c r="D1915" t="s">
        <v>15</v>
      </c>
      <c r="E1915" t="s">
        <v>16</v>
      </c>
      <c r="F1915" t="s">
        <v>36</v>
      </c>
      <c r="G1915" t="s">
        <v>31</v>
      </c>
      <c r="H1915">
        <f>Cleaned_Data!K1915</f>
        <v>12.95</v>
      </c>
      <c r="I1915" t="str">
        <f t="shared" si="87"/>
        <v>NO</v>
      </c>
      <c r="J1915">
        <f>Cleaned_Data!J1915</f>
        <v>8</v>
      </c>
      <c r="K1915" t="str">
        <f t="shared" si="88"/>
        <v>2024-02</v>
      </c>
      <c r="L1915">
        <f t="shared" si="89"/>
        <v>4.9499999999999993</v>
      </c>
    </row>
    <row r="1916" spans="1:12">
      <c r="A1916" t="s">
        <v>5562</v>
      </c>
      <c r="B1916" t="s">
        <v>5563</v>
      </c>
      <c r="C1916" t="s">
        <v>5564</v>
      </c>
      <c r="D1916" t="s">
        <v>15</v>
      </c>
      <c r="E1916" t="s">
        <v>59</v>
      </c>
      <c r="F1916" t="s">
        <v>29</v>
      </c>
      <c r="G1916" t="s">
        <v>31</v>
      </c>
      <c r="H1916">
        <f>Cleaned_Data!K1916</f>
        <v>3.54</v>
      </c>
      <c r="I1916" t="str">
        <f t="shared" si="87"/>
        <v>YES</v>
      </c>
      <c r="J1916">
        <f>Cleaned_Data!J1916</f>
        <v>8</v>
      </c>
      <c r="K1916" t="str">
        <f t="shared" si="88"/>
        <v>2024-05</v>
      </c>
      <c r="L1916">
        <f t="shared" si="89"/>
        <v>0</v>
      </c>
    </row>
    <row r="1917" spans="1:12">
      <c r="A1917" t="s">
        <v>5565</v>
      </c>
      <c r="B1917" t="s">
        <v>5566</v>
      </c>
      <c r="C1917" t="s">
        <v>5567</v>
      </c>
      <c r="D1917" t="s">
        <v>23</v>
      </c>
      <c r="E1917" t="s">
        <v>28</v>
      </c>
      <c r="F1917" t="s">
        <v>17</v>
      </c>
      <c r="G1917" t="s">
        <v>19</v>
      </c>
      <c r="H1917">
        <f>Cleaned_Data!K1917</f>
        <v>59.33</v>
      </c>
      <c r="I1917" t="str">
        <f t="shared" si="87"/>
        <v>NO</v>
      </c>
      <c r="J1917">
        <f>Cleaned_Data!J1917</f>
        <v>24</v>
      </c>
      <c r="K1917" t="str">
        <f t="shared" si="88"/>
        <v>2024-09</v>
      </c>
      <c r="L1917">
        <f t="shared" si="89"/>
        <v>35.33</v>
      </c>
    </row>
    <row r="1918" spans="1:12">
      <c r="A1918" t="s">
        <v>5568</v>
      </c>
      <c r="B1918" t="s">
        <v>5569</v>
      </c>
      <c r="C1918" t="s">
        <v>5570</v>
      </c>
      <c r="D1918" t="s">
        <v>23</v>
      </c>
      <c r="E1918" t="s">
        <v>28</v>
      </c>
      <c r="F1918" t="s">
        <v>29</v>
      </c>
      <c r="G1918" t="s">
        <v>19</v>
      </c>
      <c r="H1918">
        <f>Cleaned_Data!K1918</f>
        <v>50.02</v>
      </c>
      <c r="I1918" t="str">
        <f t="shared" si="87"/>
        <v>NO</v>
      </c>
      <c r="J1918">
        <f>Cleaned_Data!J1918</f>
        <v>24</v>
      </c>
      <c r="K1918" t="str">
        <f t="shared" si="88"/>
        <v>2024-07</v>
      </c>
      <c r="L1918">
        <f t="shared" si="89"/>
        <v>26.020000000000003</v>
      </c>
    </row>
    <row r="1919" spans="1:12">
      <c r="A1919" t="s">
        <v>5571</v>
      </c>
      <c r="B1919" t="s">
        <v>5572</v>
      </c>
      <c r="C1919" t="s">
        <v>5573</v>
      </c>
      <c r="D1919" t="s">
        <v>23</v>
      </c>
      <c r="E1919" t="s">
        <v>16</v>
      </c>
      <c r="F1919" t="s">
        <v>29</v>
      </c>
      <c r="G1919" t="s">
        <v>31</v>
      </c>
      <c r="H1919">
        <f>Cleaned_Data!K1919</f>
        <v>6.04</v>
      </c>
      <c r="I1919" t="str">
        <f t="shared" si="87"/>
        <v>YES</v>
      </c>
      <c r="J1919">
        <f>Cleaned_Data!J1919</f>
        <v>24</v>
      </c>
      <c r="K1919" t="str">
        <f t="shared" si="88"/>
        <v>2024-01</v>
      </c>
      <c r="L1919">
        <f t="shared" si="89"/>
        <v>0</v>
      </c>
    </row>
    <row r="1920" spans="1:12">
      <c r="A1920" t="s">
        <v>5574</v>
      </c>
      <c r="B1920" t="s">
        <v>5575</v>
      </c>
      <c r="C1920" t="s">
        <v>5576</v>
      </c>
      <c r="D1920" t="s">
        <v>23</v>
      </c>
      <c r="E1920" t="s">
        <v>24</v>
      </c>
      <c r="F1920" t="s">
        <v>60</v>
      </c>
      <c r="G1920" t="s">
        <v>19</v>
      </c>
      <c r="H1920">
        <f>Cleaned_Data!K1920</f>
        <v>3.17</v>
      </c>
      <c r="I1920" t="str">
        <f t="shared" si="87"/>
        <v>YES</v>
      </c>
      <c r="J1920">
        <f>Cleaned_Data!J1920</f>
        <v>24</v>
      </c>
      <c r="K1920" t="str">
        <f t="shared" si="88"/>
        <v>2024-05</v>
      </c>
      <c r="L1920">
        <f t="shared" si="89"/>
        <v>0</v>
      </c>
    </row>
    <row r="1921" spans="1:12">
      <c r="A1921" t="s">
        <v>5577</v>
      </c>
      <c r="B1921" t="s">
        <v>5578</v>
      </c>
      <c r="C1921" t="s">
        <v>5579</v>
      </c>
      <c r="D1921" t="s">
        <v>35</v>
      </c>
      <c r="E1921" t="s">
        <v>28</v>
      </c>
      <c r="F1921" t="s">
        <v>17</v>
      </c>
      <c r="G1921" t="s">
        <v>19</v>
      </c>
      <c r="H1921">
        <f>Cleaned_Data!K1921</f>
        <v>19.29</v>
      </c>
      <c r="I1921" t="str">
        <f t="shared" si="87"/>
        <v>YES</v>
      </c>
      <c r="J1921">
        <f>Cleaned_Data!J1921</f>
        <v>48</v>
      </c>
      <c r="K1921" t="str">
        <f t="shared" si="88"/>
        <v>2024-01</v>
      </c>
      <c r="L1921">
        <f t="shared" si="89"/>
        <v>0</v>
      </c>
    </row>
    <row r="1922" spans="1:12">
      <c r="A1922" t="s">
        <v>5580</v>
      </c>
      <c r="B1922" t="s">
        <v>5581</v>
      </c>
      <c r="C1922" t="s">
        <v>5582</v>
      </c>
      <c r="D1922" t="s">
        <v>23</v>
      </c>
      <c r="E1922" t="s">
        <v>16</v>
      </c>
      <c r="F1922" t="s">
        <v>36</v>
      </c>
      <c r="G1922" t="s">
        <v>31</v>
      </c>
      <c r="H1922">
        <f>Cleaned_Data!K1922</f>
        <v>18.84</v>
      </c>
      <c r="I1922" t="str">
        <f t="shared" ref="I1922:I1985" si="90">IF(OR(G1922="Resolved", G1922="Closed"), IF(AND(H1922&lt;&gt;"", H1922&lt;=J1922), "YES", "NO"), "")</f>
        <v>YES</v>
      </c>
      <c r="J1922">
        <f>Cleaned_Data!J1922</f>
        <v>24</v>
      </c>
      <c r="K1922" t="str">
        <f t="shared" ref="K1922:K1985" si="91">LEFT(B1922, 7)</f>
        <v>2024-04</v>
      </c>
      <c r="L1922">
        <f t="shared" ref="L1922:L1985" si="92">IF(I1922="NO", H1922-J1922, 0)</f>
        <v>0</v>
      </c>
    </row>
    <row r="1923" spans="1:12">
      <c r="A1923" t="s">
        <v>5583</v>
      </c>
      <c r="B1923" t="s">
        <v>5584</v>
      </c>
      <c r="C1923" t="s">
        <v>5585</v>
      </c>
      <c r="D1923" t="s">
        <v>23</v>
      </c>
      <c r="E1923" t="s">
        <v>28</v>
      </c>
      <c r="F1923" t="s">
        <v>36</v>
      </c>
      <c r="G1923" t="s">
        <v>19</v>
      </c>
      <c r="H1923">
        <f>Cleaned_Data!K1923</f>
        <v>36.479999999999997</v>
      </c>
      <c r="I1923" t="str">
        <f t="shared" si="90"/>
        <v>NO</v>
      </c>
      <c r="J1923">
        <f>Cleaned_Data!J1923</f>
        <v>24</v>
      </c>
      <c r="K1923" t="str">
        <f t="shared" si="91"/>
        <v>2024-10</v>
      </c>
      <c r="L1923">
        <f t="shared" si="92"/>
        <v>12.479999999999997</v>
      </c>
    </row>
    <row r="1924" spans="1:12">
      <c r="A1924" t="s">
        <v>5586</v>
      </c>
      <c r="B1924" t="s">
        <v>5587</v>
      </c>
      <c r="C1924" t="s">
        <v>5588</v>
      </c>
      <c r="D1924" t="s">
        <v>15</v>
      </c>
      <c r="E1924" t="s">
        <v>28</v>
      </c>
      <c r="F1924" t="s">
        <v>41</v>
      </c>
      <c r="G1924" t="s">
        <v>19</v>
      </c>
      <c r="H1924">
        <f>Cleaned_Data!K1924</f>
        <v>6.8</v>
      </c>
      <c r="I1924" t="str">
        <f t="shared" si="90"/>
        <v>YES</v>
      </c>
      <c r="J1924">
        <f>Cleaned_Data!J1924</f>
        <v>8</v>
      </c>
      <c r="K1924" t="str">
        <f t="shared" si="91"/>
        <v>2024-09</v>
      </c>
      <c r="L1924">
        <f t="shared" si="92"/>
        <v>0</v>
      </c>
    </row>
    <row r="1925" spans="1:12">
      <c r="A1925" t="s">
        <v>5589</v>
      </c>
      <c r="B1925" t="s">
        <v>5590</v>
      </c>
      <c r="C1925" t="s">
        <v>5591</v>
      </c>
      <c r="D1925" t="s">
        <v>158</v>
      </c>
      <c r="E1925" t="s">
        <v>24</v>
      </c>
      <c r="F1925" t="s">
        <v>60</v>
      </c>
      <c r="G1925" t="s">
        <v>19</v>
      </c>
      <c r="H1925">
        <f>Cleaned_Data!K1925</f>
        <v>11.93</v>
      </c>
      <c r="I1925" t="str">
        <f t="shared" si="90"/>
        <v>NO</v>
      </c>
      <c r="J1925">
        <f>Cleaned_Data!J1925</f>
        <v>4</v>
      </c>
      <c r="K1925" t="str">
        <f t="shared" si="91"/>
        <v>2024-10</v>
      </c>
      <c r="L1925">
        <f t="shared" si="92"/>
        <v>7.93</v>
      </c>
    </row>
    <row r="1926" spans="1:12">
      <c r="A1926" t="s">
        <v>5592</v>
      </c>
      <c r="B1926" t="s">
        <v>5593</v>
      </c>
      <c r="C1926" t="s">
        <v>5594</v>
      </c>
      <c r="D1926" t="s">
        <v>35</v>
      </c>
      <c r="E1926" t="s">
        <v>16</v>
      </c>
      <c r="F1926" t="s">
        <v>60</v>
      </c>
      <c r="G1926" t="s">
        <v>19</v>
      </c>
      <c r="H1926">
        <f>Cleaned_Data!K1926</f>
        <v>38.270000000000003</v>
      </c>
      <c r="I1926" t="str">
        <f t="shared" si="90"/>
        <v>YES</v>
      </c>
      <c r="J1926">
        <f>Cleaned_Data!J1926</f>
        <v>48</v>
      </c>
      <c r="K1926" t="str">
        <f t="shared" si="91"/>
        <v>2024-07</v>
      </c>
      <c r="L1926">
        <f t="shared" si="92"/>
        <v>0</v>
      </c>
    </row>
    <row r="1927" spans="1:12">
      <c r="A1927" t="s">
        <v>5595</v>
      </c>
      <c r="B1927" t="s">
        <v>5596</v>
      </c>
      <c r="C1927" t="s">
        <v>5597</v>
      </c>
      <c r="D1927" t="s">
        <v>23</v>
      </c>
      <c r="E1927" t="s">
        <v>28</v>
      </c>
      <c r="F1927" t="s">
        <v>41</v>
      </c>
      <c r="G1927" t="s">
        <v>19</v>
      </c>
      <c r="H1927">
        <f>Cleaned_Data!K1927</f>
        <v>49.72</v>
      </c>
      <c r="I1927" t="str">
        <f t="shared" si="90"/>
        <v>NO</v>
      </c>
      <c r="J1927">
        <f>Cleaned_Data!J1927</f>
        <v>24</v>
      </c>
      <c r="K1927" t="str">
        <f t="shared" si="91"/>
        <v>2024-01</v>
      </c>
      <c r="L1927">
        <f t="shared" si="92"/>
        <v>25.72</v>
      </c>
    </row>
    <row r="1928" spans="1:12">
      <c r="A1928" t="s">
        <v>5598</v>
      </c>
      <c r="B1928" t="s">
        <v>5599</v>
      </c>
      <c r="C1928" t="s">
        <v>5600</v>
      </c>
      <c r="D1928" t="s">
        <v>23</v>
      </c>
      <c r="E1928" t="s">
        <v>28</v>
      </c>
      <c r="F1928" t="s">
        <v>41</v>
      </c>
      <c r="G1928" t="s">
        <v>31</v>
      </c>
      <c r="H1928">
        <f>Cleaned_Data!K1928</f>
        <v>53.1</v>
      </c>
      <c r="I1928" t="str">
        <f t="shared" si="90"/>
        <v>NO</v>
      </c>
      <c r="J1928">
        <f>Cleaned_Data!J1928</f>
        <v>24</v>
      </c>
      <c r="K1928" t="str">
        <f t="shared" si="91"/>
        <v>2024-09</v>
      </c>
      <c r="L1928">
        <f t="shared" si="92"/>
        <v>29.1</v>
      </c>
    </row>
    <row r="1929" spans="1:12">
      <c r="A1929" t="s">
        <v>5601</v>
      </c>
      <c r="B1929" t="s">
        <v>5602</v>
      </c>
      <c r="C1929" t="s">
        <v>5603</v>
      </c>
      <c r="D1929" t="s">
        <v>23</v>
      </c>
      <c r="E1929" t="s">
        <v>24</v>
      </c>
      <c r="F1929" t="s">
        <v>60</v>
      </c>
      <c r="G1929" t="s">
        <v>19</v>
      </c>
      <c r="H1929">
        <f>Cleaned_Data!K1929</f>
        <v>18.559999999999999</v>
      </c>
      <c r="I1929" t="str">
        <f t="shared" si="90"/>
        <v>YES</v>
      </c>
      <c r="J1929">
        <f>Cleaned_Data!J1929</f>
        <v>24</v>
      </c>
      <c r="K1929" t="str">
        <f t="shared" si="91"/>
        <v>2024-12</v>
      </c>
      <c r="L1929">
        <f t="shared" si="92"/>
        <v>0</v>
      </c>
    </row>
    <row r="1930" spans="1:12">
      <c r="A1930" t="s">
        <v>5604</v>
      </c>
      <c r="B1930" t="s">
        <v>5605</v>
      </c>
      <c r="C1930" t="s">
        <v>5606</v>
      </c>
      <c r="D1930" t="s">
        <v>158</v>
      </c>
      <c r="E1930" t="s">
        <v>54</v>
      </c>
      <c r="F1930" t="s">
        <v>36</v>
      </c>
      <c r="G1930" t="s">
        <v>31</v>
      </c>
      <c r="H1930">
        <f>Cleaned_Data!K1930</f>
        <v>0.77</v>
      </c>
      <c r="I1930" t="str">
        <f t="shared" si="90"/>
        <v>YES</v>
      </c>
      <c r="J1930">
        <f>Cleaned_Data!J1930</f>
        <v>4</v>
      </c>
      <c r="K1930" t="str">
        <f t="shared" si="91"/>
        <v>2024-01</v>
      </c>
      <c r="L1930">
        <f t="shared" si="92"/>
        <v>0</v>
      </c>
    </row>
    <row r="1931" spans="1:12">
      <c r="A1931" t="s">
        <v>5607</v>
      </c>
      <c r="B1931" t="s">
        <v>5608</v>
      </c>
      <c r="C1931" t="s">
        <v>5609</v>
      </c>
      <c r="D1931" t="s">
        <v>23</v>
      </c>
      <c r="E1931" t="s">
        <v>28</v>
      </c>
      <c r="F1931" t="s">
        <v>36</v>
      </c>
      <c r="G1931" t="s">
        <v>19</v>
      </c>
      <c r="H1931">
        <f>Cleaned_Data!K1931</f>
        <v>34.31</v>
      </c>
      <c r="I1931" t="str">
        <f t="shared" si="90"/>
        <v>NO</v>
      </c>
      <c r="J1931">
        <f>Cleaned_Data!J1931</f>
        <v>24</v>
      </c>
      <c r="K1931" t="str">
        <f t="shared" si="91"/>
        <v>2024-03</v>
      </c>
      <c r="L1931">
        <f t="shared" si="92"/>
        <v>10.310000000000002</v>
      </c>
    </row>
    <row r="1932" spans="1:12">
      <c r="A1932" t="s">
        <v>5610</v>
      </c>
      <c r="B1932" t="s">
        <v>5611</v>
      </c>
      <c r="C1932" t="s">
        <v>5612</v>
      </c>
      <c r="D1932" t="s">
        <v>35</v>
      </c>
      <c r="E1932" t="s">
        <v>54</v>
      </c>
      <c r="F1932" t="s">
        <v>60</v>
      </c>
      <c r="G1932" t="s">
        <v>19</v>
      </c>
      <c r="H1932">
        <f>Cleaned_Data!K1932</f>
        <v>18.48</v>
      </c>
      <c r="I1932" t="str">
        <f t="shared" si="90"/>
        <v>YES</v>
      </c>
      <c r="J1932">
        <f>Cleaned_Data!J1932</f>
        <v>48</v>
      </c>
      <c r="K1932" t="str">
        <f t="shared" si="91"/>
        <v>2024-03</v>
      </c>
      <c r="L1932">
        <f t="shared" si="92"/>
        <v>0</v>
      </c>
    </row>
    <row r="1933" spans="1:12">
      <c r="A1933" t="s">
        <v>5613</v>
      </c>
      <c r="B1933" t="s">
        <v>5614</v>
      </c>
      <c r="C1933" t="s">
        <v>5615</v>
      </c>
      <c r="D1933" t="s">
        <v>15</v>
      </c>
      <c r="E1933" t="s">
        <v>24</v>
      </c>
      <c r="F1933" t="s">
        <v>29</v>
      </c>
      <c r="G1933" t="s">
        <v>19</v>
      </c>
      <c r="H1933">
        <f>Cleaned_Data!K1933</f>
        <v>5.88</v>
      </c>
      <c r="I1933" t="str">
        <f t="shared" si="90"/>
        <v>YES</v>
      </c>
      <c r="J1933">
        <f>Cleaned_Data!J1933</f>
        <v>8</v>
      </c>
      <c r="K1933" t="str">
        <f t="shared" si="91"/>
        <v>2024-02</v>
      </c>
      <c r="L1933">
        <f t="shared" si="92"/>
        <v>0</v>
      </c>
    </row>
    <row r="1934" spans="1:12">
      <c r="A1934" t="s">
        <v>5616</v>
      </c>
      <c r="B1934" t="s">
        <v>5617</v>
      </c>
      <c r="D1934" t="s">
        <v>158</v>
      </c>
      <c r="E1934" t="s">
        <v>16</v>
      </c>
      <c r="F1934" t="s">
        <v>17</v>
      </c>
      <c r="G1934" t="s">
        <v>63</v>
      </c>
      <c r="H1934">
        <f>Cleaned_Data!K1934</f>
        <v>0</v>
      </c>
      <c r="I1934" t="str">
        <f t="shared" si="90"/>
        <v/>
      </c>
      <c r="J1934">
        <f>Cleaned_Data!J1934</f>
        <v>4</v>
      </c>
      <c r="K1934" t="str">
        <f t="shared" si="91"/>
        <v>2024-09</v>
      </c>
      <c r="L1934">
        <f t="shared" si="92"/>
        <v>0</v>
      </c>
    </row>
    <row r="1935" spans="1:12">
      <c r="A1935" t="s">
        <v>5618</v>
      </c>
      <c r="B1935" t="s">
        <v>5619</v>
      </c>
      <c r="C1935" t="s">
        <v>5620</v>
      </c>
      <c r="D1935" t="s">
        <v>23</v>
      </c>
      <c r="E1935" t="s">
        <v>16</v>
      </c>
      <c r="F1935" t="s">
        <v>36</v>
      </c>
      <c r="G1935" t="s">
        <v>31</v>
      </c>
      <c r="H1935">
        <f>Cleaned_Data!K1935</f>
        <v>5.03</v>
      </c>
      <c r="I1935" t="str">
        <f t="shared" si="90"/>
        <v>YES</v>
      </c>
      <c r="J1935">
        <f>Cleaned_Data!J1935</f>
        <v>24</v>
      </c>
      <c r="K1935" t="str">
        <f t="shared" si="91"/>
        <v>2024-06</v>
      </c>
      <c r="L1935">
        <f t="shared" si="92"/>
        <v>0</v>
      </c>
    </row>
    <row r="1936" spans="1:12">
      <c r="A1936" t="s">
        <v>5621</v>
      </c>
      <c r="B1936" t="s">
        <v>5622</v>
      </c>
      <c r="C1936" t="s">
        <v>5623</v>
      </c>
      <c r="D1936" t="s">
        <v>35</v>
      </c>
      <c r="E1936" t="s">
        <v>28</v>
      </c>
      <c r="F1936" t="s">
        <v>36</v>
      </c>
      <c r="G1936" t="s">
        <v>31</v>
      </c>
      <c r="H1936">
        <f>Cleaned_Data!K1936</f>
        <v>21.03</v>
      </c>
      <c r="I1936" t="str">
        <f t="shared" si="90"/>
        <v>YES</v>
      </c>
      <c r="J1936">
        <f>Cleaned_Data!J1936</f>
        <v>48</v>
      </c>
      <c r="K1936" t="str">
        <f t="shared" si="91"/>
        <v>2024-01</v>
      </c>
      <c r="L1936">
        <f t="shared" si="92"/>
        <v>0</v>
      </c>
    </row>
    <row r="1937" spans="1:12">
      <c r="A1937" t="s">
        <v>5624</v>
      </c>
      <c r="B1937" t="s">
        <v>5625</v>
      </c>
      <c r="C1937" t="s">
        <v>5626</v>
      </c>
      <c r="D1937" t="s">
        <v>35</v>
      </c>
      <c r="E1937" t="s">
        <v>24</v>
      </c>
      <c r="F1937" t="s">
        <v>17</v>
      </c>
      <c r="G1937" t="s">
        <v>19</v>
      </c>
      <c r="H1937">
        <f>Cleaned_Data!K1937</f>
        <v>35.200000000000003</v>
      </c>
      <c r="I1937" t="str">
        <f t="shared" si="90"/>
        <v>YES</v>
      </c>
      <c r="J1937">
        <f>Cleaned_Data!J1937</f>
        <v>48</v>
      </c>
      <c r="K1937" t="str">
        <f t="shared" si="91"/>
        <v>2024-11</v>
      </c>
      <c r="L1937">
        <f t="shared" si="92"/>
        <v>0</v>
      </c>
    </row>
    <row r="1938" spans="1:12">
      <c r="A1938" t="s">
        <v>5627</v>
      </c>
      <c r="B1938" t="s">
        <v>5628</v>
      </c>
      <c r="C1938" t="s">
        <v>5629</v>
      </c>
      <c r="D1938" t="s">
        <v>23</v>
      </c>
      <c r="E1938" t="s">
        <v>28</v>
      </c>
      <c r="F1938" t="s">
        <v>29</v>
      </c>
      <c r="G1938" t="s">
        <v>19</v>
      </c>
      <c r="H1938">
        <f>Cleaned_Data!K1938</f>
        <v>13.63</v>
      </c>
      <c r="I1938" t="str">
        <f t="shared" si="90"/>
        <v>YES</v>
      </c>
      <c r="J1938">
        <f>Cleaned_Data!J1938</f>
        <v>24</v>
      </c>
      <c r="K1938" t="str">
        <f t="shared" si="91"/>
        <v>2024-03</v>
      </c>
      <c r="L1938">
        <f t="shared" si="92"/>
        <v>0</v>
      </c>
    </row>
    <row r="1939" spans="1:12">
      <c r="A1939" t="s">
        <v>5630</v>
      </c>
      <c r="B1939" t="s">
        <v>5631</v>
      </c>
      <c r="C1939" t="s">
        <v>5632</v>
      </c>
      <c r="D1939" t="s">
        <v>23</v>
      </c>
      <c r="E1939" t="s">
        <v>16</v>
      </c>
      <c r="F1939" t="s">
        <v>41</v>
      </c>
      <c r="G1939" t="s">
        <v>31</v>
      </c>
      <c r="H1939">
        <f>Cleaned_Data!K1939</f>
        <v>6.7</v>
      </c>
      <c r="I1939" t="str">
        <f t="shared" si="90"/>
        <v>YES</v>
      </c>
      <c r="J1939">
        <f>Cleaned_Data!J1939</f>
        <v>24</v>
      </c>
      <c r="K1939" t="str">
        <f t="shared" si="91"/>
        <v>2024-02</v>
      </c>
      <c r="L1939">
        <f t="shared" si="92"/>
        <v>0</v>
      </c>
    </row>
    <row r="1940" spans="1:12">
      <c r="A1940" t="s">
        <v>5633</v>
      </c>
      <c r="B1940" t="s">
        <v>5634</v>
      </c>
      <c r="C1940" t="s">
        <v>5635</v>
      </c>
      <c r="D1940" t="s">
        <v>15</v>
      </c>
      <c r="E1940" t="s">
        <v>59</v>
      </c>
      <c r="F1940" t="s">
        <v>36</v>
      </c>
      <c r="G1940" t="s">
        <v>19</v>
      </c>
      <c r="H1940">
        <f>Cleaned_Data!K1940</f>
        <v>6.2</v>
      </c>
      <c r="I1940" t="str">
        <f t="shared" si="90"/>
        <v>YES</v>
      </c>
      <c r="J1940">
        <f>Cleaned_Data!J1940</f>
        <v>8</v>
      </c>
      <c r="K1940" t="str">
        <f t="shared" si="91"/>
        <v>2024-04</v>
      </c>
      <c r="L1940">
        <f t="shared" si="92"/>
        <v>0</v>
      </c>
    </row>
    <row r="1941" spans="1:12">
      <c r="A1941" t="s">
        <v>5636</v>
      </c>
      <c r="B1941" t="s">
        <v>5637</v>
      </c>
      <c r="D1941" t="s">
        <v>15</v>
      </c>
      <c r="E1941" t="s">
        <v>28</v>
      </c>
      <c r="F1941" t="s">
        <v>41</v>
      </c>
      <c r="G1941" t="s">
        <v>63</v>
      </c>
      <c r="H1941">
        <f>Cleaned_Data!K1941</f>
        <v>0</v>
      </c>
      <c r="I1941" t="str">
        <f t="shared" si="90"/>
        <v/>
      </c>
      <c r="J1941">
        <f>Cleaned_Data!J1941</f>
        <v>8</v>
      </c>
      <c r="K1941" t="str">
        <f t="shared" si="91"/>
        <v>2024-10</v>
      </c>
      <c r="L1941">
        <f t="shared" si="92"/>
        <v>0</v>
      </c>
    </row>
    <row r="1942" spans="1:12">
      <c r="A1942" t="s">
        <v>5638</v>
      </c>
      <c r="B1942" t="s">
        <v>5639</v>
      </c>
      <c r="C1942" t="s">
        <v>5640</v>
      </c>
      <c r="D1942" t="s">
        <v>35</v>
      </c>
      <c r="E1942" t="s">
        <v>24</v>
      </c>
      <c r="F1942" t="s">
        <v>36</v>
      </c>
      <c r="G1942" t="s">
        <v>19</v>
      </c>
      <c r="H1942">
        <f>Cleaned_Data!K1942</f>
        <v>34.33</v>
      </c>
      <c r="I1942" t="str">
        <f t="shared" si="90"/>
        <v>YES</v>
      </c>
      <c r="J1942">
        <f>Cleaned_Data!J1942</f>
        <v>48</v>
      </c>
      <c r="K1942" t="str">
        <f t="shared" si="91"/>
        <v>2024-10</v>
      </c>
      <c r="L1942">
        <f t="shared" si="92"/>
        <v>0</v>
      </c>
    </row>
    <row r="1943" spans="1:12">
      <c r="A1943" t="s">
        <v>5641</v>
      </c>
      <c r="B1943" t="s">
        <v>5642</v>
      </c>
      <c r="C1943" t="s">
        <v>5643</v>
      </c>
      <c r="D1943" t="s">
        <v>23</v>
      </c>
      <c r="E1943" t="s">
        <v>59</v>
      </c>
      <c r="F1943" t="s">
        <v>36</v>
      </c>
      <c r="G1943" t="s">
        <v>31</v>
      </c>
      <c r="H1943">
        <f>Cleaned_Data!K1943</f>
        <v>22.66</v>
      </c>
      <c r="I1943" t="str">
        <f t="shared" si="90"/>
        <v>YES</v>
      </c>
      <c r="J1943">
        <f>Cleaned_Data!J1943</f>
        <v>24</v>
      </c>
      <c r="K1943" t="str">
        <f t="shared" si="91"/>
        <v>2024-09</v>
      </c>
      <c r="L1943">
        <f t="shared" si="92"/>
        <v>0</v>
      </c>
    </row>
    <row r="1944" spans="1:12">
      <c r="A1944" t="s">
        <v>5644</v>
      </c>
      <c r="B1944" t="s">
        <v>5645</v>
      </c>
      <c r="C1944" t="s">
        <v>5646</v>
      </c>
      <c r="D1944" t="s">
        <v>35</v>
      </c>
      <c r="E1944" t="s">
        <v>28</v>
      </c>
      <c r="F1944" t="s">
        <v>17</v>
      </c>
      <c r="G1944" t="s">
        <v>31</v>
      </c>
      <c r="H1944">
        <f>Cleaned_Data!K1944</f>
        <v>15.21</v>
      </c>
      <c r="I1944" t="str">
        <f t="shared" si="90"/>
        <v>YES</v>
      </c>
      <c r="J1944">
        <f>Cleaned_Data!J1944</f>
        <v>48</v>
      </c>
      <c r="K1944" t="str">
        <f t="shared" si="91"/>
        <v>2024-01</v>
      </c>
      <c r="L1944">
        <f t="shared" si="92"/>
        <v>0</v>
      </c>
    </row>
    <row r="1945" spans="1:12">
      <c r="A1945" t="s">
        <v>5647</v>
      </c>
      <c r="B1945" t="s">
        <v>5648</v>
      </c>
      <c r="C1945" t="s">
        <v>5649</v>
      </c>
      <c r="D1945" t="s">
        <v>23</v>
      </c>
      <c r="E1945" t="s">
        <v>16</v>
      </c>
      <c r="F1945" t="s">
        <v>60</v>
      </c>
      <c r="G1945" t="s">
        <v>19</v>
      </c>
      <c r="H1945">
        <f>Cleaned_Data!K1945</f>
        <v>18.88</v>
      </c>
      <c r="I1945" t="str">
        <f t="shared" si="90"/>
        <v>YES</v>
      </c>
      <c r="J1945">
        <f>Cleaned_Data!J1945</f>
        <v>24</v>
      </c>
      <c r="K1945" t="str">
        <f t="shared" si="91"/>
        <v>2024-06</v>
      </c>
      <c r="L1945">
        <f t="shared" si="92"/>
        <v>0</v>
      </c>
    </row>
    <row r="1946" spans="1:12">
      <c r="A1946" t="s">
        <v>5650</v>
      </c>
      <c r="B1946" t="s">
        <v>5651</v>
      </c>
      <c r="C1946" t="s">
        <v>5652</v>
      </c>
      <c r="D1946" t="s">
        <v>15</v>
      </c>
      <c r="E1946" t="s">
        <v>54</v>
      </c>
      <c r="F1946" t="s">
        <v>60</v>
      </c>
      <c r="G1946" t="s">
        <v>31</v>
      </c>
      <c r="H1946">
        <f>Cleaned_Data!K1946</f>
        <v>5.98</v>
      </c>
      <c r="I1946" t="str">
        <f t="shared" si="90"/>
        <v>YES</v>
      </c>
      <c r="J1946">
        <f>Cleaned_Data!J1946</f>
        <v>8</v>
      </c>
      <c r="K1946" t="str">
        <f t="shared" si="91"/>
        <v>2024-09</v>
      </c>
      <c r="L1946">
        <f t="shared" si="92"/>
        <v>0</v>
      </c>
    </row>
    <row r="1947" spans="1:12">
      <c r="A1947" t="s">
        <v>5653</v>
      </c>
      <c r="B1947" t="s">
        <v>5654</v>
      </c>
      <c r="C1947" t="s">
        <v>5655</v>
      </c>
      <c r="D1947" t="s">
        <v>35</v>
      </c>
      <c r="E1947" t="s">
        <v>28</v>
      </c>
      <c r="F1947" t="s">
        <v>60</v>
      </c>
      <c r="G1947" t="s">
        <v>31</v>
      </c>
      <c r="H1947">
        <f>Cleaned_Data!K1947</f>
        <v>28.01</v>
      </c>
      <c r="I1947" t="str">
        <f t="shared" si="90"/>
        <v>YES</v>
      </c>
      <c r="J1947">
        <f>Cleaned_Data!J1947</f>
        <v>48</v>
      </c>
      <c r="K1947" t="str">
        <f t="shared" si="91"/>
        <v>2024-02</v>
      </c>
      <c r="L1947">
        <f t="shared" si="92"/>
        <v>0</v>
      </c>
    </row>
    <row r="1948" spans="1:12">
      <c r="A1948" t="s">
        <v>5656</v>
      </c>
      <c r="B1948" t="s">
        <v>5657</v>
      </c>
      <c r="C1948" t="s">
        <v>5658</v>
      </c>
      <c r="D1948" t="s">
        <v>15</v>
      </c>
      <c r="E1948" t="s">
        <v>24</v>
      </c>
      <c r="F1948" t="s">
        <v>60</v>
      </c>
      <c r="G1948" t="s">
        <v>31</v>
      </c>
      <c r="H1948">
        <f>Cleaned_Data!K1948</f>
        <v>6.63</v>
      </c>
      <c r="I1948" t="str">
        <f t="shared" si="90"/>
        <v>YES</v>
      </c>
      <c r="J1948">
        <f>Cleaned_Data!J1948</f>
        <v>8</v>
      </c>
      <c r="K1948" t="str">
        <f t="shared" si="91"/>
        <v>2024-08</v>
      </c>
      <c r="L1948">
        <f t="shared" si="92"/>
        <v>0</v>
      </c>
    </row>
    <row r="1949" spans="1:12">
      <c r="A1949" t="s">
        <v>5659</v>
      </c>
      <c r="B1949" t="s">
        <v>5660</v>
      </c>
      <c r="C1949" t="s">
        <v>5661</v>
      </c>
      <c r="D1949" t="s">
        <v>15</v>
      </c>
      <c r="E1949" t="s">
        <v>24</v>
      </c>
      <c r="F1949" t="s">
        <v>17</v>
      </c>
      <c r="G1949" t="s">
        <v>31</v>
      </c>
      <c r="H1949">
        <f>Cleaned_Data!K1949</f>
        <v>3.72</v>
      </c>
      <c r="I1949" t="str">
        <f t="shared" si="90"/>
        <v>YES</v>
      </c>
      <c r="J1949">
        <f>Cleaned_Data!J1949</f>
        <v>8</v>
      </c>
      <c r="K1949" t="str">
        <f t="shared" si="91"/>
        <v>2024-12</v>
      </c>
      <c r="L1949">
        <f t="shared" si="92"/>
        <v>0</v>
      </c>
    </row>
    <row r="1950" spans="1:12">
      <c r="A1950" t="s">
        <v>5662</v>
      </c>
      <c r="B1950" t="s">
        <v>5663</v>
      </c>
      <c r="C1950" t="s">
        <v>5664</v>
      </c>
      <c r="D1950" t="s">
        <v>158</v>
      </c>
      <c r="E1950" t="s">
        <v>54</v>
      </c>
      <c r="F1950" t="s">
        <v>36</v>
      </c>
      <c r="G1950" t="s">
        <v>19</v>
      </c>
      <c r="H1950">
        <f>Cleaned_Data!K1950</f>
        <v>0.8</v>
      </c>
      <c r="I1950" t="str">
        <f t="shared" si="90"/>
        <v>YES</v>
      </c>
      <c r="J1950">
        <f>Cleaned_Data!J1950</f>
        <v>4</v>
      </c>
      <c r="K1950" t="str">
        <f t="shared" si="91"/>
        <v>2024-12</v>
      </c>
      <c r="L1950">
        <f t="shared" si="92"/>
        <v>0</v>
      </c>
    </row>
    <row r="1951" spans="1:12">
      <c r="A1951" t="s">
        <v>5665</v>
      </c>
      <c r="B1951" t="s">
        <v>5666</v>
      </c>
      <c r="C1951" t="s">
        <v>5667</v>
      </c>
      <c r="D1951" t="s">
        <v>158</v>
      </c>
      <c r="E1951" t="s">
        <v>28</v>
      </c>
      <c r="F1951" t="s">
        <v>17</v>
      </c>
      <c r="G1951" t="s">
        <v>31</v>
      </c>
      <c r="H1951">
        <f>Cleaned_Data!K1951</f>
        <v>5.98</v>
      </c>
      <c r="I1951" t="str">
        <f t="shared" si="90"/>
        <v>NO</v>
      </c>
      <c r="J1951">
        <f>Cleaned_Data!J1951</f>
        <v>4</v>
      </c>
      <c r="K1951" t="str">
        <f t="shared" si="91"/>
        <v>2024-12</v>
      </c>
      <c r="L1951">
        <f t="shared" si="92"/>
        <v>1.9800000000000004</v>
      </c>
    </row>
    <row r="1952" spans="1:12">
      <c r="A1952" t="s">
        <v>5668</v>
      </c>
      <c r="B1952" t="s">
        <v>5669</v>
      </c>
      <c r="C1952" t="s">
        <v>5670</v>
      </c>
      <c r="D1952" t="s">
        <v>23</v>
      </c>
      <c r="E1952" t="s">
        <v>54</v>
      </c>
      <c r="F1952" t="s">
        <v>29</v>
      </c>
      <c r="G1952" t="s">
        <v>19</v>
      </c>
      <c r="H1952">
        <f>Cleaned_Data!K1952</f>
        <v>31.68</v>
      </c>
      <c r="I1952" t="str">
        <f t="shared" si="90"/>
        <v>NO</v>
      </c>
      <c r="J1952">
        <f>Cleaned_Data!J1952</f>
        <v>24</v>
      </c>
      <c r="K1952" t="str">
        <f t="shared" si="91"/>
        <v>2024-05</v>
      </c>
      <c r="L1952">
        <f t="shared" si="92"/>
        <v>7.68</v>
      </c>
    </row>
    <row r="1953" spans="1:12">
      <c r="A1953" t="s">
        <v>5671</v>
      </c>
      <c r="B1953" t="s">
        <v>5672</v>
      </c>
      <c r="C1953" t="s">
        <v>5673</v>
      </c>
      <c r="D1953" t="s">
        <v>158</v>
      </c>
      <c r="E1953" t="s">
        <v>16</v>
      </c>
      <c r="F1953" t="s">
        <v>29</v>
      </c>
      <c r="G1953" t="s">
        <v>31</v>
      </c>
      <c r="H1953">
        <f>Cleaned_Data!K1953</f>
        <v>11.12</v>
      </c>
      <c r="I1953" t="str">
        <f t="shared" si="90"/>
        <v>NO</v>
      </c>
      <c r="J1953">
        <f>Cleaned_Data!J1953</f>
        <v>4</v>
      </c>
      <c r="K1953" t="str">
        <f t="shared" si="91"/>
        <v>2024-10</v>
      </c>
      <c r="L1953">
        <f t="shared" si="92"/>
        <v>7.1199999999999992</v>
      </c>
    </row>
    <row r="1954" spans="1:12">
      <c r="A1954" t="s">
        <v>5674</v>
      </c>
      <c r="B1954" t="s">
        <v>5675</v>
      </c>
      <c r="C1954" t="s">
        <v>5676</v>
      </c>
      <c r="D1954" t="s">
        <v>35</v>
      </c>
      <c r="E1954" t="s">
        <v>54</v>
      </c>
      <c r="F1954" t="s">
        <v>41</v>
      </c>
      <c r="G1954" t="s">
        <v>19</v>
      </c>
      <c r="H1954">
        <f>Cleaned_Data!K1954</f>
        <v>36.79</v>
      </c>
      <c r="I1954" t="str">
        <f t="shared" si="90"/>
        <v>YES</v>
      </c>
      <c r="J1954">
        <f>Cleaned_Data!J1954</f>
        <v>48</v>
      </c>
      <c r="K1954" t="str">
        <f t="shared" si="91"/>
        <v>2024-02</v>
      </c>
      <c r="L1954">
        <f t="shared" si="92"/>
        <v>0</v>
      </c>
    </row>
    <row r="1955" spans="1:12">
      <c r="A1955" t="s">
        <v>5677</v>
      </c>
      <c r="B1955" t="s">
        <v>5678</v>
      </c>
      <c r="C1955" t="s">
        <v>5679</v>
      </c>
      <c r="D1955" t="s">
        <v>23</v>
      </c>
      <c r="E1955" t="s">
        <v>54</v>
      </c>
      <c r="F1955" t="s">
        <v>41</v>
      </c>
      <c r="G1955" t="s">
        <v>19</v>
      </c>
      <c r="H1955">
        <f>Cleaned_Data!K1955</f>
        <v>10.199999999999999</v>
      </c>
      <c r="I1955" t="str">
        <f t="shared" si="90"/>
        <v>YES</v>
      </c>
      <c r="J1955">
        <f>Cleaned_Data!J1955</f>
        <v>24</v>
      </c>
      <c r="K1955" t="str">
        <f t="shared" si="91"/>
        <v>2024-10</v>
      </c>
      <c r="L1955">
        <f t="shared" si="92"/>
        <v>0</v>
      </c>
    </row>
    <row r="1956" spans="1:12">
      <c r="A1956" t="s">
        <v>5680</v>
      </c>
      <c r="B1956" t="s">
        <v>5681</v>
      </c>
      <c r="C1956" t="s">
        <v>5682</v>
      </c>
      <c r="D1956" t="s">
        <v>23</v>
      </c>
      <c r="E1956" t="s">
        <v>59</v>
      </c>
      <c r="F1956" t="s">
        <v>17</v>
      </c>
      <c r="G1956" t="s">
        <v>31</v>
      </c>
      <c r="H1956">
        <f>Cleaned_Data!K1956</f>
        <v>4.4000000000000004</v>
      </c>
      <c r="I1956" t="str">
        <f t="shared" si="90"/>
        <v>YES</v>
      </c>
      <c r="J1956">
        <f>Cleaned_Data!J1956</f>
        <v>24</v>
      </c>
      <c r="K1956" t="str">
        <f t="shared" si="91"/>
        <v>2024-06</v>
      </c>
      <c r="L1956">
        <f t="shared" si="92"/>
        <v>0</v>
      </c>
    </row>
    <row r="1957" spans="1:12">
      <c r="A1957" t="s">
        <v>5683</v>
      </c>
      <c r="B1957" t="s">
        <v>5684</v>
      </c>
      <c r="C1957" t="s">
        <v>5685</v>
      </c>
      <c r="D1957" t="s">
        <v>15</v>
      </c>
      <c r="E1957" t="s">
        <v>24</v>
      </c>
      <c r="F1957" t="s">
        <v>60</v>
      </c>
      <c r="G1957" t="s">
        <v>31</v>
      </c>
      <c r="H1957">
        <f>Cleaned_Data!K1957</f>
        <v>20.11</v>
      </c>
      <c r="I1957" t="str">
        <f t="shared" si="90"/>
        <v>NO</v>
      </c>
      <c r="J1957">
        <f>Cleaned_Data!J1957</f>
        <v>8</v>
      </c>
      <c r="K1957" t="str">
        <f t="shared" si="91"/>
        <v>2024-12</v>
      </c>
      <c r="L1957">
        <f t="shared" si="92"/>
        <v>12.11</v>
      </c>
    </row>
    <row r="1958" spans="1:12">
      <c r="A1958" t="s">
        <v>5686</v>
      </c>
      <c r="B1958" t="s">
        <v>5687</v>
      </c>
      <c r="C1958" t="s">
        <v>5688</v>
      </c>
      <c r="D1958" t="s">
        <v>23</v>
      </c>
      <c r="E1958" t="s">
        <v>28</v>
      </c>
      <c r="F1958" t="s">
        <v>17</v>
      </c>
      <c r="G1958" t="s">
        <v>31</v>
      </c>
      <c r="H1958">
        <f>Cleaned_Data!K1958</f>
        <v>19.739999999999998</v>
      </c>
      <c r="I1958" t="str">
        <f t="shared" si="90"/>
        <v>YES</v>
      </c>
      <c r="J1958">
        <f>Cleaned_Data!J1958</f>
        <v>24</v>
      </c>
      <c r="K1958" t="str">
        <f t="shared" si="91"/>
        <v>2024-03</v>
      </c>
      <c r="L1958">
        <f t="shared" si="92"/>
        <v>0</v>
      </c>
    </row>
    <row r="1959" spans="1:12">
      <c r="A1959" t="s">
        <v>5689</v>
      </c>
      <c r="B1959" t="s">
        <v>5690</v>
      </c>
      <c r="C1959" t="s">
        <v>5691</v>
      </c>
      <c r="D1959" t="s">
        <v>158</v>
      </c>
      <c r="E1959" t="s">
        <v>24</v>
      </c>
      <c r="F1959" t="s">
        <v>17</v>
      </c>
      <c r="G1959" t="s">
        <v>31</v>
      </c>
      <c r="H1959">
        <f>Cleaned_Data!K1959</f>
        <v>2.67</v>
      </c>
      <c r="I1959" t="str">
        <f t="shared" si="90"/>
        <v>YES</v>
      </c>
      <c r="J1959">
        <f>Cleaned_Data!J1959</f>
        <v>4</v>
      </c>
      <c r="K1959" t="str">
        <f t="shared" si="91"/>
        <v>2024-12</v>
      </c>
      <c r="L1959">
        <f t="shared" si="92"/>
        <v>0</v>
      </c>
    </row>
    <row r="1960" spans="1:12">
      <c r="A1960" t="s">
        <v>5692</v>
      </c>
      <c r="B1960" t="s">
        <v>5693</v>
      </c>
      <c r="C1960" t="s">
        <v>5694</v>
      </c>
      <c r="D1960" t="s">
        <v>23</v>
      </c>
      <c r="E1960" t="s">
        <v>16</v>
      </c>
      <c r="F1960" t="s">
        <v>36</v>
      </c>
      <c r="G1960" t="s">
        <v>19</v>
      </c>
      <c r="H1960">
        <f>Cleaned_Data!K1960</f>
        <v>43.32</v>
      </c>
      <c r="I1960" t="str">
        <f t="shared" si="90"/>
        <v>NO</v>
      </c>
      <c r="J1960">
        <f>Cleaned_Data!J1960</f>
        <v>24</v>
      </c>
      <c r="K1960" t="str">
        <f t="shared" si="91"/>
        <v>2024-08</v>
      </c>
      <c r="L1960">
        <f t="shared" si="92"/>
        <v>19.32</v>
      </c>
    </row>
    <row r="1961" spans="1:12">
      <c r="A1961" t="s">
        <v>5695</v>
      </c>
      <c r="B1961" t="s">
        <v>5696</v>
      </c>
      <c r="C1961" t="s">
        <v>5697</v>
      </c>
      <c r="D1961" t="s">
        <v>23</v>
      </c>
      <c r="E1961" t="s">
        <v>16</v>
      </c>
      <c r="F1961" t="s">
        <v>29</v>
      </c>
      <c r="G1961" t="s">
        <v>19</v>
      </c>
      <c r="H1961">
        <f>Cleaned_Data!K1961</f>
        <v>13.17</v>
      </c>
      <c r="I1961" t="str">
        <f t="shared" si="90"/>
        <v>YES</v>
      </c>
      <c r="J1961">
        <f>Cleaned_Data!J1961</f>
        <v>24</v>
      </c>
      <c r="K1961" t="str">
        <f t="shared" si="91"/>
        <v>2024-02</v>
      </c>
      <c r="L1961">
        <f t="shared" si="92"/>
        <v>0</v>
      </c>
    </row>
    <row r="1962" spans="1:12">
      <c r="A1962" t="s">
        <v>5698</v>
      </c>
      <c r="B1962" t="s">
        <v>5699</v>
      </c>
      <c r="C1962" t="s">
        <v>5700</v>
      </c>
      <c r="D1962" t="s">
        <v>158</v>
      </c>
      <c r="E1962" t="s">
        <v>54</v>
      </c>
      <c r="F1962" t="s">
        <v>36</v>
      </c>
      <c r="G1962" t="s">
        <v>19</v>
      </c>
      <c r="H1962">
        <f>Cleaned_Data!K1962</f>
        <v>3.03</v>
      </c>
      <c r="I1962" t="str">
        <f t="shared" si="90"/>
        <v>YES</v>
      </c>
      <c r="J1962">
        <f>Cleaned_Data!J1962</f>
        <v>4</v>
      </c>
      <c r="K1962" t="str">
        <f t="shared" si="91"/>
        <v>2024-04</v>
      </c>
      <c r="L1962">
        <f t="shared" si="92"/>
        <v>0</v>
      </c>
    </row>
    <row r="1963" spans="1:12">
      <c r="A1963" t="s">
        <v>5701</v>
      </c>
      <c r="B1963" t="s">
        <v>5702</v>
      </c>
      <c r="C1963" t="s">
        <v>5703</v>
      </c>
      <c r="D1963" t="s">
        <v>15</v>
      </c>
      <c r="E1963" t="s">
        <v>28</v>
      </c>
      <c r="F1963" t="s">
        <v>41</v>
      </c>
      <c r="G1963" t="s">
        <v>19</v>
      </c>
      <c r="H1963">
        <f>Cleaned_Data!K1963</f>
        <v>5.76</v>
      </c>
      <c r="I1963" t="str">
        <f t="shared" si="90"/>
        <v>YES</v>
      </c>
      <c r="J1963">
        <f>Cleaned_Data!J1963</f>
        <v>8</v>
      </c>
      <c r="K1963" t="str">
        <f t="shared" si="91"/>
        <v>2024-07</v>
      </c>
      <c r="L1963">
        <f t="shared" si="92"/>
        <v>0</v>
      </c>
    </row>
    <row r="1964" spans="1:12">
      <c r="A1964" t="s">
        <v>5704</v>
      </c>
      <c r="B1964" t="s">
        <v>5705</v>
      </c>
      <c r="C1964" t="s">
        <v>5706</v>
      </c>
      <c r="D1964" t="s">
        <v>15</v>
      </c>
      <c r="E1964" t="s">
        <v>16</v>
      </c>
      <c r="F1964" t="s">
        <v>41</v>
      </c>
      <c r="G1964" t="s">
        <v>31</v>
      </c>
      <c r="H1964">
        <f>Cleaned_Data!K1964</f>
        <v>1.2</v>
      </c>
      <c r="I1964" t="str">
        <f t="shared" si="90"/>
        <v>YES</v>
      </c>
      <c r="J1964">
        <f>Cleaned_Data!J1964</f>
        <v>8</v>
      </c>
      <c r="K1964" t="str">
        <f t="shared" si="91"/>
        <v>2024-04</v>
      </c>
      <c r="L1964">
        <f t="shared" si="92"/>
        <v>0</v>
      </c>
    </row>
    <row r="1965" spans="1:12">
      <c r="A1965" t="s">
        <v>5707</v>
      </c>
      <c r="B1965" t="s">
        <v>5708</v>
      </c>
      <c r="C1965" t="s">
        <v>5709</v>
      </c>
      <c r="D1965" t="s">
        <v>15</v>
      </c>
      <c r="E1965" t="s">
        <v>28</v>
      </c>
      <c r="F1965" t="s">
        <v>41</v>
      </c>
      <c r="G1965" t="s">
        <v>19</v>
      </c>
      <c r="H1965">
        <f>Cleaned_Data!K1965</f>
        <v>0.93</v>
      </c>
      <c r="I1965" t="str">
        <f t="shared" si="90"/>
        <v>YES</v>
      </c>
      <c r="J1965">
        <f>Cleaned_Data!J1965</f>
        <v>8</v>
      </c>
      <c r="K1965" t="str">
        <f t="shared" si="91"/>
        <v>2024-12</v>
      </c>
      <c r="L1965">
        <f t="shared" si="92"/>
        <v>0</v>
      </c>
    </row>
    <row r="1966" spans="1:12">
      <c r="A1966" t="s">
        <v>5710</v>
      </c>
      <c r="B1966" t="s">
        <v>5711</v>
      </c>
      <c r="D1966" t="s">
        <v>35</v>
      </c>
      <c r="E1966" t="s">
        <v>16</v>
      </c>
      <c r="F1966" t="s">
        <v>41</v>
      </c>
      <c r="G1966" t="s">
        <v>63</v>
      </c>
      <c r="H1966">
        <f>Cleaned_Data!K1966</f>
        <v>0</v>
      </c>
      <c r="I1966" t="str">
        <f t="shared" si="90"/>
        <v/>
      </c>
      <c r="J1966">
        <f>Cleaned_Data!J1966</f>
        <v>48</v>
      </c>
      <c r="K1966" t="str">
        <f t="shared" si="91"/>
        <v>2024-10</v>
      </c>
      <c r="L1966">
        <f t="shared" si="92"/>
        <v>0</v>
      </c>
    </row>
    <row r="1967" spans="1:12">
      <c r="A1967" t="s">
        <v>5712</v>
      </c>
      <c r="B1967" t="s">
        <v>5713</v>
      </c>
      <c r="C1967" t="s">
        <v>5714</v>
      </c>
      <c r="D1967" t="s">
        <v>23</v>
      </c>
      <c r="E1967" t="s">
        <v>59</v>
      </c>
      <c r="F1967" t="s">
        <v>36</v>
      </c>
      <c r="G1967" t="s">
        <v>19</v>
      </c>
      <c r="H1967">
        <f>Cleaned_Data!K1967</f>
        <v>56.77</v>
      </c>
      <c r="I1967" t="str">
        <f t="shared" si="90"/>
        <v>NO</v>
      </c>
      <c r="J1967">
        <f>Cleaned_Data!J1967</f>
        <v>24</v>
      </c>
      <c r="K1967" t="str">
        <f t="shared" si="91"/>
        <v>2024-03</v>
      </c>
      <c r="L1967">
        <f t="shared" si="92"/>
        <v>32.770000000000003</v>
      </c>
    </row>
    <row r="1968" spans="1:12">
      <c r="A1968" t="s">
        <v>5715</v>
      </c>
      <c r="B1968" t="s">
        <v>5716</v>
      </c>
      <c r="D1968" t="s">
        <v>15</v>
      </c>
      <c r="E1968" t="s">
        <v>28</v>
      </c>
      <c r="F1968" t="s">
        <v>36</v>
      </c>
      <c r="G1968" t="s">
        <v>63</v>
      </c>
      <c r="H1968">
        <f>Cleaned_Data!K1968</f>
        <v>0</v>
      </c>
      <c r="I1968" t="str">
        <f t="shared" si="90"/>
        <v/>
      </c>
      <c r="J1968">
        <f>Cleaned_Data!J1968</f>
        <v>8</v>
      </c>
      <c r="K1968" t="str">
        <f t="shared" si="91"/>
        <v>2024-03</v>
      </c>
      <c r="L1968">
        <f t="shared" si="92"/>
        <v>0</v>
      </c>
    </row>
    <row r="1969" spans="1:12">
      <c r="A1969" t="s">
        <v>5717</v>
      </c>
      <c r="B1969" t="s">
        <v>5718</v>
      </c>
      <c r="D1969" t="s">
        <v>23</v>
      </c>
      <c r="E1969" t="s">
        <v>59</v>
      </c>
      <c r="F1969" t="s">
        <v>17</v>
      </c>
      <c r="G1969" t="s">
        <v>63</v>
      </c>
      <c r="H1969">
        <f>Cleaned_Data!K1969</f>
        <v>0</v>
      </c>
      <c r="I1969" t="str">
        <f t="shared" si="90"/>
        <v/>
      </c>
      <c r="J1969">
        <f>Cleaned_Data!J1969</f>
        <v>24</v>
      </c>
      <c r="K1969" t="str">
        <f t="shared" si="91"/>
        <v>2024-05</v>
      </c>
      <c r="L1969">
        <f t="shared" si="92"/>
        <v>0</v>
      </c>
    </row>
    <row r="1970" spans="1:12">
      <c r="A1970" t="s">
        <v>5719</v>
      </c>
      <c r="B1970" t="s">
        <v>5720</v>
      </c>
      <c r="C1970" t="s">
        <v>5721</v>
      </c>
      <c r="D1970" t="s">
        <v>15</v>
      </c>
      <c r="E1970" t="s">
        <v>28</v>
      </c>
      <c r="F1970" t="s">
        <v>36</v>
      </c>
      <c r="G1970" t="s">
        <v>19</v>
      </c>
      <c r="H1970">
        <f>Cleaned_Data!K1970</f>
        <v>22.43</v>
      </c>
      <c r="I1970" t="str">
        <f t="shared" si="90"/>
        <v>NO</v>
      </c>
      <c r="J1970">
        <f>Cleaned_Data!J1970</f>
        <v>8</v>
      </c>
      <c r="K1970" t="str">
        <f t="shared" si="91"/>
        <v>2024-06</v>
      </c>
      <c r="L1970">
        <f t="shared" si="92"/>
        <v>14.43</v>
      </c>
    </row>
    <row r="1971" spans="1:12">
      <c r="A1971" t="s">
        <v>5722</v>
      </c>
      <c r="B1971" t="s">
        <v>5723</v>
      </c>
      <c r="C1971" t="s">
        <v>5724</v>
      </c>
      <c r="D1971" t="s">
        <v>158</v>
      </c>
      <c r="E1971" t="s">
        <v>24</v>
      </c>
      <c r="F1971" t="s">
        <v>41</v>
      </c>
      <c r="G1971" t="s">
        <v>19</v>
      </c>
      <c r="H1971">
        <f>Cleaned_Data!K1971</f>
        <v>3.21</v>
      </c>
      <c r="I1971" t="str">
        <f t="shared" si="90"/>
        <v>YES</v>
      </c>
      <c r="J1971">
        <f>Cleaned_Data!J1971</f>
        <v>4</v>
      </c>
      <c r="K1971" t="str">
        <f t="shared" si="91"/>
        <v>2024-02</v>
      </c>
      <c r="L1971">
        <f t="shared" si="92"/>
        <v>0</v>
      </c>
    </row>
    <row r="1972" spans="1:12">
      <c r="A1972" t="s">
        <v>5725</v>
      </c>
      <c r="B1972" t="s">
        <v>5726</v>
      </c>
      <c r="C1972" t="s">
        <v>5727</v>
      </c>
      <c r="D1972" t="s">
        <v>15</v>
      </c>
      <c r="E1972" t="s">
        <v>28</v>
      </c>
      <c r="F1972" t="s">
        <v>60</v>
      </c>
      <c r="G1972" t="s">
        <v>19</v>
      </c>
      <c r="H1972">
        <f>Cleaned_Data!K1972</f>
        <v>3.84</v>
      </c>
      <c r="I1972" t="str">
        <f t="shared" si="90"/>
        <v>YES</v>
      </c>
      <c r="J1972">
        <f>Cleaned_Data!J1972</f>
        <v>8</v>
      </c>
      <c r="K1972" t="str">
        <f t="shared" si="91"/>
        <v>2024-05</v>
      </c>
      <c r="L1972">
        <f t="shared" si="92"/>
        <v>0</v>
      </c>
    </row>
    <row r="1973" spans="1:12">
      <c r="A1973" t="s">
        <v>5728</v>
      </c>
      <c r="B1973" t="s">
        <v>5729</v>
      </c>
      <c r="D1973" t="s">
        <v>15</v>
      </c>
      <c r="E1973" t="s">
        <v>28</v>
      </c>
      <c r="F1973" t="s">
        <v>36</v>
      </c>
      <c r="G1973" t="s">
        <v>46</v>
      </c>
      <c r="H1973">
        <f>Cleaned_Data!K1973</f>
        <v>0</v>
      </c>
      <c r="I1973" t="str">
        <f t="shared" si="90"/>
        <v/>
      </c>
      <c r="J1973">
        <f>Cleaned_Data!J1973</f>
        <v>8</v>
      </c>
      <c r="K1973" t="str">
        <f t="shared" si="91"/>
        <v>2024-07</v>
      </c>
      <c r="L1973">
        <f t="shared" si="92"/>
        <v>0</v>
      </c>
    </row>
    <row r="1974" spans="1:12">
      <c r="A1974" t="s">
        <v>5730</v>
      </c>
      <c r="B1974" t="s">
        <v>5731</v>
      </c>
      <c r="C1974" t="s">
        <v>5732</v>
      </c>
      <c r="D1974" t="s">
        <v>23</v>
      </c>
      <c r="E1974" t="s">
        <v>24</v>
      </c>
      <c r="F1974" t="s">
        <v>41</v>
      </c>
      <c r="G1974" t="s">
        <v>19</v>
      </c>
      <c r="H1974">
        <f>Cleaned_Data!K1974</f>
        <v>29.62</v>
      </c>
      <c r="I1974" t="str">
        <f t="shared" si="90"/>
        <v>NO</v>
      </c>
      <c r="J1974">
        <f>Cleaned_Data!J1974</f>
        <v>24</v>
      </c>
      <c r="K1974" t="str">
        <f t="shared" si="91"/>
        <v>2024-12</v>
      </c>
      <c r="L1974">
        <f t="shared" si="92"/>
        <v>5.620000000000001</v>
      </c>
    </row>
    <row r="1975" spans="1:12">
      <c r="A1975" t="s">
        <v>5733</v>
      </c>
      <c r="B1975" t="s">
        <v>5734</v>
      </c>
      <c r="C1975" t="s">
        <v>5735</v>
      </c>
      <c r="D1975" t="s">
        <v>15</v>
      </c>
      <c r="E1975" t="s">
        <v>59</v>
      </c>
      <c r="F1975" t="s">
        <v>29</v>
      </c>
      <c r="G1975" t="s">
        <v>19</v>
      </c>
      <c r="H1975">
        <f>Cleaned_Data!K1975</f>
        <v>7.11</v>
      </c>
      <c r="I1975" t="str">
        <f t="shared" si="90"/>
        <v>YES</v>
      </c>
      <c r="J1975">
        <f>Cleaned_Data!J1975</f>
        <v>8</v>
      </c>
      <c r="K1975" t="str">
        <f t="shared" si="91"/>
        <v>2024-01</v>
      </c>
      <c r="L1975">
        <f t="shared" si="92"/>
        <v>0</v>
      </c>
    </row>
    <row r="1976" spans="1:12">
      <c r="A1976" t="s">
        <v>5736</v>
      </c>
      <c r="B1976" t="s">
        <v>5737</v>
      </c>
      <c r="C1976" t="s">
        <v>5738</v>
      </c>
      <c r="D1976" t="s">
        <v>23</v>
      </c>
      <c r="E1976" t="s">
        <v>54</v>
      </c>
      <c r="F1976" t="s">
        <v>17</v>
      </c>
      <c r="G1976" t="s">
        <v>19</v>
      </c>
      <c r="H1976">
        <f>Cleaned_Data!K1976</f>
        <v>55.11</v>
      </c>
      <c r="I1976" t="str">
        <f t="shared" si="90"/>
        <v>NO</v>
      </c>
      <c r="J1976">
        <f>Cleaned_Data!J1976</f>
        <v>24</v>
      </c>
      <c r="K1976" t="str">
        <f t="shared" si="91"/>
        <v>2024-10</v>
      </c>
      <c r="L1976">
        <f t="shared" si="92"/>
        <v>31.11</v>
      </c>
    </row>
    <row r="1977" spans="1:12">
      <c r="A1977" t="s">
        <v>5739</v>
      </c>
      <c r="B1977" t="s">
        <v>5740</v>
      </c>
      <c r="C1977" t="s">
        <v>5741</v>
      </c>
      <c r="D1977" t="s">
        <v>35</v>
      </c>
      <c r="E1977" t="s">
        <v>28</v>
      </c>
      <c r="F1977" t="s">
        <v>17</v>
      </c>
      <c r="G1977" t="s">
        <v>31</v>
      </c>
      <c r="H1977">
        <f>Cleaned_Data!K1977</f>
        <v>42.77</v>
      </c>
      <c r="I1977" t="str">
        <f t="shared" si="90"/>
        <v>YES</v>
      </c>
      <c r="J1977">
        <f>Cleaned_Data!J1977</f>
        <v>48</v>
      </c>
      <c r="K1977" t="str">
        <f t="shared" si="91"/>
        <v>2024-12</v>
      </c>
      <c r="L1977">
        <f t="shared" si="92"/>
        <v>0</v>
      </c>
    </row>
    <row r="1978" spans="1:12">
      <c r="A1978" t="s">
        <v>5742</v>
      </c>
      <c r="B1978" t="s">
        <v>5743</v>
      </c>
      <c r="C1978" t="s">
        <v>5744</v>
      </c>
      <c r="D1978" t="s">
        <v>23</v>
      </c>
      <c r="E1978" t="s">
        <v>16</v>
      </c>
      <c r="F1978" t="s">
        <v>41</v>
      </c>
      <c r="G1978" t="s">
        <v>31</v>
      </c>
      <c r="H1978">
        <f>Cleaned_Data!K1978</f>
        <v>17.86</v>
      </c>
      <c r="I1978" t="str">
        <f t="shared" si="90"/>
        <v>YES</v>
      </c>
      <c r="J1978">
        <f>Cleaned_Data!J1978</f>
        <v>24</v>
      </c>
      <c r="K1978" t="str">
        <f t="shared" si="91"/>
        <v>2024-08</v>
      </c>
      <c r="L1978">
        <f t="shared" si="92"/>
        <v>0</v>
      </c>
    </row>
    <row r="1979" spans="1:12">
      <c r="A1979" t="s">
        <v>5745</v>
      </c>
      <c r="B1979" t="s">
        <v>5746</v>
      </c>
      <c r="C1979" t="s">
        <v>5747</v>
      </c>
      <c r="D1979" t="s">
        <v>35</v>
      </c>
      <c r="E1979" t="s">
        <v>28</v>
      </c>
      <c r="F1979" t="s">
        <v>36</v>
      </c>
      <c r="G1979" t="s">
        <v>19</v>
      </c>
      <c r="H1979">
        <f>Cleaned_Data!K1979</f>
        <v>17.79</v>
      </c>
      <c r="I1979" t="str">
        <f t="shared" si="90"/>
        <v>YES</v>
      </c>
      <c r="J1979">
        <f>Cleaned_Data!J1979</f>
        <v>48</v>
      </c>
      <c r="K1979" t="str">
        <f t="shared" si="91"/>
        <v>2024-03</v>
      </c>
      <c r="L1979">
        <f t="shared" si="92"/>
        <v>0</v>
      </c>
    </row>
    <row r="1980" spans="1:12">
      <c r="A1980" t="s">
        <v>5748</v>
      </c>
      <c r="B1980" t="s">
        <v>5749</v>
      </c>
      <c r="C1980" t="s">
        <v>5750</v>
      </c>
      <c r="D1980" t="s">
        <v>23</v>
      </c>
      <c r="E1980" t="s">
        <v>28</v>
      </c>
      <c r="F1980" t="s">
        <v>36</v>
      </c>
      <c r="G1980" t="s">
        <v>31</v>
      </c>
      <c r="H1980">
        <f>Cleaned_Data!K1980</f>
        <v>17.07</v>
      </c>
      <c r="I1980" t="str">
        <f t="shared" si="90"/>
        <v>YES</v>
      </c>
      <c r="J1980">
        <f>Cleaned_Data!J1980</f>
        <v>24</v>
      </c>
      <c r="K1980" t="str">
        <f t="shared" si="91"/>
        <v>2024-03</v>
      </c>
      <c r="L1980">
        <f t="shared" si="92"/>
        <v>0</v>
      </c>
    </row>
    <row r="1981" spans="1:12">
      <c r="A1981" t="s">
        <v>5751</v>
      </c>
      <c r="B1981" t="s">
        <v>5752</v>
      </c>
      <c r="C1981" t="s">
        <v>5753</v>
      </c>
      <c r="D1981" t="s">
        <v>35</v>
      </c>
      <c r="E1981" t="s">
        <v>24</v>
      </c>
      <c r="F1981" t="s">
        <v>41</v>
      </c>
      <c r="G1981" t="s">
        <v>19</v>
      </c>
      <c r="H1981">
        <f>Cleaned_Data!K1981</f>
        <v>96.87</v>
      </c>
      <c r="I1981" t="str">
        <f t="shared" si="90"/>
        <v>NO</v>
      </c>
      <c r="J1981">
        <f>Cleaned_Data!J1981</f>
        <v>48</v>
      </c>
      <c r="K1981" t="str">
        <f t="shared" si="91"/>
        <v>2024-09</v>
      </c>
      <c r="L1981">
        <f t="shared" si="92"/>
        <v>48.870000000000005</v>
      </c>
    </row>
    <row r="1982" spans="1:12">
      <c r="A1982" t="s">
        <v>5754</v>
      </c>
      <c r="B1982" t="s">
        <v>5755</v>
      </c>
      <c r="C1982" t="s">
        <v>5756</v>
      </c>
      <c r="D1982" t="s">
        <v>23</v>
      </c>
      <c r="E1982" t="s">
        <v>24</v>
      </c>
      <c r="F1982" t="s">
        <v>36</v>
      </c>
      <c r="G1982" t="s">
        <v>31</v>
      </c>
      <c r="H1982">
        <f>Cleaned_Data!K1982</f>
        <v>5.33</v>
      </c>
      <c r="I1982" t="str">
        <f t="shared" si="90"/>
        <v>YES</v>
      </c>
      <c r="J1982">
        <f>Cleaned_Data!J1982</f>
        <v>24</v>
      </c>
      <c r="K1982" t="str">
        <f t="shared" si="91"/>
        <v>2024-07</v>
      </c>
      <c r="L1982">
        <f t="shared" si="92"/>
        <v>0</v>
      </c>
    </row>
    <row r="1983" spans="1:12">
      <c r="A1983" t="s">
        <v>5757</v>
      </c>
      <c r="B1983" t="s">
        <v>5758</v>
      </c>
      <c r="C1983" t="s">
        <v>5759</v>
      </c>
      <c r="D1983" t="s">
        <v>15</v>
      </c>
      <c r="E1983" t="s">
        <v>54</v>
      </c>
      <c r="F1983" t="s">
        <v>29</v>
      </c>
      <c r="G1983" t="s">
        <v>19</v>
      </c>
      <c r="H1983">
        <f>Cleaned_Data!K1983</f>
        <v>18.989999999999998</v>
      </c>
      <c r="I1983" t="str">
        <f t="shared" si="90"/>
        <v>NO</v>
      </c>
      <c r="J1983">
        <f>Cleaned_Data!J1983</f>
        <v>8</v>
      </c>
      <c r="K1983" t="str">
        <f t="shared" si="91"/>
        <v>2024-03</v>
      </c>
      <c r="L1983">
        <f t="shared" si="92"/>
        <v>10.989999999999998</v>
      </c>
    </row>
    <row r="1984" spans="1:12">
      <c r="A1984" t="s">
        <v>5760</v>
      </c>
      <c r="B1984" t="s">
        <v>5761</v>
      </c>
      <c r="C1984" t="s">
        <v>5762</v>
      </c>
      <c r="D1984" t="s">
        <v>23</v>
      </c>
      <c r="E1984" t="s">
        <v>28</v>
      </c>
      <c r="F1984" t="s">
        <v>41</v>
      </c>
      <c r="G1984" t="s">
        <v>31</v>
      </c>
      <c r="H1984">
        <f>Cleaned_Data!K1984</f>
        <v>5.47</v>
      </c>
      <c r="I1984" t="str">
        <f t="shared" si="90"/>
        <v>YES</v>
      </c>
      <c r="J1984">
        <f>Cleaned_Data!J1984</f>
        <v>24</v>
      </c>
      <c r="K1984" t="str">
        <f t="shared" si="91"/>
        <v>2024-01</v>
      </c>
      <c r="L1984">
        <f t="shared" si="92"/>
        <v>0</v>
      </c>
    </row>
    <row r="1985" spans="1:12">
      <c r="A1985" t="s">
        <v>5763</v>
      </c>
      <c r="B1985" t="s">
        <v>5764</v>
      </c>
      <c r="C1985" t="s">
        <v>5765</v>
      </c>
      <c r="D1985" t="s">
        <v>23</v>
      </c>
      <c r="E1985" t="s">
        <v>24</v>
      </c>
      <c r="F1985" t="s">
        <v>60</v>
      </c>
      <c r="G1985" t="s">
        <v>19</v>
      </c>
      <c r="H1985">
        <f>Cleaned_Data!K1985</f>
        <v>11.72</v>
      </c>
      <c r="I1985" t="str">
        <f t="shared" si="90"/>
        <v>YES</v>
      </c>
      <c r="J1985">
        <f>Cleaned_Data!J1985</f>
        <v>24</v>
      </c>
      <c r="K1985" t="str">
        <f t="shared" si="91"/>
        <v>2024-09</v>
      </c>
      <c r="L1985">
        <f t="shared" si="92"/>
        <v>0</v>
      </c>
    </row>
    <row r="1986" spans="1:12">
      <c r="A1986" t="s">
        <v>5766</v>
      </c>
      <c r="B1986" t="s">
        <v>5767</v>
      </c>
      <c r="C1986" t="s">
        <v>5768</v>
      </c>
      <c r="D1986" t="s">
        <v>23</v>
      </c>
      <c r="E1986" t="s">
        <v>28</v>
      </c>
      <c r="F1986" t="s">
        <v>29</v>
      </c>
      <c r="G1986" t="s">
        <v>19</v>
      </c>
      <c r="H1986">
        <f>Cleaned_Data!K1986</f>
        <v>8.2899999999999991</v>
      </c>
      <c r="I1986" t="str">
        <f t="shared" ref="I1986:I2049" si="93">IF(OR(G1986="Resolved", G1986="Closed"), IF(AND(H1986&lt;&gt;"", H1986&lt;=J1986), "YES", "NO"), "")</f>
        <v>YES</v>
      </c>
      <c r="J1986">
        <f>Cleaned_Data!J1986</f>
        <v>24</v>
      </c>
      <c r="K1986" t="str">
        <f t="shared" ref="K1986:K2049" si="94">LEFT(B1986, 7)</f>
        <v>2024-01</v>
      </c>
      <c r="L1986">
        <f t="shared" ref="L1986:L2049" si="95">IF(I1986="NO", H1986-J1986, 0)</f>
        <v>0</v>
      </c>
    </row>
    <row r="1987" spans="1:12">
      <c r="A1987" t="s">
        <v>5769</v>
      </c>
      <c r="B1987" t="s">
        <v>5770</v>
      </c>
      <c r="C1987" t="s">
        <v>5771</v>
      </c>
      <c r="D1987" t="s">
        <v>35</v>
      </c>
      <c r="E1987" t="s">
        <v>24</v>
      </c>
      <c r="F1987" t="s">
        <v>36</v>
      </c>
      <c r="G1987" t="s">
        <v>31</v>
      </c>
      <c r="H1987">
        <f>Cleaned_Data!K1987</f>
        <v>115.15</v>
      </c>
      <c r="I1987" t="str">
        <f t="shared" si="93"/>
        <v>NO</v>
      </c>
      <c r="J1987">
        <f>Cleaned_Data!J1987</f>
        <v>48</v>
      </c>
      <c r="K1987" t="str">
        <f t="shared" si="94"/>
        <v>2024-01</v>
      </c>
      <c r="L1987">
        <f t="shared" si="95"/>
        <v>67.150000000000006</v>
      </c>
    </row>
    <row r="1988" spans="1:12">
      <c r="A1988" t="s">
        <v>5772</v>
      </c>
      <c r="B1988" t="s">
        <v>5773</v>
      </c>
      <c r="C1988" t="s">
        <v>5774</v>
      </c>
      <c r="D1988" t="s">
        <v>23</v>
      </c>
      <c r="E1988" t="s">
        <v>59</v>
      </c>
      <c r="F1988" t="s">
        <v>60</v>
      </c>
      <c r="G1988" t="s">
        <v>31</v>
      </c>
      <c r="H1988">
        <f>Cleaned_Data!K1988</f>
        <v>8.35</v>
      </c>
      <c r="I1988" t="str">
        <f t="shared" si="93"/>
        <v>YES</v>
      </c>
      <c r="J1988">
        <f>Cleaned_Data!J1988</f>
        <v>24</v>
      </c>
      <c r="K1988" t="str">
        <f t="shared" si="94"/>
        <v>2024-11</v>
      </c>
      <c r="L1988">
        <f t="shared" si="95"/>
        <v>0</v>
      </c>
    </row>
    <row r="1989" spans="1:12">
      <c r="A1989" t="s">
        <v>5775</v>
      </c>
      <c r="B1989" t="s">
        <v>5776</v>
      </c>
      <c r="C1989" t="s">
        <v>5777</v>
      </c>
      <c r="D1989" t="s">
        <v>23</v>
      </c>
      <c r="E1989" t="s">
        <v>16</v>
      </c>
      <c r="F1989" t="s">
        <v>60</v>
      </c>
      <c r="G1989" t="s">
        <v>31</v>
      </c>
      <c r="H1989">
        <f>Cleaned_Data!K1989</f>
        <v>4.1100000000000003</v>
      </c>
      <c r="I1989" t="str">
        <f t="shared" si="93"/>
        <v>YES</v>
      </c>
      <c r="J1989">
        <f>Cleaned_Data!J1989</f>
        <v>24</v>
      </c>
      <c r="K1989" t="str">
        <f t="shared" si="94"/>
        <v>2024-12</v>
      </c>
      <c r="L1989">
        <f t="shared" si="95"/>
        <v>0</v>
      </c>
    </row>
    <row r="1990" spans="1:12">
      <c r="A1990" t="s">
        <v>5778</v>
      </c>
      <c r="B1990" t="s">
        <v>5779</v>
      </c>
      <c r="C1990" t="s">
        <v>5780</v>
      </c>
      <c r="D1990" t="s">
        <v>23</v>
      </c>
      <c r="E1990" t="s">
        <v>28</v>
      </c>
      <c r="F1990" t="s">
        <v>36</v>
      </c>
      <c r="G1990" t="s">
        <v>31</v>
      </c>
      <c r="H1990">
        <f>Cleaned_Data!K1990</f>
        <v>21.24</v>
      </c>
      <c r="I1990" t="str">
        <f t="shared" si="93"/>
        <v>YES</v>
      </c>
      <c r="J1990">
        <f>Cleaned_Data!J1990</f>
        <v>24</v>
      </c>
      <c r="K1990" t="str">
        <f t="shared" si="94"/>
        <v>2024-08</v>
      </c>
      <c r="L1990">
        <f t="shared" si="95"/>
        <v>0</v>
      </c>
    </row>
    <row r="1991" spans="1:12">
      <c r="A1991" t="s">
        <v>5781</v>
      </c>
      <c r="B1991" t="s">
        <v>5782</v>
      </c>
      <c r="C1991" t="s">
        <v>5783</v>
      </c>
      <c r="D1991" t="s">
        <v>23</v>
      </c>
      <c r="E1991" t="s">
        <v>28</v>
      </c>
      <c r="F1991" t="s">
        <v>17</v>
      </c>
      <c r="G1991" t="s">
        <v>31</v>
      </c>
      <c r="H1991">
        <f>Cleaned_Data!K1991</f>
        <v>2.93</v>
      </c>
      <c r="I1991" t="str">
        <f t="shared" si="93"/>
        <v>YES</v>
      </c>
      <c r="J1991">
        <f>Cleaned_Data!J1991</f>
        <v>24</v>
      </c>
      <c r="K1991" t="str">
        <f t="shared" si="94"/>
        <v>2024-07</v>
      </c>
      <c r="L1991">
        <f t="shared" si="95"/>
        <v>0</v>
      </c>
    </row>
    <row r="1992" spans="1:12">
      <c r="A1992" t="s">
        <v>5784</v>
      </c>
      <c r="B1992" t="s">
        <v>5785</v>
      </c>
      <c r="C1992" t="s">
        <v>5786</v>
      </c>
      <c r="D1992" t="s">
        <v>23</v>
      </c>
      <c r="E1992" t="s">
        <v>24</v>
      </c>
      <c r="F1992" t="s">
        <v>60</v>
      </c>
      <c r="G1992" t="s">
        <v>31</v>
      </c>
      <c r="H1992">
        <f>Cleaned_Data!K1992</f>
        <v>11.81</v>
      </c>
      <c r="I1992" t="str">
        <f t="shared" si="93"/>
        <v>YES</v>
      </c>
      <c r="J1992">
        <f>Cleaned_Data!J1992</f>
        <v>24</v>
      </c>
      <c r="K1992" t="str">
        <f t="shared" si="94"/>
        <v>2024-04</v>
      </c>
      <c r="L1992">
        <f t="shared" si="95"/>
        <v>0</v>
      </c>
    </row>
    <row r="1993" spans="1:12">
      <c r="A1993" t="s">
        <v>5787</v>
      </c>
      <c r="B1993" t="s">
        <v>5788</v>
      </c>
      <c r="D1993" t="s">
        <v>23</v>
      </c>
      <c r="E1993" t="s">
        <v>24</v>
      </c>
      <c r="F1993" t="s">
        <v>60</v>
      </c>
      <c r="G1993" t="s">
        <v>63</v>
      </c>
      <c r="H1993">
        <f>Cleaned_Data!K1993</f>
        <v>0</v>
      </c>
      <c r="I1993" t="str">
        <f t="shared" si="93"/>
        <v/>
      </c>
      <c r="J1993">
        <f>Cleaned_Data!J1993</f>
        <v>24</v>
      </c>
      <c r="K1993" t="str">
        <f t="shared" si="94"/>
        <v>2024-07</v>
      </c>
      <c r="L1993">
        <f t="shared" si="95"/>
        <v>0</v>
      </c>
    </row>
    <row r="1994" spans="1:12">
      <c r="A1994" t="s">
        <v>5789</v>
      </c>
      <c r="B1994" t="s">
        <v>5790</v>
      </c>
      <c r="C1994" t="s">
        <v>5791</v>
      </c>
      <c r="D1994" t="s">
        <v>23</v>
      </c>
      <c r="E1994" t="s">
        <v>16</v>
      </c>
      <c r="F1994" t="s">
        <v>17</v>
      </c>
      <c r="G1994" t="s">
        <v>19</v>
      </c>
      <c r="H1994">
        <f>Cleaned_Data!K1994</f>
        <v>22.68</v>
      </c>
      <c r="I1994" t="str">
        <f t="shared" si="93"/>
        <v>YES</v>
      </c>
      <c r="J1994">
        <f>Cleaned_Data!J1994</f>
        <v>24</v>
      </c>
      <c r="K1994" t="str">
        <f t="shared" si="94"/>
        <v>2024-07</v>
      </c>
      <c r="L1994">
        <f t="shared" si="95"/>
        <v>0</v>
      </c>
    </row>
    <row r="1995" spans="1:12">
      <c r="A1995" t="s">
        <v>5792</v>
      </c>
      <c r="B1995" t="s">
        <v>5793</v>
      </c>
      <c r="C1995" t="s">
        <v>5794</v>
      </c>
      <c r="D1995" t="s">
        <v>23</v>
      </c>
      <c r="E1995" t="s">
        <v>54</v>
      </c>
      <c r="F1995" t="s">
        <v>36</v>
      </c>
      <c r="G1995" t="s">
        <v>31</v>
      </c>
      <c r="H1995">
        <f>Cleaned_Data!K1995</f>
        <v>18.57</v>
      </c>
      <c r="I1995" t="str">
        <f t="shared" si="93"/>
        <v>YES</v>
      </c>
      <c r="J1995">
        <f>Cleaned_Data!J1995</f>
        <v>24</v>
      </c>
      <c r="K1995" t="str">
        <f t="shared" si="94"/>
        <v>2024-09</v>
      </c>
      <c r="L1995">
        <f t="shared" si="95"/>
        <v>0</v>
      </c>
    </row>
    <row r="1996" spans="1:12">
      <c r="A1996" t="s">
        <v>5795</v>
      </c>
      <c r="B1996" t="s">
        <v>5796</v>
      </c>
      <c r="C1996" t="s">
        <v>5797</v>
      </c>
      <c r="D1996" t="s">
        <v>15</v>
      </c>
      <c r="E1996" t="s">
        <v>24</v>
      </c>
      <c r="F1996" t="s">
        <v>29</v>
      </c>
      <c r="G1996" t="s">
        <v>19</v>
      </c>
      <c r="H1996">
        <f>Cleaned_Data!K1996</f>
        <v>5.46</v>
      </c>
      <c r="I1996" t="str">
        <f t="shared" si="93"/>
        <v>YES</v>
      </c>
      <c r="J1996">
        <f>Cleaned_Data!J1996</f>
        <v>8</v>
      </c>
      <c r="K1996" t="str">
        <f t="shared" si="94"/>
        <v>2024-09</v>
      </c>
      <c r="L1996">
        <f t="shared" si="95"/>
        <v>0</v>
      </c>
    </row>
    <row r="1997" spans="1:12">
      <c r="A1997" t="s">
        <v>5798</v>
      </c>
      <c r="B1997" t="s">
        <v>5799</v>
      </c>
      <c r="C1997" t="s">
        <v>5800</v>
      </c>
      <c r="D1997" t="s">
        <v>23</v>
      </c>
      <c r="E1997" t="s">
        <v>24</v>
      </c>
      <c r="F1997" t="s">
        <v>60</v>
      </c>
      <c r="G1997" t="s">
        <v>31</v>
      </c>
      <c r="H1997">
        <f>Cleaned_Data!K1997</f>
        <v>10.039999999999999</v>
      </c>
      <c r="I1997" t="str">
        <f t="shared" si="93"/>
        <v>YES</v>
      </c>
      <c r="J1997">
        <f>Cleaned_Data!J1997</f>
        <v>24</v>
      </c>
      <c r="K1997" t="str">
        <f t="shared" si="94"/>
        <v>2024-01</v>
      </c>
      <c r="L1997">
        <f t="shared" si="95"/>
        <v>0</v>
      </c>
    </row>
    <row r="1998" spans="1:12">
      <c r="A1998" t="s">
        <v>5801</v>
      </c>
      <c r="B1998" t="s">
        <v>5802</v>
      </c>
      <c r="C1998" t="s">
        <v>5803</v>
      </c>
      <c r="D1998" t="s">
        <v>23</v>
      </c>
      <c r="E1998" t="s">
        <v>28</v>
      </c>
      <c r="F1998" t="s">
        <v>41</v>
      </c>
      <c r="G1998" t="s">
        <v>19</v>
      </c>
      <c r="H1998">
        <f>Cleaned_Data!K1998</f>
        <v>53.81</v>
      </c>
      <c r="I1998" t="str">
        <f t="shared" si="93"/>
        <v>NO</v>
      </c>
      <c r="J1998">
        <f>Cleaned_Data!J1998</f>
        <v>24</v>
      </c>
      <c r="K1998" t="str">
        <f t="shared" si="94"/>
        <v>2024-12</v>
      </c>
      <c r="L1998">
        <f t="shared" si="95"/>
        <v>29.810000000000002</v>
      </c>
    </row>
    <row r="1999" spans="1:12">
      <c r="A1999" t="s">
        <v>5804</v>
      </c>
      <c r="B1999" t="s">
        <v>5805</v>
      </c>
      <c r="C1999" t="s">
        <v>5806</v>
      </c>
      <c r="D1999" t="s">
        <v>23</v>
      </c>
      <c r="E1999" t="s">
        <v>24</v>
      </c>
      <c r="F1999" t="s">
        <v>60</v>
      </c>
      <c r="G1999" t="s">
        <v>31</v>
      </c>
      <c r="H1999">
        <f>Cleaned_Data!K1999</f>
        <v>10.38</v>
      </c>
      <c r="I1999" t="str">
        <f t="shared" si="93"/>
        <v>YES</v>
      </c>
      <c r="J1999">
        <f>Cleaned_Data!J1999</f>
        <v>24</v>
      </c>
      <c r="K1999" t="str">
        <f t="shared" si="94"/>
        <v>2024-04</v>
      </c>
      <c r="L1999">
        <f t="shared" si="95"/>
        <v>0</v>
      </c>
    </row>
    <row r="2000" spans="1:12">
      <c r="A2000" t="s">
        <v>5807</v>
      </c>
      <c r="B2000" t="s">
        <v>5808</v>
      </c>
      <c r="C2000" t="s">
        <v>5809</v>
      </c>
      <c r="D2000" t="s">
        <v>35</v>
      </c>
      <c r="E2000" t="s">
        <v>28</v>
      </c>
      <c r="F2000" t="s">
        <v>60</v>
      </c>
      <c r="G2000" t="s">
        <v>19</v>
      </c>
      <c r="H2000">
        <f>Cleaned_Data!K2000</f>
        <v>8.0500000000000007</v>
      </c>
      <c r="I2000" t="str">
        <f t="shared" si="93"/>
        <v>YES</v>
      </c>
      <c r="J2000">
        <f>Cleaned_Data!J2000</f>
        <v>48</v>
      </c>
      <c r="K2000" t="str">
        <f t="shared" si="94"/>
        <v>2024-12</v>
      </c>
      <c r="L2000">
        <f t="shared" si="95"/>
        <v>0</v>
      </c>
    </row>
    <row r="2001" spans="1:12">
      <c r="A2001" t="s">
        <v>5810</v>
      </c>
      <c r="B2001" t="s">
        <v>5811</v>
      </c>
      <c r="D2001" t="s">
        <v>15</v>
      </c>
      <c r="E2001" t="s">
        <v>16</v>
      </c>
      <c r="F2001" t="s">
        <v>41</v>
      </c>
      <c r="G2001" t="s">
        <v>63</v>
      </c>
      <c r="H2001">
        <f>Cleaned_Data!K2001</f>
        <v>0</v>
      </c>
      <c r="I2001" t="str">
        <f t="shared" si="93"/>
        <v/>
      </c>
      <c r="J2001">
        <f>Cleaned_Data!J2001</f>
        <v>8</v>
      </c>
      <c r="K2001" t="str">
        <f t="shared" si="94"/>
        <v>2024-05</v>
      </c>
      <c r="L2001">
        <f t="shared" si="95"/>
        <v>0</v>
      </c>
    </row>
    <row r="2002" spans="1:12">
      <c r="A2002" t="s">
        <v>5812</v>
      </c>
      <c r="B2002" t="s">
        <v>5813</v>
      </c>
      <c r="D2002" t="s">
        <v>23</v>
      </c>
      <c r="E2002" t="s">
        <v>59</v>
      </c>
      <c r="F2002" t="s">
        <v>17</v>
      </c>
      <c r="G2002" t="s">
        <v>63</v>
      </c>
      <c r="H2002">
        <f>Cleaned_Data!K2002</f>
        <v>0</v>
      </c>
      <c r="I2002" t="str">
        <f t="shared" si="93"/>
        <v/>
      </c>
      <c r="J2002">
        <f>Cleaned_Data!J2002</f>
        <v>24</v>
      </c>
      <c r="K2002" t="str">
        <f t="shared" si="94"/>
        <v>2024-05</v>
      </c>
      <c r="L2002">
        <f t="shared" si="95"/>
        <v>0</v>
      </c>
    </row>
    <row r="2003" spans="1:12">
      <c r="A2003" t="s">
        <v>5814</v>
      </c>
      <c r="B2003" t="s">
        <v>5815</v>
      </c>
      <c r="C2003" t="s">
        <v>5816</v>
      </c>
      <c r="D2003" t="s">
        <v>35</v>
      </c>
      <c r="E2003" t="s">
        <v>28</v>
      </c>
      <c r="F2003" t="s">
        <v>60</v>
      </c>
      <c r="G2003" t="s">
        <v>31</v>
      </c>
      <c r="H2003">
        <f>Cleaned_Data!K2003</f>
        <v>13.92</v>
      </c>
      <c r="I2003" t="str">
        <f t="shared" si="93"/>
        <v>YES</v>
      </c>
      <c r="J2003">
        <f>Cleaned_Data!J2003</f>
        <v>48</v>
      </c>
      <c r="K2003" t="str">
        <f t="shared" si="94"/>
        <v>2024-03</v>
      </c>
      <c r="L2003">
        <f t="shared" si="95"/>
        <v>0</v>
      </c>
    </row>
    <row r="2004" spans="1:12">
      <c r="A2004" t="s">
        <v>5817</v>
      </c>
      <c r="B2004" t="s">
        <v>5818</v>
      </c>
      <c r="C2004" t="s">
        <v>5819</v>
      </c>
      <c r="D2004" t="s">
        <v>15</v>
      </c>
      <c r="E2004" t="s">
        <v>16</v>
      </c>
      <c r="F2004" t="s">
        <v>29</v>
      </c>
      <c r="G2004" t="s">
        <v>19</v>
      </c>
      <c r="H2004">
        <f>Cleaned_Data!K2004</f>
        <v>4.33</v>
      </c>
      <c r="I2004" t="str">
        <f t="shared" si="93"/>
        <v>YES</v>
      </c>
      <c r="J2004">
        <f>Cleaned_Data!J2004</f>
        <v>8</v>
      </c>
      <c r="K2004" t="str">
        <f t="shared" si="94"/>
        <v>2024-07</v>
      </c>
      <c r="L2004">
        <f t="shared" si="95"/>
        <v>0</v>
      </c>
    </row>
    <row r="2005" spans="1:12">
      <c r="A2005" t="s">
        <v>5820</v>
      </c>
      <c r="B2005" t="s">
        <v>5821</v>
      </c>
      <c r="C2005" t="s">
        <v>5822</v>
      </c>
      <c r="D2005" t="s">
        <v>23</v>
      </c>
      <c r="E2005" t="s">
        <v>24</v>
      </c>
      <c r="F2005" t="s">
        <v>29</v>
      </c>
      <c r="G2005" t="s">
        <v>31</v>
      </c>
      <c r="H2005">
        <f>Cleaned_Data!K2005</f>
        <v>7.74</v>
      </c>
      <c r="I2005" t="str">
        <f t="shared" si="93"/>
        <v>YES</v>
      </c>
      <c r="J2005">
        <f>Cleaned_Data!J2005</f>
        <v>24</v>
      </c>
      <c r="K2005" t="str">
        <f t="shared" si="94"/>
        <v>2024-11</v>
      </c>
      <c r="L2005">
        <f t="shared" si="95"/>
        <v>0</v>
      </c>
    </row>
    <row r="2006" spans="1:12">
      <c r="A2006" t="s">
        <v>5823</v>
      </c>
      <c r="B2006" t="s">
        <v>5824</v>
      </c>
      <c r="C2006" t="s">
        <v>5825</v>
      </c>
      <c r="D2006" t="s">
        <v>23</v>
      </c>
      <c r="E2006" t="s">
        <v>24</v>
      </c>
      <c r="F2006" t="s">
        <v>60</v>
      </c>
      <c r="G2006" t="s">
        <v>19</v>
      </c>
      <c r="H2006">
        <f>Cleaned_Data!K2006</f>
        <v>67.97</v>
      </c>
      <c r="I2006" t="str">
        <f t="shared" si="93"/>
        <v>NO</v>
      </c>
      <c r="J2006">
        <f>Cleaned_Data!J2006</f>
        <v>24</v>
      </c>
      <c r="K2006" t="str">
        <f t="shared" si="94"/>
        <v>2024-04</v>
      </c>
      <c r="L2006">
        <f t="shared" si="95"/>
        <v>43.97</v>
      </c>
    </row>
    <row r="2007" spans="1:12">
      <c r="A2007" t="s">
        <v>5826</v>
      </c>
      <c r="B2007" t="s">
        <v>5827</v>
      </c>
      <c r="C2007" t="s">
        <v>5828</v>
      </c>
      <c r="D2007" t="s">
        <v>158</v>
      </c>
      <c r="E2007" t="s">
        <v>28</v>
      </c>
      <c r="F2007" t="s">
        <v>29</v>
      </c>
      <c r="G2007" t="s">
        <v>19</v>
      </c>
      <c r="H2007">
        <f>Cleaned_Data!K2007</f>
        <v>0.69</v>
      </c>
      <c r="I2007" t="str">
        <f t="shared" si="93"/>
        <v>YES</v>
      </c>
      <c r="J2007">
        <f>Cleaned_Data!J2007</f>
        <v>4</v>
      </c>
      <c r="K2007" t="str">
        <f t="shared" si="94"/>
        <v>2024-03</v>
      </c>
      <c r="L2007">
        <f t="shared" si="95"/>
        <v>0</v>
      </c>
    </row>
    <row r="2008" spans="1:12">
      <c r="A2008" t="s">
        <v>5829</v>
      </c>
      <c r="B2008" t="s">
        <v>5830</v>
      </c>
      <c r="C2008" t="s">
        <v>5831</v>
      </c>
      <c r="D2008" t="s">
        <v>15</v>
      </c>
      <c r="E2008" t="s">
        <v>28</v>
      </c>
      <c r="F2008" t="s">
        <v>41</v>
      </c>
      <c r="G2008" t="s">
        <v>19</v>
      </c>
      <c r="H2008">
        <f>Cleaned_Data!K2008</f>
        <v>1.53</v>
      </c>
      <c r="I2008" t="str">
        <f t="shared" si="93"/>
        <v>YES</v>
      </c>
      <c r="J2008">
        <f>Cleaned_Data!J2008</f>
        <v>8</v>
      </c>
      <c r="K2008" t="str">
        <f t="shared" si="94"/>
        <v>2024-06</v>
      </c>
      <c r="L2008">
        <f t="shared" si="95"/>
        <v>0</v>
      </c>
    </row>
    <row r="2009" spans="1:12">
      <c r="A2009" t="s">
        <v>5832</v>
      </c>
      <c r="B2009" t="s">
        <v>5833</v>
      </c>
      <c r="C2009" t="s">
        <v>5834</v>
      </c>
      <c r="D2009" t="s">
        <v>23</v>
      </c>
      <c r="E2009" t="s">
        <v>28</v>
      </c>
      <c r="F2009" t="s">
        <v>41</v>
      </c>
      <c r="G2009" t="s">
        <v>31</v>
      </c>
      <c r="H2009">
        <f>Cleaned_Data!K2009</f>
        <v>29.76</v>
      </c>
      <c r="I2009" t="str">
        <f t="shared" si="93"/>
        <v>NO</v>
      </c>
      <c r="J2009">
        <f>Cleaned_Data!J2009</f>
        <v>24</v>
      </c>
      <c r="K2009" t="str">
        <f t="shared" si="94"/>
        <v>2024-05</v>
      </c>
      <c r="L2009">
        <f t="shared" si="95"/>
        <v>5.7600000000000016</v>
      </c>
    </row>
    <row r="2010" spans="1:12">
      <c r="A2010" t="s">
        <v>5835</v>
      </c>
      <c r="B2010" t="s">
        <v>5836</v>
      </c>
      <c r="D2010" t="s">
        <v>35</v>
      </c>
      <c r="E2010" t="s">
        <v>24</v>
      </c>
      <c r="F2010" t="s">
        <v>60</v>
      </c>
      <c r="G2010" t="s">
        <v>63</v>
      </c>
      <c r="H2010">
        <f>Cleaned_Data!K2010</f>
        <v>0</v>
      </c>
      <c r="I2010" t="str">
        <f t="shared" si="93"/>
        <v/>
      </c>
      <c r="J2010">
        <f>Cleaned_Data!J2010</f>
        <v>48</v>
      </c>
      <c r="K2010" t="str">
        <f t="shared" si="94"/>
        <v>2024-06</v>
      </c>
      <c r="L2010">
        <f t="shared" si="95"/>
        <v>0</v>
      </c>
    </row>
    <row r="2011" spans="1:12">
      <c r="A2011" t="s">
        <v>5837</v>
      </c>
      <c r="B2011" t="s">
        <v>5838</v>
      </c>
      <c r="D2011" t="s">
        <v>23</v>
      </c>
      <c r="E2011" t="s">
        <v>54</v>
      </c>
      <c r="F2011" t="s">
        <v>36</v>
      </c>
      <c r="G2011" t="s">
        <v>63</v>
      </c>
      <c r="H2011">
        <f>Cleaned_Data!K2011</f>
        <v>0</v>
      </c>
      <c r="I2011" t="str">
        <f t="shared" si="93"/>
        <v/>
      </c>
      <c r="J2011">
        <f>Cleaned_Data!J2011</f>
        <v>24</v>
      </c>
      <c r="K2011" t="str">
        <f t="shared" si="94"/>
        <v>2024-02</v>
      </c>
      <c r="L2011">
        <f t="shared" si="95"/>
        <v>0</v>
      </c>
    </row>
    <row r="2012" spans="1:12">
      <c r="A2012" t="s">
        <v>5839</v>
      </c>
      <c r="B2012" t="s">
        <v>5840</v>
      </c>
      <c r="C2012" t="s">
        <v>5841</v>
      </c>
      <c r="D2012" t="s">
        <v>158</v>
      </c>
      <c r="E2012" t="s">
        <v>16</v>
      </c>
      <c r="F2012" t="s">
        <v>17</v>
      </c>
      <c r="G2012" t="s">
        <v>19</v>
      </c>
      <c r="H2012">
        <f>Cleaned_Data!K2012</f>
        <v>3.79</v>
      </c>
      <c r="I2012" t="str">
        <f t="shared" si="93"/>
        <v>YES</v>
      </c>
      <c r="J2012">
        <f>Cleaned_Data!J2012</f>
        <v>4</v>
      </c>
      <c r="K2012" t="str">
        <f t="shared" si="94"/>
        <v>2024-11</v>
      </c>
      <c r="L2012">
        <f t="shared" si="95"/>
        <v>0</v>
      </c>
    </row>
    <row r="2013" spans="1:12">
      <c r="A2013" t="s">
        <v>5842</v>
      </c>
      <c r="B2013" t="s">
        <v>5843</v>
      </c>
      <c r="C2013" t="s">
        <v>5844</v>
      </c>
      <c r="D2013" t="s">
        <v>23</v>
      </c>
      <c r="E2013" t="s">
        <v>24</v>
      </c>
      <c r="F2013" t="s">
        <v>17</v>
      </c>
      <c r="G2013" t="s">
        <v>19</v>
      </c>
      <c r="H2013">
        <f>Cleaned_Data!K2013</f>
        <v>7.19</v>
      </c>
      <c r="I2013" t="str">
        <f t="shared" si="93"/>
        <v>YES</v>
      </c>
      <c r="J2013">
        <f>Cleaned_Data!J2013</f>
        <v>24</v>
      </c>
      <c r="K2013" t="str">
        <f t="shared" si="94"/>
        <v>2024-07</v>
      </c>
      <c r="L2013">
        <f t="shared" si="95"/>
        <v>0</v>
      </c>
    </row>
    <row r="2014" spans="1:12">
      <c r="A2014" t="s">
        <v>5845</v>
      </c>
      <c r="B2014" t="s">
        <v>5846</v>
      </c>
      <c r="D2014" t="s">
        <v>35</v>
      </c>
      <c r="E2014" t="s">
        <v>28</v>
      </c>
      <c r="F2014" t="s">
        <v>17</v>
      </c>
      <c r="G2014" t="s">
        <v>63</v>
      </c>
      <c r="H2014">
        <f>Cleaned_Data!K2014</f>
        <v>0</v>
      </c>
      <c r="I2014" t="str">
        <f t="shared" si="93"/>
        <v/>
      </c>
      <c r="J2014">
        <f>Cleaned_Data!J2014</f>
        <v>48</v>
      </c>
      <c r="K2014" t="str">
        <f t="shared" si="94"/>
        <v>2024-08</v>
      </c>
      <c r="L2014">
        <f t="shared" si="95"/>
        <v>0</v>
      </c>
    </row>
    <row r="2015" spans="1:12">
      <c r="A2015" t="s">
        <v>5847</v>
      </c>
      <c r="B2015" t="s">
        <v>5848</v>
      </c>
      <c r="C2015" t="s">
        <v>5849</v>
      </c>
      <c r="D2015" t="s">
        <v>35</v>
      </c>
      <c r="E2015" t="s">
        <v>16</v>
      </c>
      <c r="F2015" t="s">
        <v>41</v>
      </c>
      <c r="G2015" t="s">
        <v>19</v>
      </c>
      <c r="H2015">
        <f>Cleaned_Data!K2015</f>
        <v>36.340000000000003</v>
      </c>
      <c r="I2015" t="str">
        <f t="shared" si="93"/>
        <v>YES</v>
      </c>
      <c r="J2015">
        <f>Cleaned_Data!J2015</f>
        <v>48</v>
      </c>
      <c r="K2015" t="str">
        <f t="shared" si="94"/>
        <v>2024-08</v>
      </c>
      <c r="L2015">
        <f t="shared" si="95"/>
        <v>0</v>
      </c>
    </row>
    <row r="2016" spans="1:12">
      <c r="A2016" t="s">
        <v>5850</v>
      </c>
      <c r="B2016" t="s">
        <v>5851</v>
      </c>
      <c r="C2016" t="s">
        <v>5852</v>
      </c>
      <c r="D2016" t="s">
        <v>23</v>
      </c>
      <c r="E2016" t="s">
        <v>28</v>
      </c>
      <c r="F2016" t="s">
        <v>29</v>
      </c>
      <c r="G2016" t="s">
        <v>31</v>
      </c>
      <c r="H2016">
        <f>Cleaned_Data!K2016</f>
        <v>16.8</v>
      </c>
      <c r="I2016" t="str">
        <f t="shared" si="93"/>
        <v>YES</v>
      </c>
      <c r="J2016">
        <f>Cleaned_Data!J2016</f>
        <v>24</v>
      </c>
      <c r="K2016" t="str">
        <f t="shared" si="94"/>
        <v>2024-11</v>
      </c>
      <c r="L2016">
        <f t="shared" si="95"/>
        <v>0</v>
      </c>
    </row>
    <row r="2017" spans="1:12">
      <c r="A2017" t="s">
        <v>5853</v>
      </c>
      <c r="B2017" t="s">
        <v>5854</v>
      </c>
      <c r="C2017" t="s">
        <v>5855</v>
      </c>
      <c r="D2017" t="s">
        <v>35</v>
      </c>
      <c r="E2017" t="s">
        <v>28</v>
      </c>
      <c r="F2017" t="s">
        <v>29</v>
      </c>
      <c r="G2017" t="s">
        <v>31</v>
      </c>
      <c r="H2017">
        <f>Cleaned_Data!K2017</f>
        <v>124.96</v>
      </c>
      <c r="I2017" t="str">
        <f t="shared" si="93"/>
        <v>NO</v>
      </c>
      <c r="J2017">
        <f>Cleaned_Data!J2017</f>
        <v>48</v>
      </c>
      <c r="K2017" t="str">
        <f t="shared" si="94"/>
        <v>2024-10</v>
      </c>
      <c r="L2017">
        <f t="shared" si="95"/>
        <v>76.959999999999994</v>
      </c>
    </row>
    <row r="2018" spans="1:12">
      <c r="A2018" t="s">
        <v>5856</v>
      </c>
      <c r="B2018" t="s">
        <v>5857</v>
      </c>
      <c r="C2018" t="s">
        <v>5858</v>
      </c>
      <c r="D2018" t="s">
        <v>35</v>
      </c>
      <c r="E2018" t="s">
        <v>59</v>
      </c>
      <c r="F2018" t="s">
        <v>60</v>
      </c>
      <c r="G2018" t="s">
        <v>19</v>
      </c>
      <c r="H2018">
        <f>Cleaned_Data!K2018</f>
        <v>9.64</v>
      </c>
      <c r="I2018" t="str">
        <f t="shared" si="93"/>
        <v>YES</v>
      </c>
      <c r="J2018">
        <f>Cleaned_Data!J2018</f>
        <v>48</v>
      </c>
      <c r="K2018" t="str">
        <f t="shared" si="94"/>
        <v>2024-10</v>
      </c>
      <c r="L2018">
        <f t="shared" si="95"/>
        <v>0</v>
      </c>
    </row>
    <row r="2019" spans="1:12">
      <c r="A2019" t="s">
        <v>5859</v>
      </c>
      <c r="B2019" t="s">
        <v>5860</v>
      </c>
      <c r="C2019" t="s">
        <v>5861</v>
      </c>
      <c r="D2019" t="s">
        <v>23</v>
      </c>
      <c r="E2019" t="s">
        <v>28</v>
      </c>
      <c r="F2019" t="s">
        <v>17</v>
      </c>
      <c r="G2019" t="s">
        <v>31</v>
      </c>
      <c r="H2019">
        <f>Cleaned_Data!K2019</f>
        <v>18.75</v>
      </c>
      <c r="I2019" t="str">
        <f t="shared" si="93"/>
        <v>YES</v>
      </c>
      <c r="J2019">
        <f>Cleaned_Data!J2019</f>
        <v>24</v>
      </c>
      <c r="K2019" t="str">
        <f t="shared" si="94"/>
        <v>2024-09</v>
      </c>
      <c r="L2019">
        <f t="shared" si="95"/>
        <v>0</v>
      </c>
    </row>
    <row r="2020" spans="1:12">
      <c r="A2020" t="s">
        <v>5862</v>
      </c>
      <c r="B2020" t="s">
        <v>5863</v>
      </c>
      <c r="C2020" t="s">
        <v>5864</v>
      </c>
      <c r="D2020" t="s">
        <v>23</v>
      </c>
      <c r="E2020" t="s">
        <v>59</v>
      </c>
      <c r="F2020" t="s">
        <v>36</v>
      </c>
      <c r="G2020" t="s">
        <v>19</v>
      </c>
      <c r="H2020">
        <f>Cleaned_Data!K2020</f>
        <v>66.53</v>
      </c>
      <c r="I2020" t="str">
        <f t="shared" si="93"/>
        <v>NO</v>
      </c>
      <c r="J2020">
        <f>Cleaned_Data!J2020</f>
        <v>24</v>
      </c>
      <c r="K2020" t="str">
        <f t="shared" si="94"/>
        <v>2024-03</v>
      </c>
      <c r="L2020">
        <f t="shared" si="95"/>
        <v>42.53</v>
      </c>
    </row>
    <row r="2021" spans="1:12">
      <c r="A2021" t="s">
        <v>5865</v>
      </c>
      <c r="B2021" t="s">
        <v>5866</v>
      </c>
      <c r="C2021" t="s">
        <v>5867</v>
      </c>
      <c r="D2021" t="s">
        <v>15</v>
      </c>
      <c r="E2021" t="s">
        <v>28</v>
      </c>
      <c r="F2021" t="s">
        <v>17</v>
      </c>
      <c r="G2021" t="s">
        <v>19</v>
      </c>
      <c r="H2021">
        <f>Cleaned_Data!K2021</f>
        <v>4.3499999999999996</v>
      </c>
      <c r="I2021" t="str">
        <f t="shared" si="93"/>
        <v>YES</v>
      </c>
      <c r="J2021">
        <f>Cleaned_Data!J2021</f>
        <v>8</v>
      </c>
      <c r="K2021" t="str">
        <f t="shared" si="94"/>
        <v>2024-11</v>
      </c>
      <c r="L2021">
        <f t="shared" si="95"/>
        <v>0</v>
      </c>
    </row>
    <row r="2022" spans="1:12">
      <c r="A2022" t="s">
        <v>5868</v>
      </c>
      <c r="B2022" t="s">
        <v>5869</v>
      </c>
      <c r="C2022" t="s">
        <v>5870</v>
      </c>
      <c r="D2022" t="s">
        <v>23</v>
      </c>
      <c r="E2022" t="s">
        <v>24</v>
      </c>
      <c r="F2022" t="s">
        <v>36</v>
      </c>
      <c r="G2022" t="s">
        <v>19</v>
      </c>
      <c r="H2022">
        <f>Cleaned_Data!K2022</f>
        <v>49.76</v>
      </c>
      <c r="I2022" t="str">
        <f t="shared" si="93"/>
        <v>NO</v>
      </c>
      <c r="J2022">
        <f>Cleaned_Data!J2022</f>
        <v>24</v>
      </c>
      <c r="K2022" t="str">
        <f t="shared" si="94"/>
        <v>2024-06</v>
      </c>
      <c r="L2022">
        <f t="shared" si="95"/>
        <v>25.759999999999998</v>
      </c>
    </row>
    <row r="2023" spans="1:12">
      <c r="A2023" t="s">
        <v>5871</v>
      </c>
      <c r="B2023" t="s">
        <v>5872</v>
      </c>
      <c r="D2023" t="s">
        <v>23</v>
      </c>
      <c r="E2023" t="s">
        <v>16</v>
      </c>
      <c r="F2023" t="s">
        <v>17</v>
      </c>
      <c r="G2023" t="s">
        <v>46</v>
      </c>
      <c r="H2023">
        <f>Cleaned_Data!K2023</f>
        <v>0</v>
      </c>
      <c r="I2023" t="str">
        <f t="shared" si="93"/>
        <v/>
      </c>
      <c r="J2023">
        <f>Cleaned_Data!J2023</f>
        <v>24</v>
      </c>
      <c r="K2023" t="str">
        <f t="shared" si="94"/>
        <v>2024-08</v>
      </c>
      <c r="L2023">
        <f t="shared" si="95"/>
        <v>0</v>
      </c>
    </row>
    <row r="2024" spans="1:12">
      <c r="A2024" t="s">
        <v>5873</v>
      </c>
      <c r="B2024" t="s">
        <v>5874</v>
      </c>
      <c r="C2024" t="s">
        <v>5875</v>
      </c>
      <c r="D2024" t="s">
        <v>35</v>
      </c>
      <c r="E2024" t="s">
        <v>28</v>
      </c>
      <c r="F2024" t="s">
        <v>41</v>
      </c>
      <c r="G2024" t="s">
        <v>31</v>
      </c>
      <c r="H2024">
        <f>Cleaned_Data!K2024</f>
        <v>16.739999999999998</v>
      </c>
      <c r="I2024" t="str">
        <f t="shared" si="93"/>
        <v>YES</v>
      </c>
      <c r="J2024">
        <f>Cleaned_Data!J2024</f>
        <v>48</v>
      </c>
      <c r="K2024" t="str">
        <f t="shared" si="94"/>
        <v>2024-09</v>
      </c>
      <c r="L2024">
        <f t="shared" si="95"/>
        <v>0</v>
      </c>
    </row>
    <row r="2025" spans="1:12">
      <c r="A2025" t="s">
        <v>5876</v>
      </c>
      <c r="B2025" t="s">
        <v>5877</v>
      </c>
      <c r="C2025" t="s">
        <v>5878</v>
      </c>
      <c r="D2025" t="s">
        <v>158</v>
      </c>
      <c r="E2025" t="s">
        <v>28</v>
      </c>
      <c r="F2025" t="s">
        <v>60</v>
      </c>
      <c r="G2025" t="s">
        <v>31</v>
      </c>
      <c r="H2025">
        <f>Cleaned_Data!K2025</f>
        <v>6.45</v>
      </c>
      <c r="I2025" t="str">
        <f t="shared" si="93"/>
        <v>NO</v>
      </c>
      <c r="J2025">
        <f>Cleaned_Data!J2025</f>
        <v>4</v>
      </c>
      <c r="K2025" t="str">
        <f t="shared" si="94"/>
        <v>2024-10</v>
      </c>
      <c r="L2025">
        <f t="shared" si="95"/>
        <v>2.4500000000000002</v>
      </c>
    </row>
    <row r="2026" spans="1:12">
      <c r="A2026" t="s">
        <v>5879</v>
      </c>
      <c r="B2026" t="s">
        <v>5880</v>
      </c>
      <c r="C2026" t="s">
        <v>5881</v>
      </c>
      <c r="D2026" t="s">
        <v>23</v>
      </c>
      <c r="E2026" t="s">
        <v>16</v>
      </c>
      <c r="F2026" t="s">
        <v>17</v>
      </c>
      <c r="G2026" t="s">
        <v>19</v>
      </c>
      <c r="H2026">
        <f>Cleaned_Data!K2026</f>
        <v>17.440000000000001</v>
      </c>
      <c r="I2026" t="str">
        <f t="shared" si="93"/>
        <v>YES</v>
      </c>
      <c r="J2026">
        <f>Cleaned_Data!J2026</f>
        <v>24</v>
      </c>
      <c r="K2026" t="str">
        <f t="shared" si="94"/>
        <v>2024-01</v>
      </c>
      <c r="L2026">
        <f t="shared" si="95"/>
        <v>0</v>
      </c>
    </row>
    <row r="2027" spans="1:12">
      <c r="A2027" t="s">
        <v>5882</v>
      </c>
      <c r="B2027" t="s">
        <v>5883</v>
      </c>
      <c r="C2027" t="s">
        <v>5884</v>
      </c>
      <c r="D2027" t="s">
        <v>15</v>
      </c>
      <c r="E2027" t="s">
        <v>54</v>
      </c>
      <c r="F2027" t="s">
        <v>36</v>
      </c>
      <c r="G2027" t="s">
        <v>19</v>
      </c>
      <c r="H2027">
        <f>Cleaned_Data!K2027</f>
        <v>3.36</v>
      </c>
      <c r="I2027" t="str">
        <f t="shared" si="93"/>
        <v>YES</v>
      </c>
      <c r="J2027">
        <f>Cleaned_Data!J2027</f>
        <v>8</v>
      </c>
      <c r="K2027" t="str">
        <f t="shared" si="94"/>
        <v>2024-01</v>
      </c>
      <c r="L2027">
        <f t="shared" si="95"/>
        <v>0</v>
      </c>
    </row>
    <row r="2028" spans="1:12">
      <c r="A2028" t="s">
        <v>5885</v>
      </c>
      <c r="B2028" t="s">
        <v>5886</v>
      </c>
      <c r="C2028" t="s">
        <v>5887</v>
      </c>
      <c r="D2028" t="s">
        <v>23</v>
      </c>
      <c r="E2028" t="s">
        <v>28</v>
      </c>
      <c r="F2028" t="s">
        <v>41</v>
      </c>
      <c r="G2028" t="s">
        <v>19</v>
      </c>
      <c r="H2028">
        <f>Cleaned_Data!K2028</f>
        <v>9.44</v>
      </c>
      <c r="I2028" t="str">
        <f t="shared" si="93"/>
        <v>YES</v>
      </c>
      <c r="J2028">
        <f>Cleaned_Data!J2028</f>
        <v>24</v>
      </c>
      <c r="K2028" t="str">
        <f t="shared" si="94"/>
        <v>2024-02</v>
      </c>
      <c r="L2028">
        <f t="shared" si="95"/>
        <v>0</v>
      </c>
    </row>
    <row r="2029" spans="1:12">
      <c r="A2029" t="s">
        <v>5888</v>
      </c>
      <c r="B2029" t="s">
        <v>5889</v>
      </c>
      <c r="C2029" t="s">
        <v>5890</v>
      </c>
      <c r="D2029" t="s">
        <v>23</v>
      </c>
      <c r="E2029" t="s">
        <v>28</v>
      </c>
      <c r="F2029" t="s">
        <v>36</v>
      </c>
      <c r="G2029" t="s">
        <v>19</v>
      </c>
      <c r="H2029">
        <f>Cleaned_Data!K2029</f>
        <v>20.76</v>
      </c>
      <c r="I2029" t="str">
        <f t="shared" si="93"/>
        <v>YES</v>
      </c>
      <c r="J2029">
        <f>Cleaned_Data!J2029</f>
        <v>24</v>
      </c>
      <c r="K2029" t="str">
        <f t="shared" si="94"/>
        <v>2024-10</v>
      </c>
      <c r="L2029">
        <f t="shared" si="95"/>
        <v>0</v>
      </c>
    </row>
    <row r="2030" spans="1:12">
      <c r="A2030" t="s">
        <v>5891</v>
      </c>
      <c r="B2030" t="s">
        <v>5892</v>
      </c>
      <c r="C2030" t="s">
        <v>5893</v>
      </c>
      <c r="D2030" t="s">
        <v>15</v>
      </c>
      <c r="E2030" t="s">
        <v>59</v>
      </c>
      <c r="F2030" t="s">
        <v>60</v>
      </c>
      <c r="G2030" t="s">
        <v>19</v>
      </c>
      <c r="H2030">
        <f>Cleaned_Data!K2030</f>
        <v>1.85</v>
      </c>
      <c r="I2030" t="str">
        <f t="shared" si="93"/>
        <v>YES</v>
      </c>
      <c r="J2030">
        <f>Cleaned_Data!J2030</f>
        <v>8</v>
      </c>
      <c r="K2030" t="str">
        <f t="shared" si="94"/>
        <v>2024-05</v>
      </c>
      <c r="L2030">
        <f t="shared" si="95"/>
        <v>0</v>
      </c>
    </row>
    <row r="2031" spans="1:12">
      <c r="A2031" t="s">
        <v>5894</v>
      </c>
      <c r="B2031" t="s">
        <v>5895</v>
      </c>
      <c r="C2031" t="s">
        <v>5896</v>
      </c>
      <c r="D2031" t="s">
        <v>15</v>
      </c>
      <c r="E2031" t="s">
        <v>28</v>
      </c>
      <c r="F2031" t="s">
        <v>60</v>
      </c>
      <c r="G2031" t="s">
        <v>31</v>
      </c>
      <c r="H2031">
        <f>Cleaned_Data!K2031</f>
        <v>5.27</v>
      </c>
      <c r="I2031" t="str">
        <f t="shared" si="93"/>
        <v>YES</v>
      </c>
      <c r="J2031">
        <f>Cleaned_Data!J2031</f>
        <v>8</v>
      </c>
      <c r="K2031" t="str">
        <f t="shared" si="94"/>
        <v>2024-01</v>
      </c>
      <c r="L2031">
        <f t="shared" si="95"/>
        <v>0</v>
      </c>
    </row>
    <row r="2032" spans="1:12">
      <c r="A2032" t="s">
        <v>5897</v>
      </c>
      <c r="B2032" t="s">
        <v>5898</v>
      </c>
      <c r="C2032" t="s">
        <v>5899</v>
      </c>
      <c r="D2032" t="s">
        <v>23</v>
      </c>
      <c r="E2032" t="s">
        <v>28</v>
      </c>
      <c r="F2032" t="s">
        <v>17</v>
      </c>
      <c r="G2032" t="s">
        <v>19</v>
      </c>
      <c r="H2032">
        <f>Cleaned_Data!K2032</f>
        <v>11.96</v>
      </c>
      <c r="I2032" t="str">
        <f t="shared" si="93"/>
        <v>YES</v>
      </c>
      <c r="J2032">
        <f>Cleaned_Data!J2032</f>
        <v>24</v>
      </c>
      <c r="K2032" t="str">
        <f t="shared" si="94"/>
        <v>2024-02</v>
      </c>
      <c r="L2032">
        <f t="shared" si="95"/>
        <v>0</v>
      </c>
    </row>
    <row r="2033" spans="1:12">
      <c r="A2033" t="s">
        <v>5900</v>
      </c>
      <c r="B2033" t="s">
        <v>5901</v>
      </c>
      <c r="C2033" t="s">
        <v>5902</v>
      </c>
      <c r="D2033" t="s">
        <v>15</v>
      </c>
      <c r="E2033" t="s">
        <v>28</v>
      </c>
      <c r="F2033" t="s">
        <v>17</v>
      </c>
      <c r="G2033" t="s">
        <v>31</v>
      </c>
      <c r="H2033">
        <f>Cleaned_Data!K2033</f>
        <v>23.32</v>
      </c>
      <c r="I2033" t="str">
        <f t="shared" si="93"/>
        <v>NO</v>
      </c>
      <c r="J2033">
        <f>Cleaned_Data!J2033</f>
        <v>8</v>
      </c>
      <c r="K2033" t="str">
        <f t="shared" si="94"/>
        <v>2024-09</v>
      </c>
      <c r="L2033">
        <f t="shared" si="95"/>
        <v>15.32</v>
      </c>
    </row>
    <row r="2034" spans="1:12">
      <c r="A2034" t="s">
        <v>5903</v>
      </c>
      <c r="B2034" t="s">
        <v>5904</v>
      </c>
      <c r="C2034" t="s">
        <v>5905</v>
      </c>
      <c r="D2034" t="s">
        <v>15</v>
      </c>
      <c r="E2034" t="s">
        <v>24</v>
      </c>
      <c r="F2034" t="s">
        <v>60</v>
      </c>
      <c r="G2034" t="s">
        <v>19</v>
      </c>
      <c r="H2034">
        <f>Cleaned_Data!K2034</f>
        <v>1.96</v>
      </c>
      <c r="I2034" t="str">
        <f t="shared" si="93"/>
        <v>YES</v>
      </c>
      <c r="J2034">
        <f>Cleaned_Data!J2034</f>
        <v>8</v>
      </c>
      <c r="K2034" t="str">
        <f t="shared" si="94"/>
        <v>2024-05</v>
      </c>
      <c r="L2034">
        <f t="shared" si="95"/>
        <v>0</v>
      </c>
    </row>
    <row r="2035" spans="1:12">
      <c r="A2035" t="s">
        <v>5906</v>
      </c>
      <c r="B2035" t="s">
        <v>5907</v>
      </c>
      <c r="C2035" t="s">
        <v>5908</v>
      </c>
      <c r="D2035" t="s">
        <v>23</v>
      </c>
      <c r="E2035" t="s">
        <v>54</v>
      </c>
      <c r="F2035" t="s">
        <v>60</v>
      </c>
      <c r="G2035" t="s">
        <v>31</v>
      </c>
      <c r="H2035">
        <f>Cleaned_Data!K2035</f>
        <v>13.63</v>
      </c>
      <c r="I2035" t="str">
        <f t="shared" si="93"/>
        <v>YES</v>
      </c>
      <c r="J2035">
        <f>Cleaned_Data!J2035</f>
        <v>24</v>
      </c>
      <c r="K2035" t="str">
        <f t="shared" si="94"/>
        <v>2024-06</v>
      </c>
      <c r="L2035">
        <f t="shared" si="95"/>
        <v>0</v>
      </c>
    </row>
    <row r="2036" spans="1:12">
      <c r="A2036" t="s">
        <v>5909</v>
      </c>
      <c r="B2036" t="s">
        <v>5910</v>
      </c>
      <c r="C2036" t="s">
        <v>5911</v>
      </c>
      <c r="D2036" t="s">
        <v>15</v>
      </c>
      <c r="E2036" t="s">
        <v>28</v>
      </c>
      <c r="F2036" t="s">
        <v>17</v>
      </c>
      <c r="G2036" t="s">
        <v>31</v>
      </c>
      <c r="H2036">
        <f>Cleaned_Data!K2036</f>
        <v>2.98</v>
      </c>
      <c r="I2036" t="str">
        <f t="shared" si="93"/>
        <v>YES</v>
      </c>
      <c r="J2036">
        <f>Cleaned_Data!J2036</f>
        <v>8</v>
      </c>
      <c r="K2036" t="str">
        <f t="shared" si="94"/>
        <v>2024-03</v>
      </c>
      <c r="L2036">
        <f t="shared" si="95"/>
        <v>0</v>
      </c>
    </row>
    <row r="2037" spans="1:12">
      <c r="A2037" t="s">
        <v>5912</v>
      </c>
      <c r="B2037" t="s">
        <v>5913</v>
      </c>
      <c r="C2037" t="s">
        <v>5914</v>
      </c>
      <c r="D2037" t="s">
        <v>23</v>
      </c>
      <c r="E2037" t="s">
        <v>28</v>
      </c>
      <c r="F2037" t="s">
        <v>41</v>
      </c>
      <c r="G2037" t="s">
        <v>31</v>
      </c>
      <c r="H2037">
        <f>Cleaned_Data!K2037</f>
        <v>5.7</v>
      </c>
      <c r="I2037" t="str">
        <f t="shared" si="93"/>
        <v>YES</v>
      </c>
      <c r="J2037">
        <f>Cleaned_Data!J2037</f>
        <v>24</v>
      </c>
      <c r="K2037" t="str">
        <f t="shared" si="94"/>
        <v>2024-04</v>
      </c>
      <c r="L2037">
        <f t="shared" si="95"/>
        <v>0</v>
      </c>
    </row>
    <row r="2038" spans="1:12">
      <c r="A2038" t="s">
        <v>5915</v>
      </c>
      <c r="B2038" t="s">
        <v>5916</v>
      </c>
      <c r="C2038" t="s">
        <v>5917</v>
      </c>
      <c r="D2038" t="s">
        <v>35</v>
      </c>
      <c r="E2038" t="s">
        <v>54</v>
      </c>
      <c r="F2038" t="s">
        <v>29</v>
      </c>
      <c r="G2038" t="s">
        <v>31</v>
      </c>
      <c r="H2038">
        <f>Cleaned_Data!K2038</f>
        <v>97.02</v>
      </c>
      <c r="I2038" t="str">
        <f t="shared" si="93"/>
        <v>NO</v>
      </c>
      <c r="J2038">
        <f>Cleaned_Data!J2038</f>
        <v>48</v>
      </c>
      <c r="K2038" t="str">
        <f t="shared" si="94"/>
        <v>2024-04</v>
      </c>
      <c r="L2038">
        <f t="shared" si="95"/>
        <v>49.019999999999996</v>
      </c>
    </row>
    <row r="2039" spans="1:12">
      <c r="A2039" t="s">
        <v>5918</v>
      </c>
      <c r="B2039" t="s">
        <v>5919</v>
      </c>
      <c r="C2039" t="s">
        <v>5920</v>
      </c>
      <c r="D2039" t="s">
        <v>15</v>
      </c>
      <c r="E2039" t="s">
        <v>28</v>
      </c>
      <c r="F2039" t="s">
        <v>60</v>
      </c>
      <c r="G2039" t="s">
        <v>19</v>
      </c>
      <c r="H2039">
        <f>Cleaned_Data!K2039</f>
        <v>3.79</v>
      </c>
      <c r="I2039" t="str">
        <f t="shared" si="93"/>
        <v>YES</v>
      </c>
      <c r="J2039">
        <f>Cleaned_Data!J2039</f>
        <v>8</v>
      </c>
      <c r="K2039" t="str">
        <f t="shared" si="94"/>
        <v>2024-02</v>
      </c>
      <c r="L2039">
        <f t="shared" si="95"/>
        <v>0</v>
      </c>
    </row>
    <row r="2040" spans="1:12">
      <c r="A2040" t="s">
        <v>5921</v>
      </c>
      <c r="B2040" t="s">
        <v>5922</v>
      </c>
      <c r="D2040" t="s">
        <v>15</v>
      </c>
      <c r="E2040" t="s">
        <v>59</v>
      </c>
      <c r="F2040" t="s">
        <v>41</v>
      </c>
      <c r="G2040" t="s">
        <v>63</v>
      </c>
      <c r="H2040">
        <f>Cleaned_Data!K2040</f>
        <v>0</v>
      </c>
      <c r="I2040" t="str">
        <f t="shared" si="93"/>
        <v/>
      </c>
      <c r="J2040">
        <f>Cleaned_Data!J2040</f>
        <v>8</v>
      </c>
      <c r="K2040" t="str">
        <f t="shared" si="94"/>
        <v>2024-05</v>
      </c>
      <c r="L2040">
        <f t="shared" si="95"/>
        <v>0</v>
      </c>
    </row>
    <row r="2041" spans="1:12">
      <c r="A2041" t="s">
        <v>5923</v>
      </c>
      <c r="B2041" t="s">
        <v>5924</v>
      </c>
      <c r="C2041" t="s">
        <v>5925</v>
      </c>
      <c r="D2041" t="s">
        <v>15</v>
      </c>
      <c r="E2041" t="s">
        <v>28</v>
      </c>
      <c r="F2041" t="s">
        <v>29</v>
      </c>
      <c r="G2041" t="s">
        <v>31</v>
      </c>
      <c r="H2041">
        <f>Cleaned_Data!K2041</f>
        <v>7.02</v>
      </c>
      <c r="I2041" t="str">
        <f t="shared" si="93"/>
        <v>YES</v>
      </c>
      <c r="J2041">
        <f>Cleaned_Data!J2041</f>
        <v>8</v>
      </c>
      <c r="K2041" t="str">
        <f t="shared" si="94"/>
        <v>2024-10</v>
      </c>
      <c r="L2041">
        <f t="shared" si="95"/>
        <v>0</v>
      </c>
    </row>
    <row r="2042" spans="1:12">
      <c r="A2042" t="s">
        <v>5926</v>
      </c>
      <c r="B2042" t="s">
        <v>5927</v>
      </c>
      <c r="C2042" t="s">
        <v>5928</v>
      </c>
      <c r="D2042" t="s">
        <v>158</v>
      </c>
      <c r="E2042" t="s">
        <v>54</v>
      </c>
      <c r="F2042" t="s">
        <v>36</v>
      </c>
      <c r="G2042" t="s">
        <v>31</v>
      </c>
      <c r="H2042">
        <f>Cleaned_Data!K2042</f>
        <v>3.09</v>
      </c>
      <c r="I2042" t="str">
        <f t="shared" si="93"/>
        <v>YES</v>
      </c>
      <c r="J2042">
        <f>Cleaned_Data!J2042</f>
        <v>4</v>
      </c>
      <c r="K2042" t="str">
        <f t="shared" si="94"/>
        <v>2024-02</v>
      </c>
      <c r="L2042">
        <f t="shared" si="95"/>
        <v>0</v>
      </c>
    </row>
    <row r="2043" spans="1:12">
      <c r="A2043" t="s">
        <v>5929</v>
      </c>
      <c r="B2043" t="s">
        <v>5930</v>
      </c>
      <c r="D2043" t="s">
        <v>15</v>
      </c>
      <c r="E2043" t="s">
        <v>24</v>
      </c>
      <c r="F2043" t="s">
        <v>36</v>
      </c>
      <c r="G2043" t="s">
        <v>63</v>
      </c>
      <c r="H2043">
        <f>Cleaned_Data!K2043</f>
        <v>0</v>
      </c>
      <c r="I2043" t="str">
        <f t="shared" si="93"/>
        <v/>
      </c>
      <c r="J2043">
        <f>Cleaned_Data!J2043</f>
        <v>8</v>
      </c>
      <c r="K2043" t="str">
        <f t="shared" si="94"/>
        <v>2024-08</v>
      </c>
      <c r="L2043">
        <f t="shared" si="95"/>
        <v>0</v>
      </c>
    </row>
    <row r="2044" spans="1:12">
      <c r="A2044" t="s">
        <v>5931</v>
      </c>
      <c r="B2044" t="s">
        <v>5932</v>
      </c>
      <c r="C2044" t="s">
        <v>5933</v>
      </c>
      <c r="D2044" t="s">
        <v>23</v>
      </c>
      <c r="E2044" t="s">
        <v>28</v>
      </c>
      <c r="F2044" t="s">
        <v>60</v>
      </c>
      <c r="G2044" t="s">
        <v>19</v>
      </c>
      <c r="H2044">
        <f>Cleaned_Data!K2044</f>
        <v>17.5</v>
      </c>
      <c r="I2044" t="str">
        <f t="shared" si="93"/>
        <v>YES</v>
      </c>
      <c r="J2044">
        <f>Cleaned_Data!J2044</f>
        <v>24</v>
      </c>
      <c r="K2044" t="str">
        <f t="shared" si="94"/>
        <v>2024-06</v>
      </c>
      <c r="L2044">
        <f t="shared" si="95"/>
        <v>0</v>
      </c>
    </row>
    <row r="2045" spans="1:12">
      <c r="A2045" t="s">
        <v>5934</v>
      </c>
      <c r="B2045" t="s">
        <v>5935</v>
      </c>
      <c r="C2045" t="s">
        <v>5936</v>
      </c>
      <c r="D2045" t="s">
        <v>23</v>
      </c>
      <c r="E2045" t="s">
        <v>28</v>
      </c>
      <c r="F2045" t="s">
        <v>17</v>
      </c>
      <c r="G2045" t="s">
        <v>19</v>
      </c>
      <c r="H2045">
        <f>Cleaned_Data!K2045</f>
        <v>62.58</v>
      </c>
      <c r="I2045" t="str">
        <f t="shared" si="93"/>
        <v>NO</v>
      </c>
      <c r="J2045">
        <f>Cleaned_Data!J2045</f>
        <v>24</v>
      </c>
      <c r="K2045" t="str">
        <f t="shared" si="94"/>
        <v>2024-05</v>
      </c>
      <c r="L2045">
        <f t="shared" si="95"/>
        <v>38.58</v>
      </c>
    </row>
    <row r="2046" spans="1:12">
      <c r="A2046" t="s">
        <v>5937</v>
      </c>
      <c r="B2046" t="s">
        <v>5938</v>
      </c>
      <c r="C2046" t="s">
        <v>5939</v>
      </c>
      <c r="D2046" t="s">
        <v>35</v>
      </c>
      <c r="E2046" t="s">
        <v>16</v>
      </c>
      <c r="F2046" t="s">
        <v>17</v>
      </c>
      <c r="G2046" t="s">
        <v>19</v>
      </c>
      <c r="H2046">
        <f>Cleaned_Data!K2046</f>
        <v>42.44</v>
      </c>
      <c r="I2046" t="str">
        <f t="shared" si="93"/>
        <v>YES</v>
      </c>
      <c r="J2046">
        <f>Cleaned_Data!J2046</f>
        <v>48</v>
      </c>
      <c r="K2046" t="str">
        <f t="shared" si="94"/>
        <v>2024-11</v>
      </c>
      <c r="L2046">
        <f t="shared" si="95"/>
        <v>0</v>
      </c>
    </row>
    <row r="2047" spans="1:12">
      <c r="A2047" t="s">
        <v>5940</v>
      </c>
      <c r="B2047" t="s">
        <v>5941</v>
      </c>
      <c r="C2047" t="s">
        <v>5942</v>
      </c>
      <c r="D2047" t="s">
        <v>23</v>
      </c>
      <c r="E2047" t="s">
        <v>16</v>
      </c>
      <c r="F2047" t="s">
        <v>29</v>
      </c>
      <c r="G2047" t="s">
        <v>19</v>
      </c>
      <c r="H2047">
        <f>Cleaned_Data!K2047</f>
        <v>20.18</v>
      </c>
      <c r="I2047" t="str">
        <f t="shared" si="93"/>
        <v>YES</v>
      </c>
      <c r="J2047">
        <f>Cleaned_Data!J2047</f>
        <v>24</v>
      </c>
      <c r="K2047" t="str">
        <f t="shared" si="94"/>
        <v>2024-11</v>
      </c>
      <c r="L2047">
        <f t="shared" si="95"/>
        <v>0</v>
      </c>
    </row>
    <row r="2048" spans="1:12">
      <c r="A2048" t="s">
        <v>5943</v>
      </c>
      <c r="B2048" t="s">
        <v>5944</v>
      </c>
      <c r="C2048" t="s">
        <v>5945</v>
      </c>
      <c r="D2048" t="s">
        <v>23</v>
      </c>
      <c r="E2048" t="s">
        <v>16</v>
      </c>
      <c r="F2048" t="s">
        <v>36</v>
      </c>
      <c r="G2048" t="s">
        <v>31</v>
      </c>
      <c r="H2048">
        <f>Cleaned_Data!K2048</f>
        <v>5.82</v>
      </c>
      <c r="I2048" t="str">
        <f t="shared" si="93"/>
        <v>YES</v>
      </c>
      <c r="J2048">
        <f>Cleaned_Data!J2048</f>
        <v>24</v>
      </c>
      <c r="K2048" t="str">
        <f t="shared" si="94"/>
        <v>2024-12</v>
      </c>
      <c r="L2048">
        <f t="shared" si="95"/>
        <v>0</v>
      </c>
    </row>
    <row r="2049" spans="1:12">
      <c r="A2049" t="s">
        <v>5946</v>
      </c>
      <c r="B2049" t="s">
        <v>5947</v>
      </c>
      <c r="C2049" t="s">
        <v>5948</v>
      </c>
      <c r="D2049" t="s">
        <v>23</v>
      </c>
      <c r="E2049" t="s">
        <v>54</v>
      </c>
      <c r="F2049" t="s">
        <v>36</v>
      </c>
      <c r="G2049" t="s">
        <v>19</v>
      </c>
      <c r="H2049">
        <f>Cleaned_Data!K2049</f>
        <v>20.100000000000001</v>
      </c>
      <c r="I2049" t="str">
        <f t="shared" si="93"/>
        <v>YES</v>
      </c>
      <c r="J2049">
        <f>Cleaned_Data!J2049</f>
        <v>24</v>
      </c>
      <c r="K2049" t="str">
        <f t="shared" si="94"/>
        <v>2024-08</v>
      </c>
      <c r="L2049">
        <f t="shared" si="95"/>
        <v>0</v>
      </c>
    </row>
    <row r="2050" spans="1:12">
      <c r="A2050" t="s">
        <v>5949</v>
      </c>
      <c r="B2050" t="s">
        <v>5950</v>
      </c>
      <c r="C2050" t="s">
        <v>5951</v>
      </c>
      <c r="D2050" t="s">
        <v>23</v>
      </c>
      <c r="E2050" t="s">
        <v>24</v>
      </c>
      <c r="F2050" t="s">
        <v>36</v>
      </c>
      <c r="G2050" t="s">
        <v>19</v>
      </c>
      <c r="H2050">
        <f>Cleaned_Data!K2050</f>
        <v>6.69</v>
      </c>
      <c r="I2050" t="str">
        <f t="shared" ref="I2050:I2113" si="96">IF(OR(G2050="Resolved", G2050="Closed"), IF(AND(H2050&lt;&gt;"", H2050&lt;=J2050), "YES", "NO"), "")</f>
        <v>YES</v>
      </c>
      <c r="J2050">
        <f>Cleaned_Data!J2050</f>
        <v>24</v>
      </c>
      <c r="K2050" t="str">
        <f t="shared" ref="K2050:K2113" si="97">LEFT(B2050, 7)</f>
        <v>2024-01</v>
      </c>
      <c r="L2050">
        <f t="shared" ref="L2050:L2113" si="98">IF(I2050="NO", H2050-J2050, 0)</f>
        <v>0</v>
      </c>
    </row>
    <row r="2051" spans="1:12">
      <c r="A2051" t="s">
        <v>5952</v>
      </c>
      <c r="B2051" t="s">
        <v>5953</v>
      </c>
      <c r="C2051" t="s">
        <v>5954</v>
      </c>
      <c r="D2051" t="s">
        <v>23</v>
      </c>
      <c r="E2051" t="s">
        <v>24</v>
      </c>
      <c r="F2051" t="s">
        <v>41</v>
      </c>
      <c r="G2051" t="s">
        <v>31</v>
      </c>
      <c r="H2051">
        <f>Cleaned_Data!K2051</f>
        <v>4.76</v>
      </c>
      <c r="I2051" t="str">
        <f t="shared" si="96"/>
        <v>YES</v>
      </c>
      <c r="J2051">
        <f>Cleaned_Data!J2051</f>
        <v>24</v>
      </c>
      <c r="K2051" t="str">
        <f t="shared" si="97"/>
        <v>2024-02</v>
      </c>
      <c r="L2051">
        <f t="shared" si="98"/>
        <v>0</v>
      </c>
    </row>
    <row r="2052" spans="1:12">
      <c r="A2052" t="s">
        <v>5955</v>
      </c>
      <c r="B2052" t="s">
        <v>5956</v>
      </c>
      <c r="C2052" t="s">
        <v>5957</v>
      </c>
      <c r="D2052" t="s">
        <v>23</v>
      </c>
      <c r="E2052" t="s">
        <v>16</v>
      </c>
      <c r="F2052" t="s">
        <v>41</v>
      </c>
      <c r="G2052" t="s">
        <v>19</v>
      </c>
      <c r="H2052">
        <f>Cleaned_Data!K2052</f>
        <v>3.49</v>
      </c>
      <c r="I2052" t="str">
        <f t="shared" si="96"/>
        <v>YES</v>
      </c>
      <c r="J2052">
        <f>Cleaned_Data!J2052</f>
        <v>24</v>
      </c>
      <c r="K2052" t="str">
        <f t="shared" si="97"/>
        <v>2024-12</v>
      </c>
      <c r="L2052">
        <f t="shared" si="98"/>
        <v>0</v>
      </c>
    </row>
    <row r="2053" spans="1:12">
      <c r="A2053" t="s">
        <v>5958</v>
      </c>
      <c r="B2053" t="s">
        <v>5959</v>
      </c>
      <c r="C2053" t="s">
        <v>5960</v>
      </c>
      <c r="D2053" t="s">
        <v>23</v>
      </c>
      <c r="E2053" t="s">
        <v>24</v>
      </c>
      <c r="F2053" t="s">
        <v>41</v>
      </c>
      <c r="G2053" t="s">
        <v>19</v>
      </c>
      <c r="H2053">
        <f>Cleaned_Data!K2053</f>
        <v>27.16</v>
      </c>
      <c r="I2053" t="str">
        <f t="shared" si="96"/>
        <v>NO</v>
      </c>
      <c r="J2053">
        <f>Cleaned_Data!J2053</f>
        <v>24</v>
      </c>
      <c r="K2053" t="str">
        <f t="shared" si="97"/>
        <v>2024-10</v>
      </c>
      <c r="L2053">
        <f t="shared" si="98"/>
        <v>3.16</v>
      </c>
    </row>
    <row r="2054" spans="1:12">
      <c r="A2054" t="s">
        <v>5961</v>
      </c>
      <c r="B2054" t="s">
        <v>5962</v>
      </c>
      <c r="D2054" t="s">
        <v>23</v>
      </c>
      <c r="E2054" t="s">
        <v>16</v>
      </c>
      <c r="F2054" t="s">
        <v>60</v>
      </c>
      <c r="G2054" t="s">
        <v>63</v>
      </c>
      <c r="H2054">
        <f>Cleaned_Data!K2054</f>
        <v>0</v>
      </c>
      <c r="I2054" t="str">
        <f t="shared" si="96"/>
        <v/>
      </c>
      <c r="J2054">
        <f>Cleaned_Data!J2054</f>
        <v>24</v>
      </c>
      <c r="K2054" t="str">
        <f t="shared" si="97"/>
        <v>2024-01</v>
      </c>
      <c r="L2054">
        <f t="shared" si="98"/>
        <v>0</v>
      </c>
    </row>
    <row r="2055" spans="1:12">
      <c r="A2055" t="s">
        <v>5963</v>
      </c>
      <c r="B2055" t="s">
        <v>5964</v>
      </c>
      <c r="C2055" t="s">
        <v>5965</v>
      </c>
      <c r="D2055" t="s">
        <v>35</v>
      </c>
      <c r="E2055" t="s">
        <v>16</v>
      </c>
      <c r="F2055" t="s">
        <v>17</v>
      </c>
      <c r="G2055" t="s">
        <v>19</v>
      </c>
      <c r="H2055">
        <f>Cleaned_Data!K2055</f>
        <v>20.32</v>
      </c>
      <c r="I2055" t="str">
        <f t="shared" si="96"/>
        <v>YES</v>
      </c>
      <c r="J2055">
        <f>Cleaned_Data!J2055</f>
        <v>48</v>
      </c>
      <c r="K2055" t="str">
        <f t="shared" si="97"/>
        <v>2024-03</v>
      </c>
      <c r="L2055">
        <f t="shared" si="98"/>
        <v>0</v>
      </c>
    </row>
    <row r="2056" spans="1:12">
      <c r="A2056" t="s">
        <v>5966</v>
      </c>
      <c r="B2056" t="s">
        <v>5967</v>
      </c>
      <c r="C2056" t="s">
        <v>5968</v>
      </c>
      <c r="D2056" t="s">
        <v>23</v>
      </c>
      <c r="E2056" t="s">
        <v>28</v>
      </c>
      <c r="F2056" t="s">
        <v>29</v>
      </c>
      <c r="G2056" t="s">
        <v>19</v>
      </c>
      <c r="H2056">
        <f>Cleaned_Data!K2056</f>
        <v>8.15</v>
      </c>
      <c r="I2056" t="str">
        <f t="shared" si="96"/>
        <v>YES</v>
      </c>
      <c r="J2056">
        <f>Cleaned_Data!J2056</f>
        <v>24</v>
      </c>
      <c r="K2056" t="str">
        <f t="shared" si="97"/>
        <v>2024-01</v>
      </c>
      <c r="L2056">
        <f t="shared" si="98"/>
        <v>0</v>
      </c>
    </row>
    <row r="2057" spans="1:12">
      <c r="A2057" t="s">
        <v>5969</v>
      </c>
      <c r="B2057" t="s">
        <v>5970</v>
      </c>
      <c r="C2057" t="s">
        <v>5971</v>
      </c>
      <c r="D2057" t="s">
        <v>158</v>
      </c>
      <c r="E2057" t="s">
        <v>54</v>
      </c>
      <c r="F2057" t="s">
        <v>41</v>
      </c>
      <c r="G2057" t="s">
        <v>19</v>
      </c>
      <c r="H2057">
        <f>Cleaned_Data!K2057</f>
        <v>10.91</v>
      </c>
      <c r="I2057" t="str">
        <f t="shared" si="96"/>
        <v>NO</v>
      </c>
      <c r="J2057">
        <f>Cleaned_Data!J2057</f>
        <v>4</v>
      </c>
      <c r="K2057" t="str">
        <f t="shared" si="97"/>
        <v>2024-04</v>
      </c>
      <c r="L2057">
        <f t="shared" si="98"/>
        <v>6.91</v>
      </c>
    </row>
    <row r="2058" spans="1:12">
      <c r="A2058" t="s">
        <v>5972</v>
      </c>
      <c r="B2058" t="s">
        <v>5973</v>
      </c>
      <c r="C2058" t="s">
        <v>5974</v>
      </c>
      <c r="D2058" t="s">
        <v>35</v>
      </c>
      <c r="E2058" t="s">
        <v>24</v>
      </c>
      <c r="F2058" t="s">
        <v>29</v>
      </c>
      <c r="G2058" t="s">
        <v>19</v>
      </c>
      <c r="H2058">
        <f>Cleaned_Data!K2058</f>
        <v>105.76</v>
      </c>
      <c r="I2058" t="str">
        <f t="shared" si="96"/>
        <v>NO</v>
      </c>
      <c r="J2058">
        <f>Cleaned_Data!J2058</f>
        <v>48</v>
      </c>
      <c r="K2058" t="str">
        <f t="shared" si="97"/>
        <v>2024-05</v>
      </c>
      <c r="L2058">
        <f t="shared" si="98"/>
        <v>57.760000000000005</v>
      </c>
    </row>
    <row r="2059" spans="1:12">
      <c r="A2059" t="s">
        <v>5975</v>
      </c>
      <c r="B2059" t="s">
        <v>5976</v>
      </c>
      <c r="C2059" t="s">
        <v>5977</v>
      </c>
      <c r="D2059" t="s">
        <v>35</v>
      </c>
      <c r="E2059" t="s">
        <v>28</v>
      </c>
      <c r="F2059" t="s">
        <v>41</v>
      </c>
      <c r="G2059" t="s">
        <v>31</v>
      </c>
      <c r="H2059">
        <f>Cleaned_Data!K2059</f>
        <v>4.8499999999999996</v>
      </c>
      <c r="I2059" t="str">
        <f t="shared" si="96"/>
        <v>YES</v>
      </c>
      <c r="J2059">
        <f>Cleaned_Data!J2059</f>
        <v>48</v>
      </c>
      <c r="K2059" t="str">
        <f t="shared" si="97"/>
        <v>2024-05</v>
      </c>
      <c r="L2059">
        <f t="shared" si="98"/>
        <v>0</v>
      </c>
    </row>
    <row r="2060" spans="1:12">
      <c r="A2060" t="s">
        <v>5978</v>
      </c>
      <c r="B2060" t="s">
        <v>5979</v>
      </c>
      <c r="C2060" t="s">
        <v>5980</v>
      </c>
      <c r="D2060" t="s">
        <v>23</v>
      </c>
      <c r="E2060" t="s">
        <v>54</v>
      </c>
      <c r="F2060" t="s">
        <v>17</v>
      </c>
      <c r="G2060" t="s">
        <v>31</v>
      </c>
      <c r="H2060">
        <f>Cleaned_Data!K2060</f>
        <v>61.53</v>
      </c>
      <c r="I2060" t="str">
        <f t="shared" si="96"/>
        <v>NO</v>
      </c>
      <c r="J2060">
        <f>Cleaned_Data!J2060</f>
        <v>24</v>
      </c>
      <c r="K2060" t="str">
        <f t="shared" si="97"/>
        <v>2024-10</v>
      </c>
      <c r="L2060">
        <f t="shared" si="98"/>
        <v>37.53</v>
      </c>
    </row>
    <row r="2061" spans="1:12">
      <c r="A2061" t="s">
        <v>5981</v>
      </c>
      <c r="B2061" t="s">
        <v>5982</v>
      </c>
      <c r="C2061" t="s">
        <v>5983</v>
      </c>
      <c r="D2061" t="s">
        <v>15</v>
      </c>
      <c r="E2061" t="s">
        <v>28</v>
      </c>
      <c r="F2061" t="s">
        <v>41</v>
      </c>
      <c r="G2061" t="s">
        <v>19</v>
      </c>
      <c r="H2061">
        <f>Cleaned_Data!K2061</f>
        <v>3.43</v>
      </c>
      <c r="I2061" t="str">
        <f t="shared" si="96"/>
        <v>YES</v>
      </c>
      <c r="J2061">
        <f>Cleaned_Data!J2061</f>
        <v>8</v>
      </c>
      <c r="K2061" t="str">
        <f t="shared" si="97"/>
        <v>2024-06</v>
      </c>
      <c r="L2061">
        <f t="shared" si="98"/>
        <v>0</v>
      </c>
    </row>
    <row r="2062" spans="1:12">
      <c r="A2062" t="s">
        <v>5984</v>
      </c>
      <c r="B2062" t="s">
        <v>5985</v>
      </c>
      <c r="C2062" t="s">
        <v>5986</v>
      </c>
      <c r="D2062" t="s">
        <v>15</v>
      </c>
      <c r="E2062" t="s">
        <v>24</v>
      </c>
      <c r="F2062" t="s">
        <v>36</v>
      </c>
      <c r="G2062" t="s">
        <v>31</v>
      </c>
      <c r="H2062">
        <f>Cleaned_Data!K2062</f>
        <v>7.53</v>
      </c>
      <c r="I2062" t="str">
        <f t="shared" si="96"/>
        <v>YES</v>
      </c>
      <c r="J2062">
        <f>Cleaned_Data!J2062</f>
        <v>8</v>
      </c>
      <c r="K2062" t="str">
        <f t="shared" si="97"/>
        <v>2024-02</v>
      </c>
      <c r="L2062">
        <f t="shared" si="98"/>
        <v>0</v>
      </c>
    </row>
    <row r="2063" spans="1:12">
      <c r="A2063" t="s">
        <v>5987</v>
      </c>
      <c r="B2063" t="s">
        <v>5988</v>
      </c>
      <c r="C2063" t="s">
        <v>5989</v>
      </c>
      <c r="D2063" t="s">
        <v>15</v>
      </c>
      <c r="E2063" t="s">
        <v>54</v>
      </c>
      <c r="F2063" t="s">
        <v>41</v>
      </c>
      <c r="G2063" t="s">
        <v>31</v>
      </c>
      <c r="H2063">
        <f>Cleaned_Data!K2063</f>
        <v>1.93</v>
      </c>
      <c r="I2063" t="str">
        <f t="shared" si="96"/>
        <v>YES</v>
      </c>
      <c r="J2063">
        <f>Cleaned_Data!J2063</f>
        <v>8</v>
      </c>
      <c r="K2063" t="str">
        <f t="shared" si="97"/>
        <v>2024-06</v>
      </c>
      <c r="L2063">
        <f t="shared" si="98"/>
        <v>0</v>
      </c>
    </row>
    <row r="2064" spans="1:12">
      <c r="A2064" t="s">
        <v>5990</v>
      </c>
      <c r="B2064" t="s">
        <v>5991</v>
      </c>
      <c r="C2064" t="s">
        <v>5992</v>
      </c>
      <c r="D2064" t="s">
        <v>23</v>
      </c>
      <c r="E2064" t="s">
        <v>59</v>
      </c>
      <c r="F2064" t="s">
        <v>41</v>
      </c>
      <c r="G2064" t="s">
        <v>31</v>
      </c>
      <c r="H2064">
        <f>Cleaned_Data!K2064</f>
        <v>7.06</v>
      </c>
      <c r="I2064" t="str">
        <f t="shared" si="96"/>
        <v>YES</v>
      </c>
      <c r="J2064">
        <f>Cleaned_Data!J2064</f>
        <v>24</v>
      </c>
      <c r="K2064" t="str">
        <f t="shared" si="97"/>
        <v>2024-06</v>
      </c>
      <c r="L2064">
        <f t="shared" si="98"/>
        <v>0</v>
      </c>
    </row>
    <row r="2065" spans="1:12">
      <c r="A2065" t="s">
        <v>5993</v>
      </c>
      <c r="B2065" t="s">
        <v>5994</v>
      </c>
      <c r="C2065" t="s">
        <v>5995</v>
      </c>
      <c r="D2065" t="s">
        <v>23</v>
      </c>
      <c r="E2065" t="s">
        <v>59</v>
      </c>
      <c r="F2065" t="s">
        <v>36</v>
      </c>
      <c r="G2065" t="s">
        <v>19</v>
      </c>
      <c r="H2065">
        <f>Cleaned_Data!K2065</f>
        <v>32.619999999999997</v>
      </c>
      <c r="I2065" t="str">
        <f t="shared" si="96"/>
        <v>NO</v>
      </c>
      <c r="J2065">
        <f>Cleaned_Data!J2065</f>
        <v>24</v>
      </c>
      <c r="K2065" t="str">
        <f t="shared" si="97"/>
        <v>2024-04</v>
      </c>
      <c r="L2065">
        <f t="shared" si="98"/>
        <v>8.6199999999999974</v>
      </c>
    </row>
    <row r="2066" spans="1:12">
      <c r="A2066" t="s">
        <v>5996</v>
      </c>
      <c r="B2066" t="s">
        <v>5997</v>
      </c>
      <c r="C2066" t="s">
        <v>5998</v>
      </c>
      <c r="D2066" t="s">
        <v>23</v>
      </c>
      <c r="E2066" t="s">
        <v>28</v>
      </c>
      <c r="F2066" t="s">
        <v>29</v>
      </c>
      <c r="G2066" t="s">
        <v>19</v>
      </c>
      <c r="H2066">
        <f>Cleaned_Data!K2066</f>
        <v>14.97</v>
      </c>
      <c r="I2066" t="str">
        <f t="shared" si="96"/>
        <v>YES</v>
      </c>
      <c r="J2066">
        <f>Cleaned_Data!J2066</f>
        <v>24</v>
      </c>
      <c r="K2066" t="str">
        <f t="shared" si="97"/>
        <v>2024-09</v>
      </c>
      <c r="L2066">
        <f t="shared" si="98"/>
        <v>0</v>
      </c>
    </row>
    <row r="2067" spans="1:12">
      <c r="A2067" t="s">
        <v>5999</v>
      </c>
      <c r="B2067" t="s">
        <v>6000</v>
      </c>
      <c r="C2067" t="s">
        <v>6001</v>
      </c>
      <c r="D2067" t="s">
        <v>35</v>
      </c>
      <c r="E2067" t="s">
        <v>54</v>
      </c>
      <c r="F2067" t="s">
        <v>41</v>
      </c>
      <c r="G2067" t="s">
        <v>19</v>
      </c>
      <c r="H2067">
        <f>Cleaned_Data!K2067</f>
        <v>30.21</v>
      </c>
      <c r="I2067" t="str">
        <f t="shared" si="96"/>
        <v>YES</v>
      </c>
      <c r="J2067">
        <f>Cleaned_Data!J2067</f>
        <v>48</v>
      </c>
      <c r="K2067" t="str">
        <f t="shared" si="97"/>
        <v>2024-06</v>
      </c>
      <c r="L2067">
        <f t="shared" si="98"/>
        <v>0</v>
      </c>
    </row>
    <row r="2068" spans="1:12">
      <c r="A2068" t="s">
        <v>6002</v>
      </c>
      <c r="B2068" t="s">
        <v>6003</v>
      </c>
      <c r="C2068" t="s">
        <v>6004</v>
      </c>
      <c r="D2068" t="s">
        <v>23</v>
      </c>
      <c r="E2068" t="s">
        <v>59</v>
      </c>
      <c r="F2068" t="s">
        <v>29</v>
      </c>
      <c r="G2068" t="s">
        <v>19</v>
      </c>
      <c r="H2068">
        <f>Cleaned_Data!K2068</f>
        <v>7.42</v>
      </c>
      <c r="I2068" t="str">
        <f t="shared" si="96"/>
        <v>YES</v>
      </c>
      <c r="J2068">
        <f>Cleaned_Data!J2068</f>
        <v>24</v>
      </c>
      <c r="K2068" t="str">
        <f t="shared" si="97"/>
        <v>2024-08</v>
      </c>
      <c r="L2068">
        <f t="shared" si="98"/>
        <v>0</v>
      </c>
    </row>
    <row r="2069" spans="1:12">
      <c r="A2069" t="s">
        <v>6005</v>
      </c>
      <c r="B2069" t="s">
        <v>6006</v>
      </c>
      <c r="C2069" t="s">
        <v>6007</v>
      </c>
      <c r="D2069" t="s">
        <v>15</v>
      </c>
      <c r="E2069" t="s">
        <v>16</v>
      </c>
      <c r="F2069" t="s">
        <v>41</v>
      </c>
      <c r="G2069" t="s">
        <v>19</v>
      </c>
      <c r="H2069">
        <f>Cleaned_Data!K2069</f>
        <v>1.2</v>
      </c>
      <c r="I2069" t="str">
        <f t="shared" si="96"/>
        <v>YES</v>
      </c>
      <c r="J2069">
        <f>Cleaned_Data!J2069</f>
        <v>8</v>
      </c>
      <c r="K2069" t="str">
        <f t="shared" si="97"/>
        <v>2024-02</v>
      </c>
      <c r="L2069">
        <f t="shared" si="98"/>
        <v>0</v>
      </c>
    </row>
    <row r="2070" spans="1:12">
      <c r="A2070" t="s">
        <v>6008</v>
      </c>
      <c r="B2070" t="s">
        <v>6009</v>
      </c>
      <c r="C2070" t="s">
        <v>6010</v>
      </c>
      <c r="D2070" t="s">
        <v>23</v>
      </c>
      <c r="E2070" t="s">
        <v>24</v>
      </c>
      <c r="F2070" t="s">
        <v>36</v>
      </c>
      <c r="G2070" t="s">
        <v>31</v>
      </c>
      <c r="H2070">
        <f>Cleaned_Data!K2070</f>
        <v>4.45</v>
      </c>
      <c r="I2070" t="str">
        <f t="shared" si="96"/>
        <v>YES</v>
      </c>
      <c r="J2070">
        <f>Cleaned_Data!J2070</f>
        <v>24</v>
      </c>
      <c r="K2070" t="str">
        <f t="shared" si="97"/>
        <v>2024-10</v>
      </c>
      <c r="L2070">
        <f t="shared" si="98"/>
        <v>0</v>
      </c>
    </row>
    <row r="2071" spans="1:12">
      <c r="A2071" t="s">
        <v>6011</v>
      </c>
      <c r="B2071" t="s">
        <v>6012</v>
      </c>
      <c r="C2071" t="s">
        <v>6013</v>
      </c>
      <c r="D2071" t="s">
        <v>35</v>
      </c>
      <c r="E2071" t="s">
        <v>28</v>
      </c>
      <c r="F2071" t="s">
        <v>41</v>
      </c>
      <c r="G2071" t="s">
        <v>19</v>
      </c>
      <c r="H2071">
        <f>Cleaned_Data!K2071</f>
        <v>8.7799999999999994</v>
      </c>
      <c r="I2071" t="str">
        <f t="shared" si="96"/>
        <v>YES</v>
      </c>
      <c r="J2071">
        <f>Cleaned_Data!J2071</f>
        <v>48</v>
      </c>
      <c r="K2071" t="str">
        <f t="shared" si="97"/>
        <v>2024-10</v>
      </c>
      <c r="L2071">
        <f t="shared" si="98"/>
        <v>0</v>
      </c>
    </row>
    <row r="2072" spans="1:12">
      <c r="A2072" t="s">
        <v>6014</v>
      </c>
      <c r="B2072" t="s">
        <v>6015</v>
      </c>
      <c r="C2072" t="s">
        <v>6016</v>
      </c>
      <c r="D2072" t="s">
        <v>23</v>
      </c>
      <c r="E2072" t="s">
        <v>24</v>
      </c>
      <c r="F2072" t="s">
        <v>36</v>
      </c>
      <c r="G2072" t="s">
        <v>19</v>
      </c>
      <c r="H2072">
        <f>Cleaned_Data!K2072</f>
        <v>3.64</v>
      </c>
      <c r="I2072" t="str">
        <f t="shared" si="96"/>
        <v>YES</v>
      </c>
      <c r="J2072">
        <f>Cleaned_Data!J2072</f>
        <v>24</v>
      </c>
      <c r="K2072" t="str">
        <f t="shared" si="97"/>
        <v>2024-05</v>
      </c>
      <c r="L2072">
        <f t="shared" si="98"/>
        <v>0</v>
      </c>
    </row>
    <row r="2073" spans="1:12">
      <c r="A2073" t="s">
        <v>6017</v>
      </c>
      <c r="B2073" t="s">
        <v>6018</v>
      </c>
      <c r="C2073" t="s">
        <v>6019</v>
      </c>
      <c r="D2073" t="s">
        <v>158</v>
      </c>
      <c r="E2073" t="s">
        <v>28</v>
      </c>
      <c r="F2073" t="s">
        <v>17</v>
      </c>
      <c r="G2073" t="s">
        <v>19</v>
      </c>
      <c r="H2073">
        <f>Cleaned_Data!K2073</f>
        <v>0.67</v>
      </c>
      <c r="I2073" t="str">
        <f t="shared" si="96"/>
        <v>YES</v>
      </c>
      <c r="J2073">
        <f>Cleaned_Data!J2073</f>
        <v>4</v>
      </c>
      <c r="K2073" t="str">
        <f t="shared" si="97"/>
        <v>2024-07</v>
      </c>
      <c r="L2073">
        <f t="shared" si="98"/>
        <v>0</v>
      </c>
    </row>
    <row r="2074" spans="1:12">
      <c r="A2074" t="s">
        <v>6020</v>
      </c>
      <c r="B2074" t="s">
        <v>6021</v>
      </c>
      <c r="C2074" t="s">
        <v>6022</v>
      </c>
      <c r="D2074" t="s">
        <v>15</v>
      </c>
      <c r="E2074" t="s">
        <v>59</v>
      </c>
      <c r="F2074" t="s">
        <v>29</v>
      </c>
      <c r="G2074" t="s">
        <v>19</v>
      </c>
      <c r="H2074">
        <f>Cleaned_Data!K2074</f>
        <v>1.99</v>
      </c>
      <c r="I2074" t="str">
        <f t="shared" si="96"/>
        <v>YES</v>
      </c>
      <c r="J2074">
        <f>Cleaned_Data!J2074</f>
        <v>8</v>
      </c>
      <c r="K2074" t="str">
        <f t="shared" si="97"/>
        <v>2024-12</v>
      </c>
      <c r="L2074">
        <f t="shared" si="98"/>
        <v>0</v>
      </c>
    </row>
    <row r="2075" spans="1:12">
      <c r="A2075" t="s">
        <v>6023</v>
      </c>
      <c r="B2075" t="s">
        <v>6024</v>
      </c>
      <c r="C2075" t="s">
        <v>6025</v>
      </c>
      <c r="D2075" t="s">
        <v>158</v>
      </c>
      <c r="E2075" t="s">
        <v>28</v>
      </c>
      <c r="F2075" t="s">
        <v>29</v>
      </c>
      <c r="G2075" t="s">
        <v>31</v>
      </c>
      <c r="H2075">
        <f>Cleaned_Data!K2075</f>
        <v>1.92</v>
      </c>
      <c r="I2075" t="str">
        <f t="shared" si="96"/>
        <v>YES</v>
      </c>
      <c r="J2075">
        <f>Cleaned_Data!J2075</f>
        <v>4</v>
      </c>
      <c r="K2075" t="str">
        <f t="shared" si="97"/>
        <v>2024-01</v>
      </c>
      <c r="L2075">
        <f t="shared" si="98"/>
        <v>0</v>
      </c>
    </row>
    <row r="2076" spans="1:12">
      <c r="A2076" t="s">
        <v>6026</v>
      </c>
      <c r="B2076" t="s">
        <v>6027</v>
      </c>
      <c r="C2076" t="s">
        <v>6028</v>
      </c>
      <c r="D2076" t="s">
        <v>15</v>
      </c>
      <c r="E2076" t="s">
        <v>24</v>
      </c>
      <c r="F2076" t="s">
        <v>36</v>
      </c>
      <c r="G2076" t="s">
        <v>19</v>
      </c>
      <c r="H2076">
        <f>Cleaned_Data!K2076</f>
        <v>5.36</v>
      </c>
      <c r="I2076" t="str">
        <f t="shared" si="96"/>
        <v>YES</v>
      </c>
      <c r="J2076">
        <f>Cleaned_Data!J2076</f>
        <v>8</v>
      </c>
      <c r="K2076" t="str">
        <f t="shared" si="97"/>
        <v>2024-08</v>
      </c>
      <c r="L2076">
        <f t="shared" si="98"/>
        <v>0</v>
      </c>
    </row>
    <row r="2077" spans="1:12">
      <c r="A2077" t="s">
        <v>6029</v>
      </c>
      <c r="B2077" t="s">
        <v>6030</v>
      </c>
      <c r="C2077" t="s">
        <v>6031</v>
      </c>
      <c r="D2077" t="s">
        <v>23</v>
      </c>
      <c r="E2077" t="s">
        <v>24</v>
      </c>
      <c r="F2077" t="s">
        <v>41</v>
      </c>
      <c r="G2077" t="s">
        <v>31</v>
      </c>
      <c r="H2077">
        <f>Cleaned_Data!K2077</f>
        <v>45.64</v>
      </c>
      <c r="I2077" t="str">
        <f t="shared" si="96"/>
        <v>NO</v>
      </c>
      <c r="J2077">
        <f>Cleaned_Data!J2077</f>
        <v>24</v>
      </c>
      <c r="K2077" t="str">
        <f t="shared" si="97"/>
        <v>2024-03</v>
      </c>
      <c r="L2077">
        <f t="shared" si="98"/>
        <v>21.64</v>
      </c>
    </row>
    <row r="2078" spans="1:12">
      <c r="A2078" t="s">
        <v>6032</v>
      </c>
      <c r="B2078" t="s">
        <v>6033</v>
      </c>
      <c r="C2078" t="s">
        <v>6034</v>
      </c>
      <c r="D2078" t="s">
        <v>23</v>
      </c>
      <c r="E2078" t="s">
        <v>28</v>
      </c>
      <c r="F2078" t="s">
        <v>17</v>
      </c>
      <c r="G2078" t="s">
        <v>31</v>
      </c>
      <c r="H2078">
        <f>Cleaned_Data!K2078</f>
        <v>3.57</v>
      </c>
      <c r="I2078" t="str">
        <f t="shared" si="96"/>
        <v>YES</v>
      </c>
      <c r="J2078">
        <f>Cleaned_Data!J2078</f>
        <v>24</v>
      </c>
      <c r="K2078" t="str">
        <f t="shared" si="97"/>
        <v>2024-05</v>
      </c>
      <c r="L2078">
        <f t="shared" si="98"/>
        <v>0</v>
      </c>
    </row>
    <row r="2079" spans="1:12">
      <c r="A2079" t="s">
        <v>6035</v>
      </c>
      <c r="B2079" t="s">
        <v>6036</v>
      </c>
      <c r="C2079" t="s">
        <v>6037</v>
      </c>
      <c r="D2079" t="s">
        <v>23</v>
      </c>
      <c r="E2079" t="s">
        <v>28</v>
      </c>
      <c r="F2079" t="s">
        <v>29</v>
      </c>
      <c r="G2079" t="s">
        <v>31</v>
      </c>
      <c r="H2079">
        <f>Cleaned_Data!K2079</f>
        <v>18.62</v>
      </c>
      <c r="I2079" t="str">
        <f t="shared" si="96"/>
        <v>YES</v>
      </c>
      <c r="J2079">
        <f>Cleaned_Data!J2079</f>
        <v>24</v>
      </c>
      <c r="K2079" t="str">
        <f t="shared" si="97"/>
        <v>2024-06</v>
      </c>
      <c r="L2079">
        <f t="shared" si="98"/>
        <v>0</v>
      </c>
    </row>
    <row r="2080" spans="1:12">
      <c r="A2080" t="s">
        <v>6038</v>
      </c>
      <c r="B2080" t="s">
        <v>6039</v>
      </c>
      <c r="C2080" t="s">
        <v>6040</v>
      </c>
      <c r="D2080" t="s">
        <v>23</v>
      </c>
      <c r="E2080" t="s">
        <v>28</v>
      </c>
      <c r="F2080" t="s">
        <v>29</v>
      </c>
      <c r="G2080" t="s">
        <v>19</v>
      </c>
      <c r="H2080">
        <f>Cleaned_Data!K2080</f>
        <v>14.35</v>
      </c>
      <c r="I2080" t="str">
        <f t="shared" si="96"/>
        <v>YES</v>
      </c>
      <c r="J2080">
        <f>Cleaned_Data!J2080</f>
        <v>24</v>
      </c>
      <c r="K2080" t="str">
        <f t="shared" si="97"/>
        <v>2024-08</v>
      </c>
      <c r="L2080">
        <f t="shared" si="98"/>
        <v>0</v>
      </c>
    </row>
    <row r="2081" spans="1:12">
      <c r="A2081" t="s">
        <v>6041</v>
      </c>
      <c r="B2081" t="s">
        <v>6042</v>
      </c>
      <c r="C2081" t="s">
        <v>6043</v>
      </c>
      <c r="D2081" t="s">
        <v>158</v>
      </c>
      <c r="E2081" t="s">
        <v>16</v>
      </c>
      <c r="F2081" t="s">
        <v>29</v>
      </c>
      <c r="G2081" t="s">
        <v>19</v>
      </c>
      <c r="H2081">
        <f>Cleaned_Data!K2081</f>
        <v>3.79</v>
      </c>
      <c r="I2081" t="str">
        <f t="shared" si="96"/>
        <v>YES</v>
      </c>
      <c r="J2081">
        <f>Cleaned_Data!J2081</f>
        <v>4</v>
      </c>
      <c r="K2081" t="str">
        <f t="shared" si="97"/>
        <v>2024-08</v>
      </c>
      <c r="L2081">
        <f t="shared" si="98"/>
        <v>0</v>
      </c>
    </row>
    <row r="2082" spans="1:12">
      <c r="A2082" t="s">
        <v>6044</v>
      </c>
      <c r="B2082" t="s">
        <v>6045</v>
      </c>
      <c r="C2082" t="s">
        <v>6046</v>
      </c>
      <c r="D2082" t="s">
        <v>15</v>
      </c>
      <c r="E2082" t="s">
        <v>28</v>
      </c>
      <c r="F2082" t="s">
        <v>60</v>
      </c>
      <c r="G2082" t="s">
        <v>19</v>
      </c>
      <c r="H2082">
        <f>Cleaned_Data!K2082</f>
        <v>5.2</v>
      </c>
      <c r="I2082" t="str">
        <f t="shared" si="96"/>
        <v>YES</v>
      </c>
      <c r="J2082">
        <f>Cleaned_Data!J2082</f>
        <v>8</v>
      </c>
      <c r="K2082" t="str">
        <f t="shared" si="97"/>
        <v>2024-10</v>
      </c>
      <c r="L2082">
        <f t="shared" si="98"/>
        <v>0</v>
      </c>
    </row>
    <row r="2083" spans="1:12">
      <c r="A2083" t="s">
        <v>6047</v>
      </c>
      <c r="B2083" t="s">
        <v>6048</v>
      </c>
      <c r="D2083" t="s">
        <v>35</v>
      </c>
      <c r="E2083" t="s">
        <v>28</v>
      </c>
      <c r="F2083" t="s">
        <v>60</v>
      </c>
      <c r="G2083" t="s">
        <v>46</v>
      </c>
      <c r="H2083">
        <f>Cleaned_Data!K2083</f>
        <v>0</v>
      </c>
      <c r="I2083" t="str">
        <f t="shared" si="96"/>
        <v/>
      </c>
      <c r="J2083">
        <f>Cleaned_Data!J2083</f>
        <v>48</v>
      </c>
      <c r="K2083" t="str">
        <f t="shared" si="97"/>
        <v>2024-07</v>
      </c>
      <c r="L2083">
        <f t="shared" si="98"/>
        <v>0</v>
      </c>
    </row>
    <row r="2084" spans="1:12">
      <c r="A2084" t="s">
        <v>6049</v>
      </c>
      <c r="B2084" t="s">
        <v>6050</v>
      </c>
      <c r="C2084" t="s">
        <v>6051</v>
      </c>
      <c r="D2084" t="s">
        <v>15</v>
      </c>
      <c r="E2084" t="s">
        <v>24</v>
      </c>
      <c r="F2084" t="s">
        <v>41</v>
      </c>
      <c r="G2084" t="s">
        <v>19</v>
      </c>
      <c r="H2084">
        <f>Cleaned_Data!K2084</f>
        <v>3.62</v>
      </c>
      <c r="I2084" t="str">
        <f t="shared" si="96"/>
        <v>YES</v>
      </c>
      <c r="J2084">
        <f>Cleaned_Data!J2084</f>
        <v>8</v>
      </c>
      <c r="K2084" t="str">
        <f t="shared" si="97"/>
        <v>2024-09</v>
      </c>
      <c r="L2084">
        <f t="shared" si="98"/>
        <v>0</v>
      </c>
    </row>
    <row r="2085" spans="1:12">
      <c r="A2085" t="s">
        <v>6052</v>
      </c>
      <c r="B2085" t="s">
        <v>6053</v>
      </c>
      <c r="C2085" t="s">
        <v>6054</v>
      </c>
      <c r="D2085" t="s">
        <v>15</v>
      </c>
      <c r="E2085" t="s">
        <v>28</v>
      </c>
      <c r="F2085" t="s">
        <v>41</v>
      </c>
      <c r="G2085" t="s">
        <v>19</v>
      </c>
      <c r="H2085">
        <f>Cleaned_Data!K2085</f>
        <v>7.28</v>
      </c>
      <c r="I2085" t="str">
        <f t="shared" si="96"/>
        <v>YES</v>
      </c>
      <c r="J2085">
        <f>Cleaned_Data!J2085</f>
        <v>8</v>
      </c>
      <c r="K2085" t="str">
        <f t="shared" si="97"/>
        <v>2024-10</v>
      </c>
      <c r="L2085">
        <f t="shared" si="98"/>
        <v>0</v>
      </c>
    </row>
    <row r="2086" spans="1:12">
      <c r="A2086" t="s">
        <v>6055</v>
      </c>
      <c r="B2086" t="s">
        <v>6056</v>
      </c>
      <c r="C2086" t="s">
        <v>6057</v>
      </c>
      <c r="D2086" t="s">
        <v>15</v>
      </c>
      <c r="E2086" t="s">
        <v>28</v>
      </c>
      <c r="F2086" t="s">
        <v>17</v>
      </c>
      <c r="G2086" t="s">
        <v>19</v>
      </c>
      <c r="H2086">
        <f>Cleaned_Data!K2086</f>
        <v>5.48</v>
      </c>
      <c r="I2086" t="str">
        <f t="shared" si="96"/>
        <v>YES</v>
      </c>
      <c r="J2086">
        <f>Cleaned_Data!J2086</f>
        <v>8</v>
      </c>
      <c r="K2086" t="str">
        <f t="shared" si="97"/>
        <v>2024-08</v>
      </c>
      <c r="L2086">
        <f t="shared" si="98"/>
        <v>0</v>
      </c>
    </row>
    <row r="2087" spans="1:12">
      <c r="A2087" t="s">
        <v>6058</v>
      </c>
      <c r="B2087" t="s">
        <v>6059</v>
      </c>
      <c r="C2087" t="s">
        <v>6060</v>
      </c>
      <c r="D2087" t="s">
        <v>23</v>
      </c>
      <c r="E2087" t="s">
        <v>54</v>
      </c>
      <c r="F2087" t="s">
        <v>36</v>
      </c>
      <c r="G2087" t="s">
        <v>19</v>
      </c>
      <c r="H2087">
        <f>Cleaned_Data!K2087</f>
        <v>16.91</v>
      </c>
      <c r="I2087" t="str">
        <f t="shared" si="96"/>
        <v>YES</v>
      </c>
      <c r="J2087">
        <f>Cleaned_Data!J2087</f>
        <v>24</v>
      </c>
      <c r="K2087" t="str">
        <f t="shared" si="97"/>
        <v>2024-08</v>
      </c>
      <c r="L2087">
        <f t="shared" si="98"/>
        <v>0</v>
      </c>
    </row>
    <row r="2088" spans="1:12">
      <c r="A2088" t="s">
        <v>6061</v>
      </c>
      <c r="B2088" t="s">
        <v>6062</v>
      </c>
      <c r="C2088" t="s">
        <v>6063</v>
      </c>
      <c r="D2088" t="s">
        <v>35</v>
      </c>
      <c r="E2088" t="s">
        <v>16</v>
      </c>
      <c r="F2088" t="s">
        <v>17</v>
      </c>
      <c r="G2088" t="s">
        <v>19</v>
      </c>
      <c r="H2088">
        <f>Cleaned_Data!K2088</f>
        <v>23.6</v>
      </c>
      <c r="I2088" t="str">
        <f t="shared" si="96"/>
        <v>YES</v>
      </c>
      <c r="J2088">
        <f>Cleaned_Data!J2088</f>
        <v>48</v>
      </c>
      <c r="K2088" t="str">
        <f t="shared" si="97"/>
        <v>2024-03</v>
      </c>
      <c r="L2088">
        <f t="shared" si="98"/>
        <v>0</v>
      </c>
    </row>
    <row r="2089" spans="1:12">
      <c r="A2089" t="s">
        <v>6064</v>
      </c>
      <c r="B2089" t="s">
        <v>6065</v>
      </c>
      <c r="C2089" t="s">
        <v>6066</v>
      </c>
      <c r="D2089" t="s">
        <v>15</v>
      </c>
      <c r="E2089" t="s">
        <v>24</v>
      </c>
      <c r="F2089" t="s">
        <v>36</v>
      </c>
      <c r="G2089" t="s">
        <v>31</v>
      </c>
      <c r="H2089">
        <f>Cleaned_Data!K2089</f>
        <v>5.09</v>
      </c>
      <c r="I2089" t="str">
        <f t="shared" si="96"/>
        <v>YES</v>
      </c>
      <c r="J2089">
        <f>Cleaned_Data!J2089</f>
        <v>8</v>
      </c>
      <c r="K2089" t="str">
        <f t="shared" si="97"/>
        <v>2024-11</v>
      </c>
      <c r="L2089">
        <f t="shared" si="98"/>
        <v>0</v>
      </c>
    </row>
    <row r="2090" spans="1:12">
      <c r="A2090" t="s">
        <v>6067</v>
      </c>
      <c r="B2090" t="s">
        <v>6068</v>
      </c>
      <c r="C2090" t="s">
        <v>6069</v>
      </c>
      <c r="D2090" t="s">
        <v>158</v>
      </c>
      <c r="E2090" t="s">
        <v>59</v>
      </c>
      <c r="F2090" t="s">
        <v>60</v>
      </c>
      <c r="G2090" t="s">
        <v>19</v>
      </c>
      <c r="H2090">
        <f>Cleaned_Data!K2090</f>
        <v>2.95</v>
      </c>
      <c r="I2090" t="str">
        <f t="shared" si="96"/>
        <v>YES</v>
      </c>
      <c r="J2090">
        <f>Cleaned_Data!J2090</f>
        <v>4</v>
      </c>
      <c r="K2090" t="str">
        <f t="shared" si="97"/>
        <v>2024-04</v>
      </c>
      <c r="L2090">
        <f t="shared" si="98"/>
        <v>0</v>
      </c>
    </row>
    <row r="2091" spans="1:12">
      <c r="A2091" t="s">
        <v>6070</v>
      </c>
      <c r="B2091" t="s">
        <v>6071</v>
      </c>
      <c r="D2091" t="s">
        <v>23</v>
      </c>
      <c r="E2091" t="s">
        <v>59</v>
      </c>
      <c r="F2091" t="s">
        <v>60</v>
      </c>
      <c r="G2091" t="s">
        <v>63</v>
      </c>
      <c r="H2091">
        <f>Cleaned_Data!K2091</f>
        <v>0</v>
      </c>
      <c r="I2091" t="str">
        <f t="shared" si="96"/>
        <v/>
      </c>
      <c r="J2091">
        <f>Cleaned_Data!J2091</f>
        <v>24</v>
      </c>
      <c r="K2091" t="str">
        <f t="shared" si="97"/>
        <v>2024-08</v>
      </c>
      <c r="L2091">
        <f t="shared" si="98"/>
        <v>0</v>
      </c>
    </row>
    <row r="2092" spans="1:12">
      <c r="A2092" t="s">
        <v>6072</v>
      </c>
      <c r="B2092" t="s">
        <v>6073</v>
      </c>
      <c r="C2092" t="s">
        <v>6074</v>
      </c>
      <c r="D2092" t="s">
        <v>15</v>
      </c>
      <c r="E2092" t="s">
        <v>59</v>
      </c>
      <c r="F2092" t="s">
        <v>36</v>
      </c>
      <c r="G2092" t="s">
        <v>31</v>
      </c>
      <c r="H2092">
        <f>Cleaned_Data!K2092</f>
        <v>4.8</v>
      </c>
      <c r="I2092" t="str">
        <f t="shared" si="96"/>
        <v>YES</v>
      </c>
      <c r="J2092">
        <f>Cleaned_Data!J2092</f>
        <v>8</v>
      </c>
      <c r="K2092" t="str">
        <f t="shared" si="97"/>
        <v>2024-12</v>
      </c>
      <c r="L2092">
        <f t="shared" si="98"/>
        <v>0</v>
      </c>
    </row>
    <row r="2093" spans="1:12">
      <c r="A2093" t="s">
        <v>6075</v>
      </c>
      <c r="B2093" t="s">
        <v>6076</v>
      </c>
      <c r="D2093" t="s">
        <v>23</v>
      </c>
      <c r="E2093" t="s">
        <v>16</v>
      </c>
      <c r="F2093" t="s">
        <v>36</v>
      </c>
      <c r="G2093" t="s">
        <v>63</v>
      </c>
      <c r="H2093">
        <f>Cleaned_Data!K2093</f>
        <v>0</v>
      </c>
      <c r="I2093" t="str">
        <f t="shared" si="96"/>
        <v/>
      </c>
      <c r="J2093">
        <f>Cleaned_Data!J2093</f>
        <v>24</v>
      </c>
      <c r="K2093" t="str">
        <f t="shared" si="97"/>
        <v>2024-09</v>
      </c>
      <c r="L2093">
        <f t="shared" si="98"/>
        <v>0</v>
      </c>
    </row>
    <row r="2094" spans="1:12">
      <c r="A2094" t="s">
        <v>6077</v>
      </c>
      <c r="B2094" t="s">
        <v>6078</v>
      </c>
      <c r="C2094" t="s">
        <v>6079</v>
      </c>
      <c r="D2094" t="s">
        <v>15</v>
      </c>
      <c r="E2094" t="s">
        <v>28</v>
      </c>
      <c r="F2094" t="s">
        <v>17</v>
      </c>
      <c r="G2094" t="s">
        <v>19</v>
      </c>
      <c r="H2094">
        <f>Cleaned_Data!K2094</f>
        <v>13.95</v>
      </c>
      <c r="I2094" t="str">
        <f t="shared" si="96"/>
        <v>NO</v>
      </c>
      <c r="J2094">
        <f>Cleaned_Data!J2094</f>
        <v>8</v>
      </c>
      <c r="K2094" t="str">
        <f t="shared" si="97"/>
        <v>2024-12</v>
      </c>
      <c r="L2094">
        <f t="shared" si="98"/>
        <v>5.9499999999999993</v>
      </c>
    </row>
    <row r="2095" spans="1:12">
      <c r="A2095" t="s">
        <v>6080</v>
      </c>
      <c r="B2095" t="s">
        <v>6081</v>
      </c>
      <c r="C2095" t="s">
        <v>6082</v>
      </c>
      <c r="D2095" t="s">
        <v>15</v>
      </c>
      <c r="E2095" t="s">
        <v>28</v>
      </c>
      <c r="F2095" t="s">
        <v>60</v>
      </c>
      <c r="G2095" t="s">
        <v>19</v>
      </c>
      <c r="H2095">
        <f>Cleaned_Data!K2095</f>
        <v>1.97</v>
      </c>
      <c r="I2095" t="str">
        <f t="shared" si="96"/>
        <v>YES</v>
      </c>
      <c r="J2095">
        <f>Cleaned_Data!J2095</f>
        <v>8</v>
      </c>
      <c r="K2095" t="str">
        <f t="shared" si="97"/>
        <v>2024-12</v>
      </c>
      <c r="L2095">
        <f t="shared" si="98"/>
        <v>0</v>
      </c>
    </row>
    <row r="2096" spans="1:12">
      <c r="A2096" t="s">
        <v>6083</v>
      </c>
      <c r="B2096" t="s">
        <v>6084</v>
      </c>
      <c r="C2096" t="s">
        <v>6085</v>
      </c>
      <c r="D2096" t="s">
        <v>23</v>
      </c>
      <c r="E2096" t="s">
        <v>28</v>
      </c>
      <c r="F2096" t="s">
        <v>29</v>
      </c>
      <c r="G2096" t="s">
        <v>31</v>
      </c>
      <c r="H2096">
        <f>Cleaned_Data!K2096</f>
        <v>33.619999999999997</v>
      </c>
      <c r="I2096" t="str">
        <f t="shared" si="96"/>
        <v>NO</v>
      </c>
      <c r="J2096">
        <f>Cleaned_Data!J2096</f>
        <v>24</v>
      </c>
      <c r="K2096" t="str">
        <f t="shared" si="97"/>
        <v>2024-04</v>
      </c>
      <c r="L2096">
        <f t="shared" si="98"/>
        <v>9.6199999999999974</v>
      </c>
    </row>
    <row r="2097" spans="1:12">
      <c r="A2097" t="s">
        <v>6086</v>
      </c>
      <c r="B2097" t="s">
        <v>6087</v>
      </c>
      <c r="C2097" t="s">
        <v>6088</v>
      </c>
      <c r="D2097" t="s">
        <v>158</v>
      </c>
      <c r="E2097" t="s">
        <v>54</v>
      </c>
      <c r="F2097" t="s">
        <v>36</v>
      </c>
      <c r="G2097" t="s">
        <v>31</v>
      </c>
      <c r="H2097">
        <f>Cleaned_Data!K2097</f>
        <v>8.18</v>
      </c>
      <c r="I2097" t="str">
        <f t="shared" si="96"/>
        <v>NO</v>
      </c>
      <c r="J2097">
        <f>Cleaned_Data!J2097</f>
        <v>4</v>
      </c>
      <c r="K2097" t="str">
        <f t="shared" si="97"/>
        <v>2024-08</v>
      </c>
      <c r="L2097">
        <f t="shared" si="98"/>
        <v>4.18</v>
      </c>
    </row>
    <row r="2098" spans="1:12">
      <c r="A2098" t="s">
        <v>6089</v>
      </c>
      <c r="B2098" t="s">
        <v>6090</v>
      </c>
      <c r="C2098" t="s">
        <v>6091</v>
      </c>
      <c r="D2098" t="s">
        <v>23</v>
      </c>
      <c r="E2098" t="s">
        <v>16</v>
      </c>
      <c r="F2098" t="s">
        <v>60</v>
      </c>
      <c r="G2098" t="s">
        <v>19</v>
      </c>
      <c r="H2098">
        <f>Cleaned_Data!K2098</f>
        <v>32.24</v>
      </c>
      <c r="I2098" t="str">
        <f t="shared" si="96"/>
        <v>NO</v>
      </c>
      <c r="J2098">
        <f>Cleaned_Data!J2098</f>
        <v>24</v>
      </c>
      <c r="K2098" t="str">
        <f t="shared" si="97"/>
        <v>2024-11</v>
      </c>
      <c r="L2098">
        <f t="shared" si="98"/>
        <v>8.240000000000002</v>
      </c>
    </row>
    <row r="2099" spans="1:12">
      <c r="A2099" t="s">
        <v>6092</v>
      </c>
      <c r="B2099" t="s">
        <v>6093</v>
      </c>
      <c r="C2099" t="s">
        <v>6094</v>
      </c>
      <c r="D2099" t="s">
        <v>23</v>
      </c>
      <c r="E2099" t="s">
        <v>59</v>
      </c>
      <c r="F2099" t="s">
        <v>41</v>
      </c>
      <c r="G2099" t="s">
        <v>31</v>
      </c>
      <c r="H2099">
        <f>Cleaned_Data!K2099</f>
        <v>14.41</v>
      </c>
      <c r="I2099" t="str">
        <f t="shared" si="96"/>
        <v>YES</v>
      </c>
      <c r="J2099">
        <f>Cleaned_Data!J2099</f>
        <v>24</v>
      </c>
      <c r="K2099" t="str">
        <f t="shared" si="97"/>
        <v>2024-06</v>
      </c>
      <c r="L2099">
        <f t="shared" si="98"/>
        <v>0</v>
      </c>
    </row>
    <row r="2100" spans="1:12">
      <c r="A2100" t="s">
        <v>6095</v>
      </c>
      <c r="B2100" t="s">
        <v>6096</v>
      </c>
      <c r="C2100" t="s">
        <v>6097</v>
      </c>
      <c r="D2100" t="s">
        <v>15</v>
      </c>
      <c r="E2100" t="s">
        <v>16</v>
      </c>
      <c r="F2100" t="s">
        <v>60</v>
      </c>
      <c r="G2100" t="s">
        <v>19</v>
      </c>
      <c r="H2100">
        <f>Cleaned_Data!K2100</f>
        <v>4.16</v>
      </c>
      <c r="I2100" t="str">
        <f t="shared" si="96"/>
        <v>YES</v>
      </c>
      <c r="J2100">
        <f>Cleaned_Data!J2100</f>
        <v>8</v>
      </c>
      <c r="K2100" t="str">
        <f t="shared" si="97"/>
        <v>2024-02</v>
      </c>
      <c r="L2100">
        <f t="shared" si="98"/>
        <v>0</v>
      </c>
    </row>
    <row r="2101" spans="1:12">
      <c r="A2101" t="s">
        <v>6098</v>
      </c>
      <c r="B2101" t="s">
        <v>6099</v>
      </c>
      <c r="C2101" t="s">
        <v>6100</v>
      </c>
      <c r="D2101" t="s">
        <v>15</v>
      </c>
      <c r="E2101" t="s">
        <v>16</v>
      </c>
      <c r="F2101" t="s">
        <v>60</v>
      </c>
      <c r="G2101" t="s">
        <v>19</v>
      </c>
      <c r="H2101">
        <f>Cleaned_Data!K2101</f>
        <v>3.21</v>
      </c>
      <c r="I2101" t="str">
        <f t="shared" si="96"/>
        <v>YES</v>
      </c>
      <c r="J2101">
        <f>Cleaned_Data!J2101</f>
        <v>8</v>
      </c>
      <c r="K2101" t="str">
        <f t="shared" si="97"/>
        <v>2024-04</v>
      </c>
      <c r="L2101">
        <f t="shared" si="98"/>
        <v>0</v>
      </c>
    </row>
    <row r="2102" spans="1:12">
      <c r="A2102" t="s">
        <v>6101</v>
      </c>
      <c r="B2102" t="s">
        <v>6102</v>
      </c>
      <c r="C2102" t="s">
        <v>6103</v>
      </c>
      <c r="D2102" t="s">
        <v>23</v>
      </c>
      <c r="E2102" t="s">
        <v>16</v>
      </c>
      <c r="F2102" t="s">
        <v>41</v>
      </c>
      <c r="G2102" t="s">
        <v>19</v>
      </c>
      <c r="H2102">
        <f>Cleaned_Data!K2102</f>
        <v>14.74</v>
      </c>
      <c r="I2102" t="str">
        <f t="shared" si="96"/>
        <v>YES</v>
      </c>
      <c r="J2102">
        <f>Cleaned_Data!J2102</f>
        <v>24</v>
      </c>
      <c r="K2102" t="str">
        <f t="shared" si="97"/>
        <v>2024-06</v>
      </c>
      <c r="L2102">
        <f t="shared" si="98"/>
        <v>0</v>
      </c>
    </row>
    <row r="2103" spans="1:12">
      <c r="A2103" t="s">
        <v>6104</v>
      </c>
      <c r="B2103" t="s">
        <v>6105</v>
      </c>
      <c r="C2103" t="s">
        <v>6106</v>
      </c>
      <c r="D2103" t="s">
        <v>15</v>
      </c>
      <c r="E2103" t="s">
        <v>54</v>
      </c>
      <c r="F2103" t="s">
        <v>41</v>
      </c>
      <c r="G2103" t="s">
        <v>19</v>
      </c>
      <c r="H2103">
        <f>Cleaned_Data!K2103</f>
        <v>4.96</v>
      </c>
      <c r="I2103" t="str">
        <f t="shared" si="96"/>
        <v>YES</v>
      </c>
      <c r="J2103">
        <f>Cleaned_Data!J2103</f>
        <v>8</v>
      </c>
      <c r="K2103" t="str">
        <f t="shared" si="97"/>
        <v>2024-09</v>
      </c>
      <c r="L2103">
        <f t="shared" si="98"/>
        <v>0</v>
      </c>
    </row>
    <row r="2104" spans="1:12">
      <c r="A2104" t="s">
        <v>6107</v>
      </c>
      <c r="B2104" t="s">
        <v>6108</v>
      </c>
      <c r="C2104" t="s">
        <v>6109</v>
      </c>
      <c r="D2104" t="s">
        <v>23</v>
      </c>
      <c r="E2104" t="s">
        <v>24</v>
      </c>
      <c r="F2104" t="s">
        <v>41</v>
      </c>
      <c r="G2104" t="s">
        <v>19</v>
      </c>
      <c r="H2104">
        <f>Cleaned_Data!K2104</f>
        <v>10.27</v>
      </c>
      <c r="I2104" t="str">
        <f t="shared" si="96"/>
        <v>YES</v>
      </c>
      <c r="J2104">
        <f>Cleaned_Data!J2104</f>
        <v>24</v>
      </c>
      <c r="K2104" t="str">
        <f t="shared" si="97"/>
        <v>2024-06</v>
      </c>
      <c r="L2104">
        <f t="shared" si="98"/>
        <v>0</v>
      </c>
    </row>
    <row r="2105" spans="1:12">
      <c r="A2105" t="s">
        <v>6110</v>
      </c>
      <c r="B2105" t="s">
        <v>6111</v>
      </c>
      <c r="C2105" t="s">
        <v>6112</v>
      </c>
      <c r="D2105" t="s">
        <v>23</v>
      </c>
      <c r="E2105" t="s">
        <v>16</v>
      </c>
      <c r="F2105" t="s">
        <v>41</v>
      </c>
      <c r="G2105" t="s">
        <v>19</v>
      </c>
      <c r="H2105">
        <f>Cleaned_Data!K2105</f>
        <v>12.65</v>
      </c>
      <c r="I2105" t="str">
        <f t="shared" si="96"/>
        <v>YES</v>
      </c>
      <c r="J2105">
        <f>Cleaned_Data!J2105</f>
        <v>24</v>
      </c>
      <c r="K2105" t="str">
        <f t="shared" si="97"/>
        <v>2024-12</v>
      </c>
      <c r="L2105">
        <f t="shared" si="98"/>
        <v>0</v>
      </c>
    </row>
    <row r="2106" spans="1:12">
      <c r="A2106" t="s">
        <v>6113</v>
      </c>
      <c r="B2106" t="s">
        <v>6114</v>
      </c>
      <c r="C2106" t="s">
        <v>6115</v>
      </c>
      <c r="D2106" t="s">
        <v>23</v>
      </c>
      <c r="E2106" t="s">
        <v>16</v>
      </c>
      <c r="F2106" t="s">
        <v>41</v>
      </c>
      <c r="G2106" t="s">
        <v>31</v>
      </c>
      <c r="H2106">
        <f>Cleaned_Data!K2106</f>
        <v>3.24</v>
      </c>
      <c r="I2106" t="str">
        <f t="shared" si="96"/>
        <v>YES</v>
      </c>
      <c r="J2106">
        <f>Cleaned_Data!J2106</f>
        <v>24</v>
      </c>
      <c r="K2106" t="str">
        <f t="shared" si="97"/>
        <v>2024-11</v>
      </c>
      <c r="L2106">
        <f t="shared" si="98"/>
        <v>0</v>
      </c>
    </row>
    <row r="2107" spans="1:12">
      <c r="A2107" t="s">
        <v>6116</v>
      </c>
      <c r="B2107" t="s">
        <v>6117</v>
      </c>
      <c r="C2107" t="s">
        <v>6118</v>
      </c>
      <c r="D2107" t="s">
        <v>23</v>
      </c>
      <c r="E2107" t="s">
        <v>24</v>
      </c>
      <c r="F2107" t="s">
        <v>60</v>
      </c>
      <c r="G2107" t="s">
        <v>31</v>
      </c>
      <c r="H2107">
        <f>Cleaned_Data!K2107</f>
        <v>2.85</v>
      </c>
      <c r="I2107" t="str">
        <f t="shared" si="96"/>
        <v>YES</v>
      </c>
      <c r="J2107">
        <f>Cleaned_Data!J2107</f>
        <v>24</v>
      </c>
      <c r="K2107" t="str">
        <f t="shared" si="97"/>
        <v>2024-04</v>
      </c>
      <c r="L2107">
        <f t="shared" si="98"/>
        <v>0</v>
      </c>
    </row>
    <row r="2108" spans="1:12">
      <c r="A2108" t="s">
        <v>6119</v>
      </c>
      <c r="B2108" t="s">
        <v>6120</v>
      </c>
      <c r="C2108" t="s">
        <v>6121</v>
      </c>
      <c r="D2108" t="s">
        <v>15</v>
      </c>
      <c r="E2108" t="s">
        <v>28</v>
      </c>
      <c r="F2108" t="s">
        <v>36</v>
      </c>
      <c r="G2108" t="s">
        <v>31</v>
      </c>
      <c r="H2108">
        <f>Cleaned_Data!K2108</f>
        <v>12.27</v>
      </c>
      <c r="I2108" t="str">
        <f t="shared" si="96"/>
        <v>NO</v>
      </c>
      <c r="J2108">
        <f>Cleaned_Data!J2108</f>
        <v>8</v>
      </c>
      <c r="K2108" t="str">
        <f t="shared" si="97"/>
        <v>2024-02</v>
      </c>
      <c r="L2108">
        <f t="shared" si="98"/>
        <v>4.2699999999999996</v>
      </c>
    </row>
    <row r="2109" spans="1:12">
      <c r="A2109" t="s">
        <v>6122</v>
      </c>
      <c r="B2109" t="s">
        <v>6123</v>
      </c>
      <c r="C2109" t="s">
        <v>6124</v>
      </c>
      <c r="D2109" t="s">
        <v>23</v>
      </c>
      <c r="E2109" t="s">
        <v>59</v>
      </c>
      <c r="F2109" t="s">
        <v>17</v>
      </c>
      <c r="G2109" t="s">
        <v>19</v>
      </c>
      <c r="H2109">
        <f>Cleaned_Data!K2109</f>
        <v>12.09</v>
      </c>
      <c r="I2109" t="str">
        <f t="shared" si="96"/>
        <v>YES</v>
      </c>
      <c r="J2109">
        <f>Cleaned_Data!J2109</f>
        <v>24</v>
      </c>
      <c r="K2109" t="str">
        <f t="shared" si="97"/>
        <v>2024-08</v>
      </c>
      <c r="L2109">
        <f t="shared" si="98"/>
        <v>0</v>
      </c>
    </row>
    <row r="2110" spans="1:12">
      <c r="A2110" t="s">
        <v>6125</v>
      </c>
      <c r="B2110" t="s">
        <v>6126</v>
      </c>
      <c r="C2110" t="s">
        <v>6127</v>
      </c>
      <c r="D2110" t="s">
        <v>15</v>
      </c>
      <c r="E2110" t="s">
        <v>59</v>
      </c>
      <c r="F2110" t="s">
        <v>36</v>
      </c>
      <c r="G2110" t="s">
        <v>19</v>
      </c>
      <c r="H2110">
        <f>Cleaned_Data!K2110</f>
        <v>3.52</v>
      </c>
      <c r="I2110" t="str">
        <f t="shared" si="96"/>
        <v>YES</v>
      </c>
      <c r="J2110">
        <f>Cleaned_Data!J2110</f>
        <v>8</v>
      </c>
      <c r="K2110" t="str">
        <f t="shared" si="97"/>
        <v>2024-01</v>
      </c>
      <c r="L2110">
        <f t="shared" si="98"/>
        <v>0</v>
      </c>
    </row>
    <row r="2111" spans="1:12">
      <c r="A2111" t="s">
        <v>6128</v>
      </c>
      <c r="B2111" t="s">
        <v>6129</v>
      </c>
      <c r="C2111" t="s">
        <v>6130</v>
      </c>
      <c r="D2111" t="s">
        <v>158</v>
      </c>
      <c r="E2111" t="s">
        <v>24</v>
      </c>
      <c r="F2111" t="s">
        <v>29</v>
      </c>
      <c r="G2111" t="s">
        <v>19</v>
      </c>
      <c r="H2111">
        <f>Cleaned_Data!K2111</f>
        <v>2.5</v>
      </c>
      <c r="I2111" t="str">
        <f t="shared" si="96"/>
        <v>YES</v>
      </c>
      <c r="J2111">
        <f>Cleaned_Data!J2111</f>
        <v>4</v>
      </c>
      <c r="K2111" t="str">
        <f t="shared" si="97"/>
        <v>2024-09</v>
      </c>
      <c r="L2111">
        <f t="shared" si="98"/>
        <v>0</v>
      </c>
    </row>
    <row r="2112" spans="1:12">
      <c r="A2112" t="s">
        <v>6131</v>
      </c>
      <c r="B2112" t="s">
        <v>6132</v>
      </c>
      <c r="C2112" t="s">
        <v>6133</v>
      </c>
      <c r="D2112" t="s">
        <v>158</v>
      </c>
      <c r="E2112" t="s">
        <v>24</v>
      </c>
      <c r="F2112" t="s">
        <v>29</v>
      </c>
      <c r="G2112" t="s">
        <v>19</v>
      </c>
      <c r="H2112">
        <f>Cleaned_Data!K2112</f>
        <v>1.77</v>
      </c>
      <c r="I2112" t="str">
        <f t="shared" si="96"/>
        <v>YES</v>
      </c>
      <c r="J2112">
        <f>Cleaned_Data!J2112</f>
        <v>4</v>
      </c>
      <c r="K2112" t="str">
        <f t="shared" si="97"/>
        <v>2024-09</v>
      </c>
      <c r="L2112">
        <f t="shared" si="98"/>
        <v>0</v>
      </c>
    </row>
    <row r="2113" spans="1:12">
      <c r="A2113" t="s">
        <v>6134</v>
      </c>
      <c r="B2113" t="s">
        <v>6135</v>
      </c>
      <c r="C2113" t="s">
        <v>6136</v>
      </c>
      <c r="D2113" t="s">
        <v>23</v>
      </c>
      <c r="E2113" t="s">
        <v>16</v>
      </c>
      <c r="F2113" t="s">
        <v>36</v>
      </c>
      <c r="G2113" t="s">
        <v>19</v>
      </c>
      <c r="H2113">
        <f>Cleaned_Data!K2113</f>
        <v>13.38</v>
      </c>
      <c r="I2113" t="str">
        <f t="shared" si="96"/>
        <v>YES</v>
      </c>
      <c r="J2113">
        <f>Cleaned_Data!J2113</f>
        <v>24</v>
      </c>
      <c r="K2113" t="str">
        <f t="shared" si="97"/>
        <v>2024-10</v>
      </c>
      <c r="L2113">
        <f t="shared" si="98"/>
        <v>0</v>
      </c>
    </row>
    <row r="2114" spans="1:12">
      <c r="A2114" t="s">
        <v>6137</v>
      </c>
      <c r="B2114" t="s">
        <v>6138</v>
      </c>
      <c r="C2114" t="s">
        <v>6139</v>
      </c>
      <c r="D2114" t="s">
        <v>158</v>
      </c>
      <c r="E2114" t="s">
        <v>28</v>
      </c>
      <c r="F2114" t="s">
        <v>36</v>
      </c>
      <c r="G2114" t="s">
        <v>19</v>
      </c>
      <c r="H2114">
        <f>Cleaned_Data!K2114</f>
        <v>0.73</v>
      </c>
      <c r="I2114" t="str">
        <f t="shared" ref="I2114:I2177" si="99">IF(OR(G2114="Resolved", G2114="Closed"), IF(AND(H2114&lt;&gt;"", H2114&lt;=J2114), "YES", "NO"), "")</f>
        <v>YES</v>
      </c>
      <c r="J2114">
        <f>Cleaned_Data!J2114</f>
        <v>4</v>
      </c>
      <c r="K2114" t="str">
        <f t="shared" ref="K2114:K2177" si="100">LEFT(B2114, 7)</f>
        <v>2024-09</v>
      </c>
      <c r="L2114">
        <f t="shared" ref="L2114:L2177" si="101">IF(I2114="NO", H2114-J2114, 0)</f>
        <v>0</v>
      </c>
    </row>
    <row r="2115" spans="1:12">
      <c r="A2115" t="s">
        <v>6140</v>
      </c>
      <c r="B2115" t="s">
        <v>6141</v>
      </c>
      <c r="C2115" t="s">
        <v>6142</v>
      </c>
      <c r="D2115" t="s">
        <v>23</v>
      </c>
      <c r="E2115" t="s">
        <v>16</v>
      </c>
      <c r="F2115" t="s">
        <v>36</v>
      </c>
      <c r="G2115" t="s">
        <v>31</v>
      </c>
      <c r="H2115">
        <f>Cleaned_Data!K2115</f>
        <v>21.15</v>
      </c>
      <c r="I2115" t="str">
        <f t="shared" si="99"/>
        <v>YES</v>
      </c>
      <c r="J2115">
        <f>Cleaned_Data!J2115</f>
        <v>24</v>
      </c>
      <c r="K2115" t="str">
        <f t="shared" si="100"/>
        <v>2024-04</v>
      </c>
      <c r="L2115">
        <f t="shared" si="101"/>
        <v>0</v>
      </c>
    </row>
    <row r="2116" spans="1:12">
      <c r="A2116" t="s">
        <v>6143</v>
      </c>
      <c r="B2116" t="s">
        <v>6144</v>
      </c>
      <c r="C2116" t="s">
        <v>6145</v>
      </c>
      <c r="D2116" t="s">
        <v>23</v>
      </c>
      <c r="E2116" t="s">
        <v>54</v>
      </c>
      <c r="F2116" t="s">
        <v>60</v>
      </c>
      <c r="G2116" t="s">
        <v>31</v>
      </c>
      <c r="H2116">
        <f>Cleaned_Data!K2116</f>
        <v>22.3</v>
      </c>
      <c r="I2116" t="str">
        <f t="shared" si="99"/>
        <v>YES</v>
      </c>
      <c r="J2116">
        <f>Cleaned_Data!J2116</f>
        <v>24</v>
      </c>
      <c r="K2116" t="str">
        <f t="shared" si="100"/>
        <v>2024-04</v>
      </c>
      <c r="L2116">
        <f t="shared" si="101"/>
        <v>0</v>
      </c>
    </row>
    <row r="2117" spans="1:12">
      <c r="A2117" t="s">
        <v>6146</v>
      </c>
      <c r="B2117" t="s">
        <v>6147</v>
      </c>
      <c r="C2117" t="s">
        <v>6148</v>
      </c>
      <c r="D2117" t="s">
        <v>23</v>
      </c>
      <c r="E2117" t="s">
        <v>28</v>
      </c>
      <c r="F2117" t="s">
        <v>60</v>
      </c>
      <c r="G2117" t="s">
        <v>31</v>
      </c>
      <c r="H2117">
        <f>Cleaned_Data!K2117</f>
        <v>20.079999999999998</v>
      </c>
      <c r="I2117" t="str">
        <f t="shared" si="99"/>
        <v>YES</v>
      </c>
      <c r="J2117">
        <f>Cleaned_Data!J2117</f>
        <v>24</v>
      </c>
      <c r="K2117" t="str">
        <f t="shared" si="100"/>
        <v>2024-08</v>
      </c>
      <c r="L2117">
        <f t="shared" si="101"/>
        <v>0</v>
      </c>
    </row>
    <row r="2118" spans="1:12">
      <c r="A2118" t="s">
        <v>6149</v>
      </c>
      <c r="B2118" t="s">
        <v>6150</v>
      </c>
      <c r="C2118" t="s">
        <v>6151</v>
      </c>
      <c r="D2118" t="s">
        <v>15</v>
      </c>
      <c r="E2118" t="s">
        <v>28</v>
      </c>
      <c r="F2118" t="s">
        <v>36</v>
      </c>
      <c r="G2118" t="s">
        <v>19</v>
      </c>
      <c r="H2118">
        <f>Cleaned_Data!K2118</f>
        <v>4.87</v>
      </c>
      <c r="I2118" t="str">
        <f t="shared" si="99"/>
        <v>YES</v>
      </c>
      <c r="J2118">
        <f>Cleaned_Data!J2118</f>
        <v>8</v>
      </c>
      <c r="K2118" t="str">
        <f t="shared" si="100"/>
        <v>2024-08</v>
      </c>
      <c r="L2118">
        <f t="shared" si="101"/>
        <v>0</v>
      </c>
    </row>
    <row r="2119" spans="1:12">
      <c r="A2119" t="s">
        <v>6152</v>
      </c>
      <c r="B2119" t="s">
        <v>6153</v>
      </c>
      <c r="C2119" t="s">
        <v>6154</v>
      </c>
      <c r="D2119" t="s">
        <v>23</v>
      </c>
      <c r="E2119" t="s">
        <v>28</v>
      </c>
      <c r="F2119" t="s">
        <v>29</v>
      </c>
      <c r="G2119" t="s">
        <v>31</v>
      </c>
      <c r="H2119">
        <f>Cleaned_Data!K2119</f>
        <v>16.57</v>
      </c>
      <c r="I2119" t="str">
        <f t="shared" si="99"/>
        <v>YES</v>
      </c>
      <c r="J2119">
        <f>Cleaned_Data!J2119</f>
        <v>24</v>
      </c>
      <c r="K2119" t="str">
        <f t="shared" si="100"/>
        <v>2024-11</v>
      </c>
      <c r="L2119">
        <f t="shared" si="101"/>
        <v>0</v>
      </c>
    </row>
    <row r="2120" spans="1:12">
      <c r="A2120" t="s">
        <v>6155</v>
      </c>
      <c r="B2120" t="s">
        <v>6156</v>
      </c>
      <c r="C2120" t="s">
        <v>6157</v>
      </c>
      <c r="D2120" t="s">
        <v>23</v>
      </c>
      <c r="E2120" t="s">
        <v>28</v>
      </c>
      <c r="F2120" t="s">
        <v>36</v>
      </c>
      <c r="G2120" t="s">
        <v>31</v>
      </c>
      <c r="H2120">
        <f>Cleaned_Data!K2120</f>
        <v>18.13</v>
      </c>
      <c r="I2120" t="str">
        <f t="shared" si="99"/>
        <v>YES</v>
      </c>
      <c r="J2120">
        <f>Cleaned_Data!J2120</f>
        <v>24</v>
      </c>
      <c r="K2120" t="str">
        <f t="shared" si="100"/>
        <v>2024-01</v>
      </c>
      <c r="L2120">
        <f t="shared" si="101"/>
        <v>0</v>
      </c>
    </row>
    <row r="2121" spans="1:12">
      <c r="A2121" t="s">
        <v>6158</v>
      </c>
      <c r="B2121" t="s">
        <v>6159</v>
      </c>
      <c r="C2121" t="s">
        <v>6160</v>
      </c>
      <c r="D2121" t="s">
        <v>23</v>
      </c>
      <c r="E2121" t="s">
        <v>28</v>
      </c>
      <c r="F2121" t="s">
        <v>17</v>
      </c>
      <c r="G2121" t="s">
        <v>19</v>
      </c>
      <c r="H2121">
        <f>Cleaned_Data!K2121</f>
        <v>10</v>
      </c>
      <c r="I2121" t="str">
        <f t="shared" si="99"/>
        <v>YES</v>
      </c>
      <c r="J2121">
        <f>Cleaned_Data!J2121</f>
        <v>24</v>
      </c>
      <c r="K2121" t="str">
        <f t="shared" si="100"/>
        <v>2024-03</v>
      </c>
      <c r="L2121">
        <f t="shared" si="101"/>
        <v>0</v>
      </c>
    </row>
    <row r="2122" spans="1:12">
      <c r="A2122" t="s">
        <v>6161</v>
      </c>
      <c r="B2122" t="s">
        <v>6162</v>
      </c>
      <c r="C2122" t="s">
        <v>6163</v>
      </c>
      <c r="D2122" t="s">
        <v>158</v>
      </c>
      <c r="E2122" t="s">
        <v>24</v>
      </c>
      <c r="F2122" t="s">
        <v>60</v>
      </c>
      <c r="G2122" t="s">
        <v>31</v>
      </c>
      <c r="H2122">
        <f>Cleaned_Data!K2122</f>
        <v>3.7</v>
      </c>
      <c r="I2122" t="str">
        <f t="shared" si="99"/>
        <v>YES</v>
      </c>
      <c r="J2122">
        <f>Cleaned_Data!J2122</f>
        <v>4</v>
      </c>
      <c r="K2122" t="str">
        <f t="shared" si="100"/>
        <v>2024-07</v>
      </c>
      <c r="L2122">
        <f t="shared" si="101"/>
        <v>0</v>
      </c>
    </row>
    <row r="2123" spans="1:12">
      <c r="A2123" t="s">
        <v>6164</v>
      </c>
      <c r="B2123" t="s">
        <v>6165</v>
      </c>
      <c r="C2123" t="s">
        <v>6166</v>
      </c>
      <c r="D2123" t="s">
        <v>15</v>
      </c>
      <c r="E2123" t="s">
        <v>28</v>
      </c>
      <c r="F2123" t="s">
        <v>41</v>
      </c>
      <c r="G2123" t="s">
        <v>31</v>
      </c>
      <c r="H2123">
        <f>Cleaned_Data!K2123</f>
        <v>5.84</v>
      </c>
      <c r="I2123" t="str">
        <f t="shared" si="99"/>
        <v>YES</v>
      </c>
      <c r="J2123">
        <f>Cleaned_Data!J2123</f>
        <v>8</v>
      </c>
      <c r="K2123" t="str">
        <f t="shared" si="100"/>
        <v>2024-01</v>
      </c>
      <c r="L2123">
        <f t="shared" si="101"/>
        <v>0</v>
      </c>
    </row>
    <row r="2124" spans="1:12">
      <c r="A2124" t="s">
        <v>6167</v>
      </c>
      <c r="B2124" t="s">
        <v>6168</v>
      </c>
      <c r="C2124" t="s">
        <v>6169</v>
      </c>
      <c r="D2124" t="s">
        <v>23</v>
      </c>
      <c r="E2124" t="s">
        <v>28</v>
      </c>
      <c r="F2124" t="s">
        <v>29</v>
      </c>
      <c r="G2124" t="s">
        <v>19</v>
      </c>
      <c r="H2124">
        <f>Cleaned_Data!K2124</f>
        <v>18.53</v>
      </c>
      <c r="I2124" t="str">
        <f t="shared" si="99"/>
        <v>YES</v>
      </c>
      <c r="J2124">
        <f>Cleaned_Data!J2124</f>
        <v>24</v>
      </c>
      <c r="K2124" t="str">
        <f t="shared" si="100"/>
        <v>2024-06</v>
      </c>
      <c r="L2124">
        <f t="shared" si="101"/>
        <v>0</v>
      </c>
    </row>
    <row r="2125" spans="1:12">
      <c r="A2125" t="s">
        <v>6170</v>
      </c>
      <c r="B2125" t="s">
        <v>6171</v>
      </c>
      <c r="C2125" t="s">
        <v>6172</v>
      </c>
      <c r="D2125" t="s">
        <v>35</v>
      </c>
      <c r="E2125" t="s">
        <v>59</v>
      </c>
      <c r="F2125" t="s">
        <v>41</v>
      </c>
      <c r="G2125" t="s">
        <v>19</v>
      </c>
      <c r="H2125">
        <f>Cleaned_Data!K2125</f>
        <v>23.19</v>
      </c>
      <c r="I2125" t="str">
        <f t="shared" si="99"/>
        <v>YES</v>
      </c>
      <c r="J2125">
        <f>Cleaned_Data!J2125</f>
        <v>48</v>
      </c>
      <c r="K2125" t="str">
        <f t="shared" si="100"/>
        <v>2024-06</v>
      </c>
      <c r="L2125">
        <f t="shared" si="101"/>
        <v>0</v>
      </c>
    </row>
    <row r="2126" spans="1:12">
      <c r="A2126" t="s">
        <v>6173</v>
      </c>
      <c r="B2126" t="s">
        <v>6174</v>
      </c>
      <c r="C2126" t="s">
        <v>6175</v>
      </c>
      <c r="D2126" t="s">
        <v>15</v>
      </c>
      <c r="E2126" t="s">
        <v>28</v>
      </c>
      <c r="F2126" t="s">
        <v>60</v>
      </c>
      <c r="G2126" t="s">
        <v>19</v>
      </c>
      <c r="H2126">
        <f>Cleaned_Data!K2126</f>
        <v>6.63</v>
      </c>
      <c r="I2126" t="str">
        <f t="shared" si="99"/>
        <v>YES</v>
      </c>
      <c r="J2126">
        <f>Cleaned_Data!J2126</f>
        <v>8</v>
      </c>
      <c r="K2126" t="str">
        <f t="shared" si="100"/>
        <v>2024-10</v>
      </c>
      <c r="L2126">
        <f t="shared" si="101"/>
        <v>0</v>
      </c>
    </row>
    <row r="2127" spans="1:12">
      <c r="A2127" t="s">
        <v>6176</v>
      </c>
      <c r="B2127" t="s">
        <v>6177</v>
      </c>
      <c r="C2127" t="s">
        <v>6178</v>
      </c>
      <c r="D2127" t="s">
        <v>23</v>
      </c>
      <c r="E2127" t="s">
        <v>28</v>
      </c>
      <c r="F2127" t="s">
        <v>17</v>
      </c>
      <c r="G2127" t="s">
        <v>19</v>
      </c>
      <c r="H2127">
        <f>Cleaned_Data!K2127</f>
        <v>16.690000000000001</v>
      </c>
      <c r="I2127" t="str">
        <f t="shared" si="99"/>
        <v>YES</v>
      </c>
      <c r="J2127">
        <f>Cleaned_Data!J2127</f>
        <v>24</v>
      </c>
      <c r="K2127" t="str">
        <f t="shared" si="100"/>
        <v>2024-11</v>
      </c>
      <c r="L2127">
        <f t="shared" si="101"/>
        <v>0</v>
      </c>
    </row>
    <row r="2128" spans="1:12">
      <c r="A2128" t="s">
        <v>6179</v>
      </c>
      <c r="B2128" t="s">
        <v>6180</v>
      </c>
      <c r="D2128" t="s">
        <v>23</v>
      </c>
      <c r="E2128" t="s">
        <v>54</v>
      </c>
      <c r="F2128" t="s">
        <v>29</v>
      </c>
      <c r="G2128" t="s">
        <v>63</v>
      </c>
      <c r="H2128">
        <f>Cleaned_Data!K2128</f>
        <v>0</v>
      </c>
      <c r="I2128" t="str">
        <f t="shared" si="99"/>
        <v/>
      </c>
      <c r="J2128">
        <f>Cleaned_Data!J2128</f>
        <v>24</v>
      </c>
      <c r="K2128" t="str">
        <f t="shared" si="100"/>
        <v>2024-06</v>
      </c>
      <c r="L2128">
        <f t="shared" si="101"/>
        <v>0</v>
      </c>
    </row>
    <row r="2129" spans="1:12">
      <c r="A2129" t="s">
        <v>6181</v>
      </c>
      <c r="B2129" t="s">
        <v>6182</v>
      </c>
      <c r="C2129" t="s">
        <v>6183</v>
      </c>
      <c r="D2129" t="s">
        <v>23</v>
      </c>
      <c r="E2129" t="s">
        <v>54</v>
      </c>
      <c r="F2129" t="s">
        <v>17</v>
      </c>
      <c r="G2129" t="s">
        <v>19</v>
      </c>
      <c r="H2129">
        <f>Cleaned_Data!K2129</f>
        <v>6.09</v>
      </c>
      <c r="I2129" t="str">
        <f t="shared" si="99"/>
        <v>YES</v>
      </c>
      <c r="J2129">
        <f>Cleaned_Data!J2129</f>
        <v>24</v>
      </c>
      <c r="K2129" t="str">
        <f t="shared" si="100"/>
        <v>2024-01</v>
      </c>
      <c r="L2129">
        <f t="shared" si="101"/>
        <v>0</v>
      </c>
    </row>
    <row r="2130" spans="1:12">
      <c r="A2130" t="s">
        <v>6184</v>
      </c>
      <c r="B2130" t="s">
        <v>6185</v>
      </c>
      <c r="C2130" t="s">
        <v>6186</v>
      </c>
      <c r="D2130" t="s">
        <v>23</v>
      </c>
      <c r="E2130" t="s">
        <v>16</v>
      </c>
      <c r="F2130" t="s">
        <v>41</v>
      </c>
      <c r="G2130" t="s">
        <v>19</v>
      </c>
      <c r="H2130">
        <f>Cleaned_Data!K2130</f>
        <v>14.91</v>
      </c>
      <c r="I2130" t="str">
        <f t="shared" si="99"/>
        <v>YES</v>
      </c>
      <c r="J2130">
        <f>Cleaned_Data!J2130</f>
        <v>24</v>
      </c>
      <c r="K2130" t="str">
        <f t="shared" si="100"/>
        <v>2024-06</v>
      </c>
      <c r="L2130">
        <f t="shared" si="101"/>
        <v>0</v>
      </c>
    </row>
    <row r="2131" spans="1:12">
      <c r="A2131" t="s">
        <v>6187</v>
      </c>
      <c r="B2131" t="s">
        <v>6188</v>
      </c>
      <c r="C2131" t="s">
        <v>6189</v>
      </c>
      <c r="D2131" t="s">
        <v>158</v>
      </c>
      <c r="E2131" t="s">
        <v>28</v>
      </c>
      <c r="F2131" t="s">
        <v>36</v>
      </c>
      <c r="G2131" t="s">
        <v>19</v>
      </c>
      <c r="H2131">
        <f>Cleaned_Data!K2131</f>
        <v>8.1300000000000008</v>
      </c>
      <c r="I2131" t="str">
        <f t="shared" si="99"/>
        <v>NO</v>
      </c>
      <c r="J2131">
        <f>Cleaned_Data!J2131</f>
        <v>4</v>
      </c>
      <c r="K2131" t="str">
        <f t="shared" si="100"/>
        <v>2024-02</v>
      </c>
      <c r="L2131">
        <f t="shared" si="101"/>
        <v>4.1300000000000008</v>
      </c>
    </row>
    <row r="2132" spans="1:12">
      <c r="A2132" t="s">
        <v>6190</v>
      </c>
      <c r="B2132" t="s">
        <v>6191</v>
      </c>
      <c r="C2132" t="s">
        <v>6192</v>
      </c>
      <c r="D2132" t="s">
        <v>23</v>
      </c>
      <c r="E2132" t="s">
        <v>54</v>
      </c>
      <c r="F2132" t="s">
        <v>36</v>
      </c>
      <c r="G2132" t="s">
        <v>31</v>
      </c>
      <c r="H2132">
        <f>Cleaned_Data!K2132</f>
        <v>25.9</v>
      </c>
      <c r="I2132" t="str">
        <f t="shared" si="99"/>
        <v>NO</v>
      </c>
      <c r="J2132">
        <f>Cleaned_Data!J2132</f>
        <v>24</v>
      </c>
      <c r="K2132" t="str">
        <f t="shared" si="100"/>
        <v>2024-07</v>
      </c>
      <c r="L2132">
        <f t="shared" si="101"/>
        <v>1.8999999999999986</v>
      </c>
    </row>
    <row r="2133" spans="1:12">
      <c r="A2133" t="s">
        <v>6193</v>
      </c>
      <c r="B2133" t="s">
        <v>6194</v>
      </c>
      <c r="C2133" t="s">
        <v>6195</v>
      </c>
      <c r="D2133" t="s">
        <v>35</v>
      </c>
      <c r="E2133" t="s">
        <v>28</v>
      </c>
      <c r="F2133" t="s">
        <v>41</v>
      </c>
      <c r="G2133" t="s">
        <v>19</v>
      </c>
      <c r="H2133">
        <f>Cleaned_Data!K2133</f>
        <v>66.58</v>
      </c>
      <c r="I2133" t="str">
        <f t="shared" si="99"/>
        <v>NO</v>
      </c>
      <c r="J2133">
        <f>Cleaned_Data!J2133</f>
        <v>48</v>
      </c>
      <c r="K2133" t="str">
        <f t="shared" si="100"/>
        <v>2024-07</v>
      </c>
      <c r="L2133">
        <f t="shared" si="101"/>
        <v>18.579999999999998</v>
      </c>
    </row>
    <row r="2134" spans="1:12">
      <c r="A2134" t="s">
        <v>6196</v>
      </c>
      <c r="B2134" t="s">
        <v>6197</v>
      </c>
      <c r="C2134" t="s">
        <v>6198</v>
      </c>
      <c r="D2134" t="s">
        <v>23</v>
      </c>
      <c r="E2134" t="s">
        <v>16</v>
      </c>
      <c r="F2134" t="s">
        <v>36</v>
      </c>
      <c r="G2134" t="s">
        <v>19</v>
      </c>
      <c r="H2134">
        <f>Cleaned_Data!K2134</f>
        <v>44.32</v>
      </c>
      <c r="I2134" t="str">
        <f t="shared" si="99"/>
        <v>NO</v>
      </c>
      <c r="J2134">
        <f>Cleaned_Data!J2134</f>
        <v>24</v>
      </c>
      <c r="K2134" t="str">
        <f t="shared" si="100"/>
        <v>2024-05</v>
      </c>
      <c r="L2134">
        <f t="shared" si="101"/>
        <v>20.32</v>
      </c>
    </row>
    <row r="2135" spans="1:12">
      <c r="A2135" t="s">
        <v>6199</v>
      </c>
      <c r="B2135" t="s">
        <v>6200</v>
      </c>
      <c r="C2135" t="s">
        <v>6201</v>
      </c>
      <c r="D2135" t="s">
        <v>23</v>
      </c>
      <c r="E2135" t="s">
        <v>28</v>
      </c>
      <c r="F2135" t="s">
        <v>17</v>
      </c>
      <c r="G2135" t="s">
        <v>19</v>
      </c>
      <c r="H2135">
        <f>Cleaned_Data!K2135</f>
        <v>6.56</v>
      </c>
      <c r="I2135" t="str">
        <f t="shared" si="99"/>
        <v>YES</v>
      </c>
      <c r="J2135">
        <f>Cleaned_Data!J2135</f>
        <v>24</v>
      </c>
      <c r="K2135" t="str">
        <f t="shared" si="100"/>
        <v>2024-03</v>
      </c>
      <c r="L2135">
        <f t="shared" si="101"/>
        <v>0</v>
      </c>
    </row>
    <row r="2136" spans="1:12">
      <c r="A2136" t="s">
        <v>6202</v>
      </c>
      <c r="B2136" t="s">
        <v>6203</v>
      </c>
      <c r="C2136" t="s">
        <v>6204</v>
      </c>
      <c r="D2136" t="s">
        <v>23</v>
      </c>
      <c r="E2136" t="s">
        <v>28</v>
      </c>
      <c r="F2136" t="s">
        <v>17</v>
      </c>
      <c r="G2136" t="s">
        <v>19</v>
      </c>
      <c r="H2136">
        <f>Cleaned_Data!K2136</f>
        <v>10.27</v>
      </c>
      <c r="I2136" t="str">
        <f t="shared" si="99"/>
        <v>YES</v>
      </c>
      <c r="J2136">
        <f>Cleaned_Data!J2136</f>
        <v>24</v>
      </c>
      <c r="K2136" t="str">
        <f t="shared" si="100"/>
        <v>2024-10</v>
      </c>
      <c r="L2136">
        <f t="shared" si="101"/>
        <v>0</v>
      </c>
    </row>
    <row r="2137" spans="1:12">
      <c r="A2137" t="s">
        <v>6205</v>
      </c>
      <c r="B2137" t="s">
        <v>6206</v>
      </c>
      <c r="D2137" t="s">
        <v>23</v>
      </c>
      <c r="E2137" t="s">
        <v>28</v>
      </c>
      <c r="F2137" t="s">
        <v>17</v>
      </c>
      <c r="G2137" t="s">
        <v>46</v>
      </c>
      <c r="H2137">
        <f>Cleaned_Data!K2137</f>
        <v>0</v>
      </c>
      <c r="I2137" t="str">
        <f t="shared" si="99"/>
        <v/>
      </c>
      <c r="J2137">
        <f>Cleaned_Data!J2137</f>
        <v>24</v>
      </c>
      <c r="K2137" t="str">
        <f t="shared" si="100"/>
        <v>2024-01</v>
      </c>
      <c r="L2137">
        <f t="shared" si="101"/>
        <v>0</v>
      </c>
    </row>
    <row r="2138" spans="1:12">
      <c r="A2138" t="s">
        <v>6207</v>
      </c>
      <c r="B2138" t="s">
        <v>6208</v>
      </c>
      <c r="C2138" t="s">
        <v>6209</v>
      </c>
      <c r="D2138" t="s">
        <v>15</v>
      </c>
      <c r="E2138" t="s">
        <v>24</v>
      </c>
      <c r="F2138" t="s">
        <v>60</v>
      </c>
      <c r="G2138" t="s">
        <v>31</v>
      </c>
      <c r="H2138">
        <f>Cleaned_Data!K2138</f>
        <v>6.77</v>
      </c>
      <c r="I2138" t="str">
        <f t="shared" si="99"/>
        <v>YES</v>
      </c>
      <c r="J2138">
        <f>Cleaned_Data!J2138</f>
        <v>8</v>
      </c>
      <c r="K2138" t="str">
        <f t="shared" si="100"/>
        <v>2024-07</v>
      </c>
      <c r="L2138">
        <f t="shared" si="101"/>
        <v>0</v>
      </c>
    </row>
    <row r="2139" spans="1:12">
      <c r="A2139" t="s">
        <v>6210</v>
      </c>
      <c r="B2139" t="s">
        <v>6211</v>
      </c>
      <c r="D2139" t="s">
        <v>35</v>
      </c>
      <c r="E2139" t="s">
        <v>28</v>
      </c>
      <c r="F2139" t="s">
        <v>36</v>
      </c>
      <c r="G2139" t="s">
        <v>63</v>
      </c>
      <c r="H2139">
        <f>Cleaned_Data!K2139</f>
        <v>0</v>
      </c>
      <c r="I2139" t="str">
        <f t="shared" si="99"/>
        <v/>
      </c>
      <c r="J2139">
        <f>Cleaned_Data!J2139</f>
        <v>48</v>
      </c>
      <c r="K2139" t="str">
        <f t="shared" si="100"/>
        <v>2024-10</v>
      </c>
      <c r="L2139">
        <f t="shared" si="101"/>
        <v>0</v>
      </c>
    </row>
    <row r="2140" spans="1:12">
      <c r="A2140" t="s">
        <v>6212</v>
      </c>
      <c r="B2140" t="s">
        <v>6213</v>
      </c>
      <c r="C2140" t="s">
        <v>6214</v>
      </c>
      <c r="D2140" t="s">
        <v>15</v>
      </c>
      <c r="E2140" t="s">
        <v>24</v>
      </c>
      <c r="F2140" t="s">
        <v>41</v>
      </c>
      <c r="G2140" t="s">
        <v>31</v>
      </c>
      <c r="H2140">
        <f>Cleaned_Data!K2140</f>
        <v>21.59</v>
      </c>
      <c r="I2140" t="str">
        <f t="shared" si="99"/>
        <v>NO</v>
      </c>
      <c r="J2140">
        <f>Cleaned_Data!J2140</f>
        <v>8</v>
      </c>
      <c r="K2140" t="str">
        <f t="shared" si="100"/>
        <v>2024-04</v>
      </c>
      <c r="L2140">
        <f t="shared" si="101"/>
        <v>13.59</v>
      </c>
    </row>
    <row r="2141" spans="1:12">
      <c r="A2141" t="s">
        <v>6215</v>
      </c>
      <c r="B2141" t="s">
        <v>6216</v>
      </c>
      <c r="C2141" t="s">
        <v>6217</v>
      </c>
      <c r="D2141" t="s">
        <v>35</v>
      </c>
      <c r="E2141" t="s">
        <v>24</v>
      </c>
      <c r="F2141" t="s">
        <v>41</v>
      </c>
      <c r="G2141" t="s">
        <v>31</v>
      </c>
      <c r="H2141">
        <f>Cleaned_Data!K2141</f>
        <v>34.85</v>
      </c>
      <c r="I2141" t="str">
        <f t="shared" si="99"/>
        <v>YES</v>
      </c>
      <c r="J2141">
        <f>Cleaned_Data!J2141</f>
        <v>48</v>
      </c>
      <c r="K2141" t="str">
        <f t="shared" si="100"/>
        <v>2024-02</v>
      </c>
      <c r="L2141">
        <f t="shared" si="101"/>
        <v>0</v>
      </c>
    </row>
    <row r="2142" spans="1:12">
      <c r="A2142" t="s">
        <v>6218</v>
      </c>
      <c r="B2142" t="s">
        <v>6219</v>
      </c>
      <c r="C2142" t="s">
        <v>6220</v>
      </c>
      <c r="D2142" t="s">
        <v>35</v>
      </c>
      <c r="E2142" t="s">
        <v>16</v>
      </c>
      <c r="F2142" t="s">
        <v>36</v>
      </c>
      <c r="G2142" t="s">
        <v>19</v>
      </c>
      <c r="H2142">
        <f>Cleaned_Data!K2142</f>
        <v>35.979999999999997</v>
      </c>
      <c r="I2142" t="str">
        <f t="shared" si="99"/>
        <v>YES</v>
      </c>
      <c r="J2142">
        <f>Cleaned_Data!J2142</f>
        <v>48</v>
      </c>
      <c r="K2142" t="str">
        <f t="shared" si="100"/>
        <v>2024-09</v>
      </c>
      <c r="L2142">
        <f t="shared" si="101"/>
        <v>0</v>
      </c>
    </row>
    <row r="2143" spans="1:12">
      <c r="A2143" t="s">
        <v>6221</v>
      </c>
      <c r="B2143" t="s">
        <v>6222</v>
      </c>
      <c r="C2143" t="s">
        <v>6223</v>
      </c>
      <c r="D2143" t="s">
        <v>23</v>
      </c>
      <c r="E2143" t="s">
        <v>54</v>
      </c>
      <c r="F2143" t="s">
        <v>17</v>
      </c>
      <c r="G2143" t="s">
        <v>19</v>
      </c>
      <c r="H2143">
        <f>Cleaned_Data!K2143</f>
        <v>19.39</v>
      </c>
      <c r="I2143" t="str">
        <f t="shared" si="99"/>
        <v>YES</v>
      </c>
      <c r="J2143">
        <f>Cleaned_Data!J2143</f>
        <v>24</v>
      </c>
      <c r="K2143" t="str">
        <f t="shared" si="100"/>
        <v>2024-04</v>
      </c>
      <c r="L2143">
        <f t="shared" si="101"/>
        <v>0</v>
      </c>
    </row>
    <row r="2144" spans="1:12">
      <c r="A2144" t="s">
        <v>6224</v>
      </c>
      <c r="B2144" t="s">
        <v>6225</v>
      </c>
      <c r="C2144" t="s">
        <v>6226</v>
      </c>
      <c r="D2144" t="s">
        <v>15</v>
      </c>
      <c r="E2144" t="s">
        <v>24</v>
      </c>
      <c r="F2144" t="s">
        <v>41</v>
      </c>
      <c r="G2144" t="s">
        <v>31</v>
      </c>
      <c r="H2144">
        <f>Cleaned_Data!K2144</f>
        <v>1.21</v>
      </c>
      <c r="I2144" t="str">
        <f t="shared" si="99"/>
        <v>YES</v>
      </c>
      <c r="J2144">
        <f>Cleaned_Data!J2144</f>
        <v>8</v>
      </c>
      <c r="K2144" t="str">
        <f t="shared" si="100"/>
        <v>2024-09</v>
      </c>
      <c r="L2144">
        <f t="shared" si="101"/>
        <v>0</v>
      </c>
    </row>
    <row r="2145" spans="1:12">
      <c r="A2145" t="s">
        <v>6227</v>
      </c>
      <c r="B2145" t="s">
        <v>6228</v>
      </c>
      <c r="C2145" t="s">
        <v>6229</v>
      </c>
      <c r="D2145" t="s">
        <v>23</v>
      </c>
      <c r="E2145" t="s">
        <v>59</v>
      </c>
      <c r="F2145" t="s">
        <v>36</v>
      </c>
      <c r="G2145" t="s">
        <v>19</v>
      </c>
      <c r="H2145">
        <f>Cleaned_Data!K2145</f>
        <v>3.08</v>
      </c>
      <c r="I2145" t="str">
        <f t="shared" si="99"/>
        <v>YES</v>
      </c>
      <c r="J2145">
        <f>Cleaned_Data!J2145</f>
        <v>24</v>
      </c>
      <c r="K2145" t="str">
        <f t="shared" si="100"/>
        <v>2024-08</v>
      </c>
      <c r="L2145">
        <f t="shared" si="101"/>
        <v>0</v>
      </c>
    </row>
    <row r="2146" spans="1:12">
      <c r="A2146" t="s">
        <v>6230</v>
      </c>
      <c r="B2146" t="s">
        <v>6231</v>
      </c>
      <c r="C2146" t="s">
        <v>6232</v>
      </c>
      <c r="D2146" t="s">
        <v>35</v>
      </c>
      <c r="E2146" t="s">
        <v>28</v>
      </c>
      <c r="F2146" t="s">
        <v>60</v>
      </c>
      <c r="G2146" t="s">
        <v>31</v>
      </c>
      <c r="H2146">
        <f>Cleaned_Data!K2146</f>
        <v>41.27</v>
      </c>
      <c r="I2146" t="str">
        <f t="shared" si="99"/>
        <v>YES</v>
      </c>
      <c r="J2146">
        <f>Cleaned_Data!J2146</f>
        <v>48</v>
      </c>
      <c r="K2146" t="str">
        <f t="shared" si="100"/>
        <v>2024-11</v>
      </c>
      <c r="L2146">
        <f t="shared" si="101"/>
        <v>0</v>
      </c>
    </row>
    <row r="2147" spans="1:12">
      <c r="A2147" t="s">
        <v>6233</v>
      </c>
      <c r="B2147" t="s">
        <v>6234</v>
      </c>
      <c r="C2147" t="s">
        <v>6235</v>
      </c>
      <c r="D2147" t="s">
        <v>35</v>
      </c>
      <c r="E2147" t="s">
        <v>24</v>
      </c>
      <c r="F2147" t="s">
        <v>36</v>
      </c>
      <c r="G2147" t="s">
        <v>19</v>
      </c>
      <c r="H2147">
        <f>Cleaned_Data!K2147</f>
        <v>91.63</v>
      </c>
      <c r="I2147" t="str">
        <f t="shared" si="99"/>
        <v>NO</v>
      </c>
      <c r="J2147">
        <f>Cleaned_Data!J2147</f>
        <v>48</v>
      </c>
      <c r="K2147" t="str">
        <f t="shared" si="100"/>
        <v>2024-03</v>
      </c>
      <c r="L2147">
        <f t="shared" si="101"/>
        <v>43.629999999999995</v>
      </c>
    </row>
    <row r="2148" spans="1:12">
      <c r="A2148" t="s">
        <v>6236</v>
      </c>
      <c r="B2148" t="s">
        <v>6237</v>
      </c>
      <c r="C2148" t="s">
        <v>6238</v>
      </c>
      <c r="D2148" t="s">
        <v>35</v>
      </c>
      <c r="E2148" t="s">
        <v>16</v>
      </c>
      <c r="F2148" t="s">
        <v>29</v>
      </c>
      <c r="G2148" t="s">
        <v>19</v>
      </c>
      <c r="H2148">
        <f>Cleaned_Data!K2148</f>
        <v>32.14</v>
      </c>
      <c r="I2148" t="str">
        <f t="shared" si="99"/>
        <v>YES</v>
      </c>
      <c r="J2148">
        <f>Cleaned_Data!J2148</f>
        <v>48</v>
      </c>
      <c r="K2148" t="str">
        <f t="shared" si="100"/>
        <v>2024-07</v>
      </c>
      <c r="L2148">
        <f t="shared" si="101"/>
        <v>0</v>
      </c>
    </row>
    <row r="2149" spans="1:12">
      <c r="A2149" t="s">
        <v>6239</v>
      </c>
      <c r="B2149" t="s">
        <v>6240</v>
      </c>
      <c r="C2149" t="s">
        <v>6241</v>
      </c>
      <c r="D2149" t="s">
        <v>23</v>
      </c>
      <c r="E2149" t="s">
        <v>16</v>
      </c>
      <c r="F2149" t="s">
        <v>17</v>
      </c>
      <c r="G2149" t="s">
        <v>31</v>
      </c>
      <c r="H2149">
        <f>Cleaned_Data!K2149</f>
        <v>12.09</v>
      </c>
      <c r="I2149" t="str">
        <f t="shared" si="99"/>
        <v>YES</v>
      </c>
      <c r="J2149">
        <f>Cleaned_Data!J2149</f>
        <v>24</v>
      </c>
      <c r="K2149" t="str">
        <f t="shared" si="100"/>
        <v>2024-04</v>
      </c>
      <c r="L2149">
        <f t="shared" si="101"/>
        <v>0</v>
      </c>
    </row>
    <row r="2150" spans="1:12">
      <c r="A2150" t="s">
        <v>6242</v>
      </c>
      <c r="B2150" t="s">
        <v>6243</v>
      </c>
      <c r="C2150" t="s">
        <v>6244</v>
      </c>
      <c r="D2150" t="s">
        <v>23</v>
      </c>
      <c r="E2150" t="s">
        <v>54</v>
      </c>
      <c r="F2150" t="s">
        <v>36</v>
      </c>
      <c r="G2150" t="s">
        <v>31</v>
      </c>
      <c r="H2150">
        <f>Cleaned_Data!K2150</f>
        <v>18.73</v>
      </c>
      <c r="I2150" t="str">
        <f t="shared" si="99"/>
        <v>YES</v>
      </c>
      <c r="J2150">
        <f>Cleaned_Data!J2150</f>
        <v>24</v>
      </c>
      <c r="K2150" t="str">
        <f t="shared" si="100"/>
        <v>2024-06</v>
      </c>
      <c r="L2150">
        <f t="shared" si="101"/>
        <v>0</v>
      </c>
    </row>
    <row r="2151" spans="1:12">
      <c r="A2151" t="s">
        <v>6245</v>
      </c>
      <c r="B2151" t="s">
        <v>6246</v>
      </c>
      <c r="D2151" t="s">
        <v>23</v>
      </c>
      <c r="E2151" t="s">
        <v>24</v>
      </c>
      <c r="F2151" t="s">
        <v>60</v>
      </c>
      <c r="G2151" t="s">
        <v>46</v>
      </c>
      <c r="H2151">
        <f>Cleaned_Data!K2151</f>
        <v>0</v>
      </c>
      <c r="I2151" t="str">
        <f t="shared" si="99"/>
        <v/>
      </c>
      <c r="J2151">
        <f>Cleaned_Data!J2151</f>
        <v>24</v>
      </c>
      <c r="K2151" t="str">
        <f t="shared" si="100"/>
        <v>2024-04</v>
      </c>
      <c r="L2151">
        <f t="shared" si="101"/>
        <v>0</v>
      </c>
    </row>
    <row r="2152" spans="1:12">
      <c r="A2152" t="s">
        <v>6247</v>
      </c>
      <c r="B2152" t="s">
        <v>6248</v>
      </c>
      <c r="C2152" t="s">
        <v>6249</v>
      </c>
      <c r="D2152" t="s">
        <v>23</v>
      </c>
      <c r="E2152" t="s">
        <v>16</v>
      </c>
      <c r="F2152" t="s">
        <v>41</v>
      </c>
      <c r="G2152" t="s">
        <v>31</v>
      </c>
      <c r="H2152">
        <f>Cleaned_Data!K2152</f>
        <v>14.36</v>
      </c>
      <c r="I2152" t="str">
        <f t="shared" si="99"/>
        <v>YES</v>
      </c>
      <c r="J2152">
        <f>Cleaned_Data!J2152</f>
        <v>24</v>
      </c>
      <c r="K2152" t="str">
        <f t="shared" si="100"/>
        <v>2024-07</v>
      </c>
      <c r="L2152">
        <f t="shared" si="101"/>
        <v>0</v>
      </c>
    </row>
    <row r="2153" spans="1:12">
      <c r="A2153" t="s">
        <v>6250</v>
      </c>
      <c r="B2153" t="s">
        <v>6251</v>
      </c>
      <c r="C2153" t="s">
        <v>6252</v>
      </c>
      <c r="D2153" t="s">
        <v>35</v>
      </c>
      <c r="E2153" t="s">
        <v>16</v>
      </c>
      <c r="F2153" t="s">
        <v>60</v>
      </c>
      <c r="G2153" t="s">
        <v>19</v>
      </c>
      <c r="H2153">
        <f>Cleaned_Data!K2153</f>
        <v>95.44</v>
      </c>
      <c r="I2153" t="str">
        <f t="shared" si="99"/>
        <v>NO</v>
      </c>
      <c r="J2153">
        <f>Cleaned_Data!J2153</f>
        <v>48</v>
      </c>
      <c r="K2153" t="str">
        <f t="shared" si="100"/>
        <v>2024-03</v>
      </c>
      <c r="L2153">
        <f t="shared" si="101"/>
        <v>47.44</v>
      </c>
    </row>
    <row r="2154" spans="1:12">
      <c r="A2154" t="s">
        <v>6253</v>
      </c>
      <c r="B2154" t="s">
        <v>6254</v>
      </c>
      <c r="C2154" t="s">
        <v>6255</v>
      </c>
      <c r="D2154" t="s">
        <v>23</v>
      </c>
      <c r="E2154" t="s">
        <v>28</v>
      </c>
      <c r="F2154" t="s">
        <v>41</v>
      </c>
      <c r="G2154" t="s">
        <v>19</v>
      </c>
      <c r="H2154">
        <f>Cleaned_Data!K2154</f>
        <v>3.14</v>
      </c>
      <c r="I2154" t="str">
        <f t="shared" si="99"/>
        <v>YES</v>
      </c>
      <c r="J2154">
        <f>Cleaned_Data!J2154</f>
        <v>24</v>
      </c>
      <c r="K2154" t="str">
        <f t="shared" si="100"/>
        <v>2024-11</v>
      </c>
      <c r="L2154">
        <f t="shared" si="101"/>
        <v>0</v>
      </c>
    </row>
    <row r="2155" spans="1:12">
      <c r="A2155" t="s">
        <v>6256</v>
      </c>
      <c r="B2155" t="s">
        <v>6257</v>
      </c>
      <c r="C2155" t="s">
        <v>6258</v>
      </c>
      <c r="D2155" t="s">
        <v>35</v>
      </c>
      <c r="E2155" t="s">
        <v>28</v>
      </c>
      <c r="F2155" t="s">
        <v>41</v>
      </c>
      <c r="G2155" t="s">
        <v>19</v>
      </c>
      <c r="H2155">
        <f>Cleaned_Data!K2155</f>
        <v>41.71</v>
      </c>
      <c r="I2155" t="str">
        <f t="shared" si="99"/>
        <v>YES</v>
      </c>
      <c r="J2155">
        <f>Cleaned_Data!J2155</f>
        <v>48</v>
      </c>
      <c r="K2155" t="str">
        <f t="shared" si="100"/>
        <v>2024-10</v>
      </c>
      <c r="L2155">
        <f t="shared" si="101"/>
        <v>0</v>
      </c>
    </row>
    <row r="2156" spans="1:12">
      <c r="A2156" t="s">
        <v>6259</v>
      </c>
      <c r="B2156" t="s">
        <v>6260</v>
      </c>
      <c r="C2156" t="s">
        <v>6261</v>
      </c>
      <c r="D2156" t="s">
        <v>15</v>
      </c>
      <c r="E2156" t="s">
        <v>28</v>
      </c>
      <c r="F2156" t="s">
        <v>60</v>
      </c>
      <c r="G2156" t="s">
        <v>19</v>
      </c>
      <c r="H2156">
        <f>Cleaned_Data!K2156</f>
        <v>1.83</v>
      </c>
      <c r="I2156" t="str">
        <f t="shared" si="99"/>
        <v>YES</v>
      </c>
      <c r="J2156">
        <f>Cleaned_Data!J2156</f>
        <v>8</v>
      </c>
      <c r="K2156" t="str">
        <f t="shared" si="100"/>
        <v>2024-09</v>
      </c>
      <c r="L2156">
        <f t="shared" si="101"/>
        <v>0</v>
      </c>
    </row>
    <row r="2157" spans="1:12">
      <c r="A2157" t="s">
        <v>6262</v>
      </c>
      <c r="B2157" t="s">
        <v>6263</v>
      </c>
      <c r="D2157" t="s">
        <v>23</v>
      </c>
      <c r="E2157" t="s">
        <v>28</v>
      </c>
      <c r="F2157" t="s">
        <v>41</v>
      </c>
      <c r="G2157" t="s">
        <v>63</v>
      </c>
      <c r="H2157">
        <f>Cleaned_Data!K2157</f>
        <v>0</v>
      </c>
      <c r="I2157" t="str">
        <f t="shared" si="99"/>
        <v/>
      </c>
      <c r="J2157">
        <f>Cleaned_Data!J2157</f>
        <v>24</v>
      </c>
      <c r="K2157" t="str">
        <f t="shared" si="100"/>
        <v>2024-09</v>
      </c>
      <c r="L2157">
        <f t="shared" si="101"/>
        <v>0</v>
      </c>
    </row>
    <row r="2158" spans="1:12">
      <c r="A2158" t="s">
        <v>6264</v>
      </c>
      <c r="B2158" t="s">
        <v>6265</v>
      </c>
      <c r="C2158" t="s">
        <v>6266</v>
      </c>
      <c r="D2158" t="s">
        <v>15</v>
      </c>
      <c r="E2158" t="s">
        <v>24</v>
      </c>
      <c r="F2158" t="s">
        <v>60</v>
      </c>
      <c r="G2158" t="s">
        <v>31</v>
      </c>
      <c r="H2158">
        <f>Cleaned_Data!K2158</f>
        <v>2.2400000000000002</v>
      </c>
      <c r="I2158" t="str">
        <f t="shared" si="99"/>
        <v>YES</v>
      </c>
      <c r="J2158">
        <f>Cleaned_Data!J2158</f>
        <v>8</v>
      </c>
      <c r="K2158" t="str">
        <f t="shared" si="100"/>
        <v>2024-08</v>
      </c>
      <c r="L2158">
        <f t="shared" si="101"/>
        <v>0</v>
      </c>
    </row>
    <row r="2159" spans="1:12">
      <c r="A2159" t="s">
        <v>6267</v>
      </c>
      <c r="B2159" t="s">
        <v>6268</v>
      </c>
      <c r="C2159" t="s">
        <v>6269</v>
      </c>
      <c r="D2159" t="s">
        <v>35</v>
      </c>
      <c r="E2159" t="s">
        <v>24</v>
      </c>
      <c r="F2159" t="s">
        <v>17</v>
      </c>
      <c r="G2159" t="s">
        <v>31</v>
      </c>
      <c r="H2159">
        <f>Cleaned_Data!K2159</f>
        <v>33.020000000000003</v>
      </c>
      <c r="I2159" t="str">
        <f t="shared" si="99"/>
        <v>YES</v>
      </c>
      <c r="J2159">
        <f>Cleaned_Data!J2159</f>
        <v>48</v>
      </c>
      <c r="K2159" t="str">
        <f t="shared" si="100"/>
        <v>2024-01</v>
      </c>
      <c r="L2159">
        <f t="shared" si="101"/>
        <v>0</v>
      </c>
    </row>
    <row r="2160" spans="1:12">
      <c r="A2160" t="s">
        <v>6270</v>
      </c>
      <c r="B2160" t="s">
        <v>6271</v>
      </c>
      <c r="C2160" t="s">
        <v>6272</v>
      </c>
      <c r="D2160" t="s">
        <v>23</v>
      </c>
      <c r="E2160" t="s">
        <v>24</v>
      </c>
      <c r="F2160" t="s">
        <v>36</v>
      </c>
      <c r="G2160" t="s">
        <v>31</v>
      </c>
      <c r="H2160">
        <f>Cleaned_Data!K2160</f>
        <v>20.100000000000001</v>
      </c>
      <c r="I2160" t="str">
        <f t="shared" si="99"/>
        <v>YES</v>
      </c>
      <c r="J2160">
        <f>Cleaned_Data!J2160</f>
        <v>24</v>
      </c>
      <c r="K2160" t="str">
        <f t="shared" si="100"/>
        <v>2024-06</v>
      </c>
      <c r="L2160">
        <f t="shared" si="101"/>
        <v>0</v>
      </c>
    </row>
    <row r="2161" spans="1:12">
      <c r="A2161" t="s">
        <v>6273</v>
      </c>
      <c r="B2161" t="s">
        <v>6274</v>
      </c>
      <c r="C2161" t="s">
        <v>6275</v>
      </c>
      <c r="D2161" t="s">
        <v>23</v>
      </c>
      <c r="E2161" t="s">
        <v>28</v>
      </c>
      <c r="F2161" t="s">
        <v>36</v>
      </c>
      <c r="G2161" t="s">
        <v>19</v>
      </c>
      <c r="H2161">
        <f>Cleaned_Data!K2161</f>
        <v>10</v>
      </c>
      <c r="I2161" t="str">
        <f t="shared" si="99"/>
        <v>YES</v>
      </c>
      <c r="J2161">
        <f>Cleaned_Data!J2161</f>
        <v>24</v>
      </c>
      <c r="K2161" t="str">
        <f t="shared" si="100"/>
        <v>2024-09</v>
      </c>
      <c r="L2161">
        <f t="shared" si="101"/>
        <v>0</v>
      </c>
    </row>
    <row r="2162" spans="1:12">
      <c r="A2162" t="s">
        <v>6276</v>
      </c>
      <c r="B2162" t="s">
        <v>6277</v>
      </c>
      <c r="D2162" t="s">
        <v>158</v>
      </c>
      <c r="E2162" t="s">
        <v>16</v>
      </c>
      <c r="F2162" t="s">
        <v>60</v>
      </c>
      <c r="G2162" t="s">
        <v>63</v>
      </c>
      <c r="H2162">
        <f>Cleaned_Data!K2162</f>
        <v>0</v>
      </c>
      <c r="I2162" t="str">
        <f t="shared" si="99"/>
        <v/>
      </c>
      <c r="J2162">
        <f>Cleaned_Data!J2162</f>
        <v>4</v>
      </c>
      <c r="K2162" t="str">
        <f t="shared" si="100"/>
        <v>2024-04</v>
      </c>
      <c r="L2162">
        <f t="shared" si="101"/>
        <v>0</v>
      </c>
    </row>
    <row r="2163" spans="1:12">
      <c r="A2163" t="s">
        <v>6278</v>
      </c>
      <c r="B2163" t="s">
        <v>6279</v>
      </c>
      <c r="C2163" t="s">
        <v>6280</v>
      </c>
      <c r="D2163" t="s">
        <v>15</v>
      </c>
      <c r="E2163" t="s">
        <v>59</v>
      </c>
      <c r="F2163" t="s">
        <v>60</v>
      </c>
      <c r="G2163" t="s">
        <v>31</v>
      </c>
      <c r="H2163">
        <f>Cleaned_Data!K2163</f>
        <v>2.68</v>
      </c>
      <c r="I2163" t="str">
        <f t="shared" si="99"/>
        <v>YES</v>
      </c>
      <c r="J2163">
        <f>Cleaned_Data!J2163</f>
        <v>8</v>
      </c>
      <c r="K2163" t="str">
        <f t="shared" si="100"/>
        <v>2024-09</v>
      </c>
      <c r="L2163">
        <f t="shared" si="101"/>
        <v>0</v>
      </c>
    </row>
    <row r="2164" spans="1:12">
      <c r="A2164" t="s">
        <v>6281</v>
      </c>
      <c r="B2164" t="s">
        <v>6282</v>
      </c>
      <c r="C2164" t="s">
        <v>6283</v>
      </c>
      <c r="D2164" t="s">
        <v>35</v>
      </c>
      <c r="E2164" t="s">
        <v>54</v>
      </c>
      <c r="F2164" t="s">
        <v>17</v>
      </c>
      <c r="G2164" t="s">
        <v>19</v>
      </c>
      <c r="H2164">
        <f>Cleaned_Data!K2164</f>
        <v>105.5</v>
      </c>
      <c r="I2164" t="str">
        <f t="shared" si="99"/>
        <v>NO</v>
      </c>
      <c r="J2164">
        <f>Cleaned_Data!J2164</f>
        <v>48</v>
      </c>
      <c r="K2164" t="str">
        <f t="shared" si="100"/>
        <v>2024-10</v>
      </c>
      <c r="L2164">
        <f t="shared" si="101"/>
        <v>57.5</v>
      </c>
    </row>
    <row r="2165" spans="1:12">
      <c r="A2165" t="s">
        <v>6284</v>
      </c>
      <c r="B2165" t="s">
        <v>6285</v>
      </c>
      <c r="C2165" t="s">
        <v>6286</v>
      </c>
      <c r="D2165" t="s">
        <v>158</v>
      </c>
      <c r="E2165" t="s">
        <v>24</v>
      </c>
      <c r="F2165" t="s">
        <v>36</v>
      </c>
      <c r="G2165" t="s">
        <v>31</v>
      </c>
      <c r="H2165">
        <f>Cleaned_Data!K2165</f>
        <v>1.02</v>
      </c>
      <c r="I2165" t="str">
        <f t="shared" si="99"/>
        <v>YES</v>
      </c>
      <c r="J2165">
        <f>Cleaned_Data!J2165</f>
        <v>4</v>
      </c>
      <c r="K2165" t="str">
        <f t="shared" si="100"/>
        <v>2024-11</v>
      </c>
      <c r="L2165">
        <f t="shared" si="101"/>
        <v>0</v>
      </c>
    </row>
    <row r="2166" spans="1:12">
      <c r="A2166" t="s">
        <v>6287</v>
      </c>
      <c r="B2166" t="s">
        <v>6288</v>
      </c>
      <c r="C2166" t="s">
        <v>6289</v>
      </c>
      <c r="D2166" t="s">
        <v>15</v>
      </c>
      <c r="E2166" t="s">
        <v>28</v>
      </c>
      <c r="F2166" t="s">
        <v>60</v>
      </c>
      <c r="G2166" t="s">
        <v>19</v>
      </c>
      <c r="H2166">
        <f>Cleaned_Data!K2166</f>
        <v>0.93</v>
      </c>
      <c r="I2166" t="str">
        <f t="shared" si="99"/>
        <v>YES</v>
      </c>
      <c r="J2166">
        <f>Cleaned_Data!J2166</f>
        <v>8</v>
      </c>
      <c r="K2166" t="str">
        <f t="shared" si="100"/>
        <v>2024-11</v>
      </c>
      <c r="L2166">
        <f t="shared" si="101"/>
        <v>0</v>
      </c>
    </row>
    <row r="2167" spans="1:12">
      <c r="A2167" t="s">
        <v>6290</v>
      </c>
      <c r="B2167" t="s">
        <v>6291</v>
      </c>
      <c r="C2167" t="s">
        <v>6292</v>
      </c>
      <c r="D2167" t="s">
        <v>23</v>
      </c>
      <c r="E2167" t="s">
        <v>16</v>
      </c>
      <c r="F2167" t="s">
        <v>41</v>
      </c>
      <c r="G2167" t="s">
        <v>19</v>
      </c>
      <c r="H2167">
        <f>Cleaned_Data!K2167</f>
        <v>20.86</v>
      </c>
      <c r="I2167" t="str">
        <f t="shared" si="99"/>
        <v>YES</v>
      </c>
      <c r="J2167">
        <f>Cleaned_Data!J2167</f>
        <v>24</v>
      </c>
      <c r="K2167" t="str">
        <f t="shared" si="100"/>
        <v>2024-06</v>
      </c>
      <c r="L2167">
        <f t="shared" si="101"/>
        <v>0</v>
      </c>
    </row>
    <row r="2168" spans="1:12">
      <c r="A2168" t="s">
        <v>6293</v>
      </c>
      <c r="B2168" t="s">
        <v>6294</v>
      </c>
      <c r="C2168" t="s">
        <v>6295</v>
      </c>
      <c r="D2168" t="s">
        <v>15</v>
      </c>
      <c r="E2168" t="s">
        <v>24</v>
      </c>
      <c r="F2168" t="s">
        <v>36</v>
      </c>
      <c r="G2168" t="s">
        <v>31</v>
      </c>
      <c r="H2168">
        <f>Cleaned_Data!K2168</f>
        <v>11.91</v>
      </c>
      <c r="I2168" t="str">
        <f t="shared" si="99"/>
        <v>NO</v>
      </c>
      <c r="J2168">
        <f>Cleaned_Data!J2168</f>
        <v>8</v>
      </c>
      <c r="K2168" t="str">
        <f t="shared" si="100"/>
        <v>2024-05</v>
      </c>
      <c r="L2168">
        <f t="shared" si="101"/>
        <v>3.91</v>
      </c>
    </row>
    <row r="2169" spans="1:12">
      <c r="A2169" t="s">
        <v>6296</v>
      </c>
      <c r="B2169" t="s">
        <v>6297</v>
      </c>
      <c r="C2169" t="s">
        <v>6298</v>
      </c>
      <c r="D2169" t="s">
        <v>23</v>
      </c>
      <c r="E2169" t="s">
        <v>28</v>
      </c>
      <c r="F2169" t="s">
        <v>41</v>
      </c>
      <c r="G2169" t="s">
        <v>31</v>
      </c>
      <c r="H2169">
        <f>Cleaned_Data!K2169</f>
        <v>37.78</v>
      </c>
      <c r="I2169" t="str">
        <f t="shared" si="99"/>
        <v>NO</v>
      </c>
      <c r="J2169">
        <f>Cleaned_Data!J2169</f>
        <v>24</v>
      </c>
      <c r="K2169" t="str">
        <f t="shared" si="100"/>
        <v>2024-11</v>
      </c>
      <c r="L2169">
        <f t="shared" si="101"/>
        <v>13.780000000000001</v>
      </c>
    </row>
    <row r="2170" spans="1:12">
      <c r="A2170" t="s">
        <v>6299</v>
      </c>
      <c r="B2170" t="s">
        <v>6300</v>
      </c>
      <c r="D2170" t="s">
        <v>23</v>
      </c>
      <c r="E2170" t="s">
        <v>24</v>
      </c>
      <c r="F2170" t="s">
        <v>60</v>
      </c>
      <c r="G2170" t="s">
        <v>63</v>
      </c>
      <c r="H2170">
        <f>Cleaned_Data!K2170</f>
        <v>0</v>
      </c>
      <c r="I2170" t="str">
        <f t="shared" si="99"/>
        <v/>
      </c>
      <c r="J2170">
        <f>Cleaned_Data!J2170</f>
        <v>24</v>
      </c>
      <c r="K2170" t="str">
        <f t="shared" si="100"/>
        <v>2024-01</v>
      </c>
      <c r="L2170">
        <f t="shared" si="101"/>
        <v>0</v>
      </c>
    </row>
    <row r="2171" spans="1:12">
      <c r="A2171" t="s">
        <v>6301</v>
      </c>
      <c r="B2171" t="s">
        <v>6302</v>
      </c>
      <c r="C2171" t="s">
        <v>6303</v>
      </c>
      <c r="D2171" t="s">
        <v>23</v>
      </c>
      <c r="E2171" t="s">
        <v>54</v>
      </c>
      <c r="F2171" t="s">
        <v>41</v>
      </c>
      <c r="G2171" t="s">
        <v>19</v>
      </c>
      <c r="H2171">
        <f>Cleaned_Data!K2171</f>
        <v>2.71</v>
      </c>
      <c r="I2171" t="str">
        <f t="shared" si="99"/>
        <v>YES</v>
      </c>
      <c r="J2171">
        <f>Cleaned_Data!J2171</f>
        <v>24</v>
      </c>
      <c r="K2171" t="str">
        <f t="shared" si="100"/>
        <v>2024-07</v>
      </c>
      <c r="L2171">
        <f t="shared" si="101"/>
        <v>0</v>
      </c>
    </row>
    <row r="2172" spans="1:12">
      <c r="A2172" t="s">
        <v>6304</v>
      </c>
      <c r="B2172" t="s">
        <v>6305</v>
      </c>
      <c r="C2172" t="s">
        <v>6306</v>
      </c>
      <c r="D2172" t="s">
        <v>23</v>
      </c>
      <c r="E2172" t="s">
        <v>28</v>
      </c>
      <c r="F2172" t="s">
        <v>60</v>
      </c>
      <c r="G2172" t="s">
        <v>19</v>
      </c>
      <c r="H2172">
        <f>Cleaned_Data!K2172</f>
        <v>56.11</v>
      </c>
      <c r="I2172" t="str">
        <f t="shared" si="99"/>
        <v>NO</v>
      </c>
      <c r="J2172">
        <f>Cleaned_Data!J2172</f>
        <v>24</v>
      </c>
      <c r="K2172" t="str">
        <f t="shared" si="100"/>
        <v>2024-06</v>
      </c>
      <c r="L2172">
        <f t="shared" si="101"/>
        <v>32.11</v>
      </c>
    </row>
    <row r="2173" spans="1:12">
      <c r="A2173" t="s">
        <v>6307</v>
      </c>
      <c r="B2173" t="s">
        <v>6308</v>
      </c>
      <c r="C2173" t="s">
        <v>6309</v>
      </c>
      <c r="D2173" t="s">
        <v>158</v>
      </c>
      <c r="E2173" t="s">
        <v>24</v>
      </c>
      <c r="F2173" t="s">
        <v>60</v>
      </c>
      <c r="G2173" t="s">
        <v>19</v>
      </c>
      <c r="H2173">
        <f>Cleaned_Data!K2173</f>
        <v>0.66</v>
      </c>
      <c r="I2173" t="str">
        <f t="shared" si="99"/>
        <v>YES</v>
      </c>
      <c r="J2173">
        <f>Cleaned_Data!J2173</f>
        <v>4</v>
      </c>
      <c r="K2173" t="str">
        <f t="shared" si="100"/>
        <v>2024-08</v>
      </c>
      <c r="L2173">
        <f t="shared" si="101"/>
        <v>0</v>
      </c>
    </row>
    <row r="2174" spans="1:12">
      <c r="A2174" t="s">
        <v>6310</v>
      </c>
      <c r="B2174" t="s">
        <v>6311</v>
      </c>
      <c r="D2174" t="s">
        <v>158</v>
      </c>
      <c r="E2174" t="s">
        <v>54</v>
      </c>
      <c r="F2174" t="s">
        <v>17</v>
      </c>
      <c r="G2174" t="s">
        <v>63</v>
      </c>
      <c r="H2174">
        <f>Cleaned_Data!K2174</f>
        <v>0</v>
      </c>
      <c r="I2174" t="str">
        <f t="shared" si="99"/>
        <v/>
      </c>
      <c r="J2174">
        <f>Cleaned_Data!J2174</f>
        <v>4</v>
      </c>
      <c r="K2174" t="str">
        <f t="shared" si="100"/>
        <v>2024-05</v>
      </c>
      <c r="L2174">
        <f t="shared" si="101"/>
        <v>0</v>
      </c>
    </row>
    <row r="2175" spans="1:12">
      <c r="A2175" t="s">
        <v>6312</v>
      </c>
      <c r="B2175" t="s">
        <v>6313</v>
      </c>
      <c r="C2175" t="s">
        <v>6314</v>
      </c>
      <c r="D2175" t="s">
        <v>23</v>
      </c>
      <c r="E2175" t="s">
        <v>16</v>
      </c>
      <c r="F2175" t="s">
        <v>29</v>
      </c>
      <c r="G2175" t="s">
        <v>31</v>
      </c>
      <c r="H2175">
        <f>Cleaned_Data!K2175</f>
        <v>14.18</v>
      </c>
      <c r="I2175" t="str">
        <f t="shared" si="99"/>
        <v>YES</v>
      </c>
      <c r="J2175">
        <f>Cleaned_Data!J2175</f>
        <v>24</v>
      </c>
      <c r="K2175" t="str">
        <f t="shared" si="100"/>
        <v>2024-02</v>
      </c>
      <c r="L2175">
        <f t="shared" si="101"/>
        <v>0</v>
      </c>
    </row>
    <row r="2176" spans="1:12">
      <c r="A2176" t="s">
        <v>6315</v>
      </c>
      <c r="B2176" t="s">
        <v>6316</v>
      </c>
      <c r="C2176" t="s">
        <v>6317</v>
      </c>
      <c r="D2176" t="s">
        <v>23</v>
      </c>
      <c r="E2176" t="s">
        <v>28</v>
      </c>
      <c r="F2176" t="s">
        <v>36</v>
      </c>
      <c r="G2176" t="s">
        <v>31</v>
      </c>
      <c r="H2176">
        <f>Cleaned_Data!K2176</f>
        <v>22.4</v>
      </c>
      <c r="I2176" t="str">
        <f t="shared" si="99"/>
        <v>YES</v>
      </c>
      <c r="J2176">
        <f>Cleaned_Data!J2176</f>
        <v>24</v>
      </c>
      <c r="K2176" t="str">
        <f t="shared" si="100"/>
        <v>2024-03</v>
      </c>
      <c r="L2176">
        <f t="shared" si="101"/>
        <v>0</v>
      </c>
    </row>
    <row r="2177" spans="1:12">
      <c r="A2177" t="s">
        <v>6318</v>
      </c>
      <c r="B2177" t="s">
        <v>6319</v>
      </c>
      <c r="C2177" t="s">
        <v>6320</v>
      </c>
      <c r="D2177" t="s">
        <v>15</v>
      </c>
      <c r="E2177" t="s">
        <v>24</v>
      </c>
      <c r="F2177" t="s">
        <v>41</v>
      </c>
      <c r="G2177" t="s">
        <v>19</v>
      </c>
      <c r="H2177">
        <f>Cleaned_Data!K2177</f>
        <v>7.31</v>
      </c>
      <c r="I2177" t="str">
        <f t="shared" si="99"/>
        <v>YES</v>
      </c>
      <c r="J2177">
        <f>Cleaned_Data!J2177</f>
        <v>8</v>
      </c>
      <c r="K2177" t="str">
        <f t="shared" si="100"/>
        <v>2024-12</v>
      </c>
      <c r="L2177">
        <f t="shared" si="101"/>
        <v>0</v>
      </c>
    </row>
    <row r="2178" spans="1:12">
      <c r="A2178" t="s">
        <v>6321</v>
      </c>
      <c r="B2178" t="s">
        <v>6322</v>
      </c>
      <c r="C2178" t="s">
        <v>6323</v>
      </c>
      <c r="D2178" t="s">
        <v>15</v>
      </c>
      <c r="E2178" t="s">
        <v>24</v>
      </c>
      <c r="F2178" t="s">
        <v>17</v>
      </c>
      <c r="G2178" t="s">
        <v>19</v>
      </c>
      <c r="H2178">
        <f>Cleaned_Data!K2178</f>
        <v>6.13</v>
      </c>
      <c r="I2178" t="str">
        <f t="shared" ref="I2178:I2241" si="102">IF(OR(G2178="Resolved", G2178="Closed"), IF(AND(H2178&lt;&gt;"", H2178&lt;=J2178), "YES", "NO"), "")</f>
        <v>YES</v>
      </c>
      <c r="J2178">
        <f>Cleaned_Data!J2178</f>
        <v>8</v>
      </c>
      <c r="K2178" t="str">
        <f t="shared" ref="K2178:K2241" si="103">LEFT(B2178, 7)</f>
        <v>2024-06</v>
      </c>
      <c r="L2178">
        <f t="shared" ref="L2178:L2241" si="104">IF(I2178="NO", H2178-J2178, 0)</f>
        <v>0</v>
      </c>
    </row>
    <row r="2179" spans="1:12">
      <c r="A2179" t="s">
        <v>6324</v>
      </c>
      <c r="B2179" t="s">
        <v>6325</v>
      </c>
      <c r="C2179" t="s">
        <v>6326</v>
      </c>
      <c r="D2179" t="s">
        <v>23</v>
      </c>
      <c r="E2179" t="s">
        <v>54</v>
      </c>
      <c r="F2179" t="s">
        <v>17</v>
      </c>
      <c r="G2179" t="s">
        <v>19</v>
      </c>
      <c r="H2179">
        <f>Cleaned_Data!K2179</f>
        <v>10.62</v>
      </c>
      <c r="I2179" t="str">
        <f t="shared" si="102"/>
        <v>YES</v>
      </c>
      <c r="J2179">
        <f>Cleaned_Data!J2179</f>
        <v>24</v>
      </c>
      <c r="K2179" t="str">
        <f t="shared" si="103"/>
        <v>2024-09</v>
      </c>
      <c r="L2179">
        <f t="shared" si="104"/>
        <v>0</v>
      </c>
    </row>
    <row r="2180" spans="1:12">
      <c r="A2180" t="s">
        <v>6327</v>
      </c>
      <c r="B2180" t="s">
        <v>6328</v>
      </c>
      <c r="C2180" t="s">
        <v>6329</v>
      </c>
      <c r="D2180" t="s">
        <v>15</v>
      </c>
      <c r="E2180" t="s">
        <v>54</v>
      </c>
      <c r="F2180" t="s">
        <v>41</v>
      </c>
      <c r="G2180" t="s">
        <v>19</v>
      </c>
      <c r="H2180">
        <f>Cleaned_Data!K2180</f>
        <v>1.1599999999999999</v>
      </c>
      <c r="I2180" t="str">
        <f t="shared" si="102"/>
        <v>YES</v>
      </c>
      <c r="J2180">
        <f>Cleaned_Data!J2180</f>
        <v>8</v>
      </c>
      <c r="K2180" t="str">
        <f t="shared" si="103"/>
        <v>2024-04</v>
      </c>
      <c r="L2180">
        <f t="shared" si="104"/>
        <v>0</v>
      </c>
    </row>
    <row r="2181" spans="1:12">
      <c r="A2181" t="s">
        <v>6330</v>
      </c>
      <c r="B2181" t="s">
        <v>6331</v>
      </c>
      <c r="D2181" t="s">
        <v>35</v>
      </c>
      <c r="E2181" t="s">
        <v>16</v>
      </c>
      <c r="F2181" t="s">
        <v>29</v>
      </c>
      <c r="G2181" t="s">
        <v>63</v>
      </c>
      <c r="H2181">
        <f>Cleaned_Data!K2181</f>
        <v>0</v>
      </c>
      <c r="I2181" t="str">
        <f t="shared" si="102"/>
        <v/>
      </c>
      <c r="J2181">
        <f>Cleaned_Data!J2181</f>
        <v>48</v>
      </c>
      <c r="K2181" t="str">
        <f t="shared" si="103"/>
        <v>2024-12</v>
      </c>
      <c r="L2181">
        <f t="shared" si="104"/>
        <v>0</v>
      </c>
    </row>
    <row r="2182" spans="1:12">
      <c r="A2182" t="s">
        <v>6332</v>
      </c>
      <c r="B2182" t="s">
        <v>6333</v>
      </c>
      <c r="C2182" t="s">
        <v>6334</v>
      </c>
      <c r="D2182" t="s">
        <v>35</v>
      </c>
      <c r="E2182" t="s">
        <v>28</v>
      </c>
      <c r="F2182" t="s">
        <v>29</v>
      </c>
      <c r="G2182" t="s">
        <v>19</v>
      </c>
      <c r="H2182">
        <f>Cleaned_Data!K2182</f>
        <v>80.25</v>
      </c>
      <c r="I2182" t="str">
        <f t="shared" si="102"/>
        <v>NO</v>
      </c>
      <c r="J2182">
        <f>Cleaned_Data!J2182</f>
        <v>48</v>
      </c>
      <c r="K2182" t="str">
        <f t="shared" si="103"/>
        <v>2024-02</v>
      </c>
      <c r="L2182">
        <f t="shared" si="104"/>
        <v>32.25</v>
      </c>
    </row>
    <row r="2183" spans="1:12">
      <c r="A2183" t="s">
        <v>6335</v>
      </c>
      <c r="B2183" t="s">
        <v>6336</v>
      </c>
      <c r="C2183" t="s">
        <v>6337</v>
      </c>
      <c r="D2183" t="s">
        <v>158</v>
      </c>
      <c r="E2183" t="s">
        <v>54</v>
      </c>
      <c r="F2183" t="s">
        <v>17</v>
      </c>
      <c r="G2183" t="s">
        <v>19</v>
      </c>
      <c r="H2183">
        <f>Cleaned_Data!K2183</f>
        <v>2.35</v>
      </c>
      <c r="I2183" t="str">
        <f t="shared" si="102"/>
        <v>YES</v>
      </c>
      <c r="J2183">
        <f>Cleaned_Data!J2183</f>
        <v>4</v>
      </c>
      <c r="K2183" t="str">
        <f t="shared" si="103"/>
        <v>2024-02</v>
      </c>
      <c r="L2183">
        <f t="shared" si="104"/>
        <v>0</v>
      </c>
    </row>
    <row r="2184" spans="1:12">
      <c r="A2184" t="s">
        <v>6338</v>
      </c>
      <c r="B2184" t="s">
        <v>6339</v>
      </c>
      <c r="C2184" t="s">
        <v>6340</v>
      </c>
      <c r="D2184" t="s">
        <v>158</v>
      </c>
      <c r="E2184" t="s">
        <v>28</v>
      </c>
      <c r="F2184" t="s">
        <v>29</v>
      </c>
      <c r="G2184" t="s">
        <v>19</v>
      </c>
      <c r="H2184">
        <f>Cleaned_Data!K2184</f>
        <v>0.98</v>
      </c>
      <c r="I2184" t="str">
        <f t="shared" si="102"/>
        <v>YES</v>
      </c>
      <c r="J2184">
        <f>Cleaned_Data!J2184</f>
        <v>4</v>
      </c>
      <c r="K2184" t="str">
        <f t="shared" si="103"/>
        <v>2024-01</v>
      </c>
      <c r="L2184">
        <f t="shared" si="104"/>
        <v>0</v>
      </c>
    </row>
    <row r="2185" spans="1:12">
      <c r="A2185" t="s">
        <v>6341</v>
      </c>
      <c r="B2185" t="s">
        <v>6342</v>
      </c>
      <c r="C2185" t="s">
        <v>6343</v>
      </c>
      <c r="D2185" t="s">
        <v>35</v>
      </c>
      <c r="E2185" t="s">
        <v>28</v>
      </c>
      <c r="F2185" t="s">
        <v>17</v>
      </c>
      <c r="G2185" t="s">
        <v>19</v>
      </c>
      <c r="H2185">
        <f>Cleaned_Data!K2185</f>
        <v>18.190000000000001</v>
      </c>
      <c r="I2185" t="str">
        <f t="shared" si="102"/>
        <v>YES</v>
      </c>
      <c r="J2185">
        <f>Cleaned_Data!J2185</f>
        <v>48</v>
      </c>
      <c r="K2185" t="str">
        <f t="shared" si="103"/>
        <v>2024-04</v>
      </c>
      <c r="L2185">
        <f t="shared" si="104"/>
        <v>0</v>
      </c>
    </row>
    <row r="2186" spans="1:12">
      <c r="A2186" t="s">
        <v>6344</v>
      </c>
      <c r="B2186" t="s">
        <v>6345</v>
      </c>
      <c r="C2186" t="s">
        <v>6346</v>
      </c>
      <c r="D2186" t="s">
        <v>15</v>
      </c>
      <c r="E2186" t="s">
        <v>24</v>
      </c>
      <c r="F2186" t="s">
        <v>41</v>
      </c>
      <c r="G2186" t="s">
        <v>31</v>
      </c>
      <c r="H2186">
        <f>Cleaned_Data!K2186</f>
        <v>16.46</v>
      </c>
      <c r="I2186" t="str">
        <f t="shared" si="102"/>
        <v>NO</v>
      </c>
      <c r="J2186">
        <f>Cleaned_Data!J2186</f>
        <v>8</v>
      </c>
      <c r="K2186" t="str">
        <f t="shared" si="103"/>
        <v>2024-11</v>
      </c>
      <c r="L2186">
        <f t="shared" si="104"/>
        <v>8.4600000000000009</v>
      </c>
    </row>
    <row r="2187" spans="1:12">
      <c r="A2187" t="s">
        <v>6347</v>
      </c>
      <c r="B2187" t="s">
        <v>6348</v>
      </c>
      <c r="C2187" t="s">
        <v>6349</v>
      </c>
      <c r="D2187" t="s">
        <v>23</v>
      </c>
      <c r="E2187" t="s">
        <v>28</v>
      </c>
      <c r="F2187" t="s">
        <v>17</v>
      </c>
      <c r="G2187" t="s">
        <v>19</v>
      </c>
      <c r="H2187">
        <f>Cleaned_Data!K2187</f>
        <v>50.58</v>
      </c>
      <c r="I2187" t="str">
        <f t="shared" si="102"/>
        <v>NO</v>
      </c>
      <c r="J2187">
        <f>Cleaned_Data!J2187</f>
        <v>24</v>
      </c>
      <c r="K2187" t="str">
        <f t="shared" si="103"/>
        <v>2024-04</v>
      </c>
      <c r="L2187">
        <f t="shared" si="104"/>
        <v>26.58</v>
      </c>
    </row>
    <row r="2188" spans="1:12">
      <c r="A2188" t="s">
        <v>6350</v>
      </c>
      <c r="B2188" t="s">
        <v>6351</v>
      </c>
      <c r="D2188" t="s">
        <v>23</v>
      </c>
      <c r="E2188" t="s">
        <v>28</v>
      </c>
      <c r="F2188" t="s">
        <v>36</v>
      </c>
      <c r="G2188" t="s">
        <v>63</v>
      </c>
      <c r="H2188">
        <f>Cleaned_Data!K2188</f>
        <v>0</v>
      </c>
      <c r="I2188" t="str">
        <f t="shared" si="102"/>
        <v/>
      </c>
      <c r="J2188">
        <f>Cleaned_Data!J2188</f>
        <v>24</v>
      </c>
      <c r="K2188" t="str">
        <f t="shared" si="103"/>
        <v>2024-10</v>
      </c>
      <c r="L2188">
        <f t="shared" si="104"/>
        <v>0</v>
      </c>
    </row>
    <row r="2189" spans="1:12">
      <c r="A2189" t="s">
        <v>6352</v>
      </c>
      <c r="B2189" t="s">
        <v>6353</v>
      </c>
      <c r="C2189" t="s">
        <v>6354</v>
      </c>
      <c r="D2189" t="s">
        <v>23</v>
      </c>
      <c r="E2189" t="s">
        <v>28</v>
      </c>
      <c r="F2189" t="s">
        <v>36</v>
      </c>
      <c r="G2189" t="s">
        <v>31</v>
      </c>
      <c r="H2189">
        <f>Cleaned_Data!K2189</f>
        <v>53.77</v>
      </c>
      <c r="I2189" t="str">
        <f t="shared" si="102"/>
        <v>NO</v>
      </c>
      <c r="J2189">
        <f>Cleaned_Data!J2189</f>
        <v>24</v>
      </c>
      <c r="K2189" t="str">
        <f t="shared" si="103"/>
        <v>2024-09</v>
      </c>
      <c r="L2189">
        <f t="shared" si="104"/>
        <v>29.770000000000003</v>
      </c>
    </row>
    <row r="2190" spans="1:12">
      <c r="A2190" t="s">
        <v>6355</v>
      </c>
      <c r="B2190" t="s">
        <v>6356</v>
      </c>
      <c r="C2190" t="s">
        <v>6357</v>
      </c>
      <c r="D2190" t="s">
        <v>35</v>
      </c>
      <c r="E2190" t="s">
        <v>59</v>
      </c>
      <c r="F2190" t="s">
        <v>36</v>
      </c>
      <c r="G2190" t="s">
        <v>19</v>
      </c>
      <c r="H2190">
        <f>Cleaned_Data!K2190</f>
        <v>40.71</v>
      </c>
      <c r="I2190" t="str">
        <f t="shared" si="102"/>
        <v>YES</v>
      </c>
      <c r="J2190">
        <f>Cleaned_Data!J2190</f>
        <v>48</v>
      </c>
      <c r="K2190" t="str">
        <f t="shared" si="103"/>
        <v>2024-12</v>
      </c>
      <c r="L2190">
        <f t="shared" si="104"/>
        <v>0</v>
      </c>
    </row>
    <row r="2191" spans="1:12">
      <c r="A2191" t="s">
        <v>6358</v>
      </c>
      <c r="B2191" t="s">
        <v>6359</v>
      </c>
      <c r="C2191" t="s">
        <v>6360</v>
      </c>
      <c r="D2191" t="s">
        <v>35</v>
      </c>
      <c r="E2191" t="s">
        <v>16</v>
      </c>
      <c r="F2191" t="s">
        <v>41</v>
      </c>
      <c r="G2191" t="s">
        <v>31</v>
      </c>
      <c r="H2191">
        <f>Cleaned_Data!K2191</f>
        <v>6.59</v>
      </c>
      <c r="I2191" t="str">
        <f t="shared" si="102"/>
        <v>YES</v>
      </c>
      <c r="J2191">
        <f>Cleaned_Data!J2191</f>
        <v>48</v>
      </c>
      <c r="K2191" t="str">
        <f t="shared" si="103"/>
        <v>2024-03</v>
      </c>
      <c r="L2191">
        <f t="shared" si="104"/>
        <v>0</v>
      </c>
    </row>
    <row r="2192" spans="1:12">
      <c r="A2192" t="s">
        <v>6361</v>
      </c>
      <c r="B2192" t="s">
        <v>6362</v>
      </c>
      <c r="D2192" t="s">
        <v>23</v>
      </c>
      <c r="E2192" t="s">
        <v>28</v>
      </c>
      <c r="F2192" t="s">
        <v>36</v>
      </c>
      <c r="G2192" t="s">
        <v>63</v>
      </c>
      <c r="H2192">
        <f>Cleaned_Data!K2192</f>
        <v>0</v>
      </c>
      <c r="I2192" t="str">
        <f t="shared" si="102"/>
        <v/>
      </c>
      <c r="J2192">
        <f>Cleaned_Data!J2192</f>
        <v>24</v>
      </c>
      <c r="K2192" t="str">
        <f t="shared" si="103"/>
        <v>2024-11</v>
      </c>
      <c r="L2192">
        <f t="shared" si="104"/>
        <v>0</v>
      </c>
    </row>
    <row r="2193" spans="1:12">
      <c r="A2193" t="s">
        <v>6363</v>
      </c>
      <c r="B2193" t="s">
        <v>6364</v>
      </c>
      <c r="C2193" t="s">
        <v>6365</v>
      </c>
      <c r="D2193" t="s">
        <v>35</v>
      </c>
      <c r="E2193" t="s">
        <v>16</v>
      </c>
      <c r="F2193" t="s">
        <v>36</v>
      </c>
      <c r="G2193" t="s">
        <v>31</v>
      </c>
      <c r="H2193">
        <f>Cleaned_Data!K2193</f>
        <v>33.82</v>
      </c>
      <c r="I2193" t="str">
        <f t="shared" si="102"/>
        <v>YES</v>
      </c>
      <c r="J2193">
        <f>Cleaned_Data!J2193</f>
        <v>48</v>
      </c>
      <c r="K2193" t="str">
        <f t="shared" si="103"/>
        <v>2024-04</v>
      </c>
      <c r="L2193">
        <f t="shared" si="104"/>
        <v>0</v>
      </c>
    </row>
    <row r="2194" spans="1:12">
      <c r="A2194" t="s">
        <v>6366</v>
      </c>
      <c r="B2194" t="s">
        <v>6367</v>
      </c>
      <c r="C2194" t="s">
        <v>6368</v>
      </c>
      <c r="D2194" t="s">
        <v>35</v>
      </c>
      <c r="E2194" t="s">
        <v>24</v>
      </c>
      <c r="F2194" t="s">
        <v>60</v>
      </c>
      <c r="G2194" t="s">
        <v>19</v>
      </c>
      <c r="H2194">
        <f>Cleaned_Data!K2194</f>
        <v>28.18</v>
      </c>
      <c r="I2194" t="str">
        <f t="shared" si="102"/>
        <v>YES</v>
      </c>
      <c r="J2194">
        <f>Cleaned_Data!J2194</f>
        <v>48</v>
      </c>
      <c r="K2194" t="str">
        <f t="shared" si="103"/>
        <v>2024-03</v>
      </c>
      <c r="L2194">
        <f t="shared" si="104"/>
        <v>0</v>
      </c>
    </row>
    <row r="2195" spans="1:12">
      <c r="A2195" t="s">
        <v>6369</v>
      </c>
      <c r="B2195" t="s">
        <v>6370</v>
      </c>
      <c r="C2195" t="s">
        <v>6371</v>
      </c>
      <c r="D2195" t="s">
        <v>15</v>
      </c>
      <c r="E2195" t="s">
        <v>54</v>
      </c>
      <c r="F2195" t="s">
        <v>29</v>
      </c>
      <c r="G2195" t="s">
        <v>31</v>
      </c>
      <c r="H2195">
        <f>Cleaned_Data!K2195</f>
        <v>5.78</v>
      </c>
      <c r="I2195" t="str">
        <f t="shared" si="102"/>
        <v>YES</v>
      </c>
      <c r="J2195">
        <f>Cleaned_Data!J2195</f>
        <v>8</v>
      </c>
      <c r="K2195" t="str">
        <f t="shared" si="103"/>
        <v>2024-06</v>
      </c>
      <c r="L2195">
        <f t="shared" si="104"/>
        <v>0</v>
      </c>
    </row>
    <row r="2196" spans="1:12">
      <c r="A2196" t="s">
        <v>6372</v>
      </c>
      <c r="B2196" t="s">
        <v>6373</v>
      </c>
      <c r="C2196" t="s">
        <v>6374</v>
      </c>
      <c r="D2196" t="s">
        <v>23</v>
      </c>
      <c r="E2196" t="s">
        <v>28</v>
      </c>
      <c r="F2196" t="s">
        <v>41</v>
      </c>
      <c r="G2196" t="s">
        <v>31</v>
      </c>
      <c r="H2196">
        <f>Cleaned_Data!K2196</f>
        <v>4.09</v>
      </c>
      <c r="I2196" t="str">
        <f t="shared" si="102"/>
        <v>YES</v>
      </c>
      <c r="J2196">
        <f>Cleaned_Data!J2196</f>
        <v>24</v>
      </c>
      <c r="K2196" t="str">
        <f t="shared" si="103"/>
        <v>2024-11</v>
      </c>
      <c r="L2196">
        <f t="shared" si="104"/>
        <v>0</v>
      </c>
    </row>
    <row r="2197" spans="1:12">
      <c r="A2197" t="s">
        <v>6375</v>
      </c>
      <c r="B2197" t="s">
        <v>6376</v>
      </c>
      <c r="C2197" t="s">
        <v>6377</v>
      </c>
      <c r="D2197" t="s">
        <v>23</v>
      </c>
      <c r="E2197" t="s">
        <v>24</v>
      </c>
      <c r="F2197" t="s">
        <v>29</v>
      </c>
      <c r="G2197" t="s">
        <v>19</v>
      </c>
      <c r="H2197">
        <f>Cleaned_Data!K2197</f>
        <v>15.95</v>
      </c>
      <c r="I2197" t="str">
        <f t="shared" si="102"/>
        <v>YES</v>
      </c>
      <c r="J2197">
        <f>Cleaned_Data!J2197</f>
        <v>24</v>
      </c>
      <c r="K2197" t="str">
        <f t="shared" si="103"/>
        <v>2024-10</v>
      </c>
      <c r="L2197">
        <f t="shared" si="104"/>
        <v>0</v>
      </c>
    </row>
    <row r="2198" spans="1:12">
      <c r="A2198" t="s">
        <v>6378</v>
      </c>
      <c r="B2198" t="s">
        <v>6379</v>
      </c>
      <c r="D2198" t="s">
        <v>15</v>
      </c>
      <c r="E2198" t="s">
        <v>28</v>
      </c>
      <c r="F2198" t="s">
        <v>29</v>
      </c>
      <c r="G2198" t="s">
        <v>46</v>
      </c>
      <c r="H2198">
        <f>Cleaned_Data!K2198</f>
        <v>0</v>
      </c>
      <c r="I2198" t="str">
        <f t="shared" si="102"/>
        <v/>
      </c>
      <c r="J2198">
        <f>Cleaned_Data!J2198</f>
        <v>8</v>
      </c>
      <c r="K2198" t="str">
        <f t="shared" si="103"/>
        <v>2024-09</v>
      </c>
      <c r="L2198">
        <f t="shared" si="104"/>
        <v>0</v>
      </c>
    </row>
    <row r="2199" spans="1:12">
      <c r="A2199" t="s">
        <v>6380</v>
      </c>
      <c r="B2199" t="s">
        <v>6381</v>
      </c>
      <c r="C2199" t="s">
        <v>6382</v>
      </c>
      <c r="D2199" t="s">
        <v>23</v>
      </c>
      <c r="E2199" t="s">
        <v>28</v>
      </c>
      <c r="F2199" t="s">
        <v>29</v>
      </c>
      <c r="G2199" t="s">
        <v>31</v>
      </c>
      <c r="H2199">
        <f>Cleaned_Data!K2199</f>
        <v>40.99</v>
      </c>
      <c r="I2199" t="str">
        <f t="shared" si="102"/>
        <v>NO</v>
      </c>
      <c r="J2199">
        <f>Cleaned_Data!J2199</f>
        <v>24</v>
      </c>
      <c r="K2199" t="str">
        <f t="shared" si="103"/>
        <v>2024-10</v>
      </c>
      <c r="L2199">
        <f t="shared" si="104"/>
        <v>16.990000000000002</v>
      </c>
    </row>
    <row r="2200" spans="1:12">
      <c r="A2200" t="s">
        <v>6383</v>
      </c>
      <c r="B2200" t="s">
        <v>6384</v>
      </c>
      <c r="C2200" t="s">
        <v>6385</v>
      </c>
      <c r="D2200" t="s">
        <v>23</v>
      </c>
      <c r="E2200" t="s">
        <v>28</v>
      </c>
      <c r="F2200" t="s">
        <v>29</v>
      </c>
      <c r="G2200" t="s">
        <v>19</v>
      </c>
      <c r="H2200">
        <f>Cleaned_Data!K2200</f>
        <v>11.54</v>
      </c>
      <c r="I2200" t="str">
        <f t="shared" si="102"/>
        <v>YES</v>
      </c>
      <c r="J2200">
        <f>Cleaned_Data!J2200</f>
        <v>24</v>
      </c>
      <c r="K2200" t="str">
        <f t="shared" si="103"/>
        <v>2024-06</v>
      </c>
      <c r="L2200">
        <f t="shared" si="104"/>
        <v>0</v>
      </c>
    </row>
    <row r="2201" spans="1:12">
      <c r="A2201" t="s">
        <v>6386</v>
      </c>
      <c r="B2201" t="s">
        <v>6387</v>
      </c>
      <c r="C2201" t="s">
        <v>6388</v>
      </c>
      <c r="D2201" t="s">
        <v>35</v>
      </c>
      <c r="E2201" t="s">
        <v>59</v>
      </c>
      <c r="F2201" t="s">
        <v>29</v>
      </c>
      <c r="G2201" t="s">
        <v>19</v>
      </c>
      <c r="H2201">
        <f>Cleaned_Data!K2201</f>
        <v>44.28</v>
      </c>
      <c r="I2201" t="str">
        <f t="shared" si="102"/>
        <v>YES</v>
      </c>
      <c r="J2201">
        <f>Cleaned_Data!J2201</f>
        <v>48</v>
      </c>
      <c r="K2201" t="str">
        <f t="shared" si="103"/>
        <v>2024-03</v>
      </c>
      <c r="L2201">
        <f t="shared" si="104"/>
        <v>0</v>
      </c>
    </row>
    <row r="2202" spans="1:12">
      <c r="A2202" t="s">
        <v>6389</v>
      </c>
      <c r="B2202" t="s">
        <v>6390</v>
      </c>
      <c r="D2202" t="s">
        <v>23</v>
      </c>
      <c r="E2202" t="s">
        <v>59</v>
      </c>
      <c r="F2202" t="s">
        <v>29</v>
      </c>
      <c r="G2202" t="s">
        <v>63</v>
      </c>
      <c r="H2202">
        <f>Cleaned_Data!K2202</f>
        <v>0</v>
      </c>
      <c r="I2202" t="str">
        <f t="shared" si="102"/>
        <v/>
      </c>
      <c r="J2202">
        <f>Cleaned_Data!J2202</f>
        <v>24</v>
      </c>
      <c r="K2202" t="str">
        <f t="shared" si="103"/>
        <v>2024-03</v>
      </c>
      <c r="L2202">
        <f t="shared" si="104"/>
        <v>0</v>
      </c>
    </row>
    <row r="2203" spans="1:12">
      <c r="A2203" t="s">
        <v>6391</v>
      </c>
      <c r="B2203" t="s">
        <v>6392</v>
      </c>
      <c r="D2203" t="s">
        <v>158</v>
      </c>
      <c r="E2203" t="s">
        <v>28</v>
      </c>
      <c r="F2203" t="s">
        <v>41</v>
      </c>
      <c r="G2203" t="s">
        <v>63</v>
      </c>
      <c r="H2203">
        <f>Cleaned_Data!K2203</f>
        <v>0</v>
      </c>
      <c r="I2203" t="str">
        <f t="shared" si="102"/>
        <v/>
      </c>
      <c r="J2203">
        <f>Cleaned_Data!J2203</f>
        <v>4</v>
      </c>
      <c r="K2203" t="str">
        <f t="shared" si="103"/>
        <v>2024-07</v>
      </c>
      <c r="L2203">
        <f t="shared" si="104"/>
        <v>0</v>
      </c>
    </row>
    <row r="2204" spans="1:12">
      <c r="A2204" t="s">
        <v>6393</v>
      </c>
      <c r="B2204" t="s">
        <v>6394</v>
      </c>
      <c r="C2204" t="s">
        <v>6395</v>
      </c>
      <c r="D2204" t="s">
        <v>158</v>
      </c>
      <c r="E2204" t="s">
        <v>28</v>
      </c>
      <c r="F2204" t="s">
        <v>60</v>
      </c>
      <c r="G2204" t="s">
        <v>19</v>
      </c>
      <c r="H2204">
        <f>Cleaned_Data!K2204</f>
        <v>1.75</v>
      </c>
      <c r="I2204" t="str">
        <f t="shared" si="102"/>
        <v>YES</v>
      </c>
      <c r="J2204">
        <f>Cleaned_Data!J2204</f>
        <v>4</v>
      </c>
      <c r="K2204" t="str">
        <f t="shared" si="103"/>
        <v>2024-10</v>
      </c>
      <c r="L2204">
        <f t="shared" si="104"/>
        <v>0</v>
      </c>
    </row>
    <row r="2205" spans="1:12">
      <c r="A2205" t="s">
        <v>6396</v>
      </c>
      <c r="B2205" t="s">
        <v>6397</v>
      </c>
      <c r="D2205" t="s">
        <v>23</v>
      </c>
      <c r="E2205" t="s">
        <v>24</v>
      </c>
      <c r="F2205" t="s">
        <v>36</v>
      </c>
      <c r="G2205" t="s">
        <v>63</v>
      </c>
      <c r="H2205">
        <f>Cleaned_Data!K2205</f>
        <v>0</v>
      </c>
      <c r="I2205" t="str">
        <f t="shared" si="102"/>
        <v/>
      </c>
      <c r="J2205">
        <f>Cleaned_Data!J2205</f>
        <v>24</v>
      </c>
      <c r="K2205" t="str">
        <f t="shared" si="103"/>
        <v>2024-03</v>
      </c>
      <c r="L2205">
        <f t="shared" si="104"/>
        <v>0</v>
      </c>
    </row>
    <row r="2206" spans="1:12">
      <c r="A2206" t="s">
        <v>6398</v>
      </c>
      <c r="B2206" t="s">
        <v>6399</v>
      </c>
      <c r="C2206" t="s">
        <v>6400</v>
      </c>
      <c r="D2206" t="s">
        <v>23</v>
      </c>
      <c r="E2206" t="s">
        <v>24</v>
      </c>
      <c r="F2206" t="s">
        <v>41</v>
      </c>
      <c r="G2206" t="s">
        <v>31</v>
      </c>
      <c r="H2206">
        <f>Cleaned_Data!K2206</f>
        <v>15.99</v>
      </c>
      <c r="I2206" t="str">
        <f t="shared" si="102"/>
        <v>YES</v>
      </c>
      <c r="J2206">
        <f>Cleaned_Data!J2206</f>
        <v>24</v>
      </c>
      <c r="K2206" t="str">
        <f t="shared" si="103"/>
        <v>2024-12</v>
      </c>
      <c r="L2206">
        <f t="shared" si="104"/>
        <v>0</v>
      </c>
    </row>
    <row r="2207" spans="1:12">
      <c r="A2207" t="s">
        <v>6401</v>
      </c>
      <c r="B2207" t="s">
        <v>6402</v>
      </c>
      <c r="C2207" t="s">
        <v>6403</v>
      </c>
      <c r="D2207" t="s">
        <v>15</v>
      </c>
      <c r="E2207" t="s">
        <v>59</v>
      </c>
      <c r="F2207" t="s">
        <v>36</v>
      </c>
      <c r="G2207" t="s">
        <v>31</v>
      </c>
      <c r="H2207">
        <f>Cleaned_Data!K2207</f>
        <v>9.8800000000000008</v>
      </c>
      <c r="I2207" t="str">
        <f t="shared" si="102"/>
        <v>NO</v>
      </c>
      <c r="J2207">
        <f>Cleaned_Data!J2207</f>
        <v>8</v>
      </c>
      <c r="K2207" t="str">
        <f t="shared" si="103"/>
        <v>2024-12</v>
      </c>
      <c r="L2207">
        <f t="shared" si="104"/>
        <v>1.8800000000000008</v>
      </c>
    </row>
    <row r="2208" spans="1:12">
      <c r="A2208" t="s">
        <v>6404</v>
      </c>
      <c r="B2208" t="s">
        <v>6405</v>
      </c>
      <c r="C2208" t="s">
        <v>6406</v>
      </c>
      <c r="D2208" t="s">
        <v>15</v>
      </c>
      <c r="E2208" t="s">
        <v>16</v>
      </c>
      <c r="F2208" t="s">
        <v>41</v>
      </c>
      <c r="G2208" t="s">
        <v>19</v>
      </c>
      <c r="H2208">
        <f>Cleaned_Data!K2208</f>
        <v>2</v>
      </c>
      <c r="I2208" t="str">
        <f t="shared" si="102"/>
        <v>YES</v>
      </c>
      <c r="J2208">
        <f>Cleaned_Data!J2208</f>
        <v>8</v>
      </c>
      <c r="K2208" t="str">
        <f t="shared" si="103"/>
        <v>2024-01</v>
      </c>
      <c r="L2208">
        <f t="shared" si="104"/>
        <v>0</v>
      </c>
    </row>
    <row r="2209" spans="1:12">
      <c r="A2209" t="s">
        <v>6407</v>
      </c>
      <c r="B2209" t="s">
        <v>6408</v>
      </c>
      <c r="C2209" t="s">
        <v>6409</v>
      </c>
      <c r="D2209" t="s">
        <v>23</v>
      </c>
      <c r="E2209" t="s">
        <v>28</v>
      </c>
      <c r="F2209" t="s">
        <v>17</v>
      </c>
      <c r="G2209" t="s">
        <v>31</v>
      </c>
      <c r="H2209">
        <f>Cleaned_Data!K2209</f>
        <v>57.9</v>
      </c>
      <c r="I2209" t="str">
        <f t="shared" si="102"/>
        <v>NO</v>
      </c>
      <c r="J2209">
        <f>Cleaned_Data!J2209</f>
        <v>24</v>
      </c>
      <c r="K2209" t="str">
        <f t="shared" si="103"/>
        <v>2024-06</v>
      </c>
      <c r="L2209">
        <f t="shared" si="104"/>
        <v>33.9</v>
      </c>
    </row>
    <row r="2210" spans="1:12">
      <c r="A2210" t="s">
        <v>6410</v>
      </c>
      <c r="B2210" t="s">
        <v>6411</v>
      </c>
      <c r="C2210" t="s">
        <v>6412</v>
      </c>
      <c r="D2210" t="s">
        <v>35</v>
      </c>
      <c r="E2210" t="s">
        <v>16</v>
      </c>
      <c r="F2210" t="s">
        <v>17</v>
      </c>
      <c r="G2210" t="s">
        <v>19</v>
      </c>
      <c r="H2210">
        <f>Cleaned_Data!K2210</f>
        <v>37.19</v>
      </c>
      <c r="I2210" t="str">
        <f t="shared" si="102"/>
        <v>YES</v>
      </c>
      <c r="J2210">
        <f>Cleaned_Data!J2210</f>
        <v>48</v>
      </c>
      <c r="K2210" t="str">
        <f t="shared" si="103"/>
        <v>2024-03</v>
      </c>
      <c r="L2210">
        <f t="shared" si="104"/>
        <v>0</v>
      </c>
    </row>
    <row r="2211" spans="1:12">
      <c r="A2211" t="s">
        <v>6413</v>
      </c>
      <c r="B2211" t="s">
        <v>6414</v>
      </c>
      <c r="D2211" t="s">
        <v>35</v>
      </c>
      <c r="E2211" t="s">
        <v>24</v>
      </c>
      <c r="F2211" t="s">
        <v>41</v>
      </c>
      <c r="G2211" t="s">
        <v>63</v>
      </c>
      <c r="H2211">
        <f>Cleaned_Data!K2211</f>
        <v>0</v>
      </c>
      <c r="I2211" t="str">
        <f t="shared" si="102"/>
        <v/>
      </c>
      <c r="J2211">
        <f>Cleaned_Data!J2211</f>
        <v>48</v>
      </c>
      <c r="K2211" t="str">
        <f t="shared" si="103"/>
        <v>2024-12</v>
      </c>
      <c r="L2211">
        <f t="shared" si="104"/>
        <v>0</v>
      </c>
    </row>
    <row r="2212" spans="1:12">
      <c r="A2212" t="s">
        <v>6415</v>
      </c>
      <c r="B2212" t="s">
        <v>6416</v>
      </c>
      <c r="D2212" t="s">
        <v>15</v>
      </c>
      <c r="E2212" t="s">
        <v>28</v>
      </c>
      <c r="F2212" t="s">
        <v>17</v>
      </c>
      <c r="G2212" t="s">
        <v>46</v>
      </c>
      <c r="H2212">
        <f>Cleaned_Data!K2212</f>
        <v>0</v>
      </c>
      <c r="I2212" t="str">
        <f t="shared" si="102"/>
        <v/>
      </c>
      <c r="J2212">
        <f>Cleaned_Data!J2212</f>
        <v>8</v>
      </c>
      <c r="K2212" t="str">
        <f t="shared" si="103"/>
        <v>2024-01</v>
      </c>
      <c r="L2212">
        <f t="shared" si="104"/>
        <v>0</v>
      </c>
    </row>
    <row r="2213" spans="1:12">
      <c r="A2213" t="s">
        <v>6417</v>
      </c>
      <c r="B2213" t="s">
        <v>6418</v>
      </c>
      <c r="C2213" t="s">
        <v>6419</v>
      </c>
      <c r="D2213" t="s">
        <v>23</v>
      </c>
      <c r="E2213" t="s">
        <v>54</v>
      </c>
      <c r="F2213" t="s">
        <v>41</v>
      </c>
      <c r="G2213" t="s">
        <v>31</v>
      </c>
      <c r="H2213">
        <f>Cleaned_Data!K2213</f>
        <v>11.34</v>
      </c>
      <c r="I2213" t="str">
        <f t="shared" si="102"/>
        <v>YES</v>
      </c>
      <c r="J2213">
        <f>Cleaned_Data!J2213</f>
        <v>24</v>
      </c>
      <c r="K2213" t="str">
        <f t="shared" si="103"/>
        <v>2024-09</v>
      </c>
      <c r="L2213">
        <f t="shared" si="104"/>
        <v>0</v>
      </c>
    </row>
    <row r="2214" spans="1:12">
      <c r="A2214" t="s">
        <v>6420</v>
      </c>
      <c r="B2214" t="s">
        <v>6421</v>
      </c>
      <c r="C2214" t="s">
        <v>6422</v>
      </c>
      <c r="D2214" t="s">
        <v>23</v>
      </c>
      <c r="E2214" t="s">
        <v>16</v>
      </c>
      <c r="F2214" t="s">
        <v>17</v>
      </c>
      <c r="G2214" t="s">
        <v>19</v>
      </c>
      <c r="H2214">
        <f>Cleaned_Data!K2214</f>
        <v>21.39</v>
      </c>
      <c r="I2214" t="str">
        <f t="shared" si="102"/>
        <v>YES</v>
      </c>
      <c r="J2214">
        <f>Cleaned_Data!J2214</f>
        <v>24</v>
      </c>
      <c r="K2214" t="str">
        <f t="shared" si="103"/>
        <v>2024-11</v>
      </c>
      <c r="L2214">
        <f t="shared" si="104"/>
        <v>0</v>
      </c>
    </row>
    <row r="2215" spans="1:12">
      <c r="A2215" t="s">
        <v>6423</v>
      </c>
      <c r="B2215" t="s">
        <v>6424</v>
      </c>
      <c r="C2215" t="s">
        <v>6425</v>
      </c>
      <c r="D2215" t="s">
        <v>23</v>
      </c>
      <c r="E2215" t="s">
        <v>54</v>
      </c>
      <c r="F2215" t="s">
        <v>17</v>
      </c>
      <c r="G2215" t="s">
        <v>31</v>
      </c>
      <c r="H2215">
        <f>Cleaned_Data!K2215</f>
        <v>2.6</v>
      </c>
      <c r="I2215" t="str">
        <f t="shared" si="102"/>
        <v>YES</v>
      </c>
      <c r="J2215">
        <f>Cleaned_Data!J2215</f>
        <v>24</v>
      </c>
      <c r="K2215" t="str">
        <f t="shared" si="103"/>
        <v>2024-08</v>
      </c>
      <c r="L2215">
        <f t="shared" si="104"/>
        <v>0</v>
      </c>
    </row>
    <row r="2216" spans="1:12">
      <c r="A2216" t="s">
        <v>6426</v>
      </c>
      <c r="B2216" t="s">
        <v>6427</v>
      </c>
      <c r="C2216" t="s">
        <v>6428</v>
      </c>
      <c r="D2216" t="s">
        <v>23</v>
      </c>
      <c r="E2216" t="s">
        <v>59</v>
      </c>
      <c r="F2216" t="s">
        <v>36</v>
      </c>
      <c r="G2216" t="s">
        <v>31</v>
      </c>
      <c r="H2216">
        <f>Cleaned_Data!K2216</f>
        <v>2.46</v>
      </c>
      <c r="I2216" t="str">
        <f t="shared" si="102"/>
        <v>YES</v>
      </c>
      <c r="J2216">
        <f>Cleaned_Data!J2216</f>
        <v>24</v>
      </c>
      <c r="K2216" t="str">
        <f t="shared" si="103"/>
        <v>2024-09</v>
      </c>
      <c r="L2216">
        <f t="shared" si="104"/>
        <v>0</v>
      </c>
    </row>
    <row r="2217" spans="1:12">
      <c r="A2217" t="s">
        <v>6429</v>
      </c>
      <c r="B2217" t="s">
        <v>6430</v>
      </c>
      <c r="C2217" t="s">
        <v>6431</v>
      </c>
      <c r="D2217" t="s">
        <v>158</v>
      </c>
      <c r="E2217" t="s">
        <v>24</v>
      </c>
      <c r="F2217" t="s">
        <v>36</v>
      </c>
      <c r="G2217" t="s">
        <v>31</v>
      </c>
      <c r="H2217">
        <f>Cleaned_Data!K2217</f>
        <v>6.42</v>
      </c>
      <c r="I2217" t="str">
        <f t="shared" si="102"/>
        <v>NO</v>
      </c>
      <c r="J2217">
        <f>Cleaned_Data!J2217</f>
        <v>4</v>
      </c>
      <c r="K2217" t="str">
        <f t="shared" si="103"/>
        <v>2024-12</v>
      </c>
      <c r="L2217">
        <f t="shared" si="104"/>
        <v>2.42</v>
      </c>
    </row>
    <row r="2218" spans="1:12">
      <c r="A2218" t="s">
        <v>6432</v>
      </c>
      <c r="B2218" t="s">
        <v>6433</v>
      </c>
      <c r="C2218" t="s">
        <v>6434</v>
      </c>
      <c r="D2218" t="s">
        <v>23</v>
      </c>
      <c r="E2218" t="s">
        <v>59</v>
      </c>
      <c r="F2218" t="s">
        <v>17</v>
      </c>
      <c r="G2218" t="s">
        <v>19</v>
      </c>
      <c r="H2218">
        <f>Cleaned_Data!K2218</f>
        <v>20.59</v>
      </c>
      <c r="I2218" t="str">
        <f t="shared" si="102"/>
        <v>YES</v>
      </c>
      <c r="J2218">
        <f>Cleaned_Data!J2218</f>
        <v>24</v>
      </c>
      <c r="K2218" t="str">
        <f t="shared" si="103"/>
        <v>2024-04</v>
      </c>
      <c r="L2218">
        <f t="shared" si="104"/>
        <v>0</v>
      </c>
    </row>
    <row r="2219" spans="1:12">
      <c r="A2219" t="s">
        <v>6435</v>
      </c>
      <c r="B2219" t="s">
        <v>6436</v>
      </c>
      <c r="C2219" t="s">
        <v>6437</v>
      </c>
      <c r="D2219" t="s">
        <v>15</v>
      </c>
      <c r="E2219" t="s">
        <v>59</v>
      </c>
      <c r="F2219" t="s">
        <v>29</v>
      </c>
      <c r="G2219" t="s">
        <v>31</v>
      </c>
      <c r="H2219">
        <f>Cleaned_Data!K2219</f>
        <v>3.26</v>
      </c>
      <c r="I2219" t="str">
        <f t="shared" si="102"/>
        <v>YES</v>
      </c>
      <c r="J2219">
        <f>Cleaned_Data!J2219</f>
        <v>8</v>
      </c>
      <c r="K2219" t="str">
        <f t="shared" si="103"/>
        <v>2024-05</v>
      </c>
      <c r="L2219">
        <f t="shared" si="104"/>
        <v>0</v>
      </c>
    </row>
    <row r="2220" spans="1:12">
      <c r="A2220" t="s">
        <v>6438</v>
      </c>
      <c r="B2220" t="s">
        <v>6439</v>
      </c>
      <c r="C2220" t="s">
        <v>6440</v>
      </c>
      <c r="D2220" t="s">
        <v>23</v>
      </c>
      <c r="E2220" t="s">
        <v>28</v>
      </c>
      <c r="F2220" t="s">
        <v>60</v>
      </c>
      <c r="G2220" t="s">
        <v>31</v>
      </c>
      <c r="H2220">
        <f>Cleaned_Data!K2220</f>
        <v>11.14</v>
      </c>
      <c r="I2220" t="str">
        <f t="shared" si="102"/>
        <v>YES</v>
      </c>
      <c r="J2220">
        <f>Cleaned_Data!J2220</f>
        <v>24</v>
      </c>
      <c r="K2220" t="str">
        <f t="shared" si="103"/>
        <v>2024-01</v>
      </c>
      <c r="L2220">
        <f t="shared" si="104"/>
        <v>0</v>
      </c>
    </row>
    <row r="2221" spans="1:12">
      <c r="A2221" t="s">
        <v>6441</v>
      </c>
      <c r="B2221" t="s">
        <v>6442</v>
      </c>
      <c r="C2221" t="s">
        <v>6443</v>
      </c>
      <c r="D2221" t="s">
        <v>23</v>
      </c>
      <c r="E2221" t="s">
        <v>24</v>
      </c>
      <c r="F2221" t="s">
        <v>41</v>
      </c>
      <c r="G2221" t="s">
        <v>19</v>
      </c>
      <c r="H2221">
        <f>Cleaned_Data!K2221</f>
        <v>18.28</v>
      </c>
      <c r="I2221" t="str">
        <f t="shared" si="102"/>
        <v>YES</v>
      </c>
      <c r="J2221">
        <f>Cleaned_Data!J2221</f>
        <v>24</v>
      </c>
      <c r="K2221" t="str">
        <f t="shared" si="103"/>
        <v>2024-11</v>
      </c>
      <c r="L2221">
        <f t="shared" si="104"/>
        <v>0</v>
      </c>
    </row>
    <row r="2222" spans="1:12">
      <c r="A2222" t="s">
        <v>6444</v>
      </c>
      <c r="B2222" t="s">
        <v>6445</v>
      </c>
      <c r="C2222" t="s">
        <v>6446</v>
      </c>
      <c r="D2222" t="s">
        <v>23</v>
      </c>
      <c r="E2222" t="s">
        <v>28</v>
      </c>
      <c r="F2222" t="s">
        <v>17</v>
      </c>
      <c r="G2222" t="s">
        <v>31</v>
      </c>
      <c r="H2222">
        <f>Cleaned_Data!K2222</f>
        <v>6.35</v>
      </c>
      <c r="I2222" t="str">
        <f t="shared" si="102"/>
        <v>YES</v>
      </c>
      <c r="J2222">
        <f>Cleaned_Data!J2222</f>
        <v>24</v>
      </c>
      <c r="K2222" t="str">
        <f t="shared" si="103"/>
        <v>2024-07</v>
      </c>
      <c r="L2222">
        <f t="shared" si="104"/>
        <v>0</v>
      </c>
    </row>
    <row r="2223" spans="1:12">
      <c r="A2223" t="s">
        <v>6447</v>
      </c>
      <c r="B2223" t="s">
        <v>6448</v>
      </c>
      <c r="C2223" t="s">
        <v>6449</v>
      </c>
      <c r="D2223" t="s">
        <v>23</v>
      </c>
      <c r="E2223" t="s">
        <v>28</v>
      </c>
      <c r="F2223" t="s">
        <v>29</v>
      </c>
      <c r="G2223" t="s">
        <v>19</v>
      </c>
      <c r="H2223">
        <f>Cleaned_Data!K2223</f>
        <v>11.75</v>
      </c>
      <c r="I2223" t="str">
        <f t="shared" si="102"/>
        <v>YES</v>
      </c>
      <c r="J2223">
        <f>Cleaned_Data!J2223</f>
        <v>24</v>
      </c>
      <c r="K2223" t="str">
        <f t="shared" si="103"/>
        <v>2024-04</v>
      </c>
      <c r="L2223">
        <f t="shared" si="104"/>
        <v>0</v>
      </c>
    </row>
    <row r="2224" spans="1:12">
      <c r="A2224" t="s">
        <v>6450</v>
      </c>
      <c r="B2224" t="s">
        <v>6451</v>
      </c>
      <c r="C2224" t="s">
        <v>6452</v>
      </c>
      <c r="D2224" t="s">
        <v>15</v>
      </c>
      <c r="E2224" t="s">
        <v>28</v>
      </c>
      <c r="F2224" t="s">
        <v>17</v>
      </c>
      <c r="G2224" t="s">
        <v>31</v>
      </c>
      <c r="H2224">
        <f>Cleaned_Data!K2224</f>
        <v>9.5399999999999991</v>
      </c>
      <c r="I2224" t="str">
        <f t="shared" si="102"/>
        <v>NO</v>
      </c>
      <c r="J2224">
        <f>Cleaned_Data!J2224</f>
        <v>8</v>
      </c>
      <c r="K2224" t="str">
        <f t="shared" si="103"/>
        <v>2024-11</v>
      </c>
      <c r="L2224">
        <f t="shared" si="104"/>
        <v>1.5399999999999991</v>
      </c>
    </row>
    <row r="2225" spans="1:12">
      <c r="A2225" t="s">
        <v>6453</v>
      </c>
      <c r="B2225" t="s">
        <v>6454</v>
      </c>
      <c r="C2225" t="s">
        <v>6455</v>
      </c>
      <c r="D2225" t="s">
        <v>15</v>
      </c>
      <c r="E2225" t="s">
        <v>16</v>
      </c>
      <c r="F2225" t="s">
        <v>41</v>
      </c>
      <c r="G2225" t="s">
        <v>19</v>
      </c>
      <c r="H2225">
        <f>Cleaned_Data!K2225</f>
        <v>2.5299999999999998</v>
      </c>
      <c r="I2225" t="str">
        <f t="shared" si="102"/>
        <v>YES</v>
      </c>
      <c r="J2225">
        <f>Cleaned_Data!J2225</f>
        <v>8</v>
      </c>
      <c r="K2225" t="str">
        <f t="shared" si="103"/>
        <v>2024-05</v>
      </c>
      <c r="L2225">
        <f t="shared" si="104"/>
        <v>0</v>
      </c>
    </row>
    <row r="2226" spans="1:12">
      <c r="A2226" t="s">
        <v>6456</v>
      </c>
      <c r="B2226" t="s">
        <v>6457</v>
      </c>
      <c r="C2226" t="s">
        <v>6458</v>
      </c>
      <c r="D2226" t="s">
        <v>15</v>
      </c>
      <c r="E2226" t="s">
        <v>59</v>
      </c>
      <c r="F2226" t="s">
        <v>17</v>
      </c>
      <c r="G2226" t="s">
        <v>31</v>
      </c>
      <c r="H2226">
        <f>Cleaned_Data!K2226</f>
        <v>6.62</v>
      </c>
      <c r="I2226" t="str">
        <f t="shared" si="102"/>
        <v>YES</v>
      </c>
      <c r="J2226">
        <f>Cleaned_Data!J2226</f>
        <v>8</v>
      </c>
      <c r="K2226" t="str">
        <f t="shared" si="103"/>
        <v>2024-09</v>
      </c>
      <c r="L2226">
        <f t="shared" si="104"/>
        <v>0</v>
      </c>
    </row>
    <row r="2227" spans="1:12">
      <c r="A2227" t="s">
        <v>6459</v>
      </c>
      <c r="B2227" t="s">
        <v>6460</v>
      </c>
      <c r="C2227" t="s">
        <v>6461</v>
      </c>
      <c r="D2227" t="s">
        <v>23</v>
      </c>
      <c r="E2227" t="s">
        <v>28</v>
      </c>
      <c r="F2227" t="s">
        <v>41</v>
      </c>
      <c r="G2227" t="s">
        <v>19</v>
      </c>
      <c r="H2227">
        <f>Cleaned_Data!K2227</f>
        <v>15.4</v>
      </c>
      <c r="I2227" t="str">
        <f t="shared" si="102"/>
        <v>YES</v>
      </c>
      <c r="J2227">
        <f>Cleaned_Data!J2227</f>
        <v>24</v>
      </c>
      <c r="K2227" t="str">
        <f t="shared" si="103"/>
        <v>2024-10</v>
      </c>
      <c r="L2227">
        <f t="shared" si="104"/>
        <v>0</v>
      </c>
    </row>
    <row r="2228" spans="1:12">
      <c r="A2228" t="s">
        <v>6462</v>
      </c>
      <c r="B2228" t="s">
        <v>6463</v>
      </c>
      <c r="C2228" t="s">
        <v>6464</v>
      </c>
      <c r="D2228" t="s">
        <v>35</v>
      </c>
      <c r="E2228" t="s">
        <v>28</v>
      </c>
      <c r="F2228" t="s">
        <v>17</v>
      </c>
      <c r="G2228" t="s">
        <v>19</v>
      </c>
      <c r="H2228">
        <f>Cleaned_Data!K2228</f>
        <v>58.67</v>
      </c>
      <c r="I2228" t="str">
        <f t="shared" si="102"/>
        <v>NO</v>
      </c>
      <c r="J2228">
        <f>Cleaned_Data!J2228</f>
        <v>48</v>
      </c>
      <c r="K2228" t="str">
        <f t="shared" si="103"/>
        <v>2024-08</v>
      </c>
      <c r="L2228">
        <f t="shared" si="104"/>
        <v>10.670000000000002</v>
      </c>
    </row>
    <row r="2229" spans="1:12">
      <c r="A2229" t="s">
        <v>6465</v>
      </c>
      <c r="B2229" t="s">
        <v>6466</v>
      </c>
      <c r="C2229" t="s">
        <v>6467</v>
      </c>
      <c r="D2229" t="s">
        <v>23</v>
      </c>
      <c r="E2229" t="s">
        <v>54</v>
      </c>
      <c r="F2229" t="s">
        <v>36</v>
      </c>
      <c r="G2229" t="s">
        <v>31</v>
      </c>
      <c r="H2229">
        <f>Cleaned_Data!K2229</f>
        <v>22.3</v>
      </c>
      <c r="I2229" t="str">
        <f t="shared" si="102"/>
        <v>YES</v>
      </c>
      <c r="J2229">
        <f>Cleaned_Data!J2229</f>
        <v>24</v>
      </c>
      <c r="K2229" t="str">
        <f t="shared" si="103"/>
        <v>2024-03</v>
      </c>
      <c r="L2229">
        <f t="shared" si="104"/>
        <v>0</v>
      </c>
    </row>
    <row r="2230" spans="1:12">
      <c r="A2230" t="s">
        <v>6468</v>
      </c>
      <c r="B2230" t="s">
        <v>6469</v>
      </c>
      <c r="C2230" t="s">
        <v>6470</v>
      </c>
      <c r="D2230" t="s">
        <v>23</v>
      </c>
      <c r="E2230" t="s">
        <v>59</v>
      </c>
      <c r="F2230" t="s">
        <v>60</v>
      </c>
      <c r="G2230" t="s">
        <v>19</v>
      </c>
      <c r="H2230">
        <f>Cleaned_Data!K2230</f>
        <v>65.48</v>
      </c>
      <c r="I2230" t="str">
        <f t="shared" si="102"/>
        <v>NO</v>
      </c>
      <c r="J2230">
        <f>Cleaned_Data!J2230</f>
        <v>24</v>
      </c>
      <c r="K2230" t="str">
        <f t="shared" si="103"/>
        <v>2024-05</v>
      </c>
      <c r="L2230">
        <f t="shared" si="104"/>
        <v>41.480000000000004</v>
      </c>
    </row>
    <row r="2231" spans="1:12">
      <c r="A2231" t="s">
        <v>6471</v>
      </c>
      <c r="B2231" t="s">
        <v>6472</v>
      </c>
      <c r="C2231" t="s">
        <v>6473</v>
      </c>
      <c r="D2231" t="s">
        <v>23</v>
      </c>
      <c r="E2231" t="s">
        <v>16</v>
      </c>
      <c r="F2231" t="s">
        <v>29</v>
      </c>
      <c r="G2231" t="s">
        <v>19</v>
      </c>
      <c r="H2231">
        <f>Cleaned_Data!K2231</f>
        <v>19.600000000000001</v>
      </c>
      <c r="I2231" t="str">
        <f t="shared" si="102"/>
        <v>YES</v>
      </c>
      <c r="J2231">
        <f>Cleaned_Data!J2231</f>
        <v>24</v>
      </c>
      <c r="K2231" t="str">
        <f t="shared" si="103"/>
        <v>2024-08</v>
      </c>
      <c r="L2231">
        <f t="shared" si="104"/>
        <v>0</v>
      </c>
    </row>
    <row r="2232" spans="1:12">
      <c r="A2232" t="s">
        <v>6474</v>
      </c>
      <c r="B2232" t="s">
        <v>6475</v>
      </c>
      <c r="C2232" t="s">
        <v>6476</v>
      </c>
      <c r="D2232" t="s">
        <v>35</v>
      </c>
      <c r="E2232" t="s">
        <v>16</v>
      </c>
      <c r="F2232" t="s">
        <v>17</v>
      </c>
      <c r="G2232" t="s">
        <v>19</v>
      </c>
      <c r="H2232">
        <f>Cleaned_Data!K2232</f>
        <v>7.97</v>
      </c>
      <c r="I2232" t="str">
        <f t="shared" si="102"/>
        <v>YES</v>
      </c>
      <c r="J2232">
        <f>Cleaned_Data!J2232</f>
        <v>48</v>
      </c>
      <c r="K2232" t="str">
        <f t="shared" si="103"/>
        <v>2024-11</v>
      </c>
      <c r="L2232">
        <f t="shared" si="104"/>
        <v>0</v>
      </c>
    </row>
    <row r="2233" spans="1:12">
      <c r="A2233" t="s">
        <v>6477</v>
      </c>
      <c r="B2233" t="s">
        <v>6478</v>
      </c>
      <c r="D2233" t="s">
        <v>35</v>
      </c>
      <c r="E2233" t="s">
        <v>54</v>
      </c>
      <c r="F2233" t="s">
        <v>17</v>
      </c>
      <c r="G2233" t="s">
        <v>63</v>
      </c>
      <c r="H2233">
        <f>Cleaned_Data!K2233</f>
        <v>0</v>
      </c>
      <c r="I2233" t="str">
        <f t="shared" si="102"/>
        <v/>
      </c>
      <c r="J2233">
        <f>Cleaned_Data!J2233</f>
        <v>48</v>
      </c>
      <c r="K2233" t="str">
        <f t="shared" si="103"/>
        <v>2024-06</v>
      </c>
      <c r="L2233">
        <f t="shared" si="104"/>
        <v>0</v>
      </c>
    </row>
    <row r="2234" spans="1:12">
      <c r="A2234" t="s">
        <v>6479</v>
      </c>
      <c r="B2234" t="s">
        <v>6480</v>
      </c>
      <c r="C2234" t="s">
        <v>6481</v>
      </c>
      <c r="D2234" t="s">
        <v>158</v>
      </c>
      <c r="E2234" t="s">
        <v>59</v>
      </c>
      <c r="F2234" t="s">
        <v>17</v>
      </c>
      <c r="G2234" t="s">
        <v>31</v>
      </c>
      <c r="H2234">
        <f>Cleaned_Data!K2234</f>
        <v>1.01</v>
      </c>
      <c r="I2234" t="str">
        <f t="shared" si="102"/>
        <v>YES</v>
      </c>
      <c r="J2234">
        <f>Cleaned_Data!J2234</f>
        <v>4</v>
      </c>
      <c r="K2234" t="str">
        <f t="shared" si="103"/>
        <v>2024-02</v>
      </c>
      <c r="L2234">
        <f t="shared" si="104"/>
        <v>0</v>
      </c>
    </row>
    <row r="2235" spans="1:12">
      <c r="A2235" t="s">
        <v>6482</v>
      </c>
      <c r="B2235" t="s">
        <v>6483</v>
      </c>
      <c r="C2235" t="s">
        <v>6484</v>
      </c>
      <c r="D2235" t="s">
        <v>158</v>
      </c>
      <c r="E2235" t="s">
        <v>16</v>
      </c>
      <c r="F2235" t="s">
        <v>17</v>
      </c>
      <c r="G2235" t="s">
        <v>19</v>
      </c>
      <c r="H2235">
        <f>Cleaned_Data!K2235</f>
        <v>10.33</v>
      </c>
      <c r="I2235" t="str">
        <f t="shared" si="102"/>
        <v>NO</v>
      </c>
      <c r="J2235">
        <f>Cleaned_Data!J2235</f>
        <v>4</v>
      </c>
      <c r="K2235" t="str">
        <f t="shared" si="103"/>
        <v>2024-03</v>
      </c>
      <c r="L2235">
        <f t="shared" si="104"/>
        <v>6.33</v>
      </c>
    </row>
    <row r="2236" spans="1:12">
      <c r="A2236" t="s">
        <v>6485</v>
      </c>
      <c r="B2236" t="s">
        <v>6486</v>
      </c>
      <c r="C2236" t="s">
        <v>6487</v>
      </c>
      <c r="D2236" t="s">
        <v>23</v>
      </c>
      <c r="E2236" t="s">
        <v>24</v>
      </c>
      <c r="F2236" t="s">
        <v>29</v>
      </c>
      <c r="G2236" t="s">
        <v>19</v>
      </c>
      <c r="H2236">
        <f>Cleaned_Data!K2236</f>
        <v>4.6900000000000004</v>
      </c>
      <c r="I2236" t="str">
        <f t="shared" si="102"/>
        <v>YES</v>
      </c>
      <c r="J2236">
        <f>Cleaned_Data!J2236</f>
        <v>24</v>
      </c>
      <c r="K2236" t="str">
        <f t="shared" si="103"/>
        <v>2024-12</v>
      </c>
      <c r="L2236">
        <f t="shared" si="104"/>
        <v>0</v>
      </c>
    </row>
    <row r="2237" spans="1:12">
      <c r="A2237" t="s">
        <v>6488</v>
      </c>
      <c r="B2237" t="s">
        <v>6489</v>
      </c>
      <c r="C2237" t="s">
        <v>6490</v>
      </c>
      <c r="D2237" t="s">
        <v>23</v>
      </c>
      <c r="E2237" t="s">
        <v>54</v>
      </c>
      <c r="F2237" t="s">
        <v>36</v>
      </c>
      <c r="G2237" t="s">
        <v>31</v>
      </c>
      <c r="H2237">
        <f>Cleaned_Data!K2237</f>
        <v>17.690000000000001</v>
      </c>
      <c r="I2237" t="str">
        <f t="shared" si="102"/>
        <v>YES</v>
      </c>
      <c r="J2237">
        <f>Cleaned_Data!J2237</f>
        <v>24</v>
      </c>
      <c r="K2237" t="str">
        <f t="shared" si="103"/>
        <v>2024-07</v>
      </c>
      <c r="L2237">
        <f t="shared" si="104"/>
        <v>0</v>
      </c>
    </row>
    <row r="2238" spans="1:12">
      <c r="A2238" t="s">
        <v>6491</v>
      </c>
      <c r="B2238" t="s">
        <v>6492</v>
      </c>
      <c r="C2238" t="s">
        <v>6493</v>
      </c>
      <c r="D2238" t="s">
        <v>15</v>
      </c>
      <c r="E2238" t="s">
        <v>59</v>
      </c>
      <c r="F2238" t="s">
        <v>41</v>
      </c>
      <c r="G2238" t="s">
        <v>19</v>
      </c>
      <c r="H2238">
        <f>Cleaned_Data!K2238</f>
        <v>5.9</v>
      </c>
      <c r="I2238" t="str">
        <f t="shared" si="102"/>
        <v>YES</v>
      </c>
      <c r="J2238">
        <f>Cleaned_Data!J2238</f>
        <v>8</v>
      </c>
      <c r="K2238" t="str">
        <f t="shared" si="103"/>
        <v>2024-07</v>
      </c>
      <c r="L2238">
        <f t="shared" si="104"/>
        <v>0</v>
      </c>
    </row>
    <row r="2239" spans="1:12">
      <c r="A2239" t="s">
        <v>6494</v>
      </c>
      <c r="B2239" t="s">
        <v>6495</v>
      </c>
      <c r="C2239" t="s">
        <v>6496</v>
      </c>
      <c r="D2239" t="s">
        <v>15</v>
      </c>
      <c r="E2239" t="s">
        <v>28</v>
      </c>
      <c r="F2239" t="s">
        <v>60</v>
      </c>
      <c r="G2239" t="s">
        <v>19</v>
      </c>
      <c r="H2239">
        <f>Cleaned_Data!K2239</f>
        <v>17.899999999999999</v>
      </c>
      <c r="I2239" t="str">
        <f t="shared" si="102"/>
        <v>NO</v>
      </c>
      <c r="J2239">
        <f>Cleaned_Data!J2239</f>
        <v>8</v>
      </c>
      <c r="K2239" t="str">
        <f t="shared" si="103"/>
        <v>2024-12</v>
      </c>
      <c r="L2239">
        <f t="shared" si="104"/>
        <v>9.8999999999999986</v>
      </c>
    </row>
    <row r="2240" spans="1:12">
      <c r="A2240" t="s">
        <v>6497</v>
      </c>
      <c r="B2240" t="s">
        <v>6498</v>
      </c>
      <c r="C2240" t="s">
        <v>6499</v>
      </c>
      <c r="D2240" t="s">
        <v>23</v>
      </c>
      <c r="E2240" t="s">
        <v>16</v>
      </c>
      <c r="F2240" t="s">
        <v>60</v>
      </c>
      <c r="G2240" t="s">
        <v>19</v>
      </c>
      <c r="H2240">
        <f>Cleaned_Data!K2240</f>
        <v>65.739999999999995</v>
      </c>
      <c r="I2240" t="str">
        <f t="shared" si="102"/>
        <v>NO</v>
      </c>
      <c r="J2240">
        <f>Cleaned_Data!J2240</f>
        <v>24</v>
      </c>
      <c r="K2240" t="str">
        <f t="shared" si="103"/>
        <v>2024-12</v>
      </c>
      <c r="L2240">
        <f t="shared" si="104"/>
        <v>41.739999999999995</v>
      </c>
    </row>
    <row r="2241" spans="1:12">
      <c r="A2241" t="s">
        <v>6500</v>
      </c>
      <c r="B2241" t="s">
        <v>6501</v>
      </c>
      <c r="C2241" t="s">
        <v>6502</v>
      </c>
      <c r="D2241" t="s">
        <v>15</v>
      </c>
      <c r="E2241" t="s">
        <v>16</v>
      </c>
      <c r="F2241" t="s">
        <v>41</v>
      </c>
      <c r="G2241" t="s">
        <v>19</v>
      </c>
      <c r="H2241">
        <f>Cleaned_Data!K2241</f>
        <v>2.25</v>
      </c>
      <c r="I2241" t="str">
        <f t="shared" si="102"/>
        <v>YES</v>
      </c>
      <c r="J2241">
        <f>Cleaned_Data!J2241</f>
        <v>8</v>
      </c>
      <c r="K2241" t="str">
        <f t="shared" si="103"/>
        <v>2024-07</v>
      </c>
      <c r="L2241">
        <f t="shared" si="104"/>
        <v>0</v>
      </c>
    </row>
    <row r="2242" spans="1:12">
      <c r="A2242" t="s">
        <v>6503</v>
      </c>
      <c r="B2242" t="s">
        <v>6504</v>
      </c>
      <c r="C2242" t="s">
        <v>6505</v>
      </c>
      <c r="D2242" t="s">
        <v>23</v>
      </c>
      <c r="E2242" t="s">
        <v>16</v>
      </c>
      <c r="F2242" t="s">
        <v>17</v>
      </c>
      <c r="G2242" t="s">
        <v>31</v>
      </c>
      <c r="H2242">
        <f>Cleaned_Data!K2242</f>
        <v>7.54</v>
      </c>
      <c r="I2242" t="str">
        <f t="shared" ref="I2242:I2305" si="105">IF(OR(G2242="Resolved", G2242="Closed"), IF(AND(H2242&lt;&gt;"", H2242&lt;=J2242), "YES", "NO"), "")</f>
        <v>YES</v>
      </c>
      <c r="J2242">
        <f>Cleaned_Data!J2242</f>
        <v>24</v>
      </c>
      <c r="K2242" t="str">
        <f t="shared" ref="K2242:K2305" si="106">LEFT(B2242, 7)</f>
        <v>2024-02</v>
      </c>
      <c r="L2242">
        <f t="shared" ref="L2242:L2305" si="107">IF(I2242="NO", H2242-J2242, 0)</f>
        <v>0</v>
      </c>
    </row>
    <row r="2243" spans="1:12">
      <c r="A2243" t="s">
        <v>6506</v>
      </c>
      <c r="B2243" t="s">
        <v>6507</v>
      </c>
      <c r="C2243" t="s">
        <v>6508</v>
      </c>
      <c r="D2243" t="s">
        <v>35</v>
      </c>
      <c r="E2243" t="s">
        <v>54</v>
      </c>
      <c r="F2243" t="s">
        <v>17</v>
      </c>
      <c r="G2243" t="s">
        <v>31</v>
      </c>
      <c r="H2243">
        <f>Cleaned_Data!K2243</f>
        <v>7.49</v>
      </c>
      <c r="I2243" t="str">
        <f t="shared" si="105"/>
        <v>YES</v>
      </c>
      <c r="J2243">
        <f>Cleaned_Data!J2243</f>
        <v>48</v>
      </c>
      <c r="K2243" t="str">
        <f t="shared" si="106"/>
        <v>2024-07</v>
      </c>
      <c r="L2243">
        <f t="shared" si="107"/>
        <v>0</v>
      </c>
    </row>
    <row r="2244" spans="1:12">
      <c r="A2244" t="s">
        <v>6509</v>
      </c>
      <c r="B2244" t="s">
        <v>6510</v>
      </c>
      <c r="C2244" t="s">
        <v>6511</v>
      </c>
      <c r="D2244" t="s">
        <v>23</v>
      </c>
      <c r="E2244" t="s">
        <v>16</v>
      </c>
      <c r="F2244" t="s">
        <v>36</v>
      </c>
      <c r="G2244" t="s">
        <v>19</v>
      </c>
      <c r="H2244">
        <f>Cleaned_Data!K2244</f>
        <v>2.67</v>
      </c>
      <c r="I2244" t="str">
        <f t="shared" si="105"/>
        <v>YES</v>
      </c>
      <c r="J2244">
        <f>Cleaned_Data!J2244</f>
        <v>24</v>
      </c>
      <c r="K2244" t="str">
        <f t="shared" si="106"/>
        <v>2024-05</v>
      </c>
      <c r="L2244">
        <f t="shared" si="107"/>
        <v>0</v>
      </c>
    </row>
    <row r="2245" spans="1:12">
      <c r="A2245" t="s">
        <v>6512</v>
      </c>
      <c r="B2245" t="s">
        <v>6513</v>
      </c>
      <c r="C2245" t="s">
        <v>6514</v>
      </c>
      <c r="D2245" t="s">
        <v>35</v>
      </c>
      <c r="E2245" t="s">
        <v>28</v>
      </c>
      <c r="F2245" t="s">
        <v>17</v>
      </c>
      <c r="G2245" t="s">
        <v>31</v>
      </c>
      <c r="H2245">
        <f>Cleaned_Data!K2245</f>
        <v>22.71</v>
      </c>
      <c r="I2245" t="str">
        <f t="shared" si="105"/>
        <v>YES</v>
      </c>
      <c r="J2245">
        <f>Cleaned_Data!J2245</f>
        <v>48</v>
      </c>
      <c r="K2245" t="str">
        <f t="shared" si="106"/>
        <v>2024-03</v>
      </c>
      <c r="L2245">
        <f t="shared" si="107"/>
        <v>0</v>
      </c>
    </row>
    <row r="2246" spans="1:12">
      <c r="A2246" t="s">
        <v>6515</v>
      </c>
      <c r="B2246" t="s">
        <v>6516</v>
      </c>
      <c r="C2246" t="s">
        <v>6517</v>
      </c>
      <c r="D2246" t="s">
        <v>15</v>
      </c>
      <c r="E2246" t="s">
        <v>16</v>
      </c>
      <c r="F2246" t="s">
        <v>17</v>
      </c>
      <c r="G2246" t="s">
        <v>31</v>
      </c>
      <c r="H2246">
        <f>Cleaned_Data!K2246</f>
        <v>6.08</v>
      </c>
      <c r="I2246" t="str">
        <f t="shared" si="105"/>
        <v>YES</v>
      </c>
      <c r="J2246">
        <f>Cleaned_Data!J2246</f>
        <v>8</v>
      </c>
      <c r="K2246" t="str">
        <f t="shared" si="106"/>
        <v>2024-12</v>
      </c>
      <c r="L2246">
        <f t="shared" si="107"/>
        <v>0</v>
      </c>
    </row>
    <row r="2247" spans="1:12">
      <c r="A2247" t="s">
        <v>6518</v>
      </c>
      <c r="B2247" t="s">
        <v>6519</v>
      </c>
      <c r="C2247" t="s">
        <v>6520</v>
      </c>
      <c r="D2247" t="s">
        <v>23</v>
      </c>
      <c r="E2247" t="s">
        <v>16</v>
      </c>
      <c r="F2247" t="s">
        <v>41</v>
      </c>
      <c r="G2247" t="s">
        <v>19</v>
      </c>
      <c r="H2247">
        <f>Cleaned_Data!K2247</f>
        <v>22.48</v>
      </c>
      <c r="I2247" t="str">
        <f t="shared" si="105"/>
        <v>YES</v>
      </c>
      <c r="J2247">
        <f>Cleaned_Data!J2247</f>
        <v>24</v>
      </c>
      <c r="K2247" t="str">
        <f t="shared" si="106"/>
        <v>2024-02</v>
      </c>
      <c r="L2247">
        <f t="shared" si="107"/>
        <v>0</v>
      </c>
    </row>
    <row r="2248" spans="1:12">
      <c r="A2248" t="s">
        <v>6521</v>
      </c>
      <c r="B2248" t="s">
        <v>6522</v>
      </c>
      <c r="C2248" t="s">
        <v>6523</v>
      </c>
      <c r="D2248" t="s">
        <v>23</v>
      </c>
      <c r="E2248" t="s">
        <v>28</v>
      </c>
      <c r="F2248" t="s">
        <v>41</v>
      </c>
      <c r="G2248" t="s">
        <v>19</v>
      </c>
      <c r="H2248">
        <f>Cleaned_Data!K2248</f>
        <v>14.32</v>
      </c>
      <c r="I2248" t="str">
        <f t="shared" si="105"/>
        <v>YES</v>
      </c>
      <c r="J2248">
        <f>Cleaned_Data!J2248</f>
        <v>24</v>
      </c>
      <c r="K2248" t="str">
        <f t="shared" si="106"/>
        <v>2024-10</v>
      </c>
      <c r="L2248">
        <f t="shared" si="107"/>
        <v>0</v>
      </c>
    </row>
    <row r="2249" spans="1:12">
      <c r="A2249" t="s">
        <v>6524</v>
      </c>
      <c r="B2249" t="s">
        <v>6525</v>
      </c>
      <c r="C2249" t="s">
        <v>6526</v>
      </c>
      <c r="D2249" t="s">
        <v>15</v>
      </c>
      <c r="E2249" t="s">
        <v>24</v>
      </c>
      <c r="F2249" t="s">
        <v>36</v>
      </c>
      <c r="G2249" t="s">
        <v>19</v>
      </c>
      <c r="H2249">
        <f>Cleaned_Data!K2249</f>
        <v>3.63</v>
      </c>
      <c r="I2249" t="str">
        <f t="shared" si="105"/>
        <v>YES</v>
      </c>
      <c r="J2249">
        <f>Cleaned_Data!J2249</f>
        <v>8</v>
      </c>
      <c r="K2249" t="str">
        <f t="shared" si="106"/>
        <v>2024-03</v>
      </c>
      <c r="L2249">
        <f t="shared" si="107"/>
        <v>0</v>
      </c>
    </row>
    <row r="2250" spans="1:12">
      <c r="A2250" t="s">
        <v>6527</v>
      </c>
      <c r="B2250" t="s">
        <v>6528</v>
      </c>
      <c r="C2250" t="s">
        <v>6529</v>
      </c>
      <c r="D2250" t="s">
        <v>35</v>
      </c>
      <c r="E2250" t="s">
        <v>24</v>
      </c>
      <c r="F2250" t="s">
        <v>29</v>
      </c>
      <c r="G2250" t="s">
        <v>31</v>
      </c>
      <c r="H2250">
        <f>Cleaned_Data!K2250</f>
        <v>43.35</v>
      </c>
      <c r="I2250" t="str">
        <f t="shared" si="105"/>
        <v>YES</v>
      </c>
      <c r="J2250">
        <f>Cleaned_Data!J2250</f>
        <v>48</v>
      </c>
      <c r="K2250" t="str">
        <f t="shared" si="106"/>
        <v>2024-09</v>
      </c>
      <c r="L2250">
        <f t="shared" si="107"/>
        <v>0</v>
      </c>
    </row>
    <row r="2251" spans="1:12">
      <c r="A2251" t="s">
        <v>6530</v>
      </c>
      <c r="B2251" t="s">
        <v>6531</v>
      </c>
      <c r="C2251" t="s">
        <v>6532</v>
      </c>
      <c r="D2251" t="s">
        <v>15</v>
      </c>
      <c r="E2251" t="s">
        <v>59</v>
      </c>
      <c r="F2251" t="s">
        <v>36</v>
      </c>
      <c r="G2251" t="s">
        <v>19</v>
      </c>
      <c r="H2251">
        <f>Cleaned_Data!K2251</f>
        <v>16.84</v>
      </c>
      <c r="I2251" t="str">
        <f t="shared" si="105"/>
        <v>NO</v>
      </c>
      <c r="J2251">
        <f>Cleaned_Data!J2251</f>
        <v>8</v>
      </c>
      <c r="K2251" t="str">
        <f t="shared" si="106"/>
        <v>2024-07</v>
      </c>
      <c r="L2251">
        <f t="shared" si="107"/>
        <v>8.84</v>
      </c>
    </row>
    <row r="2252" spans="1:12">
      <c r="A2252" t="s">
        <v>6533</v>
      </c>
      <c r="B2252" t="s">
        <v>6534</v>
      </c>
      <c r="C2252" t="s">
        <v>6535</v>
      </c>
      <c r="D2252" t="s">
        <v>23</v>
      </c>
      <c r="E2252" t="s">
        <v>24</v>
      </c>
      <c r="F2252" t="s">
        <v>60</v>
      </c>
      <c r="G2252" t="s">
        <v>31</v>
      </c>
      <c r="H2252">
        <f>Cleaned_Data!K2252</f>
        <v>4.82</v>
      </c>
      <c r="I2252" t="str">
        <f t="shared" si="105"/>
        <v>YES</v>
      </c>
      <c r="J2252">
        <f>Cleaned_Data!J2252</f>
        <v>24</v>
      </c>
      <c r="K2252" t="str">
        <f t="shared" si="106"/>
        <v>2024-08</v>
      </c>
      <c r="L2252">
        <f t="shared" si="107"/>
        <v>0</v>
      </c>
    </row>
    <row r="2253" spans="1:12">
      <c r="A2253" t="s">
        <v>6536</v>
      </c>
      <c r="B2253" t="s">
        <v>6537</v>
      </c>
      <c r="C2253" t="s">
        <v>6538</v>
      </c>
      <c r="D2253" t="s">
        <v>158</v>
      </c>
      <c r="E2253" t="s">
        <v>28</v>
      </c>
      <c r="F2253" t="s">
        <v>29</v>
      </c>
      <c r="G2253" t="s">
        <v>31</v>
      </c>
      <c r="H2253">
        <f>Cleaned_Data!K2253</f>
        <v>7.79</v>
      </c>
      <c r="I2253" t="str">
        <f t="shared" si="105"/>
        <v>NO</v>
      </c>
      <c r="J2253">
        <f>Cleaned_Data!J2253</f>
        <v>4</v>
      </c>
      <c r="K2253" t="str">
        <f t="shared" si="106"/>
        <v>2024-07</v>
      </c>
      <c r="L2253">
        <f t="shared" si="107"/>
        <v>3.79</v>
      </c>
    </row>
    <row r="2254" spans="1:12">
      <c r="A2254" t="s">
        <v>6539</v>
      </c>
      <c r="B2254" t="s">
        <v>6540</v>
      </c>
      <c r="C2254" t="s">
        <v>6541</v>
      </c>
      <c r="D2254" t="s">
        <v>158</v>
      </c>
      <c r="E2254" t="s">
        <v>28</v>
      </c>
      <c r="F2254" t="s">
        <v>41</v>
      </c>
      <c r="G2254" t="s">
        <v>19</v>
      </c>
      <c r="H2254">
        <f>Cleaned_Data!K2254</f>
        <v>1.74</v>
      </c>
      <c r="I2254" t="str">
        <f t="shared" si="105"/>
        <v>YES</v>
      </c>
      <c r="J2254">
        <f>Cleaned_Data!J2254</f>
        <v>4</v>
      </c>
      <c r="K2254" t="str">
        <f t="shared" si="106"/>
        <v>2024-12</v>
      </c>
      <c r="L2254">
        <f t="shared" si="107"/>
        <v>0</v>
      </c>
    </row>
    <row r="2255" spans="1:12">
      <c r="A2255" t="s">
        <v>6542</v>
      </c>
      <c r="B2255" t="s">
        <v>6543</v>
      </c>
      <c r="C2255" t="s">
        <v>6544</v>
      </c>
      <c r="D2255" t="s">
        <v>23</v>
      </c>
      <c r="E2255" t="s">
        <v>16</v>
      </c>
      <c r="F2255" t="s">
        <v>29</v>
      </c>
      <c r="G2255" t="s">
        <v>31</v>
      </c>
      <c r="H2255">
        <f>Cleaned_Data!K2255</f>
        <v>11.2</v>
      </c>
      <c r="I2255" t="str">
        <f t="shared" si="105"/>
        <v>YES</v>
      </c>
      <c r="J2255">
        <f>Cleaned_Data!J2255</f>
        <v>24</v>
      </c>
      <c r="K2255" t="str">
        <f t="shared" si="106"/>
        <v>2024-04</v>
      </c>
      <c r="L2255">
        <f t="shared" si="107"/>
        <v>0</v>
      </c>
    </row>
    <row r="2256" spans="1:12">
      <c r="A2256" t="s">
        <v>6545</v>
      </c>
      <c r="B2256" t="s">
        <v>6546</v>
      </c>
      <c r="C2256" t="s">
        <v>6547</v>
      </c>
      <c r="D2256" t="s">
        <v>15</v>
      </c>
      <c r="E2256" t="s">
        <v>16</v>
      </c>
      <c r="F2256" t="s">
        <v>17</v>
      </c>
      <c r="G2256" t="s">
        <v>19</v>
      </c>
      <c r="H2256">
        <f>Cleaned_Data!K2256</f>
        <v>5.2</v>
      </c>
      <c r="I2256" t="str">
        <f t="shared" si="105"/>
        <v>YES</v>
      </c>
      <c r="J2256">
        <f>Cleaned_Data!J2256</f>
        <v>8</v>
      </c>
      <c r="K2256" t="str">
        <f t="shared" si="106"/>
        <v>2024-09</v>
      </c>
      <c r="L2256">
        <f t="shared" si="107"/>
        <v>0</v>
      </c>
    </row>
    <row r="2257" spans="1:12">
      <c r="A2257" t="s">
        <v>6548</v>
      </c>
      <c r="B2257" t="s">
        <v>6549</v>
      </c>
      <c r="C2257" t="s">
        <v>6550</v>
      </c>
      <c r="D2257" t="s">
        <v>15</v>
      </c>
      <c r="E2257" t="s">
        <v>16</v>
      </c>
      <c r="F2257" t="s">
        <v>41</v>
      </c>
      <c r="G2257" t="s">
        <v>19</v>
      </c>
      <c r="H2257">
        <f>Cleaned_Data!K2257</f>
        <v>9.7799999999999994</v>
      </c>
      <c r="I2257" t="str">
        <f t="shared" si="105"/>
        <v>NO</v>
      </c>
      <c r="J2257">
        <f>Cleaned_Data!J2257</f>
        <v>8</v>
      </c>
      <c r="K2257" t="str">
        <f t="shared" si="106"/>
        <v>2024-06</v>
      </c>
      <c r="L2257">
        <f t="shared" si="107"/>
        <v>1.7799999999999994</v>
      </c>
    </row>
    <row r="2258" spans="1:12">
      <c r="A2258" t="s">
        <v>6551</v>
      </c>
      <c r="B2258" t="s">
        <v>6552</v>
      </c>
      <c r="C2258" t="s">
        <v>6553</v>
      </c>
      <c r="D2258" t="s">
        <v>15</v>
      </c>
      <c r="E2258" t="s">
        <v>28</v>
      </c>
      <c r="F2258" t="s">
        <v>17</v>
      </c>
      <c r="G2258" t="s">
        <v>19</v>
      </c>
      <c r="H2258">
        <f>Cleaned_Data!K2258</f>
        <v>5.53</v>
      </c>
      <c r="I2258" t="str">
        <f t="shared" si="105"/>
        <v>YES</v>
      </c>
      <c r="J2258">
        <f>Cleaned_Data!J2258</f>
        <v>8</v>
      </c>
      <c r="K2258" t="str">
        <f t="shared" si="106"/>
        <v>2024-04</v>
      </c>
      <c r="L2258">
        <f t="shared" si="107"/>
        <v>0</v>
      </c>
    </row>
    <row r="2259" spans="1:12">
      <c r="A2259" t="s">
        <v>6554</v>
      </c>
      <c r="B2259" t="s">
        <v>6555</v>
      </c>
      <c r="C2259" t="s">
        <v>6556</v>
      </c>
      <c r="D2259" t="s">
        <v>15</v>
      </c>
      <c r="E2259" t="s">
        <v>28</v>
      </c>
      <c r="F2259" t="s">
        <v>60</v>
      </c>
      <c r="G2259" t="s">
        <v>31</v>
      </c>
      <c r="H2259">
        <f>Cleaned_Data!K2259</f>
        <v>5.8</v>
      </c>
      <c r="I2259" t="str">
        <f t="shared" si="105"/>
        <v>YES</v>
      </c>
      <c r="J2259">
        <f>Cleaned_Data!J2259</f>
        <v>8</v>
      </c>
      <c r="K2259" t="str">
        <f t="shared" si="106"/>
        <v>2024-02</v>
      </c>
      <c r="L2259">
        <f t="shared" si="107"/>
        <v>0</v>
      </c>
    </row>
    <row r="2260" spans="1:12">
      <c r="A2260" t="s">
        <v>6557</v>
      </c>
      <c r="B2260" t="s">
        <v>6558</v>
      </c>
      <c r="C2260" t="s">
        <v>6559</v>
      </c>
      <c r="D2260" t="s">
        <v>35</v>
      </c>
      <c r="E2260" t="s">
        <v>54</v>
      </c>
      <c r="F2260" t="s">
        <v>60</v>
      </c>
      <c r="G2260" t="s">
        <v>19</v>
      </c>
      <c r="H2260">
        <f>Cleaned_Data!K2260</f>
        <v>17.489999999999998</v>
      </c>
      <c r="I2260" t="str">
        <f t="shared" si="105"/>
        <v>YES</v>
      </c>
      <c r="J2260">
        <f>Cleaned_Data!J2260</f>
        <v>48</v>
      </c>
      <c r="K2260" t="str">
        <f t="shared" si="106"/>
        <v>2024-08</v>
      </c>
      <c r="L2260">
        <f t="shared" si="107"/>
        <v>0</v>
      </c>
    </row>
    <row r="2261" spans="1:12">
      <c r="A2261" t="s">
        <v>6560</v>
      </c>
      <c r="B2261" t="s">
        <v>6561</v>
      </c>
      <c r="C2261" t="s">
        <v>6562</v>
      </c>
      <c r="D2261" t="s">
        <v>23</v>
      </c>
      <c r="E2261" t="s">
        <v>54</v>
      </c>
      <c r="F2261" t="s">
        <v>41</v>
      </c>
      <c r="G2261" t="s">
        <v>19</v>
      </c>
      <c r="H2261">
        <f>Cleaned_Data!K2261</f>
        <v>18.82</v>
      </c>
      <c r="I2261" t="str">
        <f t="shared" si="105"/>
        <v>YES</v>
      </c>
      <c r="J2261">
        <f>Cleaned_Data!J2261</f>
        <v>24</v>
      </c>
      <c r="K2261" t="str">
        <f t="shared" si="106"/>
        <v>2024-02</v>
      </c>
      <c r="L2261">
        <f t="shared" si="107"/>
        <v>0</v>
      </c>
    </row>
    <row r="2262" spans="1:12">
      <c r="A2262" t="s">
        <v>6563</v>
      </c>
      <c r="B2262" t="s">
        <v>6564</v>
      </c>
      <c r="C2262" t="s">
        <v>6565</v>
      </c>
      <c r="D2262" t="s">
        <v>35</v>
      </c>
      <c r="E2262" t="s">
        <v>59</v>
      </c>
      <c r="F2262" t="s">
        <v>41</v>
      </c>
      <c r="G2262" t="s">
        <v>31</v>
      </c>
      <c r="H2262">
        <f>Cleaned_Data!K2262</f>
        <v>19.68</v>
      </c>
      <c r="I2262" t="str">
        <f t="shared" si="105"/>
        <v>YES</v>
      </c>
      <c r="J2262">
        <f>Cleaned_Data!J2262</f>
        <v>48</v>
      </c>
      <c r="K2262" t="str">
        <f t="shared" si="106"/>
        <v>2024-10</v>
      </c>
      <c r="L2262">
        <f t="shared" si="107"/>
        <v>0</v>
      </c>
    </row>
    <row r="2263" spans="1:12">
      <c r="A2263" t="s">
        <v>6566</v>
      </c>
      <c r="B2263" t="s">
        <v>6567</v>
      </c>
      <c r="C2263" t="s">
        <v>6568</v>
      </c>
      <c r="D2263" t="s">
        <v>15</v>
      </c>
      <c r="E2263" t="s">
        <v>28</v>
      </c>
      <c r="F2263" t="s">
        <v>36</v>
      </c>
      <c r="G2263" t="s">
        <v>19</v>
      </c>
      <c r="H2263">
        <f>Cleaned_Data!K2263</f>
        <v>6.47</v>
      </c>
      <c r="I2263" t="str">
        <f t="shared" si="105"/>
        <v>YES</v>
      </c>
      <c r="J2263">
        <f>Cleaned_Data!J2263</f>
        <v>8</v>
      </c>
      <c r="K2263" t="str">
        <f t="shared" si="106"/>
        <v>2024-04</v>
      </c>
      <c r="L2263">
        <f t="shared" si="107"/>
        <v>0</v>
      </c>
    </row>
    <row r="2264" spans="1:12">
      <c r="A2264" t="s">
        <v>6569</v>
      </c>
      <c r="B2264" t="s">
        <v>6570</v>
      </c>
      <c r="C2264" t="s">
        <v>6571</v>
      </c>
      <c r="D2264" t="s">
        <v>23</v>
      </c>
      <c r="E2264" t="s">
        <v>24</v>
      </c>
      <c r="F2264" t="s">
        <v>29</v>
      </c>
      <c r="G2264" t="s">
        <v>31</v>
      </c>
      <c r="H2264">
        <f>Cleaned_Data!K2264</f>
        <v>10.36</v>
      </c>
      <c r="I2264" t="str">
        <f t="shared" si="105"/>
        <v>YES</v>
      </c>
      <c r="J2264">
        <f>Cleaned_Data!J2264</f>
        <v>24</v>
      </c>
      <c r="K2264" t="str">
        <f t="shared" si="106"/>
        <v>2024-07</v>
      </c>
      <c r="L2264">
        <f t="shared" si="107"/>
        <v>0</v>
      </c>
    </row>
    <row r="2265" spans="1:12">
      <c r="A2265" t="s">
        <v>6572</v>
      </c>
      <c r="B2265" t="s">
        <v>6573</v>
      </c>
      <c r="C2265" t="s">
        <v>6574</v>
      </c>
      <c r="D2265" t="s">
        <v>15</v>
      </c>
      <c r="E2265" t="s">
        <v>28</v>
      </c>
      <c r="F2265" t="s">
        <v>41</v>
      </c>
      <c r="G2265" t="s">
        <v>31</v>
      </c>
      <c r="H2265">
        <f>Cleaned_Data!K2265</f>
        <v>20.84</v>
      </c>
      <c r="I2265" t="str">
        <f t="shared" si="105"/>
        <v>NO</v>
      </c>
      <c r="J2265">
        <f>Cleaned_Data!J2265</f>
        <v>8</v>
      </c>
      <c r="K2265" t="str">
        <f t="shared" si="106"/>
        <v>2024-09</v>
      </c>
      <c r="L2265">
        <f t="shared" si="107"/>
        <v>12.84</v>
      </c>
    </row>
    <row r="2266" spans="1:12">
      <c r="A2266" t="s">
        <v>6575</v>
      </c>
      <c r="B2266" t="s">
        <v>6576</v>
      </c>
      <c r="C2266" t="s">
        <v>6577</v>
      </c>
      <c r="D2266" t="s">
        <v>35</v>
      </c>
      <c r="E2266" t="s">
        <v>59</v>
      </c>
      <c r="F2266" t="s">
        <v>29</v>
      </c>
      <c r="G2266" t="s">
        <v>19</v>
      </c>
      <c r="H2266">
        <f>Cleaned_Data!K2266</f>
        <v>19.93</v>
      </c>
      <c r="I2266" t="str">
        <f t="shared" si="105"/>
        <v>YES</v>
      </c>
      <c r="J2266">
        <f>Cleaned_Data!J2266</f>
        <v>48</v>
      </c>
      <c r="K2266" t="str">
        <f t="shared" si="106"/>
        <v>2024-10</v>
      </c>
      <c r="L2266">
        <f t="shared" si="107"/>
        <v>0</v>
      </c>
    </row>
    <row r="2267" spans="1:12">
      <c r="A2267" t="s">
        <v>6578</v>
      </c>
      <c r="B2267" t="s">
        <v>6579</v>
      </c>
      <c r="C2267" t="s">
        <v>6580</v>
      </c>
      <c r="D2267" t="s">
        <v>15</v>
      </c>
      <c r="E2267" t="s">
        <v>28</v>
      </c>
      <c r="F2267" t="s">
        <v>60</v>
      </c>
      <c r="G2267" t="s">
        <v>19</v>
      </c>
      <c r="H2267">
        <f>Cleaned_Data!K2267</f>
        <v>3.73</v>
      </c>
      <c r="I2267" t="str">
        <f t="shared" si="105"/>
        <v>YES</v>
      </c>
      <c r="J2267">
        <f>Cleaned_Data!J2267</f>
        <v>8</v>
      </c>
      <c r="K2267" t="str">
        <f t="shared" si="106"/>
        <v>2024-11</v>
      </c>
      <c r="L2267">
        <f t="shared" si="107"/>
        <v>0</v>
      </c>
    </row>
    <row r="2268" spans="1:12">
      <c r="A2268" t="s">
        <v>6581</v>
      </c>
      <c r="B2268" t="s">
        <v>6582</v>
      </c>
      <c r="C2268" t="s">
        <v>6583</v>
      </c>
      <c r="D2268" t="s">
        <v>158</v>
      </c>
      <c r="E2268" t="s">
        <v>28</v>
      </c>
      <c r="F2268" t="s">
        <v>29</v>
      </c>
      <c r="G2268" t="s">
        <v>19</v>
      </c>
      <c r="H2268">
        <f>Cleaned_Data!K2268</f>
        <v>8.67</v>
      </c>
      <c r="I2268" t="str">
        <f t="shared" si="105"/>
        <v>NO</v>
      </c>
      <c r="J2268">
        <f>Cleaned_Data!J2268</f>
        <v>4</v>
      </c>
      <c r="K2268" t="str">
        <f t="shared" si="106"/>
        <v>2024-02</v>
      </c>
      <c r="L2268">
        <f t="shared" si="107"/>
        <v>4.67</v>
      </c>
    </row>
    <row r="2269" spans="1:12">
      <c r="A2269" t="s">
        <v>6584</v>
      </c>
      <c r="B2269" t="s">
        <v>6585</v>
      </c>
      <c r="C2269" t="s">
        <v>6586</v>
      </c>
      <c r="D2269" t="s">
        <v>23</v>
      </c>
      <c r="E2269" t="s">
        <v>59</v>
      </c>
      <c r="F2269" t="s">
        <v>60</v>
      </c>
      <c r="G2269" t="s">
        <v>31</v>
      </c>
      <c r="H2269">
        <f>Cleaned_Data!K2269</f>
        <v>10.54</v>
      </c>
      <c r="I2269" t="str">
        <f t="shared" si="105"/>
        <v>YES</v>
      </c>
      <c r="J2269">
        <f>Cleaned_Data!J2269</f>
        <v>24</v>
      </c>
      <c r="K2269" t="str">
        <f t="shared" si="106"/>
        <v>2024-12</v>
      </c>
      <c r="L2269">
        <f t="shared" si="107"/>
        <v>0</v>
      </c>
    </row>
    <row r="2270" spans="1:12">
      <c r="A2270" t="s">
        <v>6587</v>
      </c>
      <c r="B2270" t="s">
        <v>6588</v>
      </c>
      <c r="C2270" t="s">
        <v>6589</v>
      </c>
      <c r="D2270" t="s">
        <v>35</v>
      </c>
      <c r="E2270" t="s">
        <v>54</v>
      </c>
      <c r="F2270" t="s">
        <v>41</v>
      </c>
      <c r="G2270" t="s">
        <v>31</v>
      </c>
      <c r="H2270">
        <f>Cleaned_Data!K2270</f>
        <v>39.619999999999997</v>
      </c>
      <c r="I2270" t="str">
        <f t="shared" si="105"/>
        <v>YES</v>
      </c>
      <c r="J2270">
        <f>Cleaned_Data!J2270</f>
        <v>48</v>
      </c>
      <c r="K2270" t="str">
        <f t="shared" si="106"/>
        <v>2024-11</v>
      </c>
      <c r="L2270">
        <f t="shared" si="107"/>
        <v>0</v>
      </c>
    </row>
    <row r="2271" spans="1:12">
      <c r="A2271" t="s">
        <v>6590</v>
      </c>
      <c r="B2271" t="s">
        <v>6591</v>
      </c>
      <c r="C2271" t="s">
        <v>6592</v>
      </c>
      <c r="D2271" t="s">
        <v>35</v>
      </c>
      <c r="E2271" t="s">
        <v>28</v>
      </c>
      <c r="F2271" t="s">
        <v>17</v>
      </c>
      <c r="G2271" t="s">
        <v>31</v>
      </c>
      <c r="H2271">
        <f>Cleaned_Data!K2271</f>
        <v>9.64</v>
      </c>
      <c r="I2271" t="str">
        <f t="shared" si="105"/>
        <v>YES</v>
      </c>
      <c r="J2271">
        <f>Cleaned_Data!J2271</f>
        <v>48</v>
      </c>
      <c r="K2271" t="str">
        <f t="shared" si="106"/>
        <v>2024-06</v>
      </c>
      <c r="L2271">
        <f t="shared" si="107"/>
        <v>0</v>
      </c>
    </row>
    <row r="2272" spans="1:12">
      <c r="A2272" t="s">
        <v>6593</v>
      </c>
      <c r="B2272" t="s">
        <v>6594</v>
      </c>
      <c r="C2272" t="s">
        <v>6595</v>
      </c>
      <c r="D2272" t="s">
        <v>35</v>
      </c>
      <c r="E2272" t="s">
        <v>28</v>
      </c>
      <c r="F2272" t="s">
        <v>29</v>
      </c>
      <c r="G2272" t="s">
        <v>19</v>
      </c>
      <c r="H2272">
        <f>Cleaned_Data!K2272</f>
        <v>37.14</v>
      </c>
      <c r="I2272" t="str">
        <f t="shared" si="105"/>
        <v>YES</v>
      </c>
      <c r="J2272">
        <f>Cleaned_Data!J2272</f>
        <v>48</v>
      </c>
      <c r="K2272" t="str">
        <f t="shared" si="106"/>
        <v>2024-02</v>
      </c>
      <c r="L2272">
        <f t="shared" si="107"/>
        <v>0</v>
      </c>
    </row>
    <row r="2273" spans="1:12">
      <c r="A2273" t="s">
        <v>6596</v>
      </c>
      <c r="B2273" t="s">
        <v>6597</v>
      </c>
      <c r="C2273" t="s">
        <v>6598</v>
      </c>
      <c r="D2273" t="s">
        <v>35</v>
      </c>
      <c r="E2273" t="s">
        <v>28</v>
      </c>
      <c r="F2273" t="s">
        <v>29</v>
      </c>
      <c r="G2273" t="s">
        <v>19</v>
      </c>
      <c r="H2273">
        <f>Cleaned_Data!K2273</f>
        <v>23.27</v>
      </c>
      <c r="I2273" t="str">
        <f t="shared" si="105"/>
        <v>YES</v>
      </c>
      <c r="J2273">
        <f>Cleaned_Data!J2273</f>
        <v>48</v>
      </c>
      <c r="K2273" t="str">
        <f t="shared" si="106"/>
        <v>2024-06</v>
      </c>
      <c r="L2273">
        <f t="shared" si="107"/>
        <v>0</v>
      </c>
    </row>
    <row r="2274" spans="1:12">
      <c r="A2274" t="s">
        <v>6599</v>
      </c>
      <c r="B2274" t="s">
        <v>6600</v>
      </c>
      <c r="C2274" t="s">
        <v>6601</v>
      </c>
      <c r="D2274" t="s">
        <v>23</v>
      </c>
      <c r="E2274" t="s">
        <v>28</v>
      </c>
      <c r="F2274" t="s">
        <v>36</v>
      </c>
      <c r="G2274" t="s">
        <v>19</v>
      </c>
      <c r="H2274">
        <f>Cleaned_Data!K2274</f>
        <v>4.8899999999999997</v>
      </c>
      <c r="I2274" t="str">
        <f t="shared" si="105"/>
        <v>YES</v>
      </c>
      <c r="J2274">
        <f>Cleaned_Data!J2274</f>
        <v>24</v>
      </c>
      <c r="K2274" t="str">
        <f t="shared" si="106"/>
        <v>2024-09</v>
      </c>
      <c r="L2274">
        <f t="shared" si="107"/>
        <v>0</v>
      </c>
    </row>
    <row r="2275" spans="1:12">
      <c r="A2275" t="s">
        <v>6602</v>
      </c>
      <c r="B2275" t="s">
        <v>6603</v>
      </c>
      <c r="C2275" t="s">
        <v>6604</v>
      </c>
      <c r="D2275" t="s">
        <v>23</v>
      </c>
      <c r="E2275" t="s">
        <v>24</v>
      </c>
      <c r="F2275" t="s">
        <v>36</v>
      </c>
      <c r="G2275" t="s">
        <v>19</v>
      </c>
      <c r="H2275">
        <f>Cleaned_Data!K2275</f>
        <v>4.28</v>
      </c>
      <c r="I2275" t="str">
        <f t="shared" si="105"/>
        <v>YES</v>
      </c>
      <c r="J2275">
        <f>Cleaned_Data!J2275</f>
        <v>24</v>
      </c>
      <c r="K2275" t="str">
        <f t="shared" si="106"/>
        <v>2024-11</v>
      </c>
      <c r="L2275">
        <f t="shared" si="107"/>
        <v>0</v>
      </c>
    </row>
    <row r="2276" spans="1:12">
      <c r="A2276" t="s">
        <v>6605</v>
      </c>
      <c r="B2276" t="s">
        <v>6606</v>
      </c>
      <c r="C2276" t="s">
        <v>6607</v>
      </c>
      <c r="D2276" t="s">
        <v>15</v>
      </c>
      <c r="E2276" t="s">
        <v>28</v>
      </c>
      <c r="F2276" t="s">
        <v>29</v>
      </c>
      <c r="G2276" t="s">
        <v>31</v>
      </c>
      <c r="H2276">
        <f>Cleaned_Data!K2276</f>
        <v>6.96</v>
      </c>
      <c r="I2276" t="str">
        <f t="shared" si="105"/>
        <v>YES</v>
      </c>
      <c r="J2276">
        <f>Cleaned_Data!J2276</f>
        <v>8</v>
      </c>
      <c r="K2276" t="str">
        <f t="shared" si="106"/>
        <v>2024-04</v>
      </c>
      <c r="L2276">
        <f t="shared" si="107"/>
        <v>0</v>
      </c>
    </row>
    <row r="2277" spans="1:12">
      <c r="A2277" t="s">
        <v>6608</v>
      </c>
      <c r="B2277" t="s">
        <v>6609</v>
      </c>
      <c r="C2277" t="s">
        <v>6610</v>
      </c>
      <c r="D2277" t="s">
        <v>15</v>
      </c>
      <c r="E2277" t="s">
        <v>24</v>
      </c>
      <c r="F2277" t="s">
        <v>41</v>
      </c>
      <c r="G2277" t="s">
        <v>19</v>
      </c>
      <c r="H2277">
        <f>Cleaned_Data!K2277</f>
        <v>7.36</v>
      </c>
      <c r="I2277" t="str">
        <f t="shared" si="105"/>
        <v>YES</v>
      </c>
      <c r="J2277">
        <f>Cleaned_Data!J2277</f>
        <v>8</v>
      </c>
      <c r="K2277" t="str">
        <f t="shared" si="106"/>
        <v>2024-04</v>
      </c>
      <c r="L2277">
        <f t="shared" si="107"/>
        <v>0</v>
      </c>
    </row>
    <row r="2278" spans="1:12">
      <c r="A2278" t="s">
        <v>6611</v>
      </c>
      <c r="B2278" t="s">
        <v>6612</v>
      </c>
      <c r="C2278" t="s">
        <v>6613</v>
      </c>
      <c r="D2278" t="s">
        <v>35</v>
      </c>
      <c r="E2278" t="s">
        <v>24</v>
      </c>
      <c r="F2278" t="s">
        <v>60</v>
      </c>
      <c r="G2278" t="s">
        <v>31</v>
      </c>
      <c r="H2278">
        <f>Cleaned_Data!K2278</f>
        <v>127.19</v>
      </c>
      <c r="I2278" t="str">
        <f t="shared" si="105"/>
        <v>NO</v>
      </c>
      <c r="J2278">
        <f>Cleaned_Data!J2278</f>
        <v>48</v>
      </c>
      <c r="K2278" t="str">
        <f t="shared" si="106"/>
        <v>2024-12</v>
      </c>
      <c r="L2278">
        <f t="shared" si="107"/>
        <v>79.19</v>
      </c>
    </row>
    <row r="2279" spans="1:12">
      <c r="A2279" t="s">
        <v>6614</v>
      </c>
      <c r="B2279" t="s">
        <v>6615</v>
      </c>
      <c r="C2279" t="s">
        <v>6616</v>
      </c>
      <c r="D2279" t="s">
        <v>23</v>
      </c>
      <c r="E2279" t="s">
        <v>24</v>
      </c>
      <c r="F2279" t="s">
        <v>41</v>
      </c>
      <c r="G2279" t="s">
        <v>31</v>
      </c>
      <c r="H2279">
        <f>Cleaned_Data!K2279</f>
        <v>6.38</v>
      </c>
      <c r="I2279" t="str">
        <f t="shared" si="105"/>
        <v>YES</v>
      </c>
      <c r="J2279">
        <f>Cleaned_Data!J2279</f>
        <v>24</v>
      </c>
      <c r="K2279" t="str">
        <f t="shared" si="106"/>
        <v>2024-06</v>
      </c>
      <c r="L2279">
        <f t="shared" si="107"/>
        <v>0</v>
      </c>
    </row>
    <row r="2280" spans="1:12">
      <c r="A2280" t="s">
        <v>6617</v>
      </c>
      <c r="B2280" t="s">
        <v>6618</v>
      </c>
      <c r="C2280" t="s">
        <v>6619</v>
      </c>
      <c r="D2280" t="s">
        <v>35</v>
      </c>
      <c r="E2280" t="s">
        <v>54</v>
      </c>
      <c r="F2280" t="s">
        <v>36</v>
      </c>
      <c r="G2280" t="s">
        <v>31</v>
      </c>
      <c r="H2280">
        <f>Cleaned_Data!K2280</f>
        <v>38</v>
      </c>
      <c r="I2280" t="str">
        <f t="shared" si="105"/>
        <v>YES</v>
      </c>
      <c r="J2280">
        <f>Cleaned_Data!J2280</f>
        <v>48</v>
      </c>
      <c r="K2280" t="str">
        <f t="shared" si="106"/>
        <v>2024-04</v>
      </c>
      <c r="L2280">
        <f t="shared" si="107"/>
        <v>0</v>
      </c>
    </row>
    <row r="2281" spans="1:12">
      <c r="A2281" t="s">
        <v>6620</v>
      </c>
      <c r="B2281" t="s">
        <v>6621</v>
      </c>
      <c r="C2281" t="s">
        <v>6622</v>
      </c>
      <c r="D2281" t="s">
        <v>158</v>
      </c>
      <c r="E2281" t="s">
        <v>59</v>
      </c>
      <c r="F2281" t="s">
        <v>29</v>
      </c>
      <c r="G2281" t="s">
        <v>19</v>
      </c>
      <c r="H2281">
        <f>Cleaned_Data!K2281</f>
        <v>4.4800000000000004</v>
      </c>
      <c r="I2281" t="str">
        <f t="shared" si="105"/>
        <v>NO</v>
      </c>
      <c r="J2281">
        <f>Cleaned_Data!J2281</f>
        <v>4</v>
      </c>
      <c r="K2281" t="str">
        <f t="shared" si="106"/>
        <v>2024-01</v>
      </c>
      <c r="L2281">
        <f t="shared" si="107"/>
        <v>0.48000000000000043</v>
      </c>
    </row>
    <row r="2282" spans="1:12">
      <c r="A2282" t="s">
        <v>6623</v>
      </c>
      <c r="B2282" t="s">
        <v>6624</v>
      </c>
      <c r="C2282" t="s">
        <v>6625</v>
      </c>
      <c r="D2282" t="s">
        <v>35</v>
      </c>
      <c r="E2282" t="s">
        <v>54</v>
      </c>
      <c r="F2282" t="s">
        <v>17</v>
      </c>
      <c r="G2282" t="s">
        <v>19</v>
      </c>
      <c r="H2282">
        <f>Cleaned_Data!K2282</f>
        <v>31.83</v>
      </c>
      <c r="I2282" t="str">
        <f t="shared" si="105"/>
        <v>YES</v>
      </c>
      <c r="J2282">
        <f>Cleaned_Data!J2282</f>
        <v>48</v>
      </c>
      <c r="K2282" t="str">
        <f t="shared" si="106"/>
        <v>2024-07</v>
      </c>
      <c r="L2282">
        <f t="shared" si="107"/>
        <v>0</v>
      </c>
    </row>
    <row r="2283" spans="1:12">
      <c r="A2283" t="s">
        <v>6626</v>
      </c>
      <c r="B2283" t="s">
        <v>6627</v>
      </c>
      <c r="C2283" t="s">
        <v>6628</v>
      </c>
      <c r="D2283" t="s">
        <v>23</v>
      </c>
      <c r="E2283" t="s">
        <v>54</v>
      </c>
      <c r="F2283" t="s">
        <v>17</v>
      </c>
      <c r="G2283" t="s">
        <v>31</v>
      </c>
      <c r="H2283">
        <f>Cleaned_Data!K2283</f>
        <v>21.14</v>
      </c>
      <c r="I2283" t="str">
        <f t="shared" si="105"/>
        <v>YES</v>
      </c>
      <c r="J2283">
        <f>Cleaned_Data!J2283</f>
        <v>24</v>
      </c>
      <c r="K2283" t="str">
        <f t="shared" si="106"/>
        <v>2024-02</v>
      </c>
      <c r="L2283">
        <f t="shared" si="107"/>
        <v>0</v>
      </c>
    </row>
    <row r="2284" spans="1:12">
      <c r="A2284" t="s">
        <v>6629</v>
      </c>
      <c r="B2284" t="s">
        <v>6630</v>
      </c>
      <c r="D2284" t="s">
        <v>35</v>
      </c>
      <c r="E2284" t="s">
        <v>54</v>
      </c>
      <c r="F2284" t="s">
        <v>41</v>
      </c>
      <c r="G2284" t="s">
        <v>63</v>
      </c>
      <c r="H2284">
        <f>Cleaned_Data!K2284</f>
        <v>0</v>
      </c>
      <c r="I2284" t="str">
        <f t="shared" si="105"/>
        <v/>
      </c>
      <c r="J2284">
        <f>Cleaned_Data!J2284</f>
        <v>48</v>
      </c>
      <c r="K2284" t="str">
        <f t="shared" si="106"/>
        <v>2024-07</v>
      </c>
      <c r="L2284">
        <f t="shared" si="107"/>
        <v>0</v>
      </c>
    </row>
    <row r="2285" spans="1:12">
      <c r="A2285" t="s">
        <v>6631</v>
      </c>
      <c r="B2285" t="s">
        <v>6632</v>
      </c>
      <c r="C2285" t="s">
        <v>6633</v>
      </c>
      <c r="D2285" t="s">
        <v>15</v>
      </c>
      <c r="E2285" t="s">
        <v>28</v>
      </c>
      <c r="F2285" t="s">
        <v>29</v>
      </c>
      <c r="G2285" t="s">
        <v>31</v>
      </c>
      <c r="H2285">
        <f>Cleaned_Data!K2285</f>
        <v>3.46</v>
      </c>
      <c r="I2285" t="str">
        <f t="shared" si="105"/>
        <v>YES</v>
      </c>
      <c r="J2285">
        <f>Cleaned_Data!J2285</f>
        <v>8</v>
      </c>
      <c r="K2285" t="str">
        <f t="shared" si="106"/>
        <v>2024-03</v>
      </c>
      <c r="L2285">
        <f t="shared" si="107"/>
        <v>0</v>
      </c>
    </row>
    <row r="2286" spans="1:12">
      <c r="A2286" t="s">
        <v>6634</v>
      </c>
      <c r="B2286" t="s">
        <v>6635</v>
      </c>
      <c r="C2286" t="s">
        <v>6636</v>
      </c>
      <c r="D2286" t="s">
        <v>23</v>
      </c>
      <c r="E2286" t="s">
        <v>24</v>
      </c>
      <c r="F2286" t="s">
        <v>41</v>
      </c>
      <c r="G2286" t="s">
        <v>19</v>
      </c>
      <c r="H2286">
        <f>Cleaned_Data!K2286</f>
        <v>22.11</v>
      </c>
      <c r="I2286" t="str">
        <f t="shared" si="105"/>
        <v>YES</v>
      </c>
      <c r="J2286">
        <f>Cleaned_Data!J2286</f>
        <v>24</v>
      </c>
      <c r="K2286" t="str">
        <f t="shared" si="106"/>
        <v>2024-01</v>
      </c>
      <c r="L2286">
        <f t="shared" si="107"/>
        <v>0</v>
      </c>
    </row>
    <row r="2287" spans="1:12">
      <c r="A2287" t="s">
        <v>6637</v>
      </c>
      <c r="B2287" t="s">
        <v>6638</v>
      </c>
      <c r="C2287" t="s">
        <v>6639</v>
      </c>
      <c r="D2287" t="s">
        <v>35</v>
      </c>
      <c r="E2287" t="s">
        <v>54</v>
      </c>
      <c r="F2287" t="s">
        <v>17</v>
      </c>
      <c r="G2287" t="s">
        <v>19</v>
      </c>
      <c r="H2287">
        <f>Cleaned_Data!K2287</f>
        <v>36.25</v>
      </c>
      <c r="I2287" t="str">
        <f t="shared" si="105"/>
        <v>YES</v>
      </c>
      <c r="J2287">
        <f>Cleaned_Data!J2287</f>
        <v>48</v>
      </c>
      <c r="K2287" t="str">
        <f t="shared" si="106"/>
        <v>2024-12</v>
      </c>
      <c r="L2287">
        <f t="shared" si="107"/>
        <v>0</v>
      </c>
    </row>
    <row r="2288" spans="1:12">
      <c r="A2288" t="s">
        <v>6640</v>
      </c>
      <c r="B2288" t="s">
        <v>6641</v>
      </c>
      <c r="C2288" t="s">
        <v>6642</v>
      </c>
      <c r="D2288" t="s">
        <v>23</v>
      </c>
      <c r="E2288" t="s">
        <v>16</v>
      </c>
      <c r="F2288" t="s">
        <v>60</v>
      </c>
      <c r="G2288" t="s">
        <v>19</v>
      </c>
      <c r="H2288">
        <f>Cleaned_Data!K2288</f>
        <v>19.8</v>
      </c>
      <c r="I2288" t="str">
        <f t="shared" si="105"/>
        <v>YES</v>
      </c>
      <c r="J2288">
        <f>Cleaned_Data!J2288</f>
        <v>24</v>
      </c>
      <c r="K2288" t="str">
        <f t="shared" si="106"/>
        <v>2024-09</v>
      </c>
      <c r="L2288">
        <f t="shared" si="107"/>
        <v>0</v>
      </c>
    </row>
    <row r="2289" spans="1:12">
      <c r="A2289" t="s">
        <v>6643</v>
      </c>
      <c r="B2289" t="s">
        <v>6644</v>
      </c>
      <c r="C2289" t="s">
        <v>6645</v>
      </c>
      <c r="D2289" t="s">
        <v>35</v>
      </c>
      <c r="E2289" t="s">
        <v>16</v>
      </c>
      <c r="F2289" t="s">
        <v>29</v>
      </c>
      <c r="G2289" t="s">
        <v>19</v>
      </c>
      <c r="H2289">
        <f>Cleaned_Data!K2289</f>
        <v>8.35</v>
      </c>
      <c r="I2289" t="str">
        <f t="shared" si="105"/>
        <v>YES</v>
      </c>
      <c r="J2289">
        <f>Cleaned_Data!J2289</f>
        <v>48</v>
      </c>
      <c r="K2289" t="str">
        <f t="shared" si="106"/>
        <v>2024-11</v>
      </c>
      <c r="L2289">
        <f t="shared" si="107"/>
        <v>0</v>
      </c>
    </row>
    <row r="2290" spans="1:12">
      <c r="A2290" t="s">
        <v>6646</v>
      </c>
      <c r="B2290" t="s">
        <v>6647</v>
      </c>
      <c r="D2290" t="s">
        <v>23</v>
      </c>
      <c r="E2290" t="s">
        <v>24</v>
      </c>
      <c r="F2290" t="s">
        <v>36</v>
      </c>
      <c r="G2290" t="s">
        <v>46</v>
      </c>
      <c r="H2290">
        <f>Cleaned_Data!K2290</f>
        <v>0</v>
      </c>
      <c r="I2290" t="str">
        <f t="shared" si="105"/>
        <v/>
      </c>
      <c r="J2290">
        <f>Cleaned_Data!J2290</f>
        <v>24</v>
      </c>
      <c r="K2290" t="str">
        <f t="shared" si="106"/>
        <v>2024-01</v>
      </c>
      <c r="L2290">
        <f t="shared" si="107"/>
        <v>0</v>
      </c>
    </row>
    <row r="2291" spans="1:12">
      <c r="A2291" t="s">
        <v>6648</v>
      </c>
      <c r="B2291" t="s">
        <v>6649</v>
      </c>
      <c r="C2291" t="s">
        <v>6650</v>
      </c>
      <c r="D2291" t="s">
        <v>23</v>
      </c>
      <c r="E2291" t="s">
        <v>28</v>
      </c>
      <c r="F2291" t="s">
        <v>41</v>
      </c>
      <c r="G2291" t="s">
        <v>31</v>
      </c>
      <c r="H2291">
        <f>Cleaned_Data!K2291</f>
        <v>19.329999999999998</v>
      </c>
      <c r="I2291" t="str">
        <f t="shared" si="105"/>
        <v>YES</v>
      </c>
      <c r="J2291">
        <f>Cleaned_Data!J2291</f>
        <v>24</v>
      </c>
      <c r="K2291" t="str">
        <f t="shared" si="106"/>
        <v>2024-01</v>
      </c>
      <c r="L2291">
        <f t="shared" si="107"/>
        <v>0</v>
      </c>
    </row>
    <row r="2292" spans="1:12">
      <c r="A2292" t="s">
        <v>6651</v>
      </c>
      <c r="B2292" t="s">
        <v>6652</v>
      </c>
      <c r="C2292" t="s">
        <v>6653</v>
      </c>
      <c r="D2292" t="s">
        <v>158</v>
      </c>
      <c r="E2292" t="s">
        <v>28</v>
      </c>
      <c r="F2292" t="s">
        <v>17</v>
      </c>
      <c r="G2292" t="s">
        <v>19</v>
      </c>
      <c r="H2292">
        <f>Cleaned_Data!K2292</f>
        <v>3.64</v>
      </c>
      <c r="I2292" t="str">
        <f t="shared" si="105"/>
        <v>YES</v>
      </c>
      <c r="J2292">
        <f>Cleaned_Data!J2292</f>
        <v>4</v>
      </c>
      <c r="K2292" t="str">
        <f t="shared" si="106"/>
        <v>2024-01</v>
      </c>
      <c r="L2292">
        <f t="shared" si="107"/>
        <v>0</v>
      </c>
    </row>
    <row r="2293" spans="1:12">
      <c r="A2293" t="s">
        <v>6654</v>
      </c>
      <c r="B2293" t="s">
        <v>6655</v>
      </c>
      <c r="D2293" t="s">
        <v>35</v>
      </c>
      <c r="E2293" t="s">
        <v>54</v>
      </c>
      <c r="F2293" t="s">
        <v>60</v>
      </c>
      <c r="G2293" t="s">
        <v>46</v>
      </c>
      <c r="H2293">
        <f>Cleaned_Data!K2293</f>
        <v>0</v>
      </c>
      <c r="I2293" t="str">
        <f t="shared" si="105"/>
        <v/>
      </c>
      <c r="J2293">
        <f>Cleaned_Data!J2293</f>
        <v>48</v>
      </c>
      <c r="K2293" t="str">
        <f t="shared" si="106"/>
        <v>2024-03</v>
      </c>
      <c r="L2293">
        <f t="shared" si="107"/>
        <v>0</v>
      </c>
    </row>
    <row r="2294" spans="1:12">
      <c r="A2294" t="s">
        <v>6656</v>
      </c>
      <c r="B2294" t="s">
        <v>6657</v>
      </c>
      <c r="C2294" t="s">
        <v>6658</v>
      </c>
      <c r="D2294" t="s">
        <v>158</v>
      </c>
      <c r="E2294" t="s">
        <v>16</v>
      </c>
      <c r="F2294" t="s">
        <v>41</v>
      </c>
      <c r="G2294" t="s">
        <v>31</v>
      </c>
      <c r="H2294">
        <f>Cleaned_Data!K2294</f>
        <v>1.28</v>
      </c>
      <c r="I2294" t="str">
        <f t="shared" si="105"/>
        <v>YES</v>
      </c>
      <c r="J2294">
        <f>Cleaned_Data!J2294</f>
        <v>4</v>
      </c>
      <c r="K2294" t="str">
        <f t="shared" si="106"/>
        <v>2024-10</v>
      </c>
      <c r="L2294">
        <f t="shared" si="107"/>
        <v>0</v>
      </c>
    </row>
    <row r="2295" spans="1:12">
      <c r="A2295" t="s">
        <v>6659</v>
      </c>
      <c r="B2295" t="s">
        <v>6660</v>
      </c>
      <c r="C2295" t="s">
        <v>6661</v>
      </c>
      <c r="D2295" t="s">
        <v>15</v>
      </c>
      <c r="E2295" t="s">
        <v>16</v>
      </c>
      <c r="F2295" t="s">
        <v>17</v>
      </c>
      <c r="G2295" t="s">
        <v>19</v>
      </c>
      <c r="H2295">
        <f>Cleaned_Data!K2295</f>
        <v>11.78</v>
      </c>
      <c r="I2295" t="str">
        <f t="shared" si="105"/>
        <v>NO</v>
      </c>
      <c r="J2295">
        <f>Cleaned_Data!J2295</f>
        <v>8</v>
      </c>
      <c r="K2295" t="str">
        <f t="shared" si="106"/>
        <v>2024-03</v>
      </c>
      <c r="L2295">
        <f t="shared" si="107"/>
        <v>3.7799999999999994</v>
      </c>
    </row>
    <row r="2296" spans="1:12">
      <c r="A2296" t="s">
        <v>6662</v>
      </c>
      <c r="B2296" t="s">
        <v>6663</v>
      </c>
      <c r="C2296" t="s">
        <v>6664</v>
      </c>
      <c r="D2296" t="s">
        <v>15</v>
      </c>
      <c r="E2296" t="s">
        <v>24</v>
      </c>
      <c r="F2296" t="s">
        <v>60</v>
      </c>
      <c r="G2296" t="s">
        <v>31</v>
      </c>
      <c r="H2296">
        <f>Cleaned_Data!K2296</f>
        <v>2.79</v>
      </c>
      <c r="I2296" t="str">
        <f t="shared" si="105"/>
        <v>YES</v>
      </c>
      <c r="J2296">
        <f>Cleaned_Data!J2296</f>
        <v>8</v>
      </c>
      <c r="K2296" t="str">
        <f t="shared" si="106"/>
        <v>2024-02</v>
      </c>
      <c r="L2296">
        <f t="shared" si="107"/>
        <v>0</v>
      </c>
    </row>
    <row r="2297" spans="1:12">
      <c r="A2297" t="s">
        <v>6665</v>
      </c>
      <c r="B2297" t="s">
        <v>6666</v>
      </c>
      <c r="C2297" t="s">
        <v>6667</v>
      </c>
      <c r="D2297" t="s">
        <v>23</v>
      </c>
      <c r="E2297" t="s">
        <v>54</v>
      </c>
      <c r="F2297" t="s">
        <v>60</v>
      </c>
      <c r="G2297" t="s">
        <v>31</v>
      </c>
      <c r="H2297">
        <f>Cleaned_Data!K2297</f>
        <v>16.38</v>
      </c>
      <c r="I2297" t="str">
        <f t="shared" si="105"/>
        <v>YES</v>
      </c>
      <c r="J2297">
        <f>Cleaned_Data!J2297</f>
        <v>24</v>
      </c>
      <c r="K2297" t="str">
        <f t="shared" si="106"/>
        <v>2024-05</v>
      </c>
      <c r="L2297">
        <f t="shared" si="107"/>
        <v>0</v>
      </c>
    </row>
    <row r="2298" spans="1:12">
      <c r="A2298" t="s">
        <v>6668</v>
      </c>
      <c r="B2298" t="s">
        <v>6669</v>
      </c>
      <c r="C2298" t="s">
        <v>6670</v>
      </c>
      <c r="D2298" t="s">
        <v>23</v>
      </c>
      <c r="E2298" t="s">
        <v>28</v>
      </c>
      <c r="F2298" t="s">
        <v>36</v>
      </c>
      <c r="G2298" t="s">
        <v>19</v>
      </c>
      <c r="H2298">
        <f>Cleaned_Data!K2298</f>
        <v>71.67</v>
      </c>
      <c r="I2298" t="str">
        <f t="shared" si="105"/>
        <v>NO</v>
      </c>
      <c r="J2298">
        <f>Cleaned_Data!J2298</f>
        <v>24</v>
      </c>
      <c r="K2298" t="str">
        <f t="shared" si="106"/>
        <v>2024-03</v>
      </c>
      <c r="L2298">
        <f t="shared" si="107"/>
        <v>47.67</v>
      </c>
    </row>
    <row r="2299" spans="1:12">
      <c r="A2299" t="s">
        <v>6671</v>
      </c>
      <c r="B2299" t="s">
        <v>6672</v>
      </c>
      <c r="C2299" t="s">
        <v>6673</v>
      </c>
      <c r="D2299" t="s">
        <v>23</v>
      </c>
      <c r="E2299" t="s">
        <v>59</v>
      </c>
      <c r="F2299" t="s">
        <v>17</v>
      </c>
      <c r="G2299" t="s">
        <v>31</v>
      </c>
      <c r="H2299">
        <f>Cleaned_Data!K2299</f>
        <v>18.690000000000001</v>
      </c>
      <c r="I2299" t="str">
        <f t="shared" si="105"/>
        <v>YES</v>
      </c>
      <c r="J2299">
        <f>Cleaned_Data!J2299</f>
        <v>24</v>
      </c>
      <c r="K2299" t="str">
        <f t="shared" si="106"/>
        <v>2024-05</v>
      </c>
      <c r="L2299">
        <f t="shared" si="107"/>
        <v>0</v>
      </c>
    </row>
    <row r="2300" spans="1:12">
      <c r="A2300" t="s">
        <v>6674</v>
      </c>
      <c r="B2300" t="s">
        <v>6675</v>
      </c>
      <c r="C2300" t="s">
        <v>6676</v>
      </c>
      <c r="D2300" t="s">
        <v>15</v>
      </c>
      <c r="E2300" t="s">
        <v>24</v>
      </c>
      <c r="F2300" t="s">
        <v>41</v>
      </c>
      <c r="G2300" t="s">
        <v>31</v>
      </c>
      <c r="H2300">
        <f>Cleaned_Data!K2300</f>
        <v>6.43</v>
      </c>
      <c r="I2300" t="str">
        <f t="shared" si="105"/>
        <v>YES</v>
      </c>
      <c r="J2300">
        <f>Cleaned_Data!J2300</f>
        <v>8</v>
      </c>
      <c r="K2300" t="str">
        <f t="shared" si="106"/>
        <v>2024-09</v>
      </c>
      <c r="L2300">
        <f t="shared" si="107"/>
        <v>0</v>
      </c>
    </row>
    <row r="2301" spans="1:12">
      <c r="A2301" t="s">
        <v>6677</v>
      </c>
      <c r="B2301" t="s">
        <v>6678</v>
      </c>
      <c r="C2301" t="s">
        <v>6679</v>
      </c>
      <c r="D2301" t="s">
        <v>15</v>
      </c>
      <c r="E2301" t="s">
        <v>16</v>
      </c>
      <c r="F2301" t="s">
        <v>29</v>
      </c>
      <c r="G2301" t="s">
        <v>31</v>
      </c>
      <c r="H2301">
        <f>Cleaned_Data!K2301</f>
        <v>0.89</v>
      </c>
      <c r="I2301" t="str">
        <f t="shared" si="105"/>
        <v>YES</v>
      </c>
      <c r="J2301">
        <f>Cleaned_Data!J2301</f>
        <v>8</v>
      </c>
      <c r="K2301" t="str">
        <f t="shared" si="106"/>
        <v>2024-09</v>
      </c>
      <c r="L2301">
        <f t="shared" si="107"/>
        <v>0</v>
      </c>
    </row>
    <row r="2302" spans="1:12">
      <c r="A2302" t="s">
        <v>6680</v>
      </c>
      <c r="B2302" t="s">
        <v>6681</v>
      </c>
      <c r="C2302" t="s">
        <v>6682</v>
      </c>
      <c r="D2302" t="s">
        <v>23</v>
      </c>
      <c r="E2302" t="s">
        <v>24</v>
      </c>
      <c r="F2302" t="s">
        <v>36</v>
      </c>
      <c r="G2302" t="s">
        <v>31</v>
      </c>
      <c r="H2302">
        <f>Cleaned_Data!K2302</f>
        <v>7.08</v>
      </c>
      <c r="I2302" t="str">
        <f t="shared" si="105"/>
        <v>YES</v>
      </c>
      <c r="J2302">
        <f>Cleaned_Data!J2302</f>
        <v>24</v>
      </c>
      <c r="K2302" t="str">
        <f t="shared" si="106"/>
        <v>2024-03</v>
      </c>
      <c r="L2302">
        <f t="shared" si="107"/>
        <v>0</v>
      </c>
    </row>
    <row r="2303" spans="1:12">
      <c r="A2303" t="s">
        <v>6683</v>
      </c>
      <c r="B2303" t="s">
        <v>6684</v>
      </c>
      <c r="C2303" t="s">
        <v>6685</v>
      </c>
      <c r="D2303" t="s">
        <v>23</v>
      </c>
      <c r="E2303" t="s">
        <v>28</v>
      </c>
      <c r="F2303" t="s">
        <v>29</v>
      </c>
      <c r="G2303" t="s">
        <v>19</v>
      </c>
      <c r="H2303">
        <f>Cleaned_Data!K2303</f>
        <v>9.7799999999999994</v>
      </c>
      <c r="I2303" t="str">
        <f t="shared" si="105"/>
        <v>YES</v>
      </c>
      <c r="J2303">
        <f>Cleaned_Data!J2303</f>
        <v>24</v>
      </c>
      <c r="K2303" t="str">
        <f t="shared" si="106"/>
        <v>2024-07</v>
      </c>
      <c r="L2303">
        <f t="shared" si="107"/>
        <v>0</v>
      </c>
    </row>
    <row r="2304" spans="1:12">
      <c r="A2304" t="s">
        <v>6686</v>
      </c>
      <c r="B2304" t="s">
        <v>6687</v>
      </c>
      <c r="C2304" t="s">
        <v>6688</v>
      </c>
      <c r="D2304" t="s">
        <v>23</v>
      </c>
      <c r="E2304" t="s">
        <v>59</v>
      </c>
      <c r="F2304" t="s">
        <v>36</v>
      </c>
      <c r="G2304" t="s">
        <v>19</v>
      </c>
      <c r="H2304">
        <f>Cleaned_Data!K2304</f>
        <v>37.729999999999997</v>
      </c>
      <c r="I2304" t="str">
        <f t="shared" si="105"/>
        <v>NO</v>
      </c>
      <c r="J2304">
        <f>Cleaned_Data!J2304</f>
        <v>24</v>
      </c>
      <c r="K2304" t="str">
        <f t="shared" si="106"/>
        <v>2024-01</v>
      </c>
      <c r="L2304">
        <f t="shared" si="107"/>
        <v>13.729999999999997</v>
      </c>
    </row>
    <row r="2305" spans="1:12">
      <c r="A2305" t="s">
        <v>6689</v>
      </c>
      <c r="B2305" t="s">
        <v>6690</v>
      </c>
      <c r="C2305" t="s">
        <v>6691</v>
      </c>
      <c r="D2305" t="s">
        <v>35</v>
      </c>
      <c r="E2305" t="s">
        <v>28</v>
      </c>
      <c r="F2305" t="s">
        <v>41</v>
      </c>
      <c r="G2305" t="s">
        <v>19</v>
      </c>
      <c r="H2305">
        <f>Cleaned_Data!K2305</f>
        <v>58.95</v>
      </c>
      <c r="I2305" t="str">
        <f t="shared" si="105"/>
        <v>NO</v>
      </c>
      <c r="J2305">
        <f>Cleaned_Data!J2305</f>
        <v>48</v>
      </c>
      <c r="K2305" t="str">
        <f t="shared" si="106"/>
        <v>2024-10</v>
      </c>
      <c r="L2305">
        <f t="shared" si="107"/>
        <v>10.950000000000003</v>
      </c>
    </row>
    <row r="2306" spans="1:12">
      <c r="A2306" t="s">
        <v>6692</v>
      </c>
      <c r="B2306" t="s">
        <v>6693</v>
      </c>
      <c r="C2306" t="s">
        <v>6694</v>
      </c>
      <c r="D2306" t="s">
        <v>35</v>
      </c>
      <c r="E2306" t="s">
        <v>54</v>
      </c>
      <c r="F2306" t="s">
        <v>41</v>
      </c>
      <c r="G2306" t="s">
        <v>19</v>
      </c>
      <c r="H2306">
        <f>Cleaned_Data!K2306</f>
        <v>7.26</v>
      </c>
      <c r="I2306" t="str">
        <f t="shared" ref="I2306:I2369" si="108">IF(OR(G2306="Resolved", G2306="Closed"), IF(AND(H2306&lt;&gt;"", H2306&lt;=J2306), "YES", "NO"), "")</f>
        <v>YES</v>
      </c>
      <c r="J2306">
        <f>Cleaned_Data!J2306</f>
        <v>48</v>
      </c>
      <c r="K2306" t="str">
        <f t="shared" ref="K2306:K2369" si="109">LEFT(B2306, 7)</f>
        <v>2024-08</v>
      </c>
      <c r="L2306">
        <f t="shared" ref="L2306:L2369" si="110">IF(I2306="NO", H2306-J2306, 0)</f>
        <v>0</v>
      </c>
    </row>
    <row r="2307" spans="1:12">
      <c r="A2307" t="s">
        <v>6695</v>
      </c>
      <c r="B2307" t="s">
        <v>6696</v>
      </c>
      <c r="C2307" t="s">
        <v>6697</v>
      </c>
      <c r="D2307" t="s">
        <v>15</v>
      </c>
      <c r="E2307" t="s">
        <v>28</v>
      </c>
      <c r="F2307" t="s">
        <v>41</v>
      </c>
      <c r="G2307" t="s">
        <v>31</v>
      </c>
      <c r="H2307">
        <f>Cleaned_Data!K2307</f>
        <v>6.69</v>
      </c>
      <c r="I2307" t="str">
        <f t="shared" si="108"/>
        <v>YES</v>
      </c>
      <c r="J2307">
        <f>Cleaned_Data!J2307</f>
        <v>8</v>
      </c>
      <c r="K2307" t="str">
        <f t="shared" si="109"/>
        <v>2024-11</v>
      </c>
      <c r="L2307">
        <f t="shared" si="110"/>
        <v>0</v>
      </c>
    </row>
    <row r="2308" spans="1:12">
      <c r="A2308" t="s">
        <v>6698</v>
      </c>
      <c r="B2308" t="s">
        <v>6699</v>
      </c>
      <c r="D2308" t="s">
        <v>23</v>
      </c>
      <c r="E2308" t="s">
        <v>24</v>
      </c>
      <c r="F2308" t="s">
        <v>29</v>
      </c>
      <c r="G2308" t="s">
        <v>63</v>
      </c>
      <c r="H2308">
        <f>Cleaned_Data!K2308</f>
        <v>0</v>
      </c>
      <c r="I2308" t="str">
        <f t="shared" si="108"/>
        <v/>
      </c>
      <c r="J2308">
        <f>Cleaned_Data!J2308</f>
        <v>24</v>
      </c>
      <c r="K2308" t="str">
        <f t="shared" si="109"/>
        <v>2024-02</v>
      </c>
      <c r="L2308">
        <f t="shared" si="110"/>
        <v>0</v>
      </c>
    </row>
    <row r="2309" spans="1:12">
      <c r="A2309" t="s">
        <v>6700</v>
      </c>
      <c r="B2309" t="s">
        <v>6701</v>
      </c>
      <c r="C2309" t="s">
        <v>6702</v>
      </c>
      <c r="D2309" t="s">
        <v>15</v>
      </c>
      <c r="E2309" t="s">
        <v>16</v>
      </c>
      <c r="F2309" t="s">
        <v>60</v>
      </c>
      <c r="G2309" t="s">
        <v>19</v>
      </c>
      <c r="H2309">
        <f>Cleaned_Data!K2309</f>
        <v>3.89</v>
      </c>
      <c r="I2309" t="str">
        <f t="shared" si="108"/>
        <v>YES</v>
      </c>
      <c r="J2309">
        <f>Cleaned_Data!J2309</f>
        <v>8</v>
      </c>
      <c r="K2309" t="str">
        <f t="shared" si="109"/>
        <v>2024-08</v>
      </c>
      <c r="L2309">
        <f t="shared" si="110"/>
        <v>0</v>
      </c>
    </row>
    <row r="2310" spans="1:12">
      <c r="A2310" t="s">
        <v>6703</v>
      </c>
      <c r="B2310" t="s">
        <v>6704</v>
      </c>
      <c r="C2310" t="s">
        <v>6705</v>
      </c>
      <c r="D2310" t="s">
        <v>23</v>
      </c>
      <c r="E2310" t="s">
        <v>24</v>
      </c>
      <c r="F2310" t="s">
        <v>41</v>
      </c>
      <c r="G2310" t="s">
        <v>31</v>
      </c>
      <c r="H2310">
        <f>Cleaned_Data!K2310</f>
        <v>18.68</v>
      </c>
      <c r="I2310" t="str">
        <f t="shared" si="108"/>
        <v>YES</v>
      </c>
      <c r="J2310">
        <f>Cleaned_Data!J2310</f>
        <v>24</v>
      </c>
      <c r="K2310" t="str">
        <f t="shared" si="109"/>
        <v>2024-07</v>
      </c>
      <c r="L2310">
        <f t="shared" si="110"/>
        <v>0</v>
      </c>
    </row>
    <row r="2311" spans="1:12">
      <c r="A2311" t="s">
        <v>6706</v>
      </c>
      <c r="B2311" t="s">
        <v>6707</v>
      </c>
      <c r="D2311" t="s">
        <v>15</v>
      </c>
      <c r="E2311" t="s">
        <v>54</v>
      </c>
      <c r="F2311" t="s">
        <v>36</v>
      </c>
      <c r="G2311" t="s">
        <v>63</v>
      </c>
      <c r="H2311">
        <f>Cleaned_Data!K2311</f>
        <v>0</v>
      </c>
      <c r="I2311" t="str">
        <f t="shared" si="108"/>
        <v/>
      </c>
      <c r="J2311">
        <f>Cleaned_Data!J2311</f>
        <v>8</v>
      </c>
      <c r="K2311" t="str">
        <f t="shared" si="109"/>
        <v>2024-03</v>
      </c>
      <c r="L2311">
        <f t="shared" si="110"/>
        <v>0</v>
      </c>
    </row>
    <row r="2312" spans="1:12">
      <c r="A2312" t="s">
        <v>6708</v>
      </c>
      <c r="B2312" t="s">
        <v>6709</v>
      </c>
      <c r="C2312" t="s">
        <v>6710</v>
      </c>
      <c r="D2312" t="s">
        <v>23</v>
      </c>
      <c r="E2312" t="s">
        <v>28</v>
      </c>
      <c r="F2312" t="s">
        <v>60</v>
      </c>
      <c r="G2312" t="s">
        <v>31</v>
      </c>
      <c r="H2312">
        <f>Cleaned_Data!K2312</f>
        <v>7.24</v>
      </c>
      <c r="I2312" t="str">
        <f t="shared" si="108"/>
        <v>YES</v>
      </c>
      <c r="J2312">
        <f>Cleaned_Data!J2312</f>
        <v>24</v>
      </c>
      <c r="K2312" t="str">
        <f t="shared" si="109"/>
        <v>2024-09</v>
      </c>
      <c r="L2312">
        <f t="shared" si="110"/>
        <v>0</v>
      </c>
    </row>
    <row r="2313" spans="1:12">
      <c r="A2313" t="s">
        <v>6711</v>
      </c>
      <c r="B2313" t="s">
        <v>6712</v>
      </c>
      <c r="C2313" t="s">
        <v>6713</v>
      </c>
      <c r="D2313" t="s">
        <v>35</v>
      </c>
      <c r="E2313" t="s">
        <v>54</v>
      </c>
      <c r="F2313" t="s">
        <v>29</v>
      </c>
      <c r="G2313" t="s">
        <v>19</v>
      </c>
      <c r="H2313">
        <f>Cleaned_Data!K2313</f>
        <v>36.21</v>
      </c>
      <c r="I2313" t="str">
        <f t="shared" si="108"/>
        <v>YES</v>
      </c>
      <c r="J2313">
        <f>Cleaned_Data!J2313</f>
        <v>48</v>
      </c>
      <c r="K2313" t="str">
        <f t="shared" si="109"/>
        <v>2024-03</v>
      </c>
      <c r="L2313">
        <f t="shared" si="110"/>
        <v>0</v>
      </c>
    </row>
    <row r="2314" spans="1:12">
      <c r="A2314" t="s">
        <v>6714</v>
      </c>
      <c r="B2314" t="s">
        <v>6715</v>
      </c>
      <c r="C2314" t="s">
        <v>6716</v>
      </c>
      <c r="D2314" t="s">
        <v>158</v>
      </c>
      <c r="E2314" t="s">
        <v>16</v>
      </c>
      <c r="F2314" t="s">
        <v>60</v>
      </c>
      <c r="G2314" t="s">
        <v>19</v>
      </c>
      <c r="H2314">
        <f>Cleaned_Data!K2314</f>
        <v>0.89</v>
      </c>
      <c r="I2314" t="str">
        <f t="shared" si="108"/>
        <v>YES</v>
      </c>
      <c r="J2314">
        <f>Cleaned_Data!J2314</f>
        <v>4</v>
      </c>
      <c r="K2314" t="str">
        <f t="shared" si="109"/>
        <v>2024-03</v>
      </c>
      <c r="L2314">
        <f t="shared" si="110"/>
        <v>0</v>
      </c>
    </row>
    <row r="2315" spans="1:12">
      <c r="A2315" t="s">
        <v>6717</v>
      </c>
      <c r="B2315" t="s">
        <v>6718</v>
      </c>
      <c r="C2315" t="s">
        <v>6719</v>
      </c>
      <c r="D2315" t="s">
        <v>158</v>
      </c>
      <c r="E2315" t="s">
        <v>16</v>
      </c>
      <c r="F2315" t="s">
        <v>29</v>
      </c>
      <c r="G2315" t="s">
        <v>31</v>
      </c>
      <c r="H2315">
        <f>Cleaned_Data!K2315</f>
        <v>1.36</v>
      </c>
      <c r="I2315" t="str">
        <f t="shared" si="108"/>
        <v>YES</v>
      </c>
      <c r="J2315">
        <f>Cleaned_Data!J2315</f>
        <v>4</v>
      </c>
      <c r="K2315" t="str">
        <f t="shared" si="109"/>
        <v>2024-08</v>
      </c>
      <c r="L2315">
        <f t="shared" si="110"/>
        <v>0</v>
      </c>
    </row>
    <row r="2316" spans="1:12">
      <c r="A2316" t="s">
        <v>6720</v>
      </c>
      <c r="B2316" t="s">
        <v>6721</v>
      </c>
      <c r="C2316" t="s">
        <v>6722</v>
      </c>
      <c r="D2316" t="s">
        <v>35</v>
      </c>
      <c r="E2316" t="s">
        <v>28</v>
      </c>
      <c r="F2316" t="s">
        <v>36</v>
      </c>
      <c r="G2316" t="s">
        <v>19</v>
      </c>
      <c r="H2316">
        <f>Cleaned_Data!K2316</f>
        <v>93.86</v>
      </c>
      <c r="I2316" t="str">
        <f t="shared" si="108"/>
        <v>NO</v>
      </c>
      <c r="J2316">
        <f>Cleaned_Data!J2316</f>
        <v>48</v>
      </c>
      <c r="K2316" t="str">
        <f t="shared" si="109"/>
        <v>2024-11</v>
      </c>
      <c r="L2316">
        <f t="shared" si="110"/>
        <v>45.86</v>
      </c>
    </row>
    <row r="2317" spans="1:12">
      <c r="A2317" t="s">
        <v>6723</v>
      </c>
      <c r="B2317" t="s">
        <v>6724</v>
      </c>
      <c r="C2317" t="s">
        <v>6725</v>
      </c>
      <c r="D2317" t="s">
        <v>23</v>
      </c>
      <c r="E2317" t="s">
        <v>28</v>
      </c>
      <c r="F2317" t="s">
        <v>41</v>
      </c>
      <c r="G2317" t="s">
        <v>31</v>
      </c>
      <c r="H2317">
        <f>Cleaned_Data!K2317</f>
        <v>21.24</v>
      </c>
      <c r="I2317" t="str">
        <f t="shared" si="108"/>
        <v>YES</v>
      </c>
      <c r="J2317">
        <f>Cleaned_Data!J2317</f>
        <v>24</v>
      </c>
      <c r="K2317" t="str">
        <f t="shared" si="109"/>
        <v>2024-07</v>
      </c>
      <c r="L2317">
        <f t="shared" si="110"/>
        <v>0</v>
      </c>
    </row>
    <row r="2318" spans="1:12">
      <c r="A2318" t="s">
        <v>6726</v>
      </c>
      <c r="B2318" t="s">
        <v>6727</v>
      </c>
      <c r="C2318" t="s">
        <v>6728</v>
      </c>
      <c r="D2318" t="s">
        <v>23</v>
      </c>
      <c r="E2318" t="s">
        <v>28</v>
      </c>
      <c r="F2318" t="s">
        <v>29</v>
      </c>
      <c r="G2318" t="s">
        <v>31</v>
      </c>
      <c r="H2318">
        <f>Cleaned_Data!K2318</f>
        <v>19.899999999999999</v>
      </c>
      <c r="I2318" t="str">
        <f t="shared" si="108"/>
        <v>YES</v>
      </c>
      <c r="J2318">
        <f>Cleaned_Data!J2318</f>
        <v>24</v>
      </c>
      <c r="K2318" t="str">
        <f t="shared" si="109"/>
        <v>2024-02</v>
      </c>
      <c r="L2318">
        <f t="shared" si="110"/>
        <v>0</v>
      </c>
    </row>
    <row r="2319" spans="1:12">
      <c r="A2319" t="s">
        <v>6729</v>
      </c>
      <c r="B2319" t="s">
        <v>6730</v>
      </c>
      <c r="C2319" t="s">
        <v>6731</v>
      </c>
      <c r="D2319" t="s">
        <v>15</v>
      </c>
      <c r="E2319" t="s">
        <v>28</v>
      </c>
      <c r="F2319" t="s">
        <v>17</v>
      </c>
      <c r="G2319" t="s">
        <v>19</v>
      </c>
      <c r="H2319">
        <f>Cleaned_Data!K2319</f>
        <v>3.43</v>
      </c>
      <c r="I2319" t="str">
        <f t="shared" si="108"/>
        <v>YES</v>
      </c>
      <c r="J2319">
        <f>Cleaned_Data!J2319</f>
        <v>8</v>
      </c>
      <c r="K2319" t="str">
        <f t="shared" si="109"/>
        <v>2024-06</v>
      </c>
      <c r="L2319">
        <f t="shared" si="110"/>
        <v>0</v>
      </c>
    </row>
    <row r="2320" spans="1:12">
      <c r="A2320" t="s">
        <v>6732</v>
      </c>
      <c r="B2320" t="s">
        <v>6733</v>
      </c>
      <c r="C2320" t="s">
        <v>6734</v>
      </c>
      <c r="D2320" t="s">
        <v>23</v>
      </c>
      <c r="E2320" t="s">
        <v>59</v>
      </c>
      <c r="F2320" t="s">
        <v>41</v>
      </c>
      <c r="G2320" t="s">
        <v>19</v>
      </c>
      <c r="H2320">
        <f>Cleaned_Data!K2320</f>
        <v>15.66</v>
      </c>
      <c r="I2320" t="str">
        <f t="shared" si="108"/>
        <v>YES</v>
      </c>
      <c r="J2320">
        <f>Cleaned_Data!J2320</f>
        <v>24</v>
      </c>
      <c r="K2320" t="str">
        <f t="shared" si="109"/>
        <v>2024-06</v>
      </c>
      <c r="L2320">
        <f t="shared" si="110"/>
        <v>0</v>
      </c>
    </row>
    <row r="2321" spans="1:12">
      <c r="A2321" t="s">
        <v>6735</v>
      </c>
      <c r="B2321" t="s">
        <v>6736</v>
      </c>
      <c r="C2321" t="s">
        <v>6737</v>
      </c>
      <c r="D2321" t="s">
        <v>23</v>
      </c>
      <c r="E2321" t="s">
        <v>28</v>
      </c>
      <c r="F2321" t="s">
        <v>36</v>
      </c>
      <c r="G2321" t="s">
        <v>19</v>
      </c>
      <c r="H2321">
        <f>Cleaned_Data!K2321</f>
        <v>2.56</v>
      </c>
      <c r="I2321" t="str">
        <f t="shared" si="108"/>
        <v>YES</v>
      </c>
      <c r="J2321">
        <f>Cleaned_Data!J2321</f>
        <v>24</v>
      </c>
      <c r="K2321" t="str">
        <f t="shared" si="109"/>
        <v>2024-09</v>
      </c>
      <c r="L2321">
        <f t="shared" si="110"/>
        <v>0</v>
      </c>
    </row>
    <row r="2322" spans="1:12">
      <c r="A2322" t="s">
        <v>6738</v>
      </c>
      <c r="B2322" t="s">
        <v>6739</v>
      </c>
      <c r="D2322" t="s">
        <v>15</v>
      </c>
      <c r="E2322" t="s">
        <v>24</v>
      </c>
      <c r="F2322" t="s">
        <v>41</v>
      </c>
      <c r="G2322" t="s">
        <v>63</v>
      </c>
      <c r="H2322">
        <f>Cleaned_Data!K2322</f>
        <v>0</v>
      </c>
      <c r="I2322" t="str">
        <f t="shared" si="108"/>
        <v/>
      </c>
      <c r="J2322">
        <f>Cleaned_Data!J2322</f>
        <v>8</v>
      </c>
      <c r="K2322" t="str">
        <f t="shared" si="109"/>
        <v>2024-02</v>
      </c>
      <c r="L2322">
        <f t="shared" si="110"/>
        <v>0</v>
      </c>
    </row>
    <row r="2323" spans="1:12">
      <c r="A2323" t="s">
        <v>6740</v>
      </c>
      <c r="B2323" t="s">
        <v>6741</v>
      </c>
      <c r="C2323" t="s">
        <v>6742</v>
      </c>
      <c r="D2323" t="s">
        <v>15</v>
      </c>
      <c r="E2323" t="s">
        <v>28</v>
      </c>
      <c r="F2323" t="s">
        <v>60</v>
      </c>
      <c r="G2323" t="s">
        <v>31</v>
      </c>
      <c r="H2323">
        <f>Cleaned_Data!K2323</f>
        <v>3.17</v>
      </c>
      <c r="I2323" t="str">
        <f t="shared" si="108"/>
        <v>YES</v>
      </c>
      <c r="J2323">
        <f>Cleaned_Data!J2323</f>
        <v>8</v>
      </c>
      <c r="K2323" t="str">
        <f t="shared" si="109"/>
        <v>2024-08</v>
      </c>
      <c r="L2323">
        <f t="shared" si="110"/>
        <v>0</v>
      </c>
    </row>
    <row r="2324" spans="1:12">
      <c r="A2324" t="s">
        <v>6743</v>
      </c>
      <c r="B2324" t="s">
        <v>6744</v>
      </c>
      <c r="C2324" t="s">
        <v>6745</v>
      </c>
      <c r="D2324" t="s">
        <v>23</v>
      </c>
      <c r="E2324" t="s">
        <v>28</v>
      </c>
      <c r="F2324" t="s">
        <v>29</v>
      </c>
      <c r="G2324" t="s">
        <v>31</v>
      </c>
      <c r="H2324">
        <f>Cleaned_Data!K2324</f>
        <v>38.869999999999997</v>
      </c>
      <c r="I2324" t="str">
        <f t="shared" si="108"/>
        <v>NO</v>
      </c>
      <c r="J2324">
        <f>Cleaned_Data!J2324</f>
        <v>24</v>
      </c>
      <c r="K2324" t="str">
        <f t="shared" si="109"/>
        <v>2024-09</v>
      </c>
      <c r="L2324">
        <f t="shared" si="110"/>
        <v>14.869999999999997</v>
      </c>
    </row>
    <row r="2325" spans="1:12">
      <c r="A2325" t="s">
        <v>6746</v>
      </c>
      <c r="B2325" t="s">
        <v>6747</v>
      </c>
      <c r="C2325" t="s">
        <v>6748</v>
      </c>
      <c r="D2325" t="s">
        <v>15</v>
      </c>
      <c r="E2325" t="s">
        <v>24</v>
      </c>
      <c r="F2325" t="s">
        <v>29</v>
      </c>
      <c r="G2325" t="s">
        <v>19</v>
      </c>
      <c r="H2325">
        <f>Cleaned_Data!K2325</f>
        <v>4.9000000000000004</v>
      </c>
      <c r="I2325" t="str">
        <f t="shared" si="108"/>
        <v>YES</v>
      </c>
      <c r="J2325">
        <f>Cleaned_Data!J2325</f>
        <v>8</v>
      </c>
      <c r="K2325" t="str">
        <f t="shared" si="109"/>
        <v>2024-10</v>
      </c>
      <c r="L2325">
        <f t="shared" si="110"/>
        <v>0</v>
      </c>
    </row>
    <row r="2326" spans="1:12">
      <c r="A2326" t="s">
        <v>6749</v>
      </c>
      <c r="B2326" t="s">
        <v>6750</v>
      </c>
      <c r="C2326" t="s">
        <v>6751</v>
      </c>
      <c r="D2326" t="s">
        <v>15</v>
      </c>
      <c r="E2326" t="s">
        <v>16</v>
      </c>
      <c r="F2326" t="s">
        <v>29</v>
      </c>
      <c r="G2326" t="s">
        <v>31</v>
      </c>
      <c r="H2326">
        <f>Cleaned_Data!K2326</f>
        <v>4.71</v>
      </c>
      <c r="I2326" t="str">
        <f t="shared" si="108"/>
        <v>YES</v>
      </c>
      <c r="J2326">
        <f>Cleaned_Data!J2326</f>
        <v>8</v>
      </c>
      <c r="K2326" t="str">
        <f t="shared" si="109"/>
        <v>2024-08</v>
      </c>
      <c r="L2326">
        <f t="shared" si="110"/>
        <v>0</v>
      </c>
    </row>
    <row r="2327" spans="1:12">
      <c r="A2327" t="s">
        <v>6752</v>
      </c>
      <c r="B2327" t="s">
        <v>6753</v>
      </c>
      <c r="C2327" t="s">
        <v>6754</v>
      </c>
      <c r="D2327" t="s">
        <v>15</v>
      </c>
      <c r="E2327" t="s">
        <v>28</v>
      </c>
      <c r="F2327" t="s">
        <v>60</v>
      </c>
      <c r="G2327" t="s">
        <v>19</v>
      </c>
      <c r="H2327">
        <f>Cleaned_Data!K2327</f>
        <v>3.03</v>
      </c>
      <c r="I2327" t="str">
        <f t="shared" si="108"/>
        <v>YES</v>
      </c>
      <c r="J2327">
        <f>Cleaned_Data!J2327</f>
        <v>8</v>
      </c>
      <c r="K2327" t="str">
        <f t="shared" si="109"/>
        <v>2024-06</v>
      </c>
      <c r="L2327">
        <f t="shared" si="110"/>
        <v>0</v>
      </c>
    </row>
    <row r="2328" spans="1:12">
      <c r="A2328" t="s">
        <v>6755</v>
      </c>
      <c r="B2328" t="s">
        <v>6756</v>
      </c>
      <c r="C2328" t="s">
        <v>6757</v>
      </c>
      <c r="D2328" t="s">
        <v>23</v>
      </c>
      <c r="E2328" t="s">
        <v>16</v>
      </c>
      <c r="F2328" t="s">
        <v>17</v>
      </c>
      <c r="G2328" t="s">
        <v>31</v>
      </c>
      <c r="H2328">
        <f>Cleaned_Data!K2328</f>
        <v>18.12</v>
      </c>
      <c r="I2328" t="str">
        <f t="shared" si="108"/>
        <v>YES</v>
      </c>
      <c r="J2328">
        <f>Cleaned_Data!J2328</f>
        <v>24</v>
      </c>
      <c r="K2328" t="str">
        <f t="shared" si="109"/>
        <v>2024-08</v>
      </c>
      <c r="L2328">
        <f t="shared" si="110"/>
        <v>0</v>
      </c>
    </row>
    <row r="2329" spans="1:12">
      <c r="A2329" t="s">
        <v>6758</v>
      </c>
      <c r="B2329" t="s">
        <v>6759</v>
      </c>
      <c r="D2329" t="s">
        <v>35</v>
      </c>
      <c r="E2329" t="s">
        <v>24</v>
      </c>
      <c r="F2329" t="s">
        <v>17</v>
      </c>
      <c r="G2329" t="s">
        <v>46</v>
      </c>
      <c r="H2329">
        <f>Cleaned_Data!K2329</f>
        <v>0</v>
      </c>
      <c r="I2329" t="str">
        <f t="shared" si="108"/>
        <v/>
      </c>
      <c r="J2329">
        <f>Cleaned_Data!J2329</f>
        <v>48</v>
      </c>
      <c r="K2329" t="str">
        <f t="shared" si="109"/>
        <v>2024-11</v>
      </c>
      <c r="L2329">
        <f t="shared" si="110"/>
        <v>0</v>
      </c>
    </row>
    <row r="2330" spans="1:12">
      <c r="A2330" t="s">
        <v>6760</v>
      </c>
      <c r="B2330" t="s">
        <v>6761</v>
      </c>
      <c r="C2330" t="s">
        <v>6762</v>
      </c>
      <c r="D2330" t="s">
        <v>23</v>
      </c>
      <c r="E2330" t="s">
        <v>28</v>
      </c>
      <c r="F2330" t="s">
        <v>36</v>
      </c>
      <c r="G2330" t="s">
        <v>19</v>
      </c>
      <c r="H2330">
        <f>Cleaned_Data!K2330</f>
        <v>60.85</v>
      </c>
      <c r="I2330" t="str">
        <f t="shared" si="108"/>
        <v>NO</v>
      </c>
      <c r="J2330">
        <f>Cleaned_Data!J2330</f>
        <v>24</v>
      </c>
      <c r="K2330" t="str">
        <f t="shared" si="109"/>
        <v>2024-12</v>
      </c>
      <c r="L2330">
        <f t="shared" si="110"/>
        <v>36.85</v>
      </c>
    </row>
    <row r="2331" spans="1:12">
      <c r="A2331" t="s">
        <v>6763</v>
      </c>
      <c r="B2331" t="s">
        <v>6764</v>
      </c>
      <c r="C2331" t="s">
        <v>6765</v>
      </c>
      <c r="D2331" t="s">
        <v>35</v>
      </c>
      <c r="E2331" t="s">
        <v>54</v>
      </c>
      <c r="F2331" t="s">
        <v>17</v>
      </c>
      <c r="G2331" t="s">
        <v>31</v>
      </c>
      <c r="H2331">
        <f>Cleaned_Data!K2331</f>
        <v>19.920000000000002</v>
      </c>
      <c r="I2331" t="str">
        <f t="shared" si="108"/>
        <v>YES</v>
      </c>
      <c r="J2331">
        <f>Cleaned_Data!J2331</f>
        <v>48</v>
      </c>
      <c r="K2331" t="str">
        <f t="shared" si="109"/>
        <v>2024-04</v>
      </c>
      <c r="L2331">
        <f t="shared" si="110"/>
        <v>0</v>
      </c>
    </row>
    <row r="2332" spans="1:12">
      <c r="A2332" t="s">
        <v>6766</v>
      </c>
      <c r="B2332" t="s">
        <v>6767</v>
      </c>
      <c r="C2332" t="s">
        <v>6768</v>
      </c>
      <c r="D2332" t="s">
        <v>15</v>
      </c>
      <c r="E2332" t="s">
        <v>16</v>
      </c>
      <c r="F2332" t="s">
        <v>36</v>
      </c>
      <c r="G2332" t="s">
        <v>19</v>
      </c>
      <c r="H2332">
        <f>Cleaned_Data!K2332</f>
        <v>4.6500000000000004</v>
      </c>
      <c r="I2332" t="str">
        <f t="shared" si="108"/>
        <v>YES</v>
      </c>
      <c r="J2332">
        <f>Cleaned_Data!J2332</f>
        <v>8</v>
      </c>
      <c r="K2332" t="str">
        <f t="shared" si="109"/>
        <v>2024-08</v>
      </c>
      <c r="L2332">
        <f t="shared" si="110"/>
        <v>0</v>
      </c>
    </row>
    <row r="2333" spans="1:12">
      <c r="A2333" t="s">
        <v>6769</v>
      </c>
      <c r="B2333" t="s">
        <v>6770</v>
      </c>
      <c r="C2333" t="s">
        <v>6771</v>
      </c>
      <c r="D2333" t="s">
        <v>35</v>
      </c>
      <c r="E2333" t="s">
        <v>24</v>
      </c>
      <c r="F2333" t="s">
        <v>60</v>
      </c>
      <c r="G2333" t="s">
        <v>31</v>
      </c>
      <c r="H2333">
        <f>Cleaned_Data!K2333</f>
        <v>63.64</v>
      </c>
      <c r="I2333" t="str">
        <f t="shared" si="108"/>
        <v>NO</v>
      </c>
      <c r="J2333">
        <f>Cleaned_Data!J2333</f>
        <v>48</v>
      </c>
      <c r="K2333" t="str">
        <f t="shared" si="109"/>
        <v>2024-05</v>
      </c>
      <c r="L2333">
        <f t="shared" si="110"/>
        <v>15.64</v>
      </c>
    </row>
    <row r="2334" spans="1:12">
      <c r="A2334" t="s">
        <v>6772</v>
      </c>
      <c r="B2334" t="s">
        <v>6773</v>
      </c>
      <c r="C2334" t="s">
        <v>6774</v>
      </c>
      <c r="D2334" t="s">
        <v>15</v>
      </c>
      <c r="E2334" t="s">
        <v>16</v>
      </c>
      <c r="F2334" t="s">
        <v>17</v>
      </c>
      <c r="G2334" t="s">
        <v>31</v>
      </c>
      <c r="H2334">
        <f>Cleaned_Data!K2334</f>
        <v>3.48</v>
      </c>
      <c r="I2334" t="str">
        <f t="shared" si="108"/>
        <v>YES</v>
      </c>
      <c r="J2334">
        <f>Cleaned_Data!J2334</f>
        <v>8</v>
      </c>
      <c r="K2334" t="str">
        <f t="shared" si="109"/>
        <v>2024-05</v>
      </c>
      <c r="L2334">
        <f t="shared" si="110"/>
        <v>0</v>
      </c>
    </row>
    <row r="2335" spans="1:12">
      <c r="A2335" t="s">
        <v>6775</v>
      </c>
      <c r="B2335" t="s">
        <v>6776</v>
      </c>
      <c r="C2335" t="s">
        <v>6777</v>
      </c>
      <c r="D2335" t="s">
        <v>23</v>
      </c>
      <c r="E2335" t="s">
        <v>24</v>
      </c>
      <c r="F2335" t="s">
        <v>60</v>
      </c>
      <c r="G2335" t="s">
        <v>31</v>
      </c>
      <c r="H2335">
        <f>Cleaned_Data!K2335</f>
        <v>70.31</v>
      </c>
      <c r="I2335" t="str">
        <f t="shared" si="108"/>
        <v>NO</v>
      </c>
      <c r="J2335">
        <f>Cleaned_Data!J2335</f>
        <v>24</v>
      </c>
      <c r="K2335" t="str">
        <f t="shared" si="109"/>
        <v>2024-10</v>
      </c>
      <c r="L2335">
        <f t="shared" si="110"/>
        <v>46.31</v>
      </c>
    </row>
    <row r="2336" spans="1:12">
      <c r="A2336" t="s">
        <v>6778</v>
      </c>
      <c r="B2336" t="s">
        <v>6779</v>
      </c>
      <c r="C2336" t="s">
        <v>6780</v>
      </c>
      <c r="D2336" t="s">
        <v>35</v>
      </c>
      <c r="E2336" t="s">
        <v>24</v>
      </c>
      <c r="F2336" t="s">
        <v>60</v>
      </c>
      <c r="G2336" t="s">
        <v>19</v>
      </c>
      <c r="H2336">
        <f>Cleaned_Data!K2336</f>
        <v>33.6</v>
      </c>
      <c r="I2336" t="str">
        <f t="shared" si="108"/>
        <v>YES</v>
      </c>
      <c r="J2336">
        <f>Cleaned_Data!J2336</f>
        <v>48</v>
      </c>
      <c r="K2336" t="str">
        <f t="shared" si="109"/>
        <v>2024-06</v>
      </c>
      <c r="L2336">
        <f t="shared" si="110"/>
        <v>0</v>
      </c>
    </row>
    <row r="2337" spans="1:12">
      <c r="A2337" t="s">
        <v>6781</v>
      </c>
      <c r="B2337" t="s">
        <v>6782</v>
      </c>
      <c r="C2337" t="s">
        <v>6783</v>
      </c>
      <c r="D2337" t="s">
        <v>15</v>
      </c>
      <c r="E2337" t="s">
        <v>28</v>
      </c>
      <c r="F2337" t="s">
        <v>41</v>
      </c>
      <c r="G2337" t="s">
        <v>19</v>
      </c>
      <c r="H2337">
        <f>Cleaned_Data!K2337</f>
        <v>4.49</v>
      </c>
      <c r="I2337" t="str">
        <f t="shared" si="108"/>
        <v>YES</v>
      </c>
      <c r="J2337">
        <f>Cleaned_Data!J2337</f>
        <v>8</v>
      </c>
      <c r="K2337" t="str">
        <f t="shared" si="109"/>
        <v>2024-03</v>
      </c>
      <c r="L2337">
        <f t="shared" si="110"/>
        <v>0</v>
      </c>
    </row>
    <row r="2338" spans="1:12">
      <c r="A2338" t="s">
        <v>6784</v>
      </c>
      <c r="B2338" t="s">
        <v>6785</v>
      </c>
      <c r="C2338" t="s">
        <v>6786</v>
      </c>
      <c r="D2338" t="s">
        <v>15</v>
      </c>
      <c r="E2338" t="s">
        <v>16</v>
      </c>
      <c r="F2338" t="s">
        <v>17</v>
      </c>
      <c r="G2338" t="s">
        <v>19</v>
      </c>
      <c r="H2338">
        <f>Cleaned_Data!K2338</f>
        <v>1.72</v>
      </c>
      <c r="I2338" t="str">
        <f t="shared" si="108"/>
        <v>YES</v>
      </c>
      <c r="J2338">
        <f>Cleaned_Data!J2338</f>
        <v>8</v>
      </c>
      <c r="K2338" t="str">
        <f t="shared" si="109"/>
        <v>2024-12</v>
      </c>
      <c r="L2338">
        <f t="shared" si="110"/>
        <v>0</v>
      </c>
    </row>
    <row r="2339" spans="1:12">
      <c r="A2339" t="s">
        <v>6787</v>
      </c>
      <c r="B2339" t="s">
        <v>6788</v>
      </c>
      <c r="C2339" t="s">
        <v>6789</v>
      </c>
      <c r="D2339" t="s">
        <v>15</v>
      </c>
      <c r="E2339" t="s">
        <v>28</v>
      </c>
      <c r="F2339" t="s">
        <v>29</v>
      </c>
      <c r="G2339" t="s">
        <v>19</v>
      </c>
      <c r="H2339">
        <f>Cleaned_Data!K2339</f>
        <v>2.85</v>
      </c>
      <c r="I2339" t="str">
        <f t="shared" si="108"/>
        <v>YES</v>
      </c>
      <c r="J2339">
        <f>Cleaned_Data!J2339</f>
        <v>8</v>
      </c>
      <c r="K2339" t="str">
        <f t="shared" si="109"/>
        <v>2024-03</v>
      </c>
      <c r="L2339">
        <f t="shared" si="110"/>
        <v>0</v>
      </c>
    </row>
    <row r="2340" spans="1:12">
      <c r="A2340" t="s">
        <v>6790</v>
      </c>
      <c r="B2340" t="s">
        <v>6791</v>
      </c>
      <c r="C2340" t="s">
        <v>6792</v>
      </c>
      <c r="D2340" t="s">
        <v>23</v>
      </c>
      <c r="E2340" t="s">
        <v>28</v>
      </c>
      <c r="F2340" t="s">
        <v>41</v>
      </c>
      <c r="G2340" t="s">
        <v>31</v>
      </c>
      <c r="H2340">
        <f>Cleaned_Data!K2340</f>
        <v>18.55</v>
      </c>
      <c r="I2340" t="str">
        <f t="shared" si="108"/>
        <v>YES</v>
      </c>
      <c r="J2340">
        <f>Cleaned_Data!J2340</f>
        <v>24</v>
      </c>
      <c r="K2340" t="str">
        <f t="shared" si="109"/>
        <v>2024-10</v>
      </c>
      <c r="L2340">
        <f t="shared" si="110"/>
        <v>0</v>
      </c>
    </row>
    <row r="2341" spans="1:12">
      <c r="A2341" t="s">
        <v>6793</v>
      </c>
      <c r="B2341" t="s">
        <v>6794</v>
      </c>
      <c r="C2341" t="s">
        <v>6795</v>
      </c>
      <c r="D2341" t="s">
        <v>15</v>
      </c>
      <c r="E2341" t="s">
        <v>24</v>
      </c>
      <c r="F2341" t="s">
        <v>17</v>
      </c>
      <c r="G2341" t="s">
        <v>31</v>
      </c>
      <c r="H2341">
        <f>Cleaned_Data!K2341</f>
        <v>4.76</v>
      </c>
      <c r="I2341" t="str">
        <f t="shared" si="108"/>
        <v>YES</v>
      </c>
      <c r="J2341">
        <f>Cleaned_Data!J2341</f>
        <v>8</v>
      </c>
      <c r="K2341" t="str">
        <f t="shared" si="109"/>
        <v>2024-09</v>
      </c>
      <c r="L2341">
        <f t="shared" si="110"/>
        <v>0</v>
      </c>
    </row>
    <row r="2342" spans="1:12">
      <c r="A2342" t="s">
        <v>6796</v>
      </c>
      <c r="B2342" t="s">
        <v>6797</v>
      </c>
      <c r="C2342" t="s">
        <v>6798</v>
      </c>
      <c r="D2342" t="s">
        <v>35</v>
      </c>
      <c r="E2342" t="s">
        <v>24</v>
      </c>
      <c r="F2342" t="s">
        <v>41</v>
      </c>
      <c r="G2342" t="s">
        <v>31</v>
      </c>
      <c r="H2342">
        <f>Cleaned_Data!K2342</f>
        <v>15.55</v>
      </c>
      <c r="I2342" t="str">
        <f t="shared" si="108"/>
        <v>YES</v>
      </c>
      <c r="J2342">
        <f>Cleaned_Data!J2342</f>
        <v>48</v>
      </c>
      <c r="K2342" t="str">
        <f t="shared" si="109"/>
        <v>2024-12</v>
      </c>
      <c r="L2342">
        <f t="shared" si="110"/>
        <v>0</v>
      </c>
    </row>
    <row r="2343" spans="1:12">
      <c r="A2343" t="s">
        <v>6799</v>
      </c>
      <c r="B2343" t="s">
        <v>6800</v>
      </c>
      <c r="C2343" t="s">
        <v>6801</v>
      </c>
      <c r="D2343" t="s">
        <v>15</v>
      </c>
      <c r="E2343" t="s">
        <v>28</v>
      </c>
      <c r="F2343" t="s">
        <v>17</v>
      </c>
      <c r="G2343" t="s">
        <v>19</v>
      </c>
      <c r="H2343">
        <f>Cleaned_Data!K2343</f>
        <v>3.29</v>
      </c>
      <c r="I2343" t="str">
        <f t="shared" si="108"/>
        <v>YES</v>
      </c>
      <c r="J2343">
        <f>Cleaned_Data!J2343</f>
        <v>8</v>
      </c>
      <c r="K2343" t="str">
        <f t="shared" si="109"/>
        <v>2024-04</v>
      </c>
      <c r="L2343">
        <f t="shared" si="110"/>
        <v>0</v>
      </c>
    </row>
    <row r="2344" spans="1:12">
      <c r="A2344" t="s">
        <v>6802</v>
      </c>
      <c r="B2344" t="s">
        <v>6803</v>
      </c>
      <c r="C2344" t="s">
        <v>6804</v>
      </c>
      <c r="D2344" t="s">
        <v>35</v>
      </c>
      <c r="E2344" t="s">
        <v>54</v>
      </c>
      <c r="F2344" t="s">
        <v>29</v>
      </c>
      <c r="G2344" t="s">
        <v>19</v>
      </c>
      <c r="H2344">
        <f>Cleaned_Data!K2344</f>
        <v>35.47</v>
      </c>
      <c r="I2344" t="str">
        <f t="shared" si="108"/>
        <v>YES</v>
      </c>
      <c r="J2344">
        <f>Cleaned_Data!J2344</f>
        <v>48</v>
      </c>
      <c r="K2344" t="str">
        <f t="shared" si="109"/>
        <v>2024-03</v>
      </c>
      <c r="L2344">
        <f t="shared" si="110"/>
        <v>0</v>
      </c>
    </row>
    <row r="2345" spans="1:12">
      <c r="A2345" t="s">
        <v>6805</v>
      </c>
      <c r="B2345" t="s">
        <v>6806</v>
      </c>
      <c r="C2345" t="s">
        <v>6807</v>
      </c>
      <c r="D2345" t="s">
        <v>35</v>
      </c>
      <c r="E2345" t="s">
        <v>24</v>
      </c>
      <c r="F2345" t="s">
        <v>17</v>
      </c>
      <c r="G2345" t="s">
        <v>19</v>
      </c>
      <c r="H2345">
        <f>Cleaned_Data!K2345</f>
        <v>37.159999999999997</v>
      </c>
      <c r="I2345" t="str">
        <f t="shared" si="108"/>
        <v>YES</v>
      </c>
      <c r="J2345">
        <f>Cleaned_Data!J2345</f>
        <v>48</v>
      </c>
      <c r="K2345" t="str">
        <f t="shared" si="109"/>
        <v>2024-10</v>
      </c>
      <c r="L2345">
        <f t="shared" si="110"/>
        <v>0</v>
      </c>
    </row>
    <row r="2346" spans="1:12">
      <c r="A2346" t="s">
        <v>6808</v>
      </c>
      <c r="B2346" t="s">
        <v>6809</v>
      </c>
      <c r="C2346" t="s">
        <v>6810</v>
      </c>
      <c r="D2346" t="s">
        <v>15</v>
      </c>
      <c r="E2346" t="s">
        <v>28</v>
      </c>
      <c r="F2346" t="s">
        <v>36</v>
      </c>
      <c r="G2346" t="s">
        <v>19</v>
      </c>
      <c r="H2346">
        <f>Cleaned_Data!K2346</f>
        <v>0.95</v>
      </c>
      <c r="I2346" t="str">
        <f t="shared" si="108"/>
        <v>YES</v>
      </c>
      <c r="J2346">
        <f>Cleaned_Data!J2346</f>
        <v>8</v>
      </c>
      <c r="K2346" t="str">
        <f t="shared" si="109"/>
        <v>2024-01</v>
      </c>
      <c r="L2346">
        <f t="shared" si="110"/>
        <v>0</v>
      </c>
    </row>
    <row r="2347" spans="1:12">
      <c r="A2347" t="s">
        <v>6811</v>
      </c>
      <c r="B2347" t="s">
        <v>6812</v>
      </c>
      <c r="D2347" t="s">
        <v>23</v>
      </c>
      <c r="E2347" t="s">
        <v>24</v>
      </c>
      <c r="F2347" t="s">
        <v>36</v>
      </c>
      <c r="G2347" t="s">
        <v>63</v>
      </c>
      <c r="H2347">
        <f>Cleaned_Data!K2347</f>
        <v>0</v>
      </c>
      <c r="I2347" t="str">
        <f t="shared" si="108"/>
        <v/>
      </c>
      <c r="J2347">
        <f>Cleaned_Data!J2347</f>
        <v>24</v>
      </c>
      <c r="K2347" t="str">
        <f t="shared" si="109"/>
        <v>2024-06</v>
      </c>
      <c r="L2347">
        <f t="shared" si="110"/>
        <v>0</v>
      </c>
    </row>
    <row r="2348" spans="1:12">
      <c r="A2348" t="s">
        <v>6813</v>
      </c>
      <c r="B2348" t="s">
        <v>6814</v>
      </c>
      <c r="C2348" t="s">
        <v>6815</v>
      </c>
      <c r="D2348" t="s">
        <v>23</v>
      </c>
      <c r="E2348" t="s">
        <v>59</v>
      </c>
      <c r="F2348" t="s">
        <v>36</v>
      </c>
      <c r="G2348" t="s">
        <v>31</v>
      </c>
      <c r="H2348">
        <f>Cleaned_Data!K2348</f>
        <v>12.16</v>
      </c>
      <c r="I2348" t="str">
        <f t="shared" si="108"/>
        <v>YES</v>
      </c>
      <c r="J2348">
        <f>Cleaned_Data!J2348</f>
        <v>24</v>
      </c>
      <c r="K2348" t="str">
        <f t="shared" si="109"/>
        <v>2024-10</v>
      </c>
      <c r="L2348">
        <f t="shared" si="110"/>
        <v>0</v>
      </c>
    </row>
    <row r="2349" spans="1:12">
      <c r="A2349" t="s">
        <v>6816</v>
      </c>
      <c r="B2349" t="s">
        <v>6817</v>
      </c>
      <c r="C2349" t="s">
        <v>6818</v>
      </c>
      <c r="D2349" t="s">
        <v>35</v>
      </c>
      <c r="E2349" t="s">
        <v>28</v>
      </c>
      <c r="F2349" t="s">
        <v>36</v>
      </c>
      <c r="G2349" t="s">
        <v>19</v>
      </c>
      <c r="H2349">
        <f>Cleaned_Data!K2349</f>
        <v>7.09</v>
      </c>
      <c r="I2349" t="str">
        <f t="shared" si="108"/>
        <v>YES</v>
      </c>
      <c r="J2349">
        <f>Cleaned_Data!J2349</f>
        <v>48</v>
      </c>
      <c r="K2349" t="str">
        <f t="shared" si="109"/>
        <v>2024-10</v>
      </c>
      <c r="L2349">
        <f t="shared" si="110"/>
        <v>0</v>
      </c>
    </row>
    <row r="2350" spans="1:12">
      <c r="A2350" t="s">
        <v>6819</v>
      </c>
      <c r="B2350" t="s">
        <v>6820</v>
      </c>
      <c r="C2350" t="s">
        <v>6821</v>
      </c>
      <c r="D2350" t="s">
        <v>35</v>
      </c>
      <c r="E2350" t="s">
        <v>16</v>
      </c>
      <c r="F2350" t="s">
        <v>60</v>
      </c>
      <c r="G2350" t="s">
        <v>31</v>
      </c>
      <c r="H2350">
        <f>Cleaned_Data!K2350</f>
        <v>5.98</v>
      </c>
      <c r="I2350" t="str">
        <f t="shared" si="108"/>
        <v>YES</v>
      </c>
      <c r="J2350">
        <f>Cleaned_Data!J2350</f>
        <v>48</v>
      </c>
      <c r="K2350" t="str">
        <f t="shared" si="109"/>
        <v>2024-03</v>
      </c>
      <c r="L2350">
        <f t="shared" si="110"/>
        <v>0</v>
      </c>
    </row>
    <row r="2351" spans="1:12">
      <c r="A2351" t="s">
        <v>6822</v>
      </c>
      <c r="B2351" t="s">
        <v>6823</v>
      </c>
      <c r="C2351" t="s">
        <v>6824</v>
      </c>
      <c r="D2351" t="s">
        <v>35</v>
      </c>
      <c r="E2351" t="s">
        <v>24</v>
      </c>
      <c r="F2351" t="s">
        <v>17</v>
      </c>
      <c r="G2351" t="s">
        <v>19</v>
      </c>
      <c r="H2351">
        <f>Cleaned_Data!K2351</f>
        <v>44.47</v>
      </c>
      <c r="I2351" t="str">
        <f t="shared" si="108"/>
        <v>YES</v>
      </c>
      <c r="J2351">
        <f>Cleaned_Data!J2351</f>
        <v>48</v>
      </c>
      <c r="K2351" t="str">
        <f t="shared" si="109"/>
        <v>2024-12</v>
      </c>
      <c r="L2351">
        <f t="shared" si="110"/>
        <v>0</v>
      </c>
    </row>
    <row r="2352" spans="1:12">
      <c r="A2352" t="s">
        <v>6825</v>
      </c>
      <c r="B2352" t="s">
        <v>6826</v>
      </c>
      <c r="C2352" t="s">
        <v>6827</v>
      </c>
      <c r="D2352" t="s">
        <v>23</v>
      </c>
      <c r="E2352" t="s">
        <v>59</v>
      </c>
      <c r="F2352" t="s">
        <v>36</v>
      </c>
      <c r="G2352" t="s">
        <v>19</v>
      </c>
      <c r="H2352">
        <f>Cleaned_Data!K2352</f>
        <v>5.73</v>
      </c>
      <c r="I2352" t="str">
        <f t="shared" si="108"/>
        <v>YES</v>
      </c>
      <c r="J2352">
        <f>Cleaned_Data!J2352</f>
        <v>24</v>
      </c>
      <c r="K2352" t="str">
        <f t="shared" si="109"/>
        <v>2024-10</v>
      </c>
      <c r="L2352">
        <f t="shared" si="110"/>
        <v>0</v>
      </c>
    </row>
    <row r="2353" spans="1:12">
      <c r="A2353" t="s">
        <v>6828</v>
      </c>
      <c r="B2353" t="s">
        <v>6829</v>
      </c>
      <c r="C2353" t="s">
        <v>6830</v>
      </c>
      <c r="D2353" t="s">
        <v>158</v>
      </c>
      <c r="E2353" t="s">
        <v>59</v>
      </c>
      <c r="F2353" t="s">
        <v>41</v>
      </c>
      <c r="G2353" t="s">
        <v>19</v>
      </c>
      <c r="H2353">
        <f>Cleaned_Data!K2353</f>
        <v>9.35</v>
      </c>
      <c r="I2353" t="str">
        <f t="shared" si="108"/>
        <v>NO</v>
      </c>
      <c r="J2353">
        <f>Cleaned_Data!J2353</f>
        <v>4</v>
      </c>
      <c r="K2353" t="str">
        <f t="shared" si="109"/>
        <v>2024-04</v>
      </c>
      <c r="L2353">
        <f t="shared" si="110"/>
        <v>5.35</v>
      </c>
    </row>
    <row r="2354" spans="1:12">
      <c r="A2354" t="s">
        <v>6831</v>
      </c>
      <c r="B2354" t="s">
        <v>6832</v>
      </c>
      <c r="C2354" t="s">
        <v>6833</v>
      </c>
      <c r="D2354" t="s">
        <v>23</v>
      </c>
      <c r="E2354" t="s">
        <v>24</v>
      </c>
      <c r="F2354" t="s">
        <v>41</v>
      </c>
      <c r="G2354" t="s">
        <v>31</v>
      </c>
      <c r="H2354">
        <f>Cleaned_Data!K2354</f>
        <v>19.23</v>
      </c>
      <c r="I2354" t="str">
        <f t="shared" si="108"/>
        <v>YES</v>
      </c>
      <c r="J2354">
        <f>Cleaned_Data!J2354</f>
        <v>24</v>
      </c>
      <c r="K2354" t="str">
        <f t="shared" si="109"/>
        <v>2024-10</v>
      </c>
      <c r="L2354">
        <f t="shared" si="110"/>
        <v>0</v>
      </c>
    </row>
    <row r="2355" spans="1:12">
      <c r="A2355" t="s">
        <v>6834</v>
      </c>
      <c r="B2355" t="s">
        <v>6835</v>
      </c>
      <c r="C2355" t="s">
        <v>6836</v>
      </c>
      <c r="D2355" t="s">
        <v>23</v>
      </c>
      <c r="E2355" t="s">
        <v>54</v>
      </c>
      <c r="F2355" t="s">
        <v>17</v>
      </c>
      <c r="G2355" t="s">
        <v>19</v>
      </c>
      <c r="H2355">
        <f>Cleaned_Data!K2355</f>
        <v>13.45</v>
      </c>
      <c r="I2355" t="str">
        <f t="shared" si="108"/>
        <v>YES</v>
      </c>
      <c r="J2355">
        <f>Cleaned_Data!J2355</f>
        <v>24</v>
      </c>
      <c r="K2355" t="str">
        <f t="shared" si="109"/>
        <v>2024-08</v>
      </c>
      <c r="L2355">
        <f t="shared" si="110"/>
        <v>0</v>
      </c>
    </row>
    <row r="2356" spans="1:12">
      <c r="A2356" t="s">
        <v>6837</v>
      </c>
      <c r="B2356" t="s">
        <v>6838</v>
      </c>
      <c r="C2356" t="s">
        <v>6839</v>
      </c>
      <c r="D2356" t="s">
        <v>23</v>
      </c>
      <c r="E2356" t="s">
        <v>16</v>
      </c>
      <c r="F2356" t="s">
        <v>41</v>
      </c>
      <c r="G2356" t="s">
        <v>19</v>
      </c>
      <c r="H2356">
        <f>Cleaned_Data!K2356</f>
        <v>21.4</v>
      </c>
      <c r="I2356" t="str">
        <f t="shared" si="108"/>
        <v>YES</v>
      </c>
      <c r="J2356">
        <f>Cleaned_Data!J2356</f>
        <v>24</v>
      </c>
      <c r="K2356" t="str">
        <f t="shared" si="109"/>
        <v>2024-12</v>
      </c>
      <c r="L2356">
        <f t="shared" si="110"/>
        <v>0</v>
      </c>
    </row>
    <row r="2357" spans="1:12">
      <c r="A2357" t="s">
        <v>6840</v>
      </c>
      <c r="B2357" t="s">
        <v>6841</v>
      </c>
      <c r="C2357" t="s">
        <v>6842</v>
      </c>
      <c r="D2357" t="s">
        <v>23</v>
      </c>
      <c r="E2357" t="s">
        <v>16</v>
      </c>
      <c r="F2357" t="s">
        <v>60</v>
      </c>
      <c r="G2357" t="s">
        <v>19</v>
      </c>
      <c r="H2357">
        <f>Cleaned_Data!K2357</f>
        <v>13.29</v>
      </c>
      <c r="I2357" t="str">
        <f t="shared" si="108"/>
        <v>YES</v>
      </c>
      <c r="J2357">
        <f>Cleaned_Data!J2357</f>
        <v>24</v>
      </c>
      <c r="K2357" t="str">
        <f t="shared" si="109"/>
        <v>2024-05</v>
      </c>
      <c r="L2357">
        <f t="shared" si="110"/>
        <v>0</v>
      </c>
    </row>
    <row r="2358" spans="1:12">
      <c r="A2358" t="s">
        <v>6843</v>
      </c>
      <c r="B2358" t="s">
        <v>6844</v>
      </c>
      <c r="C2358" t="s">
        <v>6845</v>
      </c>
      <c r="D2358" t="s">
        <v>23</v>
      </c>
      <c r="E2358" t="s">
        <v>16</v>
      </c>
      <c r="F2358" t="s">
        <v>17</v>
      </c>
      <c r="G2358" t="s">
        <v>19</v>
      </c>
      <c r="H2358">
        <f>Cleaned_Data!K2358</f>
        <v>14.1</v>
      </c>
      <c r="I2358" t="str">
        <f t="shared" si="108"/>
        <v>YES</v>
      </c>
      <c r="J2358">
        <f>Cleaned_Data!J2358</f>
        <v>24</v>
      </c>
      <c r="K2358" t="str">
        <f t="shared" si="109"/>
        <v>2024-12</v>
      </c>
      <c r="L2358">
        <f t="shared" si="110"/>
        <v>0</v>
      </c>
    </row>
    <row r="2359" spans="1:12">
      <c r="A2359" t="s">
        <v>6846</v>
      </c>
      <c r="B2359" t="s">
        <v>6847</v>
      </c>
      <c r="C2359" t="s">
        <v>6848</v>
      </c>
      <c r="D2359" t="s">
        <v>15</v>
      </c>
      <c r="E2359" t="s">
        <v>59</v>
      </c>
      <c r="F2359" t="s">
        <v>36</v>
      </c>
      <c r="G2359" t="s">
        <v>19</v>
      </c>
      <c r="H2359">
        <f>Cleaned_Data!K2359</f>
        <v>4.29</v>
      </c>
      <c r="I2359" t="str">
        <f t="shared" si="108"/>
        <v>YES</v>
      </c>
      <c r="J2359">
        <f>Cleaned_Data!J2359</f>
        <v>8</v>
      </c>
      <c r="K2359" t="str">
        <f t="shared" si="109"/>
        <v>2024-11</v>
      </c>
      <c r="L2359">
        <f t="shared" si="110"/>
        <v>0</v>
      </c>
    </row>
    <row r="2360" spans="1:12">
      <c r="A2360" t="s">
        <v>6849</v>
      </c>
      <c r="B2360" t="s">
        <v>6850</v>
      </c>
      <c r="C2360" t="s">
        <v>6851</v>
      </c>
      <c r="D2360" t="s">
        <v>35</v>
      </c>
      <c r="E2360" t="s">
        <v>54</v>
      </c>
      <c r="F2360" t="s">
        <v>60</v>
      </c>
      <c r="G2360" t="s">
        <v>31</v>
      </c>
      <c r="H2360">
        <f>Cleaned_Data!K2360</f>
        <v>134.53</v>
      </c>
      <c r="I2360" t="str">
        <f t="shared" si="108"/>
        <v>NO</v>
      </c>
      <c r="J2360">
        <f>Cleaned_Data!J2360</f>
        <v>48</v>
      </c>
      <c r="K2360" t="str">
        <f t="shared" si="109"/>
        <v>2024-05</v>
      </c>
      <c r="L2360">
        <f t="shared" si="110"/>
        <v>86.53</v>
      </c>
    </row>
    <row r="2361" spans="1:12">
      <c r="A2361" t="s">
        <v>6852</v>
      </c>
      <c r="B2361" t="s">
        <v>6853</v>
      </c>
      <c r="D2361" t="s">
        <v>35</v>
      </c>
      <c r="E2361" t="s">
        <v>28</v>
      </c>
      <c r="F2361" t="s">
        <v>36</v>
      </c>
      <c r="G2361" t="s">
        <v>63</v>
      </c>
      <c r="H2361">
        <f>Cleaned_Data!K2361</f>
        <v>0</v>
      </c>
      <c r="I2361" t="str">
        <f t="shared" si="108"/>
        <v/>
      </c>
      <c r="J2361">
        <f>Cleaned_Data!J2361</f>
        <v>48</v>
      </c>
      <c r="K2361" t="str">
        <f t="shared" si="109"/>
        <v>2024-01</v>
      </c>
      <c r="L2361">
        <f t="shared" si="110"/>
        <v>0</v>
      </c>
    </row>
    <row r="2362" spans="1:12">
      <c r="A2362" t="s">
        <v>6854</v>
      </c>
      <c r="B2362" t="s">
        <v>6855</v>
      </c>
      <c r="C2362" t="s">
        <v>6856</v>
      </c>
      <c r="D2362" t="s">
        <v>15</v>
      </c>
      <c r="E2362" t="s">
        <v>24</v>
      </c>
      <c r="F2362" t="s">
        <v>60</v>
      </c>
      <c r="G2362" t="s">
        <v>19</v>
      </c>
      <c r="H2362">
        <f>Cleaned_Data!K2362</f>
        <v>4.87</v>
      </c>
      <c r="I2362" t="str">
        <f t="shared" si="108"/>
        <v>YES</v>
      </c>
      <c r="J2362">
        <f>Cleaned_Data!J2362</f>
        <v>8</v>
      </c>
      <c r="K2362" t="str">
        <f t="shared" si="109"/>
        <v>2024-08</v>
      </c>
      <c r="L2362">
        <f t="shared" si="110"/>
        <v>0</v>
      </c>
    </row>
    <row r="2363" spans="1:12">
      <c r="A2363" t="s">
        <v>6857</v>
      </c>
      <c r="B2363" t="s">
        <v>6858</v>
      </c>
      <c r="C2363" t="s">
        <v>6859</v>
      </c>
      <c r="D2363" t="s">
        <v>23</v>
      </c>
      <c r="E2363" t="s">
        <v>28</v>
      </c>
      <c r="F2363" t="s">
        <v>17</v>
      </c>
      <c r="G2363" t="s">
        <v>19</v>
      </c>
      <c r="H2363">
        <f>Cleaned_Data!K2363</f>
        <v>10.31</v>
      </c>
      <c r="I2363" t="str">
        <f t="shared" si="108"/>
        <v>YES</v>
      </c>
      <c r="J2363">
        <f>Cleaned_Data!J2363</f>
        <v>24</v>
      </c>
      <c r="K2363" t="str">
        <f t="shared" si="109"/>
        <v>2024-12</v>
      </c>
      <c r="L2363">
        <f t="shared" si="110"/>
        <v>0</v>
      </c>
    </row>
    <row r="2364" spans="1:12">
      <c r="A2364" t="s">
        <v>6860</v>
      </c>
      <c r="B2364" t="s">
        <v>6861</v>
      </c>
      <c r="C2364" t="s">
        <v>6862</v>
      </c>
      <c r="D2364" t="s">
        <v>23</v>
      </c>
      <c r="E2364" t="s">
        <v>24</v>
      </c>
      <c r="F2364" t="s">
        <v>36</v>
      </c>
      <c r="G2364" t="s">
        <v>31</v>
      </c>
      <c r="H2364">
        <f>Cleaned_Data!K2364</f>
        <v>4.7</v>
      </c>
      <c r="I2364" t="str">
        <f t="shared" si="108"/>
        <v>YES</v>
      </c>
      <c r="J2364">
        <f>Cleaned_Data!J2364</f>
        <v>24</v>
      </c>
      <c r="K2364" t="str">
        <f t="shared" si="109"/>
        <v>2024-03</v>
      </c>
      <c r="L2364">
        <f t="shared" si="110"/>
        <v>0</v>
      </c>
    </row>
    <row r="2365" spans="1:12">
      <c r="A2365" t="s">
        <v>6863</v>
      </c>
      <c r="B2365" t="s">
        <v>6864</v>
      </c>
      <c r="C2365" t="s">
        <v>6865</v>
      </c>
      <c r="D2365" t="s">
        <v>15</v>
      </c>
      <c r="E2365" t="s">
        <v>16</v>
      </c>
      <c r="F2365" t="s">
        <v>60</v>
      </c>
      <c r="G2365" t="s">
        <v>19</v>
      </c>
      <c r="H2365">
        <f>Cleaned_Data!K2365</f>
        <v>22.58</v>
      </c>
      <c r="I2365" t="str">
        <f t="shared" si="108"/>
        <v>NO</v>
      </c>
      <c r="J2365">
        <f>Cleaned_Data!J2365</f>
        <v>8</v>
      </c>
      <c r="K2365" t="str">
        <f t="shared" si="109"/>
        <v>2024-09</v>
      </c>
      <c r="L2365">
        <f t="shared" si="110"/>
        <v>14.579999999999998</v>
      </c>
    </row>
    <row r="2366" spans="1:12">
      <c r="A2366" t="s">
        <v>6866</v>
      </c>
      <c r="B2366" t="s">
        <v>6867</v>
      </c>
      <c r="C2366" t="s">
        <v>6868</v>
      </c>
      <c r="D2366" t="s">
        <v>23</v>
      </c>
      <c r="E2366" t="s">
        <v>16</v>
      </c>
      <c r="F2366" t="s">
        <v>17</v>
      </c>
      <c r="G2366" t="s">
        <v>19</v>
      </c>
      <c r="H2366">
        <f>Cleaned_Data!K2366</f>
        <v>20.86</v>
      </c>
      <c r="I2366" t="str">
        <f t="shared" si="108"/>
        <v>YES</v>
      </c>
      <c r="J2366">
        <f>Cleaned_Data!J2366</f>
        <v>24</v>
      </c>
      <c r="K2366" t="str">
        <f t="shared" si="109"/>
        <v>2024-01</v>
      </c>
      <c r="L2366">
        <f t="shared" si="110"/>
        <v>0</v>
      </c>
    </row>
    <row r="2367" spans="1:12">
      <c r="A2367" t="s">
        <v>6869</v>
      </c>
      <c r="B2367" t="s">
        <v>6870</v>
      </c>
      <c r="D2367" t="s">
        <v>35</v>
      </c>
      <c r="E2367" t="s">
        <v>28</v>
      </c>
      <c r="F2367" t="s">
        <v>60</v>
      </c>
      <c r="G2367" t="s">
        <v>63</v>
      </c>
      <c r="H2367">
        <f>Cleaned_Data!K2367</f>
        <v>0</v>
      </c>
      <c r="I2367" t="str">
        <f t="shared" si="108"/>
        <v/>
      </c>
      <c r="J2367">
        <f>Cleaned_Data!J2367</f>
        <v>48</v>
      </c>
      <c r="K2367" t="str">
        <f t="shared" si="109"/>
        <v>2024-07</v>
      </c>
      <c r="L2367">
        <f t="shared" si="110"/>
        <v>0</v>
      </c>
    </row>
    <row r="2368" spans="1:12">
      <c r="A2368" t="s">
        <v>6871</v>
      </c>
      <c r="B2368" t="s">
        <v>6872</v>
      </c>
      <c r="C2368" t="s">
        <v>6873</v>
      </c>
      <c r="D2368" t="s">
        <v>15</v>
      </c>
      <c r="E2368" t="s">
        <v>24</v>
      </c>
      <c r="F2368" t="s">
        <v>17</v>
      </c>
      <c r="G2368" t="s">
        <v>31</v>
      </c>
      <c r="H2368">
        <f>Cleaned_Data!K2368</f>
        <v>3.37</v>
      </c>
      <c r="I2368" t="str">
        <f t="shared" si="108"/>
        <v>YES</v>
      </c>
      <c r="J2368">
        <f>Cleaned_Data!J2368</f>
        <v>8</v>
      </c>
      <c r="K2368" t="str">
        <f t="shared" si="109"/>
        <v>2024-01</v>
      </c>
      <c r="L2368">
        <f t="shared" si="110"/>
        <v>0</v>
      </c>
    </row>
    <row r="2369" spans="1:12">
      <c r="A2369" t="s">
        <v>6874</v>
      </c>
      <c r="B2369" t="s">
        <v>6875</v>
      </c>
      <c r="C2369" t="s">
        <v>6876</v>
      </c>
      <c r="D2369" t="s">
        <v>158</v>
      </c>
      <c r="E2369" t="s">
        <v>16</v>
      </c>
      <c r="F2369" t="s">
        <v>29</v>
      </c>
      <c r="G2369" t="s">
        <v>31</v>
      </c>
      <c r="H2369">
        <f>Cleaned_Data!K2369</f>
        <v>1.27</v>
      </c>
      <c r="I2369" t="str">
        <f t="shared" si="108"/>
        <v>YES</v>
      </c>
      <c r="J2369">
        <f>Cleaned_Data!J2369</f>
        <v>4</v>
      </c>
      <c r="K2369" t="str">
        <f t="shared" si="109"/>
        <v>2024-05</v>
      </c>
      <c r="L2369">
        <f t="shared" si="110"/>
        <v>0</v>
      </c>
    </row>
    <row r="2370" spans="1:12">
      <c r="A2370" t="s">
        <v>6877</v>
      </c>
      <c r="B2370" t="s">
        <v>6878</v>
      </c>
      <c r="D2370" t="s">
        <v>23</v>
      </c>
      <c r="E2370" t="s">
        <v>54</v>
      </c>
      <c r="F2370" t="s">
        <v>17</v>
      </c>
      <c r="G2370" t="s">
        <v>63</v>
      </c>
      <c r="H2370">
        <f>Cleaned_Data!K2370</f>
        <v>0</v>
      </c>
      <c r="I2370" t="str">
        <f t="shared" ref="I2370:I2433" si="111">IF(OR(G2370="Resolved", G2370="Closed"), IF(AND(H2370&lt;&gt;"", H2370&lt;=J2370), "YES", "NO"), "")</f>
        <v/>
      </c>
      <c r="J2370">
        <f>Cleaned_Data!J2370</f>
        <v>24</v>
      </c>
      <c r="K2370" t="str">
        <f t="shared" ref="K2370:K2433" si="112">LEFT(B2370, 7)</f>
        <v>2024-03</v>
      </c>
      <c r="L2370">
        <f t="shared" ref="L2370:L2433" si="113">IF(I2370="NO", H2370-J2370, 0)</f>
        <v>0</v>
      </c>
    </row>
    <row r="2371" spans="1:12">
      <c r="A2371" t="s">
        <v>6879</v>
      </c>
      <c r="B2371" t="s">
        <v>6880</v>
      </c>
      <c r="C2371" t="s">
        <v>6881</v>
      </c>
      <c r="D2371" t="s">
        <v>23</v>
      </c>
      <c r="E2371" t="s">
        <v>28</v>
      </c>
      <c r="F2371" t="s">
        <v>29</v>
      </c>
      <c r="G2371" t="s">
        <v>19</v>
      </c>
      <c r="H2371">
        <f>Cleaned_Data!K2371</f>
        <v>8.91</v>
      </c>
      <c r="I2371" t="str">
        <f t="shared" si="111"/>
        <v>YES</v>
      </c>
      <c r="J2371">
        <f>Cleaned_Data!J2371</f>
        <v>24</v>
      </c>
      <c r="K2371" t="str">
        <f t="shared" si="112"/>
        <v>2024-08</v>
      </c>
      <c r="L2371">
        <f t="shared" si="113"/>
        <v>0</v>
      </c>
    </row>
    <row r="2372" spans="1:12">
      <c r="A2372" t="s">
        <v>6882</v>
      </c>
      <c r="B2372" t="s">
        <v>6883</v>
      </c>
      <c r="C2372" t="s">
        <v>6884</v>
      </c>
      <c r="D2372" t="s">
        <v>23</v>
      </c>
      <c r="E2372" t="s">
        <v>16</v>
      </c>
      <c r="F2372" t="s">
        <v>41</v>
      </c>
      <c r="G2372" t="s">
        <v>31</v>
      </c>
      <c r="H2372">
        <f>Cleaned_Data!K2372</f>
        <v>4.1100000000000003</v>
      </c>
      <c r="I2372" t="str">
        <f t="shared" si="111"/>
        <v>YES</v>
      </c>
      <c r="J2372">
        <f>Cleaned_Data!J2372</f>
        <v>24</v>
      </c>
      <c r="K2372" t="str">
        <f t="shared" si="112"/>
        <v>2024-12</v>
      </c>
      <c r="L2372">
        <f t="shared" si="113"/>
        <v>0</v>
      </c>
    </row>
    <row r="2373" spans="1:12">
      <c r="A2373" t="s">
        <v>6885</v>
      </c>
      <c r="B2373" t="s">
        <v>6886</v>
      </c>
      <c r="C2373" t="s">
        <v>6887</v>
      </c>
      <c r="D2373" t="s">
        <v>158</v>
      </c>
      <c r="E2373" t="s">
        <v>28</v>
      </c>
      <c r="F2373" t="s">
        <v>17</v>
      </c>
      <c r="G2373" t="s">
        <v>31</v>
      </c>
      <c r="H2373">
        <f>Cleaned_Data!K2373</f>
        <v>1.5</v>
      </c>
      <c r="I2373" t="str">
        <f t="shared" si="111"/>
        <v>YES</v>
      </c>
      <c r="J2373">
        <f>Cleaned_Data!J2373</f>
        <v>4</v>
      </c>
      <c r="K2373" t="str">
        <f t="shared" si="112"/>
        <v>2024-02</v>
      </c>
      <c r="L2373">
        <f t="shared" si="113"/>
        <v>0</v>
      </c>
    </row>
    <row r="2374" spans="1:12">
      <c r="A2374" t="s">
        <v>6888</v>
      </c>
      <c r="B2374" t="s">
        <v>6889</v>
      </c>
      <c r="C2374" t="s">
        <v>6890</v>
      </c>
      <c r="D2374" t="s">
        <v>23</v>
      </c>
      <c r="E2374" t="s">
        <v>28</v>
      </c>
      <c r="F2374" t="s">
        <v>17</v>
      </c>
      <c r="G2374" t="s">
        <v>19</v>
      </c>
      <c r="H2374">
        <f>Cleaned_Data!K2374</f>
        <v>16.7</v>
      </c>
      <c r="I2374" t="str">
        <f t="shared" si="111"/>
        <v>YES</v>
      </c>
      <c r="J2374">
        <f>Cleaned_Data!J2374</f>
        <v>24</v>
      </c>
      <c r="K2374" t="str">
        <f t="shared" si="112"/>
        <v>2024-12</v>
      </c>
      <c r="L2374">
        <f t="shared" si="113"/>
        <v>0</v>
      </c>
    </row>
    <row r="2375" spans="1:12">
      <c r="A2375" t="s">
        <v>6891</v>
      </c>
      <c r="B2375" t="s">
        <v>6892</v>
      </c>
      <c r="C2375" t="s">
        <v>6893</v>
      </c>
      <c r="D2375" t="s">
        <v>15</v>
      </c>
      <c r="E2375" t="s">
        <v>54</v>
      </c>
      <c r="F2375" t="s">
        <v>17</v>
      </c>
      <c r="G2375" t="s">
        <v>19</v>
      </c>
      <c r="H2375">
        <f>Cleaned_Data!K2375</f>
        <v>19.670000000000002</v>
      </c>
      <c r="I2375" t="str">
        <f t="shared" si="111"/>
        <v>NO</v>
      </c>
      <c r="J2375">
        <f>Cleaned_Data!J2375</f>
        <v>8</v>
      </c>
      <c r="K2375" t="str">
        <f t="shared" si="112"/>
        <v>2024-06</v>
      </c>
      <c r="L2375">
        <f t="shared" si="113"/>
        <v>11.670000000000002</v>
      </c>
    </row>
    <row r="2376" spans="1:12">
      <c r="A2376" t="s">
        <v>6894</v>
      </c>
      <c r="B2376" t="s">
        <v>6895</v>
      </c>
      <c r="C2376" t="s">
        <v>6896</v>
      </c>
      <c r="D2376" t="s">
        <v>158</v>
      </c>
      <c r="E2376" t="s">
        <v>24</v>
      </c>
      <c r="F2376" t="s">
        <v>29</v>
      </c>
      <c r="G2376" t="s">
        <v>19</v>
      </c>
      <c r="H2376">
        <f>Cleaned_Data!K2376</f>
        <v>2.6</v>
      </c>
      <c r="I2376" t="str">
        <f t="shared" si="111"/>
        <v>YES</v>
      </c>
      <c r="J2376">
        <f>Cleaned_Data!J2376</f>
        <v>4</v>
      </c>
      <c r="K2376" t="str">
        <f t="shared" si="112"/>
        <v>2024-03</v>
      </c>
      <c r="L2376">
        <f t="shared" si="113"/>
        <v>0</v>
      </c>
    </row>
    <row r="2377" spans="1:12">
      <c r="A2377" t="s">
        <v>6897</v>
      </c>
      <c r="B2377" t="s">
        <v>6898</v>
      </c>
      <c r="C2377" t="s">
        <v>6899</v>
      </c>
      <c r="D2377" t="s">
        <v>15</v>
      </c>
      <c r="E2377" t="s">
        <v>16</v>
      </c>
      <c r="F2377" t="s">
        <v>17</v>
      </c>
      <c r="G2377" t="s">
        <v>19</v>
      </c>
      <c r="H2377">
        <f>Cleaned_Data!K2377</f>
        <v>9.08</v>
      </c>
      <c r="I2377" t="str">
        <f t="shared" si="111"/>
        <v>NO</v>
      </c>
      <c r="J2377">
        <f>Cleaned_Data!J2377</f>
        <v>8</v>
      </c>
      <c r="K2377" t="str">
        <f t="shared" si="112"/>
        <v>2024-02</v>
      </c>
      <c r="L2377">
        <f t="shared" si="113"/>
        <v>1.08</v>
      </c>
    </row>
    <row r="2378" spans="1:12">
      <c r="A2378" t="s">
        <v>6900</v>
      </c>
      <c r="B2378" t="s">
        <v>6901</v>
      </c>
      <c r="C2378" t="s">
        <v>6902</v>
      </c>
      <c r="D2378" t="s">
        <v>35</v>
      </c>
      <c r="E2378" t="s">
        <v>16</v>
      </c>
      <c r="F2378" t="s">
        <v>17</v>
      </c>
      <c r="G2378" t="s">
        <v>31</v>
      </c>
      <c r="H2378">
        <f>Cleaned_Data!K2378</f>
        <v>39.5</v>
      </c>
      <c r="I2378" t="str">
        <f t="shared" si="111"/>
        <v>YES</v>
      </c>
      <c r="J2378">
        <f>Cleaned_Data!J2378</f>
        <v>48</v>
      </c>
      <c r="K2378" t="str">
        <f t="shared" si="112"/>
        <v>2024-11</v>
      </c>
      <c r="L2378">
        <f t="shared" si="113"/>
        <v>0</v>
      </c>
    </row>
    <row r="2379" spans="1:12">
      <c r="A2379" t="s">
        <v>6903</v>
      </c>
      <c r="B2379" t="s">
        <v>6904</v>
      </c>
      <c r="C2379" t="s">
        <v>6905</v>
      </c>
      <c r="D2379" t="s">
        <v>15</v>
      </c>
      <c r="E2379" t="s">
        <v>59</v>
      </c>
      <c r="F2379" t="s">
        <v>29</v>
      </c>
      <c r="G2379" t="s">
        <v>31</v>
      </c>
      <c r="H2379">
        <f>Cleaned_Data!K2379</f>
        <v>19.5</v>
      </c>
      <c r="I2379" t="str">
        <f t="shared" si="111"/>
        <v>NO</v>
      </c>
      <c r="J2379">
        <f>Cleaned_Data!J2379</f>
        <v>8</v>
      </c>
      <c r="K2379" t="str">
        <f t="shared" si="112"/>
        <v>2024-11</v>
      </c>
      <c r="L2379">
        <f t="shared" si="113"/>
        <v>11.5</v>
      </c>
    </row>
    <row r="2380" spans="1:12">
      <c r="A2380" t="s">
        <v>6906</v>
      </c>
      <c r="B2380" t="s">
        <v>6907</v>
      </c>
      <c r="C2380" t="s">
        <v>6908</v>
      </c>
      <c r="D2380" t="s">
        <v>23</v>
      </c>
      <c r="E2380" t="s">
        <v>28</v>
      </c>
      <c r="F2380" t="s">
        <v>41</v>
      </c>
      <c r="G2380" t="s">
        <v>19</v>
      </c>
      <c r="H2380">
        <f>Cleaned_Data!K2380</f>
        <v>17.98</v>
      </c>
      <c r="I2380" t="str">
        <f t="shared" si="111"/>
        <v>YES</v>
      </c>
      <c r="J2380">
        <f>Cleaned_Data!J2380</f>
        <v>24</v>
      </c>
      <c r="K2380" t="str">
        <f t="shared" si="112"/>
        <v>2024-12</v>
      </c>
      <c r="L2380">
        <f t="shared" si="113"/>
        <v>0</v>
      </c>
    </row>
    <row r="2381" spans="1:12">
      <c r="A2381" t="s">
        <v>6909</v>
      </c>
      <c r="B2381" t="s">
        <v>6910</v>
      </c>
      <c r="D2381" t="s">
        <v>15</v>
      </c>
      <c r="E2381" t="s">
        <v>28</v>
      </c>
      <c r="F2381" t="s">
        <v>41</v>
      </c>
      <c r="G2381" t="s">
        <v>46</v>
      </c>
      <c r="H2381">
        <f>Cleaned_Data!K2381</f>
        <v>0</v>
      </c>
      <c r="I2381" t="str">
        <f t="shared" si="111"/>
        <v/>
      </c>
      <c r="J2381">
        <f>Cleaned_Data!J2381</f>
        <v>8</v>
      </c>
      <c r="K2381" t="str">
        <f t="shared" si="112"/>
        <v>2024-05</v>
      </c>
      <c r="L2381">
        <f t="shared" si="113"/>
        <v>0</v>
      </c>
    </row>
    <row r="2382" spans="1:12">
      <c r="A2382" t="s">
        <v>6911</v>
      </c>
      <c r="B2382" t="s">
        <v>6912</v>
      </c>
      <c r="C2382" t="s">
        <v>6913</v>
      </c>
      <c r="D2382" t="s">
        <v>15</v>
      </c>
      <c r="E2382" t="s">
        <v>16</v>
      </c>
      <c r="F2382" t="s">
        <v>36</v>
      </c>
      <c r="G2382" t="s">
        <v>31</v>
      </c>
      <c r="H2382">
        <f>Cleaned_Data!K2382</f>
        <v>7.11</v>
      </c>
      <c r="I2382" t="str">
        <f t="shared" si="111"/>
        <v>YES</v>
      </c>
      <c r="J2382">
        <f>Cleaned_Data!J2382</f>
        <v>8</v>
      </c>
      <c r="K2382" t="str">
        <f t="shared" si="112"/>
        <v>2024-10</v>
      </c>
      <c r="L2382">
        <f t="shared" si="113"/>
        <v>0</v>
      </c>
    </row>
    <row r="2383" spans="1:12">
      <c r="A2383" t="s">
        <v>6914</v>
      </c>
      <c r="B2383" t="s">
        <v>6915</v>
      </c>
      <c r="C2383" t="s">
        <v>6916</v>
      </c>
      <c r="D2383" t="s">
        <v>23</v>
      </c>
      <c r="E2383" t="s">
        <v>28</v>
      </c>
      <c r="F2383" t="s">
        <v>17</v>
      </c>
      <c r="G2383" t="s">
        <v>19</v>
      </c>
      <c r="H2383">
        <f>Cleaned_Data!K2383</f>
        <v>21.98</v>
      </c>
      <c r="I2383" t="str">
        <f t="shared" si="111"/>
        <v>YES</v>
      </c>
      <c r="J2383">
        <f>Cleaned_Data!J2383</f>
        <v>24</v>
      </c>
      <c r="K2383" t="str">
        <f t="shared" si="112"/>
        <v>2024-07</v>
      </c>
      <c r="L2383">
        <f t="shared" si="113"/>
        <v>0</v>
      </c>
    </row>
    <row r="2384" spans="1:12">
      <c r="A2384" t="s">
        <v>6917</v>
      </c>
      <c r="B2384" t="s">
        <v>6918</v>
      </c>
      <c r="C2384" t="s">
        <v>6919</v>
      </c>
      <c r="D2384" t="s">
        <v>35</v>
      </c>
      <c r="E2384" t="s">
        <v>28</v>
      </c>
      <c r="F2384" t="s">
        <v>29</v>
      </c>
      <c r="G2384" t="s">
        <v>19</v>
      </c>
      <c r="H2384">
        <f>Cleaned_Data!K2384</f>
        <v>10.08</v>
      </c>
      <c r="I2384" t="str">
        <f t="shared" si="111"/>
        <v>YES</v>
      </c>
      <c r="J2384">
        <f>Cleaned_Data!J2384</f>
        <v>48</v>
      </c>
      <c r="K2384" t="str">
        <f t="shared" si="112"/>
        <v>2024-04</v>
      </c>
      <c r="L2384">
        <f t="shared" si="113"/>
        <v>0</v>
      </c>
    </row>
    <row r="2385" spans="1:12">
      <c r="A2385" t="s">
        <v>6920</v>
      </c>
      <c r="B2385" t="s">
        <v>6921</v>
      </c>
      <c r="C2385" t="s">
        <v>6922</v>
      </c>
      <c r="D2385" t="s">
        <v>15</v>
      </c>
      <c r="E2385" t="s">
        <v>24</v>
      </c>
      <c r="F2385" t="s">
        <v>41</v>
      </c>
      <c r="G2385" t="s">
        <v>19</v>
      </c>
      <c r="H2385">
        <f>Cleaned_Data!K2385</f>
        <v>0.92</v>
      </c>
      <c r="I2385" t="str">
        <f t="shared" si="111"/>
        <v>YES</v>
      </c>
      <c r="J2385">
        <f>Cleaned_Data!J2385</f>
        <v>8</v>
      </c>
      <c r="K2385" t="str">
        <f t="shared" si="112"/>
        <v>2024-03</v>
      </c>
      <c r="L2385">
        <f t="shared" si="113"/>
        <v>0</v>
      </c>
    </row>
    <row r="2386" spans="1:12">
      <c r="A2386" t="s">
        <v>6923</v>
      </c>
      <c r="B2386" t="s">
        <v>6924</v>
      </c>
      <c r="C2386" t="s">
        <v>6925</v>
      </c>
      <c r="D2386" t="s">
        <v>15</v>
      </c>
      <c r="E2386" t="s">
        <v>54</v>
      </c>
      <c r="F2386" t="s">
        <v>60</v>
      </c>
      <c r="G2386" t="s">
        <v>31</v>
      </c>
      <c r="H2386">
        <f>Cleaned_Data!K2386</f>
        <v>5.78</v>
      </c>
      <c r="I2386" t="str">
        <f t="shared" si="111"/>
        <v>YES</v>
      </c>
      <c r="J2386">
        <f>Cleaned_Data!J2386</f>
        <v>8</v>
      </c>
      <c r="K2386" t="str">
        <f t="shared" si="112"/>
        <v>2024-01</v>
      </c>
      <c r="L2386">
        <f t="shared" si="113"/>
        <v>0</v>
      </c>
    </row>
    <row r="2387" spans="1:12">
      <c r="A2387" t="s">
        <v>6926</v>
      </c>
      <c r="B2387" t="s">
        <v>6927</v>
      </c>
      <c r="C2387" t="s">
        <v>6928</v>
      </c>
      <c r="D2387" t="s">
        <v>35</v>
      </c>
      <c r="E2387" t="s">
        <v>16</v>
      </c>
      <c r="F2387" t="s">
        <v>36</v>
      </c>
      <c r="G2387" t="s">
        <v>19</v>
      </c>
      <c r="H2387">
        <f>Cleaned_Data!K2387</f>
        <v>11.06</v>
      </c>
      <c r="I2387" t="str">
        <f t="shared" si="111"/>
        <v>YES</v>
      </c>
      <c r="J2387">
        <f>Cleaned_Data!J2387</f>
        <v>48</v>
      </c>
      <c r="K2387" t="str">
        <f t="shared" si="112"/>
        <v>2024-12</v>
      </c>
      <c r="L2387">
        <f t="shared" si="113"/>
        <v>0</v>
      </c>
    </row>
    <row r="2388" spans="1:12">
      <c r="A2388" t="s">
        <v>6929</v>
      </c>
      <c r="B2388" t="s">
        <v>6930</v>
      </c>
      <c r="C2388" t="s">
        <v>6931</v>
      </c>
      <c r="D2388" t="s">
        <v>23</v>
      </c>
      <c r="E2388" t="s">
        <v>59</v>
      </c>
      <c r="F2388" t="s">
        <v>29</v>
      </c>
      <c r="G2388" t="s">
        <v>31</v>
      </c>
      <c r="H2388">
        <f>Cleaned_Data!K2388</f>
        <v>5.68</v>
      </c>
      <c r="I2388" t="str">
        <f t="shared" si="111"/>
        <v>YES</v>
      </c>
      <c r="J2388">
        <f>Cleaned_Data!J2388</f>
        <v>24</v>
      </c>
      <c r="K2388" t="str">
        <f t="shared" si="112"/>
        <v>2024-08</v>
      </c>
      <c r="L2388">
        <f t="shared" si="113"/>
        <v>0</v>
      </c>
    </row>
    <row r="2389" spans="1:12">
      <c r="A2389" t="s">
        <v>6932</v>
      </c>
      <c r="B2389" t="s">
        <v>6933</v>
      </c>
      <c r="C2389" t="s">
        <v>6934</v>
      </c>
      <c r="D2389" t="s">
        <v>23</v>
      </c>
      <c r="E2389" t="s">
        <v>24</v>
      </c>
      <c r="F2389" t="s">
        <v>17</v>
      </c>
      <c r="G2389" t="s">
        <v>19</v>
      </c>
      <c r="H2389">
        <f>Cleaned_Data!K2389</f>
        <v>16.440000000000001</v>
      </c>
      <c r="I2389" t="str">
        <f t="shared" si="111"/>
        <v>YES</v>
      </c>
      <c r="J2389">
        <f>Cleaned_Data!J2389</f>
        <v>24</v>
      </c>
      <c r="K2389" t="str">
        <f t="shared" si="112"/>
        <v>2024-02</v>
      </c>
      <c r="L2389">
        <f t="shared" si="113"/>
        <v>0</v>
      </c>
    </row>
    <row r="2390" spans="1:12">
      <c r="A2390" t="s">
        <v>6935</v>
      </c>
      <c r="B2390" t="s">
        <v>6936</v>
      </c>
      <c r="C2390" t="s">
        <v>6937</v>
      </c>
      <c r="D2390" t="s">
        <v>158</v>
      </c>
      <c r="E2390" t="s">
        <v>28</v>
      </c>
      <c r="F2390" t="s">
        <v>17</v>
      </c>
      <c r="G2390" t="s">
        <v>19</v>
      </c>
      <c r="H2390">
        <f>Cleaned_Data!K2390</f>
        <v>2.25</v>
      </c>
      <c r="I2390" t="str">
        <f t="shared" si="111"/>
        <v>YES</v>
      </c>
      <c r="J2390">
        <f>Cleaned_Data!J2390</f>
        <v>4</v>
      </c>
      <c r="K2390" t="str">
        <f t="shared" si="112"/>
        <v>2024-01</v>
      </c>
      <c r="L2390">
        <f t="shared" si="113"/>
        <v>0</v>
      </c>
    </row>
    <row r="2391" spans="1:12">
      <c r="A2391" t="s">
        <v>6938</v>
      </c>
      <c r="B2391" t="s">
        <v>6939</v>
      </c>
      <c r="C2391" t="s">
        <v>6940</v>
      </c>
      <c r="D2391" t="s">
        <v>158</v>
      </c>
      <c r="E2391" t="s">
        <v>54</v>
      </c>
      <c r="F2391" t="s">
        <v>29</v>
      </c>
      <c r="G2391" t="s">
        <v>19</v>
      </c>
      <c r="H2391">
        <f>Cleaned_Data!K2391</f>
        <v>11.21</v>
      </c>
      <c r="I2391" t="str">
        <f t="shared" si="111"/>
        <v>NO</v>
      </c>
      <c r="J2391">
        <f>Cleaned_Data!J2391</f>
        <v>4</v>
      </c>
      <c r="K2391" t="str">
        <f t="shared" si="112"/>
        <v>2024-02</v>
      </c>
      <c r="L2391">
        <f t="shared" si="113"/>
        <v>7.2100000000000009</v>
      </c>
    </row>
    <row r="2392" spans="1:12">
      <c r="A2392" t="s">
        <v>6941</v>
      </c>
      <c r="B2392" t="s">
        <v>6942</v>
      </c>
      <c r="C2392" t="s">
        <v>6943</v>
      </c>
      <c r="D2392" t="s">
        <v>35</v>
      </c>
      <c r="E2392" t="s">
        <v>54</v>
      </c>
      <c r="F2392" t="s">
        <v>17</v>
      </c>
      <c r="G2392" t="s">
        <v>31</v>
      </c>
      <c r="H2392">
        <f>Cleaned_Data!K2392</f>
        <v>31.73</v>
      </c>
      <c r="I2392" t="str">
        <f t="shared" si="111"/>
        <v>YES</v>
      </c>
      <c r="J2392">
        <f>Cleaned_Data!J2392</f>
        <v>48</v>
      </c>
      <c r="K2392" t="str">
        <f t="shared" si="112"/>
        <v>2024-01</v>
      </c>
      <c r="L2392">
        <f t="shared" si="113"/>
        <v>0</v>
      </c>
    </row>
    <row r="2393" spans="1:12">
      <c r="A2393" t="s">
        <v>6944</v>
      </c>
      <c r="B2393" t="s">
        <v>6945</v>
      </c>
      <c r="C2393" t="s">
        <v>6946</v>
      </c>
      <c r="D2393" t="s">
        <v>158</v>
      </c>
      <c r="E2393" t="s">
        <v>28</v>
      </c>
      <c r="F2393" t="s">
        <v>60</v>
      </c>
      <c r="G2393" t="s">
        <v>19</v>
      </c>
      <c r="H2393">
        <f>Cleaned_Data!K2393</f>
        <v>10.1</v>
      </c>
      <c r="I2393" t="str">
        <f t="shared" si="111"/>
        <v>NO</v>
      </c>
      <c r="J2393">
        <f>Cleaned_Data!J2393</f>
        <v>4</v>
      </c>
      <c r="K2393" t="str">
        <f t="shared" si="112"/>
        <v>2024-08</v>
      </c>
      <c r="L2393">
        <f t="shared" si="113"/>
        <v>6.1</v>
      </c>
    </row>
    <row r="2394" spans="1:12">
      <c r="A2394" t="s">
        <v>6947</v>
      </c>
      <c r="B2394" t="s">
        <v>6948</v>
      </c>
      <c r="C2394" t="s">
        <v>6949</v>
      </c>
      <c r="D2394" t="s">
        <v>15</v>
      </c>
      <c r="E2394" t="s">
        <v>16</v>
      </c>
      <c r="F2394" t="s">
        <v>17</v>
      </c>
      <c r="G2394" t="s">
        <v>31</v>
      </c>
      <c r="H2394">
        <f>Cleaned_Data!K2394</f>
        <v>6.17</v>
      </c>
      <c r="I2394" t="str">
        <f t="shared" si="111"/>
        <v>YES</v>
      </c>
      <c r="J2394">
        <f>Cleaned_Data!J2394</f>
        <v>8</v>
      </c>
      <c r="K2394" t="str">
        <f t="shared" si="112"/>
        <v>2024-11</v>
      </c>
      <c r="L2394">
        <f t="shared" si="113"/>
        <v>0</v>
      </c>
    </row>
    <row r="2395" spans="1:12">
      <c r="A2395" t="s">
        <v>6950</v>
      </c>
      <c r="B2395" t="s">
        <v>6951</v>
      </c>
      <c r="C2395" t="s">
        <v>6952</v>
      </c>
      <c r="D2395" t="s">
        <v>35</v>
      </c>
      <c r="E2395" t="s">
        <v>28</v>
      </c>
      <c r="F2395" t="s">
        <v>36</v>
      </c>
      <c r="G2395" t="s">
        <v>19</v>
      </c>
      <c r="H2395">
        <f>Cleaned_Data!K2395</f>
        <v>835</v>
      </c>
      <c r="I2395" t="str">
        <f t="shared" si="111"/>
        <v>NO</v>
      </c>
      <c r="J2395">
        <f>Cleaned_Data!J2395</f>
        <v>48</v>
      </c>
      <c r="K2395" t="str">
        <f t="shared" si="112"/>
        <v>2024-03</v>
      </c>
      <c r="L2395">
        <f t="shared" si="113"/>
        <v>787</v>
      </c>
    </row>
    <row r="2396" spans="1:12">
      <c r="A2396" t="s">
        <v>6953</v>
      </c>
      <c r="B2396" t="s">
        <v>6954</v>
      </c>
      <c r="C2396" t="s">
        <v>6955</v>
      </c>
      <c r="D2396" t="s">
        <v>23</v>
      </c>
      <c r="E2396" t="s">
        <v>16</v>
      </c>
      <c r="F2396" t="s">
        <v>17</v>
      </c>
      <c r="G2396" t="s">
        <v>19</v>
      </c>
      <c r="H2396">
        <f>Cleaned_Data!K2396</f>
        <v>13.66</v>
      </c>
      <c r="I2396" t="str">
        <f t="shared" si="111"/>
        <v>YES</v>
      </c>
      <c r="J2396">
        <f>Cleaned_Data!J2396</f>
        <v>24</v>
      </c>
      <c r="K2396" t="str">
        <f t="shared" si="112"/>
        <v>2024-11</v>
      </c>
      <c r="L2396">
        <f t="shared" si="113"/>
        <v>0</v>
      </c>
    </row>
    <row r="2397" spans="1:12">
      <c r="A2397" t="s">
        <v>6956</v>
      </c>
      <c r="B2397" t="s">
        <v>6957</v>
      </c>
      <c r="C2397" t="s">
        <v>6958</v>
      </c>
      <c r="D2397" t="s">
        <v>158</v>
      </c>
      <c r="E2397" t="s">
        <v>24</v>
      </c>
      <c r="F2397" t="s">
        <v>17</v>
      </c>
      <c r="G2397" t="s">
        <v>19</v>
      </c>
      <c r="H2397">
        <f>Cleaned_Data!K2397</f>
        <v>3.46</v>
      </c>
      <c r="I2397" t="str">
        <f t="shared" si="111"/>
        <v>YES</v>
      </c>
      <c r="J2397">
        <f>Cleaned_Data!J2397</f>
        <v>4</v>
      </c>
      <c r="K2397" t="str">
        <f t="shared" si="112"/>
        <v>2024-02</v>
      </c>
      <c r="L2397">
        <f t="shared" si="113"/>
        <v>0</v>
      </c>
    </row>
    <row r="2398" spans="1:12">
      <c r="A2398" t="s">
        <v>6959</v>
      </c>
      <c r="B2398" t="s">
        <v>6960</v>
      </c>
      <c r="D2398" t="s">
        <v>158</v>
      </c>
      <c r="E2398" t="s">
        <v>28</v>
      </c>
      <c r="F2398" t="s">
        <v>60</v>
      </c>
      <c r="G2398" t="s">
        <v>46</v>
      </c>
      <c r="H2398">
        <f>Cleaned_Data!K2398</f>
        <v>0</v>
      </c>
      <c r="I2398" t="str">
        <f t="shared" si="111"/>
        <v/>
      </c>
      <c r="J2398">
        <f>Cleaned_Data!J2398</f>
        <v>4</v>
      </c>
      <c r="K2398" t="str">
        <f t="shared" si="112"/>
        <v>2024-02</v>
      </c>
      <c r="L2398">
        <f t="shared" si="113"/>
        <v>0</v>
      </c>
    </row>
    <row r="2399" spans="1:12">
      <c r="A2399" t="s">
        <v>6961</v>
      </c>
      <c r="B2399" t="s">
        <v>6962</v>
      </c>
      <c r="C2399" t="s">
        <v>6963</v>
      </c>
      <c r="D2399" t="s">
        <v>35</v>
      </c>
      <c r="E2399" t="s">
        <v>28</v>
      </c>
      <c r="F2399" t="s">
        <v>60</v>
      </c>
      <c r="G2399" t="s">
        <v>31</v>
      </c>
      <c r="H2399">
        <f>Cleaned_Data!K2399</f>
        <v>18.07</v>
      </c>
      <c r="I2399" t="str">
        <f t="shared" si="111"/>
        <v>YES</v>
      </c>
      <c r="J2399">
        <f>Cleaned_Data!J2399</f>
        <v>48</v>
      </c>
      <c r="K2399" t="str">
        <f t="shared" si="112"/>
        <v>2024-05</v>
      </c>
      <c r="L2399">
        <f t="shared" si="113"/>
        <v>0</v>
      </c>
    </row>
    <row r="2400" spans="1:12">
      <c r="A2400" t="s">
        <v>6964</v>
      </c>
      <c r="B2400" t="s">
        <v>6965</v>
      </c>
      <c r="C2400" t="s">
        <v>6966</v>
      </c>
      <c r="D2400" t="s">
        <v>35</v>
      </c>
      <c r="E2400" t="s">
        <v>24</v>
      </c>
      <c r="F2400" t="s">
        <v>41</v>
      </c>
      <c r="G2400" t="s">
        <v>19</v>
      </c>
      <c r="H2400">
        <f>Cleaned_Data!K2400</f>
        <v>22.04</v>
      </c>
      <c r="I2400" t="str">
        <f t="shared" si="111"/>
        <v>YES</v>
      </c>
      <c r="J2400">
        <f>Cleaned_Data!J2400</f>
        <v>48</v>
      </c>
      <c r="K2400" t="str">
        <f t="shared" si="112"/>
        <v>2024-10</v>
      </c>
      <c r="L2400">
        <f t="shared" si="113"/>
        <v>0</v>
      </c>
    </row>
    <row r="2401" spans="1:12">
      <c r="A2401" t="s">
        <v>6967</v>
      </c>
      <c r="B2401" t="s">
        <v>6968</v>
      </c>
      <c r="C2401" t="s">
        <v>6969</v>
      </c>
      <c r="D2401" t="s">
        <v>35</v>
      </c>
      <c r="E2401" t="s">
        <v>24</v>
      </c>
      <c r="F2401" t="s">
        <v>60</v>
      </c>
      <c r="G2401" t="s">
        <v>19</v>
      </c>
      <c r="H2401">
        <f>Cleaned_Data!K2401</f>
        <v>15.67</v>
      </c>
      <c r="I2401" t="str">
        <f t="shared" si="111"/>
        <v>YES</v>
      </c>
      <c r="J2401">
        <f>Cleaned_Data!J2401</f>
        <v>48</v>
      </c>
      <c r="K2401" t="str">
        <f t="shared" si="112"/>
        <v>2024-05</v>
      </c>
      <c r="L2401">
        <f t="shared" si="113"/>
        <v>0</v>
      </c>
    </row>
    <row r="2402" spans="1:12">
      <c r="A2402" t="s">
        <v>6970</v>
      </c>
      <c r="B2402" t="s">
        <v>6971</v>
      </c>
      <c r="C2402" t="s">
        <v>6972</v>
      </c>
      <c r="D2402" t="s">
        <v>15</v>
      </c>
      <c r="E2402" t="s">
        <v>54</v>
      </c>
      <c r="F2402" t="s">
        <v>41</v>
      </c>
      <c r="G2402" t="s">
        <v>19</v>
      </c>
      <c r="H2402">
        <f>Cleaned_Data!K2402</f>
        <v>1.55</v>
      </c>
      <c r="I2402" t="str">
        <f t="shared" si="111"/>
        <v>YES</v>
      </c>
      <c r="J2402">
        <f>Cleaned_Data!J2402</f>
        <v>8</v>
      </c>
      <c r="K2402" t="str">
        <f t="shared" si="112"/>
        <v>2024-08</v>
      </c>
      <c r="L2402">
        <f t="shared" si="113"/>
        <v>0</v>
      </c>
    </row>
    <row r="2403" spans="1:12">
      <c r="A2403" t="s">
        <v>6973</v>
      </c>
      <c r="B2403" t="s">
        <v>6974</v>
      </c>
      <c r="C2403" t="s">
        <v>6975</v>
      </c>
      <c r="D2403" t="s">
        <v>23</v>
      </c>
      <c r="E2403" t="s">
        <v>28</v>
      </c>
      <c r="F2403" t="s">
        <v>17</v>
      </c>
      <c r="G2403" t="s">
        <v>31</v>
      </c>
      <c r="H2403">
        <f>Cleaned_Data!K2403</f>
        <v>12.55</v>
      </c>
      <c r="I2403" t="str">
        <f t="shared" si="111"/>
        <v>YES</v>
      </c>
      <c r="J2403">
        <f>Cleaned_Data!J2403</f>
        <v>24</v>
      </c>
      <c r="K2403" t="str">
        <f t="shared" si="112"/>
        <v>2024-06</v>
      </c>
      <c r="L2403">
        <f t="shared" si="113"/>
        <v>0</v>
      </c>
    </row>
    <row r="2404" spans="1:12">
      <c r="A2404" t="s">
        <v>6976</v>
      </c>
      <c r="B2404" t="s">
        <v>6977</v>
      </c>
      <c r="C2404" t="s">
        <v>6978</v>
      </c>
      <c r="D2404" t="s">
        <v>35</v>
      </c>
      <c r="E2404" t="s">
        <v>16</v>
      </c>
      <c r="F2404" t="s">
        <v>17</v>
      </c>
      <c r="G2404" t="s">
        <v>19</v>
      </c>
      <c r="H2404">
        <f>Cleaned_Data!K2404</f>
        <v>43.7</v>
      </c>
      <c r="I2404" t="str">
        <f t="shared" si="111"/>
        <v>YES</v>
      </c>
      <c r="J2404">
        <f>Cleaned_Data!J2404</f>
        <v>48</v>
      </c>
      <c r="K2404" t="str">
        <f t="shared" si="112"/>
        <v>2024-01</v>
      </c>
      <c r="L2404">
        <f t="shared" si="113"/>
        <v>0</v>
      </c>
    </row>
    <row r="2405" spans="1:12">
      <c r="A2405" t="s">
        <v>6979</v>
      </c>
      <c r="B2405" t="s">
        <v>6980</v>
      </c>
      <c r="C2405" t="s">
        <v>6981</v>
      </c>
      <c r="D2405" t="s">
        <v>23</v>
      </c>
      <c r="E2405" t="s">
        <v>54</v>
      </c>
      <c r="F2405" t="s">
        <v>29</v>
      </c>
      <c r="G2405" t="s">
        <v>31</v>
      </c>
      <c r="H2405">
        <f>Cleaned_Data!K2405</f>
        <v>11.54</v>
      </c>
      <c r="I2405" t="str">
        <f t="shared" si="111"/>
        <v>YES</v>
      </c>
      <c r="J2405">
        <f>Cleaned_Data!J2405</f>
        <v>24</v>
      </c>
      <c r="K2405" t="str">
        <f t="shared" si="112"/>
        <v>2024-05</v>
      </c>
      <c r="L2405">
        <f t="shared" si="113"/>
        <v>0</v>
      </c>
    </row>
    <row r="2406" spans="1:12">
      <c r="A2406" t="s">
        <v>6982</v>
      </c>
      <c r="B2406" t="s">
        <v>6983</v>
      </c>
      <c r="C2406" t="s">
        <v>6984</v>
      </c>
      <c r="D2406" t="s">
        <v>23</v>
      </c>
      <c r="E2406" t="s">
        <v>16</v>
      </c>
      <c r="F2406" t="s">
        <v>17</v>
      </c>
      <c r="G2406" t="s">
        <v>19</v>
      </c>
      <c r="H2406">
        <f>Cleaned_Data!K2406</f>
        <v>16.09</v>
      </c>
      <c r="I2406" t="str">
        <f t="shared" si="111"/>
        <v>YES</v>
      </c>
      <c r="J2406">
        <f>Cleaned_Data!J2406</f>
        <v>24</v>
      </c>
      <c r="K2406" t="str">
        <f t="shared" si="112"/>
        <v>2024-07</v>
      </c>
      <c r="L2406">
        <f t="shared" si="113"/>
        <v>0</v>
      </c>
    </row>
    <row r="2407" spans="1:12">
      <c r="A2407" t="s">
        <v>6985</v>
      </c>
      <c r="B2407" t="s">
        <v>6986</v>
      </c>
      <c r="C2407" t="s">
        <v>6987</v>
      </c>
      <c r="D2407" t="s">
        <v>23</v>
      </c>
      <c r="E2407" t="s">
        <v>16</v>
      </c>
      <c r="F2407" t="s">
        <v>17</v>
      </c>
      <c r="G2407" t="s">
        <v>31</v>
      </c>
      <c r="H2407">
        <f>Cleaned_Data!K2407</f>
        <v>7.87</v>
      </c>
      <c r="I2407" t="str">
        <f t="shared" si="111"/>
        <v>YES</v>
      </c>
      <c r="J2407">
        <f>Cleaned_Data!J2407</f>
        <v>24</v>
      </c>
      <c r="K2407" t="str">
        <f t="shared" si="112"/>
        <v>2024-01</v>
      </c>
      <c r="L2407">
        <f t="shared" si="113"/>
        <v>0</v>
      </c>
    </row>
    <row r="2408" spans="1:12">
      <c r="A2408" t="s">
        <v>6988</v>
      </c>
      <c r="B2408" t="s">
        <v>6989</v>
      </c>
      <c r="C2408" t="s">
        <v>6990</v>
      </c>
      <c r="D2408" t="s">
        <v>23</v>
      </c>
      <c r="E2408" t="s">
        <v>28</v>
      </c>
      <c r="F2408" t="s">
        <v>29</v>
      </c>
      <c r="G2408" t="s">
        <v>31</v>
      </c>
      <c r="H2408">
        <f>Cleaned_Data!K2408</f>
        <v>10.49</v>
      </c>
      <c r="I2408" t="str">
        <f t="shared" si="111"/>
        <v>YES</v>
      </c>
      <c r="J2408">
        <f>Cleaned_Data!J2408</f>
        <v>24</v>
      </c>
      <c r="K2408" t="str">
        <f t="shared" si="112"/>
        <v>2024-10</v>
      </c>
      <c r="L2408">
        <f t="shared" si="113"/>
        <v>0</v>
      </c>
    </row>
    <row r="2409" spans="1:12">
      <c r="A2409" t="s">
        <v>6991</v>
      </c>
      <c r="B2409" t="s">
        <v>6992</v>
      </c>
      <c r="C2409" t="s">
        <v>6993</v>
      </c>
      <c r="D2409" t="s">
        <v>23</v>
      </c>
      <c r="E2409" t="s">
        <v>54</v>
      </c>
      <c r="F2409" t="s">
        <v>29</v>
      </c>
      <c r="G2409" t="s">
        <v>31</v>
      </c>
      <c r="H2409">
        <f>Cleaned_Data!K2409</f>
        <v>9.58</v>
      </c>
      <c r="I2409" t="str">
        <f t="shared" si="111"/>
        <v>YES</v>
      </c>
      <c r="J2409">
        <f>Cleaned_Data!J2409</f>
        <v>24</v>
      </c>
      <c r="K2409" t="str">
        <f t="shared" si="112"/>
        <v>2024-01</v>
      </c>
      <c r="L2409">
        <f t="shared" si="113"/>
        <v>0</v>
      </c>
    </row>
    <row r="2410" spans="1:12">
      <c r="A2410" t="s">
        <v>6994</v>
      </c>
      <c r="B2410" t="s">
        <v>6995</v>
      </c>
      <c r="C2410" t="s">
        <v>6996</v>
      </c>
      <c r="D2410" t="s">
        <v>15</v>
      </c>
      <c r="E2410" t="s">
        <v>28</v>
      </c>
      <c r="F2410" t="s">
        <v>60</v>
      </c>
      <c r="G2410" t="s">
        <v>31</v>
      </c>
      <c r="H2410">
        <f>Cleaned_Data!K2410</f>
        <v>6.56</v>
      </c>
      <c r="I2410" t="str">
        <f t="shared" si="111"/>
        <v>YES</v>
      </c>
      <c r="J2410">
        <f>Cleaned_Data!J2410</f>
        <v>8</v>
      </c>
      <c r="K2410" t="str">
        <f t="shared" si="112"/>
        <v>2024-08</v>
      </c>
      <c r="L2410">
        <f t="shared" si="113"/>
        <v>0</v>
      </c>
    </row>
    <row r="2411" spans="1:12">
      <c r="A2411" t="s">
        <v>6997</v>
      </c>
      <c r="B2411" t="s">
        <v>6998</v>
      </c>
      <c r="C2411" t="s">
        <v>6999</v>
      </c>
      <c r="D2411" t="s">
        <v>15</v>
      </c>
      <c r="E2411" t="s">
        <v>16</v>
      </c>
      <c r="F2411" t="s">
        <v>60</v>
      </c>
      <c r="G2411" t="s">
        <v>19</v>
      </c>
      <c r="H2411">
        <f>Cleaned_Data!K2411</f>
        <v>4.75</v>
      </c>
      <c r="I2411" t="str">
        <f t="shared" si="111"/>
        <v>YES</v>
      </c>
      <c r="J2411">
        <f>Cleaned_Data!J2411</f>
        <v>8</v>
      </c>
      <c r="K2411" t="str">
        <f t="shared" si="112"/>
        <v>2024-06</v>
      </c>
      <c r="L2411">
        <f t="shared" si="113"/>
        <v>0</v>
      </c>
    </row>
    <row r="2412" spans="1:12">
      <c r="A2412" t="s">
        <v>7000</v>
      </c>
      <c r="B2412" t="s">
        <v>7001</v>
      </c>
      <c r="C2412" t="s">
        <v>7002</v>
      </c>
      <c r="D2412" t="s">
        <v>35</v>
      </c>
      <c r="E2412" t="s">
        <v>28</v>
      </c>
      <c r="F2412" t="s">
        <v>60</v>
      </c>
      <c r="G2412" t="s">
        <v>19</v>
      </c>
      <c r="H2412">
        <f>Cleaned_Data!K2412</f>
        <v>5.2</v>
      </c>
      <c r="I2412" t="str">
        <f t="shared" si="111"/>
        <v>YES</v>
      </c>
      <c r="J2412">
        <f>Cleaned_Data!J2412</f>
        <v>48</v>
      </c>
      <c r="K2412" t="str">
        <f t="shared" si="112"/>
        <v>2024-02</v>
      </c>
      <c r="L2412">
        <f t="shared" si="113"/>
        <v>0</v>
      </c>
    </row>
    <row r="2413" spans="1:12">
      <c r="A2413" t="s">
        <v>7003</v>
      </c>
      <c r="B2413" t="s">
        <v>7004</v>
      </c>
      <c r="D2413" t="s">
        <v>23</v>
      </c>
      <c r="E2413" t="s">
        <v>16</v>
      </c>
      <c r="F2413" t="s">
        <v>36</v>
      </c>
      <c r="G2413" t="s">
        <v>46</v>
      </c>
      <c r="H2413">
        <f>Cleaned_Data!K2413</f>
        <v>0</v>
      </c>
      <c r="I2413" t="str">
        <f t="shared" si="111"/>
        <v/>
      </c>
      <c r="J2413">
        <f>Cleaned_Data!J2413</f>
        <v>24</v>
      </c>
      <c r="K2413" t="str">
        <f t="shared" si="112"/>
        <v>2024-09</v>
      </c>
      <c r="L2413">
        <f t="shared" si="113"/>
        <v>0</v>
      </c>
    </row>
    <row r="2414" spans="1:12">
      <c r="A2414" t="s">
        <v>7005</v>
      </c>
      <c r="B2414" t="s">
        <v>7006</v>
      </c>
      <c r="C2414" t="s">
        <v>7007</v>
      </c>
      <c r="D2414" t="s">
        <v>35</v>
      </c>
      <c r="E2414" t="s">
        <v>59</v>
      </c>
      <c r="F2414" t="s">
        <v>17</v>
      </c>
      <c r="G2414" t="s">
        <v>19</v>
      </c>
      <c r="H2414">
        <f>Cleaned_Data!K2414</f>
        <v>20.99</v>
      </c>
      <c r="I2414" t="str">
        <f t="shared" si="111"/>
        <v>YES</v>
      </c>
      <c r="J2414">
        <f>Cleaned_Data!J2414</f>
        <v>48</v>
      </c>
      <c r="K2414" t="str">
        <f t="shared" si="112"/>
        <v>2024-02</v>
      </c>
      <c r="L2414">
        <f t="shared" si="113"/>
        <v>0</v>
      </c>
    </row>
    <row r="2415" spans="1:12">
      <c r="A2415" t="s">
        <v>7008</v>
      </c>
      <c r="B2415" t="s">
        <v>7009</v>
      </c>
      <c r="C2415" t="s">
        <v>7010</v>
      </c>
      <c r="D2415" t="s">
        <v>35</v>
      </c>
      <c r="E2415" t="s">
        <v>28</v>
      </c>
      <c r="F2415" t="s">
        <v>60</v>
      </c>
      <c r="G2415" t="s">
        <v>19</v>
      </c>
      <c r="H2415">
        <f>Cleaned_Data!K2415</f>
        <v>36</v>
      </c>
      <c r="I2415" t="str">
        <f t="shared" si="111"/>
        <v>YES</v>
      </c>
      <c r="J2415">
        <f>Cleaned_Data!J2415</f>
        <v>48</v>
      </c>
      <c r="K2415" t="str">
        <f t="shared" si="112"/>
        <v>2024-08</v>
      </c>
      <c r="L2415">
        <f t="shared" si="113"/>
        <v>0</v>
      </c>
    </row>
    <row r="2416" spans="1:12">
      <c r="A2416" t="s">
        <v>7011</v>
      </c>
      <c r="B2416" t="s">
        <v>7012</v>
      </c>
      <c r="C2416" t="s">
        <v>7013</v>
      </c>
      <c r="D2416" t="s">
        <v>158</v>
      </c>
      <c r="E2416" t="s">
        <v>16</v>
      </c>
      <c r="F2416" t="s">
        <v>60</v>
      </c>
      <c r="G2416" t="s">
        <v>19</v>
      </c>
      <c r="H2416">
        <f>Cleaned_Data!K2416</f>
        <v>0.54</v>
      </c>
      <c r="I2416" t="str">
        <f t="shared" si="111"/>
        <v>YES</v>
      </c>
      <c r="J2416">
        <f>Cleaned_Data!J2416</f>
        <v>4</v>
      </c>
      <c r="K2416" t="str">
        <f t="shared" si="112"/>
        <v>2024-03</v>
      </c>
      <c r="L2416">
        <f t="shared" si="113"/>
        <v>0</v>
      </c>
    </row>
    <row r="2417" spans="1:12">
      <c r="A2417" t="s">
        <v>7014</v>
      </c>
      <c r="B2417" t="s">
        <v>7015</v>
      </c>
      <c r="C2417" t="s">
        <v>7016</v>
      </c>
      <c r="D2417" t="s">
        <v>35</v>
      </c>
      <c r="E2417" t="s">
        <v>54</v>
      </c>
      <c r="F2417" t="s">
        <v>60</v>
      </c>
      <c r="G2417" t="s">
        <v>31</v>
      </c>
      <c r="H2417">
        <f>Cleaned_Data!K2417</f>
        <v>39.67</v>
      </c>
      <c r="I2417" t="str">
        <f t="shared" si="111"/>
        <v>YES</v>
      </c>
      <c r="J2417">
        <f>Cleaned_Data!J2417</f>
        <v>48</v>
      </c>
      <c r="K2417" t="str">
        <f t="shared" si="112"/>
        <v>2024-09</v>
      </c>
      <c r="L2417">
        <f t="shared" si="113"/>
        <v>0</v>
      </c>
    </row>
    <row r="2418" spans="1:12">
      <c r="A2418" t="s">
        <v>7017</v>
      </c>
      <c r="B2418" t="s">
        <v>7018</v>
      </c>
      <c r="C2418" t="s">
        <v>7019</v>
      </c>
      <c r="D2418" t="s">
        <v>15</v>
      </c>
      <c r="E2418" t="s">
        <v>59</v>
      </c>
      <c r="F2418" t="s">
        <v>17</v>
      </c>
      <c r="G2418" t="s">
        <v>19</v>
      </c>
      <c r="H2418">
        <f>Cleaned_Data!K2418</f>
        <v>20.7</v>
      </c>
      <c r="I2418" t="str">
        <f t="shared" si="111"/>
        <v>NO</v>
      </c>
      <c r="J2418">
        <f>Cleaned_Data!J2418</f>
        <v>8</v>
      </c>
      <c r="K2418" t="str">
        <f t="shared" si="112"/>
        <v>2024-08</v>
      </c>
      <c r="L2418">
        <f t="shared" si="113"/>
        <v>12.7</v>
      </c>
    </row>
    <row r="2419" spans="1:12">
      <c r="A2419" t="s">
        <v>7020</v>
      </c>
      <c r="B2419" t="s">
        <v>7021</v>
      </c>
      <c r="C2419" t="s">
        <v>7022</v>
      </c>
      <c r="D2419" t="s">
        <v>158</v>
      </c>
      <c r="E2419" t="s">
        <v>54</v>
      </c>
      <c r="F2419" t="s">
        <v>29</v>
      </c>
      <c r="G2419" t="s">
        <v>19</v>
      </c>
      <c r="H2419">
        <f>Cleaned_Data!K2419</f>
        <v>0.75</v>
      </c>
      <c r="I2419" t="str">
        <f t="shared" si="111"/>
        <v>YES</v>
      </c>
      <c r="J2419">
        <f>Cleaned_Data!J2419</f>
        <v>4</v>
      </c>
      <c r="K2419" t="str">
        <f t="shared" si="112"/>
        <v>2024-01</v>
      </c>
      <c r="L2419">
        <f t="shared" si="113"/>
        <v>0</v>
      </c>
    </row>
    <row r="2420" spans="1:12">
      <c r="A2420" t="s">
        <v>7023</v>
      </c>
      <c r="B2420" t="s">
        <v>7024</v>
      </c>
      <c r="C2420" t="s">
        <v>7025</v>
      </c>
      <c r="D2420" t="s">
        <v>23</v>
      </c>
      <c r="E2420" t="s">
        <v>54</v>
      </c>
      <c r="F2420" t="s">
        <v>36</v>
      </c>
      <c r="G2420" t="s">
        <v>19</v>
      </c>
      <c r="H2420">
        <f>Cleaned_Data!K2420</f>
        <v>7.73</v>
      </c>
      <c r="I2420" t="str">
        <f t="shared" si="111"/>
        <v>YES</v>
      </c>
      <c r="J2420">
        <f>Cleaned_Data!J2420</f>
        <v>24</v>
      </c>
      <c r="K2420" t="str">
        <f t="shared" si="112"/>
        <v>2024-10</v>
      </c>
      <c r="L2420">
        <f t="shared" si="113"/>
        <v>0</v>
      </c>
    </row>
    <row r="2421" spans="1:12">
      <c r="A2421" t="s">
        <v>7026</v>
      </c>
      <c r="B2421" t="s">
        <v>7027</v>
      </c>
      <c r="C2421" t="s">
        <v>7028</v>
      </c>
      <c r="D2421" t="s">
        <v>23</v>
      </c>
      <c r="E2421" t="s">
        <v>28</v>
      </c>
      <c r="F2421" t="s">
        <v>29</v>
      </c>
      <c r="G2421" t="s">
        <v>19</v>
      </c>
      <c r="H2421">
        <f>Cleaned_Data!K2421</f>
        <v>17.93</v>
      </c>
      <c r="I2421" t="str">
        <f t="shared" si="111"/>
        <v>YES</v>
      </c>
      <c r="J2421">
        <f>Cleaned_Data!J2421</f>
        <v>24</v>
      </c>
      <c r="K2421" t="str">
        <f t="shared" si="112"/>
        <v>2024-11</v>
      </c>
      <c r="L2421">
        <f t="shared" si="113"/>
        <v>0</v>
      </c>
    </row>
    <row r="2422" spans="1:12">
      <c r="A2422" t="s">
        <v>7029</v>
      </c>
      <c r="B2422" t="s">
        <v>7030</v>
      </c>
      <c r="C2422" t="s">
        <v>7031</v>
      </c>
      <c r="D2422" t="s">
        <v>158</v>
      </c>
      <c r="E2422" t="s">
        <v>24</v>
      </c>
      <c r="F2422" t="s">
        <v>41</v>
      </c>
      <c r="G2422" t="s">
        <v>19</v>
      </c>
      <c r="H2422">
        <f>Cleaned_Data!K2422</f>
        <v>0.52</v>
      </c>
      <c r="I2422" t="str">
        <f t="shared" si="111"/>
        <v>YES</v>
      </c>
      <c r="J2422">
        <f>Cleaned_Data!J2422</f>
        <v>4</v>
      </c>
      <c r="K2422" t="str">
        <f t="shared" si="112"/>
        <v>2024-12</v>
      </c>
      <c r="L2422">
        <f t="shared" si="113"/>
        <v>0</v>
      </c>
    </row>
    <row r="2423" spans="1:12">
      <c r="A2423" t="s">
        <v>7032</v>
      </c>
      <c r="B2423" t="s">
        <v>7033</v>
      </c>
      <c r="C2423" t="s">
        <v>7034</v>
      </c>
      <c r="D2423" t="s">
        <v>15</v>
      </c>
      <c r="E2423" t="s">
        <v>28</v>
      </c>
      <c r="F2423" t="s">
        <v>36</v>
      </c>
      <c r="G2423" t="s">
        <v>19</v>
      </c>
      <c r="H2423">
        <f>Cleaned_Data!K2423</f>
        <v>13.13</v>
      </c>
      <c r="I2423" t="str">
        <f t="shared" si="111"/>
        <v>NO</v>
      </c>
      <c r="J2423">
        <f>Cleaned_Data!J2423</f>
        <v>8</v>
      </c>
      <c r="K2423" t="str">
        <f t="shared" si="112"/>
        <v>2024-10</v>
      </c>
      <c r="L2423">
        <f t="shared" si="113"/>
        <v>5.1300000000000008</v>
      </c>
    </row>
    <row r="2424" spans="1:12">
      <c r="A2424" t="s">
        <v>7035</v>
      </c>
      <c r="B2424" t="s">
        <v>7036</v>
      </c>
      <c r="C2424" t="s">
        <v>7037</v>
      </c>
      <c r="D2424" t="s">
        <v>23</v>
      </c>
      <c r="E2424" t="s">
        <v>59</v>
      </c>
      <c r="F2424" t="s">
        <v>41</v>
      </c>
      <c r="G2424" t="s">
        <v>19</v>
      </c>
      <c r="H2424">
        <f>Cleaned_Data!K2424</f>
        <v>11.01</v>
      </c>
      <c r="I2424" t="str">
        <f t="shared" si="111"/>
        <v>YES</v>
      </c>
      <c r="J2424">
        <f>Cleaned_Data!J2424</f>
        <v>24</v>
      </c>
      <c r="K2424" t="str">
        <f t="shared" si="112"/>
        <v>2024-02</v>
      </c>
      <c r="L2424">
        <f t="shared" si="113"/>
        <v>0</v>
      </c>
    </row>
    <row r="2425" spans="1:12">
      <c r="A2425" t="s">
        <v>7038</v>
      </c>
      <c r="B2425" t="s">
        <v>7039</v>
      </c>
      <c r="C2425" t="s">
        <v>7040</v>
      </c>
      <c r="D2425" t="s">
        <v>35</v>
      </c>
      <c r="E2425" t="s">
        <v>28</v>
      </c>
      <c r="F2425" t="s">
        <v>29</v>
      </c>
      <c r="G2425" t="s">
        <v>19</v>
      </c>
      <c r="H2425">
        <f>Cleaned_Data!K2425</f>
        <v>9.94</v>
      </c>
      <c r="I2425" t="str">
        <f t="shared" si="111"/>
        <v>YES</v>
      </c>
      <c r="J2425">
        <f>Cleaned_Data!J2425</f>
        <v>48</v>
      </c>
      <c r="K2425" t="str">
        <f t="shared" si="112"/>
        <v>2024-06</v>
      </c>
      <c r="L2425">
        <f t="shared" si="113"/>
        <v>0</v>
      </c>
    </row>
    <row r="2426" spans="1:12">
      <c r="A2426" t="s">
        <v>7041</v>
      </c>
      <c r="B2426" t="s">
        <v>7042</v>
      </c>
      <c r="C2426" t="s">
        <v>7043</v>
      </c>
      <c r="D2426" t="s">
        <v>23</v>
      </c>
      <c r="E2426" t="s">
        <v>28</v>
      </c>
      <c r="F2426" t="s">
        <v>41</v>
      </c>
      <c r="G2426" t="s">
        <v>19</v>
      </c>
      <c r="H2426">
        <f>Cleaned_Data!K2426</f>
        <v>6.04</v>
      </c>
      <c r="I2426" t="str">
        <f t="shared" si="111"/>
        <v>YES</v>
      </c>
      <c r="J2426">
        <f>Cleaned_Data!J2426</f>
        <v>24</v>
      </c>
      <c r="K2426" t="str">
        <f t="shared" si="112"/>
        <v>2024-05</v>
      </c>
      <c r="L2426">
        <f t="shared" si="113"/>
        <v>0</v>
      </c>
    </row>
    <row r="2427" spans="1:12">
      <c r="A2427" t="s">
        <v>7044</v>
      </c>
      <c r="B2427" t="s">
        <v>7045</v>
      </c>
      <c r="D2427" t="s">
        <v>15</v>
      </c>
      <c r="E2427" t="s">
        <v>24</v>
      </c>
      <c r="F2427" t="s">
        <v>17</v>
      </c>
      <c r="G2427" t="s">
        <v>63</v>
      </c>
      <c r="H2427">
        <f>Cleaned_Data!K2427</f>
        <v>0</v>
      </c>
      <c r="I2427" t="str">
        <f t="shared" si="111"/>
        <v/>
      </c>
      <c r="J2427">
        <f>Cleaned_Data!J2427</f>
        <v>8</v>
      </c>
      <c r="K2427" t="str">
        <f t="shared" si="112"/>
        <v>2024-03</v>
      </c>
      <c r="L2427">
        <f t="shared" si="113"/>
        <v>0</v>
      </c>
    </row>
    <row r="2428" spans="1:12">
      <c r="A2428" t="s">
        <v>7046</v>
      </c>
      <c r="B2428" t="s">
        <v>7047</v>
      </c>
      <c r="C2428" t="s">
        <v>7048</v>
      </c>
      <c r="D2428" t="s">
        <v>23</v>
      </c>
      <c r="E2428" t="s">
        <v>28</v>
      </c>
      <c r="F2428" t="s">
        <v>36</v>
      </c>
      <c r="G2428" t="s">
        <v>19</v>
      </c>
      <c r="H2428">
        <f>Cleaned_Data!K2428</f>
        <v>10.33</v>
      </c>
      <c r="I2428" t="str">
        <f t="shared" si="111"/>
        <v>YES</v>
      </c>
      <c r="J2428">
        <f>Cleaned_Data!J2428</f>
        <v>24</v>
      </c>
      <c r="K2428" t="str">
        <f t="shared" si="112"/>
        <v>2024-09</v>
      </c>
      <c r="L2428">
        <f t="shared" si="113"/>
        <v>0</v>
      </c>
    </row>
    <row r="2429" spans="1:12">
      <c r="A2429" t="s">
        <v>7049</v>
      </c>
      <c r="B2429" t="s">
        <v>7050</v>
      </c>
      <c r="C2429" t="s">
        <v>7051</v>
      </c>
      <c r="D2429" t="s">
        <v>23</v>
      </c>
      <c r="E2429" t="s">
        <v>28</v>
      </c>
      <c r="F2429" t="s">
        <v>17</v>
      </c>
      <c r="G2429" t="s">
        <v>19</v>
      </c>
      <c r="H2429">
        <f>Cleaned_Data!K2429</f>
        <v>19.7</v>
      </c>
      <c r="I2429" t="str">
        <f t="shared" si="111"/>
        <v>YES</v>
      </c>
      <c r="J2429">
        <f>Cleaned_Data!J2429</f>
        <v>24</v>
      </c>
      <c r="K2429" t="str">
        <f t="shared" si="112"/>
        <v>2024-09</v>
      </c>
      <c r="L2429">
        <f t="shared" si="113"/>
        <v>0</v>
      </c>
    </row>
    <row r="2430" spans="1:12">
      <c r="A2430" t="s">
        <v>7052</v>
      </c>
      <c r="B2430" t="s">
        <v>7053</v>
      </c>
      <c r="C2430" t="s">
        <v>7054</v>
      </c>
      <c r="D2430" t="s">
        <v>15</v>
      </c>
      <c r="E2430" t="s">
        <v>24</v>
      </c>
      <c r="F2430" t="s">
        <v>36</v>
      </c>
      <c r="G2430" t="s">
        <v>19</v>
      </c>
      <c r="H2430">
        <f>Cleaned_Data!K2430</f>
        <v>2.2799999999999998</v>
      </c>
      <c r="I2430" t="str">
        <f t="shared" si="111"/>
        <v>YES</v>
      </c>
      <c r="J2430">
        <f>Cleaned_Data!J2430</f>
        <v>8</v>
      </c>
      <c r="K2430" t="str">
        <f t="shared" si="112"/>
        <v>2024-07</v>
      </c>
      <c r="L2430">
        <f t="shared" si="113"/>
        <v>0</v>
      </c>
    </row>
    <row r="2431" spans="1:12">
      <c r="A2431" t="s">
        <v>7055</v>
      </c>
      <c r="B2431" t="s">
        <v>7056</v>
      </c>
      <c r="C2431" t="s">
        <v>7057</v>
      </c>
      <c r="D2431" t="s">
        <v>35</v>
      </c>
      <c r="E2431" t="s">
        <v>54</v>
      </c>
      <c r="F2431" t="s">
        <v>36</v>
      </c>
      <c r="G2431" t="s">
        <v>19</v>
      </c>
      <c r="H2431">
        <f>Cleaned_Data!K2431</f>
        <v>12.34</v>
      </c>
      <c r="I2431" t="str">
        <f t="shared" si="111"/>
        <v>YES</v>
      </c>
      <c r="J2431">
        <f>Cleaned_Data!J2431</f>
        <v>48</v>
      </c>
      <c r="K2431" t="str">
        <f t="shared" si="112"/>
        <v>2024-11</v>
      </c>
      <c r="L2431">
        <f t="shared" si="113"/>
        <v>0</v>
      </c>
    </row>
    <row r="2432" spans="1:12">
      <c r="A2432" t="s">
        <v>7058</v>
      </c>
      <c r="B2432" t="s">
        <v>7059</v>
      </c>
      <c r="D2432" t="s">
        <v>158</v>
      </c>
      <c r="E2432" t="s">
        <v>16</v>
      </c>
      <c r="F2432" t="s">
        <v>41</v>
      </c>
      <c r="G2432" t="s">
        <v>63</v>
      </c>
      <c r="H2432">
        <f>Cleaned_Data!K2432</f>
        <v>0</v>
      </c>
      <c r="I2432" t="str">
        <f t="shared" si="111"/>
        <v/>
      </c>
      <c r="J2432">
        <f>Cleaned_Data!J2432</f>
        <v>4</v>
      </c>
      <c r="K2432" t="str">
        <f t="shared" si="112"/>
        <v>2024-12</v>
      </c>
      <c r="L2432">
        <f t="shared" si="113"/>
        <v>0</v>
      </c>
    </row>
    <row r="2433" spans="1:12">
      <c r="A2433" t="s">
        <v>7060</v>
      </c>
      <c r="B2433" t="s">
        <v>7061</v>
      </c>
      <c r="C2433" t="s">
        <v>7062</v>
      </c>
      <c r="D2433" t="s">
        <v>15</v>
      </c>
      <c r="E2433" t="s">
        <v>59</v>
      </c>
      <c r="F2433" t="s">
        <v>41</v>
      </c>
      <c r="G2433" t="s">
        <v>19</v>
      </c>
      <c r="H2433">
        <f>Cleaned_Data!K2433</f>
        <v>5.17</v>
      </c>
      <c r="I2433" t="str">
        <f t="shared" si="111"/>
        <v>YES</v>
      </c>
      <c r="J2433">
        <f>Cleaned_Data!J2433</f>
        <v>8</v>
      </c>
      <c r="K2433" t="str">
        <f t="shared" si="112"/>
        <v>2024-09</v>
      </c>
      <c r="L2433">
        <f t="shared" si="113"/>
        <v>0</v>
      </c>
    </row>
    <row r="2434" spans="1:12">
      <c r="A2434" t="s">
        <v>7063</v>
      </c>
      <c r="B2434" t="s">
        <v>7064</v>
      </c>
      <c r="C2434" t="s">
        <v>7065</v>
      </c>
      <c r="D2434" t="s">
        <v>15</v>
      </c>
      <c r="E2434" t="s">
        <v>28</v>
      </c>
      <c r="F2434" t="s">
        <v>29</v>
      </c>
      <c r="G2434" t="s">
        <v>19</v>
      </c>
      <c r="H2434">
        <f>Cleaned_Data!K2434</f>
        <v>5.35</v>
      </c>
      <c r="I2434" t="str">
        <f t="shared" ref="I2434:I2497" si="114">IF(OR(G2434="Resolved", G2434="Closed"), IF(AND(H2434&lt;&gt;"", H2434&lt;=J2434), "YES", "NO"), "")</f>
        <v>YES</v>
      </c>
      <c r="J2434">
        <f>Cleaned_Data!J2434</f>
        <v>8</v>
      </c>
      <c r="K2434" t="str">
        <f t="shared" ref="K2434:K2497" si="115">LEFT(B2434, 7)</f>
        <v>2024-08</v>
      </c>
      <c r="L2434">
        <f t="shared" ref="L2434:L2497" si="116">IF(I2434="NO", H2434-J2434, 0)</f>
        <v>0</v>
      </c>
    </row>
    <row r="2435" spans="1:12">
      <c r="A2435" t="s">
        <v>7066</v>
      </c>
      <c r="B2435" t="s">
        <v>7067</v>
      </c>
      <c r="C2435" t="s">
        <v>7068</v>
      </c>
      <c r="D2435" t="s">
        <v>15</v>
      </c>
      <c r="E2435" t="s">
        <v>16</v>
      </c>
      <c r="F2435" t="s">
        <v>29</v>
      </c>
      <c r="G2435" t="s">
        <v>19</v>
      </c>
      <c r="H2435">
        <f>Cleaned_Data!K2435</f>
        <v>13.51</v>
      </c>
      <c r="I2435" t="str">
        <f t="shared" si="114"/>
        <v>NO</v>
      </c>
      <c r="J2435">
        <f>Cleaned_Data!J2435</f>
        <v>8</v>
      </c>
      <c r="K2435" t="str">
        <f t="shared" si="115"/>
        <v>2024-11</v>
      </c>
      <c r="L2435">
        <f t="shared" si="116"/>
        <v>5.51</v>
      </c>
    </row>
    <row r="2436" spans="1:12">
      <c r="A2436" t="s">
        <v>7069</v>
      </c>
      <c r="B2436" t="s">
        <v>7070</v>
      </c>
      <c r="C2436" t="s">
        <v>7071</v>
      </c>
      <c r="D2436" t="s">
        <v>23</v>
      </c>
      <c r="E2436" t="s">
        <v>24</v>
      </c>
      <c r="F2436" t="s">
        <v>36</v>
      </c>
      <c r="G2436" t="s">
        <v>31</v>
      </c>
      <c r="H2436">
        <f>Cleaned_Data!K2436</f>
        <v>8.69</v>
      </c>
      <c r="I2436" t="str">
        <f t="shared" si="114"/>
        <v>YES</v>
      </c>
      <c r="J2436">
        <f>Cleaned_Data!J2436</f>
        <v>24</v>
      </c>
      <c r="K2436" t="str">
        <f t="shared" si="115"/>
        <v>2024-02</v>
      </c>
      <c r="L2436">
        <f t="shared" si="116"/>
        <v>0</v>
      </c>
    </row>
    <row r="2437" spans="1:12">
      <c r="A2437" t="s">
        <v>7072</v>
      </c>
      <c r="B2437" t="s">
        <v>7073</v>
      </c>
      <c r="C2437" t="s">
        <v>7074</v>
      </c>
      <c r="D2437" t="s">
        <v>23</v>
      </c>
      <c r="E2437" t="s">
        <v>28</v>
      </c>
      <c r="F2437" t="s">
        <v>17</v>
      </c>
      <c r="G2437" t="s">
        <v>31</v>
      </c>
      <c r="H2437">
        <f>Cleaned_Data!K2437</f>
        <v>5.28</v>
      </c>
      <c r="I2437" t="str">
        <f t="shared" si="114"/>
        <v>YES</v>
      </c>
      <c r="J2437">
        <f>Cleaned_Data!J2437</f>
        <v>24</v>
      </c>
      <c r="K2437" t="str">
        <f t="shared" si="115"/>
        <v>2024-06</v>
      </c>
      <c r="L2437">
        <f t="shared" si="116"/>
        <v>0</v>
      </c>
    </row>
    <row r="2438" spans="1:12">
      <c r="A2438" t="s">
        <v>7075</v>
      </c>
      <c r="B2438" t="s">
        <v>7076</v>
      </c>
      <c r="C2438" t="s">
        <v>7077</v>
      </c>
      <c r="D2438" t="s">
        <v>23</v>
      </c>
      <c r="E2438" t="s">
        <v>16</v>
      </c>
      <c r="F2438" t="s">
        <v>29</v>
      </c>
      <c r="G2438" t="s">
        <v>31</v>
      </c>
      <c r="H2438">
        <f>Cleaned_Data!K2438</f>
        <v>30.77</v>
      </c>
      <c r="I2438" t="str">
        <f t="shared" si="114"/>
        <v>NO</v>
      </c>
      <c r="J2438">
        <f>Cleaned_Data!J2438</f>
        <v>24</v>
      </c>
      <c r="K2438" t="str">
        <f t="shared" si="115"/>
        <v>2024-07</v>
      </c>
      <c r="L2438">
        <f t="shared" si="116"/>
        <v>6.77</v>
      </c>
    </row>
    <row r="2439" spans="1:12">
      <c r="A2439" t="s">
        <v>7078</v>
      </c>
      <c r="B2439" t="s">
        <v>7079</v>
      </c>
      <c r="C2439" t="s">
        <v>7080</v>
      </c>
      <c r="D2439" t="s">
        <v>35</v>
      </c>
      <c r="E2439" t="s">
        <v>54</v>
      </c>
      <c r="F2439" t="s">
        <v>17</v>
      </c>
      <c r="G2439" t="s">
        <v>19</v>
      </c>
      <c r="H2439">
        <f>Cleaned_Data!K2439</f>
        <v>69.42</v>
      </c>
      <c r="I2439" t="str">
        <f t="shared" si="114"/>
        <v>NO</v>
      </c>
      <c r="J2439">
        <f>Cleaned_Data!J2439</f>
        <v>48</v>
      </c>
      <c r="K2439" t="str">
        <f t="shared" si="115"/>
        <v>2024-09</v>
      </c>
      <c r="L2439">
        <f t="shared" si="116"/>
        <v>21.42</v>
      </c>
    </row>
    <row r="2440" spans="1:12">
      <c r="A2440" t="s">
        <v>7081</v>
      </c>
      <c r="B2440" t="s">
        <v>7082</v>
      </c>
      <c r="C2440" t="s">
        <v>7083</v>
      </c>
      <c r="D2440" t="s">
        <v>23</v>
      </c>
      <c r="E2440" t="s">
        <v>24</v>
      </c>
      <c r="F2440" t="s">
        <v>17</v>
      </c>
      <c r="G2440" t="s">
        <v>19</v>
      </c>
      <c r="H2440">
        <f>Cleaned_Data!K2440</f>
        <v>20.23</v>
      </c>
      <c r="I2440" t="str">
        <f t="shared" si="114"/>
        <v>YES</v>
      </c>
      <c r="J2440">
        <f>Cleaned_Data!J2440</f>
        <v>24</v>
      </c>
      <c r="K2440" t="str">
        <f t="shared" si="115"/>
        <v>2024-07</v>
      </c>
      <c r="L2440">
        <f t="shared" si="116"/>
        <v>0</v>
      </c>
    </row>
    <row r="2441" spans="1:12">
      <c r="A2441" t="s">
        <v>7084</v>
      </c>
      <c r="B2441" t="s">
        <v>7085</v>
      </c>
      <c r="D2441" t="s">
        <v>15</v>
      </c>
      <c r="E2441" t="s">
        <v>54</v>
      </c>
      <c r="F2441" t="s">
        <v>60</v>
      </c>
      <c r="G2441" t="s">
        <v>63</v>
      </c>
      <c r="H2441">
        <f>Cleaned_Data!K2441</f>
        <v>0</v>
      </c>
      <c r="I2441" t="str">
        <f t="shared" si="114"/>
        <v/>
      </c>
      <c r="J2441">
        <f>Cleaned_Data!J2441</f>
        <v>8</v>
      </c>
      <c r="K2441" t="str">
        <f t="shared" si="115"/>
        <v>2024-03</v>
      </c>
      <c r="L2441">
        <f t="shared" si="116"/>
        <v>0</v>
      </c>
    </row>
    <row r="2442" spans="1:12">
      <c r="A2442" t="s">
        <v>7086</v>
      </c>
      <c r="B2442" t="s">
        <v>7087</v>
      </c>
      <c r="C2442" t="s">
        <v>7088</v>
      </c>
      <c r="D2442" t="s">
        <v>35</v>
      </c>
      <c r="E2442" t="s">
        <v>54</v>
      </c>
      <c r="F2442" t="s">
        <v>29</v>
      </c>
      <c r="G2442" t="s">
        <v>19</v>
      </c>
      <c r="H2442">
        <f>Cleaned_Data!K2442</f>
        <v>5.19</v>
      </c>
      <c r="I2442" t="str">
        <f t="shared" si="114"/>
        <v>YES</v>
      </c>
      <c r="J2442">
        <f>Cleaned_Data!J2442</f>
        <v>48</v>
      </c>
      <c r="K2442" t="str">
        <f t="shared" si="115"/>
        <v>2024-03</v>
      </c>
      <c r="L2442">
        <f t="shared" si="116"/>
        <v>0</v>
      </c>
    </row>
    <row r="2443" spans="1:12">
      <c r="A2443" t="s">
        <v>7089</v>
      </c>
      <c r="B2443" t="s">
        <v>7090</v>
      </c>
      <c r="C2443" t="s">
        <v>7091</v>
      </c>
      <c r="D2443" t="s">
        <v>15</v>
      </c>
      <c r="E2443" t="s">
        <v>54</v>
      </c>
      <c r="F2443" t="s">
        <v>29</v>
      </c>
      <c r="G2443" t="s">
        <v>19</v>
      </c>
      <c r="H2443">
        <f>Cleaned_Data!K2443</f>
        <v>3.58</v>
      </c>
      <c r="I2443" t="str">
        <f t="shared" si="114"/>
        <v>YES</v>
      </c>
      <c r="J2443">
        <f>Cleaned_Data!J2443</f>
        <v>8</v>
      </c>
      <c r="K2443" t="str">
        <f t="shared" si="115"/>
        <v>2024-06</v>
      </c>
      <c r="L2443">
        <f t="shared" si="116"/>
        <v>0</v>
      </c>
    </row>
    <row r="2444" spans="1:12">
      <c r="A2444" t="s">
        <v>7092</v>
      </c>
      <c r="B2444" t="s">
        <v>7093</v>
      </c>
      <c r="C2444" t="s">
        <v>7094</v>
      </c>
      <c r="D2444" t="s">
        <v>35</v>
      </c>
      <c r="E2444" t="s">
        <v>16</v>
      </c>
      <c r="F2444" t="s">
        <v>41</v>
      </c>
      <c r="G2444" t="s">
        <v>19</v>
      </c>
      <c r="H2444">
        <f>Cleaned_Data!K2444</f>
        <v>40.03</v>
      </c>
      <c r="I2444" t="str">
        <f t="shared" si="114"/>
        <v>YES</v>
      </c>
      <c r="J2444">
        <f>Cleaned_Data!J2444</f>
        <v>48</v>
      </c>
      <c r="K2444" t="str">
        <f t="shared" si="115"/>
        <v>2024-03</v>
      </c>
      <c r="L2444">
        <f t="shared" si="116"/>
        <v>0</v>
      </c>
    </row>
    <row r="2445" spans="1:12">
      <c r="A2445" t="s">
        <v>7095</v>
      </c>
      <c r="B2445" t="s">
        <v>7096</v>
      </c>
      <c r="C2445" t="s">
        <v>7097</v>
      </c>
      <c r="D2445" t="s">
        <v>23</v>
      </c>
      <c r="E2445" t="s">
        <v>28</v>
      </c>
      <c r="F2445" t="s">
        <v>41</v>
      </c>
      <c r="G2445" t="s">
        <v>19</v>
      </c>
      <c r="H2445">
        <f>Cleaned_Data!K2445</f>
        <v>17.54</v>
      </c>
      <c r="I2445" t="str">
        <f t="shared" si="114"/>
        <v>YES</v>
      </c>
      <c r="J2445">
        <f>Cleaned_Data!J2445</f>
        <v>24</v>
      </c>
      <c r="K2445" t="str">
        <f t="shared" si="115"/>
        <v>2024-09</v>
      </c>
      <c r="L2445">
        <f t="shared" si="116"/>
        <v>0</v>
      </c>
    </row>
    <row r="2446" spans="1:12">
      <c r="A2446" t="s">
        <v>7098</v>
      </c>
      <c r="B2446" t="s">
        <v>7099</v>
      </c>
      <c r="C2446" t="s">
        <v>7100</v>
      </c>
      <c r="D2446" t="s">
        <v>35</v>
      </c>
      <c r="E2446" t="s">
        <v>54</v>
      </c>
      <c r="F2446" t="s">
        <v>36</v>
      </c>
      <c r="G2446" t="s">
        <v>19</v>
      </c>
      <c r="H2446">
        <f>Cleaned_Data!K2446</f>
        <v>10.37</v>
      </c>
      <c r="I2446" t="str">
        <f t="shared" si="114"/>
        <v>YES</v>
      </c>
      <c r="J2446">
        <f>Cleaned_Data!J2446</f>
        <v>48</v>
      </c>
      <c r="K2446" t="str">
        <f t="shared" si="115"/>
        <v>2024-08</v>
      </c>
      <c r="L2446">
        <f t="shared" si="116"/>
        <v>0</v>
      </c>
    </row>
    <row r="2447" spans="1:12">
      <c r="A2447" t="s">
        <v>7101</v>
      </c>
      <c r="B2447" t="s">
        <v>7102</v>
      </c>
      <c r="D2447" t="s">
        <v>35</v>
      </c>
      <c r="E2447" t="s">
        <v>54</v>
      </c>
      <c r="F2447" t="s">
        <v>41</v>
      </c>
      <c r="G2447" t="s">
        <v>46</v>
      </c>
      <c r="H2447">
        <f>Cleaned_Data!K2447</f>
        <v>0</v>
      </c>
      <c r="I2447" t="str">
        <f t="shared" si="114"/>
        <v/>
      </c>
      <c r="J2447">
        <f>Cleaned_Data!J2447</f>
        <v>48</v>
      </c>
      <c r="K2447" t="str">
        <f t="shared" si="115"/>
        <v>2024-04</v>
      </c>
      <c r="L2447">
        <f t="shared" si="116"/>
        <v>0</v>
      </c>
    </row>
    <row r="2448" spans="1:12">
      <c r="A2448" t="s">
        <v>7103</v>
      </c>
      <c r="B2448" t="s">
        <v>7104</v>
      </c>
      <c r="C2448" t="s">
        <v>7105</v>
      </c>
      <c r="D2448" t="s">
        <v>158</v>
      </c>
      <c r="E2448" t="s">
        <v>54</v>
      </c>
      <c r="F2448" t="s">
        <v>60</v>
      </c>
      <c r="G2448" t="s">
        <v>31</v>
      </c>
      <c r="H2448">
        <f>Cleaned_Data!K2448</f>
        <v>2.21</v>
      </c>
      <c r="I2448" t="str">
        <f t="shared" si="114"/>
        <v>YES</v>
      </c>
      <c r="J2448">
        <f>Cleaned_Data!J2448</f>
        <v>4</v>
      </c>
      <c r="K2448" t="str">
        <f t="shared" si="115"/>
        <v>2024-05</v>
      </c>
      <c r="L2448">
        <f t="shared" si="116"/>
        <v>0</v>
      </c>
    </row>
    <row r="2449" spans="1:12">
      <c r="A2449" t="s">
        <v>7106</v>
      </c>
      <c r="B2449" t="s">
        <v>7107</v>
      </c>
      <c r="C2449" t="s">
        <v>7108</v>
      </c>
      <c r="D2449" t="s">
        <v>15</v>
      </c>
      <c r="E2449" t="s">
        <v>24</v>
      </c>
      <c r="F2449" t="s">
        <v>17</v>
      </c>
      <c r="G2449" t="s">
        <v>31</v>
      </c>
      <c r="H2449">
        <f>Cleaned_Data!K2449</f>
        <v>5.59</v>
      </c>
      <c r="I2449" t="str">
        <f t="shared" si="114"/>
        <v>YES</v>
      </c>
      <c r="J2449">
        <f>Cleaned_Data!J2449</f>
        <v>8</v>
      </c>
      <c r="K2449" t="str">
        <f t="shared" si="115"/>
        <v>2024-07</v>
      </c>
      <c r="L2449">
        <f t="shared" si="116"/>
        <v>0</v>
      </c>
    </row>
    <row r="2450" spans="1:12">
      <c r="A2450" t="s">
        <v>7109</v>
      </c>
      <c r="B2450" t="s">
        <v>7110</v>
      </c>
      <c r="C2450" t="s">
        <v>7111</v>
      </c>
      <c r="D2450" t="s">
        <v>23</v>
      </c>
      <c r="E2450" t="s">
        <v>28</v>
      </c>
      <c r="F2450" t="s">
        <v>29</v>
      </c>
      <c r="G2450" t="s">
        <v>31</v>
      </c>
      <c r="H2450">
        <f>Cleaned_Data!K2450</f>
        <v>17.420000000000002</v>
      </c>
      <c r="I2450" t="str">
        <f t="shared" si="114"/>
        <v>YES</v>
      </c>
      <c r="J2450">
        <f>Cleaned_Data!J2450</f>
        <v>24</v>
      </c>
      <c r="K2450" t="str">
        <f t="shared" si="115"/>
        <v>2024-06</v>
      </c>
      <c r="L2450">
        <f t="shared" si="116"/>
        <v>0</v>
      </c>
    </row>
    <row r="2451" spans="1:12">
      <c r="A2451" t="s">
        <v>7112</v>
      </c>
      <c r="B2451" t="s">
        <v>7113</v>
      </c>
      <c r="C2451" t="s">
        <v>7114</v>
      </c>
      <c r="D2451" t="s">
        <v>15</v>
      </c>
      <c r="E2451" t="s">
        <v>16</v>
      </c>
      <c r="F2451" t="s">
        <v>60</v>
      </c>
      <c r="G2451" t="s">
        <v>19</v>
      </c>
      <c r="H2451">
        <f>Cleaned_Data!K2451</f>
        <v>1.96</v>
      </c>
      <c r="I2451" t="str">
        <f t="shared" si="114"/>
        <v>YES</v>
      </c>
      <c r="J2451">
        <f>Cleaned_Data!J2451</f>
        <v>8</v>
      </c>
      <c r="K2451" t="str">
        <f t="shared" si="115"/>
        <v>2024-07</v>
      </c>
      <c r="L2451">
        <f t="shared" si="116"/>
        <v>0</v>
      </c>
    </row>
    <row r="2452" spans="1:12">
      <c r="A2452" t="s">
        <v>7115</v>
      </c>
      <c r="B2452" t="s">
        <v>7116</v>
      </c>
      <c r="C2452" t="s">
        <v>7117</v>
      </c>
      <c r="D2452" t="s">
        <v>35</v>
      </c>
      <c r="E2452" t="s">
        <v>59</v>
      </c>
      <c r="F2452" t="s">
        <v>29</v>
      </c>
      <c r="G2452" t="s">
        <v>31</v>
      </c>
      <c r="H2452">
        <f>Cleaned_Data!K2452</f>
        <v>26.01</v>
      </c>
      <c r="I2452" t="str">
        <f t="shared" si="114"/>
        <v>YES</v>
      </c>
      <c r="J2452">
        <f>Cleaned_Data!J2452</f>
        <v>48</v>
      </c>
      <c r="K2452" t="str">
        <f t="shared" si="115"/>
        <v>2024-05</v>
      </c>
      <c r="L2452">
        <f t="shared" si="116"/>
        <v>0</v>
      </c>
    </row>
    <row r="2453" spans="1:12">
      <c r="A2453" t="s">
        <v>7118</v>
      </c>
      <c r="B2453" t="s">
        <v>7119</v>
      </c>
      <c r="C2453" t="s">
        <v>7120</v>
      </c>
      <c r="D2453" t="s">
        <v>15</v>
      </c>
      <c r="E2453" t="s">
        <v>28</v>
      </c>
      <c r="F2453" t="s">
        <v>17</v>
      </c>
      <c r="G2453" t="s">
        <v>19</v>
      </c>
      <c r="H2453">
        <f>Cleaned_Data!K2453</f>
        <v>3.95</v>
      </c>
      <c r="I2453" t="str">
        <f t="shared" si="114"/>
        <v>YES</v>
      </c>
      <c r="J2453">
        <f>Cleaned_Data!J2453</f>
        <v>8</v>
      </c>
      <c r="K2453" t="str">
        <f t="shared" si="115"/>
        <v>2024-10</v>
      </c>
      <c r="L2453">
        <f t="shared" si="116"/>
        <v>0</v>
      </c>
    </row>
    <row r="2454" spans="1:12">
      <c r="A2454" t="s">
        <v>7121</v>
      </c>
      <c r="B2454" t="s">
        <v>7122</v>
      </c>
      <c r="C2454" t="s">
        <v>7123</v>
      </c>
      <c r="D2454" t="s">
        <v>35</v>
      </c>
      <c r="E2454" t="s">
        <v>16</v>
      </c>
      <c r="F2454" t="s">
        <v>36</v>
      </c>
      <c r="G2454" t="s">
        <v>19</v>
      </c>
      <c r="H2454">
        <f>Cleaned_Data!K2454</f>
        <v>30.88</v>
      </c>
      <c r="I2454" t="str">
        <f t="shared" si="114"/>
        <v>YES</v>
      </c>
      <c r="J2454">
        <f>Cleaned_Data!J2454</f>
        <v>48</v>
      </c>
      <c r="K2454" t="str">
        <f t="shared" si="115"/>
        <v>2024-09</v>
      </c>
      <c r="L2454">
        <f t="shared" si="116"/>
        <v>0</v>
      </c>
    </row>
    <row r="2455" spans="1:12">
      <c r="A2455" t="s">
        <v>7124</v>
      </c>
      <c r="B2455" t="s">
        <v>7125</v>
      </c>
      <c r="C2455" t="s">
        <v>7126</v>
      </c>
      <c r="D2455" t="s">
        <v>35</v>
      </c>
      <c r="E2455" t="s">
        <v>28</v>
      </c>
      <c r="F2455" t="s">
        <v>29</v>
      </c>
      <c r="G2455" t="s">
        <v>19</v>
      </c>
      <c r="H2455">
        <f>Cleaned_Data!K2455</f>
        <v>74.989999999999995</v>
      </c>
      <c r="I2455" t="str">
        <f t="shared" si="114"/>
        <v>NO</v>
      </c>
      <c r="J2455">
        <f>Cleaned_Data!J2455</f>
        <v>48</v>
      </c>
      <c r="K2455" t="str">
        <f t="shared" si="115"/>
        <v>2024-06</v>
      </c>
      <c r="L2455">
        <f t="shared" si="116"/>
        <v>26.989999999999995</v>
      </c>
    </row>
    <row r="2456" spans="1:12">
      <c r="A2456" t="s">
        <v>7127</v>
      </c>
      <c r="B2456" t="s">
        <v>7128</v>
      </c>
      <c r="C2456" t="s">
        <v>7129</v>
      </c>
      <c r="D2456" t="s">
        <v>23</v>
      </c>
      <c r="E2456" t="s">
        <v>16</v>
      </c>
      <c r="F2456" t="s">
        <v>17</v>
      </c>
      <c r="G2456" t="s">
        <v>19</v>
      </c>
      <c r="H2456">
        <f>Cleaned_Data!K2456</f>
        <v>49.68</v>
      </c>
      <c r="I2456" t="str">
        <f t="shared" si="114"/>
        <v>NO</v>
      </c>
      <c r="J2456">
        <f>Cleaned_Data!J2456</f>
        <v>24</v>
      </c>
      <c r="K2456" t="str">
        <f t="shared" si="115"/>
        <v>2024-02</v>
      </c>
      <c r="L2456">
        <f t="shared" si="116"/>
        <v>25.68</v>
      </c>
    </row>
    <row r="2457" spans="1:12">
      <c r="A2457" t="s">
        <v>7130</v>
      </c>
      <c r="B2457" t="s">
        <v>7131</v>
      </c>
      <c r="C2457" t="s">
        <v>7132</v>
      </c>
      <c r="D2457" t="s">
        <v>15</v>
      </c>
      <c r="E2457" t="s">
        <v>24</v>
      </c>
      <c r="F2457" t="s">
        <v>17</v>
      </c>
      <c r="G2457" t="s">
        <v>19</v>
      </c>
      <c r="H2457">
        <f>Cleaned_Data!K2457</f>
        <v>3.12</v>
      </c>
      <c r="I2457" t="str">
        <f t="shared" si="114"/>
        <v>YES</v>
      </c>
      <c r="J2457">
        <f>Cleaned_Data!J2457</f>
        <v>8</v>
      </c>
      <c r="K2457" t="str">
        <f t="shared" si="115"/>
        <v>2024-07</v>
      </c>
      <c r="L2457">
        <f t="shared" si="116"/>
        <v>0</v>
      </c>
    </row>
    <row r="2458" spans="1:12">
      <c r="A2458" t="s">
        <v>7133</v>
      </c>
      <c r="B2458" t="s">
        <v>7134</v>
      </c>
      <c r="D2458" t="s">
        <v>15</v>
      </c>
      <c r="E2458" t="s">
        <v>24</v>
      </c>
      <c r="F2458" t="s">
        <v>17</v>
      </c>
      <c r="G2458" t="s">
        <v>46</v>
      </c>
      <c r="H2458">
        <f>Cleaned_Data!K2458</f>
        <v>0</v>
      </c>
      <c r="I2458" t="str">
        <f t="shared" si="114"/>
        <v/>
      </c>
      <c r="J2458">
        <f>Cleaned_Data!J2458</f>
        <v>8</v>
      </c>
      <c r="K2458" t="str">
        <f t="shared" si="115"/>
        <v>2024-07</v>
      </c>
      <c r="L2458">
        <f t="shared" si="116"/>
        <v>0</v>
      </c>
    </row>
    <row r="2459" spans="1:12">
      <c r="A2459" t="s">
        <v>7135</v>
      </c>
      <c r="B2459" t="s">
        <v>7136</v>
      </c>
      <c r="C2459" t="s">
        <v>7137</v>
      </c>
      <c r="D2459" t="s">
        <v>35</v>
      </c>
      <c r="E2459" t="s">
        <v>24</v>
      </c>
      <c r="F2459" t="s">
        <v>29</v>
      </c>
      <c r="G2459" t="s">
        <v>19</v>
      </c>
      <c r="H2459">
        <f>Cleaned_Data!K2459</f>
        <v>119.47</v>
      </c>
      <c r="I2459" t="str">
        <f t="shared" si="114"/>
        <v>NO</v>
      </c>
      <c r="J2459">
        <f>Cleaned_Data!J2459</f>
        <v>48</v>
      </c>
      <c r="K2459" t="str">
        <f t="shared" si="115"/>
        <v>2024-07</v>
      </c>
      <c r="L2459">
        <f t="shared" si="116"/>
        <v>71.47</v>
      </c>
    </row>
    <row r="2460" spans="1:12">
      <c r="A2460" t="s">
        <v>7138</v>
      </c>
      <c r="B2460" t="s">
        <v>7139</v>
      </c>
      <c r="C2460" t="s">
        <v>7140</v>
      </c>
      <c r="D2460" t="s">
        <v>35</v>
      </c>
      <c r="E2460" t="s">
        <v>16</v>
      </c>
      <c r="F2460" t="s">
        <v>60</v>
      </c>
      <c r="G2460" t="s">
        <v>31</v>
      </c>
      <c r="H2460">
        <f>Cleaned_Data!K2460</f>
        <v>92.08</v>
      </c>
      <c r="I2460" t="str">
        <f t="shared" si="114"/>
        <v>NO</v>
      </c>
      <c r="J2460">
        <f>Cleaned_Data!J2460</f>
        <v>48</v>
      </c>
      <c r="K2460" t="str">
        <f t="shared" si="115"/>
        <v>2024-12</v>
      </c>
      <c r="L2460">
        <f t="shared" si="116"/>
        <v>44.08</v>
      </c>
    </row>
    <row r="2461" spans="1:12">
      <c r="A2461" t="s">
        <v>7141</v>
      </c>
      <c r="B2461" t="s">
        <v>7142</v>
      </c>
      <c r="C2461" t="s">
        <v>7143</v>
      </c>
      <c r="D2461" t="s">
        <v>15</v>
      </c>
      <c r="E2461" t="s">
        <v>54</v>
      </c>
      <c r="F2461" t="s">
        <v>41</v>
      </c>
      <c r="G2461" t="s">
        <v>31</v>
      </c>
      <c r="H2461">
        <f>Cleaned_Data!K2461</f>
        <v>6.17</v>
      </c>
      <c r="I2461" t="str">
        <f t="shared" si="114"/>
        <v>YES</v>
      </c>
      <c r="J2461">
        <f>Cleaned_Data!J2461</f>
        <v>8</v>
      </c>
      <c r="K2461" t="str">
        <f t="shared" si="115"/>
        <v>2024-05</v>
      </c>
      <c r="L2461">
        <f t="shared" si="116"/>
        <v>0</v>
      </c>
    </row>
    <row r="2462" spans="1:12">
      <c r="A2462" t="s">
        <v>7144</v>
      </c>
      <c r="B2462" t="s">
        <v>7145</v>
      </c>
      <c r="C2462" t="s">
        <v>7146</v>
      </c>
      <c r="D2462" t="s">
        <v>23</v>
      </c>
      <c r="E2462" t="s">
        <v>16</v>
      </c>
      <c r="F2462" t="s">
        <v>60</v>
      </c>
      <c r="G2462" t="s">
        <v>31</v>
      </c>
      <c r="H2462">
        <f>Cleaned_Data!K2462</f>
        <v>17.68</v>
      </c>
      <c r="I2462" t="str">
        <f t="shared" si="114"/>
        <v>YES</v>
      </c>
      <c r="J2462">
        <f>Cleaned_Data!J2462</f>
        <v>24</v>
      </c>
      <c r="K2462" t="str">
        <f t="shared" si="115"/>
        <v>2024-11</v>
      </c>
      <c r="L2462">
        <f t="shared" si="116"/>
        <v>0</v>
      </c>
    </row>
    <row r="2463" spans="1:12">
      <c r="A2463" t="s">
        <v>7147</v>
      </c>
      <c r="B2463" t="s">
        <v>7148</v>
      </c>
      <c r="C2463" t="s">
        <v>7149</v>
      </c>
      <c r="D2463" t="s">
        <v>15</v>
      </c>
      <c r="E2463" t="s">
        <v>24</v>
      </c>
      <c r="F2463" t="s">
        <v>41</v>
      </c>
      <c r="G2463" t="s">
        <v>31</v>
      </c>
      <c r="H2463">
        <f>Cleaned_Data!K2463</f>
        <v>4.71</v>
      </c>
      <c r="I2463" t="str">
        <f t="shared" si="114"/>
        <v>YES</v>
      </c>
      <c r="J2463">
        <f>Cleaned_Data!J2463</f>
        <v>8</v>
      </c>
      <c r="K2463" t="str">
        <f t="shared" si="115"/>
        <v>2024-09</v>
      </c>
      <c r="L2463">
        <f t="shared" si="116"/>
        <v>0</v>
      </c>
    </row>
    <row r="2464" spans="1:12">
      <c r="A2464" t="s">
        <v>7150</v>
      </c>
      <c r="B2464" t="s">
        <v>7151</v>
      </c>
      <c r="C2464" t="s">
        <v>7152</v>
      </c>
      <c r="D2464" t="s">
        <v>158</v>
      </c>
      <c r="E2464" t="s">
        <v>59</v>
      </c>
      <c r="F2464" t="s">
        <v>60</v>
      </c>
      <c r="G2464" t="s">
        <v>31</v>
      </c>
      <c r="H2464">
        <f>Cleaned_Data!K2464</f>
        <v>6.6</v>
      </c>
      <c r="I2464" t="str">
        <f t="shared" si="114"/>
        <v>NO</v>
      </c>
      <c r="J2464">
        <f>Cleaned_Data!J2464</f>
        <v>4</v>
      </c>
      <c r="K2464" t="str">
        <f t="shared" si="115"/>
        <v>2024-02</v>
      </c>
      <c r="L2464">
        <f t="shared" si="116"/>
        <v>2.5999999999999996</v>
      </c>
    </row>
    <row r="2465" spans="1:12">
      <c r="A2465" t="s">
        <v>7153</v>
      </c>
      <c r="B2465" t="s">
        <v>7154</v>
      </c>
      <c r="C2465" t="s">
        <v>7155</v>
      </c>
      <c r="D2465" t="s">
        <v>15</v>
      </c>
      <c r="E2465" t="s">
        <v>28</v>
      </c>
      <c r="F2465" t="s">
        <v>41</v>
      </c>
      <c r="G2465" t="s">
        <v>31</v>
      </c>
      <c r="H2465">
        <f>Cleaned_Data!K2465</f>
        <v>3.03</v>
      </c>
      <c r="I2465" t="str">
        <f t="shared" si="114"/>
        <v>YES</v>
      </c>
      <c r="J2465">
        <f>Cleaned_Data!J2465</f>
        <v>8</v>
      </c>
      <c r="K2465" t="str">
        <f t="shared" si="115"/>
        <v>2024-05</v>
      </c>
      <c r="L2465">
        <f t="shared" si="116"/>
        <v>0</v>
      </c>
    </row>
    <row r="2466" spans="1:12">
      <c r="A2466" t="s">
        <v>7156</v>
      </c>
      <c r="B2466" t="s">
        <v>7157</v>
      </c>
      <c r="C2466" t="s">
        <v>7158</v>
      </c>
      <c r="D2466" t="s">
        <v>35</v>
      </c>
      <c r="E2466" t="s">
        <v>16</v>
      </c>
      <c r="F2466" t="s">
        <v>36</v>
      </c>
      <c r="G2466" t="s">
        <v>19</v>
      </c>
      <c r="H2466">
        <f>Cleaned_Data!K2466</f>
        <v>36</v>
      </c>
      <c r="I2466" t="str">
        <f t="shared" si="114"/>
        <v>YES</v>
      </c>
      <c r="J2466">
        <f>Cleaned_Data!J2466</f>
        <v>48</v>
      </c>
      <c r="K2466" t="str">
        <f t="shared" si="115"/>
        <v>2024-02</v>
      </c>
      <c r="L2466">
        <f t="shared" si="116"/>
        <v>0</v>
      </c>
    </row>
    <row r="2467" spans="1:12">
      <c r="A2467" t="s">
        <v>7159</v>
      </c>
      <c r="B2467" t="s">
        <v>7160</v>
      </c>
      <c r="C2467" t="s">
        <v>7161</v>
      </c>
      <c r="D2467" t="s">
        <v>23</v>
      </c>
      <c r="E2467" t="s">
        <v>59</v>
      </c>
      <c r="F2467" t="s">
        <v>60</v>
      </c>
      <c r="G2467" t="s">
        <v>19</v>
      </c>
      <c r="H2467">
        <f>Cleaned_Data!K2467</f>
        <v>5.25</v>
      </c>
      <c r="I2467" t="str">
        <f t="shared" si="114"/>
        <v>YES</v>
      </c>
      <c r="J2467">
        <f>Cleaned_Data!J2467</f>
        <v>24</v>
      </c>
      <c r="K2467" t="str">
        <f t="shared" si="115"/>
        <v>2024-03</v>
      </c>
      <c r="L2467">
        <f t="shared" si="116"/>
        <v>0</v>
      </c>
    </row>
    <row r="2468" spans="1:12">
      <c r="A2468" t="s">
        <v>7162</v>
      </c>
      <c r="B2468" t="s">
        <v>7163</v>
      </c>
      <c r="C2468" t="s">
        <v>7164</v>
      </c>
      <c r="D2468" t="s">
        <v>23</v>
      </c>
      <c r="E2468" t="s">
        <v>28</v>
      </c>
      <c r="F2468" t="s">
        <v>60</v>
      </c>
      <c r="G2468" t="s">
        <v>31</v>
      </c>
      <c r="H2468">
        <f>Cleaned_Data!K2468</f>
        <v>7.34</v>
      </c>
      <c r="I2468" t="str">
        <f t="shared" si="114"/>
        <v>YES</v>
      </c>
      <c r="J2468">
        <f>Cleaned_Data!J2468</f>
        <v>24</v>
      </c>
      <c r="K2468" t="str">
        <f t="shared" si="115"/>
        <v>2024-03</v>
      </c>
      <c r="L2468">
        <f t="shared" si="116"/>
        <v>0</v>
      </c>
    </row>
    <row r="2469" spans="1:12">
      <c r="A2469" t="s">
        <v>7165</v>
      </c>
      <c r="B2469" t="s">
        <v>7166</v>
      </c>
      <c r="C2469" t="s">
        <v>7167</v>
      </c>
      <c r="D2469" t="s">
        <v>158</v>
      </c>
      <c r="E2469" t="s">
        <v>28</v>
      </c>
      <c r="F2469" t="s">
        <v>29</v>
      </c>
      <c r="G2469" t="s">
        <v>19</v>
      </c>
      <c r="H2469">
        <f>Cleaned_Data!K2469</f>
        <v>1.39</v>
      </c>
      <c r="I2469" t="str">
        <f t="shared" si="114"/>
        <v>YES</v>
      </c>
      <c r="J2469">
        <f>Cleaned_Data!J2469</f>
        <v>4</v>
      </c>
      <c r="K2469" t="str">
        <f t="shared" si="115"/>
        <v>2024-09</v>
      </c>
      <c r="L2469">
        <f t="shared" si="116"/>
        <v>0</v>
      </c>
    </row>
    <row r="2470" spans="1:12">
      <c r="A2470" t="s">
        <v>7168</v>
      </c>
      <c r="B2470" t="s">
        <v>7169</v>
      </c>
      <c r="C2470" t="s">
        <v>7170</v>
      </c>
      <c r="D2470" t="s">
        <v>23</v>
      </c>
      <c r="E2470" t="s">
        <v>28</v>
      </c>
      <c r="F2470" t="s">
        <v>41</v>
      </c>
      <c r="G2470" t="s">
        <v>31</v>
      </c>
      <c r="H2470">
        <f>Cleaned_Data!K2470</f>
        <v>18</v>
      </c>
      <c r="I2470" t="str">
        <f t="shared" si="114"/>
        <v>YES</v>
      </c>
      <c r="J2470">
        <f>Cleaned_Data!J2470</f>
        <v>24</v>
      </c>
      <c r="K2470" t="str">
        <f t="shared" si="115"/>
        <v>2024-02</v>
      </c>
      <c r="L2470">
        <f t="shared" si="116"/>
        <v>0</v>
      </c>
    </row>
    <row r="2471" spans="1:12">
      <c r="A2471" t="s">
        <v>7171</v>
      </c>
      <c r="B2471" t="s">
        <v>7172</v>
      </c>
      <c r="C2471" t="s">
        <v>7173</v>
      </c>
      <c r="D2471" t="s">
        <v>15</v>
      </c>
      <c r="E2471" t="s">
        <v>28</v>
      </c>
      <c r="F2471" t="s">
        <v>41</v>
      </c>
      <c r="G2471" t="s">
        <v>31</v>
      </c>
      <c r="H2471">
        <f>Cleaned_Data!K2471</f>
        <v>6.5</v>
      </c>
      <c r="I2471" t="str">
        <f t="shared" si="114"/>
        <v>YES</v>
      </c>
      <c r="J2471">
        <f>Cleaned_Data!J2471</f>
        <v>8</v>
      </c>
      <c r="K2471" t="str">
        <f t="shared" si="115"/>
        <v>2024-02</v>
      </c>
      <c r="L2471">
        <f t="shared" si="116"/>
        <v>0</v>
      </c>
    </row>
    <row r="2472" spans="1:12">
      <c r="A2472" t="s">
        <v>7174</v>
      </c>
      <c r="B2472" t="s">
        <v>7175</v>
      </c>
      <c r="C2472" t="s">
        <v>7176</v>
      </c>
      <c r="D2472" t="s">
        <v>23</v>
      </c>
      <c r="E2472" t="s">
        <v>28</v>
      </c>
      <c r="F2472" t="s">
        <v>17</v>
      </c>
      <c r="G2472" t="s">
        <v>31</v>
      </c>
      <c r="H2472">
        <f>Cleaned_Data!K2472</f>
        <v>55.63</v>
      </c>
      <c r="I2472" t="str">
        <f t="shared" si="114"/>
        <v>NO</v>
      </c>
      <c r="J2472">
        <f>Cleaned_Data!J2472</f>
        <v>24</v>
      </c>
      <c r="K2472" t="str">
        <f t="shared" si="115"/>
        <v>2024-07</v>
      </c>
      <c r="L2472">
        <f t="shared" si="116"/>
        <v>31.630000000000003</v>
      </c>
    </row>
    <row r="2473" spans="1:12">
      <c r="A2473" t="s">
        <v>7177</v>
      </c>
      <c r="B2473" t="s">
        <v>7178</v>
      </c>
      <c r="C2473" t="s">
        <v>7179</v>
      </c>
      <c r="D2473" t="s">
        <v>35</v>
      </c>
      <c r="E2473" t="s">
        <v>28</v>
      </c>
      <c r="F2473" t="s">
        <v>60</v>
      </c>
      <c r="G2473" t="s">
        <v>19</v>
      </c>
      <c r="H2473">
        <f>Cleaned_Data!K2473</f>
        <v>7.6</v>
      </c>
      <c r="I2473" t="str">
        <f t="shared" si="114"/>
        <v>YES</v>
      </c>
      <c r="J2473">
        <f>Cleaned_Data!J2473</f>
        <v>48</v>
      </c>
      <c r="K2473" t="str">
        <f t="shared" si="115"/>
        <v>2024-05</v>
      </c>
      <c r="L2473">
        <f t="shared" si="116"/>
        <v>0</v>
      </c>
    </row>
    <row r="2474" spans="1:12">
      <c r="A2474" t="s">
        <v>7180</v>
      </c>
      <c r="B2474" t="s">
        <v>7181</v>
      </c>
      <c r="C2474" t="s">
        <v>7182</v>
      </c>
      <c r="D2474" t="s">
        <v>158</v>
      </c>
      <c r="E2474" t="s">
        <v>16</v>
      </c>
      <c r="F2474" t="s">
        <v>60</v>
      </c>
      <c r="G2474" t="s">
        <v>19</v>
      </c>
      <c r="H2474">
        <f>Cleaned_Data!K2474</f>
        <v>9.15</v>
      </c>
      <c r="I2474" t="str">
        <f t="shared" si="114"/>
        <v>NO</v>
      </c>
      <c r="J2474">
        <f>Cleaned_Data!J2474</f>
        <v>4</v>
      </c>
      <c r="K2474" t="str">
        <f t="shared" si="115"/>
        <v>2024-06</v>
      </c>
      <c r="L2474">
        <f t="shared" si="116"/>
        <v>5.15</v>
      </c>
    </row>
    <row r="2475" spans="1:12">
      <c r="A2475" t="s">
        <v>7183</v>
      </c>
      <c r="B2475" t="s">
        <v>7184</v>
      </c>
      <c r="C2475" t="s">
        <v>7185</v>
      </c>
      <c r="D2475" t="s">
        <v>35</v>
      </c>
      <c r="E2475" t="s">
        <v>54</v>
      </c>
      <c r="F2475" t="s">
        <v>29</v>
      </c>
      <c r="G2475" t="s">
        <v>31</v>
      </c>
      <c r="H2475">
        <f>Cleaned_Data!K2475</f>
        <v>20.03</v>
      </c>
      <c r="I2475" t="str">
        <f t="shared" si="114"/>
        <v>YES</v>
      </c>
      <c r="J2475">
        <f>Cleaned_Data!J2475</f>
        <v>48</v>
      </c>
      <c r="K2475" t="str">
        <f t="shared" si="115"/>
        <v>2024-07</v>
      </c>
      <c r="L2475">
        <f t="shared" si="116"/>
        <v>0</v>
      </c>
    </row>
    <row r="2476" spans="1:12">
      <c r="A2476" t="s">
        <v>7186</v>
      </c>
      <c r="B2476" t="s">
        <v>7187</v>
      </c>
      <c r="D2476" t="s">
        <v>23</v>
      </c>
      <c r="E2476" t="s">
        <v>28</v>
      </c>
      <c r="F2476" t="s">
        <v>17</v>
      </c>
      <c r="G2476" t="s">
        <v>46</v>
      </c>
      <c r="H2476">
        <f>Cleaned_Data!K2476</f>
        <v>0</v>
      </c>
      <c r="I2476" t="str">
        <f t="shared" si="114"/>
        <v/>
      </c>
      <c r="J2476">
        <f>Cleaned_Data!J2476</f>
        <v>24</v>
      </c>
      <c r="K2476" t="str">
        <f t="shared" si="115"/>
        <v>2024-03</v>
      </c>
      <c r="L2476">
        <f t="shared" si="116"/>
        <v>0</v>
      </c>
    </row>
    <row r="2477" spans="1:12">
      <c r="A2477" t="s">
        <v>7188</v>
      </c>
      <c r="B2477" t="s">
        <v>7189</v>
      </c>
      <c r="C2477" t="s">
        <v>7190</v>
      </c>
      <c r="D2477" t="s">
        <v>15</v>
      </c>
      <c r="E2477" t="s">
        <v>28</v>
      </c>
      <c r="F2477" t="s">
        <v>17</v>
      </c>
      <c r="G2477" t="s">
        <v>19</v>
      </c>
      <c r="H2477">
        <f>Cleaned_Data!K2477</f>
        <v>22.01</v>
      </c>
      <c r="I2477" t="str">
        <f t="shared" si="114"/>
        <v>NO</v>
      </c>
      <c r="J2477">
        <f>Cleaned_Data!J2477</f>
        <v>8</v>
      </c>
      <c r="K2477" t="str">
        <f t="shared" si="115"/>
        <v>2024-01</v>
      </c>
      <c r="L2477">
        <f t="shared" si="116"/>
        <v>14.010000000000002</v>
      </c>
    </row>
    <row r="2478" spans="1:12">
      <c r="A2478" t="s">
        <v>7191</v>
      </c>
      <c r="B2478" t="s">
        <v>7192</v>
      </c>
      <c r="C2478" t="s">
        <v>7193</v>
      </c>
      <c r="D2478" t="s">
        <v>23</v>
      </c>
      <c r="E2478" t="s">
        <v>28</v>
      </c>
      <c r="F2478" t="s">
        <v>60</v>
      </c>
      <c r="G2478" t="s">
        <v>19</v>
      </c>
      <c r="H2478">
        <f>Cleaned_Data!K2478</f>
        <v>6.71</v>
      </c>
      <c r="I2478" t="str">
        <f t="shared" si="114"/>
        <v>YES</v>
      </c>
      <c r="J2478">
        <f>Cleaned_Data!J2478</f>
        <v>24</v>
      </c>
      <c r="K2478" t="str">
        <f t="shared" si="115"/>
        <v>2024-04</v>
      </c>
      <c r="L2478">
        <f t="shared" si="116"/>
        <v>0</v>
      </c>
    </row>
    <row r="2479" spans="1:12">
      <c r="A2479" t="s">
        <v>7194</v>
      </c>
      <c r="B2479" t="s">
        <v>7195</v>
      </c>
      <c r="C2479" t="s">
        <v>7196</v>
      </c>
      <c r="D2479" t="s">
        <v>23</v>
      </c>
      <c r="E2479" t="s">
        <v>24</v>
      </c>
      <c r="F2479" t="s">
        <v>41</v>
      </c>
      <c r="G2479" t="s">
        <v>19</v>
      </c>
      <c r="H2479">
        <f>Cleaned_Data!K2479</f>
        <v>21.12</v>
      </c>
      <c r="I2479" t="str">
        <f t="shared" si="114"/>
        <v>YES</v>
      </c>
      <c r="J2479">
        <f>Cleaned_Data!J2479</f>
        <v>24</v>
      </c>
      <c r="K2479" t="str">
        <f t="shared" si="115"/>
        <v>2024-06</v>
      </c>
      <c r="L2479">
        <f t="shared" si="116"/>
        <v>0</v>
      </c>
    </row>
    <row r="2480" spans="1:12">
      <c r="A2480" t="s">
        <v>7197</v>
      </c>
      <c r="B2480" t="s">
        <v>7198</v>
      </c>
      <c r="C2480" t="s">
        <v>7199</v>
      </c>
      <c r="D2480" t="s">
        <v>35</v>
      </c>
      <c r="E2480" t="s">
        <v>59</v>
      </c>
      <c r="F2480" t="s">
        <v>60</v>
      </c>
      <c r="G2480" t="s">
        <v>19</v>
      </c>
      <c r="H2480">
        <f>Cleaned_Data!K2480</f>
        <v>39.81</v>
      </c>
      <c r="I2480" t="str">
        <f t="shared" si="114"/>
        <v>YES</v>
      </c>
      <c r="J2480">
        <f>Cleaned_Data!J2480</f>
        <v>48</v>
      </c>
      <c r="K2480" t="str">
        <f t="shared" si="115"/>
        <v>2024-08</v>
      </c>
      <c r="L2480">
        <f t="shared" si="116"/>
        <v>0</v>
      </c>
    </row>
    <row r="2481" spans="1:12">
      <c r="A2481" t="s">
        <v>7200</v>
      </c>
      <c r="B2481" t="s">
        <v>7201</v>
      </c>
      <c r="C2481" t="s">
        <v>7202</v>
      </c>
      <c r="D2481" t="s">
        <v>23</v>
      </c>
      <c r="E2481" t="s">
        <v>28</v>
      </c>
      <c r="F2481" t="s">
        <v>29</v>
      </c>
      <c r="G2481" t="s">
        <v>19</v>
      </c>
      <c r="H2481">
        <f>Cleaned_Data!K2481</f>
        <v>19.36</v>
      </c>
      <c r="I2481" t="str">
        <f t="shared" si="114"/>
        <v>YES</v>
      </c>
      <c r="J2481">
        <f>Cleaned_Data!J2481</f>
        <v>24</v>
      </c>
      <c r="K2481" t="str">
        <f t="shared" si="115"/>
        <v>2024-07</v>
      </c>
      <c r="L2481">
        <f t="shared" si="116"/>
        <v>0</v>
      </c>
    </row>
    <row r="2482" spans="1:12">
      <c r="A2482" t="s">
        <v>7203</v>
      </c>
      <c r="B2482" t="s">
        <v>7204</v>
      </c>
      <c r="C2482" t="s">
        <v>7205</v>
      </c>
      <c r="D2482" t="s">
        <v>23</v>
      </c>
      <c r="E2482" t="s">
        <v>24</v>
      </c>
      <c r="F2482" t="s">
        <v>41</v>
      </c>
      <c r="G2482" t="s">
        <v>19</v>
      </c>
      <c r="H2482">
        <f>Cleaned_Data!K2482</f>
        <v>26.2</v>
      </c>
      <c r="I2482" t="str">
        <f t="shared" si="114"/>
        <v>NO</v>
      </c>
      <c r="J2482">
        <f>Cleaned_Data!J2482</f>
        <v>24</v>
      </c>
      <c r="K2482" t="str">
        <f t="shared" si="115"/>
        <v>2024-07</v>
      </c>
      <c r="L2482">
        <f t="shared" si="116"/>
        <v>2.1999999999999993</v>
      </c>
    </row>
    <row r="2483" spans="1:12">
      <c r="A2483" t="s">
        <v>7206</v>
      </c>
      <c r="B2483" t="s">
        <v>7207</v>
      </c>
      <c r="C2483" t="s">
        <v>7208</v>
      </c>
      <c r="D2483" t="s">
        <v>23</v>
      </c>
      <c r="E2483" t="s">
        <v>54</v>
      </c>
      <c r="F2483" t="s">
        <v>36</v>
      </c>
      <c r="G2483" t="s">
        <v>31</v>
      </c>
      <c r="H2483">
        <f>Cleaned_Data!K2483</f>
        <v>63.61</v>
      </c>
      <c r="I2483" t="str">
        <f t="shared" si="114"/>
        <v>NO</v>
      </c>
      <c r="J2483">
        <f>Cleaned_Data!J2483</f>
        <v>24</v>
      </c>
      <c r="K2483" t="str">
        <f t="shared" si="115"/>
        <v>2024-11</v>
      </c>
      <c r="L2483">
        <f t="shared" si="116"/>
        <v>39.61</v>
      </c>
    </row>
    <row r="2484" spans="1:12">
      <c r="A2484" t="s">
        <v>7209</v>
      </c>
      <c r="B2484" t="s">
        <v>7210</v>
      </c>
      <c r="C2484" t="s">
        <v>7211</v>
      </c>
      <c r="D2484" t="s">
        <v>35</v>
      </c>
      <c r="E2484" t="s">
        <v>28</v>
      </c>
      <c r="F2484" t="s">
        <v>17</v>
      </c>
      <c r="G2484" t="s">
        <v>19</v>
      </c>
      <c r="H2484">
        <f>Cleaned_Data!K2484</f>
        <v>7.45</v>
      </c>
      <c r="I2484" t="str">
        <f t="shared" si="114"/>
        <v>YES</v>
      </c>
      <c r="J2484">
        <f>Cleaned_Data!J2484</f>
        <v>48</v>
      </c>
      <c r="K2484" t="str">
        <f t="shared" si="115"/>
        <v>2024-10</v>
      </c>
      <c r="L2484">
        <f t="shared" si="116"/>
        <v>0</v>
      </c>
    </row>
    <row r="2485" spans="1:12">
      <c r="A2485" t="s">
        <v>7212</v>
      </c>
      <c r="B2485" t="s">
        <v>7213</v>
      </c>
      <c r="C2485" t="s">
        <v>7214</v>
      </c>
      <c r="D2485" t="s">
        <v>23</v>
      </c>
      <c r="E2485" t="s">
        <v>16</v>
      </c>
      <c r="F2485" t="s">
        <v>29</v>
      </c>
      <c r="G2485" t="s">
        <v>19</v>
      </c>
      <c r="H2485">
        <f>Cleaned_Data!K2485</f>
        <v>10.66</v>
      </c>
      <c r="I2485" t="str">
        <f t="shared" si="114"/>
        <v>YES</v>
      </c>
      <c r="J2485">
        <f>Cleaned_Data!J2485</f>
        <v>24</v>
      </c>
      <c r="K2485" t="str">
        <f t="shared" si="115"/>
        <v>2024-08</v>
      </c>
      <c r="L2485">
        <f t="shared" si="116"/>
        <v>0</v>
      </c>
    </row>
    <row r="2486" spans="1:12">
      <c r="A2486" t="s">
        <v>7215</v>
      </c>
      <c r="B2486" t="s">
        <v>7216</v>
      </c>
      <c r="C2486" t="s">
        <v>7217</v>
      </c>
      <c r="D2486" t="s">
        <v>158</v>
      </c>
      <c r="E2486" t="s">
        <v>28</v>
      </c>
      <c r="F2486" t="s">
        <v>17</v>
      </c>
      <c r="G2486" t="s">
        <v>19</v>
      </c>
      <c r="H2486">
        <f>Cleaned_Data!K2486</f>
        <v>3.5</v>
      </c>
      <c r="I2486" t="str">
        <f t="shared" si="114"/>
        <v>YES</v>
      </c>
      <c r="J2486">
        <f>Cleaned_Data!J2486</f>
        <v>4</v>
      </c>
      <c r="K2486" t="str">
        <f t="shared" si="115"/>
        <v>2024-06</v>
      </c>
      <c r="L2486">
        <f t="shared" si="116"/>
        <v>0</v>
      </c>
    </row>
    <row r="2487" spans="1:12">
      <c r="A2487" t="s">
        <v>7218</v>
      </c>
      <c r="B2487" t="s">
        <v>7219</v>
      </c>
      <c r="C2487" t="s">
        <v>7220</v>
      </c>
      <c r="D2487" t="s">
        <v>15</v>
      </c>
      <c r="E2487" t="s">
        <v>16</v>
      </c>
      <c r="F2487" t="s">
        <v>41</v>
      </c>
      <c r="G2487" t="s">
        <v>19</v>
      </c>
      <c r="H2487">
        <f>Cleaned_Data!K2487</f>
        <v>1.71</v>
      </c>
      <c r="I2487" t="str">
        <f t="shared" si="114"/>
        <v>YES</v>
      </c>
      <c r="J2487">
        <f>Cleaned_Data!J2487</f>
        <v>8</v>
      </c>
      <c r="K2487" t="str">
        <f t="shared" si="115"/>
        <v>2024-05</v>
      </c>
      <c r="L2487">
        <f t="shared" si="116"/>
        <v>0</v>
      </c>
    </row>
    <row r="2488" spans="1:12">
      <c r="A2488" t="s">
        <v>7221</v>
      </c>
      <c r="B2488" t="s">
        <v>7222</v>
      </c>
      <c r="C2488" t="s">
        <v>7223</v>
      </c>
      <c r="D2488" t="s">
        <v>35</v>
      </c>
      <c r="E2488" t="s">
        <v>59</v>
      </c>
      <c r="F2488" t="s">
        <v>36</v>
      </c>
      <c r="G2488" t="s">
        <v>31</v>
      </c>
      <c r="H2488">
        <f>Cleaned_Data!K2488</f>
        <v>72.180000000000007</v>
      </c>
      <c r="I2488" t="str">
        <f t="shared" si="114"/>
        <v>NO</v>
      </c>
      <c r="J2488">
        <f>Cleaned_Data!J2488</f>
        <v>48</v>
      </c>
      <c r="K2488" t="str">
        <f t="shared" si="115"/>
        <v>2024-03</v>
      </c>
      <c r="L2488">
        <f t="shared" si="116"/>
        <v>24.180000000000007</v>
      </c>
    </row>
    <row r="2489" spans="1:12">
      <c r="A2489" t="s">
        <v>7224</v>
      </c>
      <c r="B2489" t="s">
        <v>7225</v>
      </c>
      <c r="C2489" t="s">
        <v>7226</v>
      </c>
      <c r="D2489" t="s">
        <v>23</v>
      </c>
      <c r="E2489" t="s">
        <v>28</v>
      </c>
      <c r="F2489" t="s">
        <v>41</v>
      </c>
      <c r="G2489" t="s">
        <v>19</v>
      </c>
      <c r="H2489">
        <f>Cleaned_Data!K2489</f>
        <v>3.75</v>
      </c>
      <c r="I2489" t="str">
        <f t="shared" si="114"/>
        <v>YES</v>
      </c>
      <c r="J2489">
        <f>Cleaned_Data!J2489</f>
        <v>24</v>
      </c>
      <c r="K2489" t="str">
        <f t="shared" si="115"/>
        <v>2024-01</v>
      </c>
      <c r="L2489">
        <f t="shared" si="116"/>
        <v>0</v>
      </c>
    </row>
    <row r="2490" spans="1:12">
      <c r="A2490" t="s">
        <v>7227</v>
      </c>
      <c r="B2490" t="s">
        <v>7228</v>
      </c>
      <c r="C2490" t="s">
        <v>7229</v>
      </c>
      <c r="D2490" t="s">
        <v>23</v>
      </c>
      <c r="E2490" t="s">
        <v>54</v>
      </c>
      <c r="F2490" t="s">
        <v>29</v>
      </c>
      <c r="G2490" t="s">
        <v>31</v>
      </c>
      <c r="H2490">
        <f>Cleaned_Data!K2490</f>
        <v>9.9700000000000006</v>
      </c>
      <c r="I2490" t="str">
        <f t="shared" si="114"/>
        <v>YES</v>
      </c>
      <c r="J2490">
        <f>Cleaned_Data!J2490</f>
        <v>24</v>
      </c>
      <c r="K2490" t="str">
        <f t="shared" si="115"/>
        <v>2024-09</v>
      </c>
      <c r="L2490">
        <f t="shared" si="116"/>
        <v>0</v>
      </c>
    </row>
    <row r="2491" spans="1:12">
      <c r="A2491" t="s">
        <v>7230</v>
      </c>
      <c r="B2491" t="s">
        <v>7231</v>
      </c>
      <c r="C2491" t="s">
        <v>7232</v>
      </c>
      <c r="D2491" t="s">
        <v>23</v>
      </c>
      <c r="E2491" t="s">
        <v>24</v>
      </c>
      <c r="F2491" t="s">
        <v>60</v>
      </c>
      <c r="G2491" t="s">
        <v>31</v>
      </c>
      <c r="H2491">
        <f>Cleaned_Data!K2491</f>
        <v>21.88</v>
      </c>
      <c r="I2491" t="str">
        <f t="shared" si="114"/>
        <v>YES</v>
      </c>
      <c r="J2491">
        <f>Cleaned_Data!J2491</f>
        <v>24</v>
      </c>
      <c r="K2491" t="str">
        <f t="shared" si="115"/>
        <v>2024-11</v>
      </c>
      <c r="L2491">
        <f t="shared" si="116"/>
        <v>0</v>
      </c>
    </row>
    <row r="2492" spans="1:12">
      <c r="A2492" t="s">
        <v>7233</v>
      </c>
      <c r="B2492" t="s">
        <v>7234</v>
      </c>
      <c r="C2492" t="s">
        <v>7235</v>
      </c>
      <c r="D2492" t="s">
        <v>23</v>
      </c>
      <c r="E2492" t="s">
        <v>28</v>
      </c>
      <c r="F2492" t="s">
        <v>41</v>
      </c>
      <c r="G2492" t="s">
        <v>31</v>
      </c>
      <c r="H2492">
        <f>Cleaned_Data!K2492</f>
        <v>12.08</v>
      </c>
      <c r="I2492" t="str">
        <f t="shared" si="114"/>
        <v>YES</v>
      </c>
      <c r="J2492">
        <f>Cleaned_Data!J2492</f>
        <v>24</v>
      </c>
      <c r="K2492" t="str">
        <f t="shared" si="115"/>
        <v>2024-02</v>
      </c>
      <c r="L2492">
        <f t="shared" si="116"/>
        <v>0</v>
      </c>
    </row>
    <row r="2493" spans="1:12">
      <c r="A2493" t="s">
        <v>7236</v>
      </c>
      <c r="B2493" t="s">
        <v>7237</v>
      </c>
      <c r="C2493" t="s">
        <v>7238</v>
      </c>
      <c r="D2493" t="s">
        <v>35</v>
      </c>
      <c r="E2493" t="s">
        <v>54</v>
      </c>
      <c r="F2493" t="s">
        <v>17</v>
      </c>
      <c r="G2493" t="s">
        <v>19</v>
      </c>
      <c r="H2493">
        <f>Cleaned_Data!K2493</f>
        <v>25.04</v>
      </c>
      <c r="I2493" t="str">
        <f t="shared" si="114"/>
        <v>YES</v>
      </c>
      <c r="J2493">
        <f>Cleaned_Data!J2493</f>
        <v>48</v>
      </c>
      <c r="K2493" t="str">
        <f t="shared" si="115"/>
        <v>2024-04</v>
      </c>
      <c r="L2493">
        <f t="shared" si="116"/>
        <v>0</v>
      </c>
    </row>
    <row r="2494" spans="1:12">
      <c r="A2494" t="s">
        <v>7239</v>
      </c>
      <c r="B2494" t="s">
        <v>7240</v>
      </c>
      <c r="C2494" t="s">
        <v>7241</v>
      </c>
      <c r="D2494" t="s">
        <v>15</v>
      </c>
      <c r="E2494" t="s">
        <v>24</v>
      </c>
      <c r="F2494" t="s">
        <v>17</v>
      </c>
      <c r="G2494" t="s">
        <v>19</v>
      </c>
      <c r="H2494">
        <f>Cleaned_Data!K2494</f>
        <v>6.43</v>
      </c>
      <c r="I2494" t="str">
        <f t="shared" si="114"/>
        <v>YES</v>
      </c>
      <c r="J2494">
        <f>Cleaned_Data!J2494</f>
        <v>8</v>
      </c>
      <c r="K2494" t="str">
        <f t="shared" si="115"/>
        <v>2024-02</v>
      </c>
      <c r="L2494">
        <f t="shared" si="116"/>
        <v>0</v>
      </c>
    </row>
    <row r="2495" spans="1:12">
      <c r="A2495" t="s">
        <v>7242</v>
      </c>
      <c r="B2495" t="s">
        <v>7243</v>
      </c>
      <c r="C2495" t="s">
        <v>7244</v>
      </c>
      <c r="D2495" t="s">
        <v>15</v>
      </c>
      <c r="E2495" t="s">
        <v>28</v>
      </c>
      <c r="F2495" t="s">
        <v>36</v>
      </c>
      <c r="G2495" t="s">
        <v>19</v>
      </c>
      <c r="H2495">
        <f>Cleaned_Data!K2495</f>
        <v>0.88</v>
      </c>
      <c r="I2495" t="str">
        <f t="shared" si="114"/>
        <v>YES</v>
      </c>
      <c r="J2495">
        <f>Cleaned_Data!J2495</f>
        <v>8</v>
      </c>
      <c r="K2495" t="str">
        <f t="shared" si="115"/>
        <v>2024-03</v>
      </c>
      <c r="L2495">
        <f t="shared" si="116"/>
        <v>0</v>
      </c>
    </row>
    <row r="2496" spans="1:12">
      <c r="A2496" t="s">
        <v>7245</v>
      </c>
      <c r="B2496" t="s">
        <v>7246</v>
      </c>
      <c r="C2496" t="s">
        <v>7247</v>
      </c>
      <c r="D2496" t="s">
        <v>23</v>
      </c>
      <c r="E2496" t="s">
        <v>24</v>
      </c>
      <c r="F2496" t="s">
        <v>17</v>
      </c>
      <c r="G2496" t="s">
        <v>19</v>
      </c>
      <c r="H2496">
        <f>Cleaned_Data!K2496</f>
        <v>18.57</v>
      </c>
      <c r="I2496" t="str">
        <f t="shared" si="114"/>
        <v>YES</v>
      </c>
      <c r="J2496">
        <f>Cleaned_Data!J2496</f>
        <v>24</v>
      </c>
      <c r="K2496" t="str">
        <f t="shared" si="115"/>
        <v>2024-06</v>
      </c>
      <c r="L2496">
        <f t="shared" si="116"/>
        <v>0</v>
      </c>
    </row>
    <row r="2497" spans="1:12">
      <c r="A2497" t="s">
        <v>7248</v>
      </c>
      <c r="B2497" t="s">
        <v>7249</v>
      </c>
      <c r="C2497" t="s">
        <v>7250</v>
      </c>
      <c r="D2497" t="s">
        <v>23</v>
      </c>
      <c r="E2497" t="s">
        <v>24</v>
      </c>
      <c r="F2497" t="s">
        <v>60</v>
      </c>
      <c r="G2497" t="s">
        <v>19</v>
      </c>
      <c r="H2497">
        <f>Cleaned_Data!K2497</f>
        <v>52.5</v>
      </c>
      <c r="I2497" t="str">
        <f t="shared" si="114"/>
        <v>NO</v>
      </c>
      <c r="J2497">
        <f>Cleaned_Data!J2497</f>
        <v>24</v>
      </c>
      <c r="K2497" t="str">
        <f t="shared" si="115"/>
        <v>2024-11</v>
      </c>
      <c r="L2497">
        <f t="shared" si="116"/>
        <v>28.5</v>
      </c>
    </row>
    <row r="2498" spans="1:12">
      <c r="A2498" t="s">
        <v>7251</v>
      </c>
      <c r="B2498" t="s">
        <v>7252</v>
      </c>
      <c r="C2498" t="s">
        <v>7253</v>
      </c>
      <c r="D2498" t="s">
        <v>23</v>
      </c>
      <c r="E2498" t="s">
        <v>28</v>
      </c>
      <c r="F2498" t="s">
        <v>36</v>
      </c>
      <c r="G2498" t="s">
        <v>19</v>
      </c>
      <c r="H2498">
        <f>Cleaned_Data!K2498</f>
        <v>21.89</v>
      </c>
      <c r="I2498" t="str">
        <f t="shared" ref="I2498:I2561" si="117">IF(OR(G2498="Resolved", G2498="Closed"), IF(AND(H2498&lt;&gt;"", H2498&lt;=J2498), "YES", "NO"), "")</f>
        <v>YES</v>
      </c>
      <c r="J2498">
        <f>Cleaned_Data!J2498</f>
        <v>24</v>
      </c>
      <c r="K2498" t="str">
        <f t="shared" ref="K2498:K2561" si="118">LEFT(B2498, 7)</f>
        <v>2024-06</v>
      </c>
      <c r="L2498">
        <f t="shared" ref="L2498:L2561" si="119">IF(I2498="NO", H2498-J2498, 0)</f>
        <v>0</v>
      </c>
    </row>
    <row r="2499" spans="1:12">
      <c r="A2499" t="s">
        <v>7254</v>
      </c>
      <c r="B2499" t="s">
        <v>7255</v>
      </c>
      <c r="C2499" t="s">
        <v>7256</v>
      </c>
      <c r="D2499" t="s">
        <v>158</v>
      </c>
      <c r="E2499" t="s">
        <v>28</v>
      </c>
      <c r="F2499" t="s">
        <v>60</v>
      </c>
      <c r="G2499" t="s">
        <v>19</v>
      </c>
      <c r="H2499">
        <f>Cleaned_Data!K2499</f>
        <v>0.52</v>
      </c>
      <c r="I2499" t="str">
        <f t="shared" si="117"/>
        <v>YES</v>
      </c>
      <c r="J2499">
        <f>Cleaned_Data!J2499</f>
        <v>4</v>
      </c>
      <c r="K2499" t="str">
        <f t="shared" si="118"/>
        <v>2024-01</v>
      </c>
      <c r="L2499">
        <f t="shared" si="119"/>
        <v>0</v>
      </c>
    </row>
    <row r="2500" spans="1:12">
      <c r="A2500" t="s">
        <v>7257</v>
      </c>
      <c r="B2500" t="s">
        <v>7258</v>
      </c>
      <c r="C2500" t="s">
        <v>7259</v>
      </c>
      <c r="D2500" t="s">
        <v>158</v>
      </c>
      <c r="E2500" t="s">
        <v>28</v>
      </c>
      <c r="F2500" t="s">
        <v>41</v>
      </c>
      <c r="G2500" t="s">
        <v>19</v>
      </c>
      <c r="H2500">
        <f>Cleaned_Data!K2500</f>
        <v>3.41</v>
      </c>
      <c r="I2500" t="str">
        <f t="shared" si="117"/>
        <v>YES</v>
      </c>
      <c r="J2500">
        <f>Cleaned_Data!J2500</f>
        <v>4</v>
      </c>
      <c r="K2500" t="str">
        <f t="shared" si="118"/>
        <v>2024-03</v>
      </c>
      <c r="L2500">
        <f t="shared" si="119"/>
        <v>0</v>
      </c>
    </row>
    <row r="2501" spans="1:12">
      <c r="A2501" t="s">
        <v>7260</v>
      </c>
      <c r="B2501" t="s">
        <v>7261</v>
      </c>
      <c r="C2501" t="s">
        <v>7262</v>
      </c>
      <c r="D2501" t="s">
        <v>15</v>
      </c>
      <c r="E2501" t="s">
        <v>24</v>
      </c>
      <c r="F2501" t="s">
        <v>29</v>
      </c>
      <c r="G2501" t="s">
        <v>31</v>
      </c>
      <c r="H2501">
        <f>Cleaned_Data!K2501</f>
        <v>2.7</v>
      </c>
      <c r="I2501" t="str">
        <f t="shared" si="117"/>
        <v>YES</v>
      </c>
      <c r="J2501">
        <f>Cleaned_Data!J2501</f>
        <v>8</v>
      </c>
      <c r="K2501" t="str">
        <f t="shared" si="118"/>
        <v>2024-07</v>
      </c>
      <c r="L2501">
        <f t="shared" si="119"/>
        <v>0</v>
      </c>
    </row>
    <row r="2502" spans="1:12">
      <c r="A2502" t="s">
        <v>7263</v>
      </c>
      <c r="B2502" t="s">
        <v>7264</v>
      </c>
      <c r="C2502" t="s">
        <v>7265</v>
      </c>
      <c r="D2502" t="s">
        <v>35</v>
      </c>
      <c r="E2502" t="s">
        <v>24</v>
      </c>
      <c r="F2502" t="s">
        <v>17</v>
      </c>
      <c r="G2502" t="s">
        <v>31</v>
      </c>
      <c r="H2502">
        <f>Cleaned_Data!K2502</f>
        <v>94.76</v>
      </c>
      <c r="I2502" t="str">
        <f t="shared" si="117"/>
        <v>NO</v>
      </c>
      <c r="J2502">
        <f>Cleaned_Data!J2502</f>
        <v>48</v>
      </c>
      <c r="K2502" t="str">
        <f t="shared" si="118"/>
        <v>2024-02</v>
      </c>
      <c r="L2502">
        <f t="shared" si="119"/>
        <v>46.760000000000005</v>
      </c>
    </row>
    <row r="2503" spans="1:12">
      <c r="A2503" t="s">
        <v>7266</v>
      </c>
      <c r="B2503" t="s">
        <v>7267</v>
      </c>
      <c r="C2503" t="s">
        <v>7268</v>
      </c>
      <c r="D2503" t="s">
        <v>15</v>
      </c>
      <c r="E2503" t="s">
        <v>28</v>
      </c>
      <c r="F2503" t="s">
        <v>17</v>
      </c>
      <c r="G2503" t="s">
        <v>31</v>
      </c>
      <c r="H2503">
        <f>Cleaned_Data!K2503</f>
        <v>6.15</v>
      </c>
      <c r="I2503" t="str">
        <f t="shared" si="117"/>
        <v>YES</v>
      </c>
      <c r="J2503">
        <f>Cleaned_Data!J2503</f>
        <v>8</v>
      </c>
      <c r="K2503" t="str">
        <f t="shared" si="118"/>
        <v>2024-04</v>
      </c>
      <c r="L2503">
        <f t="shared" si="119"/>
        <v>0</v>
      </c>
    </row>
    <row r="2504" spans="1:12">
      <c r="A2504" t="s">
        <v>7269</v>
      </c>
      <c r="B2504" t="s">
        <v>7270</v>
      </c>
      <c r="C2504" t="s">
        <v>7271</v>
      </c>
      <c r="D2504" t="s">
        <v>23</v>
      </c>
      <c r="E2504" t="s">
        <v>24</v>
      </c>
      <c r="F2504" t="s">
        <v>41</v>
      </c>
      <c r="G2504" t="s">
        <v>19</v>
      </c>
      <c r="H2504">
        <f>Cleaned_Data!K2504</f>
        <v>20.99</v>
      </c>
      <c r="I2504" t="str">
        <f t="shared" si="117"/>
        <v>YES</v>
      </c>
      <c r="J2504">
        <f>Cleaned_Data!J2504</f>
        <v>24</v>
      </c>
      <c r="K2504" t="str">
        <f t="shared" si="118"/>
        <v>2024-03</v>
      </c>
      <c r="L2504">
        <f t="shared" si="119"/>
        <v>0</v>
      </c>
    </row>
    <row r="2505" spans="1:12">
      <c r="A2505" t="s">
        <v>7272</v>
      </c>
      <c r="B2505" t="s">
        <v>7273</v>
      </c>
      <c r="C2505" t="s">
        <v>7274</v>
      </c>
      <c r="D2505" t="s">
        <v>15</v>
      </c>
      <c r="E2505" t="s">
        <v>16</v>
      </c>
      <c r="F2505" t="s">
        <v>36</v>
      </c>
      <c r="G2505" t="s">
        <v>19</v>
      </c>
      <c r="H2505">
        <f>Cleaned_Data!K2505</f>
        <v>3.83</v>
      </c>
      <c r="I2505" t="str">
        <f t="shared" si="117"/>
        <v>YES</v>
      </c>
      <c r="J2505">
        <f>Cleaned_Data!J2505</f>
        <v>8</v>
      </c>
      <c r="K2505" t="str">
        <f t="shared" si="118"/>
        <v>2024-02</v>
      </c>
      <c r="L2505">
        <f t="shared" si="119"/>
        <v>0</v>
      </c>
    </row>
    <row r="2506" spans="1:12">
      <c r="A2506" t="s">
        <v>7275</v>
      </c>
      <c r="B2506" t="s">
        <v>7276</v>
      </c>
      <c r="C2506" t="s">
        <v>7277</v>
      </c>
      <c r="D2506" t="s">
        <v>15</v>
      </c>
      <c r="E2506" t="s">
        <v>54</v>
      </c>
      <c r="F2506" t="s">
        <v>17</v>
      </c>
      <c r="G2506" t="s">
        <v>19</v>
      </c>
      <c r="H2506">
        <f>Cleaned_Data!K2506</f>
        <v>3.2</v>
      </c>
      <c r="I2506" t="str">
        <f t="shared" si="117"/>
        <v>YES</v>
      </c>
      <c r="J2506">
        <f>Cleaned_Data!J2506</f>
        <v>8</v>
      </c>
      <c r="K2506" t="str">
        <f t="shared" si="118"/>
        <v>2024-12</v>
      </c>
      <c r="L2506">
        <f t="shared" si="119"/>
        <v>0</v>
      </c>
    </row>
    <row r="2507" spans="1:12">
      <c r="A2507" t="s">
        <v>7278</v>
      </c>
      <c r="B2507" t="s">
        <v>7279</v>
      </c>
      <c r="C2507" t="s">
        <v>7280</v>
      </c>
      <c r="D2507" t="s">
        <v>15</v>
      </c>
      <c r="E2507" t="s">
        <v>28</v>
      </c>
      <c r="F2507" t="s">
        <v>41</v>
      </c>
      <c r="G2507" t="s">
        <v>31</v>
      </c>
      <c r="H2507">
        <f>Cleaned_Data!K2507</f>
        <v>0.96</v>
      </c>
      <c r="I2507" t="str">
        <f t="shared" si="117"/>
        <v>YES</v>
      </c>
      <c r="J2507">
        <f>Cleaned_Data!J2507</f>
        <v>8</v>
      </c>
      <c r="K2507" t="str">
        <f t="shared" si="118"/>
        <v>2024-12</v>
      </c>
      <c r="L2507">
        <f t="shared" si="119"/>
        <v>0</v>
      </c>
    </row>
    <row r="2508" spans="1:12">
      <c r="A2508" t="s">
        <v>7281</v>
      </c>
      <c r="B2508" t="s">
        <v>7282</v>
      </c>
      <c r="C2508" t="s">
        <v>7283</v>
      </c>
      <c r="D2508" t="s">
        <v>15</v>
      </c>
      <c r="E2508" t="s">
        <v>28</v>
      </c>
      <c r="F2508" t="s">
        <v>29</v>
      </c>
      <c r="G2508" t="s">
        <v>19</v>
      </c>
      <c r="H2508">
        <f>Cleaned_Data!K2508</f>
        <v>1.05</v>
      </c>
      <c r="I2508" t="str">
        <f t="shared" si="117"/>
        <v>YES</v>
      </c>
      <c r="J2508">
        <f>Cleaned_Data!J2508</f>
        <v>8</v>
      </c>
      <c r="K2508" t="str">
        <f t="shared" si="118"/>
        <v>2024-02</v>
      </c>
      <c r="L2508">
        <f t="shared" si="119"/>
        <v>0</v>
      </c>
    </row>
    <row r="2509" spans="1:12">
      <c r="A2509" t="s">
        <v>7284</v>
      </c>
      <c r="B2509" t="s">
        <v>7285</v>
      </c>
      <c r="D2509" t="s">
        <v>23</v>
      </c>
      <c r="E2509" t="s">
        <v>28</v>
      </c>
      <c r="F2509" t="s">
        <v>60</v>
      </c>
      <c r="G2509" t="s">
        <v>63</v>
      </c>
      <c r="H2509">
        <f>Cleaned_Data!K2509</f>
        <v>0</v>
      </c>
      <c r="I2509" t="str">
        <f t="shared" si="117"/>
        <v/>
      </c>
      <c r="J2509">
        <f>Cleaned_Data!J2509</f>
        <v>24</v>
      </c>
      <c r="K2509" t="str">
        <f t="shared" si="118"/>
        <v>2024-08</v>
      </c>
      <c r="L2509">
        <f t="shared" si="119"/>
        <v>0</v>
      </c>
    </row>
    <row r="2510" spans="1:12">
      <c r="A2510" t="s">
        <v>7286</v>
      </c>
      <c r="B2510" t="s">
        <v>7287</v>
      </c>
      <c r="C2510" t="s">
        <v>7288</v>
      </c>
      <c r="D2510" t="s">
        <v>15</v>
      </c>
      <c r="E2510" t="s">
        <v>28</v>
      </c>
      <c r="F2510" t="s">
        <v>41</v>
      </c>
      <c r="G2510" t="s">
        <v>19</v>
      </c>
      <c r="H2510">
        <f>Cleaned_Data!K2510</f>
        <v>4.4400000000000004</v>
      </c>
      <c r="I2510" t="str">
        <f t="shared" si="117"/>
        <v>YES</v>
      </c>
      <c r="J2510">
        <f>Cleaned_Data!J2510</f>
        <v>8</v>
      </c>
      <c r="K2510" t="str">
        <f t="shared" si="118"/>
        <v>2024-02</v>
      </c>
      <c r="L2510">
        <f t="shared" si="119"/>
        <v>0</v>
      </c>
    </row>
    <row r="2511" spans="1:12">
      <c r="A2511" t="s">
        <v>7289</v>
      </c>
      <c r="B2511" t="s">
        <v>7290</v>
      </c>
      <c r="C2511" t="s">
        <v>7291</v>
      </c>
      <c r="D2511" t="s">
        <v>23</v>
      </c>
      <c r="E2511" t="s">
        <v>28</v>
      </c>
      <c r="F2511" t="s">
        <v>60</v>
      </c>
      <c r="G2511" t="s">
        <v>19</v>
      </c>
      <c r="H2511">
        <f>Cleaned_Data!K2511</f>
        <v>10.14</v>
      </c>
      <c r="I2511" t="str">
        <f t="shared" si="117"/>
        <v>YES</v>
      </c>
      <c r="J2511">
        <f>Cleaned_Data!J2511</f>
        <v>24</v>
      </c>
      <c r="K2511" t="str">
        <f t="shared" si="118"/>
        <v>2024-07</v>
      </c>
      <c r="L2511">
        <f t="shared" si="119"/>
        <v>0</v>
      </c>
    </row>
    <row r="2512" spans="1:12">
      <c r="A2512" t="s">
        <v>7292</v>
      </c>
      <c r="B2512" t="s">
        <v>7293</v>
      </c>
      <c r="C2512" t="s">
        <v>7294</v>
      </c>
      <c r="D2512" t="s">
        <v>23</v>
      </c>
      <c r="E2512" t="s">
        <v>28</v>
      </c>
      <c r="F2512" t="s">
        <v>41</v>
      </c>
      <c r="G2512" t="s">
        <v>19</v>
      </c>
      <c r="H2512">
        <f>Cleaned_Data!K2512</f>
        <v>11.34</v>
      </c>
      <c r="I2512" t="str">
        <f t="shared" si="117"/>
        <v>YES</v>
      </c>
      <c r="J2512">
        <f>Cleaned_Data!J2512</f>
        <v>24</v>
      </c>
      <c r="K2512" t="str">
        <f t="shared" si="118"/>
        <v>2024-01</v>
      </c>
      <c r="L2512">
        <f t="shared" si="119"/>
        <v>0</v>
      </c>
    </row>
    <row r="2513" spans="1:12">
      <c r="A2513" t="s">
        <v>7295</v>
      </c>
      <c r="B2513" t="s">
        <v>7296</v>
      </c>
      <c r="C2513" t="s">
        <v>7297</v>
      </c>
      <c r="D2513" t="s">
        <v>35</v>
      </c>
      <c r="E2513" t="s">
        <v>24</v>
      </c>
      <c r="F2513" t="s">
        <v>36</v>
      </c>
      <c r="G2513" t="s">
        <v>19</v>
      </c>
      <c r="H2513">
        <f>Cleaned_Data!K2513</f>
        <v>62.63</v>
      </c>
      <c r="I2513" t="str">
        <f t="shared" si="117"/>
        <v>NO</v>
      </c>
      <c r="J2513">
        <f>Cleaned_Data!J2513</f>
        <v>48</v>
      </c>
      <c r="K2513" t="str">
        <f t="shared" si="118"/>
        <v>2024-02</v>
      </c>
      <c r="L2513">
        <f t="shared" si="119"/>
        <v>14.630000000000003</v>
      </c>
    </row>
    <row r="2514" spans="1:12">
      <c r="A2514" t="s">
        <v>7298</v>
      </c>
      <c r="B2514" t="s">
        <v>7299</v>
      </c>
      <c r="C2514" t="s">
        <v>7300</v>
      </c>
      <c r="D2514" t="s">
        <v>158</v>
      </c>
      <c r="E2514" t="s">
        <v>54</v>
      </c>
      <c r="F2514" t="s">
        <v>60</v>
      </c>
      <c r="G2514" t="s">
        <v>19</v>
      </c>
      <c r="H2514">
        <f>Cleaned_Data!K2514</f>
        <v>9.08</v>
      </c>
      <c r="I2514" t="str">
        <f t="shared" si="117"/>
        <v>NO</v>
      </c>
      <c r="J2514">
        <f>Cleaned_Data!J2514</f>
        <v>4</v>
      </c>
      <c r="K2514" t="str">
        <f t="shared" si="118"/>
        <v>2024-01</v>
      </c>
      <c r="L2514">
        <f t="shared" si="119"/>
        <v>5.08</v>
      </c>
    </row>
    <row r="2515" spans="1:12">
      <c r="A2515" t="s">
        <v>7301</v>
      </c>
      <c r="B2515" t="s">
        <v>7302</v>
      </c>
      <c r="C2515" t="s">
        <v>7303</v>
      </c>
      <c r="D2515" t="s">
        <v>15</v>
      </c>
      <c r="E2515" t="s">
        <v>28</v>
      </c>
      <c r="F2515" t="s">
        <v>60</v>
      </c>
      <c r="G2515" t="s">
        <v>19</v>
      </c>
      <c r="H2515">
        <f>Cleaned_Data!K2515</f>
        <v>7.22</v>
      </c>
      <c r="I2515" t="str">
        <f t="shared" si="117"/>
        <v>YES</v>
      </c>
      <c r="J2515">
        <f>Cleaned_Data!J2515</f>
        <v>8</v>
      </c>
      <c r="K2515" t="str">
        <f t="shared" si="118"/>
        <v>2024-11</v>
      </c>
      <c r="L2515">
        <f t="shared" si="119"/>
        <v>0</v>
      </c>
    </row>
    <row r="2516" spans="1:12">
      <c r="A2516" t="s">
        <v>7304</v>
      </c>
      <c r="B2516" t="s">
        <v>7305</v>
      </c>
      <c r="C2516" t="s">
        <v>7306</v>
      </c>
      <c r="D2516" t="s">
        <v>15</v>
      </c>
      <c r="E2516" t="s">
        <v>54</v>
      </c>
      <c r="F2516" t="s">
        <v>60</v>
      </c>
      <c r="G2516" t="s">
        <v>19</v>
      </c>
      <c r="H2516">
        <f>Cleaned_Data!K2516</f>
        <v>1.81</v>
      </c>
      <c r="I2516" t="str">
        <f t="shared" si="117"/>
        <v>YES</v>
      </c>
      <c r="J2516">
        <f>Cleaned_Data!J2516</f>
        <v>8</v>
      </c>
      <c r="K2516" t="str">
        <f t="shared" si="118"/>
        <v>2024-03</v>
      </c>
      <c r="L2516">
        <f t="shared" si="119"/>
        <v>0</v>
      </c>
    </row>
    <row r="2517" spans="1:12">
      <c r="A2517" t="s">
        <v>7307</v>
      </c>
      <c r="B2517" t="s">
        <v>7308</v>
      </c>
      <c r="D2517" t="s">
        <v>158</v>
      </c>
      <c r="E2517" t="s">
        <v>54</v>
      </c>
      <c r="F2517" t="s">
        <v>41</v>
      </c>
      <c r="G2517" t="s">
        <v>63</v>
      </c>
      <c r="H2517">
        <f>Cleaned_Data!K2517</f>
        <v>0</v>
      </c>
      <c r="I2517" t="str">
        <f t="shared" si="117"/>
        <v/>
      </c>
      <c r="J2517">
        <f>Cleaned_Data!J2517</f>
        <v>4</v>
      </c>
      <c r="K2517" t="str">
        <f t="shared" si="118"/>
        <v>2024-03</v>
      </c>
      <c r="L2517">
        <f t="shared" si="119"/>
        <v>0</v>
      </c>
    </row>
    <row r="2518" spans="1:12">
      <c r="A2518" t="s">
        <v>7309</v>
      </c>
      <c r="B2518" t="s">
        <v>7310</v>
      </c>
      <c r="C2518" t="s">
        <v>7311</v>
      </c>
      <c r="D2518" t="s">
        <v>35</v>
      </c>
      <c r="E2518" t="s">
        <v>28</v>
      </c>
      <c r="F2518" t="s">
        <v>29</v>
      </c>
      <c r="G2518" t="s">
        <v>31</v>
      </c>
      <c r="H2518">
        <f>Cleaned_Data!K2518</f>
        <v>4.88</v>
      </c>
      <c r="I2518" t="str">
        <f t="shared" si="117"/>
        <v>YES</v>
      </c>
      <c r="J2518">
        <f>Cleaned_Data!J2518</f>
        <v>48</v>
      </c>
      <c r="K2518" t="str">
        <f t="shared" si="118"/>
        <v>2024-02</v>
      </c>
      <c r="L2518">
        <f t="shared" si="119"/>
        <v>0</v>
      </c>
    </row>
    <row r="2519" spans="1:12">
      <c r="A2519" t="s">
        <v>7312</v>
      </c>
      <c r="B2519" t="s">
        <v>7313</v>
      </c>
      <c r="C2519" t="s">
        <v>7314</v>
      </c>
      <c r="D2519" t="s">
        <v>23</v>
      </c>
      <c r="E2519" t="s">
        <v>28</v>
      </c>
      <c r="F2519" t="s">
        <v>29</v>
      </c>
      <c r="G2519" t="s">
        <v>31</v>
      </c>
      <c r="H2519">
        <f>Cleaned_Data!K2519</f>
        <v>7.28</v>
      </c>
      <c r="I2519" t="str">
        <f t="shared" si="117"/>
        <v>YES</v>
      </c>
      <c r="J2519">
        <f>Cleaned_Data!J2519</f>
        <v>24</v>
      </c>
      <c r="K2519" t="str">
        <f t="shared" si="118"/>
        <v>2024-08</v>
      </c>
      <c r="L2519">
        <f t="shared" si="119"/>
        <v>0</v>
      </c>
    </row>
    <row r="2520" spans="1:12">
      <c r="A2520" t="s">
        <v>7315</v>
      </c>
      <c r="B2520" t="s">
        <v>7316</v>
      </c>
      <c r="C2520" t="s">
        <v>7317</v>
      </c>
      <c r="D2520" t="s">
        <v>158</v>
      </c>
      <c r="E2520" t="s">
        <v>28</v>
      </c>
      <c r="F2520" t="s">
        <v>60</v>
      </c>
      <c r="G2520" t="s">
        <v>19</v>
      </c>
      <c r="H2520">
        <f>Cleaned_Data!K2520</f>
        <v>3.11</v>
      </c>
      <c r="I2520" t="str">
        <f t="shared" si="117"/>
        <v>YES</v>
      </c>
      <c r="J2520">
        <f>Cleaned_Data!J2520</f>
        <v>4</v>
      </c>
      <c r="K2520" t="str">
        <f t="shared" si="118"/>
        <v>2024-01</v>
      </c>
      <c r="L2520">
        <f t="shared" si="119"/>
        <v>0</v>
      </c>
    </row>
    <row r="2521" spans="1:12">
      <c r="A2521" t="s">
        <v>7318</v>
      </c>
      <c r="B2521" t="s">
        <v>7319</v>
      </c>
      <c r="C2521" t="s">
        <v>7320</v>
      </c>
      <c r="D2521" t="s">
        <v>35</v>
      </c>
      <c r="E2521" t="s">
        <v>28</v>
      </c>
      <c r="F2521" t="s">
        <v>17</v>
      </c>
      <c r="G2521" t="s">
        <v>19</v>
      </c>
      <c r="H2521">
        <f>Cleaned_Data!K2521</f>
        <v>42.9</v>
      </c>
      <c r="I2521" t="str">
        <f t="shared" si="117"/>
        <v>YES</v>
      </c>
      <c r="J2521">
        <f>Cleaned_Data!J2521</f>
        <v>48</v>
      </c>
      <c r="K2521" t="str">
        <f t="shared" si="118"/>
        <v>2024-11</v>
      </c>
      <c r="L2521">
        <f t="shared" si="119"/>
        <v>0</v>
      </c>
    </row>
    <row r="2522" spans="1:12">
      <c r="A2522" t="s">
        <v>7321</v>
      </c>
      <c r="B2522" t="s">
        <v>7322</v>
      </c>
      <c r="C2522" t="s">
        <v>7323</v>
      </c>
      <c r="D2522" t="s">
        <v>23</v>
      </c>
      <c r="E2522" t="s">
        <v>59</v>
      </c>
      <c r="F2522" t="s">
        <v>60</v>
      </c>
      <c r="G2522" t="s">
        <v>19</v>
      </c>
      <c r="H2522">
        <f>Cleaned_Data!K2522</f>
        <v>3.31</v>
      </c>
      <c r="I2522" t="str">
        <f t="shared" si="117"/>
        <v>YES</v>
      </c>
      <c r="J2522">
        <f>Cleaned_Data!J2522</f>
        <v>24</v>
      </c>
      <c r="K2522" t="str">
        <f t="shared" si="118"/>
        <v>2024-08</v>
      </c>
      <c r="L2522">
        <f t="shared" si="119"/>
        <v>0</v>
      </c>
    </row>
    <row r="2523" spans="1:12">
      <c r="A2523" t="s">
        <v>7324</v>
      </c>
      <c r="B2523" t="s">
        <v>7325</v>
      </c>
      <c r="C2523" t="s">
        <v>7326</v>
      </c>
      <c r="D2523" t="s">
        <v>23</v>
      </c>
      <c r="E2523" t="s">
        <v>28</v>
      </c>
      <c r="F2523" t="s">
        <v>36</v>
      </c>
      <c r="G2523" t="s">
        <v>19</v>
      </c>
      <c r="H2523">
        <f>Cleaned_Data!K2523</f>
        <v>43.38</v>
      </c>
      <c r="I2523" t="str">
        <f t="shared" si="117"/>
        <v>NO</v>
      </c>
      <c r="J2523">
        <f>Cleaned_Data!J2523</f>
        <v>24</v>
      </c>
      <c r="K2523" t="str">
        <f t="shared" si="118"/>
        <v>2024-11</v>
      </c>
      <c r="L2523">
        <f t="shared" si="119"/>
        <v>19.380000000000003</v>
      </c>
    </row>
    <row r="2524" spans="1:12">
      <c r="A2524" t="s">
        <v>7327</v>
      </c>
      <c r="B2524" t="s">
        <v>7328</v>
      </c>
      <c r="C2524" t="s">
        <v>7329</v>
      </c>
      <c r="D2524" t="s">
        <v>35</v>
      </c>
      <c r="E2524" t="s">
        <v>16</v>
      </c>
      <c r="F2524" t="s">
        <v>60</v>
      </c>
      <c r="G2524" t="s">
        <v>19</v>
      </c>
      <c r="H2524">
        <f>Cleaned_Data!K2524</f>
        <v>22.53</v>
      </c>
      <c r="I2524" t="str">
        <f t="shared" si="117"/>
        <v>YES</v>
      </c>
      <c r="J2524">
        <f>Cleaned_Data!J2524</f>
        <v>48</v>
      </c>
      <c r="K2524" t="str">
        <f t="shared" si="118"/>
        <v>2024-01</v>
      </c>
      <c r="L2524">
        <f t="shared" si="119"/>
        <v>0</v>
      </c>
    </row>
    <row r="2525" spans="1:12">
      <c r="A2525" t="s">
        <v>7330</v>
      </c>
      <c r="B2525" t="s">
        <v>7331</v>
      </c>
      <c r="C2525" t="s">
        <v>7332</v>
      </c>
      <c r="D2525" t="s">
        <v>35</v>
      </c>
      <c r="E2525" t="s">
        <v>59</v>
      </c>
      <c r="F2525" t="s">
        <v>36</v>
      </c>
      <c r="G2525" t="s">
        <v>19</v>
      </c>
      <c r="H2525">
        <f>Cleaned_Data!K2525</f>
        <v>8.57</v>
      </c>
      <c r="I2525" t="str">
        <f t="shared" si="117"/>
        <v>YES</v>
      </c>
      <c r="J2525">
        <f>Cleaned_Data!J2525</f>
        <v>48</v>
      </c>
      <c r="K2525" t="str">
        <f t="shared" si="118"/>
        <v>2024-10</v>
      </c>
      <c r="L2525">
        <f t="shared" si="119"/>
        <v>0</v>
      </c>
    </row>
    <row r="2526" spans="1:12">
      <c r="A2526" t="s">
        <v>7333</v>
      </c>
      <c r="B2526" t="s">
        <v>7334</v>
      </c>
      <c r="C2526" t="s">
        <v>7335</v>
      </c>
      <c r="D2526" t="s">
        <v>23</v>
      </c>
      <c r="E2526" t="s">
        <v>28</v>
      </c>
      <c r="F2526" t="s">
        <v>60</v>
      </c>
      <c r="G2526" t="s">
        <v>31</v>
      </c>
      <c r="H2526">
        <f>Cleaned_Data!K2526</f>
        <v>39.659999999999997</v>
      </c>
      <c r="I2526" t="str">
        <f t="shared" si="117"/>
        <v>NO</v>
      </c>
      <c r="J2526">
        <f>Cleaned_Data!J2526</f>
        <v>24</v>
      </c>
      <c r="K2526" t="str">
        <f t="shared" si="118"/>
        <v>2024-09</v>
      </c>
      <c r="L2526">
        <f t="shared" si="119"/>
        <v>15.659999999999997</v>
      </c>
    </row>
    <row r="2527" spans="1:12">
      <c r="A2527" t="s">
        <v>7336</v>
      </c>
      <c r="B2527" t="s">
        <v>7337</v>
      </c>
      <c r="C2527" t="s">
        <v>7338</v>
      </c>
      <c r="D2527" t="s">
        <v>23</v>
      </c>
      <c r="E2527" t="s">
        <v>16</v>
      </c>
      <c r="F2527" t="s">
        <v>36</v>
      </c>
      <c r="G2527" t="s">
        <v>19</v>
      </c>
      <c r="H2527">
        <f>Cleaned_Data!K2527</f>
        <v>7.28</v>
      </c>
      <c r="I2527" t="str">
        <f t="shared" si="117"/>
        <v>YES</v>
      </c>
      <c r="J2527">
        <f>Cleaned_Data!J2527</f>
        <v>24</v>
      </c>
      <c r="K2527" t="str">
        <f t="shared" si="118"/>
        <v>2024-03</v>
      </c>
      <c r="L2527">
        <f t="shared" si="119"/>
        <v>0</v>
      </c>
    </row>
    <row r="2528" spans="1:12">
      <c r="A2528" t="s">
        <v>7339</v>
      </c>
      <c r="B2528" t="s">
        <v>7340</v>
      </c>
      <c r="C2528" t="s">
        <v>7341</v>
      </c>
      <c r="D2528" t="s">
        <v>23</v>
      </c>
      <c r="E2528" t="s">
        <v>28</v>
      </c>
      <c r="F2528" t="s">
        <v>60</v>
      </c>
      <c r="G2528" t="s">
        <v>31</v>
      </c>
      <c r="H2528">
        <f>Cleaned_Data!K2528</f>
        <v>20.57</v>
      </c>
      <c r="I2528" t="str">
        <f t="shared" si="117"/>
        <v>YES</v>
      </c>
      <c r="J2528">
        <f>Cleaned_Data!J2528</f>
        <v>24</v>
      </c>
      <c r="K2528" t="str">
        <f t="shared" si="118"/>
        <v>2024-01</v>
      </c>
      <c r="L2528">
        <f t="shared" si="119"/>
        <v>0</v>
      </c>
    </row>
    <row r="2529" spans="1:12">
      <c r="A2529" t="s">
        <v>7342</v>
      </c>
      <c r="B2529" t="s">
        <v>7343</v>
      </c>
      <c r="C2529" t="s">
        <v>7344</v>
      </c>
      <c r="D2529" t="s">
        <v>23</v>
      </c>
      <c r="E2529" t="s">
        <v>28</v>
      </c>
      <c r="F2529" t="s">
        <v>36</v>
      </c>
      <c r="G2529" t="s">
        <v>19</v>
      </c>
      <c r="H2529">
        <f>Cleaned_Data!K2529</f>
        <v>20.38</v>
      </c>
      <c r="I2529" t="str">
        <f t="shared" si="117"/>
        <v>YES</v>
      </c>
      <c r="J2529">
        <f>Cleaned_Data!J2529</f>
        <v>24</v>
      </c>
      <c r="K2529" t="str">
        <f t="shared" si="118"/>
        <v>2024-06</v>
      </c>
      <c r="L2529">
        <f t="shared" si="119"/>
        <v>0</v>
      </c>
    </row>
    <row r="2530" spans="1:12">
      <c r="A2530" t="s">
        <v>7345</v>
      </c>
      <c r="B2530" t="s">
        <v>7346</v>
      </c>
      <c r="C2530" t="s">
        <v>7347</v>
      </c>
      <c r="D2530" t="s">
        <v>15</v>
      </c>
      <c r="E2530" t="s">
        <v>16</v>
      </c>
      <c r="F2530" t="s">
        <v>36</v>
      </c>
      <c r="G2530" t="s">
        <v>19</v>
      </c>
      <c r="H2530">
        <f>Cleaned_Data!K2530</f>
        <v>18.579999999999998</v>
      </c>
      <c r="I2530" t="str">
        <f t="shared" si="117"/>
        <v>NO</v>
      </c>
      <c r="J2530">
        <f>Cleaned_Data!J2530</f>
        <v>8</v>
      </c>
      <c r="K2530" t="str">
        <f t="shared" si="118"/>
        <v>2024-11</v>
      </c>
      <c r="L2530">
        <f t="shared" si="119"/>
        <v>10.579999999999998</v>
      </c>
    </row>
    <row r="2531" spans="1:12">
      <c r="A2531" t="s">
        <v>7348</v>
      </c>
      <c r="B2531" t="s">
        <v>7349</v>
      </c>
      <c r="D2531" t="s">
        <v>35</v>
      </c>
      <c r="E2531" t="s">
        <v>28</v>
      </c>
      <c r="F2531" t="s">
        <v>36</v>
      </c>
      <c r="G2531" t="s">
        <v>46</v>
      </c>
      <c r="H2531">
        <f>Cleaned_Data!K2531</f>
        <v>0</v>
      </c>
      <c r="I2531" t="str">
        <f t="shared" si="117"/>
        <v/>
      </c>
      <c r="J2531">
        <f>Cleaned_Data!J2531</f>
        <v>48</v>
      </c>
      <c r="K2531" t="str">
        <f t="shared" si="118"/>
        <v>2024-08</v>
      </c>
      <c r="L2531">
        <f t="shared" si="119"/>
        <v>0</v>
      </c>
    </row>
    <row r="2532" spans="1:12">
      <c r="A2532" t="s">
        <v>7350</v>
      </c>
      <c r="B2532" t="s">
        <v>7351</v>
      </c>
      <c r="C2532" t="s">
        <v>7352</v>
      </c>
      <c r="D2532" t="s">
        <v>15</v>
      </c>
      <c r="E2532" t="s">
        <v>28</v>
      </c>
      <c r="F2532" t="s">
        <v>60</v>
      </c>
      <c r="G2532" t="s">
        <v>19</v>
      </c>
      <c r="H2532">
        <f>Cleaned_Data!K2532</f>
        <v>6.95</v>
      </c>
      <c r="I2532" t="str">
        <f t="shared" si="117"/>
        <v>YES</v>
      </c>
      <c r="J2532">
        <f>Cleaned_Data!J2532</f>
        <v>8</v>
      </c>
      <c r="K2532" t="str">
        <f t="shared" si="118"/>
        <v>2024-06</v>
      </c>
      <c r="L2532">
        <f t="shared" si="119"/>
        <v>0</v>
      </c>
    </row>
    <row r="2533" spans="1:12">
      <c r="A2533" t="s">
        <v>7353</v>
      </c>
      <c r="B2533" t="s">
        <v>7354</v>
      </c>
      <c r="C2533" t="s">
        <v>7355</v>
      </c>
      <c r="D2533" t="s">
        <v>35</v>
      </c>
      <c r="E2533" t="s">
        <v>54</v>
      </c>
      <c r="F2533" t="s">
        <v>17</v>
      </c>
      <c r="G2533" t="s">
        <v>19</v>
      </c>
      <c r="H2533">
        <f>Cleaned_Data!K2533</f>
        <v>71.2</v>
      </c>
      <c r="I2533" t="str">
        <f t="shared" si="117"/>
        <v>NO</v>
      </c>
      <c r="J2533">
        <f>Cleaned_Data!J2533</f>
        <v>48</v>
      </c>
      <c r="K2533" t="str">
        <f t="shared" si="118"/>
        <v>2024-11</v>
      </c>
      <c r="L2533">
        <f t="shared" si="119"/>
        <v>23.200000000000003</v>
      </c>
    </row>
    <row r="2534" spans="1:12">
      <c r="A2534" t="s">
        <v>7356</v>
      </c>
      <c r="B2534" t="s">
        <v>7357</v>
      </c>
      <c r="D2534" t="s">
        <v>158</v>
      </c>
      <c r="E2534" t="s">
        <v>24</v>
      </c>
      <c r="F2534" t="s">
        <v>60</v>
      </c>
      <c r="G2534" t="s">
        <v>46</v>
      </c>
      <c r="H2534">
        <f>Cleaned_Data!K2534</f>
        <v>0</v>
      </c>
      <c r="I2534" t="str">
        <f t="shared" si="117"/>
        <v/>
      </c>
      <c r="J2534">
        <f>Cleaned_Data!J2534</f>
        <v>4</v>
      </c>
      <c r="K2534" t="str">
        <f t="shared" si="118"/>
        <v>2024-01</v>
      </c>
      <c r="L2534">
        <f t="shared" si="119"/>
        <v>0</v>
      </c>
    </row>
    <row r="2535" spans="1:12">
      <c r="A2535" t="s">
        <v>7358</v>
      </c>
      <c r="B2535" t="s">
        <v>7359</v>
      </c>
      <c r="C2535" t="s">
        <v>7360</v>
      </c>
      <c r="D2535" t="s">
        <v>35</v>
      </c>
      <c r="E2535" t="s">
        <v>54</v>
      </c>
      <c r="F2535" t="s">
        <v>29</v>
      </c>
      <c r="G2535" t="s">
        <v>19</v>
      </c>
      <c r="H2535">
        <f>Cleaned_Data!K2535</f>
        <v>43.08</v>
      </c>
      <c r="I2535" t="str">
        <f t="shared" si="117"/>
        <v>YES</v>
      </c>
      <c r="J2535">
        <f>Cleaned_Data!J2535</f>
        <v>48</v>
      </c>
      <c r="K2535" t="str">
        <f t="shared" si="118"/>
        <v>2024-08</v>
      </c>
      <c r="L2535">
        <f t="shared" si="119"/>
        <v>0</v>
      </c>
    </row>
    <row r="2536" spans="1:12">
      <c r="A2536" t="s">
        <v>7361</v>
      </c>
      <c r="B2536" t="s">
        <v>7362</v>
      </c>
      <c r="C2536" t="s">
        <v>7363</v>
      </c>
      <c r="D2536" t="s">
        <v>23</v>
      </c>
      <c r="E2536" t="s">
        <v>28</v>
      </c>
      <c r="F2536" t="s">
        <v>60</v>
      </c>
      <c r="G2536" t="s">
        <v>19</v>
      </c>
      <c r="H2536">
        <f>Cleaned_Data!K2536</f>
        <v>43.81</v>
      </c>
      <c r="I2536" t="str">
        <f t="shared" si="117"/>
        <v>NO</v>
      </c>
      <c r="J2536">
        <f>Cleaned_Data!J2536</f>
        <v>24</v>
      </c>
      <c r="K2536" t="str">
        <f t="shared" si="118"/>
        <v>2024-11</v>
      </c>
      <c r="L2536">
        <f t="shared" si="119"/>
        <v>19.810000000000002</v>
      </c>
    </row>
    <row r="2537" spans="1:12">
      <c r="A2537" t="s">
        <v>7364</v>
      </c>
      <c r="B2537" t="s">
        <v>7365</v>
      </c>
      <c r="C2537" t="s">
        <v>7366</v>
      </c>
      <c r="D2537" t="s">
        <v>23</v>
      </c>
      <c r="E2537" t="s">
        <v>24</v>
      </c>
      <c r="F2537" t="s">
        <v>36</v>
      </c>
      <c r="G2537" t="s">
        <v>19</v>
      </c>
      <c r="H2537">
        <f>Cleaned_Data!K2537</f>
        <v>4.1399999999999997</v>
      </c>
      <c r="I2537" t="str">
        <f t="shared" si="117"/>
        <v>YES</v>
      </c>
      <c r="J2537">
        <f>Cleaned_Data!J2537</f>
        <v>24</v>
      </c>
      <c r="K2537" t="str">
        <f t="shared" si="118"/>
        <v>2024-01</v>
      </c>
      <c r="L2537">
        <f t="shared" si="119"/>
        <v>0</v>
      </c>
    </row>
    <row r="2538" spans="1:12">
      <c r="A2538" t="s">
        <v>7367</v>
      </c>
      <c r="B2538" t="s">
        <v>7368</v>
      </c>
      <c r="C2538" t="s">
        <v>7369</v>
      </c>
      <c r="D2538" t="s">
        <v>15</v>
      </c>
      <c r="E2538" t="s">
        <v>24</v>
      </c>
      <c r="F2538" t="s">
        <v>36</v>
      </c>
      <c r="G2538" t="s">
        <v>31</v>
      </c>
      <c r="H2538">
        <f>Cleaned_Data!K2538</f>
        <v>11.53</v>
      </c>
      <c r="I2538" t="str">
        <f t="shared" si="117"/>
        <v>NO</v>
      </c>
      <c r="J2538">
        <f>Cleaned_Data!J2538</f>
        <v>8</v>
      </c>
      <c r="K2538" t="str">
        <f t="shared" si="118"/>
        <v>2024-07</v>
      </c>
      <c r="L2538">
        <f t="shared" si="119"/>
        <v>3.5299999999999994</v>
      </c>
    </row>
    <row r="2539" spans="1:12">
      <c r="A2539" t="s">
        <v>7370</v>
      </c>
      <c r="B2539" t="s">
        <v>7371</v>
      </c>
      <c r="C2539" t="s">
        <v>7372</v>
      </c>
      <c r="D2539" t="s">
        <v>23</v>
      </c>
      <c r="E2539" t="s">
        <v>59</v>
      </c>
      <c r="F2539" t="s">
        <v>41</v>
      </c>
      <c r="G2539" t="s">
        <v>19</v>
      </c>
      <c r="H2539">
        <f>Cleaned_Data!K2539</f>
        <v>15.76</v>
      </c>
      <c r="I2539" t="str">
        <f t="shared" si="117"/>
        <v>YES</v>
      </c>
      <c r="J2539">
        <f>Cleaned_Data!J2539</f>
        <v>24</v>
      </c>
      <c r="K2539" t="str">
        <f t="shared" si="118"/>
        <v>2024-08</v>
      </c>
      <c r="L2539">
        <f t="shared" si="119"/>
        <v>0</v>
      </c>
    </row>
    <row r="2540" spans="1:12">
      <c r="A2540" t="s">
        <v>7373</v>
      </c>
      <c r="B2540" t="s">
        <v>7374</v>
      </c>
      <c r="C2540" t="s">
        <v>7375</v>
      </c>
      <c r="D2540" t="s">
        <v>23</v>
      </c>
      <c r="E2540" t="s">
        <v>24</v>
      </c>
      <c r="F2540" t="s">
        <v>41</v>
      </c>
      <c r="G2540" t="s">
        <v>31</v>
      </c>
      <c r="H2540">
        <f>Cleaned_Data!K2540</f>
        <v>19.02</v>
      </c>
      <c r="I2540" t="str">
        <f t="shared" si="117"/>
        <v>YES</v>
      </c>
      <c r="J2540">
        <f>Cleaned_Data!J2540</f>
        <v>24</v>
      </c>
      <c r="K2540" t="str">
        <f t="shared" si="118"/>
        <v>2024-07</v>
      </c>
      <c r="L2540">
        <f t="shared" si="119"/>
        <v>0</v>
      </c>
    </row>
    <row r="2541" spans="1:12">
      <c r="A2541" t="s">
        <v>7376</v>
      </c>
      <c r="B2541" t="s">
        <v>7377</v>
      </c>
      <c r="C2541" t="s">
        <v>7378</v>
      </c>
      <c r="D2541" t="s">
        <v>35</v>
      </c>
      <c r="E2541" t="s">
        <v>28</v>
      </c>
      <c r="F2541" t="s">
        <v>41</v>
      </c>
      <c r="G2541" t="s">
        <v>19</v>
      </c>
      <c r="H2541">
        <f>Cleaned_Data!K2541</f>
        <v>111.72</v>
      </c>
      <c r="I2541" t="str">
        <f t="shared" si="117"/>
        <v>NO</v>
      </c>
      <c r="J2541">
        <f>Cleaned_Data!J2541</f>
        <v>48</v>
      </c>
      <c r="K2541" t="str">
        <f t="shared" si="118"/>
        <v>2024-12</v>
      </c>
      <c r="L2541">
        <f t="shared" si="119"/>
        <v>63.72</v>
      </c>
    </row>
    <row r="2542" spans="1:12">
      <c r="A2542" t="s">
        <v>7379</v>
      </c>
      <c r="B2542" t="s">
        <v>7380</v>
      </c>
      <c r="C2542" t="s">
        <v>7381</v>
      </c>
      <c r="D2542" t="s">
        <v>23</v>
      </c>
      <c r="E2542" t="s">
        <v>28</v>
      </c>
      <c r="F2542" t="s">
        <v>29</v>
      </c>
      <c r="G2542" t="s">
        <v>31</v>
      </c>
      <c r="H2542">
        <f>Cleaned_Data!K2542</f>
        <v>15.09</v>
      </c>
      <c r="I2542" t="str">
        <f t="shared" si="117"/>
        <v>YES</v>
      </c>
      <c r="J2542">
        <f>Cleaned_Data!J2542</f>
        <v>24</v>
      </c>
      <c r="K2542" t="str">
        <f t="shared" si="118"/>
        <v>2024-06</v>
      </c>
      <c r="L2542">
        <f t="shared" si="119"/>
        <v>0</v>
      </c>
    </row>
    <row r="2543" spans="1:12">
      <c r="A2543" t="s">
        <v>7382</v>
      </c>
      <c r="B2543" t="s">
        <v>7383</v>
      </c>
      <c r="C2543" t="s">
        <v>7384</v>
      </c>
      <c r="D2543" t="s">
        <v>23</v>
      </c>
      <c r="E2543" t="s">
        <v>16</v>
      </c>
      <c r="F2543" t="s">
        <v>17</v>
      </c>
      <c r="G2543" t="s">
        <v>19</v>
      </c>
      <c r="H2543">
        <f>Cleaned_Data!K2543</f>
        <v>37.340000000000003</v>
      </c>
      <c r="I2543" t="str">
        <f t="shared" si="117"/>
        <v>NO</v>
      </c>
      <c r="J2543">
        <f>Cleaned_Data!J2543</f>
        <v>24</v>
      </c>
      <c r="K2543" t="str">
        <f t="shared" si="118"/>
        <v>2024-01</v>
      </c>
      <c r="L2543">
        <f t="shared" si="119"/>
        <v>13.340000000000003</v>
      </c>
    </row>
    <row r="2544" spans="1:12">
      <c r="A2544" t="s">
        <v>7385</v>
      </c>
      <c r="B2544" t="s">
        <v>7386</v>
      </c>
      <c r="C2544" t="s">
        <v>7387</v>
      </c>
      <c r="D2544" t="s">
        <v>158</v>
      </c>
      <c r="E2544" t="s">
        <v>59</v>
      </c>
      <c r="F2544" t="s">
        <v>60</v>
      </c>
      <c r="G2544" t="s">
        <v>19</v>
      </c>
      <c r="H2544">
        <f>Cleaned_Data!K2544</f>
        <v>0.75</v>
      </c>
      <c r="I2544" t="str">
        <f t="shared" si="117"/>
        <v>YES</v>
      </c>
      <c r="J2544">
        <f>Cleaned_Data!J2544</f>
        <v>4</v>
      </c>
      <c r="K2544" t="str">
        <f t="shared" si="118"/>
        <v>2024-06</v>
      </c>
      <c r="L2544">
        <f t="shared" si="119"/>
        <v>0</v>
      </c>
    </row>
    <row r="2545" spans="1:12">
      <c r="A2545" t="s">
        <v>7388</v>
      </c>
      <c r="B2545" t="s">
        <v>7389</v>
      </c>
      <c r="D2545" t="s">
        <v>23</v>
      </c>
      <c r="E2545" t="s">
        <v>59</v>
      </c>
      <c r="F2545" t="s">
        <v>41</v>
      </c>
      <c r="G2545" t="s">
        <v>46</v>
      </c>
      <c r="H2545">
        <f>Cleaned_Data!K2545</f>
        <v>0</v>
      </c>
      <c r="I2545" t="str">
        <f t="shared" si="117"/>
        <v/>
      </c>
      <c r="J2545">
        <f>Cleaned_Data!J2545</f>
        <v>24</v>
      </c>
      <c r="K2545" t="str">
        <f t="shared" si="118"/>
        <v>2024-11</v>
      </c>
      <c r="L2545">
        <f t="shared" si="119"/>
        <v>0</v>
      </c>
    </row>
    <row r="2546" spans="1:12">
      <c r="A2546" t="s">
        <v>7390</v>
      </c>
      <c r="B2546" t="s">
        <v>7391</v>
      </c>
      <c r="D2546" t="s">
        <v>23</v>
      </c>
      <c r="E2546" t="s">
        <v>28</v>
      </c>
      <c r="F2546" t="s">
        <v>41</v>
      </c>
      <c r="G2546" t="s">
        <v>63</v>
      </c>
      <c r="H2546">
        <f>Cleaned_Data!K2546</f>
        <v>0</v>
      </c>
      <c r="I2546" t="str">
        <f t="shared" si="117"/>
        <v/>
      </c>
      <c r="J2546">
        <f>Cleaned_Data!J2546</f>
        <v>24</v>
      </c>
      <c r="K2546" t="str">
        <f t="shared" si="118"/>
        <v>2024-07</v>
      </c>
      <c r="L2546">
        <f t="shared" si="119"/>
        <v>0</v>
      </c>
    </row>
    <row r="2547" spans="1:12">
      <c r="A2547" t="s">
        <v>7392</v>
      </c>
      <c r="B2547" t="s">
        <v>7393</v>
      </c>
      <c r="D2547" t="s">
        <v>23</v>
      </c>
      <c r="E2547" t="s">
        <v>24</v>
      </c>
      <c r="F2547" t="s">
        <v>17</v>
      </c>
      <c r="G2547" t="s">
        <v>46</v>
      </c>
      <c r="H2547">
        <f>Cleaned_Data!K2547</f>
        <v>0</v>
      </c>
      <c r="I2547" t="str">
        <f t="shared" si="117"/>
        <v/>
      </c>
      <c r="J2547">
        <f>Cleaned_Data!J2547</f>
        <v>24</v>
      </c>
      <c r="K2547" t="str">
        <f t="shared" si="118"/>
        <v>2024-10</v>
      </c>
      <c r="L2547">
        <f t="shared" si="119"/>
        <v>0</v>
      </c>
    </row>
    <row r="2548" spans="1:12">
      <c r="A2548" t="s">
        <v>7394</v>
      </c>
      <c r="B2548" t="s">
        <v>7395</v>
      </c>
      <c r="C2548" t="s">
        <v>7396</v>
      </c>
      <c r="D2548" t="s">
        <v>23</v>
      </c>
      <c r="E2548" t="s">
        <v>28</v>
      </c>
      <c r="F2548" t="s">
        <v>41</v>
      </c>
      <c r="G2548" t="s">
        <v>19</v>
      </c>
      <c r="H2548">
        <f>Cleaned_Data!K2548</f>
        <v>37.82</v>
      </c>
      <c r="I2548" t="str">
        <f t="shared" si="117"/>
        <v>NO</v>
      </c>
      <c r="J2548">
        <f>Cleaned_Data!J2548</f>
        <v>24</v>
      </c>
      <c r="K2548" t="str">
        <f t="shared" si="118"/>
        <v>2024-12</v>
      </c>
      <c r="L2548">
        <f t="shared" si="119"/>
        <v>13.82</v>
      </c>
    </row>
    <row r="2549" spans="1:12">
      <c r="A2549" t="s">
        <v>7397</v>
      </c>
      <c r="B2549" t="s">
        <v>7398</v>
      </c>
      <c r="C2549" t="s">
        <v>7399</v>
      </c>
      <c r="D2549" t="s">
        <v>23</v>
      </c>
      <c r="E2549" t="s">
        <v>24</v>
      </c>
      <c r="F2549" t="s">
        <v>17</v>
      </c>
      <c r="G2549" t="s">
        <v>19</v>
      </c>
      <c r="H2549">
        <f>Cleaned_Data!K2549</f>
        <v>2.71</v>
      </c>
      <c r="I2549" t="str">
        <f t="shared" si="117"/>
        <v>YES</v>
      </c>
      <c r="J2549">
        <f>Cleaned_Data!J2549</f>
        <v>24</v>
      </c>
      <c r="K2549" t="str">
        <f t="shared" si="118"/>
        <v>2024-07</v>
      </c>
      <c r="L2549">
        <f t="shared" si="119"/>
        <v>0</v>
      </c>
    </row>
    <row r="2550" spans="1:12">
      <c r="A2550" t="s">
        <v>7400</v>
      </c>
      <c r="B2550" t="s">
        <v>7401</v>
      </c>
      <c r="C2550" t="s">
        <v>7402</v>
      </c>
      <c r="D2550" t="s">
        <v>15</v>
      </c>
      <c r="E2550" t="s">
        <v>28</v>
      </c>
      <c r="F2550" t="s">
        <v>60</v>
      </c>
      <c r="G2550" t="s">
        <v>19</v>
      </c>
      <c r="H2550">
        <f>Cleaned_Data!K2550</f>
        <v>1.79</v>
      </c>
      <c r="I2550" t="str">
        <f t="shared" si="117"/>
        <v>YES</v>
      </c>
      <c r="J2550">
        <f>Cleaned_Data!J2550</f>
        <v>8</v>
      </c>
      <c r="K2550" t="str">
        <f t="shared" si="118"/>
        <v>2024-12</v>
      </c>
      <c r="L2550">
        <f t="shared" si="119"/>
        <v>0</v>
      </c>
    </row>
    <row r="2551" spans="1:12">
      <c r="A2551" t="s">
        <v>7403</v>
      </c>
      <c r="B2551" t="s">
        <v>7404</v>
      </c>
      <c r="C2551" t="s">
        <v>7405</v>
      </c>
      <c r="D2551" t="s">
        <v>15</v>
      </c>
      <c r="E2551" t="s">
        <v>28</v>
      </c>
      <c r="F2551" t="s">
        <v>36</v>
      </c>
      <c r="G2551" t="s">
        <v>31</v>
      </c>
      <c r="H2551">
        <f>Cleaned_Data!K2551</f>
        <v>20.16</v>
      </c>
      <c r="I2551" t="str">
        <f t="shared" si="117"/>
        <v>NO</v>
      </c>
      <c r="J2551">
        <f>Cleaned_Data!J2551</f>
        <v>8</v>
      </c>
      <c r="K2551" t="str">
        <f t="shared" si="118"/>
        <v>2024-12</v>
      </c>
      <c r="L2551">
        <f t="shared" si="119"/>
        <v>12.16</v>
      </c>
    </row>
    <row r="2552" spans="1:12">
      <c r="A2552" t="s">
        <v>7406</v>
      </c>
      <c r="B2552" t="s">
        <v>7407</v>
      </c>
      <c r="C2552" t="s">
        <v>7408</v>
      </c>
      <c r="D2552" t="s">
        <v>15</v>
      </c>
      <c r="E2552" t="s">
        <v>28</v>
      </c>
      <c r="F2552" t="s">
        <v>41</v>
      </c>
      <c r="G2552" t="s">
        <v>31</v>
      </c>
      <c r="H2552">
        <f>Cleaned_Data!K2552</f>
        <v>1.91</v>
      </c>
      <c r="I2552" t="str">
        <f t="shared" si="117"/>
        <v>YES</v>
      </c>
      <c r="J2552">
        <f>Cleaned_Data!J2552</f>
        <v>8</v>
      </c>
      <c r="K2552" t="str">
        <f t="shared" si="118"/>
        <v>2024-02</v>
      </c>
      <c r="L2552">
        <f t="shared" si="119"/>
        <v>0</v>
      </c>
    </row>
    <row r="2553" spans="1:12">
      <c r="A2553" t="s">
        <v>7409</v>
      </c>
      <c r="B2553" t="s">
        <v>7410</v>
      </c>
      <c r="C2553" t="s">
        <v>7411</v>
      </c>
      <c r="D2553" t="s">
        <v>15</v>
      </c>
      <c r="E2553" t="s">
        <v>59</v>
      </c>
      <c r="F2553" t="s">
        <v>29</v>
      </c>
      <c r="G2553" t="s">
        <v>31</v>
      </c>
      <c r="H2553">
        <f>Cleaned_Data!K2553</f>
        <v>1.64</v>
      </c>
      <c r="I2553" t="str">
        <f t="shared" si="117"/>
        <v>YES</v>
      </c>
      <c r="J2553">
        <f>Cleaned_Data!J2553</f>
        <v>8</v>
      </c>
      <c r="K2553" t="str">
        <f t="shared" si="118"/>
        <v>2024-11</v>
      </c>
      <c r="L2553">
        <f t="shared" si="119"/>
        <v>0</v>
      </c>
    </row>
    <row r="2554" spans="1:12">
      <c r="A2554" t="s">
        <v>7412</v>
      </c>
      <c r="B2554" t="s">
        <v>7413</v>
      </c>
      <c r="C2554" t="s">
        <v>7414</v>
      </c>
      <c r="D2554" t="s">
        <v>23</v>
      </c>
      <c r="E2554" t="s">
        <v>24</v>
      </c>
      <c r="F2554" t="s">
        <v>60</v>
      </c>
      <c r="G2554" t="s">
        <v>19</v>
      </c>
      <c r="H2554">
        <f>Cleaned_Data!K2554</f>
        <v>2.4500000000000002</v>
      </c>
      <c r="I2554" t="str">
        <f t="shared" si="117"/>
        <v>YES</v>
      </c>
      <c r="J2554">
        <f>Cleaned_Data!J2554</f>
        <v>24</v>
      </c>
      <c r="K2554" t="str">
        <f t="shared" si="118"/>
        <v>2024-08</v>
      </c>
      <c r="L2554">
        <f t="shared" si="119"/>
        <v>0</v>
      </c>
    </row>
    <row r="2555" spans="1:12">
      <c r="A2555" t="s">
        <v>7415</v>
      </c>
      <c r="B2555" t="s">
        <v>7416</v>
      </c>
      <c r="C2555" t="s">
        <v>7417</v>
      </c>
      <c r="D2555" t="s">
        <v>15</v>
      </c>
      <c r="E2555" t="s">
        <v>28</v>
      </c>
      <c r="F2555" t="s">
        <v>60</v>
      </c>
      <c r="G2555" t="s">
        <v>19</v>
      </c>
      <c r="H2555">
        <f>Cleaned_Data!K2555</f>
        <v>20.98</v>
      </c>
      <c r="I2555" t="str">
        <f t="shared" si="117"/>
        <v>NO</v>
      </c>
      <c r="J2555">
        <f>Cleaned_Data!J2555</f>
        <v>8</v>
      </c>
      <c r="K2555" t="str">
        <f t="shared" si="118"/>
        <v>2024-04</v>
      </c>
      <c r="L2555">
        <f t="shared" si="119"/>
        <v>12.98</v>
      </c>
    </row>
    <row r="2556" spans="1:12">
      <c r="A2556" t="s">
        <v>7418</v>
      </c>
      <c r="B2556" t="s">
        <v>7419</v>
      </c>
      <c r="C2556" t="s">
        <v>7420</v>
      </c>
      <c r="D2556" t="s">
        <v>23</v>
      </c>
      <c r="E2556" t="s">
        <v>54</v>
      </c>
      <c r="F2556" t="s">
        <v>41</v>
      </c>
      <c r="G2556" t="s">
        <v>19</v>
      </c>
      <c r="H2556">
        <f>Cleaned_Data!K2556</f>
        <v>7.7</v>
      </c>
      <c r="I2556" t="str">
        <f t="shared" si="117"/>
        <v>YES</v>
      </c>
      <c r="J2556">
        <f>Cleaned_Data!J2556</f>
        <v>24</v>
      </c>
      <c r="K2556" t="str">
        <f t="shared" si="118"/>
        <v>2024-07</v>
      </c>
      <c r="L2556">
        <f t="shared" si="119"/>
        <v>0</v>
      </c>
    </row>
    <row r="2557" spans="1:12">
      <c r="A2557" t="s">
        <v>7421</v>
      </c>
      <c r="B2557" t="s">
        <v>7422</v>
      </c>
      <c r="C2557" t="s">
        <v>7423</v>
      </c>
      <c r="D2557" t="s">
        <v>35</v>
      </c>
      <c r="E2557" t="s">
        <v>16</v>
      </c>
      <c r="F2557" t="s">
        <v>36</v>
      </c>
      <c r="G2557" t="s">
        <v>19</v>
      </c>
      <c r="H2557">
        <f>Cleaned_Data!K2557</f>
        <v>19.940000000000001</v>
      </c>
      <c r="I2557" t="str">
        <f t="shared" si="117"/>
        <v>YES</v>
      </c>
      <c r="J2557">
        <f>Cleaned_Data!J2557</f>
        <v>48</v>
      </c>
      <c r="K2557" t="str">
        <f t="shared" si="118"/>
        <v>2024-05</v>
      </c>
      <c r="L2557">
        <f t="shared" si="119"/>
        <v>0</v>
      </c>
    </row>
    <row r="2558" spans="1:12">
      <c r="A2558" t="s">
        <v>7424</v>
      </c>
      <c r="B2558" t="s">
        <v>7425</v>
      </c>
      <c r="C2558" t="s">
        <v>7426</v>
      </c>
      <c r="D2558" t="s">
        <v>15</v>
      </c>
      <c r="E2558" t="s">
        <v>16</v>
      </c>
      <c r="F2558" t="s">
        <v>17</v>
      </c>
      <c r="G2558" t="s">
        <v>31</v>
      </c>
      <c r="H2558">
        <f>Cleaned_Data!K2558</f>
        <v>3.53</v>
      </c>
      <c r="I2558" t="str">
        <f t="shared" si="117"/>
        <v>YES</v>
      </c>
      <c r="J2558">
        <f>Cleaned_Data!J2558</f>
        <v>8</v>
      </c>
      <c r="K2558" t="str">
        <f t="shared" si="118"/>
        <v>2024-10</v>
      </c>
      <c r="L2558">
        <f t="shared" si="119"/>
        <v>0</v>
      </c>
    </row>
    <row r="2559" spans="1:12">
      <c r="A2559" t="s">
        <v>7427</v>
      </c>
      <c r="B2559" t="s">
        <v>7428</v>
      </c>
      <c r="C2559" t="s">
        <v>7429</v>
      </c>
      <c r="D2559" t="s">
        <v>35</v>
      </c>
      <c r="E2559" t="s">
        <v>28</v>
      </c>
      <c r="F2559" t="s">
        <v>17</v>
      </c>
      <c r="G2559" t="s">
        <v>19</v>
      </c>
      <c r="H2559">
        <f>Cleaned_Data!K2559</f>
        <v>30.99</v>
      </c>
      <c r="I2559" t="str">
        <f t="shared" si="117"/>
        <v>YES</v>
      </c>
      <c r="J2559">
        <f>Cleaned_Data!J2559</f>
        <v>48</v>
      </c>
      <c r="K2559" t="str">
        <f t="shared" si="118"/>
        <v>2024-10</v>
      </c>
      <c r="L2559">
        <f t="shared" si="119"/>
        <v>0</v>
      </c>
    </row>
    <row r="2560" spans="1:12">
      <c r="A2560" t="s">
        <v>7430</v>
      </c>
      <c r="B2560" t="s">
        <v>7431</v>
      </c>
      <c r="C2560" t="s">
        <v>7432</v>
      </c>
      <c r="D2560" t="s">
        <v>35</v>
      </c>
      <c r="E2560" t="s">
        <v>28</v>
      </c>
      <c r="F2560" t="s">
        <v>36</v>
      </c>
      <c r="G2560" t="s">
        <v>19</v>
      </c>
      <c r="H2560">
        <f>Cleaned_Data!K2560</f>
        <v>27.27</v>
      </c>
      <c r="I2560" t="str">
        <f t="shared" si="117"/>
        <v>YES</v>
      </c>
      <c r="J2560">
        <f>Cleaned_Data!J2560</f>
        <v>48</v>
      </c>
      <c r="K2560" t="str">
        <f t="shared" si="118"/>
        <v>2024-01</v>
      </c>
      <c r="L2560">
        <f t="shared" si="119"/>
        <v>0</v>
      </c>
    </row>
    <row r="2561" spans="1:12">
      <c r="A2561" t="s">
        <v>7433</v>
      </c>
      <c r="B2561" t="s">
        <v>7434</v>
      </c>
      <c r="C2561" t="s">
        <v>7435</v>
      </c>
      <c r="D2561" t="s">
        <v>35</v>
      </c>
      <c r="E2561" t="s">
        <v>24</v>
      </c>
      <c r="F2561" t="s">
        <v>36</v>
      </c>
      <c r="G2561" t="s">
        <v>19</v>
      </c>
      <c r="H2561">
        <f>Cleaned_Data!K2561</f>
        <v>16.95</v>
      </c>
      <c r="I2561" t="str">
        <f t="shared" si="117"/>
        <v>YES</v>
      </c>
      <c r="J2561">
        <f>Cleaned_Data!J2561</f>
        <v>48</v>
      </c>
      <c r="K2561" t="str">
        <f t="shared" si="118"/>
        <v>2024-08</v>
      </c>
      <c r="L2561">
        <f t="shared" si="119"/>
        <v>0</v>
      </c>
    </row>
    <row r="2562" spans="1:12">
      <c r="A2562" t="s">
        <v>7436</v>
      </c>
      <c r="B2562" t="s">
        <v>7437</v>
      </c>
      <c r="C2562" t="s">
        <v>7438</v>
      </c>
      <c r="D2562" t="s">
        <v>15</v>
      </c>
      <c r="E2562" t="s">
        <v>24</v>
      </c>
      <c r="F2562" t="s">
        <v>41</v>
      </c>
      <c r="G2562" t="s">
        <v>19</v>
      </c>
      <c r="H2562">
        <f>Cleaned_Data!K2562</f>
        <v>20.29</v>
      </c>
      <c r="I2562" t="str">
        <f t="shared" ref="I2562:I2625" si="120">IF(OR(G2562="Resolved", G2562="Closed"), IF(AND(H2562&lt;&gt;"", H2562&lt;=J2562), "YES", "NO"), "")</f>
        <v>NO</v>
      </c>
      <c r="J2562">
        <f>Cleaned_Data!J2562</f>
        <v>8</v>
      </c>
      <c r="K2562" t="str">
        <f t="shared" ref="K2562:K2625" si="121">LEFT(B2562, 7)</f>
        <v>2024-11</v>
      </c>
      <c r="L2562">
        <f t="shared" ref="L2562:L2625" si="122">IF(I2562="NO", H2562-J2562, 0)</f>
        <v>12.29</v>
      </c>
    </row>
    <row r="2563" spans="1:12">
      <c r="A2563" t="s">
        <v>7439</v>
      </c>
      <c r="B2563" t="s">
        <v>7440</v>
      </c>
      <c r="C2563" t="s">
        <v>7441</v>
      </c>
      <c r="D2563" t="s">
        <v>23</v>
      </c>
      <c r="E2563" t="s">
        <v>24</v>
      </c>
      <c r="F2563" t="s">
        <v>41</v>
      </c>
      <c r="G2563" t="s">
        <v>31</v>
      </c>
      <c r="H2563">
        <f>Cleaned_Data!K2563</f>
        <v>57.2</v>
      </c>
      <c r="I2563" t="str">
        <f t="shared" si="120"/>
        <v>NO</v>
      </c>
      <c r="J2563">
        <f>Cleaned_Data!J2563</f>
        <v>24</v>
      </c>
      <c r="K2563" t="str">
        <f t="shared" si="121"/>
        <v>2024-01</v>
      </c>
      <c r="L2563">
        <f t="shared" si="122"/>
        <v>33.200000000000003</v>
      </c>
    </row>
    <row r="2564" spans="1:12">
      <c r="A2564" t="s">
        <v>7442</v>
      </c>
      <c r="B2564" t="s">
        <v>7443</v>
      </c>
      <c r="C2564" t="s">
        <v>7444</v>
      </c>
      <c r="D2564" t="s">
        <v>35</v>
      </c>
      <c r="E2564" t="s">
        <v>16</v>
      </c>
      <c r="F2564" t="s">
        <v>29</v>
      </c>
      <c r="G2564" t="s">
        <v>31</v>
      </c>
      <c r="H2564">
        <f>Cleaned_Data!K2564</f>
        <v>44.71</v>
      </c>
      <c r="I2564" t="str">
        <f t="shared" si="120"/>
        <v>YES</v>
      </c>
      <c r="J2564">
        <f>Cleaned_Data!J2564</f>
        <v>48</v>
      </c>
      <c r="K2564" t="str">
        <f t="shared" si="121"/>
        <v>2024-10</v>
      </c>
      <c r="L2564">
        <f t="shared" si="122"/>
        <v>0</v>
      </c>
    </row>
    <row r="2565" spans="1:12">
      <c r="A2565" t="s">
        <v>7445</v>
      </c>
      <c r="B2565" t="s">
        <v>7446</v>
      </c>
      <c r="D2565" t="s">
        <v>15</v>
      </c>
      <c r="E2565" t="s">
        <v>28</v>
      </c>
      <c r="F2565" t="s">
        <v>36</v>
      </c>
      <c r="G2565" t="s">
        <v>63</v>
      </c>
      <c r="H2565">
        <f>Cleaned_Data!K2565</f>
        <v>0</v>
      </c>
      <c r="I2565" t="str">
        <f t="shared" si="120"/>
        <v/>
      </c>
      <c r="J2565">
        <f>Cleaned_Data!J2565</f>
        <v>8</v>
      </c>
      <c r="K2565" t="str">
        <f t="shared" si="121"/>
        <v>2024-07</v>
      </c>
      <c r="L2565">
        <f t="shared" si="122"/>
        <v>0</v>
      </c>
    </row>
    <row r="2566" spans="1:12">
      <c r="A2566" t="s">
        <v>7447</v>
      </c>
      <c r="B2566" t="s">
        <v>7448</v>
      </c>
      <c r="C2566" t="s">
        <v>7449</v>
      </c>
      <c r="D2566" t="s">
        <v>15</v>
      </c>
      <c r="E2566" t="s">
        <v>24</v>
      </c>
      <c r="F2566" t="s">
        <v>41</v>
      </c>
      <c r="G2566" t="s">
        <v>31</v>
      </c>
      <c r="H2566">
        <f>Cleaned_Data!K2566</f>
        <v>6.49</v>
      </c>
      <c r="I2566" t="str">
        <f t="shared" si="120"/>
        <v>YES</v>
      </c>
      <c r="J2566">
        <f>Cleaned_Data!J2566</f>
        <v>8</v>
      </c>
      <c r="K2566" t="str">
        <f t="shared" si="121"/>
        <v>2024-07</v>
      </c>
      <c r="L2566">
        <f t="shared" si="122"/>
        <v>0</v>
      </c>
    </row>
    <row r="2567" spans="1:12">
      <c r="A2567" t="s">
        <v>7450</v>
      </c>
      <c r="B2567" t="s">
        <v>7451</v>
      </c>
      <c r="C2567" t="s">
        <v>7452</v>
      </c>
      <c r="D2567" t="s">
        <v>23</v>
      </c>
      <c r="E2567" t="s">
        <v>16</v>
      </c>
      <c r="F2567" t="s">
        <v>60</v>
      </c>
      <c r="G2567" t="s">
        <v>31</v>
      </c>
      <c r="H2567">
        <f>Cleaned_Data!K2567</f>
        <v>21.69</v>
      </c>
      <c r="I2567" t="str">
        <f t="shared" si="120"/>
        <v>YES</v>
      </c>
      <c r="J2567">
        <f>Cleaned_Data!J2567</f>
        <v>24</v>
      </c>
      <c r="K2567" t="str">
        <f t="shared" si="121"/>
        <v>2024-01</v>
      </c>
      <c r="L2567">
        <f t="shared" si="122"/>
        <v>0</v>
      </c>
    </row>
    <row r="2568" spans="1:12">
      <c r="A2568" t="s">
        <v>7453</v>
      </c>
      <c r="B2568" t="s">
        <v>7454</v>
      </c>
      <c r="D2568" t="s">
        <v>23</v>
      </c>
      <c r="E2568" t="s">
        <v>28</v>
      </c>
      <c r="F2568" t="s">
        <v>60</v>
      </c>
      <c r="G2568" t="s">
        <v>46</v>
      </c>
      <c r="H2568">
        <f>Cleaned_Data!K2568</f>
        <v>0</v>
      </c>
      <c r="I2568" t="str">
        <f t="shared" si="120"/>
        <v/>
      </c>
      <c r="J2568">
        <f>Cleaned_Data!J2568</f>
        <v>24</v>
      </c>
      <c r="K2568" t="str">
        <f t="shared" si="121"/>
        <v>2024-01</v>
      </c>
      <c r="L2568">
        <f t="shared" si="122"/>
        <v>0</v>
      </c>
    </row>
    <row r="2569" spans="1:12">
      <c r="A2569" t="s">
        <v>7455</v>
      </c>
      <c r="B2569" t="s">
        <v>7456</v>
      </c>
      <c r="C2569" t="s">
        <v>7457</v>
      </c>
      <c r="D2569" t="s">
        <v>15</v>
      </c>
      <c r="E2569" t="s">
        <v>28</v>
      </c>
      <c r="F2569" t="s">
        <v>60</v>
      </c>
      <c r="G2569" t="s">
        <v>31</v>
      </c>
      <c r="H2569">
        <f>Cleaned_Data!K2569</f>
        <v>4.07</v>
      </c>
      <c r="I2569" t="str">
        <f t="shared" si="120"/>
        <v>YES</v>
      </c>
      <c r="J2569">
        <f>Cleaned_Data!J2569</f>
        <v>8</v>
      </c>
      <c r="K2569" t="str">
        <f t="shared" si="121"/>
        <v>2024-03</v>
      </c>
      <c r="L2569">
        <f t="shared" si="122"/>
        <v>0</v>
      </c>
    </row>
    <row r="2570" spans="1:12">
      <c r="A2570" t="s">
        <v>7458</v>
      </c>
      <c r="B2570" t="s">
        <v>7459</v>
      </c>
      <c r="C2570" t="s">
        <v>7460</v>
      </c>
      <c r="D2570" t="s">
        <v>15</v>
      </c>
      <c r="E2570" t="s">
        <v>28</v>
      </c>
      <c r="F2570" t="s">
        <v>17</v>
      </c>
      <c r="G2570" t="s">
        <v>19</v>
      </c>
      <c r="H2570">
        <f>Cleaned_Data!K2570</f>
        <v>6.67</v>
      </c>
      <c r="I2570" t="str">
        <f t="shared" si="120"/>
        <v>YES</v>
      </c>
      <c r="J2570">
        <f>Cleaned_Data!J2570</f>
        <v>8</v>
      </c>
      <c r="K2570" t="str">
        <f t="shared" si="121"/>
        <v>2024-07</v>
      </c>
      <c r="L2570">
        <f t="shared" si="122"/>
        <v>0</v>
      </c>
    </row>
    <row r="2571" spans="1:12">
      <c r="A2571" t="s">
        <v>7461</v>
      </c>
      <c r="B2571" t="s">
        <v>7462</v>
      </c>
      <c r="C2571" t="s">
        <v>7463</v>
      </c>
      <c r="D2571" t="s">
        <v>15</v>
      </c>
      <c r="E2571" t="s">
        <v>28</v>
      </c>
      <c r="F2571" t="s">
        <v>36</v>
      </c>
      <c r="G2571" t="s">
        <v>31</v>
      </c>
      <c r="H2571">
        <f>Cleaned_Data!K2571</f>
        <v>6.13</v>
      </c>
      <c r="I2571" t="str">
        <f t="shared" si="120"/>
        <v>YES</v>
      </c>
      <c r="J2571">
        <f>Cleaned_Data!J2571</f>
        <v>8</v>
      </c>
      <c r="K2571" t="str">
        <f t="shared" si="121"/>
        <v>2024-01</v>
      </c>
      <c r="L2571">
        <f t="shared" si="122"/>
        <v>0</v>
      </c>
    </row>
    <row r="2572" spans="1:12">
      <c r="A2572" t="s">
        <v>7464</v>
      </c>
      <c r="B2572" t="s">
        <v>7465</v>
      </c>
      <c r="C2572" t="s">
        <v>7466</v>
      </c>
      <c r="D2572" t="s">
        <v>158</v>
      </c>
      <c r="E2572" t="s">
        <v>28</v>
      </c>
      <c r="F2572" t="s">
        <v>29</v>
      </c>
      <c r="G2572" t="s">
        <v>31</v>
      </c>
      <c r="H2572">
        <f>Cleaned_Data!K2572</f>
        <v>3.01</v>
      </c>
      <c r="I2572" t="str">
        <f t="shared" si="120"/>
        <v>YES</v>
      </c>
      <c r="J2572">
        <f>Cleaned_Data!J2572</f>
        <v>4</v>
      </c>
      <c r="K2572" t="str">
        <f t="shared" si="121"/>
        <v>2024-07</v>
      </c>
      <c r="L2572">
        <f t="shared" si="122"/>
        <v>0</v>
      </c>
    </row>
    <row r="2573" spans="1:12">
      <c r="A2573" t="s">
        <v>7467</v>
      </c>
      <c r="B2573" t="s">
        <v>7468</v>
      </c>
      <c r="C2573" t="s">
        <v>7469</v>
      </c>
      <c r="D2573" t="s">
        <v>35</v>
      </c>
      <c r="E2573" t="s">
        <v>24</v>
      </c>
      <c r="F2573" t="s">
        <v>36</v>
      </c>
      <c r="G2573" t="s">
        <v>31</v>
      </c>
      <c r="H2573">
        <f>Cleaned_Data!K2573</f>
        <v>20.49</v>
      </c>
      <c r="I2573" t="str">
        <f t="shared" si="120"/>
        <v>YES</v>
      </c>
      <c r="J2573">
        <f>Cleaned_Data!J2573</f>
        <v>48</v>
      </c>
      <c r="K2573" t="str">
        <f t="shared" si="121"/>
        <v>2024-06</v>
      </c>
      <c r="L2573">
        <f t="shared" si="122"/>
        <v>0</v>
      </c>
    </row>
    <row r="2574" spans="1:12">
      <c r="A2574" t="s">
        <v>7470</v>
      </c>
      <c r="B2574" t="s">
        <v>7471</v>
      </c>
      <c r="C2574" t="s">
        <v>7472</v>
      </c>
      <c r="D2574" t="s">
        <v>23</v>
      </c>
      <c r="E2574" t="s">
        <v>16</v>
      </c>
      <c r="F2574" t="s">
        <v>29</v>
      </c>
      <c r="G2574" t="s">
        <v>31</v>
      </c>
      <c r="H2574">
        <f>Cleaned_Data!K2574</f>
        <v>18.739999999999998</v>
      </c>
      <c r="I2574" t="str">
        <f t="shared" si="120"/>
        <v>YES</v>
      </c>
      <c r="J2574">
        <f>Cleaned_Data!J2574</f>
        <v>24</v>
      </c>
      <c r="K2574" t="str">
        <f t="shared" si="121"/>
        <v>2024-05</v>
      </c>
      <c r="L2574">
        <f t="shared" si="122"/>
        <v>0</v>
      </c>
    </row>
    <row r="2575" spans="1:12">
      <c r="A2575" t="s">
        <v>7473</v>
      </c>
      <c r="B2575" t="s">
        <v>7474</v>
      </c>
      <c r="C2575" t="s">
        <v>7475</v>
      </c>
      <c r="D2575" t="s">
        <v>158</v>
      </c>
      <c r="E2575" t="s">
        <v>54</v>
      </c>
      <c r="F2575" t="s">
        <v>36</v>
      </c>
      <c r="G2575" t="s">
        <v>31</v>
      </c>
      <c r="H2575">
        <f>Cleaned_Data!K2575</f>
        <v>11.47</v>
      </c>
      <c r="I2575" t="str">
        <f t="shared" si="120"/>
        <v>NO</v>
      </c>
      <c r="J2575">
        <f>Cleaned_Data!J2575</f>
        <v>4</v>
      </c>
      <c r="K2575" t="str">
        <f t="shared" si="121"/>
        <v>2024-05</v>
      </c>
      <c r="L2575">
        <f t="shared" si="122"/>
        <v>7.4700000000000006</v>
      </c>
    </row>
    <row r="2576" spans="1:12">
      <c r="A2576" t="s">
        <v>7476</v>
      </c>
      <c r="B2576" t="s">
        <v>7477</v>
      </c>
      <c r="C2576" t="s">
        <v>7478</v>
      </c>
      <c r="D2576" t="s">
        <v>35</v>
      </c>
      <c r="E2576" t="s">
        <v>24</v>
      </c>
      <c r="F2576" t="s">
        <v>29</v>
      </c>
      <c r="G2576" t="s">
        <v>31</v>
      </c>
      <c r="H2576">
        <f>Cleaned_Data!K2576</f>
        <v>134.13999999999999</v>
      </c>
      <c r="I2576" t="str">
        <f t="shared" si="120"/>
        <v>NO</v>
      </c>
      <c r="J2576">
        <f>Cleaned_Data!J2576</f>
        <v>48</v>
      </c>
      <c r="K2576" t="str">
        <f t="shared" si="121"/>
        <v>2024-12</v>
      </c>
      <c r="L2576">
        <f t="shared" si="122"/>
        <v>86.139999999999986</v>
      </c>
    </row>
    <row r="2577" spans="1:12">
      <c r="A2577" t="s">
        <v>7479</v>
      </c>
      <c r="B2577" t="s">
        <v>7480</v>
      </c>
      <c r="C2577" t="s">
        <v>7481</v>
      </c>
      <c r="D2577" t="s">
        <v>158</v>
      </c>
      <c r="E2577" t="s">
        <v>54</v>
      </c>
      <c r="F2577" t="s">
        <v>36</v>
      </c>
      <c r="G2577" t="s">
        <v>19</v>
      </c>
      <c r="H2577">
        <f>Cleaned_Data!K2577</f>
        <v>3.6</v>
      </c>
      <c r="I2577" t="str">
        <f t="shared" si="120"/>
        <v>YES</v>
      </c>
      <c r="J2577">
        <f>Cleaned_Data!J2577</f>
        <v>4</v>
      </c>
      <c r="K2577" t="str">
        <f t="shared" si="121"/>
        <v>2024-05</v>
      </c>
      <c r="L2577">
        <f t="shared" si="122"/>
        <v>0</v>
      </c>
    </row>
    <row r="2578" spans="1:12">
      <c r="A2578" t="s">
        <v>7482</v>
      </c>
      <c r="B2578" t="s">
        <v>7483</v>
      </c>
      <c r="C2578" t="s">
        <v>7484</v>
      </c>
      <c r="D2578" t="s">
        <v>23</v>
      </c>
      <c r="E2578" t="s">
        <v>16</v>
      </c>
      <c r="F2578" t="s">
        <v>17</v>
      </c>
      <c r="G2578" t="s">
        <v>31</v>
      </c>
      <c r="H2578">
        <f>Cleaned_Data!K2578</f>
        <v>16.57</v>
      </c>
      <c r="I2578" t="str">
        <f t="shared" si="120"/>
        <v>YES</v>
      </c>
      <c r="J2578">
        <f>Cleaned_Data!J2578</f>
        <v>24</v>
      </c>
      <c r="K2578" t="str">
        <f t="shared" si="121"/>
        <v>2024-07</v>
      </c>
      <c r="L2578">
        <f t="shared" si="122"/>
        <v>0</v>
      </c>
    </row>
    <row r="2579" spans="1:12">
      <c r="A2579" t="s">
        <v>7485</v>
      </c>
      <c r="B2579" t="s">
        <v>7486</v>
      </c>
      <c r="C2579" t="s">
        <v>7487</v>
      </c>
      <c r="D2579" t="s">
        <v>15</v>
      </c>
      <c r="E2579" t="s">
        <v>24</v>
      </c>
      <c r="F2579" t="s">
        <v>60</v>
      </c>
      <c r="G2579" t="s">
        <v>19</v>
      </c>
      <c r="H2579">
        <f>Cleaned_Data!K2579</f>
        <v>0.87</v>
      </c>
      <c r="I2579" t="str">
        <f t="shared" si="120"/>
        <v>YES</v>
      </c>
      <c r="J2579">
        <f>Cleaned_Data!J2579</f>
        <v>8</v>
      </c>
      <c r="K2579" t="str">
        <f t="shared" si="121"/>
        <v>2024-12</v>
      </c>
      <c r="L2579">
        <f t="shared" si="122"/>
        <v>0</v>
      </c>
    </row>
    <row r="2580" spans="1:12">
      <c r="A2580" t="s">
        <v>7488</v>
      </c>
      <c r="B2580" t="s">
        <v>7489</v>
      </c>
      <c r="C2580" t="s">
        <v>7490</v>
      </c>
      <c r="D2580" t="s">
        <v>23</v>
      </c>
      <c r="E2580" t="s">
        <v>16</v>
      </c>
      <c r="F2580" t="s">
        <v>36</v>
      </c>
      <c r="G2580" t="s">
        <v>19</v>
      </c>
      <c r="H2580">
        <f>Cleaned_Data!K2580</f>
        <v>5.41</v>
      </c>
      <c r="I2580" t="str">
        <f t="shared" si="120"/>
        <v>YES</v>
      </c>
      <c r="J2580">
        <f>Cleaned_Data!J2580</f>
        <v>24</v>
      </c>
      <c r="K2580" t="str">
        <f t="shared" si="121"/>
        <v>2024-10</v>
      </c>
      <c r="L2580">
        <f t="shared" si="122"/>
        <v>0</v>
      </c>
    </row>
    <row r="2581" spans="1:12">
      <c r="A2581" t="s">
        <v>7491</v>
      </c>
      <c r="B2581" t="s">
        <v>7492</v>
      </c>
      <c r="C2581" t="s">
        <v>7493</v>
      </c>
      <c r="D2581" t="s">
        <v>23</v>
      </c>
      <c r="E2581" t="s">
        <v>16</v>
      </c>
      <c r="F2581" t="s">
        <v>60</v>
      </c>
      <c r="G2581" t="s">
        <v>31</v>
      </c>
      <c r="H2581">
        <f>Cleaned_Data!K2581</f>
        <v>18.600000000000001</v>
      </c>
      <c r="I2581" t="str">
        <f t="shared" si="120"/>
        <v>YES</v>
      </c>
      <c r="J2581">
        <f>Cleaned_Data!J2581</f>
        <v>24</v>
      </c>
      <c r="K2581" t="str">
        <f t="shared" si="121"/>
        <v>2024-01</v>
      </c>
      <c r="L2581">
        <f t="shared" si="122"/>
        <v>0</v>
      </c>
    </row>
    <row r="2582" spans="1:12">
      <c r="A2582" t="s">
        <v>7494</v>
      </c>
      <c r="B2582" t="s">
        <v>7495</v>
      </c>
      <c r="C2582" t="s">
        <v>7496</v>
      </c>
      <c r="D2582" t="s">
        <v>35</v>
      </c>
      <c r="E2582" t="s">
        <v>16</v>
      </c>
      <c r="F2582" t="s">
        <v>17</v>
      </c>
      <c r="G2582" t="s">
        <v>19</v>
      </c>
      <c r="H2582">
        <f>Cleaned_Data!K2582</f>
        <v>18.09</v>
      </c>
      <c r="I2582" t="str">
        <f t="shared" si="120"/>
        <v>YES</v>
      </c>
      <c r="J2582">
        <f>Cleaned_Data!J2582</f>
        <v>48</v>
      </c>
      <c r="K2582" t="str">
        <f t="shared" si="121"/>
        <v>2024-12</v>
      </c>
      <c r="L2582">
        <f t="shared" si="122"/>
        <v>0</v>
      </c>
    </row>
    <row r="2583" spans="1:12">
      <c r="A2583" t="s">
        <v>7497</v>
      </c>
      <c r="B2583" t="s">
        <v>7498</v>
      </c>
      <c r="C2583" t="s">
        <v>7499</v>
      </c>
      <c r="D2583" t="s">
        <v>23</v>
      </c>
      <c r="E2583" t="s">
        <v>59</v>
      </c>
      <c r="F2583" t="s">
        <v>41</v>
      </c>
      <c r="G2583" t="s">
        <v>31</v>
      </c>
      <c r="H2583">
        <f>Cleaned_Data!K2583</f>
        <v>12.71</v>
      </c>
      <c r="I2583" t="str">
        <f t="shared" si="120"/>
        <v>YES</v>
      </c>
      <c r="J2583">
        <f>Cleaned_Data!J2583</f>
        <v>24</v>
      </c>
      <c r="K2583" t="str">
        <f t="shared" si="121"/>
        <v>2024-12</v>
      </c>
      <c r="L2583">
        <f t="shared" si="122"/>
        <v>0</v>
      </c>
    </row>
    <row r="2584" spans="1:12">
      <c r="A2584" t="s">
        <v>7500</v>
      </c>
      <c r="B2584" t="s">
        <v>7501</v>
      </c>
      <c r="C2584" t="s">
        <v>7502</v>
      </c>
      <c r="D2584" t="s">
        <v>23</v>
      </c>
      <c r="E2584" t="s">
        <v>59</v>
      </c>
      <c r="F2584" t="s">
        <v>29</v>
      </c>
      <c r="G2584" t="s">
        <v>19</v>
      </c>
      <c r="H2584">
        <f>Cleaned_Data!K2584</f>
        <v>17.59</v>
      </c>
      <c r="I2584" t="str">
        <f t="shared" si="120"/>
        <v>YES</v>
      </c>
      <c r="J2584">
        <f>Cleaned_Data!J2584</f>
        <v>24</v>
      </c>
      <c r="K2584" t="str">
        <f t="shared" si="121"/>
        <v>2024-11</v>
      </c>
      <c r="L2584">
        <f t="shared" si="122"/>
        <v>0</v>
      </c>
    </row>
    <row r="2585" spans="1:12">
      <c r="A2585" t="s">
        <v>7503</v>
      </c>
      <c r="B2585" t="s">
        <v>7504</v>
      </c>
      <c r="C2585" t="s">
        <v>7505</v>
      </c>
      <c r="D2585" t="s">
        <v>15</v>
      </c>
      <c r="E2585" t="s">
        <v>16</v>
      </c>
      <c r="F2585" t="s">
        <v>41</v>
      </c>
      <c r="G2585" t="s">
        <v>19</v>
      </c>
      <c r="H2585">
        <f>Cleaned_Data!K2585</f>
        <v>2.39</v>
      </c>
      <c r="I2585" t="str">
        <f t="shared" si="120"/>
        <v>YES</v>
      </c>
      <c r="J2585">
        <f>Cleaned_Data!J2585</f>
        <v>8</v>
      </c>
      <c r="K2585" t="str">
        <f t="shared" si="121"/>
        <v>2024-02</v>
      </c>
      <c r="L2585">
        <f t="shared" si="122"/>
        <v>0</v>
      </c>
    </row>
    <row r="2586" spans="1:12">
      <c r="A2586" t="s">
        <v>7506</v>
      </c>
      <c r="B2586" t="s">
        <v>7507</v>
      </c>
      <c r="C2586" t="s">
        <v>7508</v>
      </c>
      <c r="D2586" t="s">
        <v>23</v>
      </c>
      <c r="E2586" t="s">
        <v>16</v>
      </c>
      <c r="F2586" t="s">
        <v>29</v>
      </c>
      <c r="G2586" t="s">
        <v>19</v>
      </c>
      <c r="H2586">
        <f>Cleaned_Data!K2586</f>
        <v>55.13</v>
      </c>
      <c r="I2586" t="str">
        <f t="shared" si="120"/>
        <v>NO</v>
      </c>
      <c r="J2586">
        <f>Cleaned_Data!J2586</f>
        <v>24</v>
      </c>
      <c r="K2586" t="str">
        <f t="shared" si="121"/>
        <v>2024-08</v>
      </c>
      <c r="L2586">
        <f t="shared" si="122"/>
        <v>31.130000000000003</v>
      </c>
    </row>
    <row r="2587" spans="1:12">
      <c r="A2587" t="s">
        <v>7509</v>
      </c>
      <c r="B2587" t="s">
        <v>7510</v>
      </c>
      <c r="C2587" t="s">
        <v>7511</v>
      </c>
      <c r="D2587" t="s">
        <v>23</v>
      </c>
      <c r="E2587" t="s">
        <v>24</v>
      </c>
      <c r="F2587" t="s">
        <v>41</v>
      </c>
      <c r="G2587" t="s">
        <v>19</v>
      </c>
      <c r="H2587">
        <f>Cleaned_Data!K2587</f>
        <v>11.28</v>
      </c>
      <c r="I2587" t="str">
        <f t="shared" si="120"/>
        <v>YES</v>
      </c>
      <c r="J2587">
        <f>Cleaned_Data!J2587</f>
        <v>24</v>
      </c>
      <c r="K2587" t="str">
        <f t="shared" si="121"/>
        <v>2024-11</v>
      </c>
      <c r="L2587">
        <f t="shared" si="122"/>
        <v>0</v>
      </c>
    </row>
    <row r="2588" spans="1:12">
      <c r="A2588" t="s">
        <v>7512</v>
      </c>
      <c r="B2588" t="s">
        <v>7513</v>
      </c>
      <c r="C2588" t="s">
        <v>7514</v>
      </c>
      <c r="D2588" t="s">
        <v>23</v>
      </c>
      <c r="E2588" t="s">
        <v>24</v>
      </c>
      <c r="F2588" t="s">
        <v>41</v>
      </c>
      <c r="G2588" t="s">
        <v>19</v>
      </c>
      <c r="H2588">
        <f>Cleaned_Data!K2588</f>
        <v>18</v>
      </c>
      <c r="I2588" t="str">
        <f t="shared" si="120"/>
        <v>YES</v>
      </c>
      <c r="J2588">
        <f>Cleaned_Data!J2588</f>
        <v>24</v>
      </c>
      <c r="K2588" t="str">
        <f t="shared" si="121"/>
        <v>2024-05</v>
      </c>
      <c r="L2588">
        <f t="shared" si="122"/>
        <v>0</v>
      </c>
    </row>
    <row r="2589" spans="1:12">
      <c r="A2589" t="s">
        <v>7515</v>
      </c>
      <c r="B2589" t="s">
        <v>7516</v>
      </c>
      <c r="C2589" t="s">
        <v>7517</v>
      </c>
      <c r="D2589" t="s">
        <v>158</v>
      </c>
      <c r="E2589" t="s">
        <v>28</v>
      </c>
      <c r="F2589" t="s">
        <v>36</v>
      </c>
      <c r="G2589" t="s">
        <v>19</v>
      </c>
      <c r="H2589">
        <f>Cleaned_Data!K2589</f>
        <v>2.62</v>
      </c>
      <c r="I2589" t="str">
        <f t="shared" si="120"/>
        <v>YES</v>
      </c>
      <c r="J2589">
        <f>Cleaned_Data!J2589</f>
        <v>4</v>
      </c>
      <c r="K2589" t="str">
        <f t="shared" si="121"/>
        <v>2024-03</v>
      </c>
      <c r="L2589">
        <f t="shared" si="122"/>
        <v>0</v>
      </c>
    </row>
    <row r="2590" spans="1:12">
      <c r="A2590" t="s">
        <v>7518</v>
      </c>
      <c r="B2590" t="s">
        <v>7519</v>
      </c>
      <c r="C2590" t="s">
        <v>7520</v>
      </c>
      <c r="D2590" t="s">
        <v>23</v>
      </c>
      <c r="E2590" t="s">
        <v>28</v>
      </c>
      <c r="F2590" t="s">
        <v>36</v>
      </c>
      <c r="G2590" t="s">
        <v>19</v>
      </c>
      <c r="H2590">
        <f>Cleaned_Data!K2590</f>
        <v>22.37</v>
      </c>
      <c r="I2590" t="str">
        <f t="shared" si="120"/>
        <v>YES</v>
      </c>
      <c r="J2590">
        <f>Cleaned_Data!J2590</f>
        <v>24</v>
      </c>
      <c r="K2590" t="str">
        <f t="shared" si="121"/>
        <v>2024-09</v>
      </c>
      <c r="L2590">
        <f t="shared" si="122"/>
        <v>0</v>
      </c>
    </row>
    <row r="2591" spans="1:12">
      <c r="A2591" t="s">
        <v>7521</v>
      </c>
      <c r="B2591" t="s">
        <v>7522</v>
      </c>
      <c r="C2591" t="s">
        <v>7523</v>
      </c>
      <c r="D2591" t="s">
        <v>15</v>
      </c>
      <c r="E2591" t="s">
        <v>28</v>
      </c>
      <c r="F2591" t="s">
        <v>36</v>
      </c>
      <c r="G2591" t="s">
        <v>19</v>
      </c>
      <c r="H2591">
        <f>Cleaned_Data!K2591</f>
        <v>3.92</v>
      </c>
      <c r="I2591" t="str">
        <f t="shared" si="120"/>
        <v>YES</v>
      </c>
      <c r="J2591">
        <f>Cleaned_Data!J2591</f>
        <v>8</v>
      </c>
      <c r="K2591" t="str">
        <f t="shared" si="121"/>
        <v>2024-10</v>
      </c>
      <c r="L2591">
        <f t="shared" si="122"/>
        <v>0</v>
      </c>
    </row>
    <row r="2592" spans="1:12">
      <c r="A2592" t="s">
        <v>7524</v>
      </c>
      <c r="B2592" t="s">
        <v>7525</v>
      </c>
      <c r="C2592" t="s">
        <v>7526</v>
      </c>
      <c r="D2592" t="s">
        <v>15</v>
      </c>
      <c r="E2592" t="s">
        <v>24</v>
      </c>
      <c r="F2592" t="s">
        <v>29</v>
      </c>
      <c r="G2592" t="s">
        <v>31</v>
      </c>
      <c r="H2592">
        <f>Cleaned_Data!K2592</f>
        <v>1.8</v>
      </c>
      <c r="I2592" t="str">
        <f t="shared" si="120"/>
        <v>YES</v>
      </c>
      <c r="J2592">
        <f>Cleaned_Data!J2592</f>
        <v>8</v>
      </c>
      <c r="K2592" t="str">
        <f t="shared" si="121"/>
        <v>2024-01</v>
      </c>
      <c r="L2592">
        <f t="shared" si="122"/>
        <v>0</v>
      </c>
    </row>
    <row r="2593" spans="1:12">
      <c r="A2593" t="s">
        <v>7527</v>
      </c>
      <c r="B2593" t="s">
        <v>7528</v>
      </c>
      <c r="C2593" t="s">
        <v>7529</v>
      </c>
      <c r="D2593" t="s">
        <v>23</v>
      </c>
      <c r="E2593" t="s">
        <v>28</v>
      </c>
      <c r="F2593" t="s">
        <v>36</v>
      </c>
      <c r="G2593" t="s">
        <v>19</v>
      </c>
      <c r="H2593">
        <f>Cleaned_Data!K2593</f>
        <v>2.61</v>
      </c>
      <c r="I2593" t="str">
        <f t="shared" si="120"/>
        <v>YES</v>
      </c>
      <c r="J2593">
        <f>Cleaned_Data!J2593</f>
        <v>24</v>
      </c>
      <c r="K2593" t="str">
        <f t="shared" si="121"/>
        <v>2024-08</v>
      </c>
      <c r="L2593">
        <f t="shared" si="122"/>
        <v>0</v>
      </c>
    </row>
    <row r="2594" spans="1:12">
      <c r="A2594" t="s">
        <v>7530</v>
      </c>
      <c r="B2594" t="s">
        <v>7531</v>
      </c>
      <c r="C2594" t="s">
        <v>7532</v>
      </c>
      <c r="D2594" t="s">
        <v>23</v>
      </c>
      <c r="E2594" t="s">
        <v>24</v>
      </c>
      <c r="F2594" t="s">
        <v>36</v>
      </c>
      <c r="G2594" t="s">
        <v>19</v>
      </c>
      <c r="H2594">
        <f>Cleaned_Data!K2594</f>
        <v>17.22</v>
      </c>
      <c r="I2594" t="str">
        <f t="shared" si="120"/>
        <v>YES</v>
      </c>
      <c r="J2594">
        <f>Cleaned_Data!J2594</f>
        <v>24</v>
      </c>
      <c r="K2594" t="str">
        <f t="shared" si="121"/>
        <v>2024-05</v>
      </c>
      <c r="L2594">
        <f t="shared" si="122"/>
        <v>0</v>
      </c>
    </row>
    <row r="2595" spans="1:12">
      <c r="A2595" t="s">
        <v>7533</v>
      </c>
      <c r="B2595" t="s">
        <v>7534</v>
      </c>
      <c r="C2595" t="s">
        <v>7535</v>
      </c>
      <c r="D2595" t="s">
        <v>23</v>
      </c>
      <c r="E2595" t="s">
        <v>54</v>
      </c>
      <c r="F2595" t="s">
        <v>29</v>
      </c>
      <c r="G2595" t="s">
        <v>19</v>
      </c>
      <c r="H2595">
        <f>Cleaned_Data!K2595</f>
        <v>45.38</v>
      </c>
      <c r="I2595" t="str">
        <f t="shared" si="120"/>
        <v>NO</v>
      </c>
      <c r="J2595">
        <f>Cleaned_Data!J2595</f>
        <v>24</v>
      </c>
      <c r="K2595" t="str">
        <f t="shared" si="121"/>
        <v>2024-06</v>
      </c>
      <c r="L2595">
        <f t="shared" si="122"/>
        <v>21.380000000000003</v>
      </c>
    </row>
    <row r="2596" spans="1:12">
      <c r="A2596" t="s">
        <v>7536</v>
      </c>
      <c r="B2596" t="s">
        <v>7537</v>
      </c>
      <c r="C2596" t="s">
        <v>7538</v>
      </c>
      <c r="D2596" t="s">
        <v>23</v>
      </c>
      <c r="E2596" t="s">
        <v>28</v>
      </c>
      <c r="F2596" t="s">
        <v>36</v>
      </c>
      <c r="G2596" t="s">
        <v>19</v>
      </c>
      <c r="H2596">
        <f>Cleaned_Data!K2596</f>
        <v>71.7</v>
      </c>
      <c r="I2596" t="str">
        <f t="shared" si="120"/>
        <v>NO</v>
      </c>
      <c r="J2596">
        <f>Cleaned_Data!J2596</f>
        <v>24</v>
      </c>
      <c r="K2596" t="str">
        <f t="shared" si="121"/>
        <v>2024-07</v>
      </c>
      <c r="L2596">
        <f t="shared" si="122"/>
        <v>47.7</v>
      </c>
    </row>
    <row r="2597" spans="1:12">
      <c r="A2597" t="s">
        <v>7539</v>
      </c>
      <c r="B2597" t="s">
        <v>7540</v>
      </c>
      <c r="C2597" t="s">
        <v>7541</v>
      </c>
      <c r="D2597" t="s">
        <v>15</v>
      </c>
      <c r="E2597" t="s">
        <v>54</v>
      </c>
      <c r="F2597" t="s">
        <v>29</v>
      </c>
      <c r="G2597" t="s">
        <v>19</v>
      </c>
      <c r="H2597">
        <f>Cleaned_Data!K2597</f>
        <v>0.97</v>
      </c>
      <c r="I2597" t="str">
        <f t="shared" si="120"/>
        <v>YES</v>
      </c>
      <c r="J2597">
        <f>Cleaned_Data!J2597</f>
        <v>8</v>
      </c>
      <c r="K2597" t="str">
        <f t="shared" si="121"/>
        <v>2024-04</v>
      </c>
      <c r="L2597">
        <f t="shared" si="122"/>
        <v>0</v>
      </c>
    </row>
    <row r="2598" spans="1:12">
      <c r="A2598" t="s">
        <v>7542</v>
      </c>
      <c r="B2598" t="s">
        <v>7543</v>
      </c>
      <c r="C2598" t="s">
        <v>7544</v>
      </c>
      <c r="D2598" t="s">
        <v>23</v>
      </c>
      <c r="E2598" t="s">
        <v>24</v>
      </c>
      <c r="F2598" t="s">
        <v>17</v>
      </c>
      <c r="G2598" t="s">
        <v>19</v>
      </c>
      <c r="H2598">
        <f>Cleaned_Data!K2598</f>
        <v>20.86</v>
      </c>
      <c r="I2598" t="str">
        <f t="shared" si="120"/>
        <v>YES</v>
      </c>
      <c r="J2598">
        <f>Cleaned_Data!J2598</f>
        <v>24</v>
      </c>
      <c r="K2598" t="str">
        <f t="shared" si="121"/>
        <v>2024-11</v>
      </c>
      <c r="L2598">
        <f t="shared" si="122"/>
        <v>0</v>
      </c>
    </row>
    <row r="2599" spans="1:12">
      <c r="A2599" t="s">
        <v>7545</v>
      </c>
      <c r="B2599" t="s">
        <v>7546</v>
      </c>
      <c r="C2599" t="s">
        <v>7547</v>
      </c>
      <c r="D2599" t="s">
        <v>23</v>
      </c>
      <c r="E2599" t="s">
        <v>28</v>
      </c>
      <c r="F2599" t="s">
        <v>36</v>
      </c>
      <c r="G2599" t="s">
        <v>19</v>
      </c>
      <c r="H2599">
        <f>Cleaned_Data!K2599</f>
        <v>8.9600000000000009</v>
      </c>
      <c r="I2599" t="str">
        <f t="shared" si="120"/>
        <v>YES</v>
      </c>
      <c r="J2599">
        <f>Cleaned_Data!J2599</f>
        <v>24</v>
      </c>
      <c r="K2599" t="str">
        <f t="shared" si="121"/>
        <v>2024-06</v>
      </c>
      <c r="L2599">
        <f t="shared" si="122"/>
        <v>0</v>
      </c>
    </row>
    <row r="2600" spans="1:12">
      <c r="A2600" t="s">
        <v>7548</v>
      </c>
      <c r="B2600" t="s">
        <v>7549</v>
      </c>
      <c r="C2600" t="s">
        <v>7550</v>
      </c>
      <c r="D2600" t="s">
        <v>23</v>
      </c>
      <c r="E2600" t="s">
        <v>54</v>
      </c>
      <c r="F2600" t="s">
        <v>41</v>
      </c>
      <c r="G2600" t="s">
        <v>31</v>
      </c>
      <c r="H2600">
        <f>Cleaned_Data!K2600</f>
        <v>5.64</v>
      </c>
      <c r="I2600" t="str">
        <f t="shared" si="120"/>
        <v>YES</v>
      </c>
      <c r="J2600">
        <f>Cleaned_Data!J2600</f>
        <v>24</v>
      </c>
      <c r="K2600" t="str">
        <f t="shared" si="121"/>
        <v>2024-10</v>
      </c>
      <c r="L2600">
        <f t="shared" si="122"/>
        <v>0</v>
      </c>
    </row>
    <row r="2601" spans="1:12">
      <c r="A2601" t="s">
        <v>7551</v>
      </c>
      <c r="B2601" t="s">
        <v>7552</v>
      </c>
      <c r="C2601" t="s">
        <v>7553</v>
      </c>
      <c r="D2601" t="s">
        <v>23</v>
      </c>
      <c r="E2601" t="s">
        <v>24</v>
      </c>
      <c r="F2601" t="s">
        <v>60</v>
      </c>
      <c r="G2601" t="s">
        <v>19</v>
      </c>
      <c r="H2601">
        <f>Cleaned_Data!K2601</f>
        <v>6.68</v>
      </c>
      <c r="I2601" t="str">
        <f t="shared" si="120"/>
        <v>YES</v>
      </c>
      <c r="J2601">
        <f>Cleaned_Data!J2601</f>
        <v>24</v>
      </c>
      <c r="K2601" t="str">
        <f t="shared" si="121"/>
        <v>2024-08</v>
      </c>
      <c r="L2601">
        <f t="shared" si="122"/>
        <v>0</v>
      </c>
    </row>
    <row r="2602" spans="1:12">
      <c r="A2602" t="s">
        <v>7554</v>
      </c>
      <c r="B2602" t="s">
        <v>7555</v>
      </c>
      <c r="C2602" t="s">
        <v>7556</v>
      </c>
      <c r="D2602" t="s">
        <v>15</v>
      </c>
      <c r="E2602" t="s">
        <v>16</v>
      </c>
      <c r="F2602" t="s">
        <v>17</v>
      </c>
      <c r="G2602" t="s">
        <v>31</v>
      </c>
      <c r="H2602">
        <f>Cleaned_Data!K2602</f>
        <v>5.18</v>
      </c>
      <c r="I2602" t="str">
        <f t="shared" si="120"/>
        <v>YES</v>
      </c>
      <c r="J2602">
        <f>Cleaned_Data!J2602</f>
        <v>8</v>
      </c>
      <c r="K2602" t="str">
        <f t="shared" si="121"/>
        <v>2024-11</v>
      </c>
      <c r="L2602">
        <f t="shared" si="122"/>
        <v>0</v>
      </c>
    </row>
    <row r="2603" spans="1:12">
      <c r="A2603" t="s">
        <v>7557</v>
      </c>
      <c r="B2603" t="s">
        <v>7558</v>
      </c>
      <c r="C2603" t="s">
        <v>7559</v>
      </c>
      <c r="D2603" t="s">
        <v>23</v>
      </c>
      <c r="E2603" t="s">
        <v>16</v>
      </c>
      <c r="F2603" t="s">
        <v>29</v>
      </c>
      <c r="G2603" t="s">
        <v>31</v>
      </c>
      <c r="H2603">
        <f>Cleaned_Data!K2603</f>
        <v>4.8600000000000003</v>
      </c>
      <c r="I2603" t="str">
        <f t="shared" si="120"/>
        <v>YES</v>
      </c>
      <c r="J2603">
        <f>Cleaned_Data!J2603</f>
        <v>24</v>
      </c>
      <c r="K2603" t="str">
        <f t="shared" si="121"/>
        <v>2024-02</v>
      </c>
      <c r="L2603">
        <f t="shared" si="122"/>
        <v>0</v>
      </c>
    </row>
    <row r="2604" spans="1:12">
      <c r="A2604" t="s">
        <v>7560</v>
      </c>
      <c r="B2604" t="s">
        <v>7561</v>
      </c>
      <c r="C2604" t="s">
        <v>7562</v>
      </c>
      <c r="D2604" t="s">
        <v>15</v>
      </c>
      <c r="E2604" t="s">
        <v>16</v>
      </c>
      <c r="F2604" t="s">
        <v>17</v>
      </c>
      <c r="G2604" t="s">
        <v>31</v>
      </c>
      <c r="H2604">
        <f>Cleaned_Data!K2604</f>
        <v>2.76</v>
      </c>
      <c r="I2604" t="str">
        <f t="shared" si="120"/>
        <v>YES</v>
      </c>
      <c r="J2604">
        <f>Cleaned_Data!J2604</f>
        <v>8</v>
      </c>
      <c r="K2604" t="str">
        <f t="shared" si="121"/>
        <v>2024-06</v>
      </c>
      <c r="L2604">
        <f t="shared" si="122"/>
        <v>0</v>
      </c>
    </row>
    <row r="2605" spans="1:12">
      <c r="A2605" t="s">
        <v>7563</v>
      </c>
      <c r="B2605" t="s">
        <v>7564</v>
      </c>
      <c r="D2605" t="s">
        <v>23</v>
      </c>
      <c r="E2605" t="s">
        <v>28</v>
      </c>
      <c r="F2605" t="s">
        <v>29</v>
      </c>
      <c r="G2605" t="s">
        <v>63</v>
      </c>
      <c r="H2605">
        <f>Cleaned_Data!K2605</f>
        <v>0</v>
      </c>
      <c r="I2605" t="str">
        <f t="shared" si="120"/>
        <v/>
      </c>
      <c r="J2605">
        <f>Cleaned_Data!J2605</f>
        <v>24</v>
      </c>
      <c r="K2605" t="str">
        <f t="shared" si="121"/>
        <v>2024-06</v>
      </c>
      <c r="L2605">
        <f t="shared" si="122"/>
        <v>0</v>
      </c>
    </row>
    <row r="2606" spans="1:12">
      <c r="A2606" t="s">
        <v>7565</v>
      </c>
      <c r="B2606" t="s">
        <v>7566</v>
      </c>
      <c r="C2606" t="s">
        <v>7567</v>
      </c>
      <c r="D2606" t="s">
        <v>23</v>
      </c>
      <c r="E2606" t="s">
        <v>54</v>
      </c>
      <c r="F2606" t="s">
        <v>17</v>
      </c>
      <c r="G2606" t="s">
        <v>31</v>
      </c>
      <c r="H2606">
        <f>Cleaned_Data!K2606</f>
        <v>3</v>
      </c>
      <c r="I2606" t="str">
        <f t="shared" si="120"/>
        <v>YES</v>
      </c>
      <c r="J2606">
        <f>Cleaned_Data!J2606</f>
        <v>24</v>
      </c>
      <c r="K2606" t="str">
        <f t="shared" si="121"/>
        <v>2024-11</v>
      </c>
      <c r="L2606">
        <f t="shared" si="122"/>
        <v>0</v>
      </c>
    </row>
    <row r="2607" spans="1:12">
      <c r="A2607" t="s">
        <v>7568</v>
      </c>
      <c r="B2607" t="s">
        <v>7569</v>
      </c>
      <c r="C2607" t="s">
        <v>7570</v>
      </c>
      <c r="D2607" t="s">
        <v>35</v>
      </c>
      <c r="E2607" t="s">
        <v>59</v>
      </c>
      <c r="F2607" t="s">
        <v>60</v>
      </c>
      <c r="G2607" t="s">
        <v>19</v>
      </c>
      <c r="H2607">
        <f>Cleaned_Data!K2607</f>
        <v>75.31</v>
      </c>
      <c r="I2607" t="str">
        <f t="shared" si="120"/>
        <v>NO</v>
      </c>
      <c r="J2607">
        <f>Cleaned_Data!J2607</f>
        <v>48</v>
      </c>
      <c r="K2607" t="str">
        <f t="shared" si="121"/>
        <v>2024-06</v>
      </c>
      <c r="L2607">
        <f t="shared" si="122"/>
        <v>27.310000000000002</v>
      </c>
    </row>
    <row r="2608" spans="1:12">
      <c r="A2608" t="s">
        <v>7571</v>
      </c>
      <c r="B2608" t="s">
        <v>7572</v>
      </c>
      <c r="C2608" t="s">
        <v>7573</v>
      </c>
      <c r="D2608" t="s">
        <v>23</v>
      </c>
      <c r="E2608" t="s">
        <v>24</v>
      </c>
      <c r="F2608" t="s">
        <v>41</v>
      </c>
      <c r="G2608" t="s">
        <v>19</v>
      </c>
      <c r="H2608">
        <f>Cleaned_Data!K2608</f>
        <v>11.88</v>
      </c>
      <c r="I2608" t="str">
        <f t="shared" si="120"/>
        <v>YES</v>
      </c>
      <c r="J2608">
        <f>Cleaned_Data!J2608</f>
        <v>24</v>
      </c>
      <c r="K2608" t="str">
        <f t="shared" si="121"/>
        <v>2024-04</v>
      </c>
      <c r="L2608">
        <f t="shared" si="122"/>
        <v>0</v>
      </c>
    </row>
    <row r="2609" spans="1:12">
      <c r="A2609" t="s">
        <v>7574</v>
      </c>
      <c r="B2609" t="s">
        <v>7575</v>
      </c>
      <c r="D2609" t="s">
        <v>35</v>
      </c>
      <c r="E2609" t="s">
        <v>16</v>
      </c>
      <c r="F2609" t="s">
        <v>36</v>
      </c>
      <c r="G2609" t="s">
        <v>63</v>
      </c>
      <c r="H2609">
        <f>Cleaned_Data!K2609</f>
        <v>0</v>
      </c>
      <c r="I2609" t="str">
        <f t="shared" si="120"/>
        <v/>
      </c>
      <c r="J2609">
        <f>Cleaned_Data!J2609</f>
        <v>48</v>
      </c>
      <c r="K2609" t="str">
        <f t="shared" si="121"/>
        <v>2024-01</v>
      </c>
      <c r="L2609">
        <f t="shared" si="122"/>
        <v>0</v>
      </c>
    </row>
    <row r="2610" spans="1:12">
      <c r="A2610" t="s">
        <v>7576</v>
      </c>
      <c r="B2610" t="s">
        <v>7577</v>
      </c>
      <c r="C2610" t="s">
        <v>7578</v>
      </c>
      <c r="D2610" t="s">
        <v>35</v>
      </c>
      <c r="E2610" t="s">
        <v>24</v>
      </c>
      <c r="F2610" t="s">
        <v>29</v>
      </c>
      <c r="G2610" t="s">
        <v>19</v>
      </c>
      <c r="H2610">
        <f>Cleaned_Data!K2610</f>
        <v>28.6</v>
      </c>
      <c r="I2610" t="str">
        <f t="shared" si="120"/>
        <v>YES</v>
      </c>
      <c r="J2610">
        <f>Cleaned_Data!J2610</f>
        <v>48</v>
      </c>
      <c r="K2610" t="str">
        <f t="shared" si="121"/>
        <v>2024-06</v>
      </c>
      <c r="L2610">
        <f t="shared" si="122"/>
        <v>0</v>
      </c>
    </row>
    <row r="2611" spans="1:12">
      <c r="A2611" t="s">
        <v>7579</v>
      </c>
      <c r="B2611" t="s">
        <v>7580</v>
      </c>
      <c r="C2611" t="s">
        <v>7581</v>
      </c>
      <c r="D2611" t="s">
        <v>35</v>
      </c>
      <c r="E2611" t="s">
        <v>24</v>
      </c>
      <c r="F2611" t="s">
        <v>29</v>
      </c>
      <c r="G2611" t="s">
        <v>31</v>
      </c>
      <c r="H2611">
        <f>Cleaned_Data!K2611</f>
        <v>131.18</v>
      </c>
      <c r="I2611" t="str">
        <f t="shared" si="120"/>
        <v>NO</v>
      </c>
      <c r="J2611">
        <f>Cleaned_Data!J2611</f>
        <v>48</v>
      </c>
      <c r="K2611" t="str">
        <f t="shared" si="121"/>
        <v>2024-06</v>
      </c>
      <c r="L2611">
        <f t="shared" si="122"/>
        <v>83.18</v>
      </c>
    </row>
    <row r="2612" spans="1:12">
      <c r="A2612" t="s">
        <v>7582</v>
      </c>
      <c r="B2612" t="s">
        <v>7583</v>
      </c>
      <c r="C2612" t="s">
        <v>7584</v>
      </c>
      <c r="D2612" t="s">
        <v>15</v>
      </c>
      <c r="E2612" t="s">
        <v>28</v>
      </c>
      <c r="F2612" t="s">
        <v>17</v>
      </c>
      <c r="G2612" t="s">
        <v>19</v>
      </c>
      <c r="H2612">
        <f>Cleaned_Data!K2612</f>
        <v>4.63</v>
      </c>
      <c r="I2612" t="str">
        <f t="shared" si="120"/>
        <v>YES</v>
      </c>
      <c r="J2612">
        <f>Cleaned_Data!J2612</f>
        <v>8</v>
      </c>
      <c r="K2612" t="str">
        <f t="shared" si="121"/>
        <v>2024-08</v>
      </c>
      <c r="L2612">
        <f t="shared" si="122"/>
        <v>0</v>
      </c>
    </row>
    <row r="2613" spans="1:12">
      <c r="A2613" t="s">
        <v>7585</v>
      </c>
      <c r="B2613" t="s">
        <v>7586</v>
      </c>
      <c r="C2613" t="s">
        <v>7587</v>
      </c>
      <c r="D2613" t="s">
        <v>35</v>
      </c>
      <c r="E2613" t="s">
        <v>28</v>
      </c>
      <c r="F2613" t="s">
        <v>17</v>
      </c>
      <c r="G2613" t="s">
        <v>31</v>
      </c>
      <c r="H2613">
        <f>Cleaned_Data!K2613</f>
        <v>45.05</v>
      </c>
      <c r="I2613" t="str">
        <f t="shared" si="120"/>
        <v>YES</v>
      </c>
      <c r="J2613">
        <f>Cleaned_Data!J2613</f>
        <v>48</v>
      </c>
      <c r="K2613" t="str">
        <f t="shared" si="121"/>
        <v>2024-10</v>
      </c>
      <c r="L2613">
        <f t="shared" si="122"/>
        <v>0</v>
      </c>
    </row>
    <row r="2614" spans="1:12">
      <c r="A2614" t="s">
        <v>7588</v>
      </c>
      <c r="B2614" t="s">
        <v>7589</v>
      </c>
      <c r="C2614" t="s">
        <v>7590</v>
      </c>
      <c r="D2614" t="s">
        <v>23</v>
      </c>
      <c r="E2614" t="s">
        <v>16</v>
      </c>
      <c r="F2614" t="s">
        <v>17</v>
      </c>
      <c r="G2614" t="s">
        <v>19</v>
      </c>
      <c r="H2614">
        <f>Cleaned_Data!K2614</f>
        <v>17.87</v>
      </c>
      <c r="I2614" t="str">
        <f t="shared" si="120"/>
        <v>YES</v>
      </c>
      <c r="J2614">
        <f>Cleaned_Data!J2614</f>
        <v>24</v>
      </c>
      <c r="K2614" t="str">
        <f t="shared" si="121"/>
        <v>2024-09</v>
      </c>
      <c r="L2614">
        <f t="shared" si="122"/>
        <v>0</v>
      </c>
    </row>
    <row r="2615" spans="1:12">
      <c r="A2615" t="s">
        <v>7591</v>
      </c>
      <c r="B2615" t="s">
        <v>7592</v>
      </c>
      <c r="C2615" t="s">
        <v>7593</v>
      </c>
      <c r="D2615" t="s">
        <v>158</v>
      </c>
      <c r="E2615" t="s">
        <v>16</v>
      </c>
      <c r="F2615" t="s">
        <v>36</v>
      </c>
      <c r="G2615" t="s">
        <v>19</v>
      </c>
      <c r="H2615">
        <f>Cleaned_Data!K2615</f>
        <v>1.41</v>
      </c>
      <c r="I2615" t="str">
        <f t="shared" si="120"/>
        <v>YES</v>
      </c>
      <c r="J2615">
        <f>Cleaned_Data!J2615</f>
        <v>4</v>
      </c>
      <c r="K2615" t="str">
        <f t="shared" si="121"/>
        <v>2024-11</v>
      </c>
      <c r="L2615">
        <f t="shared" si="122"/>
        <v>0</v>
      </c>
    </row>
    <row r="2616" spans="1:12">
      <c r="A2616" t="s">
        <v>7594</v>
      </c>
      <c r="B2616" t="s">
        <v>7595</v>
      </c>
      <c r="C2616" t="s">
        <v>7596</v>
      </c>
      <c r="D2616" t="s">
        <v>23</v>
      </c>
      <c r="E2616" t="s">
        <v>24</v>
      </c>
      <c r="F2616" t="s">
        <v>41</v>
      </c>
      <c r="G2616" t="s">
        <v>19</v>
      </c>
      <c r="H2616">
        <f>Cleaned_Data!K2616</f>
        <v>9.15</v>
      </c>
      <c r="I2616" t="str">
        <f t="shared" si="120"/>
        <v>YES</v>
      </c>
      <c r="J2616">
        <f>Cleaned_Data!J2616</f>
        <v>24</v>
      </c>
      <c r="K2616" t="str">
        <f t="shared" si="121"/>
        <v>2024-11</v>
      </c>
      <c r="L2616">
        <f t="shared" si="122"/>
        <v>0</v>
      </c>
    </row>
    <row r="2617" spans="1:12">
      <c r="A2617" t="s">
        <v>7597</v>
      </c>
      <c r="B2617" t="s">
        <v>7598</v>
      </c>
      <c r="C2617" t="s">
        <v>7599</v>
      </c>
      <c r="D2617" t="s">
        <v>15</v>
      </c>
      <c r="E2617" t="s">
        <v>54</v>
      </c>
      <c r="F2617" t="s">
        <v>29</v>
      </c>
      <c r="G2617" t="s">
        <v>31</v>
      </c>
      <c r="H2617">
        <f>Cleaned_Data!K2617</f>
        <v>5.89</v>
      </c>
      <c r="I2617" t="str">
        <f t="shared" si="120"/>
        <v>YES</v>
      </c>
      <c r="J2617">
        <f>Cleaned_Data!J2617</f>
        <v>8</v>
      </c>
      <c r="K2617" t="str">
        <f t="shared" si="121"/>
        <v>2024-12</v>
      </c>
      <c r="L2617">
        <f t="shared" si="122"/>
        <v>0</v>
      </c>
    </row>
    <row r="2618" spans="1:12">
      <c r="A2618" t="s">
        <v>7600</v>
      </c>
      <c r="B2618" t="s">
        <v>7601</v>
      </c>
      <c r="C2618" t="s">
        <v>7602</v>
      </c>
      <c r="D2618" t="s">
        <v>23</v>
      </c>
      <c r="E2618" t="s">
        <v>24</v>
      </c>
      <c r="F2618" t="s">
        <v>60</v>
      </c>
      <c r="G2618" t="s">
        <v>19</v>
      </c>
      <c r="H2618">
        <f>Cleaned_Data!K2618</f>
        <v>17.66</v>
      </c>
      <c r="I2618" t="str">
        <f t="shared" si="120"/>
        <v>YES</v>
      </c>
      <c r="J2618">
        <f>Cleaned_Data!J2618</f>
        <v>24</v>
      </c>
      <c r="K2618" t="str">
        <f t="shared" si="121"/>
        <v>2024-01</v>
      </c>
      <c r="L2618">
        <f t="shared" si="122"/>
        <v>0</v>
      </c>
    </row>
    <row r="2619" spans="1:12">
      <c r="A2619" t="s">
        <v>7603</v>
      </c>
      <c r="B2619" t="s">
        <v>7604</v>
      </c>
      <c r="C2619" t="s">
        <v>7605</v>
      </c>
      <c r="D2619" t="s">
        <v>23</v>
      </c>
      <c r="E2619" t="s">
        <v>16</v>
      </c>
      <c r="F2619" t="s">
        <v>17</v>
      </c>
      <c r="G2619" t="s">
        <v>19</v>
      </c>
      <c r="H2619">
        <f>Cleaned_Data!K2619</f>
        <v>21.22</v>
      </c>
      <c r="I2619" t="str">
        <f t="shared" si="120"/>
        <v>YES</v>
      </c>
      <c r="J2619">
        <f>Cleaned_Data!J2619</f>
        <v>24</v>
      </c>
      <c r="K2619" t="str">
        <f t="shared" si="121"/>
        <v>2024-10</v>
      </c>
      <c r="L2619">
        <f t="shared" si="122"/>
        <v>0</v>
      </c>
    </row>
    <row r="2620" spans="1:12">
      <c r="A2620" t="s">
        <v>7606</v>
      </c>
      <c r="B2620" t="s">
        <v>7607</v>
      </c>
      <c r="C2620" t="s">
        <v>7608</v>
      </c>
      <c r="D2620" t="s">
        <v>35</v>
      </c>
      <c r="E2620" t="s">
        <v>54</v>
      </c>
      <c r="F2620" t="s">
        <v>17</v>
      </c>
      <c r="G2620" t="s">
        <v>31</v>
      </c>
      <c r="H2620">
        <f>Cleaned_Data!K2620</f>
        <v>123.09</v>
      </c>
      <c r="I2620" t="str">
        <f t="shared" si="120"/>
        <v>NO</v>
      </c>
      <c r="J2620">
        <f>Cleaned_Data!J2620</f>
        <v>48</v>
      </c>
      <c r="K2620" t="str">
        <f t="shared" si="121"/>
        <v>2024-11</v>
      </c>
      <c r="L2620">
        <f t="shared" si="122"/>
        <v>75.09</v>
      </c>
    </row>
    <row r="2621" spans="1:12">
      <c r="A2621" t="s">
        <v>7609</v>
      </c>
      <c r="B2621" t="s">
        <v>7610</v>
      </c>
      <c r="C2621" t="s">
        <v>7611</v>
      </c>
      <c r="D2621" t="s">
        <v>35</v>
      </c>
      <c r="E2621" t="s">
        <v>54</v>
      </c>
      <c r="F2621" t="s">
        <v>29</v>
      </c>
      <c r="G2621" t="s">
        <v>19</v>
      </c>
      <c r="H2621">
        <f>Cleaned_Data!K2621</f>
        <v>105.14</v>
      </c>
      <c r="I2621" t="str">
        <f t="shared" si="120"/>
        <v>NO</v>
      </c>
      <c r="J2621">
        <f>Cleaned_Data!J2621</f>
        <v>48</v>
      </c>
      <c r="K2621" t="str">
        <f t="shared" si="121"/>
        <v>2024-12</v>
      </c>
      <c r="L2621">
        <f t="shared" si="122"/>
        <v>57.14</v>
      </c>
    </row>
    <row r="2622" spans="1:12">
      <c r="A2622" t="s">
        <v>7612</v>
      </c>
      <c r="B2622" t="s">
        <v>7613</v>
      </c>
      <c r="C2622" t="s">
        <v>7614</v>
      </c>
      <c r="D2622" t="s">
        <v>15</v>
      </c>
      <c r="E2622" t="s">
        <v>24</v>
      </c>
      <c r="F2622" t="s">
        <v>17</v>
      </c>
      <c r="G2622" t="s">
        <v>19</v>
      </c>
      <c r="H2622">
        <f>Cleaned_Data!K2622</f>
        <v>3.23</v>
      </c>
      <c r="I2622" t="str">
        <f t="shared" si="120"/>
        <v>YES</v>
      </c>
      <c r="J2622">
        <f>Cleaned_Data!J2622</f>
        <v>8</v>
      </c>
      <c r="K2622" t="str">
        <f t="shared" si="121"/>
        <v>2024-03</v>
      </c>
      <c r="L2622">
        <f t="shared" si="122"/>
        <v>0</v>
      </c>
    </row>
    <row r="2623" spans="1:12">
      <c r="A2623" t="s">
        <v>7615</v>
      </c>
      <c r="B2623" t="s">
        <v>7616</v>
      </c>
      <c r="C2623" t="s">
        <v>7617</v>
      </c>
      <c r="D2623" t="s">
        <v>23</v>
      </c>
      <c r="E2623" t="s">
        <v>54</v>
      </c>
      <c r="F2623" t="s">
        <v>29</v>
      </c>
      <c r="G2623" t="s">
        <v>31</v>
      </c>
      <c r="H2623">
        <f>Cleaned_Data!K2623</f>
        <v>15.01</v>
      </c>
      <c r="I2623" t="str">
        <f t="shared" si="120"/>
        <v>YES</v>
      </c>
      <c r="J2623">
        <f>Cleaned_Data!J2623</f>
        <v>24</v>
      </c>
      <c r="K2623" t="str">
        <f t="shared" si="121"/>
        <v>2024-11</v>
      </c>
      <c r="L2623">
        <f t="shared" si="122"/>
        <v>0</v>
      </c>
    </row>
    <row r="2624" spans="1:12">
      <c r="A2624" t="s">
        <v>7618</v>
      </c>
      <c r="B2624" t="s">
        <v>7619</v>
      </c>
      <c r="C2624" t="s">
        <v>7620</v>
      </c>
      <c r="D2624" t="s">
        <v>15</v>
      </c>
      <c r="E2624" t="s">
        <v>16</v>
      </c>
      <c r="F2624" t="s">
        <v>36</v>
      </c>
      <c r="G2624" t="s">
        <v>31</v>
      </c>
      <c r="H2624">
        <f>Cleaned_Data!K2624</f>
        <v>6.33</v>
      </c>
      <c r="I2624" t="str">
        <f t="shared" si="120"/>
        <v>YES</v>
      </c>
      <c r="J2624">
        <f>Cleaned_Data!J2624</f>
        <v>8</v>
      </c>
      <c r="K2624" t="str">
        <f t="shared" si="121"/>
        <v>2024-05</v>
      </c>
      <c r="L2624">
        <f t="shared" si="122"/>
        <v>0</v>
      </c>
    </row>
    <row r="2625" spans="1:12">
      <c r="A2625" t="s">
        <v>7621</v>
      </c>
      <c r="B2625" t="s">
        <v>7622</v>
      </c>
      <c r="C2625" t="s">
        <v>7623</v>
      </c>
      <c r="D2625" t="s">
        <v>23</v>
      </c>
      <c r="E2625" t="s">
        <v>28</v>
      </c>
      <c r="F2625" t="s">
        <v>17</v>
      </c>
      <c r="G2625" t="s">
        <v>19</v>
      </c>
      <c r="H2625">
        <f>Cleaned_Data!K2625</f>
        <v>19.739999999999998</v>
      </c>
      <c r="I2625" t="str">
        <f t="shared" si="120"/>
        <v>YES</v>
      </c>
      <c r="J2625">
        <f>Cleaned_Data!J2625</f>
        <v>24</v>
      </c>
      <c r="K2625" t="str">
        <f t="shared" si="121"/>
        <v>2024-04</v>
      </c>
      <c r="L2625">
        <f t="shared" si="122"/>
        <v>0</v>
      </c>
    </row>
    <row r="2626" spans="1:12">
      <c r="A2626" t="s">
        <v>7624</v>
      </c>
      <c r="B2626" t="s">
        <v>7625</v>
      </c>
      <c r="C2626" t="s">
        <v>7626</v>
      </c>
      <c r="D2626" t="s">
        <v>23</v>
      </c>
      <c r="E2626" t="s">
        <v>24</v>
      </c>
      <c r="F2626" t="s">
        <v>60</v>
      </c>
      <c r="G2626" t="s">
        <v>19</v>
      </c>
      <c r="H2626">
        <f>Cleaned_Data!K2626</f>
        <v>13.38</v>
      </c>
      <c r="I2626" t="str">
        <f t="shared" ref="I2626:I2689" si="123">IF(OR(G2626="Resolved", G2626="Closed"), IF(AND(H2626&lt;&gt;"", H2626&lt;=J2626), "YES", "NO"), "")</f>
        <v>YES</v>
      </c>
      <c r="J2626">
        <f>Cleaned_Data!J2626</f>
        <v>24</v>
      </c>
      <c r="K2626" t="str">
        <f t="shared" ref="K2626:K2689" si="124">LEFT(B2626, 7)</f>
        <v>2024-03</v>
      </c>
      <c r="L2626">
        <f t="shared" ref="L2626:L2689" si="125">IF(I2626="NO", H2626-J2626, 0)</f>
        <v>0</v>
      </c>
    </row>
    <row r="2627" spans="1:12">
      <c r="A2627" t="s">
        <v>7627</v>
      </c>
      <c r="B2627" t="s">
        <v>7628</v>
      </c>
      <c r="C2627" t="s">
        <v>7629</v>
      </c>
      <c r="D2627" t="s">
        <v>15</v>
      </c>
      <c r="E2627" t="s">
        <v>59</v>
      </c>
      <c r="F2627" t="s">
        <v>29</v>
      </c>
      <c r="G2627" t="s">
        <v>19</v>
      </c>
      <c r="H2627">
        <f>Cleaned_Data!K2627</f>
        <v>9.3000000000000007</v>
      </c>
      <c r="I2627" t="str">
        <f t="shared" si="123"/>
        <v>NO</v>
      </c>
      <c r="J2627">
        <f>Cleaned_Data!J2627</f>
        <v>8</v>
      </c>
      <c r="K2627" t="str">
        <f t="shared" si="124"/>
        <v>2024-02</v>
      </c>
      <c r="L2627">
        <f t="shared" si="125"/>
        <v>1.3000000000000007</v>
      </c>
    </row>
    <row r="2628" spans="1:12">
      <c r="A2628" t="s">
        <v>7630</v>
      </c>
      <c r="B2628" t="s">
        <v>7631</v>
      </c>
      <c r="C2628" t="s">
        <v>7632</v>
      </c>
      <c r="D2628" t="s">
        <v>23</v>
      </c>
      <c r="E2628" t="s">
        <v>28</v>
      </c>
      <c r="F2628" t="s">
        <v>60</v>
      </c>
      <c r="G2628" t="s">
        <v>31</v>
      </c>
      <c r="H2628">
        <f>Cleaned_Data!K2628</f>
        <v>30.72</v>
      </c>
      <c r="I2628" t="str">
        <f t="shared" si="123"/>
        <v>NO</v>
      </c>
      <c r="J2628">
        <f>Cleaned_Data!J2628</f>
        <v>24</v>
      </c>
      <c r="K2628" t="str">
        <f t="shared" si="124"/>
        <v>2024-10</v>
      </c>
      <c r="L2628">
        <f t="shared" si="125"/>
        <v>6.7199999999999989</v>
      </c>
    </row>
    <row r="2629" spans="1:12">
      <c r="A2629" t="s">
        <v>7633</v>
      </c>
      <c r="B2629" t="s">
        <v>7634</v>
      </c>
      <c r="C2629" t="s">
        <v>7635</v>
      </c>
      <c r="D2629" t="s">
        <v>23</v>
      </c>
      <c r="E2629" t="s">
        <v>24</v>
      </c>
      <c r="F2629" t="s">
        <v>41</v>
      </c>
      <c r="G2629" t="s">
        <v>31</v>
      </c>
      <c r="H2629">
        <f>Cleaned_Data!K2629</f>
        <v>3.74</v>
      </c>
      <c r="I2629" t="str">
        <f t="shared" si="123"/>
        <v>YES</v>
      </c>
      <c r="J2629">
        <f>Cleaned_Data!J2629</f>
        <v>24</v>
      </c>
      <c r="K2629" t="str">
        <f t="shared" si="124"/>
        <v>2024-07</v>
      </c>
      <c r="L2629">
        <f t="shared" si="125"/>
        <v>0</v>
      </c>
    </row>
    <row r="2630" spans="1:12">
      <c r="A2630" t="s">
        <v>7636</v>
      </c>
      <c r="B2630" t="s">
        <v>7637</v>
      </c>
      <c r="C2630" t="s">
        <v>7638</v>
      </c>
      <c r="D2630" t="s">
        <v>23</v>
      </c>
      <c r="E2630" t="s">
        <v>16</v>
      </c>
      <c r="F2630" t="s">
        <v>36</v>
      </c>
      <c r="G2630" t="s">
        <v>19</v>
      </c>
      <c r="H2630">
        <f>Cleaned_Data!K2630</f>
        <v>15.09</v>
      </c>
      <c r="I2630" t="str">
        <f t="shared" si="123"/>
        <v>YES</v>
      </c>
      <c r="J2630">
        <f>Cleaned_Data!J2630</f>
        <v>24</v>
      </c>
      <c r="K2630" t="str">
        <f t="shared" si="124"/>
        <v>2024-03</v>
      </c>
      <c r="L2630">
        <f t="shared" si="125"/>
        <v>0</v>
      </c>
    </row>
    <row r="2631" spans="1:12">
      <c r="A2631" t="s">
        <v>7639</v>
      </c>
      <c r="B2631" t="s">
        <v>7640</v>
      </c>
      <c r="C2631" t="s">
        <v>7641</v>
      </c>
      <c r="D2631" t="s">
        <v>15</v>
      </c>
      <c r="E2631" t="s">
        <v>28</v>
      </c>
      <c r="F2631" t="s">
        <v>36</v>
      </c>
      <c r="G2631" t="s">
        <v>19</v>
      </c>
      <c r="H2631">
        <f>Cleaned_Data!K2631</f>
        <v>2.38</v>
      </c>
      <c r="I2631" t="str">
        <f t="shared" si="123"/>
        <v>YES</v>
      </c>
      <c r="J2631">
        <f>Cleaned_Data!J2631</f>
        <v>8</v>
      </c>
      <c r="K2631" t="str">
        <f t="shared" si="124"/>
        <v>2024-08</v>
      </c>
      <c r="L2631">
        <f t="shared" si="125"/>
        <v>0</v>
      </c>
    </row>
    <row r="2632" spans="1:12">
      <c r="A2632" t="s">
        <v>7642</v>
      </c>
      <c r="B2632" t="s">
        <v>7643</v>
      </c>
      <c r="C2632" t="s">
        <v>7644</v>
      </c>
      <c r="D2632" t="s">
        <v>35</v>
      </c>
      <c r="E2632" t="s">
        <v>28</v>
      </c>
      <c r="F2632" t="s">
        <v>29</v>
      </c>
      <c r="G2632" t="s">
        <v>31</v>
      </c>
      <c r="H2632">
        <f>Cleaned_Data!K2632</f>
        <v>42.25</v>
      </c>
      <c r="I2632" t="str">
        <f t="shared" si="123"/>
        <v>YES</v>
      </c>
      <c r="J2632">
        <f>Cleaned_Data!J2632</f>
        <v>48</v>
      </c>
      <c r="K2632" t="str">
        <f t="shared" si="124"/>
        <v>2024-06</v>
      </c>
      <c r="L2632">
        <f t="shared" si="125"/>
        <v>0</v>
      </c>
    </row>
    <row r="2633" spans="1:12">
      <c r="A2633" t="s">
        <v>7645</v>
      </c>
      <c r="B2633" t="s">
        <v>7646</v>
      </c>
      <c r="C2633" t="s">
        <v>7647</v>
      </c>
      <c r="D2633" t="s">
        <v>35</v>
      </c>
      <c r="E2633" t="s">
        <v>24</v>
      </c>
      <c r="F2633" t="s">
        <v>36</v>
      </c>
      <c r="G2633" t="s">
        <v>19</v>
      </c>
      <c r="H2633">
        <f>Cleaned_Data!K2633</f>
        <v>36.07</v>
      </c>
      <c r="I2633" t="str">
        <f t="shared" si="123"/>
        <v>YES</v>
      </c>
      <c r="J2633">
        <f>Cleaned_Data!J2633</f>
        <v>48</v>
      </c>
      <c r="K2633" t="str">
        <f t="shared" si="124"/>
        <v>2024-02</v>
      </c>
      <c r="L2633">
        <f t="shared" si="125"/>
        <v>0</v>
      </c>
    </row>
    <row r="2634" spans="1:12">
      <c r="A2634" t="s">
        <v>7648</v>
      </c>
      <c r="B2634" t="s">
        <v>7649</v>
      </c>
      <c r="C2634" t="s">
        <v>7650</v>
      </c>
      <c r="D2634" t="s">
        <v>23</v>
      </c>
      <c r="E2634" t="s">
        <v>54</v>
      </c>
      <c r="F2634" t="s">
        <v>60</v>
      </c>
      <c r="G2634" t="s">
        <v>19</v>
      </c>
      <c r="H2634">
        <f>Cleaned_Data!K2634</f>
        <v>3.65</v>
      </c>
      <c r="I2634" t="str">
        <f t="shared" si="123"/>
        <v>YES</v>
      </c>
      <c r="J2634">
        <f>Cleaned_Data!J2634</f>
        <v>24</v>
      </c>
      <c r="K2634" t="str">
        <f t="shared" si="124"/>
        <v>2024-08</v>
      </c>
      <c r="L2634">
        <f t="shared" si="125"/>
        <v>0</v>
      </c>
    </row>
    <row r="2635" spans="1:12">
      <c r="A2635" t="s">
        <v>7651</v>
      </c>
      <c r="B2635" t="s">
        <v>7652</v>
      </c>
      <c r="C2635" t="s">
        <v>7653</v>
      </c>
      <c r="D2635" t="s">
        <v>158</v>
      </c>
      <c r="E2635" t="s">
        <v>59</v>
      </c>
      <c r="F2635" t="s">
        <v>29</v>
      </c>
      <c r="G2635" t="s">
        <v>19</v>
      </c>
      <c r="H2635">
        <f>Cleaned_Data!K2635</f>
        <v>1.1100000000000001</v>
      </c>
      <c r="I2635" t="str">
        <f t="shared" si="123"/>
        <v>YES</v>
      </c>
      <c r="J2635">
        <f>Cleaned_Data!J2635</f>
        <v>4</v>
      </c>
      <c r="K2635" t="str">
        <f t="shared" si="124"/>
        <v>2024-02</v>
      </c>
      <c r="L2635">
        <f t="shared" si="125"/>
        <v>0</v>
      </c>
    </row>
    <row r="2636" spans="1:12">
      <c r="A2636" t="s">
        <v>7654</v>
      </c>
      <c r="B2636" t="s">
        <v>7655</v>
      </c>
      <c r="C2636" t="s">
        <v>7656</v>
      </c>
      <c r="D2636" t="s">
        <v>23</v>
      </c>
      <c r="E2636" t="s">
        <v>24</v>
      </c>
      <c r="F2636" t="s">
        <v>17</v>
      </c>
      <c r="G2636" t="s">
        <v>31</v>
      </c>
      <c r="H2636">
        <f>Cleaned_Data!K2636</f>
        <v>11.41</v>
      </c>
      <c r="I2636" t="str">
        <f t="shared" si="123"/>
        <v>YES</v>
      </c>
      <c r="J2636">
        <f>Cleaned_Data!J2636</f>
        <v>24</v>
      </c>
      <c r="K2636" t="str">
        <f t="shared" si="124"/>
        <v>2024-02</v>
      </c>
      <c r="L2636">
        <f t="shared" si="125"/>
        <v>0</v>
      </c>
    </row>
    <row r="2637" spans="1:12">
      <c r="A2637" t="s">
        <v>7657</v>
      </c>
      <c r="B2637" t="s">
        <v>7658</v>
      </c>
      <c r="C2637" t="s">
        <v>7659</v>
      </c>
      <c r="D2637" t="s">
        <v>23</v>
      </c>
      <c r="E2637" t="s">
        <v>28</v>
      </c>
      <c r="F2637" t="s">
        <v>60</v>
      </c>
      <c r="G2637" t="s">
        <v>19</v>
      </c>
      <c r="H2637">
        <f>Cleaned_Data!K2637</f>
        <v>19.940000000000001</v>
      </c>
      <c r="I2637" t="str">
        <f t="shared" si="123"/>
        <v>YES</v>
      </c>
      <c r="J2637">
        <f>Cleaned_Data!J2637</f>
        <v>24</v>
      </c>
      <c r="K2637" t="str">
        <f t="shared" si="124"/>
        <v>2024-06</v>
      </c>
      <c r="L2637">
        <f t="shared" si="125"/>
        <v>0</v>
      </c>
    </row>
    <row r="2638" spans="1:12">
      <c r="A2638" t="s">
        <v>7660</v>
      </c>
      <c r="B2638" t="s">
        <v>7661</v>
      </c>
      <c r="C2638" t="s">
        <v>7662</v>
      </c>
      <c r="D2638" t="s">
        <v>23</v>
      </c>
      <c r="E2638" t="s">
        <v>28</v>
      </c>
      <c r="F2638" t="s">
        <v>29</v>
      </c>
      <c r="G2638" t="s">
        <v>31</v>
      </c>
      <c r="H2638">
        <f>Cleaned_Data!K2638</f>
        <v>21.41</v>
      </c>
      <c r="I2638" t="str">
        <f t="shared" si="123"/>
        <v>YES</v>
      </c>
      <c r="J2638">
        <f>Cleaned_Data!J2638</f>
        <v>24</v>
      </c>
      <c r="K2638" t="str">
        <f t="shared" si="124"/>
        <v>2024-02</v>
      </c>
      <c r="L2638">
        <f t="shared" si="125"/>
        <v>0</v>
      </c>
    </row>
    <row r="2639" spans="1:12">
      <c r="A2639" t="s">
        <v>7663</v>
      </c>
      <c r="B2639" t="s">
        <v>7664</v>
      </c>
      <c r="C2639" t="s">
        <v>7665</v>
      </c>
      <c r="D2639" t="s">
        <v>15</v>
      </c>
      <c r="E2639" t="s">
        <v>59</v>
      </c>
      <c r="F2639" t="s">
        <v>36</v>
      </c>
      <c r="G2639" t="s">
        <v>31</v>
      </c>
      <c r="H2639">
        <f>Cleaned_Data!K2639</f>
        <v>1.08</v>
      </c>
      <c r="I2639" t="str">
        <f t="shared" si="123"/>
        <v>YES</v>
      </c>
      <c r="J2639">
        <f>Cleaned_Data!J2639</f>
        <v>8</v>
      </c>
      <c r="K2639" t="str">
        <f t="shared" si="124"/>
        <v>2024-08</v>
      </c>
      <c r="L2639">
        <f t="shared" si="125"/>
        <v>0</v>
      </c>
    </row>
    <row r="2640" spans="1:12">
      <c r="A2640" t="s">
        <v>7666</v>
      </c>
      <c r="B2640" t="s">
        <v>7667</v>
      </c>
      <c r="C2640" t="s">
        <v>7668</v>
      </c>
      <c r="D2640" t="s">
        <v>35</v>
      </c>
      <c r="E2640" t="s">
        <v>24</v>
      </c>
      <c r="F2640" t="s">
        <v>17</v>
      </c>
      <c r="G2640" t="s">
        <v>31</v>
      </c>
      <c r="H2640">
        <f>Cleaned_Data!K2640</f>
        <v>45.04</v>
      </c>
      <c r="I2640" t="str">
        <f t="shared" si="123"/>
        <v>YES</v>
      </c>
      <c r="J2640">
        <f>Cleaned_Data!J2640</f>
        <v>48</v>
      </c>
      <c r="K2640" t="str">
        <f t="shared" si="124"/>
        <v>2024-05</v>
      </c>
      <c r="L2640">
        <f t="shared" si="125"/>
        <v>0</v>
      </c>
    </row>
    <row r="2641" spans="1:12">
      <c r="A2641" t="s">
        <v>7669</v>
      </c>
      <c r="B2641" t="s">
        <v>7670</v>
      </c>
      <c r="C2641" t="s">
        <v>7671</v>
      </c>
      <c r="D2641" t="s">
        <v>23</v>
      </c>
      <c r="E2641" t="s">
        <v>54</v>
      </c>
      <c r="F2641" t="s">
        <v>36</v>
      </c>
      <c r="G2641" t="s">
        <v>19</v>
      </c>
      <c r="H2641">
        <f>Cleaned_Data!K2641</f>
        <v>15.98</v>
      </c>
      <c r="I2641" t="str">
        <f t="shared" si="123"/>
        <v>YES</v>
      </c>
      <c r="J2641">
        <f>Cleaned_Data!J2641</f>
        <v>24</v>
      </c>
      <c r="K2641" t="str">
        <f t="shared" si="124"/>
        <v>2024-02</v>
      </c>
      <c r="L2641">
        <f t="shared" si="125"/>
        <v>0</v>
      </c>
    </row>
    <row r="2642" spans="1:12">
      <c r="A2642" t="s">
        <v>7672</v>
      </c>
      <c r="B2642" t="s">
        <v>7673</v>
      </c>
      <c r="C2642" t="s">
        <v>7674</v>
      </c>
      <c r="D2642" t="s">
        <v>158</v>
      </c>
      <c r="E2642" t="s">
        <v>28</v>
      </c>
      <c r="F2642" t="s">
        <v>60</v>
      </c>
      <c r="G2642" t="s">
        <v>31</v>
      </c>
      <c r="H2642">
        <f>Cleaned_Data!K2642</f>
        <v>3.22</v>
      </c>
      <c r="I2642" t="str">
        <f t="shared" si="123"/>
        <v>YES</v>
      </c>
      <c r="J2642">
        <f>Cleaned_Data!J2642</f>
        <v>4</v>
      </c>
      <c r="K2642" t="str">
        <f t="shared" si="124"/>
        <v>2024-04</v>
      </c>
      <c r="L2642">
        <f t="shared" si="125"/>
        <v>0</v>
      </c>
    </row>
    <row r="2643" spans="1:12">
      <c r="A2643" t="s">
        <v>7675</v>
      </c>
      <c r="B2643" t="s">
        <v>7676</v>
      </c>
      <c r="C2643" t="s">
        <v>7677</v>
      </c>
      <c r="D2643" t="s">
        <v>15</v>
      </c>
      <c r="E2643" t="s">
        <v>28</v>
      </c>
      <c r="F2643" t="s">
        <v>41</v>
      </c>
      <c r="G2643" t="s">
        <v>19</v>
      </c>
      <c r="H2643">
        <f>Cleaned_Data!K2643</f>
        <v>5.83</v>
      </c>
      <c r="I2643" t="str">
        <f t="shared" si="123"/>
        <v>YES</v>
      </c>
      <c r="J2643">
        <f>Cleaned_Data!J2643</f>
        <v>8</v>
      </c>
      <c r="K2643" t="str">
        <f t="shared" si="124"/>
        <v>2024-10</v>
      </c>
      <c r="L2643">
        <f t="shared" si="125"/>
        <v>0</v>
      </c>
    </row>
    <row r="2644" spans="1:12">
      <c r="A2644" t="s">
        <v>7678</v>
      </c>
      <c r="B2644" t="s">
        <v>7679</v>
      </c>
      <c r="C2644" t="s">
        <v>7680</v>
      </c>
      <c r="D2644" t="s">
        <v>15</v>
      </c>
      <c r="E2644" t="s">
        <v>24</v>
      </c>
      <c r="F2644" t="s">
        <v>17</v>
      </c>
      <c r="G2644" t="s">
        <v>19</v>
      </c>
      <c r="H2644">
        <f>Cleaned_Data!K2644</f>
        <v>6.1</v>
      </c>
      <c r="I2644" t="str">
        <f t="shared" si="123"/>
        <v>YES</v>
      </c>
      <c r="J2644">
        <f>Cleaned_Data!J2644</f>
        <v>8</v>
      </c>
      <c r="K2644" t="str">
        <f t="shared" si="124"/>
        <v>2024-07</v>
      </c>
      <c r="L2644">
        <f t="shared" si="125"/>
        <v>0</v>
      </c>
    </row>
    <row r="2645" spans="1:12">
      <c r="A2645" t="s">
        <v>7681</v>
      </c>
      <c r="B2645" t="s">
        <v>7682</v>
      </c>
      <c r="C2645" t="s">
        <v>7683</v>
      </c>
      <c r="D2645" t="s">
        <v>23</v>
      </c>
      <c r="E2645" t="s">
        <v>16</v>
      </c>
      <c r="F2645" t="s">
        <v>41</v>
      </c>
      <c r="G2645" t="s">
        <v>31</v>
      </c>
      <c r="H2645">
        <f>Cleaned_Data!K2645</f>
        <v>20.14</v>
      </c>
      <c r="I2645" t="str">
        <f t="shared" si="123"/>
        <v>YES</v>
      </c>
      <c r="J2645">
        <f>Cleaned_Data!J2645</f>
        <v>24</v>
      </c>
      <c r="K2645" t="str">
        <f t="shared" si="124"/>
        <v>2024-10</v>
      </c>
      <c r="L2645">
        <f t="shared" si="125"/>
        <v>0</v>
      </c>
    </row>
    <row r="2646" spans="1:12">
      <c r="A2646" t="s">
        <v>7684</v>
      </c>
      <c r="B2646" t="s">
        <v>7685</v>
      </c>
      <c r="C2646" t="s">
        <v>7686</v>
      </c>
      <c r="D2646" t="s">
        <v>23</v>
      </c>
      <c r="E2646" t="s">
        <v>28</v>
      </c>
      <c r="F2646" t="s">
        <v>41</v>
      </c>
      <c r="G2646" t="s">
        <v>31</v>
      </c>
      <c r="H2646">
        <f>Cleaned_Data!K2646</f>
        <v>46.13</v>
      </c>
      <c r="I2646" t="str">
        <f t="shared" si="123"/>
        <v>NO</v>
      </c>
      <c r="J2646">
        <f>Cleaned_Data!J2646</f>
        <v>24</v>
      </c>
      <c r="K2646" t="str">
        <f t="shared" si="124"/>
        <v>2024-02</v>
      </c>
      <c r="L2646">
        <f t="shared" si="125"/>
        <v>22.130000000000003</v>
      </c>
    </row>
    <row r="2647" spans="1:12">
      <c r="A2647" t="s">
        <v>7687</v>
      </c>
      <c r="B2647" t="s">
        <v>7688</v>
      </c>
      <c r="C2647" t="s">
        <v>7689</v>
      </c>
      <c r="D2647" t="s">
        <v>23</v>
      </c>
      <c r="E2647" t="s">
        <v>28</v>
      </c>
      <c r="F2647" t="s">
        <v>17</v>
      </c>
      <c r="G2647" t="s">
        <v>19</v>
      </c>
      <c r="H2647">
        <f>Cleaned_Data!K2647</f>
        <v>33.130000000000003</v>
      </c>
      <c r="I2647" t="str">
        <f t="shared" si="123"/>
        <v>NO</v>
      </c>
      <c r="J2647">
        <f>Cleaned_Data!J2647</f>
        <v>24</v>
      </c>
      <c r="K2647" t="str">
        <f t="shared" si="124"/>
        <v>2024-03</v>
      </c>
      <c r="L2647">
        <f t="shared" si="125"/>
        <v>9.1300000000000026</v>
      </c>
    </row>
    <row r="2648" spans="1:12">
      <c r="A2648" t="s">
        <v>7690</v>
      </c>
      <c r="B2648" t="s">
        <v>7691</v>
      </c>
      <c r="C2648" t="s">
        <v>7692</v>
      </c>
      <c r="D2648" t="s">
        <v>15</v>
      </c>
      <c r="E2648" t="s">
        <v>28</v>
      </c>
      <c r="F2648" t="s">
        <v>60</v>
      </c>
      <c r="G2648" t="s">
        <v>31</v>
      </c>
      <c r="H2648">
        <f>Cleaned_Data!K2648</f>
        <v>4.92</v>
      </c>
      <c r="I2648" t="str">
        <f t="shared" si="123"/>
        <v>YES</v>
      </c>
      <c r="J2648">
        <f>Cleaned_Data!J2648</f>
        <v>8</v>
      </c>
      <c r="K2648" t="str">
        <f t="shared" si="124"/>
        <v>2024-12</v>
      </c>
      <c r="L2648">
        <f t="shared" si="125"/>
        <v>0</v>
      </c>
    </row>
    <row r="2649" spans="1:12">
      <c r="A2649" t="s">
        <v>7693</v>
      </c>
      <c r="B2649" t="s">
        <v>7694</v>
      </c>
      <c r="C2649" t="s">
        <v>7695</v>
      </c>
      <c r="D2649" t="s">
        <v>15</v>
      </c>
      <c r="E2649" t="s">
        <v>54</v>
      </c>
      <c r="F2649" t="s">
        <v>36</v>
      </c>
      <c r="G2649" t="s">
        <v>19</v>
      </c>
      <c r="H2649">
        <f>Cleaned_Data!K2649</f>
        <v>7.05</v>
      </c>
      <c r="I2649" t="str">
        <f t="shared" si="123"/>
        <v>YES</v>
      </c>
      <c r="J2649">
        <f>Cleaned_Data!J2649</f>
        <v>8</v>
      </c>
      <c r="K2649" t="str">
        <f t="shared" si="124"/>
        <v>2024-06</v>
      </c>
      <c r="L2649">
        <f t="shared" si="125"/>
        <v>0</v>
      </c>
    </row>
    <row r="2650" spans="1:12">
      <c r="A2650" t="s">
        <v>7696</v>
      </c>
      <c r="B2650" t="s">
        <v>7697</v>
      </c>
      <c r="C2650" t="s">
        <v>7698</v>
      </c>
      <c r="D2650" t="s">
        <v>35</v>
      </c>
      <c r="E2650" t="s">
        <v>59</v>
      </c>
      <c r="F2650" t="s">
        <v>29</v>
      </c>
      <c r="G2650" t="s">
        <v>19</v>
      </c>
      <c r="H2650">
        <f>Cleaned_Data!K2650</f>
        <v>38.909999999999997</v>
      </c>
      <c r="I2650" t="str">
        <f t="shared" si="123"/>
        <v>YES</v>
      </c>
      <c r="J2650">
        <f>Cleaned_Data!J2650</f>
        <v>48</v>
      </c>
      <c r="K2650" t="str">
        <f t="shared" si="124"/>
        <v>2024-11</v>
      </c>
      <c r="L2650">
        <f t="shared" si="125"/>
        <v>0</v>
      </c>
    </row>
    <row r="2651" spans="1:12">
      <c r="A2651" t="s">
        <v>7699</v>
      </c>
      <c r="B2651" t="s">
        <v>7700</v>
      </c>
      <c r="C2651" t="s">
        <v>7701</v>
      </c>
      <c r="D2651" t="s">
        <v>23</v>
      </c>
      <c r="E2651" t="s">
        <v>54</v>
      </c>
      <c r="F2651" t="s">
        <v>36</v>
      </c>
      <c r="G2651" t="s">
        <v>31</v>
      </c>
      <c r="H2651">
        <f>Cleaned_Data!K2651</f>
        <v>7.41</v>
      </c>
      <c r="I2651" t="str">
        <f t="shared" si="123"/>
        <v>YES</v>
      </c>
      <c r="J2651">
        <f>Cleaned_Data!J2651</f>
        <v>24</v>
      </c>
      <c r="K2651" t="str">
        <f t="shared" si="124"/>
        <v>2024-01</v>
      </c>
      <c r="L2651">
        <f t="shared" si="125"/>
        <v>0</v>
      </c>
    </row>
    <row r="2652" spans="1:12">
      <c r="A2652" t="s">
        <v>7702</v>
      </c>
      <c r="B2652" t="s">
        <v>7703</v>
      </c>
      <c r="C2652" t="s">
        <v>7704</v>
      </c>
      <c r="D2652" t="s">
        <v>23</v>
      </c>
      <c r="E2652" t="s">
        <v>24</v>
      </c>
      <c r="F2652" t="s">
        <v>29</v>
      </c>
      <c r="G2652" t="s">
        <v>19</v>
      </c>
      <c r="H2652">
        <f>Cleaned_Data!K2652</f>
        <v>35.6</v>
      </c>
      <c r="I2652" t="str">
        <f t="shared" si="123"/>
        <v>NO</v>
      </c>
      <c r="J2652">
        <f>Cleaned_Data!J2652</f>
        <v>24</v>
      </c>
      <c r="K2652" t="str">
        <f t="shared" si="124"/>
        <v>2024-07</v>
      </c>
      <c r="L2652">
        <f t="shared" si="125"/>
        <v>11.600000000000001</v>
      </c>
    </row>
    <row r="2653" spans="1:12">
      <c r="A2653" t="s">
        <v>7705</v>
      </c>
      <c r="B2653" t="s">
        <v>7706</v>
      </c>
      <c r="C2653" t="s">
        <v>7707</v>
      </c>
      <c r="D2653" t="s">
        <v>158</v>
      </c>
      <c r="E2653" t="s">
        <v>59</v>
      </c>
      <c r="F2653" t="s">
        <v>60</v>
      </c>
      <c r="G2653" t="s">
        <v>19</v>
      </c>
      <c r="H2653">
        <f>Cleaned_Data!K2653</f>
        <v>1.49</v>
      </c>
      <c r="I2653" t="str">
        <f t="shared" si="123"/>
        <v>YES</v>
      </c>
      <c r="J2653">
        <f>Cleaned_Data!J2653</f>
        <v>4</v>
      </c>
      <c r="K2653" t="str">
        <f t="shared" si="124"/>
        <v>2024-09</v>
      </c>
      <c r="L2653">
        <f t="shared" si="125"/>
        <v>0</v>
      </c>
    </row>
    <row r="2654" spans="1:12">
      <c r="A2654" t="s">
        <v>7708</v>
      </c>
      <c r="B2654" t="s">
        <v>7709</v>
      </c>
      <c r="D2654" t="s">
        <v>35</v>
      </c>
      <c r="E2654" t="s">
        <v>16</v>
      </c>
      <c r="F2654" t="s">
        <v>36</v>
      </c>
      <c r="G2654" t="s">
        <v>46</v>
      </c>
      <c r="H2654">
        <f>Cleaned_Data!K2654</f>
        <v>0</v>
      </c>
      <c r="I2654" t="str">
        <f t="shared" si="123"/>
        <v/>
      </c>
      <c r="J2654">
        <f>Cleaned_Data!J2654</f>
        <v>48</v>
      </c>
      <c r="K2654" t="str">
        <f t="shared" si="124"/>
        <v>2024-02</v>
      </c>
      <c r="L2654">
        <f t="shared" si="125"/>
        <v>0</v>
      </c>
    </row>
    <row r="2655" spans="1:12">
      <c r="A2655" t="s">
        <v>7710</v>
      </c>
      <c r="B2655" t="s">
        <v>7711</v>
      </c>
      <c r="D2655" t="s">
        <v>15</v>
      </c>
      <c r="E2655" t="s">
        <v>28</v>
      </c>
      <c r="F2655" t="s">
        <v>60</v>
      </c>
      <c r="G2655" t="s">
        <v>63</v>
      </c>
      <c r="H2655">
        <f>Cleaned_Data!K2655</f>
        <v>0</v>
      </c>
      <c r="I2655" t="str">
        <f t="shared" si="123"/>
        <v/>
      </c>
      <c r="J2655">
        <f>Cleaned_Data!J2655</f>
        <v>8</v>
      </c>
      <c r="K2655" t="str">
        <f t="shared" si="124"/>
        <v>2024-12</v>
      </c>
      <c r="L2655">
        <f t="shared" si="125"/>
        <v>0</v>
      </c>
    </row>
    <row r="2656" spans="1:12">
      <c r="A2656" t="s">
        <v>7712</v>
      </c>
      <c r="B2656" t="s">
        <v>7713</v>
      </c>
      <c r="C2656" t="s">
        <v>7714</v>
      </c>
      <c r="D2656" t="s">
        <v>158</v>
      </c>
      <c r="E2656" t="s">
        <v>28</v>
      </c>
      <c r="F2656" t="s">
        <v>41</v>
      </c>
      <c r="G2656" t="s">
        <v>19</v>
      </c>
      <c r="H2656">
        <f>Cleaned_Data!K2656</f>
        <v>1.91</v>
      </c>
      <c r="I2656" t="str">
        <f t="shared" si="123"/>
        <v>YES</v>
      </c>
      <c r="J2656">
        <f>Cleaned_Data!J2656</f>
        <v>4</v>
      </c>
      <c r="K2656" t="str">
        <f t="shared" si="124"/>
        <v>2024-01</v>
      </c>
      <c r="L2656">
        <f t="shared" si="125"/>
        <v>0</v>
      </c>
    </row>
    <row r="2657" spans="1:12">
      <c r="A2657" t="s">
        <v>7715</v>
      </c>
      <c r="B2657" t="s">
        <v>7716</v>
      </c>
      <c r="C2657" t="s">
        <v>7717</v>
      </c>
      <c r="D2657" t="s">
        <v>35</v>
      </c>
      <c r="E2657" t="s">
        <v>54</v>
      </c>
      <c r="F2657" t="s">
        <v>17</v>
      </c>
      <c r="G2657" t="s">
        <v>31</v>
      </c>
      <c r="H2657">
        <f>Cleaned_Data!K2657</f>
        <v>31.03</v>
      </c>
      <c r="I2657" t="str">
        <f t="shared" si="123"/>
        <v>YES</v>
      </c>
      <c r="J2657">
        <f>Cleaned_Data!J2657</f>
        <v>48</v>
      </c>
      <c r="K2657" t="str">
        <f t="shared" si="124"/>
        <v>2024-02</v>
      </c>
      <c r="L2657">
        <f t="shared" si="125"/>
        <v>0</v>
      </c>
    </row>
    <row r="2658" spans="1:12">
      <c r="A2658" t="s">
        <v>7718</v>
      </c>
      <c r="B2658" t="s">
        <v>7719</v>
      </c>
      <c r="C2658" t="s">
        <v>7720</v>
      </c>
      <c r="D2658" t="s">
        <v>15</v>
      </c>
      <c r="E2658" t="s">
        <v>24</v>
      </c>
      <c r="F2658" t="s">
        <v>41</v>
      </c>
      <c r="G2658" t="s">
        <v>19</v>
      </c>
      <c r="H2658">
        <f>Cleaned_Data!K2658</f>
        <v>1.47</v>
      </c>
      <c r="I2658" t="str">
        <f t="shared" si="123"/>
        <v>YES</v>
      </c>
      <c r="J2658">
        <f>Cleaned_Data!J2658</f>
        <v>8</v>
      </c>
      <c r="K2658" t="str">
        <f t="shared" si="124"/>
        <v>2024-04</v>
      </c>
      <c r="L2658">
        <f t="shared" si="125"/>
        <v>0</v>
      </c>
    </row>
    <row r="2659" spans="1:12">
      <c r="A2659" t="s">
        <v>7721</v>
      </c>
      <c r="B2659" t="s">
        <v>7722</v>
      </c>
      <c r="C2659" t="s">
        <v>7723</v>
      </c>
      <c r="D2659" t="s">
        <v>35</v>
      </c>
      <c r="E2659" t="s">
        <v>24</v>
      </c>
      <c r="F2659" t="s">
        <v>17</v>
      </c>
      <c r="G2659" t="s">
        <v>19</v>
      </c>
      <c r="H2659">
        <f>Cleaned_Data!K2659</f>
        <v>41.31</v>
      </c>
      <c r="I2659" t="str">
        <f t="shared" si="123"/>
        <v>YES</v>
      </c>
      <c r="J2659">
        <f>Cleaned_Data!J2659</f>
        <v>48</v>
      </c>
      <c r="K2659" t="str">
        <f t="shared" si="124"/>
        <v>2024-12</v>
      </c>
      <c r="L2659">
        <f t="shared" si="125"/>
        <v>0</v>
      </c>
    </row>
    <row r="2660" spans="1:12">
      <c r="A2660" t="s">
        <v>7724</v>
      </c>
      <c r="B2660" t="s">
        <v>7725</v>
      </c>
      <c r="C2660" t="s">
        <v>7726</v>
      </c>
      <c r="D2660" t="s">
        <v>35</v>
      </c>
      <c r="E2660" t="s">
        <v>16</v>
      </c>
      <c r="F2660" t="s">
        <v>36</v>
      </c>
      <c r="G2660" t="s">
        <v>31</v>
      </c>
      <c r="H2660">
        <f>Cleaned_Data!K2660</f>
        <v>15.04</v>
      </c>
      <c r="I2660" t="str">
        <f t="shared" si="123"/>
        <v>YES</v>
      </c>
      <c r="J2660">
        <f>Cleaned_Data!J2660</f>
        <v>48</v>
      </c>
      <c r="K2660" t="str">
        <f t="shared" si="124"/>
        <v>2024-07</v>
      </c>
      <c r="L2660">
        <f t="shared" si="125"/>
        <v>0</v>
      </c>
    </row>
    <row r="2661" spans="1:12">
      <c r="A2661" t="s">
        <v>7727</v>
      </c>
      <c r="B2661" t="s">
        <v>7728</v>
      </c>
      <c r="C2661" t="s">
        <v>7729</v>
      </c>
      <c r="D2661" t="s">
        <v>35</v>
      </c>
      <c r="E2661" t="s">
        <v>59</v>
      </c>
      <c r="F2661" t="s">
        <v>41</v>
      </c>
      <c r="G2661" t="s">
        <v>19</v>
      </c>
      <c r="H2661">
        <f>Cleaned_Data!K2661</f>
        <v>59.77</v>
      </c>
      <c r="I2661" t="str">
        <f t="shared" si="123"/>
        <v>NO</v>
      </c>
      <c r="J2661">
        <f>Cleaned_Data!J2661</f>
        <v>48</v>
      </c>
      <c r="K2661" t="str">
        <f t="shared" si="124"/>
        <v>2024-08</v>
      </c>
      <c r="L2661">
        <f t="shared" si="125"/>
        <v>11.770000000000003</v>
      </c>
    </row>
    <row r="2662" spans="1:12">
      <c r="A2662" t="s">
        <v>7730</v>
      </c>
      <c r="B2662" t="s">
        <v>7731</v>
      </c>
      <c r="C2662" t="s">
        <v>7732</v>
      </c>
      <c r="D2662" t="s">
        <v>35</v>
      </c>
      <c r="E2662" t="s">
        <v>16</v>
      </c>
      <c r="F2662" t="s">
        <v>41</v>
      </c>
      <c r="G2662" t="s">
        <v>31</v>
      </c>
      <c r="H2662">
        <f>Cleaned_Data!K2662</f>
        <v>17.03</v>
      </c>
      <c r="I2662" t="str">
        <f t="shared" si="123"/>
        <v>YES</v>
      </c>
      <c r="J2662">
        <f>Cleaned_Data!J2662</f>
        <v>48</v>
      </c>
      <c r="K2662" t="str">
        <f t="shared" si="124"/>
        <v>2024-01</v>
      </c>
      <c r="L2662">
        <f t="shared" si="125"/>
        <v>0</v>
      </c>
    </row>
    <row r="2663" spans="1:12">
      <c r="A2663" t="s">
        <v>7733</v>
      </c>
      <c r="B2663" t="s">
        <v>7734</v>
      </c>
      <c r="C2663" t="s">
        <v>7735</v>
      </c>
      <c r="D2663" t="s">
        <v>15</v>
      </c>
      <c r="E2663" t="s">
        <v>54</v>
      </c>
      <c r="F2663" t="s">
        <v>41</v>
      </c>
      <c r="G2663" t="s">
        <v>19</v>
      </c>
      <c r="H2663">
        <f>Cleaned_Data!K2663</f>
        <v>6.03</v>
      </c>
      <c r="I2663" t="str">
        <f t="shared" si="123"/>
        <v>YES</v>
      </c>
      <c r="J2663">
        <f>Cleaned_Data!J2663</f>
        <v>8</v>
      </c>
      <c r="K2663" t="str">
        <f t="shared" si="124"/>
        <v>2024-12</v>
      </c>
      <c r="L2663">
        <f t="shared" si="125"/>
        <v>0</v>
      </c>
    </row>
    <row r="2664" spans="1:12">
      <c r="A2664" t="s">
        <v>7736</v>
      </c>
      <c r="B2664" t="s">
        <v>7737</v>
      </c>
      <c r="C2664" t="s">
        <v>7738</v>
      </c>
      <c r="D2664" t="s">
        <v>15</v>
      </c>
      <c r="E2664" t="s">
        <v>16</v>
      </c>
      <c r="F2664" t="s">
        <v>17</v>
      </c>
      <c r="G2664" t="s">
        <v>31</v>
      </c>
      <c r="H2664">
        <f>Cleaned_Data!K2664</f>
        <v>3.85</v>
      </c>
      <c r="I2664" t="str">
        <f t="shared" si="123"/>
        <v>YES</v>
      </c>
      <c r="J2664">
        <f>Cleaned_Data!J2664</f>
        <v>8</v>
      </c>
      <c r="K2664" t="str">
        <f t="shared" si="124"/>
        <v>2024-04</v>
      </c>
      <c r="L2664">
        <f t="shared" si="125"/>
        <v>0</v>
      </c>
    </row>
    <row r="2665" spans="1:12">
      <c r="A2665" t="s">
        <v>7739</v>
      </c>
      <c r="B2665" t="s">
        <v>7740</v>
      </c>
      <c r="C2665" t="s">
        <v>7741</v>
      </c>
      <c r="D2665" t="s">
        <v>15</v>
      </c>
      <c r="E2665" t="s">
        <v>16</v>
      </c>
      <c r="F2665" t="s">
        <v>60</v>
      </c>
      <c r="G2665" t="s">
        <v>31</v>
      </c>
      <c r="H2665">
        <f>Cleaned_Data!K2665</f>
        <v>5.98</v>
      </c>
      <c r="I2665" t="str">
        <f t="shared" si="123"/>
        <v>YES</v>
      </c>
      <c r="J2665">
        <f>Cleaned_Data!J2665</f>
        <v>8</v>
      </c>
      <c r="K2665" t="str">
        <f t="shared" si="124"/>
        <v>2024-01</v>
      </c>
      <c r="L2665">
        <f t="shared" si="125"/>
        <v>0</v>
      </c>
    </row>
    <row r="2666" spans="1:12">
      <c r="A2666" t="s">
        <v>7742</v>
      </c>
      <c r="B2666" t="s">
        <v>7743</v>
      </c>
      <c r="C2666" t="s">
        <v>7744</v>
      </c>
      <c r="D2666" t="s">
        <v>158</v>
      </c>
      <c r="E2666" t="s">
        <v>54</v>
      </c>
      <c r="F2666" t="s">
        <v>17</v>
      </c>
      <c r="G2666" t="s">
        <v>19</v>
      </c>
      <c r="H2666">
        <f>Cleaned_Data!K2666</f>
        <v>1.3</v>
      </c>
      <c r="I2666" t="str">
        <f t="shared" si="123"/>
        <v>YES</v>
      </c>
      <c r="J2666">
        <f>Cleaned_Data!J2666</f>
        <v>4</v>
      </c>
      <c r="K2666" t="str">
        <f t="shared" si="124"/>
        <v>2024-08</v>
      </c>
      <c r="L2666">
        <f t="shared" si="125"/>
        <v>0</v>
      </c>
    </row>
    <row r="2667" spans="1:12">
      <c r="A2667" t="s">
        <v>7745</v>
      </c>
      <c r="B2667" t="s">
        <v>7746</v>
      </c>
      <c r="C2667" t="s">
        <v>7747</v>
      </c>
      <c r="D2667" t="s">
        <v>23</v>
      </c>
      <c r="E2667" t="s">
        <v>28</v>
      </c>
      <c r="F2667" t="s">
        <v>29</v>
      </c>
      <c r="G2667" t="s">
        <v>31</v>
      </c>
      <c r="H2667">
        <f>Cleaned_Data!K2667</f>
        <v>21.65</v>
      </c>
      <c r="I2667" t="str">
        <f t="shared" si="123"/>
        <v>YES</v>
      </c>
      <c r="J2667">
        <f>Cleaned_Data!J2667</f>
        <v>24</v>
      </c>
      <c r="K2667" t="str">
        <f t="shared" si="124"/>
        <v>2024-01</v>
      </c>
      <c r="L2667">
        <f t="shared" si="125"/>
        <v>0</v>
      </c>
    </row>
    <row r="2668" spans="1:12">
      <c r="A2668" t="s">
        <v>7748</v>
      </c>
      <c r="B2668" t="s">
        <v>7749</v>
      </c>
      <c r="C2668" t="s">
        <v>7750</v>
      </c>
      <c r="D2668" t="s">
        <v>23</v>
      </c>
      <c r="E2668" t="s">
        <v>28</v>
      </c>
      <c r="F2668" t="s">
        <v>60</v>
      </c>
      <c r="G2668" t="s">
        <v>19</v>
      </c>
      <c r="H2668">
        <f>Cleaned_Data!K2668</f>
        <v>14.26</v>
      </c>
      <c r="I2668" t="str">
        <f t="shared" si="123"/>
        <v>YES</v>
      </c>
      <c r="J2668">
        <f>Cleaned_Data!J2668</f>
        <v>24</v>
      </c>
      <c r="K2668" t="str">
        <f t="shared" si="124"/>
        <v>2024-06</v>
      </c>
      <c r="L2668">
        <f t="shared" si="125"/>
        <v>0</v>
      </c>
    </row>
    <row r="2669" spans="1:12">
      <c r="A2669" t="s">
        <v>7751</v>
      </c>
      <c r="B2669" t="s">
        <v>7752</v>
      </c>
      <c r="C2669" t="s">
        <v>7753</v>
      </c>
      <c r="D2669" t="s">
        <v>158</v>
      </c>
      <c r="E2669" t="s">
        <v>54</v>
      </c>
      <c r="F2669" t="s">
        <v>36</v>
      </c>
      <c r="G2669" t="s">
        <v>19</v>
      </c>
      <c r="H2669">
        <f>Cleaned_Data!K2669</f>
        <v>1.8</v>
      </c>
      <c r="I2669" t="str">
        <f t="shared" si="123"/>
        <v>YES</v>
      </c>
      <c r="J2669">
        <f>Cleaned_Data!J2669</f>
        <v>4</v>
      </c>
      <c r="K2669" t="str">
        <f t="shared" si="124"/>
        <v>2024-07</v>
      </c>
      <c r="L2669">
        <f t="shared" si="125"/>
        <v>0</v>
      </c>
    </row>
    <row r="2670" spans="1:12">
      <c r="A2670" t="s">
        <v>7754</v>
      </c>
      <c r="B2670" t="s">
        <v>7755</v>
      </c>
      <c r="C2670" t="s">
        <v>7756</v>
      </c>
      <c r="D2670" t="s">
        <v>23</v>
      </c>
      <c r="E2670" t="s">
        <v>59</v>
      </c>
      <c r="F2670" t="s">
        <v>60</v>
      </c>
      <c r="G2670" t="s">
        <v>19</v>
      </c>
      <c r="H2670">
        <f>Cleaned_Data!K2670</f>
        <v>10.48</v>
      </c>
      <c r="I2670" t="str">
        <f t="shared" si="123"/>
        <v>YES</v>
      </c>
      <c r="J2670">
        <f>Cleaned_Data!J2670</f>
        <v>24</v>
      </c>
      <c r="K2670" t="str">
        <f t="shared" si="124"/>
        <v>2024-03</v>
      </c>
      <c r="L2670">
        <f t="shared" si="125"/>
        <v>0</v>
      </c>
    </row>
    <row r="2671" spans="1:12">
      <c r="A2671" t="s">
        <v>7757</v>
      </c>
      <c r="B2671" t="s">
        <v>7758</v>
      </c>
      <c r="C2671" t="s">
        <v>7759</v>
      </c>
      <c r="D2671" t="s">
        <v>23</v>
      </c>
      <c r="E2671" t="s">
        <v>16</v>
      </c>
      <c r="F2671" t="s">
        <v>29</v>
      </c>
      <c r="G2671" t="s">
        <v>19</v>
      </c>
      <c r="H2671">
        <f>Cleaned_Data!K2671</f>
        <v>11.93</v>
      </c>
      <c r="I2671" t="str">
        <f t="shared" si="123"/>
        <v>YES</v>
      </c>
      <c r="J2671">
        <f>Cleaned_Data!J2671</f>
        <v>24</v>
      </c>
      <c r="K2671" t="str">
        <f t="shared" si="124"/>
        <v>2024-07</v>
      </c>
      <c r="L2671">
        <f t="shared" si="125"/>
        <v>0</v>
      </c>
    </row>
    <row r="2672" spans="1:12">
      <c r="A2672" t="s">
        <v>7760</v>
      </c>
      <c r="B2672" t="s">
        <v>7761</v>
      </c>
      <c r="C2672" t="s">
        <v>7762</v>
      </c>
      <c r="D2672" t="s">
        <v>23</v>
      </c>
      <c r="E2672" t="s">
        <v>28</v>
      </c>
      <c r="F2672" t="s">
        <v>36</v>
      </c>
      <c r="G2672" t="s">
        <v>31</v>
      </c>
      <c r="H2672">
        <f>Cleaned_Data!K2672</f>
        <v>29.28</v>
      </c>
      <c r="I2672" t="str">
        <f t="shared" si="123"/>
        <v>NO</v>
      </c>
      <c r="J2672">
        <f>Cleaned_Data!J2672</f>
        <v>24</v>
      </c>
      <c r="K2672" t="str">
        <f t="shared" si="124"/>
        <v>2024-05</v>
      </c>
      <c r="L2672">
        <f t="shared" si="125"/>
        <v>5.2800000000000011</v>
      </c>
    </row>
    <row r="2673" spans="1:12">
      <c r="A2673" t="s">
        <v>7763</v>
      </c>
      <c r="B2673" t="s">
        <v>7764</v>
      </c>
      <c r="C2673" t="s">
        <v>7765</v>
      </c>
      <c r="D2673" t="s">
        <v>23</v>
      </c>
      <c r="E2673" t="s">
        <v>54</v>
      </c>
      <c r="F2673" t="s">
        <v>36</v>
      </c>
      <c r="G2673" t="s">
        <v>19</v>
      </c>
      <c r="H2673">
        <f>Cleaned_Data!K2673</f>
        <v>33.01</v>
      </c>
      <c r="I2673" t="str">
        <f t="shared" si="123"/>
        <v>NO</v>
      </c>
      <c r="J2673">
        <f>Cleaned_Data!J2673</f>
        <v>24</v>
      </c>
      <c r="K2673" t="str">
        <f t="shared" si="124"/>
        <v>2024-07</v>
      </c>
      <c r="L2673">
        <f t="shared" si="125"/>
        <v>9.009999999999998</v>
      </c>
    </row>
    <row r="2674" spans="1:12">
      <c r="A2674" t="s">
        <v>7766</v>
      </c>
      <c r="B2674" t="s">
        <v>7767</v>
      </c>
      <c r="C2674" t="s">
        <v>7768</v>
      </c>
      <c r="D2674" t="s">
        <v>23</v>
      </c>
      <c r="E2674" t="s">
        <v>28</v>
      </c>
      <c r="F2674" t="s">
        <v>36</v>
      </c>
      <c r="G2674" t="s">
        <v>19</v>
      </c>
      <c r="H2674">
        <f>Cleaned_Data!K2674</f>
        <v>51.51</v>
      </c>
      <c r="I2674" t="str">
        <f t="shared" si="123"/>
        <v>NO</v>
      </c>
      <c r="J2674">
        <f>Cleaned_Data!J2674</f>
        <v>24</v>
      </c>
      <c r="K2674" t="str">
        <f t="shared" si="124"/>
        <v>2024-01</v>
      </c>
      <c r="L2674">
        <f t="shared" si="125"/>
        <v>27.509999999999998</v>
      </c>
    </row>
    <row r="2675" spans="1:12">
      <c r="A2675" t="s">
        <v>7769</v>
      </c>
      <c r="B2675" t="s">
        <v>7770</v>
      </c>
      <c r="C2675" t="s">
        <v>7771</v>
      </c>
      <c r="D2675" t="s">
        <v>23</v>
      </c>
      <c r="E2675" t="s">
        <v>16</v>
      </c>
      <c r="F2675" t="s">
        <v>41</v>
      </c>
      <c r="G2675" t="s">
        <v>19</v>
      </c>
      <c r="H2675">
        <f>Cleaned_Data!K2675</f>
        <v>16.8</v>
      </c>
      <c r="I2675" t="str">
        <f t="shared" si="123"/>
        <v>YES</v>
      </c>
      <c r="J2675">
        <f>Cleaned_Data!J2675</f>
        <v>24</v>
      </c>
      <c r="K2675" t="str">
        <f t="shared" si="124"/>
        <v>2024-04</v>
      </c>
      <c r="L2675">
        <f t="shared" si="125"/>
        <v>0</v>
      </c>
    </row>
    <row r="2676" spans="1:12">
      <c r="A2676" t="s">
        <v>7772</v>
      </c>
      <c r="B2676" t="s">
        <v>7773</v>
      </c>
      <c r="C2676" t="s">
        <v>7774</v>
      </c>
      <c r="D2676" t="s">
        <v>23</v>
      </c>
      <c r="E2676" t="s">
        <v>28</v>
      </c>
      <c r="F2676" t="s">
        <v>17</v>
      </c>
      <c r="G2676" t="s">
        <v>19</v>
      </c>
      <c r="H2676">
        <f>Cleaned_Data!K2676</f>
        <v>15.98</v>
      </c>
      <c r="I2676" t="str">
        <f t="shared" si="123"/>
        <v>YES</v>
      </c>
      <c r="J2676">
        <f>Cleaned_Data!J2676</f>
        <v>24</v>
      </c>
      <c r="K2676" t="str">
        <f t="shared" si="124"/>
        <v>2024-12</v>
      </c>
      <c r="L2676">
        <f t="shared" si="125"/>
        <v>0</v>
      </c>
    </row>
    <row r="2677" spans="1:12">
      <c r="A2677" t="s">
        <v>7775</v>
      </c>
      <c r="B2677" t="s">
        <v>7776</v>
      </c>
      <c r="D2677" t="s">
        <v>23</v>
      </c>
      <c r="E2677" t="s">
        <v>16</v>
      </c>
      <c r="F2677" t="s">
        <v>36</v>
      </c>
      <c r="G2677" t="s">
        <v>63</v>
      </c>
      <c r="H2677">
        <f>Cleaned_Data!K2677</f>
        <v>0</v>
      </c>
      <c r="I2677" t="str">
        <f t="shared" si="123"/>
        <v/>
      </c>
      <c r="J2677">
        <f>Cleaned_Data!J2677</f>
        <v>24</v>
      </c>
      <c r="K2677" t="str">
        <f t="shared" si="124"/>
        <v>2024-06</v>
      </c>
      <c r="L2677">
        <f t="shared" si="125"/>
        <v>0</v>
      </c>
    </row>
    <row r="2678" spans="1:12">
      <c r="A2678" t="s">
        <v>7777</v>
      </c>
      <c r="B2678" t="s">
        <v>7778</v>
      </c>
      <c r="C2678" t="s">
        <v>7779</v>
      </c>
      <c r="D2678" t="s">
        <v>23</v>
      </c>
      <c r="E2678" t="s">
        <v>28</v>
      </c>
      <c r="F2678" t="s">
        <v>41</v>
      </c>
      <c r="G2678" t="s">
        <v>31</v>
      </c>
      <c r="H2678">
        <f>Cleaned_Data!K2678</f>
        <v>14.93</v>
      </c>
      <c r="I2678" t="str">
        <f t="shared" si="123"/>
        <v>YES</v>
      </c>
      <c r="J2678">
        <f>Cleaned_Data!J2678</f>
        <v>24</v>
      </c>
      <c r="K2678" t="str">
        <f t="shared" si="124"/>
        <v>2024-03</v>
      </c>
      <c r="L2678">
        <f t="shared" si="125"/>
        <v>0</v>
      </c>
    </row>
    <row r="2679" spans="1:12">
      <c r="A2679" t="s">
        <v>7780</v>
      </c>
      <c r="B2679" t="s">
        <v>7781</v>
      </c>
      <c r="C2679" t="s">
        <v>7782</v>
      </c>
      <c r="D2679" t="s">
        <v>23</v>
      </c>
      <c r="E2679" t="s">
        <v>28</v>
      </c>
      <c r="F2679" t="s">
        <v>29</v>
      </c>
      <c r="G2679" t="s">
        <v>19</v>
      </c>
      <c r="H2679">
        <f>Cleaned_Data!K2679</f>
        <v>14.6</v>
      </c>
      <c r="I2679" t="str">
        <f t="shared" si="123"/>
        <v>YES</v>
      </c>
      <c r="J2679">
        <f>Cleaned_Data!J2679</f>
        <v>24</v>
      </c>
      <c r="K2679" t="str">
        <f t="shared" si="124"/>
        <v>2024-06</v>
      </c>
      <c r="L2679">
        <f t="shared" si="125"/>
        <v>0</v>
      </c>
    </row>
    <row r="2680" spans="1:12">
      <c r="A2680" t="s">
        <v>7783</v>
      </c>
      <c r="B2680" t="s">
        <v>7784</v>
      </c>
      <c r="C2680" t="s">
        <v>7785</v>
      </c>
      <c r="D2680" t="s">
        <v>23</v>
      </c>
      <c r="E2680" t="s">
        <v>28</v>
      </c>
      <c r="F2680" t="s">
        <v>41</v>
      </c>
      <c r="G2680" t="s">
        <v>19</v>
      </c>
      <c r="H2680">
        <f>Cleaned_Data!K2680</f>
        <v>16.61</v>
      </c>
      <c r="I2680" t="str">
        <f t="shared" si="123"/>
        <v>YES</v>
      </c>
      <c r="J2680">
        <f>Cleaned_Data!J2680</f>
        <v>24</v>
      </c>
      <c r="K2680" t="str">
        <f t="shared" si="124"/>
        <v>2024-05</v>
      </c>
      <c r="L2680">
        <f t="shared" si="125"/>
        <v>0</v>
      </c>
    </row>
    <row r="2681" spans="1:12">
      <c r="A2681" t="s">
        <v>7786</v>
      </c>
      <c r="B2681" t="s">
        <v>7787</v>
      </c>
      <c r="C2681" t="s">
        <v>7788</v>
      </c>
      <c r="D2681" t="s">
        <v>35</v>
      </c>
      <c r="E2681" t="s">
        <v>16</v>
      </c>
      <c r="F2681" t="s">
        <v>41</v>
      </c>
      <c r="G2681" t="s">
        <v>31</v>
      </c>
      <c r="H2681">
        <f>Cleaned_Data!K2681</f>
        <v>45.37</v>
      </c>
      <c r="I2681" t="str">
        <f t="shared" si="123"/>
        <v>YES</v>
      </c>
      <c r="J2681">
        <f>Cleaned_Data!J2681</f>
        <v>48</v>
      </c>
      <c r="K2681" t="str">
        <f t="shared" si="124"/>
        <v>2024-12</v>
      </c>
      <c r="L2681">
        <f t="shared" si="125"/>
        <v>0</v>
      </c>
    </row>
    <row r="2682" spans="1:12">
      <c r="A2682" t="s">
        <v>7789</v>
      </c>
      <c r="B2682" t="s">
        <v>7790</v>
      </c>
      <c r="C2682" t="s">
        <v>7791</v>
      </c>
      <c r="D2682" t="s">
        <v>35</v>
      </c>
      <c r="E2682" t="s">
        <v>54</v>
      </c>
      <c r="F2682" t="s">
        <v>60</v>
      </c>
      <c r="G2682" t="s">
        <v>19</v>
      </c>
      <c r="H2682">
        <f>Cleaned_Data!K2682</f>
        <v>23.38</v>
      </c>
      <c r="I2682" t="str">
        <f t="shared" si="123"/>
        <v>YES</v>
      </c>
      <c r="J2682">
        <f>Cleaned_Data!J2682</f>
        <v>48</v>
      </c>
      <c r="K2682" t="str">
        <f t="shared" si="124"/>
        <v>2024-01</v>
      </c>
      <c r="L2682">
        <f t="shared" si="125"/>
        <v>0</v>
      </c>
    </row>
    <row r="2683" spans="1:12">
      <c r="A2683" t="s">
        <v>7792</v>
      </c>
      <c r="B2683" t="s">
        <v>7793</v>
      </c>
      <c r="C2683" t="s">
        <v>7794</v>
      </c>
      <c r="D2683" t="s">
        <v>23</v>
      </c>
      <c r="E2683" t="s">
        <v>16</v>
      </c>
      <c r="F2683" t="s">
        <v>36</v>
      </c>
      <c r="G2683" t="s">
        <v>31</v>
      </c>
      <c r="H2683">
        <f>Cleaned_Data!K2683</f>
        <v>11.43</v>
      </c>
      <c r="I2683" t="str">
        <f t="shared" si="123"/>
        <v>YES</v>
      </c>
      <c r="J2683">
        <f>Cleaned_Data!J2683</f>
        <v>24</v>
      </c>
      <c r="K2683" t="str">
        <f t="shared" si="124"/>
        <v>2024-11</v>
      </c>
      <c r="L2683">
        <f t="shared" si="125"/>
        <v>0</v>
      </c>
    </row>
    <row r="2684" spans="1:12">
      <c r="A2684" t="s">
        <v>7795</v>
      </c>
      <c r="B2684" t="s">
        <v>7796</v>
      </c>
      <c r="C2684" t="s">
        <v>7797</v>
      </c>
      <c r="D2684" t="s">
        <v>15</v>
      </c>
      <c r="E2684" t="s">
        <v>24</v>
      </c>
      <c r="F2684" t="s">
        <v>36</v>
      </c>
      <c r="G2684" t="s">
        <v>31</v>
      </c>
      <c r="H2684">
        <f>Cleaned_Data!K2684</f>
        <v>7.34</v>
      </c>
      <c r="I2684" t="str">
        <f t="shared" si="123"/>
        <v>YES</v>
      </c>
      <c r="J2684">
        <f>Cleaned_Data!J2684</f>
        <v>8</v>
      </c>
      <c r="K2684" t="str">
        <f t="shared" si="124"/>
        <v>2024-03</v>
      </c>
      <c r="L2684">
        <f t="shared" si="125"/>
        <v>0</v>
      </c>
    </row>
    <row r="2685" spans="1:12">
      <c r="A2685" t="s">
        <v>7798</v>
      </c>
      <c r="B2685" t="s">
        <v>7799</v>
      </c>
      <c r="C2685" t="s">
        <v>7800</v>
      </c>
      <c r="D2685" t="s">
        <v>23</v>
      </c>
      <c r="E2685" t="s">
        <v>59</v>
      </c>
      <c r="F2685" t="s">
        <v>60</v>
      </c>
      <c r="G2685" t="s">
        <v>19</v>
      </c>
      <c r="H2685">
        <f>Cleaned_Data!K2685</f>
        <v>64.48</v>
      </c>
      <c r="I2685" t="str">
        <f t="shared" si="123"/>
        <v>NO</v>
      </c>
      <c r="J2685">
        <f>Cleaned_Data!J2685</f>
        <v>24</v>
      </c>
      <c r="K2685" t="str">
        <f t="shared" si="124"/>
        <v>2024-01</v>
      </c>
      <c r="L2685">
        <f t="shared" si="125"/>
        <v>40.480000000000004</v>
      </c>
    </row>
    <row r="2686" spans="1:12">
      <c r="A2686" t="s">
        <v>7801</v>
      </c>
      <c r="B2686" t="s">
        <v>7802</v>
      </c>
      <c r="C2686" t="s">
        <v>7803</v>
      </c>
      <c r="D2686" t="s">
        <v>35</v>
      </c>
      <c r="E2686" t="s">
        <v>59</v>
      </c>
      <c r="F2686" t="s">
        <v>41</v>
      </c>
      <c r="G2686" t="s">
        <v>31</v>
      </c>
      <c r="H2686">
        <f>Cleaned_Data!K2686</f>
        <v>17.97</v>
      </c>
      <c r="I2686" t="str">
        <f t="shared" si="123"/>
        <v>YES</v>
      </c>
      <c r="J2686">
        <f>Cleaned_Data!J2686</f>
        <v>48</v>
      </c>
      <c r="K2686" t="str">
        <f t="shared" si="124"/>
        <v>2024-08</v>
      </c>
      <c r="L2686">
        <f t="shared" si="125"/>
        <v>0</v>
      </c>
    </row>
    <row r="2687" spans="1:12">
      <c r="A2687" t="s">
        <v>7804</v>
      </c>
      <c r="B2687" t="s">
        <v>7805</v>
      </c>
      <c r="C2687" t="s">
        <v>7806</v>
      </c>
      <c r="D2687" t="s">
        <v>23</v>
      </c>
      <c r="E2687" t="s">
        <v>28</v>
      </c>
      <c r="F2687" t="s">
        <v>36</v>
      </c>
      <c r="G2687" t="s">
        <v>31</v>
      </c>
      <c r="H2687">
        <f>Cleaned_Data!K2687</f>
        <v>50.19</v>
      </c>
      <c r="I2687" t="str">
        <f t="shared" si="123"/>
        <v>NO</v>
      </c>
      <c r="J2687">
        <f>Cleaned_Data!J2687</f>
        <v>24</v>
      </c>
      <c r="K2687" t="str">
        <f t="shared" si="124"/>
        <v>2024-03</v>
      </c>
      <c r="L2687">
        <f t="shared" si="125"/>
        <v>26.189999999999998</v>
      </c>
    </row>
    <row r="2688" spans="1:12">
      <c r="A2688" t="s">
        <v>7807</v>
      </c>
      <c r="B2688" t="s">
        <v>7808</v>
      </c>
      <c r="C2688" t="s">
        <v>7809</v>
      </c>
      <c r="D2688" t="s">
        <v>23</v>
      </c>
      <c r="E2688" t="s">
        <v>24</v>
      </c>
      <c r="F2688" t="s">
        <v>60</v>
      </c>
      <c r="G2688" t="s">
        <v>19</v>
      </c>
      <c r="H2688">
        <f>Cleaned_Data!K2688</f>
        <v>16.59</v>
      </c>
      <c r="I2688" t="str">
        <f t="shared" si="123"/>
        <v>YES</v>
      </c>
      <c r="J2688">
        <f>Cleaned_Data!J2688</f>
        <v>24</v>
      </c>
      <c r="K2688" t="str">
        <f t="shared" si="124"/>
        <v>2024-04</v>
      </c>
      <c r="L2688">
        <f t="shared" si="125"/>
        <v>0</v>
      </c>
    </row>
    <row r="2689" spans="1:12">
      <c r="A2689" t="s">
        <v>7810</v>
      </c>
      <c r="B2689" t="s">
        <v>7811</v>
      </c>
      <c r="C2689" t="s">
        <v>7812</v>
      </c>
      <c r="D2689" t="s">
        <v>15</v>
      </c>
      <c r="E2689" t="s">
        <v>16</v>
      </c>
      <c r="F2689" t="s">
        <v>17</v>
      </c>
      <c r="G2689" t="s">
        <v>19</v>
      </c>
      <c r="H2689">
        <f>Cleaned_Data!K2689</f>
        <v>17.78</v>
      </c>
      <c r="I2689" t="str">
        <f t="shared" si="123"/>
        <v>NO</v>
      </c>
      <c r="J2689">
        <f>Cleaned_Data!J2689</f>
        <v>8</v>
      </c>
      <c r="K2689" t="str">
        <f t="shared" si="124"/>
        <v>2024-09</v>
      </c>
      <c r="L2689">
        <f t="shared" si="125"/>
        <v>9.7800000000000011</v>
      </c>
    </row>
    <row r="2690" spans="1:12">
      <c r="A2690" t="s">
        <v>7813</v>
      </c>
      <c r="B2690" t="s">
        <v>7814</v>
      </c>
      <c r="C2690" t="s">
        <v>7815</v>
      </c>
      <c r="D2690" t="s">
        <v>23</v>
      </c>
      <c r="E2690" t="s">
        <v>54</v>
      </c>
      <c r="F2690" t="s">
        <v>41</v>
      </c>
      <c r="G2690" t="s">
        <v>19</v>
      </c>
      <c r="H2690">
        <f>Cleaned_Data!K2690</f>
        <v>6.06</v>
      </c>
      <c r="I2690" t="str">
        <f t="shared" ref="I2690:I2753" si="126">IF(OR(G2690="Resolved", G2690="Closed"), IF(AND(H2690&lt;&gt;"", H2690&lt;=J2690), "YES", "NO"), "")</f>
        <v>YES</v>
      </c>
      <c r="J2690">
        <f>Cleaned_Data!J2690</f>
        <v>24</v>
      </c>
      <c r="K2690" t="str">
        <f t="shared" ref="K2690:K2753" si="127">LEFT(B2690, 7)</f>
        <v>2024-04</v>
      </c>
      <c r="L2690">
        <f t="shared" ref="L2690:L2753" si="128">IF(I2690="NO", H2690-J2690, 0)</f>
        <v>0</v>
      </c>
    </row>
    <row r="2691" spans="1:12">
      <c r="A2691" t="s">
        <v>7816</v>
      </c>
      <c r="B2691" t="s">
        <v>7817</v>
      </c>
      <c r="D2691" t="s">
        <v>23</v>
      </c>
      <c r="E2691" t="s">
        <v>28</v>
      </c>
      <c r="F2691" t="s">
        <v>29</v>
      </c>
      <c r="G2691" t="s">
        <v>46</v>
      </c>
      <c r="H2691">
        <f>Cleaned_Data!K2691</f>
        <v>0</v>
      </c>
      <c r="I2691" t="str">
        <f t="shared" si="126"/>
        <v/>
      </c>
      <c r="J2691">
        <f>Cleaned_Data!J2691</f>
        <v>24</v>
      </c>
      <c r="K2691" t="str">
        <f t="shared" si="127"/>
        <v>2024-11</v>
      </c>
      <c r="L2691">
        <f t="shared" si="128"/>
        <v>0</v>
      </c>
    </row>
    <row r="2692" spans="1:12">
      <c r="A2692" t="s">
        <v>7818</v>
      </c>
      <c r="B2692" t="s">
        <v>7819</v>
      </c>
      <c r="D2692" t="s">
        <v>15</v>
      </c>
      <c r="E2692" t="s">
        <v>59</v>
      </c>
      <c r="F2692" t="s">
        <v>17</v>
      </c>
      <c r="G2692" t="s">
        <v>63</v>
      </c>
      <c r="H2692">
        <f>Cleaned_Data!K2692</f>
        <v>0</v>
      </c>
      <c r="I2692" t="str">
        <f t="shared" si="126"/>
        <v/>
      </c>
      <c r="J2692">
        <f>Cleaned_Data!J2692</f>
        <v>8</v>
      </c>
      <c r="K2692" t="str">
        <f t="shared" si="127"/>
        <v>2024-07</v>
      </c>
      <c r="L2692">
        <f t="shared" si="128"/>
        <v>0</v>
      </c>
    </row>
    <row r="2693" spans="1:12">
      <c r="A2693" t="s">
        <v>7820</v>
      </c>
      <c r="B2693" t="s">
        <v>7821</v>
      </c>
      <c r="C2693" t="s">
        <v>7822</v>
      </c>
      <c r="D2693" t="s">
        <v>23</v>
      </c>
      <c r="E2693" t="s">
        <v>54</v>
      </c>
      <c r="F2693" t="s">
        <v>17</v>
      </c>
      <c r="G2693" t="s">
        <v>31</v>
      </c>
      <c r="H2693">
        <f>Cleaned_Data!K2693</f>
        <v>16.55</v>
      </c>
      <c r="I2693" t="str">
        <f t="shared" si="126"/>
        <v>YES</v>
      </c>
      <c r="J2693">
        <f>Cleaned_Data!J2693</f>
        <v>24</v>
      </c>
      <c r="K2693" t="str">
        <f t="shared" si="127"/>
        <v>2024-10</v>
      </c>
      <c r="L2693">
        <f t="shared" si="128"/>
        <v>0</v>
      </c>
    </row>
    <row r="2694" spans="1:12">
      <c r="A2694" t="s">
        <v>7823</v>
      </c>
      <c r="B2694" t="s">
        <v>7824</v>
      </c>
      <c r="C2694" t="s">
        <v>7825</v>
      </c>
      <c r="D2694" t="s">
        <v>23</v>
      </c>
      <c r="E2694" t="s">
        <v>28</v>
      </c>
      <c r="F2694" t="s">
        <v>41</v>
      </c>
      <c r="G2694" t="s">
        <v>19</v>
      </c>
      <c r="H2694">
        <f>Cleaned_Data!K2694</f>
        <v>43.28</v>
      </c>
      <c r="I2694" t="str">
        <f t="shared" si="126"/>
        <v>NO</v>
      </c>
      <c r="J2694">
        <f>Cleaned_Data!J2694</f>
        <v>24</v>
      </c>
      <c r="K2694" t="str">
        <f t="shared" si="127"/>
        <v>2024-01</v>
      </c>
      <c r="L2694">
        <f t="shared" si="128"/>
        <v>19.28</v>
      </c>
    </row>
    <row r="2695" spans="1:12">
      <c r="A2695" t="s">
        <v>7826</v>
      </c>
      <c r="B2695" t="s">
        <v>7827</v>
      </c>
      <c r="C2695" t="s">
        <v>7828</v>
      </c>
      <c r="D2695" t="s">
        <v>15</v>
      </c>
      <c r="E2695" t="s">
        <v>28</v>
      </c>
      <c r="F2695" t="s">
        <v>36</v>
      </c>
      <c r="G2695" t="s">
        <v>31</v>
      </c>
      <c r="H2695">
        <f>Cleaned_Data!K2695</f>
        <v>6.67</v>
      </c>
      <c r="I2695" t="str">
        <f t="shared" si="126"/>
        <v>YES</v>
      </c>
      <c r="J2695">
        <f>Cleaned_Data!J2695</f>
        <v>8</v>
      </c>
      <c r="K2695" t="str">
        <f t="shared" si="127"/>
        <v>2024-09</v>
      </c>
      <c r="L2695">
        <f t="shared" si="128"/>
        <v>0</v>
      </c>
    </row>
    <row r="2696" spans="1:12">
      <c r="A2696" t="s">
        <v>7829</v>
      </c>
      <c r="B2696" t="s">
        <v>7830</v>
      </c>
      <c r="D2696" t="s">
        <v>158</v>
      </c>
      <c r="E2696" t="s">
        <v>28</v>
      </c>
      <c r="F2696" t="s">
        <v>29</v>
      </c>
      <c r="G2696" t="s">
        <v>63</v>
      </c>
      <c r="H2696">
        <f>Cleaned_Data!K2696</f>
        <v>0</v>
      </c>
      <c r="I2696" t="str">
        <f t="shared" si="126"/>
        <v/>
      </c>
      <c r="J2696">
        <f>Cleaned_Data!J2696</f>
        <v>4</v>
      </c>
      <c r="K2696" t="str">
        <f t="shared" si="127"/>
        <v>2024-12</v>
      </c>
      <c r="L2696">
        <f t="shared" si="128"/>
        <v>0</v>
      </c>
    </row>
    <row r="2697" spans="1:12">
      <c r="A2697" t="s">
        <v>7831</v>
      </c>
      <c r="B2697" t="s">
        <v>7832</v>
      </c>
      <c r="C2697" t="s">
        <v>7833</v>
      </c>
      <c r="D2697" t="s">
        <v>15</v>
      </c>
      <c r="E2697" t="s">
        <v>16</v>
      </c>
      <c r="F2697" t="s">
        <v>60</v>
      </c>
      <c r="G2697" t="s">
        <v>19</v>
      </c>
      <c r="H2697">
        <f>Cleaned_Data!K2697</f>
        <v>3.85</v>
      </c>
      <c r="I2697" t="str">
        <f t="shared" si="126"/>
        <v>YES</v>
      </c>
      <c r="J2697">
        <f>Cleaned_Data!J2697</f>
        <v>8</v>
      </c>
      <c r="K2697" t="str">
        <f t="shared" si="127"/>
        <v>2024-09</v>
      </c>
      <c r="L2697">
        <f t="shared" si="128"/>
        <v>0</v>
      </c>
    </row>
    <row r="2698" spans="1:12">
      <c r="A2698" t="s">
        <v>7834</v>
      </c>
      <c r="B2698" t="s">
        <v>7835</v>
      </c>
      <c r="C2698" t="s">
        <v>7836</v>
      </c>
      <c r="D2698" t="s">
        <v>158</v>
      </c>
      <c r="E2698" t="s">
        <v>16</v>
      </c>
      <c r="F2698" t="s">
        <v>17</v>
      </c>
      <c r="G2698" t="s">
        <v>31</v>
      </c>
      <c r="H2698">
        <f>Cleaned_Data!K2698</f>
        <v>3.39</v>
      </c>
      <c r="I2698" t="str">
        <f t="shared" si="126"/>
        <v>YES</v>
      </c>
      <c r="J2698">
        <f>Cleaned_Data!J2698</f>
        <v>4</v>
      </c>
      <c r="K2698" t="str">
        <f t="shared" si="127"/>
        <v>2024-07</v>
      </c>
      <c r="L2698">
        <f t="shared" si="128"/>
        <v>0</v>
      </c>
    </row>
    <row r="2699" spans="1:12">
      <c r="A2699" t="s">
        <v>7837</v>
      </c>
      <c r="B2699" t="s">
        <v>7838</v>
      </c>
      <c r="C2699" t="s">
        <v>7839</v>
      </c>
      <c r="D2699" t="s">
        <v>23</v>
      </c>
      <c r="E2699" t="s">
        <v>24</v>
      </c>
      <c r="F2699" t="s">
        <v>36</v>
      </c>
      <c r="G2699" t="s">
        <v>19</v>
      </c>
      <c r="H2699">
        <f>Cleaned_Data!K2699</f>
        <v>5.78</v>
      </c>
      <c r="I2699" t="str">
        <f t="shared" si="126"/>
        <v>YES</v>
      </c>
      <c r="J2699">
        <f>Cleaned_Data!J2699</f>
        <v>24</v>
      </c>
      <c r="K2699" t="str">
        <f t="shared" si="127"/>
        <v>2024-07</v>
      </c>
      <c r="L2699">
        <f t="shared" si="128"/>
        <v>0</v>
      </c>
    </row>
    <row r="2700" spans="1:12">
      <c r="A2700" t="s">
        <v>7840</v>
      </c>
      <c r="B2700" t="s">
        <v>7841</v>
      </c>
      <c r="C2700" t="s">
        <v>7842</v>
      </c>
      <c r="D2700" t="s">
        <v>15</v>
      </c>
      <c r="E2700" t="s">
        <v>16</v>
      </c>
      <c r="F2700" t="s">
        <v>29</v>
      </c>
      <c r="G2700" t="s">
        <v>31</v>
      </c>
      <c r="H2700">
        <f>Cleaned_Data!K2700</f>
        <v>7.24</v>
      </c>
      <c r="I2700" t="str">
        <f t="shared" si="126"/>
        <v>YES</v>
      </c>
      <c r="J2700">
        <f>Cleaned_Data!J2700</f>
        <v>8</v>
      </c>
      <c r="K2700" t="str">
        <f t="shared" si="127"/>
        <v>2024-08</v>
      </c>
      <c r="L2700">
        <f t="shared" si="128"/>
        <v>0</v>
      </c>
    </row>
    <row r="2701" spans="1:12">
      <c r="A2701" t="s">
        <v>7843</v>
      </c>
      <c r="B2701" t="s">
        <v>7844</v>
      </c>
      <c r="D2701" t="s">
        <v>23</v>
      </c>
      <c r="E2701" t="s">
        <v>28</v>
      </c>
      <c r="F2701" t="s">
        <v>60</v>
      </c>
      <c r="G2701" t="s">
        <v>63</v>
      </c>
      <c r="H2701">
        <f>Cleaned_Data!K2701</f>
        <v>0</v>
      </c>
      <c r="I2701" t="str">
        <f t="shared" si="126"/>
        <v/>
      </c>
      <c r="J2701">
        <f>Cleaned_Data!J2701</f>
        <v>24</v>
      </c>
      <c r="K2701" t="str">
        <f t="shared" si="127"/>
        <v>2024-01</v>
      </c>
      <c r="L2701">
        <f t="shared" si="128"/>
        <v>0</v>
      </c>
    </row>
    <row r="2702" spans="1:12">
      <c r="A2702" t="s">
        <v>7845</v>
      </c>
      <c r="B2702" t="s">
        <v>7846</v>
      </c>
      <c r="C2702" t="s">
        <v>7847</v>
      </c>
      <c r="D2702" t="s">
        <v>23</v>
      </c>
      <c r="E2702" t="s">
        <v>28</v>
      </c>
      <c r="F2702" t="s">
        <v>29</v>
      </c>
      <c r="G2702" t="s">
        <v>19</v>
      </c>
      <c r="H2702">
        <f>Cleaned_Data!K2702</f>
        <v>11.03</v>
      </c>
      <c r="I2702" t="str">
        <f t="shared" si="126"/>
        <v>YES</v>
      </c>
      <c r="J2702">
        <f>Cleaned_Data!J2702</f>
        <v>24</v>
      </c>
      <c r="K2702" t="str">
        <f t="shared" si="127"/>
        <v>2024-03</v>
      </c>
      <c r="L2702">
        <f t="shared" si="128"/>
        <v>0</v>
      </c>
    </row>
    <row r="2703" spans="1:12">
      <c r="A2703" t="s">
        <v>7848</v>
      </c>
      <c r="B2703" t="s">
        <v>7849</v>
      </c>
      <c r="C2703" t="s">
        <v>7850</v>
      </c>
      <c r="D2703" t="s">
        <v>23</v>
      </c>
      <c r="E2703" t="s">
        <v>16</v>
      </c>
      <c r="F2703" t="s">
        <v>41</v>
      </c>
      <c r="G2703" t="s">
        <v>19</v>
      </c>
      <c r="H2703">
        <f>Cleaned_Data!K2703</f>
        <v>10.4</v>
      </c>
      <c r="I2703" t="str">
        <f t="shared" si="126"/>
        <v>YES</v>
      </c>
      <c r="J2703">
        <f>Cleaned_Data!J2703</f>
        <v>24</v>
      </c>
      <c r="K2703" t="str">
        <f t="shared" si="127"/>
        <v>2024-02</v>
      </c>
      <c r="L2703">
        <f t="shared" si="128"/>
        <v>0</v>
      </c>
    </row>
    <row r="2704" spans="1:12">
      <c r="A2704" t="s">
        <v>7851</v>
      </c>
      <c r="B2704" t="s">
        <v>7852</v>
      </c>
      <c r="C2704" t="s">
        <v>7853</v>
      </c>
      <c r="D2704" t="s">
        <v>23</v>
      </c>
      <c r="E2704" t="s">
        <v>16</v>
      </c>
      <c r="F2704" t="s">
        <v>17</v>
      </c>
      <c r="G2704" t="s">
        <v>19</v>
      </c>
      <c r="H2704">
        <f>Cleaned_Data!K2704</f>
        <v>17.850000000000001</v>
      </c>
      <c r="I2704" t="str">
        <f t="shared" si="126"/>
        <v>YES</v>
      </c>
      <c r="J2704">
        <f>Cleaned_Data!J2704</f>
        <v>24</v>
      </c>
      <c r="K2704" t="str">
        <f t="shared" si="127"/>
        <v>2024-01</v>
      </c>
      <c r="L2704">
        <f t="shared" si="128"/>
        <v>0</v>
      </c>
    </row>
    <row r="2705" spans="1:12">
      <c r="A2705" t="s">
        <v>7854</v>
      </c>
      <c r="B2705" t="s">
        <v>7855</v>
      </c>
      <c r="C2705" t="s">
        <v>7856</v>
      </c>
      <c r="D2705" t="s">
        <v>23</v>
      </c>
      <c r="E2705" t="s">
        <v>54</v>
      </c>
      <c r="F2705" t="s">
        <v>29</v>
      </c>
      <c r="G2705" t="s">
        <v>19</v>
      </c>
      <c r="H2705">
        <f>Cleaned_Data!K2705</f>
        <v>14.54</v>
      </c>
      <c r="I2705" t="str">
        <f t="shared" si="126"/>
        <v>YES</v>
      </c>
      <c r="J2705">
        <f>Cleaned_Data!J2705</f>
        <v>24</v>
      </c>
      <c r="K2705" t="str">
        <f t="shared" si="127"/>
        <v>2024-12</v>
      </c>
      <c r="L2705">
        <f t="shared" si="128"/>
        <v>0</v>
      </c>
    </row>
    <row r="2706" spans="1:12">
      <c r="A2706" t="s">
        <v>7857</v>
      </c>
      <c r="B2706" t="s">
        <v>7858</v>
      </c>
      <c r="C2706" t="s">
        <v>7859</v>
      </c>
      <c r="D2706" t="s">
        <v>23</v>
      </c>
      <c r="E2706" t="s">
        <v>28</v>
      </c>
      <c r="F2706" t="s">
        <v>60</v>
      </c>
      <c r="G2706" t="s">
        <v>31</v>
      </c>
      <c r="H2706">
        <f>Cleaned_Data!K2706</f>
        <v>2.52</v>
      </c>
      <c r="I2706" t="str">
        <f t="shared" si="126"/>
        <v>YES</v>
      </c>
      <c r="J2706">
        <f>Cleaned_Data!J2706</f>
        <v>24</v>
      </c>
      <c r="K2706" t="str">
        <f t="shared" si="127"/>
        <v>2024-03</v>
      </c>
      <c r="L2706">
        <f t="shared" si="128"/>
        <v>0</v>
      </c>
    </row>
    <row r="2707" spans="1:12">
      <c r="A2707" t="s">
        <v>7860</v>
      </c>
      <c r="B2707" t="s">
        <v>7861</v>
      </c>
      <c r="C2707" t="s">
        <v>7862</v>
      </c>
      <c r="D2707" t="s">
        <v>23</v>
      </c>
      <c r="E2707" t="s">
        <v>16</v>
      </c>
      <c r="F2707" t="s">
        <v>17</v>
      </c>
      <c r="G2707" t="s">
        <v>19</v>
      </c>
      <c r="H2707">
        <f>Cleaned_Data!K2707</f>
        <v>35.26</v>
      </c>
      <c r="I2707" t="str">
        <f t="shared" si="126"/>
        <v>NO</v>
      </c>
      <c r="J2707">
        <f>Cleaned_Data!J2707</f>
        <v>24</v>
      </c>
      <c r="K2707" t="str">
        <f t="shared" si="127"/>
        <v>2024-10</v>
      </c>
      <c r="L2707">
        <f t="shared" si="128"/>
        <v>11.259999999999998</v>
      </c>
    </row>
    <row r="2708" spans="1:12">
      <c r="A2708" t="s">
        <v>7863</v>
      </c>
      <c r="B2708" t="s">
        <v>7864</v>
      </c>
      <c r="C2708" t="s">
        <v>7865</v>
      </c>
      <c r="D2708" t="s">
        <v>158</v>
      </c>
      <c r="E2708" t="s">
        <v>59</v>
      </c>
      <c r="F2708" t="s">
        <v>17</v>
      </c>
      <c r="G2708" t="s">
        <v>19</v>
      </c>
      <c r="H2708">
        <f>Cleaned_Data!K2708</f>
        <v>2.27</v>
      </c>
      <c r="I2708" t="str">
        <f t="shared" si="126"/>
        <v>YES</v>
      </c>
      <c r="J2708">
        <f>Cleaned_Data!J2708</f>
        <v>4</v>
      </c>
      <c r="K2708" t="str">
        <f t="shared" si="127"/>
        <v>2024-08</v>
      </c>
      <c r="L2708">
        <f t="shared" si="128"/>
        <v>0</v>
      </c>
    </row>
    <row r="2709" spans="1:12">
      <c r="A2709" t="s">
        <v>7866</v>
      </c>
      <c r="B2709" t="s">
        <v>7867</v>
      </c>
      <c r="C2709" t="s">
        <v>7868</v>
      </c>
      <c r="D2709" t="s">
        <v>23</v>
      </c>
      <c r="E2709" t="s">
        <v>54</v>
      </c>
      <c r="F2709" t="s">
        <v>36</v>
      </c>
      <c r="G2709" t="s">
        <v>31</v>
      </c>
      <c r="H2709">
        <f>Cleaned_Data!K2709</f>
        <v>11.56</v>
      </c>
      <c r="I2709" t="str">
        <f t="shared" si="126"/>
        <v>YES</v>
      </c>
      <c r="J2709">
        <f>Cleaned_Data!J2709</f>
        <v>24</v>
      </c>
      <c r="K2709" t="str">
        <f t="shared" si="127"/>
        <v>2024-06</v>
      </c>
      <c r="L2709">
        <f t="shared" si="128"/>
        <v>0</v>
      </c>
    </row>
    <row r="2710" spans="1:12">
      <c r="A2710" t="s">
        <v>7869</v>
      </c>
      <c r="B2710" t="s">
        <v>7870</v>
      </c>
      <c r="C2710" t="s">
        <v>7871</v>
      </c>
      <c r="D2710" t="s">
        <v>15</v>
      </c>
      <c r="E2710" t="s">
        <v>28</v>
      </c>
      <c r="F2710" t="s">
        <v>17</v>
      </c>
      <c r="G2710" t="s">
        <v>19</v>
      </c>
      <c r="H2710">
        <f>Cleaned_Data!K2710</f>
        <v>2.31</v>
      </c>
      <c r="I2710" t="str">
        <f t="shared" si="126"/>
        <v>YES</v>
      </c>
      <c r="J2710">
        <f>Cleaned_Data!J2710</f>
        <v>8</v>
      </c>
      <c r="K2710" t="str">
        <f t="shared" si="127"/>
        <v>2024-10</v>
      </c>
      <c r="L2710">
        <f t="shared" si="128"/>
        <v>0</v>
      </c>
    </row>
    <row r="2711" spans="1:12">
      <c r="A2711" t="s">
        <v>7872</v>
      </c>
      <c r="B2711" t="s">
        <v>7873</v>
      </c>
      <c r="C2711" t="s">
        <v>7874</v>
      </c>
      <c r="D2711" t="s">
        <v>23</v>
      </c>
      <c r="E2711" t="s">
        <v>24</v>
      </c>
      <c r="F2711" t="s">
        <v>60</v>
      </c>
      <c r="G2711" t="s">
        <v>31</v>
      </c>
      <c r="H2711">
        <f>Cleaned_Data!K2711</f>
        <v>8.08</v>
      </c>
      <c r="I2711" t="str">
        <f t="shared" si="126"/>
        <v>YES</v>
      </c>
      <c r="J2711">
        <f>Cleaned_Data!J2711</f>
        <v>24</v>
      </c>
      <c r="K2711" t="str">
        <f t="shared" si="127"/>
        <v>2024-04</v>
      </c>
      <c r="L2711">
        <f t="shared" si="128"/>
        <v>0</v>
      </c>
    </row>
    <row r="2712" spans="1:12">
      <c r="A2712" t="s">
        <v>7875</v>
      </c>
      <c r="B2712" t="s">
        <v>7876</v>
      </c>
      <c r="C2712" t="s">
        <v>7877</v>
      </c>
      <c r="D2712" t="s">
        <v>35</v>
      </c>
      <c r="E2712" t="s">
        <v>16</v>
      </c>
      <c r="F2712" t="s">
        <v>29</v>
      </c>
      <c r="G2712" t="s">
        <v>19</v>
      </c>
      <c r="H2712">
        <f>Cleaned_Data!K2712</f>
        <v>40.47</v>
      </c>
      <c r="I2712" t="str">
        <f t="shared" si="126"/>
        <v>YES</v>
      </c>
      <c r="J2712">
        <f>Cleaned_Data!J2712</f>
        <v>48</v>
      </c>
      <c r="K2712" t="str">
        <f t="shared" si="127"/>
        <v>2024-04</v>
      </c>
      <c r="L2712">
        <f t="shared" si="128"/>
        <v>0</v>
      </c>
    </row>
    <row r="2713" spans="1:12">
      <c r="A2713" t="s">
        <v>7878</v>
      </c>
      <c r="B2713" t="s">
        <v>7879</v>
      </c>
      <c r="C2713" t="s">
        <v>7880</v>
      </c>
      <c r="D2713" t="s">
        <v>15</v>
      </c>
      <c r="E2713" t="s">
        <v>28</v>
      </c>
      <c r="F2713" t="s">
        <v>41</v>
      </c>
      <c r="G2713" t="s">
        <v>19</v>
      </c>
      <c r="H2713">
        <f>Cleaned_Data!K2713</f>
        <v>1.66</v>
      </c>
      <c r="I2713" t="str">
        <f t="shared" si="126"/>
        <v>YES</v>
      </c>
      <c r="J2713">
        <f>Cleaned_Data!J2713</f>
        <v>8</v>
      </c>
      <c r="K2713" t="str">
        <f t="shared" si="127"/>
        <v>2024-07</v>
      </c>
      <c r="L2713">
        <f t="shared" si="128"/>
        <v>0</v>
      </c>
    </row>
    <row r="2714" spans="1:12">
      <c r="A2714" t="s">
        <v>7881</v>
      </c>
      <c r="B2714" t="s">
        <v>7882</v>
      </c>
      <c r="C2714" t="s">
        <v>7883</v>
      </c>
      <c r="D2714" t="s">
        <v>23</v>
      </c>
      <c r="E2714" t="s">
        <v>28</v>
      </c>
      <c r="F2714" t="s">
        <v>60</v>
      </c>
      <c r="G2714" t="s">
        <v>19</v>
      </c>
      <c r="H2714">
        <f>Cleaned_Data!K2714</f>
        <v>5.04</v>
      </c>
      <c r="I2714" t="str">
        <f t="shared" si="126"/>
        <v>YES</v>
      </c>
      <c r="J2714">
        <f>Cleaned_Data!J2714</f>
        <v>24</v>
      </c>
      <c r="K2714" t="str">
        <f t="shared" si="127"/>
        <v>2024-05</v>
      </c>
      <c r="L2714">
        <f t="shared" si="128"/>
        <v>0</v>
      </c>
    </row>
    <row r="2715" spans="1:12">
      <c r="A2715" t="s">
        <v>7884</v>
      </c>
      <c r="B2715" t="s">
        <v>7885</v>
      </c>
      <c r="C2715" t="s">
        <v>7886</v>
      </c>
      <c r="D2715" t="s">
        <v>35</v>
      </c>
      <c r="E2715" t="s">
        <v>59</v>
      </c>
      <c r="F2715" t="s">
        <v>17</v>
      </c>
      <c r="G2715" t="s">
        <v>31</v>
      </c>
      <c r="H2715">
        <f>Cleaned_Data!K2715</f>
        <v>67.81</v>
      </c>
      <c r="I2715" t="str">
        <f t="shared" si="126"/>
        <v>NO</v>
      </c>
      <c r="J2715">
        <f>Cleaned_Data!J2715</f>
        <v>48</v>
      </c>
      <c r="K2715" t="str">
        <f t="shared" si="127"/>
        <v>2024-08</v>
      </c>
      <c r="L2715">
        <f t="shared" si="128"/>
        <v>19.810000000000002</v>
      </c>
    </row>
    <row r="2716" spans="1:12">
      <c r="A2716" t="s">
        <v>7887</v>
      </c>
      <c r="B2716" t="s">
        <v>7888</v>
      </c>
      <c r="C2716" t="s">
        <v>7889</v>
      </c>
      <c r="D2716" t="s">
        <v>15</v>
      </c>
      <c r="E2716" t="s">
        <v>28</v>
      </c>
      <c r="F2716" t="s">
        <v>60</v>
      </c>
      <c r="G2716" t="s">
        <v>19</v>
      </c>
      <c r="H2716">
        <f>Cleaned_Data!K2716</f>
        <v>1.29</v>
      </c>
      <c r="I2716" t="str">
        <f t="shared" si="126"/>
        <v>YES</v>
      </c>
      <c r="J2716">
        <f>Cleaned_Data!J2716</f>
        <v>8</v>
      </c>
      <c r="K2716" t="str">
        <f t="shared" si="127"/>
        <v>2024-03</v>
      </c>
      <c r="L2716">
        <f t="shared" si="128"/>
        <v>0</v>
      </c>
    </row>
    <row r="2717" spans="1:12">
      <c r="A2717" t="s">
        <v>7890</v>
      </c>
      <c r="B2717" t="s">
        <v>7891</v>
      </c>
      <c r="C2717" t="s">
        <v>7892</v>
      </c>
      <c r="D2717" t="s">
        <v>23</v>
      </c>
      <c r="E2717" t="s">
        <v>28</v>
      </c>
      <c r="F2717" t="s">
        <v>17</v>
      </c>
      <c r="G2717" t="s">
        <v>19</v>
      </c>
      <c r="H2717">
        <f>Cleaned_Data!K2717</f>
        <v>67.73</v>
      </c>
      <c r="I2717" t="str">
        <f t="shared" si="126"/>
        <v>NO</v>
      </c>
      <c r="J2717">
        <f>Cleaned_Data!J2717</f>
        <v>24</v>
      </c>
      <c r="K2717" t="str">
        <f t="shared" si="127"/>
        <v>2024-12</v>
      </c>
      <c r="L2717">
        <f t="shared" si="128"/>
        <v>43.730000000000004</v>
      </c>
    </row>
    <row r="2718" spans="1:12">
      <c r="A2718" t="s">
        <v>7893</v>
      </c>
      <c r="B2718" t="s">
        <v>7894</v>
      </c>
      <c r="C2718" t="s">
        <v>7895</v>
      </c>
      <c r="D2718" t="s">
        <v>35</v>
      </c>
      <c r="E2718" t="s">
        <v>54</v>
      </c>
      <c r="F2718" t="s">
        <v>60</v>
      </c>
      <c r="G2718" t="s">
        <v>19</v>
      </c>
      <c r="H2718">
        <f>Cleaned_Data!K2718</f>
        <v>35.46</v>
      </c>
      <c r="I2718" t="str">
        <f t="shared" si="126"/>
        <v>YES</v>
      </c>
      <c r="J2718">
        <f>Cleaned_Data!J2718</f>
        <v>48</v>
      </c>
      <c r="K2718" t="str">
        <f t="shared" si="127"/>
        <v>2024-09</v>
      </c>
      <c r="L2718">
        <f t="shared" si="128"/>
        <v>0</v>
      </c>
    </row>
    <row r="2719" spans="1:12">
      <c r="A2719" t="s">
        <v>7896</v>
      </c>
      <c r="B2719" t="s">
        <v>7897</v>
      </c>
      <c r="C2719" t="s">
        <v>7898</v>
      </c>
      <c r="D2719" t="s">
        <v>35</v>
      </c>
      <c r="E2719" t="s">
        <v>54</v>
      </c>
      <c r="F2719" t="s">
        <v>41</v>
      </c>
      <c r="G2719" t="s">
        <v>19</v>
      </c>
      <c r="H2719">
        <f>Cleaned_Data!K2719</f>
        <v>19.98</v>
      </c>
      <c r="I2719" t="str">
        <f t="shared" si="126"/>
        <v>YES</v>
      </c>
      <c r="J2719">
        <f>Cleaned_Data!J2719</f>
        <v>48</v>
      </c>
      <c r="K2719" t="str">
        <f t="shared" si="127"/>
        <v>2024-12</v>
      </c>
      <c r="L2719">
        <f t="shared" si="128"/>
        <v>0</v>
      </c>
    </row>
    <row r="2720" spans="1:12">
      <c r="A2720" t="s">
        <v>7899</v>
      </c>
      <c r="B2720" t="s">
        <v>7900</v>
      </c>
      <c r="C2720" t="s">
        <v>7901</v>
      </c>
      <c r="D2720" t="s">
        <v>15</v>
      </c>
      <c r="E2720" t="s">
        <v>28</v>
      </c>
      <c r="F2720" t="s">
        <v>60</v>
      </c>
      <c r="G2720" t="s">
        <v>19</v>
      </c>
      <c r="H2720">
        <f>Cleaned_Data!K2720</f>
        <v>21</v>
      </c>
      <c r="I2720" t="str">
        <f t="shared" si="126"/>
        <v>NO</v>
      </c>
      <c r="J2720">
        <f>Cleaned_Data!J2720</f>
        <v>8</v>
      </c>
      <c r="K2720" t="str">
        <f t="shared" si="127"/>
        <v>2024-01</v>
      </c>
      <c r="L2720">
        <f t="shared" si="128"/>
        <v>13</v>
      </c>
    </row>
    <row r="2721" spans="1:12">
      <c r="A2721" t="s">
        <v>7902</v>
      </c>
      <c r="B2721" t="s">
        <v>7903</v>
      </c>
      <c r="C2721" t="s">
        <v>7904</v>
      </c>
      <c r="D2721" t="s">
        <v>15</v>
      </c>
      <c r="E2721" t="s">
        <v>28</v>
      </c>
      <c r="F2721" t="s">
        <v>60</v>
      </c>
      <c r="G2721" t="s">
        <v>31</v>
      </c>
      <c r="H2721">
        <f>Cleaned_Data!K2721</f>
        <v>17.75</v>
      </c>
      <c r="I2721" t="str">
        <f t="shared" si="126"/>
        <v>NO</v>
      </c>
      <c r="J2721">
        <f>Cleaned_Data!J2721</f>
        <v>8</v>
      </c>
      <c r="K2721" t="str">
        <f t="shared" si="127"/>
        <v>2024-11</v>
      </c>
      <c r="L2721">
        <f t="shared" si="128"/>
        <v>9.75</v>
      </c>
    </row>
    <row r="2722" spans="1:12">
      <c r="A2722" t="s">
        <v>7905</v>
      </c>
      <c r="B2722" t="s">
        <v>7906</v>
      </c>
      <c r="C2722" t="s">
        <v>7907</v>
      </c>
      <c r="D2722" t="s">
        <v>23</v>
      </c>
      <c r="E2722" t="s">
        <v>24</v>
      </c>
      <c r="F2722" t="s">
        <v>36</v>
      </c>
      <c r="G2722" t="s">
        <v>19</v>
      </c>
      <c r="H2722">
        <f>Cleaned_Data!K2722</f>
        <v>15.83</v>
      </c>
      <c r="I2722" t="str">
        <f t="shared" si="126"/>
        <v>YES</v>
      </c>
      <c r="J2722">
        <f>Cleaned_Data!J2722</f>
        <v>24</v>
      </c>
      <c r="K2722" t="str">
        <f t="shared" si="127"/>
        <v>2024-02</v>
      </c>
      <c r="L2722">
        <f t="shared" si="128"/>
        <v>0</v>
      </c>
    </row>
    <row r="2723" spans="1:12">
      <c r="A2723" t="s">
        <v>7908</v>
      </c>
      <c r="B2723" t="s">
        <v>7909</v>
      </c>
      <c r="C2723" t="s">
        <v>7910</v>
      </c>
      <c r="D2723" t="s">
        <v>15</v>
      </c>
      <c r="E2723" t="s">
        <v>54</v>
      </c>
      <c r="F2723" t="s">
        <v>36</v>
      </c>
      <c r="G2723" t="s">
        <v>31</v>
      </c>
      <c r="H2723">
        <f>Cleaned_Data!K2723</f>
        <v>6.6</v>
      </c>
      <c r="I2723" t="str">
        <f t="shared" si="126"/>
        <v>YES</v>
      </c>
      <c r="J2723">
        <f>Cleaned_Data!J2723</f>
        <v>8</v>
      </c>
      <c r="K2723" t="str">
        <f t="shared" si="127"/>
        <v>2024-06</v>
      </c>
      <c r="L2723">
        <f t="shared" si="128"/>
        <v>0</v>
      </c>
    </row>
    <row r="2724" spans="1:12">
      <c r="A2724" t="s">
        <v>7911</v>
      </c>
      <c r="B2724" t="s">
        <v>7912</v>
      </c>
      <c r="C2724" t="s">
        <v>7913</v>
      </c>
      <c r="D2724" t="s">
        <v>35</v>
      </c>
      <c r="E2724" t="s">
        <v>24</v>
      </c>
      <c r="F2724" t="s">
        <v>29</v>
      </c>
      <c r="G2724" t="s">
        <v>19</v>
      </c>
      <c r="H2724">
        <f>Cleaned_Data!K2724</f>
        <v>28.26</v>
      </c>
      <c r="I2724" t="str">
        <f t="shared" si="126"/>
        <v>YES</v>
      </c>
      <c r="J2724">
        <f>Cleaned_Data!J2724</f>
        <v>48</v>
      </c>
      <c r="K2724" t="str">
        <f t="shared" si="127"/>
        <v>2024-10</v>
      </c>
      <c r="L2724">
        <f t="shared" si="128"/>
        <v>0</v>
      </c>
    </row>
    <row r="2725" spans="1:12">
      <c r="A2725" t="s">
        <v>7914</v>
      </c>
      <c r="B2725" t="s">
        <v>7915</v>
      </c>
      <c r="C2725" t="s">
        <v>7916</v>
      </c>
      <c r="D2725" t="s">
        <v>23</v>
      </c>
      <c r="E2725" t="s">
        <v>28</v>
      </c>
      <c r="F2725" t="s">
        <v>17</v>
      </c>
      <c r="G2725" t="s">
        <v>31</v>
      </c>
      <c r="H2725">
        <f>Cleaned_Data!K2725</f>
        <v>15.55</v>
      </c>
      <c r="I2725" t="str">
        <f t="shared" si="126"/>
        <v>YES</v>
      </c>
      <c r="J2725">
        <f>Cleaned_Data!J2725</f>
        <v>24</v>
      </c>
      <c r="K2725" t="str">
        <f t="shared" si="127"/>
        <v>2024-12</v>
      </c>
      <c r="L2725">
        <f t="shared" si="128"/>
        <v>0</v>
      </c>
    </row>
    <row r="2726" spans="1:12">
      <c r="A2726" t="s">
        <v>7917</v>
      </c>
      <c r="B2726" t="s">
        <v>7918</v>
      </c>
      <c r="D2726" t="s">
        <v>15</v>
      </c>
      <c r="E2726" t="s">
        <v>16</v>
      </c>
      <c r="F2726" t="s">
        <v>17</v>
      </c>
      <c r="G2726" t="s">
        <v>63</v>
      </c>
      <c r="H2726">
        <f>Cleaned_Data!K2726</f>
        <v>0</v>
      </c>
      <c r="I2726" t="str">
        <f t="shared" si="126"/>
        <v/>
      </c>
      <c r="J2726">
        <f>Cleaned_Data!J2726</f>
        <v>8</v>
      </c>
      <c r="K2726" t="str">
        <f t="shared" si="127"/>
        <v>2024-05</v>
      </c>
      <c r="L2726">
        <f t="shared" si="128"/>
        <v>0</v>
      </c>
    </row>
    <row r="2727" spans="1:12">
      <c r="A2727" t="s">
        <v>7919</v>
      </c>
      <c r="B2727" t="s">
        <v>7920</v>
      </c>
      <c r="C2727" t="s">
        <v>7921</v>
      </c>
      <c r="D2727" t="s">
        <v>23</v>
      </c>
      <c r="E2727" t="s">
        <v>16</v>
      </c>
      <c r="F2727" t="s">
        <v>17</v>
      </c>
      <c r="G2727" t="s">
        <v>19</v>
      </c>
      <c r="H2727">
        <f>Cleaned_Data!K2727</f>
        <v>19.37</v>
      </c>
      <c r="I2727" t="str">
        <f t="shared" si="126"/>
        <v>YES</v>
      </c>
      <c r="J2727">
        <f>Cleaned_Data!J2727</f>
        <v>24</v>
      </c>
      <c r="K2727" t="str">
        <f t="shared" si="127"/>
        <v>2024-05</v>
      </c>
      <c r="L2727">
        <f t="shared" si="128"/>
        <v>0</v>
      </c>
    </row>
    <row r="2728" spans="1:12">
      <c r="A2728" t="s">
        <v>7922</v>
      </c>
      <c r="B2728" t="s">
        <v>7923</v>
      </c>
      <c r="C2728" t="s">
        <v>7924</v>
      </c>
      <c r="D2728" t="s">
        <v>23</v>
      </c>
      <c r="E2728" t="s">
        <v>28</v>
      </c>
      <c r="F2728" t="s">
        <v>60</v>
      </c>
      <c r="G2728" t="s">
        <v>31</v>
      </c>
      <c r="H2728">
        <f>Cleaned_Data!K2728</f>
        <v>20.88</v>
      </c>
      <c r="I2728" t="str">
        <f t="shared" si="126"/>
        <v>YES</v>
      </c>
      <c r="J2728">
        <f>Cleaned_Data!J2728</f>
        <v>24</v>
      </c>
      <c r="K2728" t="str">
        <f t="shared" si="127"/>
        <v>2024-12</v>
      </c>
      <c r="L2728">
        <f t="shared" si="128"/>
        <v>0</v>
      </c>
    </row>
    <row r="2729" spans="1:12">
      <c r="A2729" t="s">
        <v>7925</v>
      </c>
      <c r="B2729" t="s">
        <v>7926</v>
      </c>
      <c r="C2729" t="s">
        <v>7927</v>
      </c>
      <c r="D2729" t="s">
        <v>35</v>
      </c>
      <c r="E2729" t="s">
        <v>28</v>
      </c>
      <c r="F2729" t="s">
        <v>60</v>
      </c>
      <c r="G2729" t="s">
        <v>31</v>
      </c>
      <c r="H2729">
        <f>Cleaned_Data!K2729</f>
        <v>88.06</v>
      </c>
      <c r="I2729" t="str">
        <f t="shared" si="126"/>
        <v>NO</v>
      </c>
      <c r="J2729">
        <f>Cleaned_Data!J2729</f>
        <v>48</v>
      </c>
      <c r="K2729" t="str">
        <f t="shared" si="127"/>
        <v>2024-12</v>
      </c>
      <c r="L2729">
        <f t="shared" si="128"/>
        <v>40.06</v>
      </c>
    </row>
    <row r="2730" spans="1:12">
      <c r="A2730" t="s">
        <v>7928</v>
      </c>
      <c r="B2730" t="s">
        <v>7929</v>
      </c>
      <c r="D2730" t="s">
        <v>158</v>
      </c>
      <c r="E2730" t="s">
        <v>54</v>
      </c>
      <c r="F2730" t="s">
        <v>17</v>
      </c>
      <c r="G2730" t="s">
        <v>63</v>
      </c>
      <c r="H2730">
        <f>Cleaned_Data!K2730</f>
        <v>0</v>
      </c>
      <c r="I2730" t="str">
        <f t="shared" si="126"/>
        <v/>
      </c>
      <c r="J2730">
        <f>Cleaned_Data!J2730</f>
        <v>4</v>
      </c>
      <c r="K2730" t="str">
        <f t="shared" si="127"/>
        <v>2024-01</v>
      </c>
      <c r="L2730">
        <f t="shared" si="128"/>
        <v>0</v>
      </c>
    </row>
    <row r="2731" spans="1:12">
      <c r="A2731" t="s">
        <v>7930</v>
      </c>
      <c r="B2731" t="s">
        <v>7931</v>
      </c>
      <c r="C2731" t="s">
        <v>7932</v>
      </c>
      <c r="D2731" t="s">
        <v>23</v>
      </c>
      <c r="E2731" t="s">
        <v>28</v>
      </c>
      <c r="F2731" t="s">
        <v>60</v>
      </c>
      <c r="G2731" t="s">
        <v>31</v>
      </c>
      <c r="H2731">
        <f>Cleaned_Data!K2731</f>
        <v>32.36</v>
      </c>
      <c r="I2731" t="str">
        <f t="shared" si="126"/>
        <v>NO</v>
      </c>
      <c r="J2731">
        <f>Cleaned_Data!J2731</f>
        <v>24</v>
      </c>
      <c r="K2731" t="str">
        <f t="shared" si="127"/>
        <v>2024-06</v>
      </c>
      <c r="L2731">
        <f t="shared" si="128"/>
        <v>8.36</v>
      </c>
    </row>
    <row r="2732" spans="1:12">
      <c r="A2732" t="s">
        <v>7933</v>
      </c>
      <c r="B2732" t="s">
        <v>7934</v>
      </c>
      <c r="C2732" t="s">
        <v>7935</v>
      </c>
      <c r="D2732" t="s">
        <v>23</v>
      </c>
      <c r="E2732" t="s">
        <v>59</v>
      </c>
      <c r="F2732" t="s">
        <v>29</v>
      </c>
      <c r="G2732" t="s">
        <v>19</v>
      </c>
      <c r="H2732">
        <f>Cleaned_Data!K2732</f>
        <v>8.67</v>
      </c>
      <c r="I2732" t="str">
        <f t="shared" si="126"/>
        <v>YES</v>
      </c>
      <c r="J2732">
        <f>Cleaned_Data!J2732</f>
        <v>24</v>
      </c>
      <c r="K2732" t="str">
        <f t="shared" si="127"/>
        <v>2024-12</v>
      </c>
      <c r="L2732">
        <f t="shared" si="128"/>
        <v>0</v>
      </c>
    </row>
    <row r="2733" spans="1:12">
      <c r="A2733" t="s">
        <v>7936</v>
      </c>
      <c r="B2733" t="s">
        <v>7937</v>
      </c>
      <c r="C2733" t="s">
        <v>7938</v>
      </c>
      <c r="D2733" t="s">
        <v>15</v>
      </c>
      <c r="E2733" t="s">
        <v>28</v>
      </c>
      <c r="F2733" t="s">
        <v>36</v>
      </c>
      <c r="G2733" t="s">
        <v>19</v>
      </c>
      <c r="H2733">
        <f>Cleaned_Data!K2733</f>
        <v>2.95</v>
      </c>
      <c r="I2733" t="str">
        <f t="shared" si="126"/>
        <v>YES</v>
      </c>
      <c r="J2733">
        <f>Cleaned_Data!J2733</f>
        <v>8</v>
      </c>
      <c r="K2733" t="str">
        <f t="shared" si="127"/>
        <v>2024-10</v>
      </c>
      <c r="L2733">
        <f t="shared" si="128"/>
        <v>0</v>
      </c>
    </row>
    <row r="2734" spans="1:12">
      <c r="A2734" t="s">
        <v>7939</v>
      </c>
      <c r="B2734" t="s">
        <v>7940</v>
      </c>
      <c r="C2734" t="s">
        <v>7941</v>
      </c>
      <c r="D2734" t="s">
        <v>158</v>
      </c>
      <c r="E2734" t="s">
        <v>28</v>
      </c>
      <c r="F2734" t="s">
        <v>17</v>
      </c>
      <c r="G2734" t="s">
        <v>19</v>
      </c>
      <c r="H2734">
        <f>Cleaned_Data!K2734</f>
        <v>3.7</v>
      </c>
      <c r="I2734" t="str">
        <f t="shared" si="126"/>
        <v>YES</v>
      </c>
      <c r="J2734">
        <f>Cleaned_Data!J2734</f>
        <v>4</v>
      </c>
      <c r="K2734" t="str">
        <f t="shared" si="127"/>
        <v>2024-01</v>
      </c>
      <c r="L2734">
        <f t="shared" si="128"/>
        <v>0</v>
      </c>
    </row>
    <row r="2735" spans="1:12">
      <c r="A2735" t="s">
        <v>7942</v>
      </c>
      <c r="B2735" t="s">
        <v>7943</v>
      </c>
      <c r="C2735" t="s">
        <v>7944</v>
      </c>
      <c r="D2735" t="s">
        <v>158</v>
      </c>
      <c r="E2735" t="s">
        <v>54</v>
      </c>
      <c r="F2735" t="s">
        <v>17</v>
      </c>
      <c r="G2735" t="s">
        <v>19</v>
      </c>
      <c r="H2735">
        <f>Cleaned_Data!K2735</f>
        <v>2.5099999999999998</v>
      </c>
      <c r="I2735" t="str">
        <f t="shared" si="126"/>
        <v>YES</v>
      </c>
      <c r="J2735">
        <f>Cleaned_Data!J2735</f>
        <v>4</v>
      </c>
      <c r="K2735" t="str">
        <f t="shared" si="127"/>
        <v>2024-06</v>
      </c>
      <c r="L2735">
        <f t="shared" si="128"/>
        <v>0</v>
      </c>
    </row>
    <row r="2736" spans="1:12">
      <c r="A2736" t="s">
        <v>7945</v>
      </c>
      <c r="B2736" t="s">
        <v>7946</v>
      </c>
      <c r="C2736" t="s">
        <v>7947</v>
      </c>
      <c r="D2736" t="s">
        <v>23</v>
      </c>
      <c r="E2736" t="s">
        <v>54</v>
      </c>
      <c r="F2736" t="s">
        <v>60</v>
      </c>
      <c r="G2736" t="s">
        <v>19</v>
      </c>
      <c r="H2736">
        <f>Cleaned_Data!K2736</f>
        <v>6.27</v>
      </c>
      <c r="I2736" t="str">
        <f t="shared" si="126"/>
        <v>YES</v>
      </c>
      <c r="J2736">
        <f>Cleaned_Data!J2736</f>
        <v>24</v>
      </c>
      <c r="K2736" t="str">
        <f t="shared" si="127"/>
        <v>2024-08</v>
      </c>
      <c r="L2736">
        <f t="shared" si="128"/>
        <v>0</v>
      </c>
    </row>
    <row r="2737" spans="1:12">
      <c r="A2737" t="s">
        <v>7948</v>
      </c>
      <c r="B2737" t="s">
        <v>7949</v>
      </c>
      <c r="C2737" t="s">
        <v>7950</v>
      </c>
      <c r="D2737" t="s">
        <v>15</v>
      </c>
      <c r="E2737" t="s">
        <v>59</v>
      </c>
      <c r="F2737" t="s">
        <v>29</v>
      </c>
      <c r="G2737" t="s">
        <v>19</v>
      </c>
      <c r="H2737">
        <f>Cleaned_Data!K2737</f>
        <v>6.1</v>
      </c>
      <c r="I2737" t="str">
        <f t="shared" si="126"/>
        <v>YES</v>
      </c>
      <c r="J2737">
        <f>Cleaned_Data!J2737</f>
        <v>8</v>
      </c>
      <c r="K2737" t="str">
        <f t="shared" si="127"/>
        <v>2024-11</v>
      </c>
      <c r="L2737">
        <f t="shared" si="128"/>
        <v>0</v>
      </c>
    </row>
    <row r="2738" spans="1:12">
      <c r="A2738" t="s">
        <v>7951</v>
      </c>
      <c r="B2738" t="s">
        <v>7952</v>
      </c>
      <c r="C2738" t="s">
        <v>7953</v>
      </c>
      <c r="D2738" t="s">
        <v>23</v>
      </c>
      <c r="E2738" t="s">
        <v>59</v>
      </c>
      <c r="F2738" t="s">
        <v>41</v>
      </c>
      <c r="G2738" t="s">
        <v>31</v>
      </c>
      <c r="H2738">
        <f>Cleaned_Data!K2738</f>
        <v>3.74</v>
      </c>
      <c r="I2738" t="str">
        <f t="shared" si="126"/>
        <v>YES</v>
      </c>
      <c r="J2738">
        <f>Cleaned_Data!J2738</f>
        <v>24</v>
      </c>
      <c r="K2738" t="str">
        <f t="shared" si="127"/>
        <v>2024-01</v>
      </c>
      <c r="L2738">
        <f t="shared" si="128"/>
        <v>0</v>
      </c>
    </row>
    <row r="2739" spans="1:12">
      <c r="A2739" t="s">
        <v>7954</v>
      </c>
      <c r="B2739" t="s">
        <v>7955</v>
      </c>
      <c r="C2739" t="s">
        <v>7956</v>
      </c>
      <c r="D2739" t="s">
        <v>23</v>
      </c>
      <c r="E2739" t="s">
        <v>28</v>
      </c>
      <c r="F2739" t="s">
        <v>29</v>
      </c>
      <c r="G2739" t="s">
        <v>31</v>
      </c>
      <c r="H2739">
        <f>Cleaned_Data!K2739</f>
        <v>18.440000000000001</v>
      </c>
      <c r="I2739" t="str">
        <f t="shared" si="126"/>
        <v>YES</v>
      </c>
      <c r="J2739">
        <f>Cleaned_Data!J2739</f>
        <v>24</v>
      </c>
      <c r="K2739" t="str">
        <f t="shared" si="127"/>
        <v>2024-01</v>
      </c>
      <c r="L2739">
        <f t="shared" si="128"/>
        <v>0</v>
      </c>
    </row>
    <row r="2740" spans="1:12">
      <c r="A2740" t="s">
        <v>7957</v>
      </c>
      <c r="B2740" t="s">
        <v>7958</v>
      </c>
      <c r="C2740" t="s">
        <v>7959</v>
      </c>
      <c r="D2740" t="s">
        <v>23</v>
      </c>
      <c r="E2740" t="s">
        <v>16</v>
      </c>
      <c r="F2740" t="s">
        <v>29</v>
      </c>
      <c r="G2740" t="s">
        <v>19</v>
      </c>
      <c r="H2740">
        <f>Cleaned_Data!K2740</f>
        <v>15.81</v>
      </c>
      <c r="I2740" t="str">
        <f t="shared" si="126"/>
        <v>YES</v>
      </c>
      <c r="J2740">
        <f>Cleaned_Data!J2740</f>
        <v>24</v>
      </c>
      <c r="K2740" t="str">
        <f t="shared" si="127"/>
        <v>2024-12</v>
      </c>
      <c r="L2740">
        <f t="shared" si="128"/>
        <v>0</v>
      </c>
    </row>
    <row r="2741" spans="1:12">
      <c r="A2741" t="s">
        <v>7960</v>
      </c>
      <c r="B2741" t="s">
        <v>7961</v>
      </c>
      <c r="D2741" t="s">
        <v>15</v>
      </c>
      <c r="E2741" t="s">
        <v>28</v>
      </c>
      <c r="F2741" t="s">
        <v>41</v>
      </c>
      <c r="G2741" t="s">
        <v>46</v>
      </c>
      <c r="H2741">
        <f>Cleaned_Data!K2741</f>
        <v>0</v>
      </c>
      <c r="I2741" t="str">
        <f t="shared" si="126"/>
        <v/>
      </c>
      <c r="J2741">
        <f>Cleaned_Data!J2741</f>
        <v>8</v>
      </c>
      <c r="K2741" t="str">
        <f t="shared" si="127"/>
        <v>2024-08</v>
      </c>
      <c r="L2741">
        <f t="shared" si="128"/>
        <v>0</v>
      </c>
    </row>
    <row r="2742" spans="1:12">
      <c r="A2742" t="s">
        <v>7962</v>
      </c>
      <c r="B2742" t="s">
        <v>7963</v>
      </c>
      <c r="C2742" t="s">
        <v>7964</v>
      </c>
      <c r="D2742" t="s">
        <v>23</v>
      </c>
      <c r="E2742" t="s">
        <v>24</v>
      </c>
      <c r="F2742" t="s">
        <v>29</v>
      </c>
      <c r="G2742" t="s">
        <v>19</v>
      </c>
      <c r="H2742">
        <f>Cleaned_Data!K2742</f>
        <v>17.54</v>
      </c>
      <c r="I2742" t="str">
        <f t="shared" si="126"/>
        <v>YES</v>
      </c>
      <c r="J2742">
        <f>Cleaned_Data!J2742</f>
        <v>24</v>
      </c>
      <c r="K2742" t="str">
        <f t="shared" si="127"/>
        <v>2024-01</v>
      </c>
      <c r="L2742">
        <f t="shared" si="128"/>
        <v>0</v>
      </c>
    </row>
    <row r="2743" spans="1:12">
      <c r="A2743" t="s">
        <v>7965</v>
      </c>
      <c r="B2743" t="s">
        <v>7966</v>
      </c>
      <c r="C2743" t="s">
        <v>7967</v>
      </c>
      <c r="D2743" t="s">
        <v>158</v>
      </c>
      <c r="E2743" t="s">
        <v>16</v>
      </c>
      <c r="F2743" t="s">
        <v>41</v>
      </c>
      <c r="G2743" t="s">
        <v>19</v>
      </c>
      <c r="H2743">
        <f>Cleaned_Data!K2743</f>
        <v>1.73</v>
      </c>
      <c r="I2743" t="str">
        <f t="shared" si="126"/>
        <v>YES</v>
      </c>
      <c r="J2743">
        <f>Cleaned_Data!J2743</f>
        <v>4</v>
      </c>
      <c r="K2743" t="str">
        <f t="shared" si="127"/>
        <v>2024-11</v>
      </c>
      <c r="L2743">
        <f t="shared" si="128"/>
        <v>0</v>
      </c>
    </row>
    <row r="2744" spans="1:12">
      <c r="A2744" t="s">
        <v>7968</v>
      </c>
      <c r="B2744" t="s">
        <v>7969</v>
      </c>
      <c r="C2744" t="s">
        <v>7970</v>
      </c>
      <c r="D2744" t="s">
        <v>23</v>
      </c>
      <c r="E2744" t="s">
        <v>59</v>
      </c>
      <c r="F2744" t="s">
        <v>36</v>
      </c>
      <c r="G2744" t="s">
        <v>19</v>
      </c>
      <c r="H2744">
        <f>Cleaned_Data!K2744</f>
        <v>3.43</v>
      </c>
      <c r="I2744" t="str">
        <f t="shared" si="126"/>
        <v>YES</v>
      </c>
      <c r="J2744">
        <f>Cleaned_Data!J2744</f>
        <v>24</v>
      </c>
      <c r="K2744" t="str">
        <f t="shared" si="127"/>
        <v>2024-08</v>
      </c>
      <c r="L2744">
        <f t="shared" si="128"/>
        <v>0</v>
      </c>
    </row>
    <row r="2745" spans="1:12">
      <c r="A2745" t="s">
        <v>7971</v>
      </c>
      <c r="B2745" t="s">
        <v>7972</v>
      </c>
      <c r="C2745" t="s">
        <v>7973</v>
      </c>
      <c r="D2745" t="s">
        <v>35</v>
      </c>
      <c r="E2745" t="s">
        <v>16</v>
      </c>
      <c r="F2745" t="s">
        <v>29</v>
      </c>
      <c r="G2745" t="s">
        <v>31</v>
      </c>
      <c r="H2745">
        <f>Cleaned_Data!K2745</f>
        <v>16.07</v>
      </c>
      <c r="I2745" t="str">
        <f t="shared" si="126"/>
        <v>YES</v>
      </c>
      <c r="J2745">
        <f>Cleaned_Data!J2745</f>
        <v>48</v>
      </c>
      <c r="K2745" t="str">
        <f t="shared" si="127"/>
        <v>2024-04</v>
      </c>
      <c r="L2745">
        <f t="shared" si="128"/>
        <v>0</v>
      </c>
    </row>
    <row r="2746" spans="1:12">
      <c r="A2746" t="s">
        <v>7974</v>
      </c>
      <c r="B2746" t="s">
        <v>7975</v>
      </c>
      <c r="C2746" t="s">
        <v>7976</v>
      </c>
      <c r="D2746" t="s">
        <v>15</v>
      </c>
      <c r="E2746" t="s">
        <v>59</v>
      </c>
      <c r="F2746" t="s">
        <v>60</v>
      </c>
      <c r="G2746" t="s">
        <v>19</v>
      </c>
      <c r="H2746">
        <f>Cleaned_Data!K2746</f>
        <v>0.96</v>
      </c>
      <c r="I2746" t="str">
        <f t="shared" si="126"/>
        <v>YES</v>
      </c>
      <c r="J2746">
        <f>Cleaned_Data!J2746</f>
        <v>8</v>
      </c>
      <c r="K2746" t="str">
        <f t="shared" si="127"/>
        <v>2024-10</v>
      </c>
      <c r="L2746">
        <f t="shared" si="128"/>
        <v>0</v>
      </c>
    </row>
    <row r="2747" spans="1:12">
      <c r="A2747" t="s">
        <v>7977</v>
      </c>
      <c r="B2747" t="s">
        <v>7978</v>
      </c>
      <c r="C2747" t="s">
        <v>7979</v>
      </c>
      <c r="D2747" t="s">
        <v>23</v>
      </c>
      <c r="E2747" t="s">
        <v>24</v>
      </c>
      <c r="F2747" t="s">
        <v>36</v>
      </c>
      <c r="G2747" t="s">
        <v>19</v>
      </c>
      <c r="H2747">
        <f>Cleaned_Data!K2747</f>
        <v>50.66</v>
      </c>
      <c r="I2747" t="str">
        <f t="shared" si="126"/>
        <v>NO</v>
      </c>
      <c r="J2747">
        <f>Cleaned_Data!J2747</f>
        <v>24</v>
      </c>
      <c r="K2747" t="str">
        <f t="shared" si="127"/>
        <v>2024-05</v>
      </c>
      <c r="L2747">
        <f t="shared" si="128"/>
        <v>26.659999999999997</v>
      </c>
    </row>
    <row r="2748" spans="1:12">
      <c r="A2748" t="s">
        <v>7980</v>
      </c>
      <c r="B2748" t="s">
        <v>7981</v>
      </c>
      <c r="C2748" t="s">
        <v>7982</v>
      </c>
      <c r="D2748" t="s">
        <v>23</v>
      </c>
      <c r="E2748" t="s">
        <v>54</v>
      </c>
      <c r="F2748" t="s">
        <v>36</v>
      </c>
      <c r="G2748" t="s">
        <v>19</v>
      </c>
      <c r="H2748">
        <f>Cleaned_Data!K2748</f>
        <v>5.49</v>
      </c>
      <c r="I2748" t="str">
        <f t="shared" si="126"/>
        <v>YES</v>
      </c>
      <c r="J2748">
        <f>Cleaned_Data!J2748</f>
        <v>24</v>
      </c>
      <c r="K2748" t="str">
        <f t="shared" si="127"/>
        <v>2024-04</v>
      </c>
      <c r="L2748">
        <f t="shared" si="128"/>
        <v>0</v>
      </c>
    </row>
    <row r="2749" spans="1:12">
      <c r="A2749" t="s">
        <v>7983</v>
      </c>
      <c r="B2749" t="s">
        <v>7984</v>
      </c>
      <c r="C2749" t="s">
        <v>7985</v>
      </c>
      <c r="D2749" t="s">
        <v>23</v>
      </c>
      <c r="E2749" t="s">
        <v>24</v>
      </c>
      <c r="F2749" t="s">
        <v>41</v>
      </c>
      <c r="G2749" t="s">
        <v>31</v>
      </c>
      <c r="H2749">
        <f>Cleaned_Data!K2749</f>
        <v>6.62</v>
      </c>
      <c r="I2749" t="str">
        <f t="shared" si="126"/>
        <v>YES</v>
      </c>
      <c r="J2749">
        <f>Cleaned_Data!J2749</f>
        <v>24</v>
      </c>
      <c r="K2749" t="str">
        <f t="shared" si="127"/>
        <v>2024-08</v>
      </c>
      <c r="L2749">
        <f t="shared" si="128"/>
        <v>0</v>
      </c>
    </row>
    <row r="2750" spans="1:12">
      <c r="A2750" t="s">
        <v>7986</v>
      </c>
      <c r="B2750" t="s">
        <v>7987</v>
      </c>
      <c r="D2750" t="s">
        <v>15</v>
      </c>
      <c r="E2750" t="s">
        <v>28</v>
      </c>
      <c r="F2750" t="s">
        <v>17</v>
      </c>
      <c r="G2750" t="s">
        <v>63</v>
      </c>
      <c r="H2750">
        <f>Cleaned_Data!K2750</f>
        <v>0</v>
      </c>
      <c r="I2750" t="str">
        <f t="shared" si="126"/>
        <v/>
      </c>
      <c r="J2750">
        <f>Cleaned_Data!J2750</f>
        <v>8</v>
      </c>
      <c r="K2750" t="str">
        <f t="shared" si="127"/>
        <v>2024-04</v>
      </c>
      <c r="L2750">
        <f t="shared" si="128"/>
        <v>0</v>
      </c>
    </row>
    <row r="2751" spans="1:12">
      <c r="A2751" t="s">
        <v>7988</v>
      </c>
      <c r="B2751" t="s">
        <v>7989</v>
      </c>
      <c r="D2751" t="s">
        <v>35</v>
      </c>
      <c r="E2751" t="s">
        <v>28</v>
      </c>
      <c r="F2751" t="s">
        <v>36</v>
      </c>
      <c r="G2751" t="s">
        <v>63</v>
      </c>
      <c r="H2751">
        <f>Cleaned_Data!K2751</f>
        <v>0</v>
      </c>
      <c r="I2751" t="str">
        <f t="shared" si="126"/>
        <v/>
      </c>
      <c r="J2751">
        <f>Cleaned_Data!J2751</f>
        <v>48</v>
      </c>
      <c r="K2751" t="str">
        <f t="shared" si="127"/>
        <v>2024-08</v>
      </c>
      <c r="L2751">
        <f t="shared" si="128"/>
        <v>0</v>
      </c>
    </row>
    <row r="2752" spans="1:12">
      <c r="A2752" t="s">
        <v>7990</v>
      </c>
      <c r="B2752" t="s">
        <v>7991</v>
      </c>
      <c r="C2752" t="s">
        <v>7992</v>
      </c>
      <c r="D2752" t="s">
        <v>158</v>
      </c>
      <c r="E2752" t="s">
        <v>16</v>
      </c>
      <c r="F2752" t="s">
        <v>41</v>
      </c>
      <c r="G2752" t="s">
        <v>19</v>
      </c>
      <c r="H2752">
        <f>Cleaned_Data!K2752</f>
        <v>2.46</v>
      </c>
      <c r="I2752" t="str">
        <f t="shared" si="126"/>
        <v>YES</v>
      </c>
      <c r="J2752">
        <f>Cleaned_Data!J2752</f>
        <v>4</v>
      </c>
      <c r="K2752" t="str">
        <f t="shared" si="127"/>
        <v>2024-12</v>
      </c>
      <c r="L2752">
        <f t="shared" si="128"/>
        <v>0</v>
      </c>
    </row>
    <row r="2753" spans="1:12">
      <c r="A2753" t="s">
        <v>7993</v>
      </c>
      <c r="B2753" t="s">
        <v>7994</v>
      </c>
      <c r="C2753" t="s">
        <v>7995</v>
      </c>
      <c r="D2753" t="s">
        <v>23</v>
      </c>
      <c r="E2753" t="s">
        <v>24</v>
      </c>
      <c r="F2753" t="s">
        <v>36</v>
      </c>
      <c r="G2753" t="s">
        <v>31</v>
      </c>
      <c r="H2753">
        <f>Cleaned_Data!K2753</f>
        <v>19.52</v>
      </c>
      <c r="I2753" t="str">
        <f t="shared" si="126"/>
        <v>YES</v>
      </c>
      <c r="J2753">
        <f>Cleaned_Data!J2753</f>
        <v>24</v>
      </c>
      <c r="K2753" t="str">
        <f t="shared" si="127"/>
        <v>2024-01</v>
      </c>
      <c r="L2753">
        <f t="shared" si="128"/>
        <v>0</v>
      </c>
    </row>
    <row r="2754" spans="1:12">
      <c r="A2754" t="s">
        <v>7996</v>
      </c>
      <c r="B2754" t="s">
        <v>7997</v>
      </c>
      <c r="C2754" t="s">
        <v>7998</v>
      </c>
      <c r="D2754" t="s">
        <v>35</v>
      </c>
      <c r="E2754" t="s">
        <v>28</v>
      </c>
      <c r="F2754" t="s">
        <v>17</v>
      </c>
      <c r="G2754" t="s">
        <v>19</v>
      </c>
      <c r="H2754">
        <f>Cleaned_Data!K2754</f>
        <v>41.95</v>
      </c>
      <c r="I2754" t="str">
        <f t="shared" ref="I2754:I2817" si="129">IF(OR(G2754="Resolved", G2754="Closed"), IF(AND(H2754&lt;&gt;"", H2754&lt;=J2754), "YES", "NO"), "")</f>
        <v>YES</v>
      </c>
      <c r="J2754">
        <f>Cleaned_Data!J2754</f>
        <v>48</v>
      </c>
      <c r="K2754" t="str">
        <f t="shared" ref="K2754:K2817" si="130">LEFT(B2754, 7)</f>
        <v>2024-09</v>
      </c>
      <c r="L2754">
        <f t="shared" ref="L2754:L2817" si="131">IF(I2754="NO", H2754-J2754, 0)</f>
        <v>0</v>
      </c>
    </row>
    <row r="2755" spans="1:12">
      <c r="A2755" t="s">
        <v>7999</v>
      </c>
      <c r="B2755" t="s">
        <v>8000</v>
      </c>
      <c r="C2755" t="s">
        <v>8001</v>
      </c>
      <c r="D2755" t="s">
        <v>15</v>
      </c>
      <c r="E2755" t="s">
        <v>24</v>
      </c>
      <c r="F2755" t="s">
        <v>29</v>
      </c>
      <c r="G2755" t="s">
        <v>19</v>
      </c>
      <c r="H2755">
        <f>Cleaned_Data!K2755</f>
        <v>1.91</v>
      </c>
      <c r="I2755" t="str">
        <f t="shared" si="129"/>
        <v>YES</v>
      </c>
      <c r="J2755">
        <f>Cleaned_Data!J2755</f>
        <v>8</v>
      </c>
      <c r="K2755" t="str">
        <f t="shared" si="130"/>
        <v>2024-05</v>
      </c>
      <c r="L2755">
        <f t="shared" si="131"/>
        <v>0</v>
      </c>
    </row>
    <row r="2756" spans="1:12">
      <c r="A2756" t="s">
        <v>8002</v>
      </c>
      <c r="B2756" t="s">
        <v>8003</v>
      </c>
      <c r="C2756" t="s">
        <v>8004</v>
      </c>
      <c r="D2756" t="s">
        <v>23</v>
      </c>
      <c r="E2756" t="s">
        <v>28</v>
      </c>
      <c r="F2756" t="s">
        <v>41</v>
      </c>
      <c r="G2756" t="s">
        <v>19</v>
      </c>
      <c r="H2756">
        <f>Cleaned_Data!K2756</f>
        <v>16.350000000000001</v>
      </c>
      <c r="I2756" t="str">
        <f t="shared" si="129"/>
        <v>YES</v>
      </c>
      <c r="J2756">
        <f>Cleaned_Data!J2756</f>
        <v>24</v>
      </c>
      <c r="K2756" t="str">
        <f t="shared" si="130"/>
        <v>2024-03</v>
      </c>
      <c r="L2756">
        <f t="shared" si="131"/>
        <v>0</v>
      </c>
    </row>
    <row r="2757" spans="1:12">
      <c r="A2757" t="s">
        <v>8005</v>
      </c>
      <c r="B2757" t="s">
        <v>8006</v>
      </c>
      <c r="C2757" t="s">
        <v>8007</v>
      </c>
      <c r="D2757" t="s">
        <v>158</v>
      </c>
      <c r="E2757" t="s">
        <v>28</v>
      </c>
      <c r="F2757" t="s">
        <v>41</v>
      </c>
      <c r="G2757" t="s">
        <v>19</v>
      </c>
      <c r="H2757">
        <f>Cleaned_Data!K2757</f>
        <v>1.33</v>
      </c>
      <c r="I2757" t="str">
        <f t="shared" si="129"/>
        <v>YES</v>
      </c>
      <c r="J2757">
        <f>Cleaned_Data!J2757</f>
        <v>4</v>
      </c>
      <c r="K2757" t="str">
        <f t="shared" si="130"/>
        <v>2024-02</v>
      </c>
      <c r="L2757">
        <f t="shared" si="131"/>
        <v>0</v>
      </c>
    </row>
    <row r="2758" spans="1:12">
      <c r="A2758" t="s">
        <v>8008</v>
      </c>
      <c r="B2758" t="s">
        <v>8009</v>
      </c>
      <c r="C2758" t="s">
        <v>8010</v>
      </c>
      <c r="D2758" t="s">
        <v>23</v>
      </c>
      <c r="E2758" t="s">
        <v>54</v>
      </c>
      <c r="F2758" t="s">
        <v>36</v>
      </c>
      <c r="G2758" t="s">
        <v>31</v>
      </c>
      <c r="H2758">
        <f>Cleaned_Data!K2758</f>
        <v>5.21</v>
      </c>
      <c r="I2758" t="str">
        <f t="shared" si="129"/>
        <v>YES</v>
      </c>
      <c r="J2758">
        <f>Cleaned_Data!J2758</f>
        <v>24</v>
      </c>
      <c r="K2758" t="str">
        <f t="shared" si="130"/>
        <v>2024-04</v>
      </c>
      <c r="L2758">
        <f t="shared" si="131"/>
        <v>0</v>
      </c>
    </row>
    <row r="2759" spans="1:12">
      <c r="A2759" t="s">
        <v>8011</v>
      </c>
      <c r="B2759" t="s">
        <v>8012</v>
      </c>
      <c r="C2759" t="s">
        <v>8013</v>
      </c>
      <c r="D2759" t="s">
        <v>158</v>
      </c>
      <c r="E2759" t="s">
        <v>16</v>
      </c>
      <c r="F2759" t="s">
        <v>29</v>
      </c>
      <c r="G2759" t="s">
        <v>31</v>
      </c>
      <c r="H2759">
        <f>Cleaned_Data!K2759</f>
        <v>8.66</v>
      </c>
      <c r="I2759" t="str">
        <f t="shared" si="129"/>
        <v>NO</v>
      </c>
      <c r="J2759">
        <f>Cleaned_Data!J2759</f>
        <v>4</v>
      </c>
      <c r="K2759" t="str">
        <f t="shared" si="130"/>
        <v>2024-03</v>
      </c>
      <c r="L2759">
        <f t="shared" si="131"/>
        <v>4.66</v>
      </c>
    </row>
    <row r="2760" spans="1:12">
      <c r="A2760" t="s">
        <v>8014</v>
      </c>
      <c r="B2760" t="s">
        <v>8015</v>
      </c>
      <c r="D2760" t="s">
        <v>15</v>
      </c>
      <c r="E2760" t="s">
        <v>16</v>
      </c>
      <c r="F2760" t="s">
        <v>41</v>
      </c>
      <c r="G2760" t="s">
        <v>46</v>
      </c>
      <c r="H2760">
        <f>Cleaned_Data!K2760</f>
        <v>0</v>
      </c>
      <c r="I2760" t="str">
        <f t="shared" si="129"/>
        <v/>
      </c>
      <c r="J2760">
        <f>Cleaned_Data!J2760</f>
        <v>8</v>
      </c>
      <c r="K2760" t="str">
        <f t="shared" si="130"/>
        <v>2024-08</v>
      </c>
      <c r="L2760">
        <f t="shared" si="131"/>
        <v>0</v>
      </c>
    </row>
    <row r="2761" spans="1:12">
      <c r="A2761" t="s">
        <v>8016</v>
      </c>
      <c r="B2761" t="s">
        <v>8017</v>
      </c>
      <c r="C2761" t="s">
        <v>8018</v>
      </c>
      <c r="D2761" t="s">
        <v>35</v>
      </c>
      <c r="E2761" t="s">
        <v>24</v>
      </c>
      <c r="F2761" t="s">
        <v>29</v>
      </c>
      <c r="G2761" t="s">
        <v>31</v>
      </c>
      <c r="H2761">
        <f>Cleaned_Data!K2761</f>
        <v>4.91</v>
      </c>
      <c r="I2761" t="str">
        <f t="shared" si="129"/>
        <v>YES</v>
      </c>
      <c r="J2761">
        <f>Cleaned_Data!J2761</f>
        <v>48</v>
      </c>
      <c r="K2761" t="str">
        <f t="shared" si="130"/>
        <v>2024-02</v>
      </c>
      <c r="L2761">
        <f t="shared" si="131"/>
        <v>0</v>
      </c>
    </row>
    <row r="2762" spans="1:12">
      <c r="A2762" t="s">
        <v>8019</v>
      </c>
      <c r="B2762" t="s">
        <v>8020</v>
      </c>
      <c r="C2762" t="s">
        <v>8021</v>
      </c>
      <c r="D2762" t="s">
        <v>15</v>
      </c>
      <c r="E2762" t="s">
        <v>28</v>
      </c>
      <c r="F2762" t="s">
        <v>60</v>
      </c>
      <c r="G2762" t="s">
        <v>19</v>
      </c>
      <c r="H2762">
        <f>Cleaned_Data!K2762</f>
        <v>6.33</v>
      </c>
      <c r="I2762" t="str">
        <f t="shared" si="129"/>
        <v>YES</v>
      </c>
      <c r="J2762">
        <f>Cleaned_Data!J2762</f>
        <v>8</v>
      </c>
      <c r="K2762" t="str">
        <f t="shared" si="130"/>
        <v>2024-01</v>
      </c>
      <c r="L2762">
        <f t="shared" si="131"/>
        <v>0</v>
      </c>
    </row>
    <row r="2763" spans="1:12">
      <c r="A2763" t="s">
        <v>8022</v>
      </c>
      <c r="B2763" t="s">
        <v>8023</v>
      </c>
      <c r="C2763" t="s">
        <v>8024</v>
      </c>
      <c r="D2763" t="s">
        <v>15</v>
      </c>
      <c r="E2763" t="s">
        <v>28</v>
      </c>
      <c r="F2763" t="s">
        <v>41</v>
      </c>
      <c r="G2763" t="s">
        <v>19</v>
      </c>
      <c r="H2763">
        <f>Cleaned_Data!K2763</f>
        <v>3.47</v>
      </c>
      <c r="I2763" t="str">
        <f t="shared" si="129"/>
        <v>YES</v>
      </c>
      <c r="J2763">
        <f>Cleaned_Data!J2763</f>
        <v>8</v>
      </c>
      <c r="K2763" t="str">
        <f t="shared" si="130"/>
        <v>2024-01</v>
      </c>
      <c r="L2763">
        <f t="shared" si="131"/>
        <v>0</v>
      </c>
    </row>
    <row r="2764" spans="1:12">
      <c r="A2764" t="s">
        <v>8025</v>
      </c>
      <c r="B2764" t="s">
        <v>8026</v>
      </c>
      <c r="C2764" t="s">
        <v>8027</v>
      </c>
      <c r="D2764" t="s">
        <v>15</v>
      </c>
      <c r="E2764" t="s">
        <v>16</v>
      </c>
      <c r="F2764" t="s">
        <v>29</v>
      </c>
      <c r="G2764" t="s">
        <v>19</v>
      </c>
      <c r="H2764">
        <f>Cleaned_Data!K2764</f>
        <v>5.16</v>
      </c>
      <c r="I2764" t="str">
        <f t="shared" si="129"/>
        <v>YES</v>
      </c>
      <c r="J2764">
        <f>Cleaned_Data!J2764</f>
        <v>8</v>
      </c>
      <c r="K2764" t="str">
        <f t="shared" si="130"/>
        <v>2024-06</v>
      </c>
      <c r="L2764">
        <f t="shared" si="131"/>
        <v>0</v>
      </c>
    </row>
    <row r="2765" spans="1:12">
      <c r="A2765" t="s">
        <v>8028</v>
      </c>
      <c r="B2765" t="s">
        <v>8029</v>
      </c>
      <c r="C2765" t="s">
        <v>8030</v>
      </c>
      <c r="D2765" t="s">
        <v>15</v>
      </c>
      <c r="E2765" t="s">
        <v>24</v>
      </c>
      <c r="F2765" t="s">
        <v>60</v>
      </c>
      <c r="G2765" t="s">
        <v>19</v>
      </c>
      <c r="H2765">
        <f>Cleaned_Data!K2765</f>
        <v>17.55</v>
      </c>
      <c r="I2765" t="str">
        <f t="shared" si="129"/>
        <v>NO</v>
      </c>
      <c r="J2765">
        <f>Cleaned_Data!J2765</f>
        <v>8</v>
      </c>
      <c r="K2765" t="str">
        <f t="shared" si="130"/>
        <v>2024-06</v>
      </c>
      <c r="L2765">
        <f t="shared" si="131"/>
        <v>9.5500000000000007</v>
      </c>
    </row>
    <row r="2766" spans="1:12">
      <c r="A2766" t="s">
        <v>8031</v>
      </c>
      <c r="B2766" t="s">
        <v>8032</v>
      </c>
      <c r="C2766" t="s">
        <v>8033</v>
      </c>
      <c r="D2766" t="s">
        <v>158</v>
      </c>
      <c r="E2766" t="s">
        <v>16</v>
      </c>
      <c r="F2766" t="s">
        <v>36</v>
      </c>
      <c r="G2766" t="s">
        <v>19</v>
      </c>
      <c r="H2766">
        <f>Cleaned_Data!K2766</f>
        <v>1.29</v>
      </c>
      <c r="I2766" t="str">
        <f t="shared" si="129"/>
        <v>YES</v>
      </c>
      <c r="J2766">
        <f>Cleaned_Data!J2766</f>
        <v>4</v>
      </c>
      <c r="K2766" t="str">
        <f t="shared" si="130"/>
        <v>2024-03</v>
      </c>
      <c r="L2766">
        <f t="shared" si="131"/>
        <v>0</v>
      </c>
    </row>
    <row r="2767" spans="1:12">
      <c r="A2767" t="s">
        <v>8034</v>
      </c>
      <c r="B2767" t="s">
        <v>8035</v>
      </c>
      <c r="C2767" t="s">
        <v>8036</v>
      </c>
      <c r="D2767" t="s">
        <v>23</v>
      </c>
      <c r="E2767" t="s">
        <v>28</v>
      </c>
      <c r="F2767" t="s">
        <v>29</v>
      </c>
      <c r="G2767" t="s">
        <v>19</v>
      </c>
      <c r="H2767">
        <f>Cleaned_Data!K2767</f>
        <v>7.12</v>
      </c>
      <c r="I2767" t="str">
        <f t="shared" si="129"/>
        <v>YES</v>
      </c>
      <c r="J2767">
        <f>Cleaned_Data!J2767</f>
        <v>24</v>
      </c>
      <c r="K2767" t="str">
        <f t="shared" si="130"/>
        <v>2024-03</v>
      </c>
      <c r="L2767">
        <f t="shared" si="131"/>
        <v>0</v>
      </c>
    </row>
    <row r="2768" spans="1:12">
      <c r="A2768" t="s">
        <v>8037</v>
      </c>
      <c r="B2768" t="s">
        <v>8038</v>
      </c>
      <c r="C2768" t="s">
        <v>8039</v>
      </c>
      <c r="D2768" t="s">
        <v>35</v>
      </c>
      <c r="E2768" t="s">
        <v>59</v>
      </c>
      <c r="F2768" t="s">
        <v>36</v>
      </c>
      <c r="G2768" t="s">
        <v>31</v>
      </c>
      <c r="H2768">
        <f>Cleaned_Data!K2768</f>
        <v>6.55</v>
      </c>
      <c r="I2768" t="str">
        <f t="shared" si="129"/>
        <v>YES</v>
      </c>
      <c r="J2768">
        <f>Cleaned_Data!J2768</f>
        <v>48</v>
      </c>
      <c r="K2768" t="str">
        <f t="shared" si="130"/>
        <v>2024-09</v>
      </c>
      <c r="L2768">
        <f t="shared" si="131"/>
        <v>0</v>
      </c>
    </row>
    <row r="2769" spans="1:12">
      <c r="A2769" t="s">
        <v>8040</v>
      </c>
      <c r="B2769" t="s">
        <v>8041</v>
      </c>
      <c r="C2769" t="s">
        <v>8042</v>
      </c>
      <c r="D2769" t="s">
        <v>15</v>
      </c>
      <c r="E2769" t="s">
        <v>54</v>
      </c>
      <c r="F2769" t="s">
        <v>41</v>
      </c>
      <c r="G2769" t="s">
        <v>31</v>
      </c>
      <c r="H2769">
        <f>Cleaned_Data!K2769</f>
        <v>2.66</v>
      </c>
      <c r="I2769" t="str">
        <f t="shared" si="129"/>
        <v>YES</v>
      </c>
      <c r="J2769">
        <f>Cleaned_Data!J2769</f>
        <v>8</v>
      </c>
      <c r="K2769" t="str">
        <f t="shared" si="130"/>
        <v>2024-06</v>
      </c>
      <c r="L2769">
        <f t="shared" si="131"/>
        <v>0</v>
      </c>
    </row>
    <row r="2770" spans="1:12">
      <c r="A2770" t="s">
        <v>8043</v>
      </c>
      <c r="B2770" t="s">
        <v>8044</v>
      </c>
      <c r="C2770" t="s">
        <v>8045</v>
      </c>
      <c r="D2770" t="s">
        <v>158</v>
      </c>
      <c r="E2770" t="s">
        <v>28</v>
      </c>
      <c r="F2770" t="s">
        <v>60</v>
      </c>
      <c r="G2770" t="s">
        <v>19</v>
      </c>
      <c r="H2770">
        <f>Cleaned_Data!K2770</f>
        <v>1.52</v>
      </c>
      <c r="I2770" t="str">
        <f t="shared" si="129"/>
        <v>YES</v>
      </c>
      <c r="J2770">
        <f>Cleaned_Data!J2770</f>
        <v>4</v>
      </c>
      <c r="K2770" t="str">
        <f t="shared" si="130"/>
        <v>2024-02</v>
      </c>
      <c r="L2770">
        <f t="shared" si="131"/>
        <v>0</v>
      </c>
    </row>
    <row r="2771" spans="1:12">
      <c r="A2771" t="s">
        <v>8046</v>
      </c>
      <c r="B2771" t="s">
        <v>8047</v>
      </c>
      <c r="C2771" t="s">
        <v>8048</v>
      </c>
      <c r="D2771" t="s">
        <v>23</v>
      </c>
      <c r="E2771" t="s">
        <v>54</v>
      </c>
      <c r="F2771" t="s">
        <v>36</v>
      </c>
      <c r="G2771" t="s">
        <v>19</v>
      </c>
      <c r="H2771">
        <f>Cleaned_Data!K2771</f>
        <v>15.24</v>
      </c>
      <c r="I2771" t="str">
        <f t="shared" si="129"/>
        <v>YES</v>
      </c>
      <c r="J2771">
        <f>Cleaned_Data!J2771</f>
        <v>24</v>
      </c>
      <c r="K2771" t="str">
        <f t="shared" si="130"/>
        <v>2024-02</v>
      </c>
      <c r="L2771">
        <f t="shared" si="131"/>
        <v>0</v>
      </c>
    </row>
    <row r="2772" spans="1:12">
      <c r="A2772" t="s">
        <v>8049</v>
      </c>
      <c r="B2772" t="s">
        <v>8050</v>
      </c>
      <c r="D2772" t="s">
        <v>35</v>
      </c>
      <c r="E2772" t="s">
        <v>16</v>
      </c>
      <c r="F2772" t="s">
        <v>29</v>
      </c>
      <c r="G2772" t="s">
        <v>46</v>
      </c>
      <c r="H2772">
        <f>Cleaned_Data!K2772</f>
        <v>0</v>
      </c>
      <c r="I2772" t="str">
        <f t="shared" si="129"/>
        <v/>
      </c>
      <c r="J2772">
        <f>Cleaned_Data!J2772</f>
        <v>48</v>
      </c>
      <c r="K2772" t="str">
        <f t="shared" si="130"/>
        <v>2024-04</v>
      </c>
      <c r="L2772">
        <f t="shared" si="131"/>
        <v>0</v>
      </c>
    </row>
    <row r="2773" spans="1:12">
      <c r="A2773" t="s">
        <v>8051</v>
      </c>
      <c r="B2773" t="s">
        <v>8052</v>
      </c>
      <c r="C2773" t="s">
        <v>8053</v>
      </c>
      <c r="D2773" t="s">
        <v>35</v>
      </c>
      <c r="E2773" t="s">
        <v>54</v>
      </c>
      <c r="F2773" t="s">
        <v>29</v>
      </c>
      <c r="G2773" t="s">
        <v>19</v>
      </c>
      <c r="H2773">
        <f>Cleaned_Data!K2773</f>
        <v>6.94</v>
      </c>
      <c r="I2773" t="str">
        <f t="shared" si="129"/>
        <v>YES</v>
      </c>
      <c r="J2773">
        <f>Cleaned_Data!J2773</f>
        <v>48</v>
      </c>
      <c r="K2773" t="str">
        <f t="shared" si="130"/>
        <v>2024-03</v>
      </c>
      <c r="L2773">
        <f t="shared" si="131"/>
        <v>0</v>
      </c>
    </row>
    <row r="2774" spans="1:12">
      <c r="A2774" t="s">
        <v>8054</v>
      </c>
      <c r="B2774" t="s">
        <v>8055</v>
      </c>
      <c r="C2774" t="s">
        <v>8056</v>
      </c>
      <c r="D2774" t="s">
        <v>158</v>
      </c>
      <c r="E2774" t="s">
        <v>59</v>
      </c>
      <c r="F2774" t="s">
        <v>41</v>
      </c>
      <c r="G2774" t="s">
        <v>31</v>
      </c>
      <c r="H2774">
        <f>Cleaned_Data!K2774</f>
        <v>6.61</v>
      </c>
      <c r="I2774" t="str">
        <f t="shared" si="129"/>
        <v>NO</v>
      </c>
      <c r="J2774">
        <f>Cleaned_Data!J2774</f>
        <v>4</v>
      </c>
      <c r="K2774" t="str">
        <f t="shared" si="130"/>
        <v>2024-05</v>
      </c>
      <c r="L2774">
        <f t="shared" si="131"/>
        <v>2.6100000000000003</v>
      </c>
    </row>
    <row r="2775" spans="1:12">
      <c r="A2775" t="s">
        <v>8057</v>
      </c>
      <c r="B2775" t="s">
        <v>8058</v>
      </c>
      <c r="D2775" t="s">
        <v>158</v>
      </c>
      <c r="E2775" t="s">
        <v>28</v>
      </c>
      <c r="F2775" t="s">
        <v>17</v>
      </c>
      <c r="G2775" t="s">
        <v>63</v>
      </c>
      <c r="H2775">
        <f>Cleaned_Data!K2775</f>
        <v>0</v>
      </c>
      <c r="I2775" t="str">
        <f t="shared" si="129"/>
        <v/>
      </c>
      <c r="J2775">
        <f>Cleaned_Data!J2775</f>
        <v>4</v>
      </c>
      <c r="K2775" t="str">
        <f t="shared" si="130"/>
        <v>2024-06</v>
      </c>
      <c r="L2775">
        <f t="shared" si="131"/>
        <v>0</v>
      </c>
    </row>
    <row r="2776" spans="1:12">
      <c r="A2776" t="s">
        <v>8059</v>
      </c>
      <c r="B2776" t="s">
        <v>8060</v>
      </c>
      <c r="C2776" t="s">
        <v>8061</v>
      </c>
      <c r="D2776" t="s">
        <v>158</v>
      </c>
      <c r="E2776" t="s">
        <v>24</v>
      </c>
      <c r="F2776" t="s">
        <v>36</v>
      </c>
      <c r="G2776" t="s">
        <v>19</v>
      </c>
      <c r="H2776">
        <f>Cleaned_Data!K2776</f>
        <v>1.67</v>
      </c>
      <c r="I2776" t="str">
        <f t="shared" si="129"/>
        <v>YES</v>
      </c>
      <c r="J2776">
        <f>Cleaned_Data!J2776</f>
        <v>4</v>
      </c>
      <c r="K2776" t="str">
        <f t="shared" si="130"/>
        <v>2024-06</v>
      </c>
      <c r="L2776">
        <f t="shared" si="131"/>
        <v>0</v>
      </c>
    </row>
    <row r="2777" spans="1:12">
      <c r="A2777" t="s">
        <v>8062</v>
      </c>
      <c r="B2777" t="s">
        <v>8063</v>
      </c>
      <c r="C2777" t="s">
        <v>8064</v>
      </c>
      <c r="D2777" t="s">
        <v>158</v>
      </c>
      <c r="E2777" t="s">
        <v>28</v>
      </c>
      <c r="F2777" t="s">
        <v>36</v>
      </c>
      <c r="G2777" t="s">
        <v>19</v>
      </c>
      <c r="H2777">
        <f>Cleaned_Data!K2777</f>
        <v>1.84</v>
      </c>
      <c r="I2777" t="str">
        <f t="shared" si="129"/>
        <v>YES</v>
      </c>
      <c r="J2777">
        <f>Cleaned_Data!J2777</f>
        <v>4</v>
      </c>
      <c r="K2777" t="str">
        <f t="shared" si="130"/>
        <v>2024-01</v>
      </c>
      <c r="L2777">
        <f t="shared" si="131"/>
        <v>0</v>
      </c>
    </row>
    <row r="2778" spans="1:12">
      <c r="A2778" t="s">
        <v>8065</v>
      </c>
      <c r="B2778" t="s">
        <v>8066</v>
      </c>
      <c r="C2778" t="s">
        <v>8067</v>
      </c>
      <c r="D2778" t="s">
        <v>23</v>
      </c>
      <c r="E2778" t="s">
        <v>28</v>
      </c>
      <c r="F2778" t="s">
        <v>17</v>
      </c>
      <c r="G2778" t="s">
        <v>19</v>
      </c>
      <c r="H2778">
        <f>Cleaned_Data!K2778</f>
        <v>14.45</v>
      </c>
      <c r="I2778" t="str">
        <f t="shared" si="129"/>
        <v>YES</v>
      </c>
      <c r="J2778">
        <f>Cleaned_Data!J2778</f>
        <v>24</v>
      </c>
      <c r="K2778" t="str">
        <f t="shared" si="130"/>
        <v>2024-06</v>
      </c>
      <c r="L2778">
        <f t="shared" si="131"/>
        <v>0</v>
      </c>
    </row>
    <row r="2779" spans="1:12">
      <c r="A2779" t="s">
        <v>8068</v>
      </c>
      <c r="B2779" t="s">
        <v>8069</v>
      </c>
      <c r="C2779" t="s">
        <v>8070</v>
      </c>
      <c r="D2779" t="s">
        <v>15</v>
      </c>
      <c r="E2779" t="s">
        <v>16</v>
      </c>
      <c r="F2779" t="s">
        <v>29</v>
      </c>
      <c r="G2779" t="s">
        <v>31</v>
      </c>
      <c r="H2779">
        <f>Cleaned_Data!K2779</f>
        <v>5.42</v>
      </c>
      <c r="I2779" t="str">
        <f t="shared" si="129"/>
        <v>YES</v>
      </c>
      <c r="J2779">
        <f>Cleaned_Data!J2779</f>
        <v>8</v>
      </c>
      <c r="K2779" t="str">
        <f t="shared" si="130"/>
        <v>2024-08</v>
      </c>
      <c r="L2779">
        <f t="shared" si="131"/>
        <v>0</v>
      </c>
    </row>
    <row r="2780" spans="1:12">
      <c r="A2780" t="s">
        <v>8071</v>
      </c>
      <c r="B2780" t="s">
        <v>8072</v>
      </c>
      <c r="C2780" t="s">
        <v>8073</v>
      </c>
      <c r="D2780" t="s">
        <v>35</v>
      </c>
      <c r="E2780" t="s">
        <v>28</v>
      </c>
      <c r="F2780" t="s">
        <v>36</v>
      </c>
      <c r="G2780" t="s">
        <v>31</v>
      </c>
      <c r="H2780">
        <f>Cleaned_Data!K2780</f>
        <v>42.89</v>
      </c>
      <c r="I2780" t="str">
        <f t="shared" si="129"/>
        <v>YES</v>
      </c>
      <c r="J2780">
        <f>Cleaned_Data!J2780</f>
        <v>48</v>
      </c>
      <c r="K2780" t="str">
        <f t="shared" si="130"/>
        <v>2024-12</v>
      </c>
      <c r="L2780">
        <f t="shared" si="131"/>
        <v>0</v>
      </c>
    </row>
    <row r="2781" spans="1:12">
      <c r="A2781" t="s">
        <v>8074</v>
      </c>
      <c r="B2781" t="s">
        <v>8075</v>
      </c>
      <c r="C2781" t="s">
        <v>8076</v>
      </c>
      <c r="D2781" t="s">
        <v>35</v>
      </c>
      <c r="E2781" t="s">
        <v>54</v>
      </c>
      <c r="F2781" t="s">
        <v>60</v>
      </c>
      <c r="G2781" t="s">
        <v>19</v>
      </c>
      <c r="H2781">
        <f>Cleaned_Data!K2781</f>
        <v>17.05</v>
      </c>
      <c r="I2781" t="str">
        <f t="shared" si="129"/>
        <v>YES</v>
      </c>
      <c r="J2781">
        <f>Cleaned_Data!J2781</f>
        <v>48</v>
      </c>
      <c r="K2781" t="str">
        <f t="shared" si="130"/>
        <v>2024-09</v>
      </c>
      <c r="L2781">
        <f t="shared" si="131"/>
        <v>0</v>
      </c>
    </row>
    <row r="2782" spans="1:12">
      <c r="A2782" t="s">
        <v>8077</v>
      </c>
      <c r="B2782" t="s">
        <v>8078</v>
      </c>
      <c r="C2782" t="s">
        <v>8079</v>
      </c>
      <c r="D2782" t="s">
        <v>15</v>
      </c>
      <c r="E2782" t="s">
        <v>28</v>
      </c>
      <c r="F2782" t="s">
        <v>36</v>
      </c>
      <c r="G2782" t="s">
        <v>19</v>
      </c>
      <c r="H2782">
        <f>Cleaned_Data!K2782</f>
        <v>19.53</v>
      </c>
      <c r="I2782" t="str">
        <f t="shared" si="129"/>
        <v>NO</v>
      </c>
      <c r="J2782">
        <f>Cleaned_Data!J2782</f>
        <v>8</v>
      </c>
      <c r="K2782" t="str">
        <f t="shared" si="130"/>
        <v>2024-08</v>
      </c>
      <c r="L2782">
        <f t="shared" si="131"/>
        <v>11.530000000000001</v>
      </c>
    </row>
    <row r="2783" spans="1:12">
      <c r="A2783" t="s">
        <v>8080</v>
      </c>
      <c r="B2783" t="s">
        <v>8081</v>
      </c>
      <c r="C2783" t="s">
        <v>8082</v>
      </c>
      <c r="D2783" t="s">
        <v>23</v>
      </c>
      <c r="E2783" t="s">
        <v>28</v>
      </c>
      <c r="F2783" t="s">
        <v>60</v>
      </c>
      <c r="G2783" t="s">
        <v>19</v>
      </c>
      <c r="H2783">
        <f>Cleaned_Data!K2783</f>
        <v>18.149999999999999</v>
      </c>
      <c r="I2783" t="str">
        <f t="shared" si="129"/>
        <v>YES</v>
      </c>
      <c r="J2783">
        <f>Cleaned_Data!J2783</f>
        <v>24</v>
      </c>
      <c r="K2783" t="str">
        <f t="shared" si="130"/>
        <v>2024-08</v>
      </c>
      <c r="L2783">
        <f t="shared" si="131"/>
        <v>0</v>
      </c>
    </row>
    <row r="2784" spans="1:12">
      <c r="A2784" t="s">
        <v>8083</v>
      </c>
      <c r="B2784" t="s">
        <v>8084</v>
      </c>
      <c r="C2784" t="s">
        <v>8085</v>
      </c>
      <c r="D2784" t="s">
        <v>23</v>
      </c>
      <c r="E2784" t="s">
        <v>16</v>
      </c>
      <c r="F2784" t="s">
        <v>36</v>
      </c>
      <c r="G2784" t="s">
        <v>19</v>
      </c>
      <c r="H2784">
        <f>Cleaned_Data!K2784</f>
        <v>62.91</v>
      </c>
      <c r="I2784" t="str">
        <f t="shared" si="129"/>
        <v>NO</v>
      </c>
      <c r="J2784">
        <f>Cleaned_Data!J2784</f>
        <v>24</v>
      </c>
      <c r="K2784" t="str">
        <f t="shared" si="130"/>
        <v>2024-10</v>
      </c>
      <c r="L2784">
        <f t="shared" si="131"/>
        <v>38.909999999999997</v>
      </c>
    </row>
    <row r="2785" spans="1:12">
      <c r="A2785" t="s">
        <v>8086</v>
      </c>
      <c r="B2785" t="s">
        <v>8087</v>
      </c>
      <c r="C2785" t="s">
        <v>8088</v>
      </c>
      <c r="D2785" t="s">
        <v>15</v>
      </c>
      <c r="E2785" t="s">
        <v>54</v>
      </c>
      <c r="F2785" t="s">
        <v>41</v>
      </c>
      <c r="G2785" t="s">
        <v>19</v>
      </c>
      <c r="H2785">
        <f>Cleaned_Data!K2785</f>
        <v>6.36</v>
      </c>
      <c r="I2785" t="str">
        <f t="shared" si="129"/>
        <v>YES</v>
      </c>
      <c r="J2785">
        <f>Cleaned_Data!J2785</f>
        <v>8</v>
      </c>
      <c r="K2785" t="str">
        <f t="shared" si="130"/>
        <v>2024-03</v>
      </c>
      <c r="L2785">
        <f t="shared" si="131"/>
        <v>0</v>
      </c>
    </row>
    <row r="2786" spans="1:12">
      <c r="A2786" t="s">
        <v>8089</v>
      </c>
      <c r="B2786" t="s">
        <v>8090</v>
      </c>
      <c r="C2786" t="s">
        <v>8091</v>
      </c>
      <c r="D2786" t="s">
        <v>23</v>
      </c>
      <c r="E2786" t="s">
        <v>28</v>
      </c>
      <c r="F2786" t="s">
        <v>17</v>
      </c>
      <c r="G2786" t="s">
        <v>31</v>
      </c>
      <c r="H2786">
        <f>Cleaned_Data!K2786</f>
        <v>38.729999999999997</v>
      </c>
      <c r="I2786" t="str">
        <f t="shared" si="129"/>
        <v>NO</v>
      </c>
      <c r="J2786">
        <f>Cleaned_Data!J2786</f>
        <v>24</v>
      </c>
      <c r="K2786" t="str">
        <f t="shared" si="130"/>
        <v>2024-08</v>
      </c>
      <c r="L2786">
        <f t="shared" si="131"/>
        <v>14.729999999999997</v>
      </c>
    </row>
    <row r="2787" spans="1:12">
      <c r="A2787" t="s">
        <v>8092</v>
      </c>
      <c r="B2787" t="s">
        <v>8093</v>
      </c>
      <c r="C2787" t="s">
        <v>8094</v>
      </c>
      <c r="D2787" t="s">
        <v>23</v>
      </c>
      <c r="E2787" t="s">
        <v>24</v>
      </c>
      <c r="F2787" t="s">
        <v>17</v>
      </c>
      <c r="G2787" t="s">
        <v>31</v>
      </c>
      <c r="H2787">
        <f>Cleaned_Data!K2787</f>
        <v>67.12</v>
      </c>
      <c r="I2787" t="str">
        <f t="shared" si="129"/>
        <v>NO</v>
      </c>
      <c r="J2787">
        <f>Cleaned_Data!J2787</f>
        <v>24</v>
      </c>
      <c r="K2787" t="str">
        <f t="shared" si="130"/>
        <v>2024-12</v>
      </c>
      <c r="L2787">
        <f t="shared" si="131"/>
        <v>43.120000000000005</v>
      </c>
    </row>
    <row r="2788" spans="1:12">
      <c r="A2788" t="s">
        <v>8095</v>
      </c>
      <c r="B2788" t="s">
        <v>8096</v>
      </c>
      <c r="C2788" t="s">
        <v>8097</v>
      </c>
      <c r="D2788" t="s">
        <v>35</v>
      </c>
      <c r="E2788" t="s">
        <v>54</v>
      </c>
      <c r="F2788" t="s">
        <v>29</v>
      </c>
      <c r="G2788" t="s">
        <v>19</v>
      </c>
      <c r="H2788">
        <f>Cleaned_Data!K2788</f>
        <v>108.61</v>
      </c>
      <c r="I2788" t="str">
        <f t="shared" si="129"/>
        <v>NO</v>
      </c>
      <c r="J2788">
        <f>Cleaned_Data!J2788</f>
        <v>48</v>
      </c>
      <c r="K2788" t="str">
        <f t="shared" si="130"/>
        <v>2024-08</v>
      </c>
      <c r="L2788">
        <f t="shared" si="131"/>
        <v>60.61</v>
      </c>
    </row>
    <row r="2789" spans="1:12">
      <c r="A2789" t="s">
        <v>8098</v>
      </c>
      <c r="B2789" t="s">
        <v>8099</v>
      </c>
      <c r="C2789" t="s">
        <v>8100</v>
      </c>
      <c r="D2789" t="s">
        <v>23</v>
      </c>
      <c r="E2789" t="s">
        <v>16</v>
      </c>
      <c r="F2789" t="s">
        <v>17</v>
      </c>
      <c r="G2789" t="s">
        <v>19</v>
      </c>
      <c r="H2789">
        <f>Cleaned_Data!K2789</f>
        <v>2.84</v>
      </c>
      <c r="I2789" t="str">
        <f t="shared" si="129"/>
        <v>YES</v>
      </c>
      <c r="J2789">
        <f>Cleaned_Data!J2789</f>
        <v>24</v>
      </c>
      <c r="K2789" t="str">
        <f t="shared" si="130"/>
        <v>2024-03</v>
      </c>
      <c r="L2789">
        <f t="shared" si="131"/>
        <v>0</v>
      </c>
    </row>
    <row r="2790" spans="1:12">
      <c r="A2790" t="s">
        <v>8101</v>
      </c>
      <c r="B2790" t="s">
        <v>8102</v>
      </c>
      <c r="C2790" t="s">
        <v>8103</v>
      </c>
      <c r="D2790" t="s">
        <v>35</v>
      </c>
      <c r="E2790" t="s">
        <v>24</v>
      </c>
      <c r="F2790" t="s">
        <v>60</v>
      </c>
      <c r="G2790" t="s">
        <v>19</v>
      </c>
      <c r="H2790">
        <f>Cleaned_Data!K2790</f>
        <v>25.86</v>
      </c>
      <c r="I2790" t="str">
        <f t="shared" si="129"/>
        <v>YES</v>
      </c>
      <c r="J2790">
        <f>Cleaned_Data!J2790</f>
        <v>48</v>
      </c>
      <c r="K2790" t="str">
        <f t="shared" si="130"/>
        <v>2024-09</v>
      </c>
      <c r="L2790">
        <f t="shared" si="131"/>
        <v>0</v>
      </c>
    </row>
    <row r="2791" spans="1:12">
      <c r="A2791" t="s">
        <v>8104</v>
      </c>
      <c r="B2791" t="s">
        <v>8105</v>
      </c>
      <c r="C2791" t="s">
        <v>8106</v>
      </c>
      <c r="D2791" t="s">
        <v>35</v>
      </c>
      <c r="E2791" t="s">
        <v>28</v>
      </c>
      <c r="F2791" t="s">
        <v>36</v>
      </c>
      <c r="G2791" t="s">
        <v>31</v>
      </c>
      <c r="H2791">
        <f>Cleaned_Data!K2791</f>
        <v>29.61</v>
      </c>
      <c r="I2791" t="str">
        <f t="shared" si="129"/>
        <v>YES</v>
      </c>
      <c r="J2791">
        <f>Cleaned_Data!J2791</f>
        <v>48</v>
      </c>
      <c r="K2791" t="str">
        <f t="shared" si="130"/>
        <v>2024-03</v>
      </c>
      <c r="L2791">
        <f t="shared" si="131"/>
        <v>0</v>
      </c>
    </row>
    <row r="2792" spans="1:12">
      <c r="A2792" t="s">
        <v>8107</v>
      </c>
      <c r="B2792" t="s">
        <v>8108</v>
      </c>
      <c r="C2792" t="s">
        <v>8109</v>
      </c>
      <c r="D2792" t="s">
        <v>15</v>
      </c>
      <c r="E2792" t="s">
        <v>28</v>
      </c>
      <c r="F2792" t="s">
        <v>36</v>
      </c>
      <c r="G2792" t="s">
        <v>31</v>
      </c>
      <c r="H2792">
        <f>Cleaned_Data!K2792</f>
        <v>1.66</v>
      </c>
      <c r="I2792" t="str">
        <f t="shared" si="129"/>
        <v>YES</v>
      </c>
      <c r="J2792">
        <f>Cleaned_Data!J2792</f>
        <v>8</v>
      </c>
      <c r="K2792" t="str">
        <f t="shared" si="130"/>
        <v>2024-07</v>
      </c>
      <c r="L2792">
        <f t="shared" si="131"/>
        <v>0</v>
      </c>
    </row>
    <row r="2793" spans="1:12">
      <c r="A2793" t="s">
        <v>8110</v>
      </c>
      <c r="B2793" t="s">
        <v>8111</v>
      </c>
      <c r="C2793" t="s">
        <v>8112</v>
      </c>
      <c r="D2793" t="s">
        <v>35</v>
      </c>
      <c r="E2793" t="s">
        <v>28</v>
      </c>
      <c r="F2793" t="s">
        <v>60</v>
      </c>
      <c r="G2793" t="s">
        <v>31</v>
      </c>
      <c r="H2793">
        <f>Cleaned_Data!K2793</f>
        <v>27.29</v>
      </c>
      <c r="I2793" t="str">
        <f t="shared" si="129"/>
        <v>YES</v>
      </c>
      <c r="J2793">
        <f>Cleaned_Data!J2793</f>
        <v>48</v>
      </c>
      <c r="K2793" t="str">
        <f t="shared" si="130"/>
        <v>2024-12</v>
      </c>
      <c r="L2793">
        <f t="shared" si="131"/>
        <v>0</v>
      </c>
    </row>
    <row r="2794" spans="1:12">
      <c r="A2794" t="s">
        <v>8113</v>
      </c>
      <c r="B2794" t="s">
        <v>8114</v>
      </c>
      <c r="C2794" t="s">
        <v>8115</v>
      </c>
      <c r="D2794" t="s">
        <v>158</v>
      </c>
      <c r="E2794" t="s">
        <v>16</v>
      </c>
      <c r="F2794" t="s">
        <v>29</v>
      </c>
      <c r="G2794" t="s">
        <v>19</v>
      </c>
      <c r="H2794">
        <f>Cleaned_Data!K2794</f>
        <v>3.03</v>
      </c>
      <c r="I2794" t="str">
        <f t="shared" si="129"/>
        <v>YES</v>
      </c>
      <c r="J2794">
        <f>Cleaned_Data!J2794</f>
        <v>4</v>
      </c>
      <c r="K2794" t="str">
        <f t="shared" si="130"/>
        <v>2024-01</v>
      </c>
      <c r="L2794">
        <f t="shared" si="131"/>
        <v>0</v>
      </c>
    </row>
    <row r="2795" spans="1:12">
      <c r="A2795" t="s">
        <v>8116</v>
      </c>
      <c r="B2795" t="s">
        <v>8117</v>
      </c>
      <c r="C2795" t="s">
        <v>8118</v>
      </c>
      <c r="D2795" t="s">
        <v>23</v>
      </c>
      <c r="E2795" t="s">
        <v>24</v>
      </c>
      <c r="F2795" t="s">
        <v>17</v>
      </c>
      <c r="G2795" t="s">
        <v>19</v>
      </c>
      <c r="H2795">
        <f>Cleaned_Data!K2795</f>
        <v>6.56</v>
      </c>
      <c r="I2795" t="str">
        <f t="shared" si="129"/>
        <v>YES</v>
      </c>
      <c r="J2795">
        <f>Cleaned_Data!J2795</f>
        <v>24</v>
      </c>
      <c r="K2795" t="str">
        <f t="shared" si="130"/>
        <v>2024-08</v>
      </c>
      <c r="L2795">
        <f t="shared" si="131"/>
        <v>0</v>
      </c>
    </row>
    <row r="2796" spans="1:12">
      <c r="A2796" t="s">
        <v>8119</v>
      </c>
      <c r="B2796" t="s">
        <v>8120</v>
      </c>
      <c r="C2796" t="s">
        <v>8121</v>
      </c>
      <c r="D2796" t="s">
        <v>23</v>
      </c>
      <c r="E2796" t="s">
        <v>54</v>
      </c>
      <c r="F2796" t="s">
        <v>36</v>
      </c>
      <c r="G2796" t="s">
        <v>19</v>
      </c>
      <c r="H2796">
        <f>Cleaned_Data!K2796</f>
        <v>12.15</v>
      </c>
      <c r="I2796" t="str">
        <f t="shared" si="129"/>
        <v>YES</v>
      </c>
      <c r="J2796">
        <f>Cleaned_Data!J2796</f>
        <v>24</v>
      </c>
      <c r="K2796" t="str">
        <f t="shared" si="130"/>
        <v>2024-12</v>
      </c>
      <c r="L2796">
        <f t="shared" si="131"/>
        <v>0</v>
      </c>
    </row>
    <row r="2797" spans="1:12">
      <c r="A2797" t="s">
        <v>8122</v>
      </c>
      <c r="B2797" t="s">
        <v>8123</v>
      </c>
      <c r="C2797" t="s">
        <v>8124</v>
      </c>
      <c r="D2797" t="s">
        <v>158</v>
      </c>
      <c r="E2797" t="s">
        <v>54</v>
      </c>
      <c r="F2797" t="s">
        <v>36</v>
      </c>
      <c r="G2797" t="s">
        <v>19</v>
      </c>
      <c r="H2797">
        <f>Cleaned_Data!K2797</f>
        <v>727</v>
      </c>
      <c r="I2797" t="str">
        <f t="shared" si="129"/>
        <v>NO</v>
      </c>
      <c r="J2797">
        <f>Cleaned_Data!J2797</f>
        <v>4</v>
      </c>
      <c r="K2797" t="str">
        <f t="shared" si="130"/>
        <v>2024-06</v>
      </c>
      <c r="L2797">
        <f t="shared" si="131"/>
        <v>723</v>
      </c>
    </row>
    <row r="2798" spans="1:12">
      <c r="A2798" t="s">
        <v>8125</v>
      </c>
      <c r="B2798" t="s">
        <v>8126</v>
      </c>
      <c r="C2798" t="s">
        <v>8127</v>
      </c>
      <c r="D2798" t="s">
        <v>23</v>
      </c>
      <c r="E2798" t="s">
        <v>24</v>
      </c>
      <c r="F2798" t="s">
        <v>29</v>
      </c>
      <c r="G2798" t="s">
        <v>31</v>
      </c>
      <c r="H2798">
        <f>Cleaned_Data!K2798</f>
        <v>12.05</v>
      </c>
      <c r="I2798" t="str">
        <f t="shared" si="129"/>
        <v>YES</v>
      </c>
      <c r="J2798">
        <f>Cleaned_Data!J2798</f>
        <v>24</v>
      </c>
      <c r="K2798" t="str">
        <f t="shared" si="130"/>
        <v>2024-07</v>
      </c>
      <c r="L2798">
        <f t="shared" si="131"/>
        <v>0</v>
      </c>
    </row>
    <row r="2799" spans="1:12">
      <c r="A2799" t="s">
        <v>8128</v>
      </c>
      <c r="B2799" t="s">
        <v>8129</v>
      </c>
      <c r="C2799" t="s">
        <v>8130</v>
      </c>
      <c r="D2799" t="s">
        <v>158</v>
      </c>
      <c r="E2799" t="s">
        <v>16</v>
      </c>
      <c r="F2799" t="s">
        <v>29</v>
      </c>
      <c r="G2799" t="s">
        <v>31</v>
      </c>
      <c r="H2799">
        <f>Cleaned_Data!K2799</f>
        <v>7.89</v>
      </c>
      <c r="I2799" t="str">
        <f t="shared" si="129"/>
        <v>NO</v>
      </c>
      <c r="J2799">
        <f>Cleaned_Data!J2799</f>
        <v>4</v>
      </c>
      <c r="K2799" t="str">
        <f t="shared" si="130"/>
        <v>2024-10</v>
      </c>
      <c r="L2799">
        <f t="shared" si="131"/>
        <v>3.8899999999999997</v>
      </c>
    </row>
    <row r="2800" spans="1:12">
      <c r="A2800" t="s">
        <v>8131</v>
      </c>
      <c r="B2800" t="s">
        <v>8132</v>
      </c>
      <c r="D2800" t="s">
        <v>15</v>
      </c>
      <c r="E2800" t="s">
        <v>28</v>
      </c>
      <c r="F2800" t="s">
        <v>17</v>
      </c>
      <c r="G2800" t="s">
        <v>63</v>
      </c>
      <c r="H2800">
        <f>Cleaned_Data!K2800</f>
        <v>0</v>
      </c>
      <c r="I2800" t="str">
        <f t="shared" si="129"/>
        <v/>
      </c>
      <c r="J2800">
        <f>Cleaned_Data!J2800</f>
        <v>8</v>
      </c>
      <c r="K2800" t="str">
        <f t="shared" si="130"/>
        <v>2024-07</v>
      </c>
      <c r="L2800">
        <f t="shared" si="131"/>
        <v>0</v>
      </c>
    </row>
    <row r="2801" spans="1:12">
      <c r="A2801" t="s">
        <v>8133</v>
      </c>
      <c r="B2801" t="s">
        <v>8134</v>
      </c>
      <c r="C2801" t="s">
        <v>8135</v>
      </c>
      <c r="D2801" t="s">
        <v>35</v>
      </c>
      <c r="E2801" t="s">
        <v>28</v>
      </c>
      <c r="F2801" t="s">
        <v>41</v>
      </c>
      <c r="G2801" t="s">
        <v>31</v>
      </c>
      <c r="H2801">
        <f>Cleaned_Data!K2801</f>
        <v>19.36</v>
      </c>
      <c r="I2801" t="str">
        <f t="shared" si="129"/>
        <v>YES</v>
      </c>
      <c r="J2801">
        <f>Cleaned_Data!J2801</f>
        <v>48</v>
      </c>
      <c r="K2801" t="str">
        <f t="shared" si="130"/>
        <v>2024-01</v>
      </c>
      <c r="L2801">
        <f t="shared" si="131"/>
        <v>0</v>
      </c>
    </row>
    <row r="2802" spans="1:12">
      <c r="A2802" t="s">
        <v>8136</v>
      </c>
      <c r="B2802" t="s">
        <v>8137</v>
      </c>
      <c r="C2802" t="s">
        <v>8138</v>
      </c>
      <c r="D2802" t="s">
        <v>35</v>
      </c>
      <c r="E2802" t="s">
        <v>16</v>
      </c>
      <c r="F2802" t="s">
        <v>29</v>
      </c>
      <c r="G2802" t="s">
        <v>31</v>
      </c>
      <c r="H2802">
        <f>Cleaned_Data!K2802</f>
        <v>23.07</v>
      </c>
      <c r="I2802" t="str">
        <f t="shared" si="129"/>
        <v>YES</v>
      </c>
      <c r="J2802">
        <f>Cleaned_Data!J2802</f>
        <v>48</v>
      </c>
      <c r="K2802" t="str">
        <f t="shared" si="130"/>
        <v>2024-11</v>
      </c>
      <c r="L2802">
        <f t="shared" si="131"/>
        <v>0</v>
      </c>
    </row>
    <row r="2803" spans="1:12">
      <c r="A2803" t="s">
        <v>8139</v>
      </c>
      <c r="B2803" t="s">
        <v>8140</v>
      </c>
      <c r="D2803" t="s">
        <v>23</v>
      </c>
      <c r="E2803" t="s">
        <v>54</v>
      </c>
      <c r="F2803" t="s">
        <v>60</v>
      </c>
      <c r="G2803" t="s">
        <v>46</v>
      </c>
      <c r="H2803">
        <f>Cleaned_Data!K2803</f>
        <v>0</v>
      </c>
      <c r="I2803" t="str">
        <f t="shared" si="129"/>
        <v/>
      </c>
      <c r="J2803">
        <f>Cleaned_Data!J2803</f>
        <v>24</v>
      </c>
      <c r="K2803" t="str">
        <f t="shared" si="130"/>
        <v>2024-07</v>
      </c>
      <c r="L2803">
        <f t="shared" si="131"/>
        <v>0</v>
      </c>
    </row>
    <row r="2804" spans="1:12">
      <c r="A2804" t="s">
        <v>8141</v>
      </c>
      <c r="B2804" t="s">
        <v>8142</v>
      </c>
      <c r="C2804" t="s">
        <v>8143</v>
      </c>
      <c r="D2804" t="s">
        <v>23</v>
      </c>
      <c r="E2804" t="s">
        <v>54</v>
      </c>
      <c r="F2804" t="s">
        <v>60</v>
      </c>
      <c r="G2804" t="s">
        <v>31</v>
      </c>
      <c r="H2804">
        <f>Cleaned_Data!K2804</f>
        <v>53.19</v>
      </c>
      <c r="I2804" t="str">
        <f t="shared" si="129"/>
        <v>NO</v>
      </c>
      <c r="J2804">
        <f>Cleaned_Data!J2804</f>
        <v>24</v>
      </c>
      <c r="K2804" t="str">
        <f t="shared" si="130"/>
        <v>2024-09</v>
      </c>
      <c r="L2804">
        <f t="shared" si="131"/>
        <v>29.189999999999998</v>
      </c>
    </row>
    <row r="2805" spans="1:12">
      <c r="A2805" t="s">
        <v>8144</v>
      </c>
      <c r="B2805" t="s">
        <v>8145</v>
      </c>
      <c r="C2805" t="s">
        <v>8146</v>
      </c>
      <c r="D2805" t="s">
        <v>35</v>
      </c>
      <c r="E2805" t="s">
        <v>28</v>
      </c>
      <c r="F2805" t="s">
        <v>36</v>
      </c>
      <c r="G2805" t="s">
        <v>31</v>
      </c>
      <c r="H2805">
        <f>Cleaned_Data!K2805</f>
        <v>126.58</v>
      </c>
      <c r="I2805" t="str">
        <f t="shared" si="129"/>
        <v>NO</v>
      </c>
      <c r="J2805">
        <f>Cleaned_Data!J2805</f>
        <v>48</v>
      </c>
      <c r="K2805" t="str">
        <f t="shared" si="130"/>
        <v>2024-08</v>
      </c>
      <c r="L2805">
        <f t="shared" si="131"/>
        <v>78.58</v>
      </c>
    </row>
    <row r="2806" spans="1:12">
      <c r="A2806" t="s">
        <v>8147</v>
      </c>
      <c r="B2806" t="s">
        <v>8148</v>
      </c>
      <c r="C2806" t="s">
        <v>8149</v>
      </c>
      <c r="D2806" t="s">
        <v>23</v>
      </c>
      <c r="E2806" t="s">
        <v>28</v>
      </c>
      <c r="F2806" t="s">
        <v>17</v>
      </c>
      <c r="G2806" t="s">
        <v>31</v>
      </c>
      <c r="H2806">
        <f>Cleaned_Data!K2806</f>
        <v>11.3</v>
      </c>
      <c r="I2806" t="str">
        <f t="shared" si="129"/>
        <v>YES</v>
      </c>
      <c r="J2806">
        <f>Cleaned_Data!J2806</f>
        <v>24</v>
      </c>
      <c r="K2806" t="str">
        <f t="shared" si="130"/>
        <v>2024-04</v>
      </c>
      <c r="L2806">
        <f t="shared" si="131"/>
        <v>0</v>
      </c>
    </row>
    <row r="2807" spans="1:12">
      <c r="A2807" t="s">
        <v>8150</v>
      </c>
      <c r="B2807" t="s">
        <v>8151</v>
      </c>
      <c r="C2807" t="s">
        <v>8152</v>
      </c>
      <c r="D2807" t="s">
        <v>23</v>
      </c>
      <c r="E2807" t="s">
        <v>28</v>
      </c>
      <c r="F2807" t="s">
        <v>29</v>
      </c>
      <c r="G2807" t="s">
        <v>19</v>
      </c>
      <c r="H2807">
        <f>Cleaned_Data!K2807</f>
        <v>17.059999999999999</v>
      </c>
      <c r="I2807" t="str">
        <f t="shared" si="129"/>
        <v>YES</v>
      </c>
      <c r="J2807">
        <f>Cleaned_Data!J2807</f>
        <v>24</v>
      </c>
      <c r="K2807" t="str">
        <f t="shared" si="130"/>
        <v>2024-02</v>
      </c>
      <c r="L2807">
        <f t="shared" si="131"/>
        <v>0</v>
      </c>
    </row>
    <row r="2808" spans="1:12">
      <c r="A2808" t="s">
        <v>8153</v>
      </c>
      <c r="B2808" t="s">
        <v>8154</v>
      </c>
      <c r="C2808" t="s">
        <v>8155</v>
      </c>
      <c r="D2808" t="s">
        <v>35</v>
      </c>
      <c r="E2808" t="s">
        <v>16</v>
      </c>
      <c r="F2808" t="s">
        <v>36</v>
      </c>
      <c r="G2808" t="s">
        <v>31</v>
      </c>
      <c r="H2808">
        <f>Cleaned_Data!K2808</f>
        <v>29.93</v>
      </c>
      <c r="I2808" t="str">
        <f t="shared" si="129"/>
        <v>YES</v>
      </c>
      <c r="J2808">
        <f>Cleaned_Data!J2808</f>
        <v>48</v>
      </c>
      <c r="K2808" t="str">
        <f t="shared" si="130"/>
        <v>2024-12</v>
      </c>
      <c r="L2808">
        <f t="shared" si="131"/>
        <v>0</v>
      </c>
    </row>
    <row r="2809" spans="1:12">
      <c r="A2809" t="s">
        <v>8156</v>
      </c>
      <c r="B2809" t="s">
        <v>8157</v>
      </c>
      <c r="C2809" t="s">
        <v>8158</v>
      </c>
      <c r="D2809" t="s">
        <v>15</v>
      </c>
      <c r="E2809" t="s">
        <v>24</v>
      </c>
      <c r="F2809" t="s">
        <v>36</v>
      </c>
      <c r="G2809" t="s">
        <v>31</v>
      </c>
      <c r="H2809">
        <f>Cleaned_Data!K2809</f>
        <v>5.55</v>
      </c>
      <c r="I2809" t="str">
        <f t="shared" si="129"/>
        <v>YES</v>
      </c>
      <c r="J2809">
        <f>Cleaned_Data!J2809</f>
        <v>8</v>
      </c>
      <c r="K2809" t="str">
        <f t="shared" si="130"/>
        <v>2024-05</v>
      </c>
      <c r="L2809">
        <f t="shared" si="131"/>
        <v>0</v>
      </c>
    </row>
    <row r="2810" spans="1:12">
      <c r="A2810" t="s">
        <v>8159</v>
      </c>
      <c r="B2810" t="s">
        <v>8160</v>
      </c>
      <c r="C2810" t="s">
        <v>8161</v>
      </c>
      <c r="D2810" t="s">
        <v>15</v>
      </c>
      <c r="E2810" t="s">
        <v>24</v>
      </c>
      <c r="F2810" t="s">
        <v>60</v>
      </c>
      <c r="G2810" t="s">
        <v>31</v>
      </c>
      <c r="H2810">
        <f>Cleaned_Data!K2810</f>
        <v>4.18</v>
      </c>
      <c r="I2810" t="str">
        <f t="shared" si="129"/>
        <v>YES</v>
      </c>
      <c r="J2810">
        <f>Cleaned_Data!J2810</f>
        <v>8</v>
      </c>
      <c r="K2810" t="str">
        <f t="shared" si="130"/>
        <v>2024-03</v>
      </c>
      <c r="L2810">
        <f t="shared" si="131"/>
        <v>0</v>
      </c>
    </row>
    <row r="2811" spans="1:12">
      <c r="A2811" t="s">
        <v>8162</v>
      </c>
      <c r="B2811" t="s">
        <v>8163</v>
      </c>
      <c r="C2811" t="s">
        <v>8164</v>
      </c>
      <c r="D2811" t="s">
        <v>35</v>
      </c>
      <c r="E2811" t="s">
        <v>24</v>
      </c>
      <c r="F2811" t="s">
        <v>41</v>
      </c>
      <c r="G2811" t="s">
        <v>19</v>
      </c>
      <c r="H2811">
        <f>Cleaned_Data!K2811</f>
        <v>24.86</v>
      </c>
      <c r="I2811" t="str">
        <f t="shared" si="129"/>
        <v>YES</v>
      </c>
      <c r="J2811">
        <f>Cleaned_Data!J2811</f>
        <v>48</v>
      </c>
      <c r="K2811" t="str">
        <f t="shared" si="130"/>
        <v>2024-12</v>
      </c>
      <c r="L2811">
        <f t="shared" si="131"/>
        <v>0</v>
      </c>
    </row>
    <row r="2812" spans="1:12">
      <c r="A2812" t="s">
        <v>8165</v>
      </c>
      <c r="B2812" t="s">
        <v>8166</v>
      </c>
      <c r="C2812" t="s">
        <v>8167</v>
      </c>
      <c r="D2812" t="s">
        <v>23</v>
      </c>
      <c r="E2812" t="s">
        <v>24</v>
      </c>
      <c r="F2812" t="s">
        <v>17</v>
      </c>
      <c r="G2812" t="s">
        <v>19</v>
      </c>
      <c r="H2812">
        <f>Cleaned_Data!K2812</f>
        <v>15.64</v>
      </c>
      <c r="I2812" t="str">
        <f t="shared" si="129"/>
        <v>YES</v>
      </c>
      <c r="J2812">
        <f>Cleaned_Data!J2812</f>
        <v>24</v>
      </c>
      <c r="K2812" t="str">
        <f t="shared" si="130"/>
        <v>2024-10</v>
      </c>
      <c r="L2812">
        <f t="shared" si="131"/>
        <v>0</v>
      </c>
    </row>
    <row r="2813" spans="1:12">
      <c r="A2813" t="s">
        <v>8168</v>
      </c>
      <c r="B2813" t="s">
        <v>8169</v>
      </c>
      <c r="C2813" t="s">
        <v>8170</v>
      </c>
      <c r="D2813" t="s">
        <v>23</v>
      </c>
      <c r="E2813" t="s">
        <v>16</v>
      </c>
      <c r="F2813" t="s">
        <v>36</v>
      </c>
      <c r="G2813" t="s">
        <v>19</v>
      </c>
      <c r="H2813">
        <f>Cleaned_Data!K2813</f>
        <v>3.97</v>
      </c>
      <c r="I2813" t="str">
        <f t="shared" si="129"/>
        <v>YES</v>
      </c>
      <c r="J2813">
        <f>Cleaned_Data!J2813</f>
        <v>24</v>
      </c>
      <c r="K2813" t="str">
        <f t="shared" si="130"/>
        <v>2024-09</v>
      </c>
      <c r="L2813">
        <f t="shared" si="131"/>
        <v>0</v>
      </c>
    </row>
    <row r="2814" spans="1:12">
      <c r="A2814" t="s">
        <v>8171</v>
      </c>
      <c r="B2814" t="s">
        <v>8172</v>
      </c>
      <c r="C2814" t="s">
        <v>8173</v>
      </c>
      <c r="D2814" t="s">
        <v>23</v>
      </c>
      <c r="E2814" t="s">
        <v>54</v>
      </c>
      <c r="F2814" t="s">
        <v>29</v>
      </c>
      <c r="G2814" t="s">
        <v>19</v>
      </c>
      <c r="H2814">
        <f>Cleaned_Data!K2814</f>
        <v>14.13</v>
      </c>
      <c r="I2814" t="str">
        <f t="shared" si="129"/>
        <v>YES</v>
      </c>
      <c r="J2814">
        <f>Cleaned_Data!J2814</f>
        <v>24</v>
      </c>
      <c r="K2814" t="str">
        <f t="shared" si="130"/>
        <v>2024-09</v>
      </c>
      <c r="L2814">
        <f t="shared" si="131"/>
        <v>0</v>
      </c>
    </row>
    <row r="2815" spans="1:12">
      <c r="A2815" t="s">
        <v>8174</v>
      </c>
      <c r="B2815" t="s">
        <v>8175</v>
      </c>
      <c r="C2815" t="s">
        <v>8176</v>
      </c>
      <c r="D2815" t="s">
        <v>35</v>
      </c>
      <c r="E2815" t="s">
        <v>28</v>
      </c>
      <c r="F2815" t="s">
        <v>29</v>
      </c>
      <c r="G2815" t="s">
        <v>19</v>
      </c>
      <c r="H2815">
        <f>Cleaned_Data!K2815</f>
        <v>15.79</v>
      </c>
      <c r="I2815" t="str">
        <f t="shared" si="129"/>
        <v>YES</v>
      </c>
      <c r="J2815">
        <f>Cleaned_Data!J2815</f>
        <v>48</v>
      </c>
      <c r="K2815" t="str">
        <f t="shared" si="130"/>
        <v>2024-12</v>
      </c>
      <c r="L2815">
        <f t="shared" si="131"/>
        <v>0</v>
      </c>
    </row>
    <row r="2816" spans="1:12">
      <c r="A2816" t="s">
        <v>8177</v>
      </c>
      <c r="B2816" t="s">
        <v>8178</v>
      </c>
      <c r="C2816" t="s">
        <v>8179</v>
      </c>
      <c r="D2816" t="s">
        <v>15</v>
      </c>
      <c r="E2816" t="s">
        <v>54</v>
      </c>
      <c r="F2816" t="s">
        <v>17</v>
      </c>
      <c r="G2816" t="s">
        <v>31</v>
      </c>
      <c r="H2816">
        <f>Cleaned_Data!K2816</f>
        <v>15.34</v>
      </c>
      <c r="I2816" t="str">
        <f t="shared" si="129"/>
        <v>NO</v>
      </c>
      <c r="J2816">
        <f>Cleaned_Data!J2816</f>
        <v>8</v>
      </c>
      <c r="K2816" t="str">
        <f t="shared" si="130"/>
        <v>2024-05</v>
      </c>
      <c r="L2816">
        <f t="shared" si="131"/>
        <v>7.34</v>
      </c>
    </row>
    <row r="2817" spans="1:12">
      <c r="A2817" t="s">
        <v>8180</v>
      </c>
      <c r="B2817" t="s">
        <v>8181</v>
      </c>
      <c r="C2817" t="s">
        <v>8182</v>
      </c>
      <c r="D2817" t="s">
        <v>15</v>
      </c>
      <c r="E2817" t="s">
        <v>16</v>
      </c>
      <c r="F2817" t="s">
        <v>36</v>
      </c>
      <c r="G2817" t="s">
        <v>31</v>
      </c>
      <c r="H2817">
        <f>Cleaned_Data!K2817</f>
        <v>3.41</v>
      </c>
      <c r="I2817" t="str">
        <f t="shared" si="129"/>
        <v>YES</v>
      </c>
      <c r="J2817">
        <f>Cleaned_Data!J2817</f>
        <v>8</v>
      </c>
      <c r="K2817" t="str">
        <f t="shared" si="130"/>
        <v>2024-11</v>
      </c>
      <c r="L2817">
        <f t="shared" si="131"/>
        <v>0</v>
      </c>
    </row>
    <row r="2818" spans="1:12">
      <c r="A2818" t="s">
        <v>8183</v>
      </c>
      <c r="B2818" t="s">
        <v>8184</v>
      </c>
      <c r="C2818" t="s">
        <v>8185</v>
      </c>
      <c r="D2818" t="s">
        <v>23</v>
      </c>
      <c r="E2818" t="s">
        <v>28</v>
      </c>
      <c r="F2818" t="s">
        <v>29</v>
      </c>
      <c r="G2818" t="s">
        <v>19</v>
      </c>
      <c r="H2818">
        <f>Cleaned_Data!K2818</f>
        <v>21.8</v>
      </c>
      <c r="I2818" t="str">
        <f t="shared" ref="I2818:I2881" si="132">IF(OR(G2818="Resolved", G2818="Closed"), IF(AND(H2818&lt;&gt;"", H2818&lt;=J2818), "YES", "NO"), "")</f>
        <v>YES</v>
      </c>
      <c r="J2818">
        <f>Cleaned_Data!J2818</f>
        <v>24</v>
      </c>
      <c r="K2818" t="str">
        <f t="shared" ref="K2818:K2881" si="133">LEFT(B2818, 7)</f>
        <v>2024-02</v>
      </c>
      <c r="L2818">
        <f t="shared" ref="L2818:L2881" si="134">IF(I2818="NO", H2818-J2818, 0)</f>
        <v>0</v>
      </c>
    </row>
    <row r="2819" spans="1:12">
      <c r="A2819" t="s">
        <v>8186</v>
      </c>
      <c r="B2819" t="s">
        <v>8187</v>
      </c>
      <c r="C2819" t="s">
        <v>8188</v>
      </c>
      <c r="D2819" t="s">
        <v>35</v>
      </c>
      <c r="E2819" t="s">
        <v>59</v>
      </c>
      <c r="F2819" t="s">
        <v>29</v>
      </c>
      <c r="G2819" t="s">
        <v>31</v>
      </c>
      <c r="H2819">
        <f>Cleaned_Data!K2819</f>
        <v>24.94</v>
      </c>
      <c r="I2819" t="str">
        <f t="shared" si="132"/>
        <v>YES</v>
      </c>
      <c r="J2819">
        <f>Cleaned_Data!J2819</f>
        <v>48</v>
      </c>
      <c r="K2819" t="str">
        <f t="shared" si="133"/>
        <v>2024-09</v>
      </c>
      <c r="L2819">
        <f t="shared" si="134"/>
        <v>0</v>
      </c>
    </row>
    <row r="2820" spans="1:12">
      <c r="A2820" t="s">
        <v>8189</v>
      </c>
      <c r="B2820" t="s">
        <v>8190</v>
      </c>
      <c r="C2820" t="s">
        <v>8191</v>
      </c>
      <c r="D2820" t="s">
        <v>15</v>
      </c>
      <c r="E2820" t="s">
        <v>28</v>
      </c>
      <c r="F2820" t="s">
        <v>36</v>
      </c>
      <c r="G2820" t="s">
        <v>19</v>
      </c>
      <c r="H2820">
        <f>Cleaned_Data!K2820</f>
        <v>3.1</v>
      </c>
      <c r="I2820" t="str">
        <f t="shared" si="132"/>
        <v>YES</v>
      </c>
      <c r="J2820">
        <f>Cleaned_Data!J2820</f>
        <v>8</v>
      </c>
      <c r="K2820" t="str">
        <f t="shared" si="133"/>
        <v>2024-03</v>
      </c>
      <c r="L2820">
        <f t="shared" si="134"/>
        <v>0</v>
      </c>
    </row>
    <row r="2821" spans="1:12">
      <c r="A2821" t="s">
        <v>8192</v>
      </c>
      <c r="B2821" t="s">
        <v>8193</v>
      </c>
      <c r="C2821" t="s">
        <v>8194</v>
      </c>
      <c r="D2821" t="s">
        <v>35</v>
      </c>
      <c r="E2821" t="s">
        <v>16</v>
      </c>
      <c r="F2821" t="s">
        <v>29</v>
      </c>
      <c r="G2821" t="s">
        <v>19</v>
      </c>
      <c r="H2821">
        <f>Cleaned_Data!K2821</f>
        <v>20.41</v>
      </c>
      <c r="I2821" t="str">
        <f t="shared" si="132"/>
        <v>YES</v>
      </c>
      <c r="J2821">
        <f>Cleaned_Data!J2821</f>
        <v>48</v>
      </c>
      <c r="K2821" t="str">
        <f t="shared" si="133"/>
        <v>2024-06</v>
      </c>
      <c r="L2821">
        <f t="shared" si="134"/>
        <v>0</v>
      </c>
    </row>
    <row r="2822" spans="1:12">
      <c r="A2822" t="s">
        <v>8195</v>
      </c>
      <c r="B2822" t="s">
        <v>8196</v>
      </c>
      <c r="C2822" t="s">
        <v>8197</v>
      </c>
      <c r="D2822" t="s">
        <v>15</v>
      </c>
      <c r="E2822" t="s">
        <v>16</v>
      </c>
      <c r="F2822" t="s">
        <v>29</v>
      </c>
      <c r="G2822" t="s">
        <v>19</v>
      </c>
      <c r="H2822">
        <f>Cleaned_Data!K2822</f>
        <v>4.96</v>
      </c>
      <c r="I2822" t="str">
        <f t="shared" si="132"/>
        <v>YES</v>
      </c>
      <c r="J2822">
        <f>Cleaned_Data!J2822</f>
        <v>8</v>
      </c>
      <c r="K2822" t="str">
        <f t="shared" si="133"/>
        <v>2024-02</v>
      </c>
      <c r="L2822">
        <f t="shared" si="134"/>
        <v>0</v>
      </c>
    </row>
    <row r="2823" spans="1:12">
      <c r="A2823" t="s">
        <v>8198</v>
      </c>
      <c r="B2823" t="s">
        <v>8199</v>
      </c>
      <c r="C2823" t="s">
        <v>8200</v>
      </c>
      <c r="D2823" t="s">
        <v>15</v>
      </c>
      <c r="E2823" t="s">
        <v>16</v>
      </c>
      <c r="F2823" t="s">
        <v>17</v>
      </c>
      <c r="G2823" t="s">
        <v>19</v>
      </c>
      <c r="H2823">
        <f>Cleaned_Data!K2823</f>
        <v>23.97</v>
      </c>
      <c r="I2823" t="str">
        <f t="shared" si="132"/>
        <v>NO</v>
      </c>
      <c r="J2823">
        <f>Cleaned_Data!J2823</f>
        <v>8</v>
      </c>
      <c r="K2823" t="str">
        <f t="shared" si="133"/>
        <v>2024-01</v>
      </c>
      <c r="L2823">
        <f t="shared" si="134"/>
        <v>15.969999999999999</v>
      </c>
    </row>
    <row r="2824" spans="1:12">
      <c r="A2824" t="s">
        <v>8201</v>
      </c>
      <c r="B2824" t="s">
        <v>8202</v>
      </c>
      <c r="C2824" t="s">
        <v>8203</v>
      </c>
      <c r="D2824" t="s">
        <v>15</v>
      </c>
      <c r="E2824" t="s">
        <v>28</v>
      </c>
      <c r="F2824" t="s">
        <v>41</v>
      </c>
      <c r="G2824" t="s">
        <v>31</v>
      </c>
      <c r="H2824">
        <f>Cleaned_Data!K2824</f>
        <v>7.32</v>
      </c>
      <c r="I2824" t="str">
        <f t="shared" si="132"/>
        <v>YES</v>
      </c>
      <c r="J2824">
        <f>Cleaned_Data!J2824</f>
        <v>8</v>
      </c>
      <c r="K2824" t="str">
        <f t="shared" si="133"/>
        <v>2024-10</v>
      </c>
      <c r="L2824">
        <f t="shared" si="134"/>
        <v>0</v>
      </c>
    </row>
    <row r="2825" spans="1:12">
      <c r="A2825" t="s">
        <v>8204</v>
      </c>
      <c r="B2825" t="s">
        <v>8205</v>
      </c>
      <c r="D2825" t="s">
        <v>35</v>
      </c>
      <c r="E2825" t="s">
        <v>28</v>
      </c>
      <c r="F2825" t="s">
        <v>29</v>
      </c>
      <c r="G2825" t="s">
        <v>63</v>
      </c>
      <c r="H2825">
        <f>Cleaned_Data!K2825</f>
        <v>0</v>
      </c>
      <c r="I2825" t="str">
        <f t="shared" si="132"/>
        <v/>
      </c>
      <c r="J2825">
        <f>Cleaned_Data!J2825</f>
        <v>48</v>
      </c>
      <c r="K2825" t="str">
        <f t="shared" si="133"/>
        <v>2024-01</v>
      </c>
      <c r="L2825">
        <f t="shared" si="134"/>
        <v>0</v>
      </c>
    </row>
    <row r="2826" spans="1:12">
      <c r="A2826" t="s">
        <v>8206</v>
      </c>
      <c r="B2826" t="s">
        <v>8207</v>
      </c>
      <c r="C2826" t="s">
        <v>8208</v>
      </c>
      <c r="D2826" t="s">
        <v>23</v>
      </c>
      <c r="E2826" t="s">
        <v>24</v>
      </c>
      <c r="F2826" t="s">
        <v>36</v>
      </c>
      <c r="G2826" t="s">
        <v>19</v>
      </c>
      <c r="H2826">
        <f>Cleaned_Data!K2826</f>
        <v>14.87</v>
      </c>
      <c r="I2826" t="str">
        <f t="shared" si="132"/>
        <v>YES</v>
      </c>
      <c r="J2826">
        <f>Cleaned_Data!J2826</f>
        <v>24</v>
      </c>
      <c r="K2826" t="str">
        <f t="shared" si="133"/>
        <v>2024-07</v>
      </c>
      <c r="L2826">
        <f t="shared" si="134"/>
        <v>0</v>
      </c>
    </row>
    <row r="2827" spans="1:12">
      <c r="A2827" t="s">
        <v>8209</v>
      </c>
      <c r="B2827" t="s">
        <v>8210</v>
      </c>
      <c r="C2827" t="s">
        <v>8211</v>
      </c>
      <c r="D2827" t="s">
        <v>35</v>
      </c>
      <c r="E2827" t="s">
        <v>16</v>
      </c>
      <c r="F2827" t="s">
        <v>29</v>
      </c>
      <c r="G2827" t="s">
        <v>19</v>
      </c>
      <c r="H2827">
        <f>Cleaned_Data!K2827</f>
        <v>28.4</v>
      </c>
      <c r="I2827" t="str">
        <f t="shared" si="132"/>
        <v>YES</v>
      </c>
      <c r="J2827">
        <f>Cleaned_Data!J2827</f>
        <v>48</v>
      </c>
      <c r="K2827" t="str">
        <f t="shared" si="133"/>
        <v>2024-01</v>
      </c>
      <c r="L2827">
        <f t="shared" si="134"/>
        <v>0</v>
      </c>
    </row>
    <row r="2828" spans="1:12">
      <c r="A2828" t="s">
        <v>8212</v>
      </c>
      <c r="B2828" t="s">
        <v>8213</v>
      </c>
      <c r="C2828" t="s">
        <v>8214</v>
      </c>
      <c r="D2828" t="s">
        <v>23</v>
      </c>
      <c r="E2828" t="s">
        <v>28</v>
      </c>
      <c r="F2828" t="s">
        <v>41</v>
      </c>
      <c r="G2828" t="s">
        <v>19</v>
      </c>
      <c r="H2828">
        <f>Cleaned_Data!K2828</f>
        <v>63.64</v>
      </c>
      <c r="I2828" t="str">
        <f t="shared" si="132"/>
        <v>NO</v>
      </c>
      <c r="J2828">
        <f>Cleaned_Data!J2828</f>
        <v>24</v>
      </c>
      <c r="K2828" t="str">
        <f t="shared" si="133"/>
        <v>2024-06</v>
      </c>
      <c r="L2828">
        <f t="shared" si="134"/>
        <v>39.64</v>
      </c>
    </row>
    <row r="2829" spans="1:12">
      <c r="A2829" t="s">
        <v>8215</v>
      </c>
      <c r="B2829" t="s">
        <v>8216</v>
      </c>
      <c r="C2829" t="s">
        <v>8217</v>
      </c>
      <c r="D2829" t="s">
        <v>15</v>
      </c>
      <c r="E2829" t="s">
        <v>28</v>
      </c>
      <c r="F2829" t="s">
        <v>17</v>
      </c>
      <c r="G2829" t="s">
        <v>19</v>
      </c>
      <c r="H2829">
        <f>Cleaned_Data!K2829</f>
        <v>3.45</v>
      </c>
      <c r="I2829" t="str">
        <f t="shared" si="132"/>
        <v>YES</v>
      </c>
      <c r="J2829">
        <f>Cleaned_Data!J2829</f>
        <v>8</v>
      </c>
      <c r="K2829" t="str">
        <f t="shared" si="133"/>
        <v>2024-07</v>
      </c>
      <c r="L2829">
        <f t="shared" si="134"/>
        <v>0</v>
      </c>
    </row>
    <row r="2830" spans="1:12">
      <c r="A2830" t="s">
        <v>8218</v>
      </c>
      <c r="B2830" t="s">
        <v>8219</v>
      </c>
      <c r="C2830" t="s">
        <v>8220</v>
      </c>
      <c r="D2830" t="s">
        <v>15</v>
      </c>
      <c r="E2830" t="s">
        <v>59</v>
      </c>
      <c r="F2830" t="s">
        <v>41</v>
      </c>
      <c r="G2830" t="s">
        <v>19</v>
      </c>
      <c r="H2830">
        <f>Cleaned_Data!K2830</f>
        <v>5.91</v>
      </c>
      <c r="I2830" t="str">
        <f t="shared" si="132"/>
        <v>YES</v>
      </c>
      <c r="J2830">
        <f>Cleaned_Data!J2830</f>
        <v>8</v>
      </c>
      <c r="K2830" t="str">
        <f t="shared" si="133"/>
        <v>2024-01</v>
      </c>
      <c r="L2830">
        <f t="shared" si="134"/>
        <v>0</v>
      </c>
    </row>
    <row r="2831" spans="1:12">
      <c r="A2831" t="s">
        <v>8221</v>
      </c>
      <c r="B2831" t="s">
        <v>8222</v>
      </c>
      <c r="C2831" t="s">
        <v>8223</v>
      </c>
      <c r="D2831" t="s">
        <v>35</v>
      </c>
      <c r="E2831" t="s">
        <v>24</v>
      </c>
      <c r="F2831" t="s">
        <v>29</v>
      </c>
      <c r="G2831" t="s">
        <v>31</v>
      </c>
      <c r="H2831">
        <f>Cleaned_Data!K2831</f>
        <v>104.04</v>
      </c>
      <c r="I2831" t="str">
        <f t="shared" si="132"/>
        <v>NO</v>
      </c>
      <c r="J2831">
        <f>Cleaned_Data!J2831</f>
        <v>48</v>
      </c>
      <c r="K2831" t="str">
        <f t="shared" si="133"/>
        <v>2024-07</v>
      </c>
      <c r="L2831">
        <f t="shared" si="134"/>
        <v>56.040000000000006</v>
      </c>
    </row>
    <row r="2832" spans="1:12">
      <c r="A2832" t="s">
        <v>8224</v>
      </c>
      <c r="B2832" t="s">
        <v>8225</v>
      </c>
      <c r="C2832" t="s">
        <v>8226</v>
      </c>
      <c r="D2832" t="s">
        <v>15</v>
      </c>
      <c r="E2832" t="s">
        <v>16</v>
      </c>
      <c r="F2832" t="s">
        <v>60</v>
      </c>
      <c r="G2832" t="s">
        <v>19</v>
      </c>
      <c r="H2832">
        <f>Cleaned_Data!K2832</f>
        <v>8.42</v>
      </c>
      <c r="I2832" t="str">
        <f t="shared" si="132"/>
        <v>NO</v>
      </c>
      <c r="J2832">
        <f>Cleaned_Data!J2832</f>
        <v>8</v>
      </c>
      <c r="K2832" t="str">
        <f t="shared" si="133"/>
        <v>2024-12</v>
      </c>
      <c r="L2832">
        <f t="shared" si="134"/>
        <v>0.41999999999999993</v>
      </c>
    </row>
    <row r="2833" spans="1:12">
      <c r="A2833" t="s">
        <v>8227</v>
      </c>
      <c r="B2833" t="s">
        <v>8228</v>
      </c>
      <c r="D2833" t="s">
        <v>15</v>
      </c>
      <c r="E2833" t="s">
        <v>54</v>
      </c>
      <c r="F2833" t="s">
        <v>36</v>
      </c>
      <c r="G2833" t="s">
        <v>46</v>
      </c>
      <c r="H2833">
        <f>Cleaned_Data!K2833</f>
        <v>0</v>
      </c>
      <c r="I2833" t="str">
        <f t="shared" si="132"/>
        <v/>
      </c>
      <c r="J2833">
        <f>Cleaned_Data!J2833</f>
        <v>8</v>
      </c>
      <c r="K2833" t="str">
        <f t="shared" si="133"/>
        <v>2024-04</v>
      </c>
      <c r="L2833">
        <f t="shared" si="134"/>
        <v>0</v>
      </c>
    </row>
    <row r="2834" spans="1:12">
      <c r="A2834" t="s">
        <v>8229</v>
      </c>
      <c r="B2834" t="s">
        <v>8230</v>
      </c>
      <c r="C2834" t="s">
        <v>8231</v>
      </c>
      <c r="D2834" t="s">
        <v>35</v>
      </c>
      <c r="E2834" t="s">
        <v>54</v>
      </c>
      <c r="F2834" t="s">
        <v>17</v>
      </c>
      <c r="G2834" t="s">
        <v>19</v>
      </c>
      <c r="H2834">
        <f>Cleaned_Data!K2834</f>
        <v>40.340000000000003</v>
      </c>
      <c r="I2834" t="str">
        <f t="shared" si="132"/>
        <v>YES</v>
      </c>
      <c r="J2834">
        <f>Cleaned_Data!J2834</f>
        <v>48</v>
      </c>
      <c r="K2834" t="str">
        <f t="shared" si="133"/>
        <v>2024-05</v>
      </c>
      <c r="L2834">
        <f t="shared" si="134"/>
        <v>0</v>
      </c>
    </row>
    <row r="2835" spans="1:12">
      <c r="A2835" t="s">
        <v>8232</v>
      </c>
      <c r="B2835" t="s">
        <v>8233</v>
      </c>
      <c r="C2835" t="s">
        <v>8234</v>
      </c>
      <c r="D2835" t="s">
        <v>15</v>
      </c>
      <c r="E2835" t="s">
        <v>24</v>
      </c>
      <c r="F2835" t="s">
        <v>36</v>
      </c>
      <c r="G2835" t="s">
        <v>31</v>
      </c>
      <c r="H2835">
        <f>Cleaned_Data!K2835</f>
        <v>4</v>
      </c>
      <c r="I2835" t="str">
        <f t="shared" si="132"/>
        <v>YES</v>
      </c>
      <c r="J2835">
        <f>Cleaned_Data!J2835</f>
        <v>8</v>
      </c>
      <c r="K2835" t="str">
        <f t="shared" si="133"/>
        <v>2024-11</v>
      </c>
      <c r="L2835">
        <f t="shared" si="134"/>
        <v>0</v>
      </c>
    </row>
    <row r="2836" spans="1:12">
      <c r="A2836" t="s">
        <v>8235</v>
      </c>
      <c r="B2836" t="s">
        <v>8236</v>
      </c>
      <c r="C2836" t="s">
        <v>8237</v>
      </c>
      <c r="D2836" t="s">
        <v>23</v>
      </c>
      <c r="E2836" t="s">
        <v>28</v>
      </c>
      <c r="F2836" t="s">
        <v>36</v>
      </c>
      <c r="G2836" t="s">
        <v>19</v>
      </c>
      <c r="H2836">
        <f>Cleaned_Data!K2836</f>
        <v>11.08</v>
      </c>
      <c r="I2836" t="str">
        <f t="shared" si="132"/>
        <v>YES</v>
      </c>
      <c r="J2836">
        <f>Cleaned_Data!J2836</f>
        <v>24</v>
      </c>
      <c r="K2836" t="str">
        <f t="shared" si="133"/>
        <v>2024-06</v>
      </c>
      <c r="L2836">
        <f t="shared" si="134"/>
        <v>0</v>
      </c>
    </row>
    <row r="2837" spans="1:12">
      <c r="A2837" t="s">
        <v>8238</v>
      </c>
      <c r="B2837" t="s">
        <v>8239</v>
      </c>
      <c r="C2837" t="s">
        <v>8240</v>
      </c>
      <c r="D2837" t="s">
        <v>23</v>
      </c>
      <c r="E2837" t="s">
        <v>16</v>
      </c>
      <c r="F2837" t="s">
        <v>17</v>
      </c>
      <c r="G2837" t="s">
        <v>19</v>
      </c>
      <c r="H2837">
        <f>Cleaned_Data!K2837</f>
        <v>5.03</v>
      </c>
      <c r="I2837" t="str">
        <f t="shared" si="132"/>
        <v>YES</v>
      </c>
      <c r="J2837">
        <f>Cleaned_Data!J2837</f>
        <v>24</v>
      </c>
      <c r="K2837" t="str">
        <f t="shared" si="133"/>
        <v>2024-12</v>
      </c>
      <c r="L2837">
        <f t="shared" si="134"/>
        <v>0</v>
      </c>
    </row>
    <row r="2838" spans="1:12">
      <c r="A2838" t="s">
        <v>8241</v>
      </c>
      <c r="B2838" t="s">
        <v>8242</v>
      </c>
      <c r="C2838" t="s">
        <v>8243</v>
      </c>
      <c r="D2838" t="s">
        <v>23</v>
      </c>
      <c r="E2838" t="s">
        <v>16</v>
      </c>
      <c r="F2838" t="s">
        <v>60</v>
      </c>
      <c r="G2838" t="s">
        <v>19</v>
      </c>
      <c r="H2838">
        <f>Cleaned_Data!K2838</f>
        <v>7.39</v>
      </c>
      <c r="I2838" t="str">
        <f t="shared" si="132"/>
        <v>YES</v>
      </c>
      <c r="J2838">
        <f>Cleaned_Data!J2838</f>
        <v>24</v>
      </c>
      <c r="K2838" t="str">
        <f t="shared" si="133"/>
        <v>2024-11</v>
      </c>
      <c r="L2838">
        <f t="shared" si="134"/>
        <v>0</v>
      </c>
    </row>
    <row r="2839" spans="1:12">
      <c r="A2839" t="s">
        <v>8244</v>
      </c>
      <c r="B2839" t="s">
        <v>8245</v>
      </c>
      <c r="C2839" t="s">
        <v>8246</v>
      </c>
      <c r="D2839" t="s">
        <v>35</v>
      </c>
      <c r="E2839" t="s">
        <v>28</v>
      </c>
      <c r="F2839" t="s">
        <v>29</v>
      </c>
      <c r="G2839" t="s">
        <v>19</v>
      </c>
      <c r="H2839">
        <f>Cleaned_Data!K2839</f>
        <v>35.67</v>
      </c>
      <c r="I2839" t="str">
        <f t="shared" si="132"/>
        <v>YES</v>
      </c>
      <c r="J2839">
        <f>Cleaned_Data!J2839</f>
        <v>48</v>
      </c>
      <c r="K2839" t="str">
        <f t="shared" si="133"/>
        <v>2024-03</v>
      </c>
      <c r="L2839">
        <f t="shared" si="134"/>
        <v>0</v>
      </c>
    </row>
    <row r="2840" spans="1:12">
      <c r="A2840" t="s">
        <v>8247</v>
      </c>
      <c r="B2840" t="s">
        <v>8248</v>
      </c>
      <c r="C2840" t="s">
        <v>8249</v>
      </c>
      <c r="D2840" t="s">
        <v>35</v>
      </c>
      <c r="E2840" t="s">
        <v>28</v>
      </c>
      <c r="F2840" t="s">
        <v>60</v>
      </c>
      <c r="G2840" t="s">
        <v>19</v>
      </c>
      <c r="H2840">
        <f>Cleaned_Data!K2840</f>
        <v>68.42</v>
      </c>
      <c r="I2840" t="str">
        <f t="shared" si="132"/>
        <v>NO</v>
      </c>
      <c r="J2840">
        <f>Cleaned_Data!J2840</f>
        <v>48</v>
      </c>
      <c r="K2840" t="str">
        <f t="shared" si="133"/>
        <v>2024-06</v>
      </c>
      <c r="L2840">
        <f t="shared" si="134"/>
        <v>20.420000000000002</v>
      </c>
    </row>
    <row r="2841" spans="1:12">
      <c r="A2841" t="s">
        <v>8250</v>
      </c>
      <c r="B2841" t="s">
        <v>8251</v>
      </c>
      <c r="C2841" t="s">
        <v>8252</v>
      </c>
      <c r="D2841" t="s">
        <v>15</v>
      </c>
      <c r="E2841" t="s">
        <v>54</v>
      </c>
      <c r="F2841" t="s">
        <v>36</v>
      </c>
      <c r="G2841" t="s">
        <v>19</v>
      </c>
      <c r="H2841">
        <f>Cleaned_Data!K2841</f>
        <v>7.08</v>
      </c>
      <c r="I2841" t="str">
        <f t="shared" si="132"/>
        <v>YES</v>
      </c>
      <c r="J2841">
        <f>Cleaned_Data!J2841</f>
        <v>8</v>
      </c>
      <c r="K2841" t="str">
        <f t="shared" si="133"/>
        <v>2024-06</v>
      </c>
      <c r="L2841">
        <f t="shared" si="134"/>
        <v>0</v>
      </c>
    </row>
    <row r="2842" spans="1:12">
      <c r="A2842" t="s">
        <v>8253</v>
      </c>
      <c r="B2842" t="s">
        <v>8254</v>
      </c>
      <c r="C2842" t="s">
        <v>8255</v>
      </c>
      <c r="D2842" t="s">
        <v>23</v>
      </c>
      <c r="E2842" t="s">
        <v>28</v>
      </c>
      <c r="F2842" t="s">
        <v>29</v>
      </c>
      <c r="G2842" t="s">
        <v>31</v>
      </c>
      <c r="H2842">
        <f>Cleaned_Data!K2842</f>
        <v>63.66</v>
      </c>
      <c r="I2842" t="str">
        <f t="shared" si="132"/>
        <v>NO</v>
      </c>
      <c r="J2842">
        <f>Cleaned_Data!J2842</f>
        <v>24</v>
      </c>
      <c r="K2842" t="str">
        <f t="shared" si="133"/>
        <v>2024-02</v>
      </c>
      <c r="L2842">
        <f t="shared" si="134"/>
        <v>39.659999999999997</v>
      </c>
    </row>
    <row r="2843" spans="1:12">
      <c r="A2843" t="s">
        <v>8256</v>
      </c>
      <c r="B2843" t="s">
        <v>8257</v>
      </c>
      <c r="D2843" t="s">
        <v>23</v>
      </c>
      <c r="E2843" t="s">
        <v>54</v>
      </c>
      <c r="F2843" t="s">
        <v>36</v>
      </c>
      <c r="G2843" t="s">
        <v>63</v>
      </c>
      <c r="H2843">
        <f>Cleaned_Data!K2843</f>
        <v>0</v>
      </c>
      <c r="I2843" t="str">
        <f t="shared" si="132"/>
        <v/>
      </c>
      <c r="J2843">
        <f>Cleaned_Data!J2843</f>
        <v>24</v>
      </c>
      <c r="K2843" t="str">
        <f t="shared" si="133"/>
        <v>2024-06</v>
      </c>
      <c r="L2843">
        <f t="shared" si="134"/>
        <v>0</v>
      </c>
    </row>
    <row r="2844" spans="1:12">
      <c r="A2844" t="s">
        <v>8258</v>
      </c>
      <c r="B2844" t="s">
        <v>8259</v>
      </c>
      <c r="C2844" t="s">
        <v>8260</v>
      </c>
      <c r="D2844" t="s">
        <v>15</v>
      </c>
      <c r="E2844" t="s">
        <v>16</v>
      </c>
      <c r="F2844" t="s">
        <v>17</v>
      </c>
      <c r="G2844" t="s">
        <v>19</v>
      </c>
      <c r="H2844">
        <f>Cleaned_Data!K2844</f>
        <v>4.22</v>
      </c>
      <c r="I2844" t="str">
        <f t="shared" si="132"/>
        <v>YES</v>
      </c>
      <c r="J2844">
        <f>Cleaned_Data!J2844</f>
        <v>8</v>
      </c>
      <c r="K2844" t="str">
        <f t="shared" si="133"/>
        <v>2024-04</v>
      </c>
      <c r="L2844">
        <f t="shared" si="134"/>
        <v>0</v>
      </c>
    </row>
    <row r="2845" spans="1:12">
      <c r="A2845" t="s">
        <v>8261</v>
      </c>
      <c r="B2845" t="s">
        <v>8262</v>
      </c>
      <c r="C2845" t="s">
        <v>8263</v>
      </c>
      <c r="D2845" t="s">
        <v>35</v>
      </c>
      <c r="E2845" t="s">
        <v>28</v>
      </c>
      <c r="F2845" t="s">
        <v>60</v>
      </c>
      <c r="G2845" t="s">
        <v>19</v>
      </c>
      <c r="H2845">
        <f>Cleaned_Data!K2845</f>
        <v>35.93</v>
      </c>
      <c r="I2845" t="str">
        <f t="shared" si="132"/>
        <v>YES</v>
      </c>
      <c r="J2845">
        <f>Cleaned_Data!J2845</f>
        <v>48</v>
      </c>
      <c r="K2845" t="str">
        <f t="shared" si="133"/>
        <v>2024-02</v>
      </c>
      <c r="L2845">
        <f t="shared" si="134"/>
        <v>0</v>
      </c>
    </row>
    <row r="2846" spans="1:12">
      <c r="A2846" t="s">
        <v>8264</v>
      </c>
      <c r="B2846" t="s">
        <v>8265</v>
      </c>
      <c r="C2846" t="s">
        <v>8266</v>
      </c>
      <c r="D2846" t="s">
        <v>15</v>
      </c>
      <c r="E2846" t="s">
        <v>16</v>
      </c>
      <c r="F2846" t="s">
        <v>60</v>
      </c>
      <c r="G2846" t="s">
        <v>31</v>
      </c>
      <c r="H2846">
        <f>Cleaned_Data!K2846</f>
        <v>6.84</v>
      </c>
      <c r="I2846" t="str">
        <f t="shared" si="132"/>
        <v>YES</v>
      </c>
      <c r="J2846">
        <f>Cleaned_Data!J2846</f>
        <v>8</v>
      </c>
      <c r="K2846" t="str">
        <f t="shared" si="133"/>
        <v>2024-11</v>
      </c>
      <c r="L2846">
        <f t="shared" si="134"/>
        <v>0</v>
      </c>
    </row>
    <row r="2847" spans="1:12">
      <c r="A2847" t="s">
        <v>8267</v>
      </c>
      <c r="B2847" t="s">
        <v>8268</v>
      </c>
      <c r="C2847" t="s">
        <v>8269</v>
      </c>
      <c r="D2847" t="s">
        <v>35</v>
      </c>
      <c r="E2847" t="s">
        <v>54</v>
      </c>
      <c r="F2847" t="s">
        <v>29</v>
      </c>
      <c r="G2847" t="s">
        <v>31</v>
      </c>
      <c r="H2847">
        <f>Cleaned_Data!K2847</f>
        <v>25.05</v>
      </c>
      <c r="I2847" t="str">
        <f t="shared" si="132"/>
        <v>YES</v>
      </c>
      <c r="J2847">
        <f>Cleaned_Data!J2847</f>
        <v>48</v>
      </c>
      <c r="K2847" t="str">
        <f t="shared" si="133"/>
        <v>2024-06</v>
      </c>
      <c r="L2847">
        <f t="shared" si="134"/>
        <v>0</v>
      </c>
    </row>
    <row r="2848" spans="1:12">
      <c r="A2848" t="s">
        <v>8270</v>
      </c>
      <c r="B2848" t="s">
        <v>8271</v>
      </c>
      <c r="C2848" t="s">
        <v>8272</v>
      </c>
      <c r="D2848" t="s">
        <v>23</v>
      </c>
      <c r="E2848" t="s">
        <v>16</v>
      </c>
      <c r="F2848" t="s">
        <v>60</v>
      </c>
      <c r="G2848" t="s">
        <v>31</v>
      </c>
      <c r="H2848">
        <f>Cleaned_Data!K2848</f>
        <v>11.63</v>
      </c>
      <c r="I2848" t="str">
        <f t="shared" si="132"/>
        <v>YES</v>
      </c>
      <c r="J2848">
        <f>Cleaned_Data!J2848</f>
        <v>24</v>
      </c>
      <c r="K2848" t="str">
        <f t="shared" si="133"/>
        <v>2024-08</v>
      </c>
      <c r="L2848">
        <f t="shared" si="134"/>
        <v>0</v>
      </c>
    </row>
    <row r="2849" spans="1:12">
      <c r="A2849" t="s">
        <v>8273</v>
      </c>
      <c r="B2849" t="s">
        <v>8274</v>
      </c>
      <c r="C2849" t="s">
        <v>8275</v>
      </c>
      <c r="D2849" t="s">
        <v>158</v>
      </c>
      <c r="E2849" t="s">
        <v>28</v>
      </c>
      <c r="F2849" t="s">
        <v>29</v>
      </c>
      <c r="G2849" t="s">
        <v>31</v>
      </c>
      <c r="H2849">
        <f>Cleaned_Data!K2849</f>
        <v>1.43</v>
      </c>
      <c r="I2849" t="str">
        <f t="shared" si="132"/>
        <v>YES</v>
      </c>
      <c r="J2849">
        <f>Cleaned_Data!J2849</f>
        <v>4</v>
      </c>
      <c r="K2849" t="str">
        <f t="shared" si="133"/>
        <v>2024-07</v>
      </c>
      <c r="L2849">
        <f t="shared" si="134"/>
        <v>0</v>
      </c>
    </row>
    <row r="2850" spans="1:12">
      <c r="A2850" t="s">
        <v>8276</v>
      </c>
      <c r="B2850" t="s">
        <v>8277</v>
      </c>
      <c r="C2850" t="s">
        <v>8278</v>
      </c>
      <c r="D2850" t="s">
        <v>23</v>
      </c>
      <c r="E2850" t="s">
        <v>54</v>
      </c>
      <c r="F2850" t="s">
        <v>17</v>
      </c>
      <c r="G2850" t="s">
        <v>31</v>
      </c>
      <c r="H2850">
        <f>Cleaned_Data!K2850</f>
        <v>7.78</v>
      </c>
      <c r="I2850" t="str">
        <f t="shared" si="132"/>
        <v>YES</v>
      </c>
      <c r="J2850">
        <f>Cleaned_Data!J2850</f>
        <v>24</v>
      </c>
      <c r="K2850" t="str">
        <f t="shared" si="133"/>
        <v>2024-08</v>
      </c>
      <c r="L2850">
        <f t="shared" si="134"/>
        <v>0</v>
      </c>
    </row>
    <row r="2851" spans="1:12">
      <c r="A2851" t="s">
        <v>8279</v>
      </c>
      <c r="B2851" t="s">
        <v>8280</v>
      </c>
      <c r="C2851" t="s">
        <v>8281</v>
      </c>
      <c r="D2851" t="s">
        <v>15</v>
      </c>
      <c r="E2851" t="s">
        <v>24</v>
      </c>
      <c r="F2851" t="s">
        <v>17</v>
      </c>
      <c r="G2851" t="s">
        <v>31</v>
      </c>
      <c r="H2851">
        <f>Cleaned_Data!K2851</f>
        <v>1.83</v>
      </c>
      <c r="I2851" t="str">
        <f t="shared" si="132"/>
        <v>YES</v>
      </c>
      <c r="J2851">
        <f>Cleaned_Data!J2851</f>
        <v>8</v>
      </c>
      <c r="K2851" t="str">
        <f t="shared" si="133"/>
        <v>2024-06</v>
      </c>
      <c r="L2851">
        <f t="shared" si="134"/>
        <v>0</v>
      </c>
    </row>
    <row r="2852" spans="1:12">
      <c r="A2852" t="s">
        <v>8282</v>
      </c>
      <c r="B2852" t="s">
        <v>8283</v>
      </c>
      <c r="D2852" t="s">
        <v>15</v>
      </c>
      <c r="E2852" t="s">
        <v>24</v>
      </c>
      <c r="F2852" t="s">
        <v>60</v>
      </c>
      <c r="G2852" t="s">
        <v>63</v>
      </c>
      <c r="H2852">
        <f>Cleaned_Data!K2852</f>
        <v>0</v>
      </c>
      <c r="I2852" t="str">
        <f t="shared" si="132"/>
        <v/>
      </c>
      <c r="J2852">
        <f>Cleaned_Data!J2852</f>
        <v>8</v>
      </c>
      <c r="K2852" t="str">
        <f t="shared" si="133"/>
        <v>2024-09</v>
      </c>
      <c r="L2852">
        <f t="shared" si="134"/>
        <v>0</v>
      </c>
    </row>
    <row r="2853" spans="1:12">
      <c r="A2853" t="s">
        <v>8284</v>
      </c>
      <c r="B2853" t="s">
        <v>8285</v>
      </c>
      <c r="C2853" t="s">
        <v>8286</v>
      </c>
      <c r="D2853" t="s">
        <v>158</v>
      </c>
      <c r="E2853" t="s">
        <v>59</v>
      </c>
      <c r="F2853" t="s">
        <v>60</v>
      </c>
      <c r="G2853" t="s">
        <v>31</v>
      </c>
      <c r="H2853">
        <f>Cleaned_Data!K2853</f>
        <v>10.32</v>
      </c>
      <c r="I2853" t="str">
        <f t="shared" si="132"/>
        <v>NO</v>
      </c>
      <c r="J2853">
        <f>Cleaned_Data!J2853</f>
        <v>4</v>
      </c>
      <c r="K2853" t="str">
        <f t="shared" si="133"/>
        <v>2024-07</v>
      </c>
      <c r="L2853">
        <f t="shared" si="134"/>
        <v>6.32</v>
      </c>
    </row>
    <row r="2854" spans="1:12">
      <c r="A2854" t="s">
        <v>8287</v>
      </c>
      <c r="B2854" t="s">
        <v>8288</v>
      </c>
      <c r="D2854" t="s">
        <v>15</v>
      </c>
      <c r="E2854" t="s">
        <v>16</v>
      </c>
      <c r="F2854" t="s">
        <v>41</v>
      </c>
      <c r="G2854" t="s">
        <v>63</v>
      </c>
      <c r="H2854">
        <f>Cleaned_Data!K2854</f>
        <v>0</v>
      </c>
      <c r="I2854" t="str">
        <f t="shared" si="132"/>
        <v/>
      </c>
      <c r="J2854">
        <f>Cleaned_Data!J2854</f>
        <v>8</v>
      </c>
      <c r="K2854" t="str">
        <f t="shared" si="133"/>
        <v>2024-10</v>
      </c>
      <c r="L2854">
        <f t="shared" si="134"/>
        <v>0</v>
      </c>
    </row>
    <row r="2855" spans="1:12">
      <c r="A2855" t="s">
        <v>8289</v>
      </c>
      <c r="B2855" t="s">
        <v>8290</v>
      </c>
      <c r="C2855" t="s">
        <v>8291</v>
      </c>
      <c r="D2855" t="s">
        <v>23</v>
      </c>
      <c r="E2855" t="s">
        <v>16</v>
      </c>
      <c r="F2855" t="s">
        <v>60</v>
      </c>
      <c r="G2855" t="s">
        <v>31</v>
      </c>
      <c r="H2855">
        <f>Cleaned_Data!K2855</f>
        <v>14.36</v>
      </c>
      <c r="I2855" t="str">
        <f t="shared" si="132"/>
        <v>YES</v>
      </c>
      <c r="J2855">
        <f>Cleaned_Data!J2855</f>
        <v>24</v>
      </c>
      <c r="K2855" t="str">
        <f t="shared" si="133"/>
        <v>2024-05</v>
      </c>
      <c r="L2855">
        <f t="shared" si="134"/>
        <v>0</v>
      </c>
    </row>
    <row r="2856" spans="1:12">
      <c r="A2856" t="s">
        <v>8292</v>
      </c>
      <c r="B2856" t="s">
        <v>8293</v>
      </c>
      <c r="C2856" t="s">
        <v>8294</v>
      </c>
      <c r="D2856" t="s">
        <v>15</v>
      </c>
      <c r="E2856" t="s">
        <v>54</v>
      </c>
      <c r="F2856" t="s">
        <v>41</v>
      </c>
      <c r="G2856" t="s">
        <v>31</v>
      </c>
      <c r="H2856">
        <f>Cleaned_Data!K2856</f>
        <v>2.67</v>
      </c>
      <c r="I2856" t="str">
        <f t="shared" si="132"/>
        <v>YES</v>
      </c>
      <c r="J2856">
        <f>Cleaned_Data!J2856</f>
        <v>8</v>
      </c>
      <c r="K2856" t="str">
        <f t="shared" si="133"/>
        <v>2024-10</v>
      </c>
      <c r="L2856">
        <f t="shared" si="134"/>
        <v>0</v>
      </c>
    </row>
    <row r="2857" spans="1:12">
      <c r="A2857" t="s">
        <v>8295</v>
      </c>
      <c r="B2857" t="s">
        <v>8296</v>
      </c>
      <c r="D2857" t="s">
        <v>35</v>
      </c>
      <c r="E2857" t="s">
        <v>28</v>
      </c>
      <c r="F2857" t="s">
        <v>29</v>
      </c>
      <c r="G2857" t="s">
        <v>63</v>
      </c>
      <c r="H2857">
        <f>Cleaned_Data!K2857</f>
        <v>0</v>
      </c>
      <c r="I2857" t="str">
        <f t="shared" si="132"/>
        <v/>
      </c>
      <c r="J2857">
        <f>Cleaned_Data!J2857</f>
        <v>48</v>
      </c>
      <c r="K2857" t="str">
        <f t="shared" si="133"/>
        <v>2024-09</v>
      </c>
      <c r="L2857">
        <f t="shared" si="134"/>
        <v>0</v>
      </c>
    </row>
    <row r="2858" spans="1:12">
      <c r="A2858" t="s">
        <v>8297</v>
      </c>
      <c r="B2858" t="s">
        <v>8298</v>
      </c>
      <c r="C2858" t="s">
        <v>8299</v>
      </c>
      <c r="D2858" t="s">
        <v>158</v>
      </c>
      <c r="E2858" t="s">
        <v>16</v>
      </c>
      <c r="F2858" t="s">
        <v>36</v>
      </c>
      <c r="G2858" t="s">
        <v>19</v>
      </c>
      <c r="H2858">
        <f>Cleaned_Data!K2858</f>
        <v>2.4900000000000002</v>
      </c>
      <c r="I2858" t="str">
        <f t="shared" si="132"/>
        <v>YES</v>
      </c>
      <c r="J2858">
        <f>Cleaned_Data!J2858</f>
        <v>4</v>
      </c>
      <c r="K2858" t="str">
        <f t="shared" si="133"/>
        <v>2024-12</v>
      </c>
      <c r="L2858">
        <f t="shared" si="134"/>
        <v>0</v>
      </c>
    </row>
    <row r="2859" spans="1:12">
      <c r="A2859" t="s">
        <v>8300</v>
      </c>
      <c r="B2859" t="s">
        <v>8301</v>
      </c>
      <c r="C2859" t="s">
        <v>8302</v>
      </c>
      <c r="D2859" t="s">
        <v>23</v>
      </c>
      <c r="E2859" t="s">
        <v>28</v>
      </c>
      <c r="F2859" t="s">
        <v>17</v>
      </c>
      <c r="G2859" t="s">
        <v>19</v>
      </c>
      <c r="H2859">
        <f>Cleaned_Data!K2859</f>
        <v>18.73</v>
      </c>
      <c r="I2859" t="str">
        <f t="shared" si="132"/>
        <v>YES</v>
      </c>
      <c r="J2859">
        <f>Cleaned_Data!J2859</f>
        <v>24</v>
      </c>
      <c r="K2859" t="str">
        <f t="shared" si="133"/>
        <v>2024-10</v>
      </c>
      <c r="L2859">
        <f t="shared" si="134"/>
        <v>0</v>
      </c>
    </row>
    <row r="2860" spans="1:12">
      <c r="A2860" t="s">
        <v>8303</v>
      </c>
      <c r="B2860" t="s">
        <v>8304</v>
      </c>
      <c r="C2860" t="s">
        <v>8305</v>
      </c>
      <c r="D2860" t="s">
        <v>15</v>
      </c>
      <c r="E2860" t="s">
        <v>24</v>
      </c>
      <c r="F2860" t="s">
        <v>17</v>
      </c>
      <c r="G2860" t="s">
        <v>19</v>
      </c>
      <c r="H2860">
        <f>Cleaned_Data!K2860</f>
        <v>1.0900000000000001</v>
      </c>
      <c r="I2860" t="str">
        <f t="shared" si="132"/>
        <v>YES</v>
      </c>
      <c r="J2860">
        <f>Cleaned_Data!J2860</f>
        <v>8</v>
      </c>
      <c r="K2860" t="str">
        <f t="shared" si="133"/>
        <v>2024-10</v>
      </c>
      <c r="L2860">
        <f t="shared" si="134"/>
        <v>0</v>
      </c>
    </row>
    <row r="2861" spans="1:12">
      <c r="A2861" t="s">
        <v>8306</v>
      </c>
      <c r="B2861" t="s">
        <v>8307</v>
      </c>
      <c r="C2861" t="s">
        <v>8308</v>
      </c>
      <c r="D2861" t="s">
        <v>23</v>
      </c>
      <c r="E2861" t="s">
        <v>59</v>
      </c>
      <c r="F2861" t="s">
        <v>29</v>
      </c>
      <c r="G2861" t="s">
        <v>31</v>
      </c>
      <c r="H2861">
        <f>Cleaned_Data!K2861</f>
        <v>15</v>
      </c>
      <c r="I2861" t="str">
        <f t="shared" si="132"/>
        <v>YES</v>
      </c>
      <c r="J2861">
        <f>Cleaned_Data!J2861</f>
        <v>24</v>
      </c>
      <c r="K2861" t="str">
        <f t="shared" si="133"/>
        <v>2024-05</v>
      </c>
      <c r="L2861">
        <f t="shared" si="134"/>
        <v>0</v>
      </c>
    </row>
    <row r="2862" spans="1:12">
      <c r="A2862" t="s">
        <v>8309</v>
      </c>
      <c r="B2862" t="s">
        <v>8310</v>
      </c>
      <c r="C2862" t="s">
        <v>8311</v>
      </c>
      <c r="D2862" t="s">
        <v>15</v>
      </c>
      <c r="E2862" t="s">
        <v>28</v>
      </c>
      <c r="F2862" t="s">
        <v>29</v>
      </c>
      <c r="G2862" t="s">
        <v>19</v>
      </c>
      <c r="H2862">
        <f>Cleaned_Data!K2862</f>
        <v>4.26</v>
      </c>
      <c r="I2862" t="str">
        <f t="shared" si="132"/>
        <v>YES</v>
      </c>
      <c r="J2862">
        <f>Cleaned_Data!J2862</f>
        <v>8</v>
      </c>
      <c r="K2862" t="str">
        <f t="shared" si="133"/>
        <v>2024-10</v>
      </c>
      <c r="L2862">
        <f t="shared" si="134"/>
        <v>0</v>
      </c>
    </row>
    <row r="2863" spans="1:12">
      <c r="A2863" t="s">
        <v>8312</v>
      </c>
      <c r="B2863" t="s">
        <v>8313</v>
      </c>
      <c r="C2863" t="s">
        <v>8314</v>
      </c>
      <c r="D2863" t="s">
        <v>15</v>
      </c>
      <c r="E2863" t="s">
        <v>28</v>
      </c>
      <c r="F2863" t="s">
        <v>41</v>
      </c>
      <c r="G2863" t="s">
        <v>31</v>
      </c>
      <c r="H2863">
        <f>Cleaned_Data!K2863</f>
        <v>5.92</v>
      </c>
      <c r="I2863" t="str">
        <f t="shared" si="132"/>
        <v>YES</v>
      </c>
      <c r="J2863">
        <f>Cleaned_Data!J2863</f>
        <v>8</v>
      </c>
      <c r="K2863" t="str">
        <f t="shared" si="133"/>
        <v>2024-01</v>
      </c>
      <c r="L2863">
        <f t="shared" si="134"/>
        <v>0</v>
      </c>
    </row>
    <row r="2864" spans="1:12">
      <c r="A2864" t="s">
        <v>8315</v>
      </c>
      <c r="B2864" t="s">
        <v>8316</v>
      </c>
      <c r="C2864" t="s">
        <v>8317</v>
      </c>
      <c r="D2864" t="s">
        <v>23</v>
      </c>
      <c r="E2864" t="s">
        <v>16</v>
      </c>
      <c r="F2864" t="s">
        <v>17</v>
      </c>
      <c r="G2864" t="s">
        <v>19</v>
      </c>
      <c r="H2864">
        <f>Cleaned_Data!K2864</f>
        <v>9.02</v>
      </c>
      <c r="I2864" t="str">
        <f t="shared" si="132"/>
        <v>YES</v>
      </c>
      <c r="J2864">
        <f>Cleaned_Data!J2864</f>
        <v>24</v>
      </c>
      <c r="K2864" t="str">
        <f t="shared" si="133"/>
        <v>2024-09</v>
      </c>
      <c r="L2864">
        <f t="shared" si="134"/>
        <v>0</v>
      </c>
    </row>
    <row r="2865" spans="1:12">
      <c r="A2865" t="s">
        <v>8318</v>
      </c>
      <c r="B2865" t="s">
        <v>8319</v>
      </c>
      <c r="C2865" t="s">
        <v>8320</v>
      </c>
      <c r="D2865" t="s">
        <v>35</v>
      </c>
      <c r="E2865" t="s">
        <v>28</v>
      </c>
      <c r="F2865" t="s">
        <v>36</v>
      </c>
      <c r="G2865" t="s">
        <v>19</v>
      </c>
      <c r="H2865">
        <f>Cleaned_Data!K2865</f>
        <v>40.64</v>
      </c>
      <c r="I2865" t="str">
        <f t="shared" si="132"/>
        <v>YES</v>
      </c>
      <c r="J2865">
        <f>Cleaned_Data!J2865</f>
        <v>48</v>
      </c>
      <c r="K2865" t="str">
        <f t="shared" si="133"/>
        <v>2024-11</v>
      </c>
      <c r="L2865">
        <f t="shared" si="134"/>
        <v>0</v>
      </c>
    </row>
    <row r="2866" spans="1:12">
      <c r="A2866" t="s">
        <v>8321</v>
      </c>
      <c r="B2866" t="s">
        <v>8322</v>
      </c>
      <c r="C2866" t="s">
        <v>8323</v>
      </c>
      <c r="D2866" t="s">
        <v>23</v>
      </c>
      <c r="E2866" t="s">
        <v>16</v>
      </c>
      <c r="F2866" t="s">
        <v>17</v>
      </c>
      <c r="G2866" t="s">
        <v>31</v>
      </c>
      <c r="H2866">
        <f>Cleaned_Data!K2866</f>
        <v>18.27</v>
      </c>
      <c r="I2866" t="str">
        <f t="shared" si="132"/>
        <v>YES</v>
      </c>
      <c r="J2866">
        <f>Cleaned_Data!J2866</f>
        <v>24</v>
      </c>
      <c r="K2866" t="str">
        <f t="shared" si="133"/>
        <v>2024-06</v>
      </c>
      <c r="L2866">
        <f t="shared" si="134"/>
        <v>0</v>
      </c>
    </row>
    <row r="2867" spans="1:12">
      <c r="A2867" t="s">
        <v>8324</v>
      </c>
      <c r="B2867" t="s">
        <v>8325</v>
      </c>
      <c r="C2867" t="s">
        <v>8326</v>
      </c>
      <c r="D2867" t="s">
        <v>23</v>
      </c>
      <c r="E2867" t="s">
        <v>28</v>
      </c>
      <c r="F2867" t="s">
        <v>41</v>
      </c>
      <c r="G2867" t="s">
        <v>31</v>
      </c>
      <c r="H2867">
        <f>Cleaned_Data!K2867</f>
        <v>17.93</v>
      </c>
      <c r="I2867" t="str">
        <f t="shared" si="132"/>
        <v>YES</v>
      </c>
      <c r="J2867">
        <f>Cleaned_Data!J2867</f>
        <v>24</v>
      </c>
      <c r="K2867" t="str">
        <f t="shared" si="133"/>
        <v>2024-06</v>
      </c>
      <c r="L2867">
        <f t="shared" si="134"/>
        <v>0</v>
      </c>
    </row>
    <row r="2868" spans="1:12">
      <c r="A2868" t="s">
        <v>8327</v>
      </c>
      <c r="B2868" t="s">
        <v>8328</v>
      </c>
      <c r="C2868" t="s">
        <v>8329</v>
      </c>
      <c r="D2868" t="s">
        <v>23</v>
      </c>
      <c r="E2868" t="s">
        <v>16</v>
      </c>
      <c r="F2868" t="s">
        <v>29</v>
      </c>
      <c r="G2868" t="s">
        <v>19</v>
      </c>
      <c r="H2868">
        <f>Cleaned_Data!K2868</f>
        <v>5.15</v>
      </c>
      <c r="I2868" t="str">
        <f t="shared" si="132"/>
        <v>YES</v>
      </c>
      <c r="J2868">
        <f>Cleaned_Data!J2868</f>
        <v>24</v>
      </c>
      <c r="K2868" t="str">
        <f t="shared" si="133"/>
        <v>2024-10</v>
      </c>
      <c r="L2868">
        <f t="shared" si="134"/>
        <v>0</v>
      </c>
    </row>
    <row r="2869" spans="1:12">
      <c r="A2869" t="s">
        <v>8330</v>
      </c>
      <c r="B2869" t="s">
        <v>8331</v>
      </c>
      <c r="C2869" t="s">
        <v>8332</v>
      </c>
      <c r="D2869" t="s">
        <v>23</v>
      </c>
      <c r="E2869" t="s">
        <v>28</v>
      </c>
      <c r="F2869" t="s">
        <v>17</v>
      </c>
      <c r="G2869" t="s">
        <v>19</v>
      </c>
      <c r="H2869">
        <f>Cleaned_Data!K2869</f>
        <v>42.33</v>
      </c>
      <c r="I2869" t="str">
        <f t="shared" si="132"/>
        <v>NO</v>
      </c>
      <c r="J2869">
        <f>Cleaned_Data!J2869</f>
        <v>24</v>
      </c>
      <c r="K2869" t="str">
        <f t="shared" si="133"/>
        <v>2024-03</v>
      </c>
      <c r="L2869">
        <f t="shared" si="134"/>
        <v>18.329999999999998</v>
      </c>
    </row>
    <row r="2870" spans="1:12">
      <c r="A2870" t="s">
        <v>8333</v>
      </c>
      <c r="B2870" t="s">
        <v>8334</v>
      </c>
      <c r="C2870" t="s">
        <v>8335</v>
      </c>
      <c r="D2870" t="s">
        <v>23</v>
      </c>
      <c r="E2870" t="s">
        <v>16</v>
      </c>
      <c r="F2870" t="s">
        <v>17</v>
      </c>
      <c r="G2870" t="s">
        <v>19</v>
      </c>
      <c r="H2870">
        <f>Cleaned_Data!K2870</f>
        <v>10.43</v>
      </c>
      <c r="I2870" t="str">
        <f t="shared" si="132"/>
        <v>YES</v>
      </c>
      <c r="J2870">
        <f>Cleaned_Data!J2870</f>
        <v>24</v>
      </c>
      <c r="K2870" t="str">
        <f t="shared" si="133"/>
        <v>2024-03</v>
      </c>
      <c r="L2870">
        <f t="shared" si="134"/>
        <v>0</v>
      </c>
    </row>
    <row r="2871" spans="1:12">
      <c r="A2871" t="s">
        <v>8336</v>
      </c>
      <c r="B2871" t="s">
        <v>8337</v>
      </c>
      <c r="C2871" t="s">
        <v>8338</v>
      </c>
      <c r="D2871" t="s">
        <v>15</v>
      </c>
      <c r="E2871" t="s">
        <v>24</v>
      </c>
      <c r="F2871" t="s">
        <v>60</v>
      </c>
      <c r="G2871" t="s">
        <v>19</v>
      </c>
      <c r="H2871">
        <f>Cleaned_Data!K2871</f>
        <v>5.6</v>
      </c>
      <c r="I2871" t="str">
        <f t="shared" si="132"/>
        <v>YES</v>
      </c>
      <c r="J2871">
        <f>Cleaned_Data!J2871</f>
        <v>8</v>
      </c>
      <c r="K2871" t="str">
        <f t="shared" si="133"/>
        <v>2024-10</v>
      </c>
      <c r="L2871">
        <f t="shared" si="134"/>
        <v>0</v>
      </c>
    </row>
    <row r="2872" spans="1:12">
      <c r="A2872" t="s">
        <v>8339</v>
      </c>
      <c r="B2872" t="s">
        <v>8340</v>
      </c>
      <c r="C2872" t="s">
        <v>8341</v>
      </c>
      <c r="D2872" t="s">
        <v>35</v>
      </c>
      <c r="E2872" t="s">
        <v>28</v>
      </c>
      <c r="F2872" t="s">
        <v>17</v>
      </c>
      <c r="G2872" t="s">
        <v>19</v>
      </c>
      <c r="H2872">
        <f>Cleaned_Data!K2872</f>
        <v>119.33</v>
      </c>
      <c r="I2872" t="str">
        <f t="shared" si="132"/>
        <v>NO</v>
      </c>
      <c r="J2872">
        <f>Cleaned_Data!J2872</f>
        <v>48</v>
      </c>
      <c r="K2872" t="str">
        <f t="shared" si="133"/>
        <v>2024-03</v>
      </c>
      <c r="L2872">
        <f t="shared" si="134"/>
        <v>71.33</v>
      </c>
    </row>
    <row r="2873" spans="1:12">
      <c r="A2873" t="s">
        <v>8342</v>
      </c>
      <c r="B2873" t="s">
        <v>8343</v>
      </c>
      <c r="C2873" t="s">
        <v>8344</v>
      </c>
      <c r="D2873" t="s">
        <v>23</v>
      </c>
      <c r="E2873" t="s">
        <v>28</v>
      </c>
      <c r="F2873" t="s">
        <v>17</v>
      </c>
      <c r="G2873" t="s">
        <v>19</v>
      </c>
      <c r="H2873">
        <f>Cleaned_Data!K2873</f>
        <v>21.71</v>
      </c>
      <c r="I2873" t="str">
        <f t="shared" si="132"/>
        <v>YES</v>
      </c>
      <c r="J2873">
        <f>Cleaned_Data!J2873</f>
        <v>24</v>
      </c>
      <c r="K2873" t="str">
        <f t="shared" si="133"/>
        <v>2024-05</v>
      </c>
      <c r="L2873">
        <f t="shared" si="134"/>
        <v>0</v>
      </c>
    </row>
    <row r="2874" spans="1:12">
      <c r="A2874" t="s">
        <v>8345</v>
      </c>
      <c r="B2874" t="s">
        <v>8346</v>
      </c>
      <c r="C2874" t="s">
        <v>8347</v>
      </c>
      <c r="D2874" t="s">
        <v>15</v>
      </c>
      <c r="E2874" t="s">
        <v>28</v>
      </c>
      <c r="F2874" t="s">
        <v>41</v>
      </c>
      <c r="G2874" t="s">
        <v>19</v>
      </c>
      <c r="H2874">
        <f>Cleaned_Data!K2874</f>
        <v>1.63</v>
      </c>
      <c r="I2874" t="str">
        <f t="shared" si="132"/>
        <v>YES</v>
      </c>
      <c r="J2874">
        <f>Cleaned_Data!J2874</f>
        <v>8</v>
      </c>
      <c r="K2874" t="str">
        <f t="shared" si="133"/>
        <v>2024-04</v>
      </c>
      <c r="L2874">
        <f t="shared" si="134"/>
        <v>0</v>
      </c>
    </row>
    <row r="2875" spans="1:12">
      <c r="A2875" t="s">
        <v>8348</v>
      </c>
      <c r="B2875" t="s">
        <v>8349</v>
      </c>
      <c r="C2875" t="s">
        <v>8350</v>
      </c>
      <c r="D2875" t="s">
        <v>23</v>
      </c>
      <c r="E2875" t="s">
        <v>28</v>
      </c>
      <c r="F2875" t="s">
        <v>36</v>
      </c>
      <c r="G2875" t="s">
        <v>19</v>
      </c>
      <c r="H2875">
        <f>Cleaned_Data!K2875</f>
        <v>21.24</v>
      </c>
      <c r="I2875" t="str">
        <f t="shared" si="132"/>
        <v>YES</v>
      </c>
      <c r="J2875">
        <f>Cleaned_Data!J2875</f>
        <v>24</v>
      </c>
      <c r="K2875" t="str">
        <f t="shared" si="133"/>
        <v>2024-08</v>
      </c>
      <c r="L2875">
        <f t="shared" si="134"/>
        <v>0</v>
      </c>
    </row>
    <row r="2876" spans="1:12">
      <c r="A2876" t="s">
        <v>8351</v>
      </c>
      <c r="B2876" t="s">
        <v>8352</v>
      </c>
      <c r="C2876" t="s">
        <v>8353</v>
      </c>
      <c r="D2876" t="s">
        <v>158</v>
      </c>
      <c r="E2876" t="s">
        <v>24</v>
      </c>
      <c r="F2876" t="s">
        <v>36</v>
      </c>
      <c r="G2876" t="s">
        <v>31</v>
      </c>
      <c r="H2876">
        <f>Cleaned_Data!K2876</f>
        <v>2.66</v>
      </c>
      <c r="I2876" t="str">
        <f t="shared" si="132"/>
        <v>YES</v>
      </c>
      <c r="J2876">
        <f>Cleaned_Data!J2876</f>
        <v>4</v>
      </c>
      <c r="K2876" t="str">
        <f t="shared" si="133"/>
        <v>2024-06</v>
      </c>
      <c r="L2876">
        <f t="shared" si="134"/>
        <v>0</v>
      </c>
    </row>
    <row r="2877" spans="1:12">
      <c r="A2877" t="s">
        <v>8354</v>
      </c>
      <c r="B2877" t="s">
        <v>8355</v>
      </c>
      <c r="C2877" t="s">
        <v>8356</v>
      </c>
      <c r="D2877" t="s">
        <v>158</v>
      </c>
      <c r="E2877" t="s">
        <v>16</v>
      </c>
      <c r="F2877" t="s">
        <v>29</v>
      </c>
      <c r="G2877" t="s">
        <v>19</v>
      </c>
      <c r="H2877">
        <f>Cleaned_Data!K2877</f>
        <v>3.25</v>
      </c>
      <c r="I2877" t="str">
        <f t="shared" si="132"/>
        <v>YES</v>
      </c>
      <c r="J2877">
        <f>Cleaned_Data!J2877</f>
        <v>4</v>
      </c>
      <c r="K2877" t="str">
        <f t="shared" si="133"/>
        <v>2024-08</v>
      </c>
      <c r="L2877">
        <f t="shared" si="134"/>
        <v>0</v>
      </c>
    </row>
    <row r="2878" spans="1:12">
      <c r="A2878" t="s">
        <v>8357</v>
      </c>
      <c r="B2878" t="s">
        <v>8358</v>
      </c>
      <c r="C2878" t="s">
        <v>8359</v>
      </c>
      <c r="D2878" t="s">
        <v>23</v>
      </c>
      <c r="E2878" t="s">
        <v>59</v>
      </c>
      <c r="F2878" t="s">
        <v>60</v>
      </c>
      <c r="G2878" t="s">
        <v>31</v>
      </c>
      <c r="H2878">
        <f>Cleaned_Data!K2878</f>
        <v>12.33</v>
      </c>
      <c r="I2878" t="str">
        <f t="shared" si="132"/>
        <v>YES</v>
      </c>
      <c r="J2878">
        <f>Cleaned_Data!J2878</f>
        <v>24</v>
      </c>
      <c r="K2878" t="str">
        <f t="shared" si="133"/>
        <v>2024-05</v>
      </c>
      <c r="L2878">
        <f t="shared" si="134"/>
        <v>0</v>
      </c>
    </row>
    <row r="2879" spans="1:12">
      <c r="A2879" t="s">
        <v>8360</v>
      </c>
      <c r="B2879" t="s">
        <v>8361</v>
      </c>
      <c r="C2879" t="s">
        <v>8362</v>
      </c>
      <c r="D2879" t="s">
        <v>23</v>
      </c>
      <c r="E2879" t="s">
        <v>24</v>
      </c>
      <c r="F2879" t="s">
        <v>17</v>
      </c>
      <c r="G2879" t="s">
        <v>19</v>
      </c>
      <c r="H2879">
        <f>Cleaned_Data!K2879</f>
        <v>22.74</v>
      </c>
      <c r="I2879" t="str">
        <f t="shared" si="132"/>
        <v>YES</v>
      </c>
      <c r="J2879">
        <f>Cleaned_Data!J2879</f>
        <v>24</v>
      </c>
      <c r="K2879" t="str">
        <f t="shared" si="133"/>
        <v>2024-01</v>
      </c>
      <c r="L2879">
        <f t="shared" si="134"/>
        <v>0</v>
      </c>
    </row>
    <row r="2880" spans="1:12">
      <c r="A2880" t="s">
        <v>8363</v>
      </c>
      <c r="B2880" t="s">
        <v>8364</v>
      </c>
      <c r="C2880" t="s">
        <v>8365</v>
      </c>
      <c r="D2880" t="s">
        <v>35</v>
      </c>
      <c r="E2880" t="s">
        <v>16</v>
      </c>
      <c r="F2880" t="s">
        <v>41</v>
      </c>
      <c r="G2880" t="s">
        <v>19</v>
      </c>
      <c r="H2880">
        <f>Cleaned_Data!K2880</f>
        <v>53.17</v>
      </c>
      <c r="I2880" t="str">
        <f t="shared" si="132"/>
        <v>NO</v>
      </c>
      <c r="J2880">
        <f>Cleaned_Data!J2880</f>
        <v>48</v>
      </c>
      <c r="K2880" t="str">
        <f t="shared" si="133"/>
        <v>2024-10</v>
      </c>
      <c r="L2880">
        <f t="shared" si="134"/>
        <v>5.1700000000000017</v>
      </c>
    </row>
    <row r="2881" spans="1:12">
      <c r="A2881" t="s">
        <v>8366</v>
      </c>
      <c r="B2881" t="s">
        <v>8367</v>
      </c>
      <c r="C2881" t="s">
        <v>8368</v>
      </c>
      <c r="D2881" t="s">
        <v>23</v>
      </c>
      <c r="E2881" t="s">
        <v>16</v>
      </c>
      <c r="F2881" t="s">
        <v>36</v>
      </c>
      <c r="G2881" t="s">
        <v>31</v>
      </c>
      <c r="H2881">
        <f>Cleaned_Data!K2881</f>
        <v>11.63</v>
      </c>
      <c r="I2881" t="str">
        <f t="shared" si="132"/>
        <v>YES</v>
      </c>
      <c r="J2881">
        <f>Cleaned_Data!J2881</f>
        <v>24</v>
      </c>
      <c r="K2881" t="str">
        <f t="shared" si="133"/>
        <v>2024-08</v>
      </c>
      <c r="L2881">
        <f t="shared" si="134"/>
        <v>0</v>
      </c>
    </row>
    <row r="2882" spans="1:12">
      <c r="A2882" t="s">
        <v>8369</v>
      </c>
      <c r="B2882" t="s">
        <v>8370</v>
      </c>
      <c r="C2882" t="s">
        <v>8371</v>
      </c>
      <c r="D2882" t="s">
        <v>23</v>
      </c>
      <c r="E2882" t="s">
        <v>28</v>
      </c>
      <c r="F2882" t="s">
        <v>41</v>
      </c>
      <c r="G2882" t="s">
        <v>19</v>
      </c>
      <c r="H2882">
        <f>Cleaned_Data!K2882</f>
        <v>60.14</v>
      </c>
      <c r="I2882" t="str">
        <f t="shared" ref="I2882:I2945" si="135">IF(OR(G2882="Resolved", G2882="Closed"), IF(AND(H2882&lt;&gt;"", H2882&lt;=J2882), "YES", "NO"), "")</f>
        <v>NO</v>
      </c>
      <c r="J2882">
        <f>Cleaned_Data!J2882</f>
        <v>24</v>
      </c>
      <c r="K2882" t="str">
        <f t="shared" ref="K2882:K2945" si="136">LEFT(B2882, 7)</f>
        <v>2024-10</v>
      </c>
      <c r="L2882">
        <f t="shared" ref="L2882:L2945" si="137">IF(I2882="NO", H2882-J2882, 0)</f>
        <v>36.14</v>
      </c>
    </row>
    <row r="2883" spans="1:12">
      <c r="A2883" t="s">
        <v>8372</v>
      </c>
      <c r="B2883" t="s">
        <v>8373</v>
      </c>
      <c r="C2883" t="s">
        <v>8374</v>
      </c>
      <c r="D2883" t="s">
        <v>15</v>
      </c>
      <c r="E2883" t="s">
        <v>59</v>
      </c>
      <c r="F2883" t="s">
        <v>36</v>
      </c>
      <c r="G2883" t="s">
        <v>31</v>
      </c>
      <c r="H2883">
        <f>Cleaned_Data!K2883</f>
        <v>10.48</v>
      </c>
      <c r="I2883" t="str">
        <f t="shared" si="135"/>
        <v>NO</v>
      </c>
      <c r="J2883">
        <f>Cleaned_Data!J2883</f>
        <v>8</v>
      </c>
      <c r="K2883" t="str">
        <f t="shared" si="136"/>
        <v>2024-04</v>
      </c>
      <c r="L2883">
        <f t="shared" si="137"/>
        <v>2.4800000000000004</v>
      </c>
    </row>
    <row r="2884" spans="1:12">
      <c r="A2884" t="s">
        <v>8375</v>
      </c>
      <c r="B2884" t="s">
        <v>8376</v>
      </c>
      <c r="C2884" t="s">
        <v>8377</v>
      </c>
      <c r="D2884" t="s">
        <v>15</v>
      </c>
      <c r="E2884" t="s">
        <v>54</v>
      </c>
      <c r="F2884" t="s">
        <v>36</v>
      </c>
      <c r="G2884" t="s">
        <v>31</v>
      </c>
      <c r="H2884">
        <f>Cleaned_Data!K2884</f>
        <v>3.78</v>
      </c>
      <c r="I2884" t="str">
        <f t="shared" si="135"/>
        <v>YES</v>
      </c>
      <c r="J2884">
        <f>Cleaned_Data!J2884</f>
        <v>8</v>
      </c>
      <c r="K2884" t="str">
        <f t="shared" si="136"/>
        <v>2024-03</v>
      </c>
      <c r="L2884">
        <f t="shared" si="137"/>
        <v>0</v>
      </c>
    </row>
    <row r="2885" spans="1:12">
      <c r="A2885" t="s">
        <v>8378</v>
      </c>
      <c r="B2885" t="s">
        <v>8379</v>
      </c>
      <c r="C2885" t="s">
        <v>8380</v>
      </c>
      <c r="D2885" t="s">
        <v>35</v>
      </c>
      <c r="E2885" t="s">
        <v>28</v>
      </c>
      <c r="F2885" t="s">
        <v>60</v>
      </c>
      <c r="G2885" t="s">
        <v>19</v>
      </c>
      <c r="H2885">
        <f>Cleaned_Data!K2885</f>
        <v>23.26</v>
      </c>
      <c r="I2885" t="str">
        <f t="shared" si="135"/>
        <v>YES</v>
      </c>
      <c r="J2885">
        <f>Cleaned_Data!J2885</f>
        <v>48</v>
      </c>
      <c r="K2885" t="str">
        <f t="shared" si="136"/>
        <v>2024-03</v>
      </c>
      <c r="L2885">
        <f t="shared" si="137"/>
        <v>0</v>
      </c>
    </row>
    <row r="2886" spans="1:12">
      <c r="A2886" t="s">
        <v>8381</v>
      </c>
      <c r="B2886" t="s">
        <v>8382</v>
      </c>
      <c r="C2886" t="s">
        <v>8383</v>
      </c>
      <c r="D2886" t="s">
        <v>23</v>
      </c>
      <c r="E2886" t="s">
        <v>28</v>
      </c>
      <c r="F2886" t="s">
        <v>41</v>
      </c>
      <c r="G2886" t="s">
        <v>19</v>
      </c>
      <c r="H2886">
        <f>Cleaned_Data!K2886</f>
        <v>5.75</v>
      </c>
      <c r="I2886" t="str">
        <f t="shared" si="135"/>
        <v>YES</v>
      </c>
      <c r="J2886">
        <f>Cleaned_Data!J2886</f>
        <v>24</v>
      </c>
      <c r="K2886" t="str">
        <f t="shared" si="136"/>
        <v>2024-02</v>
      </c>
      <c r="L2886">
        <f t="shared" si="137"/>
        <v>0</v>
      </c>
    </row>
    <row r="2887" spans="1:12">
      <c r="A2887" t="s">
        <v>8384</v>
      </c>
      <c r="B2887" t="s">
        <v>8385</v>
      </c>
      <c r="C2887" t="s">
        <v>8386</v>
      </c>
      <c r="D2887" t="s">
        <v>23</v>
      </c>
      <c r="E2887" t="s">
        <v>28</v>
      </c>
      <c r="F2887" t="s">
        <v>41</v>
      </c>
      <c r="G2887" t="s">
        <v>19</v>
      </c>
      <c r="H2887">
        <f>Cleaned_Data!K2887</f>
        <v>20.12</v>
      </c>
      <c r="I2887" t="str">
        <f t="shared" si="135"/>
        <v>YES</v>
      </c>
      <c r="J2887">
        <f>Cleaned_Data!J2887</f>
        <v>24</v>
      </c>
      <c r="K2887" t="str">
        <f t="shared" si="136"/>
        <v>2024-11</v>
      </c>
      <c r="L2887">
        <f t="shared" si="137"/>
        <v>0</v>
      </c>
    </row>
    <row r="2888" spans="1:12">
      <c r="A2888" t="s">
        <v>8387</v>
      </c>
      <c r="B2888" t="s">
        <v>8388</v>
      </c>
      <c r="C2888" t="s">
        <v>8389</v>
      </c>
      <c r="D2888" t="s">
        <v>15</v>
      </c>
      <c r="E2888" t="s">
        <v>59</v>
      </c>
      <c r="F2888" t="s">
        <v>41</v>
      </c>
      <c r="G2888" t="s">
        <v>19</v>
      </c>
      <c r="H2888">
        <f>Cleaned_Data!K2888</f>
        <v>4.7699999999999996</v>
      </c>
      <c r="I2888" t="str">
        <f t="shared" si="135"/>
        <v>YES</v>
      </c>
      <c r="J2888">
        <f>Cleaned_Data!J2888</f>
        <v>8</v>
      </c>
      <c r="K2888" t="str">
        <f t="shared" si="136"/>
        <v>2024-01</v>
      </c>
      <c r="L2888">
        <f t="shared" si="137"/>
        <v>0</v>
      </c>
    </row>
    <row r="2889" spans="1:12">
      <c r="A2889" t="s">
        <v>8390</v>
      </c>
      <c r="B2889" t="s">
        <v>8391</v>
      </c>
      <c r="C2889" t="s">
        <v>8392</v>
      </c>
      <c r="D2889" t="s">
        <v>35</v>
      </c>
      <c r="E2889" t="s">
        <v>28</v>
      </c>
      <c r="F2889" t="s">
        <v>60</v>
      </c>
      <c r="G2889" t="s">
        <v>19</v>
      </c>
      <c r="H2889">
        <f>Cleaned_Data!K2889</f>
        <v>11.24</v>
      </c>
      <c r="I2889" t="str">
        <f t="shared" si="135"/>
        <v>YES</v>
      </c>
      <c r="J2889">
        <f>Cleaned_Data!J2889</f>
        <v>48</v>
      </c>
      <c r="K2889" t="str">
        <f t="shared" si="136"/>
        <v>2024-10</v>
      </c>
      <c r="L2889">
        <f t="shared" si="137"/>
        <v>0</v>
      </c>
    </row>
    <row r="2890" spans="1:12">
      <c r="A2890" t="s">
        <v>8393</v>
      </c>
      <c r="B2890" t="s">
        <v>8394</v>
      </c>
      <c r="C2890" t="s">
        <v>8395</v>
      </c>
      <c r="D2890" t="s">
        <v>23</v>
      </c>
      <c r="E2890" t="s">
        <v>16</v>
      </c>
      <c r="F2890" t="s">
        <v>29</v>
      </c>
      <c r="G2890" t="s">
        <v>19</v>
      </c>
      <c r="H2890">
        <f>Cleaned_Data!K2890</f>
        <v>6.81</v>
      </c>
      <c r="I2890" t="str">
        <f t="shared" si="135"/>
        <v>YES</v>
      </c>
      <c r="J2890">
        <f>Cleaned_Data!J2890</f>
        <v>24</v>
      </c>
      <c r="K2890" t="str">
        <f t="shared" si="136"/>
        <v>2024-09</v>
      </c>
      <c r="L2890">
        <f t="shared" si="137"/>
        <v>0</v>
      </c>
    </row>
    <row r="2891" spans="1:12">
      <c r="A2891" t="s">
        <v>8396</v>
      </c>
      <c r="B2891" t="s">
        <v>8397</v>
      </c>
      <c r="C2891" t="s">
        <v>8398</v>
      </c>
      <c r="D2891" t="s">
        <v>35</v>
      </c>
      <c r="E2891" t="s">
        <v>28</v>
      </c>
      <c r="F2891" t="s">
        <v>36</v>
      </c>
      <c r="G2891" t="s">
        <v>31</v>
      </c>
      <c r="H2891">
        <f>Cleaned_Data!K2891</f>
        <v>7.39</v>
      </c>
      <c r="I2891" t="str">
        <f t="shared" si="135"/>
        <v>YES</v>
      </c>
      <c r="J2891">
        <f>Cleaned_Data!J2891</f>
        <v>48</v>
      </c>
      <c r="K2891" t="str">
        <f t="shared" si="136"/>
        <v>2024-11</v>
      </c>
      <c r="L2891">
        <f t="shared" si="137"/>
        <v>0</v>
      </c>
    </row>
    <row r="2892" spans="1:12">
      <c r="A2892" t="s">
        <v>8399</v>
      </c>
      <c r="B2892" t="s">
        <v>8400</v>
      </c>
      <c r="D2892" t="s">
        <v>35</v>
      </c>
      <c r="E2892" t="s">
        <v>16</v>
      </c>
      <c r="F2892" t="s">
        <v>29</v>
      </c>
      <c r="G2892" t="s">
        <v>63</v>
      </c>
      <c r="H2892">
        <f>Cleaned_Data!K2892</f>
        <v>0</v>
      </c>
      <c r="I2892" t="str">
        <f t="shared" si="135"/>
        <v/>
      </c>
      <c r="J2892">
        <f>Cleaned_Data!J2892</f>
        <v>48</v>
      </c>
      <c r="K2892" t="str">
        <f t="shared" si="136"/>
        <v>2024-03</v>
      </c>
      <c r="L2892">
        <f t="shared" si="137"/>
        <v>0</v>
      </c>
    </row>
    <row r="2893" spans="1:12">
      <c r="A2893" t="s">
        <v>8401</v>
      </c>
      <c r="B2893" t="s">
        <v>8402</v>
      </c>
      <c r="C2893" t="s">
        <v>8403</v>
      </c>
      <c r="D2893" t="s">
        <v>35</v>
      </c>
      <c r="E2893" t="s">
        <v>28</v>
      </c>
      <c r="F2893" t="s">
        <v>17</v>
      </c>
      <c r="G2893" t="s">
        <v>19</v>
      </c>
      <c r="H2893">
        <f>Cleaned_Data!K2893</f>
        <v>28.16</v>
      </c>
      <c r="I2893" t="str">
        <f t="shared" si="135"/>
        <v>YES</v>
      </c>
      <c r="J2893">
        <f>Cleaned_Data!J2893</f>
        <v>48</v>
      </c>
      <c r="K2893" t="str">
        <f t="shared" si="136"/>
        <v>2024-04</v>
      </c>
      <c r="L2893">
        <f t="shared" si="137"/>
        <v>0</v>
      </c>
    </row>
    <row r="2894" spans="1:12">
      <c r="A2894" t="s">
        <v>8404</v>
      </c>
      <c r="B2894" t="s">
        <v>8405</v>
      </c>
      <c r="C2894" t="s">
        <v>8406</v>
      </c>
      <c r="D2894" t="s">
        <v>15</v>
      </c>
      <c r="E2894" t="s">
        <v>28</v>
      </c>
      <c r="F2894" t="s">
        <v>29</v>
      </c>
      <c r="G2894" t="s">
        <v>19</v>
      </c>
      <c r="H2894">
        <f>Cleaned_Data!K2894</f>
        <v>5.53</v>
      </c>
      <c r="I2894" t="str">
        <f t="shared" si="135"/>
        <v>YES</v>
      </c>
      <c r="J2894">
        <f>Cleaned_Data!J2894</f>
        <v>8</v>
      </c>
      <c r="K2894" t="str">
        <f t="shared" si="136"/>
        <v>2024-10</v>
      </c>
      <c r="L2894">
        <f t="shared" si="137"/>
        <v>0</v>
      </c>
    </row>
    <row r="2895" spans="1:12">
      <c r="A2895" t="s">
        <v>8407</v>
      </c>
      <c r="B2895" t="s">
        <v>8408</v>
      </c>
      <c r="C2895" t="s">
        <v>8409</v>
      </c>
      <c r="D2895" t="s">
        <v>15</v>
      </c>
      <c r="E2895" t="s">
        <v>28</v>
      </c>
      <c r="F2895" t="s">
        <v>17</v>
      </c>
      <c r="G2895" t="s">
        <v>19</v>
      </c>
      <c r="H2895">
        <f>Cleaned_Data!K2895</f>
        <v>6.12</v>
      </c>
      <c r="I2895" t="str">
        <f t="shared" si="135"/>
        <v>YES</v>
      </c>
      <c r="J2895">
        <f>Cleaned_Data!J2895</f>
        <v>8</v>
      </c>
      <c r="K2895" t="str">
        <f t="shared" si="136"/>
        <v>2024-07</v>
      </c>
      <c r="L2895">
        <f t="shared" si="137"/>
        <v>0</v>
      </c>
    </row>
    <row r="2896" spans="1:12">
      <c r="A2896" t="s">
        <v>8410</v>
      </c>
      <c r="B2896" t="s">
        <v>8411</v>
      </c>
      <c r="C2896" t="s">
        <v>8412</v>
      </c>
      <c r="D2896" t="s">
        <v>23</v>
      </c>
      <c r="E2896" t="s">
        <v>54</v>
      </c>
      <c r="F2896" t="s">
        <v>17</v>
      </c>
      <c r="G2896" t="s">
        <v>19</v>
      </c>
      <c r="H2896">
        <f>Cleaned_Data!K2896</f>
        <v>8.31</v>
      </c>
      <c r="I2896" t="str">
        <f t="shared" si="135"/>
        <v>YES</v>
      </c>
      <c r="J2896">
        <f>Cleaned_Data!J2896</f>
        <v>24</v>
      </c>
      <c r="K2896" t="str">
        <f t="shared" si="136"/>
        <v>2024-07</v>
      </c>
      <c r="L2896">
        <f t="shared" si="137"/>
        <v>0</v>
      </c>
    </row>
    <row r="2897" spans="1:12">
      <c r="A2897" t="s">
        <v>8413</v>
      </c>
      <c r="B2897" t="s">
        <v>8414</v>
      </c>
      <c r="C2897" t="s">
        <v>8415</v>
      </c>
      <c r="D2897" t="s">
        <v>15</v>
      </c>
      <c r="E2897" t="s">
        <v>28</v>
      </c>
      <c r="F2897" t="s">
        <v>41</v>
      </c>
      <c r="G2897" t="s">
        <v>19</v>
      </c>
      <c r="H2897">
        <f>Cleaned_Data!K2897</f>
        <v>5.55</v>
      </c>
      <c r="I2897" t="str">
        <f t="shared" si="135"/>
        <v>YES</v>
      </c>
      <c r="J2897">
        <f>Cleaned_Data!J2897</f>
        <v>8</v>
      </c>
      <c r="K2897" t="str">
        <f t="shared" si="136"/>
        <v>2024-04</v>
      </c>
      <c r="L2897">
        <f t="shared" si="137"/>
        <v>0</v>
      </c>
    </row>
    <row r="2898" spans="1:12">
      <c r="A2898" t="s">
        <v>8416</v>
      </c>
      <c r="B2898" t="s">
        <v>8417</v>
      </c>
      <c r="D2898" t="s">
        <v>158</v>
      </c>
      <c r="E2898" t="s">
        <v>24</v>
      </c>
      <c r="F2898" t="s">
        <v>60</v>
      </c>
      <c r="G2898" t="s">
        <v>46</v>
      </c>
      <c r="H2898">
        <f>Cleaned_Data!K2898</f>
        <v>0</v>
      </c>
      <c r="I2898" t="str">
        <f t="shared" si="135"/>
        <v/>
      </c>
      <c r="J2898">
        <f>Cleaned_Data!J2898</f>
        <v>4</v>
      </c>
      <c r="K2898" t="str">
        <f t="shared" si="136"/>
        <v>2024-07</v>
      </c>
      <c r="L2898">
        <f t="shared" si="137"/>
        <v>0</v>
      </c>
    </row>
    <row r="2899" spans="1:12">
      <c r="A2899" t="s">
        <v>8418</v>
      </c>
      <c r="B2899" t="s">
        <v>8419</v>
      </c>
      <c r="D2899" t="s">
        <v>15</v>
      </c>
      <c r="E2899" t="s">
        <v>54</v>
      </c>
      <c r="F2899" t="s">
        <v>29</v>
      </c>
      <c r="G2899" t="s">
        <v>63</v>
      </c>
      <c r="H2899">
        <f>Cleaned_Data!K2899</f>
        <v>0</v>
      </c>
      <c r="I2899" t="str">
        <f t="shared" si="135"/>
        <v/>
      </c>
      <c r="J2899">
        <f>Cleaned_Data!J2899</f>
        <v>8</v>
      </c>
      <c r="K2899" t="str">
        <f t="shared" si="136"/>
        <v>2024-02</v>
      </c>
      <c r="L2899">
        <f t="shared" si="137"/>
        <v>0</v>
      </c>
    </row>
    <row r="2900" spans="1:12">
      <c r="A2900" t="s">
        <v>8420</v>
      </c>
      <c r="B2900" t="s">
        <v>8421</v>
      </c>
      <c r="C2900" t="s">
        <v>8422</v>
      </c>
      <c r="D2900" t="s">
        <v>15</v>
      </c>
      <c r="E2900" t="s">
        <v>28</v>
      </c>
      <c r="F2900" t="s">
        <v>41</v>
      </c>
      <c r="G2900" t="s">
        <v>31</v>
      </c>
      <c r="H2900">
        <f>Cleaned_Data!K2900</f>
        <v>8.6300000000000008</v>
      </c>
      <c r="I2900" t="str">
        <f t="shared" si="135"/>
        <v>NO</v>
      </c>
      <c r="J2900">
        <f>Cleaned_Data!J2900</f>
        <v>8</v>
      </c>
      <c r="K2900" t="str">
        <f t="shared" si="136"/>
        <v>2024-04</v>
      </c>
      <c r="L2900">
        <f t="shared" si="137"/>
        <v>0.63000000000000078</v>
      </c>
    </row>
    <row r="2901" spans="1:12">
      <c r="A2901" t="s">
        <v>8423</v>
      </c>
      <c r="B2901" t="s">
        <v>8424</v>
      </c>
      <c r="C2901" t="s">
        <v>8425</v>
      </c>
      <c r="D2901" t="s">
        <v>23</v>
      </c>
      <c r="E2901" t="s">
        <v>24</v>
      </c>
      <c r="F2901" t="s">
        <v>60</v>
      </c>
      <c r="G2901" t="s">
        <v>19</v>
      </c>
      <c r="H2901">
        <f>Cleaned_Data!K2901</f>
        <v>11.03</v>
      </c>
      <c r="I2901" t="str">
        <f t="shared" si="135"/>
        <v>YES</v>
      </c>
      <c r="J2901">
        <f>Cleaned_Data!J2901</f>
        <v>24</v>
      </c>
      <c r="K2901" t="str">
        <f t="shared" si="136"/>
        <v>2024-01</v>
      </c>
      <c r="L2901">
        <f t="shared" si="137"/>
        <v>0</v>
      </c>
    </row>
    <row r="2902" spans="1:12">
      <c r="A2902" t="s">
        <v>8426</v>
      </c>
      <c r="B2902" t="s">
        <v>8427</v>
      </c>
      <c r="C2902" t="s">
        <v>8428</v>
      </c>
      <c r="D2902" t="s">
        <v>23</v>
      </c>
      <c r="E2902" t="s">
        <v>24</v>
      </c>
      <c r="F2902" t="s">
        <v>60</v>
      </c>
      <c r="G2902" t="s">
        <v>31</v>
      </c>
      <c r="H2902">
        <f>Cleaned_Data!K2902</f>
        <v>11.13</v>
      </c>
      <c r="I2902" t="str">
        <f t="shared" si="135"/>
        <v>YES</v>
      </c>
      <c r="J2902">
        <f>Cleaned_Data!J2902</f>
        <v>24</v>
      </c>
      <c r="K2902" t="str">
        <f t="shared" si="136"/>
        <v>2024-10</v>
      </c>
      <c r="L2902">
        <f t="shared" si="137"/>
        <v>0</v>
      </c>
    </row>
    <row r="2903" spans="1:12">
      <c r="A2903" t="s">
        <v>8429</v>
      </c>
      <c r="B2903" t="s">
        <v>8430</v>
      </c>
      <c r="D2903" t="s">
        <v>15</v>
      </c>
      <c r="E2903" t="s">
        <v>16</v>
      </c>
      <c r="F2903" t="s">
        <v>36</v>
      </c>
      <c r="G2903" t="s">
        <v>63</v>
      </c>
      <c r="H2903">
        <f>Cleaned_Data!K2903</f>
        <v>0</v>
      </c>
      <c r="I2903" t="str">
        <f t="shared" si="135"/>
        <v/>
      </c>
      <c r="J2903">
        <f>Cleaned_Data!J2903</f>
        <v>8</v>
      </c>
      <c r="K2903" t="str">
        <f t="shared" si="136"/>
        <v>2024-03</v>
      </c>
      <c r="L2903">
        <f t="shared" si="137"/>
        <v>0</v>
      </c>
    </row>
    <row r="2904" spans="1:12">
      <c r="A2904" t="s">
        <v>8431</v>
      </c>
      <c r="B2904" t="s">
        <v>8432</v>
      </c>
      <c r="C2904" t="s">
        <v>8433</v>
      </c>
      <c r="D2904" t="s">
        <v>23</v>
      </c>
      <c r="E2904" t="s">
        <v>24</v>
      </c>
      <c r="F2904" t="s">
        <v>41</v>
      </c>
      <c r="G2904" t="s">
        <v>19</v>
      </c>
      <c r="H2904">
        <f>Cleaned_Data!K2904</f>
        <v>6.17</v>
      </c>
      <c r="I2904" t="str">
        <f t="shared" si="135"/>
        <v>YES</v>
      </c>
      <c r="J2904">
        <f>Cleaned_Data!J2904</f>
        <v>24</v>
      </c>
      <c r="K2904" t="str">
        <f t="shared" si="136"/>
        <v>2024-03</v>
      </c>
      <c r="L2904">
        <f t="shared" si="137"/>
        <v>0</v>
      </c>
    </row>
    <row r="2905" spans="1:12">
      <c r="A2905" t="s">
        <v>8434</v>
      </c>
      <c r="B2905" t="s">
        <v>8435</v>
      </c>
      <c r="C2905" t="s">
        <v>8436</v>
      </c>
      <c r="D2905" t="s">
        <v>15</v>
      </c>
      <c r="E2905" t="s">
        <v>54</v>
      </c>
      <c r="F2905" t="s">
        <v>29</v>
      </c>
      <c r="G2905" t="s">
        <v>19</v>
      </c>
      <c r="H2905">
        <f>Cleaned_Data!K2905</f>
        <v>6.45</v>
      </c>
      <c r="I2905" t="str">
        <f t="shared" si="135"/>
        <v>YES</v>
      </c>
      <c r="J2905">
        <f>Cleaned_Data!J2905</f>
        <v>8</v>
      </c>
      <c r="K2905" t="str">
        <f t="shared" si="136"/>
        <v>2024-12</v>
      </c>
      <c r="L2905">
        <f t="shared" si="137"/>
        <v>0</v>
      </c>
    </row>
    <row r="2906" spans="1:12">
      <c r="A2906" t="s">
        <v>8437</v>
      </c>
      <c r="B2906" t="s">
        <v>8438</v>
      </c>
      <c r="C2906" t="s">
        <v>8439</v>
      </c>
      <c r="D2906" t="s">
        <v>158</v>
      </c>
      <c r="E2906" t="s">
        <v>28</v>
      </c>
      <c r="F2906" t="s">
        <v>17</v>
      </c>
      <c r="G2906" t="s">
        <v>19</v>
      </c>
      <c r="H2906">
        <f>Cleaned_Data!K2906</f>
        <v>0.75</v>
      </c>
      <c r="I2906" t="str">
        <f t="shared" si="135"/>
        <v>YES</v>
      </c>
      <c r="J2906">
        <f>Cleaned_Data!J2906</f>
        <v>4</v>
      </c>
      <c r="K2906" t="str">
        <f t="shared" si="136"/>
        <v>2024-10</v>
      </c>
      <c r="L2906">
        <f t="shared" si="137"/>
        <v>0</v>
      </c>
    </row>
    <row r="2907" spans="1:12">
      <c r="A2907" t="s">
        <v>8440</v>
      </c>
      <c r="B2907" t="s">
        <v>8441</v>
      </c>
      <c r="D2907" t="s">
        <v>23</v>
      </c>
      <c r="E2907" t="s">
        <v>54</v>
      </c>
      <c r="F2907" t="s">
        <v>36</v>
      </c>
      <c r="G2907" t="s">
        <v>46</v>
      </c>
      <c r="H2907">
        <f>Cleaned_Data!K2907</f>
        <v>0</v>
      </c>
      <c r="I2907" t="str">
        <f t="shared" si="135"/>
        <v/>
      </c>
      <c r="J2907">
        <f>Cleaned_Data!J2907</f>
        <v>24</v>
      </c>
      <c r="K2907" t="str">
        <f t="shared" si="136"/>
        <v>2024-05</v>
      </c>
      <c r="L2907">
        <f t="shared" si="137"/>
        <v>0</v>
      </c>
    </row>
    <row r="2908" spans="1:12">
      <c r="A2908" t="s">
        <v>8442</v>
      </c>
      <c r="B2908" t="s">
        <v>8443</v>
      </c>
      <c r="C2908" t="s">
        <v>8444</v>
      </c>
      <c r="D2908" t="s">
        <v>23</v>
      </c>
      <c r="E2908" t="s">
        <v>28</v>
      </c>
      <c r="F2908" t="s">
        <v>60</v>
      </c>
      <c r="G2908" t="s">
        <v>19</v>
      </c>
      <c r="H2908">
        <f>Cleaned_Data!K2908</f>
        <v>38.200000000000003</v>
      </c>
      <c r="I2908" t="str">
        <f t="shared" si="135"/>
        <v>NO</v>
      </c>
      <c r="J2908">
        <f>Cleaned_Data!J2908</f>
        <v>24</v>
      </c>
      <c r="K2908" t="str">
        <f t="shared" si="136"/>
        <v>2024-06</v>
      </c>
      <c r="L2908">
        <f t="shared" si="137"/>
        <v>14.200000000000003</v>
      </c>
    </row>
    <row r="2909" spans="1:12">
      <c r="A2909" t="s">
        <v>8445</v>
      </c>
      <c r="B2909" t="s">
        <v>8446</v>
      </c>
      <c r="C2909" t="s">
        <v>8447</v>
      </c>
      <c r="D2909" t="s">
        <v>15</v>
      </c>
      <c r="E2909" t="s">
        <v>59</v>
      </c>
      <c r="F2909" t="s">
        <v>17</v>
      </c>
      <c r="G2909" t="s">
        <v>31</v>
      </c>
      <c r="H2909">
        <f>Cleaned_Data!K2909</f>
        <v>3.37</v>
      </c>
      <c r="I2909" t="str">
        <f t="shared" si="135"/>
        <v>YES</v>
      </c>
      <c r="J2909">
        <f>Cleaned_Data!J2909</f>
        <v>8</v>
      </c>
      <c r="K2909" t="str">
        <f t="shared" si="136"/>
        <v>2024-05</v>
      </c>
      <c r="L2909">
        <f t="shared" si="137"/>
        <v>0</v>
      </c>
    </row>
    <row r="2910" spans="1:12">
      <c r="A2910" t="s">
        <v>8448</v>
      </c>
      <c r="B2910" t="s">
        <v>8449</v>
      </c>
      <c r="C2910" t="s">
        <v>8450</v>
      </c>
      <c r="D2910" t="s">
        <v>35</v>
      </c>
      <c r="E2910" t="s">
        <v>16</v>
      </c>
      <c r="F2910" t="s">
        <v>36</v>
      </c>
      <c r="G2910" t="s">
        <v>19</v>
      </c>
      <c r="H2910">
        <f>Cleaned_Data!K2910</f>
        <v>26.59</v>
      </c>
      <c r="I2910" t="str">
        <f t="shared" si="135"/>
        <v>YES</v>
      </c>
      <c r="J2910">
        <f>Cleaned_Data!J2910</f>
        <v>48</v>
      </c>
      <c r="K2910" t="str">
        <f t="shared" si="136"/>
        <v>2024-02</v>
      </c>
      <c r="L2910">
        <f t="shared" si="137"/>
        <v>0</v>
      </c>
    </row>
    <row r="2911" spans="1:12">
      <c r="A2911" t="s">
        <v>8451</v>
      </c>
      <c r="B2911" t="s">
        <v>8452</v>
      </c>
      <c r="C2911" t="s">
        <v>8453</v>
      </c>
      <c r="D2911" t="s">
        <v>15</v>
      </c>
      <c r="E2911" t="s">
        <v>28</v>
      </c>
      <c r="F2911" t="s">
        <v>17</v>
      </c>
      <c r="G2911" t="s">
        <v>19</v>
      </c>
      <c r="H2911">
        <f>Cleaned_Data!K2911</f>
        <v>7.42</v>
      </c>
      <c r="I2911" t="str">
        <f t="shared" si="135"/>
        <v>YES</v>
      </c>
      <c r="J2911">
        <f>Cleaned_Data!J2911</f>
        <v>8</v>
      </c>
      <c r="K2911" t="str">
        <f t="shared" si="136"/>
        <v>2024-08</v>
      </c>
      <c r="L2911">
        <f t="shared" si="137"/>
        <v>0</v>
      </c>
    </row>
    <row r="2912" spans="1:12">
      <c r="A2912" t="s">
        <v>8454</v>
      </c>
      <c r="B2912" t="s">
        <v>8455</v>
      </c>
      <c r="C2912" t="s">
        <v>8456</v>
      </c>
      <c r="D2912" t="s">
        <v>15</v>
      </c>
      <c r="E2912" t="s">
        <v>54</v>
      </c>
      <c r="F2912" t="s">
        <v>29</v>
      </c>
      <c r="G2912" t="s">
        <v>31</v>
      </c>
      <c r="H2912">
        <f>Cleaned_Data!K2912</f>
        <v>2.27</v>
      </c>
      <c r="I2912" t="str">
        <f t="shared" si="135"/>
        <v>YES</v>
      </c>
      <c r="J2912">
        <f>Cleaned_Data!J2912</f>
        <v>8</v>
      </c>
      <c r="K2912" t="str">
        <f t="shared" si="136"/>
        <v>2024-03</v>
      </c>
      <c r="L2912">
        <f t="shared" si="137"/>
        <v>0</v>
      </c>
    </row>
    <row r="2913" spans="1:12">
      <c r="A2913" t="s">
        <v>8457</v>
      </c>
      <c r="B2913" t="s">
        <v>8458</v>
      </c>
      <c r="C2913" t="s">
        <v>8459</v>
      </c>
      <c r="D2913" t="s">
        <v>15</v>
      </c>
      <c r="E2913" t="s">
        <v>16</v>
      </c>
      <c r="F2913" t="s">
        <v>60</v>
      </c>
      <c r="G2913" t="s">
        <v>19</v>
      </c>
      <c r="H2913">
        <f>Cleaned_Data!K2913</f>
        <v>2.59</v>
      </c>
      <c r="I2913" t="str">
        <f t="shared" si="135"/>
        <v>YES</v>
      </c>
      <c r="J2913">
        <f>Cleaned_Data!J2913</f>
        <v>8</v>
      </c>
      <c r="K2913" t="str">
        <f t="shared" si="136"/>
        <v>2024-06</v>
      </c>
      <c r="L2913">
        <f t="shared" si="137"/>
        <v>0</v>
      </c>
    </row>
    <row r="2914" spans="1:12">
      <c r="A2914" t="s">
        <v>8460</v>
      </c>
      <c r="B2914" t="s">
        <v>8461</v>
      </c>
      <c r="C2914" t="s">
        <v>8462</v>
      </c>
      <c r="D2914" t="s">
        <v>15</v>
      </c>
      <c r="E2914" t="s">
        <v>24</v>
      </c>
      <c r="F2914" t="s">
        <v>36</v>
      </c>
      <c r="G2914" t="s">
        <v>31</v>
      </c>
      <c r="H2914">
        <f>Cleaned_Data!K2914</f>
        <v>12.26</v>
      </c>
      <c r="I2914" t="str">
        <f t="shared" si="135"/>
        <v>NO</v>
      </c>
      <c r="J2914">
        <f>Cleaned_Data!J2914</f>
        <v>8</v>
      </c>
      <c r="K2914" t="str">
        <f t="shared" si="136"/>
        <v>2024-06</v>
      </c>
      <c r="L2914">
        <f t="shared" si="137"/>
        <v>4.26</v>
      </c>
    </row>
    <row r="2915" spans="1:12">
      <c r="A2915" t="s">
        <v>8463</v>
      </c>
      <c r="B2915" t="s">
        <v>8464</v>
      </c>
      <c r="C2915" t="s">
        <v>8465</v>
      </c>
      <c r="D2915" t="s">
        <v>23</v>
      </c>
      <c r="E2915" t="s">
        <v>54</v>
      </c>
      <c r="F2915" t="s">
        <v>17</v>
      </c>
      <c r="G2915" t="s">
        <v>31</v>
      </c>
      <c r="H2915">
        <f>Cleaned_Data!K2915</f>
        <v>15.15</v>
      </c>
      <c r="I2915" t="str">
        <f t="shared" si="135"/>
        <v>YES</v>
      </c>
      <c r="J2915">
        <f>Cleaned_Data!J2915</f>
        <v>24</v>
      </c>
      <c r="K2915" t="str">
        <f t="shared" si="136"/>
        <v>2024-09</v>
      </c>
      <c r="L2915">
        <f t="shared" si="137"/>
        <v>0</v>
      </c>
    </row>
    <row r="2916" spans="1:12">
      <c r="A2916" t="s">
        <v>8466</v>
      </c>
      <c r="B2916" t="s">
        <v>8467</v>
      </c>
      <c r="C2916" t="s">
        <v>8468</v>
      </c>
      <c r="D2916" t="s">
        <v>35</v>
      </c>
      <c r="E2916" t="s">
        <v>28</v>
      </c>
      <c r="F2916" t="s">
        <v>36</v>
      </c>
      <c r="G2916" t="s">
        <v>31</v>
      </c>
      <c r="H2916">
        <f>Cleaned_Data!K2916</f>
        <v>142.30000000000001</v>
      </c>
      <c r="I2916" t="str">
        <f t="shared" si="135"/>
        <v>NO</v>
      </c>
      <c r="J2916">
        <f>Cleaned_Data!J2916</f>
        <v>48</v>
      </c>
      <c r="K2916" t="str">
        <f t="shared" si="136"/>
        <v>2024-07</v>
      </c>
      <c r="L2916">
        <f t="shared" si="137"/>
        <v>94.300000000000011</v>
      </c>
    </row>
    <row r="2917" spans="1:12">
      <c r="A2917" t="s">
        <v>8469</v>
      </c>
      <c r="B2917" t="s">
        <v>8470</v>
      </c>
      <c r="C2917" t="s">
        <v>8471</v>
      </c>
      <c r="D2917" t="s">
        <v>15</v>
      </c>
      <c r="E2917" t="s">
        <v>16</v>
      </c>
      <c r="F2917" t="s">
        <v>29</v>
      </c>
      <c r="G2917" t="s">
        <v>31</v>
      </c>
      <c r="H2917">
        <f>Cleaned_Data!K2917</f>
        <v>1.87</v>
      </c>
      <c r="I2917" t="str">
        <f t="shared" si="135"/>
        <v>YES</v>
      </c>
      <c r="J2917">
        <f>Cleaned_Data!J2917</f>
        <v>8</v>
      </c>
      <c r="K2917" t="str">
        <f t="shared" si="136"/>
        <v>2024-11</v>
      </c>
      <c r="L2917">
        <f t="shared" si="137"/>
        <v>0</v>
      </c>
    </row>
    <row r="2918" spans="1:12">
      <c r="A2918" t="s">
        <v>8472</v>
      </c>
      <c r="B2918" t="s">
        <v>8473</v>
      </c>
      <c r="C2918" t="s">
        <v>8474</v>
      </c>
      <c r="D2918" t="s">
        <v>23</v>
      </c>
      <c r="E2918" t="s">
        <v>24</v>
      </c>
      <c r="F2918" t="s">
        <v>41</v>
      </c>
      <c r="G2918" t="s">
        <v>19</v>
      </c>
      <c r="H2918">
        <f>Cleaned_Data!K2918</f>
        <v>18.37</v>
      </c>
      <c r="I2918" t="str">
        <f t="shared" si="135"/>
        <v>YES</v>
      </c>
      <c r="J2918">
        <f>Cleaned_Data!J2918</f>
        <v>24</v>
      </c>
      <c r="K2918" t="str">
        <f t="shared" si="136"/>
        <v>2024-12</v>
      </c>
      <c r="L2918">
        <f t="shared" si="137"/>
        <v>0</v>
      </c>
    </row>
    <row r="2919" spans="1:12">
      <c r="A2919" t="s">
        <v>8475</v>
      </c>
      <c r="B2919" t="s">
        <v>8476</v>
      </c>
      <c r="C2919" t="s">
        <v>8477</v>
      </c>
      <c r="D2919" t="s">
        <v>23</v>
      </c>
      <c r="E2919" t="s">
        <v>54</v>
      </c>
      <c r="F2919" t="s">
        <v>29</v>
      </c>
      <c r="G2919" t="s">
        <v>19</v>
      </c>
      <c r="H2919">
        <f>Cleaned_Data!K2919</f>
        <v>22.65</v>
      </c>
      <c r="I2919" t="str">
        <f t="shared" si="135"/>
        <v>YES</v>
      </c>
      <c r="J2919">
        <f>Cleaned_Data!J2919</f>
        <v>24</v>
      </c>
      <c r="K2919" t="str">
        <f t="shared" si="136"/>
        <v>2024-04</v>
      </c>
      <c r="L2919">
        <f t="shared" si="137"/>
        <v>0</v>
      </c>
    </row>
    <row r="2920" spans="1:12">
      <c r="A2920" t="s">
        <v>8478</v>
      </c>
      <c r="B2920" t="s">
        <v>8479</v>
      </c>
      <c r="C2920" t="s">
        <v>8480</v>
      </c>
      <c r="D2920" t="s">
        <v>23</v>
      </c>
      <c r="E2920" t="s">
        <v>16</v>
      </c>
      <c r="F2920" t="s">
        <v>17</v>
      </c>
      <c r="G2920" t="s">
        <v>19</v>
      </c>
      <c r="H2920">
        <f>Cleaned_Data!K2920</f>
        <v>16.46</v>
      </c>
      <c r="I2920" t="str">
        <f t="shared" si="135"/>
        <v>YES</v>
      </c>
      <c r="J2920">
        <f>Cleaned_Data!J2920</f>
        <v>24</v>
      </c>
      <c r="K2920" t="str">
        <f t="shared" si="136"/>
        <v>2024-10</v>
      </c>
      <c r="L2920">
        <f t="shared" si="137"/>
        <v>0</v>
      </c>
    </row>
    <row r="2921" spans="1:12">
      <c r="A2921" t="s">
        <v>8481</v>
      </c>
      <c r="B2921" t="s">
        <v>8482</v>
      </c>
      <c r="C2921" t="s">
        <v>8483</v>
      </c>
      <c r="D2921" t="s">
        <v>23</v>
      </c>
      <c r="E2921" t="s">
        <v>16</v>
      </c>
      <c r="F2921" t="s">
        <v>60</v>
      </c>
      <c r="G2921" t="s">
        <v>31</v>
      </c>
      <c r="H2921">
        <f>Cleaned_Data!K2921</f>
        <v>5.54</v>
      </c>
      <c r="I2921" t="str">
        <f t="shared" si="135"/>
        <v>YES</v>
      </c>
      <c r="J2921">
        <f>Cleaned_Data!J2921</f>
        <v>24</v>
      </c>
      <c r="K2921" t="str">
        <f t="shared" si="136"/>
        <v>2024-02</v>
      </c>
      <c r="L2921">
        <f t="shared" si="137"/>
        <v>0</v>
      </c>
    </row>
    <row r="2922" spans="1:12">
      <c r="A2922" t="s">
        <v>8484</v>
      </c>
      <c r="B2922" t="s">
        <v>8485</v>
      </c>
      <c r="C2922" t="s">
        <v>8486</v>
      </c>
      <c r="D2922" t="s">
        <v>23</v>
      </c>
      <c r="E2922" t="s">
        <v>59</v>
      </c>
      <c r="F2922" t="s">
        <v>41</v>
      </c>
      <c r="G2922" t="s">
        <v>19</v>
      </c>
      <c r="H2922">
        <f>Cleaned_Data!K2922</f>
        <v>12.09</v>
      </c>
      <c r="I2922" t="str">
        <f t="shared" si="135"/>
        <v>YES</v>
      </c>
      <c r="J2922">
        <f>Cleaned_Data!J2922</f>
        <v>24</v>
      </c>
      <c r="K2922" t="str">
        <f t="shared" si="136"/>
        <v>2024-12</v>
      </c>
      <c r="L2922">
        <f t="shared" si="137"/>
        <v>0</v>
      </c>
    </row>
    <row r="2923" spans="1:12">
      <c r="A2923" t="s">
        <v>8487</v>
      </c>
      <c r="B2923" t="s">
        <v>8488</v>
      </c>
      <c r="C2923" t="s">
        <v>8489</v>
      </c>
      <c r="D2923" t="s">
        <v>35</v>
      </c>
      <c r="E2923" t="s">
        <v>54</v>
      </c>
      <c r="F2923" t="s">
        <v>41</v>
      </c>
      <c r="G2923" t="s">
        <v>31</v>
      </c>
      <c r="H2923">
        <f>Cleaned_Data!K2923</f>
        <v>13.96</v>
      </c>
      <c r="I2923" t="str">
        <f t="shared" si="135"/>
        <v>YES</v>
      </c>
      <c r="J2923">
        <f>Cleaned_Data!J2923</f>
        <v>48</v>
      </c>
      <c r="K2923" t="str">
        <f t="shared" si="136"/>
        <v>2024-06</v>
      </c>
      <c r="L2923">
        <f t="shared" si="137"/>
        <v>0</v>
      </c>
    </row>
    <row r="2924" spans="1:12">
      <c r="A2924" t="s">
        <v>8490</v>
      </c>
      <c r="B2924" t="s">
        <v>8491</v>
      </c>
      <c r="C2924" t="s">
        <v>8492</v>
      </c>
      <c r="D2924" t="s">
        <v>23</v>
      </c>
      <c r="E2924" t="s">
        <v>28</v>
      </c>
      <c r="F2924" t="s">
        <v>29</v>
      </c>
      <c r="G2924" t="s">
        <v>31</v>
      </c>
      <c r="H2924">
        <f>Cleaned_Data!K2924</f>
        <v>14.19</v>
      </c>
      <c r="I2924" t="str">
        <f t="shared" si="135"/>
        <v>YES</v>
      </c>
      <c r="J2924">
        <f>Cleaned_Data!J2924</f>
        <v>24</v>
      </c>
      <c r="K2924" t="str">
        <f t="shared" si="136"/>
        <v>2024-12</v>
      </c>
      <c r="L2924">
        <f t="shared" si="137"/>
        <v>0</v>
      </c>
    </row>
    <row r="2925" spans="1:12">
      <c r="A2925" t="s">
        <v>8493</v>
      </c>
      <c r="B2925" t="s">
        <v>8494</v>
      </c>
      <c r="C2925" t="s">
        <v>8495</v>
      </c>
      <c r="D2925" t="s">
        <v>23</v>
      </c>
      <c r="E2925" t="s">
        <v>28</v>
      </c>
      <c r="F2925" t="s">
        <v>29</v>
      </c>
      <c r="G2925" t="s">
        <v>19</v>
      </c>
      <c r="H2925">
        <f>Cleaned_Data!K2925</f>
        <v>14.96</v>
      </c>
      <c r="I2925" t="str">
        <f t="shared" si="135"/>
        <v>YES</v>
      </c>
      <c r="J2925">
        <f>Cleaned_Data!J2925</f>
        <v>24</v>
      </c>
      <c r="K2925" t="str">
        <f t="shared" si="136"/>
        <v>2024-02</v>
      </c>
      <c r="L2925">
        <f t="shared" si="137"/>
        <v>0</v>
      </c>
    </row>
    <row r="2926" spans="1:12">
      <c r="A2926" t="s">
        <v>8496</v>
      </c>
      <c r="B2926" t="s">
        <v>8497</v>
      </c>
      <c r="C2926" t="s">
        <v>8498</v>
      </c>
      <c r="D2926" t="s">
        <v>23</v>
      </c>
      <c r="E2926" t="s">
        <v>54</v>
      </c>
      <c r="F2926" t="s">
        <v>41</v>
      </c>
      <c r="G2926" t="s">
        <v>19</v>
      </c>
      <c r="H2926">
        <f>Cleaned_Data!K2926</f>
        <v>21.71</v>
      </c>
      <c r="I2926" t="str">
        <f t="shared" si="135"/>
        <v>YES</v>
      </c>
      <c r="J2926">
        <f>Cleaned_Data!J2926</f>
        <v>24</v>
      </c>
      <c r="K2926" t="str">
        <f t="shared" si="136"/>
        <v>2024-10</v>
      </c>
      <c r="L2926">
        <f t="shared" si="137"/>
        <v>0</v>
      </c>
    </row>
    <row r="2927" spans="1:12">
      <c r="A2927" t="s">
        <v>8499</v>
      </c>
      <c r="B2927" t="s">
        <v>8500</v>
      </c>
      <c r="C2927" t="s">
        <v>8501</v>
      </c>
      <c r="D2927" t="s">
        <v>35</v>
      </c>
      <c r="E2927" t="s">
        <v>28</v>
      </c>
      <c r="F2927" t="s">
        <v>17</v>
      </c>
      <c r="G2927" t="s">
        <v>19</v>
      </c>
      <c r="H2927">
        <f>Cleaned_Data!K2927</f>
        <v>5.74</v>
      </c>
      <c r="I2927" t="str">
        <f t="shared" si="135"/>
        <v>YES</v>
      </c>
      <c r="J2927">
        <f>Cleaned_Data!J2927</f>
        <v>48</v>
      </c>
      <c r="K2927" t="str">
        <f t="shared" si="136"/>
        <v>2024-06</v>
      </c>
      <c r="L2927">
        <f t="shared" si="137"/>
        <v>0</v>
      </c>
    </row>
    <row r="2928" spans="1:12">
      <c r="A2928" t="s">
        <v>8502</v>
      </c>
      <c r="B2928" t="s">
        <v>8503</v>
      </c>
      <c r="D2928" t="s">
        <v>15</v>
      </c>
      <c r="E2928" t="s">
        <v>24</v>
      </c>
      <c r="F2928" t="s">
        <v>17</v>
      </c>
      <c r="G2928" t="s">
        <v>63</v>
      </c>
      <c r="H2928">
        <f>Cleaned_Data!K2928</f>
        <v>0</v>
      </c>
      <c r="I2928" t="str">
        <f t="shared" si="135"/>
        <v/>
      </c>
      <c r="J2928">
        <f>Cleaned_Data!J2928</f>
        <v>8</v>
      </c>
      <c r="K2928" t="str">
        <f t="shared" si="136"/>
        <v>2024-07</v>
      </c>
      <c r="L2928">
        <f t="shared" si="137"/>
        <v>0</v>
      </c>
    </row>
    <row r="2929" spans="1:12">
      <c r="A2929" t="s">
        <v>8504</v>
      </c>
      <c r="B2929" t="s">
        <v>8505</v>
      </c>
      <c r="D2929" t="s">
        <v>23</v>
      </c>
      <c r="E2929" t="s">
        <v>28</v>
      </c>
      <c r="F2929" t="s">
        <v>41</v>
      </c>
      <c r="G2929" t="s">
        <v>63</v>
      </c>
      <c r="H2929">
        <f>Cleaned_Data!K2929</f>
        <v>0</v>
      </c>
      <c r="I2929" t="str">
        <f t="shared" si="135"/>
        <v/>
      </c>
      <c r="J2929">
        <f>Cleaned_Data!J2929</f>
        <v>24</v>
      </c>
      <c r="K2929" t="str">
        <f t="shared" si="136"/>
        <v>2024-04</v>
      </c>
      <c r="L2929">
        <f t="shared" si="137"/>
        <v>0</v>
      </c>
    </row>
    <row r="2930" spans="1:12">
      <c r="A2930" t="s">
        <v>8506</v>
      </c>
      <c r="B2930" t="s">
        <v>8507</v>
      </c>
      <c r="C2930" t="s">
        <v>8508</v>
      </c>
      <c r="D2930" t="s">
        <v>23</v>
      </c>
      <c r="E2930" t="s">
        <v>24</v>
      </c>
      <c r="F2930" t="s">
        <v>29</v>
      </c>
      <c r="G2930" t="s">
        <v>19</v>
      </c>
      <c r="H2930">
        <f>Cleaned_Data!K2930</f>
        <v>4.9000000000000004</v>
      </c>
      <c r="I2930" t="str">
        <f t="shared" si="135"/>
        <v>YES</v>
      </c>
      <c r="J2930">
        <f>Cleaned_Data!J2930</f>
        <v>24</v>
      </c>
      <c r="K2930" t="str">
        <f t="shared" si="136"/>
        <v>2024-01</v>
      </c>
      <c r="L2930">
        <f t="shared" si="137"/>
        <v>0</v>
      </c>
    </row>
    <row r="2931" spans="1:12">
      <c r="A2931" t="s">
        <v>8509</v>
      </c>
      <c r="B2931" t="s">
        <v>8510</v>
      </c>
      <c r="C2931" t="s">
        <v>8511</v>
      </c>
      <c r="D2931" t="s">
        <v>15</v>
      </c>
      <c r="E2931" t="s">
        <v>16</v>
      </c>
      <c r="F2931" t="s">
        <v>41</v>
      </c>
      <c r="G2931" t="s">
        <v>19</v>
      </c>
      <c r="H2931">
        <f>Cleaned_Data!K2931</f>
        <v>6.5</v>
      </c>
      <c r="I2931" t="str">
        <f t="shared" si="135"/>
        <v>YES</v>
      </c>
      <c r="J2931">
        <f>Cleaned_Data!J2931</f>
        <v>8</v>
      </c>
      <c r="K2931" t="str">
        <f t="shared" si="136"/>
        <v>2024-10</v>
      </c>
      <c r="L2931">
        <f t="shared" si="137"/>
        <v>0</v>
      </c>
    </row>
    <row r="2932" spans="1:12">
      <c r="A2932" t="s">
        <v>8512</v>
      </c>
      <c r="B2932" t="s">
        <v>8513</v>
      </c>
      <c r="C2932" t="s">
        <v>8514</v>
      </c>
      <c r="D2932" t="s">
        <v>23</v>
      </c>
      <c r="E2932" t="s">
        <v>28</v>
      </c>
      <c r="F2932" t="s">
        <v>29</v>
      </c>
      <c r="G2932" t="s">
        <v>31</v>
      </c>
      <c r="H2932">
        <f>Cleaned_Data!K2932</f>
        <v>19.05</v>
      </c>
      <c r="I2932" t="str">
        <f t="shared" si="135"/>
        <v>YES</v>
      </c>
      <c r="J2932">
        <f>Cleaned_Data!J2932</f>
        <v>24</v>
      </c>
      <c r="K2932" t="str">
        <f t="shared" si="136"/>
        <v>2024-11</v>
      </c>
      <c r="L2932">
        <f t="shared" si="137"/>
        <v>0</v>
      </c>
    </row>
    <row r="2933" spans="1:12">
      <c r="A2933" t="s">
        <v>8515</v>
      </c>
      <c r="B2933" t="s">
        <v>8516</v>
      </c>
      <c r="C2933" t="s">
        <v>8517</v>
      </c>
      <c r="D2933" t="s">
        <v>15</v>
      </c>
      <c r="E2933" t="s">
        <v>59</v>
      </c>
      <c r="F2933" t="s">
        <v>60</v>
      </c>
      <c r="G2933" t="s">
        <v>31</v>
      </c>
      <c r="H2933">
        <f>Cleaned_Data!K2933</f>
        <v>3.49</v>
      </c>
      <c r="I2933" t="str">
        <f t="shared" si="135"/>
        <v>YES</v>
      </c>
      <c r="J2933">
        <f>Cleaned_Data!J2933</f>
        <v>8</v>
      </c>
      <c r="K2933" t="str">
        <f t="shared" si="136"/>
        <v>2024-06</v>
      </c>
      <c r="L2933">
        <f t="shared" si="137"/>
        <v>0</v>
      </c>
    </row>
    <row r="2934" spans="1:12">
      <c r="A2934" t="s">
        <v>8518</v>
      </c>
      <c r="B2934" t="s">
        <v>8519</v>
      </c>
      <c r="C2934" t="s">
        <v>8520</v>
      </c>
      <c r="D2934" t="s">
        <v>35</v>
      </c>
      <c r="E2934" t="s">
        <v>24</v>
      </c>
      <c r="F2934" t="s">
        <v>36</v>
      </c>
      <c r="G2934" t="s">
        <v>31</v>
      </c>
      <c r="H2934">
        <f>Cleaned_Data!K2934</f>
        <v>20.440000000000001</v>
      </c>
      <c r="I2934" t="str">
        <f t="shared" si="135"/>
        <v>YES</v>
      </c>
      <c r="J2934">
        <f>Cleaned_Data!J2934</f>
        <v>48</v>
      </c>
      <c r="K2934" t="str">
        <f t="shared" si="136"/>
        <v>2024-07</v>
      </c>
      <c r="L2934">
        <f t="shared" si="137"/>
        <v>0</v>
      </c>
    </row>
    <row r="2935" spans="1:12">
      <c r="A2935" t="s">
        <v>8521</v>
      </c>
      <c r="B2935" t="s">
        <v>8522</v>
      </c>
      <c r="C2935" t="s">
        <v>8523</v>
      </c>
      <c r="D2935" t="s">
        <v>158</v>
      </c>
      <c r="E2935" t="s">
        <v>28</v>
      </c>
      <c r="F2935" t="s">
        <v>36</v>
      </c>
      <c r="G2935" t="s">
        <v>31</v>
      </c>
      <c r="H2935">
        <f>Cleaned_Data!K2935</f>
        <v>1.1399999999999999</v>
      </c>
      <c r="I2935" t="str">
        <f t="shared" si="135"/>
        <v>YES</v>
      </c>
      <c r="J2935">
        <f>Cleaned_Data!J2935</f>
        <v>4</v>
      </c>
      <c r="K2935" t="str">
        <f t="shared" si="136"/>
        <v>2024-06</v>
      </c>
      <c r="L2935">
        <f t="shared" si="137"/>
        <v>0</v>
      </c>
    </row>
    <row r="2936" spans="1:12">
      <c r="A2936" t="s">
        <v>8524</v>
      </c>
      <c r="B2936" t="s">
        <v>8525</v>
      </c>
      <c r="C2936" t="s">
        <v>8526</v>
      </c>
      <c r="D2936" t="s">
        <v>158</v>
      </c>
      <c r="E2936" t="s">
        <v>59</v>
      </c>
      <c r="F2936" t="s">
        <v>36</v>
      </c>
      <c r="G2936" t="s">
        <v>19</v>
      </c>
      <c r="H2936">
        <f>Cleaned_Data!K2936</f>
        <v>0.49</v>
      </c>
      <c r="I2936" t="str">
        <f t="shared" si="135"/>
        <v>YES</v>
      </c>
      <c r="J2936">
        <f>Cleaned_Data!J2936</f>
        <v>4</v>
      </c>
      <c r="K2936" t="str">
        <f t="shared" si="136"/>
        <v>2024-02</v>
      </c>
      <c r="L2936">
        <f t="shared" si="137"/>
        <v>0</v>
      </c>
    </row>
    <row r="2937" spans="1:12">
      <c r="A2937" t="s">
        <v>8527</v>
      </c>
      <c r="B2937" t="s">
        <v>8528</v>
      </c>
      <c r="C2937" t="s">
        <v>8529</v>
      </c>
      <c r="D2937" t="s">
        <v>15</v>
      </c>
      <c r="E2937" t="s">
        <v>54</v>
      </c>
      <c r="F2937" t="s">
        <v>60</v>
      </c>
      <c r="G2937" t="s">
        <v>31</v>
      </c>
      <c r="H2937">
        <f>Cleaned_Data!K2937</f>
        <v>2.34</v>
      </c>
      <c r="I2937" t="str">
        <f t="shared" si="135"/>
        <v>YES</v>
      </c>
      <c r="J2937">
        <f>Cleaned_Data!J2937</f>
        <v>8</v>
      </c>
      <c r="K2937" t="str">
        <f t="shared" si="136"/>
        <v>2024-10</v>
      </c>
      <c r="L2937">
        <f t="shared" si="137"/>
        <v>0</v>
      </c>
    </row>
    <row r="2938" spans="1:12">
      <c r="A2938" t="s">
        <v>8530</v>
      </c>
      <c r="B2938" t="s">
        <v>8531</v>
      </c>
      <c r="C2938" t="s">
        <v>8532</v>
      </c>
      <c r="D2938" t="s">
        <v>15</v>
      </c>
      <c r="E2938" t="s">
        <v>59</v>
      </c>
      <c r="F2938" t="s">
        <v>41</v>
      </c>
      <c r="G2938" t="s">
        <v>31</v>
      </c>
      <c r="H2938">
        <f>Cleaned_Data!K2938</f>
        <v>5.46</v>
      </c>
      <c r="I2938" t="str">
        <f t="shared" si="135"/>
        <v>YES</v>
      </c>
      <c r="J2938">
        <f>Cleaned_Data!J2938</f>
        <v>8</v>
      </c>
      <c r="K2938" t="str">
        <f t="shared" si="136"/>
        <v>2024-04</v>
      </c>
      <c r="L2938">
        <f t="shared" si="137"/>
        <v>0</v>
      </c>
    </row>
    <row r="2939" spans="1:12">
      <c r="A2939" t="s">
        <v>8533</v>
      </c>
      <c r="B2939" t="s">
        <v>8534</v>
      </c>
      <c r="C2939" t="s">
        <v>8535</v>
      </c>
      <c r="D2939" t="s">
        <v>15</v>
      </c>
      <c r="E2939" t="s">
        <v>16</v>
      </c>
      <c r="F2939" t="s">
        <v>60</v>
      </c>
      <c r="G2939" t="s">
        <v>19</v>
      </c>
      <c r="H2939">
        <f>Cleaned_Data!K2939</f>
        <v>7.29</v>
      </c>
      <c r="I2939" t="str">
        <f t="shared" si="135"/>
        <v>YES</v>
      </c>
      <c r="J2939">
        <f>Cleaned_Data!J2939</f>
        <v>8</v>
      </c>
      <c r="K2939" t="str">
        <f t="shared" si="136"/>
        <v>2024-02</v>
      </c>
      <c r="L2939">
        <f t="shared" si="137"/>
        <v>0</v>
      </c>
    </row>
    <row r="2940" spans="1:12">
      <c r="A2940" t="s">
        <v>8536</v>
      </c>
      <c r="B2940" t="s">
        <v>8537</v>
      </c>
      <c r="C2940" t="s">
        <v>8538</v>
      </c>
      <c r="D2940" t="s">
        <v>23</v>
      </c>
      <c r="E2940" t="s">
        <v>24</v>
      </c>
      <c r="F2940" t="s">
        <v>29</v>
      </c>
      <c r="G2940" t="s">
        <v>19</v>
      </c>
      <c r="H2940">
        <f>Cleaned_Data!K2940</f>
        <v>22.3</v>
      </c>
      <c r="I2940" t="str">
        <f t="shared" si="135"/>
        <v>YES</v>
      </c>
      <c r="J2940">
        <f>Cleaned_Data!J2940</f>
        <v>24</v>
      </c>
      <c r="K2940" t="str">
        <f t="shared" si="136"/>
        <v>2024-07</v>
      </c>
      <c r="L2940">
        <f t="shared" si="137"/>
        <v>0</v>
      </c>
    </row>
    <row r="2941" spans="1:12">
      <c r="A2941" t="s">
        <v>8539</v>
      </c>
      <c r="B2941" t="s">
        <v>8540</v>
      </c>
      <c r="C2941" t="s">
        <v>8541</v>
      </c>
      <c r="D2941" t="s">
        <v>23</v>
      </c>
      <c r="E2941" t="s">
        <v>54</v>
      </c>
      <c r="F2941" t="s">
        <v>36</v>
      </c>
      <c r="G2941" t="s">
        <v>31</v>
      </c>
      <c r="H2941">
        <f>Cleaned_Data!K2941</f>
        <v>21.22</v>
      </c>
      <c r="I2941" t="str">
        <f t="shared" si="135"/>
        <v>YES</v>
      </c>
      <c r="J2941">
        <f>Cleaned_Data!J2941</f>
        <v>24</v>
      </c>
      <c r="K2941" t="str">
        <f t="shared" si="136"/>
        <v>2024-10</v>
      </c>
      <c r="L2941">
        <f t="shared" si="137"/>
        <v>0</v>
      </c>
    </row>
    <row r="2942" spans="1:12">
      <c r="A2942" t="s">
        <v>8542</v>
      </c>
      <c r="B2942" t="s">
        <v>8543</v>
      </c>
      <c r="D2942" t="s">
        <v>15</v>
      </c>
      <c r="E2942" t="s">
        <v>54</v>
      </c>
      <c r="F2942" t="s">
        <v>41</v>
      </c>
      <c r="G2942" t="s">
        <v>63</v>
      </c>
      <c r="H2942">
        <f>Cleaned_Data!K2942</f>
        <v>0</v>
      </c>
      <c r="I2942" t="str">
        <f t="shared" si="135"/>
        <v/>
      </c>
      <c r="J2942">
        <f>Cleaned_Data!J2942</f>
        <v>8</v>
      </c>
      <c r="K2942" t="str">
        <f t="shared" si="136"/>
        <v>2024-01</v>
      </c>
      <c r="L2942">
        <f t="shared" si="137"/>
        <v>0</v>
      </c>
    </row>
    <row r="2943" spans="1:12">
      <c r="A2943" t="s">
        <v>8544</v>
      </c>
      <c r="B2943" t="s">
        <v>8545</v>
      </c>
      <c r="C2943" t="s">
        <v>8546</v>
      </c>
      <c r="D2943" t="s">
        <v>35</v>
      </c>
      <c r="E2943" t="s">
        <v>59</v>
      </c>
      <c r="F2943" t="s">
        <v>36</v>
      </c>
      <c r="G2943" t="s">
        <v>31</v>
      </c>
      <c r="H2943">
        <f>Cleaned_Data!K2943</f>
        <v>10.69</v>
      </c>
      <c r="I2943" t="str">
        <f t="shared" si="135"/>
        <v>YES</v>
      </c>
      <c r="J2943">
        <f>Cleaned_Data!J2943</f>
        <v>48</v>
      </c>
      <c r="K2943" t="str">
        <f t="shared" si="136"/>
        <v>2024-06</v>
      </c>
      <c r="L2943">
        <f t="shared" si="137"/>
        <v>0</v>
      </c>
    </row>
    <row r="2944" spans="1:12">
      <c r="A2944" t="s">
        <v>8547</v>
      </c>
      <c r="B2944" t="s">
        <v>8548</v>
      </c>
      <c r="C2944" t="s">
        <v>8549</v>
      </c>
      <c r="D2944" t="s">
        <v>15</v>
      </c>
      <c r="E2944" t="s">
        <v>28</v>
      </c>
      <c r="F2944" t="s">
        <v>29</v>
      </c>
      <c r="G2944" t="s">
        <v>31</v>
      </c>
      <c r="H2944">
        <f>Cleaned_Data!K2944</f>
        <v>23.94</v>
      </c>
      <c r="I2944" t="str">
        <f t="shared" si="135"/>
        <v>NO</v>
      </c>
      <c r="J2944">
        <f>Cleaned_Data!J2944</f>
        <v>8</v>
      </c>
      <c r="K2944" t="str">
        <f t="shared" si="136"/>
        <v>2024-10</v>
      </c>
      <c r="L2944">
        <f t="shared" si="137"/>
        <v>15.940000000000001</v>
      </c>
    </row>
    <row r="2945" spans="1:12">
      <c r="A2945" t="s">
        <v>8550</v>
      </c>
      <c r="B2945" t="s">
        <v>8551</v>
      </c>
      <c r="D2945" t="s">
        <v>158</v>
      </c>
      <c r="E2945" t="s">
        <v>24</v>
      </c>
      <c r="F2945" t="s">
        <v>41</v>
      </c>
      <c r="G2945" t="s">
        <v>46</v>
      </c>
      <c r="H2945">
        <f>Cleaned_Data!K2945</f>
        <v>0</v>
      </c>
      <c r="I2945" t="str">
        <f t="shared" si="135"/>
        <v/>
      </c>
      <c r="J2945">
        <f>Cleaned_Data!J2945</f>
        <v>4</v>
      </c>
      <c r="K2945" t="str">
        <f t="shared" si="136"/>
        <v>2024-03</v>
      </c>
      <c r="L2945">
        <f t="shared" si="137"/>
        <v>0</v>
      </c>
    </row>
    <row r="2946" spans="1:12">
      <c r="A2946" t="s">
        <v>8552</v>
      </c>
      <c r="B2946" t="s">
        <v>8553</v>
      </c>
      <c r="C2946" t="s">
        <v>8554</v>
      </c>
      <c r="D2946" t="s">
        <v>23</v>
      </c>
      <c r="E2946" t="s">
        <v>59</v>
      </c>
      <c r="F2946" t="s">
        <v>60</v>
      </c>
      <c r="G2946" t="s">
        <v>19</v>
      </c>
      <c r="H2946">
        <f>Cleaned_Data!K2946</f>
        <v>3.6</v>
      </c>
      <c r="I2946" t="str">
        <f t="shared" ref="I2946:I3009" si="138">IF(OR(G2946="Resolved", G2946="Closed"), IF(AND(H2946&lt;&gt;"", H2946&lt;=J2946), "YES", "NO"), "")</f>
        <v>YES</v>
      </c>
      <c r="J2946">
        <f>Cleaned_Data!J2946</f>
        <v>24</v>
      </c>
      <c r="K2946" t="str">
        <f t="shared" ref="K2946:K3009" si="139">LEFT(B2946, 7)</f>
        <v>2024-02</v>
      </c>
      <c r="L2946">
        <f t="shared" ref="L2946:L3009" si="140">IF(I2946="NO", H2946-J2946, 0)</f>
        <v>0</v>
      </c>
    </row>
    <row r="2947" spans="1:12">
      <c r="A2947" t="s">
        <v>8555</v>
      </c>
      <c r="B2947" t="s">
        <v>8556</v>
      </c>
      <c r="C2947" t="s">
        <v>8557</v>
      </c>
      <c r="D2947" t="s">
        <v>158</v>
      </c>
      <c r="E2947" t="s">
        <v>16</v>
      </c>
      <c r="F2947" t="s">
        <v>36</v>
      </c>
      <c r="G2947" t="s">
        <v>19</v>
      </c>
      <c r="H2947">
        <f>Cleaned_Data!K2947</f>
        <v>10.3</v>
      </c>
      <c r="I2947" t="str">
        <f t="shared" si="138"/>
        <v>NO</v>
      </c>
      <c r="J2947">
        <f>Cleaned_Data!J2947</f>
        <v>4</v>
      </c>
      <c r="K2947" t="str">
        <f t="shared" si="139"/>
        <v>2024-07</v>
      </c>
      <c r="L2947">
        <f t="shared" si="140"/>
        <v>6.3000000000000007</v>
      </c>
    </row>
    <row r="2948" spans="1:12">
      <c r="A2948" t="s">
        <v>8558</v>
      </c>
      <c r="B2948" t="s">
        <v>8559</v>
      </c>
      <c r="C2948" t="s">
        <v>8560</v>
      </c>
      <c r="D2948" t="s">
        <v>15</v>
      </c>
      <c r="E2948" t="s">
        <v>16</v>
      </c>
      <c r="F2948" t="s">
        <v>36</v>
      </c>
      <c r="G2948" t="s">
        <v>19</v>
      </c>
      <c r="H2948">
        <f>Cleaned_Data!K2948</f>
        <v>6.7</v>
      </c>
      <c r="I2948" t="str">
        <f t="shared" si="138"/>
        <v>YES</v>
      </c>
      <c r="J2948">
        <f>Cleaned_Data!J2948</f>
        <v>8</v>
      </c>
      <c r="K2948" t="str">
        <f t="shared" si="139"/>
        <v>2024-09</v>
      </c>
      <c r="L2948">
        <f t="shared" si="140"/>
        <v>0</v>
      </c>
    </row>
    <row r="2949" spans="1:12">
      <c r="A2949" t="s">
        <v>8561</v>
      </c>
      <c r="B2949" t="s">
        <v>8562</v>
      </c>
      <c r="C2949" t="s">
        <v>8563</v>
      </c>
      <c r="D2949" t="s">
        <v>23</v>
      </c>
      <c r="E2949" t="s">
        <v>16</v>
      </c>
      <c r="F2949" t="s">
        <v>36</v>
      </c>
      <c r="G2949" t="s">
        <v>19</v>
      </c>
      <c r="H2949">
        <f>Cleaned_Data!K2949</f>
        <v>13.29</v>
      </c>
      <c r="I2949" t="str">
        <f t="shared" si="138"/>
        <v>YES</v>
      </c>
      <c r="J2949">
        <f>Cleaned_Data!J2949</f>
        <v>24</v>
      </c>
      <c r="K2949" t="str">
        <f t="shared" si="139"/>
        <v>2024-12</v>
      </c>
      <c r="L2949">
        <f t="shared" si="140"/>
        <v>0</v>
      </c>
    </row>
    <row r="2950" spans="1:12">
      <c r="A2950" t="s">
        <v>8564</v>
      </c>
      <c r="B2950" t="s">
        <v>8565</v>
      </c>
      <c r="C2950" t="s">
        <v>8566</v>
      </c>
      <c r="D2950" t="s">
        <v>15</v>
      </c>
      <c r="E2950" t="s">
        <v>59</v>
      </c>
      <c r="F2950" t="s">
        <v>36</v>
      </c>
      <c r="G2950" t="s">
        <v>19</v>
      </c>
      <c r="H2950">
        <f>Cleaned_Data!K2950</f>
        <v>6.57</v>
      </c>
      <c r="I2950" t="str">
        <f t="shared" si="138"/>
        <v>YES</v>
      </c>
      <c r="J2950">
        <f>Cleaned_Data!J2950</f>
        <v>8</v>
      </c>
      <c r="K2950" t="str">
        <f t="shared" si="139"/>
        <v>2024-04</v>
      </c>
      <c r="L2950">
        <f t="shared" si="140"/>
        <v>0</v>
      </c>
    </row>
    <row r="2951" spans="1:12">
      <c r="A2951" t="s">
        <v>8567</v>
      </c>
      <c r="B2951" t="s">
        <v>8568</v>
      </c>
      <c r="C2951" t="s">
        <v>8569</v>
      </c>
      <c r="D2951" t="s">
        <v>15</v>
      </c>
      <c r="E2951" t="s">
        <v>28</v>
      </c>
      <c r="F2951" t="s">
        <v>60</v>
      </c>
      <c r="G2951" t="s">
        <v>19</v>
      </c>
      <c r="H2951">
        <f>Cleaned_Data!K2951</f>
        <v>1.34</v>
      </c>
      <c r="I2951" t="str">
        <f t="shared" si="138"/>
        <v>YES</v>
      </c>
      <c r="J2951">
        <f>Cleaned_Data!J2951</f>
        <v>8</v>
      </c>
      <c r="K2951" t="str">
        <f t="shared" si="139"/>
        <v>2024-05</v>
      </c>
      <c r="L2951">
        <f t="shared" si="140"/>
        <v>0</v>
      </c>
    </row>
    <row r="2952" spans="1:12">
      <c r="A2952" t="s">
        <v>8570</v>
      </c>
      <c r="B2952" t="s">
        <v>8571</v>
      </c>
      <c r="C2952" t="s">
        <v>8572</v>
      </c>
      <c r="D2952" t="s">
        <v>15</v>
      </c>
      <c r="E2952" t="s">
        <v>59</v>
      </c>
      <c r="F2952" t="s">
        <v>41</v>
      </c>
      <c r="G2952" t="s">
        <v>31</v>
      </c>
      <c r="H2952">
        <f>Cleaned_Data!K2952</f>
        <v>11.04</v>
      </c>
      <c r="I2952" t="str">
        <f t="shared" si="138"/>
        <v>NO</v>
      </c>
      <c r="J2952">
        <f>Cleaned_Data!J2952</f>
        <v>8</v>
      </c>
      <c r="K2952" t="str">
        <f t="shared" si="139"/>
        <v>2024-07</v>
      </c>
      <c r="L2952">
        <f t="shared" si="140"/>
        <v>3.0399999999999991</v>
      </c>
    </row>
    <row r="2953" spans="1:12">
      <c r="A2953" t="s">
        <v>8573</v>
      </c>
      <c r="B2953" t="s">
        <v>8574</v>
      </c>
      <c r="C2953" t="s">
        <v>8575</v>
      </c>
      <c r="D2953" t="s">
        <v>15</v>
      </c>
      <c r="E2953" t="s">
        <v>16</v>
      </c>
      <c r="F2953" t="s">
        <v>36</v>
      </c>
      <c r="G2953" t="s">
        <v>19</v>
      </c>
      <c r="H2953">
        <f>Cleaned_Data!K2953</f>
        <v>11.8</v>
      </c>
      <c r="I2953" t="str">
        <f t="shared" si="138"/>
        <v>NO</v>
      </c>
      <c r="J2953">
        <f>Cleaned_Data!J2953</f>
        <v>8</v>
      </c>
      <c r="K2953" t="str">
        <f t="shared" si="139"/>
        <v>2024-02</v>
      </c>
      <c r="L2953">
        <f t="shared" si="140"/>
        <v>3.8000000000000007</v>
      </c>
    </row>
    <row r="2954" spans="1:12">
      <c r="A2954" t="s">
        <v>8576</v>
      </c>
      <c r="B2954" t="s">
        <v>8577</v>
      </c>
      <c r="C2954" t="s">
        <v>8578</v>
      </c>
      <c r="D2954" t="s">
        <v>23</v>
      </c>
      <c r="E2954" t="s">
        <v>59</v>
      </c>
      <c r="F2954" t="s">
        <v>17</v>
      </c>
      <c r="G2954" t="s">
        <v>19</v>
      </c>
      <c r="H2954">
        <f>Cleaned_Data!K2954</f>
        <v>19.010000000000002</v>
      </c>
      <c r="I2954" t="str">
        <f t="shared" si="138"/>
        <v>YES</v>
      </c>
      <c r="J2954">
        <f>Cleaned_Data!J2954</f>
        <v>24</v>
      </c>
      <c r="K2954" t="str">
        <f t="shared" si="139"/>
        <v>2024-08</v>
      </c>
      <c r="L2954">
        <f t="shared" si="140"/>
        <v>0</v>
      </c>
    </row>
    <row r="2955" spans="1:12">
      <c r="A2955" t="s">
        <v>8579</v>
      </c>
      <c r="B2955" t="s">
        <v>8580</v>
      </c>
      <c r="C2955" t="s">
        <v>8581</v>
      </c>
      <c r="D2955" t="s">
        <v>15</v>
      </c>
      <c r="E2955" t="s">
        <v>54</v>
      </c>
      <c r="F2955" t="s">
        <v>29</v>
      </c>
      <c r="G2955" t="s">
        <v>19</v>
      </c>
      <c r="H2955">
        <f>Cleaned_Data!K2955</f>
        <v>2.72</v>
      </c>
      <c r="I2955" t="str">
        <f t="shared" si="138"/>
        <v>YES</v>
      </c>
      <c r="J2955">
        <f>Cleaned_Data!J2955</f>
        <v>8</v>
      </c>
      <c r="K2955" t="str">
        <f t="shared" si="139"/>
        <v>2024-05</v>
      </c>
      <c r="L2955">
        <f t="shared" si="140"/>
        <v>0</v>
      </c>
    </row>
    <row r="2956" spans="1:12">
      <c r="A2956" t="s">
        <v>8582</v>
      </c>
      <c r="B2956" t="s">
        <v>8583</v>
      </c>
      <c r="D2956" t="s">
        <v>35</v>
      </c>
      <c r="E2956" t="s">
        <v>28</v>
      </c>
      <c r="F2956" t="s">
        <v>60</v>
      </c>
      <c r="G2956" t="s">
        <v>63</v>
      </c>
      <c r="H2956">
        <f>Cleaned_Data!K2956</f>
        <v>0</v>
      </c>
      <c r="I2956" t="str">
        <f t="shared" si="138"/>
        <v/>
      </c>
      <c r="J2956">
        <f>Cleaned_Data!J2956</f>
        <v>48</v>
      </c>
      <c r="K2956" t="str">
        <f t="shared" si="139"/>
        <v>2024-01</v>
      </c>
      <c r="L2956">
        <f t="shared" si="140"/>
        <v>0</v>
      </c>
    </row>
    <row r="2957" spans="1:12">
      <c r="A2957" t="s">
        <v>8584</v>
      </c>
      <c r="B2957" t="s">
        <v>8585</v>
      </c>
      <c r="C2957" t="s">
        <v>8586</v>
      </c>
      <c r="D2957" t="s">
        <v>23</v>
      </c>
      <c r="E2957" t="s">
        <v>28</v>
      </c>
      <c r="F2957" t="s">
        <v>60</v>
      </c>
      <c r="G2957" t="s">
        <v>19</v>
      </c>
      <c r="H2957">
        <f>Cleaned_Data!K2957</f>
        <v>9.93</v>
      </c>
      <c r="I2957" t="str">
        <f t="shared" si="138"/>
        <v>YES</v>
      </c>
      <c r="J2957">
        <f>Cleaned_Data!J2957</f>
        <v>24</v>
      </c>
      <c r="K2957" t="str">
        <f t="shared" si="139"/>
        <v>2024-06</v>
      </c>
      <c r="L2957">
        <f t="shared" si="140"/>
        <v>0</v>
      </c>
    </row>
    <row r="2958" spans="1:12">
      <c r="A2958" t="s">
        <v>8587</v>
      </c>
      <c r="B2958" t="s">
        <v>8588</v>
      </c>
      <c r="D2958" t="s">
        <v>23</v>
      </c>
      <c r="E2958" t="s">
        <v>28</v>
      </c>
      <c r="F2958" t="s">
        <v>41</v>
      </c>
      <c r="G2958" t="s">
        <v>63</v>
      </c>
      <c r="H2958">
        <f>Cleaned_Data!K2958</f>
        <v>0</v>
      </c>
      <c r="I2958" t="str">
        <f t="shared" si="138"/>
        <v/>
      </c>
      <c r="J2958">
        <f>Cleaned_Data!J2958</f>
        <v>24</v>
      </c>
      <c r="K2958" t="str">
        <f t="shared" si="139"/>
        <v>2024-09</v>
      </c>
      <c r="L2958">
        <f t="shared" si="140"/>
        <v>0</v>
      </c>
    </row>
    <row r="2959" spans="1:12">
      <c r="A2959" t="s">
        <v>8589</v>
      </c>
      <c r="B2959" t="s">
        <v>8590</v>
      </c>
      <c r="C2959" t="s">
        <v>8591</v>
      </c>
      <c r="D2959" t="s">
        <v>23</v>
      </c>
      <c r="E2959" t="s">
        <v>28</v>
      </c>
      <c r="F2959" t="s">
        <v>60</v>
      </c>
      <c r="G2959" t="s">
        <v>31</v>
      </c>
      <c r="H2959">
        <f>Cleaned_Data!K2959</f>
        <v>33.82</v>
      </c>
      <c r="I2959" t="str">
        <f t="shared" si="138"/>
        <v>NO</v>
      </c>
      <c r="J2959">
        <f>Cleaned_Data!J2959</f>
        <v>24</v>
      </c>
      <c r="K2959" t="str">
        <f t="shared" si="139"/>
        <v>2024-12</v>
      </c>
      <c r="L2959">
        <f t="shared" si="140"/>
        <v>9.82</v>
      </c>
    </row>
    <row r="2960" spans="1:12">
      <c r="A2960" t="s">
        <v>8592</v>
      </c>
      <c r="B2960" t="s">
        <v>8593</v>
      </c>
      <c r="C2960" t="s">
        <v>8594</v>
      </c>
      <c r="D2960" t="s">
        <v>23</v>
      </c>
      <c r="E2960" t="s">
        <v>28</v>
      </c>
      <c r="F2960" t="s">
        <v>17</v>
      </c>
      <c r="G2960" t="s">
        <v>19</v>
      </c>
      <c r="H2960">
        <f>Cleaned_Data!K2960</f>
        <v>7.68</v>
      </c>
      <c r="I2960" t="str">
        <f t="shared" si="138"/>
        <v>YES</v>
      </c>
      <c r="J2960">
        <f>Cleaned_Data!J2960</f>
        <v>24</v>
      </c>
      <c r="K2960" t="str">
        <f t="shared" si="139"/>
        <v>2024-02</v>
      </c>
      <c r="L2960">
        <f t="shared" si="140"/>
        <v>0</v>
      </c>
    </row>
    <row r="2961" spans="1:12">
      <c r="A2961" t="s">
        <v>8595</v>
      </c>
      <c r="B2961" t="s">
        <v>8596</v>
      </c>
      <c r="D2961" t="s">
        <v>158</v>
      </c>
      <c r="E2961" t="s">
        <v>24</v>
      </c>
      <c r="F2961" t="s">
        <v>29</v>
      </c>
      <c r="G2961" t="s">
        <v>63</v>
      </c>
      <c r="H2961">
        <f>Cleaned_Data!K2961</f>
        <v>0</v>
      </c>
      <c r="I2961" t="str">
        <f t="shared" si="138"/>
        <v/>
      </c>
      <c r="J2961">
        <f>Cleaned_Data!J2961</f>
        <v>4</v>
      </c>
      <c r="K2961" t="str">
        <f t="shared" si="139"/>
        <v>2024-07</v>
      </c>
      <c r="L2961">
        <f t="shared" si="140"/>
        <v>0</v>
      </c>
    </row>
    <row r="2962" spans="1:12">
      <c r="A2962" t="s">
        <v>8597</v>
      </c>
      <c r="B2962" t="s">
        <v>8598</v>
      </c>
      <c r="C2962" t="s">
        <v>8599</v>
      </c>
      <c r="D2962" t="s">
        <v>35</v>
      </c>
      <c r="E2962" t="s">
        <v>24</v>
      </c>
      <c r="F2962" t="s">
        <v>41</v>
      </c>
      <c r="G2962" t="s">
        <v>31</v>
      </c>
      <c r="H2962">
        <f>Cleaned_Data!K2962</f>
        <v>131</v>
      </c>
      <c r="I2962" t="str">
        <f t="shared" si="138"/>
        <v>NO</v>
      </c>
      <c r="J2962">
        <f>Cleaned_Data!J2962</f>
        <v>48</v>
      </c>
      <c r="K2962" t="str">
        <f t="shared" si="139"/>
        <v>2024-02</v>
      </c>
      <c r="L2962">
        <f t="shared" si="140"/>
        <v>83</v>
      </c>
    </row>
    <row r="2963" spans="1:12">
      <c r="A2963" t="s">
        <v>8600</v>
      </c>
      <c r="B2963" t="s">
        <v>8601</v>
      </c>
      <c r="C2963" t="s">
        <v>8602</v>
      </c>
      <c r="D2963" t="s">
        <v>23</v>
      </c>
      <c r="E2963" t="s">
        <v>28</v>
      </c>
      <c r="F2963" t="s">
        <v>36</v>
      </c>
      <c r="G2963" t="s">
        <v>19</v>
      </c>
      <c r="H2963">
        <f>Cleaned_Data!K2963</f>
        <v>18.98</v>
      </c>
      <c r="I2963" t="str">
        <f t="shared" si="138"/>
        <v>YES</v>
      </c>
      <c r="J2963">
        <f>Cleaned_Data!J2963</f>
        <v>24</v>
      </c>
      <c r="K2963" t="str">
        <f t="shared" si="139"/>
        <v>2024-11</v>
      </c>
      <c r="L2963">
        <f t="shared" si="140"/>
        <v>0</v>
      </c>
    </row>
    <row r="2964" spans="1:12">
      <c r="A2964" t="s">
        <v>8603</v>
      </c>
      <c r="B2964" t="s">
        <v>8604</v>
      </c>
      <c r="C2964" t="s">
        <v>8605</v>
      </c>
      <c r="D2964" t="s">
        <v>158</v>
      </c>
      <c r="E2964" t="s">
        <v>59</v>
      </c>
      <c r="F2964" t="s">
        <v>36</v>
      </c>
      <c r="G2964" t="s">
        <v>19</v>
      </c>
      <c r="H2964">
        <f>Cleaned_Data!K2964</f>
        <v>2</v>
      </c>
      <c r="I2964" t="str">
        <f t="shared" si="138"/>
        <v>YES</v>
      </c>
      <c r="J2964">
        <f>Cleaned_Data!J2964</f>
        <v>4</v>
      </c>
      <c r="K2964" t="str">
        <f t="shared" si="139"/>
        <v>2024-08</v>
      </c>
      <c r="L2964">
        <f t="shared" si="140"/>
        <v>0</v>
      </c>
    </row>
    <row r="2965" spans="1:12">
      <c r="A2965" t="s">
        <v>8606</v>
      </c>
      <c r="B2965" t="s">
        <v>8607</v>
      </c>
      <c r="C2965" t="s">
        <v>8608</v>
      </c>
      <c r="D2965" t="s">
        <v>23</v>
      </c>
      <c r="E2965" t="s">
        <v>24</v>
      </c>
      <c r="F2965" t="s">
        <v>17</v>
      </c>
      <c r="G2965" t="s">
        <v>19</v>
      </c>
      <c r="H2965">
        <f>Cleaned_Data!K2965</f>
        <v>6.09</v>
      </c>
      <c r="I2965" t="str">
        <f t="shared" si="138"/>
        <v>YES</v>
      </c>
      <c r="J2965">
        <f>Cleaned_Data!J2965</f>
        <v>24</v>
      </c>
      <c r="K2965" t="str">
        <f t="shared" si="139"/>
        <v>2024-07</v>
      </c>
      <c r="L2965">
        <f t="shared" si="140"/>
        <v>0</v>
      </c>
    </row>
    <row r="2966" spans="1:12">
      <c r="A2966" t="s">
        <v>8609</v>
      </c>
      <c r="B2966" t="s">
        <v>8610</v>
      </c>
      <c r="C2966" t="s">
        <v>8611</v>
      </c>
      <c r="D2966" t="s">
        <v>158</v>
      </c>
      <c r="E2966" t="s">
        <v>28</v>
      </c>
      <c r="F2966" t="s">
        <v>29</v>
      </c>
      <c r="G2966" t="s">
        <v>19</v>
      </c>
      <c r="H2966">
        <f>Cleaned_Data!K2966</f>
        <v>2.46</v>
      </c>
      <c r="I2966" t="str">
        <f t="shared" si="138"/>
        <v>YES</v>
      </c>
      <c r="J2966">
        <f>Cleaned_Data!J2966</f>
        <v>4</v>
      </c>
      <c r="K2966" t="str">
        <f t="shared" si="139"/>
        <v>2024-04</v>
      </c>
      <c r="L2966">
        <f t="shared" si="140"/>
        <v>0</v>
      </c>
    </row>
    <row r="2967" spans="1:12">
      <c r="A2967" t="s">
        <v>8612</v>
      </c>
      <c r="B2967" t="s">
        <v>8613</v>
      </c>
      <c r="C2967" t="s">
        <v>8614</v>
      </c>
      <c r="D2967" t="s">
        <v>158</v>
      </c>
      <c r="E2967" t="s">
        <v>24</v>
      </c>
      <c r="F2967" t="s">
        <v>60</v>
      </c>
      <c r="G2967" t="s">
        <v>19</v>
      </c>
      <c r="H2967">
        <f>Cleaned_Data!K2967</f>
        <v>1.18</v>
      </c>
      <c r="I2967" t="str">
        <f t="shared" si="138"/>
        <v>YES</v>
      </c>
      <c r="J2967">
        <f>Cleaned_Data!J2967</f>
        <v>4</v>
      </c>
      <c r="K2967" t="str">
        <f t="shared" si="139"/>
        <v>2024-01</v>
      </c>
      <c r="L2967">
        <f t="shared" si="140"/>
        <v>0</v>
      </c>
    </row>
    <row r="2968" spans="1:12">
      <c r="A2968" t="s">
        <v>8615</v>
      </c>
      <c r="B2968" t="s">
        <v>8616</v>
      </c>
      <c r="C2968" t="s">
        <v>8617</v>
      </c>
      <c r="D2968" t="s">
        <v>23</v>
      </c>
      <c r="E2968" t="s">
        <v>59</v>
      </c>
      <c r="F2968" t="s">
        <v>29</v>
      </c>
      <c r="G2968" t="s">
        <v>19</v>
      </c>
      <c r="H2968">
        <f>Cleaned_Data!K2968</f>
        <v>61.44</v>
      </c>
      <c r="I2968" t="str">
        <f t="shared" si="138"/>
        <v>NO</v>
      </c>
      <c r="J2968">
        <f>Cleaned_Data!J2968</f>
        <v>24</v>
      </c>
      <c r="K2968" t="str">
        <f t="shared" si="139"/>
        <v>2024-02</v>
      </c>
      <c r="L2968">
        <f t="shared" si="140"/>
        <v>37.44</v>
      </c>
    </row>
    <row r="2969" spans="1:12">
      <c r="A2969" t="s">
        <v>8618</v>
      </c>
      <c r="B2969" t="s">
        <v>8619</v>
      </c>
      <c r="C2969" t="s">
        <v>8620</v>
      </c>
      <c r="D2969" t="s">
        <v>35</v>
      </c>
      <c r="E2969" t="s">
        <v>59</v>
      </c>
      <c r="F2969" t="s">
        <v>17</v>
      </c>
      <c r="G2969" t="s">
        <v>19</v>
      </c>
      <c r="H2969">
        <f>Cleaned_Data!K2969</f>
        <v>38.49</v>
      </c>
      <c r="I2969" t="str">
        <f t="shared" si="138"/>
        <v>YES</v>
      </c>
      <c r="J2969">
        <f>Cleaned_Data!J2969</f>
        <v>48</v>
      </c>
      <c r="K2969" t="str">
        <f t="shared" si="139"/>
        <v>2024-10</v>
      </c>
      <c r="L2969">
        <f t="shared" si="140"/>
        <v>0</v>
      </c>
    </row>
    <row r="2970" spans="1:12">
      <c r="A2970" t="s">
        <v>8621</v>
      </c>
      <c r="B2970" t="s">
        <v>8622</v>
      </c>
      <c r="C2970" t="s">
        <v>8623</v>
      </c>
      <c r="D2970" t="s">
        <v>15</v>
      </c>
      <c r="E2970" t="s">
        <v>54</v>
      </c>
      <c r="F2970" t="s">
        <v>29</v>
      </c>
      <c r="G2970" t="s">
        <v>31</v>
      </c>
      <c r="H2970">
        <f>Cleaned_Data!K2970</f>
        <v>5.96</v>
      </c>
      <c r="I2970" t="str">
        <f t="shared" si="138"/>
        <v>YES</v>
      </c>
      <c r="J2970">
        <f>Cleaned_Data!J2970</f>
        <v>8</v>
      </c>
      <c r="K2970" t="str">
        <f t="shared" si="139"/>
        <v>2024-06</v>
      </c>
      <c r="L2970">
        <f t="shared" si="140"/>
        <v>0</v>
      </c>
    </row>
    <row r="2971" spans="1:12">
      <c r="A2971" t="s">
        <v>8624</v>
      </c>
      <c r="B2971" t="s">
        <v>8625</v>
      </c>
      <c r="C2971" t="s">
        <v>8626</v>
      </c>
      <c r="D2971" t="s">
        <v>15</v>
      </c>
      <c r="E2971" t="s">
        <v>28</v>
      </c>
      <c r="F2971" t="s">
        <v>36</v>
      </c>
      <c r="G2971" t="s">
        <v>31</v>
      </c>
      <c r="H2971">
        <f>Cleaned_Data!K2971</f>
        <v>2.76</v>
      </c>
      <c r="I2971" t="str">
        <f t="shared" si="138"/>
        <v>YES</v>
      </c>
      <c r="J2971">
        <f>Cleaned_Data!J2971</f>
        <v>8</v>
      </c>
      <c r="K2971" t="str">
        <f t="shared" si="139"/>
        <v>2024-01</v>
      </c>
      <c r="L2971">
        <f t="shared" si="140"/>
        <v>0</v>
      </c>
    </row>
    <row r="2972" spans="1:12">
      <c r="A2972" t="s">
        <v>8627</v>
      </c>
      <c r="B2972" t="s">
        <v>8628</v>
      </c>
      <c r="C2972" t="s">
        <v>8629</v>
      </c>
      <c r="D2972" t="s">
        <v>15</v>
      </c>
      <c r="E2972" t="s">
        <v>24</v>
      </c>
      <c r="F2972" t="s">
        <v>29</v>
      </c>
      <c r="G2972" t="s">
        <v>31</v>
      </c>
      <c r="H2972">
        <f>Cleaned_Data!K2972</f>
        <v>6.96</v>
      </c>
      <c r="I2972" t="str">
        <f t="shared" si="138"/>
        <v>YES</v>
      </c>
      <c r="J2972">
        <f>Cleaned_Data!J2972</f>
        <v>8</v>
      </c>
      <c r="K2972" t="str">
        <f t="shared" si="139"/>
        <v>2024-05</v>
      </c>
      <c r="L2972">
        <f t="shared" si="140"/>
        <v>0</v>
      </c>
    </row>
    <row r="2973" spans="1:12">
      <c r="A2973" t="s">
        <v>8630</v>
      </c>
      <c r="B2973" t="s">
        <v>8631</v>
      </c>
      <c r="C2973" t="s">
        <v>8632</v>
      </c>
      <c r="D2973" t="s">
        <v>15</v>
      </c>
      <c r="E2973" t="s">
        <v>54</v>
      </c>
      <c r="F2973" t="s">
        <v>41</v>
      </c>
      <c r="G2973" t="s">
        <v>31</v>
      </c>
      <c r="H2973">
        <f>Cleaned_Data!K2973</f>
        <v>4.54</v>
      </c>
      <c r="I2973" t="str">
        <f t="shared" si="138"/>
        <v>YES</v>
      </c>
      <c r="J2973">
        <f>Cleaned_Data!J2973</f>
        <v>8</v>
      </c>
      <c r="K2973" t="str">
        <f t="shared" si="139"/>
        <v>2024-04</v>
      </c>
      <c r="L2973">
        <f t="shared" si="140"/>
        <v>0</v>
      </c>
    </row>
    <row r="2974" spans="1:12">
      <c r="A2974" t="s">
        <v>8633</v>
      </c>
      <c r="B2974" t="s">
        <v>8634</v>
      </c>
      <c r="C2974" t="s">
        <v>8635</v>
      </c>
      <c r="D2974" t="s">
        <v>23</v>
      </c>
      <c r="E2974" t="s">
        <v>54</v>
      </c>
      <c r="F2974" t="s">
        <v>60</v>
      </c>
      <c r="G2974" t="s">
        <v>19</v>
      </c>
      <c r="H2974">
        <f>Cleaned_Data!K2974</f>
        <v>9.42</v>
      </c>
      <c r="I2974" t="str">
        <f t="shared" si="138"/>
        <v>YES</v>
      </c>
      <c r="J2974">
        <f>Cleaned_Data!J2974</f>
        <v>24</v>
      </c>
      <c r="K2974" t="str">
        <f t="shared" si="139"/>
        <v>2024-09</v>
      </c>
      <c r="L2974">
        <f t="shared" si="140"/>
        <v>0</v>
      </c>
    </row>
    <row r="2975" spans="1:12">
      <c r="A2975" t="s">
        <v>8636</v>
      </c>
      <c r="B2975" t="s">
        <v>8637</v>
      </c>
      <c r="C2975" t="s">
        <v>8638</v>
      </c>
      <c r="D2975" t="s">
        <v>23</v>
      </c>
      <c r="E2975" t="s">
        <v>59</v>
      </c>
      <c r="F2975" t="s">
        <v>17</v>
      </c>
      <c r="G2975" t="s">
        <v>31</v>
      </c>
      <c r="H2975">
        <f>Cleaned_Data!K2975</f>
        <v>16.02</v>
      </c>
      <c r="I2975" t="str">
        <f t="shared" si="138"/>
        <v>YES</v>
      </c>
      <c r="J2975">
        <f>Cleaned_Data!J2975</f>
        <v>24</v>
      </c>
      <c r="K2975" t="str">
        <f t="shared" si="139"/>
        <v>2024-08</v>
      </c>
      <c r="L2975">
        <f t="shared" si="140"/>
        <v>0</v>
      </c>
    </row>
    <row r="2976" spans="1:12">
      <c r="A2976" t="s">
        <v>8639</v>
      </c>
      <c r="B2976" t="s">
        <v>8640</v>
      </c>
      <c r="D2976" t="s">
        <v>23</v>
      </c>
      <c r="E2976" t="s">
        <v>28</v>
      </c>
      <c r="F2976" t="s">
        <v>41</v>
      </c>
      <c r="G2976" t="s">
        <v>63</v>
      </c>
      <c r="H2976">
        <f>Cleaned_Data!K2976</f>
        <v>0</v>
      </c>
      <c r="I2976" t="str">
        <f t="shared" si="138"/>
        <v/>
      </c>
      <c r="J2976">
        <f>Cleaned_Data!J2976</f>
        <v>24</v>
      </c>
      <c r="K2976" t="str">
        <f t="shared" si="139"/>
        <v>2024-11</v>
      </c>
      <c r="L2976">
        <f t="shared" si="140"/>
        <v>0</v>
      </c>
    </row>
    <row r="2977" spans="1:12">
      <c r="A2977" t="s">
        <v>8641</v>
      </c>
      <c r="B2977" t="s">
        <v>8642</v>
      </c>
      <c r="C2977" t="s">
        <v>8643</v>
      </c>
      <c r="D2977" t="s">
        <v>15</v>
      </c>
      <c r="E2977" t="s">
        <v>16</v>
      </c>
      <c r="F2977" t="s">
        <v>60</v>
      </c>
      <c r="G2977" t="s">
        <v>19</v>
      </c>
      <c r="H2977">
        <f>Cleaned_Data!K2977</f>
        <v>4.5599999999999996</v>
      </c>
      <c r="I2977" t="str">
        <f t="shared" si="138"/>
        <v>YES</v>
      </c>
      <c r="J2977">
        <f>Cleaned_Data!J2977</f>
        <v>8</v>
      </c>
      <c r="K2977" t="str">
        <f t="shared" si="139"/>
        <v>2024-12</v>
      </c>
      <c r="L2977">
        <f t="shared" si="140"/>
        <v>0</v>
      </c>
    </row>
    <row r="2978" spans="1:12">
      <c r="A2978" t="s">
        <v>8644</v>
      </c>
      <c r="B2978" t="s">
        <v>8645</v>
      </c>
      <c r="C2978" t="s">
        <v>8646</v>
      </c>
      <c r="D2978" t="s">
        <v>23</v>
      </c>
      <c r="E2978" t="s">
        <v>28</v>
      </c>
      <c r="F2978" t="s">
        <v>60</v>
      </c>
      <c r="G2978" t="s">
        <v>31</v>
      </c>
      <c r="H2978">
        <f>Cleaned_Data!K2978</f>
        <v>17.899999999999999</v>
      </c>
      <c r="I2978" t="str">
        <f t="shared" si="138"/>
        <v>YES</v>
      </c>
      <c r="J2978">
        <f>Cleaned_Data!J2978</f>
        <v>24</v>
      </c>
      <c r="K2978" t="str">
        <f t="shared" si="139"/>
        <v>2024-12</v>
      </c>
      <c r="L2978">
        <f t="shared" si="140"/>
        <v>0</v>
      </c>
    </row>
    <row r="2979" spans="1:12">
      <c r="A2979" t="s">
        <v>8647</v>
      </c>
      <c r="B2979" t="s">
        <v>8648</v>
      </c>
      <c r="C2979" t="s">
        <v>8649</v>
      </c>
      <c r="D2979" t="s">
        <v>23</v>
      </c>
      <c r="E2979" t="s">
        <v>16</v>
      </c>
      <c r="F2979" t="s">
        <v>60</v>
      </c>
      <c r="G2979" t="s">
        <v>31</v>
      </c>
      <c r="H2979">
        <f>Cleaned_Data!K2979</f>
        <v>8.48</v>
      </c>
      <c r="I2979" t="str">
        <f t="shared" si="138"/>
        <v>YES</v>
      </c>
      <c r="J2979">
        <f>Cleaned_Data!J2979</f>
        <v>24</v>
      </c>
      <c r="K2979" t="str">
        <f t="shared" si="139"/>
        <v>2024-12</v>
      </c>
      <c r="L2979">
        <f t="shared" si="140"/>
        <v>0</v>
      </c>
    </row>
    <row r="2980" spans="1:12">
      <c r="A2980" t="s">
        <v>8650</v>
      </c>
      <c r="B2980" t="s">
        <v>8651</v>
      </c>
      <c r="C2980" t="s">
        <v>8652</v>
      </c>
      <c r="D2980" t="s">
        <v>23</v>
      </c>
      <c r="E2980" t="s">
        <v>28</v>
      </c>
      <c r="F2980" t="s">
        <v>36</v>
      </c>
      <c r="G2980" t="s">
        <v>19</v>
      </c>
      <c r="H2980">
        <f>Cleaned_Data!K2980</f>
        <v>9.16</v>
      </c>
      <c r="I2980" t="str">
        <f t="shared" si="138"/>
        <v>YES</v>
      </c>
      <c r="J2980">
        <f>Cleaned_Data!J2980</f>
        <v>24</v>
      </c>
      <c r="K2980" t="str">
        <f t="shared" si="139"/>
        <v>2024-07</v>
      </c>
      <c r="L2980">
        <f t="shared" si="140"/>
        <v>0</v>
      </c>
    </row>
    <row r="2981" spans="1:12">
      <c r="A2981" t="s">
        <v>8653</v>
      </c>
      <c r="B2981" t="s">
        <v>8654</v>
      </c>
      <c r="C2981" t="s">
        <v>8655</v>
      </c>
      <c r="D2981" t="s">
        <v>23</v>
      </c>
      <c r="E2981" t="s">
        <v>28</v>
      </c>
      <c r="F2981" t="s">
        <v>41</v>
      </c>
      <c r="G2981" t="s">
        <v>19</v>
      </c>
      <c r="H2981">
        <f>Cleaned_Data!K2981</f>
        <v>11.46</v>
      </c>
      <c r="I2981" t="str">
        <f t="shared" si="138"/>
        <v>YES</v>
      </c>
      <c r="J2981">
        <f>Cleaned_Data!J2981</f>
        <v>24</v>
      </c>
      <c r="K2981" t="str">
        <f t="shared" si="139"/>
        <v>2024-04</v>
      </c>
      <c r="L2981">
        <f t="shared" si="140"/>
        <v>0</v>
      </c>
    </row>
    <row r="2982" spans="1:12">
      <c r="A2982" t="s">
        <v>8656</v>
      </c>
      <c r="B2982" t="s">
        <v>8657</v>
      </c>
      <c r="C2982" t="s">
        <v>8658</v>
      </c>
      <c r="D2982" t="s">
        <v>23</v>
      </c>
      <c r="E2982" t="s">
        <v>54</v>
      </c>
      <c r="F2982" t="s">
        <v>29</v>
      </c>
      <c r="G2982" t="s">
        <v>31</v>
      </c>
      <c r="H2982">
        <f>Cleaned_Data!K2982</f>
        <v>9.6999999999999993</v>
      </c>
      <c r="I2982" t="str">
        <f t="shared" si="138"/>
        <v>YES</v>
      </c>
      <c r="J2982">
        <f>Cleaned_Data!J2982</f>
        <v>24</v>
      </c>
      <c r="K2982" t="str">
        <f t="shared" si="139"/>
        <v>2024-03</v>
      </c>
      <c r="L2982">
        <f t="shared" si="140"/>
        <v>0</v>
      </c>
    </row>
    <row r="2983" spans="1:12">
      <c r="A2983" t="s">
        <v>8659</v>
      </c>
      <c r="B2983" t="s">
        <v>8660</v>
      </c>
      <c r="C2983" t="s">
        <v>8661</v>
      </c>
      <c r="D2983" t="s">
        <v>15</v>
      </c>
      <c r="E2983" t="s">
        <v>28</v>
      </c>
      <c r="F2983" t="s">
        <v>41</v>
      </c>
      <c r="G2983" t="s">
        <v>31</v>
      </c>
      <c r="H2983">
        <f>Cleaned_Data!K2983</f>
        <v>6.57</v>
      </c>
      <c r="I2983" t="str">
        <f t="shared" si="138"/>
        <v>YES</v>
      </c>
      <c r="J2983">
        <f>Cleaned_Data!J2983</f>
        <v>8</v>
      </c>
      <c r="K2983" t="str">
        <f t="shared" si="139"/>
        <v>2024-07</v>
      </c>
      <c r="L2983">
        <f t="shared" si="140"/>
        <v>0</v>
      </c>
    </row>
    <row r="2984" spans="1:12">
      <c r="A2984" t="s">
        <v>8662</v>
      </c>
      <c r="B2984" t="s">
        <v>8663</v>
      </c>
      <c r="C2984" t="s">
        <v>8664</v>
      </c>
      <c r="D2984" t="s">
        <v>23</v>
      </c>
      <c r="E2984" t="s">
        <v>16</v>
      </c>
      <c r="F2984" t="s">
        <v>17</v>
      </c>
      <c r="G2984" t="s">
        <v>31</v>
      </c>
      <c r="H2984">
        <f>Cleaned_Data!K2984</f>
        <v>13.24</v>
      </c>
      <c r="I2984" t="str">
        <f t="shared" si="138"/>
        <v>YES</v>
      </c>
      <c r="J2984">
        <f>Cleaned_Data!J2984</f>
        <v>24</v>
      </c>
      <c r="K2984" t="str">
        <f t="shared" si="139"/>
        <v>2024-04</v>
      </c>
      <c r="L2984">
        <f t="shared" si="140"/>
        <v>0</v>
      </c>
    </row>
    <row r="2985" spans="1:12">
      <c r="A2985" t="s">
        <v>8665</v>
      </c>
      <c r="B2985" t="s">
        <v>8666</v>
      </c>
      <c r="C2985" t="s">
        <v>8667</v>
      </c>
      <c r="D2985" t="s">
        <v>23</v>
      </c>
      <c r="E2985" t="s">
        <v>59</v>
      </c>
      <c r="F2985" t="s">
        <v>17</v>
      </c>
      <c r="G2985" t="s">
        <v>19</v>
      </c>
      <c r="H2985">
        <f>Cleaned_Data!K2985</f>
        <v>3.05</v>
      </c>
      <c r="I2985" t="str">
        <f t="shared" si="138"/>
        <v>YES</v>
      </c>
      <c r="J2985">
        <f>Cleaned_Data!J2985</f>
        <v>24</v>
      </c>
      <c r="K2985" t="str">
        <f t="shared" si="139"/>
        <v>2024-04</v>
      </c>
      <c r="L2985">
        <f t="shared" si="140"/>
        <v>0</v>
      </c>
    </row>
    <row r="2986" spans="1:12">
      <c r="A2986" t="s">
        <v>8668</v>
      </c>
      <c r="B2986" t="s">
        <v>8669</v>
      </c>
      <c r="C2986" t="s">
        <v>8670</v>
      </c>
      <c r="D2986" t="s">
        <v>15</v>
      </c>
      <c r="E2986" t="s">
        <v>24</v>
      </c>
      <c r="F2986" t="s">
        <v>29</v>
      </c>
      <c r="G2986" t="s">
        <v>19</v>
      </c>
      <c r="H2986">
        <f>Cleaned_Data!K2986</f>
        <v>17.77</v>
      </c>
      <c r="I2986" t="str">
        <f t="shared" si="138"/>
        <v>NO</v>
      </c>
      <c r="J2986">
        <f>Cleaned_Data!J2986</f>
        <v>8</v>
      </c>
      <c r="K2986" t="str">
        <f t="shared" si="139"/>
        <v>2024-10</v>
      </c>
      <c r="L2986">
        <f t="shared" si="140"/>
        <v>9.77</v>
      </c>
    </row>
    <row r="2987" spans="1:12">
      <c r="A2987" t="s">
        <v>8671</v>
      </c>
      <c r="B2987" t="s">
        <v>8672</v>
      </c>
      <c r="C2987" t="s">
        <v>8673</v>
      </c>
      <c r="D2987" t="s">
        <v>15</v>
      </c>
      <c r="E2987" t="s">
        <v>28</v>
      </c>
      <c r="F2987" t="s">
        <v>60</v>
      </c>
      <c r="G2987" t="s">
        <v>19</v>
      </c>
      <c r="H2987">
        <f>Cleaned_Data!K2987</f>
        <v>17.18</v>
      </c>
      <c r="I2987" t="str">
        <f t="shared" si="138"/>
        <v>NO</v>
      </c>
      <c r="J2987">
        <f>Cleaned_Data!J2987</f>
        <v>8</v>
      </c>
      <c r="K2987" t="str">
        <f t="shared" si="139"/>
        <v>2024-05</v>
      </c>
      <c r="L2987">
        <f t="shared" si="140"/>
        <v>9.18</v>
      </c>
    </row>
    <row r="2988" spans="1:12">
      <c r="A2988" t="s">
        <v>8674</v>
      </c>
      <c r="B2988" t="s">
        <v>8675</v>
      </c>
      <c r="D2988" t="s">
        <v>15</v>
      </c>
      <c r="E2988" t="s">
        <v>28</v>
      </c>
      <c r="F2988" t="s">
        <v>36</v>
      </c>
      <c r="G2988" t="s">
        <v>46</v>
      </c>
      <c r="H2988">
        <f>Cleaned_Data!K2988</f>
        <v>0</v>
      </c>
      <c r="I2988" t="str">
        <f t="shared" si="138"/>
        <v/>
      </c>
      <c r="J2988">
        <f>Cleaned_Data!J2988</f>
        <v>8</v>
      </c>
      <c r="K2988" t="str">
        <f t="shared" si="139"/>
        <v>2024-03</v>
      </c>
      <c r="L2988">
        <f t="shared" si="140"/>
        <v>0</v>
      </c>
    </row>
    <row r="2989" spans="1:12">
      <c r="A2989" t="s">
        <v>8676</v>
      </c>
      <c r="B2989" t="s">
        <v>8677</v>
      </c>
      <c r="C2989" t="s">
        <v>8678</v>
      </c>
      <c r="D2989" t="s">
        <v>15</v>
      </c>
      <c r="E2989" t="s">
        <v>24</v>
      </c>
      <c r="F2989" t="s">
        <v>29</v>
      </c>
      <c r="G2989" t="s">
        <v>31</v>
      </c>
      <c r="H2989">
        <f>Cleaned_Data!K2989</f>
        <v>7.13</v>
      </c>
      <c r="I2989" t="str">
        <f t="shared" si="138"/>
        <v>YES</v>
      </c>
      <c r="J2989">
        <f>Cleaned_Data!J2989</f>
        <v>8</v>
      </c>
      <c r="K2989" t="str">
        <f t="shared" si="139"/>
        <v>2024-03</v>
      </c>
      <c r="L2989">
        <f t="shared" si="140"/>
        <v>0</v>
      </c>
    </row>
    <row r="2990" spans="1:12">
      <c r="A2990" t="s">
        <v>8679</v>
      </c>
      <c r="B2990" t="s">
        <v>8680</v>
      </c>
      <c r="C2990" t="s">
        <v>8681</v>
      </c>
      <c r="D2990" t="s">
        <v>23</v>
      </c>
      <c r="E2990" t="s">
        <v>59</v>
      </c>
      <c r="F2990" t="s">
        <v>17</v>
      </c>
      <c r="G2990" t="s">
        <v>19</v>
      </c>
      <c r="H2990">
        <f>Cleaned_Data!K2990</f>
        <v>2.81</v>
      </c>
      <c r="I2990" t="str">
        <f t="shared" si="138"/>
        <v>YES</v>
      </c>
      <c r="J2990">
        <f>Cleaned_Data!J2990</f>
        <v>24</v>
      </c>
      <c r="K2990" t="str">
        <f t="shared" si="139"/>
        <v>2024-05</v>
      </c>
      <c r="L2990">
        <f t="shared" si="140"/>
        <v>0</v>
      </c>
    </row>
    <row r="2991" spans="1:12">
      <c r="A2991" t="s">
        <v>8682</v>
      </c>
      <c r="B2991" t="s">
        <v>8683</v>
      </c>
      <c r="C2991" t="s">
        <v>8684</v>
      </c>
      <c r="D2991" t="s">
        <v>23</v>
      </c>
      <c r="E2991" t="s">
        <v>24</v>
      </c>
      <c r="F2991" t="s">
        <v>60</v>
      </c>
      <c r="G2991" t="s">
        <v>19</v>
      </c>
      <c r="H2991">
        <f>Cleaned_Data!K2991</f>
        <v>12.3</v>
      </c>
      <c r="I2991" t="str">
        <f t="shared" si="138"/>
        <v>YES</v>
      </c>
      <c r="J2991">
        <f>Cleaned_Data!J2991</f>
        <v>24</v>
      </c>
      <c r="K2991" t="str">
        <f t="shared" si="139"/>
        <v>2024-08</v>
      </c>
      <c r="L2991">
        <f t="shared" si="140"/>
        <v>0</v>
      </c>
    </row>
    <row r="2992" spans="1:12">
      <c r="A2992" t="s">
        <v>8685</v>
      </c>
      <c r="B2992" t="s">
        <v>8686</v>
      </c>
      <c r="C2992" t="s">
        <v>8687</v>
      </c>
      <c r="D2992" t="s">
        <v>15</v>
      </c>
      <c r="E2992" t="s">
        <v>24</v>
      </c>
      <c r="F2992" t="s">
        <v>29</v>
      </c>
      <c r="G2992" t="s">
        <v>19</v>
      </c>
      <c r="H2992">
        <f>Cleaned_Data!K2992</f>
        <v>6.03</v>
      </c>
      <c r="I2992" t="str">
        <f t="shared" si="138"/>
        <v>YES</v>
      </c>
      <c r="J2992">
        <f>Cleaned_Data!J2992</f>
        <v>8</v>
      </c>
      <c r="K2992" t="str">
        <f t="shared" si="139"/>
        <v>2024-08</v>
      </c>
      <c r="L2992">
        <f t="shared" si="140"/>
        <v>0</v>
      </c>
    </row>
    <row r="2993" spans="1:12">
      <c r="A2993" t="s">
        <v>8688</v>
      </c>
      <c r="B2993" t="s">
        <v>8689</v>
      </c>
      <c r="C2993" t="s">
        <v>8690</v>
      </c>
      <c r="D2993" t="s">
        <v>23</v>
      </c>
      <c r="E2993" t="s">
        <v>54</v>
      </c>
      <c r="F2993" t="s">
        <v>41</v>
      </c>
      <c r="G2993" t="s">
        <v>31</v>
      </c>
      <c r="H2993">
        <f>Cleaned_Data!K2993</f>
        <v>22.61</v>
      </c>
      <c r="I2993" t="str">
        <f t="shared" si="138"/>
        <v>YES</v>
      </c>
      <c r="J2993">
        <f>Cleaned_Data!J2993</f>
        <v>24</v>
      </c>
      <c r="K2993" t="str">
        <f t="shared" si="139"/>
        <v>2024-05</v>
      </c>
      <c r="L2993">
        <f t="shared" si="140"/>
        <v>0</v>
      </c>
    </row>
    <row r="2994" spans="1:12">
      <c r="A2994" t="s">
        <v>8691</v>
      </c>
      <c r="B2994" t="s">
        <v>8692</v>
      </c>
      <c r="C2994" t="s">
        <v>8693</v>
      </c>
      <c r="D2994" t="s">
        <v>35</v>
      </c>
      <c r="E2994" t="s">
        <v>16</v>
      </c>
      <c r="F2994" t="s">
        <v>36</v>
      </c>
      <c r="G2994" t="s">
        <v>19</v>
      </c>
      <c r="H2994">
        <f>Cleaned_Data!K2994</f>
        <v>11.2</v>
      </c>
      <c r="I2994" t="str">
        <f t="shared" si="138"/>
        <v>YES</v>
      </c>
      <c r="J2994">
        <f>Cleaned_Data!J2994</f>
        <v>48</v>
      </c>
      <c r="K2994" t="str">
        <f t="shared" si="139"/>
        <v>2024-03</v>
      </c>
      <c r="L2994">
        <f t="shared" si="140"/>
        <v>0</v>
      </c>
    </row>
    <row r="2995" spans="1:12">
      <c r="A2995" t="s">
        <v>8694</v>
      </c>
      <c r="B2995" t="s">
        <v>8695</v>
      </c>
      <c r="C2995" t="s">
        <v>8696</v>
      </c>
      <c r="D2995" t="s">
        <v>23</v>
      </c>
      <c r="E2995" t="s">
        <v>16</v>
      </c>
      <c r="F2995" t="s">
        <v>36</v>
      </c>
      <c r="G2995" t="s">
        <v>19</v>
      </c>
      <c r="H2995">
        <f>Cleaned_Data!K2995</f>
        <v>16.100000000000001</v>
      </c>
      <c r="I2995" t="str">
        <f t="shared" si="138"/>
        <v>YES</v>
      </c>
      <c r="J2995">
        <f>Cleaned_Data!J2995</f>
        <v>24</v>
      </c>
      <c r="K2995" t="str">
        <f t="shared" si="139"/>
        <v>2024-07</v>
      </c>
      <c r="L2995">
        <f t="shared" si="140"/>
        <v>0</v>
      </c>
    </row>
    <row r="2996" spans="1:12">
      <c r="A2996" t="s">
        <v>8697</v>
      </c>
      <c r="B2996" t="s">
        <v>8698</v>
      </c>
      <c r="C2996" t="s">
        <v>8699</v>
      </c>
      <c r="D2996" t="s">
        <v>15</v>
      </c>
      <c r="E2996" t="s">
        <v>28</v>
      </c>
      <c r="F2996" t="s">
        <v>29</v>
      </c>
      <c r="G2996" t="s">
        <v>19</v>
      </c>
      <c r="H2996">
        <f>Cleaned_Data!K2996</f>
        <v>1.38</v>
      </c>
      <c r="I2996" t="str">
        <f t="shared" si="138"/>
        <v>YES</v>
      </c>
      <c r="J2996">
        <f>Cleaned_Data!J2996</f>
        <v>8</v>
      </c>
      <c r="K2996" t="str">
        <f t="shared" si="139"/>
        <v>2024-08</v>
      </c>
      <c r="L2996">
        <f t="shared" si="140"/>
        <v>0</v>
      </c>
    </row>
    <row r="2997" spans="1:12">
      <c r="A2997" t="s">
        <v>8700</v>
      </c>
      <c r="B2997" t="s">
        <v>8701</v>
      </c>
      <c r="C2997" t="s">
        <v>8702</v>
      </c>
      <c r="D2997" t="s">
        <v>23</v>
      </c>
      <c r="E2997" t="s">
        <v>24</v>
      </c>
      <c r="F2997" t="s">
        <v>60</v>
      </c>
      <c r="G2997" t="s">
        <v>19</v>
      </c>
      <c r="H2997">
        <f>Cleaned_Data!K2997</f>
        <v>5.38</v>
      </c>
      <c r="I2997" t="str">
        <f t="shared" si="138"/>
        <v>YES</v>
      </c>
      <c r="J2997">
        <f>Cleaned_Data!J2997</f>
        <v>24</v>
      </c>
      <c r="K2997" t="str">
        <f t="shared" si="139"/>
        <v>2024-01</v>
      </c>
      <c r="L2997">
        <f t="shared" si="140"/>
        <v>0</v>
      </c>
    </row>
    <row r="2998" spans="1:12">
      <c r="A2998" t="s">
        <v>8703</v>
      </c>
      <c r="B2998" t="s">
        <v>8704</v>
      </c>
      <c r="C2998" t="s">
        <v>8705</v>
      </c>
      <c r="D2998" t="s">
        <v>23</v>
      </c>
      <c r="E2998" t="s">
        <v>54</v>
      </c>
      <c r="F2998" t="s">
        <v>41</v>
      </c>
      <c r="G2998" t="s">
        <v>19</v>
      </c>
      <c r="H2998">
        <f>Cleaned_Data!K2998</f>
        <v>22.18</v>
      </c>
      <c r="I2998" t="str">
        <f t="shared" si="138"/>
        <v>YES</v>
      </c>
      <c r="J2998">
        <f>Cleaned_Data!J2998</f>
        <v>24</v>
      </c>
      <c r="K2998" t="str">
        <f t="shared" si="139"/>
        <v>2024-05</v>
      </c>
      <c r="L2998">
        <f t="shared" si="140"/>
        <v>0</v>
      </c>
    </row>
    <row r="2999" spans="1:12">
      <c r="A2999" t="s">
        <v>8706</v>
      </c>
      <c r="B2999" t="s">
        <v>8707</v>
      </c>
      <c r="C2999" t="s">
        <v>8708</v>
      </c>
      <c r="D2999" t="s">
        <v>23</v>
      </c>
      <c r="E2999" t="s">
        <v>59</v>
      </c>
      <c r="F2999" t="s">
        <v>17</v>
      </c>
      <c r="G2999" t="s">
        <v>19</v>
      </c>
      <c r="H2999">
        <f>Cleaned_Data!K2999</f>
        <v>9.42</v>
      </c>
      <c r="I2999" t="str">
        <f t="shared" si="138"/>
        <v>YES</v>
      </c>
      <c r="J2999">
        <f>Cleaned_Data!J2999</f>
        <v>24</v>
      </c>
      <c r="K2999" t="str">
        <f t="shared" si="139"/>
        <v>2024-10</v>
      </c>
      <c r="L2999">
        <f t="shared" si="140"/>
        <v>0</v>
      </c>
    </row>
    <row r="3000" spans="1:12">
      <c r="A3000" t="s">
        <v>8709</v>
      </c>
      <c r="B3000" t="s">
        <v>8710</v>
      </c>
      <c r="C3000" t="s">
        <v>8711</v>
      </c>
      <c r="D3000" t="s">
        <v>15</v>
      </c>
      <c r="E3000" t="s">
        <v>28</v>
      </c>
      <c r="F3000" t="s">
        <v>41</v>
      </c>
      <c r="G3000" t="s">
        <v>31</v>
      </c>
      <c r="H3000">
        <f>Cleaned_Data!K3000</f>
        <v>6.12</v>
      </c>
      <c r="I3000" t="str">
        <f t="shared" si="138"/>
        <v>YES</v>
      </c>
      <c r="J3000">
        <f>Cleaned_Data!J3000</f>
        <v>8</v>
      </c>
      <c r="K3000" t="str">
        <f t="shared" si="139"/>
        <v>2024-03</v>
      </c>
      <c r="L3000">
        <f t="shared" si="140"/>
        <v>0</v>
      </c>
    </row>
    <row r="3001" spans="1:12">
      <c r="A3001" t="s">
        <v>8712</v>
      </c>
      <c r="B3001" t="s">
        <v>8713</v>
      </c>
      <c r="C3001" t="s">
        <v>8714</v>
      </c>
      <c r="D3001" t="s">
        <v>15</v>
      </c>
      <c r="E3001" t="s">
        <v>28</v>
      </c>
      <c r="F3001" t="s">
        <v>29</v>
      </c>
      <c r="G3001" t="s">
        <v>19</v>
      </c>
      <c r="H3001">
        <f>Cleaned_Data!K3001</f>
        <v>1.6</v>
      </c>
      <c r="I3001" t="str">
        <f t="shared" si="138"/>
        <v>YES</v>
      </c>
      <c r="J3001">
        <f>Cleaned_Data!J3001</f>
        <v>8</v>
      </c>
      <c r="K3001" t="str">
        <f t="shared" si="139"/>
        <v>2024-04</v>
      </c>
      <c r="L3001">
        <f t="shared" si="140"/>
        <v>0</v>
      </c>
    </row>
    <row r="3002" spans="1:12">
      <c r="A3002" t="s">
        <v>8715</v>
      </c>
      <c r="B3002" t="s">
        <v>8716</v>
      </c>
      <c r="C3002" t="s">
        <v>8717</v>
      </c>
      <c r="D3002" t="s">
        <v>23</v>
      </c>
      <c r="E3002" t="s">
        <v>54</v>
      </c>
      <c r="F3002" t="s">
        <v>36</v>
      </c>
      <c r="G3002" t="s">
        <v>31</v>
      </c>
      <c r="H3002">
        <f>Cleaned_Data!K3002</f>
        <v>45.23</v>
      </c>
      <c r="I3002" t="str">
        <f t="shared" si="138"/>
        <v>NO</v>
      </c>
      <c r="J3002">
        <f>Cleaned_Data!J3002</f>
        <v>24</v>
      </c>
      <c r="K3002" t="str">
        <f t="shared" si="139"/>
        <v>2024-10</v>
      </c>
      <c r="L3002">
        <f t="shared" si="140"/>
        <v>21.229999999999997</v>
      </c>
    </row>
    <row r="3003" spans="1:12">
      <c r="A3003" t="s">
        <v>8718</v>
      </c>
      <c r="B3003" t="s">
        <v>8719</v>
      </c>
      <c r="C3003" t="s">
        <v>8720</v>
      </c>
      <c r="D3003" t="s">
        <v>15</v>
      </c>
      <c r="E3003" t="s">
        <v>28</v>
      </c>
      <c r="F3003" t="s">
        <v>41</v>
      </c>
      <c r="G3003" t="s">
        <v>31</v>
      </c>
      <c r="H3003">
        <f>Cleaned_Data!K3003</f>
        <v>1.65</v>
      </c>
      <c r="I3003" t="str">
        <f t="shared" si="138"/>
        <v>YES</v>
      </c>
      <c r="J3003">
        <f>Cleaned_Data!J3003</f>
        <v>8</v>
      </c>
      <c r="K3003" t="str">
        <f t="shared" si="139"/>
        <v>2024-06</v>
      </c>
      <c r="L3003">
        <f t="shared" si="140"/>
        <v>0</v>
      </c>
    </row>
    <row r="3004" spans="1:12">
      <c r="A3004" t="s">
        <v>8721</v>
      </c>
      <c r="B3004" t="s">
        <v>8722</v>
      </c>
      <c r="C3004" t="s">
        <v>8723</v>
      </c>
      <c r="D3004" t="s">
        <v>23</v>
      </c>
      <c r="E3004" t="s">
        <v>16</v>
      </c>
      <c r="F3004" t="s">
        <v>29</v>
      </c>
      <c r="G3004" t="s">
        <v>19</v>
      </c>
      <c r="H3004">
        <f>Cleaned_Data!K3004</f>
        <v>3.91</v>
      </c>
      <c r="I3004" t="str">
        <f t="shared" si="138"/>
        <v>YES</v>
      </c>
      <c r="J3004">
        <f>Cleaned_Data!J3004</f>
        <v>24</v>
      </c>
      <c r="K3004" t="str">
        <f t="shared" si="139"/>
        <v>2024-03</v>
      </c>
      <c r="L3004">
        <f t="shared" si="140"/>
        <v>0</v>
      </c>
    </row>
    <row r="3005" spans="1:12">
      <c r="A3005" t="s">
        <v>8724</v>
      </c>
      <c r="B3005" t="s">
        <v>8725</v>
      </c>
      <c r="C3005" t="s">
        <v>8726</v>
      </c>
      <c r="D3005" t="s">
        <v>15</v>
      </c>
      <c r="E3005" t="s">
        <v>28</v>
      </c>
      <c r="F3005" t="s">
        <v>36</v>
      </c>
      <c r="G3005" t="s">
        <v>19</v>
      </c>
      <c r="H3005">
        <f>Cleaned_Data!K3005</f>
        <v>7.11</v>
      </c>
      <c r="I3005" t="str">
        <f t="shared" si="138"/>
        <v>YES</v>
      </c>
      <c r="J3005">
        <f>Cleaned_Data!J3005</f>
        <v>8</v>
      </c>
      <c r="K3005" t="str">
        <f t="shared" si="139"/>
        <v>2024-01</v>
      </c>
      <c r="L3005">
        <f t="shared" si="140"/>
        <v>0</v>
      </c>
    </row>
    <row r="3006" spans="1:12">
      <c r="A3006" t="s">
        <v>8727</v>
      </c>
      <c r="B3006" t="s">
        <v>8728</v>
      </c>
      <c r="C3006" t="s">
        <v>8729</v>
      </c>
      <c r="D3006" t="s">
        <v>35</v>
      </c>
      <c r="E3006" t="s">
        <v>54</v>
      </c>
      <c r="F3006" t="s">
        <v>17</v>
      </c>
      <c r="G3006" t="s">
        <v>19</v>
      </c>
      <c r="H3006">
        <f>Cleaned_Data!K3006</f>
        <v>32.71</v>
      </c>
      <c r="I3006" t="str">
        <f t="shared" si="138"/>
        <v>YES</v>
      </c>
      <c r="J3006">
        <f>Cleaned_Data!J3006</f>
        <v>48</v>
      </c>
      <c r="K3006" t="str">
        <f t="shared" si="139"/>
        <v>2024-09</v>
      </c>
      <c r="L3006">
        <f t="shared" si="140"/>
        <v>0</v>
      </c>
    </row>
    <row r="3007" spans="1:12">
      <c r="A3007" t="s">
        <v>8730</v>
      </c>
      <c r="B3007" t="s">
        <v>8731</v>
      </c>
      <c r="C3007" t="s">
        <v>8732</v>
      </c>
      <c r="D3007" t="s">
        <v>23</v>
      </c>
      <c r="E3007" t="s">
        <v>24</v>
      </c>
      <c r="F3007" t="s">
        <v>17</v>
      </c>
      <c r="G3007" t="s">
        <v>31</v>
      </c>
      <c r="H3007">
        <f>Cleaned_Data!K3007</f>
        <v>8.1999999999999993</v>
      </c>
      <c r="I3007" t="str">
        <f t="shared" si="138"/>
        <v>YES</v>
      </c>
      <c r="J3007">
        <f>Cleaned_Data!J3007</f>
        <v>24</v>
      </c>
      <c r="K3007" t="str">
        <f t="shared" si="139"/>
        <v>2024-05</v>
      </c>
      <c r="L3007">
        <f t="shared" si="140"/>
        <v>0</v>
      </c>
    </row>
    <row r="3008" spans="1:12">
      <c r="A3008" t="s">
        <v>8733</v>
      </c>
      <c r="B3008" t="s">
        <v>8734</v>
      </c>
      <c r="C3008" t="s">
        <v>8735</v>
      </c>
      <c r="D3008" t="s">
        <v>15</v>
      </c>
      <c r="E3008" t="s">
        <v>54</v>
      </c>
      <c r="F3008" t="s">
        <v>36</v>
      </c>
      <c r="G3008" t="s">
        <v>31</v>
      </c>
      <c r="H3008">
        <f>Cleaned_Data!K3008</f>
        <v>2.11</v>
      </c>
      <c r="I3008" t="str">
        <f t="shared" si="138"/>
        <v>YES</v>
      </c>
      <c r="J3008">
        <f>Cleaned_Data!J3008</f>
        <v>8</v>
      </c>
      <c r="K3008" t="str">
        <f t="shared" si="139"/>
        <v>2024-06</v>
      </c>
      <c r="L3008">
        <f t="shared" si="140"/>
        <v>0</v>
      </c>
    </row>
    <row r="3009" spans="1:12">
      <c r="A3009" t="s">
        <v>8736</v>
      </c>
      <c r="B3009" t="s">
        <v>8737</v>
      </c>
      <c r="C3009" t="s">
        <v>8738</v>
      </c>
      <c r="D3009" t="s">
        <v>23</v>
      </c>
      <c r="E3009" t="s">
        <v>28</v>
      </c>
      <c r="F3009" t="s">
        <v>29</v>
      </c>
      <c r="G3009" t="s">
        <v>31</v>
      </c>
      <c r="H3009">
        <f>Cleaned_Data!K3009</f>
        <v>20.92</v>
      </c>
      <c r="I3009" t="str">
        <f t="shared" si="138"/>
        <v>YES</v>
      </c>
      <c r="J3009">
        <f>Cleaned_Data!J3009</f>
        <v>24</v>
      </c>
      <c r="K3009" t="str">
        <f t="shared" si="139"/>
        <v>2024-12</v>
      </c>
      <c r="L3009">
        <f t="shared" si="140"/>
        <v>0</v>
      </c>
    </row>
    <row r="3010" spans="1:12">
      <c r="A3010" t="s">
        <v>8739</v>
      </c>
      <c r="B3010" t="s">
        <v>8740</v>
      </c>
      <c r="C3010" t="s">
        <v>8741</v>
      </c>
      <c r="D3010" t="s">
        <v>23</v>
      </c>
      <c r="E3010" t="s">
        <v>28</v>
      </c>
      <c r="F3010" t="s">
        <v>17</v>
      </c>
      <c r="G3010" t="s">
        <v>19</v>
      </c>
      <c r="H3010">
        <f>Cleaned_Data!K3010</f>
        <v>15.18</v>
      </c>
      <c r="I3010" t="str">
        <f t="shared" ref="I3010:I3073" si="141">IF(OR(G3010="Resolved", G3010="Closed"), IF(AND(H3010&lt;&gt;"", H3010&lt;=J3010), "YES", "NO"), "")</f>
        <v>YES</v>
      </c>
      <c r="J3010">
        <f>Cleaned_Data!J3010</f>
        <v>24</v>
      </c>
      <c r="K3010" t="str">
        <f t="shared" ref="K3010:K3073" si="142">LEFT(B3010, 7)</f>
        <v>2024-04</v>
      </c>
      <c r="L3010">
        <f t="shared" ref="L3010:L3073" si="143">IF(I3010="NO", H3010-J3010, 0)</f>
        <v>0</v>
      </c>
    </row>
    <row r="3011" spans="1:12">
      <c r="A3011" t="s">
        <v>8742</v>
      </c>
      <c r="B3011" t="s">
        <v>8743</v>
      </c>
      <c r="C3011" t="s">
        <v>8744</v>
      </c>
      <c r="D3011" t="s">
        <v>23</v>
      </c>
      <c r="E3011" t="s">
        <v>24</v>
      </c>
      <c r="F3011" t="s">
        <v>41</v>
      </c>
      <c r="G3011" t="s">
        <v>31</v>
      </c>
      <c r="H3011">
        <f>Cleaned_Data!K3011</f>
        <v>15.85</v>
      </c>
      <c r="I3011" t="str">
        <f t="shared" si="141"/>
        <v>YES</v>
      </c>
      <c r="J3011">
        <f>Cleaned_Data!J3011</f>
        <v>24</v>
      </c>
      <c r="K3011" t="str">
        <f t="shared" si="142"/>
        <v>2024-05</v>
      </c>
      <c r="L3011">
        <f t="shared" si="143"/>
        <v>0</v>
      </c>
    </row>
    <row r="3012" spans="1:12">
      <c r="A3012" t="s">
        <v>8745</v>
      </c>
      <c r="B3012" t="s">
        <v>8746</v>
      </c>
      <c r="C3012" t="s">
        <v>8747</v>
      </c>
      <c r="D3012" t="s">
        <v>23</v>
      </c>
      <c r="E3012" t="s">
        <v>28</v>
      </c>
      <c r="F3012" t="s">
        <v>36</v>
      </c>
      <c r="G3012" t="s">
        <v>31</v>
      </c>
      <c r="H3012">
        <f>Cleaned_Data!K3012</f>
        <v>31.73</v>
      </c>
      <c r="I3012" t="str">
        <f t="shared" si="141"/>
        <v>NO</v>
      </c>
      <c r="J3012">
        <f>Cleaned_Data!J3012</f>
        <v>24</v>
      </c>
      <c r="K3012" t="str">
        <f t="shared" si="142"/>
        <v>2024-09</v>
      </c>
      <c r="L3012">
        <f t="shared" si="143"/>
        <v>7.73</v>
      </c>
    </row>
    <row r="3013" spans="1:12">
      <c r="A3013" t="s">
        <v>8748</v>
      </c>
      <c r="B3013" t="s">
        <v>8749</v>
      </c>
      <c r="C3013" t="s">
        <v>8750</v>
      </c>
      <c r="D3013" t="s">
        <v>15</v>
      </c>
      <c r="E3013" t="s">
        <v>16</v>
      </c>
      <c r="F3013" t="s">
        <v>41</v>
      </c>
      <c r="G3013" t="s">
        <v>19</v>
      </c>
      <c r="H3013">
        <f>Cleaned_Data!K3013</f>
        <v>2.79</v>
      </c>
      <c r="I3013" t="str">
        <f t="shared" si="141"/>
        <v>YES</v>
      </c>
      <c r="J3013">
        <f>Cleaned_Data!J3013</f>
        <v>8</v>
      </c>
      <c r="K3013" t="str">
        <f t="shared" si="142"/>
        <v>2024-10</v>
      </c>
      <c r="L3013">
        <f t="shared" si="143"/>
        <v>0</v>
      </c>
    </row>
    <row r="3014" spans="1:12">
      <c r="A3014" t="s">
        <v>8751</v>
      </c>
      <c r="B3014" t="s">
        <v>8752</v>
      </c>
      <c r="C3014" t="s">
        <v>8753</v>
      </c>
      <c r="D3014" t="s">
        <v>23</v>
      </c>
      <c r="E3014" t="s">
        <v>28</v>
      </c>
      <c r="F3014" t="s">
        <v>29</v>
      </c>
      <c r="G3014" t="s">
        <v>31</v>
      </c>
      <c r="H3014">
        <f>Cleaned_Data!K3014</f>
        <v>22.67</v>
      </c>
      <c r="I3014" t="str">
        <f t="shared" si="141"/>
        <v>YES</v>
      </c>
      <c r="J3014">
        <f>Cleaned_Data!J3014</f>
        <v>24</v>
      </c>
      <c r="K3014" t="str">
        <f t="shared" si="142"/>
        <v>2024-12</v>
      </c>
      <c r="L3014">
        <f t="shared" si="143"/>
        <v>0</v>
      </c>
    </row>
    <row r="3015" spans="1:12">
      <c r="A3015" t="s">
        <v>8754</v>
      </c>
      <c r="B3015" t="s">
        <v>8755</v>
      </c>
      <c r="D3015" t="s">
        <v>15</v>
      </c>
      <c r="E3015" t="s">
        <v>16</v>
      </c>
      <c r="F3015" t="s">
        <v>17</v>
      </c>
      <c r="G3015" t="s">
        <v>63</v>
      </c>
      <c r="H3015">
        <f>Cleaned_Data!K3015</f>
        <v>0</v>
      </c>
      <c r="I3015" t="str">
        <f t="shared" si="141"/>
        <v/>
      </c>
      <c r="J3015">
        <f>Cleaned_Data!J3015</f>
        <v>8</v>
      </c>
      <c r="K3015" t="str">
        <f t="shared" si="142"/>
        <v>2024-05</v>
      </c>
      <c r="L3015">
        <f t="shared" si="143"/>
        <v>0</v>
      </c>
    </row>
    <row r="3016" spans="1:12">
      <c r="A3016" t="s">
        <v>8756</v>
      </c>
      <c r="B3016" t="s">
        <v>8757</v>
      </c>
      <c r="C3016" t="s">
        <v>8758</v>
      </c>
      <c r="D3016" t="s">
        <v>23</v>
      </c>
      <c r="E3016" t="s">
        <v>28</v>
      </c>
      <c r="F3016" t="s">
        <v>41</v>
      </c>
      <c r="G3016" t="s">
        <v>19</v>
      </c>
      <c r="H3016">
        <f>Cleaned_Data!K3016</f>
        <v>13.19</v>
      </c>
      <c r="I3016" t="str">
        <f t="shared" si="141"/>
        <v>YES</v>
      </c>
      <c r="J3016">
        <f>Cleaned_Data!J3016</f>
        <v>24</v>
      </c>
      <c r="K3016" t="str">
        <f t="shared" si="142"/>
        <v>2024-05</v>
      </c>
      <c r="L3016">
        <f t="shared" si="143"/>
        <v>0</v>
      </c>
    </row>
    <row r="3017" spans="1:12">
      <c r="A3017" t="s">
        <v>8759</v>
      </c>
      <c r="B3017" t="s">
        <v>8760</v>
      </c>
      <c r="C3017" t="s">
        <v>8761</v>
      </c>
      <c r="D3017" t="s">
        <v>23</v>
      </c>
      <c r="E3017" t="s">
        <v>24</v>
      </c>
      <c r="F3017" t="s">
        <v>60</v>
      </c>
      <c r="G3017" t="s">
        <v>31</v>
      </c>
      <c r="H3017">
        <f>Cleaned_Data!K3017</f>
        <v>26.21</v>
      </c>
      <c r="I3017" t="str">
        <f t="shared" si="141"/>
        <v>NO</v>
      </c>
      <c r="J3017">
        <f>Cleaned_Data!J3017</f>
        <v>24</v>
      </c>
      <c r="K3017" t="str">
        <f t="shared" si="142"/>
        <v>2024-08</v>
      </c>
      <c r="L3017">
        <f t="shared" si="143"/>
        <v>2.2100000000000009</v>
      </c>
    </row>
    <row r="3018" spans="1:12">
      <c r="A3018" t="s">
        <v>8762</v>
      </c>
      <c r="B3018" t="s">
        <v>8763</v>
      </c>
      <c r="D3018" t="s">
        <v>15</v>
      </c>
      <c r="E3018" t="s">
        <v>59</v>
      </c>
      <c r="F3018" t="s">
        <v>60</v>
      </c>
      <c r="G3018" t="s">
        <v>46</v>
      </c>
      <c r="H3018">
        <f>Cleaned_Data!K3018</f>
        <v>0</v>
      </c>
      <c r="I3018" t="str">
        <f t="shared" si="141"/>
        <v/>
      </c>
      <c r="J3018">
        <f>Cleaned_Data!J3018</f>
        <v>8</v>
      </c>
      <c r="K3018" t="str">
        <f t="shared" si="142"/>
        <v>2024-02</v>
      </c>
      <c r="L3018">
        <f t="shared" si="143"/>
        <v>0</v>
      </c>
    </row>
    <row r="3019" spans="1:12">
      <c r="A3019" t="s">
        <v>8764</v>
      </c>
      <c r="B3019" t="s">
        <v>8765</v>
      </c>
      <c r="C3019" t="s">
        <v>8766</v>
      </c>
      <c r="D3019" t="s">
        <v>15</v>
      </c>
      <c r="E3019" t="s">
        <v>28</v>
      </c>
      <c r="F3019" t="s">
        <v>29</v>
      </c>
      <c r="G3019" t="s">
        <v>19</v>
      </c>
      <c r="H3019">
        <f>Cleaned_Data!K3019</f>
        <v>6.69</v>
      </c>
      <c r="I3019" t="str">
        <f t="shared" si="141"/>
        <v>YES</v>
      </c>
      <c r="J3019">
        <f>Cleaned_Data!J3019</f>
        <v>8</v>
      </c>
      <c r="K3019" t="str">
        <f t="shared" si="142"/>
        <v>2024-06</v>
      </c>
      <c r="L3019">
        <f t="shared" si="143"/>
        <v>0</v>
      </c>
    </row>
    <row r="3020" spans="1:12">
      <c r="A3020" t="s">
        <v>8767</v>
      </c>
      <c r="B3020" t="s">
        <v>8768</v>
      </c>
      <c r="C3020" t="s">
        <v>8769</v>
      </c>
      <c r="D3020" t="s">
        <v>23</v>
      </c>
      <c r="E3020" t="s">
        <v>28</v>
      </c>
      <c r="F3020" t="s">
        <v>41</v>
      </c>
      <c r="G3020" t="s">
        <v>31</v>
      </c>
      <c r="H3020">
        <f>Cleaned_Data!K3020</f>
        <v>8.92</v>
      </c>
      <c r="I3020" t="str">
        <f t="shared" si="141"/>
        <v>YES</v>
      </c>
      <c r="J3020">
        <f>Cleaned_Data!J3020</f>
        <v>24</v>
      </c>
      <c r="K3020" t="str">
        <f t="shared" si="142"/>
        <v>2024-10</v>
      </c>
      <c r="L3020">
        <f t="shared" si="143"/>
        <v>0</v>
      </c>
    </row>
    <row r="3021" spans="1:12">
      <c r="A3021" t="s">
        <v>8770</v>
      </c>
      <c r="B3021" t="s">
        <v>8771</v>
      </c>
      <c r="C3021" t="s">
        <v>8772</v>
      </c>
      <c r="D3021" t="s">
        <v>23</v>
      </c>
      <c r="E3021" t="s">
        <v>28</v>
      </c>
      <c r="F3021" t="s">
        <v>29</v>
      </c>
      <c r="G3021" t="s">
        <v>19</v>
      </c>
      <c r="H3021">
        <f>Cleaned_Data!K3021</f>
        <v>8.5399999999999991</v>
      </c>
      <c r="I3021" t="str">
        <f t="shared" si="141"/>
        <v>YES</v>
      </c>
      <c r="J3021">
        <f>Cleaned_Data!J3021</f>
        <v>24</v>
      </c>
      <c r="K3021" t="str">
        <f t="shared" si="142"/>
        <v>2024-06</v>
      </c>
      <c r="L3021">
        <f t="shared" si="143"/>
        <v>0</v>
      </c>
    </row>
    <row r="3022" spans="1:12">
      <c r="A3022" t="s">
        <v>8773</v>
      </c>
      <c r="B3022" t="s">
        <v>8774</v>
      </c>
      <c r="C3022" t="s">
        <v>8775</v>
      </c>
      <c r="D3022" t="s">
        <v>23</v>
      </c>
      <c r="E3022" t="s">
        <v>24</v>
      </c>
      <c r="F3022" t="s">
        <v>17</v>
      </c>
      <c r="G3022" t="s">
        <v>19</v>
      </c>
      <c r="H3022">
        <f>Cleaned_Data!K3022</f>
        <v>13.62</v>
      </c>
      <c r="I3022" t="str">
        <f t="shared" si="141"/>
        <v>YES</v>
      </c>
      <c r="J3022">
        <f>Cleaned_Data!J3022</f>
        <v>24</v>
      </c>
      <c r="K3022" t="str">
        <f t="shared" si="142"/>
        <v>2024-09</v>
      </c>
      <c r="L3022">
        <f t="shared" si="143"/>
        <v>0</v>
      </c>
    </row>
    <row r="3023" spans="1:12">
      <c r="A3023" t="s">
        <v>8776</v>
      </c>
      <c r="B3023" t="s">
        <v>8777</v>
      </c>
      <c r="D3023" t="s">
        <v>35</v>
      </c>
      <c r="E3023" t="s">
        <v>16</v>
      </c>
      <c r="F3023" t="s">
        <v>36</v>
      </c>
      <c r="G3023" t="s">
        <v>63</v>
      </c>
      <c r="H3023">
        <f>Cleaned_Data!K3023</f>
        <v>0</v>
      </c>
      <c r="I3023" t="str">
        <f t="shared" si="141"/>
        <v/>
      </c>
      <c r="J3023">
        <f>Cleaned_Data!J3023</f>
        <v>48</v>
      </c>
      <c r="K3023" t="str">
        <f t="shared" si="142"/>
        <v>2024-12</v>
      </c>
      <c r="L3023">
        <f t="shared" si="143"/>
        <v>0</v>
      </c>
    </row>
    <row r="3024" spans="1:12">
      <c r="A3024" t="s">
        <v>8778</v>
      </c>
      <c r="B3024" t="s">
        <v>8779</v>
      </c>
      <c r="C3024" t="s">
        <v>8780</v>
      </c>
      <c r="D3024" t="s">
        <v>23</v>
      </c>
      <c r="E3024" t="s">
        <v>28</v>
      </c>
      <c r="F3024" t="s">
        <v>17</v>
      </c>
      <c r="G3024" t="s">
        <v>19</v>
      </c>
      <c r="H3024">
        <f>Cleaned_Data!K3024</f>
        <v>16.64</v>
      </c>
      <c r="I3024" t="str">
        <f t="shared" si="141"/>
        <v>YES</v>
      </c>
      <c r="J3024">
        <f>Cleaned_Data!J3024</f>
        <v>24</v>
      </c>
      <c r="K3024" t="str">
        <f t="shared" si="142"/>
        <v>2024-07</v>
      </c>
      <c r="L3024">
        <f t="shared" si="143"/>
        <v>0</v>
      </c>
    </row>
    <row r="3025" spans="1:12">
      <c r="A3025" t="s">
        <v>8781</v>
      </c>
      <c r="B3025" t="s">
        <v>8782</v>
      </c>
      <c r="C3025" t="s">
        <v>8783</v>
      </c>
      <c r="D3025" t="s">
        <v>15</v>
      </c>
      <c r="E3025" t="s">
        <v>54</v>
      </c>
      <c r="F3025" t="s">
        <v>60</v>
      </c>
      <c r="G3025" t="s">
        <v>19</v>
      </c>
      <c r="H3025">
        <f>Cleaned_Data!K3025</f>
        <v>5.43</v>
      </c>
      <c r="I3025" t="str">
        <f t="shared" si="141"/>
        <v>YES</v>
      </c>
      <c r="J3025">
        <f>Cleaned_Data!J3025</f>
        <v>8</v>
      </c>
      <c r="K3025" t="str">
        <f t="shared" si="142"/>
        <v>2024-01</v>
      </c>
      <c r="L3025">
        <f t="shared" si="143"/>
        <v>0</v>
      </c>
    </row>
    <row r="3026" spans="1:12">
      <c r="A3026" t="s">
        <v>8784</v>
      </c>
      <c r="B3026" t="s">
        <v>8785</v>
      </c>
      <c r="C3026" t="s">
        <v>8786</v>
      </c>
      <c r="D3026" t="s">
        <v>23</v>
      </c>
      <c r="E3026" t="s">
        <v>28</v>
      </c>
      <c r="F3026" t="s">
        <v>17</v>
      </c>
      <c r="G3026" t="s">
        <v>19</v>
      </c>
      <c r="H3026">
        <f>Cleaned_Data!K3026</f>
        <v>16.739999999999998</v>
      </c>
      <c r="I3026" t="str">
        <f t="shared" si="141"/>
        <v>YES</v>
      </c>
      <c r="J3026">
        <f>Cleaned_Data!J3026</f>
        <v>24</v>
      </c>
      <c r="K3026" t="str">
        <f t="shared" si="142"/>
        <v>2024-02</v>
      </c>
      <c r="L3026">
        <f t="shared" si="143"/>
        <v>0</v>
      </c>
    </row>
    <row r="3027" spans="1:12">
      <c r="A3027" t="s">
        <v>8787</v>
      </c>
      <c r="B3027" t="s">
        <v>8788</v>
      </c>
      <c r="C3027" t="s">
        <v>8789</v>
      </c>
      <c r="D3027" t="s">
        <v>35</v>
      </c>
      <c r="E3027" t="s">
        <v>28</v>
      </c>
      <c r="F3027" t="s">
        <v>41</v>
      </c>
      <c r="G3027" t="s">
        <v>19</v>
      </c>
      <c r="H3027">
        <f>Cleaned_Data!K3027</f>
        <v>13.76</v>
      </c>
      <c r="I3027" t="str">
        <f t="shared" si="141"/>
        <v>YES</v>
      </c>
      <c r="J3027">
        <f>Cleaned_Data!J3027</f>
        <v>48</v>
      </c>
      <c r="K3027" t="str">
        <f t="shared" si="142"/>
        <v>2024-10</v>
      </c>
      <c r="L3027">
        <f t="shared" si="143"/>
        <v>0</v>
      </c>
    </row>
    <row r="3028" spans="1:12">
      <c r="A3028" t="s">
        <v>8790</v>
      </c>
      <c r="B3028" t="s">
        <v>8791</v>
      </c>
      <c r="C3028" t="s">
        <v>8792</v>
      </c>
      <c r="D3028" t="s">
        <v>23</v>
      </c>
      <c r="E3028" t="s">
        <v>16</v>
      </c>
      <c r="F3028" t="s">
        <v>41</v>
      </c>
      <c r="G3028" t="s">
        <v>19</v>
      </c>
      <c r="H3028">
        <f>Cleaned_Data!K3028</f>
        <v>5.22</v>
      </c>
      <c r="I3028" t="str">
        <f t="shared" si="141"/>
        <v>YES</v>
      </c>
      <c r="J3028">
        <f>Cleaned_Data!J3028</f>
        <v>24</v>
      </c>
      <c r="K3028" t="str">
        <f t="shared" si="142"/>
        <v>2024-12</v>
      </c>
      <c r="L3028">
        <f t="shared" si="143"/>
        <v>0</v>
      </c>
    </row>
    <row r="3029" spans="1:12">
      <c r="A3029" t="s">
        <v>8793</v>
      </c>
      <c r="B3029" t="s">
        <v>8794</v>
      </c>
      <c r="C3029" t="s">
        <v>8795</v>
      </c>
      <c r="D3029" t="s">
        <v>158</v>
      </c>
      <c r="E3029" t="s">
        <v>59</v>
      </c>
      <c r="F3029" t="s">
        <v>36</v>
      </c>
      <c r="G3029" t="s">
        <v>31</v>
      </c>
      <c r="H3029">
        <f>Cleaned_Data!K3029</f>
        <v>3.52</v>
      </c>
      <c r="I3029" t="str">
        <f t="shared" si="141"/>
        <v>YES</v>
      </c>
      <c r="J3029">
        <f>Cleaned_Data!J3029</f>
        <v>4</v>
      </c>
      <c r="K3029" t="str">
        <f t="shared" si="142"/>
        <v>2024-02</v>
      </c>
      <c r="L3029">
        <f t="shared" si="143"/>
        <v>0</v>
      </c>
    </row>
    <row r="3030" spans="1:12">
      <c r="A3030" t="s">
        <v>8796</v>
      </c>
      <c r="B3030" t="s">
        <v>8797</v>
      </c>
      <c r="C3030" t="s">
        <v>8798</v>
      </c>
      <c r="D3030" t="s">
        <v>15</v>
      </c>
      <c r="E3030" t="s">
        <v>59</v>
      </c>
      <c r="F3030" t="s">
        <v>60</v>
      </c>
      <c r="G3030" t="s">
        <v>19</v>
      </c>
      <c r="H3030">
        <f>Cleaned_Data!K3030</f>
        <v>3.68</v>
      </c>
      <c r="I3030" t="str">
        <f t="shared" si="141"/>
        <v>YES</v>
      </c>
      <c r="J3030">
        <f>Cleaned_Data!J3030</f>
        <v>8</v>
      </c>
      <c r="K3030" t="str">
        <f t="shared" si="142"/>
        <v>2024-11</v>
      </c>
      <c r="L3030">
        <f t="shared" si="143"/>
        <v>0</v>
      </c>
    </row>
    <row r="3031" spans="1:12">
      <c r="A3031" t="s">
        <v>8799</v>
      </c>
      <c r="B3031" t="s">
        <v>8800</v>
      </c>
      <c r="D3031" t="s">
        <v>23</v>
      </c>
      <c r="E3031" t="s">
        <v>59</v>
      </c>
      <c r="F3031" t="s">
        <v>60</v>
      </c>
      <c r="G3031" t="s">
        <v>63</v>
      </c>
      <c r="H3031">
        <f>Cleaned_Data!K3031</f>
        <v>0</v>
      </c>
      <c r="I3031" t="str">
        <f t="shared" si="141"/>
        <v/>
      </c>
      <c r="J3031">
        <f>Cleaned_Data!J3031</f>
        <v>24</v>
      </c>
      <c r="K3031" t="str">
        <f t="shared" si="142"/>
        <v>2024-08</v>
      </c>
      <c r="L3031">
        <f t="shared" si="143"/>
        <v>0</v>
      </c>
    </row>
    <row r="3032" spans="1:12">
      <c r="A3032" t="s">
        <v>8801</v>
      </c>
      <c r="B3032" t="s">
        <v>8802</v>
      </c>
      <c r="C3032" t="s">
        <v>8803</v>
      </c>
      <c r="D3032" t="s">
        <v>23</v>
      </c>
      <c r="E3032" t="s">
        <v>28</v>
      </c>
      <c r="F3032" t="s">
        <v>36</v>
      </c>
      <c r="G3032" t="s">
        <v>19</v>
      </c>
      <c r="H3032">
        <f>Cleaned_Data!K3032</f>
        <v>9.25</v>
      </c>
      <c r="I3032" t="str">
        <f t="shared" si="141"/>
        <v>YES</v>
      </c>
      <c r="J3032">
        <f>Cleaned_Data!J3032</f>
        <v>24</v>
      </c>
      <c r="K3032" t="str">
        <f t="shared" si="142"/>
        <v>2024-09</v>
      </c>
      <c r="L3032">
        <f t="shared" si="143"/>
        <v>0</v>
      </c>
    </row>
    <row r="3033" spans="1:12">
      <c r="A3033" t="s">
        <v>8804</v>
      </c>
      <c r="B3033" t="s">
        <v>8805</v>
      </c>
      <c r="C3033" t="s">
        <v>8806</v>
      </c>
      <c r="D3033" t="s">
        <v>35</v>
      </c>
      <c r="E3033" t="s">
        <v>16</v>
      </c>
      <c r="F3033" t="s">
        <v>60</v>
      </c>
      <c r="G3033" t="s">
        <v>19</v>
      </c>
      <c r="H3033">
        <f>Cleaned_Data!K3033</f>
        <v>136.25</v>
      </c>
      <c r="I3033" t="str">
        <f t="shared" si="141"/>
        <v>NO</v>
      </c>
      <c r="J3033">
        <f>Cleaned_Data!J3033</f>
        <v>48</v>
      </c>
      <c r="K3033" t="str">
        <f t="shared" si="142"/>
        <v>2024-08</v>
      </c>
      <c r="L3033">
        <f t="shared" si="143"/>
        <v>88.25</v>
      </c>
    </row>
    <row r="3034" spans="1:12">
      <c r="A3034" t="s">
        <v>8807</v>
      </c>
      <c r="B3034" t="s">
        <v>8808</v>
      </c>
      <c r="C3034" t="s">
        <v>8809</v>
      </c>
      <c r="D3034" t="s">
        <v>35</v>
      </c>
      <c r="E3034" t="s">
        <v>24</v>
      </c>
      <c r="F3034" t="s">
        <v>17</v>
      </c>
      <c r="G3034" t="s">
        <v>19</v>
      </c>
      <c r="H3034">
        <f>Cleaned_Data!K3034</f>
        <v>40.18</v>
      </c>
      <c r="I3034" t="str">
        <f t="shared" si="141"/>
        <v>YES</v>
      </c>
      <c r="J3034">
        <f>Cleaned_Data!J3034</f>
        <v>48</v>
      </c>
      <c r="K3034" t="str">
        <f t="shared" si="142"/>
        <v>2024-10</v>
      </c>
      <c r="L3034">
        <f t="shared" si="143"/>
        <v>0</v>
      </c>
    </row>
    <row r="3035" spans="1:12">
      <c r="A3035" t="s">
        <v>8810</v>
      </c>
      <c r="B3035" t="s">
        <v>8811</v>
      </c>
      <c r="D3035" t="s">
        <v>15</v>
      </c>
      <c r="E3035" t="s">
        <v>24</v>
      </c>
      <c r="F3035" t="s">
        <v>36</v>
      </c>
      <c r="G3035" t="s">
        <v>63</v>
      </c>
      <c r="H3035">
        <f>Cleaned_Data!K3035</f>
        <v>0</v>
      </c>
      <c r="I3035" t="str">
        <f t="shared" si="141"/>
        <v/>
      </c>
      <c r="J3035">
        <f>Cleaned_Data!J3035</f>
        <v>8</v>
      </c>
      <c r="K3035" t="str">
        <f t="shared" si="142"/>
        <v>2024-12</v>
      </c>
      <c r="L3035">
        <f t="shared" si="143"/>
        <v>0</v>
      </c>
    </row>
    <row r="3036" spans="1:12">
      <c r="A3036" t="s">
        <v>8812</v>
      </c>
      <c r="B3036" t="s">
        <v>8813</v>
      </c>
      <c r="C3036" t="s">
        <v>8814</v>
      </c>
      <c r="D3036" t="s">
        <v>35</v>
      </c>
      <c r="E3036" t="s">
        <v>16</v>
      </c>
      <c r="F3036" t="s">
        <v>36</v>
      </c>
      <c r="G3036" t="s">
        <v>31</v>
      </c>
      <c r="H3036">
        <f>Cleaned_Data!K3036</f>
        <v>26.18</v>
      </c>
      <c r="I3036" t="str">
        <f t="shared" si="141"/>
        <v>YES</v>
      </c>
      <c r="J3036">
        <f>Cleaned_Data!J3036</f>
        <v>48</v>
      </c>
      <c r="K3036" t="str">
        <f t="shared" si="142"/>
        <v>2024-11</v>
      </c>
      <c r="L3036">
        <f t="shared" si="143"/>
        <v>0</v>
      </c>
    </row>
    <row r="3037" spans="1:12">
      <c r="A3037" t="s">
        <v>8815</v>
      </c>
      <c r="B3037" t="s">
        <v>8816</v>
      </c>
      <c r="C3037" t="s">
        <v>8817</v>
      </c>
      <c r="D3037" t="s">
        <v>23</v>
      </c>
      <c r="E3037" t="s">
        <v>16</v>
      </c>
      <c r="F3037" t="s">
        <v>29</v>
      </c>
      <c r="G3037" t="s">
        <v>31</v>
      </c>
      <c r="H3037">
        <f>Cleaned_Data!K3037</f>
        <v>3.65</v>
      </c>
      <c r="I3037" t="str">
        <f t="shared" si="141"/>
        <v>YES</v>
      </c>
      <c r="J3037">
        <f>Cleaned_Data!J3037</f>
        <v>24</v>
      </c>
      <c r="K3037" t="str">
        <f t="shared" si="142"/>
        <v>2024-09</v>
      </c>
      <c r="L3037">
        <f t="shared" si="143"/>
        <v>0</v>
      </c>
    </row>
    <row r="3038" spans="1:12">
      <c r="A3038" t="s">
        <v>8818</v>
      </c>
      <c r="B3038" t="s">
        <v>8819</v>
      </c>
      <c r="C3038" t="s">
        <v>8820</v>
      </c>
      <c r="D3038" t="s">
        <v>23</v>
      </c>
      <c r="E3038" t="s">
        <v>59</v>
      </c>
      <c r="F3038" t="s">
        <v>29</v>
      </c>
      <c r="G3038" t="s">
        <v>31</v>
      </c>
      <c r="H3038">
        <f>Cleaned_Data!K3038</f>
        <v>34.14</v>
      </c>
      <c r="I3038" t="str">
        <f t="shared" si="141"/>
        <v>NO</v>
      </c>
      <c r="J3038">
        <f>Cleaned_Data!J3038</f>
        <v>24</v>
      </c>
      <c r="K3038" t="str">
        <f t="shared" si="142"/>
        <v>2024-05</v>
      </c>
      <c r="L3038">
        <f t="shared" si="143"/>
        <v>10.14</v>
      </c>
    </row>
    <row r="3039" spans="1:12">
      <c r="A3039" t="s">
        <v>8821</v>
      </c>
      <c r="B3039" t="s">
        <v>8822</v>
      </c>
      <c r="C3039" t="s">
        <v>8823</v>
      </c>
      <c r="D3039" t="s">
        <v>15</v>
      </c>
      <c r="E3039" t="s">
        <v>54</v>
      </c>
      <c r="F3039" t="s">
        <v>41</v>
      </c>
      <c r="G3039" t="s">
        <v>19</v>
      </c>
      <c r="H3039">
        <f>Cleaned_Data!K3039</f>
        <v>1.1399999999999999</v>
      </c>
      <c r="I3039" t="str">
        <f t="shared" si="141"/>
        <v>YES</v>
      </c>
      <c r="J3039">
        <f>Cleaned_Data!J3039</f>
        <v>8</v>
      </c>
      <c r="K3039" t="str">
        <f t="shared" si="142"/>
        <v>2024-02</v>
      </c>
      <c r="L3039">
        <f t="shared" si="143"/>
        <v>0</v>
      </c>
    </row>
    <row r="3040" spans="1:12">
      <c r="A3040" t="s">
        <v>8824</v>
      </c>
      <c r="B3040" t="s">
        <v>8825</v>
      </c>
      <c r="C3040" t="s">
        <v>8826</v>
      </c>
      <c r="D3040" t="s">
        <v>158</v>
      </c>
      <c r="E3040" t="s">
        <v>59</v>
      </c>
      <c r="F3040" t="s">
        <v>60</v>
      </c>
      <c r="G3040" t="s">
        <v>19</v>
      </c>
      <c r="H3040">
        <f>Cleaned_Data!K3040</f>
        <v>2.06</v>
      </c>
      <c r="I3040" t="str">
        <f t="shared" si="141"/>
        <v>YES</v>
      </c>
      <c r="J3040">
        <f>Cleaned_Data!J3040</f>
        <v>4</v>
      </c>
      <c r="K3040" t="str">
        <f t="shared" si="142"/>
        <v>2024-09</v>
      </c>
      <c r="L3040">
        <f t="shared" si="143"/>
        <v>0</v>
      </c>
    </row>
    <row r="3041" spans="1:12">
      <c r="A3041" t="s">
        <v>8827</v>
      </c>
      <c r="B3041" t="s">
        <v>8828</v>
      </c>
      <c r="C3041" t="s">
        <v>8829</v>
      </c>
      <c r="D3041" t="s">
        <v>15</v>
      </c>
      <c r="E3041" t="s">
        <v>59</v>
      </c>
      <c r="F3041" t="s">
        <v>60</v>
      </c>
      <c r="G3041" t="s">
        <v>19</v>
      </c>
      <c r="H3041">
        <f>Cleaned_Data!K3041</f>
        <v>7</v>
      </c>
      <c r="I3041" t="str">
        <f t="shared" si="141"/>
        <v>YES</v>
      </c>
      <c r="J3041">
        <f>Cleaned_Data!J3041</f>
        <v>8</v>
      </c>
      <c r="K3041" t="str">
        <f t="shared" si="142"/>
        <v>2024-08</v>
      </c>
      <c r="L3041">
        <f t="shared" si="143"/>
        <v>0</v>
      </c>
    </row>
    <row r="3042" spans="1:12">
      <c r="A3042" t="s">
        <v>8830</v>
      </c>
      <c r="B3042" t="s">
        <v>8831</v>
      </c>
      <c r="C3042" t="s">
        <v>8832</v>
      </c>
      <c r="D3042" t="s">
        <v>23</v>
      </c>
      <c r="E3042" t="s">
        <v>54</v>
      </c>
      <c r="F3042" t="s">
        <v>17</v>
      </c>
      <c r="G3042" t="s">
        <v>31</v>
      </c>
      <c r="H3042">
        <f>Cleaned_Data!K3042</f>
        <v>4.58</v>
      </c>
      <c r="I3042" t="str">
        <f t="shared" si="141"/>
        <v>YES</v>
      </c>
      <c r="J3042">
        <f>Cleaned_Data!J3042</f>
        <v>24</v>
      </c>
      <c r="K3042" t="str">
        <f t="shared" si="142"/>
        <v>2024-12</v>
      </c>
      <c r="L3042">
        <f t="shared" si="143"/>
        <v>0</v>
      </c>
    </row>
    <row r="3043" spans="1:12">
      <c r="A3043" t="s">
        <v>8833</v>
      </c>
      <c r="B3043" t="s">
        <v>8834</v>
      </c>
      <c r="C3043" t="s">
        <v>8835</v>
      </c>
      <c r="D3043" t="s">
        <v>23</v>
      </c>
      <c r="E3043" t="s">
        <v>16</v>
      </c>
      <c r="F3043" t="s">
        <v>41</v>
      </c>
      <c r="G3043" t="s">
        <v>19</v>
      </c>
      <c r="H3043">
        <f>Cleaned_Data!K3043</f>
        <v>19.260000000000002</v>
      </c>
      <c r="I3043" t="str">
        <f t="shared" si="141"/>
        <v>YES</v>
      </c>
      <c r="J3043">
        <f>Cleaned_Data!J3043</f>
        <v>24</v>
      </c>
      <c r="K3043" t="str">
        <f t="shared" si="142"/>
        <v>2024-05</v>
      </c>
      <c r="L3043">
        <f t="shared" si="143"/>
        <v>0</v>
      </c>
    </row>
    <row r="3044" spans="1:12">
      <c r="A3044" t="s">
        <v>8836</v>
      </c>
      <c r="B3044" t="s">
        <v>8837</v>
      </c>
      <c r="C3044" t="s">
        <v>8838</v>
      </c>
      <c r="D3044" t="s">
        <v>23</v>
      </c>
      <c r="E3044" t="s">
        <v>16</v>
      </c>
      <c r="F3044" t="s">
        <v>17</v>
      </c>
      <c r="G3044" t="s">
        <v>19</v>
      </c>
      <c r="H3044">
        <f>Cleaned_Data!K3044</f>
        <v>12.12</v>
      </c>
      <c r="I3044" t="str">
        <f t="shared" si="141"/>
        <v>YES</v>
      </c>
      <c r="J3044">
        <f>Cleaned_Data!J3044</f>
        <v>24</v>
      </c>
      <c r="K3044" t="str">
        <f t="shared" si="142"/>
        <v>2024-05</v>
      </c>
      <c r="L3044">
        <f t="shared" si="143"/>
        <v>0</v>
      </c>
    </row>
    <row r="3045" spans="1:12">
      <c r="A3045" t="s">
        <v>8839</v>
      </c>
      <c r="B3045" t="s">
        <v>8840</v>
      </c>
      <c r="C3045" t="s">
        <v>8841</v>
      </c>
      <c r="D3045" t="s">
        <v>35</v>
      </c>
      <c r="E3045" t="s">
        <v>28</v>
      </c>
      <c r="F3045" t="s">
        <v>60</v>
      </c>
      <c r="G3045" t="s">
        <v>19</v>
      </c>
      <c r="H3045">
        <f>Cleaned_Data!K3045</f>
        <v>31.06</v>
      </c>
      <c r="I3045" t="str">
        <f t="shared" si="141"/>
        <v>YES</v>
      </c>
      <c r="J3045">
        <f>Cleaned_Data!J3045</f>
        <v>48</v>
      </c>
      <c r="K3045" t="str">
        <f t="shared" si="142"/>
        <v>2024-05</v>
      </c>
      <c r="L3045">
        <f t="shared" si="143"/>
        <v>0</v>
      </c>
    </row>
    <row r="3046" spans="1:12">
      <c r="A3046" t="s">
        <v>8842</v>
      </c>
      <c r="B3046" t="s">
        <v>8843</v>
      </c>
      <c r="C3046" t="s">
        <v>8844</v>
      </c>
      <c r="D3046" t="s">
        <v>23</v>
      </c>
      <c r="E3046" t="s">
        <v>24</v>
      </c>
      <c r="F3046" t="s">
        <v>17</v>
      </c>
      <c r="G3046" t="s">
        <v>19</v>
      </c>
      <c r="H3046">
        <f>Cleaned_Data!K3046</f>
        <v>7.28</v>
      </c>
      <c r="I3046" t="str">
        <f t="shared" si="141"/>
        <v>YES</v>
      </c>
      <c r="J3046">
        <f>Cleaned_Data!J3046</f>
        <v>24</v>
      </c>
      <c r="K3046" t="str">
        <f t="shared" si="142"/>
        <v>2024-05</v>
      </c>
      <c r="L3046">
        <f t="shared" si="143"/>
        <v>0</v>
      </c>
    </row>
    <row r="3047" spans="1:12">
      <c r="A3047" t="s">
        <v>8845</v>
      </c>
      <c r="B3047" t="s">
        <v>8846</v>
      </c>
      <c r="C3047" t="s">
        <v>8847</v>
      </c>
      <c r="D3047" t="s">
        <v>23</v>
      </c>
      <c r="E3047" t="s">
        <v>16</v>
      </c>
      <c r="F3047" t="s">
        <v>17</v>
      </c>
      <c r="G3047" t="s">
        <v>19</v>
      </c>
      <c r="H3047">
        <f>Cleaned_Data!K3047</f>
        <v>5.3</v>
      </c>
      <c r="I3047" t="str">
        <f t="shared" si="141"/>
        <v>YES</v>
      </c>
      <c r="J3047">
        <f>Cleaned_Data!J3047</f>
        <v>24</v>
      </c>
      <c r="K3047" t="str">
        <f t="shared" si="142"/>
        <v>2024-09</v>
      </c>
      <c r="L3047">
        <f t="shared" si="143"/>
        <v>0</v>
      </c>
    </row>
    <row r="3048" spans="1:12">
      <c r="A3048" t="s">
        <v>8848</v>
      </c>
      <c r="B3048" t="s">
        <v>8849</v>
      </c>
      <c r="C3048" t="s">
        <v>8850</v>
      </c>
      <c r="D3048" t="s">
        <v>23</v>
      </c>
      <c r="E3048" t="s">
        <v>28</v>
      </c>
      <c r="F3048" t="s">
        <v>36</v>
      </c>
      <c r="G3048" t="s">
        <v>31</v>
      </c>
      <c r="H3048">
        <f>Cleaned_Data!K3048</f>
        <v>7.86</v>
      </c>
      <c r="I3048" t="str">
        <f t="shared" si="141"/>
        <v>YES</v>
      </c>
      <c r="J3048">
        <f>Cleaned_Data!J3048</f>
        <v>24</v>
      </c>
      <c r="K3048" t="str">
        <f t="shared" si="142"/>
        <v>2024-10</v>
      </c>
      <c r="L3048">
        <f t="shared" si="143"/>
        <v>0</v>
      </c>
    </row>
    <row r="3049" spans="1:12">
      <c r="A3049" t="s">
        <v>8851</v>
      </c>
      <c r="B3049" t="s">
        <v>8852</v>
      </c>
      <c r="C3049" t="s">
        <v>8853</v>
      </c>
      <c r="D3049" t="s">
        <v>23</v>
      </c>
      <c r="E3049" t="s">
        <v>16</v>
      </c>
      <c r="F3049" t="s">
        <v>36</v>
      </c>
      <c r="G3049" t="s">
        <v>19</v>
      </c>
      <c r="H3049">
        <f>Cleaned_Data!K3049</f>
        <v>9.36</v>
      </c>
      <c r="I3049" t="str">
        <f t="shared" si="141"/>
        <v>YES</v>
      </c>
      <c r="J3049">
        <f>Cleaned_Data!J3049</f>
        <v>24</v>
      </c>
      <c r="K3049" t="str">
        <f t="shared" si="142"/>
        <v>2024-08</v>
      </c>
      <c r="L3049">
        <f t="shared" si="143"/>
        <v>0</v>
      </c>
    </row>
    <row r="3050" spans="1:12">
      <c r="A3050" t="s">
        <v>8854</v>
      </c>
      <c r="B3050" t="s">
        <v>8855</v>
      </c>
      <c r="C3050" t="s">
        <v>8856</v>
      </c>
      <c r="D3050" t="s">
        <v>23</v>
      </c>
      <c r="E3050" t="s">
        <v>28</v>
      </c>
      <c r="F3050" t="s">
        <v>41</v>
      </c>
      <c r="G3050" t="s">
        <v>31</v>
      </c>
      <c r="H3050">
        <f>Cleaned_Data!K3050</f>
        <v>6.93</v>
      </c>
      <c r="I3050" t="str">
        <f t="shared" si="141"/>
        <v>YES</v>
      </c>
      <c r="J3050">
        <f>Cleaned_Data!J3050</f>
        <v>24</v>
      </c>
      <c r="K3050" t="str">
        <f t="shared" si="142"/>
        <v>2024-11</v>
      </c>
      <c r="L3050">
        <f t="shared" si="143"/>
        <v>0</v>
      </c>
    </row>
    <row r="3051" spans="1:12">
      <c r="A3051" t="s">
        <v>8857</v>
      </c>
      <c r="B3051" t="s">
        <v>8858</v>
      </c>
      <c r="C3051" t="s">
        <v>8859</v>
      </c>
      <c r="D3051" t="s">
        <v>23</v>
      </c>
      <c r="E3051" t="s">
        <v>54</v>
      </c>
      <c r="F3051" t="s">
        <v>36</v>
      </c>
      <c r="G3051" t="s">
        <v>19</v>
      </c>
      <c r="H3051">
        <f>Cleaned_Data!K3051</f>
        <v>18</v>
      </c>
      <c r="I3051" t="str">
        <f t="shared" si="141"/>
        <v>YES</v>
      </c>
      <c r="J3051">
        <f>Cleaned_Data!J3051</f>
        <v>24</v>
      </c>
      <c r="K3051" t="str">
        <f t="shared" si="142"/>
        <v>2024-09</v>
      </c>
      <c r="L3051">
        <f t="shared" si="143"/>
        <v>0</v>
      </c>
    </row>
    <row r="3052" spans="1:12">
      <c r="A3052" t="s">
        <v>8860</v>
      </c>
      <c r="B3052" t="s">
        <v>8861</v>
      </c>
      <c r="C3052" t="s">
        <v>8862</v>
      </c>
      <c r="D3052" t="s">
        <v>35</v>
      </c>
      <c r="E3052" t="s">
        <v>24</v>
      </c>
      <c r="F3052" t="s">
        <v>60</v>
      </c>
      <c r="G3052" t="s">
        <v>31</v>
      </c>
      <c r="H3052">
        <f>Cleaned_Data!K3052</f>
        <v>51.12</v>
      </c>
      <c r="I3052" t="str">
        <f t="shared" si="141"/>
        <v>NO</v>
      </c>
      <c r="J3052">
        <f>Cleaned_Data!J3052</f>
        <v>48</v>
      </c>
      <c r="K3052" t="str">
        <f t="shared" si="142"/>
        <v>2024-02</v>
      </c>
      <c r="L3052">
        <f t="shared" si="143"/>
        <v>3.1199999999999974</v>
      </c>
    </row>
    <row r="3053" spans="1:12">
      <c r="A3053" t="s">
        <v>8863</v>
      </c>
      <c r="B3053" t="s">
        <v>8864</v>
      </c>
      <c r="C3053" t="s">
        <v>8865</v>
      </c>
      <c r="D3053" t="s">
        <v>23</v>
      </c>
      <c r="E3053" t="s">
        <v>16</v>
      </c>
      <c r="F3053" t="s">
        <v>36</v>
      </c>
      <c r="G3053" t="s">
        <v>19</v>
      </c>
      <c r="H3053">
        <f>Cleaned_Data!K3053</f>
        <v>51.2</v>
      </c>
      <c r="I3053" t="str">
        <f t="shared" si="141"/>
        <v>NO</v>
      </c>
      <c r="J3053">
        <f>Cleaned_Data!J3053</f>
        <v>24</v>
      </c>
      <c r="K3053" t="str">
        <f t="shared" si="142"/>
        <v>2024-12</v>
      </c>
      <c r="L3053">
        <f t="shared" si="143"/>
        <v>27.200000000000003</v>
      </c>
    </row>
    <row r="3054" spans="1:12">
      <c r="A3054" t="s">
        <v>8866</v>
      </c>
      <c r="B3054" t="s">
        <v>8867</v>
      </c>
      <c r="D3054" t="s">
        <v>35</v>
      </c>
      <c r="E3054" t="s">
        <v>16</v>
      </c>
      <c r="F3054" t="s">
        <v>41</v>
      </c>
      <c r="G3054" t="s">
        <v>63</v>
      </c>
      <c r="H3054">
        <f>Cleaned_Data!K3054</f>
        <v>0</v>
      </c>
      <c r="I3054" t="str">
        <f t="shared" si="141"/>
        <v/>
      </c>
      <c r="J3054">
        <f>Cleaned_Data!J3054</f>
        <v>48</v>
      </c>
      <c r="K3054" t="str">
        <f t="shared" si="142"/>
        <v>2024-03</v>
      </c>
      <c r="L3054">
        <f t="shared" si="143"/>
        <v>0</v>
      </c>
    </row>
    <row r="3055" spans="1:12">
      <c r="A3055" t="s">
        <v>8868</v>
      </c>
      <c r="B3055" t="s">
        <v>8869</v>
      </c>
      <c r="C3055" t="s">
        <v>8870</v>
      </c>
      <c r="D3055" t="s">
        <v>15</v>
      </c>
      <c r="E3055" t="s">
        <v>16</v>
      </c>
      <c r="F3055" t="s">
        <v>60</v>
      </c>
      <c r="G3055" t="s">
        <v>19</v>
      </c>
      <c r="H3055">
        <f>Cleaned_Data!K3055</f>
        <v>5.78</v>
      </c>
      <c r="I3055" t="str">
        <f t="shared" si="141"/>
        <v>YES</v>
      </c>
      <c r="J3055">
        <f>Cleaned_Data!J3055</f>
        <v>8</v>
      </c>
      <c r="K3055" t="str">
        <f t="shared" si="142"/>
        <v>2024-10</v>
      </c>
      <c r="L3055">
        <f t="shared" si="143"/>
        <v>0</v>
      </c>
    </row>
    <row r="3056" spans="1:12">
      <c r="A3056" t="s">
        <v>8871</v>
      </c>
      <c r="B3056" t="s">
        <v>8872</v>
      </c>
      <c r="C3056" t="s">
        <v>8873</v>
      </c>
      <c r="D3056" t="s">
        <v>23</v>
      </c>
      <c r="E3056" t="s">
        <v>24</v>
      </c>
      <c r="F3056" t="s">
        <v>60</v>
      </c>
      <c r="G3056" t="s">
        <v>19</v>
      </c>
      <c r="H3056">
        <f>Cleaned_Data!K3056</f>
        <v>32.049999999999997</v>
      </c>
      <c r="I3056" t="str">
        <f t="shared" si="141"/>
        <v>NO</v>
      </c>
      <c r="J3056">
        <f>Cleaned_Data!J3056</f>
        <v>24</v>
      </c>
      <c r="K3056" t="str">
        <f t="shared" si="142"/>
        <v>2024-12</v>
      </c>
      <c r="L3056">
        <f t="shared" si="143"/>
        <v>8.0499999999999972</v>
      </c>
    </row>
    <row r="3057" spans="1:12">
      <c r="A3057" t="s">
        <v>8874</v>
      </c>
      <c r="B3057" t="s">
        <v>8875</v>
      </c>
      <c r="C3057" t="s">
        <v>8876</v>
      </c>
      <c r="D3057" t="s">
        <v>23</v>
      </c>
      <c r="E3057" t="s">
        <v>28</v>
      </c>
      <c r="F3057" t="s">
        <v>17</v>
      </c>
      <c r="G3057" t="s">
        <v>31</v>
      </c>
      <c r="H3057">
        <f>Cleaned_Data!K3057</f>
        <v>20.52</v>
      </c>
      <c r="I3057" t="str">
        <f t="shared" si="141"/>
        <v>YES</v>
      </c>
      <c r="J3057">
        <f>Cleaned_Data!J3057</f>
        <v>24</v>
      </c>
      <c r="K3057" t="str">
        <f t="shared" si="142"/>
        <v>2024-02</v>
      </c>
      <c r="L3057">
        <f t="shared" si="143"/>
        <v>0</v>
      </c>
    </row>
    <row r="3058" spans="1:12">
      <c r="A3058" t="s">
        <v>8877</v>
      </c>
      <c r="B3058" t="s">
        <v>8878</v>
      </c>
      <c r="C3058" t="s">
        <v>8879</v>
      </c>
      <c r="D3058" t="s">
        <v>23</v>
      </c>
      <c r="E3058" t="s">
        <v>28</v>
      </c>
      <c r="F3058" t="s">
        <v>41</v>
      </c>
      <c r="G3058" t="s">
        <v>19</v>
      </c>
      <c r="H3058">
        <f>Cleaned_Data!K3058</f>
        <v>21.33</v>
      </c>
      <c r="I3058" t="str">
        <f t="shared" si="141"/>
        <v>YES</v>
      </c>
      <c r="J3058">
        <f>Cleaned_Data!J3058</f>
        <v>24</v>
      </c>
      <c r="K3058" t="str">
        <f t="shared" si="142"/>
        <v>2024-05</v>
      </c>
      <c r="L3058">
        <f t="shared" si="143"/>
        <v>0</v>
      </c>
    </row>
    <row r="3059" spans="1:12">
      <c r="A3059" t="s">
        <v>8880</v>
      </c>
      <c r="B3059" t="s">
        <v>8881</v>
      </c>
      <c r="C3059" t="s">
        <v>8882</v>
      </c>
      <c r="D3059" t="s">
        <v>35</v>
      </c>
      <c r="E3059" t="s">
        <v>54</v>
      </c>
      <c r="F3059" t="s">
        <v>60</v>
      </c>
      <c r="G3059" t="s">
        <v>19</v>
      </c>
      <c r="H3059">
        <f>Cleaned_Data!K3059</f>
        <v>33.76</v>
      </c>
      <c r="I3059" t="str">
        <f t="shared" si="141"/>
        <v>YES</v>
      </c>
      <c r="J3059">
        <f>Cleaned_Data!J3059</f>
        <v>48</v>
      </c>
      <c r="K3059" t="str">
        <f t="shared" si="142"/>
        <v>2024-06</v>
      </c>
      <c r="L3059">
        <f t="shared" si="143"/>
        <v>0</v>
      </c>
    </row>
    <row r="3060" spans="1:12">
      <c r="A3060" t="s">
        <v>8883</v>
      </c>
      <c r="B3060" t="s">
        <v>8884</v>
      </c>
      <c r="C3060" t="s">
        <v>8885</v>
      </c>
      <c r="D3060" t="s">
        <v>23</v>
      </c>
      <c r="E3060" t="s">
        <v>16</v>
      </c>
      <c r="F3060" t="s">
        <v>41</v>
      </c>
      <c r="G3060" t="s">
        <v>19</v>
      </c>
      <c r="H3060">
        <f>Cleaned_Data!K3060</f>
        <v>16.3</v>
      </c>
      <c r="I3060" t="str">
        <f t="shared" si="141"/>
        <v>YES</v>
      </c>
      <c r="J3060">
        <f>Cleaned_Data!J3060</f>
        <v>24</v>
      </c>
      <c r="K3060" t="str">
        <f t="shared" si="142"/>
        <v>2024-10</v>
      </c>
      <c r="L3060">
        <f t="shared" si="143"/>
        <v>0</v>
      </c>
    </row>
    <row r="3061" spans="1:12">
      <c r="A3061" t="s">
        <v>8886</v>
      </c>
      <c r="B3061" t="s">
        <v>8887</v>
      </c>
      <c r="C3061" t="s">
        <v>8888</v>
      </c>
      <c r="D3061" t="s">
        <v>15</v>
      </c>
      <c r="E3061" t="s">
        <v>16</v>
      </c>
      <c r="F3061" t="s">
        <v>36</v>
      </c>
      <c r="G3061" t="s">
        <v>31</v>
      </c>
      <c r="H3061">
        <f>Cleaned_Data!K3061</f>
        <v>1.9</v>
      </c>
      <c r="I3061" t="str">
        <f t="shared" si="141"/>
        <v>YES</v>
      </c>
      <c r="J3061">
        <f>Cleaned_Data!J3061</f>
        <v>8</v>
      </c>
      <c r="K3061" t="str">
        <f t="shared" si="142"/>
        <v>2024-04</v>
      </c>
      <c r="L3061">
        <f t="shared" si="143"/>
        <v>0</v>
      </c>
    </row>
    <row r="3062" spans="1:12">
      <c r="A3062" t="s">
        <v>8889</v>
      </c>
      <c r="B3062" t="s">
        <v>8890</v>
      </c>
      <c r="C3062" t="s">
        <v>8891</v>
      </c>
      <c r="D3062" t="s">
        <v>35</v>
      </c>
      <c r="E3062" t="s">
        <v>59</v>
      </c>
      <c r="F3062" t="s">
        <v>41</v>
      </c>
      <c r="G3062" t="s">
        <v>31</v>
      </c>
      <c r="H3062">
        <f>Cleaned_Data!K3062</f>
        <v>23.52</v>
      </c>
      <c r="I3062" t="str">
        <f t="shared" si="141"/>
        <v>YES</v>
      </c>
      <c r="J3062">
        <f>Cleaned_Data!J3062</f>
        <v>48</v>
      </c>
      <c r="K3062" t="str">
        <f t="shared" si="142"/>
        <v>2024-04</v>
      </c>
      <c r="L3062">
        <f t="shared" si="143"/>
        <v>0</v>
      </c>
    </row>
    <row r="3063" spans="1:12">
      <c r="A3063" t="s">
        <v>8892</v>
      </c>
      <c r="B3063" t="s">
        <v>8893</v>
      </c>
      <c r="C3063" t="s">
        <v>8894</v>
      </c>
      <c r="D3063" t="s">
        <v>15</v>
      </c>
      <c r="E3063" t="s">
        <v>16</v>
      </c>
      <c r="F3063" t="s">
        <v>60</v>
      </c>
      <c r="G3063" t="s">
        <v>31</v>
      </c>
      <c r="H3063">
        <f>Cleaned_Data!K3063</f>
        <v>5.04</v>
      </c>
      <c r="I3063" t="str">
        <f t="shared" si="141"/>
        <v>YES</v>
      </c>
      <c r="J3063">
        <f>Cleaned_Data!J3063</f>
        <v>8</v>
      </c>
      <c r="K3063" t="str">
        <f t="shared" si="142"/>
        <v>2024-09</v>
      </c>
      <c r="L3063">
        <f t="shared" si="143"/>
        <v>0</v>
      </c>
    </row>
    <row r="3064" spans="1:12">
      <c r="A3064" t="s">
        <v>8895</v>
      </c>
      <c r="B3064" t="s">
        <v>8896</v>
      </c>
      <c r="C3064" t="s">
        <v>8897</v>
      </c>
      <c r="D3064" t="s">
        <v>23</v>
      </c>
      <c r="E3064" t="s">
        <v>28</v>
      </c>
      <c r="F3064" t="s">
        <v>17</v>
      </c>
      <c r="G3064" t="s">
        <v>19</v>
      </c>
      <c r="H3064">
        <f>Cleaned_Data!K3064</f>
        <v>12.45</v>
      </c>
      <c r="I3064" t="str">
        <f t="shared" si="141"/>
        <v>YES</v>
      </c>
      <c r="J3064">
        <f>Cleaned_Data!J3064</f>
        <v>24</v>
      </c>
      <c r="K3064" t="str">
        <f t="shared" si="142"/>
        <v>2024-01</v>
      </c>
      <c r="L3064">
        <f t="shared" si="143"/>
        <v>0</v>
      </c>
    </row>
    <row r="3065" spans="1:12">
      <c r="A3065" t="s">
        <v>8898</v>
      </c>
      <c r="B3065" t="s">
        <v>8899</v>
      </c>
      <c r="C3065" t="s">
        <v>8900</v>
      </c>
      <c r="D3065" t="s">
        <v>158</v>
      </c>
      <c r="E3065" t="s">
        <v>59</v>
      </c>
      <c r="F3065" t="s">
        <v>36</v>
      </c>
      <c r="G3065" t="s">
        <v>31</v>
      </c>
      <c r="H3065">
        <f>Cleaned_Data!K3065</f>
        <v>1.75</v>
      </c>
      <c r="I3065" t="str">
        <f t="shared" si="141"/>
        <v>YES</v>
      </c>
      <c r="J3065">
        <f>Cleaned_Data!J3065</f>
        <v>4</v>
      </c>
      <c r="K3065" t="str">
        <f t="shared" si="142"/>
        <v>2024-02</v>
      </c>
      <c r="L3065">
        <f t="shared" si="143"/>
        <v>0</v>
      </c>
    </row>
    <row r="3066" spans="1:12">
      <c r="A3066" t="s">
        <v>8901</v>
      </c>
      <c r="B3066" t="s">
        <v>8902</v>
      </c>
      <c r="C3066" t="s">
        <v>8903</v>
      </c>
      <c r="D3066" t="s">
        <v>23</v>
      </c>
      <c r="E3066" t="s">
        <v>59</v>
      </c>
      <c r="F3066" t="s">
        <v>36</v>
      </c>
      <c r="G3066" t="s">
        <v>19</v>
      </c>
      <c r="H3066">
        <f>Cleaned_Data!K3066</f>
        <v>17.04</v>
      </c>
      <c r="I3066" t="str">
        <f t="shared" si="141"/>
        <v>YES</v>
      </c>
      <c r="J3066">
        <f>Cleaned_Data!J3066</f>
        <v>24</v>
      </c>
      <c r="K3066" t="str">
        <f t="shared" si="142"/>
        <v>2024-02</v>
      </c>
      <c r="L3066">
        <f t="shared" si="143"/>
        <v>0</v>
      </c>
    </row>
    <row r="3067" spans="1:12">
      <c r="A3067" t="s">
        <v>8904</v>
      </c>
      <c r="B3067" t="s">
        <v>8905</v>
      </c>
      <c r="D3067" t="s">
        <v>23</v>
      </c>
      <c r="E3067" t="s">
        <v>28</v>
      </c>
      <c r="F3067" t="s">
        <v>41</v>
      </c>
      <c r="G3067" t="s">
        <v>63</v>
      </c>
      <c r="H3067">
        <f>Cleaned_Data!K3067</f>
        <v>0</v>
      </c>
      <c r="I3067" t="str">
        <f t="shared" si="141"/>
        <v/>
      </c>
      <c r="J3067">
        <f>Cleaned_Data!J3067</f>
        <v>24</v>
      </c>
      <c r="K3067" t="str">
        <f t="shared" si="142"/>
        <v>2024-11</v>
      </c>
      <c r="L3067">
        <f t="shared" si="143"/>
        <v>0</v>
      </c>
    </row>
    <row r="3068" spans="1:12">
      <c r="A3068" t="s">
        <v>8906</v>
      </c>
      <c r="B3068" t="s">
        <v>8907</v>
      </c>
      <c r="C3068" t="s">
        <v>8908</v>
      </c>
      <c r="D3068" t="s">
        <v>15</v>
      </c>
      <c r="E3068" t="s">
        <v>28</v>
      </c>
      <c r="F3068" t="s">
        <v>60</v>
      </c>
      <c r="G3068" t="s">
        <v>19</v>
      </c>
      <c r="H3068">
        <f>Cleaned_Data!K3068</f>
        <v>1.41</v>
      </c>
      <c r="I3068" t="str">
        <f t="shared" si="141"/>
        <v>YES</v>
      </c>
      <c r="J3068">
        <f>Cleaned_Data!J3068</f>
        <v>8</v>
      </c>
      <c r="K3068" t="str">
        <f t="shared" si="142"/>
        <v>2024-03</v>
      </c>
      <c r="L3068">
        <f t="shared" si="143"/>
        <v>0</v>
      </c>
    </row>
    <row r="3069" spans="1:12">
      <c r="A3069" t="s">
        <v>8909</v>
      </c>
      <c r="B3069" t="s">
        <v>8910</v>
      </c>
      <c r="C3069" t="s">
        <v>8911</v>
      </c>
      <c r="D3069" t="s">
        <v>23</v>
      </c>
      <c r="E3069" t="s">
        <v>28</v>
      </c>
      <c r="F3069" t="s">
        <v>36</v>
      </c>
      <c r="G3069" t="s">
        <v>19</v>
      </c>
      <c r="H3069">
        <f>Cleaned_Data!K3069</f>
        <v>58.47</v>
      </c>
      <c r="I3069" t="str">
        <f t="shared" si="141"/>
        <v>NO</v>
      </c>
      <c r="J3069">
        <f>Cleaned_Data!J3069</f>
        <v>24</v>
      </c>
      <c r="K3069" t="str">
        <f t="shared" si="142"/>
        <v>2024-04</v>
      </c>
      <c r="L3069">
        <f t="shared" si="143"/>
        <v>34.47</v>
      </c>
    </row>
    <row r="3070" spans="1:12">
      <c r="A3070" t="s">
        <v>8912</v>
      </c>
      <c r="B3070" t="s">
        <v>8913</v>
      </c>
      <c r="C3070" t="s">
        <v>8914</v>
      </c>
      <c r="D3070" t="s">
        <v>23</v>
      </c>
      <c r="E3070" t="s">
        <v>28</v>
      </c>
      <c r="F3070" t="s">
        <v>17</v>
      </c>
      <c r="G3070" t="s">
        <v>19</v>
      </c>
      <c r="H3070">
        <f>Cleaned_Data!K3070</f>
        <v>21.62</v>
      </c>
      <c r="I3070" t="str">
        <f t="shared" si="141"/>
        <v>YES</v>
      </c>
      <c r="J3070">
        <f>Cleaned_Data!J3070</f>
        <v>24</v>
      </c>
      <c r="K3070" t="str">
        <f t="shared" si="142"/>
        <v>2024-09</v>
      </c>
      <c r="L3070">
        <f t="shared" si="143"/>
        <v>0</v>
      </c>
    </row>
    <row r="3071" spans="1:12">
      <c r="A3071" t="s">
        <v>8915</v>
      </c>
      <c r="B3071" t="s">
        <v>8916</v>
      </c>
      <c r="C3071" t="s">
        <v>8917</v>
      </c>
      <c r="D3071" t="s">
        <v>15</v>
      </c>
      <c r="E3071" t="s">
        <v>54</v>
      </c>
      <c r="F3071" t="s">
        <v>41</v>
      </c>
      <c r="G3071" t="s">
        <v>19</v>
      </c>
      <c r="H3071">
        <f>Cleaned_Data!K3071</f>
        <v>2.91</v>
      </c>
      <c r="I3071" t="str">
        <f t="shared" si="141"/>
        <v>YES</v>
      </c>
      <c r="J3071">
        <f>Cleaned_Data!J3071</f>
        <v>8</v>
      </c>
      <c r="K3071" t="str">
        <f t="shared" si="142"/>
        <v>2024-09</v>
      </c>
      <c r="L3071">
        <f t="shared" si="143"/>
        <v>0</v>
      </c>
    </row>
    <row r="3072" spans="1:12">
      <c r="A3072" t="s">
        <v>8918</v>
      </c>
      <c r="B3072" t="s">
        <v>8919</v>
      </c>
      <c r="C3072" t="s">
        <v>8920</v>
      </c>
      <c r="D3072" t="s">
        <v>35</v>
      </c>
      <c r="E3072" t="s">
        <v>54</v>
      </c>
      <c r="F3072" t="s">
        <v>17</v>
      </c>
      <c r="G3072" t="s">
        <v>19</v>
      </c>
      <c r="H3072">
        <f>Cleaned_Data!K3072</f>
        <v>4.91</v>
      </c>
      <c r="I3072" t="str">
        <f t="shared" si="141"/>
        <v>YES</v>
      </c>
      <c r="J3072">
        <f>Cleaned_Data!J3072</f>
        <v>48</v>
      </c>
      <c r="K3072" t="str">
        <f t="shared" si="142"/>
        <v>2024-04</v>
      </c>
      <c r="L3072">
        <f t="shared" si="143"/>
        <v>0</v>
      </c>
    </row>
    <row r="3073" spans="1:12">
      <c r="A3073" t="s">
        <v>8921</v>
      </c>
      <c r="B3073" t="s">
        <v>8922</v>
      </c>
      <c r="C3073" t="s">
        <v>8923</v>
      </c>
      <c r="D3073" t="s">
        <v>35</v>
      </c>
      <c r="E3073" t="s">
        <v>54</v>
      </c>
      <c r="F3073" t="s">
        <v>17</v>
      </c>
      <c r="G3073" t="s">
        <v>19</v>
      </c>
      <c r="H3073">
        <f>Cleaned_Data!K3073</f>
        <v>8.32</v>
      </c>
      <c r="I3073" t="str">
        <f t="shared" si="141"/>
        <v>YES</v>
      </c>
      <c r="J3073">
        <f>Cleaned_Data!J3073</f>
        <v>48</v>
      </c>
      <c r="K3073" t="str">
        <f t="shared" si="142"/>
        <v>2024-09</v>
      </c>
      <c r="L3073">
        <f t="shared" si="143"/>
        <v>0</v>
      </c>
    </row>
    <row r="3074" spans="1:12">
      <c r="A3074" t="s">
        <v>8924</v>
      </c>
      <c r="B3074" t="s">
        <v>8925</v>
      </c>
      <c r="C3074" t="s">
        <v>8926</v>
      </c>
      <c r="D3074" t="s">
        <v>23</v>
      </c>
      <c r="E3074" t="s">
        <v>28</v>
      </c>
      <c r="F3074" t="s">
        <v>60</v>
      </c>
      <c r="G3074" t="s">
        <v>31</v>
      </c>
      <c r="H3074">
        <f>Cleaned_Data!K3074</f>
        <v>6.65</v>
      </c>
      <c r="I3074" t="str">
        <f t="shared" ref="I3074:I3137" si="144">IF(OR(G3074="Resolved", G3074="Closed"), IF(AND(H3074&lt;&gt;"", H3074&lt;=J3074), "YES", "NO"), "")</f>
        <v>YES</v>
      </c>
      <c r="J3074">
        <f>Cleaned_Data!J3074</f>
        <v>24</v>
      </c>
      <c r="K3074" t="str">
        <f t="shared" ref="K3074:K3137" si="145">LEFT(B3074, 7)</f>
        <v>2024-05</v>
      </c>
      <c r="L3074">
        <f t="shared" ref="L3074:L3137" si="146">IF(I3074="NO", H3074-J3074, 0)</f>
        <v>0</v>
      </c>
    </row>
    <row r="3075" spans="1:12">
      <c r="A3075" t="s">
        <v>8927</v>
      </c>
      <c r="B3075" t="s">
        <v>8928</v>
      </c>
      <c r="C3075" t="s">
        <v>8929</v>
      </c>
      <c r="D3075" t="s">
        <v>15</v>
      </c>
      <c r="E3075" t="s">
        <v>59</v>
      </c>
      <c r="F3075" t="s">
        <v>17</v>
      </c>
      <c r="G3075" t="s">
        <v>19</v>
      </c>
      <c r="H3075">
        <f>Cleaned_Data!K3075</f>
        <v>5.73</v>
      </c>
      <c r="I3075" t="str">
        <f t="shared" si="144"/>
        <v>YES</v>
      </c>
      <c r="J3075">
        <f>Cleaned_Data!J3075</f>
        <v>8</v>
      </c>
      <c r="K3075" t="str">
        <f t="shared" si="145"/>
        <v>2024-12</v>
      </c>
      <c r="L3075">
        <f t="shared" si="146"/>
        <v>0</v>
      </c>
    </row>
    <row r="3076" spans="1:12">
      <c r="A3076" t="s">
        <v>8930</v>
      </c>
      <c r="B3076" t="s">
        <v>8931</v>
      </c>
      <c r="C3076" t="s">
        <v>8932</v>
      </c>
      <c r="D3076" t="s">
        <v>35</v>
      </c>
      <c r="E3076" t="s">
        <v>16</v>
      </c>
      <c r="F3076" t="s">
        <v>17</v>
      </c>
      <c r="G3076" t="s">
        <v>31</v>
      </c>
      <c r="H3076">
        <f>Cleaned_Data!K3076</f>
        <v>41.39</v>
      </c>
      <c r="I3076" t="str">
        <f t="shared" si="144"/>
        <v>YES</v>
      </c>
      <c r="J3076">
        <f>Cleaned_Data!J3076</f>
        <v>48</v>
      </c>
      <c r="K3076" t="str">
        <f t="shared" si="145"/>
        <v>2024-05</v>
      </c>
      <c r="L3076">
        <f t="shared" si="146"/>
        <v>0</v>
      </c>
    </row>
    <row r="3077" spans="1:12">
      <c r="A3077" t="s">
        <v>8933</v>
      </c>
      <c r="B3077" t="s">
        <v>8934</v>
      </c>
      <c r="C3077" t="s">
        <v>8935</v>
      </c>
      <c r="D3077" t="s">
        <v>35</v>
      </c>
      <c r="E3077" t="s">
        <v>24</v>
      </c>
      <c r="F3077" t="s">
        <v>36</v>
      </c>
      <c r="G3077" t="s">
        <v>19</v>
      </c>
      <c r="H3077">
        <f>Cleaned_Data!K3077</f>
        <v>105.5</v>
      </c>
      <c r="I3077" t="str">
        <f t="shared" si="144"/>
        <v>NO</v>
      </c>
      <c r="J3077">
        <f>Cleaned_Data!J3077</f>
        <v>48</v>
      </c>
      <c r="K3077" t="str">
        <f t="shared" si="145"/>
        <v>2024-02</v>
      </c>
      <c r="L3077">
        <f t="shared" si="146"/>
        <v>57.5</v>
      </c>
    </row>
    <row r="3078" spans="1:12">
      <c r="A3078" t="s">
        <v>8936</v>
      </c>
      <c r="B3078" t="s">
        <v>8937</v>
      </c>
      <c r="D3078" t="s">
        <v>23</v>
      </c>
      <c r="E3078" t="s">
        <v>16</v>
      </c>
      <c r="F3078" t="s">
        <v>29</v>
      </c>
      <c r="G3078" t="s">
        <v>46</v>
      </c>
      <c r="H3078">
        <f>Cleaned_Data!K3078</f>
        <v>0</v>
      </c>
      <c r="I3078" t="str">
        <f t="shared" si="144"/>
        <v/>
      </c>
      <c r="J3078">
        <f>Cleaned_Data!J3078</f>
        <v>24</v>
      </c>
      <c r="K3078" t="str">
        <f t="shared" si="145"/>
        <v>2024-06</v>
      </c>
      <c r="L3078">
        <f t="shared" si="146"/>
        <v>0</v>
      </c>
    </row>
    <row r="3079" spans="1:12">
      <c r="A3079" t="s">
        <v>8938</v>
      </c>
      <c r="B3079" t="s">
        <v>8939</v>
      </c>
      <c r="C3079" t="s">
        <v>8940</v>
      </c>
      <c r="D3079" t="s">
        <v>23</v>
      </c>
      <c r="E3079" t="s">
        <v>59</v>
      </c>
      <c r="F3079" t="s">
        <v>17</v>
      </c>
      <c r="G3079" t="s">
        <v>31</v>
      </c>
      <c r="H3079">
        <f>Cleaned_Data!K3079</f>
        <v>9.24</v>
      </c>
      <c r="I3079" t="str">
        <f t="shared" si="144"/>
        <v>YES</v>
      </c>
      <c r="J3079">
        <f>Cleaned_Data!J3079</f>
        <v>24</v>
      </c>
      <c r="K3079" t="str">
        <f t="shared" si="145"/>
        <v>2024-03</v>
      </c>
      <c r="L3079">
        <f t="shared" si="146"/>
        <v>0</v>
      </c>
    </row>
    <row r="3080" spans="1:12">
      <c r="A3080" t="s">
        <v>8941</v>
      </c>
      <c r="B3080" t="s">
        <v>8942</v>
      </c>
      <c r="C3080" t="s">
        <v>8943</v>
      </c>
      <c r="D3080" t="s">
        <v>23</v>
      </c>
      <c r="E3080" t="s">
        <v>28</v>
      </c>
      <c r="F3080" t="s">
        <v>36</v>
      </c>
      <c r="G3080" t="s">
        <v>31</v>
      </c>
      <c r="H3080">
        <f>Cleaned_Data!K3080</f>
        <v>7.76</v>
      </c>
      <c r="I3080" t="str">
        <f t="shared" si="144"/>
        <v>YES</v>
      </c>
      <c r="J3080">
        <f>Cleaned_Data!J3080</f>
        <v>24</v>
      </c>
      <c r="K3080" t="str">
        <f t="shared" si="145"/>
        <v>2024-08</v>
      </c>
      <c r="L3080">
        <f t="shared" si="146"/>
        <v>0</v>
      </c>
    </row>
    <row r="3081" spans="1:12">
      <c r="A3081" t="s">
        <v>8944</v>
      </c>
      <c r="B3081" t="s">
        <v>8945</v>
      </c>
      <c r="C3081" t="s">
        <v>8946</v>
      </c>
      <c r="D3081" t="s">
        <v>23</v>
      </c>
      <c r="E3081" t="s">
        <v>24</v>
      </c>
      <c r="F3081" t="s">
        <v>41</v>
      </c>
      <c r="G3081" t="s">
        <v>19</v>
      </c>
      <c r="H3081">
        <f>Cleaned_Data!K3081</f>
        <v>26.36</v>
      </c>
      <c r="I3081" t="str">
        <f t="shared" si="144"/>
        <v>NO</v>
      </c>
      <c r="J3081">
        <f>Cleaned_Data!J3081</f>
        <v>24</v>
      </c>
      <c r="K3081" t="str">
        <f t="shared" si="145"/>
        <v>2024-06</v>
      </c>
      <c r="L3081">
        <f t="shared" si="146"/>
        <v>2.3599999999999994</v>
      </c>
    </row>
    <row r="3082" spans="1:12">
      <c r="A3082" t="s">
        <v>8947</v>
      </c>
      <c r="B3082" t="s">
        <v>8948</v>
      </c>
      <c r="C3082" t="s">
        <v>8949</v>
      </c>
      <c r="D3082" t="s">
        <v>15</v>
      </c>
      <c r="E3082" t="s">
        <v>24</v>
      </c>
      <c r="F3082" t="s">
        <v>41</v>
      </c>
      <c r="G3082" t="s">
        <v>19</v>
      </c>
      <c r="H3082">
        <f>Cleaned_Data!K3082</f>
        <v>21.9</v>
      </c>
      <c r="I3082" t="str">
        <f t="shared" si="144"/>
        <v>NO</v>
      </c>
      <c r="J3082">
        <f>Cleaned_Data!J3082</f>
        <v>8</v>
      </c>
      <c r="K3082" t="str">
        <f t="shared" si="145"/>
        <v>2024-02</v>
      </c>
      <c r="L3082">
        <f t="shared" si="146"/>
        <v>13.899999999999999</v>
      </c>
    </row>
    <row r="3083" spans="1:12">
      <c r="A3083" t="s">
        <v>8950</v>
      </c>
      <c r="B3083" t="s">
        <v>8951</v>
      </c>
      <c r="C3083" t="s">
        <v>8952</v>
      </c>
      <c r="D3083" t="s">
        <v>23</v>
      </c>
      <c r="E3083" t="s">
        <v>54</v>
      </c>
      <c r="F3083" t="s">
        <v>29</v>
      </c>
      <c r="G3083" t="s">
        <v>31</v>
      </c>
      <c r="H3083">
        <f>Cleaned_Data!K3083</f>
        <v>67.849999999999994</v>
      </c>
      <c r="I3083" t="str">
        <f t="shared" si="144"/>
        <v>NO</v>
      </c>
      <c r="J3083">
        <f>Cleaned_Data!J3083</f>
        <v>24</v>
      </c>
      <c r="K3083" t="str">
        <f t="shared" si="145"/>
        <v>2024-10</v>
      </c>
      <c r="L3083">
        <f t="shared" si="146"/>
        <v>43.849999999999994</v>
      </c>
    </row>
    <row r="3084" spans="1:12">
      <c r="A3084" t="s">
        <v>8953</v>
      </c>
      <c r="B3084" t="s">
        <v>8954</v>
      </c>
      <c r="C3084" t="s">
        <v>8955</v>
      </c>
      <c r="D3084" t="s">
        <v>35</v>
      </c>
      <c r="E3084" t="s">
        <v>24</v>
      </c>
      <c r="F3084" t="s">
        <v>29</v>
      </c>
      <c r="G3084" t="s">
        <v>19</v>
      </c>
      <c r="H3084">
        <f>Cleaned_Data!K3084</f>
        <v>36.61</v>
      </c>
      <c r="I3084" t="str">
        <f t="shared" si="144"/>
        <v>YES</v>
      </c>
      <c r="J3084">
        <f>Cleaned_Data!J3084</f>
        <v>48</v>
      </c>
      <c r="K3084" t="str">
        <f t="shared" si="145"/>
        <v>2024-11</v>
      </c>
      <c r="L3084">
        <f t="shared" si="146"/>
        <v>0</v>
      </c>
    </row>
    <row r="3085" spans="1:12">
      <c r="A3085" t="s">
        <v>8956</v>
      </c>
      <c r="B3085" t="s">
        <v>8957</v>
      </c>
      <c r="C3085" t="s">
        <v>8958</v>
      </c>
      <c r="D3085" t="s">
        <v>23</v>
      </c>
      <c r="E3085" t="s">
        <v>28</v>
      </c>
      <c r="F3085" t="s">
        <v>17</v>
      </c>
      <c r="G3085" t="s">
        <v>19</v>
      </c>
      <c r="H3085">
        <f>Cleaned_Data!K3085</f>
        <v>22.37</v>
      </c>
      <c r="I3085" t="str">
        <f t="shared" si="144"/>
        <v>YES</v>
      </c>
      <c r="J3085">
        <f>Cleaned_Data!J3085</f>
        <v>24</v>
      </c>
      <c r="K3085" t="str">
        <f t="shared" si="145"/>
        <v>2024-12</v>
      </c>
      <c r="L3085">
        <f t="shared" si="146"/>
        <v>0</v>
      </c>
    </row>
    <row r="3086" spans="1:12">
      <c r="A3086" t="s">
        <v>8959</v>
      </c>
      <c r="B3086" t="s">
        <v>8960</v>
      </c>
      <c r="C3086" t="s">
        <v>8961</v>
      </c>
      <c r="D3086" t="s">
        <v>35</v>
      </c>
      <c r="E3086" t="s">
        <v>16</v>
      </c>
      <c r="F3086" t="s">
        <v>17</v>
      </c>
      <c r="G3086" t="s">
        <v>19</v>
      </c>
      <c r="H3086">
        <f>Cleaned_Data!K3086</f>
        <v>45.55</v>
      </c>
      <c r="I3086" t="str">
        <f t="shared" si="144"/>
        <v>YES</v>
      </c>
      <c r="J3086">
        <f>Cleaned_Data!J3086</f>
        <v>48</v>
      </c>
      <c r="K3086" t="str">
        <f t="shared" si="145"/>
        <v>2024-08</v>
      </c>
      <c r="L3086">
        <f t="shared" si="146"/>
        <v>0</v>
      </c>
    </row>
    <row r="3087" spans="1:12">
      <c r="A3087" t="s">
        <v>8962</v>
      </c>
      <c r="B3087" t="s">
        <v>8963</v>
      </c>
      <c r="C3087" t="s">
        <v>8964</v>
      </c>
      <c r="D3087" t="s">
        <v>23</v>
      </c>
      <c r="E3087" t="s">
        <v>16</v>
      </c>
      <c r="F3087" t="s">
        <v>36</v>
      </c>
      <c r="G3087" t="s">
        <v>31</v>
      </c>
      <c r="H3087">
        <f>Cleaned_Data!K3087</f>
        <v>16.48</v>
      </c>
      <c r="I3087" t="str">
        <f t="shared" si="144"/>
        <v>YES</v>
      </c>
      <c r="J3087">
        <f>Cleaned_Data!J3087</f>
        <v>24</v>
      </c>
      <c r="K3087" t="str">
        <f t="shared" si="145"/>
        <v>2024-05</v>
      </c>
      <c r="L3087">
        <f t="shared" si="146"/>
        <v>0</v>
      </c>
    </row>
    <row r="3088" spans="1:12">
      <c r="A3088" t="s">
        <v>8965</v>
      </c>
      <c r="B3088" t="s">
        <v>8966</v>
      </c>
      <c r="C3088" t="s">
        <v>8967</v>
      </c>
      <c r="D3088" t="s">
        <v>23</v>
      </c>
      <c r="E3088" t="s">
        <v>16</v>
      </c>
      <c r="F3088" t="s">
        <v>17</v>
      </c>
      <c r="G3088" t="s">
        <v>19</v>
      </c>
      <c r="H3088">
        <f>Cleaned_Data!K3088</f>
        <v>6.82</v>
      </c>
      <c r="I3088" t="str">
        <f t="shared" si="144"/>
        <v>YES</v>
      </c>
      <c r="J3088">
        <f>Cleaned_Data!J3088</f>
        <v>24</v>
      </c>
      <c r="K3088" t="str">
        <f t="shared" si="145"/>
        <v>2024-07</v>
      </c>
      <c r="L3088">
        <f t="shared" si="146"/>
        <v>0</v>
      </c>
    </row>
    <row r="3089" spans="1:12">
      <c r="A3089" t="s">
        <v>8968</v>
      </c>
      <c r="B3089" t="s">
        <v>8969</v>
      </c>
      <c r="C3089" t="s">
        <v>8970</v>
      </c>
      <c r="D3089" t="s">
        <v>23</v>
      </c>
      <c r="E3089" t="s">
        <v>59</v>
      </c>
      <c r="F3089" t="s">
        <v>29</v>
      </c>
      <c r="G3089" t="s">
        <v>19</v>
      </c>
      <c r="H3089">
        <f>Cleaned_Data!K3089</f>
        <v>20.329999999999998</v>
      </c>
      <c r="I3089" t="str">
        <f t="shared" si="144"/>
        <v>YES</v>
      </c>
      <c r="J3089">
        <f>Cleaned_Data!J3089</f>
        <v>24</v>
      </c>
      <c r="K3089" t="str">
        <f t="shared" si="145"/>
        <v>2024-06</v>
      </c>
      <c r="L3089">
        <f t="shared" si="146"/>
        <v>0</v>
      </c>
    </row>
    <row r="3090" spans="1:12">
      <c r="A3090" t="s">
        <v>8971</v>
      </c>
      <c r="B3090" t="s">
        <v>8972</v>
      </c>
      <c r="C3090" t="s">
        <v>8973</v>
      </c>
      <c r="D3090" t="s">
        <v>23</v>
      </c>
      <c r="E3090" t="s">
        <v>28</v>
      </c>
      <c r="F3090" t="s">
        <v>60</v>
      </c>
      <c r="G3090" t="s">
        <v>19</v>
      </c>
      <c r="H3090">
        <f>Cleaned_Data!K3090</f>
        <v>11.45</v>
      </c>
      <c r="I3090" t="str">
        <f t="shared" si="144"/>
        <v>YES</v>
      </c>
      <c r="J3090">
        <f>Cleaned_Data!J3090</f>
        <v>24</v>
      </c>
      <c r="K3090" t="str">
        <f t="shared" si="145"/>
        <v>2024-03</v>
      </c>
      <c r="L3090">
        <f t="shared" si="146"/>
        <v>0</v>
      </c>
    </row>
    <row r="3091" spans="1:12">
      <c r="A3091" t="s">
        <v>8974</v>
      </c>
      <c r="B3091" t="s">
        <v>8975</v>
      </c>
      <c r="C3091" t="s">
        <v>8976</v>
      </c>
      <c r="D3091" t="s">
        <v>158</v>
      </c>
      <c r="E3091" t="s">
        <v>54</v>
      </c>
      <c r="F3091" t="s">
        <v>17</v>
      </c>
      <c r="G3091" t="s">
        <v>31</v>
      </c>
      <c r="H3091">
        <f>Cleaned_Data!K3091</f>
        <v>1.74</v>
      </c>
      <c r="I3091" t="str">
        <f t="shared" si="144"/>
        <v>YES</v>
      </c>
      <c r="J3091">
        <f>Cleaned_Data!J3091</f>
        <v>4</v>
      </c>
      <c r="K3091" t="str">
        <f t="shared" si="145"/>
        <v>2024-07</v>
      </c>
      <c r="L3091">
        <f t="shared" si="146"/>
        <v>0</v>
      </c>
    </row>
    <row r="3092" spans="1:12">
      <c r="A3092" t="s">
        <v>8977</v>
      </c>
      <c r="B3092" t="s">
        <v>8978</v>
      </c>
      <c r="C3092" t="s">
        <v>8979</v>
      </c>
      <c r="D3092" t="s">
        <v>15</v>
      </c>
      <c r="E3092" t="s">
        <v>59</v>
      </c>
      <c r="F3092" t="s">
        <v>60</v>
      </c>
      <c r="G3092" t="s">
        <v>31</v>
      </c>
      <c r="H3092">
        <f>Cleaned_Data!K3092</f>
        <v>4.9400000000000004</v>
      </c>
      <c r="I3092" t="str">
        <f t="shared" si="144"/>
        <v>YES</v>
      </c>
      <c r="J3092">
        <f>Cleaned_Data!J3092</f>
        <v>8</v>
      </c>
      <c r="K3092" t="str">
        <f t="shared" si="145"/>
        <v>2024-03</v>
      </c>
      <c r="L3092">
        <f t="shared" si="146"/>
        <v>0</v>
      </c>
    </row>
    <row r="3093" spans="1:12">
      <c r="A3093" t="s">
        <v>8980</v>
      </c>
      <c r="B3093" t="s">
        <v>8981</v>
      </c>
      <c r="C3093" t="s">
        <v>8982</v>
      </c>
      <c r="D3093" t="s">
        <v>23</v>
      </c>
      <c r="E3093" t="s">
        <v>16</v>
      </c>
      <c r="F3093" t="s">
        <v>60</v>
      </c>
      <c r="G3093" t="s">
        <v>19</v>
      </c>
      <c r="H3093">
        <f>Cleaned_Data!K3093</f>
        <v>15.1</v>
      </c>
      <c r="I3093" t="str">
        <f t="shared" si="144"/>
        <v>YES</v>
      </c>
      <c r="J3093">
        <f>Cleaned_Data!J3093</f>
        <v>24</v>
      </c>
      <c r="K3093" t="str">
        <f t="shared" si="145"/>
        <v>2024-08</v>
      </c>
      <c r="L3093">
        <f t="shared" si="146"/>
        <v>0</v>
      </c>
    </row>
    <row r="3094" spans="1:12">
      <c r="A3094" t="s">
        <v>8983</v>
      </c>
      <c r="B3094" t="s">
        <v>8984</v>
      </c>
      <c r="C3094" t="s">
        <v>3546</v>
      </c>
      <c r="D3094" t="s">
        <v>23</v>
      </c>
      <c r="E3094" t="s">
        <v>59</v>
      </c>
      <c r="F3094" t="s">
        <v>41</v>
      </c>
      <c r="G3094" t="s">
        <v>19</v>
      </c>
      <c r="H3094">
        <f>Cleaned_Data!K3094</f>
        <v>6.23</v>
      </c>
      <c r="I3094" t="str">
        <f t="shared" si="144"/>
        <v>YES</v>
      </c>
      <c r="J3094">
        <f>Cleaned_Data!J3094</f>
        <v>24</v>
      </c>
      <c r="K3094" t="str">
        <f t="shared" si="145"/>
        <v>2024-02</v>
      </c>
      <c r="L3094">
        <f t="shared" si="146"/>
        <v>0</v>
      </c>
    </row>
    <row r="3095" spans="1:12">
      <c r="A3095" t="s">
        <v>8985</v>
      </c>
      <c r="B3095" t="s">
        <v>8986</v>
      </c>
      <c r="D3095" t="s">
        <v>23</v>
      </c>
      <c r="E3095" t="s">
        <v>28</v>
      </c>
      <c r="F3095" t="s">
        <v>36</v>
      </c>
      <c r="G3095" t="s">
        <v>63</v>
      </c>
      <c r="H3095">
        <f>Cleaned_Data!K3095</f>
        <v>0</v>
      </c>
      <c r="I3095" t="str">
        <f t="shared" si="144"/>
        <v/>
      </c>
      <c r="J3095">
        <f>Cleaned_Data!J3095</f>
        <v>24</v>
      </c>
      <c r="K3095" t="str">
        <f t="shared" si="145"/>
        <v>2024-10</v>
      </c>
      <c r="L3095">
        <f t="shared" si="146"/>
        <v>0</v>
      </c>
    </row>
    <row r="3096" spans="1:12">
      <c r="A3096" t="s">
        <v>8987</v>
      </c>
      <c r="B3096" t="s">
        <v>8988</v>
      </c>
      <c r="C3096" t="s">
        <v>8989</v>
      </c>
      <c r="D3096" t="s">
        <v>15</v>
      </c>
      <c r="E3096" t="s">
        <v>28</v>
      </c>
      <c r="F3096" t="s">
        <v>41</v>
      </c>
      <c r="G3096" t="s">
        <v>19</v>
      </c>
      <c r="H3096">
        <f>Cleaned_Data!K3096</f>
        <v>4.6900000000000004</v>
      </c>
      <c r="I3096" t="str">
        <f t="shared" si="144"/>
        <v>YES</v>
      </c>
      <c r="J3096">
        <f>Cleaned_Data!J3096</f>
        <v>8</v>
      </c>
      <c r="K3096" t="str">
        <f t="shared" si="145"/>
        <v>2024-04</v>
      </c>
      <c r="L3096">
        <f t="shared" si="146"/>
        <v>0</v>
      </c>
    </row>
    <row r="3097" spans="1:12">
      <c r="A3097" t="s">
        <v>8990</v>
      </c>
      <c r="B3097" t="s">
        <v>8991</v>
      </c>
      <c r="C3097" t="s">
        <v>8992</v>
      </c>
      <c r="D3097" t="s">
        <v>23</v>
      </c>
      <c r="E3097" t="s">
        <v>59</v>
      </c>
      <c r="F3097" t="s">
        <v>29</v>
      </c>
      <c r="G3097" t="s">
        <v>19</v>
      </c>
      <c r="H3097">
        <f>Cleaned_Data!K3097</f>
        <v>13.27</v>
      </c>
      <c r="I3097" t="str">
        <f t="shared" si="144"/>
        <v>YES</v>
      </c>
      <c r="J3097">
        <f>Cleaned_Data!J3097</f>
        <v>24</v>
      </c>
      <c r="K3097" t="str">
        <f t="shared" si="145"/>
        <v>2024-02</v>
      </c>
      <c r="L3097">
        <f t="shared" si="146"/>
        <v>0</v>
      </c>
    </row>
    <row r="3098" spans="1:12">
      <c r="A3098" t="s">
        <v>8993</v>
      </c>
      <c r="B3098" t="s">
        <v>8994</v>
      </c>
      <c r="C3098" t="s">
        <v>8995</v>
      </c>
      <c r="D3098" t="s">
        <v>35</v>
      </c>
      <c r="E3098" t="s">
        <v>28</v>
      </c>
      <c r="F3098" t="s">
        <v>41</v>
      </c>
      <c r="G3098" t="s">
        <v>19</v>
      </c>
      <c r="H3098">
        <f>Cleaned_Data!K3098</f>
        <v>36.369999999999997</v>
      </c>
      <c r="I3098" t="str">
        <f t="shared" si="144"/>
        <v>YES</v>
      </c>
      <c r="J3098">
        <f>Cleaned_Data!J3098</f>
        <v>48</v>
      </c>
      <c r="K3098" t="str">
        <f t="shared" si="145"/>
        <v>2024-02</v>
      </c>
      <c r="L3098">
        <f t="shared" si="146"/>
        <v>0</v>
      </c>
    </row>
    <row r="3099" spans="1:12">
      <c r="A3099" t="s">
        <v>8996</v>
      </c>
      <c r="B3099" t="s">
        <v>8997</v>
      </c>
      <c r="D3099" t="s">
        <v>15</v>
      </c>
      <c r="E3099" t="s">
        <v>28</v>
      </c>
      <c r="F3099" t="s">
        <v>17</v>
      </c>
      <c r="G3099" t="s">
        <v>63</v>
      </c>
      <c r="H3099">
        <f>Cleaned_Data!K3099</f>
        <v>0</v>
      </c>
      <c r="I3099" t="str">
        <f t="shared" si="144"/>
        <v/>
      </c>
      <c r="J3099">
        <f>Cleaned_Data!J3099</f>
        <v>8</v>
      </c>
      <c r="K3099" t="str">
        <f t="shared" si="145"/>
        <v>2024-08</v>
      </c>
      <c r="L3099">
        <f t="shared" si="146"/>
        <v>0</v>
      </c>
    </row>
    <row r="3100" spans="1:12">
      <c r="A3100" t="s">
        <v>8998</v>
      </c>
      <c r="B3100" t="s">
        <v>8999</v>
      </c>
      <c r="C3100" t="s">
        <v>9000</v>
      </c>
      <c r="D3100" t="s">
        <v>35</v>
      </c>
      <c r="E3100" t="s">
        <v>28</v>
      </c>
      <c r="F3100" t="s">
        <v>41</v>
      </c>
      <c r="G3100" t="s">
        <v>31</v>
      </c>
      <c r="H3100">
        <f>Cleaned_Data!K3100</f>
        <v>36.380000000000003</v>
      </c>
      <c r="I3100" t="str">
        <f t="shared" si="144"/>
        <v>YES</v>
      </c>
      <c r="J3100">
        <f>Cleaned_Data!J3100</f>
        <v>48</v>
      </c>
      <c r="K3100" t="str">
        <f t="shared" si="145"/>
        <v>2024-08</v>
      </c>
      <c r="L3100">
        <f t="shared" si="146"/>
        <v>0</v>
      </c>
    </row>
    <row r="3101" spans="1:12">
      <c r="A3101" t="s">
        <v>9001</v>
      </c>
      <c r="B3101" t="s">
        <v>9002</v>
      </c>
      <c r="C3101" t="s">
        <v>9003</v>
      </c>
      <c r="D3101" t="s">
        <v>15</v>
      </c>
      <c r="E3101" t="s">
        <v>16</v>
      </c>
      <c r="F3101" t="s">
        <v>17</v>
      </c>
      <c r="G3101" t="s">
        <v>31</v>
      </c>
      <c r="H3101">
        <f>Cleaned_Data!K3101</f>
        <v>4.25</v>
      </c>
      <c r="I3101" t="str">
        <f t="shared" si="144"/>
        <v>YES</v>
      </c>
      <c r="J3101">
        <f>Cleaned_Data!J3101</f>
        <v>8</v>
      </c>
      <c r="K3101" t="str">
        <f t="shared" si="145"/>
        <v>2024-01</v>
      </c>
      <c r="L3101">
        <f t="shared" si="146"/>
        <v>0</v>
      </c>
    </row>
    <row r="3102" spans="1:12">
      <c r="A3102" t="s">
        <v>9004</v>
      </c>
      <c r="B3102" t="s">
        <v>9005</v>
      </c>
      <c r="C3102" t="s">
        <v>9006</v>
      </c>
      <c r="D3102" t="s">
        <v>23</v>
      </c>
      <c r="E3102" t="s">
        <v>24</v>
      </c>
      <c r="F3102" t="s">
        <v>36</v>
      </c>
      <c r="G3102" t="s">
        <v>31</v>
      </c>
      <c r="H3102">
        <f>Cleaned_Data!K3102</f>
        <v>5.44</v>
      </c>
      <c r="I3102" t="str">
        <f t="shared" si="144"/>
        <v>YES</v>
      </c>
      <c r="J3102">
        <f>Cleaned_Data!J3102</f>
        <v>24</v>
      </c>
      <c r="K3102" t="str">
        <f t="shared" si="145"/>
        <v>2024-01</v>
      </c>
      <c r="L3102">
        <f t="shared" si="146"/>
        <v>0</v>
      </c>
    </row>
    <row r="3103" spans="1:12">
      <c r="A3103" t="s">
        <v>9007</v>
      </c>
      <c r="B3103" t="s">
        <v>9008</v>
      </c>
      <c r="C3103" t="s">
        <v>9009</v>
      </c>
      <c r="D3103" t="s">
        <v>35</v>
      </c>
      <c r="E3103" t="s">
        <v>28</v>
      </c>
      <c r="F3103" t="s">
        <v>17</v>
      </c>
      <c r="G3103" t="s">
        <v>31</v>
      </c>
      <c r="H3103">
        <f>Cleaned_Data!K3103</f>
        <v>11.66</v>
      </c>
      <c r="I3103" t="str">
        <f t="shared" si="144"/>
        <v>YES</v>
      </c>
      <c r="J3103">
        <f>Cleaned_Data!J3103</f>
        <v>48</v>
      </c>
      <c r="K3103" t="str">
        <f t="shared" si="145"/>
        <v>2024-03</v>
      </c>
      <c r="L3103">
        <f t="shared" si="146"/>
        <v>0</v>
      </c>
    </row>
    <row r="3104" spans="1:12">
      <c r="A3104" t="s">
        <v>9010</v>
      </c>
      <c r="B3104" t="s">
        <v>9011</v>
      </c>
      <c r="C3104" t="s">
        <v>9012</v>
      </c>
      <c r="D3104" t="s">
        <v>35</v>
      </c>
      <c r="E3104" t="s">
        <v>54</v>
      </c>
      <c r="F3104" t="s">
        <v>36</v>
      </c>
      <c r="G3104" t="s">
        <v>31</v>
      </c>
      <c r="H3104">
        <f>Cleaned_Data!K3104</f>
        <v>41.71</v>
      </c>
      <c r="I3104" t="str">
        <f t="shared" si="144"/>
        <v>YES</v>
      </c>
      <c r="J3104">
        <f>Cleaned_Data!J3104</f>
        <v>48</v>
      </c>
      <c r="K3104" t="str">
        <f t="shared" si="145"/>
        <v>2024-10</v>
      </c>
      <c r="L3104">
        <f t="shared" si="146"/>
        <v>0</v>
      </c>
    </row>
    <row r="3105" spans="1:12">
      <c r="A3105" t="s">
        <v>9013</v>
      </c>
      <c r="B3105" t="s">
        <v>9014</v>
      </c>
      <c r="C3105" t="s">
        <v>9015</v>
      </c>
      <c r="D3105" t="s">
        <v>15</v>
      </c>
      <c r="E3105" t="s">
        <v>16</v>
      </c>
      <c r="F3105" t="s">
        <v>60</v>
      </c>
      <c r="G3105" t="s">
        <v>19</v>
      </c>
      <c r="H3105">
        <f>Cleaned_Data!K3105</f>
        <v>6.19</v>
      </c>
      <c r="I3105" t="str">
        <f t="shared" si="144"/>
        <v>YES</v>
      </c>
      <c r="J3105">
        <f>Cleaned_Data!J3105</f>
        <v>8</v>
      </c>
      <c r="K3105" t="str">
        <f t="shared" si="145"/>
        <v>2024-06</v>
      </c>
      <c r="L3105">
        <f t="shared" si="146"/>
        <v>0</v>
      </c>
    </row>
    <row r="3106" spans="1:12">
      <c r="A3106" t="s">
        <v>9016</v>
      </c>
      <c r="B3106" t="s">
        <v>9017</v>
      </c>
      <c r="C3106" t="s">
        <v>9018</v>
      </c>
      <c r="D3106" t="s">
        <v>23</v>
      </c>
      <c r="E3106" t="s">
        <v>28</v>
      </c>
      <c r="F3106" t="s">
        <v>36</v>
      </c>
      <c r="G3106" t="s">
        <v>31</v>
      </c>
      <c r="H3106">
        <f>Cleaned_Data!K3106</f>
        <v>21.7</v>
      </c>
      <c r="I3106" t="str">
        <f t="shared" si="144"/>
        <v>YES</v>
      </c>
      <c r="J3106">
        <f>Cleaned_Data!J3106</f>
        <v>24</v>
      </c>
      <c r="K3106" t="str">
        <f t="shared" si="145"/>
        <v>2024-01</v>
      </c>
      <c r="L3106">
        <f t="shared" si="146"/>
        <v>0</v>
      </c>
    </row>
    <row r="3107" spans="1:12">
      <c r="A3107" t="s">
        <v>9019</v>
      </c>
      <c r="B3107" t="s">
        <v>9020</v>
      </c>
      <c r="C3107" t="s">
        <v>9021</v>
      </c>
      <c r="D3107" t="s">
        <v>35</v>
      </c>
      <c r="E3107" t="s">
        <v>54</v>
      </c>
      <c r="F3107" t="s">
        <v>41</v>
      </c>
      <c r="G3107" t="s">
        <v>19</v>
      </c>
      <c r="H3107">
        <f>Cleaned_Data!K3107</f>
        <v>41.65</v>
      </c>
      <c r="I3107" t="str">
        <f t="shared" si="144"/>
        <v>YES</v>
      </c>
      <c r="J3107">
        <f>Cleaned_Data!J3107</f>
        <v>48</v>
      </c>
      <c r="K3107" t="str">
        <f t="shared" si="145"/>
        <v>2024-05</v>
      </c>
      <c r="L3107">
        <f t="shared" si="146"/>
        <v>0</v>
      </c>
    </row>
    <row r="3108" spans="1:12">
      <c r="A3108" t="s">
        <v>9022</v>
      </c>
      <c r="B3108" t="s">
        <v>9023</v>
      </c>
      <c r="C3108" t="s">
        <v>9024</v>
      </c>
      <c r="D3108" t="s">
        <v>23</v>
      </c>
      <c r="E3108" t="s">
        <v>28</v>
      </c>
      <c r="F3108" t="s">
        <v>29</v>
      </c>
      <c r="G3108" t="s">
        <v>19</v>
      </c>
      <c r="H3108">
        <f>Cleaned_Data!K3108</f>
        <v>8.1300000000000008</v>
      </c>
      <c r="I3108" t="str">
        <f t="shared" si="144"/>
        <v>YES</v>
      </c>
      <c r="J3108">
        <f>Cleaned_Data!J3108</f>
        <v>24</v>
      </c>
      <c r="K3108" t="str">
        <f t="shared" si="145"/>
        <v>2024-05</v>
      </c>
      <c r="L3108">
        <f t="shared" si="146"/>
        <v>0</v>
      </c>
    </row>
    <row r="3109" spans="1:12">
      <c r="A3109" t="s">
        <v>9025</v>
      </c>
      <c r="B3109" t="s">
        <v>9026</v>
      </c>
      <c r="D3109" t="s">
        <v>23</v>
      </c>
      <c r="E3109" t="s">
        <v>28</v>
      </c>
      <c r="F3109" t="s">
        <v>41</v>
      </c>
      <c r="G3109" t="s">
        <v>63</v>
      </c>
      <c r="H3109">
        <f>Cleaned_Data!K3109</f>
        <v>0</v>
      </c>
      <c r="I3109" t="str">
        <f t="shared" si="144"/>
        <v/>
      </c>
      <c r="J3109">
        <f>Cleaned_Data!J3109</f>
        <v>24</v>
      </c>
      <c r="K3109" t="str">
        <f t="shared" si="145"/>
        <v>2024-12</v>
      </c>
      <c r="L3109">
        <f t="shared" si="146"/>
        <v>0</v>
      </c>
    </row>
    <row r="3110" spans="1:12">
      <c r="A3110" t="s">
        <v>9027</v>
      </c>
      <c r="B3110" t="s">
        <v>9028</v>
      </c>
      <c r="C3110" t="s">
        <v>9029</v>
      </c>
      <c r="D3110" t="s">
        <v>15</v>
      </c>
      <c r="E3110" t="s">
        <v>16</v>
      </c>
      <c r="F3110" t="s">
        <v>29</v>
      </c>
      <c r="G3110" t="s">
        <v>19</v>
      </c>
      <c r="H3110">
        <f>Cleaned_Data!K3110</f>
        <v>5.84</v>
      </c>
      <c r="I3110" t="str">
        <f t="shared" si="144"/>
        <v>YES</v>
      </c>
      <c r="J3110">
        <f>Cleaned_Data!J3110</f>
        <v>8</v>
      </c>
      <c r="K3110" t="str">
        <f t="shared" si="145"/>
        <v>2024-07</v>
      </c>
      <c r="L3110">
        <f t="shared" si="146"/>
        <v>0</v>
      </c>
    </row>
    <row r="3111" spans="1:12">
      <c r="A3111" t="s">
        <v>9030</v>
      </c>
      <c r="B3111" t="s">
        <v>9031</v>
      </c>
      <c r="C3111" t="s">
        <v>9032</v>
      </c>
      <c r="D3111" t="s">
        <v>35</v>
      </c>
      <c r="E3111" t="s">
        <v>54</v>
      </c>
      <c r="F3111" t="s">
        <v>41</v>
      </c>
      <c r="G3111" t="s">
        <v>19</v>
      </c>
      <c r="H3111">
        <f>Cleaned_Data!K3111</f>
        <v>24.98</v>
      </c>
      <c r="I3111" t="str">
        <f t="shared" si="144"/>
        <v>YES</v>
      </c>
      <c r="J3111">
        <f>Cleaned_Data!J3111</f>
        <v>48</v>
      </c>
      <c r="K3111" t="str">
        <f t="shared" si="145"/>
        <v>2024-12</v>
      </c>
      <c r="L3111">
        <f t="shared" si="146"/>
        <v>0</v>
      </c>
    </row>
    <row r="3112" spans="1:12">
      <c r="A3112" t="s">
        <v>9033</v>
      </c>
      <c r="B3112" t="s">
        <v>9034</v>
      </c>
      <c r="C3112" t="s">
        <v>9035</v>
      </c>
      <c r="D3112" t="s">
        <v>35</v>
      </c>
      <c r="E3112" t="s">
        <v>28</v>
      </c>
      <c r="F3112" t="s">
        <v>17</v>
      </c>
      <c r="G3112" t="s">
        <v>19</v>
      </c>
      <c r="H3112">
        <f>Cleaned_Data!K3112</f>
        <v>23.6</v>
      </c>
      <c r="I3112" t="str">
        <f t="shared" si="144"/>
        <v>YES</v>
      </c>
      <c r="J3112">
        <f>Cleaned_Data!J3112</f>
        <v>48</v>
      </c>
      <c r="K3112" t="str">
        <f t="shared" si="145"/>
        <v>2024-06</v>
      </c>
      <c r="L3112">
        <f t="shared" si="146"/>
        <v>0</v>
      </c>
    </row>
    <row r="3113" spans="1:12">
      <c r="A3113" t="s">
        <v>9036</v>
      </c>
      <c r="B3113" t="s">
        <v>9037</v>
      </c>
      <c r="C3113" t="s">
        <v>9038</v>
      </c>
      <c r="D3113" t="s">
        <v>158</v>
      </c>
      <c r="E3113" t="s">
        <v>28</v>
      </c>
      <c r="F3113" t="s">
        <v>60</v>
      </c>
      <c r="G3113" t="s">
        <v>19</v>
      </c>
      <c r="H3113">
        <f>Cleaned_Data!K3113</f>
        <v>2.61</v>
      </c>
      <c r="I3113" t="str">
        <f t="shared" si="144"/>
        <v>YES</v>
      </c>
      <c r="J3113">
        <f>Cleaned_Data!J3113</f>
        <v>4</v>
      </c>
      <c r="K3113" t="str">
        <f t="shared" si="145"/>
        <v>2024-07</v>
      </c>
      <c r="L3113">
        <f t="shared" si="146"/>
        <v>0</v>
      </c>
    </row>
    <row r="3114" spans="1:12">
      <c r="A3114" t="s">
        <v>9039</v>
      </c>
      <c r="B3114" t="s">
        <v>9040</v>
      </c>
      <c r="C3114" t="s">
        <v>9041</v>
      </c>
      <c r="D3114" t="s">
        <v>23</v>
      </c>
      <c r="E3114" t="s">
        <v>54</v>
      </c>
      <c r="F3114" t="s">
        <v>29</v>
      </c>
      <c r="G3114" t="s">
        <v>19</v>
      </c>
      <c r="H3114">
        <f>Cleaned_Data!K3114</f>
        <v>45.35</v>
      </c>
      <c r="I3114" t="str">
        <f t="shared" si="144"/>
        <v>NO</v>
      </c>
      <c r="J3114">
        <f>Cleaned_Data!J3114</f>
        <v>24</v>
      </c>
      <c r="K3114" t="str">
        <f t="shared" si="145"/>
        <v>2024-08</v>
      </c>
      <c r="L3114">
        <f t="shared" si="146"/>
        <v>21.35</v>
      </c>
    </row>
    <row r="3115" spans="1:12">
      <c r="A3115" t="s">
        <v>9042</v>
      </c>
      <c r="B3115" t="s">
        <v>9043</v>
      </c>
      <c r="C3115" t="s">
        <v>9044</v>
      </c>
      <c r="D3115" t="s">
        <v>35</v>
      </c>
      <c r="E3115" t="s">
        <v>24</v>
      </c>
      <c r="F3115" t="s">
        <v>36</v>
      </c>
      <c r="G3115" t="s">
        <v>31</v>
      </c>
      <c r="H3115">
        <f>Cleaned_Data!K3115</f>
        <v>7.23</v>
      </c>
      <c r="I3115" t="str">
        <f t="shared" si="144"/>
        <v>YES</v>
      </c>
      <c r="J3115">
        <f>Cleaned_Data!J3115</f>
        <v>48</v>
      </c>
      <c r="K3115" t="str">
        <f t="shared" si="145"/>
        <v>2024-05</v>
      </c>
      <c r="L3115">
        <f t="shared" si="146"/>
        <v>0</v>
      </c>
    </row>
    <row r="3116" spans="1:12">
      <c r="A3116" t="s">
        <v>9045</v>
      </c>
      <c r="B3116" t="s">
        <v>9046</v>
      </c>
      <c r="C3116" t="s">
        <v>9047</v>
      </c>
      <c r="D3116" t="s">
        <v>23</v>
      </c>
      <c r="E3116" t="s">
        <v>59</v>
      </c>
      <c r="F3116" t="s">
        <v>41</v>
      </c>
      <c r="G3116" t="s">
        <v>19</v>
      </c>
      <c r="H3116">
        <f>Cleaned_Data!K3116</f>
        <v>27.59</v>
      </c>
      <c r="I3116" t="str">
        <f t="shared" si="144"/>
        <v>NO</v>
      </c>
      <c r="J3116">
        <f>Cleaned_Data!J3116</f>
        <v>24</v>
      </c>
      <c r="K3116" t="str">
        <f t="shared" si="145"/>
        <v>2024-01</v>
      </c>
      <c r="L3116">
        <f t="shared" si="146"/>
        <v>3.59</v>
      </c>
    </row>
    <row r="3117" spans="1:12">
      <c r="A3117" t="s">
        <v>9048</v>
      </c>
      <c r="B3117" t="s">
        <v>9049</v>
      </c>
      <c r="C3117" t="s">
        <v>9050</v>
      </c>
      <c r="D3117" t="s">
        <v>35</v>
      </c>
      <c r="E3117" t="s">
        <v>16</v>
      </c>
      <c r="F3117" t="s">
        <v>17</v>
      </c>
      <c r="G3117" t="s">
        <v>19</v>
      </c>
      <c r="H3117">
        <f>Cleaned_Data!K3117</f>
        <v>14.07</v>
      </c>
      <c r="I3117" t="str">
        <f t="shared" si="144"/>
        <v>YES</v>
      </c>
      <c r="J3117">
        <f>Cleaned_Data!J3117</f>
        <v>48</v>
      </c>
      <c r="K3117" t="str">
        <f t="shared" si="145"/>
        <v>2024-03</v>
      </c>
      <c r="L3117">
        <f t="shared" si="146"/>
        <v>0</v>
      </c>
    </row>
    <row r="3118" spans="1:12">
      <c r="A3118" t="s">
        <v>9051</v>
      </c>
      <c r="B3118" t="s">
        <v>9052</v>
      </c>
      <c r="C3118" t="s">
        <v>9053</v>
      </c>
      <c r="D3118" t="s">
        <v>15</v>
      </c>
      <c r="E3118" t="s">
        <v>16</v>
      </c>
      <c r="F3118" t="s">
        <v>29</v>
      </c>
      <c r="G3118" t="s">
        <v>31</v>
      </c>
      <c r="H3118">
        <f>Cleaned_Data!K3118</f>
        <v>18.8</v>
      </c>
      <c r="I3118" t="str">
        <f t="shared" si="144"/>
        <v>NO</v>
      </c>
      <c r="J3118">
        <f>Cleaned_Data!J3118</f>
        <v>8</v>
      </c>
      <c r="K3118" t="str">
        <f t="shared" si="145"/>
        <v>2024-12</v>
      </c>
      <c r="L3118">
        <f t="shared" si="146"/>
        <v>10.8</v>
      </c>
    </row>
    <row r="3119" spans="1:12">
      <c r="A3119" t="s">
        <v>9054</v>
      </c>
      <c r="B3119" t="s">
        <v>9055</v>
      </c>
      <c r="C3119" t="s">
        <v>9056</v>
      </c>
      <c r="D3119" t="s">
        <v>15</v>
      </c>
      <c r="E3119" t="s">
        <v>59</v>
      </c>
      <c r="F3119" t="s">
        <v>36</v>
      </c>
      <c r="G3119" t="s">
        <v>19</v>
      </c>
      <c r="H3119">
        <f>Cleaned_Data!K3119</f>
        <v>3.19</v>
      </c>
      <c r="I3119" t="str">
        <f t="shared" si="144"/>
        <v>YES</v>
      </c>
      <c r="J3119">
        <f>Cleaned_Data!J3119</f>
        <v>8</v>
      </c>
      <c r="K3119" t="str">
        <f t="shared" si="145"/>
        <v>2024-01</v>
      </c>
      <c r="L3119">
        <f t="shared" si="146"/>
        <v>0</v>
      </c>
    </row>
    <row r="3120" spans="1:12">
      <c r="A3120" t="s">
        <v>9057</v>
      </c>
      <c r="B3120" t="s">
        <v>9058</v>
      </c>
      <c r="D3120" t="s">
        <v>15</v>
      </c>
      <c r="E3120" t="s">
        <v>54</v>
      </c>
      <c r="F3120" t="s">
        <v>36</v>
      </c>
      <c r="G3120" t="s">
        <v>46</v>
      </c>
      <c r="H3120">
        <f>Cleaned_Data!K3120</f>
        <v>0</v>
      </c>
      <c r="I3120" t="str">
        <f t="shared" si="144"/>
        <v/>
      </c>
      <c r="J3120">
        <f>Cleaned_Data!J3120</f>
        <v>8</v>
      </c>
      <c r="K3120" t="str">
        <f t="shared" si="145"/>
        <v>2024-09</v>
      </c>
      <c r="L3120">
        <f t="shared" si="146"/>
        <v>0</v>
      </c>
    </row>
    <row r="3121" spans="1:12">
      <c r="A3121" t="s">
        <v>9059</v>
      </c>
      <c r="B3121" t="s">
        <v>9060</v>
      </c>
      <c r="C3121" t="s">
        <v>9061</v>
      </c>
      <c r="D3121" t="s">
        <v>23</v>
      </c>
      <c r="E3121" t="s">
        <v>59</v>
      </c>
      <c r="F3121" t="s">
        <v>36</v>
      </c>
      <c r="G3121" t="s">
        <v>19</v>
      </c>
      <c r="H3121">
        <f>Cleaned_Data!K3121</f>
        <v>3.72</v>
      </c>
      <c r="I3121" t="str">
        <f t="shared" si="144"/>
        <v>YES</v>
      </c>
      <c r="J3121">
        <f>Cleaned_Data!J3121</f>
        <v>24</v>
      </c>
      <c r="K3121" t="str">
        <f t="shared" si="145"/>
        <v>2024-01</v>
      </c>
      <c r="L3121">
        <f t="shared" si="146"/>
        <v>0</v>
      </c>
    </row>
    <row r="3122" spans="1:12">
      <c r="A3122" t="s">
        <v>9062</v>
      </c>
      <c r="B3122" t="s">
        <v>9063</v>
      </c>
      <c r="C3122" t="s">
        <v>9064</v>
      </c>
      <c r="D3122" t="s">
        <v>15</v>
      </c>
      <c r="E3122" t="s">
        <v>54</v>
      </c>
      <c r="F3122" t="s">
        <v>17</v>
      </c>
      <c r="G3122" t="s">
        <v>31</v>
      </c>
      <c r="H3122">
        <f>Cleaned_Data!K3122</f>
        <v>6.46</v>
      </c>
      <c r="I3122" t="str">
        <f t="shared" si="144"/>
        <v>YES</v>
      </c>
      <c r="J3122">
        <f>Cleaned_Data!J3122</f>
        <v>8</v>
      </c>
      <c r="K3122" t="str">
        <f t="shared" si="145"/>
        <v>2024-08</v>
      </c>
      <c r="L3122">
        <f t="shared" si="146"/>
        <v>0</v>
      </c>
    </row>
    <row r="3123" spans="1:12">
      <c r="A3123" t="s">
        <v>9065</v>
      </c>
      <c r="B3123" t="s">
        <v>9066</v>
      </c>
      <c r="C3123" t="s">
        <v>9067</v>
      </c>
      <c r="D3123" t="s">
        <v>23</v>
      </c>
      <c r="E3123" t="s">
        <v>16</v>
      </c>
      <c r="F3123" t="s">
        <v>36</v>
      </c>
      <c r="G3123" t="s">
        <v>19</v>
      </c>
      <c r="H3123">
        <f>Cleaned_Data!K3123</f>
        <v>14.15</v>
      </c>
      <c r="I3123" t="str">
        <f t="shared" si="144"/>
        <v>YES</v>
      </c>
      <c r="J3123">
        <f>Cleaned_Data!J3123</f>
        <v>24</v>
      </c>
      <c r="K3123" t="str">
        <f t="shared" si="145"/>
        <v>2024-01</v>
      </c>
      <c r="L3123">
        <f t="shared" si="146"/>
        <v>0</v>
      </c>
    </row>
    <row r="3124" spans="1:12">
      <c r="A3124" t="s">
        <v>9068</v>
      </c>
      <c r="B3124" t="s">
        <v>9069</v>
      </c>
      <c r="C3124" t="s">
        <v>9070</v>
      </c>
      <c r="D3124" t="s">
        <v>15</v>
      </c>
      <c r="E3124" t="s">
        <v>28</v>
      </c>
      <c r="F3124" t="s">
        <v>41</v>
      </c>
      <c r="G3124" t="s">
        <v>19</v>
      </c>
      <c r="H3124">
        <f>Cleaned_Data!K3124</f>
        <v>5.39</v>
      </c>
      <c r="I3124" t="str">
        <f t="shared" si="144"/>
        <v>YES</v>
      </c>
      <c r="J3124">
        <f>Cleaned_Data!J3124</f>
        <v>8</v>
      </c>
      <c r="K3124" t="str">
        <f t="shared" si="145"/>
        <v>2024-12</v>
      </c>
      <c r="L3124">
        <f t="shared" si="146"/>
        <v>0</v>
      </c>
    </row>
    <row r="3125" spans="1:12">
      <c r="A3125" t="s">
        <v>9071</v>
      </c>
      <c r="B3125" t="s">
        <v>9072</v>
      </c>
      <c r="C3125" t="s">
        <v>9073</v>
      </c>
      <c r="D3125" t="s">
        <v>23</v>
      </c>
      <c r="E3125" t="s">
        <v>24</v>
      </c>
      <c r="F3125" t="s">
        <v>36</v>
      </c>
      <c r="G3125" t="s">
        <v>19</v>
      </c>
      <c r="H3125">
        <f>Cleaned_Data!K3125</f>
        <v>6.33</v>
      </c>
      <c r="I3125" t="str">
        <f t="shared" si="144"/>
        <v>YES</v>
      </c>
      <c r="J3125">
        <f>Cleaned_Data!J3125</f>
        <v>24</v>
      </c>
      <c r="K3125" t="str">
        <f t="shared" si="145"/>
        <v>2024-11</v>
      </c>
      <c r="L3125">
        <f t="shared" si="146"/>
        <v>0</v>
      </c>
    </row>
    <row r="3126" spans="1:12">
      <c r="A3126" t="s">
        <v>9074</v>
      </c>
      <c r="B3126" t="s">
        <v>9075</v>
      </c>
      <c r="C3126" t="s">
        <v>9076</v>
      </c>
      <c r="D3126" t="s">
        <v>15</v>
      </c>
      <c r="E3126" t="s">
        <v>28</v>
      </c>
      <c r="F3126" t="s">
        <v>36</v>
      </c>
      <c r="G3126" t="s">
        <v>31</v>
      </c>
      <c r="H3126">
        <f>Cleaned_Data!K3126</f>
        <v>1.08</v>
      </c>
      <c r="I3126" t="str">
        <f t="shared" si="144"/>
        <v>YES</v>
      </c>
      <c r="J3126">
        <f>Cleaned_Data!J3126</f>
        <v>8</v>
      </c>
      <c r="K3126" t="str">
        <f t="shared" si="145"/>
        <v>2024-05</v>
      </c>
      <c r="L3126">
        <f t="shared" si="146"/>
        <v>0</v>
      </c>
    </row>
    <row r="3127" spans="1:12">
      <c r="A3127" t="s">
        <v>9077</v>
      </c>
      <c r="B3127" t="s">
        <v>9078</v>
      </c>
      <c r="C3127" t="s">
        <v>9079</v>
      </c>
      <c r="D3127" t="s">
        <v>23</v>
      </c>
      <c r="E3127" t="s">
        <v>54</v>
      </c>
      <c r="F3127" t="s">
        <v>29</v>
      </c>
      <c r="G3127" t="s">
        <v>19</v>
      </c>
      <c r="H3127">
        <f>Cleaned_Data!K3127</f>
        <v>21.23</v>
      </c>
      <c r="I3127" t="str">
        <f t="shared" si="144"/>
        <v>YES</v>
      </c>
      <c r="J3127">
        <f>Cleaned_Data!J3127</f>
        <v>24</v>
      </c>
      <c r="K3127" t="str">
        <f t="shared" si="145"/>
        <v>2024-12</v>
      </c>
      <c r="L3127">
        <f t="shared" si="146"/>
        <v>0</v>
      </c>
    </row>
    <row r="3128" spans="1:12">
      <c r="A3128" t="s">
        <v>9080</v>
      </c>
      <c r="B3128" t="s">
        <v>9081</v>
      </c>
      <c r="C3128" t="s">
        <v>9082</v>
      </c>
      <c r="D3128" t="s">
        <v>15</v>
      </c>
      <c r="E3128" t="s">
        <v>54</v>
      </c>
      <c r="F3128" t="s">
        <v>41</v>
      </c>
      <c r="G3128" t="s">
        <v>19</v>
      </c>
      <c r="H3128">
        <f>Cleaned_Data!K3128</f>
        <v>1.72</v>
      </c>
      <c r="I3128" t="str">
        <f t="shared" si="144"/>
        <v>YES</v>
      </c>
      <c r="J3128">
        <f>Cleaned_Data!J3128</f>
        <v>8</v>
      </c>
      <c r="K3128" t="str">
        <f t="shared" si="145"/>
        <v>2024-05</v>
      </c>
      <c r="L3128">
        <f t="shared" si="146"/>
        <v>0</v>
      </c>
    </row>
    <row r="3129" spans="1:12">
      <c r="A3129" t="s">
        <v>9083</v>
      </c>
      <c r="B3129" t="s">
        <v>9084</v>
      </c>
      <c r="C3129" t="s">
        <v>9085</v>
      </c>
      <c r="D3129" t="s">
        <v>15</v>
      </c>
      <c r="E3129" t="s">
        <v>28</v>
      </c>
      <c r="F3129" t="s">
        <v>17</v>
      </c>
      <c r="G3129" t="s">
        <v>19</v>
      </c>
      <c r="H3129">
        <f>Cleaned_Data!K3129</f>
        <v>6.54</v>
      </c>
      <c r="I3129" t="str">
        <f t="shared" si="144"/>
        <v>YES</v>
      </c>
      <c r="J3129">
        <f>Cleaned_Data!J3129</f>
        <v>8</v>
      </c>
      <c r="K3129" t="str">
        <f t="shared" si="145"/>
        <v>2024-11</v>
      </c>
      <c r="L3129">
        <f t="shared" si="146"/>
        <v>0</v>
      </c>
    </row>
    <row r="3130" spans="1:12">
      <c r="A3130" t="s">
        <v>9086</v>
      </c>
      <c r="B3130" t="s">
        <v>9087</v>
      </c>
      <c r="C3130" t="s">
        <v>9088</v>
      </c>
      <c r="D3130" t="s">
        <v>15</v>
      </c>
      <c r="E3130" t="s">
        <v>28</v>
      </c>
      <c r="F3130" t="s">
        <v>41</v>
      </c>
      <c r="G3130" t="s">
        <v>31</v>
      </c>
      <c r="H3130">
        <f>Cleaned_Data!K3130</f>
        <v>11</v>
      </c>
      <c r="I3130" t="str">
        <f t="shared" si="144"/>
        <v>NO</v>
      </c>
      <c r="J3130">
        <f>Cleaned_Data!J3130</f>
        <v>8</v>
      </c>
      <c r="K3130" t="str">
        <f t="shared" si="145"/>
        <v>2024-09</v>
      </c>
      <c r="L3130">
        <f t="shared" si="146"/>
        <v>3</v>
      </c>
    </row>
    <row r="3131" spans="1:12">
      <c r="A3131" t="s">
        <v>9089</v>
      </c>
      <c r="B3131" t="s">
        <v>9090</v>
      </c>
      <c r="C3131" t="s">
        <v>9091</v>
      </c>
      <c r="D3131" t="s">
        <v>15</v>
      </c>
      <c r="E3131" t="s">
        <v>16</v>
      </c>
      <c r="F3131" t="s">
        <v>36</v>
      </c>
      <c r="G3131" t="s">
        <v>19</v>
      </c>
      <c r="H3131">
        <f>Cleaned_Data!K3131</f>
        <v>7.43</v>
      </c>
      <c r="I3131" t="str">
        <f t="shared" si="144"/>
        <v>YES</v>
      </c>
      <c r="J3131">
        <f>Cleaned_Data!J3131</f>
        <v>8</v>
      </c>
      <c r="K3131" t="str">
        <f t="shared" si="145"/>
        <v>2024-12</v>
      </c>
      <c r="L3131">
        <f t="shared" si="146"/>
        <v>0</v>
      </c>
    </row>
    <row r="3132" spans="1:12">
      <c r="A3132" t="s">
        <v>9092</v>
      </c>
      <c r="B3132" t="s">
        <v>9093</v>
      </c>
      <c r="C3132" t="s">
        <v>9094</v>
      </c>
      <c r="D3132" t="s">
        <v>15</v>
      </c>
      <c r="E3132" t="s">
        <v>54</v>
      </c>
      <c r="F3132" t="s">
        <v>36</v>
      </c>
      <c r="G3132" t="s">
        <v>31</v>
      </c>
      <c r="H3132">
        <f>Cleaned_Data!K3132</f>
        <v>6.46</v>
      </c>
      <c r="I3132" t="str">
        <f t="shared" si="144"/>
        <v>YES</v>
      </c>
      <c r="J3132">
        <f>Cleaned_Data!J3132</f>
        <v>8</v>
      </c>
      <c r="K3132" t="str">
        <f t="shared" si="145"/>
        <v>2024-06</v>
      </c>
      <c r="L3132">
        <f t="shared" si="146"/>
        <v>0</v>
      </c>
    </row>
    <row r="3133" spans="1:12">
      <c r="A3133" t="s">
        <v>9095</v>
      </c>
      <c r="B3133" t="s">
        <v>9096</v>
      </c>
      <c r="D3133" t="s">
        <v>35</v>
      </c>
      <c r="E3133" t="s">
        <v>59</v>
      </c>
      <c r="F3133" t="s">
        <v>60</v>
      </c>
      <c r="G3133" t="s">
        <v>63</v>
      </c>
      <c r="H3133">
        <f>Cleaned_Data!K3133</f>
        <v>0</v>
      </c>
      <c r="I3133" t="str">
        <f t="shared" si="144"/>
        <v/>
      </c>
      <c r="J3133">
        <f>Cleaned_Data!J3133</f>
        <v>48</v>
      </c>
      <c r="K3133" t="str">
        <f t="shared" si="145"/>
        <v>2024-11</v>
      </c>
      <c r="L3133">
        <f t="shared" si="146"/>
        <v>0</v>
      </c>
    </row>
    <row r="3134" spans="1:12">
      <c r="A3134" t="s">
        <v>9097</v>
      </c>
      <c r="B3134" t="s">
        <v>9098</v>
      </c>
      <c r="C3134" t="s">
        <v>9099</v>
      </c>
      <c r="D3134" t="s">
        <v>23</v>
      </c>
      <c r="E3134" t="s">
        <v>59</v>
      </c>
      <c r="F3134" t="s">
        <v>29</v>
      </c>
      <c r="G3134" t="s">
        <v>19</v>
      </c>
      <c r="H3134">
        <f>Cleaned_Data!K3134</f>
        <v>14.96</v>
      </c>
      <c r="I3134" t="str">
        <f t="shared" si="144"/>
        <v>YES</v>
      </c>
      <c r="J3134">
        <f>Cleaned_Data!J3134</f>
        <v>24</v>
      </c>
      <c r="K3134" t="str">
        <f t="shared" si="145"/>
        <v>2024-06</v>
      </c>
      <c r="L3134">
        <f t="shared" si="146"/>
        <v>0</v>
      </c>
    </row>
    <row r="3135" spans="1:12">
      <c r="A3135" t="s">
        <v>9100</v>
      </c>
      <c r="B3135" t="s">
        <v>9101</v>
      </c>
      <c r="C3135" t="s">
        <v>9102</v>
      </c>
      <c r="D3135" t="s">
        <v>35</v>
      </c>
      <c r="E3135" t="s">
        <v>24</v>
      </c>
      <c r="F3135" t="s">
        <v>41</v>
      </c>
      <c r="G3135" t="s">
        <v>19</v>
      </c>
      <c r="H3135">
        <f>Cleaned_Data!K3135</f>
        <v>43.46</v>
      </c>
      <c r="I3135" t="str">
        <f t="shared" si="144"/>
        <v>YES</v>
      </c>
      <c r="J3135">
        <f>Cleaned_Data!J3135</f>
        <v>48</v>
      </c>
      <c r="K3135" t="str">
        <f t="shared" si="145"/>
        <v>2024-02</v>
      </c>
      <c r="L3135">
        <f t="shared" si="146"/>
        <v>0</v>
      </c>
    </row>
    <row r="3136" spans="1:12">
      <c r="A3136" t="s">
        <v>9103</v>
      </c>
      <c r="B3136" t="s">
        <v>9104</v>
      </c>
      <c r="C3136" t="s">
        <v>9105</v>
      </c>
      <c r="D3136" t="s">
        <v>15</v>
      </c>
      <c r="E3136" t="s">
        <v>28</v>
      </c>
      <c r="F3136" t="s">
        <v>60</v>
      </c>
      <c r="G3136" t="s">
        <v>19</v>
      </c>
      <c r="H3136">
        <f>Cleaned_Data!K3136</f>
        <v>4.21</v>
      </c>
      <c r="I3136" t="str">
        <f t="shared" si="144"/>
        <v>YES</v>
      </c>
      <c r="J3136">
        <f>Cleaned_Data!J3136</f>
        <v>8</v>
      </c>
      <c r="K3136" t="str">
        <f t="shared" si="145"/>
        <v>2024-03</v>
      </c>
      <c r="L3136">
        <f t="shared" si="146"/>
        <v>0</v>
      </c>
    </row>
    <row r="3137" spans="1:12">
      <c r="A3137" t="s">
        <v>9106</v>
      </c>
      <c r="B3137" t="s">
        <v>9107</v>
      </c>
      <c r="C3137" t="s">
        <v>9108</v>
      </c>
      <c r="D3137" t="s">
        <v>23</v>
      </c>
      <c r="E3137" t="s">
        <v>54</v>
      </c>
      <c r="F3137" t="s">
        <v>36</v>
      </c>
      <c r="G3137" t="s">
        <v>19</v>
      </c>
      <c r="H3137">
        <f>Cleaned_Data!K3137</f>
        <v>10.58</v>
      </c>
      <c r="I3137" t="str">
        <f t="shared" si="144"/>
        <v>YES</v>
      </c>
      <c r="J3137">
        <f>Cleaned_Data!J3137</f>
        <v>24</v>
      </c>
      <c r="K3137" t="str">
        <f t="shared" si="145"/>
        <v>2024-02</v>
      </c>
      <c r="L3137">
        <f t="shared" si="146"/>
        <v>0</v>
      </c>
    </row>
    <row r="3138" spans="1:12">
      <c r="A3138" t="s">
        <v>9109</v>
      </c>
      <c r="B3138" t="s">
        <v>9110</v>
      </c>
      <c r="C3138" t="s">
        <v>9111</v>
      </c>
      <c r="D3138" t="s">
        <v>23</v>
      </c>
      <c r="E3138" t="s">
        <v>54</v>
      </c>
      <c r="F3138" t="s">
        <v>17</v>
      </c>
      <c r="G3138" t="s">
        <v>19</v>
      </c>
      <c r="H3138">
        <f>Cleaned_Data!K3138</f>
        <v>9.7799999999999994</v>
      </c>
      <c r="I3138" t="str">
        <f t="shared" ref="I3138:I3201" si="147">IF(OR(G3138="Resolved", G3138="Closed"), IF(AND(H3138&lt;&gt;"", H3138&lt;=J3138), "YES", "NO"), "")</f>
        <v>YES</v>
      </c>
      <c r="J3138">
        <f>Cleaned_Data!J3138</f>
        <v>24</v>
      </c>
      <c r="K3138" t="str">
        <f t="shared" ref="K3138:K3201" si="148">LEFT(B3138, 7)</f>
        <v>2024-11</v>
      </c>
      <c r="L3138">
        <f t="shared" ref="L3138:L3201" si="149">IF(I3138="NO", H3138-J3138, 0)</f>
        <v>0</v>
      </c>
    </row>
    <row r="3139" spans="1:12">
      <c r="A3139" t="s">
        <v>9112</v>
      </c>
      <c r="B3139" t="s">
        <v>9113</v>
      </c>
      <c r="C3139" t="s">
        <v>9114</v>
      </c>
      <c r="D3139" t="s">
        <v>23</v>
      </c>
      <c r="E3139" t="s">
        <v>54</v>
      </c>
      <c r="F3139" t="s">
        <v>36</v>
      </c>
      <c r="G3139" t="s">
        <v>31</v>
      </c>
      <c r="H3139">
        <f>Cleaned_Data!K3139</f>
        <v>2.9</v>
      </c>
      <c r="I3139" t="str">
        <f t="shared" si="147"/>
        <v>YES</v>
      </c>
      <c r="J3139">
        <f>Cleaned_Data!J3139</f>
        <v>24</v>
      </c>
      <c r="K3139" t="str">
        <f t="shared" si="148"/>
        <v>2024-05</v>
      </c>
      <c r="L3139">
        <f t="shared" si="149"/>
        <v>0</v>
      </c>
    </row>
    <row r="3140" spans="1:12">
      <c r="A3140" t="s">
        <v>9115</v>
      </c>
      <c r="B3140" t="s">
        <v>9116</v>
      </c>
      <c r="C3140" t="s">
        <v>9117</v>
      </c>
      <c r="D3140" t="s">
        <v>15</v>
      </c>
      <c r="E3140" t="s">
        <v>24</v>
      </c>
      <c r="F3140" t="s">
        <v>17</v>
      </c>
      <c r="G3140" t="s">
        <v>19</v>
      </c>
      <c r="H3140">
        <f>Cleaned_Data!K3140</f>
        <v>4.9800000000000004</v>
      </c>
      <c r="I3140" t="str">
        <f t="shared" si="147"/>
        <v>YES</v>
      </c>
      <c r="J3140">
        <f>Cleaned_Data!J3140</f>
        <v>8</v>
      </c>
      <c r="K3140" t="str">
        <f t="shared" si="148"/>
        <v>2024-04</v>
      </c>
      <c r="L3140">
        <f t="shared" si="149"/>
        <v>0</v>
      </c>
    </row>
    <row r="3141" spans="1:12">
      <c r="A3141" t="s">
        <v>9118</v>
      </c>
      <c r="B3141" t="s">
        <v>9119</v>
      </c>
      <c r="D3141" t="s">
        <v>158</v>
      </c>
      <c r="E3141" t="s">
        <v>24</v>
      </c>
      <c r="F3141" t="s">
        <v>17</v>
      </c>
      <c r="G3141" t="s">
        <v>46</v>
      </c>
      <c r="H3141">
        <f>Cleaned_Data!K3141</f>
        <v>0</v>
      </c>
      <c r="I3141" t="str">
        <f t="shared" si="147"/>
        <v/>
      </c>
      <c r="J3141">
        <f>Cleaned_Data!J3141</f>
        <v>4</v>
      </c>
      <c r="K3141" t="str">
        <f t="shared" si="148"/>
        <v>2024-11</v>
      </c>
      <c r="L3141">
        <f t="shared" si="149"/>
        <v>0</v>
      </c>
    </row>
    <row r="3142" spans="1:12">
      <c r="A3142" t="s">
        <v>9120</v>
      </c>
      <c r="B3142" t="s">
        <v>9121</v>
      </c>
      <c r="C3142" t="s">
        <v>9122</v>
      </c>
      <c r="D3142" t="s">
        <v>23</v>
      </c>
      <c r="E3142" t="s">
        <v>54</v>
      </c>
      <c r="F3142" t="s">
        <v>36</v>
      </c>
      <c r="G3142" t="s">
        <v>19</v>
      </c>
      <c r="H3142">
        <f>Cleaned_Data!K3142</f>
        <v>14.32</v>
      </c>
      <c r="I3142" t="str">
        <f t="shared" si="147"/>
        <v>YES</v>
      </c>
      <c r="J3142">
        <f>Cleaned_Data!J3142</f>
        <v>24</v>
      </c>
      <c r="K3142" t="str">
        <f t="shared" si="148"/>
        <v>2024-07</v>
      </c>
      <c r="L3142">
        <f t="shared" si="149"/>
        <v>0</v>
      </c>
    </row>
    <row r="3143" spans="1:12">
      <c r="A3143" t="s">
        <v>9123</v>
      </c>
      <c r="B3143" t="s">
        <v>9124</v>
      </c>
      <c r="D3143" t="s">
        <v>23</v>
      </c>
      <c r="E3143" t="s">
        <v>24</v>
      </c>
      <c r="F3143" t="s">
        <v>29</v>
      </c>
      <c r="G3143" t="s">
        <v>63</v>
      </c>
      <c r="H3143">
        <f>Cleaned_Data!K3143</f>
        <v>0</v>
      </c>
      <c r="I3143" t="str">
        <f t="shared" si="147"/>
        <v/>
      </c>
      <c r="J3143">
        <f>Cleaned_Data!J3143</f>
        <v>24</v>
      </c>
      <c r="K3143" t="str">
        <f t="shared" si="148"/>
        <v>2024-12</v>
      </c>
      <c r="L3143">
        <f t="shared" si="149"/>
        <v>0</v>
      </c>
    </row>
    <row r="3144" spans="1:12">
      <c r="A3144" t="s">
        <v>9125</v>
      </c>
      <c r="B3144" t="s">
        <v>9126</v>
      </c>
      <c r="C3144" t="s">
        <v>9127</v>
      </c>
      <c r="D3144" t="s">
        <v>35</v>
      </c>
      <c r="E3144" t="s">
        <v>28</v>
      </c>
      <c r="F3144" t="s">
        <v>41</v>
      </c>
      <c r="G3144" t="s">
        <v>31</v>
      </c>
      <c r="H3144">
        <f>Cleaned_Data!K3144</f>
        <v>6.99</v>
      </c>
      <c r="I3144" t="str">
        <f t="shared" si="147"/>
        <v>YES</v>
      </c>
      <c r="J3144">
        <f>Cleaned_Data!J3144</f>
        <v>48</v>
      </c>
      <c r="K3144" t="str">
        <f t="shared" si="148"/>
        <v>2024-03</v>
      </c>
      <c r="L3144">
        <f t="shared" si="149"/>
        <v>0</v>
      </c>
    </row>
    <row r="3145" spans="1:12">
      <c r="A3145" t="s">
        <v>9128</v>
      </c>
      <c r="B3145" t="s">
        <v>9129</v>
      </c>
      <c r="C3145" t="s">
        <v>9130</v>
      </c>
      <c r="D3145" t="s">
        <v>35</v>
      </c>
      <c r="E3145" t="s">
        <v>28</v>
      </c>
      <c r="F3145" t="s">
        <v>36</v>
      </c>
      <c r="G3145" t="s">
        <v>19</v>
      </c>
      <c r="H3145">
        <f>Cleaned_Data!K3145</f>
        <v>41.52</v>
      </c>
      <c r="I3145" t="str">
        <f t="shared" si="147"/>
        <v>YES</v>
      </c>
      <c r="J3145">
        <f>Cleaned_Data!J3145</f>
        <v>48</v>
      </c>
      <c r="K3145" t="str">
        <f t="shared" si="148"/>
        <v>2024-03</v>
      </c>
      <c r="L3145">
        <f t="shared" si="149"/>
        <v>0</v>
      </c>
    </row>
    <row r="3146" spans="1:12">
      <c r="A3146" t="s">
        <v>9131</v>
      </c>
      <c r="B3146" t="s">
        <v>9132</v>
      </c>
      <c r="C3146" t="s">
        <v>9133</v>
      </c>
      <c r="D3146" t="s">
        <v>15</v>
      </c>
      <c r="E3146" t="s">
        <v>28</v>
      </c>
      <c r="F3146" t="s">
        <v>41</v>
      </c>
      <c r="G3146" t="s">
        <v>31</v>
      </c>
      <c r="H3146">
        <f>Cleaned_Data!K3146</f>
        <v>4.6399999999999997</v>
      </c>
      <c r="I3146" t="str">
        <f t="shared" si="147"/>
        <v>YES</v>
      </c>
      <c r="J3146">
        <f>Cleaned_Data!J3146</f>
        <v>8</v>
      </c>
      <c r="K3146" t="str">
        <f t="shared" si="148"/>
        <v>2024-06</v>
      </c>
      <c r="L3146">
        <f t="shared" si="149"/>
        <v>0</v>
      </c>
    </row>
    <row r="3147" spans="1:12">
      <c r="A3147" t="s">
        <v>9134</v>
      </c>
      <c r="B3147" t="s">
        <v>9135</v>
      </c>
      <c r="C3147" t="s">
        <v>9136</v>
      </c>
      <c r="D3147" t="s">
        <v>158</v>
      </c>
      <c r="E3147" t="s">
        <v>54</v>
      </c>
      <c r="F3147" t="s">
        <v>29</v>
      </c>
      <c r="G3147" t="s">
        <v>31</v>
      </c>
      <c r="H3147">
        <f>Cleaned_Data!K3147</f>
        <v>4.83</v>
      </c>
      <c r="I3147" t="str">
        <f t="shared" si="147"/>
        <v>NO</v>
      </c>
      <c r="J3147">
        <f>Cleaned_Data!J3147</f>
        <v>4</v>
      </c>
      <c r="K3147" t="str">
        <f t="shared" si="148"/>
        <v>2024-07</v>
      </c>
      <c r="L3147">
        <f t="shared" si="149"/>
        <v>0.83000000000000007</v>
      </c>
    </row>
    <row r="3148" spans="1:12">
      <c r="A3148" t="s">
        <v>9137</v>
      </c>
      <c r="B3148" t="s">
        <v>9138</v>
      </c>
      <c r="C3148" t="s">
        <v>9139</v>
      </c>
      <c r="D3148" t="s">
        <v>15</v>
      </c>
      <c r="E3148" t="s">
        <v>28</v>
      </c>
      <c r="F3148" t="s">
        <v>36</v>
      </c>
      <c r="G3148" t="s">
        <v>19</v>
      </c>
      <c r="H3148">
        <f>Cleaned_Data!K3148</f>
        <v>3.37</v>
      </c>
      <c r="I3148" t="str">
        <f t="shared" si="147"/>
        <v>YES</v>
      </c>
      <c r="J3148">
        <f>Cleaned_Data!J3148</f>
        <v>8</v>
      </c>
      <c r="K3148" t="str">
        <f t="shared" si="148"/>
        <v>2024-01</v>
      </c>
      <c r="L3148">
        <f t="shared" si="149"/>
        <v>0</v>
      </c>
    </row>
    <row r="3149" spans="1:12">
      <c r="A3149" t="s">
        <v>9140</v>
      </c>
      <c r="B3149" t="s">
        <v>9141</v>
      </c>
      <c r="C3149" t="s">
        <v>9142</v>
      </c>
      <c r="D3149" t="s">
        <v>23</v>
      </c>
      <c r="E3149" t="s">
        <v>54</v>
      </c>
      <c r="F3149" t="s">
        <v>36</v>
      </c>
      <c r="G3149" t="s">
        <v>31</v>
      </c>
      <c r="H3149">
        <f>Cleaned_Data!K3149</f>
        <v>9.4600000000000009</v>
      </c>
      <c r="I3149" t="str">
        <f t="shared" si="147"/>
        <v>YES</v>
      </c>
      <c r="J3149">
        <f>Cleaned_Data!J3149</f>
        <v>24</v>
      </c>
      <c r="K3149" t="str">
        <f t="shared" si="148"/>
        <v>2024-04</v>
      </c>
      <c r="L3149">
        <f t="shared" si="149"/>
        <v>0</v>
      </c>
    </row>
    <row r="3150" spans="1:12">
      <c r="A3150" t="s">
        <v>9143</v>
      </c>
      <c r="B3150" t="s">
        <v>9144</v>
      </c>
      <c r="C3150" t="s">
        <v>9145</v>
      </c>
      <c r="D3150" t="s">
        <v>15</v>
      </c>
      <c r="E3150" t="s">
        <v>28</v>
      </c>
      <c r="F3150" t="s">
        <v>41</v>
      </c>
      <c r="G3150" t="s">
        <v>19</v>
      </c>
      <c r="H3150">
        <f>Cleaned_Data!K3150</f>
        <v>2.65</v>
      </c>
      <c r="I3150" t="str">
        <f t="shared" si="147"/>
        <v>YES</v>
      </c>
      <c r="J3150">
        <f>Cleaned_Data!J3150</f>
        <v>8</v>
      </c>
      <c r="K3150" t="str">
        <f t="shared" si="148"/>
        <v>2024-08</v>
      </c>
      <c r="L3150">
        <f t="shared" si="149"/>
        <v>0</v>
      </c>
    </row>
    <row r="3151" spans="1:12">
      <c r="A3151" t="s">
        <v>9146</v>
      </c>
      <c r="B3151" t="s">
        <v>9147</v>
      </c>
      <c r="C3151" t="s">
        <v>9148</v>
      </c>
      <c r="D3151" t="s">
        <v>23</v>
      </c>
      <c r="E3151" t="s">
        <v>28</v>
      </c>
      <c r="F3151" t="s">
        <v>41</v>
      </c>
      <c r="G3151" t="s">
        <v>19</v>
      </c>
      <c r="H3151">
        <f>Cleaned_Data!K3151</f>
        <v>13.34</v>
      </c>
      <c r="I3151" t="str">
        <f t="shared" si="147"/>
        <v>YES</v>
      </c>
      <c r="J3151">
        <f>Cleaned_Data!J3151</f>
        <v>24</v>
      </c>
      <c r="K3151" t="str">
        <f t="shared" si="148"/>
        <v>2024-10</v>
      </c>
      <c r="L3151">
        <f t="shared" si="149"/>
        <v>0</v>
      </c>
    </row>
    <row r="3152" spans="1:12">
      <c r="A3152" t="s">
        <v>9149</v>
      </c>
      <c r="B3152" t="s">
        <v>9150</v>
      </c>
      <c r="C3152" t="s">
        <v>9151</v>
      </c>
      <c r="D3152" t="s">
        <v>23</v>
      </c>
      <c r="E3152" t="s">
        <v>54</v>
      </c>
      <c r="F3152" t="s">
        <v>36</v>
      </c>
      <c r="G3152" t="s">
        <v>19</v>
      </c>
      <c r="H3152">
        <f>Cleaned_Data!K3152</f>
        <v>13.61</v>
      </c>
      <c r="I3152" t="str">
        <f t="shared" si="147"/>
        <v>YES</v>
      </c>
      <c r="J3152">
        <f>Cleaned_Data!J3152</f>
        <v>24</v>
      </c>
      <c r="K3152" t="str">
        <f t="shared" si="148"/>
        <v>2024-04</v>
      </c>
      <c r="L3152">
        <f t="shared" si="149"/>
        <v>0</v>
      </c>
    </row>
    <row r="3153" spans="1:12">
      <c r="A3153" t="s">
        <v>9152</v>
      </c>
      <c r="B3153" t="s">
        <v>9153</v>
      </c>
      <c r="C3153" t="s">
        <v>9154</v>
      </c>
      <c r="D3153" t="s">
        <v>158</v>
      </c>
      <c r="E3153" t="s">
        <v>16</v>
      </c>
      <c r="F3153" t="s">
        <v>29</v>
      </c>
      <c r="G3153" t="s">
        <v>19</v>
      </c>
      <c r="H3153">
        <f>Cleaned_Data!K3153</f>
        <v>0.6</v>
      </c>
      <c r="I3153" t="str">
        <f t="shared" si="147"/>
        <v>YES</v>
      </c>
      <c r="J3153">
        <f>Cleaned_Data!J3153</f>
        <v>4</v>
      </c>
      <c r="K3153" t="str">
        <f t="shared" si="148"/>
        <v>2024-03</v>
      </c>
      <c r="L3153">
        <f t="shared" si="149"/>
        <v>0</v>
      </c>
    </row>
    <row r="3154" spans="1:12">
      <c r="A3154" t="s">
        <v>9155</v>
      </c>
      <c r="B3154" t="s">
        <v>9156</v>
      </c>
      <c r="C3154" t="s">
        <v>9157</v>
      </c>
      <c r="D3154" t="s">
        <v>15</v>
      </c>
      <c r="E3154" t="s">
        <v>24</v>
      </c>
      <c r="F3154" t="s">
        <v>60</v>
      </c>
      <c r="G3154" t="s">
        <v>19</v>
      </c>
      <c r="H3154">
        <f>Cleaned_Data!K3154</f>
        <v>2.4</v>
      </c>
      <c r="I3154" t="str">
        <f t="shared" si="147"/>
        <v>YES</v>
      </c>
      <c r="J3154">
        <f>Cleaned_Data!J3154</f>
        <v>8</v>
      </c>
      <c r="K3154" t="str">
        <f t="shared" si="148"/>
        <v>2024-03</v>
      </c>
      <c r="L3154">
        <f t="shared" si="149"/>
        <v>0</v>
      </c>
    </row>
    <row r="3155" spans="1:12">
      <c r="A3155" t="s">
        <v>9158</v>
      </c>
      <c r="B3155" t="s">
        <v>9159</v>
      </c>
      <c r="C3155" t="s">
        <v>9160</v>
      </c>
      <c r="D3155" t="s">
        <v>23</v>
      </c>
      <c r="E3155" t="s">
        <v>54</v>
      </c>
      <c r="F3155" t="s">
        <v>36</v>
      </c>
      <c r="G3155" t="s">
        <v>19</v>
      </c>
      <c r="H3155">
        <f>Cleaned_Data!K3155</f>
        <v>18.309999999999999</v>
      </c>
      <c r="I3155" t="str">
        <f t="shared" si="147"/>
        <v>YES</v>
      </c>
      <c r="J3155">
        <f>Cleaned_Data!J3155</f>
        <v>24</v>
      </c>
      <c r="K3155" t="str">
        <f t="shared" si="148"/>
        <v>2024-08</v>
      </c>
      <c r="L3155">
        <f t="shared" si="149"/>
        <v>0</v>
      </c>
    </row>
    <row r="3156" spans="1:12">
      <c r="A3156" t="s">
        <v>9161</v>
      </c>
      <c r="B3156" t="s">
        <v>9162</v>
      </c>
      <c r="C3156" t="s">
        <v>9163</v>
      </c>
      <c r="D3156" t="s">
        <v>35</v>
      </c>
      <c r="E3156" t="s">
        <v>28</v>
      </c>
      <c r="F3156" t="s">
        <v>60</v>
      </c>
      <c r="G3156" t="s">
        <v>31</v>
      </c>
      <c r="H3156">
        <f>Cleaned_Data!K3156</f>
        <v>43.09</v>
      </c>
      <c r="I3156" t="str">
        <f t="shared" si="147"/>
        <v>YES</v>
      </c>
      <c r="J3156">
        <f>Cleaned_Data!J3156</f>
        <v>48</v>
      </c>
      <c r="K3156" t="str">
        <f t="shared" si="148"/>
        <v>2024-06</v>
      </c>
      <c r="L3156">
        <f t="shared" si="149"/>
        <v>0</v>
      </c>
    </row>
    <row r="3157" spans="1:12">
      <c r="A3157" t="s">
        <v>9164</v>
      </c>
      <c r="B3157" t="s">
        <v>9165</v>
      </c>
      <c r="C3157" t="s">
        <v>9166</v>
      </c>
      <c r="D3157" t="s">
        <v>23</v>
      </c>
      <c r="E3157" t="s">
        <v>54</v>
      </c>
      <c r="F3157" t="s">
        <v>41</v>
      </c>
      <c r="G3157" t="s">
        <v>19</v>
      </c>
      <c r="H3157">
        <f>Cleaned_Data!K3157</f>
        <v>15.62</v>
      </c>
      <c r="I3157" t="str">
        <f t="shared" si="147"/>
        <v>YES</v>
      </c>
      <c r="J3157">
        <f>Cleaned_Data!J3157</f>
        <v>24</v>
      </c>
      <c r="K3157" t="str">
        <f t="shared" si="148"/>
        <v>2024-04</v>
      </c>
      <c r="L3157">
        <f t="shared" si="149"/>
        <v>0</v>
      </c>
    </row>
    <row r="3158" spans="1:12">
      <c r="A3158" t="s">
        <v>9167</v>
      </c>
      <c r="B3158" t="s">
        <v>9168</v>
      </c>
      <c r="C3158" t="s">
        <v>9169</v>
      </c>
      <c r="D3158" t="s">
        <v>158</v>
      </c>
      <c r="E3158" t="s">
        <v>24</v>
      </c>
      <c r="F3158" t="s">
        <v>17</v>
      </c>
      <c r="G3158" t="s">
        <v>19</v>
      </c>
      <c r="H3158">
        <f>Cleaned_Data!K3158</f>
        <v>3.05</v>
      </c>
      <c r="I3158" t="str">
        <f t="shared" si="147"/>
        <v>YES</v>
      </c>
      <c r="J3158">
        <f>Cleaned_Data!J3158</f>
        <v>4</v>
      </c>
      <c r="K3158" t="str">
        <f t="shared" si="148"/>
        <v>2024-03</v>
      </c>
      <c r="L3158">
        <f t="shared" si="149"/>
        <v>0</v>
      </c>
    </row>
    <row r="3159" spans="1:12">
      <c r="A3159" t="s">
        <v>9170</v>
      </c>
      <c r="B3159" t="s">
        <v>9171</v>
      </c>
      <c r="C3159" t="s">
        <v>9172</v>
      </c>
      <c r="D3159" t="s">
        <v>158</v>
      </c>
      <c r="E3159" t="s">
        <v>24</v>
      </c>
      <c r="F3159" t="s">
        <v>17</v>
      </c>
      <c r="G3159" t="s">
        <v>31</v>
      </c>
      <c r="H3159">
        <f>Cleaned_Data!K3159</f>
        <v>4.42</v>
      </c>
      <c r="I3159" t="str">
        <f t="shared" si="147"/>
        <v>NO</v>
      </c>
      <c r="J3159">
        <f>Cleaned_Data!J3159</f>
        <v>4</v>
      </c>
      <c r="K3159" t="str">
        <f t="shared" si="148"/>
        <v>2024-12</v>
      </c>
      <c r="L3159">
        <f t="shared" si="149"/>
        <v>0.41999999999999993</v>
      </c>
    </row>
    <row r="3160" spans="1:12">
      <c r="A3160" t="s">
        <v>9173</v>
      </c>
      <c r="B3160" t="s">
        <v>9174</v>
      </c>
      <c r="C3160" t="s">
        <v>9175</v>
      </c>
      <c r="D3160" t="s">
        <v>35</v>
      </c>
      <c r="E3160" t="s">
        <v>28</v>
      </c>
      <c r="F3160" t="s">
        <v>17</v>
      </c>
      <c r="G3160" t="s">
        <v>19</v>
      </c>
      <c r="H3160">
        <f>Cleaned_Data!K3160</f>
        <v>8.1</v>
      </c>
      <c r="I3160" t="str">
        <f t="shared" si="147"/>
        <v>YES</v>
      </c>
      <c r="J3160">
        <f>Cleaned_Data!J3160</f>
        <v>48</v>
      </c>
      <c r="K3160" t="str">
        <f t="shared" si="148"/>
        <v>2024-07</v>
      </c>
      <c r="L3160">
        <f t="shared" si="149"/>
        <v>0</v>
      </c>
    </row>
    <row r="3161" spans="1:12">
      <c r="A3161" t="s">
        <v>9176</v>
      </c>
      <c r="B3161" t="s">
        <v>9177</v>
      </c>
      <c r="C3161" t="s">
        <v>9178</v>
      </c>
      <c r="D3161" t="s">
        <v>23</v>
      </c>
      <c r="E3161" t="s">
        <v>24</v>
      </c>
      <c r="F3161" t="s">
        <v>29</v>
      </c>
      <c r="G3161" t="s">
        <v>19</v>
      </c>
      <c r="H3161">
        <f>Cleaned_Data!K3161</f>
        <v>9.81</v>
      </c>
      <c r="I3161" t="str">
        <f t="shared" si="147"/>
        <v>YES</v>
      </c>
      <c r="J3161">
        <f>Cleaned_Data!J3161</f>
        <v>24</v>
      </c>
      <c r="K3161" t="str">
        <f t="shared" si="148"/>
        <v>2024-10</v>
      </c>
      <c r="L3161">
        <f t="shared" si="149"/>
        <v>0</v>
      </c>
    </row>
    <row r="3162" spans="1:12">
      <c r="A3162" t="s">
        <v>9179</v>
      </c>
      <c r="B3162" t="s">
        <v>9180</v>
      </c>
      <c r="C3162" t="s">
        <v>9181</v>
      </c>
      <c r="D3162" t="s">
        <v>23</v>
      </c>
      <c r="E3162" t="s">
        <v>28</v>
      </c>
      <c r="F3162" t="s">
        <v>41</v>
      </c>
      <c r="G3162" t="s">
        <v>31</v>
      </c>
      <c r="H3162">
        <f>Cleaned_Data!K3162</f>
        <v>12.57</v>
      </c>
      <c r="I3162" t="str">
        <f t="shared" si="147"/>
        <v>YES</v>
      </c>
      <c r="J3162">
        <f>Cleaned_Data!J3162</f>
        <v>24</v>
      </c>
      <c r="K3162" t="str">
        <f t="shared" si="148"/>
        <v>2024-02</v>
      </c>
      <c r="L3162">
        <f t="shared" si="149"/>
        <v>0</v>
      </c>
    </row>
    <row r="3163" spans="1:12">
      <c r="A3163" t="s">
        <v>9182</v>
      </c>
      <c r="B3163" t="s">
        <v>9183</v>
      </c>
      <c r="C3163" t="s">
        <v>9184</v>
      </c>
      <c r="D3163" t="s">
        <v>23</v>
      </c>
      <c r="E3163" t="s">
        <v>24</v>
      </c>
      <c r="F3163" t="s">
        <v>60</v>
      </c>
      <c r="G3163" t="s">
        <v>19</v>
      </c>
      <c r="H3163">
        <f>Cleaned_Data!K3163</f>
        <v>11.08</v>
      </c>
      <c r="I3163" t="str">
        <f t="shared" si="147"/>
        <v>YES</v>
      </c>
      <c r="J3163">
        <f>Cleaned_Data!J3163</f>
        <v>24</v>
      </c>
      <c r="K3163" t="str">
        <f t="shared" si="148"/>
        <v>2024-06</v>
      </c>
      <c r="L3163">
        <f t="shared" si="149"/>
        <v>0</v>
      </c>
    </row>
    <row r="3164" spans="1:12">
      <c r="A3164" t="s">
        <v>9185</v>
      </c>
      <c r="B3164" t="s">
        <v>9186</v>
      </c>
      <c r="C3164" t="s">
        <v>9187</v>
      </c>
      <c r="D3164" t="s">
        <v>15</v>
      </c>
      <c r="E3164" t="s">
        <v>16</v>
      </c>
      <c r="F3164" t="s">
        <v>41</v>
      </c>
      <c r="G3164" t="s">
        <v>19</v>
      </c>
      <c r="H3164">
        <f>Cleaned_Data!K3164</f>
        <v>14.21</v>
      </c>
      <c r="I3164" t="str">
        <f t="shared" si="147"/>
        <v>NO</v>
      </c>
      <c r="J3164">
        <f>Cleaned_Data!J3164</f>
        <v>8</v>
      </c>
      <c r="K3164" t="str">
        <f t="shared" si="148"/>
        <v>2024-06</v>
      </c>
      <c r="L3164">
        <f t="shared" si="149"/>
        <v>6.2100000000000009</v>
      </c>
    </row>
    <row r="3165" spans="1:12">
      <c r="A3165" t="s">
        <v>9188</v>
      </c>
      <c r="B3165" t="s">
        <v>9189</v>
      </c>
      <c r="C3165" t="s">
        <v>9190</v>
      </c>
      <c r="D3165" t="s">
        <v>158</v>
      </c>
      <c r="E3165" t="s">
        <v>28</v>
      </c>
      <c r="F3165" t="s">
        <v>60</v>
      </c>
      <c r="G3165" t="s">
        <v>31</v>
      </c>
      <c r="H3165">
        <f>Cleaned_Data!K3165</f>
        <v>4.5599999999999996</v>
      </c>
      <c r="I3165" t="str">
        <f t="shared" si="147"/>
        <v>NO</v>
      </c>
      <c r="J3165">
        <f>Cleaned_Data!J3165</f>
        <v>4</v>
      </c>
      <c r="K3165" t="str">
        <f t="shared" si="148"/>
        <v>2024-06</v>
      </c>
      <c r="L3165">
        <f t="shared" si="149"/>
        <v>0.55999999999999961</v>
      </c>
    </row>
    <row r="3166" spans="1:12">
      <c r="A3166" t="s">
        <v>9191</v>
      </c>
      <c r="B3166" t="s">
        <v>9192</v>
      </c>
      <c r="C3166" t="s">
        <v>9193</v>
      </c>
      <c r="D3166" t="s">
        <v>23</v>
      </c>
      <c r="E3166" t="s">
        <v>59</v>
      </c>
      <c r="F3166" t="s">
        <v>29</v>
      </c>
      <c r="G3166" t="s">
        <v>19</v>
      </c>
      <c r="H3166">
        <f>Cleaned_Data!K3166</f>
        <v>8.4600000000000009</v>
      </c>
      <c r="I3166" t="str">
        <f t="shared" si="147"/>
        <v>YES</v>
      </c>
      <c r="J3166">
        <f>Cleaned_Data!J3166</f>
        <v>24</v>
      </c>
      <c r="K3166" t="str">
        <f t="shared" si="148"/>
        <v>2024-03</v>
      </c>
      <c r="L3166">
        <f t="shared" si="149"/>
        <v>0</v>
      </c>
    </row>
    <row r="3167" spans="1:12">
      <c r="A3167" t="s">
        <v>9194</v>
      </c>
      <c r="B3167" t="s">
        <v>9195</v>
      </c>
      <c r="C3167" t="s">
        <v>9196</v>
      </c>
      <c r="D3167" t="s">
        <v>15</v>
      </c>
      <c r="E3167" t="s">
        <v>28</v>
      </c>
      <c r="F3167" t="s">
        <v>17</v>
      </c>
      <c r="G3167" t="s">
        <v>19</v>
      </c>
      <c r="H3167">
        <f>Cleaned_Data!K3167</f>
        <v>1.29</v>
      </c>
      <c r="I3167" t="str">
        <f t="shared" si="147"/>
        <v>YES</v>
      </c>
      <c r="J3167">
        <f>Cleaned_Data!J3167</f>
        <v>8</v>
      </c>
      <c r="K3167" t="str">
        <f t="shared" si="148"/>
        <v>2024-05</v>
      </c>
      <c r="L3167">
        <f t="shared" si="149"/>
        <v>0</v>
      </c>
    </row>
    <row r="3168" spans="1:12">
      <c r="A3168" t="s">
        <v>9197</v>
      </c>
      <c r="B3168" t="s">
        <v>9198</v>
      </c>
      <c r="C3168" t="s">
        <v>9199</v>
      </c>
      <c r="D3168" t="s">
        <v>158</v>
      </c>
      <c r="E3168" t="s">
        <v>28</v>
      </c>
      <c r="F3168" t="s">
        <v>36</v>
      </c>
      <c r="G3168" t="s">
        <v>19</v>
      </c>
      <c r="H3168">
        <f>Cleaned_Data!K3168</f>
        <v>0.78</v>
      </c>
      <c r="I3168" t="str">
        <f t="shared" si="147"/>
        <v>YES</v>
      </c>
      <c r="J3168">
        <f>Cleaned_Data!J3168</f>
        <v>4</v>
      </c>
      <c r="K3168" t="str">
        <f t="shared" si="148"/>
        <v>2024-10</v>
      </c>
      <c r="L3168">
        <f t="shared" si="149"/>
        <v>0</v>
      </c>
    </row>
    <row r="3169" spans="1:12">
      <c r="A3169" t="s">
        <v>9200</v>
      </c>
      <c r="B3169" t="s">
        <v>9201</v>
      </c>
      <c r="C3169" t="s">
        <v>9202</v>
      </c>
      <c r="D3169" t="s">
        <v>23</v>
      </c>
      <c r="E3169" t="s">
        <v>28</v>
      </c>
      <c r="F3169" t="s">
        <v>41</v>
      </c>
      <c r="G3169" t="s">
        <v>19</v>
      </c>
      <c r="H3169">
        <f>Cleaned_Data!K3169</f>
        <v>43.37</v>
      </c>
      <c r="I3169" t="str">
        <f t="shared" si="147"/>
        <v>NO</v>
      </c>
      <c r="J3169">
        <f>Cleaned_Data!J3169</f>
        <v>24</v>
      </c>
      <c r="K3169" t="str">
        <f t="shared" si="148"/>
        <v>2024-07</v>
      </c>
      <c r="L3169">
        <f t="shared" si="149"/>
        <v>19.369999999999997</v>
      </c>
    </row>
    <row r="3170" spans="1:12">
      <c r="A3170" t="s">
        <v>9203</v>
      </c>
      <c r="B3170" t="s">
        <v>9204</v>
      </c>
      <c r="C3170" t="s">
        <v>9205</v>
      </c>
      <c r="D3170" t="s">
        <v>23</v>
      </c>
      <c r="E3170" t="s">
        <v>28</v>
      </c>
      <c r="F3170" t="s">
        <v>41</v>
      </c>
      <c r="G3170" t="s">
        <v>19</v>
      </c>
      <c r="H3170">
        <f>Cleaned_Data!K3170</f>
        <v>18.3</v>
      </c>
      <c r="I3170" t="str">
        <f t="shared" si="147"/>
        <v>YES</v>
      </c>
      <c r="J3170">
        <f>Cleaned_Data!J3170</f>
        <v>24</v>
      </c>
      <c r="K3170" t="str">
        <f t="shared" si="148"/>
        <v>2024-08</v>
      </c>
      <c r="L3170">
        <f t="shared" si="149"/>
        <v>0</v>
      </c>
    </row>
    <row r="3171" spans="1:12">
      <c r="A3171" t="s">
        <v>9206</v>
      </c>
      <c r="B3171" t="s">
        <v>9207</v>
      </c>
      <c r="C3171" t="s">
        <v>9208</v>
      </c>
      <c r="D3171" t="s">
        <v>15</v>
      </c>
      <c r="E3171" t="s">
        <v>28</v>
      </c>
      <c r="F3171" t="s">
        <v>60</v>
      </c>
      <c r="G3171" t="s">
        <v>19</v>
      </c>
      <c r="H3171">
        <f>Cleaned_Data!K3171</f>
        <v>5.49</v>
      </c>
      <c r="I3171" t="str">
        <f t="shared" si="147"/>
        <v>YES</v>
      </c>
      <c r="J3171">
        <f>Cleaned_Data!J3171</f>
        <v>8</v>
      </c>
      <c r="K3171" t="str">
        <f t="shared" si="148"/>
        <v>2024-01</v>
      </c>
      <c r="L3171">
        <f t="shared" si="149"/>
        <v>0</v>
      </c>
    </row>
    <row r="3172" spans="1:12">
      <c r="A3172" t="s">
        <v>9209</v>
      </c>
      <c r="B3172" t="s">
        <v>9210</v>
      </c>
      <c r="D3172" t="s">
        <v>23</v>
      </c>
      <c r="E3172" t="s">
        <v>24</v>
      </c>
      <c r="F3172" t="s">
        <v>17</v>
      </c>
      <c r="G3172" t="s">
        <v>46</v>
      </c>
      <c r="H3172">
        <f>Cleaned_Data!K3172</f>
        <v>0</v>
      </c>
      <c r="I3172" t="str">
        <f t="shared" si="147"/>
        <v/>
      </c>
      <c r="J3172">
        <f>Cleaned_Data!J3172</f>
        <v>24</v>
      </c>
      <c r="K3172" t="str">
        <f t="shared" si="148"/>
        <v>2024-05</v>
      </c>
      <c r="L3172">
        <f t="shared" si="149"/>
        <v>0</v>
      </c>
    </row>
    <row r="3173" spans="1:12">
      <c r="A3173" t="s">
        <v>9211</v>
      </c>
      <c r="B3173" t="s">
        <v>9212</v>
      </c>
      <c r="C3173" t="s">
        <v>9213</v>
      </c>
      <c r="D3173" t="s">
        <v>15</v>
      </c>
      <c r="E3173" t="s">
        <v>54</v>
      </c>
      <c r="F3173" t="s">
        <v>41</v>
      </c>
      <c r="G3173" t="s">
        <v>19</v>
      </c>
      <c r="H3173">
        <f>Cleaned_Data!K3173</f>
        <v>2.7</v>
      </c>
      <c r="I3173" t="str">
        <f t="shared" si="147"/>
        <v>YES</v>
      </c>
      <c r="J3173">
        <f>Cleaned_Data!J3173</f>
        <v>8</v>
      </c>
      <c r="K3173" t="str">
        <f t="shared" si="148"/>
        <v>2024-08</v>
      </c>
      <c r="L3173">
        <f t="shared" si="149"/>
        <v>0</v>
      </c>
    </row>
    <row r="3174" spans="1:12">
      <c r="A3174" t="s">
        <v>9214</v>
      </c>
      <c r="B3174" t="s">
        <v>9215</v>
      </c>
      <c r="C3174" t="s">
        <v>9216</v>
      </c>
      <c r="D3174" t="s">
        <v>158</v>
      </c>
      <c r="E3174" t="s">
        <v>16</v>
      </c>
      <c r="F3174" t="s">
        <v>17</v>
      </c>
      <c r="G3174" t="s">
        <v>19</v>
      </c>
      <c r="H3174">
        <f>Cleaned_Data!K3174</f>
        <v>0.98</v>
      </c>
      <c r="I3174" t="str">
        <f t="shared" si="147"/>
        <v>YES</v>
      </c>
      <c r="J3174">
        <f>Cleaned_Data!J3174</f>
        <v>4</v>
      </c>
      <c r="K3174" t="str">
        <f t="shared" si="148"/>
        <v>2024-04</v>
      </c>
      <c r="L3174">
        <f t="shared" si="149"/>
        <v>0</v>
      </c>
    </row>
    <row r="3175" spans="1:12">
      <c r="A3175" t="s">
        <v>9217</v>
      </c>
      <c r="B3175" t="s">
        <v>9218</v>
      </c>
      <c r="C3175" t="s">
        <v>9219</v>
      </c>
      <c r="D3175" t="s">
        <v>23</v>
      </c>
      <c r="E3175" t="s">
        <v>28</v>
      </c>
      <c r="F3175" t="s">
        <v>36</v>
      </c>
      <c r="G3175" t="s">
        <v>19</v>
      </c>
      <c r="H3175">
        <f>Cleaned_Data!K3175</f>
        <v>14.3</v>
      </c>
      <c r="I3175" t="str">
        <f t="shared" si="147"/>
        <v>YES</v>
      </c>
      <c r="J3175">
        <f>Cleaned_Data!J3175</f>
        <v>24</v>
      </c>
      <c r="K3175" t="str">
        <f t="shared" si="148"/>
        <v>2024-04</v>
      </c>
      <c r="L3175">
        <f t="shared" si="149"/>
        <v>0</v>
      </c>
    </row>
    <row r="3176" spans="1:12">
      <c r="A3176" t="s">
        <v>9220</v>
      </c>
      <c r="B3176" t="s">
        <v>9221</v>
      </c>
      <c r="C3176" t="s">
        <v>9222</v>
      </c>
      <c r="D3176" t="s">
        <v>23</v>
      </c>
      <c r="E3176" t="s">
        <v>16</v>
      </c>
      <c r="F3176" t="s">
        <v>41</v>
      </c>
      <c r="G3176" t="s">
        <v>31</v>
      </c>
      <c r="H3176">
        <f>Cleaned_Data!K3176</f>
        <v>17.27</v>
      </c>
      <c r="I3176" t="str">
        <f t="shared" si="147"/>
        <v>YES</v>
      </c>
      <c r="J3176">
        <f>Cleaned_Data!J3176</f>
        <v>24</v>
      </c>
      <c r="K3176" t="str">
        <f t="shared" si="148"/>
        <v>2024-06</v>
      </c>
      <c r="L3176">
        <f t="shared" si="149"/>
        <v>0</v>
      </c>
    </row>
    <row r="3177" spans="1:12">
      <c r="A3177" t="s">
        <v>9223</v>
      </c>
      <c r="B3177" t="s">
        <v>9224</v>
      </c>
      <c r="C3177" t="s">
        <v>9225</v>
      </c>
      <c r="D3177" t="s">
        <v>23</v>
      </c>
      <c r="E3177" t="s">
        <v>16</v>
      </c>
      <c r="F3177" t="s">
        <v>41</v>
      </c>
      <c r="G3177" t="s">
        <v>31</v>
      </c>
      <c r="H3177">
        <f>Cleaned_Data!K3177</f>
        <v>14.65</v>
      </c>
      <c r="I3177" t="str">
        <f t="shared" si="147"/>
        <v>YES</v>
      </c>
      <c r="J3177">
        <f>Cleaned_Data!J3177</f>
        <v>24</v>
      </c>
      <c r="K3177" t="str">
        <f t="shared" si="148"/>
        <v>2024-07</v>
      </c>
      <c r="L3177">
        <f t="shared" si="149"/>
        <v>0</v>
      </c>
    </row>
    <row r="3178" spans="1:12">
      <c r="A3178" t="s">
        <v>9226</v>
      </c>
      <c r="B3178" t="s">
        <v>9227</v>
      </c>
      <c r="C3178" t="s">
        <v>9228</v>
      </c>
      <c r="D3178" t="s">
        <v>35</v>
      </c>
      <c r="E3178" t="s">
        <v>24</v>
      </c>
      <c r="F3178" t="s">
        <v>36</v>
      </c>
      <c r="G3178" t="s">
        <v>19</v>
      </c>
      <c r="H3178">
        <f>Cleaned_Data!K3178</f>
        <v>124.39</v>
      </c>
      <c r="I3178" t="str">
        <f t="shared" si="147"/>
        <v>NO</v>
      </c>
      <c r="J3178">
        <f>Cleaned_Data!J3178</f>
        <v>48</v>
      </c>
      <c r="K3178" t="str">
        <f t="shared" si="148"/>
        <v>2024-12</v>
      </c>
      <c r="L3178">
        <f t="shared" si="149"/>
        <v>76.39</v>
      </c>
    </row>
    <row r="3179" spans="1:12">
      <c r="A3179" t="s">
        <v>9229</v>
      </c>
      <c r="B3179" t="s">
        <v>9230</v>
      </c>
      <c r="C3179" t="s">
        <v>9231</v>
      </c>
      <c r="D3179" t="s">
        <v>23</v>
      </c>
      <c r="E3179" t="s">
        <v>24</v>
      </c>
      <c r="F3179" t="s">
        <v>60</v>
      </c>
      <c r="G3179" t="s">
        <v>31</v>
      </c>
      <c r="H3179">
        <f>Cleaned_Data!K3179</f>
        <v>66.92</v>
      </c>
      <c r="I3179" t="str">
        <f t="shared" si="147"/>
        <v>NO</v>
      </c>
      <c r="J3179">
        <f>Cleaned_Data!J3179</f>
        <v>24</v>
      </c>
      <c r="K3179" t="str">
        <f t="shared" si="148"/>
        <v>2024-05</v>
      </c>
      <c r="L3179">
        <f t="shared" si="149"/>
        <v>42.92</v>
      </c>
    </row>
    <row r="3180" spans="1:12">
      <c r="A3180" t="s">
        <v>9232</v>
      </c>
      <c r="B3180" t="s">
        <v>9233</v>
      </c>
      <c r="C3180" t="s">
        <v>9234</v>
      </c>
      <c r="D3180" t="s">
        <v>23</v>
      </c>
      <c r="E3180" t="s">
        <v>54</v>
      </c>
      <c r="F3180" t="s">
        <v>29</v>
      </c>
      <c r="G3180" t="s">
        <v>31</v>
      </c>
      <c r="H3180">
        <f>Cleaned_Data!K3180</f>
        <v>10.72</v>
      </c>
      <c r="I3180" t="str">
        <f t="shared" si="147"/>
        <v>YES</v>
      </c>
      <c r="J3180">
        <f>Cleaned_Data!J3180</f>
        <v>24</v>
      </c>
      <c r="K3180" t="str">
        <f t="shared" si="148"/>
        <v>2024-01</v>
      </c>
      <c r="L3180">
        <f t="shared" si="149"/>
        <v>0</v>
      </c>
    </row>
    <row r="3181" spans="1:12">
      <c r="A3181" t="s">
        <v>9235</v>
      </c>
      <c r="B3181" t="s">
        <v>9236</v>
      </c>
      <c r="C3181" t="s">
        <v>9237</v>
      </c>
      <c r="D3181" t="s">
        <v>23</v>
      </c>
      <c r="E3181" t="s">
        <v>59</v>
      </c>
      <c r="F3181" t="s">
        <v>29</v>
      </c>
      <c r="G3181" t="s">
        <v>19</v>
      </c>
      <c r="H3181">
        <f>Cleaned_Data!K3181</f>
        <v>20.079999999999998</v>
      </c>
      <c r="I3181" t="str">
        <f t="shared" si="147"/>
        <v>YES</v>
      </c>
      <c r="J3181">
        <f>Cleaned_Data!J3181</f>
        <v>24</v>
      </c>
      <c r="K3181" t="str">
        <f t="shared" si="148"/>
        <v>2024-03</v>
      </c>
      <c r="L3181">
        <f t="shared" si="149"/>
        <v>0</v>
      </c>
    </row>
    <row r="3182" spans="1:12">
      <c r="A3182" t="s">
        <v>9238</v>
      </c>
      <c r="B3182" t="s">
        <v>9239</v>
      </c>
      <c r="D3182" t="s">
        <v>23</v>
      </c>
      <c r="E3182" t="s">
        <v>54</v>
      </c>
      <c r="F3182" t="s">
        <v>17</v>
      </c>
      <c r="G3182" t="s">
        <v>63</v>
      </c>
      <c r="H3182">
        <f>Cleaned_Data!K3182</f>
        <v>0</v>
      </c>
      <c r="I3182" t="str">
        <f t="shared" si="147"/>
        <v/>
      </c>
      <c r="J3182">
        <f>Cleaned_Data!J3182</f>
        <v>24</v>
      </c>
      <c r="K3182" t="str">
        <f t="shared" si="148"/>
        <v>2024-06</v>
      </c>
      <c r="L3182">
        <f t="shared" si="149"/>
        <v>0</v>
      </c>
    </row>
    <row r="3183" spans="1:12">
      <c r="A3183" t="s">
        <v>9240</v>
      </c>
      <c r="B3183" t="s">
        <v>9241</v>
      </c>
      <c r="C3183" t="s">
        <v>9242</v>
      </c>
      <c r="D3183" t="s">
        <v>158</v>
      </c>
      <c r="E3183" t="s">
        <v>28</v>
      </c>
      <c r="F3183" t="s">
        <v>17</v>
      </c>
      <c r="G3183" t="s">
        <v>31</v>
      </c>
      <c r="H3183">
        <f>Cleaned_Data!K3183</f>
        <v>2.6</v>
      </c>
      <c r="I3183" t="str">
        <f t="shared" si="147"/>
        <v>YES</v>
      </c>
      <c r="J3183">
        <f>Cleaned_Data!J3183</f>
        <v>4</v>
      </c>
      <c r="K3183" t="str">
        <f t="shared" si="148"/>
        <v>2024-07</v>
      </c>
      <c r="L3183">
        <f t="shared" si="149"/>
        <v>0</v>
      </c>
    </row>
    <row r="3184" spans="1:12">
      <c r="A3184" t="s">
        <v>9243</v>
      </c>
      <c r="B3184" t="s">
        <v>9244</v>
      </c>
      <c r="C3184" t="s">
        <v>9245</v>
      </c>
      <c r="D3184" t="s">
        <v>23</v>
      </c>
      <c r="E3184" t="s">
        <v>59</v>
      </c>
      <c r="F3184" t="s">
        <v>17</v>
      </c>
      <c r="G3184" t="s">
        <v>19</v>
      </c>
      <c r="H3184">
        <f>Cleaned_Data!K3184</f>
        <v>15.52</v>
      </c>
      <c r="I3184" t="str">
        <f t="shared" si="147"/>
        <v>YES</v>
      </c>
      <c r="J3184">
        <f>Cleaned_Data!J3184</f>
        <v>24</v>
      </c>
      <c r="K3184" t="str">
        <f t="shared" si="148"/>
        <v>2024-01</v>
      </c>
      <c r="L3184">
        <f t="shared" si="149"/>
        <v>0</v>
      </c>
    </row>
    <row r="3185" spans="1:12">
      <c r="A3185" t="s">
        <v>9246</v>
      </c>
      <c r="B3185" t="s">
        <v>9247</v>
      </c>
      <c r="C3185" t="s">
        <v>9248</v>
      </c>
      <c r="D3185" t="s">
        <v>23</v>
      </c>
      <c r="E3185" t="s">
        <v>28</v>
      </c>
      <c r="F3185" t="s">
        <v>17</v>
      </c>
      <c r="G3185" t="s">
        <v>31</v>
      </c>
      <c r="H3185">
        <f>Cleaned_Data!K3185</f>
        <v>6.92</v>
      </c>
      <c r="I3185" t="str">
        <f t="shared" si="147"/>
        <v>YES</v>
      </c>
      <c r="J3185">
        <f>Cleaned_Data!J3185</f>
        <v>24</v>
      </c>
      <c r="K3185" t="str">
        <f t="shared" si="148"/>
        <v>2024-01</v>
      </c>
      <c r="L3185">
        <f t="shared" si="149"/>
        <v>0</v>
      </c>
    </row>
    <row r="3186" spans="1:12">
      <c r="A3186" t="s">
        <v>9249</v>
      </c>
      <c r="B3186" t="s">
        <v>9250</v>
      </c>
      <c r="C3186" t="s">
        <v>9251</v>
      </c>
      <c r="D3186" t="s">
        <v>23</v>
      </c>
      <c r="E3186" t="s">
        <v>24</v>
      </c>
      <c r="F3186" t="s">
        <v>17</v>
      </c>
      <c r="G3186" t="s">
        <v>19</v>
      </c>
      <c r="H3186">
        <f>Cleaned_Data!K3186</f>
        <v>40.619999999999997</v>
      </c>
      <c r="I3186" t="str">
        <f t="shared" si="147"/>
        <v>NO</v>
      </c>
      <c r="J3186">
        <f>Cleaned_Data!J3186</f>
        <v>24</v>
      </c>
      <c r="K3186" t="str">
        <f t="shared" si="148"/>
        <v>2024-03</v>
      </c>
      <c r="L3186">
        <f t="shared" si="149"/>
        <v>16.619999999999997</v>
      </c>
    </row>
    <row r="3187" spans="1:12">
      <c r="A3187" t="s">
        <v>9252</v>
      </c>
      <c r="B3187" t="s">
        <v>9253</v>
      </c>
      <c r="C3187" t="s">
        <v>9254</v>
      </c>
      <c r="D3187" t="s">
        <v>35</v>
      </c>
      <c r="E3187" t="s">
        <v>28</v>
      </c>
      <c r="F3187" t="s">
        <v>60</v>
      </c>
      <c r="G3187" t="s">
        <v>19</v>
      </c>
      <c r="H3187">
        <f>Cleaned_Data!K3187</f>
        <v>29.34</v>
      </c>
      <c r="I3187" t="str">
        <f t="shared" si="147"/>
        <v>YES</v>
      </c>
      <c r="J3187">
        <f>Cleaned_Data!J3187</f>
        <v>48</v>
      </c>
      <c r="K3187" t="str">
        <f t="shared" si="148"/>
        <v>2024-10</v>
      </c>
      <c r="L3187">
        <f t="shared" si="149"/>
        <v>0</v>
      </c>
    </row>
    <row r="3188" spans="1:12">
      <c r="A3188" t="s">
        <v>9255</v>
      </c>
      <c r="B3188" t="s">
        <v>9256</v>
      </c>
      <c r="C3188" t="s">
        <v>9257</v>
      </c>
      <c r="D3188" t="s">
        <v>23</v>
      </c>
      <c r="E3188" t="s">
        <v>28</v>
      </c>
      <c r="F3188" t="s">
        <v>17</v>
      </c>
      <c r="G3188" t="s">
        <v>31</v>
      </c>
      <c r="H3188">
        <f>Cleaned_Data!K3188</f>
        <v>63.59</v>
      </c>
      <c r="I3188" t="str">
        <f t="shared" si="147"/>
        <v>NO</v>
      </c>
      <c r="J3188">
        <f>Cleaned_Data!J3188</f>
        <v>24</v>
      </c>
      <c r="K3188" t="str">
        <f t="shared" si="148"/>
        <v>2024-05</v>
      </c>
      <c r="L3188">
        <f t="shared" si="149"/>
        <v>39.590000000000003</v>
      </c>
    </row>
    <row r="3189" spans="1:12">
      <c r="A3189" t="s">
        <v>9258</v>
      </c>
      <c r="B3189" t="s">
        <v>9259</v>
      </c>
      <c r="C3189" t="s">
        <v>9260</v>
      </c>
      <c r="D3189" t="s">
        <v>35</v>
      </c>
      <c r="E3189" t="s">
        <v>28</v>
      </c>
      <c r="F3189" t="s">
        <v>36</v>
      </c>
      <c r="G3189" t="s">
        <v>19</v>
      </c>
      <c r="H3189">
        <f>Cleaned_Data!K3189</f>
        <v>34.69</v>
      </c>
      <c r="I3189" t="str">
        <f t="shared" si="147"/>
        <v>YES</v>
      </c>
      <c r="J3189">
        <f>Cleaned_Data!J3189</f>
        <v>48</v>
      </c>
      <c r="K3189" t="str">
        <f t="shared" si="148"/>
        <v>2024-08</v>
      </c>
      <c r="L3189">
        <f t="shared" si="149"/>
        <v>0</v>
      </c>
    </row>
    <row r="3190" spans="1:12">
      <c r="A3190" t="s">
        <v>9261</v>
      </c>
      <c r="B3190" t="s">
        <v>9262</v>
      </c>
      <c r="C3190" t="s">
        <v>9263</v>
      </c>
      <c r="D3190" t="s">
        <v>15</v>
      </c>
      <c r="E3190" t="s">
        <v>28</v>
      </c>
      <c r="F3190" t="s">
        <v>29</v>
      </c>
      <c r="G3190" t="s">
        <v>19</v>
      </c>
      <c r="H3190">
        <f>Cleaned_Data!K3190</f>
        <v>6.47</v>
      </c>
      <c r="I3190" t="str">
        <f t="shared" si="147"/>
        <v>YES</v>
      </c>
      <c r="J3190">
        <f>Cleaned_Data!J3190</f>
        <v>8</v>
      </c>
      <c r="K3190" t="str">
        <f t="shared" si="148"/>
        <v>2024-03</v>
      </c>
      <c r="L3190">
        <f t="shared" si="149"/>
        <v>0</v>
      </c>
    </row>
    <row r="3191" spans="1:12">
      <c r="A3191" t="s">
        <v>9264</v>
      </c>
      <c r="B3191" t="s">
        <v>9265</v>
      </c>
      <c r="C3191" t="s">
        <v>9266</v>
      </c>
      <c r="D3191" t="s">
        <v>15</v>
      </c>
      <c r="E3191" t="s">
        <v>16</v>
      </c>
      <c r="F3191" t="s">
        <v>36</v>
      </c>
      <c r="G3191" t="s">
        <v>31</v>
      </c>
      <c r="H3191">
        <f>Cleaned_Data!K3191</f>
        <v>23.2</v>
      </c>
      <c r="I3191" t="str">
        <f t="shared" si="147"/>
        <v>NO</v>
      </c>
      <c r="J3191">
        <f>Cleaned_Data!J3191</f>
        <v>8</v>
      </c>
      <c r="K3191" t="str">
        <f t="shared" si="148"/>
        <v>2024-03</v>
      </c>
      <c r="L3191">
        <f t="shared" si="149"/>
        <v>15.2</v>
      </c>
    </row>
    <row r="3192" spans="1:12">
      <c r="A3192" t="s">
        <v>9267</v>
      </c>
      <c r="B3192" t="s">
        <v>9268</v>
      </c>
      <c r="D3192" t="s">
        <v>35</v>
      </c>
      <c r="E3192" t="s">
        <v>16</v>
      </c>
      <c r="F3192" t="s">
        <v>36</v>
      </c>
      <c r="G3192" t="s">
        <v>46</v>
      </c>
      <c r="H3192">
        <f>Cleaned_Data!K3192</f>
        <v>0</v>
      </c>
      <c r="I3192" t="str">
        <f t="shared" si="147"/>
        <v/>
      </c>
      <c r="J3192">
        <f>Cleaned_Data!J3192</f>
        <v>48</v>
      </c>
      <c r="K3192" t="str">
        <f t="shared" si="148"/>
        <v>2024-07</v>
      </c>
      <c r="L3192">
        <f t="shared" si="149"/>
        <v>0</v>
      </c>
    </row>
    <row r="3193" spans="1:12">
      <c r="A3193" t="s">
        <v>9269</v>
      </c>
      <c r="B3193" t="s">
        <v>9270</v>
      </c>
      <c r="C3193" t="s">
        <v>9271</v>
      </c>
      <c r="D3193" t="s">
        <v>15</v>
      </c>
      <c r="E3193" t="s">
        <v>16</v>
      </c>
      <c r="F3193" t="s">
        <v>36</v>
      </c>
      <c r="G3193" t="s">
        <v>19</v>
      </c>
      <c r="H3193">
        <f>Cleaned_Data!K3193</f>
        <v>4.87</v>
      </c>
      <c r="I3193" t="str">
        <f t="shared" si="147"/>
        <v>YES</v>
      </c>
      <c r="J3193">
        <f>Cleaned_Data!J3193</f>
        <v>8</v>
      </c>
      <c r="K3193" t="str">
        <f t="shared" si="148"/>
        <v>2024-10</v>
      </c>
      <c r="L3193">
        <f t="shared" si="149"/>
        <v>0</v>
      </c>
    </row>
    <row r="3194" spans="1:12">
      <c r="A3194" t="s">
        <v>9272</v>
      </c>
      <c r="B3194" t="s">
        <v>9273</v>
      </c>
      <c r="C3194" t="s">
        <v>9274</v>
      </c>
      <c r="D3194" t="s">
        <v>35</v>
      </c>
      <c r="E3194" t="s">
        <v>16</v>
      </c>
      <c r="F3194" t="s">
        <v>60</v>
      </c>
      <c r="G3194" t="s">
        <v>19</v>
      </c>
      <c r="H3194">
        <f>Cleaned_Data!K3194</f>
        <v>20.7</v>
      </c>
      <c r="I3194" t="str">
        <f t="shared" si="147"/>
        <v>YES</v>
      </c>
      <c r="J3194">
        <f>Cleaned_Data!J3194</f>
        <v>48</v>
      </c>
      <c r="K3194" t="str">
        <f t="shared" si="148"/>
        <v>2024-02</v>
      </c>
      <c r="L3194">
        <f t="shared" si="149"/>
        <v>0</v>
      </c>
    </row>
    <row r="3195" spans="1:12">
      <c r="A3195" t="s">
        <v>9275</v>
      </c>
      <c r="B3195" t="s">
        <v>9276</v>
      </c>
      <c r="C3195" t="s">
        <v>9277</v>
      </c>
      <c r="D3195" t="s">
        <v>15</v>
      </c>
      <c r="E3195" t="s">
        <v>16</v>
      </c>
      <c r="F3195" t="s">
        <v>41</v>
      </c>
      <c r="G3195" t="s">
        <v>19</v>
      </c>
      <c r="H3195">
        <f>Cleaned_Data!K3195</f>
        <v>3.1</v>
      </c>
      <c r="I3195" t="str">
        <f t="shared" si="147"/>
        <v>YES</v>
      </c>
      <c r="J3195">
        <f>Cleaned_Data!J3195</f>
        <v>8</v>
      </c>
      <c r="K3195" t="str">
        <f t="shared" si="148"/>
        <v>2024-08</v>
      </c>
      <c r="L3195">
        <f t="shared" si="149"/>
        <v>0</v>
      </c>
    </row>
    <row r="3196" spans="1:12">
      <c r="A3196" t="s">
        <v>9278</v>
      </c>
      <c r="B3196" t="s">
        <v>9279</v>
      </c>
      <c r="C3196" t="s">
        <v>9280</v>
      </c>
      <c r="D3196" t="s">
        <v>23</v>
      </c>
      <c r="E3196" t="s">
        <v>28</v>
      </c>
      <c r="F3196" t="s">
        <v>29</v>
      </c>
      <c r="G3196" t="s">
        <v>31</v>
      </c>
      <c r="H3196">
        <f>Cleaned_Data!K3196</f>
        <v>11.88</v>
      </c>
      <c r="I3196" t="str">
        <f t="shared" si="147"/>
        <v>YES</v>
      </c>
      <c r="J3196">
        <f>Cleaned_Data!J3196</f>
        <v>24</v>
      </c>
      <c r="K3196" t="str">
        <f t="shared" si="148"/>
        <v>2024-01</v>
      </c>
      <c r="L3196">
        <f t="shared" si="149"/>
        <v>0</v>
      </c>
    </row>
    <row r="3197" spans="1:12">
      <c r="A3197" t="s">
        <v>9281</v>
      </c>
      <c r="B3197" t="s">
        <v>9282</v>
      </c>
      <c r="C3197" t="s">
        <v>9283</v>
      </c>
      <c r="D3197" t="s">
        <v>23</v>
      </c>
      <c r="E3197" t="s">
        <v>54</v>
      </c>
      <c r="F3197" t="s">
        <v>60</v>
      </c>
      <c r="G3197" t="s">
        <v>31</v>
      </c>
      <c r="H3197">
        <f>Cleaned_Data!K3197</f>
        <v>11.8</v>
      </c>
      <c r="I3197" t="str">
        <f t="shared" si="147"/>
        <v>YES</v>
      </c>
      <c r="J3197">
        <f>Cleaned_Data!J3197</f>
        <v>24</v>
      </c>
      <c r="K3197" t="str">
        <f t="shared" si="148"/>
        <v>2024-12</v>
      </c>
      <c r="L3197">
        <f t="shared" si="149"/>
        <v>0</v>
      </c>
    </row>
    <row r="3198" spans="1:12">
      <c r="A3198" t="s">
        <v>9284</v>
      </c>
      <c r="B3198" t="s">
        <v>9285</v>
      </c>
      <c r="C3198" t="s">
        <v>9286</v>
      </c>
      <c r="D3198" t="s">
        <v>15</v>
      </c>
      <c r="E3198" t="s">
        <v>54</v>
      </c>
      <c r="F3198" t="s">
        <v>36</v>
      </c>
      <c r="G3198" t="s">
        <v>19</v>
      </c>
      <c r="H3198">
        <f>Cleaned_Data!K3198</f>
        <v>6.77</v>
      </c>
      <c r="I3198" t="str">
        <f t="shared" si="147"/>
        <v>YES</v>
      </c>
      <c r="J3198">
        <f>Cleaned_Data!J3198</f>
        <v>8</v>
      </c>
      <c r="K3198" t="str">
        <f t="shared" si="148"/>
        <v>2024-12</v>
      </c>
      <c r="L3198">
        <f t="shared" si="149"/>
        <v>0</v>
      </c>
    </row>
    <row r="3199" spans="1:12">
      <c r="A3199" t="s">
        <v>9287</v>
      </c>
      <c r="B3199" t="s">
        <v>9288</v>
      </c>
      <c r="C3199" t="s">
        <v>9289</v>
      </c>
      <c r="D3199" t="s">
        <v>23</v>
      </c>
      <c r="E3199" t="s">
        <v>59</v>
      </c>
      <c r="F3199" t="s">
        <v>41</v>
      </c>
      <c r="G3199" t="s">
        <v>19</v>
      </c>
      <c r="H3199">
        <f>Cleaned_Data!K3199</f>
        <v>12.17</v>
      </c>
      <c r="I3199" t="str">
        <f t="shared" si="147"/>
        <v>YES</v>
      </c>
      <c r="J3199">
        <f>Cleaned_Data!J3199</f>
        <v>24</v>
      </c>
      <c r="K3199" t="str">
        <f t="shared" si="148"/>
        <v>2024-08</v>
      </c>
      <c r="L3199">
        <f t="shared" si="149"/>
        <v>0</v>
      </c>
    </row>
    <row r="3200" spans="1:12">
      <c r="A3200" t="s">
        <v>9290</v>
      </c>
      <c r="B3200" t="s">
        <v>9291</v>
      </c>
      <c r="C3200" t="s">
        <v>9292</v>
      </c>
      <c r="D3200" t="s">
        <v>35</v>
      </c>
      <c r="E3200" t="s">
        <v>16</v>
      </c>
      <c r="F3200" t="s">
        <v>17</v>
      </c>
      <c r="G3200" t="s">
        <v>19</v>
      </c>
      <c r="H3200">
        <f>Cleaned_Data!K3200</f>
        <v>11.77</v>
      </c>
      <c r="I3200" t="str">
        <f t="shared" si="147"/>
        <v>YES</v>
      </c>
      <c r="J3200">
        <f>Cleaned_Data!J3200</f>
        <v>48</v>
      </c>
      <c r="K3200" t="str">
        <f t="shared" si="148"/>
        <v>2024-04</v>
      </c>
      <c r="L3200">
        <f t="shared" si="149"/>
        <v>0</v>
      </c>
    </row>
    <row r="3201" spans="1:12">
      <c r="A3201" t="s">
        <v>9293</v>
      </c>
      <c r="B3201" t="s">
        <v>9294</v>
      </c>
      <c r="C3201" t="s">
        <v>9295</v>
      </c>
      <c r="D3201" t="s">
        <v>158</v>
      </c>
      <c r="E3201" t="s">
        <v>54</v>
      </c>
      <c r="F3201" t="s">
        <v>17</v>
      </c>
      <c r="G3201" t="s">
        <v>19</v>
      </c>
      <c r="H3201">
        <f>Cleaned_Data!K3201</f>
        <v>5.64</v>
      </c>
      <c r="I3201" t="str">
        <f t="shared" si="147"/>
        <v>NO</v>
      </c>
      <c r="J3201">
        <f>Cleaned_Data!J3201</f>
        <v>4</v>
      </c>
      <c r="K3201" t="str">
        <f t="shared" si="148"/>
        <v>2024-04</v>
      </c>
      <c r="L3201">
        <f t="shared" si="149"/>
        <v>1.6399999999999997</v>
      </c>
    </row>
    <row r="3202" spans="1:12">
      <c r="A3202" t="s">
        <v>9296</v>
      </c>
      <c r="B3202" t="s">
        <v>9297</v>
      </c>
      <c r="C3202" t="s">
        <v>9298</v>
      </c>
      <c r="D3202" t="s">
        <v>15</v>
      </c>
      <c r="E3202" t="s">
        <v>24</v>
      </c>
      <c r="F3202" t="s">
        <v>60</v>
      </c>
      <c r="G3202" t="s">
        <v>31</v>
      </c>
      <c r="H3202">
        <f>Cleaned_Data!K3202</f>
        <v>2.63</v>
      </c>
      <c r="I3202" t="str">
        <f t="shared" ref="I3202:I3265" si="150">IF(OR(G3202="Resolved", G3202="Closed"), IF(AND(H3202&lt;&gt;"", H3202&lt;=J3202), "YES", "NO"), "")</f>
        <v>YES</v>
      </c>
      <c r="J3202">
        <f>Cleaned_Data!J3202</f>
        <v>8</v>
      </c>
      <c r="K3202" t="str">
        <f t="shared" ref="K3202:K3265" si="151">LEFT(B3202, 7)</f>
        <v>2024-05</v>
      </c>
      <c r="L3202">
        <f t="shared" ref="L3202:L3265" si="152">IF(I3202="NO", H3202-J3202, 0)</f>
        <v>0</v>
      </c>
    </row>
    <row r="3203" spans="1:12">
      <c r="A3203" t="s">
        <v>9299</v>
      </c>
      <c r="B3203" t="s">
        <v>9300</v>
      </c>
      <c r="C3203" t="s">
        <v>9301</v>
      </c>
      <c r="D3203" t="s">
        <v>35</v>
      </c>
      <c r="E3203" t="s">
        <v>28</v>
      </c>
      <c r="F3203" t="s">
        <v>36</v>
      </c>
      <c r="G3203" t="s">
        <v>31</v>
      </c>
      <c r="H3203">
        <f>Cleaned_Data!K3203</f>
        <v>38.94</v>
      </c>
      <c r="I3203" t="str">
        <f t="shared" si="150"/>
        <v>YES</v>
      </c>
      <c r="J3203">
        <f>Cleaned_Data!J3203</f>
        <v>48</v>
      </c>
      <c r="K3203" t="str">
        <f t="shared" si="151"/>
        <v>2024-08</v>
      </c>
      <c r="L3203">
        <f t="shared" si="152"/>
        <v>0</v>
      </c>
    </row>
    <row r="3204" spans="1:12">
      <c r="A3204" t="s">
        <v>9302</v>
      </c>
      <c r="B3204" t="s">
        <v>9303</v>
      </c>
      <c r="C3204" t="s">
        <v>9304</v>
      </c>
      <c r="D3204" t="s">
        <v>23</v>
      </c>
      <c r="E3204" t="s">
        <v>28</v>
      </c>
      <c r="F3204" t="s">
        <v>29</v>
      </c>
      <c r="G3204" t="s">
        <v>31</v>
      </c>
      <c r="H3204">
        <f>Cleaned_Data!K3204</f>
        <v>16.03</v>
      </c>
      <c r="I3204" t="str">
        <f t="shared" si="150"/>
        <v>YES</v>
      </c>
      <c r="J3204">
        <f>Cleaned_Data!J3204</f>
        <v>24</v>
      </c>
      <c r="K3204" t="str">
        <f t="shared" si="151"/>
        <v>2024-09</v>
      </c>
      <c r="L3204">
        <f t="shared" si="152"/>
        <v>0</v>
      </c>
    </row>
    <row r="3205" spans="1:12">
      <c r="A3205" t="s">
        <v>9305</v>
      </c>
      <c r="B3205" t="s">
        <v>9306</v>
      </c>
      <c r="C3205" t="s">
        <v>9307</v>
      </c>
      <c r="D3205" t="s">
        <v>158</v>
      </c>
      <c r="E3205" t="s">
        <v>28</v>
      </c>
      <c r="F3205" t="s">
        <v>29</v>
      </c>
      <c r="G3205" t="s">
        <v>31</v>
      </c>
      <c r="H3205">
        <f>Cleaned_Data!K3205</f>
        <v>0.75</v>
      </c>
      <c r="I3205" t="str">
        <f t="shared" si="150"/>
        <v>YES</v>
      </c>
      <c r="J3205">
        <f>Cleaned_Data!J3205</f>
        <v>4</v>
      </c>
      <c r="K3205" t="str">
        <f t="shared" si="151"/>
        <v>2024-09</v>
      </c>
      <c r="L3205">
        <f t="shared" si="152"/>
        <v>0</v>
      </c>
    </row>
    <row r="3206" spans="1:12">
      <c r="A3206" t="s">
        <v>9308</v>
      </c>
      <c r="B3206" t="s">
        <v>9309</v>
      </c>
      <c r="C3206" t="s">
        <v>9310</v>
      </c>
      <c r="D3206" t="s">
        <v>23</v>
      </c>
      <c r="E3206" t="s">
        <v>54</v>
      </c>
      <c r="F3206" t="s">
        <v>36</v>
      </c>
      <c r="G3206" t="s">
        <v>19</v>
      </c>
      <c r="H3206">
        <f>Cleaned_Data!K3206</f>
        <v>19.350000000000001</v>
      </c>
      <c r="I3206" t="str">
        <f t="shared" si="150"/>
        <v>YES</v>
      </c>
      <c r="J3206">
        <f>Cleaned_Data!J3206</f>
        <v>24</v>
      </c>
      <c r="K3206" t="str">
        <f t="shared" si="151"/>
        <v>2024-03</v>
      </c>
      <c r="L3206">
        <f t="shared" si="152"/>
        <v>0</v>
      </c>
    </row>
    <row r="3207" spans="1:12">
      <c r="A3207" t="s">
        <v>9311</v>
      </c>
      <c r="B3207" t="s">
        <v>9312</v>
      </c>
      <c r="C3207" t="s">
        <v>9313</v>
      </c>
      <c r="D3207" t="s">
        <v>15</v>
      </c>
      <c r="E3207" t="s">
        <v>24</v>
      </c>
      <c r="F3207" t="s">
        <v>60</v>
      </c>
      <c r="G3207" t="s">
        <v>19</v>
      </c>
      <c r="H3207">
        <f>Cleaned_Data!K3207</f>
        <v>14.41</v>
      </c>
      <c r="I3207" t="str">
        <f t="shared" si="150"/>
        <v>NO</v>
      </c>
      <c r="J3207">
        <f>Cleaned_Data!J3207</f>
        <v>8</v>
      </c>
      <c r="K3207" t="str">
        <f t="shared" si="151"/>
        <v>2024-11</v>
      </c>
      <c r="L3207">
        <f t="shared" si="152"/>
        <v>6.41</v>
      </c>
    </row>
    <row r="3208" spans="1:12">
      <c r="A3208" t="s">
        <v>9314</v>
      </c>
      <c r="B3208" t="s">
        <v>9315</v>
      </c>
      <c r="C3208" t="s">
        <v>9316</v>
      </c>
      <c r="D3208" t="s">
        <v>35</v>
      </c>
      <c r="E3208" t="s">
        <v>24</v>
      </c>
      <c r="F3208" t="s">
        <v>17</v>
      </c>
      <c r="G3208" t="s">
        <v>19</v>
      </c>
      <c r="H3208">
        <f>Cleaned_Data!K3208</f>
        <v>12.19</v>
      </c>
      <c r="I3208" t="str">
        <f t="shared" si="150"/>
        <v>YES</v>
      </c>
      <c r="J3208">
        <f>Cleaned_Data!J3208</f>
        <v>48</v>
      </c>
      <c r="K3208" t="str">
        <f t="shared" si="151"/>
        <v>2024-12</v>
      </c>
      <c r="L3208">
        <f t="shared" si="152"/>
        <v>0</v>
      </c>
    </row>
    <row r="3209" spans="1:12">
      <c r="A3209" t="s">
        <v>9317</v>
      </c>
      <c r="B3209" t="s">
        <v>9318</v>
      </c>
      <c r="C3209" t="s">
        <v>9319</v>
      </c>
      <c r="D3209" t="s">
        <v>158</v>
      </c>
      <c r="E3209" t="s">
        <v>59</v>
      </c>
      <c r="F3209" t="s">
        <v>17</v>
      </c>
      <c r="G3209" t="s">
        <v>19</v>
      </c>
      <c r="H3209">
        <f>Cleaned_Data!K3209</f>
        <v>2.38</v>
      </c>
      <c r="I3209" t="str">
        <f t="shared" si="150"/>
        <v>YES</v>
      </c>
      <c r="J3209">
        <f>Cleaned_Data!J3209</f>
        <v>4</v>
      </c>
      <c r="K3209" t="str">
        <f t="shared" si="151"/>
        <v>2024-03</v>
      </c>
      <c r="L3209">
        <f t="shared" si="152"/>
        <v>0</v>
      </c>
    </row>
    <row r="3210" spans="1:12">
      <c r="A3210" t="s">
        <v>9320</v>
      </c>
      <c r="B3210" t="s">
        <v>9321</v>
      </c>
      <c r="C3210" t="s">
        <v>9322</v>
      </c>
      <c r="D3210" t="s">
        <v>23</v>
      </c>
      <c r="E3210" t="s">
        <v>16</v>
      </c>
      <c r="F3210" t="s">
        <v>60</v>
      </c>
      <c r="G3210" t="s">
        <v>19</v>
      </c>
      <c r="H3210">
        <f>Cleaned_Data!K3210</f>
        <v>4.3</v>
      </c>
      <c r="I3210" t="str">
        <f t="shared" si="150"/>
        <v>YES</v>
      </c>
      <c r="J3210">
        <f>Cleaned_Data!J3210</f>
        <v>24</v>
      </c>
      <c r="K3210" t="str">
        <f t="shared" si="151"/>
        <v>2024-06</v>
      </c>
      <c r="L3210">
        <f t="shared" si="152"/>
        <v>0</v>
      </c>
    </row>
    <row r="3211" spans="1:12">
      <c r="A3211" t="s">
        <v>9323</v>
      </c>
      <c r="B3211" t="s">
        <v>9324</v>
      </c>
      <c r="C3211" t="s">
        <v>9325</v>
      </c>
      <c r="D3211" t="s">
        <v>158</v>
      </c>
      <c r="E3211" t="s">
        <v>16</v>
      </c>
      <c r="F3211" t="s">
        <v>17</v>
      </c>
      <c r="G3211" t="s">
        <v>31</v>
      </c>
      <c r="H3211">
        <f>Cleaned_Data!K3211</f>
        <v>10.39</v>
      </c>
      <c r="I3211" t="str">
        <f t="shared" si="150"/>
        <v>NO</v>
      </c>
      <c r="J3211">
        <f>Cleaned_Data!J3211</f>
        <v>4</v>
      </c>
      <c r="K3211" t="str">
        <f t="shared" si="151"/>
        <v>2024-11</v>
      </c>
      <c r="L3211">
        <f t="shared" si="152"/>
        <v>6.3900000000000006</v>
      </c>
    </row>
    <row r="3212" spans="1:12">
      <c r="A3212" t="s">
        <v>9326</v>
      </c>
      <c r="B3212" t="s">
        <v>9327</v>
      </c>
      <c r="C3212" t="s">
        <v>9328</v>
      </c>
      <c r="D3212" t="s">
        <v>15</v>
      </c>
      <c r="E3212" t="s">
        <v>54</v>
      </c>
      <c r="F3212" t="s">
        <v>17</v>
      </c>
      <c r="G3212" t="s">
        <v>19</v>
      </c>
      <c r="H3212">
        <f>Cleaned_Data!K3212</f>
        <v>2.0099999999999998</v>
      </c>
      <c r="I3212" t="str">
        <f t="shared" si="150"/>
        <v>YES</v>
      </c>
      <c r="J3212">
        <f>Cleaned_Data!J3212</f>
        <v>8</v>
      </c>
      <c r="K3212" t="str">
        <f t="shared" si="151"/>
        <v>2024-04</v>
      </c>
      <c r="L3212">
        <f t="shared" si="152"/>
        <v>0</v>
      </c>
    </row>
    <row r="3213" spans="1:12">
      <c r="A3213" t="s">
        <v>9329</v>
      </c>
      <c r="B3213" t="s">
        <v>9330</v>
      </c>
      <c r="C3213" t="s">
        <v>9331</v>
      </c>
      <c r="D3213" t="s">
        <v>23</v>
      </c>
      <c r="E3213" t="s">
        <v>28</v>
      </c>
      <c r="F3213" t="s">
        <v>29</v>
      </c>
      <c r="G3213" t="s">
        <v>19</v>
      </c>
      <c r="H3213">
        <f>Cleaned_Data!K3213</f>
        <v>21.83</v>
      </c>
      <c r="I3213" t="str">
        <f t="shared" si="150"/>
        <v>YES</v>
      </c>
      <c r="J3213">
        <f>Cleaned_Data!J3213</f>
        <v>24</v>
      </c>
      <c r="K3213" t="str">
        <f t="shared" si="151"/>
        <v>2024-04</v>
      </c>
      <c r="L3213">
        <f t="shared" si="152"/>
        <v>0</v>
      </c>
    </row>
    <row r="3214" spans="1:12">
      <c r="A3214" t="s">
        <v>9332</v>
      </c>
      <c r="B3214" t="s">
        <v>9333</v>
      </c>
      <c r="C3214" t="s">
        <v>9334</v>
      </c>
      <c r="D3214" t="s">
        <v>23</v>
      </c>
      <c r="E3214" t="s">
        <v>59</v>
      </c>
      <c r="F3214" t="s">
        <v>60</v>
      </c>
      <c r="G3214" t="s">
        <v>19</v>
      </c>
      <c r="H3214">
        <f>Cleaned_Data!K3214</f>
        <v>17.329999999999998</v>
      </c>
      <c r="I3214" t="str">
        <f t="shared" si="150"/>
        <v>YES</v>
      </c>
      <c r="J3214">
        <f>Cleaned_Data!J3214</f>
        <v>24</v>
      </c>
      <c r="K3214" t="str">
        <f t="shared" si="151"/>
        <v>2024-07</v>
      </c>
      <c r="L3214">
        <f t="shared" si="152"/>
        <v>0</v>
      </c>
    </row>
    <row r="3215" spans="1:12">
      <c r="A3215" t="s">
        <v>9335</v>
      </c>
      <c r="B3215" t="s">
        <v>9336</v>
      </c>
      <c r="C3215" t="s">
        <v>9337</v>
      </c>
      <c r="D3215" t="s">
        <v>35</v>
      </c>
      <c r="E3215" t="s">
        <v>16</v>
      </c>
      <c r="F3215" t="s">
        <v>17</v>
      </c>
      <c r="G3215" t="s">
        <v>19</v>
      </c>
      <c r="H3215">
        <f>Cleaned_Data!K3215</f>
        <v>20.46</v>
      </c>
      <c r="I3215" t="str">
        <f t="shared" si="150"/>
        <v>YES</v>
      </c>
      <c r="J3215">
        <f>Cleaned_Data!J3215</f>
        <v>48</v>
      </c>
      <c r="K3215" t="str">
        <f t="shared" si="151"/>
        <v>2024-10</v>
      </c>
      <c r="L3215">
        <f t="shared" si="152"/>
        <v>0</v>
      </c>
    </row>
    <row r="3216" spans="1:12">
      <c r="A3216" t="s">
        <v>9338</v>
      </c>
      <c r="B3216" t="s">
        <v>9339</v>
      </c>
      <c r="C3216" t="s">
        <v>9340</v>
      </c>
      <c r="D3216" t="s">
        <v>23</v>
      </c>
      <c r="E3216" t="s">
        <v>28</v>
      </c>
      <c r="F3216" t="s">
        <v>41</v>
      </c>
      <c r="G3216" t="s">
        <v>19</v>
      </c>
      <c r="H3216">
        <f>Cleaned_Data!K3216</f>
        <v>26.22</v>
      </c>
      <c r="I3216" t="str">
        <f t="shared" si="150"/>
        <v>NO</v>
      </c>
      <c r="J3216">
        <f>Cleaned_Data!J3216</f>
        <v>24</v>
      </c>
      <c r="K3216" t="str">
        <f t="shared" si="151"/>
        <v>2024-02</v>
      </c>
      <c r="L3216">
        <f t="shared" si="152"/>
        <v>2.2199999999999989</v>
      </c>
    </row>
    <row r="3217" spans="1:12">
      <c r="A3217" t="s">
        <v>9341</v>
      </c>
      <c r="B3217" t="s">
        <v>9342</v>
      </c>
      <c r="D3217" t="s">
        <v>35</v>
      </c>
      <c r="E3217" t="s">
        <v>16</v>
      </c>
      <c r="F3217" t="s">
        <v>60</v>
      </c>
      <c r="G3217" t="s">
        <v>46</v>
      </c>
      <c r="H3217">
        <f>Cleaned_Data!K3217</f>
        <v>0</v>
      </c>
      <c r="I3217" t="str">
        <f t="shared" si="150"/>
        <v/>
      </c>
      <c r="J3217">
        <f>Cleaned_Data!J3217</f>
        <v>48</v>
      </c>
      <c r="K3217" t="str">
        <f t="shared" si="151"/>
        <v>2024-03</v>
      </c>
      <c r="L3217">
        <f t="shared" si="152"/>
        <v>0</v>
      </c>
    </row>
    <row r="3218" spans="1:12">
      <c r="A3218" t="s">
        <v>9343</v>
      </c>
      <c r="B3218" t="s">
        <v>9344</v>
      </c>
      <c r="D3218" t="s">
        <v>15</v>
      </c>
      <c r="E3218" t="s">
        <v>59</v>
      </c>
      <c r="F3218" t="s">
        <v>41</v>
      </c>
      <c r="G3218" t="s">
        <v>63</v>
      </c>
      <c r="H3218">
        <f>Cleaned_Data!K3218</f>
        <v>0</v>
      </c>
      <c r="I3218" t="str">
        <f t="shared" si="150"/>
        <v/>
      </c>
      <c r="J3218">
        <f>Cleaned_Data!J3218</f>
        <v>8</v>
      </c>
      <c r="K3218" t="str">
        <f t="shared" si="151"/>
        <v>2024-08</v>
      </c>
      <c r="L3218">
        <f t="shared" si="152"/>
        <v>0</v>
      </c>
    </row>
    <row r="3219" spans="1:12">
      <c r="A3219" t="s">
        <v>9345</v>
      </c>
      <c r="B3219" t="s">
        <v>9346</v>
      </c>
      <c r="C3219" t="s">
        <v>9347</v>
      </c>
      <c r="D3219" t="s">
        <v>35</v>
      </c>
      <c r="E3219" t="s">
        <v>28</v>
      </c>
      <c r="F3219" t="s">
        <v>17</v>
      </c>
      <c r="G3219" t="s">
        <v>31</v>
      </c>
      <c r="H3219">
        <f>Cleaned_Data!K3219</f>
        <v>94.42</v>
      </c>
      <c r="I3219" t="str">
        <f t="shared" si="150"/>
        <v>NO</v>
      </c>
      <c r="J3219">
        <f>Cleaned_Data!J3219</f>
        <v>48</v>
      </c>
      <c r="K3219" t="str">
        <f t="shared" si="151"/>
        <v>2024-12</v>
      </c>
      <c r="L3219">
        <f t="shared" si="152"/>
        <v>46.42</v>
      </c>
    </row>
    <row r="3220" spans="1:12">
      <c r="A3220" t="s">
        <v>9348</v>
      </c>
      <c r="B3220" t="s">
        <v>9349</v>
      </c>
      <c r="C3220" t="s">
        <v>9350</v>
      </c>
      <c r="D3220" t="s">
        <v>23</v>
      </c>
      <c r="E3220" t="s">
        <v>16</v>
      </c>
      <c r="F3220" t="s">
        <v>60</v>
      </c>
      <c r="G3220" t="s">
        <v>19</v>
      </c>
      <c r="H3220">
        <f>Cleaned_Data!K3220</f>
        <v>18.68</v>
      </c>
      <c r="I3220" t="str">
        <f t="shared" si="150"/>
        <v>YES</v>
      </c>
      <c r="J3220">
        <f>Cleaned_Data!J3220</f>
        <v>24</v>
      </c>
      <c r="K3220" t="str">
        <f t="shared" si="151"/>
        <v>2024-04</v>
      </c>
      <c r="L3220">
        <f t="shared" si="152"/>
        <v>0</v>
      </c>
    </row>
    <row r="3221" spans="1:12">
      <c r="A3221" t="s">
        <v>9351</v>
      </c>
      <c r="B3221" t="s">
        <v>9352</v>
      </c>
      <c r="D3221" t="s">
        <v>23</v>
      </c>
      <c r="E3221" t="s">
        <v>59</v>
      </c>
      <c r="F3221" t="s">
        <v>17</v>
      </c>
      <c r="G3221" t="s">
        <v>46</v>
      </c>
      <c r="H3221">
        <f>Cleaned_Data!K3221</f>
        <v>0</v>
      </c>
      <c r="I3221" t="str">
        <f t="shared" si="150"/>
        <v/>
      </c>
      <c r="J3221">
        <f>Cleaned_Data!J3221</f>
        <v>24</v>
      </c>
      <c r="K3221" t="str">
        <f t="shared" si="151"/>
        <v>2024-02</v>
      </c>
      <c r="L3221">
        <f t="shared" si="152"/>
        <v>0</v>
      </c>
    </row>
    <row r="3222" spans="1:12">
      <c r="A3222" t="s">
        <v>9353</v>
      </c>
      <c r="B3222" t="s">
        <v>9354</v>
      </c>
      <c r="D3222" t="s">
        <v>23</v>
      </c>
      <c r="E3222" t="s">
        <v>54</v>
      </c>
      <c r="F3222" t="s">
        <v>41</v>
      </c>
      <c r="G3222" t="s">
        <v>46</v>
      </c>
      <c r="H3222">
        <f>Cleaned_Data!K3222</f>
        <v>0</v>
      </c>
      <c r="I3222" t="str">
        <f t="shared" si="150"/>
        <v/>
      </c>
      <c r="J3222">
        <f>Cleaned_Data!J3222</f>
        <v>24</v>
      </c>
      <c r="K3222" t="str">
        <f t="shared" si="151"/>
        <v>2024-10</v>
      </c>
      <c r="L3222">
        <f t="shared" si="152"/>
        <v>0</v>
      </c>
    </row>
    <row r="3223" spans="1:12">
      <c r="A3223" t="s">
        <v>9355</v>
      </c>
      <c r="B3223" t="s">
        <v>9356</v>
      </c>
      <c r="C3223" t="s">
        <v>9357</v>
      </c>
      <c r="D3223" t="s">
        <v>23</v>
      </c>
      <c r="E3223" t="s">
        <v>28</v>
      </c>
      <c r="F3223" t="s">
        <v>60</v>
      </c>
      <c r="G3223" t="s">
        <v>19</v>
      </c>
      <c r="H3223">
        <f>Cleaned_Data!K3223</f>
        <v>4.57</v>
      </c>
      <c r="I3223" t="str">
        <f t="shared" si="150"/>
        <v>YES</v>
      </c>
      <c r="J3223">
        <f>Cleaned_Data!J3223</f>
        <v>24</v>
      </c>
      <c r="K3223" t="str">
        <f t="shared" si="151"/>
        <v>2024-06</v>
      </c>
      <c r="L3223">
        <f t="shared" si="152"/>
        <v>0</v>
      </c>
    </row>
    <row r="3224" spans="1:12">
      <c r="A3224" t="s">
        <v>9358</v>
      </c>
      <c r="B3224" t="s">
        <v>9359</v>
      </c>
      <c r="C3224" t="s">
        <v>9360</v>
      </c>
      <c r="D3224" t="s">
        <v>23</v>
      </c>
      <c r="E3224" t="s">
        <v>16</v>
      </c>
      <c r="F3224" t="s">
        <v>41</v>
      </c>
      <c r="G3224" t="s">
        <v>19</v>
      </c>
      <c r="H3224">
        <f>Cleaned_Data!K3224</f>
        <v>54.27</v>
      </c>
      <c r="I3224" t="str">
        <f t="shared" si="150"/>
        <v>NO</v>
      </c>
      <c r="J3224">
        <f>Cleaned_Data!J3224</f>
        <v>24</v>
      </c>
      <c r="K3224" t="str">
        <f t="shared" si="151"/>
        <v>2024-11</v>
      </c>
      <c r="L3224">
        <f t="shared" si="152"/>
        <v>30.270000000000003</v>
      </c>
    </row>
    <row r="3225" spans="1:12">
      <c r="A3225" t="s">
        <v>9361</v>
      </c>
      <c r="B3225" t="s">
        <v>9362</v>
      </c>
      <c r="C3225" t="s">
        <v>9363</v>
      </c>
      <c r="D3225" t="s">
        <v>158</v>
      </c>
      <c r="E3225" t="s">
        <v>16</v>
      </c>
      <c r="F3225" t="s">
        <v>60</v>
      </c>
      <c r="G3225" t="s">
        <v>31</v>
      </c>
      <c r="H3225">
        <f>Cleaned_Data!K3225</f>
        <v>11.47</v>
      </c>
      <c r="I3225" t="str">
        <f t="shared" si="150"/>
        <v>NO</v>
      </c>
      <c r="J3225">
        <f>Cleaned_Data!J3225</f>
        <v>4</v>
      </c>
      <c r="K3225" t="str">
        <f t="shared" si="151"/>
        <v>2024-02</v>
      </c>
      <c r="L3225">
        <f t="shared" si="152"/>
        <v>7.4700000000000006</v>
      </c>
    </row>
    <row r="3226" spans="1:12">
      <c r="A3226" t="s">
        <v>9364</v>
      </c>
      <c r="B3226" t="s">
        <v>9365</v>
      </c>
      <c r="C3226" t="s">
        <v>9366</v>
      </c>
      <c r="D3226" t="s">
        <v>23</v>
      </c>
      <c r="E3226" t="s">
        <v>16</v>
      </c>
      <c r="F3226" t="s">
        <v>41</v>
      </c>
      <c r="G3226" t="s">
        <v>31</v>
      </c>
      <c r="H3226">
        <f>Cleaned_Data!K3226</f>
        <v>9.31</v>
      </c>
      <c r="I3226" t="str">
        <f t="shared" si="150"/>
        <v>YES</v>
      </c>
      <c r="J3226">
        <f>Cleaned_Data!J3226</f>
        <v>24</v>
      </c>
      <c r="K3226" t="str">
        <f t="shared" si="151"/>
        <v>2024-05</v>
      </c>
      <c r="L3226">
        <f t="shared" si="152"/>
        <v>0</v>
      </c>
    </row>
    <row r="3227" spans="1:12">
      <c r="A3227" t="s">
        <v>9367</v>
      </c>
      <c r="B3227" t="s">
        <v>9368</v>
      </c>
      <c r="C3227" t="s">
        <v>9369</v>
      </c>
      <c r="D3227" t="s">
        <v>23</v>
      </c>
      <c r="E3227" t="s">
        <v>54</v>
      </c>
      <c r="F3227" t="s">
        <v>36</v>
      </c>
      <c r="G3227" t="s">
        <v>19</v>
      </c>
      <c r="H3227">
        <f>Cleaned_Data!K3227</f>
        <v>13.88</v>
      </c>
      <c r="I3227" t="str">
        <f t="shared" si="150"/>
        <v>YES</v>
      </c>
      <c r="J3227">
        <f>Cleaned_Data!J3227</f>
        <v>24</v>
      </c>
      <c r="K3227" t="str">
        <f t="shared" si="151"/>
        <v>2024-07</v>
      </c>
      <c r="L3227">
        <f t="shared" si="152"/>
        <v>0</v>
      </c>
    </row>
    <row r="3228" spans="1:12">
      <c r="A3228" t="s">
        <v>9370</v>
      </c>
      <c r="B3228" t="s">
        <v>9371</v>
      </c>
      <c r="C3228" t="s">
        <v>9372</v>
      </c>
      <c r="D3228" t="s">
        <v>15</v>
      </c>
      <c r="E3228" t="s">
        <v>54</v>
      </c>
      <c r="F3228" t="s">
        <v>29</v>
      </c>
      <c r="G3228" t="s">
        <v>31</v>
      </c>
      <c r="H3228">
        <f>Cleaned_Data!K3228</f>
        <v>17.38</v>
      </c>
      <c r="I3228" t="str">
        <f t="shared" si="150"/>
        <v>NO</v>
      </c>
      <c r="J3228">
        <f>Cleaned_Data!J3228</f>
        <v>8</v>
      </c>
      <c r="K3228" t="str">
        <f t="shared" si="151"/>
        <v>2024-03</v>
      </c>
      <c r="L3228">
        <f t="shared" si="152"/>
        <v>9.379999999999999</v>
      </c>
    </row>
    <row r="3229" spans="1:12">
      <c r="A3229" t="s">
        <v>9373</v>
      </c>
      <c r="B3229" t="s">
        <v>9374</v>
      </c>
      <c r="C3229" t="s">
        <v>9375</v>
      </c>
      <c r="D3229" t="s">
        <v>35</v>
      </c>
      <c r="E3229" t="s">
        <v>59</v>
      </c>
      <c r="F3229" t="s">
        <v>29</v>
      </c>
      <c r="G3229" t="s">
        <v>31</v>
      </c>
      <c r="H3229">
        <f>Cleaned_Data!K3229</f>
        <v>21.47</v>
      </c>
      <c r="I3229" t="str">
        <f t="shared" si="150"/>
        <v>YES</v>
      </c>
      <c r="J3229">
        <f>Cleaned_Data!J3229</f>
        <v>48</v>
      </c>
      <c r="K3229" t="str">
        <f t="shared" si="151"/>
        <v>2024-12</v>
      </c>
      <c r="L3229">
        <f t="shared" si="152"/>
        <v>0</v>
      </c>
    </row>
    <row r="3230" spans="1:12">
      <c r="A3230" t="s">
        <v>9376</v>
      </c>
      <c r="B3230" t="s">
        <v>9377</v>
      </c>
      <c r="C3230" t="s">
        <v>9378</v>
      </c>
      <c r="D3230" t="s">
        <v>35</v>
      </c>
      <c r="E3230" t="s">
        <v>28</v>
      </c>
      <c r="F3230" t="s">
        <v>29</v>
      </c>
      <c r="G3230" t="s">
        <v>19</v>
      </c>
      <c r="H3230">
        <f>Cleaned_Data!K3230</f>
        <v>41.57</v>
      </c>
      <c r="I3230" t="str">
        <f t="shared" si="150"/>
        <v>YES</v>
      </c>
      <c r="J3230">
        <f>Cleaned_Data!J3230</f>
        <v>48</v>
      </c>
      <c r="K3230" t="str">
        <f t="shared" si="151"/>
        <v>2024-11</v>
      </c>
      <c r="L3230">
        <f t="shared" si="152"/>
        <v>0</v>
      </c>
    </row>
    <row r="3231" spans="1:12">
      <c r="A3231" t="s">
        <v>9379</v>
      </c>
      <c r="B3231" t="s">
        <v>9380</v>
      </c>
      <c r="C3231" t="s">
        <v>9381</v>
      </c>
      <c r="D3231" t="s">
        <v>23</v>
      </c>
      <c r="E3231" t="s">
        <v>24</v>
      </c>
      <c r="F3231" t="s">
        <v>60</v>
      </c>
      <c r="G3231" t="s">
        <v>19</v>
      </c>
      <c r="H3231">
        <f>Cleaned_Data!K3231</f>
        <v>11.49</v>
      </c>
      <c r="I3231" t="str">
        <f t="shared" si="150"/>
        <v>YES</v>
      </c>
      <c r="J3231">
        <f>Cleaned_Data!J3231</f>
        <v>24</v>
      </c>
      <c r="K3231" t="str">
        <f t="shared" si="151"/>
        <v>2024-11</v>
      </c>
      <c r="L3231">
        <f t="shared" si="152"/>
        <v>0</v>
      </c>
    </row>
    <row r="3232" spans="1:12">
      <c r="A3232" t="s">
        <v>9382</v>
      </c>
      <c r="B3232" t="s">
        <v>9383</v>
      </c>
      <c r="C3232" t="s">
        <v>9384</v>
      </c>
      <c r="D3232" t="s">
        <v>35</v>
      </c>
      <c r="E3232" t="s">
        <v>16</v>
      </c>
      <c r="F3232" t="s">
        <v>17</v>
      </c>
      <c r="G3232" t="s">
        <v>19</v>
      </c>
      <c r="H3232">
        <f>Cleaned_Data!K3232</f>
        <v>24.81</v>
      </c>
      <c r="I3232" t="str">
        <f t="shared" si="150"/>
        <v>YES</v>
      </c>
      <c r="J3232">
        <f>Cleaned_Data!J3232</f>
        <v>48</v>
      </c>
      <c r="K3232" t="str">
        <f t="shared" si="151"/>
        <v>2024-01</v>
      </c>
      <c r="L3232">
        <f t="shared" si="152"/>
        <v>0</v>
      </c>
    </row>
    <row r="3233" spans="1:12">
      <c r="A3233" t="s">
        <v>9385</v>
      </c>
      <c r="B3233" t="s">
        <v>9386</v>
      </c>
      <c r="C3233" t="s">
        <v>9387</v>
      </c>
      <c r="D3233" t="s">
        <v>23</v>
      </c>
      <c r="E3233" t="s">
        <v>16</v>
      </c>
      <c r="F3233" t="s">
        <v>60</v>
      </c>
      <c r="G3233" t="s">
        <v>31</v>
      </c>
      <c r="H3233">
        <f>Cleaned_Data!K3233</f>
        <v>7.49</v>
      </c>
      <c r="I3233" t="str">
        <f t="shared" si="150"/>
        <v>YES</v>
      </c>
      <c r="J3233">
        <f>Cleaned_Data!J3233</f>
        <v>24</v>
      </c>
      <c r="K3233" t="str">
        <f t="shared" si="151"/>
        <v>2024-10</v>
      </c>
      <c r="L3233">
        <f t="shared" si="152"/>
        <v>0</v>
      </c>
    </row>
    <row r="3234" spans="1:12">
      <c r="A3234" t="s">
        <v>9388</v>
      </c>
      <c r="B3234" t="s">
        <v>9389</v>
      </c>
      <c r="C3234" t="s">
        <v>9390</v>
      </c>
      <c r="D3234" t="s">
        <v>15</v>
      </c>
      <c r="E3234" t="s">
        <v>16</v>
      </c>
      <c r="F3234" t="s">
        <v>60</v>
      </c>
      <c r="G3234" t="s">
        <v>31</v>
      </c>
      <c r="H3234">
        <f>Cleaned_Data!K3234</f>
        <v>4.28</v>
      </c>
      <c r="I3234" t="str">
        <f t="shared" si="150"/>
        <v>YES</v>
      </c>
      <c r="J3234">
        <f>Cleaned_Data!J3234</f>
        <v>8</v>
      </c>
      <c r="K3234" t="str">
        <f t="shared" si="151"/>
        <v>2024-08</v>
      </c>
      <c r="L3234">
        <f t="shared" si="152"/>
        <v>0</v>
      </c>
    </row>
    <row r="3235" spans="1:12">
      <c r="A3235" t="s">
        <v>9391</v>
      </c>
      <c r="B3235" t="s">
        <v>9392</v>
      </c>
      <c r="C3235" t="s">
        <v>9393</v>
      </c>
      <c r="D3235" t="s">
        <v>35</v>
      </c>
      <c r="E3235" t="s">
        <v>24</v>
      </c>
      <c r="F3235" t="s">
        <v>36</v>
      </c>
      <c r="G3235" t="s">
        <v>19</v>
      </c>
      <c r="H3235">
        <f>Cleaned_Data!K3235</f>
        <v>29.32</v>
      </c>
      <c r="I3235" t="str">
        <f t="shared" si="150"/>
        <v>YES</v>
      </c>
      <c r="J3235">
        <f>Cleaned_Data!J3235</f>
        <v>48</v>
      </c>
      <c r="K3235" t="str">
        <f t="shared" si="151"/>
        <v>2024-10</v>
      </c>
      <c r="L3235">
        <f t="shared" si="152"/>
        <v>0</v>
      </c>
    </row>
    <row r="3236" spans="1:12">
      <c r="A3236" t="s">
        <v>9394</v>
      </c>
      <c r="B3236" t="s">
        <v>9395</v>
      </c>
      <c r="D3236" t="s">
        <v>23</v>
      </c>
      <c r="E3236" t="s">
        <v>28</v>
      </c>
      <c r="F3236" t="s">
        <v>29</v>
      </c>
      <c r="G3236" t="s">
        <v>63</v>
      </c>
      <c r="H3236">
        <f>Cleaned_Data!K3236</f>
        <v>0</v>
      </c>
      <c r="I3236" t="str">
        <f t="shared" si="150"/>
        <v/>
      </c>
      <c r="J3236">
        <f>Cleaned_Data!J3236</f>
        <v>24</v>
      </c>
      <c r="K3236" t="str">
        <f t="shared" si="151"/>
        <v>2024-11</v>
      </c>
      <c r="L3236">
        <f t="shared" si="152"/>
        <v>0</v>
      </c>
    </row>
    <row r="3237" spans="1:12">
      <c r="A3237" t="s">
        <v>9396</v>
      </c>
      <c r="B3237" t="s">
        <v>9397</v>
      </c>
      <c r="C3237" t="s">
        <v>9398</v>
      </c>
      <c r="D3237" t="s">
        <v>23</v>
      </c>
      <c r="E3237" t="s">
        <v>54</v>
      </c>
      <c r="F3237" t="s">
        <v>41</v>
      </c>
      <c r="G3237" t="s">
        <v>19</v>
      </c>
      <c r="H3237">
        <f>Cleaned_Data!K3237</f>
        <v>12.09</v>
      </c>
      <c r="I3237" t="str">
        <f t="shared" si="150"/>
        <v>YES</v>
      </c>
      <c r="J3237">
        <f>Cleaned_Data!J3237</f>
        <v>24</v>
      </c>
      <c r="K3237" t="str">
        <f t="shared" si="151"/>
        <v>2024-11</v>
      </c>
      <c r="L3237">
        <f t="shared" si="152"/>
        <v>0</v>
      </c>
    </row>
    <row r="3238" spans="1:12">
      <c r="A3238" t="s">
        <v>9399</v>
      </c>
      <c r="B3238" t="s">
        <v>9400</v>
      </c>
      <c r="C3238" t="s">
        <v>9401</v>
      </c>
      <c r="D3238" t="s">
        <v>15</v>
      </c>
      <c r="E3238" t="s">
        <v>24</v>
      </c>
      <c r="F3238" t="s">
        <v>17</v>
      </c>
      <c r="G3238" t="s">
        <v>19</v>
      </c>
      <c r="H3238">
        <f>Cleaned_Data!K3238</f>
        <v>5.42</v>
      </c>
      <c r="I3238" t="str">
        <f t="shared" si="150"/>
        <v>YES</v>
      </c>
      <c r="J3238">
        <f>Cleaned_Data!J3238</f>
        <v>8</v>
      </c>
      <c r="K3238" t="str">
        <f t="shared" si="151"/>
        <v>2024-05</v>
      </c>
      <c r="L3238">
        <f t="shared" si="152"/>
        <v>0</v>
      </c>
    </row>
    <row r="3239" spans="1:12">
      <c r="A3239" t="s">
        <v>9402</v>
      </c>
      <c r="B3239" t="s">
        <v>9403</v>
      </c>
      <c r="C3239" t="s">
        <v>9404</v>
      </c>
      <c r="D3239" t="s">
        <v>15</v>
      </c>
      <c r="E3239" t="s">
        <v>28</v>
      </c>
      <c r="F3239" t="s">
        <v>60</v>
      </c>
      <c r="G3239" t="s">
        <v>31</v>
      </c>
      <c r="H3239">
        <f>Cleaned_Data!K3239</f>
        <v>2.38</v>
      </c>
      <c r="I3239" t="str">
        <f t="shared" si="150"/>
        <v>YES</v>
      </c>
      <c r="J3239">
        <f>Cleaned_Data!J3239</f>
        <v>8</v>
      </c>
      <c r="K3239" t="str">
        <f t="shared" si="151"/>
        <v>2024-08</v>
      </c>
      <c r="L3239">
        <f t="shared" si="152"/>
        <v>0</v>
      </c>
    </row>
    <row r="3240" spans="1:12">
      <c r="A3240" t="s">
        <v>9405</v>
      </c>
      <c r="B3240" t="s">
        <v>9406</v>
      </c>
      <c r="C3240" t="s">
        <v>9407</v>
      </c>
      <c r="D3240" t="s">
        <v>35</v>
      </c>
      <c r="E3240" t="s">
        <v>28</v>
      </c>
      <c r="F3240" t="s">
        <v>29</v>
      </c>
      <c r="G3240" t="s">
        <v>31</v>
      </c>
      <c r="H3240">
        <f>Cleaned_Data!K3240</f>
        <v>33.93</v>
      </c>
      <c r="I3240" t="str">
        <f t="shared" si="150"/>
        <v>YES</v>
      </c>
      <c r="J3240">
        <f>Cleaned_Data!J3240</f>
        <v>48</v>
      </c>
      <c r="K3240" t="str">
        <f t="shared" si="151"/>
        <v>2024-09</v>
      </c>
      <c r="L3240">
        <f t="shared" si="152"/>
        <v>0</v>
      </c>
    </row>
    <row r="3241" spans="1:12">
      <c r="A3241" t="s">
        <v>9408</v>
      </c>
      <c r="B3241" t="s">
        <v>9409</v>
      </c>
      <c r="C3241" t="s">
        <v>9410</v>
      </c>
      <c r="D3241" t="s">
        <v>23</v>
      </c>
      <c r="E3241" t="s">
        <v>28</v>
      </c>
      <c r="F3241" t="s">
        <v>36</v>
      </c>
      <c r="G3241" t="s">
        <v>19</v>
      </c>
      <c r="H3241">
        <f>Cleaned_Data!K3241</f>
        <v>46.77</v>
      </c>
      <c r="I3241" t="str">
        <f t="shared" si="150"/>
        <v>NO</v>
      </c>
      <c r="J3241">
        <f>Cleaned_Data!J3241</f>
        <v>24</v>
      </c>
      <c r="K3241" t="str">
        <f t="shared" si="151"/>
        <v>2024-01</v>
      </c>
      <c r="L3241">
        <f t="shared" si="152"/>
        <v>22.770000000000003</v>
      </c>
    </row>
    <row r="3242" spans="1:12">
      <c r="A3242" t="s">
        <v>9411</v>
      </c>
      <c r="B3242" t="s">
        <v>9412</v>
      </c>
      <c r="D3242" t="s">
        <v>23</v>
      </c>
      <c r="E3242" t="s">
        <v>16</v>
      </c>
      <c r="F3242" t="s">
        <v>41</v>
      </c>
      <c r="G3242" t="s">
        <v>63</v>
      </c>
      <c r="H3242">
        <f>Cleaned_Data!K3242</f>
        <v>0</v>
      </c>
      <c r="I3242" t="str">
        <f t="shared" si="150"/>
        <v/>
      </c>
      <c r="J3242">
        <f>Cleaned_Data!J3242</f>
        <v>24</v>
      </c>
      <c r="K3242" t="str">
        <f t="shared" si="151"/>
        <v>2024-03</v>
      </c>
      <c r="L3242">
        <f t="shared" si="152"/>
        <v>0</v>
      </c>
    </row>
    <row r="3243" spans="1:12">
      <c r="A3243" t="s">
        <v>9413</v>
      </c>
      <c r="B3243" t="s">
        <v>9414</v>
      </c>
      <c r="D3243" t="s">
        <v>23</v>
      </c>
      <c r="E3243" t="s">
        <v>54</v>
      </c>
      <c r="F3243" t="s">
        <v>60</v>
      </c>
      <c r="G3243" t="s">
        <v>63</v>
      </c>
      <c r="H3243">
        <f>Cleaned_Data!K3243</f>
        <v>0</v>
      </c>
      <c r="I3243" t="str">
        <f t="shared" si="150"/>
        <v/>
      </c>
      <c r="J3243">
        <f>Cleaned_Data!J3243</f>
        <v>24</v>
      </c>
      <c r="K3243" t="str">
        <f t="shared" si="151"/>
        <v>2024-06</v>
      </c>
      <c r="L3243">
        <f t="shared" si="152"/>
        <v>0</v>
      </c>
    </row>
    <row r="3244" spans="1:12">
      <c r="A3244" t="s">
        <v>9415</v>
      </c>
      <c r="B3244" t="s">
        <v>9416</v>
      </c>
      <c r="C3244" t="s">
        <v>9417</v>
      </c>
      <c r="D3244" t="s">
        <v>35</v>
      </c>
      <c r="E3244" t="s">
        <v>54</v>
      </c>
      <c r="F3244" t="s">
        <v>41</v>
      </c>
      <c r="G3244" t="s">
        <v>31</v>
      </c>
      <c r="H3244">
        <f>Cleaned_Data!K3244</f>
        <v>130.77000000000001</v>
      </c>
      <c r="I3244" t="str">
        <f t="shared" si="150"/>
        <v>NO</v>
      </c>
      <c r="J3244">
        <f>Cleaned_Data!J3244</f>
        <v>48</v>
      </c>
      <c r="K3244" t="str">
        <f t="shared" si="151"/>
        <v>2024-08</v>
      </c>
      <c r="L3244">
        <f t="shared" si="152"/>
        <v>82.77000000000001</v>
      </c>
    </row>
    <row r="3245" spans="1:12">
      <c r="A3245" t="s">
        <v>9418</v>
      </c>
      <c r="B3245" t="s">
        <v>9419</v>
      </c>
      <c r="C3245" t="s">
        <v>9420</v>
      </c>
      <c r="D3245" t="s">
        <v>15</v>
      </c>
      <c r="E3245" t="s">
        <v>28</v>
      </c>
      <c r="F3245" t="s">
        <v>29</v>
      </c>
      <c r="G3245" t="s">
        <v>31</v>
      </c>
      <c r="H3245">
        <f>Cleaned_Data!K3245</f>
        <v>3.21</v>
      </c>
      <c r="I3245" t="str">
        <f t="shared" si="150"/>
        <v>YES</v>
      </c>
      <c r="J3245">
        <f>Cleaned_Data!J3245</f>
        <v>8</v>
      </c>
      <c r="K3245" t="str">
        <f t="shared" si="151"/>
        <v>2024-09</v>
      </c>
      <c r="L3245">
        <f t="shared" si="152"/>
        <v>0</v>
      </c>
    </row>
    <row r="3246" spans="1:12">
      <c r="A3246" t="s">
        <v>9421</v>
      </c>
      <c r="B3246" t="s">
        <v>9422</v>
      </c>
      <c r="C3246" t="s">
        <v>9423</v>
      </c>
      <c r="D3246" t="s">
        <v>23</v>
      </c>
      <c r="E3246" t="s">
        <v>28</v>
      </c>
      <c r="F3246" t="s">
        <v>36</v>
      </c>
      <c r="G3246" t="s">
        <v>19</v>
      </c>
      <c r="H3246">
        <f>Cleaned_Data!K3246</f>
        <v>13.77</v>
      </c>
      <c r="I3246" t="str">
        <f t="shared" si="150"/>
        <v>YES</v>
      </c>
      <c r="J3246">
        <f>Cleaned_Data!J3246</f>
        <v>24</v>
      </c>
      <c r="K3246" t="str">
        <f t="shared" si="151"/>
        <v>2024-10</v>
      </c>
      <c r="L3246">
        <f t="shared" si="152"/>
        <v>0</v>
      </c>
    </row>
    <row r="3247" spans="1:12">
      <c r="A3247" t="s">
        <v>9424</v>
      </c>
      <c r="B3247" t="s">
        <v>9425</v>
      </c>
      <c r="C3247" t="s">
        <v>9426</v>
      </c>
      <c r="D3247" t="s">
        <v>35</v>
      </c>
      <c r="E3247" t="s">
        <v>28</v>
      </c>
      <c r="F3247" t="s">
        <v>41</v>
      </c>
      <c r="G3247" t="s">
        <v>19</v>
      </c>
      <c r="H3247">
        <f>Cleaned_Data!K3247</f>
        <v>29.15</v>
      </c>
      <c r="I3247" t="str">
        <f t="shared" si="150"/>
        <v>YES</v>
      </c>
      <c r="J3247">
        <f>Cleaned_Data!J3247</f>
        <v>48</v>
      </c>
      <c r="K3247" t="str">
        <f t="shared" si="151"/>
        <v>2024-04</v>
      </c>
      <c r="L3247">
        <f t="shared" si="152"/>
        <v>0</v>
      </c>
    </row>
    <row r="3248" spans="1:12">
      <c r="A3248" t="s">
        <v>9427</v>
      </c>
      <c r="B3248" t="s">
        <v>9428</v>
      </c>
      <c r="C3248" t="s">
        <v>9429</v>
      </c>
      <c r="D3248" t="s">
        <v>158</v>
      </c>
      <c r="E3248" t="s">
        <v>28</v>
      </c>
      <c r="F3248" t="s">
        <v>41</v>
      </c>
      <c r="G3248" t="s">
        <v>31</v>
      </c>
      <c r="H3248">
        <f>Cleaned_Data!K3248</f>
        <v>2.5099999999999998</v>
      </c>
      <c r="I3248" t="str">
        <f t="shared" si="150"/>
        <v>YES</v>
      </c>
      <c r="J3248">
        <f>Cleaned_Data!J3248</f>
        <v>4</v>
      </c>
      <c r="K3248" t="str">
        <f t="shared" si="151"/>
        <v>2024-04</v>
      </c>
      <c r="L3248">
        <f t="shared" si="152"/>
        <v>0</v>
      </c>
    </row>
    <row r="3249" spans="1:12">
      <c r="A3249" t="s">
        <v>9430</v>
      </c>
      <c r="B3249" t="s">
        <v>9431</v>
      </c>
      <c r="C3249" t="s">
        <v>9432</v>
      </c>
      <c r="D3249" t="s">
        <v>23</v>
      </c>
      <c r="E3249" t="s">
        <v>24</v>
      </c>
      <c r="F3249" t="s">
        <v>29</v>
      </c>
      <c r="G3249" t="s">
        <v>19</v>
      </c>
      <c r="H3249">
        <f>Cleaned_Data!K3249</f>
        <v>10.53</v>
      </c>
      <c r="I3249" t="str">
        <f t="shared" si="150"/>
        <v>YES</v>
      </c>
      <c r="J3249">
        <f>Cleaned_Data!J3249</f>
        <v>24</v>
      </c>
      <c r="K3249" t="str">
        <f t="shared" si="151"/>
        <v>2024-01</v>
      </c>
      <c r="L3249">
        <f t="shared" si="152"/>
        <v>0</v>
      </c>
    </row>
    <row r="3250" spans="1:12">
      <c r="A3250" t="s">
        <v>9433</v>
      </c>
      <c r="B3250" t="s">
        <v>9434</v>
      </c>
      <c r="C3250" t="s">
        <v>9435</v>
      </c>
      <c r="D3250" t="s">
        <v>15</v>
      </c>
      <c r="E3250" t="s">
        <v>28</v>
      </c>
      <c r="F3250" t="s">
        <v>29</v>
      </c>
      <c r="G3250" t="s">
        <v>19</v>
      </c>
      <c r="H3250">
        <f>Cleaned_Data!K3250</f>
        <v>20.89</v>
      </c>
      <c r="I3250" t="str">
        <f t="shared" si="150"/>
        <v>NO</v>
      </c>
      <c r="J3250">
        <f>Cleaned_Data!J3250</f>
        <v>8</v>
      </c>
      <c r="K3250" t="str">
        <f t="shared" si="151"/>
        <v>2024-02</v>
      </c>
      <c r="L3250">
        <f t="shared" si="152"/>
        <v>12.89</v>
      </c>
    </row>
    <row r="3251" spans="1:12">
      <c r="A3251" t="s">
        <v>9436</v>
      </c>
      <c r="B3251" t="s">
        <v>9437</v>
      </c>
      <c r="C3251" t="s">
        <v>9438</v>
      </c>
      <c r="D3251" t="s">
        <v>23</v>
      </c>
      <c r="E3251" t="s">
        <v>28</v>
      </c>
      <c r="F3251" t="s">
        <v>17</v>
      </c>
      <c r="G3251" t="s">
        <v>31</v>
      </c>
      <c r="H3251">
        <f>Cleaned_Data!K3251</f>
        <v>10.8</v>
      </c>
      <c r="I3251" t="str">
        <f t="shared" si="150"/>
        <v>YES</v>
      </c>
      <c r="J3251">
        <f>Cleaned_Data!J3251</f>
        <v>24</v>
      </c>
      <c r="K3251" t="str">
        <f t="shared" si="151"/>
        <v>2024-06</v>
      </c>
      <c r="L3251">
        <f t="shared" si="152"/>
        <v>0</v>
      </c>
    </row>
    <row r="3252" spans="1:12">
      <c r="A3252" t="s">
        <v>9439</v>
      </c>
      <c r="B3252" t="s">
        <v>9440</v>
      </c>
      <c r="C3252" t="s">
        <v>9441</v>
      </c>
      <c r="D3252" t="s">
        <v>23</v>
      </c>
      <c r="E3252" t="s">
        <v>59</v>
      </c>
      <c r="F3252" t="s">
        <v>36</v>
      </c>
      <c r="G3252" t="s">
        <v>19</v>
      </c>
      <c r="H3252">
        <f>Cleaned_Data!K3252</f>
        <v>22.79</v>
      </c>
      <c r="I3252" t="str">
        <f t="shared" si="150"/>
        <v>YES</v>
      </c>
      <c r="J3252">
        <f>Cleaned_Data!J3252</f>
        <v>24</v>
      </c>
      <c r="K3252" t="str">
        <f t="shared" si="151"/>
        <v>2024-09</v>
      </c>
      <c r="L3252">
        <f t="shared" si="152"/>
        <v>0</v>
      </c>
    </row>
    <row r="3253" spans="1:12">
      <c r="A3253" t="s">
        <v>9442</v>
      </c>
      <c r="B3253" t="s">
        <v>9443</v>
      </c>
      <c r="D3253" t="s">
        <v>158</v>
      </c>
      <c r="E3253" t="s">
        <v>28</v>
      </c>
      <c r="F3253" t="s">
        <v>29</v>
      </c>
      <c r="G3253" t="s">
        <v>46</v>
      </c>
      <c r="H3253">
        <f>Cleaned_Data!K3253</f>
        <v>0</v>
      </c>
      <c r="I3253" t="str">
        <f t="shared" si="150"/>
        <v/>
      </c>
      <c r="J3253">
        <f>Cleaned_Data!J3253</f>
        <v>4</v>
      </c>
      <c r="K3253" t="str">
        <f t="shared" si="151"/>
        <v>2024-01</v>
      </c>
      <c r="L3253">
        <f t="shared" si="152"/>
        <v>0</v>
      </c>
    </row>
    <row r="3254" spans="1:12">
      <c r="A3254" t="s">
        <v>9444</v>
      </c>
      <c r="B3254" t="s">
        <v>9445</v>
      </c>
      <c r="C3254" t="s">
        <v>9446</v>
      </c>
      <c r="D3254" t="s">
        <v>23</v>
      </c>
      <c r="E3254" t="s">
        <v>28</v>
      </c>
      <c r="F3254" t="s">
        <v>36</v>
      </c>
      <c r="G3254" t="s">
        <v>31</v>
      </c>
      <c r="H3254">
        <f>Cleaned_Data!K3254</f>
        <v>13.98</v>
      </c>
      <c r="I3254" t="str">
        <f t="shared" si="150"/>
        <v>YES</v>
      </c>
      <c r="J3254">
        <f>Cleaned_Data!J3254</f>
        <v>24</v>
      </c>
      <c r="K3254" t="str">
        <f t="shared" si="151"/>
        <v>2024-09</v>
      </c>
      <c r="L3254">
        <f t="shared" si="152"/>
        <v>0</v>
      </c>
    </row>
    <row r="3255" spans="1:12">
      <c r="A3255" t="s">
        <v>9447</v>
      </c>
      <c r="B3255" t="s">
        <v>9448</v>
      </c>
      <c r="C3255" t="s">
        <v>9449</v>
      </c>
      <c r="D3255" t="s">
        <v>15</v>
      </c>
      <c r="E3255" t="s">
        <v>24</v>
      </c>
      <c r="F3255" t="s">
        <v>60</v>
      </c>
      <c r="G3255" t="s">
        <v>31</v>
      </c>
      <c r="H3255">
        <f>Cleaned_Data!K3255</f>
        <v>2.2599999999999998</v>
      </c>
      <c r="I3255" t="str">
        <f t="shared" si="150"/>
        <v>YES</v>
      </c>
      <c r="J3255">
        <f>Cleaned_Data!J3255</f>
        <v>8</v>
      </c>
      <c r="K3255" t="str">
        <f t="shared" si="151"/>
        <v>2024-11</v>
      </c>
      <c r="L3255">
        <f t="shared" si="152"/>
        <v>0</v>
      </c>
    </row>
    <row r="3256" spans="1:12">
      <c r="A3256" t="s">
        <v>9450</v>
      </c>
      <c r="B3256" t="s">
        <v>9451</v>
      </c>
      <c r="C3256" t="s">
        <v>9452</v>
      </c>
      <c r="D3256" t="s">
        <v>35</v>
      </c>
      <c r="E3256" t="s">
        <v>28</v>
      </c>
      <c r="F3256" t="s">
        <v>36</v>
      </c>
      <c r="G3256" t="s">
        <v>31</v>
      </c>
      <c r="H3256">
        <f>Cleaned_Data!K3256</f>
        <v>22.14</v>
      </c>
      <c r="I3256" t="str">
        <f t="shared" si="150"/>
        <v>YES</v>
      </c>
      <c r="J3256">
        <f>Cleaned_Data!J3256</f>
        <v>48</v>
      </c>
      <c r="K3256" t="str">
        <f t="shared" si="151"/>
        <v>2024-11</v>
      </c>
      <c r="L3256">
        <f t="shared" si="152"/>
        <v>0</v>
      </c>
    </row>
    <row r="3257" spans="1:12">
      <c r="A3257" t="s">
        <v>9453</v>
      </c>
      <c r="B3257" t="s">
        <v>9454</v>
      </c>
      <c r="C3257" t="s">
        <v>9455</v>
      </c>
      <c r="D3257" t="s">
        <v>23</v>
      </c>
      <c r="E3257" t="s">
        <v>28</v>
      </c>
      <c r="F3257" t="s">
        <v>41</v>
      </c>
      <c r="G3257" t="s">
        <v>19</v>
      </c>
      <c r="H3257">
        <f>Cleaned_Data!K3257</f>
        <v>17.350000000000001</v>
      </c>
      <c r="I3257" t="str">
        <f t="shared" si="150"/>
        <v>YES</v>
      </c>
      <c r="J3257">
        <f>Cleaned_Data!J3257</f>
        <v>24</v>
      </c>
      <c r="K3257" t="str">
        <f t="shared" si="151"/>
        <v>2024-09</v>
      </c>
      <c r="L3257">
        <f t="shared" si="152"/>
        <v>0</v>
      </c>
    </row>
    <row r="3258" spans="1:12">
      <c r="A3258" t="s">
        <v>9456</v>
      </c>
      <c r="B3258" t="s">
        <v>9457</v>
      </c>
      <c r="C3258" t="s">
        <v>9458</v>
      </c>
      <c r="D3258" t="s">
        <v>23</v>
      </c>
      <c r="E3258" t="s">
        <v>16</v>
      </c>
      <c r="F3258" t="s">
        <v>41</v>
      </c>
      <c r="G3258" t="s">
        <v>31</v>
      </c>
      <c r="H3258">
        <f>Cleaned_Data!K3258</f>
        <v>2.72</v>
      </c>
      <c r="I3258" t="str">
        <f t="shared" si="150"/>
        <v>YES</v>
      </c>
      <c r="J3258">
        <f>Cleaned_Data!J3258</f>
        <v>24</v>
      </c>
      <c r="K3258" t="str">
        <f t="shared" si="151"/>
        <v>2024-09</v>
      </c>
      <c r="L3258">
        <f t="shared" si="152"/>
        <v>0</v>
      </c>
    </row>
    <row r="3259" spans="1:12">
      <c r="A3259" t="s">
        <v>9459</v>
      </c>
      <c r="B3259" t="s">
        <v>9460</v>
      </c>
      <c r="C3259" t="s">
        <v>9461</v>
      </c>
      <c r="D3259" t="s">
        <v>23</v>
      </c>
      <c r="E3259" t="s">
        <v>28</v>
      </c>
      <c r="F3259" t="s">
        <v>60</v>
      </c>
      <c r="G3259" t="s">
        <v>19</v>
      </c>
      <c r="H3259">
        <f>Cleaned_Data!K3259</f>
        <v>15.02</v>
      </c>
      <c r="I3259" t="str">
        <f t="shared" si="150"/>
        <v>YES</v>
      </c>
      <c r="J3259">
        <f>Cleaned_Data!J3259</f>
        <v>24</v>
      </c>
      <c r="K3259" t="str">
        <f t="shared" si="151"/>
        <v>2024-02</v>
      </c>
      <c r="L3259">
        <f t="shared" si="152"/>
        <v>0</v>
      </c>
    </row>
    <row r="3260" spans="1:12">
      <c r="A3260" t="s">
        <v>9462</v>
      </c>
      <c r="B3260" t="s">
        <v>9463</v>
      </c>
      <c r="C3260" t="s">
        <v>9464</v>
      </c>
      <c r="D3260" t="s">
        <v>23</v>
      </c>
      <c r="E3260" t="s">
        <v>54</v>
      </c>
      <c r="F3260" t="s">
        <v>36</v>
      </c>
      <c r="G3260" t="s">
        <v>19</v>
      </c>
      <c r="H3260">
        <f>Cleaned_Data!K3260</f>
        <v>12.53</v>
      </c>
      <c r="I3260" t="str">
        <f t="shared" si="150"/>
        <v>YES</v>
      </c>
      <c r="J3260">
        <f>Cleaned_Data!J3260</f>
        <v>24</v>
      </c>
      <c r="K3260" t="str">
        <f t="shared" si="151"/>
        <v>2024-03</v>
      </c>
      <c r="L3260">
        <f t="shared" si="152"/>
        <v>0</v>
      </c>
    </row>
    <row r="3261" spans="1:12">
      <c r="A3261" t="s">
        <v>9465</v>
      </c>
      <c r="B3261" t="s">
        <v>9466</v>
      </c>
      <c r="C3261" t="s">
        <v>9467</v>
      </c>
      <c r="D3261" t="s">
        <v>158</v>
      </c>
      <c r="E3261" t="s">
        <v>28</v>
      </c>
      <c r="F3261" t="s">
        <v>41</v>
      </c>
      <c r="G3261" t="s">
        <v>19</v>
      </c>
      <c r="H3261">
        <f>Cleaned_Data!K3261</f>
        <v>0.99</v>
      </c>
      <c r="I3261" t="str">
        <f t="shared" si="150"/>
        <v>YES</v>
      </c>
      <c r="J3261">
        <f>Cleaned_Data!J3261</f>
        <v>4</v>
      </c>
      <c r="K3261" t="str">
        <f t="shared" si="151"/>
        <v>2024-11</v>
      </c>
      <c r="L3261">
        <f t="shared" si="152"/>
        <v>0</v>
      </c>
    </row>
    <row r="3262" spans="1:12">
      <c r="A3262" t="s">
        <v>9468</v>
      </c>
      <c r="B3262" t="s">
        <v>9469</v>
      </c>
      <c r="C3262" t="s">
        <v>9470</v>
      </c>
      <c r="D3262" t="s">
        <v>158</v>
      </c>
      <c r="E3262" t="s">
        <v>24</v>
      </c>
      <c r="F3262" t="s">
        <v>36</v>
      </c>
      <c r="G3262" t="s">
        <v>19</v>
      </c>
      <c r="H3262">
        <f>Cleaned_Data!K3262</f>
        <v>2.0499999999999998</v>
      </c>
      <c r="I3262" t="str">
        <f t="shared" si="150"/>
        <v>YES</v>
      </c>
      <c r="J3262">
        <f>Cleaned_Data!J3262</f>
        <v>4</v>
      </c>
      <c r="K3262" t="str">
        <f t="shared" si="151"/>
        <v>2024-04</v>
      </c>
      <c r="L3262">
        <f t="shared" si="152"/>
        <v>0</v>
      </c>
    </row>
    <row r="3263" spans="1:12">
      <c r="A3263" t="s">
        <v>9471</v>
      </c>
      <c r="B3263" t="s">
        <v>9472</v>
      </c>
      <c r="C3263" t="s">
        <v>9473</v>
      </c>
      <c r="D3263" t="s">
        <v>15</v>
      </c>
      <c r="E3263" t="s">
        <v>54</v>
      </c>
      <c r="F3263" t="s">
        <v>36</v>
      </c>
      <c r="G3263" t="s">
        <v>19</v>
      </c>
      <c r="H3263">
        <f>Cleaned_Data!K3263</f>
        <v>3.11</v>
      </c>
      <c r="I3263" t="str">
        <f t="shared" si="150"/>
        <v>YES</v>
      </c>
      <c r="J3263">
        <f>Cleaned_Data!J3263</f>
        <v>8</v>
      </c>
      <c r="K3263" t="str">
        <f t="shared" si="151"/>
        <v>2024-04</v>
      </c>
      <c r="L3263">
        <f t="shared" si="152"/>
        <v>0</v>
      </c>
    </row>
    <row r="3264" spans="1:12">
      <c r="A3264" t="s">
        <v>9474</v>
      </c>
      <c r="B3264" t="s">
        <v>9475</v>
      </c>
      <c r="C3264" t="s">
        <v>9476</v>
      </c>
      <c r="D3264" t="s">
        <v>35</v>
      </c>
      <c r="E3264" t="s">
        <v>16</v>
      </c>
      <c r="F3264" t="s">
        <v>36</v>
      </c>
      <c r="G3264" t="s">
        <v>19</v>
      </c>
      <c r="H3264">
        <f>Cleaned_Data!K3264</f>
        <v>9.01</v>
      </c>
      <c r="I3264" t="str">
        <f t="shared" si="150"/>
        <v>YES</v>
      </c>
      <c r="J3264">
        <f>Cleaned_Data!J3264</f>
        <v>48</v>
      </c>
      <c r="K3264" t="str">
        <f t="shared" si="151"/>
        <v>2024-04</v>
      </c>
      <c r="L3264">
        <f t="shared" si="152"/>
        <v>0</v>
      </c>
    </row>
    <row r="3265" spans="1:12">
      <c r="A3265" t="s">
        <v>9477</v>
      </c>
      <c r="B3265" t="s">
        <v>9478</v>
      </c>
      <c r="C3265" t="s">
        <v>9479</v>
      </c>
      <c r="D3265" t="s">
        <v>35</v>
      </c>
      <c r="E3265" t="s">
        <v>24</v>
      </c>
      <c r="F3265" t="s">
        <v>17</v>
      </c>
      <c r="G3265" t="s">
        <v>19</v>
      </c>
      <c r="H3265">
        <f>Cleaned_Data!K3265</f>
        <v>19.38</v>
      </c>
      <c r="I3265" t="str">
        <f t="shared" si="150"/>
        <v>YES</v>
      </c>
      <c r="J3265">
        <f>Cleaned_Data!J3265</f>
        <v>48</v>
      </c>
      <c r="K3265" t="str">
        <f t="shared" si="151"/>
        <v>2024-10</v>
      </c>
      <c r="L3265">
        <f t="shared" si="152"/>
        <v>0</v>
      </c>
    </row>
    <row r="3266" spans="1:12">
      <c r="A3266" t="s">
        <v>9480</v>
      </c>
      <c r="B3266" t="s">
        <v>9481</v>
      </c>
      <c r="C3266" t="s">
        <v>9482</v>
      </c>
      <c r="D3266" t="s">
        <v>23</v>
      </c>
      <c r="E3266" t="s">
        <v>54</v>
      </c>
      <c r="F3266" t="s">
        <v>41</v>
      </c>
      <c r="G3266" t="s">
        <v>19</v>
      </c>
      <c r="H3266">
        <f>Cleaned_Data!K3266</f>
        <v>48.45</v>
      </c>
      <c r="I3266" t="str">
        <f t="shared" ref="I3266:I3329" si="153">IF(OR(G3266="Resolved", G3266="Closed"), IF(AND(H3266&lt;&gt;"", H3266&lt;=J3266), "YES", "NO"), "")</f>
        <v>NO</v>
      </c>
      <c r="J3266">
        <f>Cleaned_Data!J3266</f>
        <v>24</v>
      </c>
      <c r="K3266" t="str">
        <f t="shared" ref="K3266:K3329" si="154">LEFT(B3266, 7)</f>
        <v>2024-12</v>
      </c>
      <c r="L3266">
        <f t="shared" ref="L3266:L3329" si="155">IF(I3266="NO", H3266-J3266, 0)</f>
        <v>24.450000000000003</v>
      </c>
    </row>
    <row r="3267" spans="1:12">
      <c r="A3267" t="s">
        <v>9483</v>
      </c>
      <c r="B3267" t="s">
        <v>9484</v>
      </c>
      <c r="C3267" t="s">
        <v>9485</v>
      </c>
      <c r="D3267" t="s">
        <v>158</v>
      </c>
      <c r="E3267" t="s">
        <v>28</v>
      </c>
      <c r="F3267" t="s">
        <v>29</v>
      </c>
      <c r="G3267" t="s">
        <v>19</v>
      </c>
      <c r="H3267">
        <f>Cleaned_Data!K3267</f>
        <v>0.88</v>
      </c>
      <c r="I3267" t="str">
        <f t="shared" si="153"/>
        <v>YES</v>
      </c>
      <c r="J3267">
        <f>Cleaned_Data!J3267</f>
        <v>4</v>
      </c>
      <c r="K3267" t="str">
        <f t="shared" si="154"/>
        <v>2024-03</v>
      </c>
      <c r="L3267">
        <f t="shared" si="155"/>
        <v>0</v>
      </c>
    </row>
    <row r="3268" spans="1:12">
      <c r="A3268" t="s">
        <v>9486</v>
      </c>
      <c r="B3268" t="s">
        <v>9487</v>
      </c>
      <c r="C3268" t="s">
        <v>9488</v>
      </c>
      <c r="D3268" t="s">
        <v>15</v>
      </c>
      <c r="E3268" t="s">
        <v>59</v>
      </c>
      <c r="F3268" t="s">
        <v>41</v>
      </c>
      <c r="G3268" t="s">
        <v>19</v>
      </c>
      <c r="H3268">
        <f>Cleaned_Data!K3268</f>
        <v>2.23</v>
      </c>
      <c r="I3268" t="str">
        <f t="shared" si="153"/>
        <v>YES</v>
      </c>
      <c r="J3268">
        <f>Cleaned_Data!J3268</f>
        <v>8</v>
      </c>
      <c r="K3268" t="str">
        <f t="shared" si="154"/>
        <v>2024-03</v>
      </c>
      <c r="L3268">
        <f t="shared" si="155"/>
        <v>0</v>
      </c>
    </row>
    <row r="3269" spans="1:12">
      <c r="A3269" t="s">
        <v>9489</v>
      </c>
      <c r="B3269" t="s">
        <v>9490</v>
      </c>
      <c r="C3269" t="s">
        <v>9491</v>
      </c>
      <c r="D3269" t="s">
        <v>23</v>
      </c>
      <c r="E3269" t="s">
        <v>28</v>
      </c>
      <c r="F3269" t="s">
        <v>17</v>
      </c>
      <c r="G3269" t="s">
        <v>19</v>
      </c>
      <c r="H3269">
        <f>Cleaned_Data!K3269</f>
        <v>9.09</v>
      </c>
      <c r="I3269" t="str">
        <f t="shared" si="153"/>
        <v>YES</v>
      </c>
      <c r="J3269">
        <f>Cleaned_Data!J3269</f>
        <v>24</v>
      </c>
      <c r="K3269" t="str">
        <f t="shared" si="154"/>
        <v>2024-07</v>
      </c>
      <c r="L3269">
        <f t="shared" si="155"/>
        <v>0</v>
      </c>
    </row>
    <row r="3270" spans="1:12">
      <c r="A3270" t="s">
        <v>9492</v>
      </c>
      <c r="B3270" t="s">
        <v>9493</v>
      </c>
      <c r="C3270" t="s">
        <v>9494</v>
      </c>
      <c r="D3270" t="s">
        <v>23</v>
      </c>
      <c r="E3270" t="s">
        <v>59</v>
      </c>
      <c r="F3270" t="s">
        <v>60</v>
      </c>
      <c r="G3270" t="s">
        <v>31</v>
      </c>
      <c r="H3270">
        <f>Cleaned_Data!K3270</f>
        <v>22.26</v>
      </c>
      <c r="I3270" t="str">
        <f t="shared" si="153"/>
        <v>YES</v>
      </c>
      <c r="J3270">
        <f>Cleaned_Data!J3270</f>
        <v>24</v>
      </c>
      <c r="K3270" t="str">
        <f t="shared" si="154"/>
        <v>2024-11</v>
      </c>
      <c r="L3270">
        <f t="shared" si="155"/>
        <v>0</v>
      </c>
    </row>
    <row r="3271" spans="1:12">
      <c r="A3271" t="s">
        <v>9495</v>
      </c>
      <c r="B3271" t="s">
        <v>9496</v>
      </c>
      <c r="C3271" t="s">
        <v>9497</v>
      </c>
      <c r="D3271" t="s">
        <v>35</v>
      </c>
      <c r="E3271" t="s">
        <v>28</v>
      </c>
      <c r="F3271" t="s">
        <v>60</v>
      </c>
      <c r="G3271" t="s">
        <v>19</v>
      </c>
      <c r="H3271">
        <f>Cleaned_Data!K3271</f>
        <v>30.13</v>
      </c>
      <c r="I3271" t="str">
        <f t="shared" si="153"/>
        <v>YES</v>
      </c>
      <c r="J3271">
        <f>Cleaned_Data!J3271</f>
        <v>48</v>
      </c>
      <c r="K3271" t="str">
        <f t="shared" si="154"/>
        <v>2024-08</v>
      </c>
      <c r="L3271">
        <f t="shared" si="155"/>
        <v>0</v>
      </c>
    </row>
    <row r="3272" spans="1:12">
      <c r="A3272" t="s">
        <v>9498</v>
      </c>
      <c r="B3272" t="s">
        <v>9499</v>
      </c>
      <c r="C3272" t="s">
        <v>9500</v>
      </c>
      <c r="D3272" t="s">
        <v>35</v>
      </c>
      <c r="E3272" t="s">
        <v>24</v>
      </c>
      <c r="F3272" t="s">
        <v>17</v>
      </c>
      <c r="G3272" t="s">
        <v>19</v>
      </c>
      <c r="H3272">
        <f>Cleaned_Data!K3272</f>
        <v>58.98</v>
      </c>
      <c r="I3272" t="str">
        <f t="shared" si="153"/>
        <v>NO</v>
      </c>
      <c r="J3272">
        <f>Cleaned_Data!J3272</f>
        <v>48</v>
      </c>
      <c r="K3272" t="str">
        <f t="shared" si="154"/>
        <v>2024-03</v>
      </c>
      <c r="L3272">
        <f t="shared" si="155"/>
        <v>10.979999999999997</v>
      </c>
    </row>
    <row r="3273" spans="1:12">
      <c r="A3273" t="s">
        <v>9501</v>
      </c>
      <c r="B3273" t="s">
        <v>9502</v>
      </c>
      <c r="C3273" t="s">
        <v>9503</v>
      </c>
      <c r="D3273" t="s">
        <v>158</v>
      </c>
      <c r="E3273" t="s">
        <v>24</v>
      </c>
      <c r="F3273" t="s">
        <v>17</v>
      </c>
      <c r="G3273" t="s">
        <v>19</v>
      </c>
      <c r="H3273">
        <f>Cleaned_Data!K3273</f>
        <v>1.71</v>
      </c>
      <c r="I3273" t="str">
        <f t="shared" si="153"/>
        <v>YES</v>
      </c>
      <c r="J3273">
        <f>Cleaned_Data!J3273</f>
        <v>4</v>
      </c>
      <c r="K3273" t="str">
        <f t="shared" si="154"/>
        <v>2024-10</v>
      </c>
      <c r="L3273">
        <f t="shared" si="155"/>
        <v>0</v>
      </c>
    </row>
    <row r="3274" spans="1:12">
      <c r="A3274" t="s">
        <v>9504</v>
      </c>
      <c r="B3274" t="s">
        <v>9505</v>
      </c>
      <c r="C3274" t="s">
        <v>9506</v>
      </c>
      <c r="D3274" t="s">
        <v>23</v>
      </c>
      <c r="E3274" t="s">
        <v>16</v>
      </c>
      <c r="F3274" t="s">
        <v>29</v>
      </c>
      <c r="G3274" t="s">
        <v>19</v>
      </c>
      <c r="H3274">
        <f>Cleaned_Data!K3274</f>
        <v>9.9499999999999993</v>
      </c>
      <c r="I3274" t="str">
        <f t="shared" si="153"/>
        <v>YES</v>
      </c>
      <c r="J3274">
        <f>Cleaned_Data!J3274</f>
        <v>24</v>
      </c>
      <c r="K3274" t="str">
        <f t="shared" si="154"/>
        <v>2024-09</v>
      </c>
      <c r="L3274">
        <f t="shared" si="155"/>
        <v>0</v>
      </c>
    </row>
    <row r="3275" spans="1:12">
      <c r="A3275" t="s">
        <v>9507</v>
      </c>
      <c r="B3275" t="s">
        <v>9508</v>
      </c>
      <c r="C3275" t="s">
        <v>9509</v>
      </c>
      <c r="D3275" t="s">
        <v>15</v>
      </c>
      <c r="E3275" t="s">
        <v>16</v>
      </c>
      <c r="F3275" t="s">
        <v>36</v>
      </c>
      <c r="G3275" t="s">
        <v>31</v>
      </c>
      <c r="H3275">
        <f>Cleaned_Data!K3275</f>
        <v>1.23</v>
      </c>
      <c r="I3275" t="str">
        <f t="shared" si="153"/>
        <v>YES</v>
      </c>
      <c r="J3275">
        <f>Cleaned_Data!J3275</f>
        <v>8</v>
      </c>
      <c r="K3275" t="str">
        <f t="shared" si="154"/>
        <v>2024-11</v>
      </c>
      <c r="L3275">
        <f t="shared" si="155"/>
        <v>0</v>
      </c>
    </row>
    <row r="3276" spans="1:12">
      <c r="A3276" t="s">
        <v>9510</v>
      </c>
      <c r="B3276" t="s">
        <v>9511</v>
      </c>
      <c r="C3276" t="s">
        <v>9512</v>
      </c>
      <c r="D3276" t="s">
        <v>35</v>
      </c>
      <c r="E3276" t="s">
        <v>28</v>
      </c>
      <c r="F3276" t="s">
        <v>36</v>
      </c>
      <c r="G3276" t="s">
        <v>31</v>
      </c>
      <c r="H3276">
        <f>Cleaned_Data!K3276</f>
        <v>14.98</v>
      </c>
      <c r="I3276" t="str">
        <f t="shared" si="153"/>
        <v>YES</v>
      </c>
      <c r="J3276">
        <f>Cleaned_Data!J3276</f>
        <v>48</v>
      </c>
      <c r="K3276" t="str">
        <f t="shared" si="154"/>
        <v>2024-07</v>
      </c>
      <c r="L3276">
        <f t="shared" si="155"/>
        <v>0</v>
      </c>
    </row>
    <row r="3277" spans="1:12">
      <c r="A3277" t="s">
        <v>9513</v>
      </c>
      <c r="B3277" t="s">
        <v>9514</v>
      </c>
      <c r="C3277" t="s">
        <v>9515</v>
      </c>
      <c r="D3277" t="s">
        <v>23</v>
      </c>
      <c r="E3277" t="s">
        <v>24</v>
      </c>
      <c r="F3277" t="s">
        <v>36</v>
      </c>
      <c r="G3277" t="s">
        <v>19</v>
      </c>
      <c r="H3277">
        <f>Cleaned_Data!K3277</f>
        <v>3.6</v>
      </c>
      <c r="I3277" t="str">
        <f t="shared" si="153"/>
        <v>YES</v>
      </c>
      <c r="J3277">
        <f>Cleaned_Data!J3277</f>
        <v>24</v>
      </c>
      <c r="K3277" t="str">
        <f t="shared" si="154"/>
        <v>2024-09</v>
      </c>
      <c r="L3277">
        <f t="shared" si="155"/>
        <v>0</v>
      </c>
    </row>
    <row r="3278" spans="1:12">
      <c r="A3278" t="s">
        <v>9516</v>
      </c>
      <c r="B3278" t="s">
        <v>9517</v>
      </c>
      <c r="C3278" t="s">
        <v>9518</v>
      </c>
      <c r="D3278" t="s">
        <v>23</v>
      </c>
      <c r="E3278" t="s">
        <v>24</v>
      </c>
      <c r="F3278" t="s">
        <v>36</v>
      </c>
      <c r="G3278" t="s">
        <v>31</v>
      </c>
      <c r="H3278">
        <f>Cleaned_Data!K3278</f>
        <v>44.26</v>
      </c>
      <c r="I3278" t="str">
        <f t="shared" si="153"/>
        <v>NO</v>
      </c>
      <c r="J3278">
        <f>Cleaned_Data!J3278</f>
        <v>24</v>
      </c>
      <c r="K3278" t="str">
        <f t="shared" si="154"/>
        <v>2024-01</v>
      </c>
      <c r="L3278">
        <f t="shared" si="155"/>
        <v>20.259999999999998</v>
      </c>
    </row>
    <row r="3279" spans="1:12">
      <c r="A3279" t="s">
        <v>9519</v>
      </c>
      <c r="B3279" t="s">
        <v>9520</v>
      </c>
      <c r="D3279" t="s">
        <v>23</v>
      </c>
      <c r="E3279" t="s">
        <v>28</v>
      </c>
      <c r="F3279" t="s">
        <v>41</v>
      </c>
      <c r="G3279" t="s">
        <v>63</v>
      </c>
      <c r="H3279">
        <f>Cleaned_Data!K3279</f>
        <v>0</v>
      </c>
      <c r="I3279" t="str">
        <f t="shared" si="153"/>
        <v/>
      </c>
      <c r="J3279">
        <f>Cleaned_Data!J3279</f>
        <v>24</v>
      </c>
      <c r="K3279" t="str">
        <f t="shared" si="154"/>
        <v>2024-04</v>
      </c>
      <c r="L3279">
        <f t="shared" si="155"/>
        <v>0</v>
      </c>
    </row>
    <row r="3280" spans="1:12">
      <c r="A3280" t="s">
        <v>9521</v>
      </c>
      <c r="B3280" t="s">
        <v>9522</v>
      </c>
      <c r="D3280" t="s">
        <v>35</v>
      </c>
      <c r="E3280" t="s">
        <v>28</v>
      </c>
      <c r="F3280" t="s">
        <v>60</v>
      </c>
      <c r="G3280" t="s">
        <v>46</v>
      </c>
      <c r="H3280">
        <f>Cleaned_Data!K3280</f>
        <v>0</v>
      </c>
      <c r="I3280" t="str">
        <f t="shared" si="153"/>
        <v/>
      </c>
      <c r="J3280">
        <f>Cleaned_Data!J3280</f>
        <v>48</v>
      </c>
      <c r="K3280" t="str">
        <f t="shared" si="154"/>
        <v>2024-05</v>
      </c>
      <c r="L3280">
        <f t="shared" si="155"/>
        <v>0</v>
      </c>
    </row>
    <row r="3281" spans="1:12">
      <c r="A3281" t="s">
        <v>9523</v>
      </c>
      <c r="B3281" t="s">
        <v>9524</v>
      </c>
      <c r="C3281" t="s">
        <v>9525</v>
      </c>
      <c r="D3281" t="s">
        <v>23</v>
      </c>
      <c r="E3281" t="s">
        <v>24</v>
      </c>
      <c r="F3281" t="s">
        <v>60</v>
      </c>
      <c r="G3281" t="s">
        <v>19</v>
      </c>
      <c r="H3281">
        <f>Cleaned_Data!K3281</f>
        <v>10.91</v>
      </c>
      <c r="I3281" t="str">
        <f t="shared" si="153"/>
        <v>YES</v>
      </c>
      <c r="J3281">
        <f>Cleaned_Data!J3281</f>
        <v>24</v>
      </c>
      <c r="K3281" t="str">
        <f t="shared" si="154"/>
        <v>2024-08</v>
      </c>
      <c r="L3281">
        <f t="shared" si="155"/>
        <v>0</v>
      </c>
    </row>
    <row r="3282" spans="1:12">
      <c r="A3282" t="s">
        <v>9526</v>
      </c>
      <c r="B3282" t="s">
        <v>9527</v>
      </c>
      <c r="C3282" t="s">
        <v>9528</v>
      </c>
      <c r="D3282" t="s">
        <v>23</v>
      </c>
      <c r="E3282" t="s">
        <v>16</v>
      </c>
      <c r="F3282" t="s">
        <v>36</v>
      </c>
      <c r="G3282" t="s">
        <v>19</v>
      </c>
      <c r="H3282">
        <f>Cleaned_Data!K3282</f>
        <v>16.57</v>
      </c>
      <c r="I3282" t="str">
        <f t="shared" si="153"/>
        <v>YES</v>
      </c>
      <c r="J3282">
        <f>Cleaned_Data!J3282</f>
        <v>24</v>
      </c>
      <c r="K3282" t="str">
        <f t="shared" si="154"/>
        <v>2024-12</v>
      </c>
      <c r="L3282">
        <f t="shared" si="155"/>
        <v>0</v>
      </c>
    </row>
    <row r="3283" spans="1:12">
      <c r="A3283" t="s">
        <v>9529</v>
      </c>
      <c r="B3283" t="s">
        <v>9530</v>
      </c>
      <c r="C3283" t="s">
        <v>9531</v>
      </c>
      <c r="D3283" t="s">
        <v>23</v>
      </c>
      <c r="E3283" t="s">
        <v>54</v>
      </c>
      <c r="F3283" t="s">
        <v>36</v>
      </c>
      <c r="G3283" t="s">
        <v>31</v>
      </c>
      <c r="H3283">
        <f>Cleaned_Data!K3283</f>
        <v>64.97</v>
      </c>
      <c r="I3283" t="str">
        <f t="shared" si="153"/>
        <v>NO</v>
      </c>
      <c r="J3283">
        <f>Cleaned_Data!J3283</f>
        <v>24</v>
      </c>
      <c r="K3283" t="str">
        <f t="shared" si="154"/>
        <v>2024-09</v>
      </c>
      <c r="L3283">
        <f t="shared" si="155"/>
        <v>40.97</v>
      </c>
    </row>
    <row r="3284" spans="1:12">
      <c r="A3284" t="s">
        <v>9532</v>
      </c>
      <c r="B3284" t="s">
        <v>9533</v>
      </c>
      <c r="C3284" t="s">
        <v>9534</v>
      </c>
      <c r="D3284" t="s">
        <v>15</v>
      </c>
      <c r="E3284" t="s">
        <v>54</v>
      </c>
      <c r="F3284" t="s">
        <v>17</v>
      </c>
      <c r="G3284" t="s">
        <v>19</v>
      </c>
      <c r="H3284">
        <f>Cleaned_Data!K3284</f>
        <v>3.64</v>
      </c>
      <c r="I3284" t="str">
        <f t="shared" si="153"/>
        <v>YES</v>
      </c>
      <c r="J3284">
        <f>Cleaned_Data!J3284</f>
        <v>8</v>
      </c>
      <c r="K3284" t="str">
        <f t="shared" si="154"/>
        <v>2024-09</v>
      </c>
      <c r="L3284">
        <f t="shared" si="155"/>
        <v>0</v>
      </c>
    </row>
    <row r="3285" spans="1:12">
      <c r="A3285" t="s">
        <v>9535</v>
      </c>
      <c r="B3285" t="s">
        <v>9536</v>
      </c>
      <c r="D3285" t="s">
        <v>15</v>
      </c>
      <c r="E3285" t="s">
        <v>24</v>
      </c>
      <c r="F3285" t="s">
        <v>41</v>
      </c>
      <c r="G3285" t="s">
        <v>63</v>
      </c>
      <c r="H3285">
        <f>Cleaned_Data!K3285</f>
        <v>0</v>
      </c>
      <c r="I3285" t="str">
        <f t="shared" si="153"/>
        <v/>
      </c>
      <c r="J3285">
        <f>Cleaned_Data!J3285</f>
        <v>8</v>
      </c>
      <c r="K3285" t="str">
        <f t="shared" si="154"/>
        <v>2024-02</v>
      </c>
      <c r="L3285">
        <f t="shared" si="155"/>
        <v>0</v>
      </c>
    </row>
    <row r="3286" spans="1:12">
      <c r="A3286" t="s">
        <v>9537</v>
      </c>
      <c r="B3286" t="s">
        <v>9538</v>
      </c>
      <c r="C3286" t="s">
        <v>9539</v>
      </c>
      <c r="D3286" t="s">
        <v>15</v>
      </c>
      <c r="E3286" t="s">
        <v>16</v>
      </c>
      <c r="F3286" t="s">
        <v>60</v>
      </c>
      <c r="G3286" t="s">
        <v>31</v>
      </c>
      <c r="H3286">
        <f>Cleaned_Data!K3286</f>
        <v>8.8800000000000008</v>
      </c>
      <c r="I3286" t="str">
        <f t="shared" si="153"/>
        <v>NO</v>
      </c>
      <c r="J3286">
        <f>Cleaned_Data!J3286</f>
        <v>8</v>
      </c>
      <c r="K3286" t="str">
        <f t="shared" si="154"/>
        <v>2024-06</v>
      </c>
      <c r="L3286">
        <f t="shared" si="155"/>
        <v>0.88000000000000078</v>
      </c>
    </row>
    <row r="3287" spans="1:12">
      <c r="A3287" t="s">
        <v>9540</v>
      </c>
      <c r="B3287" t="s">
        <v>9541</v>
      </c>
      <c r="C3287" t="s">
        <v>9542</v>
      </c>
      <c r="D3287" t="s">
        <v>23</v>
      </c>
      <c r="E3287" t="s">
        <v>16</v>
      </c>
      <c r="F3287" t="s">
        <v>36</v>
      </c>
      <c r="G3287" t="s">
        <v>19</v>
      </c>
      <c r="H3287">
        <f>Cleaned_Data!K3287</f>
        <v>7.1</v>
      </c>
      <c r="I3287" t="str">
        <f t="shared" si="153"/>
        <v>YES</v>
      </c>
      <c r="J3287">
        <f>Cleaned_Data!J3287</f>
        <v>24</v>
      </c>
      <c r="K3287" t="str">
        <f t="shared" si="154"/>
        <v>2024-04</v>
      </c>
      <c r="L3287">
        <f t="shared" si="155"/>
        <v>0</v>
      </c>
    </row>
    <row r="3288" spans="1:12">
      <c r="A3288" t="s">
        <v>9543</v>
      </c>
      <c r="B3288" t="s">
        <v>9544</v>
      </c>
      <c r="C3288" t="s">
        <v>9545</v>
      </c>
      <c r="D3288" t="s">
        <v>23</v>
      </c>
      <c r="E3288" t="s">
        <v>59</v>
      </c>
      <c r="F3288" t="s">
        <v>29</v>
      </c>
      <c r="G3288" t="s">
        <v>19</v>
      </c>
      <c r="H3288">
        <f>Cleaned_Data!K3288</f>
        <v>15.2</v>
      </c>
      <c r="I3288" t="str">
        <f t="shared" si="153"/>
        <v>YES</v>
      </c>
      <c r="J3288">
        <f>Cleaned_Data!J3288</f>
        <v>24</v>
      </c>
      <c r="K3288" t="str">
        <f t="shared" si="154"/>
        <v>2024-09</v>
      </c>
      <c r="L3288">
        <f t="shared" si="155"/>
        <v>0</v>
      </c>
    </row>
    <row r="3289" spans="1:12">
      <c r="A3289" t="s">
        <v>9546</v>
      </c>
      <c r="B3289" t="s">
        <v>9547</v>
      </c>
      <c r="C3289" t="s">
        <v>9548</v>
      </c>
      <c r="D3289" t="s">
        <v>15</v>
      </c>
      <c r="E3289" t="s">
        <v>24</v>
      </c>
      <c r="F3289" t="s">
        <v>41</v>
      </c>
      <c r="G3289" t="s">
        <v>31</v>
      </c>
      <c r="H3289">
        <f>Cleaned_Data!K3289</f>
        <v>5.8</v>
      </c>
      <c r="I3289" t="str">
        <f t="shared" si="153"/>
        <v>YES</v>
      </c>
      <c r="J3289">
        <f>Cleaned_Data!J3289</f>
        <v>8</v>
      </c>
      <c r="K3289" t="str">
        <f t="shared" si="154"/>
        <v>2024-03</v>
      </c>
      <c r="L3289">
        <f t="shared" si="155"/>
        <v>0</v>
      </c>
    </row>
    <row r="3290" spans="1:12">
      <c r="A3290" t="s">
        <v>9549</v>
      </c>
      <c r="B3290" t="s">
        <v>9550</v>
      </c>
      <c r="C3290" t="s">
        <v>9551</v>
      </c>
      <c r="D3290" t="s">
        <v>23</v>
      </c>
      <c r="E3290" t="s">
        <v>59</v>
      </c>
      <c r="F3290" t="s">
        <v>17</v>
      </c>
      <c r="G3290" t="s">
        <v>19</v>
      </c>
      <c r="H3290">
        <f>Cleaned_Data!K3290</f>
        <v>6.2</v>
      </c>
      <c r="I3290" t="str">
        <f t="shared" si="153"/>
        <v>YES</v>
      </c>
      <c r="J3290">
        <f>Cleaned_Data!J3290</f>
        <v>24</v>
      </c>
      <c r="K3290" t="str">
        <f t="shared" si="154"/>
        <v>2024-03</v>
      </c>
      <c r="L3290">
        <f t="shared" si="155"/>
        <v>0</v>
      </c>
    </row>
    <row r="3291" spans="1:12">
      <c r="A3291" t="s">
        <v>9552</v>
      </c>
      <c r="B3291" t="s">
        <v>9553</v>
      </c>
      <c r="D3291" t="s">
        <v>15</v>
      </c>
      <c r="E3291" t="s">
        <v>28</v>
      </c>
      <c r="F3291" t="s">
        <v>36</v>
      </c>
      <c r="G3291" t="s">
        <v>63</v>
      </c>
      <c r="H3291">
        <f>Cleaned_Data!K3291</f>
        <v>0</v>
      </c>
      <c r="I3291" t="str">
        <f t="shared" si="153"/>
        <v/>
      </c>
      <c r="J3291">
        <f>Cleaned_Data!J3291</f>
        <v>8</v>
      </c>
      <c r="K3291" t="str">
        <f t="shared" si="154"/>
        <v>2024-01</v>
      </c>
      <c r="L3291">
        <f t="shared" si="155"/>
        <v>0</v>
      </c>
    </row>
    <row r="3292" spans="1:12">
      <c r="A3292" t="s">
        <v>9554</v>
      </c>
      <c r="B3292" t="s">
        <v>9555</v>
      </c>
      <c r="C3292" t="s">
        <v>9556</v>
      </c>
      <c r="D3292" t="s">
        <v>23</v>
      </c>
      <c r="E3292" t="s">
        <v>28</v>
      </c>
      <c r="F3292" t="s">
        <v>36</v>
      </c>
      <c r="G3292" t="s">
        <v>19</v>
      </c>
      <c r="H3292">
        <f>Cleaned_Data!K3292</f>
        <v>5.94</v>
      </c>
      <c r="I3292" t="str">
        <f t="shared" si="153"/>
        <v>YES</v>
      </c>
      <c r="J3292">
        <f>Cleaned_Data!J3292</f>
        <v>24</v>
      </c>
      <c r="K3292" t="str">
        <f t="shared" si="154"/>
        <v>2024-12</v>
      </c>
      <c r="L3292">
        <f t="shared" si="155"/>
        <v>0</v>
      </c>
    </row>
    <row r="3293" spans="1:12">
      <c r="A3293" t="s">
        <v>9557</v>
      </c>
      <c r="B3293" t="s">
        <v>9558</v>
      </c>
      <c r="C3293" t="s">
        <v>9559</v>
      </c>
      <c r="D3293" t="s">
        <v>15</v>
      </c>
      <c r="E3293" t="s">
        <v>28</v>
      </c>
      <c r="F3293" t="s">
        <v>29</v>
      </c>
      <c r="G3293" t="s">
        <v>31</v>
      </c>
      <c r="H3293">
        <f>Cleaned_Data!K3293</f>
        <v>7.29</v>
      </c>
      <c r="I3293" t="str">
        <f t="shared" si="153"/>
        <v>YES</v>
      </c>
      <c r="J3293">
        <f>Cleaned_Data!J3293</f>
        <v>8</v>
      </c>
      <c r="K3293" t="str">
        <f t="shared" si="154"/>
        <v>2024-03</v>
      </c>
      <c r="L3293">
        <f t="shared" si="155"/>
        <v>0</v>
      </c>
    </row>
    <row r="3294" spans="1:12">
      <c r="A3294" t="s">
        <v>9560</v>
      </c>
      <c r="B3294" t="s">
        <v>9561</v>
      </c>
      <c r="C3294" t="s">
        <v>9562</v>
      </c>
      <c r="D3294" t="s">
        <v>35</v>
      </c>
      <c r="E3294" t="s">
        <v>24</v>
      </c>
      <c r="F3294" t="s">
        <v>60</v>
      </c>
      <c r="G3294" t="s">
        <v>19</v>
      </c>
      <c r="H3294">
        <f>Cleaned_Data!K3294</f>
        <v>25.31</v>
      </c>
      <c r="I3294" t="str">
        <f t="shared" si="153"/>
        <v>YES</v>
      </c>
      <c r="J3294">
        <f>Cleaned_Data!J3294</f>
        <v>48</v>
      </c>
      <c r="K3294" t="str">
        <f t="shared" si="154"/>
        <v>2024-08</v>
      </c>
      <c r="L3294">
        <f t="shared" si="155"/>
        <v>0</v>
      </c>
    </row>
    <row r="3295" spans="1:12">
      <c r="A3295" t="s">
        <v>9563</v>
      </c>
      <c r="B3295" t="s">
        <v>9564</v>
      </c>
      <c r="C3295" t="s">
        <v>9565</v>
      </c>
      <c r="D3295" t="s">
        <v>15</v>
      </c>
      <c r="E3295" t="s">
        <v>28</v>
      </c>
      <c r="F3295" t="s">
        <v>29</v>
      </c>
      <c r="G3295" t="s">
        <v>19</v>
      </c>
      <c r="H3295">
        <f>Cleaned_Data!K3295</f>
        <v>13.54</v>
      </c>
      <c r="I3295" t="str">
        <f t="shared" si="153"/>
        <v>NO</v>
      </c>
      <c r="J3295">
        <f>Cleaned_Data!J3295</f>
        <v>8</v>
      </c>
      <c r="K3295" t="str">
        <f t="shared" si="154"/>
        <v>2024-07</v>
      </c>
      <c r="L3295">
        <f t="shared" si="155"/>
        <v>5.5399999999999991</v>
      </c>
    </row>
    <row r="3296" spans="1:12">
      <c r="A3296" t="s">
        <v>9566</v>
      </c>
      <c r="B3296" t="s">
        <v>9567</v>
      </c>
      <c r="C3296" t="s">
        <v>9568</v>
      </c>
      <c r="D3296" t="s">
        <v>35</v>
      </c>
      <c r="E3296" t="s">
        <v>28</v>
      </c>
      <c r="F3296" t="s">
        <v>60</v>
      </c>
      <c r="G3296" t="s">
        <v>19</v>
      </c>
      <c r="H3296">
        <f>Cleaned_Data!K3296</f>
        <v>91.85</v>
      </c>
      <c r="I3296" t="str">
        <f t="shared" si="153"/>
        <v>NO</v>
      </c>
      <c r="J3296">
        <f>Cleaned_Data!J3296</f>
        <v>48</v>
      </c>
      <c r="K3296" t="str">
        <f t="shared" si="154"/>
        <v>2024-06</v>
      </c>
      <c r="L3296">
        <f t="shared" si="155"/>
        <v>43.849999999999994</v>
      </c>
    </row>
    <row r="3297" spans="1:12">
      <c r="A3297" t="s">
        <v>9569</v>
      </c>
      <c r="B3297" t="s">
        <v>9570</v>
      </c>
      <c r="C3297" t="s">
        <v>9571</v>
      </c>
      <c r="D3297" t="s">
        <v>23</v>
      </c>
      <c r="E3297" t="s">
        <v>28</v>
      </c>
      <c r="F3297" t="s">
        <v>60</v>
      </c>
      <c r="G3297" t="s">
        <v>31</v>
      </c>
      <c r="H3297">
        <f>Cleaned_Data!K3297</f>
        <v>10.34</v>
      </c>
      <c r="I3297" t="str">
        <f t="shared" si="153"/>
        <v>YES</v>
      </c>
      <c r="J3297">
        <f>Cleaned_Data!J3297</f>
        <v>24</v>
      </c>
      <c r="K3297" t="str">
        <f t="shared" si="154"/>
        <v>2024-05</v>
      </c>
      <c r="L3297">
        <f t="shared" si="155"/>
        <v>0</v>
      </c>
    </row>
    <row r="3298" spans="1:12">
      <c r="A3298" t="s">
        <v>9572</v>
      </c>
      <c r="B3298" t="s">
        <v>9573</v>
      </c>
      <c r="C3298" t="s">
        <v>9574</v>
      </c>
      <c r="D3298" t="s">
        <v>23</v>
      </c>
      <c r="E3298" t="s">
        <v>16</v>
      </c>
      <c r="F3298" t="s">
        <v>17</v>
      </c>
      <c r="G3298" t="s">
        <v>19</v>
      </c>
      <c r="H3298">
        <f>Cleaned_Data!K3298</f>
        <v>4.3899999999999997</v>
      </c>
      <c r="I3298" t="str">
        <f t="shared" si="153"/>
        <v>YES</v>
      </c>
      <c r="J3298">
        <f>Cleaned_Data!J3298</f>
        <v>24</v>
      </c>
      <c r="K3298" t="str">
        <f t="shared" si="154"/>
        <v>2024-06</v>
      </c>
      <c r="L3298">
        <f t="shared" si="155"/>
        <v>0</v>
      </c>
    </row>
    <row r="3299" spans="1:12">
      <c r="A3299" t="s">
        <v>9575</v>
      </c>
      <c r="B3299" t="s">
        <v>9576</v>
      </c>
      <c r="C3299" t="s">
        <v>9577</v>
      </c>
      <c r="D3299" t="s">
        <v>23</v>
      </c>
      <c r="E3299" t="s">
        <v>24</v>
      </c>
      <c r="F3299" t="s">
        <v>29</v>
      </c>
      <c r="G3299" t="s">
        <v>31</v>
      </c>
      <c r="H3299">
        <f>Cleaned_Data!K3299</f>
        <v>17.77</v>
      </c>
      <c r="I3299" t="str">
        <f t="shared" si="153"/>
        <v>YES</v>
      </c>
      <c r="J3299">
        <f>Cleaned_Data!J3299</f>
        <v>24</v>
      </c>
      <c r="K3299" t="str">
        <f t="shared" si="154"/>
        <v>2024-03</v>
      </c>
      <c r="L3299">
        <f t="shared" si="155"/>
        <v>0</v>
      </c>
    </row>
    <row r="3300" spans="1:12">
      <c r="A3300" t="s">
        <v>9578</v>
      </c>
      <c r="B3300" t="s">
        <v>9579</v>
      </c>
      <c r="C3300" t="s">
        <v>9580</v>
      </c>
      <c r="D3300" t="s">
        <v>23</v>
      </c>
      <c r="E3300" t="s">
        <v>54</v>
      </c>
      <c r="F3300" t="s">
        <v>17</v>
      </c>
      <c r="G3300" t="s">
        <v>19</v>
      </c>
      <c r="H3300">
        <f>Cleaned_Data!K3300</f>
        <v>17.899999999999999</v>
      </c>
      <c r="I3300" t="str">
        <f t="shared" si="153"/>
        <v>YES</v>
      </c>
      <c r="J3300">
        <f>Cleaned_Data!J3300</f>
        <v>24</v>
      </c>
      <c r="K3300" t="str">
        <f t="shared" si="154"/>
        <v>2024-02</v>
      </c>
      <c r="L3300">
        <f t="shared" si="155"/>
        <v>0</v>
      </c>
    </row>
    <row r="3301" spans="1:12">
      <c r="A3301" t="s">
        <v>9581</v>
      </c>
      <c r="B3301" t="s">
        <v>9582</v>
      </c>
      <c r="C3301" t="s">
        <v>9583</v>
      </c>
      <c r="D3301" t="s">
        <v>35</v>
      </c>
      <c r="E3301" t="s">
        <v>54</v>
      </c>
      <c r="F3301" t="s">
        <v>29</v>
      </c>
      <c r="G3301" t="s">
        <v>19</v>
      </c>
      <c r="H3301">
        <f>Cleaned_Data!K3301</f>
        <v>34.1</v>
      </c>
      <c r="I3301" t="str">
        <f t="shared" si="153"/>
        <v>YES</v>
      </c>
      <c r="J3301">
        <f>Cleaned_Data!J3301</f>
        <v>48</v>
      </c>
      <c r="K3301" t="str">
        <f t="shared" si="154"/>
        <v>2024-11</v>
      </c>
      <c r="L3301">
        <f t="shared" si="155"/>
        <v>0</v>
      </c>
    </row>
    <row r="3302" spans="1:12">
      <c r="A3302" t="s">
        <v>9584</v>
      </c>
      <c r="B3302" t="s">
        <v>9585</v>
      </c>
      <c r="C3302" t="s">
        <v>9586</v>
      </c>
      <c r="D3302" t="s">
        <v>23</v>
      </c>
      <c r="E3302" t="s">
        <v>16</v>
      </c>
      <c r="F3302" t="s">
        <v>29</v>
      </c>
      <c r="G3302" t="s">
        <v>31</v>
      </c>
      <c r="H3302">
        <f>Cleaned_Data!K3302</f>
        <v>21.92</v>
      </c>
      <c r="I3302" t="str">
        <f t="shared" si="153"/>
        <v>YES</v>
      </c>
      <c r="J3302">
        <f>Cleaned_Data!J3302</f>
        <v>24</v>
      </c>
      <c r="K3302" t="str">
        <f t="shared" si="154"/>
        <v>2024-01</v>
      </c>
      <c r="L3302">
        <f t="shared" si="155"/>
        <v>0</v>
      </c>
    </row>
    <row r="3303" spans="1:12">
      <c r="A3303" t="s">
        <v>9587</v>
      </c>
      <c r="B3303" t="s">
        <v>9588</v>
      </c>
      <c r="D3303" t="s">
        <v>15</v>
      </c>
      <c r="E3303" t="s">
        <v>28</v>
      </c>
      <c r="F3303" t="s">
        <v>29</v>
      </c>
      <c r="G3303" t="s">
        <v>63</v>
      </c>
      <c r="H3303">
        <f>Cleaned_Data!K3303</f>
        <v>0</v>
      </c>
      <c r="I3303" t="str">
        <f t="shared" si="153"/>
        <v/>
      </c>
      <c r="J3303">
        <f>Cleaned_Data!J3303</f>
        <v>8</v>
      </c>
      <c r="K3303" t="str">
        <f t="shared" si="154"/>
        <v>2024-06</v>
      </c>
      <c r="L3303">
        <f t="shared" si="155"/>
        <v>0</v>
      </c>
    </row>
    <row r="3304" spans="1:12">
      <c r="A3304" t="s">
        <v>9589</v>
      </c>
      <c r="B3304" t="s">
        <v>9590</v>
      </c>
      <c r="C3304" t="s">
        <v>9591</v>
      </c>
      <c r="D3304" t="s">
        <v>23</v>
      </c>
      <c r="E3304" t="s">
        <v>54</v>
      </c>
      <c r="F3304" t="s">
        <v>60</v>
      </c>
      <c r="G3304" t="s">
        <v>31</v>
      </c>
      <c r="H3304">
        <f>Cleaned_Data!K3304</f>
        <v>17.3</v>
      </c>
      <c r="I3304" t="str">
        <f t="shared" si="153"/>
        <v>YES</v>
      </c>
      <c r="J3304">
        <f>Cleaned_Data!J3304</f>
        <v>24</v>
      </c>
      <c r="K3304" t="str">
        <f t="shared" si="154"/>
        <v>2024-06</v>
      </c>
      <c r="L3304">
        <f t="shared" si="155"/>
        <v>0</v>
      </c>
    </row>
    <row r="3305" spans="1:12">
      <c r="A3305" t="s">
        <v>9592</v>
      </c>
      <c r="B3305" t="s">
        <v>9593</v>
      </c>
      <c r="C3305" t="s">
        <v>9594</v>
      </c>
      <c r="D3305" t="s">
        <v>23</v>
      </c>
      <c r="E3305" t="s">
        <v>16</v>
      </c>
      <c r="F3305" t="s">
        <v>60</v>
      </c>
      <c r="G3305" t="s">
        <v>31</v>
      </c>
      <c r="H3305">
        <f>Cleaned_Data!K3305</f>
        <v>18.11</v>
      </c>
      <c r="I3305" t="str">
        <f t="shared" si="153"/>
        <v>YES</v>
      </c>
      <c r="J3305">
        <f>Cleaned_Data!J3305</f>
        <v>24</v>
      </c>
      <c r="K3305" t="str">
        <f t="shared" si="154"/>
        <v>2024-11</v>
      </c>
      <c r="L3305">
        <f t="shared" si="155"/>
        <v>0</v>
      </c>
    </row>
    <row r="3306" spans="1:12">
      <c r="A3306" t="s">
        <v>9595</v>
      </c>
      <c r="B3306" t="s">
        <v>9596</v>
      </c>
      <c r="C3306" t="s">
        <v>9597</v>
      </c>
      <c r="D3306" t="s">
        <v>23</v>
      </c>
      <c r="E3306" t="s">
        <v>54</v>
      </c>
      <c r="F3306" t="s">
        <v>60</v>
      </c>
      <c r="G3306" t="s">
        <v>19</v>
      </c>
      <c r="H3306">
        <f>Cleaned_Data!K3306</f>
        <v>15.91</v>
      </c>
      <c r="I3306" t="str">
        <f t="shared" si="153"/>
        <v>YES</v>
      </c>
      <c r="J3306">
        <f>Cleaned_Data!J3306</f>
        <v>24</v>
      </c>
      <c r="K3306" t="str">
        <f t="shared" si="154"/>
        <v>2024-05</v>
      </c>
      <c r="L3306">
        <f t="shared" si="155"/>
        <v>0</v>
      </c>
    </row>
    <row r="3307" spans="1:12">
      <c r="A3307" t="s">
        <v>9598</v>
      </c>
      <c r="B3307" t="s">
        <v>9599</v>
      </c>
      <c r="C3307" t="s">
        <v>9600</v>
      </c>
      <c r="D3307" t="s">
        <v>35</v>
      </c>
      <c r="E3307" t="s">
        <v>28</v>
      </c>
      <c r="F3307" t="s">
        <v>17</v>
      </c>
      <c r="G3307" t="s">
        <v>19</v>
      </c>
      <c r="H3307">
        <f>Cleaned_Data!K3307</f>
        <v>35.97</v>
      </c>
      <c r="I3307" t="str">
        <f t="shared" si="153"/>
        <v>YES</v>
      </c>
      <c r="J3307">
        <f>Cleaned_Data!J3307</f>
        <v>48</v>
      </c>
      <c r="K3307" t="str">
        <f t="shared" si="154"/>
        <v>2024-12</v>
      </c>
      <c r="L3307">
        <f t="shared" si="155"/>
        <v>0</v>
      </c>
    </row>
    <row r="3308" spans="1:12">
      <c r="A3308" t="s">
        <v>9601</v>
      </c>
      <c r="B3308" t="s">
        <v>9602</v>
      </c>
      <c r="C3308" t="s">
        <v>9603</v>
      </c>
      <c r="D3308" t="s">
        <v>15</v>
      </c>
      <c r="E3308" t="s">
        <v>28</v>
      </c>
      <c r="F3308" t="s">
        <v>41</v>
      </c>
      <c r="G3308" t="s">
        <v>19</v>
      </c>
      <c r="H3308">
        <f>Cleaned_Data!K3308</f>
        <v>824</v>
      </c>
      <c r="I3308" t="str">
        <f t="shared" si="153"/>
        <v>NO</v>
      </c>
      <c r="J3308">
        <f>Cleaned_Data!J3308</f>
        <v>8</v>
      </c>
      <c r="K3308" t="str">
        <f t="shared" si="154"/>
        <v>2024-03</v>
      </c>
      <c r="L3308">
        <f t="shared" si="155"/>
        <v>816</v>
      </c>
    </row>
    <row r="3309" spans="1:12">
      <c r="A3309" t="s">
        <v>9604</v>
      </c>
      <c r="B3309" t="s">
        <v>9605</v>
      </c>
      <c r="C3309" t="s">
        <v>9606</v>
      </c>
      <c r="D3309" t="s">
        <v>23</v>
      </c>
      <c r="E3309" t="s">
        <v>59</v>
      </c>
      <c r="F3309" t="s">
        <v>41</v>
      </c>
      <c r="G3309" t="s">
        <v>19</v>
      </c>
      <c r="H3309">
        <f>Cleaned_Data!K3309</f>
        <v>38.24</v>
      </c>
      <c r="I3309" t="str">
        <f t="shared" si="153"/>
        <v>NO</v>
      </c>
      <c r="J3309">
        <f>Cleaned_Data!J3309</f>
        <v>24</v>
      </c>
      <c r="K3309" t="str">
        <f t="shared" si="154"/>
        <v>2024-11</v>
      </c>
      <c r="L3309">
        <f t="shared" si="155"/>
        <v>14.240000000000002</v>
      </c>
    </row>
    <row r="3310" spans="1:12">
      <c r="A3310" t="s">
        <v>9607</v>
      </c>
      <c r="B3310" t="s">
        <v>9608</v>
      </c>
      <c r="C3310" t="s">
        <v>9609</v>
      </c>
      <c r="D3310" t="s">
        <v>23</v>
      </c>
      <c r="E3310" t="s">
        <v>28</v>
      </c>
      <c r="F3310" t="s">
        <v>29</v>
      </c>
      <c r="G3310" t="s">
        <v>19</v>
      </c>
      <c r="H3310">
        <f>Cleaned_Data!K3310</f>
        <v>9.23</v>
      </c>
      <c r="I3310" t="str">
        <f t="shared" si="153"/>
        <v>YES</v>
      </c>
      <c r="J3310">
        <f>Cleaned_Data!J3310</f>
        <v>24</v>
      </c>
      <c r="K3310" t="str">
        <f t="shared" si="154"/>
        <v>2024-03</v>
      </c>
      <c r="L3310">
        <f t="shared" si="155"/>
        <v>0</v>
      </c>
    </row>
    <row r="3311" spans="1:12">
      <c r="A3311" t="s">
        <v>9610</v>
      </c>
      <c r="B3311" t="s">
        <v>9611</v>
      </c>
      <c r="C3311" t="s">
        <v>9612</v>
      </c>
      <c r="D3311" t="s">
        <v>23</v>
      </c>
      <c r="E3311" t="s">
        <v>24</v>
      </c>
      <c r="F3311" t="s">
        <v>41</v>
      </c>
      <c r="G3311" t="s">
        <v>31</v>
      </c>
      <c r="H3311">
        <f>Cleaned_Data!K3311</f>
        <v>16.87</v>
      </c>
      <c r="I3311" t="str">
        <f t="shared" si="153"/>
        <v>YES</v>
      </c>
      <c r="J3311">
        <f>Cleaned_Data!J3311</f>
        <v>24</v>
      </c>
      <c r="K3311" t="str">
        <f t="shared" si="154"/>
        <v>2024-05</v>
      </c>
      <c r="L3311">
        <f t="shared" si="155"/>
        <v>0</v>
      </c>
    </row>
    <row r="3312" spans="1:12">
      <c r="A3312" t="s">
        <v>9613</v>
      </c>
      <c r="B3312" t="s">
        <v>9614</v>
      </c>
      <c r="C3312" t="s">
        <v>9615</v>
      </c>
      <c r="D3312" t="s">
        <v>35</v>
      </c>
      <c r="E3312" t="s">
        <v>16</v>
      </c>
      <c r="F3312" t="s">
        <v>41</v>
      </c>
      <c r="G3312" t="s">
        <v>19</v>
      </c>
      <c r="H3312">
        <f>Cleaned_Data!K3312</f>
        <v>16.079999999999998</v>
      </c>
      <c r="I3312" t="str">
        <f t="shared" si="153"/>
        <v>YES</v>
      </c>
      <c r="J3312">
        <f>Cleaned_Data!J3312</f>
        <v>48</v>
      </c>
      <c r="K3312" t="str">
        <f t="shared" si="154"/>
        <v>2024-03</v>
      </c>
      <c r="L3312">
        <f t="shared" si="155"/>
        <v>0</v>
      </c>
    </row>
    <row r="3313" spans="1:12">
      <c r="A3313" t="s">
        <v>9616</v>
      </c>
      <c r="B3313" t="s">
        <v>9617</v>
      </c>
      <c r="C3313" t="s">
        <v>9618</v>
      </c>
      <c r="D3313" t="s">
        <v>23</v>
      </c>
      <c r="E3313" t="s">
        <v>28</v>
      </c>
      <c r="F3313" t="s">
        <v>60</v>
      </c>
      <c r="G3313" t="s">
        <v>31</v>
      </c>
      <c r="H3313">
        <f>Cleaned_Data!K3313</f>
        <v>32.520000000000003</v>
      </c>
      <c r="I3313" t="str">
        <f t="shared" si="153"/>
        <v>NO</v>
      </c>
      <c r="J3313">
        <f>Cleaned_Data!J3313</f>
        <v>24</v>
      </c>
      <c r="K3313" t="str">
        <f t="shared" si="154"/>
        <v>2024-01</v>
      </c>
      <c r="L3313">
        <f t="shared" si="155"/>
        <v>8.5200000000000031</v>
      </c>
    </row>
    <row r="3314" spans="1:12">
      <c r="A3314" t="s">
        <v>9619</v>
      </c>
      <c r="B3314" t="s">
        <v>9620</v>
      </c>
      <c r="C3314" t="s">
        <v>9621</v>
      </c>
      <c r="D3314" t="s">
        <v>15</v>
      </c>
      <c r="E3314" t="s">
        <v>16</v>
      </c>
      <c r="F3314" t="s">
        <v>36</v>
      </c>
      <c r="G3314" t="s">
        <v>31</v>
      </c>
      <c r="H3314">
        <f>Cleaned_Data!K3314</f>
        <v>3.08</v>
      </c>
      <c r="I3314" t="str">
        <f t="shared" si="153"/>
        <v>YES</v>
      </c>
      <c r="J3314">
        <f>Cleaned_Data!J3314</f>
        <v>8</v>
      </c>
      <c r="K3314" t="str">
        <f t="shared" si="154"/>
        <v>2024-10</v>
      </c>
      <c r="L3314">
        <f t="shared" si="155"/>
        <v>0</v>
      </c>
    </row>
    <row r="3315" spans="1:12">
      <c r="A3315" t="s">
        <v>9622</v>
      </c>
      <c r="B3315" t="s">
        <v>9623</v>
      </c>
      <c r="C3315" t="s">
        <v>9624</v>
      </c>
      <c r="D3315" t="s">
        <v>23</v>
      </c>
      <c r="E3315" t="s">
        <v>28</v>
      </c>
      <c r="F3315" t="s">
        <v>29</v>
      </c>
      <c r="G3315" t="s">
        <v>19</v>
      </c>
      <c r="H3315">
        <f>Cleaned_Data!K3315</f>
        <v>53.81</v>
      </c>
      <c r="I3315" t="str">
        <f t="shared" si="153"/>
        <v>NO</v>
      </c>
      <c r="J3315">
        <f>Cleaned_Data!J3315</f>
        <v>24</v>
      </c>
      <c r="K3315" t="str">
        <f t="shared" si="154"/>
        <v>2024-06</v>
      </c>
      <c r="L3315">
        <f t="shared" si="155"/>
        <v>29.810000000000002</v>
      </c>
    </row>
    <row r="3316" spans="1:12">
      <c r="A3316" t="s">
        <v>9625</v>
      </c>
      <c r="B3316" t="s">
        <v>9626</v>
      </c>
      <c r="C3316" t="s">
        <v>9627</v>
      </c>
      <c r="D3316" t="s">
        <v>23</v>
      </c>
      <c r="E3316" t="s">
        <v>59</v>
      </c>
      <c r="F3316" t="s">
        <v>36</v>
      </c>
      <c r="G3316" t="s">
        <v>31</v>
      </c>
      <c r="H3316">
        <f>Cleaned_Data!K3316</f>
        <v>17.420000000000002</v>
      </c>
      <c r="I3316" t="str">
        <f t="shared" si="153"/>
        <v>YES</v>
      </c>
      <c r="J3316">
        <f>Cleaned_Data!J3316</f>
        <v>24</v>
      </c>
      <c r="K3316" t="str">
        <f t="shared" si="154"/>
        <v>2024-08</v>
      </c>
      <c r="L3316">
        <f t="shared" si="155"/>
        <v>0</v>
      </c>
    </row>
    <row r="3317" spans="1:12">
      <c r="A3317" t="s">
        <v>9628</v>
      </c>
      <c r="B3317" t="s">
        <v>9629</v>
      </c>
      <c r="C3317" t="s">
        <v>9630</v>
      </c>
      <c r="D3317" t="s">
        <v>35</v>
      </c>
      <c r="E3317" t="s">
        <v>28</v>
      </c>
      <c r="F3317" t="s">
        <v>17</v>
      </c>
      <c r="G3317" t="s">
        <v>19</v>
      </c>
      <c r="H3317">
        <f>Cleaned_Data!K3317</f>
        <v>28.28</v>
      </c>
      <c r="I3317" t="str">
        <f t="shared" si="153"/>
        <v>YES</v>
      </c>
      <c r="J3317">
        <f>Cleaned_Data!J3317</f>
        <v>48</v>
      </c>
      <c r="K3317" t="str">
        <f t="shared" si="154"/>
        <v>2024-01</v>
      </c>
      <c r="L3317">
        <f t="shared" si="155"/>
        <v>0</v>
      </c>
    </row>
    <row r="3318" spans="1:12">
      <c r="A3318" t="s">
        <v>9631</v>
      </c>
      <c r="B3318" t="s">
        <v>9632</v>
      </c>
      <c r="C3318" t="s">
        <v>9633</v>
      </c>
      <c r="D3318" t="s">
        <v>15</v>
      </c>
      <c r="E3318" t="s">
        <v>28</v>
      </c>
      <c r="F3318" t="s">
        <v>17</v>
      </c>
      <c r="G3318" t="s">
        <v>19</v>
      </c>
      <c r="H3318">
        <f>Cleaned_Data!K3318</f>
        <v>5.87</v>
      </c>
      <c r="I3318" t="str">
        <f t="shared" si="153"/>
        <v>YES</v>
      </c>
      <c r="J3318">
        <f>Cleaned_Data!J3318</f>
        <v>8</v>
      </c>
      <c r="K3318" t="str">
        <f t="shared" si="154"/>
        <v>2024-03</v>
      </c>
      <c r="L3318">
        <f t="shared" si="155"/>
        <v>0</v>
      </c>
    </row>
    <row r="3319" spans="1:12">
      <c r="A3319" t="s">
        <v>9634</v>
      </c>
      <c r="B3319" t="s">
        <v>9635</v>
      </c>
      <c r="C3319" t="s">
        <v>9636</v>
      </c>
      <c r="D3319" t="s">
        <v>23</v>
      </c>
      <c r="E3319" t="s">
        <v>28</v>
      </c>
      <c r="F3319" t="s">
        <v>41</v>
      </c>
      <c r="G3319" t="s">
        <v>19</v>
      </c>
      <c r="H3319">
        <f>Cleaned_Data!K3319</f>
        <v>18.03</v>
      </c>
      <c r="I3319" t="str">
        <f t="shared" si="153"/>
        <v>YES</v>
      </c>
      <c r="J3319">
        <f>Cleaned_Data!J3319</f>
        <v>24</v>
      </c>
      <c r="K3319" t="str">
        <f t="shared" si="154"/>
        <v>2024-09</v>
      </c>
      <c r="L3319">
        <f t="shared" si="155"/>
        <v>0</v>
      </c>
    </row>
    <row r="3320" spans="1:12">
      <c r="A3320" t="s">
        <v>9637</v>
      </c>
      <c r="B3320" t="s">
        <v>9638</v>
      </c>
      <c r="C3320" t="s">
        <v>9639</v>
      </c>
      <c r="D3320" t="s">
        <v>158</v>
      </c>
      <c r="E3320" t="s">
        <v>24</v>
      </c>
      <c r="F3320" t="s">
        <v>60</v>
      </c>
      <c r="G3320" t="s">
        <v>19</v>
      </c>
      <c r="H3320">
        <f>Cleaned_Data!K3320</f>
        <v>1.07</v>
      </c>
      <c r="I3320" t="str">
        <f t="shared" si="153"/>
        <v>YES</v>
      </c>
      <c r="J3320">
        <f>Cleaned_Data!J3320</f>
        <v>4</v>
      </c>
      <c r="K3320" t="str">
        <f t="shared" si="154"/>
        <v>2024-09</v>
      </c>
      <c r="L3320">
        <f t="shared" si="155"/>
        <v>0</v>
      </c>
    </row>
    <row r="3321" spans="1:12">
      <c r="A3321" t="s">
        <v>9640</v>
      </c>
      <c r="B3321" t="s">
        <v>9641</v>
      </c>
      <c r="C3321" t="s">
        <v>9642</v>
      </c>
      <c r="D3321" t="s">
        <v>158</v>
      </c>
      <c r="E3321" t="s">
        <v>16</v>
      </c>
      <c r="F3321" t="s">
        <v>17</v>
      </c>
      <c r="G3321" t="s">
        <v>31</v>
      </c>
      <c r="H3321">
        <f>Cleaned_Data!K3321</f>
        <v>3.4</v>
      </c>
      <c r="I3321" t="str">
        <f t="shared" si="153"/>
        <v>YES</v>
      </c>
      <c r="J3321">
        <f>Cleaned_Data!J3321</f>
        <v>4</v>
      </c>
      <c r="K3321" t="str">
        <f t="shared" si="154"/>
        <v>2024-01</v>
      </c>
      <c r="L3321">
        <f t="shared" si="155"/>
        <v>0</v>
      </c>
    </row>
    <row r="3322" spans="1:12">
      <c r="A3322" t="s">
        <v>9643</v>
      </c>
      <c r="B3322" t="s">
        <v>9644</v>
      </c>
      <c r="C3322" t="s">
        <v>9645</v>
      </c>
      <c r="D3322" t="s">
        <v>23</v>
      </c>
      <c r="E3322" t="s">
        <v>59</v>
      </c>
      <c r="F3322" t="s">
        <v>29</v>
      </c>
      <c r="G3322" t="s">
        <v>19</v>
      </c>
      <c r="H3322">
        <f>Cleaned_Data!K3322</f>
        <v>41.35</v>
      </c>
      <c r="I3322" t="str">
        <f t="shared" si="153"/>
        <v>NO</v>
      </c>
      <c r="J3322">
        <f>Cleaned_Data!J3322</f>
        <v>24</v>
      </c>
      <c r="K3322" t="str">
        <f t="shared" si="154"/>
        <v>2024-10</v>
      </c>
      <c r="L3322">
        <f t="shared" si="155"/>
        <v>17.350000000000001</v>
      </c>
    </row>
    <row r="3323" spans="1:12">
      <c r="A3323" t="s">
        <v>9646</v>
      </c>
      <c r="B3323" t="s">
        <v>9647</v>
      </c>
      <c r="C3323" t="s">
        <v>9648</v>
      </c>
      <c r="D3323" t="s">
        <v>23</v>
      </c>
      <c r="E3323" t="s">
        <v>28</v>
      </c>
      <c r="F3323" t="s">
        <v>41</v>
      </c>
      <c r="G3323" t="s">
        <v>31</v>
      </c>
      <c r="H3323">
        <f>Cleaned_Data!K3323</f>
        <v>63.8</v>
      </c>
      <c r="I3323" t="str">
        <f t="shared" si="153"/>
        <v>NO</v>
      </c>
      <c r="J3323">
        <f>Cleaned_Data!J3323</f>
        <v>24</v>
      </c>
      <c r="K3323" t="str">
        <f t="shared" si="154"/>
        <v>2024-12</v>
      </c>
      <c r="L3323">
        <f t="shared" si="155"/>
        <v>39.799999999999997</v>
      </c>
    </row>
    <row r="3324" spans="1:12">
      <c r="A3324" t="s">
        <v>9649</v>
      </c>
      <c r="B3324" t="s">
        <v>9650</v>
      </c>
      <c r="C3324" t="s">
        <v>9651</v>
      </c>
      <c r="D3324" t="s">
        <v>15</v>
      </c>
      <c r="E3324" t="s">
        <v>24</v>
      </c>
      <c r="F3324" t="s">
        <v>29</v>
      </c>
      <c r="G3324" t="s">
        <v>19</v>
      </c>
      <c r="H3324">
        <f>Cleaned_Data!K3324</f>
        <v>21.7</v>
      </c>
      <c r="I3324" t="str">
        <f t="shared" si="153"/>
        <v>NO</v>
      </c>
      <c r="J3324">
        <f>Cleaned_Data!J3324</f>
        <v>8</v>
      </c>
      <c r="K3324" t="str">
        <f t="shared" si="154"/>
        <v>2024-09</v>
      </c>
      <c r="L3324">
        <f t="shared" si="155"/>
        <v>13.7</v>
      </c>
    </row>
    <row r="3325" spans="1:12">
      <c r="A3325" t="s">
        <v>9652</v>
      </c>
      <c r="B3325" t="s">
        <v>9653</v>
      </c>
      <c r="C3325" t="s">
        <v>9654</v>
      </c>
      <c r="D3325" t="s">
        <v>158</v>
      </c>
      <c r="E3325" t="s">
        <v>54</v>
      </c>
      <c r="F3325" t="s">
        <v>17</v>
      </c>
      <c r="G3325" t="s">
        <v>19</v>
      </c>
      <c r="H3325">
        <f>Cleaned_Data!K3325</f>
        <v>7.39</v>
      </c>
      <c r="I3325" t="str">
        <f t="shared" si="153"/>
        <v>NO</v>
      </c>
      <c r="J3325">
        <f>Cleaned_Data!J3325</f>
        <v>4</v>
      </c>
      <c r="K3325" t="str">
        <f t="shared" si="154"/>
        <v>2024-08</v>
      </c>
      <c r="L3325">
        <f t="shared" si="155"/>
        <v>3.3899999999999997</v>
      </c>
    </row>
    <row r="3326" spans="1:12">
      <c r="A3326" t="s">
        <v>9655</v>
      </c>
      <c r="B3326" t="s">
        <v>9656</v>
      </c>
      <c r="C3326" t="s">
        <v>9657</v>
      </c>
      <c r="D3326" t="s">
        <v>23</v>
      </c>
      <c r="E3326" t="s">
        <v>16</v>
      </c>
      <c r="F3326" t="s">
        <v>29</v>
      </c>
      <c r="G3326" t="s">
        <v>19</v>
      </c>
      <c r="H3326">
        <f>Cleaned_Data!K3326</f>
        <v>66.36</v>
      </c>
      <c r="I3326" t="str">
        <f t="shared" si="153"/>
        <v>NO</v>
      </c>
      <c r="J3326">
        <f>Cleaned_Data!J3326</f>
        <v>24</v>
      </c>
      <c r="K3326" t="str">
        <f t="shared" si="154"/>
        <v>2024-12</v>
      </c>
      <c r="L3326">
        <f t="shared" si="155"/>
        <v>42.36</v>
      </c>
    </row>
    <row r="3327" spans="1:12">
      <c r="A3327" t="s">
        <v>9658</v>
      </c>
      <c r="B3327" t="s">
        <v>9659</v>
      </c>
      <c r="C3327" t="s">
        <v>9660</v>
      </c>
      <c r="D3327" t="s">
        <v>23</v>
      </c>
      <c r="E3327" t="s">
        <v>16</v>
      </c>
      <c r="F3327" t="s">
        <v>17</v>
      </c>
      <c r="G3327" t="s">
        <v>19</v>
      </c>
      <c r="H3327">
        <f>Cleaned_Data!K3327</f>
        <v>12.54</v>
      </c>
      <c r="I3327" t="str">
        <f t="shared" si="153"/>
        <v>YES</v>
      </c>
      <c r="J3327">
        <f>Cleaned_Data!J3327</f>
        <v>24</v>
      </c>
      <c r="K3327" t="str">
        <f t="shared" si="154"/>
        <v>2024-05</v>
      </c>
      <c r="L3327">
        <f t="shared" si="155"/>
        <v>0</v>
      </c>
    </row>
    <row r="3328" spans="1:12">
      <c r="A3328" t="s">
        <v>9661</v>
      </c>
      <c r="B3328" t="s">
        <v>9662</v>
      </c>
      <c r="C3328" t="s">
        <v>9663</v>
      </c>
      <c r="D3328" t="s">
        <v>23</v>
      </c>
      <c r="E3328" t="s">
        <v>24</v>
      </c>
      <c r="F3328" t="s">
        <v>17</v>
      </c>
      <c r="G3328" t="s">
        <v>19</v>
      </c>
      <c r="H3328">
        <f>Cleaned_Data!K3328</f>
        <v>21.62</v>
      </c>
      <c r="I3328" t="str">
        <f t="shared" si="153"/>
        <v>YES</v>
      </c>
      <c r="J3328">
        <f>Cleaned_Data!J3328</f>
        <v>24</v>
      </c>
      <c r="K3328" t="str">
        <f t="shared" si="154"/>
        <v>2024-05</v>
      </c>
      <c r="L3328">
        <f t="shared" si="155"/>
        <v>0</v>
      </c>
    </row>
    <row r="3329" spans="1:12">
      <c r="A3329" t="s">
        <v>9664</v>
      </c>
      <c r="B3329" t="s">
        <v>9665</v>
      </c>
      <c r="C3329" t="s">
        <v>9666</v>
      </c>
      <c r="D3329" t="s">
        <v>23</v>
      </c>
      <c r="E3329" t="s">
        <v>28</v>
      </c>
      <c r="F3329" t="s">
        <v>41</v>
      </c>
      <c r="G3329" t="s">
        <v>19</v>
      </c>
      <c r="H3329">
        <f>Cleaned_Data!K3329</f>
        <v>19.38</v>
      </c>
      <c r="I3329" t="str">
        <f t="shared" si="153"/>
        <v>YES</v>
      </c>
      <c r="J3329">
        <f>Cleaned_Data!J3329</f>
        <v>24</v>
      </c>
      <c r="K3329" t="str">
        <f t="shared" si="154"/>
        <v>2024-07</v>
      </c>
      <c r="L3329">
        <f t="shared" si="155"/>
        <v>0</v>
      </c>
    </row>
    <row r="3330" spans="1:12">
      <c r="A3330" t="s">
        <v>9667</v>
      </c>
      <c r="B3330" t="s">
        <v>9668</v>
      </c>
      <c r="C3330" t="s">
        <v>9669</v>
      </c>
      <c r="D3330" t="s">
        <v>15</v>
      </c>
      <c r="E3330" t="s">
        <v>54</v>
      </c>
      <c r="F3330" t="s">
        <v>60</v>
      </c>
      <c r="G3330" t="s">
        <v>31</v>
      </c>
      <c r="H3330">
        <f>Cleaned_Data!K3330</f>
        <v>4.2300000000000004</v>
      </c>
      <c r="I3330" t="str">
        <f t="shared" ref="I3330:I3393" si="156">IF(OR(G3330="Resolved", G3330="Closed"), IF(AND(H3330&lt;&gt;"", H3330&lt;=J3330), "YES", "NO"), "")</f>
        <v>YES</v>
      </c>
      <c r="J3330">
        <f>Cleaned_Data!J3330</f>
        <v>8</v>
      </c>
      <c r="K3330" t="str">
        <f t="shared" ref="K3330:K3393" si="157">LEFT(B3330, 7)</f>
        <v>2024-11</v>
      </c>
      <c r="L3330">
        <f t="shared" ref="L3330:L3393" si="158">IF(I3330="NO", H3330-J3330, 0)</f>
        <v>0</v>
      </c>
    </row>
    <row r="3331" spans="1:12">
      <c r="A3331" t="s">
        <v>9670</v>
      </c>
      <c r="B3331" t="s">
        <v>9671</v>
      </c>
      <c r="C3331" t="s">
        <v>9672</v>
      </c>
      <c r="D3331" t="s">
        <v>23</v>
      </c>
      <c r="E3331" t="s">
        <v>24</v>
      </c>
      <c r="F3331" t="s">
        <v>29</v>
      </c>
      <c r="G3331" t="s">
        <v>19</v>
      </c>
      <c r="H3331">
        <f>Cleaned_Data!K3331</f>
        <v>18.329999999999998</v>
      </c>
      <c r="I3331" t="str">
        <f t="shared" si="156"/>
        <v>YES</v>
      </c>
      <c r="J3331">
        <f>Cleaned_Data!J3331</f>
        <v>24</v>
      </c>
      <c r="K3331" t="str">
        <f t="shared" si="157"/>
        <v>2024-05</v>
      </c>
      <c r="L3331">
        <f t="shared" si="158"/>
        <v>0</v>
      </c>
    </row>
    <row r="3332" spans="1:12">
      <c r="A3332" t="s">
        <v>9673</v>
      </c>
      <c r="B3332" t="s">
        <v>9674</v>
      </c>
      <c r="C3332" t="s">
        <v>9675</v>
      </c>
      <c r="D3332" t="s">
        <v>15</v>
      </c>
      <c r="E3332" t="s">
        <v>59</v>
      </c>
      <c r="F3332" t="s">
        <v>60</v>
      </c>
      <c r="G3332" t="s">
        <v>19</v>
      </c>
      <c r="H3332">
        <f>Cleaned_Data!K3332</f>
        <v>5.97</v>
      </c>
      <c r="I3332" t="str">
        <f t="shared" si="156"/>
        <v>YES</v>
      </c>
      <c r="J3332">
        <f>Cleaned_Data!J3332</f>
        <v>8</v>
      </c>
      <c r="K3332" t="str">
        <f t="shared" si="157"/>
        <v>2024-09</v>
      </c>
      <c r="L3332">
        <f t="shared" si="158"/>
        <v>0</v>
      </c>
    </row>
    <row r="3333" spans="1:12">
      <c r="A3333" t="s">
        <v>9676</v>
      </c>
      <c r="B3333" t="s">
        <v>9677</v>
      </c>
      <c r="C3333" t="s">
        <v>9678</v>
      </c>
      <c r="D3333" t="s">
        <v>15</v>
      </c>
      <c r="E3333" t="s">
        <v>54</v>
      </c>
      <c r="F3333" t="s">
        <v>29</v>
      </c>
      <c r="G3333" t="s">
        <v>19</v>
      </c>
      <c r="H3333">
        <f>Cleaned_Data!K3333</f>
        <v>6.1</v>
      </c>
      <c r="I3333" t="str">
        <f t="shared" si="156"/>
        <v>YES</v>
      </c>
      <c r="J3333">
        <f>Cleaned_Data!J3333</f>
        <v>8</v>
      </c>
      <c r="K3333" t="str">
        <f t="shared" si="157"/>
        <v>2024-09</v>
      </c>
      <c r="L3333">
        <f t="shared" si="158"/>
        <v>0</v>
      </c>
    </row>
    <row r="3334" spans="1:12">
      <c r="A3334" t="s">
        <v>9679</v>
      </c>
      <c r="B3334" t="s">
        <v>9680</v>
      </c>
      <c r="C3334" t="s">
        <v>9681</v>
      </c>
      <c r="D3334" t="s">
        <v>23</v>
      </c>
      <c r="E3334" t="s">
        <v>28</v>
      </c>
      <c r="F3334" t="s">
        <v>29</v>
      </c>
      <c r="G3334" t="s">
        <v>31</v>
      </c>
      <c r="H3334">
        <f>Cleaned_Data!K3334</f>
        <v>16.850000000000001</v>
      </c>
      <c r="I3334" t="str">
        <f t="shared" si="156"/>
        <v>YES</v>
      </c>
      <c r="J3334">
        <f>Cleaned_Data!J3334</f>
        <v>24</v>
      </c>
      <c r="K3334" t="str">
        <f t="shared" si="157"/>
        <v>2024-01</v>
      </c>
      <c r="L3334">
        <f t="shared" si="158"/>
        <v>0</v>
      </c>
    </row>
    <row r="3335" spans="1:12">
      <c r="A3335" t="s">
        <v>9682</v>
      </c>
      <c r="B3335" t="s">
        <v>9683</v>
      </c>
      <c r="C3335" t="s">
        <v>9684</v>
      </c>
      <c r="D3335" t="s">
        <v>15</v>
      </c>
      <c r="E3335" t="s">
        <v>16</v>
      </c>
      <c r="F3335" t="s">
        <v>60</v>
      </c>
      <c r="G3335" t="s">
        <v>31</v>
      </c>
      <c r="H3335">
        <f>Cleaned_Data!K3335</f>
        <v>6.65</v>
      </c>
      <c r="I3335" t="str">
        <f t="shared" si="156"/>
        <v>YES</v>
      </c>
      <c r="J3335">
        <f>Cleaned_Data!J3335</f>
        <v>8</v>
      </c>
      <c r="K3335" t="str">
        <f t="shared" si="157"/>
        <v>2024-04</v>
      </c>
      <c r="L3335">
        <f t="shared" si="158"/>
        <v>0</v>
      </c>
    </row>
    <row r="3336" spans="1:12">
      <c r="A3336" t="s">
        <v>9685</v>
      </c>
      <c r="B3336" t="s">
        <v>9686</v>
      </c>
      <c r="C3336" t="s">
        <v>9687</v>
      </c>
      <c r="D3336" t="s">
        <v>35</v>
      </c>
      <c r="E3336" t="s">
        <v>16</v>
      </c>
      <c r="F3336" t="s">
        <v>60</v>
      </c>
      <c r="G3336" t="s">
        <v>31</v>
      </c>
      <c r="H3336">
        <f>Cleaned_Data!K3336</f>
        <v>55.43</v>
      </c>
      <c r="I3336" t="str">
        <f t="shared" si="156"/>
        <v>NO</v>
      </c>
      <c r="J3336">
        <f>Cleaned_Data!J3336</f>
        <v>48</v>
      </c>
      <c r="K3336" t="str">
        <f t="shared" si="157"/>
        <v>2024-03</v>
      </c>
      <c r="L3336">
        <f t="shared" si="158"/>
        <v>7.43</v>
      </c>
    </row>
    <row r="3337" spans="1:12">
      <c r="A3337" t="s">
        <v>9688</v>
      </c>
      <c r="B3337" t="s">
        <v>9689</v>
      </c>
      <c r="C3337" t="s">
        <v>9690</v>
      </c>
      <c r="D3337" t="s">
        <v>15</v>
      </c>
      <c r="E3337" t="s">
        <v>16</v>
      </c>
      <c r="F3337" t="s">
        <v>29</v>
      </c>
      <c r="G3337" t="s">
        <v>19</v>
      </c>
      <c r="H3337">
        <f>Cleaned_Data!K3337</f>
        <v>1.65</v>
      </c>
      <c r="I3337" t="str">
        <f t="shared" si="156"/>
        <v>YES</v>
      </c>
      <c r="J3337">
        <f>Cleaned_Data!J3337</f>
        <v>8</v>
      </c>
      <c r="K3337" t="str">
        <f t="shared" si="157"/>
        <v>2024-09</v>
      </c>
      <c r="L3337">
        <f t="shared" si="158"/>
        <v>0</v>
      </c>
    </row>
    <row r="3338" spans="1:12">
      <c r="A3338" t="s">
        <v>9691</v>
      </c>
      <c r="B3338" t="s">
        <v>9692</v>
      </c>
      <c r="C3338" t="s">
        <v>9693</v>
      </c>
      <c r="D3338" t="s">
        <v>15</v>
      </c>
      <c r="E3338" t="s">
        <v>59</v>
      </c>
      <c r="F3338" t="s">
        <v>29</v>
      </c>
      <c r="G3338" t="s">
        <v>19</v>
      </c>
      <c r="H3338">
        <f>Cleaned_Data!K3338</f>
        <v>2.76</v>
      </c>
      <c r="I3338" t="str">
        <f t="shared" si="156"/>
        <v>YES</v>
      </c>
      <c r="J3338">
        <f>Cleaned_Data!J3338</f>
        <v>8</v>
      </c>
      <c r="K3338" t="str">
        <f t="shared" si="157"/>
        <v>2024-01</v>
      </c>
      <c r="L3338">
        <f t="shared" si="158"/>
        <v>0</v>
      </c>
    </row>
    <row r="3339" spans="1:12">
      <c r="A3339" t="s">
        <v>9694</v>
      </c>
      <c r="B3339" t="s">
        <v>9695</v>
      </c>
      <c r="D3339" t="s">
        <v>23</v>
      </c>
      <c r="E3339" t="s">
        <v>16</v>
      </c>
      <c r="F3339" t="s">
        <v>29</v>
      </c>
      <c r="G3339" t="s">
        <v>63</v>
      </c>
      <c r="H3339">
        <f>Cleaned_Data!K3339</f>
        <v>0</v>
      </c>
      <c r="I3339" t="str">
        <f t="shared" si="156"/>
        <v/>
      </c>
      <c r="J3339">
        <f>Cleaned_Data!J3339</f>
        <v>24</v>
      </c>
      <c r="K3339" t="str">
        <f t="shared" si="157"/>
        <v>2024-04</v>
      </c>
      <c r="L3339">
        <f t="shared" si="158"/>
        <v>0</v>
      </c>
    </row>
    <row r="3340" spans="1:12">
      <c r="A3340" t="s">
        <v>9696</v>
      </c>
      <c r="B3340" t="s">
        <v>9697</v>
      </c>
      <c r="C3340" t="s">
        <v>9698</v>
      </c>
      <c r="D3340" t="s">
        <v>15</v>
      </c>
      <c r="E3340" t="s">
        <v>28</v>
      </c>
      <c r="F3340" t="s">
        <v>17</v>
      </c>
      <c r="G3340" t="s">
        <v>19</v>
      </c>
      <c r="H3340">
        <f>Cleaned_Data!K3340</f>
        <v>18.29</v>
      </c>
      <c r="I3340" t="str">
        <f t="shared" si="156"/>
        <v>NO</v>
      </c>
      <c r="J3340">
        <f>Cleaned_Data!J3340</f>
        <v>8</v>
      </c>
      <c r="K3340" t="str">
        <f t="shared" si="157"/>
        <v>2024-07</v>
      </c>
      <c r="L3340">
        <f t="shared" si="158"/>
        <v>10.29</v>
      </c>
    </row>
    <row r="3341" spans="1:12">
      <c r="A3341" t="s">
        <v>9699</v>
      </c>
      <c r="B3341" t="s">
        <v>9700</v>
      </c>
      <c r="C3341" t="s">
        <v>9701</v>
      </c>
      <c r="D3341" t="s">
        <v>23</v>
      </c>
      <c r="E3341" t="s">
        <v>16</v>
      </c>
      <c r="F3341" t="s">
        <v>29</v>
      </c>
      <c r="G3341" t="s">
        <v>19</v>
      </c>
      <c r="H3341">
        <f>Cleaned_Data!K3341</f>
        <v>5.49</v>
      </c>
      <c r="I3341" t="str">
        <f t="shared" si="156"/>
        <v>YES</v>
      </c>
      <c r="J3341">
        <f>Cleaned_Data!J3341</f>
        <v>24</v>
      </c>
      <c r="K3341" t="str">
        <f t="shared" si="157"/>
        <v>2024-06</v>
      </c>
      <c r="L3341">
        <f t="shared" si="158"/>
        <v>0</v>
      </c>
    </row>
    <row r="3342" spans="1:12">
      <c r="A3342" t="s">
        <v>9702</v>
      </c>
      <c r="B3342" t="s">
        <v>9703</v>
      </c>
      <c r="C3342" t="s">
        <v>9704</v>
      </c>
      <c r="D3342" t="s">
        <v>23</v>
      </c>
      <c r="E3342" t="s">
        <v>16</v>
      </c>
      <c r="F3342" t="s">
        <v>60</v>
      </c>
      <c r="G3342" t="s">
        <v>31</v>
      </c>
      <c r="H3342">
        <f>Cleaned_Data!K3342</f>
        <v>14.27</v>
      </c>
      <c r="I3342" t="str">
        <f t="shared" si="156"/>
        <v>YES</v>
      </c>
      <c r="J3342">
        <f>Cleaned_Data!J3342</f>
        <v>24</v>
      </c>
      <c r="K3342" t="str">
        <f t="shared" si="157"/>
        <v>2024-07</v>
      </c>
      <c r="L3342">
        <f t="shared" si="158"/>
        <v>0</v>
      </c>
    </row>
    <row r="3343" spans="1:12">
      <c r="A3343" t="s">
        <v>9705</v>
      </c>
      <c r="B3343" t="s">
        <v>9706</v>
      </c>
      <c r="D3343" t="s">
        <v>23</v>
      </c>
      <c r="E3343" t="s">
        <v>54</v>
      </c>
      <c r="F3343" t="s">
        <v>41</v>
      </c>
      <c r="G3343" t="s">
        <v>63</v>
      </c>
      <c r="H3343">
        <f>Cleaned_Data!K3343</f>
        <v>0</v>
      </c>
      <c r="I3343" t="str">
        <f t="shared" si="156"/>
        <v/>
      </c>
      <c r="J3343">
        <f>Cleaned_Data!J3343</f>
        <v>24</v>
      </c>
      <c r="K3343" t="str">
        <f t="shared" si="157"/>
        <v>2024-05</v>
      </c>
      <c r="L3343">
        <f t="shared" si="158"/>
        <v>0</v>
      </c>
    </row>
    <row r="3344" spans="1:12">
      <c r="A3344" t="s">
        <v>9707</v>
      </c>
      <c r="B3344" t="s">
        <v>9708</v>
      </c>
      <c r="C3344" t="s">
        <v>9709</v>
      </c>
      <c r="D3344" t="s">
        <v>23</v>
      </c>
      <c r="E3344" t="s">
        <v>28</v>
      </c>
      <c r="F3344" t="s">
        <v>17</v>
      </c>
      <c r="G3344" t="s">
        <v>31</v>
      </c>
      <c r="H3344">
        <f>Cleaned_Data!K3344</f>
        <v>15.46</v>
      </c>
      <c r="I3344" t="str">
        <f t="shared" si="156"/>
        <v>YES</v>
      </c>
      <c r="J3344">
        <f>Cleaned_Data!J3344</f>
        <v>24</v>
      </c>
      <c r="K3344" t="str">
        <f t="shared" si="157"/>
        <v>2024-02</v>
      </c>
      <c r="L3344">
        <f t="shared" si="158"/>
        <v>0</v>
      </c>
    </row>
    <row r="3345" spans="1:12">
      <c r="A3345" t="s">
        <v>9710</v>
      </c>
      <c r="B3345" t="s">
        <v>9711</v>
      </c>
      <c r="C3345" t="s">
        <v>9712</v>
      </c>
      <c r="D3345" t="s">
        <v>15</v>
      </c>
      <c r="E3345" t="s">
        <v>28</v>
      </c>
      <c r="F3345" t="s">
        <v>29</v>
      </c>
      <c r="G3345" t="s">
        <v>19</v>
      </c>
      <c r="H3345">
        <f>Cleaned_Data!K3345</f>
        <v>1.49</v>
      </c>
      <c r="I3345" t="str">
        <f t="shared" si="156"/>
        <v>YES</v>
      </c>
      <c r="J3345">
        <f>Cleaned_Data!J3345</f>
        <v>8</v>
      </c>
      <c r="K3345" t="str">
        <f t="shared" si="157"/>
        <v>2024-06</v>
      </c>
      <c r="L3345">
        <f t="shared" si="158"/>
        <v>0</v>
      </c>
    </row>
    <row r="3346" spans="1:12">
      <c r="A3346" t="s">
        <v>9713</v>
      </c>
      <c r="B3346" t="s">
        <v>9714</v>
      </c>
      <c r="C3346" t="s">
        <v>9715</v>
      </c>
      <c r="D3346" t="s">
        <v>35</v>
      </c>
      <c r="E3346" t="s">
        <v>28</v>
      </c>
      <c r="F3346" t="s">
        <v>36</v>
      </c>
      <c r="G3346" t="s">
        <v>31</v>
      </c>
      <c r="H3346">
        <f>Cleaned_Data!K3346</f>
        <v>28.87</v>
      </c>
      <c r="I3346" t="str">
        <f t="shared" si="156"/>
        <v>YES</v>
      </c>
      <c r="J3346">
        <f>Cleaned_Data!J3346</f>
        <v>48</v>
      </c>
      <c r="K3346" t="str">
        <f t="shared" si="157"/>
        <v>2024-08</v>
      </c>
      <c r="L3346">
        <f t="shared" si="158"/>
        <v>0</v>
      </c>
    </row>
    <row r="3347" spans="1:12">
      <c r="A3347" t="s">
        <v>9716</v>
      </c>
      <c r="B3347" t="s">
        <v>9717</v>
      </c>
      <c r="C3347" t="s">
        <v>9718</v>
      </c>
      <c r="D3347" t="s">
        <v>35</v>
      </c>
      <c r="E3347" t="s">
        <v>28</v>
      </c>
      <c r="F3347" t="s">
        <v>29</v>
      </c>
      <c r="G3347" t="s">
        <v>31</v>
      </c>
      <c r="H3347">
        <f>Cleaned_Data!K3347</f>
        <v>28.13</v>
      </c>
      <c r="I3347" t="str">
        <f t="shared" si="156"/>
        <v>YES</v>
      </c>
      <c r="J3347">
        <f>Cleaned_Data!J3347</f>
        <v>48</v>
      </c>
      <c r="K3347" t="str">
        <f t="shared" si="157"/>
        <v>2024-11</v>
      </c>
      <c r="L3347">
        <f t="shared" si="158"/>
        <v>0</v>
      </c>
    </row>
    <row r="3348" spans="1:12">
      <c r="A3348" t="s">
        <v>9719</v>
      </c>
      <c r="B3348" t="s">
        <v>9720</v>
      </c>
      <c r="C3348" t="s">
        <v>9721</v>
      </c>
      <c r="D3348" t="s">
        <v>23</v>
      </c>
      <c r="E3348" t="s">
        <v>28</v>
      </c>
      <c r="F3348" t="s">
        <v>29</v>
      </c>
      <c r="G3348" t="s">
        <v>31</v>
      </c>
      <c r="H3348">
        <f>Cleaned_Data!K3348</f>
        <v>4.9000000000000004</v>
      </c>
      <c r="I3348" t="str">
        <f t="shared" si="156"/>
        <v>YES</v>
      </c>
      <c r="J3348">
        <f>Cleaned_Data!J3348</f>
        <v>24</v>
      </c>
      <c r="K3348" t="str">
        <f t="shared" si="157"/>
        <v>2024-07</v>
      </c>
      <c r="L3348">
        <f t="shared" si="158"/>
        <v>0</v>
      </c>
    </row>
    <row r="3349" spans="1:12">
      <c r="A3349" t="s">
        <v>9722</v>
      </c>
      <c r="B3349" t="s">
        <v>9723</v>
      </c>
      <c r="C3349" t="s">
        <v>9724</v>
      </c>
      <c r="D3349" t="s">
        <v>35</v>
      </c>
      <c r="E3349" t="s">
        <v>24</v>
      </c>
      <c r="F3349" t="s">
        <v>36</v>
      </c>
      <c r="G3349" t="s">
        <v>19</v>
      </c>
      <c r="H3349">
        <f>Cleaned_Data!K3349</f>
        <v>31.69</v>
      </c>
      <c r="I3349" t="str">
        <f t="shared" si="156"/>
        <v>YES</v>
      </c>
      <c r="J3349">
        <f>Cleaned_Data!J3349</f>
        <v>48</v>
      </c>
      <c r="K3349" t="str">
        <f t="shared" si="157"/>
        <v>2024-08</v>
      </c>
      <c r="L3349">
        <f t="shared" si="158"/>
        <v>0</v>
      </c>
    </row>
    <row r="3350" spans="1:12">
      <c r="A3350" t="s">
        <v>9725</v>
      </c>
      <c r="B3350" t="s">
        <v>9726</v>
      </c>
      <c r="C3350" t="s">
        <v>9727</v>
      </c>
      <c r="D3350" t="s">
        <v>23</v>
      </c>
      <c r="E3350" t="s">
        <v>24</v>
      </c>
      <c r="F3350" t="s">
        <v>41</v>
      </c>
      <c r="G3350" t="s">
        <v>31</v>
      </c>
      <c r="H3350">
        <f>Cleaned_Data!K3350</f>
        <v>14.12</v>
      </c>
      <c r="I3350" t="str">
        <f t="shared" si="156"/>
        <v>YES</v>
      </c>
      <c r="J3350">
        <f>Cleaned_Data!J3350</f>
        <v>24</v>
      </c>
      <c r="K3350" t="str">
        <f t="shared" si="157"/>
        <v>2024-02</v>
      </c>
      <c r="L3350">
        <f t="shared" si="158"/>
        <v>0</v>
      </c>
    </row>
    <row r="3351" spans="1:12">
      <c r="A3351" t="s">
        <v>9728</v>
      </c>
      <c r="B3351" t="s">
        <v>9729</v>
      </c>
      <c r="C3351" t="s">
        <v>9730</v>
      </c>
      <c r="D3351" t="s">
        <v>23</v>
      </c>
      <c r="E3351" t="s">
        <v>24</v>
      </c>
      <c r="F3351" t="s">
        <v>60</v>
      </c>
      <c r="G3351" t="s">
        <v>19</v>
      </c>
      <c r="H3351">
        <f>Cleaned_Data!K3351</f>
        <v>20.84</v>
      </c>
      <c r="I3351" t="str">
        <f t="shared" si="156"/>
        <v>YES</v>
      </c>
      <c r="J3351">
        <f>Cleaned_Data!J3351</f>
        <v>24</v>
      </c>
      <c r="K3351" t="str">
        <f t="shared" si="157"/>
        <v>2024-06</v>
      </c>
      <c r="L3351">
        <f t="shared" si="158"/>
        <v>0</v>
      </c>
    </row>
    <row r="3352" spans="1:12">
      <c r="A3352" t="s">
        <v>9731</v>
      </c>
      <c r="B3352" t="s">
        <v>9732</v>
      </c>
      <c r="C3352" t="s">
        <v>9733</v>
      </c>
      <c r="D3352" t="s">
        <v>23</v>
      </c>
      <c r="E3352" t="s">
        <v>54</v>
      </c>
      <c r="F3352" t="s">
        <v>17</v>
      </c>
      <c r="G3352" t="s">
        <v>19</v>
      </c>
      <c r="H3352">
        <f>Cleaned_Data!K3352</f>
        <v>14.34</v>
      </c>
      <c r="I3352" t="str">
        <f t="shared" si="156"/>
        <v>YES</v>
      </c>
      <c r="J3352">
        <f>Cleaned_Data!J3352</f>
        <v>24</v>
      </c>
      <c r="K3352" t="str">
        <f t="shared" si="157"/>
        <v>2024-10</v>
      </c>
      <c r="L3352">
        <f t="shared" si="158"/>
        <v>0</v>
      </c>
    </row>
    <row r="3353" spans="1:12">
      <c r="A3353" t="s">
        <v>9734</v>
      </c>
      <c r="B3353" t="s">
        <v>9735</v>
      </c>
      <c r="D3353" t="s">
        <v>15</v>
      </c>
      <c r="E3353" t="s">
        <v>59</v>
      </c>
      <c r="F3353" t="s">
        <v>41</v>
      </c>
      <c r="G3353" t="s">
        <v>46</v>
      </c>
      <c r="H3353">
        <f>Cleaned_Data!K3353</f>
        <v>0</v>
      </c>
      <c r="I3353" t="str">
        <f t="shared" si="156"/>
        <v/>
      </c>
      <c r="J3353">
        <f>Cleaned_Data!J3353</f>
        <v>8</v>
      </c>
      <c r="K3353" t="str">
        <f t="shared" si="157"/>
        <v>2024-09</v>
      </c>
      <c r="L3353">
        <f t="shared" si="158"/>
        <v>0</v>
      </c>
    </row>
    <row r="3354" spans="1:12">
      <c r="A3354" t="s">
        <v>9736</v>
      </c>
      <c r="B3354" t="s">
        <v>9737</v>
      </c>
      <c r="C3354" t="s">
        <v>9738</v>
      </c>
      <c r="D3354" t="s">
        <v>35</v>
      </c>
      <c r="E3354" t="s">
        <v>16</v>
      </c>
      <c r="F3354" t="s">
        <v>60</v>
      </c>
      <c r="G3354" t="s">
        <v>19</v>
      </c>
      <c r="H3354">
        <f>Cleaned_Data!K3354</f>
        <v>23.34</v>
      </c>
      <c r="I3354" t="str">
        <f t="shared" si="156"/>
        <v>YES</v>
      </c>
      <c r="J3354">
        <f>Cleaned_Data!J3354</f>
        <v>48</v>
      </c>
      <c r="K3354" t="str">
        <f t="shared" si="157"/>
        <v>2024-05</v>
      </c>
      <c r="L3354">
        <f t="shared" si="158"/>
        <v>0</v>
      </c>
    </row>
    <row r="3355" spans="1:12">
      <c r="A3355" t="s">
        <v>9739</v>
      </c>
      <c r="B3355" t="s">
        <v>9740</v>
      </c>
      <c r="D3355" t="s">
        <v>15</v>
      </c>
      <c r="E3355" t="s">
        <v>16</v>
      </c>
      <c r="F3355" t="s">
        <v>17</v>
      </c>
      <c r="G3355" t="s">
        <v>63</v>
      </c>
      <c r="H3355">
        <f>Cleaned_Data!K3355</f>
        <v>0</v>
      </c>
      <c r="I3355" t="str">
        <f t="shared" si="156"/>
        <v/>
      </c>
      <c r="J3355">
        <f>Cleaned_Data!J3355</f>
        <v>8</v>
      </c>
      <c r="K3355" t="str">
        <f t="shared" si="157"/>
        <v>2024-07</v>
      </c>
      <c r="L3355">
        <f t="shared" si="158"/>
        <v>0</v>
      </c>
    </row>
    <row r="3356" spans="1:12">
      <c r="A3356" t="s">
        <v>9741</v>
      </c>
      <c r="B3356" t="s">
        <v>9742</v>
      </c>
      <c r="C3356" t="s">
        <v>9743</v>
      </c>
      <c r="D3356" t="s">
        <v>15</v>
      </c>
      <c r="E3356" t="s">
        <v>24</v>
      </c>
      <c r="F3356" t="s">
        <v>41</v>
      </c>
      <c r="G3356" t="s">
        <v>19</v>
      </c>
      <c r="H3356">
        <f>Cleaned_Data!K3356</f>
        <v>7.43</v>
      </c>
      <c r="I3356" t="str">
        <f t="shared" si="156"/>
        <v>YES</v>
      </c>
      <c r="J3356">
        <f>Cleaned_Data!J3356</f>
        <v>8</v>
      </c>
      <c r="K3356" t="str">
        <f t="shared" si="157"/>
        <v>2024-01</v>
      </c>
      <c r="L3356">
        <f t="shared" si="158"/>
        <v>0</v>
      </c>
    </row>
    <row r="3357" spans="1:12">
      <c r="A3357" t="s">
        <v>9744</v>
      </c>
      <c r="B3357" t="s">
        <v>9745</v>
      </c>
      <c r="C3357" t="s">
        <v>9746</v>
      </c>
      <c r="D3357" t="s">
        <v>35</v>
      </c>
      <c r="E3357" t="s">
        <v>59</v>
      </c>
      <c r="F3357" t="s">
        <v>29</v>
      </c>
      <c r="G3357" t="s">
        <v>31</v>
      </c>
      <c r="H3357">
        <f>Cleaned_Data!K3357</f>
        <v>21.69</v>
      </c>
      <c r="I3357" t="str">
        <f t="shared" si="156"/>
        <v>YES</v>
      </c>
      <c r="J3357">
        <f>Cleaned_Data!J3357</f>
        <v>48</v>
      </c>
      <c r="K3357" t="str">
        <f t="shared" si="157"/>
        <v>2024-06</v>
      </c>
      <c r="L3357">
        <f t="shared" si="158"/>
        <v>0</v>
      </c>
    </row>
    <row r="3358" spans="1:12">
      <c r="A3358" t="s">
        <v>9747</v>
      </c>
      <c r="B3358" t="s">
        <v>9748</v>
      </c>
      <c r="C3358" t="s">
        <v>9749</v>
      </c>
      <c r="D3358" t="s">
        <v>158</v>
      </c>
      <c r="E3358" t="s">
        <v>54</v>
      </c>
      <c r="F3358" t="s">
        <v>60</v>
      </c>
      <c r="G3358" t="s">
        <v>19</v>
      </c>
      <c r="H3358">
        <f>Cleaned_Data!K3358</f>
        <v>3.71</v>
      </c>
      <c r="I3358" t="str">
        <f t="shared" si="156"/>
        <v>YES</v>
      </c>
      <c r="J3358">
        <f>Cleaned_Data!J3358</f>
        <v>4</v>
      </c>
      <c r="K3358" t="str">
        <f t="shared" si="157"/>
        <v>2024-12</v>
      </c>
      <c r="L3358">
        <f t="shared" si="158"/>
        <v>0</v>
      </c>
    </row>
    <row r="3359" spans="1:12">
      <c r="A3359" t="s">
        <v>9750</v>
      </c>
      <c r="B3359" t="s">
        <v>9751</v>
      </c>
      <c r="C3359" t="s">
        <v>9752</v>
      </c>
      <c r="D3359" t="s">
        <v>158</v>
      </c>
      <c r="E3359" t="s">
        <v>28</v>
      </c>
      <c r="F3359" t="s">
        <v>17</v>
      </c>
      <c r="G3359" t="s">
        <v>31</v>
      </c>
      <c r="H3359">
        <f>Cleaned_Data!K3359</f>
        <v>1.64</v>
      </c>
      <c r="I3359" t="str">
        <f t="shared" si="156"/>
        <v>YES</v>
      </c>
      <c r="J3359">
        <f>Cleaned_Data!J3359</f>
        <v>4</v>
      </c>
      <c r="K3359" t="str">
        <f t="shared" si="157"/>
        <v>2024-09</v>
      </c>
      <c r="L3359">
        <f t="shared" si="158"/>
        <v>0</v>
      </c>
    </row>
    <row r="3360" spans="1:12">
      <c r="A3360" t="s">
        <v>9753</v>
      </c>
      <c r="B3360" t="s">
        <v>9754</v>
      </c>
      <c r="D3360" t="s">
        <v>35</v>
      </c>
      <c r="E3360" t="s">
        <v>28</v>
      </c>
      <c r="F3360" t="s">
        <v>29</v>
      </c>
      <c r="G3360" t="s">
        <v>63</v>
      </c>
      <c r="H3360">
        <f>Cleaned_Data!K3360</f>
        <v>0</v>
      </c>
      <c r="I3360" t="str">
        <f t="shared" si="156"/>
        <v/>
      </c>
      <c r="J3360">
        <f>Cleaned_Data!J3360</f>
        <v>48</v>
      </c>
      <c r="K3360" t="str">
        <f t="shared" si="157"/>
        <v>2024-05</v>
      </c>
      <c r="L3360">
        <f t="shared" si="158"/>
        <v>0</v>
      </c>
    </row>
    <row r="3361" spans="1:12">
      <c r="A3361" t="s">
        <v>9755</v>
      </c>
      <c r="B3361" t="s">
        <v>9756</v>
      </c>
      <c r="D3361" t="s">
        <v>23</v>
      </c>
      <c r="E3361" t="s">
        <v>16</v>
      </c>
      <c r="F3361" t="s">
        <v>41</v>
      </c>
      <c r="G3361" t="s">
        <v>63</v>
      </c>
      <c r="H3361">
        <f>Cleaned_Data!K3361</f>
        <v>0</v>
      </c>
      <c r="I3361" t="str">
        <f t="shared" si="156"/>
        <v/>
      </c>
      <c r="J3361">
        <f>Cleaned_Data!J3361</f>
        <v>24</v>
      </c>
      <c r="K3361" t="str">
        <f t="shared" si="157"/>
        <v>2024-09</v>
      </c>
      <c r="L3361">
        <f t="shared" si="158"/>
        <v>0</v>
      </c>
    </row>
    <row r="3362" spans="1:12">
      <c r="A3362" t="s">
        <v>9757</v>
      </c>
      <c r="B3362" t="s">
        <v>9758</v>
      </c>
      <c r="C3362" t="s">
        <v>9759</v>
      </c>
      <c r="D3362" t="s">
        <v>23</v>
      </c>
      <c r="E3362" t="s">
        <v>24</v>
      </c>
      <c r="F3362" t="s">
        <v>60</v>
      </c>
      <c r="G3362" t="s">
        <v>19</v>
      </c>
      <c r="H3362">
        <f>Cleaned_Data!K3362</f>
        <v>30.05</v>
      </c>
      <c r="I3362" t="str">
        <f t="shared" si="156"/>
        <v>NO</v>
      </c>
      <c r="J3362">
        <f>Cleaned_Data!J3362</f>
        <v>24</v>
      </c>
      <c r="K3362" t="str">
        <f t="shared" si="157"/>
        <v>2024-10</v>
      </c>
      <c r="L3362">
        <f t="shared" si="158"/>
        <v>6.0500000000000007</v>
      </c>
    </row>
    <row r="3363" spans="1:12">
      <c r="A3363" t="s">
        <v>9760</v>
      </c>
      <c r="B3363" t="s">
        <v>9761</v>
      </c>
      <c r="C3363" t="s">
        <v>9762</v>
      </c>
      <c r="D3363" t="s">
        <v>15</v>
      </c>
      <c r="E3363" t="s">
        <v>24</v>
      </c>
      <c r="F3363" t="s">
        <v>17</v>
      </c>
      <c r="G3363" t="s">
        <v>19</v>
      </c>
      <c r="H3363">
        <f>Cleaned_Data!K3363</f>
        <v>2.99</v>
      </c>
      <c r="I3363" t="str">
        <f t="shared" si="156"/>
        <v>YES</v>
      </c>
      <c r="J3363">
        <f>Cleaned_Data!J3363</f>
        <v>8</v>
      </c>
      <c r="K3363" t="str">
        <f t="shared" si="157"/>
        <v>2024-09</v>
      </c>
      <c r="L3363">
        <f t="shared" si="158"/>
        <v>0</v>
      </c>
    </row>
    <row r="3364" spans="1:12">
      <c r="A3364" t="s">
        <v>9763</v>
      </c>
      <c r="B3364" t="s">
        <v>9764</v>
      </c>
      <c r="C3364" t="s">
        <v>9765</v>
      </c>
      <c r="D3364" t="s">
        <v>158</v>
      </c>
      <c r="E3364" t="s">
        <v>24</v>
      </c>
      <c r="F3364" t="s">
        <v>41</v>
      </c>
      <c r="G3364" t="s">
        <v>19</v>
      </c>
      <c r="H3364">
        <f>Cleaned_Data!K3364</f>
        <v>0.9</v>
      </c>
      <c r="I3364" t="str">
        <f t="shared" si="156"/>
        <v>YES</v>
      </c>
      <c r="J3364">
        <f>Cleaned_Data!J3364</f>
        <v>4</v>
      </c>
      <c r="K3364" t="str">
        <f t="shared" si="157"/>
        <v>2024-05</v>
      </c>
      <c r="L3364">
        <f t="shared" si="158"/>
        <v>0</v>
      </c>
    </row>
    <row r="3365" spans="1:12">
      <c r="A3365" t="s">
        <v>9766</v>
      </c>
      <c r="B3365" t="s">
        <v>9767</v>
      </c>
      <c r="D3365" t="s">
        <v>35</v>
      </c>
      <c r="E3365" t="s">
        <v>28</v>
      </c>
      <c r="F3365" t="s">
        <v>29</v>
      </c>
      <c r="G3365" t="s">
        <v>46</v>
      </c>
      <c r="H3365">
        <f>Cleaned_Data!K3365</f>
        <v>0</v>
      </c>
      <c r="I3365" t="str">
        <f t="shared" si="156"/>
        <v/>
      </c>
      <c r="J3365">
        <f>Cleaned_Data!J3365</f>
        <v>48</v>
      </c>
      <c r="K3365" t="str">
        <f t="shared" si="157"/>
        <v>2024-08</v>
      </c>
      <c r="L3365">
        <f t="shared" si="158"/>
        <v>0</v>
      </c>
    </row>
    <row r="3366" spans="1:12">
      <c r="A3366" t="s">
        <v>9768</v>
      </c>
      <c r="B3366" t="s">
        <v>9769</v>
      </c>
      <c r="C3366" t="s">
        <v>9770</v>
      </c>
      <c r="D3366" t="s">
        <v>23</v>
      </c>
      <c r="E3366" t="s">
        <v>28</v>
      </c>
      <c r="F3366" t="s">
        <v>29</v>
      </c>
      <c r="G3366" t="s">
        <v>19</v>
      </c>
      <c r="H3366">
        <f>Cleaned_Data!K3366</f>
        <v>19.11</v>
      </c>
      <c r="I3366" t="str">
        <f t="shared" si="156"/>
        <v>YES</v>
      </c>
      <c r="J3366">
        <f>Cleaned_Data!J3366</f>
        <v>24</v>
      </c>
      <c r="K3366" t="str">
        <f t="shared" si="157"/>
        <v>2024-09</v>
      </c>
      <c r="L3366">
        <f t="shared" si="158"/>
        <v>0</v>
      </c>
    </row>
    <row r="3367" spans="1:12">
      <c r="A3367" t="s">
        <v>9771</v>
      </c>
      <c r="B3367" t="s">
        <v>9772</v>
      </c>
      <c r="C3367" t="s">
        <v>9773</v>
      </c>
      <c r="D3367" t="s">
        <v>158</v>
      </c>
      <c r="E3367" t="s">
        <v>28</v>
      </c>
      <c r="F3367" t="s">
        <v>60</v>
      </c>
      <c r="G3367" t="s">
        <v>31</v>
      </c>
      <c r="H3367">
        <f>Cleaned_Data!K3367</f>
        <v>6.87</v>
      </c>
      <c r="I3367" t="str">
        <f t="shared" si="156"/>
        <v>NO</v>
      </c>
      <c r="J3367">
        <f>Cleaned_Data!J3367</f>
        <v>4</v>
      </c>
      <c r="K3367" t="str">
        <f t="shared" si="157"/>
        <v>2024-12</v>
      </c>
      <c r="L3367">
        <f t="shared" si="158"/>
        <v>2.87</v>
      </c>
    </row>
    <row r="3368" spans="1:12">
      <c r="A3368" t="s">
        <v>9774</v>
      </c>
      <c r="B3368" t="s">
        <v>9775</v>
      </c>
      <c r="C3368" t="s">
        <v>9776</v>
      </c>
      <c r="D3368" t="s">
        <v>23</v>
      </c>
      <c r="E3368" t="s">
        <v>28</v>
      </c>
      <c r="F3368" t="s">
        <v>36</v>
      </c>
      <c r="G3368" t="s">
        <v>19</v>
      </c>
      <c r="H3368">
        <f>Cleaned_Data!K3368</f>
        <v>13.67</v>
      </c>
      <c r="I3368" t="str">
        <f t="shared" si="156"/>
        <v>YES</v>
      </c>
      <c r="J3368">
        <f>Cleaned_Data!J3368</f>
        <v>24</v>
      </c>
      <c r="K3368" t="str">
        <f t="shared" si="157"/>
        <v>2024-12</v>
      </c>
      <c r="L3368">
        <f t="shared" si="158"/>
        <v>0</v>
      </c>
    </row>
    <row r="3369" spans="1:12">
      <c r="A3369" t="s">
        <v>9777</v>
      </c>
      <c r="B3369" t="s">
        <v>9778</v>
      </c>
      <c r="C3369" t="s">
        <v>9779</v>
      </c>
      <c r="D3369" t="s">
        <v>15</v>
      </c>
      <c r="E3369" t="s">
        <v>54</v>
      </c>
      <c r="F3369" t="s">
        <v>41</v>
      </c>
      <c r="G3369" t="s">
        <v>19</v>
      </c>
      <c r="H3369">
        <f>Cleaned_Data!K3369</f>
        <v>1.48</v>
      </c>
      <c r="I3369" t="str">
        <f t="shared" si="156"/>
        <v>YES</v>
      </c>
      <c r="J3369">
        <f>Cleaned_Data!J3369</f>
        <v>8</v>
      </c>
      <c r="K3369" t="str">
        <f t="shared" si="157"/>
        <v>2024-07</v>
      </c>
      <c r="L3369">
        <f t="shared" si="158"/>
        <v>0</v>
      </c>
    </row>
    <row r="3370" spans="1:12">
      <c r="A3370" t="s">
        <v>9780</v>
      </c>
      <c r="B3370" t="s">
        <v>9781</v>
      </c>
      <c r="C3370" t="s">
        <v>9782</v>
      </c>
      <c r="D3370" t="s">
        <v>35</v>
      </c>
      <c r="E3370" t="s">
        <v>59</v>
      </c>
      <c r="F3370" t="s">
        <v>29</v>
      </c>
      <c r="G3370" t="s">
        <v>31</v>
      </c>
      <c r="H3370">
        <f>Cleaned_Data!K3370</f>
        <v>43.4</v>
      </c>
      <c r="I3370" t="str">
        <f t="shared" si="156"/>
        <v>YES</v>
      </c>
      <c r="J3370">
        <f>Cleaned_Data!J3370</f>
        <v>48</v>
      </c>
      <c r="K3370" t="str">
        <f t="shared" si="157"/>
        <v>2024-04</v>
      </c>
      <c r="L3370">
        <f t="shared" si="158"/>
        <v>0</v>
      </c>
    </row>
    <row r="3371" spans="1:12">
      <c r="A3371" t="s">
        <v>9783</v>
      </c>
      <c r="B3371" t="s">
        <v>9784</v>
      </c>
      <c r="C3371" t="s">
        <v>9785</v>
      </c>
      <c r="D3371" t="s">
        <v>15</v>
      </c>
      <c r="E3371" t="s">
        <v>28</v>
      </c>
      <c r="F3371" t="s">
        <v>29</v>
      </c>
      <c r="G3371" t="s">
        <v>31</v>
      </c>
      <c r="H3371">
        <f>Cleaned_Data!K3371</f>
        <v>3.81</v>
      </c>
      <c r="I3371" t="str">
        <f t="shared" si="156"/>
        <v>YES</v>
      </c>
      <c r="J3371">
        <f>Cleaned_Data!J3371</f>
        <v>8</v>
      </c>
      <c r="K3371" t="str">
        <f t="shared" si="157"/>
        <v>2024-07</v>
      </c>
      <c r="L3371">
        <f t="shared" si="158"/>
        <v>0</v>
      </c>
    </row>
    <row r="3372" spans="1:12">
      <c r="A3372" t="s">
        <v>9786</v>
      </c>
      <c r="B3372" t="s">
        <v>9787</v>
      </c>
      <c r="C3372" t="s">
        <v>9788</v>
      </c>
      <c r="D3372" t="s">
        <v>23</v>
      </c>
      <c r="E3372" t="s">
        <v>24</v>
      </c>
      <c r="F3372" t="s">
        <v>60</v>
      </c>
      <c r="G3372" t="s">
        <v>31</v>
      </c>
      <c r="H3372">
        <f>Cleaned_Data!K3372</f>
        <v>8.34</v>
      </c>
      <c r="I3372" t="str">
        <f t="shared" si="156"/>
        <v>YES</v>
      </c>
      <c r="J3372">
        <f>Cleaned_Data!J3372</f>
        <v>24</v>
      </c>
      <c r="K3372" t="str">
        <f t="shared" si="157"/>
        <v>2024-12</v>
      </c>
      <c r="L3372">
        <f t="shared" si="158"/>
        <v>0</v>
      </c>
    </row>
    <row r="3373" spans="1:12">
      <c r="A3373" t="s">
        <v>9789</v>
      </c>
      <c r="B3373" t="s">
        <v>9790</v>
      </c>
      <c r="C3373" t="s">
        <v>9791</v>
      </c>
      <c r="D3373" t="s">
        <v>23</v>
      </c>
      <c r="E3373" t="s">
        <v>24</v>
      </c>
      <c r="F3373" t="s">
        <v>41</v>
      </c>
      <c r="G3373" t="s">
        <v>31</v>
      </c>
      <c r="H3373">
        <f>Cleaned_Data!K3373</f>
        <v>22.22</v>
      </c>
      <c r="I3373" t="str">
        <f t="shared" si="156"/>
        <v>YES</v>
      </c>
      <c r="J3373">
        <f>Cleaned_Data!J3373</f>
        <v>24</v>
      </c>
      <c r="K3373" t="str">
        <f t="shared" si="157"/>
        <v>2024-01</v>
      </c>
      <c r="L3373">
        <f t="shared" si="158"/>
        <v>0</v>
      </c>
    </row>
    <row r="3374" spans="1:12">
      <c r="A3374" t="s">
        <v>9792</v>
      </c>
      <c r="B3374" t="s">
        <v>9793</v>
      </c>
      <c r="C3374" t="s">
        <v>9794</v>
      </c>
      <c r="D3374" t="s">
        <v>23</v>
      </c>
      <c r="E3374" t="s">
        <v>16</v>
      </c>
      <c r="F3374" t="s">
        <v>29</v>
      </c>
      <c r="G3374" t="s">
        <v>19</v>
      </c>
      <c r="H3374">
        <f>Cleaned_Data!K3374</f>
        <v>16.46</v>
      </c>
      <c r="I3374" t="str">
        <f t="shared" si="156"/>
        <v>YES</v>
      </c>
      <c r="J3374">
        <f>Cleaned_Data!J3374</f>
        <v>24</v>
      </c>
      <c r="K3374" t="str">
        <f t="shared" si="157"/>
        <v>2024-06</v>
      </c>
      <c r="L3374">
        <f t="shared" si="158"/>
        <v>0</v>
      </c>
    </row>
    <row r="3375" spans="1:12">
      <c r="A3375" t="s">
        <v>9795</v>
      </c>
      <c r="B3375" t="s">
        <v>9796</v>
      </c>
      <c r="C3375" t="s">
        <v>9797</v>
      </c>
      <c r="D3375" t="s">
        <v>15</v>
      </c>
      <c r="E3375" t="s">
        <v>24</v>
      </c>
      <c r="F3375" t="s">
        <v>17</v>
      </c>
      <c r="G3375" t="s">
        <v>19</v>
      </c>
      <c r="H3375">
        <f>Cleaned_Data!K3375</f>
        <v>4.3099999999999996</v>
      </c>
      <c r="I3375" t="str">
        <f t="shared" si="156"/>
        <v>YES</v>
      </c>
      <c r="J3375">
        <f>Cleaned_Data!J3375</f>
        <v>8</v>
      </c>
      <c r="K3375" t="str">
        <f t="shared" si="157"/>
        <v>2024-06</v>
      </c>
      <c r="L3375">
        <f t="shared" si="158"/>
        <v>0</v>
      </c>
    </row>
    <row r="3376" spans="1:12">
      <c r="A3376" t="s">
        <v>9798</v>
      </c>
      <c r="B3376" t="s">
        <v>9799</v>
      </c>
      <c r="C3376" t="s">
        <v>9800</v>
      </c>
      <c r="D3376" t="s">
        <v>15</v>
      </c>
      <c r="E3376" t="s">
        <v>28</v>
      </c>
      <c r="F3376" t="s">
        <v>60</v>
      </c>
      <c r="G3376" t="s">
        <v>19</v>
      </c>
      <c r="H3376">
        <f>Cleaned_Data!K3376</f>
        <v>18.87</v>
      </c>
      <c r="I3376" t="str">
        <f t="shared" si="156"/>
        <v>NO</v>
      </c>
      <c r="J3376">
        <f>Cleaned_Data!J3376</f>
        <v>8</v>
      </c>
      <c r="K3376" t="str">
        <f t="shared" si="157"/>
        <v>2024-09</v>
      </c>
      <c r="L3376">
        <f t="shared" si="158"/>
        <v>10.870000000000001</v>
      </c>
    </row>
    <row r="3377" spans="1:12">
      <c r="A3377" t="s">
        <v>9801</v>
      </c>
      <c r="B3377" t="s">
        <v>9802</v>
      </c>
      <c r="C3377" t="s">
        <v>9803</v>
      </c>
      <c r="D3377" t="s">
        <v>23</v>
      </c>
      <c r="E3377" t="s">
        <v>16</v>
      </c>
      <c r="F3377" t="s">
        <v>29</v>
      </c>
      <c r="G3377" t="s">
        <v>19</v>
      </c>
      <c r="H3377">
        <f>Cleaned_Data!K3377</f>
        <v>14.41</v>
      </c>
      <c r="I3377" t="str">
        <f t="shared" si="156"/>
        <v>YES</v>
      </c>
      <c r="J3377">
        <f>Cleaned_Data!J3377</f>
        <v>24</v>
      </c>
      <c r="K3377" t="str">
        <f t="shared" si="157"/>
        <v>2024-04</v>
      </c>
      <c r="L3377">
        <f t="shared" si="158"/>
        <v>0</v>
      </c>
    </row>
    <row r="3378" spans="1:12">
      <c r="A3378" t="s">
        <v>9804</v>
      </c>
      <c r="B3378" t="s">
        <v>9805</v>
      </c>
      <c r="C3378" t="s">
        <v>9806</v>
      </c>
      <c r="D3378" t="s">
        <v>15</v>
      </c>
      <c r="E3378" t="s">
        <v>59</v>
      </c>
      <c r="F3378" t="s">
        <v>17</v>
      </c>
      <c r="G3378" t="s">
        <v>31</v>
      </c>
      <c r="H3378">
        <f>Cleaned_Data!K3378</f>
        <v>7</v>
      </c>
      <c r="I3378" t="str">
        <f t="shared" si="156"/>
        <v>YES</v>
      </c>
      <c r="J3378">
        <f>Cleaned_Data!J3378</f>
        <v>8</v>
      </c>
      <c r="K3378" t="str">
        <f t="shared" si="157"/>
        <v>2024-01</v>
      </c>
      <c r="L3378">
        <f t="shared" si="158"/>
        <v>0</v>
      </c>
    </row>
    <row r="3379" spans="1:12">
      <c r="A3379" t="s">
        <v>9807</v>
      </c>
      <c r="B3379" t="s">
        <v>9808</v>
      </c>
      <c r="C3379" t="s">
        <v>9809</v>
      </c>
      <c r="D3379" t="s">
        <v>158</v>
      </c>
      <c r="E3379" t="s">
        <v>54</v>
      </c>
      <c r="F3379" t="s">
        <v>41</v>
      </c>
      <c r="G3379" t="s">
        <v>19</v>
      </c>
      <c r="H3379">
        <f>Cleaned_Data!K3379</f>
        <v>1.54</v>
      </c>
      <c r="I3379" t="str">
        <f t="shared" si="156"/>
        <v>YES</v>
      </c>
      <c r="J3379">
        <f>Cleaned_Data!J3379</f>
        <v>4</v>
      </c>
      <c r="K3379" t="str">
        <f t="shared" si="157"/>
        <v>2024-08</v>
      </c>
      <c r="L3379">
        <f t="shared" si="158"/>
        <v>0</v>
      </c>
    </row>
    <row r="3380" spans="1:12">
      <c r="A3380" t="s">
        <v>9810</v>
      </c>
      <c r="B3380" t="s">
        <v>9811</v>
      </c>
      <c r="C3380" t="s">
        <v>9812</v>
      </c>
      <c r="D3380" t="s">
        <v>23</v>
      </c>
      <c r="E3380" t="s">
        <v>54</v>
      </c>
      <c r="F3380" t="s">
        <v>36</v>
      </c>
      <c r="G3380" t="s">
        <v>31</v>
      </c>
      <c r="H3380">
        <f>Cleaned_Data!K3380</f>
        <v>10.02</v>
      </c>
      <c r="I3380" t="str">
        <f t="shared" si="156"/>
        <v>YES</v>
      </c>
      <c r="J3380">
        <f>Cleaned_Data!J3380</f>
        <v>24</v>
      </c>
      <c r="K3380" t="str">
        <f t="shared" si="157"/>
        <v>2024-02</v>
      </c>
      <c r="L3380">
        <f t="shared" si="158"/>
        <v>0</v>
      </c>
    </row>
    <row r="3381" spans="1:12">
      <c r="A3381" t="s">
        <v>9813</v>
      </c>
      <c r="B3381" t="s">
        <v>9814</v>
      </c>
      <c r="C3381" t="s">
        <v>9815</v>
      </c>
      <c r="D3381" t="s">
        <v>23</v>
      </c>
      <c r="E3381" t="s">
        <v>28</v>
      </c>
      <c r="F3381" t="s">
        <v>60</v>
      </c>
      <c r="G3381" t="s">
        <v>19</v>
      </c>
      <c r="H3381">
        <f>Cleaned_Data!K3381</f>
        <v>8.06</v>
      </c>
      <c r="I3381" t="str">
        <f t="shared" si="156"/>
        <v>YES</v>
      </c>
      <c r="J3381">
        <f>Cleaned_Data!J3381</f>
        <v>24</v>
      </c>
      <c r="K3381" t="str">
        <f t="shared" si="157"/>
        <v>2024-03</v>
      </c>
      <c r="L3381">
        <f t="shared" si="158"/>
        <v>0</v>
      </c>
    </row>
    <row r="3382" spans="1:12">
      <c r="A3382" t="s">
        <v>9816</v>
      </c>
      <c r="B3382" t="s">
        <v>9817</v>
      </c>
      <c r="D3382" t="s">
        <v>35</v>
      </c>
      <c r="E3382" t="s">
        <v>24</v>
      </c>
      <c r="F3382" t="s">
        <v>17</v>
      </c>
      <c r="G3382" t="s">
        <v>63</v>
      </c>
      <c r="H3382">
        <f>Cleaned_Data!K3382</f>
        <v>0</v>
      </c>
      <c r="I3382" t="str">
        <f t="shared" si="156"/>
        <v/>
      </c>
      <c r="J3382">
        <f>Cleaned_Data!J3382</f>
        <v>48</v>
      </c>
      <c r="K3382" t="str">
        <f t="shared" si="157"/>
        <v>2024-05</v>
      </c>
      <c r="L3382">
        <f t="shared" si="158"/>
        <v>0</v>
      </c>
    </row>
    <row r="3383" spans="1:12">
      <c r="A3383" t="s">
        <v>9818</v>
      </c>
      <c r="B3383" t="s">
        <v>9819</v>
      </c>
      <c r="C3383" t="s">
        <v>9820</v>
      </c>
      <c r="D3383" t="s">
        <v>15</v>
      </c>
      <c r="E3383" t="s">
        <v>16</v>
      </c>
      <c r="F3383" t="s">
        <v>17</v>
      </c>
      <c r="G3383" t="s">
        <v>31</v>
      </c>
      <c r="H3383">
        <f>Cleaned_Data!K3383</f>
        <v>1.57</v>
      </c>
      <c r="I3383" t="str">
        <f t="shared" si="156"/>
        <v>YES</v>
      </c>
      <c r="J3383">
        <f>Cleaned_Data!J3383</f>
        <v>8</v>
      </c>
      <c r="K3383" t="str">
        <f t="shared" si="157"/>
        <v>2024-10</v>
      </c>
      <c r="L3383">
        <f t="shared" si="158"/>
        <v>0</v>
      </c>
    </row>
    <row r="3384" spans="1:12">
      <c r="A3384" t="s">
        <v>9821</v>
      </c>
      <c r="B3384" t="s">
        <v>9822</v>
      </c>
      <c r="C3384" t="s">
        <v>9823</v>
      </c>
      <c r="D3384" t="s">
        <v>23</v>
      </c>
      <c r="E3384" t="s">
        <v>54</v>
      </c>
      <c r="F3384" t="s">
        <v>60</v>
      </c>
      <c r="G3384" t="s">
        <v>19</v>
      </c>
      <c r="H3384">
        <f>Cleaned_Data!K3384</f>
        <v>2.61</v>
      </c>
      <c r="I3384" t="str">
        <f t="shared" si="156"/>
        <v>YES</v>
      </c>
      <c r="J3384">
        <f>Cleaned_Data!J3384</f>
        <v>24</v>
      </c>
      <c r="K3384" t="str">
        <f t="shared" si="157"/>
        <v>2024-12</v>
      </c>
      <c r="L3384">
        <f t="shared" si="158"/>
        <v>0</v>
      </c>
    </row>
    <row r="3385" spans="1:12">
      <c r="A3385" t="s">
        <v>9824</v>
      </c>
      <c r="B3385" t="s">
        <v>9825</v>
      </c>
      <c r="C3385" t="s">
        <v>9826</v>
      </c>
      <c r="D3385" t="s">
        <v>23</v>
      </c>
      <c r="E3385" t="s">
        <v>24</v>
      </c>
      <c r="F3385" t="s">
        <v>29</v>
      </c>
      <c r="G3385" t="s">
        <v>19</v>
      </c>
      <c r="H3385">
        <f>Cleaned_Data!K3385</f>
        <v>8.48</v>
      </c>
      <c r="I3385" t="str">
        <f t="shared" si="156"/>
        <v>YES</v>
      </c>
      <c r="J3385">
        <f>Cleaned_Data!J3385</f>
        <v>24</v>
      </c>
      <c r="K3385" t="str">
        <f t="shared" si="157"/>
        <v>2024-12</v>
      </c>
      <c r="L3385">
        <f t="shared" si="158"/>
        <v>0</v>
      </c>
    </row>
    <row r="3386" spans="1:12">
      <c r="A3386" t="s">
        <v>9827</v>
      </c>
      <c r="B3386" t="s">
        <v>9828</v>
      </c>
      <c r="C3386" t="s">
        <v>9829</v>
      </c>
      <c r="D3386" t="s">
        <v>23</v>
      </c>
      <c r="E3386" t="s">
        <v>24</v>
      </c>
      <c r="F3386" t="s">
        <v>29</v>
      </c>
      <c r="G3386" t="s">
        <v>19</v>
      </c>
      <c r="H3386">
        <f>Cleaned_Data!K3386</f>
        <v>19.77</v>
      </c>
      <c r="I3386" t="str">
        <f t="shared" si="156"/>
        <v>YES</v>
      </c>
      <c r="J3386">
        <f>Cleaned_Data!J3386</f>
        <v>24</v>
      </c>
      <c r="K3386" t="str">
        <f t="shared" si="157"/>
        <v>2024-08</v>
      </c>
      <c r="L3386">
        <f t="shared" si="158"/>
        <v>0</v>
      </c>
    </row>
    <row r="3387" spans="1:12">
      <c r="A3387" t="s">
        <v>9830</v>
      </c>
      <c r="B3387" t="s">
        <v>9831</v>
      </c>
      <c r="C3387" t="s">
        <v>9832</v>
      </c>
      <c r="D3387" t="s">
        <v>35</v>
      </c>
      <c r="E3387" t="s">
        <v>28</v>
      </c>
      <c r="F3387" t="s">
        <v>17</v>
      </c>
      <c r="G3387" t="s">
        <v>31</v>
      </c>
      <c r="H3387">
        <f>Cleaned_Data!K3387</f>
        <v>40.54</v>
      </c>
      <c r="I3387" t="str">
        <f t="shared" si="156"/>
        <v>YES</v>
      </c>
      <c r="J3387">
        <f>Cleaned_Data!J3387</f>
        <v>48</v>
      </c>
      <c r="K3387" t="str">
        <f t="shared" si="157"/>
        <v>2024-05</v>
      </c>
      <c r="L3387">
        <f t="shared" si="158"/>
        <v>0</v>
      </c>
    </row>
    <row r="3388" spans="1:12">
      <c r="A3388" t="s">
        <v>9833</v>
      </c>
      <c r="B3388" t="s">
        <v>9834</v>
      </c>
      <c r="D3388" t="s">
        <v>158</v>
      </c>
      <c r="E3388" t="s">
        <v>16</v>
      </c>
      <c r="F3388" t="s">
        <v>36</v>
      </c>
      <c r="G3388" t="s">
        <v>63</v>
      </c>
      <c r="H3388">
        <f>Cleaned_Data!K3388</f>
        <v>0</v>
      </c>
      <c r="I3388" t="str">
        <f t="shared" si="156"/>
        <v/>
      </c>
      <c r="J3388">
        <f>Cleaned_Data!J3388</f>
        <v>4</v>
      </c>
      <c r="K3388" t="str">
        <f t="shared" si="157"/>
        <v>2024-04</v>
      </c>
      <c r="L3388">
        <f t="shared" si="158"/>
        <v>0</v>
      </c>
    </row>
    <row r="3389" spans="1:12">
      <c r="A3389" t="s">
        <v>9835</v>
      </c>
      <c r="B3389" t="s">
        <v>9836</v>
      </c>
      <c r="D3389" t="s">
        <v>15</v>
      </c>
      <c r="E3389" t="s">
        <v>54</v>
      </c>
      <c r="F3389" t="s">
        <v>29</v>
      </c>
      <c r="G3389" t="s">
        <v>63</v>
      </c>
      <c r="H3389">
        <f>Cleaned_Data!K3389</f>
        <v>0</v>
      </c>
      <c r="I3389" t="str">
        <f t="shared" si="156"/>
        <v/>
      </c>
      <c r="J3389">
        <f>Cleaned_Data!J3389</f>
        <v>8</v>
      </c>
      <c r="K3389" t="str">
        <f t="shared" si="157"/>
        <v>2024-04</v>
      </c>
      <c r="L3389">
        <f t="shared" si="158"/>
        <v>0</v>
      </c>
    </row>
    <row r="3390" spans="1:12">
      <c r="A3390" t="s">
        <v>9837</v>
      </c>
      <c r="B3390" t="s">
        <v>9838</v>
      </c>
      <c r="C3390" t="s">
        <v>9839</v>
      </c>
      <c r="D3390" t="s">
        <v>23</v>
      </c>
      <c r="E3390" t="s">
        <v>54</v>
      </c>
      <c r="F3390" t="s">
        <v>36</v>
      </c>
      <c r="G3390" t="s">
        <v>19</v>
      </c>
      <c r="H3390">
        <f>Cleaned_Data!K3390</f>
        <v>14.7</v>
      </c>
      <c r="I3390" t="str">
        <f t="shared" si="156"/>
        <v>YES</v>
      </c>
      <c r="J3390">
        <f>Cleaned_Data!J3390</f>
        <v>24</v>
      </c>
      <c r="K3390" t="str">
        <f t="shared" si="157"/>
        <v>2024-08</v>
      </c>
      <c r="L3390">
        <f t="shared" si="158"/>
        <v>0</v>
      </c>
    </row>
    <row r="3391" spans="1:12">
      <c r="A3391" t="s">
        <v>9840</v>
      </c>
      <c r="B3391" t="s">
        <v>9841</v>
      </c>
      <c r="C3391" t="s">
        <v>9842</v>
      </c>
      <c r="D3391" t="s">
        <v>23</v>
      </c>
      <c r="E3391" t="s">
        <v>16</v>
      </c>
      <c r="F3391" t="s">
        <v>36</v>
      </c>
      <c r="G3391" t="s">
        <v>19</v>
      </c>
      <c r="H3391">
        <f>Cleaned_Data!K3391</f>
        <v>11.62</v>
      </c>
      <c r="I3391" t="str">
        <f t="shared" si="156"/>
        <v>YES</v>
      </c>
      <c r="J3391">
        <f>Cleaned_Data!J3391</f>
        <v>24</v>
      </c>
      <c r="K3391" t="str">
        <f t="shared" si="157"/>
        <v>2024-12</v>
      </c>
      <c r="L3391">
        <f t="shared" si="158"/>
        <v>0</v>
      </c>
    </row>
    <row r="3392" spans="1:12">
      <c r="A3392" t="s">
        <v>9843</v>
      </c>
      <c r="B3392" t="s">
        <v>9844</v>
      </c>
      <c r="C3392" t="s">
        <v>9845</v>
      </c>
      <c r="D3392" t="s">
        <v>15</v>
      </c>
      <c r="E3392" t="s">
        <v>24</v>
      </c>
      <c r="F3392" t="s">
        <v>41</v>
      </c>
      <c r="G3392" t="s">
        <v>19</v>
      </c>
      <c r="H3392">
        <f>Cleaned_Data!K3392</f>
        <v>12.35</v>
      </c>
      <c r="I3392" t="str">
        <f t="shared" si="156"/>
        <v>NO</v>
      </c>
      <c r="J3392">
        <f>Cleaned_Data!J3392</f>
        <v>8</v>
      </c>
      <c r="K3392" t="str">
        <f t="shared" si="157"/>
        <v>2024-08</v>
      </c>
      <c r="L3392">
        <f t="shared" si="158"/>
        <v>4.3499999999999996</v>
      </c>
    </row>
    <row r="3393" spans="1:12">
      <c r="A3393" t="s">
        <v>9846</v>
      </c>
      <c r="B3393" t="s">
        <v>9847</v>
      </c>
      <c r="C3393" t="s">
        <v>9848</v>
      </c>
      <c r="D3393" t="s">
        <v>23</v>
      </c>
      <c r="E3393" t="s">
        <v>54</v>
      </c>
      <c r="F3393" t="s">
        <v>29</v>
      </c>
      <c r="G3393" t="s">
        <v>19</v>
      </c>
      <c r="H3393">
        <f>Cleaned_Data!K3393</f>
        <v>7.68</v>
      </c>
      <c r="I3393" t="str">
        <f t="shared" si="156"/>
        <v>YES</v>
      </c>
      <c r="J3393">
        <f>Cleaned_Data!J3393</f>
        <v>24</v>
      </c>
      <c r="K3393" t="str">
        <f t="shared" si="157"/>
        <v>2024-10</v>
      </c>
      <c r="L3393">
        <f t="shared" si="158"/>
        <v>0</v>
      </c>
    </row>
    <row r="3394" spans="1:12">
      <c r="A3394" t="s">
        <v>9849</v>
      </c>
      <c r="B3394" t="s">
        <v>9850</v>
      </c>
      <c r="C3394" t="s">
        <v>9851</v>
      </c>
      <c r="D3394" t="s">
        <v>23</v>
      </c>
      <c r="E3394" t="s">
        <v>28</v>
      </c>
      <c r="F3394" t="s">
        <v>41</v>
      </c>
      <c r="G3394" t="s">
        <v>19</v>
      </c>
      <c r="H3394">
        <f>Cleaned_Data!K3394</f>
        <v>10.31</v>
      </c>
      <c r="I3394" t="str">
        <f t="shared" ref="I3394:I3457" si="159">IF(OR(G3394="Resolved", G3394="Closed"), IF(AND(H3394&lt;&gt;"", H3394&lt;=J3394), "YES", "NO"), "")</f>
        <v>YES</v>
      </c>
      <c r="J3394">
        <f>Cleaned_Data!J3394</f>
        <v>24</v>
      </c>
      <c r="K3394" t="str">
        <f t="shared" ref="K3394:K3457" si="160">LEFT(B3394, 7)</f>
        <v>2024-06</v>
      </c>
      <c r="L3394">
        <f t="shared" ref="L3394:L3457" si="161">IF(I3394="NO", H3394-J3394, 0)</f>
        <v>0</v>
      </c>
    </row>
    <row r="3395" spans="1:12">
      <c r="A3395" t="s">
        <v>9852</v>
      </c>
      <c r="B3395" t="s">
        <v>9853</v>
      </c>
      <c r="C3395" t="s">
        <v>9854</v>
      </c>
      <c r="D3395" t="s">
        <v>35</v>
      </c>
      <c r="E3395" t="s">
        <v>54</v>
      </c>
      <c r="F3395" t="s">
        <v>60</v>
      </c>
      <c r="G3395" t="s">
        <v>19</v>
      </c>
      <c r="H3395">
        <f>Cleaned_Data!K3395</f>
        <v>39.159999999999997</v>
      </c>
      <c r="I3395" t="str">
        <f t="shared" si="159"/>
        <v>YES</v>
      </c>
      <c r="J3395">
        <f>Cleaned_Data!J3395</f>
        <v>48</v>
      </c>
      <c r="K3395" t="str">
        <f t="shared" si="160"/>
        <v>2024-05</v>
      </c>
      <c r="L3395">
        <f t="shared" si="161"/>
        <v>0</v>
      </c>
    </row>
    <row r="3396" spans="1:12">
      <c r="A3396" t="s">
        <v>9855</v>
      </c>
      <c r="B3396" t="s">
        <v>9856</v>
      </c>
      <c r="C3396" t="s">
        <v>9857</v>
      </c>
      <c r="D3396" t="s">
        <v>23</v>
      </c>
      <c r="E3396" t="s">
        <v>16</v>
      </c>
      <c r="F3396" t="s">
        <v>36</v>
      </c>
      <c r="G3396" t="s">
        <v>19</v>
      </c>
      <c r="H3396">
        <f>Cleaned_Data!K3396</f>
        <v>18.54</v>
      </c>
      <c r="I3396" t="str">
        <f t="shared" si="159"/>
        <v>YES</v>
      </c>
      <c r="J3396">
        <f>Cleaned_Data!J3396</f>
        <v>24</v>
      </c>
      <c r="K3396" t="str">
        <f t="shared" si="160"/>
        <v>2024-09</v>
      </c>
      <c r="L3396">
        <f t="shared" si="161"/>
        <v>0</v>
      </c>
    </row>
    <row r="3397" spans="1:12">
      <c r="A3397" t="s">
        <v>9858</v>
      </c>
      <c r="B3397" t="s">
        <v>9859</v>
      </c>
      <c r="D3397" t="s">
        <v>23</v>
      </c>
      <c r="E3397" t="s">
        <v>28</v>
      </c>
      <c r="F3397" t="s">
        <v>41</v>
      </c>
      <c r="G3397" t="s">
        <v>46</v>
      </c>
      <c r="H3397">
        <f>Cleaned_Data!K3397</f>
        <v>0</v>
      </c>
      <c r="I3397" t="str">
        <f t="shared" si="159"/>
        <v/>
      </c>
      <c r="J3397">
        <f>Cleaned_Data!J3397</f>
        <v>24</v>
      </c>
      <c r="K3397" t="str">
        <f t="shared" si="160"/>
        <v>2024-10</v>
      </c>
      <c r="L3397">
        <f t="shared" si="161"/>
        <v>0</v>
      </c>
    </row>
    <row r="3398" spans="1:12">
      <c r="A3398" t="s">
        <v>9860</v>
      </c>
      <c r="B3398" t="s">
        <v>9861</v>
      </c>
      <c r="C3398" t="s">
        <v>9862</v>
      </c>
      <c r="D3398" t="s">
        <v>15</v>
      </c>
      <c r="E3398" t="s">
        <v>24</v>
      </c>
      <c r="F3398" t="s">
        <v>60</v>
      </c>
      <c r="G3398" t="s">
        <v>31</v>
      </c>
      <c r="H3398">
        <f>Cleaned_Data!K3398</f>
        <v>17.55</v>
      </c>
      <c r="I3398" t="str">
        <f t="shared" si="159"/>
        <v>NO</v>
      </c>
      <c r="J3398">
        <f>Cleaned_Data!J3398</f>
        <v>8</v>
      </c>
      <c r="K3398" t="str">
        <f t="shared" si="160"/>
        <v>2024-05</v>
      </c>
      <c r="L3398">
        <f t="shared" si="161"/>
        <v>9.5500000000000007</v>
      </c>
    </row>
    <row r="3399" spans="1:12">
      <c r="A3399" t="s">
        <v>9863</v>
      </c>
      <c r="B3399" t="s">
        <v>9864</v>
      </c>
      <c r="C3399" t="s">
        <v>9865</v>
      </c>
      <c r="D3399" t="s">
        <v>23</v>
      </c>
      <c r="E3399" t="s">
        <v>28</v>
      </c>
      <c r="F3399" t="s">
        <v>36</v>
      </c>
      <c r="G3399" t="s">
        <v>19</v>
      </c>
      <c r="H3399">
        <f>Cleaned_Data!K3399</f>
        <v>2.8</v>
      </c>
      <c r="I3399" t="str">
        <f t="shared" si="159"/>
        <v>YES</v>
      </c>
      <c r="J3399">
        <f>Cleaned_Data!J3399</f>
        <v>24</v>
      </c>
      <c r="K3399" t="str">
        <f t="shared" si="160"/>
        <v>2024-06</v>
      </c>
      <c r="L3399">
        <f t="shared" si="161"/>
        <v>0</v>
      </c>
    </row>
    <row r="3400" spans="1:12">
      <c r="A3400" t="s">
        <v>9866</v>
      </c>
      <c r="B3400" t="s">
        <v>9867</v>
      </c>
      <c r="C3400" t="s">
        <v>9868</v>
      </c>
      <c r="D3400" t="s">
        <v>15</v>
      </c>
      <c r="E3400" t="s">
        <v>24</v>
      </c>
      <c r="F3400" t="s">
        <v>60</v>
      </c>
      <c r="G3400" t="s">
        <v>31</v>
      </c>
      <c r="H3400">
        <f>Cleaned_Data!K3400</f>
        <v>4.74</v>
      </c>
      <c r="I3400" t="str">
        <f t="shared" si="159"/>
        <v>YES</v>
      </c>
      <c r="J3400">
        <f>Cleaned_Data!J3400</f>
        <v>8</v>
      </c>
      <c r="K3400" t="str">
        <f t="shared" si="160"/>
        <v>2024-04</v>
      </c>
      <c r="L3400">
        <f t="shared" si="161"/>
        <v>0</v>
      </c>
    </row>
    <row r="3401" spans="1:12">
      <c r="A3401" t="s">
        <v>9869</v>
      </c>
      <c r="B3401" t="s">
        <v>9870</v>
      </c>
      <c r="C3401" t="s">
        <v>9871</v>
      </c>
      <c r="D3401" t="s">
        <v>23</v>
      </c>
      <c r="E3401" t="s">
        <v>16</v>
      </c>
      <c r="F3401" t="s">
        <v>36</v>
      </c>
      <c r="G3401" t="s">
        <v>19</v>
      </c>
      <c r="H3401">
        <f>Cleaned_Data!K3401</f>
        <v>52.16</v>
      </c>
      <c r="I3401" t="str">
        <f t="shared" si="159"/>
        <v>NO</v>
      </c>
      <c r="J3401">
        <f>Cleaned_Data!J3401</f>
        <v>24</v>
      </c>
      <c r="K3401" t="str">
        <f t="shared" si="160"/>
        <v>2024-11</v>
      </c>
      <c r="L3401">
        <f t="shared" si="161"/>
        <v>28.159999999999997</v>
      </c>
    </row>
    <row r="3402" spans="1:12">
      <c r="A3402" t="s">
        <v>9872</v>
      </c>
      <c r="B3402" t="s">
        <v>9873</v>
      </c>
      <c r="C3402" t="s">
        <v>9874</v>
      </c>
      <c r="D3402" t="s">
        <v>23</v>
      </c>
      <c r="E3402" t="s">
        <v>28</v>
      </c>
      <c r="F3402" t="s">
        <v>29</v>
      </c>
      <c r="G3402" t="s">
        <v>19</v>
      </c>
      <c r="H3402">
        <f>Cleaned_Data!K3402</f>
        <v>13.93</v>
      </c>
      <c r="I3402" t="str">
        <f t="shared" si="159"/>
        <v>YES</v>
      </c>
      <c r="J3402">
        <f>Cleaned_Data!J3402</f>
        <v>24</v>
      </c>
      <c r="K3402" t="str">
        <f t="shared" si="160"/>
        <v>2024-12</v>
      </c>
      <c r="L3402">
        <f t="shared" si="161"/>
        <v>0</v>
      </c>
    </row>
    <row r="3403" spans="1:12">
      <c r="A3403" t="s">
        <v>9875</v>
      </c>
      <c r="B3403" t="s">
        <v>9876</v>
      </c>
      <c r="C3403" t="s">
        <v>9877</v>
      </c>
      <c r="D3403" t="s">
        <v>23</v>
      </c>
      <c r="E3403" t="s">
        <v>54</v>
      </c>
      <c r="F3403" t="s">
        <v>29</v>
      </c>
      <c r="G3403" t="s">
        <v>19</v>
      </c>
      <c r="H3403">
        <f>Cleaned_Data!K3403</f>
        <v>57.04</v>
      </c>
      <c r="I3403" t="str">
        <f t="shared" si="159"/>
        <v>NO</v>
      </c>
      <c r="J3403">
        <f>Cleaned_Data!J3403</f>
        <v>24</v>
      </c>
      <c r="K3403" t="str">
        <f t="shared" si="160"/>
        <v>2024-03</v>
      </c>
      <c r="L3403">
        <f t="shared" si="161"/>
        <v>33.04</v>
      </c>
    </row>
    <row r="3404" spans="1:12">
      <c r="A3404" t="s">
        <v>9878</v>
      </c>
      <c r="B3404" t="s">
        <v>9879</v>
      </c>
      <c r="C3404" t="s">
        <v>9880</v>
      </c>
      <c r="D3404" t="s">
        <v>158</v>
      </c>
      <c r="E3404" t="s">
        <v>28</v>
      </c>
      <c r="F3404" t="s">
        <v>41</v>
      </c>
      <c r="G3404" t="s">
        <v>31</v>
      </c>
      <c r="H3404">
        <f>Cleaned_Data!K3404</f>
        <v>0.44</v>
      </c>
      <c r="I3404" t="str">
        <f t="shared" si="159"/>
        <v>YES</v>
      </c>
      <c r="J3404">
        <f>Cleaned_Data!J3404</f>
        <v>4</v>
      </c>
      <c r="K3404" t="str">
        <f t="shared" si="160"/>
        <v>2024-08</v>
      </c>
      <c r="L3404">
        <f t="shared" si="161"/>
        <v>0</v>
      </c>
    </row>
    <row r="3405" spans="1:12">
      <c r="A3405" t="s">
        <v>9881</v>
      </c>
      <c r="B3405" t="s">
        <v>9882</v>
      </c>
      <c r="C3405" t="s">
        <v>9883</v>
      </c>
      <c r="D3405" t="s">
        <v>23</v>
      </c>
      <c r="E3405" t="s">
        <v>54</v>
      </c>
      <c r="F3405" t="s">
        <v>41</v>
      </c>
      <c r="G3405" t="s">
        <v>19</v>
      </c>
      <c r="H3405">
        <f>Cleaned_Data!K3405</f>
        <v>10.76</v>
      </c>
      <c r="I3405" t="str">
        <f t="shared" si="159"/>
        <v>YES</v>
      </c>
      <c r="J3405">
        <f>Cleaned_Data!J3405</f>
        <v>24</v>
      </c>
      <c r="K3405" t="str">
        <f t="shared" si="160"/>
        <v>2024-10</v>
      </c>
      <c r="L3405">
        <f t="shared" si="161"/>
        <v>0</v>
      </c>
    </row>
    <row r="3406" spans="1:12">
      <c r="A3406" t="s">
        <v>9884</v>
      </c>
      <c r="B3406" t="s">
        <v>9885</v>
      </c>
      <c r="C3406" t="s">
        <v>9886</v>
      </c>
      <c r="D3406" t="s">
        <v>23</v>
      </c>
      <c r="E3406" t="s">
        <v>16</v>
      </c>
      <c r="F3406" t="s">
        <v>41</v>
      </c>
      <c r="G3406" t="s">
        <v>19</v>
      </c>
      <c r="H3406">
        <f>Cleaned_Data!K3406</f>
        <v>3.23</v>
      </c>
      <c r="I3406" t="str">
        <f t="shared" si="159"/>
        <v>YES</v>
      </c>
      <c r="J3406">
        <f>Cleaned_Data!J3406</f>
        <v>24</v>
      </c>
      <c r="K3406" t="str">
        <f t="shared" si="160"/>
        <v>2024-01</v>
      </c>
      <c r="L3406">
        <f t="shared" si="161"/>
        <v>0</v>
      </c>
    </row>
    <row r="3407" spans="1:12">
      <c r="A3407" t="s">
        <v>9887</v>
      </c>
      <c r="B3407" t="s">
        <v>9888</v>
      </c>
      <c r="C3407" t="s">
        <v>9889</v>
      </c>
      <c r="D3407" t="s">
        <v>23</v>
      </c>
      <c r="E3407" t="s">
        <v>16</v>
      </c>
      <c r="F3407" t="s">
        <v>17</v>
      </c>
      <c r="G3407" t="s">
        <v>19</v>
      </c>
      <c r="H3407">
        <f>Cleaned_Data!K3407</f>
        <v>6.15</v>
      </c>
      <c r="I3407" t="str">
        <f t="shared" si="159"/>
        <v>YES</v>
      </c>
      <c r="J3407">
        <f>Cleaned_Data!J3407</f>
        <v>24</v>
      </c>
      <c r="K3407" t="str">
        <f t="shared" si="160"/>
        <v>2024-08</v>
      </c>
      <c r="L3407">
        <f t="shared" si="161"/>
        <v>0</v>
      </c>
    </row>
    <row r="3408" spans="1:12">
      <c r="A3408" t="s">
        <v>9890</v>
      </c>
      <c r="B3408" t="s">
        <v>9891</v>
      </c>
      <c r="D3408" t="s">
        <v>35</v>
      </c>
      <c r="E3408" t="s">
        <v>24</v>
      </c>
      <c r="F3408" t="s">
        <v>36</v>
      </c>
      <c r="G3408" t="s">
        <v>63</v>
      </c>
      <c r="H3408">
        <f>Cleaned_Data!K3408</f>
        <v>0</v>
      </c>
      <c r="I3408" t="str">
        <f t="shared" si="159"/>
        <v/>
      </c>
      <c r="J3408">
        <f>Cleaned_Data!J3408</f>
        <v>48</v>
      </c>
      <c r="K3408" t="str">
        <f t="shared" si="160"/>
        <v>2024-10</v>
      </c>
      <c r="L3408">
        <f t="shared" si="161"/>
        <v>0</v>
      </c>
    </row>
    <row r="3409" spans="1:12">
      <c r="A3409" t="s">
        <v>9892</v>
      </c>
      <c r="B3409" t="s">
        <v>9893</v>
      </c>
      <c r="C3409" t="s">
        <v>9894</v>
      </c>
      <c r="D3409" t="s">
        <v>15</v>
      </c>
      <c r="E3409" t="s">
        <v>28</v>
      </c>
      <c r="F3409" t="s">
        <v>17</v>
      </c>
      <c r="G3409" t="s">
        <v>31</v>
      </c>
      <c r="H3409">
        <f>Cleaned_Data!K3409</f>
        <v>5.29</v>
      </c>
      <c r="I3409" t="str">
        <f t="shared" si="159"/>
        <v>YES</v>
      </c>
      <c r="J3409">
        <f>Cleaned_Data!J3409</f>
        <v>8</v>
      </c>
      <c r="K3409" t="str">
        <f t="shared" si="160"/>
        <v>2024-10</v>
      </c>
      <c r="L3409">
        <f t="shared" si="161"/>
        <v>0</v>
      </c>
    </row>
    <row r="3410" spans="1:12">
      <c r="A3410" t="s">
        <v>9895</v>
      </c>
      <c r="B3410" t="s">
        <v>9896</v>
      </c>
      <c r="C3410" t="s">
        <v>9897</v>
      </c>
      <c r="D3410" t="s">
        <v>35</v>
      </c>
      <c r="E3410" t="s">
        <v>54</v>
      </c>
      <c r="F3410" t="s">
        <v>17</v>
      </c>
      <c r="G3410" t="s">
        <v>19</v>
      </c>
      <c r="H3410">
        <f>Cleaned_Data!K3410</f>
        <v>32.72</v>
      </c>
      <c r="I3410" t="str">
        <f t="shared" si="159"/>
        <v>YES</v>
      </c>
      <c r="J3410">
        <f>Cleaned_Data!J3410</f>
        <v>48</v>
      </c>
      <c r="K3410" t="str">
        <f t="shared" si="160"/>
        <v>2024-07</v>
      </c>
      <c r="L3410">
        <f t="shared" si="161"/>
        <v>0</v>
      </c>
    </row>
    <row r="3411" spans="1:12">
      <c r="A3411" t="s">
        <v>9898</v>
      </c>
      <c r="B3411" t="s">
        <v>9899</v>
      </c>
      <c r="C3411" t="s">
        <v>9900</v>
      </c>
      <c r="D3411" t="s">
        <v>23</v>
      </c>
      <c r="E3411" t="s">
        <v>28</v>
      </c>
      <c r="F3411" t="s">
        <v>60</v>
      </c>
      <c r="G3411" t="s">
        <v>19</v>
      </c>
      <c r="H3411">
        <f>Cleaned_Data!K3411</f>
        <v>18.46</v>
      </c>
      <c r="I3411" t="str">
        <f t="shared" si="159"/>
        <v>YES</v>
      </c>
      <c r="J3411">
        <f>Cleaned_Data!J3411</f>
        <v>24</v>
      </c>
      <c r="K3411" t="str">
        <f t="shared" si="160"/>
        <v>2024-01</v>
      </c>
      <c r="L3411">
        <f t="shared" si="161"/>
        <v>0</v>
      </c>
    </row>
    <row r="3412" spans="1:12">
      <c r="A3412" t="s">
        <v>9901</v>
      </c>
      <c r="B3412" t="s">
        <v>9902</v>
      </c>
      <c r="D3412" t="s">
        <v>158</v>
      </c>
      <c r="E3412" t="s">
        <v>16</v>
      </c>
      <c r="F3412" t="s">
        <v>41</v>
      </c>
      <c r="G3412" t="s">
        <v>46</v>
      </c>
      <c r="H3412">
        <f>Cleaned_Data!K3412</f>
        <v>0</v>
      </c>
      <c r="I3412" t="str">
        <f t="shared" si="159"/>
        <v/>
      </c>
      <c r="J3412">
        <f>Cleaned_Data!J3412</f>
        <v>4</v>
      </c>
      <c r="K3412" t="str">
        <f t="shared" si="160"/>
        <v>2024-12</v>
      </c>
      <c r="L3412">
        <f t="shared" si="161"/>
        <v>0</v>
      </c>
    </row>
    <row r="3413" spans="1:12">
      <c r="A3413" t="s">
        <v>9903</v>
      </c>
      <c r="B3413" t="s">
        <v>9904</v>
      </c>
      <c r="C3413" t="s">
        <v>9905</v>
      </c>
      <c r="D3413" t="s">
        <v>23</v>
      </c>
      <c r="E3413" t="s">
        <v>54</v>
      </c>
      <c r="F3413" t="s">
        <v>36</v>
      </c>
      <c r="G3413" t="s">
        <v>31</v>
      </c>
      <c r="H3413">
        <f>Cleaned_Data!K3413</f>
        <v>6.29</v>
      </c>
      <c r="I3413" t="str">
        <f t="shared" si="159"/>
        <v>YES</v>
      </c>
      <c r="J3413">
        <f>Cleaned_Data!J3413</f>
        <v>24</v>
      </c>
      <c r="K3413" t="str">
        <f t="shared" si="160"/>
        <v>2024-04</v>
      </c>
      <c r="L3413">
        <f t="shared" si="161"/>
        <v>0</v>
      </c>
    </row>
    <row r="3414" spans="1:12">
      <c r="A3414" t="s">
        <v>9906</v>
      </c>
      <c r="B3414" t="s">
        <v>9907</v>
      </c>
      <c r="C3414" t="s">
        <v>9908</v>
      </c>
      <c r="D3414" t="s">
        <v>23</v>
      </c>
      <c r="E3414" t="s">
        <v>16</v>
      </c>
      <c r="F3414" t="s">
        <v>60</v>
      </c>
      <c r="G3414" t="s">
        <v>19</v>
      </c>
      <c r="H3414">
        <f>Cleaned_Data!K3414</f>
        <v>7.35</v>
      </c>
      <c r="I3414" t="str">
        <f t="shared" si="159"/>
        <v>YES</v>
      </c>
      <c r="J3414">
        <f>Cleaned_Data!J3414</f>
        <v>24</v>
      </c>
      <c r="K3414" t="str">
        <f t="shared" si="160"/>
        <v>2024-12</v>
      </c>
      <c r="L3414">
        <f t="shared" si="161"/>
        <v>0</v>
      </c>
    </row>
    <row r="3415" spans="1:12">
      <c r="A3415" t="s">
        <v>9909</v>
      </c>
      <c r="B3415" t="s">
        <v>9910</v>
      </c>
      <c r="C3415" t="s">
        <v>9911</v>
      </c>
      <c r="D3415" t="s">
        <v>158</v>
      </c>
      <c r="E3415" t="s">
        <v>28</v>
      </c>
      <c r="F3415" t="s">
        <v>29</v>
      </c>
      <c r="G3415" t="s">
        <v>19</v>
      </c>
      <c r="H3415">
        <f>Cleaned_Data!K3415</f>
        <v>6.82</v>
      </c>
      <c r="I3415" t="str">
        <f t="shared" si="159"/>
        <v>NO</v>
      </c>
      <c r="J3415">
        <f>Cleaned_Data!J3415</f>
        <v>4</v>
      </c>
      <c r="K3415" t="str">
        <f t="shared" si="160"/>
        <v>2024-01</v>
      </c>
      <c r="L3415">
        <f t="shared" si="161"/>
        <v>2.8200000000000003</v>
      </c>
    </row>
    <row r="3416" spans="1:12">
      <c r="A3416" t="s">
        <v>9912</v>
      </c>
      <c r="B3416" t="s">
        <v>9913</v>
      </c>
      <c r="C3416" t="s">
        <v>9914</v>
      </c>
      <c r="D3416" t="s">
        <v>35</v>
      </c>
      <c r="E3416" t="s">
        <v>28</v>
      </c>
      <c r="F3416" t="s">
        <v>36</v>
      </c>
      <c r="G3416" t="s">
        <v>31</v>
      </c>
      <c r="H3416">
        <f>Cleaned_Data!K3416</f>
        <v>26.03</v>
      </c>
      <c r="I3416" t="str">
        <f t="shared" si="159"/>
        <v>YES</v>
      </c>
      <c r="J3416">
        <f>Cleaned_Data!J3416</f>
        <v>48</v>
      </c>
      <c r="K3416" t="str">
        <f t="shared" si="160"/>
        <v>2024-10</v>
      </c>
      <c r="L3416">
        <f t="shared" si="161"/>
        <v>0</v>
      </c>
    </row>
    <row r="3417" spans="1:12">
      <c r="A3417" t="s">
        <v>9915</v>
      </c>
      <c r="B3417" t="s">
        <v>9916</v>
      </c>
      <c r="C3417" t="s">
        <v>9917</v>
      </c>
      <c r="D3417" t="s">
        <v>23</v>
      </c>
      <c r="E3417" t="s">
        <v>59</v>
      </c>
      <c r="F3417" t="s">
        <v>17</v>
      </c>
      <c r="G3417" t="s">
        <v>31</v>
      </c>
      <c r="H3417">
        <f>Cleaned_Data!K3417</f>
        <v>22.28</v>
      </c>
      <c r="I3417" t="str">
        <f t="shared" si="159"/>
        <v>YES</v>
      </c>
      <c r="J3417">
        <f>Cleaned_Data!J3417</f>
        <v>24</v>
      </c>
      <c r="K3417" t="str">
        <f t="shared" si="160"/>
        <v>2024-03</v>
      </c>
      <c r="L3417">
        <f t="shared" si="161"/>
        <v>0</v>
      </c>
    </row>
    <row r="3418" spans="1:12">
      <c r="A3418" t="s">
        <v>9918</v>
      </c>
      <c r="B3418" t="s">
        <v>9919</v>
      </c>
      <c r="C3418" t="s">
        <v>9920</v>
      </c>
      <c r="D3418" t="s">
        <v>35</v>
      </c>
      <c r="E3418" t="s">
        <v>28</v>
      </c>
      <c r="F3418" t="s">
        <v>36</v>
      </c>
      <c r="G3418" t="s">
        <v>31</v>
      </c>
      <c r="H3418">
        <f>Cleaned_Data!K3418</f>
        <v>90.11</v>
      </c>
      <c r="I3418" t="str">
        <f t="shared" si="159"/>
        <v>NO</v>
      </c>
      <c r="J3418">
        <f>Cleaned_Data!J3418</f>
        <v>48</v>
      </c>
      <c r="K3418" t="str">
        <f t="shared" si="160"/>
        <v>2024-04</v>
      </c>
      <c r="L3418">
        <f t="shared" si="161"/>
        <v>42.11</v>
      </c>
    </row>
    <row r="3419" spans="1:12">
      <c r="A3419" t="s">
        <v>9921</v>
      </c>
      <c r="B3419" t="s">
        <v>9922</v>
      </c>
      <c r="C3419" t="s">
        <v>9923</v>
      </c>
      <c r="D3419" t="s">
        <v>23</v>
      </c>
      <c r="E3419" t="s">
        <v>24</v>
      </c>
      <c r="F3419" t="s">
        <v>17</v>
      </c>
      <c r="G3419" t="s">
        <v>19</v>
      </c>
      <c r="H3419">
        <f>Cleaned_Data!K3419</f>
        <v>5.05</v>
      </c>
      <c r="I3419" t="str">
        <f t="shared" si="159"/>
        <v>YES</v>
      </c>
      <c r="J3419">
        <f>Cleaned_Data!J3419</f>
        <v>24</v>
      </c>
      <c r="K3419" t="str">
        <f t="shared" si="160"/>
        <v>2024-06</v>
      </c>
      <c r="L3419">
        <f t="shared" si="161"/>
        <v>0</v>
      </c>
    </row>
    <row r="3420" spans="1:12">
      <c r="A3420" t="s">
        <v>9924</v>
      </c>
      <c r="B3420" t="s">
        <v>9925</v>
      </c>
      <c r="D3420" t="s">
        <v>158</v>
      </c>
      <c r="E3420" t="s">
        <v>28</v>
      </c>
      <c r="F3420" t="s">
        <v>36</v>
      </c>
      <c r="G3420" t="s">
        <v>46</v>
      </c>
      <c r="H3420">
        <f>Cleaned_Data!K3420</f>
        <v>0</v>
      </c>
      <c r="I3420" t="str">
        <f t="shared" si="159"/>
        <v/>
      </c>
      <c r="J3420">
        <f>Cleaned_Data!J3420</f>
        <v>4</v>
      </c>
      <c r="K3420" t="str">
        <f t="shared" si="160"/>
        <v>2024-12</v>
      </c>
      <c r="L3420">
        <f t="shared" si="161"/>
        <v>0</v>
      </c>
    </row>
    <row r="3421" spans="1:12">
      <c r="A3421" t="s">
        <v>9926</v>
      </c>
      <c r="B3421" t="s">
        <v>9927</v>
      </c>
      <c r="D3421" t="s">
        <v>15</v>
      </c>
      <c r="E3421" t="s">
        <v>28</v>
      </c>
      <c r="F3421" t="s">
        <v>41</v>
      </c>
      <c r="G3421" t="s">
        <v>63</v>
      </c>
      <c r="H3421">
        <f>Cleaned_Data!K3421</f>
        <v>0</v>
      </c>
      <c r="I3421" t="str">
        <f t="shared" si="159"/>
        <v/>
      </c>
      <c r="J3421">
        <f>Cleaned_Data!J3421</f>
        <v>8</v>
      </c>
      <c r="K3421" t="str">
        <f t="shared" si="160"/>
        <v>2024-12</v>
      </c>
      <c r="L3421">
        <f t="shared" si="161"/>
        <v>0</v>
      </c>
    </row>
    <row r="3422" spans="1:12">
      <c r="A3422" t="s">
        <v>9928</v>
      </c>
      <c r="B3422" t="s">
        <v>9929</v>
      </c>
      <c r="C3422" t="s">
        <v>9930</v>
      </c>
      <c r="D3422" t="s">
        <v>23</v>
      </c>
      <c r="E3422" t="s">
        <v>24</v>
      </c>
      <c r="F3422" t="s">
        <v>41</v>
      </c>
      <c r="G3422" t="s">
        <v>19</v>
      </c>
      <c r="H3422">
        <f>Cleaned_Data!K3422</f>
        <v>21.16</v>
      </c>
      <c r="I3422" t="str">
        <f t="shared" si="159"/>
        <v>YES</v>
      </c>
      <c r="J3422">
        <f>Cleaned_Data!J3422</f>
        <v>24</v>
      </c>
      <c r="K3422" t="str">
        <f t="shared" si="160"/>
        <v>2024-10</v>
      </c>
      <c r="L3422">
        <f t="shared" si="161"/>
        <v>0</v>
      </c>
    </row>
    <row r="3423" spans="1:12">
      <c r="A3423" t="s">
        <v>9931</v>
      </c>
      <c r="B3423" t="s">
        <v>9932</v>
      </c>
      <c r="C3423" t="s">
        <v>9933</v>
      </c>
      <c r="D3423" t="s">
        <v>35</v>
      </c>
      <c r="E3423" t="s">
        <v>54</v>
      </c>
      <c r="F3423" t="s">
        <v>29</v>
      </c>
      <c r="G3423" t="s">
        <v>31</v>
      </c>
      <c r="H3423">
        <f>Cleaned_Data!K3423</f>
        <v>37.33</v>
      </c>
      <c r="I3423" t="str">
        <f t="shared" si="159"/>
        <v>YES</v>
      </c>
      <c r="J3423">
        <f>Cleaned_Data!J3423</f>
        <v>48</v>
      </c>
      <c r="K3423" t="str">
        <f t="shared" si="160"/>
        <v>2024-03</v>
      </c>
      <c r="L3423">
        <f t="shared" si="161"/>
        <v>0</v>
      </c>
    </row>
    <row r="3424" spans="1:12">
      <c r="A3424" t="s">
        <v>9934</v>
      </c>
      <c r="B3424" t="s">
        <v>9935</v>
      </c>
      <c r="C3424" t="s">
        <v>9936</v>
      </c>
      <c r="D3424" t="s">
        <v>15</v>
      </c>
      <c r="E3424" t="s">
        <v>59</v>
      </c>
      <c r="F3424" t="s">
        <v>60</v>
      </c>
      <c r="G3424" t="s">
        <v>19</v>
      </c>
      <c r="H3424">
        <f>Cleaned_Data!K3424</f>
        <v>0.86</v>
      </c>
      <c r="I3424" t="str">
        <f t="shared" si="159"/>
        <v>YES</v>
      </c>
      <c r="J3424">
        <f>Cleaned_Data!J3424</f>
        <v>8</v>
      </c>
      <c r="K3424" t="str">
        <f t="shared" si="160"/>
        <v>2024-11</v>
      </c>
      <c r="L3424">
        <f t="shared" si="161"/>
        <v>0</v>
      </c>
    </row>
    <row r="3425" spans="1:12">
      <c r="A3425" t="s">
        <v>9937</v>
      </c>
      <c r="B3425" t="s">
        <v>9938</v>
      </c>
      <c r="C3425" t="s">
        <v>9939</v>
      </c>
      <c r="D3425" t="s">
        <v>23</v>
      </c>
      <c r="E3425" t="s">
        <v>28</v>
      </c>
      <c r="F3425" t="s">
        <v>41</v>
      </c>
      <c r="G3425" t="s">
        <v>19</v>
      </c>
      <c r="H3425">
        <f>Cleaned_Data!K3425</f>
        <v>3.24</v>
      </c>
      <c r="I3425" t="str">
        <f t="shared" si="159"/>
        <v>YES</v>
      </c>
      <c r="J3425">
        <f>Cleaned_Data!J3425</f>
        <v>24</v>
      </c>
      <c r="K3425" t="str">
        <f t="shared" si="160"/>
        <v>2024-03</v>
      </c>
      <c r="L3425">
        <f t="shared" si="161"/>
        <v>0</v>
      </c>
    </row>
    <row r="3426" spans="1:12">
      <c r="A3426" t="s">
        <v>9940</v>
      </c>
      <c r="B3426" t="s">
        <v>9941</v>
      </c>
      <c r="C3426" t="s">
        <v>9942</v>
      </c>
      <c r="D3426" t="s">
        <v>15</v>
      </c>
      <c r="E3426" t="s">
        <v>24</v>
      </c>
      <c r="F3426" t="s">
        <v>36</v>
      </c>
      <c r="G3426" t="s">
        <v>31</v>
      </c>
      <c r="H3426">
        <f>Cleaned_Data!K3426</f>
        <v>5.26</v>
      </c>
      <c r="I3426" t="str">
        <f t="shared" si="159"/>
        <v>YES</v>
      </c>
      <c r="J3426">
        <f>Cleaned_Data!J3426</f>
        <v>8</v>
      </c>
      <c r="K3426" t="str">
        <f t="shared" si="160"/>
        <v>2024-05</v>
      </c>
      <c r="L3426">
        <f t="shared" si="161"/>
        <v>0</v>
      </c>
    </row>
    <row r="3427" spans="1:12">
      <c r="A3427" t="s">
        <v>9943</v>
      </c>
      <c r="B3427" t="s">
        <v>9944</v>
      </c>
      <c r="C3427" t="s">
        <v>9945</v>
      </c>
      <c r="D3427" t="s">
        <v>35</v>
      </c>
      <c r="E3427" t="s">
        <v>54</v>
      </c>
      <c r="F3427" t="s">
        <v>29</v>
      </c>
      <c r="G3427" t="s">
        <v>19</v>
      </c>
      <c r="H3427">
        <f>Cleaned_Data!K3427</f>
        <v>25.13</v>
      </c>
      <c r="I3427" t="str">
        <f t="shared" si="159"/>
        <v>YES</v>
      </c>
      <c r="J3427">
        <f>Cleaned_Data!J3427</f>
        <v>48</v>
      </c>
      <c r="K3427" t="str">
        <f t="shared" si="160"/>
        <v>2024-10</v>
      </c>
      <c r="L3427">
        <f t="shared" si="161"/>
        <v>0</v>
      </c>
    </row>
    <row r="3428" spans="1:12">
      <c r="A3428" t="s">
        <v>9946</v>
      </c>
      <c r="B3428" t="s">
        <v>9947</v>
      </c>
      <c r="C3428" t="s">
        <v>9948</v>
      </c>
      <c r="D3428" t="s">
        <v>23</v>
      </c>
      <c r="E3428" t="s">
        <v>24</v>
      </c>
      <c r="F3428" t="s">
        <v>29</v>
      </c>
      <c r="G3428" t="s">
        <v>19</v>
      </c>
      <c r="H3428">
        <f>Cleaned_Data!K3428</f>
        <v>40.15</v>
      </c>
      <c r="I3428" t="str">
        <f t="shared" si="159"/>
        <v>NO</v>
      </c>
      <c r="J3428">
        <f>Cleaned_Data!J3428</f>
        <v>24</v>
      </c>
      <c r="K3428" t="str">
        <f t="shared" si="160"/>
        <v>2024-12</v>
      </c>
      <c r="L3428">
        <f t="shared" si="161"/>
        <v>16.149999999999999</v>
      </c>
    </row>
    <row r="3429" spans="1:12">
      <c r="A3429" t="s">
        <v>9949</v>
      </c>
      <c r="B3429" t="s">
        <v>9950</v>
      </c>
      <c r="C3429" t="s">
        <v>9951</v>
      </c>
      <c r="D3429" t="s">
        <v>158</v>
      </c>
      <c r="E3429" t="s">
        <v>24</v>
      </c>
      <c r="F3429" t="s">
        <v>60</v>
      </c>
      <c r="G3429" t="s">
        <v>19</v>
      </c>
      <c r="H3429">
        <f>Cleaned_Data!K3429</f>
        <v>0.56999999999999995</v>
      </c>
      <c r="I3429" t="str">
        <f t="shared" si="159"/>
        <v>YES</v>
      </c>
      <c r="J3429">
        <f>Cleaned_Data!J3429</f>
        <v>4</v>
      </c>
      <c r="K3429" t="str">
        <f t="shared" si="160"/>
        <v>2024-10</v>
      </c>
      <c r="L3429">
        <f t="shared" si="161"/>
        <v>0</v>
      </c>
    </row>
    <row r="3430" spans="1:12">
      <c r="A3430" t="s">
        <v>9952</v>
      </c>
      <c r="B3430" t="s">
        <v>9953</v>
      </c>
      <c r="C3430" t="s">
        <v>9954</v>
      </c>
      <c r="D3430" t="s">
        <v>158</v>
      </c>
      <c r="E3430" t="s">
        <v>28</v>
      </c>
      <c r="F3430" t="s">
        <v>29</v>
      </c>
      <c r="G3430" t="s">
        <v>31</v>
      </c>
      <c r="H3430">
        <f>Cleaned_Data!K3430</f>
        <v>10.48</v>
      </c>
      <c r="I3430" t="str">
        <f t="shared" si="159"/>
        <v>NO</v>
      </c>
      <c r="J3430">
        <f>Cleaned_Data!J3430</f>
        <v>4</v>
      </c>
      <c r="K3430" t="str">
        <f t="shared" si="160"/>
        <v>2024-06</v>
      </c>
      <c r="L3430">
        <f t="shared" si="161"/>
        <v>6.48</v>
      </c>
    </row>
    <row r="3431" spans="1:12">
      <c r="A3431" t="s">
        <v>9955</v>
      </c>
      <c r="B3431" t="s">
        <v>9956</v>
      </c>
      <c r="D3431" t="s">
        <v>35</v>
      </c>
      <c r="E3431" t="s">
        <v>28</v>
      </c>
      <c r="F3431" t="s">
        <v>41</v>
      </c>
      <c r="G3431" t="s">
        <v>63</v>
      </c>
      <c r="H3431">
        <f>Cleaned_Data!K3431</f>
        <v>0</v>
      </c>
      <c r="I3431" t="str">
        <f t="shared" si="159"/>
        <v/>
      </c>
      <c r="J3431">
        <f>Cleaned_Data!J3431</f>
        <v>48</v>
      </c>
      <c r="K3431" t="str">
        <f t="shared" si="160"/>
        <v>2024-08</v>
      </c>
      <c r="L3431">
        <f t="shared" si="161"/>
        <v>0</v>
      </c>
    </row>
    <row r="3432" spans="1:12">
      <c r="A3432" t="s">
        <v>9957</v>
      </c>
      <c r="B3432" t="s">
        <v>9958</v>
      </c>
      <c r="C3432" t="s">
        <v>9959</v>
      </c>
      <c r="D3432" t="s">
        <v>23</v>
      </c>
      <c r="E3432" t="s">
        <v>28</v>
      </c>
      <c r="F3432" t="s">
        <v>36</v>
      </c>
      <c r="G3432" t="s">
        <v>19</v>
      </c>
      <c r="H3432">
        <f>Cleaned_Data!K3432</f>
        <v>7.7</v>
      </c>
      <c r="I3432" t="str">
        <f t="shared" si="159"/>
        <v>YES</v>
      </c>
      <c r="J3432">
        <f>Cleaned_Data!J3432</f>
        <v>24</v>
      </c>
      <c r="K3432" t="str">
        <f t="shared" si="160"/>
        <v>2024-09</v>
      </c>
      <c r="L3432">
        <f t="shared" si="161"/>
        <v>0</v>
      </c>
    </row>
    <row r="3433" spans="1:12">
      <c r="A3433" t="s">
        <v>9960</v>
      </c>
      <c r="B3433" t="s">
        <v>9961</v>
      </c>
      <c r="C3433" t="s">
        <v>9962</v>
      </c>
      <c r="D3433" t="s">
        <v>15</v>
      </c>
      <c r="E3433" t="s">
        <v>24</v>
      </c>
      <c r="F3433" t="s">
        <v>41</v>
      </c>
      <c r="G3433" t="s">
        <v>19</v>
      </c>
      <c r="H3433">
        <f>Cleaned_Data!K3433</f>
        <v>3.13</v>
      </c>
      <c r="I3433" t="str">
        <f t="shared" si="159"/>
        <v>YES</v>
      </c>
      <c r="J3433">
        <f>Cleaned_Data!J3433</f>
        <v>8</v>
      </c>
      <c r="K3433" t="str">
        <f t="shared" si="160"/>
        <v>2024-08</v>
      </c>
      <c r="L3433">
        <f t="shared" si="161"/>
        <v>0</v>
      </c>
    </row>
    <row r="3434" spans="1:12">
      <c r="A3434" t="s">
        <v>9963</v>
      </c>
      <c r="B3434" t="s">
        <v>9964</v>
      </c>
      <c r="C3434" t="s">
        <v>9965</v>
      </c>
      <c r="D3434" t="s">
        <v>23</v>
      </c>
      <c r="E3434" t="s">
        <v>24</v>
      </c>
      <c r="F3434" t="s">
        <v>29</v>
      </c>
      <c r="G3434" t="s">
        <v>31</v>
      </c>
      <c r="H3434">
        <f>Cleaned_Data!K3434</f>
        <v>12.53</v>
      </c>
      <c r="I3434" t="str">
        <f t="shared" si="159"/>
        <v>YES</v>
      </c>
      <c r="J3434">
        <f>Cleaned_Data!J3434</f>
        <v>24</v>
      </c>
      <c r="K3434" t="str">
        <f t="shared" si="160"/>
        <v>2024-08</v>
      </c>
      <c r="L3434">
        <f t="shared" si="161"/>
        <v>0</v>
      </c>
    </row>
    <row r="3435" spans="1:12">
      <c r="A3435" t="s">
        <v>9966</v>
      </c>
      <c r="B3435" t="s">
        <v>9967</v>
      </c>
      <c r="C3435" t="s">
        <v>9968</v>
      </c>
      <c r="D3435" t="s">
        <v>23</v>
      </c>
      <c r="E3435" t="s">
        <v>24</v>
      </c>
      <c r="F3435" t="s">
        <v>17</v>
      </c>
      <c r="G3435" t="s">
        <v>19</v>
      </c>
      <c r="H3435">
        <f>Cleaned_Data!K3435</f>
        <v>4.83</v>
      </c>
      <c r="I3435" t="str">
        <f t="shared" si="159"/>
        <v>YES</v>
      </c>
      <c r="J3435">
        <f>Cleaned_Data!J3435</f>
        <v>24</v>
      </c>
      <c r="K3435" t="str">
        <f t="shared" si="160"/>
        <v>2024-07</v>
      </c>
      <c r="L3435">
        <f t="shared" si="161"/>
        <v>0</v>
      </c>
    </row>
    <row r="3436" spans="1:12">
      <c r="A3436" t="s">
        <v>9969</v>
      </c>
      <c r="B3436" t="s">
        <v>9970</v>
      </c>
      <c r="C3436" t="s">
        <v>9971</v>
      </c>
      <c r="D3436" t="s">
        <v>23</v>
      </c>
      <c r="E3436" t="s">
        <v>28</v>
      </c>
      <c r="F3436" t="s">
        <v>17</v>
      </c>
      <c r="G3436" t="s">
        <v>31</v>
      </c>
      <c r="H3436">
        <f>Cleaned_Data!K3436</f>
        <v>46.26</v>
      </c>
      <c r="I3436" t="str">
        <f t="shared" si="159"/>
        <v>NO</v>
      </c>
      <c r="J3436">
        <f>Cleaned_Data!J3436</f>
        <v>24</v>
      </c>
      <c r="K3436" t="str">
        <f t="shared" si="160"/>
        <v>2024-08</v>
      </c>
      <c r="L3436">
        <f t="shared" si="161"/>
        <v>22.259999999999998</v>
      </c>
    </row>
    <row r="3437" spans="1:12">
      <c r="A3437" t="s">
        <v>9972</v>
      </c>
      <c r="B3437" t="s">
        <v>9973</v>
      </c>
      <c r="C3437" t="s">
        <v>9974</v>
      </c>
      <c r="D3437" t="s">
        <v>23</v>
      </c>
      <c r="E3437" t="s">
        <v>16</v>
      </c>
      <c r="F3437" t="s">
        <v>41</v>
      </c>
      <c r="G3437" t="s">
        <v>19</v>
      </c>
      <c r="H3437">
        <f>Cleaned_Data!K3437</f>
        <v>20.95</v>
      </c>
      <c r="I3437" t="str">
        <f t="shared" si="159"/>
        <v>YES</v>
      </c>
      <c r="J3437">
        <f>Cleaned_Data!J3437</f>
        <v>24</v>
      </c>
      <c r="K3437" t="str">
        <f t="shared" si="160"/>
        <v>2024-04</v>
      </c>
      <c r="L3437">
        <f t="shared" si="161"/>
        <v>0</v>
      </c>
    </row>
    <row r="3438" spans="1:12">
      <c r="A3438" t="s">
        <v>9975</v>
      </c>
      <c r="B3438" t="s">
        <v>9976</v>
      </c>
      <c r="C3438" t="s">
        <v>9977</v>
      </c>
      <c r="D3438" t="s">
        <v>23</v>
      </c>
      <c r="E3438" t="s">
        <v>28</v>
      </c>
      <c r="F3438" t="s">
        <v>29</v>
      </c>
      <c r="G3438" t="s">
        <v>19</v>
      </c>
      <c r="H3438">
        <f>Cleaned_Data!K3438</f>
        <v>62.74</v>
      </c>
      <c r="I3438" t="str">
        <f t="shared" si="159"/>
        <v>NO</v>
      </c>
      <c r="J3438">
        <f>Cleaned_Data!J3438</f>
        <v>24</v>
      </c>
      <c r="K3438" t="str">
        <f t="shared" si="160"/>
        <v>2024-12</v>
      </c>
      <c r="L3438">
        <f t="shared" si="161"/>
        <v>38.74</v>
      </c>
    </row>
    <row r="3439" spans="1:12">
      <c r="A3439" t="s">
        <v>9978</v>
      </c>
      <c r="B3439" t="s">
        <v>9979</v>
      </c>
      <c r="C3439" t="s">
        <v>9980</v>
      </c>
      <c r="D3439" t="s">
        <v>15</v>
      </c>
      <c r="E3439" t="s">
        <v>24</v>
      </c>
      <c r="F3439" t="s">
        <v>36</v>
      </c>
      <c r="G3439" t="s">
        <v>19</v>
      </c>
      <c r="H3439">
        <f>Cleaned_Data!K3439</f>
        <v>13.12</v>
      </c>
      <c r="I3439" t="str">
        <f t="shared" si="159"/>
        <v>NO</v>
      </c>
      <c r="J3439">
        <f>Cleaned_Data!J3439</f>
        <v>8</v>
      </c>
      <c r="K3439" t="str">
        <f t="shared" si="160"/>
        <v>2024-02</v>
      </c>
      <c r="L3439">
        <f t="shared" si="161"/>
        <v>5.1199999999999992</v>
      </c>
    </row>
    <row r="3440" spans="1:12">
      <c r="A3440" t="s">
        <v>9981</v>
      </c>
      <c r="B3440" t="s">
        <v>9982</v>
      </c>
      <c r="C3440" t="s">
        <v>9983</v>
      </c>
      <c r="D3440" t="s">
        <v>35</v>
      </c>
      <c r="E3440" t="s">
        <v>59</v>
      </c>
      <c r="F3440" t="s">
        <v>29</v>
      </c>
      <c r="G3440" t="s">
        <v>31</v>
      </c>
      <c r="H3440">
        <f>Cleaned_Data!K3440</f>
        <v>104.95</v>
      </c>
      <c r="I3440" t="str">
        <f t="shared" si="159"/>
        <v>NO</v>
      </c>
      <c r="J3440">
        <f>Cleaned_Data!J3440</f>
        <v>48</v>
      </c>
      <c r="K3440" t="str">
        <f t="shared" si="160"/>
        <v>2024-11</v>
      </c>
      <c r="L3440">
        <f t="shared" si="161"/>
        <v>56.95</v>
      </c>
    </row>
    <row r="3441" spans="1:12">
      <c r="A3441" t="s">
        <v>9984</v>
      </c>
      <c r="B3441" t="s">
        <v>9985</v>
      </c>
      <c r="C3441" t="s">
        <v>9986</v>
      </c>
      <c r="D3441" t="s">
        <v>15</v>
      </c>
      <c r="E3441" t="s">
        <v>24</v>
      </c>
      <c r="F3441" t="s">
        <v>60</v>
      </c>
      <c r="G3441" t="s">
        <v>31</v>
      </c>
      <c r="H3441">
        <f>Cleaned_Data!K3441</f>
        <v>5.24</v>
      </c>
      <c r="I3441" t="str">
        <f t="shared" si="159"/>
        <v>YES</v>
      </c>
      <c r="J3441">
        <f>Cleaned_Data!J3441</f>
        <v>8</v>
      </c>
      <c r="K3441" t="str">
        <f t="shared" si="160"/>
        <v>2024-02</v>
      </c>
      <c r="L3441">
        <f t="shared" si="161"/>
        <v>0</v>
      </c>
    </row>
    <row r="3442" spans="1:12">
      <c r="A3442" t="s">
        <v>9987</v>
      </c>
      <c r="B3442" t="s">
        <v>9988</v>
      </c>
      <c r="C3442" t="s">
        <v>9989</v>
      </c>
      <c r="D3442" t="s">
        <v>35</v>
      </c>
      <c r="E3442" t="s">
        <v>16</v>
      </c>
      <c r="F3442" t="s">
        <v>17</v>
      </c>
      <c r="G3442" t="s">
        <v>19</v>
      </c>
      <c r="H3442">
        <f>Cleaned_Data!K3442</f>
        <v>24.38</v>
      </c>
      <c r="I3442" t="str">
        <f t="shared" si="159"/>
        <v>YES</v>
      </c>
      <c r="J3442">
        <f>Cleaned_Data!J3442</f>
        <v>48</v>
      </c>
      <c r="K3442" t="str">
        <f t="shared" si="160"/>
        <v>2024-11</v>
      </c>
      <c r="L3442">
        <f t="shared" si="161"/>
        <v>0</v>
      </c>
    </row>
    <row r="3443" spans="1:12">
      <c r="A3443" t="s">
        <v>9990</v>
      </c>
      <c r="B3443" t="s">
        <v>9991</v>
      </c>
      <c r="C3443" t="s">
        <v>9992</v>
      </c>
      <c r="D3443" t="s">
        <v>15</v>
      </c>
      <c r="E3443" t="s">
        <v>54</v>
      </c>
      <c r="F3443" t="s">
        <v>17</v>
      </c>
      <c r="G3443" t="s">
        <v>31</v>
      </c>
      <c r="H3443">
        <f>Cleaned_Data!K3443</f>
        <v>18.11</v>
      </c>
      <c r="I3443" t="str">
        <f t="shared" si="159"/>
        <v>NO</v>
      </c>
      <c r="J3443">
        <f>Cleaned_Data!J3443</f>
        <v>8</v>
      </c>
      <c r="K3443" t="str">
        <f t="shared" si="160"/>
        <v>2024-04</v>
      </c>
      <c r="L3443">
        <f t="shared" si="161"/>
        <v>10.11</v>
      </c>
    </row>
    <row r="3444" spans="1:12">
      <c r="A3444" t="s">
        <v>9993</v>
      </c>
      <c r="B3444" t="s">
        <v>9994</v>
      </c>
      <c r="C3444" t="s">
        <v>9995</v>
      </c>
      <c r="D3444" t="s">
        <v>15</v>
      </c>
      <c r="E3444" t="s">
        <v>59</v>
      </c>
      <c r="F3444" t="s">
        <v>41</v>
      </c>
      <c r="G3444" t="s">
        <v>19</v>
      </c>
      <c r="H3444">
        <f>Cleaned_Data!K3444</f>
        <v>3.56</v>
      </c>
      <c r="I3444" t="str">
        <f t="shared" si="159"/>
        <v>YES</v>
      </c>
      <c r="J3444">
        <f>Cleaned_Data!J3444</f>
        <v>8</v>
      </c>
      <c r="K3444" t="str">
        <f t="shared" si="160"/>
        <v>2024-07</v>
      </c>
      <c r="L3444">
        <f t="shared" si="161"/>
        <v>0</v>
      </c>
    </row>
    <row r="3445" spans="1:12">
      <c r="A3445" t="s">
        <v>9996</v>
      </c>
      <c r="B3445" t="s">
        <v>9997</v>
      </c>
      <c r="C3445" t="s">
        <v>9998</v>
      </c>
      <c r="D3445" t="s">
        <v>15</v>
      </c>
      <c r="E3445" t="s">
        <v>28</v>
      </c>
      <c r="F3445" t="s">
        <v>36</v>
      </c>
      <c r="G3445" t="s">
        <v>31</v>
      </c>
      <c r="H3445">
        <f>Cleaned_Data!K3445</f>
        <v>5.99</v>
      </c>
      <c r="I3445" t="str">
        <f t="shared" si="159"/>
        <v>YES</v>
      </c>
      <c r="J3445">
        <f>Cleaned_Data!J3445</f>
        <v>8</v>
      </c>
      <c r="K3445" t="str">
        <f t="shared" si="160"/>
        <v>2024-04</v>
      </c>
      <c r="L3445">
        <f t="shared" si="161"/>
        <v>0</v>
      </c>
    </row>
    <row r="3446" spans="1:12">
      <c r="A3446" t="s">
        <v>9999</v>
      </c>
      <c r="B3446" t="s">
        <v>10000</v>
      </c>
      <c r="C3446" t="s">
        <v>10001</v>
      </c>
      <c r="D3446" t="s">
        <v>23</v>
      </c>
      <c r="E3446" t="s">
        <v>24</v>
      </c>
      <c r="F3446" t="s">
        <v>29</v>
      </c>
      <c r="G3446" t="s">
        <v>19</v>
      </c>
      <c r="H3446">
        <f>Cleaned_Data!K3446</f>
        <v>10.94</v>
      </c>
      <c r="I3446" t="str">
        <f t="shared" si="159"/>
        <v>YES</v>
      </c>
      <c r="J3446">
        <f>Cleaned_Data!J3446</f>
        <v>24</v>
      </c>
      <c r="K3446" t="str">
        <f t="shared" si="160"/>
        <v>2024-12</v>
      </c>
      <c r="L3446">
        <f t="shared" si="161"/>
        <v>0</v>
      </c>
    </row>
    <row r="3447" spans="1:12">
      <c r="A3447" t="s">
        <v>10002</v>
      </c>
      <c r="B3447" t="s">
        <v>10003</v>
      </c>
      <c r="C3447" t="s">
        <v>10004</v>
      </c>
      <c r="D3447" t="s">
        <v>23</v>
      </c>
      <c r="E3447" t="s">
        <v>54</v>
      </c>
      <c r="F3447" t="s">
        <v>36</v>
      </c>
      <c r="G3447" t="s">
        <v>19</v>
      </c>
      <c r="H3447">
        <f>Cleaned_Data!K3447</f>
        <v>12.25</v>
      </c>
      <c r="I3447" t="str">
        <f t="shared" si="159"/>
        <v>YES</v>
      </c>
      <c r="J3447">
        <f>Cleaned_Data!J3447</f>
        <v>24</v>
      </c>
      <c r="K3447" t="str">
        <f t="shared" si="160"/>
        <v>2024-01</v>
      </c>
      <c r="L3447">
        <f t="shared" si="161"/>
        <v>0</v>
      </c>
    </row>
    <row r="3448" spans="1:12">
      <c r="A3448" t="s">
        <v>10005</v>
      </c>
      <c r="B3448" t="s">
        <v>10006</v>
      </c>
      <c r="C3448" t="s">
        <v>10007</v>
      </c>
      <c r="D3448" t="s">
        <v>15</v>
      </c>
      <c r="E3448" t="s">
        <v>24</v>
      </c>
      <c r="F3448" t="s">
        <v>41</v>
      </c>
      <c r="G3448" t="s">
        <v>31</v>
      </c>
      <c r="H3448">
        <f>Cleaned_Data!K3448</f>
        <v>1.74</v>
      </c>
      <c r="I3448" t="str">
        <f t="shared" si="159"/>
        <v>YES</v>
      </c>
      <c r="J3448">
        <f>Cleaned_Data!J3448</f>
        <v>8</v>
      </c>
      <c r="K3448" t="str">
        <f t="shared" si="160"/>
        <v>2024-02</v>
      </c>
      <c r="L3448">
        <f t="shared" si="161"/>
        <v>0</v>
      </c>
    </row>
    <row r="3449" spans="1:12">
      <c r="A3449" t="s">
        <v>10008</v>
      </c>
      <c r="B3449" t="s">
        <v>10009</v>
      </c>
      <c r="C3449" t="s">
        <v>10010</v>
      </c>
      <c r="D3449" t="s">
        <v>15</v>
      </c>
      <c r="E3449" t="s">
        <v>24</v>
      </c>
      <c r="F3449" t="s">
        <v>41</v>
      </c>
      <c r="G3449" t="s">
        <v>19</v>
      </c>
      <c r="H3449">
        <f>Cleaned_Data!K3449</f>
        <v>1.37</v>
      </c>
      <c r="I3449" t="str">
        <f t="shared" si="159"/>
        <v>YES</v>
      </c>
      <c r="J3449">
        <f>Cleaned_Data!J3449</f>
        <v>8</v>
      </c>
      <c r="K3449" t="str">
        <f t="shared" si="160"/>
        <v>2024-08</v>
      </c>
      <c r="L3449">
        <f t="shared" si="161"/>
        <v>0</v>
      </c>
    </row>
    <row r="3450" spans="1:12">
      <c r="A3450" t="s">
        <v>10011</v>
      </c>
      <c r="B3450" t="s">
        <v>10012</v>
      </c>
      <c r="C3450" t="s">
        <v>10013</v>
      </c>
      <c r="D3450" t="s">
        <v>35</v>
      </c>
      <c r="E3450" t="s">
        <v>59</v>
      </c>
      <c r="F3450" t="s">
        <v>36</v>
      </c>
      <c r="G3450" t="s">
        <v>19</v>
      </c>
      <c r="H3450">
        <f>Cleaned_Data!K3450</f>
        <v>9.24</v>
      </c>
      <c r="I3450" t="str">
        <f t="shared" si="159"/>
        <v>YES</v>
      </c>
      <c r="J3450">
        <f>Cleaned_Data!J3450</f>
        <v>48</v>
      </c>
      <c r="K3450" t="str">
        <f t="shared" si="160"/>
        <v>2024-12</v>
      </c>
      <c r="L3450">
        <f t="shared" si="161"/>
        <v>0</v>
      </c>
    </row>
    <row r="3451" spans="1:12">
      <c r="A3451" t="s">
        <v>10014</v>
      </c>
      <c r="B3451" t="s">
        <v>10015</v>
      </c>
      <c r="D3451" t="s">
        <v>23</v>
      </c>
      <c r="E3451" t="s">
        <v>16</v>
      </c>
      <c r="F3451" t="s">
        <v>41</v>
      </c>
      <c r="G3451" t="s">
        <v>63</v>
      </c>
      <c r="H3451">
        <f>Cleaned_Data!K3451</f>
        <v>0</v>
      </c>
      <c r="I3451" t="str">
        <f t="shared" si="159"/>
        <v/>
      </c>
      <c r="J3451">
        <f>Cleaned_Data!J3451</f>
        <v>24</v>
      </c>
      <c r="K3451" t="str">
        <f t="shared" si="160"/>
        <v>2024-10</v>
      </c>
      <c r="L3451">
        <f t="shared" si="161"/>
        <v>0</v>
      </c>
    </row>
    <row r="3452" spans="1:12">
      <c r="A3452" t="s">
        <v>10016</v>
      </c>
      <c r="B3452" t="s">
        <v>10017</v>
      </c>
      <c r="D3452" t="s">
        <v>23</v>
      </c>
      <c r="E3452" t="s">
        <v>16</v>
      </c>
      <c r="F3452" t="s">
        <v>41</v>
      </c>
      <c r="G3452" t="s">
        <v>46</v>
      </c>
      <c r="H3452">
        <f>Cleaned_Data!K3452</f>
        <v>0</v>
      </c>
      <c r="I3452" t="str">
        <f t="shared" si="159"/>
        <v/>
      </c>
      <c r="J3452">
        <f>Cleaned_Data!J3452</f>
        <v>24</v>
      </c>
      <c r="K3452" t="str">
        <f t="shared" si="160"/>
        <v>2024-04</v>
      </c>
      <c r="L3452">
        <f t="shared" si="161"/>
        <v>0</v>
      </c>
    </row>
    <row r="3453" spans="1:12">
      <c r="A3453" t="s">
        <v>10018</v>
      </c>
      <c r="B3453" t="s">
        <v>10019</v>
      </c>
      <c r="C3453" t="s">
        <v>10020</v>
      </c>
      <c r="D3453" t="s">
        <v>35</v>
      </c>
      <c r="E3453" t="s">
        <v>54</v>
      </c>
      <c r="F3453" t="s">
        <v>60</v>
      </c>
      <c r="G3453" t="s">
        <v>19</v>
      </c>
      <c r="H3453">
        <f>Cleaned_Data!K3453</f>
        <v>13.89</v>
      </c>
      <c r="I3453" t="str">
        <f t="shared" si="159"/>
        <v>YES</v>
      </c>
      <c r="J3453">
        <f>Cleaned_Data!J3453</f>
        <v>48</v>
      </c>
      <c r="K3453" t="str">
        <f t="shared" si="160"/>
        <v>2024-01</v>
      </c>
      <c r="L3453">
        <f t="shared" si="161"/>
        <v>0</v>
      </c>
    </row>
    <row r="3454" spans="1:12">
      <c r="A3454" t="s">
        <v>10021</v>
      </c>
      <c r="B3454" t="s">
        <v>10022</v>
      </c>
      <c r="C3454" t="s">
        <v>10023</v>
      </c>
      <c r="D3454" t="s">
        <v>23</v>
      </c>
      <c r="E3454" t="s">
        <v>16</v>
      </c>
      <c r="F3454" t="s">
        <v>41</v>
      </c>
      <c r="G3454" t="s">
        <v>19</v>
      </c>
      <c r="H3454">
        <f>Cleaned_Data!K3454</f>
        <v>15.4</v>
      </c>
      <c r="I3454" t="str">
        <f t="shared" si="159"/>
        <v>YES</v>
      </c>
      <c r="J3454">
        <f>Cleaned_Data!J3454</f>
        <v>24</v>
      </c>
      <c r="K3454" t="str">
        <f t="shared" si="160"/>
        <v>2024-08</v>
      </c>
      <c r="L3454">
        <f t="shared" si="161"/>
        <v>0</v>
      </c>
    </row>
    <row r="3455" spans="1:12">
      <c r="A3455" t="s">
        <v>10024</v>
      </c>
      <c r="B3455" t="s">
        <v>10025</v>
      </c>
      <c r="C3455" t="s">
        <v>10026</v>
      </c>
      <c r="D3455" t="s">
        <v>23</v>
      </c>
      <c r="E3455" t="s">
        <v>28</v>
      </c>
      <c r="F3455" t="s">
        <v>41</v>
      </c>
      <c r="G3455" t="s">
        <v>19</v>
      </c>
      <c r="H3455">
        <f>Cleaned_Data!K3455</f>
        <v>18.47</v>
      </c>
      <c r="I3455" t="str">
        <f t="shared" si="159"/>
        <v>YES</v>
      </c>
      <c r="J3455">
        <f>Cleaned_Data!J3455</f>
        <v>24</v>
      </c>
      <c r="K3455" t="str">
        <f t="shared" si="160"/>
        <v>2024-10</v>
      </c>
      <c r="L3455">
        <f t="shared" si="161"/>
        <v>0</v>
      </c>
    </row>
    <row r="3456" spans="1:12">
      <c r="A3456" t="s">
        <v>10027</v>
      </c>
      <c r="B3456" t="s">
        <v>10028</v>
      </c>
      <c r="C3456" t="s">
        <v>10029</v>
      </c>
      <c r="D3456" t="s">
        <v>35</v>
      </c>
      <c r="E3456" t="s">
        <v>28</v>
      </c>
      <c r="F3456" t="s">
        <v>60</v>
      </c>
      <c r="G3456" t="s">
        <v>31</v>
      </c>
      <c r="H3456">
        <f>Cleaned_Data!K3456</f>
        <v>36.18</v>
      </c>
      <c r="I3456" t="str">
        <f t="shared" si="159"/>
        <v>YES</v>
      </c>
      <c r="J3456">
        <f>Cleaned_Data!J3456</f>
        <v>48</v>
      </c>
      <c r="K3456" t="str">
        <f t="shared" si="160"/>
        <v>2024-02</v>
      </c>
      <c r="L3456">
        <f t="shared" si="161"/>
        <v>0</v>
      </c>
    </row>
    <row r="3457" spans="1:12">
      <c r="A3457" t="s">
        <v>10030</v>
      </c>
      <c r="B3457" t="s">
        <v>10031</v>
      </c>
      <c r="C3457" t="s">
        <v>10032</v>
      </c>
      <c r="D3457" t="s">
        <v>23</v>
      </c>
      <c r="E3457" t="s">
        <v>16</v>
      </c>
      <c r="F3457" t="s">
        <v>41</v>
      </c>
      <c r="G3457" t="s">
        <v>19</v>
      </c>
      <c r="H3457">
        <f>Cleaned_Data!K3457</f>
        <v>5.32</v>
      </c>
      <c r="I3457" t="str">
        <f t="shared" si="159"/>
        <v>YES</v>
      </c>
      <c r="J3457">
        <f>Cleaned_Data!J3457</f>
        <v>24</v>
      </c>
      <c r="K3457" t="str">
        <f t="shared" si="160"/>
        <v>2024-04</v>
      </c>
      <c r="L3457">
        <f t="shared" si="161"/>
        <v>0</v>
      </c>
    </row>
    <row r="3458" spans="1:12">
      <c r="A3458" t="s">
        <v>10033</v>
      </c>
      <c r="B3458" t="s">
        <v>10034</v>
      </c>
      <c r="C3458" t="s">
        <v>10035</v>
      </c>
      <c r="D3458" t="s">
        <v>158</v>
      </c>
      <c r="E3458" t="s">
        <v>24</v>
      </c>
      <c r="F3458" t="s">
        <v>36</v>
      </c>
      <c r="G3458" t="s">
        <v>19</v>
      </c>
      <c r="H3458">
        <f>Cleaned_Data!K3458</f>
        <v>0.63</v>
      </c>
      <c r="I3458" t="str">
        <f t="shared" ref="I3458:I3521" si="162">IF(OR(G3458="Resolved", G3458="Closed"), IF(AND(H3458&lt;&gt;"", H3458&lt;=J3458), "YES", "NO"), "")</f>
        <v>YES</v>
      </c>
      <c r="J3458">
        <f>Cleaned_Data!J3458</f>
        <v>4</v>
      </c>
      <c r="K3458" t="str">
        <f t="shared" ref="K3458:K3521" si="163">LEFT(B3458, 7)</f>
        <v>2024-08</v>
      </c>
      <c r="L3458">
        <f t="shared" ref="L3458:L3521" si="164">IF(I3458="NO", H3458-J3458, 0)</f>
        <v>0</v>
      </c>
    </row>
    <row r="3459" spans="1:12">
      <c r="A3459" t="s">
        <v>10036</v>
      </c>
      <c r="B3459" t="s">
        <v>10037</v>
      </c>
      <c r="C3459" t="s">
        <v>10038</v>
      </c>
      <c r="D3459" t="s">
        <v>15</v>
      </c>
      <c r="E3459" t="s">
        <v>28</v>
      </c>
      <c r="F3459" t="s">
        <v>41</v>
      </c>
      <c r="G3459" t="s">
        <v>31</v>
      </c>
      <c r="H3459">
        <f>Cleaned_Data!K3459</f>
        <v>2.96</v>
      </c>
      <c r="I3459" t="str">
        <f t="shared" si="162"/>
        <v>YES</v>
      </c>
      <c r="J3459">
        <f>Cleaned_Data!J3459</f>
        <v>8</v>
      </c>
      <c r="K3459" t="str">
        <f t="shared" si="163"/>
        <v>2024-05</v>
      </c>
      <c r="L3459">
        <f t="shared" si="164"/>
        <v>0</v>
      </c>
    </row>
    <row r="3460" spans="1:12">
      <c r="A3460" t="s">
        <v>10039</v>
      </c>
      <c r="B3460" t="s">
        <v>10040</v>
      </c>
      <c r="C3460" t="s">
        <v>10041</v>
      </c>
      <c r="D3460" t="s">
        <v>23</v>
      </c>
      <c r="E3460" t="s">
        <v>28</v>
      </c>
      <c r="F3460" t="s">
        <v>17</v>
      </c>
      <c r="G3460" t="s">
        <v>19</v>
      </c>
      <c r="H3460">
        <f>Cleaned_Data!K3460</f>
        <v>5.33</v>
      </c>
      <c r="I3460" t="str">
        <f t="shared" si="162"/>
        <v>YES</v>
      </c>
      <c r="J3460">
        <f>Cleaned_Data!J3460</f>
        <v>24</v>
      </c>
      <c r="K3460" t="str">
        <f t="shared" si="163"/>
        <v>2024-01</v>
      </c>
      <c r="L3460">
        <f t="shared" si="164"/>
        <v>0</v>
      </c>
    </row>
    <row r="3461" spans="1:12">
      <c r="A3461" t="s">
        <v>10042</v>
      </c>
      <c r="B3461" t="s">
        <v>10043</v>
      </c>
      <c r="D3461" t="s">
        <v>23</v>
      </c>
      <c r="E3461" t="s">
        <v>28</v>
      </c>
      <c r="F3461" t="s">
        <v>29</v>
      </c>
      <c r="G3461" t="s">
        <v>63</v>
      </c>
      <c r="H3461">
        <f>Cleaned_Data!K3461</f>
        <v>0</v>
      </c>
      <c r="I3461" t="str">
        <f t="shared" si="162"/>
        <v/>
      </c>
      <c r="J3461">
        <f>Cleaned_Data!J3461</f>
        <v>24</v>
      </c>
      <c r="K3461" t="str">
        <f t="shared" si="163"/>
        <v>2024-01</v>
      </c>
      <c r="L3461">
        <f t="shared" si="164"/>
        <v>0</v>
      </c>
    </row>
    <row r="3462" spans="1:12">
      <c r="A3462" t="s">
        <v>10044</v>
      </c>
      <c r="B3462" t="s">
        <v>10045</v>
      </c>
      <c r="C3462" t="s">
        <v>10046</v>
      </c>
      <c r="D3462" t="s">
        <v>23</v>
      </c>
      <c r="E3462" t="s">
        <v>28</v>
      </c>
      <c r="F3462" t="s">
        <v>17</v>
      </c>
      <c r="G3462" t="s">
        <v>31</v>
      </c>
      <c r="H3462">
        <f>Cleaned_Data!K3462</f>
        <v>8.0500000000000007</v>
      </c>
      <c r="I3462" t="str">
        <f t="shared" si="162"/>
        <v>YES</v>
      </c>
      <c r="J3462">
        <f>Cleaned_Data!J3462</f>
        <v>24</v>
      </c>
      <c r="K3462" t="str">
        <f t="shared" si="163"/>
        <v>2024-03</v>
      </c>
      <c r="L3462">
        <f t="shared" si="164"/>
        <v>0</v>
      </c>
    </row>
    <row r="3463" spans="1:12">
      <c r="A3463" t="s">
        <v>10047</v>
      </c>
      <c r="B3463" t="s">
        <v>10048</v>
      </c>
      <c r="C3463" t="s">
        <v>10049</v>
      </c>
      <c r="D3463" t="s">
        <v>23</v>
      </c>
      <c r="E3463" t="s">
        <v>54</v>
      </c>
      <c r="F3463" t="s">
        <v>17</v>
      </c>
      <c r="G3463" t="s">
        <v>19</v>
      </c>
      <c r="H3463">
        <f>Cleaned_Data!K3463</f>
        <v>13.78</v>
      </c>
      <c r="I3463" t="str">
        <f t="shared" si="162"/>
        <v>YES</v>
      </c>
      <c r="J3463">
        <f>Cleaned_Data!J3463</f>
        <v>24</v>
      </c>
      <c r="K3463" t="str">
        <f t="shared" si="163"/>
        <v>2024-10</v>
      </c>
      <c r="L3463">
        <f t="shared" si="164"/>
        <v>0</v>
      </c>
    </row>
    <row r="3464" spans="1:12">
      <c r="A3464" t="s">
        <v>10050</v>
      </c>
      <c r="B3464" t="s">
        <v>10051</v>
      </c>
      <c r="C3464" t="s">
        <v>10052</v>
      </c>
      <c r="D3464" t="s">
        <v>15</v>
      </c>
      <c r="E3464" t="s">
        <v>16</v>
      </c>
      <c r="F3464" t="s">
        <v>60</v>
      </c>
      <c r="G3464" t="s">
        <v>31</v>
      </c>
      <c r="H3464">
        <f>Cleaned_Data!K3464</f>
        <v>7.15</v>
      </c>
      <c r="I3464" t="str">
        <f t="shared" si="162"/>
        <v>YES</v>
      </c>
      <c r="J3464">
        <f>Cleaned_Data!J3464</f>
        <v>8</v>
      </c>
      <c r="K3464" t="str">
        <f t="shared" si="163"/>
        <v>2024-06</v>
      </c>
      <c r="L3464">
        <f t="shared" si="164"/>
        <v>0</v>
      </c>
    </row>
    <row r="3465" spans="1:12">
      <c r="A3465" t="s">
        <v>10053</v>
      </c>
      <c r="B3465" t="s">
        <v>10054</v>
      </c>
      <c r="C3465" t="s">
        <v>10055</v>
      </c>
      <c r="D3465" t="s">
        <v>15</v>
      </c>
      <c r="E3465" t="s">
        <v>16</v>
      </c>
      <c r="F3465" t="s">
        <v>17</v>
      </c>
      <c r="G3465" t="s">
        <v>19</v>
      </c>
      <c r="H3465">
        <f>Cleaned_Data!K3465</f>
        <v>2.91</v>
      </c>
      <c r="I3465" t="str">
        <f t="shared" si="162"/>
        <v>YES</v>
      </c>
      <c r="J3465">
        <f>Cleaned_Data!J3465</f>
        <v>8</v>
      </c>
      <c r="K3465" t="str">
        <f t="shared" si="163"/>
        <v>2024-05</v>
      </c>
      <c r="L3465">
        <f t="shared" si="164"/>
        <v>0</v>
      </c>
    </row>
    <row r="3466" spans="1:12">
      <c r="A3466" t="s">
        <v>10056</v>
      </c>
      <c r="B3466" t="s">
        <v>10057</v>
      </c>
      <c r="C3466" t="s">
        <v>10058</v>
      </c>
      <c r="D3466" t="s">
        <v>15</v>
      </c>
      <c r="E3466" t="s">
        <v>28</v>
      </c>
      <c r="F3466" t="s">
        <v>29</v>
      </c>
      <c r="G3466" t="s">
        <v>31</v>
      </c>
      <c r="H3466">
        <f>Cleaned_Data!K3466</f>
        <v>2.1</v>
      </c>
      <c r="I3466" t="str">
        <f t="shared" si="162"/>
        <v>YES</v>
      </c>
      <c r="J3466">
        <f>Cleaned_Data!J3466</f>
        <v>8</v>
      </c>
      <c r="K3466" t="str">
        <f t="shared" si="163"/>
        <v>2024-02</v>
      </c>
      <c r="L3466">
        <f t="shared" si="164"/>
        <v>0</v>
      </c>
    </row>
    <row r="3467" spans="1:12">
      <c r="A3467" t="s">
        <v>10059</v>
      </c>
      <c r="B3467" t="s">
        <v>10060</v>
      </c>
      <c r="D3467" t="s">
        <v>158</v>
      </c>
      <c r="E3467" t="s">
        <v>28</v>
      </c>
      <c r="F3467" t="s">
        <v>36</v>
      </c>
      <c r="G3467" t="s">
        <v>63</v>
      </c>
      <c r="H3467">
        <f>Cleaned_Data!K3467</f>
        <v>0</v>
      </c>
      <c r="I3467" t="str">
        <f t="shared" si="162"/>
        <v/>
      </c>
      <c r="J3467">
        <f>Cleaned_Data!J3467</f>
        <v>4</v>
      </c>
      <c r="K3467" t="str">
        <f t="shared" si="163"/>
        <v>2024-03</v>
      </c>
      <c r="L3467">
        <f t="shared" si="164"/>
        <v>0</v>
      </c>
    </row>
    <row r="3468" spans="1:12">
      <c r="A3468" t="s">
        <v>10061</v>
      </c>
      <c r="B3468" t="s">
        <v>10062</v>
      </c>
      <c r="C3468" t="s">
        <v>10063</v>
      </c>
      <c r="D3468" t="s">
        <v>158</v>
      </c>
      <c r="E3468" t="s">
        <v>28</v>
      </c>
      <c r="F3468" t="s">
        <v>17</v>
      </c>
      <c r="G3468" t="s">
        <v>19</v>
      </c>
      <c r="H3468">
        <f>Cleaned_Data!K3468</f>
        <v>2.81</v>
      </c>
      <c r="I3468" t="str">
        <f t="shared" si="162"/>
        <v>YES</v>
      </c>
      <c r="J3468">
        <f>Cleaned_Data!J3468</f>
        <v>4</v>
      </c>
      <c r="K3468" t="str">
        <f t="shared" si="163"/>
        <v>2024-06</v>
      </c>
      <c r="L3468">
        <f t="shared" si="164"/>
        <v>0</v>
      </c>
    </row>
    <row r="3469" spans="1:12">
      <c r="A3469" t="s">
        <v>10064</v>
      </c>
      <c r="B3469" t="s">
        <v>10065</v>
      </c>
      <c r="D3469" t="s">
        <v>15</v>
      </c>
      <c r="E3469" t="s">
        <v>16</v>
      </c>
      <c r="F3469" t="s">
        <v>36</v>
      </c>
      <c r="G3469" t="s">
        <v>63</v>
      </c>
      <c r="H3469">
        <f>Cleaned_Data!K3469</f>
        <v>0</v>
      </c>
      <c r="I3469" t="str">
        <f t="shared" si="162"/>
        <v/>
      </c>
      <c r="J3469">
        <f>Cleaned_Data!J3469</f>
        <v>8</v>
      </c>
      <c r="K3469" t="str">
        <f t="shared" si="163"/>
        <v>2024-05</v>
      </c>
      <c r="L3469">
        <f t="shared" si="164"/>
        <v>0</v>
      </c>
    </row>
    <row r="3470" spans="1:12">
      <c r="A3470" t="s">
        <v>10066</v>
      </c>
      <c r="B3470" t="s">
        <v>10067</v>
      </c>
      <c r="C3470" t="s">
        <v>10068</v>
      </c>
      <c r="D3470" t="s">
        <v>23</v>
      </c>
      <c r="E3470" t="s">
        <v>54</v>
      </c>
      <c r="F3470" t="s">
        <v>29</v>
      </c>
      <c r="G3470" t="s">
        <v>19</v>
      </c>
      <c r="H3470">
        <f>Cleaned_Data!K3470</f>
        <v>16.420000000000002</v>
      </c>
      <c r="I3470" t="str">
        <f t="shared" si="162"/>
        <v>YES</v>
      </c>
      <c r="J3470">
        <f>Cleaned_Data!J3470</f>
        <v>24</v>
      </c>
      <c r="K3470" t="str">
        <f t="shared" si="163"/>
        <v>2024-04</v>
      </c>
      <c r="L3470">
        <f t="shared" si="164"/>
        <v>0</v>
      </c>
    </row>
    <row r="3471" spans="1:12">
      <c r="A3471" t="s">
        <v>10069</v>
      </c>
      <c r="B3471" t="s">
        <v>10070</v>
      </c>
      <c r="C3471" t="s">
        <v>10071</v>
      </c>
      <c r="D3471" t="s">
        <v>23</v>
      </c>
      <c r="E3471" t="s">
        <v>24</v>
      </c>
      <c r="F3471" t="s">
        <v>60</v>
      </c>
      <c r="G3471" t="s">
        <v>19</v>
      </c>
      <c r="H3471">
        <f>Cleaned_Data!K3471</f>
        <v>19.86</v>
      </c>
      <c r="I3471" t="str">
        <f t="shared" si="162"/>
        <v>YES</v>
      </c>
      <c r="J3471">
        <f>Cleaned_Data!J3471</f>
        <v>24</v>
      </c>
      <c r="K3471" t="str">
        <f t="shared" si="163"/>
        <v>2024-05</v>
      </c>
      <c r="L3471">
        <f t="shared" si="164"/>
        <v>0</v>
      </c>
    </row>
    <row r="3472" spans="1:12">
      <c r="A3472" t="s">
        <v>10072</v>
      </c>
      <c r="B3472" t="s">
        <v>10073</v>
      </c>
      <c r="C3472" t="s">
        <v>10074</v>
      </c>
      <c r="D3472" t="s">
        <v>23</v>
      </c>
      <c r="E3472" t="s">
        <v>16</v>
      </c>
      <c r="F3472" t="s">
        <v>41</v>
      </c>
      <c r="G3472" t="s">
        <v>19</v>
      </c>
      <c r="H3472">
        <f>Cleaned_Data!K3472</f>
        <v>7.49</v>
      </c>
      <c r="I3472" t="str">
        <f t="shared" si="162"/>
        <v>YES</v>
      </c>
      <c r="J3472">
        <f>Cleaned_Data!J3472</f>
        <v>24</v>
      </c>
      <c r="K3472" t="str">
        <f t="shared" si="163"/>
        <v>2024-03</v>
      </c>
      <c r="L3472">
        <f t="shared" si="164"/>
        <v>0</v>
      </c>
    </row>
    <row r="3473" spans="1:12">
      <c r="A3473" t="s">
        <v>10075</v>
      </c>
      <c r="B3473" t="s">
        <v>10076</v>
      </c>
      <c r="C3473" t="s">
        <v>10077</v>
      </c>
      <c r="D3473" t="s">
        <v>15</v>
      </c>
      <c r="E3473" t="s">
        <v>24</v>
      </c>
      <c r="F3473" t="s">
        <v>17</v>
      </c>
      <c r="G3473" t="s">
        <v>31</v>
      </c>
      <c r="H3473">
        <f>Cleaned_Data!K3473</f>
        <v>2.5299999999999998</v>
      </c>
      <c r="I3473" t="str">
        <f t="shared" si="162"/>
        <v>YES</v>
      </c>
      <c r="J3473">
        <f>Cleaned_Data!J3473</f>
        <v>8</v>
      </c>
      <c r="K3473" t="str">
        <f t="shared" si="163"/>
        <v>2024-12</v>
      </c>
      <c r="L3473">
        <f t="shared" si="164"/>
        <v>0</v>
      </c>
    </row>
    <row r="3474" spans="1:12">
      <c r="A3474" t="s">
        <v>10078</v>
      </c>
      <c r="B3474" t="s">
        <v>10079</v>
      </c>
      <c r="C3474" t="s">
        <v>10080</v>
      </c>
      <c r="D3474" t="s">
        <v>23</v>
      </c>
      <c r="E3474" t="s">
        <v>16</v>
      </c>
      <c r="F3474" t="s">
        <v>36</v>
      </c>
      <c r="G3474" t="s">
        <v>31</v>
      </c>
      <c r="H3474">
        <f>Cleaned_Data!K3474</f>
        <v>39.9</v>
      </c>
      <c r="I3474" t="str">
        <f t="shared" si="162"/>
        <v>NO</v>
      </c>
      <c r="J3474">
        <f>Cleaned_Data!J3474</f>
        <v>24</v>
      </c>
      <c r="K3474" t="str">
        <f t="shared" si="163"/>
        <v>2024-01</v>
      </c>
      <c r="L3474">
        <f t="shared" si="164"/>
        <v>15.899999999999999</v>
      </c>
    </row>
    <row r="3475" spans="1:12">
      <c r="A3475" t="s">
        <v>10081</v>
      </c>
      <c r="B3475" t="s">
        <v>10082</v>
      </c>
      <c r="D3475" t="s">
        <v>35</v>
      </c>
      <c r="E3475" t="s">
        <v>28</v>
      </c>
      <c r="F3475" t="s">
        <v>17</v>
      </c>
      <c r="G3475" t="s">
        <v>63</v>
      </c>
      <c r="H3475">
        <f>Cleaned_Data!K3475</f>
        <v>0</v>
      </c>
      <c r="I3475" t="str">
        <f t="shared" si="162"/>
        <v/>
      </c>
      <c r="J3475">
        <f>Cleaned_Data!J3475</f>
        <v>48</v>
      </c>
      <c r="K3475" t="str">
        <f t="shared" si="163"/>
        <v>2024-02</v>
      </c>
      <c r="L3475">
        <f t="shared" si="164"/>
        <v>0</v>
      </c>
    </row>
    <row r="3476" spans="1:12">
      <c r="A3476" t="s">
        <v>10083</v>
      </c>
      <c r="B3476" t="s">
        <v>10084</v>
      </c>
      <c r="C3476" t="s">
        <v>10085</v>
      </c>
      <c r="D3476" t="s">
        <v>23</v>
      </c>
      <c r="E3476" t="s">
        <v>59</v>
      </c>
      <c r="F3476" t="s">
        <v>41</v>
      </c>
      <c r="G3476" t="s">
        <v>19</v>
      </c>
      <c r="H3476">
        <f>Cleaned_Data!K3476</f>
        <v>4.8499999999999996</v>
      </c>
      <c r="I3476" t="str">
        <f t="shared" si="162"/>
        <v>YES</v>
      </c>
      <c r="J3476">
        <f>Cleaned_Data!J3476</f>
        <v>24</v>
      </c>
      <c r="K3476" t="str">
        <f t="shared" si="163"/>
        <v>2024-09</v>
      </c>
      <c r="L3476">
        <f t="shared" si="164"/>
        <v>0</v>
      </c>
    </row>
    <row r="3477" spans="1:12">
      <c r="A3477" t="s">
        <v>10086</v>
      </c>
      <c r="B3477" t="s">
        <v>10087</v>
      </c>
      <c r="C3477" t="s">
        <v>10088</v>
      </c>
      <c r="D3477" t="s">
        <v>35</v>
      </c>
      <c r="E3477" t="s">
        <v>54</v>
      </c>
      <c r="F3477" t="s">
        <v>60</v>
      </c>
      <c r="G3477" t="s">
        <v>19</v>
      </c>
      <c r="H3477">
        <f>Cleaned_Data!K3477</f>
        <v>90.89</v>
      </c>
      <c r="I3477" t="str">
        <f t="shared" si="162"/>
        <v>NO</v>
      </c>
      <c r="J3477">
        <f>Cleaned_Data!J3477</f>
        <v>48</v>
      </c>
      <c r="K3477" t="str">
        <f t="shared" si="163"/>
        <v>2024-11</v>
      </c>
      <c r="L3477">
        <f t="shared" si="164"/>
        <v>42.89</v>
      </c>
    </row>
    <row r="3478" spans="1:12">
      <c r="A3478" t="s">
        <v>10089</v>
      </c>
      <c r="B3478" t="s">
        <v>10090</v>
      </c>
      <c r="C3478" t="s">
        <v>10091</v>
      </c>
      <c r="D3478" t="s">
        <v>35</v>
      </c>
      <c r="E3478" t="s">
        <v>24</v>
      </c>
      <c r="F3478" t="s">
        <v>41</v>
      </c>
      <c r="G3478" t="s">
        <v>19</v>
      </c>
      <c r="H3478">
        <f>Cleaned_Data!K3478</f>
        <v>7.03</v>
      </c>
      <c r="I3478" t="str">
        <f t="shared" si="162"/>
        <v>YES</v>
      </c>
      <c r="J3478">
        <f>Cleaned_Data!J3478</f>
        <v>48</v>
      </c>
      <c r="K3478" t="str">
        <f t="shared" si="163"/>
        <v>2024-01</v>
      </c>
      <c r="L3478">
        <f t="shared" si="164"/>
        <v>0</v>
      </c>
    </row>
    <row r="3479" spans="1:12">
      <c r="A3479" t="s">
        <v>10092</v>
      </c>
      <c r="B3479" t="s">
        <v>10093</v>
      </c>
      <c r="C3479" t="s">
        <v>10094</v>
      </c>
      <c r="D3479" t="s">
        <v>23</v>
      </c>
      <c r="E3479" t="s">
        <v>16</v>
      </c>
      <c r="F3479" t="s">
        <v>41</v>
      </c>
      <c r="G3479" t="s">
        <v>19</v>
      </c>
      <c r="H3479">
        <f>Cleaned_Data!K3479</f>
        <v>39.520000000000003</v>
      </c>
      <c r="I3479" t="str">
        <f t="shared" si="162"/>
        <v>NO</v>
      </c>
      <c r="J3479">
        <f>Cleaned_Data!J3479</f>
        <v>24</v>
      </c>
      <c r="K3479" t="str">
        <f t="shared" si="163"/>
        <v>2024-09</v>
      </c>
      <c r="L3479">
        <f t="shared" si="164"/>
        <v>15.520000000000003</v>
      </c>
    </row>
    <row r="3480" spans="1:12">
      <c r="A3480" t="s">
        <v>10095</v>
      </c>
      <c r="B3480" t="s">
        <v>10096</v>
      </c>
      <c r="C3480" t="s">
        <v>10097</v>
      </c>
      <c r="D3480" t="s">
        <v>35</v>
      </c>
      <c r="E3480" t="s">
        <v>24</v>
      </c>
      <c r="F3480" t="s">
        <v>60</v>
      </c>
      <c r="G3480" t="s">
        <v>31</v>
      </c>
      <c r="H3480">
        <f>Cleaned_Data!K3480</f>
        <v>9.26</v>
      </c>
      <c r="I3480" t="str">
        <f t="shared" si="162"/>
        <v>YES</v>
      </c>
      <c r="J3480">
        <f>Cleaned_Data!J3480</f>
        <v>48</v>
      </c>
      <c r="K3480" t="str">
        <f t="shared" si="163"/>
        <v>2024-09</v>
      </c>
      <c r="L3480">
        <f t="shared" si="164"/>
        <v>0</v>
      </c>
    </row>
    <row r="3481" spans="1:12">
      <c r="A3481" t="s">
        <v>10098</v>
      </c>
      <c r="B3481" t="s">
        <v>10099</v>
      </c>
      <c r="C3481" t="s">
        <v>10100</v>
      </c>
      <c r="D3481" t="s">
        <v>23</v>
      </c>
      <c r="E3481" t="s">
        <v>28</v>
      </c>
      <c r="F3481" t="s">
        <v>36</v>
      </c>
      <c r="G3481" t="s">
        <v>31</v>
      </c>
      <c r="H3481">
        <f>Cleaned_Data!K3481</f>
        <v>12.31</v>
      </c>
      <c r="I3481" t="str">
        <f t="shared" si="162"/>
        <v>YES</v>
      </c>
      <c r="J3481">
        <f>Cleaned_Data!J3481</f>
        <v>24</v>
      </c>
      <c r="K3481" t="str">
        <f t="shared" si="163"/>
        <v>2024-04</v>
      </c>
      <c r="L3481">
        <f t="shared" si="164"/>
        <v>0</v>
      </c>
    </row>
    <row r="3482" spans="1:12">
      <c r="A3482" t="s">
        <v>10101</v>
      </c>
      <c r="B3482" t="s">
        <v>10102</v>
      </c>
      <c r="C3482" t="s">
        <v>10103</v>
      </c>
      <c r="D3482" t="s">
        <v>23</v>
      </c>
      <c r="E3482" t="s">
        <v>28</v>
      </c>
      <c r="F3482" t="s">
        <v>17</v>
      </c>
      <c r="G3482" t="s">
        <v>19</v>
      </c>
      <c r="H3482">
        <f>Cleaned_Data!K3482</f>
        <v>43.49</v>
      </c>
      <c r="I3482" t="str">
        <f t="shared" si="162"/>
        <v>NO</v>
      </c>
      <c r="J3482">
        <f>Cleaned_Data!J3482</f>
        <v>24</v>
      </c>
      <c r="K3482" t="str">
        <f t="shared" si="163"/>
        <v>2024-07</v>
      </c>
      <c r="L3482">
        <f t="shared" si="164"/>
        <v>19.490000000000002</v>
      </c>
    </row>
    <row r="3483" spans="1:12">
      <c r="A3483" t="s">
        <v>10104</v>
      </c>
      <c r="B3483" t="s">
        <v>10105</v>
      </c>
      <c r="C3483" t="s">
        <v>10106</v>
      </c>
      <c r="D3483" t="s">
        <v>15</v>
      </c>
      <c r="E3483" t="s">
        <v>28</v>
      </c>
      <c r="F3483" t="s">
        <v>41</v>
      </c>
      <c r="G3483" t="s">
        <v>19</v>
      </c>
      <c r="H3483">
        <f>Cleaned_Data!K3483</f>
        <v>3.2</v>
      </c>
      <c r="I3483" t="str">
        <f t="shared" si="162"/>
        <v>YES</v>
      </c>
      <c r="J3483">
        <f>Cleaned_Data!J3483</f>
        <v>8</v>
      </c>
      <c r="K3483" t="str">
        <f t="shared" si="163"/>
        <v>2024-12</v>
      </c>
      <c r="L3483">
        <f t="shared" si="164"/>
        <v>0</v>
      </c>
    </row>
    <row r="3484" spans="1:12">
      <c r="A3484" t="s">
        <v>10107</v>
      </c>
      <c r="B3484" t="s">
        <v>10108</v>
      </c>
      <c r="D3484" t="s">
        <v>23</v>
      </c>
      <c r="E3484" t="s">
        <v>28</v>
      </c>
      <c r="F3484" t="s">
        <v>60</v>
      </c>
      <c r="G3484" t="s">
        <v>46</v>
      </c>
      <c r="H3484">
        <f>Cleaned_Data!K3484</f>
        <v>0</v>
      </c>
      <c r="I3484" t="str">
        <f t="shared" si="162"/>
        <v/>
      </c>
      <c r="J3484">
        <f>Cleaned_Data!J3484</f>
        <v>24</v>
      </c>
      <c r="K3484" t="str">
        <f t="shared" si="163"/>
        <v>2024-09</v>
      </c>
      <c r="L3484">
        <f t="shared" si="164"/>
        <v>0</v>
      </c>
    </row>
    <row r="3485" spans="1:12">
      <c r="A3485" t="s">
        <v>10109</v>
      </c>
      <c r="B3485" t="s">
        <v>10110</v>
      </c>
      <c r="C3485" t="s">
        <v>10111</v>
      </c>
      <c r="D3485" t="s">
        <v>158</v>
      </c>
      <c r="E3485" t="s">
        <v>54</v>
      </c>
      <c r="F3485" t="s">
        <v>29</v>
      </c>
      <c r="G3485" t="s">
        <v>31</v>
      </c>
      <c r="H3485">
        <f>Cleaned_Data!K3485</f>
        <v>0.94</v>
      </c>
      <c r="I3485" t="str">
        <f t="shared" si="162"/>
        <v>YES</v>
      </c>
      <c r="J3485">
        <f>Cleaned_Data!J3485</f>
        <v>4</v>
      </c>
      <c r="K3485" t="str">
        <f t="shared" si="163"/>
        <v>2024-09</v>
      </c>
      <c r="L3485">
        <f t="shared" si="164"/>
        <v>0</v>
      </c>
    </row>
    <row r="3486" spans="1:12">
      <c r="A3486" t="s">
        <v>10112</v>
      </c>
      <c r="B3486" t="s">
        <v>10113</v>
      </c>
      <c r="C3486" t="s">
        <v>10114</v>
      </c>
      <c r="D3486" t="s">
        <v>158</v>
      </c>
      <c r="E3486" t="s">
        <v>28</v>
      </c>
      <c r="F3486" t="s">
        <v>17</v>
      </c>
      <c r="G3486" t="s">
        <v>19</v>
      </c>
      <c r="H3486">
        <f>Cleaned_Data!K3486</f>
        <v>9.85</v>
      </c>
      <c r="I3486" t="str">
        <f t="shared" si="162"/>
        <v>NO</v>
      </c>
      <c r="J3486">
        <f>Cleaned_Data!J3486</f>
        <v>4</v>
      </c>
      <c r="K3486" t="str">
        <f t="shared" si="163"/>
        <v>2024-07</v>
      </c>
      <c r="L3486">
        <f t="shared" si="164"/>
        <v>5.85</v>
      </c>
    </row>
    <row r="3487" spans="1:12">
      <c r="A3487" t="s">
        <v>10115</v>
      </c>
      <c r="B3487" t="s">
        <v>10116</v>
      </c>
      <c r="C3487" t="s">
        <v>10117</v>
      </c>
      <c r="D3487" t="s">
        <v>23</v>
      </c>
      <c r="E3487" t="s">
        <v>59</v>
      </c>
      <c r="F3487" t="s">
        <v>29</v>
      </c>
      <c r="G3487" t="s">
        <v>19</v>
      </c>
      <c r="H3487">
        <f>Cleaned_Data!K3487</f>
        <v>6.7</v>
      </c>
      <c r="I3487" t="str">
        <f t="shared" si="162"/>
        <v>YES</v>
      </c>
      <c r="J3487">
        <f>Cleaned_Data!J3487</f>
        <v>24</v>
      </c>
      <c r="K3487" t="str">
        <f t="shared" si="163"/>
        <v>2024-02</v>
      </c>
      <c r="L3487">
        <f t="shared" si="164"/>
        <v>0</v>
      </c>
    </row>
    <row r="3488" spans="1:12">
      <c r="A3488" t="s">
        <v>10118</v>
      </c>
      <c r="B3488" t="s">
        <v>10119</v>
      </c>
      <c r="C3488" t="s">
        <v>10120</v>
      </c>
      <c r="D3488" t="s">
        <v>23</v>
      </c>
      <c r="E3488" t="s">
        <v>28</v>
      </c>
      <c r="F3488" t="s">
        <v>36</v>
      </c>
      <c r="G3488" t="s">
        <v>19</v>
      </c>
      <c r="H3488">
        <f>Cleaned_Data!K3488</f>
        <v>14.71</v>
      </c>
      <c r="I3488" t="str">
        <f t="shared" si="162"/>
        <v>YES</v>
      </c>
      <c r="J3488">
        <f>Cleaned_Data!J3488</f>
        <v>24</v>
      </c>
      <c r="K3488" t="str">
        <f t="shared" si="163"/>
        <v>2024-01</v>
      </c>
      <c r="L3488">
        <f t="shared" si="164"/>
        <v>0</v>
      </c>
    </row>
    <row r="3489" spans="1:12">
      <c r="A3489" t="s">
        <v>10121</v>
      </c>
      <c r="B3489" t="s">
        <v>10122</v>
      </c>
      <c r="C3489" t="s">
        <v>10123</v>
      </c>
      <c r="D3489" t="s">
        <v>23</v>
      </c>
      <c r="E3489" t="s">
        <v>54</v>
      </c>
      <c r="F3489" t="s">
        <v>60</v>
      </c>
      <c r="G3489" t="s">
        <v>19</v>
      </c>
      <c r="H3489">
        <f>Cleaned_Data!K3489</f>
        <v>22.33</v>
      </c>
      <c r="I3489" t="str">
        <f t="shared" si="162"/>
        <v>YES</v>
      </c>
      <c r="J3489">
        <f>Cleaned_Data!J3489</f>
        <v>24</v>
      </c>
      <c r="K3489" t="str">
        <f t="shared" si="163"/>
        <v>2024-07</v>
      </c>
      <c r="L3489">
        <f t="shared" si="164"/>
        <v>0</v>
      </c>
    </row>
    <row r="3490" spans="1:12">
      <c r="A3490" t="s">
        <v>10124</v>
      </c>
      <c r="B3490" t="s">
        <v>10125</v>
      </c>
      <c r="C3490" t="s">
        <v>10126</v>
      </c>
      <c r="D3490" t="s">
        <v>23</v>
      </c>
      <c r="E3490" t="s">
        <v>16</v>
      </c>
      <c r="F3490" t="s">
        <v>29</v>
      </c>
      <c r="G3490" t="s">
        <v>19</v>
      </c>
      <c r="H3490">
        <f>Cleaned_Data!K3490</f>
        <v>21.65</v>
      </c>
      <c r="I3490" t="str">
        <f t="shared" si="162"/>
        <v>YES</v>
      </c>
      <c r="J3490">
        <f>Cleaned_Data!J3490</f>
        <v>24</v>
      </c>
      <c r="K3490" t="str">
        <f t="shared" si="163"/>
        <v>2024-03</v>
      </c>
      <c r="L3490">
        <f t="shared" si="164"/>
        <v>0</v>
      </c>
    </row>
    <row r="3491" spans="1:12">
      <c r="A3491" t="s">
        <v>10127</v>
      </c>
      <c r="B3491" t="s">
        <v>10128</v>
      </c>
      <c r="C3491" t="s">
        <v>10129</v>
      </c>
      <c r="D3491" t="s">
        <v>23</v>
      </c>
      <c r="E3491" t="s">
        <v>28</v>
      </c>
      <c r="F3491" t="s">
        <v>36</v>
      </c>
      <c r="G3491" t="s">
        <v>19</v>
      </c>
      <c r="H3491">
        <f>Cleaned_Data!K3491</f>
        <v>4.46</v>
      </c>
      <c r="I3491" t="str">
        <f t="shared" si="162"/>
        <v>YES</v>
      </c>
      <c r="J3491">
        <f>Cleaned_Data!J3491</f>
        <v>24</v>
      </c>
      <c r="K3491" t="str">
        <f t="shared" si="163"/>
        <v>2024-07</v>
      </c>
      <c r="L3491">
        <f t="shared" si="164"/>
        <v>0</v>
      </c>
    </row>
    <row r="3492" spans="1:12">
      <c r="A3492" t="s">
        <v>10130</v>
      </c>
      <c r="B3492" t="s">
        <v>10131</v>
      </c>
      <c r="C3492" t="s">
        <v>10132</v>
      </c>
      <c r="D3492" t="s">
        <v>23</v>
      </c>
      <c r="E3492" t="s">
        <v>28</v>
      </c>
      <c r="F3492" t="s">
        <v>60</v>
      </c>
      <c r="G3492" t="s">
        <v>31</v>
      </c>
      <c r="H3492">
        <f>Cleaned_Data!K3492</f>
        <v>8.59</v>
      </c>
      <c r="I3492" t="str">
        <f t="shared" si="162"/>
        <v>YES</v>
      </c>
      <c r="J3492">
        <f>Cleaned_Data!J3492</f>
        <v>24</v>
      </c>
      <c r="K3492" t="str">
        <f t="shared" si="163"/>
        <v>2024-05</v>
      </c>
      <c r="L3492">
        <f t="shared" si="164"/>
        <v>0</v>
      </c>
    </row>
    <row r="3493" spans="1:12">
      <c r="A3493" t="s">
        <v>10133</v>
      </c>
      <c r="B3493" t="s">
        <v>10134</v>
      </c>
      <c r="C3493" t="s">
        <v>10135</v>
      </c>
      <c r="D3493" t="s">
        <v>23</v>
      </c>
      <c r="E3493" t="s">
        <v>59</v>
      </c>
      <c r="F3493" t="s">
        <v>41</v>
      </c>
      <c r="G3493" t="s">
        <v>31</v>
      </c>
      <c r="H3493">
        <f>Cleaned_Data!K3493</f>
        <v>17.079999999999998</v>
      </c>
      <c r="I3493" t="str">
        <f t="shared" si="162"/>
        <v>YES</v>
      </c>
      <c r="J3493">
        <f>Cleaned_Data!J3493</f>
        <v>24</v>
      </c>
      <c r="K3493" t="str">
        <f t="shared" si="163"/>
        <v>2024-02</v>
      </c>
      <c r="L3493">
        <f t="shared" si="164"/>
        <v>0</v>
      </c>
    </row>
    <row r="3494" spans="1:12">
      <c r="A3494" t="s">
        <v>10136</v>
      </c>
      <c r="B3494" t="s">
        <v>10137</v>
      </c>
      <c r="C3494" t="s">
        <v>10138</v>
      </c>
      <c r="D3494" t="s">
        <v>35</v>
      </c>
      <c r="E3494" t="s">
        <v>28</v>
      </c>
      <c r="F3494" t="s">
        <v>29</v>
      </c>
      <c r="G3494" t="s">
        <v>19</v>
      </c>
      <c r="H3494">
        <f>Cleaned_Data!K3494</f>
        <v>24.25</v>
      </c>
      <c r="I3494" t="str">
        <f t="shared" si="162"/>
        <v>YES</v>
      </c>
      <c r="J3494">
        <f>Cleaned_Data!J3494</f>
        <v>48</v>
      </c>
      <c r="K3494" t="str">
        <f t="shared" si="163"/>
        <v>2024-07</v>
      </c>
      <c r="L3494">
        <f t="shared" si="164"/>
        <v>0</v>
      </c>
    </row>
    <row r="3495" spans="1:12">
      <c r="A3495" t="s">
        <v>10139</v>
      </c>
      <c r="B3495" t="s">
        <v>10140</v>
      </c>
      <c r="D3495" t="s">
        <v>23</v>
      </c>
      <c r="E3495" t="s">
        <v>24</v>
      </c>
      <c r="F3495" t="s">
        <v>41</v>
      </c>
      <c r="G3495" t="s">
        <v>63</v>
      </c>
      <c r="H3495">
        <f>Cleaned_Data!K3495</f>
        <v>0</v>
      </c>
      <c r="I3495" t="str">
        <f t="shared" si="162"/>
        <v/>
      </c>
      <c r="J3495">
        <f>Cleaned_Data!J3495</f>
        <v>24</v>
      </c>
      <c r="K3495" t="str">
        <f t="shared" si="163"/>
        <v>2024-01</v>
      </c>
      <c r="L3495">
        <f t="shared" si="164"/>
        <v>0</v>
      </c>
    </row>
    <row r="3496" spans="1:12">
      <c r="A3496" t="s">
        <v>10141</v>
      </c>
      <c r="B3496" t="s">
        <v>10142</v>
      </c>
      <c r="C3496" t="s">
        <v>10143</v>
      </c>
      <c r="D3496" t="s">
        <v>23</v>
      </c>
      <c r="E3496" t="s">
        <v>28</v>
      </c>
      <c r="F3496" t="s">
        <v>17</v>
      </c>
      <c r="G3496" t="s">
        <v>31</v>
      </c>
      <c r="H3496">
        <f>Cleaned_Data!K3496</f>
        <v>15.96</v>
      </c>
      <c r="I3496" t="str">
        <f t="shared" si="162"/>
        <v>YES</v>
      </c>
      <c r="J3496">
        <f>Cleaned_Data!J3496</f>
        <v>24</v>
      </c>
      <c r="K3496" t="str">
        <f t="shared" si="163"/>
        <v>2024-02</v>
      </c>
      <c r="L3496">
        <f t="shared" si="164"/>
        <v>0</v>
      </c>
    </row>
    <row r="3497" spans="1:12">
      <c r="A3497" t="s">
        <v>10144</v>
      </c>
      <c r="B3497" t="s">
        <v>10145</v>
      </c>
      <c r="C3497" t="s">
        <v>10146</v>
      </c>
      <c r="D3497" t="s">
        <v>35</v>
      </c>
      <c r="E3497" t="s">
        <v>28</v>
      </c>
      <c r="F3497" t="s">
        <v>29</v>
      </c>
      <c r="G3497" t="s">
        <v>31</v>
      </c>
      <c r="H3497">
        <f>Cleaned_Data!K3497</f>
        <v>78.09</v>
      </c>
      <c r="I3497" t="str">
        <f t="shared" si="162"/>
        <v>NO</v>
      </c>
      <c r="J3497">
        <f>Cleaned_Data!J3497</f>
        <v>48</v>
      </c>
      <c r="K3497" t="str">
        <f t="shared" si="163"/>
        <v>2024-05</v>
      </c>
      <c r="L3497">
        <f t="shared" si="164"/>
        <v>30.090000000000003</v>
      </c>
    </row>
    <row r="3498" spans="1:12">
      <c r="A3498" t="s">
        <v>10147</v>
      </c>
      <c r="B3498" t="s">
        <v>10148</v>
      </c>
      <c r="D3498" t="s">
        <v>35</v>
      </c>
      <c r="E3498" t="s">
        <v>59</v>
      </c>
      <c r="F3498" t="s">
        <v>60</v>
      </c>
      <c r="G3498" t="s">
        <v>63</v>
      </c>
      <c r="H3498">
        <f>Cleaned_Data!K3498</f>
        <v>0</v>
      </c>
      <c r="I3498" t="str">
        <f t="shared" si="162"/>
        <v/>
      </c>
      <c r="J3498">
        <f>Cleaned_Data!J3498</f>
        <v>48</v>
      </c>
      <c r="K3498" t="str">
        <f t="shared" si="163"/>
        <v>2024-07</v>
      </c>
      <c r="L3498">
        <f t="shared" si="164"/>
        <v>0</v>
      </c>
    </row>
    <row r="3499" spans="1:12">
      <c r="A3499" t="s">
        <v>10149</v>
      </c>
      <c r="B3499" t="s">
        <v>10150</v>
      </c>
      <c r="C3499" t="s">
        <v>10151</v>
      </c>
      <c r="D3499" t="s">
        <v>15</v>
      </c>
      <c r="E3499" t="s">
        <v>16</v>
      </c>
      <c r="F3499" t="s">
        <v>41</v>
      </c>
      <c r="G3499" t="s">
        <v>19</v>
      </c>
      <c r="H3499">
        <f>Cleaned_Data!K3499</f>
        <v>4.05</v>
      </c>
      <c r="I3499" t="str">
        <f t="shared" si="162"/>
        <v>YES</v>
      </c>
      <c r="J3499">
        <f>Cleaned_Data!J3499</f>
        <v>8</v>
      </c>
      <c r="K3499" t="str">
        <f t="shared" si="163"/>
        <v>2024-11</v>
      </c>
      <c r="L3499">
        <f t="shared" si="164"/>
        <v>0</v>
      </c>
    </row>
    <row r="3500" spans="1:12">
      <c r="A3500" t="s">
        <v>10152</v>
      </c>
      <c r="B3500" t="s">
        <v>10153</v>
      </c>
      <c r="D3500" t="s">
        <v>23</v>
      </c>
      <c r="E3500" t="s">
        <v>24</v>
      </c>
      <c r="F3500" t="s">
        <v>29</v>
      </c>
      <c r="G3500" t="s">
        <v>63</v>
      </c>
      <c r="H3500">
        <f>Cleaned_Data!K3500</f>
        <v>0</v>
      </c>
      <c r="I3500" t="str">
        <f t="shared" si="162"/>
        <v/>
      </c>
      <c r="J3500">
        <f>Cleaned_Data!J3500</f>
        <v>24</v>
      </c>
      <c r="K3500" t="str">
        <f t="shared" si="163"/>
        <v>2024-02</v>
      </c>
      <c r="L3500">
        <f t="shared" si="164"/>
        <v>0</v>
      </c>
    </row>
    <row r="3501" spans="1:12">
      <c r="A3501" t="s">
        <v>10154</v>
      </c>
      <c r="B3501" t="s">
        <v>10155</v>
      </c>
      <c r="C3501" t="s">
        <v>10156</v>
      </c>
      <c r="D3501" t="s">
        <v>15</v>
      </c>
      <c r="E3501" t="s">
        <v>28</v>
      </c>
      <c r="F3501" t="s">
        <v>60</v>
      </c>
      <c r="G3501" t="s">
        <v>31</v>
      </c>
      <c r="H3501">
        <f>Cleaned_Data!K3501</f>
        <v>0.92</v>
      </c>
      <c r="I3501" t="str">
        <f t="shared" si="162"/>
        <v>YES</v>
      </c>
      <c r="J3501">
        <f>Cleaned_Data!J3501</f>
        <v>8</v>
      </c>
      <c r="K3501" t="str">
        <f t="shared" si="163"/>
        <v>2024-02</v>
      </c>
      <c r="L3501">
        <f t="shared" si="164"/>
        <v>0</v>
      </c>
    </row>
    <row r="3502" spans="1:12">
      <c r="A3502" t="s">
        <v>10157</v>
      </c>
      <c r="B3502" t="s">
        <v>10158</v>
      </c>
      <c r="D3502" t="s">
        <v>15</v>
      </c>
      <c r="E3502" t="s">
        <v>28</v>
      </c>
      <c r="F3502" t="s">
        <v>60</v>
      </c>
      <c r="G3502" t="s">
        <v>46</v>
      </c>
      <c r="H3502">
        <f>Cleaned_Data!K3502</f>
        <v>0</v>
      </c>
      <c r="I3502" t="str">
        <f t="shared" si="162"/>
        <v/>
      </c>
      <c r="J3502">
        <f>Cleaned_Data!J3502</f>
        <v>8</v>
      </c>
      <c r="K3502" t="str">
        <f t="shared" si="163"/>
        <v>2024-10</v>
      </c>
      <c r="L3502">
        <f t="shared" si="164"/>
        <v>0</v>
      </c>
    </row>
    <row r="3503" spans="1:12">
      <c r="A3503" t="s">
        <v>10159</v>
      </c>
      <c r="B3503" t="s">
        <v>10160</v>
      </c>
      <c r="C3503" t="s">
        <v>10161</v>
      </c>
      <c r="D3503" t="s">
        <v>15</v>
      </c>
      <c r="E3503" t="s">
        <v>28</v>
      </c>
      <c r="F3503" t="s">
        <v>41</v>
      </c>
      <c r="G3503" t="s">
        <v>19</v>
      </c>
      <c r="H3503">
        <f>Cleaned_Data!K3503</f>
        <v>2.12</v>
      </c>
      <c r="I3503" t="str">
        <f t="shared" si="162"/>
        <v>YES</v>
      </c>
      <c r="J3503">
        <f>Cleaned_Data!J3503</f>
        <v>8</v>
      </c>
      <c r="K3503" t="str">
        <f t="shared" si="163"/>
        <v>2024-06</v>
      </c>
      <c r="L3503">
        <f t="shared" si="164"/>
        <v>0</v>
      </c>
    </row>
    <row r="3504" spans="1:12">
      <c r="A3504" t="s">
        <v>10162</v>
      </c>
      <c r="B3504" t="s">
        <v>10163</v>
      </c>
      <c r="C3504" t="s">
        <v>10164</v>
      </c>
      <c r="D3504" t="s">
        <v>23</v>
      </c>
      <c r="E3504" t="s">
        <v>24</v>
      </c>
      <c r="F3504" t="s">
        <v>29</v>
      </c>
      <c r="G3504" t="s">
        <v>19</v>
      </c>
      <c r="H3504">
        <f>Cleaned_Data!K3504</f>
        <v>10.65</v>
      </c>
      <c r="I3504" t="str">
        <f t="shared" si="162"/>
        <v>YES</v>
      </c>
      <c r="J3504">
        <f>Cleaned_Data!J3504</f>
        <v>24</v>
      </c>
      <c r="K3504" t="str">
        <f t="shared" si="163"/>
        <v>2024-08</v>
      </c>
      <c r="L3504">
        <f t="shared" si="164"/>
        <v>0</v>
      </c>
    </row>
    <row r="3505" spans="1:12">
      <c r="A3505" t="s">
        <v>10165</v>
      </c>
      <c r="B3505" t="s">
        <v>10166</v>
      </c>
      <c r="C3505" t="s">
        <v>10167</v>
      </c>
      <c r="D3505" t="s">
        <v>15</v>
      </c>
      <c r="E3505" t="s">
        <v>24</v>
      </c>
      <c r="F3505" t="s">
        <v>29</v>
      </c>
      <c r="G3505" t="s">
        <v>19</v>
      </c>
      <c r="H3505">
        <f>Cleaned_Data!K3505</f>
        <v>3.87</v>
      </c>
      <c r="I3505" t="str">
        <f t="shared" si="162"/>
        <v>YES</v>
      </c>
      <c r="J3505">
        <f>Cleaned_Data!J3505</f>
        <v>8</v>
      </c>
      <c r="K3505" t="str">
        <f t="shared" si="163"/>
        <v>2024-02</v>
      </c>
      <c r="L3505">
        <f t="shared" si="164"/>
        <v>0</v>
      </c>
    </row>
    <row r="3506" spans="1:12">
      <c r="A3506" t="s">
        <v>10168</v>
      </c>
      <c r="B3506" t="s">
        <v>10169</v>
      </c>
      <c r="C3506" t="s">
        <v>10170</v>
      </c>
      <c r="D3506" t="s">
        <v>15</v>
      </c>
      <c r="E3506" t="s">
        <v>16</v>
      </c>
      <c r="F3506" t="s">
        <v>29</v>
      </c>
      <c r="G3506" t="s">
        <v>31</v>
      </c>
      <c r="H3506">
        <f>Cleaned_Data!K3506</f>
        <v>2.58</v>
      </c>
      <c r="I3506" t="str">
        <f t="shared" si="162"/>
        <v>YES</v>
      </c>
      <c r="J3506">
        <f>Cleaned_Data!J3506</f>
        <v>8</v>
      </c>
      <c r="K3506" t="str">
        <f t="shared" si="163"/>
        <v>2024-02</v>
      </c>
      <c r="L3506">
        <f t="shared" si="164"/>
        <v>0</v>
      </c>
    </row>
    <row r="3507" spans="1:12">
      <c r="A3507" t="s">
        <v>10171</v>
      </c>
      <c r="B3507" t="s">
        <v>10172</v>
      </c>
      <c r="C3507" t="s">
        <v>10173</v>
      </c>
      <c r="D3507" t="s">
        <v>23</v>
      </c>
      <c r="E3507" t="s">
        <v>16</v>
      </c>
      <c r="F3507" t="s">
        <v>60</v>
      </c>
      <c r="G3507" t="s">
        <v>19</v>
      </c>
      <c r="H3507">
        <f>Cleaned_Data!K3507</f>
        <v>11.2</v>
      </c>
      <c r="I3507" t="str">
        <f t="shared" si="162"/>
        <v>YES</v>
      </c>
      <c r="J3507">
        <f>Cleaned_Data!J3507</f>
        <v>24</v>
      </c>
      <c r="K3507" t="str">
        <f t="shared" si="163"/>
        <v>2024-11</v>
      </c>
      <c r="L3507">
        <f t="shared" si="164"/>
        <v>0</v>
      </c>
    </row>
    <row r="3508" spans="1:12">
      <c r="A3508" t="s">
        <v>10174</v>
      </c>
      <c r="B3508" t="s">
        <v>10175</v>
      </c>
      <c r="C3508" t="s">
        <v>10176</v>
      </c>
      <c r="D3508" t="s">
        <v>15</v>
      </c>
      <c r="E3508" t="s">
        <v>24</v>
      </c>
      <c r="F3508" t="s">
        <v>60</v>
      </c>
      <c r="G3508" t="s">
        <v>19</v>
      </c>
      <c r="H3508">
        <f>Cleaned_Data!K3508</f>
        <v>6.04</v>
      </c>
      <c r="I3508" t="str">
        <f t="shared" si="162"/>
        <v>YES</v>
      </c>
      <c r="J3508">
        <f>Cleaned_Data!J3508</f>
        <v>8</v>
      </c>
      <c r="K3508" t="str">
        <f t="shared" si="163"/>
        <v>2024-11</v>
      </c>
      <c r="L3508">
        <f t="shared" si="164"/>
        <v>0</v>
      </c>
    </row>
    <row r="3509" spans="1:12">
      <c r="A3509" t="s">
        <v>10177</v>
      </c>
      <c r="B3509" t="s">
        <v>10178</v>
      </c>
      <c r="C3509" t="s">
        <v>10179</v>
      </c>
      <c r="D3509" t="s">
        <v>158</v>
      </c>
      <c r="E3509" t="s">
        <v>54</v>
      </c>
      <c r="F3509" t="s">
        <v>17</v>
      </c>
      <c r="G3509" t="s">
        <v>19</v>
      </c>
      <c r="H3509">
        <f>Cleaned_Data!K3509</f>
        <v>1.73</v>
      </c>
      <c r="I3509" t="str">
        <f t="shared" si="162"/>
        <v>YES</v>
      </c>
      <c r="J3509">
        <f>Cleaned_Data!J3509</f>
        <v>4</v>
      </c>
      <c r="K3509" t="str">
        <f t="shared" si="163"/>
        <v>2024-08</v>
      </c>
      <c r="L3509">
        <f t="shared" si="164"/>
        <v>0</v>
      </c>
    </row>
    <row r="3510" spans="1:12">
      <c r="A3510" t="s">
        <v>10180</v>
      </c>
      <c r="B3510" t="s">
        <v>10181</v>
      </c>
      <c r="C3510" t="s">
        <v>10182</v>
      </c>
      <c r="D3510" t="s">
        <v>35</v>
      </c>
      <c r="E3510" t="s">
        <v>16</v>
      </c>
      <c r="F3510" t="s">
        <v>29</v>
      </c>
      <c r="G3510" t="s">
        <v>19</v>
      </c>
      <c r="H3510">
        <f>Cleaned_Data!K3510</f>
        <v>11.33</v>
      </c>
      <c r="I3510" t="str">
        <f t="shared" si="162"/>
        <v>YES</v>
      </c>
      <c r="J3510">
        <f>Cleaned_Data!J3510</f>
        <v>48</v>
      </c>
      <c r="K3510" t="str">
        <f t="shared" si="163"/>
        <v>2024-08</v>
      </c>
      <c r="L3510">
        <f t="shared" si="164"/>
        <v>0</v>
      </c>
    </row>
    <row r="3511" spans="1:12">
      <c r="A3511" t="s">
        <v>10183</v>
      </c>
      <c r="B3511" t="s">
        <v>10184</v>
      </c>
      <c r="C3511" t="s">
        <v>10185</v>
      </c>
      <c r="D3511" t="s">
        <v>23</v>
      </c>
      <c r="E3511" t="s">
        <v>28</v>
      </c>
      <c r="F3511" t="s">
        <v>60</v>
      </c>
      <c r="G3511" t="s">
        <v>19</v>
      </c>
      <c r="H3511">
        <f>Cleaned_Data!K3511</f>
        <v>20.11</v>
      </c>
      <c r="I3511" t="str">
        <f t="shared" si="162"/>
        <v>YES</v>
      </c>
      <c r="J3511">
        <f>Cleaned_Data!J3511</f>
        <v>24</v>
      </c>
      <c r="K3511" t="str">
        <f t="shared" si="163"/>
        <v>2024-09</v>
      </c>
      <c r="L3511">
        <f t="shared" si="164"/>
        <v>0</v>
      </c>
    </row>
    <row r="3512" spans="1:12">
      <c r="A3512" t="s">
        <v>10186</v>
      </c>
      <c r="B3512" t="s">
        <v>10187</v>
      </c>
      <c r="D3512" t="s">
        <v>15</v>
      </c>
      <c r="E3512" t="s">
        <v>24</v>
      </c>
      <c r="F3512" t="s">
        <v>36</v>
      </c>
      <c r="G3512" t="s">
        <v>63</v>
      </c>
      <c r="H3512">
        <f>Cleaned_Data!K3512</f>
        <v>0</v>
      </c>
      <c r="I3512" t="str">
        <f t="shared" si="162"/>
        <v/>
      </c>
      <c r="J3512">
        <f>Cleaned_Data!J3512</f>
        <v>8</v>
      </c>
      <c r="K3512" t="str">
        <f t="shared" si="163"/>
        <v>2024-01</v>
      </c>
      <c r="L3512">
        <f t="shared" si="164"/>
        <v>0</v>
      </c>
    </row>
    <row r="3513" spans="1:12">
      <c r="A3513" t="s">
        <v>10188</v>
      </c>
      <c r="B3513" t="s">
        <v>10189</v>
      </c>
      <c r="C3513" t="s">
        <v>10190</v>
      </c>
      <c r="D3513" t="s">
        <v>23</v>
      </c>
      <c r="E3513" t="s">
        <v>28</v>
      </c>
      <c r="F3513" t="s">
        <v>41</v>
      </c>
      <c r="G3513" t="s">
        <v>31</v>
      </c>
      <c r="H3513">
        <f>Cleaned_Data!K3513</f>
        <v>7.78</v>
      </c>
      <c r="I3513" t="str">
        <f t="shared" si="162"/>
        <v>YES</v>
      </c>
      <c r="J3513">
        <f>Cleaned_Data!J3513</f>
        <v>24</v>
      </c>
      <c r="K3513" t="str">
        <f t="shared" si="163"/>
        <v>2024-01</v>
      </c>
      <c r="L3513">
        <f t="shared" si="164"/>
        <v>0</v>
      </c>
    </row>
    <row r="3514" spans="1:12">
      <c r="A3514" t="s">
        <v>10191</v>
      </c>
      <c r="B3514" t="s">
        <v>10192</v>
      </c>
      <c r="C3514" t="s">
        <v>10193</v>
      </c>
      <c r="D3514" t="s">
        <v>15</v>
      </c>
      <c r="E3514" t="s">
        <v>54</v>
      </c>
      <c r="F3514" t="s">
        <v>36</v>
      </c>
      <c r="G3514" t="s">
        <v>19</v>
      </c>
      <c r="H3514">
        <f>Cleaned_Data!K3514</f>
        <v>7.13</v>
      </c>
      <c r="I3514" t="str">
        <f t="shared" si="162"/>
        <v>YES</v>
      </c>
      <c r="J3514">
        <f>Cleaned_Data!J3514</f>
        <v>8</v>
      </c>
      <c r="K3514" t="str">
        <f t="shared" si="163"/>
        <v>2024-10</v>
      </c>
      <c r="L3514">
        <f t="shared" si="164"/>
        <v>0</v>
      </c>
    </row>
    <row r="3515" spans="1:12">
      <c r="A3515" t="s">
        <v>10194</v>
      </c>
      <c r="B3515" t="s">
        <v>10195</v>
      </c>
      <c r="C3515" t="s">
        <v>10196</v>
      </c>
      <c r="D3515" t="s">
        <v>23</v>
      </c>
      <c r="E3515" t="s">
        <v>16</v>
      </c>
      <c r="F3515" t="s">
        <v>36</v>
      </c>
      <c r="G3515" t="s">
        <v>31</v>
      </c>
      <c r="H3515">
        <f>Cleaned_Data!K3515</f>
        <v>14.96</v>
      </c>
      <c r="I3515" t="str">
        <f t="shared" si="162"/>
        <v>YES</v>
      </c>
      <c r="J3515">
        <f>Cleaned_Data!J3515</f>
        <v>24</v>
      </c>
      <c r="K3515" t="str">
        <f t="shared" si="163"/>
        <v>2024-12</v>
      </c>
      <c r="L3515">
        <f t="shared" si="164"/>
        <v>0</v>
      </c>
    </row>
    <row r="3516" spans="1:12">
      <c r="A3516" t="s">
        <v>10197</v>
      </c>
      <c r="B3516" t="s">
        <v>10198</v>
      </c>
      <c r="C3516" t="s">
        <v>10199</v>
      </c>
      <c r="D3516" t="s">
        <v>35</v>
      </c>
      <c r="E3516" t="s">
        <v>59</v>
      </c>
      <c r="F3516" t="s">
        <v>60</v>
      </c>
      <c r="G3516" t="s">
        <v>31</v>
      </c>
      <c r="H3516">
        <f>Cleaned_Data!K3516</f>
        <v>21.5</v>
      </c>
      <c r="I3516" t="str">
        <f t="shared" si="162"/>
        <v>YES</v>
      </c>
      <c r="J3516">
        <f>Cleaned_Data!J3516</f>
        <v>48</v>
      </c>
      <c r="K3516" t="str">
        <f t="shared" si="163"/>
        <v>2024-11</v>
      </c>
      <c r="L3516">
        <f t="shared" si="164"/>
        <v>0</v>
      </c>
    </row>
    <row r="3517" spans="1:12">
      <c r="A3517" t="s">
        <v>10200</v>
      </c>
      <c r="B3517" t="s">
        <v>10201</v>
      </c>
      <c r="D3517" t="s">
        <v>15</v>
      </c>
      <c r="E3517" t="s">
        <v>24</v>
      </c>
      <c r="F3517" t="s">
        <v>36</v>
      </c>
      <c r="G3517" t="s">
        <v>63</v>
      </c>
      <c r="H3517">
        <f>Cleaned_Data!K3517</f>
        <v>0</v>
      </c>
      <c r="I3517" t="str">
        <f t="shared" si="162"/>
        <v/>
      </c>
      <c r="J3517">
        <f>Cleaned_Data!J3517</f>
        <v>8</v>
      </c>
      <c r="K3517" t="str">
        <f t="shared" si="163"/>
        <v>2024-10</v>
      </c>
      <c r="L3517">
        <f t="shared" si="164"/>
        <v>0</v>
      </c>
    </row>
    <row r="3518" spans="1:12">
      <c r="A3518" t="s">
        <v>10202</v>
      </c>
      <c r="B3518" t="s">
        <v>10203</v>
      </c>
      <c r="C3518" t="s">
        <v>10204</v>
      </c>
      <c r="D3518" t="s">
        <v>15</v>
      </c>
      <c r="E3518" t="s">
        <v>16</v>
      </c>
      <c r="F3518" t="s">
        <v>60</v>
      </c>
      <c r="G3518" t="s">
        <v>19</v>
      </c>
      <c r="H3518">
        <f>Cleaned_Data!K3518</f>
        <v>7.49</v>
      </c>
      <c r="I3518" t="str">
        <f t="shared" si="162"/>
        <v>YES</v>
      </c>
      <c r="J3518">
        <f>Cleaned_Data!J3518</f>
        <v>8</v>
      </c>
      <c r="K3518" t="str">
        <f t="shared" si="163"/>
        <v>2024-02</v>
      </c>
      <c r="L3518">
        <f t="shared" si="164"/>
        <v>0</v>
      </c>
    </row>
    <row r="3519" spans="1:12">
      <c r="A3519" t="s">
        <v>10205</v>
      </c>
      <c r="B3519" t="s">
        <v>10206</v>
      </c>
      <c r="C3519" t="s">
        <v>10207</v>
      </c>
      <c r="D3519" t="s">
        <v>23</v>
      </c>
      <c r="E3519" t="s">
        <v>24</v>
      </c>
      <c r="F3519" t="s">
        <v>36</v>
      </c>
      <c r="G3519" t="s">
        <v>31</v>
      </c>
      <c r="H3519">
        <f>Cleaned_Data!K3519</f>
        <v>8.7200000000000006</v>
      </c>
      <c r="I3519" t="str">
        <f t="shared" si="162"/>
        <v>YES</v>
      </c>
      <c r="J3519">
        <f>Cleaned_Data!J3519</f>
        <v>24</v>
      </c>
      <c r="K3519" t="str">
        <f t="shared" si="163"/>
        <v>2024-09</v>
      </c>
      <c r="L3519">
        <f t="shared" si="164"/>
        <v>0</v>
      </c>
    </row>
    <row r="3520" spans="1:12">
      <c r="A3520" t="s">
        <v>10208</v>
      </c>
      <c r="B3520" t="s">
        <v>10209</v>
      </c>
      <c r="C3520" t="s">
        <v>10210</v>
      </c>
      <c r="D3520" t="s">
        <v>23</v>
      </c>
      <c r="E3520" t="s">
        <v>24</v>
      </c>
      <c r="F3520" t="s">
        <v>29</v>
      </c>
      <c r="G3520" t="s">
        <v>31</v>
      </c>
      <c r="H3520">
        <f>Cleaned_Data!K3520</f>
        <v>46.41</v>
      </c>
      <c r="I3520" t="str">
        <f t="shared" si="162"/>
        <v>NO</v>
      </c>
      <c r="J3520">
        <f>Cleaned_Data!J3520</f>
        <v>24</v>
      </c>
      <c r="K3520" t="str">
        <f t="shared" si="163"/>
        <v>2024-07</v>
      </c>
      <c r="L3520">
        <f t="shared" si="164"/>
        <v>22.409999999999997</v>
      </c>
    </row>
    <row r="3521" spans="1:12">
      <c r="A3521" t="s">
        <v>10211</v>
      </c>
      <c r="B3521" t="s">
        <v>10212</v>
      </c>
      <c r="C3521" t="s">
        <v>10213</v>
      </c>
      <c r="D3521" t="s">
        <v>23</v>
      </c>
      <c r="E3521" t="s">
        <v>28</v>
      </c>
      <c r="F3521" t="s">
        <v>36</v>
      </c>
      <c r="G3521" t="s">
        <v>19</v>
      </c>
      <c r="H3521">
        <f>Cleaned_Data!K3521</f>
        <v>18.87</v>
      </c>
      <c r="I3521" t="str">
        <f t="shared" si="162"/>
        <v>YES</v>
      </c>
      <c r="J3521">
        <f>Cleaned_Data!J3521</f>
        <v>24</v>
      </c>
      <c r="K3521" t="str">
        <f t="shared" si="163"/>
        <v>2024-11</v>
      </c>
      <c r="L3521">
        <f t="shared" si="164"/>
        <v>0</v>
      </c>
    </row>
    <row r="3522" spans="1:12">
      <c r="A3522" t="s">
        <v>10214</v>
      </c>
      <c r="B3522" t="s">
        <v>10215</v>
      </c>
      <c r="C3522" t="s">
        <v>10216</v>
      </c>
      <c r="D3522" t="s">
        <v>15</v>
      </c>
      <c r="E3522" t="s">
        <v>28</v>
      </c>
      <c r="F3522" t="s">
        <v>17</v>
      </c>
      <c r="G3522" t="s">
        <v>19</v>
      </c>
      <c r="H3522">
        <f>Cleaned_Data!K3522</f>
        <v>17.75</v>
      </c>
      <c r="I3522" t="str">
        <f t="shared" ref="I3522:I3585" si="165">IF(OR(G3522="Resolved", G3522="Closed"), IF(AND(H3522&lt;&gt;"", H3522&lt;=J3522), "YES", "NO"), "")</f>
        <v>NO</v>
      </c>
      <c r="J3522">
        <f>Cleaned_Data!J3522</f>
        <v>8</v>
      </c>
      <c r="K3522" t="str">
        <f t="shared" ref="K3522:K3585" si="166">LEFT(B3522, 7)</f>
        <v>2024-05</v>
      </c>
      <c r="L3522">
        <f t="shared" ref="L3522:L3585" si="167">IF(I3522="NO", H3522-J3522, 0)</f>
        <v>9.75</v>
      </c>
    </row>
    <row r="3523" spans="1:12">
      <c r="A3523" t="s">
        <v>10217</v>
      </c>
      <c r="B3523" t="s">
        <v>10218</v>
      </c>
      <c r="C3523" t="s">
        <v>10219</v>
      </c>
      <c r="D3523" t="s">
        <v>23</v>
      </c>
      <c r="E3523" t="s">
        <v>24</v>
      </c>
      <c r="F3523" t="s">
        <v>17</v>
      </c>
      <c r="G3523" t="s">
        <v>19</v>
      </c>
      <c r="H3523">
        <f>Cleaned_Data!K3523</f>
        <v>14.24</v>
      </c>
      <c r="I3523" t="str">
        <f t="shared" si="165"/>
        <v>YES</v>
      </c>
      <c r="J3523">
        <f>Cleaned_Data!J3523</f>
        <v>24</v>
      </c>
      <c r="K3523" t="str">
        <f t="shared" si="166"/>
        <v>2024-06</v>
      </c>
      <c r="L3523">
        <f t="shared" si="167"/>
        <v>0</v>
      </c>
    </row>
    <row r="3524" spans="1:12">
      <c r="A3524" t="s">
        <v>10220</v>
      </c>
      <c r="B3524" t="s">
        <v>10221</v>
      </c>
      <c r="C3524" t="s">
        <v>10222</v>
      </c>
      <c r="D3524" t="s">
        <v>23</v>
      </c>
      <c r="E3524" t="s">
        <v>54</v>
      </c>
      <c r="F3524" t="s">
        <v>17</v>
      </c>
      <c r="G3524" t="s">
        <v>31</v>
      </c>
      <c r="H3524">
        <f>Cleaned_Data!K3524</f>
        <v>10.42</v>
      </c>
      <c r="I3524" t="str">
        <f t="shared" si="165"/>
        <v>YES</v>
      </c>
      <c r="J3524">
        <f>Cleaned_Data!J3524</f>
        <v>24</v>
      </c>
      <c r="K3524" t="str">
        <f t="shared" si="166"/>
        <v>2024-07</v>
      </c>
      <c r="L3524">
        <f t="shared" si="167"/>
        <v>0</v>
      </c>
    </row>
    <row r="3525" spans="1:12">
      <c r="A3525" t="s">
        <v>10223</v>
      </c>
      <c r="B3525" t="s">
        <v>10224</v>
      </c>
      <c r="C3525" t="s">
        <v>10225</v>
      </c>
      <c r="D3525" t="s">
        <v>15</v>
      </c>
      <c r="E3525" t="s">
        <v>28</v>
      </c>
      <c r="F3525" t="s">
        <v>41</v>
      </c>
      <c r="G3525" t="s">
        <v>19</v>
      </c>
      <c r="H3525">
        <f>Cleaned_Data!K3525</f>
        <v>8.66</v>
      </c>
      <c r="I3525" t="str">
        <f t="shared" si="165"/>
        <v>NO</v>
      </c>
      <c r="J3525">
        <f>Cleaned_Data!J3525</f>
        <v>8</v>
      </c>
      <c r="K3525" t="str">
        <f t="shared" si="166"/>
        <v>2024-08</v>
      </c>
      <c r="L3525">
        <f t="shared" si="167"/>
        <v>0.66000000000000014</v>
      </c>
    </row>
    <row r="3526" spans="1:12">
      <c r="A3526" t="s">
        <v>10226</v>
      </c>
      <c r="B3526" t="s">
        <v>10227</v>
      </c>
      <c r="C3526" t="s">
        <v>10228</v>
      </c>
      <c r="D3526" t="s">
        <v>35</v>
      </c>
      <c r="E3526" t="s">
        <v>28</v>
      </c>
      <c r="F3526" t="s">
        <v>36</v>
      </c>
      <c r="G3526" t="s">
        <v>31</v>
      </c>
      <c r="H3526">
        <f>Cleaned_Data!K3526</f>
        <v>24.75</v>
      </c>
      <c r="I3526" t="str">
        <f t="shared" si="165"/>
        <v>YES</v>
      </c>
      <c r="J3526">
        <f>Cleaned_Data!J3526</f>
        <v>48</v>
      </c>
      <c r="K3526" t="str">
        <f t="shared" si="166"/>
        <v>2024-10</v>
      </c>
      <c r="L3526">
        <f t="shared" si="167"/>
        <v>0</v>
      </c>
    </row>
    <row r="3527" spans="1:12">
      <c r="A3527" t="s">
        <v>10229</v>
      </c>
      <c r="B3527" t="s">
        <v>10230</v>
      </c>
      <c r="D3527" t="s">
        <v>158</v>
      </c>
      <c r="E3527" t="s">
        <v>16</v>
      </c>
      <c r="F3527" t="s">
        <v>36</v>
      </c>
      <c r="G3527" t="s">
        <v>46</v>
      </c>
      <c r="H3527">
        <f>Cleaned_Data!K3527</f>
        <v>0</v>
      </c>
      <c r="I3527" t="str">
        <f t="shared" si="165"/>
        <v/>
      </c>
      <c r="J3527">
        <f>Cleaned_Data!J3527</f>
        <v>4</v>
      </c>
      <c r="K3527" t="str">
        <f t="shared" si="166"/>
        <v>2024-04</v>
      </c>
      <c r="L3527">
        <f t="shared" si="167"/>
        <v>0</v>
      </c>
    </row>
    <row r="3528" spans="1:12">
      <c r="A3528" t="s">
        <v>10231</v>
      </c>
      <c r="B3528" t="s">
        <v>10232</v>
      </c>
      <c r="C3528" t="s">
        <v>10233</v>
      </c>
      <c r="D3528" t="s">
        <v>23</v>
      </c>
      <c r="E3528" t="s">
        <v>28</v>
      </c>
      <c r="F3528" t="s">
        <v>41</v>
      </c>
      <c r="G3528" t="s">
        <v>19</v>
      </c>
      <c r="H3528">
        <f>Cleaned_Data!K3528</f>
        <v>3.16</v>
      </c>
      <c r="I3528" t="str">
        <f t="shared" si="165"/>
        <v>YES</v>
      </c>
      <c r="J3528">
        <f>Cleaned_Data!J3528</f>
        <v>24</v>
      </c>
      <c r="K3528" t="str">
        <f t="shared" si="166"/>
        <v>2024-08</v>
      </c>
      <c r="L3528">
        <f t="shared" si="167"/>
        <v>0</v>
      </c>
    </row>
    <row r="3529" spans="1:12">
      <c r="A3529" t="s">
        <v>10234</v>
      </c>
      <c r="B3529" t="s">
        <v>10235</v>
      </c>
      <c r="C3529" t="s">
        <v>10236</v>
      </c>
      <c r="D3529" t="s">
        <v>158</v>
      </c>
      <c r="E3529" t="s">
        <v>28</v>
      </c>
      <c r="F3529" t="s">
        <v>60</v>
      </c>
      <c r="G3529" t="s">
        <v>19</v>
      </c>
      <c r="H3529">
        <f>Cleaned_Data!K3529</f>
        <v>2.31</v>
      </c>
      <c r="I3529" t="str">
        <f t="shared" si="165"/>
        <v>YES</v>
      </c>
      <c r="J3529">
        <f>Cleaned_Data!J3529</f>
        <v>4</v>
      </c>
      <c r="K3529" t="str">
        <f t="shared" si="166"/>
        <v>2024-01</v>
      </c>
      <c r="L3529">
        <f t="shared" si="167"/>
        <v>0</v>
      </c>
    </row>
    <row r="3530" spans="1:12">
      <c r="A3530" t="s">
        <v>10237</v>
      </c>
      <c r="B3530" t="s">
        <v>10238</v>
      </c>
      <c r="C3530" t="s">
        <v>10239</v>
      </c>
      <c r="D3530" t="s">
        <v>23</v>
      </c>
      <c r="E3530" t="s">
        <v>28</v>
      </c>
      <c r="F3530" t="s">
        <v>29</v>
      </c>
      <c r="G3530" t="s">
        <v>19</v>
      </c>
      <c r="H3530">
        <f>Cleaned_Data!K3530</f>
        <v>2.65</v>
      </c>
      <c r="I3530" t="str">
        <f t="shared" si="165"/>
        <v>YES</v>
      </c>
      <c r="J3530">
        <f>Cleaned_Data!J3530</f>
        <v>24</v>
      </c>
      <c r="K3530" t="str">
        <f t="shared" si="166"/>
        <v>2024-09</v>
      </c>
      <c r="L3530">
        <f t="shared" si="167"/>
        <v>0</v>
      </c>
    </row>
    <row r="3531" spans="1:12">
      <c r="A3531" t="s">
        <v>10240</v>
      </c>
      <c r="B3531" t="s">
        <v>10241</v>
      </c>
      <c r="C3531" t="s">
        <v>10242</v>
      </c>
      <c r="D3531" t="s">
        <v>35</v>
      </c>
      <c r="E3531" t="s">
        <v>24</v>
      </c>
      <c r="F3531" t="s">
        <v>36</v>
      </c>
      <c r="G3531" t="s">
        <v>31</v>
      </c>
      <c r="H3531">
        <f>Cleaned_Data!K3531</f>
        <v>7.73</v>
      </c>
      <c r="I3531" t="str">
        <f t="shared" si="165"/>
        <v>YES</v>
      </c>
      <c r="J3531">
        <f>Cleaned_Data!J3531</f>
        <v>48</v>
      </c>
      <c r="K3531" t="str">
        <f t="shared" si="166"/>
        <v>2024-06</v>
      </c>
      <c r="L3531">
        <f t="shared" si="167"/>
        <v>0</v>
      </c>
    </row>
    <row r="3532" spans="1:12">
      <c r="A3532" t="s">
        <v>10243</v>
      </c>
      <c r="B3532" t="s">
        <v>10244</v>
      </c>
      <c r="D3532" t="s">
        <v>35</v>
      </c>
      <c r="E3532" t="s">
        <v>54</v>
      </c>
      <c r="F3532" t="s">
        <v>29</v>
      </c>
      <c r="G3532" t="s">
        <v>63</v>
      </c>
      <c r="H3532">
        <f>Cleaned_Data!K3532</f>
        <v>0</v>
      </c>
      <c r="I3532" t="str">
        <f t="shared" si="165"/>
        <v/>
      </c>
      <c r="J3532">
        <f>Cleaned_Data!J3532</f>
        <v>48</v>
      </c>
      <c r="K3532" t="str">
        <f t="shared" si="166"/>
        <v>2024-10</v>
      </c>
      <c r="L3532">
        <f t="shared" si="167"/>
        <v>0</v>
      </c>
    </row>
    <row r="3533" spans="1:12">
      <c r="A3533" t="s">
        <v>10245</v>
      </c>
      <c r="B3533" t="s">
        <v>10246</v>
      </c>
      <c r="C3533" t="s">
        <v>10247</v>
      </c>
      <c r="D3533" t="s">
        <v>15</v>
      </c>
      <c r="E3533" t="s">
        <v>28</v>
      </c>
      <c r="F3533" t="s">
        <v>36</v>
      </c>
      <c r="G3533" t="s">
        <v>19</v>
      </c>
      <c r="H3533">
        <f>Cleaned_Data!K3533</f>
        <v>6.82</v>
      </c>
      <c r="I3533" t="str">
        <f t="shared" si="165"/>
        <v>YES</v>
      </c>
      <c r="J3533">
        <f>Cleaned_Data!J3533</f>
        <v>8</v>
      </c>
      <c r="K3533" t="str">
        <f t="shared" si="166"/>
        <v>2024-08</v>
      </c>
      <c r="L3533">
        <f t="shared" si="167"/>
        <v>0</v>
      </c>
    </row>
    <row r="3534" spans="1:12">
      <c r="A3534" t="s">
        <v>10248</v>
      </c>
      <c r="B3534" t="s">
        <v>10249</v>
      </c>
      <c r="C3534" t="s">
        <v>10250</v>
      </c>
      <c r="D3534" t="s">
        <v>23</v>
      </c>
      <c r="E3534" t="s">
        <v>28</v>
      </c>
      <c r="F3534" t="s">
        <v>36</v>
      </c>
      <c r="G3534" t="s">
        <v>19</v>
      </c>
      <c r="H3534">
        <f>Cleaned_Data!K3534</f>
        <v>21.21</v>
      </c>
      <c r="I3534" t="str">
        <f t="shared" si="165"/>
        <v>YES</v>
      </c>
      <c r="J3534">
        <f>Cleaned_Data!J3534</f>
        <v>24</v>
      </c>
      <c r="K3534" t="str">
        <f t="shared" si="166"/>
        <v>2024-08</v>
      </c>
      <c r="L3534">
        <f t="shared" si="167"/>
        <v>0</v>
      </c>
    </row>
    <row r="3535" spans="1:12">
      <c r="A3535" t="s">
        <v>10251</v>
      </c>
      <c r="B3535" t="s">
        <v>10252</v>
      </c>
      <c r="C3535" t="s">
        <v>10253</v>
      </c>
      <c r="D3535" t="s">
        <v>158</v>
      </c>
      <c r="E3535" t="s">
        <v>59</v>
      </c>
      <c r="F3535" t="s">
        <v>29</v>
      </c>
      <c r="G3535" t="s">
        <v>31</v>
      </c>
      <c r="H3535">
        <f>Cleaned_Data!K3535</f>
        <v>1.35</v>
      </c>
      <c r="I3535" t="str">
        <f t="shared" si="165"/>
        <v>YES</v>
      </c>
      <c r="J3535">
        <f>Cleaned_Data!J3535</f>
        <v>4</v>
      </c>
      <c r="K3535" t="str">
        <f t="shared" si="166"/>
        <v>2024-04</v>
      </c>
      <c r="L3535">
        <f t="shared" si="167"/>
        <v>0</v>
      </c>
    </row>
    <row r="3536" spans="1:12">
      <c r="A3536" t="s">
        <v>10254</v>
      </c>
      <c r="B3536" t="s">
        <v>10255</v>
      </c>
      <c r="C3536" t="s">
        <v>10256</v>
      </c>
      <c r="D3536" t="s">
        <v>23</v>
      </c>
      <c r="E3536" t="s">
        <v>28</v>
      </c>
      <c r="F3536" t="s">
        <v>60</v>
      </c>
      <c r="G3536" t="s">
        <v>19</v>
      </c>
      <c r="H3536">
        <f>Cleaned_Data!K3536</f>
        <v>9.39</v>
      </c>
      <c r="I3536" t="str">
        <f t="shared" si="165"/>
        <v>YES</v>
      </c>
      <c r="J3536">
        <f>Cleaned_Data!J3536</f>
        <v>24</v>
      </c>
      <c r="K3536" t="str">
        <f t="shared" si="166"/>
        <v>2024-09</v>
      </c>
      <c r="L3536">
        <f t="shared" si="167"/>
        <v>0</v>
      </c>
    </row>
    <row r="3537" spans="1:12">
      <c r="A3537" t="s">
        <v>10257</v>
      </c>
      <c r="B3537" t="s">
        <v>10258</v>
      </c>
      <c r="C3537" t="s">
        <v>10259</v>
      </c>
      <c r="D3537" t="s">
        <v>23</v>
      </c>
      <c r="E3537" t="s">
        <v>28</v>
      </c>
      <c r="F3537" t="s">
        <v>36</v>
      </c>
      <c r="G3537" t="s">
        <v>31</v>
      </c>
      <c r="H3537">
        <f>Cleaned_Data!K3537</f>
        <v>20.9</v>
      </c>
      <c r="I3537" t="str">
        <f t="shared" si="165"/>
        <v>YES</v>
      </c>
      <c r="J3537">
        <f>Cleaned_Data!J3537</f>
        <v>24</v>
      </c>
      <c r="K3537" t="str">
        <f t="shared" si="166"/>
        <v>2024-03</v>
      </c>
      <c r="L3537">
        <f t="shared" si="167"/>
        <v>0</v>
      </c>
    </row>
    <row r="3538" spans="1:12">
      <c r="A3538" t="s">
        <v>10260</v>
      </c>
      <c r="B3538" t="s">
        <v>10261</v>
      </c>
      <c r="C3538" t="s">
        <v>10262</v>
      </c>
      <c r="D3538" t="s">
        <v>158</v>
      </c>
      <c r="E3538" t="s">
        <v>54</v>
      </c>
      <c r="F3538" t="s">
        <v>60</v>
      </c>
      <c r="G3538" t="s">
        <v>19</v>
      </c>
      <c r="H3538">
        <f>Cleaned_Data!K3538</f>
        <v>3.73</v>
      </c>
      <c r="I3538" t="str">
        <f t="shared" si="165"/>
        <v>YES</v>
      </c>
      <c r="J3538">
        <f>Cleaned_Data!J3538</f>
        <v>4</v>
      </c>
      <c r="K3538" t="str">
        <f t="shared" si="166"/>
        <v>2024-10</v>
      </c>
      <c r="L3538">
        <f t="shared" si="167"/>
        <v>0</v>
      </c>
    </row>
    <row r="3539" spans="1:12">
      <c r="A3539" t="s">
        <v>10263</v>
      </c>
      <c r="B3539" t="s">
        <v>10264</v>
      </c>
      <c r="C3539" t="s">
        <v>10265</v>
      </c>
      <c r="D3539" t="s">
        <v>23</v>
      </c>
      <c r="E3539" t="s">
        <v>59</v>
      </c>
      <c r="F3539" t="s">
        <v>60</v>
      </c>
      <c r="G3539" t="s">
        <v>31</v>
      </c>
      <c r="H3539">
        <f>Cleaned_Data!K3539</f>
        <v>4.5199999999999996</v>
      </c>
      <c r="I3539" t="str">
        <f t="shared" si="165"/>
        <v>YES</v>
      </c>
      <c r="J3539">
        <f>Cleaned_Data!J3539</f>
        <v>24</v>
      </c>
      <c r="K3539" t="str">
        <f t="shared" si="166"/>
        <v>2024-05</v>
      </c>
      <c r="L3539">
        <f t="shared" si="167"/>
        <v>0</v>
      </c>
    </row>
    <row r="3540" spans="1:12">
      <c r="A3540" t="s">
        <v>10266</v>
      </c>
      <c r="B3540" t="s">
        <v>10267</v>
      </c>
      <c r="C3540" t="s">
        <v>10268</v>
      </c>
      <c r="D3540" t="s">
        <v>35</v>
      </c>
      <c r="E3540" t="s">
        <v>16</v>
      </c>
      <c r="F3540" t="s">
        <v>17</v>
      </c>
      <c r="G3540" t="s">
        <v>19</v>
      </c>
      <c r="H3540">
        <f>Cleaned_Data!K3540</f>
        <v>11.01</v>
      </c>
      <c r="I3540" t="str">
        <f t="shared" si="165"/>
        <v>YES</v>
      </c>
      <c r="J3540">
        <f>Cleaned_Data!J3540</f>
        <v>48</v>
      </c>
      <c r="K3540" t="str">
        <f t="shared" si="166"/>
        <v>2024-08</v>
      </c>
      <c r="L3540">
        <f t="shared" si="167"/>
        <v>0</v>
      </c>
    </row>
    <row r="3541" spans="1:12">
      <c r="A3541" t="s">
        <v>10269</v>
      </c>
      <c r="B3541" t="s">
        <v>10270</v>
      </c>
      <c r="C3541" t="s">
        <v>10271</v>
      </c>
      <c r="D3541" t="s">
        <v>23</v>
      </c>
      <c r="E3541" t="s">
        <v>54</v>
      </c>
      <c r="F3541" t="s">
        <v>29</v>
      </c>
      <c r="G3541" t="s">
        <v>19</v>
      </c>
      <c r="H3541">
        <f>Cleaned_Data!K3541</f>
        <v>15.89</v>
      </c>
      <c r="I3541" t="str">
        <f t="shared" si="165"/>
        <v>YES</v>
      </c>
      <c r="J3541">
        <f>Cleaned_Data!J3541</f>
        <v>24</v>
      </c>
      <c r="K3541" t="str">
        <f t="shared" si="166"/>
        <v>2024-11</v>
      </c>
      <c r="L3541">
        <f t="shared" si="167"/>
        <v>0</v>
      </c>
    </row>
    <row r="3542" spans="1:12">
      <c r="A3542" t="s">
        <v>10272</v>
      </c>
      <c r="B3542" t="s">
        <v>10273</v>
      </c>
      <c r="C3542" t="s">
        <v>10274</v>
      </c>
      <c r="D3542" t="s">
        <v>35</v>
      </c>
      <c r="E3542" t="s">
        <v>54</v>
      </c>
      <c r="F3542" t="s">
        <v>41</v>
      </c>
      <c r="G3542" t="s">
        <v>19</v>
      </c>
      <c r="H3542">
        <f>Cleaned_Data!K3542</f>
        <v>33.409999999999997</v>
      </c>
      <c r="I3542" t="str">
        <f t="shared" si="165"/>
        <v>YES</v>
      </c>
      <c r="J3542">
        <f>Cleaned_Data!J3542</f>
        <v>48</v>
      </c>
      <c r="K3542" t="str">
        <f t="shared" si="166"/>
        <v>2024-02</v>
      </c>
      <c r="L3542">
        <f t="shared" si="167"/>
        <v>0</v>
      </c>
    </row>
    <row r="3543" spans="1:12">
      <c r="A3543" t="s">
        <v>10275</v>
      </c>
      <c r="B3543" t="s">
        <v>10276</v>
      </c>
      <c r="D3543" t="s">
        <v>15</v>
      </c>
      <c r="E3543" t="s">
        <v>28</v>
      </c>
      <c r="F3543" t="s">
        <v>36</v>
      </c>
      <c r="G3543" t="s">
        <v>63</v>
      </c>
      <c r="H3543">
        <f>Cleaned_Data!K3543</f>
        <v>0</v>
      </c>
      <c r="I3543" t="str">
        <f t="shared" si="165"/>
        <v/>
      </c>
      <c r="J3543">
        <f>Cleaned_Data!J3543</f>
        <v>8</v>
      </c>
      <c r="K3543" t="str">
        <f t="shared" si="166"/>
        <v>2024-04</v>
      </c>
      <c r="L3543">
        <f t="shared" si="167"/>
        <v>0</v>
      </c>
    </row>
    <row r="3544" spans="1:12">
      <c r="A3544" t="s">
        <v>10277</v>
      </c>
      <c r="B3544" t="s">
        <v>10278</v>
      </c>
      <c r="C3544" t="s">
        <v>10279</v>
      </c>
      <c r="D3544" t="s">
        <v>23</v>
      </c>
      <c r="E3544" t="s">
        <v>24</v>
      </c>
      <c r="F3544" t="s">
        <v>36</v>
      </c>
      <c r="G3544" t="s">
        <v>19</v>
      </c>
      <c r="H3544">
        <f>Cleaned_Data!K3544</f>
        <v>12.14</v>
      </c>
      <c r="I3544" t="str">
        <f t="shared" si="165"/>
        <v>YES</v>
      </c>
      <c r="J3544">
        <f>Cleaned_Data!J3544</f>
        <v>24</v>
      </c>
      <c r="K3544" t="str">
        <f t="shared" si="166"/>
        <v>2024-05</v>
      </c>
      <c r="L3544">
        <f t="shared" si="167"/>
        <v>0</v>
      </c>
    </row>
    <row r="3545" spans="1:12">
      <c r="A3545" t="s">
        <v>10280</v>
      </c>
      <c r="B3545" t="s">
        <v>10281</v>
      </c>
      <c r="C3545" t="s">
        <v>10282</v>
      </c>
      <c r="D3545" t="s">
        <v>23</v>
      </c>
      <c r="E3545" t="s">
        <v>28</v>
      </c>
      <c r="F3545" t="s">
        <v>36</v>
      </c>
      <c r="G3545" t="s">
        <v>19</v>
      </c>
      <c r="H3545">
        <f>Cleaned_Data!K3545</f>
        <v>18</v>
      </c>
      <c r="I3545" t="str">
        <f t="shared" si="165"/>
        <v>YES</v>
      </c>
      <c r="J3545">
        <f>Cleaned_Data!J3545</f>
        <v>24</v>
      </c>
      <c r="K3545" t="str">
        <f t="shared" si="166"/>
        <v>2024-05</v>
      </c>
      <c r="L3545">
        <f t="shared" si="167"/>
        <v>0</v>
      </c>
    </row>
    <row r="3546" spans="1:12">
      <c r="A3546" t="s">
        <v>10283</v>
      </c>
      <c r="B3546" t="s">
        <v>10284</v>
      </c>
      <c r="C3546" t="s">
        <v>10285</v>
      </c>
      <c r="D3546" t="s">
        <v>15</v>
      </c>
      <c r="E3546" t="s">
        <v>16</v>
      </c>
      <c r="F3546" t="s">
        <v>29</v>
      </c>
      <c r="G3546" t="s">
        <v>19</v>
      </c>
      <c r="H3546">
        <f>Cleaned_Data!K3546</f>
        <v>4.83</v>
      </c>
      <c r="I3546" t="str">
        <f t="shared" si="165"/>
        <v>YES</v>
      </c>
      <c r="J3546">
        <f>Cleaned_Data!J3546</f>
        <v>8</v>
      </c>
      <c r="K3546" t="str">
        <f t="shared" si="166"/>
        <v>2024-08</v>
      </c>
      <c r="L3546">
        <f t="shared" si="167"/>
        <v>0</v>
      </c>
    </row>
    <row r="3547" spans="1:12">
      <c r="A3547" t="s">
        <v>10286</v>
      </c>
      <c r="B3547" t="s">
        <v>10287</v>
      </c>
      <c r="C3547" t="s">
        <v>10288</v>
      </c>
      <c r="D3547" t="s">
        <v>158</v>
      </c>
      <c r="E3547" t="s">
        <v>59</v>
      </c>
      <c r="F3547" t="s">
        <v>29</v>
      </c>
      <c r="G3547" t="s">
        <v>19</v>
      </c>
      <c r="H3547">
        <f>Cleaned_Data!K3547</f>
        <v>6</v>
      </c>
      <c r="I3547" t="str">
        <f t="shared" si="165"/>
        <v>NO</v>
      </c>
      <c r="J3547">
        <f>Cleaned_Data!J3547</f>
        <v>4</v>
      </c>
      <c r="K3547" t="str">
        <f t="shared" si="166"/>
        <v>2024-06</v>
      </c>
      <c r="L3547">
        <f t="shared" si="167"/>
        <v>2</v>
      </c>
    </row>
    <row r="3548" spans="1:12">
      <c r="A3548" t="s">
        <v>10289</v>
      </c>
      <c r="B3548" t="s">
        <v>10290</v>
      </c>
      <c r="C3548" t="s">
        <v>10291</v>
      </c>
      <c r="D3548" t="s">
        <v>23</v>
      </c>
      <c r="E3548" t="s">
        <v>28</v>
      </c>
      <c r="F3548" t="s">
        <v>36</v>
      </c>
      <c r="G3548" t="s">
        <v>19</v>
      </c>
      <c r="H3548">
        <f>Cleaned_Data!K3548</f>
        <v>21.86</v>
      </c>
      <c r="I3548" t="str">
        <f t="shared" si="165"/>
        <v>YES</v>
      </c>
      <c r="J3548">
        <f>Cleaned_Data!J3548</f>
        <v>24</v>
      </c>
      <c r="K3548" t="str">
        <f t="shared" si="166"/>
        <v>2024-04</v>
      </c>
      <c r="L3548">
        <f t="shared" si="167"/>
        <v>0</v>
      </c>
    </row>
    <row r="3549" spans="1:12">
      <c r="A3549" t="s">
        <v>10292</v>
      </c>
      <c r="B3549" t="s">
        <v>10293</v>
      </c>
      <c r="C3549" t="s">
        <v>10294</v>
      </c>
      <c r="D3549" t="s">
        <v>23</v>
      </c>
      <c r="E3549" t="s">
        <v>24</v>
      </c>
      <c r="F3549" t="s">
        <v>36</v>
      </c>
      <c r="G3549" t="s">
        <v>19</v>
      </c>
      <c r="H3549">
        <f>Cleaned_Data!K3549</f>
        <v>43.43</v>
      </c>
      <c r="I3549" t="str">
        <f t="shared" si="165"/>
        <v>NO</v>
      </c>
      <c r="J3549">
        <f>Cleaned_Data!J3549</f>
        <v>24</v>
      </c>
      <c r="K3549" t="str">
        <f t="shared" si="166"/>
        <v>2024-02</v>
      </c>
      <c r="L3549">
        <f t="shared" si="167"/>
        <v>19.43</v>
      </c>
    </row>
    <row r="3550" spans="1:12">
      <c r="A3550" t="s">
        <v>10295</v>
      </c>
      <c r="B3550" t="s">
        <v>10296</v>
      </c>
      <c r="C3550" t="s">
        <v>10297</v>
      </c>
      <c r="D3550" t="s">
        <v>23</v>
      </c>
      <c r="E3550" t="s">
        <v>16</v>
      </c>
      <c r="F3550" t="s">
        <v>36</v>
      </c>
      <c r="G3550" t="s">
        <v>31</v>
      </c>
      <c r="H3550">
        <f>Cleaned_Data!K3550</f>
        <v>19.09</v>
      </c>
      <c r="I3550" t="str">
        <f t="shared" si="165"/>
        <v>YES</v>
      </c>
      <c r="J3550">
        <f>Cleaned_Data!J3550</f>
        <v>24</v>
      </c>
      <c r="K3550" t="str">
        <f t="shared" si="166"/>
        <v>2024-01</v>
      </c>
      <c r="L3550">
        <f t="shared" si="167"/>
        <v>0</v>
      </c>
    </row>
    <row r="3551" spans="1:12">
      <c r="A3551" t="s">
        <v>10298</v>
      </c>
      <c r="B3551" t="s">
        <v>10299</v>
      </c>
      <c r="C3551" t="s">
        <v>10300</v>
      </c>
      <c r="D3551" t="s">
        <v>158</v>
      </c>
      <c r="E3551" t="s">
        <v>54</v>
      </c>
      <c r="F3551" t="s">
        <v>17</v>
      </c>
      <c r="G3551" t="s">
        <v>19</v>
      </c>
      <c r="H3551">
        <f>Cleaned_Data!K3551</f>
        <v>3.02</v>
      </c>
      <c r="I3551" t="str">
        <f t="shared" si="165"/>
        <v>YES</v>
      </c>
      <c r="J3551">
        <f>Cleaned_Data!J3551</f>
        <v>4</v>
      </c>
      <c r="K3551" t="str">
        <f t="shared" si="166"/>
        <v>2024-06</v>
      </c>
      <c r="L3551">
        <f t="shared" si="167"/>
        <v>0</v>
      </c>
    </row>
    <row r="3552" spans="1:12">
      <c r="A3552" t="s">
        <v>10301</v>
      </c>
      <c r="B3552" t="s">
        <v>10302</v>
      </c>
      <c r="C3552" t="s">
        <v>10303</v>
      </c>
      <c r="D3552" t="s">
        <v>158</v>
      </c>
      <c r="E3552" t="s">
        <v>59</v>
      </c>
      <c r="F3552" t="s">
        <v>17</v>
      </c>
      <c r="G3552" t="s">
        <v>19</v>
      </c>
      <c r="H3552">
        <f>Cleaned_Data!K3552</f>
        <v>2.14</v>
      </c>
      <c r="I3552" t="str">
        <f t="shared" si="165"/>
        <v>YES</v>
      </c>
      <c r="J3552">
        <f>Cleaned_Data!J3552</f>
        <v>4</v>
      </c>
      <c r="K3552" t="str">
        <f t="shared" si="166"/>
        <v>2024-07</v>
      </c>
      <c r="L3552">
        <f t="shared" si="167"/>
        <v>0</v>
      </c>
    </row>
    <row r="3553" spans="1:12">
      <c r="A3553" t="s">
        <v>10304</v>
      </c>
      <c r="B3553" t="s">
        <v>10305</v>
      </c>
      <c r="C3553" t="s">
        <v>10306</v>
      </c>
      <c r="D3553" t="s">
        <v>23</v>
      </c>
      <c r="E3553" t="s">
        <v>28</v>
      </c>
      <c r="F3553" t="s">
        <v>41</v>
      </c>
      <c r="G3553" t="s">
        <v>31</v>
      </c>
      <c r="H3553">
        <f>Cleaned_Data!K3553</f>
        <v>16.41</v>
      </c>
      <c r="I3553" t="str">
        <f t="shared" si="165"/>
        <v>YES</v>
      </c>
      <c r="J3553">
        <f>Cleaned_Data!J3553</f>
        <v>24</v>
      </c>
      <c r="K3553" t="str">
        <f t="shared" si="166"/>
        <v>2024-03</v>
      </c>
      <c r="L3553">
        <f t="shared" si="167"/>
        <v>0</v>
      </c>
    </row>
    <row r="3554" spans="1:12">
      <c r="A3554" t="s">
        <v>10307</v>
      </c>
      <c r="B3554" t="s">
        <v>10308</v>
      </c>
      <c r="C3554" t="s">
        <v>10309</v>
      </c>
      <c r="D3554" t="s">
        <v>35</v>
      </c>
      <c r="E3554" t="s">
        <v>16</v>
      </c>
      <c r="F3554" t="s">
        <v>41</v>
      </c>
      <c r="G3554" t="s">
        <v>19</v>
      </c>
      <c r="H3554">
        <f>Cleaned_Data!K3554</f>
        <v>57.29</v>
      </c>
      <c r="I3554" t="str">
        <f t="shared" si="165"/>
        <v>NO</v>
      </c>
      <c r="J3554">
        <f>Cleaned_Data!J3554</f>
        <v>48</v>
      </c>
      <c r="K3554" t="str">
        <f t="shared" si="166"/>
        <v>2024-10</v>
      </c>
      <c r="L3554">
        <f t="shared" si="167"/>
        <v>9.2899999999999991</v>
      </c>
    </row>
    <row r="3555" spans="1:12">
      <c r="A3555" t="s">
        <v>10310</v>
      </c>
      <c r="B3555" t="s">
        <v>10311</v>
      </c>
      <c r="C3555" t="s">
        <v>10312</v>
      </c>
      <c r="D3555" t="s">
        <v>23</v>
      </c>
      <c r="E3555" t="s">
        <v>28</v>
      </c>
      <c r="F3555" t="s">
        <v>41</v>
      </c>
      <c r="G3555" t="s">
        <v>19</v>
      </c>
      <c r="H3555">
        <f>Cleaned_Data!K3555</f>
        <v>65.260000000000005</v>
      </c>
      <c r="I3555" t="str">
        <f t="shared" si="165"/>
        <v>NO</v>
      </c>
      <c r="J3555">
        <f>Cleaned_Data!J3555</f>
        <v>24</v>
      </c>
      <c r="K3555" t="str">
        <f t="shared" si="166"/>
        <v>2024-04</v>
      </c>
      <c r="L3555">
        <f t="shared" si="167"/>
        <v>41.260000000000005</v>
      </c>
    </row>
    <row r="3556" spans="1:12">
      <c r="A3556" t="s">
        <v>10313</v>
      </c>
      <c r="B3556" t="s">
        <v>10314</v>
      </c>
      <c r="D3556" t="s">
        <v>23</v>
      </c>
      <c r="E3556" t="s">
        <v>24</v>
      </c>
      <c r="F3556" t="s">
        <v>17</v>
      </c>
      <c r="G3556" t="s">
        <v>46</v>
      </c>
      <c r="H3556">
        <f>Cleaned_Data!K3556</f>
        <v>0</v>
      </c>
      <c r="I3556" t="str">
        <f t="shared" si="165"/>
        <v/>
      </c>
      <c r="J3556">
        <f>Cleaned_Data!J3556</f>
        <v>24</v>
      </c>
      <c r="K3556" t="str">
        <f t="shared" si="166"/>
        <v>2024-05</v>
      </c>
      <c r="L3556">
        <f t="shared" si="167"/>
        <v>0</v>
      </c>
    </row>
    <row r="3557" spans="1:12">
      <c r="A3557" t="s">
        <v>10315</v>
      </c>
      <c r="B3557" t="s">
        <v>10316</v>
      </c>
      <c r="C3557" t="s">
        <v>10317</v>
      </c>
      <c r="D3557" t="s">
        <v>35</v>
      </c>
      <c r="E3557" t="s">
        <v>28</v>
      </c>
      <c r="F3557" t="s">
        <v>17</v>
      </c>
      <c r="G3557" t="s">
        <v>19</v>
      </c>
      <c r="H3557">
        <f>Cleaned_Data!K3557</f>
        <v>26.27</v>
      </c>
      <c r="I3557" t="str">
        <f t="shared" si="165"/>
        <v>YES</v>
      </c>
      <c r="J3557">
        <f>Cleaned_Data!J3557</f>
        <v>48</v>
      </c>
      <c r="K3557" t="str">
        <f t="shared" si="166"/>
        <v>2024-10</v>
      </c>
      <c r="L3557">
        <f t="shared" si="167"/>
        <v>0</v>
      </c>
    </row>
    <row r="3558" spans="1:12">
      <c r="A3558" t="s">
        <v>10318</v>
      </c>
      <c r="B3558" t="s">
        <v>10319</v>
      </c>
      <c r="C3558" t="s">
        <v>10320</v>
      </c>
      <c r="D3558" t="s">
        <v>15</v>
      </c>
      <c r="E3558" t="s">
        <v>28</v>
      </c>
      <c r="F3558" t="s">
        <v>36</v>
      </c>
      <c r="G3558" t="s">
        <v>31</v>
      </c>
      <c r="H3558">
        <f>Cleaned_Data!K3558</f>
        <v>11.88</v>
      </c>
      <c r="I3558" t="str">
        <f t="shared" si="165"/>
        <v>NO</v>
      </c>
      <c r="J3558">
        <f>Cleaned_Data!J3558</f>
        <v>8</v>
      </c>
      <c r="K3558" t="str">
        <f t="shared" si="166"/>
        <v>2024-11</v>
      </c>
      <c r="L3558">
        <f t="shared" si="167"/>
        <v>3.8800000000000008</v>
      </c>
    </row>
    <row r="3559" spans="1:12">
      <c r="A3559" t="s">
        <v>10321</v>
      </c>
      <c r="B3559" t="s">
        <v>10322</v>
      </c>
      <c r="C3559" t="s">
        <v>10323</v>
      </c>
      <c r="D3559" t="s">
        <v>23</v>
      </c>
      <c r="E3559" t="s">
        <v>54</v>
      </c>
      <c r="F3559" t="s">
        <v>41</v>
      </c>
      <c r="G3559" t="s">
        <v>19</v>
      </c>
      <c r="H3559">
        <f>Cleaned_Data!K3559</f>
        <v>8.86</v>
      </c>
      <c r="I3559" t="str">
        <f t="shared" si="165"/>
        <v>YES</v>
      </c>
      <c r="J3559">
        <f>Cleaned_Data!J3559</f>
        <v>24</v>
      </c>
      <c r="K3559" t="str">
        <f t="shared" si="166"/>
        <v>2024-03</v>
      </c>
      <c r="L3559">
        <f t="shared" si="167"/>
        <v>0</v>
      </c>
    </row>
    <row r="3560" spans="1:12">
      <c r="A3560" t="s">
        <v>10324</v>
      </c>
      <c r="B3560" t="s">
        <v>10325</v>
      </c>
      <c r="C3560" t="s">
        <v>10326</v>
      </c>
      <c r="D3560" t="s">
        <v>158</v>
      </c>
      <c r="E3560" t="s">
        <v>16</v>
      </c>
      <c r="F3560" t="s">
        <v>41</v>
      </c>
      <c r="G3560" t="s">
        <v>19</v>
      </c>
      <c r="H3560">
        <f>Cleaned_Data!K3560</f>
        <v>1.17</v>
      </c>
      <c r="I3560" t="str">
        <f t="shared" si="165"/>
        <v>YES</v>
      </c>
      <c r="J3560">
        <f>Cleaned_Data!J3560</f>
        <v>4</v>
      </c>
      <c r="K3560" t="str">
        <f t="shared" si="166"/>
        <v>2024-08</v>
      </c>
      <c r="L3560">
        <f t="shared" si="167"/>
        <v>0</v>
      </c>
    </row>
    <row r="3561" spans="1:12">
      <c r="A3561" t="s">
        <v>10327</v>
      </c>
      <c r="B3561" t="s">
        <v>10328</v>
      </c>
      <c r="C3561" t="s">
        <v>10329</v>
      </c>
      <c r="D3561" t="s">
        <v>23</v>
      </c>
      <c r="E3561" t="s">
        <v>16</v>
      </c>
      <c r="F3561" t="s">
        <v>17</v>
      </c>
      <c r="G3561" t="s">
        <v>19</v>
      </c>
      <c r="H3561">
        <f>Cleaned_Data!K3561</f>
        <v>32.18</v>
      </c>
      <c r="I3561" t="str">
        <f t="shared" si="165"/>
        <v>NO</v>
      </c>
      <c r="J3561">
        <f>Cleaned_Data!J3561</f>
        <v>24</v>
      </c>
      <c r="K3561" t="str">
        <f t="shared" si="166"/>
        <v>2024-01</v>
      </c>
      <c r="L3561">
        <f t="shared" si="167"/>
        <v>8.18</v>
      </c>
    </row>
    <row r="3562" spans="1:12">
      <c r="A3562" t="s">
        <v>10330</v>
      </c>
      <c r="B3562" t="s">
        <v>10331</v>
      </c>
      <c r="C3562" t="s">
        <v>10332</v>
      </c>
      <c r="D3562" t="s">
        <v>23</v>
      </c>
      <c r="E3562" t="s">
        <v>28</v>
      </c>
      <c r="F3562" t="s">
        <v>36</v>
      </c>
      <c r="G3562" t="s">
        <v>19</v>
      </c>
      <c r="H3562">
        <f>Cleaned_Data!K3562</f>
        <v>11.81</v>
      </c>
      <c r="I3562" t="str">
        <f t="shared" si="165"/>
        <v>YES</v>
      </c>
      <c r="J3562">
        <f>Cleaned_Data!J3562</f>
        <v>24</v>
      </c>
      <c r="K3562" t="str">
        <f t="shared" si="166"/>
        <v>2024-11</v>
      </c>
      <c r="L3562">
        <f t="shared" si="167"/>
        <v>0</v>
      </c>
    </row>
    <row r="3563" spans="1:12">
      <c r="A3563" t="s">
        <v>10333</v>
      </c>
      <c r="B3563" t="s">
        <v>10334</v>
      </c>
      <c r="C3563" t="s">
        <v>10335</v>
      </c>
      <c r="D3563" t="s">
        <v>23</v>
      </c>
      <c r="E3563" t="s">
        <v>28</v>
      </c>
      <c r="F3563" t="s">
        <v>17</v>
      </c>
      <c r="G3563" t="s">
        <v>19</v>
      </c>
      <c r="H3563">
        <f>Cleaned_Data!K3563</f>
        <v>44.6</v>
      </c>
      <c r="I3563" t="str">
        <f t="shared" si="165"/>
        <v>NO</v>
      </c>
      <c r="J3563">
        <f>Cleaned_Data!J3563</f>
        <v>24</v>
      </c>
      <c r="K3563" t="str">
        <f t="shared" si="166"/>
        <v>2024-11</v>
      </c>
      <c r="L3563">
        <f t="shared" si="167"/>
        <v>20.6</v>
      </c>
    </row>
    <row r="3564" spans="1:12">
      <c r="A3564" t="s">
        <v>10336</v>
      </c>
      <c r="B3564" t="s">
        <v>10337</v>
      </c>
      <c r="C3564" t="s">
        <v>10338</v>
      </c>
      <c r="D3564" t="s">
        <v>23</v>
      </c>
      <c r="E3564" t="s">
        <v>28</v>
      </c>
      <c r="F3564" t="s">
        <v>17</v>
      </c>
      <c r="G3564" t="s">
        <v>31</v>
      </c>
      <c r="H3564">
        <f>Cleaned_Data!K3564</f>
        <v>17.28</v>
      </c>
      <c r="I3564" t="str">
        <f t="shared" si="165"/>
        <v>YES</v>
      </c>
      <c r="J3564">
        <f>Cleaned_Data!J3564</f>
        <v>24</v>
      </c>
      <c r="K3564" t="str">
        <f t="shared" si="166"/>
        <v>2024-04</v>
      </c>
      <c r="L3564">
        <f t="shared" si="167"/>
        <v>0</v>
      </c>
    </row>
    <row r="3565" spans="1:12">
      <c r="A3565" t="s">
        <v>10339</v>
      </c>
      <c r="B3565" t="s">
        <v>10340</v>
      </c>
      <c r="C3565" t="s">
        <v>10341</v>
      </c>
      <c r="D3565" t="s">
        <v>35</v>
      </c>
      <c r="E3565" t="s">
        <v>16</v>
      </c>
      <c r="F3565" t="s">
        <v>36</v>
      </c>
      <c r="G3565" t="s">
        <v>31</v>
      </c>
      <c r="H3565">
        <f>Cleaned_Data!K3565</f>
        <v>6.69</v>
      </c>
      <c r="I3565" t="str">
        <f t="shared" si="165"/>
        <v>YES</v>
      </c>
      <c r="J3565">
        <f>Cleaned_Data!J3565</f>
        <v>48</v>
      </c>
      <c r="K3565" t="str">
        <f t="shared" si="166"/>
        <v>2024-02</v>
      </c>
      <c r="L3565">
        <f t="shared" si="167"/>
        <v>0</v>
      </c>
    </row>
    <row r="3566" spans="1:12">
      <c r="A3566" t="s">
        <v>10342</v>
      </c>
      <c r="B3566" t="s">
        <v>10343</v>
      </c>
      <c r="C3566" t="s">
        <v>10344</v>
      </c>
      <c r="D3566" t="s">
        <v>23</v>
      </c>
      <c r="E3566" t="s">
        <v>24</v>
      </c>
      <c r="F3566" t="s">
        <v>60</v>
      </c>
      <c r="G3566" t="s">
        <v>19</v>
      </c>
      <c r="H3566">
        <f>Cleaned_Data!K3566</f>
        <v>40.049999999999997</v>
      </c>
      <c r="I3566" t="str">
        <f t="shared" si="165"/>
        <v>NO</v>
      </c>
      <c r="J3566">
        <f>Cleaned_Data!J3566</f>
        <v>24</v>
      </c>
      <c r="K3566" t="str">
        <f t="shared" si="166"/>
        <v>2024-08</v>
      </c>
      <c r="L3566">
        <f t="shared" si="167"/>
        <v>16.049999999999997</v>
      </c>
    </row>
    <row r="3567" spans="1:12">
      <c r="A3567" t="s">
        <v>10345</v>
      </c>
      <c r="B3567" t="s">
        <v>10346</v>
      </c>
      <c r="C3567" t="s">
        <v>10347</v>
      </c>
      <c r="D3567" t="s">
        <v>23</v>
      </c>
      <c r="E3567" t="s">
        <v>54</v>
      </c>
      <c r="F3567" t="s">
        <v>41</v>
      </c>
      <c r="G3567" t="s">
        <v>31</v>
      </c>
      <c r="H3567">
        <f>Cleaned_Data!K3567</f>
        <v>13.22</v>
      </c>
      <c r="I3567" t="str">
        <f t="shared" si="165"/>
        <v>YES</v>
      </c>
      <c r="J3567">
        <f>Cleaned_Data!J3567</f>
        <v>24</v>
      </c>
      <c r="K3567" t="str">
        <f t="shared" si="166"/>
        <v>2024-09</v>
      </c>
      <c r="L3567">
        <f t="shared" si="167"/>
        <v>0</v>
      </c>
    </row>
    <row r="3568" spans="1:12">
      <c r="A3568" t="s">
        <v>10348</v>
      </c>
      <c r="B3568" t="s">
        <v>10349</v>
      </c>
      <c r="C3568" t="s">
        <v>10350</v>
      </c>
      <c r="D3568" t="s">
        <v>15</v>
      </c>
      <c r="E3568" t="s">
        <v>28</v>
      </c>
      <c r="F3568" t="s">
        <v>36</v>
      </c>
      <c r="G3568" t="s">
        <v>19</v>
      </c>
      <c r="H3568">
        <f>Cleaned_Data!K3568</f>
        <v>2.61</v>
      </c>
      <c r="I3568" t="str">
        <f t="shared" si="165"/>
        <v>YES</v>
      </c>
      <c r="J3568">
        <f>Cleaned_Data!J3568</f>
        <v>8</v>
      </c>
      <c r="K3568" t="str">
        <f t="shared" si="166"/>
        <v>2024-01</v>
      </c>
      <c r="L3568">
        <f t="shared" si="167"/>
        <v>0</v>
      </c>
    </row>
    <row r="3569" spans="1:12">
      <c r="A3569" t="s">
        <v>10351</v>
      </c>
      <c r="B3569" t="s">
        <v>10352</v>
      </c>
      <c r="D3569" t="s">
        <v>23</v>
      </c>
      <c r="E3569" t="s">
        <v>24</v>
      </c>
      <c r="F3569" t="s">
        <v>17</v>
      </c>
      <c r="G3569" t="s">
        <v>46</v>
      </c>
      <c r="H3569">
        <f>Cleaned_Data!K3569</f>
        <v>0</v>
      </c>
      <c r="I3569" t="str">
        <f t="shared" si="165"/>
        <v/>
      </c>
      <c r="J3569">
        <f>Cleaned_Data!J3569</f>
        <v>24</v>
      </c>
      <c r="K3569" t="str">
        <f t="shared" si="166"/>
        <v>2024-04</v>
      </c>
      <c r="L3569">
        <f t="shared" si="167"/>
        <v>0</v>
      </c>
    </row>
    <row r="3570" spans="1:12">
      <c r="A3570" t="s">
        <v>10353</v>
      </c>
      <c r="B3570" t="s">
        <v>10354</v>
      </c>
      <c r="C3570" t="s">
        <v>10355</v>
      </c>
      <c r="D3570" t="s">
        <v>23</v>
      </c>
      <c r="E3570" t="s">
        <v>28</v>
      </c>
      <c r="F3570" t="s">
        <v>17</v>
      </c>
      <c r="G3570" t="s">
        <v>19</v>
      </c>
      <c r="H3570">
        <f>Cleaned_Data!K3570</f>
        <v>18.64</v>
      </c>
      <c r="I3570" t="str">
        <f t="shared" si="165"/>
        <v>YES</v>
      </c>
      <c r="J3570">
        <f>Cleaned_Data!J3570</f>
        <v>24</v>
      </c>
      <c r="K3570" t="str">
        <f t="shared" si="166"/>
        <v>2024-06</v>
      </c>
      <c r="L3570">
        <f t="shared" si="167"/>
        <v>0</v>
      </c>
    </row>
    <row r="3571" spans="1:12">
      <c r="A3571" t="s">
        <v>10356</v>
      </c>
      <c r="B3571" t="s">
        <v>10357</v>
      </c>
      <c r="C3571" t="s">
        <v>10358</v>
      </c>
      <c r="D3571" t="s">
        <v>15</v>
      </c>
      <c r="E3571" t="s">
        <v>54</v>
      </c>
      <c r="F3571" t="s">
        <v>60</v>
      </c>
      <c r="G3571" t="s">
        <v>19</v>
      </c>
      <c r="H3571">
        <f>Cleaned_Data!K3571</f>
        <v>3.9</v>
      </c>
      <c r="I3571" t="str">
        <f t="shared" si="165"/>
        <v>YES</v>
      </c>
      <c r="J3571">
        <f>Cleaned_Data!J3571</f>
        <v>8</v>
      </c>
      <c r="K3571" t="str">
        <f t="shared" si="166"/>
        <v>2024-05</v>
      </c>
      <c r="L3571">
        <f t="shared" si="167"/>
        <v>0</v>
      </c>
    </row>
    <row r="3572" spans="1:12">
      <c r="A3572" t="s">
        <v>10359</v>
      </c>
      <c r="B3572" t="s">
        <v>10360</v>
      </c>
      <c r="C3572" t="s">
        <v>10361</v>
      </c>
      <c r="D3572" t="s">
        <v>15</v>
      </c>
      <c r="E3572" t="s">
        <v>28</v>
      </c>
      <c r="F3572" t="s">
        <v>41</v>
      </c>
      <c r="G3572" t="s">
        <v>19</v>
      </c>
      <c r="H3572">
        <f>Cleaned_Data!K3572</f>
        <v>4.6399999999999997</v>
      </c>
      <c r="I3572" t="str">
        <f t="shared" si="165"/>
        <v>YES</v>
      </c>
      <c r="J3572">
        <f>Cleaned_Data!J3572</f>
        <v>8</v>
      </c>
      <c r="K3572" t="str">
        <f t="shared" si="166"/>
        <v>2024-08</v>
      </c>
      <c r="L3572">
        <f t="shared" si="167"/>
        <v>0</v>
      </c>
    </row>
    <row r="3573" spans="1:12">
      <c r="A3573" t="s">
        <v>10362</v>
      </c>
      <c r="B3573" t="s">
        <v>10363</v>
      </c>
      <c r="C3573" t="s">
        <v>10364</v>
      </c>
      <c r="D3573" t="s">
        <v>15</v>
      </c>
      <c r="E3573" t="s">
        <v>28</v>
      </c>
      <c r="F3573" t="s">
        <v>36</v>
      </c>
      <c r="G3573" t="s">
        <v>19</v>
      </c>
      <c r="H3573">
        <f>Cleaned_Data!K3573</f>
        <v>7.52</v>
      </c>
      <c r="I3573" t="str">
        <f t="shared" si="165"/>
        <v>YES</v>
      </c>
      <c r="J3573">
        <f>Cleaned_Data!J3573</f>
        <v>8</v>
      </c>
      <c r="K3573" t="str">
        <f t="shared" si="166"/>
        <v>2024-02</v>
      </c>
      <c r="L3573">
        <f t="shared" si="167"/>
        <v>0</v>
      </c>
    </row>
    <row r="3574" spans="1:12">
      <c r="A3574" t="s">
        <v>10365</v>
      </c>
      <c r="B3574" t="s">
        <v>10366</v>
      </c>
      <c r="D3574" t="s">
        <v>158</v>
      </c>
      <c r="E3574" t="s">
        <v>16</v>
      </c>
      <c r="F3574" t="s">
        <v>41</v>
      </c>
      <c r="G3574" t="s">
        <v>46</v>
      </c>
      <c r="H3574">
        <f>Cleaned_Data!K3574</f>
        <v>0</v>
      </c>
      <c r="I3574" t="str">
        <f t="shared" si="165"/>
        <v/>
      </c>
      <c r="J3574">
        <f>Cleaned_Data!J3574</f>
        <v>4</v>
      </c>
      <c r="K3574" t="str">
        <f t="shared" si="166"/>
        <v>2024-06</v>
      </c>
      <c r="L3574">
        <f t="shared" si="167"/>
        <v>0</v>
      </c>
    </row>
    <row r="3575" spans="1:12">
      <c r="A3575" t="s">
        <v>10367</v>
      </c>
      <c r="B3575" t="s">
        <v>10368</v>
      </c>
      <c r="C3575" t="s">
        <v>10369</v>
      </c>
      <c r="D3575" t="s">
        <v>35</v>
      </c>
      <c r="E3575" t="s">
        <v>28</v>
      </c>
      <c r="F3575" t="s">
        <v>41</v>
      </c>
      <c r="G3575" t="s">
        <v>19</v>
      </c>
      <c r="H3575">
        <f>Cleaned_Data!K3575</f>
        <v>27.47</v>
      </c>
      <c r="I3575" t="str">
        <f t="shared" si="165"/>
        <v>YES</v>
      </c>
      <c r="J3575">
        <f>Cleaned_Data!J3575</f>
        <v>48</v>
      </c>
      <c r="K3575" t="str">
        <f t="shared" si="166"/>
        <v>2024-06</v>
      </c>
      <c r="L3575">
        <f t="shared" si="167"/>
        <v>0</v>
      </c>
    </row>
    <row r="3576" spans="1:12">
      <c r="A3576" t="s">
        <v>10370</v>
      </c>
      <c r="B3576" t="s">
        <v>10371</v>
      </c>
      <c r="C3576" t="s">
        <v>10372</v>
      </c>
      <c r="D3576" t="s">
        <v>15</v>
      </c>
      <c r="E3576" t="s">
        <v>24</v>
      </c>
      <c r="F3576" t="s">
        <v>36</v>
      </c>
      <c r="G3576" t="s">
        <v>19</v>
      </c>
      <c r="H3576">
        <f>Cleaned_Data!K3576</f>
        <v>2.4900000000000002</v>
      </c>
      <c r="I3576" t="str">
        <f t="shared" si="165"/>
        <v>YES</v>
      </c>
      <c r="J3576">
        <f>Cleaned_Data!J3576</f>
        <v>8</v>
      </c>
      <c r="K3576" t="str">
        <f t="shared" si="166"/>
        <v>2024-03</v>
      </c>
      <c r="L3576">
        <f t="shared" si="167"/>
        <v>0</v>
      </c>
    </row>
    <row r="3577" spans="1:12">
      <c r="A3577" t="s">
        <v>10373</v>
      </c>
      <c r="B3577" t="s">
        <v>10374</v>
      </c>
      <c r="C3577" t="s">
        <v>10375</v>
      </c>
      <c r="D3577" t="s">
        <v>23</v>
      </c>
      <c r="E3577" t="s">
        <v>54</v>
      </c>
      <c r="F3577" t="s">
        <v>17</v>
      </c>
      <c r="G3577" t="s">
        <v>19</v>
      </c>
      <c r="H3577">
        <f>Cleaned_Data!K3577</f>
        <v>5.24</v>
      </c>
      <c r="I3577" t="str">
        <f t="shared" si="165"/>
        <v>YES</v>
      </c>
      <c r="J3577">
        <f>Cleaned_Data!J3577</f>
        <v>24</v>
      </c>
      <c r="K3577" t="str">
        <f t="shared" si="166"/>
        <v>2024-07</v>
      </c>
      <c r="L3577">
        <f t="shared" si="167"/>
        <v>0</v>
      </c>
    </row>
    <row r="3578" spans="1:12">
      <c r="A3578" t="s">
        <v>10376</v>
      </c>
      <c r="B3578" t="s">
        <v>10377</v>
      </c>
      <c r="C3578" t="s">
        <v>10378</v>
      </c>
      <c r="D3578" t="s">
        <v>35</v>
      </c>
      <c r="E3578" t="s">
        <v>24</v>
      </c>
      <c r="F3578" t="s">
        <v>36</v>
      </c>
      <c r="G3578" t="s">
        <v>31</v>
      </c>
      <c r="H3578">
        <f>Cleaned_Data!K3578</f>
        <v>26.09</v>
      </c>
      <c r="I3578" t="str">
        <f t="shared" si="165"/>
        <v>YES</v>
      </c>
      <c r="J3578">
        <f>Cleaned_Data!J3578</f>
        <v>48</v>
      </c>
      <c r="K3578" t="str">
        <f t="shared" si="166"/>
        <v>2024-12</v>
      </c>
      <c r="L3578">
        <f t="shared" si="167"/>
        <v>0</v>
      </c>
    </row>
    <row r="3579" spans="1:12">
      <c r="A3579" t="s">
        <v>10379</v>
      </c>
      <c r="B3579" t="s">
        <v>10380</v>
      </c>
      <c r="C3579" t="s">
        <v>10381</v>
      </c>
      <c r="D3579" t="s">
        <v>23</v>
      </c>
      <c r="E3579" t="s">
        <v>28</v>
      </c>
      <c r="F3579" t="s">
        <v>41</v>
      </c>
      <c r="G3579" t="s">
        <v>31</v>
      </c>
      <c r="H3579">
        <f>Cleaned_Data!K3579</f>
        <v>9.52</v>
      </c>
      <c r="I3579" t="str">
        <f t="shared" si="165"/>
        <v>YES</v>
      </c>
      <c r="J3579">
        <f>Cleaned_Data!J3579</f>
        <v>24</v>
      </c>
      <c r="K3579" t="str">
        <f t="shared" si="166"/>
        <v>2024-03</v>
      </c>
      <c r="L3579">
        <f t="shared" si="167"/>
        <v>0</v>
      </c>
    </row>
    <row r="3580" spans="1:12">
      <c r="A3580" t="s">
        <v>10382</v>
      </c>
      <c r="B3580" t="s">
        <v>10383</v>
      </c>
      <c r="C3580" t="s">
        <v>10384</v>
      </c>
      <c r="D3580" t="s">
        <v>15</v>
      </c>
      <c r="E3580" t="s">
        <v>24</v>
      </c>
      <c r="F3580" t="s">
        <v>41</v>
      </c>
      <c r="G3580" t="s">
        <v>31</v>
      </c>
      <c r="H3580">
        <f>Cleaned_Data!K3580</f>
        <v>4</v>
      </c>
      <c r="I3580" t="str">
        <f t="shared" si="165"/>
        <v>YES</v>
      </c>
      <c r="J3580">
        <f>Cleaned_Data!J3580</f>
        <v>8</v>
      </c>
      <c r="K3580" t="str">
        <f t="shared" si="166"/>
        <v>2024-07</v>
      </c>
      <c r="L3580">
        <f t="shared" si="167"/>
        <v>0</v>
      </c>
    </row>
    <row r="3581" spans="1:12">
      <c r="A3581" t="s">
        <v>10385</v>
      </c>
      <c r="B3581" t="s">
        <v>10386</v>
      </c>
      <c r="C3581" t="s">
        <v>10387</v>
      </c>
      <c r="D3581" t="s">
        <v>23</v>
      </c>
      <c r="E3581" t="s">
        <v>16</v>
      </c>
      <c r="F3581" t="s">
        <v>41</v>
      </c>
      <c r="G3581" t="s">
        <v>31</v>
      </c>
      <c r="H3581">
        <f>Cleaned_Data!K3581</f>
        <v>6.67</v>
      </c>
      <c r="I3581" t="str">
        <f t="shared" si="165"/>
        <v>YES</v>
      </c>
      <c r="J3581">
        <f>Cleaned_Data!J3581</f>
        <v>24</v>
      </c>
      <c r="K3581" t="str">
        <f t="shared" si="166"/>
        <v>2024-01</v>
      </c>
      <c r="L3581">
        <f t="shared" si="167"/>
        <v>0</v>
      </c>
    </row>
    <row r="3582" spans="1:12">
      <c r="A3582" t="s">
        <v>10388</v>
      </c>
      <c r="B3582" t="s">
        <v>10389</v>
      </c>
      <c r="C3582" t="s">
        <v>10390</v>
      </c>
      <c r="D3582" t="s">
        <v>15</v>
      </c>
      <c r="E3582" t="s">
        <v>54</v>
      </c>
      <c r="F3582" t="s">
        <v>29</v>
      </c>
      <c r="G3582" t="s">
        <v>19</v>
      </c>
      <c r="H3582">
        <f>Cleaned_Data!K3582</f>
        <v>0.93</v>
      </c>
      <c r="I3582" t="str">
        <f t="shared" si="165"/>
        <v>YES</v>
      </c>
      <c r="J3582">
        <f>Cleaned_Data!J3582</f>
        <v>8</v>
      </c>
      <c r="K3582" t="str">
        <f t="shared" si="166"/>
        <v>2024-01</v>
      </c>
      <c r="L3582">
        <f t="shared" si="167"/>
        <v>0</v>
      </c>
    </row>
    <row r="3583" spans="1:12">
      <c r="A3583" t="s">
        <v>10391</v>
      </c>
      <c r="B3583" t="s">
        <v>10392</v>
      </c>
      <c r="C3583" t="s">
        <v>10393</v>
      </c>
      <c r="D3583" t="s">
        <v>158</v>
      </c>
      <c r="E3583" t="s">
        <v>28</v>
      </c>
      <c r="F3583" t="s">
        <v>60</v>
      </c>
      <c r="G3583" t="s">
        <v>31</v>
      </c>
      <c r="H3583">
        <f>Cleaned_Data!K3583</f>
        <v>2.81</v>
      </c>
      <c r="I3583" t="str">
        <f t="shared" si="165"/>
        <v>YES</v>
      </c>
      <c r="J3583">
        <f>Cleaned_Data!J3583</f>
        <v>4</v>
      </c>
      <c r="K3583" t="str">
        <f t="shared" si="166"/>
        <v>2024-12</v>
      </c>
      <c r="L3583">
        <f t="shared" si="167"/>
        <v>0</v>
      </c>
    </row>
    <row r="3584" spans="1:12">
      <c r="A3584" t="s">
        <v>10394</v>
      </c>
      <c r="B3584" t="s">
        <v>10395</v>
      </c>
      <c r="C3584" t="s">
        <v>10396</v>
      </c>
      <c r="D3584" t="s">
        <v>15</v>
      </c>
      <c r="E3584" t="s">
        <v>54</v>
      </c>
      <c r="F3584" t="s">
        <v>36</v>
      </c>
      <c r="G3584" t="s">
        <v>19</v>
      </c>
      <c r="H3584">
        <f>Cleaned_Data!K3584</f>
        <v>10.5</v>
      </c>
      <c r="I3584" t="str">
        <f t="shared" si="165"/>
        <v>NO</v>
      </c>
      <c r="J3584">
        <f>Cleaned_Data!J3584</f>
        <v>8</v>
      </c>
      <c r="K3584" t="str">
        <f t="shared" si="166"/>
        <v>2024-12</v>
      </c>
      <c r="L3584">
        <f t="shared" si="167"/>
        <v>2.5</v>
      </c>
    </row>
    <row r="3585" spans="1:12">
      <c r="A3585" t="s">
        <v>10397</v>
      </c>
      <c r="B3585" t="s">
        <v>10398</v>
      </c>
      <c r="C3585" t="s">
        <v>10399</v>
      </c>
      <c r="D3585" t="s">
        <v>15</v>
      </c>
      <c r="E3585" t="s">
        <v>54</v>
      </c>
      <c r="F3585" t="s">
        <v>17</v>
      </c>
      <c r="G3585" t="s">
        <v>31</v>
      </c>
      <c r="H3585">
        <f>Cleaned_Data!K3585</f>
        <v>2.65</v>
      </c>
      <c r="I3585" t="str">
        <f t="shared" si="165"/>
        <v>YES</v>
      </c>
      <c r="J3585">
        <f>Cleaned_Data!J3585</f>
        <v>8</v>
      </c>
      <c r="K3585" t="str">
        <f t="shared" si="166"/>
        <v>2024-01</v>
      </c>
      <c r="L3585">
        <f t="shared" si="167"/>
        <v>0</v>
      </c>
    </row>
    <row r="3586" spans="1:12">
      <c r="A3586" t="s">
        <v>10400</v>
      </c>
      <c r="B3586" t="s">
        <v>10401</v>
      </c>
      <c r="C3586" t="s">
        <v>10402</v>
      </c>
      <c r="D3586" t="s">
        <v>23</v>
      </c>
      <c r="E3586" t="s">
        <v>24</v>
      </c>
      <c r="F3586" t="s">
        <v>41</v>
      </c>
      <c r="G3586" t="s">
        <v>31</v>
      </c>
      <c r="H3586">
        <f>Cleaned_Data!K3586</f>
        <v>22.4</v>
      </c>
      <c r="I3586" t="str">
        <f t="shared" ref="I3586:I3649" si="168">IF(OR(G3586="Resolved", G3586="Closed"), IF(AND(H3586&lt;&gt;"", H3586&lt;=J3586), "YES", "NO"), "")</f>
        <v>YES</v>
      </c>
      <c r="J3586">
        <f>Cleaned_Data!J3586</f>
        <v>24</v>
      </c>
      <c r="K3586" t="str">
        <f t="shared" ref="K3586:K3649" si="169">LEFT(B3586, 7)</f>
        <v>2024-11</v>
      </c>
      <c r="L3586">
        <f t="shared" ref="L3586:L3649" si="170">IF(I3586="NO", H3586-J3586, 0)</f>
        <v>0</v>
      </c>
    </row>
    <row r="3587" spans="1:12">
      <c r="A3587" t="s">
        <v>10403</v>
      </c>
      <c r="B3587" t="s">
        <v>10404</v>
      </c>
      <c r="C3587" t="s">
        <v>10405</v>
      </c>
      <c r="D3587" t="s">
        <v>35</v>
      </c>
      <c r="E3587" t="s">
        <v>16</v>
      </c>
      <c r="F3587" t="s">
        <v>60</v>
      </c>
      <c r="G3587" t="s">
        <v>31</v>
      </c>
      <c r="H3587">
        <f>Cleaned_Data!K3587</f>
        <v>13.82</v>
      </c>
      <c r="I3587" t="str">
        <f t="shared" si="168"/>
        <v>YES</v>
      </c>
      <c r="J3587">
        <f>Cleaned_Data!J3587</f>
        <v>48</v>
      </c>
      <c r="K3587" t="str">
        <f t="shared" si="169"/>
        <v>2024-02</v>
      </c>
      <c r="L3587">
        <f t="shared" si="170"/>
        <v>0</v>
      </c>
    </row>
    <row r="3588" spans="1:12">
      <c r="A3588" t="s">
        <v>10406</v>
      </c>
      <c r="B3588" t="s">
        <v>10407</v>
      </c>
      <c r="C3588" t="s">
        <v>10408</v>
      </c>
      <c r="D3588" t="s">
        <v>23</v>
      </c>
      <c r="E3588" t="s">
        <v>54</v>
      </c>
      <c r="F3588" t="s">
        <v>60</v>
      </c>
      <c r="G3588" t="s">
        <v>31</v>
      </c>
      <c r="H3588">
        <f>Cleaned_Data!K3588</f>
        <v>7.47</v>
      </c>
      <c r="I3588" t="str">
        <f t="shared" si="168"/>
        <v>YES</v>
      </c>
      <c r="J3588">
        <f>Cleaned_Data!J3588</f>
        <v>24</v>
      </c>
      <c r="K3588" t="str">
        <f t="shared" si="169"/>
        <v>2024-12</v>
      </c>
      <c r="L3588">
        <f t="shared" si="170"/>
        <v>0</v>
      </c>
    </row>
    <row r="3589" spans="1:12">
      <c r="A3589" t="s">
        <v>10409</v>
      </c>
      <c r="B3589" t="s">
        <v>10410</v>
      </c>
      <c r="C3589" t="s">
        <v>10411</v>
      </c>
      <c r="D3589" t="s">
        <v>23</v>
      </c>
      <c r="E3589" t="s">
        <v>59</v>
      </c>
      <c r="F3589" t="s">
        <v>36</v>
      </c>
      <c r="G3589" t="s">
        <v>19</v>
      </c>
      <c r="H3589">
        <f>Cleaned_Data!K3589</f>
        <v>7.78</v>
      </c>
      <c r="I3589" t="str">
        <f t="shared" si="168"/>
        <v>YES</v>
      </c>
      <c r="J3589">
        <f>Cleaned_Data!J3589</f>
        <v>24</v>
      </c>
      <c r="K3589" t="str">
        <f t="shared" si="169"/>
        <v>2024-04</v>
      </c>
      <c r="L3589">
        <f t="shared" si="170"/>
        <v>0</v>
      </c>
    </row>
    <row r="3590" spans="1:12">
      <c r="A3590" t="s">
        <v>10412</v>
      </c>
      <c r="B3590" t="s">
        <v>10413</v>
      </c>
      <c r="C3590" t="s">
        <v>10414</v>
      </c>
      <c r="D3590" t="s">
        <v>23</v>
      </c>
      <c r="E3590" t="s">
        <v>28</v>
      </c>
      <c r="F3590" t="s">
        <v>29</v>
      </c>
      <c r="G3590" t="s">
        <v>19</v>
      </c>
      <c r="H3590">
        <f>Cleaned_Data!K3590</f>
        <v>15.78</v>
      </c>
      <c r="I3590" t="str">
        <f t="shared" si="168"/>
        <v>YES</v>
      </c>
      <c r="J3590">
        <f>Cleaned_Data!J3590</f>
        <v>24</v>
      </c>
      <c r="K3590" t="str">
        <f t="shared" si="169"/>
        <v>2024-01</v>
      </c>
      <c r="L3590">
        <f t="shared" si="170"/>
        <v>0</v>
      </c>
    </row>
    <row r="3591" spans="1:12">
      <c r="A3591" t="s">
        <v>10415</v>
      </c>
      <c r="B3591" t="s">
        <v>10416</v>
      </c>
      <c r="C3591" t="s">
        <v>10417</v>
      </c>
      <c r="D3591" t="s">
        <v>15</v>
      </c>
      <c r="E3591" t="s">
        <v>59</v>
      </c>
      <c r="F3591" t="s">
        <v>17</v>
      </c>
      <c r="G3591" t="s">
        <v>19</v>
      </c>
      <c r="H3591">
        <f>Cleaned_Data!K3591</f>
        <v>1.45</v>
      </c>
      <c r="I3591" t="str">
        <f t="shared" si="168"/>
        <v>YES</v>
      </c>
      <c r="J3591">
        <f>Cleaned_Data!J3591</f>
        <v>8</v>
      </c>
      <c r="K3591" t="str">
        <f t="shared" si="169"/>
        <v>2024-04</v>
      </c>
      <c r="L3591">
        <f t="shared" si="170"/>
        <v>0</v>
      </c>
    </row>
    <row r="3592" spans="1:12">
      <c r="A3592" t="s">
        <v>10418</v>
      </c>
      <c r="B3592" t="s">
        <v>10419</v>
      </c>
      <c r="C3592" t="s">
        <v>10420</v>
      </c>
      <c r="D3592" t="s">
        <v>35</v>
      </c>
      <c r="E3592" t="s">
        <v>54</v>
      </c>
      <c r="F3592" t="s">
        <v>41</v>
      </c>
      <c r="G3592" t="s">
        <v>31</v>
      </c>
      <c r="H3592">
        <f>Cleaned_Data!K3592</f>
        <v>8.83</v>
      </c>
      <c r="I3592" t="str">
        <f t="shared" si="168"/>
        <v>YES</v>
      </c>
      <c r="J3592">
        <f>Cleaned_Data!J3592</f>
        <v>48</v>
      </c>
      <c r="K3592" t="str">
        <f t="shared" si="169"/>
        <v>2024-05</v>
      </c>
      <c r="L3592">
        <f t="shared" si="170"/>
        <v>0</v>
      </c>
    </row>
    <row r="3593" spans="1:12">
      <c r="A3593" t="s">
        <v>10421</v>
      </c>
      <c r="B3593" t="s">
        <v>10422</v>
      </c>
      <c r="C3593" t="s">
        <v>10423</v>
      </c>
      <c r="D3593" t="s">
        <v>15</v>
      </c>
      <c r="E3593" t="s">
        <v>28</v>
      </c>
      <c r="F3593" t="s">
        <v>29</v>
      </c>
      <c r="G3593" t="s">
        <v>19</v>
      </c>
      <c r="H3593">
        <f>Cleaned_Data!K3593</f>
        <v>1.91</v>
      </c>
      <c r="I3593" t="str">
        <f t="shared" si="168"/>
        <v>YES</v>
      </c>
      <c r="J3593">
        <f>Cleaned_Data!J3593</f>
        <v>8</v>
      </c>
      <c r="K3593" t="str">
        <f t="shared" si="169"/>
        <v>2024-03</v>
      </c>
      <c r="L3593">
        <f t="shared" si="170"/>
        <v>0</v>
      </c>
    </row>
    <row r="3594" spans="1:12">
      <c r="A3594" t="s">
        <v>10424</v>
      </c>
      <c r="B3594" t="s">
        <v>10425</v>
      </c>
      <c r="D3594" t="s">
        <v>35</v>
      </c>
      <c r="E3594" t="s">
        <v>28</v>
      </c>
      <c r="F3594" t="s">
        <v>60</v>
      </c>
      <c r="G3594" t="s">
        <v>46</v>
      </c>
      <c r="H3594">
        <f>Cleaned_Data!K3594</f>
        <v>0</v>
      </c>
      <c r="I3594" t="str">
        <f t="shared" si="168"/>
        <v/>
      </c>
      <c r="J3594">
        <f>Cleaned_Data!J3594</f>
        <v>48</v>
      </c>
      <c r="K3594" t="str">
        <f t="shared" si="169"/>
        <v>2024-08</v>
      </c>
      <c r="L3594">
        <f t="shared" si="170"/>
        <v>0</v>
      </c>
    </row>
    <row r="3595" spans="1:12">
      <c r="A3595" t="s">
        <v>10426</v>
      </c>
      <c r="B3595" t="s">
        <v>10427</v>
      </c>
      <c r="C3595" t="s">
        <v>10428</v>
      </c>
      <c r="D3595" t="s">
        <v>23</v>
      </c>
      <c r="E3595" t="s">
        <v>28</v>
      </c>
      <c r="F3595" t="s">
        <v>29</v>
      </c>
      <c r="G3595" t="s">
        <v>31</v>
      </c>
      <c r="H3595">
        <f>Cleaned_Data!K3595</f>
        <v>65.02</v>
      </c>
      <c r="I3595" t="str">
        <f t="shared" si="168"/>
        <v>NO</v>
      </c>
      <c r="J3595">
        <f>Cleaned_Data!J3595</f>
        <v>24</v>
      </c>
      <c r="K3595" t="str">
        <f t="shared" si="169"/>
        <v>2024-09</v>
      </c>
      <c r="L3595">
        <f t="shared" si="170"/>
        <v>41.019999999999996</v>
      </c>
    </row>
    <row r="3596" spans="1:12">
      <c r="A3596" t="s">
        <v>10429</v>
      </c>
      <c r="B3596" t="s">
        <v>10430</v>
      </c>
      <c r="C3596" t="s">
        <v>10431</v>
      </c>
      <c r="D3596" t="s">
        <v>15</v>
      </c>
      <c r="E3596" t="s">
        <v>28</v>
      </c>
      <c r="F3596" t="s">
        <v>17</v>
      </c>
      <c r="G3596" t="s">
        <v>19</v>
      </c>
      <c r="H3596">
        <f>Cleaned_Data!K3596</f>
        <v>1.39</v>
      </c>
      <c r="I3596" t="str">
        <f t="shared" si="168"/>
        <v>YES</v>
      </c>
      <c r="J3596">
        <f>Cleaned_Data!J3596</f>
        <v>8</v>
      </c>
      <c r="K3596" t="str">
        <f t="shared" si="169"/>
        <v>2024-06</v>
      </c>
      <c r="L3596">
        <f t="shared" si="170"/>
        <v>0</v>
      </c>
    </row>
    <row r="3597" spans="1:12">
      <c r="A3597" t="s">
        <v>10432</v>
      </c>
      <c r="B3597" t="s">
        <v>10433</v>
      </c>
      <c r="C3597" t="s">
        <v>10434</v>
      </c>
      <c r="D3597" t="s">
        <v>15</v>
      </c>
      <c r="E3597" t="s">
        <v>28</v>
      </c>
      <c r="F3597" t="s">
        <v>60</v>
      </c>
      <c r="G3597" t="s">
        <v>19</v>
      </c>
      <c r="H3597">
        <f>Cleaned_Data!K3597</f>
        <v>3.83</v>
      </c>
      <c r="I3597" t="str">
        <f t="shared" si="168"/>
        <v>YES</v>
      </c>
      <c r="J3597">
        <f>Cleaned_Data!J3597</f>
        <v>8</v>
      </c>
      <c r="K3597" t="str">
        <f t="shared" si="169"/>
        <v>2024-10</v>
      </c>
      <c r="L3597">
        <f t="shared" si="170"/>
        <v>0</v>
      </c>
    </row>
    <row r="3598" spans="1:12">
      <c r="A3598" t="s">
        <v>10435</v>
      </c>
      <c r="B3598" t="s">
        <v>10436</v>
      </c>
      <c r="C3598" t="s">
        <v>10437</v>
      </c>
      <c r="D3598" t="s">
        <v>15</v>
      </c>
      <c r="E3598" t="s">
        <v>24</v>
      </c>
      <c r="F3598" t="s">
        <v>36</v>
      </c>
      <c r="G3598" t="s">
        <v>19</v>
      </c>
      <c r="H3598">
        <f>Cleaned_Data!K3598</f>
        <v>7.39</v>
      </c>
      <c r="I3598" t="str">
        <f t="shared" si="168"/>
        <v>YES</v>
      </c>
      <c r="J3598">
        <f>Cleaned_Data!J3598</f>
        <v>8</v>
      </c>
      <c r="K3598" t="str">
        <f t="shared" si="169"/>
        <v>2024-07</v>
      </c>
      <c r="L3598">
        <f t="shared" si="170"/>
        <v>0</v>
      </c>
    </row>
    <row r="3599" spans="1:12">
      <c r="A3599" t="s">
        <v>10438</v>
      </c>
      <c r="B3599" t="s">
        <v>10439</v>
      </c>
      <c r="C3599" t="s">
        <v>10440</v>
      </c>
      <c r="D3599" t="s">
        <v>35</v>
      </c>
      <c r="E3599" t="s">
        <v>16</v>
      </c>
      <c r="F3599" t="s">
        <v>60</v>
      </c>
      <c r="G3599" t="s">
        <v>19</v>
      </c>
      <c r="H3599">
        <f>Cleaned_Data!K3599</f>
        <v>24.01</v>
      </c>
      <c r="I3599" t="str">
        <f t="shared" si="168"/>
        <v>YES</v>
      </c>
      <c r="J3599">
        <f>Cleaned_Data!J3599</f>
        <v>48</v>
      </c>
      <c r="K3599" t="str">
        <f t="shared" si="169"/>
        <v>2024-12</v>
      </c>
      <c r="L3599">
        <f t="shared" si="170"/>
        <v>0</v>
      </c>
    </row>
    <row r="3600" spans="1:12">
      <c r="A3600" t="s">
        <v>10441</v>
      </c>
      <c r="B3600" t="s">
        <v>10442</v>
      </c>
      <c r="C3600" t="s">
        <v>10443</v>
      </c>
      <c r="D3600" t="s">
        <v>158</v>
      </c>
      <c r="E3600" t="s">
        <v>16</v>
      </c>
      <c r="F3600" t="s">
        <v>29</v>
      </c>
      <c r="G3600" t="s">
        <v>19</v>
      </c>
      <c r="H3600">
        <f>Cleaned_Data!K3600</f>
        <v>5.92</v>
      </c>
      <c r="I3600" t="str">
        <f t="shared" si="168"/>
        <v>NO</v>
      </c>
      <c r="J3600">
        <f>Cleaned_Data!J3600</f>
        <v>4</v>
      </c>
      <c r="K3600" t="str">
        <f t="shared" si="169"/>
        <v>2024-06</v>
      </c>
      <c r="L3600">
        <f t="shared" si="170"/>
        <v>1.92</v>
      </c>
    </row>
    <row r="3601" spans="1:12">
      <c r="A3601" t="s">
        <v>10444</v>
      </c>
      <c r="B3601" t="s">
        <v>10445</v>
      </c>
      <c r="C3601" t="s">
        <v>10446</v>
      </c>
      <c r="D3601" t="s">
        <v>35</v>
      </c>
      <c r="E3601" t="s">
        <v>16</v>
      </c>
      <c r="F3601" t="s">
        <v>29</v>
      </c>
      <c r="G3601" t="s">
        <v>31</v>
      </c>
      <c r="H3601">
        <f>Cleaned_Data!K3601</f>
        <v>34.85</v>
      </c>
      <c r="I3601" t="str">
        <f t="shared" si="168"/>
        <v>YES</v>
      </c>
      <c r="J3601">
        <f>Cleaned_Data!J3601</f>
        <v>48</v>
      </c>
      <c r="K3601" t="str">
        <f t="shared" si="169"/>
        <v>2024-05</v>
      </c>
      <c r="L3601">
        <f t="shared" si="170"/>
        <v>0</v>
      </c>
    </row>
    <row r="3602" spans="1:12">
      <c r="A3602" t="s">
        <v>10447</v>
      </c>
      <c r="B3602" t="s">
        <v>10448</v>
      </c>
      <c r="D3602" t="s">
        <v>23</v>
      </c>
      <c r="E3602" t="s">
        <v>28</v>
      </c>
      <c r="F3602" t="s">
        <v>60</v>
      </c>
      <c r="G3602" t="s">
        <v>46</v>
      </c>
      <c r="H3602">
        <f>Cleaned_Data!K3602</f>
        <v>0</v>
      </c>
      <c r="I3602" t="str">
        <f t="shared" si="168"/>
        <v/>
      </c>
      <c r="J3602">
        <f>Cleaned_Data!J3602</f>
        <v>24</v>
      </c>
      <c r="K3602" t="str">
        <f t="shared" si="169"/>
        <v>2024-06</v>
      </c>
      <c r="L3602">
        <f t="shared" si="170"/>
        <v>0</v>
      </c>
    </row>
    <row r="3603" spans="1:12">
      <c r="A3603" t="s">
        <v>10449</v>
      </c>
      <c r="B3603" t="s">
        <v>10450</v>
      </c>
      <c r="C3603" t="s">
        <v>10451</v>
      </c>
      <c r="D3603" t="s">
        <v>15</v>
      </c>
      <c r="E3603" t="s">
        <v>28</v>
      </c>
      <c r="F3603" t="s">
        <v>41</v>
      </c>
      <c r="G3603" t="s">
        <v>31</v>
      </c>
      <c r="H3603">
        <f>Cleaned_Data!K3603</f>
        <v>5.62</v>
      </c>
      <c r="I3603" t="str">
        <f t="shared" si="168"/>
        <v>YES</v>
      </c>
      <c r="J3603">
        <f>Cleaned_Data!J3603</f>
        <v>8</v>
      </c>
      <c r="K3603" t="str">
        <f t="shared" si="169"/>
        <v>2024-02</v>
      </c>
      <c r="L3603">
        <f t="shared" si="170"/>
        <v>0</v>
      </c>
    </row>
    <row r="3604" spans="1:12">
      <c r="A3604" t="s">
        <v>10452</v>
      </c>
      <c r="B3604" t="s">
        <v>10453</v>
      </c>
      <c r="C3604" t="s">
        <v>10454</v>
      </c>
      <c r="D3604" t="s">
        <v>23</v>
      </c>
      <c r="E3604" t="s">
        <v>24</v>
      </c>
      <c r="F3604" t="s">
        <v>29</v>
      </c>
      <c r="G3604" t="s">
        <v>31</v>
      </c>
      <c r="H3604">
        <f>Cleaned_Data!K3604</f>
        <v>4.1900000000000004</v>
      </c>
      <c r="I3604" t="str">
        <f t="shared" si="168"/>
        <v>YES</v>
      </c>
      <c r="J3604">
        <f>Cleaned_Data!J3604</f>
        <v>24</v>
      </c>
      <c r="K3604" t="str">
        <f t="shared" si="169"/>
        <v>2024-06</v>
      </c>
      <c r="L3604">
        <f t="shared" si="170"/>
        <v>0</v>
      </c>
    </row>
    <row r="3605" spans="1:12">
      <c r="A3605" t="s">
        <v>10455</v>
      </c>
      <c r="B3605" t="s">
        <v>10456</v>
      </c>
      <c r="C3605" t="s">
        <v>10457</v>
      </c>
      <c r="D3605" t="s">
        <v>23</v>
      </c>
      <c r="E3605" t="s">
        <v>16</v>
      </c>
      <c r="F3605" t="s">
        <v>29</v>
      </c>
      <c r="G3605" t="s">
        <v>31</v>
      </c>
      <c r="H3605">
        <f>Cleaned_Data!K3605</f>
        <v>27.02</v>
      </c>
      <c r="I3605" t="str">
        <f t="shared" si="168"/>
        <v>NO</v>
      </c>
      <c r="J3605">
        <f>Cleaned_Data!J3605</f>
        <v>24</v>
      </c>
      <c r="K3605" t="str">
        <f t="shared" si="169"/>
        <v>2024-08</v>
      </c>
      <c r="L3605">
        <f t="shared" si="170"/>
        <v>3.0199999999999996</v>
      </c>
    </row>
    <row r="3606" spans="1:12">
      <c r="A3606" t="s">
        <v>10458</v>
      </c>
      <c r="B3606" t="s">
        <v>10459</v>
      </c>
      <c r="C3606" t="s">
        <v>10460</v>
      </c>
      <c r="D3606" t="s">
        <v>15</v>
      </c>
      <c r="E3606" t="s">
        <v>59</v>
      </c>
      <c r="F3606" t="s">
        <v>17</v>
      </c>
      <c r="G3606" t="s">
        <v>19</v>
      </c>
      <c r="H3606">
        <f>Cleaned_Data!K3606</f>
        <v>3.38</v>
      </c>
      <c r="I3606" t="str">
        <f t="shared" si="168"/>
        <v>YES</v>
      </c>
      <c r="J3606">
        <f>Cleaned_Data!J3606</f>
        <v>8</v>
      </c>
      <c r="K3606" t="str">
        <f t="shared" si="169"/>
        <v>2024-12</v>
      </c>
      <c r="L3606">
        <f t="shared" si="170"/>
        <v>0</v>
      </c>
    </row>
    <row r="3607" spans="1:12">
      <c r="A3607" t="s">
        <v>10461</v>
      </c>
      <c r="B3607" t="s">
        <v>10462</v>
      </c>
      <c r="C3607" t="s">
        <v>10463</v>
      </c>
      <c r="D3607" t="s">
        <v>23</v>
      </c>
      <c r="E3607" t="s">
        <v>24</v>
      </c>
      <c r="F3607" t="s">
        <v>60</v>
      </c>
      <c r="G3607" t="s">
        <v>19</v>
      </c>
      <c r="H3607">
        <f>Cleaned_Data!K3607</f>
        <v>17.670000000000002</v>
      </c>
      <c r="I3607" t="str">
        <f t="shared" si="168"/>
        <v>YES</v>
      </c>
      <c r="J3607">
        <f>Cleaned_Data!J3607</f>
        <v>24</v>
      </c>
      <c r="K3607" t="str">
        <f t="shared" si="169"/>
        <v>2024-10</v>
      </c>
      <c r="L3607">
        <f t="shared" si="170"/>
        <v>0</v>
      </c>
    </row>
    <row r="3608" spans="1:12">
      <c r="A3608" t="s">
        <v>10464</v>
      </c>
      <c r="B3608" t="s">
        <v>10465</v>
      </c>
      <c r="C3608" t="s">
        <v>10466</v>
      </c>
      <c r="D3608" t="s">
        <v>23</v>
      </c>
      <c r="E3608" t="s">
        <v>16</v>
      </c>
      <c r="F3608" t="s">
        <v>60</v>
      </c>
      <c r="G3608" t="s">
        <v>31</v>
      </c>
      <c r="H3608">
        <f>Cleaned_Data!K3608</f>
        <v>22.56</v>
      </c>
      <c r="I3608" t="str">
        <f t="shared" si="168"/>
        <v>YES</v>
      </c>
      <c r="J3608">
        <f>Cleaned_Data!J3608</f>
        <v>24</v>
      </c>
      <c r="K3608" t="str">
        <f t="shared" si="169"/>
        <v>2024-07</v>
      </c>
      <c r="L3608">
        <f t="shared" si="170"/>
        <v>0</v>
      </c>
    </row>
    <row r="3609" spans="1:12">
      <c r="A3609" t="s">
        <v>10467</v>
      </c>
      <c r="B3609" t="s">
        <v>10468</v>
      </c>
      <c r="C3609" t="s">
        <v>10469</v>
      </c>
      <c r="D3609" t="s">
        <v>35</v>
      </c>
      <c r="E3609" t="s">
        <v>16</v>
      </c>
      <c r="F3609" t="s">
        <v>17</v>
      </c>
      <c r="G3609" t="s">
        <v>31</v>
      </c>
      <c r="H3609">
        <f>Cleaned_Data!K3609</f>
        <v>30.87</v>
      </c>
      <c r="I3609" t="str">
        <f t="shared" si="168"/>
        <v>YES</v>
      </c>
      <c r="J3609">
        <f>Cleaned_Data!J3609</f>
        <v>48</v>
      </c>
      <c r="K3609" t="str">
        <f t="shared" si="169"/>
        <v>2024-05</v>
      </c>
      <c r="L3609">
        <f t="shared" si="170"/>
        <v>0</v>
      </c>
    </row>
    <row r="3610" spans="1:12">
      <c r="A3610" t="s">
        <v>10470</v>
      </c>
      <c r="B3610" t="s">
        <v>10471</v>
      </c>
      <c r="D3610" t="s">
        <v>35</v>
      </c>
      <c r="E3610" t="s">
        <v>24</v>
      </c>
      <c r="F3610" t="s">
        <v>36</v>
      </c>
      <c r="G3610" t="s">
        <v>63</v>
      </c>
      <c r="H3610">
        <f>Cleaned_Data!K3610</f>
        <v>0</v>
      </c>
      <c r="I3610" t="str">
        <f t="shared" si="168"/>
        <v/>
      </c>
      <c r="J3610">
        <f>Cleaned_Data!J3610</f>
        <v>48</v>
      </c>
      <c r="K3610" t="str">
        <f t="shared" si="169"/>
        <v>2024-11</v>
      </c>
      <c r="L3610">
        <f t="shared" si="170"/>
        <v>0</v>
      </c>
    </row>
    <row r="3611" spans="1:12">
      <c r="A3611" t="s">
        <v>10472</v>
      </c>
      <c r="B3611" t="s">
        <v>10473</v>
      </c>
      <c r="C3611" t="s">
        <v>10474</v>
      </c>
      <c r="D3611" t="s">
        <v>23</v>
      </c>
      <c r="E3611" t="s">
        <v>59</v>
      </c>
      <c r="F3611" t="s">
        <v>17</v>
      </c>
      <c r="G3611" t="s">
        <v>19</v>
      </c>
      <c r="H3611">
        <f>Cleaned_Data!K3611</f>
        <v>13.44</v>
      </c>
      <c r="I3611" t="str">
        <f t="shared" si="168"/>
        <v>YES</v>
      </c>
      <c r="J3611">
        <f>Cleaned_Data!J3611</f>
        <v>24</v>
      </c>
      <c r="K3611" t="str">
        <f t="shared" si="169"/>
        <v>2024-05</v>
      </c>
      <c r="L3611">
        <f t="shared" si="170"/>
        <v>0</v>
      </c>
    </row>
    <row r="3612" spans="1:12">
      <c r="A3612" t="s">
        <v>10475</v>
      </c>
      <c r="B3612" t="s">
        <v>10476</v>
      </c>
      <c r="C3612" t="s">
        <v>10477</v>
      </c>
      <c r="D3612" t="s">
        <v>35</v>
      </c>
      <c r="E3612" t="s">
        <v>24</v>
      </c>
      <c r="F3612" t="s">
        <v>29</v>
      </c>
      <c r="G3612" t="s">
        <v>31</v>
      </c>
      <c r="H3612">
        <f>Cleaned_Data!K3612</f>
        <v>130.97</v>
      </c>
      <c r="I3612" t="str">
        <f t="shared" si="168"/>
        <v>NO</v>
      </c>
      <c r="J3612">
        <f>Cleaned_Data!J3612</f>
        <v>48</v>
      </c>
      <c r="K3612" t="str">
        <f t="shared" si="169"/>
        <v>2024-05</v>
      </c>
      <c r="L3612">
        <f t="shared" si="170"/>
        <v>82.97</v>
      </c>
    </row>
    <row r="3613" spans="1:12">
      <c r="A3613" t="s">
        <v>10478</v>
      </c>
      <c r="B3613" t="s">
        <v>10479</v>
      </c>
      <c r="D3613" t="s">
        <v>23</v>
      </c>
      <c r="E3613" t="s">
        <v>28</v>
      </c>
      <c r="F3613" t="s">
        <v>29</v>
      </c>
      <c r="G3613" t="s">
        <v>46</v>
      </c>
      <c r="H3613">
        <f>Cleaned_Data!K3613</f>
        <v>0</v>
      </c>
      <c r="I3613" t="str">
        <f t="shared" si="168"/>
        <v/>
      </c>
      <c r="J3613">
        <f>Cleaned_Data!J3613</f>
        <v>24</v>
      </c>
      <c r="K3613" t="str">
        <f t="shared" si="169"/>
        <v>2024-07</v>
      </c>
      <c r="L3613">
        <f t="shared" si="170"/>
        <v>0</v>
      </c>
    </row>
    <row r="3614" spans="1:12">
      <c r="A3614" t="s">
        <v>10480</v>
      </c>
      <c r="B3614" t="s">
        <v>10481</v>
      </c>
      <c r="C3614" t="s">
        <v>10482</v>
      </c>
      <c r="D3614" t="s">
        <v>23</v>
      </c>
      <c r="E3614" t="s">
        <v>28</v>
      </c>
      <c r="F3614" t="s">
        <v>60</v>
      </c>
      <c r="G3614" t="s">
        <v>31</v>
      </c>
      <c r="H3614">
        <f>Cleaned_Data!K3614</f>
        <v>12.53</v>
      </c>
      <c r="I3614" t="str">
        <f t="shared" si="168"/>
        <v>YES</v>
      </c>
      <c r="J3614">
        <f>Cleaned_Data!J3614</f>
        <v>24</v>
      </c>
      <c r="K3614" t="str">
        <f t="shared" si="169"/>
        <v>2024-06</v>
      </c>
      <c r="L3614">
        <f t="shared" si="170"/>
        <v>0</v>
      </c>
    </row>
    <row r="3615" spans="1:12">
      <c r="A3615" t="s">
        <v>10483</v>
      </c>
      <c r="B3615" t="s">
        <v>10484</v>
      </c>
      <c r="C3615" t="s">
        <v>10485</v>
      </c>
      <c r="D3615" t="s">
        <v>35</v>
      </c>
      <c r="E3615" t="s">
        <v>16</v>
      </c>
      <c r="F3615" t="s">
        <v>29</v>
      </c>
      <c r="G3615" t="s">
        <v>19</v>
      </c>
      <c r="H3615">
        <f>Cleaned_Data!K3615</f>
        <v>31.02</v>
      </c>
      <c r="I3615" t="str">
        <f t="shared" si="168"/>
        <v>YES</v>
      </c>
      <c r="J3615">
        <f>Cleaned_Data!J3615</f>
        <v>48</v>
      </c>
      <c r="K3615" t="str">
        <f t="shared" si="169"/>
        <v>2024-08</v>
      </c>
      <c r="L3615">
        <f t="shared" si="170"/>
        <v>0</v>
      </c>
    </row>
    <row r="3616" spans="1:12">
      <c r="A3616" t="s">
        <v>10486</v>
      </c>
      <c r="B3616" t="s">
        <v>10487</v>
      </c>
      <c r="C3616" t="s">
        <v>10488</v>
      </c>
      <c r="D3616" t="s">
        <v>15</v>
      </c>
      <c r="E3616" t="s">
        <v>24</v>
      </c>
      <c r="F3616" t="s">
        <v>36</v>
      </c>
      <c r="G3616" t="s">
        <v>19</v>
      </c>
      <c r="H3616">
        <f>Cleaned_Data!K3616</f>
        <v>11.06</v>
      </c>
      <c r="I3616" t="str">
        <f t="shared" si="168"/>
        <v>NO</v>
      </c>
      <c r="J3616">
        <f>Cleaned_Data!J3616</f>
        <v>8</v>
      </c>
      <c r="K3616" t="str">
        <f t="shared" si="169"/>
        <v>2024-11</v>
      </c>
      <c r="L3616">
        <f t="shared" si="170"/>
        <v>3.0600000000000005</v>
      </c>
    </row>
    <row r="3617" spans="1:12">
      <c r="A3617" t="s">
        <v>10489</v>
      </c>
      <c r="B3617" t="s">
        <v>10490</v>
      </c>
      <c r="C3617" t="s">
        <v>10491</v>
      </c>
      <c r="D3617" t="s">
        <v>23</v>
      </c>
      <c r="E3617" t="s">
        <v>59</v>
      </c>
      <c r="F3617" t="s">
        <v>29</v>
      </c>
      <c r="G3617" t="s">
        <v>19</v>
      </c>
      <c r="H3617">
        <f>Cleaned_Data!K3617</f>
        <v>19.34</v>
      </c>
      <c r="I3617" t="str">
        <f t="shared" si="168"/>
        <v>YES</v>
      </c>
      <c r="J3617">
        <f>Cleaned_Data!J3617</f>
        <v>24</v>
      </c>
      <c r="K3617" t="str">
        <f t="shared" si="169"/>
        <v>2024-05</v>
      </c>
      <c r="L3617">
        <f t="shared" si="170"/>
        <v>0</v>
      </c>
    </row>
    <row r="3618" spans="1:12">
      <c r="A3618" t="s">
        <v>10492</v>
      </c>
      <c r="B3618" t="s">
        <v>10493</v>
      </c>
      <c r="C3618" t="s">
        <v>10494</v>
      </c>
      <c r="D3618" t="s">
        <v>23</v>
      </c>
      <c r="E3618" t="s">
        <v>24</v>
      </c>
      <c r="F3618" t="s">
        <v>29</v>
      </c>
      <c r="G3618" t="s">
        <v>19</v>
      </c>
      <c r="H3618">
        <f>Cleaned_Data!K3618</f>
        <v>12.91</v>
      </c>
      <c r="I3618" t="str">
        <f t="shared" si="168"/>
        <v>YES</v>
      </c>
      <c r="J3618">
        <f>Cleaned_Data!J3618</f>
        <v>24</v>
      </c>
      <c r="K3618" t="str">
        <f t="shared" si="169"/>
        <v>2024-02</v>
      </c>
      <c r="L3618">
        <f t="shared" si="170"/>
        <v>0</v>
      </c>
    </row>
    <row r="3619" spans="1:12">
      <c r="A3619" t="s">
        <v>10495</v>
      </c>
      <c r="B3619" t="s">
        <v>10496</v>
      </c>
      <c r="C3619" t="s">
        <v>10497</v>
      </c>
      <c r="D3619" t="s">
        <v>15</v>
      </c>
      <c r="E3619" t="s">
        <v>54</v>
      </c>
      <c r="F3619" t="s">
        <v>60</v>
      </c>
      <c r="G3619" t="s">
        <v>19</v>
      </c>
      <c r="H3619">
        <f>Cleaned_Data!K3619</f>
        <v>5.59</v>
      </c>
      <c r="I3619" t="str">
        <f t="shared" si="168"/>
        <v>YES</v>
      </c>
      <c r="J3619">
        <f>Cleaned_Data!J3619</f>
        <v>8</v>
      </c>
      <c r="K3619" t="str">
        <f t="shared" si="169"/>
        <v>2024-07</v>
      </c>
      <c r="L3619">
        <f t="shared" si="170"/>
        <v>0</v>
      </c>
    </row>
    <row r="3620" spans="1:12">
      <c r="A3620" t="s">
        <v>10498</v>
      </c>
      <c r="B3620" t="s">
        <v>10499</v>
      </c>
      <c r="C3620" t="s">
        <v>10500</v>
      </c>
      <c r="D3620" t="s">
        <v>23</v>
      </c>
      <c r="E3620" t="s">
        <v>16</v>
      </c>
      <c r="F3620" t="s">
        <v>41</v>
      </c>
      <c r="G3620" t="s">
        <v>31</v>
      </c>
      <c r="H3620">
        <f>Cleaned_Data!K3620</f>
        <v>48.45</v>
      </c>
      <c r="I3620" t="str">
        <f t="shared" si="168"/>
        <v>NO</v>
      </c>
      <c r="J3620">
        <f>Cleaned_Data!J3620</f>
        <v>24</v>
      </c>
      <c r="K3620" t="str">
        <f t="shared" si="169"/>
        <v>2024-06</v>
      </c>
      <c r="L3620">
        <f t="shared" si="170"/>
        <v>24.450000000000003</v>
      </c>
    </row>
    <row r="3621" spans="1:12">
      <c r="A3621" t="s">
        <v>10501</v>
      </c>
      <c r="B3621" t="s">
        <v>10502</v>
      </c>
      <c r="D3621" t="s">
        <v>23</v>
      </c>
      <c r="E3621" t="s">
        <v>28</v>
      </c>
      <c r="F3621" t="s">
        <v>60</v>
      </c>
      <c r="G3621" t="s">
        <v>46</v>
      </c>
      <c r="H3621">
        <f>Cleaned_Data!K3621</f>
        <v>0</v>
      </c>
      <c r="I3621" t="str">
        <f t="shared" si="168"/>
        <v/>
      </c>
      <c r="J3621">
        <f>Cleaned_Data!J3621</f>
        <v>24</v>
      </c>
      <c r="K3621" t="str">
        <f t="shared" si="169"/>
        <v>2024-11</v>
      </c>
      <c r="L3621">
        <f t="shared" si="170"/>
        <v>0</v>
      </c>
    </row>
    <row r="3622" spans="1:12">
      <c r="A3622" t="s">
        <v>10503</v>
      </c>
      <c r="B3622" t="s">
        <v>10504</v>
      </c>
      <c r="C3622" t="s">
        <v>10505</v>
      </c>
      <c r="D3622" t="s">
        <v>35</v>
      </c>
      <c r="E3622" t="s">
        <v>54</v>
      </c>
      <c r="F3622" t="s">
        <v>41</v>
      </c>
      <c r="G3622" t="s">
        <v>19</v>
      </c>
      <c r="H3622">
        <f>Cleaned_Data!K3622</f>
        <v>111.44</v>
      </c>
      <c r="I3622" t="str">
        <f t="shared" si="168"/>
        <v>NO</v>
      </c>
      <c r="J3622">
        <f>Cleaned_Data!J3622</f>
        <v>48</v>
      </c>
      <c r="K3622" t="str">
        <f t="shared" si="169"/>
        <v>2024-03</v>
      </c>
      <c r="L3622">
        <f t="shared" si="170"/>
        <v>63.44</v>
      </c>
    </row>
    <row r="3623" spans="1:12">
      <c r="A3623" t="s">
        <v>10506</v>
      </c>
      <c r="B3623" t="s">
        <v>10507</v>
      </c>
      <c r="C3623" t="s">
        <v>10508</v>
      </c>
      <c r="D3623" t="s">
        <v>35</v>
      </c>
      <c r="E3623" t="s">
        <v>28</v>
      </c>
      <c r="F3623" t="s">
        <v>41</v>
      </c>
      <c r="G3623" t="s">
        <v>31</v>
      </c>
      <c r="H3623">
        <f>Cleaned_Data!K3623</f>
        <v>39.880000000000003</v>
      </c>
      <c r="I3623" t="str">
        <f t="shared" si="168"/>
        <v>YES</v>
      </c>
      <c r="J3623">
        <f>Cleaned_Data!J3623</f>
        <v>48</v>
      </c>
      <c r="K3623" t="str">
        <f t="shared" si="169"/>
        <v>2024-09</v>
      </c>
      <c r="L3623">
        <f t="shared" si="170"/>
        <v>0</v>
      </c>
    </row>
    <row r="3624" spans="1:12">
      <c r="A3624" t="s">
        <v>10509</v>
      </c>
      <c r="B3624" t="s">
        <v>10510</v>
      </c>
      <c r="C3624" t="s">
        <v>10511</v>
      </c>
      <c r="D3624" t="s">
        <v>23</v>
      </c>
      <c r="E3624" t="s">
        <v>24</v>
      </c>
      <c r="F3624" t="s">
        <v>60</v>
      </c>
      <c r="G3624" t="s">
        <v>19</v>
      </c>
      <c r="H3624">
        <f>Cleaned_Data!K3624</f>
        <v>5.43</v>
      </c>
      <c r="I3624" t="str">
        <f t="shared" si="168"/>
        <v>YES</v>
      </c>
      <c r="J3624">
        <f>Cleaned_Data!J3624</f>
        <v>24</v>
      </c>
      <c r="K3624" t="str">
        <f t="shared" si="169"/>
        <v>2024-01</v>
      </c>
      <c r="L3624">
        <f t="shared" si="170"/>
        <v>0</v>
      </c>
    </row>
    <row r="3625" spans="1:12">
      <c r="A3625" t="s">
        <v>10512</v>
      </c>
      <c r="B3625" t="s">
        <v>10513</v>
      </c>
      <c r="C3625" t="s">
        <v>10514</v>
      </c>
      <c r="D3625" t="s">
        <v>23</v>
      </c>
      <c r="E3625" t="s">
        <v>28</v>
      </c>
      <c r="F3625" t="s">
        <v>17</v>
      </c>
      <c r="G3625" t="s">
        <v>19</v>
      </c>
      <c r="H3625">
        <f>Cleaned_Data!K3625</f>
        <v>9.34</v>
      </c>
      <c r="I3625" t="str">
        <f t="shared" si="168"/>
        <v>YES</v>
      </c>
      <c r="J3625">
        <f>Cleaned_Data!J3625</f>
        <v>24</v>
      </c>
      <c r="K3625" t="str">
        <f t="shared" si="169"/>
        <v>2024-10</v>
      </c>
      <c r="L3625">
        <f t="shared" si="170"/>
        <v>0</v>
      </c>
    </row>
    <row r="3626" spans="1:12">
      <c r="A3626" t="s">
        <v>10515</v>
      </c>
      <c r="B3626" t="s">
        <v>10516</v>
      </c>
      <c r="C3626" t="s">
        <v>10517</v>
      </c>
      <c r="D3626" t="s">
        <v>23</v>
      </c>
      <c r="E3626" t="s">
        <v>24</v>
      </c>
      <c r="F3626" t="s">
        <v>17</v>
      </c>
      <c r="G3626" t="s">
        <v>19</v>
      </c>
      <c r="H3626">
        <f>Cleaned_Data!K3626</f>
        <v>31.67</v>
      </c>
      <c r="I3626" t="str">
        <f t="shared" si="168"/>
        <v>NO</v>
      </c>
      <c r="J3626">
        <f>Cleaned_Data!J3626</f>
        <v>24</v>
      </c>
      <c r="K3626" t="str">
        <f t="shared" si="169"/>
        <v>2024-05</v>
      </c>
      <c r="L3626">
        <f t="shared" si="170"/>
        <v>7.6700000000000017</v>
      </c>
    </row>
    <row r="3627" spans="1:12">
      <c r="A3627" t="s">
        <v>10518</v>
      </c>
      <c r="B3627" t="s">
        <v>10519</v>
      </c>
      <c r="C3627" t="s">
        <v>10520</v>
      </c>
      <c r="D3627" t="s">
        <v>23</v>
      </c>
      <c r="E3627" t="s">
        <v>54</v>
      </c>
      <c r="F3627" t="s">
        <v>41</v>
      </c>
      <c r="G3627" t="s">
        <v>19</v>
      </c>
      <c r="H3627">
        <f>Cleaned_Data!K3627</f>
        <v>9.15</v>
      </c>
      <c r="I3627" t="str">
        <f t="shared" si="168"/>
        <v>YES</v>
      </c>
      <c r="J3627">
        <f>Cleaned_Data!J3627</f>
        <v>24</v>
      </c>
      <c r="K3627" t="str">
        <f t="shared" si="169"/>
        <v>2024-11</v>
      </c>
      <c r="L3627">
        <f t="shared" si="170"/>
        <v>0</v>
      </c>
    </row>
    <row r="3628" spans="1:12">
      <c r="A3628" t="s">
        <v>10521</v>
      </c>
      <c r="B3628" t="s">
        <v>10522</v>
      </c>
      <c r="C3628" t="s">
        <v>10523</v>
      </c>
      <c r="D3628" t="s">
        <v>23</v>
      </c>
      <c r="E3628" t="s">
        <v>28</v>
      </c>
      <c r="F3628" t="s">
        <v>36</v>
      </c>
      <c r="G3628" t="s">
        <v>19</v>
      </c>
      <c r="H3628">
        <f>Cleaned_Data!K3628</f>
        <v>7.86</v>
      </c>
      <c r="I3628" t="str">
        <f t="shared" si="168"/>
        <v>YES</v>
      </c>
      <c r="J3628">
        <f>Cleaned_Data!J3628</f>
        <v>24</v>
      </c>
      <c r="K3628" t="str">
        <f t="shared" si="169"/>
        <v>2024-08</v>
      </c>
      <c r="L3628">
        <f t="shared" si="170"/>
        <v>0</v>
      </c>
    </row>
    <row r="3629" spans="1:12">
      <c r="A3629" t="s">
        <v>10524</v>
      </c>
      <c r="B3629" t="s">
        <v>10525</v>
      </c>
      <c r="C3629" t="s">
        <v>10526</v>
      </c>
      <c r="D3629" t="s">
        <v>23</v>
      </c>
      <c r="E3629" t="s">
        <v>54</v>
      </c>
      <c r="F3629" t="s">
        <v>36</v>
      </c>
      <c r="G3629" t="s">
        <v>19</v>
      </c>
      <c r="H3629">
        <f>Cleaned_Data!K3629</f>
        <v>9.91</v>
      </c>
      <c r="I3629" t="str">
        <f t="shared" si="168"/>
        <v>YES</v>
      </c>
      <c r="J3629">
        <f>Cleaned_Data!J3629</f>
        <v>24</v>
      </c>
      <c r="K3629" t="str">
        <f t="shared" si="169"/>
        <v>2024-04</v>
      </c>
      <c r="L3629">
        <f t="shared" si="170"/>
        <v>0</v>
      </c>
    </row>
    <row r="3630" spans="1:12">
      <c r="A3630" t="s">
        <v>10527</v>
      </c>
      <c r="B3630" t="s">
        <v>10528</v>
      </c>
      <c r="C3630" t="s">
        <v>10529</v>
      </c>
      <c r="D3630" t="s">
        <v>35</v>
      </c>
      <c r="E3630" t="s">
        <v>24</v>
      </c>
      <c r="F3630" t="s">
        <v>36</v>
      </c>
      <c r="G3630" t="s">
        <v>19</v>
      </c>
      <c r="H3630">
        <f>Cleaned_Data!K3630</f>
        <v>12.74</v>
      </c>
      <c r="I3630" t="str">
        <f t="shared" si="168"/>
        <v>YES</v>
      </c>
      <c r="J3630">
        <f>Cleaned_Data!J3630</f>
        <v>48</v>
      </c>
      <c r="K3630" t="str">
        <f t="shared" si="169"/>
        <v>2024-01</v>
      </c>
      <c r="L3630">
        <f t="shared" si="170"/>
        <v>0</v>
      </c>
    </row>
    <row r="3631" spans="1:12">
      <c r="A3631" t="s">
        <v>10530</v>
      </c>
      <c r="B3631" t="s">
        <v>10531</v>
      </c>
      <c r="C3631" t="s">
        <v>10532</v>
      </c>
      <c r="D3631" t="s">
        <v>35</v>
      </c>
      <c r="E3631" t="s">
        <v>16</v>
      </c>
      <c r="F3631" t="s">
        <v>60</v>
      </c>
      <c r="G3631" t="s">
        <v>31</v>
      </c>
      <c r="H3631">
        <f>Cleaned_Data!K3631</f>
        <v>9.34</v>
      </c>
      <c r="I3631" t="str">
        <f t="shared" si="168"/>
        <v>YES</v>
      </c>
      <c r="J3631">
        <f>Cleaned_Data!J3631</f>
        <v>48</v>
      </c>
      <c r="K3631" t="str">
        <f t="shared" si="169"/>
        <v>2024-04</v>
      </c>
      <c r="L3631">
        <f t="shared" si="170"/>
        <v>0</v>
      </c>
    </row>
    <row r="3632" spans="1:12">
      <c r="A3632" t="s">
        <v>10533</v>
      </c>
      <c r="B3632" t="s">
        <v>10534</v>
      </c>
      <c r="D3632" t="s">
        <v>23</v>
      </c>
      <c r="E3632" t="s">
        <v>59</v>
      </c>
      <c r="F3632" t="s">
        <v>60</v>
      </c>
      <c r="G3632" t="s">
        <v>63</v>
      </c>
      <c r="H3632">
        <f>Cleaned_Data!K3632</f>
        <v>0</v>
      </c>
      <c r="I3632" t="str">
        <f t="shared" si="168"/>
        <v/>
      </c>
      <c r="J3632">
        <f>Cleaned_Data!J3632</f>
        <v>24</v>
      </c>
      <c r="K3632" t="str">
        <f t="shared" si="169"/>
        <v>2024-08</v>
      </c>
      <c r="L3632">
        <f t="shared" si="170"/>
        <v>0</v>
      </c>
    </row>
    <row r="3633" spans="1:12">
      <c r="A3633" t="s">
        <v>10535</v>
      </c>
      <c r="B3633" t="s">
        <v>10536</v>
      </c>
      <c r="C3633" t="s">
        <v>10537</v>
      </c>
      <c r="D3633" t="s">
        <v>23</v>
      </c>
      <c r="E3633" t="s">
        <v>16</v>
      </c>
      <c r="F3633" t="s">
        <v>36</v>
      </c>
      <c r="G3633" t="s">
        <v>19</v>
      </c>
      <c r="H3633">
        <f>Cleaned_Data!K3633</f>
        <v>10.67</v>
      </c>
      <c r="I3633" t="str">
        <f t="shared" si="168"/>
        <v>YES</v>
      </c>
      <c r="J3633">
        <f>Cleaned_Data!J3633</f>
        <v>24</v>
      </c>
      <c r="K3633" t="str">
        <f t="shared" si="169"/>
        <v>2024-02</v>
      </c>
      <c r="L3633">
        <f t="shared" si="170"/>
        <v>0</v>
      </c>
    </row>
    <row r="3634" spans="1:12">
      <c r="A3634" t="s">
        <v>10538</v>
      </c>
      <c r="B3634" t="s">
        <v>10539</v>
      </c>
      <c r="C3634" t="s">
        <v>10540</v>
      </c>
      <c r="D3634" t="s">
        <v>35</v>
      </c>
      <c r="E3634" t="s">
        <v>59</v>
      </c>
      <c r="F3634" t="s">
        <v>60</v>
      </c>
      <c r="G3634" t="s">
        <v>19</v>
      </c>
      <c r="H3634">
        <f>Cleaned_Data!K3634</f>
        <v>5.88</v>
      </c>
      <c r="I3634" t="str">
        <f t="shared" si="168"/>
        <v>YES</v>
      </c>
      <c r="J3634">
        <f>Cleaned_Data!J3634</f>
        <v>48</v>
      </c>
      <c r="K3634" t="str">
        <f t="shared" si="169"/>
        <v>2024-03</v>
      </c>
      <c r="L3634">
        <f t="shared" si="170"/>
        <v>0</v>
      </c>
    </row>
    <row r="3635" spans="1:12">
      <c r="A3635" t="s">
        <v>10541</v>
      </c>
      <c r="B3635" t="s">
        <v>10542</v>
      </c>
      <c r="C3635" t="s">
        <v>10543</v>
      </c>
      <c r="D3635" t="s">
        <v>23</v>
      </c>
      <c r="E3635" t="s">
        <v>54</v>
      </c>
      <c r="F3635" t="s">
        <v>17</v>
      </c>
      <c r="G3635" t="s">
        <v>19</v>
      </c>
      <c r="H3635">
        <f>Cleaned_Data!K3635</f>
        <v>9.94</v>
      </c>
      <c r="I3635" t="str">
        <f t="shared" si="168"/>
        <v>YES</v>
      </c>
      <c r="J3635">
        <f>Cleaned_Data!J3635</f>
        <v>24</v>
      </c>
      <c r="K3635" t="str">
        <f t="shared" si="169"/>
        <v>2024-04</v>
      </c>
      <c r="L3635">
        <f t="shared" si="170"/>
        <v>0</v>
      </c>
    </row>
    <row r="3636" spans="1:12">
      <c r="A3636" t="s">
        <v>10544</v>
      </c>
      <c r="B3636" t="s">
        <v>10545</v>
      </c>
      <c r="C3636" t="s">
        <v>10546</v>
      </c>
      <c r="D3636" t="s">
        <v>23</v>
      </c>
      <c r="E3636" t="s">
        <v>24</v>
      </c>
      <c r="F3636" t="s">
        <v>41</v>
      </c>
      <c r="G3636" t="s">
        <v>31</v>
      </c>
      <c r="H3636">
        <f>Cleaned_Data!K3636</f>
        <v>12.59</v>
      </c>
      <c r="I3636" t="str">
        <f t="shared" si="168"/>
        <v>YES</v>
      </c>
      <c r="J3636">
        <f>Cleaned_Data!J3636</f>
        <v>24</v>
      </c>
      <c r="K3636" t="str">
        <f t="shared" si="169"/>
        <v>2024-05</v>
      </c>
      <c r="L3636">
        <f t="shared" si="170"/>
        <v>0</v>
      </c>
    </row>
    <row r="3637" spans="1:12">
      <c r="A3637" t="s">
        <v>10547</v>
      </c>
      <c r="B3637" t="s">
        <v>10548</v>
      </c>
      <c r="C3637" t="s">
        <v>10549</v>
      </c>
      <c r="D3637" t="s">
        <v>23</v>
      </c>
      <c r="E3637" t="s">
        <v>54</v>
      </c>
      <c r="F3637" t="s">
        <v>17</v>
      </c>
      <c r="G3637" t="s">
        <v>31</v>
      </c>
      <c r="H3637">
        <f>Cleaned_Data!K3637</f>
        <v>19.899999999999999</v>
      </c>
      <c r="I3637" t="str">
        <f t="shared" si="168"/>
        <v>YES</v>
      </c>
      <c r="J3637">
        <f>Cleaned_Data!J3637</f>
        <v>24</v>
      </c>
      <c r="K3637" t="str">
        <f t="shared" si="169"/>
        <v>2024-07</v>
      </c>
      <c r="L3637">
        <f t="shared" si="170"/>
        <v>0</v>
      </c>
    </row>
    <row r="3638" spans="1:12">
      <c r="A3638" t="s">
        <v>10550</v>
      </c>
      <c r="B3638" t="s">
        <v>10551</v>
      </c>
      <c r="C3638" t="s">
        <v>10552</v>
      </c>
      <c r="D3638" t="s">
        <v>23</v>
      </c>
      <c r="E3638" t="s">
        <v>28</v>
      </c>
      <c r="F3638" t="s">
        <v>41</v>
      </c>
      <c r="G3638" t="s">
        <v>19</v>
      </c>
      <c r="H3638">
        <f>Cleaned_Data!K3638</f>
        <v>17.53</v>
      </c>
      <c r="I3638" t="str">
        <f t="shared" si="168"/>
        <v>YES</v>
      </c>
      <c r="J3638">
        <f>Cleaned_Data!J3638</f>
        <v>24</v>
      </c>
      <c r="K3638" t="str">
        <f t="shared" si="169"/>
        <v>2024-10</v>
      </c>
      <c r="L3638">
        <f t="shared" si="170"/>
        <v>0</v>
      </c>
    </row>
    <row r="3639" spans="1:12">
      <c r="A3639" t="s">
        <v>10553</v>
      </c>
      <c r="B3639" t="s">
        <v>10554</v>
      </c>
      <c r="C3639" t="s">
        <v>10555</v>
      </c>
      <c r="D3639" t="s">
        <v>23</v>
      </c>
      <c r="E3639" t="s">
        <v>54</v>
      </c>
      <c r="F3639" t="s">
        <v>17</v>
      </c>
      <c r="G3639" t="s">
        <v>31</v>
      </c>
      <c r="H3639">
        <f>Cleaned_Data!K3639</f>
        <v>6.15</v>
      </c>
      <c r="I3639" t="str">
        <f t="shared" si="168"/>
        <v>YES</v>
      </c>
      <c r="J3639">
        <f>Cleaned_Data!J3639</f>
        <v>24</v>
      </c>
      <c r="K3639" t="str">
        <f t="shared" si="169"/>
        <v>2024-08</v>
      </c>
      <c r="L3639">
        <f t="shared" si="170"/>
        <v>0</v>
      </c>
    </row>
    <row r="3640" spans="1:12">
      <c r="A3640" t="s">
        <v>10556</v>
      </c>
      <c r="B3640" t="s">
        <v>10557</v>
      </c>
      <c r="C3640" t="s">
        <v>10558</v>
      </c>
      <c r="D3640" t="s">
        <v>158</v>
      </c>
      <c r="E3640" t="s">
        <v>28</v>
      </c>
      <c r="F3640" t="s">
        <v>29</v>
      </c>
      <c r="G3640" t="s">
        <v>19</v>
      </c>
      <c r="H3640">
        <f>Cleaned_Data!K3640</f>
        <v>3.03</v>
      </c>
      <c r="I3640" t="str">
        <f t="shared" si="168"/>
        <v>YES</v>
      </c>
      <c r="J3640">
        <f>Cleaned_Data!J3640</f>
        <v>4</v>
      </c>
      <c r="K3640" t="str">
        <f t="shared" si="169"/>
        <v>2024-02</v>
      </c>
      <c r="L3640">
        <f t="shared" si="170"/>
        <v>0</v>
      </c>
    </row>
    <row r="3641" spans="1:12">
      <c r="A3641" t="s">
        <v>10559</v>
      </c>
      <c r="B3641" t="s">
        <v>10560</v>
      </c>
      <c r="C3641" t="s">
        <v>10561</v>
      </c>
      <c r="D3641" t="s">
        <v>35</v>
      </c>
      <c r="E3641" t="s">
        <v>28</v>
      </c>
      <c r="F3641" t="s">
        <v>36</v>
      </c>
      <c r="G3641" t="s">
        <v>31</v>
      </c>
      <c r="H3641">
        <f>Cleaned_Data!K3641</f>
        <v>7.08</v>
      </c>
      <c r="I3641" t="str">
        <f t="shared" si="168"/>
        <v>YES</v>
      </c>
      <c r="J3641">
        <f>Cleaned_Data!J3641</f>
        <v>48</v>
      </c>
      <c r="K3641" t="str">
        <f t="shared" si="169"/>
        <v>2024-09</v>
      </c>
      <c r="L3641">
        <f t="shared" si="170"/>
        <v>0</v>
      </c>
    </row>
    <row r="3642" spans="1:12">
      <c r="A3642" t="s">
        <v>10562</v>
      </c>
      <c r="B3642" t="s">
        <v>10563</v>
      </c>
      <c r="C3642" t="s">
        <v>10564</v>
      </c>
      <c r="D3642" t="s">
        <v>15</v>
      </c>
      <c r="E3642" t="s">
        <v>54</v>
      </c>
      <c r="F3642" t="s">
        <v>41</v>
      </c>
      <c r="G3642" t="s">
        <v>31</v>
      </c>
      <c r="H3642">
        <f>Cleaned_Data!K3642</f>
        <v>22.63</v>
      </c>
      <c r="I3642" t="str">
        <f t="shared" si="168"/>
        <v>NO</v>
      </c>
      <c r="J3642">
        <f>Cleaned_Data!J3642</f>
        <v>8</v>
      </c>
      <c r="K3642" t="str">
        <f t="shared" si="169"/>
        <v>2024-03</v>
      </c>
      <c r="L3642">
        <f t="shared" si="170"/>
        <v>14.629999999999999</v>
      </c>
    </row>
    <row r="3643" spans="1:12">
      <c r="A3643" t="s">
        <v>10565</v>
      </c>
      <c r="B3643" t="s">
        <v>10566</v>
      </c>
      <c r="C3643" t="s">
        <v>10567</v>
      </c>
      <c r="D3643" t="s">
        <v>158</v>
      </c>
      <c r="E3643" t="s">
        <v>54</v>
      </c>
      <c r="F3643" t="s">
        <v>17</v>
      </c>
      <c r="G3643" t="s">
        <v>31</v>
      </c>
      <c r="H3643">
        <f>Cleaned_Data!K3643</f>
        <v>2.56</v>
      </c>
      <c r="I3643" t="str">
        <f t="shared" si="168"/>
        <v>YES</v>
      </c>
      <c r="J3643">
        <f>Cleaned_Data!J3643</f>
        <v>4</v>
      </c>
      <c r="K3643" t="str">
        <f t="shared" si="169"/>
        <v>2024-10</v>
      </c>
      <c r="L3643">
        <f t="shared" si="170"/>
        <v>0</v>
      </c>
    </row>
    <row r="3644" spans="1:12">
      <c r="A3644" t="s">
        <v>10568</v>
      </c>
      <c r="B3644" t="s">
        <v>10569</v>
      </c>
      <c r="C3644" t="s">
        <v>10570</v>
      </c>
      <c r="D3644" t="s">
        <v>23</v>
      </c>
      <c r="E3644" t="s">
        <v>54</v>
      </c>
      <c r="F3644" t="s">
        <v>41</v>
      </c>
      <c r="G3644" t="s">
        <v>31</v>
      </c>
      <c r="H3644">
        <f>Cleaned_Data!K3644</f>
        <v>19.739999999999998</v>
      </c>
      <c r="I3644" t="str">
        <f t="shared" si="168"/>
        <v>YES</v>
      </c>
      <c r="J3644">
        <f>Cleaned_Data!J3644</f>
        <v>24</v>
      </c>
      <c r="K3644" t="str">
        <f t="shared" si="169"/>
        <v>2024-10</v>
      </c>
      <c r="L3644">
        <f t="shared" si="170"/>
        <v>0</v>
      </c>
    </row>
    <row r="3645" spans="1:12">
      <c r="A3645" t="s">
        <v>10571</v>
      </c>
      <c r="B3645" t="s">
        <v>10572</v>
      </c>
      <c r="C3645" t="s">
        <v>10573</v>
      </c>
      <c r="D3645" t="s">
        <v>158</v>
      </c>
      <c r="E3645" t="s">
        <v>24</v>
      </c>
      <c r="F3645" t="s">
        <v>41</v>
      </c>
      <c r="G3645" t="s">
        <v>31</v>
      </c>
      <c r="H3645">
        <f>Cleaned_Data!K3645</f>
        <v>5.18</v>
      </c>
      <c r="I3645" t="str">
        <f t="shared" si="168"/>
        <v>NO</v>
      </c>
      <c r="J3645">
        <f>Cleaned_Data!J3645</f>
        <v>4</v>
      </c>
      <c r="K3645" t="str">
        <f t="shared" si="169"/>
        <v>2024-07</v>
      </c>
      <c r="L3645">
        <f t="shared" si="170"/>
        <v>1.1799999999999997</v>
      </c>
    </row>
    <row r="3646" spans="1:12">
      <c r="A3646" t="s">
        <v>10574</v>
      </c>
      <c r="B3646" t="s">
        <v>10575</v>
      </c>
      <c r="C3646" t="s">
        <v>10576</v>
      </c>
      <c r="D3646" t="s">
        <v>23</v>
      </c>
      <c r="E3646" t="s">
        <v>28</v>
      </c>
      <c r="F3646" t="s">
        <v>29</v>
      </c>
      <c r="G3646" t="s">
        <v>19</v>
      </c>
      <c r="H3646">
        <f>Cleaned_Data!K3646</f>
        <v>8.24</v>
      </c>
      <c r="I3646" t="str">
        <f t="shared" si="168"/>
        <v>YES</v>
      </c>
      <c r="J3646">
        <f>Cleaned_Data!J3646</f>
        <v>24</v>
      </c>
      <c r="K3646" t="str">
        <f t="shared" si="169"/>
        <v>2024-03</v>
      </c>
      <c r="L3646">
        <f t="shared" si="170"/>
        <v>0</v>
      </c>
    </row>
    <row r="3647" spans="1:12">
      <c r="A3647" t="s">
        <v>10577</v>
      </c>
      <c r="B3647" t="s">
        <v>10578</v>
      </c>
      <c r="C3647" t="s">
        <v>10579</v>
      </c>
      <c r="D3647" t="s">
        <v>23</v>
      </c>
      <c r="E3647" t="s">
        <v>28</v>
      </c>
      <c r="F3647" t="s">
        <v>41</v>
      </c>
      <c r="G3647" t="s">
        <v>31</v>
      </c>
      <c r="H3647">
        <f>Cleaned_Data!K3647</f>
        <v>28.11</v>
      </c>
      <c r="I3647" t="str">
        <f t="shared" si="168"/>
        <v>NO</v>
      </c>
      <c r="J3647">
        <f>Cleaned_Data!J3647</f>
        <v>24</v>
      </c>
      <c r="K3647" t="str">
        <f t="shared" si="169"/>
        <v>2024-07</v>
      </c>
      <c r="L3647">
        <f t="shared" si="170"/>
        <v>4.1099999999999994</v>
      </c>
    </row>
    <row r="3648" spans="1:12">
      <c r="A3648" t="s">
        <v>10580</v>
      </c>
      <c r="B3648" t="s">
        <v>10581</v>
      </c>
      <c r="D3648" t="s">
        <v>23</v>
      </c>
      <c r="E3648" t="s">
        <v>28</v>
      </c>
      <c r="F3648" t="s">
        <v>36</v>
      </c>
      <c r="G3648" t="s">
        <v>46</v>
      </c>
      <c r="H3648">
        <f>Cleaned_Data!K3648</f>
        <v>0</v>
      </c>
      <c r="I3648" t="str">
        <f t="shared" si="168"/>
        <v/>
      </c>
      <c r="J3648">
        <f>Cleaned_Data!J3648</f>
        <v>24</v>
      </c>
      <c r="K3648" t="str">
        <f t="shared" si="169"/>
        <v>2024-03</v>
      </c>
      <c r="L3648">
        <f t="shared" si="170"/>
        <v>0</v>
      </c>
    </row>
    <row r="3649" spans="1:12">
      <c r="A3649" t="s">
        <v>10582</v>
      </c>
      <c r="B3649" t="s">
        <v>10583</v>
      </c>
      <c r="C3649" t="s">
        <v>10584</v>
      </c>
      <c r="D3649" t="s">
        <v>23</v>
      </c>
      <c r="E3649" t="s">
        <v>54</v>
      </c>
      <c r="F3649" t="s">
        <v>36</v>
      </c>
      <c r="G3649" t="s">
        <v>19</v>
      </c>
      <c r="H3649">
        <f>Cleaned_Data!K3649</f>
        <v>9.86</v>
      </c>
      <c r="I3649" t="str">
        <f t="shared" si="168"/>
        <v>YES</v>
      </c>
      <c r="J3649">
        <f>Cleaned_Data!J3649</f>
        <v>24</v>
      </c>
      <c r="K3649" t="str">
        <f t="shared" si="169"/>
        <v>2024-03</v>
      </c>
      <c r="L3649">
        <f t="shared" si="170"/>
        <v>0</v>
      </c>
    </row>
    <row r="3650" spans="1:12">
      <c r="A3650" t="s">
        <v>10585</v>
      </c>
      <c r="B3650" t="s">
        <v>10586</v>
      </c>
      <c r="C3650" t="s">
        <v>10587</v>
      </c>
      <c r="D3650" t="s">
        <v>23</v>
      </c>
      <c r="E3650" t="s">
        <v>28</v>
      </c>
      <c r="F3650" t="s">
        <v>41</v>
      </c>
      <c r="G3650" t="s">
        <v>31</v>
      </c>
      <c r="H3650">
        <f>Cleaned_Data!K3650</f>
        <v>16.53</v>
      </c>
      <c r="I3650" t="str">
        <f t="shared" ref="I3650:I3713" si="171">IF(OR(G3650="Resolved", G3650="Closed"), IF(AND(H3650&lt;&gt;"", H3650&lt;=J3650), "YES", "NO"), "")</f>
        <v>YES</v>
      </c>
      <c r="J3650">
        <f>Cleaned_Data!J3650</f>
        <v>24</v>
      </c>
      <c r="K3650" t="str">
        <f t="shared" ref="K3650:K3713" si="172">LEFT(B3650, 7)</f>
        <v>2024-02</v>
      </c>
      <c r="L3650">
        <f t="shared" ref="L3650:L3713" si="173">IF(I3650="NO", H3650-J3650, 0)</f>
        <v>0</v>
      </c>
    </row>
    <row r="3651" spans="1:12">
      <c r="A3651" t="s">
        <v>10588</v>
      </c>
      <c r="B3651" t="s">
        <v>10589</v>
      </c>
      <c r="C3651" t="s">
        <v>10590</v>
      </c>
      <c r="D3651" t="s">
        <v>35</v>
      </c>
      <c r="E3651" t="s">
        <v>59</v>
      </c>
      <c r="F3651" t="s">
        <v>41</v>
      </c>
      <c r="G3651" t="s">
        <v>31</v>
      </c>
      <c r="H3651">
        <f>Cleaned_Data!K3651</f>
        <v>38.119999999999997</v>
      </c>
      <c r="I3651" t="str">
        <f t="shared" si="171"/>
        <v>YES</v>
      </c>
      <c r="J3651">
        <f>Cleaned_Data!J3651</f>
        <v>48</v>
      </c>
      <c r="K3651" t="str">
        <f t="shared" si="172"/>
        <v>2024-06</v>
      </c>
      <c r="L3651">
        <f t="shared" si="173"/>
        <v>0</v>
      </c>
    </row>
    <row r="3652" spans="1:12">
      <c r="A3652" t="s">
        <v>10591</v>
      </c>
      <c r="B3652" t="s">
        <v>10592</v>
      </c>
      <c r="C3652" t="s">
        <v>10593</v>
      </c>
      <c r="D3652" t="s">
        <v>23</v>
      </c>
      <c r="E3652" t="s">
        <v>28</v>
      </c>
      <c r="F3652" t="s">
        <v>41</v>
      </c>
      <c r="G3652" t="s">
        <v>19</v>
      </c>
      <c r="H3652">
        <f>Cleaned_Data!K3652</f>
        <v>20.88</v>
      </c>
      <c r="I3652" t="str">
        <f t="shared" si="171"/>
        <v>YES</v>
      </c>
      <c r="J3652">
        <f>Cleaned_Data!J3652</f>
        <v>24</v>
      </c>
      <c r="K3652" t="str">
        <f t="shared" si="172"/>
        <v>2024-05</v>
      </c>
      <c r="L3652">
        <f t="shared" si="173"/>
        <v>0</v>
      </c>
    </row>
    <row r="3653" spans="1:12">
      <c r="A3653" t="s">
        <v>10594</v>
      </c>
      <c r="B3653" t="s">
        <v>10595</v>
      </c>
      <c r="C3653" t="s">
        <v>10596</v>
      </c>
      <c r="D3653" t="s">
        <v>158</v>
      </c>
      <c r="E3653" t="s">
        <v>54</v>
      </c>
      <c r="F3653" t="s">
        <v>60</v>
      </c>
      <c r="G3653" t="s">
        <v>19</v>
      </c>
      <c r="H3653">
        <f>Cleaned_Data!K3653</f>
        <v>1.96</v>
      </c>
      <c r="I3653" t="str">
        <f t="shared" si="171"/>
        <v>YES</v>
      </c>
      <c r="J3653">
        <f>Cleaned_Data!J3653</f>
        <v>4</v>
      </c>
      <c r="K3653" t="str">
        <f t="shared" si="172"/>
        <v>2024-06</v>
      </c>
      <c r="L3653">
        <f t="shared" si="173"/>
        <v>0</v>
      </c>
    </row>
    <row r="3654" spans="1:12">
      <c r="A3654" t="s">
        <v>10597</v>
      </c>
      <c r="B3654" t="s">
        <v>10598</v>
      </c>
      <c r="C3654" t="s">
        <v>10599</v>
      </c>
      <c r="D3654" t="s">
        <v>158</v>
      </c>
      <c r="E3654" t="s">
        <v>59</v>
      </c>
      <c r="F3654" t="s">
        <v>60</v>
      </c>
      <c r="G3654" t="s">
        <v>31</v>
      </c>
      <c r="H3654">
        <f>Cleaned_Data!K3654</f>
        <v>5.39</v>
      </c>
      <c r="I3654" t="str">
        <f t="shared" si="171"/>
        <v>NO</v>
      </c>
      <c r="J3654">
        <f>Cleaned_Data!J3654</f>
        <v>4</v>
      </c>
      <c r="K3654" t="str">
        <f t="shared" si="172"/>
        <v>2024-06</v>
      </c>
      <c r="L3654">
        <f t="shared" si="173"/>
        <v>1.3899999999999997</v>
      </c>
    </row>
    <row r="3655" spans="1:12">
      <c r="A3655" t="s">
        <v>10600</v>
      </c>
      <c r="B3655" t="s">
        <v>10601</v>
      </c>
      <c r="C3655" t="s">
        <v>10602</v>
      </c>
      <c r="D3655" t="s">
        <v>23</v>
      </c>
      <c r="E3655" t="s">
        <v>24</v>
      </c>
      <c r="F3655" t="s">
        <v>17</v>
      </c>
      <c r="G3655" t="s">
        <v>31</v>
      </c>
      <c r="H3655">
        <f>Cleaned_Data!K3655</f>
        <v>10.58</v>
      </c>
      <c r="I3655" t="str">
        <f t="shared" si="171"/>
        <v>YES</v>
      </c>
      <c r="J3655">
        <f>Cleaned_Data!J3655</f>
        <v>24</v>
      </c>
      <c r="K3655" t="str">
        <f t="shared" si="172"/>
        <v>2024-06</v>
      </c>
      <c r="L3655">
        <f t="shared" si="173"/>
        <v>0</v>
      </c>
    </row>
    <row r="3656" spans="1:12">
      <c r="A3656" t="s">
        <v>10603</v>
      </c>
      <c r="B3656" t="s">
        <v>10604</v>
      </c>
      <c r="C3656" t="s">
        <v>10605</v>
      </c>
      <c r="D3656" t="s">
        <v>23</v>
      </c>
      <c r="E3656" t="s">
        <v>28</v>
      </c>
      <c r="F3656" t="s">
        <v>36</v>
      </c>
      <c r="G3656" t="s">
        <v>19</v>
      </c>
      <c r="H3656">
        <f>Cleaned_Data!K3656</f>
        <v>20.059999999999999</v>
      </c>
      <c r="I3656" t="str">
        <f t="shared" si="171"/>
        <v>YES</v>
      </c>
      <c r="J3656">
        <f>Cleaned_Data!J3656</f>
        <v>24</v>
      </c>
      <c r="K3656" t="str">
        <f t="shared" si="172"/>
        <v>2024-10</v>
      </c>
      <c r="L3656">
        <f t="shared" si="173"/>
        <v>0</v>
      </c>
    </row>
    <row r="3657" spans="1:12">
      <c r="A3657" t="s">
        <v>10606</v>
      </c>
      <c r="B3657" t="s">
        <v>10607</v>
      </c>
      <c r="C3657" t="s">
        <v>10608</v>
      </c>
      <c r="D3657" t="s">
        <v>35</v>
      </c>
      <c r="E3657" t="s">
        <v>24</v>
      </c>
      <c r="F3657" t="s">
        <v>41</v>
      </c>
      <c r="G3657" t="s">
        <v>31</v>
      </c>
      <c r="H3657">
        <f>Cleaned_Data!K3657</f>
        <v>5.23</v>
      </c>
      <c r="I3657" t="str">
        <f t="shared" si="171"/>
        <v>YES</v>
      </c>
      <c r="J3657">
        <f>Cleaned_Data!J3657</f>
        <v>48</v>
      </c>
      <c r="K3657" t="str">
        <f t="shared" si="172"/>
        <v>2024-07</v>
      </c>
      <c r="L3657">
        <f t="shared" si="173"/>
        <v>0</v>
      </c>
    </row>
    <row r="3658" spans="1:12">
      <c r="A3658" t="s">
        <v>10609</v>
      </c>
      <c r="B3658" t="s">
        <v>10610</v>
      </c>
      <c r="D3658" t="s">
        <v>35</v>
      </c>
      <c r="E3658" t="s">
        <v>54</v>
      </c>
      <c r="F3658" t="s">
        <v>41</v>
      </c>
      <c r="G3658" t="s">
        <v>46</v>
      </c>
      <c r="H3658">
        <f>Cleaned_Data!K3658</f>
        <v>0</v>
      </c>
      <c r="I3658" t="str">
        <f t="shared" si="171"/>
        <v/>
      </c>
      <c r="J3658">
        <f>Cleaned_Data!J3658</f>
        <v>48</v>
      </c>
      <c r="K3658" t="str">
        <f t="shared" si="172"/>
        <v>2024-09</v>
      </c>
      <c r="L3658">
        <f t="shared" si="173"/>
        <v>0</v>
      </c>
    </row>
    <row r="3659" spans="1:12">
      <c r="A3659" t="s">
        <v>10611</v>
      </c>
      <c r="B3659" t="s">
        <v>10612</v>
      </c>
      <c r="C3659" t="s">
        <v>10613</v>
      </c>
      <c r="D3659" t="s">
        <v>23</v>
      </c>
      <c r="E3659" t="s">
        <v>28</v>
      </c>
      <c r="F3659" t="s">
        <v>36</v>
      </c>
      <c r="G3659" t="s">
        <v>19</v>
      </c>
      <c r="H3659">
        <f>Cleaned_Data!K3659</f>
        <v>20.71</v>
      </c>
      <c r="I3659" t="str">
        <f t="shared" si="171"/>
        <v>YES</v>
      </c>
      <c r="J3659">
        <f>Cleaned_Data!J3659</f>
        <v>24</v>
      </c>
      <c r="K3659" t="str">
        <f t="shared" si="172"/>
        <v>2024-12</v>
      </c>
      <c r="L3659">
        <f t="shared" si="173"/>
        <v>0</v>
      </c>
    </row>
    <row r="3660" spans="1:12">
      <c r="A3660" t="s">
        <v>10614</v>
      </c>
      <c r="B3660" t="s">
        <v>10615</v>
      </c>
      <c r="C3660" t="s">
        <v>10616</v>
      </c>
      <c r="D3660" t="s">
        <v>23</v>
      </c>
      <c r="E3660" t="s">
        <v>28</v>
      </c>
      <c r="F3660" t="s">
        <v>60</v>
      </c>
      <c r="G3660" t="s">
        <v>19</v>
      </c>
      <c r="H3660">
        <f>Cleaned_Data!K3660</f>
        <v>56.66</v>
      </c>
      <c r="I3660" t="str">
        <f t="shared" si="171"/>
        <v>NO</v>
      </c>
      <c r="J3660">
        <f>Cleaned_Data!J3660</f>
        <v>24</v>
      </c>
      <c r="K3660" t="str">
        <f t="shared" si="172"/>
        <v>2024-10</v>
      </c>
      <c r="L3660">
        <f t="shared" si="173"/>
        <v>32.659999999999997</v>
      </c>
    </row>
    <row r="3661" spans="1:12">
      <c r="A3661" t="s">
        <v>10617</v>
      </c>
      <c r="B3661" t="s">
        <v>10618</v>
      </c>
      <c r="C3661" t="s">
        <v>10619</v>
      </c>
      <c r="D3661" t="s">
        <v>23</v>
      </c>
      <c r="E3661" t="s">
        <v>24</v>
      </c>
      <c r="F3661" t="s">
        <v>60</v>
      </c>
      <c r="G3661" t="s">
        <v>19</v>
      </c>
      <c r="H3661">
        <f>Cleaned_Data!K3661</f>
        <v>16.29</v>
      </c>
      <c r="I3661" t="str">
        <f t="shared" si="171"/>
        <v>YES</v>
      </c>
      <c r="J3661">
        <f>Cleaned_Data!J3661</f>
        <v>24</v>
      </c>
      <c r="K3661" t="str">
        <f t="shared" si="172"/>
        <v>2024-11</v>
      </c>
      <c r="L3661">
        <f t="shared" si="173"/>
        <v>0</v>
      </c>
    </row>
    <row r="3662" spans="1:12">
      <c r="A3662" t="s">
        <v>10620</v>
      </c>
      <c r="B3662" t="s">
        <v>10621</v>
      </c>
      <c r="C3662" t="s">
        <v>10622</v>
      </c>
      <c r="D3662" t="s">
        <v>23</v>
      </c>
      <c r="E3662" t="s">
        <v>59</v>
      </c>
      <c r="F3662" t="s">
        <v>36</v>
      </c>
      <c r="G3662" t="s">
        <v>19</v>
      </c>
      <c r="H3662">
        <f>Cleaned_Data!K3662</f>
        <v>17.170000000000002</v>
      </c>
      <c r="I3662" t="str">
        <f t="shared" si="171"/>
        <v>YES</v>
      </c>
      <c r="J3662">
        <f>Cleaned_Data!J3662</f>
        <v>24</v>
      </c>
      <c r="K3662" t="str">
        <f t="shared" si="172"/>
        <v>2024-07</v>
      </c>
      <c r="L3662">
        <f t="shared" si="173"/>
        <v>0</v>
      </c>
    </row>
    <row r="3663" spans="1:12">
      <c r="A3663" t="s">
        <v>10623</v>
      </c>
      <c r="B3663" t="s">
        <v>10624</v>
      </c>
      <c r="C3663" t="s">
        <v>10625</v>
      </c>
      <c r="D3663" t="s">
        <v>35</v>
      </c>
      <c r="E3663" t="s">
        <v>16</v>
      </c>
      <c r="F3663" t="s">
        <v>36</v>
      </c>
      <c r="G3663" t="s">
        <v>19</v>
      </c>
      <c r="H3663">
        <f>Cleaned_Data!K3663</f>
        <v>43.52</v>
      </c>
      <c r="I3663" t="str">
        <f t="shared" si="171"/>
        <v>YES</v>
      </c>
      <c r="J3663">
        <f>Cleaned_Data!J3663</f>
        <v>48</v>
      </c>
      <c r="K3663" t="str">
        <f t="shared" si="172"/>
        <v>2024-12</v>
      </c>
      <c r="L3663">
        <f t="shared" si="173"/>
        <v>0</v>
      </c>
    </row>
    <row r="3664" spans="1:12">
      <c r="A3664" t="s">
        <v>10626</v>
      </c>
      <c r="B3664" t="s">
        <v>10627</v>
      </c>
      <c r="C3664" t="s">
        <v>10628</v>
      </c>
      <c r="D3664" t="s">
        <v>158</v>
      </c>
      <c r="E3664" t="s">
        <v>28</v>
      </c>
      <c r="F3664" t="s">
        <v>41</v>
      </c>
      <c r="G3664" t="s">
        <v>31</v>
      </c>
      <c r="H3664">
        <f>Cleaned_Data!K3664</f>
        <v>2.4300000000000002</v>
      </c>
      <c r="I3664" t="str">
        <f t="shared" si="171"/>
        <v>YES</v>
      </c>
      <c r="J3664">
        <f>Cleaned_Data!J3664</f>
        <v>4</v>
      </c>
      <c r="K3664" t="str">
        <f t="shared" si="172"/>
        <v>2024-04</v>
      </c>
      <c r="L3664">
        <f t="shared" si="173"/>
        <v>0</v>
      </c>
    </row>
    <row r="3665" spans="1:12">
      <c r="A3665" t="s">
        <v>10629</v>
      </c>
      <c r="B3665" t="s">
        <v>10630</v>
      </c>
      <c r="C3665" t="s">
        <v>10631</v>
      </c>
      <c r="D3665" t="s">
        <v>23</v>
      </c>
      <c r="E3665" t="s">
        <v>28</v>
      </c>
      <c r="F3665" t="s">
        <v>36</v>
      </c>
      <c r="G3665" t="s">
        <v>19</v>
      </c>
      <c r="H3665">
        <f>Cleaned_Data!K3665</f>
        <v>29.49</v>
      </c>
      <c r="I3665" t="str">
        <f t="shared" si="171"/>
        <v>NO</v>
      </c>
      <c r="J3665">
        <f>Cleaned_Data!J3665</f>
        <v>24</v>
      </c>
      <c r="K3665" t="str">
        <f t="shared" si="172"/>
        <v>2024-02</v>
      </c>
      <c r="L3665">
        <f t="shared" si="173"/>
        <v>5.4899999999999984</v>
      </c>
    </row>
    <row r="3666" spans="1:12">
      <c r="A3666" t="s">
        <v>10632</v>
      </c>
      <c r="B3666" t="s">
        <v>10633</v>
      </c>
      <c r="C3666" t="s">
        <v>10634</v>
      </c>
      <c r="D3666" t="s">
        <v>35</v>
      </c>
      <c r="E3666" t="s">
        <v>24</v>
      </c>
      <c r="F3666" t="s">
        <v>41</v>
      </c>
      <c r="G3666" t="s">
        <v>31</v>
      </c>
      <c r="H3666">
        <f>Cleaned_Data!K3666</f>
        <v>34.869999999999997</v>
      </c>
      <c r="I3666" t="str">
        <f t="shared" si="171"/>
        <v>YES</v>
      </c>
      <c r="J3666">
        <f>Cleaned_Data!J3666</f>
        <v>48</v>
      </c>
      <c r="K3666" t="str">
        <f t="shared" si="172"/>
        <v>2024-08</v>
      </c>
      <c r="L3666">
        <f t="shared" si="173"/>
        <v>0</v>
      </c>
    </row>
    <row r="3667" spans="1:12">
      <c r="A3667" t="s">
        <v>10635</v>
      </c>
      <c r="B3667" t="s">
        <v>10636</v>
      </c>
      <c r="C3667" t="s">
        <v>10637</v>
      </c>
      <c r="D3667" t="s">
        <v>158</v>
      </c>
      <c r="E3667" t="s">
        <v>24</v>
      </c>
      <c r="F3667" t="s">
        <v>29</v>
      </c>
      <c r="G3667" t="s">
        <v>19</v>
      </c>
      <c r="H3667">
        <f>Cleaned_Data!K3667</f>
        <v>2.73</v>
      </c>
      <c r="I3667" t="str">
        <f t="shared" si="171"/>
        <v>YES</v>
      </c>
      <c r="J3667">
        <f>Cleaned_Data!J3667</f>
        <v>4</v>
      </c>
      <c r="K3667" t="str">
        <f t="shared" si="172"/>
        <v>2024-03</v>
      </c>
      <c r="L3667">
        <f t="shared" si="173"/>
        <v>0</v>
      </c>
    </row>
    <row r="3668" spans="1:12">
      <c r="A3668" t="s">
        <v>10638</v>
      </c>
      <c r="B3668" t="s">
        <v>10639</v>
      </c>
      <c r="C3668" t="s">
        <v>10640</v>
      </c>
      <c r="D3668" t="s">
        <v>23</v>
      </c>
      <c r="E3668" t="s">
        <v>54</v>
      </c>
      <c r="F3668" t="s">
        <v>36</v>
      </c>
      <c r="G3668" t="s">
        <v>19</v>
      </c>
      <c r="H3668">
        <f>Cleaned_Data!K3668</f>
        <v>15.05</v>
      </c>
      <c r="I3668" t="str">
        <f t="shared" si="171"/>
        <v>YES</v>
      </c>
      <c r="J3668">
        <f>Cleaned_Data!J3668</f>
        <v>24</v>
      </c>
      <c r="K3668" t="str">
        <f t="shared" si="172"/>
        <v>2024-03</v>
      </c>
      <c r="L3668">
        <f t="shared" si="173"/>
        <v>0</v>
      </c>
    </row>
    <row r="3669" spans="1:12">
      <c r="A3669" t="s">
        <v>10641</v>
      </c>
      <c r="B3669" t="s">
        <v>10642</v>
      </c>
      <c r="C3669" t="s">
        <v>10643</v>
      </c>
      <c r="D3669" t="s">
        <v>35</v>
      </c>
      <c r="E3669" t="s">
        <v>16</v>
      </c>
      <c r="F3669" t="s">
        <v>41</v>
      </c>
      <c r="G3669" t="s">
        <v>31</v>
      </c>
      <c r="H3669">
        <f>Cleaned_Data!K3669</f>
        <v>31.48</v>
      </c>
      <c r="I3669" t="str">
        <f t="shared" si="171"/>
        <v>YES</v>
      </c>
      <c r="J3669">
        <f>Cleaned_Data!J3669</f>
        <v>48</v>
      </c>
      <c r="K3669" t="str">
        <f t="shared" si="172"/>
        <v>2024-05</v>
      </c>
      <c r="L3669">
        <f t="shared" si="173"/>
        <v>0</v>
      </c>
    </row>
    <row r="3670" spans="1:12">
      <c r="A3670" t="s">
        <v>10644</v>
      </c>
      <c r="B3670" t="s">
        <v>10645</v>
      </c>
      <c r="C3670" t="s">
        <v>10646</v>
      </c>
      <c r="D3670" t="s">
        <v>23</v>
      </c>
      <c r="E3670" t="s">
        <v>16</v>
      </c>
      <c r="F3670" t="s">
        <v>41</v>
      </c>
      <c r="G3670" t="s">
        <v>31</v>
      </c>
      <c r="H3670">
        <f>Cleaned_Data!K3670</f>
        <v>11.61</v>
      </c>
      <c r="I3670" t="str">
        <f t="shared" si="171"/>
        <v>YES</v>
      </c>
      <c r="J3670">
        <f>Cleaned_Data!J3670</f>
        <v>24</v>
      </c>
      <c r="K3670" t="str">
        <f t="shared" si="172"/>
        <v>2024-05</v>
      </c>
      <c r="L3670">
        <f t="shared" si="173"/>
        <v>0</v>
      </c>
    </row>
    <row r="3671" spans="1:12">
      <c r="A3671" t="s">
        <v>10647</v>
      </c>
      <c r="B3671" t="s">
        <v>10648</v>
      </c>
      <c r="C3671" t="s">
        <v>10649</v>
      </c>
      <c r="D3671" t="s">
        <v>23</v>
      </c>
      <c r="E3671" t="s">
        <v>28</v>
      </c>
      <c r="F3671" t="s">
        <v>41</v>
      </c>
      <c r="G3671" t="s">
        <v>31</v>
      </c>
      <c r="H3671">
        <f>Cleaned_Data!K3671</f>
        <v>17.54</v>
      </c>
      <c r="I3671" t="str">
        <f t="shared" si="171"/>
        <v>YES</v>
      </c>
      <c r="J3671">
        <f>Cleaned_Data!J3671</f>
        <v>24</v>
      </c>
      <c r="K3671" t="str">
        <f t="shared" si="172"/>
        <v>2024-11</v>
      </c>
      <c r="L3671">
        <f t="shared" si="173"/>
        <v>0</v>
      </c>
    </row>
    <row r="3672" spans="1:12">
      <c r="A3672" t="s">
        <v>10650</v>
      </c>
      <c r="B3672" t="s">
        <v>10651</v>
      </c>
      <c r="C3672" t="s">
        <v>10652</v>
      </c>
      <c r="D3672" t="s">
        <v>158</v>
      </c>
      <c r="E3672" t="s">
        <v>24</v>
      </c>
      <c r="F3672" t="s">
        <v>29</v>
      </c>
      <c r="G3672" t="s">
        <v>19</v>
      </c>
      <c r="H3672">
        <f>Cleaned_Data!K3672</f>
        <v>1.9</v>
      </c>
      <c r="I3672" t="str">
        <f t="shared" si="171"/>
        <v>YES</v>
      </c>
      <c r="J3672">
        <f>Cleaned_Data!J3672</f>
        <v>4</v>
      </c>
      <c r="K3672" t="str">
        <f t="shared" si="172"/>
        <v>2024-03</v>
      </c>
      <c r="L3672">
        <f t="shared" si="173"/>
        <v>0</v>
      </c>
    </row>
    <row r="3673" spans="1:12">
      <c r="A3673" t="s">
        <v>10653</v>
      </c>
      <c r="B3673" t="s">
        <v>10654</v>
      </c>
      <c r="C3673" t="s">
        <v>10655</v>
      </c>
      <c r="D3673" t="s">
        <v>23</v>
      </c>
      <c r="E3673" t="s">
        <v>16</v>
      </c>
      <c r="F3673" t="s">
        <v>36</v>
      </c>
      <c r="G3673" t="s">
        <v>19</v>
      </c>
      <c r="H3673">
        <f>Cleaned_Data!K3673</f>
        <v>71.22</v>
      </c>
      <c r="I3673" t="str">
        <f t="shared" si="171"/>
        <v>NO</v>
      </c>
      <c r="J3673">
        <f>Cleaned_Data!J3673</f>
        <v>24</v>
      </c>
      <c r="K3673" t="str">
        <f t="shared" si="172"/>
        <v>2024-11</v>
      </c>
      <c r="L3673">
        <f t="shared" si="173"/>
        <v>47.22</v>
      </c>
    </row>
    <row r="3674" spans="1:12">
      <c r="A3674" t="s">
        <v>10656</v>
      </c>
      <c r="B3674" t="s">
        <v>10657</v>
      </c>
      <c r="C3674" t="s">
        <v>10658</v>
      </c>
      <c r="D3674" t="s">
        <v>23</v>
      </c>
      <c r="E3674" t="s">
        <v>28</v>
      </c>
      <c r="F3674" t="s">
        <v>41</v>
      </c>
      <c r="G3674" t="s">
        <v>31</v>
      </c>
      <c r="H3674">
        <f>Cleaned_Data!K3674</f>
        <v>14.8</v>
      </c>
      <c r="I3674" t="str">
        <f t="shared" si="171"/>
        <v>YES</v>
      </c>
      <c r="J3674">
        <f>Cleaned_Data!J3674</f>
        <v>24</v>
      </c>
      <c r="K3674" t="str">
        <f t="shared" si="172"/>
        <v>2024-12</v>
      </c>
      <c r="L3674">
        <f t="shared" si="173"/>
        <v>0</v>
      </c>
    </row>
    <row r="3675" spans="1:12">
      <c r="A3675" t="s">
        <v>10659</v>
      </c>
      <c r="B3675" t="s">
        <v>10660</v>
      </c>
      <c r="C3675" t="s">
        <v>10661</v>
      </c>
      <c r="D3675" t="s">
        <v>23</v>
      </c>
      <c r="E3675" t="s">
        <v>59</v>
      </c>
      <c r="F3675" t="s">
        <v>36</v>
      </c>
      <c r="G3675" t="s">
        <v>19</v>
      </c>
      <c r="H3675">
        <f>Cleaned_Data!K3675</f>
        <v>4.2</v>
      </c>
      <c r="I3675" t="str">
        <f t="shared" si="171"/>
        <v>YES</v>
      </c>
      <c r="J3675">
        <f>Cleaned_Data!J3675</f>
        <v>24</v>
      </c>
      <c r="K3675" t="str">
        <f t="shared" si="172"/>
        <v>2024-02</v>
      </c>
      <c r="L3675">
        <f t="shared" si="173"/>
        <v>0</v>
      </c>
    </row>
    <row r="3676" spans="1:12">
      <c r="A3676" t="s">
        <v>10662</v>
      </c>
      <c r="B3676" t="s">
        <v>10663</v>
      </c>
      <c r="C3676" t="s">
        <v>10664</v>
      </c>
      <c r="D3676" t="s">
        <v>23</v>
      </c>
      <c r="E3676" t="s">
        <v>24</v>
      </c>
      <c r="F3676" t="s">
        <v>29</v>
      </c>
      <c r="G3676" t="s">
        <v>19</v>
      </c>
      <c r="H3676">
        <f>Cleaned_Data!K3676</f>
        <v>12.93</v>
      </c>
      <c r="I3676" t="str">
        <f t="shared" si="171"/>
        <v>YES</v>
      </c>
      <c r="J3676">
        <f>Cleaned_Data!J3676</f>
        <v>24</v>
      </c>
      <c r="K3676" t="str">
        <f t="shared" si="172"/>
        <v>2024-04</v>
      </c>
      <c r="L3676">
        <f t="shared" si="173"/>
        <v>0</v>
      </c>
    </row>
    <row r="3677" spans="1:12">
      <c r="A3677" t="s">
        <v>10665</v>
      </c>
      <c r="B3677" t="s">
        <v>10666</v>
      </c>
      <c r="D3677" t="s">
        <v>23</v>
      </c>
      <c r="E3677" t="s">
        <v>24</v>
      </c>
      <c r="F3677" t="s">
        <v>36</v>
      </c>
      <c r="G3677" t="s">
        <v>63</v>
      </c>
      <c r="H3677">
        <f>Cleaned_Data!K3677</f>
        <v>0</v>
      </c>
      <c r="I3677" t="str">
        <f t="shared" si="171"/>
        <v/>
      </c>
      <c r="J3677">
        <f>Cleaned_Data!J3677</f>
        <v>24</v>
      </c>
      <c r="K3677" t="str">
        <f t="shared" si="172"/>
        <v>2024-04</v>
      </c>
      <c r="L3677">
        <f t="shared" si="173"/>
        <v>0</v>
      </c>
    </row>
    <row r="3678" spans="1:12">
      <c r="A3678" t="s">
        <v>10667</v>
      </c>
      <c r="B3678" t="s">
        <v>10668</v>
      </c>
      <c r="C3678" t="s">
        <v>10669</v>
      </c>
      <c r="D3678" t="s">
        <v>15</v>
      </c>
      <c r="E3678" t="s">
        <v>28</v>
      </c>
      <c r="F3678" t="s">
        <v>29</v>
      </c>
      <c r="G3678" t="s">
        <v>19</v>
      </c>
      <c r="H3678">
        <f>Cleaned_Data!K3678</f>
        <v>2.54</v>
      </c>
      <c r="I3678" t="str">
        <f t="shared" si="171"/>
        <v>YES</v>
      </c>
      <c r="J3678">
        <f>Cleaned_Data!J3678</f>
        <v>8</v>
      </c>
      <c r="K3678" t="str">
        <f t="shared" si="172"/>
        <v>2024-11</v>
      </c>
      <c r="L3678">
        <f t="shared" si="173"/>
        <v>0</v>
      </c>
    </row>
    <row r="3679" spans="1:12">
      <c r="A3679" t="s">
        <v>10670</v>
      </c>
      <c r="B3679" t="s">
        <v>10671</v>
      </c>
      <c r="C3679" t="s">
        <v>10672</v>
      </c>
      <c r="D3679" t="s">
        <v>23</v>
      </c>
      <c r="E3679" t="s">
        <v>54</v>
      </c>
      <c r="F3679" t="s">
        <v>17</v>
      </c>
      <c r="G3679" t="s">
        <v>19</v>
      </c>
      <c r="H3679">
        <f>Cleaned_Data!K3679</f>
        <v>8.8699999999999992</v>
      </c>
      <c r="I3679" t="str">
        <f t="shared" si="171"/>
        <v>YES</v>
      </c>
      <c r="J3679">
        <f>Cleaned_Data!J3679</f>
        <v>24</v>
      </c>
      <c r="K3679" t="str">
        <f t="shared" si="172"/>
        <v>2024-08</v>
      </c>
      <c r="L3679">
        <f t="shared" si="173"/>
        <v>0</v>
      </c>
    </row>
    <row r="3680" spans="1:12">
      <c r="A3680" t="s">
        <v>10673</v>
      </c>
      <c r="B3680" t="s">
        <v>10674</v>
      </c>
      <c r="C3680" t="s">
        <v>10675</v>
      </c>
      <c r="D3680" t="s">
        <v>23</v>
      </c>
      <c r="E3680" t="s">
        <v>24</v>
      </c>
      <c r="F3680" t="s">
        <v>36</v>
      </c>
      <c r="G3680" t="s">
        <v>31</v>
      </c>
      <c r="H3680">
        <f>Cleaned_Data!K3680</f>
        <v>16.7</v>
      </c>
      <c r="I3680" t="str">
        <f t="shared" si="171"/>
        <v>YES</v>
      </c>
      <c r="J3680">
        <f>Cleaned_Data!J3680</f>
        <v>24</v>
      </c>
      <c r="K3680" t="str">
        <f t="shared" si="172"/>
        <v>2024-10</v>
      </c>
      <c r="L3680">
        <f t="shared" si="173"/>
        <v>0</v>
      </c>
    </row>
    <row r="3681" spans="1:12">
      <c r="A3681" t="s">
        <v>10676</v>
      </c>
      <c r="B3681" t="s">
        <v>10677</v>
      </c>
      <c r="C3681" t="s">
        <v>10678</v>
      </c>
      <c r="D3681" t="s">
        <v>35</v>
      </c>
      <c r="E3681" t="s">
        <v>59</v>
      </c>
      <c r="F3681" t="s">
        <v>29</v>
      </c>
      <c r="G3681" t="s">
        <v>31</v>
      </c>
      <c r="H3681">
        <f>Cleaned_Data!K3681</f>
        <v>107.47</v>
      </c>
      <c r="I3681" t="str">
        <f t="shared" si="171"/>
        <v>NO</v>
      </c>
      <c r="J3681">
        <f>Cleaned_Data!J3681</f>
        <v>48</v>
      </c>
      <c r="K3681" t="str">
        <f t="shared" si="172"/>
        <v>2024-09</v>
      </c>
      <c r="L3681">
        <f t="shared" si="173"/>
        <v>59.47</v>
      </c>
    </row>
    <row r="3682" spans="1:12">
      <c r="A3682" t="s">
        <v>10679</v>
      </c>
      <c r="B3682" t="s">
        <v>10680</v>
      </c>
      <c r="C3682" t="s">
        <v>10681</v>
      </c>
      <c r="D3682" t="s">
        <v>15</v>
      </c>
      <c r="E3682" t="s">
        <v>28</v>
      </c>
      <c r="F3682" t="s">
        <v>17</v>
      </c>
      <c r="G3682" t="s">
        <v>19</v>
      </c>
      <c r="H3682">
        <f>Cleaned_Data!K3682</f>
        <v>14.83</v>
      </c>
      <c r="I3682" t="str">
        <f t="shared" si="171"/>
        <v>NO</v>
      </c>
      <c r="J3682">
        <f>Cleaned_Data!J3682</f>
        <v>8</v>
      </c>
      <c r="K3682" t="str">
        <f t="shared" si="172"/>
        <v>2024-10</v>
      </c>
      <c r="L3682">
        <f t="shared" si="173"/>
        <v>6.83</v>
      </c>
    </row>
    <row r="3683" spans="1:12">
      <c r="A3683" t="s">
        <v>10682</v>
      </c>
      <c r="B3683" t="s">
        <v>10683</v>
      </c>
      <c r="C3683" t="s">
        <v>10684</v>
      </c>
      <c r="D3683" t="s">
        <v>158</v>
      </c>
      <c r="E3683" t="s">
        <v>54</v>
      </c>
      <c r="F3683" t="s">
        <v>17</v>
      </c>
      <c r="G3683" t="s">
        <v>19</v>
      </c>
      <c r="H3683">
        <f>Cleaned_Data!K3683</f>
        <v>8.35</v>
      </c>
      <c r="I3683" t="str">
        <f t="shared" si="171"/>
        <v>NO</v>
      </c>
      <c r="J3683">
        <f>Cleaned_Data!J3683</f>
        <v>4</v>
      </c>
      <c r="K3683" t="str">
        <f t="shared" si="172"/>
        <v>2024-03</v>
      </c>
      <c r="L3683">
        <f t="shared" si="173"/>
        <v>4.3499999999999996</v>
      </c>
    </row>
    <row r="3684" spans="1:12">
      <c r="A3684" t="s">
        <v>10685</v>
      </c>
      <c r="B3684" t="s">
        <v>10686</v>
      </c>
      <c r="C3684" t="s">
        <v>10687</v>
      </c>
      <c r="D3684" t="s">
        <v>35</v>
      </c>
      <c r="E3684" t="s">
        <v>59</v>
      </c>
      <c r="F3684" t="s">
        <v>41</v>
      </c>
      <c r="G3684" t="s">
        <v>19</v>
      </c>
      <c r="H3684">
        <f>Cleaned_Data!K3684</f>
        <v>43.49</v>
      </c>
      <c r="I3684" t="str">
        <f t="shared" si="171"/>
        <v>YES</v>
      </c>
      <c r="J3684">
        <f>Cleaned_Data!J3684</f>
        <v>48</v>
      </c>
      <c r="K3684" t="str">
        <f t="shared" si="172"/>
        <v>2024-01</v>
      </c>
      <c r="L3684">
        <f t="shared" si="173"/>
        <v>0</v>
      </c>
    </row>
    <row r="3685" spans="1:12">
      <c r="A3685" t="s">
        <v>10688</v>
      </c>
      <c r="B3685" t="s">
        <v>10689</v>
      </c>
      <c r="C3685" t="s">
        <v>10690</v>
      </c>
      <c r="D3685" t="s">
        <v>158</v>
      </c>
      <c r="E3685" t="s">
        <v>16</v>
      </c>
      <c r="F3685" t="s">
        <v>29</v>
      </c>
      <c r="G3685" t="s">
        <v>31</v>
      </c>
      <c r="H3685">
        <f>Cleaned_Data!K3685</f>
        <v>8.23</v>
      </c>
      <c r="I3685" t="str">
        <f t="shared" si="171"/>
        <v>NO</v>
      </c>
      <c r="J3685">
        <f>Cleaned_Data!J3685</f>
        <v>4</v>
      </c>
      <c r="K3685" t="str">
        <f t="shared" si="172"/>
        <v>2024-02</v>
      </c>
      <c r="L3685">
        <f t="shared" si="173"/>
        <v>4.2300000000000004</v>
      </c>
    </row>
    <row r="3686" spans="1:12">
      <c r="A3686" t="s">
        <v>10691</v>
      </c>
      <c r="B3686" t="s">
        <v>10692</v>
      </c>
      <c r="C3686" t="s">
        <v>10693</v>
      </c>
      <c r="D3686" t="s">
        <v>35</v>
      </c>
      <c r="E3686" t="s">
        <v>28</v>
      </c>
      <c r="F3686" t="s">
        <v>36</v>
      </c>
      <c r="G3686" t="s">
        <v>31</v>
      </c>
      <c r="H3686">
        <f>Cleaned_Data!K3686</f>
        <v>130.32</v>
      </c>
      <c r="I3686" t="str">
        <f t="shared" si="171"/>
        <v>NO</v>
      </c>
      <c r="J3686">
        <f>Cleaned_Data!J3686</f>
        <v>48</v>
      </c>
      <c r="K3686" t="str">
        <f t="shared" si="172"/>
        <v>2024-07</v>
      </c>
      <c r="L3686">
        <f t="shared" si="173"/>
        <v>82.32</v>
      </c>
    </row>
    <row r="3687" spans="1:12">
      <c r="A3687" t="s">
        <v>10694</v>
      </c>
      <c r="B3687" t="s">
        <v>10695</v>
      </c>
      <c r="C3687" t="s">
        <v>10696</v>
      </c>
      <c r="D3687" t="s">
        <v>35</v>
      </c>
      <c r="E3687" t="s">
        <v>28</v>
      </c>
      <c r="F3687" t="s">
        <v>60</v>
      </c>
      <c r="G3687" t="s">
        <v>19</v>
      </c>
      <c r="H3687">
        <f>Cleaned_Data!K3687</f>
        <v>16.82</v>
      </c>
      <c r="I3687" t="str">
        <f t="shared" si="171"/>
        <v>YES</v>
      </c>
      <c r="J3687">
        <f>Cleaned_Data!J3687</f>
        <v>48</v>
      </c>
      <c r="K3687" t="str">
        <f t="shared" si="172"/>
        <v>2024-07</v>
      </c>
      <c r="L3687">
        <f t="shared" si="173"/>
        <v>0</v>
      </c>
    </row>
    <row r="3688" spans="1:12">
      <c r="A3688" t="s">
        <v>10697</v>
      </c>
      <c r="B3688" t="s">
        <v>10698</v>
      </c>
      <c r="C3688" t="s">
        <v>10699</v>
      </c>
      <c r="D3688" t="s">
        <v>23</v>
      </c>
      <c r="E3688" t="s">
        <v>59</v>
      </c>
      <c r="F3688" t="s">
        <v>60</v>
      </c>
      <c r="G3688" t="s">
        <v>31</v>
      </c>
      <c r="H3688">
        <f>Cleaned_Data!K3688</f>
        <v>66.36</v>
      </c>
      <c r="I3688" t="str">
        <f t="shared" si="171"/>
        <v>NO</v>
      </c>
      <c r="J3688">
        <f>Cleaned_Data!J3688</f>
        <v>24</v>
      </c>
      <c r="K3688" t="str">
        <f t="shared" si="172"/>
        <v>2024-12</v>
      </c>
      <c r="L3688">
        <f t="shared" si="173"/>
        <v>42.36</v>
      </c>
    </row>
    <row r="3689" spans="1:12">
      <c r="A3689" t="s">
        <v>10700</v>
      </c>
      <c r="B3689" t="s">
        <v>10701</v>
      </c>
      <c r="C3689" t="s">
        <v>10702</v>
      </c>
      <c r="D3689" t="s">
        <v>158</v>
      </c>
      <c r="E3689" t="s">
        <v>24</v>
      </c>
      <c r="F3689" t="s">
        <v>29</v>
      </c>
      <c r="G3689" t="s">
        <v>19</v>
      </c>
      <c r="H3689">
        <f>Cleaned_Data!K3689</f>
        <v>3.12</v>
      </c>
      <c r="I3689" t="str">
        <f t="shared" si="171"/>
        <v>YES</v>
      </c>
      <c r="J3689">
        <f>Cleaned_Data!J3689</f>
        <v>4</v>
      </c>
      <c r="K3689" t="str">
        <f t="shared" si="172"/>
        <v>2024-06</v>
      </c>
      <c r="L3689">
        <f t="shared" si="173"/>
        <v>0</v>
      </c>
    </row>
    <row r="3690" spans="1:12">
      <c r="A3690" t="s">
        <v>10703</v>
      </c>
      <c r="B3690" t="s">
        <v>10704</v>
      </c>
      <c r="D3690" t="s">
        <v>15</v>
      </c>
      <c r="E3690" t="s">
        <v>28</v>
      </c>
      <c r="F3690" t="s">
        <v>41</v>
      </c>
      <c r="G3690" t="s">
        <v>63</v>
      </c>
      <c r="H3690">
        <f>Cleaned_Data!K3690</f>
        <v>0</v>
      </c>
      <c r="I3690" t="str">
        <f t="shared" si="171"/>
        <v/>
      </c>
      <c r="J3690">
        <f>Cleaned_Data!J3690</f>
        <v>8</v>
      </c>
      <c r="K3690" t="str">
        <f t="shared" si="172"/>
        <v>2024-12</v>
      </c>
      <c r="L3690">
        <f t="shared" si="173"/>
        <v>0</v>
      </c>
    </row>
    <row r="3691" spans="1:12">
      <c r="A3691" t="s">
        <v>10705</v>
      </c>
      <c r="B3691" t="s">
        <v>10706</v>
      </c>
      <c r="C3691" t="s">
        <v>10707</v>
      </c>
      <c r="D3691" t="s">
        <v>23</v>
      </c>
      <c r="E3691" t="s">
        <v>28</v>
      </c>
      <c r="F3691" t="s">
        <v>60</v>
      </c>
      <c r="G3691" t="s">
        <v>19</v>
      </c>
      <c r="H3691">
        <f>Cleaned_Data!K3691</f>
        <v>8.3800000000000008</v>
      </c>
      <c r="I3691" t="str">
        <f t="shared" si="171"/>
        <v>YES</v>
      </c>
      <c r="J3691">
        <f>Cleaned_Data!J3691</f>
        <v>24</v>
      </c>
      <c r="K3691" t="str">
        <f t="shared" si="172"/>
        <v>2024-07</v>
      </c>
      <c r="L3691">
        <f t="shared" si="173"/>
        <v>0</v>
      </c>
    </row>
    <row r="3692" spans="1:12">
      <c r="A3692" t="s">
        <v>10708</v>
      </c>
      <c r="B3692" t="s">
        <v>10709</v>
      </c>
      <c r="C3692" t="s">
        <v>10710</v>
      </c>
      <c r="D3692" t="s">
        <v>35</v>
      </c>
      <c r="E3692" t="s">
        <v>16</v>
      </c>
      <c r="F3692" t="s">
        <v>36</v>
      </c>
      <c r="G3692" t="s">
        <v>19</v>
      </c>
      <c r="H3692">
        <f>Cleaned_Data!K3692</f>
        <v>29.7</v>
      </c>
      <c r="I3692" t="str">
        <f t="shared" si="171"/>
        <v>YES</v>
      </c>
      <c r="J3692">
        <f>Cleaned_Data!J3692</f>
        <v>48</v>
      </c>
      <c r="K3692" t="str">
        <f t="shared" si="172"/>
        <v>2024-04</v>
      </c>
      <c r="L3692">
        <f t="shared" si="173"/>
        <v>0</v>
      </c>
    </row>
    <row r="3693" spans="1:12">
      <c r="A3693" t="s">
        <v>10711</v>
      </c>
      <c r="B3693" t="s">
        <v>10712</v>
      </c>
      <c r="D3693" t="s">
        <v>35</v>
      </c>
      <c r="E3693" t="s">
        <v>59</v>
      </c>
      <c r="F3693" t="s">
        <v>17</v>
      </c>
      <c r="G3693" t="s">
        <v>46</v>
      </c>
      <c r="H3693">
        <f>Cleaned_Data!K3693</f>
        <v>0</v>
      </c>
      <c r="I3693" t="str">
        <f t="shared" si="171"/>
        <v/>
      </c>
      <c r="J3693">
        <f>Cleaned_Data!J3693</f>
        <v>48</v>
      </c>
      <c r="K3693" t="str">
        <f t="shared" si="172"/>
        <v>2024-10</v>
      </c>
      <c r="L3693">
        <f t="shared" si="173"/>
        <v>0</v>
      </c>
    </row>
    <row r="3694" spans="1:12">
      <c r="A3694" t="s">
        <v>10713</v>
      </c>
      <c r="B3694" t="s">
        <v>10714</v>
      </c>
      <c r="C3694" t="s">
        <v>10715</v>
      </c>
      <c r="D3694" t="s">
        <v>158</v>
      </c>
      <c r="E3694" t="s">
        <v>28</v>
      </c>
      <c r="F3694" t="s">
        <v>60</v>
      </c>
      <c r="G3694" t="s">
        <v>19</v>
      </c>
      <c r="H3694">
        <f>Cleaned_Data!K3694</f>
        <v>2.66</v>
      </c>
      <c r="I3694" t="str">
        <f t="shared" si="171"/>
        <v>YES</v>
      </c>
      <c r="J3694">
        <f>Cleaned_Data!J3694</f>
        <v>4</v>
      </c>
      <c r="K3694" t="str">
        <f t="shared" si="172"/>
        <v>2024-12</v>
      </c>
      <c r="L3694">
        <f t="shared" si="173"/>
        <v>0</v>
      </c>
    </row>
    <row r="3695" spans="1:12">
      <c r="A3695" t="s">
        <v>10716</v>
      </c>
      <c r="B3695" t="s">
        <v>10717</v>
      </c>
      <c r="C3695" t="s">
        <v>10718</v>
      </c>
      <c r="D3695" t="s">
        <v>23</v>
      </c>
      <c r="E3695" t="s">
        <v>28</v>
      </c>
      <c r="F3695" t="s">
        <v>17</v>
      </c>
      <c r="G3695" t="s">
        <v>31</v>
      </c>
      <c r="H3695">
        <f>Cleaned_Data!K3695</f>
        <v>19.54</v>
      </c>
      <c r="I3695" t="str">
        <f t="shared" si="171"/>
        <v>YES</v>
      </c>
      <c r="J3695">
        <f>Cleaned_Data!J3695</f>
        <v>24</v>
      </c>
      <c r="K3695" t="str">
        <f t="shared" si="172"/>
        <v>2024-09</v>
      </c>
      <c r="L3695">
        <f t="shared" si="173"/>
        <v>0</v>
      </c>
    </row>
    <row r="3696" spans="1:12">
      <c r="A3696" t="s">
        <v>10719</v>
      </c>
      <c r="B3696" t="s">
        <v>10720</v>
      </c>
      <c r="C3696" t="s">
        <v>10721</v>
      </c>
      <c r="D3696" t="s">
        <v>15</v>
      </c>
      <c r="E3696" t="s">
        <v>28</v>
      </c>
      <c r="F3696" t="s">
        <v>60</v>
      </c>
      <c r="G3696" t="s">
        <v>19</v>
      </c>
      <c r="H3696">
        <f>Cleaned_Data!K3696</f>
        <v>3.18</v>
      </c>
      <c r="I3696" t="str">
        <f t="shared" si="171"/>
        <v>YES</v>
      </c>
      <c r="J3696">
        <f>Cleaned_Data!J3696</f>
        <v>8</v>
      </c>
      <c r="K3696" t="str">
        <f t="shared" si="172"/>
        <v>2024-07</v>
      </c>
      <c r="L3696">
        <f t="shared" si="173"/>
        <v>0</v>
      </c>
    </row>
    <row r="3697" spans="1:12">
      <c r="A3697" t="s">
        <v>10722</v>
      </c>
      <c r="B3697" t="s">
        <v>10723</v>
      </c>
      <c r="C3697" t="s">
        <v>10724</v>
      </c>
      <c r="D3697" t="s">
        <v>158</v>
      </c>
      <c r="E3697" t="s">
        <v>28</v>
      </c>
      <c r="F3697" t="s">
        <v>60</v>
      </c>
      <c r="G3697" t="s">
        <v>19</v>
      </c>
      <c r="H3697">
        <f>Cleaned_Data!K3697</f>
        <v>3.53</v>
      </c>
      <c r="I3697" t="str">
        <f t="shared" si="171"/>
        <v>YES</v>
      </c>
      <c r="J3697">
        <f>Cleaned_Data!J3697</f>
        <v>4</v>
      </c>
      <c r="K3697" t="str">
        <f t="shared" si="172"/>
        <v>2024-12</v>
      </c>
      <c r="L3697">
        <f t="shared" si="173"/>
        <v>0</v>
      </c>
    </row>
    <row r="3698" spans="1:12">
      <c r="A3698" t="s">
        <v>10725</v>
      </c>
      <c r="B3698" t="s">
        <v>10726</v>
      </c>
      <c r="C3698" t="s">
        <v>10727</v>
      </c>
      <c r="D3698" t="s">
        <v>35</v>
      </c>
      <c r="E3698" t="s">
        <v>16</v>
      </c>
      <c r="F3698" t="s">
        <v>36</v>
      </c>
      <c r="G3698" t="s">
        <v>19</v>
      </c>
      <c r="H3698">
        <f>Cleaned_Data!K3698</f>
        <v>25.95</v>
      </c>
      <c r="I3698" t="str">
        <f t="shared" si="171"/>
        <v>YES</v>
      </c>
      <c r="J3698">
        <f>Cleaned_Data!J3698</f>
        <v>48</v>
      </c>
      <c r="K3698" t="str">
        <f t="shared" si="172"/>
        <v>2024-01</v>
      </c>
      <c r="L3698">
        <f t="shared" si="173"/>
        <v>0</v>
      </c>
    </row>
    <row r="3699" spans="1:12">
      <c r="A3699" t="s">
        <v>10728</v>
      </c>
      <c r="B3699" t="s">
        <v>10729</v>
      </c>
      <c r="C3699" t="s">
        <v>10730</v>
      </c>
      <c r="D3699" t="s">
        <v>15</v>
      </c>
      <c r="E3699" t="s">
        <v>24</v>
      </c>
      <c r="F3699" t="s">
        <v>17</v>
      </c>
      <c r="G3699" t="s">
        <v>31</v>
      </c>
      <c r="H3699">
        <f>Cleaned_Data!K3699</f>
        <v>2.4900000000000002</v>
      </c>
      <c r="I3699" t="str">
        <f t="shared" si="171"/>
        <v>YES</v>
      </c>
      <c r="J3699">
        <f>Cleaned_Data!J3699</f>
        <v>8</v>
      </c>
      <c r="K3699" t="str">
        <f t="shared" si="172"/>
        <v>2024-03</v>
      </c>
      <c r="L3699">
        <f t="shared" si="173"/>
        <v>0</v>
      </c>
    </row>
    <row r="3700" spans="1:12">
      <c r="A3700" t="s">
        <v>10731</v>
      </c>
      <c r="B3700" t="s">
        <v>10732</v>
      </c>
      <c r="C3700" t="s">
        <v>10733</v>
      </c>
      <c r="D3700" t="s">
        <v>35</v>
      </c>
      <c r="E3700" t="s">
        <v>28</v>
      </c>
      <c r="F3700" t="s">
        <v>41</v>
      </c>
      <c r="G3700" t="s">
        <v>19</v>
      </c>
      <c r="H3700">
        <f>Cleaned_Data!K3700</f>
        <v>11.41</v>
      </c>
      <c r="I3700" t="str">
        <f t="shared" si="171"/>
        <v>YES</v>
      </c>
      <c r="J3700">
        <f>Cleaned_Data!J3700</f>
        <v>48</v>
      </c>
      <c r="K3700" t="str">
        <f t="shared" si="172"/>
        <v>2024-06</v>
      </c>
      <c r="L3700">
        <f t="shared" si="173"/>
        <v>0</v>
      </c>
    </row>
    <row r="3701" spans="1:12">
      <c r="A3701" t="s">
        <v>10734</v>
      </c>
      <c r="B3701" t="s">
        <v>10735</v>
      </c>
      <c r="C3701" t="s">
        <v>10736</v>
      </c>
      <c r="D3701" t="s">
        <v>35</v>
      </c>
      <c r="E3701" t="s">
        <v>28</v>
      </c>
      <c r="F3701" t="s">
        <v>36</v>
      </c>
      <c r="G3701" t="s">
        <v>19</v>
      </c>
      <c r="H3701">
        <f>Cleaned_Data!K3701</f>
        <v>26.98</v>
      </c>
      <c r="I3701" t="str">
        <f t="shared" si="171"/>
        <v>YES</v>
      </c>
      <c r="J3701">
        <f>Cleaned_Data!J3701</f>
        <v>48</v>
      </c>
      <c r="K3701" t="str">
        <f t="shared" si="172"/>
        <v>2024-12</v>
      </c>
      <c r="L3701">
        <f t="shared" si="173"/>
        <v>0</v>
      </c>
    </row>
    <row r="3702" spans="1:12">
      <c r="A3702" t="s">
        <v>10737</v>
      </c>
      <c r="B3702" t="s">
        <v>10738</v>
      </c>
      <c r="C3702" t="s">
        <v>10739</v>
      </c>
      <c r="D3702" t="s">
        <v>35</v>
      </c>
      <c r="E3702" t="s">
        <v>54</v>
      </c>
      <c r="F3702" t="s">
        <v>41</v>
      </c>
      <c r="G3702" t="s">
        <v>31</v>
      </c>
      <c r="H3702">
        <f>Cleaned_Data!K3702</f>
        <v>20.92</v>
      </c>
      <c r="I3702" t="str">
        <f t="shared" si="171"/>
        <v>YES</v>
      </c>
      <c r="J3702">
        <f>Cleaned_Data!J3702</f>
        <v>48</v>
      </c>
      <c r="K3702" t="str">
        <f t="shared" si="172"/>
        <v>2024-07</v>
      </c>
      <c r="L3702">
        <f t="shared" si="173"/>
        <v>0</v>
      </c>
    </row>
    <row r="3703" spans="1:12">
      <c r="A3703" t="s">
        <v>10740</v>
      </c>
      <c r="B3703" t="s">
        <v>10741</v>
      </c>
      <c r="C3703" t="s">
        <v>10742</v>
      </c>
      <c r="D3703" t="s">
        <v>35</v>
      </c>
      <c r="E3703" t="s">
        <v>28</v>
      </c>
      <c r="F3703" t="s">
        <v>60</v>
      </c>
      <c r="G3703" t="s">
        <v>19</v>
      </c>
      <c r="H3703">
        <f>Cleaned_Data!K3703</f>
        <v>19.23</v>
      </c>
      <c r="I3703" t="str">
        <f t="shared" si="171"/>
        <v>YES</v>
      </c>
      <c r="J3703">
        <f>Cleaned_Data!J3703</f>
        <v>48</v>
      </c>
      <c r="K3703" t="str">
        <f t="shared" si="172"/>
        <v>2024-09</v>
      </c>
      <c r="L3703">
        <f t="shared" si="173"/>
        <v>0</v>
      </c>
    </row>
    <row r="3704" spans="1:12">
      <c r="A3704" t="s">
        <v>10743</v>
      </c>
      <c r="B3704" t="s">
        <v>10744</v>
      </c>
      <c r="C3704" t="s">
        <v>10745</v>
      </c>
      <c r="D3704" t="s">
        <v>15</v>
      </c>
      <c r="E3704" t="s">
        <v>28</v>
      </c>
      <c r="F3704" t="s">
        <v>36</v>
      </c>
      <c r="G3704" t="s">
        <v>31</v>
      </c>
      <c r="H3704">
        <f>Cleaned_Data!K3704</f>
        <v>4.3499999999999996</v>
      </c>
      <c r="I3704" t="str">
        <f t="shared" si="171"/>
        <v>YES</v>
      </c>
      <c r="J3704">
        <f>Cleaned_Data!J3704</f>
        <v>8</v>
      </c>
      <c r="K3704" t="str">
        <f t="shared" si="172"/>
        <v>2024-11</v>
      </c>
      <c r="L3704">
        <f t="shared" si="173"/>
        <v>0</v>
      </c>
    </row>
    <row r="3705" spans="1:12">
      <c r="A3705" t="s">
        <v>10746</v>
      </c>
      <c r="B3705" t="s">
        <v>10747</v>
      </c>
      <c r="C3705" t="s">
        <v>10748</v>
      </c>
      <c r="D3705" t="s">
        <v>35</v>
      </c>
      <c r="E3705" t="s">
        <v>59</v>
      </c>
      <c r="F3705" t="s">
        <v>60</v>
      </c>
      <c r="G3705" t="s">
        <v>19</v>
      </c>
      <c r="H3705">
        <f>Cleaned_Data!K3705</f>
        <v>6.49</v>
      </c>
      <c r="I3705" t="str">
        <f t="shared" si="171"/>
        <v>YES</v>
      </c>
      <c r="J3705">
        <f>Cleaned_Data!J3705</f>
        <v>48</v>
      </c>
      <c r="K3705" t="str">
        <f t="shared" si="172"/>
        <v>2024-01</v>
      </c>
      <c r="L3705">
        <f t="shared" si="173"/>
        <v>0</v>
      </c>
    </row>
    <row r="3706" spans="1:12">
      <c r="A3706" t="s">
        <v>10749</v>
      </c>
      <c r="B3706" t="s">
        <v>10750</v>
      </c>
      <c r="C3706" t="s">
        <v>10751</v>
      </c>
      <c r="D3706" t="s">
        <v>35</v>
      </c>
      <c r="E3706" t="s">
        <v>28</v>
      </c>
      <c r="F3706" t="s">
        <v>60</v>
      </c>
      <c r="G3706" t="s">
        <v>31</v>
      </c>
      <c r="H3706">
        <f>Cleaned_Data!K3706</f>
        <v>11.96</v>
      </c>
      <c r="I3706" t="str">
        <f t="shared" si="171"/>
        <v>YES</v>
      </c>
      <c r="J3706">
        <f>Cleaned_Data!J3706</f>
        <v>48</v>
      </c>
      <c r="K3706" t="str">
        <f t="shared" si="172"/>
        <v>2024-11</v>
      </c>
      <c r="L3706">
        <f t="shared" si="173"/>
        <v>0</v>
      </c>
    </row>
    <row r="3707" spans="1:12">
      <c r="A3707" t="s">
        <v>10752</v>
      </c>
      <c r="B3707" t="s">
        <v>10753</v>
      </c>
      <c r="C3707" t="s">
        <v>10754</v>
      </c>
      <c r="D3707" t="s">
        <v>35</v>
      </c>
      <c r="E3707" t="s">
        <v>16</v>
      </c>
      <c r="F3707" t="s">
        <v>29</v>
      </c>
      <c r="G3707" t="s">
        <v>31</v>
      </c>
      <c r="H3707">
        <f>Cleaned_Data!K3707</f>
        <v>6.61</v>
      </c>
      <c r="I3707" t="str">
        <f t="shared" si="171"/>
        <v>YES</v>
      </c>
      <c r="J3707">
        <f>Cleaned_Data!J3707</f>
        <v>48</v>
      </c>
      <c r="K3707" t="str">
        <f t="shared" si="172"/>
        <v>2024-03</v>
      </c>
      <c r="L3707">
        <f t="shared" si="173"/>
        <v>0</v>
      </c>
    </row>
    <row r="3708" spans="1:12">
      <c r="A3708" t="s">
        <v>10755</v>
      </c>
      <c r="B3708" t="s">
        <v>10756</v>
      </c>
      <c r="C3708" t="s">
        <v>10757</v>
      </c>
      <c r="D3708" t="s">
        <v>35</v>
      </c>
      <c r="E3708" t="s">
        <v>24</v>
      </c>
      <c r="F3708" t="s">
        <v>60</v>
      </c>
      <c r="G3708" t="s">
        <v>31</v>
      </c>
      <c r="H3708">
        <f>Cleaned_Data!K3708</f>
        <v>58.93</v>
      </c>
      <c r="I3708" t="str">
        <f t="shared" si="171"/>
        <v>NO</v>
      </c>
      <c r="J3708">
        <f>Cleaned_Data!J3708</f>
        <v>48</v>
      </c>
      <c r="K3708" t="str">
        <f t="shared" si="172"/>
        <v>2024-03</v>
      </c>
      <c r="L3708">
        <f t="shared" si="173"/>
        <v>10.93</v>
      </c>
    </row>
    <row r="3709" spans="1:12">
      <c r="A3709" t="s">
        <v>10758</v>
      </c>
      <c r="B3709" t="s">
        <v>10759</v>
      </c>
      <c r="C3709" t="s">
        <v>10760</v>
      </c>
      <c r="D3709" t="s">
        <v>15</v>
      </c>
      <c r="E3709" t="s">
        <v>16</v>
      </c>
      <c r="F3709" t="s">
        <v>36</v>
      </c>
      <c r="G3709" t="s">
        <v>31</v>
      </c>
      <c r="H3709">
        <f>Cleaned_Data!K3709</f>
        <v>16.559999999999999</v>
      </c>
      <c r="I3709" t="str">
        <f t="shared" si="171"/>
        <v>NO</v>
      </c>
      <c r="J3709">
        <f>Cleaned_Data!J3709</f>
        <v>8</v>
      </c>
      <c r="K3709" t="str">
        <f t="shared" si="172"/>
        <v>2024-12</v>
      </c>
      <c r="L3709">
        <f t="shared" si="173"/>
        <v>8.5599999999999987</v>
      </c>
    </row>
    <row r="3710" spans="1:12">
      <c r="A3710" t="s">
        <v>10761</v>
      </c>
      <c r="B3710" t="s">
        <v>10762</v>
      </c>
      <c r="C3710" t="s">
        <v>10763</v>
      </c>
      <c r="D3710" t="s">
        <v>23</v>
      </c>
      <c r="E3710" t="s">
        <v>59</v>
      </c>
      <c r="F3710" t="s">
        <v>41</v>
      </c>
      <c r="G3710" t="s">
        <v>19</v>
      </c>
      <c r="H3710">
        <f>Cleaned_Data!K3710</f>
        <v>13.45</v>
      </c>
      <c r="I3710" t="str">
        <f t="shared" si="171"/>
        <v>YES</v>
      </c>
      <c r="J3710">
        <f>Cleaned_Data!J3710</f>
        <v>24</v>
      </c>
      <c r="K3710" t="str">
        <f t="shared" si="172"/>
        <v>2024-02</v>
      </c>
      <c r="L3710">
        <f t="shared" si="173"/>
        <v>0</v>
      </c>
    </row>
    <row r="3711" spans="1:12">
      <c r="A3711" t="s">
        <v>10764</v>
      </c>
      <c r="B3711" t="s">
        <v>10765</v>
      </c>
      <c r="C3711" t="s">
        <v>10766</v>
      </c>
      <c r="D3711" t="s">
        <v>15</v>
      </c>
      <c r="E3711" t="s">
        <v>24</v>
      </c>
      <c r="F3711" t="s">
        <v>41</v>
      </c>
      <c r="G3711" t="s">
        <v>19</v>
      </c>
      <c r="H3711">
        <f>Cleaned_Data!K3711</f>
        <v>2.4500000000000002</v>
      </c>
      <c r="I3711" t="str">
        <f t="shared" si="171"/>
        <v>YES</v>
      </c>
      <c r="J3711">
        <f>Cleaned_Data!J3711</f>
        <v>8</v>
      </c>
      <c r="K3711" t="str">
        <f t="shared" si="172"/>
        <v>2024-05</v>
      </c>
      <c r="L3711">
        <f t="shared" si="173"/>
        <v>0</v>
      </c>
    </row>
    <row r="3712" spans="1:12">
      <c r="A3712" t="s">
        <v>10767</v>
      </c>
      <c r="B3712" t="s">
        <v>10768</v>
      </c>
      <c r="D3712" t="s">
        <v>23</v>
      </c>
      <c r="E3712" t="s">
        <v>54</v>
      </c>
      <c r="F3712" t="s">
        <v>29</v>
      </c>
      <c r="G3712" t="s">
        <v>46</v>
      </c>
      <c r="H3712">
        <f>Cleaned_Data!K3712</f>
        <v>0</v>
      </c>
      <c r="I3712" t="str">
        <f t="shared" si="171"/>
        <v/>
      </c>
      <c r="J3712">
        <f>Cleaned_Data!J3712</f>
        <v>24</v>
      </c>
      <c r="K3712" t="str">
        <f t="shared" si="172"/>
        <v>2024-12</v>
      </c>
      <c r="L3712">
        <f t="shared" si="173"/>
        <v>0</v>
      </c>
    </row>
    <row r="3713" spans="1:12">
      <c r="A3713" t="s">
        <v>10769</v>
      </c>
      <c r="B3713" t="s">
        <v>10770</v>
      </c>
      <c r="C3713" t="s">
        <v>10771</v>
      </c>
      <c r="D3713" t="s">
        <v>158</v>
      </c>
      <c r="E3713" t="s">
        <v>24</v>
      </c>
      <c r="F3713" t="s">
        <v>60</v>
      </c>
      <c r="G3713" t="s">
        <v>31</v>
      </c>
      <c r="H3713">
        <f>Cleaned_Data!K3713</f>
        <v>2.5499999999999998</v>
      </c>
      <c r="I3713" t="str">
        <f t="shared" si="171"/>
        <v>YES</v>
      </c>
      <c r="J3713">
        <f>Cleaned_Data!J3713</f>
        <v>4</v>
      </c>
      <c r="K3713" t="str">
        <f t="shared" si="172"/>
        <v>2024-10</v>
      </c>
      <c r="L3713">
        <f t="shared" si="173"/>
        <v>0</v>
      </c>
    </row>
    <row r="3714" spans="1:12">
      <c r="A3714" t="s">
        <v>10772</v>
      </c>
      <c r="B3714" t="s">
        <v>10773</v>
      </c>
      <c r="C3714" t="s">
        <v>10774</v>
      </c>
      <c r="D3714" t="s">
        <v>23</v>
      </c>
      <c r="E3714" t="s">
        <v>59</v>
      </c>
      <c r="F3714" t="s">
        <v>29</v>
      </c>
      <c r="G3714" t="s">
        <v>19</v>
      </c>
      <c r="H3714">
        <f>Cleaned_Data!K3714</f>
        <v>33.32</v>
      </c>
      <c r="I3714" t="str">
        <f t="shared" ref="I3714:I3777" si="174">IF(OR(G3714="Resolved", G3714="Closed"), IF(AND(H3714&lt;&gt;"", H3714&lt;=J3714), "YES", "NO"), "")</f>
        <v>NO</v>
      </c>
      <c r="J3714">
        <f>Cleaned_Data!J3714</f>
        <v>24</v>
      </c>
      <c r="K3714" t="str">
        <f t="shared" ref="K3714:K3777" si="175">LEFT(B3714, 7)</f>
        <v>2024-10</v>
      </c>
      <c r="L3714">
        <f t="shared" ref="L3714:L3777" si="176">IF(I3714="NO", H3714-J3714, 0)</f>
        <v>9.32</v>
      </c>
    </row>
    <row r="3715" spans="1:12">
      <c r="A3715" t="s">
        <v>10775</v>
      </c>
      <c r="B3715" t="s">
        <v>10776</v>
      </c>
      <c r="C3715" t="s">
        <v>10777</v>
      </c>
      <c r="D3715" t="s">
        <v>35</v>
      </c>
      <c r="E3715" t="s">
        <v>16</v>
      </c>
      <c r="F3715" t="s">
        <v>41</v>
      </c>
      <c r="G3715" t="s">
        <v>31</v>
      </c>
      <c r="H3715">
        <f>Cleaned_Data!K3715</f>
        <v>7.08</v>
      </c>
      <c r="I3715" t="str">
        <f t="shared" si="174"/>
        <v>YES</v>
      </c>
      <c r="J3715">
        <f>Cleaned_Data!J3715</f>
        <v>48</v>
      </c>
      <c r="K3715" t="str">
        <f t="shared" si="175"/>
        <v>2024-02</v>
      </c>
      <c r="L3715">
        <f t="shared" si="176"/>
        <v>0</v>
      </c>
    </row>
    <row r="3716" spans="1:12">
      <c r="A3716" t="s">
        <v>10778</v>
      </c>
      <c r="B3716" t="s">
        <v>10779</v>
      </c>
      <c r="C3716" t="s">
        <v>10780</v>
      </c>
      <c r="D3716" t="s">
        <v>23</v>
      </c>
      <c r="E3716" t="s">
        <v>16</v>
      </c>
      <c r="F3716" t="s">
        <v>41</v>
      </c>
      <c r="G3716" t="s">
        <v>19</v>
      </c>
      <c r="H3716">
        <f>Cleaned_Data!K3716</f>
        <v>11.83</v>
      </c>
      <c r="I3716" t="str">
        <f t="shared" si="174"/>
        <v>YES</v>
      </c>
      <c r="J3716">
        <f>Cleaned_Data!J3716</f>
        <v>24</v>
      </c>
      <c r="K3716" t="str">
        <f t="shared" si="175"/>
        <v>2024-05</v>
      </c>
      <c r="L3716">
        <f t="shared" si="176"/>
        <v>0</v>
      </c>
    </row>
    <row r="3717" spans="1:12">
      <c r="A3717" t="s">
        <v>10781</v>
      </c>
      <c r="B3717" t="s">
        <v>10782</v>
      </c>
      <c r="D3717" t="s">
        <v>35</v>
      </c>
      <c r="E3717" t="s">
        <v>24</v>
      </c>
      <c r="F3717" t="s">
        <v>29</v>
      </c>
      <c r="G3717" t="s">
        <v>63</v>
      </c>
      <c r="H3717">
        <f>Cleaned_Data!K3717</f>
        <v>0</v>
      </c>
      <c r="I3717" t="str">
        <f t="shared" si="174"/>
        <v/>
      </c>
      <c r="J3717">
        <f>Cleaned_Data!J3717</f>
        <v>48</v>
      </c>
      <c r="K3717" t="str">
        <f t="shared" si="175"/>
        <v>2024-09</v>
      </c>
      <c r="L3717">
        <f t="shared" si="176"/>
        <v>0</v>
      </c>
    </row>
    <row r="3718" spans="1:12">
      <c r="A3718" t="s">
        <v>10783</v>
      </c>
      <c r="B3718" t="s">
        <v>10784</v>
      </c>
      <c r="C3718" t="s">
        <v>10785</v>
      </c>
      <c r="D3718" t="s">
        <v>15</v>
      </c>
      <c r="E3718" t="s">
        <v>24</v>
      </c>
      <c r="F3718" t="s">
        <v>29</v>
      </c>
      <c r="G3718" t="s">
        <v>31</v>
      </c>
      <c r="H3718">
        <f>Cleaned_Data!K3718</f>
        <v>13.56</v>
      </c>
      <c r="I3718" t="str">
        <f t="shared" si="174"/>
        <v>NO</v>
      </c>
      <c r="J3718">
        <f>Cleaned_Data!J3718</f>
        <v>8</v>
      </c>
      <c r="K3718" t="str">
        <f t="shared" si="175"/>
        <v>2024-01</v>
      </c>
      <c r="L3718">
        <f t="shared" si="176"/>
        <v>5.5600000000000005</v>
      </c>
    </row>
    <row r="3719" spans="1:12">
      <c r="A3719" t="s">
        <v>10786</v>
      </c>
      <c r="B3719" t="s">
        <v>10787</v>
      </c>
      <c r="C3719" t="s">
        <v>10788</v>
      </c>
      <c r="D3719" t="s">
        <v>23</v>
      </c>
      <c r="E3719" t="s">
        <v>54</v>
      </c>
      <c r="F3719" t="s">
        <v>17</v>
      </c>
      <c r="G3719" t="s">
        <v>31</v>
      </c>
      <c r="H3719">
        <f>Cleaned_Data!K3719</f>
        <v>71.209999999999994</v>
      </c>
      <c r="I3719" t="str">
        <f t="shared" si="174"/>
        <v>NO</v>
      </c>
      <c r="J3719">
        <f>Cleaned_Data!J3719</f>
        <v>24</v>
      </c>
      <c r="K3719" t="str">
        <f t="shared" si="175"/>
        <v>2024-12</v>
      </c>
      <c r="L3719">
        <f t="shared" si="176"/>
        <v>47.209999999999994</v>
      </c>
    </row>
    <row r="3720" spans="1:12">
      <c r="A3720" t="s">
        <v>10789</v>
      </c>
      <c r="B3720" t="s">
        <v>10790</v>
      </c>
      <c r="C3720" t="s">
        <v>10791</v>
      </c>
      <c r="D3720" t="s">
        <v>15</v>
      </c>
      <c r="E3720" t="s">
        <v>28</v>
      </c>
      <c r="F3720" t="s">
        <v>60</v>
      </c>
      <c r="G3720" t="s">
        <v>31</v>
      </c>
      <c r="H3720">
        <f>Cleaned_Data!K3720</f>
        <v>6.16</v>
      </c>
      <c r="I3720" t="str">
        <f t="shared" si="174"/>
        <v>YES</v>
      </c>
      <c r="J3720">
        <f>Cleaned_Data!J3720</f>
        <v>8</v>
      </c>
      <c r="K3720" t="str">
        <f t="shared" si="175"/>
        <v>2024-04</v>
      </c>
      <c r="L3720">
        <f t="shared" si="176"/>
        <v>0</v>
      </c>
    </row>
    <row r="3721" spans="1:12">
      <c r="A3721" t="s">
        <v>10792</v>
      </c>
      <c r="B3721" t="s">
        <v>10793</v>
      </c>
      <c r="C3721" t="s">
        <v>10794</v>
      </c>
      <c r="D3721" t="s">
        <v>35</v>
      </c>
      <c r="E3721" t="s">
        <v>28</v>
      </c>
      <c r="F3721" t="s">
        <v>41</v>
      </c>
      <c r="G3721" t="s">
        <v>19</v>
      </c>
      <c r="H3721">
        <f>Cleaned_Data!K3721</f>
        <v>142.74</v>
      </c>
      <c r="I3721" t="str">
        <f t="shared" si="174"/>
        <v>NO</v>
      </c>
      <c r="J3721">
        <f>Cleaned_Data!J3721</f>
        <v>48</v>
      </c>
      <c r="K3721" t="str">
        <f t="shared" si="175"/>
        <v>2024-10</v>
      </c>
      <c r="L3721">
        <f t="shared" si="176"/>
        <v>94.740000000000009</v>
      </c>
    </row>
    <row r="3722" spans="1:12">
      <c r="A3722" t="s">
        <v>10795</v>
      </c>
      <c r="B3722" t="s">
        <v>10796</v>
      </c>
      <c r="C3722" t="s">
        <v>10797</v>
      </c>
      <c r="D3722" t="s">
        <v>158</v>
      </c>
      <c r="E3722" t="s">
        <v>59</v>
      </c>
      <c r="F3722" t="s">
        <v>29</v>
      </c>
      <c r="G3722" t="s">
        <v>31</v>
      </c>
      <c r="H3722">
        <f>Cleaned_Data!K3722</f>
        <v>10.02</v>
      </c>
      <c r="I3722" t="str">
        <f t="shared" si="174"/>
        <v>NO</v>
      </c>
      <c r="J3722">
        <f>Cleaned_Data!J3722</f>
        <v>4</v>
      </c>
      <c r="K3722" t="str">
        <f t="shared" si="175"/>
        <v>2024-08</v>
      </c>
      <c r="L3722">
        <f t="shared" si="176"/>
        <v>6.02</v>
      </c>
    </row>
    <row r="3723" spans="1:12">
      <c r="A3723" t="s">
        <v>10798</v>
      </c>
      <c r="B3723" t="s">
        <v>10799</v>
      </c>
      <c r="C3723" t="s">
        <v>10800</v>
      </c>
      <c r="D3723" t="s">
        <v>15</v>
      </c>
      <c r="E3723" t="s">
        <v>24</v>
      </c>
      <c r="F3723" t="s">
        <v>17</v>
      </c>
      <c r="G3723" t="s">
        <v>31</v>
      </c>
      <c r="H3723">
        <f>Cleaned_Data!K3723</f>
        <v>859</v>
      </c>
      <c r="I3723" t="str">
        <f t="shared" si="174"/>
        <v>NO</v>
      </c>
      <c r="J3723">
        <f>Cleaned_Data!J3723</f>
        <v>8</v>
      </c>
      <c r="K3723" t="str">
        <f t="shared" si="175"/>
        <v>2024-10</v>
      </c>
      <c r="L3723">
        <f t="shared" si="176"/>
        <v>851</v>
      </c>
    </row>
    <row r="3724" spans="1:12">
      <c r="A3724" t="s">
        <v>10801</v>
      </c>
      <c r="B3724" t="s">
        <v>10802</v>
      </c>
      <c r="C3724" t="s">
        <v>10803</v>
      </c>
      <c r="D3724" t="s">
        <v>23</v>
      </c>
      <c r="E3724" t="s">
        <v>28</v>
      </c>
      <c r="F3724" t="s">
        <v>41</v>
      </c>
      <c r="G3724" t="s">
        <v>19</v>
      </c>
      <c r="H3724">
        <f>Cleaned_Data!K3724</f>
        <v>66.91</v>
      </c>
      <c r="I3724" t="str">
        <f t="shared" si="174"/>
        <v>NO</v>
      </c>
      <c r="J3724">
        <f>Cleaned_Data!J3724</f>
        <v>24</v>
      </c>
      <c r="K3724" t="str">
        <f t="shared" si="175"/>
        <v>2024-05</v>
      </c>
      <c r="L3724">
        <f t="shared" si="176"/>
        <v>42.91</v>
      </c>
    </row>
    <row r="3725" spans="1:12">
      <c r="A3725" t="s">
        <v>10804</v>
      </c>
      <c r="B3725" t="s">
        <v>10805</v>
      </c>
      <c r="C3725" t="s">
        <v>10806</v>
      </c>
      <c r="D3725" t="s">
        <v>15</v>
      </c>
      <c r="E3725" t="s">
        <v>28</v>
      </c>
      <c r="F3725" t="s">
        <v>60</v>
      </c>
      <c r="G3725" t="s">
        <v>31</v>
      </c>
      <c r="H3725">
        <f>Cleaned_Data!K3725</f>
        <v>14.98</v>
      </c>
      <c r="I3725" t="str">
        <f t="shared" si="174"/>
        <v>NO</v>
      </c>
      <c r="J3725">
        <f>Cleaned_Data!J3725</f>
        <v>8</v>
      </c>
      <c r="K3725" t="str">
        <f t="shared" si="175"/>
        <v>2024-08</v>
      </c>
      <c r="L3725">
        <f t="shared" si="176"/>
        <v>6.98</v>
      </c>
    </row>
    <row r="3726" spans="1:12">
      <c r="A3726" t="s">
        <v>10807</v>
      </c>
      <c r="B3726" t="s">
        <v>10808</v>
      </c>
      <c r="C3726" t="s">
        <v>10809</v>
      </c>
      <c r="D3726" t="s">
        <v>158</v>
      </c>
      <c r="E3726" t="s">
        <v>54</v>
      </c>
      <c r="F3726" t="s">
        <v>29</v>
      </c>
      <c r="G3726" t="s">
        <v>19</v>
      </c>
      <c r="H3726">
        <f>Cleaned_Data!K3726</f>
        <v>2.84</v>
      </c>
      <c r="I3726" t="str">
        <f t="shared" si="174"/>
        <v>YES</v>
      </c>
      <c r="J3726">
        <f>Cleaned_Data!J3726</f>
        <v>4</v>
      </c>
      <c r="K3726" t="str">
        <f t="shared" si="175"/>
        <v>2024-06</v>
      </c>
      <c r="L3726">
        <f t="shared" si="176"/>
        <v>0</v>
      </c>
    </row>
    <row r="3727" spans="1:12">
      <c r="A3727" t="s">
        <v>10810</v>
      </c>
      <c r="B3727" t="s">
        <v>10811</v>
      </c>
      <c r="C3727" t="s">
        <v>10812</v>
      </c>
      <c r="D3727" t="s">
        <v>23</v>
      </c>
      <c r="E3727" t="s">
        <v>24</v>
      </c>
      <c r="F3727" t="s">
        <v>36</v>
      </c>
      <c r="G3727" t="s">
        <v>31</v>
      </c>
      <c r="H3727">
        <f>Cleaned_Data!K3727</f>
        <v>4.26</v>
      </c>
      <c r="I3727" t="str">
        <f t="shared" si="174"/>
        <v>YES</v>
      </c>
      <c r="J3727">
        <f>Cleaned_Data!J3727</f>
        <v>24</v>
      </c>
      <c r="K3727" t="str">
        <f t="shared" si="175"/>
        <v>2024-04</v>
      </c>
      <c r="L3727">
        <f t="shared" si="176"/>
        <v>0</v>
      </c>
    </row>
    <row r="3728" spans="1:12">
      <c r="A3728" t="s">
        <v>10813</v>
      </c>
      <c r="B3728" t="s">
        <v>10814</v>
      </c>
      <c r="C3728" t="s">
        <v>10815</v>
      </c>
      <c r="D3728" t="s">
        <v>23</v>
      </c>
      <c r="E3728" t="s">
        <v>28</v>
      </c>
      <c r="F3728" t="s">
        <v>41</v>
      </c>
      <c r="G3728" t="s">
        <v>31</v>
      </c>
      <c r="H3728">
        <f>Cleaned_Data!K3728</f>
        <v>20.51</v>
      </c>
      <c r="I3728" t="str">
        <f t="shared" si="174"/>
        <v>YES</v>
      </c>
      <c r="J3728">
        <f>Cleaned_Data!J3728</f>
        <v>24</v>
      </c>
      <c r="K3728" t="str">
        <f t="shared" si="175"/>
        <v>2024-02</v>
      </c>
      <c r="L3728">
        <f t="shared" si="176"/>
        <v>0</v>
      </c>
    </row>
    <row r="3729" spans="1:12">
      <c r="A3729" t="s">
        <v>10816</v>
      </c>
      <c r="B3729" t="s">
        <v>10817</v>
      </c>
      <c r="C3729" t="s">
        <v>10818</v>
      </c>
      <c r="D3729" t="s">
        <v>158</v>
      </c>
      <c r="E3729" t="s">
        <v>54</v>
      </c>
      <c r="F3729" t="s">
        <v>36</v>
      </c>
      <c r="G3729" t="s">
        <v>31</v>
      </c>
      <c r="H3729">
        <f>Cleaned_Data!K3729</f>
        <v>1.35</v>
      </c>
      <c r="I3729" t="str">
        <f t="shared" si="174"/>
        <v>YES</v>
      </c>
      <c r="J3729">
        <f>Cleaned_Data!J3729</f>
        <v>4</v>
      </c>
      <c r="K3729" t="str">
        <f t="shared" si="175"/>
        <v>2024-01</v>
      </c>
      <c r="L3729">
        <f t="shared" si="176"/>
        <v>0</v>
      </c>
    </row>
    <row r="3730" spans="1:12">
      <c r="A3730" t="s">
        <v>10819</v>
      </c>
      <c r="B3730" t="s">
        <v>10820</v>
      </c>
      <c r="C3730" t="s">
        <v>10821</v>
      </c>
      <c r="D3730" t="s">
        <v>23</v>
      </c>
      <c r="E3730" t="s">
        <v>24</v>
      </c>
      <c r="F3730" t="s">
        <v>41</v>
      </c>
      <c r="G3730" t="s">
        <v>19</v>
      </c>
      <c r="H3730">
        <f>Cleaned_Data!K3730</f>
        <v>3.85</v>
      </c>
      <c r="I3730" t="str">
        <f t="shared" si="174"/>
        <v>YES</v>
      </c>
      <c r="J3730">
        <f>Cleaned_Data!J3730</f>
        <v>24</v>
      </c>
      <c r="K3730" t="str">
        <f t="shared" si="175"/>
        <v>2024-05</v>
      </c>
      <c r="L3730">
        <f t="shared" si="176"/>
        <v>0</v>
      </c>
    </row>
    <row r="3731" spans="1:12">
      <c r="A3731" t="s">
        <v>10822</v>
      </c>
      <c r="B3731" t="s">
        <v>10823</v>
      </c>
      <c r="C3731" t="s">
        <v>10824</v>
      </c>
      <c r="D3731" t="s">
        <v>23</v>
      </c>
      <c r="E3731" t="s">
        <v>28</v>
      </c>
      <c r="F3731" t="s">
        <v>60</v>
      </c>
      <c r="G3731" t="s">
        <v>19</v>
      </c>
      <c r="H3731">
        <f>Cleaned_Data!K3731</f>
        <v>56.45</v>
      </c>
      <c r="I3731" t="str">
        <f t="shared" si="174"/>
        <v>NO</v>
      </c>
      <c r="J3731">
        <f>Cleaned_Data!J3731</f>
        <v>24</v>
      </c>
      <c r="K3731" t="str">
        <f t="shared" si="175"/>
        <v>2024-05</v>
      </c>
      <c r="L3731">
        <f t="shared" si="176"/>
        <v>32.450000000000003</v>
      </c>
    </row>
    <row r="3732" spans="1:12">
      <c r="A3732" t="s">
        <v>10825</v>
      </c>
      <c r="B3732" t="s">
        <v>10826</v>
      </c>
      <c r="D3732" t="s">
        <v>15</v>
      </c>
      <c r="E3732" t="s">
        <v>28</v>
      </c>
      <c r="F3732" t="s">
        <v>60</v>
      </c>
      <c r="G3732" t="s">
        <v>46</v>
      </c>
      <c r="H3732">
        <f>Cleaned_Data!K3732</f>
        <v>0</v>
      </c>
      <c r="I3732" t="str">
        <f t="shared" si="174"/>
        <v/>
      </c>
      <c r="J3732">
        <f>Cleaned_Data!J3732</f>
        <v>8</v>
      </c>
      <c r="K3732" t="str">
        <f t="shared" si="175"/>
        <v>2024-07</v>
      </c>
      <c r="L3732">
        <f t="shared" si="176"/>
        <v>0</v>
      </c>
    </row>
    <row r="3733" spans="1:12">
      <c r="A3733" t="s">
        <v>10827</v>
      </c>
      <c r="B3733" t="s">
        <v>10828</v>
      </c>
      <c r="C3733" t="s">
        <v>10829</v>
      </c>
      <c r="D3733" t="s">
        <v>35</v>
      </c>
      <c r="E3733" t="s">
        <v>28</v>
      </c>
      <c r="F3733" t="s">
        <v>17</v>
      </c>
      <c r="G3733" t="s">
        <v>31</v>
      </c>
      <c r="H3733">
        <f>Cleaned_Data!K3733</f>
        <v>33.770000000000003</v>
      </c>
      <c r="I3733" t="str">
        <f t="shared" si="174"/>
        <v>YES</v>
      </c>
      <c r="J3733">
        <f>Cleaned_Data!J3733</f>
        <v>48</v>
      </c>
      <c r="K3733" t="str">
        <f t="shared" si="175"/>
        <v>2024-01</v>
      </c>
      <c r="L3733">
        <f t="shared" si="176"/>
        <v>0</v>
      </c>
    </row>
    <row r="3734" spans="1:12">
      <c r="A3734" t="s">
        <v>10830</v>
      </c>
      <c r="B3734" t="s">
        <v>10831</v>
      </c>
      <c r="C3734" t="s">
        <v>10832</v>
      </c>
      <c r="D3734" t="s">
        <v>15</v>
      </c>
      <c r="E3734" t="s">
        <v>28</v>
      </c>
      <c r="F3734" t="s">
        <v>29</v>
      </c>
      <c r="G3734" t="s">
        <v>31</v>
      </c>
      <c r="H3734">
        <f>Cleaned_Data!K3734</f>
        <v>7.21</v>
      </c>
      <c r="I3734" t="str">
        <f t="shared" si="174"/>
        <v>YES</v>
      </c>
      <c r="J3734">
        <f>Cleaned_Data!J3734</f>
        <v>8</v>
      </c>
      <c r="K3734" t="str">
        <f t="shared" si="175"/>
        <v>2024-02</v>
      </c>
      <c r="L3734">
        <f t="shared" si="176"/>
        <v>0</v>
      </c>
    </row>
    <row r="3735" spans="1:12">
      <c r="A3735" t="s">
        <v>10833</v>
      </c>
      <c r="B3735" t="s">
        <v>10834</v>
      </c>
      <c r="C3735" t="s">
        <v>10835</v>
      </c>
      <c r="D3735" t="s">
        <v>23</v>
      </c>
      <c r="E3735" t="s">
        <v>54</v>
      </c>
      <c r="F3735" t="s">
        <v>29</v>
      </c>
      <c r="G3735" t="s">
        <v>31</v>
      </c>
      <c r="H3735">
        <f>Cleaned_Data!K3735</f>
        <v>11.64</v>
      </c>
      <c r="I3735" t="str">
        <f t="shared" si="174"/>
        <v>YES</v>
      </c>
      <c r="J3735">
        <f>Cleaned_Data!J3735</f>
        <v>24</v>
      </c>
      <c r="K3735" t="str">
        <f t="shared" si="175"/>
        <v>2024-02</v>
      </c>
      <c r="L3735">
        <f t="shared" si="176"/>
        <v>0</v>
      </c>
    </row>
    <row r="3736" spans="1:12">
      <c r="A3736" t="s">
        <v>10836</v>
      </c>
      <c r="B3736" t="s">
        <v>10837</v>
      </c>
      <c r="C3736" t="s">
        <v>10838</v>
      </c>
      <c r="D3736" t="s">
        <v>23</v>
      </c>
      <c r="E3736" t="s">
        <v>28</v>
      </c>
      <c r="F3736" t="s">
        <v>36</v>
      </c>
      <c r="G3736" t="s">
        <v>31</v>
      </c>
      <c r="H3736">
        <f>Cleaned_Data!K3736</f>
        <v>3.77</v>
      </c>
      <c r="I3736" t="str">
        <f t="shared" si="174"/>
        <v>YES</v>
      </c>
      <c r="J3736">
        <f>Cleaned_Data!J3736</f>
        <v>24</v>
      </c>
      <c r="K3736" t="str">
        <f t="shared" si="175"/>
        <v>2024-07</v>
      </c>
      <c r="L3736">
        <f t="shared" si="176"/>
        <v>0</v>
      </c>
    </row>
    <row r="3737" spans="1:12">
      <c r="A3737" t="s">
        <v>10839</v>
      </c>
      <c r="B3737" t="s">
        <v>10840</v>
      </c>
      <c r="C3737" t="s">
        <v>10841</v>
      </c>
      <c r="D3737" t="s">
        <v>158</v>
      </c>
      <c r="E3737" t="s">
        <v>16</v>
      </c>
      <c r="F3737" t="s">
        <v>29</v>
      </c>
      <c r="G3737" t="s">
        <v>19</v>
      </c>
      <c r="H3737">
        <f>Cleaned_Data!K3737</f>
        <v>0.91</v>
      </c>
      <c r="I3737" t="str">
        <f t="shared" si="174"/>
        <v>YES</v>
      </c>
      <c r="J3737">
        <f>Cleaned_Data!J3737</f>
        <v>4</v>
      </c>
      <c r="K3737" t="str">
        <f t="shared" si="175"/>
        <v>2024-03</v>
      </c>
      <c r="L3737">
        <f t="shared" si="176"/>
        <v>0</v>
      </c>
    </row>
    <row r="3738" spans="1:12">
      <c r="A3738" t="s">
        <v>10842</v>
      </c>
      <c r="B3738" t="s">
        <v>10843</v>
      </c>
      <c r="C3738" t="s">
        <v>10844</v>
      </c>
      <c r="D3738" t="s">
        <v>23</v>
      </c>
      <c r="E3738" t="s">
        <v>54</v>
      </c>
      <c r="F3738" t="s">
        <v>41</v>
      </c>
      <c r="G3738" t="s">
        <v>19</v>
      </c>
      <c r="H3738">
        <f>Cleaned_Data!K3738</f>
        <v>7.75</v>
      </c>
      <c r="I3738" t="str">
        <f t="shared" si="174"/>
        <v>YES</v>
      </c>
      <c r="J3738">
        <f>Cleaned_Data!J3738</f>
        <v>24</v>
      </c>
      <c r="K3738" t="str">
        <f t="shared" si="175"/>
        <v>2024-01</v>
      </c>
      <c r="L3738">
        <f t="shared" si="176"/>
        <v>0</v>
      </c>
    </row>
    <row r="3739" spans="1:12">
      <c r="A3739" t="s">
        <v>10845</v>
      </c>
      <c r="B3739" t="s">
        <v>10846</v>
      </c>
      <c r="C3739" t="s">
        <v>10847</v>
      </c>
      <c r="D3739" t="s">
        <v>23</v>
      </c>
      <c r="E3739" t="s">
        <v>28</v>
      </c>
      <c r="F3739" t="s">
        <v>29</v>
      </c>
      <c r="G3739" t="s">
        <v>19</v>
      </c>
      <c r="H3739">
        <f>Cleaned_Data!K3739</f>
        <v>16.34</v>
      </c>
      <c r="I3739" t="str">
        <f t="shared" si="174"/>
        <v>YES</v>
      </c>
      <c r="J3739">
        <f>Cleaned_Data!J3739</f>
        <v>24</v>
      </c>
      <c r="K3739" t="str">
        <f t="shared" si="175"/>
        <v>2024-07</v>
      </c>
      <c r="L3739">
        <f t="shared" si="176"/>
        <v>0</v>
      </c>
    </row>
    <row r="3740" spans="1:12">
      <c r="A3740" t="s">
        <v>10848</v>
      </c>
      <c r="B3740" t="s">
        <v>10849</v>
      </c>
      <c r="C3740" t="s">
        <v>10850</v>
      </c>
      <c r="D3740" t="s">
        <v>35</v>
      </c>
      <c r="E3740" t="s">
        <v>16</v>
      </c>
      <c r="F3740" t="s">
        <v>29</v>
      </c>
      <c r="G3740" t="s">
        <v>19</v>
      </c>
      <c r="H3740">
        <f>Cleaned_Data!K3740</f>
        <v>28.58</v>
      </c>
      <c r="I3740" t="str">
        <f t="shared" si="174"/>
        <v>YES</v>
      </c>
      <c r="J3740">
        <f>Cleaned_Data!J3740</f>
        <v>48</v>
      </c>
      <c r="K3740" t="str">
        <f t="shared" si="175"/>
        <v>2024-10</v>
      </c>
      <c r="L3740">
        <f t="shared" si="176"/>
        <v>0</v>
      </c>
    </row>
    <row r="3741" spans="1:12">
      <c r="A3741" t="s">
        <v>10851</v>
      </c>
      <c r="B3741" t="s">
        <v>10852</v>
      </c>
      <c r="C3741" t="s">
        <v>10853</v>
      </c>
      <c r="D3741" t="s">
        <v>15</v>
      </c>
      <c r="E3741" t="s">
        <v>54</v>
      </c>
      <c r="F3741" t="s">
        <v>36</v>
      </c>
      <c r="G3741" t="s">
        <v>19</v>
      </c>
      <c r="H3741">
        <f>Cleaned_Data!K3741</f>
        <v>5.67</v>
      </c>
      <c r="I3741" t="str">
        <f t="shared" si="174"/>
        <v>YES</v>
      </c>
      <c r="J3741">
        <f>Cleaned_Data!J3741</f>
        <v>8</v>
      </c>
      <c r="K3741" t="str">
        <f t="shared" si="175"/>
        <v>2024-06</v>
      </c>
      <c r="L3741">
        <f t="shared" si="176"/>
        <v>0</v>
      </c>
    </row>
    <row r="3742" spans="1:12">
      <c r="A3742" t="s">
        <v>10854</v>
      </c>
      <c r="B3742" t="s">
        <v>10855</v>
      </c>
      <c r="C3742" t="s">
        <v>10856</v>
      </c>
      <c r="D3742" t="s">
        <v>158</v>
      </c>
      <c r="E3742" t="s">
        <v>16</v>
      </c>
      <c r="F3742" t="s">
        <v>17</v>
      </c>
      <c r="G3742" t="s">
        <v>19</v>
      </c>
      <c r="H3742">
        <f>Cleaned_Data!K3742</f>
        <v>2.33</v>
      </c>
      <c r="I3742" t="str">
        <f t="shared" si="174"/>
        <v>YES</v>
      </c>
      <c r="J3742">
        <f>Cleaned_Data!J3742</f>
        <v>4</v>
      </c>
      <c r="K3742" t="str">
        <f t="shared" si="175"/>
        <v>2024-12</v>
      </c>
      <c r="L3742">
        <f t="shared" si="176"/>
        <v>0</v>
      </c>
    </row>
    <row r="3743" spans="1:12">
      <c r="A3743" t="s">
        <v>10857</v>
      </c>
      <c r="B3743" t="s">
        <v>10858</v>
      </c>
      <c r="C3743" t="s">
        <v>10859</v>
      </c>
      <c r="D3743" t="s">
        <v>35</v>
      </c>
      <c r="E3743" t="s">
        <v>28</v>
      </c>
      <c r="F3743" t="s">
        <v>29</v>
      </c>
      <c r="G3743" t="s">
        <v>19</v>
      </c>
      <c r="H3743">
        <f>Cleaned_Data!K3743</f>
        <v>72.55</v>
      </c>
      <c r="I3743" t="str">
        <f t="shared" si="174"/>
        <v>NO</v>
      </c>
      <c r="J3743">
        <f>Cleaned_Data!J3743</f>
        <v>48</v>
      </c>
      <c r="K3743" t="str">
        <f t="shared" si="175"/>
        <v>2024-04</v>
      </c>
      <c r="L3743">
        <f t="shared" si="176"/>
        <v>24.549999999999997</v>
      </c>
    </row>
    <row r="3744" spans="1:12">
      <c r="A3744" t="s">
        <v>10860</v>
      </c>
      <c r="B3744" t="s">
        <v>10861</v>
      </c>
      <c r="D3744" t="s">
        <v>23</v>
      </c>
      <c r="E3744" t="s">
        <v>24</v>
      </c>
      <c r="F3744" t="s">
        <v>60</v>
      </c>
      <c r="G3744" t="s">
        <v>63</v>
      </c>
      <c r="H3744">
        <f>Cleaned_Data!K3744</f>
        <v>0</v>
      </c>
      <c r="I3744" t="str">
        <f t="shared" si="174"/>
        <v/>
      </c>
      <c r="J3744">
        <f>Cleaned_Data!J3744</f>
        <v>24</v>
      </c>
      <c r="K3744" t="str">
        <f t="shared" si="175"/>
        <v>2024-04</v>
      </c>
      <c r="L3744">
        <f t="shared" si="176"/>
        <v>0</v>
      </c>
    </row>
    <row r="3745" spans="1:12">
      <c r="A3745" t="s">
        <v>10862</v>
      </c>
      <c r="B3745" t="s">
        <v>10863</v>
      </c>
      <c r="C3745" t="s">
        <v>10864</v>
      </c>
      <c r="D3745" t="s">
        <v>15</v>
      </c>
      <c r="E3745" t="s">
        <v>16</v>
      </c>
      <c r="F3745" t="s">
        <v>17</v>
      </c>
      <c r="G3745" t="s">
        <v>31</v>
      </c>
      <c r="H3745">
        <f>Cleaned_Data!K3745</f>
        <v>4.0199999999999996</v>
      </c>
      <c r="I3745" t="str">
        <f t="shared" si="174"/>
        <v>YES</v>
      </c>
      <c r="J3745">
        <f>Cleaned_Data!J3745</f>
        <v>8</v>
      </c>
      <c r="K3745" t="str">
        <f t="shared" si="175"/>
        <v>2024-10</v>
      </c>
      <c r="L3745">
        <f t="shared" si="176"/>
        <v>0</v>
      </c>
    </row>
    <row r="3746" spans="1:12">
      <c r="A3746" t="s">
        <v>10865</v>
      </c>
      <c r="B3746" t="s">
        <v>10866</v>
      </c>
      <c r="C3746" t="s">
        <v>10867</v>
      </c>
      <c r="D3746" t="s">
        <v>23</v>
      </c>
      <c r="E3746" t="s">
        <v>54</v>
      </c>
      <c r="F3746" t="s">
        <v>17</v>
      </c>
      <c r="G3746" t="s">
        <v>19</v>
      </c>
      <c r="H3746">
        <f>Cleaned_Data!K3746</f>
        <v>6.19</v>
      </c>
      <c r="I3746" t="str">
        <f t="shared" si="174"/>
        <v>YES</v>
      </c>
      <c r="J3746">
        <f>Cleaned_Data!J3746</f>
        <v>24</v>
      </c>
      <c r="K3746" t="str">
        <f t="shared" si="175"/>
        <v>2024-08</v>
      </c>
      <c r="L3746">
        <f t="shared" si="176"/>
        <v>0</v>
      </c>
    </row>
    <row r="3747" spans="1:12">
      <c r="A3747" t="s">
        <v>10868</v>
      </c>
      <c r="B3747" t="s">
        <v>10869</v>
      </c>
      <c r="C3747" t="s">
        <v>10870</v>
      </c>
      <c r="D3747" t="s">
        <v>15</v>
      </c>
      <c r="E3747" t="s">
        <v>16</v>
      </c>
      <c r="F3747" t="s">
        <v>17</v>
      </c>
      <c r="G3747" t="s">
        <v>31</v>
      </c>
      <c r="H3747">
        <f>Cleaned_Data!K3747</f>
        <v>6.8</v>
      </c>
      <c r="I3747" t="str">
        <f t="shared" si="174"/>
        <v>YES</v>
      </c>
      <c r="J3747">
        <f>Cleaned_Data!J3747</f>
        <v>8</v>
      </c>
      <c r="K3747" t="str">
        <f t="shared" si="175"/>
        <v>2024-11</v>
      </c>
      <c r="L3747">
        <f t="shared" si="176"/>
        <v>0</v>
      </c>
    </row>
    <row r="3748" spans="1:12">
      <c r="A3748" t="s">
        <v>10871</v>
      </c>
      <c r="B3748" t="s">
        <v>10872</v>
      </c>
      <c r="C3748" t="s">
        <v>10873</v>
      </c>
      <c r="D3748" t="s">
        <v>158</v>
      </c>
      <c r="E3748" t="s">
        <v>28</v>
      </c>
      <c r="F3748" t="s">
        <v>36</v>
      </c>
      <c r="G3748" t="s">
        <v>31</v>
      </c>
      <c r="H3748">
        <f>Cleaned_Data!K3748</f>
        <v>0.52</v>
      </c>
      <c r="I3748" t="str">
        <f t="shared" si="174"/>
        <v>YES</v>
      </c>
      <c r="J3748">
        <f>Cleaned_Data!J3748</f>
        <v>4</v>
      </c>
      <c r="K3748" t="str">
        <f t="shared" si="175"/>
        <v>2024-07</v>
      </c>
      <c r="L3748">
        <f t="shared" si="176"/>
        <v>0</v>
      </c>
    </row>
    <row r="3749" spans="1:12">
      <c r="A3749" t="s">
        <v>10874</v>
      </c>
      <c r="B3749" t="s">
        <v>10875</v>
      </c>
      <c r="C3749" t="s">
        <v>10876</v>
      </c>
      <c r="D3749" t="s">
        <v>158</v>
      </c>
      <c r="E3749" t="s">
        <v>28</v>
      </c>
      <c r="F3749" t="s">
        <v>60</v>
      </c>
      <c r="G3749" t="s">
        <v>19</v>
      </c>
      <c r="H3749">
        <f>Cleaned_Data!K3749</f>
        <v>1.8</v>
      </c>
      <c r="I3749" t="str">
        <f t="shared" si="174"/>
        <v>YES</v>
      </c>
      <c r="J3749">
        <f>Cleaned_Data!J3749</f>
        <v>4</v>
      </c>
      <c r="K3749" t="str">
        <f t="shared" si="175"/>
        <v>2024-08</v>
      </c>
      <c r="L3749">
        <f t="shared" si="176"/>
        <v>0</v>
      </c>
    </row>
    <row r="3750" spans="1:12">
      <c r="A3750" t="s">
        <v>10877</v>
      </c>
      <c r="B3750" t="s">
        <v>10878</v>
      </c>
      <c r="C3750" t="s">
        <v>10879</v>
      </c>
      <c r="D3750" t="s">
        <v>15</v>
      </c>
      <c r="E3750" t="s">
        <v>16</v>
      </c>
      <c r="F3750" t="s">
        <v>36</v>
      </c>
      <c r="G3750" t="s">
        <v>31</v>
      </c>
      <c r="H3750">
        <f>Cleaned_Data!K3750</f>
        <v>4.29</v>
      </c>
      <c r="I3750" t="str">
        <f t="shared" si="174"/>
        <v>YES</v>
      </c>
      <c r="J3750">
        <f>Cleaned_Data!J3750</f>
        <v>8</v>
      </c>
      <c r="K3750" t="str">
        <f t="shared" si="175"/>
        <v>2024-03</v>
      </c>
      <c r="L3750">
        <f t="shared" si="176"/>
        <v>0</v>
      </c>
    </row>
    <row r="3751" spans="1:12">
      <c r="A3751" t="s">
        <v>10880</v>
      </c>
      <c r="B3751" t="s">
        <v>10881</v>
      </c>
      <c r="C3751" t="s">
        <v>10882</v>
      </c>
      <c r="D3751" t="s">
        <v>15</v>
      </c>
      <c r="E3751" t="s">
        <v>28</v>
      </c>
      <c r="F3751" t="s">
        <v>60</v>
      </c>
      <c r="G3751" t="s">
        <v>31</v>
      </c>
      <c r="H3751">
        <f>Cleaned_Data!K3751</f>
        <v>3.81</v>
      </c>
      <c r="I3751" t="str">
        <f t="shared" si="174"/>
        <v>YES</v>
      </c>
      <c r="J3751">
        <f>Cleaned_Data!J3751</f>
        <v>8</v>
      </c>
      <c r="K3751" t="str">
        <f t="shared" si="175"/>
        <v>2024-03</v>
      </c>
      <c r="L3751">
        <f t="shared" si="176"/>
        <v>0</v>
      </c>
    </row>
    <row r="3752" spans="1:12">
      <c r="A3752" t="s">
        <v>10883</v>
      </c>
      <c r="B3752" t="s">
        <v>10884</v>
      </c>
      <c r="C3752" t="s">
        <v>10885</v>
      </c>
      <c r="D3752" t="s">
        <v>23</v>
      </c>
      <c r="E3752" t="s">
        <v>16</v>
      </c>
      <c r="F3752" t="s">
        <v>41</v>
      </c>
      <c r="G3752" t="s">
        <v>19</v>
      </c>
      <c r="H3752">
        <f>Cleaned_Data!K3752</f>
        <v>21.29</v>
      </c>
      <c r="I3752" t="str">
        <f t="shared" si="174"/>
        <v>YES</v>
      </c>
      <c r="J3752">
        <f>Cleaned_Data!J3752</f>
        <v>24</v>
      </c>
      <c r="K3752" t="str">
        <f t="shared" si="175"/>
        <v>2024-10</v>
      </c>
      <c r="L3752">
        <f t="shared" si="176"/>
        <v>0</v>
      </c>
    </row>
    <row r="3753" spans="1:12">
      <c r="A3753" t="s">
        <v>10886</v>
      </c>
      <c r="B3753" t="s">
        <v>10887</v>
      </c>
      <c r="C3753" t="s">
        <v>10888</v>
      </c>
      <c r="D3753" t="s">
        <v>35</v>
      </c>
      <c r="E3753" t="s">
        <v>24</v>
      </c>
      <c r="F3753" t="s">
        <v>17</v>
      </c>
      <c r="G3753" t="s">
        <v>19</v>
      </c>
      <c r="H3753">
        <f>Cleaned_Data!K3753</f>
        <v>30.03</v>
      </c>
      <c r="I3753" t="str">
        <f t="shared" si="174"/>
        <v>YES</v>
      </c>
      <c r="J3753">
        <f>Cleaned_Data!J3753</f>
        <v>48</v>
      </c>
      <c r="K3753" t="str">
        <f t="shared" si="175"/>
        <v>2024-01</v>
      </c>
      <c r="L3753">
        <f t="shared" si="176"/>
        <v>0</v>
      </c>
    </row>
    <row r="3754" spans="1:12">
      <c r="A3754" t="s">
        <v>10889</v>
      </c>
      <c r="B3754" t="s">
        <v>10890</v>
      </c>
      <c r="C3754" t="s">
        <v>10891</v>
      </c>
      <c r="D3754" t="s">
        <v>23</v>
      </c>
      <c r="E3754" t="s">
        <v>16</v>
      </c>
      <c r="F3754" t="s">
        <v>29</v>
      </c>
      <c r="G3754" t="s">
        <v>19</v>
      </c>
      <c r="H3754">
        <f>Cleaned_Data!K3754</f>
        <v>18.350000000000001</v>
      </c>
      <c r="I3754" t="str">
        <f t="shared" si="174"/>
        <v>YES</v>
      </c>
      <c r="J3754">
        <f>Cleaned_Data!J3754</f>
        <v>24</v>
      </c>
      <c r="K3754" t="str">
        <f t="shared" si="175"/>
        <v>2024-11</v>
      </c>
      <c r="L3754">
        <f t="shared" si="176"/>
        <v>0</v>
      </c>
    </row>
    <row r="3755" spans="1:12">
      <c r="A3755" t="s">
        <v>10892</v>
      </c>
      <c r="B3755" t="s">
        <v>10893</v>
      </c>
      <c r="C3755" t="s">
        <v>10894</v>
      </c>
      <c r="D3755" t="s">
        <v>35</v>
      </c>
      <c r="E3755" t="s">
        <v>28</v>
      </c>
      <c r="F3755" t="s">
        <v>29</v>
      </c>
      <c r="G3755" t="s">
        <v>19</v>
      </c>
      <c r="H3755">
        <f>Cleaned_Data!K3755</f>
        <v>24.92</v>
      </c>
      <c r="I3755" t="str">
        <f t="shared" si="174"/>
        <v>YES</v>
      </c>
      <c r="J3755">
        <f>Cleaned_Data!J3755</f>
        <v>48</v>
      </c>
      <c r="K3755" t="str">
        <f t="shared" si="175"/>
        <v>2024-12</v>
      </c>
      <c r="L3755">
        <f t="shared" si="176"/>
        <v>0</v>
      </c>
    </row>
    <row r="3756" spans="1:12">
      <c r="A3756" t="s">
        <v>10895</v>
      </c>
      <c r="B3756" t="s">
        <v>10896</v>
      </c>
      <c r="C3756" t="s">
        <v>10897</v>
      </c>
      <c r="D3756" t="s">
        <v>23</v>
      </c>
      <c r="E3756" t="s">
        <v>28</v>
      </c>
      <c r="F3756" t="s">
        <v>36</v>
      </c>
      <c r="G3756" t="s">
        <v>19</v>
      </c>
      <c r="H3756">
        <f>Cleaned_Data!K3756</f>
        <v>16.75</v>
      </c>
      <c r="I3756" t="str">
        <f t="shared" si="174"/>
        <v>YES</v>
      </c>
      <c r="J3756">
        <f>Cleaned_Data!J3756</f>
        <v>24</v>
      </c>
      <c r="K3756" t="str">
        <f t="shared" si="175"/>
        <v>2024-07</v>
      </c>
      <c r="L3756">
        <f t="shared" si="176"/>
        <v>0</v>
      </c>
    </row>
    <row r="3757" spans="1:12">
      <c r="A3757" t="s">
        <v>10898</v>
      </c>
      <c r="B3757" t="s">
        <v>10899</v>
      </c>
      <c r="C3757" t="s">
        <v>10900</v>
      </c>
      <c r="D3757" t="s">
        <v>23</v>
      </c>
      <c r="E3757" t="s">
        <v>24</v>
      </c>
      <c r="F3757" t="s">
        <v>36</v>
      </c>
      <c r="G3757" t="s">
        <v>31</v>
      </c>
      <c r="H3757">
        <f>Cleaned_Data!K3757</f>
        <v>10.44</v>
      </c>
      <c r="I3757" t="str">
        <f t="shared" si="174"/>
        <v>YES</v>
      </c>
      <c r="J3757">
        <f>Cleaned_Data!J3757</f>
        <v>24</v>
      </c>
      <c r="K3757" t="str">
        <f t="shared" si="175"/>
        <v>2024-11</v>
      </c>
      <c r="L3757">
        <f t="shared" si="176"/>
        <v>0</v>
      </c>
    </row>
    <row r="3758" spans="1:12">
      <c r="A3758" t="s">
        <v>10901</v>
      </c>
      <c r="B3758" t="s">
        <v>10902</v>
      </c>
      <c r="C3758" t="s">
        <v>10903</v>
      </c>
      <c r="D3758" t="s">
        <v>23</v>
      </c>
      <c r="E3758" t="s">
        <v>54</v>
      </c>
      <c r="F3758" t="s">
        <v>36</v>
      </c>
      <c r="G3758" t="s">
        <v>31</v>
      </c>
      <c r="H3758">
        <f>Cleaned_Data!K3758</f>
        <v>60.04</v>
      </c>
      <c r="I3758" t="str">
        <f t="shared" si="174"/>
        <v>NO</v>
      </c>
      <c r="J3758">
        <f>Cleaned_Data!J3758</f>
        <v>24</v>
      </c>
      <c r="K3758" t="str">
        <f t="shared" si="175"/>
        <v>2024-09</v>
      </c>
      <c r="L3758">
        <f t="shared" si="176"/>
        <v>36.04</v>
      </c>
    </row>
    <row r="3759" spans="1:12">
      <c r="A3759" t="s">
        <v>10904</v>
      </c>
      <c r="B3759" t="s">
        <v>10905</v>
      </c>
      <c r="D3759" t="s">
        <v>23</v>
      </c>
      <c r="E3759" t="s">
        <v>54</v>
      </c>
      <c r="F3759" t="s">
        <v>41</v>
      </c>
      <c r="G3759" t="s">
        <v>63</v>
      </c>
      <c r="H3759">
        <f>Cleaned_Data!K3759</f>
        <v>0</v>
      </c>
      <c r="I3759" t="str">
        <f t="shared" si="174"/>
        <v/>
      </c>
      <c r="J3759">
        <f>Cleaned_Data!J3759</f>
        <v>24</v>
      </c>
      <c r="K3759" t="str">
        <f t="shared" si="175"/>
        <v>2024-05</v>
      </c>
      <c r="L3759">
        <f t="shared" si="176"/>
        <v>0</v>
      </c>
    </row>
    <row r="3760" spans="1:12">
      <c r="A3760" t="s">
        <v>10906</v>
      </c>
      <c r="B3760" t="s">
        <v>10907</v>
      </c>
      <c r="C3760" t="s">
        <v>10908</v>
      </c>
      <c r="D3760" t="s">
        <v>35</v>
      </c>
      <c r="E3760" t="s">
        <v>54</v>
      </c>
      <c r="F3760" t="s">
        <v>17</v>
      </c>
      <c r="G3760" t="s">
        <v>19</v>
      </c>
      <c r="H3760">
        <f>Cleaned_Data!K3760</f>
        <v>52.53</v>
      </c>
      <c r="I3760" t="str">
        <f t="shared" si="174"/>
        <v>NO</v>
      </c>
      <c r="J3760">
        <f>Cleaned_Data!J3760</f>
        <v>48</v>
      </c>
      <c r="K3760" t="str">
        <f t="shared" si="175"/>
        <v>2024-10</v>
      </c>
      <c r="L3760">
        <f t="shared" si="176"/>
        <v>4.5300000000000011</v>
      </c>
    </row>
    <row r="3761" spans="1:12">
      <c r="A3761" t="s">
        <v>10909</v>
      </c>
      <c r="B3761" t="s">
        <v>10910</v>
      </c>
      <c r="C3761" t="s">
        <v>10911</v>
      </c>
      <c r="D3761" t="s">
        <v>15</v>
      </c>
      <c r="E3761" t="s">
        <v>59</v>
      </c>
      <c r="F3761" t="s">
        <v>41</v>
      </c>
      <c r="G3761" t="s">
        <v>31</v>
      </c>
      <c r="H3761">
        <f>Cleaned_Data!K3761</f>
        <v>5.67</v>
      </c>
      <c r="I3761" t="str">
        <f t="shared" si="174"/>
        <v>YES</v>
      </c>
      <c r="J3761">
        <f>Cleaned_Data!J3761</f>
        <v>8</v>
      </c>
      <c r="K3761" t="str">
        <f t="shared" si="175"/>
        <v>2024-08</v>
      </c>
      <c r="L3761">
        <f t="shared" si="176"/>
        <v>0</v>
      </c>
    </row>
    <row r="3762" spans="1:12">
      <c r="A3762" t="s">
        <v>10912</v>
      </c>
      <c r="B3762" t="s">
        <v>10913</v>
      </c>
      <c r="C3762" t="s">
        <v>10914</v>
      </c>
      <c r="D3762" t="s">
        <v>15</v>
      </c>
      <c r="E3762" t="s">
        <v>28</v>
      </c>
      <c r="F3762" t="s">
        <v>36</v>
      </c>
      <c r="G3762" t="s">
        <v>19</v>
      </c>
      <c r="H3762">
        <f>Cleaned_Data!K3762</f>
        <v>4.3600000000000003</v>
      </c>
      <c r="I3762" t="str">
        <f t="shared" si="174"/>
        <v>YES</v>
      </c>
      <c r="J3762">
        <f>Cleaned_Data!J3762</f>
        <v>8</v>
      </c>
      <c r="K3762" t="str">
        <f t="shared" si="175"/>
        <v>2024-04</v>
      </c>
      <c r="L3762">
        <f t="shared" si="176"/>
        <v>0</v>
      </c>
    </row>
    <row r="3763" spans="1:12">
      <c r="A3763" t="s">
        <v>10915</v>
      </c>
      <c r="B3763" t="s">
        <v>10916</v>
      </c>
      <c r="C3763" t="s">
        <v>10917</v>
      </c>
      <c r="D3763" t="s">
        <v>23</v>
      </c>
      <c r="E3763" t="s">
        <v>16</v>
      </c>
      <c r="F3763" t="s">
        <v>36</v>
      </c>
      <c r="G3763" t="s">
        <v>31</v>
      </c>
      <c r="H3763">
        <f>Cleaned_Data!K3763</f>
        <v>6.44</v>
      </c>
      <c r="I3763" t="str">
        <f t="shared" si="174"/>
        <v>YES</v>
      </c>
      <c r="J3763">
        <f>Cleaned_Data!J3763</f>
        <v>24</v>
      </c>
      <c r="K3763" t="str">
        <f t="shared" si="175"/>
        <v>2024-01</v>
      </c>
      <c r="L3763">
        <f t="shared" si="176"/>
        <v>0</v>
      </c>
    </row>
    <row r="3764" spans="1:12">
      <c r="A3764" t="s">
        <v>10918</v>
      </c>
      <c r="B3764" t="s">
        <v>10919</v>
      </c>
      <c r="C3764" t="s">
        <v>10920</v>
      </c>
      <c r="D3764" t="s">
        <v>15</v>
      </c>
      <c r="E3764" t="s">
        <v>24</v>
      </c>
      <c r="F3764" t="s">
        <v>41</v>
      </c>
      <c r="G3764" t="s">
        <v>31</v>
      </c>
      <c r="H3764">
        <f>Cleaned_Data!K3764</f>
        <v>2.79</v>
      </c>
      <c r="I3764" t="str">
        <f t="shared" si="174"/>
        <v>YES</v>
      </c>
      <c r="J3764">
        <f>Cleaned_Data!J3764</f>
        <v>8</v>
      </c>
      <c r="K3764" t="str">
        <f t="shared" si="175"/>
        <v>2024-04</v>
      </c>
      <c r="L3764">
        <f t="shared" si="176"/>
        <v>0</v>
      </c>
    </row>
    <row r="3765" spans="1:12">
      <c r="A3765" t="s">
        <v>10921</v>
      </c>
      <c r="B3765" t="s">
        <v>10922</v>
      </c>
      <c r="C3765" t="s">
        <v>10923</v>
      </c>
      <c r="D3765" t="s">
        <v>23</v>
      </c>
      <c r="E3765" t="s">
        <v>54</v>
      </c>
      <c r="F3765" t="s">
        <v>60</v>
      </c>
      <c r="G3765" t="s">
        <v>19</v>
      </c>
      <c r="H3765">
        <f>Cleaned_Data!K3765</f>
        <v>14.64</v>
      </c>
      <c r="I3765" t="str">
        <f t="shared" si="174"/>
        <v>YES</v>
      </c>
      <c r="J3765">
        <f>Cleaned_Data!J3765</f>
        <v>24</v>
      </c>
      <c r="K3765" t="str">
        <f t="shared" si="175"/>
        <v>2024-07</v>
      </c>
      <c r="L3765">
        <f t="shared" si="176"/>
        <v>0</v>
      </c>
    </row>
    <row r="3766" spans="1:12">
      <c r="A3766" t="s">
        <v>10924</v>
      </c>
      <c r="B3766" t="s">
        <v>10925</v>
      </c>
      <c r="C3766" t="s">
        <v>10926</v>
      </c>
      <c r="D3766" t="s">
        <v>23</v>
      </c>
      <c r="E3766" t="s">
        <v>24</v>
      </c>
      <c r="F3766" t="s">
        <v>29</v>
      </c>
      <c r="G3766" t="s">
        <v>31</v>
      </c>
      <c r="H3766">
        <f>Cleaned_Data!K3766</f>
        <v>10.029999999999999</v>
      </c>
      <c r="I3766" t="str">
        <f t="shared" si="174"/>
        <v>YES</v>
      </c>
      <c r="J3766">
        <f>Cleaned_Data!J3766</f>
        <v>24</v>
      </c>
      <c r="K3766" t="str">
        <f t="shared" si="175"/>
        <v>2024-08</v>
      </c>
      <c r="L3766">
        <f t="shared" si="176"/>
        <v>0</v>
      </c>
    </row>
    <row r="3767" spans="1:12">
      <c r="A3767" t="s">
        <v>10927</v>
      </c>
      <c r="B3767" t="s">
        <v>10928</v>
      </c>
      <c r="C3767" t="s">
        <v>10929</v>
      </c>
      <c r="D3767" t="s">
        <v>15</v>
      </c>
      <c r="E3767" t="s">
        <v>28</v>
      </c>
      <c r="F3767" t="s">
        <v>36</v>
      </c>
      <c r="G3767" t="s">
        <v>31</v>
      </c>
      <c r="H3767">
        <f>Cleaned_Data!K3767</f>
        <v>4.72</v>
      </c>
      <c r="I3767" t="str">
        <f t="shared" si="174"/>
        <v>YES</v>
      </c>
      <c r="J3767">
        <f>Cleaned_Data!J3767</f>
        <v>8</v>
      </c>
      <c r="K3767" t="str">
        <f t="shared" si="175"/>
        <v>2024-10</v>
      </c>
      <c r="L3767">
        <f t="shared" si="176"/>
        <v>0</v>
      </c>
    </row>
    <row r="3768" spans="1:12">
      <c r="A3768" t="s">
        <v>10930</v>
      </c>
      <c r="B3768" t="s">
        <v>10931</v>
      </c>
      <c r="C3768" t="s">
        <v>10932</v>
      </c>
      <c r="D3768" t="s">
        <v>35</v>
      </c>
      <c r="E3768" t="s">
        <v>59</v>
      </c>
      <c r="F3768" t="s">
        <v>60</v>
      </c>
      <c r="G3768" t="s">
        <v>31</v>
      </c>
      <c r="H3768">
        <f>Cleaned_Data!K3768</f>
        <v>25.02</v>
      </c>
      <c r="I3768" t="str">
        <f t="shared" si="174"/>
        <v>YES</v>
      </c>
      <c r="J3768">
        <f>Cleaned_Data!J3768</f>
        <v>48</v>
      </c>
      <c r="K3768" t="str">
        <f t="shared" si="175"/>
        <v>2024-01</v>
      </c>
      <c r="L3768">
        <f t="shared" si="176"/>
        <v>0</v>
      </c>
    </row>
    <row r="3769" spans="1:12">
      <c r="A3769" t="s">
        <v>10933</v>
      </c>
      <c r="B3769" t="s">
        <v>10934</v>
      </c>
      <c r="C3769" t="s">
        <v>10935</v>
      </c>
      <c r="D3769" t="s">
        <v>23</v>
      </c>
      <c r="E3769" t="s">
        <v>28</v>
      </c>
      <c r="F3769" t="s">
        <v>41</v>
      </c>
      <c r="G3769" t="s">
        <v>31</v>
      </c>
      <c r="H3769">
        <f>Cleaned_Data!K3769</f>
        <v>21.84</v>
      </c>
      <c r="I3769" t="str">
        <f t="shared" si="174"/>
        <v>YES</v>
      </c>
      <c r="J3769">
        <f>Cleaned_Data!J3769</f>
        <v>24</v>
      </c>
      <c r="K3769" t="str">
        <f t="shared" si="175"/>
        <v>2024-03</v>
      </c>
      <c r="L3769">
        <f t="shared" si="176"/>
        <v>0</v>
      </c>
    </row>
    <row r="3770" spans="1:12">
      <c r="A3770" t="s">
        <v>10936</v>
      </c>
      <c r="B3770" t="s">
        <v>10937</v>
      </c>
      <c r="C3770" t="s">
        <v>10938</v>
      </c>
      <c r="D3770" t="s">
        <v>15</v>
      </c>
      <c r="E3770" t="s">
        <v>28</v>
      </c>
      <c r="F3770" t="s">
        <v>29</v>
      </c>
      <c r="G3770" t="s">
        <v>19</v>
      </c>
      <c r="H3770">
        <f>Cleaned_Data!K3770</f>
        <v>3.66</v>
      </c>
      <c r="I3770" t="str">
        <f t="shared" si="174"/>
        <v>YES</v>
      </c>
      <c r="J3770">
        <f>Cleaned_Data!J3770</f>
        <v>8</v>
      </c>
      <c r="K3770" t="str">
        <f t="shared" si="175"/>
        <v>2024-01</v>
      </c>
      <c r="L3770">
        <f t="shared" si="176"/>
        <v>0</v>
      </c>
    </row>
    <row r="3771" spans="1:12">
      <c r="A3771" t="s">
        <v>10939</v>
      </c>
      <c r="B3771" t="s">
        <v>10940</v>
      </c>
      <c r="C3771" t="s">
        <v>10941</v>
      </c>
      <c r="D3771" t="s">
        <v>23</v>
      </c>
      <c r="E3771" t="s">
        <v>28</v>
      </c>
      <c r="F3771" t="s">
        <v>29</v>
      </c>
      <c r="G3771" t="s">
        <v>19</v>
      </c>
      <c r="H3771">
        <f>Cleaned_Data!K3771</f>
        <v>4.2</v>
      </c>
      <c r="I3771" t="str">
        <f t="shared" si="174"/>
        <v>YES</v>
      </c>
      <c r="J3771">
        <f>Cleaned_Data!J3771</f>
        <v>24</v>
      </c>
      <c r="K3771" t="str">
        <f t="shared" si="175"/>
        <v>2024-07</v>
      </c>
      <c r="L3771">
        <f t="shared" si="176"/>
        <v>0</v>
      </c>
    </row>
    <row r="3772" spans="1:12">
      <c r="A3772" t="s">
        <v>10942</v>
      </c>
      <c r="B3772" t="s">
        <v>10943</v>
      </c>
      <c r="C3772" t="s">
        <v>10944</v>
      </c>
      <c r="D3772" t="s">
        <v>15</v>
      </c>
      <c r="E3772" t="s">
        <v>28</v>
      </c>
      <c r="F3772" t="s">
        <v>17</v>
      </c>
      <c r="G3772" t="s">
        <v>19</v>
      </c>
      <c r="H3772">
        <f>Cleaned_Data!K3772</f>
        <v>1.63</v>
      </c>
      <c r="I3772" t="str">
        <f t="shared" si="174"/>
        <v>YES</v>
      </c>
      <c r="J3772">
        <f>Cleaned_Data!J3772</f>
        <v>8</v>
      </c>
      <c r="K3772" t="str">
        <f t="shared" si="175"/>
        <v>2024-03</v>
      </c>
      <c r="L3772">
        <f t="shared" si="176"/>
        <v>0</v>
      </c>
    </row>
    <row r="3773" spans="1:12">
      <c r="A3773" t="s">
        <v>10945</v>
      </c>
      <c r="B3773" t="s">
        <v>10946</v>
      </c>
      <c r="C3773" t="s">
        <v>10947</v>
      </c>
      <c r="D3773" t="s">
        <v>158</v>
      </c>
      <c r="E3773" t="s">
        <v>24</v>
      </c>
      <c r="F3773" t="s">
        <v>29</v>
      </c>
      <c r="G3773" t="s">
        <v>31</v>
      </c>
      <c r="H3773">
        <f>Cleaned_Data!K3773</f>
        <v>1.01</v>
      </c>
      <c r="I3773" t="str">
        <f t="shared" si="174"/>
        <v>YES</v>
      </c>
      <c r="J3773">
        <f>Cleaned_Data!J3773</f>
        <v>4</v>
      </c>
      <c r="K3773" t="str">
        <f t="shared" si="175"/>
        <v>2024-04</v>
      </c>
      <c r="L3773">
        <f t="shared" si="176"/>
        <v>0</v>
      </c>
    </row>
    <row r="3774" spans="1:12">
      <c r="A3774" t="s">
        <v>10948</v>
      </c>
      <c r="B3774" t="s">
        <v>10949</v>
      </c>
      <c r="C3774" t="s">
        <v>10950</v>
      </c>
      <c r="D3774" t="s">
        <v>23</v>
      </c>
      <c r="E3774" t="s">
        <v>16</v>
      </c>
      <c r="F3774" t="s">
        <v>36</v>
      </c>
      <c r="G3774" t="s">
        <v>19</v>
      </c>
      <c r="H3774">
        <f>Cleaned_Data!K3774</f>
        <v>4.4800000000000004</v>
      </c>
      <c r="I3774" t="str">
        <f t="shared" si="174"/>
        <v>YES</v>
      </c>
      <c r="J3774">
        <f>Cleaned_Data!J3774</f>
        <v>24</v>
      </c>
      <c r="K3774" t="str">
        <f t="shared" si="175"/>
        <v>2024-05</v>
      </c>
      <c r="L3774">
        <f t="shared" si="176"/>
        <v>0</v>
      </c>
    </row>
    <row r="3775" spans="1:12">
      <c r="A3775" t="s">
        <v>10951</v>
      </c>
      <c r="B3775" t="s">
        <v>10952</v>
      </c>
      <c r="C3775" t="s">
        <v>10953</v>
      </c>
      <c r="D3775" t="s">
        <v>35</v>
      </c>
      <c r="E3775" t="s">
        <v>24</v>
      </c>
      <c r="F3775" t="s">
        <v>36</v>
      </c>
      <c r="G3775" t="s">
        <v>19</v>
      </c>
      <c r="H3775">
        <f>Cleaned_Data!K3775</f>
        <v>35.340000000000003</v>
      </c>
      <c r="I3775" t="str">
        <f t="shared" si="174"/>
        <v>YES</v>
      </c>
      <c r="J3775">
        <f>Cleaned_Data!J3775</f>
        <v>48</v>
      </c>
      <c r="K3775" t="str">
        <f t="shared" si="175"/>
        <v>2024-01</v>
      </c>
      <c r="L3775">
        <f t="shared" si="176"/>
        <v>0</v>
      </c>
    </row>
    <row r="3776" spans="1:12">
      <c r="A3776" t="s">
        <v>10954</v>
      </c>
      <c r="B3776" t="s">
        <v>10955</v>
      </c>
      <c r="D3776" t="s">
        <v>15</v>
      </c>
      <c r="E3776" t="s">
        <v>54</v>
      </c>
      <c r="F3776" t="s">
        <v>29</v>
      </c>
      <c r="G3776" t="s">
        <v>46</v>
      </c>
      <c r="H3776">
        <f>Cleaned_Data!K3776</f>
        <v>0</v>
      </c>
      <c r="I3776" t="str">
        <f t="shared" si="174"/>
        <v/>
      </c>
      <c r="J3776">
        <f>Cleaned_Data!J3776</f>
        <v>8</v>
      </c>
      <c r="K3776" t="str">
        <f t="shared" si="175"/>
        <v>2024-05</v>
      </c>
      <c r="L3776">
        <f t="shared" si="176"/>
        <v>0</v>
      </c>
    </row>
    <row r="3777" spans="1:12">
      <c r="A3777" t="s">
        <v>10956</v>
      </c>
      <c r="B3777" t="s">
        <v>10957</v>
      </c>
      <c r="C3777" t="s">
        <v>10958</v>
      </c>
      <c r="D3777" t="s">
        <v>15</v>
      </c>
      <c r="E3777" t="s">
        <v>16</v>
      </c>
      <c r="F3777" t="s">
        <v>60</v>
      </c>
      <c r="G3777" t="s">
        <v>19</v>
      </c>
      <c r="H3777">
        <f>Cleaned_Data!K3777</f>
        <v>845</v>
      </c>
      <c r="I3777" t="str">
        <f t="shared" si="174"/>
        <v>NO</v>
      </c>
      <c r="J3777">
        <f>Cleaned_Data!J3777</f>
        <v>8</v>
      </c>
      <c r="K3777" t="str">
        <f t="shared" si="175"/>
        <v>2024-12</v>
      </c>
      <c r="L3777">
        <f t="shared" si="176"/>
        <v>837</v>
      </c>
    </row>
    <row r="3778" spans="1:12">
      <c r="A3778" t="s">
        <v>10959</v>
      </c>
      <c r="B3778" t="s">
        <v>10960</v>
      </c>
      <c r="C3778" t="s">
        <v>10961</v>
      </c>
      <c r="D3778" t="s">
        <v>35</v>
      </c>
      <c r="E3778" t="s">
        <v>28</v>
      </c>
      <c r="F3778" t="s">
        <v>36</v>
      </c>
      <c r="G3778" t="s">
        <v>31</v>
      </c>
      <c r="H3778">
        <f>Cleaned_Data!K3778</f>
        <v>40.590000000000003</v>
      </c>
      <c r="I3778" t="str">
        <f t="shared" ref="I3778:I3841" si="177">IF(OR(G3778="Resolved", G3778="Closed"), IF(AND(H3778&lt;&gt;"", H3778&lt;=J3778), "YES", "NO"), "")</f>
        <v>YES</v>
      </c>
      <c r="J3778">
        <f>Cleaned_Data!J3778</f>
        <v>48</v>
      </c>
      <c r="K3778" t="str">
        <f t="shared" ref="K3778:K3841" si="178">LEFT(B3778, 7)</f>
        <v>2024-11</v>
      </c>
      <c r="L3778">
        <f t="shared" ref="L3778:L3841" si="179">IF(I3778="NO", H3778-J3778, 0)</f>
        <v>0</v>
      </c>
    </row>
    <row r="3779" spans="1:12">
      <c r="A3779" t="s">
        <v>10962</v>
      </c>
      <c r="B3779" t="s">
        <v>10963</v>
      </c>
      <c r="C3779" t="s">
        <v>10964</v>
      </c>
      <c r="D3779" t="s">
        <v>23</v>
      </c>
      <c r="E3779" t="s">
        <v>28</v>
      </c>
      <c r="F3779" t="s">
        <v>29</v>
      </c>
      <c r="G3779" t="s">
        <v>19</v>
      </c>
      <c r="H3779">
        <f>Cleaned_Data!K3779</f>
        <v>11.05</v>
      </c>
      <c r="I3779" t="str">
        <f t="shared" si="177"/>
        <v>YES</v>
      </c>
      <c r="J3779">
        <f>Cleaned_Data!J3779</f>
        <v>24</v>
      </c>
      <c r="K3779" t="str">
        <f t="shared" si="178"/>
        <v>2024-09</v>
      </c>
      <c r="L3779">
        <f t="shared" si="179"/>
        <v>0</v>
      </c>
    </row>
    <row r="3780" spans="1:12">
      <c r="A3780" t="s">
        <v>10965</v>
      </c>
      <c r="B3780" t="s">
        <v>10966</v>
      </c>
      <c r="D3780" t="s">
        <v>35</v>
      </c>
      <c r="E3780" t="s">
        <v>24</v>
      </c>
      <c r="F3780" t="s">
        <v>41</v>
      </c>
      <c r="G3780" t="s">
        <v>46</v>
      </c>
      <c r="H3780">
        <f>Cleaned_Data!K3780</f>
        <v>0</v>
      </c>
      <c r="I3780" t="str">
        <f t="shared" si="177"/>
        <v/>
      </c>
      <c r="J3780">
        <f>Cleaned_Data!J3780</f>
        <v>48</v>
      </c>
      <c r="K3780" t="str">
        <f t="shared" si="178"/>
        <v>2024-01</v>
      </c>
      <c r="L3780">
        <f t="shared" si="179"/>
        <v>0</v>
      </c>
    </row>
    <row r="3781" spans="1:12">
      <c r="A3781" t="s">
        <v>10967</v>
      </c>
      <c r="B3781" t="s">
        <v>10968</v>
      </c>
      <c r="C3781" t="s">
        <v>10969</v>
      </c>
      <c r="D3781" t="s">
        <v>23</v>
      </c>
      <c r="E3781" t="s">
        <v>24</v>
      </c>
      <c r="F3781" t="s">
        <v>17</v>
      </c>
      <c r="G3781" t="s">
        <v>19</v>
      </c>
      <c r="H3781">
        <f>Cleaned_Data!K3781</f>
        <v>20.9</v>
      </c>
      <c r="I3781" t="str">
        <f t="shared" si="177"/>
        <v>YES</v>
      </c>
      <c r="J3781">
        <f>Cleaned_Data!J3781</f>
        <v>24</v>
      </c>
      <c r="K3781" t="str">
        <f t="shared" si="178"/>
        <v>2024-02</v>
      </c>
      <c r="L3781">
        <f t="shared" si="179"/>
        <v>0</v>
      </c>
    </row>
    <row r="3782" spans="1:12">
      <c r="A3782" t="s">
        <v>10970</v>
      </c>
      <c r="B3782" t="s">
        <v>10971</v>
      </c>
      <c r="C3782" t="s">
        <v>10972</v>
      </c>
      <c r="D3782" t="s">
        <v>158</v>
      </c>
      <c r="E3782" t="s">
        <v>16</v>
      </c>
      <c r="F3782" t="s">
        <v>41</v>
      </c>
      <c r="G3782" t="s">
        <v>31</v>
      </c>
      <c r="H3782">
        <f>Cleaned_Data!K3782</f>
        <v>3.11</v>
      </c>
      <c r="I3782" t="str">
        <f t="shared" si="177"/>
        <v>YES</v>
      </c>
      <c r="J3782">
        <f>Cleaned_Data!J3782</f>
        <v>4</v>
      </c>
      <c r="K3782" t="str">
        <f t="shared" si="178"/>
        <v>2024-09</v>
      </c>
      <c r="L3782">
        <f t="shared" si="179"/>
        <v>0</v>
      </c>
    </row>
    <row r="3783" spans="1:12">
      <c r="A3783" t="s">
        <v>10973</v>
      </c>
      <c r="B3783" t="s">
        <v>10974</v>
      </c>
      <c r="C3783" t="s">
        <v>10975</v>
      </c>
      <c r="D3783" t="s">
        <v>23</v>
      </c>
      <c r="E3783" t="s">
        <v>16</v>
      </c>
      <c r="F3783" t="s">
        <v>60</v>
      </c>
      <c r="G3783" t="s">
        <v>31</v>
      </c>
      <c r="H3783">
        <f>Cleaned_Data!K3783</f>
        <v>2.84</v>
      </c>
      <c r="I3783" t="str">
        <f t="shared" si="177"/>
        <v>YES</v>
      </c>
      <c r="J3783">
        <f>Cleaned_Data!J3783</f>
        <v>24</v>
      </c>
      <c r="K3783" t="str">
        <f t="shared" si="178"/>
        <v>2024-05</v>
      </c>
      <c r="L3783">
        <f t="shared" si="179"/>
        <v>0</v>
      </c>
    </row>
    <row r="3784" spans="1:12">
      <c r="A3784" t="s">
        <v>10976</v>
      </c>
      <c r="B3784" t="s">
        <v>10977</v>
      </c>
      <c r="C3784" t="s">
        <v>10978</v>
      </c>
      <c r="D3784" t="s">
        <v>15</v>
      </c>
      <c r="E3784" t="s">
        <v>16</v>
      </c>
      <c r="F3784" t="s">
        <v>60</v>
      </c>
      <c r="G3784" t="s">
        <v>19</v>
      </c>
      <c r="H3784">
        <f>Cleaned_Data!K3784</f>
        <v>6.97</v>
      </c>
      <c r="I3784" t="str">
        <f t="shared" si="177"/>
        <v>YES</v>
      </c>
      <c r="J3784">
        <f>Cleaned_Data!J3784</f>
        <v>8</v>
      </c>
      <c r="K3784" t="str">
        <f t="shared" si="178"/>
        <v>2024-03</v>
      </c>
      <c r="L3784">
        <f t="shared" si="179"/>
        <v>0</v>
      </c>
    </row>
    <row r="3785" spans="1:12">
      <c r="A3785" t="s">
        <v>10979</v>
      </c>
      <c r="B3785" t="s">
        <v>10980</v>
      </c>
      <c r="C3785" t="s">
        <v>10981</v>
      </c>
      <c r="D3785" t="s">
        <v>158</v>
      </c>
      <c r="E3785" t="s">
        <v>28</v>
      </c>
      <c r="F3785" t="s">
        <v>29</v>
      </c>
      <c r="G3785" t="s">
        <v>19</v>
      </c>
      <c r="H3785">
        <f>Cleaned_Data!K3785</f>
        <v>2.54</v>
      </c>
      <c r="I3785" t="str">
        <f t="shared" si="177"/>
        <v>YES</v>
      </c>
      <c r="J3785">
        <f>Cleaned_Data!J3785</f>
        <v>4</v>
      </c>
      <c r="K3785" t="str">
        <f t="shared" si="178"/>
        <v>2024-02</v>
      </c>
      <c r="L3785">
        <f t="shared" si="179"/>
        <v>0</v>
      </c>
    </row>
    <row r="3786" spans="1:12">
      <c r="A3786" t="s">
        <v>10982</v>
      </c>
      <c r="B3786" t="s">
        <v>10983</v>
      </c>
      <c r="C3786" t="s">
        <v>10984</v>
      </c>
      <c r="D3786" t="s">
        <v>35</v>
      </c>
      <c r="E3786" t="s">
        <v>59</v>
      </c>
      <c r="F3786" t="s">
        <v>41</v>
      </c>
      <c r="G3786" t="s">
        <v>19</v>
      </c>
      <c r="H3786">
        <f>Cleaned_Data!K3786</f>
        <v>37.869999999999997</v>
      </c>
      <c r="I3786" t="str">
        <f t="shared" si="177"/>
        <v>YES</v>
      </c>
      <c r="J3786">
        <f>Cleaned_Data!J3786</f>
        <v>48</v>
      </c>
      <c r="K3786" t="str">
        <f t="shared" si="178"/>
        <v>2024-03</v>
      </c>
      <c r="L3786">
        <f t="shared" si="179"/>
        <v>0</v>
      </c>
    </row>
    <row r="3787" spans="1:12">
      <c r="A3787" t="s">
        <v>10985</v>
      </c>
      <c r="B3787" t="s">
        <v>10986</v>
      </c>
      <c r="C3787" t="s">
        <v>10987</v>
      </c>
      <c r="D3787" t="s">
        <v>23</v>
      </c>
      <c r="E3787" t="s">
        <v>54</v>
      </c>
      <c r="F3787" t="s">
        <v>36</v>
      </c>
      <c r="G3787" t="s">
        <v>31</v>
      </c>
      <c r="H3787">
        <f>Cleaned_Data!K3787</f>
        <v>9.65</v>
      </c>
      <c r="I3787" t="str">
        <f t="shared" si="177"/>
        <v>YES</v>
      </c>
      <c r="J3787">
        <f>Cleaned_Data!J3787</f>
        <v>24</v>
      </c>
      <c r="K3787" t="str">
        <f t="shared" si="178"/>
        <v>2024-05</v>
      </c>
      <c r="L3787">
        <f t="shared" si="179"/>
        <v>0</v>
      </c>
    </row>
    <row r="3788" spans="1:12">
      <c r="A3788" t="s">
        <v>10988</v>
      </c>
      <c r="B3788" t="s">
        <v>10989</v>
      </c>
      <c r="C3788" t="s">
        <v>10990</v>
      </c>
      <c r="D3788" t="s">
        <v>23</v>
      </c>
      <c r="E3788" t="s">
        <v>54</v>
      </c>
      <c r="F3788" t="s">
        <v>29</v>
      </c>
      <c r="G3788" t="s">
        <v>31</v>
      </c>
      <c r="H3788">
        <f>Cleaned_Data!K3788</f>
        <v>60.37</v>
      </c>
      <c r="I3788" t="str">
        <f t="shared" si="177"/>
        <v>NO</v>
      </c>
      <c r="J3788">
        <f>Cleaned_Data!J3788</f>
        <v>24</v>
      </c>
      <c r="K3788" t="str">
        <f t="shared" si="178"/>
        <v>2024-10</v>
      </c>
      <c r="L3788">
        <f t="shared" si="179"/>
        <v>36.369999999999997</v>
      </c>
    </row>
    <row r="3789" spans="1:12">
      <c r="A3789" t="s">
        <v>10991</v>
      </c>
      <c r="B3789" t="s">
        <v>10992</v>
      </c>
      <c r="C3789" t="s">
        <v>10993</v>
      </c>
      <c r="D3789" t="s">
        <v>23</v>
      </c>
      <c r="E3789" t="s">
        <v>28</v>
      </c>
      <c r="F3789" t="s">
        <v>41</v>
      </c>
      <c r="G3789" t="s">
        <v>19</v>
      </c>
      <c r="H3789">
        <f>Cleaned_Data!K3789</f>
        <v>2.56</v>
      </c>
      <c r="I3789" t="str">
        <f t="shared" si="177"/>
        <v>YES</v>
      </c>
      <c r="J3789">
        <f>Cleaned_Data!J3789</f>
        <v>24</v>
      </c>
      <c r="K3789" t="str">
        <f t="shared" si="178"/>
        <v>2024-09</v>
      </c>
      <c r="L3789">
        <f t="shared" si="179"/>
        <v>0</v>
      </c>
    </row>
    <row r="3790" spans="1:12">
      <c r="A3790" t="s">
        <v>10994</v>
      </c>
      <c r="B3790" t="s">
        <v>10995</v>
      </c>
      <c r="D3790" t="s">
        <v>35</v>
      </c>
      <c r="E3790" t="s">
        <v>16</v>
      </c>
      <c r="F3790" t="s">
        <v>36</v>
      </c>
      <c r="G3790" t="s">
        <v>46</v>
      </c>
      <c r="H3790">
        <f>Cleaned_Data!K3790</f>
        <v>0</v>
      </c>
      <c r="I3790" t="str">
        <f t="shared" si="177"/>
        <v/>
      </c>
      <c r="J3790">
        <f>Cleaned_Data!J3790</f>
        <v>48</v>
      </c>
      <c r="K3790" t="str">
        <f t="shared" si="178"/>
        <v>2024-06</v>
      </c>
      <c r="L3790">
        <f t="shared" si="179"/>
        <v>0</v>
      </c>
    </row>
    <row r="3791" spans="1:12">
      <c r="A3791" t="s">
        <v>10996</v>
      </c>
      <c r="B3791" t="s">
        <v>10997</v>
      </c>
      <c r="C3791" t="s">
        <v>10998</v>
      </c>
      <c r="D3791" t="s">
        <v>15</v>
      </c>
      <c r="E3791" t="s">
        <v>54</v>
      </c>
      <c r="F3791" t="s">
        <v>29</v>
      </c>
      <c r="G3791" t="s">
        <v>31</v>
      </c>
      <c r="H3791">
        <f>Cleaned_Data!K3791</f>
        <v>2.39</v>
      </c>
      <c r="I3791" t="str">
        <f t="shared" si="177"/>
        <v>YES</v>
      </c>
      <c r="J3791">
        <f>Cleaned_Data!J3791</f>
        <v>8</v>
      </c>
      <c r="K3791" t="str">
        <f t="shared" si="178"/>
        <v>2024-03</v>
      </c>
      <c r="L3791">
        <f t="shared" si="179"/>
        <v>0</v>
      </c>
    </row>
    <row r="3792" spans="1:12">
      <c r="A3792" t="s">
        <v>10999</v>
      </c>
      <c r="B3792" t="s">
        <v>11000</v>
      </c>
      <c r="C3792" t="s">
        <v>11001</v>
      </c>
      <c r="D3792" t="s">
        <v>23</v>
      </c>
      <c r="E3792" t="s">
        <v>28</v>
      </c>
      <c r="F3792" t="s">
        <v>17</v>
      </c>
      <c r="G3792" t="s">
        <v>19</v>
      </c>
      <c r="H3792">
        <f>Cleaned_Data!K3792</f>
        <v>49.27</v>
      </c>
      <c r="I3792" t="str">
        <f t="shared" si="177"/>
        <v>NO</v>
      </c>
      <c r="J3792">
        <f>Cleaned_Data!J3792</f>
        <v>24</v>
      </c>
      <c r="K3792" t="str">
        <f t="shared" si="178"/>
        <v>2024-11</v>
      </c>
      <c r="L3792">
        <f t="shared" si="179"/>
        <v>25.270000000000003</v>
      </c>
    </row>
    <row r="3793" spans="1:12">
      <c r="A3793" t="s">
        <v>11002</v>
      </c>
      <c r="B3793" t="s">
        <v>11003</v>
      </c>
      <c r="C3793" t="s">
        <v>11004</v>
      </c>
      <c r="D3793" t="s">
        <v>23</v>
      </c>
      <c r="E3793" t="s">
        <v>54</v>
      </c>
      <c r="F3793" t="s">
        <v>36</v>
      </c>
      <c r="G3793" t="s">
        <v>19</v>
      </c>
      <c r="H3793">
        <f>Cleaned_Data!K3793</f>
        <v>13.75</v>
      </c>
      <c r="I3793" t="str">
        <f t="shared" si="177"/>
        <v>YES</v>
      </c>
      <c r="J3793">
        <f>Cleaned_Data!J3793</f>
        <v>24</v>
      </c>
      <c r="K3793" t="str">
        <f t="shared" si="178"/>
        <v>2024-02</v>
      </c>
      <c r="L3793">
        <f t="shared" si="179"/>
        <v>0</v>
      </c>
    </row>
    <row r="3794" spans="1:12">
      <c r="A3794" t="s">
        <v>11005</v>
      </c>
      <c r="B3794" t="s">
        <v>11006</v>
      </c>
      <c r="C3794" t="s">
        <v>11007</v>
      </c>
      <c r="D3794" t="s">
        <v>23</v>
      </c>
      <c r="E3794" t="s">
        <v>54</v>
      </c>
      <c r="F3794" t="s">
        <v>29</v>
      </c>
      <c r="G3794" t="s">
        <v>19</v>
      </c>
      <c r="H3794">
        <f>Cleaned_Data!K3794</f>
        <v>17.46</v>
      </c>
      <c r="I3794" t="str">
        <f t="shared" si="177"/>
        <v>YES</v>
      </c>
      <c r="J3794">
        <f>Cleaned_Data!J3794</f>
        <v>24</v>
      </c>
      <c r="K3794" t="str">
        <f t="shared" si="178"/>
        <v>2024-02</v>
      </c>
      <c r="L3794">
        <f t="shared" si="179"/>
        <v>0</v>
      </c>
    </row>
    <row r="3795" spans="1:12">
      <c r="A3795" t="s">
        <v>11008</v>
      </c>
      <c r="B3795" t="s">
        <v>11009</v>
      </c>
      <c r="C3795" t="s">
        <v>11010</v>
      </c>
      <c r="D3795" t="s">
        <v>35</v>
      </c>
      <c r="E3795" t="s">
        <v>16</v>
      </c>
      <c r="F3795" t="s">
        <v>60</v>
      </c>
      <c r="G3795" t="s">
        <v>31</v>
      </c>
      <c r="H3795">
        <f>Cleaned_Data!K3795</f>
        <v>42.38</v>
      </c>
      <c r="I3795" t="str">
        <f t="shared" si="177"/>
        <v>YES</v>
      </c>
      <c r="J3795">
        <f>Cleaned_Data!J3795</f>
        <v>48</v>
      </c>
      <c r="K3795" t="str">
        <f t="shared" si="178"/>
        <v>2024-04</v>
      </c>
      <c r="L3795">
        <f t="shared" si="179"/>
        <v>0</v>
      </c>
    </row>
    <row r="3796" spans="1:12">
      <c r="A3796" t="s">
        <v>11011</v>
      </c>
      <c r="B3796" t="s">
        <v>11012</v>
      </c>
      <c r="C3796" t="s">
        <v>11013</v>
      </c>
      <c r="D3796" t="s">
        <v>23</v>
      </c>
      <c r="E3796" t="s">
        <v>16</v>
      </c>
      <c r="F3796" t="s">
        <v>17</v>
      </c>
      <c r="G3796" t="s">
        <v>31</v>
      </c>
      <c r="H3796">
        <f>Cleaned_Data!K3796</f>
        <v>18.46</v>
      </c>
      <c r="I3796" t="str">
        <f t="shared" si="177"/>
        <v>YES</v>
      </c>
      <c r="J3796">
        <f>Cleaned_Data!J3796</f>
        <v>24</v>
      </c>
      <c r="K3796" t="str">
        <f t="shared" si="178"/>
        <v>2024-08</v>
      </c>
      <c r="L3796">
        <f t="shared" si="179"/>
        <v>0</v>
      </c>
    </row>
    <row r="3797" spans="1:12">
      <c r="A3797" t="s">
        <v>11014</v>
      </c>
      <c r="B3797" t="s">
        <v>11015</v>
      </c>
      <c r="C3797" t="s">
        <v>11016</v>
      </c>
      <c r="D3797" t="s">
        <v>23</v>
      </c>
      <c r="E3797" t="s">
        <v>54</v>
      </c>
      <c r="F3797" t="s">
        <v>41</v>
      </c>
      <c r="G3797" t="s">
        <v>31</v>
      </c>
      <c r="H3797">
        <f>Cleaned_Data!K3797</f>
        <v>16.940000000000001</v>
      </c>
      <c r="I3797" t="str">
        <f t="shared" si="177"/>
        <v>YES</v>
      </c>
      <c r="J3797">
        <f>Cleaned_Data!J3797</f>
        <v>24</v>
      </c>
      <c r="K3797" t="str">
        <f t="shared" si="178"/>
        <v>2024-12</v>
      </c>
      <c r="L3797">
        <f t="shared" si="179"/>
        <v>0</v>
      </c>
    </row>
    <row r="3798" spans="1:12">
      <c r="A3798" t="s">
        <v>11017</v>
      </c>
      <c r="B3798" t="s">
        <v>11018</v>
      </c>
      <c r="C3798" t="s">
        <v>11019</v>
      </c>
      <c r="D3798" t="s">
        <v>23</v>
      </c>
      <c r="E3798" t="s">
        <v>59</v>
      </c>
      <c r="F3798" t="s">
        <v>36</v>
      </c>
      <c r="G3798" t="s">
        <v>19</v>
      </c>
      <c r="H3798">
        <f>Cleaned_Data!K3798</f>
        <v>44.6</v>
      </c>
      <c r="I3798" t="str">
        <f t="shared" si="177"/>
        <v>NO</v>
      </c>
      <c r="J3798">
        <f>Cleaned_Data!J3798</f>
        <v>24</v>
      </c>
      <c r="K3798" t="str">
        <f t="shared" si="178"/>
        <v>2024-09</v>
      </c>
      <c r="L3798">
        <f t="shared" si="179"/>
        <v>20.6</v>
      </c>
    </row>
    <row r="3799" spans="1:12">
      <c r="A3799" t="s">
        <v>11020</v>
      </c>
      <c r="B3799" t="s">
        <v>11021</v>
      </c>
      <c r="C3799" t="s">
        <v>11022</v>
      </c>
      <c r="D3799" t="s">
        <v>23</v>
      </c>
      <c r="E3799" t="s">
        <v>59</v>
      </c>
      <c r="F3799" t="s">
        <v>41</v>
      </c>
      <c r="G3799" t="s">
        <v>31</v>
      </c>
      <c r="H3799">
        <f>Cleaned_Data!K3799</f>
        <v>13.83</v>
      </c>
      <c r="I3799" t="str">
        <f t="shared" si="177"/>
        <v>YES</v>
      </c>
      <c r="J3799">
        <f>Cleaned_Data!J3799</f>
        <v>24</v>
      </c>
      <c r="K3799" t="str">
        <f t="shared" si="178"/>
        <v>2024-04</v>
      </c>
      <c r="L3799">
        <f t="shared" si="179"/>
        <v>0</v>
      </c>
    </row>
    <row r="3800" spans="1:12">
      <c r="A3800" t="s">
        <v>11023</v>
      </c>
      <c r="B3800" t="s">
        <v>11024</v>
      </c>
      <c r="C3800" t="s">
        <v>11025</v>
      </c>
      <c r="D3800" t="s">
        <v>35</v>
      </c>
      <c r="E3800" t="s">
        <v>16</v>
      </c>
      <c r="F3800" t="s">
        <v>41</v>
      </c>
      <c r="G3800" t="s">
        <v>31</v>
      </c>
      <c r="H3800">
        <f>Cleaned_Data!K3800</f>
        <v>29.06</v>
      </c>
      <c r="I3800" t="str">
        <f t="shared" si="177"/>
        <v>YES</v>
      </c>
      <c r="J3800">
        <f>Cleaned_Data!J3800</f>
        <v>48</v>
      </c>
      <c r="K3800" t="str">
        <f t="shared" si="178"/>
        <v>2024-10</v>
      </c>
      <c r="L3800">
        <f t="shared" si="179"/>
        <v>0</v>
      </c>
    </row>
    <row r="3801" spans="1:12">
      <c r="A3801" t="s">
        <v>11026</v>
      </c>
      <c r="B3801" t="s">
        <v>11027</v>
      </c>
      <c r="C3801" t="s">
        <v>11028</v>
      </c>
      <c r="D3801" t="s">
        <v>35</v>
      </c>
      <c r="E3801" t="s">
        <v>28</v>
      </c>
      <c r="F3801" t="s">
        <v>60</v>
      </c>
      <c r="G3801" t="s">
        <v>19</v>
      </c>
      <c r="H3801">
        <f>Cleaned_Data!K3801</f>
        <v>7.9</v>
      </c>
      <c r="I3801" t="str">
        <f t="shared" si="177"/>
        <v>YES</v>
      </c>
      <c r="J3801">
        <f>Cleaned_Data!J3801</f>
        <v>48</v>
      </c>
      <c r="K3801" t="str">
        <f t="shared" si="178"/>
        <v>2024-10</v>
      </c>
      <c r="L3801">
        <f t="shared" si="179"/>
        <v>0</v>
      </c>
    </row>
    <row r="3802" spans="1:12">
      <c r="A3802" t="s">
        <v>11029</v>
      </c>
      <c r="B3802" t="s">
        <v>11030</v>
      </c>
      <c r="D3802" t="s">
        <v>15</v>
      </c>
      <c r="E3802" t="s">
        <v>24</v>
      </c>
      <c r="F3802" t="s">
        <v>36</v>
      </c>
      <c r="G3802" t="s">
        <v>46</v>
      </c>
      <c r="H3802">
        <f>Cleaned_Data!K3802</f>
        <v>0</v>
      </c>
      <c r="I3802" t="str">
        <f t="shared" si="177"/>
        <v/>
      </c>
      <c r="J3802">
        <f>Cleaned_Data!J3802</f>
        <v>8</v>
      </c>
      <c r="K3802" t="str">
        <f t="shared" si="178"/>
        <v>2024-04</v>
      </c>
      <c r="L3802">
        <f t="shared" si="179"/>
        <v>0</v>
      </c>
    </row>
    <row r="3803" spans="1:12">
      <c r="A3803" t="s">
        <v>11031</v>
      </c>
      <c r="B3803" t="s">
        <v>11032</v>
      </c>
      <c r="C3803" t="s">
        <v>11033</v>
      </c>
      <c r="D3803" t="s">
        <v>23</v>
      </c>
      <c r="E3803" t="s">
        <v>24</v>
      </c>
      <c r="F3803" t="s">
        <v>60</v>
      </c>
      <c r="G3803" t="s">
        <v>19</v>
      </c>
      <c r="H3803">
        <f>Cleaned_Data!K3803</f>
        <v>17.32</v>
      </c>
      <c r="I3803" t="str">
        <f t="shared" si="177"/>
        <v>YES</v>
      </c>
      <c r="J3803">
        <f>Cleaned_Data!J3803</f>
        <v>24</v>
      </c>
      <c r="K3803" t="str">
        <f t="shared" si="178"/>
        <v>2024-11</v>
      </c>
      <c r="L3803">
        <f t="shared" si="179"/>
        <v>0</v>
      </c>
    </row>
    <row r="3804" spans="1:12">
      <c r="A3804" t="s">
        <v>11034</v>
      </c>
      <c r="B3804" t="s">
        <v>11035</v>
      </c>
      <c r="C3804" t="s">
        <v>11036</v>
      </c>
      <c r="D3804" t="s">
        <v>23</v>
      </c>
      <c r="E3804" t="s">
        <v>59</v>
      </c>
      <c r="F3804" t="s">
        <v>60</v>
      </c>
      <c r="G3804" t="s">
        <v>31</v>
      </c>
      <c r="H3804">
        <f>Cleaned_Data!K3804</f>
        <v>22.19</v>
      </c>
      <c r="I3804" t="str">
        <f t="shared" si="177"/>
        <v>YES</v>
      </c>
      <c r="J3804">
        <f>Cleaned_Data!J3804</f>
        <v>24</v>
      </c>
      <c r="K3804" t="str">
        <f t="shared" si="178"/>
        <v>2024-12</v>
      </c>
      <c r="L3804">
        <f t="shared" si="179"/>
        <v>0</v>
      </c>
    </row>
    <row r="3805" spans="1:12">
      <c r="A3805" t="s">
        <v>11037</v>
      </c>
      <c r="B3805" t="s">
        <v>11038</v>
      </c>
      <c r="C3805" t="s">
        <v>11039</v>
      </c>
      <c r="D3805" t="s">
        <v>35</v>
      </c>
      <c r="E3805" t="s">
        <v>54</v>
      </c>
      <c r="F3805" t="s">
        <v>29</v>
      </c>
      <c r="G3805" t="s">
        <v>31</v>
      </c>
      <c r="H3805">
        <f>Cleaned_Data!K3805</f>
        <v>96.79</v>
      </c>
      <c r="I3805" t="str">
        <f t="shared" si="177"/>
        <v>NO</v>
      </c>
      <c r="J3805">
        <f>Cleaned_Data!J3805</f>
        <v>48</v>
      </c>
      <c r="K3805" t="str">
        <f t="shared" si="178"/>
        <v>2024-07</v>
      </c>
      <c r="L3805">
        <f t="shared" si="179"/>
        <v>48.790000000000006</v>
      </c>
    </row>
    <row r="3806" spans="1:12">
      <c r="A3806" t="s">
        <v>11040</v>
      </c>
      <c r="B3806" t="s">
        <v>11041</v>
      </c>
      <c r="C3806" t="s">
        <v>11042</v>
      </c>
      <c r="D3806" t="s">
        <v>23</v>
      </c>
      <c r="E3806" t="s">
        <v>16</v>
      </c>
      <c r="F3806" t="s">
        <v>17</v>
      </c>
      <c r="G3806" t="s">
        <v>19</v>
      </c>
      <c r="H3806">
        <f>Cleaned_Data!K3806</f>
        <v>4.33</v>
      </c>
      <c r="I3806" t="str">
        <f t="shared" si="177"/>
        <v>YES</v>
      </c>
      <c r="J3806">
        <f>Cleaned_Data!J3806</f>
        <v>24</v>
      </c>
      <c r="K3806" t="str">
        <f t="shared" si="178"/>
        <v>2024-07</v>
      </c>
      <c r="L3806">
        <f t="shared" si="179"/>
        <v>0</v>
      </c>
    </row>
    <row r="3807" spans="1:12">
      <c r="A3807" t="s">
        <v>11043</v>
      </c>
      <c r="B3807" t="s">
        <v>11044</v>
      </c>
      <c r="D3807" t="s">
        <v>23</v>
      </c>
      <c r="E3807" t="s">
        <v>54</v>
      </c>
      <c r="F3807" t="s">
        <v>36</v>
      </c>
      <c r="G3807" t="s">
        <v>46</v>
      </c>
      <c r="H3807">
        <f>Cleaned_Data!K3807</f>
        <v>0</v>
      </c>
      <c r="I3807" t="str">
        <f t="shared" si="177"/>
        <v/>
      </c>
      <c r="J3807">
        <f>Cleaned_Data!J3807</f>
        <v>24</v>
      </c>
      <c r="K3807" t="str">
        <f t="shared" si="178"/>
        <v>2024-09</v>
      </c>
      <c r="L3807">
        <f t="shared" si="179"/>
        <v>0</v>
      </c>
    </row>
    <row r="3808" spans="1:12">
      <c r="A3808" t="s">
        <v>11045</v>
      </c>
      <c r="B3808" t="s">
        <v>11046</v>
      </c>
      <c r="C3808" t="s">
        <v>11047</v>
      </c>
      <c r="D3808" t="s">
        <v>15</v>
      </c>
      <c r="E3808" t="s">
        <v>28</v>
      </c>
      <c r="F3808" t="s">
        <v>60</v>
      </c>
      <c r="G3808" t="s">
        <v>31</v>
      </c>
      <c r="H3808">
        <f>Cleaned_Data!K3808</f>
        <v>3.6</v>
      </c>
      <c r="I3808" t="str">
        <f t="shared" si="177"/>
        <v>YES</v>
      </c>
      <c r="J3808">
        <f>Cleaned_Data!J3808</f>
        <v>8</v>
      </c>
      <c r="K3808" t="str">
        <f t="shared" si="178"/>
        <v>2024-10</v>
      </c>
      <c r="L3808">
        <f t="shared" si="179"/>
        <v>0</v>
      </c>
    </row>
    <row r="3809" spans="1:12">
      <c r="A3809" t="s">
        <v>11048</v>
      </c>
      <c r="B3809" t="s">
        <v>11049</v>
      </c>
      <c r="D3809" t="s">
        <v>23</v>
      </c>
      <c r="E3809" t="s">
        <v>59</v>
      </c>
      <c r="F3809" t="s">
        <v>17</v>
      </c>
      <c r="G3809" t="s">
        <v>46</v>
      </c>
      <c r="H3809">
        <f>Cleaned_Data!K3809</f>
        <v>0</v>
      </c>
      <c r="I3809" t="str">
        <f t="shared" si="177"/>
        <v/>
      </c>
      <c r="J3809">
        <f>Cleaned_Data!J3809</f>
        <v>24</v>
      </c>
      <c r="K3809" t="str">
        <f t="shared" si="178"/>
        <v>2024-07</v>
      </c>
      <c r="L3809">
        <f t="shared" si="179"/>
        <v>0</v>
      </c>
    </row>
    <row r="3810" spans="1:12">
      <c r="A3810" t="s">
        <v>11050</v>
      </c>
      <c r="B3810" t="s">
        <v>11051</v>
      </c>
      <c r="C3810" t="s">
        <v>11052</v>
      </c>
      <c r="D3810" t="s">
        <v>23</v>
      </c>
      <c r="E3810" t="s">
        <v>59</v>
      </c>
      <c r="F3810" t="s">
        <v>41</v>
      </c>
      <c r="G3810" t="s">
        <v>19</v>
      </c>
      <c r="H3810">
        <f>Cleaned_Data!K3810</f>
        <v>19.239999999999998</v>
      </c>
      <c r="I3810" t="str">
        <f t="shared" si="177"/>
        <v>YES</v>
      </c>
      <c r="J3810">
        <f>Cleaned_Data!J3810</f>
        <v>24</v>
      </c>
      <c r="K3810" t="str">
        <f t="shared" si="178"/>
        <v>2024-11</v>
      </c>
      <c r="L3810">
        <f t="shared" si="179"/>
        <v>0</v>
      </c>
    </row>
    <row r="3811" spans="1:12">
      <c r="A3811" t="s">
        <v>11053</v>
      </c>
      <c r="B3811" t="s">
        <v>11054</v>
      </c>
      <c r="C3811" t="s">
        <v>11055</v>
      </c>
      <c r="D3811" t="s">
        <v>23</v>
      </c>
      <c r="E3811" t="s">
        <v>24</v>
      </c>
      <c r="F3811" t="s">
        <v>36</v>
      </c>
      <c r="G3811" t="s">
        <v>31</v>
      </c>
      <c r="H3811">
        <f>Cleaned_Data!K3811</f>
        <v>2.6</v>
      </c>
      <c r="I3811" t="str">
        <f t="shared" si="177"/>
        <v>YES</v>
      </c>
      <c r="J3811">
        <f>Cleaned_Data!J3811</f>
        <v>24</v>
      </c>
      <c r="K3811" t="str">
        <f t="shared" si="178"/>
        <v>2024-02</v>
      </c>
      <c r="L3811">
        <f t="shared" si="179"/>
        <v>0</v>
      </c>
    </row>
    <row r="3812" spans="1:12">
      <c r="A3812" t="s">
        <v>11056</v>
      </c>
      <c r="B3812" t="s">
        <v>11057</v>
      </c>
      <c r="C3812" t="s">
        <v>11058</v>
      </c>
      <c r="D3812" t="s">
        <v>35</v>
      </c>
      <c r="E3812" t="s">
        <v>24</v>
      </c>
      <c r="F3812" t="s">
        <v>36</v>
      </c>
      <c r="G3812" t="s">
        <v>19</v>
      </c>
      <c r="H3812">
        <f>Cleaned_Data!K3812</f>
        <v>26.33</v>
      </c>
      <c r="I3812" t="str">
        <f t="shared" si="177"/>
        <v>YES</v>
      </c>
      <c r="J3812">
        <f>Cleaned_Data!J3812</f>
        <v>48</v>
      </c>
      <c r="K3812" t="str">
        <f t="shared" si="178"/>
        <v>2024-08</v>
      </c>
      <c r="L3812">
        <f t="shared" si="179"/>
        <v>0</v>
      </c>
    </row>
    <row r="3813" spans="1:12">
      <c r="A3813" t="s">
        <v>11059</v>
      </c>
      <c r="B3813" t="s">
        <v>11060</v>
      </c>
      <c r="C3813" t="s">
        <v>11061</v>
      </c>
      <c r="D3813" t="s">
        <v>23</v>
      </c>
      <c r="E3813" t="s">
        <v>16</v>
      </c>
      <c r="F3813" t="s">
        <v>41</v>
      </c>
      <c r="G3813" t="s">
        <v>19</v>
      </c>
      <c r="H3813">
        <f>Cleaned_Data!K3813</f>
        <v>18.73</v>
      </c>
      <c r="I3813" t="str">
        <f t="shared" si="177"/>
        <v>YES</v>
      </c>
      <c r="J3813">
        <f>Cleaned_Data!J3813</f>
        <v>24</v>
      </c>
      <c r="K3813" t="str">
        <f t="shared" si="178"/>
        <v>2024-10</v>
      </c>
      <c r="L3813">
        <f t="shared" si="179"/>
        <v>0</v>
      </c>
    </row>
    <row r="3814" spans="1:12">
      <c r="A3814" t="s">
        <v>11062</v>
      </c>
      <c r="B3814" t="s">
        <v>11063</v>
      </c>
      <c r="C3814" t="s">
        <v>11064</v>
      </c>
      <c r="D3814" t="s">
        <v>158</v>
      </c>
      <c r="E3814" t="s">
        <v>59</v>
      </c>
      <c r="F3814" t="s">
        <v>60</v>
      </c>
      <c r="G3814" t="s">
        <v>19</v>
      </c>
      <c r="H3814">
        <f>Cleaned_Data!K3814</f>
        <v>0.93</v>
      </c>
      <c r="I3814" t="str">
        <f t="shared" si="177"/>
        <v>YES</v>
      </c>
      <c r="J3814">
        <f>Cleaned_Data!J3814</f>
        <v>4</v>
      </c>
      <c r="K3814" t="str">
        <f t="shared" si="178"/>
        <v>2024-10</v>
      </c>
      <c r="L3814">
        <f t="shared" si="179"/>
        <v>0</v>
      </c>
    </row>
    <row r="3815" spans="1:12">
      <c r="A3815" t="s">
        <v>11065</v>
      </c>
      <c r="B3815" t="s">
        <v>11066</v>
      </c>
      <c r="D3815" t="s">
        <v>23</v>
      </c>
      <c r="E3815" t="s">
        <v>28</v>
      </c>
      <c r="F3815" t="s">
        <v>41</v>
      </c>
      <c r="G3815" t="s">
        <v>63</v>
      </c>
      <c r="H3815">
        <f>Cleaned_Data!K3815</f>
        <v>0</v>
      </c>
      <c r="I3815" t="str">
        <f t="shared" si="177"/>
        <v/>
      </c>
      <c r="J3815">
        <f>Cleaned_Data!J3815</f>
        <v>24</v>
      </c>
      <c r="K3815" t="str">
        <f t="shared" si="178"/>
        <v>2024-06</v>
      </c>
      <c r="L3815">
        <f t="shared" si="179"/>
        <v>0</v>
      </c>
    </row>
    <row r="3816" spans="1:12">
      <c r="A3816" t="s">
        <v>11067</v>
      </c>
      <c r="B3816" t="s">
        <v>11068</v>
      </c>
      <c r="C3816" t="s">
        <v>11069</v>
      </c>
      <c r="D3816" t="s">
        <v>23</v>
      </c>
      <c r="E3816" t="s">
        <v>28</v>
      </c>
      <c r="F3816" t="s">
        <v>41</v>
      </c>
      <c r="G3816" t="s">
        <v>31</v>
      </c>
      <c r="H3816">
        <f>Cleaned_Data!K3816</f>
        <v>9.34</v>
      </c>
      <c r="I3816" t="str">
        <f t="shared" si="177"/>
        <v>YES</v>
      </c>
      <c r="J3816">
        <f>Cleaned_Data!J3816</f>
        <v>24</v>
      </c>
      <c r="K3816" t="str">
        <f t="shared" si="178"/>
        <v>2024-03</v>
      </c>
      <c r="L3816">
        <f t="shared" si="179"/>
        <v>0</v>
      </c>
    </row>
    <row r="3817" spans="1:12">
      <c r="A3817" t="s">
        <v>11070</v>
      </c>
      <c r="B3817" t="s">
        <v>11071</v>
      </c>
      <c r="C3817" t="s">
        <v>11072</v>
      </c>
      <c r="D3817" t="s">
        <v>23</v>
      </c>
      <c r="E3817" t="s">
        <v>28</v>
      </c>
      <c r="F3817" t="s">
        <v>29</v>
      </c>
      <c r="G3817" t="s">
        <v>31</v>
      </c>
      <c r="H3817">
        <f>Cleaned_Data!K3817</f>
        <v>12.64</v>
      </c>
      <c r="I3817" t="str">
        <f t="shared" si="177"/>
        <v>YES</v>
      </c>
      <c r="J3817">
        <f>Cleaned_Data!J3817</f>
        <v>24</v>
      </c>
      <c r="K3817" t="str">
        <f t="shared" si="178"/>
        <v>2024-02</v>
      </c>
      <c r="L3817">
        <f t="shared" si="179"/>
        <v>0</v>
      </c>
    </row>
    <row r="3818" spans="1:12">
      <c r="A3818" t="s">
        <v>11073</v>
      </c>
      <c r="B3818" t="s">
        <v>11074</v>
      </c>
      <c r="C3818" t="s">
        <v>11075</v>
      </c>
      <c r="D3818" t="s">
        <v>15</v>
      </c>
      <c r="E3818" t="s">
        <v>28</v>
      </c>
      <c r="F3818" t="s">
        <v>29</v>
      </c>
      <c r="G3818" t="s">
        <v>31</v>
      </c>
      <c r="H3818">
        <f>Cleaned_Data!K3818</f>
        <v>2.12</v>
      </c>
      <c r="I3818" t="str">
        <f t="shared" si="177"/>
        <v>YES</v>
      </c>
      <c r="J3818">
        <f>Cleaned_Data!J3818</f>
        <v>8</v>
      </c>
      <c r="K3818" t="str">
        <f t="shared" si="178"/>
        <v>2024-08</v>
      </c>
      <c r="L3818">
        <f t="shared" si="179"/>
        <v>0</v>
      </c>
    </row>
    <row r="3819" spans="1:12">
      <c r="A3819" t="s">
        <v>11076</v>
      </c>
      <c r="B3819" t="s">
        <v>11077</v>
      </c>
      <c r="C3819" t="s">
        <v>11078</v>
      </c>
      <c r="D3819" t="s">
        <v>23</v>
      </c>
      <c r="E3819" t="s">
        <v>24</v>
      </c>
      <c r="F3819" t="s">
        <v>41</v>
      </c>
      <c r="G3819" t="s">
        <v>19</v>
      </c>
      <c r="H3819">
        <f>Cleaned_Data!K3819</f>
        <v>35.770000000000003</v>
      </c>
      <c r="I3819" t="str">
        <f t="shared" si="177"/>
        <v>NO</v>
      </c>
      <c r="J3819">
        <f>Cleaned_Data!J3819</f>
        <v>24</v>
      </c>
      <c r="K3819" t="str">
        <f t="shared" si="178"/>
        <v>2024-02</v>
      </c>
      <c r="L3819">
        <f t="shared" si="179"/>
        <v>11.770000000000003</v>
      </c>
    </row>
    <row r="3820" spans="1:12">
      <c r="A3820" t="s">
        <v>11079</v>
      </c>
      <c r="B3820" t="s">
        <v>11080</v>
      </c>
      <c r="C3820" t="s">
        <v>11081</v>
      </c>
      <c r="D3820" t="s">
        <v>23</v>
      </c>
      <c r="E3820" t="s">
        <v>54</v>
      </c>
      <c r="F3820" t="s">
        <v>29</v>
      </c>
      <c r="G3820" t="s">
        <v>19</v>
      </c>
      <c r="H3820">
        <f>Cleaned_Data!K3820</f>
        <v>69.77</v>
      </c>
      <c r="I3820" t="str">
        <f t="shared" si="177"/>
        <v>NO</v>
      </c>
      <c r="J3820">
        <f>Cleaned_Data!J3820</f>
        <v>24</v>
      </c>
      <c r="K3820" t="str">
        <f t="shared" si="178"/>
        <v>2024-11</v>
      </c>
      <c r="L3820">
        <f t="shared" si="179"/>
        <v>45.769999999999996</v>
      </c>
    </row>
    <row r="3821" spans="1:12">
      <c r="A3821" t="s">
        <v>11082</v>
      </c>
      <c r="B3821" t="s">
        <v>11083</v>
      </c>
      <c r="C3821" t="s">
        <v>11084</v>
      </c>
      <c r="D3821" t="s">
        <v>23</v>
      </c>
      <c r="E3821" t="s">
        <v>16</v>
      </c>
      <c r="F3821" t="s">
        <v>36</v>
      </c>
      <c r="G3821" t="s">
        <v>31</v>
      </c>
      <c r="H3821">
        <f>Cleaned_Data!K3821</f>
        <v>61.5</v>
      </c>
      <c r="I3821" t="str">
        <f t="shared" si="177"/>
        <v>NO</v>
      </c>
      <c r="J3821">
        <f>Cleaned_Data!J3821</f>
        <v>24</v>
      </c>
      <c r="K3821" t="str">
        <f t="shared" si="178"/>
        <v>2024-01</v>
      </c>
      <c r="L3821">
        <f t="shared" si="179"/>
        <v>37.5</v>
      </c>
    </row>
    <row r="3822" spans="1:12">
      <c r="A3822" t="s">
        <v>11085</v>
      </c>
      <c r="B3822" t="s">
        <v>11086</v>
      </c>
      <c r="C3822" t="s">
        <v>11087</v>
      </c>
      <c r="D3822" t="s">
        <v>15</v>
      </c>
      <c r="E3822" t="s">
        <v>24</v>
      </c>
      <c r="F3822" t="s">
        <v>60</v>
      </c>
      <c r="G3822" t="s">
        <v>19</v>
      </c>
      <c r="H3822">
        <f>Cleaned_Data!K3822</f>
        <v>3.96</v>
      </c>
      <c r="I3822" t="str">
        <f t="shared" si="177"/>
        <v>YES</v>
      </c>
      <c r="J3822">
        <f>Cleaned_Data!J3822</f>
        <v>8</v>
      </c>
      <c r="K3822" t="str">
        <f t="shared" si="178"/>
        <v>2024-05</v>
      </c>
      <c r="L3822">
        <f t="shared" si="179"/>
        <v>0</v>
      </c>
    </row>
    <row r="3823" spans="1:12">
      <c r="A3823" t="s">
        <v>11088</v>
      </c>
      <c r="B3823" t="s">
        <v>11089</v>
      </c>
      <c r="C3823" t="s">
        <v>11090</v>
      </c>
      <c r="D3823" t="s">
        <v>15</v>
      </c>
      <c r="E3823" t="s">
        <v>16</v>
      </c>
      <c r="F3823" t="s">
        <v>60</v>
      </c>
      <c r="G3823" t="s">
        <v>19</v>
      </c>
      <c r="H3823">
        <f>Cleaned_Data!K3823</f>
        <v>4.84</v>
      </c>
      <c r="I3823" t="str">
        <f t="shared" si="177"/>
        <v>YES</v>
      </c>
      <c r="J3823">
        <f>Cleaned_Data!J3823</f>
        <v>8</v>
      </c>
      <c r="K3823" t="str">
        <f t="shared" si="178"/>
        <v>2024-05</v>
      </c>
      <c r="L3823">
        <f t="shared" si="179"/>
        <v>0</v>
      </c>
    </row>
    <row r="3824" spans="1:12">
      <c r="A3824" t="s">
        <v>11091</v>
      </c>
      <c r="B3824" t="s">
        <v>11092</v>
      </c>
      <c r="C3824" t="s">
        <v>11093</v>
      </c>
      <c r="D3824" t="s">
        <v>23</v>
      </c>
      <c r="E3824" t="s">
        <v>16</v>
      </c>
      <c r="F3824" t="s">
        <v>17</v>
      </c>
      <c r="G3824" t="s">
        <v>31</v>
      </c>
      <c r="H3824">
        <f>Cleaned_Data!K3824</f>
        <v>14.65</v>
      </c>
      <c r="I3824" t="str">
        <f t="shared" si="177"/>
        <v>YES</v>
      </c>
      <c r="J3824">
        <f>Cleaned_Data!J3824</f>
        <v>24</v>
      </c>
      <c r="K3824" t="str">
        <f t="shared" si="178"/>
        <v>2024-10</v>
      </c>
      <c r="L3824">
        <f t="shared" si="179"/>
        <v>0</v>
      </c>
    </row>
    <row r="3825" spans="1:12">
      <c r="A3825" t="s">
        <v>11094</v>
      </c>
      <c r="B3825" t="s">
        <v>11095</v>
      </c>
      <c r="C3825" t="s">
        <v>11096</v>
      </c>
      <c r="D3825" t="s">
        <v>23</v>
      </c>
      <c r="E3825" t="s">
        <v>28</v>
      </c>
      <c r="F3825" t="s">
        <v>29</v>
      </c>
      <c r="G3825" t="s">
        <v>19</v>
      </c>
      <c r="H3825">
        <f>Cleaned_Data!K3825</f>
        <v>57.83</v>
      </c>
      <c r="I3825" t="str">
        <f t="shared" si="177"/>
        <v>NO</v>
      </c>
      <c r="J3825">
        <f>Cleaned_Data!J3825</f>
        <v>24</v>
      </c>
      <c r="K3825" t="str">
        <f t="shared" si="178"/>
        <v>2024-02</v>
      </c>
      <c r="L3825">
        <f t="shared" si="179"/>
        <v>33.83</v>
      </c>
    </row>
    <row r="3826" spans="1:12">
      <c r="A3826" t="s">
        <v>11097</v>
      </c>
      <c r="B3826" t="s">
        <v>11098</v>
      </c>
      <c r="C3826" t="s">
        <v>11099</v>
      </c>
      <c r="D3826" t="s">
        <v>23</v>
      </c>
      <c r="E3826" t="s">
        <v>28</v>
      </c>
      <c r="F3826" t="s">
        <v>17</v>
      </c>
      <c r="G3826" t="s">
        <v>31</v>
      </c>
      <c r="H3826">
        <f>Cleaned_Data!K3826</f>
        <v>17.72</v>
      </c>
      <c r="I3826" t="str">
        <f t="shared" si="177"/>
        <v>YES</v>
      </c>
      <c r="J3826">
        <f>Cleaned_Data!J3826</f>
        <v>24</v>
      </c>
      <c r="K3826" t="str">
        <f t="shared" si="178"/>
        <v>2024-10</v>
      </c>
      <c r="L3826">
        <f t="shared" si="179"/>
        <v>0</v>
      </c>
    </row>
    <row r="3827" spans="1:12">
      <c r="A3827" t="s">
        <v>11100</v>
      </c>
      <c r="B3827" t="s">
        <v>11101</v>
      </c>
      <c r="C3827" t="s">
        <v>11102</v>
      </c>
      <c r="D3827" t="s">
        <v>15</v>
      </c>
      <c r="E3827" t="s">
        <v>24</v>
      </c>
      <c r="F3827" t="s">
        <v>41</v>
      </c>
      <c r="G3827" t="s">
        <v>31</v>
      </c>
      <c r="H3827">
        <f>Cleaned_Data!K3827</f>
        <v>8.51</v>
      </c>
      <c r="I3827" t="str">
        <f t="shared" si="177"/>
        <v>NO</v>
      </c>
      <c r="J3827">
        <f>Cleaned_Data!J3827</f>
        <v>8</v>
      </c>
      <c r="K3827" t="str">
        <f t="shared" si="178"/>
        <v>2024-01</v>
      </c>
      <c r="L3827">
        <f t="shared" si="179"/>
        <v>0.50999999999999979</v>
      </c>
    </row>
    <row r="3828" spans="1:12">
      <c r="A3828" t="s">
        <v>11103</v>
      </c>
      <c r="B3828" t="s">
        <v>11104</v>
      </c>
      <c r="C3828" t="s">
        <v>11105</v>
      </c>
      <c r="D3828" t="s">
        <v>15</v>
      </c>
      <c r="E3828" t="s">
        <v>28</v>
      </c>
      <c r="F3828" t="s">
        <v>36</v>
      </c>
      <c r="G3828" t="s">
        <v>31</v>
      </c>
      <c r="H3828">
        <f>Cleaned_Data!K3828</f>
        <v>2.14</v>
      </c>
      <c r="I3828" t="str">
        <f t="shared" si="177"/>
        <v>YES</v>
      </c>
      <c r="J3828">
        <f>Cleaned_Data!J3828</f>
        <v>8</v>
      </c>
      <c r="K3828" t="str">
        <f t="shared" si="178"/>
        <v>2024-05</v>
      </c>
      <c r="L3828">
        <f t="shared" si="179"/>
        <v>0</v>
      </c>
    </row>
    <row r="3829" spans="1:12">
      <c r="A3829" t="s">
        <v>11106</v>
      </c>
      <c r="B3829" t="s">
        <v>11107</v>
      </c>
      <c r="C3829" t="s">
        <v>11108</v>
      </c>
      <c r="D3829" t="s">
        <v>15</v>
      </c>
      <c r="E3829" t="s">
        <v>24</v>
      </c>
      <c r="F3829" t="s">
        <v>60</v>
      </c>
      <c r="G3829" t="s">
        <v>19</v>
      </c>
      <c r="H3829">
        <f>Cleaned_Data!K3829</f>
        <v>3.51</v>
      </c>
      <c r="I3829" t="str">
        <f t="shared" si="177"/>
        <v>YES</v>
      </c>
      <c r="J3829">
        <f>Cleaned_Data!J3829</f>
        <v>8</v>
      </c>
      <c r="K3829" t="str">
        <f t="shared" si="178"/>
        <v>2024-10</v>
      </c>
      <c r="L3829">
        <f t="shared" si="179"/>
        <v>0</v>
      </c>
    </row>
    <row r="3830" spans="1:12">
      <c r="A3830" t="s">
        <v>11109</v>
      </c>
      <c r="B3830" t="s">
        <v>11110</v>
      </c>
      <c r="D3830" t="s">
        <v>15</v>
      </c>
      <c r="E3830" t="s">
        <v>54</v>
      </c>
      <c r="F3830" t="s">
        <v>60</v>
      </c>
      <c r="G3830" t="s">
        <v>63</v>
      </c>
      <c r="H3830">
        <f>Cleaned_Data!K3830</f>
        <v>0</v>
      </c>
      <c r="I3830" t="str">
        <f t="shared" si="177"/>
        <v/>
      </c>
      <c r="J3830">
        <f>Cleaned_Data!J3830</f>
        <v>8</v>
      </c>
      <c r="K3830" t="str">
        <f t="shared" si="178"/>
        <v>2024-02</v>
      </c>
      <c r="L3830">
        <f t="shared" si="179"/>
        <v>0</v>
      </c>
    </row>
    <row r="3831" spans="1:12">
      <c r="A3831" t="s">
        <v>11111</v>
      </c>
      <c r="B3831" t="s">
        <v>11112</v>
      </c>
      <c r="C3831" t="s">
        <v>11113</v>
      </c>
      <c r="D3831" t="s">
        <v>23</v>
      </c>
      <c r="E3831" t="s">
        <v>16</v>
      </c>
      <c r="F3831" t="s">
        <v>60</v>
      </c>
      <c r="G3831" t="s">
        <v>31</v>
      </c>
      <c r="H3831">
        <f>Cleaned_Data!K3831</f>
        <v>9.98</v>
      </c>
      <c r="I3831" t="str">
        <f t="shared" si="177"/>
        <v>YES</v>
      </c>
      <c r="J3831">
        <f>Cleaned_Data!J3831</f>
        <v>24</v>
      </c>
      <c r="K3831" t="str">
        <f t="shared" si="178"/>
        <v>2024-04</v>
      </c>
      <c r="L3831">
        <f t="shared" si="179"/>
        <v>0</v>
      </c>
    </row>
    <row r="3832" spans="1:12">
      <c r="A3832" t="s">
        <v>11114</v>
      </c>
      <c r="B3832" t="s">
        <v>11115</v>
      </c>
      <c r="C3832" t="s">
        <v>11116</v>
      </c>
      <c r="D3832" t="s">
        <v>15</v>
      </c>
      <c r="E3832" t="s">
        <v>59</v>
      </c>
      <c r="F3832" t="s">
        <v>60</v>
      </c>
      <c r="G3832" t="s">
        <v>19</v>
      </c>
      <c r="H3832">
        <f>Cleaned_Data!K3832</f>
        <v>7.44</v>
      </c>
      <c r="I3832" t="str">
        <f t="shared" si="177"/>
        <v>YES</v>
      </c>
      <c r="J3832">
        <f>Cleaned_Data!J3832</f>
        <v>8</v>
      </c>
      <c r="K3832" t="str">
        <f t="shared" si="178"/>
        <v>2024-09</v>
      </c>
      <c r="L3832">
        <f t="shared" si="179"/>
        <v>0</v>
      </c>
    </row>
    <row r="3833" spans="1:12">
      <c r="A3833" t="s">
        <v>11117</v>
      </c>
      <c r="B3833" t="s">
        <v>11118</v>
      </c>
      <c r="C3833" t="s">
        <v>11119</v>
      </c>
      <c r="D3833" t="s">
        <v>23</v>
      </c>
      <c r="E3833" t="s">
        <v>16</v>
      </c>
      <c r="F3833" t="s">
        <v>29</v>
      </c>
      <c r="G3833" t="s">
        <v>31</v>
      </c>
      <c r="H3833">
        <f>Cleaned_Data!K3833</f>
        <v>4.3600000000000003</v>
      </c>
      <c r="I3833" t="str">
        <f t="shared" si="177"/>
        <v>YES</v>
      </c>
      <c r="J3833">
        <f>Cleaned_Data!J3833</f>
        <v>24</v>
      </c>
      <c r="K3833" t="str">
        <f t="shared" si="178"/>
        <v>2024-04</v>
      </c>
      <c r="L3833">
        <f t="shared" si="179"/>
        <v>0</v>
      </c>
    </row>
    <row r="3834" spans="1:12">
      <c r="A3834" t="s">
        <v>11120</v>
      </c>
      <c r="B3834" t="s">
        <v>11121</v>
      </c>
      <c r="C3834" t="s">
        <v>11122</v>
      </c>
      <c r="D3834" t="s">
        <v>23</v>
      </c>
      <c r="E3834" t="s">
        <v>28</v>
      </c>
      <c r="F3834" t="s">
        <v>60</v>
      </c>
      <c r="G3834" t="s">
        <v>19</v>
      </c>
      <c r="H3834">
        <f>Cleaned_Data!K3834</f>
        <v>8.99</v>
      </c>
      <c r="I3834" t="str">
        <f t="shared" si="177"/>
        <v>YES</v>
      </c>
      <c r="J3834">
        <f>Cleaned_Data!J3834</f>
        <v>24</v>
      </c>
      <c r="K3834" t="str">
        <f t="shared" si="178"/>
        <v>2024-09</v>
      </c>
      <c r="L3834">
        <f t="shared" si="179"/>
        <v>0</v>
      </c>
    </row>
    <row r="3835" spans="1:12">
      <c r="A3835" t="s">
        <v>11123</v>
      </c>
      <c r="B3835" t="s">
        <v>11124</v>
      </c>
      <c r="C3835" t="s">
        <v>11125</v>
      </c>
      <c r="D3835" t="s">
        <v>35</v>
      </c>
      <c r="E3835" t="s">
        <v>24</v>
      </c>
      <c r="F3835" t="s">
        <v>60</v>
      </c>
      <c r="G3835" t="s">
        <v>19</v>
      </c>
      <c r="H3835">
        <f>Cleaned_Data!K3835</f>
        <v>13.13</v>
      </c>
      <c r="I3835" t="str">
        <f t="shared" si="177"/>
        <v>YES</v>
      </c>
      <c r="J3835">
        <f>Cleaned_Data!J3835</f>
        <v>48</v>
      </c>
      <c r="K3835" t="str">
        <f t="shared" si="178"/>
        <v>2024-09</v>
      </c>
      <c r="L3835">
        <f t="shared" si="179"/>
        <v>0</v>
      </c>
    </row>
    <row r="3836" spans="1:12">
      <c r="A3836" t="s">
        <v>11126</v>
      </c>
      <c r="B3836" t="s">
        <v>11127</v>
      </c>
      <c r="C3836" t="s">
        <v>11128</v>
      </c>
      <c r="D3836" t="s">
        <v>23</v>
      </c>
      <c r="E3836" t="s">
        <v>54</v>
      </c>
      <c r="F3836" t="s">
        <v>60</v>
      </c>
      <c r="G3836" t="s">
        <v>19</v>
      </c>
      <c r="H3836">
        <f>Cleaned_Data!K3836</f>
        <v>20.97</v>
      </c>
      <c r="I3836" t="str">
        <f t="shared" si="177"/>
        <v>YES</v>
      </c>
      <c r="J3836">
        <f>Cleaned_Data!J3836</f>
        <v>24</v>
      </c>
      <c r="K3836" t="str">
        <f t="shared" si="178"/>
        <v>2024-02</v>
      </c>
      <c r="L3836">
        <f t="shared" si="179"/>
        <v>0</v>
      </c>
    </row>
    <row r="3837" spans="1:12">
      <c r="A3837" t="s">
        <v>11129</v>
      </c>
      <c r="B3837" t="s">
        <v>11130</v>
      </c>
      <c r="C3837" t="s">
        <v>11131</v>
      </c>
      <c r="D3837" t="s">
        <v>23</v>
      </c>
      <c r="E3837" t="s">
        <v>28</v>
      </c>
      <c r="F3837" t="s">
        <v>17</v>
      </c>
      <c r="G3837" t="s">
        <v>19</v>
      </c>
      <c r="H3837">
        <f>Cleaned_Data!K3837</f>
        <v>2.87</v>
      </c>
      <c r="I3837" t="str">
        <f t="shared" si="177"/>
        <v>YES</v>
      </c>
      <c r="J3837">
        <f>Cleaned_Data!J3837</f>
        <v>24</v>
      </c>
      <c r="K3837" t="str">
        <f t="shared" si="178"/>
        <v>2024-12</v>
      </c>
      <c r="L3837">
        <f t="shared" si="179"/>
        <v>0</v>
      </c>
    </row>
    <row r="3838" spans="1:12">
      <c r="A3838" t="s">
        <v>11132</v>
      </c>
      <c r="B3838" t="s">
        <v>11133</v>
      </c>
      <c r="C3838" t="s">
        <v>11134</v>
      </c>
      <c r="D3838" t="s">
        <v>23</v>
      </c>
      <c r="E3838" t="s">
        <v>16</v>
      </c>
      <c r="F3838" t="s">
        <v>41</v>
      </c>
      <c r="G3838" t="s">
        <v>31</v>
      </c>
      <c r="H3838">
        <f>Cleaned_Data!K3838</f>
        <v>16.29</v>
      </c>
      <c r="I3838" t="str">
        <f t="shared" si="177"/>
        <v>YES</v>
      </c>
      <c r="J3838">
        <f>Cleaned_Data!J3838</f>
        <v>24</v>
      </c>
      <c r="K3838" t="str">
        <f t="shared" si="178"/>
        <v>2024-08</v>
      </c>
      <c r="L3838">
        <f t="shared" si="179"/>
        <v>0</v>
      </c>
    </row>
    <row r="3839" spans="1:12">
      <c r="A3839" t="s">
        <v>11135</v>
      </c>
      <c r="B3839" t="s">
        <v>11136</v>
      </c>
      <c r="C3839" t="s">
        <v>11137</v>
      </c>
      <c r="D3839" t="s">
        <v>15</v>
      </c>
      <c r="E3839" t="s">
        <v>28</v>
      </c>
      <c r="F3839" t="s">
        <v>41</v>
      </c>
      <c r="G3839" t="s">
        <v>31</v>
      </c>
      <c r="H3839">
        <f>Cleaned_Data!K3839</f>
        <v>5.36</v>
      </c>
      <c r="I3839" t="str">
        <f t="shared" si="177"/>
        <v>YES</v>
      </c>
      <c r="J3839">
        <f>Cleaned_Data!J3839</f>
        <v>8</v>
      </c>
      <c r="K3839" t="str">
        <f t="shared" si="178"/>
        <v>2024-02</v>
      </c>
      <c r="L3839">
        <f t="shared" si="179"/>
        <v>0</v>
      </c>
    </row>
    <row r="3840" spans="1:12">
      <c r="A3840" t="s">
        <v>11138</v>
      </c>
      <c r="B3840" t="s">
        <v>11139</v>
      </c>
      <c r="C3840" t="s">
        <v>11140</v>
      </c>
      <c r="D3840" t="s">
        <v>23</v>
      </c>
      <c r="E3840" t="s">
        <v>59</v>
      </c>
      <c r="F3840" t="s">
        <v>41</v>
      </c>
      <c r="G3840" t="s">
        <v>19</v>
      </c>
      <c r="H3840">
        <f>Cleaned_Data!K3840</f>
        <v>63.99</v>
      </c>
      <c r="I3840" t="str">
        <f t="shared" si="177"/>
        <v>NO</v>
      </c>
      <c r="J3840">
        <f>Cleaned_Data!J3840</f>
        <v>24</v>
      </c>
      <c r="K3840" t="str">
        <f t="shared" si="178"/>
        <v>2024-09</v>
      </c>
      <c r="L3840">
        <f t="shared" si="179"/>
        <v>39.99</v>
      </c>
    </row>
    <row r="3841" spans="1:12">
      <c r="A3841" t="s">
        <v>11141</v>
      </c>
      <c r="B3841" t="s">
        <v>11142</v>
      </c>
      <c r="C3841" t="s">
        <v>11143</v>
      </c>
      <c r="D3841" t="s">
        <v>23</v>
      </c>
      <c r="E3841" t="s">
        <v>24</v>
      </c>
      <c r="F3841" t="s">
        <v>60</v>
      </c>
      <c r="G3841" t="s">
        <v>31</v>
      </c>
      <c r="H3841">
        <f>Cleaned_Data!K3841</f>
        <v>17.309999999999999</v>
      </c>
      <c r="I3841" t="str">
        <f t="shared" si="177"/>
        <v>YES</v>
      </c>
      <c r="J3841">
        <f>Cleaned_Data!J3841</f>
        <v>24</v>
      </c>
      <c r="K3841" t="str">
        <f t="shared" si="178"/>
        <v>2024-07</v>
      </c>
      <c r="L3841">
        <f t="shared" si="179"/>
        <v>0</v>
      </c>
    </row>
    <row r="3842" spans="1:12">
      <c r="A3842" t="s">
        <v>11144</v>
      </c>
      <c r="B3842" t="s">
        <v>11145</v>
      </c>
      <c r="C3842" t="s">
        <v>11146</v>
      </c>
      <c r="D3842" t="s">
        <v>15</v>
      </c>
      <c r="E3842" t="s">
        <v>24</v>
      </c>
      <c r="F3842" t="s">
        <v>41</v>
      </c>
      <c r="G3842" t="s">
        <v>19</v>
      </c>
      <c r="H3842">
        <f>Cleaned_Data!K3842</f>
        <v>3.2</v>
      </c>
      <c r="I3842" t="str">
        <f t="shared" ref="I3842:I3905" si="180">IF(OR(G3842="Resolved", G3842="Closed"), IF(AND(H3842&lt;&gt;"", H3842&lt;=J3842), "YES", "NO"), "")</f>
        <v>YES</v>
      </c>
      <c r="J3842">
        <f>Cleaned_Data!J3842</f>
        <v>8</v>
      </c>
      <c r="K3842" t="str">
        <f t="shared" ref="K3842:K3905" si="181">LEFT(B3842, 7)</f>
        <v>2024-05</v>
      </c>
      <c r="L3842">
        <f t="shared" ref="L3842:L3905" si="182">IF(I3842="NO", H3842-J3842, 0)</f>
        <v>0</v>
      </c>
    </row>
    <row r="3843" spans="1:12">
      <c r="A3843" t="s">
        <v>11147</v>
      </c>
      <c r="B3843" t="s">
        <v>11148</v>
      </c>
      <c r="C3843" t="s">
        <v>11149</v>
      </c>
      <c r="D3843" t="s">
        <v>35</v>
      </c>
      <c r="E3843" t="s">
        <v>28</v>
      </c>
      <c r="F3843" t="s">
        <v>17</v>
      </c>
      <c r="G3843" t="s">
        <v>31</v>
      </c>
      <c r="H3843">
        <f>Cleaned_Data!K3843</f>
        <v>29.14</v>
      </c>
      <c r="I3843" t="str">
        <f t="shared" si="180"/>
        <v>YES</v>
      </c>
      <c r="J3843">
        <f>Cleaned_Data!J3843</f>
        <v>48</v>
      </c>
      <c r="K3843" t="str">
        <f t="shared" si="181"/>
        <v>2024-04</v>
      </c>
      <c r="L3843">
        <f t="shared" si="182"/>
        <v>0</v>
      </c>
    </row>
    <row r="3844" spans="1:12">
      <c r="A3844" t="s">
        <v>11150</v>
      </c>
      <c r="B3844" t="s">
        <v>11151</v>
      </c>
      <c r="C3844" t="s">
        <v>11152</v>
      </c>
      <c r="D3844" t="s">
        <v>35</v>
      </c>
      <c r="E3844" t="s">
        <v>28</v>
      </c>
      <c r="F3844" t="s">
        <v>17</v>
      </c>
      <c r="G3844" t="s">
        <v>31</v>
      </c>
      <c r="H3844">
        <f>Cleaned_Data!K3844</f>
        <v>35.159999999999997</v>
      </c>
      <c r="I3844" t="str">
        <f t="shared" si="180"/>
        <v>YES</v>
      </c>
      <c r="J3844">
        <f>Cleaned_Data!J3844</f>
        <v>48</v>
      </c>
      <c r="K3844" t="str">
        <f t="shared" si="181"/>
        <v>2024-05</v>
      </c>
      <c r="L3844">
        <f t="shared" si="182"/>
        <v>0</v>
      </c>
    </row>
    <row r="3845" spans="1:12">
      <c r="A3845" t="s">
        <v>11153</v>
      </c>
      <c r="B3845" t="s">
        <v>11154</v>
      </c>
      <c r="C3845" t="s">
        <v>11155</v>
      </c>
      <c r="D3845" t="s">
        <v>23</v>
      </c>
      <c r="E3845" t="s">
        <v>54</v>
      </c>
      <c r="F3845" t="s">
        <v>17</v>
      </c>
      <c r="G3845" t="s">
        <v>19</v>
      </c>
      <c r="H3845">
        <f>Cleaned_Data!K3845</f>
        <v>6.83</v>
      </c>
      <c r="I3845" t="str">
        <f t="shared" si="180"/>
        <v>YES</v>
      </c>
      <c r="J3845">
        <f>Cleaned_Data!J3845</f>
        <v>24</v>
      </c>
      <c r="K3845" t="str">
        <f t="shared" si="181"/>
        <v>2024-06</v>
      </c>
      <c r="L3845">
        <f t="shared" si="182"/>
        <v>0</v>
      </c>
    </row>
    <row r="3846" spans="1:12">
      <c r="A3846" t="s">
        <v>11156</v>
      </c>
      <c r="B3846" t="s">
        <v>11157</v>
      </c>
      <c r="C3846" t="s">
        <v>11158</v>
      </c>
      <c r="D3846" t="s">
        <v>35</v>
      </c>
      <c r="E3846" t="s">
        <v>24</v>
      </c>
      <c r="F3846" t="s">
        <v>17</v>
      </c>
      <c r="G3846" t="s">
        <v>31</v>
      </c>
      <c r="H3846">
        <f>Cleaned_Data!K3846</f>
        <v>13.12</v>
      </c>
      <c r="I3846" t="str">
        <f t="shared" si="180"/>
        <v>YES</v>
      </c>
      <c r="J3846">
        <f>Cleaned_Data!J3846</f>
        <v>48</v>
      </c>
      <c r="K3846" t="str">
        <f t="shared" si="181"/>
        <v>2024-10</v>
      </c>
      <c r="L3846">
        <f t="shared" si="182"/>
        <v>0</v>
      </c>
    </row>
    <row r="3847" spans="1:12">
      <c r="A3847" t="s">
        <v>11159</v>
      </c>
      <c r="B3847" t="s">
        <v>11160</v>
      </c>
      <c r="C3847" t="s">
        <v>11161</v>
      </c>
      <c r="D3847" t="s">
        <v>23</v>
      </c>
      <c r="E3847" t="s">
        <v>59</v>
      </c>
      <c r="F3847" t="s">
        <v>29</v>
      </c>
      <c r="G3847" t="s">
        <v>19</v>
      </c>
      <c r="H3847">
        <f>Cleaned_Data!K3847</f>
        <v>6.58</v>
      </c>
      <c r="I3847" t="str">
        <f t="shared" si="180"/>
        <v>YES</v>
      </c>
      <c r="J3847">
        <f>Cleaned_Data!J3847</f>
        <v>24</v>
      </c>
      <c r="K3847" t="str">
        <f t="shared" si="181"/>
        <v>2024-03</v>
      </c>
      <c r="L3847">
        <f t="shared" si="182"/>
        <v>0</v>
      </c>
    </row>
    <row r="3848" spans="1:12">
      <c r="A3848" t="s">
        <v>11162</v>
      </c>
      <c r="B3848" t="s">
        <v>11163</v>
      </c>
      <c r="C3848" t="s">
        <v>11164</v>
      </c>
      <c r="D3848" t="s">
        <v>15</v>
      </c>
      <c r="E3848" t="s">
        <v>16</v>
      </c>
      <c r="F3848" t="s">
        <v>29</v>
      </c>
      <c r="G3848" t="s">
        <v>19</v>
      </c>
      <c r="H3848">
        <f>Cleaned_Data!K3848</f>
        <v>4.87</v>
      </c>
      <c r="I3848" t="str">
        <f t="shared" si="180"/>
        <v>YES</v>
      </c>
      <c r="J3848">
        <f>Cleaned_Data!J3848</f>
        <v>8</v>
      </c>
      <c r="K3848" t="str">
        <f t="shared" si="181"/>
        <v>2024-03</v>
      </c>
      <c r="L3848">
        <f t="shared" si="182"/>
        <v>0</v>
      </c>
    </row>
    <row r="3849" spans="1:12">
      <c r="A3849" t="s">
        <v>11165</v>
      </c>
      <c r="B3849" t="s">
        <v>11166</v>
      </c>
      <c r="C3849" t="s">
        <v>11167</v>
      </c>
      <c r="D3849" t="s">
        <v>23</v>
      </c>
      <c r="E3849" t="s">
        <v>16</v>
      </c>
      <c r="F3849" t="s">
        <v>60</v>
      </c>
      <c r="G3849" t="s">
        <v>19</v>
      </c>
      <c r="H3849">
        <f>Cleaned_Data!K3849</f>
        <v>13.59</v>
      </c>
      <c r="I3849" t="str">
        <f t="shared" si="180"/>
        <v>YES</v>
      </c>
      <c r="J3849">
        <f>Cleaned_Data!J3849</f>
        <v>24</v>
      </c>
      <c r="K3849" t="str">
        <f t="shared" si="181"/>
        <v>2024-09</v>
      </c>
      <c r="L3849">
        <f t="shared" si="182"/>
        <v>0</v>
      </c>
    </row>
    <row r="3850" spans="1:12">
      <c r="A3850" t="s">
        <v>11168</v>
      </c>
      <c r="B3850" t="s">
        <v>11169</v>
      </c>
      <c r="D3850" t="s">
        <v>35</v>
      </c>
      <c r="E3850" t="s">
        <v>24</v>
      </c>
      <c r="F3850" t="s">
        <v>41</v>
      </c>
      <c r="G3850" t="s">
        <v>46</v>
      </c>
      <c r="H3850">
        <f>Cleaned_Data!K3850</f>
        <v>0</v>
      </c>
      <c r="I3850" t="str">
        <f t="shared" si="180"/>
        <v/>
      </c>
      <c r="J3850">
        <f>Cleaned_Data!J3850</f>
        <v>48</v>
      </c>
      <c r="K3850" t="str">
        <f t="shared" si="181"/>
        <v>2024-10</v>
      </c>
      <c r="L3850">
        <f t="shared" si="182"/>
        <v>0</v>
      </c>
    </row>
    <row r="3851" spans="1:12">
      <c r="A3851" t="s">
        <v>11170</v>
      </c>
      <c r="B3851" t="s">
        <v>11171</v>
      </c>
      <c r="C3851" t="s">
        <v>11172</v>
      </c>
      <c r="D3851" t="s">
        <v>15</v>
      </c>
      <c r="E3851" t="s">
        <v>28</v>
      </c>
      <c r="F3851" t="s">
        <v>41</v>
      </c>
      <c r="G3851" t="s">
        <v>31</v>
      </c>
      <c r="H3851">
        <f>Cleaned_Data!K3851</f>
        <v>2.14</v>
      </c>
      <c r="I3851" t="str">
        <f t="shared" si="180"/>
        <v>YES</v>
      </c>
      <c r="J3851">
        <f>Cleaned_Data!J3851</f>
        <v>8</v>
      </c>
      <c r="K3851" t="str">
        <f t="shared" si="181"/>
        <v>2024-10</v>
      </c>
      <c r="L3851">
        <f t="shared" si="182"/>
        <v>0</v>
      </c>
    </row>
    <row r="3852" spans="1:12">
      <c r="A3852" t="s">
        <v>11173</v>
      </c>
      <c r="B3852" t="s">
        <v>11174</v>
      </c>
      <c r="C3852" t="s">
        <v>11175</v>
      </c>
      <c r="D3852" t="s">
        <v>23</v>
      </c>
      <c r="E3852" t="s">
        <v>54</v>
      </c>
      <c r="F3852" t="s">
        <v>29</v>
      </c>
      <c r="G3852" t="s">
        <v>19</v>
      </c>
      <c r="H3852">
        <f>Cleaned_Data!K3852</f>
        <v>3.59</v>
      </c>
      <c r="I3852" t="str">
        <f t="shared" si="180"/>
        <v>YES</v>
      </c>
      <c r="J3852">
        <f>Cleaned_Data!J3852</f>
        <v>24</v>
      </c>
      <c r="K3852" t="str">
        <f t="shared" si="181"/>
        <v>2024-05</v>
      </c>
      <c r="L3852">
        <f t="shared" si="182"/>
        <v>0</v>
      </c>
    </row>
    <row r="3853" spans="1:12">
      <c r="A3853" t="s">
        <v>11176</v>
      </c>
      <c r="B3853" t="s">
        <v>11177</v>
      </c>
      <c r="C3853" t="s">
        <v>11178</v>
      </c>
      <c r="D3853" t="s">
        <v>158</v>
      </c>
      <c r="E3853" t="s">
        <v>24</v>
      </c>
      <c r="F3853" t="s">
        <v>36</v>
      </c>
      <c r="G3853" t="s">
        <v>19</v>
      </c>
      <c r="H3853">
        <f>Cleaned_Data!K3853</f>
        <v>9.7200000000000006</v>
      </c>
      <c r="I3853" t="str">
        <f t="shared" si="180"/>
        <v>NO</v>
      </c>
      <c r="J3853">
        <f>Cleaned_Data!J3853</f>
        <v>4</v>
      </c>
      <c r="K3853" t="str">
        <f t="shared" si="181"/>
        <v>2024-09</v>
      </c>
      <c r="L3853">
        <f t="shared" si="182"/>
        <v>5.7200000000000006</v>
      </c>
    </row>
    <row r="3854" spans="1:12">
      <c r="A3854" t="s">
        <v>11179</v>
      </c>
      <c r="B3854" t="s">
        <v>11180</v>
      </c>
      <c r="C3854" t="s">
        <v>11181</v>
      </c>
      <c r="D3854" t="s">
        <v>35</v>
      </c>
      <c r="E3854" t="s">
        <v>24</v>
      </c>
      <c r="F3854" t="s">
        <v>29</v>
      </c>
      <c r="G3854" t="s">
        <v>31</v>
      </c>
      <c r="H3854">
        <f>Cleaned_Data!K3854</f>
        <v>34</v>
      </c>
      <c r="I3854" t="str">
        <f t="shared" si="180"/>
        <v>YES</v>
      </c>
      <c r="J3854">
        <f>Cleaned_Data!J3854</f>
        <v>48</v>
      </c>
      <c r="K3854" t="str">
        <f t="shared" si="181"/>
        <v>2024-09</v>
      </c>
      <c r="L3854">
        <f t="shared" si="182"/>
        <v>0</v>
      </c>
    </row>
    <row r="3855" spans="1:12">
      <c r="A3855" t="s">
        <v>11182</v>
      </c>
      <c r="B3855" t="s">
        <v>11183</v>
      </c>
      <c r="C3855" t="s">
        <v>11184</v>
      </c>
      <c r="D3855" t="s">
        <v>35</v>
      </c>
      <c r="E3855" t="s">
        <v>28</v>
      </c>
      <c r="F3855" t="s">
        <v>41</v>
      </c>
      <c r="G3855" t="s">
        <v>31</v>
      </c>
      <c r="H3855">
        <f>Cleaned_Data!K3855</f>
        <v>100.9</v>
      </c>
      <c r="I3855" t="str">
        <f t="shared" si="180"/>
        <v>NO</v>
      </c>
      <c r="J3855">
        <f>Cleaned_Data!J3855</f>
        <v>48</v>
      </c>
      <c r="K3855" t="str">
        <f t="shared" si="181"/>
        <v>2024-08</v>
      </c>
      <c r="L3855">
        <f t="shared" si="182"/>
        <v>52.900000000000006</v>
      </c>
    </row>
    <row r="3856" spans="1:12">
      <c r="A3856" t="s">
        <v>11185</v>
      </c>
      <c r="B3856" t="s">
        <v>11186</v>
      </c>
      <c r="C3856" t="s">
        <v>11187</v>
      </c>
      <c r="D3856" t="s">
        <v>158</v>
      </c>
      <c r="E3856" t="s">
        <v>16</v>
      </c>
      <c r="F3856" t="s">
        <v>29</v>
      </c>
      <c r="G3856" t="s">
        <v>19</v>
      </c>
      <c r="H3856">
        <f>Cleaned_Data!K3856</f>
        <v>2.64</v>
      </c>
      <c r="I3856" t="str">
        <f t="shared" si="180"/>
        <v>YES</v>
      </c>
      <c r="J3856">
        <f>Cleaned_Data!J3856</f>
        <v>4</v>
      </c>
      <c r="K3856" t="str">
        <f t="shared" si="181"/>
        <v>2024-12</v>
      </c>
      <c r="L3856">
        <f t="shared" si="182"/>
        <v>0</v>
      </c>
    </row>
    <row r="3857" spans="1:12">
      <c r="A3857" t="s">
        <v>11188</v>
      </c>
      <c r="B3857" t="s">
        <v>11189</v>
      </c>
      <c r="C3857" t="s">
        <v>11190</v>
      </c>
      <c r="D3857" t="s">
        <v>35</v>
      </c>
      <c r="E3857" t="s">
        <v>24</v>
      </c>
      <c r="F3857" t="s">
        <v>17</v>
      </c>
      <c r="G3857" t="s">
        <v>19</v>
      </c>
      <c r="H3857">
        <f>Cleaned_Data!K3857</f>
        <v>119.68</v>
      </c>
      <c r="I3857" t="str">
        <f t="shared" si="180"/>
        <v>NO</v>
      </c>
      <c r="J3857">
        <f>Cleaned_Data!J3857</f>
        <v>48</v>
      </c>
      <c r="K3857" t="str">
        <f t="shared" si="181"/>
        <v>2024-05</v>
      </c>
      <c r="L3857">
        <f t="shared" si="182"/>
        <v>71.680000000000007</v>
      </c>
    </row>
    <row r="3858" spans="1:12">
      <c r="A3858" t="s">
        <v>11191</v>
      </c>
      <c r="B3858" t="s">
        <v>11192</v>
      </c>
      <c r="D3858" t="s">
        <v>23</v>
      </c>
      <c r="E3858" t="s">
        <v>16</v>
      </c>
      <c r="F3858" t="s">
        <v>60</v>
      </c>
      <c r="G3858" t="s">
        <v>46</v>
      </c>
      <c r="H3858">
        <f>Cleaned_Data!K3858</f>
        <v>0</v>
      </c>
      <c r="I3858" t="str">
        <f t="shared" si="180"/>
        <v/>
      </c>
      <c r="J3858">
        <f>Cleaned_Data!J3858</f>
        <v>24</v>
      </c>
      <c r="K3858" t="str">
        <f t="shared" si="181"/>
        <v>2024-08</v>
      </c>
      <c r="L3858">
        <f t="shared" si="182"/>
        <v>0</v>
      </c>
    </row>
    <row r="3859" spans="1:12">
      <c r="A3859" t="s">
        <v>11193</v>
      </c>
      <c r="B3859" t="s">
        <v>11194</v>
      </c>
      <c r="C3859" t="s">
        <v>11195</v>
      </c>
      <c r="D3859" t="s">
        <v>15</v>
      </c>
      <c r="E3859" t="s">
        <v>28</v>
      </c>
      <c r="F3859" t="s">
        <v>36</v>
      </c>
      <c r="G3859" t="s">
        <v>31</v>
      </c>
      <c r="H3859">
        <f>Cleaned_Data!K3859</f>
        <v>5.01</v>
      </c>
      <c r="I3859" t="str">
        <f t="shared" si="180"/>
        <v>YES</v>
      </c>
      <c r="J3859">
        <f>Cleaned_Data!J3859</f>
        <v>8</v>
      </c>
      <c r="K3859" t="str">
        <f t="shared" si="181"/>
        <v>2024-04</v>
      </c>
      <c r="L3859">
        <f t="shared" si="182"/>
        <v>0</v>
      </c>
    </row>
    <row r="3860" spans="1:12">
      <c r="A3860" t="s">
        <v>11196</v>
      </c>
      <c r="B3860" t="s">
        <v>11197</v>
      </c>
      <c r="C3860" t="s">
        <v>11198</v>
      </c>
      <c r="D3860" t="s">
        <v>15</v>
      </c>
      <c r="E3860" t="s">
        <v>28</v>
      </c>
      <c r="F3860" t="s">
        <v>17</v>
      </c>
      <c r="G3860" t="s">
        <v>19</v>
      </c>
      <c r="H3860">
        <f>Cleaned_Data!K3860</f>
        <v>18.46</v>
      </c>
      <c r="I3860" t="str">
        <f t="shared" si="180"/>
        <v>NO</v>
      </c>
      <c r="J3860">
        <f>Cleaned_Data!J3860</f>
        <v>8</v>
      </c>
      <c r="K3860" t="str">
        <f t="shared" si="181"/>
        <v>2024-06</v>
      </c>
      <c r="L3860">
        <f t="shared" si="182"/>
        <v>10.46</v>
      </c>
    </row>
    <row r="3861" spans="1:12">
      <c r="A3861" t="s">
        <v>11199</v>
      </c>
      <c r="B3861" t="s">
        <v>11200</v>
      </c>
      <c r="D3861" t="s">
        <v>15</v>
      </c>
      <c r="E3861" t="s">
        <v>16</v>
      </c>
      <c r="F3861" t="s">
        <v>17</v>
      </c>
      <c r="G3861" t="s">
        <v>63</v>
      </c>
      <c r="H3861">
        <f>Cleaned_Data!K3861</f>
        <v>0</v>
      </c>
      <c r="I3861" t="str">
        <f t="shared" si="180"/>
        <v/>
      </c>
      <c r="J3861">
        <f>Cleaned_Data!J3861</f>
        <v>8</v>
      </c>
      <c r="K3861" t="str">
        <f t="shared" si="181"/>
        <v>2024-05</v>
      </c>
      <c r="L3861">
        <f t="shared" si="182"/>
        <v>0</v>
      </c>
    </row>
    <row r="3862" spans="1:12">
      <c r="A3862" t="s">
        <v>11201</v>
      </c>
      <c r="B3862" t="s">
        <v>11202</v>
      </c>
      <c r="C3862" t="s">
        <v>11203</v>
      </c>
      <c r="D3862" t="s">
        <v>23</v>
      </c>
      <c r="E3862" t="s">
        <v>28</v>
      </c>
      <c r="F3862" t="s">
        <v>29</v>
      </c>
      <c r="G3862" t="s">
        <v>19</v>
      </c>
      <c r="H3862">
        <f>Cleaned_Data!K3862</f>
        <v>22.73</v>
      </c>
      <c r="I3862" t="str">
        <f t="shared" si="180"/>
        <v>YES</v>
      </c>
      <c r="J3862">
        <f>Cleaned_Data!J3862</f>
        <v>24</v>
      </c>
      <c r="K3862" t="str">
        <f t="shared" si="181"/>
        <v>2024-04</v>
      </c>
      <c r="L3862">
        <f t="shared" si="182"/>
        <v>0</v>
      </c>
    </row>
    <row r="3863" spans="1:12">
      <c r="A3863" t="s">
        <v>11204</v>
      </c>
      <c r="B3863" t="s">
        <v>11205</v>
      </c>
      <c r="C3863" t="s">
        <v>11206</v>
      </c>
      <c r="D3863" t="s">
        <v>23</v>
      </c>
      <c r="E3863" t="s">
        <v>28</v>
      </c>
      <c r="F3863" t="s">
        <v>17</v>
      </c>
      <c r="G3863" t="s">
        <v>19</v>
      </c>
      <c r="H3863">
        <f>Cleaned_Data!K3863</f>
        <v>13.54</v>
      </c>
      <c r="I3863" t="str">
        <f t="shared" si="180"/>
        <v>YES</v>
      </c>
      <c r="J3863">
        <f>Cleaned_Data!J3863</f>
        <v>24</v>
      </c>
      <c r="K3863" t="str">
        <f t="shared" si="181"/>
        <v>2024-02</v>
      </c>
      <c r="L3863">
        <f t="shared" si="182"/>
        <v>0</v>
      </c>
    </row>
    <row r="3864" spans="1:12">
      <c r="A3864" t="s">
        <v>11207</v>
      </c>
      <c r="B3864" t="s">
        <v>11208</v>
      </c>
      <c r="C3864" t="s">
        <v>11209</v>
      </c>
      <c r="D3864" t="s">
        <v>15</v>
      </c>
      <c r="E3864" t="s">
        <v>16</v>
      </c>
      <c r="F3864" t="s">
        <v>41</v>
      </c>
      <c r="G3864" t="s">
        <v>19</v>
      </c>
      <c r="H3864">
        <f>Cleaned_Data!K3864</f>
        <v>6.26</v>
      </c>
      <c r="I3864" t="str">
        <f t="shared" si="180"/>
        <v>YES</v>
      </c>
      <c r="J3864">
        <f>Cleaned_Data!J3864</f>
        <v>8</v>
      </c>
      <c r="K3864" t="str">
        <f t="shared" si="181"/>
        <v>2024-12</v>
      </c>
      <c r="L3864">
        <f t="shared" si="182"/>
        <v>0</v>
      </c>
    </row>
    <row r="3865" spans="1:12">
      <c r="A3865" t="s">
        <v>11210</v>
      </c>
      <c r="B3865" t="s">
        <v>11211</v>
      </c>
      <c r="D3865" t="s">
        <v>15</v>
      </c>
      <c r="E3865" t="s">
        <v>28</v>
      </c>
      <c r="F3865" t="s">
        <v>41</v>
      </c>
      <c r="G3865" t="s">
        <v>63</v>
      </c>
      <c r="H3865">
        <f>Cleaned_Data!K3865</f>
        <v>0</v>
      </c>
      <c r="I3865" t="str">
        <f t="shared" si="180"/>
        <v/>
      </c>
      <c r="J3865">
        <f>Cleaned_Data!J3865</f>
        <v>8</v>
      </c>
      <c r="K3865" t="str">
        <f t="shared" si="181"/>
        <v>2024-06</v>
      </c>
      <c r="L3865">
        <f t="shared" si="182"/>
        <v>0</v>
      </c>
    </row>
    <row r="3866" spans="1:12">
      <c r="A3866" t="s">
        <v>11212</v>
      </c>
      <c r="B3866" t="s">
        <v>11213</v>
      </c>
      <c r="C3866" t="s">
        <v>11214</v>
      </c>
      <c r="D3866" t="s">
        <v>23</v>
      </c>
      <c r="E3866" t="s">
        <v>16</v>
      </c>
      <c r="F3866" t="s">
        <v>41</v>
      </c>
      <c r="G3866" t="s">
        <v>19</v>
      </c>
      <c r="H3866">
        <f>Cleaned_Data!K3866</f>
        <v>9.3000000000000007</v>
      </c>
      <c r="I3866" t="str">
        <f t="shared" si="180"/>
        <v>YES</v>
      </c>
      <c r="J3866">
        <f>Cleaned_Data!J3866</f>
        <v>24</v>
      </c>
      <c r="K3866" t="str">
        <f t="shared" si="181"/>
        <v>2024-02</v>
      </c>
      <c r="L3866">
        <f t="shared" si="182"/>
        <v>0</v>
      </c>
    </row>
    <row r="3867" spans="1:12">
      <c r="A3867" t="s">
        <v>11215</v>
      </c>
      <c r="B3867" t="s">
        <v>11216</v>
      </c>
      <c r="C3867" t="s">
        <v>11217</v>
      </c>
      <c r="D3867" t="s">
        <v>23</v>
      </c>
      <c r="E3867" t="s">
        <v>16</v>
      </c>
      <c r="F3867" t="s">
        <v>41</v>
      </c>
      <c r="G3867" t="s">
        <v>19</v>
      </c>
      <c r="H3867">
        <f>Cleaned_Data!K3867</f>
        <v>18.489999999999998</v>
      </c>
      <c r="I3867" t="str">
        <f t="shared" si="180"/>
        <v>YES</v>
      </c>
      <c r="J3867">
        <f>Cleaned_Data!J3867</f>
        <v>24</v>
      </c>
      <c r="K3867" t="str">
        <f t="shared" si="181"/>
        <v>2024-04</v>
      </c>
      <c r="L3867">
        <f t="shared" si="182"/>
        <v>0</v>
      </c>
    </row>
    <row r="3868" spans="1:12">
      <c r="A3868" t="s">
        <v>11218</v>
      </c>
      <c r="B3868" t="s">
        <v>11219</v>
      </c>
      <c r="C3868" t="s">
        <v>11220</v>
      </c>
      <c r="D3868" t="s">
        <v>35</v>
      </c>
      <c r="E3868" t="s">
        <v>24</v>
      </c>
      <c r="F3868" t="s">
        <v>60</v>
      </c>
      <c r="G3868" t="s">
        <v>19</v>
      </c>
      <c r="H3868">
        <f>Cleaned_Data!K3868</f>
        <v>17.149999999999999</v>
      </c>
      <c r="I3868" t="str">
        <f t="shared" si="180"/>
        <v>YES</v>
      </c>
      <c r="J3868">
        <f>Cleaned_Data!J3868</f>
        <v>48</v>
      </c>
      <c r="K3868" t="str">
        <f t="shared" si="181"/>
        <v>2024-10</v>
      </c>
      <c r="L3868">
        <f t="shared" si="182"/>
        <v>0</v>
      </c>
    </row>
    <row r="3869" spans="1:12">
      <c r="A3869" t="s">
        <v>11221</v>
      </c>
      <c r="B3869" t="s">
        <v>11222</v>
      </c>
      <c r="C3869" t="s">
        <v>11223</v>
      </c>
      <c r="D3869" t="s">
        <v>15</v>
      </c>
      <c r="E3869" t="s">
        <v>28</v>
      </c>
      <c r="F3869" t="s">
        <v>17</v>
      </c>
      <c r="G3869" t="s">
        <v>19</v>
      </c>
      <c r="H3869">
        <f>Cleaned_Data!K3869</f>
        <v>3.53</v>
      </c>
      <c r="I3869" t="str">
        <f t="shared" si="180"/>
        <v>YES</v>
      </c>
      <c r="J3869">
        <f>Cleaned_Data!J3869</f>
        <v>8</v>
      </c>
      <c r="K3869" t="str">
        <f t="shared" si="181"/>
        <v>2024-08</v>
      </c>
      <c r="L3869">
        <f t="shared" si="182"/>
        <v>0</v>
      </c>
    </row>
    <row r="3870" spans="1:12">
      <c r="A3870" t="s">
        <v>11224</v>
      </c>
      <c r="B3870" t="s">
        <v>11225</v>
      </c>
      <c r="C3870" t="s">
        <v>11226</v>
      </c>
      <c r="D3870" t="s">
        <v>23</v>
      </c>
      <c r="E3870" t="s">
        <v>28</v>
      </c>
      <c r="F3870" t="s">
        <v>36</v>
      </c>
      <c r="G3870" t="s">
        <v>19</v>
      </c>
      <c r="H3870">
        <f>Cleaned_Data!K3870</f>
        <v>19.829999999999998</v>
      </c>
      <c r="I3870" t="str">
        <f t="shared" si="180"/>
        <v>YES</v>
      </c>
      <c r="J3870">
        <f>Cleaned_Data!J3870</f>
        <v>24</v>
      </c>
      <c r="K3870" t="str">
        <f t="shared" si="181"/>
        <v>2024-03</v>
      </c>
      <c r="L3870">
        <f t="shared" si="182"/>
        <v>0</v>
      </c>
    </row>
    <row r="3871" spans="1:12">
      <c r="A3871" t="s">
        <v>11227</v>
      </c>
      <c r="B3871" t="s">
        <v>11228</v>
      </c>
      <c r="C3871" t="s">
        <v>11229</v>
      </c>
      <c r="D3871" t="s">
        <v>158</v>
      </c>
      <c r="E3871" t="s">
        <v>59</v>
      </c>
      <c r="F3871" t="s">
        <v>36</v>
      </c>
      <c r="G3871" t="s">
        <v>19</v>
      </c>
      <c r="H3871">
        <f>Cleaned_Data!K3871</f>
        <v>1.6</v>
      </c>
      <c r="I3871" t="str">
        <f t="shared" si="180"/>
        <v>YES</v>
      </c>
      <c r="J3871">
        <f>Cleaned_Data!J3871</f>
        <v>4</v>
      </c>
      <c r="K3871" t="str">
        <f t="shared" si="181"/>
        <v>2024-07</v>
      </c>
      <c r="L3871">
        <f t="shared" si="182"/>
        <v>0</v>
      </c>
    </row>
    <row r="3872" spans="1:12">
      <c r="A3872" t="s">
        <v>11230</v>
      </c>
      <c r="B3872" t="s">
        <v>11231</v>
      </c>
      <c r="C3872" t="s">
        <v>11232</v>
      </c>
      <c r="D3872" t="s">
        <v>158</v>
      </c>
      <c r="E3872" t="s">
        <v>28</v>
      </c>
      <c r="F3872" t="s">
        <v>36</v>
      </c>
      <c r="G3872" t="s">
        <v>31</v>
      </c>
      <c r="H3872">
        <f>Cleaned_Data!K3872</f>
        <v>0.71</v>
      </c>
      <c r="I3872" t="str">
        <f t="shared" si="180"/>
        <v>YES</v>
      </c>
      <c r="J3872">
        <f>Cleaned_Data!J3872</f>
        <v>4</v>
      </c>
      <c r="K3872" t="str">
        <f t="shared" si="181"/>
        <v>2024-07</v>
      </c>
      <c r="L3872">
        <f t="shared" si="182"/>
        <v>0</v>
      </c>
    </row>
    <row r="3873" spans="1:12">
      <c r="A3873" t="s">
        <v>11233</v>
      </c>
      <c r="B3873" t="s">
        <v>11234</v>
      </c>
      <c r="C3873" t="s">
        <v>11235</v>
      </c>
      <c r="D3873" t="s">
        <v>23</v>
      </c>
      <c r="E3873" t="s">
        <v>24</v>
      </c>
      <c r="F3873" t="s">
        <v>41</v>
      </c>
      <c r="G3873" t="s">
        <v>31</v>
      </c>
      <c r="H3873">
        <f>Cleaned_Data!K3873</f>
        <v>20.29</v>
      </c>
      <c r="I3873" t="str">
        <f t="shared" si="180"/>
        <v>YES</v>
      </c>
      <c r="J3873">
        <f>Cleaned_Data!J3873</f>
        <v>24</v>
      </c>
      <c r="K3873" t="str">
        <f t="shared" si="181"/>
        <v>2024-08</v>
      </c>
      <c r="L3873">
        <f t="shared" si="182"/>
        <v>0</v>
      </c>
    </row>
    <row r="3874" spans="1:12">
      <c r="A3874" t="s">
        <v>11236</v>
      </c>
      <c r="B3874" t="s">
        <v>11237</v>
      </c>
      <c r="C3874" t="s">
        <v>11238</v>
      </c>
      <c r="D3874" t="s">
        <v>158</v>
      </c>
      <c r="E3874" t="s">
        <v>16</v>
      </c>
      <c r="F3874" t="s">
        <v>60</v>
      </c>
      <c r="G3874" t="s">
        <v>31</v>
      </c>
      <c r="H3874">
        <f>Cleaned_Data!K3874</f>
        <v>2.21</v>
      </c>
      <c r="I3874" t="str">
        <f t="shared" si="180"/>
        <v>YES</v>
      </c>
      <c r="J3874">
        <f>Cleaned_Data!J3874</f>
        <v>4</v>
      </c>
      <c r="K3874" t="str">
        <f t="shared" si="181"/>
        <v>2024-08</v>
      </c>
      <c r="L3874">
        <f t="shared" si="182"/>
        <v>0</v>
      </c>
    </row>
    <row r="3875" spans="1:12">
      <c r="A3875" t="s">
        <v>11239</v>
      </c>
      <c r="B3875" t="s">
        <v>11240</v>
      </c>
      <c r="C3875" t="s">
        <v>11241</v>
      </c>
      <c r="D3875" t="s">
        <v>23</v>
      </c>
      <c r="E3875" t="s">
        <v>28</v>
      </c>
      <c r="F3875" t="s">
        <v>41</v>
      </c>
      <c r="G3875" t="s">
        <v>19</v>
      </c>
      <c r="H3875">
        <f>Cleaned_Data!K3875</f>
        <v>14.85</v>
      </c>
      <c r="I3875" t="str">
        <f t="shared" si="180"/>
        <v>YES</v>
      </c>
      <c r="J3875">
        <f>Cleaned_Data!J3875</f>
        <v>24</v>
      </c>
      <c r="K3875" t="str">
        <f t="shared" si="181"/>
        <v>2024-06</v>
      </c>
      <c r="L3875">
        <f t="shared" si="182"/>
        <v>0</v>
      </c>
    </row>
    <row r="3876" spans="1:12">
      <c r="A3876" t="s">
        <v>11242</v>
      </c>
      <c r="B3876" t="s">
        <v>11243</v>
      </c>
      <c r="D3876" t="s">
        <v>15</v>
      </c>
      <c r="E3876" t="s">
        <v>24</v>
      </c>
      <c r="F3876" t="s">
        <v>60</v>
      </c>
      <c r="G3876" t="s">
        <v>63</v>
      </c>
      <c r="H3876">
        <f>Cleaned_Data!K3876</f>
        <v>0</v>
      </c>
      <c r="I3876" t="str">
        <f t="shared" si="180"/>
        <v/>
      </c>
      <c r="J3876">
        <f>Cleaned_Data!J3876</f>
        <v>8</v>
      </c>
      <c r="K3876" t="str">
        <f t="shared" si="181"/>
        <v>2024-11</v>
      </c>
      <c r="L3876">
        <f t="shared" si="182"/>
        <v>0</v>
      </c>
    </row>
    <row r="3877" spans="1:12">
      <c r="A3877" t="s">
        <v>11244</v>
      </c>
      <c r="B3877" t="s">
        <v>11245</v>
      </c>
      <c r="C3877" t="s">
        <v>11246</v>
      </c>
      <c r="D3877" t="s">
        <v>35</v>
      </c>
      <c r="E3877" t="s">
        <v>28</v>
      </c>
      <c r="F3877" t="s">
        <v>41</v>
      </c>
      <c r="G3877" t="s">
        <v>19</v>
      </c>
      <c r="H3877">
        <f>Cleaned_Data!K3877</f>
        <v>11.07</v>
      </c>
      <c r="I3877" t="str">
        <f t="shared" si="180"/>
        <v>YES</v>
      </c>
      <c r="J3877">
        <f>Cleaned_Data!J3877</f>
        <v>48</v>
      </c>
      <c r="K3877" t="str">
        <f t="shared" si="181"/>
        <v>2024-11</v>
      </c>
      <c r="L3877">
        <f t="shared" si="182"/>
        <v>0</v>
      </c>
    </row>
    <row r="3878" spans="1:12">
      <c r="A3878" t="s">
        <v>11247</v>
      </c>
      <c r="B3878" t="s">
        <v>11248</v>
      </c>
      <c r="C3878" t="s">
        <v>11249</v>
      </c>
      <c r="D3878" t="s">
        <v>35</v>
      </c>
      <c r="E3878" t="s">
        <v>24</v>
      </c>
      <c r="F3878" t="s">
        <v>17</v>
      </c>
      <c r="G3878" t="s">
        <v>31</v>
      </c>
      <c r="H3878">
        <f>Cleaned_Data!K3878</f>
        <v>10.3</v>
      </c>
      <c r="I3878" t="str">
        <f t="shared" si="180"/>
        <v>YES</v>
      </c>
      <c r="J3878">
        <f>Cleaned_Data!J3878</f>
        <v>48</v>
      </c>
      <c r="K3878" t="str">
        <f t="shared" si="181"/>
        <v>2024-03</v>
      </c>
      <c r="L3878">
        <f t="shared" si="182"/>
        <v>0</v>
      </c>
    </row>
    <row r="3879" spans="1:12">
      <c r="A3879" t="s">
        <v>11250</v>
      </c>
      <c r="B3879" t="s">
        <v>11251</v>
      </c>
      <c r="C3879" t="s">
        <v>11252</v>
      </c>
      <c r="D3879" t="s">
        <v>23</v>
      </c>
      <c r="E3879" t="s">
        <v>28</v>
      </c>
      <c r="F3879" t="s">
        <v>36</v>
      </c>
      <c r="G3879" t="s">
        <v>19</v>
      </c>
      <c r="H3879">
        <f>Cleaned_Data!K3879</f>
        <v>21.49</v>
      </c>
      <c r="I3879" t="str">
        <f t="shared" si="180"/>
        <v>YES</v>
      </c>
      <c r="J3879">
        <f>Cleaned_Data!J3879</f>
        <v>24</v>
      </c>
      <c r="K3879" t="str">
        <f t="shared" si="181"/>
        <v>2024-11</v>
      </c>
      <c r="L3879">
        <f t="shared" si="182"/>
        <v>0</v>
      </c>
    </row>
    <row r="3880" spans="1:12">
      <c r="A3880" t="s">
        <v>11253</v>
      </c>
      <c r="B3880" t="s">
        <v>11254</v>
      </c>
      <c r="C3880" t="s">
        <v>11255</v>
      </c>
      <c r="D3880" t="s">
        <v>23</v>
      </c>
      <c r="E3880" t="s">
        <v>28</v>
      </c>
      <c r="F3880" t="s">
        <v>17</v>
      </c>
      <c r="G3880" t="s">
        <v>19</v>
      </c>
      <c r="H3880">
        <f>Cleaned_Data!K3880</f>
        <v>10.33</v>
      </c>
      <c r="I3880" t="str">
        <f t="shared" si="180"/>
        <v>YES</v>
      </c>
      <c r="J3880">
        <f>Cleaned_Data!J3880</f>
        <v>24</v>
      </c>
      <c r="K3880" t="str">
        <f t="shared" si="181"/>
        <v>2024-05</v>
      </c>
      <c r="L3880">
        <f t="shared" si="182"/>
        <v>0</v>
      </c>
    </row>
    <row r="3881" spans="1:12">
      <c r="A3881" t="s">
        <v>11256</v>
      </c>
      <c r="B3881" t="s">
        <v>11257</v>
      </c>
      <c r="C3881" t="s">
        <v>11258</v>
      </c>
      <c r="D3881" t="s">
        <v>35</v>
      </c>
      <c r="E3881" t="s">
        <v>59</v>
      </c>
      <c r="F3881" t="s">
        <v>17</v>
      </c>
      <c r="G3881" t="s">
        <v>31</v>
      </c>
      <c r="H3881">
        <f>Cleaned_Data!K3881</f>
        <v>34.21</v>
      </c>
      <c r="I3881" t="str">
        <f t="shared" si="180"/>
        <v>YES</v>
      </c>
      <c r="J3881">
        <f>Cleaned_Data!J3881</f>
        <v>48</v>
      </c>
      <c r="K3881" t="str">
        <f t="shared" si="181"/>
        <v>2024-09</v>
      </c>
      <c r="L3881">
        <f t="shared" si="182"/>
        <v>0</v>
      </c>
    </row>
    <row r="3882" spans="1:12">
      <c r="A3882" t="s">
        <v>11259</v>
      </c>
      <c r="B3882" t="s">
        <v>11260</v>
      </c>
      <c r="C3882" t="s">
        <v>11261</v>
      </c>
      <c r="D3882" t="s">
        <v>158</v>
      </c>
      <c r="E3882" t="s">
        <v>28</v>
      </c>
      <c r="F3882" t="s">
        <v>29</v>
      </c>
      <c r="G3882" t="s">
        <v>19</v>
      </c>
      <c r="H3882">
        <f>Cleaned_Data!K3882</f>
        <v>0.72</v>
      </c>
      <c r="I3882" t="str">
        <f t="shared" si="180"/>
        <v>YES</v>
      </c>
      <c r="J3882">
        <f>Cleaned_Data!J3882</f>
        <v>4</v>
      </c>
      <c r="K3882" t="str">
        <f t="shared" si="181"/>
        <v>2024-12</v>
      </c>
      <c r="L3882">
        <f t="shared" si="182"/>
        <v>0</v>
      </c>
    </row>
    <row r="3883" spans="1:12">
      <c r="A3883" t="s">
        <v>11262</v>
      </c>
      <c r="B3883" t="s">
        <v>11263</v>
      </c>
      <c r="C3883" t="s">
        <v>11264</v>
      </c>
      <c r="D3883" t="s">
        <v>23</v>
      </c>
      <c r="E3883" t="s">
        <v>16</v>
      </c>
      <c r="F3883" t="s">
        <v>36</v>
      </c>
      <c r="G3883" t="s">
        <v>19</v>
      </c>
      <c r="H3883">
        <f>Cleaned_Data!K3883</f>
        <v>17.29</v>
      </c>
      <c r="I3883" t="str">
        <f t="shared" si="180"/>
        <v>YES</v>
      </c>
      <c r="J3883">
        <f>Cleaned_Data!J3883</f>
        <v>24</v>
      </c>
      <c r="K3883" t="str">
        <f t="shared" si="181"/>
        <v>2024-08</v>
      </c>
      <c r="L3883">
        <f t="shared" si="182"/>
        <v>0</v>
      </c>
    </row>
    <row r="3884" spans="1:12">
      <c r="A3884" t="s">
        <v>11265</v>
      </c>
      <c r="B3884" t="s">
        <v>11266</v>
      </c>
      <c r="D3884" t="s">
        <v>23</v>
      </c>
      <c r="E3884" t="s">
        <v>28</v>
      </c>
      <c r="F3884" t="s">
        <v>60</v>
      </c>
      <c r="G3884" t="s">
        <v>63</v>
      </c>
      <c r="H3884">
        <f>Cleaned_Data!K3884</f>
        <v>0</v>
      </c>
      <c r="I3884" t="str">
        <f t="shared" si="180"/>
        <v/>
      </c>
      <c r="J3884">
        <f>Cleaned_Data!J3884</f>
        <v>24</v>
      </c>
      <c r="K3884" t="str">
        <f t="shared" si="181"/>
        <v>2024-10</v>
      </c>
      <c r="L3884">
        <f t="shared" si="182"/>
        <v>0</v>
      </c>
    </row>
    <row r="3885" spans="1:12">
      <c r="A3885" t="s">
        <v>11267</v>
      </c>
      <c r="B3885" t="s">
        <v>11268</v>
      </c>
      <c r="C3885" t="s">
        <v>11269</v>
      </c>
      <c r="D3885" t="s">
        <v>158</v>
      </c>
      <c r="E3885" t="s">
        <v>28</v>
      </c>
      <c r="F3885" t="s">
        <v>60</v>
      </c>
      <c r="G3885" t="s">
        <v>19</v>
      </c>
      <c r="H3885">
        <f>Cleaned_Data!K3885</f>
        <v>2.85</v>
      </c>
      <c r="I3885" t="str">
        <f t="shared" si="180"/>
        <v>YES</v>
      </c>
      <c r="J3885">
        <f>Cleaned_Data!J3885</f>
        <v>4</v>
      </c>
      <c r="K3885" t="str">
        <f t="shared" si="181"/>
        <v>2024-03</v>
      </c>
      <c r="L3885">
        <f t="shared" si="182"/>
        <v>0</v>
      </c>
    </row>
    <row r="3886" spans="1:12">
      <c r="A3886" t="s">
        <v>11270</v>
      </c>
      <c r="B3886" t="s">
        <v>11271</v>
      </c>
      <c r="C3886" t="s">
        <v>11272</v>
      </c>
      <c r="D3886" t="s">
        <v>23</v>
      </c>
      <c r="E3886" t="s">
        <v>28</v>
      </c>
      <c r="F3886" t="s">
        <v>29</v>
      </c>
      <c r="G3886" t="s">
        <v>19</v>
      </c>
      <c r="H3886">
        <f>Cleaned_Data!K3886</f>
        <v>15.83</v>
      </c>
      <c r="I3886" t="str">
        <f t="shared" si="180"/>
        <v>YES</v>
      </c>
      <c r="J3886">
        <f>Cleaned_Data!J3886</f>
        <v>24</v>
      </c>
      <c r="K3886" t="str">
        <f t="shared" si="181"/>
        <v>2024-06</v>
      </c>
      <c r="L3886">
        <f t="shared" si="182"/>
        <v>0</v>
      </c>
    </row>
    <row r="3887" spans="1:12">
      <c r="A3887" t="s">
        <v>11273</v>
      </c>
      <c r="B3887" t="s">
        <v>11274</v>
      </c>
      <c r="C3887" t="s">
        <v>11275</v>
      </c>
      <c r="D3887" t="s">
        <v>35</v>
      </c>
      <c r="E3887" t="s">
        <v>16</v>
      </c>
      <c r="F3887" t="s">
        <v>36</v>
      </c>
      <c r="G3887" t="s">
        <v>31</v>
      </c>
      <c r="H3887">
        <f>Cleaned_Data!K3887</f>
        <v>28.09</v>
      </c>
      <c r="I3887" t="str">
        <f t="shared" si="180"/>
        <v>YES</v>
      </c>
      <c r="J3887">
        <f>Cleaned_Data!J3887</f>
        <v>48</v>
      </c>
      <c r="K3887" t="str">
        <f t="shared" si="181"/>
        <v>2024-08</v>
      </c>
      <c r="L3887">
        <f t="shared" si="182"/>
        <v>0</v>
      </c>
    </row>
    <row r="3888" spans="1:12">
      <c r="A3888" t="s">
        <v>11276</v>
      </c>
      <c r="B3888" t="s">
        <v>11277</v>
      </c>
      <c r="C3888" t="s">
        <v>11278</v>
      </c>
      <c r="D3888" t="s">
        <v>158</v>
      </c>
      <c r="E3888" t="s">
        <v>28</v>
      </c>
      <c r="F3888" t="s">
        <v>36</v>
      </c>
      <c r="G3888" t="s">
        <v>19</v>
      </c>
      <c r="H3888">
        <f>Cleaned_Data!K3888</f>
        <v>2.97</v>
      </c>
      <c r="I3888" t="str">
        <f t="shared" si="180"/>
        <v>YES</v>
      </c>
      <c r="J3888">
        <f>Cleaned_Data!J3888</f>
        <v>4</v>
      </c>
      <c r="K3888" t="str">
        <f t="shared" si="181"/>
        <v>2024-07</v>
      </c>
      <c r="L3888">
        <f t="shared" si="182"/>
        <v>0</v>
      </c>
    </row>
    <row r="3889" spans="1:12">
      <c r="A3889" t="s">
        <v>11279</v>
      </c>
      <c r="B3889" t="s">
        <v>11280</v>
      </c>
      <c r="C3889" t="s">
        <v>11281</v>
      </c>
      <c r="D3889" t="s">
        <v>23</v>
      </c>
      <c r="E3889" t="s">
        <v>28</v>
      </c>
      <c r="F3889" t="s">
        <v>41</v>
      </c>
      <c r="G3889" t="s">
        <v>31</v>
      </c>
      <c r="H3889">
        <f>Cleaned_Data!K3889</f>
        <v>66.849999999999994</v>
      </c>
      <c r="I3889" t="str">
        <f t="shared" si="180"/>
        <v>NO</v>
      </c>
      <c r="J3889">
        <f>Cleaned_Data!J3889</f>
        <v>24</v>
      </c>
      <c r="K3889" t="str">
        <f t="shared" si="181"/>
        <v>2024-11</v>
      </c>
      <c r="L3889">
        <f t="shared" si="182"/>
        <v>42.849999999999994</v>
      </c>
    </row>
    <row r="3890" spans="1:12">
      <c r="A3890" t="s">
        <v>11282</v>
      </c>
      <c r="B3890" t="s">
        <v>11283</v>
      </c>
      <c r="C3890" t="s">
        <v>11284</v>
      </c>
      <c r="D3890" t="s">
        <v>15</v>
      </c>
      <c r="E3890" t="s">
        <v>16</v>
      </c>
      <c r="F3890" t="s">
        <v>41</v>
      </c>
      <c r="G3890" t="s">
        <v>31</v>
      </c>
      <c r="H3890">
        <f>Cleaned_Data!K3890</f>
        <v>5.5</v>
      </c>
      <c r="I3890" t="str">
        <f t="shared" si="180"/>
        <v>YES</v>
      </c>
      <c r="J3890">
        <f>Cleaned_Data!J3890</f>
        <v>8</v>
      </c>
      <c r="K3890" t="str">
        <f t="shared" si="181"/>
        <v>2024-04</v>
      </c>
      <c r="L3890">
        <f t="shared" si="182"/>
        <v>0</v>
      </c>
    </row>
    <row r="3891" spans="1:12">
      <c r="A3891" t="s">
        <v>11285</v>
      </c>
      <c r="B3891" t="s">
        <v>11286</v>
      </c>
      <c r="C3891" t="s">
        <v>11287</v>
      </c>
      <c r="D3891" t="s">
        <v>15</v>
      </c>
      <c r="E3891" t="s">
        <v>16</v>
      </c>
      <c r="F3891" t="s">
        <v>60</v>
      </c>
      <c r="G3891" t="s">
        <v>19</v>
      </c>
      <c r="H3891">
        <f>Cleaned_Data!K3891</f>
        <v>2.59</v>
      </c>
      <c r="I3891" t="str">
        <f t="shared" si="180"/>
        <v>YES</v>
      </c>
      <c r="J3891">
        <f>Cleaned_Data!J3891</f>
        <v>8</v>
      </c>
      <c r="K3891" t="str">
        <f t="shared" si="181"/>
        <v>2024-02</v>
      </c>
      <c r="L3891">
        <f t="shared" si="182"/>
        <v>0</v>
      </c>
    </row>
    <row r="3892" spans="1:12">
      <c r="A3892" t="s">
        <v>11288</v>
      </c>
      <c r="B3892" t="s">
        <v>11289</v>
      </c>
      <c r="C3892" t="s">
        <v>11290</v>
      </c>
      <c r="D3892" t="s">
        <v>158</v>
      </c>
      <c r="E3892" t="s">
        <v>28</v>
      </c>
      <c r="F3892" t="s">
        <v>60</v>
      </c>
      <c r="G3892" t="s">
        <v>31</v>
      </c>
      <c r="H3892">
        <f>Cleaned_Data!K3892</f>
        <v>3.22</v>
      </c>
      <c r="I3892" t="str">
        <f t="shared" si="180"/>
        <v>YES</v>
      </c>
      <c r="J3892">
        <f>Cleaned_Data!J3892</f>
        <v>4</v>
      </c>
      <c r="K3892" t="str">
        <f t="shared" si="181"/>
        <v>2024-05</v>
      </c>
      <c r="L3892">
        <f t="shared" si="182"/>
        <v>0</v>
      </c>
    </row>
    <row r="3893" spans="1:12">
      <c r="A3893" t="s">
        <v>11291</v>
      </c>
      <c r="B3893" t="s">
        <v>11292</v>
      </c>
      <c r="C3893" t="s">
        <v>11293</v>
      </c>
      <c r="D3893" t="s">
        <v>23</v>
      </c>
      <c r="E3893" t="s">
        <v>28</v>
      </c>
      <c r="F3893" t="s">
        <v>41</v>
      </c>
      <c r="G3893" t="s">
        <v>19</v>
      </c>
      <c r="H3893">
        <f>Cleaned_Data!K3893</f>
        <v>13.77</v>
      </c>
      <c r="I3893" t="str">
        <f t="shared" si="180"/>
        <v>YES</v>
      </c>
      <c r="J3893">
        <f>Cleaned_Data!J3893</f>
        <v>24</v>
      </c>
      <c r="K3893" t="str">
        <f t="shared" si="181"/>
        <v>2024-01</v>
      </c>
      <c r="L3893">
        <f t="shared" si="182"/>
        <v>0</v>
      </c>
    </row>
    <row r="3894" spans="1:12">
      <c r="A3894" t="s">
        <v>11294</v>
      </c>
      <c r="B3894" t="s">
        <v>11295</v>
      </c>
      <c r="C3894" t="s">
        <v>11296</v>
      </c>
      <c r="D3894" t="s">
        <v>23</v>
      </c>
      <c r="E3894" t="s">
        <v>16</v>
      </c>
      <c r="F3894" t="s">
        <v>60</v>
      </c>
      <c r="G3894" t="s">
        <v>19</v>
      </c>
      <c r="H3894">
        <f>Cleaned_Data!K3894</f>
        <v>14.81</v>
      </c>
      <c r="I3894" t="str">
        <f t="shared" si="180"/>
        <v>YES</v>
      </c>
      <c r="J3894">
        <f>Cleaned_Data!J3894</f>
        <v>24</v>
      </c>
      <c r="K3894" t="str">
        <f t="shared" si="181"/>
        <v>2024-09</v>
      </c>
      <c r="L3894">
        <f t="shared" si="182"/>
        <v>0</v>
      </c>
    </row>
    <row r="3895" spans="1:12">
      <c r="A3895" t="s">
        <v>11297</v>
      </c>
      <c r="B3895" t="s">
        <v>11298</v>
      </c>
      <c r="C3895" t="s">
        <v>11299</v>
      </c>
      <c r="D3895" t="s">
        <v>15</v>
      </c>
      <c r="E3895" t="s">
        <v>54</v>
      </c>
      <c r="F3895" t="s">
        <v>36</v>
      </c>
      <c r="G3895" t="s">
        <v>31</v>
      </c>
      <c r="H3895">
        <f>Cleaned_Data!K3895</f>
        <v>6.64</v>
      </c>
      <c r="I3895" t="str">
        <f t="shared" si="180"/>
        <v>YES</v>
      </c>
      <c r="J3895">
        <f>Cleaned_Data!J3895</f>
        <v>8</v>
      </c>
      <c r="K3895" t="str">
        <f t="shared" si="181"/>
        <v>2024-04</v>
      </c>
      <c r="L3895">
        <f t="shared" si="182"/>
        <v>0</v>
      </c>
    </row>
    <row r="3896" spans="1:12">
      <c r="A3896" t="s">
        <v>11300</v>
      </c>
      <c r="B3896" t="s">
        <v>11301</v>
      </c>
      <c r="C3896" t="s">
        <v>11302</v>
      </c>
      <c r="D3896" t="s">
        <v>23</v>
      </c>
      <c r="E3896" t="s">
        <v>28</v>
      </c>
      <c r="F3896" t="s">
        <v>17</v>
      </c>
      <c r="G3896" t="s">
        <v>31</v>
      </c>
      <c r="H3896">
        <f>Cleaned_Data!K3896</f>
        <v>11.66</v>
      </c>
      <c r="I3896" t="str">
        <f t="shared" si="180"/>
        <v>YES</v>
      </c>
      <c r="J3896">
        <f>Cleaned_Data!J3896</f>
        <v>24</v>
      </c>
      <c r="K3896" t="str">
        <f t="shared" si="181"/>
        <v>2024-12</v>
      </c>
      <c r="L3896">
        <f t="shared" si="182"/>
        <v>0</v>
      </c>
    </row>
    <row r="3897" spans="1:12">
      <c r="A3897" t="s">
        <v>11303</v>
      </c>
      <c r="B3897" t="s">
        <v>11304</v>
      </c>
      <c r="C3897" t="s">
        <v>11305</v>
      </c>
      <c r="D3897" t="s">
        <v>158</v>
      </c>
      <c r="E3897" t="s">
        <v>54</v>
      </c>
      <c r="F3897" t="s">
        <v>29</v>
      </c>
      <c r="G3897" t="s">
        <v>19</v>
      </c>
      <c r="H3897">
        <f>Cleaned_Data!K3897</f>
        <v>3.31</v>
      </c>
      <c r="I3897" t="str">
        <f t="shared" si="180"/>
        <v>YES</v>
      </c>
      <c r="J3897">
        <f>Cleaned_Data!J3897</f>
        <v>4</v>
      </c>
      <c r="K3897" t="str">
        <f t="shared" si="181"/>
        <v>2024-08</v>
      </c>
      <c r="L3897">
        <f t="shared" si="182"/>
        <v>0</v>
      </c>
    </row>
    <row r="3898" spans="1:12">
      <c r="A3898" t="s">
        <v>11306</v>
      </c>
      <c r="B3898" t="s">
        <v>11307</v>
      </c>
      <c r="D3898" t="s">
        <v>23</v>
      </c>
      <c r="E3898" t="s">
        <v>54</v>
      </c>
      <c r="F3898" t="s">
        <v>36</v>
      </c>
      <c r="G3898" t="s">
        <v>46</v>
      </c>
      <c r="H3898">
        <f>Cleaned_Data!K3898</f>
        <v>0</v>
      </c>
      <c r="I3898" t="str">
        <f t="shared" si="180"/>
        <v/>
      </c>
      <c r="J3898">
        <f>Cleaned_Data!J3898</f>
        <v>24</v>
      </c>
      <c r="K3898" t="str">
        <f t="shared" si="181"/>
        <v>2024-02</v>
      </c>
      <c r="L3898">
        <f t="shared" si="182"/>
        <v>0</v>
      </c>
    </row>
    <row r="3899" spans="1:12">
      <c r="A3899" t="s">
        <v>11308</v>
      </c>
      <c r="B3899" t="s">
        <v>11309</v>
      </c>
      <c r="D3899" t="s">
        <v>23</v>
      </c>
      <c r="E3899" t="s">
        <v>16</v>
      </c>
      <c r="F3899" t="s">
        <v>29</v>
      </c>
      <c r="G3899" t="s">
        <v>63</v>
      </c>
      <c r="H3899">
        <f>Cleaned_Data!K3899</f>
        <v>0</v>
      </c>
      <c r="I3899" t="str">
        <f t="shared" si="180"/>
        <v/>
      </c>
      <c r="J3899">
        <f>Cleaned_Data!J3899</f>
        <v>24</v>
      </c>
      <c r="K3899" t="str">
        <f t="shared" si="181"/>
        <v>2024-09</v>
      </c>
      <c r="L3899">
        <f t="shared" si="182"/>
        <v>0</v>
      </c>
    </row>
    <row r="3900" spans="1:12">
      <c r="A3900" t="s">
        <v>11310</v>
      </c>
      <c r="B3900" t="s">
        <v>11311</v>
      </c>
      <c r="C3900" t="s">
        <v>11312</v>
      </c>
      <c r="D3900" t="s">
        <v>35</v>
      </c>
      <c r="E3900" t="s">
        <v>59</v>
      </c>
      <c r="F3900" t="s">
        <v>41</v>
      </c>
      <c r="G3900" t="s">
        <v>31</v>
      </c>
      <c r="H3900">
        <f>Cleaned_Data!K3900</f>
        <v>20.63</v>
      </c>
      <c r="I3900" t="str">
        <f t="shared" si="180"/>
        <v>YES</v>
      </c>
      <c r="J3900">
        <f>Cleaned_Data!J3900</f>
        <v>48</v>
      </c>
      <c r="K3900" t="str">
        <f t="shared" si="181"/>
        <v>2024-02</v>
      </c>
      <c r="L3900">
        <f t="shared" si="182"/>
        <v>0</v>
      </c>
    </row>
    <row r="3901" spans="1:12">
      <c r="A3901" t="s">
        <v>11313</v>
      </c>
      <c r="B3901" t="s">
        <v>11314</v>
      </c>
      <c r="C3901" t="s">
        <v>11315</v>
      </c>
      <c r="D3901" t="s">
        <v>23</v>
      </c>
      <c r="E3901" t="s">
        <v>28</v>
      </c>
      <c r="F3901" t="s">
        <v>60</v>
      </c>
      <c r="G3901" t="s">
        <v>19</v>
      </c>
      <c r="H3901">
        <f>Cleaned_Data!K3901</f>
        <v>8.69</v>
      </c>
      <c r="I3901" t="str">
        <f t="shared" si="180"/>
        <v>YES</v>
      </c>
      <c r="J3901">
        <f>Cleaned_Data!J3901</f>
        <v>24</v>
      </c>
      <c r="K3901" t="str">
        <f t="shared" si="181"/>
        <v>2024-05</v>
      </c>
      <c r="L3901">
        <f t="shared" si="182"/>
        <v>0</v>
      </c>
    </row>
    <row r="3902" spans="1:12">
      <c r="A3902" t="s">
        <v>11316</v>
      </c>
      <c r="B3902" t="s">
        <v>11317</v>
      </c>
      <c r="D3902" t="s">
        <v>35</v>
      </c>
      <c r="E3902" t="s">
        <v>28</v>
      </c>
      <c r="F3902" t="s">
        <v>60</v>
      </c>
      <c r="G3902" t="s">
        <v>63</v>
      </c>
      <c r="H3902">
        <f>Cleaned_Data!K3902</f>
        <v>0</v>
      </c>
      <c r="I3902" t="str">
        <f t="shared" si="180"/>
        <v/>
      </c>
      <c r="J3902">
        <f>Cleaned_Data!J3902</f>
        <v>48</v>
      </c>
      <c r="K3902" t="str">
        <f t="shared" si="181"/>
        <v>2024-04</v>
      </c>
      <c r="L3902">
        <f t="shared" si="182"/>
        <v>0</v>
      </c>
    </row>
    <row r="3903" spans="1:12">
      <c r="A3903" t="s">
        <v>11318</v>
      </c>
      <c r="B3903" t="s">
        <v>11319</v>
      </c>
      <c r="C3903" t="s">
        <v>11320</v>
      </c>
      <c r="D3903" t="s">
        <v>23</v>
      </c>
      <c r="E3903" t="s">
        <v>28</v>
      </c>
      <c r="F3903" t="s">
        <v>36</v>
      </c>
      <c r="G3903" t="s">
        <v>19</v>
      </c>
      <c r="H3903">
        <f>Cleaned_Data!K3903</f>
        <v>19.52</v>
      </c>
      <c r="I3903" t="str">
        <f t="shared" si="180"/>
        <v>YES</v>
      </c>
      <c r="J3903">
        <f>Cleaned_Data!J3903</f>
        <v>24</v>
      </c>
      <c r="K3903" t="str">
        <f t="shared" si="181"/>
        <v>2024-11</v>
      </c>
      <c r="L3903">
        <f t="shared" si="182"/>
        <v>0</v>
      </c>
    </row>
    <row r="3904" spans="1:12">
      <c r="A3904" t="s">
        <v>11321</v>
      </c>
      <c r="B3904" t="s">
        <v>11322</v>
      </c>
      <c r="C3904" t="s">
        <v>11323</v>
      </c>
      <c r="D3904" t="s">
        <v>23</v>
      </c>
      <c r="E3904" t="s">
        <v>24</v>
      </c>
      <c r="F3904" t="s">
        <v>36</v>
      </c>
      <c r="G3904" t="s">
        <v>31</v>
      </c>
      <c r="H3904">
        <f>Cleaned_Data!K3904</f>
        <v>5.0999999999999996</v>
      </c>
      <c r="I3904" t="str">
        <f t="shared" si="180"/>
        <v>YES</v>
      </c>
      <c r="J3904">
        <f>Cleaned_Data!J3904</f>
        <v>24</v>
      </c>
      <c r="K3904" t="str">
        <f t="shared" si="181"/>
        <v>2024-11</v>
      </c>
      <c r="L3904">
        <f t="shared" si="182"/>
        <v>0</v>
      </c>
    </row>
    <row r="3905" spans="1:12">
      <c r="A3905" t="s">
        <v>11324</v>
      </c>
      <c r="B3905" t="s">
        <v>11325</v>
      </c>
      <c r="C3905" t="s">
        <v>11326</v>
      </c>
      <c r="D3905" t="s">
        <v>15</v>
      </c>
      <c r="E3905" t="s">
        <v>24</v>
      </c>
      <c r="F3905" t="s">
        <v>17</v>
      </c>
      <c r="G3905" t="s">
        <v>19</v>
      </c>
      <c r="H3905">
        <f>Cleaned_Data!K3905</f>
        <v>5.85</v>
      </c>
      <c r="I3905" t="str">
        <f t="shared" si="180"/>
        <v>YES</v>
      </c>
      <c r="J3905">
        <f>Cleaned_Data!J3905</f>
        <v>8</v>
      </c>
      <c r="K3905" t="str">
        <f t="shared" si="181"/>
        <v>2024-12</v>
      </c>
      <c r="L3905">
        <f t="shared" si="182"/>
        <v>0</v>
      </c>
    </row>
    <row r="3906" spans="1:12">
      <c r="A3906" t="s">
        <v>11327</v>
      </c>
      <c r="B3906" t="s">
        <v>11328</v>
      </c>
      <c r="C3906" t="s">
        <v>11329</v>
      </c>
      <c r="D3906" t="s">
        <v>23</v>
      </c>
      <c r="E3906" t="s">
        <v>16</v>
      </c>
      <c r="F3906" t="s">
        <v>60</v>
      </c>
      <c r="G3906" t="s">
        <v>19</v>
      </c>
      <c r="H3906">
        <f>Cleaned_Data!K3906</f>
        <v>3.68</v>
      </c>
      <c r="I3906" t="str">
        <f t="shared" ref="I3906:I3969" si="183">IF(OR(G3906="Resolved", G3906="Closed"), IF(AND(H3906&lt;&gt;"", H3906&lt;=J3906), "YES", "NO"), "")</f>
        <v>YES</v>
      </c>
      <c r="J3906">
        <f>Cleaned_Data!J3906</f>
        <v>24</v>
      </c>
      <c r="K3906" t="str">
        <f t="shared" ref="K3906:K3969" si="184">LEFT(B3906, 7)</f>
        <v>2024-01</v>
      </c>
      <c r="L3906">
        <f t="shared" ref="L3906:L3969" si="185">IF(I3906="NO", H3906-J3906, 0)</f>
        <v>0</v>
      </c>
    </row>
    <row r="3907" spans="1:12">
      <c r="A3907" t="s">
        <v>11330</v>
      </c>
      <c r="B3907" t="s">
        <v>11331</v>
      </c>
      <c r="C3907" t="s">
        <v>11332</v>
      </c>
      <c r="D3907" t="s">
        <v>35</v>
      </c>
      <c r="E3907" t="s">
        <v>24</v>
      </c>
      <c r="F3907" t="s">
        <v>17</v>
      </c>
      <c r="G3907" t="s">
        <v>31</v>
      </c>
      <c r="H3907">
        <f>Cleaned_Data!K3907</f>
        <v>134.37</v>
      </c>
      <c r="I3907" t="str">
        <f t="shared" si="183"/>
        <v>NO</v>
      </c>
      <c r="J3907">
        <f>Cleaned_Data!J3907</f>
        <v>48</v>
      </c>
      <c r="K3907" t="str">
        <f t="shared" si="184"/>
        <v>2024-05</v>
      </c>
      <c r="L3907">
        <f t="shared" si="185"/>
        <v>86.37</v>
      </c>
    </row>
    <row r="3908" spans="1:12">
      <c r="A3908" t="s">
        <v>11333</v>
      </c>
      <c r="B3908" t="s">
        <v>11334</v>
      </c>
      <c r="C3908" t="s">
        <v>11335</v>
      </c>
      <c r="D3908" t="s">
        <v>158</v>
      </c>
      <c r="E3908" t="s">
        <v>59</v>
      </c>
      <c r="F3908" t="s">
        <v>60</v>
      </c>
      <c r="G3908" t="s">
        <v>19</v>
      </c>
      <c r="H3908">
        <f>Cleaned_Data!K3908</f>
        <v>1.52</v>
      </c>
      <c r="I3908" t="str">
        <f t="shared" si="183"/>
        <v>YES</v>
      </c>
      <c r="J3908">
        <f>Cleaned_Data!J3908</f>
        <v>4</v>
      </c>
      <c r="K3908" t="str">
        <f t="shared" si="184"/>
        <v>2024-10</v>
      </c>
      <c r="L3908">
        <f t="shared" si="185"/>
        <v>0</v>
      </c>
    </row>
    <row r="3909" spans="1:12">
      <c r="A3909" t="s">
        <v>11336</v>
      </c>
      <c r="B3909" t="s">
        <v>11337</v>
      </c>
      <c r="C3909" t="s">
        <v>11338</v>
      </c>
      <c r="D3909" t="s">
        <v>15</v>
      </c>
      <c r="E3909" t="s">
        <v>24</v>
      </c>
      <c r="F3909" t="s">
        <v>17</v>
      </c>
      <c r="G3909" t="s">
        <v>19</v>
      </c>
      <c r="H3909">
        <f>Cleaned_Data!K3909</f>
        <v>1.64</v>
      </c>
      <c r="I3909" t="str">
        <f t="shared" si="183"/>
        <v>YES</v>
      </c>
      <c r="J3909">
        <f>Cleaned_Data!J3909</f>
        <v>8</v>
      </c>
      <c r="K3909" t="str">
        <f t="shared" si="184"/>
        <v>2024-08</v>
      </c>
      <c r="L3909">
        <f t="shared" si="185"/>
        <v>0</v>
      </c>
    </row>
    <row r="3910" spans="1:12">
      <c r="A3910" t="s">
        <v>11339</v>
      </c>
      <c r="B3910" t="s">
        <v>11340</v>
      </c>
      <c r="C3910" t="s">
        <v>11341</v>
      </c>
      <c r="D3910" t="s">
        <v>15</v>
      </c>
      <c r="E3910" t="s">
        <v>16</v>
      </c>
      <c r="F3910" t="s">
        <v>29</v>
      </c>
      <c r="G3910" t="s">
        <v>31</v>
      </c>
      <c r="H3910">
        <f>Cleaned_Data!K3910</f>
        <v>1.54</v>
      </c>
      <c r="I3910" t="str">
        <f t="shared" si="183"/>
        <v>YES</v>
      </c>
      <c r="J3910">
        <f>Cleaned_Data!J3910</f>
        <v>8</v>
      </c>
      <c r="K3910" t="str">
        <f t="shared" si="184"/>
        <v>2024-12</v>
      </c>
      <c r="L3910">
        <f t="shared" si="185"/>
        <v>0</v>
      </c>
    </row>
    <row r="3911" spans="1:12">
      <c r="A3911" t="s">
        <v>11342</v>
      </c>
      <c r="B3911" t="s">
        <v>11343</v>
      </c>
      <c r="C3911" t="s">
        <v>11344</v>
      </c>
      <c r="D3911" t="s">
        <v>23</v>
      </c>
      <c r="E3911" t="s">
        <v>16</v>
      </c>
      <c r="F3911" t="s">
        <v>29</v>
      </c>
      <c r="G3911" t="s">
        <v>31</v>
      </c>
      <c r="H3911">
        <f>Cleaned_Data!K3911</f>
        <v>18.52</v>
      </c>
      <c r="I3911" t="str">
        <f t="shared" si="183"/>
        <v>YES</v>
      </c>
      <c r="J3911">
        <f>Cleaned_Data!J3911</f>
        <v>24</v>
      </c>
      <c r="K3911" t="str">
        <f t="shared" si="184"/>
        <v>2024-12</v>
      </c>
      <c r="L3911">
        <f t="shared" si="185"/>
        <v>0</v>
      </c>
    </row>
    <row r="3912" spans="1:12">
      <c r="A3912" t="s">
        <v>11345</v>
      </c>
      <c r="B3912" t="s">
        <v>11346</v>
      </c>
      <c r="C3912" t="s">
        <v>11347</v>
      </c>
      <c r="D3912" t="s">
        <v>23</v>
      </c>
      <c r="E3912" t="s">
        <v>16</v>
      </c>
      <c r="F3912" t="s">
        <v>17</v>
      </c>
      <c r="G3912" t="s">
        <v>31</v>
      </c>
      <c r="H3912">
        <f>Cleaned_Data!K3912</f>
        <v>19.420000000000002</v>
      </c>
      <c r="I3912" t="str">
        <f t="shared" si="183"/>
        <v>YES</v>
      </c>
      <c r="J3912">
        <f>Cleaned_Data!J3912</f>
        <v>24</v>
      </c>
      <c r="K3912" t="str">
        <f t="shared" si="184"/>
        <v>2024-04</v>
      </c>
      <c r="L3912">
        <f t="shared" si="185"/>
        <v>0</v>
      </c>
    </row>
    <row r="3913" spans="1:12">
      <c r="A3913" t="s">
        <v>11348</v>
      </c>
      <c r="B3913" t="s">
        <v>11349</v>
      </c>
      <c r="C3913" t="s">
        <v>11350</v>
      </c>
      <c r="D3913" t="s">
        <v>15</v>
      </c>
      <c r="E3913" t="s">
        <v>16</v>
      </c>
      <c r="F3913" t="s">
        <v>36</v>
      </c>
      <c r="G3913" t="s">
        <v>19</v>
      </c>
      <c r="H3913">
        <f>Cleaned_Data!K3913</f>
        <v>7.13</v>
      </c>
      <c r="I3913" t="str">
        <f t="shared" si="183"/>
        <v>YES</v>
      </c>
      <c r="J3913">
        <f>Cleaned_Data!J3913</f>
        <v>8</v>
      </c>
      <c r="K3913" t="str">
        <f t="shared" si="184"/>
        <v>2024-07</v>
      </c>
      <c r="L3913">
        <f t="shared" si="185"/>
        <v>0</v>
      </c>
    </row>
    <row r="3914" spans="1:12">
      <c r="A3914" t="s">
        <v>11351</v>
      </c>
      <c r="B3914" t="s">
        <v>11352</v>
      </c>
      <c r="D3914" t="s">
        <v>15</v>
      </c>
      <c r="E3914" t="s">
        <v>54</v>
      </c>
      <c r="F3914" t="s">
        <v>60</v>
      </c>
      <c r="G3914" t="s">
        <v>63</v>
      </c>
      <c r="H3914">
        <f>Cleaned_Data!K3914</f>
        <v>0</v>
      </c>
      <c r="I3914" t="str">
        <f t="shared" si="183"/>
        <v/>
      </c>
      <c r="J3914">
        <f>Cleaned_Data!J3914</f>
        <v>8</v>
      </c>
      <c r="K3914" t="str">
        <f t="shared" si="184"/>
        <v>2024-02</v>
      </c>
      <c r="L3914">
        <f t="shared" si="185"/>
        <v>0</v>
      </c>
    </row>
    <row r="3915" spans="1:12">
      <c r="A3915" t="s">
        <v>11353</v>
      </c>
      <c r="B3915" t="s">
        <v>11354</v>
      </c>
      <c r="C3915" t="s">
        <v>11355</v>
      </c>
      <c r="D3915" t="s">
        <v>158</v>
      </c>
      <c r="E3915" t="s">
        <v>24</v>
      </c>
      <c r="F3915" t="s">
        <v>36</v>
      </c>
      <c r="G3915" t="s">
        <v>31</v>
      </c>
      <c r="H3915">
        <f>Cleaned_Data!K3915</f>
        <v>0.91</v>
      </c>
      <c r="I3915" t="str">
        <f t="shared" si="183"/>
        <v>YES</v>
      </c>
      <c r="J3915">
        <f>Cleaned_Data!J3915</f>
        <v>4</v>
      </c>
      <c r="K3915" t="str">
        <f t="shared" si="184"/>
        <v>2024-07</v>
      </c>
      <c r="L3915">
        <f t="shared" si="185"/>
        <v>0</v>
      </c>
    </row>
    <row r="3916" spans="1:12">
      <c r="A3916" t="s">
        <v>11356</v>
      </c>
      <c r="B3916" t="s">
        <v>11357</v>
      </c>
      <c r="C3916" t="s">
        <v>11358</v>
      </c>
      <c r="D3916" t="s">
        <v>15</v>
      </c>
      <c r="E3916" t="s">
        <v>28</v>
      </c>
      <c r="F3916" t="s">
        <v>60</v>
      </c>
      <c r="G3916" t="s">
        <v>31</v>
      </c>
      <c r="H3916">
        <f>Cleaned_Data!K3916</f>
        <v>3.26</v>
      </c>
      <c r="I3916" t="str">
        <f t="shared" si="183"/>
        <v>YES</v>
      </c>
      <c r="J3916">
        <f>Cleaned_Data!J3916</f>
        <v>8</v>
      </c>
      <c r="K3916" t="str">
        <f t="shared" si="184"/>
        <v>2024-06</v>
      </c>
      <c r="L3916">
        <f t="shared" si="185"/>
        <v>0</v>
      </c>
    </row>
    <row r="3917" spans="1:12">
      <c r="A3917" t="s">
        <v>11359</v>
      </c>
      <c r="B3917" t="s">
        <v>11360</v>
      </c>
      <c r="C3917" t="s">
        <v>11361</v>
      </c>
      <c r="D3917" t="s">
        <v>23</v>
      </c>
      <c r="E3917" t="s">
        <v>16</v>
      </c>
      <c r="F3917" t="s">
        <v>17</v>
      </c>
      <c r="G3917" t="s">
        <v>19</v>
      </c>
      <c r="H3917">
        <f>Cleaned_Data!K3917</f>
        <v>12.65</v>
      </c>
      <c r="I3917" t="str">
        <f t="shared" si="183"/>
        <v>YES</v>
      </c>
      <c r="J3917">
        <f>Cleaned_Data!J3917</f>
        <v>24</v>
      </c>
      <c r="K3917" t="str">
        <f t="shared" si="184"/>
        <v>2024-04</v>
      </c>
      <c r="L3917">
        <f t="shared" si="185"/>
        <v>0</v>
      </c>
    </row>
    <row r="3918" spans="1:12">
      <c r="A3918" t="s">
        <v>11362</v>
      </c>
      <c r="B3918" t="s">
        <v>11363</v>
      </c>
      <c r="C3918" t="s">
        <v>11364</v>
      </c>
      <c r="D3918" t="s">
        <v>15</v>
      </c>
      <c r="E3918" t="s">
        <v>16</v>
      </c>
      <c r="F3918" t="s">
        <v>41</v>
      </c>
      <c r="G3918" t="s">
        <v>19</v>
      </c>
      <c r="H3918">
        <f>Cleaned_Data!K3918</f>
        <v>5.89</v>
      </c>
      <c r="I3918" t="str">
        <f t="shared" si="183"/>
        <v>YES</v>
      </c>
      <c r="J3918">
        <f>Cleaned_Data!J3918</f>
        <v>8</v>
      </c>
      <c r="K3918" t="str">
        <f t="shared" si="184"/>
        <v>2024-02</v>
      </c>
      <c r="L3918">
        <f t="shared" si="185"/>
        <v>0</v>
      </c>
    </row>
    <row r="3919" spans="1:12">
      <c r="A3919" t="s">
        <v>11365</v>
      </c>
      <c r="B3919" t="s">
        <v>11366</v>
      </c>
      <c r="C3919" t="s">
        <v>11367</v>
      </c>
      <c r="D3919" t="s">
        <v>15</v>
      </c>
      <c r="E3919" t="s">
        <v>24</v>
      </c>
      <c r="F3919" t="s">
        <v>41</v>
      </c>
      <c r="G3919" t="s">
        <v>31</v>
      </c>
      <c r="H3919">
        <f>Cleaned_Data!K3919</f>
        <v>4.5599999999999996</v>
      </c>
      <c r="I3919" t="str">
        <f t="shared" si="183"/>
        <v>YES</v>
      </c>
      <c r="J3919">
        <f>Cleaned_Data!J3919</f>
        <v>8</v>
      </c>
      <c r="K3919" t="str">
        <f t="shared" si="184"/>
        <v>2024-05</v>
      </c>
      <c r="L3919">
        <f t="shared" si="185"/>
        <v>0</v>
      </c>
    </row>
    <row r="3920" spans="1:12">
      <c r="A3920" t="s">
        <v>11368</v>
      </c>
      <c r="B3920" t="s">
        <v>11369</v>
      </c>
      <c r="C3920" t="s">
        <v>11370</v>
      </c>
      <c r="D3920" t="s">
        <v>15</v>
      </c>
      <c r="E3920" t="s">
        <v>54</v>
      </c>
      <c r="F3920" t="s">
        <v>60</v>
      </c>
      <c r="G3920" t="s">
        <v>19</v>
      </c>
      <c r="H3920">
        <f>Cleaned_Data!K3920</f>
        <v>4.01</v>
      </c>
      <c r="I3920" t="str">
        <f t="shared" si="183"/>
        <v>YES</v>
      </c>
      <c r="J3920">
        <f>Cleaned_Data!J3920</f>
        <v>8</v>
      </c>
      <c r="K3920" t="str">
        <f t="shared" si="184"/>
        <v>2024-04</v>
      </c>
      <c r="L3920">
        <f t="shared" si="185"/>
        <v>0</v>
      </c>
    </row>
    <row r="3921" spans="1:12">
      <c r="A3921" t="s">
        <v>11371</v>
      </c>
      <c r="B3921" t="s">
        <v>11372</v>
      </c>
      <c r="C3921" t="s">
        <v>11373</v>
      </c>
      <c r="D3921" t="s">
        <v>23</v>
      </c>
      <c r="E3921" t="s">
        <v>28</v>
      </c>
      <c r="F3921" t="s">
        <v>41</v>
      </c>
      <c r="G3921" t="s">
        <v>31</v>
      </c>
      <c r="H3921">
        <f>Cleaned_Data!K3921</f>
        <v>13.42</v>
      </c>
      <c r="I3921" t="str">
        <f t="shared" si="183"/>
        <v>YES</v>
      </c>
      <c r="J3921">
        <f>Cleaned_Data!J3921</f>
        <v>24</v>
      </c>
      <c r="K3921" t="str">
        <f t="shared" si="184"/>
        <v>2024-04</v>
      </c>
      <c r="L3921">
        <f t="shared" si="185"/>
        <v>0</v>
      </c>
    </row>
    <row r="3922" spans="1:12">
      <c r="A3922" t="s">
        <v>11374</v>
      </c>
      <c r="B3922" t="s">
        <v>11375</v>
      </c>
      <c r="C3922" t="s">
        <v>11376</v>
      </c>
      <c r="D3922" t="s">
        <v>15</v>
      </c>
      <c r="E3922" t="s">
        <v>54</v>
      </c>
      <c r="F3922" t="s">
        <v>60</v>
      </c>
      <c r="G3922" t="s">
        <v>19</v>
      </c>
      <c r="H3922">
        <f>Cleaned_Data!K3922</f>
        <v>1.18</v>
      </c>
      <c r="I3922" t="str">
        <f t="shared" si="183"/>
        <v>YES</v>
      </c>
      <c r="J3922">
        <f>Cleaned_Data!J3922</f>
        <v>8</v>
      </c>
      <c r="K3922" t="str">
        <f t="shared" si="184"/>
        <v>2024-04</v>
      </c>
      <c r="L3922">
        <f t="shared" si="185"/>
        <v>0</v>
      </c>
    </row>
    <row r="3923" spans="1:12">
      <c r="A3923" t="s">
        <v>11377</v>
      </c>
      <c r="B3923" t="s">
        <v>11378</v>
      </c>
      <c r="D3923" t="s">
        <v>158</v>
      </c>
      <c r="E3923" t="s">
        <v>16</v>
      </c>
      <c r="F3923" t="s">
        <v>17</v>
      </c>
      <c r="G3923" t="s">
        <v>63</v>
      </c>
      <c r="H3923">
        <f>Cleaned_Data!K3923</f>
        <v>0</v>
      </c>
      <c r="I3923" t="str">
        <f t="shared" si="183"/>
        <v/>
      </c>
      <c r="J3923">
        <f>Cleaned_Data!J3923</f>
        <v>4</v>
      </c>
      <c r="K3923" t="str">
        <f t="shared" si="184"/>
        <v>2024-03</v>
      </c>
      <c r="L3923">
        <f t="shared" si="185"/>
        <v>0</v>
      </c>
    </row>
    <row r="3924" spans="1:12">
      <c r="A3924" t="s">
        <v>11379</v>
      </c>
      <c r="B3924" t="s">
        <v>11380</v>
      </c>
      <c r="C3924" t="s">
        <v>11381</v>
      </c>
      <c r="D3924" t="s">
        <v>23</v>
      </c>
      <c r="E3924" t="s">
        <v>24</v>
      </c>
      <c r="F3924" t="s">
        <v>29</v>
      </c>
      <c r="G3924" t="s">
        <v>19</v>
      </c>
      <c r="H3924">
        <f>Cleaned_Data!K3924</f>
        <v>15.8</v>
      </c>
      <c r="I3924" t="str">
        <f t="shared" si="183"/>
        <v>YES</v>
      </c>
      <c r="J3924">
        <f>Cleaned_Data!J3924</f>
        <v>24</v>
      </c>
      <c r="K3924" t="str">
        <f t="shared" si="184"/>
        <v>2024-08</v>
      </c>
      <c r="L3924">
        <f t="shared" si="185"/>
        <v>0</v>
      </c>
    </row>
    <row r="3925" spans="1:12">
      <c r="A3925" t="s">
        <v>11382</v>
      </c>
      <c r="B3925" t="s">
        <v>11383</v>
      </c>
      <c r="C3925" t="s">
        <v>11384</v>
      </c>
      <c r="D3925" t="s">
        <v>15</v>
      </c>
      <c r="E3925" t="s">
        <v>16</v>
      </c>
      <c r="F3925" t="s">
        <v>36</v>
      </c>
      <c r="G3925" t="s">
        <v>31</v>
      </c>
      <c r="H3925">
        <f>Cleaned_Data!K3925</f>
        <v>0.83</v>
      </c>
      <c r="I3925" t="str">
        <f t="shared" si="183"/>
        <v>YES</v>
      </c>
      <c r="J3925">
        <f>Cleaned_Data!J3925</f>
        <v>8</v>
      </c>
      <c r="K3925" t="str">
        <f t="shared" si="184"/>
        <v>2024-11</v>
      </c>
      <c r="L3925">
        <f t="shared" si="185"/>
        <v>0</v>
      </c>
    </row>
    <row r="3926" spans="1:12">
      <c r="A3926" t="s">
        <v>11385</v>
      </c>
      <c r="B3926" t="s">
        <v>11386</v>
      </c>
      <c r="C3926" t="s">
        <v>11387</v>
      </c>
      <c r="D3926" t="s">
        <v>35</v>
      </c>
      <c r="E3926" t="s">
        <v>24</v>
      </c>
      <c r="F3926" t="s">
        <v>29</v>
      </c>
      <c r="G3926" t="s">
        <v>19</v>
      </c>
      <c r="H3926">
        <f>Cleaned_Data!K3926</f>
        <v>29.18</v>
      </c>
      <c r="I3926" t="str">
        <f t="shared" si="183"/>
        <v>YES</v>
      </c>
      <c r="J3926">
        <f>Cleaned_Data!J3926</f>
        <v>48</v>
      </c>
      <c r="K3926" t="str">
        <f t="shared" si="184"/>
        <v>2024-01</v>
      </c>
      <c r="L3926">
        <f t="shared" si="185"/>
        <v>0</v>
      </c>
    </row>
    <row r="3927" spans="1:12">
      <c r="A3927" t="s">
        <v>11388</v>
      </c>
      <c r="B3927" t="s">
        <v>11389</v>
      </c>
      <c r="C3927" t="s">
        <v>11390</v>
      </c>
      <c r="D3927" t="s">
        <v>23</v>
      </c>
      <c r="E3927" t="s">
        <v>28</v>
      </c>
      <c r="F3927" t="s">
        <v>17</v>
      </c>
      <c r="G3927" t="s">
        <v>19</v>
      </c>
      <c r="H3927">
        <f>Cleaned_Data!K3927</f>
        <v>19.739999999999998</v>
      </c>
      <c r="I3927" t="str">
        <f t="shared" si="183"/>
        <v>YES</v>
      </c>
      <c r="J3927">
        <f>Cleaned_Data!J3927</f>
        <v>24</v>
      </c>
      <c r="K3927" t="str">
        <f t="shared" si="184"/>
        <v>2024-05</v>
      </c>
      <c r="L3927">
        <f t="shared" si="185"/>
        <v>0</v>
      </c>
    </row>
    <row r="3928" spans="1:12">
      <c r="A3928" t="s">
        <v>11391</v>
      </c>
      <c r="B3928" t="s">
        <v>11392</v>
      </c>
      <c r="C3928" t="s">
        <v>11393</v>
      </c>
      <c r="D3928" t="s">
        <v>23</v>
      </c>
      <c r="E3928" t="s">
        <v>28</v>
      </c>
      <c r="F3928" t="s">
        <v>17</v>
      </c>
      <c r="G3928" t="s">
        <v>31</v>
      </c>
      <c r="H3928">
        <f>Cleaned_Data!K3928</f>
        <v>21.43</v>
      </c>
      <c r="I3928" t="str">
        <f t="shared" si="183"/>
        <v>YES</v>
      </c>
      <c r="J3928">
        <f>Cleaned_Data!J3928</f>
        <v>24</v>
      </c>
      <c r="K3928" t="str">
        <f t="shared" si="184"/>
        <v>2024-02</v>
      </c>
      <c r="L3928">
        <f t="shared" si="185"/>
        <v>0</v>
      </c>
    </row>
    <row r="3929" spans="1:12">
      <c r="A3929" t="s">
        <v>11394</v>
      </c>
      <c r="B3929" t="s">
        <v>11395</v>
      </c>
      <c r="C3929" t="s">
        <v>11396</v>
      </c>
      <c r="D3929" t="s">
        <v>35</v>
      </c>
      <c r="E3929" t="s">
        <v>28</v>
      </c>
      <c r="F3929" t="s">
        <v>36</v>
      </c>
      <c r="G3929" t="s">
        <v>31</v>
      </c>
      <c r="H3929">
        <f>Cleaned_Data!K3929</f>
        <v>37.11</v>
      </c>
      <c r="I3929" t="str">
        <f t="shared" si="183"/>
        <v>YES</v>
      </c>
      <c r="J3929">
        <f>Cleaned_Data!J3929</f>
        <v>48</v>
      </c>
      <c r="K3929" t="str">
        <f t="shared" si="184"/>
        <v>2024-06</v>
      </c>
      <c r="L3929">
        <f t="shared" si="185"/>
        <v>0</v>
      </c>
    </row>
    <row r="3930" spans="1:12">
      <c r="A3930" t="s">
        <v>11397</v>
      </c>
      <c r="B3930" t="s">
        <v>11398</v>
      </c>
      <c r="C3930" t="s">
        <v>11399</v>
      </c>
      <c r="D3930" t="s">
        <v>15</v>
      </c>
      <c r="E3930" t="s">
        <v>54</v>
      </c>
      <c r="F3930" t="s">
        <v>29</v>
      </c>
      <c r="G3930" t="s">
        <v>31</v>
      </c>
      <c r="H3930">
        <f>Cleaned_Data!K3930</f>
        <v>6.33</v>
      </c>
      <c r="I3930" t="str">
        <f t="shared" si="183"/>
        <v>YES</v>
      </c>
      <c r="J3930">
        <f>Cleaned_Data!J3930</f>
        <v>8</v>
      </c>
      <c r="K3930" t="str">
        <f t="shared" si="184"/>
        <v>2024-04</v>
      </c>
      <c r="L3930">
        <f t="shared" si="185"/>
        <v>0</v>
      </c>
    </row>
    <row r="3931" spans="1:12">
      <c r="A3931" t="s">
        <v>11400</v>
      </c>
      <c r="B3931" t="s">
        <v>11401</v>
      </c>
      <c r="C3931" t="s">
        <v>11402</v>
      </c>
      <c r="D3931" t="s">
        <v>158</v>
      </c>
      <c r="E3931" t="s">
        <v>28</v>
      </c>
      <c r="F3931" t="s">
        <v>60</v>
      </c>
      <c r="G3931" t="s">
        <v>31</v>
      </c>
      <c r="H3931">
        <f>Cleaned_Data!K3931</f>
        <v>1.77</v>
      </c>
      <c r="I3931" t="str">
        <f t="shared" si="183"/>
        <v>YES</v>
      </c>
      <c r="J3931">
        <f>Cleaned_Data!J3931</f>
        <v>4</v>
      </c>
      <c r="K3931" t="str">
        <f t="shared" si="184"/>
        <v>2024-08</v>
      </c>
      <c r="L3931">
        <f t="shared" si="185"/>
        <v>0</v>
      </c>
    </row>
    <row r="3932" spans="1:12">
      <c r="A3932" t="s">
        <v>11403</v>
      </c>
      <c r="B3932" t="s">
        <v>11404</v>
      </c>
      <c r="C3932" t="s">
        <v>11405</v>
      </c>
      <c r="D3932" t="s">
        <v>35</v>
      </c>
      <c r="E3932" t="s">
        <v>24</v>
      </c>
      <c r="F3932" t="s">
        <v>29</v>
      </c>
      <c r="G3932" t="s">
        <v>31</v>
      </c>
      <c r="H3932">
        <f>Cleaned_Data!K3932</f>
        <v>15.21</v>
      </c>
      <c r="I3932" t="str">
        <f t="shared" si="183"/>
        <v>YES</v>
      </c>
      <c r="J3932">
        <f>Cleaned_Data!J3932</f>
        <v>48</v>
      </c>
      <c r="K3932" t="str">
        <f t="shared" si="184"/>
        <v>2024-12</v>
      </c>
      <c r="L3932">
        <f t="shared" si="185"/>
        <v>0</v>
      </c>
    </row>
    <row r="3933" spans="1:12">
      <c r="A3933" t="s">
        <v>11406</v>
      </c>
      <c r="B3933" t="s">
        <v>11407</v>
      </c>
      <c r="C3933" t="s">
        <v>11408</v>
      </c>
      <c r="D3933" t="s">
        <v>15</v>
      </c>
      <c r="E3933" t="s">
        <v>24</v>
      </c>
      <c r="F3933" t="s">
        <v>29</v>
      </c>
      <c r="G3933" t="s">
        <v>31</v>
      </c>
      <c r="H3933">
        <f>Cleaned_Data!K3933</f>
        <v>11.69</v>
      </c>
      <c r="I3933" t="str">
        <f t="shared" si="183"/>
        <v>NO</v>
      </c>
      <c r="J3933">
        <f>Cleaned_Data!J3933</f>
        <v>8</v>
      </c>
      <c r="K3933" t="str">
        <f t="shared" si="184"/>
        <v>2024-12</v>
      </c>
      <c r="L3933">
        <f t="shared" si="185"/>
        <v>3.6899999999999995</v>
      </c>
    </row>
    <row r="3934" spans="1:12">
      <c r="A3934" t="s">
        <v>11409</v>
      </c>
      <c r="B3934" t="s">
        <v>11410</v>
      </c>
      <c r="C3934" t="s">
        <v>11411</v>
      </c>
      <c r="D3934" t="s">
        <v>15</v>
      </c>
      <c r="E3934" t="s">
        <v>16</v>
      </c>
      <c r="F3934" t="s">
        <v>29</v>
      </c>
      <c r="G3934" t="s">
        <v>31</v>
      </c>
      <c r="H3934">
        <f>Cleaned_Data!K3934</f>
        <v>15.25</v>
      </c>
      <c r="I3934" t="str">
        <f t="shared" si="183"/>
        <v>NO</v>
      </c>
      <c r="J3934">
        <f>Cleaned_Data!J3934</f>
        <v>8</v>
      </c>
      <c r="K3934" t="str">
        <f t="shared" si="184"/>
        <v>2024-03</v>
      </c>
      <c r="L3934">
        <f t="shared" si="185"/>
        <v>7.25</v>
      </c>
    </row>
    <row r="3935" spans="1:12">
      <c r="A3935" t="s">
        <v>11412</v>
      </c>
      <c r="B3935" t="s">
        <v>11413</v>
      </c>
      <c r="C3935" t="s">
        <v>11414</v>
      </c>
      <c r="D3935" t="s">
        <v>23</v>
      </c>
      <c r="E3935" t="s">
        <v>59</v>
      </c>
      <c r="F3935" t="s">
        <v>60</v>
      </c>
      <c r="G3935" t="s">
        <v>31</v>
      </c>
      <c r="H3935">
        <f>Cleaned_Data!K3935</f>
        <v>8.7200000000000006</v>
      </c>
      <c r="I3935" t="str">
        <f t="shared" si="183"/>
        <v>YES</v>
      </c>
      <c r="J3935">
        <f>Cleaned_Data!J3935</f>
        <v>24</v>
      </c>
      <c r="K3935" t="str">
        <f t="shared" si="184"/>
        <v>2024-03</v>
      </c>
      <c r="L3935">
        <f t="shared" si="185"/>
        <v>0</v>
      </c>
    </row>
    <row r="3936" spans="1:12">
      <c r="A3936" t="s">
        <v>11415</v>
      </c>
      <c r="B3936" t="s">
        <v>11416</v>
      </c>
      <c r="C3936" t="s">
        <v>11417</v>
      </c>
      <c r="D3936" t="s">
        <v>23</v>
      </c>
      <c r="E3936" t="s">
        <v>24</v>
      </c>
      <c r="F3936" t="s">
        <v>36</v>
      </c>
      <c r="G3936" t="s">
        <v>19</v>
      </c>
      <c r="H3936">
        <f>Cleaned_Data!K3936</f>
        <v>22.76</v>
      </c>
      <c r="I3936" t="str">
        <f t="shared" si="183"/>
        <v>YES</v>
      </c>
      <c r="J3936">
        <f>Cleaned_Data!J3936</f>
        <v>24</v>
      </c>
      <c r="K3936" t="str">
        <f t="shared" si="184"/>
        <v>2024-11</v>
      </c>
      <c r="L3936">
        <f t="shared" si="185"/>
        <v>0</v>
      </c>
    </row>
    <row r="3937" spans="1:12">
      <c r="A3937" t="s">
        <v>11418</v>
      </c>
      <c r="B3937" t="s">
        <v>11419</v>
      </c>
      <c r="D3937" t="s">
        <v>158</v>
      </c>
      <c r="E3937" t="s">
        <v>54</v>
      </c>
      <c r="F3937" t="s">
        <v>41</v>
      </c>
      <c r="G3937" t="s">
        <v>46</v>
      </c>
      <c r="H3937">
        <f>Cleaned_Data!K3937</f>
        <v>0</v>
      </c>
      <c r="I3937" t="str">
        <f t="shared" si="183"/>
        <v/>
      </c>
      <c r="J3937">
        <f>Cleaned_Data!J3937</f>
        <v>4</v>
      </c>
      <c r="K3937" t="str">
        <f t="shared" si="184"/>
        <v>2024-06</v>
      </c>
      <c r="L3937">
        <f t="shared" si="185"/>
        <v>0</v>
      </c>
    </row>
    <row r="3938" spans="1:12">
      <c r="A3938" t="s">
        <v>11420</v>
      </c>
      <c r="B3938" t="s">
        <v>11421</v>
      </c>
      <c r="C3938" t="s">
        <v>11422</v>
      </c>
      <c r="D3938" t="s">
        <v>15</v>
      </c>
      <c r="E3938" t="s">
        <v>28</v>
      </c>
      <c r="F3938" t="s">
        <v>17</v>
      </c>
      <c r="G3938" t="s">
        <v>31</v>
      </c>
      <c r="H3938">
        <f>Cleaned_Data!K3938</f>
        <v>5.47</v>
      </c>
      <c r="I3938" t="str">
        <f t="shared" si="183"/>
        <v>YES</v>
      </c>
      <c r="J3938">
        <f>Cleaned_Data!J3938</f>
        <v>8</v>
      </c>
      <c r="K3938" t="str">
        <f t="shared" si="184"/>
        <v>2024-02</v>
      </c>
      <c r="L3938">
        <f t="shared" si="185"/>
        <v>0</v>
      </c>
    </row>
    <row r="3939" spans="1:12">
      <c r="A3939" t="s">
        <v>11423</v>
      </c>
      <c r="B3939" t="s">
        <v>11424</v>
      </c>
      <c r="C3939" t="s">
        <v>11425</v>
      </c>
      <c r="D3939" t="s">
        <v>23</v>
      </c>
      <c r="E3939" t="s">
        <v>59</v>
      </c>
      <c r="F3939" t="s">
        <v>60</v>
      </c>
      <c r="G3939" t="s">
        <v>31</v>
      </c>
      <c r="H3939">
        <f>Cleaned_Data!K3939</f>
        <v>12.21</v>
      </c>
      <c r="I3939" t="str">
        <f t="shared" si="183"/>
        <v>YES</v>
      </c>
      <c r="J3939">
        <f>Cleaned_Data!J3939</f>
        <v>24</v>
      </c>
      <c r="K3939" t="str">
        <f t="shared" si="184"/>
        <v>2024-02</v>
      </c>
      <c r="L3939">
        <f t="shared" si="185"/>
        <v>0</v>
      </c>
    </row>
    <row r="3940" spans="1:12">
      <c r="A3940" t="s">
        <v>11426</v>
      </c>
      <c r="B3940" t="s">
        <v>11427</v>
      </c>
      <c r="C3940" t="s">
        <v>11428</v>
      </c>
      <c r="D3940" t="s">
        <v>23</v>
      </c>
      <c r="E3940" t="s">
        <v>28</v>
      </c>
      <c r="F3940" t="s">
        <v>17</v>
      </c>
      <c r="G3940" t="s">
        <v>19</v>
      </c>
      <c r="H3940">
        <f>Cleaned_Data!K3940</f>
        <v>67.62</v>
      </c>
      <c r="I3940" t="str">
        <f t="shared" si="183"/>
        <v>NO</v>
      </c>
      <c r="J3940">
        <f>Cleaned_Data!J3940</f>
        <v>24</v>
      </c>
      <c r="K3940" t="str">
        <f t="shared" si="184"/>
        <v>2024-10</v>
      </c>
      <c r="L3940">
        <f t="shared" si="185"/>
        <v>43.620000000000005</v>
      </c>
    </row>
    <row r="3941" spans="1:12">
      <c r="A3941" t="s">
        <v>11429</v>
      </c>
      <c r="B3941" t="s">
        <v>11430</v>
      </c>
      <c r="C3941" t="s">
        <v>11431</v>
      </c>
      <c r="D3941" t="s">
        <v>23</v>
      </c>
      <c r="E3941" t="s">
        <v>59</v>
      </c>
      <c r="F3941" t="s">
        <v>41</v>
      </c>
      <c r="G3941" t="s">
        <v>19</v>
      </c>
      <c r="H3941">
        <f>Cleaned_Data!K3941</f>
        <v>20.76</v>
      </c>
      <c r="I3941" t="str">
        <f t="shared" si="183"/>
        <v>YES</v>
      </c>
      <c r="J3941">
        <f>Cleaned_Data!J3941</f>
        <v>24</v>
      </c>
      <c r="K3941" t="str">
        <f t="shared" si="184"/>
        <v>2024-05</v>
      </c>
      <c r="L3941">
        <f t="shared" si="185"/>
        <v>0</v>
      </c>
    </row>
    <row r="3942" spans="1:12">
      <c r="A3942" t="s">
        <v>11432</v>
      </c>
      <c r="B3942" t="s">
        <v>11433</v>
      </c>
      <c r="C3942" t="s">
        <v>11434</v>
      </c>
      <c r="D3942" t="s">
        <v>158</v>
      </c>
      <c r="E3942" t="s">
        <v>28</v>
      </c>
      <c r="F3942" t="s">
        <v>29</v>
      </c>
      <c r="G3942" t="s">
        <v>19</v>
      </c>
      <c r="H3942">
        <f>Cleaned_Data!K3942</f>
        <v>2.62</v>
      </c>
      <c r="I3942" t="str">
        <f t="shared" si="183"/>
        <v>YES</v>
      </c>
      <c r="J3942">
        <f>Cleaned_Data!J3942</f>
        <v>4</v>
      </c>
      <c r="K3942" t="str">
        <f t="shared" si="184"/>
        <v>2024-06</v>
      </c>
      <c r="L3942">
        <f t="shared" si="185"/>
        <v>0</v>
      </c>
    </row>
    <row r="3943" spans="1:12">
      <c r="A3943" t="s">
        <v>11435</v>
      </c>
      <c r="B3943" t="s">
        <v>11436</v>
      </c>
      <c r="C3943" t="s">
        <v>11437</v>
      </c>
      <c r="D3943" t="s">
        <v>23</v>
      </c>
      <c r="E3943" t="s">
        <v>24</v>
      </c>
      <c r="F3943" t="s">
        <v>60</v>
      </c>
      <c r="G3943" t="s">
        <v>19</v>
      </c>
      <c r="H3943">
        <f>Cleaned_Data!K3943</f>
        <v>55.99</v>
      </c>
      <c r="I3943" t="str">
        <f t="shared" si="183"/>
        <v>NO</v>
      </c>
      <c r="J3943">
        <f>Cleaned_Data!J3943</f>
        <v>24</v>
      </c>
      <c r="K3943" t="str">
        <f t="shared" si="184"/>
        <v>2024-05</v>
      </c>
      <c r="L3943">
        <f t="shared" si="185"/>
        <v>31.990000000000002</v>
      </c>
    </row>
    <row r="3944" spans="1:12">
      <c r="A3944" t="s">
        <v>11438</v>
      </c>
      <c r="B3944" t="s">
        <v>11439</v>
      </c>
      <c r="C3944" t="s">
        <v>11440</v>
      </c>
      <c r="D3944" t="s">
        <v>23</v>
      </c>
      <c r="E3944" t="s">
        <v>24</v>
      </c>
      <c r="F3944" t="s">
        <v>29</v>
      </c>
      <c r="G3944" t="s">
        <v>19</v>
      </c>
      <c r="H3944">
        <f>Cleaned_Data!K3944</f>
        <v>60.27</v>
      </c>
      <c r="I3944" t="str">
        <f t="shared" si="183"/>
        <v>NO</v>
      </c>
      <c r="J3944">
        <f>Cleaned_Data!J3944</f>
        <v>24</v>
      </c>
      <c r="K3944" t="str">
        <f t="shared" si="184"/>
        <v>2024-11</v>
      </c>
      <c r="L3944">
        <f t="shared" si="185"/>
        <v>36.270000000000003</v>
      </c>
    </row>
    <row r="3945" spans="1:12">
      <c r="A3945" t="s">
        <v>11441</v>
      </c>
      <c r="B3945" t="s">
        <v>11442</v>
      </c>
      <c r="C3945" t="s">
        <v>11443</v>
      </c>
      <c r="D3945" t="s">
        <v>158</v>
      </c>
      <c r="E3945" t="s">
        <v>16</v>
      </c>
      <c r="F3945" t="s">
        <v>36</v>
      </c>
      <c r="G3945" t="s">
        <v>31</v>
      </c>
      <c r="H3945">
        <f>Cleaned_Data!K3945</f>
        <v>1.17</v>
      </c>
      <c r="I3945" t="str">
        <f t="shared" si="183"/>
        <v>YES</v>
      </c>
      <c r="J3945">
        <f>Cleaned_Data!J3945</f>
        <v>4</v>
      </c>
      <c r="K3945" t="str">
        <f t="shared" si="184"/>
        <v>2024-09</v>
      </c>
      <c r="L3945">
        <f t="shared" si="185"/>
        <v>0</v>
      </c>
    </row>
    <row r="3946" spans="1:12">
      <c r="A3946" t="s">
        <v>11444</v>
      </c>
      <c r="B3946" t="s">
        <v>11445</v>
      </c>
      <c r="C3946" t="s">
        <v>11446</v>
      </c>
      <c r="D3946" t="s">
        <v>35</v>
      </c>
      <c r="E3946" t="s">
        <v>16</v>
      </c>
      <c r="F3946" t="s">
        <v>41</v>
      </c>
      <c r="G3946" t="s">
        <v>19</v>
      </c>
      <c r="H3946">
        <f>Cleaned_Data!K3946</f>
        <v>19.55</v>
      </c>
      <c r="I3946" t="str">
        <f t="shared" si="183"/>
        <v>YES</v>
      </c>
      <c r="J3946">
        <f>Cleaned_Data!J3946</f>
        <v>48</v>
      </c>
      <c r="K3946" t="str">
        <f t="shared" si="184"/>
        <v>2024-08</v>
      </c>
      <c r="L3946">
        <f t="shared" si="185"/>
        <v>0</v>
      </c>
    </row>
    <row r="3947" spans="1:12">
      <c r="A3947" t="s">
        <v>11447</v>
      </c>
      <c r="B3947" t="s">
        <v>11448</v>
      </c>
      <c r="C3947" t="s">
        <v>11449</v>
      </c>
      <c r="D3947" t="s">
        <v>35</v>
      </c>
      <c r="E3947" t="s">
        <v>16</v>
      </c>
      <c r="F3947" t="s">
        <v>60</v>
      </c>
      <c r="G3947" t="s">
        <v>19</v>
      </c>
      <c r="H3947">
        <f>Cleaned_Data!K3947</f>
        <v>25.19</v>
      </c>
      <c r="I3947" t="str">
        <f t="shared" si="183"/>
        <v>YES</v>
      </c>
      <c r="J3947">
        <f>Cleaned_Data!J3947</f>
        <v>48</v>
      </c>
      <c r="K3947" t="str">
        <f t="shared" si="184"/>
        <v>2024-08</v>
      </c>
      <c r="L3947">
        <f t="shared" si="185"/>
        <v>0</v>
      </c>
    </row>
    <row r="3948" spans="1:12">
      <c r="A3948" t="s">
        <v>11450</v>
      </c>
      <c r="B3948" t="s">
        <v>11451</v>
      </c>
      <c r="D3948" t="s">
        <v>15</v>
      </c>
      <c r="E3948" t="s">
        <v>16</v>
      </c>
      <c r="F3948" t="s">
        <v>41</v>
      </c>
      <c r="G3948" t="s">
        <v>63</v>
      </c>
      <c r="H3948">
        <f>Cleaned_Data!K3948</f>
        <v>0</v>
      </c>
      <c r="I3948" t="str">
        <f t="shared" si="183"/>
        <v/>
      </c>
      <c r="J3948">
        <f>Cleaned_Data!J3948</f>
        <v>8</v>
      </c>
      <c r="K3948" t="str">
        <f t="shared" si="184"/>
        <v>2024-12</v>
      </c>
      <c r="L3948">
        <f t="shared" si="185"/>
        <v>0</v>
      </c>
    </row>
    <row r="3949" spans="1:12">
      <c r="A3949" t="s">
        <v>11452</v>
      </c>
      <c r="B3949" t="s">
        <v>11453</v>
      </c>
      <c r="C3949" t="s">
        <v>11454</v>
      </c>
      <c r="D3949" t="s">
        <v>15</v>
      </c>
      <c r="E3949" t="s">
        <v>28</v>
      </c>
      <c r="F3949" t="s">
        <v>41</v>
      </c>
      <c r="G3949" t="s">
        <v>19</v>
      </c>
      <c r="H3949">
        <f>Cleaned_Data!K3949</f>
        <v>4.04</v>
      </c>
      <c r="I3949" t="str">
        <f t="shared" si="183"/>
        <v>YES</v>
      </c>
      <c r="J3949">
        <f>Cleaned_Data!J3949</f>
        <v>8</v>
      </c>
      <c r="K3949" t="str">
        <f t="shared" si="184"/>
        <v>2024-06</v>
      </c>
      <c r="L3949">
        <f t="shared" si="185"/>
        <v>0</v>
      </c>
    </row>
    <row r="3950" spans="1:12">
      <c r="A3950" t="s">
        <v>11455</v>
      </c>
      <c r="B3950" t="s">
        <v>11456</v>
      </c>
      <c r="C3950" t="s">
        <v>11457</v>
      </c>
      <c r="D3950" t="s">
        <v>23</v>
      </c>
      <c r="E3950" t="s">
        <v>54</v>
      </c>
      <c r="F3950" t="s">
        <v>36</v>
      </c>
      <c r="G3950" t="s">
        <v>31</v>
      </c>
      <c r="H3950">
        <f>Cleaned_Data!K3950</f>
        <v>12.3</v>
      </c>
      <c r="I3950" t="str">
        <f t="shared" si="183"/>
        <v>YES</v>
      </c>
      <c r="J3950">
        <f>Cleaned_Data!J3950</f>
        <v>24</v>
      </c>
      <c r="K3950" t="str">
        <f t="shared" si="184"/>
        <v>2024-03</v>
      </c>
      <c r="L3950">
        <f t="shared" si="185"/>
        <v>0</v>
      </c>
    </row>
    <row r="3951" spans="1:12">
      <c r="A3951" t="s">
        <v>11458</v>
      </c>
      <c r="B3951" t="s">
        <v>11459</v>
      </c>
      <c r="D3951" t="s">
        <v>23</v>
      </c>
      <c r="E3951" t="s">
        <v>28</v>
      </c>
      <c r="F3951" t="s">
        <v>60</v>
      </c>
      <c r="G3951" t="s">
        <v>63</v>
      </c>
      <c r="H3951">
        <f>Cleaned_Data!K3951</f>
        <v>0</v>
      </c>
      <c r="I3951" t="str">
        <f t="shared" si="183"/>
        <v/>
      </c>
      <c r="J3951">
        <f>Cleaned_Data!J3951</f>
        <v>24</v>
      </c>
      <c r="K3951" t="str">
        <f t="shared" si="184"/>
        <v>2024-01</v>
      </c>
      <c r="L3951">
        <f t="shared" si="185"/>
        <v>0</v>
      </c>
    </row>
    <row r="3952" spans="1:12">
      <c r="A3952" t="s">
        <v>11460</v>
      </c>
      <c r="B3952" t="s">
        <v>11461</v>
      </c>
      <c r="C3952" t="s">
        <v>11462</v>
      </c>
      <c r="D3952" t="s">
        <v>23</v>
      </c>
      <c r="E3952" t="s">
        <v>28</v>
      </c>
      <c r="F3952" t="s">
        <v>41</v>
      </c>
      <c r="G3952" t="s">
        <v>31</v>
      </c>
      <c r="H3952">
        <f>Cleaned_Data!K3952</f>
        <v>14.8</v>
      </c>
      <c r="I3952" t="str">
        <f t="shared" si="183"/>
        <v>YES</v>
      </c>
      <c r="J3952">
        <f>Cleaned_Data!J3952</f>
        <v>24</v>
      </c>
      <c r="K3952" t="str">
        <f t="shared" si="184"/>
        <v>2024-09</v>
      </c>
      <c r="L3952">
        <f t="shared" si="185"/>
        <v>0</v>
      </c>
    </row>
    <row r="3953" spans="1:12">
      <c r="A3953" t="s">
        <v>11463</v>
      </c>
      <c r="B3953" t="s">
        <v>11464</v>
      </c>
      <c r="C3953" t="s">
        <v>11465</v>
      </c>
      <c r="D3953" t="s">
        <v>23</v>
      </c>
      <c r="E3953" t="s">
        <v>28</v>
      </c>
      <c r="F3953" t="s">
        <v>29</v>
      </c>
      <c r="G3953" t="s">
        <v>19</v>
      </c>
      <c r="H3953">
        <f>Cleaned_Data!K3953</f>
        <v>6.97</v>
      </c>
      <c r="I3953" t="str">
        <f t="shared" si="183"/>
        <v>YES</v>
      </c>
      <c r="J3953">
        <f>Cleaned_Data!J3953</f>
        <v>24</v>
      </c>
      <c r="K3953" t="str">
        <f t="shared" si="184"/>
        <v>2024-11</v>
      </c>
      <c r="L3953">
        <f t="shared" si="185"/>
        <v>0</v>
      </c>
    </row>
    <row r="3954" spans="1:12">
      <c r="A3954" t="s">
        <v>11466</v>
      </c>
      <c r="B3954" t="s">
        <v>11467</v>
      </c>
      <c r="C3954" t="s">
        <v>11468</v>
      </c>
      <c r="D3954" t="s">
        <v>23</v>
      </c>
      <c r="E3954" t="s">
        <v>24</v>
      </c>
      <c r="F3954" t="s">
        <v>29</v>
      </c>
      <c r="G3954" t="s">
        <v>31</v>
      </c>
      <c r="H3954">
        <f>Cleaned_Data!K3954</f>
        <v>7.52</v>
      </c>
      <c r="I3954" t="str">
        <f t="shared" si="183"/>
        <v>YES</v>
      </c>
      <c r="J3954">
        <f>Cleaned_Data!J3954</f>
        <v>24</v>
      </c>
      <c r="K3954" t="str">
        <f t="shared" si="184"/>
        <v>2024-04</v>
      </c>
      <c r="L3954">
        <f t="shared" si="185"/>
        <v>0</v>
      </c>
    </row>
    <row r="3955" spans="1:12">
      <c r="A3955" t="s">
        <v>11469</v>
      </c>
      <c r="B3955" t="s">
        <v>11470</v>
      </c>
      <c r="C3955" t="s">
        <v>11471</v>
      </c>
      <c r="D3955" t="s">
        <v>158</v>
      </c>
      <c r="E3955" t="s">
        <v>59</v>
      </c>
      <c r="F3955" t="s">
        <v>60</v>
      </c>
      <c r="G3955" t="s">
        <v>19</v>
      </c>
      <c r="H3955">
        <f>Cleaned_Data!K3955</f>
        <v>8.2899999999999991</v>
      </c>
      <c r="I3955" t="str">
        <f t="shared" si="183"/>
        <v>NO</v>
      </c>
      <c r="J3955">
        <f>Cleaned_Data!J3955</f>
        <v>4</v>
      </c>
      <c r="K3955" t="str">
        <f t="shared" si="184"/>
        <v>2024-10</v>
      </c>
      <c r="L3955">
        <f t="shared" si="185"/>
        <v>4.2899999999999991</v>
      </c>
    </row>
    <row r="3956" spans="1:12">
      <c r="A3956" t="s">
        <v>11472</v>
      </c>
      <c r="B3956" t="s">
        <v>11473</v>
      </c>
      <c r="C3956" t="s">
        <v>11474</v>
      </c>
      <c r="D3956" t="s">
        <v>35</v>
      </c>
      <c r="E3956" t="s">
        <v>16</v>
      </c>
      <c r="F3956" t="s">
        <v>29</v>
      </c>
      <c r="G3956" t="s">
        <v>31</v>
      </c>
      <c r="H3956">
        <f>Cleaned_Data!K3956</f>
        <v>39.04</v>
      </c>
      <c r="I3956" t="str">
        <f t="shared" si="183"/>
        <v>YES</v>
      </c>
      <c r="J3956">
        <f>Cleaned_Data!J3956</f>
        <v>48</v>
      </c>
      <c r="K3956" t="str">
        <f t="shared" si="184"/>
        <v>2024-11</v>
      </c>
      <c r="L3956">
        <f t="shared" si="185"/>
        <v>0</v>
      </c>
    </row>
    <row r="3957" spans="1:12">
      <c r="A3957" t="s">
        <v>11475</v>
      </c>
      <c r="B3957" t="s">
        <v>11476</v>
      </c>
      <c r="C3957" t="s">
        <v>11477</v>
      </c>
      <c r="D3957" t="s">
        <v>23</v>
      </c>
      <c r="E3957" t="s">
        <v>59</v>
      </c>
      <c r="F3957" t="s">
        <v>29</v>
      </c>
      <c r="G3957" t="s">
        <v>19</v>
      </c>
      <c r="H3957">
        <f>Cleaned_Data!K3957</f>
        <v>2.95</v>
      </c>
      <c r="I3957" t="str">
        <f t="shared" si="183"/>
        <v>YES</v>
      </c>
      <c r="J3957">
        <f>Cleaned_Data!J3957</f>
        <v>24</v>
      </c>
      <c r="K3957" t="str">
        <f t="shared" si="184"/>
        <v>2024-09</v>
      </c>
      <c r="L3957">
        <f t="shared" si="185"/>
        <v>0</v>
      </c>
    </row>
    <row r="3958" spans="1:12">
      <c r="A3958" t="s">
        <v>11478</v>
      </c>
      <c r="B3958" t="s">
        <v>11479</v>
      </c>
      <c r="C3958" t="s">
        <v>11480</v>
      </c>
      <c r="D3958" t="s">
        <v>23</v>
      </c>
      <c r="E3958" t="s">
        <v>28</v>
      </c>
      <c r="F3958" t="s">
        <v>17</v>
      </c>
      <c r="G3958" t="s">
        <v>19</v>
      </c>
      <c r="H3958">
        <f>Cleaned_Data!K3958</f>
        <v>52.53</v>
      </c>
      <c r="I3958" t="str">
        <f t="shared" si="183"/>
        <v>NO</v>
      </c>
      <c r="J3958">
        <f>Cleaned_Data!J3958</f>
        <v>24</v>
      </c>
      <c r="K3958" t="str">
        <f t="shared" si="184"/>
        <v>2024-12</v>
      </c>
      <c r="L3958">
        <f t="shared" si="185"/>
        <v>28.53</v>
      </c>
    </row>
    <row r="3959" spans="1:12">
      <c r="A3959" t="s">
        <v>11481</v>
      </c>
      <c r="B3959" t="s">
        <v>11482</v>
      </c>
      <c r="C3959" t="s">
        <v>11483</v>
      </c>
      <c r="D3959" t="s">
        <v>35</v>
      </c>
      <c r="E3959" t="s">
        <v>16</v>
      </c>
      <c r="F3959" t="s">
        <v>41</v>
      </c>
      <c r="G3959" t="s">
        <v>19</v>
      </c>
      <c r="H3959">
        <f>Cleaned_Data!K3959</f>
        <v>11.88</v>
      </c>
      <c r="I3959" t="str">
        <f t="shared" si="183"/>
        <v>YES</v>
      </c>
      <c r="J3959">
        <f>Cleaned_Data!J3959</f>
        <v>48</v>
      </c>
      <c r="K3959" t="str">
        <f t="shared" si="184"/>
        <v>2024-01</v>
      </c>
      <c r="L3959">
        <f t="shared" si="185"/>
        <v>0</v>
      </c>
    </row>
    <row r="3960" spans="1:12">
      <c r="A3960" t="s">
        <v>11484</v>
      </c>
      <c r="B3960" t="s">
        <v>11485</v>
      </c>
      <c r="D3960" t="s">
        <v>23</v>
      </c>
      <c r="E3960" t="s">
        <v>54</v>
      </c>
      <c r="F3960" t="s">
        <v>17</v>
      </c>
      <c r="G3960" t="s">
        <v>63</v>
      </c>
      <c r="H3960">
        <f>Cleaned_Data!K3960</f>
        <v>0</v>
      </c>
      <c r="I3960" t="str">
        <f t="shared" si="183"/>
        <v/>
      </c>
      <c r="J3960">
        <f>Cleaned_Data!J3960</f>
        <v>24</v>
      </c>
      <c r="K3960" t="str">
        <f t="shared" si="184"/>
        <v>2024-11</v>
      </c>
      <c r="L3960">
        <f t="shared" si="185"/>
        <v>0</v>
      </c>
    </row>
    <row r="3961" spans="1:12">
      <c r="A3961" t="s">
        <v>11486</v>
      </c>
      <c r="B3961" t="s">
        <v>11487</v>
      </c>
      <c r="D3961" t="s">
        <v>35</v>
      </c>
      <c r="E3961" t="s">
        <v>24</v>
      </c>
      <c r="F3961" t="s">
        <v>29</v>
      </c>
      <c r="G3961" t="s">
        <v>63</v>
      </c>
      <c r="H3961">
        <f>Cleaned_Data!K3961</f>
        <v>0</v>
      </c>
      <c r="I3961" t="str">
        <f t="shared" si="183"/>
        <v/>
      </c>
      <c r="J3961">
        <f>Cleaned_Data!J3961</f>
        <v>48</v>
      </c>
      <c r="K3961" t="str">
        <f t="shared" si="184"/>
        <v>2024-08</v>
      </c>
      <c r="L3961">
        <f t="shared" si="185"/>
        <v>0</v>
      </c>
    </row>
    <row r="3962" spans="1:12">
      <c r="A3962" t="s">
        <v>11488</v>
      </c>
      <c r="B3962" t="s">
        <v>11489</v>
      </c>
      <c r="C3962" t="s">
        <v>11490</v>
      </c>
      <c r="D3962" t="s">
        <v>23</v>
      </c>
      <c r="E3962" t="s">
        <v>24</v>
      </c>
      <c r="F3962" t="s">
        <v>41</v>
      </c>
      <c r="G3962" t="s">
        <v>19</v>
      </c>
      <c r="H3962">
        <f>Cleaned_Data!K3962</f>
        <v>9.25</v>
      </c>
      <c r="I3962" t="str">
        <f t="shared" si="183"/>
        <v>YES</v>
      </c>
      <c r="J3962">
        <f>Cleaned_Data!J3962</f>
        <v>24</v>
      </c>
      <c r="K3962" t="str">
        <f t="shared" si="184"/>
        <v>2024-06</v>
      </c>
      <c r="L3962">
        <f t="shared" si="185"/>
        <v>0</v>
      </c>
    </row>
    <row r="3963" spans="1:12">
      <c r="A3963" t="s">
        <v>11491</v>
      </c>
      <c r="B3963" t="s">
        <v>11492</v>
      </c>
      <c r="C3963" t="s">
        <v>11493</v>
      </c>
      <c r="D3963" t="s">
        <v>35</v>
      </c>
      <c r="E3963" t="s">
        <v>28</v>
      </c>
      <c r="F3963" t="s">
        <v>41</v>
      </c>
      <c r="G3963" t="s">
        <v>31</v>
      </c>
      <c r="H3963">
        <f>Cleaned_Data!K3963</f>
        <v>38.94</v>
      </c>
      <c r="I3963" t="str">
        <f t="shared" si="183"/>
        <v>YES</v>
      </c>
      <c r="J3963">
        <f>Cleaned_Data!J3963</f>
        <v>48</v>
      </c>
      <c r="K3963" t="str">
        <f t="shared" si="184"/>
        <v>2024-02</v>
      </c>
      <c r="L3963">
        <f t="shared" si="185"/>
        <v>0</v>
      </c>
    </row>
    <row r="3964" spans="1:12">
      <c r="A3964" t="s">
        <v>11494</v>
      </c>
      <c r="B3964" t="s">
        <v>11495</v>
      </c>
      <c r="C3964" t="s">
        <v>11496</v>
      </c>
      <c r="D3964" t="s">
        <v>35</v>
      </c>
      <c r="E3964" t="s">
        <v>28</v>
      </c>
      <c r="F3964" t="s">
        <v>29</v>
      </c>
      <c r="G3964" t="s">
        <v>19</v>
      </c>
      <c r="H3964">
        <f>Cleaned_Data!K3964</f>
        <v>40.19</v>
      </c>
      <c r="I3964" t="str">
        <f t="shared" si="183"/>
        <v>YES</v>
      </c>
      <c r="J3964">
        <f>Cleaned_Data!J3964</f>
        <v>48</v>
      </c>
      <c r="K3964" t="str">
        <f t="shared" si="184"/>
        <v>2024-11</v>
      </c>
      <c r="L3964">
        <f t="shared" si="185"/>
        <v>0</v>
      </c>
    </row>
    <row r="3965" spans="1:12">
      <c r="A3965" t="s">
        <v>11497</v>
      </c>
      <c r="B3965" t="s">
        <v>11498</v>
      </c>
      <c r="C3965" t="s">
        <v>11499</v>
      </c>
      <c r="D3965" t="s">
        <v>23</v>
      </c>
      <c r="E3965" t="s">
        <v>24</v>
      </c>
      <c r="F3965" t="s">
        <v>60</v>
      </c>
      <c r="G3965" t="s">
        <v>31</v>
      </c>
      <c r="H3965">
        <f>Cleaned_Data!K3965</f>
        <v>21.61</v>
      </c>
      <c r="I3965" t="str">
        <f t="shared" si="183"/>
        <v>YES</v>
      </c>
      <c r="J3965">
        <f>Cleaned_Data!J3965</f>
        <v>24</v>
      </c>
      <c r="K3965" t="str">
        <f t="shared" si="184"/>
        <v>2024-06</v>
      </c>
      <c r="L3965">
        <f t="shared" si="185"/>
        <v>0</v>
      </c>
    </row>
    <row r="3966" spans="1:12">
      <c r="A3966" t="s">
        <v>11500</v>
      </c>
      <c r="B3966" t="s">
        <v>11501</v>
      </c>
      <c r="C3966" t="s">
        <v>11502</v>
      </c>
      <c r="D3966" t="s">
        <v>35</v>
      </c>
      <c r="E3966" t="s">
        <v>16</v>
      </c>
      <c r="F3966" t="s">
        <v>60</v>
      </c>
      <c r="G3966" t="s">
        <v>31</v>
      </c>
      <c r="H3966">
        <f>Cleaned_Data!K3966</f>
        <v>136.12</v>
      </c>
      <c r="I3966" t="str">
        <f t="shared" si="183"/>
        <v>NO</v>
      </c>
      <c r="J3966">
        <f>Cleaned_Data!J3966</f>
        <v>48</v>
      </c>
      <c r="K3966" t="str">
        <f t="shared" si="184"/>
        <v>2024-07</v>
      </c>
      <c r="L3966">
        <f t="shared" si="185"/>
        <v>88.12</v>
      </c>
    </row>
    <row r="3967" spans="1:12">
      <c r="A3967" t="s">
        <v>11503</v>
      </c>
      <c r="B3967" t="s">
        <v>11504</v>
      </c>
      <c r="C3967" t="s">
        <v>11505</v>
      </c>
      <c r="D3967" t="s">
        <v>15</v>
      </c>
      <c r="E3967" t="s">
        <v>16</v>
      </c>
      <c r="F3967" t="s">
        <v>36</v>
      </c>
      <c r="G3967" t="s">
        <v>19</v>
      </c>
      <c r="H3967">
        <f>Cleaned_Data!K3967</f>
        <v>3.49</v>
      </c>
      <c r="I3967" t="str">
        <f t="shared" si="183"/>
        <v>YES</v>
      </c>
      <c r="J3967">
        <f>Cleaned_Data!J3967</f>
        <v>8</v>
      </c>
      <c r="K3967" t="str">
        <f t="shared" si="184"/>
        <v>2024-06</v>
      </c>
      <c r="L3967">
        <f t="shared" si="185"/>
        <v>0</v>
      </c>
    </row>
    <row r="3968" spans="1:12">
      <c r="A3968" t="s">
        <v>11506</v>
      </c>
      <c r="B3968" t="s">
        <v>11507</v>
      </c>
      <c r="C3968" t="s">
        <v>11508</v>
      </c>
      <c r="D3968" t="s">
        <v>35</v>
      </c>
      <c r="E3968" t="s">
        <v>16</v>
      </c>
      <c r="F3968" t="s">
        <v>29</v>
      </c>
      <c r="G3968" t="s">
        <v>19</v>
      </c>
      <c r="H3968">
        <f>Cleaned_Data!K3968</f>
        <v>75.099999999999994</v>
      </c>
      <c r="I3968" t="str">
        <f t="shared" si="183"/>
        <v>NO</v>
      </c>
      <c r="J3968">
        <f>Cleaned_Data!J3968</f>
        <v>48</v>
      </c>
      <c r="K3968" t="str">
        <f t="shared" si="184"/>
        <v>2024-06</v>
      </c>
      <c r="L3968">
        <f t="shared" si="185"/>
        <v>27.099999999999994</v>
      </c>
    </row>
    <row r="3969" spans="1:12">
      <c r="A3969" t="s">
        <v>11509</v>
      </c>
      <c r="B3969" t="s">
        <v>11510</v>
      </c>
      <c r="C3969" t="s">
        <v>11511</v>
      </c>
      <c r="D3969" t="s">
        <v>23</v>
      </c>
      <c r="E3969" t="s">
        <v>28</v>
      </c>
      <c r="F3969" t="s">
        <v>60</v>
      </c>
      <c r="G3969" t="s">
        <v>31</v>
      </c>
      <c r="H3969">
        <f>Cleaned_Data!K3969</f>
        <v>22.24</v>
      </c>
      <c r="I3969" t="str">
        <f t="shared" si="183"/>
        <v>YES</v>
      </c>
      <c r="J3969">
        <f>Cleaned_Data!J3969</f>
        <v>24</v>
      </c>
      <c r="K3969" t="str">
        <f t="shared" si="184"/>
        <v>2024-06</v>
      </c>
      <c r="L3969">
        <f t="shared" si="185"/>
        <v>0</v>
      </c>
    </row>
    <row r="3970" spans="1:12">
      <c r="A3970" t="s">
        <v>11512</v>
      </c>
      <c r="B3970" t="s">
        <v>11513</v>
      </c>
      <c r="C3970" t="s">
        <v>11514</v>
      </c>
      <c r="D3970" t="s">
        <v>23</v>
      </c>
      <c r="E3970" t="s">
        <v>54</v>
      </c>
      <c r="F3970" t="s">
        <v>17</v>
      </c>
      <c r="G3970" t="s">
        <v>31</v>
      </c>
      <c r="H3970">
        <f>Cleaned_Data!K3970</f>
        <v>65.61</v>
      </c>
      <c r="I3970" t="str">
        <f t="shared" ref="I3970:I4033" si="186">IF(OR(G3970="Resolved", G3970="Closed"), IF(AND(H3970&lt;&gt;"", H3970&lt;=J3970), "YES", "NO"), "")</f>
        <v>NO</v>
      </c>
      <c r="J3970">
        <f>Cleaned_Data!J3970</f>
        <v>24</v>
      </c>
      <c r="K3970" t="str">
        <f t="shared" ref="K3970:K4033" si="187">LEFT(B3970, 7)</f>
        <v>2024-05</v>
      </c>
      <c r="L3970">
        <f t="shared" ref="L3970:L4033" si="188">IF(I3970="NO", H3970-J3970, 0)</f>
        <v>41.61</v>
      </c>
    </row>
    <row r="3971" spans="1:12">
      <c r="A3971" t="s">
        <v>11515</v>
      </c>
      <c r="B3971" t="s">
        <v>11516</v>
      </c>
      <c r="C3971" t="s">
        <v>11517</v>
      </c>
      <c r="D3971" t="s">
        <v>23</v>
      </c>
      <c r="E3971" t="s">
        <v>28</v>
      </c>
      <c r="F3971" t="s">
        <v>29</v>
      </c>
      <c r="G3971" t="s">
        <v>19</v>
      </c>
      <c r="H3971">
        <f>Cleaned_Data!K3971</f>
        <v>15.61</v>
      </c>
      <c r="I3971" t="str">
        <f t="shared" si="186"/>
        <v>YES</v>
      </c>
      <c r="J3971">
        <f>Cleaned_Data!J3971</f>
        <v>24</v>
      </c>
      <c r="K3971" t="str">
        <f t="shared" si="187"/>
        <v>2024-10</v>
      </c>
      <c r="L3971">
        <f t="shared" si="188"/>
        <v>0</v>
      </c>
    </row>
    <row r="3972" spans="1:12">
      <c r="A3972" t="s">
        <v>11518</v>
      </c>
      <c r="B3972" t="s">
        <v>11519</v>
      </c>
      <c r="C3972" t="s">
        <v>11520</v>
      </c>
      <c r="D3972" t="s">
        <v>23</v>
      </c>
      <c r="E3972" t="s">
        <v>16</v>
      </c>
      <c r="F3972" t="s">
        <v>60</v>
      </c>
      <c r="G3972" t="s">
        <v>19</v>
      </c>
      <c r="H3972">
        <f>Cleaned_Data!K3972</f>
        <v>15.12</v>
      </c>
      <c r="I3972" t="str">
        <f t="shared" si="186"/>
        <v>YES</v>
      </c>
      <c r="J3972">
        <f>Cleaned_Data!J3972</f>
        <v>24</v>
      </c>
      <c r="K3972" t="str">
        <f t="shared" si="187"/>
        <v>2024-04</v>
      </c>
      <c r="L3972">
        <f t="shared" si="188"/>
        <v>0</v>
      </c>
    </row>
    <row r="3973" spans="1:12">
      <c r="A3973" t="s">
        <v>11521</v>
      </c>
      <c r="B3973" t="s">
        <v>11522</v>
      </c>
      <c r="C3973" t="s">
        <v>11523</v>
      </c>
      <c r="D3973" t="s">
        <v>15</v>
      </c>
      <c r="E3973" t="s">
        <v>16</v>
      </c>
      <c r="F3973" t="s">
        <v>29</v>
      </c>
      <c r="G3973" t="s">
        <v>31</v>
      </c>
      <c r="H3973">
        <f>Cleaned_Data!K3973</f>
        <v>20.46</v>
      </c>
      <c r="I3973" t="str">
        <f t="shared" si="186"/>
        <v>NO</v>
      </c>
      <c r="J3973">
        <f>Cleaned_Data!J3973</f>
        <v>8</v>
      </c>
      <c r="K3973" t="str">
        <f t="shared" si="187"/>
        <v>2024-01</v>
      </c>
      <c r="L3973">
        <f t="shared" si="188"/>
        <v>12.46</v>
      </c>
    </row>
    <row r="3974" spans="1:12">
      <c r="A3974" t="s">
        <v>11524</v>
      </c>
      <c r="B3974" t="s">
        <v>11525</v>
      </c>
      <c r="C3974" t="s">
        <v>11526</v>
      </c>
      <c r="D3974" t="s">
        <v>23</v>
      </c>
      <c r="E3974" t="s">
        <v>28</v>
      </c>
      <c r="F3974" t="s">
        <v>17</v>
      </c>
      <c r="G3974" t="s">
        <v>19</v>
      </c>
      <c r="H3974">
        <f>Cleaned_Data!K3974</f>
        <v>52.36</v>
      </c>
      <c r="I3974" t="str">
        <f t="shared" si="186"/>
        <v>NO</v>
      </c>
      <c r="J3974">
        <f>Cleaned_Data!J3974</f>
        <v>24</v>
      </c>
      <c r="K3974" t="str">
        <f t="shared" si="187"/>
        <v>2024-01</v>
      </c>
      <c r="L3974">
        <f t="shared" si="188"/>
        <v>28.36</v>
      </c>
    </row>
    <row r="3975" spans="1:12">
      <c r="A3975" t="s">
        <v>11527</v>
      </c>
      <c r="B3975" t="s">
        <v>11528</v>
      </c>
      <c r="D3975" t="s">
        <v>15</v>
      </c>
      <c r="E3975" t="s">
        <v>28</v>
      </c>
      <c r="F3975" t="s">
        <v>41</v>
      </c>
      <c r="G3975" t="s">
        <v>46</v>
      </c>
      <c r="H3975">
        <f>Cleaned_Data!K3975</f>
        <v>0</v>
      </c>
      <c r="I3975" t="str">
        <f t="shared" si="186"/>
        <v/>
      </c>
      <c r="J3975">
        <f>Cleaned_Data!J3975</f>
        <v>8</v>
      </c>
      <c r="K3975" t="str">
        <f t="shared" si="187"/>
        <v>2024-08</v>
      </c>
      <c r="L3975">
        <f t="shared" si="188"/>
        <v>0</v>
      </c>
    </row>
    <row r="3976" spans="1:12">
      <c r="A3976" t="s">
        <v>11529</v>
      </c>
      <c r="B3976" t="s">
        <v>11530</v>
      </c>
      <c r="C3976" t="s">
        <v>11531</v>
      </c>
      <c r="D3976" t="s">
        <v>158</v>
      </c>
      <c r="E3976" t="s">
        <v>59</v>
      </c>
      <c r="F3976" t="s">
        <v>36</v>
      </c>
      <c r="G3976" t="s">
        <v>19</v>
      </c>
      <c r="H3976">
        <f>Cleaned_Data!K3976</f>
        <v>3.69</v>
      </c>
      <c r="I3976" t="str">
        <f t="shared" si="186"/>
        <v>YES</v>
      </c>
      <c r="J3976">
        <f>Cleaned_Data!J3976</f>
        <v>4</v>
      </c>
      <c r="K3976" t="str">
        <f t="shared" si="187"/>
        <v>2024-07</v>
      </c>
      <c r="L3976">
        <f t="shared" si="188"/>
        <v>0</v>
      </c>
    </row>
    <row r="3977" spans="1:12">
      <c r="A3977" t="s">
        <v>11532</v>
      </c>
      <c r="B3977" t="s">
        <v>11533</v>
      </c>
      <c r="C3977" t="s">
        <v>11534</v>
      </c>
      <c r="D3977" t="s">
        <v>23</v>
      </c>
      <c r="E3977" t="s">
        <v>16</v>
      </c>
      <c r="F3977" t="s">
        <v>41</v>
      </c>
      <c r="G3977" t="s">
        <v>19</v>
      </c>
      <c r="H3977">
        <f>Cleaned_Data!K3977</f>
        <v>37.25</v>
      </c>
      <c r="I3977" t="str">
        <f t="shared" si="186"/>
        <v>NO</v>
      </c>
      <c r="J3977">
        <f>Cleaned_Data!J3977</f>
        <v>24</v>
      </c>
      <c r="K3977" t="str">
        <f t="shared" si="187"/>
        <v>2024-02</v>
      </c>
      <c r="L3977">
        <f t="shared" si="188"/>
        <v>13.25</v>
      </c>
    </row>
    <row r="3978" spans="1:12">
      <c r="A3978" t="s">
        <v>11535</v>
      </c>
      <c r="B3978" t="s">
        <v>11536</v>
      </c>
      <c r="C3978" t="s">
        <v>11537</v>
      </c>
      <c r="D3978" t="s">
        <v>158</v>
      </c>
      <c r="E3978" t="s">
        <v>16</v>
      </c>
      <c r="F3978" t="s">
        <v>17</v>
      </c>
      <c r="G3978" t="s">
        <v>19</v>
      </c>
      <c r="H3978">
        <f>Cleaned_Data!K3978</f>
        <v>2.21</v>
      </c>
      <c r="I3978" t="str">
        <f t="shared" si="186"/>
        <v>YES</v>
      </c>
      <c r="J3978">
        <f>Cleaned_Data!J3978</f>
        <v>4</v>
      </c>
      <c r="K3978" t="str">
        <f t="shared" si="187"/>
        <v>2024-02</v>
      </c>
      <c r="L3978">
        <f t="shared" si="188"/>
        <v>0</v>
      </c>
    </row>
    <row r="3979" spans="1:12">
      <c r="A3979" t="s">
        <v>11538</v>
      </c>
      <c r="B3979" t="s">
        <v>11539</v>
      </c>
      <c r="C3979" t="s">
        <v>11540</v>
      </c>
      <c r="D3979" t="s">
        <v>15</v>
      </c>
      <c r="E3979" t="s">
        <v>16</v>
      </c>
      <c r="F3979" t="s">
        <v>41</v>
      </c>
      <c r="G3979" t="s">
        <v>19</v>
      </c>
      <c r="H3979">
        <f>Cleaned_Data!K3979</f>
        <v>5.5</v>
      </c>
      <c r="I3979" t="str">
        <f t="shared" si="186"/>
        <v>YES</v>
      </c>
      <c r="J3979">
        <f>Cleaned_Data!J3979</f>
        <v>8</v>
      </c>
      <c r="K3979" t="str">
        <f t="shared" si="187"/>
        <v>2024-06</v>
      </c>
      <c r="L3979">
        <f t="shared" si="188"/>
        <v>0</v>
      </c>
    </row>
    <row r="3980" spans="1:12">
      <c r="A3980" t="s">
        <v>11541</v>
      </c>
      <c r="B3980" t="s">
        <v>11542</v>
      </c>
      <c r="C3980" t="s">
        <v>11543</v>
      </c>
      <c r="D3980" t="s">
        <v>23</v>
      </c>
      <c r="E3980" t="s">
        <v>28</v>
      </c>
      <c r="F3980" t="s">
        <v>36</v>
      </c>
      <c r="G3980" t="s">
        <v>19</v>
      </c>
      <c r="H3980">
        <f>Cleaned_Data!K3980</f>
        <v>31.59</v>
      </c>
      <c r="I3980" t="str">
        <f t="shared" si="186"/>
        <v>NO</v>
      </c>
      <c r="J3980">
        <f>Cleaned_Data!J3980</f>
        <v>24</v>
      </c>
      <c r="K3980" t="str">
        <f t="shared" si="187"/>
        <v>2024-12</v>
      </c>
      <c r="L3980">
        <f t="shared" si="188"/>
        <v>7.59</v>
      </c>
    </row>
    <row r="3981" spans="1:12">
      <c r="A3981" t="s">
        <v>11544</v>
      </c>
      <c r="B3981" t="s">
        <v>11545</v>
      </c>
      <c r="C3981" t="s">
        <v>11546</v>
      </c>
      <c r="D3981" t="s">
        <v>23</v>
      </c>
      <c r="E3981" t="s">
        <v>28</v>
      </c>
      <c r="F3981" t="s">
        <v>29</v>
      </c>
      <c r="G3981" t="s">
        <v>19</v>
      </c>
      <c r="H3981">
        <f>Cleaned_Data!K3981</f>
        <v>3.5</v>
      </c>
      <c r="I3981" t="str">
        <f t="shared" si="186"/>
        <v>YES</v>
      </c>
      <c r="J3981">
        <f>Cleaned_Data!J3981</f>
        <v>24</v>
      </c>
      <c r="K3981" t="str">
        <f t="shared" si="187"/>
        <v>2024-11</v>
      </c>
      <c r="L3981">
        <f t="shared" si="188"/>
        <v>0</v>
      </c>
    </row>
    <row r="3982" spans="1:12">
      <c r="A3982" t="s">
        <v>11547</v>
      </c>
      <c r="B3982" t="s">
        <v>11548</v>
      </c>
      <c r="C3982" t="s">
        <v>11549</v>
      </c>
      <c r="D3982" t="s">
        <v>15</v>
      </c>
      <c r="E3982" t="s">
        <v>16</v>
      </c>
      <c r="F3982" t="s">
        <v>36</v>
      </c>
      <c r="G3982" t="s">
        <v>19</v>
      </c>
      <c r="H3982">
        <f>Cleaned_Data!K3982</f>
        <v>3.77</v>
      </c>
      <c r="I3982" t="str">
        <f t="shared" si="186"/>
        <v>YES</v>
      </c>
      <c r="J3982">
        <f>Cleaned_Data!J3982</f>
        <v>8</v>
      </c>
      <c r="K3982" t="str">
        <f t="shared" si="187"/>
        <v>2024-08</v>
      </c>
      <c r="L3982">
        <f t="shared" si="188"/>
        <v>0</v>
      </c>
    </row>
    <row r="3983" spans="1:12">
      <c r="A3983" t="s">
        <v>11550</v>
      </c>
      <c r="B3983" t="s">
        <v>11551</v>
      </c>
      <c r="C3983" t="s">
        <v>11552</v>
      </c>
      <c r="D3983" t="s">
        <v>15</v>
      </c>
      <c r="E3983" t="s">
        <v>16</v>
      </c>
      <c r="F3983" t="s">
        <v>29</v>
      </c>
      <c r="G3983" t="s">
        <v>19</v>
      </c>
      <c r="H3983">
        <f>Cleaned_Data!K3983</f>
        <v>12.49</v>
      </c>
      <c r="I3983" t="str">
        <f t="shared" si="186"/>
        <v>NO</v>
      </c>
      <c r="J3983">
        <f>Cleaned_Data!J3983</f>
        <v>8</v>
      </c>
      <c r="K3983" t="str">
        <f t="shared" si="187"/>
        <v>2024-07</v>
      </c>
      <c r="L3983">
        <f t="shared" si="188"/>
        <v>4.49</v>
      </c>
    </row>
    <row r="3984" spans="1:12">
      <c r="A3984" t="s">
        <v>11553</v>
      </c>
      <c r="B3984" t="s">
        <v>11554</v>
      </c>
      <c r="D3984" t="s">
        <v>23</v>
      </c>
      <c r="E3984" t="s">
        <v>28</v>
      </c>
      <c r="F3984" t="s">
        <v>60</v>
      </c>
      <c r="G3984" t="s">
        <v>46</v>
      </c>
      <c r="H3984">
        <f>Cleaned_Data!K3984</f>
        <v>0</v>
      </c>
      <c r="I3984" t="str">
        <f t="shared" si="186"/>
        <v/>
      </c>
      <c r="J3984">
        <f>Cleaned_Data!J3984</f>
        <v>24</v>
      </c>
      <c r="K3984" t="str">
        <f t="shared" si="187"/>
        <v>2024-07</v>
      </c>
      <c r="L3984">
        <f t="shared" si="188"/>
        <v>0</v>
      </c>
    </row>
    <row r="3985" spans="1:12">
      <c r="A3985" t="s">
        <v>11555</v>
      </c>
      <c r="B3985" t="s">
        <v>11556</v>
      </c>
      <c r="C3985" t="s">
        <v>11557</v>
      </c>
      <c r="D3985" t="s">
        <v>35</v>
      </c>
      <c r="E3985" t="s">
        <v>28</v>
      </c>
      <c r="F3985" t="s">
        <v>29</v>
      </c>
      <c r="G3985" t="s">
        <v>19</v>
      </c>
      <c r="H3985">
        <f>Cleaned_Data!K3985</f>
        <v>39.979999999999997</v>
      </c>
      <c r="I3985" t="str">
        <f t="shared" si="186"/>
        <v>YES</v>
      </c>
      <c r="J3985">
        <f>Cleaned_Data!J3985</f>
        <v>48</v>
      </c>
      <c r="K3985" t="str">
        <f t="shared" si="187"/>
        <v>2024-12</v>
      </c>
      <c r="L3985">
        <f t="shared" si="188"/>
        <v>0</v>
      </c>
    </row>
    <row r="3986" spans="1:12">
      <c r="A3986" t="s">
        <v>11558</v>
      </c>
      <c r="B3986" t="s">
        <v>11559</v>
      </c>
      <c r="C3986" t="s">
        <v>11560</v>
      </c>
      <c r="D3986" t="s">
        <v>35</v>
      </c>
      <c r="E3986" t="s">
        <v>28</v>
      </c>
      <c r="F3986" t="s">
        <v>17</v>
      </c>
      <c r="G3986" t="s">
        <v>19</v>
      </c>
      <c r="H3986">
        <f>Cleaned_Data!K3986</f>
        <v>18.829999999999998</v>
      </c>
      <c r="I3986" t="str">
        <f t="shared" si="186"/>
        <v>YES</v>
      </c>
      <c r="J3986">
        <f>Cleaned_Data!J3986</f>
        <v>48</v>
      </c>
      <c r="K3986" t="str">
        <f t="shared" si="187"/>
        <v>2024-10</v>
      </c>
      <c r="L3986">
        <f t="shared" si="188"/>
        <v>0</v>
      </c>
    </row>
    <row r="3987" spans="1:12">
      <c r="A3987" t="s">
        <v>11561</v>
      </c>
      <c r="B3987" t="s">
        <v>11562</v>
      </c>
      <c r="C3987" t="s">
        <v>11563</v>
      </c>
      <c r="D3987" t="s">
        <v>23</v>
      </c>
      <c r="E3987" t="s">
        <v>28</v>
      </c>
      <c r="F3987" t="s">
        <v>17</v>
      </c>
      <c r="G3987" t="s">
        <v>19</v>
      </c>
      <c r="H3987">
        <f>Cleaned_Data!K3987</f>
        <v>13.17</v>
      </c>
      <c r="I3987" t="str">
        <f t="shared" si="186"/>
        <v>YES</v>
      </c>
      <c r="J3987">
        <f>Cleaned_Data!J3987</f>
        <v>24</v>
      </c>
      <c r="K3987" t="str">
        <f t="shared" si="187"/>
        <v>2024-09</v>
      </c>
      <c r="L3987">
        <f t="shared" si="188"/>
        <v>0</v>
      </c>
    </row>
    <row r="3988" spans="1:12">
      <c r="A3988" t="s">
        <v>11564</v>
      </c>
      <c r="B3988" t="s">
        <v>11565</v>
      </c>
      <c r="D3988" t="s">
        <v>23</v>
      </c>
      <c r="E3988" t="s">
        <v>28</v>
      </c>
      <c r="F3988" t="s">
        <v>60</v>
      </c>
      <c r="G3988" t="s">
        <v>63</v>
      </c>
      <c r="H3988">
        <f>Cleaned_Data!K3988</f>
        <v>0</v>
      </c>
      <c r="I3988" t="str">
        <f t="shared" si="186"/>
        <v/>
      </c>
      <c r="J3988">
        <f>Cleaned_Data!J3988</f>
        <v>24</v>
      </c>
      <c r="K3988" t="str">
        <f t="shared" si="187"/>
        <v>2024-10</v>
      </c>
      <c r="L3988">
        <f t="shared" si="188"/>
        <v>0</v>
      </c>
    </row>
    <row r="3989" spans="1:12">
      <c r="A3989" t="s">
        <v>11566</v>
      </c>
      <c r="B3989" t="s">
        <v>11567</v>
      </c>
      <c r="C3989" t="s">
        <v>11568</v>
      </c>
      <c r="D3989" t="s">
        <v>23</v>
      </c>
      <c r="E3989" t="s">
        <v>28</v>
      </c>
      <c r="F3989" t="s">
        <v>41</v>
      </c>
      <c r="G3989" t="s">
        <v>31</v>
      </c>
      <c r="H3989">
        <f>Cleaned_Data!K3989</f>
        <v>5</v>
      </c>
      <c r="I3989" t="str">
        <f t="shared" si="186"/>
        <v>YES</v>
      </c>
      <c r="J3989">
        <f>Cleaned_Data!J3989</f>
        <v>24</v>
      </c>
      <c r="K3989" t="str">
        <f t="shared" si="187"/>
        <v>2024-03</v>
      </c>
      <c r="L3989">
        <f t="shared" si="188"/>
        <v>0</v>
      </c>
    </row>
    <row r="3990" spans="1:12">
      <c r="A3990" t="s">
        <v>11569</v>
      </c>
      <c r="B3990" t="s">
        <v>11570</v>
      </c>
      <c r="D3990" t="s">
        <v>23</v>
      </c>
      <c r="E3990" t="s">
        <v>54</v>
      </c>
      <c r="F3990" t="s">
        <v>60</v>
      </c>
      <c r="G3990" t="s">
        <v>63</v>
      </c>
      <c r="H3990">
        <f>Cleaned_Data!K3990</f>
        <v>0</v>
      </c>
      <c r="I3990" t="str">
        <f t="shared" si="186"/>
        <v/>
      </c>
      <c r="J3990">
        <f>Cleaned_Data!J3990</f>
        <v>24</v>
      </c>
      <c r="K3990" t="str">
        <f t="shared" si="187"/>
        <v>2024-04</v>
      </c>
      <c r="L3990">
        <f t="shared" si="188"/>
        <v>0</v>
      </c>
    </row>
    <row r="3991" spans="1:12">
      <c r="A3991" t="s">
        <v>11571</v>
      </c>
      <c r="B3991" t="s">
        <v>11572</v>
      </c>
      <c r="C3991" t="s">
        <v>11573</v>
      </c>
      <c r="D3991" t="s">
        <v>23</v>
      </c>
      <c r="E3991" t="s">
        <v>59</v>
      </c>
      <c r="F3991" t="s">
        <v>17</v>
      </c>
      <c r="G3991" t="s">
        <v>19</v>
      </c>
      <c r="H3991">
        <f>Cleaned_Data!K3991</f>
        <v>2.58</v>
      </c>
      <c r="I3991" t="str">
        <f t="shared" si="186"/>
        <v>YES</v>
      </c>
      <c r="J3991">
        <f>Cleaned_Data!J3991</f>
        <v>24</v>
      </c>
      <c r="K3991" t="str">
        <f t="shared" si="187"/>
        <v>2024-02</v>
      </c>
      <c r="L3991">
        <f t="shared" si="188"/>
        <v>0</v>
      </c>
    </row>
    <row r="3992" spans="1:12">
      <c r="A3992" t="s">
        <v>11574</v>
      </c>
      <c r="B3992" t="s">
        <v>11575</v>
      </c>
      <c r="C3992" t="s">
        <v>11576</v>
      </c>
      <c r="D3992" t="s">
        <v>23</v>
      </c>
      <c r="E3992" t="s">
        <v>24</v>
      </c>
      <c r="F3992" t="s">
        <v>60</v>
      </c>
      <c r="G3992" t="s">
        <v>31</v>
      </c>
      <c r="H3992">
        <f>Cleaned_Data!K3992</f>
        <v>17.78</v>
      </c>
      <c r="I3992" t="str">
        <f t="shared" si="186"/>
        <v>YES</v>
      </c>
      <c r="J3992">
        <f>Cleaned_Data!J3992</f>
        <v>24</v>
      </c>
      <c r="K3992" t="str">
        <f t="shared" si="187"/>
        <v>2024-07</v>
      </c>
      <c r="L3992">
        <f t="shared" si="188"/>
        <v>0</v>
      </c>
    </row>
    <row r="3993" spans="1:12">
      <c r="A3993" t="s">
        <v>11577</v>
      </c>
      <c r="B3993" t="s">
        <v>11578</v>
      </c>
      <c r="C3993" t="s">
        <v>11579</v>
      </c>
      <c r="D3993" t="s">
        <v>15</v>
      </c>
      <c r="E3993" t="s">
        <v>24</v>
      </c>
      <c r="F3993" t="s">
        <v>41</v>
      </c>
      <c r="G3993" t="s">
        <v>19</v>
      </c>
      <c r="H3993">
        <f>Cleaned_Data!K3993</f>
        <v>3.89</v>
      </c>
      <c r="I3993" t="str">
        <f t="shared" si="186"/>
        <v>YES</v>
      </c>
      <c r="J3993">
        <f>Cleaned_Data!J3993</f>
        <v>8</v>
      </c>
      <c r="K3993" t="str">
        <f t="shared" si="187"/>
        <v>2024-05</v>
      </c>
      <c r="L3993">
        <f t="shared" si="188"/>
        <v>0</v>
      </c>
    </row>
    <row r="3994" spans="1:12">
      <c r="A3994" t="s">
        <v>11580</v>
      </c>
      <c r="B3994" t="s">
        <v>11581</v>
      </c>
      <c r="C3994" t="s">
        <v>11582</v>
      </c>
      <c r="D3994" t="s">
        <v>23</v>
      </c>
      <c r="E3994" t="s">
        <v>28</v>
      </c>
      <c r="F3994" t="s">
        <v>60</v>
      </c>
      <c r="G3994" t="s">
        <v>19</v>
      </c>
      <c r="H3994">
        <f>Cleaned_Data!K3994</f>
        <v>62.9</v>
      </c>
      <c r="I3994" t="str">
        <f t="shared" si="186"/>
        <v>NO</v>
      </c>
      <c r="J3994">
        <f>Cleaned_Data!J3994</f>
        <v>24</v>
      </c>
      <c r="K3994" t="str">
        <f t="shared" si="187"/>
        <v>2024-07</v>
      </c>
      <c r="L3994">
        <f t="shared" si="188"/>
        <v>38.9</v>
      </c>
    </row>
    <row r="3995" spans="1:12">
      <c r="A3995" t="s">
        <v>11583</v>
      </c>
      <c r="B3995" t="s">
        <v>11584</v>
      </c>
      <c r="D3995" t="s">
        <v>35</v>
      </c>
      <c r="E3995" t="s">
        <v>28</v>
      </c>
      <c r="F3995" t="s">
        <v>17</v>
      </c>
      <c r="G3995" t="s">
        <v>63</v>
      </c>
      <c r="H3995">
        <f>Cleaned_Data!K3995</f>
        <v>0</v>
      </c>
      <c r="I3995" t="str">
        <f t="shared" si="186"/>
        <v/>
      </c>
      <c r="J3995">
        <f>Cleaned_Data!J3995</f>
        <v>48</v>
      </c>
      <c r="K3995" t="str">
        <f t="shared" si="187"/>
        <v>2024-07</v>
      </c>
      <c r="L3995">
        <f t="shared" si="188"/>
        <v>0</v>
      </c>
    </row>
    <row r="3996" spans="1:12">
      <c r="A3996" t="s">
        <v>11585</v>
      </c>
      <c r="B3996" t="s">
        <v>11586</v>
      </c>
      <c r="C3996" t="s">
        <v>11587</v>
      </c>
      <c r="D3996" t="s">
        <v>23</v>
      </c>
      <c r="E3996" t="s">
        <v>54</v>
      </c>
      <c r="F3996" t="s">
        <v>36</v>
      </c>
      <c r="G3996" t="s">
        <v>31</v>
      </c>
      <c r="H3996">
        <f>Cleaned_Data!K3996</f>
        <v>12.18</v>
      </c>
      <c r="I3996" t="str">
        <f t="shared" si="186"/>
        <v>YES</v>
      </c>
      <c r="J3996">
        <f>Cleaned_Data!J3996</f>
        <v>24</v>
      </c>
      <c r="K3996" t="str">
        <f t="shared" si="187"/>
        <v>2024-05</v>
      </c>
      <c r="L3996">
        <f t="shared" si="188"/>
        <v>0</v>
      </c>
    </row>
    <row r="3997" spans="1:12">
      <c r="A3997" t="s">
        <v>11588</v>
      </c>
      <c r="B3997" t="s">
        <v>11589</v>
      </c>
      <c r="C3997" t="s">
        <v>11590</v>
      </c>
      <c r="D3997" t="s">
        <v>158</v>
      </c>
      <c r="E3997" t="s">
        <v>24</v>
      </c>
      <c r="F3997" t="s">
        <v>41</v>
      </c>
      <c r="G3997" t="s">
        <v>31</v>
      </c>
      <c r="H3997">
        <f>Cleaned_Data!K3997</f>
        <v>3.09</v>
      </c>
      <c r="I3997" t="str">
        <f t="shared" si="186"/>
        <v>YES</v>
      </c>
      <c r="J3997">
        <f>Cleaned_Data!J3997</f>
        <v>4</v>
      </c>
      <c r="K3997" t="str">
        <f t="shared" si="187"/>
        <v>2024-08</v>
      </c>
      <c r="L3997">
        <f t="shared" si="188"/>
        <v>0</v>
      </c>
    </row>
    <row r="3998" spans="1:12">
      <c r="A3998" t="s">
        <v>11591</v>
      </c>
      <c r="B3998" t="s">
        <v>11592</v>
      </c>
      <c r="C3998" t="s">
        <v>11593</v>
      </c>
      <c r="D3998" t="s">
        <v>35</v>
      </c>
      <c r="E3998" t="s">
        <v>28</v>
      </c>
      <c r="F3998" t="s">
        <v>36</v>
      </c>
      <c r="G3998" t="s">
        <v>19</v>
      </c>
      <c r="H3998">
        <f>Cleaned_Data!K3998</f>
        <v>35.24</v>
      </c>
      <c r="I3998" t="str">
        <f t="shared" si="186"/>
        <v>YES</v>
      </c>
      <c r="J3998">
        <f>Cleaned_Data!J3998</f>
        <v>48</v>
      </c>
      <c r="K3998" t="str">
        <f t="shared" si="187"/>
        <v>2024-11</v>
      </c>
      <c r="L3998">
        <f t="shared" si="188"/>
        <v>0</v>
      </c>
    </row>
    <row r="3999" spans="1:12">
      <c r="A3999" t="s">
        <v>11594</v>
      </c>
      <c r="B3999" t="s">
        <v>11595</v>
      </c>
      <c r="C3999" t="s">
        <v>11596</v>
      </c>
      <c r="D3999" t="s">
        <v>35</v>
      </c>
      <c r="E3999" t="s">
        <v>59</v>
      </c>
      <c r="F3999" t="s">
        <v>36</v>
      </c>
      <c r="G3999" t="s">
        <v>31</v>
      </c>
      <c r="H3999">
        <f>Cleaned_Data!K3999</f>
        <v>17.670000000000002</v>
      </c>
      <c r="I3999" t="str">
        <f t="shared" si="186"/>
        <v>YES</v>
      </c>
      <c r="J3999">
        <f>Cleaned_Data!J3999</f>
        <v>48</v>
      </c>
      <c r="K3999" t="str">
        <f t="shared" si="187"/>
        <v>2024-04</v>
      </c>
      <c r="L3999">
        <f t="shared" si="188"/>
        <v>0</v>
      </c>
    </row>
    <row r="4000" spans="1:12">
      <c r="A4000" t="s">
        <v>11597</v>
      </c>
      <c r="B4000" t="s">
        <v>11598</v>
      </c>
      <c r="C4000" t="s">
        <v>11599</v>
      </c>
      <c r="D4000" t="s">
        <v>158</v>
      </c>
      <c r="E4000" t="s">
        <v>59</v>
      </c>
      <c r="F4000" t="s">
        <v>36</v>
      </c>
      <c r="G4000" t="s">
        <v>31</v>
      </c>
      <c r="H4000">
        <f>Cleaned_Data!K4000</f>
        <v>0.42</v>
      </c>
      <c r="I4000" t="str">
        <f t="shared" si="186"/>
        <v>YES</v>
      </c>
      <c r="J4000">
        <f>Cleaned_Data!J4000</f>
        <v>4</v>
      </c>
      <c r="K4000" t="str">
        <f t="shared" si="187"/>
        <v>2024-03</v>
      </c>
      <c r="L4000">
        <f t="shared" si="188"/>
        <v>0</v>
      </c>
    </row>
    <row r="4001" spans="1:12">
      <c r="A4001" t="s">
        <v>11600</v>
      </c>
      <c r="B4001" t="s">
        <v>11601</v>
      </c>
      <c r="C4001" t="s">
        <v>11602</v>
      </c>
      <c r="D4001" t="s">
        <v>15</v>
      </c>
      <c r="E4001" t="s">
        <v>54</v>
      </c>
      <c r="F4001" t="s">
        <v>36</v>
      </c>
      <c r="G4001" t="s">
        <v>31</v>
      </c>
      <c r="H4001">
        <f>Cleaned_Data!K4001</f>
        <v>6.47</v>
      </c>
      <c r="I4001" t="str">
        <f t="shared" si="186"/>
        <v>YES</v>
      </c>
      <c r="J4001">
        <f>Cleaned_Data!J4001</f>
        <v>8</v>
      </c>
      <c r="K4001" t="str">
        <f t="shared" si="187"/>
        <v>2024-05</v>
      </c>
      <c r="L4001">
        <f t="shared" si="188"/>
        <v>0</v>
      </c>
    </row>
    <row r="4002" spans="1:12">
      <c r="A4002" t="s">
        <v>11603</v>
      </c>
      <c r="B4002" t="s">
        <v>11604</v>
      </c>
      <c r="C4002" t="s">
        <v>11605</v>
      </c>
      <c r="D4002" t="s">
        <v>15</v>
      </c>
      <c r="E4002" t="s">
        <v>59</v>
      </c>
      <c r="F4002" t="s">
        <v>60</v>
      </c>
      <c r="G4002" t="s">
        <v>19</v>
      </c>
      <c r="H4002">
        <f>Cleaned_Data!K4002</f>
        <v>7.32</v>
      </c>
      <c r="I4002" t="str">
        <f t="shared" si="186"/>
        <v>YES</v>
      </c>
      <c r="J4002">
        <f>Cleaned_Data!J4002</f>
        <v>8</v>
      </c>
      <c r="K4002" t="str">
        <f t="shared" si="187"/>
        <v>2024-12</v>
      </c>
      <c r="L4002">
        <f t="shared" si="188"/>
        <v>0</v>
      </c>
    </row>
    <row r="4003" spans="1:12">
      <c r="A4003" t="s">
        <v>11606</v>
      </c>
      <c r="B4003" t="s">
        <v>11607</v>
      </c>
      <c r="C4003" t="s">
        <v>11608</v>
      </c>
      <c r="D4003" t="s">
        <v>35</v>
      </c>
      <c r="E4003" t="s">
        <v>28</v>
      </c>
      <c r="F4003" t="s">
        <v>41</v>
      </c>
      <c r="G4003" t="s">
        <v>19</v>
      </c>
      <c r="H4003">
        <f>Cleaned_Data!K4003</f>
        <v>14.79</v>
      </c>
      <c r="I4003" t="str">
        <f t="shared" si="186"/>
        <v>YES</v>
      </c>
      <c r="J4003">
        <f>Cleaned_Data!J4003</f>
        <v>48</v>
      </c>
      <c r="K4003" t="str">
        <f t="shared" si="187"/>
        <v>2024-03</v>
      </c>
      <c r="L4003">
        <f t="shared" si="188"/>
        <v>0</v>
      </c>
    </row>
    <row r="4004" spans="1:12">
      <c r="A4004" t="s">
        <v>11609</v>
      </c>
      <c r="B4004" t="s">
        <v>11610</v>
      </c>
      <c r="C4004" t="s">
        <v>11611</v>
      </c>
      <c r="D4004" t="s">
        <v>23</v>
      </c>
      <c r="E4004" t="s">
        <v>16</v>
      </c>
      <c r="F4004" t="s">
        <v>29</v>
      </c>
      <c r="G4004" t="s">
        <v>31</v>
      </c>
      <c r="H4004">
        <f>Cleaned_Data!K4004</f>
        <v>6.65</v>
      </c>
      <c r="I4004" t="str">
        <f t="shared" si="186"/>
        <v>YES</v>
      </c>
      <c r="J4004">
        <f>Cleaned_Data!J4004</f>
        <v>24</v>
      </c>
      <c r="K4004" t="str">
        <f t="shared" si="187"/>
        <v>2024-09</v>
      </c>
      <c r="L4004">
        <f t="shared" si="188"/>
        <v>0</v>
      </c>
    </row>
    <row r="4005" spans="1:12">
      <c r="A4005" t="s">
        <v>11612</v>
      </c>
      <c r="B4005" t="s">
        <v>11613</v>
      </c>
      <c r="C4005" t="s">
        <v>11614</v>
      </c>
      <c r="D4005" t="s">
        <v>15</v>
      </c>
      <c r="E4005" t="s">
        <v>59</v>
      </c>
      <c r="F4005" t="s">
        <v>60</v>
      </c>
      <c r="G4005" t="s">
        <v>19</v>
      </c>
      <c r="H4005">
        <f>Cleaned_Data!K4005</f>
        <v>7.07</v>
      </c>
      <c r="I4005" t="str">
        <f t="shared" si="186"/>
        <v>YES</v>
      </c>
      <c r="J4005">
        <f>Cleaned_Data!J4005</f>
        <v>8</v>
      </c>
      <c r="K4005" t="str">
        <f t="shared" si="187"/>
        <v>2024-02</v>
      </c>
      <c r="L4005">
        <f t="shared" si="188"/>
        <v>0</v>
      </c>
    </row>
    <row r="4006" spans="1:12">
      <c r="A4006" t="s">
        <v>11615</v>
      </c>
      <c r="B4006" t="s">
        <v>11616</v>
      </c>
      <c r="C4006" t="s">
        <v>11617</v>
      </c>
      <c r="D4006" t="s">
        <v>15</v>
      </c>
      <c r="E4006" t="s">
        <v>24</v>
      </c>
      <c r="F4006" t="s">
        <v>60</v>
      </c>
      <c r="G4006" t="s">
        <v>31</v>
      </c>
      <c r="H4006">
        <f>Cleaned_Data!K4006</f>
        <v>5.51</v>
      </c>
      <c r="I4006" t="str">
        <f t="shared" si="186"/>
        <v>YES</v>
      </c>
      <c r="J4006">
        <f>Cleaned_Data!J4006</f>
        <v>8</v>
      </c>
      <c r="K4006" t="str">
        <f t="shared" si="187"/>
        <v>2024-04</v>
      </c>
      <c r="L4006">
        <f t="shared" si="188"/>
        <v>0</v>
      </c>
    </row>
    <row r="4007" spans="1:12">
      <c r="A4007" t="s">
        <v>11618</v>
      </c>
      <c r="B4007" t="s">
        <v>11619</v>
      </c>
      <c r="C4007" t="s">
        <v>11620</v>
      </c>
      <c r="D4007" t="s">
        <v>15</v>
      </c>
      <c r="E4007" t="s">
        <v>59</v>
      </c>
      <c r="F4007" t="s">
        <v>29</v>
      </c>
      <c r="G4007" t="s">
        <v>31</v>
      </c>
      <c r="H4007">
        <f>Cleaned_Data!K4007</f>
        <v>1.02</v>
      </c>
      <c r="I4007" t="str">
        <f t="shared" si="186"/>
        <v>YES</v>
      </c>
      <c r="J4007">
        <f>Cleaned_Data!J4007</f>
        <v>8</v>
      </c>
      <c r="K4007" t="str">
        <f t="shared" si="187"/>
        <v>2024-07</v>
      </c>
      <c r="L4007">
        <f t="shared" si="188"/>
        <v>0</v>
      </c>
    </row>
    <row r="4008" spans="1:12">
      <c r="A4008" t="s">
        <v>11621</v>
      </c>
      <c r="B4008" t="s">
        <v>11622</v>
      </c>
      <c r="C4008" t="s">
        <v>11623</v>
      </c>
      <c r="D4008" t="s">
        <v>35</v>
      </c>
      <c r="E4008" t="s">
        <v>28</v>
      </c>
      <c r="F4008" t="s">
        <v>60</v>
      </c>
      <c r="G4008" t="s">
        <v>31</v>
      </c>
      <c r="H4008">
        <f>Cleaned_Data!K4008</f>
        <v>25.86</v>
      </c>
      <c r="I4008" t="str">
        <f t="shared" si="186"/>
        <v>YES</v>
      </c>
      <c r="J4008">
        <f>Cleaned_Data!J4008</f>
        <v>48</v>
      </c>
      <c r="K4008" t="str">
        <f t="shared" si="187"/>
        <v>2024-01</v>
      </c>
      <c r="L4008">
        <f t="shared" si="188"/>
        <v>0</v>
      </c>
    </row>
    <row r="4009" spans="1:12">
      <c r="A4009" t="s">
        <v>11624</v>
      </c>
      <c r="B4009" t="s">
        <v>11625</v>
      </c>
      <c r="C4009" t="s">
        <v>11626</v>
      </c>
      <c r="D4009" t="s">
        <v>23</v>
      </c>
      <c r="E4009" t="s">
        <v>28</v>
      </c>
      <c r="F4009" t="s">
        <v>17</v>
      </c>
      <c r="G4009" t="s">
        <v>31</v>
      </c>
      <c r="H4009">
        <f>Cleaned_Data!K4009</f>
        <v>32.24</v>
      </c>
      <c r="I4009" t="str">
        <f t="shared" si="186"/>
        <v>NO</v>
      </c>
      <c r="J4009">
        <f>Cleaned_Data!J4009</f>
        <v>24</v>
      </c>
      <c r="K4009" t="str">
        <f t="shared" si="187"/>
        <v>2024-11</v>
      </c>
      <c r="L4009">
        <f t="shared" si="188"/>
        <v>8.240000000000002</v>
      </c>
    </row>
    <row r="4010" spans="1:12">
      <c r="A4010" t="s">
        <v>11627</v>
      </c>
      <c r="B4010" t="s">
        <v>11628</v>
      </c>
      <c r="C4010" t="s">
        <v>11629</v>
      </c>
      <c r="D4010" t="s">
        <v>23</v>
      </c>
      <c r="E4010" t="s">
        <v>28</v>
      </c>
      <c r="F4010" t="s">
        <v>60</v>
      </c>
      <c r="G4010" t="s">
        <v>19</v>
      </c>
      <c r="H4010">
        <f>Cleaned_Data!K4010</f>
        <v>5.6</v>
      </c>
      <c r="I4010" t="str">
        <f t="shared" si="186"/>
        <v>YES</v>
      </c>
      <c r="J4010">
        <f>Cleaned_Data!J4010</f>
        <v>24</v>
      </c>
      <c r="K4010" t="str">
        <f t="shared" si="187"/>
        <v>2024-05</v>
      </c>
      <c r="L4010">
        <f t="shared" si="188"/>
        <v>0</v>
      </c>
    </row>
    <row r="4011" spans="1:12">
      <c r="A4011" t="s">
        <v>11630</v>
      </c>
      <c r="B4011" t="s">
        <v>11631</v>
      </c>
      <c r="D4011" t="s">
        <v>15</v>
      </c>
      <c r="E4011" t="s">
        <v>28</v>
      </c>
      <c r="F4011" t="s">
        <v>17</v>
      </c>
      <c r="G4011" t="s">
        <v>63</v>
      </c>
      <c r="H4011">
        <f>Cleaned_Data!K4011</f>
        <v>0</v>
      </c>
      <c r="I4011" t="str">
        <f t="shared" si="186"/>
        <v/>
      </c>
      <c r="J4011">
        <f>Cleaned_Data!J4011</f>
        <v>8</v>
      </c>
      <c r="K4011" t="str">
        <f t="shared" si="187"/>
        <v>2024-09</v>
      </c>
      <c r="L4011">
        <f t="shared" si="188"/>
        <v>0</v>
      </c>
    </row>
    <row r="4012" spans="1:12">
      <c r="A4012" t="s">
        <v>11632</v>
      </c>
      <c r="B4012" t="s">
        <v>11633</v>
      </c>
      <c r="C4012" t="s">
        <v>11634</v>
      </c>
      <c r="D4012" t="s">
        <v>15</v>
      </c>
      <c r="E4012" t="s">
        <v>28</v>
      </c>
      <c r="F4012" t="s">
        <v>36</v>
      </c>
      <c r="G4012" t="s">
        <v>19</v>
      </c>
      <c r="H4012">
        <f>Cleaned_Data!K4012</f>
        <v>14.1</v>
      </c>
      <c r="I4012" t="str">
        <f t="shared" si="186"/>
        <v>NO</v>
      </c>
      <c r="J4012">
        <f>Cleaned_Data!J4012</f>
        <v>8</v>
      </c>
      <c r="K4012" t="str">
        <f t="shared" si="187"/>
        <v>2024-11</v>
      </c>
      <c r="L4012">
        <f t="shared" si="188"/>
        <v>6.1</v>
      </c>
    </row>
    <row r="4013" spans="1:12">
      <c r="A4013" t="s">
        <v>11635</v>
      </c>
      <c r="B4013" t="s">
        <v>11636</v>
      </c>
      <c r="D4013" t="s">
        <v>23</v>
      </c>
      <c r="E4013" t="s">
        <v>16</v>
      </c>
      <c r="F4013" t="s">
        <v>36</v>
      </c>
      <c r="G4013" t="s">
        <v>63</v>
      </c>
      <c r="H4013">
        <f>Cleaned_Data!K4013</f>
        <v>0</v>
      </c>
      <c r="I4013" t="str">
        <f t="shared" si="186"/>
        <v/>
      </c>
      <c r="J4013">
        <f>Cleaned_Data!J4013</f>
        <v>24</v>
      </c>
      <c r="K4013" t="str">
        <f t="shared" si="187"/>
        <v>2024-06</v>
      </c>
      <c r="L4013">
        <f t="shared" si="188"/>
        <v>0</v>
      </c>
    </row>
    <row r="4014" spans="1:12">
      <c r="A4014" t="s">
        <v>11637</v>
      </c>
      <c r="B4014" t="s">
        <v>11638</v>
      </c>
      <c r="C4014" t="s">
        <v>11639</v>
      </c>
      <c r="D4014" t="s">
        <v>158</v>
      </c>
      <c r="E4014" t="s">
        <v>24</v>
      </c>
      <c r="F4014" t="s">
        <v>60</v>
      </c>
      <c r="G4014" t="s">
        <v>31</v>
      </c>
      <c r="H4014">
        <f>Cleaned_Data!K4014</f>
        <v>3.3</v>
      </c>
      <c r="I4014" t="str">
        <f t="shared" si="186"/>
        <v>YES</v>
      </c>
      <c r="J4014">
        <f>Cleaned_Data!J4014</f>
        <v>4</v>
      </c>
      <c r="K4014" t="str">
        <f t="shared" si="187"/>
        <v>2024-08</v>
      </c>
      <c r="L4014">
        <f t="shared" si="188"/>
        <v>0</v>
      </c>
    </row>
    <row r="4015" spans="1:12">
      <c r="A4015" t="s">
        <v>11640</v>
      </c>
      <c r="B4015" t="s">
        <v>11641</v>
      </c>
      <c r="C4015" t="s">
        <v>11642</v>
      </c>
      <c r="D4015" t="s">
        <v>15</v>
      </c>
      <c r="E4015" t="s">
        <v>16</v>
      </c>
      <c r="F4015" t="s">
        <v>41</v>
      </c>
      <c r="G4015" t="s">
        <v>19</v>
      </c>
      <c r="H4015">
        <f>Cleaned_Data!K4015</f>
        <v>0.9</v>
      </c>
      <c r="I4015" t="str">
        <f t="shared" si="186"/>
        <v>YES</v>
      </c>
      <c r="J4015">
        <f>Cleaned_Data!J4015</f>
        <v>8</v>
      </c>
      <c r="K4015" t="str">
        <f t="shared" si="187"/>
        <v>2024-11</v>
      </c>
      <c r="L4015">
        <f t="shared" si="188"/>
        <v>0</v>
      </c>
    </row>
    <row r="4016" spans="1:12">
      <c r="A4016" t="s">
        <v>11643</v>
      </c>
      <c r="B4016" t="s">
        <v>11644</v>
      </c>
      <c r="C4016" t="s">
        <v>11645</v>
      </c>
      <c r="D4016" t="s">
        <v>23</v>
      </c>
      <c r="E4016" t="s">
        <v>28</v>
      </c>
      <c r="F4016" t="s">
        <v>36</v>
      </c>
      <c r="G4016" t="s">
        <v>31</v>
      </c>
      <c r="H4016">
        <f>Cleaned_Data!K4016</f>
        <v>12.81</v>
      </c>
      <c r="I4016" t="str">
        <f t="shared" si="186"/>
        <v>YES</v>
      </c>
      <c r="J4016">
        <f>Cleaned_Data!J4016</f>
        <v>24</v>
      </c>
      <c r="K4016" t="str">
        <f t="shared" si="187"/>
        <v>2024-04</v>
      </c>
      <c r="L4016">
        <f t="shared" si="188"/>
        <v>0</v>
      </c>
    </row>
    <row r="4017" spans="1:12">
      <c r="A4017" t="s">
        <v>11646</v>
      </c>
      <c r="B4017" t="s">
        <v>11647</v>
      </c>
      <c r="D4017" t="s">
        <v>15</v>
      </c>
      <c r="E4017" t="s">
        <v>16</v>
      </c>
      <c r="F4017" t="s">
        <v>36</v>
      </c>
      <c r="G4017" t="s">
        <v>63</v>
      </c>
      <c r="H4017">
        <f>Cleaned_Data!K4017</f>
        <v>0</v>
      </c>
      <c r="I4017" t="str">
        <f t="shared" si="186"/>
        <v/>
      </c>
      <c r="J4017">
        <f>Cleaned_Data!J4017</f>
        <v>8</v>
      </c>
      <c r="K4017" t="str">
        <f t="shared" si="187"/>
        <v>2024-04</v>
      </c>
      <c r="L4017">
        <f t="shared" si="188"/>
        <v>0</v>
      </c>
    </row>
    <row r="4018" spans="1:12">
      <c r="A4018" t="s">
        <v>11648</v>
      </c>
      <c r="B4018" t="s">
        <v>11649</v>
      </c>
      <c r="C4018" t="s">
        <v>11650</v>
      </c>
      <c r="D4018" t="s">
        <v>23</v>
      </c>
      <c r="E4018" t="s">
        <v>16</v>
      </c>
      <c r="F4018" t="s">
        <v>60</v>
      </c>
      <c r="G4018" t="s">
        <v>19</v>
      </c>
      <c r="H4018">
        <f>Cleaned_Data!K4018</f>
        <v>16.63</v>
      </c>
      <c r="I4018" t="str">
        <f t="shared" si="186"/>
        <v>YES</v>
      </c>
      <c r="J4018">
        <f>Cleaned_Data!J4018</f>
        <v>24</v>
      </c>
      <c r="K4018" t="str">
        <f t="shared" si="187"/>
        <v>2024-01</v>
      </c>
      <c r="L4018">
        <f t="shared" si="188"/>
        <v>0</v>
      </c>
    </row>
    <row r="4019" spans="1:12">
      <c r="A4019" t="s">
        <v>11651</v>
      </c>
      <c r="B4019" t="s">
        <v>11652</v>
      </c>
      <c r="C4019" t="s">
        <v>11653</v>
      </c>
      <c r="D4019" t="s">
        <v>23</v>
      </c>
      <c r="E4019" t="s">
        <v>28</v>
      </c>
      <c r="F4019" t="s">
        <v>60</v>
      </c>
      <c r="G4019" t="s">
        <v>31</v>
      </c>
      <c r="H4019">
        <f>Cleaned_Data!K4019</f>
        <v>16.920000000000002</v>
      </c>
      <c r="I4019" t="str">
        <f t="shared" si="186"/>
        <v>YES</v>
      </c>
      <c r="J4019">
        <f>Cleaned_Data!J4019</f>
        <v>24</v>
      </c>
      <c r="K4019" t="str">
        <f t="shared" si="187"/>
        <v>2024-03</v>
      </c>
      <c r="L4019">
        <f t="shared" si="188"/>
        <v>0</v>
      </c>
    </row>
    <row r="4020" spans="1:12">
      <c r="A4020" t="s">
        <v>11654</v>
      </c>
      <c r="B4020" t="s">
        <v>11655</v>
      </c>
      <c r="C4020" t="s">
        <v>11656</v>
      </c>
      <c r="D4020" t="s">
        <v>23</v>
      </c>
      <c r="E4020" t="s">
        <v>28</v>
      </c>
      <c r="F4020" t="s">
        <v>41</v>
      </c>
      <c r="G4020" t="s">
        <v>31</v>
      </c>
      <c r="H4020">
        <f>Cleaned_Data!K4020</f>
        <v>37.909999999999997</v>
      </c>
      <c r="I4020" t="str">
        <f t="shared" si="186"/>
        <v>NO</v>
      </c>
      <c r="J4020">
        <f>Cleaned_Data!J4020</f>
        <v>24</v>
      </c>
      <c r="K4020" t="str">
        <f t="shared" si="187"/>
        <v>2024-06</v>
      </c>
      <c r="L4020">
        <f t="shared" si="188"/>
        <v>13.909999999999997</v>
      </c>
    </row>
    <row r="4021" spans="1:12">
      <c r="A4021" t="s">
        <v>11657</v>
      </c>
      <c r="B4021" t="s">
        <v>11658</v>
      </c>
      <c r="C4021" t="s">
        <v>11659</v>
      </c>
      <c r="D4021" t="s">
        <v>23</v>
      </c>
      <c r="E4021" t="s">
        <v>16</v>
      </c>
      <c r="F4021" t="s">
        <v>36</v>
      </c>
      <c r="G4021" t="s">
        <v>19</v>
      </c>
      <c r="H4021">
        <f>Cleaned_Data!K4021</f>
        <v>19.77</v>
      </c>
      <c r="I4021" t="str">
        <f t="shared" si="186"/>
        <v>YES</v>
      </c>
      <c r="J4021">
        <f>Cleaned_Data!J4021</f>
        <v>24</v>
      </c>
      <c r="K4021" t="str">
        <f t="shared" si="187"/>
        <v>2024-03</v>
      </c>
      <c r="L4021">
        <f t="shared" si="188"/>
        <v>0</v>
      </c>
    </row>
    <row r="4022" spans="1:12">
      <c r="A4022" t="s">
        <v>11660</v>
      </c>
      <c r="B4022" t="s">
        <v>11661</v>
      </c>
      <c r="C4022" t="s">
        <v>11662</v>
      </c>
      <c r="D4022" t="s">
        <v>35</v>
      </c>
      <c r="E4022" t="s">
        <v>28</v>
      </c>
      <c r="F4022" t="s">
        <v>41</v>
      </c>
      <c r="G4022" t="s">
        <v>19</v>
      </c>
      <c r="H4022">
        <f>Cleaned_Data!K4022</f>
        <v>33.799999999999997</v>
      </c>
      <c r="I4022" t="str">
        <f t="shared" si="186"/>
        <v>YES</v>
      </c>
      <c r="J4022">
        <f>Cleaned_Data!J4022</f>
        <v>48</v>
      </c>
      <c r="K4022" t="str">
        <f t="shared" si="187"/>
        <v>2024-11</v>
      </c>
      <c r="L4022">
        <f t="shared" si="188"/>
        <v>0</v>
      </c>
    </row>
    <row r="4023" spans="1:12">
      <c r="A4023" t="s">
        <v>11663</v>
      </c>
      <c r="B4023" t="s">
        <v>11664</v>
      </c>
      <c r="C4023" t="s">
        <v>11665</v>
      </c>
      <c r="D4023" t="s">
        <v>23</v>
      </c>
      <c r="E4023" t="s">
        <v>59</v>
      </c>
      <c r="F4023" t="s">
        <v>60</v>
      </c>
      <c r="G4023" t="s">
        <v>31</v>
      </c>
      <c r="H4023">
        <f>Cleaned_Data!K4023</f>
        <v>11.82</v>
      </c>
      <c r="I4023" t="str">
        <f t="shared" si="186"/>
        <v>YES</v>
      </c>
      <c r="J4023">
        <f>Cleaned_Data!J4023</f>
        <v>24</v>
      </c>
      <c r="K4023" t="str">
        <f t="shared" si="187"/>
        <v>2024-12</v>
      </c>
      <c r="L4023">
        <f t="shared" si="188"/>
        <v>0</v>
      </c>
    </row>
    <row r="4024" spans="1:12">
      <c r="A4024" t="s">
        <v>11666</v>
      </c>
      <c r="B4024" t="s">
        <v>11667</v>
      </c>
      <c r="C4024" t="s">
        <v>11668</v>
      </c>
      <c r="D4024" t="s">
        <v>35</v>
      </c>
      <c r="E4024" t="s">
        <v>24</v>
      </c>
      <c r="F4024" t="s">
        <v>41</v>
      </c>
      <c r="G4024" t="s">
        <v>19</v>
      </c>
      <c r="H4024">
        <f>Cleaned_Data!K4024</f>
        <v>36.950000000000003</v>
      </c>
      <c r="I4024" t="str">
        <f t="shared" si="186"/>
        <v>YES</v>
      </c>
      <c r="J4024">
        <f>Cleaned_Data!J4024</f>
        <v>48</v>
      </c>
      <c r="K4024" t="str">
        <f t="shared" si="187"/>
        <v>2024-10</v>
      </c>
      <c r="L4024">
        <f t="shared" si="188"/>
        <v>0</v>
      </c>
    </row>
    <row r="4025" spans="1:12">
      <c r="A4025" t="s">
        <v>11669</v>
      </c>
      <c r="B4025" t="s">
        <v>11670</v>
      </c>
      <c r="C4025" t="s">
        <v>11671</v>
      </c>
      <c r="D4025" t="s">
        <v>15</v>
      </c>
      <c r="E4025" t="s">
        <v>28</v>
      </c>
      <c r="F4025" t="s">
        <v>60</v>
      </c>
      <c r="G4025" t="s">
        <v>19</v>
      </c>
      <c r="H4025">
        <f>Cleaned_Data!K4025</f>
        <v>1.95</v>
      </c>
      <c r="I4025" t="str">
        <f t="shared" si="186"/>
        <v>YES</v>
      </c>
      <c r="J4025">
        <f>Cleaned_Data!J4025</f>
        <v>8</v>
      </c>
      <c r="K4025" t="str">
        <f t="shared" si="187"/>
        <v>2024-07</v>
      </c>
      <c r="L4025">
        <f t="shared" si="188"/>
        <v>0</v>
      </c>
    </row>
    <row r="4026" spans="1:12">
      <c r="A4026" t="s">
        <v>11672</v>
      </c>
      <c r="B4026" t="s">
        <v>11673</v>
      </c>
      <c r="C4026" t="s">
        <v>11674</v>
      </c>
      <c r="D4026" t="s">
        <v>15</v>
      </c>
      <c r="E4026" t="s">
        <v>16</v>
      </c>
      <c r="F4026" t="s">
        <v>36</v>
      </c>
      <c r="G4026" t="s">
        <v>19</v>
      </c>
      <c r="H4026">
        <f>Cleaned_Data!K4026</f>
        <v>7</v>
      </c>
      <c r="I4026" t="str">
        <f t="shared" si="186"/>
        <v>YES</v>
      </c>
      <c r="J4026">
        <f>Cleaned_Data!J4026</f>
        <v>8</v>
      </c>
      <c r="K4026" t="str">
        <f t="shared" si="187"/>
        <v>2024-06</v>
      </c>
      <c r="L4026">
        <f t="shared" si="188"/>
        <v>0</v>
      </c>
    </row>
    <row r="4027" spans="1:12">
      <c r="A4027" t="s">
        <v>11675</v>
      </c>
      <c r="B4027" t="s">
        <v>11676</v>
      </c>
      <c r="C4027" t="s">
        <v>11677</v>
      </c>
      <c r="D4027" t="s">
        <v>15</v>
      </c>
      <c r="E4027" t="s">
        <v>28</v>
      </c>
      <c r="F4027" t="s">
        <v>29</v>
      </c>
      <c r="G4027" t="s">
        <v>31</v>
      </c>
      <c r="H4027">
        <f>Cleaned_Data!K4027</f>
        <v>21.15</v>
      </c>
      <c r="I4027" t="str">
        <f t="shared" si="186"/>
        <v>NO</v>
      </c>
      <c r="J4027">
        <f>Cleaned_Data!J4027</f>
        <v>8</v>
      </c>
      <c r="K4027" t="str">
        <f t="shared" si="187"/>
        <v>2024-07</v>
      </c>
      <c r="L4027">
        <f t="shared" si="188"/>
        <v>13.149999999999999</v>
      </c>
    </row>
    <row r="4028" spans="1:12">
      <c r="A4028" t="s">
        <v>11678</v>
      </c>
      <c r="B4028" t="s">
        <v>11679</v>
      </c>
      <c r="C4028" t="s">
        <v>11680</v>
      </c>
      <c r="D4028" t="s">
        <v>23</v>
      </c>
      <c r="E4028" t="s">
        <v>28</v>
      </c>
      <c r="F4028" t="s">
        <v>41</v>
      </c>
      <c r="G4028" t="s">
        <v>31</v>
      </c>
      <c r="H4028">
        <f>Cleaned_Data!K4028</f>
        <v>8.17</v>
      </c>
      <c r="I4028" t="str">
        <f t="shared" si="186"/>
        <v>YES</v>
      </c>
      <c r="J4028">
        <f>Cleaned_Data!J4028</f>
        <v>24</v>
      </c>
      <c r="K4028" t="str">
        <f t="shared" si="187"/>
        <v>2024-09</v>
      </c>
      <c r="L4028">
        <f t="shared" si="188"/>
        <v>0</v>
      </c>
    </row>
    <row r="4029" spans="1:12">
      <c r="A4029" t="s">
        <v>11681</v>
      </c>
      <c r="B4029" t="s">
        <v>11682</v>
      </c>
      <c r="D4029" t="s">
        <v>15</v>
      </c>
      <c r="E4029" t="s">
        <v>28</v>
      </c>
      <c r="F4029" t="s">
        <v>29</v>
      </c>
      <c r="G4029" t="s">
        <v>46</v>
      </c>
      <c r="H4029">
        <f>Cleaned_Data!K4029</f>
        <v>0</v>
      </c>
      <c r="I4029" t="str">
        <f t="shared" si="186"/>
        <v/>
      </c>
      <c r="J4029">
        <f>Cleaned_Data!J4029</f>
        <v>8</v>
      </c>
      <c r="K4029" t="str">
        <f t="shared" si="187"/>
        <v>2024-08</v>
      </c>
      <c r="L4029">
        <f t="shared" si="188"/>
        <v>0</v>
      </c>
    </row>
    <row r="4030" spans="1:12">
      <c r="A4030" t="s">
        <v>11683</v>
      </c>
      <c r="B4030" t="s">
        <v>11684</v>
      </c>
      <c r="C4030" t="s">
        <v>11685</v>
      </c>
      <c r="D4030" t="s">
        <v>35</v>
      </c>
      <c r="E4030" t="s">
        <v>59</v>
      </c>
      <c r="F4030" t="s">
        <v>17</v>
      </c>
      <c r="G4030" t="s">
        <v>19</v>
      </c>
      <c r="H4030">
        <f>Cleaned_Data!K4030</f>
        <v>44.37</v>
      </c>
      <c r="I4030" t="str">
        <f t="shared" si="186"/>
        <v>YES</v>
      </c>
      <c r="J4030">
        <f>Cleaned_Data!J4030</f>
        <v>48</v>
      </c>
      <c r="K4030" t="str">
        <f t="shared" si="187"/>
        <v>2024-12</v>
      </c>
      <c r="L4030">
        <f t="shared" si="188"/>
        <v>0</v>
      </c>
    </row>
    <row r="4031" spans="1:12">
      <c r="A4031" t="s">
        <v>11686</v>
      </c>
      <c r="B4031" t="s">
        <v>11687</v>
      </c>
      <c r="D4031" t="s">
        <v>23</v>
      </c>
      <c r="E4031" t="s">
        <v>59</v>
      </c>
      <c r="F4031" t="s">
        <v>41</v>
      </c>
      <c r="G4031" t="s">
        <v>46</v>
      </c>
      <c r="H4031">
        <f>Cleaned_Data!K4031</f>
        <v>0</v>
      </c>
      <c r="I4031" t="str">
        <f t="shared" si="186"/>
        <v/>
      </c>
      <c r="J4031">
        <f>Cleaned_Data!J4031</f>
        <v>24</v>
      </c>
      <c r="K4031" t="str">
        <f t="shared" si="187"/>
        <v>2024-05</v>
      </c>
      <c r="L4031">
        <f t="shared" si="188"/>
        <v>0</v>
      </c>
    </row>
    <row r="4032" spans="1:12">
      <c r="A4032" t="s">
        <v>11688</v>
      </c>
      <c r="B4032" t="s">
        <v>11689</v>
      </c>
      <c r="C4032" t="s">
        <v>11690</v>
      </c>
      <c r="D4032" t="s">
        <v>23</v>
      </c>
      <c r="E4032" t="s">
        <v>28</v>
      </c>
      <c r="F4032" t="s">
        <v>60</v>
      </c>
      <c r="G4032" t="s">
        <v>19</v>
      </c>
      <c r="H4032">
        <f>Cleaned_Data!K4032</f>
        <v>22.57</v>
      </c>
      <c r="I4032" t="str">
        <f t="shared" si="186"/>
        <v>YES</v>
      </c>
      <c r="J4032">
        <f>Cleaned_Data!J4032</f>
        <v>24</v>
      </c>
      <c r="K4032" t="str">
        <f t="shared" si="187"/>
        <v>2024-10</v>
      </c>
      <c r="L4032">
        <f t="shared" si="188"/>
        <v>0</v>
      </c>
    </row>
    <row r="4033" spans="1:12">
      <c r="A4033" t="s">
        <v>11691</v>
      </c>
      <c r="B4033" t="s">
        <v>11692</v>
      </c>
      <c r="C4033" t="s">
        <v>11693</v>
      </c>
      <c r="D4033" t="s">
        <v>158</v>
      </c>
      <c r="E4033" t="s">
        <v>28</v>
      </c>
      <c r="F4033" t="s">
        <v>36</v>
      </c>
      <c r="G4033" t="s">
        <v>19</v>
      </c>
      <c r="H4033">
        <f>Cleaned_Data!K4033</f>
        <v>1.66</v>
      </c>
      <c r="I4033" t="str">
        <f t="shared" si="186"/>
        <v>YES</v>
      </c>
      <c r="J4033">
        <f>Cleaned_Data!J4033</f>
        <v>4</v>
      </c>
      <c r="K4033" t="str">
        <f t="shared" si="187"/>
        <v>2024-02</v>
      </c>
      <c r="L4033">
        <f t="shared" si="188"/>
        <v>0</v>
      </c>
    </row>
    <row r="4034" spans="1:12">
      <c r="A4034" t="s">
        <v>11694</v>
      </c>
      <c r="B4034" t="s">
        <v>11695</v>
      </c>
      <c r="C4034" t="s">
        <v>11696</v>
      </c>
      <c r="D4034" t="s">
        <v>23</v>
      </c>
      <c r="E4034" t="s">
        <v>16</v>
      </c>
      <c r="F4034" t="s">
        <v>36</v>
      </c>
      <c r="G4034" t="s">
        <v>31</v>
      </c>
      <c r="H4034">
        <f>Cleaned_Data!K4034</f>
        <v>7.12</v>
      </c>
      <c r="I4034" t="str">
        <f t="shared" ref="I4034:I4097" si="189">IF(OR(G4034="Resolved", G4034="Closed"), IF(AND(H4034&lt;&gt;"", H4034&lt;=J4034), "YES", "NO"), "")</f>
        <v>YES</v>
      </c>
      <c r="J4034">
        <f>Cleaned_Data!J4034</f>
        <v>24</v>
      </c>
      <c r="K4034" t="str">
        <f t="shared" ref="K4034:K4097" si="190">LEFT(B4034, 7)</f>
        <v>2024-07</v>
      </c>
      <c r="L4034">
        <f t="shared" ref="L4034:L4097" si="191">IF(I4034="NO", H4034-J4034, 0)</f>
        <v>0</v>
      </c>
    </row>
    <row r="4035" spans="1:12">
      <c r="A4035" t="s">
        <v>11697</v>
      </c>
      <c r="B4035" t="s">
        <v>11698</v>
      </c>
      <c r="D4035" t="s">
        <v>35</v>
      </c>
      <c r="E4035" t="s">
        <v>16</v>
      </c>
      <c r="F4035" t="s">
        <v>60</v>
      </c>
      <c r="G4035" t="s">
        <v>46</v>
      </c>
      <c r="H4035">
        <f>Cleaned_Data!K4035</f>
        <v>0</v>
      </c>
      <c r="I4035" t="str">
        <f t="shared" si="189"/>
        <v/>
      </c>
      <c r="J4035">
        <f>Cleaned_Data!J4035</f>
        <v>48</v>
      </c>
      <c r="K4035" t="str">
        <f t="shared" si="190"/>
        <v>2024-05</v>
      </c>
      <c r="L4035">
        <f t="shared" si="191"/>
        <v>0</v>
      </c>
    </row>
    <row r="4036" spans="1:12">
      <c r="A4036" t="s">
        <v>11699</v>
      </c>
      <c r="B4036" t="s">
        <v>11700</v>
      </c>
      <c r="C4036" t="s">
        <v>11701</v>
      </c>
      <c r="D4036" t="s">
        <v>158</v>
      </c>
      <c r="E4036" t="s">
        <v>54</v>
      </c>
      <c r="F4036" t="s">
        <v>36</v>
      </c>
      <c r="G4036" t="s">
        <v>31</v>
      </c>
      <c r="H4036">
        <f>Cleaned_Data!K4036</f>
        <v>8.24</v>
      </c>
      <c r="I4036" t="str">
        <f t="shared" si="189"/>
        <v>NO</v>
      </c>
      <c r="J4036">
        <f>Cleaned_Data!J4036</f>
        <v>4</v>
      </c>
      <c r="K4036" t="str">
        <f t="shared" si="190"/>
        <v>2024-12</v>
      </c>
      <c r="L4036">
        <f t="shared" si="191"/>
        <v>4.24</v>
      </c>
    </row>
    <row r="4037" spans="1:12">
      <c r="A4037" t="s">
        <v>11702</v>
      </c>
      <c r="B4037" t="s">
        <v>11703</v>
      </c>
      <c r="C4037" t="s">
        <v>11704</v>
      </c>
      <c r="D4037" t="s">
        <v>23</v>
      </c>
      <c r="E4037" t="s">
        <v>24</v>
      </c>
      <c r="F4037" t="s">
        <v>36</v>
      </c>
      <c r="G4037" t="s">
        <v>19</v>
      </c>
      <c r="H4037">
        <f>Cleaned_Data!K4037</f>
        <v>13.66</v>
      </c>
      <c r="I4037" t="str">
        <f t="shared" si="189"/>
        <v>YES</v>
      </c>
      <c r="J4037">
        <f>Cleaned_Data!J4037</f>
        <v>24</v>
      </c>
      <c r="K4037" t="str">
        <f t="shared" si="190"/>
        <v>2024-05</v>
      </c>
      <c r="L4037">
        <f t="shared" si="191"/>
        <v>0</v>
      </c>
    </row>
    <row r="4038" spans="1:12">
      <c r="A4038" t="s">
        <v>11705</v>
      </c>
      <c r="B4038" t="s">
        <v>11706</v>
      </c>
      <c r="C4038" t="s">
        <v>11707</v>
      </c>
      <c r="D4038" t="s">
        <v>15</v>
      </c>
      <c r="E4038" t="s">
        <v>16</v>
      </c>
      <c r="F4038" t="s">
        <v>17</v>
      </c>
      <c r="G4038" t="s">
        <v>19</v>
      </c>
      <c r="H4038">
        <f>Cleaned_Data!K4038</f>
        <v>1.02</v>
      </c>
      <c r="I4038" t="str">
        <f t="shared" si="189"/>
        <v>YES</v>
      </c>
      <c r="J4038">
        <f>Cleaned_Data!J4038</f>
        <v>8</v>
      </c>
      <c r="K4038" t="str">
        <f t="shared" si="190"/>
        <v>2024-02</v>
      </c>
      <c r="L4038">
        <f t="shared" si="191"/>
        <v>0</v>
      </c>
    </row>
    <row r="4039" spans="1:12">
      <c r="A4039" t="s">
        <v>11708</v>
      </c>
      <c r="B4039" t="s">
        <v>11709</v>
      </c>
      <c r="C4039" t="s">
        <v>11710</v>
      </c>
      <c r="D4039" t="s">
        <v>23</v>
      </c>
      <c r="E4039" t="s">
        <v>28</v>
      </c>
      <c r="F4039" t="s">
        <v>17</v>
      </c>
      <c r="G4039" t="s">
        <v>19</v>
      </c>
      <c r="H4039">
        <f>Cleaned_Data!K4039</f>
        <v>3.27</v>
      </c>
      <c r="I4039" t="str">
        <f t="shared" si="189"/>
        <v>YES</v>
      </c>
      <c r="J4039">
        <f>Cleaned_Data!J4039</f>
        <v>24</v>
      </c>
      <c r="K4039" t="str">
        <f t="shared" si="190"/>
        <v>2024-09</v>
      </c>
      <c r="L4039">
        <f t="shared" si="191"/>
        <v>0</v>
      </c>
    </row>
    <row r="4040" spans="1:12">
      <c r="A4040" t="s">
        <v>11711</v>
      </c>
      <c r="B4040" t="s">
        <v>11712</v>
      </c>
      <c r="C4040" t="s">
        <v>11713</v>
      </c>
      <c r="D4040" t="s">
        <v>23</v>
      </c>
      <c r="E4040" t="s">
        <v>28</v>
      </c>
      <c r="F4040" t="s">
        <v>60</v>
      </c>
      <c r="G4040" t="s">
        <v>19</v>
      </c>
      <c r="H4040">
        <f>Cleaned_Data!K4040</f>
        <v>15.76</v>
      </c>
      <c r="I4040" t="str">
        <f t="shared" si="189"/>
        <v>YES</v>
      </c>
      <c r="J4040">
        <f>Cleaned_Data!J4040</f>
        <v>24</v>
      </c>
      <c r="K4040" t="str">
        <f t="shared" si="190"/>
        <v>2024-09</v>
      </c>
      <c r="L4040">
        <f t="shared" si="191"/>
        <v>0</v>
      </c>
    </row>
    <row r="4041" spans="1:12">
      <c r="A4041" t="s">
        <v>11714</v>
      </c>
      <c r="B4041" t="s">
        <v>11715</v>
      </c>
      <c r="D4041" t="s">
        <v>23</v>
      </c>
      <c r="E4041" t="s">
        <v>28</v>
      </c>
      <c r="F4041" t="s">
        <v>29</v>
      </c>
      <c r="G4041" t="s">
        <v>63</v>
      </c>
      <c r="H4041">
        <f>Cleaned_Data!K4041</f>
        <v>0</v>
      </c>
      <c r="I4041" t="str">
        <f t="shared" si="189"/>
        <v/>
      </c>
      <c r="J4041">
        <f>Cleaned_Data!J4041</f>
        <v>24</v>
      </c>
      <c r="K4041" t="str">
        <f t="shared" si="190"/>
        <v>2024-08</v>
      </c>
      <c r="L4041">
        <f t="shared" si="191"/>
        <v>0</v>
      </c>
    </row>
    <row r="4042" spans="1:12">
      <c r="A4042" t="s">
        <v>11716</v>
      </c>
      <c r="B4042" t="s">
        <v>11717</v>
      </c>
      <c r="C4042" t="s">
        <v>11718</v>
      </c>
      <c r="D4042" t="s">
        <v>23</v>
      </c>
      <c r="E4042" t="s">
        <v>16</v>
      </c>
      <c r="F4042" t="s">
        <v>41</v>
      </c>
      <c r="G4042" t="s">
        <v>19</v>
      </c>
      <c r="H4042">
        <f>Cleaned_Data!K4042</f>
        <v>20.39</v>
      </c>
      <c r="I4042" t="str">
        <f t="shared" si="189"/>
        <v>YES</v>
      </c>
      <c r="J4042">
        <f>Cleaned_Data!J4042</f>
        <v>24</v>
      </c>
      <c r="K4042" t="str">
        <f t="shared" si="190"/>
        <v>2024-06</v>
      </c>
      <c r="L4042">
        <f t="shared" si="191"/>
        <v>0</v>
      </c>
    </row>
    <row r="4043" spans="1:12">
      <c r="A4043" t="s">
        <v>11719</v>
      </c>
      <c r="B4043" t="s">
        <v>11720</v>
      </c>
      <c r="C4043" t="s">
        <v>11721</v>
      </c>
      <c r="D4043" t="s">
        <v>15</v>
      </c>
      <c r="E4043" t="s">
        <v>24</v>
      </c>
      <c r="F4043" t="s">
        <v>17</v>
      </c>
      <c r="G4043" t="s">
        <v>19</v>
      </c>
      <c r="H4043">
        <f>Cleaned_Data!K4043</f>
        <v>2.8</v>
      </c>
      <c r="I4043" t="str">
        <f t="shared" si="189"/>
        <v>YES</v>
      </c>
      <c r="J4043">
        <f>Cleaned_Data!J4043</f>
        <v>8</v>
      </c>
      <c r="K4043" t="str">
        <f t="shared" si="190"/>
        <v>2024-11</v>
      </c>
      <c r="L4043">
        <f t="shared" si="191"/>
        <v>0</v>
      </c>
    </row>
    <row r="4044" spans="1:12">
      <c r="A4044" t="s">
        <v>11722</v>
      </c>
      <c r="B4044" t="s">
        <v>11723</v>
      </c>
      <c r="C4044" t="s">
        <v>11724</v>
      </c>
      <c r="D4044" t="s">
        <v>23</v>
      </c>
      <c r="E4044" t="s">
        <v>28</v>
      </c>
      <c r="F4044" t="s">
        <v>17</v>
      </c>
      <c r="G4044" t="s">
        <v>31</v>
      </c>
      <c r="H4044">
        <f>Cleaned_Data!K4044</f>
        <v>19.7</v>
      </c>
      <c r="I4044" t="str">
        <f t="shared" si="189"/>
        <v>YES</v>
      </c>
      <c r="J4044">
        <f>Cleaned_Data!J4044</f>
        <v>24</v>
      </c>
      <c r="K4044" t="str">
        <f t="shared" si="190"/>
        <v>2024-06</v>
      </c>
      <c r="L4044">
        <f t="shared" si="191"/>
        <v>0</v>
      </c>
    </row>
    <row r="4045" spans="1:12">
      <c r="A4045" t="s">
        <v>11725</v>
      </c>
      <c r="B4045" t="s">
        <v>11726</v>
      </c>
      <c r="C4045" t="s">
        <v>11727</v>
      </c>
      <c r="D4045" t="s">
        <v>23</v>
      </c>
      <c r="E4045" t="s">
        <v>16</v>
      </c>
      <c r="F4045" t="s">
        <v>17</v>
      </c>
      <c r="G4045" t="s">
        <v>31</v>
      </c>
      <c r="H4045">
        <f>Cleaned_Data!K4045</f>
        <v>7.29</v>
      </c>
      <c r="I4045" t="str">
        <f t="shared" si="189"/>
        <v>YES</v>
      </c>
      <c r="J4045">
        <f>Cleaned_Data!J4045</f>
        <v>24</v>
      </c>
      <c r="K4045" t="str">
        <f t="shared" si="190"/>
        <v>2024-09</v>
      </c>
      <c r="L4045">
        <f t="shared" si="191"/>
        <v>0</v>
      </c>
    </row>
    <row r="4046" spans="1:12">
      <c r="A4046" t="s">
        <v>11728</v>
      </c>
      <c r="B4046" t="s">
        <v>11729</v>
      </c>
      <c r="C4046" t="s">
        <v>11730</v>
      </c>
      <c r="D4046" t="s">
        <v>15</v>
      </c>
      <c r="E4046" t="s">
        <v>24</v>
      </c>
      <c r="F4046" t="s">
        <v>60</v>
      </c>
      <c r="G4046" t="s">
        <v>19</v>
      </c>
      <c r="H4046">
        <f>Cleaned_Data!K4046</f>
        <v>12.65</v>
      </c>
      <c r="I4046" t="str">
        <f t="shared" si="189"/>
        <v>NO</v>
      </c>
      <c r="J4046">
        <f>Cleaned_Data!J4046</f>
        <v>8</v>
      </c>
      <c r="K4046" t="str">
        <f t="shared" si="190"/>
        <v>2024-09</v>
      </c>
      <c r="L4046">
        <f t="shared" si="191"/>
        <v>4.6500000000000004</v>
      </c>
    </row>
    <row r="4047" spans="1:12">
      <c r="A4047" t="s">
        <v>11731</v>
      </c>
      <c r="B4047" t="s">
        <v>11732</v>
      </c>
      <c r="D4047" t="s">
        <v>23</v>
      </c>
      <c r="E4047" t="s">
        <v>28</v>
      </c>
      <c r="F4047" t="s">
        <v>36</v>
      </c>
      <c r="G4047" t="s">
        <v>63</v>
      </c>
      <c r="H4047">
        <f>Cleaned_Data!K4047</f>
        <v>0</v>
      </c>
      <c r="I4047" t="str">
        <f t="shared" si="189"/>
        <v/>
      </c>
      <c r="J4047">
        <f>Cleaned_Data!J4047</f>
        <v>24</v>
      </c>
      <c r="K4047" t="str">
        <f t="shared" si="190"/>
        <v>2024-05</v>
      </c>
      <c r="L4047">
        <f t="shared" si="191"/>
        <v>0</v>
      </c>
    </row>
    <row r="4048" spans="1:12">
      <c r="A4048" t="s">
        <v>11733</v>
      </c>
      <c r="B4048" t="s">
        <v>11734</v>
      </c>
      <c r="C4048" t="s">
        <v>11735</v>
      </c>
      <c r="D4048" t="s">
        <v>23</v>
      </c>
      <c r="E4048" t="s">
        <v>54</v>
      </c>
      <c r="F4048" t="s">
        <v>60</v>
      </c>
      <c r="G4048" t="s">
        <v>31</v>
      </c>
      <c r="H4048">
        <f>Cleaned_Data!K4048</f>
        <v>18.93</v>
      </c>
      <c r="I4048" t="str">
        <f t="shared" si="189"/>
        <v>YES</v>
      </c>
      <c r="J4048">
        <f>Cleaned_Data!J4048</f>
        <v>24</v>
      </c>
      <c r="K4048" t="str">
        <f t="shared" si="190"/>
        <v>2024-04</v>
      </c>
      <c r="L4048">
        <f t="shared" si="191"/>
        <v>0</v>
      </c>
    </row>
    <row r="4049" spans="1:12">
      <c r="A4049" t="s">
        <v>11736</v>
      </c>
      <c r="B4049" t="s">
        <v>11737</v>
      </c>
      <c r="C4049" t="s">
        <v>11738</v>
      </c>
      <c r="D4049" t="s">
        <v>23</v>
      </c>
      <c r="E4049" t="s">
        <v>54</v>
      </c>
      <c r="F4049" t="s">
        <v>17</v>
      </c>
      <c r="G4049" t="s">
        <v>19</v>
      </c>
      <c r="H4049">
        <f>Cleaned_Data!K4049</f>
        <v>54.52</v>
      </c>
      <c r="I4049" t="str">
        <f t="shared" si="189"/>
        <v>NO</v>
      </c>
      <c r="J4049">
        <f>Cleaned_Data!J4049</f>
        <v>24</v>
      </c>
      <c r="K4049" t="str">
        <f t="shared" si="190"/>
        <v>2024-06</v>
      </c>
      <c r="L4049">
        <f t="shared" si="191"/>
        <v>30.520000000000003</v>
      </c>
    </row>
    <row r="4050" spans="1:12">
      <c r="A4050" t="s">
        <v>11739</v>
      </c>
      <c r="B4050" t="s">
        <v>11740</v>
      </c>
      <c r="C4050" t="s">
        <v>11741</v>
      </c>
      <c r="D4050" t="s">
        <v>23</v>
      </c>
      <c r="E4050" t="s">
        <v>16</v>
      </c>
      <c r="F4050" t="s">
        <v>60</v>
      </c>
      <c r="G4050" t="s">
        <v>19</v>
      </c>
      <c r="H4050">
        <f>Cleaned_Data!K4050</f>
        <v>43.39</v>
      </c>
      <c r="I4050" t="str">
        <f t="shared" si="189"/>
        <v>NO</v>
      </c>
      <c r="J4050">
        <f>Cleaned_Data!J4050</f>
        <v>24</v>
      </c>
      <c r="K4050" t="str">
        <f t="shared" si="190"/>
        <v>2024-08</v>
      </c>
      <c r="L4050">
        <f t="shared" si="191"/>
        <v>19.39</v>
      </c>
    </row>
    <row r="4051" spans="1:12">
      <c r="A4051" t="s">
        <v>11742</v>
      </c>
      <c r="B4051" t="s">
        <v>11743</v>
      </c>
      <c r="D4051" t="s">
        <v>23</v>
      </c>
      <c r="E4051" t="s">
        <v>59</v>
      </c>
      <c r="F4051" t="s">
        <v>36</v>
      </c>
      <c r="G4051" t="s">
        <v>46</v>
      </c>
      <c r="H4051">
        <f>Cleaned_Data!K4051</f>
        <v>0</v>
      </c>
      <c r="I4051" t="str">
        <f t="shared" si="189"/>
        <v/>
      </c>
      <c r="J4051">
        <f>Cleaned_Data!J4051</f>
        <v>24</v>
      </c>
      <c r="K4051" t="str">
        <f t="shared" si="190"/>
        <v>2024-11</v>
      </c>
      <c r="L4051">
        <f t="shared" si="191"/>
        <v>0</v>
      </c>
    </row>
    <row r="4052" spans="1:12">
      <c r="A4052" t="s">
        <v>11744</v>
      </c>
      <c r="B4052" t="s">
        <v>11745</v>
      </c>
      <c r="C4052" t="s">
        <v>11746</v>
      </c>
      <c r="D4052" t="s">
        <v>35</v>
      </c>
      <c r="E4052" t="s">
        <v>54</v>
      </c>
      <c r="F4052" t="s">
        <v>17</v>
      </c>
      <c r="G4052" t="s">
        <v>31</v>
      </c>
      <c r="H4052">
        <f>Cleaned_Data!K4052</f>
        <v>44.57</v>
      </c>
      <c r="I4052" t="str">
        <f t="shared" si="189"/>
        <v>YES</v>
      </c>
      <c r="J4052">
        <f>Cleaned_Data!J4052</f>
        <v>48</v>
      </c>
      <c r="K4052" t="str">
        <f t="shared" si="190"/>
        <v>2024-03</v>
      </c>
      <c r="L4052">
        <f t="shared" si="191"/>
        <v>0</v>
      </c>
    </row>
    <row r="4053" spans="1:12">
      <c r="A4053" t="s">
        <v>11747</v>
      </c>
      <c r="B4053" t="s">
        <v>11748</v>
      </c>
      <c r="C4053" t="s">
        <v>11749</v>
      </c>
      <c r="D4053" t="s">
        <v>23</v>
      </c>
      <c r="E4053" t="s">
        <v>28</v>
      </c>
      <c r="F4053" t="s">
        <v>17</v>
      </c>
      <c r="G4053" t="s">
        <v>19</v>
      </c>
      <c r="H4053">
        <f>Cleaned_Data!K4053</f>
        <v>12.31</v>
      </c>
      <c r="I4053" t="str">
        <f t="shared" si="189"/>
        <v>YES</v>
      </c>
      <c r="J4053">
        <f>Cleaned_Data!J4053</f>
        <v>24</v>
      </c>
      <c r="K4053" t="str">
        <f t="shared" si="190"/>
        <v>2024-04</v>
      </c>
      <c r="L4053">
        <f t="shared" si="191"/>
        <v>0</v>
      </c>
    </row>
    <row r="4054" spans="1:12">
      <c r="A4054" t="s">
        <v>11750</v>
      </c>
      <c r="B4054" t="s">
        <v>11751</v>
      </c>
      <c r="C4054" t="s">
        <v>11752</v>
      </c>
      <c r="D4054" t="s">
        <v>158</v>
      </c>
      <c r="E4054" t="s">
        <v>28</v>
      </c>
      <c r="F4054" t="s">
        <v>36</v>
      </c>
      <c r="G4054" t="s">
        <v>19</v>
      </c>
      <c r="H4054">
        <f>Cleaned_Data!K4054</f>
        <v>1.42</v>
      </c>
      <c r="I4054" t="str">
        <f t="shared" si="189"/>
        <v>YES</v>
      </c>
      <c r="J4054">
        <f>Cleaned_Data!J4054</f>
        <v>4</v>
      </c>
      <c r="K4054" t="str">
        <f t="shared" si="190"/>
        <v>2024-04</v>
      </c>
      <c r="L4054">
        <f t="shared" si="191"/>
        <v>0</v>
      </c>
    </row>
    <row r="4055" spans="1:12">
      <c r="A4055" t="s">
        <v>11753</v>
      </c>
      <c r="B4055" t="s">
        <v>11754</v>
      </c>
      <c r="D4055" t="s">
        <v>35</v>
      </c>
      <c r="E4055" t="s">
        <v>28</v>
      </c>
      <c r="F4055" t="s">
        <v>17</v>
      </c>
      <c r="G4055" t="s">
        <v>63</v>
      </c>
      <c r="H4055">
        <f>Cleaned_Data!K4055</f>
        <v>0</v>
      </c>
      <c r="I4055" t="str">
        <f t="shared" si="189"/>
        <v/>
      </c>
      <c r="J4055">
        <f>Cleaned_Data!J4055</f>
        <v>48</v>
      </c>
      <c r="K4055" t="str">
        <f t="shared" si="190"/>
        <v>2024-07</v>
      </c>
      <c r="L4055">
        <f t="shared" si="191"/>
        <v>0</v>
      </c>
    </row>
    <row r="4056" spans="1:12">
      <c r="A4056" t="s">
        <v>11755</v>
      </c>
      <c r="B4056" t="s">
        <v>11756</v>
      </c>
      <c r="C4056" t="s">
        <v>11757</v>
      </c>
      <c r="D4056" t="s">
        <v>15</v>
      </c>
      <c r="E4056" t="s">
        <v>54</v>
      </c>
      <c r="F4056" t="s">
        <v>29</v>
      </c>
      <c r="G4056" t="s">
        <v>31</v>
      </c>
      <c r="H4056">
        <f>Cleaned_Data!K4056</f>
        <v>5.23</v>
      </c>
      <c r="I4056" t="str">
        <f t="shared" si="189"/>
        <v>YES</v>
      </c>
      <c r="J4056">
        <f>Cleaned_Data!J4056</f>
        <v>8</v>
      </c>
      <c r="K4056" t="str">
        <f t="shared" si="190"/>
        <v>2024-11</v>
      </c>
      <c r="L4056">
        <f t="shared" si="191"/>
        <v>0</v>
      </c>
    </row>
    <row r="4057" spans="1:12">
      <c r="A4057" t="s">
        <v>11758</v>
      </c>
      <c r="B4057" t="s">
        <v>11759</v>
      </c>
      <c r="C4057" t="s">
        <v>11760</v>
      </c>
      <c r="D4057" t="s">
        <v>35</v>
      </c>
      <c r="E4057" t="s">
        <v>16</v>
      </c>
      <c r="F4057" t="s">
        <v>41</v>
      </c>
      <c r="G4057" t="s">
        <v>19</v>
      </c>
      <c r="H4057">
        <f>Cleaned_Data!K4057</f>
        <v>7.01</v>
      </c>
      <c r="I4057" t="str">
        <f t="shared" si="189"/>
        <v>YES</v>
      </c>
      <c r="J4057">
        <f>Cleaned_Data!J4057</f>
        <v>48</v>
      </c>
      <c r="K4057" t="str">
        <f t="shared" si="190"/>
        <v>2024-11</v>
      </c>
      <c r="L4057">
        <f t="shared" si="191"/>
        <v>0</v>
      </c>
    </row>
    <row r="4058" spans="1:12">
      <c r="A4058" t="s">
        <v>11761</v>
      </c>
      <c r="B4058" t="s">
        <v>11762</v>
      </c>
      <c r="C4058" t="s">
        <v>11763</v>
      </c>
      <c r="D4058" t="s">
        <v>35</v>
      </c>
      <c r="E4058" t="s">
        <v>24</v>
      </c>
      <c r="F4058" t="s">
        <v>41</v>
      </c>
      <c r="G4058" t="s">
        <v>31</v>
      </c>
      <c r="H4058">
        <f>Cleaned_Data!K4058</f>
        <v>15.45</v>
      </c>
      <c r="I4058" t="str">
        <f t="shared" si="189"/>
        <v>YES</v>
      </c>
      <c r="J4058">
        <f>Cleaned_Data!J4058</f>
        <v>48</v>
      </c>
      <c r="K4058" t="str">
        <f t="shared" si="190"/>
        <v>2024-01</v>
      </c>
      <c r="L4058">
        <f t="shared" si="191"/>
        <v>0</v>
      </c>
    </row>
    <row r="4059" spans="1:12">
      <c r="A4059" t="s">
        <v>11764</v>
      </c>
      <c r="B4059" t="s">
        <v>11765</v>
      </c>
      <c r="C4059" t="s">
        <v>11766</v>
      </c>
      <c r="D4059" t="s">
        <v>15</v>
      </c>
      <c r="E4059" t="s">
        <v>59</v>
      </c>
      <c r="F4059" t="s">
        <v>17</v>
      </c>
      <c r="G4059" t="s">
        <v>19</v>
      </c>
      <c r="H4059">
        <f>Cleaned_Data!K4059</f>
        <v>1.53</v>
      </c>
      <c r="I4059" t="str">
        <f t="shared" si="189"/>
        <v>YES</v>
      </c>
      <c r="J4059">
        <f>Cleaned_Data!J4059</f>
        <v>8</v>
      </c>
      <c r="K4059" t="str">
        <f t="shared" si="190"/>
        <v>2024-08</v>
      </c>
      <c r="L4059">
        <f t="shared" si="191"/>
        <v>0</v>
      </c>
    </row>
    <row r="4060" spans="1:12">
      <c r="A4060" t="s">
        <v>11767</v>
      </c>
      <c r="B4060" t="s">
        <v>11768</v>
      </c>
      <c r="C4060" t="s">
        <v>11769</v>
      </c>
      <c r="D4060" t="s">
        <v>15</v>
      </c>
      <c r="E4060" t="s">
        <v>16</v>
      </c>
      <c r="F4060" t="s">
        <v>29</v>
      </c>
      <c r="G4060" t="s">
        <v>19</v>
      </c>
      <c r="H4060">
        <f>Cleaned_Data!K4060</f>
        <v>1.4</v>
      </c>
      <c r="I4060" t="str">
        <f t="shared" si="189"/>
        <v>YES</v>
      </c>
      <c r="J4060">
        <f>Cleaned_Data!J4060</f>
        <v>8</v>
      </c>
      <c r="K4060" t="str">
        <f t="shared" si="190"/>
        <v>2024-05</v>
      </c>
      <c r="L4060">
        <f t="shared" si="191"/>
        <v>0</v>
      </c>
    </row>
    <row r="4061" spans="1:12">
      <c r="A4061" t="s">
        <v>11770</v>
      </c>
      <c r="B4061" t="s">
        <v>11771</v>
      </c>
      <c r="C4061" t="s">
        <v>11772</v>
      </c>
      <c r="D4061" t="s">
        <v>23</v>
      </c>
      <c r="E4061" t="s">
        <v>28</v>
      </c>
      <c r="F4061" t="s">
        <v>36</v>
      </c>
      <c r="G4061" t="s">
        <v>19</v>
      </c>
      <c r="H4061">
        <f>Cleaned_Data!K4061</f>
        <v>4.09</v>
      </c>
      <c r="I4061" t="str">
        <f t="shared" si="189"/>
        <v>YES</v>
      </c>
      <c r="J4061">
        <f>Cleaned_Data!J4061</f>
        <v>24</v>
      </c>
      <c r="K4061" t="str">
        <f t="shared" si="190"/>
        <v>2024-06</v>
      </c>
      <c r="L4061">
        <f t="shared" si="191"/>
        <v>0</v>
      </c>
    </row>
    <row r="4062" spans="1:12">
      <c r="A4062" t="s">
        <v>11773</v>
      </c>
      <c r="B4062" t="s">
        <v>11774</v>
      </c>
      <c r="C4062" t="s">
        <v>11775</v>
      </c>
      <c r="D4062" t="s">
        <v>35</v>
      </c>
      <c r="E4062" t="s">
        <v>28</v>
      </c>
      <c r="F4062" t="s">
        <v>36</v>
      </c>
      <c r="G4062" t="s">
        <v>19</v>
      </c>
      <c r="H4062">
        <f>Cleaned_Data!K4062</f>
        <v>14.41</v>
      </c>
      <c r="I4062" t="str">
        <f t="shared" si="189"/>
        <v>YES</v>
      </c>
      <c r="J4062">
        <f>Cleaned_Data!J4062</f>
        <v>48</v>
      </c>
      <c r="K4062" t="str">
        <f t="shared" si="190"/>
        <v>2024-08</v>
      </c>
      <c r="L4062">
        <f t="shared" si="191"/>
        <v>0</v>
      </c>
    </row>
    <row r="4063" spans="1:12">
      <c r="A4063" t="s">
        <v>11776</v>
      </c>
      <c r="B4063" t="s">
        <v>11777</v>
      </c>
      <c r="C4063" t="s">
        <v>11778</v>
      </c>
      <c r="D4063" t="s">
        <v>23</v>
      </c>
      <c r="E4063" t="s">
        <v>24</v>
      </c>
      <c r="F4063" t="s">
        <v>36</v>
      </c>
      <c r="G4063" t="s">
        <v>19</v>
      </c>
      <c r="H4063">
        <f>Cleaned_Data!K4063</f>
        <v>6.19</v>
      </c>
      <c r="I4063" t="str">
        <f t="shared" si="189"/>
        <v>YES</v>
      </c>
      <c r="J4063">
        <f>Cleaned_Data!J4063</f>
        <v>24</v>
      </c>
      <c r="K4063" t="str">
        <f t="shared" si="190"/>
        <v>2024-11</v>
      </c>
      <c r="L4063">
        <f t="shared" si="191"/>
        <v>0</v>
      </c>
    </row>
    <row r="4064" spans="1:12">
      <c r="A4064" t="s">
        <v>11779</v>
      </c>
      <c r="B4064" t="s">
        <v>11780</v>
      </c>
      <c r="C4064" t="s">
        <v>11781</v>
      </c>
      <c r="D4064" t="s">
        <v>23</v>
      </c>
      <c r="E4064" t="s">
        <v>54</v>
      </c>
      <c r="F4064" t="s">
        <v>41</v>
      </c>
      <c r="G4064" t="s">
        <v>31</v>
      </c>
      <c r="H4064">
        <f>Cleaned_Data!K4064</f>
        <v>19.829999999999998</v>
      </c>
      <c r="I4064" t="str">
        <f t="shared" si="189"/>
        <v>YES</v>
      </c>
      <c r="J4064">
        <f>Cleaned_Data!J4064</f>
        <v>24</v>
      </c>
      <c r="K4064" t="str">
        <f t="shared" si="190"/>
        <v>2024-08</v>
      </c>
      <c r="L4064">
        <f t="shared" si="191"/>
        <v>0</v>
      </c>
    </row>
    <row r="4065" spans="1:12">
      <c r="A4065" t="s">
        <v>11782</v>
      </c>
      <c r="B4065" t="s">
        <v>11783</v>
      </c>
      <c r="C4065" t="s">
        <v>11784</v>
      </c>
      <c r="D4065" t="s">
        <v>23</v>
      </c>
      <c r="E4065" t="s">
        <v>16</v>
      </c>
      <c r="F4065" t="s">
        <v>17</v>
      </c>
      <c r="G4065" t="s">
        <v>19</v>
      </c>
      <c r="H4065">
        <f>Cleaned_Data!K4065</f>
        <v>10.6</v>
      </c>
      <c r="I4065" t="str">
        <f t="shared" si="189"/>
        <v>YES</v>
      </c>
      <c r="J4065">
        <f>Cleaned_Data!J4065</f>
        <v>24</v>
      </c>
      <c r="K4065" t="str">
        <f t="shared" si="190"/>
        <v>2024-09</v>
      </c>
      <c r="L4065">
        <f t="shared" si="191"/>
        <v>0</v>
      </c>
    </row>
    <row r="4066" spans="1:12">
      <c r="A4066" t="s">
        <v>11785</v>
      </c>
      <c r="B4066" t="s">
        <v>11786</v>
      </c>
      <c r="C4066" t="s">
        <v>11787</v>
      </c>
      <c r="D4066" t="s">
        <v>35</v>
      </c>
      <c r="E4066" t="s">
        <v>54</v>
      </c>
      <c r="F4066" t="s">
        <v>36</v>
      </c>
      <c r="G4066" t="s">
        <v>31</v>
      </c>
      <c r="H4066">
        <f>Cleaned_Data!K4066</f>
        <v>19.64</v>
      </c>
      <c r="I4066" t="str">
        <f t="shared" si="189"/>
        <v>YES</v>
      </c>
      <c r="J4066">
        <f>Cleaned_Data!J4066</f>
        <v>48</v>
      </c>
      <c r="K4066" t="str">
        <f t="shared" si="190"/>
        <v>2024-10</v>
      </c>
      <c r="L4066">
        <f t="shared" si="191"/>
        <v>0</v>
      </c>
    </row>
    <row r="4067" spans="1:12">
      <c r="A4067" t="s">
        <v>11788</v>
      </c>
      <c r="B4067" t="s">
        <v>11789</v>
      </c>
      <c r="C4067" t="s">
        <v>11790</v>
      </c>
      <c r="D4067" t="s">
        <v>23</v>
      </c>
      <c r="E4067" t="s">
        <v>28</v>
      </c>
      <c r="F4067" t="s">
        <v>29</v>
      </c>
      <c r="G4067" t="s">
        <v>31</v>
      </c>
      <c r="H4067">
        <f>Cleaned_Data!K4067</f>
        <v>15.01</v>
      </c>
      <c r="I4067" t="str">
        <f t="shared" si="189"/>
        <v>YES</v>
      </c>
      <c r="J4067">
        <f>Cleaned_Data!J4067</f>
        <v>24</v>
      </c>
      <c r="K4067" t="str">
        <f t="shared" si="190"/>
        <v>2024-02</v>
      </c>
      <c r="L4067">
        <f t="shared" si="191"/>
        <v>0</v>
      </c>
    </row>
    <row r="4068" spans="1:12">
      <c r="A4068" t="s">
        <v>11791</v>
      </c>
      <c r="B4068" t="s">
        <v>11792</v>
      </c>
      <c r="C4068" t="s">
        <v>11793</v>
      </c>
      <c r="D4068" t="s">
        <v>15</v>
      </c>
      <c r="E4068" t="s">
        <v>24</v>
      </c>
      <c r="F4068" t="s">
        <v>17</v>
      </c>
      <c r="G4068" t="s">
        <v>31</v>
      </c>
      <c r="H4068">
        <f>Cleaned_Data!K4068</f>
        <v>7.31</v>
      </c>
      <c r="I4068" t="str">
        <f t="shared" si="189"/>
        <v>YES</v>
      </c>
      <c r="J4068">
        <f>Cleaned_Data!J4068</f>
        <v>8</v>
      </c>
      <c r="K4068" t="str">
        <f t="shared" si="190"/>
        <v>2024-11</v>
      </c>
      <c r="L4068">
        <f t="shared" si="191"/>
        <v>0</v>
      </c>
    </row>
    <row r="4069" spans="1:12">
      <c r="A4069" t="s">
        <v>11794</v>
      </c>
      <c r="B4069" t="s">
        <v>11795</v>
      </c>
      <c r="C4069" t="s">
        <v>11796</v>
      </c>
      <c r="D4069" t="s">
        <v>15</v>
      </c>
      <c r="E4069" t="s">
        <v>59</v>
      </c>
      <c r="F4069" t="s">
        <v>17</v>
      </c>
      <c r="G4069" t="s">
        <v>19</v>
      </c>
      <c r="H4069">
        <f>Cleaned_Data!K4069</f>
        <v>18.190000000000001</v>
      </c>
      <c r="I4069" t="str">
        <f t="shared" si="189"/>
        <v>NO</v>
      </c>
      <c r="J4069">
        <f>Cleaned_Data!J4069</f>
        <v>8</v>
      </c>
      <c r="K4069" t="str">
        <f t="shared" si="190"/>
        <v>2024-03</v>
      </c>
      <c r="L4069">
        <f t="shared" si="191"/>
        <v>10.190000000000001</v>
      </c>
    </row>
    <row r="4070" spans="1:12">
      <c r="A4070" t="s">
        <v>11797</v>
      </c>
      <c r="B4070" t="s">
        <v>11798</v>
      </c>
      <c r="C4070" t="s">
        <v>11799</v>
      </c>
      <c r="D4070" t="s">
        <v>23</v>
      </c>
      <c r="E4070" t="s">
        <v>28</v>
      </c>
      <c r="F4070" t="s">
        <v>17</v>
      </c>
      <c r="G4070" t="s">
        <v>19</v>
      </c>
      <c r="H4070">
        <f>Cleaned_Data!K4070</f>
        <v>17.72</v>
      </c>
      <c r="I4070" t="str">
        <f t="shared" si="189"/>
        <v>YES</v>
      </c>
      <c r="J4070">
        <f>Cleaned_Data!J4070</f>
        <v>24</v>
      </c>
      <c r="K4070" t="str">
        <f t="shared" si="190"/>
        <v>2024-12</v>
      </c>
      <c r="L4070">
        <f t="shared" si="191"/>
        <v>0</v>
      </c>
    </row>
    <row r="4071" spans="1:12">
      <c r="A4071" t="s">
        <v>11800</v>
      </c>
      <c r="B4071" t="s">
        <v>11801</v>
      </c>
      <c r="C4071" t="s">
        <v>11802</v>
      </c>
      <c r="D4071" t="s">
        <v>15</v>
      </c>
      <c r="E4071" t="s">
        <v>28</v>
      </c>
      <c r="F4071" t="s">
        <v>41</v>
      </c>
      <c r="G4071" t="s">
        <v>19</v>
      </c>
      <c r="H4071">
        <f>Cleaned_Data!K4071</f>
        <v>21.24</v>
      </c>
      <c r="I4071" t="str">
        <f t="shared" si="189"/>
        <v>NO</v>
      </c>
      <c r="J4071">
        <f>Cleaned_Data!J4071</f>
        <v>8</v>
      </c>
      <c r="K4071" t="str">
        <f t="shared" si="190"/>
        <v>2024-02</v>
      </c>
      <c r="L4071">
        <f t="shared" si="191"/>
        <v>13.239999999999998</v>
      </c>
    </row>
    <row r="4072" spans="1:12">
      <c r="A4072" t="s">
        <v>11803</v>
      </c>
      <c r="B4072" t="s">
        <v>11804</v>
      </c>
      <c r="C4072" t="s">
        <v>11805</v>
      </c>
      <c r="D4072" t="s">
        <v>15</v>
      </c>
      <c r="E4072" t="s">
        <v>16</v>
      </c>
      <c r="F4072" t="s">
        <v>36</v>
      </c>
      <c r="G4072" t="s">
        <v>19</v>
      </c>
      <c r="H4072">
        <f>Cleaned_Data!K4072</f>
        <v>656</v>
      </c>
      <c r="I4072" t="str">
        <f t="shared" si="189"/>
        <v>NO</v>
      </c>
      <c r="J4072">
        <f>Cleaned_Data!J4072</f>
        <v>8</v>
      </c>
      <c r="K4072" t="str">
        <f t="shared" si="190"/>
        <v>2024-06</v>
      </c>
      <c r="L4072">
        <f t="shared" si="191"/>
        <v>648</v>
      </c>
    </row>
    <row r="4073" spans="1:12">
      <c r="A4073" t="s">
        <v>11806</v>
      </c>
      <c r="B4073" t="s">
        <v>11807</v>
      </c>
      <c r="C4073" t="s">
        <v>11808</v>
      </c>
      <c r="D4073" t="s">
        <v>15</v>
      </c>
      <c r="E4073" t="s">
        <v>28</v>
      </c>
      <c r="F4073" t="s">
        <v>29</v>
      </c>
      <c r="G4073" t="s">
        <v>31</v>
      </c>
      <c r="H4073">
        <f>Cleaned_Data!K4073</f>
        <v>2.17</v>
      </c>
      <c r="I4073" t="str">
        <f t="shared" si="189"/>
        <v>YES</v>
      </c>
      <c r="J4073">
        <f>Cleaned_Data!J4073</f>
        <v>8</v>
      </c>
      <c r="K4073" t="str">
        <f t="shared" si="190"/>
        <v>2024-02</v>
      </c>
      <c r="L4073">
        <f t="shared" si="191"/>
        <v>0</v>
      </c>
    </row>
    <row r="4074" spans="1:12">
      <c r="A4074" t="s">
        <v>11809</v>
      </c>
      <c r="B4074" t="s">
        <v>11810</v>
      </c>
      <c r="C4074" t="s">
        <v>11811</v>
      </c>
      <c r="D4074" t="s">
        <v>35</v>
      </c>
      <c r="E4074" t="s">
        <v>28</v>
      </c>
      <c r="F4074" t="s">
        <v>36</v>
      </c>
      <c r="G4074" t="s">
        <v>31</v>
      </c>
      <c r="H4074">
        <f>Cleaned_Data!K4074</f>
        <v>18.100000000000001</v>
      </c>
      <c r="I4074" t="str">
        <f t="shared" si="189"/>
        <v>YES</v>
      </c>
      <c r="J4074">
        <f>Cleaned_Data!J4074</f>
        <v>48</v>
      </c>
      <c r="K4074" t="str">
        <f t="shared" si="190"/>
        <v>2024-06</v>
      </c>
      <c r="L4074">
        <f t="shared" si="191"/>
        <v>0</v>
      </c>
    </row>
    <row r="4075" spans="1:12">
      <c r="A4075" t="s">
        <v>11812</v>
      </c>
      <c r="B4075" t="s">
        <v>11813</v>
      </c>
      <c r="C4075" t="s">
        <v>11814</v>
      </c>
      <c r="D4075" t="s">
        <v>23</v>
      </c>
      <c r="E4075" t="s">
        <v>24</v>
      </c>
      <c r="F4075" t="s">
        <v>36</v>
      </c>
      <c r="G4075" t="s">
        <v>19</v>
      </c>
      <c r="H4075">
        <f>Cleaned_Data!K4075</f>
        <v>12.05</v>
      </c>
      <c r="I4075" t="str">
        <f t="shared" si="189"/>
        <v>YES</v>
      </c>
      <c r="J4075">
        <f>Cleaned_Data!J4075</f>
        <v>24</v>
      </c>
      <c r="K4075" t="str">
        <f t="shared" si="190"/>
        <v>2024-06</v>
      </c>
      <c r="L4075">
        <f t="shared" si="191"/>
        <v>0</v>
      </c>
    </row>
    <row r="4076" spans="1:12">
      <c r="A4076" t="s">
        <v>11815</v>
      </c>
      <c r="B4076" t="s">
        <v>11816</v>
      </c>
      <c r="D4076" t="s">
        <v>23</v>
      </c>
      <c r="E4076" t="s">
        <v>59</v>
      </c>
      <c r="F4076" t="s">
        <v>36</v>
      </c>
      <c r="G4076" t="s">
        <v>63</v>
      </c>
      <c r="H4076">
        <f>Cleaned_Data!K4076</f>
        <v>0</v>
      </c>
      <c r="I4076" t="str">
        <f t="shared" si="189"/>
        <v/>
      </c>
      <c r="J4076">
        <f>Cleaned_Data!J4076</f>
        <v>24</v>
      </c>
      <c r="K4076" t="str">
        <f t="shared" si="190"/>
        <v>2024-06</v>
      </c>
      <c r="L4076">
        <f t="shared" si="191"/>
        <v>0</v>
      </c>
    </row>
    <row r="4077" spans="1:12">
      <c r="A4077" t="s">
        <v>11817</v>
      </c>
      <c r="B4077" t="s">
        <v>11818</v>
      </c>
      <c r="C4077" t="s">
        <v>11819</v>
      </c>
      <c r="D4077" t="s">
        <v>35</v>
      </c>
      <c r="E4077" t="s">
        <v>54</v>
      </c>
      <c r="F4077" t="s">
        <v>41</v>
      </c>
      <c r="G4077" t="s">
        <v>19</v>
      </c>
      <c r="H4077">
        <f>Cleaned_Data!K4077</f>
        <v>4.91</v>
      </c>
      <c r="I4077" t="str">
        <f t="shared" si="189"/>
        <v>YES</v>
      </c>
      <c r="J4077">
        <f>Cleaned_Data!J4077</f>
        <v>48</v>
      </c>
      <c r="K4077" t="str">
        <f t="shared" si="190"/>
        <v>2024-11</v>
      </c>
      <c r="L4077">
        <f t="shared" si="191"/>
        <v>0</v>
      </c>
    </row>
    <row r="4078" spans="1:12">
      <c r="A4078" t="s">
        <v>11820</v>
      </c>
      <c r="B4078" t="s">
        <v>11821</v>
      </c>
      <c r="C4078" t="s">
        <v>11822</v>
      </c>
      <c r="D4078" t="s">
        <v>23</v>
      </c>
      <c r="E4078" t="s">
        <v>59</v>
      </c>
      <c r="F4078" t="s">
        <v>36</v>
      </c>
      <c r="G4078" t="s">
        <v>19</v>
      </c>
      <c r="H4078">
        <f>Cleaned_Data!K4078</f>
        <v>46.43</v>
      </c>
      <c r="I4078" t="str">
        <f t="shared" si="189"/>
        <v>NO</v>
      </c>
      <c r="J4078">
        <f>Cleaned_Data!J4078</f>
        <v>24</v>
      </c>
      <c r="K4078" t="str">
        <f t="shared" si="190"/>
        <v>2024-01</v>
      </c>
      <c r="L4078">
        <f t="shared" si="191"/>
        <v>22.43</v>
      </c>
    </row>
    <row r="4079" spans="1:12">
      <c r="A4079" t="s">
        <v>11823</v>
      </c>
      <c r="B4079" t="s">
        <v>11824</v>
      </c>
      <c r="C4079" t="s">
        <v>11825</v>
      </c>
      <c r="D4079" t="s">
        <v>35</v>
      </c>
      <c r="E4079" t="s">
        <v>28</v>
      </c>
      <c r="F4079" t="s">
        <v>29</v>
      </c>
      <c r="G4079" t="s">
        <v>31</v>
      </c>
      <c r="H4079">
        <f>Cleaned_Data!K4079</f>
        <v>33.21</v>
      </c>
      <c r="I4079" t="str">
        <f t="shared" si="189"/>
        <v>YES</v>
      </c>
      <c r="J4079">
        <f>Cleaned_Data!J4079</f>
        <v>48</v>
      </c>
      <c r="K4079" t="str">
        <f t="shared" si="190"/>
        <v>2024-03</v>
      </c>
      <c r="L4079">
        <f t="shared" si="191"/>
        <v>0</v>
      </c>
    </row>
    <row r="4080" spans="1:12">
      <c r="A4080" t="s">
        <v>11826</v>
      </c>
      <c r="B4080" t="s">
        <v>11827</v>
      </c>
      <c r="C4080" t="s">
        <v>11828</v>
      </c>
      <c r="D4080" t="s">
        <v>35</v>
      </c>
      <c r="E4080" t="s">
        <v>28</v>
      </c>
      <c r="F4080" t="s">
        <v>29</v>
      </c>
      <c r="G4080" t="s">
        <v>31</v>
      </c>
      <c r="H4080">
        <f>Cleaned_Data!K4080</f>
        <v>8.14</v>
      </c>
      <c r="I4080" t="str">
        <f t="shared" si="189"/>
        <v>YES</v>
      </c>
      <c r="J4080">
        <f>Cleaned_Data!J4080</f>
        <v>48</v>
      </c>
      <c r="K4080" t="str">
        <f t="shared" si="190"/>
        <v>2024-09</v>
      </c>
      <c r="L4080">
        <f t="shared" si="191"/>
        <v>0</v>
      </c>
    </row>
    <row r="4081" spans="1:12">
      <c r="A4081" t="s">
        <v>11829</v>
      </c>
      <c r="B4081" t="s">
        <v>11830</v>
      </c>
      <c r="C4081" t="s">
        <v>11831</v>
      </c>
      <c r="D4081" t="s">
        <v>23</v>
      </c>
      <c r="E4081" t="s">
        <v>24</v>
      </c>
      <c r="F4081" t="s">
        <v>41</v>
      </c>
      <c r="G4081" t="s">
        <v>19</v>
      </c>
      <c r="H4081">
        <f>Cleaned_Data!K4081</f>
        <v>4.6100000000000003</v>
      </c>
      <c r="I4081" t="str">
        <f t="shared" si="189"/>
        <v>YES</v>
      </c>
      <c r="J4081">
        <f>Cleaned_Data!J4081</f>
        <v>24</v>
      </c>
      <c r="K4081" t="str">
        <f t="shared" si="190"/>
        <v>2024-05</v>
      </c>
      <c r="L4081">
        <f t="shared" si="191"/>
        <v>0</v>
      </c>
    </row>
    <row r="4082" spans="1:12">
      <c r="A4082" t="s">
        <v>11832</v>
      </c>
      <c r="B4082" t="s">
        <v>11833</v>
      </c>
      <c r="C4082" t="s">
        <v>11834</v>
      </c>
      <c r="D4082" t="s">
        <v>15</v>
      </c>
      <c r="E4082" t="s">
        <v>24</v>
      </c>
      <c r="F4082" t="s">
        <v>29</v>
      </c>
      <c r="G4082" t="s">
        <v>31</v>
      </c>
      <c r="H4082">
        <f>Cleaned_Data!K4082</f>
        <v>5.07</v>
      </c>
      <c r="I4082" t="str">
        <f t="shared" si="189"/>
        <v>YES</v>
      </c>
      <c r="J4082">
        <f>Cleaned_Data!J4082</f>
        <v>8</v>
      </c>
      <c r="K4082" t="str">
        <f t="shared" si="190"/>
        <v>2024-01</v>
      </c>
      <c r="L4082">
        <f t="shared" si="191"/>
        <v>0</v>
      </c>
    </row>
    <row r="4083" spans="1:12">
      <c r="A4083" t="s">
        <v>11835</v>
      </c>
      <c r="B4083" t="s">
        <v>11836</v>
      </c>
      <c r="C4083" t="s">
        <v>11837</v>
      </c>
      <c r="D4083" t="s">
        <v>15</v>
      </c>
      <c r="E4083" t="s">
        <v>24</v>
      </c>
      <c r="F4083" t="s">
        <v>36</v>
      </c>
      <c r="G4083" t="s">
        <v>19</v>
      </c>
      <c r="H4083">
        <f>Cleaned_Data!K4083</f>
        <v>6.96</v>
      </c>
      <c r="I4083" t="str">
        <f t="shared" si="189"/>
        <v>YES</v>
      </c>
      <c r="J4083">
        <f>Cleaned_Data!J4083</f>
        <v>8</v>
      </c>
      <c r="K4083" t="str">
        <f t="shared" si="190"/>
        <v>2024-10</v>
      </c>
      <c r="L4083">
        <f t="shared" si="191"/>
        <v>0</v>
      </c>
    </row>
    <row r="4084" spans="1:12">
      <c r="A4084" t="s">
        <v>11838</v>
      </c>
      <c r="B4084" t="s">
        <v>11839</v>
      </c>
      <c r="C4084" t="s">
        <v>11840</v>
      </c>
      <c r="D4084" t="s">
        <v>23</v>
      </c>
      <c r="E4084" t="s">
        <v>24</v>
      </c>
      <c r="F4084" t="s">
        <v>29</v>
      </c>
      <c r="G4084" t="s">
        <v>19</v>
      </c>
      <c r="H4084">
        <f>Cleaned_Data!K4084</f>
        <v>8.1999999999999993</v>
      </c>
      <c r="I4084" t="str">
        <f t="shared" si="189"/>
        <v>YES</v>
      </c>
      <c r="J4084">
        <f>Cleaned_Data!J4084</f>
        <v>24</v>
      </c>
      <c r="K4084" t="str">
        <f t="shared" si="190"/>
        <v>2024-04</v>
      </c>
      <c r="L4084">
        <f t="shared" si="191"/>
        <v>0</v>
      </c>
    </row>
    <row r="4085" spans="1:12">
      <c r="A4085" t="s">
        <v>11841</v>
      </c>
      <c r="B4085" t="s">
        <v>11842</v>
      </c>
      <c r="D4085" t="s">
        <v>15</v>
      </c>
      <c r="E4085" t="s">
        <v>59</v>
      </c>
      <c r="F4085" t="s">
        <v>17</v>
      </c>
      <c r="G4085" t="s">
        <v>63</v>
      </c>
      <c r="H4085">
        <f>Cleaned_Data!K4085</f>
        <v>0</v>
      </c>
      <c r="I4085" t="str">
        <f t="shared" si="189"/>
        <v/>
      </c>
      <c r="J4085">
        <f>Cleaned_Data!J4085</f>
        <v>8</v>
      </c>
      <c r="K4085" t="str">
        <f t="shared" si="190"/>
        <v>2024-10</v>
      </c>
      <c r="L4085">
        <f t="shared" si="191"/>
        <v>0</v>
      </c>
    </row>
    <row r="4086" spans="1:12">
      <c r="A4086" t="s">
        <v>11843</v>
      </c>
      <c r="B4086" t="s">
        <v>11844</v>
      </c>
      <c r="C4086" t="s">
        <v>11845</v>
      </c>
      <c r="D4086" t="s">
        <v>23</v>
      </c>
      <c r="E4086" t="s">
        <v>16</v>
      </c>
      <c r="F4086" t="s">
        <v>36</v>
      </c>
      <c r="G4086" t="s">
        <v>31</v>
      </c>
      <c r="H4086">
        <f>Cleaned_Data!K4086</f>
        <v>30.79</v>
      </c>
      <c r="I4086" t="str">
        <f t="shared" si="189"/>
        <v>NO</v>
      </c>
      <c r="J4086">
        <f>Cleaned_Data!J4086</f>
        <v>24</v>
      </c>
      <c r="K4086" t="str">
        <f t="shared" si="190"/>
        <v>2024-03</v>
      </c>
      <c r="L4086">
        <f t="shared" si="191"/>
        <v>6.7899999999999991</v>
      </c>
    </row>
    <row r="4087" spans="1:12">
      <c r="A4087" t="s">
        <v>11846</v>
      </c>
      <c r="B4087" t="s">
        <v>11847</v>
      </c>
      <c r="C4087" t="s">
        <v>11848</v>
      </c>
      <c r="D4087" t="s">
        <v>15</v>
      </c>
      <c r="E4087" t="s">
        <v>59</v>
      </c>
      <c r="F4087" t="s">
        <v>36</v>
      </c>
      <c r="G4087" t="s">
        <v>31</v>
      </c>
      <c r="H4087">
        <f>Cleaned_Data!K4087</f>
        <v>3.94</v>
      </c>
      <c r="I4087" t="str">
        <f t="shared" si="189"/>
        <v>YES</v>
      </c>
      <c r="J4087">
        <f>Cleaned_Data!J4087</f>
        <v>8</v>
      </c>
      <c r="K4087" t="str">
        <f t="shared" si="190"/>
        <v>2024-04</v>
      </c>
      <c r="L4087">
        <f t="shared" si="191"/>
        <v>0</v>
      </c>
    </row>
    <row r="4088" spans="1:12">
      <c r="A4088" t="s">
        <v>11849</v>
      </c>
      <c r="B4088" t="s">
        <v>11850</v>
      </c>
      <c r="C4088" t="s">
        <v>11851</v>
      </c>
      <c r="D4088" t="s">
        <v>15</v>
      </c>
      <c r="E4088" t="s">
        <v>24</v>
      </c>
      <c r="F4088" t="s">
        <v>17</v>
      </c>
      <c r="G4088" t="s">
        <v>31</v>
      </c>
      <c r="H4088">
        <f>Cleaned_Data!K4088</f>
        <v>11.05</v>
      </c>
      <c r="I4088" t="str">
        <f t="shared" si="189"/>
        <v>NO</v>
      </c>
      <c r="J4088">
        <f>Cleaned_Data!J4088</f>
        <v>8</v>
      </c>
      <c r="K4088" t="str">
        <f t="shared" si="190"/>
        <v>2024-10</v>
      </c>
      <c r="L4088">
        <f t="shared" si="191"/>
        <v>3.0500000000000007</v>
      </c>
    </row>
    <row r="4089" spans="1:12">
      <c r="A4089" t="s">
        <v>11852</v>
      </c>
      <c r="B4089" t="s">
        <v>11853</v>
      </c>
      <c r="C4089" t="s">
        <v>11854</v>
      </c>
      <c r="D4089" t="s">
        <v>35</v>
      </c>
      <c r="E4089" t="s">
        <v>16</v>
      </c>
      <c r="F4089" t="s">
        <v>60</v>
      </c>
      <c r="G4089" t="s">
        <v>19</v>
      </c>
      <c r="H4089">
        <f>Cleaned_Data!K4089</f>
        <v>39.1</v>
      </c>
      <c r="I4089" t="str">
        <f t="shared" si="189"/>
        <v>YES</v>
      </c>
      <c r="J4089">
        <f>Cleaned_Data!J4089</f>
        <v>48</v>
      </c>
      <c r="K4089" t="str">
        <f t="shared" si="190"/>
        <v>2024-11</v>
      </c>
      <c r="L4089">
        <f t="shared" si="191"/>
        <v>0</v>
      </c>
    </row>
    <row r="4090" spans="1:12">
      <c r="A4090" t="s">
        <v>11855</v>
      </c>
      <c r="B4090" t="s">
        <v>11856</v>
      </c>
      <c r="C4090" t="s">
        <v>11857</v>
      </c>
      <c r="D4090" t="s">
        <v>23</v>
      </c>
      <c r="E4090" t="s">
        <v>28</v>
      </c>
      <c r="F4090" t="s">
        <v>60</v>
      </c>
      <c r="G4090" t="s">
        <v>19</v>
      </c>
      <c r="H4090">
        <f>Cleaned_Data!K4090</f>
        <v>4.33</v>
      </c>
      <c r="I4090" t="str">
        <f t="shared" si="189"/>
        <v>YES</v>
      </c>
      <c r="J4090">
        <f>Cleaned_Data!J4090</f>
        <v>24</v>
      </c>
      <c r="K4090" t="str">
        <f t="shared" si="190"/>
        <v>2024-05</v>
      </c>
      <c r="L4090">
        <f t="shared" si="191"/>
        <v>0</v>
      </c>
    </row>
    <row r="4091" spans="1:12">
      <c r="A4091" t="s">
        <v>11858</v>
      </c>
      <c r="B4091" t="s">
        <v>11859</v>
      </c>
      <c r="C4091" t="s">
        <v>11860</v>
      </c>
      <c r="D4091" t="s">
        <v>35</v>
      </c>
      <c r="E4091" t="s">
        <v>16</v>
      </c>
      <c r="F4091" t="s">
        <v>17</v>
      </c>
      <c r="G4091" t="s">
        <v>31</v>
      </c>
      <c r="H4091">
        <f>Cleaned_Data!K4091</f>
        <v>7.13</v>
      </c>
      <c r="I4091" t="str">
        <f t="shared" si="189"/>
        <v>YES</v>
      </c>
      <c r="J4091">
        <f>Cleaned_Data!J4091</f>
        <v>48</v>
      </c>
      <c r="K4091" t="str">
        <f t="shared" si="190"/>
        <v>2024-04</v>
      </c>
      <c r="L4091">
        <f t="shared" si="191"/>
        <v>0</v>
      </c>
    </row>
    <row r="4092" spans="1:12">
      <c r="A4092" t="s">
        <v>11861</v>
      </c>
      <c r="B4092" t="s">
        <v>11862</v>
      </c>
      <c r="C4092" t="s">
        <v>11863</v>
      </c>
      <c r="D4092" t="s">
        <v>35</v>
      </c>
      <c r="E4092" t="s">
        <v>54</v>
      </c>
      <c r="F4092" t="s">
        <v>41</v>
      </c>
      <c r="G4092" t="s">
        <v>31</v>
      </c>
      <c r="H4092">
        <f>Cleaned_Data!K4092</f>
        <v>34.07</v>
      </c>
      <c r="I4092" t="str">
        <f t="shared" si="189"/>
        <v>YES</v>
      </c>
      <c r="J4092">
        <f>Cleaned_Data!J4092</f>
        <v>48</v>
      </c>
      <c r="K4092" t="str">
        <f t="shared" si="190"/>
        <v>2024-05</v>
      </c>
      <c r="L4092">
        <f t="shared" si="191"/>
        <v>0</v>
      </c>
    </row>
    <row r="4093" spans="1:12">
      <c r="A4093" t="s">
        <v>11864</v>
      </c>
      <c r="B4093" t="s">
        <v>11865</v>
      </c>
      <c r="C4093" t="s">
        <v>11866</v>
      </c>
      <c r="D4093" t="s">
        <v>15</v>
      </c>
      <c r="E4093" t="s">
        <v>16</v>
      </c>
      <c r="F4093" t="s">
        <v>29</v>
      </c>
      <c r="G4093" t="s">
        <v>19</v>
      </c>
      <c r="H4093">
        <f>Cleaned_Data!K4093</f>
        <v>5.65</v>
      </c>
      <c r="I4093" t="str">
        <f t="shared" si="189"/>
        <v>YES</v>
      </c>
      <c r="J4093">
        <f>Cleaned_Data!J4093</f>
        <v>8</v>
      </c>
      <c r="K4093" t="str">
        <f t="shared" si="190"/>
        <v>2024-08</v>
      </c>
      <c r="L4093">
        <f t="shared" si="191"/>
        <v>0</v>
      </c>
    </row>
    <row r="4094" spans="1:12">
      <c r="A4094" t="s">
        <v>11867</v>
      </c>
      <c r="B4094" t="s">
        <v>11868</v>
      </c>
      <c r="C4094" t="s">
        <v>11869</v>
      </c>
      <c r="D4094" t="s">
        <v>158</v>
      </c>
      <c r="E4094" t="s">
        <v>24</v>
      </c>
      <c r="F4094" t="s">
        <v>29</v>
      </c>
      <c r="G4094" t="s">
        <v>31</v>
      </c>
      <c r="H4094">
        <f>Cleaned_Data!K4094</f>
        <v>6.81</v>
      </c>
      <c r="I4094" t="str">
        <f t="shared" si="189"/>
        <v>NO</v>
      </c>
      <c r="J4094">
        <f>Cleaned_Data!J4094</f>
        <v>4</v>
      </c>
      <c r="K4094" t="str">
        <f t="shared" si="190"/>
        <v>2024-04</v>
      </c>
      <c r="L4094">
        <f t="shared" si="191"/>
        <v>2.8099999999999996</v>
      </c>
    </row>
    <row r="4095" spans="1:12">
      <c r="A4095" t="s">
        <v>11870</v>
      </c>
      <c r="B4095" t="s">
        <v>11871</v>
      </c>
      <c r="C4095" t="s">
        <v>11872</v>
      </c>
      <c r="D4095" t="s">
        <v>23</v>
      </c>
      <c r="E4095" t="s">
        <v>24</v>
      </c>
      <c r="F4095" t="s">
        <v>41</v>
      </c>
      <c r="G4095" t="s">
        <v>31</v>
      </c>
      <c r="H4095">
        <f>Cleaned_Data!K4095</f>
        <v>7.72</v>
      </c>
      <c r="I4095" t="str">
        <f t="shared" si="189"/>
        <v>YES</v>
      </c>
      <c r="J4095">
        <f>Cleaned_Data!J4095</f>
        <v>24</v>
      </c>
      <c r="K4095" t="str">
        <f t="shared" si="190"/>
        <v>2024-11</v>
      </c>
      <c r="L4095">
        <f t="shared" si="191"/>
        <v>0</v>
      </c>
    </row>
    <row r="4096" spans="1:12">
      <c r="A4096" t="s">
        <v>11873</v>
      </c>
      <c r="B4096" t="s">
        <v>11874</v>
      </c>
      <c r="C4096" t="s">
        <v>11875</v>
      </c>
      <c r="D4096" t="s">
        <v>23</v>
      </c>
      <c r="E4096" t="s">
        <v>16</v>
      </c>
      <c r="F4096" t="s">
        <v>29</v>
      </c>
      <c r="G4096" t="s">
        <v>19</v>
      </c>
      <c r="H4096">
        <f>Cleaned_Data!K4096</f>
        <v>33.729999999999997</v>
      </c>
      <c r="I4096" t="str">
        <f t="shared" si="189"/>
        <v>NO</v>
      </c>
      <c r="J4096">
        <f>Cleaned_Data!J4096</f>
        <v>24</v>
      </c>
      <c r="K4096" t="str">
        <f t="shared" si="190"/>
        <v>2024-01</v>
      </c>
      <c r="L4096">
        <f t="shared" si="191"/>
        <v>9.7299999999999969</v>
      </c>
    </row>
    <row r="4097" spans="1:12">
      <c r="A4097" t="s">
        <v>11876</v>
      </c>
      <c r="B4097" t="s">
        <v>11877</v>
      </c>
      <c r="C4097" t="s">
        <v>11878</v>
      </c>
      <c r="D4097" t="s">
        <v>35</v>
      </c>
      <c r="E4097" t="s">
        <v>28</v>
      </c>
      <c r="F4097" t="s">
        <v>17</v>
      </c>
      <c r="G4097" t="s">
        <v>31</v>
      </c>
      <c r="H4097">
        <f>Cleaned_Data!K4097</f>
        <v>38.22</v>
      </c>
      <c r="I4097" t="str">
        <f t="shared" si="189"/>
        <v>YES</v>
      </c>
      <c r="J4097">
        <f>Cleaned_Data!J4097</f>
        <v>48</v>
      </c>
      <c r="K4097" t="str">
        <f t="shared" si="190"/>
        <v>2024-09</v>
      </c>
      <c r="L4097">
        <f t="shared" si="191"/>
        <v>0</v>
      </c>
    </row>
    <row r="4098" spans="1:12">
      <c r="A4098" t="s">
        <v>11879</v>
      </c>
      <c r="B4098" t="s">
        <v>11880</v>
      </c>
      <c r="C4098" t="s">
        <v>11881</v>
      </c>
      <c r="D4098" t="s">
        <v>23</v>
      </c>
      <c r="E4098" t="s">
        <v>16</v>
      </c>
      <c r="F4098" t="s">
        <v>36</v>
      </c>
      <c r="G4098" t="s">
        <v>19</v>
      </c>
      <c r="H4098">
        <f>Cleaned_Data!K4098</f>
        <v>66.67</v>
      </c>
      <c r="I4098" t="str">
        <f t="shared" ref="I4098:I4161" si="192">IF(OR(G4098="Resolved", G4098="Closed"), IF(AND(H4098&lt;&gt;"", H4098&lt;=J4098), "YES", "NO"), "")</f>
        <v>NO</v>
      </c>
      <c r="J4098">
        <f>Cleaned_Data!J4098</f>
        <v>24</v>
      </c>
      <c r="K4098" t="str">
        <f t="shared" ref="K4098:K4161" si="193">LEFT(B4098, 7)</f>
        <v>2024-08</v>
      </c>
      <c r="L4098">
        <f t="shared" ref="L4098:L4161" si="194">IF(I4098="NO", H4098-J4098, 0)</f>
        <v>42.67</v>
      </c>
    </row>
    <row r="4099" spans="1:12">
      <c r="A4099" t="s">
        <v>11882</v>
      </c>
      <c r="B4099" t="s">
        <v>11883</v>
      </c>
      <c r="D4099" t="s">
        <v>35</v>
      </c>
      <c r="E4099" t="s">
        <v>54</v>
      </c>
      <c r="F4099" t="s">
        <v>36</v>
      </c>
      <c r="G4099" t="s">
        <v>63</v>
      </c>
      <c r="H4099">
        <f>Cleaned_Data!K4099</f>
        <v>0</v>
      </c>
      <c r="I4099" t="str">
        <f t="shared" si="192"/>
        <v/>
      </c>
      <c r="J4099">
        <f>Cleaned_Data!J4099</f>
        <v>48</v>
      </c>
      <c r="K4099" t="str">
        <f t="shared" si="193"/>
        <v>2024-06</v>
      </c>
      <c r="L4099">
        <f t="shared" si="194"/>
        <v>0</v>
      </c>
    </row>
    <row r="4100" spans="1:12">
      <c r="A4100" t="s">
        <v>11884</v>
      </c>
      <c r="B4100" t="s">
        <v>11885</v>
      </c>
      <c r="C4100" t="s">
        <v>11886</v>
      </c>
      <c r="D4100" t="s">
        <v>158</v>
      </c>
      <c r="E4100" t="s">
        <v>16</v>
      </c>
      <c r="F4100" t="s">
        <v>17</v>
      </c>
      <c r="G4100" t="s">
        <v>31</v>
      </c>
      <c r="H4100">
        <f>Cleaned_Data!K4100</f>
        <v>2.19</v>
      </c>
      <c r="I4100" t="str">
        <f t="shared" si="192"/>
        <v>YES</v>
      </c>
      <c r="J4100">
        <f>Cleaned_Data!J4100</f>
        <v>4</v>
      </c>
      <c r="K4100" t="str">
        <f t="shared" si="193"/>
        <v>2024-06</v>
      </c>
      <c r="L4100">
        <f t="shared" si="194"/>
        <v>0</v>
      </c>
    </row>
    <row r="4101" spans="1:12">
      <c r="A4101" t="s">
        <v>11887</v>
      </c>
      <c r="B4101" t="s">
        <v>11888</v>
      </c>
      <c r="C4101" t="s">
        <v>11889</v>
      </c>
      <c r="D4101" t="s">
        <v>35</v>
      </c>
      <c r="E4101" t="s">
        <v>54</v>
      </c>
      <c r="F4101" t="s">
        <v>60</v>
      </c>
      <c r="G4101" t="s">
        <v>19</v>
      </c>
      <c r="H4101">
        <f>Cleaned_Data!K4101</f>
        <v>25.03</v>
      </c>
      <c r="I4101" t="str">
        <f t="shared" si="192"/>
        <v>YES</v>
      </c>
      <c r="J4101">
        <f>Cleaned_Data!J4101</f>
        <v>48</v>
      </c>
      <c r="K4101" t="str">
        <f t="shared" si="193"/>
        <v>2024-11</v>
      </c>
      <c r="L4101">
        <f t="shared" si="194"/>
        <v>0</v>
      </c>
    </row>
    <row r="4102" spans="1:12">
      <c r="A4102" t="s">
        <v>11890</v>
      </c>
      <c r="B4102" t="s">
        <v>11891</v>
      </c>
      <c r="C4102" t="s">
        <v>11892</v>
      </c>
      <c r="D4102" t="s">
        <v>23</v>
      </c>
      <c r="E4102" t="s">
        <v>28</v>
      </c>
      <c r="F4102" t="s">
        <v>41</v>
      </c>
      <c r="G4102" t="s">
        <v>19</v>
      </c>
      <c r="H4102">
        <f>Cleaned_Data!K4102</f>
        <v>30.12</v>
      </c>
      <c r="I4102" t="str">
        <f t="shared" si="192"/>
        <v>NO</v>
      </c>
      <c r="J4102">
        <f>Cleaned_Data!J4102</f>
        <v>24</v>
      </c>
      <c r="K4102" t="str">
        <f t="shared" si="193"/>
        <v>2024-04</v>
      </c>
      <c r="L4102">
        <f t="shared" si="194"/>
        <v>6.120000000000001</v>
      </c>
    </row>
    <row r="4103" spans="1:12">
      <c r="A4103" t="s">
        <v>11893</v>
      </c>
      <c r="B4103" t="s">
        <v>11894</v>
      </c>
      <c r="C4103" t="s">
        <v>11895</v>
      </c>
      <c r="D4103" t="s">
        <v>23</v>
      </c>
      <c r="E4103" t="s">
        <v>16</v>
      </c>
      <c r="F4103" t="s">
        <v>41</v>
      </c>
      <c r="G4103" t="s">
        <v>19</v>
      </c>
      <c r="H4103">
        <f>Cleaned_Data!K4103</f>
        <v>46.24</v>
      </c>
      <c r="I4103" t="str">
        <f t="shared" si="192"/>
        <v>NO</v>
      </c>
      <c r="J4103">
        <f>Cleaned_Data!J4103</f>
        <v>24</v>
      </c>
      <c r="K4103" t="str">
        <f t="shared" si="193"/>
        <v>2024-09</v>
      </c>
      <c r="L4103">
        <f t="shared" si="194"/>
        <v>22.240000000000002</v>
      </c>
    </row>
    <row r="4104" spans="1:12">
      <c r="A4104" t="s">
        <v>11896</v>
      </c>
      <c r="B4104" t="s">
        <v>11897</v>
      </c>
      <c r="C4104" t="s">
        <v>11898</v>
      </c>
      <c r="D4104" t="s">
        <v>23</v>
      </c>
      <c r="E4104" t="s">
        <v>54</v>
      </c>
      <c r="F4104" t="s">
        <v>60</v>
      </c>
      <c r="G4104" t="s">
        <v>19</v>
      </c>
      <c r="H4104">
        <f>Cleaned_Data!K4104</f>
        <v>5.81</v>
      </c>
      <c r="I4104" t="str">
        <f t="shared" si="192"/>
        <v>YES</v>
      </c>
      <c r="J4104">
        <f>Cleaned_Data!J4104</f>
        <v>24</v>
      </c>
      <c r="K4104" t="str">
        <f t="shared" si="193"/>
        <v>2024-08</v>
      </c>
      <c r="L4104">
        <f t="shared" si="194"/>
        <v>0</v>
      </c>
    </row>
    <row r="4105" spans="1:12">
      <c r="A4105" t="s">
        <v>11899</v>
      </c>
      <c r="B4105" t="s">
        <v>11900</v>
      </c>
      <c r="C4105" t="s">
        <v>11901</v>
      </c>
      <c r="D4105" t="s">
        <v>35</v>
      </c>
      <c r="E4105" t="s">
        <v>16</v>
      </c>
      <c r="F4105" t="s">
        <v>17</v>
      </c>
      <c r="G4105" t="s">
        <v>19</v>
      </c>
      <c r="H4105">
        <f>Cleaned_Data!K4105</f>
        <v>118.67</v>
      </c>
      <c r="I4105" t="str">
        <f t="shared" si="192"/>
        <v>NO</v>
      </c>
      <c r="J4105">
        <f>Cleaned_Data!J4105</f>
        <v>48</v>
      </c>
      <c r="K4105" t="str">
        <f t="shared" si="193"/>
        <v>2024-12</v>
      </c>
      <c r="L4105">
        <f t="shared" si="194"/>
        <v>70.67</v>
      </c>
    </row>
    <row r="4106" spans="1:12">
      <c r="A4106" t="s">
        <v>11902</v>
      </c>
      <c r="B4106" t="s">
        <v>11903</v>
      </c>
      <c r="C4106" t="s">
        <v>11904</v>
      </c>
      <c r="D4106" t="s">
        <v>23</v>
      </c>
      <c r="E4106" t="s">
        <v>16</v>
      </c>
      <c r="F4106" t="s">
        <v>60</v>
      </c>
      <c r="G4106" t="s">
        <v>31</v>
      </c>
      <c r="H4106">
        <f>Cleaned_Data!K4106</f>
        <v>3.39</v>
      </c>
      <c r="I4106" t="str">
        <f t="shared" si="192"/>
        <v>YES</v>
      </c>
      <c r="J4106">
        <f>Cleaned_Data!J4106</f>
        <v>24</v>
      </c>
      <c r="K4106" t="str">
        <f t="shared" si="193"/>
        <v>2024-10</v>
      </c>
      <c r="L4106">
        <f t="shared" si="194"/>
        <v>0</v>
      </c>
    </row>
    <row r="4107" spans="1:12">
      <c r="A4107" t="s">
        <v>11905</v>
      </c>
      <c r="B4107" t="s">
        <v>11906</v>
      </c>
      <c r="C4107" t="s">
        <v>11907</v>
      </c>
      <c r="D4107" t="s">
        <v>23</v>
      </c>
      <c r="E4107" t="s">
        <v>28</v>
      </c>
      <c r="F4107" t="s">
        <v>60</v>
      </c>
      <c r="G4107" t="s">
        <v>31</v>
      </c>
      <c r="H4107">
        <f>Cleaned_Data!K4107</f>
        <v>13.44</v>
      </c>
      <c r="I4107" t="str">
        <f t="shared" si="192"/>
        <v>YES</v>
      </c>
      <c r="J4107">
        <f>Cleaned_Data!J4107</f>
        <v>24</v>
      </c>
      <c r="K4107" t="str">
        <f t="shared" si="193"/>
        <v>2024-06</v>
      </c>
      <c r="L4107">
        <f t="shared" si="194"/>
        <v>0</v>
      </c>
    </row>
    <row r="4108" spans="1:12">
      <c r="A4108" t="s">
        <v>11908</v>
      </c>
      <c r="B4108" t="s">
        <v>11909</v>
      </c>
      <c r="C4108" t="s">
        <v>11910</v>
      </c>
      <c r="D4108" t="s">
        <v>15</v>
      </c>
      <c r="E4108" t="s">
        <v>16</v>
      </c>
      <c r="F4108" t="s">
        <v>29</v>
      </c>
      <c r="G4108" t="s">
        <v>19</v>
      </c>
      <c r="H4108">
        <f>Cleaned_Data!K4108</f>
        <v>16.190000000000001</v>
      </c>
      <c r="I4108" t="str">
        <f t="shared" si="192"/>
        <v>NO</v>
      </c>
      <c r="J4108">
        <f>Cleaned_Data!J4108</f>
        <v>8</v>
      </c>
      <c r="K4108" t="str">
        <f t="shared" si="193"/>
        <v>2024-10</v>
      </c>
      <c r="L4108">
        <f t="shared" si="194"/>
        <v>8.1900000000000013</v>
      </c>
    </row>
    <row r="4109" spans="1:12">
      <c r="A4109" t="s">
        <v>11911</v>
      </c>
      <c r="B4109" t="s">
        <v>11912</v>
      </c>
      <c r="C4109" t="s">
        <v>11913</v>
      </c>
      <c r="D4109" t="s">
        <v>35</v>
      </c>
      <c r="E4109" t="s">
        <v>54</v>
      </c>
      <c r="F4109" t="s">
        <v>60</v>
      </c>
      <c r="G4109" t="s">
        <v>31</v>
      </c>
      <c r="H4109">
        <f>Cleaned_Data!K4109</f>
        <v>27.24</v>
      </c>
      <c r="I4109" t="str">
        <f t="shared" si="192"/>
        <v>YES</v>
      </c>
      <c r="J4109">
        <f>Cleaned_Data!J4109</f>
        <v>48</v>
      </c>
      <c r="K4109" t="str">
        <f t="shared" si="193"/>
        <v>2024-05</v>
      </c>
      <c r="L4109">
        <f t="shared" si="194"/>
        <v>0</v>
      </c>
    </row>
    <row r="4110" spans="1:12">
      <c r="A4110" t="s">
        <v>11914</v>
      </c>
      <c r="B4110" t="s">
        <v>11915</v>
      </c>
      <c r="C4110" t="s">
        <v>11916</v>
      </c>
      <c r="D4110" t="s">
        <v>23</v>
      </c>
      <c r="E4110" t="s">
        <v>54</v>
      </c>
      <c r="F4110" t="s">
        <v>60</v>
      </c>
      <c r="G4110" t="s">
        <v>31</v>
      </c>
      <c r="H4110">
        <f>Cleaned_Data!K4110</f>
        <v>5.35</v>
      </c>
      <c r="I4110" t="str">
        <f t="shared" si="192"/>
        <v>YES</v>
      </c>
      <c r="J4110">
        <f>Cleaned_Data!J4110</f>
        <v>24</v>
      </c>
      <c r="K4110" t="str">
        <f t="shared" si="193"/>
        <v>2024-04</v>
      </c>
      <c r="L4110">
        <f t="shared" si="194"/>
        <v>0</v>
      </c>
    </row>
    <row r="4111" spans="1:12">
      <c r="A4111" t="s">
        <v>11917</v>
      </c>
      <c r="B4111" t="s">
        <v>11918</v>
      </c>
      <c r="C4111" t="s">
        <v>11919</v>
      </c>
      <c r="D4111" t="s">
        <v>23</v>
      </c>
      <c r="E4111" t="s">
        <v>24</v>
      </c>
      <c r="F4111" t="s">
        <v>41</v>
      </c>
      <c r="G4111" t="s">
        <v>19</v>
      </c>
      <c r="H4111">
        <f>Cleaned_Data!K4111</f>
        <v>5.43</v>
      </c>
      <c r="I4111" t="str">
        <f t="shared" si="192"/>
        <v>YES</v>
      </c>
      <c r="J4111">
        <f>Cleaned_Data!J4111</f>
        <v>24</v>
      </c>
      <c r="K4111" t="str">
        <f t="shared" si="193"/>
        <v>2024-02</v>
      </c>
      <c r="L4111">
        <f t="shared" si="194"/>
        <v>0</v>
      </c>
    </row>
    <row r="4112" spans="1:12">
      <c r="A4112" t="s">
        <v>11920</v>
      </c>
      <c r="B4112" t="s">
        <v>11921</v>
      </c>
      <c r="C4112" t="s">
        <v>11922</v>
      </c>
      <c r="D4112" t="s">
        <v>23</v>
      </c>
      <c r="E4112" t="s">
        <v>54</v>
      </c>
      <c r="F4112" t="s">
        <v>60</v>
      </c>
      <c r="G4112" t="s">
        <v>19</v>
      </c>
      <c r="H4112">
        <f>Cleaned_Data!K4112</f>
        <v>16.239999999999998</v>
      </c>
      <c r="I4112" t="str">
        <f t="shared" si="192"/>
        <v>YES</v>
      </c>
      <c r="J4112">
        <f>Cleaned_Data!J4112</f>
        <v>24</v>
      </c>
      <c r="K4112" t="str">
        <f t="shared" si="193"/>
        <v>2024-02</v>
      </c>
      <c r="L4112">
        <f t="shared" si="194"/>
        <v>0</v>
      </c>
    </row>
    <row r="4113" spans="1:12">
      <c r="A4113" t="s">
        <v>11923</v>
      </c>
      <c r="B4113" t="s">
        <v>11924</v>
      </c>
      <c r="C4113" t="s">
        <v>11925</v>
      </c>
      <c r="D4113" t="s">
        <v>15</v>
      </c>
      <c r="E4113" t="s">
        <v>54</v>
      </c>
      <c r="F4113" t="s">
        <v>60</v>
      </c>
      <c r="G4113" t="s">
        <v>19</v>
      </c>
      <c r="H4113">
        <f>Cleaned_Data!K4113</f>
        <v>4.41</v>
      </c>
      <c r="I4113" t="str">
        <f t="shared" si="192"/>
        <v>YES</v>
      </c>
      <c r="J4113">
        <f>Cleaned_Data!J4113</f>
        <v>8</v>
      </c>
      <c r="K4113" t="str">
        <f t="shared" si="193"/>
        <v>2024-01</v>
      </c>
      <c r="L4113">
        <f t="shared" si="194"/>
        <v>0</v>
      </c>
    </row>
    <row r="4114" spans="1:12">
      <c r="A4114" t="s">
        <v>11926</v>
      </c>
      <c r="B4114" t="s">
        <v>11927</v>
      </c>
      <c r="C4114" t="s">
        <v>11928</v>
      </c>
      <c r="D4114" t="s">
        <v>23</v>
      </c>
      <c r="E4114" t="s">
        <v>28</v>
      </c>
      <c r="F4114" t="s">
        <v>17</v>
      </c>
      <c r="G4114" t="s">
        <v>19</v>
      </c>
      <c r="H4114">
        <f>Cleaned_Data!K4114</f>
        <v>11.04</v>
      </c>
      <c r="I4114" t="str">
        <f t="shared" si="192"/>
        <v>YES</v>
      </c>
      <c r="J4114">
        <f>Cleaned_Data!J4114</f>
        <v>24</v>
      </c>
      <c r="K4114" t="str">
        <f t="shared" si="193"/>
        <v>2024-10</v>
      </c>
      <c r="L4114">
        <f t="shared" si="194"/>
        <v>0</v>
      </c>
    </row>
    <row r="4115" spans="1:12">
      <c r="A4115" t="s">
        <v>11929</v>
      </c>
      <c r="B4115" t="s">
        <v>11930</v>
      </c>
      <c r="C4115" t="s">
        <v>11931</v>
      </c>
      <c r="D4115" t="s">
        <v>23</v>
      </c>
      <c r="E4115" t="s">
        <v>28</v>
      </c>
      <c r="F4115" t="s">
        <v>60</v>
      </c>
      <c r="G4115" t="s">
        <v>19</v>
      </c>
      <c r="H4115">
        <f>Cleaned_Data!K4115</f>
        <v>4.72</v>
      </c>
      <c r="I4115" t="str">
        <f t="shared" si="192"/>
        <v>YES</v>
      </c>
      <c r="J4115">
        <f>Cleaned_Data!J4115</f>
        <v>24</v>
      </c>
      <c r="K4115" t="str">
        <f t="shared" si="193"/>
        <v>2024-02</v>
      </c>
      <c r="L4115">
        <f t="shared" si="194"/>
        <v>0</v>
      </c>
    </row>
    <row r="4116" spans="1:12">
      <c r="A4116" t="s">
        <v>11932</v>
      </c>
      <c r="B4116" t="s">
        <v>11933</v>
      </c>
      <c r="C4116" t="s">
        <v>11934</v>
      </c>
      <c r="D4116" t="s">
        <v>23</v>
      </c>
      <c r="E4116" t="s">
        <v>54</v>
      </c>
      <c r="F4116" t="s">
        <v>17</v>
      </c>
      <c r="G4116" t="s">
        <v>31</v>
      </c>
      <c r="H4116">
        <f>Cleaned_Data!K4116</f>
        <v>7.11</v>
      </c>
      <c r="I4116" t="str">
        <f t="shared" si="192"/>
        <v>YES</v>
      </c>
      <c r="J4116">
        <f>Cleaned_Data!J4116</f>
        <v>24</v>
      </c>
      <c r="K4116" t="str">
        <f t="shared" si="193"/>
        <v>2024-06</v>
      </c>
      <c r="L4116">
        <f t="shared" si="194"/>
        <v>0</v>
      </c>
    </row>
    <row r="4117" spans="1:12">
      <c r="A4117" t="s">
        <v>11935</v>
      </c>
      <c r="B4117" t="s">
        <v>11936</v>
      </c>
      <c r="C4117" t="s">
        <v>11937</v>
      </c>
      <c r="D4117" t="s">
        <v>15</v>
      </c>
      <c r="E4117" t="s">
        <v>54</v>
      </c>
      <c r="F4117" t="s">
        <v>36</v>
      </c>
      <c r="G4117" t="s">
        <v>31</v>
      </c>
      <c r="H4117">
        <f>Cleaned_Data!K4117</f>
        <v>3.08</v>
      </c>
      <c r="I4117" t="str">
        <f t="shared" si="192"/>
        <v>YES</v>
      </c>
      <c r="J4117">
        <f>Cleaned_Data!J4117</f>
        <v>8</v>
      </c>
      <c r="K4117" t="str">
        <f t="shared" si="193"/>
        <v>2024-11</v>
      </c>
      <c r="L4117">
        <f t="shared" si="194"/>
        <v>0</v>
      </c>
    </row>
    <row r="4118" spans="1:12">
      <c r="A4118" t="s">
        <v>11938</v>
      </c>
      <c r="B4118" t="s">
        <v>11939</v>
      </c>
      <c r="C4118" t="s">
        <v>11940</v>
      </c>
      <c r="D4118" t="s">
        <v>15</v>
      </c>
      <c r="E4118" t="s">
        <v>54</v>
      </c>
      <c r="F4118" t="s">
        <v>41</v>
      </c>
      <c r="G4118" t="s">
        <v>31</v>
      </c>
      <c r="H4118">
        <f>Cleaned_Data!K4118</f>
        <v>1.18</v>
      </c>
      <c r="I4118" t="str">
        <f t="shared" si="192"/>
        <v>YES</v>
      </c>
      <c r="J4118">
        <f>Cleaned_Data!J4118</f>
        <v>8</v>
      </c>
      <c r="K4118" t="str">
        <f t="shared" si="193"/>
        <v>2024-11</v>
      </c>
      <c r="L4118">
        <f t="shared" si="194"/>
        <v>0</v>
      </c>
    </row>
    <row r="4119" spans="1:12">
      <c r="A4119" t="s">
        <v>11941</v>
      </c>
      <c r="B4119" t="s">
        <v>11942</v>
      </c>
      <c r="C4119" t="s">
        <v>11943</v>
      </c>
      <c r="D4119" t="s">
        <v>23</v>
      </c>
      <c r="E4119" t="s">
        <v>28</v>
      </c>
      <c r="F4119" t="s">
        <v>41</v>
      </c>
      <c r="G4119" t="s">
        <v>19</v>
      </c>
      <c r="H4119">
        <f>Cleaned_Data!K4119</f>
        <v>3.91</v>
      </c>
      <c r="I4119" t="str">
        <f t="shared" si="192"/>
        <v>YES</v>
      </c>
      <c r="J4119">
        <f>Cleaned_Data!J4119</f>
        <v>24</v>
      </c>
      <c r="K4119" t="str">
        <f t="shared" si="193"/>
        <v>2024-07</v>
      </c>
      <c r="L4119">
        <f t="shared" si="194"/>
        <v>0</v>
      </c>
    </row>
    <row r="4120" spans="1:12">
      <c r="A4120" t="s">
        <v>11944</v>
      </c>
      <c r="B4120" t="s">
        <v>11945</v>
      </c>
      <c r="C4120" t="s">
        <v>11946</v>
      </c>
      <c r="D4120" t="s">
        <v>15</v>
      </c>
      <c r="E4120" t="s">
        <v>24</v>
      </c>
      <c r="F4120" t="s">
        <v>17</v>
      </c>
      <c r="G4120" t="s">
        <v>19</v>
      </c>
      <c r="H4120">
        <f>Cleaned_Data!K4120</f>
        <v>9.59</v>
      </c>
      <c r="I4120" t="str">
        <f t="shared" si="192"/>
        <v>NO</v>
      </c>
      <c r="J4120">
        <f>Cleaned_Data!J4120</f>
        <v>8</v>
      </c>
      <c r="K4120" t="str">
        <f t="shared" si="193"/>
        <v>2024-04</v>
      </c>
      <c r="L4120">
        <f t="shared" si="194"/>
        <v>1.5899999999999999</v>
      </c>
    </row>
    <row r="4121" spans="1:12">
      <c r="A4121" t="s">
        <v>11947</v>
      </c>
      <c r="B4121" t="s">
        <v>11948</v>
      </c>
      <c r="C4121" t="s">
        <v>11949</v>
      </c>
      <c r="D4121" t="s">
        <v>23</v>
      </c>
      <c r="E4121" t="s">
        <v>16</v>
      </c>
      <c r="F4121" t="s">
        <v>17</v>
      </c>
      <c r="G4121" t="s">
        <v>19</v>
      </c>
      <c r="H4121">
        <f>Cleaned_Data!K4121</f>
        <v>12.92</v>
      </c>
      <c r="I4121" t="str">
        <f t="shared" si="192"/>
        <v>YES</v>
      </c>
      <c r="J4121">
        <f>Cleaned_Data!J4121</f>
        <v>24</v>
      </c>
      <c r="K4121" t="str">
        <f t="shared" si="193"/>
        <v>2024-07</v>
      </c>
      <c r="L4121">
        <f t="shared" si="194"/>
        <v>0</v>
      </c>
    </row>
    <row r="4122" spans="1:12">
      <c r="A4122" t="s">
        <v>11950</v>
      </c>
      <c r="B4122" t="s">
        <v>11951</v>
      </c>
      <c r="C4122" t="s">
        <v>11952</v>
      </c>
      <c r="D4122" t="s">
        <v>23</v>
      </c>
      <c r="E4122" t="s">
        <v>28</v>
      </c>
      <c r="F4122" t="s">
        <v>29</v>
      </c>
      <c r="G4122" t="s">
        <v>31</v>
      </c>
      <c r="H4122">
        <f>Cleaned_Data!K4122</f>
        <v>33.93</v>
      </c>
      <c r="I4122" t="str">
        <f t="shared" si="192"/>
        <v>NO</v>
      </c>
      <c r="J4122">
        <f>Cleaned_Data!J4122</f>
        <v>24</v>
      </c>
      <c r="K4122" t="str">
        <f t="shared" si="193"/>
        <v>2024-03</v>
      </c>
      <c r="L4122">
        <f t="shared" si="194"/>
        <v>9.93</v>
      </c>
    </row>
    <row r="4123" spans="1:12">
      <c r="A4123" t="s">
        <v>11953</v>
      </c>
      <c r="B4123" t="s">
        <v>11954</v>
      </c>
      <c r="C4123" t="s">
        <v>11955</v>
      </c>
      <c r="D4123" t="s">
        <v>15</v>
      </c>
      <c r="E4123" t="s">
        <v>28</v>
      </c>
      <c r="F4123" t="s">
        <v>60</v>
      </c>
      <c r="G4123" t="s">
        <v>31</v>
      </c>
      <c r="H4123">
        <f>Cleaned_Data!K4123</f>
        <v>7.44</v>
      </c>
      <c r="I4123" t="str">
        <f t="shared" si="192"/>
        <v>YES</v>
      </c>
      <c r="J4123">
        <f>Cleaned_Data!J4123</f>
        <v>8</v>
      </c>
      <c r="K4123" t="str">
        <f t="shared" si="193"/>
        <v>2024-03</v>
      </c>
      <c r="L4123">
        <f t="shared" si="194"/>
        <v>0</v>
      </c>
    </row>
    <row r="4124" spans="1:12">
      <c r="A4124" t="s">
        <v>11956</v>
      </c>
      <c r="B4124" t="s">
        <v>11957</v>
      </c>
      <c r="C4124" t="s">
        <v>11958</v>
      </c>
      <c r="D4124" t="s">
        <v>15</v>
      </c>
      <c r="E4124" t="s">
        <v>24</v>
      </c>
      <c r="F4124" t="s">
        <v>60</v>
      </c>
      <c r="G4124" t="s">
        <v>19</v>
      </c>
      <c r="H4124">
        <f>Cleaned_Data!K4124</f>
        <v>18.43</v>
      </c>
      <c r="I4124" t="str">
        <f t="shared" si="192"/>
        <v>NO</v>
      </c>
      <c r="J4124">
        <f>Cleaned_Data!J4124</f>
        <v>8</v>
      </c>
      <c r="K4124" t="str">
        <f t="shared" si="193"/>
        <v>2024-07</v>
      </c>
      <c r="L4124">
        <f t="shared" si="194"/>
        <v>10.43</v>
      </c>
    </row>
    <row r="4125" spans="1:12">
      <c r="A4125" t="s">
        <v>11959</v>
      </c>
      <c r="B4125" t="s">
        <v>11960</v>
      </c>
      <c r="C4125" t="s">
        <v>11961</v>
      </c>
      <c r="D4125" t="s">
        <v>15</v>
      </c>
      <c r="E4125" t="s">
        <v>16</v>
      </c>
      <c r="F4125" t="s">
        <v>36</v>
      </c>
      <c r="G4125" t="s">
        <v>19</v>
      </c>
      <c r="H4125">
        <f>Cleaned_Data!K4125</f>
        <v>20.56</v>
      </c>
      <c r="I4125" t="str">
        <f t="shared" si="192"/>
        <v>NO</v>
      </c>
      <c r="J4125">
        <f>Cleaned_Data!J4125</f>
        <v>8</v>
      </c>
      <c r="K4125" t="str">
        <f t="shared" si="193"/>
        <v>2024-11</v>
      </c>
      <c r="L4125">
        <f t="shared" si="194"/>
        <v>12.559999999999999</v>
      </c>
    </row>
    <row r="4126" spans="1:12">
      <c r="A4126" t="s">
        <v>11962</v>
      </c>
      <c r="B4126" t="s">
        <v>11963</v>
      </c>
      <c r="C4126" t="s">
        <v>11964</v>
      </c>
      <c r="D4126" t="s">
        <v>23</v>
      </c>
      <c r="E4126" t="s">
        <v>28</v>
      </c>
      <c r="F4126" t="s">
        <v>60</v>
      </c>
      <c r="G4126" t="s">
        <v>19</v>
      </c>
      <c r="H4126">
        <f>Cleaned_Data!K4126</f>
        <v>30.2</v>
      </c>
      <c r="I4126" t="str">
        <f t="shared" si="192"/>
        <v>NO</v>
      </c>
      <c r="J4126">
        <f>Cleaned_Data!J4126</f>
        <v>24</v>
      </c>
      <c r="K4126" t="str">
        <f t="shared" si="193"/>
        <v>2024-04</v>
      </c>
      <c r="L4126">
        <f t="shared" si="194"/>
        <v>6.1999999999999993</v>
      </c>
    </row>
    <row r="4127" spans="1:12">
      <c r="A4127" t="s">
        <v>11965</v>
      </c>
      <c r="B4127" t="s">
        <v>11966</v>
      </c>
      <c r="C4127" t="s">
        <v>11967</v>
      </c>
      <c r="D4127" t="s">
        <v>23</v>
      </c>
      <c r="E4127" t="s">
        <v>16</v>
      </c>
      <c r="F4127" t="s">
        <v>60</v>
      </c>
      <c r="G4127" t="s">
        <v>31</v>
      </c>
      <c r="H4127">
        <f>Cleaned_Data!K4127</f>
        <v>55.22</v>
      </c>
      <c r="I4127" t="str">
        <f t="shared" si="192"/>
        <v>NO</v>
      </c>
      <c r="J4127">
        <f>Cleaned_Data!J4127</f>
        <v>24</v>
      </c>
      <c r="K4127" t="str">
        <f t="shared" si="193"/>
        <v>2024-01</v>
      </c>
      <c r="L4127">
        <f t="shared" si="194"/>
        <v>31.22</v>
      </c>
    </row>
    <row r="4128" spans="1:12">
      <c r="A4128" t="s">
        <v>11968</v>
      </c>
      <c r="B4128" t="s">
        <v>11969</v>
      </c>
      <c r="C4128" t="s">
        <v>11970</v>
      </c>
      <c r="D4128" t="s">
        <v>23</v>
      </c>
      <c r="E4128" t="s">
        <v>16</v>
      </c>
      <c r="F4128" t="s">
        <v>60</v>
      </c>
      <c r="G4128" t="s">
        <v>19</v>
      </c>
      <c r="H4128">
        <f>Cleaned_Data!K4128</f>
        <v>40.22</v>
      </c>
      <c r="I4128" t="str">
        <f t="shared" si="192"/>
        <v>NO</v>
      </c>
      <c r="J4128">
        <f>Cleaned_Data!J4128</f>
        <v>24</v>
      </c>
      <c r="K4128" t="str">
        <f t="shared" si="193"/>
        <v>2024-03</v>
      </c>
      <c r="L4128">
        <f t="shared" si="194"/>
        <v>16.22</v>
      </c>
    </row>
    <row r="4129" spans="1:12">
      <c r="A4129" t="s">
        <v>11971</v>
      </c>
      <c r="B4129" t="s">
        <v>11972</v>
      </c>
      <c r="C4129" t="s">
        <v>11973</v>
      </c>
      <c r="D4129" t="s">
        <v>23</v>
      </c>
      <c r="E4129" t="s">
        <v>54</v>
      </c>
      <c r="F4129" t="s">
        <v>36</v>
      </c>
      <c r="G4129" t="s">
        <v>19</v>
      </c>
      <c r="H4129">
        <f>Cleaned_Data!K4129</f>
        <v>19.84</v>
      </c>
      <c r="I4129" t="str">
        <f t="shared" si="192"/>
        <v>YES</v>
      </c>
      <c r="J4129">
        <f>Cleaned_Data!J4129</f>
        <v>24</v>
      </c>
      <c r="K4129" t="str">
        <f t="shared" si="193"/>
        <v>2024-11</v>
      </c>
      <c r="L4129">
        <f t="shared" si="194"/>
        <v>0</v>
      </c>
    </row>
    <row r="4130" spans="1:12">
      <c r="A4130" t="s">
        <v>11974</v>
      </c>
      <c r="B4130" t="s">
        <v>11975</v>
      </c>
      <c r="C4130" t="s">
        <v>11976</v>
      </c>
      <c r="D4130" t="s">
        <v>23</v>
      </c>
      <c r="E4130" t="s">
        <v>54</v>
      </c>
      <c r="F4130" t="s">
        <v>41</v>
      </c>
      <c r="G4130" t="s">
        <v>31</v>
      </c>
      <c r="H4130">
        <f>Cleaned_Data!K4130</f>
        <v>32.75</v>
      </c>
      <c r="I4130" t="str">
        <f t="shared" si="192"/>
        <v>NO</v>
      </c>
      <c r="J4130">
        <f>Cleaned_Data!J4130</f>
        <v>24</v>
      </c>
      <c r="K4130" t="str">
        <f t="shared" si="193"/>
        <v>2024-05</v>
      </c>
      <c r="L4130">
        <f t="shared" si="194"/>
        <v>8.75</v>
      </c>
    </row>
    <row r="4131" spans="1:12">
      <c r="A4131" t="s">
        <v>11977</v>
      </c>
      <c r="B4131" t="s">
        <v>11978</v>
      </c>
      <c r="D4131" t="s">
        <v>35</v>
      </c>
      <c r="E4131" t="s">
        <v>59</v>
      </c>
      <c r="F4131" t="s">
        <v>29</v>
      </c>
      <c r="G4131" t="s">
        <v>46</v>
      </c>
      <c r="H4131">
        <f>Cleaned_Data!K4131</f>
        <v>0</v>
      </c>
      <c r="I4131" t="str">
        <f t="shared" si="192"/>
        <v/>
      </c>
      <c r="J4131">
        <f>Cleaned_Data!J4131</f>
        <v>48</v>
      </c>
      <c r="K4131" t="str">
        <f t="shared" si="193"/>
        <v>2024-11</v>
      </c>
      <c r="L4131">
        <f t="shared" si="194"/>
        <v>0</v>
      </c>
    </row>
    <row r="4132" spans="1:12">
      <c r="A4132" t="s">
        <v>11979</v>
      </c>
      <c r="B4132" t="s">
        <v>11980</v>
      </c>
      <c r="C4132" t="s">
        <v>11981</v>
      </c>
      <c r="D4132" t="s">
        <v>35</v>
      </c>
      <c r="E4132" t="s">
        <v>59</v>
      </c>
      <c r="F4132" t="s">
        <v>17</v>
      </c>
      <c r="G4132" t="s">
        <v>31</v>
      </c>
      <c r="H4132">
        <f>Cleaned_Data!K4132</f>
        <v>30.22</v>
      </c>
      <c r="I4132" t="str">
        <f t="shared" si="192"/>
        <v>YES</v>
      </c>
      <c r="J4132">
        <f>Cleaned_Data!J4132</f>
        <v>48</v>
      </c>
      <c r="K4132" t="str">
        <f t="shared" si="193"/>
        <v>2024-01</v>
      </c>
      <c r="L4132">
        <f t="shared" si="194"/>
        <v>0</v>
      </c>
    </row>
    <row r="4133" spans="1:12">
      <c r="A4133" t="s">
        <v>11982</v>
      </c>
      <c r="B4133" t="s">
        <v>11983</v>
      </c>
      <c r="C4133" t="s">
        <v>11984</v>
      </c>
      <c r="D4133" t="s">
        <v>23</v>
      </c>
      <c r="E4133" t="s">
        <v>54</v>
      </c>
      <c r="F4133" t="s">
        <v>36</v>
      </c>
      <c r="G4133" t="s">
        <v>31</v>
      </c>
      <c r="H4133">
        <f>Cleaned_Data!K4133</f>
        <v>11.47</v>
      </c>
      <c r="I4133" t="str">
        <f t="shared" si="192"/>
        <v>YES</v>
      </c>
      <c r="J4133">
        <f>Cleaned_Data!J4133</f>
        <v>24</v>
      </c>
      <c r="K4133" t="str">
        <f t="shared" si="193"/>
        <v>2024-02</v>
      </c>
      <c r="L4133">
        <f t="shared" si="194"/>
        <v>0</v>
      </c>
    </row>
    <row r="4134" spans="1:12">
      <c r="A4134" t="s">
        <v>11985</v>
      </c>
      <c r="B4134" t="s">
        <v>11986</v>
      </c>
      <c r="D4134" t="s">
        <v>15</v>
      </c>
      <c r="E4134" t="s">
        <v>28</v>
      </c>
      <c r="F4134" t="s">
        <v>36</v>
      </c>
      <c r="G4134" t="s">
        <v>63</v>
      </c>
      <c r="H4134">
        <f>Cleaned_Data!K4134</f>
        <v>0</v>
      </c>
      <c r="I4134" t="str">
        <f t="shared" si="192"/>
        <v/>
      </c>
      <c r="J4134">
        <f>Cleaned_Data!J4134</f>
        <v>8</v>
      </c>
      <c r="K4134" t="str">
        <f t="shared" si="193"/>
        <v>2024-03</v>
      </c>
      <c r="L4134">
        <f t="shared" si="194"/>
        <v>0</v>
      </c>
    </row>
    <row r="4135" spans="1:12">
      <c r="A4135" t="s">
        <v>11987</v>
      </c>
      <c r="B4135" t="s">
        <v>11988</v>
      </c>
      <c r="C4135" t="s">
        <v>11989</v>
      </c>
      <c r="D4135" t="s">
        <v>35</v>
      </c>
      <c r="E4135" t="s">
        <v>28</v>
      </c>
      <c r="F4135" t="s">
        <v>36</v>
      </c>
      <c r="G4135" t="s">
        <v>31</v>
      </c>
      <c r="H4135">
        <f>Cleaned_Data!K4135</f>
        <v>37.28</v>
      </c>
      <c r="I4135" t="str">
        <f t="shared" si="192"/>
        <v>YES</v>
      </c>
      <c r="J4135">
        <f>Cleaned_Data!J4135</f>
        <v>48</v>
      </c>
      <c r="K4135" t="str">
        <f t="shared" si="193"/>
        <v>2024-11</v>
      </c>
      <c r="L4135">
        <f t="shared" si="194"/>
        <v>0</v>
      </c>
    </row>
    <row r="4136" spans="1:12">
      <c r="A4136" t="s">
        <v>11990</v>
      </c>
      <c r="B4136" t="s">
        <v>11991</v>
      </c>
      <c r="C4136" t="s">
        <v>11992</v>
      </c>
      <c r="D4136" t="s">
        <v>23</v>
      </c>
      <c r="E4136" t="s">
        <v>59</v>
      </c>
      <c r="F4136" t="s">
        <v>36</v>
      </c>
      <c r="G4136" t="s">
        <v>31</v>
      </c>
      <c r="H4136">
        <f>Cleaned_Data!K4136</f>
        <v>4.6100000000000003</v>
      </c>
      <c r="I4136" t="str">
        <f t="shared" si="192"/>
        <v>YES</v>
      </c>
      <c r="J4136">
        <f>Cleaned_Data!J4136</f>
        <v>24</v>
      </c>
      <c r="K4136" t="str">
        <f t="shared" si="193"/>
        <v>2024-08</v>
      </c>
      <c r="L4136">
        <f t="shared" si="194"/>
        <v>0</v>
      </c>
    </row>
    <row r="4137" spans="1:12">
      <c r="A4137" t="s">
        <v>11993</v>
      </c>
      <c r="B4137" t="s">
        <v>11994</v>
      </c>
      <c r="C4137" t="s">
        <v>11995</v>
      </c>
      <c r="D4137" t="s">
        <v>158</v>
      </c>
      <c r="E4137" t="s">
        <v>54</v>
      </c>
      <c r="F4137" t="s">
        <v>36</v>
      </c>
      <c r="G4137" t="s">
        <v>19</v>
      </c>
      <c r="H4137">
        <f>Cleaned_Data!K4137</f>
        <v>5.49</v>
      </c>
      <c r="I4137" t="str">
        <f t="shared" si="192"/>
        <v>NO</v>
      </c>
      <c r="J4137">
        <f>Cleaned_Data!J4137</f>
        <v>4</v>
      </c>
      <c r="K4137" t="str">
        <f t="shared" si="193"/>
        <v>2024-02</v>
      </c>
      <c r="L4137">
        <f t="shared" si="194"/>
        <v>1.4900000000000002</v>
      </c>
    </row>
    <row r="4138" spans="1:12">
      <c r="A4138" t="s">
        <v>11996</v>
      </c>
      <c r="B4138" t="s">
        <v>11997</v>
      </c>
      <c r="D4138" t="s">
        <v>15</v>
      </c>
      <c r="E4138" t="s">
        <v>24</v>
      </c>
      <c r="F4138" t="s">
        <v>60</v>
      </c>
      <c r="G4138" t="s">
        <v>63</v>
      </c>
      <c r="H4138">
        <f>Cleaned_Data!K4138</f>
        <v>0</v>
      </c>
      <c r="I4138" t="str">
        <f t="shared" si="192"/>
        <v/>
      </c>
      <c r="J4138">
        <f>Cleaned_Data!J4138</f>
        <v>8</v>
      </c>
      <c r="K4138" t="str">
        <f t="shared" si="193"/>
        <v>2024-07</v>
      </c>
      <c r="L4138">
        <f t="shared" si="194"/>
        <v>0</v>
      </c>
    </row>
    <row r="4139" spans="1:12">
      <c r="A4139" t="s">
        <v>11998</v>
      </c>
      <c r="B4139" t="s">
        <v>11999</v>
      </c>
      <c r="C4139" t="s">
        <v>12000</v>
      </c>
      <c r="D4139" t="s">
        <v>23</v>
      </c>
      <c r="E4139" t="s">
        <v>54</v>
      </c>
      <c r="F4139" t="s">
        <v>36</v>
      </c>
      <c r="G4139" t="s">
        <v>31</v>
      </c>
      <c r="H4139">
        <f>Cleaned_Data!K4139</f>
        <v>37.83</v>
      </c>
      <c r="I4139" t="str">
        <f t="shared" si="192"/>
        <v>NO</v>
      </c>
      <c r="J4139">
        <f>Cleaned_Data!J4139</f>
        <v>24</v>
      </c>
      <c r="K4139" t="str">
        <f t="shared" si="193"/>
        <v>2024-05</v>
      </c>
      <c r="L4139">
        <f t="shared" si="194"/>
        <v>13.829999999999998</v>
      </c>
    </row>
    <row r="4140" spans="1:12">
      <c r="A4140" t="s">
        <v>12001</v>
      </c>
      <c r="B4140" t="s">
        <v>12002</v>
      </c>
      <c r="C4140" t="s">
        <v>12003</v>
      </c>
      <c r="D4140" t="s">
        <v>15</v>
      </c>
      <c r="E4140" t="s">
        <v>28</v>
      </c>
      <c r="F4140" t="s">
        <v>36</v>
      </c>
      <c r="G4140" t="s">
        <v>19</v>
      </c>
      <c r="H4140">
        <f>Cleaned_Data!K4140</f>
        <v>17.72</v>
      </c>
      <c r="I4140" t="str">
        <f t="shared" si="192"/>
        <v>NO</v>
      </c>
      <c r="J4140">
        <f>Cleaned_Data!J4140</f>
        <v>8</v>
      </c>
      <c r="K4140" t="str">
        <f t="shared" si="193"/>
        <v>2024-09</v>
      </c>
      <c r="L4140">
        <f t="shared" si="194"/>
        <v>9.7199999999999989</v>
      </c>
    </row>
    <row r="4141" spans="1:12">
      <c r="A4141" t="s">
        <v>12004</v>
      </c>
      <c r="B4141" t="s">
        <v>12005</v>
      </c>
      <c r="C4141" t="s">
        <v>12006</v>
      </c>
      <c r="D4141" t="s">
        <v>35</v>
      </c>
      <c r="E4141" t="s">
        <v>54</v>
      </c>
      <c r="F4141" t="s">
        <v>29</v>
      </c>
      <c r="G4141" t="s">
        <v>19</v>
      </c>
      <c r="H4141">
        <f>Cleaned_Data!K4141</f>
        <v>8.84</v>
      </c>
      <c r="I4141" t="str">
        <f t="shared" si="192"/>
        <v>YES</v>
      </c>
      <c r="J4141">
        <f>Cleaned_Data!J4141</f>
        <v>48</v>
      </c>
      <c r="K4141" t="str">
        <f t="shared" si="193"/>
        <v>2024-05</v>
      </c>
      <c r="L4141">
        <f t="shared" si="194"/>
        <v>0</v>
      </c>
    </row>
    <row r="4142" spans="1:12">
      <c r="A4142" t="s">
        <v>12007</v>
      </c>
      <c r="B4142" t="s">
        <v>12008</v>
      </c>
      <c r="C4142" t="s">
        <v>12009</v>
      </c>
      <c r="D4142" t="s">
        <v>23</v>
      </c>
      <c r="E4142" t="s">
        <v>54</v>
      </c>
      <c r="F4142" t="s">
        <v>29</v>
      </c>
      <c r="G4142" t="s">
        <v>31</v>
      </c>
      <c r="H4142">
        <f>Cleaned_Data!K4142</f>
        <v>6.04</v>
      </c>
      <c r="I4142" t="str">
        <f t="shared" si="192"/>
        <v>YES</v>
      </c>
      <c r="J4142">
        <f>Cleaned_Data!J4142</f>
        <v>24</v>
      </c>
      <c r="K4142" t="str">
        <f t="shared" si="193"/>
        <v>2024-07</v>
      </c>
      <c r="L4142">
        <f t="shared" si="194"/>
        <v>0</v>
      </c>
    </row>
    <row r="4143" spans="1:12">
      <c r="A4143" t="s">
        <v>12010</v>
      </c>
      <c r="B4143" t="s">
        <v>12011</v>
      </c>
      <c r="C4143" t="s">
        <v>12012</v>
      </c>
      <c r="D4143" t="s">
        <v>35</v>
      </c>
      <c r="E4143" t="s">
        <v>54</v>
      </c>
      <c r="F4143" t="s">
        <v>36</v>
      </c>
      <c r="G4143" t="s">
        <v>19</v>
      </c>
      <c r="H4143">
        <f>Cleaned_Data!K4143</f>
        <v>41.95</v>
      </c>
      <c r="I4143" t="str">
        <f t="shared" si="192"/>
        <v>YES</v>
      </c>
      <c r="J4143">
        <f>Cleaned_Data!J4143</f>
        <v>48</v>
      </c>
      <c r="K4143" t="str">
        <f t="shared" si="193"/>
        <v>2024-08</v>
      </c>
      <c r="L4143">
        <f t="shared" si="194"/>
        <v>0</v>
      </c>
    </row>
    <row r="4144" spans="1:12">
      <c r="A4144" t="s">
        <v>12013</v>
      </c>
      <c r="B4144" t="s">
        <v>12014</v>
      </c>
      <c r="C4144" t="s">
        <v>12015</v>
      </c>
      <c r="D4144" t="s">
        <v>15</v>
      </c>
      <c r="E4144" t="s">
        <v>28</v>
      </c>
      <c r="F4144" t="s">
        <v>36</v>
      </c>
      <c r="G4144" t="s">
        <v>31</v>
      </c>
      <c r="H4144">
        <f>Cleaned_Data!K4144</f>
        <v>19.22</v>
      </c>
      <c r="I4144" t="str">
        <f t="shared" si="192"/>
        <v>NO</v>
      </c>
      <c r="J4144">
        <f>Cleaned_Data!J4144</f>
        <v>8</v>
      </c>
      <c r="K4144" t="str">
        <f t="shared" si="193"/>
        <v>2024-02</v>
      </c>
      <c r="L4144">
        <f t="shared" si="194"/>
        <v>11.219999999999999</v>
      </c>
    </row>
    <row r="4145" spans="1:12">
      <c r="A4145" t="s">
        <v>12016</v>
      </c>
      <c r="B4145" t="s">
        <v>12017</v>
      </c>
      <c r="C4145" t="s">
        <v>12018</v>
      </c>
      <c r="D4145" t="s">
        <v>23</v>
      </c>
      <c r="E4145" t="s">
        <v>54</v>
      </c>
      <c r="F4145" t="s">
        <v>29</v>
      </c>
      <c r="G4145" t="s">
        <v>19</v>
      </c>
      <c r="H4145">
        <f>Cleaned_Data!K4145</f>
        <v>20.88</v>
      </c>
      <c r="I4145" t="str">
        <f t="shared" si="192"/>
        <v>YES</v>
      </c>
      <c r="J4145">
        <f>Cleaned_Data!J4145</f>
        <v>24</v>
      </c>
      <c r="K4145" t="str">
        <f t="shared" si="193"/>
        <v>2024-08</v>
      </c>
      <c r="L4145">
        <f t="shared" si="194"/>
        <v>0</v>
      </c>
    </row>
    <row r="4146" spans="1:12">
      <c r="A4146" t="s">
        <v>12019</v>
      </c>
      <c r="B4146" t="s">
        <v>12020</v>
      </c>
      <c r="C4146" t="s">
        <v>12021</v>
      </c>
      <c r="D4146" t="s">
        <v>23</v>
      </c>
      <c r="E4146" t="s">
        <v>24</v>
      </c>
      <c r="F4146" t="s">
        <v>29</v>
      </c>
      <c r="G4146" t="s">
        <v>19</v>
      </c>
      <c r="H4146">
        <f>Cleaned_Data!K4146</f>
        <v>12.72</v>
      </c>
      <c r="I4146" t="str">
        <f t="shared" si="192"/>
        <v>YES</v>
      </c>
      <c r="J4146">
        <f>Cleaned_Data!J4146</f>
        <v>24</v>
      </c>
      <c r="K4146" t="str">
        <f t="shared" si="193"/>
        <v>2024-11</v>
      </c>
      <c r="L4146">
        <f t="shared" si="194"/>
        <v>0</v>
      </c>
    </row>
    <row r="4147" spans="1:12">
      <c r="A4147" t="s">
        <v>12022</v>
      </c>
      <c r="B4147" t="s">
        <v>12023</v>
      </c>
      <c r="C4147" t="s">
        <v>12024</v>
      </c>
      <c r="D4147" t="s">
        <v>23</v>
      </c>
      <c r="E4147" t="s">
        <v>59</v>
      </c>
      <c r="F4147" t="s">
        <v>60</v>
      </c>
      <c r="G4147" t="s">
        <v>19</v>
      </c>
      <c r="H4147">
        <f>Cleaned_Data!K4147</f>
        <v>8.4600000000000009</v>
      </c>
      <c r="I4147" t="str">
        <f t="shared" si="192"/>
        <v>YES</v>
      </c>
      <c r="J4147">
        <f>Cleaned_Data!J4147</f>
        <v>24</v>
      </c>
      <c r="K4147" t="str">
        <f t="shared" si="193"/>
        <v>2024-04</v>
      </c>
      <c r="L4147">
        <f t="shared" si="194"/>
        <v>0</v>
      </c>
    </row>
    <row r="4148" spans="1:12">
      <c r="A4148" t="s">
        <v>12025</v>
      </c>
      <c r="B4148" t="s">
        <v>12026</v>
      </c>
      <c r="C4148" t="s">
        <v>12027</v>
      </c>
      <c r="D4148" t="s">
        <v>15</v>
      </c>
      <c r="E4148" t="s">
        <v>24</v>
      </c>
      <c r="F4148" t="s">
        <v>60</v>
      </c>
      <c r="G4148" t="s">
        <v>19</v>
      </c>
      <c r="H4148">
        <f>Cleaned_Data!K4148</f>
        <v>6.83</v>
      </c>
      <c r="I4148" t="str">
        <f t="shared" si="192"/>
        <v>YES</v>
      </c>
      <c r="J4148">
        <f>Cleaned_Data!J4148</f>
        <v>8</v>
      </c>
      <c r="K4148" t="str">
        <f t="shared" si="193"/>
        <v>2024-07</v>
      </c>
      <c r="L4148">
        <f t="shared" si="194"/>
        <v>0</v>
      </c>
    </row>
    <row r="4149" spans="1:12">
      <c r="A4149" t="s">
        <v>12028</v>
      </c>
      <c r="B4149" t="s">
        <v>12029</v>
      </c>
      <c r="C4149" t="s">
        <v>12030</v>
      </c>
      <c r="D4149" t="s">
        <v>35</v>
      </c>
      <c r="E4149" t="s">
        <v>59</v>
      </c>
      <c r="F4149" t="s">
        <v>29</v>
      </c>
      <c r="G4149" t="s">
        <v>31</v>
      </c>
      <c r="H4149">
        <f>Cleaned_Data!K4149</f>
        <v>45.44</v>
      </c>
      <c r="I4149" t="str">
        <f t="shared" si="192"/>
        <v>YES</v>
      </c>
      <c r="J4149">
        <f>Cleaned_Data!J4149</f>
        <v>48</v>
      </c>
      <c r="K4149" t="str">
        <f t="shared" si="193"/>
        <v>2024-08</v>
      </c>
      <c r="L4149">
        <f t="shared" si="194"/>
        <v>0</v>
      </c>
    </row>
    <row r="4150" spans="1:12">
      <c r="A4150" t="s">
        <v>12031</v>
      </c>
      <c r="B4150" t="s">
        <v>12032</v>
      </c>
      <c r="C4150" t="s">
        <v>12033</v>
      </c>
      <c r="D4150" t="s">
        <v>23</v>
      </c>
      <c r="E4150" t="s">
        <v>28</v>
      </c>
      <c r="F4150" t="s">
        <v>60</v>
      </c>
      <c r="G4150" t="s">
        <v>19</v>
      </c>
      <c r="H4150">
        <f>Cleaned_Data!K4150</f>
        <v>6.29</v>
      </c>
      <c r="I4150" t="str">
        <f t="shared" si="192"/>
        <v>YES</v>
      </c>
      <c r="J4150">
        <f>Cleaned_Data!J4150</f>
        <v>24</v>
      </c>
      <c r="K4150" t="str">
        <f t="shared" si="193"/>
        <v>2024-03</v>
      </c>
      <c r="L4150">
        <f t="shared" si="194"/>
        <v>0</v>
      </c>
    </row>
    <row r="4151" spans="1:12">
      <c r="A4151" t="s">
        <v>12034</v>
      </c>
      <c r="B4151" t="s">
        <v>12035</v>
      </c>
      <c r="C4151" t="s">
        <v>12036</v>
      </c>
      <c r="D4151" t="s">
        <v>15</v>
      </c>
      <c r="E4151" t="s">
        <v>24</v>
      </c>
      <c r="F4151" t="s">
        <v>41</v>
      </c>
      <c r="G4151" t="s">
        <v>31</v>
      </c>
      <c r="H4151">
        <f>Cleaned_Data!K4151</f>
        <v>12.08</v>
      </c>
      <c r="I4151" t="str">
        <f t="shared" si="192"/>
        <v>NO</v>
      </c>
      <c r="J4151">
        <f>Cleaned_Data!J4151</f>
        <v>8</v>
      </c>
      <c r="K4151" t="str">
        <f t="shared" si="193"/>
        <v>2024-12</v>
      </c>
      <c r="L4151">
        <f t="shared" si="194"/>
        <v>4.08</v>
      </c>
    </row>
    <row r="4152" spans="1:12">
      <c r="A4152" t="s">
        <v>12037</v>
      </c>
      <c r="B4152" t="s">
        <v>12038</v>
      </c>
      <c r="C4152" t="s">
        <v>12039</v>
      </c>
      <c r="D4152" t="s">
        <v>35</v>
      </c>
      <c r="E4152" t="s">
        <v>59</v>
      </c>
      <c r="F4152" t="s">
        <v>17</v>
      </c>
      <c r="G4152" t="s">
        <v>31</v>
      </c>
      <c r="H4152">
        <f>Cleaned_Data!K4152</f>
        <v>136.62</v>
      </c>
      <c r="I4152" t="str">
        <f t="shared" si="192"/>
        <v>NO</v>
      </c>
      <c r="J4152">
        <f>Cleaned_Data!J4152</f>
        <v>48</v>
      </c>
      <c r="K4152" t="str">
        <f t="shared" si="193"/>
        <v>2024-04</v>
      </c>
      <c r="L4152">
        <f t="shared" si="194"/>
        <v>88.62</v>
      </c>
    </row>
    <row r="4153" spans="1:12">
      <c r="A4153" t="s">
        <v>12040</v>
      </c>
      <c r="B4153" t="s">
        <v>12041</v>
      </c>
      <c r="C4153" t="s">
        <v>12042</v>
      </c>
      <c r="D4153" t="s">
        <v>23</v>
      </c>
      <c r="E4153" t="s">
        <v>24</v>
      </c>
      <c r="F4153" t="s">
        <v>17</v>
      </c>
      <c r="G4153" t="s">
        <v>19</v>
      </c>
      <c r="H4153">
        <f>Cleaned_Data!K4153</f>
        <v>7.44</v>
      </c>
      <c r="I4153" t="str">
        <f t="shared" si="192"/>
        <v>YES</v>
      </c>
      <c r="J4153">
        <f>Cleaned_Data!J4153</f>
        <v>24</v>
      </c>
      <c r="K4153" t="str">
        <f t="shared" si="193"/>
        <v>2024-06</v>
      </c>
      <c r="L4153">
        <f t="shared" si="194"/>
        <v>0</v>
      </c>
    </row>
    <row r="4154" spans="1:12">
      <c r="A4154" t="s">
        <v>12043</v>
      </c>
      <c r="B4154" t="s">
        <v>12044</v>
      </c>
      <c r="C4154" t="s">
        <v>12045</v>
      </c>
      <c r="D4154" t="s">
        <v>35</v>
      </c>
      <c r="E4154" t="s">
        <v>54</v>
      </c>
      <c r="F4154" t="s">
        <v>60</v>
      </c>
      <c r="G4154" t="s">
        <v>19</v>
      </c>
      <c r="H4154">
        <f>Cleaned_Data!K4154</f>
        <v>23.09</v>
      </c>
      <c r="I4154" t="str">
        <f t="shared" si="192"/>
        <v>YES</v>
      </c>
      <c r="J4154">
        <f>Cleaned_Data!J4154</f>
        <v>48</v>
      </c>
      <c r="K4154" t="str">
        <f t="shared" si="193"/>
        <v>2024-10</v>
      </c>
      <c r="L4154">
        <f t="shared" si="194"/>
        <v>0</v>
      </c>
    </row>
    <row r="4155" spans="1:12">
      <c r="A4155" t="s">
        <v>12046</v>
      </c>
      <c r="B4155" t="s">
        <v>12047</v>
      </c>
      <c r="D4155" t="s">
        <v>23</v>
      </c>
      <c r="E4155" t="s">
        <v>54</v>
      </c>
      <c r="F4155" t="s">
        <v>17</v>
      </c>
      <c r="G4155" t="s">
        <v>46</v>
      </c>
      <c r="H4155">
        <f>Cleaned_Data!K4155</f>
        <v>0</v>
      </c>
      <c r="I4155" t="str">
        <f t="shared" si="192"/>
        <v/>
      </c>
      <c r="J4155">
        <f>Cleaned_Data!J4155</f>
        <v>24</v>
      </c>
      <c r="K4155" t="str">
        <f t="shared" si="193"/>
        <v>2024-05</v>
      </c>
      <c r="L4155">
        <f t="shared" si="194"/>
        <v>0</v>
      </c>
    </row>
    <row r="4156" spans="1:12">
      <c r="A4156" t="s">
        <v>12048</v>
      </c>
      <c r="B4156" t="s">
        <v>12049</v>
      </c>
      <c r="C4156" t="s">
        <v>12050</v>
      </c>
      <c r="D4156" t="s">
        <v>23</v>
      </c>
      <c r="E4156" t="s">
        <v>54</v>
      </c>
      <c r="F4156" t="s">
        <v>60</v>
      </c>
      <c r="G4156" t="s">
        <v>31</v>
      </c>
      <c r="H4156">
        <f>Cleaned_Data!K4156</f>
        <v>45.16</v>
      </c>
      <c r="I4156" t="str">
        <f t="shared" si="192"/>
        <v>NO</v>
      </c>
      <c r="J4156">
        <f>Cleaned_Data!J4156</f>
        <v>24</v>
      </c>
      <c r="K4156" t="str">
        <f t="shared" si="193"/>
        <v>2024-12</v>
      </c>
      <c r="L4156">
        <f t="shared" si="194"/>
        <v>21.159999999999997</v>
      </c>
    </row>
    <row r="4157" spans="1:12">
      <c r="A4157" t="s">
        <v>12051</v>
      </c>
      <c r="B4157" t="s">
        <v>12052</v>
      </c>
      <c r="C4157" t="s">
        <v>12053</v>
      </c>
      <c r="D4157" t="s">
        <v>15</v>
      </c>
      <c r="E4157" t="s">
        <v>59</v>
      </c>
      <c r="F4157" t="s">
        <v>41</v>
      </c>
      <c r="G4157" t="s">
        <v>31</v>
      </c>
      <c r="H4157">
        <f>Cleaned_Data!K4157</f>
        <v>3.85</v>
      </c>
      <c r="I4157" t="str">
        <f t="shared" si="192"/>
        <v>YES</v>
      </c>
      <c r="J4157">
        <f>Cleaned_Data!J4157</f>
        <v>8</v>
      </c>
      <c r="K4157" t="str">
        <f t="shared" si="193"/>
        <v>2024-07</v>
      </c>
      <c r="L4157">
        <f t="shared" si="194"/>
        <v>0</v>
      </c>
    </row>
    <row r="4158" spans="1:12">
      <c r="A4158" t="s">
        <v>12054</v>
      </c>
      <c r="B4158" t="s">
        <v>12055</v>
      </c>
      <c r="C4158" t="s">
        <v>12056</v>
      </c>
      <c r="D4158" t="s">
        <v>15</v>
      </c>
      <c r="E4158" t="s">
        <v>54</v>
      </c>
      <c r="F4158" t="s">
        <v>36</v>
      </c>
      <c r="G4158" t="s">
        <v>31</v>
      </c>
      <c r="H4158">
        <f>Cleaned_Data!K4158</f>
        <v>6.8</v>
      </c>
      <c r="I4158" t="str">
        <f t="shared" si="192"/>
        <v>YES</v>
      </c>
      <c r="J4158">
        <f>Cleaned_Data!J4158</f>
        <v>8</v>
      </c>
      <c r="K4158" t="str">
        <f t="shared" si="193"/>
        <v>2024-11</v>
      </c>
      <c r="L4158">
        <f t="shared" si="194"/>
        <v>0</v>
      </c>
    </row>
    <row r="4159" spans="1:12">
      <c r="A4159" t="s">
        <v>12057</v>
      </c>
      <c r="B4159" t="s">
        <v>12058</v>
      </c>
      <c r="C4159" t="s">
        <v>12059</v>
      </c>
      <c r="D4159" t="s">
        <v>158</v>
      </c>
      <c r="E4159" t="s">
        <v>54</v>
      </c>
      <c r="F4159" t="s">
        <v>60</v>
      </c>
      <c r="G4159" t="s">
        <v>31</v>
      </c>
      <c r="H4159">
        <f>Cleaned_Data!K4159</f>
        <v>5.33</v>
      </c>
      <c r="I4159" t="str">
        <f t="shared" si="192"/>
        <v>NO</v>
      </c>
      <c r="J4159">
        <f>Cleaned_Data!J4159</f>
        <v>4</v>
      </c>
      <c r="K4159" t="str">
        <f t="shared" si="193"/>
        <v>2024-01</v>
      </c>
      <c r="L4159">
        <f t="shared" si="194"/>
        <v>1.33</v>
      </c>
    </row>
    <row r="4160" spans="1:12">
      <c r="A4160" t="s">
        <v>12060</v>
      </c>
      <c r="B4160" t="s">
        <v>12061</v>
      </c>
      <c r="C4160" t="s">
        <v>12062</v>
      </c>
      <c r="D4160" t="s">
        <v>35</v>
      </c>
      <c r="E4160" t="s">
        <v>28</v>
      </c>
      <c r="F4160" t="s">
        <v>17</v>
      </c>
      <c r="G4160" t="s">
        <v>19</v>
      </c>
      <c r="H4160">
        <f>Cleaned_Data!K4160</f>
        <v>91.29</v>
      </c>
      <c r="I4160" t="str">
        <f t="shared" si="192"/>
        <v>NO</v>
      </c>
      <c r="J4160">
        <f>Cleaned_Data!J4160</f>
        <v>48</v>
      </c>
      <c r="K4160" t="str">
        <f t="shared" si="193"/>
        <v>2024-11</v>
      </c>
      <c r="L4160">
        <f t="shared" si="194"/>
        <v>43.290000000000006</v>
      </c>
    </row>
    <row r="4161" spans="1:12">
      <c r="A4161" t="s">
        <v>12063</v>
      </c>
      <c r="B4161" t="s">
        <v>12064</v>
      </c>
      <c r="D4161" t="s">
        <v>23</v>
      </c>
      <c r="E4161" t="s">
        <v>28</v>
      </c>
      <c r="F4161" t="s">
        <v>17</v>
      </c>
      <c r="G4161" t="s">
        <v>46</v>
      </c>
      <c r="H4161">
        <f>Cleaned_Data!K4161</f>
        <v>0</v>
      </c>
      <c r="I4161" t="str">
        <f t="shared" si="192"/>
        <v/>
      </c>
      <c r="J4161">
        <f>Cleaned_Data!J4161</f>
        <v>24</v>
      </c>
      <c r="K4161" t="str">
        <f t="shared" si="193"/>
        <v>2024-07</v>
      </c>
      <c r="L4161">
        <f t="shared" si="194"/>
        <v>0</v>
      </c>
    </row>
    <row r="4162" spans="1:12">
      <c r="A4162" t="s">
        <v>12065</v>
      </c>
      <c r="B4162" t="s">
        <v>12066</v>
      </c>
      <c r="C4162" t="s">
        <v>12067</v>
      </c>
      <c r="D4162" t="s">
        <v>23</v>
      </c>
      <c r="E4162" t="s">
        <v>59</v>
      </c>
      <c r="F4162" t="s">
        <v>17</v>
      </c>
      <c r="G4162" t="s">
        <v>31</v>
      </c>
      <c r="H4162">
        <f>Cleaned_Data!K4162</f>
        <v>6.88</v>
      </c>
      <c r="I4162" t="str">
        <f t="shared" ref="I4162:I4225" si="195">IF(OR(G4162="Resolved", G4162="Closed"), IF(AND(H4162&lt;&gt;"", H4162&lt;=J4162), "YES", "NO"), "")</f>
        <v>YES</v>
      </c>
      <c r="J4162">
        <f>Cleaned_Data!J4162</f>
        <v>24</v>
      </c>
      <c r="K4162" t="str">
        <f t="shared" ref="K4162:K4225" si="196">LEFT(B4162, 7)</f>
        <v>2024-06</v>
      </c>
      <c r="L4162">
        <f t="shared" ref="L4162:L4225" si="197">IF(I4162="NO", H4162-J4162, 0)</f>
        <v>0</v>
      </c>
    </row>
    <row r="4163" spans="1:12">
      <c r="A4163" t="s">
        <v>12068</v>
      </c>
      <c r="B4163" t="s">
        <v>12069</v>
      </c>
      <c r="C4163" t="s">
        <v>12070</v>
      </c>
      <c r="D4163" t="s">
        <v>23</v>
      </c>
      <c r="E4163" t="s">
        <v>16</v>
      </c>
      <c r="F4163" t="s">
        <v>60</v>
      </c>
      <c r="G4163" t="s">
        <v>19</v>
      </c>
      <c r="H4163">
        <f>Cleaned_Data!K4163</f>
        <v>6.31</v>
      </c>
      <c r="I4163" t="str">
        <f t="shared" si="195"/>
        <v>YES</v>
      </c>
      <c r="J4163">
        <f>Cleaned_Data!J4163</f>
        <v>24</v>
      </c>
      <c r="K4163" t="str">
        <f t="shared" si="196"/>
        <v>2024-11</v>
      </c>
      <c r="L4163">
        <f t="shared" si="197"/>
        <v>0</v>
      </c>
    </row>
    <row r="4164" spans="1:12">
      <c r="A4164" t="s">
        <v>12071</v>
      </c>
      <c r="B4164" t="s">
        <v>12072</v>
      </c>
      <c r="C4164" t="s">
        <v>12073</v>
      </c>
      <c r="D4164" t="s">
        <v>23</v>
      </c>
      <c r="E4164" t="s">
        <v>28</v>
      </c>
      <c r="F4164" t="s">
        <v>41</v>
      </c>
      <c r="G4164" t="s">
        <v>19</v>
      </c>
      <c r="H4164">
        <f>Cleaned_Data!K4164</f>
        <v>59.72</v>
      </c>
      <c r="I4164" t="str">
        <f t="shared" si="195"/>
        <v>NO</v>
      </c>
      <c r="J4164">
        <f>Cleaned_Data!J4164</f>
        <v>24</v>
      </c>
      <c r="K4164" t="str">
        <f t="shared" si="196"/>
        <v>2024-03</v>
      </c>
      <c r="L4164">
        <f t="shared" si="197"/>
        <v>35.72</v>
      </c>
    </row>
    <row r="4165" spans="1:12">
      <c r="A4165" t="s">
        <v>12074</v>
      </c>
      <c r="B4165" t="s">
        <v>12075</v>
      </c>
      <c r="C4165" t="s">
        <v>12076</v>
      </c>
      <c r="D4165" t="s">
        <v>23</v>
      </c>
      <c r="E4165" t="s">
        <v>28</v>
      </c>
      <c r="F4165" t="s">
        <v>41</v>
      </c>
      <c r="G4165" t="s">
        <v>19</v>
      </c>
      <c r="H4165">
        <f>Cleaned_Data!K4165</f>
        <v>14.68</v>
      </c>
      <c r="I4165" t="str">
        <f t="shared" si="195"/>
        <v>YES</v>
      </c>
      <c r="J4165">
        <f>Cleaned_Data!J4165</f>
        <v>24</v>
      </c>
      <c r="K4165" t="str">
        <f t="shared" si="196"/>
        <v>2024-03</v>
      </c>
      <c r="L4165">
        <f t="shared" si="197"/>
        <v>0</v>
      </c>
    </row>
    <row r="4166" spans="1:12">
      <c r="A4166" t="s">
        <v>12077</v>
      </c>
      <c r="B4166" t="s">
        <v>12078</v>
      </c>
      <c r="C4166" t="s">
        <v>12079</v>
      </c>
      <c r="D4166" t="s">
        <v>35</v>
      </c>
      <c r="E4166" t="s">
        <v>16</v>
      </c>
      <c r="F4166" t="s">
        <v>60</v>
      </c>
      <c r="G4166" t="s">
        <v>19</v>
      </c>
      <c r="H4166">
        <f>Cleaned_Data!K4166</f>
        <v>12.6</v>
      </c>
      <c r="I4166" t="str">
        <f t="shared" si="195"/>
        <v>YES</v>
      </c>
      <c r="J4166">
        <f>Cleaned_Data!J4166</f>
        <v>48</v>
      </c>
      <c r="K4166" t="str">
        <f t="shared" si="196"/>
        <v>2024-01</v>
      </c>
      <c r="L4166">
        <f t="shared" si="197"/>
        <v>0</v>
      </c>
    </row>
    <row r="4167" spans="1:12">
      <c r="A4167" t="s">
        <v>12080</v>
      </c>
      <c r="B4167" t="s">
        <v>12081</v>
      </c>
      <c r="D4167" t="s">
        <v>23</v>
      </c>
      <c r="E4167" t="s">
        <v>24</v>
      </c>
      <c r="F4167" t="s">
        <v>36</v>
      </c>
      <c r="G4167" t="s">
        <v>46</v>
      </c>
      <c r="H4167">
        <f>Cleaned_Data!K4167</f>
        <v>0</v>
      </c>
      <c r="I4167" t="str">
        <f t="shared" si="195"/>
        <v/>
      </c>
      <c r="J4167">
        <f>Cleaned_Data!J4167</f>
        <v>24</v>
      </c>
      <c r="K4167" t="str">
        <f t="shared" si="196"/>
        <v>2024-10</v>
      </c>
      <c r="L4167">
        <f t="shared" si="197"/>
        <v>0</v>
      </c>
    </row>
    <row r="4168" spans="1:12">
      <c r="A4168" t="s">
        <v>12082</v>
      </c>
      <c r="B4168" t="s">
        <v>12083</v>
      </c>
      <c r="C4168" t="s">
        <v>12084</v>
      </c>
      <c r="D4168" t="s">
        <v>158</v>
      </c>
      <c r="E4168" t="s">
        <v>28</v>
      </c>
      <c r="F4168" t="s">
        <v>36</v>
      </c>
      <c r="G4168" t="s">
        <v>31</v>
      </c>
      <c r="H4168">
        <f>Cleaned_Data!K4168</f>
        <v>11.24</v>
      </c>
      <c r="I4168" t="str">
        <f t="shared" si="195"/>
        <v>NO</v>
      </c>
      <c r="J4168">
        <f>Cleaned_Data!J4168</f>
        <v>4</v>
      </c>
      <c r="K4168" t="str">
        <f t="shared" si="196"/>
        <v>2024-09</v>
      </c>
      <c r="L4168">
        <f t="shared" si="197"/>
        <v>7.24</v>
      </c>
    </row>
    <row r="4169" spans="1:12">
      <c r="A4169" t="s">
        <v>12085</v>
      </c>
      <c r="B4169" t="s">
        <v>12086</v>
      </c>
      <c r="C4169" t="s">
        <v>12087</v>
      </c>
      <c r="D4169" t="s">
        <v>23</v>
      </c>
      <c r="E4169" t="s">
        <v>54</v>
      </c>
      <c r="F4169" t="s">
        <v>41</v>
      </c>
      <c r="G4169" t="s">
        <v>31</v>
      </c>
      <c r="H4169">
        <f>Cleaned_Data!K4169</f>
        <v>12.69</v>
      </c>
      <c r="I4169" t="str">
        <f t="shared" si="195"/>
        <v>YES</v>
      </c>
      <c r="J4169">
        <f>Cleaned_Data!J4169</f>
        <v>24</v>
      </c>
      <c r="K4169" t="str">
        <f t="shared" si="196"/>
        <v>2024-09</v>
      </c>
      <c r="L4169">
        <f t="shared" si="197"/>
        <v>0</v>
      </c>
    </row>
    <row r="4170" spans="1:12">
      <c r="A4170" t="s">
        <v>12088</v>
      </c>
      <c r="B4170" t="s">
        <v>12089</v>
      </c>
      <c r="C4170" t="s">
        <v>12090</v>
      </c>
      <c r="D4170" t="s">
        <v>15</v>
      </c>
      <c r="E4170" t="s">
        <v>24</v>
      </c>
      <c r="F4170" t="s">
        <v>60</v>
      </c>
      <c r="G4170" t="s">
        <v>31</v>
      </c>
      <c r="H4170">
        <f>Cleaned_Data!K4170</f>
        <v>13.99</v>
      </c>
      <c r="I4170" t="str">
        <f t="shared" si="195"/>
        <v>NO</v>
      </c>
      <c r="J4170">
        <f>Cleaned_Data!J4170</f>
        <v>8</v>
      </c>
      <c r="K4170" t="str">
        <f t="shared" si="196"/>
        <v>2024-06</v>
      </c>
      <c r="L4170">
        <f t="shared" si="197"/>
        <v>5.99</v>
      </c>
    </row>
    <row r="4171" spans="1:12">
      <c r="A4171" t="s">
        <v>12091</v>
      </c>
      <c r="B4171" t="s">
        <v>12092</v>
      </c>
      <c r="C4171" t="s">
        <v>12093</v>
      </c>
      <c r="D4171" t="s">
        <v>15</v>
      </c>
      <c r="E4171" t="s">
        <v>28</v>
      </c>
      <c r="F4171" t="s">
        <v>29</v>
      </c>
      <c r="G4171" t="s">
        <v>31</v>
      </c>
      <c r="H4171">
        <f>Cleaned_Data!K4171</f>
        <v>3.32</v>
      </c>
      <c r="I4171" t="str">
        <f t="shared" si="195"/>
        <v>YES</v>
      </c>
      <c r="J4171">
        <f>Cleaned_Data!J4171</f>
        <v>8</v>
      </c>
      <c r="K4171" t="str">
        <f t="shared" si="196"/>
        <v>2024-11</v>
      </c>
      <c r="L4171">
        <f t="shared" si="197"/>
        <v>0</v>
      </c>
    </row>
    <row r="4172" spans="1:12">
      <c r="A4172" t="s">
        <v>12094</v>
      </c>
      <c r="B4172" t="s">
        <v>12095</v>
      </c>
      <c r="C4172" t="s">
        <v>12096</v>
      </c>
      <c r="D4172" t="s">
        <v>15</v>
      </c>
      <c r="E4172" t="s">
        <v>16</v>
      </c>
      <c r="F4172" t="s">
        <v>17</v>
      </c>
      <c r="G4172" t="s">
        <v>19</v>
      </c>
      <c r="H4172">
        <f>Cleaned_Data!K4172</f>
        <v>1.26</v>
      </c>
      <c r="I4172" t="str">
        <f t="shared" si="195"/>
        <v>YES</v>
      </c>
      <c r="J4172">
        <f>Cleaned_Data!J4172</f>
        <v>8</v>
      </c>
      <c r="K4172" t="str">
        <f t="shared" si="196"/>
        <v>2024-02</v>
      </c>
      <c r="L4172">
        <f t="shared" si="197"/>
        <v>0</v>
      </c>
    </row>
    <row r="4173" spans="1:12">
      <c r="A4173" t="s">
        <v>12097</v>
      </c>
      <c r="B4173" t="s">
        <v>12098</v>
      </c>
      <c r="D4173" t="s">
        <v>23</v>
      </c>
      <c r="E4173" t="s">
        <v>54</v>
      </c>
      <c r="F4173" t="s">
        <v>29</v>
      </c>
      <c r="G4173" t="s">
        <v>63</v>
      </c>
      <c r="H4173">
        <f>Cleaned_Data!K4173</f>
        <v>0</v>
      </c>
      <c r="I4173" t="str">
        <f t="shared" si="195"/>
        <v/>
      </c>
      <c r="J4173">
        <f>Cleaned_Data!J4173</f>
        <v>24</v>
      </c>
      <c r="K4173" t="str">
        <f t="shared" si="196"/>
        <v>2024-08</v>
      </c>
      <c r="L4173">
        <f t="shared" si="197"/>
        <v>0</v>
      </c>
    </row>
    <row r="4174" spans="1:12">
      <c r="A4174" t="s">
        <v>12099</v>
      </c>
      <c r="B4174" t="s">
        <v>12100</v>
      </c>
      <c r="C4174" t="s">
        <v>12101</v>
      </c>
      <c r="D4174" t="s">
        <v>35</v>
      </c>
      <c r="E4174" t="s">
        <v>24</v>
      </c>
      <c r="F4174" t="s">
        <v>60</v>
      </c>
      <c r="G4174" t="s">
        <v>19</v>
      </c>
      <c r="H4174">
        <f>Cleaned_Data!K4174</f>
        <v>32.24</v>
      </c>
      <c r="I4174" t="str">
        <f t="shared" si="195"/>
        <v>YES</v>
      </c>
      <c r="J4174">
        <f>Cleaned_Data!J4174</f>
        <v>48</v>
      </c>
      <c r="K4174" t="str">
        <f t="shared" si="196"/>
        <v>2024-09</v>
      </c>
      <c r="L4174">
        <f t="shared" si="197"/>
        <v>0</v>
      </c>
    </row>
    <row r="4175" spans="1:12">
      <c r="A4175" t="s">
        <v>12102</v>
      </c>
      <c r="B4175" t="s">
        <v>12103</v>
      </c>
      <c r="C4175" t="s">
        <v>12104</v>
      </c>
      <c r="D4175" t="s">
        <v>35</v>
      </c>
      <c r="E4175" t="s">
        <v>28</v>
      </c>
      <c r="F4175" t="s">
        <v>29</v>
      </c>
      <c r="G4175" t="s">
        <v>31</v>
      </c>
      <c r="H4175">
        <f>Cleaned_Data!K4175</f>
        <v>81.77</v>
      </c>
      <c r="I4175" t="str">
        <f t="shared" si="195"/>
        <v>NO</v>
      </c>
      <c r="J4175">
        <f>Cleaned_Data!J4175</f>
        <v>48</v>
      </c>
      <c r="K4175" t="str">
        <f t="shared" si="196"/>
        <v>2024-11</v>
      </c>
      <c r="L4175">
        <f t="shared" si="197"/>
        <v>33.769999999999996</v>
      </c>
    </row>
    <row r="4176" spans="1:12">
      <c r="A4176" t="s">
        <v>12105</v>
      </c>
      <c r="B4176" t="s">
        <v>12106</v>
      </c>
      <c r="C4176" t="s">
        <v>12107</v>
      </c>
      <c r="D4176" t="s">
        <v>23</v>
      </c>
      <c r="E4176" t="s">
        <v>28</v>
      </c>
      <c r="F4176" t="s">
        <v>17</v>
      </c>
      <c r="G4176" t="s">
        <v>19</v>
      </c>
      <c r="H4176">
        <f>Cleaned_Data!K4176</f>
        <v>20.07</v>
      </c>
      <c r="I4176" t="str">
        <f t="shared" si="195"/>
        <v>YES</v>
      </c>
      <c r="J4176">
        <f>Cleaned_Data!J4176</f>
        <v>24</v>
      </c>
      <c r="K4176" t="str">
        <f t="shared" si="196"/>
        <v>2024-01</v>
      </c>
      <c r="L4176">
        <f t="shared" si="197"/>
        <v>0</v>
      </c>
    </row>
    <row r="4177" spans="1:12">
      <c r="A4177" t="s">
        <v>12108</v>
      </c>
      <c r="B4177" t="s">
        <v>12109</v>
      </c>
      <c r="C4177" t="s">
        <v>12110</v>
      </c>
      <c r="D4177" t="s">
        <v>23</v>
      </c>
      <c r="E4177" t="s">
        <v>28</v>
      </c>
      <c r="F4177" t="s">
        <v>36</v>
      </c>
      <c r="G4177" t="s">
        <v>19</v>
      </c>
      <c r="H4177">
        <f>Cleaned_Data!K4177</f>
        <v>56.95</v>
      </c>
      <c r="I4177" t="str">
        <f t="shared" si="195"/>
        <v>NO</v>
      </c>
      <c r="J4177">
        <f>Cleaned_Data!J4177</f>
        <v>24</v>
      </c>
      <c r="K4177" t="str">
        <f t="shared" si="196"/>
        <v>2024-07</v>
      </c>
      <c r="L4177">
        <f t="shared" si="197"/>
        <v>32.950000000000003</v>
      </c>
    </row>
    <row r="4178" spans="1:12">
      <c r="A4178" t="s">
        <v>12111</v>
      </c>
      <c r="B4178" t="s">
        <v>12112</v>
      </c>
      <c r="C4178" t="s">
        <v>12113</v>
      </c>
      <c r="D4178" t="s">
        <v>23</v>
      </c>
      <c r="E4178" t="s">
        <v>24</v>
      </c>
      <c r="F4178" t="s">
        <v>36</v>
      </c>
      <c r="G4178" t="s">
        <v>19</v>
      </c>
      <c r="H4178">
        <f>Cleaned_Data!K4178</f>
        <v>13.14</v>
      </c>
      <c r="I4178" t="str">
        <f t="shared" si="195"/>
        <v>YES</v>
      </c>
      <c r="J4178">
        <f>Cleaned_Data!J4178</f>
        <v>24</v>
      </c>
      <c r="K4178" t="str">
        <f t="shared" si="196"/>
        <v>2024-11</v>
      </c>
      <c r="L4178">
        <f t="shared" si="197"/>
        <v>0</v>
      </c>
    </row>
    <row r="4179" spans="1:12">
      <c r="A4179" t="s">
        <v>12114</v>
      </c>
      <c r="B4179" t="s">
        <v>12115</v>
      </c>
      <c r="C4179" t="s">
        <v>12116</v>
      </c>
      <c r="D4179" t="s">
        <v>23</v>
      </c>
      <c r="E4179" t="s">
        <v>28</v>
      </c>
      <c r="F4179" t="s">
        <v>29</v>
      </c>
      <c r="G4179" t="s">
        <v>19</v>
      </c>
      <c r="H4179">
        <f>Cleaned_Data!K4179</f>
        <v>17.68</v>
      </c>
      <c r="I4179" t="str">
        <f t="shared" si="195"/>
        <v>YES</v>
      </c>
      <c r="J4179">
        <f>Cleaned_Data!J4179</f>
        <v>24</v>
      </c>
      <c r="K4179" t="str">
        <f t="shared" si="196"/>
        <v>2024-10</v>
      </c>
      <c r="L4179">
        <f t="shared" si="197"/>
        <v>0</v>
      </c>
    </row>
    <row r="4180" spans="1:12">
      <c r="A4180" t="s">
        <v>12117</v>
      </c>
      <c r="B4180" t="s">
        <v>12118</v>
      </c>
      <c r="C4180" t="s">
        <v>12119</v>
      </c>
      <c r="D4180" t="s">
        <v>15</v>
      </c>
      <c r="E4180" t="s">
        <v>59</v>
      </c>
      <c r="F4180" t="s">
        <v>41</v>
      </c>
      <c r="G4180" t="s">
        <v>19</v>
      </c>
      <c r="H4180">
        <f>Cleaned_Data!K4180</f>
        <v>2.46</v>
      </c>
      <c r="I4180" t="str">
        <f t="shared" si="195"/>
        <v>YES</v>
      </c>
      <c r="J4180">
        <f>Cleaned_Data!J4180</f>
        <v>8</v>
      </c>
      <c r="K4180" t="str">
        <f t="shared" si="196"/>
        <v>2024-11</v>
      </c>
      <c r="L4180">
        <f t="shared" si="197"/>
        <v>0</v>
      </c>
    </row>
    <row r="4181" spans="1:12">
      <c r="A4181" t="s">
        <v>12120</v>
      </c>
      <c r="B4181" t="s">
        <v>12121</v>
      </c>
      <c r="C4181" t="s">
        <v>12122</v>
      </c>
      <c r="D4181" t="s">
        <v>35</v>
      </c>
      <c r="E4181" t="s">
        <v>24</v>
      </c>
      <c r="F4181" t="s">
        <v>29</v>
      </c>
      <c r="G4181" t="s">
        <v>31</v>
      </c>
      <c r="H4181">
        <f>Cleaned_Data!K4181</f>
        <v>45.21</v>
      </c>
      <c r="I4181" t="str">
        <f t="shared" si="195"/>
        <v>YES</v>
      </c>
      <c r="J4181">
        <f>Cleaned_Data!J4181</f>
        <v>48</v>
      </c>
      <c r="K4181" t="str">
        <f t="shared" si="196"/>
        <v>2024-12</v>
      </c>
      <c r="L4181">
        <f t="shared" si="197"/>
        <v>0</v>
      </c>
    </row>
    <row r="4182" spans="1:12">
      <c r="A4182" t="s">
        <v>12123</v>
      </c>
      <c r="B4182" t="s">
        <v>12124</v>
      </c>
      <c r="C4182" t="s">
        <v>12125</v>
      </c>
      <c r="D4182" t="s">
        <v>35</v>
      </c>
      <c r="E4182" t="s">
        <v>28</v>
      </c>
      <c r="F4182" t="s">
        <v>17</v>
      </c>
      <c r="G4182" t="s">
        <v>19</v>
      </c>
      <c r="H4182">
        <f>Cleaned_Data!K4182</f>
        <v>36.090000000000003</v>
      </c>
      <c r="I4182" t="str">
        <f t="shared" si="195"/>
        <v>YES</v>
      </c>
      <c r="J4182">
        <f>Cleaned_Data!J4182</f>
        <v>48</v>
      </c>
      <c r="K4182" t="str">
        <f t="shared" si="196"/>
        <v>2024-01</v>
      </c>
      <c r="L4182">
        <f t="shared" si="197"/>
        <v>0</v>
      </c>
    </row>
    <row r="4183" spans="1:12">
      <c r="A4183" t="s">
        <v>12126</v>
      </c>
      <c r="B4183" t="s">
        <v>12127</v>
      </c>
      <c r="C4183" t="s">
        <v>12128</v>
      </c>
      <c r="D4183" t="s">
        <v>35</v>
      </c>
      <c r="E4183" t="s">
        <v>54</v>
      </c>
      <c r="F4183" t="s">
        <v>36</v>
      </c>
      <c r="G4183" t="s">
        <v>19</v>
      </c>
      <c r="H4183">
        <f>Cleaned_Data!K4183</f>
        <v>59.34</v>
      </c>
      <c r="I4183" t="str">
        <f t="shared" si="195"/>
        <v>NO</v>
      </c>
      <c r="J4183">
        <f>Cleaned_Data!J4183</f>
        <v>48</v>
      </c>
      <c r="K4183" t="str">
        <f t="shared" si="196"/>
        <v>2024-08</v>
      </c>
      <c r="L4183">
        <f t="shared" si="197"/>
        <v>11.340000000000003</v>
      </c>
    </row>
    <row r="4184" spans="1:12">
      <c r="A4184" t="s">
        <v>12129</v>
      </c>
      <c r="B4184" t="s">
        <v>12130</v>
      </c>
      <c r="C4184" t="s">
        <v>12131</v>
      </c>
      <c r="D4184" t="s">
        <v>23</v>
      </c>
      <c r="E4184" t="s">
        <v>28</v>
      </c>
      <c r="F4184" t="s">
        <v>29</v>
      </c>
      <c r="G4184" t="s">
        <v>19</v>
      </c>
      <c r="H4184">
        <f>Cleaned_Data!K4184</f>
        <v>3.31</v>
      </c>
      <c r="I4184" t="str">
        <f t="shared" si="195"/>
        <v>YES</v>
      </c>
      <c r="J4184">
        <f>Cleaned_Data!J4184</f>
        <v>24</v>
      </c>
      <c r="K4184" t="str">
        <f t="shared" si="196"/>
        <v>2024-04</v>
      </c>
      <c r="L4184">
        <f t="shared" si="197"/>
        <v>0</v>
      </c>
    </row>
    <row r="4185" spans="1:12">
      <c r="A4185" t="s">
        <v>12132</v>
      </c>
      <c r="B4185" t="s">
        <v>12133</v>
      </c>
      <c r="C4185" t="s">
        <v>12134</v>
      </c>
      <c r="D4185" t="s">
        <v>15</v>
      </c>
      <c r="E4185" t="s">
        <v>28</v>
      </c>
      <c r="F4185" t="s">
        <v>36</v>
      </c>
      <c r="G4185" t="s">
        <v>19</v>
      </c>
      <c r="H4185">
        <f>Cleaned_Data!K4185</f>
        <v>4.32</v>
      </c>
      <c r="I4185" t="str">
        <f t="shared" si="195"/>
        <v>YES</v>
      </c>
      <c r="J4185">
        <f>Cleaned_Data!J4185</f>
        <v>8</v>
      </c>
      <c r="K4185" t="str">
        <f t="shared" si="196"/>
        <v>2024-02</v>
      </c>
      <c r="L4185">
        <f t="shared" si="197"/>
        <v>0</v>
      </c>
    </row>
    <row r="4186" spans="1:12">
      <c r="A4186" t="s">
        <v>12135</v>
      </c>
      <c r="B4186" t="s">
        <v>12136</v>
      </c>
      <c r="C4186" t="s">
        <v>12137</v>
      </c>
      <c r="D4186" t="s">
        <v>23</v>
      </c>
      <c r="E4186" t="s">
        <v>54</v>
      </c>
      <c r="F4186" t="s">
        <v>60</v>
      </c>
      <c r="G4186" t="s">
        <v>31</v>
      </c>
      <c r="H4186">
        <f>Cleaned_Data!K4186</f>
        <v>6.15</v>
      </c>
      <c r="I4186" t="str">
        <f t="shared" si="195"/>
        <v>YES</v>
      </c>
      <c r="J4186">
        <f>Cleaned_Data!J4186</f>
        <v>24</v>
      </c>
      <c r="K4186" t="str">
        <f t="shared" si="196"/>
        <v>2024-01</v>
      </c>
      <c r="L4186">
        <f t="shared" si="197"/>
        <v>0</v>
      </c>
    </row>
    <row r="4187" spans="1:12">
      <c r="A4187" t="s">
        <v>12138</v>
      </c>
      <c r="B4187" t="s">
        <v>12139</v>
      </c>
      <c r="C4187" t="s">
        <v>12140</v>
      </c>
      <c r="D4187" t="s">
        <v>23</v>
      </c>
      <c r="E4187" t="s">
        <v>28</v>
      </c>
      <c r="F4187" t="s">
        <v>36</v>
      </c>
      <c r="G4187" t="s">
        <v>31</v>
      </c>
      <c r="H4187">
        <f>Cleaned_Data!K4187</f>
        <v>38.31</v>
      </c>
      <c r="I4187" t="str">
        <f t="shared" si="195"/>
        <v>NO</v>
      </c>
      <c r="J4187">
        <f>Cleaned_Data!J4187</f>
        <v>24</v>
      </c>
      <c r="K4187" t="str">
        <f t="shared" si="196"/>
        <v>2024-08</v>
      </c>
      <c r="L4187">
        <f t="shared" si="197"/>
        <v>14.310000000000002</v>
      </c>
    </row>
    <row r="4188" spans="1:12">
      <c r="A4188" t="s">
        <v>12141</v>
      </c>
      <c r="B4188" t="s">
        <v>12142</v>
      </c>
      <c r="C4188" t="s">
        <v>12143</v>
      </c>
      <c r="D4188" t="s">
        <v>23</v>
      </c>
      <c r="E4188" t="s">
        <v>28</v>
      </c>
      <c r="F4188" t="s">
        <v>17</v>
      </c>
      <c r="G4188" t="s">
        <v>19</v>
      </c>
      <c r="H4188">
        <f>Cleaned_Data!K4188</f>
        <v>10.79</v>
      </c>
      <c r="I4188" t="str">
        <f t="shared" si="195"/>
        <v>YES</v>
      </c>
      <c r="J4188">
        <f>Cleaned_Data!J4188</f>
        <v>24</v>
      </c>
      <c r="K4188" t="str">
        <f t="shared" si="196"/>
        <v>2024-09</v>
      </c>
      <c r="L4188">
        <f t="shared" si="197"/>
        <v>0</v>
      </c>
    </row>
    <row r="4189" spans="1:12">
      <c r="A4189" t="s">
        <v>12144</v>
      </c>
      <c r="B4189" t="s">
        <v>12145</v>
      </c>
      <c r="C4189" t="s">
        <v>12146</v>
      </c>
      <c r="D4189" t="s">
        <v>35</v>
      </c>
      <c r="E4189" t="s">
        <v>28</v>
      </c>
      <c r="F4189" t="s">
        <v>41</v>
      </c>
      <c r="G4189" t="s">
        <v>19</v>
      </c>
      <c r="H4189">
        <f>Cleaned_Data!K4189</f>
        <v>9.31</v>
      </c>
      <c r="I4189" t="str">
        <f t="shared" si="195"/>
        <v>YES</v>
      </c>
      <c r="J4189">
        <f>Cleaned_Data!J4189</f>
        <v>48</v>
      </c>
      <c r="K4189" t="str">
        <f t="shared" si="196"/>
        <v>2024-01</v>
      </c>
      <c r="L4189">
        <f t="shared" si="197"/>
        <v>0</v>
      </c>
    </row>
    <row r="4190" spans="1:12">
      <c r="A4190" t="s">
        <v>12147</v>
      </c>
      <c r="B4190" t="s">
        <v>12148</v>
      </c>
      <c r="C4190" t="s">
        <v>12149</v>
      </c>
      <c r="D4190" t="s">
        <v>23</v>
      </c>
      <c r="E4190" t="s">
        <v>59</v>
      </c>
      <c r="F4190" t="s">
        <v>41</v>
      </c>
      <c r="G4190" t="s">
        <v>19</v>
      </c>
      <c r="H4190">
        <f>Cleaned_Data!K4190</f>
        <v>12.04</v>
      </c>
      <c r="I4190" t="str">
        <f t="shared" si="195"/>
        <v>YES</v>
      </c>
      <c r="J4190">
        <f>Cleaned_Data!J4190</f>
        <v>24</v>
      </c>
      <c r="K4190" t="str">
        <f t="shared" si="196"/>
        <v>2024-05</v>
      </c>
      <c r="L4190">
        <f t="shared" si="197"/>
        <v>0</v>
      </c>
    </row>
    <row r="4191" spans="1:12">
      <c r="A4191" t="s">
        <v>12150</v>
      </c>
      <c r="B4191" t="s">
        <v>12151</v>
      </c>
      <c r="D4191" t="s">
        <v>23</v>
      </c>
      <c r="E4191" t="s">
        <v>24</v>
      </c>
      <c r="F4191" t="s">
        <v>17</v>
      </c>
      <c r="G4191" t="s">
        <v>46</v>
      </c>
      <c r="H4191">
        <f>Cleaned_Data!K4191</f>
        <v>0</v>
      </c>
      <c r="I4191" t="str">
        <f t="shared" si="195"/>
        <v/>
      </c>
      <c r="J4191">
        <f>Cleaned_Data!J4191</f>
        <v>24</v>
      </c>
      <c r="K4191" t="str">
        <f t="shared" si="196"/>
        <v>2024-02</v>
      </c>
      <c r="L4191">
        <f t="shared" si="197"/>
        <v>0</v>
      </c>
    </row>
    <row r="4192" spans="1:12">
      <c r="A4192" t="s">
        <v>12152</v>
      </c>
      <c r="B4192" t="s">
        <v>12153</v>
      </c>
      <c r="C4192" t="s">
        <v>12154</v>
      </c>
      <c r="D4192" t="s">
        <v>23</v>
      </c>
      <c r="E4192" t="s">
        <v>59</v>
      </c>
      <c r="F4192" t="s">
        <v>41</v>
      </c>
      <c r="G4192" t="s">
        <v>31</v>
      </c>
      <c r="H4192">
        <f>Cleaned_Data!K4192</f>
        <v>18.62</v>
      </c>
      <c r="I4192" t="str">
        <f t="shared" si="195"/>
        <v>YES</v>
      </c>
      <c r="J4192">
        <f>Cleaned_Data!J4192</f>
        <v>24</v>
      </c>
      <c r="K4192" t="str">
        <f t="shared" si="196"/>
        <v>2024-06</v>
      </c>
      <c r="L4192">
        <f t="shared" si="197"/>
        <v>0</v>
      </c>
    </row>
    <row r="4193" spans="1:12">
      <c r="A4193" t="s">
        <v>12155</v>
      </c>
      <c r="B4193" t="s">
        <v>12156</v>
      </c>
      <c r="C4193" t="s">
        <v>12157</v>
      </c>
      <c r="D4193" t="s">
        <v>35</v>
      </c>
      <c r="E4193" t="s">
        <v>54</v>
      </c>
      <c r="F4193" t="s">
        <v>60</v>
      </c>
      <c r="G4193" t="s">
        <v>31</v>
      </c>
      <c r="H4193">
        <f>Cleaned_Data!K4193</f>
        <v>41.77</v>
      </c>
      <c r="I4193" t="str">
        <f t="shared" si="195"/>
        <v>YES</v>
      </c>
      <c r="J4193">
        <f>Cleaned_Data!J4193</f>
        <v>48</v>
      </c>
      <c r="K4193" t="str">
        <f t="shared" si="196"/>
        <v>2024-07</v>
      </c>
      <c r="L4193">
        <f t="shared" si="197"/>
        <v>0</v>
      </c>
    </row>
    <row r="4194" spans="1:12">
      <c r="A4194" t="s">
        <v>12158</v>
      </c>
      <c r="B4194" t="s">
        <v>12159</v>
      </c>
      <c r="C4194" t="s">
        <v>12160</v>
      </c>
      <c r="D4194" t="s">
        <v>23</v>
      </c>
      <c r="E4194" t="s">
        <v>16</v>
      </c>
      <c r="F4194" t="s">
        <v>29</v>
      </c>
      <c r="G4194" t="s">
        <v>19</v>
      </c>
      <c r="H4194">
        <f>Cleaned_Data!K4194</f>
        <v>15.79</v>
      </c>
      <c r="I4194" t="str">
        <f t="shared" si="195"/>
        <v>YES</v>
      </c>
      <c r="J4194">
        <f>Cleaned_Data!J4194</f>
        <v>24</v>
      </c>
      <c r="K4194" t="str">
        <f t="shared" si="196"/>
        <v>2024-07</v>
      </c>
      <c r="L4194">
        <f t="shared" si="197"/>
        <v>0</v>
      </c>
    </row>
    <row r="4195" spans="1:12">
      <c r="A4195" t="s">
        <v>12161</v>
      </c>
      <c r="B4195" t="s">
        <v>12162</v>
      </c>
      <c r="C4195" t="s">
        <v>12163</v>
      </c>
      <c r="D4195" t="s">
        <v>23</v>
      </c>
      <c r="E4195" t="s">
        <v>24</v>
      </c>
      <c r="F4195" t="s">
        <v>60</v>
      </c>
      <c r="G4195" t="s">
        <v>31</v>
      </c>
      <c r="H4195">
        <f>Cleaned_Data!K4195</f>
        <v>18.72</v>
      </c>
      <c r="I4195" t="str">
        <f t="shared" si="195"/>
        <v>YES</v>
      </c>
      <c r="J4195">
        <f>Cleaned_Data!J4195</f>
        <v>24</v>
      </c>
      <c r="K4195" t="str">
        <f t="shared" si="196"/>
        <v>2024-03</v>
      </c>
      <c r="L4195">
        <f t="shared" si="197"/>
        <v>0</v>
      </c>
    </row>
    <row r="4196" spans="1:12">
      <c r="A4196" t="s">
        <v>12164</v>
      </c>
      <c r="B4196" t="s">
        <v>12165</v>
      </c>
      <c r="C4196" t="s">
        <v>12166</v>
      </c>
      <c r="D4196" t="s">
        <v>23</v>
      </c>
      <c r="E4196" t="s">
        <v>24</v>
      </c>
      <c r="F4196" t="s">
        <v>29</v>
      </c>
      <c r="G4196" t="s">
        <v>31</v>
      </c>
      <c r="H4196">
        <f>Cleaned_Data!K4196</f>
        <v>17.48</v>
      </c>
      <c r="I4196" t="str">
        <f t="shared" si="195"/>
        <v>YES</v>
      </c>
      <c r="J4196">
        <f>Cleaned_Data!J4196</f>
        <v>24</v>
      </c>
      <c r="K4196" t="str">
        <f t="shared" si="196"/>
        <v>2024-07</v>
      </c>
      <c r="L4196">
        <f t="shared" si="197"/>
        <v>0</v>
      </c>
    </row>
    <row r="4197" spans="1:12">
      <c r="A4197" t="s">
        <v>12167</v>
      </c>
      <c r="B4197" t="s">
        <v>12168</v>
      </c>
      <c r="C4197" t="s">
        <v>12169</v>
      </c>
      <c r="D4197" t="s">
        <v>35</v>
      </c>
      <c r="E4197" t="s">
        <v>24</v>
      </c>
      <c r="F4197" t="s">
        <v>41</v>
      </c>
      <c r="G4197" t="s">
        <v>19</v>
      </c>
      <c r="H4197">
        <f>Cleaned_Data!K4197</f>
        <v>27.46</v>
      </c>
      <c r="I4197" t="str">
        <f t="shared" si="195"/>
        <v>YES</v>
      </c>
      <c r="J4197">
        <f>Cleaned_Data!J4197</f>
        <v>48</v>
      </c>
      <c r="K4197" t="str">
        <f t="shared" si="196"/>
        <v>2024-07</v>
      </c>
      <c r="L4197">
        <f t="shared" si="197"/>
        <v>0</v>
      </c>
    </row>
    <row r="4198" spans="1:12">
      <c r="A4198" t="s">
        <v>12170</v>
      </c>
      <c r="B4198" t="s">
        <v>12171</v>
      </c>
      <c r="C4198" t="s">
        <v>12172</v>
      </c>
      <c r="D4198" t="s">
        <v>35</v>
      </c>
      <c r="E4198" t="s">
        <v>54</v>
      </c>
      <c r="F4198" t="s">
        <v>41</v>
      </c>
      <c r="G4198" t="s">
        <v>31</v>
      </c>
      <c r="H4198">
        <f>Cleaned_Data!K4198</f>
        <v>30.36</v>
      </c>
      <c r="I4198" t="str">
        <f t="shared" si="195"/>
        <v>YES</v>
      </c>
      <c r="J4198">
        <f>Cleaned_Data!J4198</f>
        <v>48</v>
      </c>
      <c r="K4198" t="str">
        <f t="shared" si="196"/>
        <v>2024-07</v>
      </c>
      <c r="L4198">
        <f t="shared" si="197"/>
        <v>0</v>
      </c>
    </row>
    <row r="4199" spans="1:12">
      <c r="A4199" t="s">
        <v>12173</v>
      </c>
      <c r="B4199" t="s">
        <v>12174</v>
      </c>
      <c r="C4199" t="s">
        <v>12175</v>
      </c>
      <c r="D4199" t="s">
        <v>35</v>
      </c>
      <c r="E4199" t="s">
        <v>16</v>
      </c>
      <c r="F4199" t="s">
        <v>60</v>
      </c>
      <c r="G4199" t="s">
        <v>31</v>
      </c>
      <c r="H4199">
        <f>Cleaned_Data!K4199</f>
        <v>60.33</v>
      </c>
      <c r="I4199" t="str">
        <f t="shared" si="195"/>
        <v>NO</v>
      </c>
      <c r="J4199">
        <f>Cleaned_Data!J4199</f>
        <v>48</v>
      </c>
      <c r="K4199" t="str">
        <f t="shared" si="196"/>
        <v>2024-05</v>
      </c>
      <c r="L4199">
        <f t="shared" si="197"/>
        <v>12.329999999999998</v>
      </c>
    </row>
    <row r="4200" spans="1:12">
      <c r="A4200" t="s">
        <v>12176</v>
      </c>
      <c r="B4200" t="s">
        <v>12177</v>
      </c>
      <c r="C4200" t="s">
        <v>12178</v>
      </c>
      <c r="D4200" t="s">
        <v>15</v>
      </c>
      <c r="E4200" t="s">
        <v>54</v>
      </c>
      <c r="F4200" t="s">
        <v>17</v>
      </c>
      <c r="G4200" t="s">
        <v>19</v>
      </c>
      <c r="H4200">
        <f>Cleaned_Data!K4200</f>
        <v>2.88</v>
      </c>
      <c r="I4200" t="str">
        <f t="shared" si="195"/>
        <v>YES</v>
      </c>
      <c r="J4200">
        <f>Cleaned_Data!J4200</f>
        <v>8</v>
      </c>
      <c r="K4200" t="str">
        <f t="shared" si="196"/>
        <v>2024-09</v>
      </c>
      <c r="L4200">
        <f t="shared" si="197"/>
        <v>0</v>
      </c>
    </row>
    <row r="4201" spans="1:12">
      <c r="A4201" t="s">
        <v>12179</v>
      </c>
      <c r="B4201" t="s">
        <v>12180</v>
      </c>
      <c r="C4201" t="s">
        <v>12181</v>
      </c>
      <c r="D4201" t="s">
        <v>23</v>
      </c>
      <c r="E4201" t="s">
        <v>28</v>
      </c>
      <c r="F4201" t="s">
        <v>60</v>
      </c>
      <c r="G4201" t="s">
        <v>19</v>
      </c>
      <c r="H4201">
        <f>Cleaned_Data!K4201</f>
        <v>35.869999999999997</v>
      </c>
      <c r="I4201" t="str">
        <f t="shared" si="195"/>
        <v>NO</v>
      </c>
      <c r="J4201">
        <f>Cleaned_Data!J4201</f>
        <v>24</v>
      </c>
      <c r="K4201" t="str">
        <f t="shared" si="196"/>
        <v>2024-04</v>
      </c>
      <c r="L4201">
        <f t="shared" si="197"/>
        <v>11.869999999999997</v>
      </c>
    </row>
    <row r="4202" spans="1:12">
      <c r="A4202" t="s">
        <v>12182</v>
      </c>
      <c r="B4202" t="s">
        <v>12183</v>
      </c>
      <c r="C4202" t="s">
        <v>12184</v>
      </c>
      <c r="D4202" t="s">
        <v>35</v>
      </c>
      <c r="E4202" t="s">
        <v>24</v>
      </c>
      <c r="F4202" t="s">
        <v>36</v>
      </c>
      <c r="G4202" t="s">
        <v>19</v>
      </c>
      <c r="H4202">
        <f>Cleaned_Data!K4202</f>
        <v>36.119999999999997</v>
      </c>
      <c r="I4202" t="str">
        <f t="shared" si="195"/>
        <v>YES</v>
      </c>
      <c r="J4202">
        <f>Cleaned_Data!J4202</f>
        <v>48</v>
      </c>
      <c r="K4202" t="str">
        <f t="shared" si="196"/>
        <v>2024-06</v>
      </c>
      <c r="L4202">
        <f t="shared" si="197"/>
        <v>0</v>
      </c>
    </row>
    <row r="4203" spans="1:12">
      <c r="A4203" t="s">
        <v>12185</v>
      </c>
      <c r="B4203" t="s">
        <v>12186</v>
      </c>
      <c r="C4203" t="s">
        <v>12187</v>
      </c>
      <c r="D4203" t="s">
        <v>23</v>
      </c>
      <c r="E4203" t="s">
        <v>24</v>
      </c>
      <c r="F4203" t="s">
        <v>29</v>
      </c>
      <c r="G4203" t="s">
        <v>31</v>
      </c>
      <c r="H4203">
        <f>Cleaned_Data!K4203</f>
        <v>9.27</v>
      </c>
      <c r="I4203" t="str">
        <f t="shared" si="195"/>
        <v>YES</v>
      </c>
      <c r="J4203">
        <f>Cleaned_Data!J4203</f>
        <v>24</v>
      </c>
      <c r="K4203" t="str">
        <f t="shared" si="196"/>
        <v>2024-08</v>
      </c>
      <c r="L4203">
        <f t="shared" si="197"/>
        <v>0</v>
      </c>
    </row>
    <row r="4204" spans="1:12">
      <c r="A4204" t="s">
        <v>12188</v>
      </c>
      <c r="B4204" t="s">
        <v>12189</v>
      </c>
      <c r="C4204" t="s">
        <v>12190</v>
      </c>
      <c r="D4204" t="s">
        <v>15</v>
      </c>
      <c r="E4204" t="s">
        <v>59</v>
      </c>
      <c r="F4204" t="s">
        <v>36</v>
      </c>
      <c r="G4204" t="s">
        <v>31</v>
      </c>
      <c r="H4204">
        <f>Cleaned_Data!K4204</f>
        <v>19.45</v>
      </c>
      <c r="I4204" t="str">
        <f t="shared" si="195"/>
        <v>NO</v>
      </c>
      <c r="J4204">
        <f>Cleaned_Data!J4204</f>
        <v>8</v>
      </c>
      <c r="K4204" t="str">
        <f t="shared" si="196"/>
        <v>2024-05</v>
      </c>
      <c r="L4204">
        <f t="shared" si="197"/>
        <v>11.45</v>
      </c>
    </row>
    <row r="4205" spans="1:12">
      <c r="A4205" t="s">
        <v>12191</v>
      </c>
      <c r="B4205" t="s">
        <v>12192</v>
      </c>
      <c r="D4205" t="s">
        <v>23</v>
      </c>
      <c r="E4205" t="s">
        <v>59</v>
      </c>
      <c r="F4205" t="s">
        <v>60</v>
      </c>
      <c r="G4205" t="s">
        <v>46</v>
      </c>
      <c r="H4205">
        <f>Cleaned_Data!K4205</f>
        <v>0</v>
      </c>
      <c r="I4205" t="str">
        <f t="shared" si="195"/>
        <v/>
      </c>
      <c r="J4205">
        <f>Cleaned_Data!J4205</f>
        <v>24</v>
      </c>
      <c r="K4205" t="str">
        <f t="shared" si="196"/>
        <v>2024-06</v>
      </c>
      <c r="L4205">
        <f t="shared" si="197"/>
        <v>0</v>
      </c>
    </row>
    <row r="4206" spans="1:12">
      <c r="A4206" t="s">
        <v>12193</v>
      </c>
      <c r="B4206" t="s">
        <v>12194</v>
      </c>
      <c r="C4206" t="s">
        <v>12195</v>
      </c>
      <c r="D4206" t="s">
        <v>35</v>
      </c>
      <c r="E4206" t="s">
        <v>24</v>
      </c>
      <c r="F4206" t="s">
        <v>17</v>
      </c>
      <c r="G4206" t="s">
        <v>31</v>
      </c>
      <c r="H4206">
        <f>Cleaned_Data!K4206</f>
        <v>6.38</v>
      </c>
      <c r="I4206" t="str">
        <f t="shared" si="195"/>
        <v>YES</v>
      </c>
      <c r="J4206">
        <f>Cleaned_Data!J4206</f>
        <v>48</v>
      </c>
      <c r="K4206" t="str">
        <f t="shared" si="196"/>
        <v>2024-08</v>
      </c>
      <c r="L4206">
        <f t="shared" si="197"/>
        <v>0</v>
      </c>
    </row>
    <row r="4207" spans="1:12">
      <c r="A4207" t="s">
        <v>12196</v>
      </c>
      <c r="B4207" t="s">
        <v>12197</v>
      </c>
      <c r="C4207" t="s">
        <v>12198</v>
      </c>
      <c r="D4207" t="s">
        <v>23</v>
      </c>
      <c r="E4207" t="s">
        <v>59</v>
      </c>
      <c r="F4207" t="s">
        <v>36</v>
      </c>
      <c r="G4207" t="s">
        <v>19</v>
      </c>
      <c r="H4207">
        <f>Cleaned_Data!K4207</f>
        <v>3.79</v>
      </c>
      <c r="I4207" t="str">
        <f t="shared" si="195"/>
        <v>YES</v>
      </c>
      <c r="J4207">
        <f>Cleaned_Data!J4207</f>
        <v>24</v>
      </c>
      <c r="K4207" t="str">
        <f t="shared" si="196"/>
        <v>2024-09</v>
      </c>
      <c r="L4207">
        <f t="shared" si="197"/>
        <v>0</v>
      </c>
    </row>
    <row r="4208" spans="1:12">
      <c r="A4208" t="s">
        <v>12199</v>
      </c>
      <c r="B4208" t="s">
        <v>12200</v>
      </c>
      <c r="C4208" t="s">
        <v>12201</v>
      </c>
      <c r="D4208" t="s">
        <v>15</v>
      </c>
      <c r="E4208" t="s">
        <v>24</v>
      </c>
      <c r="F4208" t="s">
        <v>41</v>
      </c>
      <c r="G4208" t="s">
        <v>31</v>
      </c>
      <c r="H4208">
        <f>Cleaned_Data!K4208</f>
        <v>0.91</v>
      </c>
      <c r="I4208" t="str">
        <f t="shared" si="195"/>
        <v>YES</v>
      </c>
      <c r="J4208">
        <f>Cleaned_Data!J4208</f>
        <v>8</v>
      </c>
      <c r="K4208" t="str">
        <f t="shared" si="196"/>
        <v>2024-03</v>
      </c>
      <c r="L4208">
        <f t="shared" si="197"/>
        <v>0</v>
      </c>
    </row>
    <row r="4209" spans="1:12">
      <c r="A4209" t="s">
        <v>12202</v>
      </c>
      <c r="B4209" t="s">
        <v>12203</v>
      </c>
      <c r="C4209" t="s">
        <v>12204</v>
      </c>
      <c r="D4209" t="s">
        <v>35</v>
      </c>
      <c r="E4209" t="s">
        <v>24</v>
      </c>
      <c r="F4209" t="s">
        <v>29</v>
      </c>
      <c r="G4209" t="s">
        <v>19</v>
      </c>
      <c r="H4209">
        <f>Cleaned_Data!K4209</f>
        <v>26.09</v>
      </c>
      <c r="I4209" t="str">
        <f t="shared" si="195"/>
        <v>YES</v>
      </c>
      <c r="J4209">
        <f>Cleaned_Data!J4209</f>
        <v>48</v>
      </c>
      <c r="K4209" t="str">
        <f t="shared" si="196"/>
        <v>2024-02</v>
      </c>
      <c r="L4209">
        <f t="shared" si="197"/>
        <v>0</v>
      </c>
    </row>
    <row r="4210" spans="1:12">
      <c r="A4210" t="s">
        <v>12205</v>
      </c>
      <c r="B4210" t="s">
        <v>12206</v>
      </c>
      <c r="C4210" t="s">
        <v>12207</v>
      </c>
      <c r="D4210" t="s">
        <v>15</v>
      </c>
      <c r="E4210" t="s">
        <v>28</v>
      </c>
      <c r="F4210" t="s">
        <v>29</v>
      </c>
      <c r="G4210" t="s">
        <v>31</v>
      </c>
      <c r="H4210">
        <f>Cleaned_Data!K4210</f>
        <v>9.32</v>
      </c>
      <c r="I4210" t="str">
        <f t="shared" si="195"/>
        <v>NO</v>
      </c>
      <c r="J4210">
        <f>Cleaned_Data!J4210</f>
        <v>8</v>
      </c>
      <c r="K4210" t="str">
        <f t="shared" si="196"/>
        <v>2024-04</v>
      </c>
      <c r="L4210">
        <f t="shared" si="197"/>
        <v>1.3200000000000003</v>
      </c>
    </row>
    <row r="4211" spans="1:12">
      <c r="A4211" t="s">
        <v>12208</v>
      </c>
      <c r="B4211" t="s">
        <v>12209</v>
      </c>
      <c r="C4211" t="s">
        <v>12210</v>
      </c>
      <c r="D4211" t="s">
        <v>23</v>
      </c>
      <c r="E4211" t="s">
        <v>59</v>
      </c>
      <c r="F4211" t="s">
        <v>36</v>
      </c>
      <c r="G4211" t="s">
        <v>19</v>
      </c>
      <c r="H4211">
        <f>Cleaned_Data!K4211</f>
        <v>2.68</v>
      </c>
      <c r="I4211" t="str">
        <f t="shared" si="195"/>
        <v>YES</v>
      </c>
      <c r="J4211">
        <f>Cleaned_Data!J4211</f>
        <v>24</v>
      </c>
      <c r="K4211" t="str">
        <f t="shared" si="196"/>
        <v>2024-08</v>
      </c>
      <c r="L4211">
        <f t="shared" si="197"/>
        <v>0</v>
      </c>
    </row>
    <row r="4212" spans="1:12">
      <c r="A4212" t="s">
        <v>12211</v>
      </c>
      <c r="B4212" t="s">
        <v>12212</v>
      </c>
      <c r="C4212" t="s">
        <v>12213</v>
      </c>
      <c r="D4212" t="s">
        <v>23</v>
      </c>
      <c r="E4212" t="s">
        <v>24</v>
      </c>
      <c r="F4212" t="s">
        <v>29</v>
      </c>
      <c r="G4212" t="s">
        <v>19</v>
      </c>
      <c r="H4212">
        <f>Cleaned_Data!K4212</f>
        <v>2.99</v>
      </c>
      <c r="I4212" t="str">
        <f t="shared" si="195"/>
        <v>YES</v>
      </c>
      <c r="J4212">
        <f>Cleaned_Data!J4212</f>
        <v>24</v>
      </c>
      <c r="K4212" t="str">
        <f t="shared" si="196"/>
        <v>2024-05</v>
      </c>
      <c r="L4212">
        <f t="shared" si="197"/>
        <v>0</v>
      </c>
    </row>
    <row r="4213" spans="1:12">
      <c r="A4213" t="s">
        <v>12214</v>
      </c>
      <c r="B4213" t="s">
        <v>12215</v>
      </c>
      <c r="D4213" t="s">
        <v>35</v>
      </c>
      <c r="E4213" t="s">
        <v>54</v>
      </c>
      <c r="F4213" t="s">
        <v>60</v>
      </c>
      <c r="G4213" t="s">
        <v>46</v>
      </c>
      <c r="H4213">
        <f>Cleaned_Data!K4213</f>
        <v>0</v>
      </c>
      <c r="I4213" t="str">
        <f t="shared" si="195"/>
        <v/>
      </c>
      <c r="J4213">
        <f>Cleaned_Data!J4213</f>
        <v>48</v>
      </c>
      <c r="K4213" t="str">
        <f t="shared" si="196"/>
        <v>2024-04</v>
      </c>
      <c r="L4213">
        <f t="shared" si="197"/>
        <v>0</v>
      </c>
    </row>
    <row r="4214" spans="1:12">
      <c r="A4214" t="s">
        <v>12216</v>
      </c>
      <c r="B4214" t="s">
        <v>12217</v>
      </c>
      <c r="C4214" t="s">
        <v>12218</v>
      </c>
      <c r="D4214" t="s">
        <v>23</v>
      </c>
      <c r="E4214" t="s">
        <v>16</v>
      </c>
      <c r="F4214" t="s">
        <v>60</v>
      </c>
      <c r="G4214" t="s">
        <v>19</v>
      </c>
      <c r="H4214">
        <f>Cleaned_Data!K4214</f>
        <v>18.23</v>
      </c>
      <c r="I4214" t="str">
        <f t="shared" si="195"/>
        <v>YES</v>
      </c>
      <c r="J4214">
        <f>Cleaned_Data!J4214</f>
        <v>24</v>
      </c>
      <c r="K4214" t="str">
        <f t="shared" si="196"/>
        <v>2024-12</v>
      </c>
      <c r="L4214">
        <f t="shared" si="197"/>
        <v>0</v>
      </c>
    </row>
    <row r="4215" spans="1:12">
      <c r="A4215" t="s">
        <v>12219</v>
      </c>
      <c r="B4215" t="s">
        <v>12220</v>
      </c>
      <c r="C4215" t="s">
        <v>12221</v>
      </c>
      <c r="D4215" t="s">
        <v>23</v>
      </c>
      <c r="E4215" t="s">
        <v>24</v>
      </c>
      <c r="F4215" t="s">
        <v>41</v>
      </c>
      <c r="G4215" t="s">
        <v>31</v>
      </c>
      <c r="H4215">
        <f>Cleaned_Data!K4215</f>
        <v>48.61</v>
      </c>
      <c r="I4215" t="str">
        <f t="shared" si="195"/>
        <v>NO</v>
      </c>
      <c r="J4215">
        <f>Cleaned_Data!J4215</f>
        <v>24</v>
      </c>
      <c r="K4215" t="str">
        <f t="shared" si="196"/>
        <v>2024-03</v>
      </c>
      <c r="L4215">
        <f t="shared" si="197"/>
        <v>24.61</v>
      </c>
    </row>
    <row r="4216" spans="1:12">
      <c r="A4216" t="s">
        <v>12222</v>
      </c>
      <c r="B4216" t="s">
        <v>12223</v>
      </c>
      <c r="C4216" t="s">
        <v>12224</v>
      </c>
      <c r="D4216" t="s">
        <v>15</v>
      </c>
      <c r="E4216" t="s">
        <v>16</v>
      </c>
      <c r="F4216" t="s">
        <v>17</v>
      </c>
      <c r="G4216" t="s">
        <v>19</v>
      </c>
      <c r="H4216">
        <f>Cleaned_Data!K4216</f>
        <v>4.3899999999999997</v>
      </c>
      <c r="I4216" t="str">
        <f t="shared" si="195"/>
        <v>YES</v>
      </c>
      <c r="J4216">
        <f>Cleaned_Data!J4216</f>
        <v>8</v>
      </c>
      <c r="K4216" t="str">
        <f t="shared" si="196"/>
        <v>2024-02</v>
      </c>
      <c r="L4216">
        <f t="shared" si="197"/>
        <v>0</v>
      </c>
    </row>
    <row r="4217" spans="1:12">
      <c r="A4217" t="s">
        <v>12225</v>
      </c>
      <c r="B4217" t="s">
        <v>12226</v>
      </c>
      <c r="C4217" t="s">
        <v>12227</v>
      </c>
      <c r="D4217" t="s">
        <v>23</v>
      </c>
      <c r="E4217" t="s">
        <v>24</v>
      </c>
      <c r="F4217" t="s">
        <v>60</v>
      </c>
      <c r="G4217" t="s">
        <v>31</v>
      </c>
      <c r="H4217">
        <f>Cleaned_Data!K4217</f>
        <v>5.17</v>
      </c>
      <c r="I4217" t="str">
        <f t="shared" si="195"/>
        <v>YES</v>
      </c>
      <c r="J4217">
        <f>Cleaned_Data!J4217</f>
        <v>24</v>
      </c>
      <c r="K4217" t="str">
        <f t="shared" si="196"/>
        <v>2024-12</v>
      </c>
      <c r="L4217">
        <f t="shared" si="197"/>
        <v>0</v>
      </c>
    </row>
    <row r="4218" spans="1:12">
      <c r="A4218" t="s">
        <v>12228</v>
      </c>
      <c r="B4218" t="s">
        <v>12229</v>
      </c>
      <c r="C4218" t="s">
        <v>12230</v>
      </c>
      <c r="D4218" t="s">
        <v>35</v>
      </c>
      <c r="E4218" t="s">
        <v>54</v>
      </c>
      <c r="F4218" t="s">
        <v>29</v>
      </c>
      <c r="G4218" t="s">
        <v>19</v>
      </c>
      <c r="H4218">
        <f>Cleaned_Data!K4218</f>
        <v>23.72</v>
      </c>
      <c r="I4218" t="str">
        <f t="shared" si="195"/>
        <v>YES</v>
      </c>
      <c r="J4218">
        <f>Cleaned_Data!J4218</f>
        <v>48</v>
      </c>
      <c r="K4218" t="str">
        <f t="shared" si="196"/>
        <v>2024-04</v>
      </c>
      <c r="L4218">
        <f t="shared" si="197"/>
        <v>0</v>
      </c>
    </row>
    <row r="4219" spans="1:12">
      <c r="A4219" t="s">
        <v>12231</v>
      </c>
      <c r="B4219" t="s">
        <v>12232</v>
      </c>
      <c r="C4219" t="s">
        <v>12233</v>
      </c>
      <c r="D4219" t="s">
        <v>35</v>
      </c>
      <c r="E4219" t="s">
        <v>24</v>
      </c>
      <c r="F4219" t="s">
        <v>17</v>
      </c>
      <c r="G4219" t="s">
        <v>19</v>
      </c>
      <c r="H4219">
        <f>Cleaned_Data!K4219</f>
        <v>15.85</v>
      </c>
      <c r="I4219" t="str">
        <f t="shared" si="195"/>
        <v>YES</v>
      </c>
      <c r="J4219">
        <f>Cleaned_Data!J4219</f>
        <v>48</v>
      </c>
      <c r="K4219" t="str">
        <f t="shared" si="196"/>
        <v>2024-12</v>
      </c>
      <c r="L4219">
        <f t="shared" si="197"/>
        <v>0</v>
      </c>
    </row>
    <row r="4220" spans="1:12">
      <c r="A4220" t="s">
        <v>12234</v>
      </c>
      <c r="B4220" t="s">
        <v>12235</v>
      </c>
      <c r="C4220" t="s">
        <v>12236</v>
      </c>
      <c r="D4220" t="s">
        <v>23</v>
      </c>
      <c r="E4220" t="s">
        <v>28</v>
      </c>
      <c r="F4220" t="s">
        <v>41</v>
      </c>
      <c r="G4220" t="s">
        <v>19</v>
      </c>
      <c r="H4220">
        <f>Cleaned_Data!K4220</f>
        <v>22.14</v>
      </c>
      <c r="I4220" t="str">
        <f t="shared" si="195"/>
        <v>YES</v>
      </c>
      <c r="J4220">
        <f>Cleaned_Data!J4220</f>
        <v>24</v>
      </c>
      <c r="K4220" t="str">
        <f t="shared" si="196"/>
        <v>2024-03</v>
      </c>
      <c r="L4220">
        <f t="shared" si="197"/>
        <v>0</v>
      </c>
    </row>
    <row r="4221" spans="1:12">
      <c r="A4221" t="s">
        <v>12237</v>
      </c>
      <c r="B4221" t="s">
        <v>12238</v>
      </c>
      <c r="C4221" t="s">
        <v>12239</v>
      </c>
      <c r="D4221" t="s">
        <v>23</v>
      </c>
      <c r="E4221" t="s">
        <v>28</v>
      </c>
      <c r="F4221" t="s">
        <v>17</v>
      </c>
      <c r="G4221" t="s">
        <v>19</v>
      </c>
      <c r="H4221">
        <f>Cleaned_Data!K4221</f>
        <v>37.270000000000003</v>
      </c>
      <c r="I4221" t="str">
        <f t="shared" si="195"/>
        <v>NO</v>
      </c>
      <c r="J4221">
        <f>Cleaned_Data!J4221</f>
        <v>24</v>
      </c>
      <c r="K4221" t="str">
        <f t="shared" si="196"/>
        <v>2024-03</v>
      </c>
      <c r="L4221">
        <f t="shared" si="197"/>
        <v>13.270000000000003</v>
      </c>
    </row>
    <row r="4222" spans="1:12">
      <c r="A4222" t="s">
        <v>12240</v>
      </c>
      <c r="B4222" t="s">
        <v>12241</v>
      </c>
      <c r="C4222" t="s">
        <v>12242</v>
      </c>
      <c r="D4222" t="s">
        <v>23</v>
      </c>
      <c r="E4222" t="s">
        <v>59</v>
      </c>
      <c r="F4222" t="s">
        <v>36</v>
      </c>
      <c r="G4222" t="s">
        <v>19</v>
      </c>
      <c r="H4222">
        <f>Cleaned_Data!K4222</f>
        <v>12.37</v>
      </c>
      <c r="I4222" t="str">
        <f t="shared" si="195"/>
        <v>YES</v>
      </c>
      <c r="J4222">
        <f>Cleaned_Data!J4222</f>
        <v>24</v>
      </c>
      <c r="K4222" t="str">
        <f t="shared" si="196"/>
        <v>2024-02</v>
      </c>
      <c r="L4222">
        <f t="shared" si="197"/>
        <v>0</v>
      </c>
    </row>
    <row r="4223" spans="1:12">
      <c r="A4223" t="s">
        <v>12243</v>
      </c>
      <c r="B4223" t="s">
        <v>12244</v>
      </c>
      <c r="C4223" t="s">
        <v>12245</v>
      </c>
      <c r="D4223" t="s">
        <v>23</v>
      </c>
      <c r="E4223" t="s">
        <v>28</v>
      </c>
      <c r="F4223" t="s">
        <v>36</v>
      </c>
      <c r="G4223" t="s">
        <v>31</v>
      </c>
      <c r="H4223">
        <f>Cleaned_Data!K4223</f>
        <v>22.35</v>
      </c>
      <c r="I4223" t="str">
        <f t="shared" si="195"/>
        <v>YES</v>
      </c>
      <c r="J4223">
        <f>Cleaned_Data!J4223</f>
        <v>24</v>
      </c>
      <c r="K4223" t="str">
        <f t="shared" si="196"/>
        <v>2024-06</v>
      </c>
      <c r="L4223">
        <f t="shared" si="197"/>
        <v>0</v>
      </c>
    </row>
    <row r="4224" spans="1:12">
      <c r="A4224" t="s">
        <v>12246</v>
      </c>
      <c r="B4224" t="s">
        <v>12247</v>
      </c>
      <c r="D4224" t="s">
        <v>23</v>
      </c>
      <c r="E4224" t="s">
        <v>28</v>
      </c>
      <c r="F4224" t="s">
        <v>41</v>
      </c>
      <c r="G4224" t="s">
        <v>46</v>
      </c>
      <c r="H4224">
        <f>Cleaned_Data!K4224</f>
        <v>0</v>
      </c>
      <c r="I4224" t="str">
        <f t="shared" si="195"/>
        <v/>
      </c>
      <c r="J4224">
        <f>Cleaned_Data!J4224</f>
        <v>24</v>
      </c>
      <c r="K4224" t="str">
        <f t="shared" si="196"/>
        <v>2024-03</v>
      </c>
      <c r="L4224">
        <f t="shared" si="197"/>
        <v>0</v>
      </c>
    </row>
    <row r="4225" spans="1:12">
      <c r="A4225" t="s">
        <v>12248</v>
      </c>
      <c r="B4225" t="s">
        <v>12249</v>
      </c>
      <c r="C4225" t="s">
        <v>12250</v>
      </c>
      <c r="D4225" t="s">
        <v>23</v>
      </c>
      <c r="E4225" t="s">
        <v>28</v>
      </c>
      <c r="F4225" t="s">
        <v>17</v>
      </c>
      <c r="G4225" t="s">
        <v>19</v>
      </c>
      <c r="H4225">
        <f>Cleaned_Data!K4225</f>
        <v>18.21</v>
      </c>
      <c r="I4225" t="str">
        <f t="shared" si="195"/>
        <v>YES</v>
      </c>
      <c r="J4225">
        <f>Cleaned_Data!J4225</f>
        <v>24</v>
      </c>
      <c r="K4225" t="str">
        <f t="shared" si="196"/>
        <v>2024-04</v>
      </c>
      <c r="L4225">
        <f t="shared" si="197"/>
        <v>0</v>
      </c>
    </row>
    <row r="4226" spans="1:12">
      <c r="A4226" t="s">
        <v>12251</v>
      </c>
      <c r="B4226" t="s">
        <v>12252</v>
      </c>
      <c r="C4226" t="s">
        <v>12253</v>
      </c>
      <c r="D4226" t="s">
        <v>23</v>
      </c>
      <c r="E4226" t="s">
        <v>59</v>
      </c>
      <c r="F4226" t="s">
        <v>29</v>
      </c>
      <c r="G4226" t="s">
        <v>31</v>
      </c>
      <c r="H4226">
        <f>Cleaned_Data!K4226</f>
        <v>14.87</v>
      </c>
      <c r="I4226" t="str">
        <f t="shared" ref="I4226:I4289" si="198">IF(OR(G4226="Resolved", G4226="Closed"), IF(AND(H4226&lt;&gt;"", H4226&lt;=J4226), "YES", "NO"), "")</f>
        <v>YES</v>
      </c>
      <c r="J4226">
        <f>Cleaned_Data!J4226</f>
        <v>24</v>
      </c>
      <c r="K4226" t="str">
        <f t="shared" ref="K4226:K4289" si="199">LEFT(B4226, 7)</f>
        <v>2024-11</v>
      </c>
      <c r="L4226">
        <f t="shared" ref="L4226:L4289" si="200">IF(I4226="NO", H4226-J4226, 0)</f>
        <v>0</v>
      </c>
    </row>
    <row r="4227" spans="1:12">
      <c r="A4227" t="s">
        <v>12254</v>
      </c>
      <c r="B4227" t="s">
        <v>12255</v>
      </c>
      <c r="C4227" t="s">
        <v>12256</v>
      </c>
      <c r="D4227" t="s">
        <v>23</v>
      </c>
      <c r="E4227" t="s">
        <v>16</v>
      </c>
      <c r="F4227" t="s">
        <v>60</v>
      </c>
      <c r="G4227" t="s">
        <v>31</v>
      </c>
      <c r="H4227">
        <f>Cleaned_Data!K4227</f>
        <v>6.68</v>
      </c>
      <c r="I4227" t="str">
        <f t="shared" si="198"/>
        <v>YES</v>
      </c>
      <c r="J4227">
        <f>Cleaned_Data!J4227</f>
        <v>24</v>
      </c>
      <c r="K4227" t="str">
        <f t="shared" si="199"/>
        <v>2024-02</v>
      </c>
      <c r="L4227">
        <f t="shared" si="200"/>
        <v>0</v>
      </c>
    </row>
    <row r="4228" spans="1:12">
      <c r="A4228" t="s">
        <v>12257</v>
      </c>
      <c r="B4228" t="s">
        <v>12258</v>
      </c>
      <c r="C4228" t="s">
        <v>12259</v>
      </c>
      <c r="D4228" t="s">
        <v>15</v>
      </c>
      <c r="E4228" t="s">
        <v>59</v>
      </c>
      <c r="F4228" t="s">
        <v>41</v>
      </c>
      <c r="G4228" t="s">
        <v>19</v>
      </c>
      <c r="H4228">
        <f>Cleaned_Data!K4228</f>
        <v>3.31</v>
      </c>
      <c r="I4228" t="str">
        <f t="shared" si="198"/>
        <v>YES</v>
      </c>
      <c r="J4228">
        <f>Cleaned_Data!J4228</f>
        <v>8</v>
      </c>
      <c r="K4228" t="str">
        <f t="shared" si="199"/>
        <v>2024-12</v>
      </c>
      <c r="L4228">
        <f t="shared" si="200"/>
        <v>0</v>
      </c>
    </row>
    <row r="4229" spans="1:12">
      <c r="A4229" t="s">
        <v>12260</v>
      </c>
      <c r="B4229" t="s">
        <v>12261</v>
      </c>
      <c r="C4229" t="s">
        <v>12262</v>
      </c>
      <c r="D4229" t="s">
        <v>35</v>
      </c>
      <c r="E4229" t="s">
        <v>54</v>
      </c>
      <c r="F4229" t="s">
        <v>29</v>
      </c>
      <c r="G4229" t="s">
        <v>19</v>
      </c>
      <c r="H4229">
        <f>Cleaned_Data!K4229</f>
        <v>12.75</v>
      </c>
      <c r="I4229" t="str">
        <f t="shared" si="198"/>
        <v>YES</v>
      </c>
      <c r="J4229">
        <f>Cleaned_Data!J4229</f>
        <v>48</v>
      </c>
      <c r="K4229" t="str">
        <f t="shared" si="199"/>
        <v>2024-04</v>
      </c>
      <c r="L4229">
        <f t="shared" si="200"/>
        <v>0</v>
      </c>
    </row>
    <row r="4230" spans="1:12">
      <c r="A4230" t="s">
        <v>12263</v>
      </c>
      <c r="B4230" t="s">
        <v>12264</v>
      </c>
      <c r="C4230" t="s">
        <v>12265</v>
      </c>
      <c r="D4230" t="s">
        <v>15</v>
      </c>
      <c r="E4230" t="s">
        <v>28</v>
      </c>
      <c r="F4230" t="s">
        <v>36</v>
      </c>
      <c r="G4230" t="s">
        <v>19</v>
      </c>
      <c r="H4230">
        <f>Cleaned_Data!K4230</f>
        <v>7.14</v>
      </c>
      <c r="I4230" t="str">
        <f t="shared" si="198"/>
        <v>YES</v>
      </c>
      <c r="J4230">
        <f>Cleaned_Data!J4230</f>
        <v>8</v>
      </c>
      <c r="K4230" t="str">
        <f t="shared" si="199"/>
        <v>2024-08</v>
      </c>
      <c r="L4230">
        <f t="shared" si="200"/>
        <v>0</v>
      </c>
    </row>
    <row r="4231" spans="1:12">
      <c r="A4231" t="s">
        <v>12266</v>
      </c>
      <c r="B4231" t="s">
        <v>12267</v>
      </c>
      <c r="D4231" t="s">
        <v>15</v>
      </c>
      <c r="E4231" t="s">
        <v>28</v>
      </c>
      <c r="F4231" t="s">
        <v>29</v>
      </c>
      <c r="G4231" t="s">
        <v>63</v>
      </c>
      <c r="H4231">
        <f>Cleaned_Data!K4231</f>
        <v>0</v>
      </c>
      <c r="I4231" t="str">
        <f t="shared" si="198"/>
        <v/>
      </c>
      <c r="J4231">
        <f>Cleaned_Data!J4231</f>
        <v>8</v>
      </c>
      <c r="K4231" t="str">
        <f t="shared" si="199"/>
        <v>2024-09</v>
      </c>
      <c r="L4231">
        <f t="shared" si="200"/>
        <v>0</v>
      </c>
    </row>
    <row r="4232" spans="1:12">
      <c r="A4232" t="s">
        <v>12268</v>
      </c>
      <c r="B4232" t="s">
        <v>12269</v>
      </c>
      <c r="C4232" t="s">
        <v>12270</v>
      </c>
      <c r="D4232" t="s">
        <v>15</v>
      </c>
      <c r="E4232" t="s">
        <v>16</v>
      </c>
      <c r="F4232" t="s">
        <v>60</v>
      </c>
      <c r="G4232" t="s">
        <v>31</v>
      </c>
      <c r="H4232">
        <f>Cleaned_Data!K4232</f>
        <v>18.239999999999998</v>
      </c>
      <c r="I4232" t="str">
        <f t="shared" si="198"/>
        <v>NO</v>
      </c>
      <c r="J4232">
        <f>Cleaned_Data!J4232</f>
        <v>8</v>
      </c>
      <c r="K4232" t="str">
        <f t="shared" si="199"/>
        <v>2024-07</v>
      </c>
      <c r="L4232">
        <f t="shared" si="200"/>
        <v>10.239999999999998</v>
      </c>
    </row>
    <row r="4233" spans="1:12">
      <c r="A4233" t="s">
        <v>12271</v>
      </c>
      <c r="B4233" t="s">
        <v>12272</v>
      </c>
      <c r="C4233" t="s">
        <v>12273</v>
      </c>
      <c r="D4233" t="s">
        <v>23</v>
      </c>
      <c r="E4233" t="s">
        <v>16</v>
      </c>
      <c r="F4233" t="s">
        <v>29</v>
      </c>
      <c r="G4233" t="s">
        <v>19</v>
      </c>
      <c r="H4233">
        <f>Cleaned_Data!K4233</f>
        <v>16.7</v>
      </c>
      <c r="I4233" t="str">
        <f t="shared" si="198"/>
        <v>YES</v>
      </c>
      <c r="J4233">
        <f>Cleaned_Data!J4233</f>
        <v>24</v>
      </c>
      <c r="K4233" t="str">
        <f t="shared" si="199"/>
        <v>2024-03</v>
      </c>
      <c r="L4233">
        <f t="shared" si="200"/>
        <v>0</v>
      </c>
    </row>
    <row r="4234" spans="1:12">
      <c r="A4234" t="s">
        <v>12274</v>
      </c>
      <c r="B4234" t="s">
        <v>12275</v>
      </c>
      <c r="C4234" t="s">
        <v>12276</v>
      </c>
      <c r="D4234" t="s">
        <v>15</v>
      </c>
      <c r="E4234" t="s">
        <v>16</v>
      </c>
      <c r="F4234" t="s">
        <v>29</v>
      </c>
      <c r="G4234" t="s">
        <v>19</v>
      </c>
      <c r="H4234">
        <f>Cleaned_Data!K4234</f>
        <v>2.4700000000000002</v>
      </c>
      <c r="I4234" t="str">
        <f t="shared" si="198"/>
        <v>YES</v>
      </c>
      <c r="J4234">
        <f>Cleaned_Data!J4234</f>
        <v>8</v>
      </c>
      <c r="K4234" t="str">
        <f t="shared" si="199"/>
        <v>2024-07</v>
      </c>
      <c r="L4234">
        <f t="shared" si="200"/>
        <v>0</v>
      </c>
    </row>
    <row r="4235" spans="1:12">
      <c r="A4235" t="s">
        <v>12277</v>
      </c>
      <c r="B4235" t="s">
        <v>12278</v>
      </c>
      <c r="C4235" t="s">
        <v>12279</v>
      </c>
      <c r="D4235" t="s">
        <v>35</v>
      </c>
      <c r="E4235" t="s">
        <v>24</v>
      </c>
      <c r="F4235" t="s">
        <v>36</v>
      </c>
      <c r="G4235" t="s">
        <v>31</v>
      </c>
      <c r="H4235">
        <f>Cleaned_Data!K4235</f>
        <v>136.88</v>
      </c>
      <c r="I4235" t="str">
        <f t="shared" si="198"/>
        <v>NO</v>
      </c>
      <c r="J4235">
        <f>Cleaned_Data!J4235</f>
        <v>48</v>
      </c>
      <c r="K4235" t="str">
        <f t="shared" si="199"/>
        <v>2024-04</v>
      </c>
      <c r="L4235">
        <f t="shared" si="200"/>
        <v>88.88</v>
      </c>
    </row>
    <row r="4236" spans="1:12">
      <c r="A4236" t="s">
        <v>12280</v>
      </c>
      <c r="B4236" t="s">
        <v>12281</v>
      </c>
      <c r="C4236" t="s">
        <v>12282</v>
      </c>
      <c r="D4236" t="s">
        <v>23</v>
      </c>
      <c r="E4236" t="s">
        <v>59</v>
      </c>
      <c r="F4236" t="s">
        <v>41</v>
      </c>
      <c r="G4236" t="s">
        <v>31</v>
      </c>
      <c r="H4236">
        <f>Cleaned_Data!K4236</f>
        <v>12.54</v>
      </c>
      <c r="I4236" t="str">
        <f t="shared" si="198"/>
        <v>YES</v>
      </c>
      <c r="J4236">
        <f>Cleaned_Data!J4236</f>
        <v>24</v>
      </c>
      <c r="K4236" t="str">
        <f t="shared" si="199"/>
        <v>2024-07</v>
      </c>
      <c r="L4236">
        <f t="shared" si="200"/>
        <v>0</v>
      </c>
    </row>
    <row r="4237" spans="1:12">
      <c r="A4237" t="s">
        <v>12283</v>
      </c>
      <c r="B4237" t="s">
        <v>12284</v>
      </c>
      <c r="C4237" t="s">
        <v>12285</v>
      </c>
      <c r="D4237" t="s">
        <v>35</v>
      </c>
      <c r="E4237" t="s">
        <v>59</v>
      </c>
      <c r="F4237" t="s">
        <v>29</v>
      </c>
      <c r="G4237" t="s">
        <v>31</v>
      </c>
      <c r="H4237">
        <f>Cleaned_Data!K4237</f>
        <v>20.3</v>
      </c>
      <c r="I4237" t="str">
        <f t="shared" si="198"/>
        <v>YES</v>
      </c>
      <c r="J4237">
        <f>Cleaned_Data!J4237</f>
        <v>48</v>
      </c>
      <c r="K4237" t="str">
        <f t="shared" si="199"/>
        <v>2024-11</v>
      </c>
      <c r="L4237">
        <f t="shared" si="200"/>
        <v>0</v>
      </c>
    </row>
    <row r="4238" spans="1:12">
      <c r="A4238" t="s">
        <v>12286</v>
      </c>
      <c r="B4238" t="s">
        <v>12287</v>
      </c>
      <c r="C4238" t="s">
        <v>12288</v>
      </c>
      <c r="D4238" t="s">
        <v>15</v>
      </c>
      <c r="E4238" t="s">
        <v>16</v>
      </c>
      <c r="F4238" t="s">
        <v>29</v>
      </c>
      <c r="G4238" t="s">
        <v>19</v>
      </c>
      <c r="H4238">
        <f>Cleaned_Data!K4238</f>
        <v>12.35</v>
      </c>
      <c r="I4238" t="str">
        <f t="shared" si="198"/>
        <v>NO</v>
      </c>
      <c r="J4238">
        <f>Cleaned_Data!J4238</f>
        <v>8</v>
      </c>
      <c r="K4238" t="str">
        <f t="shared" si="199"/>
        <v>2024-02</v>
      </c>
      <c r="L4238">
        <f t="shared" si="200"/>
        <v>4.3499999999999996</v>
      </c>
    </row>
    <row r="4239" spans="1:12">
      <c r="A4239" t="s">
        <v>12289</v>
      </c>
      <c r="B4239" t="s">
        <v>12290</v>
      </c>
      <c r="C4239" t="s">
        <v>12291</v>
      </c>
      <c r="D4239" t="s">
        <v>15</v>
      </c>
      <c r="E4239" t="s">
        <v>28</v>
      </c>
      <c r="F4239" t="s">
        <v>36</v>
      </c>
      <c r="G4239" t="s">
        <v>19</v>
      </c>
      <c r="H4239">
        <f>Cleaned_Data!K4239</f>
        <v>17.989999999999998</v>
      </c>
      <c r="I4239" t="str">
        <f t="shared" si="198"/>
        <v>NO</v>
      </c>
      <c r="J4239">
        <f>Cleaned_Data!J4239</f>
        <v>8</v>
      </c>
      <c r="K4239" t="str">
        <f t="shared" si="199"/>
        <v>2024-10</v>
      </c>
      <c r="L4239">
        <f t="shared" si="200"/>
        <v>9.9899999999999984</v>
      </c>
    </row>
    <row r="4240" spans="1:12">
      <c r="A4240" t="s">
        <v>12292</v>
      </c>
      <c r="B4240" t="s">
        <v>12293</v>
      </c>
      <c r="C4240" t="s">
        <v>12294</v>
      </c>
      <c r="D4240" t="s">
        <v>15</v>
      </c>
      <c r="E4240" t="s">
        <v>54</v>
      </c>
      <c r="F4240" t="s">
        <v>29</v>
      </c>
      <c r="G4240" t="s">
        <v>19</v>
      </c>
      <c r="H4240">
        <f>Cleaned_Data!K4240</f>
        <v>3.5</v>
      </c>
      <c r="I4240" t="str">
        <f t="shared" si="198"/>
        <v>YES</v>
      </c>
      <c r="J4240">
        <f>Cleaned_Data!J4240</f>
        <v>8</v>
      </c>
      <c r="K4240" t="str">
        <f t="shared" si="199"/>
        <v>2024-03</v>
      </c>
      <c r="L4240">
        <f t="shared" si="200"/>
        <v>0</v>
      </c>
    </row>
    <row r="4241" spans="1:12">
      <c r="A4241" t="s">
        <v>12295</v>
      </c>
      <c r="B4241" t="s">
        <v>12296</v>
      </c>
      <c r="C4241" t="s">
        <v>12297</v>
      </c>
      <c r="D4241" t="s">
        <v>35</v>
      </c>
      <c r="E4241" t="s">
        <v>16</v>
      </c>
      <c r="F4241" t="s">
        <v>41</v>
      </c>
      <c r="G4241" t="s">
        <v>19</v>
      </c>
      <c r="H4241">
        <f>Cleaned_Data!K4241</f>
        <v>36.369999999999997</v>
      </c>
      <c r="I4241" t="str">
        <f t="shared" si="198"/>
        <v>YES</v>
      </c>
      <c r="J4241">
        <f>Cleaned_Data!J4241</f>
        <v>48</v>
      </c>
      <c r="K4241" t="str">
        <f t="shared" si="199"/>
        <v>2024-09</v>
      </c>
      <c r="L4241">
        <f t="shared" si="200"/>
        <v>0</v>
      </c>
    </row>
    <row r="4242" spans="1:12">
      <c r="A4242" t="s">
        <v>12298</v>
      </c>
      <c r="B4242" t="s">
        <v>12299</v>
      </c>
      <c r="C4242" t="s">
        <v>12300</v>
      </c>
      <c r="D4242" t="s">
        <v>158</v>
      </c>
      <c r="E4242" t="s">
        <v>16</v>
      </c>
      <c r="F4242" t="s">
        <v>60</v>
      </c>
      <c r="G4242" t="s">
        <v>19</v>
      </c>
      <c r="H4242">
        <f>Cleaned_Data!K4242</f>
        <v>2.13</v>
      </c>
      <c r="I4242" t="str">
        <f t="shared" si="198"/>
        <v>YES</v>
      </c>
      <c r="J4242">
        <f>Cleaned_Data!J4242</f>
        <v>4</v>
      </c>
      <c r="K4242" t="str">
        <f t="shared" si="199"/>
        <v>2024-05</v>
      </c>
      <c r="L4242">
        <f t="shared" si="200"/>
        <v>0</v>
      </c>
    </row>
    <row r="4243" spans="1:12">
      <c r="A4243" t="s">
        <v>12301</v>
      </c>
      <c r="B4243" t="s">
        <v>12302</v>
      </c>
      <c r="C4243" t="s">
        <v>12303</v>
      </c>
      <c r="D4243" t="s">
        <v>35</v>
      </c>
      <c r="E4243" t="s">
        <v>28</v>
      </c>
      <c r="F4243" t="s">
        <v>60</v>
      </c>
      <c r="G4243" t="s">
        <v>19</v>
      </c>
      <c r="H4243">
        <f>Cleaned_Data!K4243</f>
        <v>90.4</v>
      </c>
      <c r="I4243" t="str">
        <f t="shared" si="198"/>
        <v>NO</v>
      </c>
      <c r="J4243">
        <f>Cleaned_Data!J4243</f>
        <v>48</v>
      </c>
      <c r="K4243" t="str">
        <f t="shared" si="199"/>
        <v>2024-04</v>
      </c>
      <c r="L4243">
        <f t="shared" si="200"/>
        <v>42.400000000000006</v>
      </c>
    </row>
    <row r="4244" spans="1:12">
      <c r="A4244" t="s">
        <v>12304</v>
      </c>
      <c r="B4244" t="s">
        <v>12305</v>
      </c>
      <c r="C4244" t="s">
        <v>12306</v>
      </c>
      <c r="D4244" t="s">
        <v>23</v>
      </c>
      <c r="E4244" t="s">
        <v>28</v>
      </c>
      <c r="F4244" t="s">
        <v>41</v>
      </c>
      <c r="G4244" t="s">
        <v>19</v>
      </c>
      <c r="H4244">
        <f>Cleaned_Data!K4244</f>
        <v>39.53</v>
      </c>
      <c r="I4244" t="str">
        <f t="shared" si="198"/>
        <v>NO</v>
      </c>
      <c r="J4244">
        <f>Cleaned_Data!J4244</f>
        <v>24</v>
      </c>
      <c r="K4244" t="str">
        <f t="shared" si="199"/>
        <v>2024-07</v>
      </c>
      <c r="L4244">
        <f t="shared" si="200"/>
        <v>15.530000000000001</v>
      </c>
    </row>
    <row r="4245" spans="1:12">
      <c r="A4245" t="s">
        <v>12307</v>
      </c>
      <c r="B4245" t="s">
        <v>12308</v>
      </c>
      <c r="C4245" t="s">
        <v>12309</v>
      </c>
      <c r="D4245" t="s">
        <v>23</v>
      </c>
      <c r="E4245" t="s">
        <v>54</v>
      </c>
      <c r="F4245" t="s">
        <v>41</v>
      </c>
      <c r="G4245" t="s">
        <v>19</v>
      </c>
      <c r="H4245">
        <f>Cleaned_Data!K4245</f>
        <v>11.55</v>
      </c>
      <c r="I4245" t="str">
        <f t="shared" si="198"/>
        <v>YES</v>
      </c>
      <c r="J4245">
        <f>Cleaned_Data!J4245</f>
        <v>24</v>
      </c>
      <c r="K4245" t="str">
        <f t="shared" si="199"/>
        <v>2024-12</v>
      </c>
      <c r="L4245">
        <f t="shared" si="200"/>
        <v>0</v>
      </c>
    </row>
    <row r="4246" spans="1:12">
      <c r="A4246" t="s">
        <v>12310</v>
      </c>
      <c r="B4246" t="s">
        <v>12311</v>
      </c>
      <c r="D4246" t="s">
        <v>23</v>
      </c>
      <c r="E4246" t="s">
        <v>16</v>
      </c>
      <c r="F4246" t="s">
        <v>17</v>
      </c>
      <c r="G4246" t="s">
        <v>63</v>
      </c>
      <c r="H4246">
        <f>Cleaned_Data!K4246</f>
        <v>0</v>
      </c>
      <c r="I4246" t="str">
        <f t="shared" si="198"/>
        <v/>
      </c>
      <c r="J4246">
        <f>Cleaned_Data!J4246</f>
        <v>24</v>
      </c>
      <c r="K4246" t="str">
        <f t="shared" si="199"/>
        <v>2024-02</v>
      </c>
      <c r="L4246">
        <f t="shared" si="200"/>
        <v>0</v>
      </c>
    </row>
    <row r="4247" spans="1:12">
      <c r="A4247" t="s">
        <v>12312</v>
      </c>
      <c r="B4247" t="s">
        <v>12313</v>
      </c>
      <c r="D4247" t="s">
        <v>15</v>
      </c>
      <c r="E4247" t="s">
        <v>24</v>
      </c>
      <c r="F4247" t="s">
        <v>17</v>
      </c>
      <c r="G4247" t="s">
        <v>46</v>
      </c>
      <c r="H4247">
        <f>Cleaned_Data!K4247</f>
        <v>0</v>
      </c>
      <c r="I4247" t="str">
        <f t="shared" si="198"/>
        <v/>
      </c>
      <c r="J4247">
        <f>Cleaned_Data!J4247</f>
        <v>8</v>
      </c>
      <c r="K4247" t="str">
        <f t="shared" si="199"/>
        <v>2024-09</v>
      </c>
      <c r="L4247">
        <f t="shared" si="200"/>
        <v>0</v>
      </c>
    </row>
    <row r="4248" spans="1:12">
      <c r="A4248" t="s">
        <v>12314</v>
      </c>
      <c r="B4248" t="s">
        <v>12315</v>
      </c>
      <c r="C4248" t="s">
        <v>12316</v>
      </c>
      <c r="D4248" t="s">
        <v>35</v>
      </c>
      <c r="E4248" t="s">
        <v>59</v>
      </c>
      <c r="F4248" t="s">
        <v>41</v>
      </c>
      <c r="G4248" t="s">
        <v>19</v>
      </c>
      <c r="H4248">
        <f>Cleaned_Data!K4248</f>
        <v>38.08</v>
      </c>
      <c r="I4248" t="str">
        <f t="shared" si="198"/>
        <v>YES</v>
      </c>
      <c r="J4248">
        <f>Cleaned_Data!J4248</f>
        <v>48</v>
      </c>
      <c r="K4248" t="str">
        <f t="shared" si="199"/>
        <v>2024-06</v>
      </c>
      <c r="L4248">
        <f t="shared" si="200"/>
        <v>0</v>
      </c>
    </row>
    <row r="4249" spans="1:12">
      <c r="A4249" t="s">
        <v>12317</v>
      </c>
      <c r="B4249" t="s">
        <v>12318</v>
      </c>
      <c r="D4249" t="s">
        <v>23</v>
      </c>
      <c r="E4249" t="s">
        <v>59</v>
      </c>
      <c r="F4249" t="s">
        <v>29</v>
      </c>
      <c r="G4249" t="s">
        <v>63</v>
      </c>
      <c r="H4249">
        <f>Cleaned_Data!K4249</f>
        <v>0</v>
      </c>
      <c r="I4249" t="str">
        <f t="shared" si="198"/>
        <v/>
      </c>
      <c r="J4249">
        <f>Cleaned_Data!J4249</f>
        <v>24</v>
      </c>
      <c r="K4249" t="str">
        <f t="shared" si="199"/>
        <v>2024-10</v>
      </c>
      <c r="L4249">
        <f t="shared" si="200"/>
        <v>0</v>
      </c>
    </row>
    <row r="4250" spans="1:12">
      <c r="A4250" t="s">
        <v>12319</v>
      </c>
      <c r="B4250" t="s">
        <v>12320</v>
      </c>
      <c r="C4250" t="s">
        <v>12321</v>
      </c>
      <c r="D4250" t="s">
        <v>23</v>
      </c>
      <c r="E4250" t="s">
        <v>24</v>
      </c>
      <c r="F4250" t="s">
        <v>17</v>
      </c>
      <c r="G4250" t="s">
        <v>19</v>
      </c>
      <c r="H4250">
        <f>Cleaned_Data!K4250</f>
        <v>21.92</v>
      </c>
      <c r="I4250" t="str">
        <f t="shared" si="198"/>
        <v>YES</v>
      </c>
      <c r="J4250">
        <f>Cleaned_Data!J4250</f>
        <v>24</v>
      </c>
      <c r="K4250" t="str">
        <f t="shared" si="199"/>
        <v>2024-05</v>
      </c>
      <c r="L4250">
        <f t="shared" si="200"/>
        <v>0</v>
      </c>
    </row>
    <row r="4251" spans="1:12">
      <c r="A4251" t="s">
        <v>12322</v>
      </c>
      <c r="B4251" t="s">
        <v>12323</v>
      </c>
      <c r="C4251" t="s">
        <v>12324</v>
      </c>
      <c r="D4251" t="s">
        <v>158</v>
      </c>
      <c r="E4251" t="s">
        <v>24</v>
      </c>
      <c r="F4251" t="s">
        <v>17</v>
      </c>
      <c r="G4251" t="s">
        <v>31</v>
      </c>
      <c r="H4251">
        <f>Cleaned_Data!K4251</f>
        <v>2.02</v>
      </c>
      <c r="I4251" t="str">
        <f t="shared" si="198"/>
        <v>YES</v>
      </c>
      <c r="J4251">
        <f>Cleaned_Data!J4251</f>
        <v>4</v>
      </c>
      <c r="K4251" t="str">
        <f t="shared" si="199"/>
        <v>2024-05</v>
      </c>
      <c r="L4251">
        <f t="shared" si="200"/>
        <v>0</v>
      </c>
    </row>
    <row r="4252" spans="1:12">
      <c r="A4252" t="s">
        <v>12325</v>
      </c>
      <c r="B4252" t="s">
        <v>12326</v>
      </c>
      <c r="D4252" t="s">
        <v>23</v>
      </c>
      <c r="E4252" t="s">
        <v>54</v>
      </c>
      <c r="F4252" t="s">
        <v>17</v>
      </c>
      <c r="G4252" t="s">
        <v>46</v>
      </c>
      <c r="H4252">
        <f>Cleaned_Data!K4252</f>
        <v>0</v>
      </c>
      <c r="I4252" t="str">
        <f t="shared" si="198"/>
        <v/>
      </c>
      <c r="J4252">
        <f>Cleaned_Data!J4252</f>
        <v>24</v>
      </c>
      <c r="K4252" t="str">
        <f t="shared" si="199"/>
        <v>2024-09</v>
      </c>
      <c r="L4252">
        <f t="shared" si="200"/>
        <v>0</v>
      </c>
    </row>
    <row r="4253" spans="1:12">
      <c r="A4253" t="s">
        <v>12327</v>
      </c>
      <c r="B4253" t="s">
        <v>12328</v>
      </c>
      <c r="C4253" t="s">
        <v>12329</v>
      </c>
      <c r="D4253" t="s">
        <v>23</v>
      </c>
      <c r="E4253" t="s">
        <v>59</v>
      </c>
      <c r="F4253" t="s">
        <v>41</v>
      </c>
      <c r="G4253" t="s">
        <v>19</v>
      </c>
      <c r="H4253">
        <f>Cleaned_Data!K4253</f>
        <v>6.61</v>
      </c>
      <c r="I4253" t="str">
        <f t="shared" si="198"/>
        <v>YES</v>
      </c>
      <c r="J4253">
        <f>Cleaned_Data!J4253</f>
        <v>24</v>
      </c>
      <c r="K4253" t="str">
        <f t="shared" si="199"/>
        <v>2024-02</v>
      </c>
      <c r="L4253">
        <f t="shared" si="200"/>
        <v>0</v>
      </c>
    </row>
    <row r="4254" spans="1:12">
      <c r="A4254" t="s">
        <v>12330</v>
      </c>
      <c r="B4254" t="s">
        <v>12331</v>
      </c>
      <c r="D4254" t="s">
        <v>15</v>
      </c>
      <c r="E4254" t="s">
        <v>59</v>
      </c>
      <c r="F4254" t="s">
        <v>17</v>
      </c>
      <c r="G4254" t="s">
        <v>46</v>
      </c>
      <c r="H4254">
        <f>Cleaned_Data!K4254</f>
        <v>0</v>
      </c>
      <c r="I4254" t="str">
        <f t="shared" si="198"/>
        <v/>
      </c>
      <c r="J4254">
        <f>Cleaned_Data!J4254</f>
        <v>8</v>
      </c>
      <c r="K4254" t="str">
        <f t="shared" si="199"/>
        <v>2024-09</v>
      </c>
      <c r="L4254">
        <f t="shared" si="200"/>
        <v>0</v>
      </c>
    </row>
    <row r="4255" spans="1:12">
      <c r="A4255" t="s">
        <v>12332</v>
      </c>
      <c r="B4255" t="s">
        <v>12333</v>
      </c>
      <c r="D4255" t="s">
        <v>15</v>
      </c>
      <c r="E4255" t="s">
        <v>59</v>
      </c>
      <c r="F4255" t="s">
        <v>41</v>
      </c>
      <c r="G4255" t="s">
        <v>46</v>
      </c>
      <c r="H4255">
        <f>Cleaned_Data!K4255</f>
        <v>0</v>
      </c>
      <c r="I4255" t="str">
        <f t="shared" si="198"/>
        <v/>
      </c>
      <c r="J4255">
        <f>Cleaned_Data!J4255</f>
        <v>8</v>
      </c>
      <c r="K4255" t="str">
        <f t="shared" si="199"/>
        <v>2024-06</v>
      </c>
      <c r="L4255">
        <f t="shared" si="200"/>
        <v>0</v>
      </c>
    </row>
    <row r="4256" spans="1:12">
      <c r="A4256" t="s">
        <v>12334</v>
      </c>
      <c r="B4256" t="s">
        <v>12335</v>
      </c>
      <c r="C4256" t="s">
        <v>12336</v>
      </c>
      <c r="D4256" t="s">
        <v>23</v>
      </c>
      <c r="E4256" t="s">
        <v>16</v>
      </c>
      <c r="F4256" t="s">
        <v>17</v>
      </c>
      <c r="G4256" t="s">
        <v>31</v>
      </c>
      <c r="H4256">
        <f>Cleaned_Data!K4256</f>
        <v>3.24</v>
      </c>
      <c r="I4256" t="str">
        <f t="shared" si="198"/>
        <v>YES</v>
      </c>
      <c r="J4256">
        <f>Cleaned_Data!J4256</f>
        <v>24</v>
      </c>
      <c r="K4256" t="str">
        <f t="shared" si="199"/>
        <v>2024-08</v>
      </c>
      <c r="L4256">
        <f t="shared" si="200"/>
        <v>0</v>
      </c>
    </row>
    <row r="4257" spans="1:12">
      <c r="A4257" t="s">
        <v>12337</v>
      </c>
      <c r="B4257" t="s">
        <v>12338</v>
      </c>
      <c r="C4257" t="s">
        <v>12339</v>
      </c>
      <c r="D4257" t="s">
        <v>23</v>
      </c>
      <c r="E4257" t="s">
        <v>24</v>
      </c>
      <c r="F4257" t="s">
        <v>36</v>
      </c>
      <c r="G4257" t="s">
        <v>19</v>
      </c>
      <c r="H4257">
        <f>Cleaned_Data!K4257</f>
        <v>7.53</v>
      </c>
      <c r="I4257" t="str">
        <f t="shared" si="198"/>
        <v>YES</v>
      </c>
      <c r="J4257">
        <f>Cleaned_Data!J4257</f>
        <v>24</v>
      </c>
      <c r="K4257" t="str">
        <f t="shared" si="199"/>
        <v>2024-01</v>
      </c>
      <c r="L4257">
        <f t="shared" si="200"/>
        <v>0</v>
      </c>
    </row>
    <row r="4258" spans="1:12">
      <c r="A4258" t="s">
        <v>12340</v>
      </c>
      <c r="B4258" t="s">
        <v>12341</v>
      </c>
      <c r="C4258" t="s">
        <v>12342</v>
      </c>
      <c r="D4258" t="s">
        <v>23</v>
      </c>
      <c r="E4258" t="s">
        <v>54</v>
      </c>
      <c r="F4258" t="s">
        <v>41</v>
      </c>
      <c r="G4258" t="s">
        <v>19</v>
      </c>
      <c r="H4258">
        <f>Cleaned_Data!K4258</f>
        <v>9.77</v>
      </c>
      <c r="I4258" t="str">
        <f t="shared" si="198"/>
        <v>YES</v>
      </c>
      <c r="J4258">
        <f>Cleaned_Data!J4258</f>
        <v>24</v>
      </c>
      <c r="K4258" t="str">
        <f t="shared" si="199"/>
        <v>2024-07</v>
      </c>
      <c r="L4258">
        <f t="shared" si="200"/>
        <v>0</v>
      </c>
    </row>
    <row r="4259" spans="1:12">
      <c r="A4259" t="s">
        <v>12343</v>
      </c>
      <c r="B4259" t="s">
        <v>12344</v>
      </c>
      <c r="C4259" t="s">
        <v>12345</v>
      </c>
      <c r="D4259" t="s">
        <v>15</v>
      </c>
      <c r="E4259" t="s">
        <v>24</v>
      </c>
      <c r="F4259" t="s">
        <v>17</v>
      </c>
      <c r="G4259" t="s">
        <v>31</v>
      </c>
      <c r="H4259">
        <f>Cleaned_Data!K4259</f>
        <v>1.25</v>
      </c>
      <c r="I4259" t="str">
        <f t="shared" si="198"/>
        <v>YES</v>
      </c>
      <c r="J4259">
        <f>Cleaned_Data!J4259</f>
        <v>8</v>
      </c>
      <c r="K4259" t="str">
        <f t="shared" si="199"/>
        <v>2024-04</v>
      </c>
      <c r="L4259">
        <f t="shared" si="200"/>
        <v>0</v>
      </c>
    </row>
    <row r="4260" spans="1:12">
      <c r="A4260" t="s">
        <v>12346</v>
      </c>
      <c r="B4260" t="s">
        <v>12347</v>
      </c>
      <c r="C4260" t="s">
        <v>12348</v>
      </c>
      <c r="D4260" t="s">
        <v>23</v>
      </c>
      <c r="E4260" t="s">
        <v>54</v>
      </c>
      <c r="F4260" t="s">
        <v>29</v>
      </c>
      <c r="G4260" t="s">
        <v>19</v>
      </c>
      <c r="H4260">
        <f>Cleaned_Data!K4260</f>
        <v>7.15</v>
      </c>
      <c r="I4260" t="str">
        <f t="shared" si="198"/>
        <v>YES</v>
      </c>
      <c r="J4260">
        <f>Cleaned_Data!J4260</f>
        <v>24</v>
      </c>
      <c r="K4260" t="str">
        <f t="shared" si="199"/>
        <v>2024-01</v>
      </c>
      <c r="L4260">
        <f t="shared" si="200"/>
        <v>0</v>
      </c>
    </row>
    <row r="4261" spans="1:12">
      <c r="A4261" t="s">
        <v>12349</v>
      </c>
      <c r="B4261" t="s">
        <v>12350</v>
      </c>
      <c r="C4261" t="s">
        <v>12351</v>
      </c>
      <c r="D4261" t="s">
        <v>35</v>
      </c>
      <c r="E4261" t="s">
        <v>24</v>
      </c>
      <c r="F4261" t="s">
        <v>17</v>
      </c>
      <c r="G4261" t="s">
        <v>19</v>
      </c>
      <c r="H4261">
        <f>Cleaned_Data!K4261</f>
        <v>43.42</v>
      </c>
      <c r="I4261" t="str">
        <f t="shared" si="198"/>
        <v>YES</v>
      </c>
      <c r="J4261">
        <f>Cleaned_Data!J4261</f>
        <v>48</v>
      </c>
      <c r="K4261" t="str">
        <f t="shared" si="199"/>
        <v>2024-11</v>
      </c>
      <c r="L4261">
        <f t="shared" si="200"/>
        <v>0</v>
      </c>
    </row>
    <row r="4262" spans="1:12">
      <c r="A4262" t="s">
        <v>12352</v>
      </c>
      <c r="B4262" t="s">
        <v>12353</v>
      </c>
      <c r="C4262" t="s">
        <v>12354</v>
      </c>
      <c r="D4262" t="s">
        <v>15</v>
      </c>
      <c r="E4262" t="s">
        <v>28</v>
      </c>
      <c r="F4262" t="s">
        <v>17</v>
      </c>
      <c r="G4262" t="s">
        <v>31</v>
      </c>
      <c r="H4262">
        <f>Cleaned_Data!K4262</f>
        <v>7.58</v>
      </c>
      <c r="I4262" t="str">
        <f t="shared" si="198"/>
        <v>YES</v>
      </c>
      <c r="J4262">
        <f>Cleaned_Data!J4262</f>
        <v>8</v>
      </c>
      <c r="K4262" t="str">
        <f t="shared" si="199"/>
        <v>2024-10</v>
      </c>
      <c r="L4262">
        <f t="shared" si="200"/>
        <v>0</v>
      </c>
    </row>
    <row r="4263" spans="1:12">
      <c r="A4263" t="s">
        <v>12355</v>
      </c>
      <c r="B4263" t="s">
        <v>12356</v>
      </c>
      <c r="C4263" t="s">
        <v>12357</v>
      </c>
      <c r="D4263" t="s">
        <v>35</v>
      </c>
      <c r="E4263" t="s">
        <v>24</v>
      </c>
      <c r="F4263" t="s">
        <v>17</v>
      </c>
      <c r="G4263" t="s">
        <v>19</v>
      </c>
      <c r="H4263">
        <f>Cleaned_Data!K4263</f>
        <v>29.59</v>
      </c>
      <c r="I4263" t="str">
        <f t="shared" si="198"/>
        <v>YES</v>
      </c>
      <c r="J4263">
        <f>Cleaned_Data!J4263</f>
        <v>48</v>
      </c>
      <c r="K4263" t="str">
        <f t="shared" si="199"/>
        <v>2024-11</v>
      </c>
      <c r="L4263">
        <f t="shared" si="200"/>
        <v>0</v>
      </c>
    </row>
    <row r="4264" spans="1:12">
      <c r="A4264" t="s">
        <v>12358</v>
      </c>
      <c r="B4264" t="s">
        <v>12359</v>
      </c>
      <c r="C4264" t="s">
        <v>12360</v>
      </c>
      <c r="D4264" t="s">
        <v>158</v>
      </c>
      <c r="E4264" t="s">
        <v>54</v>
      </c>
      <c r="F4264" t="s">
        <v>41</v>
      </c>
      <c r="G4264" t="s">
        <v>31</v>
      </c>
      <c r="H4264">
        <f>Cleaned_Data!K4264</f>
        <v>5.15</v>
      </c>
      <c r="I4264" t="str">
        <f t="shared" si="198"/>
        <v>NO</v>
      </c>
      <c r="J4264">
        <f>Cleaned_Data!J4264</f>
        <v>4</v>
      </c>
      <c r="K4264" t="str">
        <f t="shared" si="199"/>
        <v>2024-03</v>
      </c>
      <c r="L4264">
        <f t="shared" si="200"/>
        <v>1.1500000000000004</v>
      </c>
    </row>
    <row r="4265" spans="1:12">
      <c r="A4265" t="s">
        <v>12361</v>
      </c>
      <c r="B4265" t="s">
        <v>12362</v>
      </c>
      <c r="D4265" t="s">
        <v>35</v>
      </c>
      <c r="E4265" t="s">
        <v>28</v>
      </c>
      <c r="F4265" t="s">
        <v>17</v>
      </c>
      <c r="G4265" t="s">
        <v>46</v>
      </c>
      <c r="H4265">
        <f>Cleaned_Data!K4265</f>
        <v>0</v>
      </c>
      <c r="I4265" t="str">
        <f t="shared" si="198"/>
        <v/>
      </c>
      <c r="J4265">
        <f>Cleaned_Data!J4265</f>
        <v>48</v>
      </c>
      <c r="K4265" t="str">
        <f t="shared" si="199"/>
        <v>2024-10</v>
      </c>
      <c r="L4265">
        <f t="shared" si="200"/>
        <v>0</v>
      </c>
    </row>
    <row r="4266" spans="1:12">
      <c r="A4266" t="s">
        <v>12363</v>
      </c>
      <c r="B4266" t="s">
        <v>12364</v>
      </c>
      <c r="C4266" t="s">
        <v>12365</v>
      </c>
      <c r="D4266" t="s">
        <v>15</v>
      </c>
      <c r="E4266" t="s">
        <v>16</v>
      </c>
      <c r="F4266" t="s">
        <v>36</v>
      </c>
      <c r="G4266" t="s">
        <v>19</v>
      </c>
      <c r="H4266">
        <f>Cleaned_Data!K4266</f>
        <v>3.03</v>
      </c>
      <c r="I4266" t="str">
        <f t="shared" si="198"/>
        <v>YES</v>
      </c>
      <c r="J4266">
        <f>Cleaned_Data!J4266</f>
        <v>8</v>
      </c>
      <c r="K4266" t="str">
        <f t="shared" si="199"/>
        <v>2024-09</v>
      </c>
      <c r="L4266">
        <f t="shared" si="200"/>
        <v>0</v>
      </c>
    </row>
    <row r="4267" spans="1:12">
      <c r="A4267" t="s">
        <v>12366</v>
      </c>
      <c r="B4267" t="s">
        <v>12367</v>
      </c>
      <c r="C4267" t="s">
        <v>12368</v>
      </c>
      <c r="D4267" t="s">
        <v>35</v>
      </c>
      <c r="E4267" t="s">
        <v>28</v>
      </c>
      <c r="F4267" t="s">
        <v>41</v>
      </c>
      <c r="G4267" t="s">
        <v>19</v>
      </c>
      <c r="H4267">
        <f>Cleaned_Data!K4267</f>
        <v>37.01</v>
      </c>
      <c r="I4267" t="str">
        <f t="shared" si="198"/>
        <v>YES</v>
      </c>
      <c r="J4267">
        <f>Cleaned_Data!J4267</f>
        <v>48</v>
      </c>
      <c r="K4267" t="str">
        <f t="shared" si="199"/>
        <v>2024-10</v>
      </c>
      <c r="L4267">
        <f t="shared" si="200"/>
        <v>0</v>
      </c>
    </row>
    <row r="4268" spans="1:12">
      <c r="A4268" t="s">
        <v>12369</v>
      </c>
      <c r="B4268" t="s">
        <v>12370</v>
      </c>
      <c r="C4268" t="s">
        <v>12371</v>
      </c>
      <c r="D4268" t="s">
        <v>15</v>
      </c>
      <c r="E4268" t="s">
        <v>16</v>
      </c>
      <c r="F4268" t="s">
        <v>60</v>
      </c>
      <c r="G4268" t="s">
        <v>19</v>
      </c>
      <c r="H4268">
        <f>Cleaned_Data!K4268</f>
        <v>6.67</v>
      </c>
      <c r="I4268" t="str">
        <f t="shared" si="198"/>
        <v>YES</v>
      </c>
      <c r="J4268">
        <f>Cleaned_Data!J4268</f>
        <v>8</v>
      </c>
      <c r="K4268" t="str">
        <f t="shared" si="199"/>
        <v>2024-03</v>
      </c>
      <c r="L4268">
        <f t="shared" si="200"/>
        <v>0</v>
      </c>
    </row>
    <row r="4269" spans="1:12">
      <c r="A4269" t="s">
        <v>12372</v>
      </c>
      <c r="B4269" t="s">
        <v>12373</v>
      </c>
      <c r="D4269" t="s">
        <v>35</v>
      </c>
      <c r="E4269" t="s">
        <v>28</v>
      </c>
      <c r="F4269" t="s">
        <v>36</v>
      </c>
      <c r="G4269" t="s">
        <v>63</v>
      </c>
      <c r="H4269">
        <f>Cleaned_Data!K4269</f>
        <v>0</v>
      </c>
      <c r="I4269" t="str">
        <f t="shared" si="198"/>
        <v/>
      </c>
      <c r="J4269">
        <f>Cleaned_Data!J4269</f>
        <v>48</v>
      </c>
      <c r="K4269" t="str">
        <f t="shared" si="199"/>
        <v>2024-04</v>
      </c>
      <c r="L4269">
        <f t="shared" si="200"/>
        <v>0</v>
      </c>
    </row>
    <row r="4270" spans="1:12">
      <c r="A4270" t="s">
        <v>12374</v>
      </c>
      <c r="B4270" t="s">
        <v>12375</v>
      </c>
      <c r="C4270" t="s">
        <v>12376</v>
      </c>
      <c r="D4270" t="s">
        <v>15</v>
      </c>
      <c r="E4270" t="s">
        <v>59</v>
      </c>
      <c r="F4270" t="s">
        <v>36</v>
      </c>
      <c r="G4270" t="s">
        <v>19</v>
      </c>
      <c r="H4270">
        <f>Cleaned_Data!K4270</f>
        <v>3.68</v>
      </c>
      <c r="I4270" t="str">
        <f t="shared" si="198"/>
        <v>YES</v>
      </c>
      <c r="J4270">
        <f>Cleaned_Data!J4270</f>
        <v>8</v>
      </c>
      <c r="K4270" t="str">
        <f t="shared" si="199"/>
        <v>2024-10</v>
      </c>
      <c r="L4270">
        <f t="shared" si="200"/>
        <v>0</v>
      </c>
    </row>
    <row r="4271" spans="1:12">
      <c r="A4271" t="s">
        <v>12377</v>
      </c>
      <c r="B4271" t="s">
        <v>12378</v>
      </c>
      <c r="C4271" t="s">
        <v>12379</v>
      </c>
      <c r="D4271" t="s">
        <v>23</v>
      </c>
      <c r="E4271" t="s">
        <v>28</v>
      </c>
      <c r="F4271" t="s">
        <v>29</v>
      </c>
      <c r="G4271" t="s">
        <v>19</v>
      </c>
      <c r="H4271">
        <f>Cleaned_Data!K4271</f>
        <v>25.43</v>
      </c>
      <c r="I4271" t="str">
        <f t="shared" si="198"/>
        <v>NO</v>
      </c>
      <c r="J4271">
        <f>Cleaned_Data!J4271</f>
        <v>24</v>
      </c>
      <c r="K4271" t="str">
        <f t="shared" si="199"/>
        <v>2024-07</v>
      </c>
      <c r="L4271">
        <f t="shared" si="200"/>
        <v>1.4299999999999997</v>
      </c>
    </row>
    <row r="4272" spans="1:12">
      <c r="A4272" t="s">
        <v>12380</v>
      </c>
      <c r="B4272" t="s">
        <v>12381</v>
      </c>
      <c r="C4272" t="s">
        <v>12382</v>
      </c>
      <c r="D4272" t="s">
        <v>158</v>
      </c>
      <c r="E4272" t="s">
        <v>28</v>
      </c>
      <c r="F4272" t="s">
        <v>29</v>
      </c>
      <c r="G4272" t="s">
        <v>31</v>
      </c>
      <c r="H4272">
        <f>Cleaned_Data!K4272</f>
        <v>3.46</v>
      </c>
      <c r="I4272" t="str">
        <f t="shared" si="198"/>
        <v>YES</v>
      </c>
      <c r="J4272">
        <f>Cleaned_Data!J4272</f>
        <v>4</v>
      </c>
      <c r="K4272" t="str">
        <f t="shared" si="199"/>
        <v>2024-10</v>
      </c>
      <c r="L4272">
        <f t="shared" si="200"/>
        <v>0</v>
      </c>
    </row>
    <row r="4273" spans="1:12">
      <c r="A4273" t="s">
        <v>12383</v>
      </c>
      <c r="B4273" t="s">
        <v>12384</v>
      </c>
      <c r="C4273" t="s">
        <v>12385</v>
      </c>
      <c r="D4273" t="s">
        <v>15</v>
      </c>
      <c r="E4273" t="s">
        <v>28</v>
      </c>
      <c r="F4273" t="s">
        <v>41</v>
      </c>
      <c r="G4273" t="s">
        <v>19</v>
      </c>
      <c r="H4273">
        <f>Cleaned_Data!K4273</f>
        <v>10.029999999999999</v>
      </c>
      <c r="I4273" t="str">
        <f t="shared" si="198"/>
        <v>NO</v>
      </c>
      <c r="J4273">
        <f>Cleaned_Data!J4273</f>
        <v>8</v>
      </c>
      <c r="K4273" t="str">
        <f t="shared" si="199"/>
        <v>2024-08</v>
      </c>
      <c r="L4273">
        <f t="shared" si="200"/>
        <v>2.0299999999999994</v>
      </c>
    </row>
    <row r="4274" spans="1:12">
      <c r="A4274" t="s">
        <v>12386</v>
      </c>
      <c r="B4274" t="s">
        <v>12387</v>
      </c>
      <c r="C4274" t="s">
        <v>12388</v>
      </c>
      <c r="D4274" t="s">
        <v>23</v>
      </c>
      <c r="E4274" t="s">
        <v>24</v>
      </c>
      <c r="F4274" t="s">
        <v>29</v>
      </c>
      <c r="G4274" t="s">
        <v>31</v>
      </c>
      <c r="H4274">
        <f>Cleaned_Data!K4274</f>
        <v>15.91</v>
      </c>
      <c r="I4274" t="str">
        <f t="shared" si="198"/>
        <v>YES</v>
      </c>
      <c r="J4274">
        <f>Cleaned_Data!J4274</f>
        <v>24</v>
      </c>
      <c r="K4274" t="str">
        <f t="shared" si="199"/>
        <v>2024-04</v>
      </c>
      <c r="L4274">
        <f t="shared" si="200"/>
        <v>0</v>
      </c>
    </row>
    <row r="4275" spans="1:12">
      <c r="A4275" t="s">
        <v>12389</v>
      </c>
      <c r="B4275" t="s">
        <v>12390</v>
      </c>
      <c r="C4275" t="s">
        <v>12391</v>
      </c>
      <c r="D4275" t="s">
        <v>35</v>
      </c>
      <c r="E4275" t="s">
        <v>28</v>
      </c>
      <c r="F4275" t="s">
        <v>41</v>
      </c>
      <c r="G4275" t="s">
        <v>19</v>
      </c>
      <c r="H4275">
        <f>Cleaned_Data!K4275</f>
        <v>74.81</v>
      </c>
      <c r="I4275" t="str">
        <f t="shared" si="198"/>
        <v>NO</v>
      </c>
      <c r="J4275">
        <f>Cleaned_Data!J4275</f>
        <v>48</v>
      </c>
      <c r="K4275" t="str">
        <f t="shared" si="199"/>
        <v>2024-09</v>
      </c>
      <c r="L4275">
        <f t="shared" si="200"/>
        <v>26.810000000000002</v>
      </c>
    </row>
    <row r="4276" spans="1:12">
      <c r="A4276" t="s">
        <v>12392</v>
      </c>
      <c r="B4276" t="s">
        <v>12393</v>
      </c>
      <c r="C4276" t="s">
        <v>12394</v>
      </c>
      <c r="D4276" t="s">
        <v>23</v>
      </c>
      <c r="E4276" t="s">
        <v>28</v>
      </c>
      <c r="F4276" t="s">
        <v>60</v>
      </c>
      <c r="G4276" t="s">
        <v>19</v>
      </c>
      <c r="H4276">
        <f>Cleaned_Data!K4276</f>
        <v>21.2</v>
      </c>
      <c r="I4276" t="str">
        <f t="shared" si="198"/>
        <v>YES</v>
      </c>
      <c r="J4276">
        <f>Cleaned_Data!J4276</f>
        <v>24</v>
      </c>
      <c r="K4276" t="str">
        <f t="shared" si="199"/>
        <v>2024-04</v>
      </c>
      <c r="L4276">
        <f t="shared" si="200"/>
        <v>0</v>
      </c>
    </row>
    <row r="4277" spans="1:12">
      <c r="A4277" t="s">
        <v>12395</v>
      </c>
      <c r="B4277" t="s">
        <v>12396</v>
      </c>
      <c r="C4277" t="s">
        <v>12397</v>
      </c>
      <c r="D4277" t="s">
        <v>23</v>
      </c>
      <c r="E4277" t="s">
        <v>28</v>
      </c>
      <c r="F4277" t="s">
        <v>36</v>
      </c>
      <c r="G4277" t="s">
        <v>31</v>
      </c>
      <c r="H4277">
        <f>Cleaned_Data!K4277</f>
        <v>16.11</v>
      </c>
      <c r="I4277" t="str">
        <f t="shared" si="198"/>
        <v>YES</v>
      </c>
      <c r="J4277">
        <f>Cleaned_Data!J4277</f>
        <v>24</v>
      </c>
      <c r="K4277" t="str">
        <f t="shared" si="199"/>
        <v>2024-12</v>
      </c>
      <c r="L4277">
        <f t="shared" si="200"/>
        <v>0</v>
      </c>
    </row>
    <row r="4278" spans="1:12">
      <c r="A4278" t="s">
        <v>12398</v>
      </c>
      <c r="B4278" t="s">
        <v>12399</v>
      </c>
      <c r="C4278" t="s">
        <v>12400</v>
      </c>
      <c r="D4278" t="s">
        <v>23</v>
      </c>
      <c r="E4278" t="s">
        <v>16</v>
      </c>
      <c r="F4278" t="s">
        <v>29</v>
      </c>
      <c r="G4278" t="s">
        <v>19</v>
      </c>
      <c r="H4278">
        <f>Cleaned_Data!K4278</f>
        <v>3.94</v>
      </c>
      <c r="I4278" t="str">
        <f t="shared" si="198"/>
        <v>YES</v>
      </c>
      <c r="J4278">
        <f>Cleaned_Data!J4278</f>
        <v>24</v>
      </c>
      <c r="K4278" t="str">
        <f t="shared" si="199"/>
        <v>2024-08</v>
      </c>
      <c r="L4278">
        <f t="shared" si="200"/>
        <v>0</v>
      </c>
    </row>
    <row r="4279" spans="1:12">
      <c r="A4279" t="s">
        <v>12401</v>
      </c>
      <c r="B4279" t="s">
        <v>12402</v>
      </c>
      <c r="C4279" t="s">
        <v>12403</v>
      </c>
      <c r="D4279" t="s">
        <v>23</v>
      </c>
      <c r="E4279" t="s">
        <v>16</v>
      </c>
      <c r="F4279" t="s">
        <v>41</v>
      </c>
      <c r="G4279" t="s">
        <v>31</v>
      </c>
      <c r="H4279">
        <f>Cleaned_Data!K4279</f>
        <v>38.76</v>
      </c>
      <c r="I4279" t="str">
        <f t="shared" si="198"/>
        <v>NO</v>
      </c>
      <c r="J4279">
        <f>Cleaned_Data!J4279</f>
        <v>24</v>
      </c>
      <c r="K4279" t="str">
        <f t="shared" si="199"/>
        <v>2024-01</v>
      </c>
      <c r="L4279">
        <f t="shared" si="200"/>
        <v>14.759999999999998</v>
      </c>
    </row>
    <row r="4280" spans="1:12">
      <c r="A4280" t="s">
        <v>12404</v>
      </c>
      <c r="B4280" t="s">
        <v>12405</v>
      </c>
      <c r="C4280" t="s">
        <v>12406</v>
      </c>
      <c r="D4280" t="s">
        <v>23</v>
      </c>
      <c r="E4280" t="s">
        <v>54</v>
      </c>
      <c r="F4280" t="s">
        <v>41</v>
      </c>
      <c r="G4280" t="s">
        <v>31</v>
      </c>
      <c r="H4280">
        <f>Cleaned_Data!K4280</f>
        <v>11.67</v>
      </c>
      <c r="I4280" t="str">
        <f t="shared" si="198"/>
        <v>YES</v>
      </c>
      <c r="J4280">
        <f>Cleaned_Data!J4280</f>
        <v>24</v>
      </c>
      <c r="K4280" t="str">
        <f t="shared" si="199"/>
        <v>2024-06</v>
      </c>
      <c r="L4280">
        <f t="shared" si="200"/>
        <v>0</v>
      </c>
    </row>
    <row r="4281" spans="1:12">
      <c r="A4281" t="s">
        <v>12407</v>
      </c>
      <c r="B4281" t="s">
        <v>12408</v>
      </c>
      <c r="C4281" t="s">
        <v>12409</v>
      </c>
      <c r="D4281" t="s">
        <v>15</v>
      </c>
      <c r="E4281" t="s">
        <v>28</v>
      </c>
      <c r="F4281" t="s">
        <v>36</v>
      </c>
      <c r="G4281" t="s">
        <v>31</v>
      </c>
      <c r="H4281">
        <f>Cleaned_Data!K4281</f>
        <v>5.36</v>
      </c>
      <c r="I4281" t="str">
        <f t="shared" si="198"/>
        <v>YES</v>
      </c>
      <c r="J4281">
        <f>Cleaned_Data!J4281</f>
        <v>8</v>
      </c>
      <c r="K4281" t="str">
        <f t="shared" si="199"/>
        <v>2024-03</v>
      </c>
      <c r="L4281">
        <f t="shared" si="200"/>
        <v>0</v>
      </c>
    </row>
    <row r="4282" spans="1:12">
      <c r="A4282" t="s">
        <v>12410</v>
      </c>
      <c r="B4282" t="s">
        <v>12411</v>
      </c>
      <c r="C4282" t="s">
        <v>12412</v>
      </c>
      <c r="D4282" t="s">
        <v>35</v>
      </c>
      <c r="E4282" t="s">
        <v>28</v>
      </c>
      <c r="F4282" t="s">
        <v>17</v>
      </c>
      <c r="G4282" t="s">
        <v>19</v>
      </c>
      <c r="H4282">
        <f>Cleaned_Data!K4282</f>
        <v>4.91</v>
      </c>
      <c r="I4282" t="str">
        <f t="shared" si="198"/>
        <v>YES</v>
      </c>
      <c r="J4282">
        <f>Cleaned_Data!J4282</f>
        <v>48</v>
      </c>
      <c r="K4282" t="str">
        <f t="shared" si="199"/>
        <v>2024-02</v>
      </c>
      <c r="L4282">
        <f t="shared" si="200"/>
        <v>0</v>
      </c>
    </row>
    <row r="4283" spans="1:12">
      <c r="A4283" t="s">
        <v>12413</v>
      </c>
      <c r="B4283" t="s">
        <v>12414</v>
      </c>
      <c r="C4283" t="s">
        <v>12415</v>
      </c>
      <c r="D4283" t="s">
        <v>23</v>
      </c>
      <c r="E4283" t="s">
        <v>28</v>
      </c>
      <c r="F4283" t="s">
        <v>36</v>
      </c>
      <c r="G4283" t="s">
        <v>31</v>
      </c>
      <c r="H4283">
        <f>Cleaned_Data!K4283</f>
        <v>18.440000000000001</v>
      </c>
      <c r="I4283" t="str">
        <f t="shared" si="198"/>
        <v>YES</v>
      </c>
      <c r="J4283">
        <f>Cleaned_Data!J4283</f>
        <v>24</v>
      </c>
      <c r="K4283" t="str">
        <f t="shared" si="199"/>
        <v>2024-09</v>
      </c>
      <c r="L4283">
        <f t="shared" si="200"/>
        <v>0</v>
      </c>
    </row>
    <row r="4284" spans="1:12">
      <c r="A4284" t="s">
        <v>12416</v>
      </c>
      <c r="B4284" t="s">
        <v>12417</v>
      </c>
      <c r="C4284" t="s">
        <v>12418</v>
      </c>
      <c r="D4284" t="s">
        <v>35</v>
      </c>
      <c r="E4284" t="s">
        <v>59</v>
      </c>
      <c r="F4284" t="s">
        <v>17</v>
      </c>
      <c r="G4284" t="s">
        <v>31</v>
      </c>
      <c r="H4284">
        <f>Cleaned_Data!K4284</f>
        <v>43.17</v>
      </c>
      <c r="I4284" t="str">
        <f t="shared" si="198"/>
        <v>YES</v>
      </c>
      <c r="J4284">
        <f>Cleaned_Data!J4284</f>
        <v>48</v>
      </c>
      <c r="K4284" t="str">
        <f t="shared" si="199"/>
        <v>2024-06</v>
      </c>
      <c r="L4284">
        <f t="shared" si="200"/>
        <v>0</v>
      </c>
    </row>
    <row r="4285" spans="1:12">
      <c r="A4285" t="s">
        <v>12419</v>
      </c>
      <c r="B4285" t="s">
        <v>12420</v>
      </c>
      <c r="C4285" t="s">
        <v>12421</v>
      </c>
      <c r="D4285" t="s">
        <v>15</v>
      </c>
      <c r="E4285" t="s">
        <v>59</v>
      </c>
      <c r="F4285" t="s">
        <v>29</v>
      </c>
      <c r="G4285" t="s">
        <v>19</v>
      </c>
      <c r="H4285">
        <f>Cleaned_Data!K4285</f>
        <v>6.86</v>
      </c>
      <c r="I4285" t="str">
        <f t="shared" si="198"/>
        <v>YES</v>
      </c>
      <c r="J4285">
        <f>Cleaned_Data!J4285</f>
        <v>8</v>
      </c>
      <c r="K4285" t="str">
        <f t="shared" si="199"/>
        <v>2024-10</v>
      </c>
      <c r="L4285">
        <f t="shared" si="200"/>
        <v>0</v>
      </c>
    </row>
    <row r="4286" spans="1:12">
      <c r="A4286" t="s">
        <v>12422</v>
      </c>
      <c r="B4286" t="s">
        <v>12423</v>
      </c>
      <c r="C4286" t="s">
        <v>12424</v>
      </c>
      <c r="D4286" t="s">
        <v>15</v>
      </c>
      <c r="E4286" t="s">
        <v>28</v>
      </c>
      <c r="F4286" t="s">
        <v>36</v>
      </c>
      <c r="G4286" t="s">
        <v>31</v>
      </c>
      <c r="H4286">
        <f>Cleaned_Data!K4286</f>
        <v>4.24</v>
      </c>
      <c r="I4286" t="str">
        <f t="shared" si="198"/>
        <v>YES</v>
      </c>
      <c r="J4286">
        <f>Cleaned_Data!J4286</f>
        <v>8</v>
      </c>
      <c r="K4286" t="str">
        <f t="shared" si="199"/>
        <v>2024-01</v>
      </c>
      <c r="L4286">
        <f t="shared" si="200"/>
        <v>0</v>
      </c>
    </row>
    <row r="4287" spans="1:12">
      <c r="A4287" t="s">
        <v>12425</v>
      </c>
      <c r="B4287" t="s">
        <v>12426</v>
      </c>
      <c r="C4287" t="s">
        <v>12427</v>
      </c>
      <c r="D4287" t="s">
        <v>23</v>
      </c>
      <c r="E4287" t="s">
        <v>28</v>
      </c>
      <c r="F4287" t="s">
        <v>17</v>
      </c>
      <c r="G4287" t="s">
        <v>19</v>
      </c>
      <c r="H4287">
        <f>Cleaned_Data!K4287</f>
        <v>10.32</v>
      </c>
      <c r="I4287" t="str">
        <f t="shared" si="198"/>
        <v>YES</v>
      </c>
      <c r="J4287">
        <f>Cleaned_Data!J4287</f>
        <v>24</v>
      </c>
      <c r="K4287" t="str">
        <f t="shared" si="199"/>
        <v>2024-11</v>
      </c>
      <c r="L4287">
        <f t="shared" si="200"/>
        <v>0</v>
      </c>
    </row>
    <row r="4288" spans="1:12">
      <c r="A4288" t="s">
        <v>12428</v>
      </c>
      <c r="B4288" t="s">
        <v>12429</v>
      </c>
      <c r="D4288" t="s">
        <v>23</v>
      </c>
      <c r="E4288" t="s">
        <v>16</v>
      </c>
      <c r="F4288" t="s">
        <v>36</v>
      </c>
      <c r="G4288" t="s">
        <v>63</v>
      </c>
      <c r="H4288">
        <f>Cleaned_Data!K4288</f>
        <v>0</v>
      </c>
      <c r="I4288" t="str">
        <f t="shared" si="198"/>
        <v/>
      </c>
      <c r="J4288">
        <f>Cleaned_Data!J4288</f>
        <v>24</v>
      </c>
      <c r="K4288" t="str">
        <f t="shared" si="199"/>
        <v>2024-08</v>
      </c>
      <c r="L4288">
        <f t="shared" si="200"/>
        <v>0</v>
      </c>
    </row>
    <row r="4289" spans="1:12">
      <c r="A4289" t="s">
        <v>12430</v>
      </c>
      <c r="B4289" t="s">
        <v>12431</v>
      </c>
      <c r="C4289" t="s">
        <v>12432</v>
      </c>
      <c r="D4289" t="s">
        <v>23</v>
      </c>
      <c r="E4289" t="s">
        <v>28</v>
      </c>
      <c r="F4289" t="s">
        <v>60</v>
      </c>
      <c r="G4289" t="s">
        <v>31</v>
      </c>
      <c r="H4289">
        <f>Cleaned_Data!K4289</f>
        <v>6.52</v>
      </c>
      <c r="I4289" t="str">
        <f t="shared" si="198"/>
        <v>YES</v>
      </c>
      <c r="J4289">
        <f>Cleaned_Data!J4289</f>
        <v>24</v>
      </c>
      <c r="K4289" t="str">
        <f t="shared" si="199"/>
        <v>2024-11</v>
      </c>
      <c r="L4289">
        <f t="shared" si="200"/>
        <v>0</v>
      </c>
    </row>
    <row r="4290" spans="1:12">
      <c r="A4290" t="s">
        <v>12433</v>
      </c>
      <c r="B4290" t="s">
        <v>12434</v>
      </c>
      <c r="C4290" t="s">
        <v>12435</v>
      </c>
      <c r="D4290" t="s">
        <v>35</v>
      </c>
      <c r="E4290" t="s">
        <v>59</v>
      </c>
      <c r="F4290" t="s">
        <v>41</v>
      </c>
      <c r="G4290" t="s">
        <v>31</v>
      </c>
      <c r="H4290">
        <f>Cleaned_Data!K4290</f>
        <v>25.84</v>
      </c>
      <c r="I4290" t="str">
        <f t="shared" ref="I4290:I4353" si="201">IF(OR(G4290="Resolved", G4290="Closed"), IF(AND(H4290&lt;&gt;"", H4290&lt;=J4290), "YES", "NO"), "")</f>
        <v>YES</v>
      </c>
      <c r="J4290">
        <f>Cleaned_Data!J4290</f>
        <v>48</v>
      </c>
      <c r="K4290" t="str">
        <f t="shared" ref="K4290:K4353" si="202">LEFT(B4290, 7)</f>
        <v>2024-01</v>
      </c>
      <c r="L4290">
        <f t="shared" ref="L4290:L4353" si="203">IF(I4290="NO", H4290-J4290, 0)</f>
        <v>0</v>
      </c>
    </row>
    <row r="4291" spans="1:12">
      <c r="A4291" t="s">
        <v>12436</v>
      </c>
      <c r="B4291" t="s">
        <v>12437</v>
      </c>
      <c r="C4291" t="s">
        <v>12438</v>
      </c>
      <c r="D4291" t="s">
        <v>23</v>
      </c>
      <c r="E4291" t="s">
        <v>54</v>
      </c>
      <c r="F4291" t="s">
        <v>60</v>
      </c>
      <c r="G4291" t="s">
        <v>31</v>
      </c>
      <c r="H4291">
        <f>Cleaned_Data!K4291</f>
        <v>19.05</v>
      </c>
      <c r="I4291" t="str">
        <f t="shared" si="201"/>
        <v>YES</v>
      </c>
      <c r="J4291">
        <f>Cleaned_Data!J4291</f>
        <v>24</v>
      </c>
      <c r="K4291" t="str">
        <f t="shared" si="202"/>
        <v>2024-12</v>
      </c>
      <c r="L4291">
        <f t="shared" si="203"/>
        <v>0</v>
      </c>
    </row>
    <row r="4292" spans="1:12">
      <c r="A4292" t="s">
        <v>12439</v>
      </c>
      <c r="B4292" t="s">
        <v>12440</v>
      </c>
      <c r="C4292" t="s">
        <v>12441</v>
      </c>
      <c r="D4292" t="s">
        <v>35</v>
      </c>
      <c r="E4292" t="s">
        <v>28</v>
      </c>
      <c r="F4292" t="s">
        <v>36</v>
      </c>
      <c r="G4292" t="s">
        <v>19</v>
      </c>
      <c r="H4292">
        <f>Cleaned_Data!K4292</f>
        <v>38.729999999999997</v>
      </c>
      <c r="I4292" t="str">
        <f t="shared" si="201"/>
        <v>YES</v>
      </c>
      <c r="J4292">
        <f>Cleaned_Data!J4292</f>
        <v>48</v>
      </c>
      <c r="K4292" t="str">
        <f t="shared" si="202"/>
        <v>2024-07</v>
      </c>
      <c r="L4292">
        <f t="shared" si="203"/>
        <v>0</v>
      </c>
    </row>
    <row r="4293" spans="1:12">
      <c r="A4293" t="s">
        <v>12442</v>
      </c>
      <c r="B4293" t="s">
        <v>12443</v>
      </c>
      <c r="C4293" t="s">
        <v>12444</v>
      </c>
      <c r="D4293" t="s">
        <v>35</v>
      </c>
      <c r="E4293" t="s">
        <v>24</v>
      </c>
      <c r="F4293" t="s">
        <v>36</v>
      </c>
      <c r="G4293" t="s">
        <v>31</v>
      </c>
      <c r="H4293">
        <f>Cleaned_Data!K4293</f>
        <v>40.200000000000003</v>
      </c>
      <c r="I4293" t="str">
        <f t="shared" si="201"/>
        <v>YES</v>
      </c>
      <c r="J4293">
        <f>Cleaned_Data!J4293</f>
        <v>48</v>
      </c>
      <c r="K4293" t="str">
        <f t="shared" si="202"/>
        <v>2024-04</v>
      </c>
      <c r="L4293">
        <f t="shared" si="203"/>
        <v>0</v>
      </c>
    </row>
    <row r="4294" spans="1:12">
      <c r="A4294" t="s">
        <v>12445</v>
      </c>
      <c r="B4294" t="s">
        <v>12446</v>
      </c>
      <c r="C4294" t="s">
        <v>12447</v>
      </c>
      <c r="D4294" t="s">
        <v>35</v>
      </c>
      <c r="E4294" t="s">
        <v>28</v>
      </c>
      <c r="F4294" t="s">
        <v>41</v>
      </c>
      <c r="G4294" t="s">
        <v>19</v>
      </c>
      <c r="H4294">
        <f>Cleaned_Data!K4294</f>
        <v>30.79</v>
      </c>
      <c r="I4294" t="str">
        <f t="shared" si="201"/>
        <v>YES</v>
      </c>
      <c r="J4294">
        <f>Cleaned_Data!J4294</f>
        <v>48</v>
      </c>
      <c r="K4294" t="str">
        <f t="shared" si="202"/>
        <v>2024-04</v>
      </c>
      <c r="L4294">
        <f t="shared" si="203"/>
        <v>0</v>
      </c>
    </row>
    <row r="4295" spans="1:12">
      <c r="A4295" t="s">
        <v>12448</v>
      </c>
      <c r="B4295" t="s">
        <v>12449</v>
      </c>
      <c r="C4295" t="s">
        <v>12450</v>
      </c>
      <c r="D4295" t="s">
        <v>15</v>
      </c>
      <c r="E4295" t="s">
        <v>59</v>
      </c>
      <c r="F4295" t="s">
        <v>41</v>
      </c>
      <c r="G4295" t="s">
        <v>19</v>
      </c>
      <c r="H4295">
        <f>Cleaned_Data!K4295</f>
        <v>3.23</v>
      </c>
      <c r="I4295" t="str">
        <f t="shared" si="201"/>
        <v>YES</v>
      </c>
      <c r="J4295">
        <f>Cleaned_Data!J4295</f>
        <v>8</v>
      </c>
      <c r="K4295" t="str">
        <f t="shared" si="202"/>
        <v>2024-05</v>
      </c>
      <c r="L4295">
        <f t="shared" si="203"/>
        <v>0</v>
      </c>
    </row>
    <row r="4296" spans="1:12">
      <c r="A4296" t="s">
        <v>12451</v>
      </c>
      <c r="B4296" t="s">
        <v>12452</v>
      </c>
      <c r="D4296" t="s">
        <v>23</v>
      </c>
      <c r="E4296" t="s">
        <v>16</v>
      </c>
      <c r="F4296" t="s">
        <v>29</v>
      </c>
      <c r="G4296" t="s">
        <v>46</v>
      </c>
      <c r="H4296">
        <f>Cleaned_Data!K4296</f>
        <v>0</v>
      </c>
      <c r="I4296" t="str">
        <f t="shared" si="201"/>
        <v/>
      </c>
      <c r="J4296">
        <f>Cleaned_Data!J4296</f>
        <v>24</v>
      </c>
      <c r="K4296" t="str">
        <f t="shared" si="202"/>
        <v>2024-07</v>
      </c>
      <c r="L4296">
        <f t="shared" si="203"/>
        <v>0</v>
      </c>
    </row>
    <row r="4297" spans="1:12">
      <c r="A4297" t="s">
        <v>12453</v>
      </c>
      <c r="B4297" t="s">
        <v>12454</v>
      </c>
      <c r="C4297" t="s">
        <v>12455</v>
      </c>
      <c r="D4297" t="s">
        <v>23</v>
      </c>
      <c r="E4297" t="s">
        <v>28</v>
      </c>
      <c r="F4297" t="s">
        <v>60</v>
      </c>
      <c r="G4297" t="s">
        <v>19</v>
      </c>
      <c r="H4297">
        <f>Cleaned_Data!K4297</f>
        <v>12.59</v>
      </c>
      <c r="I4297" t="str">
        <f t="shared" si="201"/>
        <v>YES</v>
      </c>
      <c r="J4297">
        <f>Cleaned_Data!J4297</f>
        <v>24</v>
      </c>
      <c r="K4297" t="str">
        <f t="shared" si="202"/>
        <v>2024-11</v>
      </c>
      <c r="L4297">
        <f t="shared" si="203"/>
        <v>0</v>
      </c>
    </row>
    <row r="4298" spans="1:12">
      <c r="A4298" t="s">
        <v>12456</v>
      </c>
      <c r="B4298" t="s">
        <v>12457</v>
      </c>
      <c r="C4298" t="s">
        <v>12458</v>
      </c>
      <c r="D4298" t="s">
        <v>23</v>
      </c>
      <c r="E4298" t="s">
        <v>28</v>
      </c>
      <c r="F4298" t="s">
        <v>17</v>
      </c>
      <c r="G4298" t="s">
        <v>19</v>
      </c>
      <c r="H4298">
        <f>Cleaned_Data!K4298</f>
        <v>17.37</v>
      </c>
      <c r="I4298" t="str">
        <f t="shared" si="201"/>
        <v>YES</v>
      </c>
      <c r="J4298">
        <f>Cleaned_Data!J4298</f>
        <v>24</v>
      </c>
      <c r="K4298" t="str">
        <f t="shared" si="202"/>
        <v>2024-03</v>
      </c>
      <c r="L4298">
        <f t="shared" si="203"/>
        <v>0</v>
      </c>
    </row>
    <row r="4299" spans="1:12">
      <c r="A4299" t="s">
        <v>12459</v>
      </c>
      <c r="B4299" t="s">
        <v>12460</v>
      </c>
      <c r="C4299" t="s">
        <v>12461</v>
      </c>
      <c r="D4299" t="s">
        <v>15</v>
      </c>
      <c r="E4299" t="s">
        <v>28</v>
      </c>
      <c r="F4299" t="s">
        <v>29</v>
      </c>
      <c r="G4299" t="s">
        <v>31</v>
      </c>
      <c r="H4299">
        <f>Cleaned_Data!K4299</f>
        <v>1.9</v>
      </c>
      <c r="I4299" t="str">
        <f t="shared" si="201"/>
        <v>YES</v>
      </c>
      <c r="J4299">
        <f>Cleaned_Data!J4299</f>
        <v>8</v>
      </c>
      <c r="K4299" t="str">
        <f t="shared" si="202"/>
        <v>2024-07</v>
      </c>
      <c r="L4299">
        <f t="shared" si="203"/>
        <v>0</v>
      </c>
    </row>
    <row r="4300" spans="1:12">
      <c r="A4300" t="s">
        <v>12462</v>
      </c>
      <c r="B4300" t="s">
        <v>12463</v>
      </c>
      <c r="C4300" t="s">
        <v>12464</v>
      </c>
      <c r="D4300" t="s">
        <v>23</v>
      </c>
      <c r="E4300" t="s">
        <v>54</v>
      </c>
      <c r="F4300" t="s">
        <v>60</v>
      </c>
      <c r="G4300" t="s">
        <v>19</v>
      </c>
      <c r="H4300">
        <f>Cleaned_Data!K4300</f>
        <v>2.89</v>
      </c>
      <c r="I4300" t="str">
        <f t="shared" si="201"/>
        <v>YES</v>
      </c>
      <c r="J4300">
        <f>Cleaned_Data!J4300</f>
        <v>24</v>
      </c>
      <c r="K4300" t="str">
        <f t="shared" si="202"/>
        <v>2024-03</v>
      </c>
      <c r="L4300">
        <f t="shared" si="203"/>
        <v>0</v>
      </c>
    </row>
    <row r="4301" spans="1:12">
      <c r="A4301" t="s">
        <v>12465</v>
      </c>
      <c r="B4301" t="s">
        <v>12466</v>
      </c>
      <c r="C4301" t="s">
        <v>12467</v>
      </c>
      <c r="D4301" t="s">
        <v>15</v>
      </c>
      <c r="E4301" t="s">
        <v>16</v>
      </c>
      <c r="F4301" t="s">
        <v>17</v>
      </c>
      <c r="G4301" t="s">
        <v>31</v>
      </c>
      <c r="H4301">
        <f>Cleaned_Data!K4301</f>
        <v>2.66</v>
      </c>
      <c r="I4301" t="str">
        <f t="shared" si="201"/>
        <v>YES</v>
      </c>
      <c r="J4301">
        <f>Cleaned_Data!J4301</f>
        <v>8</v>
      </c>
      <c r="K4301" t="str">
        <f t="shared" si="202"/>
        <v>2024-11</v>
      </c>
      <c r="L4301">
        <f t="shared" si="203"/>
        <v>0</v>
      </c>
    </row>
    <row r="4302" spans="1:12">
      <c r="A4302" t="s">
        <v>12468</v>
      </c>
      <c r="B4302" t="s">
        <v>12469</v>
      </c>
      <c r="C4302" t="s">
        <v>12470</v>
      </c>
      <c r="D4302" t="s">
        <v>23</v>
      </c>
      <c r="E4302" t="s">
        <v>28</v>
      </c>
      <c r="F4302" t="s">
        <v>41</v>
      </c>
      <c r="G4302" t="s">
        <v>19</v>
      </c>
      <c r="H4302">
        <f>Cleaned_Data!K4302</f>
        <v>37.64</v>
      </c>
      <c r="I4302" t="str">
        <f t="shared" si="201"/>
        <v>NO</v>
      </c>
      <c r="J4302">
        <f>Cleaned_Data!J4302</f>
        <v>24</v>
      </c>
      <c r="K4302" t="str">
        <f t="shared" si="202"/>
        <v>2024-12</v>
      </c>
      <c r="L4302">
        <f t="shared" si="203"/>
        <v>13.64</v>
      </c>
    </row>
    <row r="4303" spans="1:12">
      <c r="A4303" t="s">
        <v>12471</v>
      </c>
      <c r="B4303" t="s">
        <v>12472</v>
      </c>
      <c r="C4303" t="s">
        <v>12473</v>
      </c>
      <c r="D4303" t="s">
        <v>23</v>
      </c>
      <c r="E4303" t="s">
        <v>28</v>
      </c>
      <c r="F4303" t="s">
        <v>36</v>
      </c>
      <c r="G4303" t="s">
        <v>19</v>
      </c>
      <c r="H4303">
        <f>Cleaned_Data!K4303</f>
        <v>19.489999999999998</v>
      </c>
      <c r="I4303" t="str">
        <f t="shared" si="201"/>
        <v>YES</v>
      </c>
      <c r="J4303">
        <f>Cleaned_Data!J4303</f>
        <v>24</v>
      </c>
      <c r="K4303" t="str">
        <f t="shared" si="202"/>
        <v>2024-06</v>
      </c>
      <c r="L4303">
        <f t="shared" si="203"/>
        <v>0</v>
      </c>
    </row>
    <row r="4304" spans="1:12">
      <c r="A4304" t="s">
        <v>12474</v>
      </c>
      <c r="B4304" t="s">
        <v>12475</v>
      </c>
      <c r="C4304" t="s">
        <v>12476</v>
      </c>
      <c r="D4304" t="s">
        <v>158</v>
      </c>
      <c r="E4304" t="s">
        <v>54</v>
      </c>
      <c r="F4304" t="s">
        <v>29</v>
      </c>
      <c r="G4304" t="s">
        <v>19</v>
      </c>
      <c r="H4304">
        <f>Cleaned_Data!K4304</f>
        <v>3.53</v>
      </c>
      <c r="I4304" t="str">
        <f t="shared" si="201"/>
        <v>YES</v>
      </c>
      <c r="J4304">
        <f>Cleaned_Data!J4304</f>
        <v>4</v>
      </c>
      <c r="K4304" t="str">
        <f t="shared" si="202"/>
        <v>2024-12</v>
      </c>
      <c r="L4304">
        <f t="shared" si="203"/>
        <v>0</v>
      </c>
    </row>
    <row r="4305" spans="1:12">
      <c r="A4305" t="s">
        <v>12477</v>
      </c>
      <c r="B4305" t="s">
        <v>12478</v>
      </c>
      <c r="C4305" t="s">
        <v>12479</v>
      </c>
      <c r="D4305" t="s">
        <v>23</v>
      </c>
      <c r="E4305" t="s">
        <v>28</v>
      </c>
      <c r="F4305" t="s">
        <v>29</v>
      </c>
      <c r="G4305" t="s">
        <v>31</v>
      </c>
      <c r="H4305">
        <f>Cleaned_Data!K4305</f>
        <v>19.97</v>
      </c>
      <c r="I4305" t="str">
        <f t="shared" si="201"/>
        <v>YES</v>
      </c>
      <c r="J4305">
        <f>Cleaned_Data!J4305</f>
        <v>24</v>
      </c>
      <c r="K4305" t="str">
        <f t="shared" si="202"/>
        <v>2024-06</v>
      </c>
      <c r="L4305">
        <f t="shared" si="203"/>
        <v>0</v>
      </c>
    </row>
    <row r="4306" spans="1:12">
      <c r="A4306" t="s">
        <v>12480</v>
      </c>
      <c r="B4306" t="s">
        <v>12481</v>
      </c>
      <c r="C4306" t="s">
        <v>12482</v>
      </c>
      <c r="D4306" t="s">
        <v>158</v>
      </c>
      <c r="E4306" t="s">
        <v>28</v>
      </c>
      <c r="F4306" t="s">
        <v>36</v>
      </c>
      <c r="G4306" t="s">
        <v>31</v>
      </c>
      <c r="H4306">
        <f>Cleaned_Data!K4306</f>
        <v>10.83</v>
      </c>
      <c r="I4306" t="str">
        <f t="shared" si="201"/>
        <v>NO</v>
      </c>
      <c r="J4306">
        <f>Cleaned_Data!J4306</f>
        <v>4</v>
      </c>
      <c r="K4306" t="str">
        <f t="shared" si="202"/>
        <v>2024-06</v>
      </c>
      <c r="L4306">
        <f t="shared" si="203"/>
        <v>6.83</v>
      </c>
    </row>
    <row r="4307" spans="1:12">
      <c r="A4307" t="s">
        <v>12483</v>
      </c>
      <c r="B4307" t="s">
        <v>12484</v>
      </c>
      <c r="C4307" t="s">
        <v>12485</v>
      </c>
      <c r="D4307" t="s">
        <v>15</v>
      </c>
      <c r="E4307" t="s">
        <v>16</v>
      </c>
      <c r="F4307" t="s">
        <v>17</v>
      </c>
      <c r="G4307" t="s">
        <v>19</v>
      </c>
      <c r="H4307">
        <f>Cleaned_Data!K4307</f>
        <v>4.7</v>
      </c>
      <c r="I4307" t="str">
        <f t="shared" si="201"/>
        <v>YES</v>
      </c>
      <c r="J4307">
        <f>Cleaned_Data!J4307</f>
        <v>8</v>
      </c>
      <c r="K4307" t="str">
        <f t="shared" si="202"/>
        <v>2024-06</v>
      </c>
      <c r="L4307">
        <f t="shared" si="203"/>
        <v>0</v>
      </c>
    </row>
    <row r="4308" spans="1:12">
      <c r="A4308" t="s">
        <v>12486</v>
      </c>
      <c r="B4308" t="s">
        <v>12487</v>
      </c>
      <c r="D4308" t="s">
        <v>23</v>
      </c>
      <c r="E4308" t="s">
        <v>54</v>
      </c>
      <c r="F4308" t="s">
        <v>60</v>
      </c>
      <c r="G4308" t="s">
        <v>46</v>
      </c>
      <c r="H4308">
        <f>Cleaned_Data!K4308</f>
        <v>0</v>
      </c>
      <c r="I4308" t="str">
        <f t="shared" si="201"/>
        <v/>
      </c>
      <c r="J4308">
        <f>Cleaned_Data!J4308</f>
        <v>24</v>
      </c>
      <c r="K4308" t="str">
        <f t="shared" si="202"/>
        <v>2024-07</v>
      </c>
      <c r="L4308">
        <f t="shared" si="203"/>
        <v>0</v>
      </c>
    </row>
    <row r="4309" spans="1:12">
      <c r="A4309" t="s">
        <v>12488</v>
      </c>
      <c r="B4309" t="s">
        <v>12489</v>
      </c>
      <c r="C4309" t="s">
        <v>12490</v>
      </c>
      <c r="D4309" t="s">
        <v>23</v>
      </c>
      <c r="E4309" t="s">
        <v>16</v>
      </c>
      <c r="F4309" t="s">
        <v>17</v>
      </c>
      <c r="G4309" t="s">
        <v>19</v>
      </c>
      <c r="H4309">
        <f>Cleaned_Data!K4309</f>
        <v>16.68</v>
      </c>
      <c r="I4309" t="str">
        <f t="shared" si="201"/>
        <v>YES</v>
      </c>
      <c r="J4309">
        <f>Cleaned_Data!J4309</f>
        <v>24</v>
      </c>
      <c r="K4309" t="str">
        <f t="shared" si="202"/>
        <v>2024-07</v>
      </c>
      <c r="L4309">
        <f t="shared" si="203"/>
        <v>0</v>
      </c>
    </row>
    <row r="4310" spans="1:12">
      <c r="A4310" t="s">
        <v>12491</v>
      </c>
      <c r="B4310" t="s">
        <v>12492</v>
      </c>
      <c r="C4310" t="s">
        <v>12493</v>
      </c>
      <c r="D4310" t="s">
        <v>23</v>
      </c>
      <c r="E4310" t="s">
        <v>54</v>
      </c>
      <c r="F4310" t="s">
        <v>60</v>
      </c>
      <c r="G4310" t="s">
        <v>19</v>
      </c>
      <c r="H4310">
        <f>Cleaned_Data!K4310</f>
        <v>15.56</v>
      </c>
      <c r="I4310" t="str">
        <f t="shared" si="201"/>
        <v>YES</v>
      </c>
      <c r="J4310">
        <f>Cleaned_Data!J4310</f>
        <v>24</v>
      </c>
      <c r="K4310" t="str">
        <f t="shared" si="202"/>
        <v>2024-01</v>
      </c>
      <c r="L4310">
        <f t="shared" si="203"/>
        <v>0</v>
      </c>
    </row>
    <row r="4311" spans="1:12">
      <c r="A4311" t="s">
        <v>12494</v>
      </c>
      <c r="B4311" t="s">
        <v>12495</v>
      </c>
      <c r="C4311" t="s">
        <v>12496</v>
      </c>
      <c r="D4311" t="s">
        <v>15</v>
      </c>
      <c r="E4311" t="s">
        <v>24</v>
      </c>
      <c r="F4311" t="s">
        <v>41</v>
      </c>
      <c r="G4311" t="s">
        <v>19</v>
      </c>
      <c r="H4311">
        <f>Cleaned_Data!K4311</f>
        <v>15.14</v>
      </c>
      <c r="I4311" t="str">
        <f t="shared" si="201"/>
        <v>NO</v>
      </c>
      <c r="J4311">
        <f>Cleaned_Data!J4311</f>
        <v>8</v>
      </c>
      <c r="K4311" t="str">
        <f t="shared" si="202"/>
        <v>2024-09</v>
      </c>
      <c r="L4311">
        <f t="shared" si="203"/>
        <v>7.1400000000000006</v>
      </c>
    </row>
    <row r="4312" spans="1:12">
      <c r="A4312" t="s">
        <v>12497</v>
      </c>
      <c r="B4312" t="s">
        <v>12498</v>
      </c>
      <c r="C4312" t="s">
        <v>12499</v>
      </c>
      <c r="D4312" t="s">
        <v>15</v>
      </c>
      <c r="E4312" t="s">
        <v>28</v>
      </c>
      <c r="F4312" t="s">
        <v>29</v>
      </c>
      <c r="G4312" t="s">
        <v>19</v>
      </c>
      <c r="H4312">
        <f>Cleaned_Data!K4312</f>
        <v>5.53</v>
      </c>
      <c r="I4312" t="str">
        <f t="shared" si="201"/>
        <v>YES</v>
      </c>
      <c r="J4312">
        <f>Cleaned_Data!J4312</f>
        <v>8</v>
      </c>
      <c r="K4312" t="str">
        <f t="shared" si="202"/>
        <v>2024-04</v>
      </c>
      <c r="L4312">
        <f t="shared" si="203"/>
        <v>0</v>
      </c>
    </row>
    <row r="4313" spans="1:12">
      <c r="A4313" t="s">
        <v>12500</v>
      </c>
      <c r="B4313" t="s">
        <v>12501</v>
      </c>
      <c r="C4313" t="s">
        <v>12502</v>
      </c>
      <c r="D4313" t="s">
        <v>35</v>
      </c>
      <c r="E4313" t="s">
        <v>28</v>
      </c>
      <c r="F4313" t="s">
        <v>36</v>
      </c>
      <c r="G4313" t="s">
        <v>19</v>
      </c>
      <c r="H4313">
        <f>Cleaned_Data!K4313</f>
        <v>40.25</v>
      </c>
      <c r="I4313" t="str">
        <f t="shared" si="201"/>
        <v>YES</v>
      </c>
      <c r="J4313">
        <f>Cleaned_Data!J4313</f>
        <v>48</v>
      </c>
      <c r="K4313" t="str">
        <f t="shared" si="202"/>
        <v>2024-11</v>
      </c>
      <c r="L4313">
        <f t="shared" si="203"/>
        <v>0</v>
      </c>
    </row>
    <row r="4314" spans="1:12">
      <c r="A4314" t="s">
        <v>12503</v>
      </c>
      <c r="B4314" t="s">
        <v>12504</v>
      </c>
      <c r="C4314" t="s">
        <v>12505</v>
      </c>
      <c r="D4314" t="s">
        <v>23</v>
      </c>
      <c r="E4314" t="s">
        <v>28</v>
      </c>
      <c r="F4314" t="s">
        <v>60</v>
      </c>
      <c r="G4314" t="s">
        <v>19</v>
      </c>
      <c r="H4314">
        <f>Cleaned_Data!K4314</f>
        <v>9.98</v>
      </c>
      <c r="I4314" t="str">
        <f t="shared" si="201"/>
        <v>YES</v>
      </c>
      <c r="J4314">
        <f>Cleaned_Data!J4314</f>
        <v>24</v>
      </c>
      <c r="K4314" t="str">
        <f t="shared" si="202"/>
        <v>2024-01</v>
      </c>
      <c r="L4314">
        <f t="shared" si="203"/>
        <v>0</v>
      </c>
    </row>
    <row r="4315" spans="1:12">
      <c r="A4315" t="s">
        <v>12506</v>
      </c>
      <c r="B4315" t="s">
        <v>12507</v>
      </c>
      <c r="C4315" t="s">
        <v>12508</v>
      </c>
      <c r="D4315" t="s">
        <v>15</v>
      </c>
      <c r="E4315" t="s">
        <v>28</v>
      </c>
      <c r="F4315" t="s">
        <v>29</v>
      </c>
      <c r="G4315" t="s">
        <v>19</v>
      </c>
      <c r="H4315">
        <f>Cleaned_Data!K4315</f>
        <v>3.91</v>
      </c>
      <c r="I4315" t="str">
        <f t="shared" si="201"/>
        <v>YES</v>
      </c>
      <c r="J4315">
        <f>Cleaned_Data!J4315</f>
        <v>8</v>
      </c>
      <c r="K4315" t="str">
        <f t="shared" si="202"/>
        <v>2024-05</v>
      </c>
      <c r="L4315">
        <f t="shared" si="203"/>
        <v>0</v>
      </c>
    </row>
    <row r="4316" spans="1:12">
      <c r="A4316" t="s">
        <v>12509</v>
      </c>
      <c r="B4316" t="s">
        <v>12510</v>
      </c>
      <c r="D4316" t="s">
        <v>23</v>
      </c>
      <c r="E4316" t="s">
        <v>28</v>
      </c>
      <c r="F4316" t="s">
        <v>29</v>
      </c>
      <c r="G4316" t="s">
        <v>63</v>
      </c>
      <c r="H4316">
        <f>Cleaned_Data!K4316</f>
        <v>0</v>
      </c>
      <c r="I4316" t="str">
        <f t="shared" si="201"/>
        <v/>
      </c>
      <c r="J4316">
        <f>Cleaned_Data!J4316</f>
        <v>24</v>
      </c>
      <c r="K4316" t="str">
        <f t="shared" si="202"/>
        <v>2024-06</v>
      </c>
      <c r="L4316">
        <f t="shared" si="203"/>
        <v>0</v>
      </c>
    </row>
    <row r="4317" spans="1:12">
      <c r="A4317" t="s">
        <v>12511</v>
      </c>
      <c r="B4317" t="s">
        <v>12512</v>
      </c>
      <c r="C4317" t="s">
        <v>12513</v>
      </c>
      <c r="D4317" t="s">
        <v>35</v>
      </c>
      <c r="E4317" t="s">
        <v>16</v>
      </c>
      <c r="F4317" t="s">
        <v>60</v>
      </c>
      <c r="G4317" t="s">
        <v>31</v>
      </c>
      <c r="H4317">
        <f>Cleaned_Data!K4317</f>
        <v>14.65</v>
      </c>
      <c r="I4317" t="str">
        <f t="shared" si="201"/>
        <v>YES</v>
      </c>
      <c r="J4317">
        <f>Cleaned_Data!J4317</f>
        <v>48</v>
      </c>
      <c r="K4317" t="str">
        <f t="shared" si="202"/>
        <v>2024-08</v>
      </c>
      <c r="L4317">
        <f t="shared" si="203"/>
        <v>0</v>
      </c>
    </row>
    <row r="4318" spans="1:12">
      <c r="A4318" t="s">
        <v>12514</v>
      </c>
      <c r="B4318" t="s">
        <v>12515</v>
      </c>
      <c r="C4318" t="s">
        <v>12516</v>
      </c>
      <c r="D4318" t="s">
        <v>35</v>
      </c>
      <c r="E4318" t="s">
        <v>59</v>
      </c>
      <c r="F4318" t="s">
        <v>41</v>
      </c>
      <c r="G4318" t="s">
        <v>31</v>
      </c>
      <c r="H4318">
        <f>Cleaned_Data!K4318</f>
        <v>39.11</v>
      </c>
      <c r="I4318" t="str">
        <f t="shared" si="201"/>
        <v>YES</v>
      </c>
      <c r="J4318">
        <f>Cleaned_Data!J4318</f>
        <v>48</v>
      </c>
      <c r="K4318" t="str">
        <f t="shared" si="202"/>
        <v>2024-06</v>
      </c>
      <c r="L4318">
        <f t="shared" si="203"/>
        <v>0</v>
      </c>
    </row>
    <row r="4319" spans="1:12">
      <c r="A4319" t="s">
        <v>12517</v>
      </c>
      <c r="B4319" t="s">
        <v>12518</v>
      </c>
      <c r="C4319" t="s">
        <v>12519</v>
      </c>
      <c r="D4319" t="s">
        <v>23</v>
      </c>
      <c r="E4319" t="s">
        <v>16</v>
      </c>
      <c r="F4319" t="s">
        <v>60</v>
      </c>
      <c r="G4319" t="s">
        <v>31</v>
      </c>
      <c r="H4319">
        <f>Cleaned_Data!K4319</f>
        <v>15.73</v>
      </c>
      <c r="I4319" t="str">
        <f t="shared" si="201"/>
        <v>YES</v>
      </c>
      <c r="J4319">
        <f>Cleaned_Data!J4319</f>
        <v>24</v>
      </c>
      <c r="K4319" t="str">
        <f t="shared" si="202"/>
        <v>2024-08</v>
      </c>
      <c r="L4319">
        <f t="shared" si="203"/>
        <v>0</v>
      </c>
    </row>
    <row r="4320" spans="1:12">
      <c r="A4320" t="s">
        <v>12520</v>
      </c>
      <c r="B4320" t="s">
        <v>12521</v>
      </c>
      <c r="C4320" t="s">
        <v>12522</v>
      </c>
      <c r="D4320" t="s">
        <v>35</v>
      </c>
      <c r="E4320" t="s">
        <v>28</v>
      </c>
      <c r="F4320" t="s">
        <v>36</v>
      </c>
      <c r="G4320" t="s">
        <v>19</v>
      </c>
      <c r="H4320">
        <f>Cleaned_Data!K4320</f>
        <v>28.59</v>
      </c>
      <c r="I4320" t="str">
        <f t="shared" si="201"/>
        <v>YES</v>
      </c>
      <c r="J4320">
        <f>Cleaned_Data!J4320</f>
        <v>48</v>
      </c>
      <c r="K4320" t="str">
        <f t="shared" si="202"/>
        <v>2024-05</v>
      </c>
      <c r="L4320">
        <f t="shared" si="203"/>
        <v>0</v>
      </c>
    </row>
    <row r="4321" spans="1:12">
      <c r="A4321" t="s">
        <v>12523</v>
      </c>
      <c r="B4321" t="s">
        <v>12524</v>
      </c>
      <c r="D4321" t="s">
        <v>35</v>
      </c>
      <c r="E4321" t="s">
        <v>28</v>
      </c>
      <c r="F4321" t="s">
        <v>29</v>
      </c>
      <c r="G4321" t="s">
        <v>63</v>
      </c>
      <c r="H4321">
        <f>Cleaned_Data!K4321</f>
        <v>0</v>
      </c>
      <c r="I4321" t="str">
        <f t="shared" si="201"/>
        <v/>
      </c>
      <c r="J4321">
        <f>Cleaned_Data!J4321</f>
        <v>48</v>
      </c>
      <c r="K4321" t="str">
        <f t="shared" si="202"/>
        <v>2024-11</v>
      </c>
      <c r="L4321">
        <f t="shared" si="203"/>
        <v>0</v>
      </c>
    </row>
    <row r="4322" spans="1:12">
      <c r="A4322" t="s">
        <v>12525</v>
      </c>
      <c r="B4322" t="s">
        <v>12526</v>
      </c>
      <c r="C4322" t="s">
        <v>12527</v>
      </c>
      <c r="D4322" t="s">
        <v>23</v>
      </c>
      <c r="E4322" t="s">
        <v>28</v>
      </c>
      <c r="F4322" t="s">
        <v>17</v>
      </c>
      <c r="G4322" t="s">
        <v>19</v>
      </c>
      <c r="H4322">
        <f>Cleaned_Data!K4322</f>
        <v>16.350000000000001</v>
      </c>
      <c r="I4322" t="str">
        <f t="shared" si="201"/>
        <v>YES</v>
      </c>
      <c r="J4322">
        <f>Cleaned_Data!J4322</f>
        <v>24</v>
      </c>
      <c r="K4322" t="str">
        <f t="shared" si="202"/>
        <v>2024-04</v>
      </c>
      <c r="L4322">
        <f t="shared" si="203"/>
        <v>0</v>
      </c>
    </row>
    <row r="4323" spans="1:12">
      <c r="A4323" t="s">
        <v>12528</v>
      </c>
      <c r="B4323" t="s">
        <v>12529</v>
      </c>
      <c r="D4323" t="s">
        <v>23</v>
      </c>
      <c r="E4323" t="s">
        <v>16</v>
      </c>
      <c r="F4323" t="s">
        <v>36</v>
      </c>
      <c r="G4323" t="s">
        <v>46</v>
      </c>
      <c r="H4323">
        <f>Cleaned_Data!K4323</f>
        <v>0</v>
      </c>
      <c r="I4323" t="str">
        <f t="shared" si="201"/>
        <v/>
      </c>
      <c r="J4323">
        <f>Cleaned_Data!J4323</f>
        <v>24</v>
      </c>
      <c r="K4323" t="str">
        <f t="shared" si="202"/>
        <v>2024-02</v>
      </c>
      <c r="L4323">
        <f t="shared" si="203"/>
        <v>0</v>
      </c>
    </row>
    <row r="4324" spans="1:12">
      <c r="A4324" t="s">
        <v>12530</v>
      </c>
      <c r="B4324" t="s">
        <v>12531</v>
      </c>
      <c r="C4324" t="s">
        <v>12532</v>
      </c>
      <c r="D4324" t="s">
        <v>15</v>
      </c>
      <c r="E4324" t="s">
        <v>28</v>
      </c>
      <c r="F4324" t="s">
        <v>60</v>
      </c>
      <c r="G4324" t="s">
        <v>19</v>
      </c>
      <c r="H4324">
        <f>Cleaned_Data!K4324</f>
        <v>10.45</v>
      </c>
      <c r="I4324" t="str">
        <f t="shared" si="201"/>
        <v>NO</v>
      </c>
      <c r="J4324">
        <f>Cleaned_Data!J4324</f>
        <v>8</v>
      </c>
      <c r="K4324" t="str">
        <f t="shared" si="202"/>
        <v>2024-06</v>
      </c>
      <c r="L4324">
        <f t="shared" si="203"/>
        <v>2.4499999999999993</v>
      </c>
    </row>
    <row r="4325" spans="1:12">
      <c r="A4325" t="s">
        <v>12533</v>
      </c>
      <c r="B4325" t="s">
        <v>12534</v>
      </c>
      <c r="C4325" t="s">
        <v>12535</v>
      </c>
      <c r="D4325" t="s">
        <v>35</v>
      </c>
      <c r="E4325" t="s">
        <v>16</v>
      </c>
      <c r="F4325" t="s">
        <v>60</v>
      </c>
      <c r="G4325" t="s">
        <v>31</v>
      </c>
      <c r="H4325">
        <f>Cleaned_Data!K4325</f>
        <v>79.680000000000007</v>
      </c>
      <c r="I4325" t="str">
        <f t="shared" si="201"/>
        <v>NO</v>
      </c>
      <c r="J4325">
        <f>Cleaned_Data!J4325</f>
        <v>48</v>
      </c>
      <c r="K4325" t="str">
        <f t="shared" si="202"/>
        <v>2024-11</v>
      </c>
      <c r="L4325">
        <f t="shared" si="203"/>
        <v>31.680000000000007</v>
      </c>
    </row>
    <row r="4326" spans="1:12">
      <c r="A4326" t="s">
        <v>12536</v>
      </c>
      <c r="B4326" t="s">
        <v>12537</v>
      </c>
      <c r="D4326" t="s">
        <v>35</v>
      </c>
      <c r="E4326" t="s">
        <v>16</v>
      </c>
      <c r="F4326" t="s">
        <v>17</v>
      </c>
      <c r="G4326" t="s">
        <v>63</v>
      </c>
      <c r="H4326">
        <f>Cleaned_Data!K4326</f>
        <v>0</v>
      </c>
      <c r="I4326" t="str">
        <f t="shared" si="201"/>
        <v/>
      </c>
      <c r="J4326">
        <f>Cleaned_Data!J4326</f>
        <v>48</v>
      </c>
      <c r="K4326" t="str">
        <f t="shared" si="202"/>
        <v>2024-09</v>
      </c>
      <c r="L4326">
        <f t="shared" si="203"/>
        <v>0</v>
      </c>
    </row>
    <row r="4327" spans="1:12">
      <c r="A4327" t="s">
        <v>12538</v>
      </c>
      <c r="B4327" t="s">
        <v>12539</v>
      </c>
      <c r="C4327" t="s">
        <v>12540</v>
      </c>
      <c r="D4327" t="s">
        <v>15</v>
      </c>
      <c r="E4327" t="s">
        <v>59</v>
      </c>
      <c r="F4327" t="s">
        <v>36</v>
      </c>
      <c r="G4327" t="s">
        <v>31</v>
      </c>
      <c r="H4327">
        <f>Cleaned_Data!K4327</f>
        <v>5.1100000000000003</v>
      </c>
      <c r="I4327" t="str">
        <f t="shared" si="201"/>
        <v>YES</v>
      </c>
      <c r="J4327">
        <f>Cleaned_Data!J4327</f>
        <v>8</v>
      </c>
      <c r="K4327" t="str">
        <f t="shared" si="202"/>
        <v>2024-06</v>
      </c>
      <c r="L4327">
        <f t="shared" si="203"/>
        <v>0</v>
      </c>
    </row>
    <row r="4328" spans="1:12">
      <c r="A4328" t="s">
        <v>12541</v>
      </c>
      <c r="B4328" t="s">
        <v>12542</v>
      </c>
      <c r="C4328" t="s">
        <v>12543</v>
      </c>
      <c r="D4328" t="s">
        <v>23</v>
      </c>
      <c r="E4328" t="s">
        <v>24</v>
      </c>
      <c r="F4328" t="s">
        <v>29</v>
      </c>
      <c r="G4328" t="s">
        <v>19</v>
      </c>
      <c r="H4328">
        <f>Cleaned_Data!K4328</f>
        <v>5.47</v>
      </c>
      <c r="I4328" t="str">
        <f t="shared" si="201"/>
        <v>YES</v>
      </c>
      <c r="J4328">
        <f>Cleaned_Data!J4328</f>
        <v>24</v>
      </c>
      <c r="K4328" t="str">
        <f t="shared" si="202"/>
        <v>2024-10</v>
      </c>
      <c r="L4328">
        <f t="shared" si="203"/>
        <v>0</v>
      </c>
    </row>
    <row r="4329" spans="1:12">
      <c r="A4329" t="s">
        <v>12544</v>
      </c>
      <c r="B4329" t="s">
        <v>12545</v>
      </c>
      <c r="C4329" t="s">
        <v>12546</v>
      </c>
      <c r="D4329" t="s">
        <v>23</v>
      </c>
      <c r="E4329" t="s">
        <v>28</v>
      </c>
      <c r="F4329" t="s">
        <v>17</v>
      </c>
      <c r="G4329" t="s">
        <v>19</v>
      </c>
      <c r="H4329">
        <f>Cleaned_Data!K4329</f>
        <v>3.14</v>
      </c>
      <c r="I4329" t="str">
        <f t="shared" si="201"/>
        <v>YES</v>
      </c>
      <c r="J4329">
        <f>Cleaned_Data!J4329</f>
        <v>24</v>
      </c>
      <c r="K4329" t="str">
        <f t="shared" si="202"/>
        <v>2024-05</v>
      </c>
      <c r="L4329">
        <f t="shared" si="203"/>
        <v>0</v>
      </c>
    </row>
    <row r="4330" spans="1:12">
      <c r="A4330" t="s">
        <v>12547</v>
      </c>
      <c r="B4330" t="s">
        <v>12548</v>
      </c>
      <c r="C4330" t="s">
        <v>12549</v>
      </c>
      <c r="D4330" t="s">
        <v>23</v>
      </c>
      <c r="E4330" t="s">
        <v>59</v>
      </c>
      <c r="F4330" t="s">
        <v>29</v>
      </c>
      <c r="G4330" t="s">
        <v>31</v>
      </c>
      <c r="H4330">
        <f>Cleaned_Data!K4330</f>
        <v>8.0399999999999991</v>
      </c>
      <c r="I4330" t="str">
        <f t="shared" si="201"/>
        <v>YES</v>
      </c>
      <c r="J4330">
        <f>Cleaned_Data!J4330</f>
        <v>24</v>
      </c>
      <c r="K4330" t="str">
        <f t="shared" si="202"/>
        <v>2024-03</v>
      </c>
      <c r="L4330">
        <f t="shared" si="203"/>
        <v>0</v>
      </c>
    </row>
    <row r="4331" spans="1:12">
      <c r="A4331" t="s">
        <v>12550</v>
      </c>
      <c r="B4331" t="s">
        <v>12551</v>
      </c>
      <c r="C4331" t="s">
        <v>12552</v>
      </c>
      <c r="D4331" t="s">
        <v>23</v>
      </c>
      <c r="E4331" t="s">
        <v>28</v>
      </c>
      <c r="F4331" t="s">
        <v>60</v>
      </c>
      <c r="G4331" t="s">
        <v>31</v>
      </c>
      <c r="H4331">
        <f>Cleaned_Data!K4331</f>
        <v>7.98</v>
      </c>
      <c r="I4331" t="str">
        <f t="shared" si="201"/>
        <v>YES</v>
      </c>
      <c r="J4331">
        <f>Cleaned_Data!J4331</f>
        <v>24</v>
      </c>
      <c r="K4331" t="str">
        <f t="shared" si="202"/>
        <v>2024-09</v>
      </c>
      <c r="L4331">
        <f t="shared" si="203"/>
        <v>0</v>
      </c>
    </row>
    <row r="4332" spans="1:12">
      <c r="A4332" t="s">
        <v>12553</v>
      </c>
      <c r="B4332" t="s">
        <v>12554</v>
      </c>
      <c r="C4332" t="s">
        <v>12555</v>
      </c>
      <c r="D4332" t="s">
        <v>35</v>
      </c>
      <c r="E4332" t="s">
        <v>28</v>
      </c>
      <c r="F4332" t="s">
        <v>17</v>
      </c>
      <c r="G4332" t="s">
        <v>19</v>
      </c>
      <c r="H4332">
        <f>Cleaned_Data!K4332</f>
        <v>5.39</v>
      </c>
      <c r="I4332" t="str">
        <f t="shared" si="201"/>
        <v>YES</v>
      </c>
      <c r="J4332">
        <f>Cleaned_Data!J4332</f>
        <v>48</v>
      </c>
      <c r="K4332" t="str">
        <f t="shared" si="202"/>
        <v>2024-02</v>
      </c>
      <c r="L4332">
        <f t="shared" si="203"/>
        <v>0</v>
      </c>
    </row>
    <row r="4333" spans="1:12">
      <c r="A4333" t="s">
        <v>12556</v>
      </c>
      <c r="B4333" t="s">
        <v>12557</v>
      </c>
      <c r="C4333" t="s">
        <v>12558</v>
      </c>
      <c r="D4333" t="s">
        <v>15</v>
      </c>
      <c r="E4333" t="s">
        <v>16</v>
      </c>
      <c r="F4333" t="s">
        <v>17</v>
      </c>
      <c r="G4333" t="s">
        <v>19</v>
      </c>
      <c r="H4333">
        <f>Cleaned_Data!K4333</f>
        <v>7.19</v>
      </c>
      <c r="I4333" t="str">
        <f t="shared" si="201"/>
        <v>YES</v>
      </c>
      <c r="J4333">
        <f>Cleaned_Data!J4333</f>
        <v>8</v>
      </c>
      <c r="K4333" t="str">
        <f t="shared" si="202"/>
        <v>2024-08</v>
      </c>
      <c r="L4333">
        <f t="shared" si="203"/>
        <v>0</v>
      </c>
    </row>
    <row r="4334" spans="1:12">
      <c r="A4334" t="s">
        <v>12559</v>
      </c>
      <c r="B4334" t="s">
        <v>12560</v>
      </c>
      <c r="C4334" t="s">
        <v>12561</v>
      </c>
      <c r="D4334" t="s">
        <v>23</v>
      </c>
      <c r="E4334" t="s">
        <v>24</v>
      </c>
      <c r="F4334" t="s">
        <v>29</v>
      </c>
      <c r="G4334" t="s">
        <v>19</v>
      </c>
      <c r="H4334">
        <f>Cleaned_Data!K4334</f>
        <v>4.16</v>
      </c>
      <c r="I4334" t="str">
        <f t="shared" si="201"/>
        <v>YES</v>
      </c>
      <c r="J4334">
        <f>Cleaned_Data!J4334</f>
        <v>24</v>
      </c>
      <c r="K4334" t="str">
        <f t="shared" si="202"/>
        <v>2024-11</v>
      </c>
      <c r="L4334">
        <f t="shared" si="203"/>
        <v>0</v>
      </c>
    </row>
    <row r="4335" spans="1:12">
      <c r="A4335" t="s">
        <v>12562</v>
      </c>
      <c r="B4335" t="s">
        <v>12563</v>
      </c>
      <c r="C4335" t="s">
        <v>12564</v>
      </c>
      <c r="D4335" t="s">
        <v>23</v>
      </c>
      <c r="E4335" t="s">
        <v>24</v>
      </c>
      <c r="F4335" t="s">
        <v>60</v>
      </c>
      <c r="G4335" t="s">
        <v>19</v>
      </c>
      <c r="H4335">
        <f>Cleaned_Data!K4335</f>
        <v>16.46</v>
      </c>
      <c r="I4335" t="str">
        <f t="shared" si="201"/>
        <v>YES</v>
      </c>
      <c r="J4335">
        <f>Cleaned_Data!J4335</f>
        <v>24</v>
      </c>
      <c r="K4335" t="str">
        <f t="shared" si="202"/>
        <v>2024-01</v>
      </c>
      <c r="L4335">
        <f t="shared" si="203"/>
        <v>0</v>
      </c>
    </row>
    <row r="4336" spans="1:12">
      <c r="A4336" t="s">
        <v>12565</v>
      </c>
      <c r="B4336" t="s">
        <v>12566</v>
      </c>
      <c r="C4336" t="s">
        <v>12567</v>
      </c>
      <c r="D4336" t="s">
        <v>23</v>
      </c>
      <c r="E4336" t="s">
        <v>28</v>
      </c>
      <c r="F4336" t="s">
        <v>17</v>
      </c>
      <c r="G4336" t="s">
        <v>19</v>
      </c>
      <c r="H4336">
        <f>Cleaned_Data!K4336</f>
        <v>11.39</v>
      </c>
      <c r="I4336" t="str">
        <f t="shared" si="201"/>
        <v>YES</v>
      </c>
      <c r="J4336">
        <f>Cleaned_Data!J4336</f>
        <v>24</v>
      </c>
      <c r="K4336" t="str">
        <f t="shared" si="202"/>
        <v>2024-02</v>
      </c>
      <c r="L4336">
        <f t="shared" si="203"/>
        <v>0</v>
      </c>
    </row>
    <row r="4337" spans="1:12">
      <c r="A4337" t="s">
        <v>12568</v>
      </c>
      <c r="B4337" t="s">
        <v>12569</v>
      </c>
      <c r="C4337" t="s">
        <v>12570</v>
      </c>
      <c r="D4337" t="s">
        <v>23</v>
      </c>
      <c r="E4337" t="s">
        <v>28</v>
      </c>
      <c r="F4337" t="s">
        <v>17</v>
      </c>
      <c r="G4337" t="s">
        <v>19</v>
      </c>
      <c r="H4337">
        <f>Cleaned_Data!K4337</f>
        <v>4.58</v>
      </c>
      <c r="I4337" t="str">
        <f t="shared" si="201"/>
        <v>YES</v>
      </c>
      <c r="J4337">
        <f>Cleaned_Data!J4337</f>
        <v>24</v>
      </c>
      <c r="K4337" t="str">
        <f t="shared" si="202"/>
        <v>2024-02</v>
      </c>
      <c r="L4337">
        <f t="shared" si="203"/>
        <v>0</v>
      </c>
    </row>
    <row r="4338" spans="1:12">
      <c r="A4338" t="s">
        <v>12571</v>
      </c>
      <c r="B4338" t="s">
        <v>12572</v>
      </c>
      <c r="C4338" t="s">
        <v>12573</v>
      </c>
      <c r="D4338" t="s">
        <v>15</v>
      </c>
      <c r="E4338" t="s">
        <v>28</v>
      </c>
      <c r="F4338" t="s">
        <v>41</v>
      </c>
      <c r="G4338" t="s">
        <v>19</v>
      </c>
      <c r="H4338">
        <f>Cleaned_Data!K4338</f>
        <v>4.74</v>
      </c>
      <c r="I4338" t="str">
        <f t="shared" si="201"/>
        <v>YES</v>
      </c>
      <c r="J4338">
        <f>Cleaned_Data!J4338</f>
        <v>8</v>
      </c>
      <c r="K4338" t="str">
        <f t="shared" si="202"/>
        <v>2024-02</v>
      </c>
      <c r="L4338">
        <f t="shared" si="203"/>
        <v>0</v>
      </c>
    </row>
    <row r="4339" spans="1:12">
      <c r="A4339" t="s">
        <v>12574</v>
      </c>
      <c r="B4339" t="s">
        <v>12575</v>
      </c>
      <c r="C4339" t="s">
        <v>12576</v>
      </c>
      <c r="D4339" t="s">
        <v>23</v>
      </c>
      <c r="E4339" t="s">
        <v>24</v>
      </c>
      <c r="F4339" t="s">
        <v>29</v>
      </c>
      <c r="G4339" t="s">
        <v>19</v>
      </c>
      <c r="H4339">
        <f>Cleaned_Data!K4339</f>
        <v>5.23</v>
      </c>
      <c r="I4339" t="str">
        <f t="shared" si="201"/>
        <v>YES</v>
      </c>
      <c r="J4339">
        <f>Cleaned_Data!J4339</f>
        <v>24</v>
      </c>
      <c r="K4339" t="str">
        <f t="shared" si="202"/>
        <v>2024-08</v>
      </c>
      <c r="L4339">
        <f t="shared" si="203"/>
        <v>0</v>
      </c>
    </row>
    <row r="4340" spans="1:12">
      <c r="A4340" t="s">
        <v>12577</v>
      </c>
      <c r="B4340" t="s">
        <v>12578</v>
      </c>
      <c r="C4340" t="s">
        <v>12579</v>
      </c>
      <c r="D4340" t="s">
        <v>35</v>
      </c>
      <c r="E4340" t="s">
        <v>24</v>
      </c>
      <c r="F4340" t="s">
        <v>29</v>
      </c>
      <c r="G4340" t="s">
        <v>31</v>
      </c>
      <c r="H4340">
        <f>Cleaned_Data!K4340</f>
        <v>22.62</v>
      </c>
      <c r="I4340" t="str">
        <f t="shared" si="201"/>
        <v>YES</v>
      </c>
      <c r="J4340">
        <f>Cleaned_Data!J4340</f>
        <v>48</v>
      </c>
      <c r="K4340" t="str">
        <f t="shared" si="202"/>
        <v>2024-01</v>
      </c>
      <c r="L4340">
        <f t="shared" si="203"/>
        <v>0</v>
      </c>
    </row>
    <row r="4341" spans="1:12">
      <c r="A4341" t="s">
        <v>12580</v>
      </c>
      <c r="B4341" t="s">
        <v>12581</v>
      </c>
      <c r="C4341" t="s">
        <v>12582</v>
      </c>
      <c r="D4341" t="s">
        <v>23</v>
      </c>
      <c r="E4341" t="s">
        <v>59</v>
      </c>
      <c r="F4341" t="s">
        <v>29</v>
      </c>
      <c r="G4341" t="s">
        <v>19</v>
      </c>
      <c r="H4341">
        <f>Cleaned_Data!K4341</f>
        <v>11.51</v>
      </c>
      <c r="I4341" t="str">
        <f t="shared" si="201"/>
        <v>YES</v>
      </c>
      <c r="J4341">
        <f>Cleaned_Data!J4341</f>
        <v>24</v>
      </c>
      <c r="K4341" t="str">
        <f t="shared" si="202"/>
        <v>2024-11</v>
      </c>
      <c r="L4341">
        <f t="shared" si="203"/>
        <v>0</v>
      </c>
    </row>
    <row r="4342" spans="1:12">
      <c r="A4342" t="s">
        <v>12583</v>
      </c>
      <c r="B4342" t="s">
        <v>12584</v>
      </c>
      <c r="C4342" t="s">
        <v>12585</v>
      </c>
      <c r="D4342" t="s">
        <v>35</v>
      </c>
      <c r="E4342" t="s">
        <v>54</v>
      </c>
      <c r="F4342" t="s">
        <v>17</v>
      </c>
      <c r="G4342" t="s">
        <v>31</v>
      </c>
      <c r="H4342">
        <f>Cleaned_Data!K4342</f>
        <v>71.09</v>
      </c>
      <c r="I4342" t="str">
        <f t="shared" si="201"/>
        <v>NO</v>
      </c>
      <c r="J4342">
        <f>Cleaned_Data!J4342</f>
        <v>48</v>
      </c>
      <c r="K4342" t="str">
        <f t="shared" si="202"/>
        <v>2024-10</v>
      </c>
      <c r="L4342">
        <f t="shared" si="203"/>
        <v>23.090000000000003</v>
      </c>
    </row>
    <row r="4343" spans="1:12">
      <c r="A4343" t="s">
        <v>12586</v>
      </c>
      <c r="B4343" t="s">
        <v>12587</v>
      </c>
      <c r="C4343" t="s">
        <v>12588</v>
      </c>
      <c r="D4343" t="s">
        <v>23</v>
      </c>
      <c r="E4343" t="s">
        <v>24</v>
      </c>
      <c r="F4343" t="s">
        <v>41</v>
      </c>
      <c r="G4343" t="s">
        <v>31</v>
      </c>
      <c r="H4343">
        <f>Cleaned_Data!K4343</f>
        <v>18.46</v>
      </c>
      <c r="I4343" t="str">
        <f t="shared" si="201"/>
        <v>YES</v>
      </c>
      <c r="J4343">
        <f>Cleaned_Data!J4343</f>
        <v>24</v>
      </c>
      <c r="K4343" t="str">
        <f t="shared" si="202"/>
        <v>2024-09</v>
      </c>
      <c r="L4343">
        <f t="shared" si="203"/>
        <v>0</v>
      </c>
    </row>
    <row r="4344" spans="1:12">
      <c r="A4344" t="s">
        <v>12589</v>
      </c>
      <c r="B4344" t="s">
        <v>12590</v>
      </c>
      <c r="C4344" t="s">
        <v>12591</v>
      </c>
      <c r="D4344" t="s">
        <v>35</v>
      </c>
      <c r="E4344" t="s">
        <v>59</v>
      </c>
      <c r="F4344" t="s">
        <v>17</v>
      </c>
      <c r="G4344" t="s">
        <v>31</v>
      </c>
      <c r="H4344">
        <f>Cleaned_Data!K4344</f>
        <v>43.17</v>
      </c>
      <c r="I4344" t="str">
        <f t="shared" si="201"/>
        <v>YES</v>
      </c>
      <c r="J4344">
        <f>Cleaned_Data!J4344</f>
        <v>48</v>
      </c>
      <c r="K4344" t="str">
        <f t="shared" si="202"/>
        <v>2024-09</v>
      </c>
      <c r="L4344">
        <f t="shared" si="203"/>
        <v>0</v>
      </c>
    </row>
    <row r="4345" spans="1:12">
      <c r="A4345" t="s">
        <v>12592</v>
      </c>
      <c r="B4345" t="s">
        <v>12593</v>
      </c>
      <c r="C4345" t="s">
        <v>12594</v>
      </c>
      <c r="D4345" t="s">
        <v>158</v>
      </c>
      <c r="E4345" t="s">
        <v>59</v>
      </c>
      <c r="F4345" t="s">
        <v>41</v>
      </c>
      <c r="G4345" t="s">
        <v>31</v>
      </c>
      <c r="H4345">
        <f>Cleaned_Data!K4345</f>
        <v>0.7</v>
      </c>
      <c r="I4345" t="str">
        <f t="shared" si="201"/>
        <v>YES</v>
      </c>
      <c r="J4345">
        <f>Cleaned_Data!J4345</f>
        <v>4</v>
      </c>
      <c r="K4345" t="str">
        <f t="shared" si="202"/>
        <v>2024-03</v>
      </c>
      <c r="L4345">
        <f t="shared" si="203"/>
        <v>0</v>
      </c>
    </row>
    <row r="4346" spans="1:12">
      <c r="A4346" t="s">
        <v>12595</v>
      </c>
      <c r="B4346" t="s">
        <v>12596</v>
      </c>
      <c r="C4346" t="s">
        <v>12597</v>
      </c>
      <c r="D4346" t="s">
        <v>35</v>
      </c>
      <c r="E4346" t="s">
        <v>24</v>
      </c>
      <c r="F4346" t="s">
        <v>29</v>
      </c>
      <c r="G4346" t="s">
        <v>19</v>
      </c>
      <c r="H4346">
        <f>Cleaned_Data!K4346</f>
        <v>13.38</v>
      </c>
      <c r="I4346" t="str">
        <f t="shared" si="201"/>
        <v>YES</v>
      </c>
      <c r="J4346">
        <f>Cleaned_Data!J4346</f>
        <v>48</v>
      </c>
      <c r="K4346" t="str">
        <f t="shared" si="202"/>
        <v>2024-04</v>
      </c>
      <c r="L4346">
        <f t="shared" si="203"/>
        <v>0</v>
      </c>
    </row>
    <row r="4347" spans="1:12">
      <c r="A4347" t="s">
        <v>12598</v>
      </c>
      <c r="B4347" t="s">
        <v>12599</v>
      </c>
      <c r="C4347" t="s">
        <v>12600</v>
      </c>
      <c r="D4347" t="s">
        <v>23</v>
      </c>
      <c r="E4347" t="s">
        <v>16</v>
      </c>
      <c r="F4347" t="s">
        <v>60</v>
      </c>
      <c r="G4347" t="s">
        <v>19</v>
      </c>
      <c r="H4347">
        <f>Cleaned_Data!K4347</f>
        <v>17.91</v>
      </c>
      <c r="I4347" t="str">
        <f t="shared" si="201"/>
        <v>YES</v>
      </c>
      <c r="J4347">
        <f>Cleaned_Data!J4347</f>
        <v>24</v>
      </c>
      <c r="K4347" t="str">
        <f t="shared" si="202"/>
        <v>2024-10</v>
      </c>
      <c r="L4347">
        <f t="shared" si="203"/>
        <v>0</v>
      </c>
    </row>
    <row r="4348" spans="1:12">
      <c r="A4348" t="s">
        <v>12601</v>
      </c>
      <c r="B4348" t="s">
        <v>12602</v>
      </c>
      <c r="D4348" t="s">
        <v>23</v>
      </c>
      <c r="E4348" t="s">
        <v>28</v>
      </c>
      <c r="F4348" t="s">
        <v>17</v>
      </c>
      <c r="G4348" t="s">
        <v>63</v>
      </c>
      <c r="H4348">
        <f>Cleaned_Data!K4348</f>
        <v>0</v>
      </c>
      <c r="I4348" t="str">
        <f t="shared" si="201"/>
        <v/>
      </c>
      <c r="J4348">
        <f>Cleaned_Data!J4348</f>
        <v>24</v>
      </c>
      <c r="K4348" t="str">
        <f t="shared" si="202"/>
        <v>2024-01</v>
      </c>
      <c r="L4348">
        <f t="shared" si="203"/>
        <v>0</v>
      </c>
    </row>
    <row r="4349" spans="1:12">
      <c r="A4349" t="s">
        <v>12603</v>
      </c>
      <c r="B4349" t="s">
        <v>12604</v>
      </c>
      <c r="C4349" t="s">
        <v>12605</v>
      </c>
      <c r="D4349" t="s">
        <v>23</v>
      </c>
      <c r="E4349" t="s">
        <v>28</v>
      </c>
      <c r="F4349" t="s">
        <v>29</v>
      </c>
      <c r="G4349" t="s">
        <v>19</v>
      </c>
      <c r="H4349">
        <f>Cleaned_Data!K4349</f>
        <v>15.19</v>
      </c>
      <c r="I4349" t="str">
        <f t="shared" si="201"/>
        <v>YES</v>
      </c>
      <c r="J4349">
        <f>Cleaned_Data!J4349</f>
        <v>24</v>
      </c>
      <c r="K4349" t="str">
        <f t="shared" si="202"/>
        <v>2024-06</v>
      </c>
      <c r="L4349">
        <f t="shared" si="203"/>
        <v>0</v>
      </c>
    </row>
    <row r="4350" spans="1:12">
      <c r="A4350" t="s">
        <v>12606</v>
      </c>
      <c r="B4350" t="s">
        <v>12607</v>
      </c>
      <c r="C4350" t="s">
        <v>12608</v>
      </c>
      <c r="D4350" t="s">
        <v>23</v>
      </c>
      <c r="E4350" t="s">
        <v>28</v>
      </c>
      <c r="F4350" t="s">
        <v>41</v>
      </c>
      <c r="G4350" t="s">
        <v>19</v>
      </c>
      <c r="H4350">
        <f>Cleaned_Data!K4350</f>
        <v>34.020000000000003</v>
      </c>
      <c r="I4350" t="str">
        <f t="shared" si="201"/>
        <v>NO</v>
      </c>
      <c r="J4350">
        <f>Cleaned_Data!J4350</f>
        <v>24</v>
      </c>
      <c r="K4350" t="str">
        <f t="shared" si="202"/>
        <v>2024-12</v>
      </c>
      <c r="L4350">
        <f t="shared" si="203"/>
        <v>10.020000000000003</v>
      </c>
    </row>
    <row r="4351" spans="1:12">
      <c r="A4351" t="s">
        <v>12609</v>
      </c>
      <c r="B4351" t="s">
        <v>12610</v>
      </c>
      <c r="C4351" t="s">
        <v>12611</v>
      </c>
      <c r="D4351" t="s">
        <v>158</v>
      </c>
      <c r="E4351" t="s">
        <v>24</v>
      </c>
      <c r="F4351" t="s">
        <v>36</v>
      </c>
      <c r="G4351" t="s">
        <v>31</v>
      </c>
      <c r="H4351">
        <f>Cleaned_Data!K4351</f>
        <v>3.72</v>
      </c>
      <c r="I4351" t="str">
        <f t="shared" si="201"/>
        <v>YES</v>
      </c>
      <c r="J4351">
        <f>Cleaned_Data!J4351</f>
        <v>4</v>
      </c>
      <c r="K4351" t="str">
        <f t="shared" si="202"/>
        <v>2024-03</v>
      </c>
      <c r="L4351">
        <f t="shared" si="203"/>
        <v>0</v>
      </c>
    </row>
    <row r="4352" spans="1:12">
      <c r="A4352" t="s">
        <v>12612</v>
      </c>
      <c r="B4352" t="s">
        <v>12613</v>
      </c>
      <c r="C4352" t="s">
        <v>12614</v>
      </c>
      <c r="D4352" t="s">
        <v>35</v>
      </c>
      <c r="E4352" t="s">
        <v>54</v>
      </c>
      <c r="F4352" t="s">
        <v>41</v>
      </c>
      <c r="G4352" t="s">
        <v>31</v>
      </c>
      <c r="H4352">
        <f>Cleaned_Data!K4352</f>
        <v>19.88</v>
      </c>
      <c r="I4352" t="str">
        <f t="shared" si="201"/>
        <v>YES</v>
      </c>
      <c r="J4352">
        <f>Cleaned_Data!J4352</f>
        <v>48</v>
      </c>
      <c r="K4352" t="str">
        <f t="shared" si="202"/>
        <v>2024-10</v>
      </c>
      <c r="L4352">
        <f t="shared" si="203"/>
        <v>0</v>
      </c>
    </row>
    <row r="4353" spans="1:12">
      <c r="A4353" t="s">
        <v>12615</v>
      </c>
      <c r="B4353" t="s">
        <v>12616</v>
      </c>
      <c r="C4353" t="s">
        <v>12617</v>
      </c>
      <c r="D4353" t="s">
        <v>15</v>
      </c>
      <c r="E4353" t="s">
        <v>54</v>
      </c>
      <c r="F4353" t="s">
        <v>41</v>
      </c>
      <c r="G4353" t="s">
        <v>19</v>
      </c>
      <c r="H4353">
        <f>Cleaned_Data!K4353</f>
        <v>6.26</v>
      </c>
      <c r="I4353" t="str">
        <f t="shared" si="201"/>
        <v>YES</v>
      </c>
      <c r="J4353">
        <f>Cleaned_Data!J4353</f>
        <v>8</v>
      </c>
      <c r="K4353" t="str">
        <f t="shared" si="202"/>
        <v>2024-07</v>
      </c>
      <c r="L4353">
        <f t="shared" si="203"/>
        <v>0</v>
      </c>
    </row>
    <row r="4354" spans="1:12">
      <c r="A4354" t="s">
        <v>12618</v>
      </c>
      <c r="B4354" t="s">
        <v>12619</v>
      </c>
      <c r="C4354" t="s">
        <v>12620</v>
      </c>
      <c r="D4354" t="s">
        <v>15</v>
      </c>
      <c r="E4354" t="s">
        <v>28</v>
      </c>
      <c r="F4354" t="s">
        <v>41</v>
      </c>
      <c r="G4354" t="s">
        <v>31</v>
      </c>
      <c r="H4354">
        <f>Cleaned_Data!K4354</f>
        <v>18.850000000000001</v>
      </c>
      <c r="I4354" t="str">
        <f t="shared" ref="I4354:I4417" si="204">IF(OR(G4354="Resolved", G4354="Closed"), IF(AND(H4354&lt;&gt;"", H4354&lt;=J4354), "YES", "NO"), "")</f>
        <v>NO</v>
      </c>
      <c r="J4354">
        <f>Cleaned_Data!J4354</f>
        <v>8</v>
      </c>
      <c r="K4354" t="str">
        <f t="shared" ref="K4354:K4417" si="205">LEFT(B4354, 7)</f>
        <v>2024-03</v>
      </c>
      <c r="L4354">
        <f t="shared" ref="L4354:L4417" si="206">IF(I4354="NO", H4354-J4354, 0)</f>
        <v>10.850000000000001</v>
      </c>
    </row>
    <row r="4355" spans="1:12">
      <c r="A4355" t="s">
        <v>12621</v>
      </c>
      <c r="B4355" t="s">
        <v>12622</v>
      </c>
      <c r="C4355" t="s">
        <v>12623</v>
      </c>
      <c r="D4355" t="s">
        <v>15</v>
      </c>
      <c r="E4355" t="s">
        <v>16</v>
      </c>
      <c r="F4355" t="s">
        <v>36</v>
      </c>
      <c r="G4355" t="s">
        <v>19</v>
      </c>
      <c r="H4355">
        <f>Cleaned_Data!K4355</f>
        <v>2.16</v>
      </c>
      <c r="I4355" t="str">
        <f t="shared" si="204"/>
        <v>YES</v>
      </c>
      <c r="J4355">
        <f>Cleaned_Data!J4355</f>
        <v>8</v>
      </c>
      <c r="K4355" t="str">
        <f t="shared" si="205"/>
        <v>2024-07</v>
      </c>
      <c r="L4355">
        <f t="shared" si="206"/>
        <v>0</v>
      </c>
    </row>
    <row r="4356" spans="1:12">
      <c r="A4356" t="s">
        <v>12624</v>
      </c>
      <c r="B4356" t="s">
        <v>12625</v>
      </c>
      <c r="C4356" t="s">
        <v>12626</v>
      </c>
      <c r="D4356" t="s">
        <v>23</v>
      </c>
      <c r="E4356" t="s">
        <v>28</v>
      </c>
      <c r="F4356" t="s">
        <v>36</v>
      </c>
      <c r="G4356" t="s">
        <v>19</v>
      </c>
      <c r="H4356">
        <f>Cleaned_Data!K4356</f>
        <v>19.600000000000001</v>
      </c>
      <c r="I4356" t="str">
        <f t="shared" si="204"/>
        <v>YES</v>
      </c>
      <c r="J4356">
        <f>Cleaned_Data!J4356</f>
        <v>24</v>
      </c>
      <c r="K4356" t="str">
        <f t="shared" si="205"/>
        <v>2024-05</v>
      </c>
      <c r="L4356">
        <f t="shared" si="206"/>
        <v>0</v>
      </c>
    </row>
    <row r="4357" spans="1:12">
      <c r="A4357" t="s">
        <v>12627</v>
      </c>
      <c r="B4357" t="s">
        <v>12628</v>
      </c>
      <c r="D4357" t="s">
        <v>23</v>
      </c>
      <c r="E4357" t="s">
        <v>28</v>
      </c>
      <c r="F4357" t="s">
        <v>60</v>
      </c>
      <c r="G4357" t="s">
        <v>63</v>
      </c>
      <c r="H4357">
        <f>Cleaned_Data!K4357</f>
        <v>0</v>
      </c>
      <c r="I4357" t="str">
        <f t="shared" si="204"/>
        <v/>
      </c>
      <c r="J4357">
        <f>Cleaned_Data!J4357</f>
        <v>24</v>
      </c>
      <c r="K4357" t="str">
        <f t="shared" si="205"/>
        <v>2024-08</v>
      </c>
      <c r="L4357">
        <f t="shared" si="206"/>
        <v>0</v>
      </c>
    </row>
    <row r="4358" spans="1:12">
      <c r="A4358" t="s">
        <v>12629</v>
      </c>
      <c r="B4358" t="s">
        <v>12630</v>
      </c>
      <c r="D4358" t="s">
        <v>15</v>
      </c>
      <c r="E4358" t="s">
        <v>28</v>
      </c>
      <c r="F4358" t="s">
        <v>36</v>
      </c>
      <c r="G4358" t="s">
        <v>63</v>
      </c>
      <c r="H4358">
        <f>Cleaned_Data!K4358</f>
        <v>0</v>
      </c>
      <c r="I4358" t="str">
        <f t="shared" si="204"/>
        <v/>
      </c>
      <c r="J4358">
        <f>Cleaned_Data!J4358</f>
        <v>8</v>
      </c>
      <c r="K4358" t="str">
        <f t="shared" si="205"/>
        <v>2024-06</v>
      </c>
      <c r="L4358">
        <f t="shared" si="206"/>
        <v>0</v>
      </c>
    </row>
    <row r="4359" spans="1:12">
      <c r="A4359" t="s">
        <v>12631</v>
      </c>
      <c r="B4359" t="s">
        <v>12632</v>
      </c>
      <c r="C4359" t="s">
        <v>12633</v>
      </c>
      <c r="D4359" t="s">
        <v>35</v>
      </c>
      <c r="E4359" t="s">
        <v>16</v>
      </c>
      <c r="F4359" t="s">
        <v>41</v>
      </c>
      <c r="G4359" t="s">
        <v>19</v>
      </c>
      <c r="H4359">
        <f>Cleaned_Data!K4359</f>
        <v>39.19</v>
      </c>
      <c r="I4359" t="str">
        <f t="shared" si="204"/>
        <v>YES</v>
      </c>
      <c r="J4359">
        <f>Cleaned_Data!J4359</f>
        <v>48</v>
      </c>
      <c r="K4359" t="str">
        <f t="shared" si="205"/>
        <v>2024-12</v>
      </c>
      <c r="L4359">
        <f t="shared" si="206"/>
        <v>0</v>
      </c>
    </row>
    <row r="4360" spans="1:12">
      <c r="A4360" t="s">
        <v>12634</v>
      </c>
      <c r="B4360" t="s">
        <v>12635</v>
      </c>
      <c r="C4360" t="s">
        <v>12636</v>
      </c>
      <c r="D4360" t="s">
        <v>15</v>
      </c>
      <c r="E4360" t="s">
        <v>24</v>
      </c>
      <c r="F4360" t="s">
        <v>36</v>
      </c>
      <c r="G4360" t="s">
        <v>19</v>
      </c>
      <c r="H4360">
        <f>Cleaned_Data!K4360</f>
        <v>10.39</v>
      </c>
      <c r="I4360" t="str">
        <f t="shared" si="204"/>
        <v>NO</v>
      </c>
      <c r="J4360">
        <f>Cleaned_Data!J4360</f>
        <v>8</v>
      </c>
      <c r="K4360" t="str">
        <f t="shared" si="205"/>
        <v>2024-07</v>
      </c>
      <c r="L4360">
        <f t="shared" si="206"/>
        <v>2.3900000000000006</v>
      </c>
    </row>
    <row r="4361" spans="1:12">
      <c r="A4361" t="s">
        <v>12637</v>
      </c>
      <c r="B4361" t="s">
        <v>12638</v>
      </c>
      <c r="C4361" t="s">
        <v>12639</v>
      </c>
      <c r="D4361" t="s">
        <v>15</v>
      </c>
      <c r="E4361" t="s">
        <v>28</v>
      </c>
      <c r="F4361" t="s">
        <v>60</v>
      </c>
      <c r="G4361" t="s">
        <v>19</v>
      </c>
      <c r="H4361">
        <f>Cleaned_Data!K4361</f>
        <v>3.88</v>
      </c>
      <c r="I4361" t="str">
        <f t="shared" si="204"/>
        <v>YES</v>
      </c>
      <c r="J4361">
        <f>Cleaned_Data!J4361</f>
        <v>8</v>
      </c>
      <c r="K4361" t="str">
        <f t="shared" si="205"/>
        <v>2024-04</v>
      </c>
      <c r="L4361">
        <f t="shared" si="206"/>
        <v>0</v>
      </c>
    </row>
    <row r="4362" spans="1:12">
      <c r="A4362" t="s">
        <v>12640</v>
      </c>
      <c r="B4362" t="s">
        <v>12641</v>
      </c>
      <c r="C4362" t="s">
        <v>12642</v>
      </c>
      <c r="D4362" t="s">
        <v>23</v>
      </c>
      <c r="E4362" t="s">
        <v>24</v>
      </c>
      <c r="F4362" t="s">
        <v>36</v>
      </c>
      <c r="G4362" t="s">
        <v>19</v>
      </c>
      <c r="H4362">
        <f>Cleaned_Data!K4362</f>
        <v>6.77</v>
      </c>
      <c r="I4362" t="str">
        <f t="shared" si="204"/>
        <v>YES</v>
      </c>
      <c r="J4362">
        <f>Cleaned_Data!J4362</f>
        <v>24</v>
      </c>
      <c r="K4362" t="str">
        <f t="shared" si="205"/>
        <v>2024-07</v>
      </c>
      <c r="L4362">
        <f t="shared" si="206"/>
        <v>0</v>
      </c>
    </row>
    <row r="4363" spans="1:12">
      <c r="A4363" t="s">
        <v>12643</v>
      </c>
      <c r="B4363" t="s">
        <v>12644</v>
      </c>
      <c r="C4363" t="s">
        <v>12645</v>
      </c>
      <c r="D4363" t="s">
        <v>23</v>
      </c>
      <c r="E4363" t="s">
        <v>28</v>
      </c>
      <c r="F4363" t="s">
        <v>17</v>
      </c>
      <c r="G4363" t="s">
        <v>19</v>
      </c>
      <c r="H4363">
        <f>Cleaned_Data!K4363</f>
        <v>5.31</v>
      </c>
      <c r="I4363" t="str">
        <f t="shared" si="204"/>
        <v>YES</v>
      </c>
      <c r="J4363">
        <f>Cleaned_Data!J4363</f>
        <v>24</v>
      </c>
      <c r="K4363" t="str">
        <f t="shared" si="205"/>
        <v>2024-11</v>
      </c>
      <c r="L4363">
        <f t="shared" si="206"/>
        <v>0</v>
      </c>
    </row>
    <row r="4364" spans="1:12">
      <c r="A4364" t="s">
        <v>12646</v>
      </c>
      <c r="B4364" t="s">
        <v>12647</v>
      </c>
      <c r="C4364" t="s">
        <v>12648</v>
      </c>
      <c r="D4364" t="s">
        <v>15</v>
      </c>
      <c r="E4364" t="s">
        <v>54</v>
      </c>
      <c r="F4364" t="s">
        <v>17</v>
      </c>
      <c r="G4364" t="s">
        <v>31</v>
      </c>
      <c r="H4364">
        <f>Cleaned_Data!K4364</f>
        <v>4.92</v>
      </c>
      <c r="I4364" t="str">
        <f t="shared" si="204"/>
        <v>YES</v>
      </c>
      <c r="J4364">
        <f>Cleaned_Data!J4364</f>
        <v>8</v>
      </c>
      <c r="K4364" t="str">
        <f t="shared" si="205"/>
        <v>2024-10</v>
      </c>
      <c r="L4364">
        <f t="shared" si="206"/>
        <v>0</v>
      </c>
    </row>
    <row r="4365" spans="1:12">
      <c r="A4365" t="s">
        <v>12649</v>
      </c>
      <c r="B4365" t="s">
        <v>12650</v>
      </c>
      <c r="C4365" t="s">
        <v>12651</v>
      </c>
      <c r="D4365" t="s">
        <v>23</v>
      </c>
      <c r="E4365" t="s">
        <v>24</v>
      </c>
      <c r="F4365" t="s">
        <v>29</v>
      </c>
      <c r="G4365" t="s">
        <v>19</v>
      </c>
      <c r="H4365">
        <f>Cleaned_Data!K4365</f>
        <v>7.71</v>
      </c>
      <c r="I4365" t="str">
        <f t="shared" si="204"/>
        <v>YES</v>
      </c>
      <c r="J4365">
        <f>Cleaned_Data!J4365</f>
        <v>24</v>
      </c>
      <c r="K4365" t="str">
        <f t="shared" si="205"/>
        <v>2024-09</v>
      </c>
      <c r="L4365">
        <f t="shared" si="206"/>
        <v>0</v>
      </c>
    </row>
    <row r="4366" spans="1:12">
      <c r="A4366" t="s">
        <v>12652</v>
      </c>
      <c r="B4366" t="s">
        <v>12653</v>
      </c>
      <c r="C4366" t="s">
        <v>12654</v>
      </c>
      <c r="D4366" t="s">
        <v>23</v>
      </c>
      <c r="E4366" t="s">
        <v>54</v>
      </c>
      <c r="F4366" t="s">
        <v>29</v>
      </c>
      <c r="G4366" t="s">
        <v>31</v>
      </c>
      <c r="H4366">
        <f>Cleaned_Data!K4366</f>
        <v>47.09</v>
      </c>
      <c r="I4366" t="str">
        <f t="shared" si="204"/>
        <v>NO</v>
      </c>
      <c r="J4366">
        <f>Cleaned_Data!J4366</f>
        <v>24</v>
      </c>
      <c r="K4366" t="str">
        <f t="shared" si="205"/>
        <v>2024-06</v>
      </c>
      <c r="L4366">
        <f t="shared" si="206"/>
        <v>23.090000000000003</v>
      </c>
    </row>
    <row r="4367" spans="1:12">
      <c r="A4367" t="s">
        <v>12655</v>
      </c>
      <c r="B4367" t="s">
        <v>12656</v>
      </c>
      <c r="C4367" t="s">
        <v>12657</v>
      </c>
      <c r="D4367" t="s">
        <v>35</v>
      </c>
      <c r="E4367" t="s">
        <v>28</v>
      </c>
      <c r="F4367" t="s">
        <v>41</v>
      </c>
      <c r="G4367" t="s">
        <v>19</v>
      </c>
      <c r="H4367">
        <f>Cleaned_Data!K4367</f>
        <v>6.85</v>
      </c>
      <c r="I4367" t="str">
        <f t="shared" si="204"/>
        <v>YES</v>
      </c>
      <c r="J4367">
        <f>Cleaned_Data!J4367</f>
        <v>48</v>
      </c>
      <c r="K4367" t="str">
        <f t="shared" si="205"/>
        <v>2024-09</v>
      </c>
      <c r="L4367">
        <f t="shared" si="206"/>
        <v>0</v>
      </c>
    </row>
    <row r="4368" spans="1:12">
      <c r="A4368" t="s">
        <v>12658</v>
      </c>
      <c r="B4368" t="s">
        <v>12659</v>
      </c>
      <c r="C4368" t="s">
        <v>12660</v>
      </c>
      <c r="D4368" t="s">
        <v>15</v>
      </c>
      <c r="E4368" t="s">
        <v>28</v>
      </c>
      <c r="F4368" t="s">
        <v>41</v>
      </c>
      <c r="G4368" t="s">
        <v>19</v>
      </c>
      <c r="H4368">
        <f>Cleaned_Data!K4368</f>
        <v>4.62</v>
      </c>
      <c r="I4368" t="str">
        <f t="shared" si="204"/>
        <v>YES</v>
      </c>
      <c r="J4368">
        <f>Cleaned_Data!J4368</f>
        <v>8</v>
      </c>
      <c r="K4368" t="str">
        <f t="shared" si="205"/>
        <v>2024-07</v>
      </c>
      <c r="L4368">
        <f t="shared" si="206"/>
        <v>0</v>
      </c>
    </row>
    <row r="4369" spans="1:12">
      <c r="A4369" t="s">
        <v>12661</v>
      </c>
      <c r="B4369" t="s">
        <v>12662</v>
      </c>
      <c r="C4369" t="s">
        <v>12663</v>
      </c>
      <c r="D4369" t="s">
        <v>35</v>
      </c>
      <c r="E4369" t="s">
        <v>54</v>
      </c>
      <c r="F4369" t="s">
        <v>60</v>
      </c>
      <c r="G4369" t="s">
        <v>19</v>
      </c>
      <c r="H4369">
        <f>Cleaned_Data!K4369</f>
        <v>25.43</v>
      </c>
      <c r="I4369" t="str">
        <f t="shared" si="204"/>
        <v>YES</v>
      </c>
      <c r="J4369">
        <f>Cleaned_Data!J4369</f>
        <v>48</v>
      </c>
      <c r="K4369" t="str">
        <f t="shared" si="205"/>
        <v>2024-09</v>
      </c>
      <c r="L4369">
        <f t="shared" si="206"/>
        <v>0</v>
      </c>
    </row>
    <row r="4370" spans="1:12">
      <c r="A4370" t="s">
        <v>12664</v>
      </c>
      <c r="B4370" t="s">
        <v>12665</v>
      </c>
      <c r="C4370" t="s">
        <v>12666</v>
      </c>
      <c r="D4370" t="s">
        <v>23</v>
      </c>
      <c r="E4370" t="s">
        <v>16</v>
      </c>
      <c r="F4370" t="s">
        <v>60</v>
      </c>
      <c r="G4370" t="s">
        <v>19</v>
      </c>
      <c r="H4370">
        <f>Cleaned_Data!K4370</f>
        <v>18.46</v>
      </c>
      <c r="I4370" t="str">
        <f t="shared" si="204"/>
        <v>YES</v>
      </c>
      <c r="J4370">
        <f>Cleaned_Data!J4370</f>
        <v>24</v>
      </c>
      <c r="K4370" t="str">
        <f t="shared" si="205"/>
        <v>2024-10</v>
      </c>
      <c r="L4370">
        <f t="shared" si="206"/>
        <v>0</v>
      </c>
    </row>
    <row r="4371" spans="1:12">
      <c r="A4371" t="s">
        <v>12667</v>
      </c>
      <c r="B4371" t="s">
        <v>12668</v>
      </c>
      <c r="C4371" t="s">
        <v>12669</v>
      </c>
      <c r="D4371" t="s">
        <v>23</v>
      </c>
      <c r="E4371" t="s">
        <v>24</v>
      </c>
      <c r="F4371" t="s">
        <v>41</v>
      </c>
      <c r="G4371" t="s">
        <v>31</v>
      </c>
      <c r="H4371">
        <f>Cleaned_Data!K4371</f>
        <v>18.87</v>
      </c>
      <c r="I4371" t="str">
        <f t="shared" si="204"/>
        <v>YES</v>
      </c>
      <c r="J4371">
        <f>Cleaned_Data!J4371</f>
        <v>24</v>
      </c>
      <c r="K4371" t="str">
        <f t="shared" si="205"/>
        <v>2024-08</v>
      </c>
      <c r="L4371">
        <f t="shared" si="206"/>
        <v>0</v>
      </c>
    </row>
    <row r="4372" spans="1:12">
      <c r="A4372" t="s">
        <v>12670</v>
      </c>
      <c r="B4372" t="s">
        <v>12671</v>
      </c>
      <c r="C4372" t="s">
        <v>12672</v>
      </c>
      <c r="D4372" t="s">
        <v>23</v>
      </c>
      <c r="E4372" t="s">
        <v>16</v>
      </c>
      <c r="F4372" t="s">
        <v>41</v>
      </c>
      <c r="G4372" t="s">
        <v>31</v>
      </c>
      <c r="H4372">
        <f>Cleaned_Data!K4372</f>
        <v>19.29</v>
      </c>
      <c r="I4372" t="str">
        <f t="shared" si="204"/>
        <v>YES</v>
      </c>
      <c r="J4372">
        <f>Cleaned_Data!J4372</f>
        <v>24</v>
      </c>
      <c r="K4372" t="str">
        <f t="shared" si="205"/>
        <v>2024-05</v>
      </c>
      <c r="L4372">
        <f t="shared" si="206"/>
        <v>0</v>
      </c>
    </row>
    <row r="4373" spans="1:12">
      <c r="A4373" t="s">
        <v>12673</v>
      </c>
      <c r="B4373" t="s">
        <v>12674</v>
      </c>
      <c r="D4373" t="s">
        <v>35</v>
      </c>
      <c r="E4373" t="s">
        <v>54</v>
      </c>
      <c r="F4373" t="s">
        <v>17</v>
      </c>
      <c r="G4373" t="s">
        <v>46</v>
      </c>
      <c r="H4373">
        <f>Cleaned_Data!K4373</f>
        <v>0</v>
      </c>
      <c r="I4373" t="str">
        <f t="shared" si="204"/>
        <v/>
      </c>
      <c r="J4373">
        <f>Cleaned_Data!J4373</f>
        <v>48</v>
      </c>
      <c r="K4373" t="str">
        <f t="shared" si="205"/>
        <v>2024-07</v>
      </c>
      <c r="L4373">
        <f t="shared" si="206"/>
        <v>0</v>
      </c>
    </row>
    <row r="4374" spans="1:12">
      <c r="A4374" t="s">
        <v>12675</v>
      </c>
      <c r="B4374" t="s">
        <v>12676</v>
      </c>
      <c r="C4374" t="s">
        <v>12677</v>
      </c>
      <c r="D4374" t="s">
        <v>23</v>
      </c>
      <c r="E4374" t="s">
        <v>28</v>
      </c>
      <c r="F4374" t="s">
        <v>17</v>
      </c>
      <c r="G4374" t="s">
        <v>31</v>
      </c>
      <c r="H4374">
        <f>Cleaned_Data!K4374</f>
        <v>7.53</v>
      </c>
      <c r="I4374" t="str">
        <f t="shared" si="204"/>
        <v>YES</v>
      </c>
      <c r="J4374">
        <f>Cleaned_Data!J4374</f>
        <v>24</v>
      </c>
      <c r="K4374" t="str">
        <f t="shared" si="205"/>
        <v>2024-10</v>
      </c>
      <c r="L4374">
        <f t="shared" si="206"/>
        <v>0</v>
      </c>
    </row>
    <row r="4375" spans="1:12">
      <c r="A4375" t="s">
        <v>12678</v>
      </c>
      <c r="B4375" t="s">
        <v>12679</v>
      </c>
      <c r="D4375" t="s">
        <v>23</v>
      </c>
      <c r="E4375" t="s">
        <v>24</v>
      </c>
      <c r="F4375" t="s">
        <v>29</v>
      </c>
      <c r="G4375" t="s">
        <v>63</v>
      </c>
      <c r="H4375">
        <f>Cleaned_Data!K4375</f>
        <v>0</v>
      </c>
      <c r="I4375" t="str">
        <f t="shared" si="204"/>
        <v/>
      </c>
      <c r="J4375">
        <f>Cleaned_Data!J4375</f>
        <v>24</v>
      </c>
      <c r="K4375" t="str">
        <f t="shared" si="205"/>
        <v>2024-06</v>
      </c>
      <c r="L4375">
        <f t="shared" si="206"/>
        <v>0</v>
      </c>
    </row>
    <row r="4376" spans="1:12">
      <c r="A4376" t="s">
        <v>12680</v>
      </c>
      <c r="B4376" t="s">
        <v>12681</v>
      </c>
      <c r="C4376" t="s">
        <v>12682</v>
      </c>
      <c r="D4376" t="s">
        <v>23</v>
      </c>
      <c r="E4376" t="s">
        <v>16</v>
      </c>
      <c r="F4376" t="s">
        <v>36</v>
      </c>
      <c r="G4376" t="s">
        <v>19</v>
      </c>
      <c r="H4376">
        <f>Cleaned_Data!K4376</f>
        <v>12.87</v>
      </c>
      <c r="I4376" t="str">
        <f t="shared" si="204"/>
        <v>YES</v>
      </c>
      <c r="J4376">
        <f>Cleaned_Data!J4376</f>
        <v>24</v>
      </c>
      <c r="K4376" t="str">
        <f t="shared" si="205"/>
        <v>2024-04</v>
      </c>
      <c r="L4376">
        <f t="shared" si="206"/>
        <v>0</v>
      </c>
    </row>
    <row r="4377" spans="1:12">
      <c r="A4377" t="s">
        <v>12683</v>
      </c>
      <c r="B4377" t="s">
        <v>12684</v>
      </c>
      <c r="C4377" t="s">
        <v>12685</v>
      </c>
      <c r="D4377" t="s">
        <v>23</v>
      </c>
      <c r="E4377" t="s">
        <v>16</v>
      </c>
      <c r="F4377" t="s">
        <v>60</v>
      </c>
      <c r="G4377" t="s">
        <v>19</v>
      </c>
      <c r="H4377">
        <f>Cleaned_Data!K4377</f>
        <v>22.39</v>
      </c>
      <c r="I4377" t="str">
        <f t="shared" si="204"/>
        <v>YES</v>
      </c>
      <c r="J4377">
        <f>Cleaned_Data!J4377</f>
        <v>24</v>
      </c>
      <c r="K4377" t="str">
        <f t="shared" si="205"/>
        <v>2024-11</v>
      </c>
      <c r="L4377">
        <f t="shared" si="206"/>
        <v>0</v>
      </c>
    </row>
    <row r="4378" spans="1:12">
      <c r="A4378" t="s">
        <v>12686</v>
      </c>
      <c r="B4378" t="s">
        <v>12687</v>
      </c>
      <c r="C4378" t="s">
        <v>12688</v>
      </c>
      <c r="D4378" t="s">
        <v>35</v>
      </c>
      <c r="E4378" t="s">
        <v>54</v>
      </c>
      <c r="F4378" t="s">
        <v>29</v>
      </c>
      <c r="G4378" t="s">
        <v>31</v>
      </c>
      <c r="H4378">
        <f>Cleaned_Data!K4378</f>
        <v>37.29</v>
      </c>
      <c r="I4378" t="str">
        <f t="shared" si="204"/>
        <v>YES</v>
      </c>
      <c r="J4378">
        <f>Cleaned_Data!J4378</f>
        <v>48</v>
      </c>
      <c r="K4378" t="str">
        <f t="shared" si="205"/>
        <v>2024-04</v>
      </c>
      <c r="L4378">
        <f t="shared" si="206"/>
        <v>0</v>
      </c>
    </row>
    <row r="4379" spans="1:12">
      <c r="A4379" t="s">
        <v>12689</v>
      </c>
      <c r="B4379" t="s">
        <v>12690</v>
      </c>
      <c r="C4379" t="s">
        <v>12691</v>
      </c>
      <c r="D4379" t="s">
        <v>23</v>
      </c>
      <c r="E4379" t="s">
        <v>24</v>
      </c>
      <c r="F4379" t="s">
        <v>41</v>
      </c>
      <c r="G4379" t="s">
        <v>31</v>
      </c>
      <c r="H4379">
        <f>Cleaned_Data!K4379</f>
        <v>4.17</v>
      </c>
      <c r="I4379" t="str">
        <f t="shared" si="204"/>
        <v>YES</v>
      </c>
      <c r="J4379">
        <f>Cleaned_Data!J4379</f>
        <v>24</v>
      </c>
      <c r="K4379" t="str">
        <f t="shared" si="205"/>
        <v>2024-12</v>
      </c>
      <c r="L4379">
        <f t="shared" si="206"/>
        <v>0</v>
      </c>
    </row>
    <row r="4380" spans="1:12">
      <c r="A4380" t="s">
        <v>12692</v>
      </c>
      <c r="B4380" t="s">
        <v>12693</v>
      </c>
      <c r="C4380" t="s">
        <v>12694</v>
      </c>
      <c r="D4380" t="s">
        <v>158</v>
      </c>
      <c r="E4380" t="s">
        <v>54</v>
      </c>
      <c r="F4380" t="s">
        <v>60</v>
      </c>
      <c r="G4380" t="s">
        <v>31</v>
      </c>
      <c r="H4380">
        <f>Cleaned_Data!K4380</f>
        <v>0.74</v>
      </c>
      <c r="I4380" t="str">
        <f t="shared" si="204"/>
        <v>YES</v>
      </c>
      <c r="J4380">
        <f>Cleaned_Data!J4380</f>
        <v>4</v>
      </c>
      <c r="K4380" t="str">
        <f t="shared" si="205"/>
        <v>2024-04</v>
      </c>
      <c r="L4380">
        <f t="shared" si="206"/>
        <v>0</v>
      </c>
    </row>
    <row r="4381" spans="1:12">
      <c r="A4381" t="s">
        <v>12695</v>
      </c>
      <c r="B4381" t="s">
        <v>12696</v>
      </c>
      <c r="C4381" t="s">
        <v>12697</v>
      </c>
      <c r="D4381" t="s">
        <v>15</v>
      </c>
      <c r="E4381" t="s">
        <v>54</v>
      </c>
      <c r="F4381" t="s">
        <v>17</v>
      </c>
      <c r="G4381" t="s">
        <v>19</v>
      </c>
      <c r="H4381">
        <f>Cleaned_Data!K4381</f>
        <v>6.27</v>
      </c>
      <c r="I4381" t="str">
        <f t="shared" si="204"/>
        <v>YES</v>
      </c>
      <c r="J4381">
        <f>Cleaned_Data!J4381</f>
        <v>8</v>
      </c>
      <c r="K4381" t="str">
        <f t="shared" si="205"/>
        <v>2024-01</v>
      </c>
      <c r="L4381">
        <f t="shared" si="206"/>
        <v>0</v>
      </c>
    </row>
    <row r="4382" spans="1:12">
      <c r="A4382" t="s">
        <v>12698</v>
      </c>
      <c r="B4382" t="s">
        <v>12699</v>
      </c>
      <c r="D4382" t="s">
        <v>35</v>
      </c>
      <c r="E4382" t="s">
        <v>28</v>
      </c>
      <c r="F4382" t="s">
        <v>41</v>
      </c>
      <c r="G4382" t="s">
        <v>46</v>
      </c>
      <c r="H4382">
        <f>Cleaned_Data!K4382</f>
        <v>0</v>
      </c>
      <c r="I4382" t="str">
        <f t="shared" si="204"/>
        <v/>
      </c>
      <c r="J4382">
        <f>Cleaned_Data!J4382</f>
        <v>48</v>
      </c>
      <c r="K4382" t="str">
        <f t="shared" si="205"/>
        <v>2024-11</v>
      </c>
      <c r="L4382">
        <f t="shared" si="206"/>
        <v>0</v>
      </c>
    </row>
    <row r="4383" spans="1:12">
      <c r="A4383" t="s">
        <v>12700</v>
      </c>
      <c r="B4383" t="s">
        <v>12701</v>
      </c>
      <c r="C4383" t="s">
        <v>12702</v>
      </c>
      <c r="D4383" t="s">
        <v>23</v>
      </c>
      <c r="E4383" t="s">
        <v>16</v>
      </c>
      <c r="F4383" t="s">
        <v>36</v>
      </c>
      <c r="G4383" t="s">
        <v>31</v>
      </c>
      <c r="H4383">
        <f>Cleaned_Data!K4383</f>
        <v>32.69</v>
      </c>
      <c r="I4383" t="str">
        <f t="shared" si="204"/>
        <v>NO</v>
      </c>
      <c r="J4383">
        <f>Cleaned_Data!J4383</f>
        <v>24</v>
      </c>
      <c r="K4383" t="str">
        <f t="shared" si="205"/>
        <v>2024-04</v>
      </c>
      <c r="L4383">
        <f t="shared" si="206"/>
        <v>8.6899999999999977</v>
      </c>
    </row>
    <row r="4384" spans="1:12">
      <c r="A4384" t="s">
        <v>12703</v>
      </c>
      <c r="B4384" t="s">
        <v>12704</v>
      </c>
      <c r="C4384" t="s">
        <v>12705</v>
      </c>
      <c r="D4384" t="s">
        <v>23</v>
      </c>
      <c r="E4384" t="s">
        <v>24</v>
      </c>
      <c r="F4384" t="s">
        <v>29</v>
      </c>
      <c r="G4384" t="s">
        <v>19</v>
      </c>
      <c r="H4384">
        <f>Cleaned_Data!K4384</f>
        <v>7.31</v>
      </c>
      <c r="I4384" t="str">
        <f t="shared" si="204"/>
        <v>YES</v>
      </c>
      <c r="J4384">
        <f>Cleaned_Data!J4384</f>
        <v>24</v>
      </c>
      <c r="K4384" t="str">
        <f t="shared" si="205"/>
        <v>2024-01</v>
      </c>
      <c r="L4384">
        <f t="shared" si="206"/>
        <v>0</v>
      </c>
    </row>
    <row r="4385" spans="1:12">
      <c r="A4385" t="s">
        <v>12706</v>
      </c>
      <c r="B4385" t="s">
        <v>12707</v>
      </c>
      <c r="C4385" t="s">
        <v>12708</v>
      </c>
      <c r="D4385" t="s">
        <v>15</v>
      </c>
      <c r="E4385" t="s">
        <v>59</v>
      </c>
      <c r="F4385" t="s">
        <v>17</v>
      </c>
      <c r="G4385" t="s">
        <v>31</v>
      </c>
      <c r="H4385">
        <f>Cleaned_Data!K4385</f>
        <v>5.42</v>
      </c>
      <c r="I4385" t="str">
        <f t="shared" si="204"/>
        <v>YES</v>
      </c>
      <c r="J4385">
        <f>Cleaned_Data!J4385</f>
        <v>8</v>
      </c>
      <c r="K4385" t="str">
        <f t="shared" si="205"/>
        <v>2024-02</v>
      </c>
      <c r="L4385">
        <f t="shared" si="206"/>
        <v>0</v>
      </c>
    </row>
    <row r="4386" spans="1:12">
      <c r="A4386" t="s">
        <v>12709</v>
      </c>
      <c r="B4386" t="s">
        <v>12710</v>
      </c>
      <c r="C4386" t="s">
        <v>12711</v>
      </c>
      <c r="D4386" t="s">
        <v>23</v>
      </c>
      <c r="E4386" t="s">
        <v>24</v>
      </c>
      <c r="F4386" t="s">
        <v>17</v>
      </c>
      <c r="G4386" t="s">
        <v>19</v>
      </c>
      <c r="H4386">
        <f>Cleaned_Data!K4386</f>
        <v>13.6</v>
      </c>
      <c r="I4386" t="str">
        <f t="shared" si="204"/>
        <v>YES</v>
      </c>
      <c r="J4386">
        <f>Cleaned_Data!J4386</f>
        <v>24</v>
      </c>
      <c r="K4386" t="str">
        <f t="shared" si="205"/>
        <v>2024-01</v>
      </c>
      <c r="L4386">
        <f t="shared" si="206"/>
        <v>0</v>
      </c>
    </row>
    <row r="4387" spans="1:12">
      <c r="A4387" t="s">
        <v>12712</v>
      </c>
      <c r="B4387" t="s">
        <v>12713</v>
      </c>
      <c r="C4387" t="s">
        <v>12714</v>
      </c>
      <c r="D4387" t="s">
        <v>15</v>
      </c>
      <c r="E4387" t="s">
        <v>16</v>
      </c>
      <c r="F4387" t="s">
        <v>17</v>
      </c>
      <c r="G4387" t="s">
        <v>19</v>
      </c>
      <c r="H4387">
        <f>Cleaned_Data!K4387</f>
        <v>6.57</v>
      </c>
      <c r="I4387" t="str">
        <f t="shared" si="204"/>
        <v>YES</v>
      </c>
      <c r="J4387">
        <f>Cleaned_Data!J4387</f>
        <v>8</v>
      </c>
      <c r="K4387" t="str">
        <f t="shared" si="205"/>
        <v>2024-07</v>
      </c>
      <c r="L4387">
        <f t="shared" si="206"/>
        <v>0</v>
      </c>
    </row>
    <row r="4388" spans="1:12">
      <c r="A4388" t="s">
        <v>12715</v>
      </c>
      <c r="B4388" t="s">
        <v>12716</v>
      </c>
      <c r="D4388" t="s">
        <v>23</v>
      </c>
      <c r="E4388" t="s">
        <v>28</v>
      </c>
      <c r="F4388" t="s">
        <v>29</v>
      </c>
      <c r="G4388" t="s">
        <v>63</v>
      </c>
      <c r="H4388">
        <f>Cleaned_Data!K4388</f>
        <v>0</v>
      </c>
      <c r="I4388" t="str">
        <f t="shared" si="204"/>
        <v/>
      </c>
      <c r="J4388">
        <f>Cleaned_Data!J4388</f>
        <v>24</v>
      </c>
      <c r="K4388" t="str">
        <f t="shared" si="205"/>
        <v>2024-09</v>
      </c>
      <c r="L4388">
        <f t="shared" si="206"/>
        <v>0</v>
      </c>
    </row>
    <row r="4389" spans="1:12">
      <c r="A4389" t="s">
        <v>12717</v>
      </c>
      <c r="B4389" t="s">
        <v>12718</v>
      </c>
      <c r="C4389" t="s">
        <v>12719</v>
      </c>
      <c r="D4389" t="s">
        <v>23</v>
      </c>
      <c r="E4389" t="s">
        <v>24</v>
      </c>
      <c r="F4389" t="s">
        <v>36</v>
      </c>
      <c r="G4389" t="s">
        <v>19</v>
      </c>
      <c r="H4389">
        <f>Cleaned_Data!K4389</f>
        <v>22.75</v>
      </c>
      <c r="I4389" t="str">
        <f t="shared" si="204"/>
        <v>YES</v>
      </c>
      <c r="J4389">
        <f>Cleaned_Data!J4389</f>
        <v>24</v>
      </c>
      <c r="K4389" t="str">
        <f t="shared" si="205"/>
        <v>2024-09</v>
      </c>
      <c r="L4389">
        <f t="shared" si="206"/>
        <v>0</v>
      </c>
    </row>
    <row r="4390" spans="1:12">
      <c r="A4390" t="s">
        <v>12720</v>
      </c>
      <c r="B4390" t="s">
        <v>12721</v>
      </c>
      <c r="D4390" t="s">
        <v>23</v>
      </c>
      <c r="E4390" t="s">
        <v>28</v>
      </c>
      <c r="F4390" t="s">
        <v>17</v>
      </c>
      <c r="G4390" t="s">
        <v>63</v>
      </c>
      <c r="H4390">
        <f>Cleaned_Data!K4390</f>
        <v>0</v>
      </c>
      <c r="I4390" t="str">
        <f t="shared" si="204"/>
        <v/>
      </c>
      <c r="J4390">
        <f>Cleaned_Data!J4390</f>
        <v>24</v>
      </c>
      <c r="K4390" t="str">
        <f t="shared" si="205"/>
        <v>2024-06</v>
      </c>
      <c r="L4390">
        <f t="shared" si="206"/>
        <v>0</v>
      </c>
    </row>
    <row r="4391" spans="1:12">
      <c r="A4391" t="s">
        <v>12722</v>
      </c>
      <c r="B4391" t="s">
        <v>12723</v>
      </c>
      <c r="D4391" t="s">
        <v>15</v>
      </c>
      <c r="E4391" t="s">
        <v>28</v>
      </c>
      <c r="F4391" t="s">
        <v>17</v>
      </c>
      <c r="G4391" t="s">
        <v>63</v>
      </c>
      <c r="H4391">
        <f>Cleaned_Data!K4391</f>
        <v>0</v>
      </c>
      <c r="I4391" t="str">
        <f t="shared" si="204"/>
        <v/>
      </c>
      <c r="J4391">
        <f>Cleaned_Data!J4391</f>
        <v>8</v>
      </c>
      <c r="K4391" t="str">
        <f t="shared" si="205"/>
        <v>2024-11</v>
      </c>
      <c r="L4391">
        <f t="shared" si="206"/>
        <v>0</v>
      </c>
    </row>
    <row r="4392" spans="1:12">
      <c r="A4392" t="s">
        <v>12724</v>
      </c>
      <c r="B4392" t="s">
        <v>12725</v>
      </c>
      <c r="C4392" t="s">
        <v>12726</v>
      </c>
      <c r="D4392" t="s">
        <v>15</v>
      </c>
      <c r="E4392" t="s">
        <v>59</v>
      </c>
      <c r="F4392" t="s">
        <v>29</v>
      </c>
      <c r="G4392" t="s">
        <v>31</v>
      </c>
      <c r="H4392">
        <f>Cleaned_Data!K4392</f>
        <v>5.01</v>
      </c>
      <c r="I4392" t="str">
        <f t="shared" si="204"/>
        <v>YES</v>
      </c>
      <c r="J4392">
        <f>Cleaned_Data!J4392</f>
        <v>8</v>
      </c>
      <c r="K4392" t="str">
        <f t="shared" si="205"/>
        <v>2024-07</v>
      </c>
      <c r="L4392">
        <f t="shared" si="206"/>
        <v>0</v>
      </c>
    </row>
    <row r="4393" spans="1:12">
      <c r="A4393" t="s">
        <v>12727</v>
      </c>
      <c r="B4393" t="s">
        <v>12728</v>
      </c>
      <c r="C4393" t="s">
        <v>12729</v>
      </c>
      <c r="D4393" t="s">
        <v>158</v>
      </c>
      <c r="E4393" t="s">
        <v>16</v>
      </c>
      <c r="F4393" t="s">
        <v>60</v>
      </c>
      <c r="G4393" t="s">
        <v>19</v>
      </c>
      <c r="H4393">
        <f>Cleaned_Data!K4393</f>
        <v>2.21</v>
      </c>
      <c r="I4393" t="str">
        <f t="shared" si="204"/>
        <v>YES</v>
      </c>
      <c r="J4393">
        <f>Cleaned_Data!J4393</f>
        <v>4</v>
      </c>
      <c r="K4393" t="str">
        <f t="shared" si="205"/>
        <v>2024-08</v>
      </c>
      <c r="L4393">
        <f t="shared" si="206"/>
        <v>0</v>
      </c>
    </row>
    <row r="4394" spans="1:12">
      <c r="A4394" t="s">
        <v>12730</v>
      </c>
      <c r="B4394" t="s">
        <v>12731</v>
      </c>
      <c r="C4394" t="s">
        <v>12732</v>
      </c>
      <c r="D4394" t="s">
        <v>35</v>
      </c>
      <c r="E4394" t="s">
        <v>28</v>
      </c>
      <c r="F4394" t="s">
        <v>60</v>
      </c>
      <c r="G4394" t="s">
        <v>31</v>
      </c>
      <c r="H4394">
        <f>Cleaned_Data!K4394</f>
        <v>26</v>
      </c>
      <c r="I4394" t="str">
        <f t="shared" si="204"/>
        <v>YES</v>
      </c>
      <c r="J4394">
        <f>Cleaned_Data!J4394</f>
        <v>48</v>
      </c>
      <c r="K4394" t="str">
        <f t="shared" si="205"/>
        <v>2024-01</v>
      </c>
      <c r="L4394">
        <f t="shared" si="206"/>
        <v>0</v>
      </c>
    </row>
    <row r="4395" spans="1:12">
      <c r="A4395" t="s">
        <v>12733</v>
      </c>
      <c r="B4395" t="s">
        <v>12734</v>
      </c>
      <c r="C4395" t="s">
        <v>12735</v>
      </c>
      <c r="D4395" t="s">
        <v>35</v>
      </c>
      <c r="E4395" t="s">
        <v>28</v>
      </c>
      <c r="F4395" t="s">
        <v>60</v>
      </c>
      <c r="G4395" t="s">
        <v>19</v>
      </c>
      <c r="H4395">
        <f>Cleaned_Data!K4395</f>
        <v>66.099999999999994</v>
      </c>
      <c r="I4395" t="str">
        <f t="shared" si="204"/>
        <v>NO</v>
      </c>
      <c r="J4395">
        <f>Cleaned_Data!J4395</f>
        <v>48</v>
      </c>
      <c r="K4395" t="str">
        <f t="shared" si="205"/>
        <v>2024-07</v>
      </c>
      <c r="L4395">
        <f t="shared" si="206"/>
        <v>18.099999999999994</v>
      </c>
    </row>
    <row r="4396" spans="1:12">
      <c r="A4396" t="s">
        <v>12736</v>
      </c>
      <c r="B4396" t="s">
        <v>12737</v>
      </c>
      <c r="C4396" t="s">
        <v>12738</v>
      </c>
      <c r="D4396" t="s">
        <v>158</v>
      </c>
      <c r="E4396" t="s">
        <v>28</v>
      </c>
      <c r="F4396" t="s">
        <v>60</v>
      </c>
      <c r="G4396" t="s">
        <v>19</v>
      </c>
      <c r="H4396">
        <f>Cleaned_Data!K4396</f>
        <v>0.66</v>
      </c>
      <c r="I4396" t="str">
        <f t="shared" si="204"/>
        <v>YES</v>
      </c>
      <c r="J4396">
        <f>Cleaned_Data!J4396</f>
        <v>4</v>
      </c>
      <c r="K4396" t="str">
        <f t="shared" si="205"/>
        <v>2024-09</v>
      </c>
      <c r="L4396">
        <f t="shared" si="206"/>
        <v>0</v>
      </c>
    </row>
    <row r="4397" spans="1:12">
      <c r="A4397" t="s">
        <v>12739</v>
      </c>
      <c r="B4397" t="s">
        <v>12740</v>
      </c>
      <c r="C4397" t="s">
        <v>12741</v>
      </c>
      <c r="D4397" t="s">
        <v>23</v>
      </c>
      <c r="E4397" t="s">
        <v>28</v>
      </c>
      <c r="F4397" t="s">
        <v>41</v>
      </c>
      <c r="G4397" t="s">
        <v>19</v>
      </c>
      <c r="H4397">
        <f>Cleaned_Data!K4397</f>
        <v>20.13</v>
      </c>
      <c r="I4397" t="str">
        <f t="shared" si="204"/>
        <v>YES</v>
      </c>
      <c r="J4397">
        <f>Cleaned_Data!J4397</f>
        <v>24</v>
      </c>
      <c r="K4397" t="str">
        <f t="shared" si="205"/>
        <v>2024-09</v>
      </c>
      <c r="L4397">
        <f t="shared" si="206"/>
        <v>0</v>
      </c>
    </row>
    <row r="4398" spans="1:12">
      <c r="A4398" t="s">
        <v>12742</v>
      </c>
      <c r="B4398" t="s">
        <v>12743</v>
      </c>
      <c r="C4398" t="s">
        <v>12744</v>
      </c>
      <c r="D4398" t="s">
        <v>15</v>
      </c>
      <c r="E4398" t="s">
        <v>24</v>
      </c>
      <c r="F4398" t="s">
        <v>41</v>
      </c>
      <c r="G4398" t="s">
        <v>19</v>
      </c>
      <c r="H4398">
        <f>Cleaned_Data!K4398</f>
        <v>4.4000000000000004</v>
      </c>
      <c r="I4398" t="str">
        <f t="shared" si="204"/>
        <v>YES</v>
      </c>
      <c r="J4398">
        <f>Cleaned_Data!J4398</f>
        <v>8</v>
      </c>
      <c r="K4398" t="str">
        <f t="shared" si="205"/>
        <v>2024-02</v>
      </c>
      <c r="L4398">
        <f t="shared" si="206"/>
        <v>0</v>
      </c>
    </row>
    <row r="4399" spans="1:12">
      <c r="A4399" t="s">
        <v>12745</v>
      </c>
      <c r="B4399" t="s">
        <v>12746</v>
      </c>
      <c r="C4399" t="s">
        <v>12747</v>
      </c>
      <c r="D4399" t="s">
        <v>15</v>
      </c>
      <c r="E4399" t="s">
        <v>28</v>
      </c>
      <c r="F4399" t="s">
        <v>36</v>
      </c>
      <c r="G4399" t="s">
        <v>31</v>
      </c>
      <c r="H4399">
        <f>Cleaned_Data!K4399</f>
        <v>3.83</v>
      </c>
      <c r="I4399" t="str">
        <f t="shared" si="204"/>
        <v>YES</v>
      </c>
      <c r="J4399">
        <f>Cleaned_Data!J4399</f>
        <v>8</v>
      </c>
      <c r="K4399" t="str">
        <f t="shared" si="205"/>
        <v>2024-03</v>
      </c>
      <c r="L4399">
        <f t="shared" si="206"/>
        <v>0</v>
      </c>
    </row>
    <row r="4400" spans="1:12">
      <c r="A4400" t="s">
        <v>12748</v>
      </c>
      <c r="B4400" t="s">
        <v>12749</v>
      </c>
      <c r="C4400" t="s">
        <v>12750</v>
      </c>
      <c r="D4400" t="s">
        <v>23</v>
      </c>
      <c r="E4400" t="s">
        <v>59</v>
      </c>
      <c r="F4400" t="s">
        <v>60</v>
      </c>
      <c r="G4400" t="s">
        <v>31</v>
      </c>
      <c r="H4400">
        <f>Cleaned_Data!K4400</f>
        <v>25.53</v>
      </c>
      <c r="I4400" t="str">
        <f t="shared" si="204"/>
        <v>NO</v>
      </c>
      <c r="J4400">
        <f>Cleaned_Data!J4400</f>
        <v>24</v>
      </c>
      <c r="K4400" t="str">
        <f t="shared" si="205"/>
        <v>2024-11</v>
      </c>
      <c r="L4400">
        <f t="shared" si="206"/>
        <v>1.5300000000000011</v>
      </c>
    </row>
    <row r="4401" spans="1:12">
      <c r="A4401" t="s">
        <v>12751</v>
      </c>
      <c r="B4401" t="s">
        <v>12752</v>
      </c>
      <c r="C4401" t="s">
        <v>12753</v>
      </c>
      <c r="D4401" t="s">
        <v>15</v>
      </c>
      <c r="E4401" t="s">
        <v>28</v>
      </c>
      <c r="F4401" t="s">
        <v>29</v>
      </c>
      <c r="G4401" t="s">
        <v>19</v>
      </c>
      <c r="H4401">
        <f>Cleaned_Data!K4401</f>
        <v>0.91</v>
      </c>
      <c r="I4401" t="str">
        <f t="shared" si="204"/>
        <v>YES</v>
      </c>
      <c r="J4401">
        <f>Cleaned_Data!J4401</f>
        <v>8</v>
      </c>
      <c r="K4401" t="str">
        <f t="shared" si="205"/>
        <v>2024-05</v>
      </c>
      <c r="L4401">
        <f t="shared" si="206"/>
        <v>0</v>
      </c>
    </row>
    <row r="4402" spans="1:12">
      <c r="A4402" t="s">
        <v>12754</v>
      </c>
      <c r="B4402" t="s">
        <v>12755</v>
      </c>
      <c r="C4402" t="s">
        <v>12756</v>
      </c>
      <c r="D4402" t="s">
        <v>23</v>
      </c>
      <c r="E4402" t="s">
        <v>24</v>
      </c>
      <c r="F4402" t="s">
        <v>29</v>
      </c>
      <c r="G4402" t="s">
        <v>31</v>
      </c>
      <c r="H4402">
        <f>Cleaned_Data!K4402</f>
        <v>21.69</v>
      </c>
      <c r="I4402" t="str">
        <f t="shared" si="204"/>
        <v>YES</v>
      </c>
      <c r="J4402">
        <f>Cleaned_Data!J4402</f>
        <v>24</v>
      </c>
      <c r="K4402" t="str">
        <f t="shared" si="205"/>
        <v>2024-08</v>
      </c>
      <c r="L4402">
        <f t="shared" si="206"/>
        <v>0</v>
      </c>
    </row>
    <row r="4403" spans="1:12">
      <c r="A4403" t="s">
        <v>12757</v>
      </c>
      <c r="B4403" t="s">
        <v>12758</v>
      </c>
      <c r="C4403" t="s">
        <v>12759</v>
      </c>
      <c r="D4403" t="s">
        <v>15</v>
      </c>
      <c r="E4403" t="s">
        <v>54</v>
      </c>
      <c r="F4403" t="s">
        <v>29</v>
      </c>
      <c r="G4403" t="s">
        <v>19</v>
      </c>
      <c r="H4403">
        <f>Cleaned_Data!K4403</f>
        <v>3.84</v>
      </c>
      <c r="I4403" t="str">
        <f t="shared" si="204"/>
        <v>YES</v>
      </c>
      <c r="J4403">
        <f>Cleaned_Data!J4403</f>
        <v>8</v>
      </c>
      <c r="K4403" t="str">
        <f t="shared" si="205"/>
        <v>2024-11</v>
      </c>
      <c r="L4403">
        <f t="shared" si="206"/>
        <v>0</v>
      </c>
    </row>
    <row r="4404" spans="1:12">
      <c r="A4404" t="s">
        <v>12760</v>
      </c>
      <c r="B4404" t="s">
        <v>12761</v>
      </c>
      <c r="C4404" t="s">
        <v>12762</v>
      </c>
      <c r="D4404" t="s">
        <v>23</v>
      </c>
      <c r="E4404" t="s">
        <v>28</v>
      </c>
      <c r="F4404" t="s">
        <v>17</v>
      </c>
      <c r="G4404" t="s">
        <v>19</v>
      </c>
      <c r="H4404">
        <f>Cleaned_Data!K4404</f>
        <v>46.1</v>
      </c>
      <c r="I4404" t="str">
        <f t="shared" si="204"/>
        <v>NO</v>
      </c>
      <c r="J4404">
        <f>Cleaned_Data!J4404</f>
        <v>24</v>
      </c>
      <c r="K4404" t="str">
        <f t="shared" si="205"/>
        <v>2024-01</v>
      </c>
      <c r="L4404">
        <f t="shared" si="206"/>
        <v>22.1</v>
      </c>
    </row>
    <row r="4405" spans="1:12">
      <c r="A4405" t="s">
        <v>12763</v>
      </c>
      <c r="B4405" t="s">
        <v>12764</v>
      </c>
      <c r="C4405" t="s">
        <v>12765</v>
      </c>
      <c r="D4405" t="s">
        <v>23</v>
      </c>
      <c r="E4405" t="s">
        <v>28</v>
      </c>
      <c r="F4405" t="s">
        <v>60</v>
      </c>
      <c r="G4405" t="s">
        <v>19</v>
      </c>
      <c r="H4405">
        <f>Cleaned_Data!K4405</f>
        <v>15.76</v>
      </c>
      <c r="I4405" t="str">
        <f t="shared" si="204"/>
        <v>YES</v>
      </c>
      <c r="J4405">
        <f>Cleaned_Data!J4405</f>
        <v>24</v>
      </c>
      <c r="K4405" t="str">
        <f t="shared" si="205"/>
        <v>2024-07</v>
      </c>
      <c r="L4405">
        <f t="shared" si="206"/>
        <v>0</v>
      </c>
    </row>
    <row r="4406" spans="1:12">
      <c r="A4406" t="s">
        <v>12766</v>
      </c>
      <c r="B4406" t="s">
        <v>12767</v>
      </c>
      <c r="C4406" t="s">
        <v>12768</v>
      </c>
      <c r="D4406" t="s">
        <v>23</v>
      </c>
      <c r="E4406" t="s">
        <v>28</v>
      </c>
      <c r="F4406" t="s">
        <v>29</v>
      </c>
      <c r="G4406" t="s">
        <v>19</v>
      </c>
      <c r="H4406">
        <f>Cleaned_Data!K4406</f>
        <v>8.9700000000000006</v>
      </c>
      <c r="I4406" t="str">
        <f t="shared" si="204"/>
        <v>YES</v>
      </c>
      <c r="J4406">
        <f>Cleaned_Data!J4406</f>
        <v>24</v>
      </c>
      <c r="K4406" t="str">
        <f t="shared" si="205"/>
        <v>2024-01</v>
      </c>
      <c r="L4406">
        <f t="shared" si="206"/>
        <v>0</v>
      </c>
    </row>
    <row r="4407" spans="1:12">
      <c r="A4407" t="s">
        <v>12769</v>
      </c>
      <c r="B4407" t="s">
        <v>12770</v>
      </c>
      <c r="C4407" t="s">
        <v>12771</v>
      </c>
      <c r="D4407" t="s">
        <v>158</v>
      </c>
      <c r="E4407" t="s">
        <v>59</v>
      </c>
      <c r="F4407" t="s">
        <v>41</v>
      </c>
      <c r="G4407" t="s">
        <v>19</v>
      </c>
      <c r="H4407">
        <f>Cleaned_Data!K4407</f>
        <v>1.9</v>
      </c>
      <c r="I4407" t="str">
        <f t="shared" si="204"/>
        <v>YES</v>
      </c>
      <c r="J4407">
        <f>Cleaned_Data!J4407</f>
        <v>4</v>
      </c>
      <c r="K4407" t="str">
        <f t="shared" si="205"/>
        <v>2024-01</v>
      </c>
      <c r="L4407">
        <f t="shared" si="206"/>
        <v>0</v>
      </c>
    </row>
    <row r="4408" spans="1:12">
      <c r="A4408" t="s">
        <v>12772</v>
      </c>
      <c r="B4408" t="s">
        <v>12773</v>
      </c>
      <c r="C4408" t="s">
        <v>12774</v>
      </c>
      <c r="D4408" t="s">
        <v>23</v>
      </c>
      <c r="E4408" t="s">
        <v>54</v>
      </c>
      <c r="F4408" t="s">
        <v>36</v>
      </c>
      <c r="G4408" t="s">
        <v>19</v>
      </c>
      <c r="H4408">
        <f>Cleaned_Data!K4408</f>
        <v>2.62</v>
      </c>
      <c r="I4408" t="str">
        <f t="shared" si="204"/>
        <v>YES</v>
      </c>
      <c r="J4408">
        <f>Cleaned_Data!J4408</f>
        <v>24</v>
      </c>
      <c r="K4408" t="str">
        <f t="shared" si="205"/>
        <v>2024-02</v>
      </c>
      <c r="L4408">
        <f t="shared" si="206"/>
        <v>0</v>
      </c>
    </row>
    <row r="4409" spans="1:12">
      <c r="A4409" t="s">
        <v>12775</v>
      </c>
      <c r="B4409" t="s">
        <v>12776</v>
      </c>
      <c r="C4409" t="s">
        <v>12777</v>
      </c>
      <c r="D4409" t="s">
        <v>15</v>
      </c>
      <c r="E4409" t="s">
        <v>16</v>
      </c>
      <c r="F4409" t="s">
        <v>29</v>
      </c>
      <c r="G4409" t="s">
        <v>19</v>
      </c>
      <c r="H4409">
        <f>Cleaned_Data!K4409</f>
        <v>3.41</v>
      </c>
      <c r="I4409" t="str">
        <f t="shared" si="204"/>
        <v>YES</v>
      </c>
      <c r="J4409">
        <f>Cleaned_Data!J4409</f>
        <v>8</v>
      </c>
      <c r="K4409" t="str">
        <f t="shared" si="205"/>
        <v>2024-10</v>
      </c>
      <c r="L4409">
        <f t="shared" si="206"/>
        <v>0</v>
      </c>
    </row>
    <row r="4410" spans="1:12">
      <c r="A4410" t="s">
        <v>12778</v>
      </c>
      <c r="B4410" t="s">
        <v>12779</v>
      </c>
      <c r="C4410" t="s">
        <v>12780</v>
      </c>
      <c r="D4410" t="s">
        <v>23</v>
      </c>
      <c r="E4410" t="s">
        <v>24</v>
      </c>
      <c r="F4410" t="s">
        <v>36</v>
      </c>
      <c r="G4410" t="s">
        <v>19</v>
      </c>
      <c r="H4410">
        <f>Cleaned_Data!K4410</f>
        <v>3.71</v>
      </c>
      <c r="I4410" t="str">
        <f t="shared" si="204"/>
        <v>YES</v>
      </c>
      <c r="J4410">
        <f>Cleaned_Data!J4410</f>
        <v>24</v>
      </c>
      <c r="K4410" t="str">
        <f t="shared" si="205"/>
        <v>2024-12</v>
      </c>
      <c r="L4410">
        <f t="shared" si="206"/>
        <v>0</v>
      </c>
    </row>
    <row r="4411" spans="1:12">
      <c r="A4411" t="s">
        <v>12781</v>
      </c>
      <c r="B4411" t="s">
        <v>12782</v>
      </c>
      <c r="C4411" t="s">
        <v>12783</v>
      </c>
      <c r="D4411" t="s">
        <v>23</v>
      </c>
      <c r="E4411" t="s">
        <v>28</v>
      </c>
      <c r="F4411" t="s">
        <v>41</v>
      </c>
      <c r="G4411" t="s">
        <v>31</v>
      </c>
      <c r="H4411">
        <f>Cleaned_Data!K4411</f>
        <v>16.03</v>
      </c>
      <c r="I4411" t="str">
        <f t="shared" si="204"/>
        <v>YES</v>
      </c>
      <c r="J4411">
        <f>Cleaned_Data!J4411</f>
        <v>24</v>
      </c>
      <c r="K4411" t="str">
        <f t="shared" si="205"/>
        <v>2024-09</v>
      </c>
      <c r="L4411">
        <f t="shared" si="206"/>
        <v>0</v>
      </c>
    </row>
    <row r="4412" spans="1:12">
      <c r="A4412" t="s">
        <v>12784</v>
      </c>
      <c r="B4412" t="s">
        <v>12785</v>
      </c>
      <c r="D4412" t="s">
        <v>35</v>
      </c>
      <c r="E4412" t="s">
        <v>16</v>
      </c>
      <c r="F4412" t="s">
        <v>60</v>
      </c>
      <c r="G4412" t="s">
        <v>63</v>
      </c>
      <c r="H4412">
        <f>Cleaned_Data!K4412</f>
        <v>0</v>
      </c>
      <c r="I4412" t="str">
        <f t="shared" si="204"/>
        <v/>
      </c>
      <c r="J4412">
        <f>Cleaned_Data!J4412</f>
        <v>48</v>
      </c>
      <c r="K4412" t="str">
        <f t="shared" si="205"/>
        <v>2024-05</v>
      </c>
      <c r="L4412">
        <f t="shared" si="206"/>
        <v>0</v>
      </c>
    </row>
    <row r="4413" spans="1:12">
      <c r="A4413" t="s">
        <v>12786</v>
      </c>
      <c r="B4413" t="s">
        <v>12787</v>
      </c>
      <c r="C4413" t="s">
        <v>12788</v>
      </c>
      <c r="D4413" t="s">
        <v>23</v>
      </c>
      <c r="E4413" t="s">
        <v>24</v>
      </c>
      <c r="F4413" t="s">
        <v>36</v>
      </c>
      <c r="G4413" t="s">
        <v>31</v>
      </c>
      <c r="H4413">
        <f>Cleaned_Data!K4413</f>
        <v>7.59</v>
      </c>
      <c r="I4413" t="str">
        <f t="shared" si="204"/>
        <v>YES</v>
      </c>
      <c r="J4413">
        <f>Cleaned_Data!J4413</f>
        <v>24</v>
      </c>
      <c r="K4413" t="str">
        <f t="shared" si="205"/>
        <v>2024-08</v>
      </c>
      <c r="L4413">
        <f t="shared" si="206"/>
        <v>0</v>
      </c>
    </row>
    <row r="4414" spans="1:12">
      <c r="A4414" t="s">
        <v>12789</v>
      </c>
      <c r="B4414" t="s">
        <v>12790</v>
      </c>
      <c r="C4414" t="s">
        <v>12791</v>
      </c>
      <c r="D4414" t="s">
        <v>23</v>
      </c>
      <c r="E4414" t="s">
        <v>24</v>
      </c>
      <c r="F4414" t="s">
        <v>29</v>
      </c>
      <c r="G4414" t="s">
        <v>31</v>
      </c>
      <c r="H4414">
        <f>Cleaned_Data!K4414</f>
        <v>50.58</v>
      </c>
      <c r="I4414" t="str">
        <f t="shared" si="204"/>
        <v>NO</v>
      </c>
      <c r="J4414">
        <f>Cleaned_Data!J4414</f>
        <v>24</v>
      </c>
      <c r="K4414" t="str">
        <f t="shared" si="205"/>
        <v>2024-10</v>
      </c>
      <c r="L4414">
        <f t="shared" si="206"/>
        <v>26.58</v>
      </c>
    </row>
    <row r="4415" spans="1:12">
      <c r="A4415" t="s">
        <v>12792</v>
      </c>
      <c r="B4415" t="s">
        <v>12793</v>
      </c>
      <c r="C4415" t="s">
        <v>12794</v>
      </c>
      <c r="D4415" t="s">
        <v>23</v>
      </c>
      <c r="E4415" t="s">
        <v>59</v>
      </c>
      <c r="F4415" t="s">
        <v>36</v>
      </c>
      <c r="G4415" t="s">
        <v>31</v>
      </c>
      <c r="H4415">
        <f>Cleaned_Data!K4415</f>
        <v>10.7</v>
      </c>
      <c r="I4415" t="str">
        <f t="shared" si="204"/>
        <v>YES</v>
      </c>
      <c r="J4415">
        <f>Cleaned_Data!J4415</f>
        <v>24</v>
      </c>
      <c r="K4415" t="str">
        <f t="shared" si="205"/>
        <v>2024-02</v>
      </c>
      <c r="L4415">
        <f t="shared" si="206"/>
        <v>0</v>
      </c>
    </row>
    <row r="4416" spans="1:12">
      <c r="A4416" t="s">
        <v>12795</v>
      </c>
      <c r="B4416" t="s">
        <v>12796</v>
      </c>
      <c r="C4416" t="s">
        <v>12797</v>
      </c>
      <c r="D4416" t="s">
        <v>23</v>
      </c>
      <c r="E4416" t="s">
        <v>28</v>
      </c>
      <c r="F4416" t="s">
        <v>36</v>
      </c>
      <c r="G4416" t="s">
        <v>31</v>
      </c>
      <c r="H4416">
        <f>Cleaned_Data!K4416</f>
        <v>13.92</v>
      </c>
      <c r="I4416" t="str">
        <f t="shared" si="204"/>
        <v>YES</v>
      </c>
      <c r="J4416">
        <f>Cleaned_Data!J4416</f>
        <v>24</v>
      </c>
      <c r="K4416" t="str">
        <f t="shared" si="205"/>
        <v>2024-06</v>
      </c>
      <c r="L4416">
        <f t="shared" si="206"/>
        <v>0</v>
      </c>
    </row>
    <row r="4417" spans="1:12">
      <c r="A4417" t="s">
        <v>12798</v>
      </c>
      <c r="B4417" t="s">
        <v>12799</v>
      </c>
      <c r="C4417" t="s">
        <v>12800</v>
      </c>
      <c r="D4417" t="s">
        <v>23</v>
      </c>
      <c r="E4417" t="s">
        <v>54</v>
      </c>
      <c r="F4417" t="s">
        <v>36</v>
      </c>
      <c r="G4417" t="s">
        <v>19</v>
      </c>
      <c r="H4417">
        <f>Cleaned_Data!K4417</f>
        <v>21.41</v>
      </c>
      <c r="I4417" t="str">
        <f t="shared" si="204"/>
        <v>YES</v>
      </c>
      <c r="J4417">
        <f>Cleaned_Data!J4417</f>
        <v>24</v>
      </c>
      <c r="K4417" t="str">
        <f t="shared" si="205"/>
        <v>2024-02</v>
      </c>
      <c r="L4417">
        <f t="shared" si="206"/>
        <v>0</v>
      </c>
    </row>
    <row r="4418" spans="1:12">
      <c r="A4418" t="s">
        <v>12801</v>
      </c>
      <c r="B4418" t="s">
        <v>12802</v>
      </c>
      <c r="C4418" t="s">
        <v>12803</v>
      </c>
      <c r="D4418" t="s">
        <v>23</v>
      </c>
      <c r="E4418" t="s">
        <v>24</v>
      </c>
      <c r="F4418" t="s">
        <v>17</v>
      </c>
      <c r="G4418" t="s">
        <v>19</v>
      </c>
      <c r="H4418">
        <f>Cleaned_Data!K4418</f>
        <v>16.760000000000002</v>
      </c>
      <c r="I4418" t="str">
        <f t="shared" ref="I4418:I4481" si="207">IF(OR(G4418="Resolved", G4418="Closed"), IF(AND(H4418&lt;&gt;"", H4418&lt;=J4418), "YES", "NO"), "")</f>
        <v>YES</v>
      </c>
      <c r="J4418">
        <f>Cleaned_Data!J4418</f>
        <v>24</v>
      </c>
      <c r="K4418" t="str">
        <f t="shared" ref="K4418:K4481" si="208">LEFT(B4418, 7)</f>
        <v>2024-06</v>
      </c>
      <c r="L4418">
        <f t="shared" ref="L4418:L4481" si="209">IF(I4418="NO", H4418-J4418, 0)</f>
        <v>0</v>
      </c>
    </row>
    <row r="4419" spans="1:12">
      <c r="A4419" t="s">
        <v>12804</v>
      </c>
      <c r="B4419" t="s">
        <v>12805</v>
      </c>
      <c r="C4419" t="s">
        <v>12806</v>
      </c>
      <c r="D4419" t="s">
        <v>15</v>
      </c>
      <c r="E4419" t="s">
        <v>28</v>
      </c>
      <c r="F4419" t="s">
        <v>17</v>
      </c>
      <c r="G4419" t="s">
        <v>19</v>
      </c>
      <c r="H4419">
        <f>Cleaned_Data!K4419</f>
        <v>6.66</v>
      </c>
      <c r="I4419" t="str">
        <f t="shared" si="207"/>
        <v>YES</v>
      </c>
      <c r="J4419">
        <f>Cleaned_Data!J4419</f>
        <v>8</v>
      </c>
      <c r="K4419" t="str">
        <f t="shared" si="208"/>
        <v>2024-03</v>
      </c>
      <c r="L4419">
        <f t="shared" si="209"/>
        <v>0</v>
      </c>
    </row>
    <row r="4420" spans="1:12">
      <c r="A4420" t="s">
        <v>12807</v>
      </c>
      <c r="B4420" t="s">
        <v>12808</v>
      </c>
      <c r="C4420" t="s">
        <v>12809</v>
      </c>
      <c r="D4420" t="s">
        <v>23</v>
      </c>
      <c r="E4420" t="s">
        <v>28</v>
      </c>
      <c r="F4420" t="s">
        <v>60</v>
      </c>
      <c r="G4420" t="s">
        <v>31</v>
      </c>
      <c r="H4420">
        <f>Cleaned_Data!K4420</f>
        <v>13.09</v>
      </c>
      <c r="I4420" t="str">
        <f t="shared" si="207"/>
        <v>YES</v>
      </c>
      <c r="J4420">
        <f>Cleaned_Data!J4420</f>
        <v>24</v>
      </c>
      <c r="K4420" t="str">
        <f t="shared" si="208"/>
        <v>2024-01</v>
      </c>
      <c r="L4420">
        <f t="shared" si="209"/>
        <v>0</v>
      </c>
    </row>
    <row r="4421" spans="1:12">
      <c r="A4421" t="s">
        <v>12810</v>
      </c>
      <c r="B4421" t="s">
        <v>12811</v>
      </c>
      <c r="D4421" t="s">
        <v>15</v>
      </c>
      <c r="E4421" t="s">
        <v>16</v>
      </c>
      <c r="F4421" t="s">
        <v>41</v>
      </c>
      <c r="G4421" t="s">
        <v>46</v>
      </c>
      <c r="H4421">
        <f>Cleaned_Data!K4421</f>
        <v>0</v>
      </c>
      <c r="I4421" t="str">
        <f t="shared" si="207"/>
        <v/>
      </c>
      <c r="J4421">
        <f>Cleaned_Data!J4421</f>
        <v>8</v>
      </c>
      <c r="K4421" t="str">
        <f t="shared" si="208"/>
        <v>2024-10</v>
      </c>
      <c r="L4421">
        <f t="shared" si="209"/>
        <v>0</v>
      </c>
    </row>
    <row r="4422" spans="1:12">
      <c r="A4422" t="s">
        <v>12812</v>
      </c>
      <c r="B4422" t="s">
        <v>12813</v>
      </c>
      <c r="C4422" t="s">
        <v>12814</v>
      </c>
      <c r="D4422" t="s">
        <v>23</v>
      </c>
      <c r="E4422" t="s">
        <v>16</v>
      </c>
      <c r="F4422" t="s">
        <v>17</v>
      </c>
      <c r="G4422" t="s">
        <v>31</v>
      </c>
      <c r="H4422">
        <f>Cleaned_Data!K4422</f>
        <v>12.04</v>
      </c>
      <c r="I4422" t="str">
        <f t="shared" si="207"/>
        <v>YES</v>
      </c>
      <c r="J4422">
        <f>Cleaned_Data!J4422</f>
        <v>24</v>
      </c>
      <c r="K4422" t="str">
        <f t="shared" si="208"/>
        <v>2024-03</v>
      </c>
      <c r="L4422">
        <f t="shared" si="209"/>
        <v>0</v>
      </c>
    </row>
    <row r="4423" spans="1:12">
      <c r="A4423" t="s">
        <v>12815</v>
      </c>
      <c r="B4423" t="s">
        <v>12816</v>
      </c>
      <c r="C4423" t="s">
        <v>12817</v>
      </c>
      <c r="D4423" t="s">
        <v>15</v>
      </c>
      <c r="E4423" t="s">
        <v>59</v>
      </c>
      <c r="F4423" t="s">
        <v>36</v>
      </c>
      <c r="G4423" t="s">
        <v>19</v>
      </c>
      <c r="H4423">
        <f>Cleaned_Data!K4423</f>
        <v>5.33</v>
      </c>
      <c r="I4423" t="str">
        <f t="shared" si="207"/>
        <v>YES</v>
      </c>
      <c r="J4423">
        <f>Cleaned_Data!J4423</f>
        <v>8</v>
      </c>
      <c r="K4423" t="str">
        <f t="shared" si="208"/>
        <v>2024-01</v>
      </c>
      <c r="L4423">
        <f t="shared" si="209"/>
        <v>0</v>
      </c>
    </row>
    <row r="4424" spans="1:12">
      <c r="A4424" t="s">
        <v>12818</v>
      </c>
      <c r="B4424" t="s">
        <v>12819</v>
      </c>
      <c r="C4424" t="s">
        <v>12820</v>
      </c>
      <c r="D4424" t="s">
        <v>23</v>
      </c>
      <c r="E4424" t="s">
        <v>28</v>
      </c>
      <c r="F4424" t="s">
        <v>41</v>
      </c>
      <c r="G4424" t="s">
        <v>19</v>
      </c>
      <c r="H4424">
        <f>Cleaned_Data!K4424</f>
        <v>16.22</v>
      </c>
      <c r="I4424" t="str">
        <f t="shared" si="207"/>
        <v>YES</v>
      </c>
      <c r="J4424">
        <f>Cleaned_Data!J4424</f>
        <v>24</v>
      </c>
      <c r="K4424" t="str">
        <f t="shared" si="208"/>
        <v>2024-08</v>
      </c>
      <c r="L4424">
        <f t="shared" si="209"/>
        <v>0</v>
      </c>
    </row>
    <row r="4425" spans="1:12">
      <c r="A4425" t="s">
        <v>12821</v>
      </c>
      <c r="B4425" t="s">
        <v>12822</v>
      </c>
      <c r="C4425" t="s">
        <v>12823</v>
      </c>
      <c r="D4425" t="s">
        <v>15</v>
      </c>
      <c r="E4425" t="s">
        <v>16</v>
      </c>
      <c r="F4425" t="s">
        <v>41</v>
      </c>
      <c r="G4425" t="s">
        <v>19</v>
      </c>
      <c r="H4425">
        <f>Cleaned_Data!K4425</f>
        <v>4.9000000000000004</v>
      </c>
      <c r="I4425" t="str">
        <f t="shared" si="207"/>
        <v>YES</v>
      </c>
      <c r="J4425">
        <f>Cleaned_Data!J4425</f>
        <v>8</v>
      </c>
      <c r="K4425" t="str">
        <f t="shared" si="208"/>
        <v>2024-08</v>
      </c>
      <c r="L4425">
        <f t="shared" si="209"/>
        <v>0</v>
      </c>
    </row>
    <row r="4426" spans="1:12">
      <c r="A4426" t="s">
        <v>12824</v>
      </c>
      <c r="B4426" t="s">
        <v>12825</v>
      </c>
      <c r="C4426" t="s">
        <v>12826</v>
      </c>
      <c r="D4426" t="s">
        <v>23</v>
      </c>
      <c r="E4426" t="s">
        <v>28</v>
      </c>
      <c r="F4426" t="s">
        <v>17</v>
      </c>
      <c r="G4426" t="s">
        <v>19</v>
      </c>
      <c r="H4426">
        <f>Cleaned_Data!K4426</f>
        <v>22.4</v>
      </c>
      <c r="I4426" t="str">
        <f t="shared" si="207"/>
        <v>YES</v>
      </c>
      <c r="J4426">
        <f>Cleaned_Data!J4426</f>
        <v>24</v>
      </c>
      <c r="K4426" t="str">
        <f t="shared" si="208"/>
        <v>2024-08</v>
      </c>
      <c r="L4426">
        <f t="shared" si="209"/>
        <v>0</v>
      </c>
    </row>
    <row r="4427" spans="1:12">
      <c r="A4427" t="s">
        <v>12827</v>
      </c>
      <c r="B4427" t="s">
        <v>12828</v>
      </c>
      <c r="C4427" t="s">
        <v>12829</v>
      </c>
      <c r="D4427" t="s">
        <v>35</v>
      </c>
      <c r="E4427" t="s">
        <v>16</v>
      </c>
      <c r="F4427" t="s">
        <v>41</v>
      </c>
      <c r="G4427" t="s">
        <v>19</v>
      </c>
      <c r="H4427">
        <f>Cleaned_Data!K4427</f>
        <v>88.87</v>
      </c>
      <c r="I4427" t="str">
        <f t="shared" si="207"/>
        <v>NO</v>
      </c>
      <c r="J4427">
        <f>Cleaned_Data!J4427</f>
        <v>48</v>
      </c>
      <c r="K4427" t="str">
        <f t="shared" si="208"/>
        <v>2024-04</v>
      </c>
      <c r="L4427">
        <f t="shared" si="209"/>
        <v>40.870000000000005</v>
      </c>
    </row>
    <row r="4428" spans="1:12">
      <c r="A4428" t="s">
        <v>12830</v>
      </c>
      <c r="B4428" t="s">
        <v>12831</v>
      </c>
      <c r="C4428" t="s">
        <v>12832</v>
      </c>
      <c r="D4428" t="s">
        <v>23</v>
      </c>
      <c r="E4428" t="s">
        <v>24</v>
      </c>
      <c r="F4428" t="s">
        <v>17</v>
      </c>
      <c r="G4428" t="s">
        <v>19</v>
      </c>
      <c r="H4428">
        <f>Cleaned_Data!K4428</f>
        <v>7.61</v>
      </c>
      <c r="I4428" t="str">
        <f t="shared" si="207"/>
        <v>YES</v>
      </c>
      <c r="J4428">
        <f>Cleaned_Data!J4428</f>
        <v>24</v>
      </c>
      <c r="K4428" t="str">
        <f t="shared" si="208"/>
        <v>2024-04</v>
      </c>
      <c r="L4428">
        <f t="shared" si="209"/>
        <v>0</v>
      </c>
    </row>
    <row r="4429" spans="1:12">
      <c r="A4429" t="s">
        <v>12833</v>
      </c>
      <c r="B4429" t="s">
        <v>12834</v>
      </c>
      <c r="C4429" t="s">
        <v>12835</v>
      </c>
      <c r="D4429" t="s">
        <v>15</v>
      </c>
      <c r="E4429" t="s">
        <v>16</v>
      </c>
      <c r="F4429" t="s">
        <v>17</v>
      </c>
      <c r="G4429" t="s">
        <v>19</v>
      </c>
      <c r="H4429">
        <f>Cleaned_Data!K4429</f>
        <v>17.079999999999998</v>
      </c>
      <c r="I4429" t="str">
        <f t="shared" si="207"/>
        <v>NO</v>
      </c>
      <c r="J4429">
        <f>Cleaned_Data!J4429</f>
        <v>8</v>
      </c>
      <c r="K4429" t="str">
        <f t="shared" si="208"/>
        <v>2024-05</v>
      </c>
      <c r="L4429">
        <f t="shared" si="209"/>
        <v>9.0799999999999983</v>
      </c>
    </row>
    <row r="4430" spans="1:12">
      <c r="A4430" t="s">
        <v>12836</v>
      </c>
      <c r="B4430" t="s">
        <v>12837</v>
      </c>
      <c r="C4430" t="s">
        <v>12838</v>
      </c>
      <c r="D4430" t="s">
        <v>15</v>
      </c>
      <c r="E4430" t="s">
        <v>28</v>
      </c>
      <c r="F4430" t="s">
        <v>29</v>
      </c>
      <c r="G4430" t="s">
        <v>19</v>
      </c>
      <c r="H4430">
        <f>Cleaned_Data!K4430</f>
        <v>5.67</v>
      </c>
      <c r="I4430" t="str">
        <f t="shared" si="207"/>
        <v>YES</v>
      </c>
      <c r="J4430">
        <f>Cleaned_Data!J4430</f>
        <v>8</v>
      </c>
      <c r="K4430" t="str">
        <f t="shared" si="208"/>
        <v>2024-03</v>
      </c>
      <c r="L4430">
        <f t="shared" si="209"/>
        <v>0</v>
      </c>
    </row>
    <row r="4431" spans="1:12">
      <c r="A4431" t="s">
        <v>12839</v>
      </c>
      <c r="B4431" t="s">
        <v>12840</v>
      </c>
      <c r="D4431" t="s">
        <v>23</v>
      </c>
      <c r="E4431" t="s">
        <v>28</v>
      </c>
      <c r="F4431" t="s">
        <v>29</v>
      </c>
      <c r="G4431" t="s">
        <v>63</v>
      </c>
      <c r="H4431">
        <f>Cleaned_Data!K4431</f>
        <v>0</v>
      </c>
      <c r="I4431" t="str">
        <f t="shared" si="207"/>
        <v/>
      </c>
      <c r="J4431">
        <f>Cleaned_Data!J4431</f>
        <v>24</v>
      </c>
      <c r="K4431" t="str">
        <f t="shared" si="208"/>
        <v>2024-12</v>
      </c>
      <c r="L4431">
        <f t="shared" si="209"/>
        <v>0</v>
      </c>
    </row>
    <row r="4432" spans="1:12">
      <c r="A4432" t="s">
        <v>12841</v>
      </c>
      <c r="B4432" t="s">
        <v>12842</v>
      </c>
      <c r="C4432" t="s">
        <v>12843</v>
      </c>
      <c r="D4432" t="s">
        <v>158</v>
      </c>
      <c r="E4432" t="s">
        <v>28</v>
      </c>
      <c r="F4432" t="s">
        <v>29</v>
      </c>
      <c r="G4432" t="s">
        <v>19</v>
      </c>
      <c r="H4432">
        <f>Cleaned_Data!K4432</f>
        <v>6.79</v>
      </c>
      <c r="I4432" t="str">
        <f t="shared" si="207"/>
        <v>NO</v>
      </c>
      <c r="J4432">
        <f>Cleaned_Data!J4432</f>
        <v>4</v>
      </c>
      <c r="K4432" t="str">
        <f t="shared" si="208"/>
        <v>2024-02</v>
      </c>
      <c r="L4432">
        <f t="shared" si="209"/>
        <v>2.79</v>
      </c>
    </row>
    <row r="4433" spans="1:12">
      <c r="A4433" t="s">
        <v>12844</v>
      </c>
      <c r="B4433" t="s">
        <v>12845</v>
      </c>
      <c r="C4433" t="s">
        <v>12846</v>
      </c>
      <c r="D4433" t="s">
        <v>23</v>
      </c>
      <c r="E4433" t="s">
        <v>24</v>
      </c>
      <c r="F4433" t="s">
        <v>60</v>
      </c>
      <c r="G4433" t="s">
        <v>31</v>
      </c>
      <c r="H4433">
        <f>Cleaned_Data!K4433</f>
        <v>15.16</v>
      </c>
      <c r="I4433" t="str">
        <f t="shared" si="207"/>
        <v>YES</v>
      </c>
      <c r="J4433">
        <f>Cleaned_Data!J4433</f>
        <v>24</v>
      </c>
      <c r="K4433" t="str">
        <f t="shared" si="208"/>
        <v>2024-03</v>
      </c>
      <c r="L4433">
        <f t="shared" si="209"/>
        <v>0</v>
      </c>
    </row>
    <row r="4434" spans="1:12">
      <c r="A4434" t="s">
        <v>12847</v>
      </c>
      <c r="B4434" t="s">
        <v>12848</v>
      </c>
      <c r="C4434" t="s">
        <v>12849</v>
      </c>
      <c r="D4434" t="s">
        <v>23</v>
      </c>
      <c r="E4434" t="s">
        <v>16</v>
      </c>
      <c r="F4434" t="s">
        <v>36</v>
      </c>
      <c r="G4434" t="s">
        <v>31</v>
      </c>
      <c r="H4434">
        <f>Cleaned_Data!K4434</f>
        <v>20.96</v>
      </c>
      <c r="I4434" t="str">
        <f t="shared" si="207"/>
        <v>YES</v>
      </c>
      <c r="J4434">
        <f>Cleaned_Data!J4434</f>
        <v>24</v>
      </c>
      <c r="K4434" t="str">
        <f t="shared" si="208"/>
        <v>2024-04</v>
      </c>
      <c r="L4434">
        <f t="shared" si="209"/>
        <v>0</v>
      </c>
    </row>
    <row r="4435" spans="1:12">
      <c r="A4435" t="s">
        <v>12850</v>
      </c>
      <c r="B4435" t="s">
        <v>12851</v>
      </c>
      <c r="C4435" t="s">
        <v>12852</v>
      </c>
      <c r="D4435" t="s">
        <v>23</v>
      </c>
      <c r="E4435" t="s">
        <v>24</v>
      </c>
      <c r="F4435" t="s">
        <v>29</v>
      </c>
      <c r="G4435" t="s">
        <v>19</v>
      </c>
      <c r="H4435">
        <f>Cleaned_Data!K4435</f>
        <v>14.56</v>
      </c>
      <c r="I4435" t="str">
        <f t="shared" si="207"/>
        <v>YES</v>
      </c>
      <c r="J4435">
        <f>Cleaned_Data!J4435</f>
        <v>24</v>
      </c>
      <c r="K4435" t="str">
        <f t="shared" si="208"/>
        <v>2024-07</v>
      </c>
      <c r="L4435">
        <f t="shared" si="209"/>
        <v>0</v>
      </c>
    </row>
    <row r="4436" spans="1:12">
      <c r="A4436" t="s">
        <v>12853</v>
      </c>
      <c r="B4436" t="s">
        <v>12854</v>
      </c>
      <c r="C4436" t="s">
        <v>12855</v>
      </c>
      <c r="D4436" t="s">
        <v>15</v>
      </c>
      <c r="E4436" t="s">
        <v>28</v>
      </c>
      <c r="F4436" t="s">
        <v>17</v>
      </c>
      <c r="G4436" t="s">
        <v>19</v>
      </c>
      <c r="H4436">
        <f>Cleaned_Data!K4436</f>
        <v>18.05</v>
      </c>
      <c r="I4436" t="str">
        <f t="shared" si="207"/>
        <v>NO</v>
      </c>
      <c r="J4436">
        <f>Cleaned_Data!J4436</f>
        <v>8</v>
      </c>
      <c r="K4436" t="str">
        <f t="shared" si="208"/>
        <v>2024-06</v>
      </c>
      <c r="L4436">
        <f t="shared" si="209"/>
        <v>10.050000000000001</v>
      </c>
    </row>
    <row r="4437" spans="1:12">
      <c r="A4437" t="s">
        <v>12856</v>
      </c>
      <c r="B4437" t="s">
        <v>12857</v>
      </c>
      <c r="C4437" t="s">
        <v>12858</v>
      </c>
      <c r="D4437" t="s">
        <v>23</v>
      </c>
      <c r="E4437" t="s">
        <v>54</v>
      </c>
      <c r="F4437" t="s">
        <v>36</v>
      </c>
      <c r="G4437" t="s">
        <v>19</v>
      </c>
      <c r="H4437">
        <f>Cleaned_Data!K4437</f>
        <v>11.88</v>
      </c>
      <c r="I4437" t="str">
        <f t="shared" si="207"/>
        <v>YES</v>
      </c>
      <c r="J4437">
        <f>Cleaned_Data!J4437</f>
        <v>24</v>
      </c>
      <c r="K4437" t="str">
        <f t="shared" si="208"/>
        <v>2024-05</v>
      </c>
      <c r="L4437">
        <f t="shared" si="209"/>
        <v>0</v>
      </c>
    </row>
    <row r="4438" spans="1:12">
      <c r="A4438" t="s">
        <v>12859</v>
      </c>
      <c r="B4438" t="s">
        <v>12860</v>
      </c>
      <c r="C4438" t="s">
        <v>12861</v>
      </c>
      <c r="D4438" t="s">
        <v>23</v>
      </c>
      <c r="E4438" t="s">
        <v>59</v>
      </c>
      <c r="F4438" t="s">
        <v>36</v>
      </c>
      <c r="G4438" t="s">
        <v>19</v>
      </c>
      <c r="H4438">
        <f>Cleaned_Data!K4438</f>
        <v>20.420000000000002</v>
      </c>
      <c r="I4438" t="str">
        <f t="shared" si="207"/>
        <v>YES</v>
      </c>
      <c r="J4438">
        <f>Cleaned_Data!J4438</f>
        <v>24</v>
      </c>
      <c r="K4438" t="str">
        <f t="shared" si="208"/>
        <v>2024-04</v>
      </c>
      <c r="L4438">
        <f t="shared" si="209"/>
        <v>0</v>
      </c>
    </row>
    <row r="4439" spans="1:12">
      <c r="A4439" t="s">
        <v>12862</v>
      </c>
      <c r="B4439" t="s">
        <v>12863</v>
      </c>
      <c r="C4439" t="s">
        <v>12864</v>
      </c>
      <c r="D4439" t="s">
        <v>35</v>
      </c>
      <c r="E4439" t="s">
        <v>24</v>
      </c>
      <c r="F4439" t="s">
        <v>41</v>
      </c>
      <c r="G4439" t="s">
        <v>19</v>
      </c>
      <c r="H4439">
        <f>Cleaned_Data!K4439</f>
        <v>12.82</v>
      </c>
      <c r="I4439" t="str">
        <f t="shared" si="207"/>
        <v>YES</v>
      </c>
      <c r="J4439">
        <f>Cleaned_Data!J4439</f>
        <v>48</v>
      </c>
      <c r="K4439" t="str">
        <f t="shared" si="208"/>
        <v>2024-09</v>
      </c>
      <c r="L4439">
        <f t="shared" si="209"/>
        <v>0</v>
      </c>
    </row>
    <row r="4440" spans="1:12">
      <c r="A4440" t="s">
        <v>12865</v>
      </c>
      <c r="B4440" t="s">
        <v>12866</v>
      </c>
      <c r="D4440" t="s">
        <v>23</v>
      </c>
      <c r="E4440" t="s">
        <v>24</v>
      </c>
      <c r="F4440" t="s">
        <v>41</v>
      </c>
      <c r="G4440" t="s">
        <v>63</v>
      </c>
      <c r="H4440">
        <f>Cleaned_Data!K4440</f>
        <v>0</v>
      </c>
      <c r="I4440" t="str">
        <f t="shared" si="207"/>
        <v/>
      </c>
      <c r="J4440">
        <f>Cleaned_Data!J4440</f>
        <v>24</v>
      </c>
      <c r="K4440" t="str">
        <f t="shared" si="208"/>
        <v>2024-10</v>
      </c>
      <c r="L4440">
        <f t="shared" si="209"/>
        <v>0</v>
      </c>
    </row>
    <row r="4441" spans="1:12">
      <c r="A4441" t="s">
        <v>12867</v>
      </c>
      <c r="B4441" t="s">
        <v>12868</v>
      </c>
      <c r="C4441" t="s">
        <v>12869</v>
      </c>
      <c r="D4441" t="s">
        <v>23</v>
      </c>
      <c r="E4441" t="s">
        <v>54</v>
      </c>
      <c r="F4441" t="s">
        <v>41</v>
      </c>
      <c r="G4441" t="s">
        <v>19</v>
      </c>
      <c r="H4441">
        <f>Cleaned_Data!K4441</f>
        <v>22.55</v>
      </c>
      <c r="I4441" t="str">
        <f t="shared" si="207"/>
        <v>YES</v>
      </c>
      <c r="J4441">
        <f>Cleaned_Data!J4441</f>
        <v>24</v>
      </c>
      <c r="K4441" t="str">
        <f t="shared" si="208"/>
        <v>2024-04</v>
      </c>
      <c r="L4441">
        <f t="shared" si="209"/>
        <v>0</v>
      </c>
    </row>
    <row r="4442" spans="1:12">
      <c r="A4442" t="s">
        <v>12870</v>
      </c>
      <c r="B4442" t="s">
        <v>12871</v>
      </c>
      <c r="C4442" t="s">
        <v>12872</v>
      </c>
      <c r="D4442" t="s">
        <v>15</v>
      </c>
      <c r="E4442" t="s">
        <v>28</v>
      </c>
      <c r="F4442" t="s">
        <v>41</v>
      </c>
      <c r="G4442" t="s">
        <v>31</v>
      </c>
      <c r="H4442">
        <f>Cleaned_Data!K4442</f>
        <v>1.58</v>
      </c>
      <c r="I4442" t="str">
        <f t="shared" si="207"/>
        <v>YES</v>
      </c>
      <c r="J4442">
        <f>Cleaned_Data!J4442</f>
        <v>8</v>
      </c>
      <c r="K4442" t="str">
        <f t="shared" si="208"/>
        <v>2024-12</v>
      </c>
      <c r="L4442">
        <f t="shared" si="209"/>
        <v>0</v>
      </c>
    </row>
    <row r="4443" spans="1:12">
      <c r="A4443" t="s">
        <v>12873</v>
      </c>
      <c r="B4443" t="s">
        <v>12874</v>
      </c>
      <c r="C4443" t="s">
        <v>12875</v>
      </c>
      <c r="D4443" t="s">
        <v>35</v>
      </c>
      <c r="E4443" t="s">
        <v>54</v>
      </c>
      <c r="F4443" t="s">
        <v>17</v>
      </c>
      <c r="G4443" t="s">
        <v>19</v>
      </c>
      <c r="H4443">
        <f>Cleaned_Data!K4443</f>
        <v>8.98</v>
      </c>
      <c r="I4443" t="str">
        <f t="shared" si="207"/>
        <v>YES</v>
      </c>
      <c r="J4443">
        <f>Cleaned_Data!J4443</f>
        <v>48</v>
      </c>
      <c r="K4443" t="str">
        <f t="shared" si="208"/>
        <v>2024-11</v>
      </c>
      <c r="L4443">
        <f t="shared" si="209"/>
        <v>0</v>
      </c>
    </row>
    <row r="4444" spans="1:12">
      <c r="A4444" t="s">
        <v>12876</v>
      </c>
      <c r="B4444" t="s">
        <v>12877</v>
      </c>
      <c r="D4444" t="s">
        <v>35</v>
      </c>
      <c r="E4444" t="s">
        <v>24</v>
      </c>
      <c r="F4444" t="s">
        <v>41</v>
      </c>
      <c r="G4444" t="s">
        <v>63</v>
      </c>
      <c r="H4444">
        <f>Cleaned_Data!K4444</f>
        <v>0</v>
      </c>
      <c r="I4444" t="str">
        <f t="shared" si="207"/>
        <v/>
      </c>
      <c r="J4444">
        <f>Cleaned_Data!J4444</f>
        <v>48</v>
      </c>
      <c r="K4444" t="str">
        <f t="shared" si="208"/>
        <v>2024-11</v>
      </c>
      <c r="L4444">
        <f t="shared" si="209"/>
        <v>0</v>
      </c>
    </row>
    <row r="4445" spans="1:12">
      <c r="A4445" t="s">
        <v>12878</v>
      </c>
      <c r="B4445" t="s">
        <v>12879</v>
      </c>
      <c r="C4445" t="s">
        <v>12880</v>
      </c>
      <c r="D4445" t="s">
        <v>158</v>
      </c>
      <c r="E4445" t="s">
        <v>28</v>
      </c>
      <c r="F4445" t="s">
        <v>41</v>
      </c>
      <c r="G4445" t="s">
        <v>31</v>
      </c>
      <c r="H4445">
        <f>Cleaned_Data!K4445</f>
        <v>0.68</v>
      </c>
      <c r="I4445" t="str">
        <f t="shared" si="207"/>
        <v>YES</v>
      </c>
      <c r="J4445">
        <f>Cleaned_Data!J4445</f>
        <v>4</v>
      </c>
      <c r="K4445" t="str">
        <f t="shared" si="208"/>
        <v>2024-09</v>
      </c>
      <c r="L4445">
        <f t="shared" si="209"/>
        <v>0</v>
      </c>
    </row>
    <row r="4446" spans="1:12">
      <c r="A4446" t="s">
        <v>12881</v>
      </c>
      <c r="B4446" t="s">
        <v>12882</v>
      </c>
      <c r="C4446" t="s">
        <v>12883</v>
      </c>
      <c r="D4446" t="s">
        <v>15</v>
      </c>
      <c r="E4446" t="s">
        <v>24</v>
      </c>
      <c r="F4446" t="s">
        <v>36</v>
      </c>
      <c r="G4446" t="s">
        <v>31</v>
      </c>
      <c r="H4446">
        <f>Cleaned_Data!K4446</f>
        <v>3.62</v>
      </c>
      <c r="I4446" t="str">
        <f t="shared" si="207"/>
        <v>YES</v>
      </c>
      <c r="J4446">
        <f>Cleaned_Data!J4446</f>
        <v>8</v>
      </c>
      <c r="K4446" t="str">
        <f t="shared" si="208"/>
        <v>2024-02</v>
      </c>
      <c r="L4446">
        <f t="shared" si="209"/>
        <v>0</v>
      </c>
    </row>
    <row r="4447" spans="1:12">
      <c r="A4447" t="s">
        <v>12884</v>
      </c>
      <c r="B4447" t="s">
        <v>12885</v>
      </c>
      <c r="C4447" t="s">
        <v>12886</v>
      </c>
      <c r="D4447" t="s">
        <v>23</v>
      </c>
      <c r="E4447" t="s">
        <v>28</v>
      </c>
      <c r="F4447" t="s">
        <v>41</v>
      </c>
      <c r="G4447" t="s">
        <v>31</v>
      </c>
      <c r="H4447">
        <f>Cleaned_Data!K4447</f>
        <v>13.44</v>
      </c>
      <c r="I4447" t="str">
        <f t="shared" si="207"/>
        <v>YES</v>
      </c>
      <c r="J4447">
        <f>Cleaned_Data!J4447</f>
        <v>24</v>
      </c>
      <c r="K4447" t="str">
        <f t="shared" si="208"/>
        <v>2024-04</v>
      </c>
      <c r="L4447">
        <f t="shared" si="209"/>
        <v>0</v>
      </c>
    </row>
    <row r="4448" spans="1:12">
      <c r="A4448" t="s">
        <v>12887</v>
      </c>
      <c r="B4448" t="s">
        <v>12888</v>
      </c>
      <c r="D4448" t="s">
        <v>23</v>
      </c>
      <c r="E4448" t="s">
        <v>28</v>
      </c>
      <c r="F4448" t="s">
        <v>17</v>
      </c>
      <c r="G4448" t="s">
        <v>63</v>
      </c>
      <c r="H4448">
        <f>Cleaned_Data!K4448</f>
        <v>0</v>
      </c>
      <c r="I4448" t="str">
        <f t="shared" si="207"/>
        <v/>
      </c>
      <c r="J4448">
        <f>Cleaned_Data!J4448</f>
        <v>24</v>
      </c>
      <c r="K4448" t="str">
        <f t="shared" si="208"/>
        <v>2024-11</v>
      </c>
      <c r="L4448">
        <f t="shared" si="209"/>
        <v>0</v>
      </c>
    </row>
    <row r="4449" spans="1:12">
      <c r="A4449" t="s">
        <v>12889</v>
      </c>
      <c r="B4449" t="s">
        <v>12890</v>
      </c>
      <c r="C4449" t="s">
        <v>12891</v>
      </c>
      <c r="D4449" t="s">
        <v>23</v>
      </c>
      <c r="E4449" t="s">
        <v>16</v>
      </c>
      <c r="F4449" t="s">
        <v>29</v>
      </c>
      <c r="G4449" t="s">
        <v>31</v>
      </c>
      <c r="H4449">
        <f>Cleaned_Data!K4449</f>
        <v>5.28</v>
      </c>
      <c r="I4449" t="str">
        <f t="shared" si="207"/>
        <v>YES</v>
      </c>
      <c r="J4449">
        <f>Cleaned_Data!J4449</f>
        <v>24</v>
      </c>
      <c r="K4449" t="str">
        <f t="shared" si="208"/>
        <v>2024-01</v>
      </c>
      <c r="L4449">
        <f t="shared" si="209"/>
        <v>0</v>
      </c>
    </row>
    <row r="4450" spans="1:12">
      <c r="A4450" t="s">
        <v>12892</v>
      </c>
      <c r="B4450" t="s">
        <v>12893</v>
      </c>
      <c r="C4450" t="s">
        <v>12894</v>
      </c>
      <c r="D4450" t="s">
        <v>23</v>
      </c>
      <c r="E4450" t="s">
        <v>16</v>
      </c>
      <c r="F4450" t="s">
        <v>60</v>
      </c>
      <c r="G4450" t="s">
        <v>31</v>
      </c>
      <c r="H4450">
        <f>Cleaned_Data!K4450</f>
        <v>11.63</v>
      </c>
      <c r="I4450" t="str">
        <f t="shared" si="207"/>
        <v>YES</v>
      </c>
      <c r="J4450">
        <f>Cleaned_Data!J4450</f>
        <v>24</v>
      </c>
      <c r="K4450" t="str">
        <f t="shared" si="208"/>
        <v>2024-06</v>
      </c>
      <c r="L4450">
        <f t="shared" si="209"/>
        <v>0</v>
      </c>
    </row>
    <row r="4451" spans="1:12">
      <c r="A4451" t="s">
        <v>12895</v>
      </c>
      <c r="B4451" t="s">
        <v>12896</v>
      </c>
      <c r="C4451" t="s">
        <v>12897</v>
      </c>
      <c r="D4451" t="s">
        <v>158</v>
      </c>
      <c r="E4451" t="s">
        <v>24</v>
      </c>
      <c r="F4451" t="s">
        <v>36</v>
      </c>
      <c r="G4451" t="s">
        <v>19</v>
      </c>
      <c r="H4451">
        <f>Cleaned_Data!K4451</f>
        <v>5.26</v>
      </c>
      <c r="I4451" t="str">
        <f t="shared" si="207"/>
        <v>NO</v>
      </c>
      <c r="J4451">
        <f>Cleaned_Data!J4451</f>
        <v>4</v>
      </c>
      <c r="K4451" t="str">
        <f t="shared" si="208"/>
        <v>2024-03</v>
      </c>
      <c r="L4451">
        <f t="shared" si="209"/>
        <v>1.2599999999999998</v>
      </c>
    </row>
    <row r="4452" spans="1:12">
      <c r="A4452" t="s">
        <v>12898</v>
      </c>
      <c r="B4452" t="s">
        <v>12899</v>
      </c>
      <c r="C4452" t="s">
        <v>12900</v>
      </c>
      <c r="D4452" t="s">
        <v>23</v>
      </c>
      <c r="E4452" t="s">
        <v>16</v>
      </c>
      <c r="F4452" t="s">
        <v>17</v>
      </c>
      <c r="G4452" t="s">
        <v>31</v>
      </c>
      <c r="H4452">
        <f>Cleaned_Data!K4452</f>
        <v>11.03</v>
      </c>
      <c r="I4452" t="str">
        <f t="shared" si="207"/>
        <v>YES</v>
      </c>
      <c r="J4452">
        <f>Cleaned_Data!J4452</f>
        <v>24</v>
      </c>
      <c r="K4452" t="str">
        <f t="shared" si="208"/>
        <v>2024-09</v>
      </c>
      <c r="L4452">
        <f t="shared" si="209"/>
        <v>0</v>
      </c>
    </row>
    <row r="4453" spans="1:12">
      <c r="A4453" t="s">
        <v>12901</v>
      </c>
      <c r="B4453" t="s">
        <v>12902</v>
      </c>
      <c r="C4453" t="s">
        <v>12903</v>
      </c>
      <c r="D4453" t="s">
        <v>23</v>
      </c>
      <c r="E4453" t="s">
        <v>24</v>
      </c>
      <c r="F4453" t="s">
        <v>29</v>
      </c>
      <c r="G4453" t="s">
        <v>31</v>
      </c>
      <c r="H4453">
        <f>Cleaned_Data!K4453</f>
        <v>37.99</v>
      </c>
      <c r="I4453" t="str">
        <f t="shared" si="207"/>
        <v>NO</v>
      </c>
      <c r="J4453">
        <f>Cleaned_Data!J4453</f>
        <v>24</v>
      </c>
      <c r="K4453" t="str">
        <f t="shared" si="208"/>
        <v>2024-05</v>
      </c>
      <c r="L4453">
        <f t="shared" si="209"/>
        <v>13.990000000000002</v>
      </c>
    </row>
    <row r="4454" spans="1:12">
      <c r="A4454" t="s">
        <v>12904</v>
      </c>
      <c r="B4454" t="s">
        <v>12905</v>
      </c>
      <c r="C4454" t="s">
        <v>12906</v>
      </c>
      <c r="D4454" t="s">
        <v>23</v>
      </c>
      <c r="E4454" t="s">
        <v>28</v>
      </c>
      <c r="F4454" t="s">
        <v>41</v>
      </c>
      <c r="G4454" t="s">
        <v>31</v>
      </c>
      <c r="H4454">
        <f>Cleaned_Data!K4454</f>
        <v>14.5</v>
      </c>
      <c r="I4454" t="str">
        <f t="shared" si="207"/>
        <v>YES</v>
      </c>
      <c r="J4454">
        <f>Cleaned_Data!J4454</f>
        <v>24</v>
      </c>
      <c r="K4454" t="str">
        <f t="shared" si="208"/>
        <v>2024-09</v>
      </c>
      <c r="L4454">
        <f t="shared" si="209"/>
        <v>0</v>
      </c>
    </row>
    <row r="4455" spans="1:12">
      <c r="A4455" t="s">
        <v>12907</v>
      </c>
      <c r="B4455" t="s">
        <v>12908</v>
      </c>
      <c r="C4455" t="s">
        <v>12909</v>
      </c>
      <c r="D4455" t="s">
        <v>23</v>
      </c>
      <c r="E4455" t="s">
        <v>54</v>
      </c>
      <c r="F4455" t="s">
        <v>60</v>
      </c>
      <c r="G4455" t="s">
        <v>19</v>
      </c>
      <c r="H4455">
        <f>Cleaned_Data!K4455</f>
        <v>43.45</v>
      </c>
      <c r="I4455" t="str">
        <f t="shared" si="207"/>
        <v>NO</v>
      </c>
      <c r="J4455">
        <f>Cleaned_Data!J4455</f>
        <v>24</v>
      </c>
      <c r="K4455" t="str">
        <f t="shared" si="208"/>
        <v>2024-05</v>
      </c>
      <c r="L4455">
        <f t="shared" si="209"/>
        <v>19.450000000000003</v>
      </c>
    </row>
    <row r="4456" spans="1:12">
      <c r="A4456" t="s">
        <v>12910</v>
      </c>
      <c r="B4456" t="s">
        <v>12911</v>
      </c>
      <c r="C4456" t="s">
        <v>12912</v>
      </c>
      <c r="D4456" t="s">
        <v>15</v>
      </c>
      <c r="E4456" t="s">
        <v>54</v>
      </c>
      <c r="F4456" t="s">
        <v>36</v>
      </c>
      <c r="G4456" t="s">
        <v>31</v>
      </c>
      <c r="H4456">
        <f>Cleaned_Data!K4456</f>
        <v>5.76</v>
      </c>
      <c r="I4456" t="str">
        <f t="shared" si="207"/>
        <v>YES</v>
      </c>
      <c r="J4456">
        <f>Cleaned_Data!J4456</f>
        <v>8</v>
      </c>
      <c r="K4456" t="str">
        <f t="shared" si="208"/>
        <v>2024-07</v>
      </c>
      <c r="L4456">
        <f t="shared" si="209"/>
        <v>0</v>
      </c>
    </row>
    <row r="4457" spans="1:12">
      <c r="A4457" t="s">
        <v>12913</v>
      </c>
      <c r="B4457" t="s">
        <v>12914</v>
      </c>
      <c r="C4457" t="s">
        <v>12915</v>
      </c>
      <c r="D4457" t="s">
        <v>158</v>
      </c>
      <c r="E4457" t="s">
        <v>28</v>
      </c>
      <c r="F4457" t="s">
        <v>17</v>
      </c>
      <c r="G4457" t="s">
        <v>19</v>
      </c>
      <c r="H4457">
        <f>Cleaned_Data!K4457</f>
        <v>3.71</v>
      </c>
      <c r="I4457" t="str">
        <f t="shared" si="207"/>
        <v>YES</v>
      </c>
      <c r="J4457">
        <f>Cleaned_Data!J4457</f>
        <v>4</v>
      </c>
      <c r="K4457" t="str">
        <f t="shared" si="208"/>
        <v>2024-05</v>
      </c>
      <c r="L4457">
        <f t="shared" si="209"/>
        <v>0</v>
      </c>
    </row>
    <row r="4458" spans="1:12">
      <c r="A4458" t="s">
        <v>12916</v>
      </c>
      <c r="B4458" t="s">
        <v>12917</v>
      </c>
      <c r="C4458" t="s">
        <v>12918</v>
      </c>
      <c r="D4458" t="s">
        <v>35</v>
      </c>
      <c r="E4458" t="s">
        <v>28</v>
      </c>
      <c r="F4458" t="s">
        <v>60</v>
      </c>
      <c r="G4458" t="s">
        <v>19</v>
      </c>
      <c r="H4458">
        <f>Cleaned_Data!K4458</f>
        <v>20.43</v>
      </c>
      <c r="I4458" t="str">
        <f t="shared" si="207"/>
        <v>YES</v>
      </c>
      <c r="J4458">
        <f>Cleaned_Data!J4458</f>
        <v>48</v>
      </c>
      <c r="K4458" t="str">
        <f t="shared" si="208"/>
        <v>2024-01</v>
      </c>
      <c r="L4458">
        <f t="shared" si="209"/>
        <v>0</v>
      </c>
    </row>
    <row r="4459" spans="1:12">
      <c r="A4459" t="s">
        <v>12919</v>
      </c>
      <c r="B4459" t="s">
        <v>12920</v>
      </c>
      <c r="C4459" t="s">
        <v>12921</v>
      </c>
      <c r="D4459" t="s">
        <v>23</v>
      </c>
      <c r="E4459" t="s">
        <v>28</v>
      </c>
      <c r="F4459" t="s">
        <v>29</v>
      </c>
      <c r="G4459" t="s">
        <v>19</v>
      </c>
      <c r="H4459">
        <f>Cleaned_Data!K4459</f>
        <v>26</v>
      </c>
      <c r="I4459" t="str">
        <f t="shared" si="207"/>
        <v>NO</v>
      </c>
      <c r="J4459">
        <f>Cleaned_Data!J4459</f>
        <v>24</v>
      </c>
      <c r="K4459" t="str">
        <f t="shared" si="208"/>
        <v>2024-11</v>
      </c>
      <c r="L4459">
        <f t="shared" si="209"/>
        <v>2</v>
      </c>
    </row>
    <row r="4460" spans="1:12">
      <c r="A4460" t="s">
        <v>12922</v>
      </c>
      <c r="B4460" t="s">
        <v>12923</v>
      </c>
      <c r="C4460" t="s">
        <v>12924</v>
      </c>
      <c r="D4460" t="s">
        <v>158</v>
      </c>
      <c r="E4460" t="s">
        <v>24</v>
      </c>
      <c r="F4460" t="s">
        <v>36</v>
      </c>
      <c r="G4460" t="s">
        <v>19</v>
      </c>
      <c r="H4460">
        <f>Cleaned_Data!K4460</f>
        <v>0.96</v>
      </c>
      <c r="I4460" t="str">
        <f t="shared" si="207"/>
        <v>YES</v>
      </c>
      <c r="J4460">
        <f>Cleaned_Data!J4460</f>
        <v>4</v>
      </c>
      <c r="K4460" t="str">
        <f t="shared" si="208"/>
        <v>2024-11</v>
      </c>
      <c r="L4460">
        <f t="shared" si="209"/>
        <v>0</v>
      </c>
    </row>
    <row r="4461" spans="1:12">
      <c r="A4461" t="s">
        <v>12925</v>
      </c>
      <c r="B4461" t="s">
        <v>12926</v>
      </c>
      <c r="C4461" t="s">
        <v>12927</v>
      </c>
      <c r="D4461" t="s">
        <v>35</v>
      </c>
      <c r="E4461" t="s">
        <v>28</v>
      </c>
      <c r="F4461" t="s">
        <v>36</v>
      </c>
      <c r="G4461" t="s">
        <v>19</v>
      </c>
      <c r="H4461">
        <f>Cleaned_Data!K4461</f>
        <v>39.67</v>
      </c>
      <c r="I4461" t="str">
        <f t="shared" si="207"/>
        <v>YES</v>
      </c>
      <c r="J4461">
        <f>Cleaned_Data!J4461</f>
        <v>48</v>
      </c>
      <c r="K4461" t="str">
        <f t="shared" si="208"/>
        <v>2024-05</v>
      </c>
      <c r="L4461">
        <f t="shared" si="209"/>
        <v>0</v>
      </c>
    </row>
    <row r="4462" spans="1:12">
      <c r="A4462" t="s">
        <v>12928</v>
      </c>
      <c r="B4462" t="s">
        <v>12929</v>
      </c>
      <c r="C4462" t="s">
        <v>12930</v>
      </c>
      <c r="D4462" t="s">
        <v>158</v>
      </c>
      <c r="E4462" t="s">
        <v>28</v>
      </c>
      <c r="F4462" t="s">
        <v>60</v>
      </c>
      <c r="G4462" t="s">
        <v>19</v>
      </c>
      <c r="H4462">
        <f>Cleaned_Data!K4462</f>
        <v>1.22</v>
      </c>
      <c r="I4462" t="str">
        <f t="shared" si="207"/>
        <v>YES</v>
      </c>
      <c r="J4462">
        <f>Cleaned_Data!J4462</f>
        <v>4</v>
      </c>
      <c r="K4462" t="str">
        <f t="shared" si="208"/>
        <v>2024-04</v>
      </c>
      <c r="L4462">
        <f t="shared" si="209"/>
        <v>0</v>
      </c>
    </row>
    <row r="4463" spans="1:12">
      <c r="A4463" t="s">
        <v>12931</v>
      </c>
      <c r="B4463" t="s">
        <v>12932</v>
      </c>
      <c r="D4463" t="s">
        <v>23</v>
      </c>
      <c r="E4463" t="s">
        <v>28</v>
      </c>
      <c r="F4463" t="s">
        <v>41</v>
      </c>
      <c r="G4463" t="s">
        <v>63</v>
      </c>
      <c r="H4463">
        <f>Cleaned_Data!K4463</f>
        <v>0</v>
      </c>
      <c r="I4463" t="str">
        <f t="shared" si="207"/>
        <v/>
      </c>
      <c r="J4463">
        <f>Cleaned_Data!J4463</f>
        <v>24</v>
      </c>
      <c r="K4463" t="str">
        <f t="shared" si="208"/>
        <v>2024-04</v>
      </c>
      <c r="L4463">
        <f t="shared" si="209"/>
        <v>0</v>
      </c>
    </row>
    <row r="4464" spans="1:12">
      <c r="A4464" t="s">
        <v>12933</v>
      </c>
      <c r="B4464" t="s">
        <v>12934</v>
      </c>
      <c r="D4464" t="s">
        <v>158</v>
      </c>
      <c r="E4464" t="s">
        <v>28</v>
      </c>
      <c r="F4464" t="s">
        <v>41</v>
      </c>
      <c r="G4464" t="s">
        <v>63</v>
      </c>
      <c r="H4464">
        <f>Cleaned_Data!K4464</f>
        <v>0</v>
      </c>
      <c r="I4464" t="str">
        <f t="shared" si="207"/>
        <v/>
      </c>
      <c r="J4464">
        <f>Cleaned_Data!J4464</f>
        <v>4</v>
      </c>
      <c r="K4464" t="str">
        <f t="shared" si="208"/>
        <v>2024-05</v>
      </c>
      <c r="L4464">
        <f t="shared" si="209"/>
        <v>0</v>
      </c>
    </row>
    <row r="4465" spans="1:12">
      <c r="A4465" t="s">
        <v>12935</v>
      </c>
      <c r="B4465" t="s">
        <v>12936</v>
      </c>
      <c r="C4465" t="s">
        <v>12937</v>
      </c>
      <c r="D4465" t="s">
        <v>23</v>
      </c>
      <c r="E4465" t="s">
        <v>28</v>
      </c>
      <c r="F4465" t="s">
        <v>17</v>
      </c>
      <c r="G4465" t="s">
        <v>31</v>
      </c>
      <c r="H4465">
        <f>Cleaned_Data!K4465</f>
        <v>18.97</v>
      </c>
      <c r="I4465" t="str">
        <f t="shared" si="207"/>
        <v>YES</v>
      </c>
      <c r="J4465">
        <f>Cleaned_Data!J4465</f>
        <v>24</v>
      </c>
      <c r="K4465" t="str">
        <f t="shared" si="208"/>
        <v>2024-10</v>
      </c>
      <c r="L4465">
        <f t="shared" si="209"/>
        <v>0</v>
      </c>
    </row>
    <row r="4466" spans="1:12">
      <c r="A4466" t="s">
        <v>12938</v>
      </c>
      <c r="B4466" t="s">
        <v>12939</v>
      </c>
      <c r="C4466" t="s">
        <v>12940</v>
      </c>
      <c r="D4466" t="s">
        <v>23</v>
      </c>
      <c r="E4466" t="s">
        <v>16</v>
      </c>
      <c r="F4466" t="s">
        <v>29</v>
      </c>
      <c r="G4466" t="s">
        <v>19</v>
      </c>
      <c r="H4466">
        <f>Cleaned_Data!K4466</f>
        <v>69.11</v>
      </c>
      <c r="I4466" t="str">
        <f t="shared" si="207"/>
        <v>NO</v>
      </c>
      <c r="J4466">
        <f>Cleaned_Data!J4466</f>
        <v>24</v>
      </c>
      <c r="K4466" t="str">
        <f t="shared" si="208"/>
        <v>2024-05</v>
      </c>
      <c r="L4466">
        <f t="shared" si="209"/>
        <v>45.11</v>
      </c>
    </row>
    <row r="4467" spans="1:12">
      <c r="A4467" t="s">
        <v>12941</v>
      </c>
      <c r="B4467" t="s">
        <v>12942</v>
      </c>
      <c r="C4467" t="s">
        <v>12943</v>
      </c>
      <c r="D4467" t="s">
        <v>15</v>
      </c>
      <c r="E4467" t="s">
        <v>28</v>
      </c>
      <c r="F4467" t="s">
        <v>60</v>
      </c>
      <c r="G4467" t="s">
        <v>19</v>
      </c>
      <c r="H4467">
        <f>Cleaned_Data!K4467</f>
        <v>6.28</v>
      </c>
      <c r="I4467" t="str">
        <f t="shared" si="207"/>
        <v>YES</v>
      </c>
      <c r="J4467">
        <f>Cleaned_Data!J4467</f>
        <v>8</v>
      </c>
      <c r="K4467" t="str">
        <f t="shared" si="208"/>
        <v>2024-11</v>
      </c>
      <c r="L4467">
        <f t="shared" si="209"/>
        <v>0</v>
      </c>
    </row>
    <row r="4468" spans="1:12">
      <c r="A4468" t="s">
        <v>12944</v>
      </c>
      <c r="B4468" t="s">
        <v>12945</v>
      </c>
      <c r="C4468" t="s">
        <v>12946</v>
      </c>
      <c r="D4468" t="s">
        <v>15</v>
      </c>
      <c r="E4468" t="s">
        <v>28</v>
      </c>
      <c r="F4468" t="s">
        <v>17</v>
      </c>
      <c r="G4468" t="s">
        <v>19</v>
      </c>
      <c r="H4468">
        <f>Cleaned_Data!K4468</f>
        <v>6.56</v>
      </c>
      <c r="I4468" t="str">
        <f t="shared" si="207"/>
        <v>YES</v>
      </c>
      <c r="J4468">
        <f>Cleaned_Data!J4468</f>
        <v>8</v>
      </c>
      <c r="K4468" t="str">
        <f t="shared" si="208"/>
        <v>2024-11</v>
      </c>
      <c r="L4468">
        <f t="shared" si="209"/>
        <v>0</v>
      </c>
    </row>
    <row r="4469" spans="1:12">
      <c r="A4469" t="s">
        <v>12947</v>
      </c>
      <c r="B4469" t="s">
        <v>12948</v>
      </c>
      <c r="C4469" t="s">
        <v>12949</v>
      </c>
      <c r="D4469" t="s">
        <v>15</v>
      </c>
      <c r="E4469" t="s">
        <v>16</v>
      </c>
      <c r="F4469" t="s">
        <v>41</v>
      </c>
      <c r="G4469" t="s">
        <v>19</v>
      </c>
      <c r="H4469">
        <f>Cleaned_Data!K4469</f>
        <v>23.22</v>
      </c>
      <c r="I4469" t="str">
        <f t="shared" si="207"/>
        <v>NO</v>
      </c>
      <c r="J4469">
        <f>Cleaned_Data!J4469</f>
        <v>8</v>
      </c>
      <c r="K4469" t="str">
        <f t="shared" si="208"/>
        <v>2024-12</v>
      </c>
      <c r="L4469">
        <f t="shared" si="209"/>
        <v>15.219999999999999</v>
      </c>
    </row>
    <row r="4470" spans="1:12">
      <c r="A4470" t="s">
        <v>12950</v>
      </c>
      <c r="B4470" t="s">
        <v>12951</v>
      </c>
      <c r="C4470" t="s">
        <v>12952</v>
      </c>
      <c r="D4470" t="s">
        <v>15</v>
      </c>
      <c r="E4470" t="s">
        <v>16</v>
      </c>
      <c r="F4470" t="s">
        <v>60</v>
      </c>
      <c r="G4470" t="s">
        <v>19</v>
      </c>
      <c r="H4470">
        <f>Cleaned_Data!K4470</f>
        <v>1.2</v>
      </c>
      <c r="I4470" t="str">
        <f t="shared" si="207"/>
        <v>YES</v>
      </c>
      <c r="J4470">
        <f>Cleaned_Data!J4470</f>
        <v>8</v>
      </c>
      <c r="K4470" t="str">
        <f t="shared" si="208"/>
        <v>2024-01</v>
      </c>
      <c r="L4470">
        <f t="shared" si="209"/>
        <v>0</v>
      </c>
    </row>
    <row r="4471" spans="1:12">
      <c r="A4471" t="s">
        <v>12953</v>
      </c>
      <c r="B4471" t="s">
        <v>12954</v>
      </c>
      <c r="C4471" t="s">
        <v>12955</v>
      </c>
      <c r="D4471" t="s">
        <v>15</v>
      </c>
      <c r="E4471" t="s">
        <v>16</v>
      </c>
      <c r="F4471" t="s">
        <v>17</v>
      </c>
      <c r="G4471" t="s">
        <v>19</v>
      </c>
      <c r="H4471">
        <f>Cleaned_Data!K4471</f>
        <v>2.98</v>
      </c>
      <c r="I4471" t="str">
        <f t="shared" si="207"/>
        <v>YES</v>
      </c>
      <c r="J4471">
        <f>Cleaned_Data!J4471</f>
        <v>8</v>
      </c>
      <c r="K4471" t="str">
        <f t="shared" si="208"/>
        <v>2024-02</v>
      </c>
      <c r="L4471">
        <f t="shared" si="209"/>
        <v>0</v>
      </c>
    </row>
    <row r="4472" spans="1:12">
      <c r="A4472" t="s">
        <v>12956</v>
      </c>
      <c r="B4472" t="s">
        <v>12957</v>
      </c>
      <c r="D4472" t="s">
        <v>35</v>
      </c>
      <c r="E4472" t="s">
        <v>28</v>
      </c>
      <c r="F4472" t="s">
        <v>36</v>
      </c>
      <c r="G4472" t="s">
        <v>46</v>
      </c>
      <c r="H4472">
        <f>Cleaned_Data!K4472</f>
        <v>0</v>
      </c>
      <c r="I4472" t="str">
        <f t="shared" si="207"/>
        <v/>
      </c>
      <c r="J4472">
        <f>Cleaned_Data!J4472</f>
        <v>48</v>
      </c>
      <c r="K4472" t="str">
        <f t="shared" si="208"/>
        <v>2024-03</v>
      </c>
      <c r="L4472">
        <f t="shared" si="209"/>
        <v>0</v>
      </c>
    </row>
    <row r="4473" spans="1:12">
      <c r="A4473" t="s">
        <v>12958</v>
      </c>
      <c r="B4473" t="s">
        <v>12959</v>
      </c>
      <c r="C4473" t="s">
        <v>12960</v>
      </c>
      <c r="D4473" t="s">
        <v>35</v>
      </c>
      <c r="E4473" t="s">
        <v>16</v>
      </c>
      <c r="F4473" t="s">
        <v>41</v>
      </c>
      <c r="G4473" t="s">
        <v>19</v>
      </c>
      <c r="H4473">
        <f>Cleaned_Data!K4473</f>
        <v>16.399999999999999</v>
      </c>
      <c r="I4473" t="str">
        <f t="shared" si="207"/>
        <v>YES</v>
      </c>
      <c r="J4473">
        <f>Cleaned_Data!J4473</f>
        <v>48</v>
      </c>
      <c r="K4473" t="str">
        <f t="shared" si="208"/>
        <v>2024-09</v>
      </c>
      <c r="L4473">
        <f t="shared" si="209"/>
        <v>0</v>
      </c>
    </row>
    <row r="4474" spans="1:12">
      <c r="A4474" t="s">
        <v>12961</v>
      </c>
      <c r="B4474" t="s">
        <v>12962</v>
      </c>
      <c r="C4474" t="s">
        <v>12963</v>
      </c>
      <c r="D4474" t="s">
        <v>23</v>
      </c>
      <c r="E4474" t="s">
        <v>16</v>
      </c>
      <c r="F4474" t="s">
        <v>36</v>
      </c>
      <c r="G4474" t="s">
        <v>19</v>
      </c>
      <c r="H4474">
        <f>Cleaned_Data!K4474</f>
        <v>2.86</v>
      </c>
      <c r="I4474" t="str">
        <f t="shared" si="207"/>
        <v>YES</v>
      </c>
      <c r="J4474">
        <f>Cleaned_Data!J4474</f>
        <v>24</v>
      </c>
      <c r="K4474" t="str">
        <f t="shared" si="208"/>
        <v>2024-02</v>
      </c>
      <c r="L4474">
        <f t="shared" si="209"/>
        <v>0</v>
      </c>
    </row>
    <row r="4475" spans="1:12">
      <c r="A4475" t="s">
        <v>12964</v>
      </c>
      <c r="B4475" t="s">
        <v>12965</v>
      </c>
      <c r="C4475" t="s">
        <v>12966</v>
      </c>
      <c r="D4475" t="s">
        <v>15</v>
      </c>
      <c r="E4475" t="s">
        <v>28</v>
      </c>
      <c r="F4475" t="s">
        <v>36</v>
      </c>
      <c r="G4475" t="s">
        <v>31</v>
      </c>
      <c r="H4475">
        <f>Cleaned_Data!K4475</f>
        <v>2.08</v>
      </c>
      <c r="I4475" t="str">
        <f t="shared" si="207"/>
        <v>YES</v>
      </c>
      <c r="J4475">
        <f>Cleaned_Data!J4475</f>
        <v>8</v>
      </c>
      <c r="K4475" t="str">
        <f t="shared" si="208"/>
        <v>2024-03</v>
      </c>
      <c r="L4475">
        <f t="shared" si="209"/>
        <v>0</v>
      </c>
    </row>
    <row r="4476" spans="1:12">
      <c r="A4476" t="s">
        <v>12967</v>
      </c>
      <c r="B4476" t="s">
        <v>12968</v>
      </c>
      <c r="C4476" t="s">
        <v>12969</v>
      </c>
      <c r="D4476" t="s">
        <v>23</v>
      </c>
      <c r="E4476" t="s">
        <v>59</v>
      </c>
      <c r="F4476" t="s">
        <v>60</v>
      </c>
      <c r="G4476" t="s">
        <v>31</v>
      </c>
      <c r="H4476">
        <f>Cleaned_Data!K4476</f>
        <v>3.24</v>
      </c>
      <c r="I4476" t="str">
        <f t="shared" si="207"/>
        <v>YES</v>
      </c>
      <c r="J4476">
        <f>Cleaned_Data!J4476</f>
        <v>24</v>
      </c>
      <c r="K4476" t="str">
        <f t="shared" si="208"/>
        <v>2024-03</v>
      </c>
      <c r="L4476">
        <f t="shared" si="209"/>
        <v>0</v>
      </c>
    </row>
    <row r="4477" spans="1:12">
      <c r="A4477" t="s">
        <v>12970</v>
      </c>
      <c r="B4477" t="s">
        <v>12971</v>
      </c>
      <c r="D4477" t="s">
        <v>158</v>
      </c>
      <c r="E4477" t="s">
        <v>24</v>
      </c>
      <c r="F4477" t="s">
        <v>41</v>
      </c>
      <c r="G4477" t="s">
        <v>46</v>
      </c>
      <c r="H4477">
        <f>Cleaned_Data!K4477</f>
        <v>0</v>
      </c>
      <c r="I4477" t="str">
        <f t="shared" si="207"/>
        <v/>
      </c>
      <c r="J4477">
        <f>Cleaned_Data!J4477</f>
        <v>4</v>
      </c>
      <c r="K4477" t="str">
        <f t="shared" si="208"/>
        <v>2024-08</v>
      </c>
      <c r="L4477">
        <f t="shared" si="209"/>
        <v>0</v>
      </c>
    </row>
    <row r="4478" spans="1:12">
      <c r="A4478" t="s">
        <v>12972</v>
      </c>
      <c r="B4478" t="s">
        <v>12973</v>
      </c>
      <c r="C4478" t="s">
        <v>12974</v>
      </c>
      <c r="D4478" t="s">
        <v>35</v>
      </c>
      <c r="E4478" t="s">
        <v>16</v>
      </c>
      <c r="F4478" t="s">
        <v>17</v>
      </c>
      <c r="G4478" t="s">
        <v>19</v>
      </c>
      <c r="H4478">
        <f>Cleaned_Data!K4478</f>
        <v>16.28</v>
      </c>
      <c r="I4478" t="str">
        <f t="shared" si="207"/>
        <v>YES</v>
      </c>
      <c r="J4478">
        <f>Cleaned_Data!J4478</f>
        <v>48</v>
      </c>
      <c r="K4478" t="str">
        <f t="shared" si="208"/>
        <v>2024-03</v>
      </c>
      <c r="L4478">
        <f t="shared" si="209"/>
        <v>0</v>
      </c>
    </row>
    <row r="4479" spans="1:12">
      <c r="A4479" t="s">
        <v>12975</v>
      </c>
      <c r="B4479" t="s">
        <v>12976</v>
      </c>
      <c r="C4479" t="s">
        <v>12977</v>
      </c>
      <c r="D4479" t="s">
        <v>15</v>
      </c>
      <c r="E4479" t="s">
        <v>54</v>
      </c>
      <c r="F4479" t="s">
        <v>41</v>
      </c>
      <c r="G4479" t="s">
        <v>31</v>
      </c>
      <c r="H4479">
        <f>Cleaned_Data!K4479</f>
        <v>5.09</v>
      </c>
      <c r="I4479" t="str">
        <f t="shared" si="207"/>
        <v>YES</v>
      </c>
      <c r="J4479">
        <f>Cleaned_Data!J4479</f>
        <v>8</v>
      </c>
      <c r="K4479" t="str">
        <f t="shared" si="208"/>
        <v>2024-04</v>
      </c>
      <c r="L4479">
        <f t="shared" si="209"/>
        <v>0</v>
      </c>
    </row>
    <row r="4480" spans="1:12">
      <c r="A4480" t="s">
        <v>12978</v>
      </c>
      <c r="B4480" t="s">
        <v>12979</v>
      </c>
      <c r="C4480" t="s">
        <v>12980</v>
      </c>
      <c r="D4480" t="s">
        <v>15</v>
      </c>
      <c r="E4480" t="s">
        <v>59</v>
      </c>
      <c r="F4480" t="s">
        <v>60</v>
      </c>
      <c r="G4480" t="s">
        <v>31</v>
      </c>
      <c r="H4480">
        <f>Cleaned_Data!K4480</f>
        <v>1.25</v>
      </c>
      <c r="I4480" t="str">
        <f t="shared" si="207"/>
        <v>YES</v>
      </c>
      <c r="J4480">
        <f>Cleaned_Data!J4480</f>
        <v>8</v>
      </c>
      <c r="K4480" t="str">
        <f t="shared" si="208"/>
        <v>2024-02</v>
      </c>
      <c r="L4480">
        <f t="shared" si="209"/>
        <v>0</v>
      </c>
    </row>
    <row r="4481" spans="1:12">
      <c r="A4481" t="s">
        <v>12981</v>
      </c>
      <c r="B4481" t="s">
        <v>12982</v>
      </c>
      <c r="D4481" t="s">
        <v>23</v>
      </c>
      <c r="E4481" t="s">
        <v>16</v>
      </c>
      <c r="F4481" t="s">
        <v>41</v>
      </c>
      <c r="G4481" t="s">
        <v>63</v>
      </c>
      <c r="H4481">
        <f>Cleaned_Data!K4481</f>
        <v>0</v>
      </c>
      <c r="I4481" t="str">
        <f t="shared" si="207"/>
        <v/>
      </c>
      <c r="J4481">
        <f>Cleaned_Data!J4481</f>
        <v>24</v>
      </c>
      <c r="K4481" t="str">
        <f t="shared" si="208"/>
        <v>2024-12</v>
      </c>
      <c r="L4481">
        <f t="shared" si="209"/>
        <v>0</v>
      </c>
    </row>
    <row r="4482" spans="1:12">
      <c r="A4482" t="s">
        <v>12983</v>
      </c>
      <c r="B4482" t="s">
        <v>12984</v>
      </c>
      <c r="C4482" t="s">
        <v>12985</v>
      </c>
      <c r="D4482" t="s">
        <v>23</v>
      </c>
      <c r="E4482" t="s">
        <v>28</v>
      </c>
      <c r="F4482" t="s">
        <v>41</v>
      </c>
      <c r="G4482" t="s">
        <v>31</v>
      </c>
      <c r="H4482">
        <f>Cleaned_Data!K4482</f>
        <v>8.75</v>
      </c>
      <c r="I4482" t="str">
        <f t="shared" ref="I4482:I4545" si="210">IF(OR(G4482="Resolved", G4482="Closed"), IF(AND(H4482&lt;&gt;"", H4482&lt;=J4482), "YES", "NO"), "")</f>
        <v>YES</v>
      </c>
      <c r="J4482">
        <f>Cleaned_Data!J4482</f>
        <v>24</v>
      </c>
      <c r="K4482" t="str">
        <f t="shared" ref="K4482:K4545" si="211">LEFT(B4482, 7)</f>
        <v>2024-10</v>
      </c>
      <c r="L4482">
        <f t="shared" ref="L4482:L4545" si="212">IF(I4482="NO", H4482-J4482, 0)</f>
        <v>0</v>
      </c>
    </row>
    <row r="4483" spans="1:12">
      <c r="A4483" t="s">
        <v>12986</v>
      </c>
      <c r="B4483" t="s">
        <v>12987</v>
      </c>
      <c r="C4483" t="s">
        <v>12988</v>
      </c>
      <c r="D4483" t="s">
        <v>23</v>
      </c>
      <c r="E4483" t="s">
        <v>24</v>
      </c>
      <c r="F4483" t="s">
        <v>29</v>
      </c>
      <c r="G4483" t="s">
        <v>19</v>
      </c>
      <c r="H4483">
        <f>Cleaned_Data!K4483</f>
        <v>19.96</v>
      </c>
      <c r="I4483" t="str">
        <f t="shared" si="210"/>
        <v>YES</v>
      </c>
      <c r="J4483">
        <f>Cleaned_Data!J4483</f>
        <v>24</v>
      </c>
      <c r="K4483" t="str">
        <f t="shared" si="211"/>
        <v>2024-05</v>
      </c>
      <c r="L4483">
        <f t="shared" si="212"/>
        <v>0</v>
      </c>
    </row>
    <row r="4484" spans="1:12">
      <c r="A4484" t="s">
        <v>12989</v>
      </c>
      <c r="B4484" t="s">
        <v>12990</v>
      </c>
      <c r="C4484" t="s">
        <v>12991</v>
      </c>
      <c r="D4484" t="s">
        <v>23</v>
      </c>
      <c r="E4484" t="s">
        <v>16</v>
      </c>
      <c r="F4484" t="s">
        <v>36</v>
      </c>
      <c r="G4484" t="s">
        <v>19</v>
      </c>
      <c r="H4484">
        <f>Cleaned_Data!K4484</f>
        <v>14.11</v>
      </c>
      <c r="I4484" t="str">
        <f t="shared" si="210"/>
        <v>YES</v>
      </c>
      <c r="J4484">
        <f>Cleaned_Data!J4484</f>
        <v>24</v>
      </c>
      <c r="K4484" t="str">
        <f t="shared" si="211"/>
        <v>2024-05</v>
      </c>
      <c r="L4484">
        <f t="shared" si="212"/>
        <v>0</v>
      </c>
    </row>
    <row r="4485" spans="1:12">
      <c r="A4485" t="s">
        <v>12992</v>
      </c>
      <c r="B4485" t="s">
        <v>12993</v>
      </c>
      <c r="C4485" t="s">
        <v>12994</v>
      </c>
      <c r="D4485" t="s">
        <v>35</v>
      </c>
      <c r="E4485" t="s">
        <v>59</v>
      </c>
      <c r="F4485" t="s">
        <v>17</v>
      </c>
      <c r="G4485" t="s">
        <v>31</v>
      </c>
      <c r="H4485">
        <f>Cleaned_Data!K4485</f>
        <v>43.4</v>
      </c>
      <c r="I4485" t="str">
        <f t="shared" si="210"/>
        <v>YES</v>
      </c>
      <c r="J4485">
        <f>Cleaned_Data!J4485</f>
        <v>48</v>
      </c>
      <c r="K4485" t="str">
        <f t="shared" si="211"/>
        <v>2024-04</v>
      </c>
      <c r="L4485">
        <f t="shared" si="212"/>
        <v>0</v>
      </c>
    </row>
    <row r="4486" spans="1:12">
      <c r="A4486" t="s">
        <v>12995</v>
      </c>
      <c r="B4486" t="s">
        <v>12996</v>
      </c>
      <c r="C4486" t="s">
        <v>12997</v>
      </c>
      <c r="D4486" t="s">
        <v>23</v>
      </c>
      <c r="E4486" t="s">
        <v>59</v>
      </c>
      <c r="F4486" t="s">
        <v>29</v>
      </c>
      <c r="G4486" t="s">
        <v>19</v>
      </c>
      <c r="H4486">
        <f>Cleaned_Data!K4486</f>
        <v>18.420000000000002</v>
      </c>
      <c r="I4486" t="str">
        <f t="shared" si="210"/>
        <v>YES</v>
      </c>
      <c r="J4486">
        <f>Cleaned_Data!J4486</f>
        <v>24</v>
      </c>
      <c r="K4486" t="str">
        <f t="shared" si="211"/>
        <v>2024-05</v>
      </c>
      <c r="L4486">
        <f t="shared" si="212"/>
        <v>0</v>
      </c>
    </row>
    <row r="4487" spans="1:12">
      <c r="A4487" t="s">
        <v>12998</v>
      </c>
      <c r="B4487" t="s">
        <v>12999</v>
      </c>
      <c r="C4487" t="s">
        <v>13000</v>
      </c>
      <c r="D4487" t="s">
        <v>23</v>
      </c>
      <c r="E4487" t="s">
        <v>24</v>
      </c>
      <c r="F4487" t="s">
        <v>17</v>
      </c>
      <c r="G4487" t="s">
        <v>19</v>
      </c>
      <c r="H4487">
        <f>Cleaned_Data!K4487</f>
        <v>17.03</v>
      </c>
      <c r="I4487" t="str">
        <f t="shared" si="210"/>
        <v>YES</v>
      </c>
      <c r="J4487">
        <f>Cleaned_Data!J4487</f>
        <v>24</v>
      </c>
      <c r="K4487" t="str">
        <f t="shared" si="211"/>
        <v>2024-02</v>
      </c>
      <c r="L4487">
        <f t="shared" si="212"/>
        <v>0</v>
      </c>
    </row>
    <row r="4488" spans="1:12">
      <c r="A4488" t="s">
        <v>13001</v>
      </c>
      <c r="B4488" t="s">
        <v>13002</v>
      </c>
      <c r="C4488" t="s">
        <v>13003</v>
      </c>
      <c r="D4488" t="s">
        <v>23</v>
      </c>
      <c r="E4488" t="s">
        <v>28</v>
      </c>
      <c r="F4488" t="s">
        <v>60</v>
      </c>
      <c r="G4488" t="s">
        <v>19</v>
      </c>
      <c r="H4488">
        <f>Cleaned_Data!K4488</f>
        <v>21.5</v>
      </c>
      <c r="I4488" t="str">
        <f t="shared" si="210"/>
        <v>YES</v>
      </c>
      <c r="J4488">
        <f>Cleaned_Data!J4488</f>
        <v>24</v>
      </c>
      <c r="K4488" t="str">
        <f t="shared" si="211"/>
        <v>2024-02</v>
      </c>
      <c r="L4488">
        <f t="shared" si="212"/>
        <v>0</v>
      </c>
    </row>
    <row r="4489" spans="1:12">
      <c r="A4489" t="s">
        <v>13004</v>
      </c>
      <c r="B4489" t="s">
        <v>13005</v>
      </c>
      <c r="C4489" t="s">
        <v>13006</v>
      </c>
      <c r="D4489" t="s">
        <v>23</v>
      </c>
      <c r="E4489" t="s">
        <v>16</v>
      </c>
      <c r="F4489" t="s">
        <v>29</v>
      </c>
      <c r="G4489" t="s">
        <v>19</v>
      </c>
      <c r="H4489">
        <f>Cleaned_Data!K4489</f>
        <v>19.440000000000001</v>
      </c>
      <c r="I4489" t="str">
        <f t="shared" si="210"/>
        <v>YES</v>
      </c>
      <c r="J4489">
        <f>Cleaned_Data!J4489</f>
        <v>24</v>
      </c>
      <c r="K4489" t="str">
        <f t="shared" si="211"/>
        <v>2024-04</v>
      </c>
      <c r="L4489">
        <f t="shared" si="212"/>
        <v>0</v>
      </c>
    </row>
    <row r="4490" spans="1:12">
      <c r="A4490" t="s">
        <v>13007</v>
      </c>
      <c r="B4490" t="s">
        <v>13008</v>
      </c>
      <c r="C4490" t="s">
        <v>13009</v>
      </c>
      <c r="D4490" t="s">
        <v>158</v>
      </c>
      <c r="E4490" t="s">
        <v>54</v>
      </c>
      <c r="F4490" t="s">
        <v>36</v>
      </c>
      <c r="G4490" t="s">
        <v>31</v>
      </c>
      <c r="H4490">
        <f>Cleaned_Data!K4490</f>
        <v>11.36</v>
      </c>
      <c r="I4490" t="str">
        <f t="shared" si="210"/>
        <v>NO</v>
      </c>
      <c r="J4490">
        <f>Cleaned_Data!J4490</f>
        <v>4</v>
      </c>
      <c r="K4490" t="str">
        <f t="shared" si="211"/>
        <v>2024-04</v>
      </c>
      <c r="L4490">
        <f t="shared" si="212"/>
        <v>7.3599999999999994</v>
      </c>
    </row>
    <row r="4491" spans="1:12">
      <c r="A4491" t="s">
        <v>13010</v>
      </c>
      <c r="B4491" t="s">
        <v>13011</v>
      </c>
      <c r="C4491" t="s">
        <v>13012</v>
      </c>
      <c r="D4491" t="s">
        <v>158</v>
      </c>
      <c r="E4491" t="s">
        <v>28</v>
      </c>
      <c r="F4491" t="s">
        <v>29</v>
      </c>
      <c r="G4491" t="s">
        <v>31</v>
      </c>
      <c r="H4491">
        <f>Cleaned_Data!K4491</f>
        <v>3.01</v>
      </c>
      <c r="I4491" t="str">
        <f t="shared" si="210"/>
        <v>YES</v>
      </c>
      <c r="J4491">
        <f>Cleaned_Data!J4491</f>
        <v>4</v>
      </c>
      <c r="K4491" t="str">
        <f t="shared" si="211"/>
        <v>2024-09</v>
      </c>
      <c r="L4491">
        <f t="shared" si="212"/>
        <v>0</v>
      </c>
    </row>
    <row r="4492" spans="1:12">
      <c r="A4492" t="s">
        <v>13013</v>
      </c>
      <c r="B4492" t="s">
        <v>13014</v>
      </c>
      <c r="C4492" t="s">
        <v>13015</v>
      </c>
      <c r="D4492" t="s">
        <v>15</v>
      </c>
      <c r="E4492" t="s">
        <v>28</v>
      </c>
      <c r="F4492" t="s">
        <v>60</v>
      </c>
      <c r="G4492" t="s">
        <v>31</v>
      </c>
      <c r="H4492">
        <f>Cleaned_Data!K4492</f>
        <v>6.85</v>
      </c>
      <c r="I4492" t="str">
        <f t="shared" si="210"/>
        <v>YES</v>
      </c>
      <c r="J4492">
        <f>Cleaned_Data!J4492</f>
        <v>8</v>
      </c>
      <c r="K4492" t="str">
        <f t="shared" si="211"/>
        <v>2024-07</v>
      </c>
      <c r="L4492">
        <f t="shared" si="212"/>
        <v>0</v>
      </c>
    </row>
    <row r="4493" spans="1:12">
      <c r="A4493" t="s">
        <v>13016</v>
      </c>
      <c r="B4493" t="s">
        <v>13017</v>
      </c>
      <c r="C4493" t="s">
        <v>13018</v>
      </c>
      <c r="D4493" t="s">
        <v>35</v>
      </c>
      <c r="E4493" t="s">
        <v>28</v>
      </c>
      <c r="F4493" t="s">
        <v>36</v>
      </c>
      <c r="G4493" t="s">
        <v>31</v>
      </c>
      <c r="H4493">
        <f>Cleaned_Data!K4493</f>
        <v>28.56</v>
      </c>
      <c r="I4493" t="str">
        <f t="shared" si="210"/>
        <v>YES</v>
      </c>
      <c r="J4493">
        <f>Cleaned_Data!J4493</f>
        <v>48</v>
      </c>
      <c r="K4493" t="str">
        <f t="shared" si="211"/>
        <v>2024-04</v>
      </c>
      <c r="L4493">
        <f t="shared" si="212"/>
        <v>0</v>
      </c>
    </row>
    <row r="4494" spans="1:12">
      <c r="A4494" t="s">
        <v>13019</v>
      </c>
      <c r="B4494" t="s">
        <v>13020</v>
      </c>
      <c r="D4494" t="s">
        <v>23</v>
      </c>
      <c r="E4494" t="s">
        <v>28</v>
      </c>
      <c r="F4494" t="s">
        <v>41</v>
      </c>
      <c r="G4494" t="s">
        <v>46</v>
      </c>
      <c r="H4494">
        <f>Cleaned_Data!K4494</f>
        <v>0</v>
      </c>
      <c r="I4494" t="str">
        <f t="shared" si="210"/>
        <v/>
      </c>
      <c r="J4494">
        <f>Cleaned_Data!J4494</f>
        <v>24</v>
      </c>
      <c r="K4494" t="str">
        <f t="shared" si="211"/>
        <v>2024-09</v>
      </c>
      <c r="L4494">
        <f t="shared" si="212"/>
        <v>0</v>
      </c>
    </row>
    <row r="4495" spans="1:12">
      <c r="A4495" t="s">
        <v>13021</v>
      </c>
      <c r="B4495" t="s">
        <v>13022</v>
      </c>
      <c r="C4495" t="s">
        <v>13023</v>
      </c>
      <c r="D4495" t="s">
        <v>23</v>
      </c>
      <c r="E4495" t="s">
        <v>16</v>
      </c>
      <c r="F4495" t="s">
        <v>17</v>
      </c>
      <c r="G4495" t="s">
        <v>31</v>
      </c>
      <c r="H4495">
        <f>Cleaned_Data!K4495</f>
        <v>7.66</v>
      </c>
      <c r="I4495" t="str">
        <f t="shared" si="210"/>
        <v>YES</v>
      </c>
      <c r="J4495">
        <f>Cleaned_Data!J4495</f>
        <v>24</v>
      </c>
      <c r="K4495" t="str">
        <f t="shared" si="211"/>
        <v>2024-04</v>
      </c>
      <c r="L4495">
        <f t="shared" si="212"/>
        <v>0</v>
      </c>
    </row>
    <row r="4496" spans="1:12">
      <c r="A4496" t="s">
        <v>13024</v>
      </c>
      <c r="B4496" t="s">
        <v>13025</v>
      </c>
      <c r="C4496" t="s">
        <v>13026</v>
      </c>
      <c r="D4496" t="s">
        <v>15</v>
      </c>
      <c r="E4496" t="s">
        <v>24</v>
      </c>
      <c r="F4496" t="s">
        <v>60</v>
      </c>
      <c r="G4496" t="s">
        <v>19</v>
      </c>
      <c r="H4496">
        <f>Cleaned_Data!K4496</f>
        <v>2.54</v>
      </c>
      <c r="I4496" t="str">
        <f t="shared" si="210"/>
        <v>YES</v>
      </c>
      <c r="J4496">
        <f>Cleaned_Data!J4496</f>
        <v>8</v>
      </c>
      <c r="K4496" t="str">
        <f t="shared" si="211"/>
        <v>2024-03</v>
      </c>
      <c r="L4496">
        <f t="shared" si="212"/>
        <v>0</v>
      </c>
    </row>
    <row r="4497" spans="1:12">
      <c r="A4497" t="s">
        <v>13027</v>
      </c>
      <c r="B4497" t="s">
        <v>13028</v>
      </c>
      <c r="C4497" t="s">
        <v>13029</v>
      </c>
      <c r="D4497" t="s">
        <v>158</v>
      </c>
      <c r="E4497" t="s">
        <v>54</v>
      </c>
      <c r="F4497" t="s">
        <v>41</v>
      </c>
      <c r="G4497" t="s">
        <v>31</v>
      </c>
      <c r="H4497">
        <f>Cleaned_Data!K4497</f>
        <v>0.82</v>
      </c>
      <c r="I4497" t="str">
        <f t="shared" si="210"/>
        <v>YES</v>
      </c>
      <c r="J4497">
        <f>Cleaned_Data!J4497</f>
        <v>4</v>
      </c>
      <c r="K4497" t="str">
        <f t="shared" si="211"/>
        <v>2024-11</v>
      </c>
      <c r="L4497">
        <f t="shared" si="212"/>
        <v>0</v>
      </c>
    </row>
    <row r="4498" spans="1:12">
      <c r="A4498" t="s">
        <v>13030</v>
      </c>
      <c r="B4498" t="s">
        <v>13031</v>
      </c>
      <c r="C4498" t="s">
        <v>13032</v>
      </c>
      <c r="D4498" t="s">
        <v>23</v>
      </c>
      <c r="E4498" t="s">
        <v>24</v>
      </c>
      <c r="F4498" t="s">
        <v>60</v>
      </c>
      <c r="G4498" t="s">
        <v>31</v>
      </c>
      <c r="H4498">
        <f>Cleaned_Data!K4498</f>
        <v>5.32</v>
      </c>
      <c r="I4498" t="str">
        <f t="shared" si="210"/>
        <v>YES</v>
      </c>
      <c r="J4498">
        <f>Cleaned_Data!J4498</f>
        <v>24</v>
      </c>
      <c r="K4498" t="str">
        <f t="shared" si="211"/>
        <v>2024-05</v>
      </c>
      <c r="L4498">
        <f t="shared" si="212"/>
        <v>0</v>
      </c>
    </row>
    <row r="4499" spans="1:12">
      <c r="A4499" t="s">
        <v>13033</v>
      </c>
      <c r="B4499" t="s">
        <v>13034</v>
      </c>
      <c r="C4499" t="s">
        <v>13035</v>
      </c>
      <c r="D4499" t="s">
        <v>35</v>
      </c>
      <c r="E4499" t="s">
        <v>16</v>
      </c>
      <c r="F4499" t="s">
        <v>60</v>
      </c>
      <c r="G4499" t="s">
        <v>19</v>
      </c>
      <c r="H4499">
        <f>Cleaned_Data!K4499</f>
        <v>17.43</v>
      </c>
      <c r="I4499" t="str">
        <f t="shared" si="210"/>
        <v>YES</v>
      </c>
      <c r="J4499">
        <f>Cleaned_Data!J4499</f>
        <v>48</v>
      </c>
      <c r="K4499" t="str">
        <f t="shared" si="211"/>
        <v>2024-05</v>
      </c>
      <c r="L4499">
        <f t="shared" si="212"/>
        <v>0</v>
      </c>
    </row>
    <row r="4500" spans="1:12">
      <c r="A4500" t="s">
        <v>13036</v>
      </c>
      <c r="B4500" t="s">
        <v>13037</v>
      </c>
      <c r="C4500" t="s">
        <v>13038</v>
      </c>
      <c r="D4500" t="s">
        <v>35</v>
      </c>
      <c r="E4500" t="s">
        <v>24</v>
      </c>
      <c r="F4500" t="s">
        <v>41</v>
      </c>
      <c r="G4500" t="s">
        <v>19</v>
      </c>
      <c r="H4500">
        <f>Cleaned_Data!K4500</f>
        <v>54.41</v>
      </c>
      <c r="I4500" t="str">
        <f t="shared" si="210"/>
        <v>NO</v>
      </c>
      <c r="J4500">
        <f>Cleaned_Data!J4500</f>
        <v>48</v>
      </c>
      <c r="K4500" t="str">
        <f t="shared" si="211"/>
        <v>2024-07</v>
      </c>
      <c r="L4500">
        <f t="shared" si="212"/>
        <v>6.4099999999999966</v>
      </c>
    </row>
    <row r="4501" spans="1:12">
      <c r="A4501" t="s">
        <v>13039</v>
      </c>
      <c r="B4501" t="s">
        <v>13040</v>
      </c>
      <c r="D4501" t="s">
        <v>158</v>
      </c>
      <c r="E4501" t="s">
        <v>54</v>
      </c>
      <c r="F4501" t="s">
        <v>36</v>
      </c>
      <c r="G4501" t="s">
        <v>63</v>
      </c>
      <c r="H4501">
        <f>Cleaned_Data!K4501</f>
        <v>0</v>
      </c>
      <c r="I4501" t="str">
        <f t="shared" si="210"/>
        <v/>
      </c>
      <c r="J4501">
        <f>Cleaned_Data!J4501</f>
        <v>4</v>
      </c>
      <c r="K4501" t="str">
        <f t="shared" si="211"/>
        <v>2024-06</v>
      </c>
      <c r="L4501">
        <f t="shared" si="212"/>
        <v>0</v>
      </c>
    </row>
    <row r="4502" spans="1:12">
      <c r="A4502" t="s">
        <v>13041</v>
      </c>
      <c r="B4502" t="s">
        <v>13042</v>
      </c>
      <c r="C4502" t="s">
        <v>13043</v>
      </c>
      <c r="D4502" t="s">
        <v>35</v>
      </c>
      <c r="E4502" t="s">
        <v>28</v>
      </c>
      <c r="F4502" t="s">
        <v>29</v>
      </c>
      <c r="G4502" t="s">
        <v>19</v>
      </c>
      <c r="H4502">
        <f>Cleaned_Data!K4502</f>
        <v>12.11</v>
      </c>
      <c r="I4502" t="str">
        <f t="shared" si="210"/>
        <v>YES</v>
      </c>
      <c r="J4502">
        <f>Cleaned_Data!J4502</f>
        <v>48</v>
      </c>
      <c r="K4502" t="str">
        <f t="shared" si="211"/>
        <v>2024-05</v>
      </c>
      <c r="L4502">
        <f t="shared" si="212"/>
        <v>0</v>
      </c>
    </row>
    <row r="4503" spans="1:12">
      <c r="A4503" t="s">
        <v>13044</v>
      </c>
      <c r="B4503" t="s">
        <v>13045</v>
      </c>
      <c r="C4503" t="s">
        <v>13046</v>
      </c>
      <c r="D4503" t="s">
        <v>23</v>
      </c>
      <c r="E4503" t="s">
        <v>28</v>
      </c>
      <c r="F4503" t="s">
        <v>17</v>
      </c>
      <c r="G4503" t="s">
        <v>31</v>
      </c>
      <c r="H4503">
        <f>Cleaned_Data!K4503</f>
        <v>20.74</v>
      </c>
      <c r="I4503" t="str">
        <f t="shared" si="210"/>
        <v>YES</v>
      </c>
      <c r="J4503">
        <f>Cleaned_Data!J4503</f>
        <v>24</v>
      </c>
      <c r="K4503" t="str">
        <f t="shared" si="211"/>
        <v>2024-12</v>
      </c>
      <c r="L4503">
        <f t="shared" si="212"/>
        <v>0</v>
      </c>
    </row>
    <row r="4504" spans="1:12">
      <c r="A4504" t="s">
        <v>13047</v>
      </c>
      <c r="B4504" t="s">
        <v>13048</v>
      </c>
      <c r="C4504" t="s">
        <v>13049</v>
      </c>
      <c r="D4504" t="s">
        <v>35</v>
      </c>
      <c r="E4504" t="s">
        <v>54</v>
      </c>
      <c r="F4504" t="s">
        <v>41</v>
      </c>
      <c r="G4504" t="s">
        <v>19</v>
      </c>
      <c r="H4504">
        <f>Cleaned_Data!K4504</f>
        <v>18.98</v>
      </c>
      <c r="I4504" t="str">
        <f t="shared" si="210"/>
        <v>YES</v>
      </c>
      <c r="J4504">
        <f>Cleaned_Data!J4504</f>
        <v>48</v>
      </c>
      <c r="K4504" t="str">
        <f t="shared" si="211"/>
        <v>2024-02</v>
      </c>
      <c r="L4504">
        <f t="shared" si="212"/>
        <v>0</v>
      </c>
    </row>
    <row r="4505" spans="1:12">
      <c r="A4505" t="s">
        <v>13050</v>
      </c>
      <c r="B4505" t="s">
        <v>13051</v>
      </c>
      <c r="C4505" t="s">
        <v>13052</v>
      </c>
      <c r="D4505" t="s">
        <v>23</v>
      </c>
      <c r="E4505" t="s">
        <v>28</v>
      </c>
      <c r="F4505" t="s">
        <v>41</v>
      </c>
      <c r="G4505" t="s">
        <v>19</v>
      </c>
      <c r="H4505">
        <f>Cleaned_Data!K4505</f>
        <v>44.6</v>
      </c>
      <c r="I4505" t="str">
        <f t="shared" si="210"/>
        <v>NO</v>
      </c>
      <c r="J4505">
        <f>Cleaned_Data!J4505</f>
        <v>24</v>
      </c>
      <c r="K4505" t="str">
        <f t="shared" si="211"/>
        <v>2024-02</v>
      </c>
      <c r="L4505">
        <f t="shared" si="212"/>
        <v>20.6</v>
      </c>
    </row>
    <row r="4506" spans="1:12">
      <c r="A4506" t="s">
        <v>13053</v>
      </c>
      <c r="B4506" t="s">
        <v>13054</v>
      </c>
      <c r="D4506" t="s">
        <v>15</v>
      </c>
      <c r="E4506" t="s">
        <v>24</v>
      </c>
      <c r="F4506" t="s">
        <v>17</v>
      </c>
      <c r="G4506" t="s">
        <v>63</v>
      </c>
      <c r="H4506">
        <f>Cleaned_Data!K4506</f>
        <v>0</v>
      </c>
      <c r="I4506" t="str">
        <f t="shared" si="210"/>
        <v/>
      </c>
      <c r="J4506">
        <f>Cleaned_Data!J4506</f>
        <v>8</v>
      </c>
      <c r="K4506" t="str">
        <f t="shared" si="211"/>
        <v>2024-12</v>
      </c>
      <c r="L4506">
        <f t="shared" si="212"/>
        <v>0</v>
      </c>
    </row>
    <row r="4507" spans="1:12">
      <c r="A4507" t="s">
        <v>13055</v>
      </c>
      <c r="B4507" t="s">
        <v>13056</v>
      </c>
      <c r="C4507" t="s">
        <v>13057</v>
      </c>
      <c r="D4507" t="s">
        <v>23</v>
      </c>
      <c r="E4507" t="s">
        <v>28</v>
      </c>
      <c r="F4507" t="s">
        <v>36</v>
      </c>
      <c r="G4507" t="s">
        <v>31</v>
      </c>
      <c r="H4507">
        <f>Cleaned_Data!K4507</f>
        <v>4.84</v>
      </c>
      <c r="I4507" t="str">
        <f t="shared" si="210"/>
        <v>YES</v>
      </c>
      <c r="J4507">
        <f>Cleaned_Data!J4507</f>
        <v>24</v>
      </c>
      <c r="K4507" t="str">
        <f t="shared" si="211"/>
        <v>2024-04</v>
      </c>
      <c r="L4507">
        <f t="shared" si="212"/>
        <v>0</v>
      </c>
    </row>
    <row r="4508" spans="1:12">
      <c r="A4508" t="s">
        <v>13058</v>
      </c>
      <c r="B4508" t="s">
        <v>13059</v>
      </c>
      <c r="C4508" t="s">
        <v>13060</v>
      </c>
      <c r="D4508" t="s">
        <v>35</v>
      </c>
      <c r="E4508" t="s">
        <v>28</v>
      </c>
      <c r="F4508" t="s">
        <v>60</v>
      </c>
      <c r="G4508" t="s">
        <v>19</v>
      </c>
      <c r="H4508">
        <f>Cleaned_Data!K4508</f>
        <v>10.17</v>
      </c>
      <c r="I4508" t="str">
        <f t="shared" si="210"/>
        <v>YES</v>
      </c>
      <c r="J4508">
        <f>Cleaned_Data!J4508</f>
        <v>48</v>
      </c>
      <c r="K4508" t="str">
        <f t="shared" si="211"/>
        <v>2024-12</v>
      </c>
      <c r="L4508">
        <f t="shared" si="212"/>
        <v>0</v>
      </c>
    </row>
    <row r="4509" spans="1:12">
      <c r="A4509" t="s">
        <v>13061</v>
      </c>
      <c r="B4509" t="s">
        <v>13062</v>
      </c>
      <c r="C4509" t="s">
        <v>13063</v>
      </c>
      <c r="D4509" t="s">
        <v>158</v>
      </c>
      <c r="E4509" t="s">
        <v>24</v>
      </c>
      <c r="F4509" t="s">
        <v>41</v>
      </c>
      <c r="G4509" t="s">
        <v>19</v>
      </c>
      <c r="H4509">
        <f>Cleaned_Data!K4509</f>
        <v>0.68</v>
      </c>
      <c r="I4509" t="str">
        <f t="shared" si="210"/>
        <v>YES</v>
      </c>
      <c r="J4509">
        <f>Cleaned_Data!J4509</f>
        <v>4</v>
      </c>
      <c r="K4509" t="str">
        <f t="shared" si="211"/>
        <v>2024-12</v>
      </c>
      <c r="L4509">
        <f t="shared" si="212"/>
        <v>0</v>
      </c>
    </row>
    <row r="4510" spans="1:12">
      <c r="A4510" t="s">
        <v>13064</v>
      </c>
      <c r="B4510" t="s">
        <v>13065</v>
      </c>
      <c r="C4510" t="s">
        <v>13066</v>
      </c>
      <c r="D4510" t="s">
        <v>23</v>
      </c>
      <c r="E4510" t="s">
        <v>54</v>
      </c>
      <c r="F4510" t="s">
        <v>29</v>
      </c>
      <c r="G4510" t="s">
        <v>31</v>
      </c>
      <c r="H4510">
        <f>Cleaned_Data!K4510</f>
        <v>10.31</v>
      </c>
      <c r="I4510" t="str">
        <f t="shared" si="210"/>
        <v>YES</v>
      </c>
      <c r="J4510">
        <f>Cleaned_Data!J4510</f>
        <v>24</v>
      </c>
      <c r="K4510" t="str">
        <f t="shared" si="211"/>
        <v>2024-10</v>
      </c>
      <c r="L4510">
        <f t="shared" si="212"/>
        <v>0</v>
      </c>
    </row>
    <row r="4511" spans="1:12">
      <c r="A4511" t="s">
        <v>13067</v>
      </c>
      <c r="B4511" t="s">
        <v>13068</v>
      </c>
      <c r="C4511" t="s">
        <v>13069</v>
      </c>
      <c r="D4511" t="s">
        <v>23</v>
      </c>
      <c r="E4511" t="s">
        <v>54</v>
      </c>
      <c r="F4511" t="s">
        <v>60</v>
      </c>
      <c r="G4511" t="s">
        <v>31</v>
      </c>
      <c r="H4511">
        <f>Cleaned_Data!K4511</f>
        <v>6.44</v>
      </c>
      <c r="I4511" t="str">
        <f t="shared" si="210"/>
        <v>YES</v>
      </c>
      <c r="J4511">
        <f>Cleaned_Data!J4511</f>
        <v>24</v>
      </c>
      <c r="K4511" t="str">
        <f t="shared" si="211"/>
        <v>2024-04</v>
      </c>
      <c r="L4511">
        <f t="shared" si="212"/>
        <v>0</v>
      </c>
    </row>
    <row r="4512" spans="1:12">
      <c r="A4512" t="s">
        <v>13070</v>
      </c>
      <c r="B4512" t="s">
        <v>13071</v>
      </c>
      <c r="C4512" t="s">
        <v>13072</v>
      </c>
      <c r="D4512" t="s">
        <v>15</v>
      </c>
      <c r="E4512" t="s">
        <v>28</v>
      </c>
      <c r="F4512" t="s">
        <v>41</v>
      </c>
      <c r="G4512" t="s">
        <v>19</v>
      </c>
      <c r="H4512">
        <f>Cleaned_Data!K4512</f>
        <v>3.44</v>
      </c>
      <c r="I4512" t="str">
        <f t="shared" si="210"/>
        <v>YES</v>
      </c>
      <c r="J4512">
        <f>Cleaned_Data!J4512</f>
        <v>8</v>
      </c>
      <c r="K4512" t="str">
        <f t="shared" si="211"/>
        <v>2024-12</v>
      </c>
      <c r="L4512">
        <f t="shared" si="212"/>
        <v>0</v>
      </c>
    </row>
    <row r="4513" spans="1:12">
      <c r="A4513" t="s">
        <v>13073</v>
      </c>
      <c r="B4513" t="s">
        <v>13074</v>
      </c>
      <c r="C4513" t="s">
        <v>13075</v>
      </c>
      <c r="D4513" t="s">
        <v>15</v>
      </c>
      <c r="E4513" t="s">
        <v>28</v>
      </c>
      <c r="F4513" t="s">
        <v>60</v>
      </c>
      <c r="G4513" t="s">
        <v>19</v>
      </c>
      <c r="H4513">
        <f>Cleaned_Data!K4513</f>
        <v>2.4</v>
      </c>
      <c r="I4513" t="str">
        <f t="shared" si="210"/>
        <v>YES</v>
      </c>
      <c r="J4513">
        <f>Cleaned_Data!J4513</f>
        <v>8</v>
      </c>
      <c r="K4513" t="str">
        <f t="shared" si="211"/>
        <v>2024-03</v>
      </c>
      <c r="L4513">
        <f t="shared" si="212"/>
        <v>0</v>
      </c>
    </row>
    <row r="4514" spans="1:12">
      <c r="A4514" t="s">
        <v>13076</v>
      </c>
      <c r="B4514" t="s">
        <v>13077</v>
      </c>
      <c r="C4514" t="s">
        <v>13078</v>
      </c>
      <c r="D4514" t="s">
        <v>23</v>
      </c>
      <c r="E4514" t="s">
        <v>28</v>
      </c>
      <c r="F4514" t="s">
        <v>36</v>
      </c>
      <c r="G4514" t="s">
        <v>19</v>
      </c>
      <c r="H4514">
        <f>Cleaned_Data!K4514</f>
        <v>4.5999999999999996</v>
      </c>
      <c r="I4514" t="str">
        <f t="shared" si="210"/>
        <v>YES</v>
      </c>
      <c r="J4514">
        <f>Cleaned_Data!J4514</f>
        <v>24</v>
      </c>
      <c r="K4514" t="str">
        <f t="shared" si="211"/>
        <v>2024-02</v>
      </c>
      <c r="L4514">
        <f t="shared" si="212"/>
        <v>0</v>
      </c>
    </row>
    <row r="4515" spans="1:12">
      <c r="A4515" t="s">
        <v>13079</v>
      </c>
      <c r="B4515" t="s">
        <v>13080</v>
      </c>
      <c r="D4515" t="s">
        <v>35</v>
      </c>
      <c r="E4515" t="s">
        <v>16</v>
      </c>
      <c r="F4515" t="s">
        <v>17</v>
      </c>
      <c r="G4515" t="s">
        <v>46</v>
      </c>
      <c r="H4515">
        <f>Cleaned_Data!K4515</f>
        <v>0</v>
      </c>
      <c r="I4515" t="str">
        <f t="shared" si="210"/>
        <v/>
      </c>
      <c r="J4515">
        <f>Cleaned_Data!J4515</f>
        <v>48</v>
      </c>
      <c r="K4515" t="str">
        <f t="shared" si="211"/>
        <v>2024-08</v>
      </c>
      <c r="L4515">
        <f t="shared" si="212"/>
        <v>0</v>
      </c>
    </row>
    <row r="4516" spans="1:12">
      <c r="A4516" t="s">
        <v>13081</v>
      </c>
      <c r="B4516" t="s">
        <v>13082</v>
      </c>
      <c r="C4516" t="s">
        <v>13083</v>
      </c>
      <c r="D4516" t="s">
        <v>158</v>
      </c>
      <c r="E4516" t="s">
        <v>28</v>
      </c>
      <c r="F4516" t="s">
        <v>29</v>
      </c>
      <c r="G4516" t="s">
        <v>31</v>
      </c>
      <c r="H4516">
        <f>Cleaned_Data!K4516</f>
        <v>3.08</v>
      </c>
      <c r="I4516" t="str">
        <f t="shared" si="210"/>
        <v>YES</v>
      </c>
      <c r="J4516">
        <f>Cleaned_Data!J4516</f>
        <v>4</v>
      </c>
      <c r="K4516" t="str">
        <f t="shared" si="211"/>
        <v>2024-09</v>
      </c>
      <c r="L4516">
        <f t="shared" si="212"/>
        <v>0</v>
      </c>
    </row>
    <row r="4517" spans="1:12">
      <c r="A4517" t="s">
        <v>13084</v>
      </c>
      <c r="B4517" t="s">
        <v>13085</v>
      </c>
      <c r="C4517" t="s">
        <v>13086</v>
      </c>
      <c r="D4517" t="s">
        <v>23</v>
      </c>
      <c r="E4517" t="s">
        <v>28</v>
      </c>
      <c r="F4517" t="s">
        <v>41</v>
      </c>
      <c r="G4517" t="s">
        <v>31</v>
      </c>
      <c r="H4517">
        <f>Cleaned_Data!K4517</f>
        <v>11.68</v>
      </c>
      <c r="I4517" t="str">
        <f t="shared" si="210"/>
        <v>YES</v>
      </c>
      <c r="J4517">
        <f>Cleaned_Data!J4517</f>
        <v>24</v>
      </c>
      <c r="K4517" t="str">
        <f t="shared" si="211"/>
        <v>2024-01</v>
      </c>
      <c r="L4517">
        <f t="shared" si="212"/>
        <v>0</v>
      </c>
    </row>
    <row r="4518" spans="1:12">
      <c r="A4518" t="s">
        <v>13087</v>
      </c>
      <c r="B4518" t="s">
        <v>13088</v>
      </c>
      <c r="C4518" t="s">
        <v>13089</v>
      </c>
      <c r="D4518" t="s">
        <v>15</v>
      </c>
      <c r="E4518" t="s">
        <v>16</v>
      </c>
      <c r="F4518" t="s">
        <v>60</v>
      </c>
      <c r="G4518" t="s">
        <v>31</v>
      </c>
      <c r="H4518">
        <f>Cleaned_Data!K4518</f>
        <v>2.83</v>
      </c>
      <c r="I4518" t="str">
        <f t="shared" si="210"/>
        <v>YES</v>
      </c>
      <c r="J4518">
        <f>Cleaned_Data!J4518</f>
        <v>8</v>
      </c>
      <c r="K4518" t="str">
        <f t="shared" si="211"/>
        <v>2024-10</v>
      </c>
      <c r="L4518">
        <f t="shared" si="212"/>
        <v>0</v>
      </c>
    </row>
    <row r="4519" spans="1:12">
      <c r="A4519" t="s">
        <v>13090</v>
      </c>
      <c r="B4519" t="s">
        <v>13091</v>
      </c>
      <c r="C4519" t="s">
        <v>13092</v>
      </c>
      <c r="D4519" t="s">
        <v>158</v>
      </c>
      <c r="E4519" t="s">
        <v>16</v>
      </c>
      <c r="F4519" t="s">
        <v>17</v>
      </c>
      <c r="G4519" t="s">
        <v>19</v>
      </c>
      <c r="H4519">
        <f>Cleaned_Data!K4519</f>
        <v>0.83</v>
      </c>
      <c r="I4519" t="str">
        <f t="shared" si="210"/>
        <v>YES</v>
      </c>
      <c r="J4519">
        <f>Cleaned_Data!J4519</f>
        <v>4</v>
      </c>
      <c r="K4519" t="str">
        <f t="shared" si="211"/>
        <v>2024-10</v>
      </c>
      <c r="L4519">
        <f t="shared" si="212"/>
        <v>0</v>
      </c>
    </row>
    <row r="4520" spans="1:12">
      <c r="A4520" t="s">
        <v>13093</v>
      </c>
      <c r="B4520" t="s">
        <v>13094</v>
      </c>
      <c r="C4520" t="s">
        <v>13095</v>
      </c>
      <c r="D4520" t="s">
        <v>23</v>
      </c>
      <c r="E4520" t="s">
        <v>28</v>
      </c>
      <c r="F4520" t="s">
        <v>41</v>
      </c>
      <c r="G4520" t="s">
        <v>31</v>
      </c>
      <c r="H4520">
        <f>Cleaned_Data!K4520</f>
        <v>16.34</v>
      </c>
      <c r="I4520" t="str">
        <f t="shared" si="210"/>
        <v>YES</v>
      </c>
      <c r="J4520">
        <f>Cleaned_Data!J4520</f>
        <v>24</v>
      </c>
      <c r="K4520" t="str">
        <f t="shared" si="211"/>
        <v>2024-03</v>
      </c>
      <c r="L4520">
        <f t="shared" si="212"/>
        <v>0</v>
      </c>
    </row>
    <row r="4521" spans="1:12">
      <c r="A4521" t="s">
        <v>13096</v>
      </c>
      <c r="B4521" t="s">
        <v>13097</v>
      </c>
      <c r="C4521" t="s">
        <v>13098</v>
      </c>
      <c r="D4521" t="s">
        <v>35</v>
      </c>
      <c r="E4521" t="s">
        <v>24</v>
      </c>
      <c r="F4521" t="s">
        <v>60</v>
      </c>
      <c r="G4521" t="s">
        <v>31</v>
      </c>
      <c r="H4521">
        <f>Cleaned_Data!K4521</f>
        <v>44.19</v>
      </c>
      <c r="I4521" t="str">
        <f t="shared" si="210"/>
        <v>YES</v>
      </c>
      <c r="J4521">
        <f>Cleaned_Data!J4521</f>
        <v>48</v>
      </c>
      <c r="K4521" t="str">
        <f t="shared" si="211"/>
        <v>2024-05</v>
      </c>
      <c r="L4521">
        <f t="shared" si="212"/>
        <v>0</v>
      </c>
    </row>
    <row r="4522" spans="1:12">
      <c r="A4522" t="s">
        <v>13099</v>
      </c>
      <c r="B4522" t="s">
        <v>13100</v>
      </c>
      <c r="C4522" t="s">
        <v>13101</v>
      </c>
      <c r="D4522" t="s">
        <v>158</v>
      </c>
      <c r="E4522" t="s">
        <v>24</v>
      </c>
      <c r="F4522" t="s">
        <v>60</v>
      </c>
      <c r="G4522" t="s">
        <v>19</v>
      </c>
      <c r="H4522">
        <f>Cleaned_Data!K4522</f>
        <v>11.74</v>
      </c>
      <c r="I4522" t="str">
        <f t="shared" si="210"/>
        <v>NO</v>
      </c>
      <c r="J4522">
        <f>Cleaned_Data!J4522</f>
        <v>4</v>
      </c>
      <c r="K4522" t="str">
        <f t="shared" si="211"/>
        <v>2024-07</v>
      </c>
      <c r="L4522">
        <f t="shared" si="212"/>
        <v>7.74</v>
      </c>
    </row>
    <row r="4523" spans="1:12">
      <c r="A4523" t="s">
        <v>13102</v>
      </c>
      <c r="B4523" t="s">
        <v>13103</v>
      </c>
      <c r="C4523" t="s">
        <v>13104</v>
      </c>
      <c r="D4523" t="s">
        <v>15</v>
      </c>
      <c r="E4523" t="s">
        <v>59</v>
      </c>
      <c r="F4523" t="s">
        <v>36</v>
      </c>
      <c r="G4523" t="s">
        <v>19</v>
      </c>
      <c r="H4523">
        <f>Cleaned_Data!K4523</f>
        <v>1.91</v>
      </c>
      <c r="I4523" t="str">
        <f t="shared" si="210"/>
        <v>YES</v>
      </c>
      <c r="J4523">
        <f>Cleaned_Data!J4523</f>
        <v>8</v>
      </c>
      <c r="K4523" t="str">
        <f t="shared" si="211"/>
        <v>2024-08</v>
      </c>
      <c r="L4523">
        <f t="shared" si="212"/>
        <v>0</v>
      </c>
    </row>
    <row r="4524" spans="1:12">
      <c r="A4524" t="s">
        <v>13105</v>
      </c>
      <c r="B4524" t="s">
        <v>13106</v>
      </c>
      <c r="C4524" t="s">
        <v>13107</v>
      </c>
      <c r="D4524" t="s">
        <v>23</v>
      </c>
      <c r="E4524" t="s">
        <v>54</v>
      </c>
      <c r="F4524" t="s">
        <v>17</v>
      </c>
      <c r="G4524" t="s">
        <v>19</v>
      </c>
      <c r="H4524">
        <f>Cleaned_Data!K4524</f>
        <v>7.06</v>
      </c>
      <c r="I4524" t="str">
        <f t="shared" si="210"/>
        <v>YES</v>
      </c>
      <c r="J4524">
        <f>Cleaned_Data!J4524</f>
        <v>24</v>
      </c>
      <c r="K4524" t="str">
        <f t="shared" si="211"/>
        <v>2024-06</v>
      </c>
      <c r="L4524">
        <f t="shared" si="212"/>
        <v>0</v>
      </c>
    </row>
    <row r="4525" spans="1:12">
      <c r="A4525" t="s">
        <v>13108</v>
      </c>
      <c r="B4525" t="s">
        <v>13109</v>
      </c>
      <c r="C4525" t="s">
        <v>13110</v>
      </c>
      <c r="D4525" t="s">
        <v>23</v>
      </c>
      <c r="E4525" t="s">
        <v>28</v>
      </c>
      <c r="F4525" t="s">
        <v>60</v>
      </c>
      <c r="G4525" t="s">
        <v>31</v>
      </c>
      <c r="H4525">
        <f>Cleaned_Data!K4525</f>
        <v>21.81</v>
      </c>
      <c r="I4525" t="str">
        <f t="shared" si="210"/>
        <v>YES</v>
      </c>
      <c r="J4525">
        <f>Cleaned_Data!J4525</f>
        <v>24</v>
      </c>
      <c r="K4525" t="str">
        <f t="shared" si="211"/>
        <v>2024-12</v>
      </c>
      <c r="L4525">
        <f t="shared" si="212"/>
        <v>0</v>
      </c>
    </row>
    <row r="4526" spans="1:12">
      <c r="A4526" t="s">
        <v>13111</v>
      </c>
      <c r="B4526" t="s">
        <v>13112</v>
      </c>
      <c r="C4526" t="s">
        <v>13113</v>
      </c>
      <c r="D4526" t="s">
        <v>15</v>
      </c>
      <c r="E4526" t="s">
        <v>54</v>
      </c>
      <c r="F4526" t="s">
        <v>17</v>
      </c>
      <c r="G4526" t="s">
        <v>19</v>
      </c>
      <c r="H4526">
        <f>Cleaned_Data!K4526</f>
        <v>1.98</v>
      </c>
      <c r="I4526" t="str">
        <f t="shared" si="210"/>
        <v>YES</v>
      </c>
      <c r="J4526">
        <f>Cleaned_Data!J4526</f>
        <v>8</v>
      </c>
      <c r="K4526" t="str">
        <f t="shared" si="211"/>
        <v>2024-07</v>
      </c>
      <c r="L4526">
        <f t="shared" si="212"/>
        <v>0</v>
      </c>
    </row>
    <row r="4527" spans="1:12">
      <c r="A4527" t="s">
        <v>13114</v>
      </c>
      <c r="B4527" t="s">
        <v>13115</v>
      </c>
      <c r="C4527" t="s">
        <v>13116</v>
      </c>
      <c r="D4527" t="s">
        <v>35</v>
      </c>
      <c r="E4527" t="s">
        <v>24</v>
      </c>
      <c r="F4527" t="s">
        <v>17</v>
      </c>
      <c r="G4527" t="s">
        <v>19</v>
      </c>
      <c r="H4527">
        <f>Cleaned_Data!K4527</f>
        <v>32.89</v>
      </c>
      <c r="I4527" t="str">
        <f t="shared" si="210"/>
        <v>YES</v>
      </c>
      <c r="J4527">
        <f>Cleaned_Data!J4527</f>
        <v>48</v>
      </c>
      <c r="K4527" t="str">
        <f t="shared" si="211"/>
        <v>2024-04</v>
      </c>
      <c r="L4527">
        <f t="shared" si="212"/>
        <v>0</v>
      </c>
    </row>
    <row r="4528" spans="1:12">
      <c r="A4528" t="s">
        <v>13117</v>
      </c>
      <c r="B4528" t="s">
        <v>13118</v>
      </c>
      <c r="C4528" t="s">
        <v>13119</v>
      </c>
      <c r="D4528" t="s">
        <v>23</v>
      </c>
      <c r="E4528" t="s">
        <v>24</v>
      </c>
      <c r="F4528" t="s">
        <v>29</v>
      </c>
      <c r="G4528" t="s">
        <v>19</v>
      </c>
      <c r="H4528">
        <f>Cleaned_Data!K4528</f>
        <v>46.18</v>
      </c>
      <c r="I4528" t="str">
        <f t="shared" si="210"/>
        <v>NO</v>
      </c>
      <c r="J4528">
        <f>Cleaned_Data!J4528</f>
        <v>24</v>
      </c>
      <c r="K4528" t="str">
        <f t="shared" si="211"/>
        <v>2024-02</v>
      </c>
      <c r="L4528">
        <f t="shared" si="212"/>
        <v>22.18</v>
      </c>
    </row>
    <row r="4529" spans="1:12">
      <c r="A4529" t="s">
        <v>13120</v>
      </c>
      <c r="B4529" t="s">
        <v>13121</v>
      </c>
      <c r="C4529" t="s">
        <v>13122</v>
      </c>
      <c r="D4529" t="s">
        <v>23</v>
      </c>
      <c r="E4529" t="s">
        <v>24</v>
      </c>
      <c r="F4529" t="s">
        <v>29</v>
      </c>
      <c r="G4529" t="s">
        <v>31</v>
      </c>
      <c r="H4529">
        <f>Cleaned_Data!K4529</f>
        <v>59.44</v>
      </c>
      <c r="I4529" t="str">
        <f t="shared" si="210"/>
        <v>NO</v>
      </c>
      <c r="J4529">
        <f>Cleaned_Data!J4529</f>
        <v>24</v>
      </c>
      <c r="K4529" t="str">
        <f t="shared" si="211"/>
        <v>2024-06</v>
      </c>
      <c r="L4529">
        <f t="shared" si="212"/>
        <v>35.44</v>
      </c>
    </row>
    <row r="4530" spans="1:12">
      <c r="A4530" t="s">
        <v>13123</v>
      </c>
      <c r="B4530" t="s">
        <v>13124</v>
      </c>
      <c r="C4530" t="s">
        <v>13125</v>
      </c>
      <c r="D4530" t="s">
        <v>23</v>
      </c>
      <c r="E4530" t="s">
        <v>54</v>
      </c>
      <c r="F4530" t="s">
        <v>41</v>
      </c>
      <c r="G4530" t="s">
        <v>19</v>
      </c>
      <c r="H4530">
        <f>Cleaned_Data!K4530</f>
        <v>43.83</v>
      </c>
      <c r="I4530" t="str">
        <f t="shared" si="210"/>
        <v>NO</v>
      </c>
      <c r="J4530">
        <f>Cleaned_Data!J4530</f>
        <v>24</v>
      </c>
      <c r="K4530" t="str">
        <f t="shared" si="211"/>
        <v>2024-06</v>
      </c>
      <c r="L4530">
        <f t="shared" si="212"/>
        <v>19.829999999999998</v>
      </c>
    </row>
    <row r="4531" spans="1:12">
      <c r="A4531" t="s">
        <v>13126</v>
      </c>
      <c r="B4531" t="s">
        <v>13127</v>
      </c>
      <c r="C4531" t="s">
        <v>13128</v>
      </c>
      <c r="D4531" t="s">
        <v>35</v>
      </c>
      <c r="E4531" t="s">
        <v>28</v>
      </c>
      <c r="F4531" t="s">
        <v>60</v>
      </c>
      <c r="G4531" t="s">
        <v>19</v>
      </c>
      <c r="H4531">
        <f>Cleaned_Data!K4531</f>
        <v>37.409999999999997</v>
      </c>
      <c r="I4531" t="str">
        <f t="shared" si="210"/>
        <v>YES</v>
      </c>
      <c r="J4531">
        <f>Cleaned_Data!J4531</f>
        <v>48</v>
      </c>
      <c r="K4531" t="str">
        <f t="shared" si="211"/>
        <v>2024-11</v>
      </c>
      <c r="L4531">
        <f t="shared" si="212"/>
        <v>0</v>
      </c>
    </row>
    <row r="4532" spans="1:12">
      <c r="A4532" t="s">
        <v>13129</v>
      </c>
      <c r="B4532" t="s">
        <v>13130</v>
      </c>
      <c r="D4532" t="s">
        <v>15</v>
      </c>
      <c r="E4532" t="s">
        <v>28</v>
      </c>
      <c r="F4532" t="s">
        <v>17</v>
      </c>
      <c r="G4532" t="s">
        <v>63</v>
      </c>
      <c r="H4532">
        <f>Cleaned_Data!K4532</f>
        <v>0</v>
      </c>
      <c r="I4532" t="str">
        <f t="shared" si="210"/>
        <v/>
      </c>
      <c r="J4532">
        <f>Cleaned_Data!J4532</f>
        <v>8</v>
      </c>
      <c r="K4532" t="str">
        <f t="shared" si="211"/>
        <v>2024-07</v>
      </c>
      <c r="L4532">
        <f t="shared" si="212"/>
        <v>0</v>
      </c>
    </row>
    <row r="4533" spans="1:12">
      <c r="A4533" t="s">
        <v>13131</v>
      </c>
      <c r="B4533" t="s">
        <v>13132</v>
      </c>
      <c r="C4533" t="s">
        <v>13133</v>
      </c>
      <c r="D4533" t="s">
        <v>15</v>
      </c>
      <c r="E4533" t="s">
        <v>28</v>
      </c>
      <c r="F4533" t="s">
        <v>41</v>
      </c>
      <c r="G4533" t="s">
        <v>19</v>
      </c>
      <c r="H4533">
        <f>Cleaned_Data!K4533</f>
        <v>1.41</v>
      </c>
      <c r="I4533" t="str">
        <f t="shared" si="210"/>
        <v>YES</v>
      </c>
      <c r="J4533">
        <f>Cleaned_Data!J4533</f>
        <v>8</v>
      </c>
      <c r="K4533" t="str">
        <f t="shared" si="211"/>
        <v>2024-01</v>
      </c>
      <c r="L4533">
        <f t="shared" si="212"/>
        <v>0</v>
      </c>
    </row>
    <row r="4534" spans="1:12">
      <c r="A4534" t="s">
        <v>13134</v>
      </c>
      <c r="B4534" t="s">
        <v>13135</v>
      </c>
      <c r="C4534" t="s">
        <v>13136</v>
      </c>
      <c r="D4534" t="s">
        <v>23</v>
      </c>
      <c r="E4534" t="s">
        <v>28</v>
      </c>
      <c r="F4534" t="s">
        <v>41</v>
      </c>
      <c r="G4534" t="s">
        <v>19</v>
      </c>
      <c r="H4534">
        <f>Cleaned_Data!K4534</f>
        <v>32.99</v>
      </c>
      <c r="I4534" t="str">
        <f t="shared" si="210"/>
        <v>NO</v>
      </c>
      <c r="J4534">
        <f>Cleaned_Data!J4534</f>
        <v>24</v>
      </c>
      <c r="K4534" t="str">
        <f t="shared" si="211"/>
        <v>2024-02</v>
      </c>
      <c r="L4534">
        <f t="shared" si="212"/>
        <v>8.990000000000002</v>
      </c>
    </row>
    <row r="4535" spans="1:12">
      <c r="A4535" t="s">
        <v>13137</v>
      </c>
      <c r="B4535" t="s">
        <v>13138</v>
      </c>
      <c r="C4535" t="s">
        <v>13139</v>
      </c>
      <c r="D4535" t="s">
        <v>23</v>
      </c>
      <c r="E4535" t="s">
        <v>24</v>
      </c>
      <c r="F4535" t="s">
        <v>60</v>
      </c>
      <c r="G4535" t="s">
        <v>19</v>
      </c>
      <c r="H4535">
        <f>Cleaned_Data!K4535</f>
        <v>21.35</v>
      </c>
      <c r="I4535" t="str">
        <f t="shared" si="210"/>
        <v>YES</v>
      </c>
      <c r="J4535">
        <f>Cleaned_Data!J4535</f>
        <v>24</v>
      </c>
      <c r="K4535" t="str">
        <f t="shared" si="211"/>
        <v>2024-11</v>
      </c>
      <c r="L4535">
        <f t="shared" si="212"/>
        <v>0</v>
      </c>
    </row>
    <row r="4536" spans="1:12">
      <c r="A4536" t="s">
        <v>13140</v>
      </c>
      <c r="B4536" t="s">
        <v>13141</v>
      </c>
      <c r="C4536" t="s">
        <v>13142</v>
      </c>
      <c r="D4536" t="s">
        <v>35</v>
      </c>
      <c r="E4536" t="s">
        <v>59</v>
      </c>
      <c r="F4536" t="s">
        <v>60</v>
      </c>
      <c r="G4536" t="s">
        <v>31</v>
      </c>
      <c r="H4536">
        <f>Cleaned_Data!K4536</f>
        <v>36.57</v>
      </c>
      <c r="I4536" t="str">
        <f t="shared" si="210"/>
        <v>YES</v>
      </c>
      <c r="J4536">
        <f>Cleaned_Data!J4536</f>
        <v>48</v>
      </c>
      <c r="K4536" t="str">
        <f t="shared" si="211"/>
        <v>2024-01</v>
      </c>
      <c r="L4536">
        <f t="shared" si="212"/>
        <v>0</v>
      </c>
    </row>
    <row r="4537" spans="1:12">
      <c r="A4537" t="s">
        <v>13143</v>
      </c>
      <c r="B4537" t="s">
        <v>13144</v>
      </c>
      <c r="C4537" t="s">
        <v>13145</v>
      </c>
      <c r="D4537" t="s">
        <v>23</v>
      </c>
      <c r="E4537" t="s">
        <v>28</v>
      </c>
      <c r="F4537" t="s">
        <v>29</v>
      </c>
      <c r="G4537" t="s">
        <v>19</v>
      </c>
      <c r="H4537">
        <f>Cleaned_Data!K4537</f>
        <v>10.75</v>
      </c>
      <c r="I4537" t="str">
        <f t="shared" si="210"/>
        <v>YES</v>
      </c>
      <c r="J4537">
        <f>Cleaned_Data!J4537</f>
        <v>24</v>
      </c>
      <c r="K4537" t="str">
        <f t="shared" si="211"/>
        <v>2024-11</v>
      </c>
      <c r="L4537">
        <f t="shared" si="212"/>
        <v>0</v>
      </c>
    </row>
    <row r="4538" spans="1:12">
      <c r="A4538" t="s">
        <v>13146</v>
      </c>
      <c r="B4538" t="s">
        <v>13147</v>
      </c>
      <c r="C4538" t="s">
        <v>13148</v>
      </c>
      <c r="D4538" t="s">
        <v>35</v>
      </c>
      <c r="E4538" t="s">
        <v>59</v>
      </c>
      <c r="F4538" t="s">
        <v>60</v>
      </c>
      <c r="G4538" t="s">
        <v>19</v>
      </c>
      <c r="H4538">
        <f>Cleaned_Data!K4538</f>
        <v>36.5</v>
      </c>
      <c r="I4538" t="str">
        <f t="shared" si="210"/>
        <v>YES</v>
      </c>
      <c r="J4538">
        <f>Cleaned_Data!J4538</f>
        <v>48</v>
      </c>
      <c r="K4538" t="str">
        <f t="shared" si="211"/>
        <v>2024-10</v>
      </c>
      <c r="L4538">
        <f t="shared" si="212"/>
        <v>0</v>
      </c>
    </row>
    <row r="4539" spans="1:12">
      <c r="A4539" t="s">
        <v>13149</v>
      </c>
      <c r="B4539" t="s">
        <v>13150</v>
      </c>
      <c r="C4539" t="s">
        <v>13151</v>
      </c>
      <c r="D4539" t="s">
        <v>158</v>
      </c>
      <c r="E4539" t="s">
        <v>16</v>
      </c>
      <c r="F4539" t="s">
        <v>36</v>
      </c>
      <c r="G4539" t="s">
        <v>19</v>
      </c>
      <c r="H4539">
        <f>Cleaned_Data!K4539</f>
        <v>1.76</v>
      </c>
      <c r="I4539" t="str">
        <f t="shared" si="210"/>
        <v>YES</v>
      </c>
      <c r="J4539">
        <f>Cleaned_Data!J4539</f>
        <v>4</v>
      </c>
      <c r="K4539" t="str">
        <f t="shared" si="211"/>
        <v>2024-12</v>
      </c>
      <c r="L4539">
        <f t="shared" si="212"/>
        <v>0</v>
      </c>
    </row>
    <row r="4540" spans="1:12">
      <c r="A4540" t="s">
        <v>13152</v>
      </c>
      <c r="B4540" t="s">
        <v>13153</v>
      </c>
      <c r="C4540" t="s">
        <v>13154</v>
      </c>
      <c r="D4540" t="s">
        <v>15</v>
      </c>
      <c r="E4540" t="s">
        <v>28</v>
      </c>
      <c r="F4540" t="s">
        <v>29</v>
      </c>
      <c r="G4540" t="s">
        <v>31</v>
      </c>
      <c r="H4540">
        <f>Cleaned_Data!K4540</f>
        <v>0.9</v>
      </c>
      <c r="I4540" t="str">
        <f t="shared" si="210"/>
        <v>YES</v>
      </c>
      <c r="J4540">
        <f>Cleaned_Data!J4540</f>
        <v>8</v>
      </c>
      <c r="K4540" t="str">
        <f t="shared" si="211"/>
        <v>2024-03</v>
      </c>
      <c r="L4540">
        <f t="shared" si="212"/>
        <v>0</v>
      </c>
    </row>
    <row r="4541" spans="1:12">
      <c r="A4541" t="s">
        <v>13155</v>
      </c>
      <c r="B4541" t="s">
        <v>13156</v>
      </c>
      <c r="C4541" t="s">
        <v>13157</v>
      </c>
      <c r="D4541" t="s">
        <v>15</v>
      </c>
      <c r="E4541" t="s">
        <v>24</v>
      </c>
      <c r="F4541" t="s">
        <v>41</v>
      </c>
      <c r="G4541" t="s">
        <v>19</v>
      </c>
      <c r="H4541">
        <f>Cleaned_Data!K4541</f>
        <v>6.07</v>
      </c>
      <c r="I4541" t="str">
        <f t="shared" si="210"/>
        <v>YES</v>
      </c>
      <c r="J4541">
        <f>Cleaned_Data!J4541</f>
        <v>8</v>
      </c>
      <c r="K4541" t="str">
        <f t="shared" si="211"/>
        <v>2024-10</v>
      </c>
      <c r="L4541">
        <f t="shared" si="212"/>
        <v>0</v>
      </c>
    </row>
    <row r="4542" spans="1:12">
      <c r="A4542" t="s">
        <v>13158</v>
      </c>
      <c r="B4542" t="s">
        <v>13159</v>
      </c>
      <c r="D4542" t="s">
        <v>158</v>
      </c>
      <c r="E4542" t="s">
        <v>28</v>
      </c>
      <c r="F4542" t="s">
        <v>60</v>
      </c>
      <c r="G4542" t="s">
        <v>46</v>
      </c>
      <c r="H4542">
        <f>Cleaned_Data!K4542</f>
        <v>0</v>
      </c>
      <c r="I4542" t="str">
        <f t="shared" si="210"/>
        <v/>
      </c>
      <c r="J4542">
        <f>Cleaned_Data!J4542</f>
        <v>4</v>
      </c>
      <c r="K4542" t="str">
        <f t="shared" si="211"/>
        <v>2024-06</v>
      </c>
      <c r="L4542">
        <f t="shared" si="212"/>
        <v>0</v>
      </c>
    </row>
    <row r="4543" spans="1:12">
      <c r="A4543" t="s">
        <v>13160</v>
      </c>
      <c r="B4543" t="s">
        <v>13161</v>
      </c>
      <c r="D4543" t="s">
        <v>15</v>
      </c>
      <c r="E4543" t="s">
        <v>54</v>
      </c>
      <c r="F4543" t="s">
        <v>36</v>
      </c>
      <c r="G4543" t="s">
        <v>63</v>
      </c>
      <c r="H4543">
        <f>Cleaned_Data!K4543</f>
        <v>0</v>
      </c>
      <c r="I4543" t="str">
        <f t="shared" si="210"/>
        <v/>
      </c>
      <c r="J4543">
        <f>Cleaned_Data!J4543</f>
        <v>8</v>
      </c>
      <c r="K4543" t="str">
        <f t="shared" si="211"/>
        <v>2024-06</v>
      </c>
      <c r="L4543">
        <f t="shared" si="212"/>
        <v>0</v>
      </c>
    </row>
    <row r="4544" spans="1:12">
      <c r="A4544" t="s">
        <v>13162</v>
      </c>
      <c r="B4544" t="s">
        <v>13163</v>
      </c>
      <c r="C4544" t="s">
        <v>13164</v>
      </c>
      <c r="D4544" t="s">
        <v>15</v>
      </c>
      <c r="E4544" t="s">
        <v>59</v>
      </c>
      <c r="F4544" t="s">
        <v>36</v>
      </c>
      <c r="G4544" t="s">
        <v>19</v>
      </c>
      <c r="H4544">
        <f>Cleaned_Data!K4544</f>
        <v>4.7300000000000004</v>
      </c>
      <c r="I4544" t="str">
        <f t="shared" si="210"/>
        <v>YES</v>
      </c>
      <c r="J4544">
        <f>Cleaned_Data!J4544</f>
        <v>8</v>
      </c>
      <c r="K4544" t="str">
        <f t="shared" si="211"/>
        <v>2024-10</v>
      </c>
      <c r="L4544">
        <f t="shared" si="212"/>
        <v>0</v>
      </c>
    </row>
    <row r="4545" spans="1:12">
      <c r="A4545" t="s">
        <v>13165</v>
      </c>
      <c r="B4545" t="s">
        <v>13166</v>
      </c>
      <c r="D4545" t="s">
        <v>23</v>
      </c>
      <c r="E4545" t="s">
        <v>59</v>
      </c>
      <c r="F4545" t="s">
        <v>41</v>
      </c>
      <c r="G4545" t="s">
        <v>63</v>
      </c>
      <c r="H4545">
        <f>Cleaned_Data!K4545</f>
        <v>0</v>
      </c>
      <c r="I4545" t="str">
        <f t="shared" si="210"/>
        <v/>
      </c>
      <c r="J4545">
        <f>Cleaned_Data!J4545</f>
        <v>24</v>
      </c>
      <c r="K4545" t="str">
        <f t="shared" si="211"/>
        <v>2024-11</v>
      </c>
      <c r="L4545">
        <f t="shared" si="212"/>
        <v>0</v>
      </c>
    </row>
    <row r="4546" spans="1:12">
      <c r="A4546" t="s">
        <v>13167</v>
      </c>
      <c r="B4546" t="s">
        <v>13168</v>
      </c>
      <c r="C4546" t="s">
        <v>13169</v>
      </c>
      <c r="D4546" t="s">
        <v>23</v>
      </c>
      <c r="E4546" t="s">
        <v>28</v>
      </c>
      <c r="F4546" t="s">
        <v>29</v>
      </c>
      <c r="G4546" t="s">
        <v>19</v>
      </c>
      <c r="H4546">
        <f>Cleaned_Data!K4546</f>
        <v>42.12</v>
      </c>
      <c r="I4546" t="str">
        <f t="shared" ref="I4546:I4609" si="213">IF(OR(G4546="Resolved", G4546="Closed"), IF(AND(H4546&lt;&gt;"", H4546&lt;=J4546), "YES", "NO"), "")</f>
        <v>NO</v>
      </c>
      <c r="J4546">
        <f>Cleaned_Data!J4546</f>
        <v>24</v>
      </c>
      <c r="K4546" t="str">
        <f t="shared" ref="K4546:K4609" si="214">LEFT(B4546, 7)</f>
        <v>2024-03</v>
      </c>
      <c r="L4546">
        <f t="shared" ref="L4546:L4609" si="215">IF(I4546="NO", H4546-J4546, 0)</f>
        <v>18.119999999999997</v>
      </c>
    </row>
    <row r="4547" spans="1:12">
      <c r="A4547" t="s">
        <v>13170</v>
      </c>
      <c r="B4547" t="s">
        <v>13171</v>
      </c>
      <c r="C4547" t="s">
        <v>13172</v>
      </c>
      <c r="D4547" t="s">
        <v>23</v>
      </c>
      <c r="E4547" t="s">
        <v>54</v>
      </c>
      <c r="F4547" t="s">
        <v>36</v>
      </c>
      <c r="G4547" t="s">
        <v>19</v>
      </c>
      <c r="H4547">
        <f>Cleaned_Data!K4547</f>
        <v>48.15</v>
      </c>
      <c r="I4547" t="str">
        <f t="shared" si="213"/>
        <v>NO</v>
      </c>
      <c r="J4547">
        <f>Cleaned_Data!J4547</f>
        <v>24</v>
      </c>
      <c r="K4547" t="str">
        <f t="shared" si="214"/>
        <v>2024-06</v>
      </c>
      <c r="L4547">
        <f t="shared" si="215"/>
        <v>24.15</v>
      </c>
    </row>
    <row r="4548" spans="1:12">
      <c r="A4548" t="s">
        <v>13173</v>
      </c>
      <c r="B4548" t="s">
        <v>13174</v>
      </c>
      <c r="C4548" t="s">
        <v>13175</v>
      </c>
      <c r="D4548" t="s">
        <v>35</v>
      </c>
      <c r="E4548" t="s">
        <v>54</v>
      </c>
      <c r="F4548" t="s">
        <v>41</v>
      </c>
      <c r="G4548" t="s">
        <v>19</v>
      </c>
      <c r="H4548">
        <f>Cleaned_Data!K4548</f>
        <v>38.200000000000003</v>
      </c>
      <c r="I4548" t="str">
        <f t="shared" si="213"/>
        <v>YES</v>
      </c>
      <c r="J4548">
        <f>Cleaned_Data!J4548</f>
        <v>48</v>
      </c>
      <c r="K4548" t="str">
        <f t="shared" si="214"/>
        <v>2024-12</v>
      </c>
      <c r="L4548">
        <f t="shared" si="215"/>
        <v>0</v>
      </c>
    </row>
    <row r="4549" spans="1:12">
      <c r="A4549" t="s">
        <v>13176</v>
      </c>
      <c r="B4549" t="s">
        <v>13177</v>
      </c>
      <c r="C4549" t="s">
        <v>13178</v>
      </c>
      <c r="D4549" t="s">
        <v>158</v>
      </c>
      <c r="E4549" t="s">
        <v>28</v>
      </c>
      <c r="F4549" t="s">
        <v>60</v>
      </c>
      <c r="G4549" t="s">
        <v>31</v>
      </c>
      <c r="H4549">
        <f>Cleaned_Data!K4549</f>
        <v>1.56</v>
      </c>
      <c r="I4549" t="str">
        <f t="shared" si="213"/>
        <v>YES</v>
      </c>
      <c r="J4549">
        <f>Cleaned_Data!J4549</f>
        <v>4</v>
      </c>
      <c r="K4549" t="str">
        <f t="shared" si="214"/>
        <v>2024-04</v>
      </c>
      <c r="L4549">
        <f t="shared" si="215"/>
        <v>0</v>
      </c>
    </row>
    <row r="4550" spans="1:12">
      <c r="A4550" t="s">
        <v>13179</v>
      </c>
      <c r="B4550" t="s">
        <v>13180</v>
      </c>
      <c r="D4550" t="s">
        <v>23</v>
      </c>
      <c r="E4550" t="s">
        <v>28</v>
      </c>
      <c r="F4550" t="s">
        <v>17</v>
      </c>
      <c r="G4550" t="s">
        <v>63</v>
      </c>
      <c r="H4550">
        <f>Cleaned_Data!K4550</f>
        <v>0</v>
      </c>
      <c r="I4550" t="str">
        <f t="shared" si="213"/>
        <v/>
      </c>
      <c r="J4550">
        <f>Cleaned_Data!J4550</f>
        <v>24</v>
      </c>
      <c r="K4550" t="str">
        <f t="shared" si="214"/>
        <v>2024-12</v>
      </c>
      <c r="L4550">
        <f t="shared" si="215"/>
        <v>0</v>
      </c>
    </row>
    <row r="4551" spans="1:12">
      <c r="A4551" t="s">
        <v>13181</v>
      </c>
      <c r="B4551" t="s">
        <v>13182</v>
      </c>
      <c r="D4551" t="s">
        <v>15</v>
      </c>
      <c r="E4551" t="s">
        <v>16</v>
      </c>
      <c r="F4551" t="s">
        <v>29</v>
      </c>
      <c r="G4551" t="s">
        <v>46</v>
      </c>
      <c r="H4551">
        <f>Cleaned_Data!K4551</f>
        <v>0</v>
      </c>
      <c r="I4551" t="str">
        <f t="shared" si="213"/>
        <v/>
      </c>
      <c r="J4551">
        <f>Cleaned_Data!J4551</f>
        <v>8</v>
      </c>
      <c r="K4551" t="str">
        <f t="shared" si="214"/>
        <v>2024-07</v>
      </c>
      <c r="L4551">
        <f t="shared" si="215"/>
        <v>0</v>
      </c>
    </row>
    <row r="4552" spans="1:12">
      <c r="A4552" t="s">
        <v>13183</v>
      </c>
      <c r="B4552" t="s">
        <v>13184</v>
      </c>
      <c r="C4552" t="s">
        <v>13185</v>
      </c>
      <c r="D4552" t="s">
        <v>35</v>
      </c>
      <c r="E4552" t="s">
        <v>16</v>
      </c>
      <c r="F4552" t="s">
        <v>41</v>
      </c>
      <c r="G4552" t="s">
        <v>19</v>
      </c>
      <c r="H4552">
        <f>Cleaned_Data!K4552</f>
        <v>25.01</v>
      </c>
      <c r="I4552" t="str">
        <f t="shared" si="213"/>
        <v>YES</v>
      </c>
      <c r="J4552">
        <f>Cleaned_Data!J4552</f>
        <v>48</v>
      </c>
      <c r="K4552" t="str">
        <f t="shared" si="214"/>
        <v>2024-02</v>
      </c>
      <c r="L4552">
        <f t="shared" si="215"/>
        <v>0</v>
      </c>
    </row>
    <row r="4553" spans="1:12">
      <c r="A4553" t="s">
        <v>13186</v>
      </c>
      <c r="B4553" t="s">
        <v>13187</v>
      </c>
      <c r="C4553" t="s">
        <v>13188</v>
      </c>
      <c r="D4553" t="s">
        <v>23</v>
      </c>
      <c r="E4553" t="s">
        <v>54</v>
      </c>
      <c r="F4553" t="s">
        <v>60</v>
      </c>
      <c r="G4553" t="s">
        <v>19</v>
      </c>
      <c r="H4553">
        <f>Cleaned_Data!K4553</f>
        <v>61.68</v>
      </c>
      <c r="I4553" t="str">
        <f t="shared" si="213"/>
        <v>NO</v>
      </c>
      <c r="J4553">
        <f>Cleaned_Data!J4553</f>
        <v>24</v>
      </c>
      <c r="K4553" t="str">
        <f t="shared" si="214"/>
        <v>2024-01</v>
      </c>
      <c r="L4553">
        <f t="shared" si="215"/>
        <v>37.68</v>
      </c>
    </row>
    <row r="4554" spans="1:12">
      <c r="A4554" t="s">
        <v>13189</v>
      </c>
      <c r="B4554" t="s">
        <v>13190</v>
      </c>
      <c r="C4554" t="s">
        <v>13191</v>
      </c>
      <c r="D4554" t="s">
        <v>15</v>
      </c>
      <c r="E4554" t="s">
        <v>16</v>
      </c>
      <c r="F4554" t="s">
        <v>36</v>
      </c>
      <c r="G4554" t="s">
        <v>19</v>
      </c>
      <c r="H4554">
        <f>Cleaned_Data!K4554</f>
        <v>18.88</v>
      </c>
      <c r="I4554" t="str">
        <f t="shared" si="213"/>
        <v>NO</v>
      </c>
      <c r="J4554">
        <f>Cleaned_Data!J4554</f>
        <v>8</v>
      </c>
      <c r="K4554" t="str">
        <f t="shared" si="214"/>
        <v>2024-11</v>
      </c>
      <c r="L4554">
        <f t="shared" si="215"/>
        <v>10.879999999999999</v>
      </c>
    </row>
    <row r="4555" spans="1:12">
      <c r="A4555" t="s">
        <v>13192</v>
      </c>
      <c r="B4555" t="s">
        <v>13193</v>
      </c>
      <c r="C4555" t="s">
        <v>13194</v>
      </c>
      <c r="D4555" t="s">
        <v>158</v>
      </c>
      <c r="E4555" t="s">
        <v>28</v>
      </c>
      <c r="F4555" t="s">
        <v>60</v>
      </c>
      <c r="G4555" t="s">
        <v>19</v>
      </c>
      <c r="H4555">
        <f>Cleaned_Data!K4555</f>
        <v>2.98</v>
      </c>
      <c r="I4555" t="str">
        <f t="shared" si="213"/>
        <v>YES</v>
      </c>
      <c r="J4555">
        <f>Cleaned_Data!J4555</f>
        <v>4</v>
      </c>
      <c r="K4555" t="str">
        <f t="shared" si="214"/>
        <v>2024-12</v>
      </c>
      <c r="L4555">
        <f t="shared" si="215"/>
        <v>0</v>
      </c>
    </row>
    <row r="4556" spans="1:12">
      <c r="A4556" t="s">
        <v>13195</v>
      </c>
      <c r="B4556" t="s">
        <v>13196</v>
      </c>
      <c r="C4556" t="s">
        <v>13197</v>
      </c>
      <c r="D4556" t="s">
        <v>23</v>
      </c>
      <c r="E4556" t="s">
        <v>28</v>
      </c>
      <c r="F4556" t="s">
        <v>41</v>
      </c>
      <c r="G4556" t="s">
        <v>19</v>
      </c>
      <c r="H4556">
        <f>Cleaned_Data!K4556</f>
        <v>22.18</v>
      </c>
      <c r="I4556" t="str">
        <f t="shared" si="213"/>
        <v>YES</v>
      </c>
      <c r="J4556">
        <f>Cleaned_Data!J4556</f>
        <v>24</v>
      </c>
      <c r="K4556" t="str">
        <f t="shared" si="214"/>
        <v>2024-04</v>
      </c>
      <c r="L4556">
        <f t="shared" si="215"/>
        <v>0</v>
      </c>
    </row>
    <row r="4557" spans="1:12">
      <c r="A4557" t="s">
        <v>13198</v>
      </c>
      <c r="B4557" t="s">
        <v>13199</v>
      </c>
      <c r="D4557" t="s">
        <v>15</v>
      </c>
      <c r="E4557" t="s">
        <v>24</v>
      </c>
      <c r="F4557" t="s">
        <v>60</v>
      </c>
      <c r="G4557" t="s">
        <v>63</v>
      </c>
      <c r="H4557">
        <f>Cleaned_Data!K4557</f>
        <v>0</v>
      </c>
      <c r="I4557" t="str">
        <f t="shared" si="213"/>
        <v/>
      </c>
      <c r="J4557">
        <f>Cleaned_Data!J4557</f>
        <v>8</v>
      </c>
      <c r="K4557" t="str">
        <f t="shared" si="214"/>
        <v>2024-04</v>
      </c>
      <c r="L4557">
        <f t="shared" si="215"/>
        <v>0</v>
      </c>
    </row>
    <row r="4558" spans="1:12">
      <c r="A4558" t="s">
        <v>13200</v>
      </c>
      <c r="B4558" t="s">
        <v>13201</v>
      </c>
      <c r="C4558" t="s">
        <v>13202</v>
      </c>
      <c r="D4558" t="s">
        <v>23</v>
      </c>
      <c r="E4558" t="s">
        <v>28</v>
      </c>
      <c r="F4558" t="s">
        <v>17</v>
      </c>
      <c r="G4558" t="s">
        <v>19</v>
      </c>
      <c r="H4558">
        <f>Cleaned_Data!K4558</f>
        <v>8.39</v>
      </c>
      <c r="I4558" t="str">
        <f t="shared" si="213"/>
        <v>YES</v>
      </c>
      <c r="J4558">
        <f>Cleaned_Data!J4558</f>
        <v>24</v>
      </c>
      <c r="K4558" t="str">
        <f t="shared" si="214"/>
        <v>2024-05</v>
      </c>
      <c r="L4558">
        <f t="shared" si="215"/>
        <v>0</v>
      </c>
    </row>
    <row r="4559" spans="1:12">
      <c r="A4559" t="s">
        <v>13203</v>
      </c>
      <c r="B4559" t="s">
        <v>13204</v>
      </c>
      <c r="C4559" t="s">
        <v>13205</v>
      </c>
      <c r="D4559" t="s">
        <v>23</v>
      </c>
      <c r="E4559" t="s">
        <v>54</v>
      </c>
      <c r="F4559" t="s">
        <v>17</v>
      </c>
      <c r="G4559" t="s">
        <v>31</v>
      </c>
      <c r="H4559">
        <f>Cleaned_Data!K4559</f>
        <v>22.12</v>
      </c>
      <c r="I4559" t="str">
        <f t="shared" si="213"/>
        <v>YES</v>
      </c>
      <c r="J4559">
        <f>Cleaned_Data!J4559</f>
        <v>24</v>
      </c>
      <c r="K4559" t="str">
        <f t="shared" si="214"/>
        <v>2024-07</v>
      </c>
      <c r="L4559">
        <f t="shared" si="215"/>
        <v>0</v>
      </c>
    </row>
    <row r="4560" spans="1:12">
      <c r="A4560" t="s">
        <v>13206</v>
      </c>
      <c r="B4560" t="s">
        <v>13207</v>
      </c>
      <c r="C4560" t="s">
        <v>13208</v>
      </c>
      <c r="D4560" t="s">
        <v>15</v>
      </c>
      <c r="E4560" t="s">
        <v>28</v>
      </c>
      <c r="F4560" t="s">
        <v>29</v>
      </c>
      <c r="G4560" t="s">
        <v>19</v>
      </c>
      <c r="H4560">
        <f>Cleaned_Data!K4560</f>
        <v>5.3</v>
      </c>
      <c r="I4560" t="str">
        <f t="shared" si="213"/>
        <v>YES</v>
      </c>
      <c r="J4560">
        <f>Cleaned_Data!J4560</f>
        <v>8</v>
      </c>
      <c r="K4560" t="str">
        <f t="shared" si="214"/>
        <v>2024-01</v>
      </c>
      <c r="L4560">
        <f t="shared" si="215"/>
        <v>0</v>
      </c>
    </row>
    <row r="4561" spans="1:12">
      <c r="A4561" t="s">
        <v>13209</v>
      </c>
      <c r="B4561" t="s">
        <v>13210</v>
      </c>
      <c r="C4561" t="s">
        <v>13211</v>
      </c>
      <c r="D4561" t="s">
        <v>15</v>
      </c>
      <c r="E4561" t="s">
        <v>54</v>
      </c>
      <c r="F4561" t="s">
        <v>60</v>
      </c>
      <c r="G4561" t="s">
        <v>31</v>
      </c>
      <c r="H4561">
        <f>Cleaned_Data!K4561</f>
        <v>5.76</v>
      </c>
      <c r="I4561" t="str">
        <f t="shared" si="213"/>
        <v>YES</v>
      </c>
      <c r="J4561">
        <f>Cleaned_Data!J4561</f>
        <v>8</v>
      </c>
      <c r="K4561" t="str">
        <f t="shared" si="214"/>
        <v>2024-11</v>
      </c>
      <c r="L4561">
        <f t="shared" si="215"/>
        <v>0</v>
      </c>
    </row>
    <row r="4562" spans="1:12">
      <c r="A4562" t="s">
        <v>13212</v>
      </c>
      <c r="B4562" t="s">
        <v>13213</v>
      </c>
      <c r="C4562" t="s">
        <v>13214</v>
      </c>
      <c r="D4562" t="s">
        <v>15</v>
      </c>
      <c r="E4562" t="s">
        <v>54</v>
      </c>
      <c r="F4562" t="s">
        <v>41</v>
      </c>
      <c r="G4562" t="s">
        <v>19</v>
      </c>
      <c r="H4562">
        <f>Cleaned_Data!K4562</f>
        <v>6.6</v>
      </c>
      <c r="I4562" t="str">
        <f t="shared" si="213"/>
        <v>YES</v>
      </c>
      <c r="J4562">
        <f>Cleaned_Data!J4562</f>
        <v>8</v>
      </c>
      <c r="K4562" t="str">
        <f t="shared" si="214"/>
        <v>2024-10</v>
      </c>
      <c r="L4562">
        <f t="shared" si="215"/>
        <v>0</v>
      </c>
    </row>
    <row r="4563" spans="1:12">
      <c r="A4563" t="s">
        <v>13215</v>
      </c>
      <c r="B4563" t="s">
        <v>13216</v>
      </c>
      <c r="D4563" t="s">
        <v>23</v>
      </c>
      <c r="E4563" t="s">
        <v>24</v>
      </c>
      <c r="F4563" t="s">
        <v>60</v>
      </c>
      <c r="G4563" t="s">
        <v>63</v>
      </c>
      <c r="H4563">
        <f>Cleaned_Data!K4563</f>
        <v>0</v>
      </c>
      <c r="I4563" t="str">
        <f t="shared" si="213"/>
        <v/>
      </c>
      <c r="J4563">
        <f>Cleaned_Data!J4563</f>
        <v>24</v>
      </c>
      <c r="K4563" t="str">
        <f t="shared" si="214"/>
        <v>2024-09</v>
      </c>
      <c r="L4563">
        <f t="shared" si="215"/>
        <v>0</v>
      </c>
    </row>
    <row r="4564" spans="1:12">
      <c r="A4564" t="s">
        <v>13217</v>
      </c>
      <c r="B4564" t="s">
        <v>13218</v>
      </c>
      <c r="C4564" t="s">
        <v>13219</v>
      </c>
      <c r="D4564" t="s">
        <v>35</v>
      </c>
      <c r="E4564" t="s">
        <v>24</v>
      </c>
      <c r="F4564" t="s">
        <v>17</v>
      </c>
      <c r="G4564" t="s">
        <v>19</v>
      </c>
      <c r="H4564">
        <f>Cleaned_Data!K4564</f>
        <v>29.76</v>
      </c>
      <c r="I4564" t="str">
        <f t="shared" si="213"/>
        <v>YES</v>
      </c>
      <c r="J4564">
        <f>Cleaned_Data!J4564</f>
        <v>48</v>
      </c>
      <c r="K4564" t="str">
        <f t="shared" si="214"/>
        <v>2024-12</v>
      </c>
      <c r="L4564">
        <f t="shared" si="215"/>
        <v>0</v>
      </c>
    </row>
    <row r="4565" spans="1:12">
      <c r="A4565" t="s">
        <v>13220</v>
      </c>
      <c r="B4565" t="s">
        <v>13221</v>
      </c>
      <c r="C4565" t="s">
        <v>13222</v>
      </c>
      <c r="D4565" t="s">
        <v>15</v>
      </c>
      <c r="E4565" t="s">
        <v>28</v>
      </c>
      <c r="F4565" t="s">
        <v>29</v>
      </c>
      <c r="G4565" t="s">
        <v>31</v>
      </c>
      <c r="H4565">
        <f>Cleaned_Data!K4565</f>
        <v>4.3899999999999997</v>
      </c>
      <c r="I4565" t="str">
        <f t="shared" si="213"/>
        <v>YES</v>
      </c>
      <c r="J4565">
        <f>Cleaned_Data!J4565</f>
        <v>8</v>
      </c>
      <c r="K4565" t="str">
        <f t="shared" si="214"/>
        <v>2024-08</v>
      </c>
      <c r="L4565">
        <f t="shared" si="215"/>
        <v>0</v>
      </c>
    </row>
    <row r="4566" spans="1:12">
      <c r="A4566" t="s">
        <v>13223</v>
      </c>
      <c r="B4566" t="s">
        <v>13224</v>
      </c>
      <c r="C4566" t="s">
        <v>13225</v>
      </c>
      <c r="D4566" t="s">
        <v>15</v>
      </c>
      <c r="E4566" t="s">
        <v>54</v>
      </c>
      <c r="F4566" t="s">
        <v>60</v>
      </c>
      <c r="G4566" t="s">
        <v>19</v>
      </c>
      <c r="H4566">
        <f>Cleaned_Data!K4566</f>
        <v>5.45</v>
      </c>
      <c r="I4566" t="str">
        <f t="shared" si="213"/>
        <v>YES</v>
      </c>
      <c r="J4566">
        <f>Cleaned_Data!J4566</f>
        <v>8</v>
      </c>
      <c r="K4566" t="str">
        <f t="shared" si="214"/>
        <v>2024-06</v>
      </c>
      <c r="L4566">
        <f t="shared" si="215"/>
        <v>0</v>
      </c>
    </row>
    <row r="4567" spans="1:12">
      <c r="A4567" t="s">
        <v>13226</v>
      </c>
      <c r="B4567" t="s">
        <v>13227</v>
      </c>
      <c r="C4567" t="s">
        <v>13228</v>
      </c>
      <c r="D4567" t="s">
        <v>15</v>
      </c>
      <c r="E4567" t="s">
        <v>16</v>
      </c>
      <c r="F4567" t="s">
        <v>17</v>
      </c>
      <c r="G4567" t="s">
        <v>19</v>
      </c>
      <c r="H4567">
        <f>Cleaned_Data!K4567</f>
        <v>1.63</v>
      </c>
      <c r="I4567" t="str">
        <f t="shared" si="213"/>
        <v>YES</v>
      </c>
      <c r="J4567">
        <f>Cleaned_Data!J4567</f>
        <v>8</v>
      </c>
      <c r="K4567" t="str">
        <f t="shared" si="214"/>
        <v>2024-01</v>
      </c>
      <c r="L4567">
        <f t="shared" si="215"/>
        <v>0</v>
      </c>
    </row>
    <row r="4568" spans="1:12">
      <c r="A4568" t="s">
        <v>13229</v>
      </c>
      <c r="B4568" t="s">
        <v>13230</v>
      </c>
      <c r="C4568" t="s">
        <v>13231</v>
      </c>
      <c r="D4568" t="s">
        <v>158</v>
      </c>
      <c r="E4568" t="s">
        <v>28</v>
      </c>
      <c r="F4568" t="s">
        <v>17</v>
      </c>
      <c r="G4568" t="s">
        <v>31</v>
      </c>
      <c r="H4568">
        <f>Cleaned_Data!K4568</f>
        <v>3.16</v>
      </c>
      <c r="I4568" t="str">
        <f t="shared" si="213"/>
        <v>YES</v>
      </c>
      <c r="J4568">
        <f>Cleaned_Data!J4568</f>
        <v>4</v>
      </c>
      <c r="K4568" t="str">
        <f t="shared" si="214"/>
        <v>2024-08</v>
      </c>
      <c r="L4568">
        <f t="shared" si="215"/>
        <v>0</v>
      </c>
    </row>
    <row r="4569" spans="1:12">
      <c r="A4569" t="s">
        <v>13232</v>
      </c>
      <c r="B4569" t="s">
        <v>13233</v>
      </c>
      <c r="C4569" t="s">
        <v>13234</v>
      </c>
      <c r="D4569" t="s">
        <v>15</v>
      </c>
      <c r="E4569" t="s">
        <v>16</v>
      </c>
      <c r="F4569" t="s">
        <v>41</v>
      </c>
      <c r="G4569" t="s">
        <v>19</v>
      </c>
      <c r="H4569">
        <f>Cleaned_Data!K4569</f>
        <v>7.52</v>
      </c>
      <c r="I4569" t="str">
        <f t="shared" si="213"/>
        <v>YES</v>
      </c>
      <c r="J4569">
        <f>Cleaned_Data!J4569</f>
        <v>8</v>
      </c>
      <c r="K4569" t="str">
        <f t="shared" si="214"/>
        <v>2024-01</v>
      </c>
      <c r="L4569">
        <f t="shared" si="215"/>
        <v>0</v>
      </c>
    </row>
    <row r="4570" spans="1:12">
      <c r="A4570" t="s">
        <v>13235</v>
      </c>
      <c r="B4570" t="s">
        <v>13236</v>
      </c>
      <c r="C4570" t="s">
        <v>13237</v>
      </c>
      <c r="D4570" t="s">
        <v>23</v>
      </c>
      <c r="E4570" t="s">
        <v>54</v>
      </c>
      <c r="F4570" t="s">
        <v>17</v>
      </c>
      <c r="G4570" t="s">
        <v>31</v>
      </c>
      <c r="H4570">
        <f>Cleaned_Data!K4570</f>
        <v>5.58</v>
      </c>
      <c r="I4570" t="str">
        <f t="shared" si="213"/>
        <v>YES</v>
      </c>
      <c r="J4570">
        <f>Cleaned_Data!J4570</f>
        <v>24</v>
      </c>
      <c r="K4570" t="str">
        <f t="shared" si="214"/>
        <v>2024-11</v>
      </c>
      <c r="L4570">
        <f t="shared" si="215"/>
        <v>0</v>
      </c>
    </row>
    <row r="4571" spans="1:12">
      <c r="A4571" t="s">
        <v>13238</v>
      </c>
      <c r="B4571" t="s">
        <v>13239</v>
      </c>
      <c r="C4571" t="s">
        <v>13240</v>
      </c>
      <c r="D4571" t="s">
        <v>15</v>
      </c>
      <c r="E4571" t="s">
        <v>28</v>
      </c>
      <c r="F4571" t="s">
        <v>36</v>
      </c>
      <c r="G4571" t="s">
        <v>19</v>
      </c>
      <c r="H4571">
        <f>Cleaned_Data!K4571</f>
        <v>2.06</v>
      </c>
      <c r="I4571" t="str">
        <f t="shared" si="213"/>
        <v>YES</v>
      </c>
      <c r="J4571">
        <f>Cleaned_Data!J4571</f>
        <v>8</v>
      </c>
      <c r="K4571" t="str">
        <f t="shared" si="214"/>
        <v>2024-06</v>
      </c>
      <c r="L4571">
        <f t="shared" si="215"/>
        <v>0</v>
      </c>
    </row>
    <row r="4572" spans="1:12">
      <c r="A4572" t="s">
        <v>13241</v>
      </c>
      <c r="B4572" t="s">
        <v>13242</v>
      </c>
      <c r="C4572" t="s">
        <v>13243</v>
      </c>
      <c r="D4572" t="s">
        <v>15</v>
      </c>
      <c r="E4572" t="s">
        <v>24</v>
      </c>
      <c r="F4572" t="s">
        <v>41</v>
      </c>
      <c r="G4572" t="s">
        <v>19</v>
      </c>
      <c r="H4572">
        <f>Cleaned_Data!K4572</f>
        <v>6.73</v>
      </c>
      <c r="I4572" t="str">
        <f t="shared" si="213"/>
        <v>YES</v>
      </c>
      <c r="J4572">
        <f>Cleaned_Data!J4572</f>
        <v>8</v>
      </c>
      <c r="K4572" t="str">
        <f t="shared" si="214"/>
        <v>2024-01</v>
      </c>
      <c r="L4572">
        <f t="shared" si="215"/>
        <v>0</v>
      </c>
    </row>
    <row r="4573" spans="1:12">
      <c r="A4573" t="s">
        <v>13244</v>
      </c>
      <c r="B4573" t="s">
        <v>13245</v>
      </c>
      <c r="C4573" t="s">
        <v>13246</v>
      </c>
      <c r="D4573" t="s">
        <v>23</v>
      </c>
      <c r="E4573" t="s">
        <v>54</v>
      </c>
      <c r="F4573" t="s">
        <v>17</v>
      </c>
      <c r="G4573" t="s">
        <v>19</v>
      </c>
      <c r="H4573">
        <f>Cleaned_Data!K4573</f>
        <v>11.89</v>
      </c>
      <c r="I4573" t="str">
        <f t="shared" si="213"/>
        <v>YES</v>
      </c>
      <c r="J4573">
        <f>Cleaned_Data!J4573</f>
        <v>24</v>
      </c>
      <c r="K4573" t="str">
        <f t="shared" si="214"/>
        <v>2024-10</v>
      </c>
      <c r="L4573">
        <f t="shared" si="215"/>
        <v>0</v>
      </c>
    </row>
    <row r="4574" spans="1:12">
      <c r="A4574" t="s">
        <v>13247</v>
      </c>
      <c r="B4574" t="s">
        <v>13248</v>
      </c>
      <c r="C4574" t="s">
        <v>13249</v>
      </c>
      <c r="D4574" t="s">
        <v>15</v>
      </c>
      <c r="E4574" t="s">
        <v>16</v>
      </c>
      <c r="F4574" t="s">
        <v>41</v>
      </c>
      <c r="G4574" t="s">
        <v>31</v>
      </c>
      <c r="H4574">
        <f>Cleaned_Data!K4574</f>
        <v>5.87</v>
      </c>
      <c r="I4574" t="str">
        <f t="shared" si="213"/>
        <v>YES</v>
      </c>
      <c r="J4574">
        <f>Cleaned_Data!J4574</f>
        <v>8</v>
      </c>
      <c r="K4574" t="str">
        <f t="shared" si="214"/>
        <v>2024-06</v>
      </c>
      <c r="L4574">
        <f t="shared" si="215"/>
        <v>0</v>
      </c>
    </row>
    <row r="4575" spans="1:12">
      <c r="A4575" t="s">
        <v>13250</v>
      </c>
      <c r="B4575" t="s">
        <v>13251</v>
      </c>
      <c r="C4575" t="s">
        <v>13252</v>
      </c>
      <c r="D4575" t="s">
        <v>23</v>
      </c>
      <c r="E4575" t="s">
        <v>24</v>
      </c>
      <c r="F4575" t="s">
        <v>41</v>
      </c>
      <c r="G4575" t="s">
        <v>19</v>
      </c>
      <c r="H4575">
        <f>Cleaned_Data!K4575</f>
        <v>16.23</v>
      </c>
      <c r="I4575" t="str">
        <f t="shared" si="213"/>
        <v>YES</v>
      </c>
      <c r="J4575">
        <f>Cleaned_Data!J4575</f>
        <v>24</v>
      </c>
      <c r="K4575" t="str">
        <f t="shared" si="214"/>
        <v>2024-06</v>
      </c>
      <c r="L4575">
        <f t="shared" si="215"/>
        <v>0</v>
      </c>
    </row>
    <row r="4576" spans="1:12">
      <c r="A4576" t="s">
        <v>13253</v>
      </c>
      <c r="B4576" t="s">
        <v>13254</v>
      </c>
      <c r="C4576" t="s">
        <v>13255</v>
      </c>
      <c r="D4576" t="s">
        <v>23</v>
      </c>
      <c r="E4576" t="s">
        <v>59</v>
      </c>
      <c r="F4576" t="s">
        <v>29</v>
      </c>
      <c r="G4576" t="s">
        <v>31</v>
      </c>
      <c r="H4576">
        <f>Cleaned_Data!K4576</f>
        <v>21.74</v>
      </c>
      <c r="I4576" t="str">
        <f t="shared" si="213"/>
        <v>YES</v>
      </c>
      <c r="J4576">
        <f>Cleaned_Data!J4576</f>
        <v>24</v>
      </c>
      <c r="K4576" t="str">
        <f t="shared" si="214"/>
        <v>2024-07</v>
      </c>
      <c r="L4576">
        <f t="shared" si="215"/>
        <v>0</v>
      </c>
    </row>
    <row r="4577" spans="1:12">
      <c r="A4577" t="s">
        <v>13256</v>
      </c>
      <c r="B4577" t="s">
        <v>13257</v>
      </c>
      <c r="C4577" t="s">
        <v>13258</v>
      </c>
      <c r="D4577" t="s">
        <v>23</v>
      </c>
      <c r="E4577" t="s">
        <v>16</v>
      </c>
      <c r="F4577" t="s">
        <v>29</v>
      </c>
      <c r="G4577" t="s">
        <v>31</v>
      </c>
      <c r="H4577">
        <f>Cleaned_Data!K4577</f>
        <v>4.6900000000000004</v>
      </c>
      <c r="I4577" t="str">
        <f t="shared" si="213"/>
        <v>YES</v>
      </c>
      <c r="J4577">
        <f>Cleaned_Data!J4577</f>
        <v>24</v>
      </c>
      <c r="K4577" t="str">
        <f t="shared" si="214"/>
        <v>2024-01</v>
      </c>
      <c r="L4577">
        <f t="shared" si="215"/>
        <v>0</v>
      </c>
    </row>
    <row r="4578" spans="1:12">
      <c r="A4578" t="s">
        <v>13259</v>
      </c>
      <c r="B4578" t="s">
        <v>13260</v>
      </c>
      <c r="C4578" t="s">
        <v>13261</v>
      </c>
      <c r="D4578" t="s">
        <v>35</v>
      </c>
      <c r="E4578" t="s">
        <v>16</v>
      </c>
      <c r="F4578" t="s">
        <v>60</v>
      </c>
      <c r="G4578" t="s">
        <v>19</v>
      </c>
      <c r="H4578">
        <f>Cleaned_Data!K4578</f>
        <v>16.5</v>
      </c>
      <c r="I4578" t="str">
        <f t="shared" si="213"/>
        <v>YES</v>
      </c>
      <c r="J4578">
        <f>Cleaned_Data!J4578</f>
        <v>48</v>
      </c>
      <c r="K4578" t="str">
        <f t="shared" si="214"/>
        <v>2024-07</v>
      </c>
      <c r="L4578">
        <f t="shared" si="215"/>
        <v>0</v>
      </c>
    </row>
    <row r="4579" spans="1:12">
      <c r="A4579" t="s">
        <v>13262</v>
      </c>
      <c r="B4579" t="s">
        <v>13263</v>
      </c>
      <c r="C4579" t="s">
        <v>13264</v>
      </c>
      <c r="D4579" t="s">
        <v>23</v>
      </c>
      <c r="E4579" t="s">
        <v>24</v>
      </c>
      <c r="F4579" t="s">
        <v>41</v>
      </c>
      <c r="G4579" t="s">
        <v>19</v>
      </c>
      <c r="H4579">
        <f>Cleaned_Data!K4579</f>
        <v>6.53</v>
      </c>
      <c r="I4579" t="str">
        <f t="shared" si="213"/>
        <v>YES</v>
      </c>
      <c r="J4579">
        <f>Cleaned_Data!J4579</f>
        <v>24</v>
      </c>
      <c r="K4579" t="str">
        <f t="shared" si="214"/>
        <v>2024-01</v>
      </c>
      <c r="L4579">
        <f t="shared" si="215"/>
        <v>0</v>
      </c>
    </row>
    <row r="4580" spans="1:12">
      <c r="A4580" t="s">
        <v>13265</v>
      </c>
      <c r="B4580" t="s">
        <v>13266</v>
      </c>
      <c r="C4580" t="s">
        <v>13267</v>
      </c>
      <c r="D4580" t="s">
        <v>35</v>
      </c>
      <c r="E4580" t="s">
        <v>28</v>
      </c>
      <c r="F4580" t="s">
        <v>41</v>
      </c>
      <c r="G4580" t="s">
        <v>31</v>
      </c>
      <c r="H4580">
        <f>Cleaned_Data!K4580</f>
        <v>24.58</v>
      </c>
      <c r="I4580" t="str">
        <f t="shared" si="213"/>
        <v>YES</v>
      </c>
      <c r="J4580">
        <f>Cleaned_Data!J4580</f>
        <v>48</v>
      </c>
      <c r="K4580" t="str">
        <f t="shared" si="214"/>
        <v>2024-01</v>
      </c>
      <c r="L4580">
        <f t="shared" si="215"/>
        <v>0</v>
      </c>
    </row>
    <row r="4581" spans="1:12">
      <c r="A4581" t="s">
        <v>13268</v>
      </c>
      <c r="B4581" t="s">
        <v>13269</v>
      </c>
      <c r="C4581" t="s">
        <v>13270</v>
      </c>
      <c r="D4581" t="s">
        <v>158</v>
      </c>
      <c r="E4581" t="s">
        <v>59</v>
      </c>
      <c r="F4581" t="s">
        <v>29</v>
      </c>
      <c r="G4581" t="s">
        <v>31</v>
      </c>
      <c r="H4581">
        <f>Cleaned_Data!K4581</f>
        <v>1.0900000000000001</v>
      </c>
      <c r="I4581" t="str">
        <f t="shared" si="213"/>
        <v>YES</v>
      </c>
      <c r="J4581">
        <f>Cleaned_Data!J4581</f>
        <v>4</v>
      </c>
      <c r="K4581" t="str">
        <f t="shared" si="214"/>
        <v>2024-06</v>
      </c>
      <c r="L4581">
        <f t="shared" si="215"/>
        <v>0</v>
      </c>
    </row>
    <row r="4582" spans="1:12">
      <c r="A4582" t="s">
        <v>13271</v>
      </c>
      <c r="B4582" t="s">
        <v>13272</v>
      </c>
      <c r="C4582" t="s">
        <v>13273</v>
      </c>
      <c r="D4582" t="s">
        <v>23</v>
      </c>
      <c r="E4582" t="s">
        <v>54</v>
      </c>
      <c r="F4582" t="s">
        <v>17</v>
      </c>
      <c r="G4582" t="s">
        <v>31</v>
      </c>
      <c r="H4582">
        <f>Cleaned_Data!K4582</f>
        <v>31.68</v>
      </c>
      <c r="I4582" t="str">
        <f t="shared" si="213"/>
        <v>NO</v>
      </c>
      <c r="J4582">
        <f>Cleaned_Data!J4582</f>
        <v>24</v>
      </c>
      <c r="K4582" t="str">
        <f t="shared" si="214"/>
        <v>2024-03</v>
      </c>
      <c r="L4582">
        <f t="shared" si="215"/>
        <v>7.68</v>
      </c>
    </row>
    <row r="4583" spans="1:12">
      <c r="A4583" t="s">
        <v>13274</v>
      </c>
      <c r="B4583" t="s">
        <v>13275</v>
      </c>
      <c r="C4583" t="s">
        <v>13276</v>
      </c>
      <c r="D4583" t="s">
        <v>158</v>
      </c>
      <c r="E4583" t="s">
        <v>24</v>
      </c>
      <c r="F4583" t="s">
        <v>29</v>
      </c>
      <c r="G4583" t="s">
        <v>19</v>
      </c>
      <c r="H4583">
        <f>Cleaned_Data!K4583</f>
        <v>3.64</v>
      </c>
      <c r="I4583" t="str">
        <f t="shared" si="213"/>
        <v>YES</v>
      </c>
      <c r="J4583">
        <f>Cleaned_Data!J4583</f>
        <v>4</v>
      </c>
      <c r="K4583" t="str">
        <f t="shared" si="214"/>
        <v>2024-06</v>
      </c>
      <c r="L4583">
        <f t="shared" si="215"/>
        <v>0</v>
      </c>
    </row>
    <row r="4584" spans="1:12">
      <c r="A4584" t="s">
        <v>13277</v>
      </c>
      <c r="B4584" t="s">
        <v>13278</v>
      </c>
      <c r="D4584" t="s">
        <v>23</v>
      </c>
      <c r="E4584" t="s">
        <v>16</v>
      </c>
      <c r="F4584" t="s">
        <v>17</v>
      </c>
      <c r="G4584" t="s">
        <v>46</v>
      </c>
      <c r="H4584">
        <f>Cleaned_Data!K4584</f>
        <v>0</v>
      </c>
      <c r="I4584" t="str">
        <f t="shared" si="213"/>
        <v/>
      </c>
      <c r="J4584">
        <f>Cleaned_Data!J4584</f>
        <v>24</v>
      </c>
      <c r="K4584" t="str">
        <f t="shared" si="214"/>
        <v>2024-03</v>
      </c>
      <c r="L4584">
        <f t="shared" si="215"/>
        <v>0</v>
      </c>
    </row>
    <row r="4585" spans="1:12">
      <c r="A4585" t="s">
        <v>13279</v>
      </c>
      <c r="B4585" t="s">
        <v>13280</v>
      </c>
      <c r="C4585" t="s">
        <v>13281</v>
      </c>
      <c r="D4585" t="s">
        <v>23</v>
      </c>
      <c r="E4585" t="s">
        <v>59</v>
      </c>
      <c r="F4585" t="s">
        <v>41</v>
      </c>
      <c r="G4585" t="s">
        <v>19</v>
      </c>
      <c r="H4585">
        <f>Cleaned_Data!K4585</f>
        <v>17.649999999999999</v>
      </c>
      <c r="I4585" t="str">
        <f t="shared" si="213"/>
        <v>YES</v>
      </c>
      <c r="J4585">
        <f>Cleaned_Data!J4585</f>
        <v>24</v>
      </c>
      <c r="K4585" t="str">
        <f t="shared" si="214"/>
        <v>2024-09</v>
      </c>
      <c r="L4585">
        <f t="shared" si="215"/>
        <v>0</v>
      </c>
    </row>
    <row r="4586" spans="1:12">
      <c r="A4586" t="s">
        <v>13282</v>
      </c>
      <c r="B4586" t="s">
        <v>13283</v>
      </c>
      <c r="D4586" t="s">
        <v>23</v>
      </c>
      <c r="E4586" t="s">
        <v>54</v>
      </c>
      <c r="F4586" t="s">
        <v>41</v>
      </c>
      <c r="G4586" t="s">
        <v>63</v>
      </c>
      <c r="H4586">
        <f>Cleaned_Data!K4586</f>
        <v>0</v>
      </c>
      <c r="I4586" t="str">
        <f t="shared" si="213"/>
        <v/>
      </c>
      <c r="J4586">
        <f>Cleaned_Data!J4586</f>
        <v>24</v>
      </c>
      <c r="K4586" t="str">
        <f t="shared" si="214"/>
        <v>2024-03</v>
      </c>
      <c r="L4586">
        <f t="shared" si="215"/>
        <v>0</v>
      </c>
    </row>
    <row r="4587" spans="1:12">
      <c r="A4587" t="s">
        <v>13284</v>
      </c>
      <c r="B4587" t="s">
        <v>13285</v>
      </c>
      <c r="C4587" t="s">
        <v>13286</v>
      </c>
      <c r="D4587" t="s">
        <v>15</v>
      </c>
      <c r="E4587" t="s">
        <v>28</v>
      </c>
      <c r="F4587" t="s">
        <v>17</v>
      </c>
      <c r="G4587" t="s">
        <v>31</v>
      </c>
      <c r="H4587">
        <f>Cleaned_Data!K4587</f>
        <v>5.45</v>
      </c>
      <c r="I4587" t="str">
        <f t="shared" si="213"/>
        <v>YES</v>
      </c>
      <c r="J4587">
        <f>Cleaned_Data!J4587</f>
        <v>8</v>
      </c>
      <c r="K4587" t="str">
        <f t="shared" si="214"/>
        <v>2024-10</v>
      </c>
      <c r="L4587">
        <f t="shared" si="215"/>
        <v>0</v>
      </c>
    </row>
    <row r="4588" spans="1:12">
      <c r="A4588" t="s">
        <v>13287</v>
      </c>
      <c r="B4588" t="s">
        <v>13288</v>
      </c>
      <c r="C4588" t="s">
        <v>13289</v>
      </c>
      <c r="D4588" t="s">
        <v>23</v>
      </c>
      <c r="E4588" t="s">
        <v>16</v>
      </c>
      <c r="F4588" t="s">
        <v>17</v>
      </c>
      <c r="G4588" t="s">
        <v>19</v>
      </c>
      <c r="H4588">
        <f>Cleaned_Data!K4588</f>
        <v>20.100000000000001</v>
      </c>
      <c r="I4588" t="str">
        <f t="shared" si="213"/>
        <v>YES</v>
      </c>
      <c r="J4588">
        <f>Cleaned_Data!J4588</f>
        <v>24</v>
      </c>
      <c r="K4588" t="str">
        <f t="shared" si="214"/>
        <v>2024-04</v>
      </c>
      <c r="L4588">
        <f t="shared" si="215"/>
        <v>0</v>
      </c>
    </row>
    <row r="4589" spans="1:12">
      <c r="A4589" t="s">
        <v>13290</v>
      </c>
      <c r="B4589" t="s">
        <v>13291</v>
      </c>
      <c r="C4589" t="s">
        <v>13292</v>
      </c>
      <c r="D4589" t="s">
        <v>23</v>
      </c>
      <c r="E4589" t="s">
        <v>24</v>
      </c>
      <c r="F4589" t="s">
        <v>60</v>
      </c>
      <c r="G4589" t="s">
        <v>19</v>
      </c>
      <c r="H4589">
        <f>Cleaned_Data!K4589</f>
        <v>22.05</v>
      </c>
      <c r="I4589" t="str">
        <f t="shared" si="213"/>
        <v>YES</v>
      </c>
      <c r="J4589">
        <f>Cleaned_Data!J4589</f>
        <v>24</v>
      </c>
      <c r="K4589" t="str">
        <f t="shared" si="214"/>
        <v>2024-11</v>
      </c>
      <c r="L4589">
        <f t="shared" si="215"/>
        <v>0</v>
      </c>
    </row>
    <row r="4590" spans="1:12">
      <c r="A4590" t="s">
        <v>13293</v>
      </c>
      <c r="B4590" t="s">
        <v>13294</v>
      </c>
      <c r="C4590" t="s">
        <v>13295</v>
      </c>
      <c r="D4590" t="s">
        <v>15</v>
      </c>
      <c r="E4590" t="s">
        <v>28</v>
      </c>
      <c r="F4590" t="s">
        <v>36</v>
      </c>
      <c r="G4590" t="s">
        <v>19</v>
      </c>
      <c r="H4590">
        <f>Cleaned_Data!K4590</f>
        <v>4.74</v>
      </c>
      <c r="I4590" t="str">
        <f t="shared" si="213"/>
        <v>YES</v>
      </c>
      <c r="J4590">
        <f>Cleaned_Data!J4590</f>
        <v>8</v>
      </c>
      <c r="K4590" t="str">
        <f t="shared" si="214"/>
        <v>2024-09</v>
      </c>
      <c r="L4590">
        <f t="shared" si="215"/>
        <v>0</v>
      </c>
    </row>
    <row r="4591" spans="1:12">
      <c r="A4591" t="s">
        <v>13296</v>
      </c>
      <c r="B4591" t="s">
        <v>13297</v>
      </c>
      <c r="C4591" t="s">
        <v>13298</v>
      </c>
      <c r="D4591" t="s">
        <v>35</v>
      </c>
      <c r="E4591" t="s">
        <v>28</v>
      </c>
      <c r="F4591" t="s">
        <v>29</v>
      </c>
      <c r="G4591" t="s">
        <v>19</v>
      </c>
      <c r="H4591">
        <f>Cleaned_Data!K4591</f>
        <v>107.77</v>
      </c>
      <c r="I4591" t="str">
        <f t="shared" si="213"/>
        <v>NO</v>
      </c>
      <c r="J4591">
        <f>Cleaned_Data!J4591</f>
        <v>48</v>
      </c>
      <c r="K4591" t="str">
        <f t="shared" si="214"/>
        <v>2024-02</v>
      </c>
      <c r="L4591">
        <f t="shared" si="215"/>
        <v>59.769999999999996</v>
      </c>
    </row>
    <row r="4592" spans="1:12">
      <c r="A4592" t="s">
        <v>13299</v>
      </c>
      <c r="B4592" t="s">
        <v>13300</v>
      </c>
      <c r="C4592" t="s">
        <v>13301</v>
      </c>
      <c r="D4592" t="s">
        <v>23</v>
      </c>
      <c r="E4592" t="s">
        <v>59</v>
      </c>
      <c r="F4592" t="s">
        <v>17</v>
      </c>
      <c r="G4592" t="s">
        <v>19</v>
      </c>
      <c r="H4592">
        <f>Cleaned_Data!K4592</f>
        <v>20.57</v>
      </c>
      <c r="I4592" t="str">
        <f t="shared" si="213"/>
        <v>YES</v>
      </c>
      <c r="J4592">
        <f>Cleaned_Data!J4592</f>
        <v>24</v>
      </c>
      <c r="K4592" t="str">
        <f t="shared" si="214"/>
        <v>2024-12</v>
      </c>
      <c r="L4592">
        <f t="shared" si="215"/>
        <v>0</v>
      </c>
    </row>
    <row r="4593" spans="1:12">
      <c r="A4593" t="s">
        <v>13302</v>
      </c>
      <c r="B4593" t="s">
        <v>13303</v>
      </c>
      <c r="C4593" t="s">
        <v>13304</v>
      </c>
      <c r="D4593" t="s">
        <v>158</v>
      </c>
      <c r="E4593" t="s">
        <v>59</v>
      </c>
      <c r="F4593" t="s">
        <v>17</v>
      </c>
      <c r="G4593" t="s">
        <v>19</v>
      </c>
      <c r="H4593">
        <f>Cleaned_Data!K4593</f>
        <v>1.51</v>
      </c>
      <c r="I4593" t="str">
        <f t="shared" si="213"/>
        <v>YES</v>
      </c>
      <c r="J4593">
        <f>Cleaned_Data!J4593</f>
        <v>4</v>
      </c>
      <c r="K4593" t="str">
        <f t="shared" si="214"/>
        <v>2024-03</v>
      </c>
      <c r="L4593">
        <f t="shared" si="215"/>
        <v>0</v>
      </c>
    </row>
    <row r="4594" spans="1:12">
      <c r="A4594" t="s">
        <v>13305</v>
      </c>
      <c r="B4594" t="s">
        <v>13306</v>
      </c>
      <c r="D4594" t="s">
        <v>158</v>
      </c>
      <c r="E4594" t="s">
        <v>59</v>
      </c>
      <c r="F4594" t="s">
        <v>60</v>
      </c>
      <c r="G4594" t="s">
        <v>63</v>
      </c>
      <c r="H4594">
        <f>Cleaned_Data!K4594</f>
        <v>0</v>
      </c>
      <c r="I4594" t="str">
        <f t="shared" si="213"/>
        <v/>
      </c>
      <c r="J4594">
        <f>Cleaned_Data!J4594</f>
        <v>4</v>
      </c>
      <c r="K4594" t="str">
        <f t="shared" si="214"/>
        <v>2024-08</v>
      </c>
      <c r="L4594">
        <f t="shared" si="215"/>
        <v>0</v>
      </c>
    </row>
    <row r="4595" spans="1:12">
      <c r="A4595" t="s">
        <v>13307</v>
      </c>
      <c r="B4595" t="s">
        <v>13308</v>
      </c>
      <c r="C4595" t="s">
        <v>13309</v>
      </c>
      <c r="D4595" t="s">
        <v>23</v>
      </c>
      <c r="E4595" t="s">
        <v>28</v>
      </c>
      <c r="F4595" t="s">
        <v>60</v>
      </c>
      <c r="G4595" t="s">
        <v>31</v>
      </c>
      <c r="H4595">
        <f>Cleaned_Data!K4595</f>
        <v>4.28</v>
      </c>
      <c r="I4595" t="str">
        <f t="shared" si="213"/>
        <v>YES</v>
      </c>
      <c r="J4595">
        <f>Cleaned_Data!J4595</f>
        <v>24</v>
      </c>
      <c r="K4595" t="str">
        <f t="shared" si="214"/>
        <v>2024-05</v>
      </c>
      <c r="L4595">
        <f t="shared" si="215"/>
        <v>0</v>
      </c>
    </row>
    <row r="4596" spans="1:12">
      <c r="A4596" t="s">
        <v>13310</v>
      </c>
      <c r="B4596" t="s">
        <v>13311</v>
      </c>
      <c r="C4596" t="s">
        <v>13312</v>
      </c>
      <c r="D4596" t="s">
        <v>23</v>
      </c>
      <c r="E4596" t="s">
        <v>24</v>
      </c>
      <c r="F4596" t="s">
        <v>41</v>
      </c>
      <c r="G4596" t="s">
        <v>31</v>
      </c>
      <c r="H4596">
        <f>Cleaned_Data!K4596</f>
        <v>13.34</v>
      </c>
      <c r="I4596" t="str">
        <f t="shared" si="213"/>
        <v>YES</v>
      </c>
      <c r="J4596">
        <f>Cleaned_Data!J4596</f>
        <v>24</v>
      </c>
      <c r="K4596" t="str">
        <f t="shared" si="214"/>
        <v>2024-10</v>
      </c>
      <c r="L4596">
        <f t="shared" si="215"/>
        <v>0</v>
      </c>
    </row>
    <row r="4597" spans="1:12">
      <c r="A4597" t="s">
        <v>13313</v>
      </c>
      <c r="B4597" t="s">
        <v>13314</v>
      </c>
      <c r="C4597" t="s">
        <v>13315</v>
      </c>
      <c r="D4597" t="s">
        <v>15</v>
      </c>
      <c r="E4597" t="s">
        <v>28</v>
      </c>
      <c r="F4597" t="s">
        <v>36</v>
      </c>
      <c r="G4597" t="s">
        <v>31</v>
      </c>
      <c r="H4597">
        <f>Cleaned_Data!K4597</f>
        <v>23.11</v>
      </c>
      <c r="I4597" t="str">
        <f t="shared" si="213"/>
        <v>NO</v>
      </c>
      <c r="J4597">
        <f>Cleaned_Data!J4597</f>
        <v>8</v>
      </c>
      <c r="K4597" t="str">
        <f t="shared" si="214"/>
        <v>2024-08</v>
      </c>
      <c r="L4597">
        <f t="shared" si="215"/>
        <v>15.11</v>
      </c>
    </row>
    <row r="4598" spans="1:12">
      <c r="A4598" t="s">
        <v>13316</v>
      </c>
      <c r="B4598" t="s">
        <v>13317</v>
      </c>
      <c r="C4598" t="s">
        <v>13318</v>
      </c>
      <c r="D4598" t="s">
        <v>23</v>
      </c>
      <c r="E4598" t="s">
        <v>16</v>
      </c>
      <c r="F4598" t="s">
        <v>60</v>
      </c>
      <c r="G4598" t="s">
        <v>19</v>
      </c>
      <c r="H4598">
        <f>Cleaned_Data!K4598</f>
        <v>15.68</v>
      </c>
      <c r="I4598" t="str">
        <f t="shared" si="213"/>
        <v>YES</v>
      </c>
      <c r="J4598">
        <f>Cleaned_Data!J4598</f>
        <v>24</v>
      </c>
      <c r="K4598" t="str">
        <f t="shared" si="214"/>
        <v>2024-01</v>
      </c>
      <c r="L4598">
        <f t="shared" si="215"/>
        <v>0</v>
      </c>
    </row>
    <row r="4599" spans="1:12">
      <c r="A4599" t="s">
        <v>13319</v>
      </c>
      <c r="B4599" t="s">
        <v>13320</v>
      </c>
      <c r="C4599" t="s">
        <v>13321</v>
      </c>
      <c r="D4599" t="s">
        <v>35</v>
      </c>
      <c r="E4599" t="s">
        <v>54</v>
      </c>
      <c r="F4599" t="s">
        <v>41</v>
      </c>
      <c r="G4599" t="s">
        <v>19</v>
      </c>
      <c r="H4599">
        <f>Cleaned_Data!K4599</f>
        <v>5.47</v>
      </c>
      <c r="I4599" t="str">
        <f t="shared" si="213"/>
        <v>YES</v>
      </c>
      <c r="J4599">
        <f>Cleaned_Data!J4599</f>
        <v>48</v>
      </c>
      <c r="K4599" t="str">
        <f t="shared" si="214"/>
        <v>2024-06</v>
      </c>
      <c r="L4599">
        <f t="shared" si="215"/>
        <v>0</v>
      </c>
    </row>
    <row r="4600" spans="1:12">
      <c r="A4600" t="s">
        <v>13322</v>
      </c>
      <c r="B4600" t="s">
        <v>13323</v>
      </c>
      <c r="C4600" t="s">
        <v>13324</v>
      </c>
      <c r="D4600" t="s">
        <v>158</v>
      </c>
      <c r="E4600" t="s">
        <v>28</v>
      </c>
      <c r="F4600" t="s">
        <v>41</v>
      </c>
      <c r="G4600" t="s">
        <v>19</v>
      </c>
      <c r="H4600">
        <f>Cleaned_Data!K4600</f>
        <v>3.61</v>
      </c>
      <c r="I4600" t="str">
        <f t="shared" si="213"/>
        <v>YES</v>
      </c>
      <c r="J4600">
        <f>Cleaned_Data!J4600</f>
        <v>4</v>
      </c>
      <c r="K4600" t="str">
        <f t="shared" si="214"/>
        <v>2024-05</v>
      </c>
      <c r="L4600">
        <f t="shared" si="215"/>
        <v>0</v>
      </c>
    </row>
    <row r="4601" spans="1:12">
      <c r="A4601" t="s">
        <v>13325</v>
      </c>
      <c r="B4601" t="s">
        <v>13326</v>
      </c>
      <c r="C4601" t="s">
        <v>13327</v>
      </c>
      <c r="D4601" t="s">
        <v>15</v>
      </c>
      <c r="E4601" t="s">
        <v>24</v>
      </c>
      <c r="F4601" t="s">
        <v>29</v>
      </c>
      <c r="G4601" t="s">
        <v>19</v>
      </c>
      <c r="H4601">
        <f>Cleaned_Data!K4601</f>
        <v>5.0999999999999996</v>
      </c>
      <c r="I4601" t="str">
        <f t="shared" si="213"/>
        <v>YES</v>
      </c>
      <c r="J4601">
        <f>Cleaned_Data!J4601</f>
        <v>8</v>
      </c>
      <c r="K4601" t="str">
        <f t="shared" si="214"/>
        <v>2024-06</v>
      </c>
      <c r="L4601">
        <f t="shared" si="215"/>
        <v>0</v>
      </c>
    </row>
    <row r="4602" spans="1:12">
      <c r="A4602" t="s">
        <v>13328</v>
      </c>
      <c r="B4602" t="s">
        <v>13329</v>
      </c>
      <c r="C4602" t="s">
        <v>13330</v>
      </c>
      <c r="D4602" t="s">
        <v>15</v>
      </c>
      <c r="E4602" t="s">
        <v>54</v>
      </c>
      <c r="F4602" t="s">
        <v>17</v>
      </c>
      <c r="G4602" t="s">
        <v>19</v>
      </c>
      <c r="H4602">
        <f>Cleaned_Data!K4602</f>
        <v>9.35</v>
      </c>
      <c r="I4602" t="str">
        <f t="shared" si="213"/>
        <v>NO</v>
      </c>
      <c r="J4602">
        <f>Cleaned_Data!J4602</f>
        <v>8</v>
      </c>
      <c r="K4602" t="str">
        <f t="shared" si="214"/>
        <v>2024-04</v>
      </c>
      <c r="L4602">
        <f t="shared" si="215"/>
        <v>1.3499999999999996</v>
      </c>
    </row>
    <row r="4603" spans="1:12">
      <c r="A4603" t="s">
        <v>13331</v>
      </c>
      <c r="B4603" t="s">
        <v>13332</v>
      </c>
      <c r="C4603" t="s">
        <v>13333</v>
      </c>
      <c r="D4603" t="s">
        <v>23</v>
      </c>
      <c r="E4603" t="s">
        <v>28</v>
      </c>
      <c r="F4603" t="s">
        <v>41</v>
      </c>
      <c r="G4603" t="s">
        <v>19</v>
      </c>
      <c r="H4603">
        <f>Cleaned_Data!K4603</f>
        <v>5.33</v>
      </c>
      <c r="I4603" t="str">
        <f t="shared" si="213"/>
        <v>YES</v>
      </c>
      <c r="J4603">
        <f>Cleaned_Data!J4603</f>
        <v>24</v>
      </c>
      <c r="K4603" t="str">
        <f t="shared" si="214"/>
        <v>2024-02</v>
      </c>
      <c r="L4603">
        <f t="shared" si="215"/>
        <v>0</v>
      </c>
    </row>
    <row r="4604" spans="1:12">
      <c r="A4604" t="s">
        <v>13334</v>
      </c>
      <c r="B4604" t="s">
        <v>13335</v>
      </c>
      <c r="C4604" t="s">
        <v>13336</v>
      </c>
      <c r="D4604" t="s">
        <v>15</v>
      </c>
      <c r="E4604" t="s">
        <v>24</v>
      </c>
      <c r="F4604" t="s">
        <v>36</v>
      </c>
      <c r="G4604" t="s">
        <v>31</v>
      </c>
      <c r="H4604">
        <f>Cleaned_Data!K4604</f>
        <v>7.01</v>
      </c>
      <c r="I4604" t="str">
        <f t="shared" si="213"/>
        <v>YES</v>
      </c>
      <c r="J4604">
        <f>Cleaned_Data!J4604</f>
        <v>8</v>
      </c>
      <c r="K4604" t="str">
        <f t="shared" si="214"/>
        <v>2024-11</v>
      </c>
      <c r="L4604">
        <f t="shared" si="215"/>
        <v>0</v>
      </c>
    </row>
    <row r="4605" spans="1:12">
      <c r="A4605" t="s">
        <v>13337</v>
      </c>
      <c r="B4605" t="s">
        <v>13338</v>
      </c>
      <c r="C4605" t="s">
        <v>13339</v>
      </c>
      <c r="D4605" t="s">
        <v>15</v>
      </c>
      <c r="E4605" t="s">
        <v>16</v>
      </c>
      <c r="F4605" t="s">
        <v>29</v>
      </c>
      <c r="G4605" t="s">
        <v>31</v>
      </c>
      <c r="H4605">
        <f>Cleaned_Data!K4605</f>
        <v>0.81</v>
      </c>
      <c r="I4605" t="str">
        <f t="shared" si="213"/>
        <v>YES</v>
      </c>
      <c r="J4605">
        <f>Cleaned_Data!J4605</f>
        <v>8</v>
      </c>
      <c r="K4605" t="str">
        <f t="shared" si="214"/>
        <v>2024-05</v>
      </c>
      <c r="L4605">
        <f t="shared" si="215"/>
        <v>0</v>
      </c>
    </row>
    <row r="4606" spans="1:12">
      <c r="A4606" t="s">
        <v>13340</v>
      </c>
      <c r="B4606" t="s">
        <v>13341</v>
      </c>
      <c r="C4606" t="s">
        <v>13342</v>
      </c>
      <c r="D4606" t="s">
        <v>158</v>
      </c>
      <c r="E4606" t="s">
        <v>28</v>
      </c>
      <c r="F4606" t="s">
        <v>41</v>
      </c>
      <c r="G4606" t="s">
        <v>19</v>
      </c>
      <c r="H4606">
        <f>Cleaned_Data!K4606</f>
        <v>0.6</v>
      </c>
      <c r="I4606" t="str">
        <f t="shared" si="213"/>
        <v>YES</v>
      </c>
      <c r="J4606">
        <f>Cleaned_Data!J4606</f>
        <v>4</v>
      </c>
      <c r="K4606" t="str">
        <f t="shared" si="214"/>
        <v>2024-06</v>
      </c>
      <c r="L4606">
        <f t="shared" si="215"/>
        <v>0</v>
      </c>
    </row>
    <row r="4607" spans="1:12">
      <c r="A4607" t="s">
        <v>13343</v>
      </c>
      <c r="B4607" t="s">
        <v>13344</v>
      </c>
      <c r="C4607" t="s">
        <v>13345</v>
      </c>
      <c r="D4607" t="s">
        <v>158</v>
      </c>
      <c r="E4607" t="s">
        <v>28</v>
      </c>
      <c r="F4607" t="s">
        <v>36</v>
      </c>
      <c r="G4607" t="s">
        <v>19</v>
      </c>
      <c r="H4607">
        <f>Cleaned_Data!K4607</f>
        <v>2.64</v>
      </c>
      <c r="I4607" t="str">
        <f t="shared" si="213"/>
        <v>YES</v>
      </c>
      <c r="J4607">
        <f>Cleaned_Data!J4607</f>
        <v>4</v>
      </c>
      <c r="K4607" t="str">
        <f t="shared" si="214"/>
        <v>2024-12</v>
      </c>
      <c r="L4607">
        <f t="shared" si="215"/>
        <v>0</v>
      </c>
    </row>
    <row r="4608" spans="1:12">
      <c r="A4608" t="s">
        <v>13346</v>
      </c>
      <c r="B4608" t="s">
        <v>13347</v>
      </c>
      <c r="D4608" t="s">
        <v>23</v>
      </c>
      <c r="E4608" t="s">
        <v>24</v>
      </c>
      <c r="F4608" t="s">
        <v>41</v>
      </c>
      <c r="G4608" t="s">
        <v>63</v>
      </c>
      <c r="H4608">
        <f>Cleaned_Data!K4608</f>
        <v>0</v>
      </c>
      <c r="I4608" t="str">
        <f t="shared" si="213"/>
        <v/>
      </c>
      <c r="J4608">
        <f>Cleaned_Data!J4608</f>
        <v>24</v>
      </c>
      <c r="K4608" t="str">
        <f t="shared" si="214"/>
        <v>2024-11</v>
      </c>
      <c r="L4608">
        <f t="shared" si="215"/>
        <v>0</v>
      </c>
    </row>
    <row r="4609" spans="1:12">
      <c r="A4609" t="s">
        <v>13348</v>
      </c>
      <c r="B4609" t="s">
        <v>13349</v>
      </c>
      <c r="C4609" t="s">
        <v>13350</v>
      </c>
      <c r="D4609" t="s">
        <v>158</v>
      </c>
      <c r="E4609" t="s">
        <v>24</v>
      </c>
      <c r="F4609" t="s">
        <v>41</v>
      </c>
      <c r="G4609" t="s">
        <v>19</v>
      </c>
      <c r="H4609">
        <f>Cleaned_Data!K4609</f>
        <v>1.49</v>
      </c>
      <c r="I4609" t="str">
        <f t="shared" si="213"/>
        <v>YES</v>
      </c>
      <c r="J4609">
        <f>Cleaned_Data!J4609</f>
        <v>4</v>
      </c>
      <c r="K4609" t="str">
        <f t="shared" si="214"/>
        <v>2024-04</v>
      </c>
      <c r="L4609">
        <f t="shared" si="215"/>
        <v>0</v>
      </c>
    </row>
    <row r="4610" spans="1:12">
      <c r="A4610" t="s">
        <v>13351</v>
      </c>
      <c r="B4610" t="s">
        <v>13352</v>
      </c>
      <c r="C4610" t="s">
        <v>13353</v>
      </c>
      <c r="D4610" t="s">
        <v>15</v>
      </c>
      <c r="E4610" t="s">
        <v>16</v>
      </c>
      <c r="F4610" t="s">
        <v>36</v>
      </c>
      <c r="G4610" t="s">
        <v>19</v>
      </c>
      <c r="H4610">
        <f>Cleaned_Data!K4610</f>
        <v>22.61</v>
      </c>
      <c r="I4610" t="str">
        <f t="shared" ref="I4610:I4673" si="216">IF(OR(G4610="Resolved", G4610="Closed"), IF(AND(H4610&lt;&gt;"", H4610&lt;=J4610), "YES", "NO"), "")</f>
        <v>NO</v>
      </c>
      <c r="J4610">
        <f>Cleaned_Data!J4610</f>
        <v>8</v>
      </c>
      <c r="K4610" t="str">
        <f t="shared" ref="K4610:K4673" si="217">LEFT(B4610, 7)</f>
        <v>2024-12</v>
      </c>
      <c r="L4610">
        <f t="shared" ref="L4610:L4673" si="218">IF(I4610="NO", H4610-J4610, 0)</f>
        <v>14.61</v>
      </c>
    </row>
    <row r="4611" spans="1:12">
      <c r="A4611" t="s">
        <v>13354</v>
      </c>
      <c r="B4611" t="s">
        <v>13355</v>
      </c>
      <c r="C4611" t="s">
        <v>13356</v>
      </c>
      <c r="D4611" t="s">
        <v>15</v>
      </c>
      <c r="E4611" t="s">
        <v>28</v>
      </c>
      <c r="F4611" t="s">
        <v>17</v>
      </c>
      <c r="G4611" t="s">
        <v>19</v>
      </c>
      <c r="H4611">
        <f>Cleaned_Data!K4611</f>
        <v>6.48</v>
      </c>
      <c r="I4611" t="str">
        <f t="shared" si="216"/>
        <v>YES</v>
      </c>
      <c r="J4611">
        <f>Cleaned_Data!J4611</f>
        <v>8</v>
      </c>
      <c r="K4611" t="str">
        <f t="shared" si="217"/>
        <v>2024-12</v>
      </c>
      <c r="L4611">
        <f t="shared" si="218"/>
        <v>0</v>
      </c>
    </row>
    <row r="4612" spans="1:12">
      <c r="A4612" t="s">
        <v>13357</v>
      </c>
      <c r="B4612" t="s">
        <v>13358</v>
      </c>
      <c r="C4612" t="s">
        <v>13359</v>
      </c>
      <c r="D4612" t="s">
        <v>158</v>
      </c>
      <c r="E4612" t="s">
        <v>59</v>
      </c>
      <c r="F4612" t="s">
        <v>41</v>
      </c>
      <c r="G4612" t="s">
        <v>31</v>
      </c>
      <c r="H4612">
        <f>Cleaned_Data!K4612</f>
        <v>0.97</v>
      </c>
      <c r="I4612" t="str">
        <f t="shared" si="216"/>
        <v>YES</v>
      </c>
      <c r="J4612">
        <f>Cleaned_Data!J4612</f>
        <v>4</v>
      </c>
      <c r="K4612" t="str">
        <f t="shared" si="217"/>
        <v>2024-11</v>
      </c>
      <c r="L4612">
        <f t="shared" si="218"/>
        <v>0</v>
      </c>
    </row>
    <row r="4613" spans="1:12">
      <c r="A4613" t="s">
        <v>13360</v>
      </c>
      <c r="B4613" t="s">
        <v>13361</v>
      </c>
      <c r="C4613" t="s">
        <v>13362</v>
      </c>
      <c r="D4613" t="s">
        <v>35</v>
      </c>
      <c r="E4613" t="s">
        <v>54</v>
      </c>
      <c r="F4613" t="s">
        <v>36</v>
      </c>
      <c r="G4613" t="s">
        <v>19</v>
      </c>
      <c r="H4613">
        <f>Cleaned_Data!K4613</f>
        <v>26.87</v>
      </c>
      <c r="I4613" t="str">
        <f t="shared" si="216"/>
        <v>YES</v>
      </c>
      <c r="J4613">
        <f>Cleaned_Data!J4613</f>
        <v>48</v>
      </c>
      <c r="K4613" t="str">
        <f t="shared" si="217"/>
        <v>2024-01</v>
      </c>
      <c r="L4613">
        <f t="shared" si="218"/>
        <v>0</v>
      </c>
    </row>
    <row r="4614" spans="1:12">
      <c r="A4614" t="s">
        <v>13363</v>
      </c>
      <c r="B4614" t="s">
        <v>13364</v>
      </c>
      <c r="C4614" t="s">
        <v>13365</v>
      </c>
      <c r="D4614" t="s">
        <v>23</v>
      </c>
      <c r="E4614" t="s">
        <v>16</v>
      </c>
      <c r="F4614" t="s">
        <v>41</v>
      </c>
      <c r="G4614" t="s">
        <v>19</v>
      </c>
      <c r="H4614">
        <f>Cleaned_Data!K4614</f>
        <v>8.86</v>
      </c>
      <c r="I4614" t="str">
        <f t="shared" si="216"/>
        <v>YES</v>
      </c>
      <c r="J4614">
        <f>Cleaned_Data!J4614</f>
        <v>24</v>
      </c>
      <c r="K4614" t="str">
        <f t="shared" si="217"/>
        <v>2024-03</v>
      </c>
      <c r="L4614">
        <f t="shared" si="218"/>
        <v>0</v>
      </c>
    </row>
    <row r="4615" spans="1:12">
      <c r="A4615" t="s">
        <v>13366</v>
      </c>
      <c r="B4615" t="s">
        <v>13367</v>
      </c>
      <c r="C4615" t="s">
        <v>13368</v>
      </c>
      <c r="D4615" t="s">
        <v>158</v>
      </c>
      <c r="E4615" t="s">
        <v>54</v>
      </c>
      <c r="F4615" t="s">
        <v>60</v>
      </c>
      <c r="G4615" t="s">
        <v>19</v>
      </c>
      <c r="H4615">
        <f>Cleaned_Data!K4615</f>
        <v>2.37</v>
      </c>
      <c r="I4615" t="str">
        <f t="shared" si="216"/>
        <v>YES</v>
      </c>
      <c r="J4615">
        <f>Cleaned_Data!J4615</f>
        <v>4</v>
      </c>
      <c r="K4615" t="str">
        <f t="shared" si="217"/>
        <v>2024-11</v>
      </c>
      <c r="L4615">
        <f t="shared" si="218"/>
        <v>0</v>
      </c>
    </row>
    <row r="4616" spans="1:12">
      <c r="A4616" t="s">
        <v>13369</v>
      </c>
      <c r="B4616" t="s">
        <v>13370</v>
      </c>
      <c r="C4616" t="s">
        <v>13371</v>
      </c>
      <c r="D4616" t="s">
        <v>23</v>
      </c>
      <c r="E4616" t="s">
        <v>28</v>
      </c>
      <c r="F4616" t="s">
        <v>60</v>
      </c>
      <c r="G4616" t="s">
        <v>19</v>
      </c>
      <c r="H4616">
        <f>Cleaned_Data!K4616</f>
        <v>3.37</v>
      </c>
      <c r="I4616" t="str">
        <f t="shared" si="216"/>
        <v>YES</v>
      </c>
      <c r="J4616">
        <f>Cleaned_Data!J4616</f>
        <v>24</v>
      </c>
      <c r="K4616" t="str">
        <f t="shared" si="217"/>
        <v>2024-11</v>
      </c>
      <c r="L4616">
        <f t="shared" si="218"/>
        <v>0</v>
      </c>
    </row>
    <row r="4617" spans="1:12">
      <c r="A4617" t="s">
        <v>13372</v>
      </c>
      <c r="B4617" t="s">
        <v>13373</v>
      </c>
      <c r="C4617" t="s">
        <v>13374</v>
      </c>
      <c r="D4617" t="s">
        <v>23</v>
      </c>
      <c r="E4617" t="s">
        <v>28</v>
      </c>
      <c r="F4617" t="s">
        <v>41</v>
      </c>
      <c r="G4617" t="s">
        <v>19</v>
      </c>
      <c r="H4617">
        <f>Cleaned_Data!K4617</f>
        <v>19.03</v>
      </c>
      <c r="I4617" t="str">
        <f t="shared" si="216"/>
        <v>YES</v>
      </c>
      <c r="J4617">
        <f>Cleaned_Data!J4617</f>
        <v>24</v>
      </c>
      <c r="K4617" t="str">
        <f t="shared" si="217"/>
        <v>2024-09</v>
      </c>
      <c r="L4617">
        <f t="shared" si="218"/>
        <v>0</v>
      </c>
    </row>
    <row r="4618" spans="1:12">
      <c r="A4618" t="s">
        <v>13375</v>
      </c>
      <c r="B4618" t="s">
        <v>13376</v>
      </c>
      <c r="C4618" t="s">
        <v>13377</v>
      </c>
      <c r="D4618" t="s">
        <v>15</v>
      </c>
      <c r="E4618" t="s">
        <v>59</v>
      </c>
      <c r="F4618" t="s">
        <v>29</v>
      </c>
      <c r="G4618" t="s">
        <v>19</v>
      </c>
      <c r="H4618">
        <f>Cleaned_Data!K4618</f>
        <v>5.64</v>
      </c>
      <c r="I4618" t="str">
        <f t="shared" si="216"/>
        <v>YES</v>
      </c>
      <c r="J4618">
        <f>Cleaned_Data!J4618</f>
        <v>8</v>
      </c>
      <c r="K4618" t="str">
        <f t="shared" si="217"/>
        <v>2024-06</v>
      </c>
      <c r="L4618">
        <f t="shared" si="218"/>
        <v>0</v>
      </c>
    </row>
    <row r="4619" spans="1:12">
      <c r="A4619" t="s">
        <v>13378</v>
      </c>
      <c r="B4619" t="s">
        <v>13379</v>
      </c>
      <c r="C4619" t="s">
        <v>13380</v>
      </c>
      <c r="D4619" t="s">
        <v>23</v>
      </c>
      <c r="E4619" t="s">
        <v>28</v>
      </c>
      <c r="F4619" t="s">
        <v>60</v>
      </c>
      <c r="G4619" t="s">
        <v>19</v>
      </c>
      <c r="H4619">
        <f>Cleaned_Data!K4619</f>
        <v>22.07</v>
      </c>
      <c r="I4619" t="str">
        <f t="shared" si="216"/>
        <v>YES</v>
      </c>
      <c r="J4619">
        <f>Cleaned_Data!J4619</f>
        <v>24</v>
      </c>
      <c r="K4619" t="str">
        <f t="shared" si="217"/>
        <v>2024-12</v>
      </c>
      <c r="L4619">
        <f t="shared" si="218"/>
        <v>0</v>
      </c>
    </row>
    <row r="4620" spans="1:12">
      <c r="A4620" t="s">
        <v>13381</v>
      </c>
      <c r="B4620" t="s">
        <v>13382</v>
      </c>
      <c r="C4620" t="s">
        <v>13383</v>
      </c>
      <c r="D4620" t="s">
        <v>158</v>
      </c>
      <c r="E4620" t="s">
        <v>16</v>
      </c>
      <c r="F4620" t="s">
        <v>41</v>
      </c>
      <c r="G4620" t="s">
        <v>31</v>
      </c>
      <c r="H4620">
        <f>Cleaned_Data!K4620</f>
        <v>3.08</v>
      </c>
      <c r="I4620" t="str">
        <f t="shared" si="216"/>
        <v>YES</v>
      </c>
      <c r="J4620">
        <f>Cleaned_Data!J4620</f>
        <v>4</v>
      </c>
      <c r="K4620" t="str">
        <f t="shared" si="217"/>
        <v>2024-05</v>
      </c>
      <c r="L4620">
        <f t="shared" si="218"/>
        <v>0</v>
      </c>
    </row>
    <row r="4621" spans="1:12">
      <c r="A4621" t="s">
        <v>13384</v>
      </c>
      <c r="B4621" t="s">
        <v>13385</v>
      </c>
      <c r="C4621" t="s">
        <v>13386</v>
      </c>
      <c r="D4621" t="s">
        <v>23</v>
      </c>
      <c r="E4621" t="s">
        <v>28</v>
      </c>
      <c r="F4621" t="s">
        <v>36</v>
      </c>
      <c r="G4621" t="s">
        <v>31</v>
      </c>
      <c r="H4621">
        <f>Cleaned_Data!K4621</f>
        <v>10.42</v>
      </c>
      <c r="I4621" t="str">
        <f t="shared" si="216"/>
        <v>YES</v>
      </c>
      <c r="J4621">
        <f>Cleaned_Data!J4621</f>
        <v>24</v>
      </c>
      <c r="K4621" t="str">
        <f t="shared" si="217"/>
        <v>2024-03</v>
      </c>
      <c r="L4621">
        <f t="shared" si="218"/>
        <v>0</v>
      </c>
    </row>
    <row r="4622" spans="1:12">
      <c r="A4622" t="s">
        <v>13387</v>
      </c>
      <c r="B4622" t="s">
        <v>13388</v>
      </c>
      <c r="C4622" t="s">
        <v>13389</v>
      </c>
      <c r="D4622" t="s">
        <v>23</v>
      </c>
      <c r="E4622" t="s">
        <v>28</v>
      </c>
      <c r="F4622" t="s">
        <v>60</v>
      </c>
      <c r="G4622" t="s">
        <v>31</v>
      </c>
      <c r="H4622">
        <f>Cleaned_Data!K4622</f>
        <v>6.98</v>
      </c>
      <c r="I4622" t="str">
        <f t="shared" si="216"/>
        <v>YES</v>
      </c>
      <c r="J4622">
        <f>Cleaned_Data!J4622</f>
        <v>24</v>
      </c>
      <c r="K4622" t="str">
        <f t="shared" si="217"/>
        <v>2024-08</v>
      </c>
      <c r="L4622">
        <f t="shared" si="218"/>
        <v>0</v>
      </c>
    </row>
    <row r="4623" spans="1:12">
      <c r="A4623" t="s">
        <v>13390</v>
      </c>
      <c r="B4623" t="s">
        <v>13391</v>
      </c>
      <c r="C4623" t="s">
        <v>13392</v>
      </c>
      <c r="D4623" t="s">
        <v>23</v>
      </c>
      <c r="E4623" t="s">
        <v>16</v>
      </c>
      <c r="F4623" t="s">
        <v>29</v>
      </c>
      <c r="G4623" t="s">
        <v>19</v>
      </c>
      <c r="H4623">
        <f>Cleaned_Data!K4623</f>
        <v>5.01</v>
      </c>
      <c r="I4623" t="str">
        <f t="shared" si="216"/>
        <v>YES</v>
      </c>
      <c r="J4623">
        <f>Cleaned_Data!J4623</f>
        <v>24</v>
      </c>
      <c r="K4623" t="str">
        <f t="shared" si="217"/>
        <v>2024-06</v>
      </c>
      <c r="L4623">
        <f t="shared" si="218"/>
        <v>0</v>
      </c>
    </row>
    <row r="4624" spans="1:12">
      <c r="A4624" t="s">
        <v>13393</v>
      </c>
      <c r="B4624" t="s">
        <v>13394</v>
      </c>
      <c r="D4624" t="s">
        <v>15</v>
      </c>
      <c r="E4624" t="s">
        <v>24</v>
      </c>
      <c r="F4624" t="s">
        <v>36</v>
      </c>
      <c r="G4624" t="s">
        <v>63</v>
      </c>
      <c r="H4624">
        <f>Cleaned_Data!K4624</f>
        <v>0</v>
      </c>
      <c r="I4624" t="str">
        <f t="shared" si="216"/>
        <v/>
      </c>
      <c r="J4624">
        <f>Cleaned_Data!J4624</f>
        <v>8</v>
      </c>
      <c r="K4624" t="str">
        <f t="shared" si="217"/>
        <v>2024-07</v>
      </c>
      <c r="L4624">
        <f t="shared" si="218"/>
        <v>0</v>
      </c>
    </row>
    <row r="4625" spans="1:12">
      <c r="A4625" t="s">
        <v>13395</v>
      </c>
      <c r="B4625" t="s">
        <v>13396</v>
      </c>
      <c r="C4625" t="s">
        <v>13397</v>
      </c>
      <c r="D4625" t="s">
        <v>35</v>
      </c>
      <c r="E4625" t="s">
        <v>54</v>
      </c>
      <c r="F4625" t="s">
        <v>29</v>
      </c>
      <c r="G4625" t="s">
        <v>19</v>
      </c>
      <c r="H4625">
        <f>Cleaned_Data!K4625</f>
        <v>27.53</v>
      </c>
      <c r="I4625" t="str">
        <f t="shared" si="216"/>
        <v>YES</v>
      </c>
      <c r="J4625">
        <f>Cleaned_Data!J4625</f>
        <v>48</v>
      </c>
      <c r="K4625" t="str">
        <f t="shared" si="217"/>
        <v>2024-07</v>
      </c>
      <c r="L4625">
        <f t="shared" si="218"/>
        <v>0</v>
      </c>
    </row>
    <row r="4626" spans="1:12">
      <c r="A4626" t="s">
        <v>13398</v>
      </c>
      <c r="B4626" t="s">
        <v>13399</v>
      </c>
      <c r="C4626" t="s">
        <v>13400</v>
      </c>
      <c r="D4626" t="s">
        <v>23</v>
      </c>
      <c r="E4626" t="s">
        <v>28</v>
      </c>
      <c r="F4626" t="s">
        <v>60</v>
      </c>
      <c r="G4626" t="s">
        <v>19</v>
      </c>
      <c r="H4626">
        <f>Cleaned_Data!K4626</f>
        <v>12</v>
      </c>
      <c r="I4626" t="str">
        <f t="shared" si="216"/>
        <v>YES</v>
      </c>
      <c r="J4626">
        <f>Cleaned_Data!J4626</f>
        <v>24</v>
      </c>
      <c r="K4626" t="str">
        <f t="shared" si="217"/>
        <v>2024-06</v>
      </c>
      <c r="L4626">
        <f t="shared" si="218"/>
        <v>0</v>
      </c>
    </row>
    <row r="4627" spans="1:12">
      <c r="A4627" t="s">
        <v>13401</v>
      </c>
      <c r="B4627" t="s">
        <v>13402</v>
      </c>
      <c r="D4627" t="s">
        <v>15</v>
      </c>
      <c r="E4627" t="s">
        <v>24</v>
      </c>
      <c r="F4627" t="s">
        <v>36</v>
      </c>
      <c r="G4627" t="s">
        <v>63</v>
      </c>
      <c r="H4627">
        <f>Cleaned_Data!K4627</f>
        <v>0</v>
      </c>
      <c r="I4627" t="str">
        <f t="shared" si="216"/>
        <v/>
      </c>
      <c r="J4627">
        <f>Cleaned_Data!J4627</f>
        <v>8</v>
      </c>
      <c r="K4627" t="str">
        <f t="shared" si="217"/>
        <v>2024-08</v>
      </c>
      <c r="L4627">
        <f t="shared" si="218"/>
        <v>0</v>
      </c>
    </row>
    <row r="4628" spans="1:12">
      <c r="A4628" t="s">
        <v>13403</v>
      </c>
      <c r="B4628" t="s">
        <v>13404</v>
      </c>
      <c r="C4628" t="s">
        <v>13405</v>
      </c>
      <c r="D4628" t="s">
        <v>23</v>
      </c>
      <c r="E4628" t="s">
        <v>24</v>
      </c>
      <c r="F4628" t="s">
        <v>29</v>
      </c>
      <c r="G4628" t="s">
        <v>19</v>
      </c>
      <c r="H4628">
        <f>Cleaned_Data!K4628</f>
        <v>12.68</v>
      </c>
      <c r="I4628" t="str">
        <f t="shared" si="216"/>
        <v>YES</v>
      </c>
      <c r="J4628">
        <f>Cleaned_Data!J4628</f>
        <v>24</v>
      </c>
      <c r="K4628" t="str">
        <f t="shared" si="217"/>
        <v>2024-11</v>
      </c>
      <c r="L4628">
        <f t="shared" si="218"/>
        <v>0</v>
      </c>
    </row>
    <row r="4629" spans="1:12">
      <c r="A4629" t="s">
        <v>13406</v>
      </c>
      <c r="B4629" t="s">
        <v>13407</v>
      </c>
      <c r="C4629" t="s">
        <v>13408</v>
      </c>
      <c r="D4629" t="s">
        <v>23</v>
      </c>
      <c r="E4629" t="s">
        <v>54</v>
      </c>
      <c r="F4629" t="s">
        <v>41</v>
      </c>
      <c r="G4629" t="s">
        <v>19</v>
      </c>
      <c r="H4629">
        <f>Cleaned_Data!K4629</f>
        <v>14.62</v>
      </c>
      <c r="I4629" t="str">
        <f t="shared" si="216"/>
        <v>YES</v>
      </c>
      <c r="J4629">
        <f>Cleaned_Data!J4629</f>
        <v>24</v>
      </c>
      <c r="K4629" t="str">
        <f t="shared" si="217"/>
        <v>2024-07</v>
      </c>
      <c r="L4629">
        <f t="shared" si="218"/>
        <v>0</v>
      </c>
    </row>
    <row r="4630" spans="1:12">
      <c r="A4630" t="s">
        <v>13409</v>
      </c>
      <c r="B4630" t="s">
        <v>13410</v>
      </c>
      <c r="C4630" t="s">
        <v>13411</v>
      </c>
      <c r="D4630" t="s">
        <v>23</v>
      </c>
      <c r="E4630" t="s">
        <v>54</v>
      </c>
      <c r="F4630" t="s">
        <v>41</v>
      </c>
      <c r="G4630" t="s">
        <v>19</v>
      </c>
      <c r="H4630">
        <f>Cleaned_Data!K4630</f>
        <v>20.39</v>
      </c>
      <c r="I4630" t="str">
        <f t="shared" si="216"/>
        <v>YES</v>
      </c>
      <c r="J4630">
        <f>Cleaned_Data!J4630</f>
        <v>24</v>
      </c>
      <c r="K4630" t="str">
        <f t="shared" si="217"/>
        <v>2024-01</v>
      </c>
      <c r="L4630">
        <f t="shared" si="218"/>
        <v>0</v>
      </c>
    </row>
    <row r="4631" spans="1:12">
      <c r="A4631" t="s">
        <v>13412</v>
      </c>
      <c r="B4631" t="s">
        <v>13413</v>
      </c>
      <c r="C4631" t="s">
        <v>13414</v>
      </c>
      <c r="D4631" t="s">
        <v>15</v>
      </c>
      <c r="E4631" t="s">
        <v>54</v>
      </c>
      <c r="F4631" t="s">
        <v>60</v>
      </c>
      <c r="G4631" t="s">
        <v>19</v>
      </c>
      <c r="H4631">
        <f>Cleaned_Data!K4631</f>
        <v>2.23</v>
      </c>
      <c r="I4631" t="str">
        <f t="shared" si="216"/>
        <v>YES</v>
      </c>
      <c r="J4631">
        <f>Cleaned_Data!J4631</f>
        <v>8</v>
      </c>
      <c r="K4631" t="str">
        <f t="shared" si="217"/>
        <v>2024-02</v>
      </c>
      <c r="L4631">
        <f t="shared" si="218"/>
        <v>0</v>
      </c>
    </row>
    <row r="4632" spans="1:12">
      <c r="A4632" t="s">
        <v>13415</v>
      </c>
      <c r="B4632" t="s">
        <v>13416</v>
      </c>
      <c r="D4632" t="s">
        <v>35</v>
      </c>
      <c r="E4632" t="s">
        <v>24</v>
      </c>
      <c r="F4632" t="s">
        <v>60</v>
      </c>
      <c r="G4632" t="s">
        <v>63</v>
      </c>
      <c r="H4632">
        <f>Cleaned_Data!K4632</f>
        <v>0</v>
      </c>
      <c r="I4632" t="str">
        <f t="shared" si="216"/>
        <v/>
      </c>
      <c r="J4632">
        <f>Cleaned_Data!J4632</f>
        <v>48</v>
      </c>
      <c r="K4632" t="str">
        <f t="shared" si="217"/>
        <v>2024-05</v>
      </c>
      <c r="L4632">
        <f t="shared" si="218"/>
        <v>0</v>
      </c>
    </row>
    <row r="4633" spans="1:12">
      <c r="A4633" t="s">
        <v>13417</v>
      </c>
      <c r="B4633" t="s">
        <v>13418</v>
      </c>
      <c r="C4633" t="s">
        <v>13419</v>
      </c>
      <c r="D4633" t="s">
        <v>15</v>
      </c>
      <c r="E4633" t="s">
        <v>28</v>
      </c>
      <c r="F4633" t="s">
        <v>60</v>
      </c>
      <c r="G4633" t="s">
        <v>31</v>
      </c>
      <c r="H4633">
        <f>Cleaned_Data!K4633</f>
        <v>0.92</v>
      </c>
      <c r="I4633" t="str">
        <f t="shared" si="216"/>
        <v>YES</v>
      </c>
      <c r="J4633">
        <f>Cleaned_Data!J4633</f>
        <v>8</v>
      </c>
      <c r="K4633" t="str">
        <f t="shared" si="217"/>
        <v>2024-08</v>
      </c>
      <c r="L4633">
        <f t="shared" si="218"/>
        <v>0</v>
      </c>
    </row>
    <row r="4634" spans="1:12">
      <c r="A4634" t="s">
        <v>13420</v>
      </c>
      <c r="B4634" t="s">
        <v>13421</v>
      </c>
      <c r="C4634" t="s">
        <v>13422</v>
      </c>
      <c r="D4634" t="s">
        <v>23</v>
      </c>
      <c r="E4634" t="s">
        <v>28</v>
      </c>
      <c r="F4634" t="s">
        <v>41</v>
      </c>
      <c r="G4634" t="s">
        <v>19</v>
      </c>
      <c r="H4634">
        <f>Cleaned_Data!K4634</f>
        <v>44.8</v>
      </c>
      <c r="I4634" t="str">
        <f t="shared" si="216"/>
        <v>NO</v>
      </c>
      <c r="J4634">
        <f>Cleaned_Data!J4634</f>
        <v>24</v>
      </c>
      <c r="K4634" t="str">
        <f t="shared" si="217"/>
        <v>2024-10</v>
      </c>
      <c r="L4634">
        <f t="shared" si="218"/>
        <v>20.799999999999997</v>
      </c>
    </row>
    <row r="4635" spans="1:12">
      <c r="A4635" t="s">
        <v>13423</v>
      </c>
      <c r="B4635" t="s">
        <v>13424</v>
      </c>
      <c r="C4635" t="s">
        <v>13425</v>
      </c>
      <c r="D4635" t="s">
        <v>35</v>
      </c>
      <c r="E4635" t="s">
        <v>28</v>
      </c>
      <c r="F4635" t="s">
        <v>36</v>
      </c>
      <c r="G4635" t="s">
        <v>19</v>
      </c>
      <c r="H4635">
        <f>Cleaned_Data!K4635</f>
        <v>7.64</v>
      </c>
      <c r="I4635" t="str">
        <f t="shared" si="216"/>
        <v>YES</v>
      </c>
      <c r="J4635">
        <f>Cleaned_Data!J4635</f>
        <v>48</v>
      </c>
      <c r="K4635" t="str">
        <f t="shared" si="217"/>
        <v>2024-08</v>
      </c>
      <c r="L4635">
        <f t="shared" si="218"/>
        <v>0</v>
      </c>
    </row>
    <row r="4636" spans="1:12">
      <c r="A4636" t="s">
        <v>13426</v>
      </c>
      <c r="B4636" t="s">
        <v>13427</v>
      </c>
      <c r="C4636" t="s">
        <v>13428</v>
      </c>
      <c r="D4636" t="s">
        <v>35</v>
      </c>
      <c r="E4636" t="s">
        <v>54</v>
      </c>
      <c r="F4636" t="s">
        <v>17</v>
      </c>
      <c r="G4636" t="s">
        <v>19</v>
      </c>
      <c r="H4636">
        <f>Cleaned_Data!K4636</f>
        <v>15.72</v>
      </c>
      <c r="I4636" t="str">
        <f t="shared" si="216"/>
        <v>YES</v>
      </c>
      <c r="J4636">
        <f>Cleaned_Data!J4636</f>
        <v>48</v>
      </c>
      <c r="K4636" t="str">
        <f t="shared" si="217"/>
        <v>2024-04</v>
      </c>
      <c r="L4636">
        <f t="shared" si="218"/>
        <v>0</v>
      </c>
    </row>
    <row r="4637" spans="1:12">
      <c r="A4637" t="s">
        <v>13429</v>
      </c>
      <c r="B4637" t="s">
        <v>13430</v>
      </c>
      <c r="C4637" t="s">
        <v>13431</v>
      </c>
      <c r="D4637" t="s">
        <v>35</v>
      </c>
      <c r="E4637" t="s">
        <v>59</v>
      </c>
      <c r="F4637" t="s">
        <v>60</v>
      </c>
      <c r="G4637" t="s">
        <v>19</v>
      </c>
      <c r="H4637">
        <f>Cleaned_Data!K4637</f>
        <v>121.8</v>
      </c>
      <c r="I4637" t="str">
        <f t="shared" si="216"/>
        <v>NO</v>
      </c>
      <c r="J4637">
        <f>Cleaned_Data!J4637</f>
        <v>48</v>
      </c>
      <c r="K4637" t="str">
        <f t="shared" si="217"/>
        <v>2024-12</v>
      </c>
      <c r="L4637">
        <f t="shared" si="218"/>
        <v>73.8</v>
      </c>
    </row>
    <row r="4638" spans="1:12">
      <c r="A4638" t="s">
        <v>13432</v>
      </c>
      <c r="B4638" t="s">
        <v>13433</v>
      </c>
      <c r="C4638" t="s">
        <v>13434</v>
      </c>
      <c r="D4638" t="s">
        <v>23</v>
      </c>
      <c r="E4638" t="s">
        <v>16</v>
      </c>
      <c r="F4638" t="s">
        <v>41</v>
      </c>
      <c r="G4638" t="s">
        <v>19</v>
      </c>
      <c r="H4638">
        <f>Cleaned_Data!K4638</f>
        <v>9.4499999999999993</v>
      </c>
      <c r="I4638" t="str">
        <f t="shared" si="216"/>
        <v>YES</v>
      </c>
      <c r="J4638">
        <f>Cleaned_Data!J4638</f>
        <v>24</v>
      </c>
      <c r="K4638" t="str">
        <f t="shared" si="217"/>
        <v>2024-08</v>
      </c>
      <c r="L4638">
        <f t="shared" si="218"/>
        <v>0</v>
      </c>
    </row>
    <row r="4639" spans="1:12">
      <c r="A4639" t="s">
        <v>13435</v>
      </c>
      <c r="B4639" t="s">
        <v>13436</v>
      </c>
      <c r="C4639" t="s">
        <v>13437</v>
      </c>
      <c r="D4639" t="s">
        <v>23</v>
      </c>
      <c r="E4639" t="s">
        <v>28</v>
      </c>
      <c r="F4639" t="s">
        <v>17</v>
      </c>
      <c r="G4639" t="s">
        <v>31</v>
      </c>
      <c r="H4639">
        <f>Cleaned_Data!K4639</f>
        <v>4.12</v>
      </c>
      <c r="I4639" t="str">
        <f t="shared" si="216"/>
        <v>YES</v>
      </c>
      <c r="J4639">
        <f>Cleaned_Data!J4639</f>
        <v>24</v>
      </c>
      <c r="K4639" t="str">
        <f t="shared" si="217"/>
        <v>2024-11</v>
      </c>
      <c r="L4639">
        <f t="shared" si="218"/>
        <v>0</v>
      </c>
    </row>
    <row r="4640" spans="1:12">
      <c r="A4640" t="s">
        <v>13438</v>
      </c>
      <c r="B4640" t="s">
        <v>13439</v>
      </c>
      <c r="C4640" t="s">
        <v>13440</v>
      </c>
      <c r="D4640" t="s">
        <v>23</v>
      </c>
      <c r="E4640" t="s">
        <v>16</v>
      </c>
      <c r="F4640" t="s">
        <v>41</v>
      </c>
      <c r="G4640" t="s">
        <v>19</v>
      </c>
      <c r="H4640">
        <f>Cleaned_Data!K4640</f>
        <v>16.11</v>
      </c>
      <c r="I4640" t="str">
        <f t="shared" si="216"/>
        <v>YES</v>
      </c>
      <c r="J4640">
        <f>Cleaned_Data!J4640</f>
        <v>24</v>
      </c>
      <c r="K4640" t="str">
        <f t="shared" si="217"/>
        <v>2024-08</v>
      </c>
      <c r="L4640">
        <f t="shared" si="218"/>
        <v>0</v>
      </c>
    </row>
    <row r="4641" spans="1:12">
      <c r="A4641" t="s">
        <v>13441</v>
      </c>
      <c r="B4641" t="s">
        <v>13442</v>
      </c>
      <c r="C4641" t="s">
        <v>13443</v>
      </c>
      <c r="D4641" t="s">
        <v>23</v>
      </c>
      <c r="E4641" t="s">
        <v>28</v>
      </c>
      <c r="F4641" t="s">
        <v>60</v>
      </c>
      <c r="G4641" t="s">
        <v>19</v>
      </c>
      <c r="H4641">
        <f>Cleaned_Data!K4641</f>
        <v>46.67</v>
      </c>
      <c r="I4641" t="str">
        <f t="shared" si="216"/>
        <v>NO</v>
      </c>
      <c r="J4641">
        <f>Cleaned_Data!J4641</f>
        <v>24</v>
      </c>
      <c r="K4641" t="str">
        <f t="shared" si="217"/>
        <v>2024-11</v>
      </c>
      <c r="L4641">
        <f t="shared" si="218"/>
        <v>22.67</v>
      </c>
    </row>
    <row r="4642" spans="1:12">
      <c r="A4642" t="s">
        <v>13444</v>
      </c>
      <c r="B4642" t="s">
        <v>13445</v>
      </c>
      <c r="C4642" t="s">
        <v>13446</v>
      </c>
      <c r="D4642" t="s">
        <v>23</v>
      </c>
      <c r="E4642" t="s">
        <v>16</v>
      </c>
      <c r="F4642" t="s">
        <v>29</v>
      </c>
      <c r="G4642" t="s">
        <v>19</v>
      </c>
      <c r="H4642">
        <f>Cleaned_Data!K4642</f>
        <v>14.84</v>
      </c>
      <c r="I4642" t="str">
        <f t="shared" si="216"/>
        <v>YES</v>
      </c>
      <c r="J4642">
        <f>Cleaned_Data!J4642</f>
        <v>24</v>
      </c>
      <c r="K4642" t="str">
        <f t="shared" si="217"/>
        <v>2024-04</v>
      </c>
      <c r="L4642">
        <f t="shared" si="218"/>
        <v>0</v>
      </c>
    </row>
    <row r="4643" spans="1:12">
      <c r="A4643" t="s">
        <v>13447</v>
      </c>
      <c r="B4643" t="s">
        <v>13448</v>
      </c>
      <c r="C4643" t="s">
        <v>13449</v>
      </c>
      <c r="D4643" t="s">
        <v>158</v>
      </c>
      <c r="E4643" t="s">
        <v>28</v>
      </c>
      <c r="F4643" t="s">
        <v>29</v>
      </c>
      <c r="G4643" t="s">
        <v>19</v>
      </c>
      <c r="H4643">
        <f>Cleaned_Data!K4643</f>
        <v>3.45</v>
      </c>
      <c r="I4643" t="str">
        <f t="shared" si="216"/>
        <v>YES</v>
      </c>
      <c r="J4643">
        <f>Cleaned_Data!J4643</f>
        <v>4</v>
      </c>
      <c r="K4643" t="str">
        <f t="shared" si="217"/>
        <v>2024-12</v>
      </c>
      <c r="L4643">
        <f t="shared" si="218"/>
        <v>0</v>
      </c>
    </row>
    <row r="4644" spans="1:12">
      <c r="A4644" t="s">
        <v>13450</v>
      </c>
      <c r="B4644" t="s">
        <v>13451</v>
      </c>
      <c r="C4644" t="s">
        <v>13452</v>
      </c>
      <c r="D4644" t="s">
        <v>23</v>
      </c>
      <c r="E4644" t="s">
        <v>24</v>
      </c>
      <c r="F4644" t="s">
        <v>36</v>
      </c>
      <c r="G4644" t="s">
        <v>31</v>
      </c>
      <c r="H4644">
        <f>Cleaned_Data!K4644</f>
        <v>18.93</v>
      </c>
      <c r="I4644" t="str">
        <f t="shared" si="216"/>
        <v>YES</v>
      </c>
      <c r="J4644">
        <f>Cleaned_Data!J4644</f>
        <v>24</v>
      </c>
      <c r="K4644" t="str">
        <f t="shared" si="217"/>
        <v>2024-11</v>
      </c>
      <c r="L4644">
        <f t="shared" si="218"/>
        <v>0</v>
      </c>
    </row>
    <row r="4645" spans="1:12">
      <c r="A4645" t="s">
        <v>13453</v>
      </c>
      <c r="B4645" t="s">
        <v>13454</v>
      </c>
      <c r="C4645" t="s">
        <v>13455</v>
      </c>
      <c r="D4645" t="s">
        <v>35</v>
      </c>
      <c r="E4645" t="s">
        <v>28</v>
      </c>
      <c r="F4645" t="s">
        <v>60</v>
      </c>
      <c r="G4645" t="s">
        <v>19</v>
      </c>
      <c r="H4645">
        <f>Cleaned_Data!K4645</f>
        <v>24.13</v>
      </c>
      <c r="I4645" t="str">
        <f t="shared" si="216"/>
        <v>YES</v>
      </c>
      <c r="J4645">
        <f>Cleaned_Data!J4645</f>
        <v>48</v>
      </c>
      <c r="K4645" t="str">
        <f t="shared" si="217"/>
        <v>2024-07</v>
      </c>
      <c r="L4645">
        <f t="shared" si="218"/>
        <v>0</v>
      </c>
    </row>
    <row r="4646" spans="1:12">
      <c r="A4646" t="s">
        <v>13456</v>
      </c>
      <c r="B4646" t="s">
        <v>13457</v>
      </c>
      <c r="C4646" t="s">
        <v>13458</v>
      </c>
      <c r="D4646" t="s">
        <v>35</v>
      </c>
      <c r="E4646" t="s">
        <v>16</v>
      </c>
      <c r="F4646" t="s">
        <v>60</v>
      </c>
      <c r="G4646" t="s">
        <v>31</v>
      </c>
      <c r="H4646">
        <f>Cleaned_Data!K4646</f>
        <v>23.32</v>
      </c>
      <c r="I4646" t="str">
        <f t="shared" si="216"/>
        <v>YES</v>
      </c>
      <c r="J4646">
        <f>Cleaned_Data!J4646</f>
        <v>48</v>
      </c>
      <c r="K4646" t="str">
        <f t="shared" si="217"/>
        <v>2024-03</v>
      </c>
      <c r="L4646">
        <f t="shared" si="218"/>
        <v>0</v>
      </c>
    </row>
    <row r="4647" spans="1:12">
      <c r="A4647" t="s">
        <v>13459</v>
      </c>
      <c r="B4647" t="s">
        <v>13460</v>
      </c>
      <c r="C4647" t="s">
        <v>13461</v>
      </c>
      <c r="D4647" t="s">
        <v>23</v>
      </c>
      <c r="E4647" t="s">
        <v>59</v>
      </c>
      <c r="F4647" t="s">
        <v>60</v>
      </c>
      <c r="G4647" t="s">
        <v>19</v>
      </c>
      <c r="H4647">
        <f>Cleaned_Data!K4647</f>
        <v>6.09</v>
      </c>
      <c r="I4647" t="str">
        <f t="shared" si="216"/>
        <v>YES</v>
      </c>
      <c r="J4647">
        <f>Cleaned_Data!J4647</f>
        <v>24</v>
      </c>
      <c r="K4647" t="str">
        <f t="shared" si="217"/>
        <v>2024-10</v>
      </c>
      <c r="L4647">
        <f t="shared" si="218"/>
        <v>0</v>
      </c>
    </row>
    <row r="4648" spans="1:12">
      <c r="A4648" t="s">
        <v>13462</v>
      </c>
      <c r="B4648" t="s">
        <v>13463</v>
      </c>
      <c r="C4648" t="s">
        <v>13464</v>
      </c>
      <c r="D4648" t="s">
        <v>23</v>
      </c>
      <c r="E4648" t="s">
        <v>24</v>
      </c>
      <c r="F4648" t="s">
        <v>29</v>
      </c>
      <c r="G4648" t="s">
        <v>31</v>
      </c>
      <c r="H4648">
        <f>Cleaned_Data!K4648</f>
        <v>13.74</v>
      </c>
      <c r="I4648" t="str">
        <f t="shared" si="216"/>
        <v>YES</v>
      </c>
      <c r="J4648">
        <f>Cleaned_Data!J4648</f>
        <v>24</v>
      </c>
      <c r="K4648" t="str">
        <f t="shared" si="217"/>
        <v>2024-04</v>
      </c>
      <c r="L4648">
        <f t="shared" si="218"/>
        <v>0</v>
      </c>
    </row>
    <row r="4649" spans="1:12">
      <c r="A4649" t="s">
        <v>13465</v>
      </c>
      <c r="B4649" t="s">
        <v>13466</v>
      </c>
      <c r="C4649" t="s">
        <v>13467</v>
      </c>
      <c r="D4649" t="s">
        <v>35</v>
      </c>
      <c r="E4649" t="s">
        <v>28</v>
      </c>
      <c r="F4649" t="s">
        <v>17</v>
      </c>
      <c r="G4649" t="s">
        <v>19</v>
      </c>
      <c r="H4649">
        <f>Cleaned_Data!K4649</f>
        <v>11.32</v>
      </c>
      <c r="I4649" t="str">
        <f t="shared" si="216"/>
        <v>YES</v>
      </c>
      <c r="J4649">
        <f>Cleaned_Data!J4649</f>
        <v>48</v>
      </c>
      <c r="K4649" t="str">
        <f t="shared" si="217"/>
        <v>2024-06</v>
      </c>
      <c r="L4649">
        <f t="shared" si="218"/>
        <v>0</v>
      </c>
    </row>
    <row r="4650" spans="1:12">
      <c r="A4650" t="s">
        <v>13468</v>
      </c>
      <c r="B4650" t="s">
        <v>13469</v>
      </c>
      <c r="C4650" t="s">
        <v>13470</v>
      </c>
      <c r="D4650" t="s">
        <v>35</v>
      </c>
      <c r="E4650" t="s">
        <v>16</v>
      </c>
      <c r="F4650" t="s">
        <v>60</v>
      </c>
      <c r="G4650" t="s">
        <v>19</v>
      </c>
      <c r="H4650">
        <f>Cleaned_Data!K4650</f>
        <v>27.74</v>
      </c>
      <c r="I4650" t="str">
        <f t="shared" si="216"/>
        <v>YES</v>
      </c>
      <c r="J4650">
        <f>Cleaned_Data!J4650</f>
        <v>48</v>
      </c>
      <c r="K4650" t="str">
        <f t="shared" si="217"/>
        <v>2024-08</v>
      </c>
      <c r="L4650">
        <f t="shared" si="218"/>
        <v>0</v>
      </c>
    </row>
    <row r="4651" spans="1:12">
      <c r="A4651" t="s">
        <v>13471</v>
      </c>
      <c r="B4651" t="s">
        <v>13472</v>
      </c>
      <c r="C4651" t="s">
        <v>13473</v>
      </c>
      <c r="D4651" t="s">
        <v>23</v>
      </c>
      <c r="E4651" t="s">
        <v>59</v>
      </c>
      <c r="F4651" t="s">
        <v>17</v>
      </c>
      <c r="G4651" t="s">
        <v>31</v>
      </c>
      <c r="H4651">
        <f>Cleaned_Data!K4651</f>
        <v>3.7</v>
      </c>
      <c r="I4651" t="str">
        <f t="shared" si="216"/>
        <v>YES</v>
      </c>
      <c r="J4651">
        <f>Cleaned_Data!J4651</f>
        <v>24</v>
      </c>
      <c r="K4651" t="str">
        <f t="shared" si="217"/>
        <v>2024-07</v>
      </c>
      <c r="L4651">
        <f t="shared" si="218"/>
        <v>0</v>
      </c>
    </row>
    <row r="4652" spans="1:12">
      <c r="A4652" t="s">
        <v>13474</v>
      </c>
      <c r="B4652" t="s">
        <v>13475</v>
      </c>
      <c r="D4652" t="s">
        <v>23</v>
      </c>
      <c r="E4652" t="s">
        <v>28</v>
      </c>
      <c r="F4652" t="s">
        <v>29</v>
      </c>
      <c r="G4652" t="s">
        <v>46</v>
      </c>
      <c r="H4652">
        <f>Cleaned_Data!K4652</f>
        <v>0</v>
      </c>
      <c r="I4652" t="str">
        <f t="shared" si="216"/>
        <v/>
      </c>
      <c r="J4652">
        <f>Cleaned_Data!J4652</f>
        <v>24</v>
      </c>
      <c r="K4652" t="str">
        <f t="shared" si="217"/>
        <v>2024-01</v>
      </c>
      <c r="L4652">
        <f t="shared" si="218"/>
        <v>0</v>
      </c>
    </row>
    <row r="4653" spans="1:12">
      <c r="A4653" t="s">
        <v>13476</v>
      </c>
      <c r="B4653" t="s">
        <v>13477</v>
      </c>
      <c r="C4653" t="s">
        <v>13478</v>
      </c>
      <c r="D4653" t="s">
        <v>15</v>
      </c>
      <c r="E4653" t="s">
        <v>28</v>
      </c>
      <c r="F4653" t="s">
        <v>41</v>
      </c>
      <c r="G4653" t="s">
        <v>19</v>
      </c>
      <c r="H4653">
        <f>Cleaned_Data!K4653</f>
        <v>2.69</v>
      </c>
      <c r="I4653" t="str">
        <f t="shared" si="216"/>
        <v>YES</v>
      </c>
      <c r="J4653">
        <f>Cleaned_Data!J4653</f>
        <v>8</v>
      </c>
      <c r="K4653" t="str">
        <f t="shared" si="217"/>
        <v>2024-10</v>
      </c>
      <c r="L4653">
        <f t="shared" si="218"/>
        <v>0</v>
      </c>
    </row>
    <row r="4654" spans="1:12">
      <c r="A4654" t="s">
        <v>13479</v>
      </c>
      <c r="B4654" t="s">
        <v>13480</v>
      </c>
      <c r="C4654" t="s">
        <v>13481</v>
      </c>
      <c r="D4654" t="s">
        <v>15</v>
      </c>
      <c r="E4654" t="s">
        <v>28</v>
      </c>
      <c r="F4654" t="s">
        <v>29</v>
      </c>
      <c r="G4654" t="s">
        <v>19</v>
      </c>
      <c r="H4654">
        <f>Cleaned_Data!K4654</f>
        <v>4.1500000000000004</v>
      </c>
      <c r="I4654" t="str">
        <f t="shared" si="216"/>
        <v>YES</v>
      </c>
      <c r="J4654">
        <f>Cleaned_Data!J4654</f>
        <v>8</v>
      </c>
      <c r="K4654" t="str">
        <f t="shared" si="217"/>
        <v>2024-06</v>
      </c>
      <c r="L4654">
        <f t="shared" si="218"/>
        <v>0</v>
      </c>
    </row>
    <row r="4655" spans="1:12">
      <c r="A4655" t="s">
        <v>13482</v>
      </c>
      <c r="B4655" t="s">
        <v>13483</v>
      </c>
      <c r="D4655" t="s">
        <v>23</v>
      </c>
      <c r="E4655" t="s">
        <v>28</v>
      </c>
      <c r="F4655" t="s">
        <v>60</v>
      </c>
      <c r="G4655" t="s">
        <v>63</v>
      </c>
      <c r="H4655">
        <f>Cleaned_Data!K4655</f>
        <v>0</v>
      </c>
      <c r="I4655" t="str">
        <f t="shared" si="216"/>
        <v/>
      </c>
      <c r="J4655">
        <f>Cleaned_Data!J4655</f>
        <v>24</v>
      </c>
      <c r="K4655" t="str">
        <f t="shared" si="217"/>
        <v>2024-10</v>
      </c>
      <c r="L4655">
        <f t="shared" si="218"/>
        <v>0</v>
      </c>
    </row>
    <row r="4656" spans="1:12">
      <c r="A4656" t="s">
        <v>13484</v>
      </c>
      <c r="B4656" t="s">
        <v>13485</v>
      </c>
      <c r="C4656" t="s">
        <v>13486</v>
      </c>
      <c r="D4656" t="s">
        <v>15</v>
      </c>
      <c r="E4656" t="s">
        <v>28</v>
      </c>
      <c r="F4656" t="s">
        <v>36</v>
      </c>
      <c r="G4656" t="s">
        <v>31</v>
      </c>
      <c r="H4656">
        <f>Cleaned_Data!K4656</f>
        <v>6.13</v>
      </c>
      <c r="I4656" t="str">
        <f t="shared" si="216"/>
        <v>YES</v>
      </c>
      <c r="J4656">
        <f>Cleaned_Data!J4656</f>
        <v>8</v>
      </c>
      <c r="K4656" t="str">
        <f t="shared" si="217"/>
        <v>2024-02</v>
      </c>
      <c r="L4656">
        <f t="shared" si="218"/>
        <v>0</v>
      </c>
    </row>
    <row r="4657" spans="1:12">
      <c r="A4657" t="s">
        <v>13487</v>
      </c>
      <c r="B4657" t="s">
        <v>13488</v>
      </c>
      <c r="C4657" t="s">
        <v>13489</v>
      </c>
      <c r="D4657" t="s">
        <v>15</v>
      </c>
      <c r="E4657" t="s">
        <v>16</v>
      </c>
      <c r="F4657" t="s">
        <v>36</v>
      </c>
      <c r="G4657" t="s">
        <v>31</v>
      </c>
      <c r="H4657">
        <f>Cleaned_Data!K4657</f>
        <v>6.07</v>
      </c>
      <c r="I4657" t="str">
        <f t="shared" si="216"/>
        <v>YES</v>
      </c>
      <c r="J4657">
        <f>Cleaned_Data!J4657</f>
        <v>8</v>
      </c>
      <c r="K4657" t="str">
        <f t="shared" si="217"/>
        <v>2024-01</v>
      </c>
      <c r="L4657">
        <f t="shared" si="218"/>
        <v>0</v>
      </c>
    </row>
    <row r="4658" spans="1:12">
      <c r="A4658" t="s">
        <v>13490</v>
      </c>
      <c r="B4658" t="s">
        <v>13491</v>
      </c>
      <c r="C4658" t="s">
        <v>13492</v>
      </c>
      <c r="D4658" t="s">
        <v>23</v>
      </c>
      <c r="E4658" t="s">
        <v>54</v>
      </c>
      <c r="F4658" t="s">
        <v>60</v>
      </c>
      <c r="G4658" t="s">
        <v>19</v>
      </c>
      <c r="H4658">
        <f>Cleaned_Data!K4658</f>
        <v>12.67</v>
      </c>
      <c r="I4658" t="str">
        <f t="shared" si="216"/>
        <v>YES</v>
      </c>
      <c r="J4658">
        <f>Cleaned_Data!J4658</f>
        <v>24</v>
      </c>
      <c r="K4658" t="str">
        <f t="shared" si="217"/>
        <v>2024-08</v>
      </c>
      <c r="L4658">
        <f t="shared" si="218"/>
        <v>0</v>
      </c>
    </row>
    <row r="4659" spans="1:12">
      <c r="A4659" t="s">
        <v>13493</v>
      </c>
      <c r="B4659" t="s">
        <v>13494</v>
      </c>
      <c r="C4659" t="s">
        <v>13495</v>
      </c>
      <c r="D4659" t="s">
        <v>23</v>
      </c>
      <c r="E4659" t="s">
        <v>24</v>
      </c>
      <c r="F4659" t="s">
        <v>17</v>
      </c>
      <c r="G4659" t="s">
        <v>19</v>
      </c>
      <c r="H4659">
        <f>Cleaned_Data!K4659</f>
        <v>58.48</v>
      </c>
      <c r="I4659" t="str">
        <f t="shared" si="216"/>
        <v>NO</v>
      </c>
      <c r="J4659">
        <f>Cleaned_Data!J4659</f>
        <v>24</v>
      </c>
      <c r="K4659" t="str">
        <f t="shared" si="217"/>
        <v>2024-10</v>
      </c>
      <c r="L4659">
        <f t="shared" si="218"/>
        <v>34.479999999999997</v>
      </c>
    </row>
    <row r="4660" spans="1:12">
      <c r="A4660" t="s">
        <v>13496</v>
      </c>
      <c r="B4660" t="s">
        <v>13497</v>
      </c>
      <c r="C4660" t="s">
        <v>13498</v>
      </c>
      <c r="D4660" t="s">
        <v>23</v>
      </c>
      <c r="E4660" t="s">
        <v>16</v>
      </c>
      <c r="F4660" t="s">
        <v>29</v>
      </c>
      <c r="G4660" t="s">
        <v>31</v>
      </c>
      <c r="H4660">
        <f>Cleaned_Data!K4660</f>
        <v>14.57</v>
      </c>
      <c r="I4660" t="str">
        <f t="shared" si="216"/>
        <v>YES</v>
      </c>
      <c r="J4660">
        <f>Cleaned_Data!J4660</f>
        <v>24</v>
      </c>
      <c r="K4660" t="str">
        <f t="shared" si="217"/>
        <v>2024-10</v>
      </c>
      <c r="L4660">
        <f t="shared" si="218"/>
        <v>0</v>
      </c>
    </row>
    <row r="4661" spans="1:12">
      <c r="A4661" t="s">
        <v>13499</v>
      </c>
      <c r="B4661" t="s">
        <v>13500</v>
      </c>
      <c r="C4661" t="s">
        <v>13501</v>
      </c>
      <c r="D4661" t="s">
        <v>23</v>
      </c>
      <c r="E4661" t="s">
        <v>54</v>
      </c>
      <c r="F4661" t="s">
        <v>29</v>
      </c>
      <c r="G4661" t="s">
        <v>19</v>
      </c>
      <c r="H4661">
        <f>Cleaned_Data!K4661</f>
        <v>49.01</v>
      </c>
      <c r="I4661" t="str">
        <f t="shared" si="216"/>
        <v>NO</v>
      </c>
      <c r="J4661">
        <f>Cleaned_Data!J4661</f>
        <v>24</v>
      </c>
      <c r="K4661" t="str">
        <f t="shared" si="217"/>
        <v>2024-11</v>
      </c>
      <c r="L4661">
        <f t="shared" si="218"/>
        <v>25.009999999999998</v>
      </c>
    </row>
    <row r="4662" spans="1:12">
      <c r="A4662" t="s">
        <v>13502</v>
      </c>
      <c r="B4662" t="s">
        <v>13503</v>
      </c>
      <c r="C4662" t="s">
        <v>13504</v>
      </c>
      <c r="D4662" t="s">
        <v>23</v>
      </c>
      <c r="E4662" t="s">
        <v>59</v>
      </c>
      <c r="F4662" t="s">
        <v>17</v>
      </c>
      <c r="G4662" t="s">
        <v>19</v>
      </c>
      <c r="H4662">
        <f>Cleaned_Data!K4662</f>
        <v>3.62</v>
      </c>
      <c r="I4662" t="str">
        <f t="shared" si="216"/>
        <v>YES</v>
      </c>
      <c r="J4662">
        <f>Cleaned_Data!J4662</f>
        <v>24</v>
      </c>
      <c r="K4662" t="str">
        <f t="shared" si="217"/>
        <v>2024-11</v>
      </c>
      <c r="L4662">
        <f t="shared" si="218"/>
        <v>0</v>
      </c>
    </row>
    <row r="4663" spans="1:12">
      <c r="A4663" t="s">
        <v>13505</v>
      </c>
      <c r="B4663" t="s">
        <v>13506</v>
      </c>
      <c r="C4663" t="s">
        <v>13507</v>
      </c>
      <c r="D4663" t="s">
        <v>35</v>
      </c>
      <c r="E4663" t="s">
        <v>16</v>
      </c>
      <c r="F4663" t="s">
        <v>17</v>
      </c>
      <c r="G4663" t="s">
        <v>31</v>
      </c>
      <c r="H4663">
        <f>Cleaned_Data!K4663</f>
        <v>37.28</v>
      </c>
      <c r="I4663" t="str">
        <f t="shared" si="216"/>
        <v>YES</v>
      </c>
      <c r="J4663">
        <f>Cleaned_Data!J4663</f>
        <v>48</v>
      </c>
      <c r="K4663" t="str">
        <f t="shared" si="217"/>
        <v>2024-03</v>
      </c>
      <c r="L4663">
        <f t="shared" si="218"/>
        <v>0</v>
      </c>
    </row>
    <row r="4664" spans="1:12">
      <c r="A4664" t="s">
        <v>13508</v>
      </c>
      <c r="B4664" t="s">
        <v>13509</v>
      </c>
      <c r="C4664" t="s">
        <v>13510</v>
      </c>
      <c r="D4664" t="s">
        <v>23</v>
      </c>
      <c r="E4664" t="s">
        <v>54</v>
      </c>
      <c r="F4664" t="s">
        <v>17</v>
      </c>
      <c r="G4664" t="s">
        <v>19</v>
      </c>
      <c r="H4664">
        <f>Cleaned_Data!K4664</f>
        <v>4.58</v>
      </c>
      <c r="I4664" t="str">
        <f t="shared" si="216"/>
        <v>YES</v>
      </c>
      <c r="J4664">
        <f>Cleaned_Data!J4664</f>
        <v>24</v>
      </c>
      <c r="K4664" t="str">
        <f t="shared" si="217"/>
        <v>2024-07</v>
      </c>
      <c r="L4664">
        <f t="shared" si="218"/>
        <v>0</v>
      </c>
    </row>
    <row r="4665" spans="1:12">
      <c r="A4665" t="s">
        <v>13511</v>
      </c>
      <c r="B4665" t="s">
        <v>13512</v>
      </c>
      <c r="C4665" t="s">
        <v>13513</v>
      </c>
      <c r="D4665" t="s">
        <v>23</v>
      </c>
      <c r="E4665" t="s">
        <v>28</v>
      </c>
      <c r="F4665" t="s">
        <v>17</v>
      </c>
      <c r="G4665" t="s">
        <v>19</v>
      </c>
      <c r="H4665">
        <f>Cleaned_Data!K4665</f>
        <v>3.35</v>
      </c>
      <c r="I4665" t="str">
        <f t="shared" si="216"/>
        <v>YES</v>
      </c>
      <c r="J4665">
        <f>Cleaned_Data!J4665</f>
        <v>24</v>
      </c>
      <c r="K4665" t="str">
        <f t="shared" si="217"/>
        <v>2024-03</v>
      </c>
      <c r="L4665">
        <f t="shared" si="218"/>
        <v>0</v>
      </c>
    </row>
    <row r="4666" spans="1:12">
      <c r="A4666" t="s">
        <v>13514</v>
      </c>
      <c r="B4666" t="s">
        <v>13515</v>
      </c>
      <c r="C4666" t="s">
        <v>13516</v>
      </c>
      <c r="D4666" t="s">
        <v>158</v>
      </c>
      <c r="E4666" t="s">
        <v>54</v>
      </c>
      <c r="F4666" t="s">
        <v>41</v>
      </c>
      <c r="G4666" t="s">
        <v>19</v>
      </c>
      <c r="H4666">
        <f>Cleaned_Data!K4666</f>
        <v>3.8</v>
      </c>
      <c r="I4666" t="str">
        <f t="shared" si="216"/>
        <v>YES</v>
      </c>
      <c r="J4666">
        <f>Cleaned_Data!J4666</f>
        <v>4</v>
      </c>
      <c r="K4666" t="str">
        <f t="shared" si="217"/>
        <v>2024-12</v>
      </c>
      <c r="L4666">
        <f t="shared" si="218"/>
        <v>0</v>
      </c>
    </row>
    <row r="4667" spans="1:12">
      <c r="A4667" t="s">
        <v>13517</v>
      </c>
      <c r="B4667" t="s">
        <v>13518</v>
      </c>
      <c r="C4667" t="s">
        <v>13519</v>
      </c>
      <c r="D4667" t="s">
        <v>35</v>
      </c>
      <c r="E4667" t="s">
        <v>54</v>
      </c>
      <c r="F4667" t="s">
        <v>41</v>
      </c>
      <c r="G4667" t="s">
        <v>19</v>
      </c>
      <c r="H4667">
        <f>Cleaned_Data!K4667</f>
        <v>43.87</v>
      </c>
      <c r="I4667" t="str">
        <f t="shared" si="216"/>
        <v>YES</v>
      </c>
      <c r="J4667">
        <f>Cleaned_Data!J4667</f>
        <v>48</v>
      </c>
      <c r="K4667" t="str">
        <f t="shared" si="217"/>
        <v>2024-03</v>
      </c>
      <c r="L4667">
        <f t="shared" si="218"/>
        <v>0</v>
      </c>
    </row>
    <row r="4668" spans="1:12">
      <c r="A4668" t="s">
        <v>13520</v>
      </c>
      <c r="B4668" t="s">
        <v>13521</v>
      </c>
      <c r="C4668" t="s">
        <v>13522</v>
      </c>
      <c r="D4668" t="s">
        <v>23</v>
      </c>
      <c r="E4668" t="s">
        <v>59</v>
      </c>
      <c r="F4668" t="s">
        <v>41</v>
      </c>
      <c r="G4668" t="s">
        <v>31</v>
      </c>
      <c r="H4668">
        <f>Cleaned_Data!K4668</f>
        <v>2.88</v>
      </c>
      <c r="I4668" t="str">
        <f t="shared" si="216"/>
        <v>YES</v>
      </c>
      <c r="J4668">
        <f>Cleaned_Data!J4668</f>
        <v>24</v>
      </c>
      <c r="K4668" t="str">
        <f t="shared" si="217"/>
        <v>2024-12</v>
      </c>
      <c r="L4668">
        <f t="shared" si="218"/>
        <v>0</v>
      </c>
    </row>
    <row r="4669" spans="1:12">
      <c r="A4669" t="s">
        <v>13523</v>
      </c>
      <c r="B4669" t="s">
        <v>13524</v>
      </c>
      <c r="C4669" t="s">
        <v>13525</v>
      </c>
      <c r="D4669" t="s">
        <v>23</v>
      </c>
      <c r="E4669" t="s">
        <v>24</v>
      </c>
      <c r="F4669" t="s">
        <v>41</v>
      </c>
      <c r="G4669" t="s">
        <v>19</v>
      </c>
      <c r="H4669">
        <f>Cleaned_Data!K4669</f>
        <v>33.06</v>
      </c>
      <c r="I4669" t="str">
        <f t="shared" si="216"/>
        <v>NO</v>
      </c>
      <c r="J4669">
        <f>Cleaned_Data!J4669</f>
        <v>24</v>
      </c>
      <c r="K4669" t="str">
        <f t="shared" si="217"/>
        <v>2024-07</v>
      </c>
      <c r="L4669">
        <f t="shared" si="218"/>
        <v>9.0600000000000023</v>
      </c>
    </row>
    <row r="4670" spans="1:12">
      <c r="A4670" t="s">
        <v>13526</v>
      </c>
      <c r="B4670" t="s">
        <v>13527</v>
      </c>
      <c r="C4670" t="s">
        <v>13528</v>
      </c>
      <c r="D4670" t="s">
        <v>15</v>
      </c>
      <c r="E4670" t="s">
        <v>28</v>
      </c>
      <c r="F4670" t="s">
        <v>17</v>
      </c>
      <c r="G4670" t="s">
        <v>19</v>
      </c>
      <c r="H4670">
        <f>Cleaned_Data!K4670</f>
        <v>12.02</v>
      </c>
      <c r="I4670" t="str">
        <f t="shared" si="216"/>
        <v>NO</v>
      </c>
      <c r="J4670">
        <f>Cleaned_Data!J4670</f>
        <v>8</v>
      </c>
      <c r="K4670" t="str">
        <f t="shared" si="217"/>
        <v>2024-01</v>
      </c>
      <c r="L4670">
        <f t="shared" si="218"/>
        <v>4.0199999999999996</v>
      </c>
    </row>
    <row r="4671" spans="1:12">
      <c r="A4671" t="s">
        <v>13529</v>
      </c>
      <c r="B4671" t="s">
        <v>13530</v>
      </c>
      <c r="C4671" t="s">
        <v>13531</v>
      </c>
      <c r="D4671" t="s">
        <v>15</v>
      </c>
      <c r="E4671" t="s">
        <v>28</v>
      </c>
      <c r="F4671" t="s">
        <v>41</v>
      </c>
      <c r="G4671" t="s">
        <v>19</v>
      </c>
      <c r="H4671">
        <f>Cleaned_Data!K4671</f>
        <v>2.72</v>
      </c>
      <c r="I4671" t="str">
        <f t="shared" si="216"/>
        <v>YES</v>
      </c>
      <c r="J4671">
        <f>Cleaned_Data!J4671</f>
        <v>8</v>
      </c>
      <c r="K4671" t="str">
        <f t="shared" si="217"/>
        <v>2024-07</v>
      </c>
      <c r="L4671">
        <f t="shared" si="218"/>
        <v>0</v>
      </c>
    </row>
    <row r="4672" spans="1:12">
      <c r="A4672" t="s">
        <v>13532</v>
      </c>
      <c r="B4672" t="s">
        <v>13533</v>
      </c>
      <c r="C4672" t="s">
        <v>13534</v>
      </c>
      <c r="D4672" t="s">
        <v>23</v>
      </c>
      <c r="E4672" t="s">
        <v>59</v>
      </c>
      <c r="F4672" t="s">
        <v>36</v>
      </c>
      <c r="G4672" t="s">
        <v>19</v>
      </c>
      <c r="H4672">
        <f>Cleaned_Data!K4672</f>
        <v>10.37</v>
      </c>
      <c r="I4672" t="str">
        <f t="shared" si="216"/>
        <v>YES</v>
      </c>
      <c r="J4672">
        <f>Cleaned_Data!J4672</f>
        <v>24</v>
      </c>
      <c r="K4672" t="str">
        <f t="shared" si="217"/>
        <v>2024-12</v>
      </c>
      <c r="L4672">
        <f t="shared" si="218"/>
        <v>0</v>
      </c>
    </row>
    <row r="4673" spans="1:12">
      <c r="A4673" t="s">
        <v>13535</v>
      </c>
      <c r="B4673" t="s">
        <v>13536</v>
      </c>
      <c r="C4673" t="s">
        <v>13537</v>
      </c>
      <c r="D4673" t="s">
        <v>23</v>
      </c>
      <c r="E4673" t="s">
        <v>16</v>
      </c>
      <c r="F4673" t="s">
        <v>36</v>
      </c>
      <c r="G4673" t="s">
        <v>31</v>
      </c>
      <c r="H4673">
        <f>Cleaned_Data!K4673</f>
        <v>3.72</v>
      </c>
      <c r="I4673" t="str">
        <f t="shared" si="216"/>
        <v>YES</v>
      </c>
      <c r="J4673">
        <f>Cleaned_Data!J4673</f>
        <v>24</v>
      </c>
      <c r="K4673" t="str">
        <f t="shared" si="217"/>
        <v>2024-05</v>
      </c>
      <c r="L4673">
        <f t="shared" si="218"/>
        <v>0</v>
      </c>
    </row>
    <row r="4674" spans="1:12">
      <c r="A4674" t="s">
        <v>13538</v>
      </c>
      <c r="B4674" t="s">
        <v>13539</v>
      </c>
      <c r="C4674" t="s">
        <v>13540</v>
      </c>
      <c r="D4674" t="s">
        <v>23</v>
      </c>
      <c r="E4674" t="s">
        <v>59</v>
      </c>
      <c r="F4674" t="s">
        <v>17</v>
      </c>
      <c r="G4674" t="s">
        <v>31</v>
      </c>
      <c r="H4674">
        <f>Cleaned_Data!K4674</f>
        <v>18.12</v>
      </c>
      <c r="I4674" t="str">
        <f t="shared" ref="I4674:I4737" si="219">IF(OR(G4674="Resolved", G4674="Closed"), IF(AND(H4674&lt;&gt;"", H4674&lt;=J4674), "YES", "NO"), "")</f>
        <v>YES</v>
      </c>
      <c r="J4674">
        <f>Cleaned_Data!J4674</f>
        <v>24</v>
      </c>
      <c r="K4674" t="str">
        <f t="shared" ref="K4674:K4737" si="220">LEFT(B4674, 7)</f>
        <v>2024-09</v>
      </c>
      <c r="L4674">
        <f t="shared" ref="L4674:L4737" si="221">IF(I4674="NO", H4674-J4674, 0)</f>
        <v>0</v>
      </c>
    </row>
    <row r="4675" spans="1:12">
      <c r="A4675" t="s">
        <v>13541</v>
      </c>
      <c r="B4675" t="s">
        <v>13542</v>
      </c>
      <c r="D4675" t="s">
        <v>23</v>
      </c>
      <c r="E4675" t="s">
        <v>28</v>
      </c>
      <c r="F4675" t="s">
        <v>41</v>
      </c>
      <c r="G4675" t="s">
        <v>46</v>
      </c>
      <c r="H4675">
        <f>Cleaned_Data!K4675</f>
        <v>0</v>
      </c>
      <c r="I4675" t="str">
        <f t="shared" si="219"/>
        <v/>
      </c>
      <c r="J4675">
        <f>Cleaned_Data!J4675</f>
        <v>24</v>
      </c>
      <c r="K4675" t="str">
        <f t="shared" si="220"/>
        <v>2024-11</v>
      </c>
      <c r="L4675">
        <f t="shared" si="221"/>
        <v>0</v>
      </c>
    </row>
    <row r="4676" spans="1:12">
      <c r="A4676" t="s">
        <v>13543</v>
      </c>
      <c r="B4676" t="s">
        <v>13544</v>
      </c>
      <c r="C4676" t="s">
        <v>13545</v>
      </c>
      <c r="D4676" t="s">
        <v>23</v>
      </c>
      <c r="E4676" t="s">
        <v>28</v>
      </c>
      <c r="F4676" t="s">
        <v>17</v>
      </c>
      <c r="G4676" t="s">
        <v>19</v>
      </c>
      <c r="H4676">
        <f>Cleaned_Data!K4676</f>
        <v>30.53</v>
      </c>
      <c r="I4676" t="str">
        <f t="shared" si="219"/>
        <v>NO</v>
      </c>
      <c r="J4676">
        <f>Cleaned_Data!J4676</f>
        <v>24</v>
      </c>
      <c r="K4676" t="str">
        <f t="shared" si="220"/>
        <v>2024-04</v>
      </c>
      <c r="L4676">
        <f t="shared" si="221"/>
        <v>6.5300000000000011</v>
      </c>
    </row>
    <row r="4677" spans="1:12">
      <c r="A4677" t="s">
        <v>13546</v>
      </c>
      <c r="B4677" t="s">
        <v>13547</v>
      </c>
      <c r="C4677" t="s">
        <v>13548</v>
      </c>
      <c r="D4677" t="s">
        <v>15</v>
      </c>
      <c r="E4677" t="s">
        <v>28</v>
      </c>
      <c r="F4677" t="s">
        <v>17</v>
      </c>
      <c r="G4677" t="s">
        <v>31</v>
      </c>
      <c r="H4677">
        <f>Cleaned_Data!K4677</f>
        <v>15.68</v>
      </c>
      <c r="I4677" t="str">
        <f t="shared" si="219"/>
        <v>NO</v>
      </c>
      <c r="J4677">
        <f>Cleaned_Data!J4677</f>
        <v>8</v>
      </c>
      <c r="K4677" t="str">
        <f t="shared" si="220"/>
        <v>2024-08</v>
      </c>
      <c r="L4677">
        <f t="shared" si="221"/>
        <v>7.68</v>
      </c>
    </row>
    <row r="4678" spans="1:12">
      <c r="A4678" t="s">
        <v>13549</v>
      </c>
      <c r="B4678" t="s">
        <v>13550</v>
      </c>
      <c r="D4678" t="s">
        <v>23</v>
      </c>
      <c r="E4678" t="s">
        <v>24</v>
      </c>
      <c r="F4678" t="s">
        <v>60</v>
      </c>
      <c r="G4678" t="s">
        <v>63</v>
      </c>
      <c r="H4678">
        <f>Cleaned_Data!K4678</f>
        <v>0</v>
      </c>
      <c r="I4678" t="str">
        <f t="shared" si="219"/>
        <v/>
      </c>
      <c r="J4678">
        <f>Cleaned_Data!J4678</f>
        <v>24</v>
      </c>
      <c r="K4678" t="str">
        <f t="shared" si="220"/>
        <v>2024-05</v>
      </c>
      <c r="L4678">
        <f t="shared" si="221"/>
        <v>0</v>
      </c>
    </row>
    <row r="4679" spans="1:12">
      <c r="A4679" t="s">
        <v>13551</v>
      </c>
      <c r="B4679" t="s">
        <v>13552</v>
      </c>
      <c r="C4679" t="s">
        <v>13553</v>
      </c>
      <c r="D4679" t="s">
        <v>15</v>
      </c>
      <c r="E4679" t="s">
        <v>24</v>
      </c>
      <c r="F4679" t="s">
        <v>41</v>
      </c>
      <c r="G4679" t="s">
        <v>31</v>
      </c>
      <c r="H4679">
        <f>Cleaned_Data!K4679</f>
        <v>7.01</v>
      </c>
      <c r="I4679" t="str">
        <f t="shared" si="219"/>
        <v>YES</v>
      </c>
      <c r="J4679">
        <f>Cleaned_Data!J4679</f>
        <v>8</v>
      </c>
      <c r="K4679" t="str">
        <f t="shared" si="220"/>
        <v>2024-06</v>
      </c>
      <c r="L4679">
        <f t="shared" si="221"/>
        <v>0</v>
      </c>
    </row>
    <row r="4680" spans="1:12">
      <c r="A4680" t="s">
        <v>13554</v>
      </c>
      <c r="B4680" t="s">
        <v>13555</v>
      </c>
      <c r="C4680" t="s">
        <v>13556</v>
      </c>
      <c r="D4680" t="s">
        <v>23</v>
      </c>
      <c r="E4680" t="s">
        <v>16</v>
      </c>
      <c r="F4680" t="s">
        <v>17</v>
      </c>
      <c r="G4680" t="s">
        <v>19</v>
      </c>
      <c r="H4680">
        <f>Cleaned_Data!K4680</f>
        <v>11.39</v>
      </c>
      <c r="I4680" t="str">
        <f t="shared" si="219"/>
        <v>YES</v>
      </c>
      <c r="J4680">
        <f>Cleaned_Data!J4680</f>
        <v>24</v>
      </c>
      <c r="K4680" t="str">
        <f t="shared" si="220"/>
        <v>2024-04</v>
      </c>
      <c r="L4680">
        <f t="shared" si="221"/>
        <v>0</v>
      </c>
    </row>
    <row r="4681" spans="1:12">
      <c r="A4681" t="s">
        <v>13557</v>
      </c>
      <c r="B4681" t="s">
        <v>13558</v>
      </c>
      <c r="D4681" t="s">
        <v>23</v>
      </c>
      <c r="E4681" t="s">
        <v>59</v>
      </c>
      <c r="F4681" t="s">
        <v>36</v>
      </c>
      <c r="G4681" t="s">
        <v>46</v>
      </c>
      <c r="H4681">
        <f>Cleaned_Data!K4681</f>
        <v>0</v>
      </c>
      <c r="I4681" t="str">
        <f t="shared" si="219"/>
        <v/>
      </c>
      <c r="J4681">
        <f>Cleaned_Data!J4681</f>
        <v>24</v>
      </c>
      <c r="K4681" t="str">
        <f t="shared" si="220"/>
        <v>2024-05</v>
      </c>
      <c r="L4681">
        <f t="shared" si="221"/>
        <v>0</v>
      </c>
    </row>
    <row r="4682" spans="1:12">
      <c r="A4682" t="s">
        <v>13559</v>
      </c>
      <c r="B4682" t="s">
        <v>13560</v>
      </c>
      <c r="C4682" t="s">
        <v>13561</v>
      </c>
      <c r="D4682" t="s">
        <v>23</v>
      </c>
      <c r="E4682" t="s">
        <v>28</v>
      </c>
      <c r="F4682" t="s">
        <v>60</v>
      </c>
      <c r="G4682" t="s">
        <v>19</v>
      </c>
      <c r="H4682">
        <f>Cleaned_Data!K4682</f>
        <v>37.69</v>
      </c>
      <c r="I4682" t="str">
        <f t="shared" si="219"/>
        <v>NO</v>
      </c>
      <c r="J4682">
        <f>Cleaned_Data!J4682</f>
        <v>24</v>
      </c>
      <c r="K4682" t="str">
        <f t="shared" si="220"/>
        <v>2024-03</v>
      </c>
      <c r="L4682">
        <f t="shared" si="221"/>
        <v>13.689999999999998</v>
      </c>
    </row>
    <row r="4683" spans="1:12">
      <c r="A4683" t="s">
        <v>13562</v>
      </c>
      <c r="B4683" t="s">
        <v>13563</v>
      </c>
      <c r="C4683" t="s">
        <v>13564</v>
      </c>
      <c r="D4683" t="s">
        <v>15</v>
      </c>
      <c r="E4683" t="s">
        <v>59</v>
      </c>
      <c r="F4683" t="s">
        <v>60</v>
      </c>
      <c r="G4683" t="s">
        <v>31</v>
      </c>
      <c r="H4683">
        <f>Cleaned_Data!K4683</f>
        <v>16.920000000000002</v>
      </c>
      <c r="I4683" t="str">
        <f t="shared" si="219"/>
        <v>NO</v>
      </c>
      <c r="J4683">
        <f>Cleaned_Data!J4683</f>
        <v>8</v>
      </c>
      <c r="K4683" t="str">
        <f t="shared" si="220"/>
        <v>2024-10</v>
      </c>
      <c r="L4683">
        <f t="shared" si="221"/>
        <v>8.9200000000000017</v>
      </c>
    </row>
    <row r="4684" spans="1:12">
      <c r="A4684" t="s">
        <v>13565</v>
      </c>
      <c r="B4684" t="s">
        <v>13566</v>
      </c>
      <c r="C4684" t="s">
        <v>13567</v>
      </c>
      <c r="D4684" t="s">
        <v>35</v>
      </c>
      <c r="E4684" t="s">
        <v>28</v>
      </c>
      <c r="F4684" t="s">
        <v>41</v>
      </c>
      <c r="G4684" t="s">
        <v>19</v>
      </c>
      <c r="H4684">
        <f>Cleaned_Data!K4684</f>
        <v>17.600000000000001</v>
      </c>
      <c r="I4684" t="str">
        <f t="shared" si="219"/>
        <v>YES</v>
      </c>
      <c r="J4684">
        <f>Cleaned_Data!J4684</f>
        <v>48</v>
      </c>
      <c r="K4684" t="str">
        <f t="shared" si="220"/>
        <v>2024-03</v>
      </c>
      <c r="L4684">
        <f t="shared" si="221"/>
        <v>0</v>
      </c>
    </row>
    <row r="4685" spans="1:12">
      <c r="A4685" t="s">
        <v>13568</v>
      </c>
      <c r="B4685" t="s">
        <v>13569</v>
      </c>
      <c r="C4685" t="s">
        <v>13570</v>
      </c>
      <c r="D4685" t="s">
        <v>23</v>
      </c>
      <c r="E4685" t="s">
        <v>28</v>
      </c>
      <c r="F4685" t="s">
        <v>29</v>
      </c>
      <c r="G4685" t="s">
        <v>19</v>
      </c>
      <c r="H4685">
        <f>Cleaned_Data!K4685</f>
        <v>17.93</v>
      </c>
      <c r="I4685" t="str">
        <f t="shared" si="219"/>
        <v>YES</v>
      </c>
      <c r="J4685">
        <f>Cleaned_Data!J4685</f>
        <v>24</v>
      </c>
      <c r="K4685" t="str">
        <f t="shared" si="220"/>
        <v>2024-05</v>
      </c>
      <c r="L4685">
        <f t="shared" si="221"/>
        <v>0</v>
      </c>
    </row>
    <row r="4686" spans="1:12">
      <c r="A4686" t="s">
        <v>13571</v>
      </c>
      <c r="B4686" t="s">
        <v>13572</v>
      </c>
      <c r="C4686" t="s">
        <v>13573</v>
      </c>
      <c r="D4686" t="s">
        <v>23</v>
      </c>
      <c r="E4686" t="s">
        <v>16</v>
      </c>
      <c r="F4686" t="s">
        <v>36</v>
      </c>
      <c r="G4686" t="s">
        <v>19</v>
      </c>
      <c r="H4686">
        <f>Cleaned_Data!K4686</f>
        <v>36.92</v>
      </c>
      <c r="I4686" t="str">
        <f t="shared" si="219"/>
        <v>NO</v>
      </c>
      <c r="J4686">
        <f>Cleaned_Data!J4686</f>
        <v>24</v>
      </c>
      <c r="K4686" t="str">
        <f t="shared" si="220"/>
        <v>2024-10</v>
      </c>
      <c r="L4686">
        <f t="shared" si="221"/>
        <v>12.920000000000002</v>
      </c>
    </row>
    <row r="4687" spans="1:12">
      <c r="A4687" t="s">
        <v>13574</v>
      </c>
      <c r="B4687" t="s">
        <v>13575</v>
      </c>
      <c r="C4687" t="s">
        <v>13576</v>
      </c>
      <c r="D4687" t="s">
        <v>35</v>
      </c>
      <c r="E4687" t="s">
        <v>24</v>
      </c>
      <c r="F4687" t="s">
        <v>17</v>
      </c>
      <c r="G4687" t="s">
        <v>31</v>
      </c>
      <c r="H4687">
        <f>Cleaned_Data!K4687</f>
        <v>40.22</v>
      </c>
      <c r="I4687" t="str">
        <f t="shared" si="219"/>
        <v>YES</v>
      </c>
      <c r="J4687">
        <f>Cleaned_Data!J4687</f>
        <v>48</v>
      </c>
      <c r="K4687" t="str">
        <f t="shared" si="220"/>
        <v>2024-01</v>
      </c>
      <c r="L4687">
        <f t="shared" si="221"/>
        <v>0</v>
      </c>
    </row>
    <row r="4688" spans="1:12">
      <c r="A4688" t="s">
        <v>13577</v>
      </c>
      <c r="B4688" t="s">
        <v>13578</v>
      </c>
      <c r="C4688" t="s">
        <v>13579</v>
      </c>
      <c r="D4688" t="s">
        <v>23</v>
      </c>
      <c r="E4688" t="s">
        <v>54</v>
      </c>
      <c r="F4688" t="s">
        <v>41</v>
      </c>
      <c r="G4688" t="s">
        <v>31</v>
      </c>
      <c r="H4688">
        <f>Cleaned_Data!K4688</f>
        <v>21.53</v>
      </c>
      <c r="I4688" t="str">
        <f t="shared" si="219"/>
        <v>YES</v>
      </c>
      <c r="J4688">
        <f>Cleaned_Data!J4688</f>
        <v>24</v>
      </c>
      <c r="K4688" t="str">
        <f t="shared" si="220"/>
        <v>2024-01</v>
      </c>
      <c r="L4688">
        <f t="shared" si="221"/>
        <v>0</v>
      </c>
    </row>
    <row r="4689" spans="1:12">
      <c r="A4689" t="s">
        <v>13580</v>
      </c>
      <c r="B4689" t="s">
        <v>13581</v>
      </c>
      <c r="C4689" t="s">
        <v>13582</v>
      </c>
      <c r="D4689" t="s">
        <v>23</v>
      </c>
      <c r="E4689" t="s">
        <v>54</v>
      </c>
      <c r="F4689" t="s">
        <v>36</v>
      </c>
      <c r="G4689" t="s">
        <v>19</v>
      </c>
      <c r="H4689">
        <f>Cleaned_Data!K4689</f>
        <v>21.08</v>
      </c>
      <c r="I4689" t="str">
        <f t="shared" si="219"/>
        <v>YES</v>
      </c>
      <c r="J4689">
        <f>Cleaned_Data!J4689</f>
        <v>24</v>
      </c>
      <c r="K4689" t="str">
        <f t="shared" si="220"/>
        <v>2024-02</v>
      </c>
      <c r="L4689">
        <f t="shared" si="221"/>
        <v>0</v>
      </c>
    </row>
    <row r="4690" spans="1:12">
      <c r="A4690" t="s">
        <v>13583</v>
      </c>
      <c r="B4690" t="s">
        <v>13584</v>
      </c>
      <c r="C4690" t="s">
        <v>13585</v>
      </c>
      <c r="D4690" t="s">
        <v>15</v>
      </c>
      <c r="E4690" t="s">
        <v>24</v>
      </c>
      <c r="F4690" t="s">
        <v>29</v>
      </c>
      <c r="G4690" t="s">
        <v>19</v>
      </c>
      <c r="H4690">
        <f>Cleaned_Data!K4690</f>
        <v>1.44</v>
      </c>
      <c r="I4690" t="str">
        <f t="shared" si="219"/>
        <v>YES</v>
      </c>
      <c r="J4690">
        <f>Cleaned_Data!J4690</f>
        <v>8</v>
      </c>
      <c r="K4690" t="str">
        <f t="shared" si="220"/>
        <v>2024-04</v>
      </c>
      <c r="L4690">
        <f t="shared" si="221"/>
        <v>0</v>
      </c>
    </row>
    <row r="4691" spans="1:12">
      <c r="A4691" t="s">
        <v>13586</v>
      </c>
      <c r="B4691" t="s">
        <v>13587</v>
      </c>
      <c r="C4691" t="s">
        <v>13588</v>
      </c>
      <c r="D4691" t="s">
        <v>15</v>
      </c>
      <c r="E4691" t="s">
        <v>54</v>
      </c>
      <c r="F4691" t="s">
        <v>17</v>
      </c>
      <c r="G4691" t="s">
        <v>31</v>
      </c>
      <c r="H4691">
        <f>Cleaned_Data!K4691</f>
        <v>4.5999999999999996</v>
      </c>
      <c r="I4691" t="str">
        <f t="shared" si="219"/>
        <v>YES</v>
      </c>
      <c r="J4691">
        <f>Cleaned_Data!J4691</f>
        <v>8</v>
      </c>
      <c r="K4691" t="str">
        <f t="shared" si="220"/>
        <v>2024-02</v>
      </c>
      <c r="L4691">
        <f t="shared" si="221"/>
        <v>0</v>
      </c>
    </row>
    <row r="4692" spans="1:12">
      <c r="A4692" t="s">
        <v>13589</v>
      </c>
      <c r="B4692" t="s">
        <v>13590</v>
      </c>
      <c r="C4692" t="s">
        <v>13591</v>
      </c>
      <c r="D4692" t="s">
        <v>35</v>
      </c>
      <c r="E4692" t="s">
        <v>54</v>
      </c>
      <c r="F4692" t="s">
        <v>29</v>
      </c>
      <c r="G4692" t="s">
        <v>19</v>
      </c>
      <c r="H4692">
        <f>Cleaned_Data!K4692</f>
        <v>17.12</v>
      </c>
      <c r="I4692" t="str">
        <f t="shared" si="219"/>
        <v>YES</v>
      </c>
      <c r="J4692">
        <f>Cleaned_Data!J4692</f>
        <v>48</v>
      </c>
      <c r="K4692" t="str">
        <f t="shared" si="220"/>
        <v>2024-10</v>
      </c>
      <c r="L4692">
        <f t="shared" si="221"/>
        <v>0</v>
      </c>
    </row>
    <row r="4693" spans="1:12">
      <c r="A4693" t="s">
        <v>13592</v>
      </c>
      <c r="B4693" t="s">
        <v>13593</v>
      </c>
      <c r="C4693" t="s">
        <v>13594</v>
      </c>
      <c r="D4693" t="s">
        <v>35</v>
      </c>
      <c r="E4693" t="s">
        <v>16</v>
      </c>
      <c r="F4693" t="s">
        <v>36</v>
      </c>
      <c r="G4693" t="s">
        <v>31</v>
      </c>
      <c r="H4693">
        <f>Cleaned_Data!K4693</f>
        <v>24.69</v>
      </c>
      <c r="I4693" t="str">
        <f t="shared" si="219"/>
        <v>YES</v>
      </c>
      <c r="J4693">
        <f>Cleaned_Data!J4693</f>
        <v>48</v>
      </c>
      <c r="K4693" t="str">
        <f t="shared" si="220"/>
        <v>2024-12</v>
      </c>
      <c r="L4693">
        <f t="shared" si="221"/>
        <v>0</v>
      </c>
    </row>
    <row r="4694" spans="1:12">
      <c r="A4694" t="s">
        <v>13595</v>
      </c>
      <c r="B4694" t="s">
        <v>13596</v>
      </c>
      <c r="C4694" t="s">
        <v>13597</v>
      </c>
      <c r="D4694" t="s">
        <v>158</v>
      </c>
      <c r="E4694" t="s">
        <v>24</v>
      </c>
      <c r="F4694" t="s">
        <v>36</v>
      </c>
      <c r="G4694" t="s">
        <v>19</v>
      </c>
      <c r="H4694">
        <f>Cleaned_Data!K4694</f>
        <v>2.4700000000000002</v>
      </c>
      <c r="I4694" t="str">
        <f t="shared" si="219"/>
        <v>YES</v>
      </c>
      <c r="J4694">
        <f>Cleaned_Data!J4694</f>
        <v>4</v>
      </c>
      <c r="K4694" t="str">
        <f t="shared" si="220"/>
        <v>2024-04</v>
      </c>
      <c r="L4694">
        <f t="shared" si="221"/>
        <v>0</v>
      </c>
    </row>
    <row r="4695" spans="1:12">
      <c r="A4695" t="s">
        <v>13598</v>
      </c>
      <c r="B4695" t="s">
        <v>13599</v>
      </c>
      <c r="C4695" t="s">
        <v>13600</v>
      </c>
      <c r="D4695" t="s">
        <v>23</v>
      </c>
      <c r="E4695" t="s">
        <v>59</v>
      </c>
      <c r="F4695" t="s">
        <v>36</v>
      </c>
      <c r="G4695" t="s">
        <v>19</v>
      </c>
      <c r="H4695">
        <f>Cleaned_Data!K4695</f>
        <v>6.82</v>
      </c>
      <c r="I4695" t="str">
        <f t="shared" si="219"/>
        <v>YES</v>
      </c>
      <c r="J4695">
        <f>Cleaned_Data!J4695</f>
        <v>24</v>
      </c>
      <c r="K4695" t="str">
        <f t="shared" si="220"/>
        <v>2024-11</v>
      </c>
      <c r="L4695">
        <f t="shared" si="221"/>
        <v>0</v>
      </c>
    </row>
    <row r="4696" spans="1:12">
      <c r="A4696" t="s">
        <v>13601</v>
      </c>
      <c r="B4696" t="s">
        <v>13602</v>
      </c>
      <c r="C4696" t="s">
        <v>13603</v>
      </c>
      <c r="D4696" t="s">
        <v>15</v>
      </c>
      <c r="E4696" t="s">
        <v>24</v>
      </c>
      <c r="F4696" t="s">
        <v>36</v>
      </c>
      <c r="G4696" t="s">
        <v>31</v>
      </c>
      <c r="H4696">
        <f>Cleaned_Data!K4696</f>
        <v>3.36</v>
      </c>
      <c r="I4696" t="str">
        <f t="shared" si="219"/>
        <v>YES</v>
      </c>
      <c r="J4696">
        <f>Cleaned_Data!J4696</f>
        <v>8</v>
      </c>
      <c r="K4696" t="str">
        <f t="shared" si="220"/>
        <v>2024-01</v>
      </c>
      <c r="L4696">
        <f t="shared" si="221"/>
        <v>0</v>
      </c>
    </row>
    <row r="4697" spans="1:12">
      <c r="A4697" t="s">
        <v>13604</v>
      </c>
      <c r="B4697" t="s">
        <v>13605</v>
      </c>
      <c r="C4697" t="s">
        <v>13606</v>
      </c>
      <c r="D4697" t="s">
        <v>15</v>
      </c>
      <c r="E4697" t="s">
        <v>54</v>
      </c>
      <c r="F4697" t="s">
        <v>41</v>
      </c>
      <c r="G4697" t="s">
        <v>31</v>
      </c>
      <c r="H4697">
        <f>Cleaned_Data!K4697</f>
        <v>7.34</v>
      </c>
      <c r="I4697" t="str">
        <f t="shared" si="219"/>
        <v>YES</v>
      </c>
      <c r="J4697">
        <f>Cleaned_Data!J4697</f>
        <v>8</v>
      </c>
      <c r="K4697" t="str">
        <f t="shared" si="220"/>
        <v>2024-03</v>
      </c>
      <c r="L4697">
        <f t="shared" si="221"/>
        <v>0</v>
      </c>
    </row>
    <row r="4698" spans="1:12">
      <c r="A4698" t="s">
        <v>13607</v>
      </c>
      <c r="B4698" t="s">
        <v>13608</v>
      </c>
      <c r="C4698" t="s">
        <v>13609</v>
      </c>
      <c r="D4698" t="s">
        <v>158</v>
      </c>
      <c r="E4698" t="s">
        <v>16</v>
      </c>
      <c r="F4698" t="s">
        <v>60</v>
      </c>
      <c r="G4698" t="s">
        <v>19</v>
      </c>
      <c r="H4698">
        <f>Cleaned_Data!K4698</f>
        <v>11.69</v>
      </c>
      <c r="I4698" t="str">
        <f t="shared" si="219"/>
        <v>NO</v>
      </c>
      <c r="J4698">
        <f>Cleaned_Data!J4698</f>
        <v>4</v>
      </c>
      <c r="K4698" t="str">
        <f t="shared" si="220"/>
        <v>2024-01</v>
      </c>
      <c r="L4698">
        <f t="shared" si="221"/>
        <v>7.6899999999999995</v>
      </c>
    </row>
    <row r="4699" spans="1:12">
      <c r="A4699" t="s">
        <v>13610</v>
      </c>
      <c r="B4699" t="s">
        <v>13611</v>
      </c>
      <c r="C4699" t="s">
        <v>13612</v>
      </c>
      <c r="D4699" t="s">
        <v>35</v>
      </c>
      <c r="E4699" t="s">
        <v>28</v>
      </c>
      <c r="F4699" t="s">
        <v>41</v>
      </c>
      <c r="G4699" t="s">
        <v>31</v>
      </c>
      <c r="H4699">
        <f>Cleaned_Data!K4699</f>
        <v>10.68</v>
      </c>
      <c r="I4699" t="str">
        <f t="shared" si="219"/>
        <v>YES</v>
      </c>
      <c r="J4699">
        <f>Cleaned_Data!J4699</f>
        <v>48</v>
      </c>
      <c r="K4699" t="str">
        <f t="shared" si="220"/>
        <v>2024-12</v>
      </c>
      <c r="L4699">
        <f t="shared" si="221"/>
        <v>0</v>
      </c>
    </row>
    <row r="4700" spans="1:12">
      <c r="A4700" t="s">
        <v>13613</v>
      </c>
      <c r="B4700" t="s">
        <v>13614</v>
      </c>
      <c r="C4700" t="s">
        <v>13615</v>
      </c>
      <c r="D4700" t="s">
        <v>23</v>
      </c>
      <c r="E4700" t="s">
        <v>16</v>
      </c>
      <c r="F4700" t="s">
        <v>60</v>
      </c>
      <c r="G4700" t="s">
        <v>31</v>
      </c>
      <c r="H4700">
        <f>Cleaned_Data!K4700</f>
        <v>5.64</v>
      </c>
      <c r="I4700" t="str">
        <f t="shared" si="219"/>
        <v>YES</v>
      </c>
      <c r="J4700">
        <f>Cleaned_Data!J4700</f>
        <v>24</v>
      </c>
      <c r="K4700" t="str">
        <f t="shared" si="220"/>
        <v>2024-10</v>
      </c>
      <c r="L4700">
        <f t="shared" si="221"/>
        <v>0</v>
      </c>
    </row>
    <row r="4701" spans="1:12">
      <c r="A4701" t="s">
        <v>13616</v>
      </c>
      <c r="B4701" t="s">
        <v>13617</v>
      </c>
      <c r="C4701" t="s">
        <v>13618</v>
      </c>
      <c r="D4701" t="s">
        <v>15</v>
      </c>
      <c r="E4701" t="s">
        <v>28</v>
      </c>
      <c r="F4701" t="s">
        <v>60</v>
      </c>
      <c r="G4701" t="s">
        <v>31</v>
      </c>
      <c r="H4701">
        <f>Cleaned_Data!K4701</f>
        <v>2.98</v>
      </c>
      <c r="I4701" t="str">
        <f t="shared" si="219"/>
        <v>YES</v>
      </c>
      <c r="J4701">
        <f>Cleaned_Data!J4701</f>
        <v>8</v>
      </c>
      <c r="K4701" t="str">
        <f t="shared" si="220"/>
        <v>2024-11</v>
      </c>
      <c r="L4701">
        <f t="shared" si="221"/>
        <v>0</v>
      </c>
    </row>
    <row r="4702" spans="1:12">
      <c r="A4702" t="s">
        <v>13619</v>
      </c>
      <c r="B4702" t="s">
        <v>13620</v>
      </c>
      <c r="C4702" t="s">
        <v>13621</v>
      </c>
      <c r="D4702" t="s">
        <v>23</v>
      </c>
      <c r="E4702" t="s">
        <v>16</v>
      </c>
      <c r="F4702" t="s">
        <v>17</v>
      </c>
      <c r="G4702" t="s">
        <v>19</v>
      </c>
      <c r="H4702">
        <f>Cleaned_Data!K4702</f>
        <v>19.61</v>
      </c>
      <c r="I4702" t="str">
        <f t="shared" si="219"/>
        <v>YES</v>
      </c>
      <c r="J4702">
        <f>Cleaned_Data!J4702</f>
        <v>24</v>
      </c>
      <c r="K4702" t="str">
        <f t="shared" si="220"/>
        <v>2024-03</v>
      </c>
      <c r="L4702">
        <f t="shared" si="221"/>
        <v>0</v>
      </c>
    </row>
    <row r="4703" spans="1:12">
      <c r="A4703" t="s">
        <v>13622</v>
      </c>
      <c r="B4703" t="s">
        <v>13623</v>
      </c>
      <c r="D4703" t="s">
        <v>23</v>
      </c>
      <c r="E4703" t="s">
        <v>24</v>
      </c>
      <c r="F4703" t="s">
        <v>41</v>
      </c>
      <c r="G4703" t="s">
        <v>63</v>
      </c>
      <c r="H4703">
        <f>Cleaned_Data!K4703</f>
        <v>0</v>
      </c>
      <c r="I4703" t="str">
        <f t="shared" si="219"/>
        <v/>
      </c>
      <c r="J4703">
        <f>Cleaned_Data!J4703</f>
        <v>24</v>
      </c>
      <c r="K4703" t="str">
        <f t="shared" si="220"/>
        <v>2024-05</v>
      </c>
      <c r="L4703">
        <f t="shared" si="221"/>
        <v>0</v>
      </c>
    </row>
    <row r="4704" spans="1:12">
      <c r="A4704" t="s">
        <v>13624</v>
      </c>
      <c r="B4704" t="s">
        <v>13625</v>
      </c>
      <c r="C4704" t="s">
        <v>13626</v>
      </c>
      <c r="D4704" t="s">
        <v>23</v>
      </c>
      <c r="E4704" t="s">
        <v>28</v>
      </c>
      <c r="F4704" t="s">
        <v>41</v>
      </c>
      <c r="G4704" t="s">
        <v>31</v>
      </c>
      <c r="H4704">
        <f>Cleaned_Data!K4704</f>
        <v>8.2200000000000006</v>
      </c>
      <c r="I4704" t="str">
        <f t="shared" si="219"/>
        <v>YES</v>
      </c>
      <c r="J4704">
        <f>Cleaned_Data!J4704</f>
        <v>24</v>
      </c>
      <c r="K4704" t="str">
        <f t="shared" si="220"/>
        <v>2024-02</v>
      </c>
      <c r="L4704">
        <f t="shared" si="221"/>
        <v>0</v>
      </c>
    </row>
    <row r="4705" spans="1:12">
      <c r="A4705" t="s">
        <v>13627</v>
      </c>
      <c r="B4705" t="s">
        <v>13628</v>
      </c>
      <c r="C4705" t="s">
        <v>13629</v>
      </c>
      <c r="D4705" t="s">
        <v>35</v>
      </c>
      <c r="E4705" t="s">
        <v>28</v>
      </c>
      <c r="F4705" t="s">
        <v>60</v>
      </c>
      <c r="G4705" t="s">
        <v>31</v>
      </c>
      <c r="H4705">
        <f>Cleaned_Data!K4705</f>
        <v>31.29</v>
      </c>
      <c r="I4705" t="str">
        <f t="shared" si="219"/>
        <v>YES</v>
      </c>
      <c r="J4705">
        <f>Cleaned_Data!J4705</f>
        <v>48</v>
      </c>
      <c r="K4705" t="str">
        <f t="shared" si="220"/>
        <v>2024-05</v>
      </c>
      <c r="L4705">
        <f t="shared" si="221"/>
        <v>0</v>
      </c>
    </row>
    <row r="4706" spans="1:12">
      <c r="A4706" t="s">
        <v>13630</v>
      </c>
      <c r="B4706" t="s">
        <v>13631</v>
      </c>
      <c r="C4706" t="s">
        <v>13632</v>
      </c>
      <c r="D4706" t="s">
        <v>158</v>
      </c>
      <c r="E4706" t="s">
        <v>28</v>
      </c>
      <c r="F4706" t="s">
        <v>60</v>
      </c>
      <c r="G4706" t="s">
        <v>19</v>
      </c>
      <c r="H4706">
        <f>Cleaned_Data!K4706</f>
        <v>10.199999999999999</v>
      </c>
      <c r="I4706" t="str">
        <f t="shared" si="219"/>
        <v>NO</v>
      </c>
      <c r="J4706">
        <f>Cleaned_Data!J4706</f>
        <v>4</v>
      </c>
      <c r="K4706" t="str">
        <f t="shared" si="220"/>
        <v>2024-05</v>
      </c>
      <c r="L4706">
        <f t="shared" si="221"/>
        <v>6.1999999999999993</v>
      </c>
    </row>
    <row r="4707" spans="1:12">
      <c r="A4707" t="s">
        <v>13633</v>
      </c>
      <c r="B4707" t="s">
        <v>13634</v>
      </c>
      <c r="D4707" t="s">
        <v>23</v>
      </c>
      <c r="E4707" t="s">
        <v>24</v>
      </c>
      <c r="F4707" t="s">
        <v>29</v>
      </c>
      <c r="G4707" t="s">
        <v>46</v>
      </c>
      <c r="H4707">
        <f>Cleaned_Data!K4707</f>
        <v>0</v>
      </c>
      <c r="I4707" t="str">
        <f t="shared" si="219"/>
        <v/>
      </c>
      <c r="J4707">
        <f>Cleaned_Data!J4707</f>
        <v>24</v>
      </c>
      <c r="K4707" t="str">
        <f t="shared" si="220"/>
        <v>2024-01</v>
      </c>
      <c r="L4707">
        <f t="shared" si="221"/>
        <v>0</v>
      </c>
    </row>
    <row r="4708" spans="1:12">
      <c r="A4708" t="s">
        <v>13635</v>
      </c>
      <c r="B4708" t="s">
        <v>13636</v>
      </c>
      <c r="C4708" t="s">
        <v>13637</v>
      </c>
      <c r="D4708" t="s">
        <v>35</v>
      </c>
      <c r="E4708" t="s">
        <v>28</v>
      </c>
      <c r="F4708" t="s">
        <v>36</v>
      </c>
      <c r="G4708" t="s">
        <v>19</v>
      </c>
      <c r="H4708">
        <f>Cleaned_Data!K4708</f>
        <v>113.07</v>
      </c>
      <c r="I4708" t="str">
        <f t="shared" si="219"/>
        <v>NO</v>
      </c>
      <c r="J4708">
        <f>Cleaned_Data!J4708</f>
        <v>48</v>
      </c>
      <c r="K4708" t="str">
        <f t="shared" si="220"/>
        <v>2024-08</v>
      </c>
      <c r="L4708">
        <f t="shared" si="221"/>
        <v>65.069999999999993</v>
      </c>
    </row>
    <row r="4709" spans="1:12">
      <c r="A4709" t="s">
        <v>13638</v>
      </c>
      <c r="B4709" t="s">
        <v>13639</v>
      </c>
      <c r="C4709" t="s">
        <v>13640</v>
      </c>
      <c r="D4709" t="s">
        <v>35</v>
      </c>
      <c r="E4709" t="s">
        <v>16</v>
      </c>
      <c r="F4709" t="s">
        <v>41</v>
      </c>
      <c r="G4709" t="s">
        <v>19</v>
      </c>
      <c r="H4709">
        <f>Cleaned_Data!K4709</f>
        <v>25.36</v>
      </c>
      <c r="I4709" t="str">
        <f t="shared" si="219"/>
        <v>YES</v>
      </c>
      <c r="J4709">
        <f>Cleaned_Data!J4709</f>
        <v>48</v>
      </c>
      <c r="K4709" t="str">
        <f t="shared" si="220"/>
        <v>2024-11</v>
      </c>
      <c r="L4709">
        <f t="shared" si="221"/>
        <v>0</v>
      </c>
    </row>
    <row r="4710" spans="1:12">
      <c r="A4710" t="s">
        <v>13641</v>
      </c>
      <c r="B4710" t="s">
        <v>13642</v>
      </c>
      <c r="C4710" t="s">
        <v>13643</v>
      </c>
      <c r="D4710" t="s">
        <v>35</v>
      </c>
      <c r="E4710" t="s">
        <v>28</v>
      </c>
      <c r="F4710" t="s">
        <v>17</v>
      </c>
      <c r="G4710" t="s">
        <v>31</v>
      </c>
      <c r="H4710">
        <f>Cleaned_Data!K4710</f>
        <v>13.75</v>
      </c>
      <c r="I4710" t="str">
        <f t="shared" si="219"/>
        <v>YES</v>
      </c>
      <c r="J4710">
        <f>Cleaned_Data!J4710</f>
        <v>48</v>
      </c>
      <c r="K4710" t="str">
        <f t="shared" si="220"/>
        <v>2024-05</v>
      </c>
      <c r="L4710">
        <f t="shared" si="221"/>
        <v>0</v>
      </c>
    </row>
    <row r="4711" spans="1:12">
      <c r="A4711" t="s">
        <v>13644</v>
      </c>
      <c r="B4711" t="s">
        <v>13645</v>
      </c>
      <c r="C4711" t="s">
        <v>13646</v>
      </c>
      <c r="D4711" t="s">
        <v>35</v>
      </c>
      <c r="E4711" t="s">
        <v>16</v>
      </c>
      <c r="F4711" t="s">
        <v>41</v>
      </c>
      <c r="G4711" t="s">
        <v>19</v>
      </c>
      <c r="H4711">
        <f>Cleaned_Data!K4711</f>
        <v>42.66</v>
      </c>
      <c r="I4711" t="str">
        <f t="shared" si="219"/>
        <v>YES</v>
      </c>
      <c r="J4711">
        <f>Cleaned_Data!J4711</f>
        <v>48</v>
      </c>
      <c r="K4711" t="str">
        <f t="shared" si="220"/>
        <v>2024-11</v>
      </c>
      <c r="L4711">
        <f t="shared" si="221"/>
        <v>0</v>
      </c>
    </row>
    <row r="4712" spans="1:12">
      <c r="A4712" t="s">
        <v>13647</v>
      </c>
      <c r="B4712" t="s">
        <v>13648</v>
      </c>
      <c r="C4712" t="s">
        <v>13649</v>
      </c>
      <c r="D4712" t="s">
        <v>158</v>
      </c>
      <c r="E4712" t="s">
        <v>54</v>
      </c>
      <c r="F4712" t="s">
        <v>29</v>
      </c>
      <c r="G4712" t="s">
        <v>31</v>
      </c>
      <c r="H4712">
        <f>Cleaned_Data!K4712</f>
        <v>2.66</v>
      </c>
      <c r="I4712" t="str">
        <f t="shared" si="219"/>
        <v>YES</v>
      </c>
      <c r="J4712">
        <f>Cleaned_Data!J4712</f>
        <v>4</v>
      </c>
      <c r="K4712" t="str">
        <f t="shared" si="220"/>
        <v>2024-03</v>
      </c>
      <c r="L4712">
        <f t="shared" si="221"/>
        <v>0</v>
      </c>
    </row>
    <row r="4713" spans="1:12">
      <c r="A4713" t="s">
        <v>13650</v>
      </c>
      <c r="B4713" t="s">
        <v>13651</v>
      </c>
      <c r="C4713" t="s">
        <v>13652</v>
      </c>
      <c r="D4713" t="s">
        <v>15</v>
      </c>
      <c r="E4713" t="s">
        <v>28</v>
      </c>
      <c r="F4713" t="s">
        <v>17</v>
      </c>
      <c r="G4713" t="s">
        <v>19</v>
      </c>
      <c r="H4713">
        <f>Cleaned_Data!K4713</f>
        <v>1.36</v>
      </c>
      <c r="I4713" t="str">
        <f t="shared" si="219"/>
        <v>YES</v>
      </c>
      <c r="J4713">
        <f>Cleaned_Data!J4713</f>
        <v>8</v>
      </c>
      <c r="K4713" t="str">
        <f t="shared" si="220"/>
        <v>2024-11</v>
      </c>
      <c r="L4713">
        <f t="shared" si="221"/>
        <v>0</v>
      </c>
    </row>
    <row r="4714" spans="1:12">
      <c r="A4714" t="s">
        <v>13653</v>
      </c>
      <c r="B4714" t="s">
        <v>13654</v>
      </c>
      <c r="C4714" t="s">
        <v>13655</v>
      </c>
      <c r="D4714" t="s">
        <v>15</v>
      </c>
      <c r="E4714" t="s">
        <v>28</v>
      </c>
      <c r="F4714" t="s">
        <v>60</v>
      </c>
      <c r="G4714" t="s">
        <v>31</v>
      </c>
      <c r="H4714">
        <f>Cleaned_Data!K4714</f>
        <v>5.92</v>
      </c>
      <c r="I4714" t="str">
        <f t="shared" si="219"/>
        <v>YES</v>
      </c>
      <c r="J4714">
        <f>Cleaned_Data!J4714</f>
        <v>8</v>
      </c>
      <c r="K4714" t="str">
        <f t="shared" si="220"/>
        <v>2024-05</v>
      </c>
      <c r="L4714">
        <f t="shared" si="221"/>
        <v>0</v>
      </c>
    </row>
    <row r="4715" spans="1:12">
      <c r="A4715" t="s">
        <v>13656</v>
      </c>
      <c r="B4715" t="s">
        <v>13657</v>
      </c>
      <c r="C4715" t="s">
        <v>13658</v>
      </c>
      <c r="D4715" t="s">
        <v>23</v>
      </c>
      <c r="E4715" t="s">
        <v>28</v>
      </c>
      <c r="F4715" t="s">
        <v>60</v>
      </c>
      <c r="G4715" t="s">
        <v>31</v>
      </c>
      <c r="H4715">
        <f>Cleaned_Data!K4715</f>
        <v>20.86</v>
      </c>
      <c r="I4715" t="str">
        <f t="shared" si="219"/>
        <v>YES</v>
      </c>
      <c r="J4715">
        <f>Cleaned_Data!J4715</f>
        <v>24</v>
      </c>
      <c r="K4715" t="str">
        <f t="shared" si="220"/>
        <v>2024-05</v>
      </c>
      <c r="L4715">
        <f t="shared" si="221"/>
        <v>0</v>
      </c>
    </row>
    <row r="4716" spans="1:12">
      <c r="A4716" t="s">
        <v>13659</v>
      </c>
      <c r="B4716" t="s">
        <v>13660</v>
      </c>
      <c r="C4716" t="s">
        <v>13661</v>
      </c>
      <c r="D4716" t="s">
        <v>35</v>
      </c>
      <c r="E4716" t="s">
        <v>24</v>
      </c>
      <c r="F4716" t="s">
        <v>60</v>
      </c>
      <c r="G4716" t="s">
        <v>19</v>
      </c>
      <c r="H4716">
        <f>Cleaned_Data!K4716</f>
        <v>8.09</v>
      </c>
      <c r="I4716" t="str">
        <f t="shared" si="219"/>
        <v>YES</v>
      </c>
      <c r="J4716">
        <f>Cleaned_Data!J4716</f>
        <v>48</v>
      </c>
      <c r="K4716" t="str">
        <f t="shared" si="220"/>
        <v>2024-11</v>
      </c>
      <c r="L4716">
        <f t="shared" si="221"/>
        <v>0</v>
      </c>
    </row>
    <row r="4717" spans="1:12">
      <c r="A4717" t="s">
        <v>13662</v>
      </c>
      <c r="B4717" t="s">
        <v>13663</v>
      </c>
      <c r="C4717" t="s">
        <v>13664</v>
      </c>
      <c r="D4717" t="s">
        <v>15</v>
      </c>
      <c r="E4717" t="s">
        <v>54</v>
      </c>
      <c r="F4717" t="s">
        <v>36</v>
      </c>
      <c r="G4717" t="s">
        <v>31</v>
      </c>
      <c r="H4717">
        <f>Cleaned_Data!K4717</f>
        <v>4.6900000000000004</v>
      </c>
      <c r="I4717" t="str">
        <f t="shared" si="219"/>
        <v>YES</v>
      </c>
      <c r="J4717">
        <f>Cleaned_Data!J4717</f>
        <v>8</v>
      </c>
      <c r="K4717" t="str">
        <f t="shared" si="220"/>
        <v>2024-06</v>
      </c>
      <c r="L4717">
        <f t="shared" si="221"/>
        <v>0</v>
      </c>
    </row>
    <row r="4718" spans="1:12">
      <c r="A4718" t="s">
        <v>13665</v>
      </c>
      <c r="B4718" t="s">
        <v>13666</v>
      </c>
      <c r="D4718" t="s">
        <v>23</v>
      </c>
      <c r="E4718" t="s">
        <v>54</v>
      </c>
      <c r="F4718" t="s">
        <v>29</v>
      </c>
      <c r="G4718" t="s">
        <v>46</v>
      </c>
      <c r="H4718">
        <f>Cleaned_Data!K4718</f>
        <v>0</v>
      </c>
      <c r="I4718" t="str">
        <f t="shared" si="219"/>
        <v/>
      </c>
      <c r="J4718">
        <f>Cleaned_Data!J4718</f>
        <v>24</v>
      </c>
      <c r="K4718" t="str">
        <f t="shared" si="220"/>
        <v>2024-03</v>
      </c>
      <c r="L4718">
        <f t="shared" si="221"/>
        <v>0</v>
      </c>
    </row>
    <row r="4719" spans="1:12">
      <c r="A4719" t="s">
        <v>13667</v>
      </c>
      <c r="B4719" t="s">
        <v>13668</v>
      </c>
      <c r="C4719" t="s">
        <v>13669</v>
      </c>
      <c r="D4719" t="s">
        <v>23</v>
      </c>
      <c r="E4719" t="s">
        <v>54</v>
      </c>
      <c r="F4719" t="s">
        <v>60</v>
      </c>
      <c r="G4719" t="s">
        <v>19</v>
      </c>
      <c r="H4719">
        <f>Cleaned_Data!K4719</f>
        <v>21.78</v>
      </c>
      <c r="I4719" t="str">
        <f t="shared" si="219"/>
        <v>YES</v>
      </c>
      <c r="J4719">
        <f>Cleaned_Data!J4719</f>
        <v>24</v>
      </c>
      <c r="K4719" t="str">
        <f t="shared" si="220"/>
        <v>2024-11</v>
      </c>
      <c r="L4719">
        <f t="shared" si="221"/>
        <v>0</v>
      </c>
    </row>
    <row r="4720" spans="1:12">
      <c r="A4720" t="s">
        <v>13670</v>
      </c>
      <c r="B4720" t="s">
        <v>13671</v>
      </c>
      <c r="C4720" t="s">
        <v>13672</v>
      </c>
      <c r="D4720" t="s">
        <v>35</v>
      </c>
      <c r="E4720" t="s">
        <v>28</v>
      </c>
      <c r="F4720" t="s">
        <v>41</v>
      </c>
      <c r="G4720" t="s">
        <v>31</v>
      </c>
      <c r="H4720">
        <f>Cleaned_Data!K4720</f>
        <v>41.05</v>
      </c>
      <c r="I4720" t="str">
        <f t="shared" si="219"/>
        <v>YES</v>
      </c>
      <c r="J4720">
        <f>Cleaned_Data!J4720</f>
        <v>48</v>
      </c>
      <c r="K4720" t="str">
        <f t="shared" si="220"/>
        <v>2024-02</v>
      </c>
      <c r="L4720">
        <f t="shared" si="221"/>
        <v>0</v>
      </c>
    </row>
    <row r="4721" spans="1:12">
      <c r="A4721" t="s">
        <v>13673</v>
      </c>
      <c r="B4721" t="s">
        <v>13674</v>
      </c>
      <c r="C4721" t="s">
        <v>13675</v>
      </c>
      <c r="D4721" t="s">
        <v>35</v>
      </c>
      <c r="E4721" t="s">
        <v>28</v>
      </c>
      <c r="F4721" t="s">
        <v>41</v>
      </c>
      <c r="G4721" t="s">
        <v>31</v>
      </c>
      <c r="H4721">
        <f>Cleaned_Data!K4721</f>
        <v>33.869999999999997</v>
      </c>
      <c r="I4721" t="str">
        <f t="shared" si="219"/>
        <v>YES</v>
      </c>
      <c r="J4721">
        <f>Cleaned_Data!J4721</f>
        <v>48</v>
      </c>
      <c r="K4721" t="str">
        <f t="shared" si="220"/>
        <v>2024-07</v>
      </c>
      <c r="L4721">
        <f t="shared" si="221"/>
        <v>0</v>
      </c>
    </row>
    <row r="4722" spans="1:12">
      <c r="A4722" t="s">
        <v>13676</v>
      </c>
      <c r="B4722" t="s">
        <v>13677</v>
      </c>
      <c r="C4722" t="s">
        <v>13678</v>
      </c>
      <c r="D4722" t="s">
        <v>35</v>
      </c>
      <c r="E4722" t="s">
        <v>28</v>
      </c>
      <c r="F4722" t="s">
        <v>60</v>
      </c>
      <c r="G4722" t="s">
        <v>19</v>
      </c>
      <c r="H4722">
        <f>Cleaned_Data!K4722</f>
        <v>23.91</v>
      </c>
      <c r="I4722" t="str">
        <f t="shared" si="219"/>
        <v>YES</v>
      </c>
      <c r="J4722">
        <f>Cleaned_Data!J4722</f>
        <v>48</v>
      </c>
      <c r="K4722" t="str">
        <f t="shared" si="220"/>
        <v>2024-09</v>
      </c>
      <c r="L4722">
        <f t="shared" si="221"/>
        <v>0</v>
      </c>
    </row>
    <row r="4723" spans="1:12">
      <c r="A4723" t="s">
        <v>13679</v>
      </c>
      <c r="B4723" t="s">
        <v>13680</v>
      </c>
      <c r="C4723" t="s">
        <v>13681</v>
      </c>
      <c r="D4723" t="s">
        <v>158</v>
      </c>
      <c r="E4723" t="s">
        <v>24</v>
      </c>
      <c r="F4723" t="s">
        <v>60</v>
      </c>
      <c r="G4723" t="s">
        <v>19</v>
      </c>
      <c r="H4723">
        <f>Cleaned_Data!K4723</f>
        <v>2.5099999999999998</v>
      </c>
      <c r="I4723" t="str">
        <f t="shared" si="219"/>
        <v>YES</v>
      </c>
      <c r="J4723">
        <f>Cleaned_Data!J4723</f>
        <v>4</v>
      </c>
      <c r="K4723" t="str">
        <f t="shared" si="220"/>
        <v>2024-06</v>
      </c>
      <c r="L4723">
        <f t="shared" si="221"/>
        <v>0</v>
      </c>
    </row>
    <row r="4724" spans="1:12">
      <c r="A4724" t="s">
        <v>13682</v>
      </c>
      <c r="B4724" t="s">
        <v>13683</v>
      </c>
      <c r="C4724" t="s">
        <v>13684</v>
      </c>
      <c r="D4724" t="s">
        <v>15</v>
      </c>
      <c r="E4724" t="s">
        <v>59</v>
      </c>
      <c r="F4724" t="s">
        <v>29</v>
      </c>
      <c r="G4724" t="s">
        <v>19</v>
      </c>
      <c r="H4724">
        <f>Cleaned_Data!K4724</f>
        <v>2.34</v>
      </c>
      <c r="I4724" t="str">
        <f t="shared" si="219"/>
        <v>YES</v>
      </c>
      <c r="J4724">
        <f>Cleaned_Data!J4724</f>
        <v>8</v>
      </c>
      <c r="K4724" t="str">
        <f t="shared" si="220"/>
        <v>2024-03</v>
      </c>
      <c r="L4724">
        <f t="shared" si="221"/>
        <v>0</v>
      </c>
    </row>
    <row r="4725" spans="1:12">
      <c r="A4725" t="s">
        <v>13685</v>
      </c>
      <c r="B4725" t="s">
        <v>13686</v>
      </c>
      <c r="C4725" t="s">
        <v>13687</v>
      </c>
      <c r="D4725" t="s">
        <v>15</v>
      </c>
      <c r="E4725" t="s">
        <v>28</v>
      </c>
      <c r="F4725" t="s">
        <v>41</v>
      </c>
      <c r="G4725" t="s">
        <v>19</v>
      </c>
      <c r="H4725">
        <f>Cleaned_Data!K4725</f>
        <v>3.9</v>
      </c>
      <c r="I4725" t="str">
        <f t="shared" si="219"/>
        <v>YES</v>
      </c>
      <c r="J4725">
        <f>Cleaned_Data!J4725</f>
        <v>8</v>
      </c>
      <c r="K4725" t="str">
        <f t="shared" si="220"/>
        <v>2024-02</v>
      </c>
      <c r="L4725">
        <f t="shared" si="221"/>
        <v>0</v>
      </c>
    </row>
    <row r="4726" spans="1:12">
      <c r="A4726" t="s">
        <v>13688</v>
      </c>
      <c r="B4726" t="s">
        <v>13689</v>
      </c>
      <c r="C4726" t="s">
        <v>13690</v>
      </c>
      <c r="D4726" t="s">
        <v>15</v>
      </c>
      <c r="E4726" t="s">
        <v>54</v>
      </c>
      <c r="F4726" t="s">
        <v>36</v>
      </c>
      <c r="G4726" t="s">
        <v>31</v>
      </c>
      <c r="H4726">
        <f>Cleaned_Data!K4726</f>
        <v>3.14</v>
      </c>
      <c r="I4726" t="str">
        <f t="shared" si="219"/>
        <v>YES</v>
      </c>
      <c r="J4726">
        <f>Cleaned_Data!J4726</f>
        <v>8</v>
      </c>
      <c r="K4726" t="str">
        <f t="shared" si="220"/>
        <v>2024-09</v>
      </c>
      <c r="L4726">
        <f t="shared" si="221"/>
        <v>0</v>
      </c>
    </row>
    <row r="4727" spans="1:12">
      <c r="A4727" t="s">
        <v>13691</v>
      </c>
      <c r="B4727" t="s">
        <v>13692</v>
      </c>
      <c r="C4727" t="s">
        <v>13693</v>
      </c>
      <c r="D4727" t="s">
        <v>35</v>
      </c>
      <c r="E4727" t="s">
        <v>28</v>
      </c>
      <c r="F4727" t="s">
        <v>41</v>
      </c>
      <c r="G4727" t="s">
        <v>19</v>
      </c>
      <c r="H4727">
        <f>Cleaned_Data!K4727</f>
        <v>26.47</v>
      </c>
      <c r="I4727" t="str">
        <f t="shared" si="219"/>
        <v>YES</v>
      </c>
      <c r="J4727">
        <f>Cleaned_Data!J4727</f>
        <v>48</v>
      </c>
      <c r="K4727" t="str">
        <f t="shared" si="220"/>
        <v>2024-12</v>
      </c>
      <c r="L4727">
        <f t="shared" si="221"/>
        <v>0</v>
      </c>
    </row>
    <row r="4728" spans="1:12">
      <c r="A4728" t="s">
        <v>13694</v>
      </c>
      <c r="B4728" t="s">
        <v>13695</v>
      </c>
      <c r="C4728" t="s">
        <v>13696</v>
      </c>
      <c r="D4728" t="s">
        <v>23</v>
      </c>
      <c r="E4728" t="s">
        <v>28</v>
      </c>
      <c r="F4728" t="s">
        <v>60</v>
      </c>
      <c r="G4728" t="s">
        <v>31</v>
      </c>
      <c r="H4728">
        <f>Cleaned_Data!K4728</f>
        <v>18.39</v>
      </c>
      <c r="I4728" t="str">
        <f t="shared" si="219"/>
        <v>YES</v>
      </c>
      <c r="J4728">
        <f>Cleaned_Data!J4728</f>
        <v>24</v>
      </c>
      <c r="K4728" t="str">
        <f t="shared" si="220"/>
        <v>2024-06</v>
      </c>
      <c r="L4728">
        <f t="shared" si="221"/>
        <v>0</v>
      </c>
    </row>
    <row r="4729" spans="1:12">
      <c r="A4729" t="s">
        <v>13697</v>
      </c>
      <c r="B4729" t="s">
        <v>13698</v>
      </c>
      <c r="C4729" t="s">
        <v>13699</v>
      </c>
      <c r="D4729" t="s">
        <v>23</v>
      </c>
      <c r="E4729" t="s">
        <v>28</v>
      </c>
      <c r="F4729" t="s">
        <v>60</v>
      </c>
      <c r="G4729" t="s">
        <v>19</v>
      </c>
      <c r="H4729">
        <f>Cleaned_Data!K4729</f>
        <v>18.55</v>
      </c>
      <c r="I4729" t="str">
        <f t="shared" si="219"/>
        <v>YES</v>
      </c>
      <c r="J4729">
        <f>Cleaned_Data!J4729</f>
        <v>24</v>
      </c>
      <c r="K4729" t="str">
        <f t="shared" si="220"/>
        <v>2024-11</v>
      </c>
      <c r="L4729">
        <f t="shared" si="221"/>
        <v>0</v>
      </c>
    </row>
    <row r="4730" spans="1:12">
      <c r="A4730" t="s">
        <v>13700</v>
      </c>
      <c r="B4730" t="s">
        <v>13701</v>
      </c>
      <c r="D4730" t="s">
        <v>23</v>
      </c>
      <c r="E4730" t="s">
        <v>16</v>
      </c>
      <c r="F4730" t="s">
        <v>60</v>
      </c>
      <c r="G4730" t="s">
        <v>63</v>
      </c>
      <c r="H4730">
        <f>Cleaned_Data!K4730</f>
        <v>0</v>
      </c>
      <c r="I4730" t="str">
        <f t="shared" si="219"/>
        <v/>
      </c>
      <c r="J4730">
        <f>Cleaned_Data!J4730</f>
        <v>24</v>
      </c>
      <c r="K4730" t="str">
        <f t="shared" si="220"/>
        <v>2024-10</v>
      </c>
      <c r="L4730">
        <f t="shared" si="221"/>
        <v>0</v>
      </c>
    </row>
    <row r="4731" spans="1:12">
      <c r="A4731" t="s">
        <v>13702</v>
      </c>
      <c r="B4731" t="s">
        <v>13703</v>
      </c>
      <c r="C4731" t="s">
        <v>13704</v>
      </c>
      <c r="D4731" t="s">
        <v>15</v>
      </c>
      <c r="E4731" t="s">
        <v>54</v>
      </c>
      <c r="F4731" t="s">
        <v>60</v>
      </c>
      <c r="G4731" t="s">
        <v>19</v>
      </c>
      <c r="H4731">
        <f>Cleaned_Data!K4731</f>
        <v>1.17</v>
      </c>
      <c r="I4731" t="str">
        <f t="shared" si="219"/>
        <v>YES</v>
      </c>
      <c r="J4731">
        <f>Cleaned_Data!J4731</f>
        <v>8</v>
      </c>
      <c r="K4731" t="str">
        <f t="shared" si="220"/>
        <v>2024-11</v>
      </c>
      <c r="L4731">
        <f t="shared" si="221"/>
        <v>0</v>
      </c>
    </row>
    <row r="4732" spans="1:12">
      <c r="A4732" t="s">
        <v>13705</v>
      </c>
      <c r="B4732" t="s">
        <v>13706</v>
      </c>
      <c r="C4732" t="s">
        <v>13707</v>
      </c>
      <c r="D4732" t="s">
        <v>15</v>
      </c>
      <c r="E4732" t="s">
        <v>28</v>
      </c>
      <c r="F4732" t="s">
        <v>41</v>
      </c>
      <c r="G4732" t="s">
        <v>31</v>
      </c>
      <c r="H4732">
        <f>Cleaned_Data!K4732</f>
        <v>4.83</v>
      </c>
      <c r="I4732" t="str">
        <f t="shared" si="219"/>
        <v>YES</v>
      </c>
      <c r="J4732">
        <f>Cleaned_Data!J4732</f>
        <v>8</v>
      </c>
      <c r="K4732" t="str">
        <f t="shared" si="220"/>
        <v>2024-12</v>
      </c>
      <c r="L4732">
        <f t="shared" si="221"/>
        <v>0</v>
      </c>
    </row>
    <row r="4733" spans="1:12">
      <c r="A4733" t="s">
        <v>13708</v>
      </c>
      <c r="B4733" t="s">
        <v>13709</v>
      </c>
      <c r="C4733" t="s">
        <v>13710</v>
      </c>
      <c r="D4733" t="s">
        <v>35</v>
      </c>
      <c r="E4733" t="s">
        <v>54</v>
      </c>
      <c r="F4733" t="s">
        <v>60</v>
      </c>
      <c r="G4733" t="s">
        <v>31</v>
      </c>
      <c r="H4733">
        <f>Cleaned_Data!K4733</f>
        <v>35.880000000000003</v>
      </c>
      <c r="I4733" t="str">
        <f t="shared" si="219"/>
        <v>YES</v>
      </c>
      <c r="J4733">
        <f>Cleaned_Data!J4733</f>
        <v>48</v>
      </c>
      <c r="K4733" t="str">
        <f t="shared" si="220"/>
        <v>2024-10</v>
      </c>
      <c r="L4733">
        <f t="shared" si="221"/>
        <v>0</v>
      </c>
    </row>
    <row r="4734" spans="1:12">
      <c r="A4734" t="s">
        <v>13711</v>
      </c>
      <c r="B4734" t="s">
        <v>13712</v>
      </c>
      <c r="C4734" t="s">
        <v>13713</v>
      </c>
      <c r="D4734" t="s">
        <v>15</v>
      </c>
      <c r="E4734" t="s">
        <v>28</v>
      </c>
      <c r="F4734" t="s">
        <v>36</v>
      </c>
      <c r="G4734" t="s">
        <v>31</v>
      </c>
      <c r="H4734">
        <f>Cleaned_Data!K4734</f>
        <v>5.69</v>
      </c>
      <c r="I4734" t="str">
        <f t="shared" si="219"/>
        <v>YES</v>
      </c>
      <c r="J4734">
        <f>Cleaned_Data!J4734</f>
        <v>8</v>
      </c>
      <c r="K4734" t="str">
        <f t="shared" si="220"/>
        <v>2024-06</v>
      </c>
      <c r="L4734">
        <f t="shared" si="221"/>
        <v>0</v>
      </c>
    </row>
    <row r="4735" spans="1:12">
      <c r="A4735" t="s">
        <v>13714</v>
      </c>
      <c r="B4735" t="s">
        <v>13715</v>
      </c>
      <c r="C4735" t="s">
        <v>13716</v>
      </c>
      <c r="D4735" t="s">
        <v>35</v>
      </c>
      <c r="E4735" t="s">
        <v>54</v>
      </c>
      <c r="F4735" t="s">
        <v>36</v>
      </c>
      <c r="G4735" t="s">
        <v>31</v>
      </c>
      <c r="H4735">
        <f>Cleaned_Data!K4735</f>
        <v>22.68</v>
      </c>
      <c r="I4735" t="str">
        <f t="shared" si="219"/>
        <v>YES</v>
      </c>
      <c r="J4735">
        <f>Cleaned_Data!J4735</f>
        <v>48</v>
      </c>
      <c r="K4735" t="str">
        <f t="shared" si="220"/>
        <v>2024-05</v>
      </c>
      <c r="L4735">
        <f t="shared" si="221"/>
        <v>0</v>
      </c>
    </row>
    <row r="4736" spans="1:12">
      <c r="A4736" t="s">
        <v>13717</v>
      </c>
      <c r="B4736" t="s">
        <v>13718</v>
      </c>
      <c r="C4736" t="s">
        <v>13719</v>
      </c>
      <c r="D4736" t="s">
        <v>15</v>
      </c>
      <c r="E4736" t="s">
        <v>54</v>
      </c>
      <c r="F4736" t="s">
        <v>36</v>
      </c>
      <c r="G4736" t="s">
        <v>19</v>
      </c>
      <c r="H4736">
        <f>Cleaned_Data!K4736</f>
        <v>4.1100000000000003</v>
      </c>
      <c r="I4736" t="str">
        <f t="shared" si="219"/>
        <v>YES</v>
      </c>
      <c r="J4736">
        <f>Cleaned_Data!J4736</f>
        <v>8</v>
      </c>
      <c r="K4736" t="str">
        <f t="shared" si="220"/>
        <v>2024-09</v>
      </c>
      <c r="L4736">
        <f t="shared" si="221"/>
        <v>0</v>
      </c>
    </row>
    <row r="4737" spans="1:12">
      <c r="A4737" t="s">
        <v>13720</v>
      </c>
      <c r="B4737" t="s">
        <v>13721</v>
      </c>
      <c r="C4737" t="s">
        <v>13722</v>
      </c>
      <c r="D4737" t="s">
        <v>23</v>
      </c>
      <c r="E4737" t="s">
        <v>28</v>
      </c>
      <c r="F4737" t="s">
        <v>60</v>
      </c>
      <c r="G4737" t="s">
        <v>31</v>
      </c>
      <c r="H4737">
        <f>Cleaned_Data!K4737</f>
        <v>18.02</v>
      </c>
      <c r="I4737" t="str">
        <f t="shared" si="219"/>
        <v>YES</v>
      </c>
      <c r="J4737">
        <f>Cleaned_Data!J4737</f>
        <v>24</v>
      </c>
      <c r="K4737" t="str">
        <f t="shared" si="220"/>
        <v>2024-06</v>
      </c>
      <c r="L4737">
        <f t="shared" si="221"/>
        <v>0</v>
      </c>
    </row>
    <row r="4738" spans="1:12">
      <c r="A4738" t="s">
        <v>13723</v>
      </c>
      <c r="B4738" t="s">
        <v>13724</v>
      </c>
      <c r="C4738" t="s">
        <v>13725</v>
      </c>
      <c r="D4738" t="s">
        <v>35</v>
      </c>
      <c r="E4738" t="s">
        <v>54</v>
      </c>
      <c r="F4738" t="s">
        <v>60</v>
      </c>
      <c r="G4738" t="s">
        <v>31</v>
      </c>
      <c r="H4738">
        <f>Cleaned_Data!K4738</f>
        <v>30.57</v>
      </c>
      <c r="I4738" t="str">
        <f t="shared" ref="I4738:I4801" si="222">IF(OR(G4738="Resolved", G4738="Closed"), IF(AND(H4738&lt;&gt;"", H4738&lt;=J4738), "YES", "NO"), "")</f>
        <v>YES</v>
      </c>
      <c r="J4738">
        <f>Cleaned_Data!J4738</f>
        <v>48</v>
      </c>
      <c r="K4738" t="str">
        <f t="shared" ref="K4738:K4801" si="223">LEFT(B4738, 7)</f>
        <v>2024-08</v>
      </c>
      <c r="L4738">
        <f t="shared" ref="L4738:L4801" si="224">IF(I4738="NO", H4738-J4738, 0)</f>
        <v>0</v>
      </c>
    </row>
    <row r="4739" spans="1:12">
      <c r="A4739" t="s">
        <v>13726</v>
      </c>
      <c r="B4739" t="s">
        <v>13727</v>
      </c>
      <c r="C4739" t="s">
        <v>13728</v>
      </c>
      <c r="D4739" t="s">
        <v>15</v>
      </c>
      <c r="E4739" t="s">
        <v>24</v>
      </c>
      <c r="F4739" t="s">
        <v>36</v>
      </c>
      <c r="G4739" t="s">
        <v>31</v>
      </c>
      <c r="H4739">
        <f>Cleaned_Data!K4739</f>
        <v>2.54</v>
      </c>
      <c r="I4739" t="str">
        <f t="shared" si="222"/>
        <v>YES</v>
      </c>
      <c r="J4739">
        <f>Cleaned_Data!J4739</f>
        <v>8</v>
      </c>
      <c r="K4739" t="str">
        <f t="shared" si="223"/>
        <v>2024-11</v>
      </c>
      <c r="L4739">
        <f t="shared" si="224"/>
        <v>0</v>
      </c>
    </row>
    <row r="4740" spans="1:12">
      <c r="A4740" t="s">
        <v>13729</v>
      </c>
      <c r="B4740" t="s">
        <v>13730</v>
      </c>
      <c r="C4740" t="s">
        <v>13731</v>
      </c>
      <c r="D4740" t="s">
        <v>23</v>
      </c>
      <c r="E4740" t="s">
        <v>54</v>
      </c>
      <c r="F4740" t="s">
        <v>41</v>
      </c>
      <c r="G4740" t="s">
        <v>19</v>
      </c>
      <c r="H4740">
        <f>Cleaned_Data!K4740</f>
        <v>9</v>
      </c>
      <c r="I4740" t="str">
        <f t="shared" si="222"/>
        <v>YES</v>
      </c>
      <c r="J4740">
        <f>Cleaned_Data!J4740</f>
        <v>24</v>
      </c>
      <c r="K4740" t="str">
        <f t="shared" si="223"/>
        <v>2024-06</v>
      </c>
      <c r="L4740">
        <f t="shared" si="224"/>
        <v>0</v>
      </c>
    </row>
    <row r="4741" spans="1:12">
      <c r="A4741" t="s">
        <v>13732</v>
      </c>
      <c r="B4741" t="s">
        <v>13733</v>
      </c>
      <c r="C4741" t="s">
        <v>13734</v>
      </c>
      <c r="D4741" t="s">
        <v>35</v>
      </c>
      <c r="E4741" t="s">
        <v>16</v>
      </c>
      <c r="F4741" t="s">
        <v>36</v>
      </c>
      <c r="G4741" t="s">
        <v>31</v>
      </c>
      <c r="H4741">
        <f>Cleaned_Data!K4741</f>
        <v>30.6</v>
      </c>
      <c r="I4741" t="str">
        <f t="shared" si="222"/>
        <v>YES</v>
      </c>
      <c r="J4741">
        <f>Cleaned_Data!J4741</f>
        <v>48</v>
      </c>
      <c r="K4741" t="str">
        <f t="shared" si="223"/>
        <v>2024-04</v>
      </c>
      <c r="L4741">
        <f t="shared" si="224"/>
        <v>0</v>
      </c>
    </row>
    <row r="4742" spans="1:12">
      <c r="A4742" t="s">
        <v>13735</v>
      </c>
      <c r="B4742" t="s">
        <v>13736</v>
      </c>
      <c r="C4742" t="s">
        <v>13737</v>
      </c>
      <c r="D4742" t="s">
        <v>158</v>
      </c>
      <c r="E4742" t="s">
        <v>24</v>
      </c>
      <c r="F4742" t="s">
        <v>36</v>
      </c>
      <c r="G4742" t="s">
        <v>19</v>
      </c>
      <c r="H4742">
        <f>Cleaned_Data!K4742</f>
        <v>8.2200000000000006</v>
      </c>
      <c r="I4742" t="str">
        <f t="shared" si="222"/>
        <v>NO</v>
      </c>
      <c r="J4742">
        <f>Cleaned_Data!J4742</f>
        <v>4</v>
      </c>
      <c r="K4742" t="str">
        <f t="shared" si="223"/>
        <v>2024-11</v>
      </c>
      <c r="L4742">
        <f t="shared" si="224"/>
        <v>4.2200000000000006</v>
      </c>
    </row>
    <row r="4743" spans="1:12">
      <c r="A4743" t="s">
        <v>13738</v>
      </c>
      <c r="B4743" t="s">
        <v>13739</v>
      </c>
      <c r="C4743" t="s">
        <v>13740</v>
      </c>
      <c r="D4743" t="s">
        <v>15</v>
      </c>
      <c r="E4743" t="s">
        <v>54</v>
      </c>
      <c r="F4743" t="s">
        <v>41</v>
      </c>
      <c r="G4743" t="s">
        <v>31</v>
      </c>
      <c r="H4743">
        <f>Cleaned_Data!K4743</f>
        <v>7.44</v>
      </c>
      <c r="I4743" t="str">
        <f t="shared" si="222"/>
        <v>YES</v>
      </c>
      <c r="J4743">
        <f>Cleaned_Data!J4743</f>
        <v>8</v>
      </c>
      <c r="K4743" t="str">
        <f t="shared" si="223"/>
        <v>2024-03</v>
      </c>
      <c r="L4743">
        <f t="shared" si="224"/>
        <v>0</v>
      </c>
    </row>
    <row r="4744" spans="1:12">
      <c r="A4744" t="s">
        <v>13741</v>
      </c>
      <c r="B4744" t="s">
        <v>13742</v>
      </c>
      <c r="C4744" t="s">
        <v>13743</v>
      </c>
      <c r="D4744" t="s">
        <v>23</v>
      </c>
      <c r="E4744" t="s">
        <v>16</v>
      </c>
      <c r="F4744" t="s">
        <v>17</v>
      </c>
      <c r="G4744" t="s">
        <v>19</v>
      </c>
      <c r="H4744">
        <f>Cleaned_Data!K4744</f>
        <v>19.809999999999999</v>
      </c>
      <c r="I4744" t="str">
        <f t="shared" si="222"/>
        <v>YES</v>
      </c>
      <c r="J4744">
        <f>Cleaned_Data!J4744</f>
        <v>24</v>
      </c>
      <c r="K4744" t="str">
        <f t="shared" si="223"/>
        <v>2024-06</v>
      </c>
      <c r="L4744">
        <f t="shared" si="224"/>
        <v>0</v>
      </c>
    </row>
    <row r="4745" spans="1:12">
      <c r="A4745" t="s">
        <v>13744</v>
      </c>
      <c r="B4745" t="s">
        <v>13745</v>
      </c>
      <c r="C4745" t="s">
        <v>13746</v>
      </c>
      <c r="D4745" t="s">
        <v>15</v>
      </c>
      <c r="E4745" t="s">
        <v>24</v>
      </c>
      <c r="F4745" t="s">
        <v>41</v>
      </c>
      <c r="G4745" t="s">
        <v>31</v>
      </c>
      <c r="H4745">
        <f>Cleaned_Data!K4745</f>
        <v>5.24</v>
      </c>
      <c r="I4745" t="str">
        <f t="shared" si="222"/>
        <v>YES</v>
      </c>
      <c r="J4745">
        <f>Cleaned_Data!J4745</f>
        <v>8</v>
      </c>
      <c r="K4745" t="str">
        <f t="shared" si="223"/>
        <v>2024-05</v>
      </c>
      <c r="L4745">
        <f t="shared" si="224"/>
        <v>0</v>
      </c>
    </row>
    <row r="4746" spans="1:12">
      <c r="A4746" t="s">
        <v>13747</v>
      </c>
      <c r="B4746" t="s">
        <v>13748</v>
      </c>
      <c r="D4746" t="s">
        <v>15</v>
      </c>
      <c r="E4746" t="s">
        <v>59</v>
      </c>
      <c r="F4746" t="s">
        <v>29</v>
      </c>
      <c r="G4746" t="s">
        <v>63</v>
      </c>
      <c r="H4746">
        <f>Cleaned_Data!K4746</f>
        <v>0</v>
      </c>
      <c r="I4746" t="str">
        <f t="shared" si="222"/>
        <v/>
      </c>
      <c r="J4746">
        <f>Cleaned_Data!J4746</f>
        <v>8</v>
      </c>
      <c r="K4746" t="str">
        <f t="shared" si="223"/>
        <v>2024-04</v>
      </c>
      <c r="L4746">
        <f t="shared" si="224"/>
        <v>0</v>
      </c>
    </row>
    <row r="4747" spans="1:12">
      <c r="A4747" t="s">
        <v>13749</v>
      </c>
      <c r="B4747" t="s">
        <v>13750</v>
      </c>
      <c r="C4747" t="s">
        <v>13751</v>
      </c>
      <c r="D4747" t="s">
        <v>23</v>
      </c>
      <c r="E4747" t="s">
        <v>28</v>
      </c>
      <c r="F4747" t="s">
        <v>41</v>
      </c>
      <c r="G4747" t="s">
        <v>19</v>
      </c>
      <c r="H4747">
        <f>Cleaned_Data!K4747</f>
        <v>17.13</v>
      </c>
      <c r="I4747" t="str">
        <f t="shared" si="222"/>
        <v>YES</v>
      </c>
      <c r="J4747">
        <f>Cleaned_Data!J4747</f>
        <v>24</v>
      </c>
      <c r="K4747" t="str">
        <f t="shared" si="223"/>
        <v>2024-06</v>
      </c>
      <c r="L4747">
        <f t="shared" si="224"/>
        <v>0</v>
      </c>
    </row>
    <row r="4748" spans="1:12">
      <c r="A4748" t="s">
        <v>13752</v>
      </c>
      <c r="B4748" t="s">
        <v>13753</v>
      </c>
      <c r="C4748" t="s">
        <v>13754</v>
      </c>
      <c r="D4748" t="s">
        <v>23</v>
      </c>
      <c r="E4748" t="s">
        <v>16</v>
      </c>
      <c r="F4748" t="s">
        <v>60</v>
      </c>
      <c r="G4748" t="s">
        <v>19</v>
      </c>
      <c r="H4748">
        <f>Cleaned_Data!K4748</f>
        <v>3.82</v>
      </c>
      <c r="I4748" t="str">
        <f t="shared" si="222"/>
        <v>YES</v>
      </c>
      <c r="J4748">
        <f>Cleaned_Data!J4748</f>
        <v>24</v>
      </c>
      <c r="K4748" t="str">
        <f t="shared" si="223"/>
        <v>2024-05</v>
      </c>
      <c r="L4748">
        <f t="shared" si="224"/>
        <v>0</v>
      </c>
    </row>
    <row r="4749" spans="1:12">
      <c r="A4749" t="s">
        <v>13755</v>
      </c>
      <c r="B4749" t="s">
        <v>13756</v>
      </c>
      <c r="C4749" t="s">
        <v>13757</v>
      </c>
      <c r="D4749" t="s">
        <v>23</v>
      </c>
      <c r="E4749" t="s">
        <v>54</v>
      </c>
      <c r="F4749" t="s">
        <v>29</v>
      </c>
      <c r="G4749" t="s">
        <v>19</v>
      </c>
      <c r="H4749">
        <f>Cleaned_Data!K4749</f>
        <v>15.24</v>
      </c>
      <c r="I4749" t="str">
        <f t="shared" si="222"/>
        <v>YES</v>
      </c>
      <c r="J4749">
        <f>Cleaned_Data!J4749</f>
        <v>24</v>
      </c>
      <c r="K4749" t="str">
        <f t="shared" si="223"/>
        <v>2024-09</v>
      </c>
      <c r="L4749">
        <f t="shared" si="224"/>
        <v>0</v>
      </c>
    </row>
    <row r="4750" spans="1:12">
      <c r="A4750" t="s">
        <v>13758</v>
      </c>
      <c r="B4750" t="s">
        <v>13759</v>
      </c>
      <c r="D4750" t="s">
        <v>35</v>
      </c>
      <c r="E4750" t="s">
        <v>24</v>
      </c>
      <c r="F4750" t="s">
        <v>41</v>
      </c>
      <c r="G4750" t="s">
        <v>63</v>
      </c>
      <c r="H4750">
        <f>Cleaned_Data!K4750</f>
        <v>0</v>
      </c>
      <c r="I4750" t="str">
        <f t="shared" si="222"/>
        <v/>
      </c>
      <c r="J4750">
        <f>Cleaned_Data!J4750</f>
        <v>48</v>
      </c>
      <c r="K4750" t="str">
        <f t="shared" si="223"/>
        <v>2024-03</v>
      </c>
      <c r="L4750">
        <f t="shared" si="224"/>
        <v>0</v>
      </c>
    </row>
    <row r="4751" spans="1:12">
      <c r="A4751" t="s">
        <v>13760</v>
      </c>
      <c r="B4751" t="s">
        <v>13761</v>
      </c>
      <c r="C4751" t="s">
        <v>13762</v>
      </c>
      <c r="D4751" t="s">
        <v>23</v>
      </c>
      <c r="E4751" t="s">
        <v>16</v>
      </c>
      <c r="F4751" t="s">
        <v>29</v>
      </c>
      <c r="G4751" t="s">
        <v>19</v>
      </c>
      <c r="H4751">
        <f>Cleaned_Data!K4751</f>
        <v>10.81</v>
      </c>
      <c r="I4751" t="str">
        <f t="shared" si="222"/>
        <v>YES</v>
      </c>
      <c r="J4751">
        <f>Cleaned_Data!J4751</f>
        <v>24</v>
      </c>
      <c r="K4751" t="str">
        <f t="shared" si="223"/>
        <v>2024-08</v>
      </c>
      <c r="L4751">
        <f t="shared" si="224"/>
        <v>0</v>
      </c>
    </row>
    <row r="4752" spans="1:12">
      <c r="A4752" t="s">
        <v>13763</v>
      </c>
      <c r="B4752" t="s">
        <v>13764</v>
      </c>
      <c r="C4752" t="s">
        <v>13765</v>
      </c>
      <c r="D4752" t="s">
        <v>23</v>
      </c>
      <c r="E4752" t="s">
        <v>28</v>
      </c>
      <c r="F4752" t="s">
        <v>36</v>
      </c>
      <c r="G4752" t="s">
        <v>19</v>
      </c>
      <c r="H4752">
        <f>Cleaned_Data!K4752</f>
        <v>38.76</v>
      </c>
      <c r="I4752" t="str">
        <f t="shared" si="222"/>
        <v>NO</v>
      </c>
      <c r="J4752">
        <f>Cleaned_Data!J4752</f>
        <v>24</v>
      </c>
      <c r="K4752" t="str">
        <f t="shared" si="223"/>
        <v>2024-11</v>
      </c>
      <c r="L4752">
        <f t="shared" si="224"/>
        <v>14.759999999999998</v>
      </c>
    </row>
    <row r="4753" spans="1:12">
      <c r="A4753" t="s">
        <v>13766</v>
      </c>
      <c r="B4753" t="s">
        <v>13767</v>
      </c>
      <c r="C4753" t="s">
        <v>13768</v>
      </c>
      <c r="D4753" t="s">
        <v>23</v>
      </c>
      <c r="E4753" t="s">
        <v>54</v>
      </c>
      <c r="F4753" t="s">
        <v>17</v>
      </c>
      <c r="G4753" t="s">
        <v>19</v>
      </c>
      <c r="H4753">
        <f>Cleaned_Data!K4753</f>
        <v>17.850000000000001</v>
      </c>
      <c r="I4753" t="str">
        <f t="shared" si="222"/>
        <v>YES</v>
      </c>
      <c r="J4753">
        <f>Cleaned_Data!J4753</f>
        <v>24</v>
      </c>
      <c r="K4753" t="str">
        <f t="shared" si="223"/>
        <v>2024-05</v>
      </c>
      <c r="L4753">
        <f t="shared" si="224"/>
        <v>0</v>
      </c>
    </row>
    <row r="4754" spans="1:12">
      <c r="A4754" t="s">
        <v>13769</v>
      </c>
      <c r="B4754" t="s">
        <v>13770</v>
      </c>
      <c r="C4754" t="s">
        <v>13771</v>
      </c>
      <c r="D4754" t="s">
        <v>35</v>
      </c>
      <c r="E4754" t="s">
        <v>28</v>
      </c>
      <c r="F4754" t="s">
        <v>17</v>
      </c>
      <c r="G4754" t="s">
        <v>19</v>
      </c>
      <c r="H4754">
        <f>Cleaned_Data!K4754</f>
        <v>34.83</v>
      </c>
      <c r="I4754" t="str">
        <f t="shared" si="222"/>
        <v>YES</v>
      </c>
      <c r="J4754">
        <f>Cleaned_Data!J4754</f>
        <v>48</v>
      </c>
      <c r="K4754" t="str">
        <f t="shared" si="223"/>
        <v>2024-11</v>
      </c>
      <c r="L4754">
        <f t="shared" si="224"/>
        <v>0</v>
      </c>
    </row>
    <row r="4755" spans="1:12">
      <c r="A4755" t="s">
        <v>13772</v>
      </c>
      <c r="B4755" t="s">
        <v>13773</v>
      </c>
      <c r="C4755" t="s">
        <v>13774</v>
      </c>
      <c r="D4755" t="s">
        <v>15</v>
      </c>
      <c r="E4755" t="s">
        <v>24</v>
      </c>
      <c r="F4755" t="s">
        <v>60</v>
      </c>
      <c r="G4755" t="s">
        <v>31</v>
      </c>
      <c r="H4755">
        <f>Cleaned_Data!K4755</f>
        <v>2</v>
      </c>
      <c r="I4755" t="str">
        <f t="shared" si="222"/>
        <v>YES</v>
      </c>
      <c r="J4755">
        <f>Cleaned_Data!J4755</f>
        <v>8</v>
      </c>
      <c r="K4755" t="str">
        <f t="shared" si="223"/>
        <v>2024-03</v>
      </c>
      <c r="L4755">
        <f t="shared" si="224"/>
        <v>0</v>
      </c>
    </row>
    <row r="4756" spans="1:12">
      <c r="A4756" t="s">
        <v>13775</v>
      </c>
      <c r="B4756" t="s">
        <v>13776</v>
      </c>
      <c r="D4756" t="s">
        <v>23</v>
      </c>
      <c r="E4756" t="s">
        <v>16</v>
      </c>
      <c r="F4756" t="s">
        <v>41</v>
      </c>
      <c r="G4756" t="s">
        <v>63</v>
      </c>
      <c r="H4756">
        <f>Cleaned_Data!K4756</f>
        <v>0</v>
      </c>
      <c r="I4756" t="str">
        <f t="shared" si="222"/>
        <v/>
      </c>
      <c r="J4756">
        <f>Cleaned_Data!J4756</f>
        <v>24</v>
      </c>
      <c r="K4756" t="str">
        <f t="shared" si="223"/>
        <v>2024-09</v>
      </c>
      <c r="L4756">
        <f t="shared" si="224"/>
        <v>0</v>
      </c>
    </row>
    <row r="4757" spans="1:12">
      <c r="A4757" t="s">
        <v>13777</v>
      </c>
      <c r="B4757" t="s">
        <v>13778</v>
      </c>
      <c r="C4757" t="s">
        <v>13779</v>
      </c>
      <c r="D4757" t="s">
        <v>23</v>
      </c>
      <c r="E4757" t="s">
        <v>59</v>
      </c>
      <c r="F4757" t="s">
        <v>36</v>
      </c>
      <c r="G4757" t="s">
        <v>31</v>
      </c>
      <c r="H4757">
        <f>Cleaned_Data!K4757</f>
        <v>853</v>
      </c>
      <c r="I4757" t="str">
        <f t="shared" si="222"/>
        <v>NO</v>
      </c>
      <c r="J4757">
        <f>Cleaned_Data!J4757</f>
        <v>24</v>
      </c>
      <c r="K4757" t="str">
        <f t="shared" si="223"/>
        <v>2024-06</v>
      </c>
      <c r="L4757">
        <f t="shared" si="224"/>
        <v>829</v>
      </c>
    </row>
    <row r="4758" spans="1:12">
      <c r="A4758" t="s">
        <v>13780</v>
      </c>
      <c r="B4758" t="s">
        <v>13781</v>
      </c>
      <c r="C4758" t="s">
        <v>13782</v>
      </c>
      <c r="D4758" t="s">
        <v>15</v>
      </c>
      <c r="E4758" t="s">
        <v>28</v>
      </c>
      <c r="F4758" t="s">
        <v>17</v>
      </c>
      <c r="G4758" t="s">
        <v>31</v>
      </c>
      <c r="H4758">
        <f>Cleaned_Data!K4758</f>
        <v>6.65</v>
      </c>
      <c r="I4758" t="str">
        <f t="shared" si="222"/>
        <v>YES</v>
      </c>
      <c r="J4758">
        <f>Cleaned_Data!J4758</f>
        <v>8</v>
      </c>
      <c r="K4758" t="str">
        <f t="shared" si="223"/>
        <v>2024-08</v>
      </c>
      <c r="L4758">
        <f t="shared" si="224"/>
        <v>0</v>
      </c>
    </row>
    <row r="4759" spans="1:12">
      <c r="A4759" t="s">
        <v>13783</v>
      </c>
      <c r="B4759" t="s">
        <v>13784</v>
      </c>
      <c r="C4759" t="s">
        <v>13785</v>
      </c>
      <c r="D4759" t="s">
        <v>23</v>
      </c>
      <c r="E4759" t="s">
        <v>28</v>
      </c>
      <c r="F4759" t="s">
        <v>17</v>
      </c>
      <c r="G4759" t="s">
        <v>31</v>
      </c>
      <c r="H4759">
        <f>Cleaned_Data!K4759</f>
        <v>8.89</v>
      </c>
      <c r="I4759" t="str">
        <f t="shared" si="222"/>
        <v>YES</v>
      </c>
      <c r="J4759">
        <f>Cleaned_Data!J4759</f>
        <v>24</v>
      </c>
      <c r="K4759" t="str">
        <f t="shared" si="223"/>
        <v>2024-05</v>
      </c>
      <c r="L4759">
        <f t="shared" si="224"/>
        <v>0</v>
      </c>
    </row>
    <row r="4760" spans="1:12">
      <c r="A4760" t="s">
        <v>13786</v>
      </c>
      <c r="B4760" t="s">
        <v>13787</v>
      </c>
      <c r="D4760" t="s">
        <v>15</v>
      </c>
      <c r="E4760" t="s">
        <v>59</v>
      </c>
      <c r="F4760" t="s">
        <v>41</v>
      </c>
      <c r="G4760" t="s">
        <v>46</v>
      </c>
      <c r="H4760">
        <f>Cleaned_Data!K4760</f>
        <v>0</v>
      </c>
      <c r="I4760" t="str">
        <f t="shared" si="222"/>
        <v/>
      </c>
      <c r="J4760">
        <f>Cleaned_Data!J4760</f>
        <v>8</v>
      </c>
      <c r="K4760" t="str">
        <f t="shared" si="223"/>
        <v>2024-11</v>
      </c>
      <c r="L4760">
        <f t="shared" si="224"/>
        <v>0</v>
      </c>
    </row>
    <row r="4761" spans="1:12">
      <c r="A4761" t="s">
        <v>13788</v>
      </c>
      <c r="B4761" t="s">
        <v>13789</v>
      </c>
      <c r="D4761" t="s">
        <v>23</v>
      </c>
      <c r="E4761" t="s">
        <v>28</v>
      </c>
      <c r="F4761" t="s">
        <v>17</v>
      </c>
      <c r="G4761" t="s">
        <v>63</v>
      </c>
      <c r="H4761">
        <f>Cleaned_Data!K4761</f>
        <v>0</v>
      </c>
      <c r="I4761" t="str">
        <f t="shared" si="222"/>
        <v/>
      </c>
      <c r="J4761">
        <f>Cleaned_Data!J4761</f>
        <v>24</v>
      </c>
      <c r="K4761" t="str">
        <f t="shared" si="223"/>
        <v>2024-01</v>
      </c>
      <c r="L4761">
        <f t="shared" si="224"/>
        <v>0</v>
      </c>
    </row>
    <row r="4762" spans="1:12">
      <c r="A4762" t="s">
        <v>13790</v>
      </c>
      <c r="B4762" t="s">
        <v>13791</v>
      </c>
      <c r="C4762" t="s">
        <v>13792</v>
      </c>
      <c r="D4762" t="s">
        <v>35</v>
      </c>
      <c r="E4762" t="s">
        <v>28</v>
      </c>
      <c r="F4762" t="s">
        <v>36</v>
      </c>
      <c r="G4762" t="s">
        <v>19</v>
      </c>
      <c r="H4762">
        <f>Cleaned_Data!K4762</f>
        <v>23.66</v>
      </c>
      <c r="I4762" t="str">
        <f t="shared" si="222"/>
        <v>YES</v>
      </c>
      <c r="J4762">
        <f>Cleaned_Data!J4762</f>
        <v>48</v>
      </c>
      <c r="K4762" t="str">
        <f t="shared" si="223"/>
        <v>2024-11</v>
      </c>
      <c r="L4762">
        <f t="shared" si="224"/>
        <v>0</v>
      </c>
    </row>
    <row r="4763" spans="1:12">
      <c r="A4763" t="s">
        <v>13793</v>
      </c>
      <c r="B4763" t="s">
        <v>13794</v>
      </c>
      <c r="C4763" t="s">
        <v>13795</v>
      </c>
      <c r="D4763" t="s">
        <v>23</v>
      </c>
      <c r="E4763" t="s">
        <v>54</v>
      </c>
      <c r="F4763" t="s">
        <v>29</v>
      </c>
      <c r="G4763" t="s">
        <v>19</v>
      </c>
      <c r="H4763">
        <f>Cleaned_Data!K4763</f>
        <v>15.74</v>
      </c>
      <c r="I4763" t="str">
        <f t="shared" si="222"/>
        <v>YES</v>
      </c>
      <c r="J4763">
        <f>Cleaned_Data!J4763</f>
        <v>24</v>
      </c>
      <c r="K4763" t="str">
        <f t="shared" si="223"/>
        <v>2024-11</v>
      </c>
      <c r="L4763">
        <f t="shared" si="224"/>
        <v>0</v>
      </c>
    </row>
    <row r="4764" spans="1:12">
      <c r="A4764" t="s">
        <v>13796</v>
      </c>
      <c r="B4764" t="s">
        <v>13797</v>
      </c>
      <c r="C4764" t="s">
        <v>13798</v>
      </c>
      <c r="D4764" t="s">
        <v>23</v>
      </c>
      <c r="E4764" t="s">
        <v>16</v>
      </c>
      <c r="F4764" t="s">
        <v>41</v>
      </c>
      <c r="G4764" t="s">
        <v>31</v>
      </c>
      <c r="H4764">
        <f>Cleaned_Data!K4764</f>
        <v>7.43</v>
      </c>
      <c r="I4764" t="str">
        <f t="shared" si="222"/>
        <v>YES</v>
      </c>
      <c r="J4764">
        <f>Cleaned_Data!J4764</f>
        <v>24</v>
      </c>
      <c r="K4764" t="str">
        <f t="shared" si="223"/>
        <v>2024-12</v>
      </c>
      <c r="L4764">
        <f t="shared" si="224"/>
        <v>0</v>
      </c>
    </row>
    <row r="4765" spans="1:12">
      <c r="A4765" t="s">
        <v>13799</v>
      </c>
      <c r="B4765" t="s">
        <v>13800</v>
      </c>
      <c r="C4765" t="s">
        <v>13801</v>
      </c>
      <c r="D4765" t="s">
        <v>15</v>
      </c>
      <c r="E4765" t="s">
        <v>59</v>
      </c>
      <c r="F4765" t="s">
        <v>17</v>
      </c>
      <c r="G4765" t="s">
        <v>19</v>
      </c>
      <c r="H4765">
        <f>Cleaned_Data!K4765</f>
        <v>3.47</v>
      </c>
      <c r="I4765" t="str">
        <f t="shared" si="222"/>
        <v>YES</v>
      </c>
      <c r="J4765">
        <f>Cleaned_Data!J4765</f>
        <v>8</v>
      </c>
      <c r="K4765" t="str">
        <f t="shared" si="223"/>
        <v>2024-12</v>
      </c>
      <c r="L4765">
        <f t="shared" si="224"/>
        <v>0</v>
      </c>
    </row>
    <row r="4766" spans="1:12">
      <c r="A4766" t="s">
        <v>13802</v>
      </c>
      <c r="B4766" t="s">
        <v>13803</v>
      </c>
      <c r="C4766" t="s">
        <v>13804</v>
      </c>
      <c r="D4766" t="s">
        <v>158</v>
      </c>
      <c r="E4766" t="s">
        <v>28</v>
      </c>
      <c r="F4766" t="s">
        <v>60</v>
      </c>
      <c r="G4766" t="s">
        <v>31</v>
      </c>
      <c r="H4766">
        <f>Cleaned_Data!K4766</f>
        <v>2.0099999999999998</v>
      </c>
      <c r="I4766" t="str">
        <f t="shared" si="222"/>
        <v>YES</v>
      </c>
      <c r="J4766">
        <f>Cleaned_Data!J4766</f>
        <v>4</v>
      </c>
      <c r="K4766" t="str">
        <f t="shared" si="223"/>
        <v>2024-09</v>
      </c>
      <c r="L4766">
        <f t="shared" si="224"/>
        <v>0</v>
      </c>
    </row>
    <row r="4767" spans="1:12">
      <c r="A4767" t="s">
        <v>13805</v>
      </c>
      <c r="B4767" t="s">
        <v>13806</v>
      </c>
      <c r="D4767" t="s">
        <v>23</v>
      </c>
      <c r="E4767" t="s">
        <v>54</v>
      </c>
      <c r="F4767" t="s">
        <v>60</v>
      </c>
      <c r="G4767" t="s">
        <v>63</v>
      </c>
      <c r="H4767">
        <f>Cleaned_Data!K4767</f>
        <v>0</v>
      </c>
      <c r="I4767" t="str">
        <f t="shared" si="222"/>
        <v/>
      </c>
      <c r="J4767">
        <f>Cleaned_Data!J4767</f>
        <v>24</v>
      </c>
      <c r="K4767" t="str">
        <f t="shared" si="223"/>
        <v>2024-09</v>
      </c>
      <c r="L4767">
        <f t="shared" si="224"/>
        <v>0</v>
      </c>
    </row>
    <row r="4768" spans="1:12">
      <c r="A4768" t="s">
        <v>13807</v>
      </c>
      <c r="B4768" t="s">
        <v>13808</v>
      </c>
      <c r="C4768" t="s">
        <v>13809</v>
      </c>
      <c r="D4768" t="s">
        <v>15</v>
      </c>
      <c r="E4768" t="s">
        <v>28</v>
      </c>
      <c r="F4768" t="s">
        <v>41</v>
      </c>
      <c r="G4768" t="s">
        <v>19</v>
      </c>
      <c r="H4768">
        <f>Cleaned_Data!K4768</f>
        <v>2.48</v>
      </c>
      <c r="I4768" t="str">
        <f t="shared" si="222"/>
        <v>YES</v>
      </c>
      <c r="J4768">
        <f>Cleaned_Data!J4768</f>
        <v>8</v>
      </c>
      <c r="K4768" t="str">
        <f t="shared" si="223"/>
        <v>2024-05</v>
      </c>
      <c r="L4768">
        <f t="shared" si="224"/>
        <v>0</v>
      </c>
    </row>
    <row r="4769" spans="1:12">
      <c r="A4769" t="s">
        <v>13810</v>
      </c>
      <c r="B4769" t="s">
        <v>13811</v>
      </c>
      <c r="C4769" t="s">
        <v>13812</v>
      </c>
      <c r="D4769" t="s">
        <v>15</v>
      </c>
      <c r="E4769" t="s">
        <v>24</v>
      </c>
      <c r="F4769" t="s">
        <v>41</v>
      </c>
      <c r="G4769" t="s">
        <v>31</v>
      </c>
      <c r="H4769">
        <f>Cleaned_Data!K4769</f>
        <v>6</v>
      </c>
      <c r="I4769" t="str">
        <f t="shared" si="222"/>
        <v>YES</v>
      </c>
      <c r="J4769">
        <f>Cleaned_Data!J4769</f>
        <v>8</v>
      </c>
      <c r="K4769" t="str">
        <f t="shared" si="223"/>
        <v>2024-11</v>
      </c>
      <c r="L4769">
        <f t="shared" si="224"/>
        <v>0</v>
      </c>
    </row>
    <row r="4770" spans="1:12">
      <c r="A4770" t="s">
        <v>13813</v>
      </c>
      <c r="B4770" t="s">
        <v>13814</v>
      </c>
      <c r="C4770" t="s">
        <v>13815</v>
      </c>
      <c r="D4770" t="s">
        <v>15</v>
      </c>
      <c r="E4770" t="s">
        <v>16</v>
      </c>
      <c r="F4770" t="s">
        <v>60</v>
      </c>
      <c r="G4770" t="s">
        <v>19</v>
      </c>
      <c r="H4770">
        <f>Cleaned_Data!K4770</f>
        <v>1.37</v>
      </c>
      <c r="I4770" t="str">
        <f t="shared" si="222"/>
        <v>YES</v>
      </c>
      <c r="J4770">
        <f>Cleaned_Data!J4770</f>
        <v>8</v>
      </c>
      <c r="K4770" t="str">
        <f t="shared" si="223"/>
        <v>2024-01</v>
      </c>
      <c r="L4770">
        <f t="shared" si="224"/>
        <v>0</v>
      </c>
    </row>
    <row r="4771" spans="1:12">
      <c r="A4771" t="s">
        <v>13816</v>
      </c>
      <c r="B4771" t="s">
        <v>13817</v>
      </c>
      <c r="C4771" t="s">
        <v>13818</v>
      </c>
      <c r="D4771" t="s">
        <v>35</v>
      </c>
      <c r="E4771" t="s">
        <v>28</v>
      </c>
      <c r="F4771" t="s">
        <v>17</v>
      </c>
      <c r="G4771" t="s">
        <v>31</v>
      </c>
      <c r="H4771">
        <f>Cleaned_Data!K4771</f>
        <v>34.28</v>
      </c>
      <c r="I4771" t="str">
        <f t="shared" si="222"/>
        <v>YES</v>
      </c>
      <c r="J4771">
        <f>Cleaned_Data!J4771</f>
        <v>48</v>
      </c>
      <c r="K4771" t="str">
        <f t="shared" si="223"/>
        <v>2024-08</v>
      </c>
      <c r="L4771">
        <f t="shared" si="224"/>
        <v>0</v>
      </c>
    </row>
    <row r="4772" spans="1:12">
      <c r="A4772" t="s">
        <v>13819</v>
      </c>
      <c r="B4772" t="s">
        <v>13820</v>
      </c>
      <c r="C4772" t="s">
        <v>13821</v>
      </c>
      <c r="D4772" t="s">
        <v>23</v>
      </c>
      <c r="E4772" t="s">
        <v>28</v>
      </c>
      <c r="F4772" t="s">
        <v>29</v>
      </c>
      <c r="G4772" t="s">
        <v>31</v>
      </c>
      <c r="H4772">
        <f>Cleaned_Data!K4772</f>
        <v>6.89</v>
      </c>
      <c r="I4772" t="str">
        <f t="shared" si="222"/>
        <v>YES</v>
      </c>
      <c r="J4772">
        <f>Cleaned_Data!J4772</f>
        <v>24</v>
      </c>
      <c r="K4772" t="str">
        <f t="shared" si="223"/>
        <v>2024-06</v>
      </c>
      <c r="L4772">
        <f t="shared" si="224"/>
        <v>0</v>
      </c>
    </row>
    <row r="4773" spans="1:12">
      <c r="A4773" t="s">
        <v>13822</v>
      </c>
      <c r="B4773" t="s">
        <v>13823</v>
      </c>
      <c r="C4773" t="s">
        <v>13824</v>
      </c>
      <c r="D4773" t="s">
        <v>15</v>
      </c>
      <c r="E4773" t="s">
        <v>28</v>
      </c>
      <c r="F4773" t="s">
        <v>60</v>
      </c>
      <c r="G4773" t="s">
        <v>31</v>
      </c>
      <c r="H4773">
        <f>Cleaned_Data!K4773</f>
        <v>22.41</v>
      </c>
      <c r="I4773" t="str">
        <f t="shared" si="222"/>
        <v>NO</v>
      </c>
      <c r="J4773">
        <f>Cleaned_Data!J4773</f>
        <v>8</v>
      </c>
      <c r="K4773" t="str">
        <f t="shared" si="223"/>
        <v>2024-12</v>
      </c>
      <c r="L4773">
        <f t="shared" si="224"/>
        <v>14.41</v>
      </c>
    </row>
    <row r="4774" spans="1:12">
      <c r="A4774" t="s">
        <v>13825</v>
      </c>
      <c r="B4774" t="s">
        <v>13826</v>
      </c>
      <c r="C4774" t="s">
        <v>13827</v>
      </c>
      <c r="D4774" t="s">
        <v>23</v>
      </c>
      <c r="E4774" t="s">
        <v>16</v>
      </c>
      <c r="F4774" t="s">
        <v>60</v>
      </c>
      <c r="G4774" t="s">
        <v>19</v>
      </c>
      <c r="H4774">
        <f>Cleaned_Data!K4774</f>
        <v>62.52</v>
      </c>
      <c r="I4774" t="str">
        <f t="shared" si="222"/>
        <v>NO</v>
      </c>
      <c r="J4774">
        <f>Cleaned_Data!J4774</f>
        <v>24</v>
      </c>
      <c r="K4774" t="str">
        <f t="shared" si="223"/>
        <v>2024-10</v>
      </c>
      <c r="L4774">
        <f t="shared" si="224"/>
        <v>38.520000000000003</v>
      </c>
    </row>
    <row r="4775" spans="1:12">
      <c r="A4775" t="s">
        <v>13828</v>
      </c>
      <c r="B4775" t="s">
        <v>13829</v>
      </c>
      <c r="C4775" t="s">
        <v>13830</v>
      </c>
      <c r="D4775" t="s">
        <v>23</v>
      </c>
      <c r="E4775" t="s">
        <v>28</v>
      </c>
      <c r="F4775" t="s">
        <v>60</v>
      </c>
      <c r="G4775" t="s">
        <v>19</v>
      </c>
      <c r="H4775">
        <f>Cleaned_Data!K4775</f>
        <v>6.36</v>
      </c>
      <c r="I4775" t="str">
        <f t="shared" si="222"/>
        <v>YES</v>
      </c>
      <c r="J4775">
        <f>Cleaned_Data!J4775</f>
        <v>24</v>
      </c>
      <c r="K4775" t="str">
        <f t="shared" si="223"/>
        <v>2024-02</v>
      </c>
      <c r="L4775">
        <f t="shared" si="224"/>
        <v>0</v>
      </c>
    </row>
    <row r="4776" spans="1:12">
      <c r="A4776" t="s">
        <v>13831</v>
      </c>
      <c r="B4776" t="s">
        <v>13832</v>
      </c>
      <c r="C4776" t="s">
        <v>13833</v>
      </c>
      <c r="D4776" t="s">
        <v>23</v>
      </c>
      <c r="E4776" t="s">
        <v>28</v>
      </c>
      <c r="F4776" t="s">
        <v>17</v>
      </c>
      <c r="G4776" t="s">
        <v>19</v>
      </c>
      <c r="H4776">
        <f>Cleaned_Data!K4776</f>
        <v>17.45</v>
      </c>
      <c r="I4776" t="str">
        <f t="shared" si="222"/>
        <v>YES</v>
      </c>
      <c r="J4776">
        <f>Cleaned_Data!J4776</f>
        <v>24</v>
      </c>
      <c r="K4776" t="str">
        <f t="shared" si="223"/>
        <v>2024-08</v>
      </c>
      <c r="L4776">
        <f t="shared" si="224"/>
        <v>0</v>
      </c>
    </row>
    <row r="4777" spans="1:12">
      <c r="A4777" t="s">
        <v>13834</v>
      </c>
      <c r="B4777" t="s">
        <v>13835</v>
      </c>
      <c r="C4777" t="s">
        <v>13836</v>
      </c>
      <c r="D4777" t="s">
        <v>23</v>
      </c>
      <c r="E4777" t="s">
        <v>28</v>
      </c>
      <c r="F4777" t="s">
        <v>41</v>
      </c>
      <c r="G4777" t="s">
        <v>19</v>
      </c>
      <c r="H4777">
        <f>Cleaned_Data!K4777</f>
        <v>4.5</v>
      </c>
      <c r="I4777" t="str">
        <f t="shared" si="222"/>
        <v>YES</v>
      </c>
      <c r="J4777">
        <f>Cleaned_Data!J4777</f>
        <v>24</v>
      </c>
      <c r="K4777" t="str">
        <f t="shared" si="223"/>
        <v>2024-04</v>
      </c>
      <c r="L4777">
        <f t="shared" si="224"/>
        <v>0</v>
      </c>
    </row>
    <row r="4778" spans="1:12">
      <c r="A4778" t="s">
        <v>13837</v>
      </c>
      <c r="B4778" t="s">
        <v>13838</v>
      </c>
      <c r="C4778" t="s">
        <v>13839</v>
      </c>
      <c r="D4778" t="s">
        <v>35</v>
      </c>
      <c r="E4778" t="s">
        <v>59</v>
      </c>
      <c r="F4778" t="s">
        <v>36</v>
      </c>
      <c r="G4778" t="s">
        <v>19</v>
      </c>
      <c r="H4778">
        <f>Cleaned_Data!K4778</f>
        <v>95.34</v>
      </c>
      <c r="I4778" t="str">
        <f t="shared" si="222"/>
        <v>NO</v>
      </c>
      <c r="J4778">
        <f>Cleaned_Data!J4778</f>
        <v>48</v>
      </c>
      <c r="K4778" t="str">
        <f t="shared" si="223"/>
        <v>2024-02</v>
      </c>
      <c r="L4778">
        <f t="shared" si="224"/>
        <v>47.34</v>
      </c>
    </row>
    <row r="4779" spans="1:12">
      <c r="A4779" t="s">
        <v>13840</v>
      </c>
      <c r="B4779" t="s">
        <v>13841</v>
      </c>
      <c r="C4779" t="s">
        <v>13842</v>
      </c>
      <c r="D4779" t="s">
        <v>35</v>
      </c>
      <c r="E4779" t="s">
        <v>59</v>
      </c>
      <c r="F4779" t="s">
        <v>36</v>
      </c>
      <c r="G4779" t="s">
        <v>31</v>
      </c>
      <c r="H4779">
        <f>Cleaned_Data!K4779</f>
        <v>31.34</v>
      </c>
      <c r="I4779" t="str">
        <f t="shared" si="222"/>
        <v>YES</v>
      </c>
      <c r="J4779">
        <f>Cleaned_Data!J4779</f>
        <v>48</v>
      </c>
      <c r="K4779" t="str">
        <f t="shared" si="223"/>
        <v>2024-04</v>
      </c>
      <c r="L4779">
        <f t="shared" si="224"/>
        <v>0</v>
      </c>
    </row>
    <row r="4780" spans="1:12">
      <c r="A4780" t="s">
        <v>13843</v>
      </c>
      <c r="B4780" t="s">
        <v>13844</v>
      </c>
      <c r="C4780" t="s">
        <v>13845</v>
      </c>
      <c r="D4780" t="s">
        <v>15</v>
      </c>
      <c r="E4780" t="s">
        <v>54</v>
      </c>
      <c r="F4780" t="s">
        <v>60</v>
      </c>
      <c r="G4780" t="s">
        <v>31</v>
      </c>
      <c r="H4780">
        <f>Cleaned_Data!K4780</f>
        <v>4.1399999999999997</v>
      </c>
      <c r="I4780" t="str">
        <f t="shared" si="222"/>
        <v>YES</v>
      </c>
      <c r="J4780">
        <f>Cleaned_Data!J4780</f>
        <v>8</v>
      </c>
      <c r="K4780" t="str">
        <f t="shared" si="223"/>
        <v>2024-01</v>
      </c>
      <c r="L4780">
        <f t="shared" si="224"/>
        <v>0</v>
      </c>
    </row>
    <row r="4781" spans="1:12">
      <c r="A4781" t="s">
        <v>13846</v>
      </c>
      <c r="B4781" t="s">
        <v>13847</v>
      </c>
      <c r="C4781" t="s">
        <v>13848</v>
      </c>
      <c r="D4781" t="s">
        <v>23</v>
      </c>
      <c r="E4781" t="s">
        <v>24</v>
      </c>
      <c r="F4781" t="s">
        <v>17</v>
      </c>
      <c r="G4781" t="s">
        <v>19</v>
      </c>
      <c r="H4781">
        <f>Cleaned_Data!K4781</f>
        <v>13.58</v>
      </c>
      <c r="I4781" t="str">
        <f t="shared" si="222"/>
        <v>YES</v>
      </c>
      <c r="J4781">
        <f>Cleaned_Data!J4781</f>
        <v>24</v>
      </c>
      <c r="K4781" t="str">
        <f t="shared" si="223"/>
        <v>2024-04</v>
      </c>
      <c r="L4781">
        <f t="shared" si="224"/>
        <v>0</v>
      </c>
    </row>
    <row r="4782" spans="1:12">
      <c r="A4782" t="s">
        <v>13849</v>
      </c>
      <c r="B4782" t="s">
        <v>13850</v>
      </c>
      <c r="C4782" t="s">
        <v>13851</v>
      </c>
      <c r="D4782" t="s">
        <v>35</v>
      </c>
      <c r="E4782" t="s">
        <v>16</v>
      </c>
      <c r="F4782" t="s">
        <v>29</v>
      </c>
      <c r="G4782" t="s">
        <v>31</v>
      </c>
      <c r="H4782">
        <f>Cleaned_Data!K4782</f>
        <v>13.75</v>
      </c>
      <c r="I4782" t="str">
        <f t="shared" si="222"/>
        <v>YES</v>
      </c>
      <c r="J4782">
        <f>Cleaned_Data!J4782</f>
        <v>48</v>
      </c>
      <c r="K4782" t="str">
        <f t="shared" si="223"/>
        <v>2024-03</v>
      </c>
      <c r="L4782">
        <f t="shared" si="224"/>
        <v>0</v>
      </c>
    </row>
    <row r="4783" spans="1:12">
      <c r="A4783" t="s">
        <v>13852</v>
      </c>
      <c r="B4783" t="s">
        <v>13853</v>
      </c>
      <c r="C4783" t="s">
        <v>13854</v>
      </c>
      <c r="D4783" t="s">
        <v>23</v>
      </c>
      <c r="E4783" t="s">
        <v>16</v>
      </c>
      <c r="F4783" t="s">
        <v>41</v>
      </c>
      <c r="G4783" t="s">
        <v>19</v>
      </c>
      <c r="H4783">
        <f>Cleaned_Data!K4783</f>
        <v>20.64</v>
      </c>
      <c r="I4783" t="str">
        <f t="shared" si="222"/>
        <v>YES</v>
      </c>
      <c r="J4783">
        <f>Cleaned_Data!J4783</f>
        <v>24</v>
      </c>
      <c r="K4783" t="str">
        <f t="shared" si="223"/>
        <v>2024-06</v>
      </c>
      <c r="L4783">
        <f t="shared" si="224"/>
        <v>0</v>
      </c>
    </row>
    <row r="4784" spans="1:12">
      <c r="A4784" t="s">
        <v>13855</v>
      </c>
      <c r="B4784" t="s">
        <v>13856</v>
      </c>
      <c r="C4784" t="s">
        <v>13857</v>
      </c>
      <c r="D4784" t="s">
        <v>35</v>
      </c>
      <c r="E4784" t="s">
        <v>54</v>
      </c>
      <c r="F4784" t="s">
        <v>17</v>
      </c>
      <c r="G4784" t="s">
        <v>19</v>
      </c>
      <c r="H4784">
        <f>Cleaned_Data!K4784</f>
        <v>82.68</v>
      </c>
      <c r="I4784" t="str">
        <f t="shared" si="222"/>
        <v>NO</v>
      </c>
      <c r="J4784">
        <f>Cleaned_Data!J4784</f>
        <v>48</v>
      </c>
      <c r="K4784" t="str">
        <f t="shared" si="223"/>
        <v>2024-11</v>
      </c>
      <c r="L4784">
        <f t="shared" si="224"/>
        <v>34.680000000000007</v>
      </c>
    </row>
    <row r="4785" spans="1:12">
      <c r="A4785" t="s">
        <v>13858</v>
      </c>
      <c r="B4785" t="s">
        <v>13859</v>
      </c>
      <c r="C4785" t="s">
        <v>13860</v>
      </c>
      <c r="D4785" t="s">
        <v>15</v>
      </c>
      <c r="E4785" t="s">
        <v>28</v>
      </c>
      <c r="F4785" t="s">
        <v>41</v>
      </c>
      <c r="G4785" t="s">
        <v>19</v>
      </c>
      <c r="H4785">
        <f>Cleaned_Data!K4785</f>
        <v>3</v>
      </c>
      <c r="I4785" t="str">
        <f t="shared" si="222"/>
        <v>YES</v>
      </c>
      <c r="J4785">
        <f>Cleaned_Data!J4785</f>
        <v>8</v>
      </c>
      <c r="K4785" t="str">
        <f t="shared" si="223"/>
        <v>2024-07</v>
      </c>
      <c r="L4785">
        <f t="shared" si="224"/>
        <v>0</v>
      </c>
    </row>
    <row r="4786" spans="1:12">
      <c r="A4786" t="s">
        <v>13861</v>
      </c>
      <c r="B4786" t="s">
        <v>13862</v>
      </c>
      <c r="C4786" t="s">
        <v>13863</v>
      </c>
      <c r="D4786" t="s">
        <v>15</v>
      </c>
      <c r="E4786" t="s">
        <v>28</v>
      </c>
      <c r="F4786" t="s">
        <v>36</v>
      </c>
      <c r="G4786" t="s">
        <v>19</v>
      </c>
      <c r="H4786">
        <f>Cleaned_Data!K4786</f>
        <v>0.98</v>
      </c>
      <c r="I4786" t="str">
        <f t="shared" si="222"/>
        <v>YES</v>
      </c>
      <c r="J4786">
        <f>Cleaned_Data!J4786</f>
        <v>8</v>
      </c>
      <c r="K4786" t="str">
        <f t="shared" si="223"/>
        <v>2024-08</v>
      </c>
      <c r="L4786">
        <f t="shared" si="224"/>
        <v>0</v>
      </c>
    </row>
    <row r="4787" spans="1:12">
      <c r="A4787" t="s">
        <v>13864</v>
      </c>
      <c r="B4787" t="s">
        <v>13865</v>
      </c>
      <c r="C4787" t="s">
        <v>13866</v>
      </c>
      <c r="D4787" t="s">
        <v>23</v>
      </c>
      <c r="E4787" t="s">
        <v>28</v>
      </c>
      <c r="F4787" t="s">
        <v>60</v>
      </c>
      <c r="G4787" t="s">
        <v>19</v>
      </c>
      <c r="H4787">
        <f>Cleaned_Data!K4787</f>
        <v>47.98</v>
      </c>
      <c r="I4787" t="str">
        <f t="shared" si="222"/>
        <v>NO</v>
      </c>
      <c r="J4787">
        <f>Cleaned_Data!J4787</f>
        <v>24</v>
      </c>
      <c r="K4787" t="str">
        <f t="shared" si="223"/>
        <v>2024-12</v>
      </c>
      <c r="L4787">
        <f t="shared" si="224"/>
        <v>23.979999999999997</v>
      </c>
    </row>
    <row r="4788" spans="1:12">
      <c r="A4788" t="s">
        <v>13867</v>
      </c>
      <c r="B4788" t="s">
        <v>13868</v>
      </c>
      <c r="C4788" t="s">
        <v>13869</v>
      </c>
      <c r="D4788" t="s">
        <v>23</v>
      </c>
      <c r="E4788" t="s">
        <v>54</v>
      </c>
      <c r="F4788" t="s">
        <v>29</v>
      </c>
      <c r="G4788" t="s">
        <v>19</v>
      </c>
      <c r="H4788">
        <f>Cleaned_Data!K4788</f>
        <v>11.36</v>
      </c>
      <c r="I4788" t="str">
        <f t="shared" si="222"/>
        <v>YES</v>
      </c>
      <c r="J4788">
        <f>Cleaned_Data!J4788</f>
        <v>24</v>
      </c>
      <c r="K4788" t="str">
        <f t="shared" si="223"/>
        <v>2024-06</v>
      </c>
      <c r="L4788">
        <f t="shared" si="224"/>
        <v>0</v>
      </c>
    </row>
    <row r="4789" spans="1:12">
      <c r="A4789" t="s">
        <v>13870</v>
      </c>
      <c r="B4789" t="s">
        <v>13871</v>
      </c>
      <c r="C4789" t="s">
        <v>13872</v>
      </c>
      <c r="D4789" t="s">
        <v>15</v>
      </c>
      <c r="E4789" t="s">
        <v>28</v>
      </c>
      <c r="F4789" t="s">
        <v>17</v>
      </c>
      <c r="G4789" t="s">
        <v>19</v>
      </c>
      <c r="H4789">
        <f>Cleaned_Data!K4789</f>
        <v>3.18</v>
      </c>
      <c r="I4789" t="str">
        <f t="shared" si="222"/>
        <v>YES</v>
      </c>
      <c r="J4789">
        <f>Cleaned_Data!J4789</f>
        <v>8</v>
      </c>
      <c r="K4789" t="str">
        <f t="shared" si="223"/>
        <v>2024-10</v>
      </c>
      <c r="L4789">
        <f t="shared" si="224"/>
        <v>0</v>
      </c>
    </row>
    <row r="4790" spans="1:12">
      <c r="A4790" t="s">
        <v>13873</v>
      </c>
      <c r="B4790" t="s">
        <v>13874</v>
      </c>
      <c r="C4790" t="s">
        <v>13875</v>
      </c>
      <c r="D4790" t="s">
        <v>23</v>
      </c>
      <c r="E4790" t="s">
        <v>54</v>
      </c>
      <c r="F4790" t="s">
        <v>29</v>
      </c>
      <c r="G4790" t="s">
        <v>31</v>
      </c>
      <c r="H4790">
        <f>Cleaned_Data!K4790</f>
        <v>7.39</v>
      </c>
      <c r="I4790" t="str">
        <f t="shared" si="222"/>
        <v>YES</v>
      </c>
      <c r="J4790">
        <f>Cleaned_Data!J4790</f>
        <v>24</v>
      </c>
      <c r="K4790" t="str">
        <f t="shared" si="223"/>
        <v>2024-04</v>
      </c>
      <c r="L4790">
        <f t="shared" si="224"/>
        <v>0</v>
      </c>
    </row>
    <row r="4791" spans="1:12">
      <c r="A4791" t="s">
        <v>13876</v>
      </c>
      <c r="B4791" t="s">
        <v>13877</v>
      </c>
      <c r="C4791" t="s">
        <v>13878</v>
      </c>
      <c r="D4791" t="s">
        <v>23</v>
      </c>
      <c r="E4791" t="s">
        <v>59</v>
      </c>
      <c r="F4791" t="s">
        <v>29</v>
      </c>
      <c r="G4791" t="s">
        <v>31</v>
      </c>
      <c r="H4791">
        <f>Cleaned_Data!K4791</f>
        <v>21.14</v>
      </c>
      <c r="I4791" t="str">
        <f t="shared" si="222"/>
        <v>YES</v>
      </c>
      <c r="J4791">
        <f>Cleaned_Data!J4791</f>
        <v>24</v>
      </c>
      <c r="K4791" t="str">
        <f t="shared" si="223"/>
        <v>2024-08</v>
      </c>
      <c r="L4791">
        <f t="shared" si="224"/>
        <v>0</v>
      </c>
    </row>
    <row r="4792" spans="1:12">
      <c r="A4792" t="s">
        <v>13879</v>
      </c>
      <c r="B4792" t="s">
        <v>13880</v>
      </c>
      <c r="C4792" t="s">
        <v>13881</v>
      </c>
      <c r="D4792" t="s">
        <v>15</v>
      </c>
      <c r="E4792" t="s">
        <v>28</v>
      </c>
      <c r="F4792" t="s">
        <v>29</v>
      </c>
      <c r="G4792" t="s">
        <v>19</v>
      </c>
      <c r="H4792">
        <f>Cleaned_Data!K4792</f>
        <v>3.78</v>
      </c>
      <c r="I4792" t="str">
        <f t="shared" si="222"/>
        <v>YES</v>
      </c>
      <c r="J4792">
        <f>Cleaned_Data!J4792</f>
        <v>8</v>
      </c>
      <c r="K4792" t="str">
        <f t="shared" si="223"/>
        <v>2024-08</v>
      </c>
      <c r="L4792">
        <f t="shared" si="224"/>
        <v>0</v>
      </c>
    </row>
    <row r="4793" spans="1:12">
      <c r="A4793" t="s">
        <v>13882</v>
      </c>
      <c r="B4793" t="s">
        <v>13883</v>
      </c>
      <c r="C4793" t="s">
        <v>13884</v>
      </c>
      <c r="D4793" t="s">
        <v>15</v>
      </c>
      <c r="E4793" t="s">
        <v>28</v>
      </c>
      <c r="F4793" t="s">
        <v>41</v>
      </c>
      <c r="G4793" t="s">
        <v>19</v>
      </c>
      <c r="H4793">
        <f>Cleaned_Data!K4793</f>
        <v>9.5299999999999994</v>
      </c>
      <c r="I4793" t="str">
        <f t="shared" si="222"/>
        <v>NO</v>
      </c>
      <c r="J4793">
        <f>Cleaned_Data!J4793</f>
        <v>8</v>
      </c>
      <c r="K4793" t="str">
        <f t="shared" si="223"/>
        <v>2024-02</v>
      </c>
      <c r="L4793">
        <f t="shared" si="224"/>
        <v>1.5299999999999994</v>
      </c>
    </row>
    <row r="4794" spans="1:12">
      <c r="A4794" t="s">
        <v>13885</v>
      </c>
      <c r="B4794" t="s">
        <v>13886</v>
      </c>
      <c r="C4794" t="s">
        <v>13887</v>
      </c>
      <c r="D4794" t="s">
        <v>158</v>
      </c>
      <c r="E4794" t="s">
        <v>28</v>
      </c>
      <c r="F4794" t="s">
        <v>60</v>
      </c>
      <c r="G4794" t="s">
        <v>19</v>
      </c>
      <c r="H4794">
        <f>Cleaned_Data!K4794</f>
        <v>2.41</v>
      </c>
      <c r="I4794" t="str">
        <f t="shared" si="222"/>
        <v>YES</v>
      </c>
      <c r="J4794">
        <f>Cleaned_Data!J4794</f>
        <v>4</v>
      </c>
      <c r="K4794" t="str">
        <f t="shared" si="223"/>
        <v>2024-08</v>
      </c>
      <c r="L4794">
        <f t="shared" si="224"/>
        <v>0</v>
      </c>
    </row>
    <row r="4795" spans="1:12">
      <c r="A4795" t="s">
        <v>13888</v>
      </c>
      <c r="B4795" t="s">
        <v>13889</v>
      </c>
      <c r="C4795" t="s">
        <v>13890</v>
      </c>
      <c r="D4795" t="s">
        <v>35</v>
      </c>
      <c r="E4795" t="s">
        <v>24</v>
      </c>
      <c r="F4795" t="s">
        <v>17</v>
      </c>
      <c r="G4795" t="s">
        <v>19</v>
      </c>
      <c r="H4795">
        <f>Cleaned_Data!K4795</f>
        <v>42.26</v>
      </c>
      <c r="I4795" t="str">
        <f t="shared" si="222"/>
        <v>YES</v>
      </c>
      <c r="J4795">
        <f>Cleaned_Data!J4795</f>
        <v>48</v>
      </c>
      <c r="K4795" t="str">
        <f t="shared" si="223"/>
        <v>2024-11</v>
      </c>
      <c r="L4795">
        <f t="shared" si="224"/>
        <v>0</v>
      </c>
    </row>
    <row r="4796" spans="1:12">
      <c r="A4796" t="s">
        <v>13891</v>
      </c>
      <c r="B4796" t="s">
        <v>13892</v>
      </c>
      <c r="C4796" t="s">
        <v>13893</v>
      </c>
      <c r="D4796" t="s">
        <v>15</v>
      </c>
      <c r="E4796" t="s">
        <v>28</v>
      </c>
      <c r="F4796" t="s">
        <v>36</v>
      </c>
      <c r="G4796" t="s">
        <v>19</v>
      </c>
      <c r="H4796">
        <f>Cleaned_Data!K4796</f>
        <v>3.28</v>
      </c>
      <c r="I4796" t="str">
        <f t="shared" si="222"/>
        <v>YES</v>
      </c>
      <c r="J4796">
        <f>Cleaned_Data!J4796</f>
        <v>8</v>
      </c>
      <c r="K4796" t="str">
        <f t="shared" si="223"/>
        <v>2024-01</v>
      </c>
      <c r="L4796">
        <f t="shared" si="224"/>
        <v>0</v>
      </c>
    </row>
    <row r="4797" spans="1:12">
      <c r="A4797" t="s">
        <v>13894</v>
      </c>
      <c r="B4797" t="s">
        <v>13895</v>
      </c>
      <c r="D4797" t="s">
        <v>23</v>
      </c>
      <c r="E4797" t="s">
        <v>54</v>
      </c>
      <c r="F4797" t="s">
        <v>29</v>
      </c>
      <c r="G4797" t="s">
        <v>63</v>
      </c>
      <c r="H4797">
        <f>Cleaned_Data!K4797</f>
        <v>0</v>
      </c>
      <c r="I4797" t="str">
        <f t="shared" si="222"/>
        <v/>
      </c>
      <c r="J4797">
        <f>Cleaned_Data!J4797</f>
        <v>24</v>
      </c>
      <c r="K4797" t="str">
        <f t="shared" si="223"/>
        <v>2024-10</v>
      </c>
      <c r="L4797">
        <f t="shared" si="224"/>
        <v>0</v>
      </c>
    </row>
    <row r="4798" spans="1:12">
      <c r="A4798" t="s">
        <v>13896</v>
      </c>
      <c r="B4798" t="s">
        <v>13897</v>
      </c>
      <c r="D4798" t="s">
        <v>23</v>
      </c>
      <c r="E4798" t="s">
        <v>16</v>
      </c>
      <c r="F4798" t="s">
        <v>41</v>
      </c>
      <c r="G4798" t="s">
        <v>46</v>
      </c>
      <c r="H4798">
        <f>Cleaned_Data!K4798</f>
        <v>0</v>
      </c>
      <c r="I4798" t="str">
        <f t="shared" si="222"/>
        <v/>
      </c>
      <c r="J4798">
        <f>Cleaned_Data!J4798</f>
        <v>24</v>
      </c>
      <c r="K4798" t="str">
        <f t="shared" si="223"/>
        <v>2024-04</v>
      </c>
      <c r="L4798">
        <f t="shared" si="224"/>
        <v>0</v>
      </c>
    </row>
    <row r="4799" spans="1:12">
      <c r="A4799" t="s">
        <v>13898</v>
      </c>
      <c r="B4799" t="s">
        <v>13899</v>
      </c>
      <c r="C4799" t="s">
        <v>13900</v>
      </c>
      <c r="D4799" t="s">
        <v>23</v>
      </c>
      <c r="E4799" t="s">
        <v>24</v>
      </c>
      <c r="F4799" t="s">
        <v>36</v>
      </c>
      <c r="G4799" t="s">
        <v>19</v>
      </c>
      <c r="H4799">
        <f>Cleaned_Data!K4799</f>
        <v>20.3</v>
      </c>
      <c r="I4799" t="str">
        <f t="shared" si="222"/>
        <v>YES</v>
      </c>
      <c r="J4799">
        <f>Cleaned_Data!J4799</f>
        <v>24</v>
      </c>
      <c r="K4799" t="str">
        <f t="shared" si="223"/>
        <v>2024-03</v>
      </c>
      <c r="L4799">
        <f t="shared" si="224"/>
        <v>0</v>
      </c>
    </row>
    <row r="4800" spans="1:12">
      <c r="A4800" t="s">
        <v>13901</v>
      </c>
      <c r="B4800" t="s">
        <v>13902</v>
      </c>
      <c r="C4800" t="s">
        <v>13903</v>
      </c>
      <c r="D4800" t="s">
        <v>23</v>
      </c>
      <c r="E4800" t="s">
        <v>59</v>
      </c>
      <c r="F4800" t="s">
        <v>29</v>
      </c>
      <c r="G4800" t="s">
        <v>31</v>
      </c>
      <c r="H4800">
        <f>Cleaned_Data!K4800</f>
        <v>10.48</v>
      </c>
      <c r="I4800" t="str">
        <f t="shared" si="222"/>
        <v>YES</v>
      </c>
      <c r="J4800">
        <f>Cleaned_Data!J4800</f>
        <v>24</v>
      </c>
      <c r="K4800" t="str">
        <f t="shared" si="223"/>
        <v>2024-10</v>
      </c>
      <c r="L4800">
        <f t="shared" si="224"/>
        <v>0</v>
      </c>
    </row>
    <row r="4801" spans="1:12">
      <c r="A4801" t="s">
        <v>13904</v>
      </c>
      <c r="B4801" t="s">
        <v>13905</v>
      </c>
      <c r="D4801" t="s">
        <v>15</v>
      </c>
      <c r="E4801" t="s">
        <v>16</v>
      </c>
      <c r="F4801" t="s">
        <v>60</v>
      </c>
      <c r="G4801" t="s">
        <v>63</v>
      </c>
      <c r="H4801">
        <f>Cleaned_Data!K4801</f>
        <v>0</v>
      </c>
      <c r="I4801" t="str">
        <f t="shared" si="222"/>
        <v/>
      </c>
      <c r="J4801">
        <f>Cleaned_Data!J4801</f>
        <v>8</v>
      </c>
      <c r="K4801" t="str">
        <f t="shared" si="223"/>
        <v>2024-07</v>
      </c>
      <c r="L4801">
        <f t="shared" si="224"/>
        <v>0</v>
      </c>
    </row>
    <row r="4802" spans="1:12">
      <c r="A4802" t="s">
        <v>13906</v>
      </c>
      <c r="B4802" t="s">
        <v>13907</v>
      </c>
      <c r="C4802" t="s">
        <v>13908</v>
      </c>
      <c r="D4802" t="s">
        <v>23</v>
      </c>
      <c r="E4802" t="s">
        <v>28</v>
      </c>
      <c r="F4802" t="s">
        <v>29</v>
      </c>
      <c r="G4802" t="s">
        <v>19</v>
      </c>
      <c r="H4802">
        <f>Cleaned_Data!K4802</f>
        <v>13.66</v>
      </c>
      <c r="I4802" t="str">
        <f t="shared" ref="I4802:I4865" si="225">IF(OR(G4802="Resolved", G4802="Closed"), IF(AND(H4802&lt;&gt;"", H4802&lt;=J4802), "YES", "NO"), "")</f>
        <v>YES</v>
      </c>
      <c r="J4802">
        <f>Cleaned_Data!J4802</f>
        <v>24</v>
      </c>
      <c r="K4802" t="str">
        <f t="shared" ref="K4802:K4865" si="226">LEFT(B4802, 7)</f>
        <v>2024-07</v>
      </c>
      <c r="L4802">
        <f t="shared" ref="L4802:L4865" si="227">IF(I4802="NO", H4802-J4802, 0)</f>
        <v>0</v>
      </c>
    </row>
    <row r="4803" spans="1:12">
      <c r="A4803" t="s">
        <v>13909</v>
      </c>
      <c r="B4803" t="s">
        <v>13910</v>
      </c>
      <c r="C4803" t="s">
        <v>13911</v>
      </c>
      <c r="D4803" t="s">
        <v>23</v>
      </c>
      <c r="E4803" t="s">
        <v>24</v>
      </c>
      <c r="F4803" t="s">
        <v>41</v>
      </c>
      <c r="G4803" t="s">
        <v>19</v>
      </c>
      <c r="H4803">
        <f>Cleaned_Data!K4803</f>
        <v>46.52</v>
      </c>
      <c r="I4803" t="str">
        <f t="shared" si="225"/>
        <v>NO</v>
      </c>
      <c r="J4803">
        <f>Cleaned_Data!J4803</f>
        <v>24</v>
      </c>
      <c r="K4803" t="str">
        <f t="shared" si="226"/>
        <v>2024-11</v>
      </c>
      <c r="L4803">
        <f t="shared" si="227"/>
        <v>22.520000000000003</v>
      </c>
    </row>
    <row r="4804" spans="1:12">
      <c r="A4804" t="s">
        <v>13912</v>
      </c>
      <c r="B4804" t="s">
        <v>13913</v>
      </c>
      <c r="C4804" t="s">
        <v>13914</v>
      </c>
      <c r="D4804" t="s">
        <v>23</v>
      </c>
      <c r="E4804" t="s">
        <v>59</v>
      </c>
      <c r="F4804" t="s">
        <v>41</v>
      </c>
      <c r="G4804" t="s">
        <v>19</v>
      </c>
      <c r="H4804">
        <f>Cleaned_Data!K4804</f>
        <v>15.81</v>
      </c>
      <c r="I4804" t="str">
        <f t="shared" si="225"/>
        <v>YES</v>
      </c>
      <c r="J4804">
        <f>Cleaned_Data!J4804</f>
        <v>24</v>
      </c>
      <c r="K4804" t="str">
        <f t="shared" si="226"/>
        <v>2024-11</v>
      </c>
      <c r="L4804">
        <f t="shared" si="227"/>
        <v>0</v>
      </c>
    </row>
    <row r="4805" spans="1:12">
      <c r="A4805" t="s">
        <v>13915</v>
      </c>
      <c r="B4805" t="s">
        <v>13916</v>
      </c>
      <c r="C4805" t="s">
        <v>13917</v>
      </c>
      <c r="D4805" t="s">
        <v>35</v>
      </c>
      <c r="E4805" t="s">
        <v>59</v>
      </c>
      <c r="F4805" t="s">
        <v>36</v>
      </c>
      <c r="G4805" t="s">
        <v>31</v>
      </c>
      <c r="H4805">
        <f>Cleaned_Data!K4805</f>
        <v>45.43</v>
      </c>
      <c r="I4805" t="str">
        <f t="shared" si="225"/>
        <v>YES</v>
      </c>
      <c r="J4805">
        <f>Cleaned_Data!J4805</f>
        <v>48</v>
      </c>
      <c r="K4805" t="str">
        <f t="shared" si="226"/>
        <v>2024-07</v>
      </c>
      <c r="L4805">
        <f t="shared" si="227"/>
        <v>0</v>
      </c>
    </row>
    <row r="4806" spans="1:12">
      <c r="A4806" t="s">
        <v>13918</v>
      </c>
      <c r="B4806" t="s">
        <v>13919</v>
      </c>
      <c r="C4806" t="s">
        <v>13920</v>
      </c>
      <c r="D4806" t="s">
        <v>23</v>
      </c>
      <c r="E4806" t="s">
        <v>54</v>
      </c>
      <c r="F4806" t="s">
        <v>17</v>
      </c>
      <c r="G4806" t="s">
        <v>31</v>
      </c>
      <c r="H4806">
        <f>Cleaned_Data!K4806</f>
        <v>22.2</v>
      </c>
      <c r="I4806" t="str">
        <f t="shared" si="225"/>
        <v>YES</v>
      </c>
      <c r="J4806">
        <f>Cleaned_Data!J4806</f>
        <v>24</v>
      </c>
      <c r="K4806" t="str">
        <f t="shared" si="226"/>
        <v>2024-06</v>
      </c>
      <c r="L4806">
        <f t="shared" si="227"/>
        <v>0</v>
      </c>
    </row>
    <row r="4807" spans="1:12">
      <c r="A4807" t="s">
        <v>13921</v>
      </c>
      <c r="B4807" t="s">
        <v>13922</v>
      </c>
      <c r="C4807" t="s">
        <v>13923</v>
      </c>
      <c r="D4807" t="s">
        <v>158</v>
      </c>
      <c r="E4807" t="s">
        <v>59</v>
      </c>
      <c r="F4807" t="s">
        <v>60</v>
      </c>
      <c r="G4807" t="s">
        <v>31</v>
      </c>
      <c r="H4807">
        <f>Cleaned_Data!K4807</f>
        <v>0.9</v>
      </c>
      <c r="I4807" t="str">
        <f t="shared" si="225"/>
        <v>YES</v>
      </c>
      <c r="J4807">
        <f>Cleaned_Data!J4807</f>
        <v>4</v>
      </c>
      <c r="K4807" t="str">
        <f t="shared" si="226"/>
        <v>2024-09</v>
      </c>
      <c r="L4807">
        <f t="shared" si="227"/>
        <v>0</v>
      </c>
    </row>
    <row r="4808" spans="1:12">
      <c r="A4808" t="s">
        <v>13924</v>
      </c>
      <c r="B4808" t="s">
        <v>13925</v>
      </c>
      <c r="C4808" t="s">
        <v>13926</v>
      </c>
      <c r="D4808" t="s">
        <v>23</v>
      </c>
      <c r="E4808" t="s">
        <v>28</v>
      </c>
      <c r="F4808" t="s">
        <v>41</v>
      </c>
      <c r="G4808" t="s">
        <v>19</v>
      </c>
      <c r="H4808">
        <f>Cleaned_Data!K4808</f>
        <v>16.079999999999998</v>
      </c>
      <c r="I4808" t="str">
        <f t="shared" si="225"/>
        <v>YES</v>
      </c>
      <c r="J4808">
        <f>Cleaned_Data!J4808</f>
        <v>24</v>
      </c>
      <c r="K4808" t="str">
        <f t="shared" si="226"/>
        <v>2024-06</v>
      </c>
      <c r="L4808">
        <f t="shared" si="227"/>
        <v>0</v>
      </c>
    </row>
    <row r="4809" spans="1:12">
      <c r="A4809" t="s">
        <v>13927</v>
      </c>
      <c r="B4809" t="s">
        <v>13928</v>
      </c>
      <c r="C4809" t="s">
        <v>13929</v>
      </c>
      <c r="D4809" t="s">
        <v>23</v>
      </c>
      <c r="E4809" t="s">
        <v>24</v>
      </c>
      <c r="F4809" t="s">
        <v>41</v>
      </c>
      <c r="G4809" t="s">
        <v>19</v>
      </c>
      <c r="H4809">
        <f>Cleaned_Data!K4809</f>
        <v>18.12</v>
      </c>
      <c r="I4809" t="str">
        <f t="shared" si="225"/>
        <v>YES</v>
      </c>
      <c r="J4809">
        <f>Cleaned_Data!J4809</f>
        <v>24</v>
      </c>
      <c r="K4809" t="str">
        <f t="shared" si="226"/>
        <v>2024-06</v>
      </c>
      <c r="L4809">
        <f t="shared" si="227"/>
        <v>0</v>
      </c>
    </row>
    <row r="4810" spans="1:12">
      <c r="A4810" t="s">
        <v>13930</v>
      </c>
      <c r="B4810" t="s">
        <v>13931</v>
      </c>
      <c r="C4810" t="s">
        <v>13932</v>
      </c>
      <c r="D4810" t="s">
        <v>23</v>
      </c>
      <c r="E4810" t="s">
        <v>28</v>
      </c>
      <c r="F4810" t="s">
        <v>29</v>
      </c>
      <c r="G4810" t="s">
        <v>19</v>
      </c>
      <c r="H4810">
        <f>Cleaned_Data!K4810</f>
        <v>62.01</v>
      </c>
      <c r="I4810" t="str">
        <f t="shared" si="225"/>
        <v>NO</v>
      </c>
      <c r="J4810">
        <f>Cleaned_Data!J4810</f>
        <v>24</v>
      </c>
      <c r="K4810" t="str">
        <f t="shared" si="226"/>
        <v>2024-11</v>
      </c>
      <c r="L4810">
        <f t="shared" si="227"/>
        <v>38.01</v>
      </c>
    </row>
    <row r="4811" spans="1:12">
      <c r="A4811" t="s">
        <v>13933</v>
      </c>
      <c r="B4811" t="s">
        <v>13934</v>
      </c>
      <c r="C4811" t="s">
        <v>13935</v>
      </c>
      <c r="D4811" t="s">
        <v>23</v>
      </c>
      <c r="E4811" t="s">
        <v>59</v>
      </c>
      <c r="F4811" t="s">
        <v>60</v>
      </c>
      <c r="G4811" t="s">
        <v>19</v>
      </c>
      <c r="H4811">
        <f>Cleaned_Data!K4811</f>
        <v>8.83</v>
      </c>
      <c r="I4811" t="str">
        <f t="shared" si="225"/>
        <v>YES</v>
      </c>
      <c r="J4811">
        <f>Cleaned_Data!J4811</f>
        <v>24</v>
      </c>
      <c r="K4811" t="str">
        <f t="shared" si="226"/>
        <v>2024-06</v>
      </c>
      <c r="L4811">
        <f t="shared" si="227"/>
        <v>0</v>
      </c>
    </row>
    <row r="4812" spans="1:12">
      <c r="A4812" t="s">
        <v>13936</v>
      </c>
      <c r="B4812" t="s">
        <v>13937</v>
      </c>
      <c r="C4812" t="s">
        <v>13938</v>
      </c>
      <c r="D4812" t="s">
        <v>35</v>
      </c>
      <c r="E4812" t="s">
        <v>28</v>
      </c>
      <c r="F4812" t="s">
        <v>41</v>
      </c>
      <c r="G4812" t="s">
        <v>31</v>
      </c>
      <c r="H4812">
        <f>Cleaned_Data!K4812</f>
        <v>22.64</v>
      </c>
      <c r="I4812" t="str">
        <f t="shared" si="225"/>
        <v>YES</v>
      </c>
      <c r="J4812">
        <f>Cleaned_Data!J4812</f>
        <v>48</v>
      </c>
      <c r="K4812" t="str">
        <f t="shared" si="226"/>
        <v>2024-08</v>
      </c>
      <c r="L4812">
        <f t="shared" si="227"/>
        <v>0</v>
      </c>
    </row>
    <row r="4813" spans="1:12">
      <c r="A4813" t="s">
        <v>13939</v>
      </c>
      <c r="B4813" t="s">
        <v>13940</v>
      </c>
      <c r="C4813" t="s">
        <v>13941</v>
      </c>
      <c r="D4813" t="s">
        <v>35</v>
      </c>
      <c r="E4813" t="s">
        <v>24</v>
      </c>
      <c r="F4813" t="s">
        <v>41</v>
      </c>
      <c r="G4813" t="s">
        <v>31</v>
      </c>
      <c r="H4813">
        <f>Cleaned_Data!K4813</f>
        <v>8.15</v>
      </c>
      <c r="I4813" t="str">
        <f t="shared" si="225"/>
        <v>YES</v>
      </c>
      <c r="J4813">
        <f>Cleaned_Data!J4813</f>
        <v>48</v>
      </c>
      <c r="K4813" t="str">
        <f t="shared" si="226"/>
        <v>2024-08</v>
      </c>
      <c r="L4813">
        <f t="shared" si="227"/>
        <v>0</v>
      </c>
    </row>
    <row r="4814" spans="1:12">
      <c r="A4814" t="s">
        <v>13942</v>
      </c>
      <c r="B4814" t="s">
        <v>13943</v>
      </c>
      <c r="C4814" t="s">
        <v>13944</v>
      </c>
      <c r="D4814" t="s">
        <v>23</v>
      </c>
      <c r="E4814" t="s">
        <v>28</v>
      </c>
      <c r="F4814" t="s">
        <v>17</v>
      </c>
      <c r="G4814" t="s">
        <v>31</v>
      </c>
      <c r="H4814">
        <f>Cleaned_Data!K4814</f>
        <v>8.8800000000000008</v>
      </c>
      <c r="I4814" t="str">
        <f t="shared" si="225"/>
        <v>YES</v>
      </c>
      <c r="J4814">
        <f>Cleaned_Data!J4814</f>
        <v>24</v>
      </c>
      <c r="K4814" t="str">
        <f t="shared" si="226"/>
        <v>2024-01</v>
      </c>
      <c r="L4814">
        <f t="shared" si="227"/>
        <v>0</v>
      </c>
    </row>
    <row r="4815" spans="1:12">
      <c r="A4815" t="s">
        <v>13945</v>
      </c>
      <c r="B4815" t="s">
        <v>13946</v>
      </c>
      <c r="C4815" t="s">
        <v>13947</v>
      </c>
      <c r="D4815" t="s">
        <v>23</v>
      </c>
      <c r="E4815" t="s">
        <v>24</v>
      </c>
      <c r="F4815" t="s">
        <v>17</v>
      </c>
      <c r="G4815" t="s">
        <v>31</v>
      </c>
      <c r="H4815">
        <f>Cleaned_Data!K4815</f>
        <v>9.2100000000000009</v>
      </c>
      <c r="I4815" t="str">
        <f t="shared" si="225"/>
        <v>YES</v>
      </c>
      <c r="J4815">
        <f>Cleaned_Data!J4815</f>
        <v>24</v>
      </c>
      <c r="K4815" t="str">
        <f t="shared" si="226"/>
        <v>2024-08</v>
      </c>
      <c r="L4815">
        <f t="shared" si="227"/>
        <v>0</v>
      </c>
    </row>
    <row r="4816" spans="1:12">
      <c r="A4816" t="s">
        <v>13948</v>
      </c>
      <c r="B4816" t="s">
        <v>13949</v>
      </c>
      <c r="D4816" t="s">
        <v>35</v>
      </c>
      <c r="E4816" t="s">
        <v>16</v>
      </c>
      <c r="F4816" t="s">
        <v>36</v>
      </c>
      <c r="G4816" t="s">
        <v>46</v>
      </c>
      <c r="H4816">
        <f>Cleaned_Data!K4816</f>
        <v>0</v>
      </c>
      <c r="I4816" t="str">
        <f t="shared" si="225"/>
        <v/>
      </c>
      <c r="J4816">
        <f>Cleaned_Data!J4816</f>
        <v>48</v>
      </c>
      <c r="K4816" t="str">
        <f t="shared" si="226"/>
        <v>2024-12</v>
      </c>
      <c r="L4816">
        <f t="shared" si="227"/>
        <v>0</v>
      </c>
    </row>
    <row r="4817" spans="1:12">
      <c r="A4817" t="s">
        <v>13950</v>
      </c>
      <c r="B4817" t="s">
        <v>13951</v>
      </c>
      <c r="C4817" t="s">
        <v>13952</v>
      </c>
      <c r="D4817" t="s">
        <v>23</v>
      </c>
      <c r="E4817" t="s">
        <v>28</v>
      </c>
      <c r="F4817" t="s">
        <v>17</v>
      </c>
      <c r="G4817" t="s">
        <v>19</v>
      </c>
      <c r="H4817">
        <f>Cleaned_Data!K4817</f>
        <v>20.16</v>
      </c>
      <c r="I4817" t="str">
        <f t="shared" si="225"/>
        <v>YES</v>
      </c>
      <c r="J4817">
        <f>Cleaned_Data!J4817</f>
        <v>24</v>
      </c>
      <c r="K4817" t="str">
        <f t="shared" si="226"/>
        <v>2024-10</v>
      </c>
      <c r="L4817">
        <f t="shared" si="227"/>
        <v>0</v>
      </c>
    </row>
    <row r="4818" spans="1:12">
      <c r="A4818" t="s">
        <v>13953</v>
      </c>
      <c r="B4818" t="s">
        <v>13954</v>
      </c>
      <c r="C4818" t="s">
        <v>13955</v>
      </c>
      <c r="D4818" t="s">
        <v>23</v>
      </c>
      <c r="E4818" t="s">
        <v>54</v>
      </c>
      <c r="F4818" t="s">
        <v>60</v>
      </c>
      <c r="G4818" t="s">
        <v>19</v>
      </c>
      <c r="H4818">
        <f>Cleaned_Data!K4818</f>
        <v>13.81</v>
      </c>
      <c r="I4818" t="str">
        <f t="shared" si="225"/>
        <v>YES</v>
      </c>
      <c r="J4818">
        <f>Cleaned_Data!J4818</f>
        <v>24</v>
      </c>
      <c r="K4818" t="str">
        <f t="shared" si="226"/>
        <v>2024-03</v>
      </c>
      <c r="L4818">
        <f t="shared" si="227"/>
        <v>0</v>
      </c>
    </row>
    <row r="4819" spans="1:12">
      <c r="A4819" t="s">
        <v>13956</v>
      </c>
      <c r="B4819" t="s">
        <v>13957</v>
      </c>
      <c r="C4819" t="s">
        <v>13958</v>
      </c>
      <c r="D4819" t="s">
        <v>15</v>
      </c>
      <c r="E4819" t="s">
        <v>16</v>
      </c>
      <c r="F4819" t="s">
        <v>60</v>
      </c>
      <c r="G4819" t="s">
        <v>19</v>
      </c>
      <c r="H4819">
        <f>Cleaned_Data!K4819</f>
        <v>4.4400000000000004</v>
      </c>
      <c r="I4819" t="str">
        <f t="shared" si="225"/>
        <v>YES</v>
      </c>
      <c r="J4819">
        <f>Cleaned_Data!J4819</f>
        <v>8</v>
      </c>
      <c r="K4819" t="str">
        <f t="shared" si="226"/>
        <v>2024-07</v>
      </c>
      <c r="L4819">
        <f t="shared" si="227"/>
        <v>0</v>
      </c>
    </row>
    <row r="4820" spans="1:12">
      <c r="A4820" t="s">
        <v>13959</v>
      </c>
      <c r="B4820" t="s">
        <v>13960</v>
      </c>
      <c r="C4820" t="s">
        <v>13961</v>
      </c>
      <c r="D4820" t="s">
        <v>23</v>
      </c>
      <c r="E4820" t="s">
        <v>59</v>
      </c>
      <c r="F4820" t="s">
        <v>41</v>
      </c>
      <c r="G4820" t="s">
        <v>19</v>
      </c>
      <c r="H4820">
        <f>Cleaned_Data!K4820</f>
        <v>51.6</v>
      </c>
      <c r="I4820" t="str">
        <f t="shared" si="225"/>
        <v>NO</v>
      </c>
      <c r="J4820">
        <f>Cleaned_Data!J4820</f>
        <v>24</v>
      </c>
      <c r="K4820" t="str">
        <f t="shared" si="226"/>
        <v>2024-09</v>
      </c>
      <c r="L4820">
        <f t="shared" si="227"/>
        <v>27.6</v>
      </c>
    </row>
    <row r="4821" spans="1:12">
      <c r="A4821" t="s">
        <v>13962</v>
      </c>
      <c r="B4821" t="s">
        <v>13963</v>
      </c>
      <c r="C4821" t="s">
        <v>13964</v>
      </c>
      <c r="D4821" t="s">
        <v>23</v>
      </c>
      <c r="E4821" t="s">
        <v>16</v>
      </c>
      <c r="F4821" t="s">
        <v>29</v>
      </c>
      <c r="G4821" t="s">
        <v>19</v>
      </c>
      <c r="H4821">
        <f>Cleaned_Data!K4821</f>
        <v>21.65</v>
      </c>
      <c r="I4821" t="str">
        <f t="shared" si="225"/>
        <v>YES</v>
      </c>
      <c r="J4821">
        <f>Cleaned_Data!J4821</f>
        <v>24</v>
      </c>
      <c r="K4821" t="str">
        <f t="shared" si="226"/>
        <v>2024-04</v>
      </c>
      <c r="L4821">
        <f t="shared" si="227"/>
        <v>0</v>
      </c>
    </row>
    <row r="4822" spans="1:12">
      <c r="A4822" t="s">
        <v>13965</v>
      </c>
      <c r="B4822" t="s">
        <v>13966</v>
      </c>
      <c r="D4822" t="s">
        <v>35</v>
      </c>
      <c r="E4822" t="s">
        <v>28</v>
      </c>
      <c r="F4822" t="s">
        <v>17</v>
      </c>
      <c r="G4822" t="s">
        <v>46</v>
      </c>
      <c r="H4822">
        <f>Cleaned_Data!K4822</f>
        <v>0</v>
      </c>
      <c r="I4822" t="str">
        <f t="shared" si="225"/>
        <v/>
      </c>
      <c r="J4822">
        <f>Cleaned_Data!J4822</f>
        <v>48</v>
      </c>
      <c r="K4822" t="str">
        <f t="shared" si="226"/>
        <v>2024-09</v>
      </c>
      <c r="L4822">
        <f t="shared" si="227"/>
        <v>0</v>
      </c>
    </row>
    <row r="4823" spans="1:12">
      <c r="A4823" t="s">
        <v>13967</v>
      </c>
      <c r="B4823" t="s">
        <v>13968</v>
      </c>
      <c r="C4823" t="s">
        <v>13969</v>
      </c>
      <c r="D4823" t="s">
        <v>158</v>
      </c>
      <c r="E4823" t="s">
        <v>28</v>
      </c>
      <c r="F4823" t="s">
        <v>60</v>
      </c>
      <c r="G4823" t="s">
        <v>31</v>
      </c>
      <c r="H4823">
        <f>Cleaned_Data!K4823</f>
        <v>0.62</v>
      </c>
      <c r="I4823" t="str">
        <f t="shared" si="225"/>
        <v>YES</v>
      </c>
      <c r="J4823">
        <f>Cleaned_Data!J4823</f>
        <v>4</v>
      </c>
      <c r="K4823" t="str">
        <f t="shared" si="226"/>
        <v>2024-04</v>
      </c>
      <c r="L4823">
        <f t="shared" si="227"/>
        <v>0</v>
      </c>
    </row>
    <row r="4824" spans="1:12">
      <c r="A4824" t="s">
        <v>13970</v>
      </c>
      <c r="B4824" t="s">
        <v>13971</v>
      </c>
      <c r="C4824" t="s">
        <v>13972</v>
      </c>
      <c r="D4824" t="s">
        <v>15</v>
      </c>
      <c r="E4824" t="s">
        <v>28</v>
      </c>
      <c r="F4824" t="s">
        <v>41</v>
      </c>
      <c r="G4824" t="s">
        <v>19</v>
      </c>
      <c r="H4824">
        <f>Cleaned_Data!K4824</f>
        <v>2.79</v>
      </c>
      <c r="I4824" t="str">
        <f t="shared" si="225"/>
        <v>YES</v>
      </c>
      <c r="J4824">
        <f>Cleaned_Data!J4824</f>
        <v>8</v>
      </c>
      <c r="K4824" t="str">
        <f t="shared" si="226"/>
        <v>2024-12</v>
      </c>
      <c r="L4824">
        <f t="shared" si="227"/>
        <v>0</v>
      </c>
    </row>
    <row r="4825" spans="1:12">
      <c r="A4825" t="s">
        <v>13973</v>
      </c>
      <c r="B4825" t="s">
        <v>13974</v>
      </c>
      <c r="C4825" t="s">
        <v>13975</v>
      </c>
      <c r="D4825" t="s">
        <v>23</v>
      </c>
      <c r="E4825" t="s">
        <v>24</v>
      </c>
      <c r="F4825" t="s">
        <v>36</v>
      </c>
      <c r="G4825" t="s">
        <v>19</v>
      </c>
      <c r="H4825">
        <f>Cleaned_Data!K4825</f>
        <v>18.579999999999998</v>
      </c>
      <c r="I4825" t="str">
        <f t="shared" si="225"/>
        <v>YES</v>
      </c>
      <c r="J4825">
        <f>Cleaned_Data!J4825</f>
        <v>24</v>
      </c>
      <c r="K4825" t="str">
        <f t="shared" si="226"/>
        <v>2024-07</v>
      </c>
      <c r="L4825">
        <f t="shared" si="227"/>
        <v>0</v>
      </c>
    </row>
    <row r="4826" spans="1:12">
      <c r="A4826" t="s">
        <v>13976</v>
      </c>
      <c r="B4826" t="s">
        <v>13977</v>
      </c>
      <c r="C4826" t="s">
        <v>13978</v>
      </c>
      <c r="D4826" t="s">
        <v>23</v>
      </c>
      <c r="E4826" t="s">
        <v>16</v>
      </c>
      <c r="F4826" t="s">
        <v>29</v>
      </c>
      <c r="G4826" t="s">
        <v>19</v>
      </c>
      <c r="H4826">
        <f>Cleaned_Data!K4826</f>
        <v>2.68</v>
      </c>
      <c r="I4826" t="str">
        <f t="shared" si="225"/>
        <v>YES</v>
      </c>
      <c r="J4826">
        <f>Cleaned_Data!J4826</f>
        <v>24</v>
      </c>
      <c r="K4826" t="str">
        <f t="shared" si="226"/>
        <v>2024-01</v>
      </c>
      <c r="L4826">
        <f t="shared" si="227"/>
        <v>0</v>
      </c>
    </row>
    <row r="4827" spans="1:12">
      <c r="A4827" t="s">
        <v>13979</v>
      </c>
      <c r="B4827" t="s">
        <v>13980</v>
      </c>
      <c r="C4827" t="s">
        <v>13981</v>
      </c>
      <c r="D4827" t="s">
        <v>23</v>
      </c>
      <c r="E4827" t="s">
        <v>16</v>
      </c>
      <c r="F4827" t="s">
        <v>36</v>
      </c>
      <c r="G4827" t="s">
        <v>31</v>
      </c>
      <c r="H4827">
        <f>Cleaned_Data!K4827</f>
        <v>22.17</v>
      </c>
      <c r="I4827" t="str">
        <f t="shared" si="225"/>
        <v>YES</v>
      </c>
      <c r="J4827">
        <f>Cleaned_Data!J4827</f>
        <v>24</v>
      </c>
      <c r="K4827" t="str">
        <f t="shared" si="226"/>
        <v>2024-06</v>
      </c>
      <c r="L4827">
        <f t="shared" si="227"/>
        <v>0</v>
      </c>
    </row>
    <row r="4828" spans="1:12">
      <c r="A4828" t="s">
        <v>13982</v>
      </c>
      <c r="B4828" t="s">
        <v>13983</v>
      </c>
      <c r="C4828" t="s">
        <v>13984</v>
      </c>
      <c r="D4828" t="s">
        <v>15</v>
      </c>
      <c r="E4828" t="s">
        <v>16</v>
      </c>
      <c r="F4828" t="s">
        <v>41</v>
      </c>
      <c r="G4828" t="s">
        <v>31</v>
      </c>
      <c r="H4828">
        <f>Cleaned_Data!K4828</f>
        <v>1.08</v>
      </c>
      <c r="I4828" t="str">
        <f t="shared" si="225"/>
        <v>YES</v>
      </c>
      <c r="J4828">
        <f>Cleaned_Data!J4828</f>
        <v>8</v>
      </c>
      <c r="K4828" t="str">
        <f t="shared" si="226"/>
        <v>2024-09</v>
      </c>
      <c r="L4828">
        <f t="shared" si="227"/>
        <v>0</v>
      </c>
    </row>
    <row r="4829" spans="1:12">
      <c r="A4829" t="s">
        <v>13985</v>
      </c>
      <c r="B4829" t="s">
        <v>13986</v>
      </c>
      <c r="C4829" t="s">
        <v>13987</v>
      </c>
      <c r="D4829" t="s">
        <v>23</v>
      </c>
      <c r="E4829" t="s">
        <v>28</v>
      </c>
      <c r="F4829" t="s">
        <v>60</v>
      </c>
      <c r="G4829" t="s">
        <v>19</v>
      </c>
      <c r="H4829">
        <f>Cleaned_Data!K4829</f>
        <v>2.87</v>
      </c>
      <c r="I4829" t="str">
        <f t="shared" si="225"/>
        <v>YES</v>
      </c>
      <c r="J4829">
        <f>Cleaned_Data!J4829</f>
        <v>24</v>
      </c>
      <c r="K4829" t="str">
        <f t="shared" si="226"/>
        <v>2024-05</v>
      </c>
      <c r="L4829">
        <f t="shared" si="227"/>
        <v>0</v>
      </c>
    </row>
    <row r="4830" spans="1:12">
      <c r="A4830" t="s">
        <v>13988</v>
      </c>
      <c r="B4830" t="s">
        <v>13989</v>
      </c>
      <c r="C4830" t="s">
        <v>13990</v>
      </c>
      <c r="D4830" t="s">
        <v>23</v>
      </c>
      <c r="E4830" t="s">
        <v>24</v>
      </c>
      <c r="F4830" t="s">
        <v>41</v>
      </c>
      <c r="G4830" t="s">
        <v>31</v>
      </c>
      <c r="H4830">
        <f>Cleaned_Data!K4830</f>
        <v>7.34</v>
      </c>
      <c r="I4830" t="str">
        <f t="shared" si="225"/>
        <v>YES</v>
      </c>
      <c r="J4830">
        <f>Cleaned_Data!J4830</f>
        <v>24</v>
      </c>
      <c r="K4830" t="str">
        <f t="shared" si="226"/>
        <v>2024-08</v>
      </c>
      <c r="L4830">
        <f t="shared" si="227"/>
        <v>0</v>
      </c>
    </row>
    <row r="4831" spans="1:12">
      <c r="A4831" t="s">
        <v>13991</v>
      </c>
      <c r="B4831" t="s">
        <v>13992</v>
      </c>
      <c r="D4831" t="s">
        <v>23</v>
      </c>
      <c r="E4831" t="s">
        <v>16</v>
      </c>
      <c r="F4831" t="s">
        <v>60</v>
      </c>
      <c r="G4831" t="s">
        <v>63</v>
      </c>
      <c r="H4831">
        <f>Cleaned_Data!K4831</f>
        <v>0</v>
      </c>
      <c r="I4831" t="str">
        <f t="shared" si="225"/>
        <v/>
      </c>
      <c r="J4831">
        <f>Cleaned_Data!J4831</f>
        <v>24</v>
      </c>
      <c r="K4831" t="str">
        <f t="shared" si="226"/>
        <v>2024-05</v>
      </c>
      <c r="L4831">
        <f t="shared" si="227"/>
        <v>0</v>
      </c>
    </row>
    <row r="4832" spans="1:12">
      <c r="A4832" t="s">
        <v>13993</v>
      </c>
      <c r="B4832" t="s">
        <v>13994</v>
      </c>
      <c r="C4832" t="s">
        <v>13995</v>
      </c>
      <c r="D4832" t="s">
        <v>23</v>
      </c>
      <c r="E4832" t="s">
        <v>28</v>
      </c>
      <c r="F4832" t="s">
        <v>60</v>
      </c>
      <c r="G4832" t="s">
        <v>19</v>
      </c>
      <c r="H4832">
        <f>Cleaned_Data!K4832</f>
        <v>20.16</v>
      </c>
      <c r="I4832" t="str">
        <f t="shared" si="225"/>
        <v>YES</v>
      </c>
      <c r="J4832">
        <f>Cleaned_Data!J4832</f>
        <v>24</v>
      </c>
      <c r="K4832" t="str">
        <f t="shared" si="226"/>
        <v>2024-03</v>
      </c>
      <c r="L4832">
        <f t="shared" si="227"/>
        <v>0</v>
      </c>
    </row>
    <row r="4833" spans="1:12">
      <c r="A4833" t="s">
        <v>13996</v>
      </c>
      <c r="B4833" t="s">
        <v>13997</v>
      </c>
      <c r="C4833" t="s">
        <v>13998</v>
      </c>
      <c r="D4833" t="s">
        <v>23</v>
      </c>
      <c r="E4833" t="s">
        <v>59</v>
      </c>
      <c r="F4833" t="s">
        <v>36</v>
      </c>
      <c r="G4833" t="s">
        <v>19</v>
      </c>
      <c r="H4833">
        <f>Cleaned_Data!K4833</f>
        <v>7.21</v>
      </c>
      <c r="I4833" t="str">
        <f t="shared" si="225"/>
        <v>YES</v>
      </c>
      <c r="J4833">
        <f>Cleaned_Data!J4833</f>
        <v>24</v>
      </c>
      <c r="K4833" t="str">
        <f t="shared" si="226"/>
        <v>2024-05</v>
      </c>
      <c r="L4833">
        <f t="shared" si="227"/>
        <v>0</v>
      </c>
    </row>
    <row r="4834" spans="1:12">
      <c r="A4834" t="s">
        <v>13999</v>
      </c>
      <c r="B4834" t="s">
        <v>14000</v>
      </c>
      <c r="C4834" t="s">
        <v>14001</v>
      </c>
      <c r="D4834" t="s">
        <v>23</v>
      </c>
      <c r="E4834" t="s">
        <v>16</v>
      </c>
      <c r="F4834" t="s">
        <v>17</v>
      </c>
      <c r="G4834" t="s">
        <v>19</v>
      </c>
      <c r="H4834">
        <f>Cleaned_Data!K4834</f>
        <v>18.38</v>
      </c>
      <c r="I4834" t="str">
        <f t="shared" si="225"/>
        <v>YES</v>
      </c>
      <c r="J4834">
        <f>Cleaned_Data!J4834</f>
        <v>24</v>
      </c>
      <c r="K4834" t="str">
        <f t="shared" si="226"/>
        <v>2024-10</v>
      </c>
      <c r="L4834">
        <f t="shared" si="227"/>
        <v>0</v>
      </c>
    </row>
    <row r="4835" spans="1:12">
      <c r="A4835" t="s">
        <v>14002</v>
      </c>
      <c r="B4835" t="s">
        <v>14003</v>
      </c>
      <c r="C4835" t="s">
        <v>14004</v>
      </c>
      <c r="D4835" t="s">
        <v>23</v>
      </c>
      <c r="E4835" t="s">
        <v>16</v>
      </c>
      <c r="F4835" t="s">
        <v>60</v>
      </c>
      <c r="G4835" t="s">
        <v>31</v>
      </c>
      <c r="H4835">
        <f>Cleaned_Data!K4835</f>
        <v>7.7</v>
      </c>
      <c r="I4835" t="str">
        <f t="shared" si="225"/>
        <v>YES</v>
      </c>
      <c r="J4835">
        <f>Cleaned_Data!J4835</f>
        <v>24</v>
      </c>
      <c r="K4835" t="str">
        <f t="shared" si="226"/>
        <v>2024-10</v>
      </c>
      <c r="L4835">
        <f t="shared" si="227"/>
        <v>0</v>
      </c>
    </row>
    <row r="4836" spans="1:12">
      <c r="A4836" t="s">
        <v>14005</v>
      </c>
      <c r="B4836" t="s">
        <v>14006</v>
      </c>
      <c r="D4836" t="s">
        <v>35</v>
      </c>
      <c r="E4836" t="s">
        <v>28</v>
      </c>
      <c r="F4836" t="s">
        <v>29</v>
      </c>
      <c r="G4836" t="s">
        <v>46</v>
      </c>
      <c r="H4836">
        <f>Cleaned_Data!K4836</f>
        <v>0</v>
      </c>
      <c r="I4836" t="str">
        <f t="shared" si="225"/>
        <v/>
      </c>
      <c r="J4836">
        <f>Cleaned_Data!J4836</f>
        <v>48</v>
      </c>
      <c r="K4836" t="str">
        <f t="shared" si="226"/>
        <v>2024-12</v>
      </c>
      <c r="L4836">
        <f t="shared" si="227"/>
        <v>0</v>
      </c>
    </row>
    <row r="4837" spans="1:12">
      <c r="A4837" t="s">
        <v>14007</v>
      </c>
      <c r="B4837" t="s">
        <v>14008</v>
      </c>
      <c r="C4837" t="s">
        <v>14009</v>
      </c>
      <c r="D4837" t="s">
        <v>23</v>
      </c>
      <c r="E4837" t="s">
        <v>16</v>
      </c>
      <c r="F4837" t="s">
        <v>60</v>
      </c>
      <c r="G4837" t="s">
        <v>19</v>
      </c>
      <c r="H4837">
        <f>Cleaned_Data!K4837</f>
        <v>19.579999999999998</v>
      </c>
      <c r="I4837" t="str">
        <f t="shared" si="225"/>
        <v>YES</v>
      </c>
      <c r="J4837">
        <f>Cleaned_Data!J4837</f>
        <v>24</v>
      </c>
      <c r="K4837" t="str">
        <f t="shared" si="226"/>
        <v>2024-12</v>
      </c>
      <c r="L4837">
        <f t="shared" si="227"/>
        <v>0</v>
      </c>
    </row>
    <row r="4838" spans="1:12">
      <c r="A4838" t="s">
        <v>14010</v>
      </c>
      <c r="B4838" t="s">
        <v>14011</v>
      </c>
      <c r="C4838" t="s">
        <v>14012</v>
      </c>
      <c r="D4838" t="s">
        <v>23</v>
      </c>
      <c r="E4838" t="s">
        <v>28</v>
      </c>
      <c r="F4838" t="s">
        <v>41</v>
      </c>
      <c r="G4838" t="s">
        <v>31</v>
      </c>
      <c r="H4838">
        <f>Cleaned_Data!K4838</f>
        <v>11.54</v>
      </c>
      <c r="I4838" t="str">
        <f t="shared" si="225"/>
        <v>YES</v>
      </c>
      <c r="J4838">
        <f>Cleaned_Data!J4838</f>
        <v>24</v>
      </c>
      <c r="K4838" t="str">
        <f t="shared" si="226"/>
        <v>2024-01</v>
      </c>
      <c r="L4838">
        <f t="shared" si="227"/>
        <v>0</v>
      </c>
    </row>
    <row r="4839" spans="1:12">
      <c r="A4839" t="s">
        <v>14013</v>
      </c>
      <c r="B4839" t="s">
        <v>14014</v>
      </c>
      <c r="D4839" t="s">
        <v>158</v>
      </c>
      <c r="E4839" t="s">
        <v>54</v>
      </c>
      <c r="F4839" t="s">
        <v>36</v>
      </c>
      <c r="G4839" t="s">
        <v>46</v>
      </c>
      <c r="H4839">
        <f>Cleaned_Data!K4839</f>
        <v>0</v>
      </c>
      <c r="I4839" t="str">
        <f t="shared" si="225"/>
        <v/>
      </c>
      <c r="J4839">
        <f>Cleaned_Data!J4839</f>
        <v>4</v>
      </c>
      <c r="K4839" t="str">
        <f t="shared" si="226"/>
        <v>2024-11</v>
      </c>
      <c r="L4839">
        <f t="shared" si="227"/>
        <v>0</v>
      </c>
    </row>
    <row r="4840" spans="1:12">
      <c r="A4840" t="s">
        <v>14015</v>
      </c>
      <c r="B4840" t="s">
        <v>14016</v>
      </c>
      <c r="C4840" t="s">
        <v>14017</v>
      </c>
      <c r="D4840" t="s">
        <v>35</v>
      </c>
      <c r="E4840" t="s">
        <v>24</v>
      </c>
      <c r="F4840" t="s">
        <v>36</v>
      </c>
      <c r="G4840" t="s">
        <v>31</v>
      </c>
      <c r="H4840">
        <f>Cleaned_Data!K4840</f>
        <v>20.29</v>
      </c>
      <c r="I4840" t="str">
        <f t="shared" si="225"/>
        <v>YES</v>
      </c>
      <c r="J4840">
        <f>Cleaned_Data!J4840</f>
        <v>48</v>
      </c>
      <c r="K4840" t="str">
        <f t="shared" si="226"/>
        <v>2024-07</v>
      </c>
      <c r="L4840">
        <f t="shared" si="227"/>
        <v>0</v>
      </c>
    </row>
    <row r="4841" spans="1:12">
      <c r="A4841" t="s">
        <v>14018</v>
      </c>
      <c r="B4841" t="s">
        <v>14019</v>
      </c>
      <c r="C4841" t="s">
        <v>14020</v>
      </c>
      <c r="D4841" t="s">
        <v>23</v>
      </c>
      <c r="E4841" t="s">
        <v>28</v>
      </c>
      <c r="F4841" t="s">
        <v>36</v>
      </c>
      <c r="G4841" t="s">
        <v>19</v>
      </c>
      <c r="H4841">
        <f>Cleaned_Data!K4841</f>
        <v>10.74</v>
      </c>
      <c r="I4841" t="str">
        <f t="shared" si="225"/>
        <v>YES</v>
      </c>
      <c r="J4841">
        <f>Cleaned_Data!J4841</f>
        <v>24</v>
      </c>
      <c r="K4841" t="str">
        <f t="shared" si="226"/>
        <v>2024-03</v>
      </c>
      <c r="L4841">
        <f t="shared" si="227"/>
        <v>0</v>
      </c>
    </row>
    <row r="4842" spans="1:12">
      <c r="A4842" t="s">
        <v>14021</v>
      </c>
      <c r="B4842" t="s">
        <v>14022</v>
      </c>
      <c r="C4842" t="s">
        <v>14023</v>
      </c>
      <c r="D4842" t="s">
        <v>23</v>
      </c>
      <c r="E4842" t="s">
        <v>24</v>
      </c>
      <c r="F4842" t="s">
        <v>29</v>
      </c>
      <c r="G4842" t="s">
        <v>19</v>
      </c>
      <c r="H4842">
        <f>Cleaned_Data!K4842</f>
        <v>10.61</v>
      </c>
      <c r="I4842" t="str">
        <f t="shared" si="225"/>
        <v>YES</v>
      </c>
      <c r="J4842">
        <f>Cleaned_Data!J4842</f>
        <v>24</v>
      </c>
      <c r="K4842" t="str">
        <f t="shared" si="226"/>
        <v>2024-05</v>
      </c>
      <c r="L4842">
        <f t="shared" si="227"/>
        <v>0</v>
      </c>
    </row>
    <row r="4843" spans="1:12">
      <c r="A4843" t="s">
        <v>14024</v>
      </c>
      <c r="B4843" t="s">
        <v>14025</v>
      </c>
      <c r="D4843" t="s">
        <v>15</v>
      </c>
      <c r="E4843" t="s">
        <v>16</v>
      </c>
      <c r="F4843" t="s">
        <v>60</v>
      </c>
      <c r="G4843" t="s">
        <v>63</v>
      </c>
      <c r="H4843">
        <f>Cleaned_Data!K4843</f>
        <v>0</v>
      </c>
      <c r="I4843" t="str">
        <f t="shared" si="225"/>
        <v/>
      </c>
      <c r="J4843">
        <f>Cleaned_Data!J4843</f>
        <v>8</v>
      </c>
      <c r="K4843" t="str">
        <f t="shared" si="226"/>
        <v>2024-06</v>
      </c>
      <c r="L4843">
        <f t="shared" si="227"/>
        <v>0</v>
      </c>
    </row>
    <row r="4844" spans="1:12">
      <c r="A4844" t="s">
        <v>14026</v>
      </c>
      <c r="B4844" t="s">
        <v>14027</v>
      </c>
      <c r="C4844" t="s">
        <v>14028</v>
      </c>
      <c r="D4844" t="s">
        <v>23</v>
      </c>
      <c r="E4844" t="s">
        <v>59</v>
      </c>
      <c r="F4844" t="s">
        <v>29</v>
      </c>
      <c r="G4844" t="s">
        <v>19</v>
      </c>
      <c r="H4844">
        <f>Cleaned_Data!K4844</f>
        <v>3.62</v>
      </c>
      <c r="I4844" t="str">
        <f t="shared" si="225"/>
        <v>YES</v>
      </c>
      <c r="J4844">
        <f>Cleaned_Data!J4844</f>
        <v>24</v>
      </c>
      <c r="K4844" t="str">
        <f t="shared" si="226"/>
        <v>2024-11</v>
      </c>
      <c r="L4844">
        <f t="shared" si="227"/>
        <v>0</v>
      </c>
    </row>
    <row r="4845" spans="1:12">
      <c r="A4845" t="s">
        <v>14029</v>
      </c>
      <c r="B4845" t="s">
        <v>14030</v>
      </c>
      <c r="C4845" t="s">
        <v>14031</v>
      </c>
      <c r="D4845" t="s">
        <v>23</v>
      </c>
      <c r="E4845" t="s">
        <v>28</v>
      </c>
      <c r="F4845" t="s">
        <v>41</v>
      </c>
      <c r="G4845" t="s">
        <v>31</v>
      </c>
      <c r="H4845">
        <f>Cleaned_Data!K4845</f>
        <v>9.27</v>
      </c>
      <c r="I4845" t="str">
        <f t="shared" si="225"/>
        <v>YES</v>
      </c>
      <c r="J4845">
        <f>Cleaned_Data!J4845</f>
        <v>24</v>
      </c>
      <c r="K4845" t="str">
        <f t="shared" si="226"/>
        <v>2024-07</v>
      </c>
      <c r="L4845">
        <f t="shared" si="227"/>
        <v>0</v>
      </c>
    </row>
    <row r="4846" spans="1:12">
      <c r="A4846" t="s">
        <v>14032</v>
      </c>
      <c r="B4846" t="s">
        <v>14033</v>
      </c>
      <c r="D4846" t="s">
        <v>23</v>
      </c>
      <c r="E4846" t="s">
        <v>16</v>
      </c>
      <c r="F4846" t="s">
        <v>17</v>
      </c>
      <c r="G4846" t="s">
        <v>63</v>
      </c>
      <c r="H4846">
        <f>Cleaned_Data!K4846</f>
        <v>0</v>
      </c>
      <c r="I4846" t="str">
        <f t="shared" si="225"/>
        <v/>
      </c>
      <c r="J4846">
        <f>Cleaned_Data!J4846</f>
        <v>24</v>
      </c>
      <c r="K4846" t="str">
        <f t="shared" si="226"/>
        <v>2024-12</v>
      </c>
      <c r="L4846">
        <f t="shared" si="227"/>
        <v>0</v>
      </c>
    </row>
    <row r="4847" spans="1:12">
      <c r="A4847" t="s">
        <v>14034</v>
      </c>
      <c r="B4847" t="s">
        <v>14035</v>
      </c>
      <c r="C4847" t="s">
        <v>14036</v>
      </c>
      <c r="D4847" t="s">
        <v>158</v>
      </c>
      <c r="E4847" t="s">
        <v>16</v>
      </c>
      <c r="F4847" t="s">
        <v>29</v>
      </c>
      <c r="G4847" t="s">
        <v>19</v>
      </c>
      <c r="H4847">
        <f>Cleaned_Data!K4847</f>
        <v>0.53</v>
      </c>
      <c r="I4847" t="str">
        <f t="shared" si="225"/>
        <v>YES</v>
      </c>
      <c r="J4847">
        <f>Cleaned_Data!J4847</f>
        <v>4</v>
      </c>
      <c r="K4847" t="str">
        <f t="shared" si="226"/>
        <v>2024-11</v>
      </c>
      <c r="L4847">
        <f t="shared" si="227"/>
        <v>0</v>
      </c>
    </row>
    <row r="4848" spans="1:12">
      <c r="A4848" t="s">
        <v>14037</v>
      </c>
      <c r="B4848" t="s">
        <v>14038</v>
      </c>
      <c r="D4848" t="s">
        <v>15</v>
      </c>
      <c r="E4848" t="s">
        <v>24</v>
      </c>
      <c r="F4848" t="s">
        <v>29</v>
      </c>
      <c r="G4848" t="s">
        <v>46</v>
      </c>
      <c r="H4848">
        <f>Cleaned_Data!K4848</f>
        <v>0</v>
      </c>
      <c r="I4848" t="str">
        <f t="shared" si="225"/>
        <v/>
      </c>
      <c r="J4848">
        <f>Cleaned_Data!J4848</f>
        <v>8</v>
      </c>
      <c r="K4848" t="str">
        <f t="shared" si="226"/>
        <v>2024-10</v>
      </c>
      <c r="L4848">
        <f t="shared" si="227"/>
        <v>0</v>
      </c>
    </row>
    <row r="4849" spans="1:12">
      <c r="A4849" t="s">
        <v>14039</v>
      </c>
      <c r="B4849" t="s">
        <v>14040</v>
      </c>
      <c r="D4849" t="s">
        <v>23</v>
      </c>
      <c r="E4849" t="s">
        <v>16</v>
      </c>
      <c r="F4849" t="s">
        <v>17</v>
      </c>
      <c r="G4849" t="s">
        <v>63</v>
      </c>
      <c r="H4849">
        <f>Cleaned_Data!K4849</f>
        <v>0</v>
      </c>
      <c r="I4849" t="str">
        <f t="shared" si="225"/>
        <v/>
      </c>
      <c r="J4849">
        <f>Cleaned_Data!J4849</f>
        <v>24</v>
      </c>
      <c r="K4849" t="str">
        <f t="shared" si="226"/>
        <v>2024-09</v>
      </c>
      <c r="L4849">
        <f t="shared" si="227"/>
        <v>0</v>
      </c>
    </row>
    <row r="4850" spans="1:12">
      <c r="A4850" t="s">
        <v>14041</v>
      </c>
      <c r="B4850" t="s">
        <v>14042</v>
      </c>
      <c r="C4850" t="s">
        <v>14043</v>
      </c>
      <c r="D4850" t="s">
        <v>23</v>
      </c>
      <c r="E4850" t="s">
        <v>28</v>
      </c>
      <c r="F4850" t="s">
        <v>29</v>
      </c>
      <c r="G4850" t="s">
        <v>19</v>
      </c>
      <c r="H4850">
        <f>Cleaned_Data!K4850</f>
        <v>14.1</v>
      </c>
      <c r="I4850" t="str">
        <f t="shared" si="225"/>
        <v>YES</v>
      </c>
      <c r="J4850">
        <f>Cleaned_Data!J4850</f>
        <v>24</v>
      </c>
      <c r="K4850" t="str">
        <f t="shared" si="226"/>
        <v>2024-06</v>
      </c>
      <c r="L4850">
        <f t="shared" si="227"/>
        <v>0</v>
      </c>
    </row>
    <row r="4851" spans="1:12">
      <c r="A4851" t="s">
        <v>14044</v>
      </c>
      <c r="B4851" t="s">
        <v>14045</v>
      </c>
      <c r="C4851" t="s">
        <v>14046</v>
      </c>
      <c r="D4851" t="s">
        <v>15</v>
      </c>
      <c r="E4851" t="s">
        <v>16</v>
      </c>
      <c r="F4851" t="s">
        <v>41</v>
      </c>
      <c r="G4851" t="s">
        <v>19</v>
      </c>
      <c r="H4851">
        <f>Cleaned_Data!K4851</f>
        <v>4.0999999999999996</v>
      </c>
      <c r="I4851" t="str">
        <f t="shared" si="225"/>
        <v>YES</v>
      </c>
      <c r="J4851">
        <f>Cleaned_Data!J4851</f>
        <v>8</v>
      </c>
      <c r="K4851" t="str">
        <f t="shared" si="226"/>
        <v>2024-11</v>
      </c>
      <c r="L4851">
        <f t="shared" si="227"/>
        <v>0</v>
      </c>
    </row>
    <row r="4852" spans="1:12">
      <c r="A4852" t="s">
        <v>14047</v>
      </c>
      <c r="B4852" t="s">
        <v>14048</v>
      </c>
      <c r="C4852" t="s">
        <v>14049</v>
      </c>
      <c r="D4852" t="s">
        <v>23</v>
      </c>
      <c r="E4852" t="s">
        <v>16</v>
      </c>
      <c r="F4852" t="s">
        <v>17</v>
      </c>
      <c r="G4852" t="s">
        <v>19</v>
      </c>
      <c r="H4852">
        <f>Cleaned_Data!K4852</f>
        <v>9.0399999999999991</v>
      </c>
      <c r="I4852" t="str">
        <f t="shared" si="225"/>
        <v>YES</v>
      </c>
      <c r="J4852">
        <f>Cleaned_Data!J4852</f>
        <v>24</v>
      </c>
      <c r="K4852" t="str">
        <f t="shared" si="226"/>
        <v>2024-01</v>
      </c>
      <c r="L4852">
        <f t="shared" si="227"/>
        <v>0</v>
      </c>
    </row>
    <row r="4853" spans="1:12">
      <c r="A4853" t="s">
        <v>14050</v>
      </c>
      <c r="B4853" t="s">
        <v>14051</v>
      </c>
      <c r="C4853" t="s">
        <v>14052</v>
      </c>
      <c r="D4853" t="s">
        <v>15</v>
      </c>
      <c r="E4853" t="s">
        <v>28</v>
      </c>
      <c r="F4853" t="s">
        <v>41</v>
      </c>
      <c r="G4853" t="s">
        <v>31</v>
      </c>
      <c r="H4853">
        <f>Cleaned_Data!K4853</f>
        <v>5.29</v>
      </c>
      <c r="I4853" t="str">
        <f t="shared" si="225"/>
        <v>YES</v>
      </c>
      <c r="J4853">
        <f>Cleaned_Data!J4853</f>
        <v>8</v>
      </c>
      <c r="K4853" t="str">
        <f t="shared" si="226"/>
        <v>2024-12</v>
      </c>
      <c r="L4853">
        <f t="shared" si="227"/>
        <v>0</v>
      </c>
    </row>
    <row r="4854" spans="1:12">
      <c r="A4854" t="s">
        <v>14053</v>
      </c>
      <c r="B4854" t="s">
        <v>14054</v>
      </c>
      <c r="C4854" t="s">
        <v>14055</v>
      </c>
      <c r="D4854" t="s">
        <v>15</v>
      </c>
      <c r="E4854" t="s">
        <v>16</v>
      </c>
      <c r="F4854" t="s">
        <v>29</v>
      </c>
      <c r="G4854" t="s">
        <v>31</v>
      </c>
      <c r="H4854">
        <f>Cleaned_Data!K4854</f>
        <v>1.64</v>
      </c>
      <c r="I4854" t="str">
        <f t="shared" si="225"/>
        <v>YES</v>
      </c>
      <c r="J4854">
        <f>Cleaned_Data!J4854</f>
        <v>8</v>
      </c>
      <c r="K4854" t="str">
        <f t="shared" si="226"/>
        <v>2024-06</v>
      </c>
      <c r="L4854">
        <f t="shared" si="227"/>
        <v>0</v>
      </c>
    </row>
    <row r="4855" spans="1:12">
      <c r="A4855" t="s">
        <v>14056</v>
      </c>
      <c r="B4855" t="s">
        <v>14057</v>
      </c>
      <c r="C4855" t="s">
        <v>14058</v>
      </c>
      <c r="D4855" t="s">
        <v>15</v>
      </c>
      <c r="E4855" t="s">
        <v>28</v>
      </c>
      <c r="F4855" t="s">
        <v>41</v>
      </c>
      <c r="G4855" t="s">
        <v>31</v>
      </c>
      <c r="H4855">
        <f>Cleaned_Data!K4855</f>
        <v>7.22</v>
      </c>
      <c r="I4855" t="str">
        <f t="shared" si="225"/>
        <v>YES</v>
      </c>
      <c r="J4855">
        <f>Cleaned_Data!J4855</f>
        <v>8</v>
      </c>
      <c r="K4855" t="str">
        <f t="shared" si="226"/>
        <v>2024-04</v>
      </c>
      <c r="L4855">
        <f t="shared" si="227"/>
        <v>0</v>
      </c>
    </row>
    <row r="4856" spans="1:12">
      <c r="A4856" t="s">
        <v>14059</v>
      </c>
      <c r="B4856" t="s">
        <v>14060</v>
      </c>
      <c r="C4856" t="s">
        <v>14061</v>
      </c>
      <c r="D4856" t="s">
        <v>158</v>
      </c>
      <c r="E4856" t="s">
        <v>28</v>
      </c>
      <c r="F4856" t="s">
        <v>36</v>
      </c>
      <c r="G4856" t="s">
        <v>19</v>
      </c>
      <c r="H4856">
        <f>Cleaned_Data!K4856</f>
        <v>0.43</v>
      </c>
      <c r="I4856" t="str">
        <f t="shared" si="225"/>
        <v>YES</v>
      </c>
      <c r="J4856">
        <f>Cleaned_Data!J4856</f>
        <v>4</v>
      </c>
      <c r="K4856" t="str">
        <f t="shared" si="226"/>
        <v>2024-11</v>
      </c>
      <c r="L4856">
        <f t="shared" si="227"/>
        <v>0</v>
      </c>
    </row>
    <row r="4857" spans="1:12">
      <c r="A4857" t="s">
        <v>14062</v>
      </c>
      <c r="B4857" t="s">
        <v>14063</v>
      </c>
      <c r="C4857" t="s">
        <v>14064</v>
      </c>
      <c r="D4857" t="s">
        <v>35</v>
      </c>
      <c r="E4857" t="s">
        <v>16</v>
      </c>
      <c r="F4857" t="s">
        <v>29</v>
      </c>
      <c r="G4857" t="s">
        <v>31</v>
      </c>
      <c r="H4857">
        <f>Cleaned_Data!K4857</f>
        <v>19.809999999999999</v>
      </c>
      <c r="I4857" t="str">
        <f t="shared" si="225"/>
        <v>YES</v>
      </c>
      <c r="J4857">
        <f>Cleaned_Data!J4857</f>
        <v>48</v>
      </c>
      <c r="K4857" t="str">
        <f t="shared" si="226"/>
        <v>2024-04</v>
      </c>
      <c r="L4857">
        <f t="shared" si="227"/>
        <v>0</v>
      </c>
    </row>
    <row r="4858" spans="1:12">
      <c r="A4858" t="s">
        <v>14065</v>
      </c>
      <c r="B4858" t="s">
        <v>14066</v>
      </c>
      <c r="C4858" t="s">
        <v>14067</v>
      </c>
      <c r="D4858" t="s">
        <v>23</v>
      </c>
      <c r="E4858" t="s">
        <v>28</v>
      </c>
      <c r="F4858" t="s">
        <v>29</v>
      </c>
      <c r="G4858" t="s">
        <v>31</v>
      </c>
      <c r="H4858">
        <f>Cleaned_Data!K4858</f>
        <v>57.83</v>
      </c>
      <c r="I4858" t="str">
        <f t="shared" si="225"/>
        <v>NO</v>
      </c>
      <c r="J4858">
        <f>Cleaned_Data!J4858</f>
        <v>24</v>
      </c>
      <c r="K4858" t="str">
        <f t="shared" si="226"/>
        <v>2024-07</v>
      </c>
      <c r="L4858">
        <f t="shared" si="227"/>
        <v>33.83</v>
      </c>
    </row>
    <row r="4859" spans="1:12">
      <c r="A4859" t="s">
        <v>14068</v>
      </c>
      <c r="B4859" t="s">
        <v>14069</v>
      </c>
      <c r="C4859" t="s">
        <v>14070</v>
      </c>
      <c r="D4859" t="s">
        <v>158</v>
      </c>
      <c r="E4859" t="s">
        <v>28</v>
      </c>
      <c r="F4859" t="s">
        <v>17</v>
      </c>
      <c r="G4859" t="s">
        <v>19</v>
      </c>
      <c r="H4859">
        <f>Cleaned_Data!K4859</f>
        <v>2.63</v>
      </c>
      <c r="I4859" t="str">
        <f t="shared" si="225"/>
        <v>YES</v>
      </c>
      <c r="J4859">
        <f>Cleaned_Data!J4859</f>
        <v>4</v>
      </c>
      <c r="K4859" t="str">
        <f t="shared" si="226"/>
        <v>2024-07</v>
      </c>
      <c r="L4859">
        <f t="shared" si="227"/>
        <v>0</v>
      </c>
    </row>
    <row r="4860" spans="1:12">
      <c r="A4860" t="s">
        <v>14071</v>
      </c>
      <c r="B4860" t="s">
        <v>14072</v>
      </c>
      <c r="C4860" t="s">
        <v>14073</v>
      </c>
      <c r="D4860" t="s">
        <v>35</v>
      </c>
      <c r="E4860" t="s">
        <v>16</v>
      </c>
      <c r="F4860" t="s">
        <v>17</v>
      </c>
      <c r="G4860" t="s">
        <v>19</v>
      </c>
      <c r="H4860">
        <f>Cleaned_Data!K4860</f>
        <v>14.9</v>
      </c>
      <c r="I4860" t="str">
        <f t="shared" si="225"/>
        <v>YES</v>
      </c>
      <c r="J4860">
        <f>Cleaned_Data!J4860</f>
        <v>48</v>
      </c>
      <c r="K4860" t="str">
        <f t="shared" si="226"/>
        <v>2024-07</v>
      </c>
      <c r="L4860">
        <f t="shared" si="227"/>
        <v>0</v>
      </c>
    </row>
    <row r="4861" spans="1:12">
      <c r="A4861" t="s">
        <v>14074</v>
      </c>
      <c r="B4861" t="s">
        <v>14075</v>
      </c>
      <c r="C4861" t="s">
        <v>14076</v>
      </c>
      <c r="D4861" t="s">
        <v>15</v>
      </c>
      <c r="E4861" t="s">
        <v>28</v>
      </c>
      <c r="F4861" t="s">
        <v>41</v>
      </c>
      <c r="G4861" t="s">
        <v>19</v>
      </c>
      <c r="H4861">
        <f>Cleaned_Data!K4861</f>
        <v>13.64</v>
      </c>
      <c r="I4861" t="str">
        <f t="shared" si="225"/>
        <v>NO</v>
      </c>
      <c r="J4861">
        <f>Cleaned_Data!J4861</f>
        <v>8</v>
      </c>
      <c r="K4861" t="str">
        <f t="shared" si="226"/>
        <v>2024-06</v>
      </c>
      <c r="L4861">
        <f t="shared" si="227"/>
        <v>5.6400000000000006</v>
      </c>
    </row>
    <row r="4862" spans="1:12">
      <c r="A4862" t="s">
        <v>14077</v>
      </c>
      <c r="B4862" t="s">
        <v>14078</v>
      </c>
      <c r="C4862" t="s">
        <v>14079</v>
      </c>
      <c r="D4862" t="s">
        <v>35</v>
      </c>
      <c r="E4862" t="s">
        <v>54</v>
      </c>
      <c r="F4862" t="s">
        <v>29</v>
      </c>
      <c r="G4862" t="s">
        <v>19</v>
      </c>
      <c r="H4862">
        <f>Cleaned_Data!K4862</f>
        <v>33.619999999999997</v>
      </c>
      <c r="I4862" t="str">
        <f t="shared" si="225"/>
        <v>YES</v>
      </c>
      <c r="J4862">
        <f>Cleaned_Data!J4862</f>
        <v>48</v>
      </c>
      <c r="K4862" t="str">
        <f t="shared" si="226"/>
        <v>2024-07</v>
      </c>
      <c r="L4862">
        <f t="shared" si="227"/>
        <v>0</v>
      </c>
    </row>
    <row r="4863" spans="1:12">
      <c r="A4863" t="s">
        <v>14080</v>
      </c>
      <c r="B4863" t="s">
        <v>14081</v>
      </c>
      <c r="C4863" t="s">
        <v>14082</v>
      </c>
      <c r="D4863" t="s">
        <v>23</v>
      </c>
      <c r="E4863" t="s">
        <v>59</v>
      </c>
      <c r="F4863" t="s">
        <v>29</v>
      </c>
      <c r="G4863" t="s">
        <v>31</v>
      </c>
      <c r="H4863">
        <f>Cleaned_Data!K4863</f>
        <v>3.89</v>
      </c>
      <c r="I4863" t="str">
        <f t="shared" si="225"/>
        <v>YES</v>
      </c>
      <c r="J4863">
        <f>Cleaned_Data!J4863</f>
        <v>24</v>
      </c>
      <c r="K4863" t="str">
        <f t="shared" si="226"/>
        <v>2024-08</v>
      </c>
      <c r="L4863">
        <f t="shared" si="227"/>
        <v>0</v>
      </c>
    </row>
    <row r="4864" spans="1:12">
      <c r="A4864" t="s">
        <v>14083</v>
      </c>
      <c r="B4864" t="s">
        <v>14084</v>
      </c>
      <c r="C4864" t="s">
        <v>14085</v>
      </c>
      <c r="D4864" t="s">
        <v>23</v>
      </c>
      <c r="E4864" t="s">
        <v>28</v>
      </c>
      <c r="F4864" t="s">
        <v>41</v>
      </c>
      <c r="G4864" t="s">
        <v>19</v>
      </c>
      <c r="H4864">
        <f>Cleaned_Data!K4864</f>
        <v>14.71</v>
      </c>
      <c r="I4864" t="str">
        <f t="shared" si="225"/>
        <v>YES</v>
      </c>
      <c r="J4864">
        <f>Cleaned_Data!J4864</f>
        <v>24</v>
      </c>
      <c r="K4864" t="str">
        <f t="shared" si="226"/>
        <v>2024-05</v>
      </c>
      <c r="L4864">
        <f t="shared" si="227"/>
        <v>0</v>
      </c>
    </row>
    <row r="4865" spans="1:12">
      <c r="A4865" t="s">
        <v>14086</v>
      </c>
      <c r="B4865" t="s">
        <v>14087</v>
      </c>
      <c r="C4865" t="s">
        <v>14088</v>
      </c>
      <c r="D4865" t="s">
        <v>23</v>
      </c>
      <c r="E4865" t="s">
        <v>16</v>
      </c>
      <c r="F4865" t="s">
        <v>41</v>
      </c>
      <c r="G4865" t="s">
        <v>31</v>
      </c>
      <c r="H4865">
        <f>Cleaned_Data!K4865</f>
        <v>6.21</v>
      </c>
      <c r="I4865" t="str">
        <f t="shared" si="225"/>
        <v>YES</v>
      </c>
      <c r="J4865">
        <f>Cleaned_Data!J4865</f>
        <v>24</v>
      </c>
      <c r="K4865" t="str">
        <f t="shared" si="226"/>
        <v>2024-12</v>
      </c>
      <c r="L4865">
        <f t="shared" si="227"/>
        <v>0</v>
      </c>
    </row>
    <row r="4866" spans="1:12">
      <c r="A4866" t="s">
        <v>14089</v>
      </c>
      <c r="B4866" t="s">
        <v>14090</v>
      </c>
      <c r="C4866" t="s">
        <v>14091</v>
      </c>
      <c r="D4866" t="s">
        <v>15</v>
      </c>
      <c r="E4866" t="s">
        <v>16</v>
      </c>
      <c r="F4866" t="s">
        <v>17</v>
      </c>
      <c r="G4866" t="s">
        <v>19</v>
      </c>
      <c r="H4866">
        <f>Cleaned_Data!K4866</f>
        <v>3.12</v>
      </c>
      <c r="I4866" t="str">
        <f t="shared" ref="I4866:I4929" si="228">IF(OR(G4866="Resolved", G4866="Closed"), IF(AND(H4866&lt;&gt;"", H4866&lt;=J4866), "YES", "NO"), "")</f>
        <v>YES</v>
      </c>
      <c r="J4866">
        <f>Cleaned_Data!J4866</f>
        <v>8</v>
      </c>
      <c r="K4866" t="str">
        <f t="shared" ref="K4866:K4929" si="229">LEFT(B4866, 7)</f>
        <v>2024-06</v>
      </c>
      <c r="L4866">
        <f t="shared" ref="L4866:L4929" si="230">IF(I4866="NO", H4866-J4866, 0)</f>
        <v>0</v>
      </c>
    </row>
    <row r="4867" spans="1:12">
      <c r="A4867" t="s">
        <v>14092</v>
      </c>
      <c r="B4867" t="s">
        <v>14093</v>
      </c>
      <c r="C4867" t="s">
        <v>14094</v>
      </c>
      <c r="D4867" t="s">
        <v>15</v>
      </c>
      <c r="E4867" t="s">
        <v>54</v>
      </c>
      <c r="F4867" t="s">
        <v>17</v>
      </c>
      <c r="G4867" t="s">
        <v>19</v>
      </c>
      <c r="H4867">
        <f>Cleaned_Data!K4867</f>
        <v>6.21</v>
      </c>
      <c r="I4867" t="str">
        <f t="shared" si="228"/>
        <v>YES</v>
      </c>
      <c r="J4867">
        <f>Cleaned_Data!J4867</f>
        <v>8</v>
      </c>
      <c r="K4867" t="str">
        <f t="shared" si="229"/>
        <v>2024-12</v>
      </c>
      <c r="L4867">
        <f t="shared" si="230"/>
        <v>0</v>
      </c>
    </row>
    <row r="4868" spans="1:12">
      <c r="A4868" t="s">
        <v>14095</v>
      </c>
      <c r="B4868" t="s">
        <v>14096</v>
      </c>
      <c r="C4868" t="s">
        <v>14097</v>
      </c>
      <c r="D4868" t="s">
        <v>23</v>
      </c>
      <c r="E4868" t="s">
        <v>59</v>
      </c>
      <c r="F4868" t="s">
        <v>36</v>
      </c>
      <c r="G4868" t="s">
        <v>19</v>
      </c>
      <c r="H4868">
        <f>Cleaned_Data!K4868</f>
        <v>2.63</v>
      </c>
      <c r="I4868" t="str">
        <f t="shared" si="228"/>
        <v>YES</v>
      </c>
      <c r="J4868">
        <f>Cleaned_Data!J4868</f>
        <v>24</v>
      </c>
      <c r="K4868" t="str">
        <f t="shared" si="229"/>
        <v>2024-12</v>
      </c>
      <c r="L4868">
        <f t="shared" si="230"/>
        <v>0</v>
      </c>
    </row>
    <row r="4869" spans="1:12">
      <c r="A4869" t="s">
        <v>14098</v>
      </c>
      <c r="B4869" t="s">
        <v>14099</v>
      </c>
      <c r="C4869" t="s">
        <v>14100</v>
      </c>
      <c r="D4869" t="s">
        <v>23</v>
      </c>
      <c r="E4869" t="s">
        <v>16</v>
      </c>
      <c r="F4869" t="s">
        <v>60</v>
      </c>
      <c r="G4869" t="s">
        <v>19</v>
      </c>
      <c r="H4869">
        <f>Cleaned_Data!K4869</f>
        <v>59.72</v>
      </c>
      <c r="I4869" t="str">
        <f t="shared" si="228"/>
        <v>NO</v>
      </c>
      <c r="J4869">
        <f>Cleaned_Data!J4869</f>
        <v>24</v>
      </c>
      <c r="K4869" t="str">
        <f t="shared" si="229"/>
        <v>2024-02</v>
      </c>
      <c r="L4869">
        <f t="shared" si="230"/>
        <v>35.72</v>
      </c>
    </row>
    <row r="4870" spans="1:12">
      <c r="A4870" t="s">
        <v>14101</v>
      </c>
      <c r="B4870" t="s">
        <v>14102</v>
      </c>
      <c r="C4870" t="s">
        <v>14103</v>
      </c>
      <c r="D4870" t="s">
        <v>23</v>
      </c>
      <c r="E4870" t="s">
        <v>24</v>
      </c>
      <c r="F4870" t="s">
        <v>36</v>
      </c>
      <c r="G4870" t="s">
        <v>19</v>
      </c>
      <c r="H4870">
        <f>Cleaned_Data!K4870</f>
        <v>67.040000000000006</v>
      </c>
      <c r="I4870" t="str">
        <f t="shared" si="228"/>
        <v>NO</v>
      </c>
      <c r="J4870">
        <f>Cleaned_Data!J4870</f>
        <v>24</v>
      </c>
      <c r="K4870" t="str">
        <f t="shared" si="229"/>
        <v>2024-12</v>
      </c>
      <c r="L4870">
        <f t="shared" si="230"/>
        <v>43.040000000000006</v>
      </c>
    </row>
    <row r="4871" spans="1:12">
      <c r="A4871" t="s">
        <v>14104</v>
      </c>
      <c r="B4871" t="s">
        <v>14105</v>
      </c>
      <c r="C4871" t="s">
        <v>14106</v>
      </c>
      <c r="D4871" t="s">
        <v>35</v>
      </c>
      <c r="E4871" t="s">
        <v>28</v>
      </c>
      <c r="F4871" t="s">
        <v>17</v>
      </c>
      <c r="G4871" t="s">
        <v>31</v>
      </c>
      <c r="H4871">
        <f>Cleaned_Data!K4871</f>
        <v>104.67</v>
      </c>
      <c r="I4871" t="str">
        <f t="shared" si="228"/>
        <v>NO</v>
      </c>
      <c r="J4871">
        <f>Cleaned_Data!J4871</f>
        <v>48</v>
      </c>
      <c r="K4871" t="str">
        <f t="shared" si="229"/>
        <v>2024-07</v>
      </c>
      <c r="L4871">
        <f t="shared" si="230"/>
        <v>56.67</v>
      </c>
    </row>
    <row r="4872" spans="1:12">
      <c r="A4872" t="s">
        <v>14107</v>
      </c>
      <c r="B4872" t="s">
        <v>14108</v>
      </c>
      <c r="C4872" t="s">
        <v>14109</v>
      </c>
      <c r="D4872" t="s">
        <v>23</v>
      </c>
      <c r="E4872" t="s">
        <v>28</v>
      </c>
      <c r="F4872" t="s">
        <v>60</v>
      </c>
      <c r="G4872" t="s">
        <v>31</v>
      </c>
      <c r="H4872">
        <f>Cleaned_Data!K4872</f>
        <v>10.15</v>
      </c>
      <c r="I4872" t="str">
        <f t="shared" si="228"/>
        <v>YES</v>
      </c>
      <c r="J4872">
        <f>Cleaned_Data!J4872</f>
        <v>24</v>
      </c>
      <c r="K4872" t="str">
        <f t="shared" si="229"/>
        <v>2024-09</v>
      </c>
      <c r="L4872">
        <f t="shared" si="230"/>
        <v>0</v>
      </c>
    </row>
    <row r="4873" spans="1:12">
      <c r="A4873" t="s">
        <v>14110</v>
      </c>
      <c r="B4873" t="s">
        <v>14111</v>
      </c>
      <c r="C4873" t="s">
        <v>14112</v>
      </c>
      <c r="D4873" t="s">
        <v>158</v>
      </c>
      <c r="E4873" t="s">
        <v>24</v>
      </c>
      <c r="F4873" t="s">
        <v>17</v>
      </c>
      <c r="G4873" t="s">
        <v>19</v>
      </c>
      <c r="H4873">
        <f>Cleaned_Data!K4873</f>
        <v>8.51</v>
      </c>
      <c r="I4873" t="str">
        <f t="shared" si="228"/>
        <v>NO</v>
      </c>
      <c r="J4873">
        <f>Cleaned_Data!J4873</f>
        <v>4</v>
      </c>
      <c r="K4873" t="str">
        <f t="shared" si="229"/>
        <v>2024-06</v>
      </c>
      <c r="L4873">
        <f t="shared" si="230"/>
        <v>4.51</v>
      </c>
    </row>
    <row r="4874" spans="1:12">
      <c r="A4874" t="s">
        <v>14113</v>
      </c>
      <c r="B4874" t="s">
        <v>14114</v>
      </c>
      <c r="C4874" t="s">
        <v>14115</v>
      </c>
      <c r="D4874" t="s">
        <v>35</v>
      </c>
      <c r="E4874" t="s">
        <v>59</v>
      </c>
      <c r="F4874" t="s">
        <v>36</v>
      </c>
      <c r="G4874" t="s">
        <v>31</v>
      </c>
      <c r="H4874">
        <f>Cleaned_Data!K4874</f>
        <v>64.099999999999994</v>
      </c>
      <c r="I4874" t="str">
        <f t="shared" si="228"/>
        <v>NO</v>
      </c>
      <c r="J4874">
        <f>Cleaned_Data!J4874</f>
        <v>48</v>
      </c>
      <c r="K4874" t="str">
        <f t="shared" si="229"/>
        <v>2024-02</v>
      </c>
      <c r="L4874">
        <f t="shared" si="230"/>
        <v>16.099999999999994</v>
      </c>
    </row>
    <row r="4875" spans="1:12">
      <c r="A4875" t="s">
        <v>14116</v>
      </c>
      <c r="B4875" t="s">
        <v>14117</v>
      </c>
      <c r="C4875" t="s">
        <v>14118</v>
      </c>
      <c r="D4875" t="s">
        <v>35</v>
      </c>
      <c r="E4875" t="s">
        <v>24</v>
      </c>
      <c r="F4875" t="s">
        <v>17</v>
      </c>
      <c r="G4875" t="s">
        <v>19</v>
      </c>
      <c r="H4875">
        <f>Cleaned_Data!K4875</f>
        <v>7.45</v>
      </c>
      <c r="I4875" t="str">
        <f t="shared" si="228"/>
        <v>YES</v>
      </c>
      <c r="J4875">
        <f>Cleaned_Data!J4875</f>
        <v>48</v>
      </c>
      <c r="K4875" t="str">
        <f t="shared" si="229"/>
        <v>2024-06</v>
      </c>
      <c r="L4875">
        <f t="shared" si="230"/>
        <v>0</v>
      </c>
    </row>
    <row r="4876" spans="1:12">
      <c r="A4876" t="s">
        <v>14119</v>
      </c>
      <c r="B4876" t="s">
        <v>14120</v>
      </c>
      <c r="C4876" t="s">
        <v>14121</v>
      </c>
      <c r="D4876" t="s">
        <v>158</v>
      </c>
      <c r="E4876" t="s">
        <v>16</v>
      </c>
      <c r="F4876" t="s">
        <v>60</v>
      </c>
      <c r="G4876" t="s">
        <v>19</v>
      </c>
      <c r="H4876">
        <f>Cleaned_Data!K4876</f>
        <v>1.74</v>
      </c>
      <c r="I4876" t="str">
        <f t="shared" si="228"/>
        <v>YES</v>
      </c>
      <c r="J4876">
        <f>Cleaned_Data!J4876</f>
        <v>4</v>
      </c>
      <c r="K4876" t="str">
        <f t="shared" si="229"/>
        <v>2024-01</v>
      </c>
      <c r="L4876">
        <f t="shared" si="230"/>
        <v>0</v>
      </c>
    </row>
    <row r="4877" spans="1:12">
      <c r="A4877" t="s">
        <v>14122</v>
      </c>
      <c r="B4877" t="s">
        <v>14123</v>
      </c>
      <c r="C4877" t="s">
        <v>14124</v>
      </c>
      <c r="D4877" t="s">
        <v>23</v>
      </c>
      <c r="E4877" t="s">
        <v>24</v>
      </c>
      <c r="F4877" t="s">
        <v>60</v>
      </c>
      <c r="G4877" t="s">
        <v>31</v>
      </c>
      <c r="H4877">
        <f>Cleaned_Data!K4877</f>
        <v>21.9</v>
      </c>
      <c r="I4877" t="str">
        <f t="shared" si="228"/>
        <v>YES</v>
      </c>
      <c r="J4877">
        <f>Cleaned_Data!J4877</f>
        <v>24</v>
      </c>
      <c r="K4877" t="str">
        <f t="shared" si="229"/>
        <v>2024-12</v>
      </c>
      <c r="L4877">
        <f t="shared" si="230"/>
        <v>0</v>
      </c>
    </row>
    <row r="4878" spans="1:12">
      <c r="A4878" t="s">
        <v>14125</v>
      </c>
      <c r="B4878" t="s">
        <v>14126</v>
      </c>
      <c r="C4878" t="s">
        <v>14127</v>
      </c>
      <c r="D4878" t="s">
        <v>35</v>
      </c>
      <c r="E4878" t="s">
        <v>24</v>
      </c>
      <c r="F4878" t="s">
        <v>60</v>
      </c>
      <c r="G4878" t="s">
        <v>19</v>
      </c>
      <c r="H4878">
        <f>Cleaned_Data!K4878</f>
        <v>20.77</v>
      </c>
      <c r="I4878" t="str">
        <f t="shared" si="228"/>
        <v>YES</v>
      </c>
      <c r="J4878">
        <f>Cleaned_Data!J4878</f>
        <v>48</v>
      </c>
      <c r="K4878" t="str">
        <f t="shared" si="229"/>
        <v>2024-06</v>
      </c>
      <c r="L4878">
        <f t="shared" si="230"/>
        <v>0</v>
      </c>
    </row>
    <row r="4879" spans="1:12">
      <c r="A4879" t="s">
        <v>14128</v>
      </c>
      <c r="B4879" t="s">
        <v>14129</v>
      </c>
      <c r="D4879" t="s">
        <v>35</v>
      </c>
      <c r="E4879" t="s">
        <v>24</v>
      </c>
      <c r="F4879" t="s">
        <v>36</v>
      </c>
      <c r="G4879" t="s">
        <v>63</v>
      </c>
      <c r="H4879">
        <f>Cleaned_Data!K4879</f>
        <v>0</v>
      </c>
      <c r="I4879" t="str">
        <f t="shared" si="228"/>
        <v/>
      </c>
      <c r="J4879">
        <f>Cleaned_Data!J4879</f>
        <v>48</v>
      </c>
      <c r="K4879" t="str">
        <f t="shared" si="229"/>
        <v>2024-09</v>
      </c>
      <c r="L4879">
        <f t="shared" si="230"/>
        <v>0</v>
      </c>
    </row>
    <row r="4880" spans="1:12">
      <c r="A4880" t="s">
        <v>14130</v>
      </c>
      <c r="B4880" t="s">
        <v>14131</v>
      </c>
      <c r="D4880" t="s">
        <v>35</v>
      </c>
      <c r="E4880" t="s">
        <v>16</v>
      </c>
      <c r="F4880" t="s">
        <v>41</v>
      </c>
      <c r="G4880" t="s">
        <v>63</v>
      </c>
      <c r="H4880">
        <f>Cleaned_Data!K4880</f>
        <v>0</v>
      </c>
      <c r="I4880" t="str">
        <f t="shared" si="228"/>
        <v/>
      </c>
      <c r="J4880">
        <f>Cleaned_Data!J4880</f>
        <v>48</v>
      </c>
      <c r="K4880" t="str">
        <f t="shared" si="229"/>
        <v>2024-07</v>
      </c>
      <c r="L4880">
        <f t="shared" si="230"/>
        <v>0</v>
      </c>
    </row>
    <row r="4881" spans="1:12">
      <c r="A4881" t="s">
        <v>14132</v>
      </c>
      <c r="B4881" t="s">
        <v>14133</v>
      </c>
      <c r="C4881" t="s">
        <v>14134</v>
      </c>
      <c r="D4881" t="s">
        <v>15</v>
      </c>
      <c r="E4881" t="s">
        <v>24</v>
      </c>
      <c r="F4881" t="s">
        <v>60</v>
      </c>
      <c r="G4881" t="s">
        <v>31</v>
      </c>
      <c r="H4881">
        <f>Cleaned_Data!K4881</f>
        <v>8.81</v>
      </c>
      <c r="I4881" t="str">
        <f t="shared" si="228"/>
        <v>NO</v>
      </c>
      <c r="J4881">
        <f>Cleaned_Data!J4881</f>
        <v>8</v>
      </c>
      <c r="K4881" t="str">
        <f t="shared" si="229"/>
        <v>2024-10</v>
      </c>
      <c r="L4881">
        <f t="shared" si="230"/>
        <v>0.8100000000000005</v>
      </c>
    </row>
    <row r="4882" spans="1:12">
      <c r="A4882" t="s">
        <v>14135</v>
      </c>
      <c r="B4882" t="s">
        <v>14136</v>
      </c>
      <c r="C4882" t="s">
        <v>14137</v>
      </c>
      <c r="D4882" t="s">
        <v>23</v>
      </c>
      <c r="E4882" t="s">
        <v>54</v>
      </c>
      <c r="F4882" t="s">
        <v>17</v>
      </c>
      <c r="G4882" t="s">
        <v>31</v>
      </c>
      <c r="H4882">
        <f>Cleaned_Data!K4882</f>
        <v>15.3</v>
      </c>
      <c r="I4882" t="str">
        <f t="shared" si="228"/>
        <v>YES</v>
      </c>
      <c r="J4882">
        <f>Cleaned_Data!J4882</f>
        <v>24</v>
      </c>
      <c r="K4882" t="str">
        <f t="shared" si="229"/>
        <v>2024-11</v>
      </c>
      <c r="L4882">
        <f t="shared" si="230"/>
        <v>0</v>
      </c>
    </row>
    <row r="4883" spans="1:12">
      <c r="A4883" t="s">
        <v>14138</v>
      </c>
      <c r="B4883" t="s">
        <v>14139</v>
      </c>
      <c r="C4883" t="s">
        <v>14140</v>
      </c>
      <c r="D4883" t="s">
        <v>15</v>
      </c>
      <c r="E4883" t="s">
        <v>28</v>
      </c>
      <c r="F4883" t="s">
        <v>29</v>
      </c>
      <c r="G4883" t="s">
        <v>19</v>
      </c>
      <c r="H4883">
        <f>Cleaned_Data!K4883</f>
        <v>4.43</v>
      </c>
      <c r="I4883" t="str">
        <f t="shared" si="228"/>
        <v>YES</v>
      </c>
      <c r="J4883">
        <f>Cleaned_Data!J4883</f>
        <v>8</v>
      </c>
      <c r="K4883" t="str">
        <f t="shared" si="229"/>
        <v>2024-12</v>
      </c>
      <c r="L4883">
        <f t="shared" si="230"/>
        <v>0</v>
      </c>
    </row>
    <row r="4884" spans="1:12">
      <c r="A4884" t="s">
        <v>14141</v>
      </c>
      <c r="B4884" t="s">
        <v>14142</v>
      </c>
      <c r="C4884" t="s">
        <v>14143</v>
      </c>
      <c r="D4884" t="s">
        <v>158</v>
      </c>
      <c r="E4884" t="s">
        <v>24</v>
      </c>
      <c r="F4884" t="s">
        <v>17</v>
      </c>
      <c r="G4884" t="s">
        <v>19</v>
      </c>
      <c r="H4884">
        <f>Cleaned_Data!K4884</f>
        <v>0.99</v>
      </c>
      <c r="I4884" t="str">
        <f t="shared" si="228"/>
        <v>YES</v>
      </c>
      <c r="J4884">
        <f>Cleaned_Data!J4884</f>
        <v>4</v>
      </c>
      <c r="K4884" t="str">
        <f t="shared" si="229"/>
        <v>2024-03</v>
      </c>
      <c r="L4884">
        <f t="shared" si="230"/>
        <v>0</v>
      </c>
    </row>
    <row r="4885" spans="1:12">
      <c r="A4885" t="s">
        <v>14144</v>
      </c>
      <c r="B4885" t="s">
        <v>14145</v>
      </c>
      <c r="C4885" t="s">
        <v>14146</v>
      </c>
      <c r="D4885" t="s">
        <v>15</v>
      </c>
      <c r="E4885" t="s">
        <v>24</v>
      </c>
      <c r="F4885" t="s">
        <v>41</v>
      </c>
      <c r="G4885" t="s">
        <v>31</v>
      </c>
      <c r="H4885">
        <f>Cleaned_Data!K4885</f>
        <v>13.52</v>
      </c>
      <c r="I4885" t="str">
        <f t="shared" si="228"/>
        <v>NO</v>
      </c>
      <c r="J4885">
        <f>Cleaned_Data!J4885</f>
        <v>8</v>
      </c>
      <c r="K4885" t="str">
        <f t="shared" si="229"/>
        <v>2024-11</v>
      </c>
      <c r="L4885">
        <f t="shared" si="230"/>
        <v>5.52</v>
      </c>
    </row>
    <row r="4886" spans="1:12">
      <c r="A4886" t="s">
        <v>14147</v>
      </c>
      <c r="B4886" t="s">
        <v>14148</v>
      </c>
      <c r="C4886" t="s">
        <v>14149</v>
      </c>
      <c r="D4886" t="s">
        <v>23</v>
      </c>
      <c r="E4886" t="s">
        <v>16</v>
      </c>
      <c r="F4886" t="s">
        <v>17</v>
      </c>
      <c r="G4886" t="s">
        <v>31</v>
      </c>
      <c r="H4886">
        <f>Cleaned_Data!K4886</f>
        <v>39.04</v>
      </c>
      <c r="I4886" t="str">
        <f t="shared" si="228"/>
        <v>NO</v>
      </c>
      <c r="J4886">
        <f>Cleaned_Data!J4886</f>
        <v>24</v>
      </c>
      <c r="K4886" t="str">
        <f t="shared" si="229"/>
        <v>2024-04</v>
      </c>
      <c r="L4886">
        <f t="shared" si="230"/>
        <v>15.04</v>
      </c>
    </row>
    <row r="4887" spans="1:12">
      <c r="A4887" t="s">
        <v>14150</v>
      </c>
      <c r="B4887" t="s">
        <v>14151</v>
      </c>
      <c r="C4887" t="s">
        <v>14152</v>
      </c>
      <c r="D4887" t="s">
        <v>15</v>
      </c>
      <c r="E4887" t="s">
        <v>54</v>
      </c>
      <c r="F4887" t="s">
        <v>60</v>
      </c>
      <c r="G4887" t="s">
        <v>19</v>
      </c>
      <c r="H4887">
        <f>Cleaned_Data!K4887</f>
        <v>4.88</v>
      </c>
      <c r="I4887" t="str">
        <f t="shared" si="228"/>
        <v>YES</v>
      </c>
      <c r="J4887">
        <f>Cleaned_Data!J4887</f>
        <v>8</v>
      </c>
      <c r="K4887" t="str">
        <f t="shared" si="229"/>
        <v>2024-05</v>
      </c>
      <c r="L4887">
        <f t="shared" si="230"/>
        <v>0</v>
      </c>
    </row>
    <row r="4888" spans="1:12">
      <c r="A4888" t="s">
        <v>14153</v>
      </c>
      <c r="B4888" t="s">
        <v>14154</v>
      </c>
      <c r="C4888" t="s">
        <v>14155</v>
      </c>
      <c r="D4888" t="s">
        <v>158</v>
      </c>
      <c r="E4888" t="s">
        <v>16</v>
      </c>
      <c r="F4888" t="s">
        <v>60</v>
      </c>
      <c r="G4888" t="s">
        <v>31</v>
      </c>
      <c r="H4888">
        <f>Cleaned_Data!K4888</f>
        <v>1.86</v>
      </c>
      <c r="I4888" t="str">
        <f t="shared" si="228"/>
        <v>YES</v>
      </c>
      <c r="J4888">
        <f>Cleaned_Data!J4888</f>
        <v>4</v>
      </c>
      <c r="K4888" t="str">
        <f t="shared" si="229"/>
        <v>2024-01</v>
      </c>
      <c r="L4888">
        <f t="shared" si="230"/>
        <v>0</v>
      </c>
    </row>
    <row r="4889" spans="1:12">
      <c r="A4889" t="s">
        <v>14156</v>
      </c>
      <c r="B4889" t="s">
        <v>14157</v>
      </c>
      <c r="D4889" t="s">
        <v>35</v>
      </c>
      <c r="E4889" t="s">
        <v>28</v>
      </c>
      <c r="F4889" t="s">
        <v>29</v>
      </c>
      <c r="G4889" t="s">
        <v>46</v>
      </c>
      <c r="H4889">
        <f>Cleaned_Data!K4889</f>
        <v>0</v>
      </c>
      <c r="I4889" t="str">
        <f t="shared" si="228"/>
        <v/>
      </c>
      <c r="J4889">
        <f>Cleaned_Data!J4889</f>
        <v>48</v>
      </c>
      <c r="K4889" t="str">
        <f t="shared" si="229"/>
        <v>2024-08</v>
      </c>
      <c r="L4889">
        <f t="shared" si="230"/>
        <v>0</v>
      </c>
    </row>
    <row r="4890" spans="1:12">
      <c r="A4890" t="s">
        <v>14158</v>
      </c>
      <c r="B4890" t="s">
        <v>14159</v>
      </c>
      <c r="C4890" t="s">
        <v>14160</v>
      </c>
      <c r="D4890" t="s">
        <v>23</v>
      </c>
      <c r="E4890" t="s">
        <v>24</v>
      </c>
      <c r="F4890" t="s">
        <v>29</v>
      </c>
      <c r="G4890" t="s">
        <v>19</v>
      </c>
      <c r="H4890">
        <f>Cleaned_Data!K4890</f>
        <v>3.19</v>
      </c>
      <c r="I4890" t="str">
        <f t="shared" si="228"/>
        <v>YES</v>
      </c>
      <c r="J4890">
        <f>Cleaned_Data!J4890</f>
        <v>24</v>
      </c>
      <c r="K4890" t="str">
        <f t="shared" si="229"/>
        <v>2024-09</v>
      </c>
      <c r="L4890">
        <f t="shared" si="230"/>
        <v>0</v>
      </c>
    </row>
    <row r="4891" spans="1:12">
      <c r="A4891" t="s">
        <v>14161</v>
      </c>
      <c r="B4891" t="s">
        <v>14162</v>
      </c>
      <c r="C4891" t="s">
        <v>14163</v>
      </c>
      <c r="D4891" t="s">
        <v>23</v>
      </c>
      <c r="E4891" t="s">
        <v>59</v>
      </c>
      <c r="F4891" t="s">
        <v>60</v>
      </c>
      <c r="G4891" t="s">
        <v>19</v>
      </c>
      <c r="H4891">
        <f>Cleaned_Data!K4891</f>
        <v>11.45</v>
      </c>
      <c r="I4891" t="str">
        <f t="shared" si="228"/>
        <v>YES</v>
      </c>
      <c r="J4891">
        <f>Cleaned_Data!J4891</f>
        <v>24</v>
      </c>
      <c r="K4891" t="str">
        <f t="shared" si="229"/>
        <v>2024-07</v>
      </c>
      <c r="L4891">
        <f t="shared" si="230"/>
        <v>0</v>
      </c>
    </row>
    <row r="4892" spans="1:12">
      <c r="A4892" t="s">
        <v>14164</v>
      </c>
      <c r="B4892" t="s">
        <v>14165</v>
      </c>
      <c r="C4892" t="s">
        <v>14166</v>
      </c>
      <c r="D4892" t="s">
        <v>35</v>
      </c>
      <c r="E4892" t="s">
        <v>16</v>
      </c>
      <c r="F4892" t="s">
        <v>29</v>
      </c>
      <c r="G4892" t="s">
        <v>31</v>
      </c>
      <c r="H4892">
        <f>Cleaned_Data!K4892</f>
        <v>12.67</v>
      </c>
      <c r="I4892" t="str">
        <f t="shared" si="228"/>
        <v>YES</v>
      </c>
      <c r="J4892">
        <f>Cleaned_Data!J4892</f>
        <v>48</v>
      </c>
      <c r="K4892" t="str">
        <f t="shared" si="229"/>
        <v>2024-09</v>
      </c>
      <c r="L4892">
        <f t="shared" si="230"/>
        <v>0</v>
      </c>
    </row>
    <row r="4893" spans="1:12">
      <c r="A4893" t="s">
        <v>14167</v>
      </c>
      <c r="B4893" t="s">
        <v>14168</v>
      </c>
      <c r="C4893" t="s">
        <v>14169</v>
      </c>
      <c r="D4893" t="s">
        <v>23</v>
      </c>
      <c r="E4893" t="s">
        <v>54</v>
      </c>
      <c r="F4893" t="s">
        <v>60</v>
      </c>
      <c r="G4893" t="s">
        <v>19</v>
      </c>
      <c r="H4893">
        <f>Cleaned_Data!K4893</f>
        <v>4.0999999999999996</v>
      </c>
      <c r="I4893" t="str">
        <f t="shared" si="228"/>
        <v>YES</v>
      </c>
      <c r="J4893">
        <f>Cleaned_Data!J4893</f>
        <v>24</v>
      </c>
      <c r="K4893" t="str">
        <f t="shared" si="229"/>
        <v>2024-11</v>
      </c>
      <c r="L4893">
        <f t="shared" si="230"/>
        <v>0</v>
      </c>
    </row>
    <row r="4894" spans="1:12">
      <c r="A4894" t="s">
        <v>14170</v>
      </c>
      <c r="B4894" t="s">
        <v>14171</v>
      </c>
      <c r="C4894" t="s">
        <v>14172</v>
      </c>
      <c r="D4894" t="s">
        <v>35</v>
      </c>
      <c r="E4894" t="s">
        <v>54</v>
      </c>
      <c r="F4894" t="s">
        <v>17</v>
      </c>
      <c r="G4894" t="s">
        <v>19</v>
      </c>
      <c r="H4894">
        <f>Cleaned_Data!K4894</f>
        <v>91.1</v>
      </c>
      <c r="I4894" t="str">
        <f t="shared" si="228"/>
        <v>NO</v>
      </c>
      <c r="J4894">
        <f>Cleaned_Data!J4894</f>
        <v>48</v>
      </c>
      <c r="K4894" t="str">
        <f t="shared" si="229"/>
        <v>2024-02</v>
      </c>
      <c r="L4894">
        <f t="shared" si="230"/>
        <v>43.099999999999994</v>
      </c>
    </row>
    <row r="4895" spans="1:12">
      <c r="A4895" t="s">
        <v>14173</v>
      </c>
      <c r="B4895" t="s">
        <v>14174</v>
      </c>
      <c r="C4895" t="s">
        <v>14175</v>
      </c>
      <c r="D4895" t="s">
        <v>35</v>
      </c>
      <c r="E4895" t="s">
        <v>24</v>
      </c>
      <c r="F4895" t="s">
        <v>60</v>
      </c>
      <c r="G4895" t="s">
        <v>19</v>
      </c>
      <c r="H4895">
        <f>Cleaned_Data!K4895</f>
        <v>16.07</v>
      </c>
      <c r="I4895" t="str">
        <f t="shared" si="228"/>
        <v>YES</v>
      </c>
      <c r="J4895">
        <f>Cleaned_Data!J4895</f>
        <v>48</v>
      </c>
      <c r="K4895" t="str">
        <f t="shared" si="229"/>
        <v>2024-11</v>
      </c>
      <c r="L4895">
        <f t="shared" si="230"/>
        <v>0</v>
      </c>
    </row>
    <row r="4896" spans="1:12">
      <c r="A4896" t="s">
        <v>14176</v>
      </c>
      <c r="B4896" t="s">
        <v>14177</v>
      </c>
      <c r="C4896" t="s">
        <v>14178</v>
      </c>
      <c r="D4896" t="s">
        <v>35</v>
      </c>
      <c r="E4896" t="s">
        <v>28</v>
      </c>
      <c r="F4896" t="s">
        <v>36</v>
      </c>
      <c r="G4896" t="s">
        <v>19</v>
      </c>
      <c r="H4896">
        <f>Cleaned_Data!K4896</f>
        <v>27.23</v>
      </c>
      <c r="I4896" t="str">
        <f t="shared" si="228"/>
        <v>YES</v>
      </c>
      <c r="J4896">
        <f>Cleaned_Data!J4896</f>
        <v>48</v>
      </c>
      <c r="K4896" t="str">
        <f t="shared" si="229"/>
        <v>2024-06</v>
      </c>
      <c r="L4896">
        <f t="shared" si="230"/>
        <v>0</v>
      </c>
    </row>
    <row r="4897" spans="1:12">
      <c r="A4897" t="s">
        <v>14179</v>
      </c>
      <c r="B4897" t="s">
        <v>14180</v>
      </c>
      <c r="C4897" t="s">
        <v>14181</v>
      </c>
      <c r="D4897" t="s">
        <v>158</v>
      </c>
      <c r="E4897" t="s">
        <v>28</v>
      </c>
      <c r="F4897" t="s">
        <v>41</v>
      </c>
      <c r="G4897" t="s">
        <v>31</v>
      </c>
      <c r="H4897">
        <f>Cleaned_Data!K4897</f>
        <v>1.48</v>
      </c>
      <c r="I4897" t="str">
        <f t="shared" si="228"/>
        <v>YES</v>
      </c>
      <c r="J4897">
        <f>Cleaned_Data!J4897</f>
        <v>4</v>
      </c>
      <c r="K4897" t="str">
        <f t="shared" si="229"/>
        <v>2024-02</v>
      </c>
      <c r="L4897">
        <f t="shared" si="230"/>
        <v>0</v>
      </c>
    </row>
    <row r="4898" spans="1:12">
      <c r="A4898" t="s">
        <v>14182</v>
      </c>
      <c r="B4898" t="s">
        <v>14183</v>
      </c>
      <c r="C4898" t="s">
        <v>14184</v>
      </c>
      <c r="D4898" t="s">
        <v>158</v>
      </c>
      <c r="E4898" t="s">
        <v>16</v>
      </c>
      <c r="F4898" t="s">
        <v>60</v>
      </c>
      <c r="G4898" t="s">
        <v>31</v>
      </c>
      <c r="H4898">
        <f>Cleaned_Data!K4898</f>
        <v>2.2799999999999998</v>
      </c>
      <c r="I4898" t="str">
        <f t="shared" si="228"/>
        <v>YES</v>
      </c>
      <c r="J4898">
        <f>Cleaned_Data!J4898</f>
        <v>4</v>
      </c>
      <c r="K4898" t="str">
        <f t="shared" si="229"/>
        <v>2024-04</v>
      </c>
      <c r="L4898">
        <f t="shared" si="230"/>
        <v>0</v>
      </c>
    </row>
    <row r="4899" spans="1:12">
      <c r="A4899" t="s">
        <v>14185</v>
      </c>
      <c r="B4899" t="s">
        <v>14186</v>
      </c>
      <c r="C4899" t="s">
        <v>14187</v>
      </c>
      <c r="D4899" t="s">
        <v>158</v>
      </c>
      <c r="E4899" t="s">
        <v>16</v>
      </c>
      <c r="F4899" t="s">
        <v>29</v>
      </c>
      <c r="G4899" t="s">
        <v>31</v>
      </c>
      <c r="H4899">
        <f>Cleaned_Data!K4899</f>
        <v>1.19</v>
      </c>
      <c r="I4899" t="str">
        <f t="shared" si="228"/>
        <v>YES</v>
      </c>
      <c r="J4899">
        <f>Cleaned_Data!J4899</f>
        <v>4</v>
      </c>
      <c r="K4899" t="str">
        <f t="shared" si="229"/>
        <v>2024-10</v>
      </c>
      <c r="L4899">
        <f t="shared" si="230"/>
        <v>0</v>
      </c>
    </row>
    <row r="4900" spans="1:12">
      <c r="A4900" t="s">
        <v>14188</v>
      </c>
      <c r="B4900" t="s">
        <v>14189</v>
      </c>
      <c r="C4900" t="s">
        <v>14190</v>
      </c>
      <c r="D4900" t="s">
        <v>23</v>
      </c>
      <c r="E4900" t="s">
        <v>28</v>
      </c>
      <c r="F4900" t="s">
        <v>60</v>
      </c>
      <c r="G4900" t="s">
        <v>19</v>
      </c>
      <c r="H4900">
        <f>Cleaned_Data!K4900</f>
        <v>7.27</v>
      </c>
      <c r="I4900" t="str">
        <f t="shared" si="228"/>
        <v>YES</v>
      </c>
      <c r="J4900">
        <f>Cleaned_Data!J4900</f>
        <v>24</v>
      </c>
      <c r="K4900" t="str">
        <f t="shared" si="229"/>
        <v>2024-11</v>
      </c>
      <c r="L4900">
        <f t="shared" si="230"/>
        <v>0</v>
      </c>
    </row>
    <row r="4901" spans="1:12">
      <c r="A4901" t="s">
        <v>14191</v>
      </c>
      <c r="B4901" t="s">
        <v>14192</v>
      </c>
      <c r="C4901" t="s">
        <v>14193</v>
      </c>
      <c r="D4901" t="s">
        <v>15</v>
      </c>
      <c r="E4901" t="s">
        <v>59</v>
      </c>
      <c r="F4901" t="s">
        <v>17</v>
      </c>
      <c r="G4901" t="s">
        <v>19</v>
      </c>
      <c r="H4901">
        <f>Cleaned_Data!K4901</f>
        <v>16.62</v>
      </c>
      <c r="I4901" t="str">
        <f t="shared" si="228"/>
        <v>NO</v>
      </c>
      <c r="J4901">
        <f>Cleaned_Data!J4901</f>
        <v>8</v>
      </c>
      <c r="K4901" t="str">
        <f t="shared" si="229"/>
        <v>2024-02</v>
      </c>
      <c r="L4901">
        <f t="shared" si="230"/>
        <v>8.620000000000001</v>
      </c>
    </row>
    <row r="4902" spans="1:12">
      <c r="A4902" t="s">
        <v>14194</v>
      </c>
      <c r="B4902" t="s">
        <v>14195</v>
      </c>
      <c r="C4902" t="s">
        <v>14196</v>
      </c>
      <c r="D4902" t="s">
        <v>35</v>
      </c>
      <c r="E4902" t="s">
        <v>24</v>
      </c>
      <c r="F4902" t="s">
        <v>41</v>
      </c>
      <c r="G4902" t="s">
        <v>31</v>
      </c>
      <c r="H4902">
        <f>Cleaned_Data!K4902</f>
        <v>16.829999999999998</v>
      </c>
      <c r="I4902" t="str">
        <f t="shared" si="228"/>
        <v>YES</v>
      </c>
      <c r="J4902">
        <f>Cleaned_Data!J4902</f>
        <v>48</v>
      </c>
      <c r="K4902" t="str">
        <f t="shared" si="229"/>
        <v>2024-07</v>
      </c>
      <c r="L4902">
        <f t="shared" si="230"/>
        <v>0</v>
      </c>
    </row>
    <row r="4903" spans="1:12">
      <c r="A4903" t="s">
        <v>14197</v>
      </c>
      <c r="B4903" t="s">
        <v>14198</v>
      </c>
      <c r="C4903" t="s">
        <v>14199</v>
      </c>
      <c r="D4903" t="s">
        <v>23</v>
      </c>
      <c r="E4903" t="s">
        <v>28</v>
      </c>
      <c r="F4903" t="s">
        <v>41</v>
      </c>
      <c r="G4903" t="s">
        <v>19</v>
      </c>
      <c r="H4903">
        <f>Cleaned_Data!K4903</f>
        <v>3.29</v>
      </c>
      <c r="I4903" t="str">
        <f t="shared" si="228"/>
        <v>YES</v>
      </c>
      <c r="J4903">
        <f>Cleaned_Data!J4903</f>
        <v>24</v>
      </c>
      <c r="K4903" t="str">
        <f t="shared" si="229"/>
        <v>2024-03</v>
      </c>
      <c r="L4903">
        <f t="shared" si="230"/>
        <v>0</v>
      </c>
    </row>
    <row r="4904" spans="1:12">
      <c r="A4904" t="s">
        <v>14200</v>
      </c>
      <c r="B4904" t="s">
        <v>14201</v>
      </c>
      <c r="C4904" t="s">
        <v>14202</v>
      </c>
      <c r="D4904" t="s">
        <v>15</v>
      </c>
      <c r="E4904" t="s">
        <v>54</v>
      </c>
      <c r="F4904" t="s">
        <v>41</v>
      </c>
      <c r="G4904" t="s">
        <v>31</v>
      </c>
      <c r="H4904">
        <f>Cleaned_Data!K4904</f>
        <v>6.48</v>
      </c>
      <c r="I4904" t="str">
        <f t="shared" si="228"/>
        <v>YES</v>
      </c>
      <c r="J4904">
        <f>Cleaned_Data!J4904</f>
        <v>8</v>
      </c>
      <c r="K4904" t="str">
        <f t="shared" si="229"/>
        <v>2024-07</v>
      </c>
      <c r="L4904">
        <f t="shared" si="230"/>
        <v>0</v>
      </c>
    </row>
    <row r="4905" spans="1:12">
      <c r="A4905" t="s">
        <v>14203</v>
      </c>
      <c r="B4905" t="s">
        <v>14204</v>
      </c>
      <c r="C4905" t="s">
        <v>14205</v>
      </c>
      <c r="D4905" t="s">
        <v>23</v>
      </c>
      <c r="E4905" t="s">
        <v>24</v>
      </c>
      <c r="F4905" t="s">
        <v>36</v>
      </c>
      <c r="G4905" t="s">
        <v>19</v>
      </c>
      <c r="H4905">
        <f>Cleaned_Data!K4905</f>
        <v>49.66</v>
      </c>
      <c r="I4905" t="str">
        <f t="shared" si="228"/>
        <v>NO</v>
      </c>
      <c r="J4905">
        <f>Cleaned_Data!J4905</f>
        <v>24</v>
      </c>
      <c r="K4905" t="str">
        <f t="shared" si="229"/>
        <v>2024-09</v>
      </c>
      <c r="L4905">
        <f t="shared" si="230"/>
        <v>25.659999999999997</v>
      </c>
    </row>
    <row r="4906" spans="1:12">
      <c r="A4906" t="s">
        <v>14206</v>
      </c>
      <c r="B4906" t="s">
        <v>14207</v>
      </c>
      <c r="C4906" t="s">
        <v>14208</v>
      </c>
      <c r="D4906" t="s">
        <v>35</v>
      </c>
      <c r="E4906" t="s">
        <v>54</v>
      </c>
      <c r="F4906" t="s">
        <v>36</v>
      </c>
      <c r="G4906" t="s">
        <v>31</v>
      </c>
      <c r="H4906">
        <f>Cleaned_Data!K4906</f>
        <v>14.97</v>
      </c>
      <c r="I4906" t="str">
        <f t="shared" si="228"/>
        <v>YES</v>
      </c>
      <c r="J4906">
        <f>Cleaned_Data!J4906</f>
        <v>48</v>
      </c>
      <c r="K4906" t="str">
        <f t="shared" si="229"/>
        <v>2024-11</v>
      </c>
      <c r="L4906">
        <f t="shared" si="230"/>
        <v>0</v>
      </c>
    </row>
    <row r="4907" spans="1:12">
      <c r="A4907" t="s">
        <v>14209</v>
      </c>
      <c r="B4907" t="s">
        <v>14210</v>
      </c>
      <c r="C4907" t="s">
        <v>14211</v>
      </c>
      <c r="D4907" t="s">
        <v>15</v>
      </c>
      <c r="E4907" t="s">
        <v>59</v>
      </c>
      <c r="F4907" t="s">
        <v>36</v>
      </c>
      <c r="G4907" t="s">
        <v>19</v>
      </c>
      <c r="H4907">
        <f>Cleaned_Data!K4907</f>
        <v>1.59</v>
      </c>
      <c r="I4907" t="str">
        <f t="shared" si="228"/>
        <v>YES</v>
      </c>
      <c r="J4907">
        <f>Cleaned_Data!J4907</f>
        <v>8</v>
      </c>
      <c r="K4907" t="str">
        <f t="shared" si="229"/>
        <v>2024-02</v>
      </c>
      <c r="L4907">
        <f t="shared" si="230"/>
        <v>0</v>
      </c>
    </row>
    <row r="4908" spans="1:12">
      <c r="A4908" t="s">
        <v>14212</v>
      </c>
      <c r="B4908" t="s">
        <v>14213</v>
      </c>
      <c r="C4908" t="s">
        <v>14214</v>
      </c>
      <c r="D4908" t="s">
        <v>23</v>
      </c>
      <c r="E4908" t="s">
        <v>59</v>
      </c>
      <c r="F4908" t="s">
        <v>29</v>
      </c>
      <c r="G4908" t="s">
        <v>19</v>
      </c>
      <c r="H4908">
        <f>Cleaned_Data!K4908</f>
        <v>16.12</v>
      </c>
      <c r="I4908" t="str">
        <f t="shared" si="228"/>
        <v>YES</v>
      </c>
      <c r="J4908">
        <f>Cleaned_Data!J4908</f>
        <v>24</v>
      </c>
      <c r="K4908" t="str">
        <f t="shared" si="229"/>
        <v>2024-11</v>
      </c>
      <c r="L4908">
        <f t="shared" si="230"/>
        <v>0</v>
      </c>
    </row>
    <row r="4909" spans="1:12">
      <c r="A4909" t="s">
        <v>14215</v>
      </c>
      <c r="B4909" t="s">
        <v>14216</v>
      </c>
      <c r="C4909" t="s">
        <v>14217</v>
      </c>
      <c r="D4909" t="s">
        <v>35</v>
      </c>
      <c r="E4909" t="s">
        <v>28</v>
      </c>
      <c r="F4909" t="s">
        <v>29</v>
      </c>
      <c r="G4909" t="s">
        <v>31</v>
      </c>
      <c r="H4909">
        <f>Cleaned_Data!K4909</f>
        <v>114.27</v>
      </c>
      <c r="I4909" t="str">
        <f t="shared" si="228"/>
        <v>NO</v>
      </c>
      <c r="J4909">
        <f>Cleaned_Data!J4909</f>
        <v>48</v>
      </c>
      <c r="K4909" t="str">
        <f t="shared" si="229"/>
        <v>2024-01</v>
      </c>
      <c r="L4909">
        <f t="shared" si="230"/>
        <v>66.27</v>
      </c>
    </row>
    <row r="4910" spans="1:12">
      <c r="A4910" t="s">
        <v>14218</v>
      </c>
      <c r="B4910" t="s">
        <v>14219</v>
      </c>
      <c r="C4910" t="s">
        <v>14220</v>
      </c>
      <c r="D4910" t="s">
        <v>15</v>
      </c>
      <c r="E4910" t="s">
        <v>59</v>
      </c>
      <c r="F4910" t="s">
        <v>36</v>
      </c>
      <c r="G4910" t="s">
        <v>19</v>
      </c>
      <c r="H4910">
        <f>Cleaned_Data!K4910</f>
        <v>0.83</v>
      </c>
      <c r="I4910" t="str">
        <f t="shared" si="228"/>
        <v>YES</v>
      </c>
      <c r="J4910">
        <f>Cleaned_Data!J4910</f>
        <v>8</v>
      </c>
      <c r="K4910" t="str">
        <f t="shared" si="229"/>
        <v>2024-05</v>
      </c>
      <c r="L4910">
        <f t="shared" si="230"/>
        <v>0</v>
      </c>
    </row>
    <row r="4911" spans="1:12">
      <c r="A4911" t="s">
        <v>14221</v>
      </c>
      <c r="B4911" t="s">
        <v>14222</v>
      </c>
      <c r="C4911" t="s">
        <v>14223</v>
      </c>
      <c r="D4911" t="s">
        <v>15</v>
      </c>
      <c r="E4911" t="s">
        <v>59</v>
      </c>
      <c r="F4911" t="s">
        <v>36</v>
      </c>
      <c r="G4911" t="s">
        <v>19</v>
      </c>
      <c r="H4911">
        <f>Cleaned_Data!K4911</f>
        <v>15.6</v>
      </c>
      <c r="I4911" t="str">
        <f t="shared" si="228"/>
        <v>NO</v>
      </c>
      <c r="J4911">
        <f>Cleaned_Data!J4911</f>
        <v>8</v>
      </c>
      <c r="K4911" t="str">
        <f t="shared" si="229"/>
        <v>2024-12</v>
      </c>
      <c r="L4911">
        <f t="shared" si="230"/>
        <v>7.6</v>
      </c>
    </row>
    <row r="4912" spans="1:12">
      <c r="A4912" t="s">
        <v>14224</v>
      </c>
      <c r="B4912" t="s">
        <v>14225</v>
      </c>
      <c r="C4912" t="s">
        <v>14226</v>
      </c>
      <c r="D4912" t="s">
        <v>23</v>
      </c>
      <c r="E4912" t="s">
        <v>24</v>
      </c>
      <c r="F4912" t="s">
        <v>36</v>
      </c>
      <c r="G4912" t="s">
        <v>19</v>
      </c>
      <c r="H4912">
        <f>Cleaned_Data!K4912</f>
        <v>6.92</v>
      </c>
      <c r="I4912" t="str">
        <f t="shared" si="228"/>
        <v>YES</v>
      </c>
      <c r="J4912">
        <f>Cleaned_Data!J4912</f>
        <v>24</v>
      </c>
      <c r="K4912" t="str">
        <f t="shared" si="229"/>
        <v>2024-03</v>
      </c>
      <c r="L4912">
        <f t="shared" si="230"/>
        <v>0</v>
      </c>
    </row>
    <row r="4913" spans="1:12">
      <c r="A4913" t="s">
        <v>14227</v>
      </c>
      <c r="B4913" t="s">
        <v>14228</v>
      </c>
      <c r="C4913" t="s">
        <v>14229</v>
      </c>
      <c r="D4913" t="s">
        <v>23</v>
      </c>
      <c r="E4913" t="s">
        <v>54</v>
      </c>
      <c r="F4913" t="s">
        <v>41</v>
      </c>
      <c r="G4913" t="s">
        <v>19</v>
      </c>
      <c r="H4913">
        <f>Cleaned_Data!K4913</f>
        <v>8.8800000000000008</v>
      </c>
      <c r="I4913" t="str">
        <f t="shared" si="228"/>
        <v>YES</v>
      </c>
      <c r="J4913">
        <f>Cleaned_Data!J4913</f>
        <v>24</v>
      </c>
      <c r="K4913" t="str">
        <f t="shared" si="229"/>
        <v>2024-07</v>
      </c>
      <c r="L4913">
        <f t="shared" si="230"/>
        <v>0</v>
      </c>
    </row>
    <row r="4914" spans="1:12">
      <c r="A4914" t="s">
        <v>14230</v>
      </c>
      <c r="B4914" t="s">
        <v>14231</v>
      </c>
      <c r="C4914" t="s">
        <v>14232</v>
      </c>
      <c r="D4914" t="s">
        <v>35</v>
      </c>
      <c r="E4914" t="s">
        <v>28</v>
      </c>
      <c r="F4914" t="s">
        <v>36</v>
      </c>
      <c r="G4914" t="s">
        <v>19</v>
      </c>
      <c r="H4914">
        <f>Cleaned_Data!K4914</f>
        <v>36.4</v>
      </c>
      <c r="I4914" t="str">
        <f t="shared" si="228"/>
        <v>YES</v>
      </c>
      <c r="J4914">
        <f>Cleaned_Data!J4914</f>
        <v>48</v>
      </c>
      <c r="K4914" t="str">
        <f t="shared" si="229"/>
        <v>2024-05</v>
      </c>
      <c r="L4914">
        <f t="shared" si="230"/>
        <v>0</v>
      </c>
    </row>
    <row r="4915" spans="1:12">
      <c r="A4915" t="s">
        <v>14233</v>
      </c>
      <c r="B4915" t="s">
        <v>14234</v>
      </c>
      <c r="C4915" t="s">
        <v>14235</v>
      </c>
      <c r="D4915" t="s">
        <v>35</v>
      </c>
      <c r="E4915" t="s">
        <v>28</v>
      </c>
      <c r="F4915" t="s">
        <v>17</v>
      </c>
      <c r="G4915" t="s">
        <v>31</v>
      </c>
      <c r="H4915">
        <f>Cleaned_Data!K4915</f>
        <v>40.42</v>
      </c>
      <c r="I4915" t="str">
        <f t="shared" si="228"/>
        <v>YES</v>
      </c>
      <c r="J4915">
        <f>Cleaned_Data!J4915</f>
        <v>48</v>
      </c>
      <c r="K4915" t="str">
        <f t="shared" si="229"/>
        <v>2024-10</v>
      </c>
      <c r="L4915">
        <f t="shared" si="230"/>
        <v>0</v>
      </c>
    </row>
    <row r="4916" spans="1:12">
      <c r="A4916" t="s">
        <v>14236</v>
      </c>
      <c r="B4916" t="s">
        <v>14237</v>
      </c>
      <c r="C4916" t="s">
        <v>14238</v>
      </c>
      <c r="D4916" t="s">
        <v>35</v>
      </c>
      <c r="E4916" t="s">
        <v>24</v>
      </c>
      <c r="F4916" t="s">
        <v>41</v>
      </c>
      <c r="G4916" t="s">
        <v>19</v>
      </c>
      <c r="H4916">
        <f>Cleaned_Data!K4916</f>
        <v>11.84</v>
      </c>
      <c r="I4916" t="str">
        <f t="shared" si="228"/>
        <v>YES</v>
      </c>
      <c r="J4916">
        <f>Cleaned_Data!J4916</f>
        <v>48</v>
      </c>
      <c r="K4916" t="str">
        <f t="shared" si="229"/>
        <v>2024-02</v>
      </c>
      <c r="L4916">
        <f t="shared" si="230"/>
        <v>0</v>
      </c>
    </row>
    <row r="4917" spans="1:12">
      <c r="A4917" t="s">
        <v>14239</v>
      </c>
      <c r="B4917" t="s">
        <v>14240</v>
      </c>
      <c r="C4917" t="s">
        <v>14241</v>
      </c>
      <c r="D4917" t="s">
        <v>35</v>
      </c>
      <c r="E4917" t="s">
        <v>24</v>
      </c>
      <c r="F4917" t="s">
        <v>36</v>
      </c>
      <c r="G4917" t="s">
        <v>31</v>
      </c>
      <c r="H4917">
        <f>Cleaned_Data!K4917</f>
        <v>40.61</v>
      </c>
      <c r="I4917" t="str">
        <f t="shared" si="228"/>
        <v>YES</v>
      </c>
      <c r="J4917">
        <f>Cleaned_Data!J4917</f>
        <v>48</v>
      </c>
      <c r="K4917" t="str">
        <f t="shared" si="229"/>
        <v>2024-10</v>
      </c>
      <c r="L4917">
        <f t="shared" si="230"/>
        <v>0</v>
      </c>
    </row>
    <row r="4918" spans="1:12">
      <c r="A4918" t="s">
        <v>14242</v>
      </c>
      <c r="B4918" t="s">
        <v>14243</v>
      </c>
      <c r="C4918" t="s">
        <v>14244</v>
      </c>
      <c r="D4918" t="s">
        <v>15</v>
      </c>
      <c r="E4918" t="s">
        <v>59</v>
      </c>
      <c r="F4918" t="s">
        <v>60</v>
      </c>
      <c r="G4918" t="s">
        <v>19</v>
      </c>
      <c r="H4918">
        <f>Cleaned_Data!K4918</f>
        <v>9.3699999999999992</v>
      </c>
      <c r="I4918" t="str">
        <f t="shared" si="228"/>
        <v>NO</v>
      </c>
      <c r="J4918">
        <f>Cleaned_Data!J4918</f>
        <v>8</v>
      </c>
      <c r="K4918" t="str">
        <f t="shared" si="229"/>
        <v>2024-06</v>
      </c>
      <c r="L4918">
        <f t="shared" si="230"/>
        <v>1.3699999999999992</v>
      </c>
    </row>
    <row r="4919" spans="1:12">
      <c r="A4919" t="s">
        <v>14245</v>
      </c>
      <c r="B4919" t="s">
        <v>14246</v>
      </c>
      <c r="D4919" t="s">
        <v>15</v>
      </c>
      <c r="E4919" t="s">
        <v>24</v>
      </c>
      <c r="F4919" t="s">
        <v>36</v>
      </c>
      <c r="G4919" t="s">
        <v>63</v>
      </c>
      <c r="H4919">
        <f>Cleaned_Data!K4919</f>
        <v>0</v>
      </c>
      <c r="I4919" t="str">
        <f t="shared" si="228"/>
        <v/>
      </c>
      <c r="J4919">
        <f>Cleaned_Data!J4919</f>
        <v>8</v>
      </c>
      <c r="K4919" t="str">
        <f t="shared" si="229"/>
        <v>2024-12</v>
      </c>
      <c r="L4919">
        <f t="shared" si="230"/>
        <v>0</v>
      </c>
    </row>
    <row r="4920" spans="1:12">
      <c r="A4920" t="s">
        <v>14247</v>
      </c>
      <c r="B4920" t="s">
        <v>14248</v>
      </c>
      <c r="C4920" t="s">
        <v>14249</v>
      </c>
      <c r="D4920" t="s">
        <v>23</v>
      </c>
      <c r="E4920" t="s">
        <v>28</v>
      </c>
      <c r="F4920" t="s">
        <v>60</v>
      </c>
      <c r="G4920" t="s">
        <v>19</v>
      </c>
      <c r="H4920">
        <f>Cleaned_Data!K4920</f>
        <v>14.91</v>
      </c>
      <c r="I4920" t="str">
        <f t="shared" si="228"/>
        <v>YES</v>
      </c>
      <c r="J4920">
        <f>Cleaned_Data!J4920</f>
        <v>24</v>
      </c>
      <c r="K4920" t="str">
        <f t="shared" si="229"/>
        <v>2024-04</v>
      </c>
      <c r="L4920">
        <f t="shared" si="230"/>
        <v>0</v>
      </c>
    </row>
    <row r="4921" spans="1:12">
      <c r="A4921" t="s">
        <v>14250</v>
      </c>
      <c r="B4921" t="s">
        <v>14251</v>
      </c>
      <c r="C4921" t="s">
        <v>14252</v>
      </c>
      <c r="D4921" t="s">
        <v>23</v>
      </c>
      <c r="E4921" t="s">
        <v>28</v>
      </c>
      <c r="F4921" t="s">
        <v>17</v>
      </c>
      <c r="G4921" t="s">
        <v>31</v>
      </c>
      <c r="H4921">
        <f>Cleaned_Data!K4921</f>
        <v>11.06</v>
      </c>
      <c r="I4921" t="str">
        <f t="shared" si="228"/>
        <v>YES</v>
      </c>
      <c r="J4921">
        <f>Cleaned_Data!J4921</f>
        <v>24</v>
      </c>
      <c r="K4921" t="str">
        <f t="shared" si="229"/>
        <v>2024-12</v>
      </c>
      <c r="L4921">
        <f t="shared" si="230"/>
        <v>0</v>
      </c>
    </row>
    <row r="4922" spans="1:12">
      <c r="A4922" t="s">
        <v>14253</v>
      </c>
      <c r="B4922" t="s">
        <v>14254</v>
      </c>
      <c r="C4922" t="s">
        <v>14255</v>
      </c>
      <c r="D4922" t="s">
        <v>35</v>
      </c>
      <c r="E4922" t="s">
        <v>24</v>
      </c>
      <c r="F4922" t="s">
        <v>41</v>
      </c>
      <c r="G4922" t="s">
        <v>31</v>
      </c>
      <c r="H4922">
        <f>Cleaned_Data!K4922</f>
        <v>22.35</v>
      </c>
      <c r="I4922" t="str">
        <f t="shared" si="228"/>
        <v>YES</v>
      </c>
      <c r="J4922">
        <f>Cleaned_Data!J4922</f>
        <v>48</v>
      </c>
      <c r="K4922" t="str">
        <f t="shared" si="229"/>
        <v>2024-10</v>
      </c>
      <c r="L4922">
        <f t="shared" si="230"/>
        <v>0</v>
      </c>
    </row>
    <row r="4923" spans="1:12">
      <c r="A4923" t="s">
        <v>14256</v>
      </c>
      <c r="B4923" t="s">
        <v>14257</v>
      </c>
      <c r="D4923" t="s">
        <v>35</v>
      </c>
      <c r="E4923" t="s">
        <v>24</v>
      </c>
      <c r="F4923" t="s">
        <v>17</v>
      </c>
      <c r="G4923" t="s">
        <v>46</v>
      </c>
      <c r="H4923">
        <f>Cleaned_Data!K4923</f>
        <v>0</v>
      </c>
      <c r="I4923" t="str">
        <f t="shared" si="228"/>
        <v/>
      </c>
      <c r="J4923">
        <f>Cleaned_Data!J4923</f>
        <v>48</v>
      </c>
      <c r="K4923" t="str">
        <f t="shared" si="229"/>
        <v>2024-09</v>
      </c>
      <c r="L4923">
        <f t="shared" si="230"/>
        <v>0</v>
      </c>
    </row>
    <row r="4924" spans="1:12">
      <c r="A4924" t="s">
        <v>14258</v>
      </c>
      <c r="B4924" t="s">
        <v>14259</v>
      </c>
      <c r="D4924" t="s">
        <v>23</v>
      </c>
      <c r="E4924" t="s">
        <v>59</v>
      </c>
      <c r="F4924" t="s">
        <v>29</v>
      </c>
      <c r="G4924" t="s">
        <v>63</v>
      </c>
      <c r="H4924">
        <f>Cleaned_Data!K4924</f>
        <v>0</v>
      </c>
      <c r="I4924" t="str">
        <f t="shared" si="228"/>
        <v/>
      </c>
      <c r="J4924">
        <f>Cleaned_Data!J4924</f>
        <v>24</v>
      </c>
      <c r="K4924" t="str">
        <f t="shared" si="229"/>
        <v>2024-12</v>
      </c>
      <c r="L4924">
        <f t="shared" si="230"/>
        <v>0</v>
      </c>
    </row>
    <row r="4925" spans="1:12">
      <c r="A4925" t="s">
        <v>14260</v>
      </c>
      <c r="B4925" t="s">
        <v>14261</v>
      </c>
      <c r="C4925" t="s">
        <v>14262</v>
      </c>
      <c r="D4925" t="s">
        <v>158</v>
      </c>
      <c r="E4925" t="s">
        <v>54</v>
      </c>
      <c r="F4925" t="s">
        <v>60</v>
      </c>
      <c r="G4925" t="s">
        <v>19</v>
      </c>
      <c r="H4925">
        <f>Cleaned_Data!K4925</f>
        <v>1.86</v>
      </c>
      <c r="I4925" t="str">
        <f t="shared" si="228"/>
        <v>YES</v>
      </c>
      <c r="J4925">
        <f>Cleaned_Data!J4925</f>
        <v>4</v>
      </c>
      <c r="K4925" t="str">
        <f t="shared" si="229"/>
        <v>2024-09</v>
      </c>
      <c r="L4925">
        <f t="shared" si="230"/>
        <v>0</v>
      </c>
    </row>
    <row r="4926" spans="1:12">
      <c r="A4926" t="s">
        <v>14263</v>
      </c>
      <c r="B4926" t="s">
        <v>14264</v>
      </c>
      <c r="C4926" t="s">
        <v>14265</v>
      </c>
      <c r="D4926" t="s">
        <v>15</v>
      </c>
      <c r="E4926" t="s">
        <v>16</v>
      </c>
      <c r="F4926" t="s">
        <v>36</v>
      </c>
      <c r="G4926" t="s">
        <v>31</v>
      </c>
      <c r="H4926">
        <f>Cleaned_Data!K4926</f>
        <v>2.35</v>
      </c>
      <c r="I4926" t="str">
        <f t="shared" si="228"/>
        <v>YES</v>
      </c>
      <c r="J4926">
        <f>Cleaned_Data!J4926</f>
        <v>8</v>
      </c>
      <c r="K4926" t="str">
        <f t="shared" si="229"/>
        <v>2024-10</v>
      </c>
      <c r="L4926">
        <f t="shared" si="230"/>
        <v>0</v>
      </c>
    </row>
    <row r="4927" spans="1:12">
      <c r="A4927" t="s">
        <v>14266</v>
      </c>
      <c r="B4927" t="s">
        <v>14267</v>
      </c>
      <c r="C4927" t="s">
        <v>14268</v>
      </c>
      <c r="D4927" t="s">
        <v>23</v>
      </c>
      <c r="E4927" t="s">
        <v>28</v>
      </c>
      <c r="F4927" t="s">
        <v>29</v>
      </c>
      <c r="G4927" t="s">
        <v>19</v>
      </c>
      <c r="H4927">
        <f>Cleaned_Data!K4927</f>
        <v>12.57</v>
      </c>
      <c r="I4927" t="str">
        <f t="shared" si="228"/>
        <v>YES</v>
      </c>
      <c r="J4927">
        <f>Cleaned_Data!J4927</f>
        <v>24</v>
      </c>
      <c r="K4927" t="str">
        <f t="shared" si="229"/>
        <v>2024-02</v>
      </c>
      <c r="L4927">
        <f t="shared" si="230"/>
        <v>0</v>
      </c>
    </row>
    <row r="4928" spans="1:12">
      <c r="A4928" t="s">
        <v>14269</v>
      </c>
      <c r="B4928" t="s">
        <v>14270</v>
      </c>
      <c r="C4928" t="s">
        <v>14271</v>
      </c>
      <c r="D4928" t="s">
        <v>15</v>
      </c>
      <c r="E4928" t="s">
        <v>59</v>
      </c>
      <c r="F4928" t="s">
        <v>60</v>
      </c>
      <c r="G4928" t="s">
        <v>19</v>
      </c>
      <c r="H4928">
        <f>Cleaned_Data!K4928</f>
        <v>4.05</v>
      </c>
      <c r="I4928" t="str">
        <f t="shared" si="228"/>
        <v>YES</v>
      </c>
      <c r="J4928">
        <f>Cleaned_Data!J4928</f>
        <v>8</v>
      </c>
      <c r="K4928" t="str">
        <f t="shared" si="229"/>
        <v>2024-09</v>
      </c>
      <c r="L4928">
        <f t="shared" si="230"/>
        <v>0</v>
      </c>
    </row>
    <row r="4929" spans="1:12">
      <c r="A4929" t="s">
        <v>14272</v>
      </c>
      <c r="B4929" t="s">
        <v>14273</v>
      </c>
      <c r="C4929" t="s">
        <v>14274</v>
      </c>
      <c r="D4929" t="s">
        <v>23</v>
      </c>
      <c r="E4929" t="s">
        <v>28</v>
      </c>
      <c r="F4929" t="s">
        <v>29</v>
      </c>
      <c r="G4929" t="s">
        <v>19</v>
      </c>
      <c r="H4929">
        <f>Cleaned_Data!K4929</f>
        <v>16.73</v>
      </c>
      <c r="I4929" t="str">
        <f t="shared" si="228"/>
        <v>YES</v>
      </c>
      <c r="J4929">
        <f>Cleaned_Data!J4929</f>
        <v>24</v>
      </c>
      <c r="K4929" t="str">
        <f t="shared" si="229"/>
        <v>2024-06</v>
      </c>
      <c r="L4929">
        <f t="shared" si="230"/>
        <v>0</v>
      </c>
    </row>
    <row r="4930" spans="1:12">
      <c r="A4930" t="s">
        <v>14275</v>
      </c>
      <c r="B4930" t="s">
        <v>14276</v>
      </c>
      <c r="C4930" t="s">
        <v>14277</v>
      </c>
      <c r="D4930" t="s">
        <v>158</v>
      </c>
      <c r="E4930" t="s">
        <v>59</v>
      </c>
      <c r="F4930" t="s">
        <v>60</v>
      </c>
      <c r="G4930" t="s">
        <v>19</v>
      </c>
      <c r="H4930">
        <f>Cleaned_Data!K4930</f>
        <v>2.94</v>
      </c>
      <c r="I4930" t="str">
        <f t="shared" ref="I4930:I4993" si="231">IF(OR(G4930="Resolved", G4930="Closed"), IF(AND(H4930&lt;&gt;"", H4930&lt;=J4930), "YES", "NO"), "")</f>
        <v>YES</v>
      </c>
      <c r="J4930">
        <f>Cleaned_Data!J4930</f>
        <v>4</v>
      </c>
      <c r="K4930" t="str">
        <f t="shared" ref="K4930:K4993" si="232">LEFT(B4930, 7)</f>
        <v>2024-05</v>
      </c>
      <c r="L4930">
        <f t="shared" ref="L4930:L4993" si="233">IF(I4930="NO", H4930-J4930, 0)</f>
        <v>0</v>
      </c>
    </row>
    <row r="4931" spans="1:12">
      <c r="A4931" t="s">
        <v>14278</v>
      </c>
      <c r="B4931" t="s">
        <v>14279</v>
      </c>
      <c r="C4931" t="s">
        <v>14280</v>
      </c>
      <c r="D4931" t="s">
        <v>23</v>
      </c>
      <c r="E4931" t="s">
        <v>54</v>
      </c>
      <c r="F4931" t="s">
        <v>41</v>
      </c>
      <c r="G4931" t="s">
        <v>31</v>
      </c>
      <c r="H4931">
        <f>Cleaned_Data!K4931</f>
        <v>9.7100000000000009</v>
      </c>
      <c r="I4931" t="str">
        <f t="shared" si="231"/>
        <v>YES</v>
      </c>
      <c r="J4931">
        <f>Cleaned_Data!J4931</f>
        <v>24</v>
      </c>
      <c r="K4931" t="str">
        <f t="shared" si="232"/>
        <v>2024-08</v>
      </c>
      <c r="L4931">
        <f t="shared" si="233"/>
        <v>0</v>
      </c>
    </row>
    <row r="4932" spans="1:12">
      <c r="A4932" t="s">
        <v>14281</v>
      </c>
      <c r="B4932" t="s">
        <v>14282</v>
      </c>
      <c r="C4932" t="s">
        <v>14283</v>
      </c>
      <c r="D4932" t="s">
        <v>23</v>
      </c>
      <c r="E4932" t="s">
        <v>54</v>
      </c>
      <c r="F4932" t="s">
        <v>29</v>
      </c>
      <c r="G4932" t="s">
        <v>31</v>
      </c>
      <c r="H4932">
        <f>Cleaned_Data!K4932</f>
        <v>14.04</v>
      </c>
      <c r="I4932" t="str">
        <f t="shared" si="231"/>
        <v>YES</v>
      </c>
      <c r="J4932">
        <f>Cleaned_Data!J4932</f>
        <v>24</v>
      </c>
      <c r="K4932" t="str">
        <f t="shared" si="232"/>
        <v>2024-05</v>
      </c>
      <c r="L4932">
        <f t="shared" si="233"/>
        <v>0</v>
      </c>
    </row>
    <row r="4933" spans="1:12">
      <c r="A4933" t="s">
        <v>14284</v>
      </c>
      <c r="B4933" t="s">
        <v>14285</v>
      </c>
      <c r="C4933" t="s">
        <v>14286</v>
      </c>
      <c r="D4933" t="s">
        <v>15</v>
      </c>
      <c r="E4933" t="s">
        <v>16</v>
      </c>
      <c r="F4933" t="s">
        <v>41</v>
      </c>
      <c r="G4933" t="s">
        <v>19</v>
      </c>
      <c r="H4933">
        <f>Cleaned_Data!K4933</f>
        <v>2.2000000000000002</v>
      </c>
      <c r="I4933" t="str">
        <f t="shared" si="231"/>
        <v>YES</v>
      </c>
      <c r="J4933">
        <f>Cleaned_Data!J4933</f>
        <v>8</v>
      </c>
      <c r="K4933" t="str">
        <f t="shared" si="232"/>
        <v>2024-07</v>
      </c>
      <c r="L4933">
        <f t="shared" si="233"/>
        <v>0</v>
      </c>
    </row>
    <row r="4934" spans="1:12">
      <c r="A4934" t="s">
        <v>14287</v>
      </c>
      <c r="B4934" t="s">
        <v>14288</v>
      </c>
      <c r="D4934" t="s">
        <v>23</v>
      </c>
      <c r="E4934" t="s">
        <v>24</v>
      </c>
      <c r="F4934" t="s">
        <v>36</v>
      </c>
      <c r="G4934" t="s">
        <v>63</v>
      </c>
      <c r="H4934">
        <f>Cleaned_Data!K4934</f>
        <v>0</v>
      </c>
      <c r="I4934" t="str">
        <f t="shared" si="231"/>
        <v/>
      </c>
      <c r="J4934">
        <f>Cleaned_Data!J4934</f>
        <v>24</v>
      </c>
      <c r="K4934" t="str">
        <f t="shared" si="232"/>
        <v>2024-08</v>
      </c>
      <c r="L4934">
        <f t="shared" si="233"/>
        <v>0</v>
      </c>
    </row>
    <row r="4935" spans="1:12">
      <c r="A4935" t="s">
        <v>14289</v>
      </c>
      <c r="B4935" t="s">
        <v>14290</v>
      </c>
      <c r="C4935" t="s">
        <v>14291</v>
      </c>
      <c r="D4935" t="s">
        <v>158</v>
      </c>
      <c r="E4935" t="s">
        <v>28</v>
      </c>
      <c r="F4935" t="s">
        <v>29</v>
      </c>
      <c r="G4935" t="s">
        <v>31</v>
      </c>
      <c r="H4935">
        <f>Cleaned_Data!K4935</f>
        <v>3.54</v>
      </c>
      <c r="I4935" t="str">
        <f t="shared" si="231"/>
        <v>YES</v>
      </c>
      <c r="J4935">
        <f>Cleaned_Data!J4935</f>
        <v>4</v>
      </c>
      <c r="K4935" t="str">
        <f t="shared" si="232"/>
        <v>2024-02</v>
      </c>
      <c r="L4935">
        <f t="shared" si="233"/>
        <v>0</v>
      </c>
    </row>
    <row r="4936" spans="1:12">
      <c r="A4936" t="s">
        <v>14292</v>
      </c>
      <c r="B4936" t="s">
        <v>14293</v>
      </c>
      <c r="C4936" t="s">
        <v>14294</v>
      </c>
      <c r="D4936" t="s">
        <v>23</v>
      </c>
      <c r="E4936" t="s">
        <v>24</v>
      </c>
      <c r="F4936" t="s">
        <v>41</v>
      </c>
      <c r="G4936" t="s">
        <v>31</v>
      </c>
      <c r="H4936">
        <f>Cleaned_Data!K4936</f>
        <v>26.41</v>
      </c>
      <c r="I4936" t="str">
        <f t="shared" si="231"/>
        <v>NO</v>
      </c>
      <c r="J4936">
        <f>Cleaned_Data!J4936</f>
        <v>24</v>
      </c>
      <c r="K4936" t="str">
        <f t="shared" si="232"/>
        <v>2024-12</v>
      </c>
      <c r="L4936">
        <f t="shared" si="233"/>
        <v>2.41</v>
      </c>
    </row>
    <row r="4937" spans="1:12">
      <c r="A4937" t="s">
        <v>14295</v>
      </c>
      <c r="B4937" t="s">
        <v>14296</v>
      </c>
      <c r="C4937" t="s">
        <v>14297</v>
      </c>
      <c r="D4937" t="s">
        <v>23</v>
      </c>
      <c r="E4937" t="s">
        <v>24</v>
      </c>
      <c r="F4937" t="s">
        <v>60</v>
      </c>
      <c r="G4937" t="s">
        <v>19</v>
      </c>
      <c r="H4937">
        <f>Cleaned_Data!K4937</f>
        <v>21.98</v>
      </c>
      <c r="I4937" t="str">
        <f t="shared" si="231"/>
        <v>YES</v>
      </c>
      <c r="J4937">
        <f>Cleaned_Data!J4937</f>
        <v>24</v>
      </c>
      <c r="K4937" t="str">
        <f t="shared" si="232"/>
        <v>2024-10</v>
      </c>
      <c r="L4937">
        <f t="shared" si="233"/>
        <v>0</v>
      </c>
    </row>
    <row r="4938" spans="1:12">
      <c r="A4938" t="s">
        <v>14298</v>
      </c>
      <c r="B4938" t="s">
        <v>14299</v>
      </c>
      <c r="C4938" t="s">
        <v>14300</v>
      </c>
      <c r="D4938" t="s">
        <v>35</v>
      </c>
      <c r="E4938" t="s">
        <v>28</v>
      </c>
      <c r="F4938" t="s">
        <v>17</v>
      </c>
      <c r="G4938" t="s">
        <v>19</v>
      </c>
      <c r="H4938">
        <f>Cleaned_Data!K4938</f>
        <v>65.39</v>
      </c>
      <c r="I4938" t="str">
        <f t="shared" si="231"/>
        <v>NO</v>
      </c>
      <c r="J4938">
        <f>Cleaned_Data!J4938</f>
        <v>48</v>
      </c>
      <c r="K4938" t="str">
        <f t="shared" si="232"/>
        <v>2024-06</v>
      </c>
      <c r="L4938">
        <f t="shared" si="233"/>
        <v>17.39</v>
      </c>
    </row>
    <row r="4939" spans="1:12">
      <c r="A4939" t="s">
        <v>14301</v>
      </c>
      <c r="B4939" t="s">
        <v>14302</v>
      </c>
      <c r="C4939" t="s">
        <v>14303</v>
      </c>
      <c r="D4939" t="s">
        <v>15</v>
      </c>
      <c r="E4939" t="s">
        <v>28</v>
      </c>
      <c r="F4939" t="s">
        <v>41</v>
      </c>
      <c r="G4939" t="s">
        <v>19</v>
      </c>
      <c r="H4939">
        <f>Cleaned_Data!K4939</f>
        <v>19.45</v>
      </c>
      <c r="I4939" t="str">
        <f t="shared" si="231"/>
        <v>NO</v>
      </c>
      <c r="J4939">
        <f>Cleaned_Data!J4939</f>
        <v>8</v>
      </c>
      <c r="K4939" t="str">
        <f t="shared" si="232"/>
        <v>2024-02</v>
      </c>
      <c r="L4939">
        <f t="shared" si="233"/>
        <v>11.45</v>
      </c>
    </row>
    <row r="4940" spans="1:12">
      <c r="A4940" t="s">
        <v>14304</v>
      </c>
      <c r="B4940" t="s">
        <v>14305</v>
      </c>
      <c r="C4940" t="s">
        <v>14306</v>
      </c>
      <c r="D4940" t="s">
        <v>15</v>
      </c>
      <c r="E4940" t="s">
        <v>16</v>
      </c>
      <c r="F4940" t="s">
        <v>41</v>
      </c>
      <c r="G4940" t="s">
        <v>19</v>
      </c>
      <c r="H4940">
        <f>Cleaned_Data!K4940</f>
        <v>5.56</v>
      </c>
      <c r="I4940" t="str">
        <f t="shared" si="231"/>
        <v>YES</v>
      </c>
      <c r="J4940">
        <f>Cleaned_Data!J4940</f>
        <v>8</v>
      </c>
      <c r="K4940" t="str">
        <f t="shared" si="232"/>
        <v>2024-11</v>
      </c>
      <c r="L4940">
        <f t="shared" si="233"/>
        <v>0</v>
      </c>
    </row>
    <row r="4941" spans="1:12">
      <c r="A4941" t="s">
        <v>14307</v>
      </c>
      <c r="B4941" t="s">
        <v>14308</v>
      </c>
      <c r="C4941" t="s">
        <v>14309</v>
      </c>
      <c r="D4941" t="s">
        <v>158</v>
      </c>
      <c r="E4941" t="s">
        <v>28</v>
      </c>
      <c r="F4941" t="s">
        <v>17</v>
      </c>
      <c r="G4941" t="s">
        <v>31</v>
      </c>
      <c r="H4941">
        <f>Cleaned_Data!K4941</f>
        <v>0.89</v>
      </c>
      <c r="I4941" t="str">
        <f t="shared" si="231"/>
        <v>YES</v>
      </c>
      <c r="J4941">
        <f>Cleaned_Data!J4941</f>
        <v>4</v>
      </c>
      <c r="K4941" t="str">
        <f t="shared" si="232"/>
        <v>2024-04</v>
      </c>
      <c r="L4941">
        <f t="shared" si="233"/>
        <v>0</v>
      </c>
    </row>
    <row r="4942" spans="1:12">
      <c r="A4942" t="s">
        <v>14310</v>
      </c>
      <c r="B4942" t="s">
        <v>14311</v>
      </c>
      <c r="D4942" t="s">
        <v>15</v>
      </c>
      <c r="E4942" t="s">
        <v>28</v>
      </c>
      <c r="F4942" t="s">
        <v>29</v>
      </c>
      <c r="G4942" t="s">
        <v>63</v>
      </c>
      <c r="H4942">
        <f>Cleaned_Data!K4942</f>
        <v>0</v>
      </c>
      <c r="I4942" t="str">
        <f t="shared" si="231"/>
        <v/>
      </c>
      <c r="J4942">
        <f>Cleaned_Data!J4942</f>
        <v>8</v>
      </c>
      <c r="K4942" t="str">
        <f t="shared" si="232"/>
        <v>2024-07</v>
      </c>
      <c r="L4942">
        <f t="shared" si="233"/>
        <v>0</v>
      </c>
    </row>
    <row r="4943" spans="1:12">
      <c r="A4943" t="s">
        <v>14312</v>
      </c>
      <c r="B4943" t="s">
        <v>14313</v>
      </c>
      <c r="C4943" t="s">
        <v>14314</v>
      </c>
      <c r="D4943" t="s">
        <v>23</v>
      </c>
      <c r="E4943" t="s">
        <v>28</v>
      </c>
      <c r="F4943" t="s">
        <v>17</v>
      </c>
      <c r="G4943" t="s">
        <v>31</v>
      </c>
      <c r="H4943">
        <f>Cleaned_Data!K4943</f>
        <v>11.36</v>
      </c>
      <c r="I4943" t="str">
        <f t="shared" si="231"/>
        <v>YES</v>
      </c>
      <c r="J4943">
        <f>Cleaned_Data!J4943</f>
        <v>24</v>
      </c>
      <c r="K4943" t="str">
        <f t="shared" si="232"/>
        <v>2024-02</v>
      </c>
      <c r="L4943">
        <f t="shared" si="233"/>
        <v>0</v>
      </c>
    </row>
    <row r="4944" spans="1:12">
      <c r="A4944" t="s">
        <v>14315</v>
      </c>
      <c r="B4944" t="s">
        <v>14316</v>
      </c>
      <c r="C4944" t="s">
        <v>14317</v>
      </c>
      <c r="D4944" t="s">
        <v>15</v>
      </c>
      <c r="E4944" t="s">
        <v>28</v>
      </c>
      <c r="F4944" t="s">
        <v>60</v>
      </c>
      <c r="G4944" t="s">
        <v>19</v>
      </c>
      <c r="H4944">
        <f>Cleaned_Data!K4944</f>
        <v>2.75</v>
      </c>
      <c r="I4944" t="str">
        <f t="shared" si="231"/>
        <v>YES</v>
      </c>
      <c r="J4944">
        <f>Cleaned_Data!J4944</f>
        <v>8</v>
      </c>
      <c r="K4944" t="str">
        <f t="shared" si="232"/>
        <v>2024-07</v>
      </c>
      <c r="L4944">
        <f t="shared" si="233"/>
        <v>0</v>
      </c>
    </row>
    <row r="4945" spans="1:12">
      <c r="A4945" t="s">
        <v>14318</v>
      </c>
      <c r="B4945" t="s">
        <v>14319</v>
      </c>
      <c r="D4945" t="s">
        <v>23</v>
      </c>
      <c r="E4945" t="s">
        <v>59</v>
      </c>
      <c r="F4945" t="s">
        <v>17</v>
      </c>
      <c r="G4945" t="s">
        <v>63</v>
      </c>
      <c r="H4945">
        <f>Cleaned_Data!K4945</f>
        <v>0</v>
      </c>
      <c r="I4945" t="str">
        <f t="shared" si="231"/>
        <v/>
      </c>
      <c r="J4945">
        <f>Cleaned_Data!J4945</f>
        <v>24</v>
      </c>
      <c r="K4945" t="str">
        <f t="shared" si="232"/>
        <v>2024-11</v>
      </c>
      <c r="L4945">
        <f t="shared" si="233"/>
        <v>0</v>
      </c>
    </row>
    <row r="4946" spans="1:12">
      <c r="A4946" t="s">
        <v>14320</v>
      </c>
      <c r="B4946" t="s">
        <v>14321</v>
      </c>
      <c r="C4946" t="s">
        <v>14322</v>
      </c>
      <c r="D4946" t="s">
        <v>15</v>
      </c>
      <c r="E4946" t="s">
        <v>59</v>
      </c>
      <c r="F4946" t="s">
        <v>36</v>
      </c>
      <c r="G4946" t="s">
        <v>19</v>
      </c>
      <c r="H4946">
        <f>Cleaned_Data!K4946</f>
        <v>5.83</v>
      </c>
      <c r="I4946" t="str">
        <f t="shared" si="231"/>
        <v>YES</v>
      </c>
      <c r="J4946">
        <f>Cleaned_Data!J4946</f>
        <v>8</v>
      </c>
      <c r="K4946" t="str">
        <f t="shared" si="232"/>
        <v>2024-11</v>
      </c>
      <c r="L4946">
        <f t="shared" si="233"/>
        <v>0</v>
      </c>
    </row>
    <row r="4947" spans="1:12">
      <c r="A4947" t="s">
        <v>14323</v>
      </c>
      <c r="B4947" t="s">
        <v>14324</v>
      </c>
      <c r="C4947" t="s">
        <v>14325</v>
      </c>
      <c r="D4947" t="s">
        <v>23</v>
      </c>
      <c r="E4947" t="s">
        <v>59</v>
      </c>
      <c r="F4947" t="s">
        <v>60</v>
      </c>
      <c r="G4947" t="s">
        <v>19</v>
      </c>
      <c r="H4947">
        <f>Cleaned_Data!K4947</f>
        <v>6.12</v>
      </c>
      <c r="I4947" t="str">
        <f t="shared" si="231"/>
        <v>YES</v>
      </c>
      <c r="J4947">
        <f>Cleaned_Data!J4947</f>
        <v>24</v>
      </c>
      <c r="K4947" t="str">
        <f t="shared" si="232"/>
        <v>2024-07</v>
      </c>
      <c r="L4947">
        <f t="shared" si="233"/>
        <v>0</v>
      </c>
    </row>
    <row r="4948" spans="1:12">
      <c r="A4948" t="s">
        <v>14326</v>
      </c>
      <c r="B4948" t="s">
        <v>14327</v>
      </c>
      <c r="C4948" t="s">
        <v>14328</v>
      </c>
      <c r="D4948" t="s">
        <v>15</v>
      </c>
      <c r="E4948" t="s">
        <v>24</v>
      </c>
      <c r="F4948" t="s">
        <v>60</v>
      </c>
      <c r="G4948" t="s">
        <v>31</v>
      </c>
      <c r="H4948">
        <f>Cleaned_Data!K4948</f>
        <v>5.43</v>
      </c>
      <c r="I4948" t="str">
        <f t="shared" si="231"/>
        <v>YES</v>
      </c>
      <c r="J4948">
        <f>Cleaned_Data!J4948</f>
        <v>8</v>
      </c>
      <c r="K4948" t="str">
        <f t="shared" si="232"/>
        <v>2024-08</v>
      </c>
      <c r="L4948">
        <f t="shared" si="233"/>
        <v>0</v>
      </c>
    </row>
    <row r="4949" spans="1:12">
      <c r="A4949" t="s">
        <v>14329</v>
      </c>
      <c r="B4949" t="s">
        <v>14330</v>
      </c>
      <c r="C4949" t="s">
        <v>14331</v>
      </c>
      <c r="D4949" t="s">
        <v>23</v>
      </c>
      <c r="E4949" t="s">
        <v>24</v>
      </c>
      <c r="F4949" t="s">
        <v>29</v>
      </c>
      <c r="G4949" t="s">
        <v>19</v>
      </c>
      <c r="H4949">
        <f>Cleaned_Data!K4949</f>
        <v>28.65</v>
      </c>
      <c r="I4949" t="str">
        <f t="shared" si="231"/>
        <v>NO</v>
      </c>
      <c r="J4949">
        <f>Cleaned_Data!J4949</f>
        <v>24</v>
      </c>
      <c r="K4949" t="str">
        <f t="shared" si="232"/>
        <v>2024-02</v>
      </c>
      <c r="L4949">
        <f t="shared" si="233"/>
        <v>4.6499999999999986</v>
      </c>
    </row>
    <row r="4950" spans="1:12">
      <c r="A4950" t="s">
        <v>14332</v>
      </c>
      <c r="B4950" t="s">
        <v>14333</v>
      </c>
      <c r="D4950" t="s">
        <v>15</v>
      </c>
      <c r="E4950" t="s">
        <v>28</v>
      </c>
      <c r="F4950" t="s">
        <v>17</v>
      </c>
      <c r="G4950" t="s">
        <v>63</v>
      </c>
      <c r="H4950">
        <f>Cleaned_Data!K4950</f>
        <v>0</v>
      </c>
      <c r="I4950" t="str">
        <f t="shared" si="231"/>
        <v/>
      </c>
      <c r="J4950">
        <f>Cleaned_Data!J4950</f>
        <v>8</v>
      </c>
      <c r="K4950" t="str">
        <f t="shared" si="232"/>
        <v>2024-01</v>
      </c>
      <c r="L4950">
        <f t="shared" si="233"/>
        <v>0</v>
      </c>
    </row>
    <row r="4951" spans="1:12">
      <c r="A4951" t="s">
        <v>14334</v>
      </c>
      <c r="B4951" t="s">
        <v>14335</v>
      </c>
      <c r="C4951" t="s">
        <v>14336</v>
      </c>
      <c r="D4951" t="s">
        <v>158</v>
      </c>
      <c r="E4951" t="s">
        <v>16</v>
      </c>
      <c r="F4951" t="s">
        <v>41</v>
      </c>
      <c r="G4951" t="s">
        <v>19</v>
      </c>
      <c r="H4951">
        <f>Cleaned_Data!K4951</f>
        <v>3.04</v>
      </c>
      <c r="I4951" t="str">
        <f t="shared" si="231"/>
        <v>YES</v>
      </c>
      <c r="J4951">
        <f>Cleaned_Data!J4951</f>
        <v>4</v>
      </c>
      <c r="K4951" t="str">
        <f t="shared" si="232"/>
        <v>2024-09</v>
      </c>
      <c r="L4951">
        <f t="shared" si="233"/>
        <v>0</v>
      </c>
    </row>
    <row r="4952" spans="1:12">
      <c r="A4952" t="s">
        <v>14337</v>
      </c>
      <c r="B4952" t="s">
        <v>14338</v>
      </c>
      <c r="C4952" t="s">
        <v>14339</v>
      </c>
      <c r="D4952" t="s">
        <v>35</v>
      </c>
      <c r="E4952" t="s">
        <v>24</v>
      </c>
      <c r="F4952" t="s">
        <v>17</v>
      </c>
      <c r="G4952" t="s">
        <v>19</v>
      </c>
      <c r="H4952">
        <f>Cleaned_Data!K4952</f>
        <v>11.74</v>
      </c>
      <c r="I4952" t="str">
        <f t="shared" si="231"/>
        <v>YES</v>
      </c>
      <c r="J4952">
        <f>Cleaned_Data!J4952</f>
        <v>48</v>
      </c>
      <c r="K4952" t="str">
        <f t="shared" si="232"/>
        <v>2024-10</v>
      </c>
      <c r="L4952">
        <f t="shared" si="233"/>
        <v>0</v>
      </c>
    </row>
    <row r="4953" spans="1:12">
      <c r="A4953" t="s">
        <v>14340</v>
      </c>
      <c r="B4953" t="s">
        <v>14341</v>
      </c>
      <c r="C4953" t="s">
        <v>14342</v>
      </c>
      <c r="D4953" t="s">
        <v>23</v>
      </c>
      <c r="E4953" t="s">
        <v>28</v>
      </c>
      <c r="F4953" t="s">
        <v>29</v>
      </c>
      <c r="G4953" t="s">
        <v>31</v>
      </c>
      <c r="H4953">
        <f>Cleaned_Data!K4953</f>
        <v>21.6</v>
      </c>
      <c r="I4953" t="str">
        <f t="shared" si="231"/>
        <v>YES</v>
      </c>
      <c r="J4953">
        <f>Cleaned_Data!J4953</f>
        <v>24</v>
      </c>
      <c r="K4953" t="str">
        <f t="shared" si="232"/>
        <v>2024-07</v>
      </c>
      <c r="L4953">
        <f t="shared" si="233"/>
        <v>0</v>
      </c>
    </row>
    <row r="4954" spans="1:12">
      <c r="A4954" t="s">
        <v>14343</v>
      </c>
      <c r="B4954" t="s">
        <v>14344</v>
      </c>
      <c r="C4954" t="s">
        <v>14345</v>
      </c>
      <c r="D4954" t="s">
        <v>23</v>
      </c>
      <c r="E4954" t="s">
        <v>28</v>
      </c>
      <c r="F4954" t="s">
        <v>36</v>
      </c>
      <c r="G4954" t="s">
        <v>19</v>
      </c>
      <c r="H4954">
        <f>Cleaned_Data!K4954</f>
        <v>70.83</v>
      </c>
      <c r="I4954" t="str">
        <f t="shared" si="231"/>
        <v>NO</v>
      </c>
      <c r="J4954">
        <f>Cleaned_Data!J4954</f>
        <v>24</v>
      </c>
      <c r="K4954" t="str">
        <f t="shared" si="232"/>
        <v>2024-10</v>
      </c>
      <c r="L4954">
        <f t="shared" si="233"/>
        <v>46.83</v>
      </c>
    </row>
    <row r="4955" spans="1:12">
      <c r="A4955" t="s">
        <v>14346</v>
      </c>
      <c r="B4955" t="s">
        <v>14347</v>
      </c>
      <c r="C4955" t="s">
        <v>14348</v>
      </c>
      <c r="D4955" t="s">
        <v>35</v>
      </c>
      <c r="E4955" t="s">
        <v>28</v>
      </c>
      <c r="F4955" t="s">
        <v>60</v>
      </c>
      <c r="G4955" t="s">
        <v>19</v>
      </c>
      <c r="H4955">
        <f>Cleaned_Data!K4955</f>
        <v>60.85</v>
      </c>
      <c r="I4955" t="str">
        <f t="shared" si="231"/>
        <v>NO</v>
      </c>
      <c r="J4955">
        <f>Cleaned_Data!J4955</f>
        <v>48</v>
      </c>
      <c r="K4955" t="str">
        <f t="shared" si="232"/>
        <v>2024-06</v>
      </c>
      <c r="L4955">
        <f t="shared" si="233"/>
        <v>12.850000000000001</v>
      </c>
    </row>
    <row r="4956" spans="1:12">
      <c r="A4956" t="s">
        <v>14349</v>
      </c>
      <c r="B4956" t="s">
        <v>14350</v>
      </c>
      <c r="C4956" t="s">
        <v>14351</v>
      </c>
      <c r="D4956" t="s">
        <v>23</v>
      </c>
      <c r="E4956" t="s">
        <v>24</v>
      </c>
      <c r="F4956" t="s">
        <v>36</v>
      </c>
      <c r="G4956" t="s">
        <v>19</v>
      </c>
      <c r="H4956">
        <f>Cleaned_Data!K4956</f>
        <v>53.1</v>
      </c>
      <c r="I4956" t="str">
        <f t="shared" si="231"/>
        <v>NO</v>
      </c>
      <c r="J4956">
        <f>Cleaned_Data!J4956</f>
        <v>24</v>
      </c>
      <c r="K4956" t="str">
        <f t="shared" si="232"/>
        <v>2024-10</v>
      </c>
      <c r="L4956">
        <f t="shared" si="233"/>
        <v>29.1</v>
      </c>
    </row>
    <row r="4957" spans="1:12">
      <c r="A4957" t="s">
        <v>14352</v>
      </c>
      <c r="B4957" t="s">
        <v>14353</v>
      </c>
      <c r="C4957" t="s">
        <v>14354</v>
      </c>
      <c r="D4957" t="s">
        <v>15</v>
      </c>
      <c r="E4957" t="s">
        <v>28</v>
      </c>
      <c r="F4957" t="s">
        <v>41</v>
      </c>
      <c r="G4957" t="s">
        <v>19</v>
      </c>
      <c r="H4957">
        <f>Cleaned_Data!K4957</f>
        <v>4.5</v>
      </c>
      <c r="I4957" t="str">
        <f t="shared" si="231"/>
        <v>YES</v>
      </c>
      <c r="J4957">
        <f>Cleaned_Data!J4957</f>
        <v>8</v>
      </c>
      <c r="K4957" t="str">
        <f t="shared" si="232"/>
        <v>2024-05</v>
      </c>
      <c r="L4957">
        <f t="shared" si="233"/>
        <v>0</v>
      </c>
    </row>
    <row r="4958" spans="1:12">
      <c r="A4958" t="s">
        <v>14355</v>
      </c>
      <c r="B4958" t="s">
        <v>14356</v>
      </c>
      <c r="C4958" t="s">
        <v>14357</v>
      </c>
      <c r="D4958" t="s">
        <v>15</v>
      </c>
      <c r="E4958" t="s">
        <v>24</v>
      </c>
      <c r="F4958" t="s">
        <v>41</v>
      </c>
      <c r="G4958" t="s">
        <v>19</v>
      </c>
      <c r="H4958">
        <f>Cleaned_Data!K4958</f>
        <v>6.84</v>
      </c>
      <c r="I4958" t="str">
        <f t="shared" si="231"/>
        <v>YES</v>
      </c>
      <c r="J4958">
        <f>Cleaned_Data!J4958</f>
        <v>8</v>
      </c>
      <c r="K4958" t="str">
        <f t="shared" si="232"/>
        <v>2024-11</v>
      </c>
      <c r="L4958">
        <f t="shared" si="233"/>
        <v>0</v>
      </c>
    </row>
    <row r="4959" spans="1:12">
      <c r="A4959" t="s">
        <v>14358</v>
      </c>
      <c r="B4959" t="s">
        <v>14359</v>
      </c>
      <c r="C4959" t="s">
        <v>14360</v>
      </c>
      <c r="D4959" t="s">
        <v>15</v>
      </c>
      <c r="E4959" t="s">
        <v>28</v>
      </c>
      <c r="F4959" t="s">
        <v>17</v>
      </c>
      <c r="G4959" t="s">
        <v>19</v>
      </c>
      <c r="H4959">
        <f>Cleaned_Data!K4959</f>
        <v>2.61</v>
      </c>
      <c r="I4959" t="str">
        <f t="shared" si="231"/>
        <v>YES</v>
      </c>
      <c r="J4959">
        <f>Cleaned_Data!J4959</f>
        <v>8</v>
      </c>
      <c r="K4959" t="str">
        <f t="shared" si="232"/>
        <v>2024-07</v>
      </c>
      <c r="L4959">
        <f t="shared" si="233"/>
        <v>0</v>
      </c>
    </row>
    <row r="4960" spans="1:12">
      <c r="A4960" t="s">
        <v>14361</v>
      </c>
      <c r="B4960" t="s">
        <v>14362</v>
      </c>
      <c r="C4960" t="s">
        <v>14363</v>
      </c>
      <c r="D4960" t="s">
        <v>23</v>
      </c>
      <c r="E4960" t="s">
        <v>28</v>
      </c>
      <c r="F4960" t="s">
        <v>41</v>
      </c>
      <c r="G4960" t="s">
        <v>31</v>
      </c>
      <c r="H4960">
        <f>Cleaned_Data!K4960</f>
        <v>8.9499999999999993</v>
      </c>
      <c r="I4960" t="str">
        <f t="shared" si="231"/>
        <v>YES</v>
      </c>
      <c r="J4960">
        <f>Cleaned_Data!J4960</f>
        <v>24</v>
      </c>
      <c r="K4960" t="str">
        <f t="shared" si="232"/>
        <v>2024-11</v>
      </c>
      <c r="L4960">
        <f t="shared" si="233"/>
        <v>0</v>
      </c>
    </row>
    <row r="4961" spans="1:12">
      <c r="A4961" t="s">
        <v>14364</v>
      </c>
      <c r="B4961" t="s">
        <v>14365</v>
      </c>
      <c r="C4961" t="s">
        <v>14366</v>
      </c>
      <c r="D4961" t="s">
        <v>15</v>
      </c>
      <c r="E4961" t="s">
        <v>59</v>
      </c>
      <c r="F4961" t="s">
        <v>60</v>
      </c>
      <c r="G4961" t="s">
        <v>31</v>
      </c>
      <c r="H4961">
        <f>Cleaned_Data!K4961</f>
        <v>17.010000000000002</v>
      </c>
      <c r="I4961" t="str">
        <f t="shared" si="231"/>
        <v>NO</v>
      </c>
      <c r="J4961">
        <f>Cleaned_Data!J4961</f>
        <v>8</v>
      </c>
      <c r="K4961" t="str">
        <f t="shared" si="232"/>
        <v>2024-05</v>
      </c>
      <c r="L4961">
        <f t="shared" si="233"/>
        <v>9.0100000000000016</v>
      </c>
    </row>
    <row r="4962" spans="1:12">
      <c r="A4962" t="s">
        <v>14367</v>
      </c>
      <c r="B4962" t="s">
        <v>14368</v>
      </c>
      <c r="C4962" t="s">
        <v>14369</v>
      </c>
      <c r="D4962" t="s">
        <v>23</v>
      </c>
      <c r="E4962" t="s">
        <v>24</v>
      </c>
      <c r="F4962" t="s">
        <v>60</v>
      </c>
      <c r="G4962" t="s">
        <v>31</v>
      </c>
      <c r="H4962">
        <f>Cleaned_Data!K4962</f>
        <v>12.96</v>
      </c>
      <c r="I4962" t="str">
        <f t="shared" si="231"/>
        <v>YES</v>
      </c>
      <c r="J4962">
        <f>Cleaned_Data!J4962</f>
        <v>24</v>
      </c>
      <c r="K4962" t="str">
        <f t="shared" si="232"/>
        <v>2024-02</v>
      </c>
      <c r="L4962">
        <f t="shared" si="233"/>
        <v>0</v>
      </c>
    </row>
    <row r="4963" spans="1:12">
      <c r="A4963" t="s">
        <v>14370</v>
      </c>
      <c r="B4963" t="s">
        <v>14371</v>
      </c>
      <c r="C4963" t="s">
        <v>14372</v>
      </c>
      <c r="D4963" t="s">
        <v>35</v>
      </c>
      <c r="E4963" t="s">
        <v>16</v>
      </c>
      <c r="F4963" t="s">
        <v>60</v>
      </c>
      <c r="G4963" t="s">
        <v>19</v>
      </c>
      <c r="H4963">
        <f>Cleaned_Data!K4963</f>
        <v>27.38</v>
      </c>
      <c r="I4963" t="str">
        <f t="shared" si="231"/>
        <v>YES</v>
      </c>
      <c r="J4963">
        <f>Cleaned_Data!J4963</f>
        <v>48</v>
      </c>
      <c r="K4963" t="str">
        <f t="shared" si="232"/>
        <v>2024-11</v>
      </c>
      <c r="L4963">
        <f t="shared" si="233"/>
        <v>0</v>
      </c>
    </row>
    <row r="4964" spans="1:12">
      <c r="A4964" t="s">
        <v>14373</v>
      </c>
      <c r="B4964" t="s">
        <v>14374</v>
      </c>
      <c r="C4964" t="s">
        <v>14375</v>
      </c>
      <c r="D4964" t="s">
        <v>23</v>
      </c>
      <c r="E4964" t="s">
        <v>16</v>
      </c>
      <c r="F4964" t="s">
        <v>17</v>
      </c>
      <c r="G4964" t="s">
        <v>19</v>
      </c>
      <c r="H4964">
        <f>Cleaned_Data!K4964</f>
        <v>18.11</v>
      </c>
      <c r="I4964" t="str">
        <f t="shared" si="231"/>
        <v>YES</v>
      </c>
      <c r="J4964">
        <f>Cleaned_Data!J4964</f>
        <v>24</v>
      </c>
      <c r="K4964" t="str">
        <f t="shared" si="232"/>
        <v>2024-05</v>
      </c>
      <c r="L4964">
        <f t="shared" si="233"/>
        <v>0</v>
      </c>
    </row>
    <row r="4965" spans="1:12">
      <c r="A4965" t="s">
        <v>14376</v>
      </c>
      <c r="B4965" t="s">
        <v>14377</v>
      </c>
      <c r="C4965" t="s">
        <v>14378</v>
      </c>
      <c r="D4965" t="s">
        <v>35</v>
      </c>
      <c r="E4965" t="s">
        <v>59</v>
      </c>
      <c r="F4965" t="s">
        <v>17</v>
      </c>
      <c r="G4965" t="s">
        <v>19</v>
      </c>
      <c r="H4965">
        <f>Cleaned_Data!K4965</f>
        <v>20.36</v>
      </c>
      <c r="I4965" t="str">
        <f t="shared" si="231"/>
        <v>YES</v>
      </c>
      <c r="J4965">
        <f>Cleaned_Data!J4965</f>
        <v>48</v>
      </c>
      <c r="K4965" t="str">
        <f t="shared" si="232"/>
        <v>2024-12</v>
      </c>
      <c r="L4965">
        <f t="shared" si="233"/>
        <v>0</v>
      </c>
    </row>
    <row r="4966" spans="1:12">
      <c r="A4966" t="s">
        <v>14379</v>
      </c>
      <c r="B4966" t="s">
        <v>14380</v>
      </c>
      <c r="C4966" t="s">
        <v>14381</v>
      </c>
      <c r="D4966" t="s">
        <v>23</v>
      </c>
      <c r="E4966" t="s">
        <v>54</v>
      </c>
      <c r="F4966" t="s">
        <v>41</v>
      </c>
      <c r="G4966" t="s">
        <v>31</v>
      </c>
      <c r="H4966">
        <f>Cleaned_Data!K4966</f>
        <v>4.4400000000000004</v>
      </c>
      <c r="I4966" t="str">
        <f t="shared" si="231"/>
        <v>YES</v>
      </c>
      <c r="J4966">
        <f>Cleaned_Data!J4966</f>
        <v>24</v>
      </c>
      <c r="K4966" t="str">
        <f t="shared" si="232"/>
        <v>2024-12</v>
      </c>
      <c r="L4966">
        <f t="shared" si="233"/>
        <v>0</v>
      </c>
    </row>
    <row r="4967" spans="1:12">
      <c r="A4967" t="s">
        <v>14382</v>
      </c>
      <c r="B4967" t="s">
        <v>14383</v>
      </c>
      <c r="C4967" t="s">
        <v>14384</v>
      </c>
      <c r="D4967" t="s">
        <v>23</v>
      </c>
      <c r="E4967" t="s">
        <v>54</v>
      </c>
      <c r="F4967" t="s">
        <v>36</v>
      </c>
      <c r="G4967" t="s">
        <v>19</v>
      </c>
      <c r="H4967">
        <f>Cleaned_Data!K4967</f>
        <v>2.92</v>
      </c>
      <c r="I4967" t="str">
        <f t="shared" si="231"/>
        <v>YES</v>
      </c>
      <c r="J4967">
        <f>Cleaned_Data!J4967</f>
        <v>24</v>
      </c>
      <c r="K4967" t="str">
        <f t="shared" si="232"/>
        <v>2024-01</v>
      </c>
      <c r="L4967">
        <f t="shared" si="233"/>
        <v>0</v>
      </c>
    </row>
    <row r="4968" spans="1:12">
      <c r="A4968" t="s">
        <v>14385</v>
      </c>
      <c r="B4968" t="s">
        <v>14386</v>
      </c>
      <c r="C4968" t="s">
        <v>14387</v>
      </c>
      <c r="D4968" t="s">
        <v>23</v>
      </c>
      <c r="E4968" t="s">
        <v>16</v>
      </c>
      <c r="F4968" t="s">
        <v>29</v>
      </c>
      <c r="G4968" t="s">
        <v>19</v>
      </c>
      <c r="H4968">
        <f>Cleaned_Data!K4968</f>
        <v>15.1</v>
      </c>
      <c r="I4968" t="str">
        <f t="shared" si="231"/>
        <v>YES</v>
      </c>
      <c r="J4968">
        <f>Cleaned_Data!J4968</f>
        <v>24</v>
      </c>
      <c r="K4968" t="str">
        <f t="shared" si="232"/>
        <v>2024-03</v>
      </c>
      <c r="L4968">
        <f t="shared" si="233"/>
        <v>0</v>
      </c>
    </row>
    <row r="4969" spans="1:12">
      <c r="A4969" t="s">
        <v>14388</v>
      </c>
      <c r="B4969" t="s">
        <v>14389</v>
      </c>
      <c r="C4969" t="s">
        <v>14390</v>
      </c>
      <c r="D4969" t="s">
        <v>23</v>
      </c>
      <c r="E4969" t="s">
        <v>28</v>
      </c>
      <c r="F4969" t="s">
        <v>60</v>
      </c>
      <c r="G4969" t="s">
        <v>31</v>
      </c>
      <c r="H4969">
        <f>Cleaned_Data!K4969</f>
        <v>4.3899999999999997</v>
      </c>
      <c r="I4969" t="str">
        <f t="shared" si="231"/>
        <v>YES</v>
      </c>
      <c r="J4969">
        <f>Cleaned_Data!J4969</f>
        <v>24</v>
      </c>
      <c r="K4969" t="str">
        <f t="shared" si="232"/>
        <v>2024-01</v>
      </c>
      <c r="L4969">
        <f t="shared" si="233"/>
        <v>0</v>
      </c>
    </row>
    <row r="4970" spans="1:12">
      <c r="A4970" t="s">
        <v>14391</v>
      </c>
      <c r="B4970" t="s">
        <v>14392</v>
      </c>
      <c r="C4970" t="s">
        <v>14393</v>
      </c>
      <c r="D4970" t="s">
        <v>35</v>
      </c>
      <c r="E4970" t="s">
        <v>16</v>
      </c>
      <c r="F4970" t="s">
        <v>29</v>
      </c>
      <c r="G4970" t="s">
        <v>19</v>
      </c>
      <c r="H4970">
        <f>Cleaned_Data!K4970</f>
        <v>10.67</v>
      </c>
      <c r="I4970" t="str">
        <f t="shared" si="231"/>
        <v>YES</v>
      </c>
      <c r="J4970">
        <f>Cleaned_Data!J4970</f>
        <v>48</v>
      </c>
      <c r="K4970" t="str">
        <f t="shared" si="232"/>
        <v>2024-02</v>
      </c>
      <c r="L4970">
        <f t="shared" si="233"/>
        <v>0</v>
      </c>
    </row>
    <row r="4971" spans="1:12">
      <c r="A4971" t="s">
        <v>14394</v>
      </c>
      <c r="B4971" t="s">
        <v>14395</v>
      </c>
      <c r="C4971" t="s">
        <v>14396</v>
      </c>
      <c r="D4971" t="s">
        <v>35</v>
      </c>
      <c r="E4971" t="s">
        <v>28</v>
      </c>
      <c r="F4971" t="s">
        <v>29</v>
      </c>
      <c r="G4971" t="s">
        <v>19</v>
      </c>
      <c r="H4971">
        <f>Cleaned_Data!K4971</f>
        <v>42.81</v>
      </c>
      <c r="I4971" t="str">
        <f t="shared" si="231"/>
        <v>YES</v>
      </c>
      <c r="J4971">
        <f>Cleaned_Data!J4971</f>
        <v>48</v>
      </c>
      <c r="K4971" t="str">
        <f t="shared" si="232"/>
        <v>2024-03</v>
      </c>
      <c r="L4971">
        <f t="shared" si="233"/>
        <v>0</v>
      </c>
    </row>
    <row r="4972" spans="1:12">
      <c r="A4972" t="s">
        <v>14397</v>
      </c>
      <c r="B4972" t="s">
        <v>14398</v>
      </c>
      <c r="D4972" t="s">
        <v>35</v>
      </c>
      <c r="E4972" t="s">
        <v>59</v>
      </c>
      <c r="F4972" t="s">
        <v>36</v>
      </c>
      <c r="G4972" t="s">
        <v>63</v>
      </c>
      <c r="H4972">
        <f>Cleaned_Data!K4972</f>
        <v>0</v>
      </c>
      <c r="I4972" t="str">
        <f t="shared" si="231"/>
        <v/>
      </c>
      <c r="J4972">
        <f>Cleaned_Data!J4972</f>
        <v>48</v>
      </c>
      <c r="K4972" t="str">
        <f t="shared" si="232"/>
        <v>2024-05</v>
      </c>
      <c r="L4972">
        <f t="shared" si="233"/>
        <v>0</v>
      </c>
    </row>
    <row r="4973" spans="1:12">
      <c r="A4973" t="s">
        <v>14399</v>
      </c>
      <c r="B4973" t="s">
        <v>14400</v>
      </c>
      <c r="C4973" t="s">
        <v>14401</v>
      </c>
      <c r="D4973" t="s">
        <v>15</v>
      </c>
      <c r="E4973" t="s">
        <v>54</v>
      </c>
      <c r="F4973" t="s">
        <v>36</v>
      </c>
      <c r="G4973" t="s">
        <v>31</v>
      </c>
      <c r="H4973">
        <f>Cleaned_Data!K4973</f>
        <v>6.29</v>
      </c>
      <c r="I4973" t="str">
        <f t="shared" si="231"/>
        <v>YES</v>
      </c>
      <c r="J4973">
        <f>Cleaned_Data!J4973</f>
        <v>8</v>
      </c>
      <c r="K4973" t="str">
        <f t="shared" si="232"/>
        <v>2024-11</v>
      </c>
      <c r="L4973">
        <f t="shared" si="233"/>
        <v>0</v>
      </c>
    </row>
    <row r="4974" spans="1:12">
      <c r="A4974" t="s">
        <v>14402</v>
      </c>
      <c r="B4974" t="s">
        <v>14403</v>
      </c>
      <c r="D4974" t="s">
        <v>23</v>
      </c>
      <c r="E4974" t="s">
        <v>24</v>
      </c>
      <c r="F4974" t="s">
        <v>41</v>
      </c>
      <c r="G4974" t="s">
        <v>63</v>
      </c>
      <c r="H4974">
        <f>Cleaned_Data!K4974</f>
        <v>0</v>
      </c>
      <c r="I4974" t="str">
        <f t="shared" si="231"/>
        <v/>
      </c>
      <c r="J4974">
        <f>Cleaned_Data!J4974</f>
        <v>24</v>
      </c>
      <c r="K4974" t="str">
        <f t="shared" si="232"/>
        <v>2024-08</v>
      </c>
      <c r="L4974">
        <f t="shared" si="233"/>
        <v>0</v>
      </c>
    </row>
    <row r="4975" spans="1:12">
      <c r="A4975" t="s">
        <v>14404</v>
      </c>
      <c r="B4975" t="s">
        <v>14405</v>
      </c>
      <c r="C4975" t="s">
        <v>14406</v>
      </c>
      <c r="D4975" t="s">
        <v>23</v>
      </c>
      <c r="E4975" t="s">
        <v>54</v>
      </c>
      <c r="F4975" t="s">
        <v>41</v>
      </c>
      <c r="G4975" t="s">
        <v>31</v>
      </c>
      <c r="H4975">
        <f>Cleaned_Data!K4975</f>
        <v>26.26</v>
      </c>
      <c r="I4975" t="str">
        <f t="shared" si="231"/>
        <v>NO</v>
      </c>
      <c r="J4975">
        <f>Cleaned_Data!J4975</f>
        <v>24</v>
      </c>
      <c r="K4975" t="str">
        <f t="shared" si="232"/>
        <v>2024-10</v>
      </c>
      <c r="L4975">
        <f t="shared" si="233"/>
        <v>2.2600000000000016</v>
      </c>
    </row>
    <row r="4976" spans="1:12">
      <c r="A4976" t="s">
        <v>14407</v>
      </c>
      <c r="B4976" t="s">
        <v>14408</v>
      </c>
      <c r="C4976" t="s">
        <v>14409</v>
      </c>
      <c r="D4976" t="s">
        <v>35</v>
      </c>
      <c r="E4976" t="s">
        <v>28</v>
      </c>
      <c r="F4976" t="s">
        <v>60</v>
      </c>
      <c r="G4976" t="s">
        <v>31</v>
      </c>
      <c r="H4976">
        <f>Cleaned_Data!K4976</f>
        <v>37.020000000000003</v>
      </c>
      <c r="I4976" t="str">
        <f t="shared" si="231"/>
        <v>YES</v>
      </c>
      <c r="J4976">
        <f>Cleaned_Data!J4976</f>
        <v>48</v>
      </c>
      <c r="K4976" t="str">
        <f t="shared" si="232"/>
        <v>2024-09</v>
      </c>
      <c r="L4976">
        <f t="shared" si="233"/>
        <v>0</v>
      </c>
    </row>
    <row r="4977" spans="1:12">
      <c r="A4977" t="s">
        <v>14410</v>
      </c>
      <c r="B4977" t="s">
        <v>14411</v>
      </c>
      <c r="C4977" t="s">
        <v>14412</v>
      </c>
      <c r="D4977" t="s">
        <v>35</v>
      </c>
      <c r="E4977" t="s">
        <v>59</v>
      </c>
      <c r="F4977" t="s">
        <v>29</v>
      </c>
      <c r="G4977" t="s">
        <v>19</v>
      </c>
      <c r="H4977">
        <f>Cleaned_Data!K4977</f>
        <v>33.520000000000003</v>
      </c>
      <c r="I4977" t="str">
        <f t="shared" si="231"/>
        <v>YES</v>
      </c>
      <c r="J4977">
        <f>Cleaned_Data!J4977</f>
        <v>48</v>
      </c>
      <c r="K4977" t="str">
        <f t="shared" si="232"/>
        <v>2024-07</v>
      </c>
      <c r="L4977">
        <f t="shared" si="233"/>
        <v>0</v>
      </c>
    </row>
    <row r="4978" spans="1:12">
      <c r="A4978" t="s">
        <v>14413</v>
      </c>
      <c r="B4978" t="s">
        <v>14414</v>
      </c>
      <c r="C4978" t="s">
        <v>14415</v>
      </c>
      <c r="D4978" t="s">
        <v>23</v>
      </c>
      <c r="E4978" t="s">
        <v>28</v>
      </c>
      <c r="F4978" t="s">
        <v>36</v>
      </c>
      <c r="G4978" t="s">
        <v>19</v>
      </c>
      <c r="H4978">
        <f>Cleaned_Data!K4978</f>
        <v>6.18</v>
      </c>
      <c r="I4978" t="str">
        <f t="shared" si="231"/>
        <v>YES</v>
      </c>
      <c r="J4978">
        <f>Cleaned_Data!J4978</f>
        <v>24</v>
      </c>
      <c r="K4978" t="str">
        <f t="shared" si="232"/>
        <v>2024-10</v>
      </c>
      <c r="L4978">
        <f t="shared" si="233"/>
        <v>0</v>
      </c>
    </row>
    <row r="4979" spans="1:12">
      <c r="A4979" t="s">
        <v>14416</v>
      </c>
      <c r="B4979" t="s">
        <v>14417</v>
      </c>
      <c r="D4979" t="s">
        <v>158</v>
      </c>
      <c r="E4979" t="s">
        <v>59</v>
      </c>
      <c r="F4979" t="s">
        <v>29</v>
      </c>
      <c r="G4979" t="s">
        <v>46</v>
      </c>
      <c r="H4979">
        <f>Cleaned_Data!K4979</f>
        <v>0</v>
      </c>
      <c r="I4979" t="str">
        <f t="shared" si="231"/>
        <v/>
      </c>
      <c r="J4979">
        <f>Cleaned_Data!J4979</f>
        <v>4</v>
      </c>
      <c r="K4979" t="str">
        <f t="shared" si="232"/>
        <v>2024-04</v>
      </c>
      <c r="L4979">
        <f t="shared" si="233"/>
        <v>0</v>
      </c>
    </row>
    <row r="4980" spans="1:12">
      <c r="A4980" t="s">
        <v>14418</v>
      </c>
      <c r="B4980" t="s">
        <v>14419</v>
      </c>
      <c r="C4980" t="s">
        <v>14420</v>
      </c>
      <c r="D4980" t="s">
        <v>23</v>
      </c>
      <c r="E4980" t="s">
        <v>54</v>
      </c>
      <c r="F4980" t="s">
        <v>29</v>
      </c>
      <c r="G4980" t="s">
        <v>19</v>
      </c>
      <c r="H4980">
        <f>Cleaned_Data!K4980</f>
        <v>25.65</v>
      </c>
      <c r="I4980" t="str">
        <f t="shared" si="231"/>
        <v>NO</v>
      </c>
      <c r="J4980">
        <f>Cleaned_Data!J4980</f>
        <v>24</v>
      </c>
      <c r="K4980" t="str">
        <f t="shared" si="232"/>
        <v>2024-12</v>
      </c>
      <c r="L4980">
        <f t="shared" si="233"/>
        <v>1.6499999999999986</v>
      </c>
    </row>
    <row r="4981" spans="1:12">
      <c r="A4981" t="s">
        <v>14421</v>
      </c>
      <c r="B4981" t="s">
        <v>14422</v>
      </c>
      <c r="C4981" t="s">
        <v>14423</v>
      </c>
      <c r="D4981" t="s">
        <v>15</v>
      </c>
      <c r="E4981" t="s">
        <v>28</v>
      </c>
      <c r="F4981" t="s">
        <v>41</v>
      </c>
      <c r="G4981" t="s">
        <v>31</v>
      </c>
      <c r="H4981">
        <f>Cleaned_Data!K4981</f>
        <v>2.4500000000000002</v>
      </c>
      <c r="I4981" t="str">
        <f t="shared" si="231"/>
        <v>YES</v>
      </c>
      <c r="J4981">
        <f>Cleaned_Data!J4981</f>
        <v>8</v>
      </c>
      <c r="K4981" t="str">
        <f t="shared" si="232"/>
        <v>2024-01</v>
      </c>
      <c r="L4981">
        <f t="shared" si="233"/>
        <v>0</v>
      </c>
    </row>
    <row r="4982" spans="1:12">
      <c r="A4982" t="s">
        <v>14424</v>
      </c>
      <c r="B4982" t="s">
        <v>14425</v>
      </c>
      <c r="C4982" t="s">
        <v>14426</v>
      </c>
      <c r="D4982" t="s">
        <v>158</v>
      </c>
      <c r="E4982" t="s">
        <v>16</v>
      </c>
      <c r="F4982" t="s">
        <v>36</v>
      </c>
      <c r="G4982" t="s">
        <v>31</v>
      </c>
      <c r="H4982">
        <f>Cleaned_Data!K4982</f>
        <v>2.54</v>
      </c>
      <c r="I4982" t="str">
        <f t="shared" si="231"/>
        <v>YES</v>
      </c>
      <c r="J4982">
        <f>Cleaned_Data!J4982</f>
        <v>4</v>
      </c>
      <c r="K4982" t="str">
        <f t="shared" si="232"/>
        <v>2024-01</v>
      </c>
      <c r="L4982">
        <f t="shared" si="233"/>
        <v>0</v>
      </c>
    </row>
    <row r="4983" spans="1:12">
      <c r="A4983" t="s">
        <v>14427</v>
      </c>
      <c r="B4983" t="s">
        <v>14428</v>
      </c>
      <c r="D4983" t="s">
        <v>23</v>
      </c>
      <c r="E4983" t="s">
        <v>54</v>
      </c>
      <c r="F4983" t="s">
        <v>29</v>
      </c>
      <c r="G4983" t="s">
        <v>63</v>
      </c>
      <c r="H4983">
        <f>Cleaned_Data!K4983</f>
        <v>0</v>
      </c>
      <c r="I4983" t="str">
        <f t="shared" si="231"/>
        <v/>
      </c>
      <c r="J4983">
        <f>Cleaned_Data!J4983</f>
        <v>24</v>
      </c>
      <c r="K4983" t="str">
        <f t="shared" si="232"/>
        <v>2024-09</v>
      </c>
      <c r="L4983">
        <f t="shared" si="233"/>
        <v>0</v>
      </c>
    </row>
    <row r="4984" spans="1:12">
      <c r="A4984" t="s">
        <v>14429</v>
      </c>
      <c r="B4984" t="s">
        <v>14430</v>
      </c>
      <c r="C4984" t="s">
        <v>14431</v>
      </c>
      <c r="D4984" t="s">
        <v>15</v>
      </c>
      <c r="E4984" t="s">
        <v>28</v>
      </c>
      <c r="F4984" t="s">
        <v>36</v>
      </c>
      <c r="G4984" t="s">
        <v>19</v>
      </c>
      <c r="H4984">
        <f>Cleaned_Data!K4984</f>
        <v>0.95</v>
      </c>
      <c r="I4984" t="str">
        <f t="shared" si="231"/>
        <v>YES</v>
      </c>
      <c r="J4984">
        <f>Cleaned_Data!J4984</f>
        <v>8</v>
      </c>
      <c r="K4984" t="str">
        <f t="shared" si="232"/>
        <v>2024-05</v>
      </c>
      <c r="L4984">
        <f t="shared" si="233"/>
        <v>0</v>
      </c>
    </row>
    <row r="4985" spans="1:12">
      <c r="A4985" t="s">
        <v>14432</v>
      </c>
      <c r="B4985" t="s">
        <v>14433</v>
      </c>
      <c r="C4985" t="s">
        <v>14434</v>
      </c>
      <c r="D4985" t="s">
        <v>35</v>
      </c>
      <c r="E4985" t="s">
        <v>28</v>
      </c>
      <c r="F4985" t="s">
        <v>41</v>
      </c>
      <c r="G4985" t="s">
        <v>19</v>
      </c>
      <c r="H4985">
        <f>Cleaned_Data!K4985</f>
        <v>34.659999999999997</v>
      </c>
      <c r="I4985" t="str">
        <f t="shared" si="231"/>
        <v>YES</v>
      </c>
      <c r="J4985">
        <f>Cleaned_Data!J4985</f>
        <v>48</v>
      </c>
      <c r="K4985" t="str">
        <f t="shared" si="232"/>
        <v>2024-04</v>
      </c>
      <c r="L4985">
        <f t="shared" si="233"/>
        <v>0</v>
      </c>
    </row>
    <row r="4986" spans="1:12">
      <c r="A4986" t="s">
        <v>14435</v>
      </c>
      <c r="B4986" t="s">
        <v>14436</v>
      </c>
      <c r="D4986" t="s">
        <v>23</v>
      </c>
      <c r="E4986" t="s">
        <v>28</v>
      </c>
      <c r="F4986" t="s">
        <v>36</v>
      </c>
      <c r="G4986" t="s">
        <v>46</v>
      </c>
      <c r="H4986">
        <f>Cleaned_Data!K4986</f>
        <v>0</v>
      </c>
      <c r="I4986" t="str">
        <f t="shared" si="231"/>
        <v/>
      </c>
      <c r="J4986">
        <f>Cleaned_Data!J4986</f>
        <v>24</v>
      </c>
      <c r="K4986" t="str">
        <f t="shared" si="232"/>
        <v>2024-06</v>
      </c>
      <c r="L4986">
        <f t="shared" si="233"/>
        <v>0</v>
      </c>
    </row>
    <row r="4987" spans="1:12">
      <c r="A4987" t="s">
        <v>14437</v>
      </c>
      <c r="B4987" t="s">
        <v>14438</v>
      </c>
      <c r="C4987" t="s">
        <v>14439</v>
      </c>
      <c r="D4987" t="s">
        <v>23</v>
      </c>
      <c r="E4987" t="s">
        <v>24</v>
      </c>
      <c r="F4987" t="s">
        <v>29</v>
      </c>
      <c r="G4987" t="s">
        <v>19</v>
      </c>
      <c r="H4987">
        <f>Cleaned_Data!K4987</f>
        <v>11.01</v>
      </c>
      <c r="I4987" t="str">
        <f t="shared" si="231"/>
        <v>YES</v>
      </c>
      <c r="J4987">
        <f>Cleaned_Data!J4987</f>
        <v>24</v>
      </c>
      <c r="K4987" t="str">
        <f t="shared" si="232"/>
        <v>2024-08</v>
      </c>
      <c r="L4987">
        <f t="shared" si="233"/>
        <v>0</v>
      </c>
    </row>
    <row r="4988" spans="1:12">
      <c r="A4988" t="s">
        <v>14440</v>
      </c>
      <c r="B4988" t="s">
        <v>14441</v>
      </c>
      <c r="C4988" t="s">
        <v>14442</v>
      </c>
      <c r="D4988" t="s">
        <v>23</v>
      </c>
      <c r="E4988" t="s">
        <v>54</v>
      </c>
      <c r="F4988" t="s">
        <v>60</v>
      </c>
      <c r="G4988" t="s">
        <v>31</v>
      </c>
      <c r="H4988">
        <f>Cleaned_Data!K4988</f>
        <v>12.75</v>
      </c>
      <c r="I4988" t="str">
        <f t="shared" si="231"/>
        <v>YES</v>
      </c>
      <c r="J4988">
        <f>Cleaned_Data!J4988</f>
        <v>24</v>
      </c>
      <c r="K4988" t="str">
        <f t="shared" si="232"/>
        <v>2024-03</v>
      </c>
      <c r="L4988">
        <f t="shared" si="233"/>
        <v>0</v>
      </c>
    </row>
    <row r="4989" spans="1:12">
      <c r="A4989" t="s">
        <v>14443</v>
      </c>
      <c r="B4989" t="s">
        <v>14444</v>
      </c>
      <c r="C4989" t="s">
        <v>14445</v>
      </c>
      <c r="D4989" t="s">
        <v>15</v>
      </c>
      <c r="E4989" t="s">
        <v>16</v>
      </c>
      <c r="F4989" t="s">
        <v>29</v>
      </c>
      <c r="G4989" t="s">
        <v>31</v>
      </c>
      <c r="H4989">
        <f>Cleaned_Data!K4989</f>
        <v>4.59</v>
      </c>
      <c r="I4989" t="str">
        <f t="shared" si="231"/>
        <v>YES</v>
      </c>
      <c r="J4989">
        <f>Cleaned_Data!J4989</f>
        <v>8</v>
      </c>
      <c r="K4989" t="str">
        <f t="shared" si="232"/>
        <v>2024-12</v>
      </c>
      <c r="L4989">
        <f t="shared" si="233"/>
        <v>0</v>
      </c>
    </row>
    <row r="4990" spans="1:12">
      <c r="A4990" t="s">
        <v>14446</v>
      </c>
      <c r="B4990" t="s">
        <v>14447</v>
      </c>
      <c r="C4990" t="s">
        <v>14448</v>
      </c>
      <c r="D4990" t="s">
        <v>15</v>
      </c>
      <c r="E4990" t="s">
        <v>24</v>
      </c>
      <c r="F4990" t="s">
        <v>17</v>
      </c>
      <c r="G4990" t="s">
        <v>19</v>
      </c>
      <c r="H4990">
        <f>Cleaned_Data!K4990</f>
        <v>6.7</v>
      </c>
      <c r="I4990" t="str">
        <f t="shared" si="231"/>
        <v>YES</v>
      </c>
      <c r="J4990">
        <f>Cleaned_Data!J4990</f>
        <v>8</v>
      </c>
      <c r="K4990" t="str">
        <f t="shared" si="232"/>
        <v>2024-08</v>
      </c>
      <c r="L4990">
        <f t="shared" si="233"/>
        <v>0</v>
      </c>
    </row>
    <row r="4991" spans="1:12">
      <c r="A4991" t="s">
        <v>14449</v>
      </c>
      <c r="B4991" t="s">
        <v>14450</v>
      </c>
      <c r="C4991" t="s">
        <v>14451</v>
      </c>
      <c r="D4991" t="s">
        <v>23</v>
      </c>
      <c r="E4991" t="s">
        <v>28</v>
      </c>
      <c r="F4991" t="s">
        <v>41</v>
      </c>
      <c r="G4991" t="s">
        <v>19</v>
      </c>
      <c r="H4991">
        <f>Cleaned_Data!K4991</f>
        <v>47.86</v>
      </c>
      <c r="I4991" t="str">
        <f t="shared" si="231"/>
        <v>NO</v>
      </c>
      <c r="J4991">
        <f>Cleaned_Data!J4991</f>
        <v>24</v>
      </c>
      <c r="K4991" t="str">
        <f t="shared" si="232"/>
        <v>2024-01</v>
      </c>
      <c r="L4991">
        <f t="shared" si="233"/>
        <v>23.86</v>
      </c>
    </row>
    <row r="4992" spans="1:12">
      <c r="A4992" t="s">
        <v>14452</v>
      </c>
      <c r="B4992" t="s">
        <v>14453</v>
      </c>
      <c r="C4992" t="s">
        <v>14454</v>
      </c>
      <c r="D4992" t="s">
        <v>23</v>
      </c>
      <c r="E4992" t="s">
        <v>16</v>
      </c>
      <c r="F4992" t="s">
        <v>36</v>
      </c>
      <c r="G4992" t="s">
        <v>19</v>
      </c>
      <c r="H4992">
        <f>Cleaned_Data!K4992</f>
        <v>35.9</v>
      </c>
      <c r="I4992" t="str">
        <f t="shared" si="231"/>
        <v>NO</v>
      </c>
      <c r="J4992">
        <f>Cleaned_Data!J4992</f>
        <v>24</v>
      </c>
      <c r="K4992" t="str">
        <f t="shared" si="232"/>
        <v>2024-10</v>
      </c>
      <c r="L4992">
        <f t="shared" si="233"/>
        <v>11.899999999999999</v>
      </c>
    </row>
    <row r="4993" spans="1:12">
      <c r="A4993" t="s">
        <v>14455</v>
      </c>
      <c r="B4993" t="s">
        <v>14456</v>
      </c>
      <c r="C4993" t="s">
        <v>14457</v>
      </c>
      <c r="D4993" t="s">
        <v>15</v>
      </c>
      <c r="E4993" t="s">
        <v>54</v>
      </c>
      <c r="F4993" t="s">
        <v>41</v>
      </c>
      <c r="G4993" t="s">
        <v>19</v>
      </c>
      <c r="H4993">
        <f>Cleaned_Data!K4993</f>
        <v>7.35</v>
      </c>
      <c r="I4993" t="str">
        <f t="shared" si="231"/>
        <v>YES</v>
      </c>
      <c r="J4993">
        <f>Cleaned_Data!J4993</f>
        <v>8</v>
      </c>
      <c r="K4993" t="str">
        <f t="shared" si="232"/>
        <v>2024-09</v>
      </c>
      <c r="L4993">
        <f t="shared" si="233"/>
        <v>0</v>
      </c>
    </row>
    <row r="4994" spans="1:12">
      <c r="A4994" t="s">
        <v>14458</v>
      </c>
      <c r="B4994" t="s">
        <v>14459</v>
      </c>
      <c r="C4994" t="s">
        <v>14460</v>
      </c>
      <c r="D4994" t="s">
        <v>15</v>
      </c>
      <c r="E4994" t="s">
        <v>28</v>
      </c>
      <c r="F4994" t="s">
        <v>41</v>
      </c>
      <c r="G4994" t="s">
        <v>19</v>
      </c>
      <c r="H4994">
        <f>Cleaned_Data!K4994</f>
        <v>7.25</v>
      </c>
      <c r="I4994" t="str">
        <f t="shared" ref="I4994:I5001" si="234">IF(OR(G4994="Resolved", G4994="Closed"), IF(AND(H4994&lt;&gt;"", H4994&lt;=J4994), "YES", "NO"), "")</f>
        <v>YES</v>
      </c>
      <c r="J4994">
        <f>Cleaned_Data!J4994</f>
        <v>8</v>
      </c>
      <c r="K4994" t="str">
        <f t="shared" ref="K4994:K5001" si="235">LEFT(B4994, 7)</f>
        <v>2024-07</v>
      </c>
      <c r="L4994">
        <f t="shared" ref="L4994:L5001" si="236">IF(I4994="NO", H4994-J4994, 0)</f>
        <v>0</v>
      </c>
    </row>
    <row r="4995" spans="1:12">
      <c r="A4995" t="s">
        <v>14461</v>
      </c>
      <c r="B4995" t="s">
        <v>14462</v>
      </c>
      <c r="D4995" t="s">
        <v>23</v>
      </c>
      <c r="E4995" t="s">
        <v>28</v>
      </c>
      <c r="F4995" t="s">
        <v>29</v>
      </c>
      <c r="G4995" t="s">
        <v>63</v>
      </c>
      <c r="H4995">
        <f>Cleaned_Data!K4995</f>
        <v>0</v>
      </c>
      <c r="I4995" t="str">
        <f t="shared" si="234"/>
        <v/>
      </c>
      <c r="J4995">
        <f>Cleaned_Data!J4995</f>
        <v>24</v>
      </c>
      <c r="K4995" t="str">
        <f t="shared" si="235"/>
        <v>2024-12</v>
      </c>
      <c r="L4995">
        <f t="shared" si="236"/>
        <v>0</v>
      </c>
    </row>
    <row r="4996" spans="1:12">
      <c r="A4996" t="s">
        <v>14463</v>
      </c>
      <c r="B4996" t="s">
        <v>14464</v>
      </c>
      <c r="C4996" t="s">
        <v>14465</v>
      </c>
      <c r="D4996" t="s">
        <v>15</v>
      </c>
      <c r="E4996" t="s">
        <v>28</v>
      </c>
      <c r="F4996" t="s">
        <v>36</v>
      </c>
      <c r="G4996" t="s">
        <v>31</v>
      </c>
      <c r="H4996">
        <f>Cleaned_Data!K4996</f>
        <v>6.67</v>
      </c>
      <c r="I4996" t="str">
        <f t="shared" si="234"/>
        <v>YES</v>
      </c>
      <c r="J4996">
        <f>Cleaned_Data!J4996</f>
        <v>8</v>
      </c>
      <c r="K4996" t="str">
        <f t="shared" si="235"/>
        <v>2024-07</v>
      </c>
      <c r="L4996">
        <f t="shared" si="236"/>
        <v>0</v>
      </c>
    </row>
    <row r="4997" spans="1:12">
      <c r="A4997" t="s">
        <v>14466</v>
      </c>
      <c r="B4997" t="s">
        <v>14467</v>
      </c>
      <c r="D4997" t="s">
        <v>35</v>
      </c>
      <c r="E4997" t="s">
        <v>54</v>
      </c>
      <c r="F4997" t="s">
        <v>29</v>
      </c>
      <c r="G4997" t="s">
        <v>63</v>
      </c>
      <c r="H4997">
        <f>Cleaned_Data!K4997</f>
        <v>0</v>
      </c>
      <c r="I4997" t="str">
        <f t="shared" si="234"/>
        <v/>
      </c>
      <c r="J4997">
        <f>Cleaned_Data!J4997</f>
        <v>48</v>
      </c>
      <c r="K4997" t="str">
        <f t="shared" si="235"/>
        <v>2024-04</v>
      </c>
      <c r="L4997">
        <f t="shared" si="236"/>
        <v>0</v>
      </c>
    </row>
    <row r="4998" spans="1:12">
      <c r="A4998" t="s">
        <v>14468</v>
      </c>
      <c r="B4998" t="s">
        <v>14469</v>
      </c>
      <c r="C4998" t="s">
        <v>14470</v>
      </c>
      <c r="D4998" t="s">
        <v>35</v>
      </c>
      <c r="E4998" t="s">
        <v>24</v>
      </c>
      <c r="F4998" t="s">
        <v>60</v>
      </c>
      <c r="G4998" t="s">
        <v>31</v>
      </c>
      <c r="H4998">
        <f>Cleaned_Data!K4998</f>
        <v>28.25</v>
      </c>
      <c r="I4998" t="str">
        <f t="shared" si="234"/>
        <v>YES</v>
      </c>
      <c r="J4998">
        <f>Cleaned_Data!J4998</f>
        <v>48</v>
      </c>
      <c r="K4998" t="str">
        <f t="shared" si="235"/>
        <v>2024-08</v>
      </c>
      <c r="L4998">
        <f t="shared" si="236"/>
        <v>0</v>
      </c>
    </row>
    <row r="4999" spans="1:12">
      <c r="A4999" t="s">
        <v>14471</v>
      </c>
      <c r="B4999" t="s">
        <v>14472</v>
      </c>
      <c r="D4999" t="s">
        <v>35</v>
      </c>
      <c r="E4999" t="s">
        <v>28</v>
      </c>
      <c r="F4999" t="s">
        <v>60</v>
      </c>
      <c r="G4999" t="s">
        <v>46</v>
      </c>
      <c r="H4999">
        <f>Cleaned_Data!K4999</f>
        <v>0</v>
      </c>
      <c r="I4999" t="str">
        <f t="shared" si="234"/>
        <v/>
      </c>
      <c r="J4999">
        <f>Cleaned_Data!J4999</f>
        <v>48</v>
      </c>
      <c r="K4999" t="str">
        <f t="shared" si="235"/>
        <v>2024-04</v>
      </c>
      <c r="L4999">
        <f t="shared" si="236"/>
        <v>0</v>
      </c>
    </row>
    <row r="5000" spans="1:12">
      <c r="A5000" t="s">
        <v>14473</v>
      </c>
      <c r="B5000" t="s">
        <v>14474</v>
      </c>
      <c r="C5000" t="s">
        <v>14475</v>
      </c>
      <c r="D5000" t="s">
        <v>35</v>
      </c>
      <c r="E5000" t="s">
        <v>54</v>
      </c>
      <c r="F5000" t="s">
        <v>29</v>
      </c>
      <c r="G5000" t="s">
        <v>19</v>
      </c>
      <c r="H5000">
        <f>Cleaned_Data!K5000</f>
        <v>27.01</v>
      </c>
      <c r="I5000" t="str">
        <f t="shared" si="234"/>
        <v>YES</v>
      </c>
      <c r="J5000">
        <f>Cleaned_Data!J5000</f>
        <v>48</v>
      </c>
      <c r="K5000" t="str">
        <f t="shared" si="235"/>
        <v>2024-01</v>
      </c>
      <c r="L5000">
        <f t="shared" si="236"/>
        <v>0</v>
      </c>
    </row>
    <row r="5001" spans="1:12">
      <c r="A5001" t="s">
        <v>14476</v>
      </c>
      <c r="B5001" t="s">
        <v>14477</v>
      </c>
      <c r="C5001" t="s">
        <v>14478</v>
      </c>
      <c r="D5001" t="s">
        <v>35</v>
      </c>
      <c r="E5001" t="s">
        <v>16</v>
      </c>
      <c r="F5001" t="s">
        <v>17</v>
      </c>
      <c r="G5001" t="s">
        <v>31</v>
      </c>
      <c r="H5001">
        <f>Cleaned_Data!K5001</f>
        <v>39.19</v>
      </c>
      <c r="I5001" t="str">
        <f t="shared" si="234"/>
        <v>YES</v>
      </c>
      <c r="J5001">
        <f>Cleaned_Data!J5001</f>
        <v>48</v>
      </c>
      <c r="K5001" t="str">
        <f t="shared" si="235"/>
        <v>2024-04</v>
      </c>
      <c r="L5001">
        <f t="shared" si="236"/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1"/>
  <sheetViews>
    <sheetView workbookViewId="0"/>
  </sheetViews>
  <sheetFormatPr defaultRowHeight="14.4"/>
  <cols>
    <col min="1" max="1" width="12" customWidth="1"/>
    <col min="2" max="2" width="49" customWidth="1"/>
    <col min="3" max="4" width="12" customWidth="1"/>
    <col min="5" max="5" width="27" customWidth="1"/>
    <col min="6" max="7" width="12" customWidth="1"/>
    <col min="8" max="8" width="28" customWidth="1"/>
    <col min="9" max="10" width="12" customWidth="1"/>
  </cols>
  <sheetData>
    <row r="2" spans="2:10" ht="21">
      <c r="B2" s="2" t="s">
        <v>14482</v>
      </c>
    </row>
    <row r="3" spans="2:10">
      <c r="B3" s="3" t="s">
        <v>14483</v>
      </c>
    </row>
    <row r="5" spans="2:10">
      <c r="B5" s="18" t="s">
        <v>14484</v>
      </c>
      <c r="C5" s="15"/>
      <c r="D5" s="15"/>
      <c r="E5" s="18" t="s">
        <v>14485</v>
      </c>
      <c r="F5" s="15"/>
      <c r="G5" s="15"/>
      <c r="H5" s="18" t="s">
        <v>14486</v>
      </c>
      <c r="I5" s="15"/>
      <c r="J5" s="15"/>
    </row>
    <row r="6" spans="2:10">
      <c r="B6" s="17">
        <f>COUNTA(Cleaned_Data!A2:A5001)</f>
        <v>5000</v>
      </c>
      <c r="C6" s="15"/>
      <c r="D6" s="15"/>
      <c r="E6" s="14">
        <f>COUNTIFS(Calc!I2:I5001, "YES") / (COUNTIFS(Cleaned_Data!H2:H5001, "Resolved") + COUNTIFS(Cleaned_Data!H2:H5001, "Closed"))</f>
        <v>0.8177106804867057</v>
      </c>
      <c r="F6" s="15"/>
      <c r="G6" s="15"/>
      <c r="H6" s="16">
        <f>AVERAGE(Calc!H2:H5001)</f>
        <v>18.06400999999995</v>
      </c>
      <c r="I6" s="15"/>
      <c r="J6" s="15"/>
    </row>
    <row r="7" spans="2:10">
      <c r="B7" s="15"/>
      <c r="C7" s="15"/>
      <c r="D7" s="15"/>
      <c r="E7" s="15"/>
      <c r="F7" s="15"/>
      <c r="G7" s="15"/>
      <c r="H7" s="15"/>
      <c r="I7" s="15"/>
      <c r="J7" s="15"/>
    </row>
    <row r="9" spans="2:10">
      <c r="B9" s="18" t="s">
        <v>14487</v>
      </c>
      <c r="C9" s="15"/>
      <c r="D9" s="15"/>
      <c r="E9" s="18" t="s">
        <v>14488</v>
      </c>
      <c r="F9" s="15"/>
      <c r="G9" s="15"/>
      <c r="H9" s="18" t="s">
        <v>14489</v>
      </c>
      <c r="I9" s="15"/>
      <c r="J9" s="15"/>
    </row>
    <row r="10" spans="2:10">
      <c r="B10" s="17">
        <f>COUNTIFS(Cleaned_Data!H2:H5001, "Open") + COUNTIFS(Cleaned_Data!H2:H5001, "Escalated")</f>
        <v>562</v>
      </c>
      <c r="C10" s="15"/>
      <c r="D10" s="15"/>
      <c r="E10" s="16">
        <f>AVERAGE(Cleaned_Data!I2:I5001)</f>
        <v>4.0018026137899954</v>
      </c>
      <c r="F10" s="15"/>
      <c r="G10" s="15"/>
      <c r="H10" s="17">
        <f>COUNTIFS(Calc!I2:I5001, "NO")</f>
        <v>809</v>
      </c>
      <c r="I10" s="15"/>
      <c r="J10" s="15"/>
    </row>
    <row r="11" spans="2:10">
      <c r="B11" s="15"/>
      <c r="C11" s="15"/>
      <c r="D11" s="15"/>
      <c r="E11" s="15"/>
      <c r="F11" s="15"/>
      <c r="G11" s="15"/>
      <c r="H11" s="15"/>
      <c r="I11" s="15"/>
      <c r="J11" s="15"/>
    </row>
  </sheetData>
  <mergeCells count="12">
    <mergeCell ref="E6:G7"/>
    <mergeCell ref="H6:J7"/>
    <mergeCell ref="B10:D11"/>
    <mergeCell ref="B5:D5"/>
    <mergeCell ref="B6:D7"/>
    <mergeCell ref="E10:G11"/>
    <mergeCell ref="H10:J11"/>
    <mergeCell ref="E5:G5"/>
    <mergeCell ref="H5:J5"/>
    <mergeCell ref="B9:D9"/>
    <mergeCell ref="E9:G9"/>
    <mergeCell ref="H9:J9"/>
  </mergeCells>
  <conditionalFormatting sqref="E6:G7">
    <cfRule type="cellIs" dxfId="2" priority="1" stopIfTrue="1" operator="greaterThanOrEqual">
      <formula>0.9</formula>
    </cfRule>
    <cfRule type="cellIs" dxfId="1" priority="2" stopIfTrue="1" operator="between">
      <formula>0.8</formula>
      <formula>0.8999</formula>
    </cfRule>
    <cfRule type="cellIs" dxfId="0" priority="3" stopIfTrue="1" operator="lessThan">
      <formula>0.8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6"/>
  <sheetViews>
    <sheetView workbookViewId="0"/>
  </sheetViews>
  <sheetFormatPr defaultRowHeight="14.4"/>
  <cols>
    <col min="1" max="1" width="12" customWidth="1"/>
    <col min="2" max="2" width="47" customWidth="1"/>
    <col min="3" max="3" width="22" customWidth="1"/>
    <col min="4" max="4" width="19" customWidth="1"/>
    <col min="5" max="5" width="18" customWidth="1"/>
    <col min="6" max="6" width="19" customWidth="1"/>
    <col min="7" max="7" width="21" customWidth="1"/>
  </cols>
  <sheetData>
    <row r="2" spans="2:7" ht="21">
      <c r="B2" s="2" t="s">
        <v>14490</v>
      </c>
    </row>
    <row r="4" spans="2:7">
      <c r="B4" s="1" t="s">
        <v>14491</v>
      </c>
      <c r="C4" s="1" t="s">
        <v>14492</v>
      </c>
      <c r="D4" s="1" t="s">
        <v>14493</v>
      </c>
      <c r="E4" s="1" t="s">
        <v>14494</v>
      </c>
      <c r="F4" s="1" t="s">
        <v>14495</v>
      </c>
      <c r="G4" s="1" t="s">
        <v>14496</v>
      </c>
    </row>
    <row r="5" spans="2:7">
      <c r="B5" s="4" t="s">
        <v>14497</v>
      </c>
      <c r="C5" s="5">
        <f>COUNTIFS(Calc!K$2:K$5001, B5)</f>
        <v>408</v>
      </c>
      <c r="D5" s="5">
        <f>COUNTIFS(Calc!K$2:K$5001, B5, Cleaned_Data!H$2:H$5001, "Resolved") + COUNTIFS(Calc!K$2:K$5001, B5, Cleaned_Data!H$2:H$5001, "Closed")</f>
        <v>362</v>
      </c>
      <c r="E5" s="5">
        <f>COUNTIFS(Calc!K$2:K$5001, B5, Calc!I$2:I$5001, "YES")</f>
        <v>306</v>
      </c>
      <c r="F5" s="6">
        <f t="shared" ref="F5:F16" si="0">IFERROR(E5/D5, 0)</f>
        <v>0.84530386740331487</v>
      </c>
      <c r="G5" s="7">
        <f>IFERROR(AVERAGEIFS(Calc!H$2:H$5001, Calc!K$2:K$5001, B5), 0)</f>
        <v>15.556176470588248</v>
      </c>
    </row>
    <row r="6" spans="2:7">
      <c r="B6" s="4" t="s">
        <v>14498</v>
      </c>
      <c r="C6" s="5">
        <f>COUNTIFS(Calc!K$2:K$5001, B6)</f>
        <v>419</v>
      </c>
      <c r="D6" s="5">
        <f>COUNTIFS(Calc!K$2:K$5001, B6, Cleaned_Data!H$2:H$5001, "Resolved") + COUNTIFS(Calc!K$2:K$5001, B6, Cleaned_Data!H$2:H$5001, "Closed")</f>
        <v>382</v>
      </c>
      <c r="E6" s="5">
        <f>COUNTIFS(Calc!K$2:K$5001, B6, Calc!I$2:I$5001, "YES")</f>
        <v>303</v>
      </c>
      <c r="F6" s="6">
        <f t="shared" si="0"/>
        <v>0.79319371727748689</v>
      </c>
      <c r="G6" s="7">
        <f>IFERROR(AVERAGEIFS(Calc!H$2:H$5001, Calc!K$2:K$5001, B6), 0)</f>
        <v>16.649284009546545</v>
      </c>
    </row>
    <row r="7" spans="2:7">
      <c r="B7" s="4" t="s">
        <v>14499</v>
      </c>
      <c r="C7" s="5">
        <f>COUNTIFS(Calc!K$2:K$5001, B7)</f>
        <v>420</v>
      </c>
      <c r="D7" s="5">
        <f>COUNTIFS(Calc!K$2:K$5001, B7, Cleaned_Data!H$2:H$5001, "Resolved") + COUNTIFS(Calc!K$2:K$5001, B7, Cleaned_Data!H$2:H$5001, "Closed")</f>
        <v>376</v>
      </c>
      <c r="E7" s="5">
        <f>COUNTIFS(Calc!K$2:K$5001, B7, Calc!I$2:I$5001, "YES")</f>
        <v>303</v>
      </c>
      <c r="F7" s="6">
        <f t="shared" si="0"/>
        <v>0.80585106382978722</v>
      </c>
      <c r="G7" s="7">
        <f>IFERROR(AVERAGEIFS(Calc!H$2:H$5001, Calc!K$2:K$5001, B7), 0)</f>
        <v>21.683214285714296</v>
      </c>
    </row>
    <row r="8" spans="2:7">
      <c r="B8" s="4" t="s">
        <v>14500</v>
      </c>
      <c r="C8" s="5">
        <f>COUNTIFS(Calc!K$2:K$5001, B8)</f>
        <v>405</v>
      </c>
      <c r="D8" s="5">
        <f>COUNTIFS(Calc!K$2:K$5001, B8, Cleaned_Data!H$2:H$5001, "Resolved") + COUNTIFS(Calc!K$2:K$5001, B8, Cleaned_Data!H$2:H$5001, "Closed")</f>
        <v>356</v>
      </c>
      <c r="E8" s="5">
        <f>COUNTIFS(Calc!K$2:K$5001, B8, Calc!I$2:I$5001, "YES")</f>
        <v>303</v>
      </c>
      <c r="F8" s="6">
        <f t="shared" si="0"/>
        <v>0.851123595505618</v>
      </c>
      <c r="G8" s="7">
        <f>IFERROR(AVERAGEIFS(Calc!H$2:H$5001, Calc!K$2:K$5001, B8), 0)</f>
        <v>14.748370370370369</v>
      </c>
    </row>
    <row r="9" spans="2:7">
      <c r="B9" s="4" t="s">
        <v>14501</v>
      </c>
      <c r="C9" s="5">
        <f>COUNTIFS(Calc!K$2:K$5001, B9)</f>
        <v>417</v>
      </c>
      <c r="D9" s="5">
        <f>COUNTIFS(Calc!K$2:K$5001, B9, Cleaned_Data!H$2:H$5001, "Resolved") + COUNTIFS(Calc!K$2:K$5001, B9, Cleaned_Data!H$2:H$5001, "Closed")</f>
        <v>370</v>
      </c>
      <c r="E9" s="5">
        <f>COUNTIFS(Calc!K$2:K$5001, B9, Calc!I$2:I$5001, "YES")</f>
        <v>302</v>
      </c>
      <c r="F9" s="6">
        <f t="shared" si="0"/>
        <v>0.81621621621621621</v>
      </c>
      <c r="G9" s="7">
        <f>IFERROR(AVERAGEIFS(Calc!H$2:H$5001, Calc!K$2:K$5001, B9), 0)</f>
        <v>18.801894484412458</v>
      </c>
    </row>
    <row r="10" spans="2:7">
      <c r="B10" s="4" t="s">
        <v>14502</v>
      </c>
      <c r="C10" s="5">
        <f>COUNTIFS(Calc!K$2:K$5001, B10)</f>
        <v>425</v>
      </c>
      <c r="D10" s="5">
        <f>COUNTIFS(Calc!K$2:K$5001, B10, Cleaned_Data!H$2:H$5001, "Resolved") + COUNTIFS(Calc!K$2:K$5001, B10, Cleaned_Data!H$2:H$5001, "Closed")</f>
        <v>377</v>
      </c>
      <c r="E10" s="5">
        <f>COUNTIFS(Calc!K$2:K$5001, B10, Calc!I$2:I$5001, "YES")</f>
        <v>311</v>
      </c>
      <c r="F10" s="6">
        <f t="shared" si="0"/>
        <v>0.82493368700265257</v>
      </c>
      <c r="G10" s="7">
        <f>IFERROR(AVERAGEIFS(Calc!H$2:H$5001, Calc!K$2:K$5001, B10), 0)</f>
        <v>19.370094117647071</v>
      </c>
    </row>
    <row r="11" spans="2:7">
      <c r="B11" s="4" t="s">
        <v>14503</v>
      </c>
      <c r="C11" s="5">
        <f>COUNTIFS(Calc!K$2:K$5001, B11)</f>
        <v>427</v>
      </c>
      <c r="D11" s="5">
        <f>COUNTIFS(Calc!K$2:K$5001, B11, Cleaned_Data!H$2:H$5001, "Resolved") + COUNTIFS(Calc!K$2:K$5001, B11, Cleaned_Data!H$2:H$5001, "Closed")</f>
        <v>372</v>
      </c>
      <c r="E11" s="5">
        <f>COUNTIFS(Calc!K$2:K$5001, B11, Calc!I$2:I$5001, "YES")</f>
        <v>303</v>
      </c>
      <c r="F11" s="6">
        <f t="shared" si="0"/>
        <v>0.81451612903225812</v>
      </c>
      <c r="G11" s="7">
        <f>IFERROR(AVERAGEIFS(Calc!H$2:H$5001, Calc!K$2:K$5001, B11), 0)</f>
        <v>16.177400468384082</v>
      </c>
    </row>
    <row r="12" spans="2:7">
      <c r="B12" s="4" t="s">
        <v>14504</v>
      </c>
      <c r="C12" s="5">
        <f>COUNTIFS(Calc!K$2:K$5001, B12)</f>
        <v>443</v>
      </c>
      <c r="D12" s="5">
        <f>COUNTIFS(Calc!K$2:K$5001, B12, Cleaned_Data!H$2:H$5001, "Resolved") + COUNTIFS(Calc!K$2:K$5001, B12, Cleaned_Data!H$2:H$5001, "Closed")</f>
        <v>397</v>
      </c>
      <c r="E12" s="5">
        <f>COUNTIFS(Calc!K$2:K$5001, B12, Calc!I$2:I$5001, "YES")</f>
        <v>345</v>
      </c>
      <c r="F12" s="6">
        <f t="shared" si="0"/>
        <v>0.86901763224181361</v>
      </c>
      <c r="G12" s="7">
        <f>IFERROR(AVERAGEIFS(Calc!H$2:H$5001, Calc!K$2:K$5001, B12), 0)</f>
        <v>14.9844243792325</v>
      </c>
    </row>
    <row r="13" spans="2:7">
      <c r="B13" s="4" t="s">
        <v>14505</v>
      </c>
      <c r="C13" s="5">
        <f>COUNTIFS(Calc!K$2:K$5001, B13)</f>
        <v>388</v>
      </c>
      <c r="D13" s="5">
        <f>COUNTIFS(Calc!K$2:K$5001, B13, Cleaned_Data!H$2:H$5001, "Resolved") + COUNTIFS(Calc!K$2:K$5001, B13, Cleaned_Data!H$2:H$5001, "Closed")</f>
        <v>332</v>
      </c>
      <c r="E13" s="5">
        <f>COUNTIFS(Calc!K$2:K$5001, B13, Calc!I$2:I$5001, "YES")</f>
        <v>275</v>
      </c>
      <c r="F13" s="6">
        <f t="shared" si="0"/>
        <v>0.82831325301204817</v>
      </c>
      <c r="G13" s="7">
        <f>IFERROR(AVERAGEIFS(Calc!H$2:H$5001, Calc!K$2:K$5001, B13), 0)</f>
        <v>15.797835051546388</v>
      </c>
    </row>
    <row r="14" spans="2:7">
      <c r="B14" s="4" t="s">
        <v>14506</v>
      </c>
      <c r="C14" s="5">
        <f>COUNTIFS(Calc!K$2:K$5001, B14)</f>
        <v>412</v>
      </c>
      <c r="D14" s="5">
        <f>COUNTIFS(Calc!K$2:K$5001, B14, Cleaned_Data!H$2:H$5001, "Resolved") + COUNTIFS(Calc!K$2:K$5001, B14, Cleaned_Data!H$2:H$5001, "Closed")</f>
        <v>371</v>
      </c>
      <c r="E14" s="5">
        <f>COUNTIFS(Calc!K$2:K$5001, B14, Calc!I$2:I$5001, "YES")</f>
        <v>292</v>
      </c>
      <c r="F14" s="6">
        <f t="shared" si="0"/>
        <v>0.78706199460916437</v>
      </c>
      <c r="G14" s="7">
        <f>IFERROR(AVERAGEIFS(Calc!H$2:H$5001, Calc!K$2:K$5001, B14), 0)</f>
        <v>23.075291262135913</v>
      </c>
    </row>
    <row r="15" spans="2:7">
      <c r="B15" s="4" t="s">
        <v>14507</v>
      </c>
      <c r="C15" s="5">
        <f>COUNTIFS(Calc!K$2:K$5001, B15)</f>
        <v>422</v>
      </c>
      <c r="D15" s="5">
        <f>COUNTIFS(Calc!K$2:K$5001, B15, Cleaned_Data!H$2:H$5001, "Resolved") + COUNTIFS(Calc!K$2:K$5001, B15, Cleaned_Data!H$2:H$5001, "Closed")</f>
        <v>382</v>
      </c>
      <c r="E15" s="5">
        <f>COUNTIFS(Calc!K$2:K$5001, B15, Calc!I$2:I$5001, "YES")</f>
        <v>305</v>
      </c>
      <c r="F15" s="6">
        <f t="shared" si="0"/>
        <v>0.79842931937172779</v>
      </c>
      <c r="G15" s="7">
        <f>IFERROR(AVERAGEIFS(Calc!H$2:H$5001, Calc!K$2:K$5001, B15), 0)</f>
        <v>18.313293838862581</v>
      </c>
    </row>
    <row r="16" spans="2:7">
      <c r="B16" s="4" t="s">
        <v>14508</v>
      </c>
      <c r="C16" s="5">
        <f>COUNTIFS(Calc!K$2:K$5001, B16)</f>
        <v>414</v>
      </c>
      <c r="D16" s="5">
        <f>COUNTIFS(Calc!K$2:K$5001, B16, Cleaned_Data!H$2:H$5001, "Resolved") + COUNTIFS(Calc!K$2:K$5001, B16, Cleaned_Data!H$2:H$5001, "Closed")</f>
        <v>361</v>
      </c>
      <c r="E16" s="5">
        <f>COUNTIFS(Calc!K$2:K$5001, B16, Calc!I$2:I$5001, "YES")</f>
        <v>281</v>
      </c>
      <c r="F16" s="6">
        <f t="shared" si="0"/>
        <v>0.77839335180055402</v>
      </c>
      <c r="G16" s="7">
        <f>IFERROR(AVERAGEIFS(Calc!H$2:H$5001, Calc!K$2:K$5001, B16), 0)</f>
        <v>21.579033816425106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8"/>
  <sheetViews>
    <sheetView workbookViewId="0"/>
  </sheetViews>
  <sheetFormatPr defaultRowHeight="14.4"/>
  <cols>
    <col min="1" max="1" width="12" customWidth="1"/>
    <col min="2" max="2" width="41" customWidth="1"/>
    <col min="3" max="7" width="19" customWidth="1"/>
    <col min="8" max="8" width="17" customWidth="1"/>
  </cols>
  <sheetData>
    <row r="2" spans="2:8" ht="21">
      <c r="B2" s="2" t="s">
        <v>14509</v>
      </c>
    </row>
    <row r="4" spans="2:8">
      <c r="B4" s="8" t="s">
        <v>14510</v>
      </c>
    </row>
    <row r="5" spans="2:8">
      <c r="B5" s="9" t="s">
        <v>14511</v>
      </c>
      <c r="C5" s="9" t="s">
        <v>14512</v>
      </c>
      <c r="D5" s="9" t="s">
        <v>14513</v>
      </c>
      <c r="E5" s="9" t="s">
        <v>14493</v>
      </c>
      <c r="F5" s="9" t="s">
        <v>14514</v>
      </c>
      <c r="G5" s="9" t="s">
        <v>14495</v>
      </c>
      <c r="H5" s="9" t="s">
        <v>14515</v>
      </c>
    </row>
    <row r="6" spans="2:8">
      <c r="B6" s="4" t="s">
        <v>158</v>
      </c>
      <c r="C6" s="4">
        <v>4</v>
      </c>
      <c r="D6" s="5">
        <f>COUNTIFS(Cleaned_Data!D$2:D$5001, B6)</f>
        <v>482</v>
      </c>
      <c r="E6" s="5">
        <f>COUNTIFS(Cleaned_Data!D$2:D$5001, B6, Cleaned_Data!H$2:H$5001, "Resolved") + COUNTIFS(Cleaned_Data!D$2:D$5001, B6, Cleaned_Data!H$2:H$5001, "Closed")</f>
        <v>433</v>
      </c>
      <c r="F6" s="5">
        <f>COUNTIFS(Cleaned_Data!D$2:D$5001, B6, Calc!I$2:I$5001, "YES")</f>
        <v>339</v>
      </c>
      <c r="G6" s="10">
        <f>IFERROR(F6/E6, 0)</f>
        <v>0.78290993071593529</v>
      </c>
      <c r="H6" s="11">
        <f>IFERROR(AVERAGEIFS(Calc!H$2:H$5001, Cleaned_Data!D$2:D$5001, B6), 0)</f>
        <v>4.524045643153527</v>
      </c>
    </row>
    <row r="7" spans="2:8">
      <c r="B7" s="4" t="s">
        <v>15</v>
      </c>
      <c r="C7" s="4">
        <v>8</v>
      </c>
      <c r="D7" s="5">
        <f>COUNTIFS(Cleaned_Data!D$2:D$5001, B7)</f>
        <v>1271</v>
      </c>
      <c r="E7" s="5">
        <f>COUNTIFS(Cleaned_Data!D$2:D$5001, B7, Cleaned_Data!H$2:H$5001, "Resolved") + COUNTIFS(Cleaned_Data!D$2:D$5001, B7, Cleaned_Data!H$2:H$5001, "Closed")</f>
        <v>1130</v>
      </c>
      <c r="F7" s="5">
        <f>COUNTIFS(Cleaned_Data!D$2:D$5001, B7, Calc!I$2:I$5001, "YES")</f>
        <v>936</v>
      </c>
      <c r="G7" s="10">
        <f>IFERROR(F7/E7, 0)</f>
        <v>0.8283185840707965</v>
      </c>
      <c r="H7" s="11">
        <f>IFERROR(AVERAGEIFS(Calc!H$2:H$5001, Cleaned_Data!D$2:D$5001, B7), 0)</f>
        <v>9.380440597954367</v>
      </c>
    </row>
    <row r="8" spans="2:8">
      <c r="B8" s="4" t="s">
        <v>23</v>
      </c>
      <c r="C8" s="4">
        <v>24</v>
      </c>
      <c r="D8" s="5">
        <f>COUNTIFS(Cleaned_Data!D$2:D$5001, B8)</f>
        <v>2276</v>
      </c>
      <c r="E8" s="5">
        <f>COUNTIFS(Cleaned_Data!D$2:D$5001, B8, Cleaned_Data!H$2:H$5001, "Resolved") + COUNTIFS(Cleaned_Data!D$2:D$5001, B8, Cleaned_Data!H$2:H$5001, "Closed")</f>
        <v>2025</v>
      </c>
      <c r="F8" s="5">
        <f>COUNTIFS(Cleaned_Data!D$2:D$5001, B8, Calc!I$2:I$5001, "YES")</f>
        <v>1657</v>
      </c>
      <c r="G8" s="10">
        <f>IFERROR(F8/E8, 0)</f>
        <v>0.81827160493827156</v>
      </c>
      <c r="H8" s="11">
        <f>IFERROR(AVERAGEIFS(Calc!H$2:H$5001, Cleaned_Data!D$2:D$5001, B8), 0)</f>
        <v>17.59158611599301</v>
      </c>
    </row>
    <row r="9" spans="2:8">
      <c r="B9" s="4" t="s">
        <v>35</v>
      </c>
      <c r="C9" s="4">
        <v>48</v>
      </c>
      <c r="D9" s="5">
        <f>COUNTIFS(Cleaned_Data!D$2:D$5001, B9)</f>
        <v>971</v>
      </c>
      <c r="E9" s="5">
        <f>COUNTIFS(Cleaned_Data!D$2:D$5001, B9, Cleaned_Data!H$2:H$5001, "Resolved") + COUNTIFS(Cleaned_Data!D$2:D$5001, B9, Cleaned_Data!H$2:H$5001, "Closed")</f>
        <v>850</v>
      </c>
      <c r="F9" s="5">
        <f>COUNTIFS(Cleaned_Data!D$2:D$5001, B9, Calc!I$2:I$5001, "YES")</f>
        <v>697</v>
      </c>
      <c r="G9" s="10">
        <f>IFERROR(F9/E9, 0)</f>
        <v>0.82</v>
      </c>
      <c r="H9" s="11">
        <f>IFERROR(AVERAGEIFS(Calc!H$2:H$5001, Cleaned_Data!D$2:D$5001, B9), 0)</f>
        <v>37.258980432543773</v>
      </c>
    </row>
    <row r="12" spans="2:8">
      <c r="B12" s="8" t="s">
        <v>14516</v>
      </c>
    </row>
    <row r="13" spans="2:8">
      <c r="B13" s="9" t="s">
        <v>14517</v>
      </c>
      <c r="C13" s="9" t="s">
        <v>14513</v>
      </c>
      <c r="D13" s="9" t="s">
        <v>14493</v>
      </c>
      <c r="E13" s="9" t="s">
        <v>14514</v>
      </c>
      <c r="F13" s="9" t="s">
        <v>14495</v>
      </c>
      <c r="G13" s="9" t="s">
        <v>14515</v>
      </c>
    </row>
    <row r="14" spans="2:8">
      <c r="B14" s="4" t="s">
        <v>24</v>
      </c>
      <c r="C14" s="5">
        <f>COUNTIFS(Cleaned_Data!E$2:E$5001, B14)</f>
        <v>946</v>
      </c>
      <c r="D14" s="5">
        <f>COUNTIFS(Cleaned_Data!E$2:E$5001, B14, Cleaned_Data!H$2:H$5001, "Resolved") + COUNTIFS(Cleaned_Data!E$2:E$5001, B14, Cleaned_Data!H$2:H$5001, "Closed")</f>
        <v>836</v>
      </c>
      <c r="E14" s="5">
        <f>COUNTIFS(Cleaned_Data!E$2:E$5001, B14, Calc!I$2:I$5001, "YES")</f>
        <v>679</v>
      </c>
      <c r="F14" s="10">
        <f>IFERROR(E14/D14, 0)</f>
        <v>0.81220095693779903</v>
      </c>
      <c r="G14" s="11">
        <f>IFERROR(AVERAGEIFS(Calc!H$2:H$5001, Cleaned_Data!E$2:E$5001, B14), 0)</f>
        <v>18.812145877378441</v>
      </c>
    </row>
    <row r="15" spans="2:8">
      <c r="B15" s="4" t="s">
        <v>28</v>
      </c>
      <c r="C15" s="5">
        <f>COUNTIFS(Cleaned_Data!E$2:E$5001, B15)</f>
        <v>1732</v>
      </c>
      <c r="D15" s="5">
        <f>COUNTIFS(Cleaned_Data!E$2:E$5001, B15, Cleaned_Data!H$2:H$5001, "Resolved") + COUNTIFS(Cleaned_Data!E$2:E$5001, B15, Cleaned_Data!H$2:H$5001, "Closed")</f>
        <v>1531</v>
      </c>
      <c r="E15" s="5">
        <f>COUNTIFS(Cleaned_Data!E$2:E$5001, B15, Calc!I$2:I$5001, "YES")</f>
        <v>1241</v>
      </c>
      <c r="F15" s="10">
        <f>IFERROR(E15/D15, 0)</f>
        <v>0.81058131939908562</v>
      </c>
      <c r="G15" s="11">
        <f>IFERROR(AVERAGEIFS(Calc!H$2:H$5001, Cleaned_Data!E$2:E$5001, B15), 0)</f>
        <v>18.147956120092388</v>
      </c>
    </row>
    <row r="16" spans="2:8">
      <c r="B16" s="4" t="s">
        <v>54</v>
      </c>
      <c r="C16" s="5">
        <f>COUNTIFS(Cleaned_Data!E$2:E$5001, B16)</f>
        <v>760</v>
      </c>
      <c r="D16" s="5">
        <f>COUNTIFS(Cleaned_Data!E$2:E$5001, B16, Cleaned_Data!H$2:H$5001, "Resolved") + COUNTIFS(Cleaned_Data!E$2:E$5001, B16, Cleaned_Data!H$2:H$5001, "Closed")</f>
        <v>678</v>
      </c>
      <c r="E16" s="5">
        <f>COUNTIFS(Cleaned_Data!E$2:E$5001, B16, Calc!I$2:I$5001, "YES")</f>
        <v>555</v>
      </c>
      <c r="F16" s="10">
        <f>IFERROR(E16/D16, 0)</f>
        <v>0.81858407079646023</v>
      </c>
      <c r="G16" s="11">
        <f>IFERROR(AVERAGEIFS(Calc!H$2:H$5001, Cleaned_Data!E$2:E$5001, B16), 0)</f>
        <v>18.596592105263149</v>
      </c>
    </row>
    <row r="17" spans="2:7">
      <c r="B17" s="4" t="s">
        <v>16</v>
      </c>
      <c r="C17" s="5">
        <f>COUNTIFS(Cleaned_Data!E$2:E$5001, B17)</f>
        <v>1027</v>
      </c>
      <c r="D17" s="5">
        <f>COUNTIFS(Cleaned_Data!E$2:E$5001, B17, Cleaned_Data!H$2:H$5001, "Resolved") + COUNTIFS(Cleaned_Data!E$2:E$5001, B17, Cleaned_Data!H$2:H$5001, "Closed")</f>
        <v>915</v>
      </c>
      <c r="E17" s="5">
        <f>COUNTIFS(Cleaned_Data!E$2:E$5001, B17, Calc!I$2:I$5001, "YES")</f>
        <v>758</v>
      </c>
      <c r="F17" s="10">
        <f>IFERROR(E17/D17, 0)</f>
        <v>0.82841530054644807</v>
      </c>
      <c r="G17" s="11">
        <f>IFERROR(AVERAGEIFS(Calc!H$2:H$5001, Cleaned_Data!E$2:E$5001, B17), 0)</f>
        <v>17.52909444985395</v>
      </c>
    </row>
    <row r="18" spans="2:7">
      <c r="B18" s="4" t="s">
        <v>59</v>
      </c>
      <c r="C18" s="5">
        <f>COUNTIFS(Cleaned_Data!E$2:E$5001, B18)</f>
        <v>535</v>
      </c>
      <c r="D18" s="5">
        <f>COUNTIFS(Cleaned_Data!E$2:E$5001, B18, Cleaned_Data!H$2:H$5001, "Resolved") + COUNTIFS(Cleaned_Data!E$2:E$5001, B18, Cleaned_Data!H$2:H$5001, "Closed")</f>
        <v>478</v>
      </c>
      <c r="E18" s="5">
        <f>COUNTIFS(Cleaned_Data!E$2:E$5001, B18, Calc!I$2:I$5001, "YES")</f>
        <v>396</v>
      </c>
      <c r="F18" s="10">
        <f>IFERROR(E18/D18, 0)</f>
        <v>0.82845188284518834</v>
      </c>
      <c r="G18" s="11">
        <f>IFERROR(AVERAGEIFS(Calc!H$2:H$5001, Cleaned_Data!E$2:E$5001, B18), 0)</f>
        <v>16.739644859813083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7"/>
  <sheetViews>
    <sheetView workbookViewId="0"/>
  </sheetViews>
  <sheetFormatPr defaultRowHeight="14.4"/>
  <cols>
    <col min="1" max="1" width="12" customWidth="1"/>
    <col min="2" max="2" width="43" customWidth="1"/>
    <col min="3" max="4" width="12" customWidth="1"/>
    <col min="5" max="5" width="19" customWidth="1"/>
    <col min="6" max="7" width="12" customWidth="1"/>
    <col min="8" max="8" width="21" customWidth="1"/>
    <col min="9" max="10" width="12" customWidth="1"/>
    <col min="11" max="11" width="17" customWidth="1"/>
    <col min="12" max="13" width="12" customWidth="1"/>
  </cols>
  <sheetData>
    <row r="2" spans="2:13" ht="21">
      <c r="B2" s="2" t="s">
        <v>14518</v>
      </c>
    </row>
    <row r="3" spans="2:13">
      <c r="B3" s="3" t="s">
        <v>14519</v>
      </c>
    </row>
    <row r="5" spans="2:13">
      <c r="B5" s="19" t="s">
        <v>14513</v>
      </c>
      <c r="C5" s="15"/>
      <c r="D5" s="15"/>
      <c r="E5" s="19" t="s">
        <v>14495</v>
      </c>
      <c r="F5" s="15"/>
      <c r="G5" s="15"/>
      <c r="H5" s="19" t="s">
        <v>14520</v>
      </c>
      <c r="I5" s="15"/>
      <c r="J5" s="15"/>
      <c r="K5" s="19" t="s">
        <v>14521</v>
      </c>
      <c r="L5" s="15"/>
      <c r="M5" s="15"/>
    </row>
    <row r="6" spans="2:13">
      <c r="B6" s="17">
        <f>KPI_Summary!B6</f>
        <v>5000</v>
      </c>
      <c r="C6" s="15"/>
      <c r="D6" s="15"/>
      <c r="E6" s="14">
        <f>KPI_Summary!E6</f>
        <v>0.8177106804867057</v>
      </c>
      <c r="F6" s="15"/>
      <c r="G6" s="15"/>
      <c r="H6" s="16">
        <f>KPI_Summary!H6</f>
        <v>18.06400999999995</v>
      </c>
      <c r="I6" s="15"/>
      <c r="J6" s="15"/>
      <c r="K6" s="17">
        <f>KPI_Summary!B10</f>
        <v>562</v>
      </c>
      <c r="L6" s="15"/>
      <c r="M6" s="15"/>
    </row>
    <row r="7" spans="2:13"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</row>
  </sheetData>
  <mergeCells count="8">
    <mergeCell ref="B5:D5"/>
    <mergeCell ref="B6:D7"/>
    <mergeCell ref="E5:G5"/>
    <mergeCell ref="K5:M5"/>
    <mergeCell ref="H5:J5"/>
    <mergeCell ref="K6:M7"/>
    <mergeCell ref="E6:G7"/>
    <mergeCell ref="H6:J7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5"/>
  <sheetViews>
    <sheetView workbookViewId="0"/>
  </sheetViews>
  <sheetFormatPr defaultRowHeight="14.4"/>
  <cols>
    <col min="1" max="1" width="12" customWidth="1"/>
    <col min="2" max="2" width="44" customWidth="1"/>
    <col min="3" max="3" width="89" customWidth="1"/>
    <col min="4" max="4" width="58" customWidth="1"/>
  </cols>
  <sheetData>
    <row r="2" spans="2:4" ht="21">
      <c r="B2" s="2" t="s">
        <v>14522</v>
      </c>
    </row>
    <row r="4" spans="2:4">
      <c r="B4" s="1" t="s">
        <v>14523</v>
      </c>
      <c r="C4" s="1" t="s">
        <v>14524</v>
      </c>
      <c r="D4" s="1" t="s">
        <v>14525</v>
      </c>
    </row>
    <row r="5" spans="2:4">
      <c r="B5" s="12" t="s">
        <v>14513</v>
      </c>
      <c r="C5" s="13" t="s">
        <v>14526</v>
      </c>
      <c r="D5" s="13">
        <f>COUNTA(Cleaned_Data!A2:A5001)</f>
        <v>5000</v>
      </c>
    </row>
    <row r="6" spans="2:4">
      <c r="B6" s="12" t="s">
        <v>14493</v>
      </c>
      <c r="C6" s="13" t="s">
        <v>14527</v>
      </c>
      <c r="D6" s="13">
        <f>COUNTIFS(Cleaned_Data!H2:H5001, "Resolved") + COUNTIFS(Cleaned_Data!H2:H5001, "Closed")</f>
        <v>4438</v>
      </c>
    </row>
    <row r="7" spans="2:4">
      <c r="B7" s="12" t="s">
        <v>14495</v>
      </c>
      <c r="C7" s="13" t="s">
        <v>14528</v>
      </c>
      <c r="D7" s="13">
        <f>COUNTIFS(Calc!I2:I5001, "YES") / (COUNTIFS(Cleaned_Data!H2:H5001, "Resolved") + COUNTIFS(Cleaned_Data!H2:H5001, "Closed"))</f>
        <v>0.8177106804867057</v>
      </c>
    </row>
    <row r="8" spans="2:4">
      <c r="B8" s="12" t="s">
        <v>14529</v>
      </c>
      <c r="C8" s="13" t="s">
        <v>14530</v>
      </c>
      <c r="D8" s="13">
        <f>AVERAGE(Calc!H2:H5001)</f>
        <v>18.06400999999995</v>
      </c>
    </row>
    <row r="9" spans="2:4">
      <c r="B9" s="12" t="s">
        <v>14521</v>
      </c>
      <c r="C9" s="13" t="s">
        <v>14531</v>
      </c>
      <c r="D9" s="13">
        <f>COUNTIFS(Cleaned_Data!H2:H5001, "Open") + COUNTIFS(Cleaned_Data!H2:H5001, "Escalated")</f>
        <v>562</v>
      </c>
    </row>
    <row r="10" spans="2:4">
      <c r="B10" s="12" t="s">
        <v>14532</v>
      </c>
      <c r="C10" s="13" t="s">
        <v>14533</v>
      </c>
      <c r="D10" s="13">
        <f>AVERAGE(Cleaned_Data!I2:I5001)</f>
        <v>4.0018026137899954</v>
      </c>
    </row>
    <row r="11" spans="2:4">
      <c r="B11" s="12" t="s">
        <v>14534</v>
      </c>
      <c r="C11" s="13" t="s">
        <v>14535</v>
      </c>
      <c r="D11" s="13" t="s">
        <v>14536</v>
      </c>
    </row>
    <row r="12" spans="2:4">
      <c r="B12" s="12" t="s">
        <v>14537</v>
      </c>
      <c r="C12" s="13" t="s">
        <v>14538</v>
      </c>
      <c r="D12" s="13" t="s">
        <v>14536</v>
      </c>
    </row>
    <row r="13" spans="2:4">
      <c r="B13" s="12" t="s">
        <v>14539</v>
      </c>
      <c r="C13" s="13" t="s">
        <v>14540</v>
      </c>
      <c r="D13" s="13" t="s">
        <v>14536</v>
      </c>
    </row>
    <row r="14" spans="2:4">
      <c r="B14" s="12" t="s">
        <v>14541</v>
      </c>
      <c r="C14" s="13" t="s">
        <v>14542</v>
      </c>
      <c r="D14" s="13" t="s">
        <v>14536</v>
      </c>
    </row>
    <row r="15" spans="2:4">
      <c r="B15" s="12" t="s">
        <v>14543</v>
      </c>
      <c r="C15" s="13" t="s">
        <v>14544</v>
      </c>
      <c r="D15" s="13" t="s">
        <v>14545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Cleaned_Data</vt:lpstr>
      <vt:lpstr>Calc</vt:lpstr>
      <vt:lpstr>KPI_Summary</vt:lpstr>
      <vt:lpstr>Monthly_Trend</vt:lpstr>
      <vt:lpstr>Priority_Category</vt:lpstr>
      <vt:lpstr>Dashboard</vt:lpstr>
      <vt:lpstr>Notes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mude</cp:lastModifiedBy>
  <dcterms:created xsi:type="dcterms:W3CDTF">2026-10-03T14:33:47Z</dcterms:created>
  <dcterms:modified xsi:type="dcterms:W3CDTF">2026-10-03T14:49:19Z</dcterms:modified>
</cp:coreProperties>
</file>